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filterPrivacy="1" updateLinks="never" codeName="EstaPasta_de_trabalho"/>
  <xr:revisionPtr revIDLastSave="0" documentId="10_ncr:8100000_{DE0FDA82-1F37-457E-A884-F68A6BB48FC0}" xr6:coauthVersionLast="34" xr6:coauthVersionMax="43" xr10:uidLastSave="{00000000-0000-0000-0000-000000000000}"/>
  <bookViews>
    <workbookView xWindow="-120" yWindow="-120" windowWidth="20730" windowHeight="1176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r:id="rId16"/>
    <sheet name="A15" sheetId="44" r:id="rId17"/>
  </sheets>
  <functionGroups builtInGroupCount="19"/>
  <externalReferences>
    <externalReference r:id="rId18"/>
  </externalReferences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10" localSheetId="1">ImportQGIS!$A$1:$AD$312</definedName>
    <definedName name="sample_11" localSheetId="1">ImportQGIS!$AD$1:$BF$161</definedName>
    <definedName name="sample_12" localSheetId="1">ImportQGIS!$AD$1:$BF$158</definedName>
    <definedName name="sample_13" localSheetId="1">ImportQGIS!$A$1:$AD$312</definedName>
    <definedName name="sample_14" localSheetId="1">ImportQGIS!$AD$1:$BF$161</definedName>
    <definedName name="sample_15" localSheetId="1">ImportQGIS!$A$1:$AD$312</definedName>
    <definedName name="sample_16" localSheetId="1">ImportQGIS!$AD$1:$BG$312</definedName>
    <definedName name="sample_17" localSheetId="1">ImportQGIS!$AD$1:$BG$312</definedName>
    <definedName name="sample_18" localSheetId="1">ImportQGIS!$A$1:$AD$312</definedName>
    <definedName name="sample_19" localSheetId="1">ImportQGIS!$A$1:$AD$312</definedName>
    <definedName name="sample_2" localSheetId="1">ImportQGIS!$AD$1:$BF$161</definedName>
    <definedName name="sample_20" localSheetId="1">ImportQGIS!$AD$1:$BF$161</definedName>
    <definedName name="sample_21" localSheetId="1">ImportQGIS!$AD$1:$BF$158</definedName>
    <definedName name="sample_22" localSheetId="1">ImportQGIS!$A$1:$AD$312</definedName>
    <definedName name="sample_23" localSheetId="1">ImportQGIS!$AD$1:$BF$161</definedName>
    <definedName name="sample_24" localSheetId="1">ImportQGIS!$A$1:$AD$312</definedName>
    <definedName name="sample_25" localSheetId="1">ImportQGIS!$AD$1:$BG$312</definedName>
    <definedName name="sample_26" localSheetId="1">ImportQGIS!$AD$1:$BG$312</definedName>
    <definedName name="sample_27" localSheetId="1">ImportQGIS!$A$1:$AD$128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ImportQGIS!$A$1:$AD$312</definedName>
    <definedName name="Teste">'A14'!$B$17:$B$27</definedName>
    <definedName name="_xlnm.Print_Titles" localSheetId="4">RedBasica_print!$1:$14</definedName>
  </definedNames>
  <calcPr calcId="162913"/>
</workbook>
</file>

<file path=xl/calcChain.xml><?xml version="1.0" encoding="utf-8"?>
<calcChain xmlns="http://schemas.openxmlformats.org/spreadsheetml/2006/main">
  <c r="O2" i="45" l="1"/>
  <c r="G9" i="1" l="1"/>
  <c r="G8" i="1"/>
  <c r="G7" i="1"/>
  <c r="G6" i="1"/>
  <c r="G5" i="1"/>
  <c r="F25" i="21"/>
  <c r="F24" i="21"/>
  <c r="F22" i="31"/>
  <c r="F21" i="31"/>
  <c r="F18" i="31"/>
  <c r="F17" i="31"/>
  <c r="F10" i="31"/>
  <c r="F9" i="31"/>
  <c r="A15" i="24" l="1"/>
  <c r="AU15" i="24" l="1"/>
  <c r="AV15" i="24"/>
  <c r="AT15" i="24"/>
  <c r="AR15" i="24"/>
  <c r="AQ15" i="24"/>
  <c r="AP15" i="24"/>
  <c r="AN15" i="24"/>
  <c r="AM15" i="24"/>
  <c r="AA15" i="24"/>
  <c r="AB15" i="24"/>
  <c r="AC15" i="24"/>
  <c r="AD15" i="24"/>
  <c r="AE15" i="24"/>
  <c r="AF15" i="24"/>
  <c r="AG15" i="24"/>
  <c r="AH15" i="24"/>
  <c r="AJ15" i="24"/>
  <c r="AO15" i="24" l="1"/>
  <c r="AK15" i="24"/>
  <c r="W15" i="24"/>
  <c r="U15" i="24" s="1"/>
  <c r="S15" i="24"/>
  <c r="M15" i="24"/>
  <c r="V15" i="24" l="1"/>
  <c r="AX15" i="24" s="1"/>
  <c r="T15" i="24" l="1"/>
  <c r="F11" i="1" l="1"/>
  <c r="L11" i="1"/>
  <c r="F31" i="21" s="1"/>
  <c r="K11" i="1"/>
  <c r="F30" i="21" s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69" i="21" s="1"/>
  <c r="D18" i="14"/>
  <c r="E18" i="14"/>
  <c r="F18" i="14"/>
  <c r="G18" i="14"/>
  <c r="D72" i="21"/>
  <c r="D76" i="21"/>
  <c r="D80" i="21"/>
  <c r="D79" i="21" l="1"/>
  <c r="D75" i="21"/>
  <c r="D71" i="21"/>
  <c r="D82" i="21"/>
  <c r="D78" i="21"/>
  <c r="D74" i="21"/>
  <c r="D70" i="21"/>
  <c r="D81" i="21"/>
  <c r="D77" i="21"/>
  <c r="D73" i="21"/>
  <c r="B30" i="24"/>
  <c r="A30" i="24" s="1"/>
  <c r="C30" i="24"/>
  <c r="D30" i="24"/>
  <c r="E30" i="24"/>
  <c r="AZ15" i="24" s="1"/>
  <c r="F30" i="24"/>
  <c r="G30" i="24"/>
  <c r="H30" i="24"/>
  <c r="I30" i="24"/>
  <c r="J30" i="24"/>
  <c r="M30" i="24"/>
  <c r="N30" i="24"/>
  <c r="W30" i="24"/>
  <c r="AK30" i="24"/>
  <c r="C60" i="24" l="1"/>
  <c r="B60" i="24"/>
  <c r="A6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B13" i="44" l="1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A4" i="45" l="1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G8" i="45"/>
  <c r="H4" i="45"/>
  <c r="H8" i="45"/>
  <c r="I4" i="45"/>
  <c r="I6" i="45"/>
  <c r="I8" i="45"/>
  <c r="J4" i="45"/>
  <c r="K4" i="45"/>
  <c r="K6" i="45"/>
  <c r="K8" i="45"/>
  <c r="L4" i="45"/>
  <c r="L8" i="45"/>
  <c r="M4" i="45"/>
  <c r="M6" i="45"/>
  <c r="M8" i="45"/>
  <c r="N4" i="45"/>
  <c r="N8" i="45"/>
  <c r="O4" i="45"/>
  <c r="O6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C4" i="45" l="1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0" i="45" l="1"/>
  <c r="K14" i="45" a="1"/>
  <c r="K14" i="45" s="1"/>
  <c r="M14" i="45" a="1"/>
  <c r="M14" i="45" s="1"/>
  <c r="M10" i="45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l="1"/>
  <c r="B10" i="45"/>
  <c r="H10" i="45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M40" i="24" l="1"/>
  <c r="G40" i="24"/>
  <c r="N15" i="31"/>
  <c r="N16" i="31"/>
  <c r="L38" i="21" l="1"/>
  <c r="F37" i="21" s="1"/>
  <c r="L40" i="21"/>
  <c r="F36" i="21" s="1"/>
  <c r="N40" i="24" l="1"/>
  <c r="J40" i="21"/>
  <c r="N15" i="24" l="1"/>
  <c r="AL15" i="24" s="1"/>
  <c r="O15" i="24"/>
  <c r="AS15" i="24" s="1"/>
  <c r="J38" i="21"/>
  <c r="AI15" i="24"/>
  <c r="K40" i="21" l="1"/>
  <c r="K38" i="21"/>
  <c r="H40" i="24" l="1"/>
  <c r="K24" i="21" l="1"/>
  <c r="F33" i="21" s="1"/>
  <c r="L90" i="24" l="1"/>
  <c r="M90" i="24"/>
  <c r="L26" i="21"/>
  <c r="O90" i="24" l="1"/>
  <c r="N90" i="24"/>
  <c r="J26" i="21"/>
  <c r="I26" i="21" s="1"/>
  <c r="C80" i="24" l="1"/>
  <c r="D80" i="24"/>
  <c r="G80" i="24" l="1"/>
  <c r="F80" i="24"/>
  <c r="B80" i="24"/>
  <c r="AJ50" i="24" l="1"/>
  <c r="Y30" i="24" l="1"/>
  <c r="Z30" i="24" l="1"/>
  <c r="I40" i="24" l="1"/>
  <c r="L40" i="24" s="1"/>
  <c r="C40" i="24"/>
  <c r="F40" i="24" s="1"/>
  <c r="C70" i="24" l="1"/>
  <c r="D70" i="24" s="1"/>
  <c r="I90" i="24" l="1"/>
  <c r="J90" i="24"/>
  <c r="D60" i="24" l="1"/>
  <c r="F60" i="24" l="1"/>
  <c r="E60" i="24" l="1"/>
  <c r="L30" i="24" l="1"/>
  <c r="K30" i="24"/>
  <c r="G60" i="24"/>
  <c r="AF30" i="24" l="1"/>
  <c r="AA30" i="24"/>
  <c r="H60" i="24"/>
  <c r="I60" i="24"/>
  <c r="G90" i="24" l="1"/>
  <c r="H90" i="24"/>
  <c r="K90" i="24" l="1"/>
  <c r="C90" i="24" l="1"/>
  <c r="E90" i="24" l="1"/>
  <c r="B90" i="24" l="1"/>
  <c r="D90" i="24" l="1"/>
  <c r="AF50" i="24" s="1"/>
  <c r="P90" i="24" l="1"/>
  <c r="R90" i="24"/>
  <c r="Q90" i="24"/>
  <c r="S90" i="24"/>
  <c r="T90" i="24"/>
  <c r="U90" i="24"/>
  <c r="X90" i="24"/>
  <c r="W90" i="24"/>
  <c r="F90" i="24"/>
  <c r="S30" i="24" l="1"/>
  <c r="AI30" i="24" l="1"/>
  <c r="U30" i="24"/>
  <c r="O30" i="24"/>
  <c r="T30" i="24" l="1"/>
  <c r="Q30" i="24"/>
  <c r="V30" i="24" l="1"/>
  <c r="P30" i="24"/>
  <c r="R30" i="24" l="1"/>
  <c r="AJ30" i="24" l="1"/>
  <c r="AE30" i="24"/>
  <c r="AH30" i="24"/>
  <c r="AD30" i="24"/>
  <c r="AB30" i="24"/>
  <c r="AG30" i="24"/>
  <c r="AC30" i="24"/>
  <c r="X30" i="24"/>
  <c r="E50" i="24" l="1"/>
  <c r="H50" i="24" s="1"/>
  <c r="K50" i="24" l="1"/>
  <c r="N50" i="24" s="1"/>
  <c r="Q50" i="24" l="1"/>
  <c r="T50" i="24" s="1"/>
  <c r="I50" i="24"/>
  <c r="O50" i="24" l="1"/>
  <c r="W50" i="24" l="1"/>
  <c r="Z50" i="24" s="1"/>
  <c r="J50" i="24"/>
  <c r="AG50" i="24" s="1"/>
  <c r="U50" i="24"/>
  <c r="V50" i="24" s="1"/>
  <c r="P50" i="24" l="1"/>
  <c r="AI50" i="24" l="1"/>
  <c r="AK50" i="24" s="1"/>
  <c r="AA50" i="24" l="1"/>
  <c r="AB50" i="24" s="1"/>
  <c r="AD50" i="24" s="1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132D6CCE-FE48-4E8E-8C51-50028B693C1E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D158C66E-A76E-4C82-A538-0BBDA1421CA4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7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6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7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8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9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0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1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2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3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4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5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7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8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9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1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2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3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28000000}" name="Falso" type="6" refreshedVersion="0" background="1">
    <textPr prompt="0" sourceFile="Falso">
      <textFields>
        <textField/>
      </textFields>
    </textPr>
  </connection>
  <connection id="66" xr16:uid="{00000000-0015-0000-FFFF-FFFF29000000}" name="Falso1" type="6" refreshedVersion="0" background="1">
    <textPr prompt="0" sourceFile="Falso">
      <textFields>
        <textField/>
      </textFields>
    </textPr>
  </connection>
  <connection id="67" xr16:uid="{00000000-0015-0000-FFFF-FFFF2A000000}" name="Falso10" type="6" refreshedVersion="0" background="1">
    <textPr prompt="0" sourceFile="Falso">
      <textFields>
        <textField/>
      </textFields>
    </textPr>
  </connection>
  <connection id="68" xr16:uid="{00000000-0015-0000-FFFF-FFFF2B000000}" name="Falso11" type="6" refreshedVersion="0" background="1">
    <textPr prompt="0" sourceFile="Falso">
      <textFields>
        <textField/>
      </textFields>
    </textPr>
  </connection>
  <connection id="69" xr16:uid="{00000000-0015-0000-FFFF-FFFF2C000000}" name="Falso12" type="6" refreshedVersion="0" background="1">
    <textPr prompt="0" sourceFile="Falso">
      <textFields>
        <textField/>
      </textFields>
    </textPr>
  </connection>
  <connection id="70" xr16:uid="{00000000-0015-0000-FFFF-FFFF2D000000}" name="Falso13" type="6" refreshedVersion="0" background="1">
    <textPr prompt="0" sourceFile="Falso">
      <textFields>
        <textField/>
      </textFields>
    </textPr>
  </connection>
  <connection id="71" xr16:uid="{00000000-0015-0000-FFFF-FFFF2E000000}" name="Falso14" type="6" refreshedVersion="0" background="1">
    <textPr prompt="0" sourceFile="Falso">
      <textFields>
        <textField/>
      </textFields>
    </textPr>
  </connection>
  <connection id="72" xr16:uid="{00000000-0015-0000-FFFF-FFFF2F000000}" name="Falso15" type="6" refreshedVersion="0" background="1">
    <textPr prompt="0" sourceFile="Falso">
      <textFields>
        <textField/>
      </textFields>
    </textPr>
  </connection>
  <connection id="73" xr16:uid="{00000000-0015-0000-FFFF-FFFF30000000}" name="Falso2" type="6" refreshedVersion="0" background="1">
    <textPr prompt="0" sourceFile="Falso">
      <textFields>
        <textField/>
      </textFields>
    </textPr>
  </connection>
  <connection id="74" xr16:uid="{00000000-0015-0000-FFFF-FFFF31000000}" name="Falso3" type="6" refreshedVersion="0" background="1">
    <textPr prompt="0" sourceFile="Falso">
      <textFields>
        <textField/>
      </textFields>
    </textPr>
  </connection>
  <connection id="75" xr16:uid="{00000000-0015-0000-FFFF-FFFF32000000}" name="Falso4" type="6" refreshedVersion="0" background="1">
    <textPr prompt="0" sourceFile="Falso">
      <textFields>
        <textField/>
      </textFields>
    </textPr>
  </connection>
  <connection id="76" xr16:uid="{00000000-0015-0000-FFFF-FFFF33000000}" name="Falso5" type="6" refreshedVersion="0" background="1">
    <textPr prompt="0" sourceFile="Falso">
      <textFields>
        <textField/>
      </textFields>
    </textPr>
  </connection>
  <connection id="77" xr16:uid="{00000000-0015-0000-FFFF-FFFF34000000}" name="Falso6" type="6" refreshedVersion="0" background="1">
    <textPr prompt="0" sourceFile="Falso">
      <textFields>
        <textField/>
      </textFields>
    </textPr>
  </connection>
  <connection id="78" xr16:uid="{00000000-0015-0000-FFFF-FFFF35000000}" name="Falso7" type="6" refreshedVersion="0" background="1">
    <textPr prompt="0" sourceFile="Falso">
      <textFields>
        <textField/>
      </textFields>
    </textPr>
  </connection>
  <connection id="79" xr16:uid="{00000000-0015-0000-FFFF-FFFF36000000}" name="Falso8" type="6" refreshedVersion="0" background="1">
    <textPr prompt="0" sourceFile="Falso">
      <textFields>
        <textField/>
      </textFields>
    </textPr>
  </connection>
  <connection id="80" xr16:uid="{00000000-0015-0000-FFFF-FFFF37000000}" name="Falso9" type="6" refreshedVersion="0" background="1">
    <textPr prompt="0" sourceFile="Falso">
      <textFields>
        <textField/>
      </textFields>
    </textPr>
  </connection>
  <connection id="81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4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5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6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<sst xmlns="http://schemas.openxmlformats.org/spreadsheetml/2006/main" count="691" uniqueCount="392">
  <si>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</si>
  <si>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</si>
  <si>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</si>
  <si>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</si>
  <si>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</si>
  <si>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</si>
  <si>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</si>
  <si>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</si>
  <si>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</si>
  <si>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</si>
  <si>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</si>
  <si>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</si>
  <si>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</si>
  <si>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</si>
  <si>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</si>
  <si>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</si>
  <si>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</si>
  <si>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</si>
  <si>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</si>
  <si>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</si>
  <si>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</si>
  <si>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</si>
  <si>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</si>
  <si>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</si>
  <si>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</si>
  <si>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</si>
  <si>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</si>
  <si>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</si>
  <si>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</si>
  <si>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</si>
  <si>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</si>
  <si>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</si>
  <si>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</si>
  <si>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</si>
  <si>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</si>
  <si>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</si>
  <si>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</si>
  <si>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</si>
  <si>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</si>
  <si>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</si>
  <si>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</si>
  <si>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</si>
  <si>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Veloc.
Vf</t>
  </si>
  <si>
    <t>Coletor m1
(l/s)</t>
  </si>
  <si>
    <t>Coletor m2
(l/s)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</si>
  <si>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</si>
  <si>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</si>
  <si>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</si>
  <si>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</si>
  <si>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</si>
  <si>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</si>
  <si>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QUADRO DE CONTRIBUIÇÕES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</si>
  <si>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</si>
  <si>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</si>
  <si>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</si>
  <si>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</si>
  <si>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</si>
  <si>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</si>
  <si>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</si>
  <si>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</si>
  <si>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</si>
  <si>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</si>
  <si>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</si>
  <si>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</si>
  <si>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</si>
  <si>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</si>
  <si>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</si>
  <si>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</si>
  <si>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</si>
  <si>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</si>
  <si>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</si>
  <si>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</si>
  <si>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</si>
  <si>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</si>
  <si>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</si>
  <si>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</si>
  <si>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</si>
  <si>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</si>
  <si>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</si>
  <si>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</si>
  <si>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</si>
  <si>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</si>
  <si>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</si>
  <si>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</si>
  <si>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</si>
  <si>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</si>
  <si>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</si>
  <si>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</si>
  <si>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</si>
  <si>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</si>
  <si>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</si>
  <si>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</si>
  <si>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</si>
  <si>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</si>
  <si>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</si>
  <si>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</si>
  <si>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</si>
  <si>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</si>
  <si>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</si>
  <si>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</si>
  <si>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</si>
  <si>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</si>
  <si>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</si>
  <si>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</si>
  <si>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</si>
  <si>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</si>
  <si>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</si>
  <si>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</si>
  <si>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</si>
  <si>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</si>
  <si>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</si>
  <si>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</si>
  <si>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</si>
  <si>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</si>
  <si>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</si>
  <si>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</si>
  <si>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</si>
  <si>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</si>
  <si>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</si>
  <si>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</si>
  <si>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</si>
  <si>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</si>
  <si>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</si>
  <si>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CI</t>
  </si>
  <si>
    <t>Tapadas</t>
  </si>
  <si>
    <t>No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</si>
  <si>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</si>
  <si>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</si>
  <si>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</si>
  <si>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</si>
  <si>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</si>
  <si>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</si>
  <si>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</si>
  <si>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</si>
  <si>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</si>
  <si>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</si>
  <si>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</si>
  <si>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</si>
  <si>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</si>
  <si>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r>
      <t xml:space="preserve">Fuerza trativa
</t>
    </r>
    <r>
      <rPr>
        <b/>
        <sz val="11"/>
        <color theme="1"/>
        <rFont val="Calibri"/>
        <family val="2"/>
      </rPr>
      <t>σ</t>
    </r>
  </si>
  <si>
    <t>aux 1</t>
  </si>
  <si>
    <t>Hierro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</si>
  <si>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</si>
  <si>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</si>
  <si>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</si>
  <si>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</si>
  <si>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</si>
  <si>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</si>
  <si>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</si>
  <si>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</si>
  <si>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</si>
  <si>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</si>
  <si>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</si>
  <si>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</si>
  <si>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</si>
  <si>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</si>
  <si>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</si>
  <si>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</si>
  <si>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</si>
  <si>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</si>
  <si>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</si>
  <si>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</si>
  <si>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</si>
  <si>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</si>
  <si>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</si>
  <si>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</si>
  <si>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</si>
  <si>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</si>
  <si>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</si>
  <si>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</si>
  <si>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Caixa Selecao</t>
  </si>
  <si>
    <t>Material Utilizado</t>
  </si>
  <si>
    <t>Verif.</t>
  </si>
  <si>
    <t>C.Manning n 
adoptado</t>
  </si>
  <si>
    <t>0,013</t>
  </si>
  <si>
    <t>0,027</t>
  </si>
  <si>
    <t>0,022</t>
  </si>
  <si>
    <t>0,033</t>
  </si>
  <si>
    <t>Si</t>
  </si>
  <si>
    <t>INÍCIO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</si>
  <si>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</si>
  <si>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</si>
  <si>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</si>
  <si>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</si>
  <si>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</si>
  <si>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</si>
  <si>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</si>
  <si>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</si>
  <si>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</si>
  <si>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</si>
  <si>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</si>
  <si>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</si>
  <si>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</si>
  <si>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</si>
  <si>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Área:</t>
  </si>
  <si>
    <t>Sub-Bacia:</t>
  </si>
  <si>
    <t>Data: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</si>
  <si>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</si>
  <si>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</si>
  <si>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</si>
  <si>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</si>
  <si>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</si>
  <si>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</si>
  <si>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</si>
  <si>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</si>
  <si>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</si>
  <si>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</si>
  <si>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</si>
  <si>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</si>
  <si>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VAZÃO total
FINAL DE PLANO
(l/s)</t>
  </si>
  <si>
    <t>VAZÃO total
INICIO DE PLANO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</si>
  <si>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</si>
  <si>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</si>
  <si>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</si>
  <si>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</si>
  <si>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</si>
  <si>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</si>
  <si>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</si>
  <si>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</si>
  <si>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</si>
  <si>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</si>
  <si>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</si>
  <si>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</si>
  <si>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</si>
  <si>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</si>
  <si>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</si>
  <si>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</si>
  <si>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Vazão de projecto Qmax
 (l/s)</t>
  </si>
  <si>
    <t>Lâmina Líquida
y
 (m)</t>
  </si>
  <si>
    <t>Tensão trativa
(Pa)</t>
  </si>
  <si>
    <t>Lâmina Líquida
y/do 
(%)</t>
  </si>
  <si>
    <t>Velocidade crítica 
Vc
(m/s)</t>
  </si>
  <si>
    <t>Velocidade (m/s)</t>
  </si>
  <si>
    <t>Vazão inicial
 Qi 
(l/s)</t>
  </si>
  <si>
    <t>Lâmina Líquida
 y         
 (m)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</si>
  <si>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</si>
  <si>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</si>
  <si>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</si>
  <si>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</si>
  <si>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</si>
  <si>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</si>
  <si>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>Projecto:</t>
  </si>
  <si>
    <t xml:space="preserve">Cidade:      </t>
  </si>
  <si>
    <t>PARÂMETROS BÁSICOS :</t>
  </si>
  <si>
    <t>Consumo per capita de agua</t>
  </si>
  <si>
    <t>Pop. início de plan</t>
  </si>
  <si>
    <t>Taxa Ocup        (hab/familia)</t>
  </si>
  <si>
    <t>Pop. final de plan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</si>
  <si>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</si>
  <si>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</si>
  <si>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</si>
  <si>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</si>
  <si>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</si>
  <si>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</si>
  <si>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</si>
  <si>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</si>
  <si>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</si>
  <si>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</si>
  <si>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</si>
  <si>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</si>
  <si>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</si>
  <si>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até 150</t>
  </si>
  <si>
    <t>até 200</t>
  </si>
  <si>
    <t>até 250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</si>
  <si>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</si>
  <si>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</si>
  <si>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</si>
  <si>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</si>
  <si>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</si>
  <si>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</si>
  <si>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</si>
  <si>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</si>
  <si>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</si>
  <si>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</si>
  <si>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</si>
  <si>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</si>
  <si>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</si>
  <si>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</si>
  <si>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VAZÃO total FINAL DE PLANO</t>
  </si>
  <si>
    <t>VAZÃO total INÍCIO DE PLANO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</si>
  <si>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</si>
  <si>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</si>
  <si>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</si>
  <si>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</si>
  <si>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</si>
  <si>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</si>
  <si>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MONTANTE do trecho (DISPOSITIVO DE INSPEÇÃO)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</si>
  <si>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</si>
  <si>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</si>
  <si>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</si>
  <si>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</si>
  <si>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</si>
  <si>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</si>
  <si>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</si>
  <si>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Vazão final 
Qf</t>
  </si>
  <si>
    <t>Lâmina 
y/do</t>
  </si>
  <si>
    <t>Vazão inicial 
Qi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</si>
  <si>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</si>
  <si>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</si>
  <si>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</si>
  <si>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</si>
  <si>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</si>
  <si>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</si>
  <si>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</si>
  <si>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aux ajuste prof</t>
  </si>
  <si>
    <t>FP</t>
  </si>
  <si>
    <t>SE(J15="";0;(SE(N15-M15&gt;(RedBasica!$W$5*(-1));ARREDONDAR.PARA.CIMA(N15-M15+(RedBasica!$W$5);2);0)))</t>
  </si>
  <si>
    <t>Fundo de CI ou PV</t>
  </si>
  <si>
    <t>Navegação</t>
  </si>
  <si>
    <t>FORÇAR PROFUNDIDADE  ponto JUSANTE do trecho
(m)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</si>
  <si>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</si>
  <si>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</si>
  <si>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</si>
  <si>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</si>
  <si>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>Pop. final de plano</t>
  </si>
  <si>
    <t>Pop. início de plano</t>
  </si>
  <si>
    <t xml:space="preserve">Taxa de ocupação </t>
  </si>
  <si>
    <t>Quantidade de residências - final de plano</t>
  </si>
  <si>
    <t>Quantidade de residências - início de plano</t>
  </si>
  <si>
    <t>Nº Ligações - final de plano</t>
  </si>
  <si>
    <t>Nº Ligações - início de plano</t>
  </si>
  <si>
    <t>Contribuições puntuais - Qe</t>
  </si>
  <si>
    <t>Quantidades de Qe - final de plano</t>
  </si>
  <si>
    <t>Quantidades de Qe - inicio de plano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</si>
  <si>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</si>
  <si>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</si>
  <si>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</si>
  <si>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Contribuição linear de esgoto ?</t>
  </si>
  <si>
    <t>Taxa de contribuição linear de esgoto - média (final)</t>
  </si>
  <si>
    <t>Taxa de contribuição linear de esgoto - média (inicial)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</si>
  <si>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</si>
  <si>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</si>
  <si>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</si>
  <si>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</si>
  <si>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</si>
  <si>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</si>
  <si>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</si>
  <si>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</si>
  <si>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</si>
  <si>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</si>
  <si>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</si>
  <si>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</si>
  <si>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</si>
  <si>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Tipo preferencial no trecho inicial do Coletor</t>
  </si>
  <si>
    <t>Degrau</t>
  </si>
  <si>
    <t>Desnível mínimo</t>
  </si>
  <si>
    <t>Degrau máximo sem tubo de queda</t>
  </si>
  <si>
    <t>AUTOR :</t>
  </si>
  <si>
    <t xml:space="preserve">CIDADE:      </t>
  </si>
  <si>
    <t>PROJECTO :</t>
  </si>
  <si>
    <t>DATA :</t>
  </si>
  <si>
    <t>MICROSSISTEMA :</t>
  </si>
  <si>
    <t>Sistema de Esgoto - Rede Básica</t>
  </si>
  <si>
    <t>bkp</t>
  </si>
  <si>
    <t>SE(B15=1;Parametros!$F$50;AJ14)</t>
  </si>
  <si>
    <t>QE_FP</t>
  </si>
  <si>
    <t>QE_IP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</si>
  <si>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</si>
  <si>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</si>
  <si>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</si>
  <si>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</si>
  <si>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</si>
  <si>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</si>
  <si>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</si>
  <si>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</si>
  <si>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</si>
  <si>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</si>
  <si>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</si>
  <si>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</si>
  <si>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</si>
  <si>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</si>
  <si>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</si>
  <si>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</si>
  <si>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</si>
  <si>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</si>
  <si>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</si>
  <si>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NA imp pt m m</t>
  </si>
  <si>
    <t>aux imp pt j Smi m</t>
  </si>
  <si>
    <t>H imp pt j Smi m</t>
  </si>
  <si>
    <t>aux i</t>
  </si>
  <si>
    <t>DN n mm</t>
  </si>
  <si>
    <t>DN ad mm</t>
  </si>
  <si>
    <t>DN ma calc mm</t>
  </si>
  <si>
    <t>1142 Qe =</t>
  </si>
  <si>
    <t>Planilha RedBasica</t>
  </si>
  <si>
    <t>Parâmetros de projeto</t>
  </si>
  <si>
    <t>Limpar planilha</t>
  </si>
  <si>
    <t>Imprimir Memória de Calculo - RedBasica</t>
  </si>
  <si>
    <t>Importar dados do QGIS (csv)</t>
  </si>
  <si>
    <t>Carregar planilha RedBasica</t>
  </si>
  <si>
    <t xml:space="preserve">Exportar resultados para o QGIS - Trechos (.csv) </t>
  </si>
  <si>
    <t xml:space="preserve">Exportar resultados para o QGIS - Nodos (.csv)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</si>
</sst>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</numFmts>
  <fonts count="93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9"/>
      <color theme="8" tint="-0.499984740745262"/>
      <name val="Tahoma"/>
      <family val="2"/>
    </font>
  </fonts>
  <fills count="9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31">
    <xf numFmtId="0" fontId="0" fillId="0" borderId="0" xfId="0"/>
    <xf numFmtId="0" fontId="27" fillId="0" borderId="0" xfId="81" applyFont="1" applyBorder="1" applyAlignment="1" applyProtection="1"/>
    <xf numFmtId="0" fontId="27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6" fillId="46" borderId="0" xfId="81" applyFont="1" applyFill="1" applyBorder="1" applyAlignment="1" applyProtection="1">
      <alignment horizontal="left"/>
    </xf>
    <xf numFmtId="0" fontId="28" fillId="46" borderId="0" xfId="81" applyFont="1" applyFill="1" applyBorder="1" applyAlignment="1" applyProtection="1"/>
    <xf numFmtId="0" fontId="27" fillId="46" borderId="0" xfId="81" applyFont="1" applyFill="1" applyBorder="1" applyAlignment="1"/>
    <xf numFmtId="0" fontId="37" fillId="46" borderId="0" xfId="81" applyFont="1" applyFill="1" applyBorder="1" applyAlignment="1" applyProtection="1">
      <alignment horizontal="center"/>
    </xf>
    <xf numFmtId="0" fontId="27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/>
    <xf numFmtId="0" fontId="0" fillId="46" borderId="0" xfId="0" applyFill="1"/>
    <xf numFmtId="0" fontId="27" fillId="0" borderId="0" xfId="80" applyFont="1" applyAlignment="1" applyProtection="1"/>
    <xf numFmtId="0" fontId="29" fillId="48" borderId="0" xfId="80" applyFont="1" applyFill="1" applyBorder="1" applyAlignment="1" applyProtection="1">
      <alignment horizontal="center"/>
    </xf>
    <xf numFmtId="0" fontId="29" fillId="48" borderId="0" xfId="80" applyFont="1" applyFill="1" applyBorder="1" applyAlignment="1" applyProtection="1">
      <alignment horizontal="left"/>
    </xf>
    <xf numFmtId="0" fontId="41" fillId="47" borderId="0" xfId="80" applyFill="1" applyBorder="1" applyAlignment="1"/>
    <xf numFmtId="0" fontId="27" fillId="47" borderId="0" xfId="80" applyFont="1" applyFill="1" applyBorder="1" applyAlignment="1" applyProtection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Border="1" applyAlignment="1" applyProtection="1"/>
    <xf numFmtId="4" fontId="27" fillId="0" borderId="0" xfId="80" applyNumberFormat="1" applyFont="1" applyAlignment="1" applyProtection="1"/>
    <xf numFmtId="0" fontId="26" fillId="47" borderId="14" xfId="80" quotePrefix="1" applyFont="1" applyFill="1" applyBorder="1" applyAlignment="1" applyProtection="1">
      <alignment horizontal="left" vertical="center"/>
    </xf>
    <xf numFmtId="0" fontId="29" fillId="47" borderId="14" xfId="80" applyFont="1" applyFill="1" applyBorder="1" applyAlignment="1" applyProtection="1">
      <alignment horizontal="center"/>
    </xf>
    <xf numFmtId="0" fontId="27" fillId="0" borderId="14" xfId="80" applyFont="1" applyBorder="1" applyAlignment="1" applyProtection="1"/>
    <xf numFmtId="0" fontId="49" fillId="47" borderId="14" xfId="80" applyFont="1" applyFill="1" applyBorder="1" applyAlignment="1"/>
    <xf numFmtId="0" fontId="35" fillId="47" borderId="14" xfId="80" applyFont="1" applyFill="1" applyBorder="1" applyAlignment="1" applyProtection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 applyProtection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left" vertical="center" wrapText="1"/>
    </xf>
    <xf numFmtId="166" fontId="35" fillId="0" borderId="15" xfId="80" applyNumberFormat="1" applyFont="1" applyFill="1" applyBorder="1" applyAlignment="1" applyProtection="1">
      <alignment horizontal="center" vertical="center"/>
      <protection locked="0"/>
    </xf>
    <xf numFmtId="1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center" vertical="center"/>
      <protection locked="0"/>
    </xf>
    <xf numFmtId="0" fontId="27" fillId="0" borderId="0" xfId="80" applyFont="1" applyBorder="1" applyAlignment="1" applyProtection="1"/>
    <xf numFmtId="168" fontId="35" fillId="0" borderId="16" xfId="80" applyNumberFormat="1" applyFont="1" applyFill="1" applyBorder="1" applyAlignment="1" applyProtection="1">
      <alignment horizontal="center" vertical="center"/>
      <protection locked="0"/>
    </xf>
    <xf numFmtId="175" fontId="35" fillId="0" borderId="15" xfId="98" applyNumberFormat="1" applyFont="1" applyFill="1" applyBorder="1" applyAlignment="1" applyProtection="1">
      <alignment horizontal="center" vertical="center"/>
      <protection locked="0"/>
    </xf>
    <xf numFmtId="9" fontId="35" fillId="0" borderId="15" xfId="88" applyFont="1" applyFill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 applyProtection="1"/>
    <xf numFmtId="0" fontId="29" fillId="0" borderId="0" xfId="80" applyFont="1" applyFill="1" applyBorder="1" applyAlignment="1" applyProtection="1">
      <alignment horizontal="center"/>
    </xf>
    <xf numFmtId="0" fontId="26" fillId="47" borderId="14" xfId="80" applyFont="1" applyFill="1" applyBorder="1" applyAlignment="1" applyProtection="1">
      <alignment horizontal="left" vertical="center"/>
    </xf>
    <xf numFmtId="0" fontId="34" fillId="0" borderId="24" xfId="80" applyFont="1" applyFill="1" applyBorder="1" applyAlignment="1" applyProtection="1">
      <alignment horizontal="center" wrapText="1"/>
    </xf>
    <xf numFmtId="0" fontId="31" fillId="47" borderId="0" xfId="80" applyFont="1" applyFill="1" applyBorder="1" applyAlignment="1" applyProtection="1">
      <alignment horizontal="left" vertical="center"/>
    </xf>
    <xf numFmtId="189" fontId="44" fillId="0" borderId="15" xfId="110" applyNumberFormat="1" applyFill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3" fillId="50" borderId="0" xfId="81" applyFont="1" applyFill="1" applyBorder="1" applyAlignment="1" applyProtection="1"/>
    <xf numFmtId="0" fontId="27" fillId="51" borderId="0" xfId="81" applyFont="1" applyFill="1" applyBorder="1" applyAlignment="1" applyProtection="1"/>
    <xf numFmtId="0" fontId="27" fillId="50" borderId="0" xfId="81" applyFont="1" applyFill="1" applyBorder="1" applyAlignment="1" applyProtection="1"/>
    <xf numFmtId="2" fontId="34" fillId="52" borderId="0" xfId="81" applyNumberFormat="1" applyFont="1" applyFill="1" applyBorder="1" applyAlignment="1" applyProtection="1">
      <alignment horizontal="center" vertical="center"/>
    </xf>
    <xf numFmtId="0" fontId="35" fillId="0" borderId="15" xfId="80" applyFont="1" applyFill="1" applyBorder="1" applyAlignment="1" applyProtection="1">
      <alignment horizontal="center" vertical="center" wrapText="1"/>
    </xf>
    <xf numFmtId="0" fontId="57" fillId="50" borderId="0" xfId="81" applyFont="1" applyFill="1" applyBorder="1" applyAlignment="1" applyProtection="1">
      <alignment vertical="center"/>
    </xf>
    <xf numFmtId="0" fontId="60" fillId="0" borderId="15" xfId="80" applyFont="1" applyFill="1" applyBorder="1" applyAlignment="1" applyProtection="1">
      <alignment horizontal="center" vertical="center" wrapText="1"/>
    </xf>
    <xf numFmtId="174" fontId="32" fillId="47" borderId="26" xfId="80" applyNumberFormat="1" applyFont="1" applyFill="1" applyBorder="1" applyAlignment="1" applyProtection="1">
      <alignment horizontal="left"/>
    </xf>
    <xf numFmtId="0" fontId="39" fillId="0" borderId="15" xfId="80" applyFont="1" applyFill="1" applyBorder="1" applyAlignment="1" applyProtection="1">
      <alignment horizontal="center" vertical="center" wrapText="1"/>
    </xf>
    <xf numFmtId="0" fontId="26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3" fillId="51" borderId="0" xfId="80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 applyProtection="1"/>
    <xf numFmtId="0" fontId="28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190" fontId="29" fillId="45" borderId="0" xfId="81" applyNumberFormat="1" applyFont="1" applyFill="1" applyBorder="1" applyAlignment="1" applyProtection="1">
      <alignment horizontal="left"/>
    </xf>
    <xf numFmtId="190" fontId="27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4" fillId="0" borderId="15" xfId="81" applyNumberFormat="1" applyFont="1" applyFill="1" applyBorder="1" applyAlignment="1" applyProtection="1">
      <alignment horizontal="center"/>
      <protection hidden="1"/>
    </xf>
    <xf numFmtId="184" fontId="34" fillId="0" borderId="15" xfId="99" applyNumberFormat="1" applyFont="1" applyFill="1" applyBorder="1" applyAlignment="1" applyProtection="1">
      <alignment horizontal="right"/>
      <protection hidden="1"/>
    </xf>
    <xf numFmtId="167" fontId="34" fillId="0" borderId="15" xfId="81" applyNumberFormat="1" applyFont="1" applyFill="1" applyBorder="1" applyAlignment="1" applyProtection="1">
      <protection hidden="1"/>
    </xf>
    <xf numFmtId="40" fontId="34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right"/>
      <protection hidden="1"/>
    </xf>
    <xf numFmtId="170" fontId="34" fillId="0" borderId="15" xfId="99" applyNumberFormat="1" applyFont="1" applyFill="1" applyBorder="1" applyAlignment="1" applyProtection="1">
      <alignment horizontal="right"/>
      <protection hidden="1"/>
    </xf>
    <xf numFmtId="170" fontId="50" fillId="0" borderId="15" xfId="99" applyNumberFormat="1" applyFont="1" applyFill="1" applyBorder="1" applyAlignment="1" applyProtection="1">
      <alignment horizontal="right"/>
      <protection hidden="1"/>
    </xf>
    <xf numFmtId="188" fontId="34" fillId="0" borderId="15" xfId="99" applyNumberFormat="1" applyFont="1" applyFill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Fill="1" applyBorder="1" applyAlignment="1" applyProtection="1">
      <alignment horizontal="right"/>
      <protection hidden="1"/>
    </xf>
    <xf numFmtId="4" fontId="35" fillId="0" borderId="15" xfId="80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Protection="1">
      <protection hidden="1"/>
    </xf>
    <xf numFmtId="170" fontId="35" fillId="0" borderId="15" xfId="98" applyNumberFormat="1" applyFont="1" applyFill="1" applyBorder="1" applyAlignment="1" applyProtection="1">
      <alignment horizontal="right"/>
      <protection hidden="1"/>
    </xf>
    <xf numFmtId="1" fontId="35" fillId="0" borderId="15" xfId="80" applyNumberFormat="1" applyFont="1" applyFill="1" applyBorder="1" applyAlignment="1" applyProtection="1">
      <protection hidden="1"/>
    </xf>
    <xf numFmtId="9" fontId="35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Fill="1" applyBorder="1" applyAlignment="1" applyProtection="1">
      <alignment horizontal="center"/>
      <protection hidden="1"/>
    </xf>
    <xf numFmtId="4" fontId="34" fillId="0" borderId="15" xfId="81" applyNumberFormat="1" applyFont="1" applyFill="1" applyBorder="1" applyAlignment="1" applyProtection="1">
      <protection hidden="1"/>
    </xf>
    <xf numFmtId="4" fontId="34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7" fillId="50" borderId="25" xfId="81" applyFont="1" applyFill="1" applyBorder="1" applyAlignment="1" applyProtection="1"/>
    <xf numFmtId="0" fontId="42" fillId="50" borderId="0" xfId="81" applyFont="1" applyFill="1" applyBorder="1" applyAlignment="1" applyProtection="1">
      <alignment horizontal="center"/>
      <protection hidden="1"/>
    </xf>
    <xf numFmtId="40" fontId="34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7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4" fillId="51" borderId="0" xfId="78" applyFont="1" applyFill="1"/>
    <xf numFmtId="0" fontId="6" fillId="51" borderId="0" xfId="78" applyFill="1"/>
    <xf numFmtId="0" fontId="27" fillId="0" borderId="0" xfId="80" applyFont="1" applyBorder="1" applyAlignment="1" applyProtection="1">
      <protection hidden="1"/>
    </xf>
    <xf numFmtId="173" fontId="27" fillId="0" borderId="0" xfId="80" applyNumberFormat="1" applyFont="1" applyBorder="1" applyAlignment="1" applyProtection="1">
      <protection hidden="1"/>
    </xf>
    <xf numFmtId="4" fontId="27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0" fillId="0" borderId="0" xfId="0" applyNumberFormat="1" applyFont="1" applyFill="1" applyBorder="1" applyAlignment="1" applyProtection="1">
      <alignment horizontal="right" vertical="center"/>
      <protection hidden="1"/>
    </xf>
    <xf numFmtId="2" fontId="27" fillId="0" borderId="0" xfId="0" applyNumberFormat="1" applyFont="1" applyFill="1" applyBorder="1" applyAlignment="1" applyProtection="1">
      <alignment horizontal="center"/>
      <protection hidden="1"/>
    </xf>
    <xf numFmtId="1" fontId="27" fillId="0" borderId="0" xfId="0" applyNumberFormat="1" applyFont="1" applyFill="1" applyBorder="1" applyAlignment="1" applyProtection="1">
      <alignment horizontal="center"/>
      <protection hidden="1"/>
    </xf>
    <xf numFmtId="168" fontId="27" fillId="0" borderId="0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82" fontId="27" fillId="0" borderId="0" xfId="110" applyNumberFormat="1" applyFont="1" applyFill="1" applyBorder="1" applyAlignment="1" applyProtection="1">
      <alignment horizontal="right"/>
      <protection hidden="1"/>
    </xf>
    <xf numFmtId="173" fontId="27" fillId="0" borderId="0" xfId="86" applyNumberFormat="1" applyFont="1" applyFill="1" applyBorder="1" applyAlignment="1" applyProtection="1">
      <alignment horizontal="center"/>
      <protection hidden="1"/>
    </xf>
    <xf numFmtId="40" fontId="27" fillId="0" borderId="0" xfId="99" applyNumberFormat="1" applyFont="1" applyFill="1" applyBorder="1" applyAlignment="1" applyProtection="1">
      <alignment horizontal="right"/>
      <protection hidden="1"/>
    </xf>
    <xf numFmtId="1" fontId="55" fillId="52" borderId="0" xfId="81" applyNumberFormat="1" applyFont="1" applyFill="1" applyBorder="1" applyAlignment="1" applyProtection="1">
      <alignment horizontal="center" vertical="center"/>
    </xf>
    <xf numFmtId="0" fontId="27" fillId="51" borderId="25" xfId="81" applyFont="1" applyFill="1" applyBorder="1" applyAlignment="1" applyProtection="1">
      <alignment vertical="center"/>
    </xf>
    <xf numFmtId="0" fontId="27" fillId="51" borderId="0" xfId="81" applyFont="1" applyFill="1" applyBorder="1" applyAlignment="1" applyProtection="1">
      <alignment vertical="center"/>
    </xf>
    <xf numFmtId="0" fontId="27" fillId="51" borderId="23" xfId="81" applyFont="1" applyFill="1" applyBorder="1" applyAlignment="1" applyProtection="1">
      <alignment vertical="center"/>
    </xf>
    <xf numFmtId="0" fontId="27" fillId="51" borderId="25" xfId="81" applyFont="1" applyFill="1" applyBorder="1" applyAlignment="1" applyProtection="1"/>
    <xf numFmtId="0" fontId="27" fillId="51" borderId="24" xfId="81" applyFont="1" applyFill="1" applyBorder="1" applyAlignment="1" applyProtection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Border="1" applyAlignment="1" applyProtection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7" fillId="50" borderId="24" xfId="81" applyFont="1" applyFill="1" applyBorder="1" applyAlignment="1" applyProtection="1">
      <alignment vertical="center"/>
    </xf>
    <xf numFmtId="0" fontId="67" fillId="61" borderId="30" xfId="82" applyFont="1" applyFill="1" applyBorder="1" applyAlignment="1" applyProtection="1">
      <alignment horizontal="left" vertical="center" wrapText="1"/>
    </xf>
    <xf numFmtId="0" fontId="68" fillId="61" borderId="29" xfId="81" applyFont="1" applyFill="1" applyBorder="1" applyAlignment="1" applyProtection="1"/>
    <xf numFmtId="0" fontId="68" fillId="64" borderId="29" xfId="81" applyFont="1" applyFill="1" applyBorder="1" applyAlignment="1" applyProtection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 applyProtection="1">
      <alignment vertical="center"/>
    </xf>
    <xf numFmtId="0" fontId="58" fillId="50" borderId="0" xfId="81" applyFont="1" applyFill="1" applyBorder="1" applyAlignment="1" applyProtection="1">
      <alignment vertical="center"/>
    </xf>
    <xf numFmtId="0" fontId="26" fillId="46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169" fontId="34" fillId="0" borderId="20" xfId="99" applyNumberFormat="1" applyFont="1" applyFill="1" applyBorder="1" applyAlignment="1" applyProtection="1">
      <alignment horizontal="center" vertical="center"/>
    </xf>
    <xf numFmtId="40" fontId="35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4" fillId="63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Border="1" applyAlignment="1" applyProtection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Border="1" applyAlignment="1" applyProtection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5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2" fillId="67" borderId="0" xfId="81" applyFont="1" applyFill="1" applyBorder="1" applyAlignment="1" applyProtection="1">
      <alignment wrapText="1"/>
    </xf>
    <xf numFmtId="171" fontId="34" fillId="51" borderId="15" xfId="81" applyNumberFormat="1" applyFont="1" applyFill="1" applyBorder="1" applyAlignment="1" applyProtection="1">
      <protection hidden="1"/>
    </xf>
    <xf numFmtId="181" fontId="44" fillId="50" borderId="0" xfId="81" applyNumberFormat="1" applyFont="1" applyFill="1" applyBorder="1" applyAlignment="1" applyProtection="1">
      <alignment horizontal="center" vertical="center"/>
    </xf>
    <xf numFmtId="0" fontId="27" fillId="51" borderId="0" xfId="80" applyFont="1" applyFill="1" applyBorder="1" applyAlignment="1" applyProtection="1">
      <protection locked="0"/>
    </xf>
    <xf numFmtId="0" fontId="27" fillId="51" borderId="0" xfId="80" applyFont="1" applyFill="1" applyBorder="1" applyAlignment="1" applyProtection="1"/>
    <xf numFmtId="37" fontId="59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6" fillId="51" borderId="0" xfId="82" applyNumberFormat="1" applyFont="1" applyFill="1" applyBorder="1" applyAlignment="1">
      <alignment horizontal="center" vertical="center"/>
    </xf>
    <xf numFmtId="2" fontId="34" fillId="63" borderId="0" xfId="81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 vertical="center"/>
    </xf>
    <xf numFmtId="9" fontId="34" fillId="52" borderId="0" xfId="86" applyFont="1" applyFill="1" applyBorder="1" applyAlignment="1" applyProtection="1">
      <alignment horizontal="center" vertical="center"/>
    </xf>
    <xf numFmtId="0" fontId="38" fillId="50" borderId="0" xfId="81" applyFont="1" applyFill="1" applyBorder="1" applyAlignment="1" applyProtection="1">
      <alignment horizontal="center" vertical="center"/>
    </xf>
    <xf numFmtId="0" fontId="34" fillId="51" borderId="0" xfId="81" applyFont="1" applyFill="1" applyBorder="1" applyAlignment="1" applyProtection="1"/>
    <xf numFmtId="0" fontId="34" fillId="52" borderId="0" xfId="81" applyFont="1" applyFill="1" applyBorder="1" applyAlignment="1" applyProtection="1">
      <alignment horizontal="center" vertical="center"/>
    </xf>
    <xf numFmtId="2" fontId="34" fillId="52" borderId="0" xfId="81" applyNumberFormat="1" applyFont="1" applyFill="1" applyBorder="1" applyAlignment="1" applyProtection="1">
      <alignment horizontal="center"/>
    </xf>
    <xf numFmtId="0" fontId="34" fillId="0" borderId="0" xfId="0" applyFont="1" applyAlignment="1">
      <alignment vertical="center"/>
    </xf>
    <xf numFmtId="171" fontId="34" fillId="63" borderId="0" xfId="81" applyNumberFormat="1" applyFont="1" applyFill="1" applyBorder="1" applyAlignment="1" applyProtection="1">
      <alignment horizontal="center" vertical="center"/>
    </xf>
    <xf numFmtId="173" fontId="69" fillId="63" borderId="0" xfId="86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/>
    </xf>
    <xf numFmtId="9" fontId="34" fillId="63" borderId="0" xfId="86" applyFont="1" applyFill="1" applyBorder="1" applyAlignment="1" applyProtection="1">
      <alignment horizontal="center" vertical="center"/>
    </xf>
    <xf numFmtId="9" fontId="34" fillId="46" borderId="22" xfId="86" applyNumberFormat="1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4" fillId="68" borderId="0" xfId="0" applyFont="1" applyFill="1" applyBorder="1"/>
    <xf numFmtId="0" fontId="75" fillId="68" borderId="0" xfId="0" applyFont="1" applyFill="1" applyBorder="1" applyAlignment="1">
      <alignment vertical="center"/>
    </xf>
    <xf numFmtId="0" fontId="6" fillId="69" borderId="0" xfId="0" applyFont="1" applyFill="1" applyBorder="1"/>
    <xf numFmtId="0" fontId="6" fillId="70" borderId="0" xfId="0" applyFont="1" applyFill="1" applyBorder="1"/>
    <xf numFmtId="0" fontId="6" fillId="69" borderId="0" xfId="0" applyFont="1" applyFill="1" applyBorder="1" applyAlignment="1">
      <alignment vertical="center"/>
    </xf>
    <xf numFmtId="0" fontId="73" fillId="69" borderId="0" xfId="0" applyFont="1" applyFill="1" applyBorder="1" applyAlignment="1">
      <alignment vertical="center"/>
    </xf>
    <xf numFmtId="0" fontId="6" fillId="69" borderId="0" xfId="0" applyFont="1" applyFill="1" applyBorder="1" applyAlignment="1">
      <alignment horizontal="center" vertical="center"/>
    </xf>
    <xf numFmtId="0" fontId="6" fillId="70" borderId="0" xfId="0" applyFont="1" applyFill="1" applyBorder="1" applyAlignment="1">
      <alignment vertical="center"/>
    </xf>
    <xf numFmtId="0" fontId="6" fillId="69" borderId="0" xfId="0" applyFont="1" applyFill="1" applyBorder="1" applyAlignment="1">
      <alignment horizontal="center"/>
    </xf>
    <xf numFmtId="0" fontId="76" fillId="69" borderId="0" xfId="0" applyFont="1" applyFill="1" applyBorder="1" applyAlignment="1">
      <alignment horizontal="left" vertical="center"/>
    </xf>
    <xf numFmtId="0" fontId="54" fillId="69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1" borderId="0" xfId="0" applyFont="1" applyFill="1" applyBorder="1"/>
    <xf numFmtId="0" fontId="38" fillId="58" borderId="35" xfId="81" applyFont="1" applyFill="1" applyBorder="1" applyAlignment="1" applyProtection="1">
      <alignment horizontal="center" vertical="center" wrapText="1"/>
    </xf>
    <xf numFmtId="0" fontId="38" fillId="56" borderId="50" xfId="81" applyFont="1" applyFill="1" applyBorder="1" applyAlignment="1" applyProtection="1">
      <alignment horizontal="center" vertical="center" wrapText="1"/>
    </xf>
    <xf numFmtId="0" fontId="78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69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8" fillId="0" borderId="0" xfId="0" applyNumberFormat="1" applyFont="1" applyFill="1"/>
    <xf numFmtId="2" fontId="58" fillId="0" borderId="0" xfId="0" applyNumberFormat="1" applyFont="1" applyFill="1"/>
    <xf numFmtId="2" fontId="58" fillId="0" borderId="0" xfId="0" applyNumberFormat="1" applyFont="1" applyFill="1" applyAlignment="1">
      <alignment vertical="center"/>
    </xf>
    <xf numFmtId="1" fontId="58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29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3" fillId="51" borderId="0" xfId="80" applyNumberFormat="1" applyFont="1" applyFill="1" applyBorder="1" applyAlignment="1" applyProtection="1">
      <alignment horizontal="left" vertical="center"/>
    </xf>
    <xf numFmtId="49" fontId="27" fillId="51" borderId="0" xfId="80" applyNumberFormat="1" applyFont="1" applyFill="1" applyAlignment="1" applyProtection="1"/>
    <xf numFmtId="49" fontId="70" fillId="51" borderId="0" xfId="80" applyNumberFormat="1" applyFont="1" applyFill="1" applyBorder="1" applyAlignment="1" applyProtection="1">
      <alignment horizontal="left" vertical="center"/>
    </xf>
    <xf numFmtId="49" fontId="36" fillId="46" borderId="0" xfId="81" applyNumberFormat="1" applyFont="1" applyFill="1" applyBorder="1" applyAlignment="1" applyProtection="1">
      <alignment horizontal="center"/>
    </xf>
    <xf numFmtId="49" fontId="27" fillId="51" borderId="0" xfId="81" applyNumberFormat="1" applyFont="1" applyFill="1" applyBorder="1" applyAlignment="1" applyProtection="1"/>
    <xf numFmtId="0" fontId="79" fillId="0" borderId="0" xfId="0" applyFont="1"/>
    <xf numFmtId="0" fontId="58" fillId="0" borderId="0" xfId="0" applyFont="1"/>
    <xf numFmtId="49" fontId="31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7" fillId="67" borderId="0" xfId="81" applyFont="1" applyFill="1" applyBorder="1" applyAlignment="1" applyProtection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0" borderId="27" xfId="81" applyFont="1" applyFill="1" applyBorder="1" applyAlignment="1" applyProtection="1">
      <alignment horizontal="center" vertical="center" wrapText="1"/>
    </xf>
    <xf numFmtId="0" fontId="27" fillId="73" borderId="17" xfId="81" applyFont="1" applyFill="1" applyBorder="1" applyAlignment="1" applyProtection="1"/>
    <xf numFmtId="0" fontId="27" fillId="73" borderId="18" xfId="81" applyFont="1" applyFill="1" applyBorder="1" applyAlignment="1" applyProtection="1"/>
    <xf numFmtId="0" fontId="27" fillId="73" borderId="16" xfId="81" applyFont="1" applyFill="1" applyBorder="1" applyAlignment="1" applyProtection="1">
      <alignment horizontal="center" vertical="center"/>
    </xf>
    <xf numFmtId="190" fontId="38" fillId="60" borderId="46" xfId="81" applyNumberFormat="1" applyFont="1" applyFill="1" applyBorder="1" applyAlignment="1" applyProtection="1">
      <alignment horizontal="center" vertical="center" wrapText="1"/>
    </xf>
    <xf numFmtId="190" fontId="38" fillId="75" borderId="46" xfId="81" applyNumberFormat="1" applyFont="1" applyFill="1" applyBorder="1" applyAlignment="1" applyProtection="1">
      <alignment horizontal="center" vertical="center" wrapText="1"/>
    </xf>
    <xf numFmtId="1" fontId="69" fillId="0" borderId="15" xfId="81" applyNumberFormat="1" applyFont="1" applyFill="1" applyBorder="1" applyAlignment="1" applyProtection="1">
      <alignment horizontal="center"/>
      <protection hidden="1"/>
    </xf>
    <xf numFmtId="190" fontId="34" fillId="0" borderId="15" xfId="81" applyNumberFormat="1" applyFont="1" applyFill="1" applyBorder="1" applyAlignment="1" applyProtection="1">
      <alignment horizontal="center"/>
      <protection hidden="1"/>
    </xf>
    <xf numFmtId="0" fontId="34" fillId="0" borderId="15" xfId="81" applyNumberFormat="1" applyFont="1" applyFill="1" applyBorder="1" applyAlignment="1" applyProtection="1">
      <alignment horizontal="center"/>
      <protection hidden="1"/>
    </xf>
    <xf numFmtId="2" fontId="69" fillId="0" borderId="15" xfId="81" applyNumberFormat="1" applyFont="1" applyFill="1" applyBorder="1" applyAlignment="1" applyProtection="1">
      <protection hidden="1"/>
    </xf>
    <xf numFmtId="2" fontId="29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7" fillId="51" borderId="0" xfId="80" applyNumberFormat="1" applyFont="1" applyFill="1" applyBorder="1" applyAlignment="1" applyProtection="1">
      <protection locked="0"/>
    </xf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 applyBorder="1" applyAlignment="1" applyProtection="1"/>
    <xf numFmtId="167" fontId="35" fillId="0" borderId="15" xfId="80" applyNumberFormat="1" applyFont="1" applyFill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7" borderId="0" xfId="81" applyFont="1" applyFill="1" applyBorder="1" applyAlignment="1" applyProtection="1">
      <alignment horizontal="center"/>
    </xf>
    <xf numFmtId="0" fontId="27" fillId="67" borderId="0" xfId="81" applyFont="1" applyFill="1" applyBorder="1" applyAlignment="1">
      <alignment horizontal="center"/>
    </xf>
    <xf numFmtId="0" fontId="0" fillId="67" borderId="0" xfId="0" applyFill="1"/>
    <xf numFmtId="0" fontId="27" fillId="78" borderId="24" xfId="80" applyFont="1" applyFill="1" applyBorder="1" applyAlignment="1" applyProtection="1"/>
    <xf numFmtId="166" fontId="39" fillId="78" borderId="0" xfId="82" applyNumberFormat="1" applyFont="1" applyFill="1" applyBorder="1" applyAlignment="1" applyProtection="1">
      <alignment horizontal="right" vertical="center"/>
    </xf>
    <xf numFmtId="191" fontId="39" fillId="78" borderId="0" xfId="82" applyNumberFormat="1" applyFont="1" applyFill="1" applyBorder="1" applyAlignment="1" applyProtection="1">
      <alignment horizontal="center" vertical="center"/>
    </xf>
    <xf numFmtId="185" fontId="39" fillId="78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 applyProtection="1"/>
    <xf numFmtId="0" fontId="80" fillId="53" borderId="24" xfId="80" applyFont="1" applyFill="1" applyBorder="1" applyAlignment="1" applyProtection="1"/>
    <xf numFmtId="0" fontId="80" fillId="53" borderId="0" xfId="80" applyFont="1" applyFill="1" applyBorder="1" applyAlignment="1" applyProtection="1">
      <protection locked="0"/>
    </xf>
    <xf numFmtId="0" fontId="71" fillId="73" borderId="28" xfId="81" applyFont="1" applyFill="1" applyBorder="1" applyAlignment="1" applyProtection="1">
      <alignment horizontal="left" vertical="center"/>
    </xf>
    <xf numFmtId="0" fontId="72" fillId="79" borderId="29" xfId="81" applyFont="1" applyFill="1" applyBorder="1" applyAlignment="1" applyProtection="1"/>
    <xf numFmtId="0" fontId="72" fillId="79" borderId="30" xfId="82" applyFont="1" applyFill="1" applyBorder="1" applyAlignment="1" applyProtection="1">
      <alignment horizontal="left" vertical="center" wrapText="1"/>
    </xf>
    <xf numFmtId="0" fontId="72" fillId="73" borderId="29" xfId="81" applyFont="1" applyFill="1" applyBorder="1" applyAlignment="1" applyProtection="1">
      <alignment horizontal="left" vertical="center"/>
    </xf>
    <xf numFmtId="0" fontId="72" fillId="79" borderId="30" xfId="81" applyFont="1" applyFill="1" applyBorder="1" applyAlignment="1" applyProtection="1"/>
    <xf numFmtId="187" fontId="39" fillId="53" borderId="0" xfId="82" applyNumberFormat="1" applyFont="1" applyFill="1" applyBorder="1" applyAlignment="1" applyProtection="1">
      <alignment horizontal="center" vertical="center"/>
    </xf>
    <xf numFmtId="0" fontId="38" fillId="53" borderId="0" xfId="82" applyFont="1" applyFill="1" applyBorder="1" applyAlignment="1" applyProtection="1">
      <alignment horizontal="center" vertical="center" wrapText="1"/>
    </xf>
    <xf numFmtId="187" fontId="38" fillId="53" borderId="0" xfId="82" applyNumberFormat="1" applyFont="1" applyFill="1" applyBorder="1" applyAlignment="1" applyProtection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7" borderId="0" xfId="80" applyFill="1" applyAlignment="1"/>
    <xf numFmtId="0" fontId="60" fillId="65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4" fillId="52" borderId="0" xfId="81" applyNumberFormat="1" applyFont="1" applyFill="1" applyBorder="1" applyAlignment="1" applyProtection="1">
      <alignment horizontal="center" vertical="center"/>
    </xf>
    <xf numFmtId="167" fontId="34" fillId="52" borderId="0" xfId="86" applyNumberFormat="1" applyFont="1" applyFill="1" applyBorder="1" applyAlignment="1" applyProtection="1">
      <alignment horizontal="center" vertical="center"/>
    </xf>
    <xf numFmtId="0" fontId="34" fillId="49" borderId="0" xfId="0" applyFont="1" applyFill="1" applyBorder="1" applyAlignment="1" applyProtection="1">
      <alignment horizontal="center"/>
      <protection hidden="1"/>
    </xf>
    <xf numFmtId="168" fontId="34" fillId="52" borderId="0" xfId="81" applyNumberFormat="1" applyFont="1" applyFill="1" applyBorder="1" applyAlignment="1" applyProtection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5" xfId="81" applyFont="1" applyFill="1" applyBorder="1" applyAlignment="1" applyProtection="1">
      <alignment horizontal="center" vertical="center" wrapText="1"/>
    </xf>
    <xf numFmtId="0" fontId="59" fillId="55" borderId="47" xfId="81" applyFont="1" applyFill="1" applyBorder="1" applyAlignment="1" applyProtection="1">
      <alignment horizontal="center" vertical="center" wrapText="1"/>
    </xf>
    <xf numFmtId="0" fontId="59" fillId="55" borderId="58" xfId="81" applyFont="1" applyFill="1" applyBorder="1" applyAlignment="1" applyProtection="1">
      <alignment horizontal="center" vertical="center" wrapText="1"/>
    </xf>
    <xf numFmtId="0" fontId="59" fillId="56" borderId="47" xfId="81" applyFont="1" applyFill="1" applyBorder="1" applyAlignment="1" applyProtection="1">
      <alignment horizontal="center" vertical="center" wrapText="1"/>
    </xf>
    <xf numFmtId="0" fontId="59" fillId="55" borderId="55" xfId="81" applyFont="1" applyFill="1" applyBorder="1" applyAlignment="1" applyProtection="1">
      <alignment horizontal="center" vertical="center" wrapText="1"/>
    </xf>
    <xf numFmtId="0" fontId="59" fillId="56" borderId="48" xfId="81" applyFont="1" applyFill="1" applyBorder="1" applyAlignment="1" applyProtection="1">
      <alignment horizontal="center" vertical="center" wrapText="1"/>
    </xf>
    <xf numFmtId="190" fontId="59" fillId="60" borderId="46" xfId="81" applyNumberFormat="1" applyFont="1" applyFill="1" applyBorder="1" applyAlignment="1" applyProtection="1">
      <alignment horizontal="center" vertical="center" wrapText="1"/>
    </xf>
    <xf numFmtId="0" fontId="82" fillId="64" borderId="28" xfId="81" applyFont="1" applyFill="1" applyBorder="1" applyAlignment="1" applyProtection="1">
      <alignment horizontal="left" vertical="center"/>
    </xf>
    <xf numFmtId="0" fontId="83" fillId="50" borderId="0" xfId="81" applyFont="1" applyFill="1" applyBorder="1" applyAlignment="1" applyProtection="1">
      <alignment vertical="center"/>
    </xf>
    <xf numFmtId="2" fontId="85" fillId="51" borderId="0" xfId="81" applyNumberFormat="1" applyFont="1" applyFill="1" applyBorder="1" applyAlignment="1" applyProtection="1">
      <alignment horizontal="center"/>
    </xf>
    <xf numFmtId="0" fontId="44" fillId="51" borderId="0" xfId="81" applyFont="1" applyFill="1" applyBorder="1" applyAlignment="1" applyProtection="1">
      <alignment horizontal="center"/>
    </xf>
    <xf numFmtId="0" fontId="28" fillId="67" borderId="0" xfId="81" applyFont="1" applyFill="1" applyBorder="1" applyAlignment="1"/>
    <xf numFmtId="0" fontId="38" fillId="59" borderId="50" xfId="81" applyFont="1" applyFill="1" applyBorder="1" applyAlignment="1" applyProtection="1">
      <alignment horizontal="center" vertical="center" wrapText="1"/>
    </xf>
    <xf numFmtId="167" fontId="34" fillId="0" borderId="15" xfId="81" applyNumberFormat="1" applyFont="1" applyBorder="1" applyAlignment="1" applyProtection="1">
      <protection hidden="1"/>
    </xf>
    <xf numFmtId="4" fontId="34" fillId="0" borderId="15" xfId="81" applyNumberFormat="1" applyFont="1" applyBorder="1" applyAlignment="1" applyProtection="1">
      <protection hidden="1"/>
    </xf>
    <xf numFmtId="0" fontId="35" fillId="0" borderId="22" xfId="80" applyFont="1" applyFill="1" applyBorder="1" applyAlignment="1" applyProtection="1">
      <alignment horizontal="left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80" fillId="0" borderId="0" xfId="80" applyFont="1" applyAlignment="1" applyProtection="1"/>
    <xf numFmtId="0" fontId="86" fillId="0" borderId="0" xfId="80" applyFont="1" applyAlignment="1" applyProtection="1"/>
    <xf numFmtId="0" fontId="80" fillId="0" borderId="0" xfId="80" applyFont="1" applyBorder="1" applyAlignment="1" applyProtection="1">
      <protection hidden="1"/>
    </xf>
    <xf numFmtId="0" fontId="38" fillId="53" borderId="25" xfId="82" applyFont="1" applyFill="1" applyBorder="1" applyAlignment="1" applyProtection="1">
      <alignment horizontal="center" vertical="center" wrapText="1"/>
    </xf>
    <xf numFmtId="40" fontId="35" fillId="0" borderId="15" xfId="98" applyNumberFormat="1" applyFont="1" applyFill="1" applyBorder="1" applyAlignment="1" applyProtection="1">
      <alignment horizontal="center"/>
      <protection hidden="1"/>
    </xf>
    <xf numFmtId="0" fontId="54" fillId="65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2" borderId="15" xfId="78" applyFill="1" applyBorder="1" applyAlignment="1">
      <alignment horizontal="center"/>
    </xf>
    <xf numFmtId="0" fontId="54" fillId="82" borderId="15" xfId="78" applyFont="1" applyFill="1" applyBorder="1" applyAlignment="1">
      <alignment horizontal="center"/>
    </xf>
    <xf numFmtId="0" fontId="79" fillId="83" borderId="15" xfId="0" applyFont="1" applyFill="1" applyBorder="1" applyAlignment="1">
      <alignment horizontal="center"/>
    </xf>
    <xf numFmtId="0" fontId="0" fillId="84" borderId="0" xfId="0" applyFill="1"/>
    <xf numFmtId="0" fontId="54" fillId="83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9" borderId="15" xfId="0" applyFill="1" applyBorder="1"/>
    <xf numFmtId="0" fontId="6" fillId="85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7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7" fillId="51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30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28" fillId="51" borderId="0" xfId="81" applyFont="1" applyFill="1" applyBorder="1" applyAlignment="1" applyProtection="1">
      <protection hidden="1"/>
    </xf>
    <xf numFmtId="0" fontId="39" fillId="0" borderId="31" xfId="80" applyFont="1" applyFill="1" applyBorder="1" applyAlignment="1" applyProtection="1">
      <alignment horizontal="center" vertical="center" wrapText="1"/>
    </xf>
    <xf numFmtId="0" fontId="27" fillId="46" borderId="0" xfId="81" applyFont="1" applyFill="1" applyBorder="1" applyAlignment="1" applyProtection="1">
      <alignment horizontal="center" wrapText="1"/>
    </xf>
    <xf numFmtId="0" fontId="87" fillId="58" borderId="35" xfId="81" applyFont="1" applyFill="1" applyBorder="1" applyAlignment="1" applyProtection="1">
      <alignment horizontal="center" vertical="center" wrapText="1"/>
    </xf>
    <xf numFmtId="0" fontId="51" fillId="0" borderId="0" xfId="80" applyNumberFormat="1" applyFont="1" applyBorder="1" applyAlignment="1" applyProtection="1">
      <alignment vertical="center"/>
      <protection locked="0"/>
    </xf>
    <xf numFmtId="49" fontId="51" fillId="51" borderId="0" xfId="80" applyNumberFormat="1" applyFont="1" applyFill="1" applyBorder="1" applyAlignment="1" applyProtection="1">
      <alignment horizontal="right"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195" fontId="0" fillId="0" borderId="15" xfId="0" applyNumberFormat="1" applyFill="1" applyBorder="1"/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1" fontId="40" fillId="87" borderId="0" xfId="0" applyNumberFormat="1" applyFont="1" applyFill="1" applyBorder="1" applyAlignment="1" applyProtection="1">
      <alignment horizontal="right" vertical="center"/>
      <protection hidden="1"/>
    </xf>
    <xf numFmtId="2" fontId="88" fillId="51" borderId="0" xfId="81" applyNumberFormat="1" applyFont="1" applyFill="1" applyBorder="1" applyAlignment="1" applyProtection="1">
      <alignment horizontal="center" vertical="center"/>
    </xf>
    <xf numFmtId="189" fontId="44" fillId="88" borderId="15" xfId="110" applyNumberFormat="1" applyFill="1" applyBorder="1" applyAlignment="1">
      <alignment horizontal="center" vertical="center"/>
    </xf>
    <xf numFmtId="0" fontId="6" fillId="88" borderId="17" xfId="0" applyFont="1" applyFill="1" applyBorder="1" applyAlignment="1">
      <alignment horizontal="center" vertical="center"/>
    </xf>
    <xf numFmtId="0" fontId="0" fillId="88" borderId="0" xfId="0" applyFill="1" applyBorder="1" applyAlignment="1">
      <alignment horizontal="center" vertical="center" wrapText="1"/>
    </xf>
    <xf numFmtId="0" fontId="0" fillId="82" borderId="15" xfId="0" applyFill="1" applyBorder="1" applyAlignment="1">
      <alignment horizontal="center"/>
    </xf>
    <xf numFmtId="0" fontId="79" fillId="50" borderId="0" xfId="81" applyFont="1" applyFill="1" applyBorder="1" applyAlignment="1" applyProtection="1">
      <alignment horizontal="right" vertical="center"/>
    </xf>
    <xf numFmtId="0" fontId="79" fillId="50" borderId="0" xfId="81" applyFont="1" applyFill="1" applyBorder="1" applyAlignment="1" applyProtection="1">
      <alignment horizontal="center" vertical="center"/>
    </xf>
    <xf numFmtId="196" fontId="0" fillId="0" borderId="15" xfId="0" applyNumberFormat="1" applyBorder="1"/>
    <xf numFmtId="0" fontId="0" fillId="0" borderId="15" xfId="0" applyBorder="1"/>
    <xf numFmtId="0" fontId="90" fillId="50" borderId="0" xfId="81" applyFont="1" applyFill="1" applyBorder="1" applyAlignment="1" applyProtection="1">
      <alignment horizontal="left"/>
    </xf>
    <xf numFmtId="0" fontId="41" fillId="51" borderId="0" xfId="80" applyFill="1" applyAlignment="1"/>
    <xf numFmtId="0" fontId="35" fillId="51" borderId="0" xfId="80" applyFont="1" applyFill="1" applyBorder="1" applyAlignment="1" applyProtection="1"/>
    <xf numFmtId="0" fontId="91" fillId="50" borderId="0" xfId="81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alignment horizontal="left" vertical="center" indent="1"/>
    </xf>
    <xf numFmtId="0" fontId="27" fillId="51" borderId="0" xfId="80" applyFont="1" applyFill="1" applyAlignment="1" applyProtection="1">
      <alignment vertical="center"/>
    </xf>
    <xf numFmtId="0" fontId="90" fillId="50" borderId="0" xfId="81" applyFont="1" applyFill="1" applyBorder="1" applyAlignment="1" applyProtection="1">
      <alignment horizontal="left" vertical="center"/>
    </xf>
    <xf numFmtId="0" fontId="27" fillId="51" borderId="0" xfId="81" applyFont="1" applyFill="1" applyAlignment="1" applyProtection="1">
      <alignment vertical="center"/>
    </xf>
    <xf numFmtId="174" fontId="32" fillId="51" borderId="0" xfId="81" applyNumberFormat="1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/>
      <protection hidden="1"/>
    </xf>
    <xf numFmtId="2" fontId="1" fillId="0" borderId="0" xfId="0" applyNumberFormat="1" applyFont="1" applyFill="1" applyAlignment="1">
      <alignment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2" fontId="0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Border="1" applyProtection="1">
      <protection locked="0"/>
    </xf>
    <xf numFmtId="0" fontId="34" fillId="0" borderId="0" xfId="81" applyFont="1" applyFill="1" applyBorder="1" applyAlignment="1" applyProtection="1">
      <alignment horizontal="center" vertical="center" wrapText="1"/>
      <protection hidden="1"/>
    </xf>
    <xf numFmtId="0" fontId="0" fillId="51" borderId="0" xfId="0" applyFont="1" applyFill="1" applyBorder="1" applyProtection="1">
      <protection locked="0"/>
    </xf>
    <xf numFmtId="0" fontId="27" fillId="0" borderId="0" xfId="81" applyFont="1" applyFill="1" applyBorder="1" applyAlignment="1" applyProtection="1">
      <alignment horizontal="center"/>
      <protection hidden="1"/>
    </xf>
    <xf numFmtId="0" fontId="34" fillId="0" borderId="17" xfId="8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Protection="1">
      <protection hidden="1"/>
    </xf>
    <xf numFmtId="0" fontId="34" fillId="0" borderId="19" xfId="81" applyFont="1" applyFill="1" applyBorder="1" applyAlignment="1" applyProtection="1">
      <alignment horizontal="center" vertical="center" wrapText="1"/>
      <protection hidden="1"/>
    </xf>
    <xf numFmtId="0" fontId="34" fillId="0" borderId="41" xfId="81" applyFont="1" applyFill="1" applyBorder="1" applyAlignment="1" applyProtection="1">
      <alignment horizontal="center" vertical="center" wrapText="1"/>
      <protection hidden="1"/>
    </xf>
    <xf numFmtId="0" fontId="34" fillId="0" borderId="18" xfId="81" applyFont="1" applyFill="1" applyBorder="1" applyAlignment="1" applyProtection="1">
      <alignment horizontal="center" vertical="center" wrapText="1"/>
      <protection hidden="1"/>
    </xf>
    <xf numFmtId="0" fontId="90" fillId="89" borderId="22" xfId="80" applyFont="1" applyFill="1" applyBorder="1" applyAlignment="1" applyProtection="1">
      <alignment horizontal="left" vertical="center" wrapText="1" indent="1"/>
    </xf>
    <xf numFmtId="0" fontId="90" fillId="89" borderId="21" xfId="80" applyFont="1" applyFill="1" applyBorder="1" applyAlignment="1" applyProtection="1">
      <alignment horizontal="left" vertical="center" wrapText="1" indent="1"/>
    </xf>
    <xf numFmtId="0" fontId="90" fillId="89" borderId="31" xfId="80" applyFont="1" applyFill="1" applyBorder="1" applyAlignment="1" applyProtection="1">
      <alignment horizontal="left" vertical="center" wrapText="1" indent="1"/>
    </xf>
    <xf numFmtId="14" fontId="90" fillId="89" borderId="22" xfId="80" applyNumberFormat="1" applyFont="1" applyFill="1" applyBorder="1" applyAlignment="1" applyProtection="1">
      <alignment horizontal="left" vertical="center" wrapText="1" indent="1"/>
    </xf>
    <xf numFmtId="0" fontId="58" fillId="50" borderId="24" xfId="81" applyFont="1" applyFill="1" applyBorder="1" applyAlignment="1" applyProtection="1">
      <alignment vertical="center" wrapText="1"/>
    </xf>
    <xf numFmtId="0" fontId="58" fillId="50" borderId="0" xfId="81" applyFont="1" applyFill="1" applyBorder="1" applyAlignment="1" applyProtection="1">
      <alignment vertical="center" wrapText="1"/>
    </xf>
    <xf numFmtId="0" fontId="58" fillId="50" borderId="25" xfId="81" applyFont="1" applyFill="1" applyBorder="1" applyAlignment="1" applyProtection="1">
      <alignment vertical="center" wrapText="1"/>
    </xf>
    <xf numFmtId="0" fontId="58" fillId="50" borderId="23" xfId="81" applyFont="1" applyFill="1" applyBorder="1" applyAlignment="1" applyProtection="1">
      <alignment vertical="center" wrapText="1"/>
    </xf>
    <xf numFmtId="0" fontId="58" fillId="50" borderId="26" xfId="81" applyFont="1" applyFill="1" applyBorder="1" applyAlignment="1" applyProtection="1">
      <alignment vertical="center" wrapText="1"/>
    </xf>
    <xf numFmtId="0" fontId="58" fillId="50" borderId="27" xfId="81" applyFont="1" applyFill="1" applyBorder="1" applyAlignment="1" applyProtection="1">
      <alignment vertical="center" wrapText="1"/>
    </xf>
    <xf numFmtId="0" fontId="38" fillId="51" borderId="0" xfId="82" applyFont="1" applyFill="1" applyBorder="1" applyAlignment="1" applyProtection="1">
      <alignment horizontal="center" vertical="center" wrapText="1"/>
    </xf>
    <xf numFmtId="0" fontId="38" fillId="51" borderId="26" xfId="82" applyFont="1" applyFill="1" applyBorder="1" applyAlignment="1" applyProtection="1">
      <alignment horizontal="center" vertical="center" wrapText="1"/>
    </xf>
    <xf numFmtId="0" fontId="38" fillId="51" borderId="25" xfId="82" applyFont="1" applyFill="1" applyBorder="1" applyAlignment="1" applyProtection="1">
      <alignment horizontal="center" vertical="center" wrapText="1"/>
    </xf>
    <xf numFmtId="0" fontId="38" fillId="51" borderId="27" xfId="82" applyFont="1" applyFill="1" applyBorder="1" applyAlignment="1" applyProtection="1">
      <alignment horizontal="center" vertical="center" wrapText="1"/>
    </xf>
    <xf numFmtId="0" fontId="26" fillId="51" borderId="0" xfId="0" applyFont="1" applyFill="1" applyBorder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4" fillId="51" borderId="25" xfId="0" applyFont="1" applyFill="1" applyBorder="1" applyAlignment="1">
      <alignment horizontal="center" vertical="center" wrapText="1"/>
    </xf>
    <xf numFmtId="0" fontId="84" fillId="51" borderId="27" xfId="0" applyFont="1" applyFill="1" applyBorder="1" applyAlignment="1">
      <alignment horizontal="center" vertical="center" wrapText="1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190" fontId="84" fillId="60" borderId="40" xfId="81" applyNumberFormat="1" applyFont="1" applyFill="1" applyBorder="1" applyAlignment="1" applyProtection="1">
      <alignment horizontal="center" textRotation="90" wrapText="1"/>
    </xf>
    <xf numFmtId="190" fontId="84" fillId="60" borderId="67" xfId="81" applyNumberFormat="1" applyFont="1" applyFill="1" applyBorder="1" applyAlignment="1" applyProtection="1">
      <alignment horizontal="center" textRotation="90" wrapText="1"/>
    </xf>
    <xf numFmtId="190" fontId="84" fillId="60" borderId="48" xfId="81" applyNumberFormat="1" applyFont="1" applyFill="1" applyBorder="1" applyAlignment="1" applyProtection="1">
      <alignment horizontal="center" textRotation="90" wrapText="1"/>
    </xf>
    <xf numFmtId="190" fontId="84" fillId="86" borderId="40" xfId="81" applyNumberFormat="1" applyFont="1" applyFill="1" applyBorder="1" applyAlignment="1" applyProtection="1">
      <alignment horizontal="center" vertical="center" textRotation="90" wrapText="1"/>
    </xf>
    <xf numFmtId="190" fontId="84" fillId="86" borderId="67" xfId="81" applyNumberFormat="1" applyFont="1" applyFill="1" applyBorder="1" applyAlignment="1" applyProtection="1">
      <alignment horizontal="center" vertical="center" textRotation="90" wrapText="1"/>
    </xf>
    <xf numFmtId="190" fontId="84" fillId="86" borderId="48" xfId="81" applyNumberFormat="1" applyFont="1" applyFill="1" applyBorder="1" applyAlignment="1" applyProtection="1">
      <alignment horizontal="center" vertical="center" textRotation="90" wrapText="1"/>
    </xf>
    <xf numFmtId="0" fontId="38" fillId="57" borderId="17" xfId="81" applyFont="1" applyFill="1" applyBorder="1" applyAlignment="1" applyProtection="1">
      <alignment horizontal="center" vertical="center" wrapText="1"/>
    </xf>
    <xf numFmtId="0" fontId="38" fillId="57" borderId="16" xfId="81" applyFont="1" applyFill="1" applyBorder="1" applyAlignment="1" applyProtection="1">
      <alignment horizontal="center" vertical="center" wrapText="1"/>
    </xf>
    <xf numFmtId="0" fontId="87" fillId="58" borderId="43" xfId="81" applyFont="1" applyFill="1" applyBorder="1" applyAlignment="1" applyProtection="1">
      <alignment horizontal="center" vertical="center" wrapText="1"/>
    </xf>
    <xf numFmtId="0" fontId="87" fillId="58" borderId="44" xfId="81" applyFont="1" applyFill="1" applyBorder="1" applyAlignment="1" applyProtection="1">
      <alignment horizontal="center" vertical="center" wrapText="1"/>
    </xf>
    <xf numFmtId="0" fontId="87" fillId="58" borderId="10" xfId="81" applyFont="1" applyFill="1" applyBorder="1" applyAlignment="1" applyProtection="1">
      <alignment horizontal="center" vertical="center" wrapText="1"/>
    </xf>
    <xf numFmtId="0" fontId="87" fillId="58" borderId="13" xfId="81" applyFont="1" applyFill="1" applyBorder="1" applyAlignment="1" applyProtection="1">
      <alignment horizontal="center" vertical="center" wrapText="1"/>
    </xf>
    <xf numFmtId="0" fontId="69" fillId="81" borderId="42" xfId="81" applyFont="1" applyFill="1" applyBorder="1" applyAlignment="1" applyProtection="1">
      <alignment horizontal="center" vertical="center" wrapText="1"/>
    </xf>
    <xf numFmtId="0" fontId="69" fillId="81" borderId="54" xfId="81" applyFont="1" applyFill="1" applyBorder="1" applyAlignment="1" applyProtection="1">
      <alignment horizontal="center" vertical="center" wrapText="1"/>
    </xf>
    <xf numFmtId="0" fontId="69" fillId="81" borderId="55" xfId="81" applyFont="1" applyFill="1" applyBorder="1" applyAlignment="1" applyProtection="1">
      <alignment horizontal="center" vertical="center" wrapText="1"/>
    </xf>
    <xf numFmtId="0" fontId="69" fillId="80" borderId="17" xfId="81" applyFont="1" applyFill="1" applyBorder="1" applyAlignment="1" applyProtection="1">
      <alignment horizontal="center" vertical="center" wrapText="1"/>
    </xf>
    <xf numFmtId="0" fontId="69" fillId="80" borderId="18" xfId="81" applyFont="1" applyFill="1" applyBorder="1" applyAlignment="1" applyProtection="1">
      <alignment horizontal="center" vertical="center" wrapText="1"/>
    </xf>
    <xf numFmtId="0" fontId="69" fillId="80" borderId="16" xfId="81" applyFont="1" applyFill="1" applyBorder="1" applyAlignment="1" applyProtection="1">
      <alignment horizontal="center" vertical="center" wrapText="1"/>
    </xf>
    <xf numFmtId="0" fontId="59" fillId="56" borderId="49" xfId="81" applyFont="1" applyFill="1" applyBorder="1" applyAlignment="1" applyProtection="1">
      <alignment horizontal="center" vertical="center" wrapText="1"/>
    </xf>
    <xf numFmtId="0" fontId="38" fillId="66" borderId="33" xfId="81" applyFont="1" applyFill="1" applyBorder="1" applyAlignment="1" applyProtection="1">
      <alignment horizontal="center" vertical="center" wrapText="1"/>
    </xf>
    <xf numFmtId="0" fontId="38" fillId="66" borderId="43" xfId="81" applyFont="1" applyFill="1" applyBorder="1" applyAlignment="1" applyProtection="1">
      <alignment horizontal="center" vertical="center" wrapText="1"/>
    </xf>
    <xf numFmtId="0" fontId="38" fillId="66" borderId="53" xfId="81" applyFont="1" applyFill="1" applyBorder="1" applyAlignment="1" applyProtection="1">
      <alignment horizontal="center" vertical="center" wrapText="1"/>
    </xf>
    <xf numFmtId="0" fontId="38" fillId="66" borderId="10" xfId="81" applyFont="1" applyFill="1" applyBorder="1" applyAlignment="1" applyProtection="1">
      <alignment horizontal="center" vertical="center" wrapText="1"/>
    </xf>
    <xf numFmtId="0" fontId="38" fillId="58" borderId="43" xfId="81" applyFont="1" applyFill="1" applyBorder="1" applyAlignment="1" applyProtection="1">
      <alignment horizontal="center" vertical="center" wrapText="1"/>
    </xf>
    <xf numFmtId="0" fontId="38" fillId="58" borderId="10" xfId="81" applyFont="1" applyFill="1" applyBorder="1" applyAlignment="1" applyProtection="1">
      <alignment horizontal="center" vertical="center" wrapText="1"/>
    </xf>
    <xf numFmtId="0" fontId="38" fillId="59" borderId="59" xfId="81" applyFont="1" applyFill="1" applyBorder="1" applyAlignment="1" applyProtection="1">
      <alignment horizontal="center" vertical="center" wrapText="1"/>
    </xf>
    <xf numFmtId="0" fontId="38" fillId="59" borderId="60" xfId="81" applyFont="1" applyFill="1" applyBorder="1" applyAlignment="1" applyProtection="1">
      <alignment horizontal="center" vertical="center" wrapText="1"/>
    </xf>
    <xf numFmtId="0" fontId="38" fillId="59" borderId="61" xfId="81" applyFont="1" applyFill="1" applyBorder="1" applyAlignment="1" applyProtection="1">
      <alignment horizontal="center" vertical="center" wrapText="1"/>
    </xf>
    <xf numFmtId="0" fontId="38" fillId="59" borderId="62" xfId="81" applyFont="1" applyFill="1" applyBorder="1" applyAlignment="1" applyProtection="1">
      <alignment horizontal="center" vertical="center" wrapText="1"/>
    </xf>
    <xf numFmtId="0" fontId="38" fillId="59" borderId="63" xfId="81" applyFont="1" applyFill="1" applyBorder="1" applyAlignment="1" applyProtection="1">
      <alignment horizontal="center" vertical="center" wrapText="1"/>
    </xf>
    <xf numFmtId="0" fontId="38" fillId="59" borderId="64" xfId="81" applyFont="1" applyFill="1" applyBorder="1" applyAlignment="1" applyProtection="1">
      <alignment horizontal="center" vertical="center" wrapText="1"/>
    </xf>
    <xf numFmtId="0" fontId="38" fillId="59" borderId="65" xfId="81" applyFont="1" applyFill="1" applyBorder="1" applyAlignment="1" applyProtection="1">
      <alignment horizontal="center" vertical="center" wrapText="1"/>
    </xf>
    <xf numFmtId="0" fontId="38" fillId="59" borderId="66" xfId="81" applyFont="1" applyFill="1" applyBorder="1" applyAlignment="1" applyProtection="1">
      <alignment horizontal="center" vertical="center" wrapText="1"/>
    </xf>
    <xf numFmtId="0" fontId="38" fillId="56" borderId="32" xfId="81" applyFont="1" applyFill="1" applyBorder="1" applyAlignment="1" applyProtection="1">
      <alignment horizontal="center" vertical="center" wrapText="1"/>
    </xf>
    <xf numFmtId="0" fontId="38" fillId="56" borderId="33" xfId="81" applyFont="1" applyFill="1" applyBorder="1" applyAlignment="1" applyProtection="1">
      <alignment horizontal="center" vertical="center" wrapText="1"/>
    </xf>
    <xf numFmtId="0" fontId="38" fillId="53" borderId="29" xfId="81" applyFont="1" applyFill="1" applyBorder="1" applyAlignment="1" applyProtection="1">
      <alignment horizontal="center" vertical="center" wrapText="1"/>
    </xf>
    <xf numFmtId="0" fontId="38" fillId="53" borderId="26" xfId="81" applyFont="1" applyFill="1" applyBorder="1" applyAlignment="1" applyProtection="1">
      <alignment horizontal="center" vertical="center" wrapText="1"/>
    </xf>
    <xf numFmtId="0" fontId="26" fillId="55" borderId="30" xfId="81" applyFont="1" applyFill="1" applyBorder="1" applyAlignment="1" applyProtection="1">
      <alignment horizontal="center" vertical="center" textRotation="90" wrapText="1"/>
    </xf>
    <xf numFmtId="0" fontId="26" fillId="55" borderId="27" xfId="81" applyFont="1" applyFill="1" applyBorder="1" applyAlignment="1" applyProtection="1">
      <alignment horizontal="center" vertical="center" textRotation="90" wrapText="1"/>
    </xf>
    <xf numFmtId="190" fontId="38" fillId="74" borderId="51" xfId="81" applyNumberFormat="1" applyFont="1" applyFill="1" applyBorder="1" applyAlignment="1" applyProtection="1">
      <alignment horizontal="center" vertical="center" wrapText="1"/>
    </xf>
    <xf numFmtId="190" fontId="38" fillId="74" borderId="11" xfId="81" applyNumberFormat="1" applyFont="1" applyFill="1" applyBorder="1" applyAlignment="1" applyProtection="1">
      <alignment horizontal="center" vertical="center" wrapText="1"/>
    </xf>
    <xf numFmtId="190" fontId="38" fillId="74" borderId="47" xfId="81" applyNumberFormat="1" applyFont="1" applyFill="1" applyBorder="1" applyAlignment="1" applyProtection="1">
      <alignment horizontal="center" vertical="center" wrapText="1"/>
    </xf>
    <xf numFmtId="2" fontId="38" fillId="72" borderId="51" xfId="81" applyNumberFormat="1" applyFont="1" applyFill="1" applyBorder="1" applyAlignment="1" applyProtection="1">
      <alignment horizontal="center" vertical="center" wrapText="1"/>
    </xf>
    <xf numFmtId="2" fontId="38" fillId="72" borderId="41" xfId="81" applyNumberFormat="1" applyFont="1" applyFill="1" applyBorder="1" applyAlignment="1" applyProtection="1">
      <alignment horizontal="center" vertical="center" wrapText="1"/>
    </xf>
    <xf numFmtId="2" fontId="38" fillId="72" borderId="47" xfId="81" applyNumberFormat="1" applyFont="1" applyFill="1" applyBorder="1" applyAlignment="1" applyProtection="1">
      <alignment horizontal="center" vertical="center" wrapText="1"/>
    </xf>
    <xf numFmtId="0" fontId="59" fillId="55" borderId="17" xfId="81" applyFont="1" applyFill="1" applyBorder="1" applyAlignment="1" applyProtection="1">
      <alignment horizontal="center" vertical="center" wrapText="1"/>
    </xf>
    <xf numFmtId="0" fontId="59" fillId="55" borderId="16" xfId="81" applyFont="1" applyFill="1" applyBorder="1" applyAlignment="1" applyProtection="1">
      <alignment horizontal="center" vertical="center" wrapText="1"/>
    </xf>
    <xf numFmtId="0" fontId="38" fillId="55" borderId="22" xfId="81" applyNumberFormat="1" applyFont="1" applyFill="1" applyBorder="1" applyAlignment="1" applyProtection="1">
      <alignment horizontal="center" vertical="center" wrapText="1"/>
    </xf>
    <xf numFmtId="0" fontId="38" fillId="55" borderId="21" xfId="81" applyNumberFormat="1" applyFont="1" applyFill="1" applyBorder="1" applyAlignment="1" applyProtection="1">
      <alignment horizontal="center" vertical="center" wrapText="1"/>
    </xf>
    <xf numFmtId="0" fontId="38" fillId="55" borderId="45" xfId="81" applyNumberFormat="1" applyFont="1" applyFill="1" applyBorder="1" applyAlignment="1" applyProtection="1">
      <alignment horizontal="center" vertical="center" wrapText="1"/>
    </xf>
    <xf numFmtId="0" fontId="59" fillId="60" borderId="22" xfId="81" applyFont="1" applyFill="1" applyBorder="1" applyAlignment="1" applyProtection="1">
      <alignment horizontal="center" vertical="center" wrapText="1"/>
    </xf>
    <xf numFmtId="0" fontId="59" fillId="60" borderId="21" xfId="81" applyFont="1" applyFill="1" applyBorder="1" applyAlignment="1" applyProtection="1">
      <alignment horizontal="center" vertical="center" wrapText="1"/>
    </xf>
    <xf numFmtId="0" fontId="59" fillId="60" borderId="31" xfId="81" applyFont="1" applyFill="1" applyBorder="1" applyAlignment="1" applyProtection="1">
      <alignment horizontal="center" vertical="center" wrapText="1"/>
    </xf>
    <xf numFmtId="0" fontId="38" fillId="60" borderId="22" xfId="81" applyFont="1" applyFill="1" applyBorder="1" applyAlignment="1" applyProtection="1">
      <alignment horizontal="center" vertical="center" wrapText="1"/>
    </xf>
    <xf numFmtId="0" fontId="38" fillId="60" borderId="21" xfId="81" applyFont="1" applyFill="1" applyBorder="1" applyAlignment="1" applyProtection="1">
      <alignment horizontal="center" vertical="center" wrapText="1"/>
    </xf>
    <xf numFmtId="0" fontId="38" fillId="60" borderId="31" xfId="81" applyFont="1" applyFill="1" applyBorder="1" applyAlignment="1" applyProtection="1">
      <alignment horizontal="center" vertical="center" wrapText="1"/>
    </xf>
    <xf numFmtId="0" fontId="59" fillId="54" borderId="22" xfId="81" applyFont="1" applyFill="1" applyBorder="1" applyAlignment="1" applyProtection="1">
      <alignment horizontal="center" vertical="center" wrapText="1"/>
    </xf>
    <xf numFmtId="0" fontId="59" fillId="54" borderId="31" xfId="81" applyFont="1" applyFill="1" applyBorder="1" applyAlignment="1" applyProtection="1">
      <alignment horizontal="center" vertical="center" wrapText="1"/>
    </xf>
    <xf numFmtId="0" fontId="38" fillId="74" borderId="52" xfId="81" applyFont="1" applyFill="1" applyBorder="1" applyAlignment="1" applyProtection="1">
      <alignment horizontal="center" vertical="center" wrapText="1"/>
    </xf>
    <xf numFmtId="0" fontId="38" fillId="74" borderId="41" xfId="81" applyFont="1" applyFill="1" applyBorder="1" applyAlignment="1" applyProtection="1">
      <alignment horizontal="center" vertical="center" wrapText="1"/>
    </xf>
    <xf numFmtId="0" fontId="38" fillId="74" borderId="50" xfId="81" applyFont="1" applyFill="1" applyBorder="1" applyAlignment="1" applyProtection="1">
      <alignment horizontal="center" vertical="center" wrapText="1"/>
    </xf>
    <xf numFmtId="49" fontId="59" fillId="72" borderId="56" xfId="81" applyNumberFormat="1" applyFont="1" applyFill="1" applyBorder="1" applyAlignment="1" applyProtection="1">
      <alignment horizontal="center" vertical="center" wrapText="1"/>
    </xf>
    <xf numFmtId="49" fontId="59" fillId="72" borderId="57" xfId="81" applyNumberFormat="1" applyFont="1" applyFill="1" applyBorder="1" applyAlignment="1" applyProtection="1">
      <alignment horizontal="center" vertical="center" wrapText="1"/>
    </xf>
    <xf numFmtId="49" fontId="59" fillId="72" borderId="58" xfId="81" applyNumberFormat="1" applyFont="1" applyFill="1" applyBorder="1" applyAlignment="1" applyProtection="1">
      <alignment horizontal="center" vertical="center" wrapText="1"/>
    </xf>
    <xf numFmtId="0" fontId="34" fillId="54" borderId="17" xfId="81" applyFont="1" applyFill="1" applyBorder="1" applyAlignment="1" applyProtection="1">
      <alignment horizontal="center" vertical="center" wrapText="1"/>
    </xf>
    <xf numFmtId="0" fontId="34" fillId="54" borderId="18" xfId="81" applyFont="1" applyFill="1" applyBorder="1" applyAlignment="1" applyProtection="1">
      <alignment horizontal="center" vertical="center" wrapText="1"/>
    </xf>
    <xf numFmtId="0" fontId="34" fillId="54" borderId="16" xfId="81" applyFont="1" applyFill="1" applyBorder="1" applyAlignment="1" applyProtection="1">
      <alignment horizontal="center" vertical="center" wrapText="1"/>
    </xf>
    <xf numFmtId="190" fontId="84" fillId="60" borderId="17" xfId="81" applyNumberFormat="1" applyFont="1" applyFill="1" applyBorder="1" applyAlignment="1" applyProtection="1">
      <alignment horizontal="center" vertical="center" textRotation="90" wrapText="1"/>
    </xf>
    <xf numFmtId="190" fontId="84" fillId="60" borderId="18" xfId="81" applyNumberFormat="1" applyFont="1" applyFill="1" applyBorder="1" applyAlignment="1" applyProtection="1">
      <alignment horizontal="center" vertical="center" textRotation="90" wrapText="1"/>
    </xf>
    <xf numFmtId="190" fontId="84" fillId="60" borderId="16" xfId="81" applyNumberFormat="1" applyFont="1" applyFill="1" applyBorder="1" applyAlignment="1" applyProtection="1">
      <alignment horizontal="center" vertical="center" textRotation="90" wrapText="1"/>
    </xf>
    <xf numFmtId="0" fontId="38" fillId="55" borderId="46" xfId="81" applyFont="1" applyFill="1" applyBorder="1" applyAlignment="1" applyProtection="1">
      <alignment horizontal="center" vertical="center" wrapText="1"/>
    </xf>
    <xf numFmtId="0" fontId="38" fillId="56" borderId="21" xfId="81" applyNumberFormat="1" applyFont="1" applyFill="1" applyBorder="1" applyAlignment="1" applyProtection="1">
      <alignment horizontal="center" vertical="center" wrapText="1"/>
    </xf>
    <xf numFmtId="0" fontId="38" fillId="56" borderId="21" xfId="81" applyFont="1" applyFill="1" applyBorder="1" applyAlignment="1" applyProtection="1">
      <alignment horizontal="center" vertical="center" wrapText="1"/>
    </xf>
    <xf numFmtId="0" fontId="38" fillId="56" borderId="31" xfId="81" applyFont="1" applyFill="1" applyBorder="1" applyAlignment="1" applyProtection="1">
      <alignment horizontal="center" vertical="center" wrapText="1"/>
    </xf>
    <xf numFmtId="0" fontId="69" fillId="81" borderId="17" xfId="81" applyFont="1" applyFill="1" applyBorder="1" applyAlignment="1" applyProtection="1">
      <alignment horizontal="center" vertical="center" wrapText="1"/>
    </xf>
    <xf numFmtId="0" fontId="69" fillId="81" borderId="18" xfId="81" applyFont="1" applyFill="1" applyBorder="1" applyAlignment="1" applyProtection="1">
      <alignment horizontal="center" vertical="center" wrapText="1"/>
    </xf>
    <xf numFmtId="0" fontId="69" fillId="81" borderId="16" xfId="81" applyFont="1" applyFill="1" applyBorder="1" applyAlignment="1" applyProtection="1">
      <alignment horizontal="center" vertical="center" wrapText="1"/>
    </xf>
    <xf numFmtId="190" fontId="84" fillId="60" borderId="40" xfId="81" applyNumberFormat="1" applyFont="1" applyFill="1" applyBorder="1" applyAlignment="1" applyProtection="1">
      <alignment horizontal="center" vertical="center" textRotation="90" wrapText="1"/>
    </xf>
    <xf numFmtId="190" fontId="84" fillId="60" borderId="67" xfId="81" applyNumberFormat="1" applyFont="1" applyFill="1" applyBorder="1" applyAlignment="1" applyProtection="1">
      <alignment horizontal="center" vertical="center" textRotation="90" wrapText="1"/>
    </xf>
    <xf numFmtId="190" fontId="84" fillId="60" borderId="48" xfId="81" applyNumberFormat="1" applyFont="1" applyFill="1" applyBorder="1" applyAlignment="1" applyProtection="1">
      <alignment horizontal="center" vertical="center" textRotation="90" wrapText="1"/>
    </xf>
    <xf numFmtId="0" fontId="69" fillId="80" borderId="30" xfId="81" applyFont="1" applyFill="1" applyBorder="1" applyAlignment="1" applyProtection="1">
      <alignment horizontal="center" vertical="center" wrapText="1"/>
    </xf>
    <xf numFmtId="0" fontId="69" fillId="80" borderId="25" xfId="81" applyFont="1" applyFill="1" applyBorder="1" applyAlignment="1" applyProtection="1">
      <alignment horizontal="center" vertical="center" wrapText="1"/>
    </xf>
    <xf numFmtId="0" fontId="69" fillId="80" borderId="27" xfId="81" applyFont="1" applyFill="1" applyBorder="1" applyAlignment="1" applyProtection="1">
      <alignment horizontal="center" vertical="center" wrapText="1"/>
    </xf>
    <xf numFmtId="49" fontId="38" fillId="72" borderId="51" xfId="81" applyNumberFormat="1" applyFont="1" applyFill="1" applyBorder="1" applyAlignment="1" applyProtection="1">
      <alignment horizontal="center" vertical="center" wrapText="1"/>
    </xf>
    <xf numFmtId="49" fontId="38" fillId="72" borderId="11" xfId="81" applyNumberFormat="1" applyFont="1" applyFill="1" applyBorder="1" applyAlignment="1" applyProtection="1">
      <alignment horizontal="center" vertical="center" wrapText="1"/>
    </xf>
    <xf numFmtId="49" fontId="38" fillId="72" borderId="47" xfId="81" applyNumberFormat="1" applyFont="1" applyFill="1" applyBorder="1" applyAlignment="1" applyProtection="1">
      <alignment horizontal="center" vertical="center" wrapText="1"/>
    </xf>
    <xf numFmtId="0" fontId="38" fillId="59" borderId="50" xfId="81" applyFont="1" applyFill="1" applyBorder="1" applyAlignment="1" applyProtection="1">
      <alignment horizontal="center" vertical="center" wrapText="1"/>
    </xf>
    <xf numFmtId="0" fontId="38" fillId="59" borderId="48" xfId="81" applyFont="1" applyFill="1" applyBorder="1" applyAlignment="1" applyProtection="1">
      <alignment horizontal="center" vertical="center" wrapText="1"/>
    </xf>
    <xf numFmtId="0" fontId="38" fillId="57" borderId="22" xfId="81" applyFont="1" applyFill="1" applyBorder="1" applyAlignment="1" applyProtection="1">
      <alignment horizontal="center" vertical="center" wrapText="1"/>
    </xf>
    <xf numFmtId="0" fontId="38" fillId="57" borderId="31" xfId="81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39" fillId="0" borderId="18" xfId="80" applyFont="1" applyFill="1" applyBorder="1" applyAlignment="1" applyProtection="1">
      <alignment horizontal="center" vertical="center" wrapText="1"/>
    </xf>
    <xf numFmtId="0" fontId="39" fillId="0" borderId="16" xfId="80" applyFont="1" applyFill="1" applyBorder="1" applyAlignment="1" applyProtection="1">
      <alignment horizontal="center" vertical="center" wrapText="1"/>
    </xf>
    <xf numFmtId="0" fontId="39" fillId="0" borderId="22" xfId="80" applyFont="1" applyFill="1" applyBorder="1" applyAlignment="1">
      <alignment horizontal="center" vertical="center" wrapText="1"/>
    </xf>
    <xf numFmtId="0" fontId="39" fillId="0" borderId="21" xfId="80" applyFont="1" applyFill="1" applyBorder="1" applyAlignment="1">
      <alignment horizontal="center" vertical="center" wrapText="1"/>
    </xf>
    <xf numFmtId="0" fontId="39" fillId="0" borderId="31" xfId="80" applyFont="1" applyFill="1" applyBorder="1" applyAlignment="1">
      <alignment horizontal="center" vertical="center" wrapText="1"/>
    </xf>
    <xf numFmtId="0" fontId="39" fillId="0" borderId="22" xfId="80" applyFont="1" applyFill="1" applyBorder="1" applyAlignment="1" applyProtection="1">
      <alignment horizontal="center" vertical="center" wrapText="1"/>
    </xf>
    <xf numFmtId="0" fontId="39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Fill="1" applyBorder="1" applyAlignment="1" applyProtection="1">
      <alignment horizontal="left" vertical="center" wrapText="1"/>
    </xf>
    <xf numFmtId="0" fontId="35" fillId="0" borderId="31" xfId="80" applyFont="1" applyFill="1" applyBorder="1" applyAlignment="1" applyProtection="1">
      <alignment horizontal="left" vertical="center" wrapText="1"/>
    </xf>
    <xf numFmtId="0" fontId="39" fillId="0" borderId="17" xfId="80" applyFont="1" applyBorder="1" applyAlignment="1" applyProtection="1">
      <alignment horizontal="center" vertical="center" wrapText="1"/>
    </xf>
    <xf numFmtId="0" fontId="39" fillId="0" borderId="18" xfId="80" applyFont="1" applyBorder="1" applyAlignment="1" applyProtection="1">
      <alignment horizontal="center" vertical="center" wrapText="1"/>
    </xf>
    <xf numFmtId="0" fontId="39" fillId="0" borderId="16" xfId="80" applyFont="1" applyBorder="1" applyAlignment="1" applyProtection="1">
      <alignment horizontal="center" vertical="center" wrapText="1"/>
    </xf>
    <xf numFmtId="0" fontId="39" fillId="0" borderId="21" xfId="80" applyFont="1" applyFill="1" applyBorder="1" applyAlignment="1" applyProtection="1">
      <alignment horizontal="center" vertical="center" wrapText="1"/>
    </xf>
    <xf numFmtId="0" fontId="39" fillId="0" borderId="28" xfId="80" applyFont="1" applyFill="1" applyBorder="1" applyAlignment="1" applyProtection="1">
      <alignment horizontal="center" vertical="center" wrapText="1"/>
    </xf>
    <xf numFmtId="0" fontId="39" fillId="0" borderId="30" xfId="80" applyFont="1" applyFill="1" applyBorder="1" applyAlignment="1" applyProtection="1">
      <alignment horizontal="center" vertical="center" wrapText="1"/>
    </xf>
    <xf numFmtId="0" fontId="39" fillId="0" borderId="23" xfId="80" applyFont="1" applyFill="1" applyBorder="1" applyAlignment="1" applyProtection="1">
      <alignment horizontal="center" vertical="center" wrapText="1"/>
    </xf>
    <xf numFmtId="0" fontId="39" fillId="0" borderId="27" xfId="80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/>
    </xf>
    <xf numFmtId="0" fontId="39" fillId="0" borderId="18" xfId="80" applyFont="1" applyFill="1" applyBorder="1" applyAlignment="1" applyProtection="1">
      <alignment horizontal="center" vertical="center"/>
    </xf>
    <xf numFmtId="0" fontId="39" fillId="0" borderId="16" xfId="80" applyFont="1" applyFill="1" applyBorder="1" applyAlignment="1" applyProtection="1">
      <alignment horizontal="center" vertical="center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2" fillId="0" borderId="17" xfId="80" applyFont="1" applyFill="1" applyBorder="1" applyAlignment="1">
      <alignment horizontal="center" vertical="center" wrapText="1"/>
    </xf>
    <xf numFmtId="0" fontId="52" fillId="0" borderId="18" xfId="80" applyFont="1" applyFill="1" applyBorder="1" applyAlignment="1">
      <alignment horizontal="center" vertical="center" wrapText="1"/>
    </xf>
    <xf numFmtId="0" fontId="52" fillId="0" borderId="16" xfId="80" applyFont="1" applyFill="1" applyBorder="1" applyAlignment="1">
      <alignment horizontal="center" vertical="center" wrapText="1"/>
    </xf>
    <xf numFmtId="0" fontId="39" fillId="51" borderId="17" xfId="80" applyFont="1" applyFill="1" applyBorder="1" applyAlignment="1" applyProtection="1">
      <alignment horizontal="center" vertical="center" wrapText="1"/>
    </xf>
    <xf numFmtId="0" fontId="39" fillId="51" borderId="18" xfId="80" applyFont="1" applyFill="1" applyBorder="1" applyAlignment="1" applyProtection="1">
      <alignment horizontal="center" vertical="center" wrapText="1"/>
    </xf>
    <xf numFmtId="0" fontId="39" fillId="51" borderId="16" xfId="80" applyFont="1" applyFill="1" applyBorder="1" applyAlignment="1" applyProtection="1">
      <alignment horizontal="center" vertical="center" wrapText="1"/>
    </xf>
    <xf numFmtId="0" fontId="39" fillId="76" borderId="22" xfId="80" applyFont="1" applyFill="1" applyBorder="1" applyAlignment="1" applyProtection="1">
      <alignment horizontal="center" vertical="center" wrapText="1"/>
    </xf>
    <xf numFmtId="0" fontId="39" fillId="76" borderId="31" xfId="80" applyFont="1" applyFill="1" applyBorder="1" applyAlignment="1" applyProtection="1">
      <alignment horizontal="center" vertical="center" wrapText="1"/>
    </xf>
    <xf numFmtId="0" fontId="34" fillId="78" borderId="23" xfId="82" applyFont="1" applyFill="1" applyBorder="1" applyAlignment="1" applyProtection="1">
      <alignment horizontal="left" vertical="center" wrapText="1"/>
    </xf>
    <xf numFmtId="0" fontId="34" fillId="78" borderId="26" xfId="82" applyFont="1" applyFill="1" applyBorder="1" applyAlignment="1" applyProtection="1">
      <alignment horizontal="left" vertical="center" wrapText="1"/>
    </xf>
    <xf numFmtId="0" fontId="34" fillId="78" borderId="27" xfId="82" applyFont="1" applyFill="1" applyBorder="1" applyAlignment="1" applyProtection="1">
      <alignment horizontal="left" vertical="center" wrapText="1"/>
    </xf>
    <xf numFmtId="166" fontId="39" fillId="78" borderId="0" xfId="82" applyNumberFormat="1" applyFont="1" applyFill="1" applyBorder="1" applyAlignment="1" applyProtection="1">
      <alignment horizontal="center" vertical="center"/>
    </xf>
    <xf numFmtId="187" fontId="38" fillId="53" borderId="0" xfId="82" applyNumberFormat="1" applyFont="1" applyFill="1" applyBorder="1" applyAlignment="1" applyProtection="1">
      <alignment horizontal="center" vertical="center"/>
    </xf>
    <xf numFmtId="0" fontId="35" fillId="0" borderId="22" xfId="80" applyFont="1" applyFill="1" applyBorder="1" applyAlignment="1" applyProtection="1">
      <alignment horizontal="center" vertical="center" wrapText="1"/>
    </xf>
    <xf numFmtId="0" fontId="35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Border="1" applyAlignment="1" applyProtection="1">
      <alignment horizontal="center" vertical="center"/>
    </xf>
    <xf numFmtId="0" fontId="35" fillId="0" borderId="31" xfId="80" applyFont="1" applyBorder="1" applyAlignment="1" applyProtection="1">
      <alignment horizontal="center" vertical="center"/>
    </xf>
    <xf numFmtId="0" fontId="44" fillId="0" borderId="28" xfId="81" applyFont="1" applyFill="1" applyBorder="1" applyAlignment="1" applyProtection="1">
      <alignment horizontal="center" vertical="center" wrapText="1"/>
      <protection hidden="1"/>
    </xf>
    <xf numFmtId="0" fontId="44" fillId="0" borderId="29" xfId="81" applyFont="1" applyFill="1" applyBorder="1" applyAlignment="1" applyProtection="1">
      <alignment horizontal="center" vertical="center" wrapText="1"/>
      <protection hidden="1"/>
    </xf>
    <xf numFmtId="0" fontId="44" fillId="0" borderId="30" xfId="81" applyFont="1" applyFill="1" applyBorder="1" applyAlignment="1" applyProtection="1">
      <alignment horizontal="center" vertical="center" wrapText="1"/>
      <protection hidden="1"/>
    </xf>
    <xf numFmtId="0" fontId="34" fillId="0" borderId="22" xfId="81" applyFont="1" applyFill="1" applyBorder="1" applyAlignment="1" applyProtection="1">
      <alignment horizontal="center" vertical="center" wrapText="1"/>
      <protection hidden="1"/>
    </xf>
    <xf numFmtId="0" fontId="34" fillId="0" borderId="21" xfId="81" applyFont="1" applyFill="1" applyBorder="1" applyAlignment="1" applyProtection="1">
      <alignment horizontal="center" vertical="center" wrapText="1"/>
      <protection hidden="1"/>
    </xf>
    <xf numFmtId="0" fontId="34" fillId="0" borderId="31" xfId="81" applyFont="1" applyFill="1" applyBorder="1" applyAlignment="1" applyProtection="1">
      <alignment horizontal="center" vertical="center" wrapText="1"/>
      <protection hidden="1"/>
    </xf>
    <xf numFmtId="0" fontId="92" fillId="0" borderId="17" xfId="81" applyFont="1" applyFill="1" applyBorder="1" applyAlignment="1" applyProtection="1">
      <alignment horizontal="center" vertical="center" wrapText="1"/>
      <protection hidden="1"/>
    </xf>
    <xf numFmtId="0" fontId="92" fillId="0" borderId="18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0" fontId="34" fillId="0" borderId="10" xfId="81" applyFont="1" applyFill="1" applyBorder="1" applyAlignment="1" applyProtection="1">
      <alignment horizontal="center" vertical="center" wrapText="1"/>
      <protection hidden="1"/>
    </xf>
    <xf numFmtId="0" fontId="34" fillId="0" borderId="13" xfId="81" applyFont="1" applyFill="1" applyBorder="1" applyAlignment="1" applyProtection="1">
      <alignment horizontal="center" vertical="center" wrapText="1"/>
      <protection hidden="1"/>
    </xf>
    <xf numFmtId="0" fontId="34" fillId="0" borderId="36" xfId="81" applyFont="1" applyFill="1" applyBorder="1" applyAlignment="1" applyProtection="1">
      <alignment horizontal="center" vertical="center" wrapText="1"/>
      <protection hidden="1"/>
    </xf>
    <xf numFmtId="0" fontId="34" fillId="0" borderId="37" xfId="81" applyFont="1" applyFill="1" applyBorder="1" applyAlignment="1" applyProtection="1">
      <alignment horizontal="center" vertical="center" wrapText="1"/>
      <protection hidden="1"/>
    </xf>
    <xf numFmtId="0" fontId="34" fillId="0" borderId="38" xfId="81" applyFont="1" applyFill="1" applyBorder="1" applyAlignment="1" applyProtection="1">
      <alignment horizontal="center" vertical="center" wrapText="1"/>
      <protection hidden="1"/>
    </xf>
    <xf numFmtId="0" fontId="34" fillId="0" borderId="39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11"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padrão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771525</xdr:colOff>
          <xdr:row>9</xdr:row>
          <xdr:rowOff>28575</xdr:rowOff>
        </xdr:from>
        <xdr:to>
          <xdr:col>6</xdr:col>
          <xdr:colOff>47625</xdr:colOff>
          <xdr:row>10</xdr:row>
          <xdr:rowOff>123825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7</xdr:row>
          <xdr:rowOff>152400</xdr:rowOff>
        </xdr:from>
        <xdr:to>
          <xdr:col>12</xdr:col>
          <xdr:colOff>0</xdr:colOff>
          <xdr:row>9</xdr:row>
          <xdr:rowOff>190500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9</xdr:row>
          <xdr:rowOff>38100</xdr:rowOff>
        </xdr:from>
        <xdr:to>
          <xdr:col>8</xdr:col>
          <xdr:colOff>28575</xdr:colOff>
          <xdr:row>10</xdr:row>
          <xdr:rowOff>123825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</xdr:row>
          <xdr:rowOff>28575</xdr:rowOff>
        </xdr:from>
        <xdr:to>
          <xdr:col>7</xdr:col>
          <xdr:colOff>28575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19050</xdr:rowOff>
        </xdr:from>
        <xdr:to>
          <xdr:col>9</xdr:col>
          <xdr:colOff>1047750</xdr:colOff>
          <xdr:row>10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9</xdr:col>
          <xdr:colOff>133350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561975</xdr:colOff>
          <xdr:row>3</xdr:row>
          <xdr:rowOff>57150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</xdr:row>
          <xdr:rowOff>180975</xdr:rowOff>
        </xdr:from>
        <xdr:to>
          <xdr:col>13</xdr:col>
          <xdr:colOff>571500</xdr:colOff>
          <xdr:row>5</xdr:row>
          <xdr:rowOff>9525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8</xdr:row>
          <xdr:rowOff>76200</xdr:rowOff>
        </xdr:from>
        <xdr:to>
          <xdr:col>13</xdr:col>
          <xdr:colOff>542925</xdr:colOff>
          <xdr:row>9</xdr:row>
          <xdr:rowOff>247650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27214</xdr:colOff>
      <xdr:row>1</xdr:row>
      <xdr:rowOff>5302</xdr:rowOff>
    </xdr:from>
    <xdr:to>
      <xdr:col>31</xdr:col>
      <xdr:colOff>231998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4643" y="291052"/>
          <a:ext cx="4371971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7</xdr:row>
          <xdr:rowOff>257175</xdr:rowOff>
        </xdr:from>
        <xdr:to>
          <xdr:col>1</xdr:col>
          <xdr:colOff>876300</xdr:colOff>
          <xdr:row>9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7</xdr:row>
          <xdr:rowOff>171450</xdr:rowOff>
        </xdr:from>
        <xdr:to>
          <xdr:col>6</xdr:col>
          <xdr:colOff>838200</xdr:colOff>
          <xdr:row>9</xdr:row>
          <xdr:rowOff>38100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7</xdr:row>
          <xdr:rowOff>180975</xdr:rowOff>
        </xdr:from>
        <xdr:to>
          <xdr:col>5</xdr:col>
          <xdr:colOff>314325</xdr:colOff>
          <xdr:row>9</xdr:row>
          <xdr:rowOff>38100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_RedBasica_1907_LN_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mportQGIS"/>
      <sheetName val="Parametros"/>
      <sheetName val="RedBasica"/>
      <sheetName val="RedBasica_print"/>
      <sheetName val="ExportNodos"/>
      <sheetName val="ExportTramos"/>
      <sheetName val="A1"/>
      <sheetName val="A2"/>
      <sheetName val="A3"/>
      <sheetName val="A4"/>
      <sheetName val="A5"/>
      <sheetName val="A7"/>
      <sheetName val="A8"/>
      <sheetName val="A9"/>
      <sheetName val="A10"/>
      <sheetName val="A11"/>
      <sheetName val="A12"/>
      <sheetName val="A13"/>
      <sheetName val="A14"/>
      <sheetName val="A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61" xr16:uid="{2DBDE9D8-9F8A-4E01-8BEC-A02F690E066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9" xr16:uid="{7577B8AF-5D56-47F1-84E5-7894C621362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53" xr16:uid="{00000000-0016-0000-0100-000001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19" xr16:uid="{FA002716-3385-4559-A720-70B382BFBCE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31" xr16:uid="{970BF3A9-04D2-4B6D-A40C-E0EA6E24A3BB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55" xr16:uid="{CBB7F007-A108-433B-8779-6EAAAE3A584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60" xr16:uid="{702BE1A8-306C-4F5F-B765-EE7304EA942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1" xr16:uid="{58869D12-FD72-463B-8D1A-043392D9C5F9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33" xr16:uid="{8B35B5AE-CCEE-435C-8861-0FA115255FF7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28" xr16:uid="{FE4BE72E-6C65-4DCB-AF97-530AACC25065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25" xr16:uid="{1C8D6600-23CA-4B54-BE40-53088B9995EA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32" xr16:uid="{A3478BCB-5E98-4648-BE26-C4FF38B663B7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27" xr16:uid="{19CA16CB-2708-439E-8671-92710997D30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54" xr16:uid="{00000000-0016-0000-0100-000002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8" xr16:uid="{005D4779-CA6A-4056-AC2F-B5019EB35F68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57" xr16:uid="{00000000-0016-0000-0100-000000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22" xr16:uid="{EA28FA8F-64F1-4856-B881-DA7D05EF5B5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0" xr16:uid="{755ACC67-F97C-48B9-B8C3-5BC35261B67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56" xr16:uid="{90F3F5AD-90CA-4A6B-A14D-01A3DE4C5EB5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6" xr16:uid="{91B04ADF-E3B6-4026-ADF2-677A7F71B6BD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24" xr16:uid="{9933EB9D-8D2E-41C9-903D-12F8883CD468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59" xr16:uid="{78FA2D2D-F80C-499F-8F56-3210530D4EF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30" xr16:uid="{EBA4F0BA-E919-4397-BA84-F9F8CEC1439F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23" xr16:uid="{41D7F6BC-0B00-4113-844C-C8E4B02C5118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92" xr16:uid="{4E2DDB04-1B2B-42C7-A135-DA3522962E44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58" xr16:uid="{B4273A87-E7D3-4C76-B45B-A86EE7985925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34" xr16:uid="{42CDF57F-5577-4411-A13A-364AF523F30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G6" sqref="G6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81"/>
      <c r="B1" s="182" t="s">
        <v>179</v>
      </c>
      <c r="C1" s="181"/>
      <c r="D1" s="183"/>
    </row>
    <row r="2" spans="1:4" x14ac:dyDescent="0.2">
      <c r="A2" s="184"/>
      <c r="B2" s="184"/>
      <c r="C2" s="184"/>
      <c r="D2" s="183"/>
    </row>
    <row r="3" spans="1:4" ht="15.75" x14ac:dyDescent="0.2">
      <c r="A3" s="185"/>
      <c r="B3" s="186"/>
      <c r="C3" s="183"/>
      <c r="D3" s="183"/>
    </row>
    <row r="4" spans="1:4" ht="25.5" customHeight="1" x14ac:dyDescent="0.2">
      <c r="A4" s="187" t="s">
        <v>68</v>
      </c>
      <c r="B4" s="191" t="s">
        <v>386</v>
      </c>
      <c r="C4" s="183"/>
      <c r="D4" s="183"/>
    </row>
    <row r="5" spans="1:4" ht="15.75" x14ac:dyDescent="0.2">
      <c r="A5" s="185"/>
      <c r="B5" s="186"/>
      <c r="C5" s="183"/>
      <c r="D5" s="183"/>
    </row>
    <row r="6" spans="1:4" ht="25.5" customHeight="1" x14ac:dyDescent="0.2">
      <c r="A6" s="187" t="s">
        <v>69</v>
      </c>
      <c r="B6" s="191" t="s">
        <v>388</v>
      </c>
      <c r="C6" s="183"/>
      <c r="D6" s="183"/>
    </row>
    <row r="7" spans="1:4" x14ac:dyDescent="0.2">
      <c r="A7" s="185"/>
      <c r="B7" s="185"/>
      <c r="C7" s="183"/>
      <c r="D7" s="183"/>
    </row>
    <row r="8" spans="1:4" ht="25.5" customHeight="1" x14ac:dyDescent="0.2">
      <c r="A8" s="187" t="s">
        <v>70</v>
      </c>
      <c r="B8" s="191" t="s">
        <v>385</v>
      </c>
      <c r="C8" s="194"/>
      <c r="D8" s="183"/>
    </row>
    <row r="9" spans="1:4" x14ac:dyDescent="0.2">
      <c r="A9" s="185"/>
      <c r="B9" s="185"/>
      <c r="C9" s="183"/>
      <c r="D9" s="183"/>
    </row>
    <row r="10" spans="1:4" ht="25.5" customHeight="1" x14ac:dyDescent="0.2">
      <c r="A10" s="187" t="s">
        <v>71</v>
      </c>
      <c r="B10" s="191" t="s">
        <v>389</v>
      </c>
      <c r="C10" s="194"/>
      <c r="D10" s="183"/>
    </row>
    <row r="11" spans="1:4" x14ac:dyDescent="0.2">
      <c r="A11" s="185"/>
      <c r="B11" s="185"/>
      <c r="C11" s="183"/>
      <c r="D11" s="183"/>
    </row>
    <row r="12" spans="1:4" ht="30" customHeight="1" x14ac:dyDescent="0.2">
      <c r="A12" s="187" t="s">
        <v>72</v>
      </c>
      <c r="B12" s="191" t="s">
        <v>384</v>
      </c>
      <c r="C12" s="183"/>
      <c r="D12" s="183"/>
    </row>
    <row r="13" spans="1:4" ht="12.75" customHeight="1" x14ac:dyDescent="0.2">
      <c r="A13" s="185"/>
      <c r="B13" s="191"/>
      <c r="C13" s="183"/>
      <c r="D13" s="183"/>
    </row>
    <row r="14" spans="1:4" ht="25.5" customHeight="1" x14ac:dyDescent="0.2">
      <c r="A14" s="187" t="s">
        <v>104</v>
      </c>
      <c r="B14" s="191" t="s">
        <v>390</v>
      </c>
      <c r="C14" s="183"/>
      <c r="D14" s="183"/>
    </row>
    <row r="15" spans="1:4" x14ac:dyDescent="0.2">
      <c r="A15" s="185"/>
      <c r="B15" s="185"/>
      <c r="C15" s="183"/>
      <c r="D15" s="183"/>
    </row>
    <row r="16" spans="1:4" ht="25.5" customHeight="1" x14ac:dyDescent="0.2">
      <c r="A16" s="187" t="s">
        <v>105</v>
      </c>
      <c r="B16" s="191" t="s">
        <v>391</v>
      </c>
      <c r="C16" s="183"/>
      <c r="D16" s="183"/>
    </row>
    <row r="17" spans="1:4" x14ac:dyDescent="0.2">
      <c r="A17" s="187"/>
      <c r="B17" s="185"/>
      <c r="C17" s="183"/>
      <c r="D17" s="183"/>
    </row>
    <row r="18" spans="1:4" x14ac:dyDescent="0.2">
      <c r="A18" s="187"/>
      <c r="B18" s="185"/>
      <c r="C18" s="183"/>
      <c r="D18" s="183"/>
    </row>
    <row r="19" spans="1:4" ht="25.5" customHeight="1" x14ac:dyDescent="0.2">
      <c r="A19" s="187" t="s">
        <v>106</v>
      </c>
      <c r="B19" s="191" t="s">
        <v>387</v>
      </c>
      <c r="C19" s="183"/>
      <c r="D19" s="183"/>
    </row>
    <row r="20" spans="1:4" x14ac:dyDescent="0.2">
      <c r="A20" s="185"/>
      <c r="B20" s="185"/>
      <c r="C20" s="183"/>
      <c r="D20" s="183"/>
    </row>
    <row r="21" spans="1:4" x14ac:dyDescent="0.2">
      <c r="A21" s="188"/>
      <c r="B21" s="188"/>
      <c r="C21" s="184"/>
      <c r="D21" s="183"/>
    </row>
    <row r="22" spans="1:4" x14ac:dyDescent="0.2">
      <c r="A22" s="185"/>
      <c r="B22" s="185"/>
      <c r="C22" s="189"/>
      <c r="D22" s="183"/>
    </row>
    <row r="23" spans="1:4" ht="15.75" x14ac:dyDescent="0.2">
      <c r="A23" s="185"/>
      <c r="B23" s="186" t="s">
        <v>308</v>
      </c>
      <c r="C23" s="190"/>
      <c r="D23" s="183"/>
    </row>
    <row r="24" spans="1:4" x14ac:dyDescent="0.2">
      <c r="A24" s="185"/>
      <c r="B24" s="185"/>
      <c r="C24" s="189"/>
      <c r="D24" s="183"/>
    </row>
    <row r="25" spans="1:4" x14ac:dyDescent="0.2">
      <c r="A25" s="185"/>
      <c r="B25" s="185"/>
      <c r="C25" s="189"/>
      <c r="D25" s="183"/>
    </row>
    <row r="26" spans="1:4" x14ac:dyDescent="0.2">
      <c r="A26" s="185"/>
      <c r="B26" s="185"/>
      <c r="C26" s="189"/>
      <c r="D26" s="183"/>
    </row>
    <row r="27" spans="1:4" x14ac:dyDescent="0.2">
      <c r="A27" s="185"/>
      <c r="B27" s="185"/>
      <c r="C27" s="189"/>
      <c r="D27" s="183"/>
    </row>
    <row r="28" spans="1:4" x14ac:dyDescent="0.2">
      <c r="A28" s="185"/>
      <c r="B28" s="185"/>
      <c r="C28" s="189"/>
      <c r="D28" s="183"/>
    </row>
    <row r="29" spans="1:4" x14ac:dyDescent="0.2">
      <c r="A29" s="185"/>
      <c r="B29" s="185"/>
      <c r="C29" s="189"/>
      <c r="D29" s="183"/>
    </row>
    <row r="30" spans="1:4" x14ac:dyDescent="0.2">
      <c r="A30" s="185"/>
      <c r="B30" s="185"/>
      <c r="C30" s="189"/>
      <c r="D30" s="183"/>
    </row>
    <row r="31" spans="1:4" x14ac:dyDescent="0.2">
      <c r="A31" s="185"/>
      <c r="B31" s="185"/>
      <c r="C31" s="189"/>
      <c r="D31" s="183"/>
    </row>
    <row r="32" spans="1:4" x14ac:dyDescent="0.2">
      <c r="A32" s="185"/>
      <c r="B32" s="185"/>
      <c r="C32" s="189"/>
      <c r="D32" s="183"/>
    </row>
    <row r="33" spans="1:4" x14ac:dyDescent="0.2">
      <c r="A33" s="188"/>
      <c r="B33" s="188"/>
      <c r="C33" s="184"/>
      <c r="D33" s="183"/>
    </row>
    <row r="34" spans="1:4" x14ac:dyDescent="0.2">
      <c r="A34" s="183"/>
      <c r="B34" s="183"/>
      <c r="C34" s="183"/>
      <c r="D34" s="183"/>
    </row>
    <row r="35" spans="1:4" x14ac:dyDescent="0.2">
      <c r="A35" s="183"/>
      <c r="B35" s="183"/>
      <c r="C35" s="183"/>
      <c r="D35" s="183"/>
    </row>
    <row r="36" spans="1:4" x14ac:dyDescent="0.2">
      <c r="A36" s="183"/>
      <c r="B36" s="183"/>
      <c r="C36" s="183"/>
      <c r="D36" s="183"/>
    </row>
    <row r="37" spans="1:4" x14ac:dyDescent="0.2">
      <c r="A37" s="183"/>
      <c r="B37" s="183"/>
      <c r="C37" s="183"/>
      <c r="D37" s="183"/>
    </row>
    <row r="38" spans="1:4" x14ac:dyDescent="0.2">
      <c r="A38" s="183"/>
      <c r="B38" s="183"/>
      <c r="C38" s="183"/>
      <c r="D38" s="183"/>
    </row>
    <row r="39" spans="1:4" x14ac:dyDescent="0.2">
      <c r="A39" s="183"/>
      <c r="B39" s="183"/>
      <c r="C39" s="183"/>
      <c r="D39" s="18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F33" sqref="F33"/>
    </sheetView>
  </sheetViews>
  <sheetFormatPr defaultColWidth="10.7109375" defaultRowHeight="12.75" x14ac:dyDescent="0.2"/>
  <cols>
    <col min="1" max="1" width="11.42578125" style="204" bestFit="1" customWidth="1"/>
    <col min="2" max="2" width="11.7109375" style="202" bestFit="1" customWidth="1"/>
    <col min="3" max="3" width="10.140625" style="201" bestFit="1" customWidth="1"/>
    <col min="4" max="4" width="14.28515625" style="202" bestFit="1" customWidth="1"/>
    <col min="5" max="5" width="6.28515625" style="202" bestFit="1" customWidth="1"/>
    <col min="6" max="7" width="14.28515625" style="202" bestFit="1" customWidth="1"/>
    <col min="8" max="8" width="12.85546875" style="202" bestFit="1" customWidth="1"/>
    <col min="9" max="9" width="9.42578125" style="202" bestFit="1" customWidth="1"/>
    <col min="10" max="10" width="7" style="202" bestFit="1" customWidth="1"/>
    <col min="11" max="11" width="6.5703125" style="202" bestFit="1" customWidth="1"/>
    <col min="12" max="12" width="12.42578125" style="202" bestFit="1" customWidth="1"/>
    <col min="13" max="13" width="9.42578125" style="202" bestFit="1" customWidth="1"/>
    <col min="14" max="14" width="12.85546875" style="202" bestFit="1" customWidth="1"/>
    <col min="15" max="15" width="8" style="202" bestFit="1" customWidth="1"/>
    <col min="16" max="16" width="8.42578125" style="202" bestFit="1" customWidth="1"/>
    <col min="17" max="17" width="14.28515625" style="202" bestFit="1" customWidth="1"/>
    <col min="18" max="18" width="31.42578125" style="202" bestFit="1" customWidth="1"/>
    <col min="19" max="22" width="12.7109375" style="205" bestFit="1" customWidth="1"/>
    <col min="23" max="24" width="11.42578125" style="202" bestFit="1" customWidth="1"/>
    <col min="25" max="27" width="7" style="202" bestFit="1" customWidth="1"/>
    <col min="28" max="28" width="14.28515625" bestFit="1" customWidth="1"/>
    <col min="29" max="29" width="20.140625" bestFit="1" customWidth="1"/>
    <col min="30" max="30" width="11.42578125" bestFit="1" customWidth="1"/>
    <col min="31" max="31" width="11.7109375" style="192" bestFit="1" customWidth="1"/>
    <col min="32" max="32" width="7.85546875" style="205" bestFit="1" customWidth="1"/>
    <col min="33" max="33" width="11.7109375" style="205" bestFit="1" customWidth="1"/>
    <col min="34" max="34" width="6.28515625" style="205" bestFit="1" customWidth="1"/>
    <col min="35" max="35" width="12.85546875" style="205" bestFit="1" customWidth="1"/>
    <col min="36" max="36" width="12.7109375" style="205" bestFit="1" customWidth="1"/>
    <col min="37" max="37" width="12.85546875" style="205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9" bestFit="1" customWidth="1"/>
    <col min="47" max="47" width="31.42578125" style="219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2" bestFit="1" customWidth="1"/>
    <col min="57" max="57" width="10.85546875" style="192" bestFit="1" customWidth="1"/>
    <col min="58" max="58" width="15.85546875" bestFit="1" customWidth="1"/>
    <col min="59" max="59" width="27.28515625" style="202" bestFit="1" customWidth="1"/>
    <col min="60" max="60" width="6.5703125" style="202" bestFit="1" customWidth="1"/>
    <col min="61" max="61" width="9.5703125" style="202" bestFit="1" customWidth="1"/>
    <col min="62" max="64" width="11.5703125" style="202" bestFit="1" customWidth="1"/>
    <col min="65" max="65" width="7" style="202" bestFit="1" customWidth="1"/>
    <col min="66" max="66" width="11" style="202" bestFit="1" customWidth="1"/>
    <col min="67" max="67" width="8.85546875" style="202" bestFit="1" customWidth="1"/>
    <col min="68" max="69" width="10.7109375" style="202" bestFit="1" customWidth="1"/>
    <col min="70" max="70" width="11.42578125" style="202" bestFit="1" customWidth="1"/>
    <col min="71" max="71" width="11.85546875" style="202" bestFit="1" customWidth="1"/>
    <col min="72" max="72" width="6.42578125" style="202" bestFit="1" customWidth="1"/>
    <col min="73" max="73" width="6.42578125" style="204" bestFit="1" customWidth="1"/>
    <col min="74" max="74" width="6.42578125" style="202" bestFit="1" customWidth="1"/>
    <col min="75" max="75" width="10.7109375" style="202" bestFit="1" customWidth="1"/>
    <col min="76" max="76" width="11.140625" style="204" bestFit="1" customWidth="1"/>
    <col min="77" max="77" width="12.140625" style="204" bestFit="1" customWidth="1"/>
    <col min="78" max="78" width="12" style="202" bestFit="1" customWidth="1"/>
    <col min="79" max="79" width="12.140625" style="202" bestFit="1" customWidth="1"/>
    <col min="80" max="80" width="10.42578125" style="202" bestFit="1" customWidth="1"/>
    <col min="81" max="81" width="6" style="202" bestFit="1" customWidth="1"/>
    <col min="82" max="82" width="5.85546875" style="202" bestFit="1" customWidth="1"/>
    <col min="83" max="83" width="6.28515625" style="202" bestFit="1" customWidth="1"/>
    <col min="84" max="84" width="7.28515625" style="202" bestFit="1" customWidth="1"/>
    <col min="85" max="85" width="8.7109375" style="202" bestFit="1" customWidth="1"/>
    <col min="86" max="86" width="7.7109375" style="202" bestFit="1" customWidth="1"/>
    <col min="87" max="87" width="14.28515625" style="202" bestFit="1" customWidth="1"/>
    <col min="88" max="88" width="10.42578125" style="202" bestFit="1" customWidth="1"/>
    <col min="89" max="89" width="27.28515625" style="202" bestFit="1" customWidth="1"/>
    <col min="90" max="90" width="11.5703125" style="202" bestFit="1" customWidth="1"/>
    <col min="91" max="91" width="11.5703125" style="204" bestFit="1" customWidth="1"/>
    <col min="92" max="93" width="11.5703125" style="202" bestFit="1" customWidth="1"/>
    <col min="94" max="95" width="10.7109375" style="202" bestFit="1" customWidth="1"/>
    <col min="96" max="98" width="6.42578125" style="202" bestFit="1" customWidth="1"/>
    <col min="99" max="99" width="8.7109375" style="202" bestFit="1" customWidth="1"/>
    <col min="100" max="100" width="14.28515625" style="202" bestFit="1" customWidth="1"/>
    <col min="101" max="101" width="10.7109375" style="202"/>
    <col min="102" max="102" width="11.140625" style="202" bestFit="1" customWidth="1"/>
    <col min="103" max="103" width="7" style="202" bestFit="1" customWidth="1"/>
    <col min="104" max="104" width="11" style="202" bestFit="1" customWidth="1"/>
    <col min="105" max="105" width="7" style="202" bestFit="1" customWidth="1"/>
    <col min="106" max="106" width="12.140625" style="202" bestFit="1" customWidth="1"/>
    <col min="107" max="107" width="12" style="202" bestFit="1" customWidth="1"/>
    <col min="108" max="108" width="12.140625" style="202" bestFit="1" customWidth="1"/>
    <col min="109" max="109" width="6" style="202" bestFit="1" customWidth="1"/>
    <col min="110" max="110" width="5.85546875" style="202" bestFit="1" customWidth="1"/>
    <col min="111" max="111" width="6.28515625" style="202" bestFit="1" customWidth="1"/>
    <col min="112" max="112" width="11.42578125" style="202" bestFit="1" customWidth="1"/>
    <col min="113" max="113" width="8.85546875" style="202" bestFit="1" customWidth="1"/>
    <col min="114" max="114" width="11.85546875" style="202" bestFit="1" customWidth="1"/>
    <col min="115" max="115" width="7.28515625" style="202" bestFit="1" customWidth="1"/>
    <col min="116" max="116" width="7.7109375" style="202" bestFit="1" customWidth="1"/>
    <col min="117" max="117" width="10.42578125" style="202" bestFit="1" customWidth="1"/>
    <col min="118" max="118" width="27.28515625" style="202" bestFit="1" customWidth="1"/>
    <col min="119" max="122" width="12" style="202" bestFit="1" customWidth="1"/>
    <col min="123" max="124" width="10.7109375" style="202"/>
    <col min="125" max="127" width="6.42578125" style="202" bestFit="1" customWidth="1"/>
    <col min="128" max="128" width="8.7109375" style="202" bestFit="1" customWidth="1"/>
    <col min="129" max="129" width="14.28515625" style="202" bestFit="1" customWidth="1"/>
    <col min="130" max="130" width="10.7109375" style="202"/>
    <col min="131" max="131" width="11.140625" style="202" bestFit="1" customWidth="1"/>
    <col min="132" max="132" width="7" style="202" bestFit="1" customWidth="1"/>
    <col min="133" max="133" width="11" style="202" bestFit="1" customWidth="1"/>
    <col min="134" max="134" width="7" style="202" bestFit="1" customWidth="1"/>
    <col min="135" max="135" width="12.140625" style="202" bestFit="1" customWidth="1"/>
    <col min="136" max="136" width="12" style="202" bestFit="1" customWidth="1"/>
    <col min="137" max="137" width="12.140625" style="202" bestFit="1" customWidth="1"/>
    <col min="138" max="138" width="6" style="202" bestFit="1" customWidth="1"/>
    <col min="139" max="139" width="5.85546875" style="202" bestFit="1" customWidth="1"/>
    <col min="140" max="140" width="6.28515625" style="202" bestFit="1" customWidth="1"/>
    <col min="141" max="141" width="11.42578125" style="202" bestFit="1" customWidth="1"/>
    <col min="142" max="142" width="8.85546875" style="202" bestFit="1" customWidth="1"/>
    <col min="143" max="143" width="11.85546875" style="202" bestFit="1" customWidth="1"/>
    <col min="144" max="144" width="7.28515625" style="202" bestFit="1" customWidth="1"/>
    <col min="145" max="145" width="7.7109375" style="202" bestFit="1" customWidth="1"/>
    <col min="146" max="146" width="10.42578125" style="202" bestFit="1" customWidth="1"/>
    <col min="147" max="147" width="27.28515625" style="202" bestFit="1" customWidth="1"/>
    <col min="148" max="151" width="12" style="202" bestFit="1" customWidth="1"/>
    <col min="152" max="153" width="10.7109375" style="202"/>
    <col min="154" max="156" width="6.42578125" style="202" bestFit="1" customWidth="1"/>
    <col min="157" max="157" width="8.7109375" style="202" bestFit="1" customWidth="1"/>
    <col min="158" max="158" width="14.28515625" style="202" bestFit="1" customWidth="1"/>
    <col min="159" max="159" width="10.7109375" style="202"/>
    <col min="160" max="160" width="11.140625" style="202" bestFit="1" customWidth="1"/>
    <col min="161" max="161" width="7" style="202" bestFit="1" customWidth="1"/>
    <col min="162" max="162" width="11" style="202" bestFit="1" customWidth="1"/>
    <col min="163" max="163" width="7" style="202" bestFit="1" customWidth="1"/>
    <col min="164" max="164" width="12.140625" style="202" bestFit="1" customWidth="1"/>
    <col min="165" max="165" width="12" style="202" bestFit="1" customWidth="1"/>
    <col min="166" max="166" width="12.140625" style="202" bestFit="1" customWidth="1"/>
    <col min="167" max="167" width="6" style="202" bestFit="1" customWidth="1"/>
    <col min="168" max="168" width="5.85546875" style="202" bestFit="1" customWidth="1"/>
    <col min="169" max="169" width="6.28515625" style="202" bestFit="1" customWidth="1"/>
    <col min="170" max="170" width="11.42578125" style="202" bestFit="1" customWidth="1"/>
    <col min="171" max="171" width="8.85546875" style="202" bestFit="1" customWidth="1"/>
    <col min="172" max="172" width="11.85546875" style="202" bestFit="1" customWidth="1"/>
    <col min="173" max="173" width="7.28515625" style="202" bestFit="1" customWidth="1"/>
    <col min="174" max="174" width="7.7109375" style="202" bestFit="1" customWidth="1"/>
    <col min="175" max="175" width="10.42578125" style="202" bestFit="1" customWidth="1"/>
    <col min="176" max="176" width="27.28515625" style="202" bestFit="1" customWidth="1"/>
    <col min="177" max="180" width="12" style="202" bestFit="1" customWidth="1"/>
    <col min="181" max="182" width="10.7109375" style="202"/>
    <col min="183" max="185" width="6.42578125" style="202" bestFit="1" customWidth="1"/>
    <col min="186" max="186" width="7.42578125" style="202" bestFit="1" customWidth="1"/>
    <col min="187" max="187" width="11.140625" style="202" bestFit="1" customWidth="1"/>
    <col min="188" max="188" width="10.7109375" style="202"/>
    <col min="189" max="189" width="11.140625" style="202" bestFit="1" customWidth="1"/>
    <col min="190" max="190" width="7" style="202" bestFit="1" customWidth="1"/>
    <col min="191" max="191" width="11" style="202" bestFit="1" customWidth="1"/>
    <col min="192" max="192" width="7" style="202" bestFit="1" customWidth="1"/>
    <col min="193" max="193" width="12.140625" style="202" bestFit="1" customWidth="1"/>
    <col min="194" max="194" width="12" style="202" bestFit="1" customWidth="1"/>
    <col min="195" max="195" width="12.140625" style="202" bestFit="1" customWidth="1"/>
    <col min="196" max="196" width="6" style="202" bestFit="1" customWidth="1"/>
    <col min="197" max="197" width="5.85546875" style="202" bestFit="1" customWidth="1"/>
    <col min="198" max="198" width="6.28515625" style="202" bestFit="1" customWidth="1"/>
    <col min="199" max="199" width="11.42578125" style="202" bestFit="1" customWidth="1"/>
    <col min="200" max="200" width="8.85546875" style="202" bestFit="1" customWidth="1"/>
    <col min="201" max="201" width="11.85546875" style="202" bestFit="1" customWidth="1"/>
    <col min="202" max="202" width="7.28515625" style="202" bestFit="1" customWidth="1"/>
    <col min="203" max="203" width="7.7109375" style="202" bestFit="1" customWidth="1"/>
    <col min="204" max="204" width="10.42578125" style="202" bestFit="1" customWidth="1"/>
    <col min="205" max="205" width="27.28515625" style="202" bestFit="1" customWidth="1"/>
    <col min="206" max="209" width="12" style="202" bestFit="1" customWidth="1"/>
    <col min="210" max="211" width="10.7109375" style="202"/>
    <col min="212" max="214" width="6.42578125" style="202" bestFit="1" customWidth="1"/>
    <col min="215" max="215" width="7.42578125" style="202" bestFit="1" customWidth="1"/>
    <col min="216" max="216" width="11.140625" style="202" bestFit="1" customWidth="1"/>
    <col min="217" max="217" width="27.28515625" style="202" bestFit="1" customWidth="1"/>
    <col min="218" max="218" width="7" style="202" customWidth="1"/>
    <col min="219" max="222" width="12" style="202" bestFit="1" customWidth="1"/>
    <col min="223" max="223" width="7" style="202" customWidth="1"/>
    <col min="224" max="224" width="11" style="202" bestFit="1" customWidth="1"/>
    <col min="225" max="225" width="8.85546875" style="202" customWidth="1"/>
    <col min="226" max="227" width="10.7109375" style="202"/>
    <col min="228" max="228" width="11.42578125" style="202" bestFit="1" customWidth="1"/>
    <col min="229" max="229" width="11.85546875" style="202" bestFit="1" customWidth="1"/>
    <col min="230" max="232" width="6.42578125" style="202" customWidth="1"/>
    <col min="233" max="233" width="10.7109375" style="202"/>
    <col min="234" max="234" width="11.140625" style="202" bestFit="1" customWidth="1"/>
    <col min="235" max="235" width="12.140625" style="202" bestFit="1" customWidth="1"/>
    <col min="236" max="236" width="12" style="202" bestFit="1" customWidth="1"/>
    <col min="237" max="237" width="12.140625" style="202" bestFit="1" customWidth="1"/>
    <col min="238" max="238" width="10.42578125" style="202" customWidth="1"/>
    <col min="239" max="239" width="6" style="202" customWidth="1"/>
    <col min="240" max="240" width="5.85546875" style="202" customWidth="1"/>
    <col min="241" max="241" width="6.28515625" style="202" customWidth="1"/>
    <col min="242" max="242" width="7.28515625" style="202" customWidth="1"/>
    <col min="243" max="243" width="7.42578125" style="202" customWidth="1"/>
    <col min="244" max="244" width="7.7109375" style="202" customWidth="1"/>
    <col min="245" max="245" width="11.140625" style="202" bestFit="1" customWidth="1"/>
    <col min="246" max="246" width="11.7109375" style="202" bestFit="1" customWidth="1"/>
    <col min="247" max="247" width="11.85546875" style="202" bestFit="1" customWidth="1"/>
    <col min="248" max="248" width="7.5703125" style="202" bestFit="1" customWidth="1"/>
    <col min="249" max="249" width="12" style="202" bestFit="1" customWidth="1"/>
    <col min="250" max="250" width="7" style="202" bestFit="1" customWidth="1"/>
    <col min="251" max="251" width="12.85546875" style="202" bestFit="1" customWidth="1"/>
    <col min="252" max="253" width="13.28515625" style="202" bestFit="1" customWidth="1"/>
    <col min="254" max="254" width="6.42578125" style="202" bestFit="1" customWidth="1"/>
    <col min="255" max="255" width="6.28515625" style="202" bestFit="1" customWidth="1"/>
    <col min="256" max="256" width="6.42578125" style="202" bestFit="1" customWidth="1"/>
    <col min="257" max="257" width="12.140625" style="202" bestFit="1" customWidth="1"/>
    <col min="258" max="258" width="9.5703125" style="202" bestFit="1" customWidth="1"/>
    <col min="259" max="259" width="12.5703125" style="202" bestFit="1" customWidth="1"/>
    <col min="260" max="260" width="7.7109375" style="202" bestFit="1" customWidth="1"/>
    <col min="261" max="261" width="7.85546875" style="202" bestFit="1" customWidth="1"/>
    <col min="262" max="262" width="11.5703125" style="202" bestFit="1" customWidth="1"/>
    <col min="263" max="263" width="27.28515625" style="202" bestFit="1" customWidth="1"/>
    <col min="264" max="267" width="12" style="202" bestFit="1" customWidth="1"/>
    <col min="268" max="268" width="12.140625" style="202" bestFit="1" customWidth="1"/>
    <col min="269" max="269" width="11.5703125" style="202" bestFit="1" customWidth="1"/>
    <col min="270" max="272" width="7.140625" style="202" bestFit="1" customWidth="1"/>
    <col min="273" max="273" width="7.85546875" style="202" bestFit="1" customWidth="1"/>
    <col min="274" max="274" width="11.140625" style="202" bestFit="1" customWidth="1"/>
    <col min="275" max="276" width="10.7109375" style="202"/>
    <col min="277" max="277" width="14.140625" style="202" bestFit="1" customWidth="1"/>
    <col min="278" max="278" width="12.28515625" style="202" bestFit="1" customWidth="1"/>
    <col min="279" max="279" width="10.7109375" style="202"/>
    <col min="280" max="280" width="10.28515625" style="202" customWidth="1"/>
    <col min="281" max="16384" width="10.7109375" style="202"/>
  </cols>
  <sheetData>
    <row r="1" spans="1:282" ht="15" x14ac:dyDescent="0.2">
      <c r="A1" s="219" t="s">
        <v>157</v>
      </c>
      <c r="B1" s="219" t="s">
        <v>158</v>
      </c>
      <c r="C1" s="205" t="s">
        <v>148</v>
      </c>
      <c r="D1" s="205" t="s">
        <v>77</v>
      </c>
      <c r="E1" s="192" t="s">
        <v>143</v>
      </c>
      <c r="F1" s="205" t="s">
        <v>159</v>
      </c>
      <c r="G1" s="205" t="s">
        <v>160</v>
      </c>
      <c r="H1" s="205" t="s">
        <v>161</v>
      </c>
      <c r="I1" s="205" t="s">
        <v>163</v>
      </c>
      <c r="J1" s="205" t="s">
        <v>355</v>
      </c>
      <c r="K1" s="205" t="s">
        <v>356</v>
      </c>
      <c r="L1" s="205" t="s">
        <v>152</v>
      </c>
      <c r="M1" s="205" t="s">
        <v>149</v>
      </c>
      <c r="N1" s="205" t="s">
        <v>153</v>
      </c>
      <c r="O1" s="192" t="s">
        <v>164</v>
      </c>
      <c r="P1" s="192" t="s">
        <v>166</v>
      </c>
      <c r="Q1" s="205" t="s">
        <v>162</v>
      </c>
      <c r="R1" s="205" t="s">
        <v>142</v>
      </c>
      <c r="S1" s="205" t="s">
        <v>144</v>
      </c>
      <c r="T1" s="205" t="s">
        <v>145</v>
      </c>
      <c r="U1" s="205" t="s">
        <v>146</v>
      </c>
      <c r="V1" s="205" t="s">
        <v>147</v>
      </c>
      <c r="W1" s="205" t="s">
        <v>150</v>
      </c>
      <c r="X1" s="205" t="s">
        <v>151</v>
      </c>
      <c r="Y1" s="205" t="s">
        <v>154</v>
      </c>
      <c r="Z1" s="205" t="s">
        <v>155</v>
      </c>
      <c r="AA1" s="205" t="s">
        <v>156</v>
      </c>
      <c r="AB1" s="205" t="s">
        <v>165</v>
      </c>
      <c r="AC1" s="205" t="s">
        <v>167</v>
      </c>
      <c r="AD1" s="205"/>
      <c r="AL1" s="205"/>
      <c r="AM1" s="205"/>
      <c r="AN1" s="205"/>
      <c r="AO1" s="205"/>
      <c r="AP1" s="205"/>
      <c r="AQ1" s="205"/>
      <c r="AR1" s="205"/>
      <c r="AS1" s="205"/>
      <c r="AV1" s="205"/>
      <c r="AW1" s="205"/>
      <c r="AX1" s="205"/>
      <c r="AY1" s="205"/>
      <c r="AZ1" s="205"/>
      <c r="BA1" s="205"/>
      <c r="BB1" s="205"/>
      <c r="BD1" s="205"/>
      <c r="BF1" s="205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IL1" s="203"/>
      <c r="IM1" s="203"/>
      <c r="IP1" s="351"/>
      <c r="IQ1" s="351"/>
      <c r="IR1" s="203"/>
      <c r="IS1" s="203"/>
      <c r="IT1" s="203"/>
      <c r="IW1" s="351"/>
      <c r="IY1" s="351"/>
      <c r="JB1" s="203"/>
      <c r="JC1" s="203"/>
      <c r="JD1" s="203"/>
      <c r="JE1" s="203"/>
      <c r="JF1" s="351"/>
      <c r="JG1" s="351"/>
      <c r="JI1" s="351"/>
      <c r="JJ1" s="203"/>
      <c r="JK1" s="203"/>
      <c r="JL1" s="203"/>
      <c r="JN1" s="203"/>
      <c r="JQ1" s="203"/>
      <c r="JR1" s="203"/>
      <c r="JV1" s="203"/>
    </row>
    <row r="2" spans="1:282" x14ac:dyDescent="0.2">
      <c r="A2" s="219"/>
      <c r="B2" s="219"/>
      <c r="C2" s="205"/>
      <c r="D2" s="205"/>
      <c r="E2" s="192"/>
      <c r="F2" s="205"/>
      <c r="G2" s="205"/>
      <c r="H2" s="205"/>
      <c r="I2" s="205"/>
      <c r="J2"/>
      <c r="K2"/>
      <c r="L2" s="205"/>
      <c r="M2" s="205"/>
      <c r="N2" s="205"/>
      <c r="O2" s="192"/>
      <c r="P2" s="192"/>
      <c r="Q2" s="205"/>
      <c r="R2" s="205"/>
      <c r="W2" s="205"/>
      <c r="X2" s="205"/>
      <c r="Y2" s="205"/>
      <c r="Z2" s="205"/>
      <c r="AA2" s="205"/>
      <c r="AB2" s="205"/>
      <c r="AC2" s="205"/>
      <c r="AD2" s="205"/>
      <c r="AL2" s="205"/>
      <c r="AM2" s="205"/>
      <c r="AN2" s="205"/>
      <c r="AO2" s="205"/>
      <c r="AP2" s="205"/>
      <c r="AQ2" s="205"/>
      <c r="AR2" s="205"/>
      <c r="AS2" s="205"/>
      <c r="AV2" s="205"/>
      <c r="AW2" s="205"/>
      <c r="AX2" s="205"/>
      <c r="AY2" s="205"/>
      <c r="AZ2" s="205"/>
      <c r="BD2" s="205"/>
      <c r="BF2" s="205"/>
    </row>
    <row r="3" spans="1:282" x14ac:dyDescent="0.2">
      <c r="A3" s="219"/>
      <c r="B3" s="219"/>
      <c r="C3" s="205"/>
      <c r="D3" s="205"/>
      <c r="E3" s="192"/>
      <c r="F3" s="205"/>
      <c r="G3" s="205"/>
      <c r="H3" s="205"/>
      <c r="I3" s="205"/>
      <c r="J3" s="205"/>
      <c r="K3" s="205"/>
      <c r="L3" s="205"/>
      <c r="M3" s="205"/>
      <c r="N3" s="205"/>
      <c r="O3" s="192"/>
      <c r="P3" s="192"/>
      <c r="Q3" s="205"/>
      <c r="R3" s="205"/>
      <c r="W3" s="205"/>
      <c r="X3" s="205"/>
      <c r="Y3" s="205"/>
      <c r="Z3" s="205"/>
      <c r="AA3" s="205"/>
      <c r="AB3" s="205"/>
      <c r="AC3" s="205"/>
      <c r="AD3" s="205"/>
      <c r="AL3" s="205"/>
      <c r="AM3" s="205"/>
      <c r="AN3" s="205"/>
      <c r="AO3" s="205"/>
      <c r="AP3" s="205"/>
      <c r="AQ3" s="205"/>
      <c r="AR3" s="205"/>
      <c r="AS3" s="205"/>
      <c r="AV3" s="205"/>
      <c r="AW3" s="205"/>
      <c r="AX3" s="205"/>
      <c r="AY3" s="205"/>
      <c r="AZ3" s="205"/>
      <c r="BA3" s="205"/>
      <c r="BB3" s="205"/>
      <c r="BD3" s="205"/>
      <c r="BF3" s="205"/>
      <c r="BG3" s="201"/>
      <c r="BJ3" s="201"/>
      <c r="BK3" s="201"/>
      <c r="BL3" s="201"/>
      <c r="BM3" s="201"/>
      <c r="BN3" s="201"/>
      <c r="BO3" s="201"/>
      <c r="BP3" s="201"/>
      <c r="BQ3" s="201"/>
      <c r="BR3" s="201"/>
      <c r="BS3" s="201"/>
      <c r="BT3" s="201"/>
      <c r="BU3" s="201"/>
      <c r="BV3" s="201"/>
      <c r="BW3" s="201"/>
      <c r="BX3" s="201"/>
      <c r="BY3" s="201"/>
      <c r="BZ3" s="201"/>
      <c r="CA3" s="201"/>
      <c r="CB3" s="201"/>
      <c r="CC3" s="201"/>
      <c r="CD3" s="201"/>
      <c r="CE3" s="201"/>
      <c r="CF3" s="201"/>
      <c r="CG3" s="201"/>
      <c r="CH3" s="201"/>
      <c r="CI3" s="201"/>
      <c r="CJ3" s="201"/>
      <c r="CK3" s="201"/>
      <c r="CL3" s="201"/>
      <c r="CM3" s="201"/>
      <c r="CN3" s="201"/>
      <c r="CO3" s="201"/>
      <c r="CP3" s="201"/>
      <c r="CQ3" s="201"/>
      <c r="CR3" s="201"/>
      <c r="CS3" s="201"/>
      <c r="CT3" s="201"/>
      <c r="CU3" s="201"/>
      <c r="CV3" s="201"/>
    </row>
    <row r="4" spans="1:282" x14ac:dyDescent="0.2">
      <c r="A4" s="219"/>
      <c r="B4" s="219"/>
      <c r="C4" s="205"/>
      <c r="D4" s="205"/>
      <c r="E4" s="192"/>
      <c r="F4" s="205"/>
      <c r="G4" s="205"/>
      <c r="H4" s="205"/>
      <c r="I4" s="205"/>
      <c r="J4"/>
      <c r="K4"/>
      <c r="L4" s="205"/>
      <c r="M4" s="205"/>
      <c r="N4" s="205"/>
      <c r="O4" s="192"/>
      <c r="P4" s="192"/>
      <c r="Q4" s="205"/>
      <c r="R4" s="205"/>
      <c r="W4" s="205"/>
      <c r="X4" s="205"/>
      <c r="Y4" s="205"/>
      <c r="Z4" s="205"/>
      <c r="AA4" s="205"/>
      <c r="AB4" s="205"/>
      <c r="AC4" s="205"/>
      <c r="AD4" s="205"/>
      <c r="AL4" s="205"/>
      <c r="AM4" s="205"/>
      <c r="AN4" s="205"/>
      <c r="AO4" s="205"/>
      <c r="AP4" s="205"/>
      <c r="AQ4" s="205"/>
      <c r="AR4" s="205"/>
      <c r="AS4" s="205"/>
      <c r="AV4" s="205"/>
      <c r="AW4" s="205"/>
      <c r="AX4" s="205"/>
      <c r="AY4" s="205"/>
      <c r="AZ4" s="205"/>
      <c r="BD4" s="205"/>
      <c r="BF4" s="205"/>
    </row>
    <row r="5" spans="1:282" x14ac:dyDescent="0.2">
      <c r="A5" s="219"/>
      <c r="B5" s="219"/>
      <c r="C5" s="205"/>
      <c r="D5" s="205"/>
      <c r="E5" s="192"/>
      <c r="F5" s="205"/>
      <c r="G5" s="205"/>
      <c r="H5" s="205"/>
      <c r="I5" s="205"/>
      <c r="J5"/>
      <c r="K5"/>
      <c r="L5" s="205"/>
      <c r="M5" s="205"/>
      <c r="N5" s="205"/>
      <c r="O5" s="192"/>
      <c r="P5" s="192"/>
      <c r="Q5" s="205"/>
      <c r="R5" s="205"/>
      <c r="W5" s="205"/>
      <c r="X5" s="205"/>
      <c r="Y5" s="205"/>
      <c r="Z5" s="205"/>
      <c r="AA5" s="205"/>
      <c r="AB5" s="205"/>
      <c r="AC5" s="205"/>
      <c r="AD5" s="205"/>
      <c r="AL5" s="205"/>
      <c r="AM5" s="205"/>
      <c r="AN5" s="205"/>
      <c r="AO5" s="205"/>
      <c r="AP5" s="205"/>
      <c r="AQ5" s="205"/>
      <c r="AR5" s="205"/>
      <c r="AS5" s="205"/>
      <c r="AV5" s="205"/>
      <c r="AW5" s="205"/>
      <c r="AX5" s="205"/>
      <c r="AY5" s="205"/>
      <c r="AZ5" s="205"/>
      <c r="BD5" s="205"/>
      <c r="BF5" s="205"/>
    </row>
    <row r="6" spans="1:282" x14ac:dyDescent="0.2">
      <c r="A6" s="219"/>
      <c r="B6" s="219"/>
      <c r="C6" s="205"/>
      <c r="D6" s="205"/>
      <c r="E6" s="192"/>
      <c r="F6" s="205"/>
      <c r="G6" s="205"/>
      <c r="H6" s="205"/>
      <c r="I6" s="205"/>
      <c r="J6"/>
      <c r="K6"/>
      <c r="L6" s="205"/>
      <c r="M6" s="205"/>
      <c r="N6" s="205"/>
      <c r="O6" s="192"/>
      <c r="P6" s="192"/>
      <c r="Q6" s="205"/>
      <c r="R6" s="205"/>
      <c r="W6" s="205"/>
      <c r="X6" s="205"/>
      <c r="Y6" s="205"/>
      <c r="Z6" s="205"/>
      <c r="AA6" s="205"/>
      <c r="AB6" s="205"/>
      <c r="AC6" s="205"/>
      <c r="AD6" s="205"/>
      <c r="AL6" s="205"/>
      <c r="AM6" s="205"/>
      <c r="AN6" s="205"/>
      <c r="AO6" s="205"/>
      <c r="AP6" s="205"/>
      <c r="AQ6" s="205"/>
      <c r="AR6" s="205"/>
      <c r="AS6" s="205"/>
      <c r="AV6" s="205"/>
      <c r="AW6" s="205"/>
      <c r="AX6" s="205"/>
      <c r="AY6" s="205"/>
      <c r="AZ6" s="205"/>
      <c r="BD6" s="205"/>
      <c r="BF6" s="205"/>
    </row>
    <row r="7" spans="1:282" x14ac:dyDescent="0.2">
      <c r="A7" s="219"/>
      <c r="B7" s="219"/>
      <c r="C7" s="205"/>
      <c r="D7" s="205"/>
      <c r="E7" s="192"/>
      <c r="F7" s="205"/>
      <c r="G7" s="205"/>
      <c r="H7" s="205"/>
      <c r="I7" s="205"/>
      <c r="J7"/>
      <c r="K7"/>
      <c r="L7" s="205"/>
      <c r="M7" s="205"/>
      <c r="N7" s="205"/>
      <c r="O7" s="192"/>
      <c r="P7" s="192"/>
      <c r="Q7" s="205"/>
      <c r="R7" s="205"/>
      <c r="W7" s="205"/>
      <c r="X7" s="205"/>
      <c r="Y7" s="205"/>
      <c r="Z7" s="205"/>
      <c r="AA7" s="205"/>
      <c r="AB7" s="205"/>
      <c r="AC7" s="205"/>
      <c r="AD7" s="205"/>
      <c r="AL7" s="205"/>
      <c r="AM7" s="205"/>
      <c r="AN7" s="205"/>
      <c r="AO7" s="205"/>
      <c r="AP7" s="205"/>
      <c r="AQ7" s="205"/>
      <c r="AR7" s="205"/>
      <c r="AS7" s="205"/>
      <c r="AV7" s="205"/>
      <c r="AW7" s="205"/>
      <c r="AX7" s="205"/>
      <c r="AY7" s="205"/>
      <c r="AZ7" s="205"/>
      <c r="BD7" s="205"/>
      <c r="BF7" s="205"/>
    </row>
    <row r="8" spans="1:282" x14ac:dyDescent="0.2">
      <c r="A8" s="219"/>
      <c r="B8" s="219"/>
      <c r="C8" s="205"/>
      <c r="D8" s="205"/>
      <c r="E8" s="192"/>
      <c r="F8" s="205"/>
      <c r="G8" s="205"/>
      <c r="H8" s="205"/>
      <c r="I8" s="205"/>
      <c r="J8"/>
      <c r="K8"/>
      <c r="L8" s="205"/>
      <c r="M8" s="205"/>
      <c r="N8" s="205"/>
      <c r="O8" s="192"/>
      <c r="P8" s="192"/>
      <c r="Q8" s="205"/>
      <c r="R8" s="205"/>
      <c r="W8" s="205"/>
      <c r="X8" s="205"/>
      <c r="Y8" s="205"/>
      <c r="Z8" s="205"/>
      <c r="AA8" s="205"/>
      <c r="AB8" s="205"/>
      <c r="AC8" s="205"/>
      <c r="AD8" s="205"/>
      <c r="AL8" s="205"/>
      <c r="AM8" s="205"/>
      <c r="AN8" s="205"/>
      <c r="AO8" s="205"/>
      <c r="AP8" s="205"/>
      <c r="AQ8" s="205"/>
      <c r="AR8" s="205"/>
      <c r="AS8" s="205"/>
      <c r="AV8" s="205"/>
      <c r="AW8" s="205"/>
      <c r="AX8" s="205"/>
      <c r="AY8" s="205"/>
      <c r="AZ8" s="205"/>
      <c r="BD8" s="205"/>
      <c r="BF8" s="205"/>
    </row>
    <row r="9" spans="1:282" x14ac:dyDescent="0.2">
      <c r="A9" s="219"/>
      <c r="B9" s="219"/>
      <c r="C9" s="205"/>
      <c r="D9" s="205"/>
      <c r="E9" s="192"/>
      <c r="F9" s="205"/>
      <c r="G9" s="205"/>
      <c r="H9" s="205"/>
      <c r="I9" s="205"/>
      <c r="J9"/>
      <c r="K9"/>
      <c r="L9" s="205"/>
      <c r="M9" s="205"/>
      <c r="N9" s="205"/>
      <c r="O9" s="192"/>
      <c r="P9" s="192"/>
      <c r="Q9" s="205"/>
      <c r="R9" s="205"/>
      <c r="W9" s="205"/>
      <c r="X9" s="205"/>
      <c r="Y9" s="205"/>
      <c r="Z9" s="205"/>
      <c r="AA9" s="205"/>
      <c r="AB9" s="205"/>
      <c r="AC9" s="205"/>
      <c r="AD9" s="205"/>
      <c r="AL9" s="205"/>
      <c r="AM9" s="205"/>
      <c r="AN9" s="205"/>
      <c r="AO9" s="205"/>
      <c r="AP9" s="205"/>
      <c r="AQ9" s="205"/>
      <c r="AR9" s="205"/>
      <c r="AS9" s="205"/>
      <c r="AV9" s="205"/>
      <c r="AW9" s="205"/>
      <c r="AX9" s="205"/>
      <c r="AY9" s="205"/>
      <c r="AZ9" s="205"/>
      <c r="BD9" s="205"/>
      <c r="BF9" s="205"/>
    </row>
    <row r="10" spans="1:282" x14ac:dyDescent="0.2">
      <c r="A10" s="219"/>
      <c r="B10" s="219"/>
      <c r="C10" s="205"/>
      <c r="D10" s="205"/>
      <c r="E10" s="192"/>
      <c r="F10" s="205"/>
      <c r="G10" s="205"/>
      <c r="H10" s="205"/>
      <c r="I10" s="205"/>
      <c r="J10"/>
      <c r="K10"/>
      <c r="L10" s="205"/>
      <c r="M10" s="205"/>
      <c r="N10" s="205"/>
      <c r="O10" s="192"/>
      <c r="P10" s="192"/>
      <c r="Q10" s="205"/>
      <c r="R10" s="205"/>
      <c r="W10" s="205"/>
      <c r="X10" s="205"/>
      <c r="Y10" s="205"/>
      <c r="Z10" s="205"/>
      <c r="AA10" s="205"/>
      <c r="AB10" s="205"/>
      <c r="AC10" s="205"/>
      <c r="AD10" s="205"/>
      <c r="AL10" s="205"/>
      <c r="AM10" s="205"/>
      <c r="AN10" s="205"/>
      <c r="AO10" s="205"/>
      <c r="AP10" s="205"/>
      <c r="AQ10" s="205"/>
      <c r="AR10" s="205"/>
      <c r="AS10" s="205"/>
      <c r="AV10" s="205"/>
      <c r="AW10" s="205"/>
      <c r="AX10" s="205"/>
      <c r="AY10" s="205"/>
      <c r="AZ10" s="205"/>
      <c r="BD10" s="205"/>
      <c r="BF10" s="205"/>
    </row>
    <row r="11" spans="1:282" x14ac:dyDescent="0.2">
      <c r="A11" s="219"/>
      <c r="B11" s="219"/>
      <c r="C11" s="205"/>
      <c r="D11" s="205"/>
      <c r="E11" s="192"/>
      <c r="F11" s="205"/>
      <c r="G11" s="205"/>
      <c r="H11" s="205"/>
      <c r="I11" s="205"/>
      <c r="J11"/>
      <c r="K11"/>
      <c r="L11" s="205"/>
      <c r="M11" s="205"/>
      <c r="N11" s="205"/>
      <c r="O11" s="192"/>
      <c r="P11" s="192"/>
      <c r="Q11" s="205"/>
      <c r="R11" s="205"/>
      <c r="W11" s="205"/>
      <c r="X11" s="205"/>
      <c r="Y11" s="205"/>
      <c r="Z11" s="205"/>
      <c r="AA11" s="205"/>
      <c r="AB11" s="205"/>
      <c r="AC11" s="205"/>
      <c r="AD11" s="205"/>
      <c r="AL11" s="205"/>
      <c r="AM11" s="205"/>
      <c r="AN11" s="205"/>
      <c r="AO11" s="205"/>
      <c r="AP11" s="205"/>
      <c r="AQ11" s="205"/>
      <c r="AR11" s="205"/>
      <c r="AS11" s="205"/>
      <c r="AV11" s="205"/>
      <c r="AW11" s="205"/>
      <c r="AX11" s="205"/>
      <c r="AY11" s="205"/>
      <c r="AZ11" s="205"/>
      <c r="BD11" s="205"/>
      <c r="BF11" s="205"/>
    </row>
    <row r="12" spans="1:282" x14ac:dyDescent="0.2">
      <c r="A12" s="219"/>
      <c r="B12" s="219"/>
      <c r="C12" s="205"/>
      <c r="D12" s="205"/>
      <c r="E12" s="192"/>
      <c r="F12" s="205"/>
      <c r="G12" s="205"/>
      <c r="H12" s="205"/>
      <c r="I12" s="205"/>
      <c r="J12"/>
      <c r="K12"/>
      <c r="L12" s="205"/>
      <c r="M12" s="205"/>
      <c r="N12" s="205"/>
      <c r="O12" s="192"/>
      <c r="P12" s="192"/>
      <c r="Q12" s="205"/>
      <c r="R12" s="205"/>
      <c r="W12" s="205"/>
      <c r="X12" s="205"/>
      <c r="Y12" s="205"/>
      <c r="Z12" s="205"/>
      <c r="AA12" s="205"/>
      <c r="AB12" s="205"/>
      <c r="AC12" s="205"/>
      <c r="AD12" s="205"/>
      <c r="AL12" s="205"/>
      <c r="AM12" s="205"/>
      <c r="AN12" s="205"/>
      <c r="AO12" s="205"/>
      <c r="AP12" s="205"/>
      <c r="AQ12" s="205"/>
      <c r="AR12" s="205"/>
      <c r="AS12" s="205"/>
      <c r="AV12" s="205"/>
      <c r="AW12" s="205"/>
      <c r="AX12" s="205"/>
      <c r="AY12" s="205"/>
      <c r="AZ12" s="205"/>
      <c r="BD12" s="205"/>
      <c r="BF12" s="205"/>
    </row>
    <row r="13" spans="1:282" x14ac:dyDescent="0.2">
      <c r="A13" s="219"/>
      <c r="B13" s="219"/>
      <c r="C13" s="205"/>
      <c r="D13" s="205"/>
      <c r="E13" s="192"/>
      <c r="F13" s="205"/>
      <c r="G13" s="205"/>
      <c r="H13" s="205"/>
      <c r="I13" s="205"/>
      <c r="J13"/>
      <c r="K13"/>
      <c r="L13" s="205"/>
      <c r="M13" s="205"/>
      <c r="N13" s="205"/>
      <c r="O13" s="192"/>
      <c r="P13" s="192"/>
      <c r="Q13" s="205"/>
      <c r="R13" s="205"/>
      <c r="W13" s="205"/>
      <c r="X13" s="205"/>
      <c r="Y13" s="205"/>
      <c r="Z13" s="205"/>
      <c r="AA13" s="205"/>
      <c r="AB13" s="205"/>
      <c r="AC13" s="205"/>
      <c r="AD13" s="205"/>
      <c r="AL13" s="205"/>
      <c r="AM13" s="205"/>
      <c r="AN13" s="205"/>
      <c r="AO13" s="205"/>
      <c r="AP13" s="205"/>
      <c r="AQ13" s="205"/>
      <c r="AR13" s="205"/>
      <c r="AS13" s="205"/>
      <c r="AV13" s="205"/>
      <c r="AW13" s="205"/>
      <c r="AX13" s="205"/>
      <c r="AY13" s="205"/>
      <c r="AZ13" s="205"/>
      <c r="BD13" s="205"/>
      <c r="BF13" s="205"/>
    </row>
    <row r="14" spans="1:282" x14ac:dyDescent="0.2">
      <c r="A14" s="219"/>
      <c r="B14" s="219"/>
      <c r="C14" s="205"/>
      <c r="D14" s="205"/>
      <c r="E14" s="192"/>
      <c r="F14" s="205"/>
      <c r="G14" s="205"/>
      <c r="H14" s="205"/>
      <c r="I14" s="205"/>
      <c r="J14"/>
      <c r="K14"/>
      <c r="L14" s="205"/>
      <c r="M14" s="205"/>
      <c r="N14" s="205"/>
      <c r="O14" s="192"/>
      <c r="P14" s="192"/>
      <c r="Q14" s="205"/>
      <c r="R14" s="205"/>
      <c r="W14" s="205"/>
      <c r="X14" s="205"/>
      <c r="Y14" s="205"/>
      <c r="Z14" s="205"/>
      <c r="AA14" s="205"/>
      <c r="AB14" s="205"/>
      <c r="AC14" s="205"/>
      <c r="AD14" s="205"/>
      <c r="AL14" s="205"/>
      <c r="AM14" s="205"/>
      <c r="AN14" s="205"/>
      <c r="AO14" s="205"/>
      <c r="AP14" s="205"/>
      <c r="AQ14" s="205"/>
      <c r="AR14" s="205"/>
      <c r="AS14" s="205"/>
      <c r="AV14" s="205"/>
      <c r="AW14" s="205"/>
      <c r="AX14" s="205"/>
      <c r="AY14" s="205"/>
      <c r="AZ14" s="205"/>
      <c r="BD14" s="205"/>
      <c r="BF14" s="205"/>
    </row>
    <row r="15" spans="1:282" x14ac:dyDescent="0.2">
      <c r="A15" s="219"/>
      <c r="B15" s="219"/>
      <c r="C15" s="205"/>
      <c r="D15" s="205"/>
      <c r="E15" s="192"/>
      <c r="F15" s="205"/>
      <c r="G15" s="205"/>
      <c r="H15" s="205"/>
      <c r="I15" s="205"/>
      <c r="J15" s="205"/>
      <c r="K15" s="205"/>
      <c r="L15" s="205"/>
      <c r="M15" s="205"/>
      <c r="N15" s="205"/>
      <c r="O15" s="192"/>
      <c r="P15" s="192"/>
      <c r="Q15" s="205"/>
      <c r="R15" s="205"/>
      <c r="W15" s="205"/>
      <c r="X15" s="205"/>
      <c r="Y15" s="205"/>
      <c r="Z15" s="205"/>
      <c r="AA15" s="205"/>
      <c r="AB15" s="205"/>
      <c r="AC15" s="205"/>
      <c r="AD15" s="205"/>
      <c r="AL15" s="205"/>
      <c r="AM15" s="205"/>
      <c r="AN15" s="205"/>
      <c r="AO15" s="205"/>
      <c r="AP15" s="205"/>
      <c r="AQ15" s="205"/>
      <c r="AR15" s="205"/>
      <c r="AS15" s="205"/>
      <c r="AV15" s="205"/>
      <c r="AW15" s="205"/>
      <c r="AX15" s="205"/>
      <c r="AY15" s="205"/>
      <c r="AZ15" s="205"/>
      <c r="BA15" s="205"/>
      <c r="BB15" s="205"/>
      <c r="BD15" s="205"/>
      <c r="BF15" s="205"/>
      <c r="BG15" s="201"/>
      <c r="BH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  <c r="BY15" s="201"/>
      <c r="BZ15" s="201"/>
      <c r="CA15" s="201"/>
      <c r="CB15" s="201"/>
      <c r="CC15" s="201"/>
      <c r="CD15" s="201"/>
      <c r="CE15" s="201"/>
      <c r="CF15" s="201"/>
      <c r="CG15" s="201"/>
      <c r="CH15" s="201"/>
      <c r="CI15" s="201"/>
      <c r="CJ15" s="201"/>
      <c r="CK15" s="201"/>
      <c r="CL15" s="201"/>
      <c r="CM15" s="201"/>
      <c r="CN15" s="201"/>
      <c r="CO15" s="201"/>
      <c r="CP15" s="201"/>
      <c r="CQ15" s="201"/>
      <c r="CR15" s="201"/>
      <c r="CS15" s="201"/>
      <c r="CT15" s="201"/>
      <c r="CU15" s="201"/>
      <c r="CV15" s="201"/>
    </row>
    <row r="16" spans="1:282" x14ac:dyDescent="0.2">
      <c r="A16" s="219"/>
      <c r="B16" s="219"/>
      <c r="C16" s="205"/>
      <c r="D16" s="205"/>
      <c r="E16" s="192"/>
      <c r="F16" s="205"/>
      <c r="G16" s="205"/>
      <c r="H16" s="205"/>
      <c r="I16" s="205"/>
      <c r="J16"/>
      <c r="K16"/>
      <c r="L16" s="205"/>
      <c r="M16" s="205"/>
      <c r="N16" s="205"/>
      <c r="O16" s="192"/>
      <c r="P16" s="192"/>
      <c r="Q16" s="205"/>
      <c r="R16" s="205"/>
      <c r="W16" s="205"/>
      <c r="X16" s="205"/>
      <c r="Y16" s="205"/>
      <c r="Z16" s="205"/>
      <c r="AA16" s="205"/>
      <c r="AB16" s="205"/>
      <c r="AC16" s="205"/>
      <c r="AD16" s="205"/>
      <c r="AL16" s="205"/>
      <c r="AM16" s="205"/>
      <c r="AN16" s="205"/>
      <c r="AO16" s="205"/>
      <c r="AP16" s="205"/>
      <c r="AQ16" s="205"/>
      <c r="AR16" s="205"/>
      <c r="AS16" s="205"/>
      <c r="AV16" s="205"/>
      <c r="AW16" s="205"/>
      <c r="AX16" s="205"/>
      <c r="AY16" s="205"/>
      <c r="AZ16" s="205"/>
      <c r="BD16" s="205"/>
      <c r="BF16" s="205"/>
    </row>
    <row r="17" spans="1:100" x14ac:dyDescent="0.2">
      <c r="A17" s="219"/>
      <c r="B17" s="219"/>
      <c r="C17" s="205"/>
      <c r="D17" s="205"/>
      <c r="E17" s="192"/>
      <c r="F17" s="205"/>
      <c r="G17" s="205"/>
      <c r="H17" s="205"/>
      <c r="I17" s="205"/>
      <c r="J17"/>
      <c r="K17"/>
      <c r="L17" s="205"/>
      <c r="M17" s="205"/>
      <c r="N17" s="205"/>
      <c r="O17" s="192"/>
      <c r="P17" s="192"/>
      <c r="Q17" s="205"/>
      <c r="R17" s="205"/>
      <c r="W17" s="205"/>
      <c r="X17" s="205"/>
      <c r="Y17" s="205"/>
      <c r="Z17" s="205"/>
      <c r="AA17" s="205"/>
      <c r="AB17" s="205"/>
      <c r="AC17" s="205"/>
      <c r="AD17" s="205"/>
      <c r="AL17" s="205"/>
      <c r="AM17" s="205"/>
      <c r="AN17" s="205"/>
      <c r="AO17" s="205"/>
      <c r="AP17" s="205"/>
      <c r="AQ17" s="205"/>
      <c r="AR17" s="205"/>
      <c r="AS17" s="205"/>
      <c r="AV17" s="205"/>
      <c r="AW17" s="205"/>
      <c r="AX17" s="205"/>
      <c r="AY17" s="205"/>
      <c r="AZ17" s="205"/>
      <c r="BD17" s="205"/>
      <c r="BF17" s="205"/>
    </row>
    <row r="18" spans="1:100" x14ac:dyDescent="0.2">
      <c r="A18" s="219"/>
      <c r="B18" s="219"/>
      <c r="C18" s="205"/>
      <c r="D18" s="205"/>
      <c r="E18" s="192"/>
      <c r="F18" s="205"/>
      <c r="G18" s="205"/>
      <c r="H18" s="205"/>
      <c r="I18" s="205"/>
      <c r="J18"/>
      <c r="K18"/>
      <c r="L18" s="205"/>
      <c r="M18" s="205"/>
      <c r="N18" s="205"/>
      <c r="O18" s="192"/>
      <c r="P18" s="192"/>
      <c r="Q18" s="205"/>
      <c r="R18" s="205"/>
      <c r="W18" s="205"/>
      <c r="X18" s="205"/>
      <c r="Y18" s="205"/>
      <c r="Z18" s="205"/>
      <c r="AA18" s="205"/>
      <c r="AB18" s="205"/>
      <c r="AC18" s="205"/>
      <c r="AD18" s="205"/>
      <c r="AL18" s="205"/>
      <c r="AM18" s="205"/>
      <c r="AN18" s="205"/>
      <c r="AO18" s="205"/>
      <c r="AP18" s="205"/>
      <c r="AQ18" s="205"/>
      <c r="AR18" s="205"/>
      <c r="AS18" s="205"/>
      <c r="AV18" s="205"/>
      <c r="AW18" s="205"/>
      <c r="AX18" s="205"/>
      <c r="AY18" s="205"/>
      <c r="AZ18" s="205"/>
      <c r="BD18" s="205"/>
      <c r="BF18" s="205"/>
    </row>
    <row r="19" spans="1:100" x14ac:dyDescent="0.2">
      <c r="A19" s="219"/>
      <c r="B19" s="219"/>
      <c r="C19" s="205"/>
      <c r="D19" s="205"/>
      <c r="E19" s="192"/>
      <c r="F19" s="205"/>
      <c r="G19" s="205"/>
      <c r="H19" s="205"/>
      <c r="I19" s="205"/>
      <c r="J19"/>
      <c r="K19"/>
      <c r="L19" s="205"/>
      <c r="M19" s="205"/>
      <c r="N19" s="205"/>
      <c r="O19" s="192"/>
      <c r="P19" s="192"/>
      <c r="Q19" s="205"/>
      <c r="R19" s="205"/>
      <c r="W19" s="205"/>
      <c r="X19" s="205"/>
      <c r="Y19" s="205"/>
      <c r="Z19" s="205"/>
      <c r="AA19" s="205"/>
      <c r="AB19" s="205"/>
      <c r="AC19" s="205"/>
      <c r="AD19" s="205"/>
      <c r="AL19" s="205"/>
      <c r="AM19" s="205"/>
      <c r="AN19" s="205"/>
      <c r="AO19" s="205"/>
      <c r="AP19" s="205"/>
      <c r="AQ19" s="205"/>
      <c r="AR19" s="205"/>
      <c r="AS19" s="205"/>
      <c r="AV19" s="205"/>
      <c r="AW19" s="205"/>
      <c r="AX19" s="205"/>
      <c r="AY19" s="205"/>
      <c r="AZ19" s="205"/>
      <c r="BD19" s="205"/>
      <c r="BF19" s="205"/>
    </row>
    <row r="20" spans="1:100" x14ac:dyDescent="0.2">
      <c r="A20" s="219"/>
      <c r="B20" s="219"/>
      <c r="C20" s="205"/>
      <c r="D20" s="205"/>
      <c r="E20" s="192"/>
      <c r="F20" s="205"/>
      <c r="G20" s="205"/>
      <c r="H20" s="205"/>
      <c r="I20" s="205"/>
      <c r="J20"/>
      <c r="K20"/>
      <c r="L20" s="205"/>
      <c r="M20" s="205"/>
      <c r="N20" s="205"/>
      <c r="O20" s="192"/>
      <c r="P20" s="192"/>
      <c r="Q20" s="205"/>
      <c r="R20" s="205"/>
      <c r="W20" s="205"/>
      <c r="X20" s="205"/>
      <c r="Y20" s="205"/>
      <c r="Z20" s="205"/>
      <c r="AA20" s="205"/>
      <c r="AB20" s="205"/>
      <c r="AC20" s="205"/>
      <c r="AD20" s="205"/>
      <c r="AL20" s="205"/>
      <c r="AM20" s="205"/>
      <c r="AN20" s="205"/>
      <c r="AO20" s="205"/>
      <c r="AP20" s="205"/>
      <c r="AQ20" s="205"/>
      <c r="AR20" s="205"/>
      <c r="AS20" s="205"/>
      <c r="AV20" s="205"/>
      <c r="AW20" s="205"/>
      <c r="AX20" s="205"/>
      <c r="AY20" s="205"/>
      <c r="AZ20" s="205"/>
      <c r="BD20" s="205"/>
      <c r="BF20" s="205"/>
    </row>
    <row r="21" spans="1:100" x14ac:dyDescent="0.2">
      <c r="A21" s="219"/>
      <c r="B21" s="219"/>
      <c r="C21" s="205"/>
      <c r="D21" s="205"/>
      <c r="E21" s="192"/>
      <c r="F21" s="205"/>
      <c r="G21" s="205"/>
      <c r="H21" s="205"/>
      <c r="I21" s="205"/>
      <c r="J21"/>
      <c r="K21"/>
      <c r="L21" s="205"/>
      <c r="M21" s="205"/>
      <c r="N21" s="205"/>
      <c r="O21" s="192"/>
      <c r="P21" s="192"/>
      <c r="Q21" s="205"/>
      <c r="R21" s="205"/>
      <c r="W21" s="205"/>
      <c r="X21" s="205"/>
      <c r="Y21" s="205"/>
      <c r="Z21" s="205"/>
      <c r="AA21" s="205"/>
      <c r="AB21" s="205"/>
      <c r="AC21" s="205"/>
      <c r="AD21" s="205"/>
      <c r="AL21" s="205"/>
      <c r="AM21" s="205"/>
      <c r="AN21" s="205"/>
      <c r="AO21" s="205"/>
      <c r="AP21" s="205"/>
      <c r="AQ21" s="205"/>
      <c r="AR21" s="205"/>
      <c r="AS21" s="205"/>
      <c r="AV21" s="205"/>
      <c r="AW21" s="205"/>
      <c r="AX21" s="205"/>
      <c r="AY21" s="205"/>
      <c r="AZ21" s="205"/>
      <c r="BD21" s="205"/>
      <c r="BF21" s="205"/>
    </row>
    <row r="22" spans="1:100" x14ac:dyDescent="0.2">
      <c r="A22" s="219"/>
      <c r="B22" s="219"/>
      <c r="C22" s="205"/>
      <c r="D22" s="205"/>
      <c r="E22" s="192"/>
      <c r="F22" s="205"/>
      <c r="G22" s="205"/>
      <c r="H22" s="205"/>
      <c r="I22" s="205"/>
      <c r="J22" s="205"/>
      <c r="K22" s="205"/>
      <c r="L22" s="205"/>
      <c r="M22" s="205"/>
      <c r="N22" s="205"/>
      <c r="O22" s="192"/>
      <c r="P22" s="192"/>
      <c r="Q22" s="205"/>
      <c r="R22" s="205"/>
      <c r="W22" s="205"/>
      <c r="X22" s="205"/>
      <c r="Y22" s="205"/>
      <c r="Z22" s="205"/>
      <c r="AA22" s="205"/>
      <c r="AB22" s="205"/>
      <c r="AC22" s="205"/>
      <c r="AD22" s="205"/>
      <c r="AL22" s="205"/>
      <c r="AM22" s="205"/>
      <c r="AN22" s="205"/>
      <c r="AO22" s="205"/>
      <c r="AP22" s="205"/>
      <c r="AQ22" s="205"/>
      <c r="AR22" s="205"/>
      <c r="AS22" s="205"/>
      <c r="AV22" s="205"/>
      <c r="AW22" s="205"/>
      <c r="AX22" s="205"/>
      <c r="AY22" s="205"/>
      <c r="AZ22" s="205"/>
      <c r="BA22" s="205"/>
      <c r="BB22" s="205"/>
      <c r="BD22" s="205"/>
      <c r="BF22" s="205"/>
      <c r="BG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  <c r="BY22" s="201"/>
      <c r="BZ22" s="201"/>
      <c r="CA22" s="201"/>
      <c r="CB22" s="201"/>
      <c r="CC22" s="201"/>
      <c r="CD22" s="201"/>
      <c r="CE22" s="201"/>
      <c r="CF22" s="201"/>
      <c r="CG22" s="201"/>
      <c r="CH22" s="201"/>
      <c r="CI22" s="201"/>
      <c r="CJ22" s="201"/>
      <c r="CK22" s="201"/>
      <c r="CL22" s="201"/>
      <c r="CM22" s="201"/>
      <c r="CN22" s="201"/>
      <c r="CO22" s="201"/>
      <c r="CP22" s="201"/>
      <c r="CQ22" s="201"/>
      <c r="CR22" s="201"/>
      <c r="CS22" s="201"/>
      <c r="CT22" s="201"/>
      <c r="CU22" s="201"/>
      <c r="CV22" s="201"/>
    </row>
    <row r="23" spans="1:100" x14ac:dyDescent="0.2">
      <c r="A23" s="219"/>
      <c r="B23" s="219"/>
      <c r="C23" s="205"/>
      <c r="D23" s="205"/>
      <c r="E23" s="192"/>
      <c r="F23" s="205"/>
      <c r="G23" s="205"/>
      <c r="H23" s="205"/>
      <c r="I23" s="205"/>
      <c r="J23"/>
      <c r="K23"/>
      <c r="L23" s="205"/>
      <c r="M23" s="205"/>
      <c r="N23" s="205"/>
      <c r="O23" s="192"/>
      <c r="P23" s="192"/>
      <c r="Q23" s="205"/>
      <c r="R23" s="205"/>
      <c r="W23" s="205"/>
      <c r="X23" s="205"/>
      <c r="Y23" s="205"/>
      <c r="Z23" s="205"/>
      <c r="AA23" s="205"/>
      <c r="AB23" s="205"/>
      <c r="AC23" s="205"/>
      <c r="AD23" s="205"/>
      <c r="AL23" s="205"/>
      <c r="AM23" s="205"/>
      <c r="AN23" s="205"/>
      <c r="AO23" s="205"/>
      <c r="AP23" s="205"/>
      <c r="AQ23" s="205"/>
      <c r="AR23" s="205"/>
      <c r="AS23" s="205"/>
      <c r="AV23" s="205"/>
      <c r="AW23" s="205"/>
      <c r="AX23" s="205"/>
      <c r="AY23" s="205"/>
      <c r="AZ23" s="205"/>
      <c r="BD23" s="205"/>
      <c r="BF23" s="205"/>
    </row>
    <row r="24" spans="1:100" x14ac:dyDescent="0.2">
      <c r="A24" s="219"/>
      <c r="B24" s="219"/>
      <c r="C24" s="205"/>
      <c r="D24" s="205"/>
      <c r="E24" s="192"/>
      <c r="F24" s="205"/>
      <c r="G24" s="205"/>
      <c r="H24" s="205"/>
      <c r="I24" s="205"/>
      <c r="J24"/>
      <c r="K24"/>
      <c r="L24" s="205"/>
      <c r="M24" s="205"/>
      <c r="N24" s="205"/>
      <c r="O24" s="192"/>
      <c r="P24" s="192"/>
      <c r="Q24" s="205"/>
      <c r="R24" s="205"/>
      <c r="W24" s="205"/>
      <c r="X24" s="205"/>
      <c r="Y24" s="205"/>
      <c r="Z24" s="205"/>
      <c r="AA24" s="205"/>
      <c r="AB24" s="205"/>
      <c r="AC24" s="205"/>
      <c r="AD24" s="205"/>
      <c r="AL24" s="205"/>
      <c r="AM24" s="205"/>
      <c r="AN24" s="205"/>
      <c r="AO24" s="205"/>
      <c r="AP24" s="205"/>
      <c r="AQ24" s="205"/>
      <c r="AR24" s="205"/>
      <c r="AS24" s="205"/>
      <c r="AV24" s="205"/>
      <c r="AW24" s="205"/>
      <c r="AX24" s="205"/>
      <c r="AY24" s="205"/>
      <c r="AZ24" s="205"/>
      <c r="BD24" s="205"/>
      <c r="BF24" s="205"/>
    </row>
    <row r="25" spans="1:100" x14ac:dyDescent="0.2">
      <c r="A25" s="219"/>
      <c r="B25" s="219"/>
      <c r="C25" s="205"/>
      <c r="D25" s="205"/>
      <c r="E25" s="192"/>
      <c r="F25" s="205"/>
      <c r="G25" s="205"/>
      <c r="H25" s="205"/>
      <c r="I25" s="205"/>
      <c r="J25"/>
      <c r="K25"/>
      <c r="L25" s="205"/>
      <c r="M25" s="205"/>
      <c r="N25" s="205"/>
      <c r="O25" s="192"/>
      <c r="P25" s="192"/>
      <c r="Q25" s="205"/>
      <c r="R25" s="205"/>
      <c r="W25" s="205"/>
      <c r="X25" s="205"/>
      <c r="Y25" s="205"/>
      <c r="Z25" s="205"/>
      <c r="AA25" s="205"/>
      <c r="AB25" s="205"/>
      <c r="AC25" s="205"/>
      <c r="AD25" s="205"/>
      <c r="AL25" s="205"/>
      <c r="AM25" s="205"/>
      <c r="AN25" s="205"/>
      <c r="AO25" s="205"/>
      <c r="AP25" s="205"/>
      <c r="AQ25" s="205"/>
      <c r="AR25" s="205"/>
      <c r="AS25" s="205"/>
      <c r="AV25" s="205"/>
      <c r="AW25" s="205"/>
      <c r="AX25" s="205"/>
      <c r="AY25" s="205"/>
      <c r="AZ25" s="205"/>
      <c r="BD25" s="205"/>
      <c r="BF25" s="205"/>
    </row>
    <row r="26" spans="1:100" x14ac:dyDescent="0.2">
      <c r="A26" s="219"/>
      <c r="B26" s="219"/>
      <c r="C26" s="205"/>
      <c r="D26" s="205"/>
      <c r="E26" s="192"/>
      <c r="F26" s="205"/>
      <c r="G26" s="205"/>
      <c r="H26" s="205"/>
      <c r="I26" s="205"/>
      <c r="J26"/>
      <c r="K26"/>
      <c r="L26" s="205"/>
      <c r="M26" s="205"/>
      <c r="N26" s="205"/>
      <c r="O26" s="192"/>
      <c r="P26" s="192"/>
      <c r="Q26" s="205"/>
      <c r="R26" s="205"/>
      <c r="W26" s="205"/>
      <c r="X26" s="205"/>
      <c r="Y26" s="205"/>
      <c r="Z26" s="205"/>
      <c r="AA26" s="205"/>
      <c r="AB26" s="205"/>
      <c r="AC26" s="205"/>
      <c r="AD26" s="205"/>
      <c r="AL26" s="205"/>
      <c r="AM26" s="205"/>
      <c r="AN26" s="205"/>
      <c r="AO26" s="205"/>
      <c r="AP26" s="205"/>
      <c r="AQ26" s="205"/>
      <c r="AR26" s="205"/>
      <c r="AS26" s="205"/>
      <c r="AV26" s="205"/>
      <c r="AW26" s="205"/>
      <c r="AX26" s="205"/>
      <c r="AY26" s="205"/>
      <c r="AZ26" s="205"/>
      <c r="BD26" s="205"/>
      <c r="BF26" s="205"/>
    </row>
    <row r="27" spans="1:100" x14ac:dyDescent="0.2">
      <c r="A27" s="219"/>
      <c r="B27" s="219"/>
      <c r="C27" s="205"/>
      <c r="D27" s="205"/>
      <c r="E27" s="192"/>
      <c r="F27" s="205"/>
      <c r="G27" s="205"/>
      <c r="H27" s="205"/>
      <c r="I27" s="205"/>
      <c r="J27"/>
      <c r="K27"/>
      <c r="L27" s="205"/>
      <c r="M27" s="205"/>
      <c r="N27" s="205"/>
      <c r="O27" s="192"/>
      <c r="P27" s="192"/>
      <c r="Q27" s="205"/>
      <c r="R27" s="205"/>
      <c r="W27" s="205"/>
      <c r="X27" s="205"/>
      <c r="Y27" s="205"/>
      <c r="Z27" s="205"/>
      <c r="AA27" s="205"/>
      <c r="AB27" s="205"/>
      <c r="AC27" s="205"/>
      <c r="AD27" s="205"/>
      <c r="AL27" s="205"/>
      <c r="AM27" s="205"/>
      <c r="AN27" s="205"/>
      <c r="AO27" s="205"/>
      <c r="AP27" s="205"/>
      <c r="AQ27" s="205"/>
      <c r="AR27" s="205"/>
      <c r="AS27" s="205"/>
      <c r="AV27" s="205"/>
      <c r="AW27" s="205"/>
      <c r="AX27" s="205"/>
      <c r="AY27" s="205"/>
      <c r="AZ27" s="205"/>
      <c r="BD27" s="205"/>
      <c r="BF27" s="205"/>
    </row>
    <row r="28" spans="1:100" x14ac:dyDescent="0.2">
      <c r="A28" s="219"/>
      <c r="B28" s="219"/>
      <c r="C28" s="205"/>
      <c r="D28" s="205"/>
      <c r="E28" s="192"/>
      <c r="F28" s="205"/>
      <c r="G28" s="205"/>
      <c r="H28" s="205"/>
      <c r="I28" s="205"/>
      <c r="J28"/>
      <c r="K28"/>
      <c r="L28" s="205"/>
      <c r="M28" s="205"/>
      <c r="N28" s="205"/>
      <c r="O28" s="192"/>
      <c r="P28" s="192"/>
      <c r="Q28" s="205"/>
      <c r="R28" s="205"/>
      <c r="W28" s="205"/>
      <c r="X28" s="205"/>
      <c r="Y28" s="205"/>
      <c r="Z28" s="205"/>
      <c r="AA28" s="205"/>
      <c r="AB28" s="205"/>
      <c r="AC28" s="205"/>
      <c r="AD28" s="205"/>
      <c r="AL28" s="205"/>
      <c r="AM28" s="205"/>
      <c r="AN28" s="205"/>
      <c r="AO28" s="205"/>
      <c r="AP28" s="205"/>
      <c r="AQ28" s="205"/>
      <c r="AR28" s="205"/>
      <c r="AS28" s="205"/>
      <c r="AV28" s="205"/>
      <c r="AW28" s="205"/>
      <c r="AX28" s="205"/>
      <c r="AY28" s="205"/>
      <c r="AZ28" s="205"/>
      <c r="BD28" s="205"/>
      <c r="BF28" s="205"/>
    </row>
    <row r="29" spans="1:100" x14ac:dyDescent="0.2">
      <c r="A29" s="219"/>
      <c r="B29" s="219"/>
      <c r="C29" s="205"/>
      <c r="D29" s="205"/>
      <c r="E29" s="192"/>
      <c r="F29" s="205"/>
      <c r="G29" s="205"/>
      <c r="H29" s="205"/>
      <c r="I29" s="205"/>
      <c r="J29" s="205"/>
      <c r="K29" s="205"/>
      <c r="L29" s="205"/>
      <c r="M29" s="205"/>
      <c r="N29" s="205"/>
      <c r="O29" s="192"/>
      <c r="P29" s="192"/>
      <c r="Q29" s="205"/>
      <c r="R29" s="205"/>
      <c r="W29" s="205"/>
      <c r="X29" s="205"/>
      <c r="Y29" s="205"/>
      <c r="Z29" s="205"/>
      <c r="AA29" s="205"/>
      <c r="AB29" s="205"/>
      <c r="AC29" s="205"/>
      <c r="AD29" s="205"/>
      <c r="AL29" s="205"/>
      <c r="AM29" s="205"/>
      <c r="AN29" s="205"/>
      <c r="AO29" s="205"/>
      <c r="AP29" s="205"/>
      <c r="AQ29" s="205"/>
      <c r="AR29" s="205"/>
      <c r="AS29" s="205"/>
      <c r="AV29" s="205"/>
      <c r="AW29" s="205"/>
      <c r="AX29" s="205"/>
      <c r="AY29" s="205"/>
      <c r="AZ29" s="205"/>
      <c r="BA29" s="205"/>
      <c r="BB29" s="205"/>
      <c r="BD29" s="205"/>
      <c r="BF29" s="205"/>
      <c r="BG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  <c r="BY29" s="201"/>
      <c r="BZ29" s="201"/>
      <c r="CA29" s="201"/>
      <c r="CB29" s="201"/>
      <c r="CC29" s="201"/>
      <c r="CD29" s="201"/>
      <c r="CE29" s="201"/>
      <c r="CF29" s="201"/>
      <c r="CG29" s="201"/>
      <c r="CH29" s="201"/>
      <c r="CI29" s="201"/>
      <c r="CJ29" s="201"/>
      <c r="CK29" s="201"/>
      <c r="CL29" s="201"/>
      <c r="CM29" s="201"/>
      <c r="CN29" s="201"/>
      <c r="CO29" s="201"/>
      <c r="CP29" s="201"/>
      <c r="CQ29" s="201"/>
      <c r="CR29" s="201"/>
      <c r="CS29" s="201"/>
      <c r="CT29" s="201"/>
      <c r="CU29" s="201"/>
      <c r="CV29" s="201"/>
    </row>
    <row r="30" spans="1:100" x14ac:dyDescent="0.2">
      <c r="A30" s="219"/>
      <c r="B30" s="219"/>
      <c r="C30" s="205"/>
      <c r="D30" s="205"/>
      <c r="E30" s="192"/>
      <c r="F30" s="205"/>
      <c r="G30" s="205"/>
      <c r="H30" s="205"/>
      <c r="I30" s="205"/>
      <c r="J30" s="205"/>
      <c r="K30" s="205"/>
      <c r="L30" s="205"/>
      <c r="M30" s="205"/>
      <c r="N30" s="205"/>
      <c r="O30" s="192"/>
      <c r="P30" s="192"/>
      <c r="Q30" s="205"/>
      <c r="R30" s="205"/>
      <c r="W30" s="205"/>
      <c r="X30" s="205"/>
      <c r="Y30" s="205"/>
      <c r="Z30" s="205"/>
      <c r="AA30" s="205"/>
      <c r="AB30" s="205"/>
      <c r="AC30" s="205"/>
      <c r="AD30" s="205"/>
      <c r="AL30" s="205"/>
      <c r="AM30" s="205"/>
      <c r="AN30" s="205"/>
      <c r="AO30" s="205"/>
      <c r="AP30" s="205"/>
      <c r="AQ30" s="205"/>
      <c r="AR30" s="205"/>
      <c r="AS30" s="205"/>
      <c r="AV30" s="205"/>
      <c r="AW30" s="205"/>
      <c r="AX30" s="205"/>
      <c r="AY30" s="205"/>
      <c r="AZ30" s="205"/>
      <c r="BA30" s="205"/>
      <c r="BB30" s="205"/>
      <c r="BD30" s="205"/>
      <c r="BF30" s="205"/>
      <c r="BG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  <c r="BY30" s="201"/>
      <c r="BZ30" s="201"/>
      <c r="CA30" s="201"/>
      <c r="CB30" s="201"/>
      <c r="CC30" s="201"/>
      <c r="CD30" s="201"/>
      <c r="CE30" s="201"/>
      <c r="CF30" s="201"/>
      <c r="CG30" s="201"/>
      <c r="CH30" s="201"/>
      <c r="CI30" s="201"/>
      <c r="CJ30" s="201"/>
      <c r="CK30" s="201"/>
      <c r="CL30" s="201"/>
      <c r="CM30" s="201"/>
      <c r="CN30" s="201"/>
      <c r="CO30" s="201"/>
      <c r="CP30" s="201"/>
      <c r="CQ30" s="201"/>
      <c r="CR30" s="201"/>
      <c r="CS30" s="201"/>
      <c r="CT30" s="201"/>
      <c r="CU30" s="201"/>
      <c r="CV30" s="201"/>
    </row>
    <row r="31" spans="1:100" x14ac:dyDescent="0.2">
      <c r="A31" s="219"/>
      <c r="B31" s="219"/>
      <c r="C31" s="205"/>
      <c r="D31" s="205"/>
      <c r="E31" s="192"/>
      <c r="F31" s="205"/>
      <c r="G31" s="205"/>
      <c r="H31" s="205"/>
      <c r="I31" s="205"/>
      <c r="J31"/>
      <c r="K31"/>
      <c r="L31" s="205"/>
      <c r="M31" s="205"/>
      <c r="N31" s="205"/>
      <c r="O31" s="192"/>
      <c r="P31" s="192"/>
      <c r="Q31" s="205"/>
      <c r="R31" s="205"/>
      <c r="W31" s="205"/>
      <c r="X31" s="205"/>
      <c r="Y31" s="205"/>
      <c r="Z31" s="205"/>
      <c r="AA31" s="205"/>
      <c r="AB31" s="205"/>
      <c r="AC31" s="205"/>
      <c r="AD31" s="205"/>
      <c r="AL31" s="205"/>
      <c r="AM31" s="205"/>
      <c r="AN31" s="205"/>
      <c r="AO31" s="205"/>
      <c r="AP31" s="205"/>
      <c r="AQ31" s="205"/>
      <c r="AR31" s="205"/>
      <c r="AS31" s="205"/>
      <c r="AV31" s="205"/>
      <c r="AW31" s="205"/>
      <c r="AX31" s="205"/>
      <c r="AY31" s="205"/>
      <c r="AZ31" s="205"/>
      <c r="BD31" s="205"/>
      <c r="BF31" s="205"/>
    </row>
    <row r="32" spans="1:100" x14ac:dyDescent="0.2">
      <c r="A32" s="219"/>
      <c r="B32" s="219"/>
      <c r="C32" s="205"/>
      <c r="D32" s="205"/>
      <c r="E32" s="192"/>
      <c r="F32" s="205"/>
      <c r="G32" s="205"/>
      <c r="H32" s="205"/>
      <c r="I32" s="205"/>
      <c r="J32"/>
      <c r="K32"/>
      <c r="L32" s="205"/>
      <c r="M32" s="205"/>
      <c r="N32" s="205"/>
      <c r="O32" s="192"/>
      <c r="P32" s="192"/>
      <c r="Q32" s="205"/>
      <c r="R32" s="205"/>
      <c r="W32" s="205"/>
      <c r="X32" s="205"/>
      <c r="Y32" s="205"/>
      <c r="Z32" s="205"/>
      <c r="AA32" s="205"/>
      <c r="AB32" s="205"/>
      <c r="AC32" s="205"/>
      <c r="AD32" s="205"/>
      <c r="AL32" s="205"/>
      <c r="AM32" s="205"/>
      <c r="AN32" s="205"/>
      <c r="AO32" s="205"/>
      <c r="AP32" s="205"/>
      <c r="AQ32" s="205"/>
      <c r="AR32" s="205"/>
      <c r="AS32" s="205"/>
      <c r="AV32" s="205"/>
      <c r="AW32" s="205"/>
      <c r="AX32" s="205"/>
      <c r="AY32" s="205"/>
      <c r="AZ32" s="205"/>
      <c r="BD32" s="205"/>
      <c r="BF32" s="205"/>
    </row>
    <row r="33" spans="1:100" x14ac:dyDescent="0.2">
      <c r="A33" s="219"/>
      <c r="B33" s="219"/>
      <c r="C33" s="205"/>
      <c r="D33" s="205"/>
      <c r="E33" s="192"/>
      <c r="F33" s="205"/>
      <c r="G33" s="205"/>
      <c r="H33" s="205"/>
      <c r="I33" s="205"/>
      <c r="J33"/>
      <c r="K33"/>
      <c r="L33" s="205"/>
      <c r="M33" s="205"/>
      <c r="N33" s="205"/>
      <c r="O33" s="192"/>
      <c r="P33" s="192"/>
      <c r="Q33" s="205"/>
      <c r="R33" s="205"/>
      <c r="W33" s="205"/>
      <c r="X33" s="205"/>
      <c r="Y33" s="205"/>
      <c r="Z33" s="205"/>
      <c r="AA33" s="205"/>
      <c r="AB33" s="205"/>
      <c r="AC33" s="205"/>
      <c r="AD33" s="205"/>
      <c r="AL33" s="205"/>
      <c r="AM33" s="205"/>
      <c r="AN33" s="205"/>
      <c r="AO33" s="205"/>
      <c r="AP33" s="205"/>
      <c r="AQ33" s="205"/>
      <c r="AR33" s="205"/>
      <c r="AS33" s="205"/>
      <c r="AV33" s="205"/>
      <c r="AW33" s="205"/>
      <c r="AX33" s="205"/>
      <c r="AY33" s="205"/>
      <c r="AZ33" s="205"/>
      <c r="BD33" s="205"/>
      <c r="BF33" s="205"/>
    </row>
    <row r="34" spans="1:100" x14ac:dyDescent="0.2">
      <c r="A34" s="219"/>
      <c r="B34" s="219"/>
      <c r="C34" s="205"/>
      <c r="D34" s="205"/>
      <c r="E34" s="192"/>
      <c r="F34" s="205"/>
      <c r="G34" s="205"/>
      <c r="H34" s="205"/>
      <c r="I34" s="205"/>
      <c r="J34"/>
      <c r="K34"/>
      <c r="L34" s="205"/>
      <c r="M34" s="205"/>
      <c r="N34" s="205"/>
      <c r="O34" s="192"/>
      <c r="P34" s="192"/>
      <c r="Q34" s="205"/>
      <c r="R34" s="205"/>
      <c r="W34" s="205"/>
      <c r="X34" s="205"/>
      <c r="Y34" s="205"/>
      <c r="Z34" s="205"/>
      <c r="AA34" s="205"/>
      <c r="AB34" s="205"/>
      <c r="AC34" s="205"/>
      <c r="AD34" s="205"/>
      <c r="AL34" s="205"/>
      <c r="AM34" s="205"/>
      <c r="AN34" s="205"/>
      <c r="AO34" s="205"/>
      <c r="AP34" s="205"/>
      <c r="AQ34" s="205"/>
      <c r="AR34" s="205"/>
      <c r="AS34" s="205"/>
      <c r="AV34" s="205"/>
      <c r="AW34" s="205"/>
      <c r="AX34" s="205"/>
      <c r="AY34" s="205"/>
      <c r="AZ34" s="205"/>
      <c r="BD34" s="205"/>
      <c r="BF34" s="205"/>
    </row>
    <row r="35" spans="1:100" x14ac:dyDescent="0.2">
      <c r="A35" s="219"/>
      <c r="B35" s="219"/>
      <c r="C35" s="205"/>
      <c r="D35" s="205"/>
      <c r="E35" s="192"/>
      <c r="F35" s="205"/>
      <c r="G35" s="205"/>
      <c r="H35" s="205"/>
      <c r="I35" s="205"/>
      <c r="J35"/>
      <c r="K35"/>
      <c r="L35" s="205"/>
      <c r="M35" s="205"/>
      <c r="N35" s="205"/>
      <c r="O35" s="192"/>
      <c r="P35" s="192"/>
      <c r="Q35" s="205"/>
      <c r="R35" s="205"/>
      <c r="W35" s="205"/>
      <c r="X35" s="205"/>
      <c r="Y35" s="205"/>
      <c r="Z35" s="205"/>
      <c r="AA35" s="205"/>
      <c r="AB35" s="205"/>
      <c r="AC35" s="205"/>
      <c r="AD35" s="205"/>
      <c r="AL35" s="205"/>
      <c r="AM35" s="205"/>
      <c r="AN35" s="205"/>
      <c r="AO35" s="205"/>
      <c r="AP35" s="205"/>
      <c r="AQ35" s="205"/>
      <c r="AR35" s="205"/>
      <c r="AS35" s="205"/>
      <c r="AV35" s="205"/>
      <c r="AW35" s="205"/>
      <c r="AX35" s="205"/>
      <c r="AY35" s="205"/>
      <c r="AZ35" s="205"/>
      <c r="BD35" s="205"/>
      <c r="BF35" s="205"/>
    </row>
    <row r="36" spans="1:100" x14ac:dyDescent="0.2">
      <c r="A36" s="219"/>
      <c r="B36" s="219"/>
      <c r="C36" s="205"/>
      <c r="D36" s="205"/>
      <c r="E36" s="192"/>
      <c r="F36" s="205"/>
      <c r="G36" s="205"/>
      <c r="H36" s="205"/>
      <c r="I36" s="205"/>
      <c r="J36"/>
      <c r="K36"/>
      <c r="L36" s="205"/>
      <c r="M36" s="205"/>
      <c r="N36" s="205"/>
      <c r="O36" s="192"/>
      <c r="P36" s="192"/>
      <c r="Q36" s="205"/>
      <c r="R36" s="205"/>
      <c r="W36" s="205"/>
      <c r="X36" s="205"/>
      <c r="Y36" s="205"/>
      <c r="Z36" s="205"/>
      <c r="AA36" s="205"/>
      <c r="AB36" s="205"/>
      <c r="AC36" s="205"/>
      <c r="AD36" s="205"/>
      <c r="AL36" s="205"/>
      <c r="AM36" s="205"/>
      <c r="AN36" s="205"/>
      <c r="AO36" s="205"/>
      <c r="AP36" s="205"/>
      <c r="AQ36" s="205"/>
      <c r="AR36" s="205"/>
      <c r="AS36" s="205"/>
      <c r="AV36" s="205"/>
      <c r="AW36" s="205"/>
      <c r="AX36" s="205"/>
      <c r="AY36" s="205"/>
      <c r="AZ36" s="205"/>
      <c r="BD36" s="205"/>
      <c r="BF36" s="205"/>
    </row>
    <row r="37" spans="1:100" x14ac:dyDescent="0.2">
      <c r="A37" s="219"/>
      <c r="B37" s="219"/>
      <c r="C37" s="205"/>
      <c r="D37" s="205"/>
      <c r="E37" s="192"/>
      <c r="F37" s="205"/>
      <c r="G37" s="205"/>
      <c r="H37" s="205"/>
      <c r="I37" s="205"/>
      <c r="J37"/>
      <c r="K37"/>
      <c r="L37" s="205"/>
      <c r="M37" s="205"/>
      <c r="N37" s="205"/>
      <c r="O37" s="192"/>
      <c r="P37" s="192"/>
      <c r="Q37" s="205"/>
      <c r="R37" s="205"/>
      <c r="W37" s="205"/>
      <c r="X37" s="205"/>
      <c r="Y37" s="205"/>
      <c r="Z37" s="205"/>
      <c r="AA37" s="205"/>
      <c r="AB37" s="205"/>
      <c r="AC37" s="205"/>
      <c r="AD37" s="205"/>
      <c r="AL37" s="205"/>
      <c r="AM37" s="205"/>
      <c r="AN37" s="205"/>
      <c r="AO37" s="205"/>
      <c r="AP37" s="205"/>
      <c r="AQ37" s="205"/>
      <c r="AR37" s="205"/>
      <c r="AS37" s="205"/>
      <c r="AV37" s="205"/>
      <c r="AW37" s="205"/>
      <c r="AX37" s="205"/>
      <c r="AY37" s="205"/>
      <c r="AZ37" s="205"/>
      <c r="BD37" s="205"/>
      <c r="BF37" s="205"/>
    </row>
    <row r="38" spans="1:100" x14ac:dyDescent="0.2">
      <c r="A38" s="219"/>
      <c r="B38" s="219"/>
      <c r="C38" s="205"/>
      <c r="D38" s="205"/>
      <c r="E38" s="192"/>
      <c r="F38" s="205"/>
      <c r="G38" s="205"/>
      <c r="H38" s="205"/>
      <c r="I38" s="205"/>
      <c r="J38"/>
      <c r="K38"/>
      <c r="L38" s="205"/>
      <c r="M38" s="205"/>
      <c r="N38" s="205"/>
      <c r="O38" s="192"/>
      <c r="P38" s="192"/>
      <c r="Q38" s="205"/>
      <c r="R38" s="205"/>
      <c r="W38" s="205"/>
      <c r="X38" s="205"/>
      <c r="Y38" s="205"/>
      <c r="Z38" s="205"/>
      <c r="AA38" s="205"/>
      <c r="AB38" s="205"/>
      <c r="AC38" s="205"/>
      <c r="AD38" s="205"/>
      <c r="AL38" s="205"/>
      <c r="AM38" s="205"/>
      <c r="AN38" s="205"/>
      <c r="AO38" s="205"/>
      <c r="AP38" s="205"/>
      <c r="AQ38" s="205"/>
      <c r="AR38" s="205"/>
      <c r="AS38" s="205"/>
      <c r="AV38" s="205"/>
      <c r="AW38" s="205"/>
      <c r="AX38" s="205"/>
      <c r="AY38" s="205"/>
      <c r="AZ38" s="205"/>
      <c r="BD38" s="205"/>
      <c r="BF38" s="205"/>
    </row>
    <row r="39" spans="1:100" x14ac:dyDescent="0.2">
      <c r="A39" s="219"/>
      <c r="B39" s="219"/>
      <c r="C39" s="205"/>
      <c r="D39" s="205"/>
      <c r="E39" s="192"/>
      <c r="F39" s="205"/>
      <c r="G39" s="205"/>
      <c r="H39" s="205"/>
      <c r="I39" s="205"/>
      <c r="J39"/>
      <c r="K39"/>
      <c r="L39" s="205"/>
      <c r="M39" s="205"/>
      <c r="N39" s="205"/>
      <c r="O39" s="192"/>
      <c r="P39" s="192"/>
      <c r="Q39" s="205"/>
      <c r="R39" s="205"/>
      <c r="W39" s="205"/>
      <c r="X39" s="205"/>
      <c r="Y39" s="205"/>
      <c r="Z39" s="205"/>
      <c r="AA39" s="205"/>
      <c r="AB39" s="205"/>
      <c r="AC39" s="205"/>
      <c r="AD39" s="205"/>
      <c r="AL39" s="205"/>
      <c r="AM39" s="205"/>
      <c r="AN39" s="205"/>
      <c r="AO39" s="205"/>
      <c r="AP39" s="205"/>
      <c r="AQ39" s="205"/>
      <c r="AR39" s="205"/>
      <c r="AS39" s="205"/>
      <c r="AV39" s="205"/>
      <c r="AW39" s="205"/>
      <c r="AX39" s="205"/>
      <c r="AY39" s="205"/>
      <c r="AZ39" s="205"/>
      <c r="BD39" s="205"/>
      <c r="BF39" s="205"/>
    </row>
    <row r="40" spans="1:100" x14ac:dyDescent="0.2">
      <c r="A40" s="219"/>
      <c r="B40" s="219"/>
      <c r="C40" s="205"/>
      <c r="D40" s="205"/>
      <c r="E40" s="192"/>
      <c r="F40" s="205"/>
      <c r="G40" s="205"/>
      <c r="H40" s="205"/>
      <c r="I40" s="205"/>
      <c r="J40"/>
      <c r="K40"/>
      <c r="L40" s="205"/>
      <c r="M40" s="205"/>
      <c r="N40" s="205"/>
      <c r="O40" s="192"/>
      <c r="P40" s="192"/>
      <c r="Q40" s="205"/>
      <c r="R40" s="205"/>
      <c r="W40" s="205"/>
      <c r="X40" s="205"/>
      <c r="Y40" s="205"/>
      <c r="Z40" s="205"/>
      <c r="AA40" s="205"/>
      <c r="AB40" s="205"/>
      <c r="AC40" s="205"/>
      <c r="AD40" s="205"/>
      <c r="AL40" s="205"/>
      <c r="AM40" s="205"/>
      <c r="AN40" s="205"/>
      <c r="AO40" s="205"/>
      <c r="AP40" s="205"/>
      <c r="AQ40" s="205"/>
      <c r="AR40" s="205"/>
      <c r="AS40" s="205"/>
      <c r="AV40" s="205"/>
      <c r="AW40" s="205"/>
      <c r="AX40" s="205"/>
      <c r="AY40" s="205"/>
      <c r="AZ40" s="205"/>
      <c r="BD40" s="205"/>
      <c r="BF40" s="205"/>
    </row>
    <row r="41" spans="1:100" x14ac:dyDescent="0.2">
      <c r="A41" s="219"/>
      <c r="B41" s="219"/>
      <c r="C41" s="205"/>
      <c r="D41" s="205"/>
      <c r="E41" s="192"/>
      <c r="F41" s="205"/>
      <c r="G41" s="205"/>
      <c r="H41" s="205"/>
      <c r="I41" s="205"/>
      <c r="J41"/>
      <c r="K41"/>
      <c r="L41" s="205"/>
      <c r="M41" s="205"/>
      <c r="N41" s="205"/>
      <c r="O41" s="192"/>
      <c r="P41" s="192"/>
      <c r="Q41" s="205"/>
      <c r="R41" s="205"/>
      <c r="W41" s="205"/>
      <c r="X41" s="205"/>
      <c r="Y41" s="205"/>
      <c r="Z41" s="205"/>
      <c r="AA41" s="205"/>
      <c r="AB41" s="205"/>
      <c r="AC41" s="205"/>
      <c r="AD41" s="205"/>
      <c r="AL41" s="205"/>
      <c r="AM41" s="205"/>
      <c r="AN41" s="205"/>
      <c r="AO41" s="205"/>
      <c r="AP41" s="205"/>
      <c r="AQ41" s="205"/>
      <c r="AR41" s="205"/>
      <c r="AS41" s="205"/>
      <c r="AV41" s="205"/>
      <c r="AW41" s="205"/>
      <c r="AX41" s="205"/>
      <c r="AY41" s="205"/>
      <c r="AZ41" s="205"/>
      <c r="BD41" s="205"/>
      <c r="BF41" s="205"/>
    </row>
    <row r="42" spans="1:100" x14ac:dyDescent="0.2">
      <c r="A42" s="219"/>
      <c r="B42" s="219"/>
      <c r="C42" s="205"/>
      <c r="D42" s="205"/>
      <c r="E42" s="192"/>
      <c r="F42" s="205"/>
      <c r="G42" s="205"/>
      <c r="H42" s="205"/>
      <c r="I42" s="205"/>
      <c r="J42"/>
      <c r="K42"/>
      <c r="L42" s="205"/>
      <c r="M42" s="205"/>
      <c r="N42" s="205"/>
      <c r="O42" s="192"/>
      <c r="P42" s="192"/>
      <c r="Q42" s="205"/>
      <c r="R42" s="205"/>
      <c r="W42" s="205"/>
      <c r="X42" s="205"/>
      <c r="Y42" s="205"/>
      <c r="Z42" s="205"/>
      <c r="AA42" s="205"/>
      <c r="AB42" s="205"/>
      <c r="AC42" s="205"/>
      <c r="AD42" s="205"/>
      <c r="AL42" s="205"/>
      <c r="AM42" s="205"/>
      <c r="AN42" s="205"/>
      <c r="AO42" s="205"/>
      <c r="AP42" s="205"/>
      <c r="AQ42" s="205"/>
      <c r="AR42" s="205"/>
      <c r="AS42" s="205"/>
      <c r="AV42" s="205"/>
      <c r="AW42" s="205"/>
      <c r="AX42" s="205"/>
      <c r="AY42" s="205"/>
      <c r="AZ42" s="205"/>
      <c r="BD42" s="205"/>
      <c r="BF42" s="205"/>
    </row>
    <row r="43" spans="1:100" x14ac:dyDescent="0.2">
      <c r="A43" s="219"/>
      <c r="B43" s="219"/>
      <c r="C43" s="205"/>
      <c r="D43" s="205"/>
      <c r="E43" s="192"/>
      <c r="F43" s="205"/>
      <c r="G43" s="205"/>
      <c r="H43" s="205"/>
      <c r="I43" s="205"/>
      <c r="J43"/>
      <c r="K43"/>
      <c r="L43" s="205"/>
      <c r="M43" s="205"/>
      <c r="N43" s="205"/>
      <c r="O43" s="192"/>
      <c r="P43" s="192"/>
      <c r="Q43" s="205"/>
      <c r="R43" s="205"/>
      <c r="W43" s="205"/>
      <c r="X43" s="205"/>
      <c r="Y43" s="205"/>
      <c r="Z43" s="205"/>
      <c r="AA43" s="205"/>
      <c r="AB43" s="205"/>
      <c r="AC43" s="205"/>
      <c r="AD43" s="205"/>
      <c r="AL43" s="205"/>
      <c r="AM43" s="205"/>
      <c r="AN43" s="205"/>
      <c r="AO43" s="205"/>
      <c r="AP43" s="205"/>
      <c r="AQ43" s="205"/>
      <c r="AR43" s="205"/>
      <c r="AS43" s="205"/>
      <c r="AV43" s="205"/>
      <c r="AW43" s="205"/>
      <c r="AX43" s="205"/>
      <c r="AY43" s="205"/>
      <c r="AZ43" s="205"/>
      <c r="BD43" s="205"/>
      <c r="BF43" s="205"/>
    </row>
    <row r="44" spans="1:100" x14ac:dyDescent="0.2">
      <c r="A44" s="219"/>
      <c r="B44" s="219"/>
      <c r="C44" s="205"/>
      <c r="D44" s="205"/>
      <c r="E44" s="192"/>
      <c r="F44" s="205"/>
      <c r="G44" s="205"/>
      <c r="H44" s="205"/>
      <c r="I44" s="205"/>
      <c r="J44"/>
      <c r="K44"/>
      <c r="L44" s="205"/>
      <c r="M44" s="205"/>
      <c r="N44" s="205"/>
      <c r="O44" s="192"/>
      <c r="P44" s="192"/>
      <c r="Q44" s="205"/>
      <c r="R44" s="205"/>
      <c r="W44" s="205"/>
      <c r="X44" s="205"/>
      <c r="Y44" s="205"/>
      <c r="Z44" s="205"/>
      <c r="AA44" s="205"/>
      <c r="AB44" s="205"/>
      <c r="AC44" s="205"/>
      <c r="AD44" s="205"/>
      <c r="AL44" s="205"/>
      <c r="AM44" s="205"/>
      <c r="AN44" s="205"/>
      <c r="AO44" s="205"/>
      <c r="AP44" s="205"/>
      <c r="AQ44" s="205"/>
      <c r="AR44" s="205"/>
      <c r="AS44" s="205"/>
      <c r="AV44" s="205"/>
      <c r="AW44" s="205"/>
      <c r="AX44" s="205"/>
      <c r="AY44" s="205"/>
      <c r="AZ44" s="205"/>
      <c r="BD44" s="205"/>
      <c r="BF44" s="205"/>
    </row>
    <row r="45" spans="1:100" x14ac:dyDescent="0.2">
      <c r="A45" s="219"/>
      <c r="B45" s="219"/>
      <c r="C45" s="205"/>
      <c r="D45" s="205"/>
      <c r="E45" s="192"/>
      <c r="F45" s="205"/>
      <c r="G45" s="205"/>
      <c r="H45" s="205"/>
      <c r="I45" s="205"/>
      <c r="J45"/>
      <c r="K45"/>
      <c r="L45" s="205"/>
      <c r="M45" s="205"/>
      <c r="N45" s="205"/>
      <c r="O45" s="192"/>
      <c r="P45" s="192"/>
      <c r="Q45" s="205"/>
      <c r="R45" s="205"/>
      <c r="W45" s="205"/>
      <c r="X45" s="205"/>
      <c r="Y45" s="205"/>
      <c r="Z45" s="205"/>
      <c r="AA45" s="205"/>
      <c r="AB45" s="205"/>
      <c r="AC45" s="205"/>
      <c r="AD45" s="205"/>
      <c r="AL45" s="205"/>
      <c r="AM45" s="205"/>
      <c r="AN45" s="205"/>
      <c r="AO45" s="205"/>
      <c r="AP45" s="205"/>
      <c r="AQ45" s="205"/>
      <c r="AR45" s="205"/>
      <c r="AS45" s="205"/>
      <c r="AV45" s="205"/>
      <c r="AW45" s="205"/>
      <c r="AX45" s="205"/>
      <c r="AY45" s="205"/>
      <c r="AZ45" s="205"/>
      <c r="BD45" s="205"/>
      <c r="BF45" s="205"/>
    </row>
    <row r="46" spans="1:100" x14ac:dyDescent="0.2">
      <c r="A46" s="219"/>
      <c r="B46" s="219"/>
      <c r="C46" s="205"/>
      <c r="D46" s="205"/>
      <c r="E46" s="192"/>
      <c r="F46" s="205"/>
      <c r="G46" s="205"/>
      <c r="H46" s="205"/>
      <c r="I46" s="205"/>
      <c r="J46" s="205"/>
      <c r="K46" s="205"/>
      <c r="L46" s="205"/>
      <c r="M46" s="205"/>
      <c r="N46" s="205"/>
      <c r="O46" s="192"/>
      <c r="P46" s="192"/>
      <c r="Q46" s="205"/>
      <c r="R46" s="205"/>
      <c r="W46" s="205"/>
      <c r="X46" s="205"/>
      <c r="Y46" s="205"/>
      <c r="Z46" s="205"/>
      <c r="AA46" s="205"/>
      <c r="AB46" s="205"/>
      <c r="AC46" s="205"/>
      <c r="AD46" s="205"/>
      <c r="AL46" s="205"/>
      <c r="AM46" s="205"/>
      <c r="AN46" s="205"/>
      <c r="AO46" s="205"/>
      <c r="AP46" s="205"/>
      <c r="AQ46" s="205"/>
      <c r="AR46" s="205"/>
      <c r="AS46" s="205"/>
      <c r="AV46" s="205"/>
      <c r="AW46" s="205"/>
      <c r="AX46" s="205"/>
      <c r="AY46" s="205"/>
      <c r="AZ46" s="205"/>
      <c r="BA46" s="205"/>
      <c r="BB46" s="205"/>
      <c r="BD46" s="205"/>
      <c r="BF46" s="205"/>
      <c r="BG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  <c r="BY46" s="201"/>
      <c r="BZ46" s="201"/>
      <c r="CA46" s="201"/>
      <c r="CB46" s="201"/>
      <c r="CC46" s="201"/>
      <c r="CD46" s="201"/>
      <c r="CE46" s="201"/>
      <c r="CF46" s="201"/>
      <c r="CG46" s="201"/>
      <c r="CH46" s="201"/>
      <c r="CI46" s="201"/>
      <c r="CJ46" s="201"/>
      <c r="CK46" s="201"/>
      <c r="CL46" s="201"/>
      <c r="CM46" s="201"/>
      <c r="CN46" s="201"/>
      <c r="CO46" s="201"/>
      <c r="CP46" s="201"/>
      <c r="CQ46" s="201"/>
      <c r="CR46" s="201"/>
      <c r="CS46" s="201"/>
      <c r="CT46" s="201"/>
      <c r="CU46" s="201"/>
      <c r="CV46" s="201"/>
    </row>
    <row r="47" spans="1:100" x14ac:dyDescent="0.2">
      <c r="A47" s="219"/>
      <c r="B47" s="219"/>
      <c r="C47" s="205"/>
      <c r="D47" s="205"/>
      <c r="E47" s="192"/>
      <c r="F47" s="205"/>
      <c r="G47" s="205"/>
      <c r="H47" s="205"/>
      <c r="I47" s="205"/>
      <c r="J47" s="205"/>
      <c r="K47" s="205"/>
      <c r="L47" s="205"/>
      <c r="M47" s="205"/>
      <c r="N47" s="205"/>
      <c r="O47" s="192"/>
      <c r="P47" s="192"/>
      <c r="Q47" s="205"/>
      <c r="R47" s="205"/>
      <c r="W47" s="205"/>
      <c r="X47" s="205"/>
      <c r="Y47" s="205"/>
      <c r="Z47" s="205"/>
      <c r="AA47" s="205"/>
      <c r="AB47" s="205"/>
      <c r="AC47" s="205"/>
      <c r="AD47" s="205"/>
      <c r="AL47" s="205"/>
      <c r="AM47" s="205"/>
      <c r="AN47" s="205"/>
      <c r="AO47" s="205"/>
      <c r="AP47" s="205"/>
      <c r="AQ47" s="205"/>
      <c r="AR47" s="205"/>
      <c r="AS47" s="205"/>
      <c r="AV47" s="205"/>
      <c r="AW47" s="205"/>
      <c r="AX47" s="205"/>
      <c r="AY47" s="205"/>
      <c r="AZ47" s="205"/>
      <c r="BA47" s="205"/>
      <c r="BB47" s="205"/>
      <c r="BD47" s="205"/>
      <c r="BF47" s="205"/>
      <c r="BG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  <c r="BY47" s="201"/>
      <c r="BZ47" s="201"/>
      <c r="CA47" s="201"/>
      <c r="CB47" s="201"/>
      <c r="CC47" s="201"/>
      <c r="CD47" s="201"/>
      <c r="CE47" s="201"/>
      <c r="CF47" s="201"/>
      <c r="CG47" s="201"/>
      <c r="CH47" s="201"/>
      <c r="CI47" s="201"/>
      <c r="CJ47" s="201"/>
      <c r="CK47" s="201"/>
      <c r="CL47" s="201"/>
      <c r="CM47" s="201"/>
      <c r="CN47" s="201"/>
      <c r="CO47" s="201"/>
      <c r="CP47" s="201"/>
      <c r="CQ47" s="201"/>
      <c r="CR47" s="201"/>
      <c r="CS47" s="201"/>
      <c r="CT47" s="201"/>
      <c r="CU47" s="201"/>
      <c r="CV47" s="201"/>
    </row>
    <row r="48" spans="1:100" x14ac:dyDescent="0.2">
      <c r="A48" s="219"/>
      <c r="B48" s="219"/>
      <c r="C48" s="205"/>
      <c r="D48" s="205"/>
      <c r="E48" s="192"/>
      <c r="F48" s="205"/>
      <c r="G48" s="205"/>
      <c r="H48" s="205"/>
      <c r="I48" s="205"/>
      <c r="J48"/>
      <c r="K48"/>
      <c r="L48" s="205"/>
      <c r="M48" s="205"/>
      <c r="N48" s="205"/>
      <c r="O48" s="192"/>
      <c r="P48" s="192"/>
      <c r="Q48" s="205"/>
      <c r="R48" s="205"/>
      <c r="W48" s="205"/>
      <c r="X48" s="205"/>
      <c r="Y48" s="205"/>
      <c r="Z48" s="205"/>
      <c r="AA48" s="205"/>
      <c r="AB48" s="205"/>
      <c r="AC48" s="205"/>
      <c r="AD48" s="205"/>
      <c r="AL48" s="205"/>
      <c r="AM48" s="205"/>
      <c r="AN48" s="205"/>
      <c r="AO48" s="205"/>
      <c r="AP48" s="205"/>
      <c r="AQ48" s="205"/>
      <c r="AR48" s="205"/>
      <c r="AS48" s="205"/>
      <c r="AV48" s="205"/>
      <c r="AW48" s="205"/>
      <c r="AX48" s="205"/>
      <c r="AY48" s="205"/>
      <c r="AZ48" s="205"/>
      <c r="BD48" s="205"/>
      <c r="BF48" s="205"/>
    </row>
    <row r="49" spans="1:100" x14ac:dyDescent="0.2">
      <c r="A49" s="219"/>
      <c r="B49" s="219"/>
      <c r="C49" s="205"/>
      <c r="D49" s="205"/>
      <c r="E49" s="192"/>
      <c r="F49" s="205"/>
      <c r="G49" s="205"/>
      <c r="H49" s="205"/>
      <c r="I49" s="205"/>
      <c r="J49"/>
      <c r="K49"/>
      <c r="L49" s="205"/>
      <c r="M49" s="205"/>
      <c r="N49" s="205"/>
      <c r="O49" s="192"/>
      <c r="P49" s="192"/>
      <c r="Q49" s="205"/>
      <c r="R49" s="205"/>
      <c r="W49" s="205"/>
      <c r="X49" s="205"/>
      <c r="Y49" s="205"/>
      <c r="Z49" s="205"/>
      <c r="AA49" s="205"/>
      <c r="AB49" s="205"/>
      <c r="AC49" s="205"/>
      <c r="AD49" s="205"/>
      <c r="AL49" s="205"/>
      <c r="AM49" s="205"/>
      <c r="AN49" s="205"/>
      <c r="AO49" s="205"/>
      <c r="AP49" s="205"/>
      <c r="AQ49" s="205"/>
      <c r="AR49" s="205"/>
      <c r="AS49" s="205"/>
      <c r="AV49" s="205"/>
      <c r="AW49" s="205"/>
      <c r="AX49" s="205"/>
      <c r="AY49" s="205"/>
      <c r="AZ49" s="205"/>
      <c r="BD49" s="205"/>
      <c r="BF49" s="205"/>
    </row>
    <row r="50" spans="1:100" x14ac:dyDescent="0.2">
      <c r="A50" s="219"/>
      <c r="B50" s="219"/>
      <c r="C50" s="205"/>
      <c r="D50" s="205"/>
      <c r="E50" s="192"/>
      <c r="F50" s="205"/>
      <c r="G50" s="205"/>
      <c r="H50" s="205"/>
      <c r="I50" s="205"/>
      <c r="J50"/>
      <c r="K50"/>
      <c r="L50" s="205"/>
      <c r="M50" s="205"/>
      <c r="N50" s="205"/>
      <c r="O50" s="192"/>
      <c r="P50" s="192"/>
      <c r="Q50" s="205"/>
      <c r="R50" s="205"/>
      <c r="W50" s="205"/>
      <c r="X50" s="205"/>
      <c r="Y50" s="205"/>
      <c r="Z50" s="205"/>
      <c r="AA50" s="205"/>
      <c r="AB50" s="205"/>
      <c r="AC50" s="205"/>
      <c r="AD50" s="205"/>
      <c r="AL50" s="205"/>
      <c r="AM50" s="205"/>
      <c r="AN50" s="205"/>
      <c r="AO50" s="205"/>
      <c r="AP50" s="205"/>
      <c r="AQ50" s="205"/>
      <c r="AR50" s="205"/>
      <c r="AS50" s="205"/>
      <c r="AV50" s="205"/>
      <c r="AW50" s="205"/>
      <c r="AX50" s="205"/>
      <c r="AY50" s="205"/>
      <c r="AZ50" s="205"/>
      <c r="BD50" s="205"/>
      <c r="BF50" s="205"/>
    </row>
    <row r="51" spans="1:100" x14ac:dyDescent="0.2">
      <c r="A51" s="219"/>
      <c r="B51" s="219"/>
      <c r="C51" s="205"/>
      <c r="D51" s="205"/>
      <c r="E51" s="192"/>
      <c r="F51" s="205"/>
      <c r="G51" s="205"/>
      <c r="H51" s="205"/>
      <c r="I51" s="205"/>
      <c r="J51"/>
      <c r="K51"/>
      <c r="L51" s="205"/>
      <c r="M51" s="205"/>
      <c r="N51" s="205"/>
      <c r="O51" s="192"/>
      <c r="P51" s="192"/>
      <c r="Q51" s="205"/>
      <c r="R51" s="205"/>
      <c r="W51" s="205"/>
      <c r="X51" s="205"/>
      <c r="Y51" s="205"/>
      <c r="Z51" s="205"/>
      <c r="AA51" s="205"/>
      <c r="AB51" s="205"/>
      <c r="AC51" s="205"/>
      <c r="AD51" s="205"/>
      <c r="AL51" s="205"/>
      <c r="AM51" s="205"/>
      <c r="AN51" s="205"/>
      <c r="AO51" s="205"/>
      <c r="AP51" s="205"/>
      <c r="AQ51" s="205"/>
      <c r="AR51" s="205"/>
      <c r="AS51" s="205"/>
      <c r="AV51" s="205"/>
      <c r="AW51" s="205"/>
      <c r="AX51" s="205"/>
      <c r="AY51" s="205"/>
      <c r="AZ51" s="205"/>
      <c r="BD51" s="205"/>
      <c r="BF51" s="205"/>
    </row>
    <row r="52" spans="1:100" x14ac:dyDescent="0.2">
      <c r="A52" s="219"/>
      <c r="B52" s="219"/>
      <c r="C52" s="205"/>
      <c r="D52" s="205"/>
      <c r="E52" s="192"/>
      <c r="F52" s="205"/>
      <c r="G52" s="205"/>
      <c r="H52" s="205"/>
      <c r="I52" s="205"/>
      <c r="J52"/>
      <c r="K52"/>
      <c r="L52" s="205"/>
      <c r="M52" s="205"/>
      <c r="N52" s="205"/>
      <c r="O52" s="192"/>
      <c r="P52" s="192"/>
      <c r="Q52" s="205"/>
      <c r="R52" s="205"/>
      <c r="W52" s="205"/>
      <c r="X52" s="205"/>
      <c r="Y52" s="205"/>
      <c r="Z52" s="205"/>
      <c r="AA52" s="205"/>
      <c r="AB52" s="205"/>
      <c r="AC52" s="205"/>
      <c r="AD52" s="205"/>
      <c r="AL52" s="205"/>
      <c r="AM52" s="205"/>
      <c r="AN52" s="205"/>
      <c r="AO52" s="205"/>
      <c r="AP52" s="205"/>
      <c r="AQ52" s="205"/>
      <c r="AR52" s="205"/>
      <c r="AS52" s="205"/>
      <c r="AV52" s="205"/>
      <c r="AW52" s="205"/>
      <c r="AX52" s="205"/>
      <c r="AY52" s="205"/>
      <c r="AZ52" s="205"/>
      <c r="BD52" s="205"/>
      <c r="BF52" s="205"/>
    </row>
    <row r="53" spans="1:100" x14ac:dyDescent="0.2">
      <c r="A53" s="219"/>
      <c r="B53" s="219"/>
      <c r="C53" s="205"/>
      <c r="D53" s="205"/>
      <c r="E53" s="192"/>
      <c r="F53" s="205"/>
      <c r="G53" s="205"/>
      <c r="H53" s="205"/>
      <c r="I53" s="205"/>
      <c r="J53" s="205"/>
      <c r="K53" s="205"/>
      <c r="L53" s="205"/>
      <c r="M53" s="205"/>
      <c r="N53" s="205"/>
      <c r="O53" s="192"/>
      <c r="P53" s="192"/>
      <c r="Q53" s="205"/>
      <c r="R53" s="205"/>
      <c r="W53" s="205"/>
      <c r="X53" s="205"/>
      <c r="Y53" s="205"/>
      <c r="Z53" s="205"/>
      <c r="AA53" s="205"/>
      <c r="AB53" s="205"/>
      <c r="AC53" s="205"/>
      <c r="AD53" s="205"/>
      <c r="AL53" s="205"/>
      <c r="AM53" s="205"/>
      <c r="AN53" s="205"/>
      <c r="AO53" s="205"/>
      <c r="AP53" s="205"/>
      <c r="AQ53" s="205"/>
      <c r="AR53" s="205"/>
      <c r="AS53" s="205"/>
      <c r="AV53" s="205"/>
      <c r="AW53" s="205"/>
      <c r="AX53" s="205"/>
      <c r="AY53" s="205"/>
      <c r="AZ53" s="205"/>
      <c r="BA53" s="205"/>
      <c r="BB53" s="205"/>
      <c r="BD53" s="205"/>
      <c r="BF53" s="205"/>
      <c r="BG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  <c r="BY53" s="201"/>
      <c r="BZ53" s="201"/>
      <c r="CA53" s="201"/>
      <c r="CB53" s="201"/>
      <c r="CC53" s="201"/>
      <c r="CD53" s="201"/>
      <c r="CE53" s="201"/>
      <c r="CF53" s="201"/>
      <c r="CG53" s="201"/>
      <c r="CH53" s="201"/>
      <c r="CI53" s="201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1"/>
      <c r="CV53" s="201"/>
    </row>
    <row r="54" spans="1:100" x14ac:dyDescent="0.2">
      <c r="A54" s="219"/>
      <c r="B54" s="219"/>
      <c r="C54" s="205"/>
      <c r="D54" s="205"/>
      <c r="E54" s="192"/>
      <c r="F54" s="205"/>
      <c r="G54" s="205"/>
      <c r="H54" s="205"/>
      <c r="I54" s="205"/>
      <c r="J54"/>
      <c r="K54"/>
      <c r="L54" s="205"/>
      <c r="M54" s="205"/>
      <c r="N54" s="205"/>
      <c r="O54" s="192"/>
      <c r="P54" s="192"/>
      <c r="Q54" s="205"/>
      <c r="R54" s="205"/>
      <c r="W54" s="205"/>
      <c r="X54" s="205"/>
      <c r="Y54" s="205"/>
      <c r="Z54" s="205"/>
      <c r="AA54" s="205"/>
      <c r="AB54" s="205"/>
      <c r="AC54" s="205"/>
      <c r="AD54" s="205"/>
      <c r="AL54" s="205"/>
      <c r="AM54" s="205"/>
      <c r="AN54" s="205"/>
      <c r="AO54" s="205"/>
      <c r="AP54" s="205"/>
      <c r="AQ54" s="205"/>
      <c r="AR54" s="205"/>
      <c r="AS54" s="205"/>
      <c r="AV54" s="205"/>
      <c r="AW54" s="205"/>
      <c r="AX54" s="205"/>
      <c r="AY54" s="205"/>
      <c r="AZ54" s="205"/>
      <c r="BD54" s="205"/>
      <c r="BF54" s="205"/>
    </row>
    <row r="55" spans="1:100" x14ac:dyDescent="0.2">
      <c r="A55" s="219"/>
      <c r="B55" s="219"/>
      <c r="C55" s="205"/>
      <c r="D55" s="205"/>
      <c r="E55" s="192"/>
      <c r="F55" s="205"/>
      <c r="G55" s="205"/>
      <c r="H55" s="205"/>
      <c r="I55" s="205"/>
      <c r="J55"/>
      <c r="K55"/>
      <c r="L55" s="205"/>
      <c r="M55" s="205"/>
      <c r="N55" s="205"/>
      <c r="O55" s="192"/>
      <c r="P55" s="192"/>
      <c r="Q55" s="205"/>
      <c r="R55" s="205"/>
      <c r="W55" s="205"/>
      <c r="X55" s="205"/>
      <c r="Y55" s="205"/>
      <c r="Z55" s="205"/>
      <c r="AA55" s="205"/>
      <c r="AB55" s="205"/>
      <c r="AC55" s="205"/>
      <c r="AD55" s="205"/>
      <c r="AL55" s="205"/>
      <c r="AM55" s="205"/>
      <c r="AN55" s="205"/>
      <c r="AO55" s="205"/>
      <c r="AP55" s="205"/>
      <c r="AQ55" s="205"/>
      <c r="AR55" s="205"/>
      <c r="AS55" s="205"/>
      <c r="AV55" s="205"/>
      <c r="AW55" s="205"/>
      <c r="AX55" s="205"/>
      <c r="AY55" s="205"/>
      <c r="AZ55" s="205"/>
      <c r="BD55" s="205"/>
      <c r="BF55" s="205"/>
    </row>
    <row r="56" spans="1:100" x14ac:dyDescent="0.2">
      <c r="A56" s="219"/>
      <c r="B56" s="219"/>
      <c r="C56" s="205"/>
      <c r="D56" s="205"/>
      <c r="E56" s="192"/>
      <c r="F56" s="205"/>
      <c r="G56" s="205"/>
      <c r="H56" s="205"/>
      <c r="I56" s="205"/>
      <c r="J56"/>
      <c r="K56"/>
      <c r="L56" s="205"/>
      <c r="M56" s="205"/>
      <c r="N56" s="205"/>
      <c r="O56" s="192"/>
      <c r="P56" s="192"/>
      <c r="Q56" s="205"/>
      <c r="R56" s="205"/>
      <c r="W56" s="205"/>
      <c r="X56" s="205"/>
      <c r="Y56" s="205"/>
      <c r="Z56" s="205"/>
      <c r="AA56" s="205"/>
      <c r="AB56" s="205"/>
      <c r="AC56" s="205"/>
      <c r="AD56" s="205"/>
      <c r="AL56" s="205"/>
      <c r="AM56" s="205"/>
      <c r="AN56" s="205"/>
      <c r="AO56" s="205"/>
      <c r="AP56" s="205"/>
      <c r="AQ56" s="205"/>
      <c r="AR56" s="205"/>
      <c r="AS56" s="205"/>
      <c r="AV56" s="205"/>
      <c r="AW56" s="205"/>
      <c r="AX56" s="205"/>
      <c r="AY56" s="205"/>
      <c r="AZ56" s="205"/>
      <c r="BD56" s="205"/>
      <c r="BF56" s="205"/>
    </row>
    <row r="57" spans="1:100" x14ac:dyDescent="0.2">
      <c r="A57" s="219"/>
      <c r="B57" s="219"/>
      <c r="C57" s="205"/>
      <c r="D57" s="205"/>
      <c r="E57" s="192"/>
      <c r="F57" s="205"/>
      <c r="G57" s="205"/>
      <c r="H57" s="205"/>
      <c r="I57" s="205"/>
      <c r="J57" s="205"/>
      <c r="K57" s="205"/>
      <c r="L57" s="205"/>
      <c r="M57" s="205"/>
      <c r="N57" s="205"/>
      <c r="O57" s="192"/>
      <c r="P57" s="192"/>
      <c r="Q57" s="205"/>
      <c r="R57" s="205"/>
      <c r="W57" s="205"/>
      <c r="X57" s="205"/>
      <c r="Y57" s="205"/>
      <c r="Z57" s="205"/>
      <c r="AA57" s="205"/>
      <c r="AB57" s="205"/>
      <c r="AC57" s="205"/>
      <c r="AD57" s="205"/>
      <c r="AL57" s="205"/>
      <c r="AM57" s="205"/>
      <c r="AN57" s="205"/>
      <c r="AO57" s="205"/>
      <c r="AP57" s="205"/>
      <c r="AQ57" s="205"/>
      <c r="AR57" s="205"/>
      <c r="AS57" s="205"/>
      <c r="AV57" s="205"/>
      <c r="AW57" s="205"/>
      <c r="AX57" s="205"/>
      <c r="AY57" s="205"/>
      <c r="AZ57" s="205"/>
      <c r="BA57" s="205"/>
      <c r="BB57" s="205"/>
      <c r="BD57" s="205"/>
      <c r="BF57" s="205"/>
      <c r="BG57" s="201"/>
      <c r="BH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  <c r="BY57" s="201"/>
      <c r="BZ57" s="201"/>
      <c r="CA57" s="201"/>
      <c r="CB57" s="201"/>
      <c r="CC57" s="201"/>
      <c r="CD57" s="201"/>
      <c r="CE57" s="201"/>
      <c r="CF57" s="201"/>
      <c r="CG57" s="201"/>
      <c r="CH57" s="201"/>
      <c r="CI57" s="201"/>
      <c r="CJ57" s="201"/>
      <c r="CK57" s="201"/>
      <c r="CL57" s="201"/>
      <c r="CM57" s="201"/>
      <c r="CN57" s="201"/>
      <c r="CO57" s="201"/>
      <c r="CP57" s="201"/>
      <c r="CQ57" s="201"/>
      <c r="CR57" s="201"/>
      <c r="CS57" s="201"/>
      <c r="CT57" s="201"/>
      <c r="CU57" s="201"/>
      <c r="CV57" s="201"/>
    </row>
    <row r="58" spans="1:100" x14ac:dyDescent="0.2">
      <c r="A58" s="219"/>
      <c r="B58" s="219"/>
      <c r="C58" s="205"/>
      <c r="D58" s="205"/>
      <c r="E58" s="192"/>
      <c r="F58" s="205"/>
      <c r="G58" s="205"/>
      <c r="H58" s="205"/>
      <c r="I58" s="205"/>
      <c r="J58"/>
      <c r="K58"/>
      <c r="L58" s="205"/>
      <c r="M58" s="205"/>
      <c r="N58" s="205"/>
      <c r="O58" s="192"/>
      <c r="P58" s="192"/>
      <c r="Q58" s="205"/>
      <c r="R58" s="205"/>
      <c r="W58" s="205"/>
      <c r="X58" s="205"/>
      <c r="Y58" s="205"/>
      <c r="Z58" s="205"/>
      <c r="AA58" s="205"/>
      <c r="AB58" s="205"/>
      <c r="AC58" s="205"/>
      <c r="AD58" s="205"/>
      <c r="AL58" s="205"/>
      <c r="AM58" s="205"/>
      <c r="AN58" s="205"/>
      <c r="AO58" s="205"/>
      <c r="AP58" s="205"/>
      <c r="AQ58" s="205"/>
      <c r="AR58" s="205"/>
      <c r="AS58" s="205"/>
      <c r="AV58" s="205"/>
      <c r="AW58" s="205"/>
      <c r="AX58" s="205"/>
      <c r="AY58" s="205"/>
      <c r="AZ58" s="205"/>
      <c r="BD58" s="205"/>
      <c r="BF58" s="205"/>
    </row>
    <row r="59" spans="1:100" x14ac:dyDescent="0.2">
      <c r="A59" s="219"/>
      <c r="B59" s="219"/>
      <c r="C59" s="205"/>
      <c r="D59" s="205"/>
      <c r="E59" s="192"/>
      <c r="F59" s="205"/>
      <c r="G59" s="205"/>
      <c r="H59" s="205"/>
      <c r="I59" s="205"/>
      <c r="J59"/>
      <c r="K59"/>
      <c r="L59" s="205"/>
      <c r="M59" s="205"/>
      <c r="N59" s="205"/>
      <c r="O59" s="192"/>
      <c r="P59" s="192"/>
      <c r="Q59" s="205"/>
      <c r="R59" s="205"/>
      <c r="W59" s="205"/>
      <c r="X59" s="205"/>
      <c r="Y59" s="205"/>
      <c r="Z59" s="205"/>
      <c r="AA59" s="205"/>
      <c r="AB59" s="205"/>
      <c r="AC59" s="205"/>
      <c r="AD59" s="205"/>
      <c r="AL59" s="205"/>
      <c r="AM59" s="205"/>
      <c r="AN59" s="205"/>
      <c r="AO59" s="205"/>
      <c r="AP59" s="205"/>
      <c r="AQ59" s="205"/>
      <c r="AR59" s="205"/>
      <c r="AS59" s="205"/>
      <c r="AV59" s="205"/>
      <c r="AW59" s="205"/>
      <c r="AX59" s="205"/>
      <c r="AY59" s="205"/>
      <c r="AZ59" s="205"/>
      <c r="BD59" s="205"/>
      <c r="BF59" s="205"/>
    </row>
    <row r="60" spans="1:100" x14ac:dyDescent="0.2">
      <c r="A60" s="219"/>
      <c r="B60" s="219"/>
      <c r="C60" s="205"/>
      <c r="D60" s="205"/>
      <c r="E60" s="192"/>
      <c r="F60" s="205"/>
      <c r="G60" s="205"/>
      <c r="H60" s="205"/>
      <c r="I60" s="205"/>
      <c r="J60" s="205"/>
      <c r="K60" s="205"/>
      <c r="L60" s="205"/>
      <c r="M60" s="205"/>
      <c r="N60" s="205"/>
      <c r="O60" s="192"/>
      <c r="P60" s="192"/>
      <c r="Q60" s="205"/>
      <c r="R60" s="205"/>
      <c r="W60" s="205"/>
      <c r="X60" s="205"/>
      <c r="Y60" s="205"/>
      <c r="Z60" s="205"/>
      <c r="AA60" s="205"/>
      <c r="AB60" s="205"/>
      <c r="AC60" s="205"/>
      <c r="AD60" s="205"/>
      <c r="AL60" s="205"/>
      <c r="AM60" s="205"/>
      <c r="AN60" s="205"/>
      <c r="AO60" s="205"/>
      <c r="AP60" s="205"/>
      <c r="AQ60" s="205"/>
      <c r="AR60" s="205"/>
      <c r="AS60" s="205"/>
      <c r="AV60" s="205"/>
      <c r="AW60" s="205"/>
      <c r="AX60" s="205"/>
      <c r="AY60" s="205"/>
      <c r="AZ60" s="205"/>
      <c r="BA60" s="205"/>
      <c r="BB60" s="205"/>
      <c r="BD60" s="205"/>
      <c r="BF60" s="205"/>
      <c r="BG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  <c r="BY60" s="201"/>
      <c r="BZ60" s="201"/>
      <c r="CA60" s="201"/>
      <c r="CB60" s="201"/>
      <c r="CC60" s="201"/>
      <c r="CD60" s="201"/>
      <c r="CE60" s="201"/>
      <c r="CF60" s="201"/>
      <c r="CG60" s="201"/>
      <c r="CH60" s="201"/>
      <c r="CI60" s="201"/>
      <c r="CJ60" s="201"/>
      <c r="CK60" s="201"/>
      <c r="CL60" s="201"/>
      <c r="CM60" s="201"/>
      <c r="CN60" s="201"/>
      <c r="CO60" s="201"/>
      <c r="CP60" s="201"/>
      <c r="CQ60" s="201"/>
      <c r="CR60" s="201"/>
      <c r="CS60" s="201"/>
      <c r="CT60" s="201"/>
      <c r="CU60" s="201"/>
      <c r="CV60" s="201"/>
    </row>
    <row r="61" spans="1:100" x14ac:dyDescent="0.2">
      <c r="A61" s="219"/>
      <c r="B61" s="219"/>
      <c r="C61" s="205"/>
      <c r="D61" s="205"/>
      <c r="E61" s="192"/>
      <c r="F61" s="205"/>
      <c r="G61" s="205"/>
      <c r="H61" s="205"/>
      <c r="I61" s="205"/>
      <c r="J61" s="205"/>
      <c r="K61" s="205"/>
      <c r="L61" s="205"/>
      <c r="M61" s="205"/>
      <c r="N61" s="205"/>
      <c r="O61" s="192"/>
      <c r="P61" s="192"/>
      <c r="Q61" s="205"/>
      <c r="R61" s="205"/>
      <c r="W61" s="205"/>
      <c r="X61" s="205"/>
      <c r="Y61" s="205"/>
      <c r="Z61" s="205"/>
      <c r="AA61" s="205"/>
      <c r="AB61" s="205"/>
      <c r="AC61" s="205"/>
      <c r="AD61" s="205"/>
      <c r="AL61" s="205"/>
      <c r="AM61" s="205"/>
      <c r="AN61" s="205"/>
      <c r="AO61" s="205"/>
      <c r="AP61" s="205"/>
      <c r="AQ61" s="205"/>
      <c r="AR61" s="205"/>
      <c r="AS61" s="205"/>
      <c r="AV61" s="205"/>
      <c r="AW61" s="205"/>
      <c r="AX61" s="205"/>
      <c r="AY61" s="205"/>
      <c r="AZ61" s="205"/>
      <c r="BA61" s="205"/>
      <c r="BB61" s="205"/>
      <c r="BD61" s="205"/>
      <c r="BF61" s="205"/>
      <c r="BG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  <c r="BY61" s="201"/>
      <c r="BZ61" s="201"/>
      <c r="CA61" s="201"/>
      <c r="CB61" s="201"/>
      <c r="CC61" s="201"/>
      <c r="CD61" s="201"/>
      <c r="CE61" s="201"/>
      <c r="CF61" s="201"/>
      <c r="CG61" s="201"/>
      <c r="CH61" s="201"/>
      <c r="CI61" s="201"/>
      <c r="CJ61" s="201"/>
      <c r="CK61" s="201"/>
      <c r="CL61" s="201"/>
      <c r="CM61" s="201"/>
      <c r="CN61" s="201"/>
      <c r="CO61" s="201"/>
      <c r="CP61" s="201"/>
      <c r="CQ61" s="201"/>
      <c r="CR61" s="201"/>
      <c r="CS61" s="201"/>
      <c r="CT61" s="201"/>
      <c r="CU61" s="201"/>
      <c r="CV61" s="201"/>
    </row>
    <row r="62" spans="1:100" x14ac:dyDescent="0.2">
      <c r="A62" s="219"/>
      <c r="B62" s="219"/>
      <c r="C62" s="205"/>
      <c r="D62" s="205"/>
      <c r="E62" s="192"/>
      <c r="F62" s="205"/>
      <c r="G62" s="205"/>
      <c r="H62" s="205"/>
      <c r="I62" s="205"/>
      <c r="J62"/>
      <c r="K62"/>
      <c r="L62" s="205"/>
      <c r="M62" s="205"/>
      <c r="N62" s="205"/>
      <c r="O62" s="192"/>
      <c r="P62" s="192"/>
      <c r="Q62" s="205"/>
      <c r="R62" s="205"/>
      <c r="W62" s="205"/>
      <c r="X62" s="205"/>
      <c r="Y62" s="205"/>
      <c r="Z62" s="205"/>
      <c r="AA62" s="205"/>
      <c r="AB62" s="205"/>
      <c r="AC62" s="205"/>
      <c r="AD62" s="205"/>
      <c r="AL62" s="205"/>
      <c r="AM62" s="205"/>
      <c r="AN62" s="205"/>
      <c r="AO62" s="205"/>
      <c r="AP62" s="205"/>
      <c r="AQ62" s="205"/>
      <c r="AR62" s="205"/>
      <c r="AS62" s="205"/>
      <c r="AV62" s="205"/>
      <c r="AW62" s="205"/>
      <c r="AX62" s="205"/>
      <c r="AY62" s="205"/>
      <c r="AZ62" s="205"/>
      <c r="BD62" s="205"/>
      <c r="BF62" s="205"/>
    </row>
    <row r="63" spans="1:100" x14ac:dyDescent="0.2">
      <c r="A63" s="219"/>
      <c r="B63" s="219"/>
      <c r="C63" s="205"/>
      <c r="D63" s="205"/>
      <c r="E63" s="192"/>
      <c r="F63" s="205"/>
      <c r="G63" s="205"/>
      <c r="H63" s="205"/>
      <c r="I63" s="205"/>
      <c r="J63"/>
      <c r="K63"/>
      <c r="L63" s="205"/>
      <c r="M63" s="205"/>
      <c r="N63" s="205"/>
      <c r="O63" s="192"/>
      <c r="P63" s="192"/>
      <c r="Q63" s="205"/>
      <c r="R63" s="205"/>
      <c r="W63" s="205"/>
      <c r="X63" s="205"/>
      <c r="Y63" s="205"/>
      <c r="Z63" s="205"/>
      <c r="AA63" s="205"/>
      <c r="AB63" s="205"/>
      <c r="AC63" s="205"/>
      <c r="AD63" s="205"/>
      <c r="AL63" s="205"/>
      <c r="AM63" s="205"/>
      <c r="AN63" s="205"/>
      <c r="AO63" s="205"/>
      <c r="AP63" s="205"/>
      <c r="AQ63" s="205"/>
      <c r="AR63" s="205"/>
      <c r="AS63" s="205"/>
      <c r="AV63" s="205"/>
      <c r="AW63" s="205"/>
      <c r="AX63" s="205"/>
      <c r="AY63" s="205"/>
      <c r="AZ63" s="205"/>
      <c r="BD63" s="205"/>
      <c r="BF63" s="205"/>
    </row>
    <row r="64" spans="1:100" x14ac:dyDescent="0.2">
      <c r="A64" s="219"/>
      <c r="B64" s="219"/>
      <c r="C64" s="205"/>
      <c r="D64" s="205"/>
      <c r="E64" s="192"/>
      <c r="F64" s="205"/>
      <c r="G64" s="205"/>
      <c r="H64" s="205"/>
      <c r="I64" s="205"/>
      <c r="J64"/>
      <c r="K64"/>
      <c r="L64" s="205"/>
      <c r="M64" s="205"/>
      <c r="N64" s="205"/>
      <c r="O64" s="192"/>
      <c r="P64" s="192"/>
      <c r="Q64" s="205"/>
      <c r="R64" s="205"/>
      <c r="W64" s="205"/>
      <c r="X64" s="205"/>
      <c r="Y64" s="205"/>
      <c r="Z64" s="205"/>
      <c r="AA64" s="205"/>
      <c r="AB64" s="205"/>
      <c r="AC64" s="205"/>
      <c r="AD64" s="205"/>
      <c r="AL64" s="205"/>
      <c r="AM64" s="205"/>
      <c r="AN64" s="205"/>
      <c r="AO64" s="205"/>
      <c r="AP64" s="205"/>
      <c r="AQ64" s="205"/>
      <c r="AR64" s="205"/>
      <c r="AS64" s="205"/>
      <c r="AV64" s="205"/>
      <c r="AW64" s="205"/>
      <c r="AX64" s="205"/>
      <c r="AY64" s="205"/>
      <c r="AZ64" s="205"/>
      <c r="BD64" s="205"/>
      <c r="BF64" s="205"/>
    </row>
    <row r="65" spans="1:100" x14ac:dyDescent="0.2">
      <c r="A65" s="219"/>
      <c r="B65" s="219"/>
      <c r="C65" s="205"/>
      <c r="D65" s="205"/>
      <c r="E65" s="192"/>
      <c r="F65" s="205"/>
      <c r="G65" s="205"/>
      <c r="H65" s="205"/>
      <c r="I65" s="205"/>
      <c r="J65"/>
      <c r="K65"/>
      <c r="L65" s="205"/>
      <c r="M65" s="205"/>
      <c r="N65" s="205"/>
      <c r="O65" s="192"/>
      <c r="P65" s="192"/>
      <c r="Q65" s="205"/>
      <c r="R65" s="205"/>
      <c r="W65" s="205"/>
      <c r="X65" s="205"/>
      <c r="Y65" s="205"/>
      <c r="Z65" s="205"/>
      <c r="AA65" s="205"/>
      <c r="AB65" s="205"/>
      <c r="AC65" s="205"/>
      <c r="AD65" s="205"/>
      <c r="AL65" s="205"/>
      <c r="AM65" s="205"/>
      <c r="AN65" s="205"/>
      <c r="AO65" s="205"/>
      <c r="AP65" s="205"/>
      <c r="AQ65" s="205"/>
      <c r="AR65" s="205"/>
      <c r="AS65" s="205"/>
      <c r="AV65" s="205"/>
      <c r="AW65" s="205"/>
      <c r="AX65" s="205"/>
      <c r="AY65" s="205"/>
      <c r="AZ65" s="205"/>
      <c r="BD65" s="205"/>
      <c r="BF65" s="205"/>
    </row>
    <row r="66" spans="1:100" x14ac:dyDescent="0.2">
      <c r="A66" s="219"/>
      <c r="B66" s="219"/>
      <c r="C66" s="205"/>
      <c r="D66" s="205"/>
      <c r="E66" s="192"/>
      <c r="F66" s="205"/>
      <c r="G66" s="205"/>
      <c r="H66" s="205"/>
      <c r="I66" s="205"/>
      <c r="J66"/>
      <c r="K66"/>
      <c r="L66" s="205"/>
      <c r="M66" s="205"/>
      <c r="N66" s="205"/>
      <c r="O66" s="192"/>
      <c r="P66" s="192"/>
      <c r="Q66" s="205"/>
      <c r="R66" s="205"/>
      <c r="W66" s="205"/>
      <c r="X66" s="205"/>
      <c r="Y66" s="205"/>
      <c r="Z66" s="205"/>
      <c r="AA66" s="205"/>
      <c r="AB66" s="205"/>
      <c r="AC66" s="205"/>
      <c r="AD66" s="205"/>
      <c r="AL66" s="205"/>
      <c r="AM66" s="205"/>
      <c r="AN66" s="205"/>
      <c r="AO66" s="205"/>
      <c r="AP66" s="205"/>
      <c r="AQ66" s="205"/>
      <c r="AR66" s="205"/>
      <c r="AS66" s="205"/>
      <c r="AV66" s="205"/>
      <c r="AW66" s="205"/>
      <c r="AX66" s="205"/>
      <c r="AY66" s="205"/>
      <c r="AZ66" s="205"/>
      <c r="BD66" s="205"/>
      <c r="BF66" s="205"/>
    </row>
    <row r="67" spans="1:100" x14ac:dyDescent="0.2">
      <c r="A67" s="219"/>
      <c r="B67" s="219"/>
      <c r="C67" s="205"/>
      <c r="D67" s="205"/>
      <c r="E67" s="192"/>
      <c r="F67" s="205"/>
      <c r="G67" s="205"/>
      <c r="H67" s="205"/>
      <c r="I67" s="205"/>
      <c r="J67"/>
      <c r="K67"/>
      <c r="L67" s="205"/>
      <c r="M67" s="205"/>
      <c r="N67" s="205"/>
      <c r="O67" s="192"/>
      <c r="P67" s="192"/>
      <c r="Q67" s="205"/>
      <c r="R67" s="205"/>
      <c r="W67" s="205"/>
      <c r="X67" s="205"/>
      <c r="Y67" s="205"/>
      <c r="Z67" s="205"/>
      <c r="AA67" s="205"/>
      <c r="AB67" s="205"/>
      <c r="AC67" s="205"/>
      <c r="AD67" s="205"/>
      <c r="AL67" s="205"/>
      <c r="AM67" s="205"/>
      <c r="AN67" s="205"/>
      <c r="AO67" s="205"/>
      <c r="AP67" s="205"/>
      <c r="AQ67" s="205"/>
      <c r="AR67" s="205"/>
      <c r="AS67" s="205"/>
      <c r="AV67" s="205"/>
      <c r="AW67" s="205"/>
      <c r="AX67" s="205"/>
      <c r="AY67" s="205"/>
      <c r="AZ67" s="205"/>
      <c r="BD67" s="205"/>
      <c r="BF67" s="205"/>
    </row>
    <row r="68" spans="1:100" x14ac:dyDescent="0.2">
      <c r="A68" s="219"/>
      <c r="B68" s="219"/>
      <c r="C68" s="205"/>
      <c r="D68" s="205"/>
      <c r="E68" s="192"/>
      <c r="F68" s="205"/>
      <c r="G68" s="205"/>
      <c r="H68" s="205"/>
      <c r="I68" s="205"/>
      <c r="J68"/>
      <c r="K68"/>
      <c r="L68" s="205"/>
      <c r="M68" s="205"/>
      <c r="N68" s="205"/>
      <c r="O68" s="192"/>
      <c r="P68" s="192"/>
      <c r="Q68" s="205"/>
      <c r="R68" s="205"/>
      <c r="W68" s="205"/>
      <c r="X68" s="205"/>
      <c r="Y68" s="205"/>
      <c r="Z68" s="205"/>
      <c r="AA68" s="205"/>
      <c r="AB68" s="205"/>
      <c r="AC68" s="205"/>
      <c r="AD68" s="205"/>
      <c r="AL68" s="205"/>
      <c r="AM68" s="205"/>
      <c r="AN68" s="205"/>
      <c r="AO68" s="205"/>
      <c r="AP68" s="205"/>
      <c r="AQ68" s="205"/>
      <c r="AR68" s="205"/>
      <c r="AS68" s="205"/>
      <c r="AV68" s="205"/>
      <c r="AW68" s="205"/>
      <c r="AX68" s="205"/>
      <c r="AY68" s="205"/>
      <c r="AZ68" s="205"/>
      <c r="BD68" s="205"/>
      <c r="BF68" s="205"/>
    </row>
    <row r="69" spans="1:100" x14ac:dyDescent="0.2">
      <c r="A69" s="219"/>
      <c r="B69" s="219"/>
      <c r="C69" s="205"/>
      <c r="D69" s="205"/>
      <c r="E69" s="192"/>
      <c r="F69" s="205"/>
      <c r="G69" s="205"/>
      <c r="H69" s="205"/>
      <c r="I69" s="205"/>
      <c r="J69"/>
      <c r="K69"/>
      <c r="L69" s="205"/>
      <c r="M69" s="205"/>
      <c r="N69" s="205"/>
      <c r="O69" s="192"/>
      <c r="P69" s="192"/>
      <c r="Q69" s="205"/>
      <c r="R69" s="205"/>
      <c r="W69" s="205"/>
      <c r="X69" s="205"/>
      <c r="Y69" s="205"/>
      <c r="Z69" s="205"/>
      <c r="AA69" s="205"/>
      <c r="AB69" s="205"/>
      <c r="AC69" s="205"/>
      <c r="AD69" s="205"/>
      <c r="AL69" s="205"/>
      <c r="AM69" s="205"/>
      <c r="AN69" s="205"/>
      <c r="AO69" s="205"/>
      <c r="AP69" s="205"/>
      <c r="AQ69" s="205"/>
      <c r="AR69" s="205"/>
      <c r="AS69" s="205"/>
      <c r="AV69" s="205"/>
      <c r="AW69" s="205"/>
      <c r="AX69" s="205"/>
      <c r="AY69" s="205"/>
      <c r="AZ69" s="205"/>
      <c r="BD69" s="205"/>
      <c r="BF69" s="205"/>
    </row>
    <row r="70" spans="1:100" x14ac:dyDescent="0.2">
      <c r="A70" s="219"/>
      <c r="B70" s="219"/>
      <c r="C70" s="205"/>
      <c r="D70" s="205"/>
      <c r="E70" s="192"/>
      <c r="F70" s="205"/>
      <c r="G70" s="205"/>
      <c r="H70" s="205"/>
      <c r="I70" s="205"/>
      <c r="J70" s="205"/>
      <c r="K70" s="205"/>
      <c r="L70" s="205"/>
      <c r="M70" s="205"/>
      <c r="N70" s="205"/>
      <c r="O70" s="192"/>
      <c r="P70" s="192"/>
      <c r="Q70" s="205"/>
      <c r="R70" s="205"/>
      <c r="W70" s="205"/>
      <c r="X70" s="205"/>
      <c r="Y70" s="205"/>
      <c r="Z70" s="205"/>
      <c r="AA70" s="205"/>
      <c r="AB70" s="205"/>
      <c r="AC70" s="205"/>
      <c r="AD70" s="205"/>
      <c r="AL70" s="205"/>
      <c r="AM70" s="205"/>
      <c r="AN70" s="205"/>
      <c r="AO70" s="205"/>
      <c r="AP70" s="205"/>
      <c r="AQ70" s="205"/>
      <c r="AR70" s="205"/>
      <c r="AS70" s="205"/>
      <c r="AV70" s="205"/>
      <c r="AW70" s="205"/>
      <c r="AX70" s="205"/>
      <c r="AY70" s="205"/>
      <c r="AZ70" s="205"/>
      <c r="BA70" s="205"/>
      <c r="BB70" s="205"/>
      <c r="BD70" s="205"/>
      <c r="BF70" s="205"/>
      <c r="BG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  <c r="BY70" s="201"/>
      <c r="BZ70" s="201"/>
      <c r="CA70" s="201"/>
      <c r="CB70" s="201"/>
      <c r="CC70" s="201"/>
      <c r="CD70" s="201"/>
      <c r="CE70" s="201"/>
      <c r="CF70" s="201"/>
      <c r="CG70" s="201"/>
      <c r="CH70" s="201"/>
      <c r="CI70" s="201"/>
      <c r="CJ70" s="201"/>
      <c r="CK70" s="201"/>
      <c r="CL70" s="201"/>
      <c r="CM70" s="201"/>
      <c r="CN70" s="201"/>
      <c r="CO70" s="201"/>
      <c r="CP70" s="201"/>
      <c r="CQ70" s="201"/>
      <c r="CR70" s="201"/>
      <c r="CS70" s="201"/>
      <c r="CT70" s="201"/>
      <c r="CU70" s="201"/>
      <c r="CV70" s="201"/>
    </row>
    <row r="71" spans="1:100" x14ac:dyDescent="0.2">
      <c r="A71" s="219"/>
      <c r="B71" s="219"/>
      <c r="C71" s="205"/>
      <c r="D71" s="205"/>
      <c r="E71" s="192"/>
      <c r="F71" s="205"/>
      <c r="G71" s="205"/>
      <c r="H71" s="205"/>
      <c r="I71" s="205"/>
      <c r="J71" s="205"/>
      <c r="K71" s="205"/>
      <c r="L71" s="205"/>
      <c r="M71" s="205"/>
      <c r="N71" s="205"/>
      <c r="O71" s="192"/>
      <c r="P71" s="192"/>
      <c r="Q71" s="205"/>
      <c r="R71" s="205"/>
      <c r="W71" s="205"/>
      <c r="X71" s="205"/>
      <c r="Y71" s="205"/>
      <c r="Z71" s="205"/>
      <c r="AA71" s="205"/>
      <c r="AB71" s="205"/>
      <c r="AC71" s="205"/>
      <c r="AD71" s="205"/>
      <c r="AL71" s="205"/>
      <c r="AM71" s="205"/>
      <c r="AN71" s="205"/>
      <c r="AO71" s="205"/>
      <c r="AP71" s="205"/>
      <c r="AQ71" s="205"/>
      <c r="AR71" s="205"/>
      <c r="AS71" s="205"/>
      <c r="AV71" s="205"/>
      <c r="AW71" s="205"/>
      <c r="AX71" s="205"/>
      <c r="AY71" s="205"/>
      <c r="AZ71" s="205"/>
      <c r="BA71" s="205"/>
      <c r="BB71" s="205"/>
      <c r="BD71" s="205"/>
      <c r="BF71" s="205"/>
      <c r="BG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  <c r="BY71" s="201"/>
      <c r="BZ71" s="201"/>
      <c r="CA71" s="201"/>
      <c r="CB71" s="201"/>
      <c r="CC71" s="201"/>
      <c r="CD71" s="201"/>
      <c r="CE71" s="201"/>
      <c r="CF71" s="201"/>
      <c r="CG71" s="201"/>
      <c r="CH71" s="201"/>
      <c r="CI71" s="201"/>
      <c r="CJ71" s="201"/>
      <c r="CK71" s="201"/>
      <c r="CL71" s="201"/>
      <c r="CM71" s="201"/>
      <c r="CN71" s="201"/>
      <c r="CO71" s="201"/>
      <c r="CP71" s="201"/>
      <c r="CQ71" s="201"/>
      <c r="CR71" s="201"/>
      <c r="CS71" s="201"/>
      <c r="CT71" s="201"/>
      <c r="CU71" s="201"/>
      <c r="CV71" s="201"/>
    </row>
    <row r="72" spans="1:100" x14ac:dyDescent="0.2">
      <c r="A72" s="219"/>
      <c r="B72" s="219"/>
      <c r="C72" s="205"/>
      <c r="D72" s="205"/>
      <c r="E72" s="192"/>
      <c r="F72" s="205"/>
      <c r="G72" s="205"/>
      <c r="H72" s="205"/>
      <c r="I72" s="205"/>
      <c r="J72" s="205"/>
      <c r="K72" s="205"/>
      <c r="L72" s="205"/>
      <c r="M72" s="205"/>
      <c r="N72" s="205"/>
      <c r="O72" s="192"/>
      <c r="P72" s="192"/>
      <c r="Q72" s="205"/>
      <c r="R72" s="205"/>
      <c r="W72" s="205"/>
      <c r="X72" s="205"/>
      <c r="Y72" s="205"/>
      <c r="Z72" s="205"/>
      <c r="AA72" s="205"/>
      <c r="AB72" s="205"/>
      <c r="AC72" s="205"/>
      <c r="AD72" s="205"/>
      <c r="AL72" s="205"/>
      <c r="AM72" s="205"/>
      <c r="AN72" s="205"/>
      <c r="AO72" s="205"/>
      <c r="AP72" s="205"/>
      <c r="AQ72" s="205"/>
      <c r="AR72" s="205"/>
      <c r="AS72" s="205"/>
      <c r="AV72" s="205"/>
      <c r="AW72" s="205"/>
      <c r="AX72" s="205"/>
      <c r="AY72" s="205"/>
      <c r="AZ72" s="205"/>
      <c r="BA72" s="205"/>
      <c r="BB72" s="205"/>
      <c r="BD72" s="205"/>
      <c r="BF72" s="205"/>
      <c r="BG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  <c r="BY72" s="201"/>
      <c r="BZ72" s="201"/>
      <c r="CA72" s="201"/>
      <c r="CB72" s="201"/>
      <c r="CC72" s="201"/>
      <c r="CD72" s="201"/>
      <c r="CE72" s="201"/>
      <c r="CF72" s="201"/>
      <c r="CG72" s="201"/>
      <c r="CH72" s="201"/>
      <c r="CI72" s="201"/>
      <c r="CJ72" s="201"/>
      <c r="CK72" s="201"/>
      <c r="CL72" s="201"/>
      <c r="CM72" s="201"/>
      <c r="CN72" s="201"/>
      <c r="CP72" s="201"/>
      <c r="CQ72" s="201"/>
      <c r="CR72" s="201"/>
      <c r="CS72" s="201"/>
      <c r="CT72" s="201"/>
      <c r="CU72" s="201"/>
      <c r="CV72" s="201"/>
    </row>
    <row r="73" spans="1:100" x14ac:dyDescent="0.2">
      <c r="A73" s="219"/>
      <c r="B73" s="219"/>
      <c r="C73" s="205"/>
      <c r="D73" s="205"/>
      <c r="E73" s="192"/>
      <c r="F73" s="205"/>
      <c r="G73" s="205"/>
      <c r="H73" s="205"/>
      <c r="I73" s="205"/>
      <c r="J73"/>
      <c r="K73"/>
      <c r="L73" s="205"/>
      <c r="M73" s="205"/>
      <c r="N73" s="205"/>
      <c r="O73" s="192"/>
      <c r="P73" s="192"/>
      <c r="Q73" s="205"/>
      <c r="R73" s="205"/>
      <c r="W73" s="205"/>
      <c r="X73" s="205"/>
      <c r="Y73" s="205"/>
      <c r="Z73" s="205"/>
      <c r="AA73" s="205"/>
      <c r="AB73" s="205"/>
      <c r="AC73" s="205"/>
      <c r="AD73" s="205"/>
      <c r="AL73" s="205"/>
      <c r="AM73" s="205"/>
      <c r="AN73" s="205"/>
      <c r="AO73" s="205"/>
      <c r="AP73" s="205"/>
      <c r="AQ73" s="205"/>
      <c r="AR73" s="205"/>
      <c r="AS73" s="205"/>
      <c r="AV73" s="205"/>
      <c r="AW73" s="205"/>
      <c r="AX73" s="205"/>
      <c r="AY73" s="205"/>
      <c r="AZ73" s="205"/>
      <c r="BD73" s="205"/>
      <c r="BF73" s="205"/>
    </row>
    <row r="74" spans="1:100" x14ac:dyDescent="0.2">
      <c r="A74" s="219"/>
      <c r="B74" s="219"/>
      <c r="C74" s="205"/>
      <c r="D74" s="205"/>
      <c r="E74" s="192"/>
      <c r="F74" s="205"/>
      <c r="G74" s="205"/>
      <c r="H74" s="205"/>
      <c r="I74" s="205"/>
      <c r="J74"/>
      <c r="K74"/>
      <c r="L74" s="205"/>
      <c r="M74" s="205"/>
      <c r="N74" s="205"/>
      <c r="O74" s="192"/>
      <c r="P74" s="192"/>
      <c r="Q74" s="205"/>
      <c r="R74" s="205"/>
      <c r="W74" s="205"/>
      <c r="X74" s="205"/>
      <c r="Y74" s="205"/>
      <c r="Z74" s="205"/>
      <c r="AA74" s="205"/>
      <c r="AB74" s="205"/>
      <c r="AC74" s="205"/>
      <c r="AD74" s="205"/>
      <c r="AL74" s="205"/>
      <c r="AM74" s="205"/>
      <c r="AN74" s="205"/>
      <c r="AO74" s="205"/>
      <c r="AP74" s="205"/>
      <c r="AQ74" s="205"/>
      <c r="AR74" s="205"/>
      <c r="AS74" s="205"/>
      <c r="AV74" s="205"/>
      <c r="AW74" s="205"/>
      <c r="AX74" s="205"/>
      <c r="AY74" s="205"/>
      <c r="AZ74" s="205"/>
      <c r="BD74" s="205"/>
      <c r="BF74" s="205"/>
    </row>
    <row r="75" spans="1:100" x14ac:dyDescent="0.2">
      <c r="A75" s="219"/>
      <c r="B75" s="219"/>
      <c r="C75" s="205"/>
      <c r="D75" s="205"/>
      <c r="E75" s="192"/>
      <c r="F75" s="205"/>
      <c r="G75" s="205"/>
      <c r="H75" s="205"/>
      <c r="I75" s="205"/>
      <c r="J75"/>
      <c r="K75"/>
      <c r="L75" s="205"/>
      <c r="M75" s="205"/>
      <c r="N75" s="205"/>
      <c r="O75" s="192"/>
      <c r="P75" s="192"/>
      <c r="Q75" s="205"/>
      <c r="R75" s="205"/>
      <c r="W75" s="205"/>
      <c r="X75" s="205"/>
      <c r="Y75" s="205"/>
      <c r="Z75" s="205"/>
      <c r="AA75" s="205"/>
      <c r="AB75" s="205"/>
      <c r="AC75" s="205"/>
      <c r="AD75" s="205"/>
      <c r="AL75" s="205"/>
      <c r="AM75" s="205"/>
      <c r="AN75" s="205"/>
      <c r="AO75" s="205"/>
      <c r="AP75" s="205"/>
      <c r="AQ75" s="205"/>
      <c r="AR75" s="205"/>
      <c r="AS75" s="205"/>
      <c r="AV75" s="205"/>
      <c r="AW75" s="205"/>
      <c r="AX75" s="205"/>
      <c r="AY75" s="205"/>
      <c r="AZ75" s="205"/>
      <c r="BD75" s="205"/>
      <c r="BF75" s="205"/>
    </row>
    <row r="76" spans="1:100" x14ac:dyDescent="0.2">
      <c r="A76" s="219"/>
      <c r="B76" s="219"/>
      <c r="C76" s="205"/>
      <c r="D76" s="205"/>
      <c r="E76" s="192"/>
      <c r="F76" s="205"/>
      <c r="G76" s="205"/>
      <c r="H76" s="205"/>
      <c r="I76" s="205"/>
      <c r="J76"/>
      <c r="K76"/>
      <c r="L76" s="205"/>
      <c r="M76" s="205"/>
      <c r="N76" s="205"/>
      <c r="O76" s="192"/>
      <c r="P76" s="192"/>
      <c r="Q76" s="205"/>
      <c r="R76" s="205"/>
      <c r="W76" s="205"/>
      <c r="X76" s="205"/>
      <c r="Y76" s="205"/>
      <c r="Z76" s="205"/>
      <c r="AA76" s="205"/>
      <c r="AB76" s="205"/>
      <c r="AC76" s="205"/>
      <c r="AD76" s="205"/>
      <c r="AL76" s="205"/>
      <c r="AM76" s="205"/>
      <c r="AN76" s="205"/>
      <c r="AO76" s="205"/>
      <c r="AP76" s="205"/>
      <c r="AQ76" s="205"/>
      <c r="AR76" s="205"/>
      <c r="AS76" s="205"/>
      <c r="AV76" s="205"/>
      <c r="AW76" s="205"/>
      <c r="AX76" s="205"/>
      <c r="AY76" s="205"/>
      <c r="AZ76" s="205"/>
      <c r="BD76" s="205"/>
      <c r="BF76" s="205"/>
    </row>
    <row r="77" spans="1:100" x14ac:dyDescent="0.2">
      <c r="A77" s="219"/>
      <c r="B77" s="219"/>
      <c r="C77" s="205"/>
      <c r="D77" s="205"/>
      <c r="E77" s="192"/>
      <c r="F77" s="205"/>
      <c r="G77" s="205"/>
      <c r="H77" s="205"/>
      <c r="I77" s="205"/>
      <c r="J77"/>
      <c r="K77"/>
      <c r="L77" s="205"/>
      <c r="M77" s="205"/>
      <c r="N77" s="205"/>
      <c r="O77" s="192"/>
      <c r="P77" s="192"/>
      <c r="Q77" s="205"/>
      <c r="R77" s="205"/>
      <c r="W77" s="205"/>
      <c r="X77" s="205"/>
      <c r="Y77" s="205"/>
      <c r="Z77" s="205"/>
      <c r="AA77" s="205"/>
      <c r="AB77" s="205"/>
      <c r="AC77" s="205"/>
      <c r="AD77" s="205"/>
      <c r="AL77" s="205"/>
      <c r="AM77" s="205"/>
      <c r="AN77" s="205"/>
      <c r="AO77" s="205"/>
      <c r="AP77" s="205"/>
      <c r="AQ77" s="205"/>
      <c r="AR77" s="205"/>
      <c r="AS77" s="205"/>
      <c r="AV77" s="205"/>
      <c r="AW77" s="205"/>
      <c r="AX77" s="205"/>
      <c r="AY77" s="205"/>
      <c r="AZ77" s="205"/>
      <c r="BD77" s="205"/>
      <c r="BF77" s="205"/>
    </row>
    <row r="78" spans="1:100" x14ac:dyDescent="0.2">
      <c r="A78" s="219"/>
      <c r="B78" s="219"/>
      <c r="C78" s="205"/>
      <c r="D78" s="205"/>
      <c r="E78" s="192"/>
      <c r="F78" s="205"/>
      <c r="G78" s="205"/>
      <c r="H78" s="205"/>
      <c r="I78" s="205"/>
      <c r="J78"/>
      <c r="K78"/>
      <c r="L78" s="205"/>
      <c r="M78" s="205"/>
      <c r="N78" s="205"/>
      <c r="O78" s="192"/>
      <c r="P78" s="192"/>
      <c r="Q78" s="205"/>
      <c r="R78" s="205"/>
      <c r="W78" s="205"/>
      <c r="X78" s="205"/>
      <c r="Y78" s="205"/>
      <c r="Z78" s="205"/>
      <c r="AA78" s="205"/>
      <c r="AB78" s="205"/>
      <c r="AC78" s="205"/>
      <c r="AD78" s="205"/>
      <c r="AL78" s="205"/>
      <c r="AM78" s="205"/>
      <c r="AN78" s="205"/>
      <c r="AO78" s="205"/>
      <c r="AP78" s="205"/>
      <c r="AQ78" s="205"/>
      <c r="AR78" s="205"/>
      <c r="AS78" s="205"/>
      <c r="AV78" s="205"/>
      <c r="AW78" s="205"/>
      <c r="AX78" s="205"/>
      <c r="AY78" s="205"/>
      <c r="AZ78" s="205"/>
      <c r="BD78" s="205"/>
      <c r="BF78" s="205"/>
    </row>
    <row r="79" spans="1:100" x14ac:dyDescent="0.2">
      <c r="A79" s="219"/>
      <c r="B79" s="219"/>
      <c r="C79" s="205"/>
      <c r="D79" s="205"/>
      <c r="E79" s="192"/>
      <c r="F79" s="205"/>
      <c r="G79" s="205"/>
      <c r="H79" s="205"/>
      <c r="I79" s="205"/>
      <c r="J79"/>
      <c r="K79"/>
      <c r="L79" s="205"/>
      <c r="M79" s="205"/>
      <c r="N79" s="205"/>
      <c r="O79" s="192"/>
      <c r="P79" s="192"/>
      <c r="Q79" s="205"/>
      <c r="R79" s="205"/>
      <c r="W79" s="205"/>
      <c r="X79" s="205"/>
      <c r="Y79" s="205"/>
      <c r="Z79" s="205"/>
      <c r="AA79" s="205"/>
      <c r="AB79" s="205"/>
      <c r="AC79" s="205"/>
      <c r="AD79" s="205"/>
      <c r="AL79" s="205"/>
      <c r="AM79" s="205"/>
      <c r="AN79" s="205"/>
      <c r="AO79" s="205"/>
      <c r="AP79" s="205"/>
      <c r="AQ79" s="205"/>
      <c r="AR79" s="205"/>
      <c r="AS79" s="205"/>
      <c r="AV79" s="205"/>
      <c r="AW79" s="205"/>
      <c r="AX79" s="205"/>
      <c r="AY79" s="205"/>
      <c r="AZ79" s="205"/>
      <c r="BD79" s="205"/>
      <c r="BF79" s="205"/>
    </row>
    <row r="80" spans="1:100" x14ac:dyDescent="0.2">
      <c r="A80" s="219"/>
      <c r="B80" s="219"/>
      <c r="C80" s="205"/>
      <c r="D80" s="205"/>
      <c r="E80" s="192"/>
      <c r="F80" s="205"/>
      <c r="G80" s="205"/>
      <c r="H80" s="205"/>
      <c r="I80" s="205"/>
      <c r="J80"/>
      <c r="K80"/>
      <c r="L80" s="205"/>
      <c r="M80" s="205"/>
      <c r="N80" s="205"/>
      <c r="O80" s="192"/>
      <c r="P80" s="192"/>
      <c r="Q80" s="205"/>
      <c r="R80" s="205"/>
      <c r="W80" s="205"/>
      <c r="X80" s="205"/>
      <c r="Y80" s="205"/>
      <c r="Z80" s="205"/>
      <c r="AA80" s="205"/>
      <c r="AB80" s="205"/>
      <c r="AC80" s="205"/>
      <c r="AD80" s="205"/>
      <c r="AL80" s="205"/>
      <c r="AM80" s="205"/>
      <c r="AN80" s="205"/>
      <c r="AO80" s="205"/>
      <c r="AP80" s="205"/>
      <c r="AQ80" s="205"/>
      <c r="AR80" s="205"/>
      <c r="AS80" s="205"/>
      <c r="AV80" s="205"/>
      <c r="AW80" s="205"/>
      <c r="AX80" s="205"/>
      <c r="AY80" s="205"/>
      <c r="AZ80" s="205"/>
      <c r="BD80" s="205"/>
      <c r="BF80" s="205"/>
    </row>
    <row r="81" spans="1:100" x14ac:dyDescent="0.2">
      <c r="A81" s="219"/>
      <c r="B81" s="219"/>
      <c r="C81" s="205"/>
      <c r="D81" s="205"/>
      <c r="E81" s="192"/>
      <c r="F81" s="205"/>
      <c r="G81" s="205"/>
      <c r="H81" s="205"/>
      <c r="I81" s="205"/>
      <c r="J81"/>
      <c r="K81"/>
      <c r="L81" s="205"/>
      <c r="M81" s="205"/>
      <c r="N81" s="205"/>
      <c r="O81" s="192"/>
      <c r="P81" s="192"/>
      <c r="Q81" s="205"/>
      <c r="R81" s="205"/>
      <c r="W81" s="205"/>
      <c r="X81" s="205"/>
      <c r="Y81" s="205"/>
      <c r="Z81" s="205"/>
      <c r="AA81" s="205"/>
      <c r="AB81" s="205"/>
      <c r="AC81" s="205"/>
      <c r="AD81" s="205"/>
      <c r="AL81" s="205"/>
      <c r="AM81" s="205"/>
      <c r="AN81" s="205"/>
      <c r="AO81" s="205"/>
      <c r="AP81" s="205"/>
      <c r="AQ81" s="205"/>
      <c r="AR81" s="205"/>
      <c r="AS81" s="205"/>
      <c r="AV81" s="205"/>
      <c r="AW81" s="205"/>
      <c r="AX81" s="205"/>
      <c r="AY81" s="205"/>
      <c r="AZ81" s="205"/>
      <c r="BD81" s="205"/>
      <c r="BF81" s="205"/>
    </row>
    <row r="82" spans="1:100" x14ac:dyDescent="0.2">
      <c r="A82" s="219"/>
      <c r="B82" s="219"/>
      <c r="C82" s="205"/>
      <c r="D82" s="205"/>
      <c r="E82" s="192"/>
      <c r="F82" s="205"/>
      <c r="G82" s="205"/>
      <c r="H82" s="205"/>
      <c r="I82" s="205"/>
      <c r="J82"/>
      <c r="K82"/>
      <c r="L82" s="205"/>
      <c r="M82" s="205"/>
      <c r="N82" s="205"/>
      <c r="O82" s="192"/>
      <c r="P82" s="192"/>
      <c r="Q82" s="205"/>
      <c r="R82" s="205"/>
      <c r="W82" s="205"/>
      <c r="X82" s="205"/>
      <c r="Y82" s="205"/>
      <c r="Z82" s="205"/>
      <c r="AA82" s="205"/>
      <c r="AB82" s="205"/>
      <c r="AC82" s="205"/>
      <c r="AD82" s="205"/>
      <c r="AL82" s="205"/>
      <c r="AM82" s="205"/>
      <c r="AN82" s="205"/>
      <c r="AO82" s="205"/>
      <c r="AP82" s="205"/>
      <c r="AQ82" s="205"/>
      <c r="AR82" s="205"/>
      <c r="AS82" s="205"/>
      <c r="AV82" s="205"/>
      <c r="AW82" s="205"/>
      <c r="AX82" s="205"/>
      <c r="AY82" s="205"/>
      <c r="AZ82" s="205"/>
      <c r="BD82" s="205"/>
      <c r="BF82" s="205"/>
    </row>
    <row r="83" spans="1:100" x14ac:dyDescent="0.2">
      <c r="A83" s="219"/>
      <c r="B83" s="219"/>
      <c r="C83" s="205"/>
      <c r="D83" s="205"/>
      <c r="E83" s="192"/>
      <c r="F83" s="205"/>
      <c r="G83" s="205"/>
      <c r="H83" s="205"/>
      <c r="I83" s="205"/>
      <c r="J83"/>
      <c r="K83"/>
      <c r="L83" s="205"/>
      <c r="M83" s="205"/>
      <c r="N83" s="205"/>
      <c r="O83" s="192"/>
      <c r="P83" s="192"/>
      <c r="Q83" s="205"/>
      <c r="R83" s="205"/>
      <c r="W83" s="205"/>
      <c r="X83" s="205"/>
      <c r="Y83" s="205"/>
      <c r="Z83" s="205"/>
      <c r="AA83" s="205"/>
      <c r="AB83" s="205"/>
      <c r="AC83" s="205"/>
      <c r="AD83" s="205"/>
      <c r="AL83" s="205"/>
      <c r="AM83" s="205"/>
      <c r="AN83" s="205"/>
      <c r="AO83" s="205"/>
      <c r="AP83" s="205"/>
      <c r="AQ83" s="205"/>
      <c r="AR83" s="205"/>
      <c r="AS83" s="205"/>
      <c r="AV83" s="205"/>
      <c r="AW83" s="205"/>
      <c r="AX83" s="205"/>
      <c r="AY83" s="205"/>
      <c r="AZ83" s="205"/>
      <c r="BD83" s="205"/>
      <c r="BF83" s="205"/>
    </row>
    <row r="84" spans="1:100" x14ac:dyDescent="0.2">
      <c r="A84" s="219"/>
      <c r="B84" s="219"/>
      <c r="C84" s="205"/>
      <c r="D84" s="205"/>
      <c r="E84" s="192"/>
      <c r="F84" s="205"/>
      <c r="G84" s="205"/>
      <c r="H84" s="205"/>
      <c r="I84" s="205"/>
      <c r="J84"/>
      <c r="K84"/>
      <c r="L84" s="205"/>
      <c r="M84" s="205"/>
      <c r="N84" s="205"/>
      <c r="O84" s="192"/>
      <c r="P84" s="192"/>
      <c r="Q84" s="205"/>
      <c r="R84" s="205"/>
      <c r="W84" s="205"/>
      <c r="X84" s="205"/>
      <c r="Y84" s="205"/>
      <c r="Z84" s="205"/>
      <c r="AA84" s="205"/>
      <c r="AB84" s="205"/>
      <c r="AC84" s="205"/>
      <c r="AD84" s="205"/>
      <c r="AL84" s="205"/>
      <c r="AM84" s="205"/>
      <c r="AN84" s="205"/>
      <c r="AO84" s="205"/>
      <c r="AP84" s="205"/>
      <c r="AQ84" s="205"/>
      <c r="AR84" s="205"/>
      <c r="AS84" s="205"/>
      <c r="AV84" s="205"/>
      <c r="AW84" s="205"/>
      <c r="AX84" s="205"/>
      <c r="AY84" s="205"/>
      <c r="AZ84" s="205"/>
      <c r="BD84" s="205"/>
      <c r="BF84" s="205"/>
    </row>
    <row r="85" spans="1:100" x14ac:dyDescent="0.2">
      <c r="A85" s="219"/>
      <c r="B85" s="219"/>
      <c r="C85" s="205"/>
      <c r="D85" s="205"/>
      <c r="E85" s="192"/>
      <c r="F85" s="205"/>
      <c r="G85" s="205"/>
      <c r="H85" s="205"/>
      <c r="I85" s="205"/>
      <c r="J85"/>
      <c r="K85"/>
      <c r="L85" s="205"/>
      <c r="M85" s="205"/>
      <c r="N85" s="205"/>
      <c r="O85" s="192"/>
      <c r="P85" s="192"/>
      <c r="Q85" s="205"/>
      <c r="R85" s="205"/>
      <c r="W85" s="205"/>
      <c r="X85" s="205"/>
      <c r="Y85" s="205"/>
      <c r="Z85" s="205"/>
      <c r="AA85" s="205"/>
      <c r="AB85" s="205"/>
      <c r="AC85" s="205"/>
      <c r="AD85" s="205"/>
      <c r="AL85" s="205"/>
      <c r="AM85" s="205"/>
      <c r="AN85" s="205"/>
      <c r="AO85" s="205"/>
      <c r="AP85" s="205"/>
      <c r="AQ85" s="205"/>
      <c r="AR85" s="205"/>
      <c r="AS85" s="205"/>
      <c r="AV85" s="205"/>
      <c r="AW85" s="205"/>
      <c r="AX85" s="205"/>
      <c r="AY85" s="205"/>
      <c r="AZ85" s="205"/>
      <c r="BD85" s="205"/>
      <c r="BF85" s="205"/>
    </row>
    <row r="86" spans="1:100" x14ac:dyDescent="0.2">
      <c r="A86" s="219"/>
      <c r="B86" s="219"/>
      <c r="C86" s="205"/>
      <c r="D86" s="205"/>
      <c r="E86" s="192"/>
      <c r="F86" s="205"/>
      <c r="G86" s="205"/>
      <c r="H86" s="205"/>
      <c r="I86" s="205"/>
      <c r="J86"/>
      <c r="K86"/>
      <c r="L86" s="205"/>
      <c r="M86" s="205"/>
      <c r="N86" s="205"/>
      <c r="O86" s="192"/>
      <c r="P86" s="192"/>
      <c r="Q86" s="205"/>
      <c r="R86" s="205"/>
      <c r="W86" s="205"/>
      <c r="X86" s="205"/>
      <c r="Y86" s="205"/>
      <c r="Z86" s="205"/>
      <c r="AA86" s="205"/>
      <c r="AB86" s="205"/>
      <c r="AC86" s="205"/>
      <c r="AD86" s="205"/>
      <c r="AL86" s="205"/>
      <c r="AM86" s="205"/>
      <c r="AN86" s="205"/>
      <c r="AO86" s="205"/>
      <c r="AP86" s="205"/>
      <c r="AQ86" s="205"/>
      <c r="AR86" s="205"/>
      <c r="AS86" s="205"/>
      <c r="AV86" s="205"/>
      <c r="AW86" s="205"/>
      <c r="AX86" s="205"/>
      <c r="AY86" s="205"/>
      <c r="AZ86" s="205"/>
      <c r="BD86" s="205"/>
      <c r="BF86" s="205"/>
    </row>
    <row r="87" spans="1:100" x14ac:dyDescent="0.2">
      <c r="A87" s="219"/>
      <c r="B87" s="219"/>
      <c r="C87" s="205"/>
      <c r="D87" s="205"/>
      <c r="E87" s="192"/>
      <c r="F87" s="205"/>
      <c r="G87" s="205"/>
      <c r="H87" s="205"/>
      <c r="I87" s="205"/>
      <c r="J87"/>
      <c r="K87"/>
      <c r="L87" s="205"/>
      <c r="M87" s="205"/>
      <c r="N87" s="205"/>
      <c r="O87" s="192"/>
      <c r="P87" s="192"/>
      <c r="Q87" s="205"/>
      <c r="R87" s="205"/>
      <c r="W87" s="205"/>
      <c r="X87" s="205"/>
      <c r="Y87" s="205"/>
      <c r="Z87" s="205"/>
      <c r="AA87" s="205"/>
      <c r="AB87" s="205"/>
      <c r="AC87" s="205"/>
      <c r="AD87" s="205"/>
      <c r="AL87" s="205"/>
      <c r="AM87" s="205"/>
      <c r="AN87" s="205"/>
      <c r="AO87" s="205"/>
      <c r="AP87" s="205"/>
      <c r="AQ87" s="205"/>
      <c r="AR87" s="205"/>
      <c r="AS87" s="205"/>
      <c r="AV87" s="205"/>
      <c r="AW87" s="205"/>
      <c r="AX87" s="205"/>
      <c r="AY87" s="205"/>
      <c r="AZ87" s="205"/>
      <c r="BD87" s="205"/>
      <c r="BF87" s="205"/>
    </row>
    <row r="88" spans="1:100" x14ac:dyDescent="0.2">
      <c r="A88" s="219"/>
      <c r="B88" s="219"/>
      <c r="C88" s="205"/>
      <c r="D88" s="205"/>
      <c r="E88" s="192"/>
      <c r="F88" s="205"/>
      <c r="G88" s="205"/>
      <c r="H88" s="205"/>
      <c r="I88" s="205"/>
      <c r="J88"/>
      <c r="K88"/>
      <c r="L88" s="205"/>
      <c r="M88" s="205"/>
      <c r="N88" s="205"/>
      <c r="O88" s="192"/>
      <c r="P88" s="192"/>
      <c r="Q88" s="205"/>
      <c r="R88" s="205"/>
      <c r="W88" s="205"/>
      <c r="X88" s="205"/>
      <c r="Y88" s="205"/>
      <c r="Z88" s="205"/>
      <c r="AA88" s="205"/>
      <c r="AB88" s="205"/>
      <c r="AC88" s="205"/>
      <c r="AD88" s="205"/>
      <c r="AL88" s="205"/>
      <c r="AM88" s="205"/>
      <c r="AN88" s="205"/>
      <c r="AO88" s="205"/>
      <c r="AP88" s="205"/>
      <c r="AQ88" s="205"/>
      <c r="AR88" s="205"/>
      <c r="AS88" s="205"/>
      <c r="AV88" s="205"/>
      <c r="AW88" s="205"/>
      <c r="AX88" s="205"/>
      <c r="AY88" s="205"/>
      <c r="AZ88" s="205"/>
      <c r="BD88" s="205"/>
      <c r="BF88" s="205"/>
    </row>
    <row r="89" spans="1:100" x14ac:dyDescent="0.2">
      <c r="A89" s="219"/>
      <c r="B89" s="219"/>
      <c r="C89" s="205"/>
      <c r="D89" s="205"/>
      <c r="E89" s="192"/>
      <c r="F89" s="205"/>
      <c r="G89" s="205"/>
      <c r="H89" s="205"/>
      <c r="I89" s="205"/>
      <c r="J89"/>
      <c r="K89"/>
      <c r="L89" s="205"/>
      <c r="M89" s="205"/>
      <c r="N89" s="205"/>
      <c r="O89" s="192"/>
      <c r="P89" s="192"/>
      <c r="Q89" s="205"/>
      <c r="R89" s="205"/>
      <c r="W89" s="205"/>
      <c r="X89" s="205"/>
      <c r="Y89" s="205"/>
      <c r="Z89" s="205"/>
      <c r="AA89" s="205"/>
      <c r="AB89" s="205"/>
      <c r="AC89" s="205"/>
      <c r="AD89" s="205"/>
      <c r="AL89" s="205"/>
      <c r="AM89" s="205"/>
      <c r="AN89" s="205"/>
      <c r="AO89" s="205"/>
      <c r="AP89" s="205"/>
      <c r="AQ89" s="205"/>
      <c r="AR89" s="205"/>
      <c r="AS89" s="205"/>
      <c r="AV89" s="205"/>
      <c r="AW89" s="205"/>
      <c r="AX89" s="205"/>
      <c r="AY89" s="205"/>
      <c r="AZ89" s="205"/>
      <c r="BD89" s="205"/>
      <c r="BF89" s="205"/>
    </row>
    <row r="90" spans="1:100" x14ac:dyDescent="0.2">
      <c r="A90" s="219"/>
      <c r="B90" s="219"/>
      <c r="C90" s="205"/>
      <c r="D90" s="205"/>
      <c r="E90" s="192"/>
      <c r="F90" s="205"/>
      <c r="G90" s="205"/>
      <c r="H90" s="205"/>
      <c r="I90" s="205"/>
      <c r="J90" s="205"/>
      <c r="K90" s="205"/>
      <c r="L90" s="205"/>
      <c r="M90" s="205"/>
      <c r="N90" s="205"/>
      <c r="O90" s="192"/>
      <c r="P90" s="192"/>
      <c r="Q90" s="205"/>
      <c r="R90" s="205"/>
      <c r="W90" s="205"/>
      <c r="X90" s="205"/>
      <c r="Y90" s="205"/>
      <c r="Z90" s="205"/>
      <c r="AA90" s="205"/>
      <c r="AB90" s="205"/>
      <c r="AC90" s="205"/>
      <c r="AD90" s="205"/>
      <c r="AL90" s="205"/>
      <c r="AM90" s="205"/>
      <c r="AN90" s="205"/>
      <c r="AO90" s="205"/>
      <c r="AP90" s="205"/>
      <c r="AQ90" s="205"/>
      <c r="AR90" s="205"/>
      <c r="AS90" s="205"/>
      <c r="AV90" s="205"/>
      <c r="AW90" s="205"/>
      <c r="AX90" s="205"/>
      <c r="AY90" s="205"/>
      <c r="AZ90" s="205"/>
      <c r="BA90" s="205"/>
      <c r="BB90" s="205"/>
      <c r="BD90" s="205"/>
      <c r="BF90" s="205"/>
      <c r="BG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  <c r="BY90" s="201"/>
      <c r="BZ90" s="201"/>
      <c r="CA90" s="201"/>
      <c r="CB90" s="201"/>
      <c r="CC90" s="201"/>
      <c r="CD90" s="201"/>
      <c r="CE90" s="201"/>
      <c r="CF90" s="201"/>
      <c r="CG90" s="201"/>
      <c r="CH90" s="201"/>
      <c r="CI90" s="201"/>
      <c r="CJ90" s="201"/>
      <c r="CK90" s="201"/>
      <c r="CL90" s="201"/>
      <c r="CM90" s="201"/>
      <c r="CN90" s="201"/>
      <c r="CO90" s="201"/>
      <c r="CP90" s="201"/>
      <c r="CQ90" s="201"/>
      <c r="CR90" s="201"/>
      <c r="CS90" s="201"/>
      <c r="CT90" s="201"/>
      <c r="CU90" s="201"/>
      <c r="CV90" s="201"/>
    </row>
    <row r="91" spans="1:100" x14ac:dyDescent="0.2">
      <c r="A91" s="219"/>
      <c r="B91" s="219"/>
      <c r="C91" s="205"/>
      <c r="D91" s="205"/>
      <c r="E91" s="192"/>
      <c r="F91" s="205"/>
      <c r="G91" s="205"/>
      <c r="H91" s="205"/>
      <c r="I91" s="205"/>
      <c r="J91" s="205"/>
      <c r="K91" s="205"/>
      <c r="L91" s="205"/>
      <c r="M91" s="205"/>
      <c r="N91" s="205"/>
      <c r="O91" s="192"/>
      <c r="P91" s="192"/>
      <c r="Q91" s="205"/>
      <c r="R91" s="205"/>
      <c r="W91" s="205"/>
      <c r="X91" s="205"/>
      <c r="Y91" s="205"/>
      <c r="Z91" s="205"/>
      <c r="AA91" s="205"/>
      <c r="AB91" s="205"/>
      <c r="AC91" s="205"/>
      <c r="AD91" s="205"/>
      <c r="AL91" s="205"/>
      <c r="AM91" s="205"/>
      <c r="AN91" s="205"/>
      <c r="AO91" s="205"/>
      <c r="AP91" s="205"/>
      <c r="AQ91" s="205"/>
      <c r="AR91" s="205"/>
      <c r="AS91" s="205"/>
      <c r="AV91" s="205"/>
      <c r="AW91" s="205"/>
      <c r="AX91" s="205"/>
      <c r="AY91" s="205"/>
      <c r="AZ91" s="205"/>
      <c r="BA91" s="205"/>
      <c r="BB91" s="205"/>
      <c r="BD91" s="205"/>
      <c r="BF91" s="205"/>
      <c r="BG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  <c r="BY91" s="201"/>
      <c r="BZ91" s="201"/>
      <c r="CA91" s="201"/>
      <c r="CB91" s="201"/>
      <c r="CC91" s="201"/>
      <c r="CD91" s="201"/>
      <c r="CE91" s="201"/>
      <c r="CF91" s="201"/>
      <c r="CG91" s="201"/>
      <c r="CH91" s="201"/>
      <c r="CI91" s="201"/>
      <c r="CJ91" s="201"/>
      <c r="CK91" s="201"/>
      <c r="CL91" s="201"/>
      <c r="CM91" s="201"/>
      <c r="CN91" s="201"/>
      <c r="CO91" s="201"/>
      <c r="CP91" s="201"/>
      <c r="CQ91" s="201"/>
      <c r="CR91" s="201"/>
      <c r="CS91" s="201"/>
      <c r="CT91" s="201"/>
      <c r="CU91" s="201"/>
      <c r="CV91" s="201"/>
    </row>
    <row r="92" spans="1:100" x14ac:dyDescent="0.2">
      <c r="A92" s="219"/>
      <c r="B92" s="219"/>
      <c r="C92" s="205"/>
      <c r="D92" s="205"/>
      <c r="E92" s="192"/>
      <c r="F92" s="205"/>
      <c r="G92" s="205"/>
      <c r="H92" s="205"/>
      <c r="I92" s="205"/>
      <c r="J92"/>
      <c r="K92"/>
      <c r="L92" s="205"/>
      <c r="M92" s="205"/>
      <c r="N92" s="205"/>
      <c r="O92" s="192"/>
      <c r="P92" s="192"/>
      <c r="Q92" s="205"/>
      <c r="R92" s="205"/>
      <c r="W92" s="205"/>
      <c r="X92" s="205"/>
      <c r="Y92" s="205"/>
      <c r="Z92" s="205"/>
      <c r="AA92" s="205"/>
      <c r="AB92" s="205"/>
      <c r="AC92" s="205"/>
      <c r="AD92" s="205"/>
      <c r="AL92" s="205"/>
      <c r="AM92" s="205"/>
      <c r="AN92" s="205"/>
      <c r="AO92" s="205"/>
      <c r="AP92" s="205"/>
      <c r="AQ92" s="205"/>
      <c r="AR92" s="205"/>
      <c r="AS92" s="205"/>
      <c r="AV92" s="205"/>
      <c r="AW92" s="205"/>
      <c r="AX92" s="205"/>
      <c r="AY92" s="205"/>
      <c r="AZ92" s="205"/>
      <c r="BD92" s="205"/>
      <c r="BF92" s="205"/>
    </row>
    <row r="93" spans="1:100" x14ac:dyDescent="0.2">
      <c r="A93" s="219"/>
      <c r="B93" s="219"/>
      <c r="C93" s="205"/>
      <c r="D93" s="205"/>
      <c r="E93" s="192"/>
      <c r="F93" s="205"/>
      <c r="G93" s="205"/>
      <c r="H93" s="205"/>
      <c r="I93" s="205"/>
      <c r="J93"/>
      <c r="K93"/>
      <c r="L93" s="205"/>
      <c r="M93" s="205"/>
      <c r="N93" s="205"/>
      <c r="O93" s="192"/>
      <c r="P93" s="192"/>
      <c r="Q93" s="205"/>
      <c r="R93" s="205"/>
      <c r="W93" s="205"/>
      <c r="X93" s="205"/>
      <c r="Y93" s="205"/>
      <c r="Z93" s="205"/>
      <c r="AA93" s="205"/>
      <c r="AB93" s="205"/>
      <c r="AC93" s="205"/>
      <c r="AD93" s="205"/>
      <c r="AL93" s="205"/>
      <c r="AM93" s="205"/>
      <c r="AN93" s="205"/>
      <c r="AO93" s="205"/>
      <c r="AP93" s="205"/>
      <c r="AQ93" s="205"/>
      <c r="AR93" s="205"/>
      <c r="AS93" s="205"/>
      <c r="AV93" s="205"/>
      <c r="AW93" s="205"/>
      <c r="AX93" s="205"/>
      <c r="AY93" s="205"/>
      <c r="AZ93" s="205"/>
      <c r="BD93" s="205"/>
      <c r="BF93" s="205"/>
    </row>
    <row r="94" spans="1:100" x14ac:dyDescent="0.2">
      <c r="A94" s="219"/>
      <c r="B94" s="219"/>
      <c r="C94" s="205"/>
      <c r="D94" s="205"/>
      <c r="E94" s="192"/>
      <c r="F94" s="205"/>
      <c r="G94" s="205"/>
      <c r="H94" s="205"/>
      <c r="I94" s="205"/>
      <c r="J94" s="205"/>
      <c r="K94" s="205"/>
      <c r="L94" s="205"/>
      <c r="M94" s="205"/>
      <c r="N94" s="205"/>
      <c r="O94" s="192"/>
      <c r="P94" s="192"/>
      <c r="Q94" s="205"/>
      <c r="R94" s="205"/>
      <c r="W94" s="205"/>
      <c r="X94" s="205"/>
      <c r="Y94" s="205"/>
      <c r="Z94" s="205"/>
      <c r="AA94" s="205"/>
      <c r="AB94" s="205"/>
      <c r="AC94" s="205"/>
      <c r="AD94" s="205"/>
      <c r="AL94" s="205"/>
      <c r="AM94" s="205"/>
      <c r="AN94" s="205"/>
      <c r="AO94" s="205"/>
      <c r="AP94" s="205"/>
      <c r="AQ94" s="205"/>
      <c r="AR94" s="205"/>
      <c r="AS94" s="205"/>
      <c r="AV94" s="205"/>
      <c r="AW94" s="205"/>
      <c r="AX94" s="205"/>
      <c r="AY94" s="205"/>
      <c r="AZ94" s="205"/>
      <c r="BA94" s="205"/>
      <c r="BB94" s="205"/>
      <c r="BD94" s="205"/>
      <c r="BF94" s="205"/>
      <c r="BG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  <c r="BY94" s="201"/>
      <c r="BZ94" s="201"/>
      <c r="CA94" s="201"/>
      <c r="CB94" s="201"/>
      <c r="CC94" s="201"/>
      <c r="CD94" s="201"/>
      <c r="CE94" s="201"/>
      <c r="CF94" s="201"/>
      <c r="CG94" s="201"/>
      <c r="CH94" s="201"/>
      <c r="CI94" s="201"/>
      <c r="CJ94" s="201"/>
      <c r="CK94" s="201"/>
      <c r="CL94" s="201"/>
      <c r="CM94" s="201"/>
      <c r="CN94" s="201"/>
      <c r="CO94" s="201"/>
      <c r="CP94" s="201"/>
      <c r="CQ94" s="201"/>
      <c r="CR94" s="201"/>
      <c r="CS94" s="201"/>
      <c r="CT94" s="201"/>
      <c r="CU94" s="201"/>
      <c r="CV94" s="201"/>
    </row>
    <row r="95" spans="1:100" x14ac:dyDescent="0.2">
      <c r="A95" s="219"/>
      <c r="B95" s="219"/>
      <c r="C95" s="205"/>
      <c r="D95" s="205"/>
      <c r="E95" s="192"/>
      <c r="F95" s="205"/>
      <c r="G95" s="205"/>
      <c r="H95" s="205"/>
      <c r="I95" s="205"/>
      <c r="J95"/>
      <c r="K95"/>
      <c r="L95" s="205"/>
      <c r="M95" s="205"/>
      <c r="N95" s="205"/>
      <c r="O95" s="192"/>
      <c r="P95" s="192"/>
      <c r="Q95" s="205"/>
      <c r="R95" s="205"/>
      <c r="W95" s="205"/>
      <c r="X95" s="205"/>
      <c r="Y95" s="205"/>
      <c r="Z95" s="205"/>
      <c r="AA95" s="205"/>
      <c r="AB95" s="205"/>
      <c r="AC95" s="205"/>
      <c r="AD95" s="205"/>
      <c r="AL95" s="205"/>
      <c r="AM95" s="205"/>
      <c r="AN95" s="205"/>
      <c r="AO95" s="205"/>
      <c r="AP95" s="205"/>
      <c r="AQ95" s="205"/>
      <c r="AR95" s="205"/>
      <c r="AS95" s="205"/>
      <c r="AV95" s="205"/>
      <c r="AW95" s="205"/>
      <c r="AX95" s="205"/>
      <c r="AY95" s="205"/>
      <c r="AZ95" s="205"/>
      <c r="BD95" s="205"/>
      <c r="BF95" s="205"/>
    </row>
    <row r="96" spans="1:100" x14ac:dyDescent="0.2">
      <c r="A96" s="219"/>
      <c r="B96" s="219"/>
      <c r="C96" s="205"/>
      <c r="D96" s="205"/>
      <c r="E96" s="192"/>
      <c r="F96" s="205"/>
      <c r="G96" s="205"/>
      <c r="H96" s="205"/>
      <c r="I96" s="205"/>
      <c r="J96"/>
      <c r="K96"/>
      <c r="L96" s="205"/>
      <c r="M96" s="205"/>
      <c r="N96" s="205"/>
      <c r="O96" s="192"/>
      <c r="P96" s="192"/>
      <c r="Q96" s="205"/>
      <c r="R96" s="205"/>
      <c r="W96" s="205"/>
      <c r="X96" s="205"/>
      <c r="Y96" s="205"/>
      <c r="Z96" s="205"/>
      <c r="AA96" s="205"/>
      <c r="AB96" s="205"/>
      <c r="AC96" s="205"/>
      <c r="AD96" s="205"/>
      <c r="AL96" s="205"/>
      <c r="AM96" s="205"/>
      <c r="AN96" s="205"/>
      <c r="AO96" s="205"/>
      <c r="AP96" s="205"/>
      <c r="AQ96" s="205"/>
      <c r="AR96" s="205"/>
      <c r="AS96" s="205"/>
      <c r="AV96" s="205"/>
      <c r="AW96" s="205"/>
      <c r="AX96" s="205"/>
      <c r="AY96" s="205"/>
      <c r="AZ96" s="205"/>
      <c r="BD96" s="205"/>
      <c r="BF96" s="205"/>
    </row>
    <row r="97" spans="1:100" x14ac:dyDescent="0.2">
      <c r="A97" s="219"/>
      <c r="B97" s="219"/>
      <c r="C97" s="205"/>
      <c r="D97" s="205"/>
      <c r="E97" s="192"/>
      <c r="F97" s="205"/>
      <c r="G97" s="205"/>
      <c r="H97" s="205"/>
      <c r="I97" s="205"/>
      <c r="J97"/>
      <c r="K97"/>
      <c r="L97" s="205"/>
      <c r="M97" s="205"/>
      <c r="N97" s="205"/>
      <c r="O97" s="192"/>
      <c r="P97" s="192"/>
      <c r="Q97" s="205"/>
      <c r="R97" s="205"/>
      <c r="W97" s="205"/>
      <c r="X97" s="205"/>
      <c r="Y97" s="205"/>
      <c r="Z97" s="205"/>
      <c r="AA97" s="205"/>
      <c r="AB97" s="205"/>
      <c r="AC97" s="205"/>
      <c r="AD97" s="205"/>
      <c r="AL97" s="205"/>
      <c r="AM97" s="205"/>
      <c r="AN97" s="205"/>
      <c r="AO97" s="205"/>
      <c r="AP97" s="205"/>
      <c r="AQ97" s="205"/>
      <c r="AR97" s="205"/>
      <c r="AS97" s="205"/>
      <c r="AV97" s="205"/>
      <c r="AW97" s="205"/>
      <c r="AX97" s="205"/>
      <c r="AY97" s="205"/>
      <c r="AZ97" s="205"/>
      <c r="BD97" s="205"/>
      <c r="BF97" s="205"/>
    </row>
    <row r="98" spans="1:100" x14ac:dyDescent="0.2">
      <c r="A98" s="219"/>
      <c r="B98" s="219"/>
      <c r="C98" s="205"/>
      <c r="D98" s="205"/>
      <c r="E98" s="192"/>
      <c r="F98" s="205"/>
      <c r="G98" s="205"/>
      <c r="H98" s="205"/>
      <c r="I98" s="205"/>
      <c r="J98"/>
      <c r="K98"/>
      <c r="L98" s="205"/>
      <c r="M98" s="205"/>
      <c r="N98" s="205"/>
      <c r="O98" s="192"/>
      <c r="P98" s="192"/>
      <c r="Q98" s="205"/>
      <c r="R98" s="205"/>
      <c r="W98" s="205"/>
      <c r="X98" s="205"/>
      <c r="Y98" s="205"/>
      <c r="Z98" s="205"/>
      <c r="AA98" s="205"/>
      <c r="AB98" s="205"/>
      <c r="AC98" s="205"/>
      <c r="AD98" s="205"/>
      <c r="AL98" s="205"/>
      <c r="AM98" s="205"/>
      <c r="AN98" s="205"/>
      <c r="AO98" s="205"/>
      <c r="AP98" s="205"/>
      <c r="AQ98" s="205"/>
      <c r="AR98" s="205"/>
      <c r="AS98" s="205"/>
      <c r="AV98" s="205"/>
      <c r="AW98" s="205"/>
      <c r="AX98" s="205"/>
      <c r="AY98" s="205"/>
      <c r="AZ98" s="205"/>
      <c r="BD98" s="205"/>
      <c r="BF98" s="205"/>
    </row>
    <row r="99" spans="1:100" x14ac:dyDescent="0.2">
      <c r="A99" s="219"/>
      <c r="B99" s="219"/>
      <c r="C99" s="205"/>
      <c r="D99" s="205"/>
      <c r="E99" s="192"/>
      <c r="F99" s="205"/>
      <c r="G99" s="205"/>
      <c r="H99" s="205"/>
      <c r="I99" s="205"/>
      <c r="J99" s="205"/>
      <c r="K99" s="205"/>
      <c r="L99" s="205"/>
      <c r="M99" s="205"/>
      <c r="N99" s="205"/>
      <c r="O99" s="192"/>
      <c r="P99" s="192"/>
      <c r="Q99" s="205"/>
      <c r="R99" s="205"/>
      <c r="W99" s="205"/>
      <c r="X99" s="205"/>
      <c r="Y99" s="205"/>
      <c r="Z99" s="205"/>
      <c r="AA99" s="205"/>
      <c r="AB99" s="205"/>
      <c r="AC99" s="205"/>
      <c r="AD99" s="205"/>
      <c r="AL99" s="205"/>
      <c r="AM99" s="205"/>
      <c r="AN99" s="205"/>
      <c r="AO99" s="205"/>
      <c r="AP99" s="205"/>
      <c r="AQ99" s="205"/>
      <c r="AR99" s="205"/>
      <c r="AS99" s="205"/>
      <c r="AV99" s="205"/>
      <c r="AW99" s="205"/>
      <c r="AX99" s="205"/>
      <c r="AY99" s="205"/>
      <c r="AZ99" s="205"/>
      <c r="BA99" s="205"/>
      <c r="BB99" s="205"/>
      <c r="BD99" s="205"/>
      <c r="BF99" s="205"/>
      <c r="BG99" s="201"/>
      <c r="BH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  <c r="BY99" s="201"/>
      <c r="BZ99" s="201"/>
      <c r="CA99" s="201"/>
      <c r="CB99" s="201"/>
      <c r="CC99" s="201"/>
      <c r="CD99" s="201"/>
      <c r="CE99" s="201"/>
      <c r="CF99" s="201"/>
      <c r="CG99" s="201"/>
      <c r="CH99" s="201"/>
      <c r="CI99" s="201"/>
      <c r="CJ99" s="201"/>
      <c r="CK99" s="201"/>
      <c r="CL99" s="201"/>
      <c r="CM99" s="201"/>
      <c r="CN99" s="201"/>
      <c r="CO99" s="201"/>
      <c r="CP99" s="201"/>
      <c r="CQ99" s="201"/>
      <c r="CR99" s="201"/>
      <c r="CS99" s="201"/>
      <c r="CT99" s="201"/>
      <c r="CU99" s="201"/>
      <c r="CV99" s="201"/>
    </row>
    <row r="100" spans="1:100" x14ac:dyDescent="0.2">
      <c r="A100" s="219"/>
      <c r="B100" s="219"/>
      <c r="C100" s="205"/>
      <c r="D100" s="205"/>
      <c r="E100" s="192"/>
      <c r="F100" s="205"/>
      <c r="G100" s="205"/>
      <c r="H100" s="205"/>
      <c r="I100" s="205"/>
      <c r="J100"/>
      <c r="K100"/>
      <c r="L100" s="205"/>
      <c r="M100" s="205"/>
      <c r="N100" s="205"/>
      <c r="O100" s="192"/>
      <c r="P100" s="192"/>
      <c r="Q100" s="205"/>
      <c r="R100" s="205"/>
      <c r="W100" s="205"/>
      <c r="X100" s="205"/>
      <c r="Y100" s="205"/>
      <c r="Z100" s="205"/>
      <c r="AA100" s="205"/>
      <c r="AB100" s="205"/>
      <c r="AC100" s="205"/>
      <c r="AD100" s="205"/>
      <c r="AL100" s="205"/>
      <c r="AM100" s="205"/>
      <c r="AN100" s="205"/>
      <c r="AO100" s="205"/>
      <c r="AP100" s="205"/>
      <c r="AQ100" s="205"/>
      <c r="AR100" s="205"/>
      <c r="AS100" s="205"/>
      <c r="AV100" s="205"/>
      <c r="AW100" s="205"/>
      <c r="AX100" s="205"/>
      <c r="AY100" s="205"/>
      <c r="AZ100" s="205"/>
      <c r="BD100" s="205"/>
      <c r="BF100" s="205"/>
    </row>
    <row r="101" spans="1:100" x14ac:dyDescent="0.2">
      <c r="A101" s="219"/>
      <c r="B101" s="219"/>
      <c r="C101" s="205"/>
      <c r="D101" s="205"/>
      <c r="E101" s="192"/>
      <c r="F101" s="205"/>
      <c r="G101" s="205"/>
      <c r="H101" s="205"/>
      <c r="I101" s="205"/>
      <c r="J101"/>
      <c r="K101"/>
      <c r="L101" s="205"/>
      <c r="M101" s="205"/>
      <c r="N101" s="205"/>
      <c r="O101" s="192"/>
      <c r="P101" s="192"/>
      <c r="Q101" s="205"/>
      <c r="R101" s="205"/>
      <c r="W101" s="205"/>
      <c r="X101" s="205"/>
      <c r="Y101" s="205"/>
      <c r="Z101" s="205"/>
      <c r="AA101" s="205"/>
      <c r="AB101" s="205"/>
      <c r="AC101" s="205"/>
      <c r="AD101" s="205"/>
      <c r="AL101" s="205"/>
      <c r="AM101" s="205"/>
      <c r="AN101" s="205"/>
      <c r="AO101" s="205"/>
      <c r="AP101" s="205"/>
      <c r="AQ101" s="205"/>
      <c r="AR101" s="205"/>
      <c r="AS101" s="205"/>
      <c r="AV101" s="205"/>
      <c r="AW101" s="205"/>
      <c r="AX101" s="205"/>
      <c r="AY101" s="205"/>
      <c r="AZ101" s="205"/>
      <c r="BD101" s="205"/>
      <c r="BF101" s="205"/>
    </row>
    <row r="102" spans="1:100" x14ac:dyDescent="0.2">
      <c r="A102" s="219"/>
      <c r="B102" s="219"/>
      <c r="C102" s="205"/>
      <c r="D102" s="205"/>
      <c r="E102" s="192"/>
      <c r="F102" s="205"/>
      <c r="G102" s="205"/>
      <c r="H102" s="205"/>
      <c r="I102" s="205"/>
      <c r="J102"/>
      <c r="K102"/>
      <c r="L102" s="205"/>
      <c r="M102" s="205"/>
      <c r="N102" s="205"/>
      <c r="O102" s="192"/>
      <c r="P102" s="192"/>
      <c r="Q102" s="205"/>
      <c r="R102" s="205"/>
      <c r="W102" s="205"/>
      <c r="X102" s="205"/>
      <c r="Y102" s="205"/>
      <c r="Z102" s="205"/>
      <c r="AA102" s="205"/>
      <c r="AB102" s="205"/>
      <c r="AC102" s="205"/>
      <c r="AD102" s="205"/>
      <c r="AL102" s="205"/>
      <c r="AM102" s="205"/>
      <c r="AN102" s="205"/>
      <c r="AO102" s="205"/>
      <c r="AP102" s="205"/>
      <c r="AQ102" s="205"/>
      <c r="AR102" s="205"/>
      <c r="AS102" s="205"/>
      <c r="AV102" s="205"/>
      <c r="AW102" s="205"/>
      <c r="AX102" s="205"/>
      <c r="AY102" s="205"/>
      <c r="AZ102" s="205"/>
      <c r="BD102" s="205"/>
      <c r="BF102" s="205"/>
    </row>
    <row r="103" spans="1:100" x14ac:dyDescent="0.2">
      <c r="A103" s="219"/>
      <c r="B103" s="219"/>
      <c r="C103" s="205"/>
      <c r="D103" s="205"/>
      <c r="E103" s="192"/>
      <c r="F103" s="205"/>
      <c r="G103" s="205"/>
      <c r="H103" s="205"/>
      <c r="I103" s="205"/>
      <c r="J103"/>
      <c r="K103"/>
      <c r="L103" s="205"/>
      <c r="M103" s="205"/>
      <c r="N103" s="205"/>
      <c r="O103" s="192"/>
      <c r="P103" s="192"/>
      <c r="Q103" s="205"/>
      <c r="R103" s="205"/>
      <c r="W103" s="205"/>
      <c r="X103" s="205"/>
      <c r="Y103" s="205"/>
      <c r="Z103" s="205"/>
      <c r="AA103" s="205"/>
      <c r="AB103" s="205"/>
      <c r="AC103" s="205"/>
      <c r="AD103" s="205"/>
      <c r="AL103" s="205"/>
      <c r="AM103" s="205"/>
      <c r="AN103" s="205"/>
      <c r="AO103" s="205"/>
      <c r="AP103" s="205"/>
      <c r="AQ103" s="205"/>
      <c r="AR103" s="205"/>
      <c r="AS103" s="205"/>
      <c r="AV103" s="205"/>
      <c r="AW103" s="205"/>
      <c r="AX103" s="205"/>
      <c r="AY103" s="205"/>
      <c r="AZ103" s="205"/>
      <c r="BD103" s="205"/>
      <c r="BF103" s="205"/>
    </row>
    <row r="104" spans="1:100" x14ac:dyDescent="0.2">
      <c r="A104" s="219"/>
      <c r="B104" s="219"/>
      <c r="C104" s="205"/>
      <c r="D104" s="205"/>
      <c r="E104" s="192"/>
      <c r="F104" s="205"/>
      <c r="G104" s="205"/>
      <c r="H104" s="205"/>
      <c r="I104" s="205"/>
      <c r="J104"/>
      <c r="K104"/>
      <c r="L104" s="205"/>
      <c r="M104" s="205"/>
      <c r="N104" s="205"/>
      <c r="O104" s="192"/>
      <c r="P104" s="192"/>
      <c r="Q104" s="205"/>
      <c r="R104" s="205"/>
      <c r="W104" s="205"/>
      <c r="X104" s="205"/>
      <c r="Y104" s="205"/>
      <c r="Z104" s="205"/>
      <c r="AA104" s="205"/>
      <c r="AB104" s="205"/>
      <c r="AC104" s="205"/>
      <c r="AD104" s="205"/>
      <c r="AL104" s="205"/>
      <c r="AM104" s="205"/>
      <c r="AN104" s="205"/>
      <c r="AO104" s="205"/>
      <c r="AP104" s="205"/>
      <c r="AQ104" s="205"/>
      <c r="AR104" s="205"/>
      <c r="AS104" s="205"/>
      <c r="AV104" s="205"/>
      <c r="AW104" s="205"/>
      <c r="AX104" s="205"/>
      <c r="AY104" s="205"/>
      <c r="AZ104" s="205"/>
      <c r="BD104" s="205"/>
      <c r="BF104" s="205"/>
    </row>
    <row r="105" spans="1:100" x14ac:dyDescent="0.2">
      <c r="A105" s="219"/>
      <c r="B105" s="219"/>
      <c r="C105" s="205"/>
      <c r="D105" s="205"/>
      <c r="E105" s="192"/>
      <c r="F105" s="205"/>
      <c r="G105" s="205"/>
      <c r="H105" s="205"/>
      <c r="I105" s="205"/>
      <c r="J105"/>
      <c r="K105"/>
      <c r="L105" s="205"/>
      <c r="M105" s="205"/>
      <c r="N105" s="205"/>
      <c r="O105" s="192"/>
      <c r="P105" s="192"/>
      <c r="Q105" s="205"/>
      <c r="R105" s="205"/>
      <c r="W105" s="205"/>
      <c r="X105" s="205"/>
      <c r="Y105" s="205"/>
      <c r="Z105" s="205"/>
      <c r="AA105" s="205"/>
      <c r="AB105" s="205"/>
      <c r="AC105" s="205"/>
      <c r="AD105" s="205"/>
      <c r="AL105" s="205"/>
      <c r="AM105" s="205"/>
      <c r="AN105" s="205"/>
      <c r="AO105" s="205"/>
      <c r="AP105" s="205"/>
      <c r="AQ105" s="205"/>
      <c r="AR105" s="205"/>
      <c r="AS105" s="205"/>
      <c r="AV105" s="205"/>
      <c r="AW105" s="205"/>
      <c r="AX105" s="205"/>
      <c r="AY105" s="205"/>
      <c r="AZ105" s="205"/>
      <c r="BD105" s="205"/>
      <c r="BF105" s="205"/>
    </row>
    <row r="106" spans="1:100" x14ac:dyDescent="0.2">
      <c r="A106" s="219"/>
      <c r="B106" s="219"/>
      <c r="C106" s="205"/>
      <c r="D106" s="205"/>
      <c r="E106" s="192"/>
      <c r="F106" s="205"/>
      <c r="G106" s="205"/>
      <c r="H106" s="205"/>
      <c r="I106" s="205"/>
      <c r="J106"/>
      <c r="K106"/>
      <c r="L106" s="205"/>
      <c r="M106" s="205"/>
      <c r="N106" s="205"/>
      <c r="O106" s="192"/>
      <c r="P106" s="192"/>
      <c r="Q106" s="205"/>
      <c r="R106" s="205"/>
      <c r="W106" s="205"/>
      <c r="X106" s="205"/>
      <c r="Y106" s="205"/>
      <c r="Z106" s="205"/>
      <c r="AA106" s="205"/>
      <c r="AB106" s="205"/>
      <c r="AC106" s="205"/>
      <c r="AD106" s="205"/>
      <c r="AL106" s="205"/>
      <c r="AM106" s="205"/>
      <c r="AN106" s="205"/>
      <c r="AO106" s="205"/>
      <c r="AP106" s="205"/>
      <c r="AQ106" s="205"/>
      <c r="AR106" s="205"/>
      <c r="AS106" s="205"/>
      <c r="AV106" s="205"/>
      <c r="AW106" s="205"/>
      <c r="AX106" s="205"/>
      <c r="AY106" s="205"/>
      <c r="AZ106" s="205"/>
      <c r="BD106" s="205"/>
      <c r="BF106" s="205"/>
    </row>
    <row r="107" spans="1:100" x14ac:dyDescent="0.2">
      <c r="A107" s="219"/>
      <c r="B107" s="219"/>
      <c r="C107" s="205"/>
      <c r="D107" s="205"/>
      <c r="E107" s="192"/>
      <c r="F107" s="205"/>
      <c r="G107" s="205"/>
      <c r="H107" s="205"/>
      <c r="I107" s="205"/>
      <c r="J107"/>
      <c r="K107"/>
      <c r="L107" s="205"/>
      <c r="M107" s="205"/>
      <c r="N107" s="205"/>
      <c r="O107" s="192"/>
      <c r="P107" s="192"/>
      <c r="Q107" s="205"/>
      <c r="R107" s="205"/>
      <c r="W107" s="205"/>
      <c r="X107" s="205"/>
      <c r="Y107" s="205"/>
      <c r="Z107" s="205"/>
      <c r="AA107" s="205"/>
      <c r="AB107" s="205"/>
      <c r="AC107" s="205"/>
      <c r="AD107" s="205"/>
      <c r="AL107" s="205"/>
      <c r="AM107" s="205"/>
      <c r="AN107" s="205"/>
      <c r="AO107" s="205"/>
      <c r="AP107" s="205"/>
      <c r="AQ107" s="205"/>
      <c r="AR107" s="205"/>
      <c r="AS107" s="205"/>
      <c r="AV107" s="205"/>
      <c r="AW107" s="205"/>
      <c r="AX107" s="205"/>
      <c r="AY107" s="205"/>
      <c r="AZ107" s="205"/>
      <c r="BD107" s="205"/>
      <c r="BF107" s="205"/>
    </row>
    <row r="108" spans="1:100" x14ac:dyDescent="0.2">
      <c r="A108" s="219"/>
      <c r="B108" s="219"/>
      <c r="C108" s="205"/>
      <c r="D108" s="205"/>
      <c r="E108" s="192"/>
      <c r="F108" s="205"/>
      <c r="G108" s="205"/>
      <c r="H108" s="205"/>
      <c r="I108" s="205"/>
      <c r="J108" s="205"/>
      <c r="K108" s="205"/>
      <c r="L108" s="205"/>
      <c r="M108" s="205"/>
      <c r="N108" s="205"/>
      <c r="O108" s="192"/>
      <c r="P108" s="192"/>
      <c r="Q108" s="205"/>
      <c r="R108" s="205"/>
      <c r="W108" s="205"/>
      <c r="X108" s="205"/>
      <c r="Y108" s="205"/>
      <c r="Z108" s="205"/>
      <c r="AA108" s="205"/>
      <c r="AB108" s="205"/>
      <c r="AC108" s="205"/>
      <c r="AD108" s="205"/>
      <c r="AL108" s="205"/>
      <c r="AM108" s="205"/>
      <c r="AN108" s="205"/>
      <c r="AO108" s="205"/>
      <c r="AP108" s="205"/>
      <c r="AQ108" s="205"/>
      <c r="AR108" s="205"/>
      <c r="AS108" s="205"/>
      <c r="AV108" s="205"/>
      <c r="AW108" s="205"/>
      <c r="AX108" s="205"/>
      <c r="AY108" s="205"/>
      <c r="AZ108" s="205"/>
      <c r="BA108" s="205"/>
      <c r="BB108" s="205"/>
      <c r="BD108" s="205"/>
      <c r="BF108" s="205"/>
      <c r="BG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  <c r="BY108" s="201"/>
      <c r="BZ108" s="201"/>
      <c r="CA108" s="201"/>
      <c r="CB108" s="201"/>
      <c r="CC108" s="201"/>
      <c r="CD108" s="201"/>
      <c r="CE108" s="201"/>
      <c r="CF108" s="201"/>
      <c r="CG108" s="201"/>
      <c r="CH108" s="201"/>
      <c r="CI108" s="201"/>
      <c r="CJ108" s="201"/>
      <c r="CK108" s="201"/>
      <c r="CL108" s="201"/>
      <c r="CM108" s="201"/>
      <c r="CN108" s="201"/>
      <c r="CO108" s="201"/>
      <c r="CP108" s="201"/>
      <c r="CQ108" s="201"/>
      <c r="CR108" s="201"/>
      <c r="CS108" s="201"/>
      <c r="CT108" s="201"/>
      <c r="CU108" s="201"/>
      <c r="CV108" s="201"/>
    </row>
    <row r="109" spans="1:100" x14ac:dyDescent="0.2">
      <c r="A109" s="219"/>
      <c r="B109" s="219"/>
      <c r="C109" s="205"/>
      <c r="D109" s="205"/>
      <c r="E109" s="192"/>
      <c r="F109" s="205"/>
      <c r="G109" s="205"/>
      <c r="H109" s="205"/>
      <c r="I109" s="205"/>
      <c r="J109"/>
      <c r="K109"/>
      <c r="L109" s="205"/>
      <c r="M109" s="205"/>
      <c r="N109" s="205"/>
      <c r="O109" s="192"/>
      <c r="P109" s="192"/>
      <c r="Q109" s="205"/>
      <c r="R109" s="205"/>
      <c r="W109" s="205"/>
      <c r="X109" s="205"/>
      <c r="Y109" s="205"/>
      <c r="Z109" s="205"/>
      <c r="AA109" s="205"/>
      <c r="AB109" s="205"/>
      <c r="AC109" s="205"/>
      <c r="AD109" s="205"/>
      <c r="AL109" s="205"/>
      <c r="AM109" s="205"/>
      <c r="AN109" s="205"/>
      <c r="AO109" s="205"/>
      <c r="AP109" s="205"/>
      <c r="AQ109" s="205"/>
      <c r="AR109" s="205"/>
      <c r="AS109" s="205"/>
      <c r="AV109" s="205"/>
      <c r="AW109" s="205"/>
      <c r="AX109" s="205"/>
      <c r="AY109" s="205"/>
      <c r="AZ109" s="205"/>
      <c r="BD109" s="205"/>
      <c r="BF109" s="205"/>
    </row>
    <row r="110" spans="1:100" x14ac:dyDescent="0.2">
      <c r="A110" s="219"/>
      <c r="B110" s="219"/>
      <c r="C110" s="205"/>
      <c r="D110" s="205"/>
      <c r="E110" s="192"/>
      <c r="F110" s="205"/>
      <c r="G110" s="205"/>
      <c r="H110" s="205"/>
      <c r="I110" s="205"/>
      <c r="J110"/>
      <c r="K110"/>
      <c r="L110" s="205"/>
      <c r="M110" s="205"/>
      <c r="N110" s="205"/>
      <c r="O110" s="192"/>
      <c r="P110" s="192"/>
      <c r="Q110" s="205"/>
      <c r="R110" s="205"/>
      <c r="W110" s="205"/>
      <c r="X110" s="205"/>
      <c r="Y110" s="205"/>
      <c r="Z110" s="205"/>
      <c r="AA110" s="205"/>
      <c r="AB110" s="205"/>
      <c r="AC110" s="205"/>
      <c r="AD110" s="205"/>
      <c r="AL110" s="205"/>
      <c r="AM110" s="205"/>
      <c r="AN110" s="205"/>
      <c r="AO110" s="205"/>
      <c r="AP110" s="205"/>
      <c r="AQ110" s="205"/>
      <c r="AR110" s="205"/>
      <c r="AS110" s="205"/>
      <c r="AV110" s="205"/>
      <c r="AW110" s="205"/>
      <c r="AX110" s="205"/>
      <c r="AY110" s="205"/>
      <c r="AZ110" s="205"/>
      <c r="BD110" s="205"/>
      <c r="BF110" s="205"/>
    </row>
    <row r="111" spans="1:100" x14ac:dyDescent="0.2">
      <c r="A111" s="219"/>
      <c r="B111" s="219"/>
      <c r="C111" s="205"/>
      <c r="D111" s="205"/>
      <c r="E111" s="192"/>
      <c r="F111" s="205"/>
      <c r="G111" s="205"/>
      <c r="H111" s="205"/>
      <c r="I111" s="205"/>
      <c r="J111"/>
      <c r="K111"/>
      <c r="L111" s="205"/>
      <c r="M111" s="205"/>
      <c r="N111" s="205"/>
      <c r="O111" s="192"/>
      <c r="P111" s="192"/>
      <c r="Q111" s="205"/>
      <c r="R111" s="205"/>
      <c r="W111" s="205"/>
      <c r="X111" s="205"/>
      <c r="Y111" s="205"/>
      <c r="Z111" s="205"/>
      <c r="AA111" s="205"/>
      <c r="AB111" s="205"/>
      <c r="AC111" s="205"/>
      <c r="AD111" s="205"/>
      <c r="AL111" s="205"/>
      <c r="AM111" s="205"/>
      <c r="AN111" s="205"/>
      <c r="AO111" s="205"/>
      <c r="AP111" s="205"/>
      <c r="AQ111" s="205"/>
      <c r="AR111" s="205"/>
      <c r="AS111" s="205"/>
      <c r="AV111" s="205"/>
      <c r="AW111" s="205"/>
      <c r="AX111" s="205"/>
      <c r="AY111" s="205"/>
      <c r="AZ111" s="205"/>
      <c r="BD111" s="205"/>
      <c r="BF111" s="205"/>
    </row>
    <row r="112" spans="1:100" x14ac:dyDescent="0.2">
      <c r="A112" s="219"/>
      <c r="B112" s="219"/>
      <c r="C112" s="205"/>
      <c r="D112" s="205"/>
      <c r="E112" s="192"/>
      <c r="F112" s="205"/>
      <c r="G112" s="205"/>
      <c r="H112" s="205"/>
      <c r="I112" s="205"/>
      <c r="J112"/>
      <c r="K112"/>
      <c r="L112" s="205"/>
      <c r="M112" s="205"/>
      <c r="N112" s="205"/>
      <c r="O112" s="192"/>
      <c r="P112" s="192"/>
      <c r="Q112" s="205"/>
      <c r="R112" s="205"/>
      <c r="W112" s="205"/>
      <c r="X112" s="205"/>
      <c r="Y112" s="205"/>
      <c r="Z112" s="205"/>
      <c r="AA112" s="205"/>
      <c r="AB112" s="205"/>
      <c r="AC112" s="205"/>
      <c r="AD112" s="205"/>
      <c r="AL112" s="205"/>
      <c r="AM112" s="205"/>
      <c r="AN112" s="205"/>
      <c r="AO112" s="205"/>
      <c r="AP112" s="205"/>
      <c r="AQ112" s="205"/>
      <c r="AR112" s="205"/>
      <c r="AS112" s="205"/>
      <c r="AV112" s="205"/>
      <c r="AW112" s="205"/>
      <c r="AX112" s="205"/>
      <c r="AY112" s="205"/>
      <c r="AZ112" s="205"/>
      <c r="BD112" s="205"/>
      <c r="BF112" s="205"/>
    </row>
    <row r="113" spans="1:100" x14ac:dyDescent="0.2">
      <c r="A113" s="219"/>
      <c r="B113" s="219"/>
      <c r="C113" s="205"/>
      <c r="D113" s="205"/>
      <c r="E113" s="192"/>
      <c r="F113" s="205"/>
      <c r="G113" s="205"/>
      <c r="H113" s="205"/>
      <c r="I113" s="205"/>
      <c r="J113"/>
      <c r="K113"/>
      <c r="L113" s="205"/>
      <c r="M113" s="205"/>
      <c r="N113" s="205"/>
      <c r="O113" s="192"/>
      <c r="P113" s="192"/>
      <c r="Q113" s="205"/>
      <c r="R113" s="205"/>
      <c r="W113" s="205"/>
      <c r="X113" s="205"/>
      <c r="Y113" s="205"/>
      <c r="Z113" s="205"/>
      <c r="AA113" s="205"/>
      <c r="AB113" s="205"/>
      <c r="AC113" s="205"/>
      <c r="AD113" s="205"/>
      <c r="AL113" s="205"/>
      <c r="AM113" s="205"/>
      <c r="AN113" s="205"/>
      <c r="AO113" s="205"/>
      <c r="AP113" s="205"/>
      <c r="AQ113" s="205"/>
      <c r="AR113" s="205"/>
      <c r="AS113" s="205"/>
      <c r="AV113" s="205"/>
      <c r="AW113" s="205"/>
      <c r="AX113" s="205"/>
      <c r="AY113" s="205"/>
      <c r="AZ113" s="205"/>
      <c r="BD113" s="205"/>
      <c r="BF113" s="205"/>
    </row>
    <row r="114" spans="1:100" x14ac:dyDescent="0.2">
      <c r="A114" s="219"/>
      <c r="B114" s="219"/>
      <c r="C114" s="205"/>
      <c r="D114" s="205"/>
      <c r="E114" s="192"/>
      <c r="F114" s="205"/>
      <c r="G114" s="205"/>
      <c r="H114" s="205"/>
      <c r="I114" s="205"/>
      <c r="J114"/>
      <c r="K114"/>
      <c r="L114" s="205"/>
      <c r="M114" s="205"/>
      <c r="N114" s="205"/>
      <c r="O114" s="192"/>
      <c r="P114" s="192"/>
      <c r="Q114" s="205"/>
      <c r="R114" s="205"/>
      <c r="W114" s="205"/>
      <c r="X114" s="205"/>
      <c r="Y114" s="205"/>
      <c r="Z114" s="205"/>
      <c r="AA114" s="205"/>
      <c r="AB114" s="205"/>
      <c r="AC114" s="205"/>
      <c r="AD114" s="205"/>
      <c r="AL114" s="205"/>
      <c r="AM114" s="205"/>
      <c r="AN114" s="205"/>
      <c r="AO114" s="205"/>
      <c r="AP114" s="205"/>
      <c r="AQ114" s="205"/>
      <c r="AR114" s="205"/>
      <c r="AS114" s="205"/>
      <c r="AV114" s="205"/>
      <c r="AW114" s="205"/>
      <c r="AX114" s="205"/>
      <c r="AY114" s="205"/>
      <c r="AZ114" s="205"/>
      <c r="BD114" s="205"/>
      <c r="BF114" s="205"/>
    </row>
    <row r="115" spans="1:100" x14ac:dyDescent="0.2">
      <c r="A115" s="219"/>
      <c r="B115" s="219"/>
      <c r="C115" s="205"/>
      <c r="D115" s="205"/>
      <c r="E115" s="192"/>
      <c r="F115" s="205"/>
      <c r="G115" s="205"/>
      <c r="H115" s="205"/>
      <c r="I115" s="205"/>
      <c r="J115"/>
      <c r="K115"/>
      <c r="L115" s="205"/>
      <c r="M115" s="205"/>
      <c r="N115" s="205"/>
      <c r="O115" s="192"/>
      <c r="P115" s="192"/>
      <c r="Q115" s="205"/>
      <c r="R115" s="205"/>
      <c r="W115" s="205"/>
      <c r="X115" s="205"/>
      <c r="Y115" s="205"/>
      <c r="Z115" s="205"/>
      <c r="AA115" s="205"/>
      <c r="AB115" s="205"/>
      <c r="AC115" s="205"/>
      <c r="AD115" s="205"/>
      <c r="AL115" s="205"/>
      <c r="AM115" s="205"/>
      <c r="AN115" s="205"/>
      <c r="AO115" s="205"/>
      <c r="AP115" s="205"/>
      <c r="AQ115" s="205"/>
      <c r="AR115" s="205"/>
      <c r="AS115" s="205"/>
      <c r="AV115" s="205"/>
      <c r="AW115" s="205"/>
      <c r="AX115" s="205"/>
      <c r="AY115" s="205"/>
      <c r="AZ115" s="205"/>
      <c r="BD115" s="205"/>
      <c r="BF115" s="205"/>
    </row>
    <row r="116" spans="1:100" x14ac:dyDescent="0.2">
      <c r="A116" s="219"/>
      <c r="B116" s="219"/>
      <c r="C116" s="205"/>
      <c r="D116" s="205"/>
      <c r="E116" s="192"/>
      <c r="F116" s="205"/>
      <c r="G116" s="205"/>
      <c r="H116" s="205"/>
      <c r="I116" s="205"/>
      <c r="J116"/>
      <c r="K116"/>
      <c r="L116" s="205"/>
      <c r="M116" s="205"/>
      <c r="N116" s="205"/>
      <c r="O116" s="192"/>
      <c r="P116" s="192"/>
      <c r="Q116" s="205"/>
      <c r="R116" s="205"/>
      <c r="W116" s="205"/>
      <c r="X116" s="205"/>
      <c r="Y116" s="205"/>
      <c r="Z116" s="205"/>
      <c r="AA116" s="205"/>
      <c r="AB116" s="205"/>
      <c r="AC116" s="205"/>
      <c r="AD116" s="205"/>
      <c r="AL116" s="205"/>
      <c r="AM116" s="205"/>
      <c r="AN116" s="205"/>
      <c r="AO116" s="205"/>
      <c r="AP116" s="205"/>
      <c r="AQ116" s="205"/>
      <c r="AR116" s="205"/>
      <c r="AS116" s="205"/>
      <c r="AV116" s="205"/>
      <c r="AW116" s="205"/>
      <c r="AX116" s="205"/>
      <c r="AY116" s="205"/>
      <c r="AZ116" s="205"/>
      <c r="BD116" s="205"/>
      <c r="BF116" s="205"/>
    </row>
    <row r="117" spans="1:100" x14ac:dyDescent="0.2">
      <c r="A117" s="219"/>
      <c r="B117" s="219"/>
      <c r="C117" s="205"/>
      <c r="D117" s="205"/>
      <c r="E117" s="192"/>
      <c r="F117" s="205"/>
      <c r="G117" s="205"/>
      <c r="H117" s="205"/>
      <c r="I117" s="205"/>
      <c r="J117"/>
      <c r="K117"/>
      <c r="L117" s="205"/>
      <c r="M117" s="205"/>
      <c r="N117" s="205"/>
      <c r="O117" s="192"/>
      <c r="P117" s="192"/>
      <c r="Q117" s="205"/>
      <c r="R117" s="205"/>
      <c r="W117" s="205"/>
      <c r="X117" s="205"/>
      <c r="Y117" s="205"/>
      <c r="Z117" s="205"/>
      <c r="AA117" s="205"/>
      <c r="AB117" s="205"/>
      <c r="AC117" s="205"/>
      <c r="AD117" s="205"/>
      <c r="AL117" s="205"/>
      <c r="AM117" s="205"/>
      <c r="AN117" s="205"/>
      <c r="AO117" s="205"/>
      <c r="AP117" s="205"/>
      <c r="AQ117" s="205"/>
      <c r="AR117" s="205"/>
      <c r="AS117" s="205"/>
      <c r="AV117" s="205"/>
      <c r="AW117" s="205"/>
      <c r="AX117" s="205"/>
      <c r="AY117" s="205"/>
      <c r="AZ117" s="205"/>
      <c r="BD117" s="205"/>
      <c r="BF117" s="205"/>
    </row>
    <row r="118" spans="1:100" x14ac:dyDescent="0.2">
      <c r="A118" s="219"/>
      <c r="B118" s="219"/>
      <c r="C118" s="205"/>
      <c r="D118" s="205"/>
      <c r="E118" s="192"/>
      <c r="F118" s="205"/>
      <c r="G118" s="205"/>
      <c r="H118" s="205"/>
      <c r="I118" s="205"/>
      <c r="J118"/>
      <c r="K118"/>
      <c r="L118" s="205"/>
      <c r="M118" s="205"/>
      <c r="N118" s="205"/>
      <c r="O118" s="192"/>
      <c r="P118" s="192"/>
      <c r="Q118" s="205"/>
      <c r="R118" s="205"/>
      <c r="W118" s="205"/>
      <c r="X118" s="205"/>
      <c r="Y118" s="205"/>
      <c r="Z118" s="205"/>
      <c r="AA118" s="205"/>
      <c r="AB118" s="205"/>
      <c r="AC118" s="205"/>
      <c r="AD118" s="205"/>
      <c r="AL118" s="205"/>
      <c r="AM118" s="205"/>
      <c r="AN118" s="205"/>
      <c r="AO118" s="205"/>
      <c r="AP118" s="205"/>
      <c r="AQ118" s="205"/>
      <c r="AR118" s="205"/>
      <c r="AS118" s="205"/>
      <c r="AV118" s="205"/>
      <c r="AW118" s="205"/>
      <c r="AX118" s="205"/>
      <c r="AY118" s="205"/>
      <c r="AZ118" s="205"/>
      <c r="BD118" s="205"/>
      <c r="BF118" s="205"/>
    </row>
    <row r="119" spans="1:100" x14ac:dyDescent="0.2">
      <c r="A119" s="219"/>
      <c r="B119" s="219"/>
      <c r="C119" s="205"/>
      <c r="D119" s="205"/>
      <c r="E119" s="192"/>
      <c r="F119" s="205"/>
      <c r="G119" s="205"/>
      <c r="H119" s="205"/>
      <c r="I119" s="205"/>
      <c r="J119"/>
      <c r="K119"/>
      <c r="L119" s="205"/>
      <c r="M119" s="205"/>
      <c r="N119" s="205"/>
      <c r="O119" s="192"/>
      <c r="P119" s="192"/>
      <c r="Q119" s="205"/>
      <c r="R119" s="205"/>
      <c r="W119" s="205"/>
      <c r="X119" s="205"/>
      <c r="Y119" s="205"/>
      <c r="Z119" s="205"/>
      <c r="AA119" s="205"/>
      <c r="AB119" s="205"/>
      <c r="AC119" s="205"/>
      <c r="AD119" s="205"/>
      <c r="AL119" s="205"/>
      <c r="AM119" s="205"/>
      <c r="AN119" s="205"/>
      <c r="AO119" s="205"/>
      <c r="AP119" s="205"/>
      <c r="AQ119" s="205"/>
      <c r="AR119" s="205"/>
      <c r="AS119" s="205"/>
      <c r="AV119" s="205"/>
      <c r="AW119" s="205"/>
      <c r="AX119" s="205"/>
      <c r="AY119" s="205"/>
      <c r="AZ119" s="205"/>
      <c r="BD119" s="205"/>
      <c r="BF119" s="205"/>
    </row>
    <row r="120" spans="1:100" x14ac:dyDescent="0.2">
      <c r="A120" s="219"/>
      <c r="B120" s="219"/>
      <c r="C120" s="205"/>
      <c r="D120" s="205"/>
      <c r="E120" s="192"/>
      <c r="F120" s="205"/>
      <c r="G120" s="205"/>
      <c r="H120" s="205"/>
      <c r="I120" s="205"/>
      <c r="J120"/>
      <c r="K120"/>
      <c r="L120" s="205"/>
      <c r="M120" s="205"/>
      <c r="N120" s="205"/>
      <c r="O120" s="192"/>
      <c r="P120" s="192"/>
      <c r="Q120" s="205"/>
      <c r="R120" s="205"/>
      <c r="W120" s="205"/>
      <c r="X120" s="205"/>
      <c r="Y120" s="205"/>
      <c r="Z120" s="205"/>
      <c r="AA120" s="205"/>
      <c r="AB120" s="205"/>
      <c r="AC120" s="205"/>
      <c r="AD120" s="205"/>
      <c r="AL120" s="205"/>
      <c r="AM120" s="205"/>
      <c r="AN120" s="205"/>
      <c r="AO120" s="205"/>
      <c r="AP120" s="205"/>
      <c r="AQ120" s="205"/>
      <c r="AR120" s="205"/>
      <c r="AS120" s="205"/>
      <c r="AV120" s="205"/>
      <c r="AW120" s="205"/>
      <c r="AX120" s="205"/>
      <c r="AY120" s="205"/>
      <c r="AZ120" s="205"/>
      <c r="BD120" s="205"/>
      <c r="BF120" s="205"/>
    </row>
    <row r="121" spans="1:100" x14ac:dyDescent="0.2">
      <c r="A121" s="219"/>
      <c r="B121" s="219"/>
      <c r="C121" s="205"/>
      <c r="D121" s="205"/>
      <c r="E121" s="192"/>
      <c r="F121" s="205"/>
      <c r="G121" s="205"/>
      <c r="H121" s="205"/>
      <c r="I121" s="205"/>
      <c r="J121" s="205"/>
      <c r="K121" s="205"/>
      <c r="L121" s="205"/>
      <c r="M121" s="205"/>
      <c r="N121" s="205"/>
      <c r="O121" s="192"/>
      <c r="P121" s="192"/>
      <c r="Q121" s="205"/>
      <c r="R121" s="205"/>
      <c r="W121" s="205"/>
      <c r="X121" s="205"/>
      <c r="Y121" s="205"/>
      <c r="Z121" s="205"/>
      <c r="AA121" s="205"/>
      <c r="AB121" s="205"/>
      <c r="AC121" s="205"/>
      <c r="AD121" s="205"/>
      <c r="AL121" s="205"/>
      <c r="AM121" s="205"/>
      <c r="AN121" s="205"/>
      <c r="AO121" s="205"/>
      <c r="AP121" s="205"/>
      <c r="AQ121" s="205"/>
      <c r="AR121" s="205"/>
      <c r="AS121" s="205"/>
      <c r="AV121" s="205"/>
      <c r="AW121" s="205"/>
      <c r="AX121" s="205"/>
      <c r="AY121" s="205"/>
      <c r="AZ121" s="205"/>
      <c r="BA121" s="205"/>
      <c r="BB121" s="205"/>
      <c r="BD121" s="205"/>
      <c r="BF121" s="205"/>
      <c r="BG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  <c r="BY121" s="201"/>
      <c r="BZ121" s="201"/>
      <c r="CA121" s="201"/>
      <c r="CB121" s="201"/>
      <c r="CC121" s="201"/>
      <c r="CD121" s="201"/>
      <c r="CE121" s="201"/>
      <c r="CF121" s="201"/>
      <c r="CG121" s="201"/>
      <c r="CH121" s="201"/>
      <c r="CI121" s="201"/>
      <c r="CJ121" s="201"/>
      <c r="CK121" s="201"/>
      <c r="CL121" s="201"/>
      <c r="CM121" s="201"/>
      <c r="CN121" s="201"/>
      <c r="CO121" s="201"/>
      <c r="CP121" s="201"/>
      <c r="CQ121" s="201"/>
      <c r="CR121" s="201"/>
      <c r="CS121" s="201"/>
      <c r="CT121" s="201"/>
      <c r="CU121" s="201"/>
      <c r="CV121" s="201"/>
    </row>
    <row r="122" spans="1:100" x14ac:dyDescent="0.2">
      <c r="A122" s="219"/>
      <c r="B122" s="219"/>
      <c r="C122" s="205"/>
      <c r="D122" s="205"/>
      <c r="E122" s="192"/>
      <c r="F122" s="205"/>
      <c r="G122" s="205"/>
      <c r="H122" s="205"/>
      <c r="I122" s="205"/>
      <c r="J122"/>
      <c r="K122"/>
      <c r="L122" s="205"/>
      <c r="M122" s="205"/>
      <c r="N122" s="205"/>
      <c r="O122" s="192"/>
      <c r="P122" s="192"/>
      <c r="Q122" s="205"/>
      <c r="R122" s="205"/>
      <c r="W122" s="205"/>
      <c r="X122" s="205"/>
      <c r="Y122" s="205"/>
      <c r="Z122" s="205"/>
      <c r="AA122" s="205"/>
      <c r="AB122" s="205"/>
      <c r="AC122" s="205"/>
      <c r="AD122" s="205"/>
      <c r="AL122" s="205"/>
      <c r="AM122" s="205"/>
      <c r="AN122" s="205"/>
      <c r="AO122" s="205"/>
      <c r="AP122" s="205"/>
      <c r="AQ122" s="205"/>
      <c r="AR122" s="205"/>
      <c r="AS122" s="205"/>
      <c r="AV122" s="205"/>
      <c r="AW122" s="205"/>
      <c r="AX122" s="205"/>
      <c r="AY122" s="205"/>
      <c r="AZ122" s="205"/>
      <c r="BD122" s="205"/>
      <c r="BF122" s="205"/>
    </row>
    <row r="123" spans="1:100" x14ac:dyDescent="0.2">
      <c r="A123" s="219"/>
      <c r="B123" s="219"/>
      <c r="C123" s="205"/>
      <c r="D123" s="205"/>
      <c r="E123" s="192"/>
      <c r="F123" s="205"/>
      <c r="G123" s="205"/>
      <c r="H123" s="205"/>
      <c r="I123" s="205"/>
      <c r="J123"/>
      <c r="K123"/>
      <c r="L123" s="205"/>
      <c r="M123" s="205"/>
      <c r="N123" s="205"/>
      <c r="O123" s="192"/>
      <c r="P123" s="192"/>
      <c r="Q123" s="205"/>
      <c r="R123" s="205"/>
      <c r="W123" s="205"/>
      <c r="X123" s="205"/>
      <c r="Y123" s="205"/>
      <c r="Z123" s="205"/>
      <c r="AA123" s="205"/>
      <c r="AB123" s="205"/>
      <c r="AC123" s="205"/>
      <c r="AD123" s="205"/>
      <c r="AL123" s="205"/>
      <c r="AM123" s="205"/>
      <c r="AN123" s="205"/>
      <c r="AO123" s="205"/>
      <c r="AP123" s="205"/>
      <c r="AQ123" s="205"/>
      <c r="AR123" s="205"/>
      <c r="AS123" s="205"/>
      <c r="AV123" s="205"/>
      <c r="AW123" s="205"/>
      <c r="AX123" s="205"/>
      <c r="AY123" s="205"/>
      <c r="AZ123" s="205"/>
      <c r="BD123" s="205"/>
      <c r="BF123" s="205"/>
    </row>
    <row r="124" spans="1:100" x14ac:dyDescent="0.2">
      <c r="A124" s="219"/>
      <c r="B124" s="219"/>
      <c r="C124" s="205"/>
      <c r="D124" s="205"/>
      <c r="E124" s="192"/>
      <c r="F124" s="205"/>
      <c r="G124" s="205"/>
      <c r="H124" s="205"/>
      <c r="I124" s="205"/>
      <c r="J124"/>
      <c r="K124"/>
      <c r="L124" s="205"/>
      <c r="M124" s="205"/>
      <c r="N124" s="205"/>
      <c r="O124" s="192"/>
      <c r="P124" s="192"/>
      <c r="Q124" s="205"/>
      <c r="R124" s="205"/>
      <c r="W124" s="205"/>
      <c r="X124" s="205"/>
      <c r="Y124" s="205"/>
      <c r="Z124" s="205"/>
      <c r="AA124" s="205"/>
      <c r="AB124" s="205"/>
      <c r="AC124" s="205"/>
      <c r="AD124" s="205"/>
      <c r="AL124" s="205"/>
      <c r="AM124" s="205"/>
      <c r="AN124" s="205"/>
      <c r="AO124" s="205"/>
      <c r="AP124" s="205"/>
      <c r="AQ124" s="205"/>
      <c r="AR124" s="205"/>
      <c r="AS124" s="205"/>
      <c r="AV124" s="205"/>
      <c r="AW124" s="205"/>
      <c r="AX124" s="205"/>
      <c r="AY124" s="205"/>
      <c r="AZ124" s="205"/>
      <c r="BD124" s="205"/>
      <c r="BF124" s="205"/>
    </row>
    <row r="125" spans="1:100" x14ac:dyDescent="0.2">
      <c r="A125" s="219"/>
      <c r="B125" s="219"/>
      <c r="C125" s="205"/>
      <c r="D125" s="205"/>
      <c r="E125" s="192"/>
      <c r="F125" s="205"/>
      <c r="G125" s="205"/>
      <c r="H125" s="205"/>
      <c r="I125" s="205"/>
      <c r="J125"/>
      <c r="K125"/>
      <c r="L125" s="205"/>
      <c r="M125" s="205"/>
      <c r="N125" s="205"/>
      <c r="O125" s="192"/>
      <c r="P125" s="192"/>
      <c r="Q125" s="205"/>
      <c r="R125" s="205"/>
      <c r="W125" s="205"/>
      <c r="X125" s="205"/>
      <c r="Y125" s="205"/>
      <c r="Z125" s="205"/>
      <c r="AA125" s="205"/>
      <c r="AB125" s="205"/>
      <c r="AC125" s="205"/>
      <c r="AD125" s="205"/>
      <c r="AL125" s="205"/>
      <c r="AM125" s="205"/>
      <c r="AN125" s="205"/>
      <c r="AO125" s="205"/>
      <c r="AP125" s="205"/>
      <c r="AQ125" s="205"/>
      <c r="AR125" s="205"/>
      <c r="AS125" s="205"/>
      <c r="AV125" s="205"/>
      <c r="AW125" s="205"/>
      <c r="AX125" s="205"/>
      <c r="AY125" s="205"/>
      <c r="AZ125" s="205"/>
      <c r="BD125" s="205"/>
      <c r="BF125" s="205"/>
    </row>
    <row r="126" spans="1:100" x14ac:dyDescent="0.2">
      <c r="A126" s="219"/>
      <c r="B126" s="219"/>
      <c r="C126" s="205"/>
      <c r="D126" s="205"/>
      <c r="E126" s="192"/>
      <c r="F126" s="205"/>
      <c r="G126" s="205"/>
      <c r="H126" s="205"/>
      <c r="I126" s="205"/>
      <c r="J126"/>
      <c r="K126"/>
      <c r="L126" s="205"/>
      <c r="M126" s="205"/>
      <c r="N126" s="205"/>
      <c r="O126" s="192"/>
      <c r="P126" s="192"/>
      <c r="Q126" s="205"/>
      <c r="R126" s="205"/>
      <c r="W126" s="205"/>
      <c r="X126" s="205"/>
      <c r="Y126" s="205"/>
      <c r="Z126" s="205"/>
      <c r="AA126" s="205"/>
      <c r="AB126" s="205"/>
      <c r="AC126" s="205"/>
      <c r="AD126" s="205"/>
      <c r="AL126" s="205"/>
      <c r="AM126" s="205"/>
      <c r="AN126" s="205"/>
      <c r="AO126" s="205"/>
      <c r="AP126" s="205"/>
      <c r="AQ126" s="205"/>
      <c r="AR126" s="205"/>
      <c r="AS126" s="205"/>
      <c r="AV126" s="205"/>
      <c r="AW126" s="205"/>
      <c r="AX126" s="205"/>
      <c r="AY126" s="205"/>
      <c r="AZ126" s="205"/>
      <c r="BD126" s="205"/>
      <c r="BF126" s="205"/>
    </row>
    <row r="127" spans="1:100" x14ac:dyDescent="0.2">
      <c r="A127" s="219"/>
      <c r="B127" s="219"/>
      <c r="C127" s="205"/>
      <c r="D127" s="205"/>
      <c r="E127" s="192"/>
      <c r="F127" s="205"/>
      <c r="G127" s="205"/>
      <c r="H127" s="205"/>
      <c r="I127" s="205"/>
      <c r="J127"/>
      <c r="K127"/>
      <c r="L127" s="205"/>
      <c r="M127" s="205"/>
      <c r="N127" s="205"/>
      <c r="O127" s="192"/>
      <c r="P127" s="192"/>
      <c r="Q127" s="205"/>
      <c r="R127" s="205"/>
      <c r="W127" s="205"/>
      <c r="X127" s="205"/>
      <c r="Y127" s="205"/>
      <c r="Z127" s="205"/>
      <c r="AA127" s="205"/>
      <c r="AB127" s="205"/>
      <c r="AC127" s="205"/>
      <c r="AD127" s="205"/>
      <c r="AL127" s="205"/>
      <c r="AM127" s="205"/>
      <c r="AN127" s="205"/>
      <c r="AO127" s="205"/>
      <c r="AP127" s="205"/>
      <c r="AQ127" s="205"/>
      <c r="AR127" s="205"/>
      <c r="AS127" s="205"/>
      <c r="AV127" s="205"/>
      <c r="AW127" s="205"/>
      <c r="AX127" s="205"/>
      <c r="AY127" s="205"/>
      <c r="AZ127" s="205"/>
      <c r="BD127" s="205"/>
      <c r="BF127" s="205"/>
    </row>
    <row r="128" spans="1:100" x14ac:dyDescent="0.2">
      <c r="A128" s="219"/>
      <c r="B128" s="219"/>
      <c r="C128" s="205"/>
      <c r="D128" s="205"/>
      <c r="E128" s="192"/>
      <c r="F128" s="205"/>
      <c r="G128" s="205"/>
      <c r="H128" s="205"/>
      <c r="I128" s="205"/>
      <c r="J128" s="205"/>
      <c r="K128" s="205"/>
      <c r="L128" s="205"/>
      <c r="M128" s="205"/>
      <c r="N128" s="205"/>
      <c r="O128" s="192"/>
      <c r="P128" s="192"/>
      <c r="Q128" s="205"/>
      <c r="R128" s="205"/>
      <c r="W128" s="205"/>
      <c r="X128" s="205"/>
      <c r="Y128" s="205"/>
      <c r="Z128" s="205"/>
      <c r="AA128" s="205"/>
      <c r="AB128" s="205"/>
      <c r="AC128" s="205"/>
      <c r="AD128" s="205"/>
      <c r="AL128" s="205"/>
      <c r="AM128" s="205"/>
      <c r="AN128" s="205"/>
      <c r="AO128" s="205"/>
      <c r="AP128" s="205"/>
      <c r="AQ128" s="205"/>
      <c r="AR128" s="205"/>
      <c r="AS128" s="205"/>
      <c r="AV128" s="205"/>
      <c r="AW128" s="205"/>
      <c r="AX128" s="205"/>
      <c r="AY128" s="205"/>
      <c r="AZ128" s="205"/>
      <c r="BA128" s="205"/>
      <c r="BB128" s="205"/>
      <c r="BD128" s="205"/>
      <c r="BF128" s="205"/>
      <c r="BG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  <c r="BY128" s="201"/>
      <c r="BZ128" s="201"/>
      <c r="CA128" s="201"/>
      <c r="CB128" s="201"/>
      <c r="CC128" s="201"/>
      <c r="CD128" s="201"/>
      <c r="CE128" s="201"/>
      <c r="CF128" s="201"/>
      <c r="CG128" s="201"/>
      <c r="CH128" s="201"/>
      <c r="CI128" s="201"/>
      <c r="CJ128" s="201"/>
      <c r="CK128" s="201"/>
      <c r="CL128" s="201"/>
      <c r="CM128" s="201"/>
      <c r="CN128" s="201"/>
      <c r="CP128" s="201"/>
      <c r="CQ128" s="201"/>
      <c r="CR128" s="201"/>
      <c r="CS128" s="201"/>
      <c r="CT128" s="201"/>
      <c r="CU128" s="201"/>
      <c r="CV128" s="201"/>
    </row>
    <row r="129" spans="1:100" x14ac:dyDescent="0.2">
      <c r="A129" s="219"/>
      <c r="B129" s="219"/>
      <c r="C129" s="205"/>
      <c r="D129" s="205"/>
      <c r="E129" s="192"/>
      <c r="F129" s="205"/>
      <c r="G129" s="205"/>
      <c r="H129" s="205"/>
      <c r="I129" s="205"/>
      <c r="J129" s="205"/>
      <c r="K129" s="205"/>
      <c r="L129" s="205"/>
      <c r="M129" s="205"/>
      <c r="N129" s="205"/>
      <c r="O129" s="192"/>
      <c r="P129" s="192"/>
      <c r="Q129" s="205"/>
      <c r="R129" s="205"/>
      <c r="W129" s="205"/>
      <c r="X129" s="205"/>
      <c r="Y129" s="205"/>
      <c r="Z129" s="205"/>
      <c r="AA129" s="205"/>
      <c r="AB129" s="205"/>
      <c r="AC129" s="205"/>
      <c r="AD129" s="205"/>
      <c r="AL129" s="205"/>
      <c r="AM129" s="205"/>
      <c r="AN129" s="205"/>
      <c r="AO129" s="205"/>
      <c r="AP129" s="205"/>
      <c r="AQ129" s="205"/>
      <c r="AR129" s="205"/>
      <c r="AS129" s="205"/>
      <c r="AV129" s="205"/>
      <c r="AW129" s="205"/>
      <c r="AX129" s="205"/>
      <c r="AY129" s="205"/>
      <c r="AZ129" s="205"/>
      <c r="BA129" s="205"/>
      <c r="BB129" s="205"/>
      <c r="BD129" s="205"/>
      <c r="BF129" s="205"/>
      <c r="BG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  <c r="BY129" s="201"/>
      <c r="BZ129" s="201"/>
      <c r="CA129" s="201"/>
      <c r="CB129" s="201"/>
      <c r="CC129" s="201"/>
      <c r="CD129" s="201"/>
      <c r="CE129" s="201"/>
      <c r="CF129" s="201"/>
      <c r="CG129" s="201"/>
      <c r="CH129" s="201"/>
      <c r="CI129" s="201"/>
      <c r="CJ129" s="201"/>
      <c r="CK129" s="201"/>
      <c r="CL129" s="201"/>
      <c r="CM129" s="201"/>
      <c r="CN129" s="201"/>
      <c r="CP129" s="201"/>
      <c r="CQ129" s="201"/>
      <c r="CR129" s="201"/>
      <c r="CS129" s="201"/>
      <c r="CT129" s="201"/>
      <c r="CU129" s="201"/>
      <c r="CV129" s="201"/>
    </row>
    <row r="130" spans="1:100" x14ac:dyDescent="0.2">
      <c r="A130" s="219"/>
      <c r="B130" s="219"/>
      <c r="C130" s="205"/>
      <c r="D130" s="205"/>
      <c r="E130" s="192"/>
      <c r="F130" s="205"/>
      <c r="G130" s="205"/>
      <c r="H130" s="205"/>
      <c r="I130" s="205"/>
      <c r="J130"/>
      <c r="K130"/>
      <c r="L130" s="205"/>
      <c r="M130" s="205"/>
      <c r="N130" s="205"/>
      <c r="O130" s="192"/>
      <c r="P130" s="192"/>
      <c r="Q130" s="205"/>
      <c r="R130" s="205"/>
      <c r="W130" s="205"/>
      <c r="X130" s="205"/>
      <c r="Y130" s="205"/>
      <c r="Z130" s="205"/>
      <c r="AA130" s="205"/>
      <c r="AB130" s="205"/>
      <c r="AC130" s="205"/>
      <c r="AD130" s="205"/>
      <c r="AL130" s="205"/>
      <c r="AM130" s="205"/>
      <c r="AN130" s="205"/>
      <c r="AO130" s="205"/>
      <c r="AP130" s="205"/>
      <c r="AQ130" s="205"/>
      <c r="AR130" s="205"/>
      <c r="AS130" s="205"/>
      <c r="AV130" s="205"/>
      <c r="AW130" s="205"/>
      <c r="AX130" s="205"/>
      <c r="AY130" s="205"/>
      <c r="AZ130" s="205"/>
      <c r="BD130" s="205"/>
      <c r="BF130" s="205"/>
    </row>
    <row r="131" spans="1:100" x14ac:dyDescent="0.2">
      <c r="A131" s="219"/>
      <c r="B131" s="219"/>
      <c r="C131" s="205"/>
      <c r="D131" s="205"/>
      <c r="E131" s="192"/>
      <c r="F131" s="205"/>
      <c r="G131" s="205"/>
      <c r="H131" s="205"/>
      <c r="I131" s="205"/>
      <c r="J131"/>
      <c r="K131"/>
      <c r="L131" s="205"/>
      <c r="M131" s="205"/>
      <c r="N131" s="205"/>
      <c r="O131" s="192"/>
      <c r="P131" s="192"/>
      <c r="Q131" s="205"/>
      <c r="R131" s="205"/>
      <c r="W131" s="205"/>
      <c r="X131" s="205"/>
      <c r="Y131" s="205"/>
      <c r="Z131" s="205"/>
      <c r="AA131" s="205"/>
      <c r="AB131" s="205"/>
      <c r="AC131" s="205"/>
      <c r="AD131" s="205"/>
      <c r="AL131" s="205"/>
      <c r="AM131" s="205"/>
      <c r="AN131" s="205"/>
      <c r="AO131" s="205"/>
      <c r="AP131" s="205"/>
      <c r="AQ131" s="205"/>
      <c r="AR131" s="205"/>
      <c r="AS131" s="205"/>
      <c r="AV131" s="205"/>
      <c r="AW131" s="205"/>
      <c r="AX131" s="205"/>
      <c r="AY131" s="205"/>
      <c r="AZ131" s="205"/>
      <c r="BD131" s="205"/>
      <c r="BF131" s="205"/>
    </row>
    <row r="132" spans="1:100" x14ac:dyDescent="0.2">
      <c r="A132" s="219"/>
      <c r="B132" s="219"/>
      <c r="C132" s="205"/>
      <c r="D132" s="205"/>
      <c r="E132" s="192"/>
      <c r="F132" s="205"/>
      <c r="G132" s="205"/>
      <c r="H132" s="205"/>
      <c r="I132" s="205"/>
      <c r="J132" s="205"/>
      <c r="K132" s="205"/>
      <c r="L132" s="205"/>
      <c r="M132" s="205"/>
      <c r="N132" s="205"/>
      <c r="O132" s="192"/>
      <c r="P132" s="192"/>
      <c r="Q132" s="205"/>
      <c r="R132" s="205"/>
      <c r="W132" s="205"/>
      <c r="X132" s="205"/>
      <c r="Y132" s="205"/>
      <c r="Z132" s="205"/>
      <c r="AA132" s="205"/>
      <c r="AB132" s="205"/>
      <c r="AC132" s="205"/>
      <c r="AD132" s="205"/>
      <c r="AL132" s="205"/>
      <c r="AM132" s="205"/>
      <c r="AN132" s="205"/>
      <c r="AO132" s="205"/>
      <c r="AP132" s="205"/>
      <c r="AQ132" s="205"/>
      <c r="AR132" s="205"/>
      <c r="AS132" s="205"/>
      <c r="AV132" s="205"/>
      <c r="AW132" s="205"/>
      <c r="AX132" s="205"/>
      <c r="AY132" s="205"/>
      <c r="AZ132" s="205"/>
      <c r="BA132" s="205"/>
      <c r="BB132" s="205"/>
      <c r="BD132" s="205"/>
      <c r="BF132" s="205"/>
      <c r="BG132" s="201"/>
      <c r="BH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  <c r="BY132" s="201"/>
      <c r="BZ132" s="201"/>
      <c r="CA132" s="201"/>
      <c r="CB132" s="201"/>
      <c r="CC132" s="201"/>
      <c r="CD132" s="201"/>
      <c r="CE132" s="201"/>
      <c r="CF132" s="201"/>
      <c r="CG132" s="201"/>
      <c r="CH132" s="201"/>
      <c r="CI132" s="201"/>
      <c r="CJ132" s="201"/>
      <c r="CK132" s="201"/>
      <c r="CL132" s="201"/>
      <c r="CM132" s="201"/>
      <c r="CN132" s="201"/>
      <c r="CO132" s="201"/>
      <c r="CP132" s="201"/>
      <c r="CQ132" s="201"/>
      <c r="CR132" s="201"/>
      <c r="CS132" s="201"/>
      <c r="CT132" s="201"/>
      <c r="CU132" s="201"/>
      <c r="CV132" s="201"/>
    </row>
    <row r="133" spans="1:100" x14ac:dyDescent="0.2">
      <c r="A133" s="219"/>
      <c r="B133" s="219"/>
      <c r="C133" s="205"/>
      <c r="D133" s="205"/>
      <c r="E133" s="192"/>
      <c r="F133" s="205"/>
      <c r="G133" s="205"/>
      <c r="H133" s="205"/>
      <c r="I133" s="205"/>
      <c r="J133" s="205"/>
      <c r="K133" s="205"/>
      <c r="L133" s="205"/>
      <c r="M133" s="205"/>
      <c r="N133" s="205"/>
      <c r="O133" s="192"/>
      <c r="P133" s="192"/>
      <c r="Q133" s="205"/>
      <c r="R133" s="205"/>
      <c r="W133" s="205"/>
      <c r="X133" s="205"/>
      <c r="Y133" s="205"/>
      <c r="Z133" s="205"/>
      <c r="AA133" s="205"/>
      <c r="AB133" s="205"/>
      <c r="AC133" s="205"/>
      <c r="AD133" s="205"/>
      <c r="AL133" s="205"/>
      <c r="AM133" s="205"/>
      <c r="AN133" s="205"/>
      <c r="AO133" s="205"/>
      <c r="AP133" s="205"/>
      <c r="AQ133" s="205"/>
      <c r="AR133" s="205"/>
      <c r="AS133" s="205"/>
      <c r="AV133" s="205"/>
      <c r="AW133" s="205"/>
      <c r="AX133" s="205"/>
      <c r="AY133" s="205"/>
      <c r="AZ133" s="205"/>
      <c r="BA133" s="205"/>
      <c r="BB133" s="205"/>
      <c r="BD133" s="205"/>
      <c r="BF133" s="205"/>
      <c r="BG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  <c r="BY133" s="201"/>
      <c r="BZ133" s="201"/>
      <c r="CA133" s="201"/>
      <c r="CB133" s="201"/>
      <c r="CC133" s="201"/>
      <c r="CD133" s="201"/>
      <c r="CE133" s="201"/>
      <c r="CF133" s="201"/>
      <c r="CG133" s="201"/>
      <c r="CH133" s="201"/>
      <c r="CI133" s="201"/>
      <c r="CJ133" s="201"/>
      <c r="CK133" s="201"/>
      <c r="CL133" s="201"/>
      <c r="CM133" s="201"/>
      <c r="CN133" s="201"/>
      <c r="CO133" s="201"/>
      <c r="CP133" s="201"/>
      <c r="CQ133" s="201"/>
      <c r="CR133" s="201"/>
      <c r="CS133" s="201"/>
      <c r="CT133" s="201"/>
      <c r="CU133" s="201"/>
      <c r="CV133" s="201"/>
    </row>
    <row r="134" spans="1:100" x14ac:dyDescent="0.2">
      <c r="A134" s="219"/>
      <c r="B134" s="219"/>
      <c r="C134" s="205"/>
      <c r="D134" s="205"/>
      <c r="E134" s="192"/>
      <c r="F134" s="205"/>
      <c r="G134" s="205"/>
      <c r="H134" s="205"/>
      <c r="I134" s="205"/>
      <c r="J134"/>
      <c r="K134"/>
      <c r="L134" s="205"/>
      <c r="M134" s="205"/>
      <c r="N134" s="205"/>
      <c r="O134" s="192"/>
      <c r="P134" s="192"/>
      <c r="Q134" s="205"/>
      <c r="R134" s="205"/>
      <c r="W134" s="205"/>
      <c r="X134" s="205"/>
      <c r="Y134" s="205"/>
      <c r="Z134" s="205"/>
      <c r="AA134" s="205"/>
      <c r="AB134" s="205"/>
      <c r="AC134" s="205"/>
      <c r="AD134" s="205"/>
      <c r="AL134" s="205"/>
      <c r="AM134" s="205"/>
      <c r="AN134" s="205"/>
      <c r="AO134" s="205"/>
      <c r="AP134" s="205"/>
      <c r="AQ134" s="205"/>
      <c r="AR134" s="205"/>
      <c r="AS134" s="205"/>
      <c r="AV134" s="205"/>
      <c r="AW134" s="205"/>
      <c r="AX134" s="205"/>
      <c r="AY134" s="205"/>
      <c r="AZ134" s="205"/>
      <c r="BD134" s="205"/>
      <c r="BF134" s="205"/>
    </row>
    <row r="135" spans="1:100" x14ac:dyDescent="0.2">
      <c r="A135" s="219"/>
      <c r="B135" s="219"/>
      <c r="C135" s="205"/>
      <c r="D135" s="205"/>
      <c r="E135" s="192"/>
      <c r="F135" s="205"/>
      <c r="G135" s="205"/>
      <c r="H135" s="205"/>
      <c r="I135" s="205"/>
      <c r="J135" s="205"/>
      <c r="K135" s="205"/>
      <c r="L135" s="205"/>
      <c r="M135" s="205"/>
      <c r="N135" s="205"/>
      <c r="O135" s="192"/>
      <c r="P135" s="192"/>
      <c r="Q135" s="205"/>
      <c r="R135" s="205"/>
      <c r="W135" s="205"/>
      <c r="X135" s="205"/>
      <c r="Y135" s="205"/>
      <c r="Z135" s="205"/>
      <c r="AA135" s="205"/>
      <c r="AB135" s="205"/>
      <c r="AC135" s="205"/>
      <c r="AD135" s="205"/>
      <c r="AL135" s="205"/>
      <c r="AM135" s="205"/>
      <c r="AN135" s="205"/>
      <c r="AO135" s="205"/>
      <c r="AP135" s="205"/>
      <c r="AQ135" s="205"/>
      <c r="AR135" s="205"/>
      <c r="AS135" s="205"/>
      <c r="AV135" s="205"/>
      <c r="AW135" s="205"/>
      <c r="AX135" s="205"/>
      <c r="AY135" s="205"/>
      <c r="AZ135" s="205"/>
      <c r="BA135" s="205"/>
      <c r="BB135" s="205"/>
      <c r="BD135" s="205"/>
      <c r="BF135" s="205"/>
      <c r="BG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  <c r="BY135" s="201"/>
      <c r="BZ135" s="201"/>
      <c r="CA135" s="201"/>
      <c r="CB135" s="201"/>
      <c r="CC135" s="201"/>
      <c r="CD135" s="201"/>
      <c r="CE135" s="201"/>
      <c r="CF135" s="201"/>
      <c r="CG135" s="201"/>
      <c r="CH135" s="201"/>
      <c r="CI135" s="201"/>
      <c r="CJ135" s="201"/>
      <c r="CK135" s="201"/>
      <c r="CL135" s="201"/>
      <c r="CM135" s="201"/>
      <c r="CN135" s="201"/>
      <c r="CO135" s="201"/>
      <c r="CP135" s="201"/>
      <c r="CQ135" s="201"/>
      <c r="CR135" s="201"/>
      <c r="CS135" s="201"/>
      <c r="CT135" s="201"/>
      <c r="CU135" s="201"/>
      <c r="CV135" s="201"/>
    </row>
    <row r="136" spans="1:100" x14ac:dyDescent="0.2">
      <c r="A136" s="219"/>
      <c r="B136" s="219"/>
      <c r="C136" s="205"/>
      <c r="D136" s="205"/>
      <c r="E136" s="192"/>
      <c r="F136" s="205"/>
      <c r="G136" s="205"/>
      <c r="H136" s="205"/>
      <c r="I136" s="205"/>
      <c r="J136"/>
      <c r="K136"/>
      <c r="L136" s="205"/>
      <c r="M136" s="205"/>
      <c r="N136" s="205"/>
      <c r="O136" s="192"/>
      <c r="P136" s="192"/>
      <c r="Q136" s="205"/>
      <c r="R136" s="205"/>
      <c r="W136" s="205"/>
      <c r="X136" s="205"/>
      <c r="Y136" s="205"/>
      <c r="Z136" s="205"/>
      <c r="AA136" s="205"/>
      <c r="AB136" s="205"/>
      <c r="AC136" s="205"/>
      <c r="AD136" s="205"/>
      <c r="AL136" s="205"/>
      <c r="AM136" s="205"/>
      <c r="AN136" s="205"/>
      <c r="AO136" s="205"/>
      <c r="AP136" s="205"/>
      <c r="AQ136" s="205"/>
      <c r="AR136" s="205"/>
      <c r="AS136" s="205"/>
      <c r="AV136" s="205"/>
      <c r="AW136" s="205"/>
      <c r="AX136" s="205"/>
      <c r="AY136" s="205"/>
      <c r="AZ136" s="205"/>
      <c r="BD136" s="205"/>
      <c r="BF136" s="205"/>
    </row>
    <row r="137" spans="1:100" x14ac:dyDescent="0.2">
      <c r="A137" s="219"/>
      <c r="B137" s="219"/>
      <c r="C137" s="205"/>
      <c r="D137" s="205"/>
      <c r="E137" s="192"/>
      <c r="F137" s="205"/>
      <c r="G137" s="205"/>
      <c r="H137" s="205"/>
      <c r="I137" s="205"/>
      <c r="J137"/>
      <c r="K137"/>
      <c r="L137" s="205"/>
      <c r="M137" s="205"/>
      <c r="N137" s="205"/>
      <c r="O137" s="192"/>
      <c r="P137" s="192"/>
      <c r="Q137" s="205"/>
      <c r="R137" s="205"/>
      <c r="W137" s="205"/>
      <c r="X137" s="205"/>
      <c r="Y137" s="205"/>
      <c r="Z137" s="205"/>
      <c r="AA137" s="205"/>
      <c r="AB137" s="205"/>
      <c r="AC137" s="205"/>
      <c r="AD137" s="205"/>
      <c r="AL137" s="205"/>
      <c r="AM137" s="205"/>
      <c r="AN137" s="205"/>
      <c r="AO137" s="205"/>
      <c r="AP137" s="205"/>
      <c r="AQ137" s="205"/>
      <c r="AR137" s="205"/>
      <c r="AS137" s="205"/>
      <c r="AV137" s="205"/>
      <c r="AW137" s="205"/>
      <c r="AX137" s="205"/>
      <c r="AY137" s="205"/>
      <c r="AZ137" s="205"/>
      <c r="BD137" s="205"/>
      <c r="BF137" s="205"/>
    </row>
    <row r="138" spans="1:100" x14ac:dyDescent="0.2">
      <c r="A138" s="219"/>
      <c r="B138" s="219"/>
      <c r="C138" s="205"/>
      <c r="D138" s="205"/>
      <c r="E138" s="192"/>
      <c r="F138" s="205"/>
      <c r="G138" s="205"/>
      <c r="H138" s="205"/>
      <c r="I138" s="205"/>
      <c r="J138"/>
      <c r="K138"/>
      <c r="L138" s="205"/>
      <c r="M138" s="205"/>
      <c r="N138" s="205"/>
      <c r="O138" s="192"/>
      <c r="P138" s="192"/>
      <c r="Q138" s="205"/>
      <c r="R138" s="205"/>
      <c r="W138" s="205"/>
      <c r="X138" s="205"/>
      <c r="Y138" s="205"/>
      <c r="Z138" s="205"/>
      <c r="AA138" s="205"/>
      <c r="AB138" s="205"/>
      <c r="AC138" s="205"/>
      <c r="AD138" s="205"/>
      <c r="AL138" s="205"/>
      <c r="AM138" s="205"/>
      <c r="AN138" s="205"/>
      <c r="AO138" s="205"/>
      <c r="AP138" s="205"/>
      <c r="AQ138" s="205"/>
      <c r="AR138" s="205"/>
      <c r="AS138" s="205"/>
      <c r="AV138" s="205"/>
      <c r="AW138" s="205"/>
      <c r="AX138" s="205"/>
      <c r="AY138" s="205"/>
      <c r="AZ138" s="205"/>
      <c r="BD138" s="205"/>
      <c r="BF138" s="205"/>
    </row>
    <row r="139" spans="1:100" x14ac:dyDescent="0.2">
      <c r="A139" s="219"/>
      <c r="B139" s="219"/>
      <c r="C139" s="205"/>
      <c r="D139" s="205"/>
      <c r="E139" s="192"/>
      <c r="F139" s="205"/>
      <c r="G139" s="205"/>
      <c r="H139" s="205"/>
      <c r="I139" s="205"/>
      <c r="J139"/>
      <c r="K139"/>
      <c r="L139" s="205"/>
      <c r="M139" s="205"/>
      <c r="N139" s="205"/>
      <c r="O139" s="192"/>
      <c r="P139" s="192"/>
      <c r="Q139" s="205"/>
      <c r="R139" s="205"/>
      <c r="W139" s="205"/>
      <c r="X139" s="205"/>
      <c r="Y139" s="205"/>
      <c r="Z139" s="205"/>
      <c r="AA139" s="205"/>
      <c r="AB139" s="205"/>
      <c r="AC139" s="205"/>
      <c r="AD139" s="205"/>
      <c r="AL139" s="205"/>
      <c r="AM139" s="205"/>
      <c r="AN139" s="205"/>
      <c r="AO139" s="205"/>
      <c r="AP139" s="205"/>
      <c r="AQ139" s="205"/>
      <c r="AR139" s="205"/>
      <c r="AS139" s="205"/>
      <c r="AV139" s="205"/>
      <c r="AW139" s="205"/>
      <c r="AX139" s="205"/>
      <c r="AY139" s="205"/>
      <c r="AZ139" s="205"/>
      <c r="BD139" s="205"/>
      <c r="BF139" s="205"/>
    </row>
    <row r="140" spans="1:100" x14ac:dyDescent="0.2">
      <c r="A140" s="219"/>
      <c r="B140" s="219"/>
      <c r="C140" s="205"/>
      <c r="D140" s="205"/>
      <c r="E140" s="192"/>
      <c r="F140" s="205"/>
      <c r="G140" s="205"/>
      <c r="H140" s="205"/>
      <c r="I140" s="205"/>
      <c r="J140" s="205"/>
      <c r="K140" s="205"/>
      <c r="L140" s="205"/>
      <c r="M140" s="205"/>
      <c r="N140" s="205"/>
      <c r="O140" s="192"/>
      <c r="P140" s="192"/>
      <c r="Q140" s="205"/>
      <c r="R140" s="205"/>
      <c r="W140" s="205"/>
      <c r="X140" s="205"/>
      <c r="Y140" s="205"/>
      <c r="Z140" s="205"/>
      <c r="AA140" s="205"/>
      <c r="AB140" s="205"/>
      <c r="AC140" s="205"/>
      <c r="AD140" s="205"/>
      <c r="AL140" s="205"/>
      <c r="AM140" s="205"/>
      <c r="AN140" s="205"/>
      <c r="AO140" s="205"/>
      <c r="AP140" s="205"/>
      <c r="AQ140" s="205"/>
      <c r="AR140" s="205"/>
      <c r="AS140" s="205"/>
      <c r="AV140" s="205"/>
      <c r="AW140" s="205"/>
      <c r="AX140" s="205"/>
      <c r="AY140" s="205"/>
      <c r="AZ140" s="205"/>
      <c r="BA140" s="205"/>
      <c r="BB140" s="205"/>
      <c r="BD140" s="205"/>
      <c r="BF140" s="205"/>
      <c r="BG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  <c r="BY140" s="201"/>
      <c r="BZ140" s="201"/>
      <c r="CA140" s="201"/>
      <c r="CB140" s="201"/>
      <c r="CC140" s="201"/>
      <c r="CD140" s="201"/>
      <c r="CE140" s="201"/>
      <c r="CF140" s="201"/>
      <c r="CG140" s="201"/>
      <c r="CH140" s="201"/>
      <c r="CI140" s="201"/>
      <c r="CJ140" s="201"/>
      <c r="CK140" s="201"/>
      <c r="CL140" s="201"/>
      <c r="CM140" s="201"/>
      <c r="CN140" s="201"/>
      <c r="CO140" s="201"/>
      <c r="CP140" s="201"/>
      <c r="CQ140" s="201"/>
      <c r="CR140" s="201"/>
      <c r="CS140" s="201"/>
      <c r="CT140" s="201"/>
      <c r="CU140" s="201"/>
      <c r="CV140" s="201"/>
    </row>
    <row r="141" spans="1:100" x14ac:dyDescent="0.2">
      <c r="A141" s="219"/>
      <c r="B141" s="219"/>
      <c r="C141" s="205"/>
      <c r="D141" s="205"/>
      <c r="E141" s="192"/>
      <c r="F141" s="205"/>
      <c r="G141" s="205"/>
      <c r="H141" s="205"/>
      <c r="I141" s="205"/>
      <c r="J141" s="205"/>
      <c r="K141" s="205"/>
      <c r="L141" s="205"/>
      <c r="M141" s="205"/>
      <c r="N141" s="205"/>
      <c r="O141" s="192"/>
      <c r="P141" s="192"/>
      <c r="Q141" s="205"/>
      <c r="R141" s="205"/>
      <c r="W141" s="205"/>
      <c r="X141" s="205"/>
      <c r="Y141" s="205"/>
      <c r="Z141" s="205"/>
      <c r="AA141" s="205"/>
      <c r="AB141" s="205"/>
      <c r="AC141" s="205"/>
      <c r="AD141" s="205"/>
      <c r="AL141" s="205"/>
      <c r="AM141" s="205"/>
      <c r="AN141" s="205"/>
      <c r="AO141" s="205"/>
      <c r="AP141" s="205"/>
      <c r="AQ141" s="205"/>
      <c r="AR141" s="205"/>
      <c r="AS141" s="205"/>
      <c r="AV141" s="205"/>
      <c r="AW141" s="205"/>
      <c r="AX141" s="205"/>
      <c r="AY141" s="205"/>
      <c r="AZ141" s="205"/>
      <c r="BA141" s="205"/>
      <c r="BB141" s="205"/>
      <c r="BD141" s="205"/>
      <c r="BF141" s="205"/>
      <c r="BG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  <c r="BY141" s="201"/>
      <c r="BZ141" s="201"/>
      <c r="CA141" s="201"/>
      <c r="CB141" s="201"/>
      <c r="CC141" s="201"/>
      <c r="CD141" s="201"/>
      <c r="CE141" s="201"/>
      <c r="CF141" s="201"/>
      <c r="CG141" s="201"/>
      <c r="CH141" s="201"/>
      <c r="CI141" s="201"/>
      <c r="CJ141" s="201"/>
      <c r="CK141" s="201"/>
      <c r="CL141" s="201"/>
      <c r="CM141" s="201"/>
      <c r="CN141" s="201"/>
      <c r="CO141" s="201"/>
      <c r="CP141" s="201"/>
      <c r="CQ141" s="201"/>
      <c r="CR141" s="201"/>
      <c r="CS141" s="201"/>
      <c r="CT141" s="201"/>
      <c r="CU141" s="201"/>
      <c r="CV141" s="201"/>
    </row>
    <row r="142" spans="1:100" x14ac:dyDescent="0.2">
      <c r="A142" s="219"/>
      <c r="B142" s="219"/>
      <c r="C142" s="205"/>
      <c r="D142" s="205"/>
      <c r="E142" s="192"/>
      <c r="F142" s="205"/>
      <c r="G142" s="205"/>
      <c r="H142" s="205"/>
      <c r="I142" s="205"/>
      <c r="J142"/>
      <c r="K142"/>
      <c r="L142" s="205"/>
      <c r="M142" s="205"/>
      <c r="N142" s="205"/>
      <c r="O142" s="192"/>
      <c r="P142" s="192"/>
      <c r="Q142" s="205"/>
      <c r="R142" s="205"/>
      <c r="W142" s="205"/>
      <c r="X142" s="205"/>
      <c r="Y142" s="205"/>
      <c r="Z142" s="205"/>
      <c r="AA142" s="205"/>
      <c r="AB142" s="205"/>
      <c r="AC142" s="205"/>
      <c r="AD142" s="205"/>
      <c r="AL142" s="205"/>
      <c r="AM142" s="205"/>
      <c r="AN142" s="205"/>
      <c r="AO142" s="205"/>
      <c r="AP142" s="205"/>
      <c r="AQ142" s="205"/>
      <c r="AR142" s="205"/>
      <c r="AS142" s="205"/>
      <c r="AV142" s="205"/>
      <c r="AW142" s="205"/>
      <c r="AX142" s="205"/>
      <c r="AY142" s="205"/>
      <c r="AZ142" s="205"/>
      <c r="BD142" s="205"/>
      <c r="BF142" s="205"/>
    </row>
    <row r="143" spans="1:100" x14ac:dyDescent="0.2">
      <c r="A143" s="219"/>
      <c r="B143" s="219"/>
      <c r="C143" s="205"/>
      <c r="D143" s="205"/>
      <c r="E143" s="192"/>
      <c r="F143" s="205"/>
      <c r="G143" s="205"/>
      <c r="H143" s="205"/>
      <c r="I143" s="205"/>
      <c r="J143"/>
      <c r="K143"/>
      <c r="L143" s="205"/>
      <c r="M143" s="205"/>
      <c r="N143" s="205"/>
      <c r="O143" s="192"/>
      <c r="P143" s="192"/>
      <c r="Q143" s="205"/>
      <c r="R143" s="205"/>
      <c r="W143" s="205"/>
      <c r="X143" s="205"/>
      <c r="Y143" s="205"/>
      <c r="Z143" s="205"/>
      <c r="AA143" s="205"/>
      <c r="AB143" s="205"/>
      <c r="AC143" s="205"/>
      <c r="AD143" s="205"/>
      <c r="AL143" s="205"/>
      <c r="AM143" s="205"/>
      <c r="AN143" s="205"/>
      <c r="AO143" s="205"/>
      <c r="AP143" s="205"/>
      <c r="AQ143" s="205"/>
      <c r="AR143" s="205"/>
      <c r="AS143" s="205"/>
      <c r="AV143" s="205"/>
      <c r="AW143" s="205"/>
      <c r="AX143" s="205"/>
      <c r="AY143" s="205"/>
      <c r="AZ143" s="205"/>
      <c r="BD143" s="205"/>
      <c r="BF143" s="205"/>
    </row>
    <row r="144" spans="1:100" x14ac:dyDescent="0.2">
      <c r="A144" s="219"/>
      <c r="B144" s="219"/>
      <c r="C144" s="205"/>
      <c r="D144" s="205"/>
      <c r="E144" s="192"/>
      <c r="F144" s="205"/>
      <c r="G144" s="205"/>
      <c r="H144" s="205"/>
      <c r="I144" s="205"/>
      <c r="J144" s="205"/>
      <c r="K144" s="205"/>
      <c r="L144" s="205"/>
      <c r="M144" s="205"/>
      <c r="N144" s="205"/>
      <c r="O144" s="192"/>
      <c r="P144" s="192"/>
      <c r="Q144" s="205"/>
      <c r="R144" s="205"/>
      <c r="W144" s="205"/>
      <c r="X144" s="205"/>
      <c r="Y144" s="205"/>
      <c r="Z144" s="205"/>
      <c r="AA144" s="205"/>
      <c r="AB144" s="205"/>
      <c r="AC144" s="205"/>
      <c r="AD144" s="205"/>
      <c r="AL144" s="205"/>
      <c r="AM144" s="205"/>
      <c r="AN144" s="205"/>
      <c r="AO144" s="205"/>
      <c r="AP144" s="205"/>
      <c r="AQ144" s="205"/>
      <c r="AR144" s="205"/>
      <c r="AS144" s="205"/>
      <c r="AV144" s="205"/>
      <c r="AW144" s="205"/>
      <c r="AX144" s="205"/>
      <c r="AY144" s="205"/>
      <c r="AZ144" s="205"/>
      <c r="BA144" s="205"/>
      <c r="BB144" s="205"/>
      <c r="BD144" s="205"/>
      <c r="BF144" s="205"/>
      <c r="BG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  <c r="BY144" s="201"/>
      <c r="BZ144" s="201"/>
      <c r="CA144" s="201"/>
      <c r="CB144" s="201"/>
      <c r="CC144" s="201"/>
      <c r="CD144" s="201"/>
      <c r="CE144" s="201"/>
      <c r="CF144" s="201"/>
      <c r="CG144" s="201"/>
      <c r="CH144" s="201"/>
      <c r="CI144" s="201"/>
      <c r="CJ144" s="201"/>
      <c r="CK144" s="201"/>
      <c r="CL144" s="201"/>
      <c r="CM144" s="201"/>
      <c r="CN144" s="201"/>
      <c r="CO144" s="201"/>
      <c r="CP144" s="201"/>
      <c r="CQ144" s="201"/>
      <c r="CR144" s="201"/>
      <c r="CS144" s="201"/>
      <c r="CT144" s="201"/>
      <c r="CU144" s="201"/>
      <c r="CV144" s="201"/>
    </row>
    <row r="145" spans="1:100" x14ac:dyDescent="0.2">
      <c r="A145" s="219"/>
      <c r="B145" s="219"/>
      <c r="C145" s="205"/>
      <c r="D145" s="205"/>
      <c r="E145" s="192"/>
      <c r="F145" s="205"/>
      <c r="G145" s="205"/>
      <c r="H145" s="205"/>
      <c r="I145" s="205"/>
      <c r="J145"/>
      <c r="K145"/>
      <c r="L145" s="205"/>
      <c r="M145" s="205"/>
      <c r="N145" s="205"/>
      <c r="O145" s="192"/>
      <c r="P145" s="192"/>
      <c r="Q145" s="205"/>
      <c r="R145" s="205"/>
      <c r="W145" s="205"/>
      <c r="X145" s="205"/>
      <c r="Y145" s="205"/>
      <c r="Z145" s="205"/>
      <c r="AA145" s="205"/>
      <c r="AB145" s="205"/>
      <c r="AC145" s="205"/>
      <c r="AD145" s="205"/>
      <c r="AL145" s="205"/>
      <c r="AM145" s="205"/>
      <c r="AN145" s="205"/>
      <c r="AO145" s="205"/>
      <c r="AP145" s="205"/>
      <c r="AQ145" s="205"/>
      <c r="AR145" s="205"/>
      <c r="AS145" s="205"/>
      <c r="AV145" s="205"/>
      <c r="AW145" s="205"/>
      <c r="AX145" s="205"/>
      <c r="AY145" s="205"/>
      <c r="AZ145" s="205"/>
      <c r="BD145" s="205"/>
      <c r="BF145" s="205"/>
    </row>
    <row r="146" spans="1:100" x14ac:dyDescent="0.2">
      <c r="A146" s="219"/>
      <c r="B146" s="219"/>
      <c r="C146" s="205"/>
      <c r="D146" s="205"/>
      <c r="E146" s="192"/>
      <c r="F146" s="205"/>
      <c r="G146" s="205"/>
      <c r="H146" s="205"/>
      <c r="I146" s="205"/>
      <c r="J146" s="205"/>
      <c r="K146" s="205"/>
      <c r="L146" s="205"/>
      <c r="M146" s="205"/>
      <c r="N146" s="205"/>
      <c r="O146" s="192"/>
      <c r="P146" s="192"/>
      <c r="Q146" s="205"/>
      <c r="R146" s="205"/>
      <c r="W146" s="205"/>
      <c r="X146" s="205"/>
      <c r="Y146" s="205"/>
      <c r="Z146" s="205"/>
      <c r="AA146" s="205"/>
      <c r="AB146" s="205"/>
      <c r="AC146" s="205"/>
      <c r="AD146" s="205"/>
      <c r="AL146" s="205"/>
      <c r="AM146" s="205"/>
      <c r="AN146" s="205"/>
      <c r="AO146" s="205"/>
      <c r="AP146" s="205"/>
      <c r="AQ146" s="205"/>
      <c r="AR146" s="205"/>
      <c r="AS146" s="205"/>
      <c r="AV146" s="205"/>
      <c r="AW146" s="205"/>
      <c r="AX146" s="205"/>
      <c r="AY146" s="205"/>
      <c r="AZ146" s="205"/>
      <c r="BA146" s="205"/>
      <c r="BB146" s="205"/>
      <c r="BD146" s="205"/>
      <c r="BF146" s="205"/>
      <c r="BG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  <c r="BY146" s="201"/>
      <c r="BZ146" s="201"/>
      <c r="CA146" s="201"/>
      <c r="CB146" s="201"/>
      <c r="CC146" s="201"/>
      <c r="CD146" s="201"/>
      <c r="CE146" s="201"/>
      <c r="CF146" s="201"/>
      <c r="CG146" s="201"/>
      <c r="CH146" s="201"/>
      <c r="CI146" s="201"/>
      <c r="CJ146" s="201"/>
      <c r="CK146" s="201"/>
      <c r="CL146" s="201"/>
      <c r="CM146" s="201"/>
      <c r="CN146" s="201"/>
      <c r="CO146" s="201"/>
      <c r="CP146" s="201"/>
      <c r="CQ146" s="201"/>
      <c r="CR146" s="201"/>
      <c r="CS146" s="201"/>
      <c r="CT146" s="201"/>
      <c r="CU146" s="201"/>
      <c r="CV146" s="201"/>
    </row>
    <row r="147" spans="1:100" x14ac:dyDescent="0.2">
      <c r="A147" s="219"/>
      <c r="B147" s="219"/>
      <c r="C147" s="205"/>
      <c r="D147" s="205"/>
      <c r="E147" s="192"/>
      <c r="F147" s="205"/>
      <c r="G147" s="205"/>
      <c r="H147" s="205"/>
      <c r="I147" s="205"/>
      <c r="J147" s="205"/>
      <c r="K147" s="205"/>
      <c r="L147" s="205"/>
      <c r="M147" s="205"/>
      <c r="N147" s="205"/>
      <c r="O147" s="192"/>
      <c r="P147" s="192"/>
      <c r="Q147" s="205"/>
      <c r="R147" s="205"/>
      <c r="W147" s="205"/>
      <c r="X147" s="205"/>
      <c r="Y147" s="205"/>
      <c r="Z147" s="205"/>
      <c r="AA147" s="205"/>
      <c r="AB147" s="205"/>
      <c r="AC147" s="205"/>
      <c r="AD147" s="205"/>
      <c r="AL147" s="205"/>
      <c r="AM147" s="205"/>
      <c r="AN147" s="205"/>
      <c r="AO147" s="205"/>
      <c r="AP147" s="205"/>
      <c r="AQ147" s="205"/>
      <c r="AR147" s="205"/>
      <c r="AS147" s="205"/>
      <c r="AV147" s="205"/>
      <c r="AW147" s="205"/>
      <c r="AX147" s="205"/>
      <c r="AY147" s="205"/>
      <c r="AZ147" s="205"/>
      <c r="BA147" s="205"/>
      <c r="BB147" s="205"/>
      <c r="BD147" s="205"/>
      <c r="BF147" s="205"/>
      <c r="BG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  <c r="BY147" s="201"/>
      <c r="BZ147" s="201"/>
      <c r="CA147" s="201"/>
      <c r="CB147" s="201"/>
      <c r="CC147" s="201"/>
      <c r="CD147" s="201"/>
      <c r="CE147" s="201"/>
      <c r="CF147" s="201"/>
      <c r="CG147" s="201"/>
      <c r="CH147" s="201"/>
      <c r="CI147" s="201"/>
      <c r="CJ147" s="201"/>
      <c r="CK147" s="201"/>
      <c r="CL147" s="201"/>
      <c r="CM147" s="201"/>
      <c r="CN147" s="201"/>
      <c r="CO147" s="201"/>
      <c r="CP147" s="201"/>
      <c r="CQ147" s="201"/>
      <c r="CR147" s="201"/>
      <c r="CS147" s="201"/>
      <c r="CT147" s="201"/>
      <c r="CU147" s="201"/>
      <c r="CV147" s="201"/>
    </row>
    <row r="148" spans="1:100" x14ac:dyDescent="0.2">
      <c r="A148" s="219"/>
      <c r="B148" s="219"/>
      <c r="C148" s="205"/>
      <c r="D148" s="205"/>
      <c r="E148" s="192"/>
      <c r="F148" s="205"/>
      <c r="G148" s="205"/>
      <c r="H148" s="205"/>
      <c r="I148" s="205"/>
      <c r="J148" s="205"/>
      <c r="K148" s="205"/>
      <c r="L148" s="205"/>
      <c r="M148" s="205"/>
      <c r="N148" s="205"/>
      <c r="O148" s="192"/>
      <c r="P148" s="192"/>
      <c r="Q148" s="205"/>
      <c r="R148" s="205"/>
      <c r="W148" s="205"/>
      <c r="X148" s="205"/>
      <c r="Y148" s="205"/>
      <c r="Z148" s="205"/>
      <c r="AA148" s="205"/>
      <c r="AB148" s="205"/>
      <c r="AC148" s="205"/>
      <c r="AD148" s="205"/>
      <c r="AL148" s="205"/>
      <c r="AM148" s="205"/>
      <c r="AN148" s="205"/>
      <c r="AO148" s="205"/>
      <c r="AP148" s="205"/>
      <c r="AQ148" s="205"/>
      <c r="AR148" s="205"/>
      <c r="AS148" s="205"/>
      <c r="AV148" s="205"/>
      <c r="AW148" s="205"/>
      <c r="AX148" s="205"/>
      <c r="AY148" s="205"/>
      <c r="AZ148" s="205"/>
      <c r="BA148" s="205"/>
      <c r="BB148" s="205"/>
      <c r="BD148" s="205"/>
      <c r="BF148" s="205"/>
      <c r="BG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  <c r="BY148" s="201"/>
      <c r="BZ148" s="201"/>
      <c r="CA148" s="201"/>
      <c r="CB148" s="201"/>
      <c r="CC148" s="201"/>
      <c r="CD148" s="201"/>
      <c r="CE148" s="201"/>
      <c r="CF148" s="201"/>
      <c r="CG148" s="201"/>
      <c r="CH148" s="201"/>
      <c r="CI148" s="201"/>
      <c r="CJ148" s="201"/>
      <c r="CK148" s="201"/>
      <c r="CL148" s="201"/>
      <c r="CM148" s="201"/>
      <c r="CN148" s="201"/>
      <c r="CO148" s="201"/>
      <c r="CP148" s="201"/>
      <c r="CQ148" s="201"/>
      <c r="CR148" s="201"/>
      <c r="CS148" s="201"/>
      <c r="CT148" s="201"/>
      <c r="CU148" s="201"/>
      <c r="CV148" s="201"/>
    </row>
    <row r="149" spans="1:100" x14ac:dyDescent="0.2">
      <c r="A149" s="219"/>
      <c r="B149" s="219"/>
      <c r="C149" s="205"/>
      <c r="D149" s="205"/>
      <c r="E149" s="192"/>
      <c r="F149" s="205"/>
      <c r="G149" s="205"/>
      <c r="H149" s="205"/>
      <c r="I149" s="205"/>
      <c r="J149" s="205"/>
      <c r="K149" s="205"/>
      <c r="L149" s="205"/>
      <c r="M149" s="205"/>
      <c r="N149" s="205"/>
      <c r="O149" s="192"/>
      <c r="P149" s="192"/>
      <c r="Q149" s="205"/>
      <c r="R149" s="205"/>
      <c r="W149" s="205"/>
      <c r="X149" s="205"/>
      <c r="Y149" s="205"/>
      <c r="Z149" s="205"/>
      <c r="AA149" s="205"/>
      <c r="AB149" s="205"/>
      <c r="AC149" s="205"/>
      <c r="AD149" s="205"/>
      <c r="AL149" s="205"/>
      <c r="AM149" s="205"/>
      <c r="AN149" s="205"/>
      <c r="AO149" s="205"/>
      <c r="AP149" s="205"/>
      <c r="AQ149" s="205"/>
      <c r="AR149" s="205"/>
      <c r="AS149" s="205"/>
      <c r="AV149" s="205"/>
      <c r="AW149" s="205"/>
      <c r="AX149" s="205"/>
      <c r="AY149" s="205"/>
      <c r="AZ149" s="205"/>
      <c r="BA149" s="205"/>
      <c r="BB149" s="205"/>
      <c r="BD149" s="205"/>
      <c r="BF149" s="205"/>
      <c r="BG149" s="201"/>
      <c r="BH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  <c r="BY149" s="201"/>
      <c r="BZ149" s="201"/>
      <c r="CA149" s="201"/>
      <c r="CB149" s="201"/>
      <c r="CC149" s="201"/>
      <c r="CD149" s="201"/>
      <c r="CE149" s="201"/>
      <c r="CF149" s="201"/>
      <c r="CG149" s="201"/>
      <c r="CH149" s="201"/>
      <c r="CI149" s="201"/>
      <c r="CJ149" s="201"/>
      <c r="CK149" s="201"/>
      <c r="CL149" s="201"/>
      <c r="CM149" s="201"/>
      <c r="CN149" s="201"/>
      <c r="CO149" s="201"/>
      <c r="CP149" s="201"/>
      <c r="CQ149" s="201"/>
      <c r="CR149" s="201"/>
      <c r="CS149" s="201"/>
      <c r="CT149" s="201"/>
      <c r="CU149" s="201"/>
      <c r="CV149" s="201"/>
    </row>
    <row r="150" spans="1:100" x14ac:dyDescent="0.2">
      <c r="A150" s="219"/>
      <c r="B150" s="219"/>
      <c r="C150" s="205"/>
      <c r="D150" s="205"/>
      <c r="E150" s="192"/>
      <c r="F150" s="205"/>
      <c r="G150" s="205"/>
      <c r="H150" s="205"/>
      <c r="I150" s="205"/>
      <c r="J150"/>
      <c r="K150"/>
      <c r="L150" s="205"/>
      <c r="M150" s="205"/>
      <c r="N150" s="205"/>
      <c r="O150" s="192"/>
      <c r="P150" s="192"/>
      <c r="Q150" s="205"/>
      <c r="R150" s="205"/>
      <c r="W150" s="205"/>
      <c r="X150" s="205"/>
      <c r="Y150" s="205"/>
      <c r="Z150" s="205"/>
      <c r="AA150" s="205"/>
      <c r="AB150" s="205"/>
      <c r="AC150" s="205"/>
      <c r="AD150" s="205"/>
      <c r="AL150" s="205"/>
      <c r="AM150" s="205"/>
      <c r="AN150" s="205"/>
      <c r="AO150" s="205"/>
      <c r="AP150" s="205"/>
      <c r="AQ150" s="205"/>
      <c r="AR150" s="205"/>
      <c r="AS150" s="205"/>
      <c r="AV150" s="205"/>
      <c r="AW150" s="205"/>
      <c r="AX150" s="205"/>
      <c r="AY150" s="205"/>
      <c r="AZ150" s="205"/>
      <c r="BD150" s="205"/>
      <c r="BF150" s="205"/>
    </row>
    <row r="151" spans="1:100" x14ac:dyDescent="0.2">
      <c r="A151" s="219"/>
      <c r="B151" s="219"/>
      <c r="C151" s="205"/>
      <c r="D151" s="205"/>
      <c r="E151" s="192"/>
      <c r="F151" s="205"/>
      <c r="G151" s="205"/>
      <c r="H151" s="205"/>
      <c r="I151" s="205"/>
      <c r="J151"/>
      <c r="K151"/>
      <c r="L151" s="205"/>
      <c r="M151" s="205"/>
      <c r="N151" s="205"/>
      <c r="O151" s="192"/>
      <c r="P151" s="192"/>
      <c r="Q151" s="205"/>
      <c r="R151" s="205"/>
      <c r="W151" s="205"/>
      <c r="X151" s="205"/>
      <c r="Y151" s="205"/>
      <c r="Z151" s="205"/>
      <c r="AA151" s="205"/>
      <c r="AB151" s="205"/>
      <c r="AC151" s="205"/>
      <c r="AD151" s="205"/>
      <c r="AL151" s="205"/>
      <c r="AM151" s="205"/>
      <c r="AN151" s="205"/>
      <c r="AO151" s="205"/>
      <c r="AP151" s="205"/>
      <c r="AQ151" s="205"/>
      <c r="AR151" s="205"/>
      <c r="AS151" s="205"/>
      <c r="AV151" s="205"/>
      <c r="AW151" s="205"/>
      <c r="AX151" s="205"/>
      <c r="AY151" s="205"/>
      <c r="AZ151" s="205"/>
      <c r="BD151" s="205"/>
      <c r="BF151" s="205"/>
    </row>
    <row r="152" spans="1:100" x14ac:dyDescent="0.2">
      <c r="A152" s="219"/>
      <c r="B152" s="219"/>
      <c r="C152" s="205"/>
      <c r="D152" s="205"/>
      <c r="E152" s="192"/>
      <c r="F152" s="205"/>
      <c r="G152" s="205"/>
      <c r="H152" s="205"/>
      <c r="I152" s="205"/>
      <c r="J152"/>
      <c r="K152"/>
      <c r="L152" s="205"/>
      <c r="M152" s="205"/>
      <c r="N152" s="205"/>
      <c r="O152" s="192"/>
      <c r="P152" s="192"/>
      <c r="Q152" s="205"/>
      <c r="R152" s="205"/>
      <c r="W152" s="205"/>
      <c r="X152" s="205"/>
      <c r="Y152" s="205"/>
      <c r="Z152" s="205"/>
      <c r="AA152" s="205"/>
      <c r="AB152" s="205"/>
      <c r="AC152" s="205"/>
      <c r="AD152" s="205"/>
      <c r="AL152" s="205"/>
      <c r="AM152" s="205"/>
      <c r="AN152" s="205"/>
      <c r="AO152" s="205"/>
      <c r="AP152" s="205"/>
      <c r="AQ152" s="205"/>
      <c r="AR152" s="205"/>
      <c r="AS152" s="205"/>
      <c r="AV152" s="205"/>
      <c r="AW152" s="205"/>
      <c r="AX152" s="205"/>
      <c r="AY152" s="205"/>
      <c r="AZ152" s="205"/>
      <c r="BD152" s="205"/>
      <c r="BF152" s="205"/>
    </row>
    <row r="153" spans="1:100" x14ac:dyDescent="0.2">
      <c r="A153" s="219"/>
      <c r="B153" s="219"/>
      <c r="C153" s="205"/>
      <c r="D153" s="205"/>
      <c r="E153" s="192"/>
      <c r="F153" s="205"/>
      <c r="G153" s="205"/>
      <c r="H153" s="205"/>
      <c r="I153" s="205"/>
      <c r="J153"/>
      <c r="K153"/>
      <c r="L153" s="205"/>
      <c r="M153" s="205"/>
      <c r="N153" s="205"/>
      <c r="O153" s="192"/>
      <c r="P153" s="192"/>
      <c r="Q153" s="205"/>
      <c r="R153" s="205"/>
      <c r="W153" s="205"/>
      <c r="X153" s="205"/>
      <c r="Y153" s="205"/>
      <c r="Z153" s="205"/>
      <c r="AA153" s="205"/>
      <c r="AB153" s="205"/>
      <c r="AC153" s="205"/>
      <c r="AD153" s="205"/>
      <c r="AL153" s="205"/>
      <c r="AM153" s="205"/>
      <c r="AN153" s="205"/>
      <c r="AO153" s="205"/>
      <c r="AP153" s="205"/>
      <c r="AQ153" s="205"/>
      <c r="AR153" s="205"/>
      <c r="AS153" s="205"/>
      <c r="AV153" s="205"/>
      <c r="AW153" s="205"/>
      <c r="AX153" s="205"/>
      <c r="AY153" s="205"/>
      <c r="AZ153" s="205"/>
      <c r="BD153" s="205"/>
      <c r="BF153" s="205"/>
    </row>
    <row r="154" spans="1:100" x14ac:dyDescent="0.2">
      <c r="A154" s="219"/>
      <c r="B154" s="219"/>
      <c r="C154" s="205"/>
      <c r="D154" s="205"/>
      <c r="E154" s="192"/>
      <c r="F154" s="205"/>
      <c r="G154" s="205"/>
      <c r="H154" s="205"/>
      <c r="I154" s="205"/>
      <c r="J154"/>
      <c r="K154"/>
      <c r="L154" s="205"/>
      <c r="M154" s="205"/>
      <c r="N154" s="205"/>
      <c r="O154" s="192"/>
      <c r="P154" s="192"/>
      <c r="Q154" s="205"/>
      <c r="R154" s="205"/>
      <c r="W154" s="205"/>
      <c r="X154" s="205"/>
      <c r="Y154" s="205"/>
      <c r="Z154" s="205"/>
      <c r="AA154" s="205"/>
      <c r="AB154" s="205"/>
      <c r="AC154" s="205"/>
      <c r="AD154" s="205"/>
      <c r="AL154" s="205"/>
      <c r="AM154" s="205"/>
      <c r="AN154" s="205"/>
      <c r="AO154" s="205"/>
      <c r="AP154" s="205"/>
      <c r="AQ154" s="205"/>
      <c r="AR154" s="205"/>
      <c r="AS154" s="205"/>
      <c r="AV154" s="205"/>
      <c r="AW154" s="205"/>
      <c r="AX154" s="205"/>
      <c r="AY154" s="205"/>
      <c r="AZ154" s="205"/>
      <c r="BD154" s="205"/>
      <c r="BF154" s="205"/>
    </row>
    <row r="155" spans="1:100" x14ac:dyDescent="0.2">
      <c r="A155" s="219"/>
      <c r="B155" s="219"/>
      <c r="C155" s="205"/>
      <c r="D155" s="205"/>
      <c r="E155" s="192"/>
      <c r="F155" s="205"/>
      <c r="G155" s="205"/>
      <c r="H155" s="205"/>
      <c r="I155" s="205"/>
      <c r="J155" s="205"/>
      <c r="K155" s="205"/>
      <c r="L155" s="205"/>
      <c r="M155" s="205"/>
      <c r="N155" s="205"/>
      <c r="O155" s="192"/>
      <c r="P155" s="192"/>
      <c r="Q155" s="205"/>
      <c r="R155" s="205"/>
      <c r="W155" s="205"/>
      <c r="X155" s="205"/>
      <c r="Y155" s="205"/>
      <c r="Z155" s="205"/>
      <c r="AA155" s="205"/>
      <c r="AB155" s="205"/>
      <c r="AC155" s="205"/>
      <c r="AD155" s="205"/>
      <c r="AL155" s="205"/>
      <c r="AM155" s="205"/>
      <c r="AN155" s="205"/>
      <c r="AO155" s="205"/>
      <c r="AP155" s="205"/>
      <c r="AQ155" s="205"/>
      <c r="AR155" s="205"/>
      <c r="AS155" s="205"/>
      <c r="AV155" s="205"/>
      <c r="AW155" s="205"/>
      <c r="AX155" s="205"/>
      <c r="AY155" s="205"/>
      <c r="AZ155" s="205"/>
      <c r="BA155" s="205"/>
      <c r="BB155" s="205"/>
      <c r="BD155" s="205"/>
      <c r="BF155" s="205"/>
      <c r="BG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  <c r="BY155" s="201"/>
      <c r="BZ155" s="201"/>
      <c r="CA155" s="201"/>
      <c r="CB155" s="201"/>
      <c r="CC155" s="201"/>
      <c r="CD155" s="201"/>
      <c r="CE155" s="201"/>
      <c r="CF155" s="201"/>
      <c r="CG155" s="201"/>
      <c r="CH155" s="201"/>
      <c r="CI155" s="201"/>
      <c r="CJ155" s="201"/>
      <c r="CK155" s="201"/>
      <c r="CL155" s="201"/>
      <c r="CM155" s="201"/>
      <c r="CN155" s="201"/>
      <c r="CO155" s="201"/>
      <c r="CP155" s="201"/>
      <c r="CQ155" s="201"/>
      <c r="CR155" s="201"/>
      <c r="CS155" s="201"/>
      <c r="CT155" s="201"/>
      <c r="CU155" s="201"/>
      <c r="CV155" s="201"/>
    </row>
    <row r="156" spans="1:100" x14ac:dyDescent="0.2">
      <c r="A156" s="219"/>
      <c r="B156" s="219"/>
      <c r="C156" s="205"/>
      <c r="D156" s="205"/>
      <c r="E156" s="192"/>
      <c r="F156" s="205"/>
      <c r="G156" s="205"/>
      <c r="H156" s="205"/>
      <c r="I156" s="205"/>
      <c r="J156" s="205"/>
      <c r="K156" s="205"/>
      <c r="L156" s="205"/>
      <c r="M156" s="205"/>
      <c r="N156" s="205"/>
      <c r="O156" s="192"/>
      <c r="P156" s="192"/>
      <c r="Q156" s="205"/>
      <c r="R156" s="205"/>
      <c r="W156" s="205"/>
      <c r="X156" s="205"/>
      <c r="Y156" s="205"/>
      <c r="Z156" s="205"/>
      <c r="AA156" s="205"/>
      <c r="AB156" s="205"/>
      <c r="AC156" s="205"/>
      <c r="AD156" s="205"/>
      <c r="AL156" s="205"/>
      <c r="AM156" s="205"/>
      <c r="AN156" s="205"/>
      <c r="AO156" s="205"/>
      <c r="AP156" s="205"/>
      <c r="AQ156" s="205"/>
      <c r="AR156" s="205"/>
      <c r="AS156" s="205"/>
      <c r="AV156" s="205"/>
      <c r="AW156" s="205"/>
      <c r="AX156" s="205"/>
      <c r="AY156" s="205"/>
      <c r="AZ156" s="205"/>
      <c r="BA156" s="205"/>
      <c r="BB156" s="205"/>
      <c r="BD156" s="205"/>
      <c r="BF156" s="205"/>
      <c r="BG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  <c r="BY156" s="201"/>
      <c r="BZ156" s="201"/>
      <c r="CA156" s="201"/>
      <c r="CB156" s="201"/>
      <c r="CC156" s="201"/>
      <c r="CD156" s="201"/>
      <c r="CE156" s="201"/>
      <c r="CF156" s="201"/>
      <c r="CG156" s="201"/>
      <c r="CH156" s="201"/>
      <c r="CI156" s="201"/>
      <c r="CJ156" s="201"/>
      <c r="CK156" s="201"/>
      <c r="CL156" s="201"/>
      <c r="CM156" s="201"/>
      <c r="CN156" s="201"/>
      <c r="CP156" s="201"/>
      <c r="CQ156" s="201"/>
      <c r="CR156" s="201"/>
      <c r="CS156" s="201"/>
      <c r="CT156" s="201"/>
      <c r="CU156" s="201"/>
      <c r="CV156" s="201"/>
    </row>
    <row r="157" spans="1:100" x14ac:dyDescent="0.2">
      <c r="A157" s="219"/>
      <c r="B157" s="219"/>
      <c r="C157" s="205"/>
      <c r="D157" s="205"/>
      <c r="E157" s="192"/>
      <c r="F157" s="205"/>
      <c r="G157" s="205"/>
      <c r="H157" s="205"/>
      <c r="I157" s="205"/>
      <c r="J157"/>
      <c r="K157"/>
      <c r="L157" s="205"/>
      <c r="M157" s="205"/>
      <c r="N157" s="205"/>
      <c r="O157" s="192"/>
      <c r="P157" s="192"/>
      <c r="Q157" s="205"/>
      <c r="R157" s="205"/>
      <c r="W157" s="205"/>
      <c r="X157" s="205"/>
      <c r="Y157" s="205"/>
      <c r="Z157" s="205"/>
      <c r="AA157" s="205"/>
      <c r="AB157" s="205"/>
      <c r="AC157" s="205"/>
      <c r="AD157" s="205"/>
      <c r="AL157" s="205"/>
      <c r="AM157" s="205"/>
      <c r="AN157" s="205"/>
      <c r="AO157" s="205"/>
      <c r="AP157" s="205"/>
      <c r="AQ157" s="205"/>
      <c r="AR157" s="205"/>
      <c r="AS157" s="205"/>
      <c r="AV157" s="205"/>
      <c r="AW157" s="205"/>
      <c r="AX157" s="205"/>
      <c r="AY157" s="205"/>
      <c r="AZ157" s="205"/>
      <c r="BD157" s="205"/>
      <c r="BF157" s="205"/>
    </row>
    <row r="158" spans="1:100" x14ac:dyDescent="0.2">
      <c r="A158" s="219"/>
      <c r="B158" s="219"/>
      <c r="C158" s="205"/>
      <c r="D158" s="205"/>
      <c r="E158" s="192"/>
      <c r="F158" s="205"/>
      <c r="G158" s="205"/>
      <c r="H158" s="205"/>
      <c r="I158" s="205"/>
      <c r="J158"/>
      <c r="K158"/>
      <c r="L158" s="205"/>
      <c r="M158" s="205"/>
      <c r="N158" s="205"/>
      <c r="O158" s="192"/>
      <c r="P158" s="192"/>
      <c r="Q158" s="205"/>
      <c r="R158" s="205"/>
      <c r="W158" s="205"/>
      <c r="X158" s="205"/>
      <c r="Y158" s="205"/>
      <c r="Z158" s="205"/>
      <c r="AA158" s="205"/>
      <c r="AB158" s="205"/>
      <c r="AC158" s="205"/>
      <c r="AD158" s="205"/>
      <c r="AL158" s="205"/>
      <c r="AM158" s="205"/>
      <c r="AN158" s="205"/>
      <c r="AO158" s="205"/>
      <c r="AP158" s="205"/>
      <c r="AQ158" s="205"/>
      <c r="AR158" s="205"/>
      <c r="AS158" s="205"/>
      <c r="AV158" s="205"/>
      <c r="AW158" s="205"/>
      <c r="AX158" s="205"/>
      <c r="AY158" s="205"/>
      <c r="AZ158" s="205"/>
      <c r="BD158" s="205"/>
      <c r="BF158" s="205"/>
    </row>
    <row r="159" spans="1:100" x14ac:dyDescent="0.2">
      <c r="A159" s="219"/>
      <c r="B159" s="219"/>
      <c r="C159" s="205"/>
      <c r="D159" s="205"/>
      <c r="E159" s="192"/>
      <c r="F159" s="205"/>
      <c r="G159" s="205"/>
      <c r="H159" s="205"/>
      <c r="I159" s="205"/>
      <c r="J159"/>
      <c r="K159"/>
      <c r="L159" s="205"/>
      <c r="M159" s="205"/>
      <c r="N159" s="205"/>
      <c r="O159" s="192"/>
      <c r="P159" s="192"/>
      <c r="Q159" s="205"/>
      <c r="R159" s="205"/>
      <c r="W159" s="205"/>
      <c r="X159" s="205"/>
      <c r="Y159" s="205"/>
      <c r="Z159" s="205"/>
      <c r="AA159" s="205"/>
      <c r="AB159" s="205"/>
      <c r="AC159" s="205"/>
      <c r="AD159" s="205"/>
      <c r="AL159" s="205"/>
      <c r="AM159" s="205"/>
      <c r="AN159" s="205"/>
      <c r="AO159" s="205"/>
      <c r="AP159" s="205"/>
      <c r="AQ159" s="205"/>
      <c r="AR159" s="205"/>
      <c r="AS159" s="205"/>
      <c r="AV159" s="205"/>
      <c r="AW159" s="205"/>
      <c r="AX159" s="205"/>
      <c r="AY159" s="205"/>
      <c r="AZ159" s="205"/>
      <c r="BD159" s="205"/>
      <c r="BF159" s="205"/>
    </row>
    <row r="160" spans="1:100" x14ac:dyDescent="0.2">
      <c r="A160" s="219"/>
      <c r="B160" s="219"/>
      <c r="C160" s="205"/>
      <c r="D160" s="205"/>
      <c r="E160" s="192"/>
      <c r="F160" s="205"/>
      <c r="G160" s="205"/>
      <c r="H160" s="205"/>
      <c r="I160" s="205"/>
      <c r="J160"/>
      <c r="K160"/>
      <c r="L160" s="205"/>
      <c r="M160" s="205"/>
      <c r="N160" s="205"/>
      <c r="O160" s="192"/>
      <c r="P160" s="192"/>
      <c r="Q160" s="205"/>
      <c r="R160" s="205"/>
      <c r="W160" s="205"/>
      <c r="X160" s="205"/>
      <c r="Y160" s="205"/>
      <c r="Z160" s="205"/>
      <c r="AA160" s="205"/>
      <c r="AB160" s="205"/>
      <c r="AC160" s="205"/>
      <c r="AD160" s="205"/>
      <c r="AL160" s="205"/>
      <c r="AM160" s="205"/>
      <c r="AN160" s="205"/>
      <c r="AO160" s="205"/>
      <c r="AP160" s="205"/>
      <c r="AQ160" s="205"/>
      <c r="AR160" s="205"/>
      <c r="AS160" s="205"/>
      <c r="AV160" s="205"/>
      <c r="AW160" s="205"/>
      <c r="AX160" s="205"/>
      <c r="AY160" s="205"/>
      <c r="AZ160" s="205"/>
      <c r="BD160" s="205"/>
      <c r="BF160" s="205"/>
    </row>
    <row r="161" spans="1:100" x14ac:dyDescent="0.2">
      <c r="A161" s="219"/>
      <c r="B161" s="219"/>
      <c r="C161" s="205"/>
      <c r="D161" s="205"/>
      <c r="E161" s="192"/>
      <c r="F161" s="205"/>
      <c r="G161" s="205"/>
      <c r="H161" s="205"/>
      <c r="I161" s="205"/>
      <c r="J161"/>
      <c r="K161"/>
      <c r="L161" s="205"/>
      <c r="M161" s="205"/>
      <c r="N161" s="205"/>
      <c r="O161" s="192"/>
      <c r="P161" s="192"/>
      <c r="Q161" s="205"/>
      <c r="R161" s="205"/>
      <c r="W161" s="205"/>
      <c r="X161" s="205"/>
      <c r="Y161" s="205"/>
      <c r="Z161" s="205"/>
      <c r="AA161" s="205"/>
      <c r="AB161" s="205"/>
      <c r="AC161" s="205"/>
      <c r="AD161" s="205"/>
      <c r="AL161" s="205"/>
      <c r="AM161" s="205"/>
      <c r="AN161" s="205"/>
      <c r="AO161" s="205"/>
      <c r="AP161" s="205"/>
      <c r="AQ161" s="205"/>
      <c r="AR161" s="205"/>
      <c r="AS161" s="205"/>
      <c r="AV161" s="205"/>
      <c r="AW161" s="205"/>
      <c r="AX161" s="205"/>
      <c r="AY161" s="205"/>
      <c r="AZ161" s="205"/>
      <c r="BD161" s="205"/>
      <c r="BF161" s="205"/>
    </row>
    <row r="162" spans="1:100" x14ac:dyDescent="0.2">
      <c r="A162" s="219"/>
      <c r="B162" s="219"/>
      <c r="C162" s="205"/>
      <c r="D162" s="205"/>
      <c r="E162" s="192"/>
      <c r="F162" s="205"/>
      <c r="G162" s="205"/>
      <c r="H162" s="205"/>
      <c r="I162" s="205"/>
      <c r="J162"/>
      <c r="K162"/>
      <c r="L162" s="205"/>
      <c r="M162" s="205"/>
      <c r="N162" s="205"/>
      <c r="O162" s="192"/>
      <c r="P162" s="192"/>
      <c r="Q162" s="205"/>
      <c r="R162" s="205"/>
      <c r="W162" s="205"/>
      <c r="X162" s="205"/>
      <c r="Y162" s="205"/>
      <c r="Z162" s="205"/>
      <c r="AA162" s="205"/>
      <c r="AB162" s="205"/>
      <c r="AC162" s="205"/>
      <c r="AD162" s="205"/>
      <c r="AL162" s="205"/>
      <c r="AM162" s="205"/>
      <c r="AN162" s="205"/>
      <c r="AO162" s="205"/>
      <c r="AP162" s="205"/>
      <c r="AQ162" s="205"/>
      <c r="AR162" s="205"/>
      <c r="AS162" s="205"/>
      <c r="AV162" s="205"/>
      <c r="AW162" s="205"/>
      <c r="AX162" s="205"/>
      <c r="AY162" s="205"/>
      <c r="AZ162" s="205"/>
      <c r="BD162" s="205"/>
      <c r="BF162" s="205"/>
    </row>
    <row r="163" spans="1:100" x14ac:dyDescent="0.2">
      <c r="A163" s="219"/>
      <c r="B163" s="219"/>
      <c r="C163" s="205"/>
      <c r="D163" s="205"/>
      <c r="E163" s="192"/>
      <c r="F163" s="205"/>
      <c r="G163" s="205"/>
      <c r="H163" s="205"/>
      <c r="I163" s="205"/>
      <c r="J163"/>
      <c r="K163"/>
      <c r="L163" s="205"/>
      <c r="M163" s="205"/>
      <c r="N163" s="205"/>
      <c r="O163" s="192"/>
      <c r="P163" s="192"/>
      <c r="Q163" s="205"/>
      <c r="R163" s="205"/>
      <c r="W163" s="205"/>
      <c r="X163" s="205"/>
      <c r="Y163" s="205"/>
      <c r="Z163" s="205"/>
      <c r="AA163" s="205"/>
      <c r="AB163" s="205"/>
      <c r="AC163" s="205"/>
      <c r="AD163" s="205"/>
      <c r="AL163" s="205"/>
      <c r="AM163" s="205"/>
      <c r="AN163" s="205"/>
      <c r="AO163" s="205"/>
      <c r="AP163" s="205"/>
      <c r="AQ163" s="205"/>
      <c r="AR163" s="205"/>
      <c r="AS163" s="205"/>
      <c r="AV163" s="205"/>
      <c r="AW163" s="205"/>
      <c r="AX163" s="205"/>
      <c r="AY163" s="205"/>
      <c r="AZ163" s="205"/>
      <c r="BD163" s="205"/>
      <c r="BF163" s="205"/>
    </row>
    <row r="164" spans="1:100" x14ac:dyDescent="0.2">
      <c r="A164" s="219"/>
      <c r="B164" s="219"/>
      <c r="C164" s="205"/>
      <c r="D164" s="205"/>
      <c r="E164" s="192"/>
      <c r="F164" s="205"/>
      <c r="G164" s="205"/>
      <c r="H164" s="205"/>
      <c r="I164" s="205"/>
      <c r="J164"/>
      <c r="K164"/>
      <c r="L164" s="205"/>
      <c r="M164" s="205"/>
      <c r="N164" s="205"/>
      <c r="O164" s="192"/>
      <c r="P164" s="192"/>
      <c r="Q164" s="205"/>
      <c r="R164" s="205"/>
      <c r="W164" s="205"/>
      <c r="X164" s="205"/>
      <c r="Y164" s="205"/>
      <c r="Z164" s="205"/>
      <c r="AA164" s="205"/>
      <c r="AB164" s="205"/>
      <c r="AC164" s="205"/>
      <c r="AD164" s="205"/>
      <c r="AL164" s="205"/>
      <c r="AM164" s="205"/>
      <c r="AN164" s="205"/>
      <c r="AO164" s="205"/>
      <c r="AP164" s="205"/>
      <c r="AQ164" s="205"/>
      <c r="AR164" s="205"/>
      <c r="AS164" s="205"/>
      <c r="AV164" s="205"/>
      <c r="AW164" s="205"/>
      <c r="AX164" s="205"/>
      <c r="AY164" s="205"/>
      <c r="AZ164" s="205"/>
      <c r="BD164" s="205"/>
      <c r="BF164" s="205"/>
    </row>
    <row r="165" spans="1:100" x14ac:dyDescent="0.2">
      <c r="A165" s="219"/>
      <c r="B165" s="219"/>
      <c r="C165" s="205"/>
      <c r="D165" s="205"/>
      <c r="E165" s="192"/>
      <c r="F165" s="205"/>
      <c r="G165" s="205"/>
      <c r="H165" s="205"/>
      <c r="I165" s="205"/>
      <c r="J165" s="205"/>
      <c r="K165" s="205"/>
      <c r="L165" s="205"/>
      <c r="M165" s="205"/>
      <c r="N165" s="205"/>
      <c r="O165" s="192"/>
      <c r="P165" s="192"/>
      <c r="Q165" s="205"/>
      <c r="R165" s="205"/>
      <c r="W165" s="205"/>
      <c r="X165" s="205"/>
      <c r="Y165" s="205"/>
      <c r="Z165" s="205"/>
      <c r="AA165" s="205"/>
      <c r="AB165" s="205"/>
      <c r="AC165" s="205"/>
      <c r="AD165" s="205"/>
      <c r="AL165" s="205"/>
      <c r="AM165" s="205"/>
      <c r="AN165" s="205"/>
      <c r="AO165" s="205"/>
      <c r="AP165" s="205"/>
      <c r="AQ165" s="205"/>
      <c r="AR165" s="205"/>
      <c r="AS165" s="205"/>
      <c r="AV165" s="205"/>
      <c r="AW165" s="205"/>
      <c r="AX165" s="205"/>
      <c r="AY165" s="205"/>
      <c r="AZ165" s="205"/>
      <c r="BA165" s="205"/>
      <c r="BB165" s="205"/>
      <c r="BD165" s="205"/>
      <c r="BF165" s="205"/>
      <c r="BG165" s="201"/>
      <c r="BH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  <c r="BY165" s="201"/>
      <c r="BZ165" s="201"/>
      <c r="CA165" s="201"/>
      <c r="CB165" s="201"/>
      <c r="CC165" s="201"/>
      <c r="CD165" s="201"/>
      <c r="CE165" s="201"/>
      <c r="CF165" s="201"/>
      <c r="CG165" s="201"/>
      <c r="CH165" s="201"/>
      <c r="CI165" s="201"/>
      <c r="CJ165" s="201"/>
      <c r="CK165" s="201"/>
      <c r="CL165" s="201"/>
      <c r="CM165" s="201"/>
      <c r="CN165" s="201"/>
      <c r="CO165" s="201"/>
      <c r="CP165" s="201"/>
      <c r="CQ165" s="201"/>
      <c r="CR165" s="201"/>
      <c r="CS165" s="201"/>
      <c r="CT165" s="201"/>
      <c r="CU165" s="201"/>
      <c r="CV165" s="201"/>
    </row>
    <row r="166" spans="1:100" x14ac:dyDescent="0.2">
      <c r="A166" s="219"/>
      <c r="B166" s="219"/>
      <c r="C166" s="205"/>
      <c r="D166" s="205"/>
      <c r="E166" s="192"/>
      <c r="F166" s="205"/>
      <c r="G166" s="205"/>
      <c r="H166" s="205"/>
      <c r="I166" s="205"/>
      <c r="J166"/>
      <c r="K166"/>
      <c r="L166" s="205"/>
      <c r="M166" s="205"/>
      <c r="N166" s="205"/>
      <c r="O166" s="192"/>
      <c r="P166" s="192"/>
      <c r="Q166" s="205"/>
      <c r="R166" s="205"/>
      <c r="W166" s="205"/>
      <c r="X166" s="205"/>
      <c r="Y166" s="205"/>
      <c r="Z166" s="205"/>
      <c r="AA166" s="205"/>
      <c r="AB166" s="205"/>
      <c r="AC166" s="205"/>
      <c r="AD166" s="205"/>
      <c r="AL166" s="205"/>
      <c r="AM166" s="205"/>
      <c r="AN166" s="205"/>
      <c r="AO166" s="205"/>
      <c r="AP166" s="205"/>
      <c r="AQ166" s="205"/>
      <c r="AR166" s="205"/>
      <c r="AS166" s="205"/>
      <c r="AV166" s="205"/>
      <c r="AW166" s="205"/>
      <c r="AX166" s="205"/>
      <c r="AY166" s="205"/>
      <c r="AZ166" s="205"/>
      <c r="BD166" s="205"/>
      <c r="BF166" s="205"/>
    </row>
    <row r="167" spans="1:100" x14ac:dyDescent="0.2">
      <c r="A167" s="219"/>
      <c r="B167" s="219"/>
      <c r="C167" s="205"/>
      <c r="D167" s="205"/>
      <c r="E167" s="192"/>
      <c r="F167" s="205"/>
      <c r="G167" s="205"/>
      <c r="H167" s="205"/>
      <c r="I167" s="205"/>
      <c r="J167"/>
      <c r="K167"/>
      <c r="L167" s="205"/>
      <c r="M167" s="205"/>
      <c r="N167" s="205"/>
      <c r="O167" s="192"/>
      <c r="P167" s="192"/>
      <c r="Q167" s="205"/>
      <c r="R167" s="205"/>
      <c r="W167" s="205"/>
      <c r="X167" s="205"/>
      <c r="Y167" s="205"/>
      <c r="Z167" s="205"/>
      <c r="AA167" s="205"/>
      <c r="AB167" s="205"/>
      <c r="AC167" s="205"/>
      <c r="AD167" s="205"/>
      <c r="AL167" s="205"/>
      <c r="AM167" s="205"/>
      <c r="AN167" s="205"/>
      <c r="AO167" s="205"/>
      <c r="AP167" s="205"/>
      <c r="AQ167" s="205"/>
      <c r="AR167" s="205"/>
      <c r="AS167" s="205"/>
      <c r="AV167" s="205"/>
      <c r="AW167" s="205"/>
      <c r="AX167" s="205"/>
      <c r="AY167" s="205"/>
      <c r="AZ167" s="205"/>
      <c r="BD167" s="205"/>
      <c r="BF167" s="205"/>
    </row>
    <row r="168" spans="1:100" x14ac:dyDescent="0.2">
      <c r="A168" s="219"/>
      <c r="B168" s="219"/>
      <c r="C168" s="205"/>
      <c r="D168" s="205"/>
      <c r="E168" s="192"/>
      <c r="F168" s="205"/>
      <c r="G168" s="205"/>
      <c r="H168" s="205"/>
      <c r="I168" s="205"/>
      <c r="J168"/>
      <c r="K168"/>
      <c r="L168" s="205"/>
      <c r="M168" s="205"/>
      <c r="N168" s="205"/>
      <c r="O168" s="192"/>
      <c r="P168" s="192"/>
      <c r="Q168" s="205"/>
      <c r="R168" s="205"/>
      <c r="W168" s="205"/>
      <c r="X168" s="205"/>
      <c r="Y168" s="205"/>
      <c r="Z168" s="205"/>
      <c r="AA168" s="205"/>
      <c r="AB168" s="205"/>
      <c r="AC168" s="205"/>
      <c r="AD168" s="205"/>
      <c r="AL168" s="205"/>
      <c r="AM168" s="205"/>
      <c r="AN168" s="205"/>
      <c r="AO168" s="205"/>
      <c r="AP168" s="205"/>
      <c r="AQ168" s="205"/>
      <c r="AR168" s="205"/>
      <c r="AS168" s="205"/>
      <c r="AV168" s="205"/>
      <c r="AW168" s="205"/>
      <c r="AX168" s="205"/>
      <c r="AY168" s="205"/>
      <c r="AZ168" s="205"/>
      <c r="BD168" s="205"/>
      <c r="BF168" s="205"/>
    </row>
    <row r="169" spans="1:100" x14ac:dyDescent="0.2">
      <c r="A169" s="219"/>
      <c r="B169" s="219"/>
      <c r="C169" s="205"/>
      <c r="D169" s="205"/>
      <c r="E169" s="192"/>
      <c r="F169" s="205"/>
      <c r="G169" s="205"/>
      <c r="H169" s="205"/>
      <c r="I169" s="205"/>
      <c r="J169"/>
      <c r="K169"/>
      <c r="L169" s="205"/>
      <c r="M169" s="205"/>
      <c r="N169" s="205"/>
      <c r="O169" s="192"/>
      <c r="P169" s="192"/>
      <c r="Q169" s="205"/>
      <c r="R169" s="205"/>
      <c r="W169" s="205"/>
      <c r="X169" s="205"/>
      <c r="Y169" s="205"/>
      <c r="Z169" s="205"/>
      <c r="AA169" s="205"/>
      <c r="AB169" s="205"/>
      <c r="AC169" s="205"/>
      <c r="AD169" s="205"/>
      <c r="AL169" s="205"/>
      <c r="AM169" s="205"/>
      <c r="AN169" s="205"/>
      <c r="AO169" s="205"/>
      <c r="AP169" s="205"/>
      <c r="AQ169" s="205"/>
      <c r="AR169" s="205"/>
      <c r="AS169" s="205"/>
      <c r="AV169" s="205"/>
      <c r="AW169" s="205"/>
      <c r="AX169" s="205"/>
      <c r="AY169" s="205"/>
      <c r="AZ169" s="205"/>
      <c r="BD169" s="205"/>
      <c r="BF169" s="205"/>
    </row>
    <row r="170" spans="1:100" x14ac:dyDescent="0.2">
      <c r="A170" s="219"/>
      <c r="B170" s="219"/>
      <c r="C170" s="205"/>
      <c r="D170" s="205"/>
      <c r="E170" s="192"/>
      <c r="F170" s="205"/>
      <c r="G170" s="205"/>
      <c r="H170" s="205"/>
      <c r="I170" s="205"/>
      <c r="J170" s="205"/>
      <c r="K170" s="205"/>
      <c r="L170" s="205"/>
      <c r="M170" s="205"/>
      <c r="N170" s="205"/>
      <c r="O170" s="192"/>
      <c r="P170" s="192"/>
      <c r="Q170" s="205"/>
      <c r="R170" s="205"/>
      <c r="W170" s="205"/>
      <c r="X170" s="205"/>
      <c r="Y170" s="205"/>
      <c r="Z170" s="205"/>
      <c r="AA170" s="205"/>
      <c r="AB170" s="205"/>
      <c r="AC170" s="205"/>
      <c r="AD170" s="205"/>
      <c r="AL170" s="205"/>
      <c r="AM170" s="205"/>
      <c r="AN170" s="205"/>
      <c r="AO170" s="205"/>
      <c r="AP170" s="205"/>
      <c r="AQ170" s="205"/>
      <c r="AR170" s="205"/>
      <c r="AS170" s="205"/>
      <c r="AV170" s="205"/>
      <c r="AW170" s="205"/>
      <c r="AX170" s="205"/>
      <c r="AY170" s="205"/>
      <c r="AZ170" s="205"/>
      <c r="BA170" s="205"/>
      <c r="BB170" s="205"/>
      <c r="BD170" s="205"/>
      <c r="BF170" s="205"/>
      <c r="BG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  <c r="CF170" s="201"/>
      <c r="CG170" s="201"/>
      <c r="CH170" s="201"/>
      <c r="CI170" s="201"/>
      <c r="CJ170" s="201"/>
      <c r="CK170" s="201"/>
      <c r="CL170" s="201"/>
      <c r="CM170" s="201"/>
      <c r="CN170" s="201"/>
      <c r="CO170" s="201"/>
      <c r="CP170" s="201"/>
      <c r="CQ170" s="201"/>
      <c r="CR170" s="201"/>
      <c r="CS170" s="201"/>
      <c r="CT170" s="201"/>
      <c r="CU170" s="201"/>
      <c r="CV170" s="201"/>
    </row>
    <row r="171" spans="1:100" x14ac:dyDescent="0.2">
      <c r="A171" s="219"/>
      <c r="B171" s="219"/>
      <c r="C171" s="205"/>
      <c r="D171" s="205"/>
      <c r="E171" s="192"/>
      <c r="F171" s="205"/>
      <c r="G171" s="205"/>
      <c r="H171" s="205"/>
      <c r="I171" s="205"/>
      <c r="J171"/>
      <c r="K171"/>
      <c r="L171" s="205"/>
      <c r="M171" s="205"/>
      <c r="N171" s="205"/>
      <c r="O171" s="192"/>
      <c r="P171" s="192"/>
      <c r="Q171" s="205"/>
      <c r="R171" s="205"/>
      <c r="W171" s="205"/>
      <c r="X171" s="205"/>
      <c r="Y171" s="205"/>
      <c r="Z171" s="205"/>
      <c r="AA171" s="205"/>
      <c r="AB171" s="205"/>
      <c r="AC171" s="205"/>
      <c r="AD171" s="205"/>
      <c r="AL171" s="205"/>
      <c r="AM171" s="205"/>
      <c r="AN171" s="205"/>
      <c r="AO171" s="205"/>
      <c r="AP171" s="205"/>
      <c r="AQ171" s="205"/>
      <c r="AR171" s="205"/>
      <c r="AS171" s="205"/>
      <c r="AV171" s="205"/>
      <c r="AW171" s="205"/>
      <c r="AX171" s="205"/>
      <c r="AY171" s="205"/>
      <c r="AZ171" s="205"/>
      <c r="BD171" s="205"/>
      <c r="BF171" s="205"/>
    </row>
    <row r="172" spans="1:100" x14ac:dyDescent="0.2">
      <c r="A172" s="219"/>
      <c r="B172" s="219"/>
      <c r="C172" s="205"/>
      <c r="D172" s="205"/>
      <c r="E172" s="192"/>
      <c r="F172" s="205"/>
      <c r="G172" s="205"/>
      <c r="H172" s="205"/>
      <c r="I172" s="205"/>
      <c r="J172"/>
      <c r="K172"/>
      <c r="L172" s="205"/>
      <c r="M172" s="205"/>
      <c r="N172" s="205"/>
      <c r="O172" s="192"/>
      <c r="P172" s="192"/>
      <c r="Q172" s="205"/>
      <c r="R172" s="205"/>
      <c r="W172" s="205"/>
      <c r="X172" s="205"/>
      <c r="Y172" s="205"/>
      <c r="Z172" s="205"/>
      <c r="AA172" s="205"/>
      <c r="AB172" s="205"/>
      <c r="AC172" s="205"/>
      <c r="AD172" s="205"/>
      <c r="AL172" s="205"/>
      <c r="AM172" s="205"/>
      <c r="AN172" s="205"/>
      <c r="AO172" s="205"/>
      <c r="AP172" s="205"/>
      <c r="AQ172" s="205"/>
      <c r="AR172" s="205"/>
      <c r="AS172" s="205"/>
      <c r="AV172" s="205"/>
      <c r="AW172" s="205"/>
      <c r="AX172" s="205"/>
      <c r="AY172" s="205"/>
      <c r="AZ172" s="205"/>
      <c r="BD172" s="205"/>
      <c r="BF172" s="205"/>
    </row>
    <row r="173" spans="1:100" x14ac:dyDescent="0.2">
      <c r="A173" s="219"/>
      <c r="B173" s="219"/>
      <c r="C173" s="205"/>
      <c r="D173" s="205"/>
      <c r="E173" s="192"/>
      <c r="F173" s="205"/>
      <c r="G173" s="205"/>
      <c r="H173" s="205"/>
      <c r="I173" s="205"/>
      <c r="J173"/>
      <c r="K173"/>
      <c r="L173" s="205"/>
      <c r="M173" s="205"/>
      <c r="N173" s="205"/>
      <c r="O173" s="192"/>
      <c r="P173" s="192"/>
      <c r="Q173" s="205"/>
      <c r="R173" s="205"/>
      <c r="W173" s="205"/>
      <c r="X173" s="205"/>
      <c r="Y173" s="205"/>
      <c r="Z173" s="205"/>
      <c r="AA173" s="205"/>
      <c r="AB173" s="205"/>
      <c r="AC173" s="205"/>
      <c r="AD173" s="205"/>
      <c r="AL173" s="205"/>
      <c r="AM173" s="205"/>
      <c r="AN173" s="205"/>
      <c r="AO173" s="205"/>
      <c r="AP173" s="205"/>
      <c r="AQ173" s="205"/>
      <c r="AR173" s="205"/>
      <c r="AS173" s="205"/>
      <c r="AV173" s="205"/>
      <c r="AW173" s="205"/>
      <c r="AX173" s="205"/>
      <c r="AY173" s="205"/>
      <c r="AZ173" s="205"/>
      <c r="BD173" s="205"/>
      <c r="BF173" s="205"/>
    </row>
    <row r="174" spans="1:100" x14ac:dyDescent="0.2">
      <c r="A174" s="219"/>
      <c r="B174" s="219"/>
      <c r="C174" s="205"/>
      <c r="D174" s="205"/>
      <c r="E174" s="192"/>
      <c r="F174" s="205"/>
      <c r="G174" s="205"/>
      <c r="H174" s="205"/>
      <c r="I174" s="205"/>
      <c r="J174"/>
      <c r="K174"/>
      <c r="L174" s="205"/>
      <c r="M174" s="205"/>
      <c r="N174" s="205"/>
      <c r="O174" s="192"/>
      <c r="P174" s="192"/>
      <c r="Q174" s="205"/>
      <c r="R174" s="205"/>
      <c r="W174" s="205"/>
      <c r="X174" s="205"/>
      <c r="Y174" s="205"/>
      <c r="Z174" s="205"/>
      <c r="AA174" s="205"/>
      <c r="AB174" s="205"/>
      <c r="AC174" s="205"/>
      <c r="AD174" s="205"/>
      <c r="AL174" s="205"/>
      <c r="AM174" s="205"/>
      <c r="AN174" s="205"/>
      <c r="AO174" s="205"/>
      <c r="AP174" s="205"/>
      <c r="AQ174" s="205"/>
      <c r="AR174" s="205"/>
      <c r="AS174" s="205"/>
      <c r="AV174" s="205"/>
      <c r="AW174" s="205"/>
      <c r="AX174" s="205"/>
      <c r="AY174" s="205"/>
      <c r="AZ174" s="205"/>
      <c r="BD174" s="205"/>
      <c r="BF174" s="205"/>
    </row>
    <row r="175" spans="1:100" x14ac:dyDescent="0.2">
      <c r="A175" s="219"/>
      <c r="B175" s="219"/>
      <c r="C175" s="205"/>
      <c r="D175" s="205"/>
      <c r="E175" s="192"/>
      <c r="F175" s="205"/>
      <c r="G175" s="205"/>
      <c r="H175" s="205"/>
      <c r="I175" s="205"/>
      <c r="J175"/>
      <c r="K175"/>
      <c r="L175" s="205"/>
      <c r="M175" s="205"/>
      <c r="N175" s="205"/>
      <c r="O175" s="192"/>
      <c r="P175" s="192"/>
      <c r="Q175" s="205"/>
      <c r="R175" s="205"/>
      <c r="W175" s="205"/>
      <c r="X175" s="205"/>
      <c r="Y175" s="205"/>
      <c r="Z175" s="205"/>
      <c r="AA175" s="205"/>
      <c r="AB175" s="205"/>
      <c r="AC175" s="205"/>
      <c r="AD175" s="205"/>
      <c r="AL175" s="205"/>
      <c r="AM175" s="205"/>
      <c r="AN175" s="205"/>
      <c r="AO175" s="205"/>
      <c r="AP175" s="205"/>
      <c r="AQ175" s="205"/>
      <c r="AR175" s="205"/>
      <c r="AS175" s="205"/>
      <c r="AV175" s="205"/>
      <c r="AW175" s="205"/>
      <c r="AX175" s="205"/>
      <c r="AY175" s="205"/>
      <c r="AZ175" s="205"/>
      <c r="BD175" s="205"/>
      <c r="BF175" s="205"/>
    </row>
    <row r="176" spans="1:100" x14ac:dyDescent="0.2">
      <c r="A176" s="219"/>
      <c r="B176" s="219"/>
      <c r="C176" s="205"/>
      <c r="D176" s="205"/>
      <c r="E176" s="192"/>
      <c r="F176" s="205"/>
      <c r="G176" s="205"/>
      <c r="H176" s="205"/>
      <c r="I176" s="205"/>
      <c r="J176" s="205"/>
      <c r="K176" s="205"/>
      <c r="L176" s="205"/>
      <c r="M176" s="205"/>
      <c r="N176" s="205"/>
      <c r="O176" s="192"/>
      <c r="P176" s="192"/>
      <c r="Q176" s="205"/>
      <c r="R176" s="205"/>
      <c r="W176" s="205"/>
      <c r="X176" s="205"/>
      <c r="Y176" s="205"/>
      <c r="Z176" s="205"/>
      <c r="AA176" s="205"/>
      <c r="AB176" s="205"/>
      <c r="AC176" s="205"/>
      <c r="AD176" s="205"/>
      <c r="AL176" s="205"/>
      <c r="AM176" s="205"/>
      <c r="AN176" s="205"/>
      <c r="AO176" s="205"/>
      <c r="AP176" s="205"/>
      <c r="AQ176" s="205"/>
      <c r="AR176" s="205"/>
      <c r="AS176" s="205"/>
      <c r="AV176" s="205"/>
      <c r="AW176" s="205"/>
      <c r="AX176" s="205"/>
      <c r="AY176" s="205"/>
      <c r="AZ176" s="205"/>
      <c r="BA176" s="205"/>
      <c r="BB176" s="205"/>
      <c r="BD176" s="205"/>
      <c r="BF176" s="205"/>
      <c r="BG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  <c r="BY176" s="201"/>
      <c r="BZ176" s="201"/>
      <c r="CA176" s="201"/>
      <c r="CB176" s="201"/>
      <c r="CC176" s="201"/>
      <c r="CD176" s="201"/>
      <c r="CE176" s="201"/>
      <c r="CF176" s="201"/>
      <c r="CG176" s="201"/>
      <c r="CH176" s="201"/>
      <c r="CI176" s="201"/>
      <c r="CJ176" s="201"/>
      <c r="CK176" s="201"/>
      <c r="CL176" s="201"/>
      <c r="CM176" s="201"/>
      <c r="CN176" s="201"/>
      <c r="CO176" s="201"/>
      <c r="CP176" s="201"/>
      <c r="CQ176" s="201"/>
      <c r="CR176" s="201"/>
      <c r="CS176" s="201"/>
      <c r="CT176" s="201"/>
      <c r="CU176" s="201"/>
      <c r="CV176" s="201"/>
    </row>
    <row r="177" spans="1:100" x14ac:dyDescent="0.2">
      <c r="A177" s="219"/>
      <c r="B177" s="219"/>
      <c r="C177" s="205"/>
      <c r="D177" s="205"/>
      <c r="E177" s="192"/>
      <c r="F177" s="205"/>
      <c r="G177" s="205"/>
      <c r="H177" s="205"/>
      <c r="I177" s="205"/>
      <c r="J177"/>
      <c r="K177"/>
      <c r="L177" s="205"/>
      <c r="M177" s="205"/>
      <c r="N177" s="205"/>
      <c r="O177" s="192"/>
      <c r="P177" s="192"/>
      <c r="Q177" s="205"/>
      <c r="R177" s="205"/>
      <c r="W177" s="205"/>
      <c r="X177" s="205"/>
      <c r="Y177" s="205"/>
      <c r="Z177" s="205"/>
      <c r="AA177" s="205"/>
      <c r="AB177" s="205"/>
      <c r="AC177" s="205"/>
      <c r="AD177" s="205"/>
      <c r="AL177" s="205"/>
      <c r="AM177" s="205"/>
      <c r="AN177" s="205"/>
      <c r="AO177" s="205"/>
      <c r="AP177" s="205"/>
      <c r="AQ177" s="205"/>
      <c r="AR177" s="205"/>
      <c r="AS177" s="205"/>
      <c r="AV177" s="205"/>
      <c r="AW177" s="205"/>
      <c r="AX177" s="205"/>
      <c r="AY177" s="205"/>
      <c r="AZ177" s="205"/>
      <c r="BD177" s="205"/>
      <c r="BF177" s="205"/>
    </row>
    <row r="178" spans="1:100" x14ac:dyDescent="0.2">
      <c r="A178" s="219"/>
      <c r="B178" s="219"/>
      <c r="C178" s="205"/>
      <c r="D178" s="205"/>
      <c r="E178" s="192"/>
      <c r="F178" s="205"/>
      <c r="G178" s="205"/>
      <c r="H178" s="205"/>
      <c r="I178" s="205"/>
      <c r="J178" s="205"/>
      <c r="K178" s="205"/>
      <c r="L178" s="205"/>
      <c r="M178" s="205"/>
      <c r="N178" s="205"/>
      <c r="O178" s="192"/>
      <c r="P178" s="192"/>
      <c r="Q178" s="205"/>
      <c r="R178" s="205"/>
      <c r="W178" s="205"/>
      <c r="X178" s="205"/>
      <c r="Y178" s="205"/>
      <c r="Z178" s="205"/>
      <c r="AA178" s="205"/>
      <c r="AB178" s="205"/>
      <c r="AC178" s="205"/>
      <c r="AD178" s="205"/>
      <c r="AL178" s="205"/>
      <c r="AM178" s="205"/>
      <c r="AN178" s="205"/>
      <c r="AO178" s="205"/>
      <c r="AP178" s="205"/>
      <c r="AQ178" s="205"/>
      <c r="AR178" s="205"/>
      <c r="AS178" s="205"/>
      <c r="AV178" s="205"/>
      <c r="AW178" s="205"/>
      <c r="AX178" s="205"/>
      <c r="AY178" s="205"/>
      <c r="AZ178" s="205"/>
      <c r="BA178" s="205"/>
      <c r="BB178" s="205"/>
      <c r="BD178" s="205"/>
      <c r="BF178" s="205"/>
      <c r="BG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  <c r="BY178" s="201"/>
      <c r="BZ178" s="201"/>
      <c r="CA178" s="201"/>
      <c r="CB178" s="201"/>
      <c r="CC178" s="201"/>
      <c r="CD178" s="201"/>
      <c r="CE178" s="201"/>
      <c r="CF178" s="201"/>
      <c r="CG178" s="201"/>
      <c r="CH178" s="201"/>
      <c r="CI178" s="201"/>
      <c r="CJ178" s="201"/>
      <c r="CK178" s="201"/>
      <c r="CL178" s="201"/>
      <c r="CM178" s="201"/>
      <c r="CN178" s="201"/>
      <c r="CO178" s="201"/>
      <c r="CP178" s="201"/>
      <c r="CQ178" s="201"/>
      <c r="CR178" s="201"/>
      <c r="CS178" s="201"/>
      <c r="CT178" s="201"/>
      <c r="CU178" s="201"/>
      <c r="CV178" s="201"/>
    </row>
    <row r="179" spans="1:100" x14ac:dyDescent="0.2">
      <c r="A179" s="219"/>
      <c r="B179" s="219"/>
      <c r="C179" s="205"/>
      <c r="D179" s="205"/>
      <c r="E179" s="192"/>
      <c r="F179" s="205"/>
      <c r="G179" s="205"/>
      <c r="H179" s="205"/>
      <c r="I179" s="205"/>
      <c r="J179"/>
      <c r="K179"/>
      <c r="L179" s="205"/>
      <c r="M179" s="205"/>
      <c r="N179" s="205"/>
      <c r="O179" s="192"/>
      <c r="P179" s="192"/>
      <c r="Q179" s="205"/>
      <c r="R179" s="205"/>
      <c r="W179" s="205"/>
      <c r="X179" s="205"/>
      <c r="Y179" s="205"/>
      <c r="Z179" s="205"/>
      <c r="AA179" s="205"/>
      <c r="AB179" s="205"/>
      <c r="AC179" s="205"/>
      <c r="AD179" s="205"/>
      <c r="AL179" s="205"/>
      <c r="AM179" s="205"/>
      <c r="AN179" s="205"/>
      <c r="AO179" s="205"/>
      <c r="AP179" s="205"/>
      <c r="AQ179" s="205"/>
      <c r="AR179" s="205"/>
      <c r="AS179" s="205"/>
      <c r="AV179" s="205"/>
      <c r="AW179" s="205"/>
      <c r="AX179" s="205"/>
      <c r="AY179" s="205"/>
      <c r="AZ179" s="205"/>
      <c r="BD179" s="205"/>
      <c r="BF179" s="205"/>
    </row>
    <row r="180" spans="1:100" x14ac:dyDescent="0.2">
      <c r="A180" s="219"/>
      <c r="B180" s="219"/>
      <c r="C180" s="205"/>
      <c r="D180" s="205"/>
      <c r="E180" s="192"/>
      <c r="F180" s="205"/>
      <c r="G180" s="205"/>
      <c r="H180" s="205"/>
      <c r="I180" s="205"/>
      <c r="J180"/>
      <c r="K180"/>
      <c r="L180" s="205"/>
      <c r="M180" s="205"/>
      <c r="N180" s="205"/>
      <c r="O180" s="192"/>
      <c r="P180" s="192"/>
      <c r="Q180" s="205"/>
      <c r="R180" s="205"/>
      <c r="W180" s="205"/>
      <c r="X180" s="205"/>
      <c r="Y180" s="205"/>
      <c r="Z180" s="205"/>
      <c r="AA180" s="205"/>
      <c r="AB180" s="205"/>
      <c r="AC180" s="205"/>
      <c r="AD180" s="205"/>
      <c r="AL180" s="205"/>
      <c r="AM180" s="205"/>
      <c r="AN180" s="205"/>
      <c r="AO180" s="205"/>
      <c r="AP180" s="205"/>
      <c r="AQ180" s="205"/>
      <c r="AR180" s="205"/>
      <c r="AS180" s="205"/>
      <c r="AV180" s="205"/>
      <c r="AW180" s="205"/>
      <c r="AX180" s="205"/>
      <c r="AY180" s="205"/>
      <c r="AZ180" s="205"/>
      <c r="BD180" s="205"/>
      <c r="BF180" s="205"/>
    </row>
    <row r="181" spans="1:100" x14ac:dyDescent="0.2">
      <c r="A181" s="219"/>
      <c r="B181" s="219"/>
      <c r="C181" s="205"/>
      <c r="D181" s="205"/>
      <c r="E181" s="192"/>
      <c r="F181" s="205"/>
      <c r="G181" s="205"/>
      <c r="H181" s="205"/>
      <c r="I181" s="205"/>
      <c r="J181" s="205"/>
      <c r="K181" s="205"/>
      <c r="L181" s="205"/>
      <c r="M181" s="205"/>
      <c r="N181" s="205"/>
      <c r="O181" s="192"/>
      <c r="P181" s="192"/>
      <c r="Q181" s="205"/>
      <c r="R181" s="205"/>
      <c r="W181" s="205"/>
      <c r="X181" s="205"/>
      <c r="Y181" s="205"/>
      <c r="Z181" s="205"/>
      <c r="AA181" s="205"/>
      <c r="AB181" s="205"/>
      <c r="AC181" s="205"/>
      <c r="AD181" s="205"/>
      <c r="AL181" s="205"/>
      <c r="AM181" s="205"/>
      <c r="AN181" s="205"/>
      <c r="AO181" s="205"/>
      <c r="AP181" s="205"/>
      <c r="AQ181" s="205"/>
      <c r="AR181" s="205"/>
      <c r="AS181" s="205"/>
      <c r="AV181" s="205"/>
      <c r="AW181" s="205"/>
      <c r="AX181" s="205"/>
      <c r="AY181" s="205"/>
      <c r="AZ181" s="205"/>
      <c r="BA181" s="205"/>
      <c r="BB181" s="205"/>
      <c r="BD181" s="205"/>
      <c r="BF181" s="205"/>
      <c r="BG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  <c r="BY181" s="201"/>
      <c r="BZ181" s="201"/>
      <c r="CA181" s="201"/>
      <c r="CB181" s="201"/>
      <c r="CC181" s="201"/>
      <c r="CD181" s="201"/>
      <c r="CE181" s="201"/>
      <c r="CF181" s="201"/>
      <c r="CG181" s="201"/>
      <c r="CH181" s="201"/>
      <c r="CI181" s="201"/>
      <c r="CJ181" s="201"/>
      <c r="CK181" s="201"/>
      <c r="CL181" s="201"/>
      <c r="CM181" s="201"/>
      <c r="CN181" s="201"/>
      <c r="CO181" s="201"/>
      <c r="CP181" s="201"/>
      <c r="CQ181" s="201"/>
      <c r="CR181" s="201"/>
      <c r="CS181" s="201"/>
      <c r="CT181" s="201"/>
      <c r="CU181" s="201"/>
      <c r="CV181" s="201"/>
    </row>
    <row r="182" spans="1:100" x14ac:dyDescent="0.2">
      <c r="A182" s="219"/>
      <c r="B182" s="219"/>
      <c r="C182" s="205"/>
      <c r="D182" s="205"/>
      <c r="E182" s="192"/>
      <c r="F182" s="205"/>
      <c r="G182" s="205"/>
      <c r="H182" s="205"/>
      <c r="I182" s="205"/>
      <c r="J182" s="205"/>
      <c r="K182" s="205"/>
      <c r="L182" s="205"/>
      <c r="M182" s="205"/>
      <c r="N182" s="205"/>
      <c r="O182" s="192"/>
      <c r="P182" s="192"/>
      <c r="Q182" s="205"/>
      <c r="R182" s="205"/>
      <c r="W182" s="205"/>
      <c r="X182" s="205"/>
      <c r="Y182" s="205"/>
      <c r="Z182" s="205"/>
      <c r="AA182" s="205"/>
      <c r="AB182" s="205"/>
      <c r="AC182" s="205"/>
      <c r="AD182" s="205"/>
      <c r="AL182" s="205"/>
      <c r="AM182" s="205"/>
      <c r="AN182" s="205"/>
      <c r="AO182" s="205"/>
      <c r="AP182" s="205"/>
      <c r="AQ182" s="205"/>
      <c r="AR182" s="205"/>
      <c r="AS182" s="205"/>
      <c r="AV182" s="205"/>
      <c r="AW182" s="205"/>
      <c r="AX182" s="205"/>
      <c r="AY182" s="205"/>
      <c r="AZ182" s="205"/>
      <c r="BA182" s="205"/>
      <c r="BB182" s="205"/>
      <c r="BD182" s="205"/>
      <c r="BF182" s="205"/>
      <c r="BG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  <c r="BY182" s="201"/>
      <c r="BZ182" s="201"/>
      <c r="CA182" s="201"/>
      <c r="CB182" s="201"/>
      <c r="CC182" s="201"/>
      <c r="CD182" s="201"/>
      <c r="CE182" s="201"/>
      <c r="CF182" s="201"/>
      <c r="CG182" s="201"/>
      <c r="CH182" s="201"/>
      <c r="CI182" s="201"/>
      <c r="CJ182" s="201"/>
      <c r="CK182" s="201"/>
      <c r="CL182" s="201"/>
      <c r="CM182" s="201"/>
      <c r="CN182" s="201"/>
      <c r="CO182" s="201"/>
      <c r="CP182" s="201"/>
      <c r="CQ182" s="201"/>
      <c r="CR182" s="201"/>
      <c r="CS182" s="201"/>
      <c r="CT182" s="201"/>
      <c r="CU182" s="201"/>
      <c r="CV182" s="201"/>
    </row>
    <row r="183" spans="1:100" x14ac:dyDescent="0.2">
      <c r="A183" s="219"/>
      <c r="B183" s="219"/>
      <c r="C183" s="205"/>
      <c r="D183" s="205"/>
      <c r="E183" s="192"/>
      <c r="F183" s="205"/>
      <c r="G183" s="205"/>
      <c r="H183" s="205"/>
      <c r="I183" s="205"/>
      <c r="J183"/>
      <c r="K183"/>
      <c r="L183" s="205"/>
      <c r="M183" s="205"/>
      <c r="N183" s="205"/>
      <c r="O183" s="192"/>
      <c r="P183" s="192"/>
      <c r="Q183" s="205"/>
      <c r="R183" s="205"/>
      <c r="W183" s="205"/>
      <c r="X183" s="205"/>
      <c r="Y183" s="205"/>
      <c r="Z183" s="205"/>
      <c r="AA183" s="205"/>
      <c r="AB183" s="205"/>
      <c r="AC183" s="205"/>
      <c r="AD183" s="205"/>
      <c r="AL183" s="205"/>
      <c r="AM183" s="205"/>
      <c r="AN183" s="205"/>
      <c r="AO183" s="205"/>
      <c r="AP183" s="205"/>
      <c r="AQ183" s="205"/>
      <c r="AR183" s="205"/>
      <c r="AS183" s="205"/>
      <c r="AV183" s="205"/>
      <c r="AW183" s="205"/>
      <c r="AX183" s="205"/>
      <c r="AY183" s="205"/>
      <c r="AZ183" s="205"/>
      <c r="BD183" s="205"/>
      <c r="BF183" s="205"/>
    </row>
    <row r="184" spans="1:100" x14ac:dyDescent="0.2">
      <c r="A184" s="219"/>
      <c r="B184" s="219"/>
      <c r="C184" s="205"/>
      <c r="D184" s="205"/>
      <c r="E184" s="192"/>
      <c r="F184" s="205"/>
      <c r="G184" s="205"/>
      <c r="H184" s="205"/>
      <c r="I184" s="205"/>
      <c r="J184" s="205"/>
      <c r="K184" s="205"/>
      <c r="L184" s="205"/>
      <c r="M184" s="205"/>
      <c r="N184" s="205"/>
      <c r="O184" s="192"/>
      <c r="P184" s="192"/>
      <c r="Q184" s="205"/>
      <c r="R184" s="205"/>
      <c r="W184" s="205"/>
      <c r="X184" s="205"/>
      <c r="Y184" s="205"/>
      <c r="Z184" s="205"/>
      <c r="AA184" s="205"/>
      <c r="AB184" s="205"/>
      <c r="AC184" s="205"/>
      <c r="AD184" s="205"/>
      <c r="AL184" s="205"/>
      <c r="AM184" s="205"/>
      <c r="AN184" s="205"/>
      <c r="AO184" s="205"/>
      <c r="AP184" s="205"/>
      <c r="AQ184" s="205"/>
      <c r="AR184" s="205"/>
      <c r="AS184" s="205"/>
      <c r="AV184" s="205"/>
      <c r="AW184" s="205"/>
      <c r="AX184" s="205"/>
      <c r="AY184" s="205"/>
      <c r="AZ184" s="205"/>
      <c r="BA184" s="205"/>
      <c r="BB184" s="205"/>
      <c r="BD184" s="205"/>
      <c r="BF184" s="205"/>
      <c r="BG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  <c r="BY184" s="201"/>
      <c r="BZ184" s="201"/>
      <c r="CA184" s="201"/>
      <c r="CB184" s="201"/>
      <c r="CC184" s="201"/>
      <c r="CD184" s="201"/>
      <c r="CE184" s="201"/>
      <c r="CF184" s="201"/>
      <c r="CG184" s="201"/>
      <c r="CH184" s="201"/>
      <c r="CI184" s="201"/>
      <c r="CJ184" s="201"/>
      <c r="CK184" s="201"/>
      <c r="CL184" s="201"/>
      <c r="CM184" s="201"/>
      <c r="CN184" s="201"/>
      <c r="CO184" s="201"/>
      <c r="CP184" s="201"/>
      <c r="CQ184" s="201"/>
      <c r="CR184" s="201"/>
      <c r="CS184" s="201"/>
      <c r="CT184" s="201"/>
      <c r="CU184" s="201"/>
      <c r="CV184" s="201"/>
    </row>
    <row r="185" spans="1:100" x14ac:dyDescent="0.2">
      <c r="A185" s="219"/>
      <c r="B185" s="219"/>
      <c r="C185" s="205"/>
      <c r="D185" s="205"/>
      <c r="E185" s="192"/>
      <c r="F185" s="205"/>
      <c r="G185" s="205"/>
      <c r="H185" s="205"/>
      <c r="I185" s="205"/>
      <c r="J185"/>
      <c r="K185"/>
      <c r="L185" s="205"/>
      <c r="M185" s="205"/>
      <c r="N185" s="205"/>
      <c r="O185" s="192"/>
      <c r="P185" s="192"/>
      <c r="Q185" s="205"/>
      <c r="R185" s="205"/>
      <c r="W185" s="205"/>
      <c r="X185" s="205"/>
      <c r="Y185" s="205"/>
      <c r="Z185" s="205"/>
      <c r="AA185" s="205"/>
      <c r="AB185" s="205"/>
      <c r="AC185" s="205"/>
      <c r="AD185" s="205"/>
      <c r="AL185" s="205"/>
      <c r="AM185" s="205"/>
      <c r="AN185" s="205"/>
      <c r="AO185" s="205"/>
      <c r="AP185" s="205"/>
      <c r="AQ185" s="205"/>
      <c r="AR185" s="205"/>
      <c r="AS185" s="205"/>
      <c r="AV185" s="205"/>
      <c r="AW185" s="205"/>
      <c r="AX185" s="205"/>
      <c r="AY185" s="205"/>
      <c r="AZ185" s="205"/>
      <c r="BD185" s="205"/>
      <c r="BF185" s="205"/>
    </row>
    <row r="186" spans="1:100" x14ac:dyDescent="0.2">
      <c r="A186" s="219"/>
      <c r="B186" s="219"/>
      <c r="C186" s="205"/>
      <c r="D186" s="205"/>
      <c r="E186" s="192"/>
      <c r="F186" s="205"/>
      <c r="G186" s="205"/>
      <c r="H186" s="205"/>
      <c r="I186" s="205"/>
      <c r="J186"/>
      <c r="K186"/>
      <c r="L186" s="205"/>
      <c r="M186" s="205"/>
      <c r="N186" s="205"/>
      <c r="O186" s="192"/>
      <c r="P186" s="192"/>
      <c r="Q186" s="205"/>
      <c r="R186" s="205"/>
      <c r="W186" s="205"/>
      <c r="X186" s="205"/>
      <c r="Y186" s="205"/>
      <c r="Z186" s="205"/>
      <c r="AA186" s="205"/>
      <c r="AB186" s="205"/>
      <c r="AC186" s="205"/>
      <c r="AD186" s="205"/>
      <c r="AL186" s="205"/>
      <c r="AM186" s="205"/>
      <c r="AN186" s="205"/>
      <c r="AO186" s="205"/>
      <c r="AP186" s="205"/>
      <c r="AQ186" s="205"/>
      <c r="AR186" s="205"/>
      <c r="AS186" s="205"/>
      <c r="AV186" s="205"/>
      <c r="AW186" s="205"/>
      <c r="AX186" s="205"/>
      <c r="AY186" s="205"/>
      <c r="AZ186" s="205"/>
      <c r="BD186" s="205"/>
      <c r="BF186" s="205"/>
    </row>
    <row r="187" spans="1:100" x14ac:dyDescent="0.2">
      <c r="A187" s="219"/>
      <c r="B187" s="219"/>
      <c r="C187" s="205"/>
      <c r="D187" s="205"/>
      <c r="E187" s="192"/>
      <c r="F187" s="205"/>
      <c r="G187" s="205"/>
      <c r="H187" s="205"/>
      <c r="I187" s="205"/>
      <c r="J187"/>
      <c r="K187"/>
      <c r="L187" s="205"/>
      <c r="M187" s="205"/>
      <c r="N187" s="205"/>
      <c r="O187" s="192"/>
      <c r="P187" s="192"/>
      <c r="Q187" s="205"/>
      <c r="R187" s="205"/>
      <c r="W187" s="205"/>
      <c r="X187" s="205"/>
      <c r="Y187" s="205"/>
      <c r="Z187" s="205"/>
      <c r="AA187" s="205"/>
      <c r="AB187" s="205"/>
      <c r="AC187" s="205"/>
      <c r="AD187" s="205"/>
      <c r="AL187" s="205"/>
      <c r="AM187" s="205"/>
      <c r="AN187" s="205"/>
      <c r="AO187" s="205"/>
      <c r="AP187" s="205"/>
      <c r="AQ187" s="205"/>
      <c r="AR187" s="205"/>
      <c r="AS187" s="205"/>
      <c r="AV187" s="205"/>
      <c r="AW187" s="205"/>
      <c r="AX187" s="205"/>
      <c r="AY187" s="205"/>
      <c r="AZ187" s="205"/>
      <c r="BD187" s="205"/>
      <c r="BF187" s="205"/>
    </row>
    <row r="188" spans="1:100" x14ac:dyDescent="0.2">
      <c r="A188" s="219"/>
      <c r="B188" s="219"/>
      <c r="C188" s="205"/>
      <c r="D188" s="205"/>
      <c r="E188" s="192"/>
      <c r="F188" s="205"/>
      <c r="G188" s="205"/>
      <c r="H188" s="205"/>
      <c r="I188" s="205"/>
      <c r="J188"/>
      <c r="K188"/>
      <c r="L188" s="205"/>
      <c r="M188" s="205"/>
      <c r="N188" s="205"/>
      <c r="O188" s="192"/>
      <c r="P188" s="192"/>
      <c r="Q188" s="205"/>
      <c r="R188" s="205"/>
      <c r="W188" s="205"/>
      <c r="X188" s="205"/>
      <c r="Y188" s="205"/>
      <c r="Z188" s="205"/>
      <c r="AA188" s="205"/>
      <c r="AB188" s="205"/>
      <c r="AC188" s="205"/>
      <c r="AD188" s="205"/>
      <c r="AL188" s="205"/>
      <c r="AM188" s="205"/>
      <c r="AN188" s="205"/>
      <c r="AO188" s="205"/>
      <c r="AP188" s="205"/>
      <c r="AQ188" s="205"/>
      <c r="AR188" s="205"/>
      <c r="AS188" s="205"/>
      <c r="AV188" s="205"/>
      <c r="AW188" s="205"/>
      <c r="AX188" s="205"/>
      <c r="AY188" s="205"/>
      <c r="AZ188" s="205"/>
      <c r="BD188" s="205"/>
      <c r="BF188" s="205"/>
    </row>
    <row r="189" spans="1:100" x14ac:dyDescent="0.2">
      <c r="A189" s="219"/>
      <c r="B189" s="219"/>
      <c r="C189" s="205"/>
      <c r="D189" s="205"/>
      <c r="E189" s="192"/>
      <c r="F189" s="205"/>
      <c r="G189" s="205"/>
      <c r="H189" s="205"/>
      <c r="I189" s="205"/>
      <c r="J189"/>
      <c r="K189"/>
      <c r="L189" s="205"/>
      <c r="M189" s="205"/>
      <c r="N189" s="205"/>
      <c r="O189" s="192"/>
      <c r="P189" s="192"/>
      <c r="Q189" s="205"/>
      <c r="R189" s="205"/>
      <c r="W189" s="205"/>
      <c r="X189" s="205"/>
      <c r="Y189" s="205"/>
      <c r="Z189" s="205"/>
      <c r="AA189" s="205"/>
      <c r="AB189" s="205"/>
      <c r="AC189" s="205"/>
      <c r="AD189" s="205"/>
      <c r="AL189" s="205"/>
      <c r="AM189" s="205"/>
      <c r="AN189" s="205"/>
      <c r="AO189" s="205"/>
      <c r="AP189" s="205"/>
      <c r="AQ189" s="205"/>
      <c r="AR189" s="205"/>
      <c r="AS189" s="205"/>
      <c r="AV189" s="205"/>
      <c r="AW189" s="205"/>
      <c r="AX189" s="205"/>
      <c r="AY189" s="205"/>
      <c r="AZ189" s="205"/>
      <c r="BD189" s="205"/>
      <c r="BF189" s="205"/>
    </row>
    <row r="190" spans="1:100" x14ac:dyDescent="0.2">
      <c r="A190" s="219"/>
      <c r="B190" s="219"/>
      <c r="C190" s="205"/>
      <c r="D190" s="205"/>
      <c r="E190" s="192"/>
      <c r="F190" s="205"/>
      <c r="G190" s="205"/>
      <c r="H190" s="205"/>
      <c r="I190" s="205"/>
      <c r="J190"/>
      <c r="K190"/>
      <c r="L190" s="205"/>
      <c r="M190" s="205"/>
      <c r="N190" s="205"/>
      <c r="O190" s="192"/>
      <c r="P190" s="192"/>
      <c r="Q190" s="205"/>
      <c r="R190" s="205"/>
      <c r="W190" s="205"/>
      <c r="X190" s="205"/>
      <c r="Y190" s="205"/>
      <c r="Z190" s="205"/>
      <c r="AA190" s="205"/>
      <c r="AB190" s="205"/>
      <c r="AC190" s="205"/>
      <c r="AD190" s="205"/>
      <c r="AL190" s="205"/>
      <c r="AM190" s="205"/>
      <c r="AN190" s="205"/>
      <c r="AO190" s="205"/>
      <c r="AP190" s="205"/>
      <c r="AQ190" s="205"/>
      <c r="AR190" s="205"/>
      <c r="AS190" s="205"/>
      <c r="AV190" s="205"/>
      <c r="AW190" s="205"/>
      <c r="AX190" s="205"/>
      <c r="AY190" s="205"/>
      <c r="AZ190" s="205"/>
      <c r="BD190" s="205"/>
      <c r="BF190" s="205"/>
    </row>
    <row r="191" spans="1:100" x14ac:dyDescent="0.2">
      <c r="A191" s="219"/>
      <c r="B191" s="219"/>
      <c r="C191" s="205"/>
      <c r="D191" s="205"/>
      <c r="E191" s="192"/>
      <c r="F191" s="205"/>
      <c r="G191" s="205"/>
      <c r="H191" s="205"/>
      <c r="I191" s="205"/>
      <c r="J191"/>
      <c r="K191"/>
      <c r="L191" s="205"/>
      <c r="M191" s="205"/>
      <c r="N191" s="205"/>
      <c r="O191" s="192"/>
      <c r="P191" s="192"/>
      <c r="Q191" s="205"/>
      <c r="R191" s="205"/>
      <c r="W191" s="205"/>
      <c r="X191" s="205"/>
      <c r="Y191" s="205"/>
      <c r="Z191" s="205"/>
      <c r="AA191" s="205"/>
      <c r="AB191" s="205"/>
      <c r="AC191" s="205"/>
      <c r="AD191" s="205"/>
      <c r="AL191" s="205"/>
      <c r="AM191" s="205"/>
      <c r="AN191" s="205"/>
      <c r="AO191" s="205"/>
      <c r="AP191" s="205"/>
      <c r="AQ191" s="205"/>
      <c r="AR191" s="205"/>
      <c r="AS191" s="205"/>
      <c r="AV191" s="205"/>
      <c r="AW191" s="205"/>
      <c r="AX191" s="205"/>
      <c r="AY191" s="205"/>
      <c r="AZ191" s="205"/>
      <c r="BD191" s="205"/>
      <c r="BF191" s="205"/>
    </row>
    <row r="192" spans="1:100" x14ac:dyDescent="0.2">
      <c r="A192" s="219"/>
      <c r="B192" s="219"/>
      <c r="C192" s="205"/>
      <c r="D192" s="205"/>
      <c r="E192" s="192"/>
      <c r="F192" s="205"/>
      <c r="G192" s="205"/>
      <c r="H192" s="205"/>
      <c r="I192" s="205"/>
      <c r="J192"/>
      <c r="K192"/>
      <c r="L192" s="205"/>
      <c r="M192" s="205"/>
      <c r="N192" s="205"/>
      <c r="O192" s="192"/>
      <c r="P192" s="192"/>
      <c r="Q192" s="205"/>
      <c r="R192" s="205"/>
      <c r="W192" s="205"/>
      <c r="X192" s="205"/>
      <c r="Y192" s="205"/>
      <c r="Z192" s="205"/>
      <c r="AA192" s="205"/>
      <c r="AB192" s="205"/>
      <c r="AC192" s="205"/>
      <c r="AD192" s="205"/>
      <c r="AL192" s="205"/>
      <c r="AM192" s="205"/>
      <c r="AN192" s="205"/>
      <c r="AO192" s="205"/>
      <c r="AP192" s="205"/>
      <c r="AQ192" s="205"/>
      <c r="AR192" s="205"/>
      <c r="AS192" s="205"/>
      <c r="AV192" s="205"/>
      <c r="AW192" s="205"/>
      <c r="AX192" s="205"/>
      <c r="AY192" s="205"/>
      <c r="AZ192" s="205"/>
      <c r="BD192" s="205"/>
      <c r="BF192" s="205"/>
    </row>
    <row r="193" spans="1:100" x14ac:dyDescent="0.2">
      <c r="A193" s="219"/>
      <c r="B193" s="219"/>
      <c r="C193" s="205"/>
      <c r="D193" s="205"/>
      <c r="E193" s="192"/>
      <c r="F193" s="205"/>
      <c r="G193" s="205"/>
      <c r="H193" s="205"/>
      <c r="I193" s="205"/>
      <c r="J193"/>
      <c r="K193"/>
      <c r="L193" s="205"/>
      <c r="M193" s="205"/>
      <c r="N193" s="205"/>
      <c r="O193" s="192"/>
      <c r="P193" s="192"/>
      <c r="Q193" s="205"/>
      <c r="R193" s="205"/>
      <c r="W193" s="205"/>
      <c r="X193" s="205"/>
      <c r="Y193" s="205"/>
      <c r="Z193" s="205"/>
      <c r="AA193" s="205"/>
      <c r="AB193" s="205"/>
      <c r="AC193" s="205"/>
      <c r="AD193" s="205"/>
      <c r="AL193" s="205"/>
      <c r="AM193" s="205"/>
      <c r="AN193" s="205"/>
      <c r="AO193" s="205"/>
      <c r="AP193" s="205"/>
      <c r="AQ193" s="205"/>
      <c r="AR193" s="205"/>
      <c r="AS193" s="205"/>
      <c r="AV193" s="205"/>
      <c r="AW193" s="205"/>
      <c r="AX193" s="205"/>
      <c r="AY193" s="205"/>
      <c r="AZ193" s="205"/>
      <c r="BD193" s="205"/>
      <c r="BF193" s="205"/>
    </row>
    <row r="194" spans="1:100" x14ac:dyDescent="0.2">
      <c r="A194" s="219"/>
      <c r="B194" s="219"/>
      <c r="C194" s="205"/>
      <c r="D194" s="205"/>
      <c r="E194" s="192"/>
      <c r="F194" s="205"/>
      <c r="G194" s="205"/>
      <c r="H194" s="205"/>
      <c r="I194" s="205"/>
      <c r="J194"/>
      <c r="K194"/>
      <c r="L194" s="205"/>
      <c r="M194" s="205"/>
      <c r="N194" s="205"/>
      <c r="O194" s="192"/>
      <c r="P194" s="192"/>
      <c r="Q194" s="205"/>
      <c r="R194" s="205"/>
      <c r="W194" s="205"/>
      <c r="X194" s="205"/>
      <c r="Y194" s="205"/>
      <c r="Z194" s="205"/>
      <c r="AA194" s="205"/>
      <c r="AB194" s="205"/>
      <c r="AC194" s="205"/>
      <c r="AD194" s="205"/>
      <c r="AL194" s="205"/>
      <c r="AM194" s="205"/>
      <c r="AN194" s="205"/>
      <c r="AO194" s="205"/>
      <c r="AP194" s="205"/>
      <c r="AQ194" s="205"/>
      <c r="AR194" s="205"/>
      <c r="AS194" s="205"/>
      <c r="AV194" s="205"/>
      <c r="AW194" s="205"/>
      <c r="AX194" s="205"/>
      <c r="AY194" s="205"/>
      <c r="AZ194" s="205"/>
      <c r="BD194" s="205"/>
      <c r="BF194" s="205"/>
    </row>
    <row r="195" spans="1:100" x14ac:dyDescent="0.2">
      <c r="A195" s="219"/>
      <c r="B195" s="219"/>
      <c r="C195" s="205"/>
      <c r="D195" s="205"/>
      <c r="E195" s="192"/>
      <c r="F195" s="205"/>
      <c r="G195" s="205"/>
      <c r="H195" s="205"/>
      <c r="I195" s="205"/>
      <c r="J195"/>
      <c r="K195"/>
      <c r="L195" s="205"/>
      <c r="M195" s="205"/>
      <c r="N195" s="205"/>
      <c r="O195" s="192"/>
      <c r="P195" s="192"/>
      <c r="Q195" s="205"/>
      <c r="R195" s="205"/>
      <c r="W195" s="205"/>
      <c r="X195" s="205"/>
      <c r="Y195" s="205"/>
      <c r="Z195" s="205"/>
      <c r="AA195" s="205"/>
      <c r="AB195" s="205"/>
      <c r="AC195" s="205"/>
      <c r="AD195" s="205"/>
      <c r="AL195" s="205"/>
      <c r="AM195" s="205"/>
      <c r="AN195" s="205"/>
      <c r="AO195" s="205"/>
      <c r="AP195" s="205"/>
      <c r="AQ195" s="205"/>
      <c r="AR195" s="205"/>
      <c r="AS195" s="205"/>
      <c r="AV195" s="205"/>
      <c r="AW195" s="205"/>
      <c r="AX195" s="205"/>
      <c r="AY195" s="205"/>
      <c r="AZ195" s="205"/>
      <c r="BD195" s="205"/>
      <c r="BF195" s="205"/>
    </row>
    <row r="196" spans="1:100" x14ac:dyDescent="0.2">
      <c r="A196" s="219"/>
      <c r="B196" s="219"/>
      <c r="C196" s="205"/>
      <c r="D196" s="205"/>
      <c r="E196" s="192"/>
      <c r="F196" s="205"/>
      <c r="G196" s="205"/>
      <c r="H196" s="205"/>
      <c r="I196" s="205"/>
      <c r="J196"/>
      <c r="K196"/>
      <c r="L196" s="205"/>
      <c r="M196" s="205"/>
      <c r="N196" s="205"/>
      <c r="O196" s="192"/>
      <c r="P196" s="192"/>
      <c r="Q196" s="205"/>
      <c r="R196" s="205"/>
      <c r="W196" s="205"/>
      <c r="X196" s="205"/>
      <c r="Y196" s="205"/>
      <c r="Z196" s="205"/>
      <c r="AA196" s="205"/>
      <c r="AB196" s="205"/>
      <c r="AC196" s="205"/>
      <c r="AD196" s="205"/>
      <c r="AL196" s="205"/>
      <c r="AM196" s="205"/>
      <c r="AN196" s="205"/>
      <c r="AO196" s="205"/>
      <c r="AP196" s="205"/>
      <c r="AQ196" s="205"/>
      <c r="AR196" s="205"/>
      <c r="AS196" s="205"/>
      <c r="AV196" s="205"/>
      <c r="AW196" s="205"/>
      <c r="AX196" s="205"/>
      <c r="AY196" s="205"/>
      <c r="AZ196" s="205"/>
      <c r="BD196" s="205"/>
      <c r="BF196" s="205"/>
    </row>
    <row r="197" spans="1:100" x14ac:dyDescent="0.2">
      <c r="A197" s="219"/>
      <c r="B197" s="219"/>
      <c r="C197" s="205"/>
      <c r="D197" s="205"/>
      <c r="E197" s="192"/>
      <c r="F197" s="205"/>
      <c r="G197" s="205"/>
      <c r="H197" s="205"/>
      <c r="I197" s="205"/>
      <c r="J197" s="205"/>
      <c r="K197" s="205"/>
      <c r="L197" s="205"/>
      <c r="M197" s="205"/>
      <c r="N197" s="205"/>
      <c r="O197" s="192"/>
      <c r="P197" s="192"/>
      <c r="Q197" s="205"/>
      <c r="R197" s="205"/>
      <c r="W197" s="205"/>
      <c r="X197" s="205"/>
      <c r="Y197" s="205"/>
      <c r="Z197" s="205"/>
      <c r="AA197" s="205"/>
      <c r="AB197" s="205"/>
      <c r="AC197" s="205"/>
      <c r="AD197" s="205"/>
      <c r="AL197" s="205"/>
      <c r="AM197" s="205"/>
      <c r="AN197" s="205"/>
      <c r="AO197" s="205"/>
      <c r="AP197" s="205"/>
      <c r="AQ197" s="205"/>
      <c r="AR197" s="205"/>
      <c r="AS197" s="205"/>
      <c r="AV197" s="205"/>
      <c r="AW197" s="205"/>
      <c r="AX197" s="205"/>
      <c r="AY197" s="205"/>
      <c r="AZ197" s="205"/>
      <c r="BA197" s="205"/>
      <c r="BB197" s="205"/>
      <c r="BD197" s="205"/>
      <c r="BF197" s="205"/>
      <c r="BG197" s="201"/>
      <c r="BH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  <c r="BY197" s="201"/>
      <c r="BZ197" s="201"/>
      <c r="CA197" s="201"/>
      <c r="CB197" s="201"/>
      <c r="CC197" s="201"/>
      <c r="CD197" s="201"/>
      <c r="CE197" s="201"/>
      <c r="CF197" s="201"/>
      <c r="CG197" s="201"/>
      <c r="CH197" s="201"/>
      <c r="CI197" s="201"/>
      <c r="CJ197" s="201"/>
      <c r="CK197" s="201"/>
      <c r="CL197" s="201"/>
      <c r="CM197" s="201"/>
      <c r="CN197" s="201"/>
      <c r="CO197" s="201"/>
      <c r="CP197" s="201"/>
      <c r="CQ197" s="201"/>
      <c r="CR197" s="201"/>
      <c r="CS197" s="201"/>
      <c r="CT197" s="201"/>
      <c r="CU197" s="201"/>
      <c r="CV197" s="201"/>
    </row>
    <row r="198" spans="1:100" x14ac:dyDescent="0.2">
      <c r="A198" s="219"/>
      <c r="B198" s="219"/>
      <c r="C198" s="205"/>
      <c r="D198" s="205"/>
      <c r="E198" s="192"/>
      <c r="F198" s="205"/>
      <c r="G198" s="205"/>
      <c r="H198" s="205"/>
      <c r="I198" s="205"/>
      <c r="J198"/>
      <c r="K198"/>
      <c r="L198" s="205"/>
      <c r="M198" s="205"/>
      <c r="N198" s="205"/>
      <c r="O198" s="192"/>
      <c r="P198" s="192"/>
      <c r="Q198" s="205"/>
      <c r="R198" s="205"/>
      <c r="W198" s="205"/>
      <c r="X198" s="205"/>
      <c r="Y198" s="205"/>
      <c r="Z198" s="205"/>
      <c r="AA198" s="205"/>
      <c r="AB198" s="205"/>
      <c r="AC198" s="205"/>
      <c r="AD198" s="205"/>
      <c r="AL198" s="205"/>
      <c r="AM198" s="205"/>
      <c r="AN198" s="205"/>
      <c r="AO198" s="205"/>
      <c r="AP198" s="205"/>
      <c r="AQ198" s="205"/>
      <c r="AR198" s="205"/>
      <c r="AS198" s="205"/>
      <c r="AV198" s="205"/>
      <c r="AW198" s="205"/>
      <c r="AX198" s="205"/>
      <c r="AY198" s="205"/>
      <c r="AZ198" s="205"/>
      <c r="BD198" s="205"/>
      <c r="BF198" s="205"/>
    </row>
    <row r="199" spans="1:100" x14ac:dyDescent="0.2">
      <c r="A199" s="219"/>
      <c r="B199" s="219"/>
      <c r="C199" s="205"/>
      <c r="D199" s="205"/>
      <c r="E199" s="192"/>
      <c r="F199" s="205"/>
      <c r="G199" s="205"/>
      <c r="H199" s="205"/>
      <c r="I199" s="205"/>
      <c r="J199"/>
      <c r="K199"/>
      <c r="L199" s="205"/>
      <c r="M199" s="205"/>
      <c r="N199" s="205"/>
      <c r="O199" s="192"/>
      <c r="P199" s="192"/>
      <c r="Q199" s="205"/>
      <c r="R199" s="205"/>
      <c r="W199" s="205"/>
      <c r="X199" s="205"/>
      <c r="Y199" s="205"/>
      <c r="Z199" s="205"/>
      <c r="AA199" s="205"/>
      <c r="AB199" s="205"/>
      <c r="AC199" s="205"/>
      <c r="AD199" s="205"/>
      <c r="AL199" s="205"/>
      <c r="AM199" s="205"/>
      <c r="AN199" s="205"/>
      <c r="AO199" s="205"/>
      <c r="AP199" s="205"/>
      <c r="AQ199" s="205"/>
      <c r="AR199" s="205"/>
      <c r="AS199" s="205"/>
      <c r="AV199" s="205"/>
      <c r="AW199" s="205"/>
      <c r="AX199" s="205"/>
      <c r="AY199" s="205"/>
      <c r="AZ199" s="205"/>
      <c r="BD199" s="205"/>
      <c r="BF199" s="205"/>
    </row>
    <row r="200" spans="1:100" x14ac:dyDescent="0.2">
      <c r="A200" s="219"/>
      <c r="B200" s="219"/>
      <c r="C200" s="205"/>
      <c r="D200" s="205"/>
      <c r="E200" s="192"/>
      <c r="F200" s="205"/>
      <c r="G200" s="205"/>
      <c r="H200" s="205"/>
      <c r="I200" s="205"/>
      <c r="J200"/>
      <c r="K200"/>
      <c r="L200" s="205"/>
      <c r="M200" s="205"/>
      <c r="N200" s="205"/>
      <c r="O200" s="192"/>
      <c r="P200" s="192"/>
      <c r="Q200" s="205"/>
      <c r="R200" s="205"/>
      <c r="W200" s="205"/>
      <c r="X200" s="205"/>
      <c r="Y200" s="205"/>
      <c r="Z200" s="205"/>
      <c r="AA200" s="205"/>
      <c r="AB200" s="205"/>
      <c r="AC200" s="205"/>
      <c r="AD200" s="205"/>
      <c r="AL200" s="205"/>
      <c r="AM200" s="205"/>
      <c r="AN200" s="205"/>
      <c r="AO200" s="205"/>
      <c r="AP200" s="205"/>
      <c r="AQ200" s="205"/>
      <c r="AR200" s="205"/>
      <c r="AS200" s="205"/>
      <c r="AV200" s="205"/>
      <c r="AW200" s="205"/>
      <c r="AX200" s="205"/>
      <c r="AY200" s="205"/>
      <c r="AZ200" s="205"/>
      <c r="BD200" s="205"/>
      <c r="BF200" s="205"/>
    </row>
    <row r="201" spans="1:100" x14ac:dyDescent="0.2">
      <c r="A201" s="219"/>
      <c r="B201" s="219"/>
      <c r="C201" s="205"/>
      <c r="D201" s="205"/>
      <c r="E201" s="192"/>
      <c r="F201" s="205"/>
      <c r="G201" s="205"/>
      <c r="H201" s="205"/>
      <c r="I201" s="205"/>
      <c r="J201"/>
      <c r="K201"/>
      <c r="L201" s="205"/>
      <c r="M201" s="205"/>
      <c r="N201" s="205"/>
      <c r="O201" s="192"/>
      <c r="P201" s="192"/>
      <c r="Q201" s="205"/>
      <c r="R201" s="205"/>
      <c r="W201" s="205"/>
      <c r="X201" s="205"/>
      <c r="Y201" s="205"/>
      <c r="Z201" s="205"/>
      <c r="AA201" s="205"/>
      <c r="AB201" s="205"/>
      <c r="AC201" s="205"/>
      <c r="AD201" s="205"/>
      <c r="AL201" s="205"/>
      <c r="AM201" s="205"/>
      <c r="AN201" s="205"/>
      <c r="AO201" s="205"/>
      <c r="AP201" s="205"/>
      <c r="AQ201" s="205"/>
      <c r="AR201" s="205"/>
      <c r="AS201" s="205"/>
      <c r="AV201" s="205"/>
      <c r="AW201" s="205"/>
      <c r="AX201" s="205"/>
      <c r="AY201" s="205"/>
      <c r="AZ201" s="205"/>
      <c r="BD201" s="205"/>
      <c r="BF201" s="205"/>
    </row>
    <row r="202" spans="1:100" x14ac:dyDescent="0.2">
      <c r="A202" s="219"/>
      <c r="B202" s="219"/>
      <c r="C202" s="205"/>
      <c r="D202" s="205"/>
      <c r="E202" s="192"/>
      <c r="F202" s="205"/>
      <c r="G202" s="205"/>
      <c r="H202" s="205"/>
      <c r="I202" s="205"/>
      <c r="J202"/>
      <c r="K202"/>
      <c r="L202" s="205"/>
      <c r="M202" s="205"/>
      <c r="N202" s="205"/>
      <c r="O202" s="192"/>
      <c r="P202" s="192"/>
      <c r="Q202" s="205"/>
      <c r="R202" s="205"/>
      <c r="W202" s="205"/>
      <c r="X202" s="205"/>
      <c r="Y202" s="205"/>
      <c r="Z202" s="205"/>
      <c r="AA202" s="205"/>
      <c r="AB202" s="205"/>
      <c r="AC202" s="205"/>
      <c r="AD202" s="205"/>
      <c r="AL202" s="205"/>
      <c r="AM202" s="205"/>
      <c r="AN202" s="205"/>
      <c r="AO202" s="205"/>
      <c r="AP202" s="205"/>
      <c r="AQ202" s="205"/>
      <c r="AR202" s="205"/>
      <c r="AS202" s="205"/>
      <c r="AV202" s="205"/>
      <c r="AW202" s="205"/>
      <c r="AX202" s="205"/>
      <c r="AY202" s="205"/>
      <c r="AZ202" s="205"/>
      <c r="BD202" s="205"/>
      <c r="BF202" s="205"/>
    </row>
    <row r="203" spans="1:100" x14ac:dyDescent="0.2">
      <c r="A203" s="219"/>
      <c r="B203" s="219"/>
      <c r="C203" s="205"/>
      <c r="D203" s="205"/>
      <c r="E203" s="192"/>
      <c r="F203" s="205"/>
      <c r="G203" s="205"/>
      <c r="H203" s="205"/>
      <c r="I203" s="205"/>
      <c r="J203"/>
      <c r="K203"/>
      <c r="L203" s="205"/>
      <c r="M203" s="205"/>
      <c r="N203" s="205"/>
      <c r="O203" s="192"/>
      <c r="P203" s="192"/>
      <c r="Q203" s="205"/>
      <c r="R203" s="205"/>
      <c r="W203" s="205"/>
      <c r="X203" s="205"/>
      <c r="Y203" s="205"/>
      <c r="Z203" s="205"/>
      <c r="AA203" s="205"/>
      <c r="AB203" s="205"/>
      <c r="AC203" s="205"/>
      <c r="AD203" s="205"/>
      <c r="AL203" s="205"/>
      <c r="AM203" s="205"/>
      <c r="AN203" s="205"/>
      <c r="AO203" s="205"/>
      <c r="AP203" s="205"/>
      <c r="AQ203" s="205"/>
      <c r="AR203" s="205"/>
      <c r="AS203" s="205"/>
      <c r="AV203" s="205"/>
      <c r="AW203" s="205"/>
      <c r="AX203" s="205"/>
      <c r="AY203" s="205"/>
      <c r="AZ203" s="205"/>
      <c r="BD203" s="205"/>
      <c r="BF203" s="205"/>
    </row>
    <row r="204" spans="1:100" x14ac:dyDescent="0.2">
      <c r="A204" s="219"/>
      <c r="B204" s="219"/>
      <c r="C204" s="205"/>
      <c r="D204" s="205"/>
      <c r="E204" s="192"/>
      <c r="F204" s="205"/>
      <c r="G204" s="205"/>
      <c r="H204" s="205"/>
      <c r="I204" s="205"/>
      <c r="J204"/>
      <c r="K204"/>
      <c r="L204" s="205"/>
      <c r="M204" s="205"/>
      <c r="N204" s="205"/>
      <c r="O204" s="192"/>
      <c r="P204" s="192"/>
      <c r="Q204" s="205"/>
      <c r="R204" s="205"/>
      <c r="W204" s="205"/>
      <c r="X204" s="205"/>
      <c r="Y204" s="205"/>
      <c r="Z204" s="205"/>
      <c r="AA204" s="205"/>
      <c r="AB204" s="205"/>
      <c r="AC204" s="205"/>
      <c r="AD204" s="205"/>
      <c r="AL204" s="205"/>
      <c r="AM204" s="205"/>
      <c r="AN204" s="205"/>
      <c r="AO204" s="205"/>
      <c r="AP204" s="205"/>
      <c r="AQ204" s="205"/>
      <c r="AR204" s="205"/>
      <c r="AS204" s="205"/>
      <c r="AV204" s="205"/>
      <c r="AW204" s="205"/>
      <c r="AX204" s="205"/>
      <c r="AY204" s="205"/>
      <c r="AZ204" s="205"/>
      <c r="BD204" s="205"/>
      <c r="BF204" s="205"/>
    </row>
    <row r="205" spans="1:100" x14ac:dyDescent="0.2">
      <c r="A205" s="219"/>
      <c r="B205" s="219"/>
      <c r="C205" s="205"/>
      <c r="D205" s="205"/>
      <c r="E205" s="192"/>
      <c r="F205" s="205"/>
      <c r="G205" s="205"/>
      <c r="H205" s="205"/>
      <c r="I205" s="205"/>
      <c r="J205"/>
      <c r="K205"/>
      <c r="L205" s="205"/>
      <c r="M205" s="205"/>
      <c r="N205" s="205"/>
      <c r="O205" s="192"/>
      <c r="P205" s="192"/>
      <c r="Q205" s="205"/>
      <c r="R205" s="205"/>
      <c r="W205" s="205"/>
      <c r="X205" s="205"/>
      <c r="Y205" s="205"/>
      <c r="Z205" s="205"/>
      <c r="AA205" s="205"/>
      <c r="AB205" s="205"/>
      <c r="AC205" s="205"/>
      <c r="AD205" s="205"/>
      <c r="AL205" s="205"/>
      <c r="AM205" s="205"/>
      <c r="AN205" s="205"/>
      <c r="AO205" s="205"/>
      <c r="AP205" s="205"/>
      <c r="AQ205" s="205"/>
      <c r="AR205" s="205"/>
      <c r="AS205" s="205"/>
      <c r="AV205" s="205"/>
      <c r="AW205" s="205"/>
      <c r="AX205" s="205"/>
      <c r="AY205" s="205"/>
      <c r="AZ205" s="205"/>
      <c r="BD205" s="205"/>
      <c r="BF205" s="205"/>
    </row>
    <row r="206" spans="1:100" x14ac:dyDescent="0.2">
      <c r="A206" s="219"/>
      <c r="B206" s="219"/>
      <c r="C206" s="205"/>
      <c r="D206" s="205"/>
      <c r="E206" s="192"/>
      <c r="F206" s="205"/>
      <c r="G206" s="205"/>
      <c r="H206" s="205"/>
      <c r="I206" s="205"/>
      <c r="J206"/>
      <c r="K206"/>
      <c r="L206" s="205"/>
      <c r="M206" s="205"/>
      <c r="N206" s="205"/>
      <c r="O206" s="192"/>
      <c r="P206" s="192"/>
      <c r="Q206" s="205"/>
      <c r="R206" s="205"/>
      <c r="W206" s="205"/>
      <c r="X206" s="205"/>
      <c r="Y206" s="205"/>
      <c r="Z206" s="205"/>
      <c r="AA206" s="205"/>
      <c r="AB206" s="205"/>
      <c r="AC206" s="205"/>
      <c r="AD206" s="205"/>
      <c r="AL206" s="205"/>
      <c r="AM206" s="205"/>
      <c r="AN206" s="205"/>
      <c r="AO206" s="205"/>
      <c r="AP206" s="205"/>
      <c r="AQ206" s="205"/>
      <c r="AR206" s="205"/>
      <c r="AS206" s="205"/>
      <c r="AV206" s="205"/>
      <c r="AW206" s="205"/>
      <c r="AX206" s="205"/>
      <c r="AY206" s="205"/>
      <c r="AZ206" s="205"/>
      <c r="BD206" s="205"/>
      <c r="BF206" s="205"/>
    </row>
    <row r="207" spans="1:100" x14ac:dyDescent="0.2">
      <c r="A207" s="219"/>
      <c r="B207" s="219"/>
      <c r="C207" s="205"/>
      <c r="D207" s="205"/>
      <c r="E207" s="192"/>
      <c r="F207" s="205"/>
      <c r="G207" s="205"/>
      <c r="H207" s="205"/>
      <c r="I207" s="205"/>
      <c r="J207"/>
      <c r="K207"/>
      <c r="L207" s="205"/>
      <c r="M207" s="205"/>
      <c r="N207" s="205"/>
      <c r="O207" s="192"/>
      <c r="P207" s="192"/>
      <c r="Q207" s="205"/>
      <c r="R207" s="205"/>
      <c r="W207" s="205"/>
      <c r="X207" s="205"/>
      <c r="Y207" s="205"/>
      <c r="Z207" s="205"/>
      <c r="AA207" s="205"/>
      <c r="AB207" s="205"/>
      <c r="AC207" s="205"/>
      <c r="AD207" s="205"/>
      <c r="AL207" s="205"/>
      <c r="AM207" s="205"/>
      <c r="AN207" s="205"/>
      <c r="AO207" s="205"/>
      <c r="AP207" s="205"/>
      <c r="AQ207" s="205"/>
      <c r="AR207" s="205"/>
      <c r="AS207" s="205"/>
      <c r="AV207" s="205"/>
      <c r="AW207" s="205"/>
      <c r="AX207" s="205"/>
      <c r="AY207" s="205"/>
      <c r="AZ207" s="205"/>
      <c r="BD207" s="205"/>
      <c r="BF207" s="205"/>
    </row>
    <row r="208" spans="1:100" x14ac:dyDescent="0.2">
      <c r="A208" s="219"/>
      <c r="B208" s="219"/>
      <c r="C208" s="205"/>
      <c r="D208" s="205"/>
      <c r="E208" s="192"/>
      <c r="F208" s="205"/>
      <c r="G208" s="205"/>
      <c r="H208" s="205"/>
      <c r="I208" s="205"/>
      <c r="J208"/>
      <c r="K208"/>
      <c r="L208" s="205"/>
      <c r="M208" s="205"/>
      <c r="N208" s="205"/>
      <c r="O208" s="192"/>
      <c r="P208" s="192"/>
      <c r="Q208" s="205"/>
      <c r="R208" s="205"/>
      <c r="W208" s="205"/>
      <c r="X208" s="205"/>
      <c r="Y208" s="205"/>
      <c r="Z208" s="205"/>
      <c r="AA208" s="205"/>
      <c r="AB208" s="205"/>
      <c r="AC208" s="205"/>
      <c r="AD208" s="205"/>
      <c r="AL208" s="205"/>
      <c r="AM208" s="205"/>
      <c r="AN208" s="205"/>
      <c r="AO208" s="205"/>
      <c r="AP208" s="205"/>
      <c r="AQ208" s="205"/>
      <c r="AR208" s="205"/>
      <c r="AS208" s="205"/>
      <c r="AV208" s="205"/>
      <c r="AW208" s="205"/>
      <c r="AX208" s="205"/>
      <c r="AY208" s="205"/>
      <c r="AZ208" s="205"/>
      <c r="BD208" s="205"/>
      <c r="BF208" s="205"/>
    </row>
    <row r="209" spans="1:100" x14ac:dyDescent="0.2">
      <c r="A209" s="219"/>
      <c r="B209" s="219"/>
      <c r="C209" s="205"/>
      <c r="D209" s="205"/>
      <c r="E209" s="192"/>
      <c r="F209" s="205"/>
      <c r="G209" s="205"/>
      <c r="H209" s="205"/>
      <c r="I209" s="205"/>
      <c r="J209"/>
      <c r="K209"/>
      <c r="L209" s="205"/>
      <c r="M209" s="205"/>
      <c r="N209" s="205"/>
      <c r="O209" s="192"/>
      <c r="P209" s="192"/>
      <c r="Q209" s="205"/>
      <c r="R209" s="205"/>
      <c r="W209" s="205"/>
      <c r="X209" s="205"/>
      <c r="Y209" s="205"/>
      <c r="Z209" s="205"/>
      <c r="AA209" s="205"/>
      <c r="AB209" s="205"/>
      <c r="AC209" s="205"/>
      <c r="AD209" s="205"/>
      <c r="AL209" s="205"/>
      <c r="AM209" s="205"/>
      <c r="AN209" s="205"/>
      <c r="AO209" s="205"/>
      <c r="AP209" s="205"/>
      <c r="AQ209" s="205"/>
      <c r="AR209" s="205"/>
      <c r="AS209" s="205"/>
      <c r="AV209" s="205"/>
      <c r="AW209" s="205"/>
      <c r="AX209" s="205"/>
      <c r="AY209" s="205"/>
      <c r="AZ209" s="205"/>
      <c r="BD209" s="205"/>
      <c r="BF209" s="205"/>
    </row>
    <row r="210" spans="1:100" x14ac:dyDescent="0.2">
      <c r="A210" s="219"/>
      <c r="B210" s="219"/>
      <c r="C210" s="205"/>
      <c r="D210" s="205"/>
      <c r="E210" s="192"/>
      <c r="F210" s="205"/>
      <c r="G210" s="205"/>
      <c r="H210" s="205"/>
      <c r="I210" s="205"/>
      <c r="J210"/>
      <c r="K210"/>
      <c r="L210" s="205"/>
      <c r="M210" s="205"/>
      <c r="N210" s="205"/>
      <c r="O210" s="192"/>
      <c r="P210" s="192"/>
      <c r="Q210" s="205"/>
      <c r="R210" s="205"/>
      <c r="W210" s="205"/>
      <c r="X210" s="205"/>
      <c r="Y210" s="205"/>
      <c r="Z210" s="205"/>
      <c r="AA210" s="205"/>
      <c r="AB210" s="205"/>
      <c r="AC210" s="205"/>
      <c r="AD210" s="205"/>
      <c r="AL210" s="205"/>
      <c r="AM210" s="205"/>
      <c r="AN210" s="205"/>
      <c r="AO210" s="205"/>
      <c r="AP210" s="205"/>
      <c r="AQ210" s="205"/>
      <c r="AR210" s="205"/>
      <c r="AS210" s="205"/>
      <c r="AV210" s="205"/>
      <c r="AW210" s="205"/>
      <c r="AX210" s="205"/>
      <c r="AY210" s="205"/>
      <c r="AZ210" s="205"/>
      <c r="BD210" s="205"/>
      <c r="BF210" s="205"/>
    </row>
    <row r="211" spans="1:100" x14ac:dyDescent="0.2">
      <c r="A211" s="219"/>
      <c r="B211" s="219"/>
      <c r="C211" s="205"/>
      <c r="D211" s="205"/>
      <c r="E211" s="192"/>
      <c r="F211" s="205"/>
      <c r="G211" s="205"/>
      <c r="H211" s="205"/>
      <c r="I211" s="205"/>
      <c r="J211" s="205"/>
      <c r="K211" s="205"/>
      <c r="L211" s="205"/>
      <c r="M211" s="205"/>
      <c r="N211" s="205"/>
      <c r="O211" s="192"/>
      <c r="P211" s="192"/>
      <c r="Q211" s="205"/>
      <c r="R211" s="205"/>
      <c r="W211" s="205"/>
      <c r="X211" s="205"/>
      <c r="Y211" s="205"/>
      <c r="Z211" s="205"/>
      <c r="AA211" s="205"/>
      <c r="AB211" s="205"/>
      <c r="AC211" s="205"/>
      <c r="AD211" s="205"/>
      <c r="AL211" s="205"/>
      <c r="AM211" s="205"/>
      <c r="AN211" s="205"/>
      <c r="AO211" s="205"/>
      <c r="AP211" s="205"/>
      <c r="AQ211" s="205"/>
      <c r="AR211" s="205"/>
      <c r="AS211" s="205"/>
      <c r="AV211" s="205"/>
      <c r="AW211" s="205"/>
      <c r="AX211" s="205"/>
      <c r="AY211" s="205"/>
      <c r="AZ211" s="205"/>
      <c r="BA211" s="205"/>
      <c r="BB211" s="205"/>
      <c r="BD211" s="205"/>
      <c r="BF211" s="205"/>
      <c r="BG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  <c r="BY211" s="201"/>
      <c r="BZ211" s="201"/>
      <c r="CA211" s="201"/>
      <c r="CB211" s="201"/>
      <c r="CC211" s="201"/>
      <c r="CD211" s="201"/>
      <c r="CE211" s="201"/>
      <c r="CF211" s="201"/>
      <c r="CG211" s="201"/>
      <c r="CH211" s="201"/>
      <c r="CI211" s="201"/>
      <c r="CJ211" s="201"/>
      <c r="CK211" s="201"/>
      <c r="CL211" s="201"/>
      <c r="CM211" s="201"/>
      <c r="CN211" s="201"/>
      <c r="CO211" s="201"/>
      <c r="CP211" s="201"/>
      <c r="CQ211" s="201"/>
      <c r="CR211" s="201"/>
      <c r="CS211" s="201"/>
      <c r="CT211" s="201"/>
      <c r="CU211" s="201"/>
      <c r="CV211" s="201"/>
    </row>
    <row r="212" spans="1:100" x14ac:dyDescent="0.2">
      <c r="A212" s="219"/>
      <c r="B212" s="219"/>
      <c r="C212" s="205"/>
      <c r="D212" s="205"/>
      <c r="E212" s="192"/>
      <c r="F212" s="205"/>
      <c r="G212" s="205"/>
      <c r="H212" s="205"/>
      <c r="I212" s="205"/>
      <c r="J212"/>
      <c r="K212"/>
      <c r="L212" s="205"/>
      <c r="M212" s="205"/>
      <c r="N212" s="205"/>
      <c r="O212" s="192"/>
      <c r="P212" s="192"/>
      <c r="Q212" s="205"/>
      <c r="R212" s="205"/>
      <c r="W212" s="205"/>
      <c r="X212" s="205"/>
      <c r="Y212" s="205"/>
      <c r="Z212" s="205"/>
      <c r="AA212" s="205"/>
      <c r="AB212" s="205"/>
      <c r="AC212" s="205"/>
      <c r="AD212" s="205"/>
      <c r="AL212" s="205"/>
      <c r="AM212" s="205"/>
      <c r="AN212" s="205"/>
      <c r="AO212" s="205"/>
      <c r="AP212" s="205"/>
      <c r="AQ212" s="205"/>
      <c r="AR212" s="205"/>
      <c r="AS212" s="205"/>
      <c r="AV212" s="205"/>
      <c r="AW212" s="205"/>
      <c r="AX212" s="205"/>
      <c r="AY212" s="205"/>
      <c r="AZ212" s="205"/>
      <c r="BD212" s="205"/>
      <c r="BF212" s="205"/>
    </row>
    <row r="213" spans="1:100" x14ac:dyDescent="0.2">
      <c r="A213" s="219"/>
      <c r="B213" s="219"/>
      <c r="C213" s="205"/>
      <c r="D213" s="205"/>
      <c r="E213" s="192"/>
      <c r="F213" s="205"/>
      <c r="G213" s="205"/>
      <c r="H213" s="205"/>
      <c r="I213" s="205"/>
      <c r="J213"/>
      <c r="K213"/>
      <c r="L213" s="205"/>
      <c r="M213" s="205"/>
      <c r="N213" s="205"/>
      <c r="O213" s="192"/>
      <c r="P213" s="192"/>
      <c r="Q213" s="205"/>
      <c r="R213" s="205"/>
      <c r="W213" s="205"/>
      <c r="X213" s="205"/>
      <c r="Y213" s="205"/>
      <c r="Z213" s="205"/>
      <c r="AA213" s="205"/>
      <c r="AB213" s="205"/>
      <c r="AC213" s="205"/>
      <c r="AD213" s="205"/>
      <c r="AL213" s="205"/>
      <c r="AM213" s="205"/>
      <c r="AN213" s="205"/>
      <c r="AO213" s="205"/>
      <c r="AP213" s="205"/>
      <c r="AQ213" s="205"/>
      <c r="AR213" s="205"/>
      <c r="AS213" s="205"/>
      <c r="AV213" s="205"/>
      <c r="AW213" s="205"/>
      <c r="AX213" s="205"/>
      <c r="AY213" s="205"/>
      <c r="AZ213" s="205"/>
      <c r="BD213" s="205"/>
      <c r="BF213" s="205"/>
    </row>
    <row r="214" spans="1:100" x14ac:dyDescent="0.2">
      <c r="A214" s="219"/>
      <c r="B214" s="219"/>
      <c r="C214" s="205"/>
      <c r="D214" s="205"/>
      <c r="E214" s="192"/>
      <c r="F214" s="205"/>
      <c r="G214" s="205"/>
      <c r="H214" s="205"/>
      <c r="I214" s="205"/>
      <c r="J214"/>
      <c r="K214"/>
      <c r="L214" s="205"/>
      <c r="M214" s="205"/>
      <c r="N214" s="205"/>
      <c r="O214" s="192"/>
      <c r="P214" s="192"/>
      <c r="Q214" s="205"/>
      <c r="R214" s="205"/>
      <c r="W214" s="205"/>
      <c r="X214" s="205"/>
      <c r="Y214" s="205"/>
      <c r="Z214" s="205"/>
      <c r="AA214" s="205"/>
      <c r="AB214" s="205"/>
      <c r="AC214" s="205"/>
      <c r="AD214" s="205"/>
      <c r="AL214" s="205"/>
      <c r="AM214" s="205"/>
      <c r="AN214" s="205"/>
      <c r="AO214" s="205"/>
      <c r="AP214" s="205"/>
      <c r="AQ214" s="205"/>
      <c r="AR214" s="205"/>
      <c r="AS214" s="205"/>
      <c r="AV214" s="205"/>
      <c r="AW214" s="205"/>
      <c r="AX214" s="205"/>
      <c r="AY214" s="205"/>
      <c r="AZ214" s="205"/>
      <c r="BD214" s="205"/>
      <c r="BF214" s="205"/>
    </row>
    <row r="215" spans="1:100" x14ac:dyDescent="0.2">
      <c r="A215" s="219"/>
      <c r="B215" s="219"/>
      <c r="C215" s="205"/>
      <c r="D215" s="205"/>
      <c r="E215" s="192"/>
      <c r="F215" s="205"/>
      <c r="G215" s="205"/>
      <c r="H215" s="205"/>
      <c r="I215" s="205"/>
      <c r="J215"/>
      <c r="K215"/>
      <c r="L215" s="205"/>
      <c r="M215" s="205"/>
      <c r="N215" s="205"/>
      <c r="O215" s="192"/>
      <c r="P215" s="192"/>
      <c r="Q215" s="205"/>
      <c r="R215" s="205"/>
      <c r="W215" s="205"/>
      <c r="X215" s="205"/>
      <c r="Y215" s="205"/>
      <c r="Z215" s="205"/>
      <c r="AA215" s="205"/>
      <c r="AB215" s="205"/>
      <c r="AC215" s="205"/>
      <c r="AD215" s="205"/>
      <c r="AL215" s="205"/>
      <c r="AM215" s="205"/>
      <c r="AN215" s="205"/>
      <c r="AO215" s="205"/>
      <c r="AP215" s="205"/>
      <c r="AQ215" s="205"/>
      <c r="AR215" s="205"/>
      <c r="AS215" s="205"/>
      <c r="AV215" s="205"/>
      <c r="AW215" s="205"/>
      <c r="AX215" s="205"/>
      <c r="AY215" s="205"/>
      <c r="AZ215" s="205"/>
      <c r="BD215" s="205"/>
      <c r="BF215" s="205"/>
    </row>
    <row r="216" spans="1:100" x14ac:dyDescent="0.2">
      <c r="A216" s="219"/>
      <c r="B216" s="219"/>
      <c r="C216" s="205"/>
      <c r="D216" s="205"/>
      <c r="E216" s="192"/>
      <c r="F216" s="205"/>
      <c r="G216" s="205"/>
      <c r="H216" s="205"/>
      <c r="I216" s="205"/>
      <c r="J216"/>
      <c r="K216"/>
      <c r="L216" s="205"/>
      <c r="M216" s="205"/>
      <c r="N216" s="205"/>
      <c r="O216" s="192"/>
      <c r="P216" s="192"/>
      <c r="Q216" s="205"/>
      <c r="R216" s="205"/>
      <c r="W216" s="205"/>
      <c r="X216" s="205"/>
      <c r="Y216" s="205"/>
      <c r="Z216" s="205"/>
      <c r="AA216" s="205"/>
      <c r="AB216" s="205"/>
      <c r="AC216" s="205"/>
      <c r="AD216" s="205"/>
      <c r="AL216" s="205"/>
      <c r="AM216" s="205"/>
      <c r="AN216" s="205"/>
      <c r="AO216" s="205"/>
      <c r="AP216" s="205"/>
      <c r="AQ216" s="205"/>
      <c r="AR216" s="205"/>
      <c r="AS216" s="205"/>
      <c r="AV216" s="205"/>
      <c r="AW216" s="205"/>
      <c r="AX216" s="205"/>
      <c r="AY216" s="205"/>
      <c r="AZ216" s="205"/>
      <c r="BD216" s="205"/>
      <c r="BF216" s="205"/>
    </row>
    <row r="217" spans="1:100" x14ac:dyDescent="0.2">
      <c r="A217" s="219"/>
      <c r="B217" s="219"/>
      <c r="C217" s="205"/>
      <c r="D217" s="205"/>
      <c r="E217" s="192"/>
      <c r="F217" s="205"/>
      <c r="G217" s="205"/>
      <c r="H217" s="205"/>
      <c r="I217" s="205"/>
      <c r="J217"/>
      <c r="K217"/>
      <c r="L217" s="205"/>
      <c r="M217" s="205"/>
      <c r="N217" s="205"/>
      <c r="O217" s="192"/>
      <c r="P217" s="192"/>
      <c r="Q217" s="205"/>
      <c r="R217" s="205"/>
      <c r="W217" s="205"/>
      <c r="X217" s="205"/>
      <c r="Y217" s="205"/>
      <c r="Z217" s="205"/>
      <c r="AA217" s="205"/>
      <c r="AB217" s="205"/>
      <c r="AC217" s="205"/>
      <c r="AD217" s="205"/>
      <c r="AL217" s="205"/>
      <c r="AM217" s="205"/>
      <c r="AN217" s="205"/>
      <c r="AO217" s="205"/>
      <c r="AP217" s="205"/>
      <c r="AQ217" s="205"/>
      <c r="AR217" s="205"/>
      <c r="AS217" s="205"/>
      <c r="AV217" s="205"/>
      <c r="AW217" s="205"/>
      <c r="AX217" s="205"/>
      <c r="AY217" s="205"/>
      <c r="AZ217" s="205"/>
      <c r="BD217" s="205"/>
      <c r="BF217" s="205"/>
    </row>
    <row r="218" spans="1:100" x14ac:dyDescent="0.2">
      <c r="A218" s="219"/>
      <c r="B218" s="219"/>
      <c r="C218" s="205"/>
      <c r="D218" s="205"/>
      <c r="E218" s="192"/>
      <c r="F218" s="205"/>
      <c r="G218" s="205"/>
      <c r="H218" s="205"/>
      <c r="I218" s="205"/>
      <c r="J218"/>
      <c r="K218"/>
      <c r="L218" s="205"/>
      <c r="M218" s="205"/>
      <c r="N218" s="205"/>
      <c r="O218" s="192"/>
      <c r="P218" s="192"/>
      <c r="Q218" s="205"/>
      <c r="R218" s="205"/>
      <c r="W218" s="205"/>
      <c r="X218" s="205"/>
      <c r="Y218" s="205"/>
      <c r="Z218" s="205"/>
      <c r="AA218" s="205"/>
      <c r="AB218" s="205"/>
      <c r="AC218" s="205"/>
      <c r="AD218" s="205"/>
      <c r="AL218" s="205"/>
      <c r="AM218" s="205"/>
      <c r="AN218" s="205"/>
      <c r="AO218" s="205"/>
      <c r="AP218" s="205"/>
      <c r="AQ218" s="205"/>
      <c r="AR218" s="205"/>
      <c r="AS218" s="205"/>
      <c r="AV218" s="205"/>
      <c r="AW218" s="205"/>
      <c r="AX218" s="205"/>
      <c r="AY218" s="205"/>
      <c r="AZ218" s="205"/>
      <c r="BD218" s="205"/>
      <c r="BF218" s="205"/>
    </row>
    <row r="219" spans="1:100" x14ac:dyDescent="0.2">
      <c r="A219" s="219"/>
      <c r="B219" s="219"/>
      <c r="C219" s="205"/>
      <c r="D219" s="205"/>
      <c r="E219" s="192"/>
      <c r="F219" s="205"/>
      <c r="G219" s="205"/>
      <c r="H219" s="205"/>
      <c r="I219" s="205"/>
      <c r="J219"/>
      <c r="K219"/>
      <c r="L219" s="205"/>
      <c r="M219" s="205"/>
      <c r="N219" s="205"/>
      <c r="O219" s="192"/>
      <c r="P219" s="192"/>
      <c r="Q219" s="205"/>
      <c r="R219" s="205"/>
      <c r="W219" s="205"/>
      <c r="X219" s="205"/>
      <c r="Y219" s="205"/>
      <c r="Z219" s="205"/>
      <c r="AA219" s="205"/>
      <c r="AB219" s="205"/>
      <c r="AC219" s="205"/>
      <c r="AD219" s="205"/>
      <c r="AL219" s="205"/>
      <c r="AM219" s="205"/>
      <c r="AN219" s="205"/>
      <c r="AO219" s="205"/>
      <c r="AP219" s="205"/>
      <c r="AQ219" s="205"/>
      <c r="AR219" s="205"/>
      <c r="AS219" s="205"/>
      <c r="AV219" s="205"/>
      <c r="AW219" s="205"/>
      <c r="AX219" s="205"/>
      <c r="AY219" s="205"/>
      <c r="AZ219" s="205"/>
      <c r="BD219" s="205"/>
      <c r="BF219" s="205"/>
    </row>
    <row r="220" spans="1:100" x14ac:dyDescent="0.2">
      <c r="A220" s="219"/>
      <c r="B220" s="219"/>
      <c r="C220" s="205"/>
      <c r="D220" s="205"/>
      <c r="E220" s="192"/>
      <c r="F220" s="205"/>
      <c r="G220" s="205"/>
      <c r="H220" s="205"/>
      <c r="I220" s="205"/>
      <c r="J220"/>
      <c r="K220"/>
      <c r="L220" s="205"/>
      <c r="M220" s="205"/>
      <c r="N220" s="205"/>
      <c r="O220" s="192"/>
      <c r="P220" s="192"/>
      <c r="Q220" s="205"/>
      <c r="R220" s="205"/>
      <c r="W220" s="205"/>
      <c r="X220" s="205"/>
      <c r="Y220" s="205"/>
      <c r="Z220" s="205"/>
      <c r="AA220" s="205"/>
      <c r="AB220" s="205"/>
      <c r="AC220" s="205"/>
      <c r="AD220" s="205"/>
      <c r="AL220" s="205"/>
      <c r="AM220" s="205"/>
      <c r="AN220" s="205"/>
      <c r="AO220" s="205"/>
      <c r="AP220" s="205"/>
      <c r="AQ220" s="205"/>
      <c r="AR220" s="205"/>
      <c r="AS220" s="205"/>
      <c r="AV220" s="205"/>
      <c r="AW220" s="205"/>
      <c r="AX220" s="205"/>
      <c r="AY220" s="205"/>
      <c r="AZ220" s="205"/>
      <c r="BD220" s="205"/>
      <c r="BF220" s="205"/>
    </row>
    <row r="221" spans="1:100" x14ac:dyDescent="0.2">
      <c r="A221" s="219"/>
      <c r="B221" s="219"/>
      <c r="C221" s="205"/>
      <c r="D221" s="205"/>
      <c r="E221" s="192"/>
      <c r="F221" s="205"/>
      <c r="G221" s="205"/>
      <c r="H221" s="205"/>
      <c r="I221" s="205"/>
      <c r="J221"/>
      <c r="K221"/>
      <c r="L221" s="205"/>
      <c r="M221" s="205"/>
      <c r="N221" s="205"/>
      <c r="O221" s="192"/>
      <c r="P221" s="192"/>
      <c r="Q221" s="205"/>
      <c r="R221" s="205"/>
      <c r="W221" s="205"/>
      <c r="X221" s="205"/>
      <c r="Y221" s="205"/>
      <c r="Z221" s="205"/>
      <c r="AA221" s="205"/>
      <c r="AB221" s="205"/>
      <c r="AC221" s="205"/>
      <c r="AD221" s="205"/>
      <c r="AL221" s="205"/>
      <c r="AM221" s="205"/>
      <c r="AN221" s="205"/>
      <c r="AO221" s="205"/>
      <c r="AP221" s="205"/>
      <c r="AQ221" s="205"/>
      <c r="AR221" s="205"/>
      <c r="AS221" s="205"/>
      <c r="AV221" s="205"/>
      <c r="AW221" s="205"/>
      <c r="AX221" s="205"/>
      <c r="AY221" s="205"/>
      <c r="AZ221" s="205"/>
      <c r="BD221" s="205"/>
      <c r="BF221" s="205"/>
    </row>
    <row r="222" spans="1:100" x14ac:dyDescent="0.2">
      <c r="A222" s="219"/>
      <c r="B222" s="219"/>
      <c r="C222" s="205"/>
      <c r="D222" s="205"/>
      <c r="E222" s="192"/>
      <c r="F222" s="205"/>
      <c r="G222" s="205"/>
      <c r="H222" s="205"/>
      <c r="I222" s="205"/>
      <c r="J222"/>
      <c r="K222"/>
      <c r="L222" s="205"/>
      <c r="M222" s="205"/>
      <c r="N222" s="205"/>
      <c r="O222" s="192"/>
      <c r="P222" s="192"/>
      <c r="Q222" s="205"/>
      <c r="R222" s="205"/>
      <c r="W222" s="205"/>
      <c r="X222" s="205"/>
      <c r="Y222" s="205"/>
      <c r="Z222" s="205"/>
      <c r="AA222" s="205"/>
      <c r="AB222" s="205"/>
      <c r="AC222" s="205"/>
      <c r="AD222" s="205"/>
      <c r="AL222" s="205"/>
      <c r="AM222" s="205"/>
      <c r="AN222" s="205"/>
      <c r="AO222" s="205"/>
      <c r="AP222" s="205"/>
      <c r="AQ222" s="205"/>
      <c r="AR222" s="205"/>
      <c r="AS222" s="205"/>
      <c r="AV222" s="205"/>
      <c r="AW222" s="205"/>
      <c r="AX222" s="205"/>
      <c r="AY222" s="205"/>
      <c r="AZ222" s="205"/>
      <c r="BD222" s="205"/>
      <c r="BF222" s="205"/>
    </row>
    <row r="223" spans="1:100" x14ac:dyDescent="0.2">
      <c r="A223" s="219"/>
      <c r="B223" s="219"/>
      <c r="C223" s="205"/>
      <c r="D223" s="205"/>
      <c r="E223" s="192"/>
      <c r="F223" s="205"/>
      <c r="G223" s="205"/>
      <c r="H223" s="205"/>
      <c r="I223" s="205"/>
      <c r="J223"/>
      <c r="K223"/>
      <c r="L223" s="205"/>
      <c r="M223" s="205"/>
      <c r="N223" s="205"/>
      <c r="O223" s="192"/>
      <c r="P223" s="192"/>
      <c r="Q223" s="205"/>
      <c r="R223" s="205"/>
      <c r="W223" s="205"/>
      <c r="X223" s="205"/>
      <c r="Y223" s="205"/>
      <c r="Z223" s="205"/>
      <c r="AA223" s="205"/>
      <c r="AB223" s="205"/>
      <c r="AC223" s="205"/>
      <c r="AD223" s="205"/>
      <c r="AL223" s="205"/>
      <c r="AM223" s="205"/>
      <c r="AN223" s="205"/>
      <c r="AO223" s="205"/>
      <c r="AP223" s="205"/>
      <c r="AQ223" s="205"/>
      <c r="AR223" s="205"/>
      <c r="AS223" s="205"/>
      <c r="AV223" s="205"/>
      <c r="AW223" s="205"/>
      <c r="AX223" s="205"/>
      <c r="AY223" s="205"/>
      <c r="AZ223" s="205"/>
      <c r="BD223" s="205"/>
      <c r="BF223" s="205"/>
    </row>
    <row r="224" spans="1:100" x14ac:dyDescent="0.2">
      <c r="A224" s="219"/>
      <c r="B224" s="219"/>
      <c r="C224" s="205"/>
      <c r="D224" s="205"/>
      <c r="E224" s="192"/>
      <c r="F224" s="205"/>
      <c r="G224" s="205"/>
      <c r="H224" s="205"/>
      <c r="I224" s="205"/>
      <c r="J224"/>
      <c r="K224"/>
      <c r="L224" s="205"/>
      <c r="M224" s="205"/>
      <c r="N224" s="205"/>
      <c r="O224" s="192"/>
      <c r="P224" s="192"/>
      <c r="Q224" s="205"/>
      <c r="R224" s="205"/>
      <c r="W224" s="205"/>
      <c r="X224" s="205"/>
      <c r="Y224" s="205"/>
      <c r="Z224" s="205"/>
      <c r="AA224" s="205"/>
      <c r="AB224" s="205"/>
      <c r="AC224" s="205"/>
      <c r="AD224" s="205"/>
      <c r="AL224" s="205"/>
      <c r="AM224" s="205"/>
      <c r="AN224" s="205"/>
      <c r="AO224" s="205"/>
      <c r="AP224" s="205"/>
      <c r="AQ224" s="205"/>
      <c r="AR224" s="205"/>
      <c r="AS224" s="205"/>
      <c r="AV224" s="205"/>
      <c r="AW224" s="205"/>
      <c r="AX224" s="205"/>
      <c r="AY224" s="205"/>
      <c r="AZ224" s="205"/>
      <c r="BD224" s="205"/>
      <c r="BF224" s="205"/>
    </row>
    <row r="225" spans="1:100" x14ac:dyDescent="0.2">
      <c r="A225" s="219"/>
      <c r="B225" s="219"/>
      <c r="C225" s="205"/>
      <c r="D225" s="205"/>
      <c r="E225" s="192"/>
      <c r="F225" s="205"/>
      <c r="G225" s="205"/>
      <c r="H225" s="205"/>
      <c r="I225" s="205"/>
      <c r="J225"/>
      <c r="K225"/>
      <c r="L225" s="205"/>
      <c r="M225" s="205"/>
      <c r="N225" s="205"/>
      <c r="O225" s="192"/>
      <c r="P225" s="192"/>
      <c r="Q225" s="205"/>
      <c r="R225" s="205"/>
      <c r="W225" s="205"/>
      <c r="X225" s="205"/>
      <c r="Y225" s="205"/>
      <c r="Z225" s="205"/>
      <c r="AA225" s="205"/>
      <c r="AB225" s="205"/>
      <c r="AC225" s="205"/>
      <c r="AD225" s="205"/>
      <c r="AL225" s="205"/>
      <c r="AM225" s="205"/>
      <c r="AN225" s="205"/>
      <c r="AO225" s="205"/>
      <c r="AP225" s="205"/>
      <c r="AQ225" s="205"/>
      <c r="AR225" s="205"/>
      <c r="AS225" s="205"/>
      <c r="AV225" s="205"/>
      <c r="AW225" s="205"/>
      <c r="AX225" s="205"/>
      <c r="AY225" s="205"/>
      <c r="AZ225" s="205"/>
      <c r="BD225" s="205"/>
      <c r="BF225" s="205"/>
    </row>
    <row r="226" spans="1:100" x14ac:dyDescent="0.2">
      <c r="A226" s="219"/>
      <c r="B226" s="219"/>
      <c r="C226" s="205"/>
      <c r="D226" s="205"/>
      <c r="E226" s="192"/>
      <c r="F226" s="205"/>
      <c r="G226" s="205"/>
      <c r="H226" s="205"/>
      <c r="I226" s="205"/>
      <c r="J226"/>
      <c r="K226"/>
      <c r="L226" s="205"/>
      <c r="M226" s="205"/>
      <c r="N226" s="205"/>
      <c r="O226" s="192"/>
      <c r="P226" s="192"/>
      <c r="Q226" s="205"/>
      <c r="R226" s="205"/>
      <c r="W226" s="205"/>
      <c r="X226" s="205"/>
      <c r="Y226" s="205"/>
      <c r="Z226" s="205"/>
      <c r="AA226" s="205"/>
      <c r="AB226" s="205"/>
      <c r="AC226" s="205"/>
      <c r="AD226" s="205"/>
      <c r="AL226" s="205"/>
      <c r="AM226" s="205"/>
      <c r="AN226" s="205"/>
      <c r="AO226" s="205"/>
      <c r="AP226" s="205"/>
      <c r="AQ226" s="205"/>
      <c r="AR226" s="205"/>
      <c r="AS226" s="205"/>
      <c r="AV226" s="205"/>
      <c r="AW226" s="205"/>
      <c r="AX226" s="205"/>
      <c r="AY226" s="205"/>
      <c r="AZ226" s="205"/>
      <c r="BD226" s="205"/>
      <c r="BF226" s="205"/>
    </row>
    <row r="227" spans="1:100" x14ac:dyDescent="0.2">
      <c r="A227" s="219"/>
      <c r="B227" s="219"/>
      <c r="C227" s="205"/>
      <c r="D227" s="205"/>
      <c r="E227" s="192"/>
      <c r="F227" s="205"/>
      <c r="G227" s="205"/>
      <c r="H227" s="205"/>
      <c r="I227" s="205"/>
      <c r="J227"/>
      <c r="K227"/>
      <c r="L227" s="205"/>
      <c r="M227" s="205"/>
      <c r="N227" s="205"/>
      <c r="O227" s="192"/>
      <c r="P227" s="192"/>
      <c r="Q227" s="205"/>
      <c r="R227" s="205"/>
      <c r="W227" s="205"/>
      <c r="X227" s="205"/>
      <c r="Y227" s="205"/>
      <c r="Z227" s="205"/>
      <c r="AA227" s="205"/>
      <c r="AB227" s="205"/>
      <c r="AC227" s="205"/>
      <c r="AD227" s="205"/>
      <c r="AL227" s="205"/>
      <c r="AM227" s="205"/>
      <c r="AN227" s="205"/>
      <c r="AO227" s="205"/>
      <c r="AP227" s="205"/>
      <c r="AQ227" s="205"/>
      <c r="AR227" s="205"/>
      <c r="AS227" s="205"/>
      <c r="AV227" s="205"/>
      <c r="AW227" s="205"/>
      <c r="AX227" s="205"/>
      <c r="AY227" s="205"/>
      <c r="AZ227" s="205"/>
      <c r="BD227" s="205"/>
      <c r="BF227" s="205"/>
    </row>
    <row r="228" spans="1:100" x14ac:dyDescent="0.2">
      <c r="A228" s="219"/>
      <c r="B228" s="219"/>
      <c r="C228" s="205"/>
      <c r="D228" s="205"/>
      <c r="E228" s="192"/>
      <c r="F228" s="205"/>
      <c r="G228" s="205"/>
      <c r="H228" s="205"/>
      <c r="I228" s="205"/>
      <c r="J228"/>
      <c r="K228"/>
      <c r="L228" s="205"/>
      <c r="M228" s="205"/>
      <c r="N228" s="205"/>
      <c r="O228" s="192"/>
      <c r="P228" s="192"/>
      <c r="Q228" s="205"/>
      <c r="R228" s="205"/>
      <c r="W228" s="205"/>
      <c r="X228" s="205"/>
      <c r="Y228" s="205"/>
      <c r="Z228" s="205"/>
      <c r="AA228" s="205"/>
      <c r="AB228" s="205"/>
      <c r="AC228" s="205"/>
      <c r="AD228" s="205"/>
      <c r="AL228" s="205"/>
      <c r="AM228" s="205"/>
      <c r="AN228" s="205"/>
      <c r="AO228" s="205"/>
      <c r="AP228" s="205"/>
      <c r="AQ228" s="205"/>
      <c r="AR228" s="205"/>
      <c r="AS228" s="205"/>
      <c r="AV228" s="205"/>
      <c r="AW228" s="205"/>
      <c r="AX228" s="205"/>
      <c r="AY228" s="205"/>
      <c r="AZ228" s="205"/>
      <c r="BD228" s="205"/>
      <c r="BF228" s="205"/>
    </row>
    <row r="229" spans="1:100" x14ac:dyDescent="0.2">
      <c r="A229" s="219"/>
      <c r="B229" s="219"/>
      <c r="C229" s="205"/>
      <c r="D229" s="205"/>
      <c r="E229" s="192"/>
      <c r="F229" s="205"/>
      <c r="G229" s="205"/>
      <c r="H229" s="205"/>
      <c r="I229" s="205"/>
      <c r="J229" s="205"/>
      <c r="K229" s="205"/>
      <c r="L229" s="205"/>
      <c r="M229" s="205"/>
      <c r="N229" s="205"/>
      <c r="O229" s="192"/>
      <c r="P229" s="192"/>
      <c r="Q229" s="205"/>
      <c r="R229" s="205"/>
      <c r="W229" s="205"/>
      <c r="X229" s="205"/>
      <c r="Y229" s="205"/>
      <c r="Z229" s="205"/>
      <c r="AA229" s="205"/>
      <c r="AB229" s="205"/>
      <c r="AC229" s="205"/>
      <c r="AD229" s="205"/>
      <c r="AL229" s="205"/>
      <c r="AM229" s="205"/>
      <c r="AN229" s="205"/>
      <c r="AO229" s="205"/>
      <c r="AP229" s="205"/>
      <c r="AQ229" s="205"/>
      <c r="AR229" s="205"/>
      <c r="AS229" s="205"/>
      <c r="AV229" s="205"/>
      <c r="AW229" s="205"/>
      <c r="AX229" s="205"/>
      <c r="AY229" s="205"/>
      <c r="AZ229" s="205"/>
      <c r="BA229" s="205"/>
      <c r="BB229" s="205"/>
      <c r="BD229" s="205"/>
      <c r="BF229" s="205"/>
      <c r="BG229" s="201"/>
      <c r="BJ229" s="201"/>
      <c r="BK229" s="201"/>
      <c r="BL229" s="201"/>
      <c r="BM229" s="201"/>
      <c r="BN229" s="201"/>
      <c r="BO229" s="201"/>
      <c r="BP229" s="201"/>
      <c r="BQ229" s="201"/>
      <c r="BR229" s="201"/>
      <c r="BS229" s="201"/>
      <c r="BT229" s="201"/>
      <c r="BU229" s="201"/>
      <c r="BV229" s="201"/>
      <c r="BW229" s="201"/>
      <c r="BX229" s="201"/>
      <c r="BY229" s="201"/>
      <c r="BZ229" s="201"/>
      <c r="CA229" s="201"/>
      <c r="CB229" s="201"/>
      <c r="CC229" s="201"/>
      <c r="CD229" s="201"/>
      <c r="CE229" s="201"/>
      <c r="CF229" s="201"/>
      <c r="CG229" s="201"/>
      <c r="CH229" s="201"/>
      <c r="CI229" s="201"/>
      <c r="CK229" s="201"/>
      <c r="CL229" s="201"/>
      <c r="CM229" s="201"/>
      <c r="CN229" s="201"/>
      <c r="CO229" s="201"/>
      <c r="CP229" s="201"/>
      <c r="CQ229" s="201"/>
      <c r="CR229" s="201"/>
      <c r="CS229" s="201"/>
      <c r="CT229" s="201"/>
      <c r="CU229" s="201"/>
      <c r="CV229" s="201"/>
    </row>
    <row r="230" spans="1:100" x14ac:dyDescent="0.2">
      <c r="A230" s="219"/>
      <c r="B230" s="219"/>
      <c r="C230" s="205"/>
      <c r="D230" s="205"/>
      <c r="E230" s="192"/>
      <c r="F230" s="205"/>
      <c r="G230" s="205"/>
      <c r="H230" s="205"/>
      <c r="I230" s="205"/>
      <c r="J230"/>
      <c r="K230"/>
      <c r="L230" s="205"/>
      <c r="M230" s="205"/>
      <c r="N230" s="205"/>
      <c r="O230" s="192"/>
      <c r="P230" s="192"/>
      <c r="Q230" s="205"/>
      <c r="R230" s="205"/>
      <c r="W230" s="205"/>
      <c r="X230" s="205"/>
      <c r="Y230" s="205"/>
      <c r="Z230" s="205"/>
      <c r="AA230" s="205"/>
      <c r="AB230" s="205"/>
      <c r="AC230" s="205"/>
      <c r="AD230" s="205"/>
      <c r="AL230" s="205"/>
      <c r="AM230" s="205"/>
      <c r="AN230" s="205"/>
      <c r="AO230" s="205"/>
      <c r="AP230" s="205"/>
      <c r="AQ230" s="205"/>
      <c r="AR230" s="205"/>
      <c r="AS230" s="205"/>
      <c r="AV230" s="205"/>
      <c r="AW230" s="205"/>
      <c r="AX230" s="205"/>
      <c r="AY230" s="205"/>
      <c r="AZ230" s="205"/>
      <c r="BD230" s="205"/>
      <c r="BF230" s="205"/>
    </row>
    <row r="231" spans="1:100" x14ac:dyDescent="0.2">
      <c r="A231" s="219"/>
      <c r="B231" s="219"/>
      <c r="C231" s="205"/>
      <c r="D231" s="205"/>
      <c r="E231" s="192"/>
      <c r="F231" s="205"/>
      <c r="G231" s="205"/>
      <c r="H231" s="205"/>
      <c r="I231" s="205"/>
      <c r="J231"/>
      <c r="K231"/>
      <c r="L231" s="205"/>
      <c r="M231" s="205"/>
      <c r="N231" s="205"/>
      <c r="O231" s="192"/>
      <c r="P231" s="192"/>
      <c r="Q231" s="205"/>
      <c r="R231" s="205"/>
      <c r="W231" s="205"/>
      <c r="X231" s="205"/>
      <c r="Y231" s="205"/>
      <c r="Z231" s="205"/>
      <c r="AA231" s="205"/>
      <c r="AB231" s="205"/>
      <c r="AC231" s="205"/>
      <c r="AD231" s="205"/>
      <c r="AL231" s="205"/>
      <c r="AM231" s="205"/>
      <c r="AN231" s="205"/>
      <c r="AO231" s="205"/>
      <c r="AP231" s="205"/>
      <c r="AQ231" s="205"/>
      <c r="AR231" s="205"/>
      <c r="AS231" s="205"/>
      <c r="AV231" s="205"/>
      <c r="AW231" s="205"/>
      <c r="AX231" s="205"/>
      <c r="AY231" s="205"/>
      <c r="AZ231" s="205"/>
      <c r="BD231" s="205"/>
      <c r="BF231" s="205"/>
    </row>
    <row r="232" spans="1:100" x14ac:dyDescent="0.2">
      <c r="A232" s="219"/>
      <c r="B232" s="219"/>
      <c r="C232" s="205"/>
      <c r="D232" s="205"/>
      <c r="E232" s="192"/>
      <c r="F232" s="205"/>
      <c r="G232" s="205"/>
      <c r="H232" s="205"/>
      <c r="I232" s="205"/>
      <c r="J232"/>
      <c r="K232"/>
      <c r="L232" s="205"/>
      <c r="M232" s="205"/>
      <c r="N232" s="205"/>
      <c r="O232" s="192"/>
      <c r="P232" s="192"/>
      <c r="Q232" s="205"/>
      <c r="R232" s="205"/>
      <c r="W232" s="205"/>
      <c r="X232" s="205"/>
      <c r="Y232" s="205"/>
      <c r="Z232" s="205"/>
      <c r="AA232" s="205"/>
      <c r="AB232" s="205"/>
      <c r="AC232" s="205"/>
      <c r="AD232" s="205"/>
      <c r="AL232" s="205"/>
      <c r="AM232" s="205"/>
      <c r="AN232" s="205"/>
      <c r="AO232" s="205"/>
      <c r="AP232" s="205"/>
      <c r="AQ232" s="205"/>
      <c r="AR232" s="205"/>
      <c r="AS232" s="205"/>
      <c r="AV232" s="205"/>
      <c r="AW232" s="205"/>
      <c r="AX232" s="205"/>
      <c r="AY232" s="205"/>
      <c r="AZ232" s="205"/>
      <c r="BD232" s="205"/>
      <c r="BF232" s="205"/>
    </row>
    <row r="233" spans="1:100" x14ac:dyDescent="0.2">
      <c r="A233" s="219"/>
      <c r="B233" s="219"/>
      <c r="C233" s="205"/>
      <c r="D233" s="205"/>
      <c r="E233" s="192"/>
      <c r="F233" s="205"/>
      <c r="G233" s="205"/>
      <c r="H233" s="205"/>
      <c r="I233" s="205"/>
      <c r="J233"/>
      <c r="K233"/>
      <c r="L233" s="205"/>
      <c r="M233" s="205"/>
      <c r="N233" s="205"/>
      <c r="O233" s="192"/>
      <c r="P233" s="192"/>
      <c r="Q233" s="205"/>
      <c r="R233" s="205"/>
      <c r="W233" s="205"/>
      <c r="X233" s="205"/>
      <c r="Y233" s="205"/>
      <c r="Z233" s="205"/>
      <c r="AA233" s="205"/>
      <c r="AB233" s="205"/>
      <c r="AC233" s="205"/>
      <c r="AD233" s="205"/>
      <c r="AL233" s="205"/>
      <c r="AM233" s="205"/>
      <c r="AN233" s="205"/>
      <c r="AO233" s="205"/>
      <c r="AP233" s="205"/>
      <c r="AQ233" s="205"/>
      <c r="AR233" s="205"/>
      <c r="AS233" s="205"/>
      <c r="AV233" s="205"/>
      <c r="AW233" s="205"/>
      <c r="AX233" s="205"/>
      <c r="AY233" s="205"/>
      <c r="AZ233" s="205"/>
      <c r="BD233" s="205"/>
      <c r="BF233" s="205"/>
    </row>
    <row r="234" spans="1:100" x14ac:dyDescent="0.2">
      <c r="A234" s="219"/>
      <c r="B234" s="219"/>
      <c r="C234" s="205"/>
      <c r="D234" s="205"/>
      <c r="E234" s="192"/>
      <c r="F234" s="205"/>
      <c r="G234" s="205"/>
      <c r="H234" s="205"/>
      <c r="I234" s="205"/>
      <c r="J234"/>
      <c r="K234"/>
      <c r="L234" s="205"/>
      <c r="M234" s="205"/>
      <c r="N234" s="205"/>
      <c r="O234" s="192"/>
      <c r="P234" s="192"/>
      <c r="Q234" s="205"/>
      <c r="R234" s="205"/>
      <c r="W234" s="205"/>
      <c r="X234" s="205"/>
      <c r="Y234" s="205"/>
      <c r="Z234" s="205"/>
      <c r="AA234" s="205"/>
      <c r="AB234" s="205"/>
      <c r="AC234" s="205"/>
      <c r="AD234" s="205"/>
      <c r="AL234" s="205"/>
      <c r="AM234" s="205"/>
      <c r="AN234" s="205"/>
      <c r="AO234" s="205"/>
      <c r="AP234" s="205"/>
      <c r="AQ234" s="205"/>
      <c r="AR234" s="205"/>
      <c r="AS234" s="205"/>
      <c r="AV234" s="205"/>
      <c r="AW234" s="205"/>
      <c r="AX234" s="205"/>
      <c r="AY234" s="205"/>
      <c r="AZ234" s="205"/>
      <c r="BD234" s="205"/>
      <c r="BF234" s="205"/>
    </row>
    <row r="235" spans="1:100" x14ac:dyDescent="0.2">
      <c r="A235" s="219"/>
      <c r="B235" s="219"/>
      <c r="C235" s="205"/>
      <c r="D235" s="205"/>
      <c r="E235" s="192"/>
      <c r="F235" s="205"/>
      <c r="G235" s="205"/>
      <c r="H235" s="205"/>
      <c r="I235" s="205"/>
      <c r="J235"/>
      <c r="K235"/>
      <c r="L235" s="205"/>
      <c r="M235" s="205"/>
      <c r="N235" s="205"/>
      <c r="O235" s="192"/>
      <c r="P235" s="192"/>
      <c r="Q235" s="205"/>
      <c r="R235" s="205"/>
      <c r="W235" s="205"/>
      <c r="X235" s="205"/>
      <c r="Y235" s="205"/>
      <c r="Z235" s="205"/>
      <c r="AA235" s="205"/>
      <c r="AB235" s="205"/>
      <c r="AC235" s="205"/>
      <c r="AD235" s="205"/>
      <c r="AL235" s="205"/>
      <c r="AM235" s="205"/>
      <c r="AN235" s="205"/>
      <c r="AO235" s="205"/>
      <c r="AP235" s="205"/>
      <c r="AQ235" s="205"/>
      <c r="AR235" s="205"/>
      <c r="AS235" s="205"/>
      <c r="AV235" s="205"/>
      <c r="AW235" s="205"/>
      <c r="AX235" s="205"/>
      <c r="AY235" s="205"/>
      <c r="AZ235" s="205"/>
      <c r="BD235" s="205"/>
      <c r="BF235" s="205"/>
    </row>
    <row r="236" spans="1:100" x14ac:dyDescent="0.2">
      <c r="A236" s="219"/>
      <c r="B236" s="219"/>
      <c r="C236" s="205"/>
      <c r="D236" s="205"/>
      <c r="E236" s="192"/>
      <c r="F236" s="205"/>
      <c r="G236" s="205"/>
      <c r="H236" s="205"/>
      <c r="I236" s="205"/>
      <c r="J236"/>
      <c r="K236"/>
      <c r="L236" s="205"/>
      <c r="M236" s="205"/>
      <c r="N236" s="205"/>
      <c r="O236" s="192"/>
      <c r="P236" s="192"/>
      <c r="Q236" s="205"/>
      <c r="R236" s="205"/>
      <c r="W236" s="205"/>
      <c r="X236" s="205"/>
      <c r="Y236" s="205"/>
      <c r="Z236" s="205"/>
      <c r="AA236" s="205"/>
      <c r="AB236" s="205"/>
      <c r="AC236" s="205"/>
      <c r="AD236" s="205"/>
      <c r="AL236" s="205"/>
      <c r="AM236" s="205"/>
      <c r="AN236" s="205"/>
      <c r="AO236" s="205"/>
      <c r="AP236" s="205"/>
      <c r="AQ236" s="205"/>
      <c r="AR236" s="205"/>
      <c r="AS236" s="205"/>
      <c r="AV236" s="205"/>
      <c r="AW236" s="205"/>
      <c r="AX236" s="205"/>
      <c r="AY236" s="205"/>
      <c r="AZ236" s="205"/>
      <c r="BD236" s="205"/>
      <c r="BF236" s="205"/>
    </row>
    <row r="237" spans="1:100" x14ac:dyDescent="0.2">
      <c r="A237" s="219"/>
      <c r="B237" s="219"/>
      <c r="C237" s="205"/>
      <c r="D237" s="205"/>
      <c r="E237" s="192"/>
      <c r="F237" s="205"/>
      <c r="G237" s="205"/>
      <c r="H237" s="205"/>
      <c r="I237" s="205"/>
      <c r="J237" s="205"/>
      <c r="K237" s="205"/>
      <c r="L237" s="205"/>
      <c r="M237" s="205"/>
      <c r="N237" s="205"/>
      <c r="O237" s="192"/>
      <c r="P237" s="192"/>
      <c r="Q237" s="205"/>
      <c r="R237" s="205"/>
      <c r="W237" s="205"/>
      <c r="X237" s="205"/>
      <c r="Y237" s="205"/>
      <c r="Z237" s="205"/>
      <c r="AA237" s="205"/>
      <c r="AB237" s="205"/>
      <c r="AC237" s="205"/>
      <c r="AD237" s="205"/>
      <c r="AL237" s="205"/>
      <c r="AM237" s="205"/>
      <c r="AN237" s="205"/>
      <c r="AO237" s="205"/>
      <c r="AP237" s="205"/>
      <c r="AQ237" s="205"/>
      <c r="AR237" s="205"/>
      <c r="AS237" s="205"/>
      <c r="AV237" s="205"/>
      <c r="AW237" s="205"/>
      <c r="AX237" s="205"/>
      <c r="AY237" s="205"/>
      <c r="AZ237" s="205"/>
      <c r="BA237" s="205"/>
      <c r="BB237" s="205"/>
      <c r="BD237" s="205"/>
      <c r="BF237" s="205"/>
      <c r="BG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  <c r="CF237" s="201"/>
      <c r="CG237" s="201"/>
      <c r="CH237" s="201"/>
      <c r="CI237" s="201"/>
      <c r="CJ237" s="201"/>
      <c r="CK237" s="201"/>
      <c r="CL237" s="201"/>
      <c r="CM237" s="201"/>
      <c r="CN237" s="201"/>
      <c r="CO237" s="201"/>
      <c r="CP237" s="201"/>
      <c r="CQ237" s="201"/>
      <c r="CR237" s="201"/>
      <c r="CS237" s="201"/>
      <c r="CT237" s="201"/>
      <c r="CU237" s="201"/>
      <c r="CV237" s="201"/>
    </row>
    <row r="238" spans="1:100" x14ac:dyDescent="0.2">
      <c r="A238" s="219"/>
      <c r="B238" s="219"/>
      <c r="C238" s="205"/>
      <c r="D238" s="205"/>
      <c r="E238" s="192"/>
      <c r="F238" s="205"/>
      <c r="G238" s="205"/>
      <c r="H238" s="205"/>
      <c r="I238" s="205"/>
      <c r="J238"/>
      <c r="K238"/>
      <c r="L238" s="205"/>
      <c r="M238" s="205"/>
      <c r="N238" s="205"/>
      <c r="O238" s="192"/>
      <c r="P238" s="192"/>
      <c r="Q238" s="205"/>
      <c r="R238" s="205"/>
      <c r="W238" s="205"/>
      <c r="X238" s="205"/>
      <c r="Y238" s="205"/>
      <c r="Z238" s="205"/>
      <c r="AA238" s="205"/>
      <c r="AB238" s="205"/>
      <c r="AC238" s="205"/>
      <c r="AD238" s="205"/>
      <c r="AL238" s="205"/>
      <c r="AM238" s="205"/>
      <c r="AN238" s="205"/>
      <c r="AO238" s="205"/>
      <c r="AP238" s="205"/>
      <c r="AQ238" s="205"/>
      <c r="AR238" s="205"/>
      <c r="AS238" s="205"/>
      <c r="AV238" s="205"/>
      <c r="AW238" s="205"/>
      <c r="AX238" s="205"/>
      <c r="AY238" s="205"/>
      <c r="AZ238" s="205"/>
      <c r="BD238" s="205"/>
      <c r="BF238" s="205"/>
    </row>
    <row r="239" spans="1:100" x14ac:dyDescent="0.2">
      <c r="A239" s="219"/>
      <c r="B239" s="219"/>
      <c r="C239" s="205"/>
      <c r="D239" s="205"/>
      <c r="E239" s="192"/>
      <c r="F239" s="205"/>
      <c r="G239" s="205"/>
      <c r="H239" s="205"/>
      <c r="I239" s="205"/>
      <c r="J239"/>
      <c r="K239"/>
      <c r="L239" s="205"/>
      <c r="M239" s="205"/>
      <c r="N239" s="205"/>
      <c r="O239" s="192"/>
      <c r="P239" s="192"/>
      <c r="Q239" s="205"/>
      <c r="R239" s="205"/>
      <c r="W239" s="205"/>
      <c r="X239" s="205"/>
      <c r="Y239" s="205"/>
      <c r="Z239" s="205"/>
      <c r="AA239" s="205"/>
      <c r="AB239" s="205"/>
      <c r="AC239" s="205"/>
      <c r="AD239" s="205"/>
      <c r="AL239" s="205"/>
      <c r="AM239" s="205"/>
      <c r="AN239" s="205"/>
      <c r="AO239" s="205"/>
      <c r="AP239" s="205"/>
      <c r="AQ239" s="205"/>
      <c r="AR239" s="205"/>
      <c r="AS239" s="205"/>
      <c r="AV239" s="205"/>
      <c r="AW239" s="205"/>
      <c r="AX239" s="205"/>
      <c r="AY239" s="205"/>
      <c r="AZ239" s="205"/>
      <c r="BD239" s="205"/>
      <c r="BF239" s="205"/>
    </row>
    <row r="240" spans="1:100" x14ac:dyDescent="0.2">
      <c r="A240" s="219"/>
      <c r="B240" s="219"/>
      <c r="C240" s="205"/>
      <c r="D240" s="205"/>
      <c r="E240" s="192"/>
      <c r="F240" s="205"/>
      <c r="G240" s="205"/>
      <c r="H240" s="205"/>
      <c r="I240" s="205"/>
      <c r="J240"/>
      <c r="K240"/>
      <c r="L240" s="205"/>
      <c r="M240" s="205"/>
      <c r="N240" s="205"/>
      <c r="O240" s="192"/>
      <c r="P240" s="192"/>
      <c r="Q240" s="205"/>
      <c r="R240" s="205"/>
      <c r="W240" s="205"/>
      <c r="X240" s="205"/>
      <c r="Y240" s="205"/>
      <c r="Z240" s="205"/>
      <c r="AA240" s="205"/>
      <c r="AB240" s="205"/>
      <c r="AC240" s="205"/>
      <c r="AD240" s="205"/>
      <c r="AL240" s="205"/>
      <c r="AM240" s="205"/>
      <c r="AN240" s="205"/>
      <c r="AO240" s="205"/>
      <c r="AP240" s="205"/>
      <c r="AQ240" s="205"/>
      <c r="AR240" s="205"/>
      <c r="AS240" s="205"/>
      <c r="AV240" s="205"/>
      <c r="AW240" s="205"/>
      <c r="AX240" s="205"/>
      <c r="AY240" s="205"/>
      <c r="AZ240" s="205"/>
      <c r="BD240" s="205"/>
      <c r="BF240" s="205"/>
    </row>
    <row r="241" spans="1:100" x14ac:dyDescent="0.2">
      <c r="A241" s="219"/>
      <c r="B241" s="219"/>
      <c r="C241" s="205"/>
      <c r="D241" s="205"/>
      <c r="E241" s="192"/>
      <c r="F241" s="205"/>
      <c r="G241" s="205"/>
      <c r="H241" s="205"/>
      <c r="I241" s="205"/>
      <c r="J241"/>
      <c r="K241"/>
      <c r="L241" s="205"/>
      <c r="M241" s="205"/>
      <c r="N241" s="205"/>
      <c r="O241" s="192"/>
      <c r="P241" s="192"/>
      <c r="Q241" s="205"/>
      <c r="R241" s="205"/>
      <c r="W241" s="205"/>
      <c r="X241" s="205"/>
      <c r="Y241" s="205"/>
      <c r="Z241" s="205"/>
      <c r="AA241" s="205"/>
      <c r="AB241" s="205"/>
      <c r="AC241" s="205"/>
      <c r="AD241" s="205"/>
      <c r="AL241" s="205"/>
      <c r="AM241" s="205"/>
      <c r="AN241" s="205"/>
      <c r="AO241" s="205"/>
      <c r="AP241" s="205"/>
      <c r="AQ241" s="205"/>
      <c r="AR241" s="205"/>
      <c r="AS241" s="205"/>
      <c r="AV241" s="205"/>
      <c r="AW241" s="205"/>
      <c r="AX241" s="205"/>
      <c r="AY241" s="205"/>
      <c r="AZ241" s="205"/>
      <c r="BD241" s="205"/>
      <c r="BF241" s="205"/>
    </row>
    <row r="242" spans="1:100" x14ac:dyDescent="0.2">
      <c r="A242" s="219"/>
      <c r="B242" s="219"/>
      <c r="C242" s="205"/>
      <c r="D242" s="205"/>
      <c r="E242" s="192"/>
      <c r="F242" s="205"/>
      <c r="G242" s="205"/>
      <c r="H242" s="205"/>
      <c r="I242" s="205"/>
      <c r="J242"/>
      <c r="K242"/>
      <c r="L242" s="205"/>
      <c r="M242" s="205"/>
      <c r="N242" s="205"/>
      <c r="O242" s="192"/>
      <c r="P242" s="192"/>
      <c r="Q242" s="205"/>
      <c r="R242" s="205"/>
      <c r="W242" s="205"/>
      <c r="X242" s="205"/>
      <c r="Y242" s="205"/>
      <c r="Z242" s="205"/>
      <c r="AA242" s="205"/>
      <c r="AB242" s="205"/>
      <c r="AC242" s="205"/>
      <c r="AD242" s="205"/>
      <c r="AL242" s="205"/>
      <c r="AM242" s="205"/>
      <c r="AN242" s="205"/>
      <c r="AO242" s="205"/>
      <c r="AP242" s="205"/>
      <c r="AQ242" s="205"/>
      <c r="AR242" s="205"/>
      <c r="AS242" s="205"/>
      <c r="AV242" s="205"/>
      <c r="AW242" s="205"/>
      <c r="AX242" s="205"/>
      <c r="AY242" s="205"/>
      <c r="AZ242" s="205"/>
      <c r="BD242" s="205"/>
      <c r="BF242" s="205"/>
    </row>
    <row r="243" spans="1:100" x14ac:dyDescent="0.2">
      <c r="A243" s="219"/>
      <c r="B243" s="219"/>
      <c r="C243" s="205"/>
      <c r="D243" s="205"/>
      <c r="E243" s="192"/>
      <c r="F243" s="205"/>
      <c r="G243" s="205"/>
      <c r="H243" s="205"/>
      <c r="I243" s="205"/>
      <c r="J243"/>
      <c r="K243"/>
      <c r="L243" s="205"/>
      <c r="M243" s="205"/>
      <c r="N243" s="205"/>
      <c r="O243" s="192"/>
      <c r="P243" s="192"/>
      <c r="Q243" s="205"/>
      <c r="R243" s="205"/>
      <c r="W243" s="205"/>
      <c r="X243" s="205"/>
      <c r="Y243" s="205"/>
      <c r="Z243" s="205"/>
      <c r="AA243" s="205"/>
      <c r="AB243" s="205"/>
      <c r="AC243" s="205"/>
      <c r="AD243" s="205"/>
      <c r="AL243" s="205"/>
      <c r="AM243" s="205"/>
      <c r="AN243" s="205"/>
      <c r="AO243" s="205"/>
      <c r="AP243" s="205"/>
      <c r="AQ243" s="205"/>
      <c r="AR243" s="205"/>
      <c r="AS243" s="205"/>
      <c r="AV243" s="205"/>
      <c r="AW243" s="205"/>
      <c r="AX243" s="205"/>
      <c r="AY243" s="205"/>
      <c r="AZ243" s="205"/>
      <c r="BD243" s="205"/>
      <c r="BF243" s="205"/>
    </row>
    <row r="244" spans="1:100" x14ac:dyDescent="0.2">
      <c r="A244" s="219"/>
      <c r="B244" s="219"/>
      <c r="C244" s="205"/>
      <c r="D244" s="205"/>
      <c r="E244" s="192"/>
      <c r="F244" s="205"/>
      <c r="G244" s="205"/>
      <c r="H244" s="205"/>
      <c r="I244" s="205"/>
      <c r="J244"/>
      <c r="K244"/>
      <c r="L244" s="205"/>
      <c r="M244" s="205"/>
      <c r="N244" s="205"/>
      <c r="O244" s="192"/>
      <c r="P244" s="192"/>
      <c r="Q244" s="205"/>
      <c r="R244" s="205"/>
      <c r="W244" s="205"/>
      <c r="X244" s="205"/>
      <c r="Y244" s="205"/>
      <c r="Z244" s="205"/>
      <c r="AA244" s="205"/>
      <c r="AB244" s="205"/>
      <c r="AC244" s="205"/>
      <c r="AD244" s="205"/>
      <c r="AL244" s="205"/>
      <c r="AM244" s="205"/>
      <c r="AN244" s="205"/>
      <c r="AO244" s="205"/>
      <c r="AP244" s="205"/>
      <c r="AQ244" s="205"/>
      <c r="AR244" s="205"/>
      <c r="AS244" s="205"/>
      <c r="AV244" s="205"/>
      <c r="AW244" s="205"/>
      <c r="AX244" s="205"/>
      <c r="AY244" s="205"/>
      <c r="AZ244" s="205"/>
      <c r="BD244" s="205"/>
      <c r="BF244" s="205"/>
    </row>
    <row r="245" spans="1:100" x14ac:dyDescent="0.2">
      <c r="A245" s="219"/>
      <c r="B245" s="219"/>
      <c r="C245" s="205"/>
      <c r="D245" s="205"/>
      <c r="E245" s="192"/>
      <c r="F245" s="205"/>
      <c r="G245" s="205"/>
      <c r="H245" s="205"/>
      <c r="I245" s="205"/>
      <c r="J245"/>
      <c r="K245"/>
      <c r="L245" s="205"/>
      <c r="M245" s="205"/>
      <c r="N245" s="205"/>
      <c r="O245" s="192"/>
      <c r="P245" s="192"/>
      <c r="Q245" s="205"/>
      <c r="R245" s="205"/>
      <c r="W245" s="205"/>
      <c r="X245" s="205"/>
      <c r="Y245" s="205"/>
      <c r="Z245" s="205"/>
      <c r="AA245" s="205"/>
      <c r="AB245" s="205"/>
      <c r="AC245" s="205"/>
      <c r="AD245" s="205"/>
      <c r="AL245" s="205"/>
      <c r="AM245" s="205"/>
      <c r="AN245" s="205"/>
      <c r="AO245" s="205"/>
      <c r="AP245" s="205"/>
      <c r="AQ245" s="205"/>
      <c r="AR245" s="205"/>
      <c r="AS245" s="205"/>
      <c r="AV245" s="205"/>
      <c r="AW245" s="205"/>
      <c r="AX245" s="205"/>
      <c r="AY245" s="205"/>
      <c r="AZ245" s="205"/>
      <c r="BD245" s="205"/>
      <c r="BF245" s="205"/>
    </row>
    <row r="246" spans="1:100" x14ac:dyDescent="0.2">
      <c r="A246" s="219"/>
      <c r="B246" s="219"/>
      <c r="C246" s="205"/>
      <c r="D246" s="205"/>
      <c r="E246" s="192"/>
      <c r="F246" s="205"/>
      <c r="G246" s="205"/>
      <c r="H246" s="205"/>
      <c r="I246" s="205"/>
      <c r="J246"/>
      <c r="K246"/>
      <c r="L246" s="205"/>
      <c r="M246" s="205"/>
      <c r="N246" s="205"/>
      <c r="O246" s="192"/>
      <c r="P246" s="192"/>
      <c r="Q246" s="205"/>
      <c r="R246" s="205"/>
      <c r="W246" s="205"/>
      <c r="X246" s="205"/>
      <c r="Y246" s="205"/>
      <c r="Z246" s="205"/>
      <c r="AA246" s="205"/>
      <c r="AB246" s="205"/>
      <c r="AC246" s="205"/>
      <c r="AD246" s="205"/>
      <c r="AL246" s="205"/>
      <c r="AM246" s="205"/>
      <c r="AN246" s="205"/>
      <c r="AO246" s="205"/>
      <c r="AP246" s="205"/>
      <c r="AQ246" s="205"/>
      <c r="AR246" s="205"/>
      <c r="AS246" s="205"/>
      <c r="AV246" s="205"/>
      <c r="AW246" s="205"/>
      <c r="AX246" s="205"/>
      <c r="AY246" s="205"/>
      <c r="AZ246" s="205"/>
      <c r="BD246" s="205"/>
      <c r="BF246" s="205"/>
    </row>
    <row r="247" spans="1:100" x14ac:dyDescent="0.2">
      <c r="A247" s="219"/>
      <c r="B247" s="219"/>
      <c r="C247" s="205"/>
      <c r="D247" s="205"/>
      <c r="E247" s="192"/>
      <c r="F247" s="205"/>
      <c r="G247" s="205"/>
      <c r="H247" s="205"/>
      <c r="I247" s="205"/>
      <c r="J247" s="205"/>
      <c r="K247" s="205"/>
      <c r="L247" s="205"/>
      <c r="M247" s="205"/>
      <c r="N247" s="205"/>
      <c r="O247" s="192"/>
      <c r="P247" s="192"/>
      <c r="Q247" s="205"/>
      <c r="R247" s="205"/>
      <c r="W247" s="205"/>
      <c r="X247" s="205"/>
      <c r="Y247" s="205"/>
      <c r="Z247" s="205"/>
      <c r="AA247" s="205"/>
      <c r="AB247" s="205"/>
      <c r="AC247" s="205"/>
      <c r="AD247" s="205"/>
      <c r="AL247" s="205"/>
      <c r="AM247" s="205"/>
      <c r="AN247" s="205"/>
      <c r="AO247" s="205"/>
      <c r="AP247" s="205"/>
      <c r="AQ247" s="205"/>
      <c r="AR247" s="205"/>
      <c r="AS247" s="205"/>
      <c r="AV247" s="205"/>
      <c r="AW247" s="205"/>
      <c r="AX247" s="205"/>
      <c r="AY247" s="205"/>
      <c r="AZ247" s="205"/>
      <c r="BA247" s="205"/>
      <c r="BB247" s="205"/>
      <c r="BD247" s="205"/>
      <c r="BF247" s="205"/>
      <c r="BG247" s="201"/>
      <c r="BH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  <c r="CF247" s="201"/>
      <c r="CG247" s="201"/>
      <c r="CH247" s="201"/>
      <c r="CI247" s="201"/>
      <c r="CJ247" s="201"/>
      <c r="CK247" s="201"/>
      <c r="CL247" s="201"/>
      <c r="CM247" s="201"/>
      <c r="CN247" s="201"/>
      <c r="CO247" s="201"/>
      <c r="CP247" s="201"/>
      <c r="CQ247" s="201"/>
      <c r="CR247" s="201"/>
      <c r="CS247" s="201"/>
      <c r="CT247" s="201"/>
      <c r="CU247" s="201"/>
      <c r="CV247" s="201"/>
    </row>
    <row r="248" spans="1:100" x14ac:dyDescent="0.2">
      <c r="A248" s="219"/>
      <c r="B248" s="219"/>
      <c r="C248" s="205"/>
      <c r="D248" s="205"/>
      <c r="E248" s="192"/>
      <c r="F248" s="205"/>
      <c r="G248" s="205"/>
      <c r="H248" s="205"/>
      <c r="I248" s="205"/>
      <c r="J248"/>
      <c r="K248"/>
      <c r="L248" s="205"/>
      <c r="M248" s="205"/>
      <c r="N248" s="205"/>
      <c r="O248" s="192"/>
      <c r="P248" s="192"/>
      <c r="Q248" s="205"/>
      <c r="R248" s="205"/>
      <c r="W248" s="205"/>
      <c r="X248" s="205"/>
      <c r="Y248" s="205"/>
      <c r="Z248" s="205"/>
      <c r="AA248" s="205"/>
      <c r="AB248" s="205"/>
      <c r="AC248" s="205"/>
      <c r="AD248" s="205"/>
      <c r="AL248" s="205"/>
      <c r="AM248" s="205"/>
      <c r="AN248" s="205"/>
      <c r="AO248" s="205"/>
      <c r="AP248" s="205"/>
      <c r="AQ248" s="205"/>
      <c r="AR248" s="205"/>
      <c r="AS248" s="205"/>
      <c r="AV248" s="205"/>
      <c r="AW248" s="205"/>
      <c r="AX248" s="205"/>
      <c r="AY248" s="205"/>
      <c r="AZ248" s="205"/>
      <c r="BD248" s="205"/>
      <c r="BF248" s="205"/>
    </row>
    <row r="249" spans="1:100" x14ac:dyDescent="0.2">
      <c r="A249" s="219"/>
      <c r="B249" s="219"/>
      <c r="C249" s="205"/>
      <c r="D249" s="205"/>
      <c r="E249" s="192"/>
      <c r="F249" s="205"/>
      <c r="G249" s="205"/>
      <c r="H249" s="205"/>
      <c r="I249" s="205"/>
      <c r="J249"/>
      <c r="K249"/>
      <c r="L249" s="205"/>
      <c r="M249" s="205"/>
      <c r="N249" s="205"/>
      <c r="O249" s="192"/>
      <c r="P249" s="192"/>
      <c r="Q249" s="205"/>
      <c r="R249" s="205"/>
      <c r="W249" s="205"/>
      <c r="X249" s="205"/>
      <c r="Y249" s="205"/>
      <c r="Z249" s="205"/>
      <c r="AA249" s="205"/>
      <c r="AB249" s="205"/>
      <c r="AC249" s="205"/>
      <c r="AD249" s="205"/>
      <c r="AL249" s="205"/>
      <c r="AM249" s="205"/>
      <c r="AN249" s="205"/>
      <c r="AO249" s="205"/>
      <c r="AP249" s="205"/>
      <c r="AQ249" s="205"/>
      <c r="AR249" s="205"/>
      <c r="AS249" s="205"/>
      <c r="AV249" s="205"/>
      <c r="AW249" s="205"/>
      <c r="AX249" s="205"/>
      <c r="AY249" s="205"/>
      <c r="AZ249" s="205"/>
      <c r="BD249" s="205"/>
      <c r="BF249" s="205"/>
    </row>
    <row r="250" spans="1:100" x14ac:dyDescent="0.2">
      <c r="A250" s="219"/>
      <c r="B250" s="219"/>
      <c r="C250" s="205"/>
      <c r="D250" s="205"/>
      <c r="E250" s="192"/>
      <c r="F250" s="205"/>
      <c r="G250" s="205"/>
      <c r="H250" s="205"/>
      <c r="I250" s="205"/>
      <c r="J250"/>
      <c r="K250"/>
      <c r="L250" s="205"/>
      <c r="M250" s="205"/>
      <c r="N250" s="205"/>
      <c r="O250" s="192"/>
      <c r="P250" s="192"/>
      <c r="Q250" s="205"/>
      <c r="R250" s="205"/>
      <c r="W250" s="205"/>
      <c r="X250" s="205"/>
      <c r="Y250" s="205"/>
      <c r="Z250" s="205"/>
      <c r="AA250" s="205"/>
      <c r="AB250" s="205"/>
      <c r="AC250" s="205"/>
      <c r="AD250" s="205"/>
      <c r="AL250" s="205"/>
      <c r="AM250" s="205"/>
      <c r="AN250" s="205"/>
      <c r="AO250" s="205"/>
      <c r="AP250" s="205"/>
      <c r="AQ250" s="205"/>
      <c r="AR250" s="205"/>
      <c r="AS250" s="205"/>
      <c r="AV250" s="205"/>
      <c r="AW250" s="205"/>
      <c r="AX250" s="205"/>
      <c r="AY250" s="205"/>
      <c r="AZ250" s="205"/>
      <c r="BD250" s="205"/>
      <c r="BF250" s="205"/>
    </row>
    <row r="251" spans="1:100" x14ac:dyDescent="0.2">
      <c r="A251" s="219"/>
      <c r="B251" s="219"/>
      <c r="C251" s="205"/>
      <c r="D251" s="205"/>
      <c r="E251" s="192"/>
      <c r="F251" s="205"/>
      <c r="G251" s="205"/>
      <c r="H251" s="205"/>
      <c r="I251" s="205"/>
      <c r="J251"/>
      <c r="K251"/>
      <c r="L251" s="205"/>
      <c r="M251" s="205"/>
      <c r="N251" s="205"/>
      <c r="O251" s="192"/>
      <c r="P251" s="192"/>
      <c r="Q251" s="205"/>
      <c r="R251" s="205"/>
      <c r="W251" s="205"/>
      <c r="X251" s="205"/>
      <c r="Y251" s="205"/>
      <c r="Z251" s="205"/>
      <c r="AA251" s="205"/>
      <c r="AB251" s="205"/>
      <c r="AC251" s="205"/>
      <c r="AD251" s="205"/>
      <c r="AL251" s="205"/>
      <c r="AM251" s="205"/>
      <c r="AN251" s="205"/>
      <c r="AO251" s="205"/>
      <c r="AP251" s="205"/>
      <c r="AQ251" s="205"/>
      <c r="AR251" s="205"/>
      <c r="AS251" s="205"/>
      <c r="AV251" s="205"/>
      <c r="AW251" s="205"/>
      <c r="AX251" s="205"/>
      <c r="AY251" s="205"/>
      <c r="AZ251" s="205"/>
      <c r="BD251" s="205"/>
      <c r="BF251" s="205"/>
    </row>
    <row r="252" spans="1:100" x14ac:dyDescent="0.2">
      <c r="A252" s="219"/>
      <c r="B252" s="219"/>
      <c r="C252" s="205"/>
      <c r="D252" s="205"/>
      <c r="E252" s="192"/>
      <c r="F252" s="205"/>
      <c r="G252" s="205"/>
      <c r="H252" s="205"/>
      <c r="I252" s="205"/>
      <c r="J252"/>
      <c r="K252"/>
      <c r="L252" s="205"/>
      <c r="M252" s="205"/>
      <c r="N252" s="205"/>
      <c r="O252" s="192"/>
      <c r="P252" s="192"/>
      <c r="Q252" s="205"/>
      <c r="R252" s="205"/>
      <c r="W252" s="205"/>
      <c r="X252" s="205"/>
      <c r="Y252" s="205"/>
      <c r="Z252" s="205"/>
      <c r="AA252" s="205"/>
      <c r="AB252" s="205"/>
      <c r="AC252" s="205"/>
      <c r="AD252" s="205"/>
      <c r="AL252" s="205"/>
      <c r="AM252" s="205"/>
      <c r="AN252" s="205"/>
      <c r="AO252" s="205"/>
      <c r="AP252" s="205"/>
      <c r="AQ252" s="205"/>
      <c r="AR252" s="205"/>
      <c r="AS252" s="205"/>
      <c r="AV252" s="205"/>
      <c r="AW252" s="205"/>
      <c r="AX252" s="205"/>
      <c r="AY252" s="205"/>
      <c r="AZ252" s="205"/>
      <c r="BD252" s="205"/>
      <c r="BF252" s="205"/>
    </row>
    <row r="253" spans="1:100" x14ac:dyDescent="0.2">
      <c r="A253" s="219"/>
      <c r="B253" s="219"/>
      <c r="C253" s="205"/>
      <c r="D253" s="205"/>
      <c r="E253" s="192"/>
      <c r="F253" s="205"/>
      <c r="G253" s="205"/>
      <c r="H253" s="205"/>
      <c r="I253" s="205"/>
      <c r="J253"/>
      <c r="K253"/>
      <c r="L253" s="205"/>
      <c r="M253" s="205"/>
      <c r="N253" s="205"/>
      <c r="O253" s="192"/>
      <c r="P253" s="192"/>
      <c r="Q253" s="205"/>
      <c r="R253" s="205"/>
      <c r="W253" s="205"/>
      <c r="X253" s="205"/>
      <c r="Y253" s="205"/>
      <c r="Z253" s="205"/>
      <c r="AA253" s="205"/>
      <c r="AB253" s="205"/>
      <c r="AC253" s="205"/>
      <c r="AD253" s="205"/>
      <c r="AL253" s="205"/>
      <c r="AM253" s="205"/>
      <c r="AN253" s="205"/>
      <c r="AO253" s="205"/>
      <c r="AP253" s="205"/>
      <c r="AQ253" s="205"/>
      <c r="AR253" s="205"/>
      <c r="AS253" s="205"/>
      <c r="AV253" s="205"/>
      <c r="AW253" s="205"/>
      <c r="AX253" s="205"/>
      <c r="AY253" s="205"/>
      <c r="AZ253" s="205"/>
      <c r="BD253" s="205"/>
      <c r="BF253" s="205"/>
    </row>
    <row r="254" spans="1:100" x14ac:dyDescent="0.2">
      <c r="A254" s="219"/>
      <c r="B254" s="219"/>
      <c r="C254" s="205"/>
      <c r="D254" s="205"/>
      <c r="E254" s="192"/>
      <c r="F254" s="205"/>
      <c r="G254" s="205"/>
      <c r="H254" s="205"/>
      <c r="I254" s="205"/>
      <c r="J254" s="205"/>
      <c r="K254" s="205"/>
      <c r="L254" s="205"/>
      <c r="M254" s="205"/>
      <c r="N254" s="205"/>
      <c r="O254" s="192"/>
      <c r="P254" s="192"/>
      <c r="Q254" s="205"/>
      <c r="R254" s="205"/>
      <c r="W254" s="205"/>
      <c r="X254" s="205"/>
      <c r="Y254" s="205"/>
      <c r="Z254" s="205"/>
      <c r="AA254" s="205"/>
      <c r="AB254" s="205"/>
      <c r="AC254" s="205"/>
      <c r="AD254" s="205"/>
      <c r="AL254" s="205"/>
      <c r="AM254" s="205"/>
      <c r="AN254" s="205"/>
      <c r="AO254" s="205"/>
      <c r="AP254" s="205"/>
      <c r="AQ254" s="205"/>
      <c r="AR254" s="205"/>
      <c r="AS254" s="205"/>
      <c r="AV254" s="205"/>
      <c r="AW254" s="205"/>
      <c r="AX254" s="205"/>
      <c r="AY254" s="205"/>
      <c r="AZ254" s="205"/>
      <c r="BA254" s="205"/>
      <c r="BB254" s="205"/>
      <c r="BD254" s="205"/>
      <c r="BF254" s="205"/>
      <c r="BG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  <c r="CF254" s="201"/>
      <c r="CG254" s="201"/>
      <c r="CH254" s="201"/>
      <c r="CI254" s="201"/>
      <c r="CJ254" s="201"/>
      <c r="CK254" s="201"/>
      <c r="CL254" s="201"/>
      <c r="CM254" s="201"/>
      <c r="CN254" s="201"/>
      <c r="CP254" s="201"/>
      <c r="CQ254" s="201"/>
      <c r="CR254" s="201"/>
      <c r="CS254" s="201"/>
      <c r="CT254" s="201"/>
      <c r="CU254" s="201"/>
      <c r="CV254" s="201"/>
    </row>
    <row r="255" spans="1:100" x14ac:dyDescent="0.2">
      <c r="A255" s="219"/>
      <c r="B255" s="219"/>
      <c r="C255" s="205"/>
      <c r="D255" s="205"/>
      <c r="E255" s="192"/>
      <c r="F255" s="205"/>
      <c r="G255" s="205"/>
      <c r="H255" s="205"/>
      <c r="I255" s="205"/>
      <c r="J255"/>
      <c r="K255"/>
      <c r="L255" s="205"/>
      <c r="M255" s="205"/>
      <c r="N255" s="205"/>
      <c r="O255" s="192"/>
      <c r="P255" s="192"/>
      <c r="Q255" s="205"/>
      <c r="R255" s="205"/>
      <c r="W255" s="205"/>
      <c r="X255" s="205"/>
      <c r="Y255" s="205"/>
      <c r="Z255" s="205"/>
      <c r="AA255" s="205"/>
      <c r="AB255" s="205"/>
      <c r="AC255" s="205"/>
      <c r="AD255" s="205"/>
      <c r="AL255" s="205"/>
      <c r="AM255" s="205"/>
      <c r="AN255" s="205"/>
      <c r="AO255" s="205"/>
      <c r="AP255" s="205"/>
      <c r="AQ255" s="205"/>
      <c r="AR255" s="205"/>
      <c r="AS255" s="205"/>
      <c r="AV255" s="205"/>
      <c r="AW255" s="205"/>
      <c r="AX255" s="205"/>
      <c r="AY255" s="205"/>
      <c r="AZ255" s="205"/>
      <c r="BD255" s="205"/>
      <c r="BF255" s="205"/>
    </row>
    <row r="256" spans="1:100" x14ac:dyDescent="0.2">
      <c r="A256" s="219"/>
      <c r="B256" s="219"/>
      <c r="C256" s="205"/>
      <c r="D256" s="205"/>
      <c r="E256" s="192"/>
      <c r="F256" s="205"/>
      <c r="G256" s="205"/>
      <c r="H256" s="205"/>
      <c r="I256" s="205"/>
      <c r="J256"/>
      <c r="K256"/>
      <c r="L256" s="205"/>
      <c r="M256" s="205"/>
      <c r="N256" s="205"/>
      <c r="O256" s="192"/>
      <c r="P256" s="192"/>
      <c r="Q256" s="205"/>
      <c r="R256" s="205"/>
      <c r="W256" s="205"/>
      <c r="X256" s="205"/>
      <c r="Y256" s="205"/>
      <c r="Z256" s="205"/>
      <c r="AA256" s="205"/>
      <c r="AB256" s="205"/>
      <c r="AC256" s="205"/>
      <c r="AD256" s="205"/>
      <c r="AL256" s="205"/>
      <c r="AM256" s="205"/>
      <c r="AN256" s="205"/>
      <c r="AO256" s="205"/>
      <c r="AP256" s="205"/>
      <c r="AQ256" s="205"/>
      <c r="AR256" s="205"/>
      <c r="AS256" s="205"/>
      <c r="AV256" s="205"/>
      <c r="AW256" s="205"/>
      <c r="AX256" s="205"/>
      <c r="AY256" s="205"/>
      <c r="AZ256" s="205"/>
      <c r="BD256" s="205"/>
      <c r="BF256" s="205"/>
    </row>
    <row r="257" spans="1:58" x14ac:dyDescent="0.2">
      <c r="A257" s="219"/>
      <c r="B257" s="219"/>
      <c r="C257" s="205"/>
      <c r="D257" s="205"/>
      <c r="E257" s="192"/>
      <c r="F257" s="205"/>
      <c r="G257" s="205"/>
      <c r="H257" s="205"/>
      <c r="I257" s="205"/>
      <c r="J257"/>
      <c r="K257"/>
      <c r="L257" s="205"/>
      <c r="M257" s="205"/>
      <c r="N257" s="205"/>
      <c r="O257" s="192"/>
      <c r="P257" s="192"/>
      <c r="Q257" s="205"/>
      <c r="R257" s="205"/>
      <c r="W257" s="205"/>
      <c r="X257" s="205"/>
      <c r="Y257" s="205"/>
      <c r="Z257" s="205"/>
      <c r="AA257" s="205"/>
      <c r="AB257" s="205"/>
      <c r="AC257" s="205"/>
      <c r="AD257" s="205"/>
      <c r="AL257" s="205"/>
      <c r="AM257" s="205"/>
      <c r="AN257" s="205"/>
      <c r="AO257" s="205"/>
      <c r="AP257" s="205"/>
      <c r="AQ257" s="205"/>
      <c r="AR257" s="205"/>
      <c r="AS257" s="205"/>
      <c r="AV257" s="205"/>
      <c r="AW257" s="205"/>
      <c r="AX257" s="205"/>
      <c r="AY257" s="205"/>
      <c r="AZ257" s="205"/>
      <c r="BD257" s="205"/>
      <c r="BF257" s="205"/>
    </row>
    <row r="258" spans="1:58" x14ac:dyDescent="0.2">
      <c r="A258" s="219"/>
      <c r="B258" s="219"/>
      <c r="C258" s="205"/>
      <c r="D258" s="205"/>
      <c r="E258" s="192"/>
      <c r="F258" s="205"/>
      <c r="G258" s="205"/>
      <c r="H258" s="205"/>
      <c r="I258" s="205"/>
      <c r="J258"/>
      <c r="K258"/>
      <c r="L258" s="205"/>
      <c r="M258" s="205"/>
      <c r="N258" s="205"/>
      <c r="O258" s="192"/>
      <c r="P258" s="192"/>
      <c r="Q258" s="205"/>
      <c r="R258" s="205"/>
      <c r="W258" s="205"/>
      <c r="X258" s="205"/>
      <c r="Y258" s="205"/>
      <c r="Z258" s="205"/>
      <c r="AA258" s="205"/>
      <c r="AB258" s="205"/>
      <c r="AC258" s="205"/>
      <c r="AD258" s="205"/>
      <c r="AL258" s="205"/>
      <c r="AM258" s="205"/>
      <c r="AN258" s="205"/>
      <c r="AO258" s="205"/>
      <c r="AP258" s="205"/>
      <c r="AQ258" s="205"/>
      <c r="AR258" s="205"/>
      <c r="AS258" s="205"/>
      <c r="AV258" s="205"/>
      <c r="AW258" s="205"/>
      <c r="AX258" s="205"/>
      <c r="AY258" s="205"/>
      <c r="AZ258" s="205"/>
      <c r="BD258" s="205"/>
      <c r="BF258" s="205"/>
    </row>
    <row r="259" spans="1:58" x14ac:dyDescent="0.2">
      <c r="A259" s="219"/>
      <c r="B259" s="219"/>
      <c r="C259" s="205"/>
      <c r="D259" s="205"/>
      <c r="E259" s="192"/>
      <c r="F259" s="205"/>
      <c r="G259" s="205"/>
      <c r="H259" s="205"/>
      <c r="I259" s="205"/>
      <c r="J259"/>
      <c r="K259"/>
      <c r="L259" s="205"/>
      <c r="M259" s="205"/>
      <c r="N259" s="205"/>
      <c r="O259" s="192"/>
      <c r="P259" s="192"/>
      <c r="Q259" s="205"/>
      <c r="R259" s="205"/>
      <c r="W259" s="205"/>
      <c r="X259" s="205"/>
      <c r="Y259" s="205"/>
      <c r="Z259" s="205"/>
      <c r="AA259" s="205"/>
      <c r="AB259" s="205"/>
      <c r="AC259" s="205"/>
      <c r="AD259" s="205"/>
      <c r="AL259" s="205"/>
      <c r="AM259" s="205"/>
      <c r="AN259" s="205"/>
      <c r="AO259" s="205"/>
      <c r="AP259" s="205"/>
      <c r="AQ259" s="205"/>
      <c r="AR259" s="205"/>
      <c r="AS259" s="205"/>
      <c r="AV259" s="205"/>
      <c r="AW259" s="205"/>
      <c r="AX259" s="205"/>
      <c r="AY259" s="205"/>
      <c r="AZ259" s="205"/>
      <c r="BD259" s="205"/>
      <c r="BF259" s="205"/>
    </row>
    <row r="260" spans="1:58" x14ac:dyDescent="0.2">
      <c r="A260" s="219"/>
      <c r="B260" s="219"/>
      <c r="C260" s="205"/>
      <c r="D260" s="205"/>
      <c r="E260" s="192"/>
      <c r="F260" s="205"/>
      <c r="G260" s="205"/>
      <c r="H260" s="205"/>
      <c r="I260" s="205"/>
      <c r="J260"/>
      <c r="K260"/>
      <c r="L260" s="205"/>
      <c r="M260" s="205"/>
      <c r="N260" s="205"/>
      <c r="O260" s="192"/>
      <c r="P260" s="192"/>
      <c r="Q260" s="205"/>
      <c r="R260" s="205"/>
      <c r="W260" s="205"/>
      <c r="X260" s="205"/>
      <c r="Y260" s="205"/>
      <c r="Z260" s="205"/>
      <c r="AA260" s="205"/>
      <c r="AB260" s="205"/>
      <c r="AC260" s="205"/>
      <c r="AD260" s="205"/>
      <c r="AL260" s="205"/>
      <c r="AM260" s="205"/>
      <c r="AN260" s="205"/>
      <c r="AO260" s="205"/>
      <c r="AP260" s="205"/>
      <c r="AQ260" s="205"/>
      <c r="AR260" s="205"/>
      <c r="AS260" s="205"/>
      <c r="AV260" s="205"/>
      <c r="AW260" s="205"/>
      <c r="AX260" s="205"/>
      <c r="AY260" s="205"/>
      <c r="AZ260" s="205"/>
      <c r="BD260" s="205"/>
      <c r="BF260" s="205"/>
    </row>
    <row r="261" spans="1:58" x14ac:dyDescent="0.2">
      <c r="A261" s="219"/>
      <c r="B261" s="219"/>
      <c r="C261" s="205"/>
      <c r="D261" s="205"/>
      <c r="E261" s="192"/>
      <c r="F261" s="205"/>
      <c r="G261" s="205"/>
      <c r="H261" s="205"/>
      <c r="I261" s="205"/>
      <c r="J261"/>
      <c r="K261"/>
      <c r="L261" s="205"/>
      <c r="M261" s="205"/>
      <c r="N261" s="205"/>
      <c r="O261" s="192"/>
      <c r="P261" s="192"/>
      <c r="Q261" s="205"/>
      <c r="R261" s="205"/>
      <c r="W261" s="205"/>
      <c r="X261" s="205"/>
      <c r="Y261" s="205"/>
      <c r="Z261" s="205"/>
      <c r="AA261" s="205"/>
      <c r="AB261" s="205"/>
      <c r="AC261" s="205"/>
      <c r="AD261" s="205"/>
      <c r="AL261" s="205"/>
      <c r="AM261" s="205"/>
      <c r="AN261" s="205"/>
      <c r="AO261" s="205"/>
      <c r="AP261" s="205"/>
      <c r="AQ261" s="205"/>
      <c r="AR261" s="205"/>
      <c r="AS261" s="205"/>
      <c r="AV261" s="205"/>
      <c r="AW261" s="205"/>
      <c r="AX261" s="205"/>
      <c r="AY261" s="205"/>
      <c r="AZ261" s="205"/>
      <c r="BD261" s="205"/>
      <c r="BF261" s="205"/>
    </row>
    <row r="262" spans="1:58" x14ac:dyDescent="0.2">
      <c r="A262" s="219"/>
      <c r="B262" s="219"/>
      <c r="C262" s="205"/>
      <c r="D262" s="205"/>
      <c r="E262" s="192"/>
      <c r="F262" s="205"/>
      <c r="G262" s="205"/>
      <c r="H262" s="205"/>
      <c r="I262" s="205"/>
      <c r="J262"/>
      <c r="K262"/>
      <c r="L262" s="205"/>
      <c r="M262" s="205"/>
      <c r="N262" s="205"/>
      <c r="O262" s="192"/>
      <c r="P262" s="192"/>
      <c r="Q262" s="205"/>
      <c r="R262" s="205"/>
      <c r="W262" s="205"/>
      <c r="X262" s="205"/>
      <c r="Y262" s="205"/>
      <c r="Z262" s="205"/>
      <c r="AA262" s="205"/>
      <c r="AB262" s="205"/>
      <c r="AC262" s="205"/>
      <c r="AD262" s="205"/>
      <c r="AL262" s="205"/>
      <c r="AM262" s="205"/>
      <c r="AN262" s="205"/>
      <c r="AO262" s="205"/>
      <c r="AP262" s="205"/>
      <c r="AQ262" s="205"/>
      <c r="AR262" s="205"/>
      <c r="AS262" s="205"/>
      <c r="AV262" s="205"/>
      <c r="AW262" s="205"/>
      <c r="AX262" s="205"/>
      <c r="AY262" s="205"/>
      <c r="AZ262" s="205"/>
      <c r="BD262" s="205"/>
      <c r="BF262" s="205"/>
    </row>
    <row r="263" spans="1:58" x14ac:dyDescent="0.2">
      <c r="A263" s="219"/>
      <c r="B263" s="219"/>
      <c r="C263" s="205"/>
      <c r="D263" s="205"/>
      <c r="E263" s="192"/>
      <c r="F263" s="205"/>
      <c r="G263" s="205"/>
      <c r="H263" s="205"/>
      <c r="I263" s="205"/>
      <c r="J263"/>
      <c r="K263"/>
      <c r="L263" s="205"/>
      <c r="M263" s="205"/>
      <c r="N263" s="205"/>
      <c r="O263" s="192"/>
      <c r="P263" s="192"/>
      <c r="Q263" s="205"/>
      <c r="R263" s="205"/>
      <c r="W263" s="205"/>
      <c r="X263" s="205"/>
      <c r="Y263" s="205"/>
      <c r="Z263" s="205"/>
      <c r="AA263" s="205"/>
      <c r="AB263" s="205"/>
      <c r="AC263" s="205"/>
      <c r="AD263" s="205"/>
      <c r="AL263" s="205"/>
      <c r="AM263" s="205"/>
      <c r="AN263" s="205"/>
      <c r="AO263" s="205"/>
      <c r="AP263" s="205"/>
      <c r="AQ263" s="205"/>
      <c r="AR263" s="205"/>
      <c r="AS263" s="205"/>
      <c r="AV263" s="205"/>
      <c r="AW263" s="205"/>
      <c r="AX263" s="205"/>
      <c r="AY263" s="205"/>
      <c r="AZ263" s="205"/>
      <c r="BD263" s="205"/>
      <c r="BF263" s="205"/>
    </row>
    <row r="264" spans="1:58" x14ac:dyDescent="0.2">
      <c r="A264" s="219"/>
      <c r="B264" s="219"/>
      <c r="C264" s="205"/>
      <c r="D264" s="205"/>
      <c r="E264" s="192"/>
      <c r="F264" s="205"/>
      <c r="G264" s="205"/>
      <c r="H264" s="205"/>
      <c r="I264" s="205"/>
      <c r="J264"/>
      <c r="K264"/>
      <c r="L264" s="205"/>
      <c r="M264" s="205"/>
      <c r="N264" s="205"/>
      <c r="O264" s="192"/>
      <c r="P264" s="192"/>
      <c r="Q264" s="205"/>
      <c r="R264" s="205"/>
      <c r="W264" s="205"/>
      <c r="X264" s="205"/>
      <c r="Y264" s="205"/>
      <c r="Z264" s="205"/>
      <c r="AA264" s="205"/>
      <c r="AB264" s="205"/>
      <c r="AC264" s="205"/>
      <c r="AD264" s="205"/>
      <c r="AL264" s="205"/>
      <c r="AM264" s="205"/>
      <c r="AN264" s="205"/>
      <c r="AO264" s="205"/>
      <c r="AP264" s="205"/>
      <c r="AQ264" s="205"/>
      <c r="AR264" s="205"/>
      <c r="AS264" s="205"/>
      <c r="AV264" s="205"/>
      <c r="AW264" s="205"/>
      <c r="AX264" s="205"/>
      <c r="AY264" s="205"/>
      <c r="AZ264" s="205"/>
      <c r="BD264" s="205"/>
      <c r="BF264" s="205"/>
    </row>
    <row r="265" spans="1:58" x14ac:dyDescent="0.2">
      <c r="A265" s="219"/>
      <c r="B265" s="219"/>
      <c r="C265" s="205"/>
      <c r="D265" s="205"/>
      <c r="E265" s="192"/>
      <c r="F265" s="205"/>
      <c r="G265" s="205"/>
      <c r="H265" s="205"/>
      <c r="I265" s="205"/>
      <c r="J265"/>
      <c r="K265"/>
      <c r="L265" s="205"/>
      <c r="M265" s="205"/>
      <c r="N265" s="205"/>
      <c r="O265" s="192"/>
      <c r="P265" s="192"/>
      <c r="Q265" s="205"/>
      <c r="R265" s="205"/>
      <c r="W265" s="205"/>
      <c r="X265" s="205"/>
      <c r="Y265" s="205"/>
      <c r="Z265" s="205"/>
      <c r="AA265" s="205"/>
      <c r="AB265" s="205"/>
      <c r="AC265" s="205"/>
      <c r="AD265" s="205"/>
      <c r="AL265" s="205"/>
      <c r="AM265" s="205"/>
      <c r="AN265" s="205"/>
      <c r="AO265" s="205"/>
      <c r="AP265" s="205"/>
      <c r="AQ265" s="205"/>
      <c r="AR265" s="205"/>
      <c r="AS265" s="205"/>
      <c r="AV265" s="205"/>
      <c r="AW265" s="205"/>
      <c r="AX265" s="205"/>
      <c r="AY265" s="205"/>
      <c r="AZ265" s="205"/>
      <c r="BD265" s="205"/>
      <c r="BF265" s="205"/>
    </row>
    <row r="266" spans="1:58" x14ac:dyDescent="0.2">
      <c r="A266" s="219"/>
      <c r="B266" s="219"/>
      <c r="C266" s="205"/>
      <c r="D266" s="205"/>
      <c r="E266" s="192"/>
      <c r="F266" s="205"/>
      <c r="G266" s="205"/>
      <c r="H266" s="205"/>
      <c r="I266" s="205"/>
      <c r="J266"/>
      <c r="K266"/>
      <c r="L266" s="205"/>
      <c r="M266" s="205"/>
      <c r="N266" s="205"/>
      <c r="O266" s="192"/>
      <c r="P266" s="192"/>
      <c r="Q266" s="205"/>
      <c r="R266" s="205"/>
      <c r="W266" s="205"/>
      <c r="X266" s="205"/>
      <c r="Y266" s="205"/>
      <c r="Z266" s="205"/>
      <c r="AA266" s="205"/>
      <c r="AB266" s="205"/>
      <c r="AC266" s="205"/>
      <c r="AD266" s="205"/>
      <c r="AL266" s="205"/>
      <c r="AM266" s="205"/>
      <c r="AN266" s="205"/>
      <c r="AO266" s="205"/>
      <c r="AP266" s="205"/>
      <c r="AQ266" s="205"/>
      <c r="AR266" s="205"/>
      <c r="AS266" s="205"/>
      <c r="AV266" s="205"/>
      <c r="AW266" s="205"/>
      <c r="AX266" s="205"/>
      <c r="AY266" s="205"/>
      <c r="AZ266" s="205"/>
      <c r="BD266" s="205"/>
      <c r="BF266" s="205"/>
    </row>
    <row r="267" spans="1:58" x14ac:dyDescent="0.2">
      <c r="A267" s="219"/>
      <c r="B267" s="219"/>
      <c r="C267" s="205"/>
      <c r="D267" s="205"/>
      <c r="E267" s="192"/>
      <c r="F267" s="205"/>
      <c r="G267" s="205"/>
      <c r="H267" s="205"/>
      <c r="I267" s="205"/>
      <c r="J267"/>
      <c r="K267"/>
      <c r="L267" s="205"/>
      <c r="M267" s="205"/>
      <c r="N267" s="205"/>
      <c r="O267" s="192"/>
      <c r="P267" s="192"/>
      <c r="Q267" s="205"/>
      <c r="R267" s="205"/>
      <c r="W267" s="205"/>
      <c r="X267" s="205"/>
      <c r="Y267" s="205"/>
      <c r="Z267" s="205"/>
      <c r="AA267" s="205"/>
      <c r="AB267" s="205"/>
      <c r="AC267" s="205"/>
      <c r="AD267" s="205"/>
      <c r="AL267" s="205"/>
      <c r="AM267" s="205"/>
      <c r="AN267" s="205"/>
      <c r="AO267" s="205"/>
      <c r="AP267" s="205"/>
      <c r="AQ267" s="205"/>
      <c r="AR267" s="205"/>
      <c r="AS267" s="205"/>
      <c r="AV267" s="205"/>
      <c r="AW267" s="205"/>
      <c r="AX267" s="205"/>
      <c r="AY267" s="205"/>
      <c r="AZ267" s="205"/>
      <c r="BD267" s="205"/>
      <c r="BF267" s="205"/>
    </row>
    <row r="268" spans="1:58" x14ac:dyDescent="0.2">
      <c r="A268" s="219"/>
      <c r="B268" s="219"/>
      <c r="C268" s="205"/>
      <c r="D268" s="205"/>
      <c r="E268" s="192"/>
      <c r="F268" s="205"/>
      <c r="G268" s="205"/>
      <c r="H268" s="205"/>
      <c r="I268" s="205"/>
      <c r="J268"/>
      <c r="K268"/>
      <c r="L268" s="205"/>
      <c r="M268" s="205"/>
      <c r="N268" s="205"/>
      <c r="O268" s="192"/>
      <c r="P268" s="192"/>
      <c r="Q268" s="205"/>
      <c r="R268" s="205"/>
      <c r="W268" s="205"/>
      <c r="X268" s="205"/>
      <c r="Y268" s="205"/>
      <c r="Z268" s="205"/>
      <c r="AA268" s="205"/>
      <c r="AB268" s="205"/>
      <c r="AC268" s="205"/>
      <c r="AD268" s="205"/>
      <c r="AL268" s="205"/>
      <c r="AM268" s="205"/>
      <c r="AN268" s="205"/>
      <c r="AO268" s="205"/>
      <c r="AP268" s="205"/>
      <c r="AQ268" s="205"/>
      <c r="AR268" s="205"/>
      <c r="AS268" s="205"/>
      <c r="AV268" s="205"/>
      <c r="AW268" s="205"/>
      <c r="AX268" s="205"/>
      <c r="AY268" s="205"/>
      <c r="AZ268" s="205"/>
      <c r="BD268" s="205"/>
      <c r="BF268" s="205"/>
    </row>
    <row r="269" spans="1:58" x14ac:dyDescent="0.2">
      <c r="A269" s="219"/>
      <c r="B269" s="219"/>
      <c r="C269" s="205"/>
      <c r="D269" s="205"/>
      <c r="E269" s="192"/>
      <c r="F269" s="205"/>
      <c r="G269" s="205"/>
      <c r="H269" s="205"/>
      <c r="I269" s="205"/>
      <c r="J269"/>
      <c r="K269"/>
      <c r="L269" s="205"/>
      <c r="M269" s="205"/>
      <c r="N269" s="205"/>
      <c r="O269" s="192"/>
      <c r="P269" s="192"/>
      <c r="Q269" s="205"/>
      <c r="R269" s="205"/>
      <c r="W269" s="205"/>
      <c r="X269" s="205"/>
      <c r="Y269" s="205"/>
      <c r="Z269" s="205"/>
      <c r="AA269" s="205"/>
      <c r="AB269" s="205"/>
      <c r="AC269" s="205"/>
      <c r="AD269" s="205"/>
      <c r="AL269" s="205"/>
      <c r="AM269" s="205"/>
      <c r="AN269" s="205"/>
      <c r="AO269" s="205"/>
      <c r="AP269" s="205"/>
      <c r="AQ269" s="205"/>
      <c r="AR269" s="205"/>
      <c r="AS269" s="205"/>
      <c r="AV269" s="205"/>
      <c r="AW269" s="205"/>
      <c r="AX269" s="205"/>
      <c r="AY269" s="205"/>
      <c r="AZ269" s="205"/>
      <c r="BD269" s="205"/>
      <c r="BF269" s="205"/>
    </row>
    <row r="270" spans="1:58" x14ac:dyDescent="0.2">
      <c r="A270" s="219"/>
      <c r="B270" s="219"/>
      <c r="C270" s="205"/>
      <c r="D270" s="205"/>
      <c r="E270" s="192"/>
      <c r="F270" s="205"/>
      <c r="G270" s="205"/>
      <c r="H270" s="205"/>
      <c r="I270" s="205"/>
      <c r="J270"/>
      <c r="K270"/>
      <c r="L270" s="205"/>
      <c r="M270" s="205"/>
      <c r="N270" s="205"/>
      <c r="O270" s="192"/>
      <c r="P270" s="192"/>
      <c r="Q270" s="205"/>
      <c r="R270" s="205"/>
      <c r="W270" s="205"/>
      <c r="X270" s="205"/>
      <c r="Y270" s="205"/>
      <c r="Z270" s="205"/>
      <c r="AA270" s="205"/>
      <c r="AB270" s="205"/>
      <c r="AC270" s="205"/>
      <c r="AD270" s="205"/>
      <c r="AL270" s="205"/>
      <c r="AM270" s="205"/>
      <c r="AN270" s="205"/>
      <c r="AO270" s="205"/>
      <c r="AP270" s="205"/>
      <c r="AQ270" s="205"/>
      <c r="AR270" s="205"/>
      <c r="AS270" s="205"/>
      <c r="AV270" s="205"/>
      <c r="AW270" s="205"/>
      <c r="AX270" s="205"/>
      <c r="AY270" s="205"/>
      <c r="AZ270" s="205"/>
      <c r="BD270" s="205"/>
      <c r="BF270" s="205"/>
    </row>
    <row r="271" spans="1:58" x14ac:dyDescent="0.2">
      <c r="A271" s="219"/>
      <c r="B271" s="219"/>
      <c r="C271" s="205"/>
      <c r="D271" s="205"/>
      <c r="E271" s="192"/>
      <c r="F271" s="205"/>
      <c r="G271" s="205"/>
      <c r="H271" s="205"/>
      <c r="I271" s="205"/>
      <c r="J271"/>
      <c r="K271"/>
      <c r="L271" s="205"/>
      <c r="M271" s="205"/>
      <c r="N271" s="205"/>
      <c r="O271" s="192"/>
      <c r="P271" s="192"/>
      <c r="Q271" s="205"/>
      <c r="R271" s="205"/>
      <c r="W271" s="205"/>
      <c r="X271" s="205"/>
      <c r="Y271" s="205"/>
      <c r="Z271" s="205"/>
      <c r="AA271" s="205"/>
      <c r="AB271" s="205"/>
      <c r="AC271" s="205"/>
      <c r="AD271" s="205"/>
      <c r="AL271" s="205"/>
      <c r="AM271" s="205"/>
      <c r="AN271" s="205"/>
      <c r="AO271" s="205"/>
      <c r="AP271" s="205"/>
      <c r="AQ271" s="205"/>
      <c r="AR271" s="205"/>
      <c r="AS271" s="205"/>
      <c r="AV271" s="205"/>
      <c r="AW271" s="205"/>
      <c r="AX271" s="205"/>
      <c r="AY271" s="205"/>
      <c r="AZ271" s="205"/>
      <c r="BD271" s="205"/>
      <c r="BF271" s="205"/>
    </row>
    <row r="272" spans="1:58" x14ac:dyDescent="0.2">
      <c r="A272" s="219"/>
      <c r="B272" s="219"/>
      <c r="C272" s="205"/>
      <c r="D272" s="205"/>
      <c r="E272" s="192"/>
      <c r="F272" s="205"/>
      <c r="G272" s="205"/>
      <c r="H272" s="205"/>
      <c r="I272" s="205"/>
      <c r="J272"/>
      <c r="K272"/>
      <c r="L272" s="205"/>
      <c r="M272" s="205"/>
      <c r="N272" s="205"/>
      <c r="O272" s="192"/>
      <c r="P272" s="192"/>
      <c r="Q272" s="205"/>
      <c r="R272" s="205"/>
      <c r="W272" s="205"/>
      <c r="X272" s="205"/>
      <c r="Y272" s="205"/>
      <c r="Z272" s="205"/>
      <c r="AA272" s="205"/>
      <c r="AB272" s="205"/>
      <c r="AC272" s="205"/>
      <c r="AD272" s="205"/>
      <c r="AL272" s="205"/>
      <c r="AM272" s="205"/>
      <c r="AN272" s="205"/>
      <c r="AO272" s="205"/>
      <c r="AP272" s="205"/>
      <c r="AQ272" s="205"/>
      <c r="AR272" s="205"/>
      <c r="AS272" s="205"/>
      <c r="AV272" s="205"/>
      <c r="AW272" s="205"/>
      <c r="AX272" s="205"/>
      <c r="AY272" s="205"/>
      <c r="AZ272" s="205"/>
      <c r="BD272" s="205"/>
      <c r="BF272" s="205"/>
    </row>
    <row r="273" spans="1:100" x14ac:dyDescent="0.2">
      <c r="A273" s="219"/>
      <c r="B273" s="219"/>
      <c r="C273" s="205"/>
      <c r="D273" s="205"/>
      <c r="E273" s="192"/>
      <c r="F273" s="205"/>
      <c r="G273" s="205"/>
      <c r="H273" s="205"/>
      <c r="I273" s="205"/>
      <c r="J273"/>
      <c r="K273"/>
      <c r="L273" s="205"/>
      <c r="M273" s="205"/>
      <c r="N273" s="205"/>
      <c r="O273" s="192"/>
      <c r="P273" s="192"/>
      <c r="Q273" s="205"/>
      <c r="R273" s="205"/>
      <c r="W273" s="205"/>
      <c r="X273" s="205"/>
      <c r="Y273" s="205"/>
      <c r="Z273" s="205"/>
      <c r="AA273" s="205"/>
      <c r="AB273" s="205"/>
      <c r="AC273" s="205"/>
      <c r="AD273" s="205"/>
      <c r="AL273" s="205"/>
      <c r="AM273" s="205"/>
      <c r="AN273" s="205"/>
      <c r="AO273" s="205"/>
      <c r="AP273" s="205"/>
      <c r="AQ273" s="205"/>
      <c r="AR273" s="205"/>
      <c r="AS273" s="205"/>
      <c r="AV273" s="205"/>
      <c r="AW273" s="205"/>
      <c r="AX273" s="205"/>
      <c r="AY273" s="205"/>
      <c r="AZ273" s="205"/>
      <c r="BD273" s="205"/>
      <c r="BF273" s="205"/>
    </row>
    <row r="274" spans="1:100" x14ac:dyDescent="0.2">
      <c r="A274" s="219"/>
      <c r="B274" s="219"/>
      <c r="C274" s="205"/>
      <c r="D274" s="205"/>
      <c r="E274" s="192"/>
      <c r="F274" s="205"/>
      <c r="G274" s="205"/>
      <c r="H274" s="205"/>
      <c r="I274" s="205"/>
      <c r="J274"/>
      <c r="K274"/>
      <c r="L274" s="205"/>
      <c r="M274" s="205"/>
      <c r="N274" s="205"/>
      <c r="O274" s="192"/>
      <c r="P274" s="192"/>
      <c r="Q274" s="205"/>
      <c r="R274" s="205"/>
      <c r="W274" s="205"/>
      <c r="X274" s="205"/>
      <c r="Y274" s="205"/>
      <c r="Z274" s="205"/>
      <c r="AA274" s="205"/>
      <c r="AB274" s="205"/>
      <c r="AC274" s="205"/>
      <c r="AD274" s="205"/>
      <c r="AL274" s="205"/>
      <c r="AM274" s="205"/>
      <c r="AN274" s="205"/>
      <c r="AO274" s="205"/>
      <c r="AP274" s="205"/>
      <c r="AQ274" s="205"/>
      <c r="AR274" s="205"/>
      <c r="AS274" s="205"/>
      <c r="AV274" s="205"/>
      <c r="AW274" s="205"/>
      <c r="AX274" s="205"/>
      <c r="AY274" s="205"/>
      <c r="AZ274" s="205"/>
      <c r="BD274" s="205"/>
      <c r="BF274" s="205"/>
    </row>
    <row r="275" spans="1:100" x14ac:dyDescent="0.2">
      <c r="A275" s="219"/>
      <c r="B275" s="219"/>
      <c r="C275" s="205"/>
      <c r="D275" s="205"/>
      <c r="E275" s="192"/>
      <c r="F275" s="205"/>
      <c r="G275" s="205"/>
      <c r="H275" s="205"/>
      <c r="I275" s="205"/>
      <c r="J275"/>
      <c r="K275"/>
      <c r="L275" s="205"/>
      <c r="M275" s="205"/>
      <c r="N275" s="205"/>
      <c r="O275" s="192"/>
      <c r="P275" s="192"/>
      <c r="Q275" s="205"/>
      <c r="R275" s="205"/>
      <c r="W275" s="205"/>
      <c r="X275" s="205"/>
      <c r="Y275" s="205"/>
      <c r="Z275" s="205"/>
      <c r="AA275" s="205"/>
      <c r="AB275" s="205"/>
      <c r="AC275" s="205"/>
      <c r="AD275" s="205"/>
      <c r="AL275" s="205"/>
      <c r="AM275" s="205"/>
      <c r="AN275" s="205"/>
      <c r="AO275" s="205"/>
      <c r="AP275" s="205"/>
      <c r="AQ275" s="205"/>
      <c r="AR275" s="205"/>
      <c r="AS275" s="205"/>
      <c r="AV275" s="205"/>
      <c r="AW275" s="205"/>
      <c r="AX275" s="205"/>
      <c r="AY275" s="205"/>
      <c r="AZ275" s="205"/>
      <c r="BD275" s="205"/>
      <c r="BF275" s="205"/>
    </row>
    <row r="276" spans="1:100" x14ac:dyDescent="0.2">
      <c r="A276" s="219"/>
      <c r="B276" s="219"/>
      <c r="C276" s="205"/>
      <c r="D276" s="205"/>
      <c r="E276" s="192"/>
      <c r="F276" s="205"/>
      <c r="G276" s="205"/>
      <c r="H276" s="205"/>
      <c r="I276" s="205"/>
      <c r="J276"/>
      <c r="K276"/>
      <c r="L276" s="205"/>
      <c r="M276" s="205"/>
      <c r="N276" s="205"/>
      <c r="O276" s="192"/>
      <c r="P276" s="192"/>
      <c r="Q276" s="205"/>
      <c r="R276" s="205"/>
      <c r="W276" s="205"/>
      <c r="X276" s="205"/>
      <c r="Y276" s="205"/>
      <c r="Z276" s="205"/>
      <c r="AA276" s="205"/>
      <c r="AB276" s="205"/>
      <c r="AC276" s="205"/>
      <c r="AD276" s="205"/>
      <c r="AL276" s="205"/>
      <c r="AM276" s="205"/>
      <c r="AN276" s="205"/>
      <c r="AO276" s="205"/>
      <c r="AP276" s="205"/>
      <c r="AQ276" s="205"/>
      <c r="AR276" s="205"/>
      <c r="AS276" s="205"/>
      <c r="AV276" s="205"/>
      <c r="AW276" s="205"/>
      <c r="AX276" s="205"/>
      <c r="AY276" s="205"/>
      <c r="AZ276" s="205"/>
      <c r="BD276" s="205"/>
      <c r="BF276" s="205"/>
    </row>
    <row r="277" spans="1:100" x14ac:dyDescent="0.2">
      <c r="A277" s="219"/>
      <c r="B277" s="219"/>
      <c r="C277" s="205"/>
      <c r="D277" s="205"/>
      <c r="E277" s="192"/>
      <c r="F277" s="205"/>
      <c r="G277" s="205"/>
      <c r="H277" s="205"/>
      <c r="I277" s="205"/>
      <c r="J277"/>
      <c r="K277"/>
      <c r="L277" s="205"/>
      <c r="M277" s="205"/>
      <c r="N277" s="205"/>
      <c r="O277" s="192"/>
      <c r="P277" s="192"/>
      <c r="Q277" s="205"/>
      <c r="R277" s="205"/>
      <c r="W277" s="205"/>
      <c r="X277" s="205"/>
      <c r="Y277" s="205"/>
      <c r="Z277" s="205"/>
      <c r="AA277" s="205"/>
      <c r="AB277" s="205"/>
      <c r="AC277" s="205"/>
      <c r="AD277" s="205"/>
      <c r="AL277" s="205"/>
      <c r="AM277" s="205"/>
      <c r="AN277" s="205"/>
      <c r="AO277" s="205"/>
      <c r="AP277" s="205"/>
      <c r="AQ277" s="205"/>
      <c r="AR277" s="205"/>
      <c r="AS277" s="205"/>
      <c r="AV277" s="205"/>
      <c r="AW277" s="205"/>
      <c r="AX277" s="205"/>
      <c r="AY277" s="205"/>
      <c r="AZ277" s="205"/>
      <c r="BD277" s="205"/>
      <c r="BF277" s="205"/>
    </row>
    <row r="278" spans="1:100" x14ac:dyDescent="0.2">
      <c r="A278" s="219"/>
      <c r="B278" s="219"/>
      <c r="C278" s="205"/>
      <c r="D278" s="205"/>
      <c r="E278" s="192"/>
      <c r="F278" s="205"/>
      <c r="G278" s="205"/>
      <c r="H278" s="205"/>
      <c r="I278" s="205"/>
      <c r="J278"/>
      <c r="K278"/>
      <c r="L278" s="205"/>
      <c r="M278" s="205"/>
      <c r="N278" s="205"/>
      <c r="O278" s="192"/>
      <c r="P278" s="192"/>
      <c r="Q278" s="205"/>
      <c r="R278" s="205"/>
      <c r="W278" s="205"/>
      <c r="X278" s="205"/>
      <c r="Y278" s="205"/>
      <c r="Z278" s="205"/>
      <c r="AA278" s="205"/>
      <c r="AB278" s="205"/>
      <c r="AC278" s="205"/>
      <c r="AD278" s="205"/>
      <c r="AL278" s="205"/>
      <c r="AM278" s="205"/>
      <c r="AN278" s="205"/>
      <c r="AO278" s="205"/>
      <c r="AP278" s="205"/>
      <c r="AQ278" s="205"/>
      <c r="AR278" s="205"/>
      <c r="AS278" s="205"/>
      <c r="AV278" s="205"/>
      <c r="AW278" s="205"/>
      <c r="AX278" s="205"/>
      <c r="AY278" s="205"/>
      <c r="AZ278" s="205"/>
      <c r="BD278" s="205"/>
      <c r="BF278" s="205"/>
    </row>
    <row r="279" spans="1:100" x14ac:dyDescent="0.2">
      <c r="A279" s="219"/>
      <c r="B279" s="219"/>
      <c r="C279" s="205"/>
      <c r="D279" s="205"/>
      <c r="E279" s="192"/>
      <c r="F279" s="205"/>
      <c r="G279" s="205"/>
      <c r="H279" s="205"/>
      <c r="I279" s="205"/>
      <c r="J279" s="205"/>
      <c r="K279" s="205"/>
      <c r="L279" s="205"/>
      <c r="M279" s="205"/>
      <c r="N279" s="205"/>
      <c r="O279" s="192"/>
      <c r="P279" s="192"/>
      <c r="Q279" s="205"/>
      <c r="R279" s="205"/>
      <c r="W279" s="205"/>
      <c r="X279" s="205"/>
      <c r="Y279" s="205"/>
      <c r="Z279" s="205"/>
      <c r="AA279" s="205"/>
      <c r="AB279" s="205"/>
      <c r="AC279" s="205"/>
      <c r="AD279" s="205"/>
      <c r="AL279" s="205"/>
      <c r="AM279" s="205"/>
      <c r="AN279" s="205"/>
      <c r="AO279" s="205"/>
      <c r="AP279" s="205"/>
      <c r="AQ279" s="205"/>
      <c r="AR279" s="205"/>
      <c r="AS279" s="205"/>
      <c r="AV279" s="205"/>
      <c r="AW279" s="205"/>
      <c r="AX279" s="205"/>
      <c r="AY279" s="205"/>
      <c r="AZ279" s="205"/>
      <c r="BA279" s="205"/>
      <c r="BB279" s="205"/>
      <c r="BD279" s="205"/>
      <c r="BF279" s="205"/>
      <c r="BG279" s="201"/>
      <c r="BK279" s="201"/>
      <c r="BL279" s="201"/>
      <c r="BM279" s="201"/>
      <c r="BN279" s="201"/>
      <c r="BO279" s="201"/>
      <c r="BP279" s="201"/>
      <c r="BQ279" s="201"/>
      <c r="BR279" s="201"/>
      <c r="BS279" s="201"/>
      <c r="BT279" s="201"/>
      <c r="BU279" s="201"/>
      <c r="BV279" s="201"/>
      <c r="BW279" s="201"/>
      <c r="BX279" s="201"/>
      <c r="BY279" s="201"/>
      <c r="BZ279" s="201"/>
      <c r="CA279" s="201"/>
      <c r="CB279" s="201"/>
      <c r="CC279" s="201"/>
      <c r="CD279" s="201"/>
      <c r="CE279" s="201"/>
      <c r="CF279" s="201"/>
      <c r="CG279" s="201"/>
      <c r="CH279" s="201"/>
      <c r="CI279" s="201"/>
      <c r="CJ279" s="201"/>
      <c r="CK279" s="201"/>
      <c r="CL279" s="201"/>
      <c r="CM279" s="201"/>
      <c r="CN279" s="201"/>
      <c r="CO279" s="201"/>
      <c r="CP279" s="201"/>
      <c r="CQ279" s="201"/>
      <c r="CR279" s="201"/>
      <c r="CS279" s="201"/>
      <c r="CT279" s="201"/>
      <c r="CU279" s="201"/>
      <c r="CV279" s="201"/>
    </row>
    <row r="280" spans="1:100" x14ac:dyDescent="0.2">
      <c r="A280" s="219"/>
      <c r="B280" s="219"/>
      <c r="C280" s="205"/>
      <c r="D280" s="205"/>
      <c r="E280" s="192"/>
      <c r="F280" s="205"/>
      <c r="G280" s="205"/>
      <c r="H280" s="205"/>
      <c r="I280" s="205"/>
      <c r="J280"/>
      <c r="K280"/>
      <c r="L280" s="205"/>
      <c r="M280" s="205"/>
      <c r="N280" s="205"/>
      <c r="O280" s="192"/>
      <c r="P280" s="192"/>
      <c r="Q280" s="205"/>
      <c r="R280" s="205"/>
      <c r="W280" s="205"/>
      <c r="X280" s="205"/>
      <c r="Y280" s="205"/>
      <c r="Z280" s="205"/>
      <c r="AA280" s="205"/>
      <c r="AB280" s="205"/>
      <c r="AC280" s="205"/>
      <c r="AD280" s="205"/>
      <c r="AL280" s="205"/>
      <c r="AM280" s="205"/>
      <c r="AN280" s="205"/>
      <c r="AO280" s="205"/>
      <c r="AP280" s="205"/>
      <c r="AQ280" s="205"/>
      <c r="AR280" s="205"/>
      <c r="AS280" s="205"/>
      <c r="AV280" s="205"/>
      <c r="AW280" s="205"/>
      <c r="AX280" s="205"/>
      <c r="AY280" s="205"/>
      <c r="AZ280" s="205"/>
      <c r="BD280" s="205"/>
      <c r="BF280" s="205"/>
    </row>
    <row r="281" spans="1:100" x14ac:dyDescent="0.2">
      <c r="A281" s="219"/>
      <c r="B281" s="219"/>
      <c r="C281" s="205"/>
      <c r="D281" s="205"/>
      <c r="E281" s="192"/>
      <c r="F281" s="205"/>
      <c r="G281" s="205"/>
      <c r="H281" s="205"/>
      <c r="I281" s="205"/>
      <c r="J281"/>
      <c r="K281"/>
      <c r="L281" s="205"/>
      <c r="M281" s="205"/>
      <c r="N281" s="205"/>
      <c r="O281" s="192"/>
      <c r="P281" s="192"/>
      <c r="Q281" s="205"/>
      <c r="R281" s="205"/>
      <c r="W281" s="205"/>
      <c r="X281" s="205"/>
      <c r="Y281" s="205"/>
      <c r="Z281" s="205"/>
      <c r="AA281" s="205"/>
      <c r="AB281" s="205"/>
      <c r="AC281" s="205"/>
      <c r="AD281" s="205"/>
      <c r="AL281" s="205"/>
      <c r="AM281" s="205"/>
      <c r="AN281" s="205"/>
      <c r="AO281" s="205"/>
      <c r="AP281" s="205"/>
      <c r="AQ281" s="205"/>
      <c r="AR281" s="205"/>
      <c r="AS281" s="205"/>
      <c r="AV281" s="205"/>
      <c r="AW281" s="205"/>
      <c r="AX281" s="205"/>
      <c r="AY281" s="205"/>
      <c r="AZ281" s="205"/>
      <c r="BD281" s="205"/>
      <c r="BF281" s="205"/>
    </row>
    <row r="282" spans="1:100" x14ac:dyDescent="0.2">
      <c r="A282" s="219"/>
      <c r="B282" s="219"/>
      <c r="C282" s="205"/>
      <c r="D282" s="205"/>
      <c r="E282" s="192"/>
      <c r="F282" s="205"/>
      <c r="G282" s="205"/>
      <c r="H282" s="205"/>
      <c r="I282" s="205"/>
      <c r="J282"/>
      <c r="K282"/>
      <c r="L282" s="205"/>
      <c r="M282" s="205"/>
      <c r="N282" s="205"/>
      <c r="O282" s="192"/>
      <c r="P282" s="192"/>
      <c r="Q282" s="205"/>
      <c r="R282" s="205"/>
      <c r="W282" s="205"/>
      <c r="X282" s="205"/>
      <c r="Y282" s="205"/>
      <c r="Z282" s="205"/>
      <c r="AA282" s="205"/>
      <c r="AB282" s="205"/>
      <c r="AC282" s="205"/>
      <c r="AD282" s="205"/>
      <c r="AL282" s="205"/>
      <c r="AM282" s="205"/>
      <c r="AN282" s="205"/>
      <c r="AO282" s="205"/>
      <c r="AP282" s="205"/>
      <c r="AQ282" s="205"/>
      <c r="AR282" s="205"/>
      <c r="AS282" s="205"/>
      <c r="AV282" s="205"/>
      <c r="AW282" s="205"/>
      <c r="AX282" s="205"/>
      <c r="AY282" s="205"/>
      <c r="AZ282" s="205"/>
      <c r="BD282" s="205"/>
      <c r="BF282" s="205"/>
    </row>
    <row r="283" spans="1:100" x14ac:dyDescent="0.2">
      <c r="A283" s="219"/>
      <c r="B283" s="219"/>
      <c r="C283" s="205"/>
      <c r="D283" s="205"/>
      <c r="E283" s="192"/>
      <c r="F283" s="205"/>
      <c r="G283" s="205"/>
      <c r="H283" s="205"/>
      <c r="I283" s="205"/>
      <c r="J283"/>
      <c r="K283"/>
      <c r="L283" s="205"/>
      <c r="M283" s="205"/>
      <c r="N283" s="205"/>
      <c r="O283" s="192"/>
      <c r="P283" s="192"/>
      <c r="Q283" s="205"/>
      <c r="R283" s="205"/>
      <c r="W283" s="205"/>
      <c r="X283" s="205"/>
      <c r="Y283" s="205"/>
      <c r="Z283" s="205"/>
      <c r="AA283" s="205"/>
      <c r="AB283" s="205"/>
      <c r="AC283" s="205"/>
      <c r="AD283" s="205"/>
      <c r="AL283" s="205"/>
      <c r="AM283" s="205"/>
      <c r="AN283" s="205"/>
      <c r="AO283" s="205"/>
      <c r="AP283" s="205"/>
      <c r="AQ283" s="205"/>
      <c r="AR283" s="205"/>
      <c r="AS283" s="205"/>
      <c r="AV283" s="205"/>
      <c r="AW283" s="205"/>
      <c r="AX283" s="205"/>
      <c r="AY283" s="205"/>
      <c r="AZ283" s="205"/>
      <c r="BD283" s="205"/>
      <c r="BF283" s="205"/>
    </row>
    <row r="284" spans="1:100" x14ac:dyDescent="0.2">
      <c r="A284" s="219"/>
      <c r="B284" s="219"/>
      <c r="C284" s="205"/>
      <c r="D284" s="205"/>
      <c r="E284" s="192"/>
      <c r="F284" s="205"/>
      <c r="G284" s="205"/>
      <c r="H284" s="205"/>
      <c r="I284" s="205"/>
      <c r="J284"/>
      <c r="K284"/>
      <c r="L284" s="205"/>
      <c r="M284" s="205"/>
      <c r="N284" s="205"/>
      <c r="O284" s="192"/>
      <c r="P284" s="192"/>
      <c r="Q284" s="205"/>
      <c r="R284" s="205"/>
      <c r="W284" s="205"/>
      <c r="X284" s="205"/>
      <c r="Y284" s="205"/>
      <c r="Z284" s="205"/>
      <c r="AA284" s="205"/>
      <c r="AB284" s="205"/>
      <c r="AC284" s="205"/>
      <c r="AD284" s="205"/>
      <c r="AL284" s="205"/>
      <c r="AM284" s="205"/>
      <c r="AN284" s="205"/>
      <c r="AO284" s="205"/>
      <c r="AP284" s="205"/>
      <c r="AQ284" s="205"/>
      <c r="AR284" s="205"/>
      <c r="AS284" s="205"/>
      <c r="AV284" s="205"/>
      <c r="AW284" s="205"/>
      <c r="AX284" s="205"/>
      <c r="AY284" s="205"/>
      <c r="AZ284" s="205"/>
      <c r="BD284" s="205"/>
      <c r="BF284" s="205"/>
    </row>
    <row r="285" spans="1:100" x14ac:dyDescent="0.2">
      <c r="A285" s="219"/>
      <c r="B285" s="219"/>
      <c r="C285" s="205"/>
      <c r="D285" s="205"/>
      <c r="E285" s="192"/>
      <c r="F285" s="205"/>
      <c r="G285" s="205"/>
      <c r="H285" s="205"/>
      <c r="I285" s="205"/>
      <c r="J285"/>
      <c r="K285"/>
      <c r="L285" s="205"/>
      <c r="M285" s="205"/>
      <c r="N285" s="205"/>
      <c r="O285" s="192"/>
      <c r="P285" s="192"/>
      <c r="Q285" s="205"/>
      <c r="R285" s="205"/>
      <c r="W285" s="205"/>
      <c r="X285" s="205"/>
      <c r="Y285" s="205"/>
      <c r="Z285" s="205"/>
      <c r="AA285" s="205"/>
      <c r="AB285" s="205"/>
      <c r="AC285" s="205"/>
      <c r="AD285" s="205"/>
      <c r="AL285" s="205"/>
      <c r="AM285" s="205"/>
      <c r="AN285" s="205"/>
      <c r="AO285" s="205"/>
      <c r="AP285" s="205"/>
      <c r="AQ285" s="205"/>
      <c r="AR285" s="205"/>
      <c r="AS285" s="205"/>
      <c r="AV285" s="205"/>
      <c r="AW285" s="205"/>
      <c r="AX285" s="205"/>
      <c r="AY285" s="205"/>
      <c r="AZ285" s="205"/>
      <c r="BD285" s="205"/>
      <c r="BF285" s="205"/>
    </row>
    <row r="286" spans="1:100" x14ac:dyDescent="0.2">
      <c r="A286" s="219"/>
      <c r="B286" s="219"/>
      <c r="C286" s="205"/>
      <c r="D286" s="205"/>
      <c r="E286" s="192"/>
      <c r="F286" s="205"/>
      <c r="G286" s="205"/>
      <c r="H286" s="205"/>
      <c r="I286" s="205"/>
      <c r="J286"/>
      <c r="K286"/>
      <c r="L286" s="205"/>
      <c r="M286" s="205"/>
      <c r="N286" s="205"/>
      <c r="O286" s="192"/>
      <c r="P286" s="192"/>
      <c r="Q286" s="205"/>
      <c r="R286" s="205"/>
      <c r="W286" s="205"/>
      <c r="X286" s="205"/>
      <c r="Y286" s="205"/>
      <c r="Z286" s="205"/>
      <c r="AA286" s="205"/>
      <c r="AB286" s="205"/>
      <c r="AC286" s="205"/>
      <c r="AD286" s="205"/>
      <c r="AL286" s="205"/>
      <c r="AM286" s="205"/>
      <c r="AN286" s="205"/>
      <c r="AO286" s="205"/>
      <c r="AP286" s="205"/>
      <c r="AQ286" s="205"/>
      <c r="AR286" s="205"/>
      <c r="AS286" s="205"/>
      <c r="AV286" s="205"/>
      <c r="AW286" s="205"/>
      <c r="AX286" s="205"/>
      <c r="AY286" s="205"/>
      <c r="AZ286" s="205"/>
      <c r="BD286" s="205"/>
      <c r="BF286" s="205"/>
    </row>
    <row r="287" spans="1:100" x14ac:dyDescent="0.2">
      <c r="A287" s="219"/>
      <c r="B287" s="219"/>
      <c r="C287" s="205"/>
      <c r="D287" s="205"/>
      <c r="E287" s="192"/>
      <c r="F287" s="205"/>
      <c r="G287" s="205"/>
      <c r="H287" s="205"/>
      <c r="I287" s="205"/>
      <c r="J287"/>
      <c r="K287"/>
      <c r="L287" s="205"/>
      <c r="M287" s="205"/>
      <c r="N287" s="205"/>
      <c r="O287" s="192"/>
      <c r="P287" s="192"/>
      <c r="Q287" s="205"/>
      <c r="R287" s="205"/>
      <c r="W287" s="205"/>
      <c r="X287" s="205"/>
      <c r="Y287" s="205"/>
      <c r="Z287" s="205"/>
      <c r="AA287" s="205"/>
      <c r="AB287" s="205"/>
      <c r="AC287" s="205"/>
      <c r="AD287" s="205"/>
      <c r="AL287" s="205"/>
      <c r="AM287" s="205"/>
      <c r="AN287" s="205"/>
      <c r="AO287" s="205"/>
      <c r="AP287" s="205"/>
      <c r="AQ287" s="205"/>
      <c r="AR287" s="205"/>
      <c r="AS287" s="205"/>
      <c r="AV287" s="205"/>
      <c r="AW287" s="205"/>
      <c r="AX287" s="205"/>
      <c r="AY287" s="205"/>
      <c r="AZ287" s="205"/>
      <c r="BD287" s="205"/>
      <c r="BF287" s="205"/>
    </row>
    <row r="288" spans="1:100" x14ac:dyDescent="0.2">
      <c r="A288" s="219"/>
      <c r="B288" s="219"/>
      <c r="C288" s="205"/>
      <c r="D288" s="205"/>
      <c r="E288" s="192"/>
      <c r="F288" s="205"/>
      <c r="G288" s="205"/>
      <c r="H288" s="205"/>
      <c r="I288" s="205"/>
      <c r="J288"/>
      <c r="K288"/>
      <c r="L288" s="205"/>
      <c r="M288" s="205"/>
      <c r="N288" s="205"/>
      <c r="O288" s="192"/>
      <c r="P288" s="192"/>
      <c r="Q288" s="205"/>
      <c r="R288" s="205"/>
      <c r="W288" s="205"/>
      <c r="X288" s="205"/>
      <c r="Y288" s="205"/>
      <c r="Z288" s="205"/>
      <c r="AA288" s="205"/>
      <c r="AB288" s="205"/>
      <c r="AC288" s="205"/>
      <c r="AD288" s="205"/>
      <c r="AL288" s="205"/>
      <c r="AM288" s="205"/>
      <c r="AN288" s="205"/>
      <c r="AO288" s="205"/>
      <c r="AP288" s="205"/>
      <c r="AQ288" s="205"/>
      <c r="AR288" s="205"/>
      <c r="AS288" s="205"/>
      <c r="AV288" s="205"/>
      <c r="AW288" s="205"/>
      <c r="AX288" s="205"/>
      <c r="AY288" s="205"/>
      <c r="AZ288" s="205"/>
      <c r="BD288" s="205"/>
      <c r="BF288" s="205"/>
    </row>
    <row r="289" spans="1:58" x14ac:dyDescent="0.2">
      <c r="A289" s="219"/>
      <c r="B289" s="219"/>
      <c r="C289" s="205"/>
      <c r="D289" s="205"/>
      <c r="E289" s="192"/>
      <c r="F289" s="205"/>
      <c r="G289" s="205"/>
      <c r="H289" s="205"/>
      <c r="I289" s="205"/>
      <c r="J289"/>
      <c r="K289"/>
      <c r="L289" s="205"/>
      <c r="M289" s="205"/>
      <c r="N289" s="205"/>
      <c r="O289" s="192"/>
      <c r="P289" s="192"/>
      <c r="Q289" s="205"/>
      <c r="R289" s="205"/>
      <c r="W289" s="205"/>
      <c r="X289" s="205"/>
      <c r="Y289" s="205"/>
      <c r="Z289" s="205"/>
      <c r="AA289" s="205"/>
      <c r="AB289" s="205"/>
      <c r="AC289" s="205"/>
      <c r="AD289" s="205"/>
      <c r="AL289" s="205"/>
      <c r="AM289" s="205"/>
      <c r="AN289" s="205"/>
      <c r="AO289" s="205"/>
      <c r="AP289" s="205"/>
      <c r="AQ289" s="205"/>
      <c r="AR289" s="205"/>
      <c r="AS289" s="205"/>
      <c r="AV289" s="205"/>
      <c r="AW289" s="205"/>
      <c r="AX289" s="205"/>
      <c r="AY289" s="205"/>
      <c r="AZ289" s="205"/>
      <c r="BD289" s="205"/>
      <c r="BF289" s="205"/>
    </row>
    <row r="290" spans="1:58" x14ac:dyDescent="0.2">
      <c r="A290" s="219"/>
      <c r="B290" s="219"/>
      <c r="C290" s="205"/>
      <c r="D290" s="205"/>
      <c r="E290" s="192"/>
      <c r="F290" s="205"/>
      <c r="G290" s="205"/>
      <c r="H290" s="205"/>
      <c r="I290" s="205"/>
      <c r="J290"/>
      <c r="K290"/>
      <c r="L290" s="205"/>
      <c r="M290" s="205"/>
      <c r="N290" s="205"/>
      <c r="O290" s="192"/>
      <c r="P290" s="192"/>
      <c r="Q290" s="205"/>
      <c r="R290" s="205"/>
      <c r="W290" s="205"/>
      <c r="X290" s="205"/>
      <c r="Y290" s="205"/>
      <c r="Z290" s="205"/>
      <c r="AA290" s="205"/>
      <c r="AB290" s="205"/>
      <c r="AC290" s="205"/>
      <c r="AD290" s="205"/>
      <c r="AL290" s="205"/>
      <c r="AM290" s="205"/>
      <c r="AN290" s="205"/>
      <c r="AO290" s="205"/>
      <c r="AP290" s="205"/>
      <c r="AQ290" s="205"/>
      <c r="AR290" s="205"/>
      <c r="AS290" s="205"/>
      <c r="AV290" s="205"/>
      <c r="AW290" s="205"/>
      <c r="AX290" s="205"/>
      <c r="AY290" s="205"/>
      <c r="AZ290" s="205"/>
      <c r="BD290" s="205"/>
      <c r="BF290" s="205"/>
    </row>
    <row r="291" spans="1:58" x14ac:dyDescent="0.2">
      <c r="A291" s="219"/>
      <c r="B291" s="219"/>
      <c r="C291" s="205"/>
      <c r="D291" s="205"/>
      <c r="E291" s="192"/>
      <c r="F291" s="205"/>
      <c r="G291" s="205"/>
      <c r="H291" s="205"/>
      <c r="I291" s="205"/>
      <c r="J291"/>
      <c r="K291"/>
      <c r="L291" s="205"/>
      <c r="M291" s="205"/>
      <c r="N291" s="205"/>
      <c r="O291" s="192"/>
      <c r="P291" s="192"/>
      <c r="Q291" s="205"/>
      <c r="R291" s="205"/>
      <c r="W291" s="205"/>
      <c r="X291" s="205"/>
      <c r="Y291" s="205"/>
      <c r="Z291" s="205"/>
      <c r="AA291" s="205"/>
      <c r="AB291" s="205"/>
      <c r="AC291" s="205"/>
      <c r="AD291" s="205"/>
      <c r="AL291" s="205"/>
      <c r="AM291" s="205"/>
      <c r="AN291" s="205"/>
      <c r="AO291" s="205"/>
      <c r="AP291" s="205"/>
      <c r="AQ291" s="205"/>
      <c r="AR291" s="205"/>
      <c r="AS291" s="205"/>
      <c r="AV291" s="205"/>
      <c r="AW291" s="205"/>
      <c r="AX291" s="205"/>
      <c r="AY291" s="205"/>
      <c r="AZ291" s="205"/>
      <c r="BD291" s="205"/>
      <c r="BF291" s="205"/>
    </row>
    <row r="292" spans="1:58" x14ac:dyDescent="0.2">
      <c r="A292" s="219"/>
      <c r="B292" s="219"/>
      <c r="C292" s="205"/>
      <c r="D292" s="205"/>
      <c r="E292" s="192"/>
      <c r="F292" s="205"/>
      <c r="G292" s="205"/>
      <c r="H292" s="205"/>
      <c r="I292" s="205"/>
      <c r="J292"/>
      <c r="K292"/>
      <c r="L292" s="205"/>
      <c r="M292" s="205"/>
      <c r="N292" s="205"/>
      <c r="O292" s="192"/>
      <c r="P292" s="192"/>
      <c r="Q292" s="205"/>
      <c r="R292" s="205"/>
      <c r="W292" s="205"/>
      <c r="X292" s="205"/>
      <c r="Y292" s="205"/>
      <c r="Z292" s="205"/>
      <c r="AA292" s="205"/>
      <c r="AB292" s="205"/>
      <c r="AC292" s="205"/>
      <c r="AD292" s="205"/>
      <c r="AL292" s="205"/>
      <c r="AM292" s="205"/>
      <c r="AN292" s="205"/>
      <c r="AO292" s="205"/>
      <c r="AP292" s="205"/>
      <c r="AQ292" s="205"/>
      <c r="AR292" s="205"/>
      <c r="AS292" s="205"/>
      <c r="AV292" s="205"/>
      <c r="AW292" s="205"/>
      <c r="AX292" s="205"/>
      <c r="AY292" s="205"/>
      <c r="AZ292" s="205"/>
      <c r="BD292" s="205"/>
      <c r="BF292" s="205"/>
    </row>
    <row r="293" spans="1:58" x14ac:dyDescent="0.2">
      <c r="A293" s="219"/>
      <c r="B293" s="219"/>
      <c r="C293" s="205"/>
      <c r="D293" s="205"/>
      <c r="E293" s="192"/>
      <c r="F293" s="205"/>
      <c r="G293" s="205"/>
      <c r="H293" s="205"/>
      <c r="I293" s="205"/>
      <c r="J293"/>
      <c r="K293"/>
      <c r="L293" s="205"/>
      <c r="M293" s="205"/>
      <c r="N293" s="205"/>
      <c r="O293" s="192"/>
      <c r="P293" s="192"/>
      <c r="Q293" s="205"/>
      <c r="R293" s="205"/>
      <c r="W293" s="205"/>
      <c r="X293" s="205"/>
      <c r="Y293" s="205"/>
      <c r="Z293" s="205"/>
      <c r="AA293" s="205"/>
      <c r="AB293" s="205"/>
      <c r="AC293" s="205"/>
      <c r="AD293" s="205"/>
      <c r="AL293" s="205"/>
      <c r="AM293" s="205"/>
      <c r="AN293" s="205"/>
      <c r="AO293" s="205"/>
      <c r="AP293" s="205"/>
      <c r="AQ293" s="205"/>
      <c r="AR293" s="205"/>
      <c r="AS293" s="205"/>
      <c r="AV293" s="205"/>
      <c r="AW293" s="205"/>
      <c r="AX293" s="205"/>
      <c r="AY293" s="205"/>
      <c r="AZ293" s="205"/>
      <c r="BD293" s="205"/>
      <c r="BF293" s="205"/>
    </row>
    <row r="294" spans="1:58" x14ac:dyDescent="0.2">
      <c r="A294" s="219"/>
      <c r="B294" s="219"/>
      <c r="C294" s="205"/>
      <c r="D294" s="205"/>
      <c r="E294" s="192"/>
      <c r="F294" s="205"/>
      <c r="G294" s="205"/>
      <c r="H294" s="205"/>
      <c r="I294" s="205"/>
      <c r="J294"/>
      <c r="K294"/>
      <c r="L294" s="205"/>
      <c r="M294" s="205"/>
      <c r="N294" s="205"/>
      <c r="O294" s="192"/>
      <c r="P294" s="192"/>
      <c r="Q294" s="205"/>
      <c r="R294" s="205"/>
      <c r="W294" s="205"/>
      <c r="X294" s="205"/>
      <c r="Y294" s="205"/>
      <c r="Z294" s="205"/>
      <c r="AA294" s="205"/>
      <c r="AB294" s="205"/>
      <c r="AC294" s="205"/>
      <c r="AD294" s="205"/>
      <c r="AL294" s="205"/>
      <c r="AM294" s="205"/>
      <c r="AN294" s="205"/>
      <c r="AO294" s="205"/>
      <c r="AP294" s="205"/>
      <c r="AQ294" s="205"/>
      <c r="AR294" s="205"/>
      <c r="AS294" s="205"/>
      <c r="AV294" s="205"/>
      <c r="AW294" s="205"/>
      <c r="AX294" s="205"/>
      <c r="AY294" s="205"/>
      <c r="AZ294" s="205"/>
      <c r="BD294" s="205"/>
      <c r="BF294" s="205"/>
    </row>
    <row r="295" spans="1:58" x14ac:dyDescent="0.2">
      <c r="A295" s="219"/>
      <c r="B295" s="219"/>
      <c r="C295" s="205"/>
      <c r="D295" s="205"/>
      <c r="E295" s="192"/>
      <c r="F295" s="205"/>
      <c r="G295" s="205"/>
      <c r="H295" s="205"/>
      <c r="I295" s="205"/>
      <c r="J295"/>
      <c r="K295"/>
      <c r="L295" s="205"/>
      <c r="M295" s="205"/>
      <c r="N295" s="205"/>
      <c r="O295" s="192"/>
      <c r="P295" s="192"/>
      <c r="Q295" s="205"/>
      <c r="R295" s="205"/>
      <c r="W295" s="205"/>
      <c r="X295" s="205"/>
      <c r="Y295" s="205"/>
      <c r="Z295" s="205"/>
      <c r="AA295" s="205"/>
      <c r="AB295" s="205"/>
      <c r="AC295" s="205"/>
      <c r="AD295" s="205"/>
      <c r="AL295" s="205"/>
      <c r="AM295" s="205"/>
      <c r="AN295" s="205"/>
      <c r="AO295" s="205"/>
      <c r="AP295" s="205"/>
      <c r="AQ295" s="205"/>
      <c r="AR295" s="205"/>
      <c r="AS295" s="205"/>
      <c r="AV295" s="205"/>
      <c r="AW295" s="205"/>
      <c r="AX295" s="205"/>
      <c r="AY295" s="205"/>
      <c r="AZ295" s="205"/>
      <c r="BD295" s="205"/>
      <c r="BF295" s="205"/>
    </row>
    <row r="296" spans="1:58" x14ac:dyDescent="0.2">
      <c r="A296" s="219"/>
      <c r="B296" s="219"/>
      <c r="C296" s="205"/>
      <c r="D296" s="205"/>
      <c r="E296" s="192"/>
      <c r="F296" s="205"/>
      <c r="G296" s="205"/>
      <c r="H296" s="205"/>
      <c r="I296" s="205"/>
      <c r="J296"/>
      <c r="K296"/>
      <c r="L296" s="205"/>
      <c r="M296" s="205"/>
      <c r="N296" s="205"/>
      <c r="O296" s="192"/>
      <c r="P296" s="192"/>
      <c r="Q296" s="205"/>
      <c r="R296" s="205"/>
      <c r="W296" s="205"/>
      <c r="X296" s="205"/>
      <c r="Y296" s="205"/>
      <c r="Z296" s="205"/>
      <c r="AA296" s="205"/>
      <c r="AB296" s="205"/>
      <c r="AC296" s="205"/>
      <c r="AD296" s="205"/>
      <c r="AL296" s="205"/>
      <c r="AM296" s="205"/>
      <c r="AN296" s="205"/>
      <c r="AO296" s="205"/>
      <c r="AP296" s="205"/>
      <c r="AQ296" s="205"/>
      <c r="AR296" s="205"/>
      <c r="AS296" s="205"/>
      <c r="AV296" s="205"/>
      <c r="AW296" s="205"/>
      <c r="AX296" s="205"/>
      <c r="AY296" s="205"/>
      <c r="AZ296" s="205"/>
      <c r="BD296" s="205"/>
      <c r="BF296" s="205"/>
    </row>
    <row r="297" spans="1:58" x14ac:dyDescent="0.2">
      <c r="A297" s="219"/>
      <c r="B297" s="219"/>
      <c r="C297" s="205"/>
      <c r="D297" s="205"/>
      <c r="E297" s="192"/>
      <c r="F297" s="205"/>
      <c r="G297" s="205"/>
      <c r="H297" s="205"/>
      <c r="I297" s="205"/>
      <c r="J297"/>
      <c r="K297"/>
      <c r="L297" s="205"/>
      <c r="M297" s="205"/>
      <c r="N297" s="205"/>
      <c r="O297" s="192"/>
      <c r="P297" s="192"/>
      <c r="Q297" s="205"/>
      <c r="R297" s="205"/>
      <c r="W297" s="205"/>
      <c r="X297" s="205"/>
      <c r="Y297" s="205"/>
      <c r="Z297" s="205"/>
      <c r="AA297" s="205"/>
      <c r="AB297" s="205"/>
      <c r="AC297" s="205"/>
      <c r="AD297" s="205"/>
      <c r="AL297" s="205"/>
      <c r="AM297" s="205"/>
      <c r="AN297" s="205"/>
      <c r="AO297" s="205"/>
      <c r="AP297" s="205"/>
      <c r="AQ297" s="205"/>
      <c r="AR297" s="205"/>
      <c r="AS297" s="205"/>
      <c r="AV297" s="205"/>
      <c r="AW297" s="205"/>
      <c r="AX297" s="205"/>
      <c r="AY297" s="205"/>
      <c r="AZ297" s="205"/>
      <c r="BD297" s="205"/>
      <c r="BF297" s="205"/>
    </row>
    <row r="298" spans="1:58" x14ac:dyDescent="0.2">
      <c r="A298" s="219"/>
      <c r="B298" s="219"/>
      <c r="C298" s="205"/>
      <c r="D298" s="205"/>
      <c r="E298" s="192"/>
      <c r="F298" s="205"/>
      <c r="G298" s="205"/>
      <c r="H298" s="205"/>
      <c r="I298" s="205"/>
      <c r="J298"/>
      <c r="K298"/>
      <c r="L298" s="205"/>
      <c r="M298" s="205"/>
      <c r="N298" s="205"/>
      <c r="O298" s="192"/>
      <c r="P298" s="192"/>
      <c r="Q298" s="205"/>
      <c r="R298" s="205"/>
      <c r="W298" s="205"/>
      <c r="X298" s="205"/>
      <c r="Y298" s="205"/>
      <c r="Z298" s="205"/>
      <c r="AA298" s="205"/>
      <c r="AB298" s="205"/>
      <c r="AC298" s="205"/>
      <c r="AD298" s="205"/>
      <c r="AL298" s="205"/>
      <c r="AM298" s="205"/>
      <c r="AN298" s="205"/>
      <c r="AO298" s="205"/>
      <c r="AP298" s="205"/>
      <c r="AQ298" s="205"/>
      <c r="AR298" s="205"/>
      <c r="AS298" s="205"/>
      <c r="AV298" s="205"/>
      <c r="AW298" s="205"/>
      <c r="AX298" s="205"/>
      <c r="AY298" s="205"/>
      <c r="AZ298" s="205"/>
      <c r="BD298" s="205"/>
      <c r="BF298" s="205"/>
    </row>
    <row r="299" spans="1:58" x14ac:dyDescent="0.2">
      <c r="A299" s="219"/>
      <c r="B299" s="219"/>
      <c r="C299" s="205"/>
      <c r="D299" s="205"/>
      <c r="E299" s="192"/>
      <c r="F299" s="205"/>
      <c r="G299" s="205"/>
      <c r="H299" s="205"/>
      <c r="I299" s="205"/>
      <c r="J299"/>
      <c r="K299"/>
      <c r="L299" s="205"/>
      <c r="M299" s="205"/>
      <c r="N299" s="205"/>
      <c r="O299" s="192"/>
      <c r="P299" s="192"/>
      <c r="Q299" s="205"/>
      <c r="R299" s="205"/>
      <c r="W299" s="205"/>
      <c r="X299" s="205"/>
      <c r="Y299" s="205"/>
      <c r="Z299" s="205"/>
      <c r="AA299" s="205"/>
      <c r="AB299" s="205"/>
      <c r="AC299" s="205"/>
      <c r="AD299" s="205"/>
      <c r="AL299" s="205"/>
      <c r="AM299" s="205"/>
      <c r="AN299" s="205"/>
      <c r="AO299" s="205"/>
      <c r="AP299" s="205"/>
      <c r="AQ299" s="205"/>
      <c r="AR299" s="205"/>
      <c r="AS299" s="205"/>
      <c r="AV299" s="205"/>
      <c r="AW299" s="205"/>
      <c r="AX299" s="205"/>
      <c r="AY299" s="205"/>
      <c r="AZ299" s="205"/>
      <c r="BD299" s="205"/>
      <c r="BF299" s="205"/>
    </row>
    <row r="300" spans="1:58" x14ac:dyDescent="0.2">
      <c r="A300" s="219"/>
      <c r="B300" s="219"/>
      <c r="C300" s="205"/>
      <c r="D300" s="205"/>
      <c r="E300" s="192"/>
      <c r="F300" s="205"/>
      <c r="G300" s="205"/>
      <c r="H300" s="205"/>
      <c r="I300" s="205"/>
      <c r="J300"/>
      <c r="K300"/>
      <c r="L300" s="205"/>
      <c r="M300" s="205"/>
      <c r="N300" s="205"/>
      <c r="O300" s="192"/>
      <c r="P300" s="192"/>
      <c r="Q300" s="205"/>
      <c r="R300" s="205"/>
      <c r="W300" s="205"/>
      <c r="X300" s="205"/>
      <c r="Y300" s="205"/>
      <c r="Z300" s="205"/>
      <c r="AA300" s="205"/>
      <c r="AB300" s="205"/>
      <c r="AC300" s="205"/>
      <c r="AD300" s="205"/>
      <c r="AL300" s="205"/>
      <c r="AM300" s="205"/>
      <c r="AN300" s="205"/>
      <c r="AO300" s="205"/>
      <c r="AP300" s="205"/>
      <c r="AQ300" s="205"/>
      <c r="AR300" s="205"/>
      <c r="AS300" s="205"/>
      <c r="AV300" s="205"/>
      <c r="AW300" s="205"/>
      <c r="AX300" s="205"/>
      <c r="AY300" s="205"/>
      <c r="AZ300" s="205"/>
      <c r="BD300" s="205"/>
      <c r="BF300" s="205"/>
    </row>
    <row r="301" spans="1:58" x14ac:dyDescent="0.2">
      <c r="A301" s="219"/>
      <c r="B301" s="219"/>
      <c r="C301" s="205"/>
      <c r="D301" s="205"/>
      <c r="E301" s="192"/>
      <c r="F301" s="205"/>
      <c r="G301" s="205"/>
      <c r="H301" s="205"/>
      <c r="I301" s="205"/>
      <c r="J301"/>
      <c r="K301"/>
      <c r="L301" s="205"/>
      <c r="M301" s="205"/>
      <c r="N301" s="205"/>
      <c r="O301" s="192"/>
      <c r="P301" s="192"/>
      <c r="Q301" s="205"/>
      <c r="R301" s="205"/>
      <c r="W301" s="205"/>
      <c r="X301" s="205"/>
      <c r="Y301" s="205"/>
      <c r="Z301" s="205"/>
      <c r="AA301" s="205"/>
      <c r="AB301" s="205"/>
      <c r="AC301" s="205"/>
      <c r="AD301" s="205"/>
      <c r="AL301" s="205"/>
      <c r="AM301" s="205"/>
      <c r="AN301" s="205"/>
      <c r="AO301" s="205"/>
      <c r="AP301" s="205"/>
      <c r="AQ301" s="205"/>
      <c r="AR301" s="205"/>
      <c r="AS301" s="205"/>
      <c r="AV301" s="205"/>
      <c r="AW301" s="205"/>
      <c r="AX301" s="205"/>
      <c r="AY301" s="205"/>
      <c r="AZ301" s="205"/>
      <c r="BD301" s="205"/>
      <c r="BF301" s="205"/>
    </row>
    <row r="302" spans="1:58" x14ac:dyDescent="0.2">
      <c r="A302" s="219"/>
      <c r="B302" s="219"/>
      <c r="C302" s="205"/>
      <c r="D302" s="205"/>
      <c r="E302" s="192"/>
      <c r="F302" s="205"/>
      <c r="G302" s="205"/>
      <c r="H302" s="205"/>
      <c r="I302" s="205"/>
      <c r="J302"/>
      <c r="K302"/>
      <c r="L302" s="205"/>
      <c r="M302" s="205"/>
      <c r="N302" s="205"/>
      <c r="O302" s="192"/>
      <c r="P302" s="192"/>
      <c r="Q302" s="205"/>
      <c r="R302" s="205"/>
      <c r="W302" s="205"/>
      <c r="X302" s="205"/>
      <c r="Y302" s="205"/>
      <c r="Z302" s="205"/>
      <c r="AA302" s="205"/>
      <c r="AB302" s="205"/>
      <c r="AC302" s="205"/>
      <c r="AD302" s="205"/>
      <c r="AL302" s="205"/>
      <c r="AM302" s="205"/>
      <c r="AN302" s="205"/>
      <c r="AO302" s="205"/>
      <c r="AP302" s="205"/>
      <c r="AQ302" s="205"/>
      <c r="AR302" s="205"/>
      <c r="AS302" s="205"/>
      <c r="AV302" s="205"/>
      <c r="AW302" s="205"/>
      <c r="AX302" s="205"/>
      <c r="AY302" s="205"/>
      <c r="AZ302" s="205"/>
      <c r="BD302" s="205"/>
      <c r="BF302" s="205"/>
    </row>
    <row r="303" spans="1:58" x14ac:dyDescent="0.2">
      <c r="A303" s="219"/>
      <c r="B303" s="219"/>
      <c r="C303" s="205"/>
      <c r="D303" s="205"/>
      <c r="E303" s="192"/>
      <c r="F303" s="205"/>
      <c r="G303" s="205"/>
      <c r="H303" s="205"/>
      <c r="I303" s="205"/>
      <c r="J303"/>
      <c r="K303"/>
      <c r="L303" s="205"/>
      <c r="M303" s="205"/>
      <c r="N303" s="205"/>
      <c r="O303" s="192"/>
      <c r="P303" s="192"/>
      <c r="Q303" s="205"/>
      <c r="R303" s="205"/>
      <c r="W303" s="205"/>
      <c r="X303" s="205"/>
      <c r="Y303" s="205"/>
      <c r="Z303" s="205"/>
      <c r="AA303" s="205"/>
      <c r="AB303" s="205"/>
      <c r="AC303" s="205"/>
      <c r="AD303" s="205"/>
      <c r="AL303" s="205"/>
      <c r="AM303" s="205"/>
      <c r="AN303" s="205"/>
      <c r="AO303" s="205"/>
      <c r="AP303" s="205"/>
      <c r="AQ303" s="205"/>
      <c r="AR303" s="205"/>
      <c r="AS303" s="205"/>
      <c r="AV303" s="205"/>
      <c r="AW303" s="205"/>
      <c r="AX303" s="205"/>
      <c r="AY303" s="205"/>
      <c r="AZ303" s="205"/>
      <c r="BD303" s="205"/>
      <c r="BF303" s="205"/>
    </row>
    <row r="304" spans="1:58" x14ac:dyDescent="0.2">
      <c r="A304" s="219"/>
      <c r="B304" s="219"/>
      <c r="C304" s="205"/>
      <c r="D304" s="205"/>
      <c r="E304" s="192"/>
      <c r="F304" s="205"/>
      <c r="G304" s="205"/>
      <c r="H304" s="205"/>
      <c r="I304" s="205"/>
      <c r="J304"/>
      <c r="K304"/>
      <c r="L304" s="205"/>
      <c r="M304" s="205"/>
      <c r="N304" s="205"/>
      <c r="O304" s="192"/>
      <c r="P304" s="192"/>
      <c r="Q304" s="205"/>
      <c r="R304" s="205"/>
      <c r="W304" s="205"/>
      <c r="X304" s="205"/>
      <c r="Y304" s="205"/>
      <c r="Z304" s="205"/>
      <c r="AA304" s="205"/>
      <c r="AB304" s="205"/>
      <c r="AC304" s="205"/>
      <c r="AD304" s="205"/>
      <c r="AL304" s="205"/>
      <c r="AM304" s="205"/>
      <c r="AN304" s="205"/>
      <c r="AO304" s="205"/>
      <c r="AP304" s="205"/>
      <c r="AQ304" s="205"/>
      <c r="AR304" s="205"/>
      <c r="AS304" s="205"/>
      <c r="AV304" s="205"/>
      <c r="AW304" s="205"/>
      <c r="AX304" s="205"/>
      <c r="AY304" s="205"/>
      <c r="AZ304" s="205"/>
      <c r="BD304" s="205"/>
      <c r="BF304" s="205"/>
    </row>
    <row r="305" spans="1:100" x14ac:dyDescent="0.2">
      <c r="A305" s="219"/>
      <c r="B305" s="219"/>
      <c r="C305" s="205"/>
      <c r="D305" s="205"/>
      <c r="E305" s="192"/>
      <c r="F305" s="205"/>
      <c r="G305" s="205"/>
      <c r="H305" s="205"/>
      <c r="I305" s="205"/>
      <c r="J305"/>
      <c r="K305"/>
      <c r="L305" s="205"/>
      <c r="M305" s="205"/>
      <c r="N305" s="205"/>
      <c r="O305" s="192"/>
      <c r="P305" s="192"/>
      <c r="Q305" s="205"/>
      <c r="R305" s="205"/>
      <c r="W305" s="205"/>
      <c r="X305" s="205"/>
      <c r="Y305" s="205"/>
      <c r="Z305" s="205"/>
      <c r="AA305" s="205"/>
      <c r="AB305" s="205"/>
      <c r="AC305" s="205"/>
      <c r="AD305" s="205"/>
      <c r="AL305" s="205"/>
      <c r="AM305" s="205"/>
      <c r="AN305" s="205"/>
      <c r="AO305" s="205"/>
      <c r="AP305" s="205"/>
      <c r="AQ305" s="205"/>
      <c r="AR305" s="205"/>
      <c r="AS305" s="205"/>
      <c r="AV305" s="205"/>
      <c r="AW305" s="205"/>
      <c r="AX305" s="205"/>
      <c r="AY305" s="205"/>
      <c r="AZ305" s="205"/>
      <c r="BD305" s="205"/>
      <c r="BF305" s="205"/>
    </row>
    <row r="306" spans="1:100" x14ac:dyDescent="0.2">
      <c r="A306" s="219"/>
      <c r="B306" s="219"/>
      <c r="C306" s="205"/>
      <c r="D306" s="205"/>
      <c r="E306" s="192"/>
      <c r="F306" s="205"/>
      <c r="G306" s="205"/>
      <c r="H306" s="205"/>
      <c r="I306" s="205"/>
      <c r="J306"/>
      <c r="K306"/>
      <c r="L306" s="205"/>
      <c r="M306" s="205"/>
      <c r="N306" s="205"/>
      <c r="O306" s="192"/>
      <c r="P306" s="192"/>
      <c r="Q306" s="205"/>
      <c r="R306" s="205"/>
      <c r="W306" s="205"/>
      <c r="X306" s="205"/>
      <c r="Y306" s="205"/>
      <c r="Z306" s="205"/>
      <c r="AA306" s="205"/>
      <c r="AB306" s="205"/>
      <c r="AC306" s="205"/>
      <c r="AD306" s="205"/>
      <c r="AL306" s="205"/>
      <c r="AM306" s="205"/>
      <c r="AN306" s="205"/>
      <c r="AO306" s="205"/>
      <c r="AP306" s="205"/>
      <c r="AQ306" s="205"/>
      <c r="AR306" s="205"/>
      <c r="AS306" s="205"/>
      <c r="AV306" s="205"/>
      <c r="AW306" s="205"/>
      <c r="AX306" s="205"/>
      <c r="AY306" s="205"/>
      <c r="AZ306" s="205"/>
      <c r="BD306" s="205"/>
      <c r="BF306" s="205"/>
    </row>
    <row r="307" spans="1:100" x14ac:dyDescent="0.2">
      <c r="A307" s="219"/>
      <c r="B307" s="219"/>
      <c r="C307" s="205"/>
      <c r="D307" s="205"/>
      <c r="E307" s="192"/>
      <c r="F307" s="205"/>
      <c r="G307" s="205"/>
      <c r="H307" s="205"/>
      <c r="I307" s="205"/>
      <c r="J307"/>
      <c r="K307"/>
      <c r="L307" s="205"/>
      <c r="M307" s="205"/>
      <c r="N307" s="205"/>
      <c r="O307" s="192"/>
      <c r="P307" s="192"/>
      <c r="Q307" s="205"/>
      <c r="R307" s="205"/>
      <c r="W307" s="205"/>
      <c r="X307" s="205"/>
      <c r="Y307" s="205"/>
      <c r="Z307" s="205"/>
      <c r="AA307" s="205"/>
      <c r="AB307" s="205"/>
      <c r="AC307" s="205"/>
      <c r="AD307" s="205"/>
      <c r="AL307" s="205"/>
      <c r="AM307" s="205"/>
      <c r="AN307" s="205"/>
      <c r="AO307" s="205"/>
      <c r="AP307" s="205"/>
      <c r="AQ307" s="205"/>
      <c r="AR307" s="205"/>
      <c r="AS307" s="205"/>
      <c r="AV307" s="205"/>
      <c r="AW307" s="205"/>
      <c r="AX307" s="205"/>
      <c r="AY307" s="205"/>
      <c r="AZ307" s="205"/>
      <c r="BD307" s="205"/>
      <c r="BF307" s="205"/>
    </row>
    <row r="308" spans="1:100" x14ac:dyDescent="0.2">
      <c r="A308" s="219"/>
      <c r="B308" s="219"/>
      <c r="C308" s="205"/>
      <c r="D308" s="205"/>
      <c r="E308" s="192"/>
      <c r="F308" s="205"/>
      <c r="G308" s="205"/>
      <c r="H308" s="205"/>
      <c r="I308" s="205"/>
      <c r="J308" s="205"/>
      <c r="K308" s="205"/>
      <c r="L308" s="205"/>
      <c r="M308" s="205"/>
      <c r="N308" s="205"/>
      <c r="O308" s="192"/>
      <c r="P308" s="192"/>
      <c r="Q308" s="205"/>
      <c r="R308" s="205"/>
      <c r="W308" s="205"/>
      <c r="X308" s="205"/>
      <c r="Y308" s="205"/>
      <c r="Z308" s="205"/>
      <c r="AA308" s="205"/>
      <c r="AB308" s="205"/>
      <c r="AC308" s="205"/>
      <c r="AD308" s="205"/>
      <c r="AL308" s="205"/>
      <c r="AM308" s="205"/>
      <c r="AN308" s="205"/>
      <c r="AO308" s="205"/>
      <c r="AP308" s="205"/>
      <c r="AQ308" s="205"/>
      <c r="AR308" s="205"/>
      <c r="AS308" s="205"/>
      <c r="AV308" s="205"/>
      <c r="AW308" s="205"/>
      <c r="AX308" s="205"/>
      <c r="AY308" s="205"/>
      <c r="AZ308" s="205"/>
      <c r="BA308" s="205"/>
      <c r="BB308" s="205"/>
      <c r="BD308" s="205"/>
      <c r="BF308" s="205"/>
      <c r="BG308" s="201"/>
      <c r="BJ308" s="201"/>
      <c r="BK308" s="201"/>
      <c r="BL308" s="201"/>
      <c r="BM308" s="201"/>
      <c r="BN308" s="201"/>
      <c r="BO308" s="201"/>
      <c r="BP308" s="201"/>
      <c r="BQ308" s="201"/>
      <c r="BR308" s="201"/>
      <c r="BS308" s="201"/>
      <c r="BT308" s="201"/>
      <c r="BU308" s="201"/>
      <c r="BV308" s="201"/>
      <c r="BW308" s="201"/>
      <c r="BX308" s="201"/>
      <c r="BY308" s="201"/>
      <c r="BZ308" s="201"/>
      <c r="CA308" s="201"/>
      <c r="CB308" s="201"/>
      <c r="CC308" s="201"/>
      <c r="CD308" s="201"/>
      <c r="CE308" s="201"/>
      <c r="CF308" s="201"/>
      <c r="CG308" s="201"/>
      <c r="CH308" s="201"/>
      <c r="CI308" s="201"/>
      <c r="CJ308" s="201"/>
      <c r="CK308" s="201"/>
      <c r="CL308" s="201"/>
      <c r="CM308" s="201"/>
      <c r="CN308" s="201"/>
      <c r="CO308" s="201"/>
      <c r="CP308" s="201"/>
      <c r="CQ308" s="201"/>
      <c r="CR308" s="201"/>
      <c r="CS308" s="201"/>
      <c r="CT308" s="201"/>
      <c r="CU308" s="201"/>
      <c r="CV308" s="201"/>
    </row>
    <row r="309" spans="1:100" x14ac:dyDescent="0.2">
      <c r="A309" s="219"/>
      <c r="B309" s="219"/>
      <c r="C309" s="205"/>
      <c r="D309" s="205"/>
      <c r="E309" s="192"/>
      <c r="F309" s="205"/>
      <c r="G309" s="205"/>
      <c r="H309" s="205"/>
      <c r="I309" s="205"/>
      <c r="J309"/>
      <c r="K309"/>
      <c r="L309" s="205"/>
      <c r="M309" s="205"/>
      <c r="N309" s="205"/>
      <c r="O309" s="192"/>
      <c r="P309" s="192"/>
      <c r="Q309" s="205"/>
      <c r="R309" s="205"/>
      <c r="W309" s="205"/>
      <c r="X309" s="205"/>
      <c r="Y309" s="205"/>
      <c r="Z309" s="205"/>
      <c r="AA309" s="205"/>
      <c r="AB309" s="205"/>
      <c r="AC309" s="205"/>
      <c r="AD309" s="205"/>
      <c r="AL309" s="205"/>
      <c r="AM309" s="205"/>
      <c r="AN309" s="205"/>
      <c r="AO309" s="205"/>
      <c r="AP309" s="205"/>
      <c r="AQ309" s="205"/>
      <c r="AR309" s="205"/>
      <c r="AS309" s="205"/>
      <c r="AV309" s="205"/>
      <c r="AW309" s="205"/>
      <c r="AX309" s="205"/>
      <c r="AY309" s="205"/>
      <c r="AZ309" s="205"/>
      <c r="BD309" s="205"/>
      <c r="BF309" s="205"/>
    </row>
    <row r="310" spans="1:100" x14ac:dyDescent="0.2">
      <c r="A310" s="219"/>
      <c r="B310" s="219"/>
      <c r="C310" s="205"/>
      <c r="D310" s="205"/>
      <c r="E310" s="192"/>
      <c r="F310" s="205"/>
      <c r="G310" s="205"/>
      <c r="H310" s="205"/>
      <c r="I310" s="205"/>
      <c r="J310"/>
      <c r="K310"/>
      <c r="L310" s="205"/>
      <c r="M310" s="205"/>
      <c r="N310" s="205"/>
      <c r="O310" s="192"/>
      <c r="P310" s="192"/>
      <c r="Q310" s="205"/>
      <c r="R310" s="205"/>
      <c r="W310" s="205"/>
      <c r="X310" s="205"/>
      <c r="Y310" s="205"/>
      <c r="Z310" s="205"/>
      <c r="AA310" s="205"/>
      <c r="AB310" s="205"/>
      <c r="AC310" s="205"/>
      <c r="AD310" s="205"/>
      <c r="AL310" s="205"/>
      <c r="AM310" s="205"/>
      <c r="AN310" s="205"/>
      <c r="AO310" s="205"/>
      <c r="AP310" s="205"/>
      <c r="AQ310" s="205"/>
      <c r="AR310" s="205"/>
      <c r="AS310" s="205"/>
      <c r="AV310" s="205"/>
      <c r="AW310" s="205"/>
      <c r="AX310" s="205"/>
      <c r="AY310" s="205"/>
      <c r="AZ310" s="205"/>
      <c r="BD310" s="205"/>
      <c r="BF310" s="205"/>
    </row>
    <row r="311" spans="1:100" x14ac:dyDescent="0.2">
      <c r="A311" s="219"/>
      <c r="B311" s="219"/>
      <c r="C311" s="205"/>
      <c r="D311" s="205"/>
      <c r="E311" s="192"/>
      <c r="F311" s="205"/>
      <c r="G311" s="205"/>
      <c r="H311" s="205"/>
      <c r="I311" s="205"/>
      <c r="J311"/>
      <c r="K311"/>
      <c r="L311" s="205"/>
      <c r="M311" s="205"/>
      <c r="N311" s="205"/>
      <c r="O311" s="192"/>
      <c r="P311" s="192"/>
      <c r="Q311" s="205"/>
      <c r="R311" s="205"/>
      <c r="W311" s="205"/>
      <c r="X311" s="205"/>
      <c r="Y311" s="205"/>
      <c r="Z311" s="205"/>
      <c r="AA311" s="205"/>
      <c r="AB311" s="205"/>
      <c r="AC311" s="205"/>
      <c r="AD311" s="205"/>
      <c r="AL311" s="205"/>
      <c r="AM311" s="205"/>
      <c r="AN311" s="205"/>
      <c r="AO311" s="205"/>
      <c r="AP311" s="205"/>
      <c r="AQ311" s="205"/>
      <c r="AR311" s="205"/>
      <c r="AS311" s="205"/>
      <c r="AV311" s="205"/>
      <c r="AW311" s="205"/>
      <c r="AX311" s="205"/>
      <c r="AY311" s="205"/>
      <c r="AZ311" s="205"/>
      <c r="BD311" s="205"/>
      <c r="BF311" s="205"/>
    </row>
    <row r="312" spans="1:100" x14ac:dyDescent="0.2">
      <c r="A312" s="219"/>
      <c r="B312" s="219"/>
      <c r="C312" s="205"/>
      <c r="D312" s="205"/>
      <c r="E312" s="192"/>
      <c r="F312" s="205"/>
      <c r="G312" s="205"/>
      <c r="H312" s="205"/>
      <c r="I312" s="205"/>
      <c r="J312" s="205"/>
      <c r="K312" s="205"/>
      <c r="L312" s="205"/>
      <c r="M312" s="205"/>
      <c r="N312" s="205"/>
      <c r="O312" s="192"/>
      <c r="P312" s="192"/>
      <c r="Q312" s="205"/>
      <c r="R312" s="205"/>
      <c r="W312" s="205"/>
      <c r="X312" s="205"/>
      <c r="Y312" s="205"/>
      <c r="Z312" s="205"/>
      <c r="AA312" s="205"/>
      <c r="AB312" s="205"/>
      <c r="AC312" s="205"/>
      <c r="AD312" s="205"/>
      <c r="AL312" s="205"/>
      <c r="AM312" s="205"/>
      <c r="AN312" s="205"/>
      <c r="AO312" s="205"/>
      <c r="AP312" s="205"/>
      <c r="AQ312" s="205"/>
      <c r="AR312" s="205"/>
      <c r="AS312" s="205"/>
      <c r="AV312" s="205"/>
      <c r="AW312" s="205"/>
      <c r="AX312" s="205"/>
      <c r="AY312" s="205"/>
      <c r="AZ312" s="205"/>
      <c r="BA312" s="205"/>
      <c r="BB312" s="205"/>
      <c r="BD312" s="205"/>
      <c r="BF312" s="205"/>
      <c r="BG312" s="201"/>
      <c r="BH312" s="201"/>
      <c r="BJ312" s="201"/>
      <c r="BK312" s="201"/>
      <c r="BL312" s="201"/>
      <c r="BM312" s="201"/>
      <c r="BN312" s="201"/>
      <c r="BO312" s="201"/>
      <c r="BP312" s="201"/>
      <c r="BQ312" s="201"/>
      <c r="BR312" s="201"/>
      <c r="BS312" s="201"/>
      <c r="BT312" s="201"/>
      <c r="BU312" s="201"/>
      <c r="BV312" s="201"/>
      <c r="BW312" s="201"/>
      <c r="BX312" s="201"/>
      <c r="BY312" s="201"/>
      <c r="BZ312" s="201"/>
      <c r="CA312" s="201"/>
      <c r="CB312" s="201"/>
      <c r="CC312" s="201"/>
      <c r="CD312" s="201"/>
      <c r="CE312" s="201"/>
      <c r="CF312" s="201"/>
      <c r="CG312" s="201"/>
      <c r="CH312" s="201"/>
      <c r="CI312" s="201"/>
      <c r="CJ312" s="201"/>
      <c r="CK312" s="201"/>
      <c r="CL312" s="201"/>
      <c r="CM312" s="201"/>
      <c r="CN312" s="201"/>
      <c r="CO312" s="201"/>
      <c r="CP312" s="201"/>
      <c r="CQ312" s="201"/>
      <c r="CR312" s="201"/>
      <c r="CS312" s="201"/>
      <c r="CT312" s="201"/>
      <c r="CU312" s="201"/>
      <c r="CV312" s="201"/>
    </row>
    <row r="313" spans="1:100" x14ac:dyDescent="0.2">
      <c r="A313" s="219"/>
      <c r="B313" s="219"/>
      <c r="C313" s="205"/>
      <c r="D313" s="205"/>
      <c r="E313" s="192"/>
      <c r="F313" s="205"/>
      <c r="G313" s="205"/>
      <c r="H313"/>
      <c r="I313" s="205"/>
      <c r="J313"/>
      <c r="K313"/>
      <c r="L313" s="205"/>
      <c r="M313" s="192"/>
      <c r="N313" s="205"/>
      <c r="O313" s="192"/>
      <c r="P313" s="192"/>
      <c r="Q313" s="205"/>
      <c r="R313" s="205"/>
      <c r="W313" s="205"/>
      <c r="X313" s="205"/>
      <c r="Y313" s="205"/>
      <c r="Z313" s="205"/>
      <c r="AA313" s="205"/>
      <c r="AB313" s="205"/>
      <c r="AC313" s="205"/>
      <c r="AD313" s="205"/>
      <c r="AL313" s="205"/>
      <c r="AM313" s="205"/>
      <c r="AN313" s="205"/>
      <c r="AO313" s="205"/>
      <c r="AP313" s="205"/>
      <c r="AQ313" s="205"/>
      <c r="AR313" s="205"/>
      <c r="AS313" s="205"/>
      <c r="AV313" s="205"/>
      <c r="AW313" s="205"/>
      <c r="AY313" s="205"/>
      <c r="AZ313" s="205"/>
      <c r="BD313" s="205"/>
      <c r="BF313" s="205"/>
    </row>
    <row r="314" spans="1:100" x14ac:dyDescent="0.2">
      <c r="A314" s="219"/>
      <c r="B314" s="219"/>
      <c r="C314" s="205"/>
      <c r="D314" s="205"/>
      <c r="E314" s="192"/>
      <c r="F314" s="205"/>
      <c r="G314"/>
      <c r="H314"/>
      <c r="I314" s="205"/>
      <c r="J314"/>
      <c r="K314"/>
      <c r="L314" s="205"/>
      <c r="M314" s="192"/>
      <c r="N314" s="205"/>
      <c r="O314" s="192"/>
      <c r="P314" s="192"/>
      <c r="Q314" s="205"/>
      <c r="R314" s="205"/>
      <c r="W314" s="205"/>
      <c r="X314" s="205"/>
      <c r="Y314" s="205"/>
      <c r="Z314" s="205"/>
      <c r="AA314" s="205"/>
      <c r="AB314" s="205"/>
      <c r="AC314" s="205"/>
      <c r="AD314" s="205"/>
      <c r="AL314" s="205"/>
      <c r="AM314" s="205"/>
      <c r="AN314" s="205"/>
      <c r="AO314" s="205"/>
      <c r="AP314" s="205"/>
      <c r="AQ314" s="205"/>
      <c r="AR314" s="205"/>
      <c r="AS314" s="205"/>
      <c r="AV314" s="205"/>
      <c r="AY314" s="205"/>
      <c r="AZ314" s="205"/>
      <c r="BD314" s="205"/>
      <c r="BF314" s="205"/>
    </row>
    <row r="315" spans="1:100" x14ac:dyDescent="0.2">
      <c r="A315" s="219"/>
      <c r="B315" s="219"/>
      <c r="C315" s="205"/>
      <c r="D315" s="205"/>
      <c r="E315" s="192"/>
      <c r="F315" s="205"/>
      <c r="G315" s="205"/>
      <c r="H315"/>
      <c r="I315" s="205"/>
      <c r="J315"/>
      <c r="K315"/>
      <c r="L315" s="205"/>
      <c r="M315" s="192"/>
      <c r="N315" s="205"/>
      <c r="O315" s="192"/>
      <c r="P315" s="192"/>
      <c r="Q315" s="205"/>
      <c r="R315" s="205"/>
      <c r="W315" s="205"/>
      <c r="X315" s="205"/>
      <c r="Y315" s="205"/>
      <c r="Z315" s="205"/>
      <c r="AA315" s="205"/>
      <c r="AB315" s="205"/>
      <c r="AC315" s="205"/>
      <c r="AD315" s="205"/>
      <c r="AL315" s="205"/>
      <c r="AM315" s="205"/>
      <c r="AN315" s="205"/>
      <c r="AO315" s="205"/>
      <c r="AP315" s="205"/>
      <c r="AQ315" s="205"/>
      <c r="AR315" s="205"/>
      <c r="AS315" s="205"/>
      <c r="AV315" s="205"/>
      <c r="AW315" s="205"/>
      <c r="AY315" s="205"/>
      <c r="AZ315" s="205"/>
      <c r="BD315" s="205"/>
      <c r="BF315" s="205"/>
    </row>
    <row r="316" spans="1:100" x14ac:dyDescent="0.2">
      <c r="A316" s="219"/>
      <c r="B316" s="219"/>
      <c r="C316" s="205"/>
      <c r="D316" s="205"/>
      <c r="E316" s="192"/>
      <c r="F316" s="205"/>
      <c r="G316" s="205"/>
      <c r="H316"/>
      <c r="I316" s="205"/>
      <c r="J316"/>
      <c r="K316"/>
      <c r="L316" s="205"/>
      <c r="M316" s="192"/>
      <c r="N316" s="205"/>
      <c r="O316" s="192"/>
      <c r="P316" s="192"/>
      <c r="Q316" s="205"/>
      <c r="R316" s="205"/>
      <c r="W316" s="205"/>
      <c r="X316" s="205"/>
      <c r="Y316" s="205"/>
      <c r="Z316" s="205"/>
      <c r="AA316" s="205"/>
      <c r="AB316" s="205"/>
      <c r="AC316" s="205"/>
      <c r="AD316" s="205"/>
      <c r="AL316" s="205"/>
      <c r="AM316" s="205"/>
      <c r="AN316" s="205"/>
      <c r="AO316" s="205"/>
      <c r="AP316" s="205"/>
      <c r="AQ316" s="205"/>
      <c r="AR316" s="205"/>
      <c r="AS316" s="205"/>
      <c r="AV316" s="205"/>
      <c r="AW316" s="205"/>
      <c r="AY316" s="205"/>
      <c r="AZ316" s="205"/>
      <c r="BD316" s="205"/>
      <c r="BF316" s="205"/>
    </row>
    <row r="317" spans="1:100" x14ac:dyDescent="0.2">
      <c r="A317" s="219"/>
      <c r="B317" s="219"/>
      <c r="C317" s="205"/>
      <c r="D317" s="205"/>
      <c r="E317" s="192"/>
      <c r="F317" s="205"/>
      <c r="G317" s="205"/>
      <c r="H317"/>
      <c r="I317" s="205"/>
      <c r="J317"/>
      <c r="K317"/>
      <c r="L317" s="205"/>
      <c r="M317" s="192"/>
      <c r="N317" s="205"/>
      <c r="O317" s="192"/>
      <c r="P317" s="192"/>
      <c r="Q317" s="205"/>
      <c r="R317" s="205"/>
      <c r="W317" s="205"/>
      <c r="X317" s="205"/>
      <c r="Y317" s="205"/>
      <c r="Z317" s="205"/>
      <c r="AA317" s="205"/>
      <c r="AB317" s="205"/>
      <c r="AC317" s="205"/>
      <c r="AD317" s="205"/>
      <c r="AL317" s="205"/>
      <c r="AM317" s="205"/>
      <c r="AN317" s="205"/>
      <c r="AO317" s="205"/>
      <c r="AP317" s="205"/>
      <c r="AQ317" s="205"/>
      <c r="AR317" s="205"/>
      <c r="AS317" s="205"/>
      <c r="AV317" s="205"/>
      <c r="AW317" s="205"/>
      <c r="AY317" s="205"/>
      <c r="AZ317" s="205"/>
      <c r="BD317" s="205"/>
      <c r="BF317" s="205"/>
    </row>
    <row r="318" spans="1:100" x14ac:dyDescent="0.2">
      <c r="A318" s="219"/>
      <c r="B318" s="219"/>
      <c r="C318" s="205"/>
      <c r="D318" s="205"/>
      <c r="E318" s="192"/>
      <c r="F318" s="205"/>
      <c r="G318" s="205"/>
      <c r="H318" s="205"/>
      <c r="I318" s="205"/>
      <c r="J318" s="205"/>
      <c r="K318" s="205"/>
      <c r="L318" s="205"/>
      <c r="M318" s="192"/>
      <c r="N318" s="205"/>
      <c r="O318" s="192"/>
      <c r="P318" s="192"/>
      <c r="Q318" s="205"/>
      <c r="R318" s="205"/>
      <c r="W318" s="205"/>
      <c r="X318" s="205"/>
      <c r="Y318" s="205"/>
      <c r="Z318" s="205"/>
      <c r="AA318" s="205"/>
      <c r="AB318" s="205"/>
      <c r="AC318" s="205"/>
      <c r="AD318" s="205"/>
      <c r="AL318" s="205"/>
      <c r="AM318" s="205"/>
      <c r="AN318" s="205"/>
      <c r="AO318" s="205"/>
      <c r="AP318" s="205"/>
      <c r="AQ318" s="205"/>
      <c r="AR318" s="205"/>
      <c r="AS318" s="205"/>
      <c r="AV318" s="205"/>
      <c r="AW318" s="205"/>
      <c r="AX318" s="205"/>
      <c r="AY318" s="205"/>
      <c r="AZ318" s="205"/>
      <c r="BA318" s="205"/>
      <c r="BB318" s="205"/>
      <c r="BD318" s="205"/>
      <c r="BF318" s="205"/>
      <c r="BG318" s="201"/>
      <c r="BJ318" s="201"/>
      <c r="BK318" s="201"/>
      <c r="BL318" s="201"/>
      <c r="BM318" s="201"/>
      <c r="BN318" s="201"/>
      <c r="BO318" s="201"/>
      <c r="BP318" s="201"/>
      <c r="BQ318" s="201"/>
      <c r="BR318" s="201"/>
      <c r="BS318" s="201"/>
      <c r="BT318" s="201"/>
      <c r="BU318" s="201"/>
      <c r="BV318" s="201"/>
      <c r="BW318" s="201"/>
      <c r="BX318" s="201"/>
      <c r="BY318" s="201"/>
      <c r="BZ318" s="201"/>
      <c r="CA318" s="201"/>
      <c r="CB318" s="201"/>
      <c r="CC318" s="201"/>
      <c r="CD318" s="201"/>
      <c r="CE318" s="201"/>
      <c r="CF318" s="201"/>
      <c r="CG318" s="201"/>
      <c r="CH318" s="201"/>
      <c r="CI318" s="201"/>
      <c r="CJ318" s="201"/>
      <c r="CK318" s="201"/>
      <c r="CL318" s="201"/>
      <c r="CM318" s="201"/>
      <c r="CN318" s="201"/>
      <c r="CO318" s="201"/>
      <c r="CP318" s="201"/>
      <c r="CQ318" s="201"/>
      <c r="CR318" s="201"/>
      <c r="CS318" s="201"/>
      <c r="CT318" s="201"/>
      <c r="CU318" s="201"/>
      <c r="CV318" s="201"/>
    </row>
    <row r="319" spans="1:100" x14ac:dyDescent="0.2">
      <c r="A319" s="219"/>
      <c r="B319" s="219"/>
      <c r="C319" s="205"/>
      <c r="D319" s="205"/>
      <c r="E319" s="192"/>
      <c r="F319" s="205"/>
      <c r="G319" s="205"/>
      <c r="H319"/>
      <c r="I319" s="205"/>
      <c r="J319"/>
      <c r="K319"/>
      <c r="L319" s="205"/>
      <c r="M319" s="192"/>
      <c r="N319" s="205"/>
      <c r="O319" s="192"/>
      <c r="P319" s="192"/>
      <c r="Q319" s="205"/>
      <c r="R319" s="205"/>
      <c r="W319" s="205"/>
      <c r="X319" s="205"/>
      <c r="Y319" s="205"/>
      <c r="Z319" s="205"/>
      <c r="AA319" s="205"/>
      <c r="AB319" s="205"/>
      <c r="AC319" s="205"/>
      <c r="AD319" s="205"/>
      <c r="AL319" s="205"/>
      <c r="AM319" s="205"/>
      <c r="AN319" s="205"/>
      <c r="AO319" s="205"/>
      <c r="AP319" s="205"/>
      <c r="AQ319" s="205"/>
      <c r="AR319" s="205"/>
      <c r="AS319" s="205"/>
      <c r="AV319" s="205"/>
      <c r="AW319" s="205"/>
      <c r="AY319" s="205"/>
      <c r="AZ319" s="205"/>
      <c r="BD319" s="205"/>
      <c r="BF319" s="205"/>
    </row>
    <row r="320" spans="1:100" x14ac:dyDescent="0.2">
      <c r="A320" s="219"/>
      <c r="B320" s="219"/>
      <c r="C320" s="205"/>
      <c r="D320" s="205"/>
      <c r="E320" s="192"/>
      <c r="F320" s="205"/>
      <c r="G320" s="205"/>
      <c r="H320"/>
      <c r="I320" s="205"/>
      <c r="J320"/>
      <c r="K320"/>
      <c r="L320" s="205"/>
      <c r="M320" s="192"/>
      <c r="N320" s="205"/>
      <c r="O320" s="192"/>
      <c r="P320" s="192"/>
      <c r="Q320" s="205"/>
      <c r="R320" s="205"/>
      <c r="W320" s="205"/>
      <c r="X320" s="205"/>
      <c r="Y320" s="205"/>
      <c r="Z320" s="205"/>
      <c r="AA320" s="205"/>
      <c r="AB320" s="205"/>
      <c r="AC320" s="205"/>
      <c r="AD320" s="205"/>
      <c r="AL320" s="205"/>
      <c r="AM320" s="205"/>
      <c r="AN320" s="205"/>
      <c r="AO320" s="205"/>
      <c r="AP320" s="205"/>
      <c r="AQ320" s="205"/>
      <c r="AR320" s="205"/>
      <c r="AS320" s="205"/>
      <c r="AV320" s="205"/>
      <c r="AW320" s="205"/>
      <c r="AY320" s="205"/>
      <c r="AZ320" s="205"/>
      <c r="BD320" s="205"/>
      <c r="BF320" s="205"/>
    </row>
    <row r="321" spans="1:100" x14ac:dyDescent="0.2">
      <c r="A321" s="219"/>
      <c r="B321" s="219"/>
      <c r="C321" s="205"/>
      <c r="D321" s="205"/>
      <c r="E321" s="192"/>
      <c r="F321" s="205"/>
      <c r="G321" s="205"/>
      <c r="H321"/>
      <c r="I321" s="205"/>
      <c r="J321"/>
      <c r="K321"/>
      <c r="L321" s="205"/>
      <c r="M321" s="192"/>
      <c r="N321" s="205"/>
      <c r="O321" s="192"/>
      <c r="P321" s="192"/>
      <c r="Q321" s="205"/>
      <c r="R321" s="205"/>
      <c r="W321" s="205"/>
      <c r="X321" s="205"/>
      <c r="Y321" s="205"/>
      <c r="Z321" s="205"/>
      <c r="AA321" s="205"/>
      <c r="AB321" s="205"/>
      <c r="AC321" s="205"/>
      <c r="AD321" s="205"/>
      <c r="AL321" s="205"/>
      <c r="AM321" s="205"/>
      <c r="AN321" s="205"/>
      <c r="AO321" s="205"/>
      <c r="AP321" s="205"/>
      <c r="AQ321" s="205"/>
      <c r="AR321" s="205"/>
      <c r="AS321" s="205"/>
      <c r="AV321" s="205"/>
      <c r="AW321" s="205"/>
      <c r="AY321" s="205"/>
      <c r="AZ321" s="205"/>
      <c r="BD321" s="205"/>
      <c r="BF321" s="205"/>
    </row>
    <row r="322" spans="1:100" x14ac:dyDescent="0.2">
      <c r="A322" s="219"/>
      <c r="B322" s="219"/>
      <c r="C322" s="205"/>
      <c r="D322" s="205"/>
      <c r="E322" s="192"/>
      <c r="F322" s="205"/>
      <c r="G322" s="205"/>
      <c r="H322"/>
      <c r="I322" s="205"/>
      <c r="J322"/>
      <c r="K322"/>
      <c r="L322" s="205"/>
      <c r="M322" s="192"/>
      <c r="N322" s="205"/>
      <c r="O322" s="192"/>
      <c r="P322" s="192"/>
      <c r="Q322" s="205"/>
      <c r="R322" s="205"/>
      <c r="W322" s="205"/>
      <c r="X322" s="205"/>
      <c r="Y322" s="205"/>
      <c r="Z322" s="205"/>
      <c r="AA322" s="205"/>
      <c r="AB322" s="205"/>
      <c r="AC322" s="205"/>
      <c r="AD322" s="205"/>
      <c r="AL322" s="205"/>
      <c r="AM322" s="205"/>
      <c r="AN322" s="205"/>
      <c r="AO322" s="205"/>
      <c r="AP322" s="205"/>
      <c r="AQ322" s="205"/>
      <c r="AR322" s="205"/>
      <c r="AS322" s="205"/>
      <c r="AV322" s="205"/>
      <c r="AW322" s="205"/>
      <c r="AY322" s="205"/>
      <c r="AZ322" s="205"/>
      <c r="BD322" s="205"/>
      <c r="BF322" s="205"/>
    </row>
    <row r="323" spans="1:100" x14ac:dyDescent="0.2">
      <c r="A323" s="219"/>
      <c r="B323" s="219"/>
      <c r="C323" s="205"/>
      <c r="D323" s="205"/>
      <c r="E323" s="192"/>
      <c r="F323" s="205"/>
      <c r="G323" s="205"/>
      <c r="H323" s="205"/>
      <c r="I323" s="205"/>
      <c r="J323" s="205"/>
      <c r="K323" s="205"/>
      <c r="L323" s="205"/>
      <c r="M323" s="192"/>
      <c r="N323" s="205"/>
      <c r="O323" s="192"/>
      <c r="P323" s="192"/>
      <c r="Q323" s="205"/>
      <c r="R323" s="205"/>
      <c r="W323" s="205"/>
      <c r="X323" s="205"/>
      <c r="Y323" s="205"/>
      <c r="Z323" s="205"/>
      <c r="AA323" s="205"/>
      <c r="AB323" s="205"/>
      <c r="AC323" s="205"/>
      <c r="AD323" s="205"/>
      <c r="AL323" s="205"/>
      <c r="AM323" s="205"/>
      <c r="AN323" s="205"/>
      <c r="AO323" s="205"/>
      <c r="AP323" s="205"/>
      <c r="AQ323" s="205"/>
      <c r="AR323" s="205"/>
      <c r="AS323" s="205"/>
      <c r="AV323" s="205"/>
      <c r="AW323" s="205"/>
      <c r="AX323" s="205"/>
      <c r="AY323" s="205"/>
      <c r="AZ323" s="205"/>
      <c r="BA323" s="205"/>
      <c r="BB323" s="205"/>
      <c r="BD323" s="205"/>
      <c r="BF323" s="205"/>
      <c r="BG323" s="201"/>
      <c r="BK323" s="201"/>
      <c r="BL323" s="201"/>
      <c r="BM323" s="201"/>
      <c r="BN323" s="201"/>
      <c r="BO323" s="201"/>
      <c r="BP323" s="201"/>
      <c r="BQ323" s="201"/>
      <c r="BR323" s="201"/>
      <c r="BS323" s="201"/>
      <c r="BT323" s="201"/>
      <c r="BU323" s="201"/>
      <c r="BV323" s="201"/>
      <c r="BW323" s="201"/>
      <c r="BX323" s="201"/>
      <c r="BY323" s="201"/>
      <c r="BZ323" s="201"/>
      <c r="CA323" s="201"/>
      <c r="CB323" s="201"/>
      <c r="CC323" s="201"/>
      <c r="CD323" s="201"/>
      <c r="CE323" s="201"/>
      <c r="CF323" s="201"/>
      <c r="CG323" s="201"/>
      <c r="CH323" s="201"/>
      <c r="CI323" s="201"/>
      <c r="CJ323" s="201"/>
      <c r="CK323" s="201"/>
      <c r="CL323" s="201"/>
      <c r="CM323" s="201"/>
      <c r="CN323" s="201"/>
      <c r="CO323" s="201"/>
      <c r="CP323" s="201"/>
      <c r="CQ323" s="201"/>
      <c r="CR323" s="201"/>
      <c r="CS323" s="201"/>
      <c r="CT323" s="201"/>
      <c r="CU323" s="201"/>
      <c r="CV323" s="201"/>
    </row>
    <row r="324" spans="1:100" x14ac:dyDescent="0.2">
      <c r="A324" s="219"/>
      <c r="B324" s="219"/>
      <c r="C324" s="205"/>
      <c r="D324" s="205"/>
      <c r="E324" s="192"/>
      <c r="F324" s="205"/>
      <c r="G324" s="205"/>
      <c r="H324" s="205"/>
      <c r="I324" s="205"/>
      <c r="J324" s="205"/>
      <c r="K324" s="205"/>
      <c r="L324" s="205"/>
      <c r="M324" s="192"/>
      <c r="N324" s="205"/>
      <c r="O324" s="192"/>
      <c r="P324" s="192"/>
      <c r="Q324" s="205"/>
      <c r="R324" s="205"/>
      <c r="W324" s="205"/>
      <c r="X324" s="205"/>
      <c r="Y324" s="205"/>
      <c r="Z324" s="205"/>
      <c r="AA324" s="205"/>
      <c r="AB324" s="205"/>
      <c r="AC324" s="205"/>
      <c r="AD324" s="205"/>
      <c r="AL324" s="205"/>
      <c r="AM324" s="205"/>
      <c r="AN324" s="205"/>
      <c r="AO324" s="205"/>
      <c r="AP324" s="205"/>
      <c r="AQ324" s="205"/>
      <c r="AR324" s="205"/>
      <c r="AS324" s="205"/>
      <c r="AV324" s="205"/>
      <c r="AW324" s="205"/>
      <c r="AX324" s="205"/>
      <c r="AY324" s="205"/>
      <c r="AZ324" s="205"/>
      <c r="BA324" s="205"/>
      <c r="BB324" s="205"/>
      <c r="BD324" s="205"/>
      <c r="BF324" s="205"/>
      <c r="BG324" s="201"/>
      <c r="BJ324" s="201"/>
      <c r="BK324" s="201"/>
      <c r="BL324" s="201"/>
      <c r="BM324" s="201"/>
      <c r="BN324" s="201"/>
      <c r="BO324" s="201"/>
      <c r="BP324" s="201"/>
      <c r="BQ324" s="201"/>
      <c r="BR324" s="201"/>
      <c r="BS324" s="201"/>
      <c r="BT324" s="201"/>
      <c r="BU324" s="201"/>
      <c r="BV324" s="201"/>
      <c r="BW324" s="201"/>
      <c r="BX324" s="201"/>
      <c r="BY324" s="201"/>
      <c r="BZ324" s="201"/>
      <c r="CA324" s="201"/>
      <c r="CB324" s="201"/>
      <c r="CC324" s="201"/>
      <c r="CD324" s="201"/>
      <c r="CE324" s="201"/>
      <c r="CF324" s="201"/>
      <c r="CG324" s="201"/>
      <c r="CH324" s="201"/>
      <c r="CI324" s="201"/>
      <c r="CJ324" s="201"/>
      <c r="CK324" s="201"/>
      <c r="CL324" s="201"/>
      <c r="CM324" s="201"/>
      <c r="CN324" s="201"/>
      <c r="CO324" s="201"/>
      <c r="CP324" s="201"/>
      <c r="CQ324" s="201"/>
      <c r="CR324" s="201"/>
      <c r="CS324" s="201"/>
      <c r="CT324" s="201"/>
      <c r="CU324" s="201"/>
      <c r="CV324" s="201"/>
    </row>
    <row r="325" spans="1:100" x14ac:dyDescent="0.2">
      <c r="A325" s="219"/>
      <c r="B325" s="219"/>
      <c r="C325" s="205"/>
      <c r="D325" s="205"/>
      <c r="E325" s="192"/>
      <c r="F325" s="205"/>
      <c r="G325" s="205"/>
      <c r="H325" s="205"/>
      <c r="I325" s="205"/>
      <c r="J325" s="205"/>
      <c r="K325" s="205"/>
      <c r="L325" s="205"/>
      <c r="M325" s="192"/>
      <c r="N325" s="205"/>
      <c r="O325" s="192"/>
      <c r="P325" s="192"/>
      <c r="Q325" s="205"/>
      <c r="R325" s="205"/>
      <c r="W325" s="205"/>
      <c r="X325" s="205"/>
      <c r="Y325" s="205"/>
      <c r="Z325" s="205"/>
      <c r="AA325" s="205"/>
      <c r="AB325" s="205"/>
      <c r="AC325" s="205"/>
      <c r="AD325" s="205"/>
      <c r="AL325" s="205"/>
      <c r="AM325" s="205"/>
      <c r="AN325" s="205"/>
      <c r="AO325" s="205"/>
      <c r="AP325" s="205"/>
      <c r="AQ325" s="205"/>
      <c r="AR325" s="205"/>
      <c r="AS325" s="205"/>
      <c r="AV325" s="205"/>
      <c r="AW325" s="205"/>
      <c r="AX325" s="205"/>
      <c r="AY325" s="205"/>
      <c r="AZ325" s="205"/>
      <c r="BA325" s="205"/>
      <c r="BB325" s="205"/>
      <c r="BD325" s="205"/>
      <c r="BF325" s="205"/>
      <c r="BG325" s="201"/>
      <c r="BJ325" s="201"/>
      <c r="BK325" s="201"/>
      <c r="BL325" s="201"/>
      <c r="BM325" s="201"/>
      <c r="BN325" s="201"/>
      <c r="BO325" s="201"/>
      <c r="BP325" s="201"/>
      <c r="BQ325" s="201"/>
      <c r="BR325" s="201"/>
      <c r="BS325" s="201"/>
      <c r="BT325" s="201"/>
      <c r="BU325" s="201"/>
      <c r="BV325" s="201"/>
      <c r="BW325" s="201"/>
      <c r="BX325" s="201"/>
      <c r="BY325" s="201"/>
      <c r="BZ325" s="201"/>
      <c r="CA325" s="201"/>
      <c r="CB325" s="201"/>
      <c r="CC325" s="201"/>
      <c r="CD325" s="201"/>
      <c r="CE325" s="201"/>
      <c r="CF325" s="201"/>
      <c r="CG325" s="201"/>
      <c r="CH325" s="201"/>
      <c r="CI325" s="201"/>
      <c r="CJ325" s="201"/>
      <c r="CK325" s="201"/>
      <c r="CL325" s="201"/>
      <c r="CM325" s="201"/>
      <c r="CN325" s="201"/>
      <c r="CP325" s="201"/>
      <c r="CQ325" s="201"/>
      <c r="CR325" s="201"/>
      <c r="CS325" s="201"/>
      <c r="CT325" s="201"/>
      <c r="CU325" s="201"/>
      <c r="CV325" s="201"/>
    </row>
    <row r="326" spans="1:100" x14ac:dyDescent="0.2">
      <c r="A326" s="219"/>
      <c r="B326" s="219"/>
      <c r="C326" s="205"/>
      <c r="D326" s="205"/>
      <c r="E326" s="192"/>
      <c r="F326" s="205"/>
      <c r="G326" s="205"/>
      <c r="H326"/>
      <c r="I326" s="205"/>
      <c r="J326"/>
      <c r="K326"/>
      <c r="L326" s="205"/>
      <c r="M326" s="192"/>
      <c r="N326" s="205"/>
      <c r="O326" s="192"/>
      <c r="P326" s="192"/>
      <c r="Q326" s="205"/>
      <c r="R326" s="205"/>
      <c r="W326" s="205"/>
      <c r="X326" s="205"/>
      <c r="Y326" s="205"/>
      <c r="Z326" s="205"/>
      <c r="AA326" s="205"/>
      <c r="AB326" s="205"/>
      <c r="AC326" s="205"/>
      <c r="AD326" s="205"/>
      <c r="AL326" s="205"/>
      <c r="AM326" s="205"/>
      <c r="AN326" s="205"/>
      <c r="AO326" s="205"/>
      <c r="AP326" s="205"/>
      <c r="AQ326" s="205"/>
      <c r="AR326" s="205"/>
      <c r="AS326" s="205"/>
      <c r="AV326" s="205"/>
      <c r="AW326" s="205"/>
      <c r="AY326" s="205"/>
      <c r="AZ326" s="205"/>
      <c r="BD326" s="205"/>
      <c r="BF326" s="205"/>
    </row>
    <row r="327" spans="1:100" x14ac:dyDescent="0.2">
      <c r="A327" s="219"/>
      <c r="B327" s="219"/>
      <c r="C327" s="205"/>
      <c r="D327" s="205"/>
      <c r="E327" s="192"/>
      <c r="F327" s="205"/>
      <c r="G327" s="205"/>
      <c r="H327" s="205"/>
      <c r="I327" s="205"/>
      <c r="J327" s="205"/>
      <c r="K327" s="205"/>
      <c r="L327" s="205"/>
      <c r="M327" s="192"/>
      <c r="N327" s="205"/>
      <c r="O327" s="192"/>
      <c r="P327" s="192"/>
      <c r="Q327" s="205"/>
      <c r="R327" s="205"/>
      <c r="W327" s="205"/>
      <c r="X327" s="205"/>
      <c r="Y327" s="205"/>
      <c r="Z327" s="205"/>
      <c r="AA327" s="205"/>
      <c r="AB327" s="205"/>
      <c r="AC327" s="205"/>
      <c r="AD327" s="205"/>
      <c r="AL327" s="205"/>
      <c r="AM327" s="205"/>
      <c r="AN327" s="205"/>
      <c r="AO327" s="205"/>
      <c r="AP327" s="205"/>
      <c r="AQ327" s="205"/>
      <c r="AR327" s="205"/>
      <c r="AS327" s="205"/>
      <c r="AV327" s="205"/>
      <c r="AW327" s="205"/>
      <c r="AX327" s="205"/>
      <c r="AY327" s="205"/>
      <c r="AZ327" s="205"/>
      <c r="BA327" s="205"/>
      <c r="BB327" s="205"/>
      <c r="BD327" s="205"/>
      <c r="BF327" s="205"/>
      <c r="BG327" s="201"/>
      <c r="BJ327" s="201"/>
      <c r="BK327" s="201"/>
      <c r="BL327" s="201"/>
      <c r="BM327" s="201"/>
      <c r="BN327" s="201"/>
      <c r="BO327" s="201"/>
      <c r="BP327" s="201"/>
      <c r="BQ327" s="201"/>
      <c r="BR327" s="201"/>
      <c r="BS327" s="201"/>
      <c r="BT327" s="201"/>
      <c r="BU327" s="201"/>
      <c r="BV327" s="201"/>
      <c r="BW327" s="201"/>
      <c r="BX327" s="201"/>
      <c r="BY327" s="201"/>
      <c r="BZ327" s="201"/>
      <c r="CA327" s="201"/>
      <c r="CB327" s="201"/>
      <c r="CC327" s="201"/>
      <c r="CD327" s="201"/>
      <c r="CE327" s="201"/>
      <c r="CF327" s="201"/>
      <c r="CG327" s="201"/>
      <c r="CH327" s="201"/>
      <c r="CI327" s="201"/>
      <c r="CJ327" s="201"/>
      <c r="CK327" s="201"/>
      <c r="CL327" s="201"/>
      <c r="CM327" s="201"/>
      <c r="CN327" s="201"/>
      <c r="CO327" s="201"/>
      <c r="CP327" s="201"/>
      <c r="CQ327" s="201"/>
      <c r="CR327" s="201"/>
      <c r="CS327" s="201"/>
      <c r="CT327" s="201"/>
      <c r="CU327" s="201"/>
      <c r="CV327" s="201"/>
    </row>
    <row r="328" spans="1:100" x14ac:dyDescent="0.2">
      <c r="A328" s="219"/>
      <c r="B328" s="219"/>
      <c r="C328" s="205"/>
      <c r="D328" s="205"/>
      <c r="E328" s="192"/>
      <c r="F328" s="205"/>
      <c r="G328" s="205"/>
      <c r="H328"/>
      <c r="I328" s="205"/>
      <c r="J328"/>
      <c r="K328"/>
      <c r="L328" s="205"/>
      <c r="M328" s="192"/>
      <c r="N328" s="205"/>
      <c r="O328" s="192"/>
      <c r="P328" s="192"/>
      <c r="Q328" s="205"/>
      <c r="R328" s="205"/>
      <c r="W328" s="205"/>
      <c r="X328" s="205"/>
      <c r="Y328" s="205"/>
      <c r="Z328" s="205"/>
      <c r="AA328" s="205"/>
      <c r="AB328" s="205"/>
      <c r="AC328" s="205"/>
      <c r="AD328" s="205"/>
      <c r="AL328" s="205"/>
      <c r="AM328" s="205"/>
      <c r="AN328" s="205"/>
      <c r="AO328" s="205"/>
      <c r="AP328" s="205"/>
      <c r="AQ328" s="205"/>
      <c r="AR328" s="205"/>
      <c r="AS328" s="205"/>
      <c r="AV328" s="205"/>
      <c r="AW328" s="205"/>
      <c r="AY328" s="205"/>
      <c r="AZ328" s="205"/>
      <c r="BD328" s="205"/>
      <c r="BF328" s="205"/>
    </row>
    <row r="329" spans="1:100" x14ac:dyDescent="0.2">
      <c r="A329" s="219"/>
      <c r="B329" s="219"/>
      <c r="C329" s="205"/>
      <c r="D329" s="205"/>
      <c r="E329" s="192"/>
      <c r="F329" s="205"/>
      <c r="G329" s="205"/>
      <c r="H329"/>
      <c r="I329" s="205"/>
      <c r="J329"/>
      <c r="K329"/>
      <c r="L329" s="205"/>
      <c r="M329" s="192"/>
      <c r="N329" s="205"/>
      <c r="O329" s="192"/>
      <c r="P329" s="192"/>
      <c r="Q329" s="205"/>
      <c r="R329" s="205"/>
      <c r="W329" s="205"/>
      <c r="X329" s="205"/>
      <c r="Y329" s="205"/>
      <c r="Z329" s="205"/>
      <c r="AA329" s="205"/>
      <c r="AB329" s="205"/>
      <c r="AC329" s="205"/>
      <c r="AD329" s="205"/>
      <c r="AL329" s="205"/>
      <c r="AM329" s="205"/>
      <c r="AN329" s="205"/>
      <c r="AO329" s="205"/>
      <c r="AP329" s="205"/>
      <c r="AQ329" s="205"/>
      <c r="AR329" s="205"/>
      <c r="AS329" s="205"/>
      <c r="AV329" s="205"/>
      <c r="AW329" s="205"/>
      <c r="AY329" s="205"/>
      <c r="AZ329" s="205"/>
      <c r="BD329" s="205"/>
      <c r="BF329" s="205"/>
    </row>
    <row r="330" spans="1:100" x14ac:dyDescent="0.2">
      <c r="A330" s="219"/>
      <c r="B330" s="219"/>
      <c r="C330" s="205"/>
      <c r="D330" s="205"/>
      <c r="E330" s="192"/>
      <c r="F330" s="205"/>
      <c r="G330" s="205"/>
      <c r="H330"/>
      <c r="I330" s="205"/>
      <c r="J330"/>
      <c r="K330"/>
      <c r="L330" s="205"/>
      <c r="M330" s="192"/>
      <c r="N330" s="205"/>
      <c r="O330" s="192"/>
      <c r="P330" s="192"/>
      <c r="Q330" s="205"/>
      <c r="R330" s="205"/>
      <c r="W330" s="205"/>
      <c r="X330" s="205"/>
      <c r="Y330" s="205"/>
      <c r="Z330" s="205"/>
      <c r="AA330" s="205"/>
      <c r="AB330" s="205"/>
      <c r="AC330" s="205"/>
      <c r="AD330" s="205"/>
      <c r="AL330" s="205"/>
      <c r="AM330" s="205"/>
      <c r="AN330" s="205"/>
      <c r="AO330" s="205"/>
      <c r="AP330" s="205"/>
      <c r="AQ330" s="205"/>
      <c r="AR330" s="205"/>
      <c r="AS330" s="205"/>
      <c r="AV330" s="205"/>
      <c r="AW330" s="205"/>
      <c r="AY330" s="205"/>
      <c r="AZ330" s="205"/>
      <c r="BD330" s="205"/>
      <c r="BF330" s="205"/>
    </row>
    <row r="331" spans="1:100" x14ac:dyDescent="0.2">
      <c r="A331" s="219"/>
      <c r="B331" s="219"/>
      <c r="C331" s="205"/>
      <c r="D331" s="205"/>
      <c r="E331" s="192"/>
      <c r="F331" s="205"/>
      <c r="G331" s="205"/>
      <c r="H331" s="205"/>
      <c r="I331" s="205"/>
      <c r="J331"/>
      <c r="K331"/>
      <c r="L331" s="205"/>
      <c r="M331" s="192"/>
      <c r="N331" s="205"/>
      <c r="O331" s="192"/>
      <c r="P331" s="192"/>
      <c r="Q331" s="205"/>
      <c r="R331" s="205"/>
      <c r="W331" s="205"/>
      <c r="X331" s="205"/>
      <c r="Y331" s="205"/>
      <c r="Z331" s="205"/>
      <c r="AA331" s="205"/>
      <c r="AB331" s="205"/>
      <c r="AC331" s="205"/>
      <c r="AD331" s="205"/>
      <c r="AL331" s="205"/>
      <c r="AM331" s="205"/>
      <c r="AN331" s="205"/>
      <c r="AO331" s="205"/>
      <c r="AP331" s="205"/>
      <c r="AQ331" s="205"/>
      <c r="AR331" s="205"/>
      <c r="AS331" s="205"/>
      <c r="AV331" s="205"/>
      <c r="AW331" s="205"/>
      <c r="AX331" s="205"/>
      <c r="AY331" s="205"/>
      <c r="AZ331" s="205"/>
      <c r="BD331" s="205"/>
      <c r="BF331" s="205"/>
    </row>
    <row r="332" spans="1:100" x14ac:dyDescent="0.2">
      <c r="A332" s="219"/>
      <c r="B332" s="219"/>
      <c r="C332" s="205"/>
      <c r="D332" s="205"/>
      <c r="E332" s="192"/>
      <c r="F332" s="205"/>
      <c r="G332" s="205"/>
      <c r="H332"/>
      <c r="I332" s="205"/>
      <c r="J332"/>
      <c r="K332"/>
      <c r="L332" s="205"/>
      <c r="M332" s="192"/>
      <c r="N332" s="205"/>
      <c r="O332" s="192"/>
      <c r="P332" s="192"/>
      <c r="Q332" s="205"/>
      <c r="R332" s="205"/>
      <c r="W332" s="205"/>
      <c r="X332" s="205"/>
      <c r="Y332" s="205"/>
      <c r="Z332" s="205"/>
      <c r="AA332" s="205"/>
      <c r="AB332" s="205"/>
      <c r="AC332" s="205"/>
      <c r="AD332" s="205"/>
      <c r="AL332" s="205"/>
      <c r="AM332" s="205"/>
      <c r="AN332" s="205"/>
      <c r="AO332" s="205"/>
      <c r="AP332" s="205"/>
      <c r="AQ332" s="205"/>
      <c r="AR332" s="205"/>
      <c r="AS332" s="205"/>
      <c r="AV332" s="205"/>
      <c r="AW332" s="205"/>
      <c r="AY332" s="205"/>
      <c r="AZ332" s="205"/>
      <c r="BD332" s="205"/>
      <c r="BF332" s="205"/>
    </row>
    <row r="333" spans="1:100" x14ac:dyDescent="0.2">
      <c r="A333" s="219"/>
      <c r="B333" s="219"/>
      <c r="C333" s="205"/>
      <c r="D333" s="205"/>
      <c r="E333" s="192"/>
      <c r="F333" s="205"/>
      <c r="G333" s="205"/>
      <c r="H333"/>
      <c r="I333" s="205"/>
      <c r="J333"/>
      <c r="K333"/>
      <c r="L333" s="205"/>
      <c r="M333" s="192"/>
      <c r="N333" s="205"/>
      <c r="O333" s="192"/>
      <c r="P333" s="192"/>
      <c r="Q333" s="205"/>
      <c r="R333" s="205"/>
      <c r="W333" s="205"/>
      <c r="X333" s="205"/>
      <c r="Y333" s="205"/>
      <c r="Z333" s="205"/>
      <c r="AA333" s="205"/>
      <c r="AB333" s="205"/>
      <c r="AC333" s="205"/>
      <c r="AD333" s="205"/>
      <c r="AL333" s="205"/>
      <c r="AM333" s="205"/>
      <c r="AN333" s="205"/>
      <c r="AO333" s="205"/>
      <c r="AP333" s="205"/>
      <c r="AQ333" s="205"/>
      <c r="AR333" s="205"/>
      <c r="AS333" s="205"/>
      <c r="AV333" s="205"/>
      <c r="AW333" s="205"/>
      <c r="AY333" s="205"/>
      <c r="AZ333" s="205"/>
      <c r="BD333" s="205"/>
      <c r="BF333" s="205"/>
    </row>
    <row r="334" spans="1:100" x14ac:dyDescent="0.2">
      <c r="A334" s="219"/>
      <c r="B334" s="219"/>
      <c r="C334" s="205"/>
      <c r="D334" s="205"/>
      <c r="E334" s="192"/>
      <c r="F334" s="205"/>
      <c r="G334" s="205"/>
      <c r="H334"/>
      <c r="I334" s="205"/>
      <c r="J334"/>
      <c r="K334"/>
      <c r="L334" s="205"/>
      <c r="M334" s="192"/>
      <c r="N334" s="205"/>
      <c r="O334" s="192"/>
      <c r="P334" s="192"/>
      <c r="Q334" s="205"/>
      <c r="R334" s="205"/>
      <c r="W334" s="205"/>
      <c r="X334" s="205"/>
      <c r="Y334" s="205"/>
      <c r="Z334" s="205"/>
      <c r="AA334" s="205"/>
      <c r="AB334" s="205"/>
      <c r="AC334" s="205"/>
      <c r="AD334" s="205"/>
      <c r="AL334" s="205"/>
      <c r="AM334" s="205"/>
      <c r="AN334" s="205"/>
      <c r="AO334" s="205"/>
      <c r="AP334" s="205"/>
      <c r="AQ334" s="205"/>
      <c r="AR334" s="205"/>
      <c r="AS334" s="205"/>
      <c r="AV334" s="205"/>
      <c r="AW334" s="205"/>
      <c r="AY334" s="205"/>
      <c r="AZ334" s="205"/>
      <c r="BD334" s="205"/>
      <c r="BF334" s="205"/>
    </row>
    <row r="335" spans="1:100" x14ac:dyDescent="0.2">
      <c r="A335" s="219"/>
      <c r="B335" s="219"/>
      <c r="C335" s="205"/>
      <c r="D335" s="205"/>
      <c r="E335" s="192"/>
      <c r="F335" s="205"/>
      <c r="G335" s="205"/>
      <c r="H335"/>
      <c r="I335" s="205"/>
      <c r="J335"/>
      <c r="K335"/>
      <c r="L335" s="205"/>
      <c r="M335" s="192"/>
      <c r="N335" s="205"/>
      <c r="O335" s="192"/>
      <c r="P335" s="192"/>
      <c r="Q335" s="205"/>
      <c r="R335" s="205"/>
      <c r="W335" s="205"/>
      <c r="X335" s="205"/>
      <c r="Y335" s="205"/>
      <c r="Z335" s="205"/>
      <c r="AA335" s="205"/>
      <c r="AB335" s="205"/>
      <c r="AC335" s="205"/>
      <c r="AD335" s="205"/>
      <c r="AL335" s="205"/>
      <c r="AM335" s="205"/>
      <c r="AN335" s="205"/>
      <c r="AO335" s="205"/>
      <c r="AP335" s="205"/>
      <c r="AQ335" s="205"/>
      <c r="AR335" s="205"/>
      <c r="AS335" s="205"/>
      <c r="AV335" s="205"/>
      <c r="AW335" s="205"/>
      <c r="AY335" s="205"/>
      <c r="AZ335" s="205"/>
      <c r="BD335" s="205"/>
      <c r="BF335" s="205"/>
    </row>
    <row r="336" spans="1:100" x14ac:dyDescent="0.2">
      <c r="A336" s="219"/>
      <c r="B336" s="219"/>
      <c r="C336" s="205"/>
      <c r="D336" s="205"/>
      <c r="E336" s="192"/>
      <c r="F336" s="205"/>
      <c r="G336" s="205"/>
      <c r="H336"/>
      <c r="I336" s="205"/>
      <c r="J336"/>
      <c r="K336"/>
      <c r="L336" s="205"/>
      <c r="M336" s="192"/>
      <c r="N336" s="205"/>
      <c r="O336" s="192"/>
      <c r="P336" s="192"/>
      <c r="Q336" s="205"/>
      <c r="R336" s="205"/>
      <c r="W336" s="205"/>
      <c r="X336" s="205"/>
      <c r="Y336" s="205"/>
      <c r="Z336" s="205"/>
      <c r="AA336" s="205"/>
      <c r="AB336" s="205"/>
      <c r="AC336" s="205"/>
      <c r="AD336" s="205"/>
      <c r="AL336" s="205"/>
      <c r="AM336" s="205"/>
      <c r="AN336" s="205"/>
      <c r="AO336" s="205"/>
      <c r="AP336" s="205"/>
      <c r="AQ336" s="205"/>
      <c r="AR336" s="205"/>
      <c r="AS336" s="205"/>
      <c r="AV336" s="205"/>
      <c r="AW336" s="205"/>
      <c r="AY336" s="205"/>
      <c r="AZ336" s="205"/>
      <c r="BD336" s="205"/>
      <c r="BF336" s="205"/>
    </row>
    <row r="337" spans="1:100" x14ac:dyDescent="0.2">
      <c r="A337" s="219"/>
      <c r="B337" s="219"/>
      <c r="C337" s="205"/>
      <c r="D337" s="205"/>
      <c r="E337" s="192"/>
      <c r="F337" s="205"/>
      <c r="G337" s="205"/>
      <c r="H337" s="205"/>
      <c r="I337" s="205"/>
      <c r="J337" s="205"/>
      <c r="K337" s="205"/>
      <c r="L337" s="205"/>
      <c r="M337" s="192"/>
      <c r="N337" s="205"/>
      <c r="O337" s="192"/>
      <c r="P337" s="192"/>
      <c r="Q337" s="205"/>
      <c r="R337" s="205"/>
      <c r="W337" s="205"/>
      <c r="X337" s="205"/>
      <c r="Y337" s="205"/>
      <c r="Z337" s="205"/>
      <c r="AA337" s="205"/>
      <c r="AB337" s="205"/>
      <c r="AC337" s="205"/>
      <c r="AD337" s="205"/>
      <c r="AL337" s="205"/>
      <c r="AM337" s="205"/>
      <c r="AN337" s="205"/>
      <c r="AO337" s="205"/>
      <c r="AP337" s="205"/>
      <c r="AQ337" s="205"/>
      <c r="AR337" s="205"/>
      <c r="AS337" s="205"/>
      <c r="AV337" s="205"/>
      <c r="AW337" s="205"/>
      <c r="AX337" s="205"/>
      <c r="AY337" s="205"/>
      <c r="AZ337" s="205"/>
      <c r="BA337" s="205"/>
      <c r="BB337" s="205"/>
      <c r="BD337" s="205"/>
      <c r="BF337" s="205"/>
      <c r="BG337" s="201"/>
      <c r="BJ337" s="201"/>
      <c r="BK337" s="201"/>
      <c r="BL337" s="201"/>
      <c r="BM337" s="201"/>
      <c r="BN337" s="201"/>
      <c r="BO337" s="201"/>
      <c r="BP337" s="201"/>
      <c r="BQ337" s="201"/>
      <c r="BR337" s="201"/>
      <c r="BS337" s="201"/>
      <c r="BT337" s="201"/>
      <c r="BU337" s="201"/>
      <c r="BV337" s="201"/>
      <c r="BW337" s="201"/>
      <c r="BX337" s="201"/>
      <c r="BY337" s="201"/>
      <c r="BZ337" s="201"/>
      <c r="CA337" s="201"/>
      <c r="CB337" s="201"/>
      <c r="CC337" s="201"/>
      <c r="CD337" s="201"/>
      <c r="CE337" s="201"/>
      <c r="CF337" s="201"/>
      <c r="CG337" s="201"/>
      <c r="CH337" s="201"/>
      <c r="CI337" s="201"/>
      <c r="CJ337" s="201"/>
      <c r="CK337" s="201"/>
      <c r="CL337" s="201"/>
      <c r="CM337" s="201"/>
      <c r="CN337" s="201"/>
      <c r="CO337" s="201"/>
      <c r="CP337" s="201"/>
      <c r="CQ337" s="201"/>
      <c r="CR337" s="201"/>
      <c r="CS337" s="201"/>
      <c r="CT337" s="201"/>
      <c r="CU337" s="201"/>
      <c r="CV337" s="201"/>
    </row>
    <row r="338" spans="1:100" x14ac:dyDescent="0.2">
      <c r="A338" s="219"/>
      <c r="B338" s="219"/>
      <c r="C338" s="205"/>
      <c r="D338" s="205"/>
      <c r="E338" s="192"/>
      <c r="F338" s="205"/>
      <c r="G338" s="205"/>
      <c r="H338"/>
      <c r="I338" s="205"/>
      <c r="J338"/>
      <c r="K338"/>
      <c r="L338" s="205"/>
      <c r="M338" s="192"/>
      <c r="N338" s="205"/>
      <c r="O338" s="192"/>
      <c r="P338" s="192"/>
      <c r="Q338" s="205"/>
      <c r="R338" s="205"/>
      <c r="W338" s="205"/>
      <c r="X338" s="205"/>
      <c r="Y338" s="205"/>
      <c r="Z338" s="205"/>
      <c r="AA338" s="205"/>
      <c r="AB338" s="205"/>
      <c r="AC338" s="205"/>
      <c r="AD338" s="205"/>
      <c r="AL338" s="205"/>
      <c r="AM338" s="205"/>
      <c r="AN338" s="205"/>
      <c r="AO338" s="205"/>
      <c r="AP338" s="205"/>
      <c r="AQ338" s="205"/>
      <c r="AR338" s="205"/>
      <c r="AS338" s="205"/>
      <c r="AV338" s="205"/>
      <c r="AW338" s="205"/>
      <c r="AY338" s="205"/>
      <c r="AZ338" s="205"/>
      <c r="BD338" s="205"/>
      <c r="BF338" s="205"/>
    </row>
    <row r="339" spans="1:100" x14ac:dyDescent="0.2">
      <c r="A339" s="219"/>
      <c r="B339" s="219"/>
      <c r="C339" s="205"/>
      <c r="D339" s="205"/>
      <c r="E339" s="192"/>
      <c r="F339" s="205"/>
      <c r="G339" s="205"/>
      <c r="H339"/>
      <c r="I339" s="205"/>
      <c r="J339"/>
      <c r="K339"/>
      <c r="L339" s="205"/>
      <c r="M339" s="192"/>
      <c r="N339" s="205"/>
      <c r="O339" s="192"/>
      <c r="P339" s="192"/>
      <c r="Q339" s="205"/>
      <c r="R339" s="205"/>
      <c r="W339" s="205"/>
      <c r="X339" s="205"/>
      <c r="Y339" s="205"/>
      <c r="Z339" s="205"/>
      <c r="AA339" s="205"/>
      <c r="AB339" s="205"/>
      <c r="AC339" s="205"/>
      <c r="AD339" s="205"/>
      <c r="AL339" s="205"/>
      <c r="AM339" s="205"/>
      <c r="AN339" s="205"/>
      <c r="AO339" s="205"/>
      <c r="AP339" s="205"/>
      <c r="AQ339" s="205"/>
      <c r="AR339" s="205"/>
      <c r="AS339" s="205"/>
      <c r="AV339" s="205"/>
      <c r="AW339" s="205"/>
      <c r="AY339" s="205"/>
      <c r="AZ339" s="205"/>
      <c r="BD339" s="205"/>
      <c r="BF339" s="205"/>
    </row>
    <row r="340" spans="1:100" x14ac:dyDescent="0.2">
      <c r="A340" s="219"/>
      <c r="B340" s="219"/>
      <c r="C340" s="205"/>
      <c r="D340" s="205"/>
      <c r="E340" s="192"/>
      <c r="F340" s="205"/>
      <c r="G340" s="205"/>
      <c r="H340"/>
      <c r="I340" s="205"/>
      <c r="J340"/>
      <c r="K340"/>
      <c r="L340" s="205"/>
      <c r="M340" s="192"/>
      <c r="N340" s="205"/>
      <c r="O340" s="192"/>
      <c r="P340" s="192"/>
      <c r="Q340" s="205"/>
      <c r="R340" s="205"/>
      <c r="W340" s="205"/>
      <c r="X340" s="205"/>
      <c r="Y340" s="205"/>
      <c r="Z340" s="205"/>
      <c r="AA340" s="205"/>
      <c r="AB340" s="205"/>
      <c r="AC340" s="205"/>
      <c r="AD340" s="205"/>
      <c r="AL340" s="205"/>
      <c r="AM340" s="205"/>
      <c r="AN340" s="205"/>
      <c r="AO340" s="205"/>
      <c r="AP340" s="205"/>
      <c r="AQ340" s="205"/>
      <c r="AR340" s="205"/>
      <c r="AS340" s="205"/>
      <c r="AV340" s="205"/>
      <c r="AW340" s="205"/>
      <c r="AY340" s="205"/>
      <c r="AZ340" s="205"/>
      <c r="BD340" s="205"/>
      <c r="BF340" s="205"/>
    </row>
    <row r="341" spans="1:100" x14ac:dyDescent="0.2">
      <c r="A341" s="219"/>
      <c r="B341" s="219"/>
      <c r="C341" s="205"/>
      <c r="D341" s="205"/>
      <c r="E341" s="192"/>
      <c r="F341" s="205"/>
      <c r="G341" s="205"/>
      <c r="H341"/>
      <c r="I341" s="205"/>
      <c r="J341"/>
      <c r="K341"/>
      <c r="L341" s="205"/>
      <c r="M341" s="192"/>
      <c r="N341" s="205"/>
      <c r="O341" s="192"/>
      <c r="P341" s="192"/>
      <c r="Q341" s="205"/>
      <c r="R341" s="205"/>
      <c r="W341" s="205"/>
      <c r="X341" s="205"/>
      <c r="Y341" s="205"/>
      <c r="Z341" s="205"/>
      <c r="AA341" s="205"/>
      <c r="AB341" s="205"/>
      <c r="AC341" s="205"/>
      <c r="AD341" s="205"/>
      <c r="AL341" s="205"/>
      <c r="AM341" s="205"/>
      <c r="AN341" s="205"/>
      <c r="AO341" s="205"/>
      <c r="AP341" s="205"/>
      <c r="AQ341" s="205"/>
      <c r="AR341" s="205"/>
      <c r="AS341" s="205"/>
      <c r="AV341" s="205"/>
      <c r="AW341" s="205"/>
      <c r="AY341" s="205"/>
      <c r="AZ341" s="205"/>
      <c r="BD341" s="205"/>
      <c r="BF341" s="205"/>
    </row>
    <row r="342" spans="1:100" x14ac:dyDescent="0.2">
      <c r="A342" s="219"/>
      <c r="B342" s="219"/>
      <c r="C342" s="205"/>
      <c r="D342" s="205"/>
      <c r="E342" s="192"/>
      <c r="F342" s="205"/>
      <c r="G342" s="205"/>
      <c r="H342" s="205"/>
      <c r="I342" s="205"/>
      <c r="J342" s="205"/>
      <c r="K342" s="205"/>
      <c r="L342" s="205"/>
      <c r="M342" s="192"/>
      <c r="N342" s="205"/>
      <c r="O342" s="192"/>
      <c r="P342" s="192"/>
      <c r="Q342" s="205"/>
      <c r="R342" s="205"/>
      <c r="W342" s="205"/>
      <c r="X342" s="205"/>
      <c r="Y342" s="205"/>
      <c r="Z342" s="205"/>
      <c r="AA342" s="205"/>
      <c r="AB342" s="205"/>
      <c r="AC342" s="205"/>
      <c r="AD342" s="205"/>
      <c r="AL342" s="205"/>
      <c r="AM342" s="205"/>
      <c r="AN342" s="205"/>
      <c r="AO342" s="205"/>
      <c r="AP342" s="205"/>
      <c r="AQ342" s="205"/>
      <c r="AR342" s="205"/>
      <c r="AS342" s="205"/>
      <c r="AV342" s="205"/>
      <c r="AW342" s="205"/>
      <c r="AX342" s="205"/>
      <c r="AY342" s="205"/>
      <c r="AZ342" s="205"/>
      <c r="BA342" s="205"/>
      <c r="BB342" s="205"/>
      <c r="BD342" s="205"/>
      <c r="BF342" s="205"/>
      <c r="BG342" s="201"/>
      <c r="BJ342" s="201"/>
      <c r="BK342" s="201"/>
      <c r="BL342" s="201"/>
      <c r="BM342" s="201"/>
      <c r="BN342" s="201"/>
      <c r="BO342" s="201"/>
      <c r="BP342" s="201"/>
      <c r="BQ342" s="201"/>
      <c r="BR342" s="201"/>
      <c r="BS342" s="201"/>
      <c r="BT342" s="201"/>
      <c r="BU342" s="201"/>
      <c r="BV342" s="201"/>
      <c r="BW342" s="201"/>
      <c r="BX342" s="201"/>
      <c r="BY342" s="201"/>
      <c r="BZ342" s="201"/>
      <c r="CA342" s="201"/>
      <c r="CB342" s="201"/>
      <c r="CC342" s="201"/>
      <c r="CD342" s="201"/>
      <c r="CE342" s="201"/>
      <c r="CF342" s="201"/>
      <c r="CG342" s="201"/>
      <c r="CH342" s="201"/>
      <c r="CI342" s="201"/>
      <c r="CJ342" s="201"/>
      <c r="CK342" s="201"/>
      <c r="CL342" s="201"/>
      <c r="CM342" s="201"/>
      <c r="CN342" s="201"/>
      <c r="CO342" s="201"/>
      <c r="CP342" s="201"/>
      <c r="CQ342" s="201"/>
      <c r="CR342" s="201"/>
      <c r="CS342" s="201"/>
      <c r="CT342" s="201"/>
      <c r="CU342" s="201"/>
      <c r="CV342" s="201"/>
    </row>
    <row r="343" spans="1:100" x14ac:dyDescent="0.2">
      <c r="A343" s="219"/>
      <c r="B343" s="219"/>
      <c r="C343" s="205"/>
      <c r="D343" s="205"/>
      <c r="E343" s="192"/>
      <c r="F343" s="205"/>
      <c r="G343"/>
      <c r="H343"/>
      <c r="I343" s="205"/>
      <c r="J343"/>
      <c r="K343"/>
      <c r="L343" s="205"/>
      <c r="M343" s="192"/>
      <c r="N343" s="205"/>
      <c r="O343" s="192"/>
      <c r="P343" s="192"/>
      <c r="Q343" s="205"/>
      <c r="R343" s="205"/>
      <c r="W343" s="205"/>
      <c r="X343" s="205"/>
      <c r="Y343" s="205"/>
      <c r="Z343" s="205"/>
      <c r="AA343" s="205"/>
      <c r="AB343" s="205"/>
      <c r="AC343" s="205"/>
      <c r="AD343" s="205"/>
      <c r="AL343" s="205"/>
      <c r="AM343" s="205"/>
      <c r="AN343" s="205"/>
      <c r="AO343" s="205"/>
      <c r="AP343" s="205"/>
      <c r="AQ343" s="205"/>
      <c r="AR343" s="205"/>
      <c r="AS343" s="205"/>
      <c r="AV343" s="205"/>
      <c r="AY343" s="205"/>
      <c r="AZ343" s="205"/>
      <c r="BD343" s="205"/>
      <c r="BF343" s="205"/>
    </row>
    <row r="344" spans="1:100" x14ac:dyDescent="0.2">
      <c r="A344" s="219"/>
      <c r="B344" s="219"/>
      <c r="C344" s="205"/>
      <c r="D344" s="205"/>
      <c r="E344" s="192"/>
      <c r="F344" s="205"/>
      <c r="G344" s="205"/>
      <c r="H344"/>
      <c r="I344" s="205"/>
      <c r="J344"/>
      <c r="K344"/>
      <c r="L344" s="205"/>
      <c r="M344" s="192"/>
      <c r="N344" s="205"/>
      <c r="O344" s="192"/>
      <c r="P344" s="192"/>
      <c r="Q344" s="205"/>
      <c r="R344" s="205"/>
      <c r="W344" s="205"/>
      <c r="X344" s="205"/>
      <c r="Y344" s="205"/>
      <c r="Z344" s="205"/>
      <c r="AA344" s="205"/>
      <c r="AB344" s="205"/>
      <c r="AC344" s="205"/>
      <c r="AD344" s="205"/>
      <c r="AL344" s="205"/>
      <c r="AM344" s="205"/>
      <c r="AN344" s="205"/>
      <c r="AO344" s="205"/>
      <c r="AP344" s="205"/>
      <c r="AQ344" s="205"/>
      <c r="AR344" s="205"/>
      <c r="AS344" s="205"/>
      <c r="AV344" s="205"/>
      <c r="AW344" s="205"/>
      <c r="AY344" s="205"/>
      <c r="AZ344" s="205"/>
      <c r="BD344" s="205"/>
      <c r="BF344" s="205"/>
    </row>
    <row r="345" spans="1:100" x14ac:dyDescent="0.2">
      <c r="A345" s="219"/>
      <c r="B345" s="219"/>
      <c r="C345" s="205"/>
      <c r="D345" s="205"/>
      <c r="E345" s="192"/>
      <c r="F345" s="205"/>
      <c r="G345" s="205"/>
      <c r="H345"/>
      <c r="I345" s="205"/>
      <c r="J345"/>
      <c r="K345"/>
      <c r="L345" s="205"/>
      <c r="M345" s="192"/>
      <c r="N345" s="205"/>
      <c r="O345" s="192"/>
      <c r="P345" s="192"/>
      <c r="Q345" s="205"/>
      <c r="R345" s="205"/>
      <c r="W345" s="205"/>
      <c r="X345" s="205"/>
      <c r="Y345" s="205"/>
      <c r="Z345" s="205"/>
      <c r="AA345" s="205"/>
      <c r="AB345" s="205"/>
      <c r="AC345" s="205"/>
      <c r="AD345" s="205"/>
      <c r="AL345" s="205"/>
      <c r="AM345" s="205"/>
      <c r="AN345" s="205"/>
      <c r="AO345" s="205"/>
      <c r="AP345" s="205"/>
      <c r="AQ345" s="205"/>
      <c r="AR345" s="205"/>
      <c r="AS345" s="205"/>
      <c r="AV345" s="205"/>
      <c r="AW345" s="205"/>
      <c r="AY345" s="205"/>
      <c r="AZ345" s="205"/>
      <c r="BD345" s="205"/>
      <c r="BF345" s="205"/>
    </row>
    <row r="346" spans="1:100" x14ac:dyDescent="0.2">
      <c r="A346" s="219"/>
      <c r="B346" s="219"/>
      <c r="C346" s="205"/>
      <c r="D346" s="205"/>
      <c r="E346" s="192"/>
      <c r="F346" s="205"/>
      <c r="G346" s="205"/>
      <c r="H346"/>
      <c r="I346" s="205"/>
      <c r="J346"/>
      <c r="K346"/>
      <c r="L346" s="205"/>
      <c r="M346" s="192"/>
      <c r="N346" s="205"/>
      <c r="O346" s="192"/>
      <c r="P346" s="192"/>
      <c r="Q346" s="205"/>
      <c r="R346" s="205"/>
      <c r="W346" s="205"/>
      <c r="X346" s="205"/>
      <c r="Y346" s="205"/>
      <c r="Z346" s="205"/>
      <c r="AA346" s="205"/>
      <c r="AB346" s="205"/>
      <c r="AC346" s="205"/>
      <c r="AD346" s="205"/>
      <c r="AL346" s="205"/>
      <c r="AM346" s="205"/>
      <c r="AN346" s="205"/>
      <c r="AO346" s="205"/>
      <c r="AP346" s="205"/>
      <c r="AQ346" s="205"/>
      <c r="AR346" s="205"/>
      <c r="AS346" s="205"/>
      <c r="AV346" s="205"/>
      <c r="AW346" s="205"/>
      <c r="AY346" s="205"/>
      <c r="AZ346" s="205"/>
      <c r="BD346" s="205"/>
      <c r="BF346" s="205"/>
    </row>
    <row r="347" spans="1:100" x14ac:dyDescent="0.2">
      <c r="A347" s="219"/>
      <c r="B347" s="219"/>
      <c r="C347" s="205"/>
      <c r="D347" s="205"/>
      <c r="E347" s="192"/>
      <c r="F347" s="205"/>
      <c r="G347" s="205"/>
      <c r="H347"/>
      <c r="I347" s="205"/>
      <c r="J347"/>
      <c r="K347"/>
      <c r="L347" s="205"/>
      <c r="M347" s="192"/>
      <c r="N347" s="205"/>
      <c r="O347" s="192"/>
      <c r="P347" s="192"/>
      <c r="Q347" s="205"/>
      <c r="R347" s="205"/>
      <c r="W347" s="205"/>
      <c r="X347" s="205"/>
      <c r="Y347" s="205"/>
      <c r="Z347" s="205"/>
      <c r="AA347" s="205"/>
      <c r="AB347" s="205"/>
      <c r="AC347" s="205"/>
      <c r="AD347" s="205"/>
      <c r="AL347" s="205"/>
      <c r="AM347" s="205"/>
      <c r="AN347" s="205"/>
      <c r="AO347" s="205"/>
      <c r="AP347" s="205"/>
      <c r="AQ347" s="205"/>
      <c r="AR347" s="205"/>
      <c r="AS347" s="205"/>
      <c r="AV347" s="205"/>
      <c r="AW347" s="205"/>
      <c r="AY347" s="205"/>
      <c r="AZ347" s="205"/>
      <c r="BD347" s="205"/>
      <c r="BF347" s="205"/>
    </row>
    <row r="348" spans="1:100" x14ac:dyDescent="0.2">
      <c r="A348" s="219"/>
      <c r="B348" s="219"/>
      <c r="C348" s="205"/>
      <c r="D348" s="205"/>
      <c r="E348" s="192"/>
      <c r="F348" s="205"/>
      <c r="G348" s="205"/>
      <c r="H348"/>
      <c r="I348" s="205"/>
      <c r="J348"/>
      <c r="K348"/>
      <c r="L348" s="205"/>
      <c r="M348" s="192"/>
      <c r="N348" s="205"/>
      <c r="O348" s="192"/>
      <c r="P348" s="192"/>
      <c r="Q348" s="205"/>
      <c r="R348" s="205"/>
      <c r="W348" s="205"/>
      <c r="X348" s="205"/>
      <c r="Y348" s="205"/>
      <c r="Z348" s="205"/>
      <c r="AA348" s="205"/>
      <c r="AB348" s="205"/>
      <c r="AC348" s="205"/>
      <c r="AD348" s="205"/>
      <c r="AL348" s="205"/>
      <c r="AM348" s="205"/>
      <c r="AN348" s="205"/>
      <c r="AO348" s="205"/>
      <c r="AP348" s="205"/>
      <c r="AQ348" s="205"/>
      <c r="AR348" s="205"/>
      <c r="AS348" s="205"/>
      <c r="AV348" s="205"/>
      <c r="AW348" s="205"/>
      <c r="AY348" s="205"/>
      <c r="AZ348" s="205"/>
      <c r="BD348" s="205"/>
      <c r="BF348" s="205"/>
    </row>
    <row r="349" spans="1:100" x14ac:dyDescent="0.2">
      <c r="A349" s="219"/>
      <c r="B349" s="219"/>
      <c r="C349" s="205"/>
      <c r="D349" s="205"/>
      <c r="E349" s="192"/>
      <c r="F349" s="205"/>
      <c r="G349" s="205"/>
      <c r="H349"/>
      <c r="I349" s="205"/>
      <c r="J349"/>
      <c r="K349"/>
      <c r="L349" s="205"/>
      <c r="M349" s="192"/>
      <c r="N349" s="205"/>
      <c r="O349" s="192"/>
      <c r="P349" s="192"/>
      <c r="Q349" s="205"/>
      <c r="R349" s="205"/>
      <c r="W349" s="205"/>
      <c r="X349" s="205"/>
      <c r="Y349" s="205"/>
      <c r="Z349" s="205"/>
      <c r="AA349" s="205"/>
      <c r="AB349" s="205"/>
      <c r="AC349" s="205"/>
      <c r="AD349" s="205"/>
      <c r="AL349" s="205"/>
      <c r="AM349" s="205"/>
      <c r="AN349" s="205"/>
      <c r="AO349" s="205"/>
      <c r="AP349" s="205"/>
      <c r="AQ349" s="205"/>
      <c r="AR349" s="205"/>
      <c r="AS349" s="205"/>
      <c r="AV349" s="205"/>
      <c r="AW349" s="205"/>
      <c r="AY349" s="205"/>
      <c r="AZ349" s="205"/>
      <c r="BD349" s="205"/>
      <c r="BF349" s="205"/>
    </row>
    <row r="350" spans="1:100" x14ac:dyDescent="0.2">
      <c r="A350" s="219"/>
      <c r="B350" s="219"/>
      <c r="C350" s="205"/>
      <c r="D350" s="205"/>
      <c r="E350" s="192"/>
      <c r="F350" s="205"/>
      <c r="G350" s="205"/>
      <c r="H350"/>
      <c r="I350" s="205"/>
      <c r="J350"/>
      <c r="K350"/>
      <c r="L350" s="205"/>
      <c r="M350" s="192"/>
      <c r="N350" s="205"/>
      <c r="O350" s="192"/>
      <c r="P350" s="192"/>
      <c r="Q350" s="205"/>
      <c r="R350" s="205"/>
      <c r="W350" s="205"/>
      <c r="X350" s="205"/>
      <c r="Y350" s="205"/>
      <c r="Z350" s="205"/>
      <c r="AA350" s="205"/>
      <c r="AB350" s="205"/>
      <c r="AC350" s="205"/>
      <c r="AD350" s="205"/>
      <c r="AL350" s="205"/>
      <c r="AM350" s="205"/>
      <c r="AN350" s="205"/>
      <c r="AO350" s="205"/>
      <c r="AP350" s="205"/>
      <c r="AQ350" s="205"/>
      <c r="AR350" s="205"/>
      <c r="AS350" s="205"/>
      <c r="AV350" s="205"/>
      <c r="AW350" s="205"/>
      <c r="AY350" s="205"/>
      <c r="AZ350" s="205"/>
      <c r="BD350" s="205"/>
      <c r="BF350" s="205"/>
    </row>
    <row r="351" spans="1:100" x14ac:dyDescent="0.2">
      <c r="A351" s="219"/>
      <c r="B351" s="219"/>
      <c r="C351" s="205"/>
      <c r="D351" s="205"/>
      <c r="E351" s="192"/>
      <c r="F351" s="205"/>
      <c r="G351" s="205"/>
      <c r="H351"/>
      <c r="I351" s="205"/>
      <c r="J351"/>
      <c r="K351"/>
      <c r="L351" s="205"/>
      <c r="M351" s="192"/>
      <c r="N351" s="205"/>
      <c r="O351" s="192"/>
      <c r="P351" s="192"/>
      <c r="Q351" s="205"/>
      <c r="R351" s="205"/>
      <c r="W351" s="205"/>
      <c r="X351" s="205"/>
      <c r="Y351" s="205"/>
      <c r="Z351" s="205"/>
      <c r="AA351" s="205"/>
      <c r="AB351" s="205"/>
      <c r="AC351" s="205"/>
      <c r="AD351" s="205"/>
      <c r="AL351" s="205"/>
      <c r="AM351" s="205"/>
      <c r="AN351" s="205"/>
      <c r="AO351" s="205"/>
      <c r="AP351" s="205"/>
      <c r="AQ351" s="205"/>
      <c r="AR351" s="205"/>
      <c r="AS351" s="205"/>
      <c r="AV351" s="205"/>
      <c r="AW351" s="205"/>
      <c r="AY351" s="205"/>
      <c r="AZ351" s="205"/>
      <c r="BD351" s="205"/>
      <c r="BF351" s="205"/>
    </row>
    <row r="352" spans="1:100" x14ac:dyDescent="0.2">
      <c r="A352" s="219"/>
      <c r="B352" s="219"/>
      <c r="C352" s="205"/>
      <c r="D352" s="205"/>
      <c r="E352" s="192"/>
      <c r="F352" s="205"/>
      <c r="G352" s="205"/>
      <c r="H352"/>
      <c r="I352" s="205"/>
      <c r="J352"/>
      <c r="K352"/>
      <c r="L352" s="205"/>
      <c r="M352" s="192"/>
      <c r="N352" s="205"/>
      <c r="O352" s="192"/>
      <c r="P352" s="192"/>
      <c r="Q352" s="205"/>
      <c r="R352" s="205"/>
      <c r="W352" s="205"/>
      <c r="X352" s="205"/>
      <c r="Y352" s="205"/>
      <c r="Z352" s="205"/>
      <c r="AA352" s="205"/>
      <c r="AB352" s="205"/>
      <c r="AC352" s="205"/>
      <c r="AD352" s="205"/>
      <c r="AL352" s="205"/>
      <c r="AM352" s="205"/>
      <c r="AN352" s="205"/>
      <c r="AO352" s="205"/>
      <c r="AP352" s="205"/>
      <c r="AQ352" s="205"/>
      <c r="AR352" s="205"/>
      <c r="AS352" s="205"/>
      <c r="AV352" s="205"/>
      <c r="AW352" s="205"/>
      <c r="AY352" s="205"/>
      <c r="AZ352" s="205"/>
      <c r="BD352" s="205"/>
      <c r="BF352" s="205"/>
    </row>
    <row r="353" spans="1:58" x14ac:dyDescent="0.2">
      <c r="A353" s="219"/>
      <c r="B353" s="219"/>
      <c r="C353" s="205"/>
      <c r="D353" s="205"/>
      <c r="E353" s="192"/>
      <c r="F353" s="205"/>
      <c r="G353" s="205"/>
      <c r="H353"/>
      <c r="I353" s="205"/>
      <c r="J353"/>
      <c r="K353"/>
      <c r="L353" s="205"/>
      <c r="M353" s="192"/>
      <c r="N353" s="205"/>
      <c r="O353" s="192"/>
      <c r="P353" s="192"/>
      <c r="Q353" s="205"/>
      <c r="R353" s="205"/>
      <c r="W353" s="205"/>
      <c r="X353" s="205"/>
      <c r="Y353" s="205"/>
      <c r="Z353" s="205"/>
      <c r="AA353" s="205"/>
      <c r="AB353" s="205"/>
      <c r="AC353" s="205"/>
      <c r="AD353" s="205"/>
      <c r="AL353" s="205"/>
      <c r="AM353" s="205"/>
      <c r="AN353" s="205"/>
      <c r="AO353" s="205"/>
      <c r="AP353" s="205"/>
      <c r="AQ353" s="205"/>
      <c r="AR353" s="205"/>
      <c r="AS353" s="205"/>
      <c r="AV353" s="205"/>
      <c r="AW353" s="205"/>
      <c r="AY353" s="205"/>
      <c r="AZ353" s="205"/>
      <c r="BD353" s="205"/>
      <c r="BF353" s="205"/>
    </row>
    <row r="354" spans="1:58" x14ac:dyDescent="0.2">
      <c r="A354" s="219"/>
      <c r="B354" s="219"/>
      <c r="C354" s="205"/>
      <c r="D354" s="205"/>
      <c r="E354" s="192"/>
      <c r="F354" s="205"/>
      <c r="G354" s="205"/>
      <c r="H354"/>
      <c r="I354" s="205"/>
      <c r="J354"/>
      <c r="K354"/>
      <c r="L354" s="205"/>
      <c r="M354" s="192"/>
      <c r="N354" s="205"/>
      <c r="O354" s="192"/>
      <c r="P354" s="192"/>
      <c r="Q354" s="205"/>
      <c r="R354" s="205"/>
      <c r="W354" s="205"/>
      <c r="X354" s="205"/>
      <c r="Y354" s="205"/>
      <c r="Z354" s="205"/>
      <c r="AA354" s="205"/>
      <c r="AB354" s="205"/>
      <c r="AC354" s="205"/>
      <c r="AD354" s="205"/>
      <c r="AL354" s="205"/>
      <c r="AM354" s="205"/>
      <c r="AN354" s="205"/>
      <c r="AO354" s="205"/>
      <c r="AP354" s="205"/>
      <c r="AQ354" s="205"/>
      <c r="AR354" s="205"/>
      <c r="AS354" s="205"/>
      <c r="AV354" s="205"/>
      <c r="AW354" s="205"/>
      <c r="AY354" s="205"/>
      <c r="AZ354" s="205"/>
      <c r="BD354" s="205"/>
      <c r="BF354" s="205"/>
    </row>
    <row r="355" spans="1:58" x14ac:dyDescent="0.2">
      <c r="A355" s="219"/>
      <c r="B355" s="219"/>
      <c r="C355" s="205"/>
      <c r="D355" s="205"/>
      <c r="E355" s="192"/>
      <c r="F355" s="205"/>
      <c r="G355" s="205"/>
      <c r="H355"/>
      <c r="I355" s="205"/>
      <c r="J355"/>
      <c r="K355"/>
      <c r="L355" s="205"/>
      <c r="M355" s="192"/>
      <c r="N355" s="205"/>
      <c r="O355" s="192"/>
      <c r="P355" s="192"/>
      <c r="Q355" s="205"/>
      <c r="R355" s="205"/>
      <c r="W355" s="205"/>
      <c r="X355" s="205"/>
      <c r="Y355" s="205"/>
      <c r="Z355" s="205"/>
      <c r="AA355" s="205"/>
      <c r="AB355" s="205"/>
      <c r="AC355" s="205"/>
      <c r="AD355" s="205"/>
      <c r="AL355" s="205"/>
      <c r="AM355" s="205"/>
      <c r="AN355" s="205"/>
      <c r="AO355" s="205"/>
      <c r="AP355" s="205"/>
      <c r="AQ355" s="205"/>
      <c r="AR355" s="205"/>
      <c r="AS355" s="205"/>
      <c r="AV355" s="205"/>
      <c r="AW355" s="205"/>
      <c r="AY355" s="205"/>
      <c r="AZ355" s="205"/>
      <c r="BD355" s="205"/>
      <c r="BF355" s="205"/>
    </row>
    <row r="356" spans="1:58" x14ac:dyDescent="0.2">
      <c r="A356" s="219"/>
      <c r="B356" s="219"/>
      <c r="C356" s="205"/>
      <c r="D356" s="205"/>
      <c r="E356" s="192"/>
      <c r="F356" s="205"/>
      <c r="G356" s="205"/>
      <c r="H356"/>
      <c r="I356" s="205"/>
      <c r="J356"/>
      <c r="K356"/>
      <c r="L356" s="205"/>
      <c r="M356" s="192"/>
      <c r="N356" s="205"/>
      <c r="O356" s="192"/>
      <c r="P356" s="192"/>
      <c r="Q356" s="205"/>
      <c r="R356" s="205"/>
      <c r="W356" s="205"/>
      <c r="X356" s="205"/>
      <c r="Y356" s="205"/>
      <c r="Z356" s="205"/>
      <c r="AA356" s="205"/>
      <c r="AB356" s="205"/>
      <c r="AC356" s="205"/>
      <c r="AD356" s="205"/>
      <c r="AL356" s="205"/>
      <c r="AM356" s="205"/>
      <c r="AN356" s="205"/>
      <c r="AO356" s="205"/>
      <c r="AP356" s="205"/>
      <c r="AQ356" s="205"/>
      <c r="AR356" s="205"/>
      <c r="AS356" s="205"/>
      <c r="AV356" s="205"/>
      <c r="AW356" s="205"/>
      <c r="AY356" s="205"/>
      <c r="AZ356" s="205"/>
      <c r="BD356" s="205"/>
      <c r="BF356" s="205"/>
    </row>
    <row r="357" spans="1:58" x14ac:dyDescent="0.2">
      <c r="A357" s="219"/>
      <c r="B357" s="219"/>
      <c r="C357" s="205"/>
      <c r="D357" s="205"/>
      <c r="E357" s="192"/>
      <c r="F357" s="205"/>
      <c r="G357" s="205"/>
      <c r="H357"/>
      <c r="I357" s="205"/>
      <c r="J357"/>
      <c r="K357"/>
      <c r="L357" s="205"/>
      <c r="M357" s="192"/>
      <c r="N357" s="205"/>
      <c r="O357" s="192"/>
      <c r="P357" s="192"/>
      <c r="Q357" s="205"/>
      <c r="R357" s="205"/>
      <c r="W357" s="205"/>
      <c r="X357" s="205"/>
      <c r="Y357" s="205"/>
      <c r="Z357" s="205"/>
      <c r="AA357" s="205"/>
      <c r="AB357" s="205"/>
      <c r="AC357" s="205"/>
      <c r="AD357" s="205"/>
      <c r="AL357" s="205"/>
      <c r="AM357" s="205"/>
      <c r="AN357" s="205"/>
      <c r="AO357" s="205"/>
      <c r="AP357" s="205"/>
      <c r="AQ357" s="205"/>
      <c r="AR357" s="205"/>
      <c r="AS357" s="205"/>
      <c r="AV357" s="205"/>
      <c r="AW357" s="205"/>
      <c r="AY357" s="205"/>
      <c r="AZ357" s="205"/>
      <c r="BD357" s="205"/>
      <c r="BF357" s="205"/>
    </row>
    <row r="358" spans="1:58" x14ac:dyDescent="0.2">
      <c r="A358" s="219"/>
      <c r="B358" s="219"/>
      <c r="C358" s="205"/>
      <c r="D358" s="205"/>
      <c r="E358" s="192"/>
      <c r="F358" s="205"/>
      <c r="G358" s="205"/>
      <c r="H358"/>
      <c r="I358" s="205"/>
      <c r="J358"/>
      <c r="K358"/>
      <c r="L358" s="205"/>
      <c r="M358" s="192"/>
      <c r="N358" s="205"/>
      <c r="O358" s="192"/>
      <c r="P358" s="192"/>
      <c r="Q358" s="205"/>
      <c r="R358" s="205"/>
      <c r="W358" s="205"/>
      <c r="X358" s="205"/>
      <c r="Y358" s="205"/>
      <c r="Z358" s="205"/>
      <c r="AA358" s="205"/>
      <c r="AB358" s="205"/>
      <c r="AC358" s="205"/>
      <c r="AD358" s="205"/>
      <c r="AL358" s="205"/>
      <c r="AM358" s="205"/>
      <c r="AN358" s="205"/>
      <c r="AO358" s="205"/>
      <c r="AP358" s="205"/>
      <c r="AQ358" s="205"/>
      <c r="AR358" s="205"/>
      <c r="AS358" s="205"/>
      <c r="AV358" s="205"/>
      <c r="AW358" s="205"/>
      <c r="AY358" s="205"/>
      <c r="AZ358" s="205"/>
      <c r="BD358" s="205"/>
      <c r="BF358" s="205"/>
    </row>
    <row r="359" spans="1:58" x14ac:dyDescent="0.2">
      <c r="A359" s="219"/>
      <c r="B359" s="219"/>
      <c r="C359" s="205"/>
      <c r="D359" s="205"/>
      <c r="E359" s="192"/>
      <c r="F359" s="205"/>
      <c r="G359" s="205"/>
      <c r="H359"/>
      <c r="I359" s="205"/>
      <c r="J359"/>
      <c r="K359"/>
      <c r="L359" s="205"/>
      <c r="M359" s="192"/>
      <c r="N359" s="205"/>
      <c r="O359" s="192"/>
      <c r="P359" s="192"/>
      <c r="Q359" s="205"/>
      <c r="R359" s="205"/>
      <c r="W359" s="205"/>
      <c r="X359" s="205"/>
      <c r="Y359" s="205"/>
      <c r="Z359" s="205"/>
      <c r="AA359" s="205"/>
      <c r="AB359" s="205"/>
      <c r="AC359" s="205"/>
      <c r="AD359" s="205"/>
      <c r="AL359" s="205"/>
      <c r="AM359" s="205"/>
      <c r="AN359" s="205"/>
      <c r="AO359" s="205"/>
      <c r="AP359" s="205"/>
      <c r="AQ359" s="205"/>
      <c r="AR359" s="205"/>
      <c r="AS359" s="205"/>
      <c r="AV359" s="205"/>
      <c r="AW359" s="205"/>
      <c r="AY359" s="205"/>
      <c r="AZ359" s="205"/>
      <c r="BD359" s="205"/>
      <c r="BF359" s="205"/>
    </row>
    <row r="360" spans="1:58" x14ac:dyDescent="0.2">
      <c r="A360" s="219"/>
      <c r="B360" s="219"/>
      <c r="C360" s="205"/>
      <c r="D360" s="205"/>
      <c r="E360" s="192"/>
      <c r="F360" s="205"/>
      <c r="G360"/>
      <c r="H360"/>
      <c r="I360" s="205"/>
      <c r="J360"/>
      <c r="K360"/>
      <c r="L360" s="205"/>
      <c r="M360" s="192"/>
      <c r="N360" s="205"/>
      <c r="O360" s="192"/>
      <c r="P360" s="192"/>
      <c r="Q360" s="205"/>
      <c r="R360" s="205"/>
      <c r="W360" s="205"/>
      <c r="X360" s="205"/>
      <c r="Y360" s="205"/>
      <c r="Z360" s="205"/>
      <c r="AA360" s="205"/>
      <c r="AB360" s="205"/>
      <c r="AC360" s="205"/>
      <c r="AD360" s="205"/>
      <c r="AL360" s="205"/>
      <c r="AM360" s="205"/>
      <c r="AN360" s="205"/>
      <c r="AO360" s="205"/>
      <c r="AP360" s="205"/>
      <c r="AQ360" s="205"/>
      <c r="AR360" s="205"/>
      <c r="AS360" s="205"/>
      <c r="AV360" s="205"/>
      <c r="AY360" s="205"/>
      <c r="AZ360" s="205"/>
      <c r="BD360" s="205"/>
      <c r="BF360" s="205"/>
    </row>
    <row r="361" spans="1:58" x14ac:dyDescent="0.2">
      <c r="A361" s="219"/>
      <c r="B361" s="219"/>
      <c r="C361" s="205"/>
      <c r="D361" s="205"/>
      <c r="E361" s="192"/>
      <c r="F361" s="205"/>
      <c r="G361" s="205"/>
      <c r="H361"/>
      <c r="I361" s="205"/>
      <c r="J361"/>
      <c r="K361"/>
      <c r="L361" s="205"/>
      <c r="M361" s="192"/>
      <c r="N361" s="205"/>
      <c r="O361" s="192"/>
      <c r="P361" s="192"/>
      <c r="Q361" s="205"/>
      <c r="R361" s="205"/>
      <c r="W361" s="205"/>
      <c r="X361" s="205"/>
      <c r="Y361" s="205"/>
      <c r="Z361" s="205"/>
      <c r="AA361" s="205"/>
      <c r="AB361" s="205"/>
      <c r="AC361" s="205"/>
      <c r="AD361" s="205"/>
      <c r="AL361" s="205"/>
      <c r="AM361" s="205"/>
      <c r="AN361" s="205"/>
      <c r="AO361" s="205"/>
      <c r="AP361" s="205"/>
      <c r="AQ361" s="205"/>
      <c r="AR361" s="205"/>
      <c r="AS361" s="205"/>
      <c r="AV361" s="205"/>
      <c r="AW361" s="205"/>
      <c r="AY361" s="205"/>
      <c r="AZ361" s="205"/>
      <c r="BD361" s="205"/>
      <c r="BF361" s="205"/>
    </row>
    <row r="362" spans="1:58" x14ac:dyDescent="0.2">
      <c r="A362" s="219"/>
      <c r="B362" s="219"/>
      <c r="C362" s="205"/>
      <c r="D362" s="205"/>
      <c r="E362" s="192"/>
      <c r="F362" s="205"/>
      <c r="G362" s="205"/>
      <c r="H362"/>
      <c r="I362" s="205"/>
      <c r="J362"/>
      <c r="K362"/>
      <c r="L362" s="205"/>
      <c r="M362" s="192"/>
      <c r="N362" s="205"/>
      <c r="O362" s="192"/>
      <c r="P362" s="192"/>
      <c r="Q362" s="205"/>
      <c r="R362" s="205"/>
      <c r="W362" s="205"/>
      <c r="X362" s="205"/>
      <c r="Y362" s="205"/>
      <c r="Z362" s="205"/>
      <c r="AA362" s="205"/>
      <c r="AB362" s="205"/>
      <c r="AC362" s="205"/>
      <c r="AD362" s="205"/>
      <c r="AL362" s="205"/>
      <c r="AM362" s="205"/>
      <c r="AN362" s="205"/>
      <c r="AO362" s="205"/>
      <c r="AP362" s="205"/>
      <c r="AQ362" s="205"/>
      <c r="AR362" s="205"/>
      <c r="AS362" s="205"/>
      <c r="AV362" s="205"/>
      <c r="AW362" s="205"/>
      <c r="AY362" s="205"/>
      <c r="AZ362" s="205"/>
      <c r="BD362" s="205"/>
      <c r="BF362" s="205"/>
    </row>
    <row r="363" spans="1:58" x14ac:dyDescent="0.2">
      <c r="A363" s="219"/>
      <c r="B363" s="219"/>
      <c r="C363" s="205"/>
      <c r="D363" s="205"/>
      <c r="E363" s="192"/>
      <c r="F363" s="205"/>
      <c r="G363" s="205"/>
      <c r="H363"/>
      <c r="I363" s="205"/>
      <c r="J363"/>
      <c r="K363"/>
      <c r="L363" s="205"/>
      <c r="M363" s="192"/>
      <c r="N363" s="205"/>
      <c r="O363" s="192"/>
      <c r="P363" s="192"/>
      <c r="Q363" s="205"/>
      <c r="R363" s="205"/>
      <c r="W363" s="205"/>
      <c r="X363" s="205"/>
      <c r="Y363" s="205"/>
      <c r="Z363" s="205"/>
      <c r="AA363" s="205"/>
      <c r="AB363" s="205"/>
      <c r="AC363" s="205"/>
      <c r="AD363" s="205"/>
      <c r="AL363" s="205"/>
      <c r="AM363" s="205"/>
      <c r="AN363" s="205"/>
      <c r="AO363" s="205"/>
      <c r="AP363" s="205"/>
      <c r="AQ363" s="205"/>
      <c r="AR363" s="205"/>
      <c r="AS363" s="205"/>
      <c r="AV363" s="205"/>
      <c r="AW363" s="205"/>
      <c r="AY363" s="205"/>
      <c r="AZ363" s="205"/>
      <c r="BD363" s="205"/>
      <c r="BF363" s="205"/>
    </row>
    <row r="364" spans="1:58" x14ac:dyDescent="0.2">
      <c r="A364" s="219"/>
      <c r="B364" s="219"/>
      <c r="C364" s="205"/>
      <c r="D364" s="205"/>
      <c r="E364" s="192"/>
      <c r="F364" s="205"/>
      <c r="G364" s="205"/>
      <c r="H364"/>
      <c r="I364" s="205"/>
      <c r="J364"/>
      <c r="K364"/>
      <c r="L364" s="205"/>
      <c r="M364" s="192"/>
      <c r="N364" s="205"/>
      <c r="O364" s="192"/>
      <c r="P364" s="192"/>
      <c r="Q364" s="205"/>
      <c r="R364" s="205"/>
      <c r="W364" s="205"/>
      <c r="X364" s="205"/>
      <c r="Y364" s="205"/>
      <c r="Z364" s="205"/>
      <c r="AA364" s="205"/>
      <c r="AB364" s="205"/>
      <c r="AC364" s="205"/>
      <c r="AD364" s="205"/>
      <c r="AL364" s="205"/>
      <c r="AM364" s="205"/>
      <c r="AN364" s="205"/>
      <c r="AO364" s="205"/>
      <c r="AP364" s="205"/>
      <c r="AQ364" s="205"/>
      <c r="AR364" s="205"/>
      <c r="AS364" s="205"/>
      <c r="AV364" s="205"/>
      <c r="AW364" s="205"/>
      <c r="AY364" s="205"/>
      <c r="AZ364" s="205"/>
      <c r="BD364" s="205"/>
      <c r="BF364" s="205"/>
    </row>
    <row r="365" spans="1:58" x14ac:dyDescent="0.2">
      <c r="A365" s="219"/>
      <c r="B365" s="219"/>
      <c r="C365" s="205"/>
      <c r="D365" s="205"/>
      <c r="E365" s="192"/>
      <c r="F365" s="205"/>
      <c r="G365" s="205"/>
      <c r="H365"/>
      <c r="I365" s="205"/>
      <c r="J365"/>
      <c r="K365"/>
      <c r="L365" s="205"/>
      <c r="M365" s="192"/>
      <c r="N365" s="205"/>
      <c r="O365" s="192"/>
      <c r="P365" s="192"/>
      <c r="Q365" s="205"/>
      <c r="R365" s="205"/>
      <c r="W365" s="205"/>
      <c r="X365" s="205"/>
      <c r="Y365" s="205"/>
      <c r="Z365" s="205"/>
      <c r="AA365" s="205"/>
      <c r="AB365" s="205"/>
      <c r="AC365" s="205"/>
      <c r="AD365" s="205"/>
      <c r="AL365" s="205"/>
      <c r="AM365" s="205"/>
      <c r="AN365" s="205"/>
      <c r="AO365" s="205"/>
      <c r="AP365" s="205"/>
      <c r="AQ365" s="205"/>
      <c r="AR365" s="205"/>
      <c r="AS365" s="205"/>
      <c r="AV365" s="205"/>
      <c r="AW365" s="205"/>
      <c r="AY365" s="205"/>
      <c r="AZ365" s="205"/>
      <c r="BD365" s="205"/>
      <c r="BF365" s="205"/>
    </row>
    <row r="366" spans="1:58" x14ac:dyDescent="0.2">
      <c r="A366" s="219"/>
      <c r="B366" s="219"/>
      <c r="C366" s="205"/>
      <c r="D366" s="205"/>
      <c r="E366" s="192"/>
      <c r="F366" s="205"/>
      <c r="G366" s="205"/>
      <c r="H366"/>
      <c r="I366" s="205"/>
      <c r="J366"/>
      <c r="K366"/>
      <c r="L366" s="205"/>
      <c r="M366" s="192"/>
      <c r="N366" s="205"/>
      <c r="O366" s="192"/>
      <c r="P366" s="192"/>
      <c r="Q366" s="205"/>
      <c r="R366" s="205"/>
      <c r="W366" s="205"/>
      <c r="X366" s="205"/>
      <c r="Y366" s="205"/>
      <c r="Z366" s="205"/>
      <c r="AA366" s="205"/>
      <c r="AB366" s="205"/>
      <c r="AC366" s="205"/>
      <c r="AD366" s="205"/>
      <c r="AL366" s="205"/>
      <c r="AM366" s="205"/>
      <c r="AN366" s="205"/>
      <c r="AO366" s="205"/>
      <c r="AP366" s="205"/>
      <c r="AQ366" s="205"/>
      <c r="AR366" s="205"/>
      <c r="AS366" s="205"/>
      <c r="AV366" s="205"/>
      <c r="AW366" s="205"/>
      <c r="AY366" s="205"/>
      <c r="AZ366" s="205"/>
      <c r="BD366" s="205"/>
      <c r="BF366" s="205"/>
    </row>
    <row r="367" spans="1:58" x14ac:dyDescent="0.2">
      <c r="A367" s="219"/>
      <c r="B367" s="219"/>
      <c r="C367" s="205"/>
      <c r="D367" s="205"/>
      <c r="E367" s="192"/>
      <c r="F367" s="205"/>
      <c r="G367" s="205"/>
      <c r="H367"/>
      <c r="I367" s="205"/>
      <c r="J367"/>
      <c r="K367"/>
      <c r="L367" s="205"/>
      <c r="M367" s="192"/>
      <c r="N367" s="205"/>
      <c r="O367" s="192"/>
      <c r="P367" s="192"/>
      <c r="Q367" s="205"/>
      <c r="R367" s="205"/>
      <c r="W367" s="205"/>
      <c r="X367" s="205"/>
      <c r="Y367" s="205"/>
      <c r="Z367" s="205"/>
      <c r="AA367" s="205"/>
      <c r="AB367" s="205"/>
      <c r="AC367" s="205"/>
      <c r="AD367" s="205"/>
      <c r="AL367" s="205"/>
      <c r="AM367" s="205"/>
      <c r="AN367" s="205"/>
      <c r="AO367" s="205"/>
      <c r="AP367" s="205"/>
      <c r="AQ367" s="205"/>
      <c r="AR367" s="205"/>
      <c r="AS367" s="205"/>
      <c r="AV367" s="205"/>
      <c r="AW367" s="205"/>
      <c r="AY367" s="205"/>
      <c r="AZ367" s="205"/>
      <c r="BD367" s="205"/>
      <c r="BF367" s="205"/>
    </row>
    <row r="368" spans="1:58" x14ac:dyDescent="0.2">
      <c r="A368" s="219"/>
      <c r="B368" s="219"/>
      <c r="C368" s="205"/>
      <c r="D368" s="205"/>
      <c r="E368" s="192"/>
      <c r="F368" s="205"/>
      <c r="G368"/>
      <c r="H368"/>
      <c r="I368" s="205"/>
      <c r="J368"/>
      <c r="K368"/>
      <c r="L368" s="205"/>
      <c r="M368" s="192"/>
      <c r="N368" s="205"/>
      <c r="O368" s="192"/>
      <c r="P368" s="192"/>
      <c r="Q368" s="205"/>
      <c r="R368" s="205"/>
      <c r="W368" s="205"/>
      <c r="X368" s="205"/>
      <c r="Y368" s="205"/>
      <c r="Z368" s="205"/>
      <c r="AA368" s="205"/>
      <c r="AB368" s="205"/>
      <c r="AC368" s="205"/>
      <c r="AD368" s="205"/>
      <c r="AL368" s="205"/>
      <c r="AM368" s="205"/>
      <c r="AN368" s="205"/>
      <c r="AO368" s="205"/>
      <c r="AP368" s="205"/>
      <c r="AQ368" s="205"/>
      <c r="AR368" s="205"/>
      <c r="AS368" s="205"/>
      <c r="AV368" s="205"/>
      <c r="AY368" s="205"/>
      <c r="AZ368" s="205"/>
      <c r="BD368" s="205"/>
      <c r="BF368" s="205"/>
    </row>
    <row r="369" spans="1:58" x14ac:dyDescent="0.2">
      <c r="A369" s="219"/>
      <c r="B369" s="219"/>
      <c r="C369" s="205"/>
      <c r="D369" s="205"/>
      <c r="E369" s="192"/>
      <c r="F369" s="205"/>
      <c r="G369" s="205"/>
      <c r="H369"/>
      <c r="I369" s="205"/>
      <c r="J369"/>
      <c r="K369"/>
      <c r="L369" s="205"/>
      <c r="M369" s="192"/>
      <c r="N369" s="205"/>
      <c r="O369" s="192"/>
      <c r="P369" s="192"/>
      <c r="Q369" s="205"/>
      <c r="R369" s="205"/>
      <c r="W369" s="205"/>
      <c r="X369" s="205"/>
      <c r="Y369" s="205"/>
      <c r="Z369" s="205"/>
      <c r="AA369" s="205"/>
      <c r="AB369" s="205"/>
      <c r="AC369" s="205"/>
      <c r="AD369" s="205"/>
      <c r="AL369" s="205"/>
      <c r="AM369" s="205"/>
      <c r="AN369" s="205"/>
      <c r="AO369" s="205"/>
      <c r="AP369" s="205"/>
      <c r="AQ369" s="205"/>
      <c r="AR369" s="205"/>
      <c r="AS369" s="205"/>
      <c r="AV369" s="205"/>
      <c r="AW369" s="205"/>
      <c r="AY369" s="205"/>
      <c r="AZ369" s="205"/>
      <c r="BD369" s="205"/>
      <c r="BF369" s="205"/>
    </row>
    <row r="370" spans="1:58" x14ac:dyDescent="0.2">
      <c r="A370" s="219"/>
      <c r="B370" s="219"/>
      <c r="C370" s="205"/>
      <c r="D370" s="205"/>
      <c r="E370" s="192"/>
      <c r="F370" s="205"/>
      <c r="G370" s="205"/>
      <c r="H370"/>
      <c r="I370" s="205"/>
      <c r="J370"/>
      <c r="K370"/>
      <c r="L370" s="205"/>
      <c r="M370" s="192"/>
      <c r="N370" s="205"/>
      <c r="O370" s="192"/>
      <c r="P370" s="192"/>
      <c r="Q370" s="205"/>
      <c r="R370" s="205"/>
      <c r="W370" s="205"/>
      <c r="X370" s="205"/>
      <c r="Y370" s="205"/>
      <c r="Z370" s="205"/>
      <c r="AA370" s="205"/>
      <c r="AB370" s="205"/>
      <c r="AC370" s="205"/>
      <c r="AD370" s="205"/>
      <c r="AL370" s="205"/>
      <c r="AM370" s="205"/>
      <c r="AN370" s="205"/>
      <c r="AO370" s="205"/>
      <c r="AP370" s="205"/>
      <c r="AQ370" s="205"/>
      <c r="AR370" s="205"/>
      <c r="AS370" s="205"/>
      <c r="AV370" s="205"/>
      <c r="AW370" s="205"/>
      <c r="AY370" s="205"/>
      <c r="AZ370" s="205"/>
      <c r="BD370" s="205"/>
      <c r="BF370" s="205"/>
    </row>
    <row r="371" spans="1:58" x14ac:dyDescent="0.2">
      <c r="A371" s="219"/>
      <c r="B371" s="219"/>
      <c r="C371" s="205"/>
      <c r="D371" s="205"/>
      <c r="E371" s="192"/>
      <c r="F371" s="205"/>
      <c r="G371" s="205"/>
      <c r="H371"/>
      <c r="I371" s="205"/>
      <c r="J371"/>
      <c r="K371"/>
      <c r="L371" s="205"/>
      <c r="M371" s="192"/>
      <c r="N371" s="205"/>
      <c r="O371" s="192"/>
      <c r="P371" s="192"/>
      <c r="Q371" s="205"/>
      <c r="R371" s="205"/>
      <c r="W371" s="205"/>
      <c r="X371" s="205"/>
      <c r="Y371" s="205"/>
      <c r="Z371" s="205"/>
      <c r="AA371" s="205"/>
      <c r="AB371" s="205"/>
      <c r="AC371" s="205"/>
      <c r="AD371" s="205"/>
      <c r="AL371" s="205"/>
      <c r="AM371" s="205"/>
      <c r="AN371" s="205"/>
      <c r="AO371" s="205"/>
      <c r="AP371" s="205"/>
      <c r="AQ371" s="205"/>
      <c r="AR371" s="205"/>
      <c r="AS371" s="205"/>
      <c r="AV371" s="205"/>
      <c r="AW371" s="205"/>
      <c r="AY371" s="205"/>
      <c r="AZ371" s="205"/>
      <c r="BD371" s="205"/>
      <c r="BF371" s="205"/>
    </row>
    <row r="372" spans="1:58" x14ac:dyDescent="0.2">
      <c r="A372" s="219"/>
      <c r="B372" s="219"/>
      <c r="C372" s="205"/>
      <c r="D372" s="205"/>
      <c r="E372" s="192"/>
      <c r="F372" s="205"/>
      <c r="G372"/>
      <c r="H372"/>
      <c r="I372" s="205"/>
      <c r="J372"/>
      <c r="K372"/>
      <c r="L372" s="205"/>
      <c r="M372" s="192"/>
      <c r="N372" s="205"/>
      <c r="O372" s="192"/>
      <c r="P372" s="192"/>
      <c r="Q372" s="205"/>
      <c r="R372" s="205"/>
      <c r="W372" s="205"/>
      <c r="X372" s="205"/>
      <c r="Y372" s="205"/>
      <c r="Z372" s="205"/>
      <c r="AA372" s="205"/>
      <c r="AB372" s="205"/>
      <c r="AC372" s="205"/>
      <c r="AD372" s="205"/>
      <c r="AL372" s="205"/>
      <c r="AM372" s="205"/>
      <c r="AN372" s="205"/>
      <c r="AO372" s="205"/>
      <c r="AP372" s="205"/>
      <c r="AQ372" s="205"/>
      <c r="AR372" s="205"/>
      <c r="AS372" s="205"/>
      <c r="AV372" s="205"/>
      <c r="AY372" s="205"/>
      <c r="AZ372" s="205"/>
      <c r="BD372" s="205"/>
      <c r="BF372" s="205"/>
    </row>
    <row r="373" spans="1:58" x14ac:dyDescent="0.2">
      <c r="A373" s="219"/>
      <c r="B373" s="219"/>
      <c r="C373" s="205"/>
      <c r="D373" s="205"/>
      <c r="E373" s="192"/>
      <c r="F373" s="205"/>
      <c r="G373" s="205"/>
      <c r="H373"/>
      <c r="I373" s="205"/>
      <c r="J373"/>
      <c r="K373"/>
      <c r="L373" s="205"/>
      <c r="M373" s="192"/>
      <c r="N373" s="205"/>
      <c r="O373" s="192"/>
      <c r="P373" s="192"/>
      <c r="Q373" s="205"/>
      <c r="R373" s="205"/>
      <c r="W373" s="205"/>
      <c r="X373" s="205"/>
      <c r="Y373" s="205"/>
      <c r="Z373" s="205"/>
      <c r="AA373" s="205"/>
      <c r="AB373" s="205"/>
      <c r="AC373" s="205"/>
      <c r="AD373" s="205"/>
      <c r="AL373" s="205"/>
      <c r="AM373" s="205"/>
      <c r="AN373" s="205"/>
      <c r="AO373" s="205"/>
      <c r="AP373" s="205"/>
      <c r="AQ373" s="205"/>
      <c r="AR373" s="205"/>
      <c r="AS373" s="205"/>
      <c r="AV373" s="205"/>
      <c r="AW373" s="205"/>
      <c r="AY373" s="205"/>
      <c r="AZ373" s="205"/>
      <c r="BD373" s="205"/>
      <c r="BF373" s="205"/>
    </row>
    <row r="374" spans="1:58" x14ac:dyDescent="0.2">
      <c r="A374" s="219"/>
      <c r="B374" s="219"/>
      <c r="C374" s="205"/>
      <c r="D374" s="205"/>
      <c r="E374" s="192"/>
      <c r="F374" s="205"/>
      <c r="G374" s="205"/>
      <c r="H374"/>
      <c r="I374" s="205"/>
      <c r="J374"/>
      <c r="K374"/>
      <c r="L374" s="205"/>
      <c r="M374" s="192"/>
      <c r="N374" s="205"/>
      <c r="O374" s="192"/>
      <c r="P374" s="192"/>
      <c r="Q374" s="205"/>
      <c r="R374" s="205"/>
      <c r="W374" s="205"/>
      <c r="X374" s="205"/>
      <c r="Y374" s="205"/>
      <c r="Z374" s="205"/>
      <c r="AA374" s="205"/>
      <c r="AB374" s="205"/>
      <c r="AC374" s="205"/>
      <c r="AD374" s="205"/>
      <c r="AL374" s="205"/>
      <c r="AM374" s="205"/>
      <c r="AN374" s="205"/>
      <c r="AO374" s="205"/>
      <c r="AP374" s="205"/>
      <c r="AQ374" s="205"/>
      <c r="AR374" s="205"/>
      <c r="AS374" s="205"/>
      <c r="AV374" s="205"/>
      <c r="AW374" s="205"/>
      <c r="AY374" s="205"/>
      <c r="AZ374" s="205"/>
      <c r="BD374" s="205"/>
      <c r="BF374" s="205"/>
    </row>
    <row r="375" spans="1:58" x14ac:dyDescent="0.2">
      <c r="A375" s="219"/>
      <c r="B375" s="219"/>
      <c r="C375" s="205"/>
      <c r="D375" s="205"/>
      <c r="E375" s="192"/>
      <c r="F375" s="205"/>
      <c r="G375" s="205"/>
      <c r="H375"/>
      <c r="I375" s="205"/>
      <c r="J375"/>
      <c r="K375"/>
      <c r="L375" s="205"/>
      <c r="M375" s="192"/>
      <c r="N375" s="205"/>
      <c r="O375" s="192"/>
      <c r="P375" s="192"/>
      <c r="Q375" s="205"/>
      <c r="R375" s="205"/>
      <c r="W375" s="205"/>
      <c r="X375" s="205"/>
      <c r="Y375" s="205"/>
      <c r="Z375" s="205"/>
      <c r="AA375" s="205"/>
      <c r="AB375" s="205"/>
      <c r="AC375" s="205"/>
      <c r="AD375" s="205"/>
      <c r="AL375" s="205"/>
      <c r="AM375" s="205"/>
      <c r="AN375" s="205"/>
      <c r="AO375" s="205"/>
      <c r="AP375" s="205"/>
      <c r="AQ375" s="205"/>
      <c r="AR375" s="205"/>
      <c r="AS375" s="205"/>
      <c r="AV375" s="205"/>
      <c r="AW375" s="205"/>
      <c r="AY375" s="205"/>
      <c r="AZ375" s="205"/>
      <c r="BD375" s="205"/>
      <c r="BF375" s="205"/>
    </row>
    <row r="376" spans="1:58" x14ac:dyDescent="0.2">
      <c r="A376" s="219"/>
      <c r="B376" s="219"/>
      <c r="C376" s="205"/>
      <c r="D376" s="205"/>
      <c r="E376" s="192"/>
      <c r="F376" s="205"/>
      <c r="G376" s="205"/>
      <c r="H376"/>
      <c r="I376" s="205"/>
      <c r="J376"/>
      <c r="K376"/>
      <c r="L376" s="205"/>
      <c r="M376" s="192"/>
      <c r="N376" s="205"/>
      <c r="O376" s="192"/>
      <c r="P376" s="192"/>
      <c r="Q376" s="205"/>
      <c r="R376" s="205"/>
      <c r="W376" s="205"/>
      <c r="X376" s="205"/>
      <c r="Y376" s="205"/>
      <c r="Z376" s="205"/>
      <c r="AA376" s="205"/>
      <c r="AB376" s="205"/>
      <c r="AC376" s="205"/>
      <c r="AD376" s="205"/>
      <c r="AL376" s="205"/>
      <c r="AM376" s="205"/>
      <c r="AN376" s="205"/>
      <c r="AO376" s="205"/>
      <c r="AP376" s="205"/>
      <c r="AQ376" s="205"/>
      <c r="AR376" s="205"/>
      <c r="AS376" s="205"/>
      <c r="AV376" s="205"/>
      <c r="AW376" s="205"/>
      <c r="AY376" s="205"/>
      <c r="AZ376" s="205"/>
      <c r="BD376" s="205"/>
      <c r="BF376" s="205"/>
    </row>
    <row r="377" spans="1:58" x14ac:dyDescent="0.2">
      <c r="A377" s="219"/>
      <c r="B377" s="219"/>
      <c r="C377" s="205"/>
      <c r="D377" s="205"/>
      <c r="E377" s="192"/>
      <c r="F377" s="205"/>
      <c r="G377" s="205"/>
      <c r="H377"/>
      <c r="I377" s="205"/>
      <c r="J377"/>
      <c r="K377"/>
      <c r="L377" s="205"/>
      <c r="M377" s="192"/>
      <c r="N377" s="205"/>
      <c r="O377" s="192"/>
      <c r="P377" s="192"/>
      <c r="Q377" s="205"/>
      <c r="R377" s="205"/>
      <c r="W377" s="205"/>
      <c r="X377" s="205"/>
      <c r="Y377" s="205"/>
      <c r="Z377" s="205"/>
      <c r="AA377" s="205"/>
      <c r="AB377" s="205"/>
      <c r="AC377" s="205"/>
      <c r="AD377" s="205"/>
      <c r="AL377" s="205"/>
      <c r="AM377" s="205"/>
      <c r="AN377" s="205"/>
      <c r="AO377" s="205"/>
      <c r="AP377" s="205"/>
      <c r="AQ377" s="205"/>
      <c r="AR377" s="205"/>
      <c r="AS377" s="205"/>
      <c r="AV377" s="205"/>
      <c r="AW377" s="205"/>
      <c r="AY377" s="205"/>
      <c r="AZ377" s="205"/>
      <c r="BD377" s="205"/>
      <c r="BF377" s="205"/>
    </row>
    <row r="378" spans="1:58" x14ac:dyDescent="0.2">
      <c r="A378" s="219"/>
      <c r="B378" s="219"/>
      <c r="C378" s="205"/>
      <c r="D378" s="205"/>
      <c r="E378" s="192"/>
      <c r="F378" s="205"/>
      <c r="G378" s="205"/>
      <c r="H378"/>
      <c r="I378" s="205"/>
      <c r="J378"/>
      <c r="K378"/>
      <c r="L378" s="205"/>
      <c r="M378" s="192"/>
      <c r="N378" s="205"/>
      <c r="O378" s="192"/>
      <c r="P378" s="192"/>
      <c r="Q378" s="205"/>
      <c r="R378" s="205"/>
      <c r="W378" s="205"/>
      <c r="X378" s="205"/>
      <c r="Y378" s="205"/>
      <c r="Z378" s="205"/>
      <c r="AA378" s="205"/>
      <c r="AB378" s="205"/>
      <c r="AC378" s="205"/>
      <c r="AD378" s="205"/>
      <c r="AL378" s="205"/>
      <c r="AM378" s="205"/>
      <c r="AN378" s="205"/>
      <c r="AO378" s="205"/>
      <c r="AP378" s="205"/>
      <c r="AQ378" s="205"/>
      <c r="AR378" s="205"/>
      <c r="AS378" s="205"/>
      <c r="AV378" s="205"/>
      <c r="AW378" s="205"/>
      <c r="AY378" s="205"/>
      <c r="AZ378" s="205"/>
      <c r="BD378" s="205"/>
      <c r="BF378" s="205"/>
    </row>
    <row r="379" spans="1:58" x14ac:dyDescent="0.2">
      <c r="A379" s="219"/>
      <c r="B379" s="219"/>
      <c r="C379" s="205"/>
      <c r="D379" s="205"/>
      <c r="E379" s="192"/>
      <c r="F379" s="205"/>
      <c r="G379" s="205"/>
      <c r="H379" s="205"/>
      <c r="I379" s="205"/>
      <c r="J379"/>
      <c r="K379"/>
      <c r="L379" s="205"/>
      <c r="M379" s="192"/>
      <c r="N379" s="205"/>
      <c r="O379" s="192"/>
      <c r="P379" s="192"/>
      <c r="Q379" s="205"/>
      <c r="R379" s="205"/>
      <c r="W379" s="205"/>
      <c r="X379" s="205"/>
      <c r="Y379" s="205"/>
      <c r="Z379" s="205"/>
      <c r="AA379" s="205"/>
      <c r="AB379" s="205"/>
      <c r="AC379" s="205"/>
      <c r="AD379" s="205"/>
      <c r="AL379" s="205"/>
      <c r="AM379" s="205"/>
      <c r="AN379" s="205"/>
      <c r="AO379" s="205"/>
      <c r="AP379" s="205"/>
      <c r="AQ379" s="205"/>
      <c r="AR379" s="205"/>
      <c r="AS379" s="205"/>
      <c r="AV379" s="205"/>
      <c r="AW379" s="205"/>
      <c r="AX379" s="205"/>
      <c r="AY379" s="205"/>
      <c r="AZ379" s="205"/>
      <c r="BD379" s="205"/>
      <c r="BF379" s="205"/>
    </row>
    <row r="380" spans="1:58" x14ac:dyDescent="0.2">
      <c r="A380" s="219"/>
      <c r="B380" s="219"/>
      <c r="C380" s="205"/>
      <c r="D380" s="205"/>
      <c r="E380" s="192"/>
      <c r="F380" s="205"/>
      <c r="G380" s="205"/>
      <c r="H380"/>
      <c r="I380" s="205"/>
      <c r="J380"/>
      <c r="K380"/>
      <c r="L380" s="205"/>
      <c r="M380" s="192"/>
      <c r="N380" s="205"/>
      <c r="O380" s="192"/>
      <c r="P380" s="192"/>
      <c r="Q380" s="205"/>
      <c r="R380" s="205"/>
      <c r="W380" s="205"/>
      <c r="X380" s="205"/>
      <c r="Y380" s="205"/>
      <c r="Z380" s="205"/>
      <c r="AA380" s="205"/>
      <c r="AB380" s="205"/>
      <c r="AC380" s="205"/>
      <c r="AD380" s="205"/>
      <c r="AL380" s="205"/>
      <c r="AM380" s="205"/>
      <c r="AN380" s="205"/>
      <c r="AO380" s="205"/>
      <c r="AP380" s="205"/>
      <c r="AQ380" s="205"/>
      <c r="AR380" s="205"/>
      <c r="AS380" s="205"/>
      <c r="AV380" s="205"/>
      <c r="AW380" s="205"/>
      <c r="AY380" s="205"/>
      <c r="AZ380" s="205"/>
      <c r="BD380" s="205"/>
      <c r="BF380" s="205"/>
    </row>
    <row r="381" spans="1:58" x14ac:dyDescent="0.2">
      <c r="A381" s="219"/>
      <c r="B381" s="219"/>
      <c r="C381" s="205"/>
      <c r="D381" s="205"/>
      <c r="E381" s="192"/>
      <c r="F381" s="205"/>
      <c r="G381" s="205"/>
      <c r="H381" s="205"/>
      <c r="I381" s="205"/>
      <c r="J381"/>
      <c r="K381"/>
      <c r="L381" s="205"/>
      <c r="M381" s="192"/>
      <c r="N381" s="205"/>
      <c r="O381" s="192"/>
      <c r="P381" s="192"/>
      <c r="Q381" s="205"/>
      <c r="R381" s="205"/>
      <c r="W381" s="205"/>
      <c r="X381" s="205"/>
      <c r="Y381" s="205"/>
      <c r="Z381" s="205"/>
      <c r="AA381" s="205"/>
      <c r="AB381" s="205"/>
      <c r="AC381" s="205"/>
      <c r="AD381" s="205"/>
      <c r="AL381" s="205"/>
      <c r="AM381" s="205"/>
      <c r="AN381" s="205"/>
      <c r="AO381" s="205"/>
      <c r="AP381" s="205"/>
      <c r="AQ381" s="205"/>
      <c r="AR381" s="205"/>
      <c r="AS381" s="205"/>
      <c r="AV381" s="205"/>
      <c r="AW381" s="205"/>
      <c r="AX381" s="205"/>
      <c r="AY381" s="205"/>
      <c r="AZ381" s="205"/>
      <c r="BD381" s="205"/>
      <c r="BF381" s="205"/>
    </row>
    <row r="382" spans="1:58" x14ac:dyDescent="0.2">
      <c r="A382" s="219"/>
      <c r="B382" s="219"/>
      <c r="C382" s="205"/>
      <c r="D382" s="205"/>
      <c r="E382" s="192"/>
      <c r="F382" s="205"/>
      <c r="G382"/>
      <c r="H382"/>
      <c r="I382" s="205"/>
      <c r="J382"/>
      <c r="K382"/>
      <c r="L382" s="205"/>
      <c r="M382" s="192"/>
      <c r="N382" s="205"/>
      <c r="O382" s="192"/>
      <c r="P382" s="192"/>
      <c r="Q382" s="205"/>
      <c r="R382" s="205"/>
      <c r="W382" s="205"/>
      <c r="X382" s="205"/>
      <c r="Y382" s="205"/>
      <c r="Z382" s="205"/>
      <c r="AA382" s="205"/>
      <c r="AB382" s="205"/>
      <c r="AC382" s="205"/>
      <c r="AD382" s="205"/>
      <c r="AL382" s="205"/>
      <c r="AM382" s="205"/>
      <c r="AN382" s="205"/>
      <c r="AO382" s="205"/>
      <c r="AP382" s="205"/>
      <c r="AQ382" s="205"/>
      <c r="AR382" s="205"/>
      <c r="AS382" s="205"/>
      <c r="AV382" s="205"/>
      <c r="AY382" s="205"/>
      <c r="AZ382" s="205"/>
      <c r="BD382" s="205"/>
      <c r="BF382" s="205"/>
    </row>
    <row r="383" spans="1:58" x14ac:dyDescent="0.2">
      <c r="A383" s="219"/>
      <c r="B383" s="219"/>
      <c r="C383" s="205"/>
      <c r="D383" s="205"/>
      <c r="E383" s="192"/>
      <c r="F383" s="205"/>
      <c r="G383"/>
      <c r="H383"/>
      <c r="I383" s="205"/>
      <c r="J383"/>
      <c r="K383"/>
      <c r="L383" s="205"/>
      <c r="M383" s="192"/>
      <c r="N383" s="205"/>
      <c r="O383" s="192"/>
      <c r="P383" s="192"/>
      <c r="Q383" s="205"/>
      <c r="R383" s="205"/>
      <c r="W383" s="205"/>
      <c r="X383" s="205"/>
      <c r="Y383" s="205"/>
      <c r="Z383" s="205"/>
      <c r="AA383" s="205"/>
      <c r="AB383" s="205"/>
      <c r="AC383" s="205"/>
      <c r="AD383" s="205"/>
      <c r="AL383" s="205"/>
      <c r="AM383" s="205"/>
      <c r="AN383" s="205"/>
      <c r="AO383" s="205"/>
      <c r="AP383" s="205"/>
      <c r="AQ383" s="205"/>
      <c r="AR383" s="205"/>
      <c r="AS383" s="205"/>
      <c r="AV383" s="205"/>
      <c r="AY383" s="205"/>
      <c r="AZ383" s="205"/>
      <c r="BD383" s="205"/>
      <c r="BF383" s="205"/>
    </row>
    <row r="384" spans="1:58" x14ac:dyDescent="0.2">
      <c r="A384" s="219"/>
      <c r="B384" s="219"/>
      <c r="C384" s="205"/>
      <c r="D384" s="205"/>
      <c r="E384" s="192"/>
      <c r="F384" s="205"/>
      <c r="G384" s="205"/>
      <c r="H384"/>
      <c r="I384" s="205"/>
      <c r="J384"/>
      <c r="K384"/>
      <c r="L384" s="205"/>
      <c r="M384" s="192"/>
      <c r="N384" s="205"/>
      <c r="O384" s="192"/>
      <c r="P384" s="192"/>
      <c r="Q384" s="205"/>
      <c r="R384" s="205"/>
      <c r="W384" s="205"/>
      <c r="X384" s="205"/>
      <c r="Y384" s="205"/>
      <c r="Z384" s="205"/>
      <c r="AA384" s="205"/>
      <c r="AB384" s="205"/>
      <c r="AC384" s="205"/>
      <c r="AD384" s="205"/>
      <c r="AL384" s="205"/>
      <c r="AM384" s="205"/>
      <c r="AN384" s="205"/>
      <c r="AO384" s="205"/>
      <c r="AP384" s="205"/>
      <c r="AQ384" s="205"/>
      <c r="AR384" s="205"/>
      <c r="AS384" s="205"/>
      <c r="AV384" s="205"/>
      <c r="AW384" s="205"/>
      <c r="AY384" s="205"/>
      <c r="AZ384" s="205"/>
      <c r="BD384" s="205"/>
      <c r="BF384" s="205"/>
    </row>
    <row r="385" spans="1:100" x14ac:dyDescent="0.2">
      <c r="A385" s="219"/>
      <c r="B385" s="219"/>
      <c r="C385" s="205"/>
      <c r="D385" s="205"/>
      <c r="E385" s="192"/>
      <c r="F385" s="205"/>
      <c r="G385" s="205"/>
      <c r="H385" s="205"/>
      <c r="I385" s="205"/>
      <c r="J385" s="205"/>
      <c r="K385" s="205"/>
      <c r="L385" s="205"/>
      <c r="M385" s="192"/>
      <c r="N385" s="205"/>
      <c r="O385" s="192"/>
      <c r="P385" s="192"/>
      <c r="Q385" s="205"/>
      <c r="R385" s="205"/>
      <c r="W385" s="205"/>
      <c r="X385" s="205"/>
      <c r="Y385" s="205"/>
      <c r="Z385" s="205"/>
      <c r="AA385" s="205"/>
      <c r="AB385" s="205"/>
      <c r="AC385" s="205"/>
      <c r="AD385" s="205"/>
      <c r="AL385" s="205"/>
      <c r="AM385" s="205"/>
      <c r="AN385" s="205"/>
      <c r="AO385" s="205"/>
      <c r="AP385" s="205"/>
      <c r="AQ385" s="205"/>
      <c r="AR385" s="205"/>
      <c r="AS385" s="205"/>
      <c r="AV385" s="205"/>
      <c r="AW385" s="205"/>
      <c r="AX385" s="205"/>
      <c r="AY385" s="205"/>
      <c r="AZ385" s="205"/>
      <c r="BA385" s="205"/>
      <c r="BB385" s="205"/>
      <c r="BD385" s="205"/>
      <c r="BF385" s="205"/>
      <c r="BG385" s="201"/>
      <c r="BJ385" s="201"/>
      <c r="BK385" s="201"/>
      <c r="BL385" s="201"/>
      <c r="BM385" s="201"/>
      <c r="BN385" s="201"/>
      <c r="BO385" s="201"/>
      <c r="BP385" s="201"/>
      <c r="BQ385" s="201"/>
      <c r="BR385" s="201"/>
      <c r="BS385" s="201"/>
      <c r="BT385" s="201"/>
      <c r="BU385" s="201"/>
      <c r="BV385" s="201"/>
      <c r="BW385" s="201"/>
      <c r="BX385" s="201"/>
      <c r="BY385" s="201"/>
      <c r="BZ385" s="201"/>
      <c r="CA385" s="201"/>
      <c r="CB385" s="201"/>
      <c r="CC385" s="201"/>
      <c r="CD385" s="201"/>
      <c r="CE385" s="201"/>
      <c r="CF385" s="201"/>
      <c r="CG385" s="201"/>
      <c r="CH385" s="201"/>
      <c r="CI385" s="201"/>
      <c r="CJ385" s="201"/>
      <c r="CK385" s="201"/>
      <c r="CL385" s="201"/>
      <c r="CM385" s="201"/>
      <c r="CN385" s="201"/>
      <c r="CP385" s="201"/>
      <c r="CQ385" s="201"/>
      <c r="CR385" s="201"/>
      <c r="CS385" s="201"/>
      <c r="CT385" s="201"/>
      <c r="CU385" s="201"/>
      <c r="CV385" s="201"/>
    </row>
    <row r="386" spans="1:100" x14ac:dyDescent="0.2">
      <c r="A386" s="219"/>
      <c r="B386" s="219"/>
      <c r="C386" s="205"/>
      <c r="D386" s="205"/>
      <c r="E386" s="192"/>
      <c r="F386"/>
      <c r="G386"/>
      <c r="H386"/>
      <c r="I386" s="205"/>
      <c r="J386"/>
      <c r="K386"/>
      <c r="L386" s="205"/>
      <c r="M386" s="192"/>
      <c r="N386" s="205"/>
      <c r="O386" s="192"/>
      <c r="P386" s="192"/>
      <c r="Q386" s="205"/>
      <c r="R386" s="205"/>
      <c r="W386" s="205"/>
      <c r="X386" s="205"/>
      <c r="Y386" s="205"/>
      <c r="Z386" s="205"/>
      <c r="AA386" s="205"/>
      <c r="AB386" s="205"/>
      <c r="AC386" s="205"/>
      <c r="AD386" s="205"/>
      <c r="AL386" s="205"/>
      <c r="AM386" s="205"/>
      <c r="AN386" s="205"/>
      <c r="AO386" s="205"/>
      <c r="AP386" s="205"/>
      <c r="AQ386" s="205"/>
      <c r="AR386" s="205"/>
      <c r="AS386" s="205"/>
      <c r="AY386" s="205"/>
      <c r="AZ386" s="205"/>
      <c r="BD386" s="205"/>
      <c r="BF386" s="205"/>
    </row>
    <row r="387" spans="1:100" x14ac:dyDescent="0.2">
      <c r="A387" s="219"/>
      <c r="B387" s="219"/>
      <c r="C387" s="205"/>
      <c r="D387" s="205"/>
      <c r="E387" s="192"/>
      <c r="F387" s="205"/>
      <c r="G387"/>
      <c r="H387"/>
      <c r="I387" s="205"/>
      <c r="J387"/>
      <c r="K387"/>
      <c r="L387" s="205"/>
      <c r="M387" s="192"/>
      <c r="N387" s="205"/>
      <c r="O387" s="192"/>
      <c r="P387" s="192"/>
      <c r="Q387" s="205"/>
      <c r="R387" s="205"/>
      <c r="W387" s="205"/>
      <c r="X387" s="205"/>
      <c r="Y387" s="205"/>
      <c r="Z387" s="205"/>
      <c r="AA387" s="205"/>
      <c r="AB387" s="205"/>
      <c r="AC387" s="205"/>
      <c r="AD387" s="205"/>
      <c r="AL387" s="205"/>
      <c r="AM387" s="205"/>
      <c r="AN387" s="205"/>
      <c r="AO387" s="205"/>
      <c r="AP387" s="205"/>
      <c r="AQ387" s="205"/>
      <c r="AR387" s="205"/>
      <c r="AS387" s="205"/>
      <c r="AV387" s="205"/>
      <c r="AY387" s="205"/>
      <c r="AZ387" s="205"/>
      <c r="BD387" s="205"/>
      <c r="BF387" s="205"/>
    </row>
    <row r="388" spans="1:100" x14ac:dyDescent="0.2">
      <c r="A388" s="219"/>
      <c r="B388" s="219"/>
      <c r="C388" s="205"/>
      <c r="D388" s="205"/>
      <c r="E388" s="192"/>
      <c r="F388" s="205"/>
      <c r="G388"/>
      <c r="H388"/>
      <c r="I388" s="205"/>
      <c r="J388"/>
      <c r="K388"/>
      <c r="L388" s="205"/>
      <c r="M388" s="192"/>
      <c r="N388" s="205"/>
      <c r="O388" s="192"/>
      <c r="P388" s="192"/>
      <c r="Q388" s="205"/>
      <c r="R388" s="205"/>
      <c r="W388" s="205"/>
      <c r="X388" s="205"/>
      <c r="Y388" s="205"/>
      <c r="Z388" s="205"/>
      <c r="AA388" s="205"/>
      <c r="AB388" s="205"/>
      <c r="AC388" s="205"/>
      <c r="AD388" s="205"/>
      <c r="AL388" s="205"/>
      <c r="AM388" s="205"/>
      <c r="AN388" s="205"/>
      <c r="AO388" s="205"/>
      <c r="AP388" s="205"/>
      <c r="AQ388" s="205"/>
      <c r="AR388" s="205"/>
      <c r="AS388" s="205"/>
      <c r="AV388" s="205"/>
      <c r="AY388" s="205"/>
      <c r="AZ388" s="205"/>
      <c r="BD388" s="205"/>
      <c r="BF388" s="205"/>
    </row>
    <row r="389" spans="1:100" x14ac:dyDescent="0.2">
      <c r="A389" s="219"/>
      <c r="B389" s="219"/>
      <c r="C389" s="205"/>
      <c r="D389" s="205"/>
      <c r="E389" s="192"/>
      <c r="F389" s="205"/>
      <c r="G389"/>
      <c r="H389"/>
      <c r="I389" s="205"/>
      <c r="J389"/>
      <c r="K389"/>
      <c r="L389" s="205"/>
      <c r="M389" s="192"/>
      <c r="N389" s="205"/>
      <c r="O389" s="192"/>
      <c r="P389" s="192"/>
      <c r="Q389" s="205"/>
      <c r="R389" s="205"/>
      <c r="W389" s="205"/>
      <c r="X389" s="205"/>
      <c r="Y389" s="205"/>
      <c r="Z389" s="205"/>
      <c r="AA389" s="205"/>
      <c r="AB389" s="205"/>
      <c r="AC389" s="205"/>
      <c r="AD389" s="205"/>
      <c r="AL389" s="205"/>
      <c r="AM389" s="205"/>
      <c r="AN389" s="205"/>
      <c r="AO389" s="205"/>
      <c r="AP389" s="205"/>
      <c r="AQ389" s="205"/>
      <c r="AR389" s="205"/>
      <c r="AS389" s="205"/>
      <c r="AV389" s="205"/>
      <c r="AY389" s="205"/>
      <c r="AZ389" s="205"/>
      <c r="BD389" s="205"/>
      <c r="BF389" s="205"/>
    </row>
    <row r="390" spans="1:100" x14ac:dyDescent="0.2">
      <c r="A390" s="219"/>
      <c r="B390" s="219"/>
      <c r="C390" s="205"/>
      <c r="D390" s="205"/>
      <c r="E390" s="192"/>
      <c r="F390" s="205"/>
      <c r="G390" s="205"/>
      <c r="H390"/>
      <c r="I390" s="205"/>
      <c r="J390"/>
      <c r="K390"/>
      <c r="L390" s="205"/>
      <c r="M390" s="192"/>
      <c r="N390" s="205"/>
      <c r="O390" s="192"/>
      <c r="P390" s="192"/>
      <c r="Q390" s="205"/>
      <c r="R390" s="205"/>
      <c r="W390" s="205"/>
      <c r="X390" s="205"/>
      <c r="Y390" s="205"/>
      <c r="Z390" s="205"/>
      <c r="AA390" s="205"/>
      <c r="AB390" s="205"/>
      <c r="AC390" s="205"/>
      <c r="AD390" s="205"/>
      <c r="AL390" s="205"/>
      <c r="AM390" s="205"/>
      <c r="AN390" s="205"/>
      <c r="AO390" s="205"/>
      <c r="AP390" s="205"/>
      <c r="AQ390" s="205"/>
      <c r="AR390" s="205"/>
      <c r="AS390" s="205"/>
      <c r="AV390" s="205"/>
      <c r="AW390" s="205"/>
      <c r="AY390" s="205"/>
      <c r="AZ390" s="205"/>
      <c r="BD390" s="205"/>
      <c r="BF390" s="205"/>
    </row>
    <row r="391" spans="1:100" x14ac:dyDescent="0.2">
      <c r="A391" s="219"/>
      <c r="B391" s="219"/>
      <c r="C391" s="205"/>
      <c r="D391" s="205"/>
      <c r="E391" s="192"/>
      <c r="F391" s="205"/>
      <c r="G391" s="205"/>
      <c r="H391"/>
      <c r="I391" s="205"/>
      <c r="J391"/>
      <c r="K391"/>
      <c r="L391" s="205"/>
      <c r="M391" s="192"/>
      <c r="N391" s="205"/>
      <c r="O391" s="192"/>
      <c r="P391" s="192"/>
      <c r="Q391" s="205"/>
      <c r="R391" s="205"/>
      <c r="W391" s="205"/>
      <c r="X391" s="205"/>
      <c r="Y391" s="205"/>
      <c r="Z391" s="205"/>
      <c r="AA391" s="205"/>
      <c r="AB391" s="205"/>
      <c r="AC391" s="205"/>
      <c r="AD391" s="205"/>
      <c r="AL391" s="205"/>
      <c r="AM391" s="205"/>
      <c r="AN391" s="205"/>
      <c r="AO391" s="205"/>
      <c r="AP391" s="205"/>
      <c r="AQ391" s="205"/>
      <c r="AR391" s="205"/>
      <c r="AS391" s="205"/>
      <c r="AV391" s="205"/>
      <c r="AW391" s="205"/>
      <c r="AY391" s="205"/>
      <c r="AZ391" s="205"/>
      <c r="BD391" s="205"/>
      <c r="BF391" s="205"/>
    </row>
    <row r="392" spans="1:100" x14ac:dyDescent="0.2">
      <c r="A392" s="219"/>
      <c r="B392" s="219"/>
      <c r="C392" s="205"/>
      <c r="D392" s="205"/>
      <c r="E392" s="192"/>
      <c r="F392" s="205"/>
      <c r="G392" s="205"/>
      <c r="H392"/>
      <c r="I392" s="205"/>
      <c r="J392"/>
      <c r="K392"/>
      <c r="L392" s="205"/>
      <c r="M392" s="192"/>
      <c r="N392" s="205"/>
      <c r="O392" s="192"/>
      <c r="P392" s="192"/>
      <c r="Q392" s="205"/>
      <c r="R392" s="205"/>
      <c r="W392" s="205"/>
      <c r="X392" s="205"/>
      <c r="Y392" s="205"/>
      <c r="Z392" s="205"/>
      <c r="AA392" s="205"/>
      <c r="AB392" s="205"/>
      <c r="AC392" s="205"/>
      <c r="AD392" s="205"/>
      <c r="AL392" s="205"/>
      <c r="AM392" s="205"/>
      <c r="AN392" s="205"/>
      <c r="AO392" s="205"/>
      <c r="AP392" s="205"/>
      <c r="AQ392" s="205"/>
      <c r="AR392" s="205"/>
      <c r="AS392" s="205"/>
      <c r="AV392" s="205"/>
      <c r="AW392" s="205"/>
      <c r="AY392" s="205"/>
      <c r="AZ392" s="205"/>
      <c r="BD392" s="205"/>
      <c r="BF392" s="205"/>
    </row>
    <row r="393" spans="1:100" x14ac:dyDescent="0.2">
      <c r="A393" s="219"/>
      <c r="B393" s="219"/>
      <c r="C393" s="205"/>
      <c r="D393" s="205"/>
      <c r="E393" s="192"/>
      <c r="F393" s="205"/>
      <c r="G393" s="205"/>
      <c r="H393"/>
      <c r="I393" s="205"/>
      <c r="J393"/>
      <c r="K393"/>
      <c r="L393" s="205"/>
      <c r="M393" s="192"/>
      <c r="N393" s="205"/>
      <c r="O393" s="192"/>
      <c r="P393" s="192"/>
      <c r="Q393" s="205"/>
      <c r="R393" s="205"/>
      <c r="W393" s="205"/>
      <c r="X393" s="205"/>
      <c r="Y393" s="205"/>
      <c r="Z393" s="205"/>
      <c r="AA393" s="205"/>
      <c r="AB393" s="205"/>
      <c r="AC393" s="205"/>
      <c r="AD393" s="205"/>
      <c r="AL393" s="205"/>
      <c r="AM393" s="205"/>
      <c r="AN393" s="205"/>
      <c r="AO393" s="205"/>
      <c r="AP393" s="205"/>
      <c r="AQ393" s="205"/>
      <c r="AR393" s="205"/>
      <c r="AS393" s="205"/>
      <c r="AV393" s="205"/>
      <c r="AW393" s="205"/>
      <c r="AY393" s="205"/>
      <c r="AZ393" s="205"/>
      <c r="BD393" s="205"/>
      <c r="BF393" s="205"/>
    </row>
    <row r="394" spans="1:100" x14ac:dyDescent="0.2">
      <c r="A394" s="219"/>
      <c r="B394" s="219"/>
      <c r="C394" s="205"/>
      <c r="D394" s="205"/>
      <c r="E394" s="192"/>
      <c r="F394" s="205"/>
      <c r="G394" s="205"/>
      <c r="H394"/>
      <c r="I394" s="205"/>
      <c r="J394"/>
      <c r="K394"/>
      <c r="L394" s="205"/>
      <c r="M394" s="192"/>
      <c r="N394" s="205"/>
      <c r="O394" s="192"/>
      <c r="P394" s="192"/>
      <c r="Q394" s="205"/>
      <c r="R394" s="205"/>
      <c r="W394" s="205"/>
      <c r="X394" s="205"/>
      <c r="Y394" s="205"/>
      <c r="Z394" s="205"/>
      <c r="AA394" s="205"/>
      <c r="AB394" s="205"/>
      <c r="AC394" s="205"/>
      <c r="AD394" s="205"/>
      <c r="AL394" s="205"/>
      <c r="AM394" s="205"/>
      <c r="AN394" s="205"/>
      <c r="AO394" s="205"/>
      <c r="AP394" s="205"/>
      <c r="AQ394" s="205"/>
      <c r="AR394" s="205"/>
      <c r="AS394" s="205"/>
      <c r="AV394" s="205"/>
      <c r="AW394" s="205"/>
      <c r="AY394" s="205"/>
      <c r="AZ394" s="205"/>
      <c r="BD394" s="205"/>
      <c r="BF394" s="205"/>
    </row>
    <row r="395" spans="1:100" x14ac:dyDescent="0.2">
      <c r="A395" s="219"/>
      <c r="B395" s="219"/>
      <c r="C395" s="205"/>
      <c r="D395" s="205"/>
      <c r="E395" s="192"/>
      <c r="F395" s="205"/>
      <c r="G395" s="205"/>
      <c r="H395"/>
      <c r="I395" s="205"/>
      <c r="J395"/>
      <c r="K395"/>
      <c r="L395" s="205"/>
      <c r="M395" s="192"/>
      <c r="N395" s="205"/>
      <c r="O395" s="192"/>
      <c r="P395" s="192"/>
      <c r="Q395" s="205"/>
      <c r="R395" s="205"/>
      <c r="W395" s="205"/>
      <c r="X395" s="205"/>
      <c r="Y395" s="205"/>
      <c r="Z395" s="205"/>
      <c r="AA395" s="205"/>
      <c r="AB395" s="205"/>
      <c r="AC395" s="205"/>
      <c r="AD395" s="205"/>
      <c r="AL395" s="205"/>
      <c r="AM395" s="205"/>
      <c r="AN395" s="205"/>
      <c r="AO395" s="205"/>
      <c r="AP395" s="205"/>
      <c r="AQ395" s="205"/>
      <c r="AR395" s="205"/>
      <c r="AS395" s="205"/>
      <c r="AV395" s="205"/>
      <c r="AW395" s="205"/>
      <c r="AY395" s="205"/>
      <c r="AZ395" s="205"/>
      <c r="BD395" s="205"/>
      <c r="BF395" s="205"/>
    </row>
    <row r="396" spans="1:100" x14ac:dyDescent="0.2">
      <c r="A396" s="219"/>
      <c r="B396" s="219"/>
      <c r="C396" s="205"/>
      <c r="D396" s="205"/>
      <c r="E396" s="192"/>
      <c r="F396" s="205"/>
      <c r="G396" s="205"/>
      <c r="H396"/>
      <c r="I396" s="205"/>
      <c r="J396"/>
      <c r="K396"/>
      <c r="L396" s="205"/>
      <c r="M396" s="192"/>
      <c r="N396" s="205"/>
      <c r="O396" s="192"/>
      <c r="P396" s="192"/>
      <c r="Q396" s="205"/>
      <c r="R396" s="205"/>
      <c r="W396" s="205"/>
      <c r="X396" s="205"/>
      <c r="Y396" s="205"/>
      <c r="Z396" s="205"/>
      <c r="AA396" s="205"/>
      <c r="AB396" s="205"/>
      <c r="AC396" s="205"/>
      <c r="AD396" s="205"/>
      <c r="AL396" s="205"/>
      <c r="AM396" s="205"/>
      <c r="AN396" s="205"/>
      <c r="AO396" s="205"/>
      <c r="AP396" s="205"/>
      <c r="AQ396" s="205"/>
      <c r="AR396" s="205"/>
      <c r="AS396" s="205"/>
      <c r="AV396" s="205"/>
      <c r="AW396" s="205"/>
      <c r="AY396" s="205"/>
      <c r="AZ396" s="205"/>
      <c r="BD396" s="205"/>
      <c r="BF396" s="205"/>
    </row>
    <row r="397" spans="1:100" x14ac:dyDescent="0.2">
      <c r="A397" s="219"/>
      <c r="B397" s="219"/>
      <c r="C397" s="205"/>
      <c r="D397" s="205"/>
      <c r="E397" s="192"/>
      <c r="F397" s="205"/>
      <c r="G397" s="205"/>
      <c r="H397"/>
      <c r="I397" s="205"/>
      <c r="J397"/>
      <c r="K397"/>
      <c r="L397" s="205"/>
      <c r="M397" s="192"/>
      <c r="N397" s="205"/>
      <c r="O397" s="192"/>
      <c r="P397" s="192"/>
      <c r="Q397" s="205"/>
      <c r="R397" s="205"/>
      <c r="W397" s="205"/>
      <c r="X397" s="205"/>
      <c r="Y397" s="205"/>
      <c r="Z397" s="205"/>
      <c r="AA397" s="205"/>
      <c r="AB397" s="205"/>
      <c r="AC397" s="205"/>
      <c r="AD397" s="205"/>
      <c r="AL397" s="205"/>
      <c r="AM397" s="205"/>
      <c r="AN397" s="205"/>
      <c r="AO397" s="205"/>
      <c r="AP397" s="205"/>
      <c r="AQ397" s="205"/>
      <c r="AR397" s="205"/>
      <c r="AS397" s="205"/>
      <c r="AV397" s="205"/>
      <c r="AW397" s="205"/>
      <c r="AY397" s="205"/>
      <c r="AZ397" s="205"/>
      <c r="BD397" s="205"/>
      <c r="BF397" s="205"/>
    </row>
    <row r="398" spans="1:100" x14ac:dyDescent="0.2">
      <c r="A398" s="219"/>
      <c r="B398" s="219"/>
      <c r="C398" s="205"/>
      <c r="D398" s="205"/>
      <c r="E398" s="192"/>
      <c r="F398" s="205"/>
      <c r="G398" s="205"/>
      <c r="H398"/>
      <c r="I398" s="205"/>
      <c r="J398"/>
      <c r="K398"/>
      <c r="L398" s="205"/>
      <c r="M398" s="192"/>
      <c r="N398" s="205"/>
      <c r="O398" s="192"/>
      <c r="P398" s="192"/>
      <c r="Q398" s="205"/>
      <c r="R398" s="205"/>
      <c r="W398" s="205"/>
      <c r="X398" s="205"/>
      <c r="Y398" s="205"/>
      <c r="Z398" s="205"/>
      <c r="AA398" s="205"/>
      <c r="AB398" s="205"/>
      <c r="AC398" s="205"/>
      <c r="AD398" s="205"/>
      <c r="AL398" s="205"/>
      <c r="AM398" s="205"/>
      <c r="AN398" s="205"/>
      <c r="AO398" s="205"/>
      <c r="AP398" s="205"/>
      <c r="AQ398" s="205"/>
      <c r="AR398" s="205"/>
      <c r="AS398" s="205"/>
      <c r="AV398" s="205"/>
      <c r="AW398" s="205"/>
      <c r="AY398" s="205"/>
      <c r="AZ398" s="205"/>
      <c r="BD398" s="205"/>
      <c r="BF398" s="205"/>
    </row>
    <row r="399" spans="1:100" x14ac:dyDescent="0.2">
      <c r="A399" s="219"/>
      <c r="B399" s="219"/>
      <c r="C399" s="205"/>
      <c r="D399" s="205"/>
      <c r="E399" s="192"/>
      <c r="F399" s="205"/>
      <c r="G399" s="205"/>
      <c r="H399"/>
      <c r="I399" s="205"/>
      <c r="J399"/>
      <c r="K399"/>
      <c r="L399" s="205"/>
      <c r="M399" s="192"/>
      <c r="N399" s="205"/>
      <c r="O399" s="192"/>
      <c r="P399" s="192"/>
      <c r="Q399" s="205"/>
      <c r="R399" s="205"/>
      <c r="W399" s="205"/>
      <c r="X399" s="205"/>
      <c r="Y399" s="205"/>
      <c r="Z399" s="205"/>
      <c r="AA399" s="205"/>
      <c r="AB399" s="205"/>
      <c r="AC399" s="205"/>
      <c r="AD399" s="205"/>
      <c r="AL399" s="205"/>
      <c r="AM399" s="205"/>
      <c r="AN399" s="205"/>
      <c r="AO399" s="205"/>
      <c r="AP399" s="205"/>
      <c r="AQ399" s="205"/>
      <c r="AR399" s="205"/>
      <c r="AS399" s="205"/>
      <c r="AV399" s="205"/>
      <c r="AW399" s="205"/>
      <c r="AY399" s="205"/>
      <c r="AZ399" s="205"/>
      <c r="BD399" s="205"/>
      <c r="BF399" s="205"/>
    </row>
    <row r="400" spans="1:100" x14ac:dyDescent="0.2">
      <c r="A400" s="219"/>
      <c r="B400" s="219"/>
      <c r="C400" s="205"/>
      <c r="D400" s="205"/>
      <c r="E400" s="192"/>
      <c r="F400" s="205"/>
      <c r="G400"/>
      <c r="H400"/>
      <c r="I400" s="205"/>
      <c r="J400"/>
      <c r="K400"/>
      <c r="L400" s="205"/>
      <c r="M400" s="192"/>
      <c r="N400" s="205"/>
      <c r="O400" s="192"/>
      <c r="P400" s="192"/>
      <c r="Q400" s="205"/>
      <c r="R400" s="205"/>
      <c r="W400" s="205"/>
      <c r="X400" s="205"/>
      <c r="Y400" s="205"/>
      <c r="Z400" s="205"/>
      <c r="AA400" s="205"/>
      <c r="AB400" s="205"/>
      <c r="AC400" s="205"/>
      <c r="AD400" s="205"/>
      <c r="AL400" s="205"/>
      <c r="AM400" s="205"/>
      <c r="AN400" s="205"/>
      <c r="AO400" s="205"/>
      <c r="AP400" s="205"/>
      <c r="AQ400" s="205"/>
      <c r="AR400" s="205"/>
      <c r="AS400" s="205"/>
      <c r="AV400" s="205"/>
      <c r="AY400" s="205"/>
      <c r="AZ400" s="205"/>
      <c r="BD400" s="205"/>
      <c r="BF400" s="205"/>
    </row>
    <row r="401" spans="1:100" x14ac:dyDescent="0.2">
      <c r="A401" s="219"/>
      <c r="B401" s="219"/>
      <c r="C401" s="205"/>
      <c r="D401" s="205"/>
      <c r="E401" s="192"/>
      <c r="F401" s="205"/>
      <c r="G401" s="205"/>
      <c r="H401"/>
      <c r="I401" s="205"/>
      <c r="J401"/>
      <c r="K401"/>
      <c r="L401" s="205"/>
      <c r="M401" s="192"/>
      <c r="N401" s="205"/>
      <c r="O401" s="192"/>
      <c r="P401" s="192"/>
      <c r="Q401" s="205"/>
      <c r="R401" s="205"/>
      <c r="W401" s="205"/>
      <c r="X401" s="205"/>
      <c r="Y401" s="205"/>
      <c r="Z401" s="205"/>
      <c r="AA401" s="205"/>
      <c r="AB401" s="205"/>
      <c r="AC401" s="205"/>
      <c r="AD401" s="205"/>
      <c r="AL401" s="205"/>
      <c r="AM401" s="205"/>
      <c r="AN401" s="205"/>
      <c r="AO401" s="205"/>
      <c r="AP401" s="205"/>
      <c r="AQ401" s="205"/>
      <c r="AR401" s="205"/>
      <c r="AS401" s="205"/>
      <c r="AV401" s="205"/>
      <c r="AW401" s="205"/>
      <c r="AY401" s="205"/>
      <c r="AZ401" s="205"/>
      <c r="BD401" s="205"/>
      <c r="BF401" s="205"/>
    </row>
    <row r="402" spans="1:100" x14ac:dyDescent="0.2">
      <c r="A402" s="219"/>
      <c r="B402" s="219"/>
      <c r="C402" s="205"/>
      <c r="D402" s="205"/>
      <c r="E402" s="192"/>
      <c r="F402" s="205"/>
      <c r="G402" s="205"/>
      <c r="H402"/>
      <c r="I402" s="205"/>
      <c r="J402"/>
      <c r="K402"/>
      <c r="L402" s="205"/>
      <c r="M402" s="192"/>
      <c r="N402" s="205"/>
      <c r="O402" s="192"/>
      <c r="P402" s="192"/>
      <c r="Q402" s="205"/>
      <c r="R402" s="205"/>
      <c r="W402" s="205"/>
      <c r="X402" s="205"/>
      <c r="Y402" s="205"/>
      <c r="Z402" s="205"/>
      <c r="AA402" s="205"/>
      <c r="AB402" s="205"/>
      <c r="AC402" s="205"/>
      <c r="AD402" s="205"/>
      <c r="AL402" s="205"/>
      <c r="AM402" s="205"/>
      <c r="AN402" s="205"/>
      <c r="AO402" s="205"/>
      <c r="AP402" s="205"/>
      <c r="AQ402" s="205"/>
      <c r="AR402" s="205"/>
      <c r="AS402" s="205"/>
      <c r="AV402" s="205"/>
      <c r="AW402" s="205"/>
      <c r="AY402" s="205"/>
      <c r="AZ402" s="205"/>
      <c r="BD402" s="205"/>
      <c r="BF402" s="205"/>
    </row>
    <row r="403" spans="1:100" x14ac:dyDescent="0.2">
      <c r="A403" s="219"/>
      <c r="B403" s="219"/>
      <c r="C403" s="205"/>
      <c r="D403" s="205"/>
      <c r="E403" s="192"/>
      <c r="F403" s="205"/>
      <c r="G403" s="205"/>
      <c r="H403"/>
      <c r="I403" s="205"/>
      <c r="J403"/>
      <c r="K403"/>
      <c r="L403" s="205"/>
      <c r="M403" s="192"/>
      <c r="N403" s="205"/>
      <c r="O403" s="192"/>
      <c r="P403" s="192"/>
      <c r="Q403" s="205"/>
      <c r="R403" s="205"/>
      <c r="W403" s="205"/>
      <c r="X403" s="205"/>
      <c r="Y403" s="205"/>
      <c r="Z403" s="205"/>
      <c r="AA403" s="205"/>
      <c r="AB403" s="205"/>
      <c r="AC403" s="205"/>
      <c r="AD403" s="205"/>
      <c r="AL403" s="205"/>
      <c r="AM403" s="205"/>
      <c r="AN403" s="205"/>
      <c r="AO403" s="205"/>
      <c r="AP403" s="205"/>
      <c r="AQ403" s="205"/>
      <c r="AR403" s="205"/>
      <c r="AS403" s="205"/>
      <c r="AV403" s="205"/>
      <c r="AW403" s="205"/>
      <c r="AY403" s="205"/>
      <c r="AZ403" s="205"/>
      <c r="BD403" s="205"/>
      <c r="BF403" s="205"/>
    </row>
    <row r="404" spans="1:100" x14ac:dyDescent="0.2">
      <c r="A404" s="219"/>
      <c r="B404" s="219"/>
      <c r="C404" s="205"/>
      <c r="D404" s="205"/>
      <c r="E404" s="192"/>
      <c r="F404" s="205"/>
      <c r="G404" s="205"/>
      <c r="H404"/>
      <c r="I404" s="205"/>
      <c r="J404"/>
      <c r="K404"/>
      <c r="L404" s="205"/>
      <c r="M404" s="192"/>
      <c r="N404" s="205"/>
      <c r="O404" s="192"/>
      <c r="P404" s="192"/>
      <c r="Q404" s="205"/>
      <c r="R404" s="205"/>
      <c r="W404" s="205"/>
      <c r="X404" s="205"/>
      <c r="Y404" s="205"/>
      <c r="Z404" s="205"/>
      <c r="AA404" s="205"/>
      <c r="AB404" s="205"/>
      <c r="AC404" s="205"/>
      <c r="AD404" s="205"/>
      <c r="AL404" s="205"/>
      <c r="AM404" s="205"/>
      <c r="AN404" s="205"/>
      <c r="AO404" s="205"/>
      <c r="AP404" s="205"/>
      <c r="AQ404" s="205"/>
      <c r="AR404" s="205"/>
      <c r="AS404" s="205"/>
      <c r="AV404" s="205"/>
      <c r="AW404" s="205"/>
      <c r="AY404" s="205"/>
      <c r="AZ404" s="205"/>
      <c r="BD404" s="205"/>
      <c r="BF404" s="205"/>
    </row>
    <row r="405" spans="1:100" x14ac:dyDescent="0.2">
      <c r="A405" s="219"/>
      <c r="B405" s="219"/>
      <c r="C405" s="205"/>
      <c r="D405" s="205"/>
      <c r="E405" s="192"/>
      <c r="F405" s="205"/>
      <c r="G405" s="205"/>
      <c r="H405"/>
      <c r="I405" s="205"/>
      <c r="J405"/>
      <c r="K405"/>
      <c r="L405" s="205"/>
      <c r="M405" s="192"/>
      <c r="N405" s="205"/>
      <c r="O405" s="192"/>
      <c r="P405" s="192"/>
      <c r="Q405" s="205"/>
      <c r="R405" s="205"/>
      <c r="W405" s="205"/>
      <c r="X405" s="205"/>
      <c r="Y405" s="205"/>
      <c r="Z405" s="205"/>
      <c r="AA405" s="205"/>
      <c r="AB405" s="205"/>
      <c r="AC405" s="205"/>
      <c r="AD405" s="205"/>
      <c r="AL405" s="205"/>
      <c r="AM405" s="205"/>
      <c r="AN405" s="205"/>
      <c r="AO405" s="205"/>
      <c r="AP405" s="205"/>
      <c r="AQ405" s="205"/>
      <c r="AR405" s="205"/>
      <c r="AS405" s="205"/>
      <c r="AV405" s="205"/>
      <c r="AW405" s="205"/>
      <c r="AY405" s="205"/>
      <c r="AZ405" s="205"/>
      <c r="BD405" s="205"/>
      <c r="BF405" s="205"/>
    </row>
    <row r="406" spans="1:100" x14ac:dyDescent="0.2">
      <c r="A406" s="219"/>
      <c r="B406" s="219"/>
      <c r="C406" s="205"/>
      <c r="D406" s="205"/>
      <c r="E406" s="192"/>
      <c r="F406" s="205"/>
      <c r="G406" s="205"/>
      <c r="H406"/>
      <c r="I406" s="205"/>
      <c r="J406"/>
      <c r="K406"/>
      <c r="L406" s="205"/>
      <c r="M406" s="192"/>
      <c r="N406" s="205"/>
      <c r="O406" s="192"/>
      <c r="P406" s="192"/>
      <c r="Q406" s="205"/>
      <c r="R406" s="205"/>
      <c r="W406" s="205"/>
      <c r="X406" s="205"/>
      <c r="Y406" s="205"/>
      <c r="Z406" s="205"/>
      <c r="AA406" s="205"/>
      <c r="AB406" s="205"/>
      <c r="AC406" s="205"/>
      <c r="AD406" s="205"/>
      <c r="AL406" s="205"/>
      <c r="AM406" s="205"/>
      <c r="AN406" s="205"/>
      <c r="AO406" s="205"/>
      <c r="AP406" s="205"/>
      <c r="AQ406" s="205"/>
      <c r="AR406" s="205"/>
      <c r="AS406" s="205"/>
      <c r="AV406" s="205"/>
      <c r="AW406" s="205"/>
      <c r="AY406" s="205"/>
      <c r="AZ406" s="205"/>
      <c r="BD406" s="205"/>
      <c r="BF406" s="205"/>
    </row>
    <row r="407" spans="1:100" x14ac:dyDescent="0.2">
      <c r="A407" s="219"/>
      <c r="B407" s="219"/>
      <c r="C407" s="205"/>
      <c r="D407" s="205"/>
      <c r="E407" s="192"/>
      <c r="F407" s="205"/>
      <c r="G407" s="205"/>
      <c r="H407" s="205"/>
      <c r="I407" s="205"/>
      <c r="J407" s="205"/>
      <c r="K407" s="205"/>
      <c r="L407" s="205"/>
      <c r="M407" s="192"/>
      <c r="N407" s="205"/>
      <c r="O407" s="192"/>
      <c r="P407" s="192"/>
      <c r="Q407" s="205"/>
      <c r="R407" s="205"/>
      <c r="W407" s="205"/>
      <c r="X407" s="205"/>
      <c r="Y407" s="205"/>
      <c r="Z407" s="205"/>
      <c r="AA407" s="205"/>
      <c r="AB407" s="205"/>
      <c r="AC407" s="205"/>
      <c r="AD407" s="205"/>
      <c r="AL407" s="205"/>
      <c r="AM407" s="205"/>
      <c r="AN407" s="205"/>
      <c r="AO407" s="205"/>
      <c r="AP407" s="205"/>
      <c r="AQ407" s="205"/>
      <c r="AR407" s="205"/>
      <c r="AS407" s="205"/>
      <c r="AV407" s="205"/>
      <c r="AW407" s="205"/>
      <c r="AX407" s="205"/>
      <c r="AY407" s="205"/>
      <c r="AZ407" s="205"/>
      <c r="BA407" s="205"/>
      <c r="BB407" s="205"/>
      <c r="BD407" s="205"/>
      <c r="BF407" s="205"/>
      <c r="BG407" s="201"/>
      <c r="BJ407" s="201"/>
      <c r="BK407" s="201"/>
      <c r="BL407" s="201"/>
      <c r="BM407" s="201"/>
      <c r="BN407" s="201"/>
      <c r="BO407" s="201"/>
      <c r="BP407" s="201"/>
      <c r="BQ407" s="201"/>
      <c r="BR407" s="201"/>
      <c r="BS407" s="201"/>
      <c r="BT407" s="201"/>
      <c r="BU407" s="201"/>
      <c r="BV407" s="201"/>
      <c r="BW407" s="201"/>
      <c r="BX407" s="201"/>
      <c r="BY407" s="201"/>
      <c r="BZ407" s="201"/>
      <c r="CA407" s="201"/>
      <c r="CB407" s="201"/>
      <c r="CC407" s="201"/>
      <c r="CD407" s="201"/>
      <c r="CE407" s="201"/>
      <c r="CF407" s="201"/>
      <c r="CG407" s="201"/>
      <c r="CH407" s="201"/>
      <c r="CI407" s="201"/>
      <c r="CJ407" s="201"/>
      <c r="CK407" s="201"/>
      <c r="CL407" s="201"/>
      <c r="CM407" s="201"/>
      <c r="CN407" s="201"/>
      <c r="CO407" s="201"/>
      <c r="CP407" s="201"/>
      <c r="CQ407" s="201"/>
      <c r="CR407" s="201"/>
      <c r="CS407" s="201"/>
      <c r="CT407" s="201"/>
      <c r="CU407" s="201"/>
      <c r="CV407" s="201"/>
    </row>
    <row r="408" spans="1:100" x14ac:dyDescent="0.2">
      <c r="A408" s="219"/>
      <c r="B408" s="219"/>
      <c r="C408" s="205"/>
      <c r="D408" s="205"/>
      <c r="E408" s="192"/>
      <c r="F408" s="205"/>
      <c r="G408" s="205"/>
      <c r="H408"/>
      <c r="I408" s="205"/>
      <c r="J408"/>
      <c r="K408"/>
      <c r="L408" s="205"/>
      <c r="M408" s="192"/>
      <c r="N408" s="205"/>
      <c r="O408" s="192"/>
      <c r="P408" s="192"/>
      <c r="Q408" s="205"/>
      <c r="R408" s="205"/>
      <c r="W408" s="205"/>
      <c r="X408" s="205"/>
      <c r="Y408" s="205"/>
      <c r="Z408" s="205"/>
      <c r="AA408" s="205"/>
      <c r="AB408" s="205"/>
      <c r="AC408" s="205"/>
      <c r="AD408" s="205"/>
      <c r="AL408" s="205"/>
      <c r="AM408" s="205"/>
      <c r="AN408" s="205"/>
      <c r="AO408" s="205"/>
      <c r="AP408" s="205"/>
      <c r="AQ408" s="205"/>
      <c r="AR408" s="205"/>
      <c r="AS408" s="205"/>
      <c r="AV408" s="205"/>
      <c r="AW408" s="205"/>
      <c r="AY408" s="205"/>
      <c r="AZ408" s="205"/>
      <c r="BD408" s="205"/>
      <c r="BF408" s="205"/>
    </row>
    <row r="409" spans="1:100" x14ac:dyDescent="0.2">
      <c r="A409" s="219"/>
      <c r="B409" s="219"/>
      <c r="C409" s="205"/>
      <c r="D409" s="205"/>
      <c r="E409" s="192"/>
      <c r="F409" s="205"/>
      <c r="G409" s="205"/>
      <c r="H409"/>
      <c r="I409" s="205"/>
      <c r="J409"/>
      <c r="K409"/>
      <c r="L409" s="205"/>
      <c r="M409" s="192"/>
      <c r="N409" s="205"/>
      <c r="O409" s="192"/>
      <c r="P409" s="192"/>
      <c r="Q409" s="205"/>
      <c r="R409" s="205"/>
      <c r="W409" s="205"/>
      <c r="X409" s="205"/>
      <c r="Y409" s="205"/>
      <c r="Z409" s="205"/>
      <c r="AA409" s="205"/>
      <c r="AB409" s="205"/>
      <c r="AC409" s="205"/>
      <c r="AD409" s="205"/>
      <c r="AL409" s="205"/>
      <c r="AM409" s="205"/>
      <c r="AN409" s="205"/>
      <c r="AO409" s="205"/>
      <c r="AP409" s="205"/>
      <c r="AQ409" s="205"/>
      <c r="AR409" s="205"/>
      <c r="AS409" s="205"/>
      <c r="AV409" s="205"/>
      <c r="AW409" s="205"/>
      <c r="AY409" s="205"/>
      <c r="AZ409" s="205"/>
      <c r="BD409" s="205"/>
      <c r="BF409" s="205"/>
    </row>
    <row r="410" spans="1:100" x14ac:dyDescent="0.2">
      <c r="A410" s="219"/>
      <c r="B410" s="219"/>
      <c r="C410" s="205"/>
      <c r="D410" s="205"/>
      <c r="E410" s="192"/>
      <c r="F410" s="205"/>
      <c r="G410" s="205"/>
      <c r="H410"/>
      <c r="I410" s="205"/>
      <c r="J410"/>
      <c r="K410"/>
      <c r="L410" s="205"/>
      <c r="M410" s="192"/>
      <c r="N410" s="205"/>
      <c r="O410" s="192"/>
      <c r="P410" s="192"/>
      <c r="Q410" s="205"/>
      <c r="R410" s="205"/>
      <c r="W410" s="205"/>
      <c r="X410" s="205"/>
      <c r="Y410" s="205"/>
      <c r="Z410" s="205"/>
      <c r="AA410" s="205"/>
      <c r="AB410" s="205"/>
      <c r="AC410" s="205"/>
      <c r="AD410" s="205"/>
      <c r="AL410" s="205"/>
      <c r="AM410" s="205"/>
      <c r="AN410" s="205"/>
      <c r="AO410" s="205"/>
      <c r="AP410" s="205"/>
      <c r="AQ410" s="205"/>
      <c r="AR410" s="205"/>
      <c r="AS410" s="205"/>
      <c r="AV410" s="205"/>
      <c r="AW410" s="205"/>
      <c r="AY410" s="205"/>
      <c r="AZ410" s="205"/>
      <c r="BD410" s="205"/>
      <c r="BF410" s="205"/>
    </row>
    <row r="411" spans="1:100" x14ac:dyDescent="0.2">
      <c r="A411" s="219"/>
      <c r="B411" s="219"/>
      <c r="C411" s="205"/>
      <c r="D411" s="205"/>
      <c r="E411" s="192"/>
      <c r="F411" s="205"/>
      <c r="G411" s="205"/>
      <c r="H411" s="205"/>
      <c r="I411" s="205"/>
      <c r="J411"/>
      <c r="K411"/>
      <c r="L411" s="205"/>
      <c r="M411" s="192"/>
      <c r="N411" s="205"/>
      <c r="O411" s="192"/>
      <c r="P411" s="192"/>
      <c r="Q411" s="205"/>
      <c r="R411" s="205"/>
      <c r="W411" s="205"/>
      <c r="X411" s="205"/>
      <c r="Y411" s="205"/>
      <c r="Z411" s="205"/>
      <c r="AA411" s="205"/>
      <c r="AB411" s="205"/>
      <c r="AC411" s="205"/>
      <c r="AD411" s="205"/>
      <c r="AL411" s="205"/>
      <c r="AM411" s="205"/>
      <c r="AN411" s="205"/>
      <c r="AO411" s="205"/>
      <c r="AP411" s="205"/>
      <c r="AQ411" s="205"/>
      <c r="AR411" s="205"/>
      <c r="AS411" s="205"/>
      <c r="AV411" s="205"/>
      <c r="AW411" s="205"/>
      <c r="AX411" s="205"/>
      <c r="AY411" s="205"/>
      <c r="AZ411" s="205"/>
      <c r="BD411" s="205"/>
      <c r="BF411" s="205"/>
    </row>
    <row r="412" spans="1:100" x14ac:dyDescent="0.2">
      <c r="A412" s="219"/>
      <c r="B412" s="219"/>
      <c r="C412" s="205"/>
      <c r="D412" s="205"/>
      <c r="E412" s="192"/>
      <c r="F412" s="205"/>
      <c r="G412" s="205"/>
      <c r="H412"/>
      <c r="I412" s="205"/>
      <c r="J412"/>
      <c r="K412"/>
      <c r="L412" s="205"/>
      <c r="M412" s="192"/>
      <c r="N412" s="205"/>
      <c r="O412" s="192"/>
      <c r="P412" s="192"/>
      <c r="Q412" s="205"/>
      <c r="R412" s="205"/>
      <c r="W412" s="205"/>
      <c r="X412" s="205"/>
      <c r="Y412" s="205"/>
      <c r="Z412" s="205"/>
      <c r="AA412" s="205"/>
      <c r="AB412" s="205"/>
      <c r="AC412" s="205"/>
      <c r="AD412" s="205"/>
      <c r="AL412" s="205"/>
      <c r="AM412" s="205"/>
      <c r="AN412" s="205"/>
      <c r="AO412" s="205"/>
      <c r="AP412" s="205"/>
      <c r="AQ412" s="205"/>
      <c r="AR412" s="205"/>
      <c r="AS412" s="205"/>
      <c r="AV412" s="205"/>
      <c r="AW412" s="205"/>
      <c r="AY412" s="205"/>
      <c r="AZ412" s="205"/>
      <c r="BD412" s="205"/>
      <c r="BF412" s="205"/>
    </row>
    <row r="413" spans="1:100" x14ac:dyDescent="0.2">
      <c r="A413" s="219"/>
      <c r="B413" s="219"/>
      <c r="C413" s="205"/>
      <c r="D413" s="205"/>
      <c r="E413" s="192"/>
      <c r="F413" s="205"/>
      <c r="G413" s="205"/>
      <c r="H413" s="205"/>
      <c r="I413" s="205"/>
      <c r="J413" s="205"/>
      <c r="K413" s="205"/>
      <c r="L413" s="205"/>
      <c r="M413" s="192"/>
      <c r="N413" s="205"/>
      <c r="O413" s="192"/>
      <c r="P413" s="192"/>
      <c r="Q413" s="205"/>
      <c r="R413" s="205"/>
      <c r="W413" s="205"/>
      <c r="X413" s="205"/>
      <c r="Y413" s="205"/>
      <c r="Z413" s="205"/>
      <c r="AA413" s="205"/>
      <c r="AB413" s="205"/>
      <c r="AC413" s="205"/>
      <c r="AD413" s="205"/>
      <c r="AL413" s="205"/>
      <c r="AM413" s="205"/>
      <c r="AN413" s="205"/>
      <c r="AO413" s="205"/>
      <c r="AP413" s="205"/>
      <c r="AQ413" s="205"/>
      <c r="AR413" s="205"/>
      <c r="AS413" s="205"/>
      <c r="AV413" s="205"/>
      <c r="AW413" s="205"/>
      <c r="AX413" s="205"/>
      <c r="AY413" s="205"/>
      <c r="AZ413" s="205"/>
      <c r="BA413" s="205"/>
      <c r="BB413" s="205"/>
      <c r="BD413" s="205"/>
      <c r="BF413" s="205"/>
      <c r="BG413" s="201"/>
      <c r="BJ413" s="201"/>
      <c r="BK413" s="201"/>
      <c r="BL413" s="201"/>
      <c r="BM413" s="201"/>
      <c r="BN413" s="201"/>
      <c r="BO413" s="201"/>
      <c r="BP413" s="201"/>
      <c r="BQ413" s="201"/>
      <c r="BR413" s="201"/>
      <c r="BS413" s="201"/>
      <c r="BT413" s="201"/>
      <c r="BU413" s="201"/>
      <c r="BV413" s="201"/>
      <c r="BW413" s="201"/>
      <c r="BX413" s="201"/>
      <c r="BY413" s="201"/>
      <c r="BZ413" s="201"/>
      <c r="CA413" s="201"/>
      <c r="CB413" s="201"/>
      <c r="CC413" s="201"/>
      <c r="CD413" s="201"/>
      <c r="CE413" s="201"/>
      <c r="CF413" s="201"/>
      <c r="CG413" s="201"/>
      <c r="CH413" s="201"/>
      <c r="CI413" s="201"/>
      <c r="CJ413" s="201"/>
      <c r="CK413" s="201"/>
      <c r="CL413" s="201"/>
      <c r="CM413" s="201"/>
      <c r="CN413" s="201"/>
      <c r="CO413" s="201"/>
      <c r="CP413" s="201"/>
      <c r="CQ413" s="201"/>
      <c r="CR413" s="201"/>
      <c r="CS413" s="201"/>
      <c r="CT413" s="201"/>
      <c r="CU413" s="201"/>
      <c r="CV413" s="201"/>
    </row>
    <row r="414" spans="1:100" x14ac:dyDescent="0.2">
      <c r="A414" s="219"/>
      <c r="B414" s="219"/>
      <c r="C414" s="205"/>
      <c r="D414" s="205"/>
      <c r="E414" s="192"/>
      <c r="F414" s="205"/>
      <c r="G414" s="205"/>
      <c r="H414"/>
      <c r="I414" s="205"/>
      <c r="J414"/>
      <c r="K414"/>
      <c r="L414" s="205"/>
      <c r="M414" s="192"/>
      <c r="N414" s="205"/>
      <c r="O414" s="192"/>
      <c r="P414" s="192"/>
      <c r="Q414" s="205"/>
      <c r="R414" s="205"/>
      <c r="W414" s="205"/>
      <c r="X414" s="205"/>
      <c r="Y414" s="205"/>
      <c r="Z414" s="205"/>
      <c r="AA414" s="205"/>
      <c r="AB414" s="205"/>
      <c r="AC414" s="205"/>
      <c r="AD414" s="205"/>
      <c r="AL414" s="205"/>
      <c r="AM414" s="205"/>
      <c r="AN414" s="205"/>
      <c r="AO414" s="205"/>
      <c r="AP414" s="205"/>
      <c r="AQ414" s="205"/>
      <c r="AR414" s="205"/>
      <c r="AS414" s="205"/>
      <c r="AV414" s="205"/>
      <c r="AW414" s="205"/>
      <c r="AY414" s="205"/>
      <c r="AZ414" s="205"/>
      <c r="BD414" s="205"/>
      <c r="BF414" s="205"/>
    </row>
    <row r="415" spans="1:100" x14ac:dyDescent="0.2">
      <c r="A415" s="219"/>
      <c r="B415" s="219"/>
      <c r="C415" s="205"/>
      <c r="D415" s="205"/>
      <c r="E415" s="192"/>
      <c r="F415" s="205"/>
      <c r="G415" s="205"/>
      <c r="H415"/>
      <c r="I415" s="205"/>
      <c r="J415"/>
      <c r="K415"/>
      <c r="L415" s="205"/>
      <c r="M415" s="192"/>
      <c r="N415" s="205"/>
      <c r="O415" s="192"/>
      <c r="P415" s="192"/>
      <c r="Q415" s="205"/>
      <c r="R415" s="205"/>
      <c r="W415" s="205"/>
      <c r="X415" s="205"/>
      <c r="Y415" s="205"/>
      <c r="Z415" s="205"/>
      <c r="AA415" s="205"/>
      <c r="AB415" s="205"/>
      <c r="AC415" s="205"/>
      <c r="AD415" s="205"/>
      <c r="AL415" s="205"/>
      <c r="AM415" s="205"/>
      <c r="AN415" s="205"/>
      <c r="AO415" s="205"/>
      <c r="AP415" s="205"/>
      <c r="AQ415" s="205"/>
      <c r="AR415" s="205"/>
      <c r="AS415" s="205"/>
      <c r="AV415" s="205"/>
      <c r="AW415" s="205"/>
      <c r="AY415" s="205"/>
      <c r="AZ415" s="205"/>
      <c r="BD415" s="205"/>
      <c r="BF415" s="205"/>
    </row>
    <row r="416" spans="1:100" x14ac:dyDescent="0.2">
      <c r="A416" s="219"/>
      <c r="B416" s="219"/>
      <c r="C416" s="205"/>
      <c r="D416" s="205"/>
      <c r="E416" s="192"/>
      <c r="F416" s="205"/>
      <c r="G416" s="205"/>
      <c r="H416" s="205"/>
      <c r="I416" s="205"/>
      <c r="J416"/>
      <c r="K416"/>
      <c r="L416" s="205"/>
      <c r="M416" s="192"/>
      <c r="N416" s="205"/>
      <c r="O416" s="192"/>
      <c r="P416" s="192"/>
      <c r="Q416" s="205"/>
      <c r="R416" s="205"/>
      <c r="W416" s="205"/>
      <c r="X416" s="205"/>
      <c r="Y416" s="205"/>
      <c r="Z416" s="205"/>
      <c r="AA416" s="205"/>
      <c r="AB416" s="205"/>
      <c r="AC416" s="205"/>
      <c r="AD416" s="205"/>
      <c r="AL416" s="205"/>
      <c r="AM416" s="205"/>
      <c r="AN416" s="205"/>
      <c r="AO416" s="205"/>
      <c r="AP416" s="205"/>
      <c r="AQ416" s="205"/>
      <c r="AR416" s="205"/>
      <c r="AS416" s="205"/>
      <c r="AV416" s="205"/>
      <c r="AW416" s="205"/>
      <c r="AX416" s="205"/>
      <c r="AY416" s="205"/>
      <c r="AZ416" s="205"/>
      <c r="BD416" s="205"/>
      <c r="BF416" s="205"/>
    </row>
    <row r="417" spans="1:100" x14ac:dyDescent="0.2">
      <c r="A417" s="219"/>
      <c r="B417" s="219"/>
      <c r="C417" s="205"/>
      <c r="D417" s="205"/>
      <c r="E417" s="192"/>
      <c r="F417" s="205"/>
      <c r="G417" s="205"/>
      <c r="H417"/>
      <c r="I417" s="205"/>
      <c r="J417"/>
      <c r="K417"/>
      <c r="L417" s="205"/>
      <c r="M417" s="192"/>
      <c r="N417" s="205"/>
      <c r="O417" s="192"/>
      <c r="P417" s="192"/>
      <c r="Q417" s="205"/>
      <c r="R417" s="205"/>
      <c r="W417" s="205"/>
      <c r="X417" s="205"/>
      <c r="Y417" s="205"/>
      <c r="Z417" s="205"/>
      <c r="AA417" s="205"/>
      <c r="AB417" s="205"/>
      <c r="AC417" s="205"/>
      <c r="AD417" s="205"/>
      <c r="AL417" s="205"/>
      <c r="AM417" s="205"/>
      <c r="AN417" s="205"/>
      <c r="AO417" s="205"/>
      <c r="AP417" s="205"/>
      <c r="AQ417" s="205"/>
      <c r="AR417" s="205"/>
      <c r="AS417" s="205"/>
      <c r="AV417" s="205"/>
      <c r="AW417" s="205"/>
      <c r="AY417" s="205"/>
      <c r="AZ417" s="205"/>
      <c r="BD417" s="205"/>
      <c r="BF417" s="205"/>
    </row>
    <row r="418" spans="1:100" x14ac:dyDescent="0.2">
      <c r="A418" s="219"/>
      <c r="B418" s="219"/>
      <c r="C418" s="205"/>
      <c r="D418" s="205"/>
      <c r="E418" s="192"/>
      <c r="F418" s="205"/>
      <c r="G418" s="205"/>
      <c r="H418"/>
      <c r="I418" s="205"/>
      <c r="J418"/>
      <c r="K418"/>
      <c r="L418" s="205"/>
      <c r="M418" s="192"/>
      <c r="N418" s="205"/>
      <c r="O418" s="192"/>
      <c r="P418" s="192"/>
      <c r="Q418" s="205"/>
      <c r="R418" s="205"/>
      <c r="W418" s="205"/>
      <c r="X418" s="205"/>
      <c r="Y418" s="205"/>
      <c r="Z418" s="205"/>
      <c r="AA418" s="205"/>
      <c r="AB418" s="205"/>
      <c r="AC418" s="205"/>
      <c r="AD418" s="205"/>
      <c r="AL418" s="205"/>
      <c r="AM418" s="205"/>
      <c r="AN418" s="205"/>
      <c r="AO418" s="205"/>
      <c r="AP418" s="205"/>
      <c r="AQ418" s="205"/>
      <c r="AR418" s="205"/>
      <c r="AS418" s="205"/>
      <c r="AV418" s="205"/>
      <c r="AW418" s="205"/>
      <c r="AY418" s="205"/>
      <c r="AZ418" s="205"/>
      <c r="BD418" s="205"/>
      <c r="BF418" s="205"/>
    </row>
    <row r="419" spans="1:100" x14ac:dyDescent="0.2">
      <c r="A419" s="219"/>
      <c r="B419" s="219"/>
      <c r="C419" s="205"/>
      <c r="D419" s="205"/>
      <c r="E419" s="192"/>
      <c r="F419" s="205"/>
      <c r="G419" s="205"/>
      <c r="H419" s="205"/>
      <c r="I419" s="205"/>
      <c r="J419"/>
      <c r="K419"/>
      <c r="L419" s="205"/>
      <c r="M419" s="192"/>
      <c r="N419" s="205"/>
      <c r="O419" s="192"/>
      <c r="P419" s="192"/>
      <c r="Q419" s="205"/>
      <c r="R419" s="205"/>
      <c r="W419" s="205"/>
      <c r="X419" s="205"/>
      <c r="Y419" s="205"/>
      <c r="Z419" s="205"/>
      <c r="AA419" s="205"/>
      <c r="AB419" s="205"/>
      <c r="AC419" s="205"/>
      <c r="AD419" s="205"/>
      <c r="AL419" s="205"/>
      <c r="AM419" s="205"/>
      <c r="AN419" s="205"/>
      <c r="AO419" s="205"/>
      <c r="AP419" s="205"/>
      <c r="AQ419" s="205"/>
      <c r="AR419" s="205"/>
      <c r="AS419" s="205"/>
      <c r="AV419" s="205"/>
      <c r="AW419" s="205"/>
      <c r="AX419" s="205"/>
      <c r="AY419" s="205"/>
      <c r="AZ419" s="205"/>
      <c r="BD419" s="205"/>
      <c r="BF419" s="205"/>
    </row>
    <row r="420" spans="1:100" x14ac:dyDescent="0.2">
      <c r="A420" s="219"/>
      <c r="B420" s="219"/>
      <c r="C420" s="205"/>
      <c r="D420" s="205"/>
      <c r="E420" s="192"/>
      <c r="F420" s="205"/>
      <c r="G420" s="205"/>
      <c r="H420"/>
      <c r="I420" s="205"/>
      <c r="J420"/>
      <c r="K420"/>
      <c r="L420" s="205"/>
      <c r="M420" s="192"/>
      <c r="N420" s="205"/>
      <c r="O420" s="192"/>
      <c r="P420" s="192"/>
      <c r="Q420" s="205"/>
      <c r="R420" s="205"/>
      <c r="W420" s="205"/>
      <c r="X420" s="205"/>
      <c r="Y420" s="205"/>
      <c r="Z420" s="205"/>
      <c r="AA420" s="205"/>
      <c r="AB420" s="205"/>
      <c r="AC420" s="205"/>
      <c r="AD420" s="205"/>
      <c r="AL420" s="205"/>
      <c r="AM420" s="205"/>
      <c r="AN420" s="205"/>
      <c r="AO420" s="205"/>
      <c r="AP420" s="205"/>
      <c r="AQ420" s="205"/>
      <c r="AR420" s="205"/>
      <c r="AS420" s="205"/>
      <c r="AV420" s="205"/>
      <c r="AW420" s="205"/>
      <c r="AY420" s="205"/>
      <c r="AZ420" s="205"/>
      <c r="BD420" s="205"/>
      <c r="BF420" s="205"/>
    </row>
    <row r="421" spans="1:100" x14ac:dyDescent="0.2">
      <c r="A421" s="219"/>
      <c r="B421" s="219"/>
      <c r="C421" s="205"/>
      <c r="D421" s="205"/>
      <c r="E421" s="192"/>
      <c r="F421" s="205"/>
      <c r="G421" s="205"/>
      <c r="H421" s="205"/>
      <c r="I421" s="205"/>
      <c r="J421"/>
      <c r="K421"/>
      <c r="L421" s="205"/>
      <c r="M421" s="192"/>
      <c r="N421" s="205"/>
      <c r="O421" s="192"/>
      <c r="P421" s="192"/>
      <c r="Q421" s="205"/>
      <c r="R421" s="205"/>
      <c r="W421" s="205"/>
      <c r="X421" s="205"/>
      <c r="Y421" s="205"/>
      <c r="Z421" s="205"/>
      <c r="AA421" s="205"/>
      <c r="AB421" s="205"/>
      <c r="AC421" s="205"/>
      <c r="AD421" s="205"/>
      <c r="AL421" s="205"/>
      <c r="AM421" s="205"/>
      <c r="AN421" s="205"/>
      <c r="AO421" s="205"/>
      <c r="AP421" s="205"/>
      <c r="AQ421" s="205"/>
      <c r="AR421" s="205"/>
      <c r="AS421" s="205"/>
      <c r="AV421" s="205"/>
      <c r="AW421" s="205"/>
      <c r="AX421" s="205"/>
      <c r="AY421" s="205"/>
      <c r="AZ421" s="205"/>
      <c r="BD421" s="205"/>
      <c r="BF421" s="205"/>
    </row>
    <row r="422" spans="1:100" x14ac:dyDescent="0.2">
      <c r="A422" s="219"/>
      <c r="B422" s="219"/>
      <c r="C422" s="205"/>
      <c r="D422" s="205"/>
      <c r="E422" s="192"/>
      <c r="F422" s="205"/>
      <c r="G422" s="205"/>
      <c r="H422"/>
      <c r="I422" s="205"/>
      <c r="J422"/>
      <c r="K422"/>
      <c r="L422" s="205"/>
      <c r="M422" s="192"/>
      <c r="N422" s="205"/>
      <c r="O422" s="192"/>
      <c r="P422" s="192"/>
      <c r="Q422" s="205"/>
      <c r="R422" s="205"/>
      <c r="W422" s="205"/>
      <c r="X422" s="205"/>
      <c r="Y422" s="205"/>
      <c r="Z422" s="205"/>
      <c r="AA422" s="205"/>
      <c r="AB422" s="205"/>
      <c r="AC422" s="205"/>
      <c r="AD422" s="205"/>
      <c r="AL422" s="205"/>
      <c r="AM422" s="205"/>
      <c r="AN422" s="205"/>
      <c r="AO422" s="205"/>
      <c r="AP422" s="205"/>
      <c r="AQ422" s="205"/>
      <c r="AR422" s="205"/>
      <c r="AS422" s="205"/>
      <c r="AV422" s="205"/>
      <c r="AW422" s="205"/>
      <c r="AY422" s="205"/>
      <c r="AZ422" s="205"/>
      <c r="BD422" s="205"/>
      <c r="BF422" s="205"/>
    </row>
    <row r="423" spans="1:100" x14ac:dyDescent="0.2">
      <c r="A423" s="219"/>
      <c r="B423" s="219"/>
      <c r="C423" s="205"/>
      <c r="D423" s="205"/>
      <c r="E423" s="192"/>
      <c r="F423" s="205"/>
      <c r="G423"/>
      <c r="H423"/>
      <c r="I423" s="205"/>
      <c r="J423"/>
      <c r="K423"/>
      <c r="L423" s="205"/>
      <c r="M423" s="192"/>
      <c r="N423" s="205"/>
      <c r="O423" s="192"/>
      <c r="P423" s="192"/>
      <c r="Q423" s="205"/>
      <c r="R423" s="205"/>
      <c r="W423" s="205"/>
      <c r="X423" s="205"/>
      <c r="Y423" s="205"/>
      <c r="Z423" s="205"/>
      <c r="AA423" s="205"/>
      <c r="AB423" s="205"/>
      <c r="AC423" s="205"/>
      <c r="AD423" s="205"/>
      <c r="AL423" s="205"/>
      <c r="AM423" s="205"/>
      <c r="AN423" s="205"/>
      <c r="AO423" s="205"/>
      <c r="AP423" s="205"/>
      <c r="AQ423" s="205"/>
      <c r="AR423" s="205"/>
      <c r="AS423" s="205"/>
      <c r="AV423" s="205"/>
      <c r="AY423" s="205"/>
      <c r="AZ423" s="205"/>
      <c r="BD423" s="205"/>
      <c r="BF423" s="205"/>
    </row>
    <row r="424" spans="1:100" x14ac:dyDescent="0.2">
      <c r="A424" s="219"/>
      <c r="B424" s="219"/>
      <c r="C424" s="205"/>
      <c r="D424" s="205"/>
      <c r="E424" s="192"/>
      <c r="F424" s="205"/>
      <c r="G424" s="205"/>
      <c r="H424"/>
      <c r="I424" s="205"/>
      <c r="J424"/>
      <c r="K424"/>
      <c r="L424" s="205"/>
      <c r="M424" s="192"/>
      <c r="N424" s="205"/>
      <c r="O424" s="192"/>
      <c r="P424" s="192"/>
      <c r="Q424" s="205"/>
      <c r="R424" s="205"/>
      <c r="W424" s="205"/>
      <c r="X424" s="205"/>
      <c r="Y424" s="205"/>
      <c r="Z424" s="205"/>
      <c r="AA424" s="205"/>
      <c r="AB424" s="205"/>
      <c r="AC424" s="205"/>
      <c r="AD424" s="205"/>
      <c r="AL424" s="205"/>
      <c r="AM424" s="205"/>
      <c r="AN424" s="205"/>
      <c r="AO424" s="205"/>
      <c r="AP424" s="205"/>
      <c r="AQ424" s="205"/>
      <c r="AR424" s="205"/>
      <c r="AS424" s="205"/>
      <c r="AV424" s="205"/>
      <c r="AW424" s="205"/>
      <c r="AY424" s="205"/>
      <c r="AZ424" s="205"/>
      <c r="BD424" s="205"/>
      <c r="BF424" s="205"/>
    </row>
    <row r="425" spans="1:100" x14ac:dyDescent="0.2">
      <c r="A425" s="219"/>
      <c r="B425" s="219"/>
      <c r="C425" s="205"/>
      <c r="D425" s="205"/>
      <c r="E425" s="192"/>
      <c r="F425" s="205"/>
      <c r="G425" s="205"/>
      <c r="H425"/>
      <c r="I425" s="205"/>
      <c r="J425"/>
      <c r="K425"/>
      <c r="L425" s="205"/>
      <c r="M425" s="192"/>
      <c r="N425" s="205"/>
      <c r="O425" s="192"/>
      <c r="P425" s="192"/>
      <c r="Q425" s="205"/>
      <c r="R425" s="205"/>
      <c r="W425" s="205"/>
      <c r="X425" s="205"/>
      <c r="Y425" s="205"/>
      <c r="Z425" s="205"/>
      <c r="AA425" s="205"/>
      <c r="AB425" s="205"/>
      <c r="AC425" s="205"/>
      <c r="AD425" s="205"/>
      <c r="AL425" s="205"/>
      <c r="AM425" s="205"/>
      <c r="AN425" s="205"/>
      <c r="AO425" s="205"/>
      <c r="AP425" s="205"/>
      <c r="AQ425" s="205"/>
      <c r="AR425" s="205"/>
      <c r="AS425" s="205"/>
      <c r="AV425" s="205"/>
      <c r="AW425" s="205"/>
      <c r="AY425" s="205"/>
      <c r="AZ425" s="205"/>
      <c r="BD425" s="205"/>
      <c r="BF425" s="205"/>
    </row>
    <row r="426" spans="1:100" x14ac:dyDescent="0.2">
      <c r="A426" s="219"/>
      <c r="B426" s="219"/>
      <c r="C426" s="205"/>
      <c r="D426" s="205"/>
      <c r="E426" s="192"/>
      <c r="F426" s="205"/>
      <c r="G426" s="205"/>
      <c r="H426"/>
      <c r="I426" s="205"/>
      <c r="J426"/>
      <c r="K426"/>
      <c r="L426" s="205"/>
      <c r="M426" s="192"/>
      <c r="N426" s="205"/>
      <c r="O426" s="192"/>
      <c r="P426" s="192"/>
      <c r="Q426" s="205"/>
      <c r="R426" s="205"/>
      <c r="W426" s="205"/>
      <c r="X426" s="205"/>
      <c r="Y426" s="205"/>
      <c r="Z426" s="205"/>
      <c r="AA426" s="205"/>
      <c r="AB426" s="205"/>
      <c r="AC426" s="205"/>
      <c r="AD426" s="205"/>
      <c r="AL426" s="205"/>
      <c r="AM426" s="205"/>
      <c r="AN426" s="205"/>
      <c r="AO426" s="205"/>
      <c r="AP426" s="205"/>
      <c r="AQ426" s="205"/>
      <c r="AR426" s="205"/>
      <c r="AS426" s="205"/>
      <c r="AV426" s="205"/>
      <c r="AW426" s="205"/>
      <c r="AY426" s="205"/>
      <c r="AZ426" s="205"/>
      <c r="BD426" s="205"/>
      <c r="BF426" s="205"/>
    </row>
    <row r="427" spans="1:100" x14ac:dyDescent="0.2">
      <c r="A427" s="219"/>
      <c r="B427" s="219"/>
      <c r="C427" s="205"/>
      <c r="D427" s="205"/>
      <c r="E427" s="192"/>
      <c r="F427" s="205"/>
      <c r="G427" s="205"/>
      <c r="H427"/>
      <c r="I427" s="205"/>
      <c r="J427"/>
      <c r="K427"/>
      <c r="L427" s="205"/>
      <c r="M427" s="192"/>
      <c r="N427" s="205"/>
      <c r="O427" s="192"/>
      <c r="P427" s="192"/>
      <c r="Q427" s="205"/>
      <c r="R427" s="205"/>
      <c r="W427" s="205"/>
      <c r="X427" s="205"/>
      <c r="Y427" s="205"/>
      <c r="Z427" s="205"/>
      <c r="AA427" s="205"/>
      <c r="AB427" s="205"/>
      <c r="AC427" s="205"/>
      <c r="AD427" s="205"/>
      <c r="AL427" s="205"/>
      <c r="AM427" s="205"/>
      <c r="AN427" s="205"/>
      <c r="AO427" s="205"/>
      <c r="AP427" s="205"/>
      <c r="AQ427" s="205"/>
      <c r="AR427" s="205"/>
      <c r="AS427" s="205"/>
      <c r="AV427" s="205"/>
      <c r="AW427" s="205"/>
      <c r="AY427" s="205"/>
      <c r="AZ427" s="205"/>
      <c r="BD427" s="205"/>
      <c r="BF427" s="205"/>
    </row>
    <row r="428" spans="1:100" x14ac:dyDescent="0.2">
      <c r="A428" s="219"/>
      <c r="B428" s="219"/>
      <c r="C428" s="205"/>
      <c r="D428" s="205"/>
      <c r="E428" s="192"/>
      <c r="F428" s="205"/>
      <c r="G428" s="205"/>
      <c r="H428"/>
      <c r="I428" s="205"/>
      <c r="J428"/>
      <c r="K428"/>
      <c r="L428" s="205"/>
      <c r="M428" s="192"/>
      <c r="N428" s="205"/>
      <c r="O428" s="192"/>
      <c r="P428" s="192"/>
      <c r="Q428" s="205"/>
      <c r="R428" s="205"/>
      <c r="W428" s="205"/>
      <c r="X428" s="205"/>
      <c r="Y428" s="205"/>
      <c r="Z428" s="205"/>
      <c r="AA428" s="205"/>
      <c r="AB428" s="205"/>
      <c r="AC428" s="205"/>
      <c r="AD428" s="205"/>
      <c r="AL428" s="205"/>
      <c r="AM428" s="205"/>
      <c r="AN428" s="205"/>
      <c r="AO428" s="205"/>
      <c r="AP428" s="205"/>
      <c r="AQ428" s="205"/>
      <c r="AR428" s="205"/>
      <c r="AS428" s="205"/>
      <c r="AV428" s="205"/>
      <c r="AW428" s="205"/>
      <c r="AY428" s="205"/>
      <c r="AZ428" s="205"/>
      <c r="BD428" s="205"/>
      <c r="BF428" s="205"/>
    </row>
    <row r="429" spans="1:100" x14ac:dyDescent="0.2">
      <c r="A429" s="219"/>
      <c r="B429" s="219"/>
      <c r="C429" s="205"/>
      <c r="D429" s="205"/>
      <c r="E429" s="192"/>
      <c r="F429" s="205"/>
      <c r="G429" s="205"/>
      <c r="H429"/>
      <c r="I429" s="205"/>
      <c r="J429"/>
      <c r="K429"/>
      <c r="L429" s="205"/>
      <c r="M429" s="192"/>
      <c r="N429" s="205"/>
      <c r="O429" s="192"/>
      <c r="P429" s="192"/>
      <c r="Q429" s="205"/>
      <c r="R429" s="205"/>
      <c r="W429" s="205"/>
      <c r="X429" s="205"/>
      <c r="Y429" s="205"/>
      <c r="Z429" s="205"/>
      <c r="AA429" s="205"/>
      <c r="AB429" s="205"/>
      <c r="AC429" s="205"/>
      <c r="AD429" s="205"/>
      <c r="AL429" s="205"/>
      <c r="AM429" s="205"/>
      <c r="AN429" s="205"/>
      <c r="AO429" s="205"/>
      <c r="AP429" s="205"/>
      <c r="AQ429" s="205"/>
      <c r="AR429" s="205"/>
      <c r="AS429" s="205"/>
      <c r="AV429" s="205"/>
      <c r="AW429" s="205"/>
      <c r="AY429" s="205"/>
      <c r="AZ429" s="205"/>
      <c r="BD429" s="205"/>
      <c r="BF429" s="205"/>
    </row>
    <row r="430" spans="1:100" x14ac:dyDescent="0.2">
      <c r="A430" s="219"/>
      <c r="B430" s="219"/>
      <c r="C430" s="205"/>
      <c r="D430" s="205"/>
      <c r="E430" s="192"/>
      <c r="F430" s="205"/>
      <c r="G430" s="205"/>
      <c r="H430"/>
      <c r="I430" s="205"/>
      <c r="J430"/>
      <c r="K430"/>
      <c r="L430" s="205"/>
      <c r="M430" s="192"/>
      <c r="N430" s="205"/>
      <c r="O430" s="192"/>
      <c r="P430" s="192"/>
      <c r="Q430" s="205"/>
      <c r="R430" s="205"/>
      <c r="W430" s="205"/>
      <c r="X430" s="205"/>
      <c r="Y430" s="205"/>
      <c r="Z430" s="205"/>
      <c r="AA430" s="205"/>
      <c r="AB430" s="205"/>
      <c r="AC430" s="205"/>
      <c r="AD430" s="205"/>
      <c r="AL430" s="205"/>
      <c r="AM430" s="205"/>
      <c r="AN430" s="205"/>
      <c r="AO430" s="205"/>
      <c r="AP430" s="205"/>
      <c r="AQ430" s="205"/>
      <c r="AR430" s="205"/>
      <c r="AS430" s="205"/>
      <c r="AV430" s="205"/>
      <c r="AW430" s="205"/>
      <c r="AY430" s="205"/>
      <c r="AZ430" s="205"/>
      <c r="BD430" s="205"/>
      <c r="BF430" s="205"/>
    </row>
    <row r="431" spans="1:100" x14ac:dyDescent="0.2">
      <c r="A431" s="219"/>
      <c r="B431" s="219"/>
      <c r="C431" s="205"/>
      <c r="D431" s="205"/>
      <c r="E431" s="192"/>
      <c r="F431" s="205"/>
      <c r="G431" s="205"/>
      <c r="H431"/>
      <c r="I431" s="205"/>
      <c r="J431"/>
      <c r="K431"/>
      <c r="L431" s="205"/>
      <c r="M431" s="192"/>
      <c r="N431" s="205"/>
      <c r="O431" s="192"/>
      <c r="P431" s="192"/>
      <c r="Q431" s="205"/>
      <c r="R431" s="205"/>
      <c r="W431" s="205"/>
      <c r="X431" s="205"/>
      <c r="Y431" s="205"/>
      <c r="Z431" s="205"/>
      <c r="AA431" s="205"/>
      <c r="AB431" s="205"/>
      <c r="AC431" s="205"/>
      <c r="AD431" s="205"/>
      <c r="AL431" s="205"/>
      <c r="AM431" s="205"/>
      <c r="AN431" s="205"/>
      <c r="AO431" s="205"/>
      <c r="AP431" s="205"/>
      <c r="AQ431" s="205"/>
      <c r="AR431" s="205"/>
      <c r="AS431" s="205"/>
      <c r="AV431" s="205"/>
      <c r="AW431" s="205"/>
      <c r="AY431" s="205"/>
      <c r="AZ431" s="205"/>
      <c r="BD431" s="205"/>
      <c r="BF431" s="205"/>
    </row>
    <row r="432" spans="1:100" x14ac:dyDescent="0.2">
      <c r="A432" s="219"/>
      <c r="B432" s="219"/>
      <c r="C432" s="205"/>
      <c r="D432" s="205"/>
      <c r="E432" s="192"/>
      <c r="F432" s="205"/>
      <c r="G432" s="205"/>
      <c r="H432" s="205"/>
      <c r="I432" s="205"/>
      <c r="J432" s="205"/>
      <c r="K432" s="205"/>
      <c r="L432" s="205"/>
      <c r="M432" s="192"/>
      <c r="N432" s="205"/>
      <c r="O432" s="192"/>
      <c r="P432" s="192"/>
      <c r="Q432" s="205"/>
      <c r="R432" s="205"/>
      <c r="W432" s="205"/>
      <c r="X432" s="205"/>
      <c r="Y432" s="205"/>
      <c r="Z432" s="205"/>
      <c r="AA432" s="205"/>
      <c r="AB432" s="205"/>
      <c r="AC432" s="205"/>
      <c r="AD432" s="205"/>
      <c r="AL432" s="205"/>
      <c r="AM432" s="205"/>
      <c r="AN432" s="205"/>
      <c r="AO432" s="205"/>
      <c r="AP432" s="205"/>
      <c r="AQ432" s="205"/>
      <c r="AR432" s="205"/>
      <c r="AS432" s="205"/>
      <c r="AV432" s="205"/>
      <c r="AW432" s="205"/>
      <c r="AX432" s="205"/>
      <c r="AY432" s="205"/>
      <c r="AZ432" s="205"/>
      <c r="BA432" s="205"/>
      <c r="BB432" s="205"/>
      <c r="BD432" s="205"/>
      <c r="BF432" s="205"/>
      <c r="BG432" s="201"/>
      <c r="BJ432" s="201"/>
      <c r="BK432" s="201"/>
      <c r="BL432" s="201"/>
      <c r="BM432" s="201"/>
      <c r="BN432" s="201"/>
      <c r="BO432" s="201"/>
      <c r="BP432" s="201"/>
      <c r="BQ432" s="201"/>
      <c r="BR432" s="201"/>
      <c r="BS432" s="201"/>
      <c r="BT432" s="201"/>
      <c r="BU432" s="201"/>
      <c r="BV432" s="201"/>
      <c r="BW432" s="201"/>
      <c r="BX432" s="201"/>
      <c r="BY432" s="201"/>
      <c r="BZ432" s="201"/>
      <c r="CA432" s="201"/>
      <c r="CB432" s="201"/>
      <c r="CC432" s="201"/>
      <c r="CD432" s="201"/>
      <c r="CE432" s="201"/>
      <c r="CF432" s="201"/>
      <c r="CG432" s="201"/>
      <c r="CH432" s="201"/>
      <c r="CI432" s="201"/>
      <c r="CJ432" s="201"/>
      <c r="CK432" s="201"/>
      <c r="CL432" s="201"/>
      <c r="CM432" s="201"/>
      <c r="CN432" s="201"/>
      <c r="CO432" s="201"/>
      <c r="CP432" s="201"/>
      <c r="CQ432" s="201"/>
      <c r="CR432" s="201"/>
      <c r="CS432" s="201"/>
      <c r="CT432" s="201"/>
      <c r="CU432" s="201"/>
      <c r="CV432" s="201"/>
    </row>
    <row r="433" spans="1:58" x14ac:dyDescent="0.2">
      <c r="A433" s="219"/>
      <c r="B433" s="219"/>
      <c r="C433" s="205"/>
      <c r="D433" s="205"/>
      <c r="E433" s="192"/>
      <c r="F433" s="205"/>
      <c r="G433" s="205"/>
      <c r="H433"/>
      <c r="I433" s="205"/>
      <c r="J433"/>
      <c r="K433"/>
      <c r="L433" s="205"/>
      <c r="M433" s="192"/>
      <c r="N433" s="205"/>
      <c r="O433" s="192"/>
      <c r="P433" s="192"/>
      <c r="Q433" s="205"/>
      <c r="R433" s="205"/>
      <c r="W433" s="205"/>
      <c r="X433" s="205"/>
      <c r="Y433" s="205"/>
      <c r="Z433" s="205"/>
      <c r="AA433" s="205"/>
      <c r="AB433" s="205"/>
      <c r="AC433" s="205"/>
      <c r="AD433" s="205"/>
      <c r="AL433" s="205"/>
      <c r="AM433" s="205"/>
      <c r="AN433" s="205"/>
      <c r="AO433" s="205"/>
      <c r="AP433" s="205"/>
      <c r="AQ433" s="205"/>
      <c r="AR433" s="205"/>
      <c r="AS433" s="205"/>
      <c r="AV433" s="205"/>
      <c r="AW433" s="205"/>
      <c r="AY433" s="205"/>
      <c r="AZ433" s="205"/>
      <c r="BD433" s="205"/>
      <c r="BF433" s="205"/>
    </row>
    <row r="434" spans="1:58" x14ac:dyDescent="0.2">
      <c r="A434" s="219"/>
      <c r="B434" s="219"/>
      <c r="C434" s="205"/>
      <c r="D434" s="205"/>
      <c r="E434" s="192"/>
      <c r="F434" s="205"/>
      <c r="G434" s="205"/>
      <c r="H434"/>
      <c r="I434" s="205"/>
      <c r="J434"/>
      <c r="K434"/>
      <c r="L434" s="205"/>
      <c r="M434" s="192"/>
      <c r="N434" s="205"/>
      <c r="O434" s="192"/>
      <c r="P434" s="192"/>
      <c r="Q434" s="205"/>
      <c r="R434" s="205"/>
      <c r="W434" s="205"/>
      <c r="X434" s="205"/>
      <c r="Y434" s="205"/>
      <c r="Z434" s="205"/>
      <c r="AA434" s="205"/>
      <c r="AB434" s="205"/>
      <c r="AC434" s="205"/>
      <c r="AD434" s="205"/>
      <c r="AL434" s="205"/>
      <c r="AM434" s="205"/>
      <c r="AN434" s="205"/>
      <c r="AO434" s="205"/>
      <c r="AP434" s="205"/>
      <c r="AQ434" s="205"/>
      <c r="AR434" s="205"/>
      <c r="AS434" s="205"/>
      <c r="AV434" s="205"/>
      <c r="AW434" s="205"/>
      <c r="AY434" s="205"/>
      <c r="AZ434" s="205"/>
      <c r="BD434" s="205"/>
      <c r="BF434" s="205"/>
    </row>
    <row r="435" spans="1:58" x14ac:dyDescent="0.2">
      <c r="A435" s="219"/>
      <c r="B435" s="219"/>
      <c r="C435" s="205"/>
      <c r="D435" s="205"/>
      <c r="E435" s="192"/>
      <c r="F435" s="205"/>
      <c r="G435" s="205"/>
      <c r="H435"/>
      <c r="I435" s="205"/>
      <c r="J435"/>
      <c r="K435"/>
      <c r="L435" s="205"/>
      <c r="M435" s="192"/>
      <c r="N435" s="205"/>
      <c r="O435" s="192"/>
      <c r="P435" s="192"/>
      <c r="Q435" s="205"/>
      <c r="R435" s="205"/>
      <c r="W435" s="205"/>
      <c r="X435" s="205"/>
      <c r="Y435" s="205"/>
      <c r="Z435" s="205"/>
      <c r="AA435" s="205"/>
      <c r="AB435" s="205"/>
      <c r="AC435" s="205"/>
      <c r="AD435" s="205"/>
      <c r="AL435" s="205"/>
      <c r="AM435" s="205"/>
      <c r="AN435" s="205"/>
      <c r="AO435" s="205"/>
      <c r="AP435" s="205"/>
      <c r="AQ435" s="205"/>
      <c r="AR435" s="205"/>
      <c r="AS435" s="205"/>
      <c r="AV435" s="205"/>
      <c r="AW435" s="205"/>
      <c r="AY435" s="205"/>
      <c r="AZ435" s="205"/>
      <c r="BD435" s="205"/>
      <c r="BF435" s="205"/>
    </row>
    <row r="436" spans="1:58" x14ac:dyDescent="0.2">
      <c r="A436" s="219"/>
      <c r="B436" s="219"/>
      <c r="C436" s="205"/>
      <c r="D436" s="205"/>
      <c r="E436" s="192"/>
      <c r="F436" s="205"/>
      <c r="G436" s="205"/>
      <c r="H436"/>
      <c r="I436" s="205"/>
      <c r="J436"/>
      <c r="K436"/>
      <c r="L436" s="205"/>
      <c r="M436" s="192"/>
      <c r="N436" s="205"/>
      <c r="O436" s="192"/>
      <c r="P436" s="192"/>
      <c r="Q436" s="205"/>
      <c r="R436" s="205"/>
      <c r="W436" s="205"/>
      <c r="X436" s="205"/>
      <c r="Y436" s="205"/>
      <c r="Z436" s="205"/>
      <c r="AA436" s="205"/>
      <c r="AB436" s="205"/>
      <c r="AC436" s="205"/>
      <c r="AD436" s="205"/>
      <c r="AL436" s="205"/>
      <c r="AM436" s="205"/>
      <c r="AN436" s="205"/>
      <c r="AO436" s="205"/>
      <c r="AP436" s="205"/>
      <c r="AQ436" s="205"/>
      <c r="AR436" s="205"/>
      <c r="AS436" s="205"/>
      <c r="AV436" s="205"/>
      <c r="AW436" s="205"/>
      <c r="AY436" s="205"/>
      <c r="AZ436" s="205"/>
      <c r="BD436" s="205"/>
      <c r="BF436" s="205"/>
    </row>
    <row r="437" spans="1:58" x14ac:dyDescent="0.2">
      <c r="A437" s="219"/>
      <c r="B437" s="219"/>
      <c r="C437" s="205"/>
      <c r="D437" s="205"/>
      <c r="E437" s="192"/>
      <c r="F437" s="205"/>
      <c r="G437" s="205"/>
      <c r="H437"/>
      <c r="I437" s="205"/>
      <c r="J437"/>
      <c r="K437"/>
      <c r="L437" s="205"/>
      <c r="M437" s="192"/>
      <c r="N437" s="205"/>
      <c r="O437" s="192"/>
      <c r="P437" s="192"/>
      <c r="Q437" s="205"/>
      <c r="R437" s="205"/>
      <c r="W437" s="205"/>
      <c r="X437" s="205"/>
      <c r="Y437" s="205"/>
      <c r="Z437" s="205"/>
      <c r="AA437" s="205"/>
      <c r="AB437" s="205"/>
      <c r="AC437" s="205"/>
      <c r="AD437" s="205"/>
      <c r="AL437" s="205"/>
      <c r="AM437" s="205"/>
      <c r="AN437" s="205"/>
      <c r="AO437" s="205"/>
      <c r="AP437" s="205"/>
      <c r="AQ437" s="205"/>
      <c r="AR437" s="205"/>
      <c r="AS437" s="205"/>
      <c r="AV437" s="205"/>
      <c r="AW437" s="205"/>
      <c r="AY437" s="205"/>
      <c r="AZ437" s="205"/>
      <c r="BD437" s="205"/>
      <c r="BF437" s="205"/>
    </row>
    <row r="438" spans="1:58" x14ac:dyDescent="0.2">
      <c r="A438" s="219"/>
      <c r="B438" s="219"/>
      <c r="C438" s="205"/>
      <c r="D438" s="205"/>
      <c r="E438" s="192"/>
      <c r="F438" s="205"/>
      <c r="G438" s="205"/>
      <c r="H438"/>
      <c r="I438" s="205"/>
      <c r="J438"/>
      <c r="K438"/>
      <c r="L438" s="205"/>
      <c r="M438" s="192"/>
      <c r="N438" s="205"/>
      <c r="O438" s="192"/>
      <c r="P438" s="192"/>
      <c r="Q438" s="205"/>
      <c r="R438" s="205"/>
      <c r="W438" s="205"/>
      <c r="X438" s="205"/>
      <c r="Y438" s="205"/>
      <c r="Z438" s="205"/>
      <c r="AA438" s="205"/>
      <c r="AB438" s="205"/>
      <c r="AC438" s="205"/>
      <c r="AD438" s="205"/>
      <c r="AL438" s="205"/>
      <c r="AM438" s="205"/>
      <c r="AN438" s="205"/>
      <c r="AO438" s="205"/>
      <c r="AP438" s="205"/>
      <c r="AQ438" s="205"/>
      <c r="AR438" s="205"/>
      <c r="AS438" s="205"/>
      <c r="AV438" s="205"/>
      <c r="AW438" s="205"/>
      <c r="AY438" s="205"/>
      <c r="AZ438" s="205"/>
      <c r="BD438" s="205"/>
      <c r="BF438" s="205"/>
    </row>
    <row r="439" spans="1:58" x14ac:dyDescent="0.2">
      <c r="A439" s="219"/>
      <c r="B439" s="219"/>
      <c r="C439" s="205"/>
      <c r="D439" s="205"/>
      <c r="E439" s="192"/>
      <c r="F439" s="205"/>
      <c r="G439"/>
      <c r="H439"/>
      <c r="I439" s="205"/>
      <c r="J439"/>
      <c r="K439"/>
      <c r="L439" s="205"/>
      <c r="M439" s="192"/>
      <c r="N439" s="205"/>
      <c r="O439" s="192"/>
      <c r="P439" s="192"/>
      <c r="Q439" s="205"/>
      <c r="R439" s="205"/>
      <c r="W439" s="205"/>
      <c r="X439" s="205"/>
      <c r="Y439" s="205"/>
      <c r="Z439" s="205"/>
      <c r="AA439" s="205"/>
      <c r="AB439" s="205"/>
      <c r="AC439" s="205"/>
      <c r="AD439" s="205"/>
      <c r="AL439" s="205"/>
      <c r="AM439" s="205"/>
      <c r="AN439" s="205"/>
      <c r="AO439" s="205"/>
      <c r="AP439" s="205"/>
      <c r="AQ439" s="205"/>
      <c r="AR439" s="205"/>
      <c r="AS439" s="205"/>
      <c r="AV439" s="205"/>
      <c r="AY439" s="205"/>
      <c r="AZ439" s="205"/>
      <c r="BD439" s="205"/>
      <c r="BF439" s="205"/>
    </row>
    <row r="440" spans="1:58" x14ac:dyDescent="0.2">
      <c r="A440" s="219"/>
      <c r="B440" s="219"/>
      <c r="C440" s="205"/>
      <c r="D440" s="205"/>
      <c r="E440" s="192"/>
      <c r="F440" s="205"/>
      <c r="G440" s="205"/>
      <c r="H440"/>
      <c r="I440" s="205"/>
      <c r="J440"/>
      <c r="K440"/>
      <c r="L440" s="205"/>
      <c r="M440" s="192"/>
      <c r="N440" s="205"/>
      <c r="O440" s="192"/>
      <c r="P440" s="192"/>
      <c r="Q440" s="205"/>
      <c r="R440" s="205"/>
      <c r="W440" s="205"/>
      <c r="X440" s="205"/>
      <c r="Y440" s="205"/>
      <c r="Z440" s="205"/>
      <c r="AA440" s="205"/>
      <c r="AB440" s="205"/>
      <c r="AC440" s="205"/>
      <c r="AD440" s="205"/>
      <c r="AL440" s="205"/>
      <c r="AM440" s="205"/>
      <c r="AN440" s="205"/>
      <c r="AO440" s="205"/>
      <c r="AP440" s="205"/>
      <c r="AQ440" s="205"/>
      <c r="AR440" s="205"/>
      <c r="AS440" s="205"/>
      <c r="AV440" s="205"/>
      <c r="AW440" s="205"/>
      <c r="AY440" s="205"/>
      <c r="AZ440" s="205"/>
      <c r="BD440" s="205"/>
      <c r="BF440" s="205"/>
    </row>
    <row r="441" spans="1:58" x14ac:dyDescent="0.2">
      <c r="A441" s="219"/>
      <c r="B441" s="219"/>
      <c r="C441" s="205"/>
      <c r="D441" s="205"/>
      <c r="E441" s="192"/>
      <c r="F441" s="205"/>
      <c r="G441" s="205"/>
      <c r="H441"/>
      <c r="I441" s="205"/>
      <c r="J441"/>
      <c r="K441"/>
      <c r="L441" s="205"/>
      <c r="M441" s="192"/>
      <c r="N441" s="205"/>
      <c r="O441" s="192"/>
      <c r="P441" s="192"/>
      <c r="Q441" s="205"/>
      <c r="R441" s="205"/>
      <c r="W441" s="205"/>
      <c r="X441" s="205"/>
      <c r="Y441" s="205"/>
      <c r="Z441" s="205"/>
      <c r="AA441" s="205"/>
      <c r="AB441" s="205"/>
      <c r="AC441" s="205"/>
      <c r="AD441" s="205"/>
      <c r="AL441" s="205"/>
      <c r="AM441" s="205"/>
      <c r="AN441" s="205"/>
      <c r="AO441" s="205"/>
      <c r="AP441" s="205"/>
      <c r="AQ441" s="205"/>
      <c r="AR441" s="205"/>
      <c r="AS441" s="205"/>
      <c r="AV441" s="205"/>
      <c r="AW441" s="205"/>
      <c r="AY441" s="205"/>
      <c r="AZ441" s="205"/>
      <c r="BD441" s="205"/>
      <c r="BF441" s="205"/>
    </row>
    <row r="442" spans="1:58" x14ac:dyDescent="0.2">
      <c r="A442" s="219"/>
      <c r="B442" s="219"/>
      <c r="C442" s="205"/>
      <c r="D442" s="205"/>
      <c r="E442" s="192"/>
      <c r="F442" s="205"/>
      <c r="G442" s="205"/>
      <c r="H442"/>
      <c r="I442" s="205"/>
      <c r="J442"/>
      <c r="K442"/>
      <c r="L442" s="205"/>
      <c r="M442" s="192"/>
      <c r="N442" s="205"/>
      <c r="O442" s="192"/>
      <c r="P442" s="192"/>
      <c r="Q442" s="205"/>
      <c r="R442" s="205"/>
      <c r="W442" s="205"/>
      <c r="X442" s="205"/>
      <c r="Y442" s="205"/>
      <c r="Z442" s="205"/>
      <c r="AA442" s="205"/>
      <c r="AB442" s="205"/>
      <c r="AC442" s="205"/>
      <c r="AD442" s="205"/>
      <c r="AL442" s="205"/>
      <c r="AM442" s="205"/>
      <c r="AN442" s="205"/>
      <c r="AO442" s="205"/>
      <c r="AP442" s="205"/>
      <c r="AQ442" s="205"/>
      <c r="AR442" s="205"/>
      <c r="AS442" s="205"/>
      <c r="AV442" s="205"/>
      <c r="AW442" s="205"/>
      <c r="AY442" s="205"/>
      <c r="AZ442" s="205"/>
      <c r="BD442" s="205"/>
      <c r="BF442" s="205"/>
    </row>
    <row r="443" spans="1:58" x14ac:dyDescent="0.2">
      <c r="A443" s="219"/>
      <c r="B443" s="219"/>
      <c r="C443" s="205"/>
      <c r="D443" s="205"/>
      <c r="E443" s="192"/>
      <c r="F443" s="205"/>
      <c r="G443" s="205"/>
      <c r="H443"/>
      <c r="I443" s="205"/>
      <c r="J443"/>
      <c r="K443"/>
      <c r="L443" s="205"/>
      <c r="M443" s="192"/>
      <c r="N443" s="205"/>
      <c r="O443" s="192"/>
      <c r="P443" s="192"/>
      <c r="Q443" s="205"/>
      <c r="R443" s="205"/>
      <c r="W443" s="205"/>
      <c r="X443" s="205"/>
      <c r="Y443" s="205"/>
      <c r="Z443" s="205"/>
      <c r="AA443" s="205"/>
      <c r="AB443" s="205"/>
      <c r="AC443" s="205"/>
      <c r="AD443" s="205"/>
      <c r="AL443" s="205"/>
      <c r="AM443" s="205"/>
      <c r="AN443" s="205"/>
      <c r="AO443" s="205"/>
      <c r="AP443" s="205"/>
      <c r="AQ443" s="205"/>
      <c r="AR443" s="205"/>
      <c r="AS443" s="205"/>
      <c r="AV443" s="205"/>
      <c r="AW443" s="205"/>
      <c r="AY443" s="205"/>
      <c r="AZ443" s="205"/>
      <c r="BD443" s="205"/>
      <c r="BF443" s="205"/>
    </row>
    <row r="444" spans="1:58" x14ac:dyDescent="0.2">
      <c r="A444" s="219"/>
      <c r="B444" s="219"/>
      <c r="C444" s="205"/>
      <c r="D444" s="205"/>
      <c r="E444" s="192"/>
      <c r="F444" s="205"/>
      <c r="G444" s="205"/>
      <c r="H444"/>
      <c r="I444" s="205"/>
      <c r="J444"/>
      <c r="K444"/>
      <c r="L444" s="205"/>
      <c r="M444" s="192"/>
      <c r="N444" s="205"/>
      <c r="O444" s="192"/>
      <c r="P444" s="192"/>
      <c r="Q444" s="205"/>
      <c r="R444" s="205"/>
      <c r="W444" s="205"/>
      <c r="X444" s="205"/>
      <c r="Y444" s="205"/>
      <c r="Z444" s="205"/>
      <c r="AA444" s="205"/>
      <c r="AB444" s="205"/>
      <c r="AC444" s="205"/>
      <c r="AD444" s="205"/>
      <c r="AL444" s="205"/>
      <c r="AM444" s="205"/>
      <c r="AN444" s="205"/>
      <c r="AO444" s="205"/>
      <c r="AP444" s="205"/>
      <c r="AQ444" s="205"/>
      <c r="AR444" s="205"/>
      <c r="AS444" s="205"/>
      <c r="AV444" s="205"/>
      <c r="AW444" s="205"/>
      <c r="AY444" s="205"/>
      <c r="AZ444" s="205"/>
      <c r="BD444" s="205"/>
      <c r="BF444" s="205"/>
    </row>
    <row r="445" spans="1:58" x14ac:dyDescent="0.2">
      <c r="A445" s="219"/>
      <c r="B445" s="219"/>
      <c r="C445" s="205"/>
      <c r="D445" s="205"/>
      <c r="E445" s="192"/>
      <c r="F445" s="205"/>
      <c r="G445" s="205"/>
      <c r="H445"/>
      <c r="I445" s="205"/>
      <c r="J445"/>
      <c r="K445"/>
      <c r="L445" s="205"/>
      <c r="M445" s="192"/>
      <c r="N445" s="205"/>
      <c r="O445" s="192"/>
      <c r="P445" s="192"/>
      <c r="Q445" s="205"/>
      <c r="R445" s="205"/>
      <c r="W445" s="205"/>
      <c r="X445" s="205"/>
      <c r="Y445" s="205"/>
      <c r="Z445" s="205"/>
      <c r="AA445" s="205"/>
      <c r="AB445" s="205"/>
      <c r="AC445" s="205"/>
      <c r="AD445" s="205"/>
      <c r="AL445" s="205"/>
      <c r="AM445" s="205"/>
      <c r="AN445" s="205"/>
      <c r="AO445" s="205"/>
      <c r="AP445" s="205"/>
      <c r="AQ445" s="205"/>
      <c r="AR445" s="205"/>
      <c r="AS445" s="205"/>
      <c r="AV445" s="205"/>
      <c r="AW445" s="205"/>
      <c r="AY445" s="205"/>
      <c r="AZ445" s="205"/>
      <c r="BD445" s="205"/>
      <c r="BF445" s="205"/>
    </row>
    <row r="446" spans="1:58" x14ac:dyDescent="0.2">
      <c r="A446" s="219"/>
      <c r="B446" s="219"/>
      <c r="C446" s="205"/>
      <c r="D446" s="205"/>
      <c r="E446" s="192"/>
      <c r="F446" s="205"/>
      <c r="G446" s="205"/>
      <c r="H446"/>
      <c r="I446" s="205"/>
      <c r="J446"/>
      <c r="K446"/>
      <c r="L446" s="205"/>
      <c r="M446" s="192"/>
      <c r="N446" s="205"/>
      <c r="O446" s="192"/>
      <c r="P446" s="192"/>
      <c r="Q446" s="205"/>
      <c r="R446" s="205"/>
      <c r="W446" s="205"/>
      <c r="X446" s="205"/>
      <c r="Y446" s="205"/>
      <c r="Z446" s="205"/>
      <c r="AA446" s="205"/>
      <c r="AB446" s="205"/>
      <c r="AC446" s="205"/>
      <c r="AD446" s="205"/>
      <c r="AL446" s="205"/>
      <c r="AM446" s="205"/>
      <c r="AN446" s="205"/>
      <c r="AO446" s="205"/>
      <c r="AP446" s="205"/>
      <c r="AQ446" s="205"/>
      <c r="AR446" s="205"/>
      <c r="AS446" s="205"/>
      <c r="AV446" s="205"/>
      <c r="AW446" s="205"/>
      <c r="AY446" s="205"/>
      <c r="AZ446" s="205"/>
      <c r="BD446" s="205"/>
      <c r="BF446" s="205"/>
    </row>
    <row r="447" spans="1:58" x14ac:dyDescent="0.2">
      <c r="A447" s="219"/>
      <c r="B447" s="219"/>
      <c r="C447" s="205"/>
      <c r="D447" s="205"/>
      <c r="E447" s="192"/>
      <c r="F447" s="205"/>
      <c r="G447" s="205"/>
      <c r="H447"/>
      <c r="I447" s="205"/>
      <c r="J447"/>
      <c r="K447"/>
      <c r="L447" s="205"/>
      <c r="M447" s="192"/>
      <c r="N447" s="205"/>
      <c r="O447" s="192"/>
      <c r="P447" s="192"/>
      <c r="Q447" s="205"/>
      <c r="R447" s="205"/>
      <c r="W447" s="205"/>
      <c r="X447" s="205"/>
      <c r="Y447" s="205"/>
      <c r="Z447" s="205"/>
      <c r="AA447" s="205"/>
      <c r="AB447" s="205"/>
      <c r="AC447" s="205"/>
      <c r="AD447" s="205"/>
      <c r="AL447" s="205"/>
      <c r="AM447" s="205"/>
      <c r="AN447" s="205"/>
      <c r="AO447" s="205"/>
      <c r="AP447" s="205"/>
      <c r="AQ447" s="205"/>
      <c r="AR447" s="205"/>
      <c r="AS447" s="205"/>
      <c r="AV447" s="205"/>
      <c r="AW447" s="205"/>
      <c r="AY447" s="205"/>
      <c r="AZ447" s="205"/>
      <c r="BD447" s="205"/>
      <c r="BF447" s="205"/>
    </row>
    <row r="448" spans="1:58" x14ac:dyDescent="0.2">
      <c r="A448" s="219"/>
      <c r="B448" s="219"/>
      <c r="C448" s="205"/>
      <c r="D448" s="205"/>
      <c r="E448" s="192"/>
      <c r="F448" s="205"/>
      <c r="G448" s="205"/>
      <c r="H448"/>
      <c r="I448" s="205"/>
      <c r="J448"/>
      <c r="K448"/>
      <c r="L448" s="205"/>
      <c r="M448" s="192"/>
      <c r="N448" s="205"/>
      <c r="O448" s="192"/>
      <c r="P448" s="192"/>
      <c r="Q448" s="205"/>
      <c r="R448" s="205"/>
      <c r="W448" s="205"/>
      <c r="X448" s="205"/>
      <c r="Y448" s="205"/>
      <c r="Z448" s="205"/>
      <c r="AA448" s="205"/>
      <c r="AB448" s="205"/>
      <c r="AC448" s="205"/>
      <c r="AD448" s="205"/>
      <c r="AL448" s="205"/>
      <c r="AM448" s="205"/>
      <c r="AN448" s="205"/>
      <c r="AO448" s="205"/>
      <c r="AP448" s="205"/>
      <c r="AQ448" s="205"/>
      <c r="AR448" s="205"/>
      <c r="AS448" s="205"/>
      <c r="AV448" s="205"/>
      <c r="AW448" s="205"/>
      <c r="AY448" s="205"/>
      <c r="AZ448" s="205"/>
      <c r="BD448" s="205"/>
      <c r="BF448" s="205"/>
    </row>
    <row r="449" spans="1:100" x14ac:dyDescent="0.2">
      <c r="A449" s="219"/>
      <c r="B449" s="219"/>
      <c r="C449" s="205"/>
      <c r="D449" s="205"/>
      <c r="E449" s="192"/>
      <c r="F449" s="205"/>
      <c r="G449" s="205"/>
      <c r="H449"/>
      <c r="I449" s="205"/>
      <c r="J449"/>
      <c r="K449"/>
      <c r="L449" s="205"/>
      <c r="M449" s="192"/>
      <c r="N449" s="205"/>
      <c r="O449" s="192"/>
      <c r="P449" s="192"/>
      <c r="Q449" s="205"/>
      <c r="R449" s="205"/>
      <c r="W449" s="205"/>
      <c r="X449" s="205"/>
      <c r="Y449" s="205"/>
      <c r="Z449" s="205"/>
      <c r="AA449" s="205"/>
      <c r="AB449" s="205"/>
      <c r="AC449" s="205"/>
      <c r="AD449" s="205"/>
      <c r="AL449" s="205"/>
      <c r="AM449" s="205"/>
      <c r="AN449" s="205"/>
      <c r="AO449" s="205"/>
      <c r="AP449" s="205"/>
      <c r="AQ449" s="205"/>
      <c r="AR449" s="205"/>
      <c r="AS449" s="205"/>
      <c r="AV449" s="205"/>
      <c r="AW449" s="205"/>
      <c r="AY449" s="205"/>
      <c r="AZ449" s="205"/>
      <c r="BD449" s="205"/>
      <c r="BF449" s="205"/>
    </row>
    <row r="450" spans="1:100" x14ac:dyDescent="0.2">
      <c r="A450" s="219"/>
      <c r="B450" s="219"/>
      <c r="C450" s="205"/>
      <c r="D450" s="205"/>
      <c r="E450" s="192"/>
      <c r="F450" s="205"/>
      <c r="G450"/>
      <c r="H450"/>
      <c r="I450" s="205"/>
      <c r="J450"/>
      <c r="K450"/>
      <c r="L450" s="205"/>
      <c r="M450" s="192"/>
      <c r="N450" s="205"/>
      <c r="O450" s="192"/>
      <c r="P450" s="192"/>
      <c r="Q450" s="205"/>
      <c r="R450" s="205"/>
      <c r="W450" s="205"/>
      <c r="X450" s="205"/>
      <c r="Y450" s="205"/>
      <c r="Z450" s="205"/>
      <c r="AA450" s="205"/>
      <c r="AB450" s="205"/>
      <c r="AC450" s="205"/>
      <c r="AD450" s="205"/>
      <c r="AL450" s="205"/>
      <c r="AM450" s="205"/>
      <c r="AN450" s="205"/>
      <c r="AO450" s="205"/>
      <c r="AP450" s="205"/>
      <c r="AQ450" s="205"/>
      <c r="AR450" s="205"/>
      <c r="AS450" s="205"/>
      <c r="AV450" s="205"/>
      <c r="AY450" s="205"/>
      <c r="AZ450" s="205"/>
      <c r="BD450" s="205"/>
      <c r="BF450" s="205"/>
    </row>
    <row r="451" spans="1:100" x14ac:dyDescent="0.2">
      <c r="A451" s="219"/>
      <c r="B451" s="219"/>
      <c r="C451" s="205"/>
      <c r="D451" s="205"/>
      <c r="E451" s="192"/>
      <c r="F451" s="205"/>
      <c r="G451" s="205"/>
      <c r="H451" s="205"/>
      <c r="I451" s="205"/>
      <c r="J451"/>
      <c r="K451"/>
      <c r="L451" s="205"/>
      <c r="M451" s="192"/>
      <c r="N451" s="205"/>
      <c r="O451" s="192"/>
      <c r="P451" s="192"/>
      <c r="Q451" s="205"/>
      <c r="R451" s="205"/>
      <c r="W451" s="205"/>
      <c r="X451" s="205"/>
      <c r="Y451" s="205"/>
      <c r="Z451" s="205"/>
      <c r="AA451" s="205"/>
      <c r="AB451" s="205"/>
      <c r="AC451" s="205"/>
      <c r="AD451" s="205"/>
      <c r="AL451" s="205"/>
      <c r="AM451" s="205"/>
      <c r="AN451" s="205"/>
      <c r="AO451" s="205"/>
      <c r="AP451" s="205"/>
      <c r="AQ451" s="205"/>
      <c r="AR451" s="205"/>
      <c r="AS451" s="205"/>
      <c r="AV451" s="205"/>
      <c r="AW451" s="205"/>
      <c r="AX451" s="205"/>
      <c r="AY451" s="205"/>
      <c r="AZ451" s="205"/>
      <c r="BD451" s="205"/>
      <c r="BF451" s="205"/>
    </row>
    <row r="452" spans="1:100" x14ac:dyDescent="0.2">
      <c r="A452" s="219"/>
      <c r="B452" s="219"/>
      <c r="C452" s="205"/>
      <c r="D452" s="205"/>
      <c r="E452" s="192"/>
      <c r="F452" s="205"/>
      <c r="G452" s="205"/>
      <c r="H452"/>
      <c r="I452" s="205"/>
      <c r="J452"/>
      <c r="K452"/>
      <c r="L452" s="205"/>
      <c r="M452" s="192"/>
      <c r="N452" s="205"/>
      <c r="O452" s="192"/>
      <c r="P452" s="192"/>
      <c r="Q452" s="205"/>
      <c r="R452" s="205"/>
      <c r="W452" s="205"/>
      <c r="X452" s="205"/>
      <c r="Y452" s="205"/>
      <c r="Z452" s="205"/>
      <c r="AA452" s="205"/>
      <c r="AB452" s="205"/>
      <c r="AC452" s="205"/>
      <c r="AD452" s="205"/>
      <c r="AL452" s="205"/>
      <c r="AM452" s="205"/>
      <c r="AN452" s="205"/>
      <c r="AO452" s="205"/>
      <c r="AP452" s="205"/>
      <c r="AQ452" s="205"/>
      <c r="AR452" s="205"/>
      <c r="AS452" s="205"/>
      <c r="AV452" s="205"/>
      <c r="AW452" s="205"/>
      <c r="AY452" s="205"/>
      <c r="AZ452" s="205"/>
      <c r="BD452" s="205"/>
      <c r="BF452" s="205"/>
    </row>
    <row r="453" spans="1:100" x14ac:dyDescent="0.2">
      <c r="A453" s="219"/>
      <c r="B453" s="219"/>
      <c r="C453" s="205"/>
      <c r="D453" s="205"/>
      <c r="E453" s="192"/>
      <c r="F453" s="205"/>
      <c r="G453" s="205"/>
      <c r="H453"/>
      <c r="I453" s="205"/>
      <c r="J453"/>
      <c r="K453"/>
      <c r="L453" s="205"/>
      <c r="M453" s="192"/>
      <c r="N453" s="205"/>
      <c r="O453" s="192"/>
      <c r="P453" s="192"/>
      <c r="Q453" s="205"/>
      <c r="R453" s="205"/>
      <c r="W453" s="205"/>
      <c r="X453" s="205"/>
      <c r="Y453" s="205"/>
      <c r="Z453" s="205"/>
      <c r="AA453" s="205"/>
      <c r="AB453" s="205"/>
      <c r="AC453" s="205"/>
      <c r="AD453" s="205"/>
      <c r="AL453" s="205"/>
      <c r="AM453" s="205"/>
      <c r="AN453" s="205"/>
      <c r="AO453" s="205"/>
      <c r="AP453" s="205"/>
      <c r="AQ453" s="205"/>
      <c r="AR453" s="205"/>
      <c r="AS453" s="205"/>
      <c r="AV453" s="205"/>
      <c r="AW453" s="205"/>
      <c r="AY453" s="205"/>
      <c r="AZ453" s="205"/>
      <c r="BD453" s="205"/>
      <c r="BF453" s="205"/>
    </row>
    <row r="454" spans="1:100" x14ac:dyDescent="0.2">
      <c r="A454" s="219"/>
      <c r="B454" s="219"/>
      <c r="C454" s="205"/>
      <c r="D454" s="205"/>
      <c r="E454" s="192"/>
      <c r="F454" s="205"/>
      <c r="G454" s="205"/>
      <c r="H454"/>
      <c r="I454" s="205"/>
      <c r="J454"/>
      <c r="K454"/>
      <c r="L454" s="205"/>
      <c r="M454" s="192"/>
      <c r="N454" s="205"/>
      <c r="O454" s="192"/>
      <c r="P454" s="192"/>
      <c r="Q454" s="205"/>
      <c r="R454" s="205"/>
      <c r="W454" s="205"/>
      <c r="X454" s="205"/>
      <c r="Y454" s="205"/>
      <c r="Z454" s="205"/>
      <c r="AA454" s="205"/>
      <c r="AB454" s="205"/>
      <c r="AC454" s="205"/>
      <c r="AD454" s="205"/>
      <c r="AL454" s="205"/>
      <c r="AM454" s="205"/>
      <c r="AN454" s="205"/>
      <c r="AO454" s="205"/>
      <c r="AP454" s="205"/>
      <c r="AQ454" s="205"/>
      <c r="AR454" s="205"/>
      <c r="AS454" s="205"/>
      <c r="AV454" s="205"/>
      <c r="AW454" s="205"/>
      <c r="AY454" s="205"/>
      <c r="AZ454" s="205"/>
      <c r="BD454" s="205"/>
      <c r="BF454" s="205"/>
    </row>
    <row r="455" spans="1:100" x14ac:dyDescent="0.2">
      <c r="A455" s="219"/>
      <c r="B455" s="219"/>
      <c r="C455" s="205"/>
      <c r="D455" s="205"/>
      <c r="E455" s="192"/>
      <c r="F455" s="205"/>
      <c r="G455" s="205"/>
      <c r="H455" s="205"/>
      <c r="I455" s="205"/>
      <c r="J455" s="205"/>
      <c r="K455" s="205"/>
      <c r="L455" s="205"/>
      <c r="M455" s="192"/>
      <c r="N455" s="205"/>
      <c r="O455" s="192"/>
      <c r="P455" s="192"/>
      <c r="Q455" s="205"/>
      <c r="R455" s="205"/>
      <c r="W455" s="205"/>
      <c r="X455" s="205"/>
      <c r="Y455" s="205"/>
      <c r="Z455" s="205"/>
      <c r="AA455" s="205"/>
      <c r="AB455" s="205"/>
      <c r="AC455" s="205"/>
      <c r="AD455" s="205"/>
      <c r="AL455" s="205"/>
      <c r="AM455" s="205"/>
      <c r="AN455" s="205"/>
      <c r="AO455" s="205"/>
      <c r="AP455" s="205"/>
      <c r="AQ455" s="205"/>
      <c r="AR455" s="205"/>
      <c r="AS455" s="205"/>
      <c r="AV455" s="205"/>
      <c r="AW455" s="205"/>
      <c r="AX455" s="205"/>
      <c r="AY455" s="205"/>
      <c r="AZ455" s="205"/>
      <c r="BA455" s="205"/>
      <c r="BB455" s="205"/>
      <c r="BD455" s="205"/>
      <c r="BF455" s="205"/>
      <c r="BG455" s="201"/>
      <c r="BJ455" s="201"/>
      <c r="BK455" s="201"/>
      <c r="BL455" s="201"/>
      <c r="BM455" s="201"/>
      <c r="BN455" s="201"/>
      <c r="BO455" s="201"/>
      <c r="BP455" s="201"/>
      <c r="BQ455" s="201"/>
      <c r="BR455" s="201"/>
      <c r="BS455" s="201"/>
      <c r="BT455" s="201"/>
      <c r="BU455" s="201"/>
      <c r="BV455" s="201"/>
      <c r="BW455" s="201"/>
      <c r="BX455" s="201"/>
      <c r="BY455" s="201"/>
      <c r="BZ455" s="201"/>
      <c r="CA455" s="201"/>
      <c r="CB455" s="201"/>
      <c r="CC455" s="201"/>
      <c r="CD455" s="201"/>
      <c r="CE455" s="201"/>
      <c r="CF455" s="201"/>
      <c r="CG455" s="201"/>
      <c r="CH455" s="201"/>
      <c r="CI455" s="201"/>
      <c r="CJ455" s="201"/>
      <c r="CK455" s="201"/>
      <c r="CL455" s="201"/>
      <c r="CM455" s="201"/>
      <c r="CN455" s="201"/>
      <c r="CO455" s="201"/>
      <c r="CP455" s="201"/>
      <c r="CQ455" s="201"/>
      <c r="CR455" s="201"/>
      <c r="CS455" s="201"/>
      <c r="CT455" s="201"/>
      <c r="CU455" s="201"/>
      <c r="CV455" s="201"/>
    </row>
    <row r="456" spans="1:100" x14ac:dyDescent="0.2">
      <c r="A456" s="219"/>
      <c r="B456" s="219"/>
      <c r="C456" s="205"/>
      <c r="D456" s="205"/>
      <c r="E456" s="192"/>
      <c r="F456" s="205"/>
      <c r="G456" s="205"/>
      <c r="H456"/>
      <c r="I456" s="205"/>
      <c r="J456"/>
      <c r="K456"/>
      <c r="L456" s="205"/>
      <c r="M456" s="192"/>
      <c r="N456" s="205"/>
      <c r="O456" s="192"/>
      <c r="P456" s="192"/>
      <c r="Q456" s="205"/>
      <c r="R456" s="205"/>
      <c r="W456" s="205"/>
      <c r="X456" s="205"/>
      <c r="Y456" s="205"/>
      <c r="Z456" s="205"/>
      <c r="AA456" s="205"/>
      <c r="AB456" s="205"/>
      <c r="AC456" s="205"/>
      <c r="AD456" s="205"/>
      <c r="AL456" s="205"/>
      <c r="AM456" s="205"/>
      <c r="AN456" s="205"/>
      <c r="AO456" s="205"/>
      <c r="AP456" s="205"/>
      <c r="AQ456" s="205"/>
      <c r="AR456" s="205"/>
      <c r="AS456" s="205"/>
      <c r="AV456" s="205"/>
      <c r="AW456" s="205"/>
      <c r="AY456" s="205"/>
      <c r="AZ456" s="205"/>
      <c r="BD456" s="205"/>
      <c r="BF456" s="205"/>
    </row>
    <row r="457" spans="1:100" x14ac:dyDescent="0.2">
      <c r="A457" s="219"/>
      <c r="B457" s="219"/>
      <c r="C457" s="205"/>
      <c r="D457" s="205"/>
      <c r="E457" s="192"/>
      <c r="F457" s="205"/>
      <c r="G457" s="205"/>
      <c r="H457"/>
      <c r="I457" s="205"/>
      <c r="J457"/>
      <c r="K457"/>
      <c r="L457" s="205"/>
      <c r="M457" s="192"/>
      <c r="N457" s="205"/>
      <c r="O457" s="192"/>
      <c r="P457" s="192"/>
      <c r="Q457" s="205"/>
      <c r="R457" s="205"/>
      <c r="W457" s="205"/>
      <c r="X457" s="205"/>
      <c r="Y457" s="205"/>
      <c r="Z457" s="205"/>
      <c r="AA457" s="205"/>
      <c r="AB457" s="205"/>
      <c r="AC457" s="205"/>
      <c r="AD457" s="205"/>
      <c r="AL457" s="205"/>
      <c r="AM457" s="205"/>
      <c r="AN457" s="205"/>
      <c r="AO457" s="205"/>
      <c r="AP457" s="205"/>
      <c r="AQ457" s="205"/>
      <c r="AR457" s="205"/>
      <c r="AS457" s="205"/>
      <c r="AV457" s="205"/>
      <c r="AW457" s="205"/>
      <c r="AY457" s="205"/>
      <c r="AZ457" s="205"/>
      <c r="BD457" s="205"/>
      <c r="BF457" s="205"/>
    </row>
    <row r="458" spans="1:100" x14ac:dyDescent="0.2">
      <c r="A458" s="219"/>
      <c r="B458" s="219"/>
      <c r="C458" s="205"/>
      <c r="D458" s="205"/>
      <c r="E458" s="192"/>
      <c r="F458" s="205"/>
      <c r="G458" s="205"/>
      <c r="H458"/>
      <c r="I458" s="205"/>
      <c r="J458"/>
      <c r="K458"/>
      <c r="L458" s="205"/>
      <c r="M458" s="192"/>
      <c r="N458" s="205"/>
      <c r="O458" s="192"/>
      <c r="P458" s="192"/>
      <c r="Q458" s="205"/>
      <c r="R458" s="205"/>
      <c r="W458" s="205"/>
      <c r="X458" s="205"/>
      <c r="Y458" s="205"/>
      <c r="Z458" s="205"/>
      <c r="AA458" s="205"/>
      <c r="AB458" s="205"/>
      <c r="AC458" s="205"/>
      <c r="AD458" s="205"/>
      <c r="AL458" s="205"/>
      <c r="AM458" s="205"/>
      <c r="AN458" s="205"/>
      <c r="AO458" s="205"/>
      <c r="AP458" s="205"/>
      <c r="AQ458" s="205"/>
      <c r="AR458" s="205"/>
      <c r="AS458" s="205"/>
      <c r="AV458" s="205"/>
      <c r="AW458" s="205"/>
      <c r="AY458" s="205"/>
      <c r="AZ458" s="205"/>
      <c r="BD458" s="205"/>
      <c r="BF458" s="205"/>
    </row>
    <row r="459" spans="1:100" x14ac:dyDescent="0.2">
      <c r="A459" s="219"/>
      <c r="B459" s="219"/>
      <c r="C459" s="205"/>
      <c r="D459" s="205"/>
      <c r="E459" s="192"/>
      <c r="F459" s="205"/>
      <c r="G459" s="205"/>
      <c r="H459"/>
      <c r="I459" s="205"/>
      <c r="J459"/>
      <c r="K459"/>
      <c r="L459" s="205"/>
      <c r="M459" s="192"/>
      <c r="N459" s="205"/>
      <c r="O459" s="192"/>
      <c r="P459" s="192"/>
      <c r="Q459" s="205"/>
      <c r="R459" s="205"/>
      <c r="W459" s="205"/>
      <c r="X459" s="205"/>
      <c r="Y459" s="205"/>
      <c r="Z459" s="205"/>
      <c r="AA459" s="205"/>
      <c r="AB459" s="205"/>
      <c r="AC459" s="205"/>
      <c r="AD459" s="205"/>
      <c r="AL459" s="205"/>
      <c r="AM459" s="205"/>
      <c r="AN459" s="205"/>
      <c r="AO459" s="205"/>
      <c r="AP459" s="205"/>
      <c r="AQ459" s="205"/>
      <c r="AR459" s="205"/>
      <c r="AS459" s="205"/>
      <c r="AV459" s="205"/>
      <c r="AW459" s="205"/>
      <c r="AY459" s="205"/>
      <c r="AZ459" s="205"/>
      <c r="BD459" s="205"/>
      <c r="BF459" s="205"/>
    </row>
    <row r="460" spans="1:100" x14ac:dyDescent="0.2">
      <c r="A460" s="219"/>
      <c r="B460" s="219"/>
      <c r="C460" s="205"/>
      <c r="D460" s="205"/>
      <c r="E460" s="192"/>
      <c r="F460" s="205"/>
      <c r="G460" s="205"/>
      <c r="H460"/>
      <c r="I460" s="205"/>
      <c r="J460"/>
      <c r="K460"/>
      <c r="L460" s="205"/>
      <c r="M460" s="192"/>
      <c r="N460" s="205"/>
      <c r="O460" s="192"/>
      <c r="P460" s="192"/>
      <c r="Q460" s="205"/>
      <c r="R460" s="205"/>
      <c r="W460" s="205"/>
      <c r="X460" s="205"/>
      <c r="Y460" s="205"/>
      <c r="Z460" s="205"/>
      <c r="AA460" s="205"/>
      <c r="AB460" s="205"/>
      <c r="AC460" s="205"/>
      <c r="AD460" s="205"/>
      <c r="AL460" s="205"/>
      <c r="AM460" s="205"/>
      <c r="AN460" s="205"/>
      <c r="AO460" s="205"/>
      <c r="AP460" s="205"/>
      <c r="AQ460" s="205"/>
      <c r="AR460" s="205"/>
      <c r="AS460" s="205"/>
      <c r="AV460" s="205"/>
      <c r="AW460" s="205"/>
      <c r="AY460" s="205"/>
      <c r="AZ460" s="205"/>
      <c r="BD460" s="205"/>
      <c r="BF460" s="205"/>
    </row>
    <row r="461" spans="1:100" x14ac:dyDescent="0.2">
      <c r="A461" s="219"/>
      <c r="B461" s="219"/>
      <c r="C461" s="205"/>
      <c r="D461" s="205"/>
      <c r="E461" s="192"/>
      <c r="F461" s="205"/>
      <c r="G461"/>
      <c r="H461"/>
      <c r="I461" s="205"/>
      <c r="J461"/>
      <c r="K461"/>
      <c r="L461" s="205"/>
      <c r="M461" s="192"/>
      <c r="N461" s="205"/>
      <c r="O461" s="192"/>
      <c r="P461" s="192"/>
      <c r="Q461" s="205"/>
      <c r="R461" s="205"/>
      <c r="W461" s="205"/>
      <c r="X461" s="205"/>
      <c r="Y461" s="205"/>
      <c r="Z461" s="205"/>
      <c r="AA461" s="205"/>
      <c r="AB461" s="205"/>
      <c r="AC461" s="205"/>
      <c r="AD461" s="205"/>
      <c r="AL461" s="205"/>
      <c r="AM461" s="205"/>
      <c r="AN461" s="205"/>
      <c r="AO461" s="205"/>
      <c r="AP461" s="205"/>
      <c r="AQ461" s="205"/>
      <c r="AR461" s="205"/>
      <c r="AS461" s="205"/>
      <c r="AV461" s="205"/>
      <c r="AY461" s="205"/>
      <c r="AZ461" s="205"/>
      <c r="BD461" s="205"/>
      <c r="BF461" s="205"/>
    </row>
    <row r="462" spans="1:100" x14ac:dyDescent="0.2">
      <c r="A462" s="219"/>
      <c r="B462" s="219"/>
      <c r="C462" s="205"/>
      <c r="D462" s="205"/>
      <c r="E462" s="192"/>
      <c r="F462" s="205"/>
      <c r="G462" s="205"/>
      <c r="H462"/>
      <c r="I462" s="205"/>
      <c r="J462"/>
      <c r="K462"/>
      <c r="L462" s="205"/>
      <c r="M462" s="192"/>
      <c r="N462" s="205"/>
      <c r="O462" s="192"/>
      <c r="P462" s="192"/>
      <c r="Q462" s="205"/>
      <c r="R462" s="205"/>
      <c r="W462" s="205"/>
      <c r="X462" s="205"/>
      <c r="Y462" s="205"/>
      <c r="Z462" s="205"/>
      <c r="AA462" s="205"/>
      <c r="AB462" s="205"/>
      <c r="AC462" s="205"/>
      <c r="AD462" s="205"/>
      <c r="AL462" s="205"/>
      <c r="AM462" s="205"/>
      <c r="AN462" s="205"/>
      <c r="AO462" s="205"/>
      <c r="AP462" s="205"/>
      <c r="AQ462" s="205"/>
      <c r="AR462" s="205"/>
      <c r="AS462" s="205"/>
      <c r="AV462" s="205"/>
      <c r="AW462" s="205"/>
      <c r="AY462" s="205"/>
      <c r="AZ462" s="205"/>
      <c r="BD462" s="205"/>
      <c r="BF462" s="205"/>
    </row>
    <row r="463" spans="1:100" x14ac:dyDescent="0.2">
      <c r="A463" s="219"/>
      <c r="B463" s="219"/>
      <c r="C463" s="205"/>
      <c r="D463" s="205"/>
      <c r="E463" s="192"/>
      <c r="F463" s="205"/>
      <c r="G463"/>
      <c r="H463"/>
      <c r="I463" s="205"/>
      <c r="J463"/>
      <c r="K463"/>
      <c r="L463" s="205"/>
      <c r="M463" s="192"/>
      <c r="N463" s="205"/>
      <c r="O463" s="192"/>
      <c r="P463" s="192"/>
      <c r="Q463" s="205"/>
      <c r="R463" s="205"/>
      <c r="W463" s="205"/>
      <c r="X463" s="205"/>
      <c r="Y463" s="205"/>
      <c r="Z463" s="205"/>
      <c r="AA463" s="205"/>
      <c r="AB463" s="205"/>
      <c r="AC463" s="205"/>
      <c r="AD463" s="205"/>
      <c r="AL463" s="205"/>
      <c r="AM463" s="205"/>
      <c r="AN463" s="205"/>
      <c r="AO463" s="205"/>
      <c r="AP463" s="205"/>
      <c r="AQ463" s="205"/>
      <c r="AR463" s="205"/>
      <c r="AS463" s="205"/>
      <c r="AV463" s="205"/>
      <c r="AY463" s="205"/>
      <c r="AZ463" s="205"/>
      <c r="BD463" s="205"/>
      <c r="BF463" s="205"/>
    </row>
    <row r="464" spans="1:100" x14ac:dyDescent="0.2">
      <c r="A464" s="219"/>
      <c r="B464" s="219"/>
      <c r="C464" s="205"/>
      <c r="D464" s="205"/>
      <c r="E464" s="192"/>
      <c r="F464" s="205"/>
      <c r="G464" s="205"/>
      <c r="H464"/>
      <c r="I464" s="205"/>
      <c r="J464"/>
      <c r="K464"/>
      <c r="L464" s="205"/>
      <c r="M464" s="192"/>
      <c r="N464" s="205"/>
      <c r="O464" s="192"/>
      <c r="P464" s="192"/>
      <c r="Q464" s="205"/>
      <c r="R464" s="205"/>
      <c r="W464" s="205"/>
      <c r="X464" s="205"/>
      <c r="Y464" s="205"/>
      <c r="Z464" s="205"/>
      <c r="AA464" s="205"/>
      <c r="AB464" s="205"/>
      <c r="AC464" s="205"/>
      <c r="AD464" s="205"/>
      <c r="AL464" s="205"/>
      <c r="AM464" s="205"/>
      <c r="AN464" s="205"/>
      <c r="AO464" s="205"/>
      <c r="AP464" s="205"/>
      <c r="AQ464" s="205"/>
      <c r="AR464" s="205"/>
      <c r="AS464" s="205"/>
      <c r="AV464" s="205"/>
      <c r="AW464" s="205"/>
      <c r="AY464" s="205"/>
      <c r="AZ464" s="205"/>
      <c r="BD464" s="205"/>
      <c r="BF464" s="205"/>
    </row>
    <row r="465" spans="1:100" x14ac:dyDescent="0.2">
      <c r="A465" s="219"/>
      <c r="B465" s="219"/>
      <c r="C465" s="205"/>
      <c r="D465" s="205"/>
      <c r="E465" s="192"/>
      <c r="F465" s="205"/>
      <c r="G465" s="205"/>
      <c r="H465"/>
      <c r="I465" s="205"/>
      <c r="J465"/>
      <c r="K465"/>
      <c r="L465" s="205"/>
      <c r="M465" s="192"/>
      <c r="N465" s="205"/>
      <c r="O465" s="192"/>
      <c r="P465" s="192"/>
      <c r="Q465" s="205"/>
      <c r="R465" s="205"/>
      <c r="W465" s="205"/>
      <c r="X465" s="205"/>
      <c r="Y465" s="205"/>
      <c r="Z465" s="205"/>
      <c r="AA465" s="205"/>
      <c r="AB465" s="205"/>
      <c r="AC465" s="205"/>
      <c r="AD465" s="205"/>
      <c r="AL465" s="205"/>
      <c r="AM465" s="205"/>
      <c r="AN465" s="205"/>
      <c r="AO465" s="205"/>
      <c r="AP465" s="205"/>
      <c r="AQ465" s="205"/>
      <c r="AR465" s="205"/>
      <c r="AS465" s="205"/>
      <c r="AV465" s="205"/>
      <c r="AW465" s="205"/>
      <c r="AY465" s="205"/>
      <c r="AZ465" s="205"/>
      <c r="BD465" s="205"/>
      <c r="BF465" s="205"/>
    </row>
    <row r="466" spans="1:100" x14ac:dyDescent="0.2">
      <c r="A466" s="219"/>
      <c r="B466" s="219"/>
      <c r="C466" s="205"/>
      <c r="D466" s="205"/>
      <c r="E466" s="192"/>
      <c r="F466" s="205"/>
      <c r="G466" s="205"/>
      <c r="H466"/>
      <c r="I466" s="205"/>
      <c r="J466"/>
      <c r="K466"/>
      <c r="L466" s="205"/>
      <c r="M466" s="192"/>
      <c r="N466" s="205"/>
      <c r="O466" s="192"/>
      <c r="P466" s="192"/>
      <c r="Q466" s="205"/>
      <c r="R466" s="205"/>
      <c r="W466" s="205"/>
      <c r="X466" s="205"/>
      <c r="Y466" s="205"/>
      <c r="Z466" s="205"/>
      <c r="AA466" s="205"/>
      <c r="AB466" s="205"/>
      <c r="AC466" s="205"/>
      <c r="AD466" s="205"/>
      <c r="AL466" s="205"/>
      <c r="AM466" s="205"/>
      <c r="AN466" s="205"/>
      <c r="AO466" s="205"/>
      <c r="AP466" s="205"/>
      <c r="AQ466" s="205"/>
      <c r="AR466" s="205"/>
      <c r="AS466" s="205"/>
      <c r="AV466" s="205"/>
      <c r="AW466" s="205"/>
      <c r="AY466" s="205"/>
      <c r="AZ466" s="205"/>
      <c r="BD466" s="205"/>
      <c r="BF466" s="205"/>
    </row>
    <row r="467" spans="1:100" x14ac:dyDescent="0.2">
      <c r="A467" s="219"/>
      <c r="B467" s="219"/>
      <c r="C467" s="205"/>
      <c r="D467" s="205"/>
      <c r="E467" s="192"/>
      <c r="F467" s="205"/>
      <c r="G467" s="205"/>
      <c r="H467" s="205"/>
      <c r="I467" s="205"/>
      <c r="J467"/>
      <c r="K467"/>
      <c r="L467" s="205"/>
      <c r="M467" s="192"/>
      <c r="N467" s="205"/>
      <c r="O467" s="192"/>
      <c r="P467" s="192"/>
      <c r="Q467" s="205"/>
      <c r="R467" s="205"/>
      <c r="W467" s="205"/>
      <c r="X467" s="205"/>
      <c r="Y467" s="205"/>
      <c r="Z467" s="205"/>
      <c r="AA467" s="205"/>
      <c r="AB467" s="205"/>
      <c r="AC467" s="205"/>
      <c r="AD467" s="205"/>
      <c r="AL467" s="205"/>
      <c r="AM467" s="205"/>
      <c r="AN467" s="205"/>
      <c r="AO467" s="205"/>
      <c r="AP467" s="205"/>
      <c r="AQ467" s="205"/>
      <c r="AR467" s="205"/>
      <c r="AS467" s="205"/>
      <c r="AV467" s="205"/>
      <c r="AW467" s="205"/>
      <c r="AX467" s="205"/>
      <c r="AY467" s="205"/>
      <c r="AZ467" s="205"/>
      <c r="BD467" s="205"/>
      <c r="BF467" s="205"/>
    </row>
    <row r="468" spans="1:100" x14ac:dyDescent="0.2">
      <c r="A468" s="219"/>
      <c r="B468" s="219"/>
      <c r="C468" s="205"/>
      <c r="D468" s="205"/>
      <c r="E468" s="192"/>
      <c r="F468" s="205"/>
      <c r="G468" s="205"/>
      <c r="H468"/>
      <c r="I468" s="205"/>
      <c r="J468"/>
      <c r="K468"/>
      <c r="L468" s="205"/>
      <c r="M468" s="192"/>
      <c r="N468" s="205"/>
      <c r="O468" s="192"/>
      <c r="P468" s="192"/>
      <c r="Q468" s="205"/>
      <c r="R468" s="205"/>
      <c r="W468" s="205"/>
      <c r="X468" s="205"/>
      <c r="Y468" s="205"/>
      <c r="Z468" s="205"/>
      <c r="AA468" s="205"/>
      <c r="AB468" s="205"/>
      <c r="AC468" s="205"/>
      <c r="AD468" s="205"/>
      <c r="AL468" s="205"/>
      <c r="AM468" s="205"/>
      <c r="AN468" s="205"/>
      <c r="AO468" s="205"/>
      <c r="AP468" s="205"/>
      <c r="AQ468" s="205"/>
      <c r="AR468" s="205"/>
      <c r="AS468" s="205"/>
      <c r="AV468" s="205"/>
      <c r="AW468" s="205"/>
      <c r="AY468" s="205"/>
      <c r="AZ468" s="205"/>
      <c r="BD468" s="205"/>
      <c r="BF468" s="205"/>
    </row>
    <row r="469" spans="1:100" x14ac:dyDescent="0.2">
      <c r="A469" s="219"/>
      <c r="B469" s="219"/>
      <c r="C469" s="205"/>
      <c r="D469" s="205"/>
      <c r="E469" s="192"/>
      <c r="F469" s="205"/>
      <c r="G469" s="205"/>
      <c r="H469"/>
      <c r="I469" s="205"/>
      <c r="J469"/>
      <c r="K469"/>
      <c r="L469" s="205"/>
      <c r="M469" s="192"/>
      <c r="N469" s="205"/>
      <c r="O469" s="192"/>
      <c r="P469" s="192"/>
      <c r="Q469" s="205"/>
      <c r="R469" s="205"/>
      <c r="W469" s="205"/>
      <c r="X469" s="205"/>
      <c r="Y469" s="205"/>
      <c r="Z469" s="205"/>
      <c r="AA469" s="205"/>
      <c r="AB469" s="205"/>
      <c r="AC469" s="205"/>
      <c r="AD469" s="205"/>
      <c r="AL469" s="205"/>
      <c r="AM469" s="205"/>
      <c r="AN469" s="205"/>
      <c r="AO469" s="205"/>
      <c r="AP469" s="205"/>
      <c r="AQ469" s="205"/>
      <c r="AR469" s="205"/>
      <c r="AS469" s="205"/>
      <c r="AV469" s="205"/>
      <c r="AW469" s="205"/>
      <c r="AY469" s="205"/>
      <c r="AZ469" s="205"/>
      <c r="BD469" s="205"/>
      <c r="BF469" s="205"/>
    </row>
    <row r="470" spans="1:100" x14ac:dyDescent="0.2">
      <c r="A470" s="219"/>
      <c r="B470" s="219"/>
      <c r="C470" s="205"/>
      <c r="D470" s="205"/>
      <c r="E470" s="192"/>
      <c r="F470" s="205"/>
      <c r="G470" s="205"/>
      <c r="H470"/>
      <c r="I470" s="205"/>
      <c r="J470"/>
      <c r="K470"/>
      <c r="L470" s="205"/>
      <c r="M470" s="192"/>
      <c r="N470" s="205"/>
      <c r="O470" s="192"/>
      <c r="P470" s="192"/>
      <c r="Q470" s="205"/>
      <c r="R470" s="205"/>
      <c r="W470" s="205"/>
      <c r="X470" s="205"/>
      <c r="Y470" s="205"/>
      <c r="Z470" s="205"/>
      <c r="AA470" s="205"/>
      <c r="AB470" s="205"/>
      <c r="AC470" s="205"/>
      <c r="AD470" s="205"/>
      <c r="AL470" s="205"/>
      <c r="AM470" s="205"/>
      <c r="AN470" s="205"/>
      <c r="AO470" s="205"/>
      <c r="AP470" s="205"/>
      <c r="AQ470" s="205"/>
      <c r="AR470" s="205"/>
      <c r="AS470" s="205"/>
      <c r="AV470" s="205"/>
      <c r="AW470" s="205"/>
      <c r="AY470" s="205"/>
      <c r="AZ470" s="205"/>
      <c r="BD470" s="205"/>
      <c r="BF470" s="205"/>
    </row>
    <row r="471" spans="1:100" x14ac:dyDescent="0.2">
      <c r="A471" s="219"/>
      <c r="B471" s="219"/>
      <c r="C471" s="205"/>
      <c r="D471" s="205"/>
      <c r="E471" s="192"/>
      <c r="F471" s="205"/>
      <c r="G471" s="205"/>
      <c r="H471"/>
      <c r="I471" s="205"/>
      <c r="J471"/>
      <c r="K471"/>
      <c r="L471" s="205"/>
      <c r="M471" s="192"/>
      <c r="N471" s="205"/>
      <c r="O471" s="192"/>
      <c r="P471" s="192"/>
      <c r="Q471" s="205"/>
      <c r="R471" s="205"/>
      <c r="W471" s="205"/>
      <c r="X471" s="205"/>
      <c r="Y471" s="205"/>
      <c r="Z471" s="205"/>
      <c r="AA471" s="205"/>
      <c r="AB471" s="205"/>
      <c r="AC471" s="205"/>
      <c r="AD471" s="205"/>
      <c r="AL471" s="205"/>
      <c r="AM471" s="205"/>
      <c r="AN471" s="205"/>
      <c r="AO471" s="205"/>
      <c r="AP471" s="205"/>
      <c r="AQ471" s="205"/>
      <c r="AR471" s="205"/>
      <c r="AS471" s="205"/>
      <c r="AV471" s="205"/>
      <c r="AW471" s="205"/>
      <c r="AY471" s="205"/>
      <c r="AZ471" s="205"/>
      <c r="BD471" s="205"/>
      <c r="BF471" s="205"/>
    </row>
    <row r="472" spans="1:100" x14ac:dyDescent="0.2">
      <c r="A472" s="219"/>
      <c r="B472" s="219"/>
      <c r="C472" s="205"/>
      <c r="D472" s="205"/>
      <c r="E472" s="192"/>
      <c r="F472" s="205"/>
      <c r="G472" s="205"/>
      <c r="H472"/>
      <c r="I472" s="205"/>
      <c r="J472"/>
      <c r="K472"/>
      <c r="L472" s="205"/>
      <c r="M472" s="192"/>
      <c r="N472" s="205"/>
      <c r="O472" s="192"/>
      <c r="P472" s="192"/>
      <c r="Q472" s="205"/>
      <c r="R472" s="205"/>
      <c r="W472" s="205"/>
      <c r="X472" s="205"/>
      <c r="Y472" s="205"/>
      <c r="Z472" s="205"/>
      <c r="AA472" s="205"/>
      <c r="AB472" s="205"/>
      <c r="AC472" s="205"/>
      <c r="AD472" s="205"/>
      <c r="AL472" s="205"/>
      <c r="AM472" s="205"/>
      <c r="AN472" s="205"/>
      <c r="AO472" s="205"/>
      <c r="AP472" s="205"/>
      <c r="AQ472" s="205"/>
      <c r="AR472" s="205"/>
      <c r="AS472" s="205"/>
      <c r="AV472" s="205"/>
      <c r="AW472" s="205"/>
      <c r="AY472" s="205"/>
      <c r="AZ472" s="205"/>
      <c r="BD472" s="205"/>
      <c r="BF472" s="205"/>
    </row>
    <row r="473" spans="1:100" x14ac:dyDescent="0.2">
      <c r="A473" s="219"/>
      <c r="B473" s="219"/>
      <c r="C473" s="205"/>
      <c r="D473" s="205"/>
      <c r="E473" s="192"/>
      <c r="F473" s="205"/>
      <c r="G473" s="205"/>
      <c r="H473" s="205"/>
      <c r="I473" s="205"/>
      <c r="J473" s="205"/>
      <c r="K473" s="205"/>
      <c r="L473" s="205"/>
      <c r="M473" s="192"/>
      <c r="N473" s="205"/>
      <c r="O473" s="192"/>
      <c r="P473" s="192"/>
      <c r="Q473" s="205"/>
      <c r="R473" s="205"/>
      <c r="W473" s="205"/>
      <c r="X473" s="205"/>
      <c r="Y473" s="205"/>
      <c r="Z473" s="205"/>
      <c r="AA473" s="205"/>
      <c r="AB473" s="205"/>
      <c r="AC473" s="205"/>
      <c r="AD473" s="205"/>
      <c r="AL473" s="205"/>
      <c r="AM473" s="205"/>
      <c r="AN473" s="205"/>
      <c r="AO473" s="205"/>
      <c r="AP473" s="205"/>
      <c r="AQ473" s="205"/>
      <c r="AR473" s="205"/>
      <c r="AS473" s="205"/>
      <c r="AV473" s="205"/>
      <c r="AW473" s="205"/>
      <c r="AX473" s="205"/>
      <c r="AY473" s="205"/>
      <c r="AZ473" s="205"/>
      <c r="BA473" s="205"/>
      <c r="BB473" s="205"/>
      <c r="BD473" s="205"/>
      <c r="BF473" s="205"/>
      <c r="BG473" s="201"/>
      <c r="BH473" s="201"/>
      <c r="BJ473" s="201"/>
      <c r="BK473" s="201"/>
      <c r="BL473" s="201"/>
      <c r="BM473" s="201"/>
      <c r="BN473" s="201"/>
      <c r="BO473" s="201"/>
      <c r="BP473" s="201"/>
      <c r="BQ473" s="201"/>
      <c r="BR473" s="201"/>
      <c r="BS473" s="201"/>
      <c r="BT473" s="201"/>
      <c r="BU473" s="201"/>
      <c r="BV473" s="201"/>
      <c r="BW473" s="201"/>
      <c r="BX473" s="201"/>
      <c r="BY473" s="201"/>
      <c r="BZ473" s="201"/>
      <c r="CA473" s="201"/>
      <c r="CB473" s="201"/>
      <c r="CC473" s="201"/>
      <c r="CD473" s="201"/>
      <c r="CE473" s="201"/>
      <c r="CF473" s="201"/>
      <c r="CG473" s="201"/>
      <c r="CH473" s="201"/>
      <c r="CI473" s="201"/>
      <c r="CJ473" s="201"/>
      <c r="CK473" s="201"/>
      <c r="CL473" s="201"/>
      <c r="CM473" s="201"/>
      <c r="CN473" s="201"/>
      <c r="CO473" s="201"/>
      <c r="CP473" s="201"/>
      <c r="CQ473" s="201"/>
      <c r="CR473" s="201"/>
      <c r="CS473" s="201"/>
      <c r="CT473" s="201"/>
      <c r="CU473" s="201"/>
      <c r="CV473" s="201"/>
    </row>
    <row r="474" spans="1:100" x14ac:dyDescent="0.2">
      <c r="A474" s="219"/>
      <c r="B474" s="219"/>
      <c r="C474" s="205"/>
      <c r="D474" s="205"/>
      <c r="E474" s="192"/>
      <c r="F474" s="205"/>
      <c r="G474"/>
      <c r="H474"/>
      <c r="I474" s="205"/>
      <c r="J474"/>
      <c r="K474"/>
      <c r="L474" s="205"/>
      <c r="M474" s="192"/>
      <c r="N474" s="205"/>
      <c r="O474" s="192"/>
      <c r="P474" s="192"/>
      <c r="Q474" s="205"/>
      <c r="R474" s="205"/>
      <c r="W474" s="205"/>
      <c r="X474" s="205"/>
      <c r="Y474" s="205"/>
      <c r="Z474" s="205"/>
      <c r="AA474" s="205"/>
      <c r="AB474" s="205"/>
      <c r="AC474" s="205"/>
      <c r="AD474" s="205"/>
      <c r="AL474" s="205"/>
      <c r="AM474" s="205"/>
      <c r="AN474" s="205"/>
      <c r="AO474" s="205"/>
      <c r="AP474" s="205"/>
      <c r="AQ474" s="205"/>
      <c r="AR474" s="205"/>
      <c r="AS474" s="205"/>
      <c r="AV474" s="205"/>
      <c r="AY474" s="205"/>
      <c r="AZ474" s="205"/>
      <c r="BD474" s="205"/>
      <c r="BF474" s="205"/>
    </row>
    <row r="475" spans="1:100" x14ac:dyDescent="0.2">
      <c r="A475" s="219"/>
      <c r="B475" s="219"/>
      <c r="C475" s="205"/>
      <c r="D475" s="205"/>
      <c r="E475" s="192"/>
      <c r="F475" s="205"/>
      <c r="G475" s="205"/>
      <c r="H475"/>
      <c r="I475" s="205"/>
      <c r="J475"/>
      <c r="K475"/>
      <c r="L475" s="205"/>
      <c r="M475" s="192"/>
      <c r="N475" s="205"/>
      <c r="O475" s="192"/>
      <c r="P475" s="192"/>
      <c r="Q475" s="205"/>
      <c r="R475" s="205"/>
      <c r="W475" s="205"/>
      <c r="X475" s="205"/>
      <c r="Y475" s="205"/>
      <c r="Z475" s="205"/>
      <c r="AA475" s="205"/>
      <c r="AB475" s="205"/>
      <c r="AC475" s="205"/>
      <c r="AD475" s="205"/>
      <c r="AL475" s="205"/>
      <c r="AM475" s="205"/>
      <c r="AN475" s="205"/>
      <c r="AO475" s="205"/>
      <c r="AP475" s="205"/>
      <c r="AQ475" s="205"/>
      <c r="AR475" s="205"/>
      <c r="AS475" s="205"/>
      <c r="AV475" s="205"/>
      <c r="AW475" s="205"/>
      <c r="AY475" s="205"/>
      <c r="AZ475" s="205"/>
      <c r="BD475" s="205"/>
      <c r="BF475" s="205"/>
    </row>
    <row r="476" spans="1:100" x14ac:dyDescent="0.2">
      <c r="A476" s="219"/>
      <c r="B476" s="219"/>
      <c r="C476" s="205"/>
      <c r="D476" s="205"/>
      <c r="E476" s="192"/>
      <c r="F476" s="205"/>
      <c r="G476" s="205"/>
      <c r="H476"/>
      <c r="I476" s="205"/>
      <c r="J476"/>
      <c r="K476"/>
      <c r="L476" s="205"/>
      <c r="M476" s="192"/>
      <c r="N476" s="205"/>
      <c r="O476" s="192"/>
      <c r="P476" s="192"/>
      <c r="Q476" s="205"/>
      <c r="R476" s="205"/>
      <c r="W476" s="205"/>
      <c r="X476" s="205"/>
      <c r="Y476" s="205"/>
      <c r="Z476" s="205"/>
      <c r="AA476" s="205"/>
      <c r="AB476" s="205"/>
      <c r="AC476" s="205"/>
      <c r="AD476" s="205"/>
      <c r="AL476" s="205"/>
      <c r="AM476" s="205"/>
      <c r="AN476" s="205"/>
      <c r="AO476" s="205"/>
      <c r="AP476" s="205"/>
      <c r="AQ476" s="205"/>
      <c r="AR476" s="205"/>
      <c r="AS476" s="205"/>
      <c r="AV476" s="205"/>
      <c r="AW476" s="205"/>
      <c r="AY476" s="205"/>
      <c r="AZ476" s="205"/>
      <c r="BD476" s="205"/>
      <c r="BF476" s="205"/>
    </row>
    <row r="477" spans="1:100" x14ac:dyDescent="0.2">
      <c r="A477" s="219"/>
      <c r="B477" s="219"/>
      <c r="C477" s="205"/>
      <c r="D477" s="205"/>
      <c r="E477" s="192"/>
      <c r="F477" s="205"/>
      <c r="G477" s="205"/>
      <c r="H477"/>
      <c r="I477" s="205"/>
      <c r="J477"/>
      <c r="K477"/>
      <c r="L477" s="205"/>
      <c r="M477" s="192"/>
      <c r="N477" s="205"/>
      <c r="O477" s="192"/>
      <c r="P477" s="192"/>
      <c r="Q477" s="205"/>
      <c r="R477" s="205"/>
      <c r="W477" s="205"/>
      <c r="X477" s="205"/>
      <c r="Y477" s="205"/>
      <c r="Z477" s="205"/>
      <c r="AA477" s="205"/>
      <c r="AB477" s="205"/>
      <c r="AC477" s="205"/>
      <c r="AD477" s="205"/>
      <c r="AL477" s="205"/>
      <c r="AM477" s="205"/>
      <c r="AN477" s="205"/>
      <c r="AO477" s="205"/>
      <c r="AP477" s="205"/>
      <c r="AQ477" s="205"/>
      <c r="AR477" s="205"/>
      <c r="AS477" s="205"/>
      <c r="AV477" s="205"/>
      <c r="AW477" s="205"/>
      <c r="AY477" s="205"/>
      <c r="AZ477" s="205"/>
      <c r="BD477" s="205"/>
      <c r="BF477" s="205"/>
    </row>
    <row r="478" spans="1:100" x14ac:dyDescent="0.2">
      <c r="A478" s="219"/>
      <c r="B478" s="219"/>
      <c r="C478" s="205"/>
      <c r="D478" s="205"/>
      <c r="E478" s="192"/>
      <c r="F478" s="205"/>
      <c r="G478" s="205"/>
      <c r="H478"/>
      <c r="I478" s="205"/>
      <c r="J478"/>
      <c r="K478"/>
      <c r="L478" s="205"/>
      <c r="M478" s="192"/>
      <c r="N478" s="205"/>
      <c r="O478" s="192"/>
      <c r="P478" s="192"/>
      <c r="Q478" s="205"/>
      <c r="R478" s="205"/>
      <c r="W478" s="205"/>
      <c r="X478" s="205"/>
      <c r="Y478" s="205"/>
      <c r="Z478" s="205"/>
      <c r="AA478" s="205"/>
      <c r="AB478" s="205"/>
      <c r="AC478" s="205"/>
      <c r="AD478" s="205"/>
      <c r="AL478" s="205"/>
      <c r="AM478" s="205"/>
      <c r="AN478" s="205"/>
      <c r="AO478" s="205"/>
      <c r="AP478" s="205"/>
      <c r="AQ478" s="205"/>
      <c r="AR478" s="205"/>
      <c r="AS478" s="205"/>
      <c r="AV478" s="205"/>
      <c r="AW478" s="205"/>
      <c r="AY478" s="205"/>
      <c r="AZ478" s="205"/>
      <c r="BD478" s="205"/>
      <c r="BF478" s="205"/>
    </row>
    <row r="479" spans="1:100" x14ac:dyDescent="0.2">
      <c r="A479" s="219"/>
      <c r="B479" s="219"/>
      <c r="C479" s="205"/>
      <c r="D479" s="205"/>
      <c r="E479" s="192"/>
      <c r="F479" s="205"/>
      <c r="G479"/>
      <c r="H479"/>
      <c r="I479" s="205"/>
      <c r="J479"/>
      <c r="K479"/>
      <c r="L479" s="205"/>
      <c r="M479" s="192"/>
      <c r="N479" s="205"/>
      <c r="O479" s="192"/>
      <c r="P479" s="192"/>
      <c r="Q479" s="205"/>
      <c r="R479" s="205"/>
      <c r="W479" s="205"/>
      <c r="X479" s="205"/>
      <c r="Y479" s="205"/>
      <c r="Z479" s="205"/>
      <c r="AA479" s="205"/>
      <c r="AB479" s="205"/>
      <c r="AC479" s="205"/>
      <c r="AD479" s="205"/>
      <c r="AL479" s="205"/>
      <c r="AM479" s="205"/>
      <c r="AN479" s="205"/>
      <c r="AO479" s="205"/>
      <c r="AP479" s="205"/>
      <c r="AQ479" s="205"/>
      <c r="AR479" s="205"/>
      <c r="AS479" s="205"/>
      <c r="AV479" s="205"/>
      <c r="AY479" s="205"/>
      <c r="AZ479" s="205"/>
      <c r="BD479" s="205"/>
      <c r="BF479" s="205"/>
    </row>
    <row r="480" spans="1:100" x14ac:dyDescent="0.2">
      <c r="A480" s="219"/>
      <c r="B480" s="219"/>
      <c r="C480" s="205"/>
      <c r="D480" s="205"/>
      <c r="E480" s="192"/>
      <c r="F480" s="205"/>
      <c r="G480" s="205"/>
      <c r="H480"/>
      <c r="I480" s="205"/>
      <c r="J480"/>
      <c r="K480"/>
      <c r="L480" s="205"/>
      <c r="M480" s="192"/>
      <c r="N480" s="205"/>
      <c r="O480" s="192"/>
      <c r="P480" s="192"/>
      <c r="Q480" s="205"/>
      <c r="R480" s="205"/>
      <c r="W480" s="205"/>
      <c r="X480" s="205"/>
      <c r="Y480" s="205"/>
      <c r="Z480" s="205"/>
      <c r="AA480" s="205"/>
      <c r="AB480" s="205"/>
      <c r="AC480" s="205"/>
      <c r="AD480" s="205"/>
      <c r="AL480" s="205"/>
      <c r="AM480" s="205"/>
      <c r="AN480" s="205"/>
      <c r="AO480" s="205"/>
      <c r="AP480" s="205"/>
      <c r="AQ480" s="205"/>
      <c r="AR480" s="205"/>
      <c r="AS480" s="205"/>
      <c r="AV480" s="205"/>
      <c r="AW480" s="205"/>
      <c r="AY480" s="205"/>
      <c r="AZ480" s="205"/>
      <c r="BD480" s="205"/>
      <c r="BF480" s="205"/>
    </row>
    <row r="481" spans="1:100" x14ac:dyDescent="0.2">
      <c r="A481" s="219"/>
      <c r="B481" s="219"/>
      <c r="C481" s="205"/>
      <c r="D481" s="205"/>
      <c r="E481" s="192"/>
      <c r="F481" s="205"/>
      <c r="G481" s="205"/>
      <c r="H481"/>
      <c r="I481" s="205"/>
      <c r="J481"/>
      <c r="K481"/>
      <c r="L481" s="205"/>
      <c r="M481" s="192"/>
      <c r="N481" s="205"/>
      <c r="O481" s="192"/>
      <c r="P481" s="192"/>
      <c r="Q481" s="205"/>
      <c r="R481" s="205"/>
      <c r="W481" s="205"/>
      <c r="X481" s="205"/>
      <c r="Y481" s="205"/>
      <c r="Z481" s="205"/>
      <c r="AA481" s="205"/>
      <c r="AB481" s="205"/>
      <c r="AC481" s="205"/>
      <c r="AD481" s="205"/>
      <c r="AL481" s="205"/>
      <c r="AM481" s="205"/>
      <c r="AN481" s="205"/>
      <c r="AO481" s="205"/>
      <c r="AP481" s="205"/>
      <c r="AQ481" s="205"/>
      <c r="AR481" s="205"/>
      <c r="AS481" s="205"/>
      <c r="AV481" s="205"/>
      <c r="AW481" s="205"/>
      <c r="AY481" s="205"/>
      <c r="AZ481" s="205"/>
      <c r="BD481" s="205"/>
      <c r="BF481" s="205"/>
    </row>
    <row r="482" spans="1:100" x14ac:dyDescent="0.2">
      <c r="A482" s="219"/>
      <c r="B482" s="219"/>
      <c r="C482" s="205"/>
      <c r="D482" s="205"/>
      <c r="E482" s="192"/>
      <c r="F482" s="205"/>
      <c r="G482" s="205"/>
      <c r="H482"/>
      <c r="I482" s="205"/>
      <c r="J482"/>
      <c r="K482"/>
      <c r="L482" s="205"/>
      <c r="M482" s="192"/>
      <c r="N482" s="205"/>
      <c r="O482" s="192"/>
      <c r="P482" s="192"/>
      <c r="Q482" s="205"/>
      <c r="R482" s="205"/>
      <c r="W482" s="205"/>
      <c r="X482" s="205"/>
      <c r="Y482" s="205"/>
      <c r="Z482" s="205"/>
      <c r="AA482" s="205"/>
      <c r="AB482" s="205"/>
      <c r="AC482" s="205"/>
      <c r="AD482" s="205"/>
      <c r="AL482" s="205"/>
      <c r="AM482" s="205"/>
      <c r="AN482" s="205"/>
      <c r="AO482" s="205"/>
      <c r="AP482" s="205"/>
      <c r="AQ482" s="205"/>
      <c r="AR482" s="205"/>
      <c r="AS482" s="205"/>
      <c r="AV482" s="205"/>
      <c r="AW482" s="205"/>
      <c r="AY482" s="205"/>
      <c r="AZ482" s="205"/>
      <c r="BD482" s="205"/>
      <c r="BF482" s="205"/>
    </row>
    <row r="483" spans="1:100" x14ac:dyDescent="0.2">
      <c r="A483" s="219"/>
      <c r="B483" s="219"/>
      <c r="C483" s="205"/>
      <c r="D483" s="205"/>
      <c r="E483" s="192"/>
      <c r="F483" s="205"/>
      <c r="G483" s="205"/>
      <c r="H483"/>
      <c r="I483" s="205"/>
      <c r="J483"/>
      <c r="K483"/>
      <c r="L483" s="205"/>
      <c r="M483" s="192"/>
      <c r="N483" s="205"/>
      <c r="O483" s="192"/>
      <c r="P483" s="192"/>
      <c r="Q483" s="205"/>
      <c r="R483" s="205"/>
      <c r="W483" s="205"/>
      <c r="X483" s="205"/>
      <c r="Y483" s="205"/>
      <c r="Z483" s="205"/>
      <c r="AA483" s="205"/>
      <c r="AB483" s="205"/>
      <c r="AC483" s="205"/>
      <c r="AD483" s="205"/>
      <c r="AL483" s="205"/>
      <c r="AM483" s="205"/>
      <c r="AN483" s="205"/>
      <c r="AO483" s="205"/>
      <c r="AP483" s="205"/>
      <c r="AQ483" s="205"/>
      <c r="AR483" s="205"/>
      <c r="AS483" s="205"/>
      <c r="AV483" s="205"/>
      <c r="AW483" s="205"/>
      <c r="AY483" s="205"/>
      <c r="AZ483" s="205"/>
      <c r="BD483" s="205"/>
      <c r="BF483" s="205"/>
    </row>
    <row r="484" spans="1:100" x14ac:dyDescent="0.2">
      <c r="A484" s="219"/>
      <c r="B484" s="219"/>
      <c r="C484" s="205"/>
      <c r="D484" s="205"/>
      <c r="E484" s="192"/>
      <c r="F484" s="205"/>
      <c r="G484" s="205"/>
      <c r="H484" s="205"/>
      <c r="I484" s="205"/>
      <c r="J484"/>
      <c r="K484"/>
      <c r="L484" s="205"/>
      <c r="M484" s="192"/>
      <c r="N484" s="205"/>
      <c r="O484" s="192"/>
      <c r="P484" s="192"/>
      <c r="Q484" s="205"/>
      <c r="R484" s="205"/>
      <c r="W484" s="205"/>
      <c r="X484" s="205"/>
      <c r="Y484" s="205"/>
      <c r="Z484" s="205"/>
      <c r="AA484" s="205"/>
      <c r="AB484" s="205"/>
      <c r="AC484" s="205"/>
      <c r="AD484" s="205"/>
      <c r="AL484" s="205"/>
      <c r="AM484" s="205"/>
      <c r="AN484" s="205"/>
      <c r="AO484" s="205"/>
      <c r="AP484" s="205"/>
      <c r="AQ484" s="205"/>
      <c r="AR484" s="205"/>
      <c r="AS484" s="205"/>
      <c r="AV484" s="205"/>
      <c r="AW484" s="205"/>
      <c r="AX484" s="205"/>
      <c r="AY484" s="205"/>
      <c r="AZ484" s="205"/>
      <c r="BD484" s="205"/>
      <c r="BF484" s="205"/>
    </row>
    <row r="485" spans="1:100" x14ac:dyDescent="0.2">
      <c r="A485" s="219"/>
      <c r="B485" s="219"/>
      <c r="C485" s="205"/>
      <c r="D485" s="205"/>
      <c r="E485" s="192"/>
      <c r="F485" s="205"/>
      <c r="G485" s="205"/>
      <c r="H485"/>
      <c r="I485" s="205"/>
      <c r="J485"/>
      <c r="K485"/>
      <c r="L485" s="205"/>
      <c r="M485" s="192"/>
      <c r="N485" s="205"/>
      <c r="O485" s="192"/>
      <c r="P485" s="192"/>
      <c r="Q485" s="205"/>
      <c r="R485" s="205"/>
      <c r="W485" s="205"/>
      <c r="X485" s="205"/>
      <c r="Y485" s="205"/>
      <c r="Z485" s="205"/>
      <c r="AA485" s="205"/>
      <c r="AB485" s="205"/>
      <c r="AC485" s="205"/>
      <c r="AD485" s="205"/>
      <c r="AL485" s="205"/>
      <c r="AM485" s="205"/>
      <c r="AN485" s="205"/>
      <c r="AO485" s="205"/>
      <c r="AP485" s="205"/>
      <c r="AQ485" s="205"/>
      <c r="AR485" s="205"/>
      <c r="AS485" s="205"/>
      <c r="AV485" s="205"/>
      <c r="AW485" s="205"/>
      <c r="AY485" s="205"/>
      <c r="AZ485" s="205"/>
      <c r="BD485" s="205"/>
      <c r="BF485" s="205"/>
    </row>
    <row r="486" spans="1:100" x14ac:dyDescent="0.2">
      <c r="A486" s="219"/>
      <c r="B486" s="219"/>
      <c r="C486" s="205"/>
      <c r="D486" s="205"/>
      <c r="E486" s="192"/>
      <c r="F486" s="205"/>
      <c r="G486" s="205"/>
      <c r="H486"/>
      <c r="I486" s="205"/>
      <c r="J486"/>
      <c r="K486"/>
      <c r="L486" s="205"/>
      <c r="M486" s="192"/>
      <c r="N486" s="205"/>
      <c r="O486" s="192"/>
      <c r="P486" s="192"/>
      <c r="Q486" s="205"/>
      <c r="R486" s="205"/>
      <c r="W486" s="205"/>
      <c r="X486" s="205"/>
      <c r="Y486" s="205"/>
      <c r="Z486" s="205"/>
      <c r="AA486" s="205"/>
      <c r="AB486" s="205"/>
      <c r="AC486" s="205"/>
      <c r="AD486" s="205"/>
      <c r="AL486" s="205"/>
      <c r="AM486" s="205"/>
      <c r="AN486" s="205"/>
      <c r="AO486" s="205"/>
      <c r="AP486" s="205"/>
      <c r="AQ486" s="205"/>
      <c r="AR486" s="205"/>
      <c r="AS486" s="205"/>
      <c r="AV486" s="205"/>
      <c r="AW486" s="205"/>
      <c r="AY486" s="205"/>
      <c r="AZ486" s="205"/>
      <c r="BD486" s="205"/>
      <c r="BF486" s="205"/>
    </row>
    <row r="487" spans="1:100" x14ac:dyDescent="0.2">
      <c r="A487" s="219"/>
      <c r="B487" s="219"/>
      <c r="C487" s="205"/>
      <c r="D487" s="205"/>
      <c r="E487" s="192"/>
      <c r="F487" s="205"/>
      <c r="G487" s="205"/>
      <c r="H487"/>
      <c r="I487" s="205"/>
      <c r="J487"/>
      <c r="K487"/>
      <c r="L487" s="205"/>
      <c r="M487" s="192"/>
      <c r="N487" s="205"/>
      <c r="O487" s="192"/>
      <c r="P487" s="192"/>
      <c r="Q487" s="205"/>
      <c r="R487" s="205"/>
      <c r="W487" s="205"/>
      <c r="X487" s="205"/>
      <c r="Y487" s="205"/>
      <c r="Z487" s="205"/>
      <c r="AA487" s="205"/>
      <c r="AB487" s="205"/>
      <c r="AC487" s="205"/>
      <c r="AD487" s="205"/>
      <c r="AL487" s="205"/>
      <c r="AM487" s="205"/>
      <c r="AN487" s="205"/>
      <c r="AO487" s="205"/>
      <c r="AP487" s="205"/>
      <c r="AQ487" s="205"/>
      <c r="AR487" s="205"/>
      <c r="AS487" s="205"/>
      <c r="AV487" s="205"/>
      <c r="AW487" s="205"/>
      <c r="AY487" s="205"/>
      <c r="AZ487" s="205"/>
      <c r="BD487" s="205"/>
      <c r="BF487" s="205"/>
    </row>
    <row r="488" spans="1:100" x14ac:dyDescent="0.2">
      <c r="A488" s="219"/>
      <c r="B488" s="219"/>
      <c r="C488" s="205"/>
      <c r="D488" s="205"/>
      <c r="E488" s="192"/>
      <c r="F488" s="205"/>
      <c r="G488" s="205"/>
      <c r="H488"/>
      <c r="I488" s="205"/>
      <c r="J488"/>
      <c r="K488"/>
      <c r="L488" s="205"/>
      <c r="M488" s="192"/>
      <c r="N488" s="205"/>
      <c r="O488" s="192"/>
      <c r="P488" s="192"/>
      <c r="Q488" s="205"/>
      <c r="R488" s="205"/>
      <c r="W488" s="205"/>
      <c r="X488" s="205"/>
      <c r="Y488" s="205"/>
      <c r="Z488" s="205"/>
      <c r="AA488" s="205"/>
      <c r="AB488" s="205"/>
      <c r="AC488" s="205"/>
      <c r="AD488" s="205"/>
      <c r="AL488" s="205"/>
      <c r="AM488" s="205"/>
      <c r="AN488" s="205"/>
      <c r="AO488" s="205"/>
      <c r="AP488" s="205"/>
      <c r="AQ488" s="205"/>
      <c r="AR488" s="205"/>
      <c r="AS488" s="205"/>
      <c r="AV488" s="205"/>
      <c r="AW488" s="205"/>
      <c r="AY488" s="205"/>
      <c r="AZ488" s="205"/>
      <c r="BD488" s="205"/>
      <c r="BF488" s="205"/>
    </row>
    <row r="489" spans="1:100" x14ac:dyDescent="0.2">
      <c r="A489" s="219"/>
      <c r="B489" s="219"/>
      <c r="C489" s="205"/>
      <c r="D489" s="205"/>
      <c r="E489" s="192"/>
      <c r="F489" s="205"/>
      <c r="G489" s="205"/>
      <c r="H489" s="205"/>
      <c r="I489" s="205"/>
      <c r="J489" s="205"/>
      <c r="K489" s="205"/>
      <c r="L489" s="205"/>
      <c r="M489" s="192"/>
      <c r="N489" s="205"/>
      <c r="O489" s="192"/>
      <c r="P489" s="192"/>
      <c r="Q489" s="205"/>
      <c r="R489" s="205"/>
      <c r="W489" s="205"/>
      <c r="X489" s="205"/>
      <c r="Y489" s="205"/>
      <c r="Z489" s="205"/>
      <c r="AA489" s="205"/>
      <c r="AB489" s="205"/>
      <c r="AC489" s="205"/>
      <c r="AD489" s="205"/>
      <c r="AL489" s="205"/>
      <c r="AM489" s="205"/>
      <c r="AN489" s="205"/>
      <c r="AO489" s="205"/>
      <c r="AP489" s="205"/>
      <c r="AQ489" s="205"/>
      <c r="AR489" s="205"/>
      <c r="AS489" s="205"/>
      <c r="AV489" s="205"/>
      <c r="AW489" s="205"/>
      <c r="AX489" s="205"/>
      <c r="AY489" s="205"/>
      <c r="AZ489" s="205"/>
      <c r="BA489" s="205"/>
      <c r="BB489" s="205"/>
      <c r="BD489" s="205"/>
      <c r="BF489" s="205"/>
      <c r="BG489" s="201"/>
      <c r="BJ489" s="201"/>
      <c r="BK489" s="201"/>
      <c r="BL489" s="201"/>
      <c r="BM489" s="201"/>
      <c r="BN489" s="201"/>
      <c r="BO489" s="201"/>
      <c r="BP489" s="201"/>
      <c r="BQ489" s="201"/>
      <c r="BR489" s="201"/>
      <c r="BS489" s="201"/>
      <c r="BT489" s="201"/>
      <c r="BU489" s="201"/>
      <c r="BV489" s="201"/>
      <c r="BW489" s="201"/>
      <c r="BX489" s="201"/>
      <c r="BY489" s="201"/>
      <c r="BZ489" s="201"/>
      <c r="CA489" s="201"/>
      <c r="CB489" s="201"/>
      <c r="CC489" s="201"/>
      <c r="CD489" s="201"/>
      <c r="CE489" s="201"/>
      <c r="CF489" s="201"/>
      <c r="CG489" s="201"/>
      <c r="CH489" s="201"/>
      <c r="CI489" s="201"/>
      <c r="CJ489" s="201"/>
      <c r="CK489" s="201"/>
      <c r="CL489" s="201"/>
      <c r="CM489" s="201"/>
      <c r="CN489" s="201"/>
      <c r="CO489" s="201"/>
      <c r="CP489" s="201"/>
      <c r="CQ489" s="201"/>
      <c r="CR489" s="201"/>
      <c r="CS489" s="201"/>
      <c r="CT489" s="201"/>
      <c r="CU489" s="201"/>
      <c r="CV489" s="201"/>
    </row>
    <row r="490" spans="1:100" x14ac:dyDescent="0.2">
      <c r="A490" s="219"/>
      <c r="B490" s="219"/>
      <c r="C490" s="205"/>
      <c r="D490" s="205"/>
      <c r="E490" s="192"/>
      <c r="F490" s="205"/>
      <c r="G490" s="205"/>
      <c r="H490" s="205"/>
      <c r="I490" s="205"/>
      <c r="J490" s="205"/>
      <c r="K490" s="205"/>
      <c r="L490" s="205"/>
      <c r="M490" s="192"/>
      <c r="N490" s="205"/>
      <c r="O490" s="192"/>
      <c r="P490" s="192"/>
      <c r="Q490" s="205"/>
      <c r="R490" s="205"/>
      <c r="W490" s="205"/>
      <c r="X490" s="205"/>
      <c r="Y490" s="205"/>
      <c r="Z490" s="205"/>
      <c r="AA490" s="205"/>
      <c r="AB490" s="205"/>
      <c r="AC490" s="205"/>
      <c r="AD490" s="205"/>
      <c r="AL490" s="205"/>
      <c r="AM490" s="205"/>
      <c r="AN490" s="205"/>
      <c r="AO490" s="205"/>
      <c r="AP490" s="205"/>
      <c r="AQ490" s="205"/>
      <c r="AR490" s="205"/>
      <c r="AS490" s="205"/>
      <c r="AV490" s="205"/>
      <c r="AW490" s="205"/>
      <c r="AX490" s="205"/>
      <c r="AY490" s="205"/>
      <c r="AZ490" s="205"/>
      <c r="BA490" s="205"/>
      <c r="BB490" s="205"/>
      <c r="BD490" s="205"/>
      <c r="BF490" s="205"/>
      <c r="BG490" s="201"/>
      <c r="BJ490" s="201"/>
      <c r="BK490" s="201"/>
      <c r="BL490" s="201"/>
      <c r="BM490" s="201"/>
      <c r="BN490" s="201"/>
      <c r="BO490" s="201"/>
      <c r="BP490" s="201"/>
      <c r="BQ490" s="201"/>
      <c r="BR490" s="201"/>
      <c r="BS490" s="201"/>
      <c r="BT490" s="201"/>
      <c r="BU490" s="201"/>
      <c r="BV490" s="201"/>
      <c r="BW490" s="201"/>
      <c r="BX490" s="201"/>
      <c r="BY490" s="201"/>
      <c r="BZ490" s="201"/>
      <c r="CA490" s="201"/>
      <c r="CB490" s="201"/>
      <c r="CC490" s="201"/>
      <c r="CD490" s="201"/>
      <c r="CE490" s="201"/>
      <c r="CF490" s="201"/>
      <c r="CG490" s="201"/>
      <c r="CH490" s="201"/>
      <c r="CI490" s="201"/>
      <c r="CJ490" s="201"/>
      <c r="CK490" s="201"/>
      <c r="CL490" s="201"/>
      <c r="CM490" s="201"/>
      <c r="CN490" s="201"/>
      <c r="CO490" s="201"/>
      <c r="CP490" s="201"/>
      <c r="CQ490" s="201"/>
      <c r="CR490" s="201"/>
      <c r="CS490" s="201"/>
      <c r="CT490" s="201"/>
      <c r="CU490" s="201"/>
      <c r="CV490" s="201"/>
    </row>
    <row r="491" spans="1:100" x14ac:dyDescent="0.2">
      <c r="A491" s="219"/>
      <c r="B491" s="219"/>
      <c r="C491" s="205"/>
      <c r="D491" s="205"/>
      <c r="E491" s="192"/>
      <c r="F491" s="205"/>
      <c r="G491" s="205"/>
      <c r="H491"/>
      <c r="I491" s="205"/>
      <c r="J491"/>
      <c r="K491"/>
      <c r="L491" s="205"/>
      <c r="M491" s="192"/>
      <c r="N491" s="205"/>
      <c r="O491" s="192"/>
      <c r="P491" s="192"/>
      <c r="Q491" s="205"/>
      <c r="R491" s="205"/>
      <c r="W491" s="205"/>
      <c r="X491" s="205"/>
      <c r="Y491" s="205"/>
      <c r="Z491" s="205"/>
      <c r="AA491" s="205"/>
      <c r="AB491" s="205"/>
      <c r="AC491" s="205"/>
      <c r="AD491" s="205"/>
      <c r="AL491" s="205"/>
      <c r="AM491" s="205"/>
      <c r="AN491" s="205"/>
      <c r="AO491" s="205"/>
      <c r="AP491" s="205"/>
      <c r="AQ491" s="205"/>
      <c r="AR491" s="205"/>
      <c r="AS491" s="205"/>
      <c r="AV491" s="205"/>
      <c r="AW491" s="205"/>
      <c r="AY491" s="205"/>
      <c r="AZ491" s="205"/>
      <c r="BD491" s="205"/>
      <c r="BF491" s="205"/>
    </row>
    <row r="492" spans="1:100" x14ac:dyDescent="0.2">
      <c r="A492" s="219"/>
      <c r="B492" s="219"/>
      <c r="C492" s="205"/>
      <c r="D492" s="205"/>
      <c r="E492" s="192"/>
      <c r="F492" s="205"/>
      <c r="G492" s="205"/>
      <c r="H492"/>
      <c r="I492" s="205"/>
      <c r="J492"/>
      <c r="K492"/>
      <c r="L492" s="205"/>
      <c r="M492" s="192"/>
      <c r="N492" s="205"/>
      <c r="O492" s="192"/>
      <c r="P492" s="192"/>
      <c r="Q492" s="205"/>
      <c r="R492" s="205"/>
      <c r="W492" s="205"/>
      <c r="X492" s="205"/>
      <c r="Y492" s="205"/>
      <c r="Z492" s="205"/>
      <c r="AA492" s="205"/>
      <c r="AB492" s="205"/>
      <c r="AC492" s="205"/>
      <c r="AD492" s="205"/>
      <c r="AL492" s="205"/>
      <c r="AM492" s="205"/>
      <c r="AN492" s="205"/>
      <c r="AO492" s="205"/>
      <c r="AP492" s="205"/>
      <c r="AQ492" s="205"/>
      <c r="AR492" s="205"/>
      <c r="AS492" s="205"/>
      <c r="AV492" s="205"/>
      <c r="AW492" s="205"/>
      <c r="AY492" s="205"/>
      <c r="AZ492" s="205"/>
      <c r="BD492" s="205"/>
      <c r="BF492" s="205"/>
    </row>
    <row r="493" spans="1:100" x14ac:dyDescent="0.2">
      <c r="A493" s="219"/>
      <c r="B493" s="219"/>
      <c r="C493" s="205"/>
      <c r="D493" s="205"/>
      <c r="E493" s="192"/>
      <c r="F493" s="205"/>
      <c r="G493" s="205"/>
      <c r="H493"/>
      <c r="I493" s="205"/>
      <c r="J493"/>
      <c r="K493"/>
      <c r="L493" s="205"/>
      <c r="M493" s="192"/>
      <c r="N493" s="205"/>
      <c r="O493" s="192"/>
      <c r="P493" s="192"/>
      <c r="Q493" s="205"/>
      <c r="R493" s="205"/>
      <c r="W493" s="205"/>
      <c r="X493" s="205"/>
      <c r="Y493" s="205"/>
      <c r="Z493" s="205"/>
      <c r="AA493" s="205"/>
      <c r="AB493" s="205"/>
      <c r="AC493" s="205"/>
      <c r="AD493" s="205"/>
      <c r="AL493" s="205"/>
      <c r="AM493" s="205"/>
      <c r="AN493" s="205"/>
      <c r="AO493" s="205"/>
      <c r="AP493" s="205"/>
      <c r="AQ493" s="205"/>
      <c r="AR493" s="205"/>
      <c r="AS493" s="205"/>
      <c r="AV493" s="205"/>
      <c r="AW493" s="205"/>
      <c r="AY493" s="205"/>
      <c r="AZ493" s="205"/>
      <c r="BD493" s="205"/>
      <c r="BF493" s="205"/>
    </row>
    <row r="494" spans="1:100" x14ac:dyDescent="0.2">
      <c r="A494" s="219"/>
      <c r="B494" s="219"/>
      <c r="C494" s="205"/>
      <c r="D494" s="205"/>
      <c r="E494" s="192"/>
      <c r="F494" s="205"/>
      <c r="G494" s="205"/>
      <c r="H494"/>
      <c r="I494" s="205"/>
      <c r="J494"/>
      <c r="K494"/>
      <c r="L494" s="205"/>
      <c r="M494" s="192"/>
      <c r="N494" s="205"/>
      <c r="O494" s="192"/>
      <c r="P494" s="192"/>
      <c r="Q494" s="205"/>
      <c r="R494" s="205"/>
      <c r="W494" s="205"/>
      <c r="X494" s="205"/>
      <c r="Y494" s="205"/>
      <c r="Z494" s="205"/>
      <c r="AA494" s="205"/>
      <c r="AB494" s="205"/>
      <c r="AC494" s="205"/>
      <c r="AD494" s="205"/>
      <c r="AL494" s="205"/>
      <c r="AM494" s="205"/>
      <c r="AN494" s="205"/>
      <c r="AO494" s="205"/>
      <c r="AP494" s="205"/>
      <c r="AQ494" s="205"/>
      <c r="AR494" s="205"/>
      <c r="AS494" s="205"/>
      <c r="AV494" s="205"/>
      <c r="AW494" s="205"/>
      <c r="AY494" s="205"/>
      <c r="AZ494" s="205"/>
      <c r="BD494" s="205"/>
      <c r="BF494" s="205"/>
    </row>
    <row r="495" spans="1:100" x14ac:dyDescent="0.2">
      <c r="A495" s="219"/>
      <c r="B495" s="219"/>
      <c r="C495" s="205"/>
      <c r="D495" s="205"/>
      <c r="E495" s="192"/>
      <c r="F495" s="205"/>
      <c r="G495" s="205"/>
      <c r="H495" s="205"/>
      <c r="I495" s="205"/>
      <c r="J495"/>
      <c r="K495"/>
      <c r="L495" s="205"/>
      <c r="M495" s="192"/>
      <c r="N495" s="205"/>
      <c r="O495" s="192"/>
      <c r="P495" s="192"/>
      <c r="Q495" s="205"/>
      <c r="R495" s="205"/>
      <c r="W495" s="205"/>
      <c r="X495" s="205"/>
      <c r="Y495" s="205"/>
      <c r="Z495" s="205"/>
      <c r="AA495" s="205"/>
      <c r="AB495" s="205"/>
      <c r="AC495" s="205"/>
      <c r="AD495" s="205"/>
      <c r="AL495" s="205"/>
      <c r="AM495" s="205"/>
      <c r="AN495" s="205"/>
      <c r="AO495" s="205"/>
      <c r="AP495" s="205"/>
      <c r="AQ495" s="205"/>
      <c r="AR495" s="205"/>
      <c r="AS495" s="205"/>
      <c r="AV495" s="205"/>
      <c r="AW495" s="205"/>
      <c r="AX495" s="205"/>
      <c r="AY495" s="205"/>
      <c r="AZ495" s="205"/>
      <c r="BD495" s="205"/>
      <c r="BF495" s="205"/>
    </row>
    <row r="496" spans="1:100" x14ac:dyDescent="0.2">
      <c r="A496" s="219"/>
      <c r="B496" s="219"/>
      <c r="C496" s="205"/>
      <c r="D496" s="205"/>
      <c r="E496" s="192"/>
      <c r="F496" s="205"/>
      <c r="G496" s="205"/>
      <c r="H496"/>
      <c r="I496" s="205"/>
      <c r="J496"/>
      <c r="K496"/>
      <c r="L496" s="205"/>
      <c r="M496" s="192"/>
      <c r="N496" s="205"/>
      <c r="O496" s="192"/>
      <c r="P496" s="192"/>
      <c r="Q496" s="205"/>
      <c r="R496" s="205"/>
      <c r="W496" s="205"/>
      <c r="X496" s="205"/>
      <c r="Y496" s="205"/>
      <c r="Z496" s="205"/>
      <c r="AA496" s="205"/>
      <c r="AB496" s="205"/>
      <c r="AC496" s="205"/>
      <c r="AD496" s="205"/>
      <c r="AL496" s="205"/>
      <c r="AM496" s="205"/>
      <c r="AN496" s="205"/>
      <c r="AO496" s="205"/>
      <c r="AP496" s="205"/>
      <c r="AQ496" s="205"/>
      <c r="AR496" s="205"/>
      <c r="AS496" s="205"/>
      <c r="AV496" s="205"/>
      <c r="AW496" s="205"/>
      <c r="AY496" s="205"/>
      <c r="AZ496" s="205"/>
      <c r="BD496" s="205"/>
      <c r="BF496" s="205"/>
    </row>
    <row r="497" spans="1:100" x14ac:dyDescent="0.2">
      <c r="A497" s="219"/>
      <c r="B497" s="219"/>
      <c r="C497" s="205"/>
      <c r="D497" s="205"/>
      <c r="E497" s="192"/>
      <c r="F497" s="205"/>
      <c r="G497" s="205"/>
      <c r="H497"/>
      <c r="I497" s="205"/>
      <c r="J497"/>
      <c r="K497"/>
      <c r="L497" s="205"/>
      <c r="M497" s="192"/>
      <c r="N497" s="205"/>
      <c r="O497" s="192"/>
      <c r="P497" s="192"/>
      <c r="Q497" s="205"/>
      <c r="R497" s="205"/>
      <c r="W497" s="205"/>
      <c r="X497" s="205"/>
      <c r="Y497" s="205"/>
      <c r="Z497" s="205"/>
      <c r="AA497" s="205"/>
      <c r="AB497" s="205"/>
      <c r="AC497" s="205"/>
      <c r="AD497" s="205"/>
      <c r="AL497" s="205"/>
      <c r="AM497" s="205"/>
      <c r="AN497" s="205"/>
      <c r="AO497" s="205"/>
      <c r="AP497" s="205"/>
      <c r="AQ497" s="205"/>
      <c r="AR497" s="205"/>
      <c r="AS497" s="205"/>
      <c r="AV497" s="205"/>
      <c r="AW497" s="205"/>
      <c r="AY497" s="205"/>
      <c r="AZ497" s="205"/>
      <c r="BD497" s="205"/>
      <c r="BF497" s="205"/>
    </row>
    <row r="498" spans="1:100" x14ac:dyDescent="0.2">
      <c r="A498" s="219"/>
      <c r="B498" s="219"/>
      <c r="C498" s="205"/>
      <c r="D498" s="205"/>
      <c r="E498" s="192"/>
      <c r="F498" s="205"/>
      <c r="G498" s="205"/>
      <c r="H498"/>
      <c r="I498" s="205"/>
      <c r="J498"/>
      <c r="K498"/>
      <c r="L498" s="205"/>
      <c r="M498" s="192"/>
      <c r="N498" s="205"/>
      <c r="O498" s="192"/>
      <c r="P498" s="192"/>
      <c r="Q498" s="205"/>
      <c r="R498" s="205"/>
      <c r="W498" s="205"/>
      <c r="X498" s="205"/>
      <c r="Y498" s="205"/>
      <c r="Z498" s="205"/>
      <c r="AA498" s="205"/>
      <c r="AB498" s="205"/>
      <c r="AC498" s="205"/>
      <c r="AD498" s="205"/>
      <c r="AL498" s="205"/>
      <c r="AM498" s="205"/>
      <c r="AN498" s="205"/>
      <c r="AO498" s="205"/>
      <c r="AP498" s="205"/>
      <c r="AQ498" s="205"/>
      <c r="AR498" s="205"/>
      <c r="AS498" s="205"/>
      <c r="AV498" s="205"/>
      <c r="AW498" s="205"/>
      <c r="AY498" s="205"/>
      <c r="AZ498" s="205"/>
      <c r="BD498" s="205"/>
      <c r="BF498" s="205"/>
    </row>
    <row r="499" spans="1:100" x14ac:dyDescent="0.2">
      <c r="A499" s="219"/>
      <c r="B499" s="219"/>
      <c r="C499" s="205"/>
      <c r="D499" s="205"/>
      <c r="E499" s="192"/>
      <c r="F499" s="205"/>
      <c r="G499" s="205"/>
      <c r="H499"/>
      <c r="I499" s="205"/>
      <c r="J499"/>
      <c r="K499"/>
      <c r="L499" s="205"/>
      <c r="M499" s="192"/>
      <c r="N499" s="205"/>
      <c r="O499" s="192"/>
      <c r="P499" s="192"/>
      <c r="Q499" s="205"/>
      <c r="R499" s="205"/>
      <c r="W499" s="205"/>
      <c r="X499" s="205"/>
      <c r="Y499" s="205"/>
      <c r="Z499" s="205"/>
      <c r="AA499" s="205"/>
      <c r="AB499" s="205"/>
      <c r="AC499" s="205"/>
      <c r="AD499" s="205"/>
      <c r="AL499" s="205"/>
      <c r="AM499" s="205"/>
      <c r="AN499" s="205"/>
      <c r="AO499" s="205"/>
      <c r="AP499" s="205"/>
      <c r="AQ499" s="205"/>
      <c r="AR499" s="205"/>
      <c r="AS499" s="205"/>
      <c r="AV499" s="205"/>
      <c r="AW499" s="205"/>
      <c r="AY499" s="205"/>
      <c r="AZ499" s="205"/>
      <c r="BD499" s="205"/>
      <c r="BF499" s="205"/>
    </row>
    <row r="500" spans="1:100" x14ac:dyDescent="0.2">
      <c r="A500" s="219"/>
      <c r="B500" s="219"/>
      <c r="C500" s="205"/>
      <c r="D500" s="205"/>
      <c r="E500" s="192"/>
      <c r="F500" s="205"/>
      <c r="G500" s="205"/>
      <c r="H500"/>
      <c r="I500" s="205"/>
      <c r="J500"/>
      <c r="K500"/>
      <c r="L500" s="205"/>
      <c r="M500" s="192"/>
      <c r="N500" s="205"/>
      <c r="O500" s="192"/>
      <c r="P500" s="192"/>
      <c r="Q500" s="205"/>
      <c r="R500" s="205"/>
      <c r="W500" s="205"/>
      <c r="X500" s="205"/>
      <c r="Y500" s="205"/>
      <c r="Z500" s="205"/>
      <c r="AA500" s="205"/>
      <c r="AB500" s="205"/>
      <c r="AC500" s="205"/>
      <c r="AD500" s="205"/>
      <c r="AL500" s="205"/>
      <c r="AM500" s="205"/>
      <c r="AN500" s="205"/>
      <c r="AO500" s="205"/>
      <c r="AP500" s="205"/>
      <c r="AQ500" s="205"/>
      <c r="AR500" s="205"/>
      <c r="AS500" s="205"/>
      <c r="AV500" s="205"/>
      <c r="AW500" s="205"/>
      <c r="AY500" s="205"/>
      <c r="AZ500" s="205"/>
      <c r="BD500" s="205"/>
      <c r="BF500" s="205"/>
    </row>
    <row r="501" spans="1:100" x14ac:dyDescent="0.2">
      <c r="A501" s="219"/>
      <c r="B501" s="219"/>
      <c r="C501" s="205"/>
      <c r="D501" s="205"/>
      <c r="E501" s="192"/>
      <c r="F501" s="205"/>
      <c r="G501" s="205"/>
      <c r="H501"/>
      <c r="I501" s="205"/>
      <c r="J501"/>
      <c r="K501"/>
      <c r="L501" s="205"/>
      <c r="M501" s="192"/>
      <c r="N501" s="205"/>
      <c r="O501" s="192"/>
      <c r="P501" s="192"/>
      <c r="Q501" s="205"/>
      <c r="R501" s="205"/>
      <c r="W501" s="205"/>
      <c r="X501" s="205"/>
      <c r="Y501" s="205"/>
      <c r="Z501" s="205"/>
      <c r="AA501" s="205"/>
      <c r="AB501" s="205"/>
      <c r="AC501" s="205"/>
      <c r="AD501" s="205"/>
      <c r="AL501" s="205"/>
      <c r="AM501" s="205"/>
      <c r="AN501" s="205"/>
      <c r="AO501" s="205"/>
      <c r="AP501" s="205"/>
      <c r="AQ501" s="205"/>
      <c r="AR501" s="205"/>
      <c r="AS501" s="205"/>
      <c r="AV501" s="205"/>
      <c r="AW501" s="205"/>
      <c r="AY501" s="205"/>
      <c r="AZ501" s="205"/>
      <c r="BD501" s="205"/>
      <c r="BF501" s="205"/>
    </row>
    <row r="502" spans="1:100" x14ac:dyDescent="0.2">
      <c r="A502" s="219"/>
      <c r="B502" s="219"/>
      <c r="C502" s="205"/>
      <c r="D502" s="205"/>
      <c r="E502" s="192"/>
      <c r="F502" s="205"/>
      <c r="G502" s="205"/>
      <c r="H502"/>
      <c r="I502" s="205"/>
      <c r="J502"/>
      <c r="K502"/>
      <c r="L502" s="205"/>
      <c r="M502" s="192"/>
      <c r="N502" s="205"/>
      <c r="O502" s="192"/>
      <c r="P502" s="192"/>
      <c r="Q502" s="205"/>
      <c r="R502" s="205"/>
      <c r="W502" s="205"/>
      <c r="X502" s="205"/>
      <c r="Y502" s="205"/>
      <c r="Z502" s="205"/>
      <c r="AA502" s="205"/>
      <c r="AB502" s="205"/>
      <c r="AC502" s="205"/>
      <c r="AD502" s="205"/>
      <c r="AL502" s="205"/>
      <c r="AM502" s="205"/>
      <c r="AN502" s="205"/>
      <c r="AO502" s="205"/>
      <c r="AP502" s="205"/>
      <c r="AQ502" s="205"/>
      <c r="AR502" s="205"/>
      <c r="AS502" s="205"/>
      <c r="AV502" s="205"/>
      <c r="AW502" s="205"/>
      <c r="AY502" s="205"/>
      <c r="AZ502" s="205"/>
      <c r="BD502" s="205"/>
      <c r="BF502" s="205"/>
    </row>
    <row r="503" spans="1:100" x14ac:dyDescent="0.2">
      <c r="A503" s="219"/>
      <c r="B503" s="219"/>
      <c r="C503" s="205"/>
      <c r="D503" s="205"/>
      <c r="E503" s="192"/>
      <c r="F503" s="205"/>
      <c r="G503" s="205"/>
      <c r="H503"/>
      <c r="I503" s="205"/>
      <c r="J503"/>
      <c r="K503"/>
      <c r="L503" s="205"/>
      <c r="M503" s="192"/>
      <c r="N503" s="205"/>
      <c r="O503" s="192"/>
      <c r="P503" s="192"/>
      <c r="Q503" s="205"/>
      <c r="R503" s="205"/>
      <c r="W503" s="205"/>
      <c r="X503" s="205"/>
      <c r="Y503" s="205"/>
      <c r="Z503" s="205"/>
      <c r="AA503" s="205"/>
      <c r="AB503" s="205"/>
      <c r="AC503" s="205"/>
      <c r="AD503" s="205"/>
      <c r="AL503" s="205"/>
      <c r="AM503" s="205"/>
      <c r="AN503" s="205"/>
      <c r="AO503" s="205"/>
      <c r="AP503" s="205"/>
      <c r="AQ503" s="205"/>
      <c r="AR503" s="205"/>
      <c r="AS503" s="205"/>
      <c r="AV503" s="205"/>
      <c r="AW503" s="205"/>
      <c r="AY503" s="205"/>
      <c r="AZ503" s="205"/>
      <c r="BD503" s="205"/>
      <c r="BF503" s="205"/>
    </row>
    <row r="504" spans="1:100" x14ac:dyDescent="0.2">
      <c r="A504" s="219"/>
      <c r="B504" s="219"/>
      <c r="C504" s="205"/>
      <c r="D504" s="205"/>
      <c r="E504" s="192"/>
      <c r="F504" s="205"/>
      <c r="G504" s="205"/>
      <c r="H504"/>
      <c r="I504" s="205"/>
      <c r="J504"/>
      <c r="K504"/>
      <c r="L504" s="205"/>
      <c r="M504" s="192"/>
      <c r="N504" s="205"/>
      <c r="O504" s="192"/>
      <c r="P504" s="192"/>
      <c r="Q504" s="205"/>
      <c r="R504" s="205"/>
      <c r="W504" s="205"/>
      <c r="X504" s="205"/>
      <c r="Y504" s="205"/>
      <c r="Z504" s="205"/>
      <c r="AA504" s="205"/>
      <c r="AB504" s="205"/>
      <c r="AC504" s="205"/>
      <c r="AD504" s="205"/>
      <c r="AL504" s="205"/>
      <c r="AM504" s="205"/>
      <c r="AN504" s="205"/>
      <c r="AO504" s="205"/>
      <c r="AP504" s="205"/>
      <c r="AQ504" s="205"/>
      <c r="AR504" s="205"/>
      <c r="AS504" s="205"/>
      <c r="AV504" s="205"/>
      <c r="AW504" s="205"/>
      <c r="AY504" s="205"/>
      <c r="AZ504" s="205"/>
      <c r="BD504" s="205"/>
      <c r="BF504" s="205"/>
    </row>
    <row r="505" spans="1:100" x14ac:dyDescent="0.2">
      <c r="A505" s="219"/>
      <c r="B505" s="219"/>
      <c r="C505" s="205"/>
      <c r="D505" s="205"/>
      <c r="E505" s="192"/>
      <c r="F505" s="205"/>
      <c r="G505" s="205"/>
      <c r="H505"/>
      <c r="I505" s="205"/>
      <c r="J505"/>
      <c r="K505"/>
      <c r="L505" s="205"/>
      <c r="M505" s="192"/>
      <c r="N505" s="205"/>
      <c r="O505" s="192"/>
      <c r="P505" s="192"/>
      <c r="Q505" s="205"/>
      <c r="R505" s="205"/>
      <c r="W505" s="205"/>
      <c r="X505" s="205"/>
      <c r="Y505" s="205"/>
      <c r="Z505" s="205"/>
      <c r="AA505" s="205"/>
      <c r="AB505" s="205"/>
      <c r="AC505" s="205"/>
      <c r="AD505" s="205"/>
      <c r="AL505" s="205"/>
      <c r="AM505" s="205"/>
      <c r="AN505" s="205"/>
      <c r="AO505" s="205"/>
      <c r="AP505" s="205"/>
      <c r="AQ505" s="205"/>
      <c r="AR505" s="205"/>
      <c r="AS505" s="205"/>
      <c r="AV505" s="205"/>
      <c r="AW505" s="205"/>
      <c r="AY505" s="205"/>
      <c r="AZ505" s="205"/>
      <c r="BD505" s="205"/>
      <c r="BF505" s="205"/>
    </row>
    <row r="506" spans="1:100" x14ac:dyDescent="0.2">
      <c r="A506" s="219"/>
      <c r="B506" s="219"/>
      <c r="C506" s="205"/>
      <c r="D506" s="205"/>
      <c r="E506" s="192"/>
      <c r="F506" s="205"/>
      <c r="G506" s="205"/>
      <c r="H506"/>
      <c r="I506" s="205"/>
      <c r="J506"/>
      <c r="K506"/>
      <c r="L506" s="205"/>
      <c r="M506" s="192"/>
      <c r="N506" s="205"/>
      <c r="O506" s="192"/>
      <c r="P506" s="192"/>
      <c r="Q506" s="205"/>
      <c r="R506" s="205"/>
      <c r="W506" s="205"/>
      <c r="X506" s="205"/>
      <c r="Y506" s="205"/>
      <c r="Z506" s="205"/>
      <c r="AA506" s="205"/>
      <c r="AB506" s="205"/>
      <c r="AC506" s="205"/>
      <c r="AD506" s="205"/>
      <c r="AL506" s="205"/>
      <c r="AM506" s="205"/>
      <c r="AN506" s="205"/>
      <c r="AO506" s="205"/>
      <c r="AP506" s="205"/>
      <c r="AQ506" s="205"/>
      <c r="AR506" s="205"/>
      <c r="AS506" s="205"/>
      <c r="AV506" s="205"/>
      <c r="AW506" s="205"/>
      <c r="AY506" s="205"/>
      <c r="AZ506" s="205"/>
      <c r="BD506" s="205"/>
      <c r="BF506" s="205"/>
    </row>
    <row r="507" spans="1:100" x14ac:dyDescent="0.2">
      <c r="A507" s="219"/>
      <c r="B507" s="219"/>
      <c r="C507" s="205"/>
      <c r="D507" s="205"/>
      <c r="E507" s="192"/>
      <c r="F507" s="205"/>
      <c r="G507" s="205"/>
      <c r="H507" s="205"/>
      <c r="I507" s="205"/>
      <c r="J507"/>
      <c r="K507"/>
      <c r="L507" s="205"/>
      <c r="M507" s="192"/>
      <c r="N507" s="205"/>
      <c r="O507" s="192"/>
      <c r="P507" s="192"/>
      <c r="Q507" s="205"/>
      <c r="R507" s="205"/>
      <c r="W507" s="205"/>
      <c r="X507" s="205"/>
      <c r="Y507" s="205"/>
      <c r="Z507" s="205"/>
      <c r="AA507" s="205"/>
      <c r="AB507" s="205"/>
      <c r="AC507" s="205"/>
      <c r="AD507" s="205"/>
      <c r="AL507" s="205"/>
      <c r="AM507" s="205"/>
      <c r="AN507" s="205"/>
      <c r="AO507" s="205"/>
      <c r="AP507" s="205"/>
      <c r="AQ507" s="205"/>
      <c r="AR507" s="205"/>
      <c r="AS507" s="205"/>
      <c r="AV507" s="205"/>
      <c r="AW507" s="205"/>
      <c r="AX507" s="205"/>
      <c r="AY507" s="205"/>
      <c r="AZ507" s="205"/>
      <c r="BD507" s="205"/>
      <c r="BF507" s="205"/>
    </row>
    <row r="508" spans="1:100" x14ac:dyDescent="0.2">
      <c r="A508" s="219"/>
      <c r="B508" s="219"/>
      <c r="C508" s="205"/>
      <c r="D508" s="205"/>
      <c r="E508" s="192"/>
      <c r="F508" s="205"/>
      <c r="G508" s="205"/>
      <c r="H508"/>
      <c r="I508" s="205"/>
      <c r="J508"/>
      <c r="K508"/>
      <c r="L508" s="205"/>
      <c r="M508" s="192"/>
      <c r="N508" s="205"/>
      <c r="O508" s="192"/>
      <c r="P508" s="192"/>
      <c r="Q508" s="205"/>
      <c r="R508" s="205"/>
      <c r="W508" s="205"/>
      <c r="X508" s="205"/>
      <c r="Y508" s="205"/>
      <c r="Z508" s="205"/>
      <c r="AA508" s="205"/>
      <c r="AB508" s="205"/>
      <c r="AC508" s="205"/>
      <c r="AD508" s="205"/>
      <c r="AL508" s="205"/>
      <c r="AM508" s="205"/>
      <c r="AN508" s="205"/>
      <c r="AO508" s="205"/>
      <c r="AP508" s="205"/>
      <c r="AQ508" s="205"/>
      <c r="AR508" s="205"/>
      <c r="AS508" s="205"/>
      <c r="AV508" s="205"/>
      <c r="AW508" s="205"/>
      <c r="AY508" s="205"/>
      <c r="AZ508" s="205"/>
      <c r="BD508" s="205"/>
      <c r="BF508" s="205"/>
    </row>
    <row r="509" spans="1:100" x14ac:dyDescent="0.2">
      <c r="A509" s="219"/>
      <c r="B509" s="219"/>
      <c r="C509" s="205"/>
      <c r="D509" s="205"/>
      <c r="E509" s="192"/>
      <c r="F509" s="205"/>
      <c r="G509" s="205"/>
      <c r="H509" s="205"/>
      <c r="I509" s="205"/>
      <c r="J509"/>
      <c r="K509"/>
      <c r="L509" s="205"/>
      <c r="M509" s="192"/>
      <c r="N509" s="205"/>
      <c r="O509" s="192"/>
      <c r="P509" s="192"/>
      <c r="Q509" s="205"/>
      <c r="R509" s="205"/>
      <c r="W509" s="205"/>
      <c r="X509" s="205"/>
      <c r="Y509" s="205"/>
      <c r="Z509" s="205"/>
      <c r="AA509" s="205"/>
      <c r="AB509" s="205"/>
      <c r="AC509" s="205"/>
      <c r="AD509" s="205"/>
      <c r="AL509" s="205"/>
      <c r="AM509" s="205"/>
      <c r="AN509" s="205"/>
      <c r="AO509" s="205"/>
      <c r="AP509" s="205"/>
      <c r="AQ509" s="205"/>
      <c r="AR509" s="205"/>
      <c r="AS509" s="205"/>
      <c r="AV509" s="205"/>
      <c r="AW509" s="205"/>
      <c r="AX509" s="205"/>
      <c r="AY509" s="205"/>
      <c r="AZ509" s="205"/>
      <c r="BD509" s="205"/>
      <c r="BF509" s="205"/>
    </row>
    <row r="510" spans="1:100" x14ac:dyDescent="0.2">
      <c r="A510" s="219"/>
      <c r="B510" s="219"/>
      <c r="C510" s="205"/>
      <c r="D510" s="205"/>
      <c r="E510" s="192"/>
      <c r="F510" s="205"/>
      <c r="G510" s="205"/>
      <c r="H510"/>
      <c r="I510" s="205"/>
      <c r="J510"/>
      <c r="K510"/>
      <c r="L510" s="205"/>
      <c r="M510" s="192"/>
      <c r="N510" s="205"/>
      <c r="O510" s="192"/>
      <c r="P510" s="192"/>
      <c r="Q510" s="205"/>
      <c r="R510" s="205"/>
      <c r="W510" s="205"/>
      <c r="X510" s="205"/>
      <c r="Y510" s="205"/>
      <c r="Z510" s="205"/>
      <c r="AA510" s="205"/>
      <c r="AB510" s="205"/>
      <c r="AC510" s="205"/>
      <c r="AD510" s="205"/>
      <c r="AL510" s="205"/>
      <c r="AM510" s="205"/>
      <c r="AN510" s="205"/>
      <c r="AO510" s="205"/>
      <c r="AP510" s="205"/>
      <c r="AQ510" s="205"/>
      <c r="AR510" s="205"/>
      <c r="AS510" s="205"/>
      <c r="AV510" s="205"/>
      <c r="AW510" s="205"/>
      <c r="AY510" s="205"/>
      <c r="AZ510" s="205"/>
      <c r="BD510" s="205"/>
      <c r="BF510" s="205"/>
    </row>
    <row r="511" spans="1:100" x14ac:dyDescent="0.2">
      <c r="A511" s="219"/>
      <c r="B511" s="219"/>
      <c r="C511" s="205"/>
      <c r="D511" s="205"/>
      <c r="E511" s="192"/>
      <c r="F511" s="205"/>
      <c r="G511" s="205"/>
      <c r="H511" s="205"/>
      <c r="I511" s="205"/>
      <c r="J511" s="205"/>
      <c r="K511" s="205"/>
      <c r="L511" s="205"/>
      <c r="M511" s="192"/>
      <c r="N511" s="205"/>
      <c r="O511" s="192"/>
      <c r="P511" s="192"/>
      <c r="Q511" s="205"/>
      <c r="R511" s="205"/>
      <c r="W511" s="205"/>
      <c r="X511" s="205"/>
      <c r="Y511" s="205"/>
      <c r="Z511" s="205"/>
      <c r="AA511" s="205"/>
      <c r="AB511" s="205"/>
      <c r="AC511" s="205"/>
      <c r="AD511" s="205"/>
      <c r="AL511" s="205"/>
      <c r="AM511" s="205"/>
      <c r="AN511" s="205"/>
      <c r="AO511" s="205"/>
      <c r="AP511" s="205"/>
      <c r="AQ511" s="205"/>
      <c r="AR511" s="205"/>
      <c r="AS511" s="205"/>
      <c r="AV511" s="205"/>
      <c r="AW511" s="205"/>
      <c r="AX511" s="205"/>
      <c r="AY511" s="205"/>
      <c r="AZ511" s="205"/>
      <c r="BA511" s="205"/>
      <c r="BB511" s="205"/>
      <c r="BD511" s="205"/>
      <c r="BF511" s="205"/>
      <c r="BG511" s="201"/>
      <c r="BJ511" s="201"/>
      <c r="BK511" s="201"/>
      <c r="BL511" s="201"/>
      <c r="BM511" s="201"/>
      <c r="BN511" s="201"/>
      <c r="BO511" s="201"/>
      <c r="BP511" s="201"/>
      <c r="BQ511" s="201"/>
      <c r="BR511" s="201"/>
      <c r="BS511" s="201"/>
      <c r="BT511" s="201"/>
      <c r="BU511" s="201"/>
      <c r="BV511" s="201"/>
      <c r="BW511" s="201"/>
      <c r="BX511" s="201"/>
      <c r="BY511" s="201"/>
      <c r="BZ511" s="201"/>
      <c r="CA511" s="201"/>
      <c r="CB511" s="201"/>
      <c r="CC511" s="201"/>
      <c r="CD511" s="201"/>
      <c r="CE511" s="201"/>
      <c r="CF511" s="201"/>
      <c r="CG511" s="201"/>
      <c r="CH511" s="201"/>
      <c r="CI511" s="201"/>
      <c r="CJ511" s="201"/>
      <c r="CK511" s="201"/>
      <c r="CL511" s="201"/>
      <c r="CM511" s="201"/>
      <c r="CN511" s="201"/>
      <c r="CP511" s="201"/>
      <c r="CQ511" s="201"/>
      <c r="CR511" s="201"/>
      <c r="CS511" s="201"/>
      <c r="CT511" s="201"/>
      <c r="CU511" s="201"/>
      <c r="CV511" s="201"/>
    </row>
    <row r="512" spans="1:100" x14ac:dyDescent="0.2">
      <c r="A512" s="219"/>
      <c r="B512" s="219"/>
      <c r="C512" s="205"/>
      <c r="D512" s="205"/>
      <c r="E512" s="192"/>
      <c r="F512" s="205"/>
      <c r="G512" s="205"/>
      <c r="H512"/>
      <c r="I512" s="205"/>
      <c r="J512"/>
      <c r="K512"/>
      <c r="L512" s="205"/>
      <c r="M512" s="192"/>
      <c r="N512" s="205"/>
      <c r="O512" s="192"/>
      <c r="P512" s="192"/>
      <c r="Q512" s="205"/>
      <c r="R512" s="205"/>
      <c r="W512" s="205"/>
      <c r="X512" s="205"/>
      <c r="Y512" s="205"/>
      <c r="Z512" s="205"/>
      <c r="AA512" s="205"/>
      <c r="AB512" s="205"/>
      <c r="AC512" s="205"/>
      <c r="AD512" s="205"/>
      <c r="AL512" s="205"/>
      <c r="AM512" s="205"/>
      <c r="AN512" s="205"/>
      <c r="AO512" s="205"/>
      <c r="AP512" s="205"/>
      <c r="AQ512" s="205"/>
      <c r="AR512" s="205"/>
      <c r="AS512" s="205"/>
      <c r="AV512" s="205"/>
      <c r="AW512" s="205"/>
      <c r="AY512" s="205"/>
      <c r="AZ512" s="205"/>
      <c r="BD512" s="205"/>
      <c r="BF512" s="205"/>
    </row>
    <row r="513" spans="1:58" x14ac:dyDescent="0.2">
      <c r="A513" s="219"/>
      <c r="B513" s="219"/>
      <c r="C513" s="205"/>
      <c r="D513" s="205"/>
      <c r="E513" s="192"/>
      <c r="F513" s="205"/>
      <c r="G513" s="205"/>
      <c r="H513"/>
      <c r="I513" s="205"/>
      <c r="J513"/>
      <c r="K513"/>
      <c r="L513" s="205"/>
      <c r="M513" s="192"/>
      <c r="N513" s="205"/>
      <c r="O513" s="192"/>
      <c r="P513" s="192"/>
      <c r="Q513" s="205"/>
      <c r="R513" s="205"/>
      <c r="W513" s="205"/>
      <c r="X513" s="205"/>
      <c r="Y513" s="205"/>
      <c r="Z513" s="205"/>
      <c r="AA513" s="205"/>
      <c r="AB513" s="205"/>
      <c r="AC513" s="205"/>
      <c r="AD513" s="205"/>
      <c r="AL513" s="205"/>
      <c r="AM513" s="205"/>
      <c r="AN513" s="205"/>
      <c r="AO513" s="205"/>
      <c r="AP513" s="205"/>
      <c r="AQ513" s="205"/>
      <c r="AR513" s="205"/>
      <c r="AS513" s="205"/>
      <c r="AV513" s="205"/>
      <c r="AW513" s="205"/>
      <c r="AY513" s="205"/>
      <c r="AZ513" s="205"/>
      <c r="BD513" s="205"/>
      <c r="BF513" s="205"/>
    </row>
    <row r="514" spans="1:58" x14ac:dyDescent="0.2">
      <c r="A514" s="219"/>
      <c r="B514" s="219"/>
      <c r="C514" s="205"/>
      <c r="D514" s="205"/>
      <c r="E514" s="192"/>
      <c r="F514" s="205"/>
      <c r="G514" s="205"/>
      <c r="H514"/>
      <c r="I514" s="205"/>
      <c r="J514"/>
      <c r="K514"/>
      <c r="L514" s="205"/>
      <c r="M514" s="192"/>
      <c r="N514" s="205"/>
      <c r="O514" s="192"/>
      <c r="P514" s="192"/>
      <c r="Q514" s="205"/>
      <c r="R514" s="205"/>
      <c r="W514" s="205"/>
      <c r="X514" s="205"/>
      <c r="Y514" s="205"/>
      <c r="Z514" s="205"/>
      <c r="AA514" s="205"/>
      <c r="AB514" s="205"/>
      <c r="AC514" s="205"/>
      <c r="AD514" s="205"/>
      <c r="AL514" s="205"/>
      <c r="AM514" s="205"/>
      <c r="AN514" s="205"/>
      <c r="AO514" s="205"/>
      <c r="AP514" s="205"/>
      <c r="AQ514" s="205"/>
      <c r="AR514" s="205"/>
      <c r="AS514" s="205"/>
      <c r="AV514" s="205"/>
      <c r="AW514" s="205"/>
      <c r="AY514" s="205"/>
      <c r="AZ514" s="205"/>
      <c r="BD514" s="205"/>
      <c r="BF514" s="205"/>
    </row>
    <row r="515" spans="1:58" x14ac:dyDescent="0.2">
      <c r="A515" s="219"/>
      <c r="B515" s="219"/>
      <c r="C515" s="205"/>
      <c r="D515" s="205"/>
      <c r="E515" s="192"/>
      <c r="F515" s="205"/>
      <c r="G515" s="205"/>
      <c r="H515"/>
      <c r="I515" s="205"/>
      <c r="J515"/>
      <c r="K515"/>
      <c r="L515" s="205"/>
      <c r="M515" s="192"/>
      <c r="N515" s="205"/>
      <c r="O515" s="192"/>
      <c r="P515" s="192"/>
      <c r="Q515" s="205"/>
      <c r="R515" s="205"/>
      <c r="W515" s="205"/>
      <c r="X515" s="205"/>
      <c r="Y515" s="205"/>
      <c r="Z515" s="205"/>
      <c r="AA515" s="205"/>
      <c r="AB515" s="205"/>
      <c r="AC515" s="205"/>
      <c r="AD515" s="205"/>
      <c r="AL515" s="205"/>
      <c r="AM515" s="205"/>
      <c r="AN515" s="205"/>
      <c r="AO515" s="205"/>
      <c r="AP515" s="205"/>
      <c r="AQ515" s="205"/>
      <c r="AR515" s="205"/>
      <c r="AS515" s="205"/>
      <c r="AV515" s="205"/>
      <c r="AW515" s="205"/>
      <c r="AY515" s="205"/>
      <c r="AZ515" s="205"/>
      <c r="BD515" s="205"/>
      <c r="BF515" s="205"/>
    </row>
    <row r="516" spans="1:58" x14ac:dyDescent="0.2">
      <c r="A516" s="219"/>
      <c r="B516" s="219"/>
      <c r="C516" s="205"/>
      <c r="D516" s="205"/>
      <c r="E516" s="192"/>
      <c r="F516" s="205"/>
      <c r="G516" s="205"/>
      <c r="H516"/>
      <c r="I516" s="205"/>
      <c r="J516"/>
      <c r="K516"/>
      <c r="L516" s="205"/>
      <c r="M516" s="192"/>
      <c r="N516" s="205"/>
      <c r="O516" s="192"/>
      <c r="P516" s="192"/>
      <c r="Q516" s="205"/>
      <c r="R516" s="205"/>
      <c r="W516" s="205"/>
      <c r="X516" s="205"/>
      <c r="Y516" s="205"/>
      <c r="Z516" s="205"/>
      <c r="AA516" s="205"/>
      <c r="AB516" s="205"/>
      <c r="AC516" s="205"/>
      <c r="AD516" s="205"/>
      <c r="AL516" s="205"/>
      <c r="AM516" s="205"/>
      <c r="AN516" s="205"/>
      <c r="AO516" s="205"/>
      <c r="AP516" s="205"/>
      <c r="AQ516" s="205"/>
      <c r="AR516" s="205"/>
      <c r="AS516" s="205"/>
      <c r="AV516" s="205"/>
      <c r="AW516" s="205"/>
      <c r="AY516" s="205"/>
      <c r="AZ516" s="205"/>
      <c r="BD516" s="205"/>
      <c r="BF516" s="205"/>
    </row>
    <row r="517" spans="1:58" x14ac:dyDescent="0.2">
      <c r="A517" s="219"/>
      <c r="B517" s="219"/>
      <c r="C517" s="205"/>
      <c r="D517" s="205"/>
      <c r="E517" s="192"/>
      <c r="F517" s="205"/>
      <c r="G517" s="205"/>
      <c r="H517"/>
      <c r="I517" s="205"/>
      <c r="J517"/>
      <c r="K517"/>
      <c r="L517" s="205"/>
      <c r="M517" s="192"/>
      <c r="N517" s="205"/>
      <c r="O517" s="192"/>
      <c r="P517" s="192"/>
      <c r="Q517" s="205"/>
      <c r="R517" s="205"/>
      <c r="W517" s="205"/>
      <c r="X517" s="205"/>
      <c r="Y517" s="205"/>
      <c r="Z517" s="205"/>
      <c r="AA517" s="205"/>
      <c r="AB517" s="205"/>
      <c r="AC517" s="205"/>
      <c r="AD517" s="205"/>
      <c r="AL517" s="205"/>
      <c r="AM517" s="205"/>
      <c r="AN517" s="205"/>
      <c r="AO517" s="205"/>
      <c r="AP517" s="205"/>
      <c r="AQ517" s="205"/>
      <c r="AR517" s="205"/>
      <c r="AS517" s="205"/>
      <c r="AV517" s="205"/>
      <c r="AW517" s="205"/>
      <c r="AY517" s="205"/>
      <c r="AZ517" s="205"/>
      <c r="BD517" s="205"/>
      <c r="BF517" s="205"/>
    </row>
    <row r="518" spans="1:58" x14ac:dyDescent="0.2">
      <c r="A518" s="219"/>
      <c r="B518" s="219"/>
      <c r="C518" s="205"/>
      <c r="D518" s="205"/>
      <c r="E518" s="192"/>
      <c r="F518" s="205"/>
      <c r="G518" s="205"/>
      <c r="H518"/>
      <c r="I518" s="205"/>
      <c r="J518"/>
      <c r="K518"/>
      <c r="L518" s="205"/>
      <c r="M518" s="192"/>
      <c r="N518" s="205"/>
      <c r="O518" s="192"/>
      <c r="P518" s="192"/>
      <c r="Q518" s="205"/>
      <c r="R518" s="205"/>
      <c r="W518" s="205"/>
      <c r="X518" s="205"/>
      <c r="Y518" s="205"/>
      <c r="Z518" s="205"/>
      <c r="AA518" s="205"/>
      <c r="AB518" s="205"/>
      <c r="AC518" s="205"/>
      <c r="AD518" s="205"/>
      <c r="AL518" s="205"/>
      <c r="AM518" s="205"/>
      <c r="AN518" s="205"/>
      <c r="AO518" s="205"/>
      <c r="AP518" s="205"/>
      <c r="AQ518" s="205"/>
      <c r="AR518" s="205"/>
      <c r="AS518" s="205"/>
      <c r="AV518" s="205"/>
      <c r="AW518" s="205"/>
      <c r="AY518" s="205"/>
      <c r="AZ518" s="205"/>
      <c r="BD518" s="205"/>
      <c r="BF518" s="205"/>
    </row>
    <row r="519" spans="1:58" x14ac:dyDescent="0.2">
      <c r="A519" s="219"/>
      <c r="B519" s="219"/>
      <c r="C519" s="205"/>
      <c r="D519" s="205"/>
      <c r="E519" s="192"/>
      <c r="F519" s="205"/>
      <c r="G519" s="205"/>
      <c r="H519" s="205"/>
      <c r="O519" s="192"/>
      <c r="P519" s="192"/>
      <c r="Q519" s="205"/>
      <c r="AB519" s="205"/>
      <c r="AC519" s="205"/>
      <c r="AE519"/>
    </row>
    <row r="520" spans="1:58" x14ac:dyDescent="0.2">
      <c r="A520" s="219"/>
      <c r="B520" s="219"/>
      <c r="C520" s="205"/>
      <c r="D520" s="205"/>
      <c r="E520" s="192"/>
      <c r="F520" s="205"/>
      <c r="G520" s="205"/>
      <c r="H520" s="205"/>
      <c r="O520" s="192"/>
      <c r="P520" s="192"/>
      <c r="Q520" s="205"/>
      <c r="AB520" s="205"/>
      <c r="AC520" s="205"/>
      <c r="AE520"/>
    </row>
    <row r="521" spans="1:58" x14ac:dyDescent="0.2">
      <c r="A521" s="219"/>
      <c r="B521" s="219"/>
      <c r="C521" s="205"/>
      <c r="D521" s="205"/>
      <c r="E521" s="192"/>
      <c r="F521" s="205"/>
      <c r="G521" s="205"/>
      <c r="H521" s="205"/>
      <c r="O521" s="192"/>
      <c r="P521" s="192"/>
      <c r="Q521" s="205"/>
      <c r="AB521" s="205"/>
      <c r="AC521" s="205"/>
      <c r="AE521"/>
    </row>
    <row r="522" spans="1:58" x14ac:dyDescent="0.2">
      <c r="A522" s="219"/>
      <c r="B522" s="219"/>
      <c r="C522" s="205"/>
      <c r="D522" s="205"/>
      <c r="E522" s="192"/>
      <c r="F522" s="205"/>
      <c r="G522" s="205"/>
      <c r="H522" s="205"/>
      <c r="O522" s="192"/>
      <c r="P522" s="192"/>
      <c r="Q522" s="205"/>
      <c r="AB522" s="205"/>
      <c r="AC522" s="205"/>
      <c r="AE522"/>
    </row>
    <row r="523" spans="1:58" x14ac:dyDescent="0.2">
      <c r="A523" s="219"/>
      <c r="B523" s="219"/>
      <c r="C523" s="205"/>
      <c r="D523" s="205"/>
      <c r="E523" s="192"/>
      <c r="F523" s="205"/>
      <c r="G523" s="205"/>
      <c r="H523" s="205"/>
      <c r="O523" s="192"/>
      <c r="P523" s="192"/>
      <c r="Q523" s="205"/>
      <c r="AB523" s="205"/>
      <c r="AC523" s="205"/>
      <c r="AE523"/>
    </row>
    <row r="524" spans="1:58" x14ac:dyDescent="0.2">
      <c r="A524" s="219"/>
      <c r="B524" s="219"/>
      <c r="C524" s="205"/>
      <c r="D524" s="205"/>
      <c r="E524" s="192"/>
      <c r="F524" s="205"/>
      <c r="G524" s="205"/>
      <c r="H524" s="205"/>
      <c r="O524" s="192"/>
      <c r="P524" s="192"/>
      <c r="Q524" s="205"/>
      <c r="AB524" s="205"/>
      <c r="AC524" s="205"/>
      <c r="AE524"/>
    </row>
    <row r="525" spans="1:58" x14ac:dyDescent="0.2">
      <c r="A525" s="219"/>
      <c r="B525" s="219"/>
      <c r="C525" s="205"/>
      <c r="D525" s="205"/>
      <c r="E525" s="192"/>
      <c r="F525" s="205"/>
      <c r="G525" s="205"/>
      <c r="H525" s="205"/>
      <c r="O525" s="192"/>
      <c r="P525" s="192"/>
      <c r="Q525" s="205"/>
      <c r="AB525" s="205"/>
      <c r="AC525" s="205"/>
      <c r="AE525"/>
    </row>
    <row r="526" spans="1:58" x14ac:dyDescent="0.2">
      <c r="A526" s="219"/>
      <c r="B526" s="219"/>
      <c r="C526" s="205"/>
      <c r="D526" s="205"/>
      <c r="E526" s="192"/>
      <c r="F526" s="205"/>
      <c r="G526" s="205"/>
      <c r="H526" s="205"/>
      <c r="O526" s="192"/>
      <c r="P526" s="192"/>
      <c r="Q526" s="205"/>
      <c r="AB526" s="205"/>
      <c r="AC526" s="205"/>
      <c r="AE526"/>
    </row>
    <row r="527" spans="1:58" x14ac:dyDescent="0.2">
      <c r="A527" s="219"/>
      <c r="B527" s="219"/>
      <c r="C527" s="205"/>
      <c r="D527" s="205"/>
      <c r="E527" s="192"/>
      <c r="F527" s="205"/>
      <c r="G527" s="205"/>
      <c r="H527" s="205"/>
      <c r="O527" s="192"/>
      <c r="P527" s="192"/>
      <c r="Q527" s="205"/>
      <c r="AB527" s="205"/>
      <c r="AC527" s="205"/>
      <c r="AE527"/>
    </row>
    <row r="528" spans="1:58" x14ac:dyDescent="0.2">
      <c r="A528" s="219"/>
      <c r="B528" s="219"/>
      <c r="C528" s="205"/>
      <c r="D528" s="205"/>
      <c r="E528" s="192"/>
      <c r="F528" s="205"/>
      <c r="G528" s="205"/>
      <c r="H528" s="205"/>
      <c r="O528" s="192"/>
      <c r="P528" s="192"/>
      <c r="Q528" s="205"/>
      <c r="AB528" s="205"/>
      <c r="AC528" s="205"/>
      <c r="AE528"/>
    </row>
    <row r="529" spans="1:31" x14ac:dyDescent="0.2">
      <c r="A529" s="219"/>
      <c r="B529" s="219"/>
      <c r="C529" s="205"/>
      <c r="D529" s="205"/>
      <c r="E529" s="192"/>
      <c r="F529" s="205"/>
      <c r="G529" s="205"/>
      <c r="H529" s="205"/>
      <c r="O529" s="192"/>
      <c r="P529" s="192"/>
      <c r="Q529" s="205"/>
      <c r="AB529" s="205"/>
      <c r="AC529" s="205"/>
      <c r="AE529"/>
    </row>
    <row r="530" spans="1:31" x14ac:dyDescent="0.2">
      <c r="A530" s="219"/>
      <c r="B530" s="219"/>
      <c r="C530" s="205"/>
      <c r="D530" s="205"/>
      <c r="E530" s="192"/>
      <c r="F530" s="205"/>
      <c r="G530" s="205"/>
      <c r="H530" s="205"/>
      <c r="O530" s="192"/>
      <c r="P530" s="192"/>
      <c r="Q530" s="205"/>
      <c r="AB530" s="205"/>
      <c r="AC530" s="205"/>
      <c r="AE530"/>
    </row>
    <row r="531" spans="1:31" x14ac:dyDescent="0.2">
      <c r="A531" s="219"/>
      <c r="B531" s="219"/>
      <c r="C531" s="205"/>
      <c r="D531" s="205"/>
      <c r="E531" s="192"/>
      <c r="F531" s="205"/>
      <c r="G531" s="205"/>
      <c r="H531" s="205"/>
      <c r="O531" s="192"/>
      <c r="P531" s="192"/>
      <c r="Q531" s="205"/>
      <c r="AB531" s="205"/>
      <c r="AC531" s="205"/>
      <c r="AE531"/>
    </row>
    <row r="532" spans="1:31" x14ac:dyDescent="0.2">
      <c r="A532" s="219"/>
      <c r="B532" s="219"/>
      <c r="C532" s="205"/>
      <c r="D532" s="205"/>
      <c r="E532" s="192"/>
      <c r="F532" s="205"/>
      <c r="G532" s="205"/>
      <c r="H532" s="205"/>
      <c r="O532" s="192"/>
      <c r="P532" s="192"/>
      <c r="Q532" s="205"/>
      <c r="AB532" s="205"/>
      <c r="AC532" s="205"/>
      <c r="AE532"/>
    </row>
    <row r="533" spans="1:31" x14ac:dyDescent="0.2">
      <c r="A533" s="219"/>
      <c r="B533" s="219"/>
      <c r="C533" s="205"/>
      <c r="D533" s="205"/>
      <c r="E533" s="192"/>
      <c r="F533" s="205"/>
      <c r="G533" s="205"/>
      <c r="H533" s="205"/>
      <c r="O533" s="192"/>
      <c r="P533" s="192"/>
      <c r="Q533" s="205"/>
      <c r="AB533" s="205"/>
      <c r="AC533" s="205"/>
      <c r="AE533"/>
    </row>
    <row r="534" spans="1:31" x14ac:dyDescent="0.2">
      <c r="A534" s="219"/>
      <c r="B534" s="219"/>
      <c r="C534" s="205"/>
      <c r="D534" s="205"/>
      <c r="E534" s="192"/>
      <c r="F534" s="205"/>
      <c r="G534" s="205"/>
      <c r="H534" s="205"/>
      <c r="O534" s="192"/>
      <c r="P534" s="192"/>
      <c r="Q534" s="205"/>
      <c r="AB534" s="205"/>
      <c r="AC534" s="205"/>
      <c r="AE534"/>
    </row>
    <row r="535" spans="1:31" x14ac:dyDescent="0.2">
      <c r="A535" s="219"/>
      <c r="B535" s="219"/>
      <c r="C535" s="205"/>
      <c r="D535" s="205"/>
      <c r="E535" s="192"/>
      <c r="F535" s="205"/>
      <c r="G535" s="205"/>
      <c r="H535" s="205"/>
      <c r="O535" s="192"/>
      <c r="P535" s="192"/>
      <c r="Q535" s="205"/>
      <c r="AB535" s="205"/>
      <c r="AC535" s="205"/>
      <c r="AE535"/>
    </row>
    <row r="536" spans="1:31" x14ac:dyDescent="0.2">
      <c r="A536" s="219"/>
      <c r="B536" s="219"/>
      <c r="C536" s="205"/>
      <c r="D536" s="205"/>
      <c r="E536" s="192"/>
      <c r="F536" s="205"/>
      <c r="G536" s="205"/>
      <c r="H536" s="205"/>
      <c r="O536" s="192"/>
      <c r="P536" s="192"/>
      <c r="Q536" s="205"/>
      <c r="AB536" s="205"/>
      <c r="AC536" s="205"/>
      <c r="AE536"/>
    </row>
    <row r="537" spans="1:31" x14ac:dyDescent="0.2">
      <c r="A537" s="219"/>
      <c r="B537" s="219"/>
      <c r="C537" s="205"/>
      <c r="D537" s="205"/>
      <c r="E537" s="192"/>
      <c r="F537" s="205"/>
      <c r="G537" s="205"/>
      <c r="H537" s="205"/>
      <c r="O537" s="192"/>
      <c r="P537" s="192"/>
      <c r="Q537" s="205"/>
      <c r="AB537" s="205"/>
      <c r="AC537" s="205"/>
      <c r="AE537"/>
    </row>
    <row r="538" spans="1:31" x14ac:dyDescent="0.2">
      <c r="A538" s="219"/>
      <c r="B538" s="219"/>
      <c r="C538" s="205"/>
      <c r="D538" s="205"/>
      <c r="E538" s="192"/>
      <c r="F538" s="205"/>
      <c r="G538" s="205"/>
      <c r="H538" s="205"/>
      <c r="O538" s="192"/>
      <c r="P538" s="192"/>
      <c r="Q538" s="205"/>
      <c r="AB538" s="205"/>
      <c r="AC538" s="205"/>
      <c r="AE538"/>
    </row>
    <row r="539" spans="1:31" x14ac:dyDescent="0.2">
      <c r="A539" s="219"/>
      <c r="B539" s="219"/>
      <c r="C539" s="205"/>
      <c r="D539" s="205"/>
      <c r="E539" s="192"/>
      <c r="F539" s="205"/>
      <c r="G539" s="205"/>
      <c r="H539" s="205"/>
      <c r="O539" s="192"/>
      <c r="P539" s="192"/>
      <c r="Q539" s="205"/>
      <c r="AB539" s="205"/>
      <c r="AC539" s="205"/>
      <c r="AE539"/>
    </row>
    <row r="540" spans="1:31" x14ac:dyDescent="0.2">
      <c r="A540" s="219"/>
      <c r="B540" s="219"/>
      <c r="C540" s="205"/>
      <c r="D540" s="205"/>
      <c r="E540" s="192"/>
      <c r="F540" s="205"/>
      <c r="G540" s="205"/>
      <c r="H540" s="205"/>
      <c r="O540" s="192"/>
      <c r="P540" s="192"/>
      <c r="Q540" s="205"/>
      <c r="AB540" s="205"/>
      <c r="AC540" s="205"/>
      <c r="AE540"/>
    </row>
    <row r="541" spans="1:31" x14ac:dyDescent="0.2">
      <c r="A541" s="219"/>
      <c r="B541" s="219"/>
      <c r="C541" s="205"/>
      <c r="D541" s="205"/>
      <c r="E541" s="192"/>
      <c r="F541" s="205"/>
      <c r="G541" s="205"/>
      <c r="H541" s="205"/>
      <c r="O541" s="192"/>
      <c r="P541" s="192"/>
      <c r="Q541" s="205"/>
      <c r="AB541" s="205"/>
      <c r="AC541" s="205"/>
      <c r="AE541"/>
    </row>
    <row r="542" spans="1:31" x14ac:dyDescent="0.2">
      <c r="A542" s="219"/>
      <c r="B542" s="219"/>
      <c r="C542" s="205"/>
      <c r="D542" s="205"/>
      <c r="E542" s="192"/>
      <c r="F542" s="205"/>
      <c r="G542" s="205"/>
      <c r="H542" s="205"/>
      <c r="O542" s="192"/>
      <c r="P542" s="192"/>
      <c r="Q542" s="205"/>
      <c r="AB542" s="205"/>
      <c r="AC542" s="205"/>
      <c r="AE542"/>
    </row>
    <row r="543" spans="1:31" x14ac:dyDescent="0.2">
      <c r="A543" s="219"/>
      <c r="B543" s="219"/>
      <c r="C543" s="205"/>
      <c r="D543" s="205"/>
      <c r="E543" s="192"/>
      <c r="F543" s="205"/>
      <c r="G543" s="205"/>
      <c r="H543" s="205"/>
      <c r="O543" s="192"/>
      <c r="P543" s="192"/>
      <c r="Q543" s="205"/>
      <c r="AB543" s="205"/>
      <c r="AC543" s="205"/>
      <c r="AE543"/>
    </row>
    <row r="544" spans="1:31" x14ac:dyDescent="0.2">
      <c r="A544" s="219"/>
      <c r="B544" s="219"/>
      <c r="C544" s="205"/>
      <c r="D544" s="205"/>
      <c r="E544" s="192"/>
      <c r="F544" s="205"/>
      <c r="G544" s="205"/>
      <c r="H544" s="205"/>
      <c r="O544" s="192"/>
      <c r="P544" s="192"/>
      <c r="Q544" s="205"/>
      <c r="AB544" s="205"/>
      <c r="AC544" s="205"/>
      <c r="AE544"/>
    </row>
    <row r="545" spans="1:31" x14ac:dyDescent="0.2">
      <c r="A545" s="219"/>
      <c r="B545" s="219"/>
      <c r="C545" s="205"/>
      <c r="D545" s="205"/>
      <c r="E545" s="192"/>
      <c r="F545" s="205"/>
      <c r="G545" s="205"/>
      <c r="H545" s="205"/>
      <c r="O545" s="192"/>
      <c r="P545" s="192"/>
      <c r="Q545" s="205"/>
      <c r="AB545" s="205"/>
      <c r="AC545" s="205"/>
      <c r="AE545"/>
    </row>
    <row r="546" spans="1:31" x14ac:dyDescent="0.2">
      <c r="A546" s="219"/>
      <c r="B546" s="219"/>
      <c r="C546" s="205"/>
      <c r="D546" s="205"/>
      <c r="E546" s="192"/>
      <c r="F546" s="205"/>
      <c r="G546" s="205"/>
      <c r="H546" s="205"/>
      <c r="O546" s="192"/>
      <c r="P546" s="192"/>
      <c r="Q546" s="205"/>
      <c r="AB546" s="205"/>
      <c r="AC546" s="205"/>
      <c r="AE546"/>
    </row>
    <row r="547" spans="1:31" x14ac:dyDescent="0.2">
      <c r="A547" s="219"/>
      <c r="B547" s="219"/>
      <c r="C547" s="205"/>
      <c r="D547" s="205"/>
      <c r="E547" s="192"/>
      <c r="F547" s="205"/>
      <c r="G547" s="205"/>
      <c r="H547" s="205"/>
      <c r="O547" s="192"/>
      <c r="P547" s="192"/>
      <c r="Q547" s="205"/>
      <c r="AB547" s="205"/>
      <c r="AC547" s="205"/>
      <c r="AE547"/>
    </row>
    <row r="548" spans="1:31" x14ac:dyDescent="0.2">
      <c r="A548" s="219"/>
      <c r="B548" s="219"/>
      <c r="C548" s="205"/>
      <c r="D548" s="205"/>
      <c r="E548" s="192"/>
      <c r="F548" s="205"/>
      <c r="G548" s="205"/>
      <c r="H548" s="205"/>
      <c r="O548" s="192"/>
      <c r="P548" s="192"/>
      <c r="Q548" s="205"/>
      <c r="AB548" s="205"/>
      <c r="AC548" s="205"/>
      <c r="AE548"/>
    </row>
    <row r="549" spans="1:31" x14ac:dyDescent="0.2">
      <c r="A549" s="219"/>
      <c r="B549" s="219"/>
      <c r="C549" s="205"/>
      <c r="D549" s="205"/>
      <c r="E549" s="192"/>
      <c r="F549" s="205"/>
      <c r="G549" s="205"/>
      <c r="H549" s="205"/>
      <c r="O549" s="192"/>
      <c r="P549" s="192"/>
      <c r="Q549" s="205"/>
      <c r="AB549" s="205"/>
      <c r="AC549" s="205"/>
      <c r="AE549"/>
    </row>
    <row r="550" spans="1:31" x14ac:dyDescent="0.2">
      <c r="A550" s="219"/>
      <c r="B550" s="219"/>
      <c r="C550" s="205"/>
      <c r="D550" s="205"/>
      <c r="E550" s="192"/>
      <c r="F550" s="205"/>
      <c r="G550" s="205"/>
      <c r="H550"/>
      <c r="O550" s="192"/>
      <c r="P550" s="192"/>
      <c r="Q550" s="205"/>
      <c r="AB550" s="205"/>
      <c r="AC550" s="205"/>
      <c r="AE550"/>
    </row>
    <row r="551" spans="1:31" x14ac:dyDescent="0.2">
      <c r="A551" s="219"/>
      <c r="B551" s="219"/>
      <c r="C551" s="205"/>
      <c r="D551" s="205"/>
      <c r="E551" s="192"/>
      <c r="F551" s="205"/>
      <c r="G551" s="205"/>
      <c r="H551" s="205"/>
      <c r="O551" s="192"/>
      <c r="P551" s="192"/>
      <c r="Q551" s="205"/>
      <c r="AB551" s="205"/>
      <c r="AC551" s="205"/>
      <c r="AE551"/>
    </row>
    <row r="552" spans="1:31" x14ac:dyDescent="0.2">
      <c r="A552" s="219"/>
      <c r="B552" s="219"/>
      <c r="C552" s="205"/>
      <c r="D552" s="205"/>
      <c r="E552" s="192"/>
      <c r="F552" s="205"/>
      <c r="G552" s="205"/>
      <c r="H552"/>
      <c r="O552" s="192"/>
      <c r="P552" s="192"/>
      <c r="Q552" s="205"/>
      <c r="AB552" s="205"/>
      <c r="AC552" s="205"/>
      <c r="AE552"/>
    </row>
    <row r="553" spans="1:31" x14ac:dyDescent="0.2">
      <c r="A553" s="219"/>
      <c r="B553" s="219"/>
      <c r="C553" s="205"/>
      <c r="D553" s="205"/>
      <c r="E553" s="192"/>
      <c r="F553" s="205"/>
      <c r="G553" s="205"/>
      <c r="H553"/>
      <c r="O553" s="192"/>
      <c r="P553" s="192"/>
      <c r="Q553" s="205"/>
      <c r="AB553" s="205"/>
      <c r="AC553" s="205"/>
      <c r="AE553"/>
    </row>
    <row r="554" spans="1:31" x14ac:dyDescent="0.2">
      <c r="A554" s="219"/>
      <c r="B554" s="219"/>
      <c r="C554" s="205"/>
      <c r="D554" s="205"/>
      <c r="E554" s="192"/>
      <c r="F554" s="205"/>
      <c r="G554"/>
      <c r="H554"/>
      <c r="O554" s="192"/>
      <c r="P554" s="192"/>
      <c r="Q554" s="205"/>
      <c r="AB554" s="205"/>
      <c r="AC554" s="205"/>
      <c r="AE554"/>
    </row>
    <row r="555" spans="1:31" x14ac:dyDescent="0.2">
      <c r="A555" s="219"/>
      <c r="B555" s="219"/>
      <c r="C555" s="205"/>
      <c r="D555" s="205"/>
      <c r="E555" s="192"/>
      <c r="F555" s="205"/>
      <c r="G555"/>
      <c r="H555"/>
      <c r="O555" s="192"/>
      <c r="P555" s="192"/>
      <c r="Q555" s="205"/>
      <c r="AB555" s="205"/>
      <c r="AC555" s="205"/>
      <c r="AE555"/>
    </row>
    <row r="556" spans="1:31" x14ac:dyDescent="0.2">
      <c r="A556" s="219"/>
      <c r="B556" s="219"/>
      <c r="C556" s="205"/>
      <c r="D556" s="205"/>
      <c r="E556" s="192"/>
      <c r="F556" s="205"/>
      <c r="G556" s="205"/>
      <c r="H556" s="205"/>
      <c r="O556" s="192"/>
      <c r="P556" s="192"/>
      <c r="Q556" s="205"/>
      <c r="AB556" s="205"/>
      <c r="AC556" s="205"/>
      <c r="AE556"/>
    </row>
    <row r="557" spans="1:31" x14ac:dyDescent="0.2">
      <c r="A557" s="219"/>
      <c r="B557" s="219"/>
      <c r="C557" s="205"/>
      <c r="D557" s="205"/>
      <c r="E557" s="192"/>
      <c r="F557" s="205"/>
      <c r="G557"/>
      <c r="H557"/>
      <c r="O557" s="192"/>
      <c r="P557" s="192"/>
      <c r="Q557" s="205"/>
      <c r="AB557" s="205"/>
      <c r="AC557" s="205"/>
      <c r="AE557"/>
    </row>
    <row r="558" spans="1:31" x14ac:dyDescent="0.2">
      <c r="A558" s="219"/>
      <c r="B558" s="219"/>
      <c r="C558" s="205"/>
      <c r="D558" s="205"/>
      <c r="E558" s="192"/>
      <c r="F558" s="205"/>
      <c r="G558" s="205"/>
      <c r="H558"/>
      <c r="O558" s="192"/>
      <c r="P558" s="192"/>
      <c r="Q558" s="205"/>
      <c r="AB558" s="205"/>
      <c r="AC558" s="205"/>
      <c r="AE558"/>
    </row>
    <row r="559" spans="1:31" x14ac:dyDescent="0.2">
      <c r="A559" s="219"/>
      <c r="B559" s="219"/>
      <c r="C559" s="205"/>
      <c r="D559" s="205"/>
      <c r="E559" s="192"/>
      <c r="F559" s="205"/>
      <c r="G559" s="205"/>
      <c r="H559"/>
      <c r="O559" s="192"/>
      <c r="P559" s="192"/>
      <c r="Q559" s="205"/>
      <c r="AB559" s="205"/>
      <c r="AC559" s="205"/>
      <c r="AE559"/>
    </row>
    <row r="560" spans="1:31" x14ac:dyDescent="0.2">
      <c r="A560" s="219"/>
      <c r="B560" s="219"/>
      <c r="C560" s="205"/>
      <c r="D560" s="205"/>
      <c r="E560" s="192"/>
      <c r="F560" s="205"/>
      <c r="G560" s="205"/>
      <c r="H560"/>
      <c r="O560" s="192"/>
      <c r="P560" s="192"/>
      <c r="Q560" s="205"/>
      <c r="AB560" s="205"/>
      <c r="AC560" s="205"/>
      <c r="AE560"/>
    </row>
    <row r="561" spans="1:31" x14ac:dyDescent="0.2">
      <c r="A561" s="219"/>
      <c r="B561" s="219"/>
      <c r="C561" s="205"/>
      <c r="D561" s="205"/>
      <c r="E561" s="192"/>
      <c r="F561" s="205"/>
      <c r="G561" s="205"/>
      <c r="H561"/>
      <c r="O561" s="192"/>
      <c r="P561" s="192"/>
      <c r="Q561" s="205"/>
      <c r="AB561" s="205"/>
      <c r="AC561" s="205"/>
      <c r="AE561"/>
    </row>
    <row r="562" spans="1:31" x14ac:dyDescent="0.2">
      <c r="A562" s="219"/>
      <c r="B562" s="219"/>
      <c r="C562" s="205"/>
      <c r="D562" s="205"/>
      <c r="E562" s="192"/>
      <c r="F562" s="205"/>
      <c r="G562"/>
      <c r="H562"/>
      <c r="O562" s="192"/>
      <c r="P562" s="192"/>
      <c r="Q562" s="205"/>
      <c r="AB562" s="205"/>
      <c r="AC562" s="205"/>
      <c r="AE562"/>
    </row>
    <row r="563" spans="1:31" x14ac:dyDescent="0.2">
      <c r="A563" s="219"/>
      <c r="B563" s="219"/>
      <c r="C563" s="205"/>
      <c r="D563" s="205"/>
      <c r="E563" s="192"/>
      <c r="F563" s="205"/>
      <c r="G563" s="205"/>
      <c r="H563"/>
      <c r="O563" s="192"/>
      <c r="P563" s="192"/>
      <c r="Q563" s="205"/>
      <c r="AB563" s="205"/>
      <c r="AC563" s="205"/>
      <c r="AE563"/>
    </row>
    <row r="564" spans="1:31" x14ac:dyDescent="0.2">
      <c r="A564" s="219"/>
      <c r="B564" s="219"/>
      <c r="C564" s="205"/>
      <c r="D564" s="205"/>
      <c r="E564" s="192"/>
      <c r="F564" s="205"/>
      <c r="G564" s="205"/>
      <c r="H564"/>
      <c r="O564" s="192"/>
      <c r="P564" s="192"/>
      <c r="Q564" s="205"/>
      <c r="AB564" s="205"/>
      <c r="AC564" s="205"/>
      <c r="AE564"/>
    </row>
    <row r="565" spans="1:31" x14ac:dyDescent="0.2">
      <c r="A565" s="219"/>
      <c r="B565" s="219"/>
      <c r="C565" s="205"/>
      <c r="D565" s="205"/>
      <c r="E565" s="192"/>
      <c r="F565" s="205"/>
      <c r="G565" s="205"/>
      <c r="H565"/>
      <c r="O565" s="192"/>
      <c r="P565" s="192"/>
      <c r="Q565" s="205"/>
      <c r="AB565" s="205"/>
      <c r="AC565" s="205"/>
      <c r="AE565"/>
    </row>
    <row r="566" spans="1:31" x14ac:dyDescent="0.2">
      <c r="A566" s="219"/>
      <c r="B566" s="219"/>
      <c r="C566" s="205"/>
      <c r="D566" s="205"/>
      <c r="E566" s="192"/>
      <c r="F566" s="205"/>
      <c r="G566" s="205"/>
      <c r="H566" s="205"/>
      <c r="O566" s="192"/>
      <c r="P566" s="192"/>
      <c r="Q566" s="205"/>
      <c r="AB566" s="205"/>
      <c r="AC566" s="205"/>
      <c r="AE566"/>
    </row>
    <row r="567" spans="1:31" x14ac:dyDescent="0.2">
      <c r="A567" s="219"/>
      <c r="B567" s="219"/>
      <c r="C567" s="205"/>
      <c r="D567" s="205"/>
      <c r="E567" s="192"/>
      <c r="F567" s="205"/>
      <c r="G567" s="205"/>
      <c r="H567"/>
      <c r="O567" s="192"/>
      <c r="P567" s="192"/>
      <c r="Q567" s="205"/>
      <c r="AB567" s="205"/>
      <c r="AC567" s="205"/>
      <c r="AE567"/>
    </row>
    <row r="568" spans="1:31" x14ac:dyDescent="0.2">
      <c r="A568" s="219"/>
      <c r="B568" s="219"/>
      <c r="C568" s="205"/>
      <c r="D568" s="205"/>
      <c r="E568" s="192"/>
      <c r="F568" s="205"/>
      <c r="G568" s="205"/>
      <c r="H568"/>
      <c r="O568" s="192"/>
      <c r="P568" s="192"/>
      <c r="Q568" s="205"/>
      <c r="AB568" s="205"/>
      <c r="AC568" s="205"/>
      <c r="AE568"/>
    </row>
    <row r="569" spans="1:31" x14ac:dyDescent="0.2">
      <c r="A569" s="219"/>
      <c r="B569" s="219"/>
      <c r="C569" s="205"/>
      <c r="D569" s="205"/>
      <c r="E569" s="192"/>
      <c r="F569" s="205"/>
      <c r="G569" s="205"/>
      <c r="H569"/>
      <c r="O569" s="192"/>
      <c r="P569" s="192"/>
      <c r="Q569" s="205"/>
      <c r="AB569" s="205"/>
      <c r="AC569" s="205"/>
      <c r="AE569"/>
    </row>
    <row r="570" spans="1:31" x14ac:dyDescent="0.2">
      <c r="A570" s="219"/>
      <c r="B570" s="219"/>
      <c r="C570" s="205"/>
      <c r="D570" s="205"/>
      <c r="E570" s="192"/>
      <c r="F570" s="205"/>
      <c r="G570" s="205"/>
      <c r="H570"/>
      <c r="O570" s="192"/>
      <c r="P570" s="192"/>
      <c r="Q570" s="205"/>
      <c r="AB570" s="205"/>
      <c r="AC570" s="205"/>
      <c r="AE570"/>
    </row>
    <row r="571" spans="1:31" x14ac:dyDescent="0.2">
      <c r="A571" s="219"/>
      <c r="B571" s="219"/>
      <c r="C571" s="205"/>
      <c r="D571" s="205"/>
      <c r="E571" s="192"/>
      <c r="F571" s="205"/>
      <c r="G571" s="205"/>
      <c r="H571" s="205"/>
      <c r="O571" s="192"/>
      <c r="P571" s="192"/>
      <c r="Q571" s="205"/>
      <c r="AB571" s="205"/>
      <c r="AC571" s="205"/>
      <c r="AE571"/>
    </row>
    <row r="572" spans="1:31" x14ac:dyDescent="0.2">
      <c r="A572" s="219"/>
      <c r="B572" s="219"/>
      <c r="C572" s="205"/>
      <c r="D572" s="205"/>
      <c r="E572" s="192"/>
      <c r="F572" s="205"/>
      <c r="G572" s="205"/>
      <c r="H572"/>
      <c r="O572" s="192"/>
      <c r="P572" s="192"/>
      <c r="Q572" s="205"/>
      <c r="AB572" s="205"/>
      <c r="AC572" s="205"/>
      <c r="AE572"/>
    </row>
    <row r="573" spans="1:31" x14ac:dyDescent="0.2">
      <c r="A573" s="219"/>
      <c r="B573" s="219"/>
      <c r="C573" s="205"/>
      <c r="D573" s="205"/>
      <c r="E573" s="192"/>
      <c r="F573" s="205"/>
      <c r="G573" s="205"/>
      <c r="H573"/>
      <c r="O573" s="192"/>
      <c r="P573" s="192"/>
      <c r="Q573" s="205"/>
      <c r="AB573" s="205"/>
      <c r="AC573" s="205"/>
      <c r="AE573"/>
    </row>
    <row r="574" spans="1:31" x14ac:dyDescent="0.2">
      <c r="A574" s="219"/>
      <c r="B574" s="219"/>
      <c r="C574" s="205"/>
      <c r="D574" s="205"/>
      <c r="E574" s="192"/>
      <c r="F574" s="205"/>
      <c r="G574"/>
      <c r="H574"/>
      <c r="O574" s="192"/>
      <c r="P574" s="192"/>
      <c r="Q574" s="205"/>
      <c r="AB574" s="205"/>
      <c r="AC574" s="205"/>
      <c r="AE574"/>
    </row>
    <row r="575" spans="1:31" x14ac:dyDescent="0.2">
      <c r="A575" s="219"/>
      <c r="B575" s="219"/>
      <c r="C575" s="205"/>
      <c r="D575" s="205"/>
      <c r="E575" s="192"/>
      <c r="F575" s="205"/>
      <c r="G575"/>
      <c r="H575"/>
      <c r="O575" s="192"/>
      <c r="P575" s="192"/>
      <c r="Q575" s="205"/>
      <c r="AB575" s="205"/>
      <c r="AC575" s="205"/>
      <c r="AE575"/>
    </row>
    <row r="576" spans="1:31" x14ac:dyDescent="0.2">
      <c r="A576" s="219"/>
      <c r="B576" s="219"/>
      <c r="C576" s="205"/>
      <c r="D576" s="205"/>
      <c r="E576" s="192"/>
      <c r="F576" s="205"/>
      <c r="G576" s="205"/>
      <c r="H576"/>
      <c r="O576" s="192"/>
      <c r="P576" s="192"/>
      <c r="Q576" s="205"/>
      <c r="AB576" s="205"/>
      <c r="AC576" s="205"/>
      <c r="AE576"/>
    </row>
    <row r="577" spans="1:31" x14ac:dyDescent="0.2">
      <c r="A577" s="219"/>
      <c r="B577" s="219"/>
      <c r="C577" s="205"/>
      <c r="D577" s="205"/>
      <c r="E577" s="192"/>
      <c r="F577" s="205"/>
      <c r="G577"/>
      <c r="H577"/>
      <c r="O577" s="192"/>
      <c r="P577" s="192"/>
      <c r="Q577" s="205"/>
      <c r="AB577" s="205"/>
      <c r="AC577" s="205"/>
      <c r="AE577"/>
    </row>
    <row r="578" spans="1:31" x14ac:dyDescent="0.2">
      <c r="A578" s="219"/>
      <c r="B578" s="219"/>
      <c r="C578" s="205"/>
      <c r="D578" s="205"/>
      <c r="E578" s="192"/>
      <c r="F578" s="205"/>
      <c r="G578" s="205"/>
      <c r="H578"/>
      <c r="O578" s="192"/>
      <c r="P578" s="192"/>
      <c r="Q578" s="205"/>
      <c r="AB578" s="205"/>
      <c r="AC578" s="205"/>
      <c r="AE578"/>
    </row>
    <row r="579" spans="1:31" x14ac:dyDescent="0.2">
      <c r="A579" s="219"/>
      <c r="B579" s="219"/>
      <c r="C579" s="205"/>
      <c r="D579" s="205"/>
      <c r="E579" s="192"/>
      <c r="F579" s="205"/>
      <c r="G579" s="205"/>
      <c r="H579"/>
      <c r="O579" s="192"/>
      <c r="P579" s="192"/>
      <c r="Q579" s="205"/>
      <c r="AB579" s="205"/>
      <c r="AC579" s="205"/>
      <c r="AE579"/>
    </row>
    <row r="580" spans="1:31" x14ac:dyDescent="0.2">
      <c r="A580" s="219"/>
      <c r="B580" s="219"/>
      <c r="C580" s="205"/>
      <c r="D580" s="205"/>
      <c r="E580" s="192"/>
      <c r="F580" s="205"/>
      <c r="G580" s="205"/>
      <c r="H580"/>
      <c r="O580" s="192"/>
      <c r="P580" s="192"/>
      <c r="Q580" s="205"/>
      <c r="AB580" s="205"/>
      <c r="AC580" s="205"/>
      <c r="AE580"/>
    </row>
    <row r="581" spans="1:31" x14ac:dyDescent="0.2">
      <c r="A581" s="219"/>
      <c r="B581" s="219"/>
      <c r="C581" s="205"/>
      <c r="D581" s="205"/>
      <c r="E581" s="192"/>
      <c r="F581" s="205"/>
      <c r="G581" s="205"/>
      <c r="H581"/>
      <c r="O581" s="192"/>
      <c r="P581" s="192"/>
      <c r="Q581" s="205"/>
      <c r="AB581" s="205"/>
      <c r="AC581" s="205"/>
      <c r="AE581"/>
    </row>
    <row r="582" spans="1:31" x14ac:dyDescent="0.2">
      <c r="A582" s="219"/>
      <c r="B582" s="219"/>
      <c r="C582" s="205"/>
      <c r="D582" s="205"/>
      <c r="E582" s="192"/>
      <c r="F582" s="205"/>
      <c r="G582"/>
      <c r="H582"/>
      <c r="O582" s="192"/>
      <c r="P582" s="192"/>
      <c r="Q582" s="205"/>
      <c r="AB582" s="205"/>
      <c r="AC582" s="205"/>
      <c r="AE582"/>
    </row>
    <row r="583" spans="1:31" x14ac:dyDescent="0.2">
      <c r="A583" s="219"/>
      <c r="B583" s="219"/>
      <c r="C583" s="205"/>
      <c r="D583" s="205"/>
      <c r="E583" s="192"/>
      <c r="F583" s="205"/>
      <c r="G583" s="205"/>
      <c r="H583"/>
      <c r="O583" s="192"/>
      <c r="P583" s="192"/>
      <c r="Q583" s="205"/>
      <c r="AB583" s="205"/>
      <c r="AC583" s="205"/>
      <c r="AE583"/>
    </row>
    <row r="584" spans="1:31" x14ac:dyDescent="0.2">
      <c r="A584" s="219"/>
      <c r="B584" s="219"/>
      <c r="C584" s="205"/>
      <c r="D584" s="205"/>
      <c r="E584" s="192"/>
      <c r="F584" s="205"/>
      <c r="G584" s="205"/>
      <c r="H584"/>
      <c r="O584" s="192"/>
      <c r="P584" s="192"/>
      <c r="Q584" s="205"/>
      <c r="AB584" s="205"/>
      <c r="AC584" s="205"/>
      <c r="AE584"/>
    </row>
    <row r="585" spans="1:31" x14ac:dyDescent="0.2">
      <c r="A585" s="219"/>
      <c r="B585" s="219"/>
      <c r="C585" s="205"/>
      <c r="D585" s="205"/>
      <c r="E585" s="192"/>
      <c r="F585" s="205"/>
      <c r="G585" s="205"/>
      <c r="H585"/>
      <c r="O585" s="192"/>
      <c r="P585" s="192"/>
      <c r="Q585" s="205"/>
      <c r="AB585" s="205"/>
      <c r="AC585" s="205"/>
      <c r="AE585"/>
    </row>
    <row r="586" spans="1:31" x14ac:dyDescent="0.2">
      <c r="A586" s="219"/>
      <c r="B586" s="219"/>
      <c r="C586" s="205"/>
      <c r="D586" s="205"/>
      <c r="E586" s="192"/>
      <c r="F586" s="205"/>
      <c r="G586" s="205"/>
      <c r="H586" s="205"/>
      <c r="O586" s="192"/>
      <c r="P586" s="192"/>
      <c r="Q586" s="205"/>
      <c r="AB586" s="205"/>
      <c r="AC586" s="205"/>
      <c r="AE586"/>
    </row>
    <row r="587" spans="1:31" x14ac:dyDescent="0.2">
      <c r="A587" s="219"/>
      <c r="B587" s="219"/>
      <c r="C587" s="205"/>
      <c r="D587" s="205"/>
      <c r="E587" s="192"/>
      <c r="F587" s="205"/>
      <c r="G587" s="205"/>
      <c r="H587"/>
      <c r="O587" s="192"/>
      <c r="P587" s="192"/>
      <c r="Q587" s="205"/>
      <c r="AB587" s="205"/>
      <c r="AC587" s="205"/>
      <c r="AE587"/>
    </row>
    <row r="588" spans="1:31" x14ac:dyDescent="0.2">
      <c r="A588" s="219"/>
      <c r="B588" s="219"/>
      <c r="C588" s="205"/>
      <c r="D588" s="205"/>
      <c r="E588" s="192"/>
      <c r="F588" s="205"/>
      <c r="G588" s="205"/>
      <c r="H588"/>
      <c r="O588" s="192"/>
      <c r="P588" s="192"/>
      <c r="Q588" s="205"/>
      <c r="AB588" s="205"/>
      <c r="AC588" s="205"/>
      <c r="AE588"/>
    </row>
    <row r="589" spans="1:31" x14ac:dyDescent="0.2">
      <c r="A589" s="219"/>
      <c r="B589" s="219"/>
      <c r="C589" s="205"/>
      <c r="D589" s="205"/>
      <c r="E589" s="192"/>
      <c r="F589" s="205"/>
      <c r="G589" s="205"/>
      <c r="H589"/>
      <c r="O589" s="192"/>
      <c r="P589" s="192"/>
      <c r="Q589" s="205"/>
      <c r="AB589" s="205"/>
      <c r="AC589" s="205"/>
      <c r="AE589"/>
    </row>
    <row r="590" spans="1:31" x14ac:dyDescent="0.2">
      <c r="A590" s="219"/>
      <c r="B590" s="219"/>
      <c r="C590" s="205"/>
      <c r="D590" s="205"/>
      <c r="E590" s="192"/>
      <c r="F590" s="205"/>
      <c r="G590" s="205"/>
      <c r="H590"/>
      <c r="O590" s="192"/>
      <c r="P590" s="192"/>
      <c r="Q590" s="205"/>
      <c r="AB590" s="205"/>
      <c r="AC590" s="205"/>
      <c r="AE590"/>
    </row>
    <row r="591" spans="1:31" x14ac:dyDescent="0.2">
      <c r="A591" s="219"/>
      <c r="B591" s="219"/>
      <c r="C591" s="205"/>
      <c r="D591" s="205"/>
      <c r="E591" s="192"/>
      <c r="F591" s="205"/>
      <c r="G591" s="205"/>
      <c r="H591" s="205"/>
      <c r="O591" s="192"/>
      <c r="P591" s="192"/>
      <c r="Q591" s="205"/>
      <c r="AB591" s="205"/>
      <c r="AC591" s="205"/>
      <c r="AE591"/>
    </row>
    <row r="592" spans="1:31" x14ac:dyDescent="0.2">
      <c r="A592" s="219"/>
      <c r="B592" s="219"/>
      <c r="C592" s="205"/>
      <c r="D592" s="205"/>
      <c r="E592" s="192"/>
      <c r="F592" s="205"/>
      <c r="G592"/>
      <c r="H592"/>
      <c r="O592" s="192"/>
      <c r="P592" s="192"/>
      <c r="Q592" s="205"/>
      <c r="AB592" s="205"/>
      <c r="AC592" s="205"/>
      <c r="AE592"/>
    </row>
    <row r="593" spans="1:31" x14ac:dyDescent="0.2">
      <c r="A593" s="219"/>
      <c r="B593" s="219"/>
      <c r="C593" s="205"/>
      <c r="D593" s="205"/>
      <c r="E593" s="192"/>
      <c r="F593" s="205"/>
      <c r="G593" s="205"/>
      <c r="H593"/>
      <c r="O593" s="192"/>
      <c r="P593" s="192"/>
      <c r="Q593" s="205"/>
      <c r="AB593" s="205"/>
      <c r="AC593" s="205"/>
      <c r="AE593"/>
    </row>
    <row r="594" spans="1:31" x14ac:dyDescent="0.2">
      <c r="A594" s="219"/>
      <c r="B594" s="219"/>
      <c r="C594" s="205"/>
      <c r="D594" s="205"/>
      <c r="E594" s="192"/>
      <c r="F594" s="205"/>
      <c r="G594" s="205"/>
      <c r="H594"/>
      <c r="O594" s="192"/>
      <c r="P594" s="192"/>
      <c r="Q594" s="205"/>
      <c r="AB594" s="205"/>
      <c r="AC594" s="205"/>
      <c r="AE594"/>
    </row>
    <row r="595" spans="1:31" x14ac:dyDescent="0.2">
      <c r="A595" s="219"/>
      <c r="B595" s="219"/>
      <c r="C595" s="205"/>
      <c r="D595" s="205"/>
      <c r="E595" s="192"/>
      <c r="F595" s="205"/>
      <c r="G595" s="205"/>
      <c r="H595"/>
      <c r="O595" s="192"/>
      <c r="P595" s="192"/>
      <c r="Q595" s="205"/>
      <c r="AB595" s="205"/>
      <c r="AC595" s="205"/>
      <c r="AE595"/>
    </row>
    <row r="596" spans="1:31" x14ac:dyDescent="0.2">
      <c r="A596" s="219"/>
      <c r="B596" s="219"/>
      <c r="C596" s="205"/>
      <c r="D596" s="205"/>
      <c r="E596" s="192"/>
      <c r="F596" s="205"/>
      <c r="G596" s="205"/>
      <c r="H596"/>
      <c r="O596" s="192"/>
      <c r="P596" s="192"/>
      <c r="Q596" s="205"/>
      <c r="AB596" s="205"/>
      <c r="AC596" s="205"/>
      <c r="AE596"/>
    </row>
    <row r="597" spans="1:31" x14ac:dyDescent="0.2">
      <c r="A597" s="219"/>
      <c r="B597" s="219"/>
      <c r="C597" s="205"/>
      <c r="D597" s="205"/>
      <c r="E597" s="192"/>
      <c r="F597" s="205"/>
      <c r="G597"/>
      <c r="H597"/>
      <c r="O597" s="192"/>
      <c r="P597" s="192"/>
      <c r="Q597" s="205"/>
      <c r="AB597" s="205"/>
      <c r="AC597" s="205"/>
      <c r="AE597"/>
    </row>
    <row r="598" spans="1:31" x14ac:dyDescent="0.2">
      <c r="A598" s="219"/>
      <c r="B598" s="219"/>
      <c r="C598" s="205"/>
      <c r="D598" s="205"/>
      <c r="E598" s="192"/>
      <c r="F598" s="205"/>
      <c r="G598" s="205"/>
      <c r="H598"/>
      <c r="O598" s="192"/>
      <c r="P598" s="192"/>
      <c r="Q598" s="205"/>
      <c r="AB598" s="205"/>
      <c r="AC598" s="205"/>
      <c r="AE598"/>
    </row>
    <row r="599" spans="1:31" x14ac:dyDescent="0.2">
      <c r="A599" s="219"/>
      <c r="B599" s="219"/>
      <c r="C599" s="205"/>
      <c r="D599" s="205"/>
      <c r="E599" s="192"/>
      <c r="F599" s="205"/>
      <c r="G599"/>
      <c r="H599"/>
      <c r="O599" s="192"/>
      <c r="P599" s="192"/>
      <c r="Q599" s="205"/>
      <c r="AB599" s="205"/>
      <c r="AC599" s="205"/>
      <c r="AE599"/>
    </row>
    <row r="600" spans="1:31" x14ac:dyDescent="0.2">
      <c r="A600" s="219"/>
      <c r="B600" s="219"/>
      <c r="C600" s="205"/>
      <c r="D600" s="205"/>
      <c r="E600" s="192"/>
      <c r="F600" s="205"/>
      <c r="G600" s="205"/>
      <c r="H600"/>
      <c r="O600" s="192"/>
      <c r="P600" s="192"/>
      <c r="Q600" s="205"/>
      <c r="AB600" s="205"/>
      <c r="AC600" s="205"/>
      <c r="AE600"/>
    </row>
    <row r="601" spans="1:31" x14ac:dyDescent="0.2">
      <c r="A601" s="219"/>
      <c r="B601" s="219"/>
      <c r="C601" s="205"/>
      <c r="D601" s="205"/>
      <c r="E601" s="192"/>
      <c r="F601" s="205"/>
      <c r="G601" s="205"/>
      <c r="H601"/>
      <c r="O601" s="192"/>
      <c r="P601" s="192"/>
      <c r="Q601" s="205"/>
      <c r="AB601" s="205"/>
      <c r="AC601" s="205"/>
      <c r="AE601"/>
    </row>
    <row r="602" spans="1:31" x14ac:dyDescent="0.2">
      <c r="A602" s="219"/>
      <c r="B602" s="219"/>
      <c r="C602" s="205"/>
      <c r="D602" s="205"/>
      <c r="E602" s="192"/>
      <c r="F602" s="205"/>
      <c r="G602" s="205"/>
      <c r="H602"/>
      <c r="O602" s="192"/>
      <c r="P602" s="192"/>
      <c r="Q602" s="205"/>
      <c r="AB602" s="205"/>
      <c r="AC602" s="205"/>
      <c r="AE602"/>
    </row>
    <row r="603" spans="1:31" x14ac:dyDescent="0.2">
      <c r="A603" s="219"/>
      <c r="B603" s="219"/>
      <c r="C603" s="205"/>
      <c r="D603" s="205"/>
      <c r="E603" s="192"/>
      <c r="F603" s="205"/>
      <c r="G603" s="205"/>
      <c r="H603"/>
      <c r="O603" s="192"/>
      <c r="P603" s="192"/>
      <c r="Q603" s="205"/>
      <c r="AB603" s="205"/>
      <c r="AC603" s="205"/>
      <c r="AE603"/>
    </row>
    <row r="604" spans="1:31" x14ac:dyDescent="0.2">
      <c r="A604" s="219"/>
      <c r="B604" s="219"/>
      <c r="C604" s="205"/>
      <c r="D604" s="205"/>
      <c r="E604" s="192"/>
      <c r="F604" s="205"/>
      <c r="G604" s="205"/>
      <c r="H604"/>
      <c r="O604" s="192"/>
      <c r="P604" s="192"/>
      <c r="Q604" s="205"/>
      <c r="AB604" s="205"/>
      <c r="AC604" s="205"/>
      <c r="AE604"/>
    </row>
    <row r="605" spans="1:31" x14ac:dyDescent="0.2">
      <c r="A605" s="219"/>
      <c r="B605" s="219"/>
      <c r="C605" s="205"/>
      <c r="D605" s="205"/>
      <c r="E605" s="192"/>
      <c r="F605" s="205"/>
      <c r="G605" s="205"/>
      <c r="H605"/>
      <c r="O605" s="192"/>
      <c r="P605" s="192"/>
      <c r="Q605" s="205"/>
      <c r="AB605" s="205"/>
      <c r="AC605" s="205"/>
      <c r="AE605"/>
    </row>
    <row r="606" spans="1:31" x14ac:dyDescent="0.2">
      <c r="A606" s="219"/>
      <c r="B606" s="219"/>
      <c r="C606" s="205"/>
      <c r="D606" s="205"/>
      <c r="E606" s="192"/>
      <c r="F606" s="205"/>
      <c r="G606" s="205"/>
      <c r="H606" s="205"/>
      <c r="O606" s="192"/>
      <c r="P606" s="192"/>
      <c r="Q606" s="205"/>
      <c r="AB606" s="205"/>
      <c r="AC606" s="205"/>
      <c r="AE606"/>
    </row>
    <row r="607" spans="1:31" x14ac:dyDescent="0.2">
      <c r="A607" s="219"/>
      <c r="B607" s="219"/>
      <c r="C607" s="205"/>
      <c r="D607" s="205"/>
      <c r="E607" s="192"/>
      <c r="F607" s="205"/>
      <c r="G607" s="205"/>
      <c r="H607"/>
      <c r="O607" s="192"/>
      <c r="P607" s="192"/>
      <c r="Q607" s="205"/>
      <c r="AB607" s="205"/>
      <c r="AC607" s="205"/>
      <c r="AE607"/>
    </row>
    <row r="608" spans="1:31" x14ac:dyDescent="0.2">
      <c r="A608" s="219"/>
      <c r="B608" s="219"/>
      <c r="C608" s="205"/>
      <c r="D608" s="205"/>
      <c r="E608" s="192"/>
      <c r="F608" s="205"/>
      <c r="G608" s="205"/>
      <c r="H608" s="205"/>
      <c r="O608" s="192"/>
      <c r="P608" s="192"/>
      <c r="Q608" s="205"/>
      <c r="AB608" s="205"/>
      <c r="AC608" s="205"/>
      <c r="AE608"/>
    </row>
    <row r="609" spans="1:31" x14ac:dyDescent="0.2">
      <c r="A609" s="219"/>
      <c r="B609" s="219"/>
      <c r="C609" s="205"/>
      <c r="D609" s="205"/>
      <c r="E609" s="192"/>
      <c r="F609" s="205"/>
      <c r="G609" s="205"/>
      <c r="H609"/>
      <c r="O609" s="192"/>
      <c r="P609" s="192"/>
      <c r="Q609" s="205"/>
      <c r="AB609" s="205"/>
      <c r="AC609" s="205"/>
      <c r="AE609"/>
    </row>
    <row r="610" spans="1:31" x14ac:dyDescent="0.2">
      <c r="A610" s="219"/>
      <c r="B610" s="219"/>
      <c r="C610" s="205"/>
      <c r="D610" s="205"/>
      <c r="E610" s="192"/>
      <c r="F610" s="205"/>
      <c r="G610" s="205"/>
      <c r="H610"/>
      <c r="O610" s="192"/>
      <c r="P610" s="192"/>
      <c r="Q610" s="205"/>
      <c r="AB610" s="205"/>
      <c r="AC610" s="205"/>
      <c r="AE610"/>
    </row>
    <row r="611" spans="1:31" x14ac:dyDescent="0.2">
      <c r="A611" s="219"/>
      <c r="B611" s="219"/>
      <c r="C611" s="205"/>
      <c r="D611" s="205"/>
      <c r="E611" s="192"/>
      <c r="F611" s="205"/>
      <c r="G611" s="205"/>
      <c r="H611" s="205"/>
      <c r="O611" s="192"/>
      <c r="P611" s="192"/>
      <c r="Q611" s="205"/>
      <c r="AB611" s="205"/>
      <c r="AC611" s="205"/>
      <c r="AE611"/>
    </row>
    <row r="612" spans="1:31" x14ac:dyDescent="0.2">
      <c r="A612" s="219"/>
      <c r="B612" s="219"/>
      <c r="C612" s="205"/>
      <c r="D612" s="205"/>
      <c r="E612" s="192"/>
      <c r="F612" s="205"/>
      <c r="G612" s="205"/>
      <c r="H612"/>
      <c r="O612" s="192"/>
      <c r="P612" s="192"/>
      <c r="Q612" s="205"/>
      <c r="AB612" s="205"/>
      <c r="AC612" s="205"/>
      <c r="AE612"/>
    </row>
    <row r="613" spans="1:31" x14ac:dyDescent="0.2">
      <c r="A613" s="219"/>
      <c r="B613" s="219"/>
      <c r="C613" s="205"/>
      <c r="D613" s="205"/>
      <c r="E613" s="192"/>
      <c r="F613" s="205"/>
      <c r="G613" s="205"/>
      <c r="H613"/>
      <c r="O613" s="192"/>
      <c r="P613" s="192"/>
      <c r="Q613" s="205"/>
      <c r="AB613" s="205"/>
      <c r="AC613" s="205"/>
      <c r="AE613"/>
    </row>
    <row r="614" spans="1:31" x14ac:dyDescent="0.2">
      <c r="A614" s="219"/>
      <c r="B614" s="219"/>
      <c r="C614" s="205"/>
      <c r="D614" s="205"/>
      <c r="E614" s="192"/>
      <c r="F614" s="205"/>
      <c r="G614" s="205"/>
      <c r="H614"/>
      <c r="O614" s="192"/>
      <c r="P614" s="192"/>
      <c r="Q614" s="205"/>
      <c r="AB614" s="205"/>
      <c r="AC614" s="205"/>
      <c r="AE614"/>
    </row>
    <row r="615" spans="1:31" x14ac:dyDescent="0.2">
      <c r="A615" s="219"/>
      <c r="B615" s="219"/>
      <c r="C615" s="205"/>
      <c r="D615" s="205"/>
      <c r="E615" s="192"/>
      <c r="F615" s="205"/>
      <c r="G615" s="205"/>
      <c r="H615"/>
      <c r="O615" s="192"/>
      <c r="P615" s="192"/>
      <c r="Q615" s="205"/>
      <c r="AB615" s="205"/>
      <c r="AC615" s="205"/>
      <c r="AE615"/>
    </row>
    <row r="616" spans="1:31" x14ac:dyDescent="0.2">
      <c r="A616" s="219"/>
      <c r="B616" s="219"/>
      <c r="C616" s="205"/>
      <c r="D616" s="205"/>
      <c r="E616" s="192"/>
      <c r="F616" s="205"/>
      <c r="G616"/>
      <c r="H616"/>
      <c r="O616" s="192"/>
      <c r="P616" s="192"/>
      <c r="Q616" s="205"/>
      <c r="AB616" s="205"/>
      <c r="AC616" s="205"/>
      <c r="AE616"/>
    </row>
    <row r="617" spans="1:31" x14ac:dyDescent="0.2">
      <c r="A617" s="219"/>
      <c r="B617" s="219"/>
      <c r="C617" s="205"/>
      <c r="D617" s="205"/>
      <c r="E617" s="192"/>
      <c r="F617" s="205"/>
      <c r="G617" s="205"/>
      <c r="H617"/>
      <c r="O617" s="192"/>
      <c r="P617" s="192"/>
      <c r="Q617" s="205"/>
      <c r="AB617" s="205"/>
      <c r="AC617" s="205"/>
      <c r="AE617"/>
    </row>
    <row r="618" spans="1:31" x14ac:dyDescent="0.2">
      <c r="A618" s="219"/>
      <c r="B618" s="219"/>
      <c r="C618" s="205"/>
      <c r="D618" s="205"/>
      <c r="E618" s="192"/>
      <c r="F618" s="205"/>
      <c r="G618"/>
      <c r="H618"/>
      <c r="O618" s="192"/>
      <c r="P618" s="192"/>
      <c r="Q618" s="205"/>
      <c r="AB618" s="205"/>
      <c r="AC618" s="205"/>
      <c r="AE618"/>
    </row>
    <row r="619" spans="1:31" x14ac:dyDescent="0.2">
      <c r="A619" s="219"/>
      <c r="B619" s="219"/>
      <c r="C619" s="205"/>
      <c r="D619" s="205"/>
      <c r="E619" s="192"/>
      <c r="F619" s="205"/>
      <c r="G619" s="205"/>
      <c r="H619"/>
      <c r="O619" s="192"/>
      <c r="P619" s="192"/>
      <c r="Q619" s="205"/>
      <c r="AB619" s="205"/>
      <c r="AC619" s="205"/>
      <c r="AE619"/>
    </row>
    <row r="620" spans="1:31" x14ac:dyDescent="0.2">
      <c r="A620" s="219"/>
      <c r="B620" s="219"/>
      <c r="C620" s="205"/>
      <c r="D620" s="205"/>
      <c r="E620" s="192"/>
      <c r="F620" s="205"/>
      <c r="G620" s="205"/>
      <c r="H620"/>
      <c r="O620" s="192"/>
      <c r="P620" s="192"/>
      <c r="Q620" s="205"/>
      <c r="AB620" s="205"/>
      <c r="AC620" s="205"/>
      <c r="AE620"/>
    </row>
    <row r="621" spans="1:31" x14ac:dyDescent="0.2">
      <c r="A621" s="219"/>
      <c r="B621" s="219"/>
      <c r="C621" s="205"/>
      <c r="D621" s="205"/>
      <c r="E621" s="192"/>
      <c r="F621" s="205"/>
      <c r="G621"/>
      <c r="H621"/>
      <c r="O621" s="192"/>
      <c r="P621" s="192"/>
      <c r="Q621" s="205"/>
      <c r="AB621" s="205"/>
      <c r="AC621" s="205"/>
      <c r="AE621"/>
    </row>
    <row r="622" spans="1:31" x14ac:dyDescent="0.2">
      <c r="A622" s="219"/>
      <c r="B622" s="219"/>
      <c r="C622" s="205"/>
      <c r="D622" s="205"/>
      <c r="E622" s="192"/>
      <c r="F622" s="205"/>
      <c r="G622" s="205"/>
      <c r="H622"/>
      <c r="O622" s="192"/>
      <c r="P622" s="192"/>
      <c r="Q622" s="205"/>
      <c r="AB622" s="205"/>
      <c r="AC622" s="205"/>
      <c r="AE622"/>
    </row>
    <row r="623" spans="1:31" x14ac:dyDescent="0.2">
      <c r="A623" s="219"/>
      <c r="B623" s="219"/>
      <c r="C623" s="205"/>
      <c r="D623" s="205"/>
      <c r="E623" s="192"/>
      <c r="F623" s="205"/>
      <c r="G623" s="205"/>
      <c r="H623"/>
      <c r="O623" s="192"/>
      <c r="P623" s="192"/>
      <c r="Q623" s="205"/>
      <c r="AB623" s="205"/>
      <c r="AC623" s="205"/>
      <c r="AE623"/>
    </row>
    <row r="624" spans="1:31" x14ac:dyDescent="0.2">
      <c r="A624" s="219"/>
      <c r="B624" s="219"/>
      <c r="C624" s="205"/>
      <c r="D624" s="205"/>
      <c r="E624" s="192"/>
      <c r="F624" s="205"/>
      <c r="G624" s="205"/>
      <c r="H624"/>
      <c r="O624" s="192"/>
      <c r="P624" s="192"/>
      <c r="Q624" s="205"/>
      <c r="AB624" s="205"/>
      <c r="AC624" s="205"/>
      <c r="AE624"/>
    </row>
    <row r="625" spans="1:31" x14ac:dyDescent="0.2">
      <c r="A625" s="219"/>
      <c r="B625" s="219"/>
      <c r="C625" s="205"/>
      <c r="D625" s="205"/>
      <c r="E625" s="192"/>
      <c r="F625" s="205"/>
      <c r="G625" s="205"/>
      <c r="H625"/>
      <c r="O625" s="192"/>
      <c r="P625" s="192"/>
      <c r="Q625" s="205"/>
      <c r="AB625" s="205"/>
      <c r="AC625" s="205"/>
      <c r="AE625"/>
    </row>
    <row r="626" spans="1:31" x14ac:dyDescent="0.2">
      <c r="A626" s="219"/>
      <c r="B626" s="219"/>
      <c r="C626" s="205"/>
      <c r="D626" s="205"/>
      <c r="E626" s="192"/>
      <c r="F626" s="205"/>
      <c r="G626" s="205"/>
      <c r="H626"/>
      <c r="O626" s="192"/>
      <c r="P626" s="192"/>
      <c r="Q626" s="205"/>
      <c r="AB626" s="205"/>
      <c r="AC626" s="205"/>
      <c r="AE626"/>
    </row>
    <row r="627" spans="1:31" x14ac:dyDescent="0.2">
      <c r="A627" s="219"/>
      <c r="B627" s="219"/>
      <c r="C627" s="205"/>
      <c r="D627" s="205"/>
      <c r="E627" s="192"/>
      <c r="F627" s="205"/>
      <c r="G627" s="205"/>
      <c r="H627" s="205"/>
      <c r="O627" s="192"/>
      <c r="P627" s="192"/>
      <c r="Q627" s="205"/>
      <c r="AB627" s="205"/>
      <c r="AC627" s="205"/>
      <c r="AE627"/>
    </row>
    <row r="628" spans="1:31" x14ac:dyDescent="0.2">
      <c r="A628" s="219"/>
      <c r="B628" s="219"/>
      <c r="C628" s="205"/>
      <c r="D628" s="205"/>
      <c r="E628" s="192"/>
      <c r="F628" s="205"/>
      <c r="G628" s="205"/>
      <c r="H628"/>
      <c r="O628" s="192"/>
      <c r="P628" s="192"/>
      <c r="Q628" s="205"/>
      <c r="AB628" s="205"/>
      <c r="AC628" s="205"/>
      <c r="AE628"/>
    </row>
    <row r="629" spans="1:31" x14ac:dyDescent="0.2">
      <c r="A629" s="219"/>
      <c r="B629" s="219"/>
      <c r="C629" s="205"/>
      <c r="D629" s="205"/>
      <c r="E629" s="192"/>
      <c r="F629" s="205"/>
      <c r="G629" s="205"/>
      <c r="H629"/>
      <c r="O629" s="192"/>
      <c r="P629" s="192"/>
      <c r="Q629" s="205"/>
      <c r="AB629" s="205"/>
      <c r="AC629" s="205"/>
      <c r="AE629"/>
    </row>
    <row r="630" spans="1:31" x14ac:dyDescent="0.2">
      <c r="A630" s="219"/>
      <c r="B630" s="219"/>
      <c r="C630" s="205"/>
      <c r="D630" s="205"/>
      <c r="E630" s="192"/>
      <c r="F630" s="205"/>
      <c r="G630" s="205"/>
      <c r="H630"/>
      <c r="O630" s="192"/>
      <c r="P630" s="192"/>
      <c r="Q630" s="205"/>
      <c r="AB630" s="205"/>
      <c r="AC630" s="205"/>
      <c r="AE630"/>
    </row>
    <row r="631" spans="1:31" x14ac:dyDescent="0.2">
      <c r="A631" s="219"/>
      <c r="B631" s="219"/>
      <c r="C631" s="205"/>
      <c r="D631" s="205"/>
      <c r="E631" s="192"/>
      <c r="F631" s="205"/>
      <c r="G631" s="205"/>
      <c r="H631"/>
      <c r="O631" s="192"/>
      <c r="P631" s="192"/>
      <c r="Q631" s="205"/>
      <c r="AB631" s="205"/>
      <c r="AC631" s="205"/>
      <c r="AE631"/>
    </row>
    <row r="632" spans="1:31" x14ac:dyDescent="0.2">
      <c r="A632" s="219"/>
      <c r="B632" s="219"/>
      <c r="C632" s="205"/>
      <c r="D632" s="205"/>
      <c r="E632" s="192"/>
      <c r="F632" s="205"/>
      <c r="G632" s="205"/>
      <c r="H632"/>
      <c r="O632" s="192"/>
      <c r="P632" s="192"/>
      <c r="Q632" s="205"/>
      <c r="AB632" s="205"/>
      <c r="AC632" s="205"/>
      <c r="AE632"/>
    </row>
    <row r="633" spans="1:31" x14ac:dyDescent="0.2">
      <c r="A633" s="219"/>
      <c r="B633" s="219"/>
      <c r="C633" s="205"/>
      <c r="D633" s="205"/>
      <c r="E633" s="192"/>
      <c r="F633" s="205"/>
      <c r="G633" s="205"/>
      <c r="H633"/>
      <c r="O633" s="192"/>
      <c r="P633" s="192"/>
      <c r="Q633" s="205"/>
      <c r="AB633" s="205"/>
      <c r="AC633" s="205"/>
      <c r="AE633"/>
    </row>
    <row r="634" spans="1:31" x14ac:dyDescent="0.2">
      <c r="A634" s="219"/>
      <c r="B634" s="219"/>
      <c r="C634" s="205"/>
      <c r="D634" s="205"/>
      <c r="E634" s="192"/>
      <c r="F634" s="205"/>
      <c r="G634" s="205"/>
      <c r="H634"/>
      <c r="O634" s="192"/>
      <c r="P634" s="192"/>
      <c r="Q634" s="205"/>
      <c r="AB634" s="205"/>
      <c r="AC634" s="205"/>
      <c r="AE634"/>
    </row>
    <row r="635" spans="1:31" x14ac:dyDescent="0.2">
      <c r="A635" s="219"/>
      <c r="B635" s="219"/>
      <c r="C635" s="205"/>
      <c r="D635" s="205"/>
      <c r="E635" s="192"/>
      <c r="F635" s="205"/>
      <c r="G635" s="205"/>
      <c r="H635"/>
      <c r="O635" s="192"/>
      <c r="P635" s="192"/>
      <c r="Q635" s="205"/>
      <c r="AB635" s="205"/>
      <c r="AC635" s="205"/>
      <c r="AE635"/>
    </row>
    <row r="636" spans="1:31" x14ac:dyDescent="0.2">
      <c r="A636" s="219"/>
      <c r="B636" s="219"/>
      <c r="C636" s="205"/>
      <c r="D636" s="205"/>
      <c r="E636" s="192"/>
      <c r="F636" s="205"/>
      <c r="G636" s="205"/>
      <c r="H636"/>
      <c r="O636" s="192"/>
      <c r="P636" s="192"/>
      <c r="Q636" s="205"/>
      <c r="AB636" s="205"/>
      <c r="AC636" s="205"/>
      <c r="AE636"/>
    </row>
    <row r="637" spans="1:31" x14ac:dyDescent="0.2">
      <c r="A637" s="219"/>
      <c r="B637" s="219"/>
      <c r="C637" s="205"/>
      <c r="D637" s="205"/>
      <c r="E637" s="192"/>
      <c r="F637" s="205"/>
      <c r="G637" s="205"/>
      <c r="H637"/>
      <c r="O637" s="192"/>
      <c r="P637" s="192"/>
      <c r="Q637" s="205"/>
      <c r="AB637" s="205"/>
      <c r="AC637" s="205"/>
      <c r="AE637"/>
    </row>
    <row r="638" spans="1:31" x14ac:dyDescent="0.2">
      <c r="A638" s="219"/>
      <c r="B638" s="219"/>
      <c r="C638" s="205"/>
      <c r="D638" s="205"/>
      <c r="E638" s="192"/>
      <c r="F638" s="205"/>
      <c r="G638" s="205"/>
      <c r="H638"/>
      <c r="O638" s="192"/>
      <c r="P638" s="192"/>
      <c r="Q638" s="205"/>
      <c r="AB638" s="205"/>
      <c r="AC638" s="205"/>
      <c r="AE638"/>
    </row>
    <row r="639" spans="1:31" x14ac:dyDescent="0.2">
      <c r="A639" s="219"/>
      <c r="B639" s="219"/>
      <c r="C639" s="205"/>
      <c r="D639" s="205"/>
      <c r="E639" s="192"/>
      <c r="F639" s="205"/>
      <c r="G639" s="205"/>
      <c r="H639"/>
      <c r="O639" s="192"/>
      <c r="P639" s="192"/>
      <c r="Q639" s="205"/>
      <c r="AB639" s="205"/>
      <c r="AC639" s="205"/>
      <c r="AE639"/>
    </row>
    <row r="640" spans="1:31" x14ac:dyDescent="0.2">
      <c r="A640" s="219"/>
      <c r="B640" s="219"/>
      <c r="C640" s="205"/>
      <c r="D640" s="205"/>
      <c r="E640" s="192"/>
      <c r="F640" s="205"/>
      <c r="G640" s="205"/>
      <c r="H640"/>
      <c r="O640" s="192"/>
      <c r="P640" s="192"/>
      <c r="Q640" s="205"/>
      <c r="AB640" s="205"/>
      <c r="AC640" s="205"/>
      <c r="AE640"/>
    </row>
    <row r="641" spans="1:31" x14ac:dyDescent="0.2">
      <c r="A641" s="219"/>
      <c r="B641" s="219"/>
      <c r="C641" s="205"/>
      <c r="D641" s="205"/>
      <c r="E641" s="192"/>
      <c r="F641" s="205"/>
      <c r="G641" s="205"/>
      <c r="H641"/>
      <c r="O641" s="192"/>
      <c r="P641" s="192"/>
      <c r="Q641" s="205"/>
      <c r="AB641" s="205"/>
      <c r="AC641" s="205"/>
      <c r="AE641"/>
    </row>
    <row r="642" spans="1:31" x14ac:dyDescent="0.2">
      <c r="A642" s="219"/>
      <c r="B642" s="219"/>
      <c r="C642" s="205"/>
      <c r="D642" s="205"/>
      <c r="E642" s="192"/>
      <c r="F642" s="205"/>
      <c r="G642" s="205"/>
      <c r="H642"/>
      <c r="O642" s="192"/>
      <c r="P642" s="192"/>
      <c r="Q642" s="205"/>
      <c r="AB642" s="205"/>
      <c r="AC642" s="205"/>
      <c r="AE642"/>
    </row>
    <row r="643" spans="1:31" x14ac:dyDescent="0.2">
      <c r="A643" s="219"/>
      <c r="B643" s="219"/>
      <c r="C643" s="205"/>
      <c r="D643" s="205"/>
      <c r="E643" s="192"/>
      <c r="F643" s="205"/>
      <c r="G643" s="205"/>
      <c r="H643"/>
      <c r="O643" s="192"/>
      <c r="P643" s="192"/>
      <c r="Q643" s="205"/>
      <c r="AB643" s="205"/>
      <c r="AC643" s="205"/>
      <c r="AE643"/>
    </row>
    <row r="644" spans="1:31" x14ac:dyDescent="0.2">
      <c r="A644" s="219"/>
      <c r="B644" s="219"/>
      <c r="C644" s="205"/>
      <c r="D644" s="205"/>
      <c r="E644" s="192"/>
      <c r="F644" s="205"/>
      <c r="G644" s="205"/>
      <c r="H644"/>
      <c r="O644" s="192"/>
      <c r="P644" s="192"/>
      <c r="Q644" s="205"/>
      <c r="AB644" s="205"/>
      <c r="AC644" s="205"/>
      <c r="AE644"/>
    </row>
    <row r="645" spans="1:31" x14ac:dyDescent="0.2">
      <c r="A645" s="219"/>
      <c r="B645" s="219"/>
      <c r="C645" s="205"/>
      <c r="D645" s="205"/>
      <c r="E645" s="192"/>
      <c r="F645" s="205"/>
      <c r="G645" s="205"/>
      <c r="H645"/>
      <c r="O645" s="192"/>
      <c r="P645" s="192"/>
      <c r="Q645" s="205"/>
      <c r="AB645" s="205"/>
      <c r="AC645" s="205"/>
      <c r="AE645"/>
    </row>
    <row r="646" spans="1:31" x14ac:dyDescent="0.2">
      <c r="A646" s="219"/>
      <c r="B646" s="219"/>
      <c r="C646" s="205"/>
      <c r="D646" s="205"/>
      <c r="E646" s="192"/>
      <c r="F646" s="205"/>
      <c r="G646" s="205"/>
      <c r="H646"/>
      <c r="O646" s="192"/>
      <c r="P646" s="192"/>
      <c r="Q646" s="205"/>
      <c r="AB646" s="205"/>
      <c r="AC646" s="205"/>
      <c r="AE646"/>
    </row>
    <row r="647" spans="1:31" x14ac:dyDescent="0.2">
      <c r="A647" s="219"/>
      <c r="B647" s="219"/>
      <c r="C647" s="205"/>
      <c r="D647" s="205"/>
      <c r="E647" s="192"/>
      <c r="F647" s="205"/>
      <c r="G647" s="205"/>
      <c r="H647"/>
      <c r="O647" s="192"/>
      <c r="P647" s="192"/>
      <c r="Q647" s="205"/>
      <c r="AB647" s="205"/>
      <c r="AC647" s="205"/>
      <c r="AE647"/>
    </row>
    <row r="648" spans="1:31" x14ac:dyDescent="0.2">
      <c r="A648" s="219"/>
      <c r="B648" s="219"/>
      <c r="C648" s="205"/>
      <c r="D648" s="205"/>
      <c r="E648" s="192"/>
      <c r="F648" s="205"/>
      <c r="G648" s="205"/>
      <c r="H648"/>
      <c r="O648" s="192"/>
      <c r="P648" s="192"/>
      <c r="Q648" s="205"/>
      <c r="AB648" s="205"/>
      <c r="AC648" s="205"/>
      <c r="AE648"/>
    </row>
    <row r="649" spans="1:31" x14ac:dyDescent="0.2">
      <c r="A649" s="219"/>
      <c r="B649" s="219"/>
      <c r="C649" s="205"/>
      <c r="D649" s="205"/>
      <c r="E649" s="192"/>
      <c r="F649" s="205"/>
      <c r="G649" s="205"/>
      <c r="H649" s="205"/>
      <c r="O649" s="192"/>
      <c r="P649" s="192"/>
      <c r="Q649" s="205"/>
      <c r="AB649" s="205"/>
      <c r="AC649" s="205"/>
      <c r="AE649"/>
    </row>
    <row r="650" spans="1:31" x14ac:dyDescent="0.2">
      <c r="A650" s="219"/>
      <c r="B650" s="219"/>
      <c r="C650" s="205"/>
      <c r="D650" s="205"/>
      <c r="E650" s="192"/>
      <c r="F650" s="205"/>
      <c r="G650" s="205"/>
      <c r="H650" s="205"/>
      <c r="O650" s="192"/>
      <c r="P650" s="192"/>
      <c r="Q650" s="205"/>
      <c r="AB650" s="205"/>
      <c r="AC650" s="205"/>
      <c r="AE650"/>
    </row>
    <row r="651" spans="1:31" x14ac:dyDescent="0.2">
      <c r="A651" s="219"/>
      <c r="B651" s="219"/>
      <c r="C651" s="205"/>
      <c r="D651" s="205"/>
      <c r="E651" s="192"/>
      <c r="F651" s="205"/>
      <c r="G651" s="205"/>
      <c r="H651" s="205"/>
      <c r="O651" s="192"/>
      <c r="P651" s="192"/>
      <c r="Q651" s="205"/>
      <c r="AB651" s="205"/>
      <c r="AC651" s="205"/>
      <c r="AE651"/>
    </row>
    <row r="652" spans="1:31" x14ac:dyDescent="0.2">
      <c r="A652" s="219"/>
      <c r="B652" s="219"/>
      <c r="C652" s="205"/>
      <c r="D652" s="205"/>
      <c r="E652" s="192"/>
      <c r="F652" s="205"/>
      <c r="G652" s="205"/>
      <c r="H652"/>
      <c r="O652" s="192"/>
      <c r="P652" s="192"/>
      <c r="Q652" s="205"/>
      <c r="AB652" s="205"/>
      <c r="AC652" s="205"/>
      <c r="AE652"/>
    </row>
    <row r="653" spans="1:31" x14ac:dyDescent="0.2">
      <c r="A653" s="219"/>
      <c r="B653" s="219"/>
      <c r="C653" s="205"/>
      <c r="D653" s="205"/>
      <c r="E653" s="192"/>
      <c r="F653" s="205"/>
      <c r="G653" s="205"/>
      <c r="H653"/>
      <c r="O653" s="192"/>
      <c r="P653" s="192"/>
      <c r="Q653" s="205"/>
      <c r="AB653" s="205"/>
      <c r="AC653" s="205"/>
      <c r="AE653"/>
    </row>
    <row r="654" spans="1:31" x14ac:dyDescent="0.2">
      <c r="A654" s="219"/>
      <c r="B654" s="219"/>
      <c r="C654" s="205"/>
      <c r="D654" s="205"/>
      <c r="E654" s="192"/>
      <c r="F654" s="205"/>
      <c r="G654" s="205"/>
      <c r="H654" s="205"/>
      <c r="O654" s="192"/>
      <c r="P654" s="192"/>
      <c r="Q654" s="205"/>
      <c r="AB654" s="205"/>
      <c r="AC654" s="205"/>
      <c r="AE654"/>
    </row>
    <row r="655" spans="1:31" x14ac:dyDescent="0.2">
      <c r="A655" s="219"/>
      <c r="B655" s="219"/>
      <c r="C655" s="205"/>
      <c r="D655" s="205"/>
      <c r="E655" s="192"/>
      <c r="F655" s="205"/>
      <c r="G655"/>
      <c r="H655"/>
      <c r="O655" s="192"/>
      <c r="P655" s="192"/>
      <c r="Q655" s="205"/>
      <c r="AB655" s="205"/>
      <c r="AC655" s="205"/>
      <c r="AE655"/>
    </row>
    <row r="656" spans="1:31" x14ac:dyDescent="0.2">
      <c r="A656" s="219"/>
      <c r="B656" s="219"/>
      <c r="C656" s="205"/>
      <c r="D656" s="205"/>
      <c r="E656" s="192"/>
      <c r="F656" s="205"/>
      <c r="G656" s="205"/>
      <c r="H656"/>
      <c r="O656" s="192"/>
      <c r="P656" s="192"/>
      <c r="Q656" s="205"/>
      <c r="AB656" s="205"/>
      <c r="AC656" s="205"/>
      <c r="AE656"/>
    </row>
    <row r="657" spans="1:31" x14ac:dyDescent="0.2">
      <c r="A657" s="219"/>
      <c r="B657" s="219"/>
      <c r="C657" s="205"/>
      <c r="D657" s="205"/>
      <c r="E657" s="192"/>
      <c r="F657" s="205"/>
      <c r="G657" s="205"/>
      <c r="H657"/>
      <c r="O657" s="192"/>
      <c r="P657" s="192"/>
      <c r="Q657" s="205"/>
      <c r="AB657" s="205"/>
      <c r="AC657" s="205"/>
      <c r="AE657"/>
    </row>
    <row r="658" spans="1:31" x14ac:dyDescent="0.2">
      <c r="A658" s="219"/>
      <c r="B658" s="219"/>
      <c r="C658" s="205"/>
      <c r="D658" s="205"/>
      <c r="E658" s="192"/>
      <c r="F658" s="205"/>
      <c r="G658" s="205"/>
      <c r="H658"/>
      <c r="O658" s="192"/>
      <c r="P658" s="192"/>
      <c r="Q658" s="205"/>
      <c r="AB658" s="205"/>
      <c r="AC658" s="205"/>
      <c r="AE658"/>
    </row>
    <row r="659" spans="1:31" x14ac:dyDescent="0.2">
      <c r="A659" s="219"/>
      <c r="B659" s="219"/>
      <c r="C659" s="205"/>
      <c r="D659" s="205"/>
      <c r="E659" s="192"/>
      <c r="F659" s="205"/>
      <c r="G659"/>
      <c r="H659"/>
      <c r="O659" s="192"/>
      <c r="P659" s="192"/>
      <c r="Q659" s="205"/>
      <c r="AB659" s="205"/>
      <c r="AC659" s="205"/>
      <c r="AE659"/>
    </row>
    <row r="660" spans="1:31" x14ac:dyDescent="0.2">
      <c r="A660" s="219"/>
      <c r="B660" s="219"/>
      <c r="C660" s="205"/>
      <c r="D660" s="205"/>
      <c r="E660" s="192"/>
      <c r="F660" s="205"/>
      <c r="G660" s="205"/>
      <c r="H660"/>
      <c r="O660" s="192"/>
      <c r="P660" s="192"/>
      <c r="Q660" s="205"/>
      <c r="AB660" s="205"/>
      <c r="AC660" s="205"/>
      <c r="AE660"/>
    </row>
    <row r="661" spans="1:31" x14ac:dyDescent="0.2">
      <c r="A661" s="219"/>
      <c r="B661" s="219"/>
      <c r="C661" s="205"/>
      <c r="D661" s="205"/>
      <c r="E661" s="192"/>
      <c r="F661" s="205"/>
      <c r="G661" s="205"/>
      <c r="H661"/>
      <c r="O661" s="192"/>
      <c r="P661" s="192"/>
      <c r="Q661" s="205"/>
      <c r="AB661" s="205"/>
      <c r="AC661" s="205"/>
      <c r="AE661"/>
    </row>
    <row r="662" spans="1:31" x14ac:dyDescent="0.2">
      <c r="A662" s="219"/>
      <c r="B662" s="219"/>
      <c r="C662" s="205"/>
      <c r="D662" s="205"/>
      <c r="E662" s="192"/>
      <c r="F662" s="205"/>
      <c r="G662" s="205"/>
      <c r="H662"/>
      <c r="O662" s="192"/>
      <c r="P662" s="192"/>
      <c r="Q662" s="205"/>
      <c r="AB662" s="205"/>
      <c r="AC662" s="205"/>
      <c r="AE662"/>
    </row>
    <row r="663" spans="1:31" x14ac:dyDescent="0.2">
      <c r="A663" s="219"/>
      <c r="B663" s="219"/>
      <c r="C663" s="205"/>
      <c r="D663" s="205"/>
      <c r="E663" s="192"/>
      <c r="F663" s="205"/>
      <c r="G663" s="205"/>
      <c r="H663"/>
      <c r="O663" s="192"/>
      <c r="P663" s="192"/>
      <c r="Q663" s="205"/>
      <c r="AB663" s="205"/>
      <c r="AC663" s="205"/>
      <c r="AE663"/>
    </row>
    <row r="664" spans="1:31" x14ac:dyDescent="0.2">
      <c r="A664" s="219"/>
      <c r="B664" s="219"/>
      <c r="C664" s="205"/>
      <c r="D664" s="205"/>
      <c r="E664" s="192"/>
      <c r="F664" s="205"/>
      <c r="G664"/>
      <c r="H664"/>
      <c r="O664" s="192"/>
      <c r="P664" s="192"/>
      <c r="Q664" s="205"/>
      <c r="AB664" s="205"/>
      <c r="AC664" s="205"/>
      <c r="AE664"/>
    </row>
    <row r="665" spans="1:31" x14ac:dyDescent="0.2">
      <c r="A665" s="219"/>
      <c r="B665" s="219"/>
      <c r="C665" s="205"/>
      <c r="D665" s="205"/>
      <c r="E665" s="192"/>
      <c r="F665" s="205"/>
      <c r="G665" s="205"/>
      <c r="H665"/>
      <c r="O665" s="192"/>
      <c r="P665" s="192"/>
      <c r="Q665" s="205"/>
      <c r="AB665" s="205"/>
      <c r="AC665" s="205"/>
      <c r="AE665"/>
    </row>
    <row r="666" spans="1:31" x14ac:dyDescent="0.2">
      <c r="A666" s="219"/>
      <c r="B666" s="219"/>
      <c r="C666" s="205"/>
      <c r="D666" s="205"/>
      <c r="E666" s="192"/>
      <c r="F666" s="205"/>
      <c r="G666"/>
      <c r="H666"/>
      <c r="O666" s="192"/>
      <c r="P666" s="192"/>
      <c r="Q666" s="205"/>
      <c r="AB666" s="205"/>
      <c r="AC666" s="205"/>
      <c r="AE666"/>
    </row>
    <row r="667" spans="1:31" x14ac:dyDescent="0.2">
      <c r="A667" s="219"/>
      <c r="B667" s="219"/>
      <c r="C667" s="205"/>
      <c r="D667" s="205"/>
      <c r="E667" s="192"/>
      <c r="F667" s="205"/>
      <c r="G667"/>
      <c r="H667"/>
      <c r="O667" s="192"/>
      <c r="P667" s="192"/>
      <c r="Q667" s="205"/>
      <c r="AB667" s="205"/>
      <c r="AC667" s="205"/>
      <c r="AE667"/>
    </row>
    <row r="668" spans="1:31" x14ac:dyDescent="0.2">
      <c r="A668" s="219"/>
      <c r="B668" s="219"/>
      <c r="C668" s="205"/>
      <c r="D668" s="205"/>
      <c r="E668" s="192"/>
      <c r="F668" s="205"/>
      <c r="G668" s="205"/>
      <c r="H668"/>
      <c r="O668" s="192"/>
      <c r="P668" s="192"/>
      <c r="Q668" s="205"/>
      <c r="AB668" s="205"/>
      <c r="AC668" s="205"/>
      <c r="AE668"/>
    </row>
    <row r="669" spans="1:31" x14ac:dyDescent="0.2">
      <c r="A669" s="219"/>
      <c r="B669" s="219"/>
      <c r="C669" s="205"/>
      <c r="D669" s="205"/>
      <c r="E669" s="192"/>
      <c r="F669" s="205"/>
      <c r="G669" s="205"/>
      <c r="H669"/>
      <c r="O669" s="192"/>
      <c r="P669" s="192"/>
      <c r="Q669" s="205"/>
      <c r="AB669" s="205"/>
      <c r="AC669" s="205"/>
      <c r="AE669"/>
    </row>
    <row r="670" spans="1:31" x14ac:dyDescent="0.2">
      <c r="A670" s="219"/>
      <c r="B670" s="219"/>
      <c r="C670" s="205"/>
      <c r="D670" s="205"/>
      <c r="E670" s="192"/>
      <c r="F670" s="205"/>
      <c r="G670" s="205"/>
      <c r="H670"/>
      <c r="O670" s="192"/>
      <c r="P670" s="192"/>
      <c r="Q670" s="205"/>
      <c r="AB670" s="205"/>
      <c r="AC670" s="205"/>
      <c r="AE670"/>
    </row>
    <row r="671" spans="1:31" x14ac:dyDescent="0.2">
      <c r="A671" s="219"/>
      <c r="B671" s="219"/>
      <c r="C671" s="205"/>
      <c r="D671" s="205"/>
      <c r="E671" s="192"/>
      <c r="F671" s="205"/>
      <c r="G671"/>
      <c r="H671"/>
      <c r="O671" s="192"/>
      <c r="P671" s="192"/>
      <c r="Q671" s="205"/>
      <c r="AB671" s="205"/>
      <c r="AC671" s="205"/>
      <c r="AE671"/>
    </row>
    <row r="672" spans="1:31" x14ac:dyDescent="0.2">
      <c r="A672" s="219"/>
      <c r="B672" s="219"/>
      <c r="C672" s="205"/>
      <c r="D672" s="205"/>
      <c r="E672" s="192"/>
      <c r="F672" s="205"/>
      <c r="G672" s="205"/>
      <c r="H672" s="205"/>
      <c r="O672" s="192"/>
      <c r="P672" s="192"/>
      <c r="Q672" s="205"/>
      <c r="AB672" s="205"/>
      <c r="AC672" s="205"/>
      <c r="AE672"/>
    </row>
    <row r="673" spans="1:31" x14ac:dyDescent="0.2">
      <c r="A673" s="219"/>
      <c r="B673" s="219"/>
      <c r="C673" s="205"/>
      <c r="D673" s="205"/>
      <c r="E673" s="192"/>
      <c r="F673" s="205"/>
      <c r="G673"/>
      <c r="H673"/>
      <c r="O673" s="192"/>
      <c r="P673" s="192"/>
      <c r="Q673" s="205"/>
      <c r="AB673" s="205"/>
      <c r="AC673" s="205"/>
      <c r="AE673"/>
    </row>
    <row r="674" spans="1:31" x14ac:dyDescent="0.2">
      <c r="A674" s="219"/>
      <c r="B674" s="219"/>
      <c r="C674" s="205"/>
      <c r="D674" s="205"/>
      <c r="E674" s="192"/>
      <c r="F674" s="205"/>
      <c r="G674"/>
      <c r="H674"/>
      <c r="O674" s="192"/>
      <c r="P674" s="192"/>
      <c r="Q674" s="205"/>
      <c r="AB674" s="205"/>
      <c r="AC674" s="205"/>
      <c r="AE674"/>
    </row>
    <row r="675" spans="1:31" x14ac:dyDescent="0.2">
      <c r="A675" s="219"/>
      <c r="B675" s="219"/>
      <c r="C675" s="205"/>
      <c r="D675" s="205"/>
      <c r="E675" s="192"/>
      <c r="F675" s="205"/>
      <c r="G675"/>
      <c r="H675"/>
      <c r="O675" s="192"/>
      <c r="P675" s="192"/>
      <c r="Q675" s="205"/>
      <c r="AB675" s="205"/>
      <c r="AC675" s="205"/>
      <c r="AE675"/>
    </row>
    <row r="676" spans="1:31" x14ac:dyDescent="0.2">
      <c r="A676" s="219"/>
      <c r="B676" s="219"/>
      <c r="C676" s="205"/>
      <c r="D676" s="205"/>
      <c r="E676" s="192"/>
      <c r="F676" s="205"/>
      <c r="G676" s="205"/>
      <c r="H676" s="205"/>
      <c r="O676" s="192"/>
      <c r="P676" s="192"/>
      <c r="Q676" s="205"/>
      <c r="AB676" s="205"/>
      <c r="AC676" s="205"/>
      <c r="AE676"/>
    </row>
    <row r="677" spans="1:31" x14ac:dyDescent="0.2">
      <c r="A677" s="219"/>
      <c r="B677" s="219"/>
      <c r="C677" s="205"/>
      <c r="D677" s="205"/>
      <c r="E677" s="192"/>
      <c r="F677" s="205"/>
      <c r="G677" s="205"/>
      <c r="H677"/>
      <c r="O677" s="192"/>
      <c r="P677" s="192"/>
      <c r="Q677" s="205"/>
      <c r="AB677" s="205"/>
      <c r="AC677" s="205"/>
      <c r="AE677"/>
    </row>
    <row r="678" spans="1:31" x14ac:dyDescent="0.2">
      <c r="A678" s="219"/>
      <c r="B678" s="219"/>
      <c r="C678" s="205"/>
      <c r="D678" s="205"/>
      <c r="E678" s="192"/>
      <c r="F678" s="205"/>
      <c r="G678" s="205"/>
      <c r="H678"/>
      <c r="O678" s="192"/>
      <c r="P678" s="192"/>
      <c r="Q678" s="205"/>
      <c r="AB678" s="205"/>
      <c r="AC678" s="205"/>
      <c r="AE678"/>
    </row>
    <row r="679" spans="1:31" x14ac:dyDescent="0.2">
      <c r="A679" s="219"/>
      <c r="B679" s="219"/>
      <c r="C679" s="205"/>
      <c r="D679" s="205"/>
      <c r="E679" s="192"/>
      <c r="F679" s="205"/>
      <c r="G679"/>
      <c r="H679"/>
      <c r="O679" s="192"/>
      <c r="P679" s="192"/>
      <c r="Q679" s="205"/>
      <c r="AB679" s="205"/>
      <c r="AC679" s="205"/>
      <c r="AE679"/>
    </row>
    <row r="680" spans="1:31" x14ac:dyDescent="0.2">
      <c r="A680" s="219"/>
      <c r="B680" s="219"/>
      <c r="C680" s="205"/>
      <c r="D680" s="205"/>
      <c r="E680" s="192"/>
      <c r="F680" s="205"/>
      <c r="G680" s="205"/>
      <c r="H680"/>
      <c r="O680" s="192"/>
      <c r="P680" s="192"/>
      <c r="Q680" s="205"/>
      <c r="AB680" s="205"/>
      <c r="AC680" s="205"/>
      <c r="AE680"/>
    </row>
    <row r="681" spans="1:31" x14ac:dyDescent="0.2">
      <c r="A681" s="219"/>
      <c r="B681" s="219"/>
      <c r="C681" s="205"/>
      <c r="D681" s="205"/>
      <c r="E681" s="192"/>
      <c r="F681" s="205"/>
      <c r="G681" s="205"/>
      <c r="H681"/>
      <c r="O681" s="192"/>
      <c r="P681" s="192"/>
      <c r="Q681" s="205"/>
      <c r="AB681" s="205"/>
      <c r="AC681" s="205"/>
      <c r="AE681"/>
    </row>
    <row r="682" spans="1:31" x14ac:dyDescent="0.2">
      <c r="A682" s="219"/>
      <c r="B682" s="219"/>
      <c r="C682" s="205"/>
      <c r="D682" s="205"/>
      <c r="E682" s="192"/>
      <c r="F682" s="205"/>
      <c r="G682" s="205"/>
      <c r="H682" s="205"/>
      <c r="O682" s="192"/>
      <c r="P682" s="192"/>
      <c r="Q682" s="205"/>
      <c r="AB682" s="205"/>
      <c r="AC682" s="205"/>
      <c r="AE682"/>
    </row>
    <row r="683" spans="1:31" x14ac:dyDescent="0.2">
      <c r="A683" s="219"/>
      <c r="B683" s="219"/>
      <c r="C683" s="205"/>
      <c r="D683" s="205"/>
      <c r="E683" s="192"/>
      <c r="F683" s="205"/>
      <c r="G683"/>
      <c r="H683"/>
      <c r="O683" s="192"/>
      <c r="P683" s="192"/>
      <c r="Q683" s="205"/>
      <c r="AB683" s="205"/>
      <c r="AC683" s="205"/>
      <c r="AE683"/>
    </row>
    <row r="684" spans="1:31" x14ac:dyDescent="0.2">
      <c r="A684" s="219"/>
      <c r="B684" s="219"/>
      <c r="C684" s="205"/>
      <c r="D684" s="205"/>
      <c r="E684" s="192"/>
      <c r="F684" s="205"/>
      <c r="G684"/>
      <c r="H684"/>
      <c r="O684" s="192"/>
      <c r="P684" s="192"/>
      <c r="Q684" s="205"/>
      <c r="AB684" s="205"/>
      <c r="AC684" s="205"/>
      <c r="AE684"/>
    </row>
    <row r="685" spans="1:31" x14ac:dyDescent="0.2">
      <c r="A685" s="219"/>
      <c r="B685" s="219"/>
      <c r="C685" s="205"/>
      <c r="D685" s="205"/>
      <c r="E685" s="192"/>
      <c r="F685" s="205"/>
      <c r="G685" s="205"/>
      <c r="H685" s="205"/>
      <c r="O685" s="192"/>
      <c r="P685" s="192"/>
      <c r="Q685" s="205"/>
      <c r="AB685" s="205"/>
      <c r="AC685" s="205"/>
      <c r="AE685"/>
    </row>
    <row r="686" spans="1:31" x14ac:dyDescent="0.2">
      <c r="A686" s="219"/>
      <c r="B686" s="219"/>
      <c r="C686" s="205"/>
      <c r="D686" s="205"/>
      <c r="E686" s="192"/>
      <c r="F686" s="205"/>
      <c r="G686" s="205"/>
      <c r="H686"/>
      <c r="O686" s="192"/>
      <c r="P686" s="192"/>
      <c r="Q686" s="205"/>
      <c r="AB686" s="205"/>
      <c r="AC686" s="205"/>
      <c r="AE686"/>
    </row>
    <row r="687" spans="1:31" x14ac:dyDescent="0.2">
      <c r="A687" s="219"/>
      <c r="B687" s="219"/>
      <c r="C687" s="205"/>
      <c r="D687" s="205"/>
      <c r="E687" s="192"/>
      <c r="F687" s="205"/>
      <c r="G687"/>
      <c r="H687"/>
      <c r="O687" s="192"/>
      <c r="P687" s="192"/>
      <c r="Q687" s="205"/>
      <c r="AB687" s="205"/>
      <c r="AC687" s="205"/>
      <c r="AE687"/>
    </row>
    <row r="688" spans="1:31" x14ac:dyDescent="0.2">
      <c r="A688" s="219"/>
      <c r="B688" s="219"/>
      <c r="C688" s="205"/>
      <c r="D688" s="205"/>
      <c r="E688" s="192"/>
      <c r="F688" s="205"/>
      <c r="G688"/>
      <c r="H688"/>
      <c r="O688" s="192"/>
      <c r="P688" s="192"/>
      <c r="Q688" s="205"/>
      <c r="AB688" s="205"/>
      <c r="AC688" s="205"/>
      <c r="AE688"/>
    </row>
    <row r="689" spans="1:31" x14ac:dyDescent="0.2">
      <c r="A689" s="219"/>
      <c r="B689" s="219"/>
      <c r="C689" s="205"/>
      <c r="D689" s="205"/>
      <c r="E689" s="192"/>
      <c r="F689" s="205"/>
      <c r="G689" s="205"/>
      <c r="H689"/>
      <c r="O689" s="192"/>
      <c r="P689" s="192"/>
      <c r="Q689" s="205"/>
      <c r="AB689" s="205"/>
      <c r="AC689" s="205"/>
      <c r="AE689"/>
    </row>
    <row r="690" spans="1:31" x14ac:dyDescent="0.2">
      <c r="A690" s="219"/>
      <c r="B690" s="219"/>
      <c r="C690" s="205"/>
      <c r="D690" s="205"/>
      <c r="E690" s="192"/>
      <c r="F690" s="205"/>
      <c r="G690" s="205"/>
      <c r="H690"/>
      <c r="O690" s="192"/>
      <c r="P690" s="192"/>
      <c r="Q690" s="205"/>
      <c r="AB690" s="205"/>
      <c r="AC690" s="205"/>
      <c r="AE690"/>
    </row>
    <row r="691" spans="1:31" x14ac:dyDescent="0.2">
      <c r="A691" s="219"/>
      <c r="B691" s="219"/>
      <c r="C691" s="205"/>
      <c r="D691" s="205"/>
      <c r="E691" s="192"/>
      <c r="F691" s="205"/>
      <c r="G691" s="205"/>
      <c r="H691" s="205"/>
      <c r="O691" s="192"/>
      <c r="P691" s="192"/>
      <c r="Q691" s="205"/>
      <c r="AB691" s="205"/>
      <c r="AC691" s="205"/>
      <c r="AE691"/>
    </row>
    <row r="692" spans="1:31" x14ac:dyDescent="0.2">
      <c r="A692" s="219"/>
      <c r="B692" s="219"/>
      <c r="C692" s="205"/>
      <c r="D692" s="205"/>
      <c r="E692" s="192"/>
      <c r="F692" s="205"/>
      <c r="G692" s="205"/>
      <c r="H692"/>
      <c r="O692" s="192"/>
      <c r="P692" s="192"/>
      <c r="Q692" s="205"/>
      <c r="AB692" s="205"/>
      <c r="AC692" s="205"/>
      <c r="AE692"/>
    </row>
    <row r="693" spans="1:31" x14ac:dyDescent="0.2">
      <c r="A693" s="219"/>
      <c r="B693" s="219"/>
      <c r="C693" s="205"/>
      <c r="D693" s="205"/>
      <c r="E693" s="192"/>
      <c r="F693" s="205"/>
      <c r="G693" s="205"/>
      <c r="H693" s="205"/>
      <c r="O693" s="192"/>
      <c r="P693" s="192"/>
      <c r="Q693" s="205"/>
      <c r="AB693" s="205"/>
      <c r="AC693" s="205"/>
      <c r="AE693"/>
    </row>
    <row r="694" spans="1:31" x14ac:dyDescent="0.2">
      <c r="A694" s="219"/>
      <c r="B694" s="219"/>
      <c r="C694" s="205"/>
      <c r="D694" s="205"/>
      <c r="E694" s="192"/>
      <c r="F694" s="205"/>
      <c r="G694" s="205"/>
      <c r="H694"/>
      <c r="O694" s="192"/>
      <c r="P694" s="192"/>
      <c r="Q694" s="205"/>
      <c r="AB694" s="205"/>
      <c r="AC694" s="205"/>
      <c r="AE694"/>
    </row>
    <row r="695" spans="1:31" x14ac:dyDescent="0.2">
      <c r="A695" s="219"/>
      <c r="B695" s="219"/>
      <c r="C695" s="205"/>
      <c r="D695" s="205"/>
      <c r="E695" s="192"/>
      <c r="F695" s="205"/>
      <c r="G695" s="205"/>
      <c r="H695"/>
      <c r="O695" s="192"/>
      <c r="P695" s="192"/>
      <c r="Q695" s="205"/>
      <c r="AB695" s="205"/>
      <c r="AC695" s="205"/>
      <c r="AE695"/>
    </row>
    <row r="696" spans="1:31" x14ac:dyDescent="0.2">
      <c r="A696" s="219"/>
      <c r="B696" s="219"/>
      <c r="C696" s="205"/>
      <c r="D696" s="205"/>
      <c r="E696" s="192"/>
      <c r="F696" s="205"/>
      <c r="G696"/>
      <c r="H696"/>
      <c r="O696" s="192"/>
      <c r="P696" s="192"/>
      <c r="Q696" s="205"/>
      <c r="AB696" s="205"/>
      <c r="AC696" s="205"/>
      <c r="AE696"/>
    </row>
    <row r="697" spans="1:31" x14ac:dyDescent="0.2">
      <c r="A697" s="219"/>
      <c r="B697" s="219"/>
      <c r="C697" s="205"/>
      <c r="D697" s="205"/>
      <c r="E697" s="192"/>
      <c r="F697" s="205"/>
      <c r="G697" s="205"/>
      <c r="H697"/>
      <c r="O697" s="192"/>
      <c r="P697" s="192"/>
      <c r="Q697" s="205"/>
      <c r="AB697" s="205"/>
      <c r="AC697" s="205"/>
      <c r="AE697"/>
    </row>
    <row r="698" spans="1:31" x14ac:dyDescent="0.2">
      <c r="A698" s="219"/>
      <c r="B698" s="219"/>
      <c r="C698" s="205"/>
      <c r="D698" s="205"/>
      <c r="E698" s="192"/>
      <c r="F698" s="205"/>
      <c r="G698" s="205"/>
      <c r="H698" s="205"/>
      <c r="O698" s="192"/>
      <c r="P698" s="192"/>
      <c r="Q698" s="205"/>
      <c r="AB698" s="205"/>
      <c r="AC698" s="205"/>
      <c r="AE698"/>
    </row>
    <row r="699" spans="1:31" x14ac:dyDescent="0.2">
      <c r="A699" s="219"/>
      <c r="B699" s="219"/>
      <c r="C699" s="205"/>
      <c r="D699" s="205"/>
      <c r="E699" s="192"/>
      <c r="F699" s="205"/>
      <c r="G699" s="205"/>
      <c r="H699" s="205"/>
      <c r="O699" s="192"/>
      <c r="P699" s="192"/>
      <c r="Q699" s="205"/>
      <c r="AB699" s="205"/>
      <c r="AC699" s="205"/>
      <c r="AE699"/>
    </row>
    <row r="700" spans="1:31" x14ac:dyDescent="0.2">
      <c r="A700" s="219"/>
      <c r="B700" s="219"/>
      <c r="C700" s="205"/>
      <c r="D700" s="205"/>
      <c r="E700" s="192"/>
      <c r="F700" s="205"/>
      <c r="G700"/>
      <c r="H700"/>
      <c r="O700" s="192"/>
      <c r="P700" s="192"/>
      <c r="Q700" s="205"/>
      <c r="AB700" s="205"/>
      <c r="AC700" s="205"/>
      <c r="AE700"/>
    </row>
    <row r="701" spans="1:31" x14ac:dyDescent="0.2">
      <c r="A701" s="219"/>
      <c r="B701" s="219"/>
      <c r="C701" s="205"/>
      <c r="D701" s="205"/>
      <c r="E701" s="192"/>
      <c r="F701" s="205"/>
      <c r="G701" s="205"/>
      <c r="H701"/>
      <c r="O701" s="192"/>
      <c r="P701" s="192"/>
      <c r="Q701" s="205"/>
      <c r="AB701" s="205"/>
      <c r="AC701" s="205"/>
      <c r="AE701"/>
    </row>
    <row r="702" spans="1:31" x14ac:dyDescent="0.2">
      <c r="A702" s="219"/>
      <c r="B702" s="219"/>
      <c r="C702" s="205"/>
      <c r="D702" s="205"/>
      <c r="E702" s="192"/>
      <c r="F702" s="205"/>
      <c r="G702" s="205"/>
      <c r="H702"/>
      <c r="O702" s="192"/>
      <c r="P702" s="192"/>
      <c r="Q702" s="205"/>
      <c r="AB702" s="205"/>
      <c r="AC702" s="205"/>
      <c r="AE702"/>
    </row>
    <row r="703" spans="1:31" x14ac:dyDescent="0.2">
      <c r="A703" s="219"/>
      <c r="B703" s="219"/>
      <c r="C703" s="205"/>
      <c r="D703" s="205"/>
      <c r="E703" s="192"/>
      <c r="F703" s="205"/>
      <c r="G703" s="205"/>
      <c r="H703"/>
      <c r="O703" s="192"/>
      <c r="P703" s="192"/>
      <c r="Q703" s="205"/>
      <c r="AB703" s="205"/>
      <c r="AC703" s="205"/>
      <c r="AE703"/>
    </row>
    <row r="704" spans="1:31" x14ac:dyDescent="0.2">
      <c r="A704" s="219"/>
      <c r="B704" s="219"/>
      <c r="C704" s="205"/>
      <c r="D704" s="205"/>
      <c r="E704" s="192"/>
      <c r="F704" s="205"/>
      <c r="G704" s="205"/>
      <c r="H704"/>
      <c r="O704" s="192"/>
      <c r="P704" s="192"/>
      <c r="Q704" s="205"/>
      <c r="AB704" s="205"/>
      <c r="AC704" s="205"/>
      <c r="AE704"/>
    </row>
    <row r="705" spans="1:31" x14ac:dyDescent="0.2">
      <c r="A705" s="219"/>
      <c r="B705" s="219"/>
      <c r="C705" s="205"/>
      <c r="D705" s="205"/>
      <c r="E705" s="192"/>
      <c r="F705" s="205"/>
      <c r="G705" s="205"/>
      <c r="H705" s="205"/>
      <c r="O705" s="192"/>
      <c r="P705" s="192"/>
      <c r="Q705" s="205"/>
      <c r="AB705" s="205"/>
      <c r="AC705" s="205"/>
      <c r="AE705"/>
    </row>
    <row r="706" spans="1:31" x14ac:dyDescent="0.2">
      <c r="A706" s="219"/>
      <c r="B706" s="219"/>
      <c r="C706" s="205"/>
      <c r="D706" s="205"/>
      <c r="E706" s="192"/>
      <c r="F706" s="205"/>
      <c r="G706"/>
      <c r="H706"/>
      <c r="O706" s="192"/>
      <c r="P706" s="192"/>
      <c r="Q706" s="205"/>
      <c r="AB706" s="205"/>
      <c r="AC706" s="205"/>
      <c r="AE706"/>
    </row>
    <row r="707" spans="1:31" x14ac:dyDescent="0.2">
      <c r="A707" s="219"/>
      <c r="B707" s="219"/>
      <c r="C707" s="205"/>
      <c r="D707" s="205"/>
      <c r="E707" s="192"/>
      <c r="F707" s="205"/>
      <c r="G707" s="205"/>
      <c r="H707"/>
      <c r="O707" s="192"/>
      <c r="P707" s="192"/>
      <c r="Q707" s="205"/>
      <c r="AB707" s="205"/>
      <c r="AC707" s="205"/>
      <c r="AE707"/>
    </row>
    <row r="708" spans="1:31" x14ac:dyDescent="0.2">
      <c r="A708" s="219"/>
      <c r="B708" s="219"/>
      <c r="C708" s="205"/>
      <c r="D708" s="205"/>
      <c r="E708" s="192"/>
      <c r="F708" s="205"/>
      <c r="G708" s="205"/>
      <c r="H708"/>
      <c r="O708" s="192"/>
      <c r="P708" s="192"/>
      <c r="Q708" s="205"/>
      <c r="AB708" s="205"/>
      <c r="AC708" s="205"/>
      <c r="AE708"/>
    </row>
    <row r="709" spans="1:31" x14ac:dyDescent="0.2">
      <c r="A709" s="219"/>
      <c r="B709" s="219"/>
      <c r="C709" s="205"/>
      <c r="D709" s="205"/>
      <c r="E709" s="192"/>
      <c r="F709" s="205"/>
      <c r="G709" s="205"/>
      <c r="H709"/>
      <c r="O709" s="192"/>
      <c r="P709" s="192"/>
      <c r="Q709" s="205"/>
      <c r="AB709" s="205"/>
      <c r="AC709" s="205"/>
      <c r="AE709"/>
    </row>
    <row r="710" spans="1:31" x14ac:dyDescent="0.2">
      <c r="A710" s="219"/>
      <c r="B710" s="219"/>
      <c r="C710" s="205"/>
      <c r="D710" s="205"/>
      <c r="E710" s="192"/>
      <c r="F710" s="205"/>
      <c r="G710" s="205"/>
      <c r="H710"/>
      <c r="O710" s="192"/>
      <c r="P710" s="192"/>
      <c r="Q710" s="205"/>
      <c r="AB710" s="205"/>
      <c r="AC710" s="205"/>
      <c r="AE710"/>
    </row>
    <row r="711" spans="1:31" x14ac:dyDescent="0.2">
      <c r="A711" s="219"/>
      <c r="B711" s="219"/>
      <c r="C711" s="205"/>
      <c r="D711" s="205"/>
      <c r="E711" s="192"/>
      <c r="F711" s="205"/>
      <c r="G711" s="205"/>
      <c r="H711"/>
      <c r="O711" s="192"/>
      <c r="P711" s="192"/>
      <c r="Q711" s="205"/>
      <c r="AB711" s="205"/>
      <c r="AC711" s="205"/>
      <c r="AE711"/>
    </row>
    <row r="712" spans="1:31" x14ac:dyDescent="0.2">
      <c r="A712" s="219"/>
      <c r="B712" s="219"/>
      <c r="C712" s="205"/>
      <c r="D712" s="205"/>
      <c r="E712" s="192"/>
      <c r="F712" s="205"/>
      <c r="G712" s="205"/>
      <c r="H712"/>
      <c r="O712" s="192"/>
      <c r="P712" s="192"/>
      <c r="Q712" s="205"/>
      <c r="AB712" s="205"/>
      <c r="AC712" s="205"/>
      <c r="AE712"/>
    </row>
    <row r="713" spans="1:31" x14ac:dyDescent="0.2">
      <c r="A713" s="219"/>
      <c r="B713" s="219"/>
      <c r="C713" s="205"/>
      <c r="D713" s="205"/>
      <c r="E713" s="192"/>
      <c r="F713" s="205"/>
      <c r="G713" s="205"/>
      <c r="H713"/>
      <c r="O713" s="192"/>
      <c r="P713" s="192"/>
      <c r="Q713" s="205"/>
      <c r="AB713" s="205"/>
      <c r="AC713" s="205"/>
      <c r="AE713"/>
    </row>
    <row r="714" spans="1:31" x14ac:dyDescent="0.2">
      <c r="A714" s="219"/>
      <c r="B714" s="219"/>
      <c r="C714" s="205"/>
      <c r="D714" s="205"/>
      <c r="E714" s="192"/>
      <c r="F714" s="205"/>
      <c r="G714" s="205"/>
      <c r="H714"/>
      <c r="O714" s="192"/>
      <c r="P714" s="192"/>
      <c r="Q714" s="205"/>
      <c r="AB714" s="205"/>
      <c r="AC714" s="205"/>
      <c r="AE714"/>
    </row>
    <row r="715" spans="1:31" x14ac:dyDescent="0.2">
      <c r="A715" s="219"/>
      <c r="B715" s="219"/>
      <c r="C715" s="205"/>
      <c r="D715" s="205"/>
      <c r="E715" s="192"/>
      <c r="F715" s="205"/>
      <c r="G715" s="205"/>
      <c r="H715"/>
      <c r="O715" s="192"/>
      <c r="P715" s="192"/>
      <c r="Q715" s="205"/>
      <c r="AB715" s="205"/>
      <c r="AC715" s="205"/>
      <c r="AE715"/>
    </row>
    <row r="716" spans="1:31" x14ac:dyDescent="0.2">
      <c r="A716" s="219"/>
      <c r="B716" s="219"/>
      <c r="C716" s="205"/>
      <c r="D716" s="205"/>
      <c r="E716" s="192"/>
      <c r="F716" s="205"/>
      <c r="G716"/>
      <c r="H716"/>
      <c r="O716" s="192"/>
      <c r="P716" s="192"/>
      <c r="Q716" s="205"/>
      <c r="AB716" s="205"/>
      <c r="AC716" s="205"/>
      <c r="AE716"/>
    </row>
    <row r="717" spans="1:31" x14ac:dyDescent="0.2">
      <c r="A717" s="219"/>
      <c r="B717" s="219"/>
      <c r="C717" s="205"/>
      <c r="D717" s="205"/>
      <c r="E717" s="192"/>
      <c r="F717" s="205"/>
      <c r="G717" s="205"/>
      <c r="H717"/>
      <c r="O717" s="192"/>
      <c r="P717" s="192"/>
      <c r="Q717" s="205"/>
      <c r="AB717" s="205"/>
      <c r="AC717" s="205"/>
      <c r="AE717"/>
    </row>
    <row r="718" spans="1:31" x14ac:dyDescent="0.2">
      <c r="A718" s="219"/>
      <c r="B718" s="219"/>
      <c r="C718" s="205"/>
      <c r="D718" s="205"/>
      <c r="E718" s="192"/>
      <c r="F718" s="205"/>
      <c r="G718" s="205"/>
      <c r="H718"/>
      <c r="O718" s="192"/>
      <c r="P718" s="192"/>
      <c r="Q718" s="205"/>
      <c r="AB718" s="205"/>
      <c r="AC718" s="205"/>
      <c r="AE718"/>
    </row>
    <row r="719" spans="1:31" x14ac:dyDescent="0.2">
      <c r="A719" s="219"/>
      <c r="B719" s="219"/>
      <c r="C719" s="205"/>
      <c r="D719" s="205"/>
      <c r="E719" s="192"/>
      <c r="F719" s="205"/>
      <c r="G719"/>
      <c r="H719"/>
      <c r="O719" s="192"/>
      <c r="P719" s="192"/>
      <c r="Q719" s="205"/>
      <c r="AB719" s="205"/>
      <c r="AC719" s="205"/>
      <c r="AE719"/>
    </row>
    <row r="720" spans="1:31" x14ac:dyDescent="0.2">
      <c r="A720" s="219"/>
      <c r="B720" s="219"/>
      <c r="C720" s="205"/>
      <c r="D720" s="205"/>
      <c r="E720" s="192"/>
      <c r="F720" s="205"/>
      <c r="G720" s="205"/>
      <c r="H720" s="205"/>
      <c r="O720" s="192"/>
      <c r="P720" s="192"/>
      <c r="Q720" s="205"/>
      <c r="AB720" s="205"/>
      <c r="AC720" s="205"/>
      <c r="AE720"/>
    </row>
    <row r="721" spans="1:31" x14ac:dyDescent="0.2">
      <c r="A721" s="219"/>
      <c r="B721" s="219"/>
      <c r="C721" s="205"/>
      <c r="D721" s="205"/>
      <c r="E721" s="192"/>
      <c r="F721" s="205"/>
      <c r="G721" s="205"/>
      <c r="H721" s="205"/>
      <c r="O721" s="192"/>
      <c r="P721" s="192"/>
      <c r="Q721" s="205"/>
      <c r="AB721" s="205"/>
      <c r="AC721" s="205"/>
      <c r="AE721"/>
    </row>
    <row r="722" spans="1:31" x14ac:dyDescent="0.2">
      <c r="A722" s="219"/>
      <c r="B722" s="219"/>
      <c r="C722" s="205"/>
      <c r="D722" s="205"/>
      <c r="E722" s="192"/>
      <c r="F722" s="205"/>
      <c r="G722" s="205"/>
      <c r="H722" s="205"/>
      <c r="O722" s="192"/>
      <c r="P722" s="192"/>
      <c r="Q722" s="205"/>
      <c r="AB722" s="205"/>
      <c r="AC722" s="205"/>
      <c r="AE722"/>
    </row>
    <row r="723" spans="1:31" x14ac:dyDescent="0.2">
      <c r="A723" s="219"/>
      <c r="B723" s="219"/>
      <c r="C723" s="205"/>
      <c r="D723" s="205"/>
      <c r="E723" s="192"/>
      <c r="F723" s="205"/>
      <c r="G723" s="205"/>
      <c r="H723"/>
      <c r="O723" s="192"/>
      <c r="P723" s="192"/>
      <c r="Q723" s="205"/>
      <c r="AB723" s="205"/>
      <c r="AC723" s="205"/>
      <c r="AE723"/>
    </row>
    <row r="724" spans="1:31" x14ac:dyDescent="0.2">
      <c r="A724" s="219"/>
      <c r="B724" s="219"/>
      <c r="C724" s="205"/>
      <c r="D724" s="205"/>
      <c r="E724" s="192"/>
      <c r="F724" s="205"/>
      <c r="G724"/>
      <c r="H724"/>
      <c r="O724" s="192"/>
      <c r="P724" s="192"/>
      <c r="Q724" s="205"/>
      <c r="AB724" s="205"/>
      <c r="AC724" s="205"/>
      <c r="AE724"/>
    </row>
    <row r="725" spans="1:31" x14ac:dyDescent="0.2">
      <c r="A725" s="219"/>
      <c r="B725" s="219"/>
      <c r="C725" s="205"/>
      <c r="D725" s="205"/>
      <c r="E725" s="192"/>
      <c r="F725" s="205"/>
      <c r="G725" s="205"/>
      <c r="H725"/>
      <c r="O725" s="192"/>
      <c r="P725" s="192"/>
      <c r="Q725" s="205"/>
      <c r="AB725" s="205"/>
      <c r="AC725" s="205"/>
      <c r="AE725"/>
    </row>
    <row r="726" spans="1:31" x14ac:dyDescent="0.2">
      <c r="A726" s="219"/>
      <c r="B726" s="219"/>
      <c r="C726" s="205"/>
      <c r="D726" s="205"/>
      <c r="E726" s="192"/>
      <c r="F726" s="205"/>
      <c r="G726" s="205"/>
      <c r="H726"/>
      <c r="O726" s="192"/>
      <c r="P726" s="192"/>
      <c r="Q726" s="205"/>
      <c r="AB726" s="205"/>
      <c r="AC726" s="205"/>
      <c r="AE726"/>
    </row>
    <row r="727" spans="1:31" x14ac:dyDescent="0.2">
      <c r="A727" s="219"/>
      <c r="B727" s="219"/>
      <c r="C727" s="205"/>
      <c r="D727" s="205"/>
      <c r="E727" s="192"/>
      <c r="F727" s="205"/>
      <c r="G727" s="205"/>
      <c r="H727" s="205"/>
      <c r="O727" s="192"/>
      <c r="P727" s="192"/>
      <c r="Q727" s="205"/>
      <c r="AB727" s="205"/>
      <c r="AC727" s="205"/>
      <c r="AE727"/>
    </row>
    <row r="728" spans="1:31" x14ac:dyDescent="0.2">
      <c r="A728" s="219"/>
      <c r="B728" s="219"/>
      <c r="C728" s="205"/>
      <c r="D728" s="205"/>
      <c r="E728" s="192"/>
      <c r="F728" s="205"/>
      <c r="G728" s="205"/>
      <c r="H728"/>
      <c r="O728" s="192"/>
      <c r="P728" s="192"/>
      <c r="Q728" s="205"/>
      <c r="AB728" s="205"/>
      <c r="AC728" s="205"/>
      <c r="AE728"/>
    </row>
    <row r="729" spans="1:31" x14ac:dyDescent="0.2">
      <c r="A729" s="219"/>
      <c r="B729" s="219"/>
      <c r="C729" s="205"/>
      <c r="D729" s="205"/>
      <c r="E729" s="192"/>
      <c r="F729" s="205"/>
      <c r="G729" s="205"/>
      <c r="H729"/>
      <c r="O729" s="192"/>
      <c r="P729" s="192"/>
      <c r="Q729" s="205"/>
      <c r="AB729" s="205"/>
      <c r="AC729" s="205"/>
      <c r="AE729"/>
    </row>
    <row r="730" spans="1:31" x14ac:dyDescent="0.2">
      <c r="A730" s="219"/>
      <c r="B730" s="219"/>
      <c r="C730" s="205"/>
      <c r="D730" s="205"/>
      <c r="E730" s="192"/>
      <c r="F730" s="205"/>
      <c r="G730" s="205"/>
      <c r="H730"/>
      <c r="O730" s="192"/>
      <c r="P730" s="192"/>
      <c r="Q730" s="205"/>
      <c r="AB730" s="205"/>
      <c r="AC730" s="205"/>
      <c r="AE730"/>
    </row>
    <row r="731" spans="1:31" x14ac:dyDescent="0.2">
      <c r="A731" s="219"/>
      <c r="B731" s="219"/>
      <c r="C731" s="205"/>
      <c r="D731" s="205"/>
      <c r="E731" s="192"/>
      <c r="F731" s="205"/>
      <c r="G731"/>
      <c r="H731"/>
      <c r="O731" s="192"/>
      <c r="P731" s="192"/>
      <c r="Q731" s="205"/>
      <c r="AB731" s="205"/>
      <c r="AC731" s="205"/>
      <c r="AE731"/>
    </row>
    <row r="732" spans="1:31" x14ac:dyDescent="0.2">
      <c r="A732" s="219"/>
      <c r="B732" s="219"/>
      <c r="C732" s="205"/>
      <c r="D732" s="205"/>
      <c r="E732" s="192"/>
      <c r="F732" s="205"/>
      <c r="G732"/>
      <c r="H732"/>
      <c r="O732" s="192"/>
      <c r="P732" s="192"/>
      <c r="Q732" s="205"/>
      <c r="AB732" s="205"/>
      <c r="AC732" s="205"/>
      <c r="AE732"/>
    </row>
    <row r="733" spans="1:31" x14ac:dyDescent="0.2">
      <c r="A733" s="219"/>
      <c r="B733" s="219"/>
      <c r="C733" s="205"/>
      <c r="D733" s="205"/>
      <c r="E733" s="192"/>
      <c r="F733" s="205"/>
      <c r="G733" s="205"/>
      <c r="H733"/>
      <c r="O733" s="192"/>
      <c r="P733" s="192"/>
      <c r="Q733" s="205"/>
      <c r="AB733" s="205"/>
      <c r="AC733" s="205"/>
      <c r="AE733"/>
    </row>
    <row r="734" spans="1:31" x14ac:dyDescent="0.2">
      <c r="A734" s="219"/>
      <c r="B734" s="219"/>
      <c r="C734" s="205"/>
      <c r="D734" s="205"/>
      <c r="E734" s="192"/>
      <c r="F734" s="205"/>
      <c r="G734" s="205"/>
      <c r="H734"/>
      <c r="O734" s="192"/>
      <c r="P734" s="192"/>
      <c r="Q734" s="205"/>
      <c r="AB734" s="205"/>
      <c r="AC734" s="205"/>
      <c r="AE734"/>
    </row>
    <row r="735" spans="1:31" x14ac:dyDescent="0.2">
      <c r="A735" s="219"/>
      <c r="B735" s="219"/>
      <c r="C735" s="205"/>
      <c r="D735" s="205"/>
      <c r="E735" s="192"/>
      <c r="F735" s="205"/>
      <c r="G735" s="205"/>
      <c r="H735"/>
      <c r="O735" s="192"/>
      <c r="P735" s="192"/>
      <c r="Q735" s="205"/>
      <c r="AB735" s="205"/>
      <c r="AC735" s="205"/>
      <c r="AE735"/>
    </row>
    <row r="736" spans="1:31" x14ac:dyDescent="0.2">
      <c r="A736" s="219"/>
      <c r="B736" s="219"/>
      <c r="C736" s="205"/>
      <c r="D736" s="205"/>
      <c r="E736" s="192"/>
      <c r="F736" s="205"/>
      <c r="G736" s="205"/>
      <c r="H736"/>
      <c r="O736" s="192"/>
      <c r="P736" s="192"/>
      <c r="Q736" s="205"/>
      <c r="AB736" s="205"/>
      <c r="AC736" s="205"/>
      <c r="AE736"/>
    </row>
    <row r="737" spans="1:31" x14ac:dyDescent="0.2">
      <c r="A737" s="219"/>
      <c r="B737" s="219"/>
      <c r="C737" s="205"/>
      <c r="D737" s="205"/>
      <c r="E737" s="192"/>
      <c r="F737" s="205"/>
      <c r="G737" s="205"/>
      <c r="H737"/>
      <c r="O737" s="192"/>
      <c r="P737" s="192"/>
      <c r="Q737" s="205"/>
      <c r="AB737" s="205"/>
      <c r="AC737" s="205"/>
      <c r="AE737"/>
    </row>
    <row r="738" spans="1:31" x14ac:dyDescent="0.2">
      <c r="A738" s="219"/>
      <c r="B738" s="219"/>
      <c r="C738" s="205"/>
      <c r="D738" s="205"/>
      <c r="E738" s="192"/>
      <c r="F738" s="205"/>
      <c r="G738" s="205"/>
      <c r="H738"/>
      <c r="O738" s="192"/>
      <c r="P738" s="192"/>
      <c r="Q738" s="205"/>
      <c r="AB738" s="205"/>
      <c r="AC738" s="205"/>
      <c r="AE738"/>
    </row>
    <row r="739" spans="1:31" x14ac:dyDescent="0.2">
      <c r="A739" s="219"/>
      <c r="B739" s="219"/>
      <c r="C739" s="205"/>
      <c r="D739" s="205"/>
      <c r="E739" s="192"/>
      <c r="F739" s="205"/>
      <c r="G739" s="205"/>
      <c r="H739"/>
      <c r="O739" s="192"/>
      <c r="P739" s="192"/>
      <c r="Q739" s="205"/>
      <c r="AB739" s="205"/>
      <c r="AC739" s="205"/>
      <c r="AE739"/>
    </row>
    <row r="740" spans="1:31" x14ac:dyDescent="0.2">
      <c r="A740" s="219"/>
      <c r="B740" s="219"/>
      <c r="C740" s="205"/>
      <c r="D740" s="205"/>
      <c r="E740" s="192"/>
      <c r="F740" s="205"/>
      <c r="G740" s="205"/>
      <c r="H740"/>
      <c r="O740" s="192"/>
      <c r="P740" s="192"/>
      <c r="Q740" s="205"/>
      <c r="AB740" s="205"/>
      <c r="AC740" s="205"/>
      <c r="AE740"/>
    </row>
    <row r="741" spans="1:31" x14ac:dyDescent="0.2">
      <c r="A741" s="219"/>
      <c r="B741" s="219"/>
      <c r="C741" s="205"/>
      <c r="D741" s="205"/>
      <c r="E741" s="192"/>
      <c r="F741" s="205"/>
      <c r="G741"/>
      <c r="H741"/>
      <c r="O741" s="192"/>
      <c r="P741" s="192"/>
      <c r="Q741" s="205"/>
      <c r="AB741" s="205"/>
      <c r="AC741" s="205"/>
      <c r="AE741"/>
    </row>
    <row r="742" spans="1:31" x14ac:dyDescent="0.2">
      <c r="A742" s="219"/>
      <c r="B742" s="219"/>
      <c r="C742" s="205"/>
      <c r="D742" s="205"/>
      <c r="E742" s="192"/>
      <c r="F742" s="205"/>
      <c r="G742" s="205"/>
      <c r="H742"/>
      <c r="O742" s="192"/>
      <c r="P742" s="192"/>
      <c r="Q742" s="205"/>
      <c r="AB742" s="205"/>
      <c r="AC742" s="205"/>
      <c r="AE742"/>
    </row>
    <row r="743" spans="1:31" x14ac:dyDescent="0.2">
      <c r="A743" s="219"/>
      <c r="B743" s="219"/>
      <c r="C743" s="205"/>
      <c r="D743" s="205"/>
      <c r="E743" s="192"/>
      <c r="F743" s="205"/>
      <c r="G743"/>
      <c r="H743"/>
      <c r="O743" s="192"/>
      <c r="P743" s="192"/>
      <c r="Q743" s="205"/>
      <c r="AB743" s="205"/>
      <c r="AC743" s="205"/>
      <c r="AE743"/>
    </row>
    <row r="744" spans="1:31" x14ac:dyDescent="0.2">
      <c r="A744" s="219"/>
      <c r="B744" s="219"/>
      <c r="C744" s="205"/>
      <c r="D744" s="205"/>
      <c r="E744" s="192"/>
      <c r="F744" s="205"/>
      <c r="G744" s="205"/>
      <c r="H744"/>
      <c r="O744" s="192"/>
      <c r="P744" s="192"/>
      <c r="Q744" s="205"/>
      <c r="AB744" s="205"/>
      <c r="AC744" s="205"/>
      <c r="AE744"/>
    </row>
    <row r="745" spans="1:31" x14ac:dyDescent="0.2">
      <c r="A745" s="219"/>
      <c r="B745" s="219"/>
      <c r="C745" s="205"/>
      <c r="D745" s="205"/>
      <c r="E745" s="192"/>
      <c r="F745" s="205"/>
      <c r="G745" s="205"/>
      <c r="H745" s="205"/>
      <c r="O745" s="192"/>
      <c r="P745" s="192"/>
      <c r="Q745" s="205"/>
      <c r="AB745" s="205"/>
      <c r="AC745" s="205"/>
      <c r="AE745"/>
    </row>
    <row r="746" spans="1:31" x14ac:dyDescent="0.2">
      <c r="A746" s="219"/>
      <c r="B746" s="219"/>
      <c r="C746" s="205"/>
      <c r="D746" s="205"/>
      <c r="E746" s="192"/>
      <c r="F746" s="205"/>
      <c r="G746" s="205"/>
      <c r="H746"/>
      <c r="O746" s="192"/>
      <c r="P746" s="192"/>
      <c r="Q746" s="205"/>
      <c r="AB746" s="205"/>
      <c r="AC746" s="205"/>
      <c r="AE746"/>
    </row>
    <row r="747" spans="1:31" x14ac:dyDescent="0.2">
      <c r="A747" s="219"/>
      <c r="B747" s="219"/>
      <c r="C747" s="205"/>
      <c r="D747" s="205"/>
      <c r="E747" s="192"/>
      <c r="F747" s="205"/>
      <c r="G747" s="205"/>
      <c r="H747"/>
      <c r="O747" s="192"/>
      <c r="P747" s="192"/>
      <c r="Q747" s="205"/>
      <c r="AB747" s="205"/>
      <c r="AC747" s="205"/>
      <c r="AE747"/>
    </row>
    <row r="748" spans="1:31" x14ac:dyDescent="0.2">
      <c r="A748" s="219"/>
      <c r="B748" s="219"/>
      <c r="C748" s="205"/>
      <c r="D748" s="205"/>
      <c r="E748" s="192"/>
      <c r="F748" s="205"/>
      <c r="G748" s="205"/>
      <c r="H748"/>
      <c r="O748" s="192"/>
      <c r="P748" s="192"/>
      <c r="Q748" s="205"/>
      <c r="AB748" s="205"/>
      <c r="AC748" s="205"/>
      <c r="AE748"/>
    </row>
    <row r="749" spans="1:31" x14ac:dyDescent="0.2">
      <c r="A749" s="219"/>
      <c r="B749" s="219"/>
      <c r="C749" s="205"/>
      <c r="D749" s="205"/>
      <c r="E749" s="192"/>
      <c r="F749" s="205"/>
      <c r="G749" s="205"/>
      <c r="H749"/>
      <c r="O749" s="192"/>
      <c r="P749" s="192"/>
      <c r="Q749" s="205"/>
      <c r="AB749" s="205"/>
      <c r="AC749" s="205"/>
      <c r="AE749"/>
    </row>
    <row r="750" spans="1:31" x14ac:dyDescent="0.2">
      <c r="A750" s="219"/>
      <c r="B750" s="219"/>
      <c r="C750" s="205"/>
      <c r="D750" s="205"/>
      <c r="E750" s="192"/>
      <c r="F750" s="205"/>
      <c r="G750" s="205"/>
      <c r="H750"/>
      <c r="O750" s="192"/>
      <c r="P750" s="192"/>
      <c r="Q750" s="205"/>
      <c r="AB750" s="205"/>
      <c r="AC750" s="205"/>
      <c r="AE750"/>
    </row>
    <row r="751" spans="1:31" x14ac:dyDescent="0.2">
      <c r="A751" s="219"/>
      <c r="B751" s="219"/>
      <c r="C751" s="205"/>
      <c r="D751" s="205"/>
      <c r="E751" s="192"/>
      <c r="F751" s="205"/>
      <c r="G751"/>
      <c r="H751"/>
      <c r="O751" s="192"/>
      <c r="P751" s="192"/>
      <c r="Q751" s="205"/>
      <c r="AB751" s="205"/>
      <c r="AC751" s="205"/>
      <c r="AE751"/>
    </row>
    <row r="752" spans="1:31" x14ac:dyDescent="0.2">
      <c r="A752" s="219"/>
      <c r="B752" s="219"/>
      <c r="C752" s="205"/>
      <c r="D752" s="205"/>
      <c r="E752" s="192"/>
      <c r="F752" s="205"/>
      <c r="G752"/>
      <c r="H752"/>
      <c r="O752" s="192"/>
      <c r="P752" s="192"/>
      <c r="Q752" s="205"/>
      <c r="AB752" s="205"/>
      <c r="AC752" s="205"/>
      <c r="AE752"/>
    </row>
    <row r="753" spans="1:31" x14ac:dyDescent="0.2">
      <c r="A753" s="219"/>
      <c r="B753" s="219"/>
      <c r="C753" s="205"/>
      <c r="D753" s="205"/>
      <c r="E753" s="192"/>
      <c r="F753" s="205"/>
      <c r="G753" s="205"/>
      <c r="H753"/>
      <c r="O753" s="192"/>
      <c r="P753" s="192"/>
      <c r="Q753" s="205"/>
      <c r="AB753" s="205"/>
      <c r="AC753" s="205"/>
      <c r="AE753"/>
    </row>
    <row r="754" spans="1:31" x14ac:dyDescent="0.2">
      <c r="A754" s="219"/>
      <c r="B754" s="219"/>
      <c r="C754" s="205"/>
      <c r="D754" s="205"/>
      <c r="E754" s="192"/>
      <c r="F754" s="205"/>
      <c r="G754"/>
      <c r="H754"/>
      <c r="O754" s="192"/>
      <c r="P754" s="192"/>
      <c r="Q754" s="205"/>
      <c r="AB754" s="205"/>
      <c r="AC754" s="205"/>
      <c r="AE754"/>
    </row>
    <row r="755" spans="1:31" x14ac:dyDescent="0.2">
      <c r="A755" s="219"/>
      <c r="B755" s="219"/>
      <c r="C755" s="205"/>
      <c r="D755" s="205"/>
      <c r="E755" s="192"/>
      <c r="F755" s="205"/>
      <c r="G755"/>
      <c r="H755"/>
      <c r="O755" s="192"/>
      <c r="P755" s="192"/>
      <c r="Q755" s="205"/>
      <c r="AB755" s="205"/>
      <c r="AC755" s="205"/>
      <c r="AE755"/>
    </row>
    <row r="756" spans="1:31" x14ac:dyDescent="0.2">
      <c r="A756" s="219"/>
      <c r="B756" s="219"/>
      <c r="C756" s="205"/>
      <c r="D756" s="205"/>
      <c r="E756" s="192"/>
      <c r="F756" s="205"/>
      <c r="G756"/>
      <c r="H756"/>
      <c r="O756" s="192"/>
      <c r="P756" s="192"/>
      <c r="Q756" s="205"/>
      <c r="AB756" s="205"/>
      <c r="AC756" s="205"/>
      <c r="AE756"/>
    </row>
    <row r="757" spans="1:31" x14ac:dyDescent="0.2">
      <c r="A757" s="219"/>
      <c r="B757" s="219"/>
      <c r="C757" s="205"/>
      <c r="D757" s="205"/>
      <c r="E757" s="192"/>
      <c r="F757" s="205"/>
      <c r="G757" s="205"/>
      <c r="H757"/>
      <c r="O757" s="192"/>
      <c r="P757" s="192"/>
      <c r="Q757" s="205"/>
      <c r="AB757" s="205"/>
      <c r="AC757" s="205"/>
      <c r="AE757"/>
    </row>
    <row r="758" spans="1:31" x14ac:dyDescent="0.2">
      <c r="A758" s="219"/>
      <c r="B758" s="219"/>
      <c r="C758" s="205"/>
      <c r="D758" s="205"/>
      <c r="E758" s="192"/>
      <c r="F758" s="205"/>
      <c r="G758" s="205"/>
      <c r="H758"/>
      <c r="O758" s="192"/>
      <c r="P758" s="192"/>
      <c r="Q758" s="205"/>
      <c r="AB758" s="205"/>
      <c r="AC758" s="205"/>
      <c r="AE758"/>
    </row>
    <row r="759" spans="1:31" x14ac:dyDescent="0.2">
      <c r="A759" s="219"/>
      <c r="B759" s="219"/>
      <c r="C759" s="205"/>
      <c r="D759" s="205"/>
      <c r="E759" s="192"/>
      <c r="F759" s="205"/>
      <c r="G759" s="205"/>
      <c r="H759"/>
      <c r="O759" s="192"/>
      <c r="P759" s="192"/>
      <c r="Q759" s="205"/>
      <c r="AB759" s="205"/>
      <c r="AC759" s="205"/>
      <c r="AE759"/>
    </row>
    <row r="760" spans="1:31" x14ac:dyDescent="0.2">
      <c r="A760" s="219"/>
      <c r="B760" s="219"/>
      <c r="C760" s="205"/>
      <c r="D760" s="205"/>
      <c r="E760" s="192"/>
      <c r="F760" s="205"/>
      <c r="G760" s="205"/>
      <c r="H760"/>
      <c r="O760" s="192"/>
      <c r="P760" s="192"/>
      <c r="Q760" s="205"/>
      <c r="AB760" s="205"/>
      <c r="AC760" s="205"/>
      <c r="AE760"/>
    </row>
    <row r="761" spans="1:31" x14ac:dyDescent="0.2">
      <c r="A761" s="219"/>
      <c r="B761" s="219"/>
      <c r="C761" s="205"/>
      <c r="D761" s="205"/>
      <c r="E761" s="192"/>
      <c r="F761" s="205"/>
      <c r="G761"/>
      <c r="H761"/>
      <c r="O761" s="192"/>
      <c r="P761" s="192"/>
      <c r="Q761" s="205"/>
      <c r="AB761" s="205"/>
      <c r="AC761" s="205"/>
      <c r="AE761"/>
    </row>
    <row r="762" spans="1:31" x14ac:dyDescent="0.2">
      <c r="A762" s="219"/>
      <c r="B762" s="219"/>
      <c r="C762" s="205"/>
      <c r="D762" s="205"/>
      <c r="E762" s="192"/>
      <c r="F762" s="205"/>
      <c r="G762" s="205"/>
      <c r="H762"/>
      <c r="O762" s="192"/>
      <c r="P762" s="192"/>
      <c r="Q762" s="205"/>
      <c r="AB762" s="205"/>
      <c r="AC762" s="205"/>
      <c r="AE762"/>
    </row>
    <row r="763" spans="1:31" x14ac:dyDescent="0.2">
      <c r="A763" s="219"/>
      <c r="B763" s="219"/>
      <c r="C763" s="205"/>
      <c r="D763" s="205"/>
      <c r="E763" s="192"/>
      <c r="F763" s="205"/>
      <c r="G763"/>
      <c r="H763"/>
      <c r="O763" s="192"/>
      <c r="P763" s="192"/>
      <c r="Q763" s="205"/>
      <c r="AB763" s="205"/>
      <c r="AC763" s="205"/>
      <c r="AE763"/>
    </row>
    <row r="764" spans="1:31" x14ac:dyDescent="0.2">
      <c r="A764" s="219"/>
      <c r="B764" s="219"/>
      <c r="C764" s="205"/>
      <c r="D764" s="205"/>
      <c r="E764" s="192"/>
      <c r="F764" s="205"/>
      <c r="G764" s="205"/>
      <c r="H764"/>
      <c r="O764" s="192"/>
      <c r="P764" s="192"/>
      <c r="Q764" s="205"/>
      <c r="AB764" s="205"/>
      <c r="AC764" s="205"/>
      <c r="AE764"/>
    </row>
    <row r="765" spans="1:31" x14ac:dyDescent="0.2">
      <c r="A765" s="219"/>
      <c r="B765" s="219"/>
      <c r="C765" s="205"/>
      <c r="D765" s="205"/>
      <c r="E765" s="192"/>
      <c r="F765" s="205"/>
      <c r="G765" s="205"/>
      <c r="H765"/>
      <c r="O765" s="192"/>
      <c r="P765" s="192"/>
      <c r="Q765" s="205"/>
      <c r="AB765" s="205"/>
      <c r="AC765" s="205"/>
      <c r="AE765"/>
    </row>
    <row r="766" spans="1:31" x14ac:dyDescent="0.2">
      <c r="A766" s="219"/>
      <c r="B766" s="219"/>
      <c r="C766" s="205"/>
      <c r="D766" s="205"/>
      <c r="E766" s="192"/>
      <c r="F766" s="205"/>
      <c r="G766"/>
      <c r="H766"/>
      <c r="O766" s="192"/>
      <c r="P766" s="192"/>
      <c r="Q766" s="205"/>
      <c r="AB766" s="205"/>
      <c r="AC766" s="205"/>
      <c r="AE766"/>
    </row>
    <row r="767" spans="1:31" x14ac:dyDescent="0.2">
      <c r="A767" s="219"/>
      <c r="B767" s="219"/>
      <c r="C767" s="205"/>
      <c r="D767" s="205"/>
      <c r="E767" s="192"/>
      <c r="F767" s="205"/>
      <c r="G767" s="205"/>
      <c r="H767" s="205"/>
      <c r="O767" s="192"/>
      <c r="P767" s="192"/>
      <c r="Q767" s="205"/>
      <c r="AB767" s="205"/>
      <c r="AC767" s="205"/>
      <c r="AE767"/>
    </row>
    <row r="768" spans="1:31" x14ac:dyDescent="0.2">
      <c r="A768" s="219"/>
      <c r="B768" s="219"/>
      <c r="C768" s="205"/>
      <c r="D768" s="205"/>
      <c r="E768" s="192"/>
      <c r="F768" s="205"/>
      <c r="G768" s="205"/>
      <c r="H768"/>
      <c r="O768" s="192"/>
      <c r="P768" s="192"/>
      <c r="Q768" s="205"/>
      <c r="AB768" s="205"/>
      <c r="AC768" s="205"/>
      <c r="AE768"/>
    </row>
    <row r="769" spans="1:31" x14ac:dyDescent="0.2">
      <c r="A769" s="219"/>
      <c r="B769" s="219"/>
      <c r="C769" s="205"/>
      <c r="D769" s="205"/>
      <c r="E769" s="192"/>
      <c r="F769" s="205"/>
      <c r="G769" s="205"/>
      <c r="H769"/>
      <c r="O769" s="192"/>
      <c r="P769" s="192"/>
      <c r="Q769" s="205"/>
      <c r="AB769" s="205"/>
      <c r="AC769" s="205"/>
      <c r="AE769"/>
    </row>
    <row r="770" spans="1:31" x14ac:dyDescent="0.2">
      <c r="A770" s="219"/>
      <c r="B770" s="219"/>
      <c r="C770" s="205"/>
      <c r="D770" s="205"/>
      <c r="E770" s="192"/>
      <c r="F770" s="205"/>
      <c r="G770" s="205"/>
      <c r="H770"/>
      <c r="O770" s="192"/>
      <c r="P770" s="192"/>
      <c r="Q770" s="205"/>
      <c r="AB770" s="205"/>
      <c r="AC770" s="205"/>
      <c r="AE770"/>
    </row>
    <row r="771" spans="1:31" x14ac:dyDescent="0.2">
      <c r="A771" s="219"/>
      <c r="B771" s="219"/>
      <c r="C771" s="205"/>
      <c r="D771" s="205"/>
      <c r="E771" s="192"/>
      <c r="F771" s="205"/>
      <c r="G771" s="205"/>
      <c r="H771"/>
      <c r="O771" s="192"/>
      <c r="P771" s="192"/>
      <c r="Q771" s="205"/>
      <c r="AB771" s="205"/>
      <c r="AC771" s="205"/>
      <c r="AE771"/>
    </row>
    <row r="772" spans="1:31" x14ac:dyDescent="0.2">
      <c r="A772" s="219"/>
      <c r="B772" s="219"/>
      <c r="C772" s="205"/>
      <c r="D772" s="205"/>
      <c r="E772" s="192"/>
      <c r="F772" s="205"/>
      <c r="G772"/>
      <c r="H772"/>
      <c r="O772" s="192"/>
      <c r="P772" s="192"/>
      <c r="Q772" s="205"/>
      <c r="AB772" s="205"/>
      <c r="AC772" s="205"/>
      <c r="AE772"/>
    </row>
    <row r="773" spans="1:31" x14ac:dyDescent="0.2">
      <c r="A773" s="219"/>
      <c r="B773" s="219"/>
      <c r="C773" s="205"/>
      <c r="D773" s="205"/>
      <c r="E773" s="192"/>
      <c r="F773" s="205"/>
      <c r="G773"/>
      <c r="H773"/>
      <c r="O773" s="192"/>
      <c r="P773" s="192"/>
      <c r="Q773" s="205"/>
      <c r="AB773" s="205"/>
      <c r="AC773" s="205"/>
      <c r="AE773"/>
    </row>
    <row r="774" spans="1:31" x14ac:dyDescent="0.2">
      <c r="A774" s="219"/>
      <c r="B774" s="219"/>
      <c r="C774" s="205"/>
      <c r="D774" s="205"/>
      <c r="E774" s="192"/>
      <c r="F774" s="205"/>
      <c r="G774" s="205"/>
      <c r="H774"/>
      <c r="O774" s="192"/>
      <c r="P774" s="192"/>
      <c r="Q774" s="205"/>
      <c r="AB774" s="205"/>
      <c r="AC774" s="205"/>
      <c r="AE774"/>
    </row>
    <row r="775" spans="1:31" x14ac:dyDescent="0.2">
      <c r="A775" s="219"/>
      <c r="B775" s="219"/>
      <c r="C775" s="205"/>
      <c r="D775" s="205"/>
      <c r="E775" s="192"/>
      <c r="F775" s="205"/>
      <c r="G775" s="205"/>
      <c r="H775"/>
      <c r="O775" s="192"/>
      <c r="P775" s="192"/>
      <c r="Q775" s="205"/>
      <c r="AB775" s="205"/>
      <c r="AC775" s="205"/>
      <c r="AE775"/>
    </row>
    <row r="776" spans="1:31" x14ac:dyDescent="0.2">
      <c r="A776" s="219"/>
      <c r="B776" s="219"/>
      <c r="C776" s="205"/>
      <c r="D776" s="205"/>
      <c r="E776" s="192"/>
      <c r="F776" s="205"/>
      <c r="G776" s="205"/>
      <c r="H776"/>
      <c r="O776" s="192"/>
      <c r="P776" s="192"/>
      <c r="Q776" s="205"/>
      <c r="AB776" s="205"/>
      <c r="AC776" s="205"/>
      <c r="AE776"/>
    </row>
    <row r="777" spans="1:31" x14ac:dyDescent="0.2">
      <c r="A777" s="219"/>
      <c r="B777" s="219"/>
      <c r="C777" s="205"/>
      <c r="D777" s="205"/>
      <c r="E777" s="192"/>
      <c r="F777" s="205"/>
      <c r="G777" s="205"/>
      <c r="H777"/>
      <c r="O777" s="192"/>
      <c r="P777" s="192"/>
      <c r="Q777" s="205"/>
      <c r="AB777" s="205"/>
      <c r="AC777" s="205"/>
      <c r="AE777"/>
    </row>
    <row r="778" spans="1:31" x14ac:dyDescent="0.2">
      <c r="A778" s="219"/>
      <c r="B778" s="219"/>
      <c r="C778" s="205"/>
      <c r="D778" s="205"/>
      <c r="E778" s="192"/>
      <c r="F778" s="205"/>
      <c r="G778" s="205"/>
      <c r="H778" s="205"/>
      <c r="O778" s="192"/>
      <c r="P778" s="192"/>
      <c r="Q778" s="205"/>
      <c r="AB778" s="205"/>
      <c r="AC778" s="205"/>
      <c r="AE778"/>
    </row>
    <row r="779" spans="1:31" x14ac:dyDescent="0.2">
      <c r="A779" s="219"/>
      <c r="B779" s="219"/>
      <c r="C779" s="205"/>
      <c r="D779" s="205"/>
      <c r="E779" s="192"/>
      <c r="F779" s="205"/>
      <c r="G779" s="205"/>
      <c r="H779"/>
      <c r="O779" s="192"/>
      <c r="P779" s="192"/>
      <c r="Q779" s="205"/>
      <c r="AB779" s="205"/>
      <c r="AC779" s="205"/>
      <c r="AE779"/>
    </row>
    <row r="780" spans="1:31" x14ac:dyDescent="0.2">
      <c r="A780" s="219"/>
      <c r="B780" s="219"/>
      <c r="C780" s="205"/>
      <c r="D780" s="205"/>
      <c r="E780" s="192"/>
      <c r="F780" s="205"/>
      <c r="G780" s="205"/>
      <c r="H780"/>
      <c r="O780" s="192"/>
      <c r="P780" s="192"/>
      <c r="Q780" s="205"/>
      <c r="AB780" s="205"/>
      <c r="AC780" s="205"/>
      <c r="AE780"/>
    </row>
    <row r="781" spans="1:31" x14ac:dyDescent="0.2">
      <c r="A781" s="219"/>
      <c r="B781" s="219"/>
      <c r="C781" s="205"/>
      <c r="D781" s="205"/>
      <c r="E781" s="192"/>
      <c r="F781" s="205"/>
      <c r="G781"/>
      <c r="H781"/>
      <c r="O781" s="192"/>
      <c r="P781" s="192"/>
      <c r="Q781" s="205"/>
      <c r="AB781" s="205"/>
      <c r="AC781" s="205"/>
      <c r="AE781"/>
    </row>
    <row r="782" spans="1:31" x14ac:dyDescent="0.2">
      <c r="A782" s="219"/>
      <c r="B782" s="219"/>
      <c r="C782" s="205"/>
      <c r="D782" s="205"/>
      <c r="E782" s="192"/>
      <c r="F782" s="205"/>
      <c r="G782" s="205"/>
      <c r="H782"/>
      <c r="O782" s="192"/>
      <c r="P782" s="192"/>
      <c r="Q782" s="205"/>
      <c r="AB782" s="205"/>
      <c r="AC782" s="205"/>
      <c r="AE782"/>
    </row>
    <row r="783" spans="1:31" x14ac:dyDescent="0.2">
      <c r="A783" s="219"/>
      <c r="B783" s="219"/>
      <c r="C783" s="205"/>
      <c r="D783" s="205"/>
      <c r="E783" s="192"/>
      <c r="F783" s="205"/>
      <c r="G783" s="205"/>
      <c r="H783"/>
      <c r="O783" s="192"/>
      <c r="P783" s="192"/>
      <c r="Q783" s="205"/>
      <c r="AB783" s="205"/>
      <c r="AC783" s="205"/>
      <c r="AE783"/>
    </row>
    <row r="784" spans="1:31" x14ac:dyDescent="0.2">
      <c r="A784" s="219"/>
      <c r="B784" s="219"/>
      <c r="C784" s="205"/>
      <c r="D784" s="205"/>
      <c r="E784" s="192"/>
      <c r="F784" s="205"/>
      <c r="G784"/>
      <c r="H784"/>
      <c r="O784" s="192"/>
      <c r="P784" s="192"/>
      <c r="Q784" s="205"/>
      <c r="AB784" s="205"/>
      <c r="AC784" s="205"/>
      <c r="AE784"/>
    </row>
    <row r="785" spans="1:31" x14ac:dyDescent="0.2">
      <c r="A785" s="219"/>
      <c r="B785" s="219"/>
      <c r="C785" s="205"/>
      <c r="D785" s="205"/>
      <c r="E785" s="192"/>
      <c r="F785" s="205"/>
      <c r="G785" s="205"/>
      <c r="H785"/>
      <c r="O785" s="192"/>
      <c r="P785" s="192"/>
      <c r="Q785" s="205"/>
      <c r="AB785" s="205"/>
      <c r="AC785" s="205"/>
      <c r="AE785"/>
    </row>
    <row r="786" spans="1:31" x14ac:dyDescent="0.2">
      <c r="A786" s="219"/>
      <c r="B786" s="219"/>
      <c r="C786" s="205"/>
      <c r="D786" s="205"/>
      <c r="E786" s="192"/>
      <c r="F786" s="205"/>
      <c r="G786" s="205"/>
      <c r="H786"/>
      <c r="O786" s="192"/>
      <c r="P786" s="192"/>
      <c r="Q786" s="205"/>
      <c r="AB786" s="205"/>
      <c r="AC786" s="205"/>
      <c r="AE786"/>
    </row>
    <row r="787" spans="1:31" x14ac:dyDescent="0.2">
      <c r="A787" s="219"/>
      <c r="B787" s="219"/>
      <c r="C787" s="205"/>
      <c r="D787" s="205"/>
      <c r="E787" s="192"/>
      <c r="F787" s="205"/>
      <c r="G787" s="205"/>
      <c r="H787"/>
      <c r="O787" s="192"/>
      <c r="P787" s="192"/>
      <c r="Q787" s="205"/>
      <c r="AB787" s="205"/>
      <c r="AC787" s="205"/>
      <c r="AE787"/>
    </row>
    <row r="788" spans="1:31" x14ac:dyDescent="0.2">
      <c r="A788" s="219"/>
      <c r="B788" s="219"/>
      <c r="C788" s="205"/>
      <c r="D788" s="205"/>
      <c r="E788" s="192"/>
      <c r="F788" s="205"/>
      <c r="G788" s="205"/>
      <c r="H788"/>
      <c r="O788" s="192"/>
      <c r="P788" s="192"/>
      <c r="Q788" s="205"/>
      <c r="AB788" s="205"/>
      <c r="AC788" s="205"/>
      <c r="AE788"/>
    </row>
    <row r="789" spans="1:31" x14ac:dyDescent="0.2">
      <c r="A789" s="219"/>
      <c r="B789" s="219"/>
      <c r="C789" s="205"/>
      <c r="D789" s="205"/>
      <c r="E789" s="192"/>
      <c r="F789" s="205"/>
      <c r="G789" s="205"/>
      <c r="H789"/>
      <c r="O789" s="192"/>
      <c r="P789" s="192"/>
      <c r="Q789" s="205"/>
      <c r="AB789" s="205"/>
      <c r="AC789" s="205"/>
      <c r="AE789"/>
    </row>
    <row r="790" spans="1:31" x14ac:dyDescent="0.2">
      <c r="A790" s="219"/>
      <c r="B790" s="219"/>
      <c r="C790" s="205"/>
      <c r="D790" s="205"/>
      <c r="E790" s="192"/>
      <c r="F790" s="205"/>
      <c r="G790" s="205"/>
      <c r="H790"/>
      <c r="O790" s="192"/>
      <c r="P790" s="192"/>
      <c r="Q790" s="205"/>
      <c r="AB790" s="205"/>
      <c r="AC790" s="205"/>
      <c r="AE790"/>
    </row>
    <row r="791" spans="1:31" x14ac:dyDescent="0.2">
      <c r="A791" s="219"/>
      <c r="B791" s="219"/>
      <c r="C791" s="205"/>
      <c r="D791" s="205"/>
      <c r="E791" s="192"/>
      <c r="F791" s="205"/>
      <c r="G791" s="205"/>
      <c r="H791"/>
      <c r="O791" s="192"/>
      <c r="P791" s="192"/>
      <c r="Q791" s="205"/>
      <c r="AB791" s="205"/>
      <c r="AC791" s="205"/>
      <c r="AE791"/>
    </row>
    <row r="792" spans="1:31" x14ac:dyDescent="0.2">
      <c r="A792" s="219"/>
      <c r="B792" s="219"/>
      <c r="C792" s="205"/>
      <c r="D792" s="205"/>
      <c r="E792" s="192"/>
      <c r="F792" s="205"/>
      <c r="G792" s="205"/>
      <c r="H792" s="205"/>
      <c r="O792" s="192"/>
      <c r="P792" s="192"/>
      <c r="Q792" s="205"/>
      <c r="AB792" s="205"/>
      <c r="AC792" s="205"/>
      <c r="AE792"/>
    </row>
    <row r="793" spans="1:31" x14ac:dyDescent="0.2">
      <c r="A793" s="219"/>
      <c r="B793" s="219"/>
      <c r="C793" s="205"/>
      <c r="D793" s="205"/>
      <c r="E793" s="192"/>
      <c r="F793" s="205"/>
      <c r="G793"/>
      <c r="H793"/>
      <c r="O793" s="192"/>
      <c r="P793" s="192"/>
      <c r="Q793" s="205"/>
      <c r="AB793" s="205"/>
      <c r="AC793" s="205"/>
      <c r="AE793"/>
    </row>
    <row r="794" spans="1:31" x14ac:dyDescent="0.2">
      <c r="A794" s="219"/>
      <c r="B794" s="219"/>
      <c r="C794" s="205"/>
      <c r="D794" s="205"/>
      <c r="E794" s="192"/>
      <c r="F794" s="205"/>
      <c r="G794" s="205"/>
      <c r="H794"/>
      <c r="O794" s="192"/>
      <c r="P794" s="192"/>
      <c r="Q794" s="205"/>
      <c r="AB794" s="205"/>
      <c r="AC794" s="205"/>
      <c r="AE794"/>
    </row>
    <row r="795" spans="1:31" x14ac:dyDescent="0.2">
      <c r="A795" s="219"/>
      <c r="B795" s="219"/>
      <c r="C795" s="205"/>
      <c r="D795" s="205"/>
      <c r="E795" s="192"/>
      <c r="F795" s="205"/>
      <c r="G795"/>
      <c r="H795"/>
      <c r="O795" s="192"/>
      <c r="P795" s="192"/>
      <c r="Q795" s="205"/>
      <c r="AB795" s="205"/>
      <c r="AC795" s="205"/>
      <c r="AE795"/>
    </row>
    <row r="796" spans="1:31" x14ac:dyDescent="0.2">
      <c r="A796" s="219"/>
      <c r="B796" s="219"/>
      <c r="C796" s="205"/>
      <c r="D796" s="205"/>
      <c r="E796" s="192"/>
      <c r="F796" s="205"/>
      <c r="G796"/>
      <c r="H796"/>
      <c r="O796" s="192"/>
      <c r="P796" s="192"/>
      <c r="Q796" s="205"/>
      <c r="AB796" s="205"/>
      <c r="AC796" s="205"/>
      <c r="AE796"/>
    </row>
    <row r="797" spans="1:31" x14ac:dyDescent="0.2">
      <c r="A797" s="219"/>
      <c r="B797" s="219"/>
      <c r="C797" s="205"/>
      <c r="D797" s="205"/>
      <c r="E797" s="192"/>
      <c r="F797" s="205"/>
      <c r="G797"/>
      <c r="H797"/>
      <c r="O797" s="192"/>
      <c r="P797" s="192"/>
      <c r="Q797" s="205"/>
      <c r="AB797" s="205"/>
      <c r="AC797" s="205"/>
      <c r="AE797"/>
    </row>
    <row r="798" spans="1:31" x14ac:dyDescent="0.2">
      <c r="A798" s="219"/>
      <c r="B798" s="219"/>
      <c r="C798" s="205"/>
      <c r="D798" s="205"/>
      <c r="E798" s="192"/>
      <c r="F798" s="205"/>
      <c r="G798" s="205"/>
      <c r="H798" s="205"/>
      <c r="O798" s="192"/>
      <c r="P798" s="192"/>
      <c r="Q798" s="205"/>
      <c r="AB798" s="205"/>
      <c r="AC798" s="205"/>
      <c r="AE798"/>
    </row>
    <row r="799" spans="1:31" x14ac:dyDescent="0.2">
      <c r="A799" s="219"/>
      <c r="B799" s="219"/>
      <c r="C799" s="205"/>
      <c r="D799" s="205"/>
      <c r="E799" s="192"/>
      <c r="F799" s="205"/>
      <c r="G799" s="205"/>
      <c r="H799"/>
      <c r="O799" s="192"/>
      <c r="P799" s="192"/>
      <c r="Q799" s="205"/>
      <c r="AB799" s="205"/>
      <c r="AC799" s="205"/>
      <c r="AE799"/>
    </row>
    <row r="800" spans="1:31" x14ac:dyDescent="0.2">
      <c r="A800" s="219"/>
      <c r="B800" s="219"/>
      <c r="C800" s="205"/>
      <c r="D800" s="205"/>
      <c r="E800" s="192"/>
      <c r="F800" s="205"/>
      <c r="G800" s="205"/>
      <c r="H800"/>
      <c r="O800" s="192"/>
      <c r="P800" s="192"/>
      <c r="Q800" s="205"/>
      <c r="AB800" s="205"/>
      <c r="AC800" s="205"/>
      <c r="AE800"/>
    </row>
    <row r="801" spans="1:31" x14ac:dyDescent="0.2">
      <c r="A801" s="219"/>
      <c r="B801" s="219"/>
      <c r="C801" s="205"/>
      <c r="D801" s="205"/>
      <c r="E801" s="192"/>
      <c r="F801" s="205"/>
      <c r="G801" s="205"/>
      <c r="H801"/>
      <c r="O801" s="192"/>
      <c r="P801" s="192"/>
      <c r="Q801" s="205"/>
      <c r="AB801" s="205"/>
      <c r="AC801" s="205"/>
      <c r="AE801"/>
    </row>
    <row r="802" spans="1:31" x14ac:dyDescent="0.2">
      <c r="A802" s="219"/>
      <c r="B802" s="219"/>
      <c r="C802" s="205"/>
      <c r="D802" s="205"/>
      <c r="E802" s="192"/>
      <c r="F802" s="205"/>
      <c r="G802"/>
      <c r="H802"/>
      <c r="O802" s="192"/>
      <c r="P802" s="192"/>
      <c r="Q802" s="205"/>
      <c r="AB802" s="205"/>
      <c r="AC802" s="205"/>
      <c r="AE802"/>
    </row>
    <row r="803" spans="1:31" x14ac:dyDescent="0.2">
      <c r="A803" s="219"/>
      <c r="B803" s="219"/>
      <c r="C803" s="205"/>
      <c r="D803" s="205"/>
      <c r="E803" s="192"/>
      <c r="F803" s="205"/>
      <c r="G803" s="205"/>
      <c r="H803"/>
      <c r="O803" s="192"/>
      <c r="P803" s="192"/>
      <c r="Q803" s="205"/>
      <c r="AB803" s="205"/>
      <c r="AC803" s="205"/>
      <c r="AE803"/>
    </row>
    <row r="804" spans="1:31" x14ac:dyDescent="0.2">
      <c r="A804" s="219"/>
      <c r="B804" s="219"/>
      <c r="C804" s="205"/>
      <c r="D804" s="205"/>
      <c r="E804" s="192"/>
      <c r="F804" s="205"/>
      <c r="G804"/>
      <c r="H804"/>
      <c r="O804" s="192"/>
      <c r="P804" s="192"/>
      <c r="Q804" s="205"/>
      <c r="AB804" s="205"/>
      <c r="AC804" s="205"/>
      <c r="AE804"/>
    </row>
    <row r="805" spans="1:31" x14ac:dyDescent="0.2">
      <c r="A805" s="219"/>
      <c r="B805" s="219"/>
      <c r="C805" s="205"/>
      <c r="D805" s="205"/>
      <c r="E805" s="192"/>
      <c r="F805" s="205"/>
      <c r="G805" s="205"/>
      <c r="H805"/>
      <c r="O805" s="192"/>
      <c r="P805" s="192"/>
      <c r="Q805" s="205"/>
      <c r="AB805" s="205"/>
      <c r="AC805" s="205"/>
      <c r="AE805"/>
    </row>
    <row r="806" spans="1:31" x14ac:dyDescent="0.2">
      <c r="A806" s="219"/>
      <c r="B806" s="219"/>
      <c r="C806" s="205"/>
      <c r="D806" s="205"/>
      <c r="E806" s="192"/>
      <c r="F806" s="205"/>
      <c r="G806"/>
      <c r="H806"/>
      <c r="O806" s="192"/>
      <c r="P806" s="192"/>
      <c r="Q806" s="205"/>
      <c r="AB806" s="205"/>
      <c r="AC806" s="205"/>
      <c r="AE806"/>
    </row>
    <row r="807" spans="1:31" x14ac:dyDescent="0.2">
      <c r="A807" s="219"/>
      <c r="B807" s="219"/>
      <c r="C807" s="205"/>
      <c r="D807" s="205"/>
      <c r="E807" s="192"/>
      <c r="F807" s="205"/>
      <c r="G807" s="205"/>
      <c r="H807"/>
      <c r="O807" s="192"/>
      <c r="P807" s="192"/>
      <c r="Q807" s="205"/>
      <c r="AB807" s="205"/>
      <c r="AC807" s="205"/>
      <c r="AE807"/>
    </row>
    <row r="808" spans="1:31" x14ac:dyDescent="0.2">
      <c r="A808" s="219"/>
      <c r="B808" s="219"/>
      <c r="C808" s="205"/>
      <c r="D808" s="205"/>
      <c r="E808" s="192"/>
      <c r="F808" s="205"/>
      <c r="G808" s="205"/>
      <c r="H808"/>
      <c r="O808" s="192"/>
      <c r="P808" s="192"/>
      <c r="Q808" s="205"/>
      <c r="AB808" s="205"/>
      <c r="AC808" s="205"/>
      <c r="AE808"/>
    </row>
    <row r="809" spans="1:31" x14ac:dyDescent="0.2">
      <c r="A809" s="219"/>
      <c r="B809" s="219"/>
      <c r="C809" s="205"/>
      <c r="D809" s="205"/>
      <c r="E809" s="192"/>
      <c r="F809" s="205"/>
      <c r="G809" s="205"/>
      <c r="H809" s="205"/>
      <c r="O809" s="192"/>
      <c r="P809" s="192"/>
      <c r="Q809" s="205"/>
      <c r="AB809" s="205"/>
      <c r="AC809" s="205"/>
      <c r="AE809"/>
    </row>
    <row r="810" spans="1:31" x14ac:dyDescent="0.2">
      <c r="A810" s="219"/>
      <c r="B810" s="219"/>
      <c r="C810" s="205"/>
      <c r="D810" s="205"/>
      <c r="E810" s="192"/>
      <c r="F810" s="205"/>
      <c r="G810" s="205"/>
      <c r="H810"/>
      <c r="O810" s="192"/>
      <c r="P810" s="192"/>
      <c r="Q810" s="205"/>
      <c r="AB810" s="205"/>
      <c r="AC810" s="205"/>
      <c r="AE810"/>
    </row>
    <row r="811" spans="1:31" x14ac:dyDescent="0.2">
      <c r="A811" s="219"/>
      <c r="B811" s="219"/>
      <c r="C811" s="205"/>
      <c r="D811" s="205"/>
      <c r="E811" s="192"/>
      <c r="F811" s="205"/>
      <c r="G811" s="205"/>
      <c r="H811"/>
      <c r="O811" s="192"/>
      <c r="P811" s="192"/>
      <c r="Q811" s="205"/>
      <c r="AB811" s="205"/>
      <c r="AC811" s="205"/>
      <c r="AE811"/>
    </row>
    <row r="812" spans="1:31" x14ac:dyDescent="0.2">
      <c r="A812" s="219"/>
      <c r="B812" s="219"/>
      <c r="C812" s="205"/>
      <c r="D812" s="205"/>
      <c r="E812" s="192"/>
      <c r="F812" s="205"/>
      <c r="G812" s="205"/>
      <c r="H812"/>
      <c r="O812" s="192"/>
      <c r="P812" s="192"/>
      <c r="Q812" s="205"/>
      <c r="AB812" s="205"/>
      <c r="AC812" s="205"/>
      <c r="AE812"/>
    </row>
    <row r="813" spans="1:31" x14ac:dyDescent="0.2">
      <c r="A813" s="219"/>
      <c r="B813" s="219"/>
      <c r="C813" s="205"/>
      <c r="D813" s="205"/>
      <c r="E813" s="192"/>
      <c r="F813" s="205"/>
      <c r="G813"/>
      <c r="H813"/>
      <c r="O813" s="192"/>
      <c r="P813" s="192"/>
      <c r="Q813" s="205"/>
      <c r="AB813" s="205"/>
      <c r="AC813" s="205"/>
      <c r="AE813"/>
    </row>
    <row r="814" spans="1:31" x14ac:dyDescent="0.2">
      <c r="A814" s="219"/>
      <c r="B814" s="219"/>
      <c r="C814" s="205"/>
      <c r="D814" s="205"/>
      <c r="E814" s="192"/>
      <c r="F814" s="205"/>
      <c r="G814"/>
      <c r="H814"/>
      <c r="O814" s="192"/>
      <c r="P814" s="192"/>
      <c r="Q814" s="205"/>
      <c r="AB814" s="205"/>
      <c r="AC814" s="205"/>
      <c r="AE814"/>
    </row>
    <row r="815" spans="1:31" x14ac:dyDescent="0.2">
      <c r="A815" s="219"/>
      <c r="B815" s="219"/>
      <c r="C815" s="205"/>
      <c r="D815" s="205"/>
      <c r="E815" s="192"/>
      <c r="F815" s="205"/>
      <c r="G815" s="205"/>
      <c r="H815"/>
      <c r="O815" s="192"/>
      <c r="P815" s="192"/>
      <c r="Q815" s="205"/>
      <c r="AB815" s="205"/>
      <c r="AC815" s="205"/>
      <c r="AE815"/>
    </row>
    <row r="816" spans="1:31" x14ac:dyDescent="0.2">
      <c r="A816" s="219"/>
      <c r="B816" s="219"/>
      <c r="C816" s="205"/>
      <c r="D816" s="205"/>
      <c r="E816" s="192"/>
      <c r="F816" s="205"/>
      <c r="G816" s="205"/>
      <c r="H816"/>
      <c r="O816" s="192"/>
      <c r="P816" s="192"/>
      <c r="Q816" s="205"/>
      <c r="AB816" s="205"/>
      <c r="AC816" s="205"/>
      <c r="AE816"/>
    </row>
    <row r="817" spans="1:31" x14ac:dyDescent="0.2">
      <c r="A817" s="219"/>
      <c r="B817" s="219"/>
      <c r="C817" s="205"/>
      <c r="D817" s="205"/>
      <c r="E817" s="192"/>
      <c r="F817" s="205"/>
      <c r="G817" s="205"/>
      <c r="H817"/>
      <c r="O817" s="192"/>
      <c r="P817" s="192"/>
      <c r="Q817" s="205"/>
      <c r="AB817" s="205"/>
      <c r="AC817" s="205"/>
      <c r="AE817"/>
    </row>
    <row r="818" spans="1:31" x14ac:dyDescent="0.2">
      <c r="A818" s="219"/>
      <c r="B818" s="219"/>
      <c r="C818" s="205"/>
      <c r="D818" s="205"/>
      <c r="E818" s="192"/>
      <c r="F818" s="205"/>
      <c r="G818" s="205"/>
      <c r="H818" s="205"/>
      <c r="O818" s="192"/>
      <c r="P818" s="192"/>
      <c r="Q818" s="205"/>
      <c r="AB818" s="205"/>
      <c r="AC818" s="205"/>
      <c r="AE818"/>
    </row>
    <row r="819" spans="1:31" x14ac:dyDescent="0.2">
      <c r="A819" s="219"/>
      <c r="B819" s="219"/>
      <c r="C819" s="205"/>
      <c r="D819" s="205"/>
      <c r="E819" s="192"/>
      <c r="F819" s="205"/>
      <c r="G819" s="205"/>
      <c r="H819"/>
      <c r="O819" s="192"/>
      <c r="P819" s="192"/>
      <c r="Q819" s="205"/>
      <c r="AB819" s="205"/>
      <c r="AC819" s="205"/>
      <c r="AE819"/>
    </row>
    <row r="820" spans="1:31" x14ac:dyDescent="0.2">
      <c r="A820" s="219"/>
      <c r="B820" s="219"/>
      <c r="C820" s="205"/>
      <c r="D820" s="205"/>
      <c r="E820" s="192"/>
      <c r="F820" s="205"/>
      <c r="G820" s="205"/>
      <c r="H820"/>
      <c r="O820" s="192"/>
      <c r="P820" s="192"/>
      <c r="Q820" s="205"/>
      <c r="AB820" s="205"/>
      <c r="AC820" s="205"/>
      <c r="AE820"/>
    </row>
    <row r="821" spans="1:31" x14ac:dyDescent="0.2">
      <c r="A821" s="219"/>
      <c r="B821" s="219"/>
      <c r="C821" s="205"/>
      <c r="D821" s="205"/>
      <c r="E821" s="192"/>
      <c r="F821" s="205"/>
      <c r="G821" s="205"/>
      <c r="H821"/>
      <c r="O821" s="192"/>
      <c r="P821" s="192"/>
      <c r="Q821" s="205"/>
      <c r="AB821" s="205"/>
      <c r="AC821" s="205"/>
      <c r="AE821"/>
    </row>
    <row r="822" spans="1:31" x14ac:dyDescent="0.2">
      <c r="A822" s="219"/>
      <c r="B822" s="219"/>
      <c r="C822" s="205"/>
      <c r="D822" s="205"/>
      <c r="E822" s="192"/>
      <c r="F822" s="205"/>
      <c r="G822" s="205"/>
      <c r="H822"/>
      <c r="O822" s="192"/>
      <c r="P822" s="192"/>
      <c r="Q822" s="205"/>
      <c r="AB822" s="205"/>
      <c r="AC822" s="205"/>
      <c r="AE822"/>
    </row>
    <row r="823" spans="1:31" x14ac:dyDescent="0.2">
      <c r="A823" s="219"/>
      <c r="B823" s="219"/>
      <c r="C823" s="205"/>
      <c r="D823" s="205"/>
      <c r="E823" s="192"/>
      <c r="F823" s="205"/>
      <c r="G823"/>
      <c r="H823"/>
      <c r="O823" s="192"/>
      <c r="P823" s="192"/>
      <c r="Q823" s="205"/>
      <c r="AB823" s="205"/>
      <c r="AC823" s="205"/>
      <c r="AE823"/>
    </row>
    <row r="824" spans="1:31" x14ac:dyDescent="0.2">
      <c r="A824" s="219"/>
      <c r="B824" s="219"/>
      <c r="C824" s="205"/>
      <c r="D824" s="205"/>
      <c r="E824" s="192"/>
      <c r="F824" s="205"/>
      <c r="G824" s="205"/>
      <c r="H824"/>
      <c r="O824" s="192"/>
      <c r="P824" s="192"/>
      <c r="Q824" s="205"/>
      <c r="AB824" s="205"/>
      <c r="AC824" s="205"/>
      <c r="AE824"/>
    </row>
    <row r="825" spans="1:31" x14ac:dyDescent="0.2">
      <c r="A825" s="219"/>
      <c r="B825" s="219"/>
      <c r="C825" s="205"/>
      <c r="D825" s="205"/>
      <c r="E825" s="192"/>
      <c r="F825" s="205"/>
      <c r="G825" s="205"/>
      <c r="H825" s="205"/>
      <c r="O825" s="192"/>
      <c r="P825" s="192"/>
      <c r="Q825" s="205"/>
      <c r="AB825" s="205"/>
      <c r="AC825" s="205"/>
      <c r="AE825"/>
    </row>
    <row r="826" spans="1:31" x14ac:dyDescent="0.2">
      <c r="A826" s="219"/>
      <c r="B826" s="219"/>
      <c r="C826" s="205"/>
      <c r="D826" s="205"/>
      <c r="E826" s="192"/>
      <c r="F826" s="205"/>
      <c r="G826"/>
      <c r="H826"/>
      <c r="O826" s="192"/>
      <c r="P826" s="192"/>
      <c r="Q826" s="205"/>
      <c r="AB826" s="205"/>
      <c r="AC826" s="205"/>
      <c r="AE826"/>
    </row>
    <row r="827" spans="1:31" x14ac:dyDescent="0.2">
      <c r="A827" s="219"/>
      <c r="B827" s="219"/>
      <c r="C827" s="205"/>
      <c r="D827" s="205"/>
      <c r="E827" s="192"/>
      <c r="F827" s="205"/>
      <c r="G827"/>
      <c r="H827"/>
      <c r="O827" s="192"/>
      <c r="P827" s="192"/>
      <c r="Q827" s="205"/>
      <c r="AB827" s="205"/>
      <c r="AC827" s="205"/>
      <c r="AE827"/>
    </row>
    <row r="828" spans="1:31" x14ac:dyDescent="0.2">
      <c r="A828" s="219"/>
      <c r="B828" s="219"/>
      <c r="C828" s="205"/>
      <c r="D828" s="205"/>
      <c r="E828" s="192"/>
      <c r="F828" s="205"/>
      <c r="G828" s="205"/>
      <c r="H828" s="205"/>
      <c r="O828" s="192"/>
      <c r="P828" s="192"/>
      <c r="Q828" s="205"/>
      <c r="AB828" s="205"/>
      <c r="AC828" s="205"/>
      <c r="AE828"/>
    </row>
    <row r="829" spans="1:31" x14ac:dyDescent="0.2">
      <c r="A829" s="219"/>
      <c r="B829" s="219"/>
      <c r="C829" s="205"/>
      <c r="D829" s="205"/>
      <c r="E829" s="192"/>
      <c r="F829" s="205"/>
      <c r="G829"/>
      <c r="H829"/>
      <c r="O829" s="192"/>
      <c r="P829" s="192"/>
      <c r="Q829" s="205"/>
      <c r="AB829" s="205"/>
      <c r="AC829" s="205"/>
      <c r="AE829"/>
    </row>
    <row r="830" spans="1:31" x14ac:dyDescent="0.2">
      <c r="A830" s="219"/>
      <c r="B830" s="219"/>
      <c r="C830" s="205"/>
      <c r="D830" s="205"/>
      <c r="E830" s="192"/>
      <c r="F830" s="205"/>
      <c r="G830" s="205"/>
      <c r="H830"/>
      <c r="O830" s="192"/>
      <c r="P830" s="192"/>
      <c r="Q830" s="205"/>
      <c r="AB830" s="205"/>
      <c r="AC830" s="205"/>
      <c r="AE830"/>
    </row>
    <row r="831" spans="1:31" x14ac:dyDescent="0.2">
      <c r="A831" s="219"/>
      <c r="B831" s="219"/>
      <c r="C831" s="205"/>
      <c r="D831" s="205"/>
      <c r="E831" s="192"/>
      <c r="F831" s="205"/>
      <c r="G831"/>
      <c r="H831"/>
      <c r="O831" s="192"/>
      <c r="P831" s="192"/>
      <c r="Q831" s="205"/>
      <c r="AB831" s="205"/>
      <c r="AC831" s="205"/>
      <c r="AE831"/>
    </row>
    <row r="832" spans="1:31" x14ac:dyDescent="0.2">
      <c r="A832" s="219"/>
      <c r="B832" s="219"/>
      <c r="C832" s="205"/>
      <c r="D832" s="205"/>
      <c r="E832" s="192"/>
      <c r="F832" s="205"/>
      <c r="G832" s="205"/>
      <c r="H832"/>
      <c r="O832" s="192"/>
      <c r="P832" s="192"/>
      <c r="Q832" s="205"/>
      <c r="AB832" s="205"/>
      <c r="AC832" s="205"/>
      <c r="AE832"/>
    </row>
    <row r="833" spans="1:31" x14ac:dyDescent="0.2">
      <c r="A833" s="219"/>
      <c r="B833" s="219"/>
      <c r="C833" s="205"/>
      <c r="D833" s="205"/>
      <c r="E833" s="192"/>
      <c r="F833" s="205"/>
      <c r="G833" s="205"/>
      <c r="H833"/>
      <c r="O833" s="192"/>
      <c r="P833" s="192"/>
      <c r="Q833" s="205"/>
      <c r="AB833" s="205"/>
      <c r="AC833" s="205"/>
      <c r="AE833"/>
    </row>
    <row r="834" spans="1:31" x14ac:dyDescent="0.2">
      <c r="A834" s="219"/>
      <c r="B834" s="219"/>
      <c r="C834" s="205"/>
      <c r="D834" s="205"/>
      <c r="E834" s="192"/>
      <c r="F834" s="205"/>
      <c r="G834" s="205"/>
      <c r="H834"/>
      <c r="O834" s="192"/>
      <c r="P834" s="192"/>
      <c r="Q834" s="205"/>
      <c r="AB834" s="205"/>
      <c r="AC834" s="205"/>
      <c r="AE834"/>
    </row>
    <row r="835" spans="1:31" x14ac:dyDescent="0.2">
      <c r="A835" s="219"/>
      <c r="B835" s="219"/>
      <c r="C835" s="205"/>
      <c r="D835" s="205"/>
      <c r="E835" s="192"/>
      <c r="F835" s="205"/>
      <c r="G835" s="205"/>
      <c r="H835"/>
      <c r="O835" s="192"/>
      <c r="P835" s="192"/>
      <c r="Q835" s="205"/>
      <c r="AB835" s="205"/>
      <c r="AC835" s="205"/>
      <c r="AE835"/>
    </row>
    <row r="836" spans="1:31" x14ac:dyDescent="0.2">
      <c r="A836" s="219"/>
      <c r="B836" s="219"/>
      <c r="C836" s="205"/>
      <c r="D836" s="205"/>
      <c r="E836" s="192"/>
      <c r="F836" s="205"/>
      <c r="G836" s="205"/>
      <c r="H836"/>
      <c r="O836" s="192"/>
      <c r="P836" s="192"/>
      <c r="Q836" s="205"/>
      <c r="AB836" s="205"/>
      <c r="AC836" s="205"/>
      <c r="AE836"/>
    </row>
    <row r="837" spans="1:31" x14ac:dyDescent="0.2">
      <c r="A837" s="219"/>
      <c r="B837" s="219"/>
      <c r="C837" s="205"/>
      <c r="D837" s="205"/>
      <c r="E837" s="192"/>
      <c r="F837" s="205"/>
      <c r="G837"/>
      <c r="H837"/>
      <c r="O837" s="192"/>
      <c r="P837" s="192"/>
      <c r="Q837" s="205"/>
      <c r="AB837" s="205"/>
      <c r="AC837" s="205"/>
      <c r="AE837"/>
    </row>
    <row r="838" spans="1:31" x14ac:dyDescent="0.2">
      <c r="A838" s="219"/>
      <c r="B838" s="219"/>
      <c r="C838" s="205"/>
      <c r="D838" s="205"/>
      <c r="E838" s="192"/>
      <c r="F838" s="205"/>
      <c r="G838" s="205"/>
      <c r="H838"/>
      <c r="O838" s="192"/>
      <c r="P838" s="192"/>
      <c r="Q838" s="205"/>
      <c r="AB838" s="205"/>
      <c r="AC838" s="205"/>
      <c r="AE838"/>
    </row>
    <row r="839" spans="1:31" x14ac:dyDescent="0.2">
      <c r="A839" s="219"/>
      <c r="B839" s="219"/>
      <c r="C839" s="205"/>
      <c r="D839" s="205"/>
      <c r="E839" s="192"/>
      <c r="F839" s="205"/>
      <c r="G839" s="205"/>
      <c r="H839"/>
      <c r="O839" s="192"/>
      <c r="P839" s="192"/>
      <c r="Q839" s="205"/>
      <c r="AB839" s="205"/>
      <c r="AC839" s="205"/>
      <c r="AE839"/>
    </row>
    <row r="840" spans="1:31" x14ac:dyDescent="0.2">
      <c r="A840" s="219"/>
      <c r="B840" s="219"/>
      <c r="C840" s="205"/>
      <c r="D840" s="205"/>
      <c r="E840" s="192"/>
      <c r="F840" s="205"/>
      <c r="G840" s="205"/>
      <c r="H840"/>
      <c r="O840" s="192"/>
      <c r="P840" s="192"/>
      <c r="Q840" s="205"/>
      <c r="AB840" s="205"/>
      <c r="AC840" s="205"/>
      <c r="AE840"/>
    </row>
    <row r="841" spans="1:31" x14ac:dyDescent="0.2">
      <c r="A841" s="219"/>
      <c r="B841" s="219"/>
      <c r="C841" s="205"/>
      <c r="D841" s="205"/>
      <c r="E841" s="192"/>
      <c r="F841" s="205"/>
      <c r="G841" s="205"/>
      <c r="H841"/>
      <c r="O841" s="192"/>
      <c r="P841" s="192"/>
      <c r="Q841" s="205"/>
      <c r="AB841" s="205"/>
      <c r="AC841" s="205"/>
      <c r="AE841"/>
    </row>
    <row r="842" spans="1:31" x14ac:dyDescent="0.2">
      <c r="A842" s="219"/>
      <c r="B842" s="219"/>
      <c r="C842" s="205"/>
      <c r="D842" s="205"/>
      <c r="E842" s="192"/>
      <c r="F842" s="205"/>
      <c r="G842" s="205"/>
      <c r="H842"/>
      <c r="O842" s="192"/>
      <c r="P842" s="192"/>
      <c r="Q842" s="205"/>
      <c r="AB842" s="205"/>
      <c r="AC842" s="205"/>
      <c r="AE842"/>
    </row>
    <row r="843" spans="1:31" x14ac:dyDescent="0.2">
      <c r="A843" s="219"/>
      <c r="B843" s="219"/>
      <c r="C843" s="205"/>
      <c r="D843" s="205"/>
      <c r="E843" s="192"/>
      <c r="F843" s="205"/>
      <c r="G843" s="205"/>
      <c r="H843"/>
      <c r="O843" s="192"/>
      <c r="P843" s="192"/>
      <c r="Q843" s="205"/>
      <c r="AB843" s="205"/>
      <c r="AC843" s="205"/>
      <c r="AE843"/>
    </row>
    <row r="844" spans="1:31" x14ac:dyDescent="0.2">
      <c r="A844" s="219"/>
      <c r="B844" s="219"/>
      <c r="C844" s="205"/>
      <c r="D844" s="205"/>
      <c r="E844" s="192"/>
      <c r="F844" s="205"/>
      <c r="G844"/>
      <c r="H844"/>
      <c r="O844" s="192"/>
      <c r="P844" s="192"/>
      <c r="Q844" s="205"/>
      <c r="AB844" s="205"/>
      <c r="AC844" s="205"/>
      <c r="AE844"/>
    </row>
    <row r="845" spans="1:31" x14ac:dyDescent="0.2">
      <c r="A845" s="219"/>
      <c r="B845" s="219"/>
      <c r="C845" s="205"/>
      <c r="D845" s="205"/>
      <c r="E845" s="192"/>
      <c r="F845" s="205"/>
      <c r="G845" s="205"/>
      <c r="H845"/>
      <c r="O845" s="192"/>
      <c r="P845" s="192"/>
      <c r="Q845" s="205"/>
      <c r="AB845" s="205"/>
      <c r="AC845" s="205"/>
      <c r="AE845"/>
    </row>
    <row r="846" spans="1:31" x14ac:dyDescent="0.2">
      <c r="A846" s="219"/>
      <c r="B846" s="219"/>
      <c r="C846" s="205"/>
      <c r="D846" s="205"/>
      <c r="E846" s="192"/>
      <c r="F846" s="205"/>
      <c r="G846" s="205"/>
      <c r="H846"/>
      <c r="O846" s="192"/>
      <c r="P846" s="192"/>
      <c r="Q846" s="205"/>
      <c r="AB846" s="205"/>
      <c r="AC846" s="205"/>
      <c r="AE846"/>
    </row>
    <row r="847" spans="1:31" x14ac:dyDescent="0.2">
      <c r="A847" s="219"/>
      <c r="B847" s="219"/>
      <c r="C847" s="205"/>
      <c r="D847" s="205"/>
      <c r="E847" s="192"/>
      <c r="F847" s="205"/>
      <c r="G847" s="205"/>
      <c r="H847"/>
      <c r="O847" s="192"/>
      <c r="P847" s="192"/>
      <c r="Q847" s="205"/>
      <c r="AB847" s="205"/>
      <c r="AC847" s="205"/>
      <c r="AE847"/>
    </row>
    <row r="848" spans="1:31" x14ac:dyDescent="0.2">
      <c r="A848" s="219"/>
      <c r="B848" s="219"/>
      <c r="C848" s="205"/>
      <c r="D848" s="205"/>
      <c r="E848" s="192"/>
      <c r="F848" s="205"/>
      <c r="G848" s="205"/>
      <c r="H848"/>
      <c r="O848" s="192"/>
      <c r="P848" s="192"/>
      <c r="Q848" s="205"/>
      <c r="AB848" s="205"/>
      <c r="AC848" s="205"/>
      <c r="AE848"/>
    </row>
    <row r="849" spans="1:31" x14ac:dyDescent="0.2">
      <c r="A849" s="219"/>
      <c r="B849" s="219"/>
      <c r="C849" s="205"/>
      <c r="D849" s="205"/>
      <c r="E849" s="192"/>
      <c r="F849" s="205"/>
      <c r="G849" s="205"/>
      <c r="H849"/>
      <c r="O849" s="192"/>
      <c r="P849" s="192"/>
      <c r="Q849" s="205"/>
      <c r="AB849" s="205"/>
      <c r="AC849" s="205"/>
      <c r="AE849"/>
    </row>
    <row r="850" spans="1:31" x14ac:dyDescent="0.2">
      <c r="A850" s="219"/>
      <c r="B850" s="219"/>
      <c r="C850" s="205"/>
      <c r="D850" s="205"/>
      <c r="E850" s="192"/>
      <c r="F850" s="205"/>
      <c r="G850" s="205"/>
      <c r="H850"/>
      <c r="O850" s="192"/>
      <c r="P850" s="192"/>
      <c r="Q850" s="205"/>
      <c r="AB850" s="205"/>
      <c r="AC850" s="205"/>
      <c r="AE850"/>
    </row>
    <row r="851" spans="1:31" x14ac:dyDescent="0.2">
      <c r="A851" s="219"/>
      <c r="B851" s="219"/>
      <c r="C851" s="205"/>
      <c r="D851" s="205"/>
      <c r="E851" s="192"/>
      <c r="F851" s="205"/>
      <c r="G851" s="205"/>
      <c r="H851"/>
      <c r="O851" s="192"/>
      <c r="P851" s="192"/>
      <c r="Q851" s="205"/>
      <c r="AB851" s="205"/>
      <c r="AC851" s="205"/>
      <c r="AE851"/>
    </row>
    <row r="852" spans="1:31" x14ac:dyDescent="0.2">
      <c r="A852" s="219"/>
      <c r="B852" s="219"/>
      <c r="C852" s="205"/>
      <c r="D852" s="205"/>
      <c r="E852" s="192"/>
      <c r="F852" s="205"/>
      <c r="G852" s="205"/>
      <c r="H852"/>
      <c r="O852" s="192"/>
      <c r="P852" s="192"/>
      <c r="Q852" s="205"/>
      <c r="AB852" s="205"/>
      <c r="AC852" s="205"/>
      <c r="AE852"/>
    </row>
    <row r="853" spans="1:31" x14ac:dyDescent="0.2">
      <c r="A853" s="219"/>
      <c r="B853" s="219"/>
      <c r="C853" s="205"/>
      <c r="D853" s="205"/>
      <c r="E853" s="192"/>
      <c r="F853" s="205"/>
      <c r="G853"/>
      <c r="H853"/>
      <c r="O853" s="192"/>
      <c r="P853" s="192"/>
      <c r="Q853" s="205"/>
      <c r="AB853" s="205"/>
      <c r="AC853" s="205"/>
      <c r="AE853"/>
    </row>
    <row r="854" spans="1:31" x14ac:dyDescent="0.2">
      <c r="A854" s="219"/>
      <c r="B854" s="219"/>
      <c r="C854" s="205"/>
      <c r="D854" s="205"/>
      <c r="E854" s="192"/>
      <c r="F854" s="205"/>
      <c r="G854"/>
      <c r="H854"/>
      <c r="O854" s="192"/>
      <c r="P854" s="192"/>
      <c r="Q854" s="205"/>
      <c r="AB854" s="205"/>
      <c r="AC854" s="205"/>
      <c r="AE854"/>
    </row>
    <row r="855" spans="1:31" x14ac:dyDescent="0.2">
      <c r="A855" s="219"/>
      <c r="B855" s="219"/>
      <c r="C855" s="205"/>
      <c r="D855" s="205"/>
      <c r="E855" s="192"/>
      <c r="F855" s="205"/>
      <c r="G855"/>
      <c r="H855"/>
      <c r="O855" s="192"/>
      <c r="P855" s="192"/>
      <c r="Q855" s="205"/>
      <c r="AB855" s="205"/>
      <c r="AC855" s="205"/>
      <c r="AE855"/>
    </row>
    <row r="856" spans="1:31" x14ac:dyDescent="0.2">
      <c r="A856" s="219"/>
      <c r="B856" s="219"/>
      <c r="C856" s="205"/>
      <c r="D856" s="205"/>
      <c r="E856" s="192"/>
      <c r="F856" s="205"/>
      <c r="G856" s="205"/>
      <c r="H856"/>
      <c r="O856" s="192"/>
      <c r="P856" s="192"/>
      <c r="Q856" s="205"/>
      <c r="AB856" s="205"/>
      <c r="AC856" s="205"/>
      <c r="AE856"/>
    </row>
    <row r="857" spans="1:31" x14ac:dyDescent="0.2">
      <c r="A857" s="219"/>
      <c r="B857" s="219"/>
      <c r="C857" s="205"/>
      <c r="D857" s="205"/>
      <c r="E857" s="192"/>
      <c r="F857" s="205"/>
      <c r="G857" s="205"/>
      <c r="H857"/>
      <c r="O857" s="192"/>
      <c r="P857" s="192"/>
      <c r="Q857" s="205"/>
      <c r="AB857" s="205"/>
      <c r="AC857" s="205"/>
      <c r="AE857"/>
    </row>
    <row r="858" spans="1:31" x14ac:dyDescent="0.2">
      <c r="A858" s="219"/>
      <c r="B858" s="219"/>
      <c r="C858" s="205"/>
      <c r="D858" s="205"/>
      <c r="E858" s="192"/>
      <c r="F858" s="205"/>
      <c r="G858" s="205"/>
      <c r="H858" s="205"/>
      <c r="O858" s="192"/>
      <c r="P858" s="192"/>
      <c r="Q858" s="205"/>
      <c r="AB858" s="205"/>
      <c r="AC858" s="205"/>
      <c r="AE858"/>
    </row>
    <row r="859" spans="1:31" x14ac:dyDescent="0.2">
      <c r="A859" s="219"/>
      <c r="B859" s="219"/>
      <c r="C859" s="205"/>
      <c r="D859" s="205"/>
      <c r="E859" s="192"/>
      <c r="F859" s="205"/>
      <c r="G859" s="205"/>
      <c r="H859"/>
      <c r="O859" s="192"/>
      <c r="P859" s="192"/>
      <c r="Q859" s="205"/>
      <c r="AB859" s="205"/>
      <c r="AC859" s="205"/>
      <c r="AE859"/>
    </row>
    <row r="860" spans="1:31" x14ac:dyDescent="0.2">
      <c r="A860" s="219"/>
      <c r="B860" s="219"/>
      <c r="C860" s="205"/>
      <c r="D860" s="205"/>
      <c r="E860" s="192"/>
      <c r="F860" s="205"/>
      <c r="G860"/>
      <c r="H860"/>
      <c r="O860" s="192"/>
      <c r="P860" s="192"/>
      <c r="Q860" s="205"/>
      <c r="AB860" s="205"/>
      <c r="AC860" s="205"/>
      <c r="AE860"/>
    </row>
    <row r="861" spans="1:31" x14ac:dyDescent="0.2">
      <c r="A861" s="219"/>
      <c r="B861" s="219"/>
      <c r="C861" s="205"/>
      <c r="D861" s="205"/>
      <c r="E861" s="192"/>
      <c r="F861" s="205"/>
      <c r="G861" s="205"/>
      <c r="H861"/>
      <c r="O861" s="192"/>
      <c r="P861" s="192"/>
      <c r="Q861" s="205"/>
      <c r="AB861" s="205"/>
      <c r="AC861" s="205"/>
      <c r="AE861"/>
    </row>
    <row r="862" spans="1:31" x14ac:dyDescent="0.2">
      <c r="A862" s="219"/>
      <c r="B862" s="219"/>
      <c r="C862" s="205"/>
      <c r="D862" s="205"/>
      <c r="E862" s="192"/>
      <c r="F862" s="205"/>
      <c r="G862" s="205"/>
      <c r="H862"/>
      <c r="O862" s="192"/>
      <c r="P862" s="192"/>
      <c r="Q862" s="205"/>
      <c r="AB862" s="205"/>
      <c r="AC862" s="205"/>
      <c r="AE862"/>
    </row>
    <row r="863" spans="1:31" x14ac:dyDescent="0.2">
      <c r="A863" s="219"/>
      <c r="B863" s="219"/>
      <c r="C863" s="205"/>
      <c r="D863" s="205"/>
      <c r="E863" s="192"/>
      <c r="F863" s="205"/>
      <c r="G863" s="205"/>
      <c r="H863"/>
      <c r="O863" s="192"/>
      <c r="P863" s="192"/>
      <c r="Q863" s="205"/>
      <c r="AB863" s="205"/>
      <c r="AC863" s="205"/>
      <c r="AE863"/>
    </row>
    <row r="864" spans="1:31" x14ac:dyDescent="0.2">
      <c r="A864" s="219"/>
      <c r="B864" s="219"/>
      <c r="C864" s="205"/>
      <c r="D864" s="205"/>
      <c r="E864" s="192"/>
      <c r="F864" s="205"/>
      <c r="G864" s="205"/>
      <c r="H864"/>
      <c r="O864" s="192"/>
      <c r="P864" s="192"/>
      <c r="Q864" s="205"/>
      <c r="AB864" s="205"/>
      <c r="AC864" s="205"/>
      <c r="AE864"/>
    </row>
    <row r="865" spans="1:31" x14ac:dyDescent="0.2">
      <c r="A865" s="219"/>
      <c r="B865" s="219"/>
      <c r="C865" s="205"/>
      <c r="D865" s="205"/>
      <c r="E865" s="192"/>
      <c r="F865" s="205"/>
      <c r="G865" s="205"/>
      <c r="H865"/>
      <c r="O865" s="192"/>
      <c r="P865" s="192"/>
      <c r="Q865" s="205"/>
      <c r="AB865" s="205"/>
      <c r="AC865" s="205"/>
      <c r="AE865"/>
    </row>
    <row r="866" spans="1:31" x14ac:dyDescent="0.2">
      <c r="A866" s="219"/>
      <c r="B866" s="219"/>
      <c r="C866" s="205"/>
      <c r="D866" s="205"/>
      <c r="E866" s="192"/>
      <c r="F866" s="205"/>
      <c r="G866" s="205"/>
      <c r="H866"/>
      <c r="O866" s="192"/>
      <c r="P866" s="192"/>
      <c r="Q866" s="205"/>
      <c r="AB866" s="205"/>
      <c r="AC866" s="205"/>
      <c r="AE866"/>
    </row>
    <row r="867" spans="1:31" x14ac:dyDescent="0.2">
      <c r="A867" s="219"/>
      <c r="B867" s="219"/>
      <c r="C867" s="205"/>
      <c r="D867" s="205"/>
      <c r="E867" s="192"/>
      <c r="F867" s="205"/>
      <c r="G867" s="205"/>
      <c r="H867"/>
      <c r="O867" s="192"/>
      <c r="P867" s="192"/>
      <c r="Q867" s="205"/>
      <c r="AB867" s="205"/>
      <c r="AC867" s="205"/>
      <c r="AE867"/>
    </row>
    <row r="868" spans="1:31" x14ac:dyDescent="0.2">
      <c r="A868" s="219"/>
      <c r="B868" s="219"/>
      <c r="C868" s="205"/>
      <c r="D868" s="205"/>
      <c r="E868" s="192"/>
      <c r="F868" s="205"/>
      <c r="G868" s="205"/>
      <c r="H868" s="205"/>
      <c r="O868" s="192"/>
      <c r="P868" s="192"/>
      <c r="Q868" s="205"/>
      <c r="AB868" s="205"/>
      <c r="AC868" s="205"/>
      <c r="AE868"/>
    </row>
    <row r="869" spans="1:31" x14ac:dyDescent="0.2">
      <c r="A869" s="219"/>
      <c r="B869" s="219"/>
      <c r="C869" s="205"/>
      <c r="D869" s="205"/>
      <c r="E869" s="192"/>
      <c r="F869" s="205"/>
      <c r="G869" s="205"/>
      <c r="H869"/>
      <c r="O869" s="192"/>
      <c r="P869" s="192"/>
      <c r="Q869" s="205"/>
      <c r="AB869" s="205"/>
      <c r="AC869" s="205"/>
      <c r="AE869"/>
    </row>
    <row r="870" spans="1:31" x14ac:dyDescent="0.2">
      <c r="A870" s="219"/>
      <c r="B870" s="219"/>
      <c r="C870" s="205"/>
      <c r="D870" s="205"/>
      <c r="E870" s="192"/>
      <c r="F870" s="205"/>
      <c r="G870" s="205"/>
      <c r="H870"/>
      <c r="O870" s="192"/>
      <c r="P870" s="192"/>
      <c r="Q870" s="205"/>
      <c r="AB870" s="205"/>
      <c r="AC870" s="205"/>
      <c r="AE870"/>
    </row>
    <row r="871" spans="1:31" x14ac:dyDescent="0.2">
      <c r="A871" s="219"/>
      <c r="B871" s="219"/>
      <c r="C871" s="205"/>
      <c r="D871" s="205"/>
      <c r="E871" s="192"/>
      <c r="F871" s="205"/>
      <c r="G871"/>
      <c r="H871"/>
      <c r="O871" s="192"/>
      <c r="P871" s="192"/>
      <c r="Q871" s="205"/>
      <c r="AB871" s="205"/>
      <c r="AC871" s="205"/>
      <c r="AE871"/>
    </row>
    <row r="872" spans="1:31" x14ac:dyDescent="0.2">
      <c r="A872" s="219"/>
      <c r="B872" s="219"/>
      <c r="C872" s="205"/>
      <c r="D872" s="205"/>
      <c r="E872" s="192"/>
      <c r="F872" s="205"/>
      <c r="G872"/>
      <c r="H872"/>
      <c r="O872" s="192"/>
      <c r="P872" s="192"/>
      <c r="Q872" s="205"/>
      <c r="AB872" s="205"/>
      <c r="AC872" s="205"/>
      <c r="AE872"/>
    </row>
    <row r="873" spans="1:31" x14ac:dyDescent="0.2">
      <c r="A873" s="219"/>
      <c r="B873" s="219"/>
      <c r="C873" s="205"/>
      <c r="D873" s="205"/>
      <c r="E873" s="192"/>
      <c r="F873" s="205"/>
      <c r="G873"/>
      <c r="H873"/>
      <c r="O873" s="192"/>
      <c r="P873" s="192"/>
      <c r="Q873" s="205"/>
      <c r="AB873" s="205"/>
      <c r="AC873" s="205"/>
      <c r="AE873"/>
    </row>
    <row r="874" spans="1:31" x14ac:dyDescent="0.2">
      <c r="A874" s="219"/>
      <c r="B874" s="219"/>
      <c r="C874" s="205"/>
      <c r="D874" s="205"/>
      <c r="E874" s="192"/>
      <c r="F874" s="205"/>
      <c r="G874" s="205"/>
      <c r="H874" s="205"/>
      <c r="O874" s="192"/>
      <c r="P874" s="192"/>
      <c r="Q874" s="205"/>
      <c r="AB874" s="205"/>
      <c r="AC874" s="205"/>
      <c r="AE874"/>
    </row>
    <row r="875" spans="1:31" x14ac:dyDescent="0.2">
      <c r="A875" s="219"/>
      <c r="B875" s="219"/>
      <c r="C875" s="205"/>
      <c r="D875" s="205"/>
      <c r="E875" s="192"/>
      <c r="F875" s="205"/>
      <c r="G875" s="205"/>
      <c r="H875"/>
      <c r="O875" s="192"/>
      <c r="P875" s="192"/>
      <c r="Q875" s="205"/>
      <c r="AB875" s="205"/>
      <c r="AC875" s="205"/>
      <c r="AE875"/>
    </row>
    <row r="876" spans="1:31" x14ac:dyDescent="0.2">
      <c r="A876" s="219"/>
      <c r="B876" s="219"/>
      <c r="C876" s="205"/>
      <c r="D876" s="205"/>
      <c r="E876" s="192"/>
      <c r="F876" s="205"/>
      <c r="G876" s="205"/>
      <c r="H876"/>
      <c r="O876" s="192"/>
      <c r="P876" s="192"/>
      <c r="Q876" s="205"/>
      <c r="AB876" s="205"/>
      <c r="AC876" s="205"/>
      <c r="AE876"/>
    </row>
    <row r="877" spans="1:31" x14ac:dyDescent="0.2">
      <c r="A877" s="219"/>
      <c r="B877" s="219"/>
      <c r="C877" s="205"/>
      <c r="D877" s="205"/>
      <c r="E877" s="192"/>
      <c r="F877" s="205"/>
      <c r="G877"/>
      <c r="H877"/>
      <c r="O877" s="192"/>
      <c r="P877" s="192"/>
      <c r="Q877" s="205"/>
      <c r="AB877" s="205"/>
      <c r="AC877" s="205"/>
      <c r="AE877"/>
    </row>
    <row r="878" spans="1:31" x14ac:dyDescent="0.2">
      <c r="A878" s="219"/>
      <c r="B878" s="219"/>
      <c r="C878" s="205"/>
      <c r="D878" s="205"/>
      <c r="E878" s="192"/>
      <c r="F878" s="205"/>
      <c r="G878" s="205"/>
      <c r="H878"/>
      <c r="O878" s="192"/>
      <c r="P878" s="192"/>
      <c r="Q878" s="205"/>
      <c r="AB878" s="205"/>
      <c r="AC878" s="205"/>
      <c r="AE878"/>
    </row>
    <row r="879" spans="1:31" x14ac:dyDescent="0.2">
      <c r="A879" s="219"/>
      <c r="B879" s="219"/>
      <c r="C879" s="205"/>
      <c r="D879" s="205"/>
      <c r="E879" s="192"/>
      <c r="F879" s="205"/>
      <c r="G879" s="205"/>
      <c r="H879"/>
      <c r="O879" s="192"/>
      <c r="P879" s="192"/>
      <c r="Q879" s="205"/>
      <c r="AB879" s="205"/>
      <c r="AC879" s="205"/>
      <c r="AE879"/>
    </row>
    <row r="880" spans="1:31" x14ac:dyDescent="0.2">
      <c r="A880" s="219"/>
      <c r="B880" s="219"/>
      <c r="C880" s="205"/>
      <c r="D880" s="205"/>
      <c r="E880" s="192"/>
      <c r="F880" s="205"/>
      <c r="G880" s="205"/>
      <c r="H880"/>
      <c r="O880" s="192"/>
      <c r="P880" s="192"/>
      <c r="Q880" s="205"/>
      <c r="AB880" s="205"/>
      <c r="AC880" s="205"/>
      <c r="AE880"/>
    </row>
    <row r="881" spans="1:31" x14ac:dyDescent="0.2">
      <c r="A881" s="219"/>
      <c r="B881" s="219"/>
      <c r="C881" s="205"/>
      <c r="D881" s="205"/>
      <c r="E881" s="192"/>
      <c r="F881" s="205"/>
      <c r="G881" s="205"/>
      <c r="H881"/>
      <c r="O881" s="192"/>
      <c r="P881" s="192"/>
      <c r="Q881" s="205"/>
      <c r="AB881" s="205"/>
      <c r="AC881" s="205"/>
      <c r="AE881"/>
    </row>
    <row r="882" spans="1:31" x14ac:dyDescent="0.2">
      <c r="A882" s="219"/>
      <c r="B882" s="219"/>
      <c r="C882" s="205"/>
      <c r="D882" s="205"/>
      <c r="E882" s="192"/>
      <c r="F882" s="205"/>
      <c r="G882" s="205"/>
      <c r="H882"/>
      <c r="O882" s="192"/>
      <c r="P882" s="192"/>
      <c r="Q882" s="205"/>
      <c r="AB882" s="205"/>
      <c r="AC882" s="205"/>
      <c r="AE882"/>
    </row>
    <row r="883" spans="1:31" x14ac:dyDescent="0.2">
      <c r="A883" s="219"/>
      <c r="B883" s="219"/>
      <c r="C883" s="205"/>
      <c r="D883" s="205"/>
      <c r="E883" s="192"/>
      <c r="F883" s="205"/>
      <c r="G883"/>
      <c r="H883"/>
      <c r="O883" s="192"/>
      <c r="P883" s="192"/>
      <c r="Q883" s="205"/>
      <c r="AB883" s="205"/>
      <c r="AC883" s="205"/>
      <c r="AE883"/>
    </row>
    <row r="884" spans="1:31" x14ac:dyDescent="0.2">
      <c r="A884" s="219"/>
      <c r="B884" s="219"/>
      <c r="C884" s="205"/>
      <c r="D884" s="205"/>
      <c r="E884" s="192"/>
      <c r="F884" s="205"/>
      <c r="G884" s="205"/>
      <c r="H884"/>
      <c r="O884" s="192"/>
      <c r="P884" s="192"/>
      <c r="Q884" s="205"/>
      <c r="AB884" s="205"/>
      <c r="AC884" s="205"/>
      <c r="AE884"/>
    </row>
    <row r="885" spans="1:31" x14ac:dyDescent="0.2">
      <c r="A885" s="219"/>
      <c r="B885" s="219"/>
      <c r="C885" s="205"/>
      <c r="D885" s="205"/>
      <c r="E885" s="192"/>
      <c r="F885" s="205"/>
      <c r="G885"/>
      <c r="H885"/>
      <c r="O885" s="192"/>
      <c r="P885" s="192"/>
      <c r="Q885" s="205"/>
      <c r="AB885" s="205"/>
      <c r="AC885" s="205"/>
      <c r="AE885"/>
    </row>
    <row r="886" spans="1:31" x14ac:dyDescent="0.2">
      <c r="A886" s="219"/>
      <c r="B886" s="219"/>
      <c r="C886" s="205"/>
      <c r="D886" s="205"/>
      <c r="E886" s="192"/>
      <c r="F886" s="205"/>
      <c r="G886" s="205"/>
      <c r="H886"/>
      <c r="O886" s="192"/>
      <c r="P886" s="192"/>
      <c r="Q886" s="205"/>
      <c r="AB886" s="205"/>
      <c r="AC886" s="205"/>
      <c r="AE886"/>
    </row>
    <row r="887" spans="1:31" x14ac:dyDescent="0.2">
      <c r="A887" s="219"/>
      <c r="B887" s="219"/>
      <c r="C887" s="205"/>
      <c r="D887" s="205"/>
      <c r="E887" s="192"/>
      <c r="F887" s="205"/>
      <c r="G887" s="205"/>
      <c r="H887"/>
      <c r="O887" s="192"/>
      <c r="P887" s="192"/>
      <c r="Q887" s="205"/>
      <c r="AB887" s="205"/>
      <c r="AC887" s="205"/>
      <c r="AE887"/>
    </row>
    <row r="888" spans="1:31" x14ac:dyDescent="0.2">
      <c r="A888" s="219"/>
      <c r="B888" s="219"/>
      <c r="C888" s="205"/>
      <c r="D888" s="205"/>
      <c r="E888" s="192"/>
      <c r="F888" s="205"/>
      <c r="G888" s="205"/>
      <c r="H888"/>
      <c r="O888" s="192"/>
      <c r="P888" s="192"/>
      <c r="Q888" s="205"/>
      <c r="AB888" s="205"/>
      <c r="AC888" s="205"/>
      <c r="AE888"/>
    </row>
    <row r="889" spans="1:31" x14ac:dyDescent="0.2">
      <c r="A889" s="219"/>
      <c r="B889" s="219"/>
      <c r="C889" s="205"/>
      <c r="D889" s="205"/>
      <c r="E889" s="192"/>
      <c r="F889" s="205"/>
      <c r="G889"/>
      <c r="H889"/>
      <c r="O889" s="192"/>
      <c r="P889" s="192"/>
      <c r="Q889" s="205"/>
      <c r="AB889" s="205"/>
      <c r="AC889" s="205"/>
      <c r="AE889"/>
    </row>
    <row r="890" spans="1:31" x14ac:dyDescent="0.2">
      <c r="A890" s="219"/>
      <c r="B890" s="219"/>
      <c r="C890" s="205"/>
      <c r="D890" s="205"/>
      <c r="E890" s="192"/>
      <c r="F890" s="205"/>
      <c r="G890" s="205"/>
      <c r="H890"/>
      <c r="O890" s="192"/>
      <c r="P890" s="192"/>
      <c r="Q890" s="205"/>
      <c r="AB890" s="205"/>
      <c r="AC890" s="205"/>
      <c r="AE890"/>
    </row>
    <row r="891" spans="1:31" x14ac:dyDescent="0.2">
      <c r="A891" s="219"/>
      <c r="B891" s="219"/>
      <c r="C891" s="205"/>
      <c r="D891" s="205"/>
      <c r="E891" s="192"/>
      <c r="F891" s="205"/>
      <c r="G891" s="205"/>
      <c r="H891"/>
      <c r="O891" s="192"/>
      <c r="P891" s="192"/>
      <c r="Q891" s="205"/>
      <c r="AB891" s="205"/>
      <c r="AC891" s="205"/>
      <c r="AE891"/>
    </row>
    <row r="892" spans="1:31" x14ac:dyDescent="0.2">
      <c r="A892" s="219"/>
      <c r="B892" s="219"/>
      <c r="C892" s="205"/>
      <c r="D892" s="205"/>
      <c r="E892" s="192"/>
      <c r="F892" s="205"/>
      <c r="G892" s="205"/>
      <c r="H892"/>
      <c r="O892" s="192"/>
      <c r="P892" s="192"/>
      <c r="Q892" s="205"/>
      <c r="AB892" s="205"/>
      <c r="AC892" s="205"/>
      <c r="AE892"/>
    </row>
    <row r="893" spans="1:31" x14ac:dyDescent="0.2">
      <c r="A893" s="219"/>
      <c r="B893" s="219"/>
      <c r="C893" s="205"/>
      <c r="D893" s="205"/>
      <c r="E893" s="192"/>
      <c r="F893" s="205"/>
      <c r="G893" s="205"/>
      <c r="H893"/>
      <c r="O893" s="192"/>
      <c r="P893" s="192"/>
      <c r="Q893" s="205"/>
      <c r="AB893" s="205"/>
      <c r="AC893" s="205"/>
      <c r="AE893"/>
    </row>
    <row r="894" spans="1:31" x14ac:dyDescent="0.2">
      <c r="A894" s="219"/>
      <c r="B894" s="219"/>
      <c r="C894" s="205"/>
      <c r="D894" s="205"/>
      <c r="E894" s="192"/>
      <c r="F894" s="205"/>
      <c r="G894" s="205"/>
      <c r="H894"/>
      <c r="O894" s="192"/>
      <c r="P894" s="192"/>
      <c r="Q894" s="205"/>
      <c r="AB894" s="205"/>
      <c r="AC894" s="205"/>
      <c r="AE894"/>
    </row>
    <row r="895" spans="1:31" x14ac:dyDescent="0.2">
      <c r="A895" s="219"/>
      <c r="B895" s="219"/>
      <c r="C895" s="205"/>
      <c r="D895" s="205"/>
      <c r="E895" s="192"/>
      <c r="F895" s="205"/>
      <c r="G895" s="205"/>
      <c r="H895"/>
      <c r="O895" s="192"/>
      <c r="P895" s="192"/>
      <c r="Q895" s="205"/>
      <c r="AB895" s="205"/>
      <c r="AC895" s="205"/>
      <c r="AE895"/>
    </row>
    <row r="896" spans="1:31" x14ac:dyDescent="0.2">
      <c r="A896" s="219"/>
      <c r="B896" s="219"/>
      <c r="C896" s="205"/>
      <c r="D896" s="205"/>
      <c r="E896" s="192"/>
      <c r="F896" s="205"/>
      <c r="G896"/>
      <c r="H896"/>
      <c r="O896" s="192"/>
      <c r="P896" s="192"/>
      <c r="Q896" s="205"/>
      <c r="AB896" s="205"/>
      <c r="AC896" s="205"/>
      <c r="AE896"/>
    </row>
    <row r="897" spans="1:31" x14ac:dyDescent="0.2">
      <c r="A897" s="219"/>
      <c r="B897" s="219"/>
      <c r="C897" s="205"/>
      <c r="D897" s="205"/>
      <c r="E897" s="192"/>
      <c r="F897" s="205"/>
      <c r="G897" s="205"/>
      <c r="H897"/>
      <c r="O897" s="192"/>
      <c r="P897" s="192"/>
      <c r="Q897" s="205"/>
      <c r="AB897" s="205"/>
      <c r="AC897" s="205"/>
      <c r="AE897"/>
    </row>
    <row r="898" spans="1:31" x14ac:dyDescent="0.2">
      <c r="A898" s="219"/>
      <c r="B898" s="219"/>
      <c r="C898" s="205"/>
      <c r="D898" s="205"/>
      <c r="E898" s="192"/>
      <c r="F898" s="205"/>
      <c r="G898" s="205"/>
      <c r="H898" s="205"/>
      <c r="O898" s="192"/>
      <c r="P898" s="192"/>
      <c r="Q898" s="205"/>
      <c r="AB898" s="205"/>
      <c r="AC898" s="205"/>
      <c r="AE898"/>
    </row>
    <row r="899" spans="1:31" x14ac:dyDescent="0.2">
      <c r="A899" s="219"/>
      <c r="B899" s="219"/>
      <c r="C899" s="205"/>
      <c r="D899" s="205"/>
      <c r="E899" s="192"/>
      <c r="F899" s="205"/>
      <c r="G899" s="205"/>
      <c r="H899" s="205"/>
      <c r="O899" s="192"/>
      <c r="P899" s="192"/>
      <c r="Q899" s="205"/>
      <c r="AB899" s="205"/>
      <c r="AC899" s="205"/>
      <c r="AE899"/>
    </row>
    <row r="900" spans="1:31" x14ac:dyDescent="0.2">
      <c r="A900" s="219"/>
      <c r="B900" s="219"/>
      <c r="C900" s="205"/>
      <c r="D900" s="205"/>
      <c r="E900" s="192"/>
      <c r="F900" s="205"/>
      <c r="G900"/>
      <c r="H900"/>
      <c r="O900" s="192"/>
      <c r="P900" s="192"/>
      <c r="Q900" s="205"/>
      <c r="AB900" s="205"/>
      <c r="AC900" s="205"/>
      <c r="AE900"/>
    </row>
    <row r="901" spans="1:31" x14ac:dyDescent="0.2">
      <c r="A901" s="219"/>
      <c r="B901" s="219"/>
      <c r="C901" s="205"/>
      <c r="D901" s="205"/>
      <c r="E901" s="192"/>
      <c r="F901" s="205"/>
      <c r="G901" s="205"/>
      <c r="H901"/>
      <c r="O901" s="192"/>
      <c r="P901" s="192"/>
      <c r="Q901" s="205"/>
      <c r="AB901" s="205"/>
      <c r="AC901" s="205"/>
      <c r="AE901"/>
    </row>
    <row r="902" spans="1:31" x14ac:dyDescent="0.2">
      <c r="A902" s="219"/>
      <c r="B902" s="219"/>
      <c r="C902" s="205"/>
      <c r="D902" s="205"/>
      <c r="E902" s="192"/>
      <c r="F902" s="205"/>
      <c r="G902"/>
      <c r="H902"/>
      <c r="O902" s="192"/>
      <c r="P902" s="192"/>
      <c r="Q902" s="205"/>
      <c r="AB902" s="205"/>
      <c r="AC902" s="205"/>
      <c r="AE902"/>
    </row>
    <row r="903" spans="1:31" x14ac:dyDescent="0.2">
      <c r="A903" s="219"/>
      <c r="B903" s="219"/>
      <c r="C903" s="205"/>
      <c r="D903" s="205"/>
      <c r="E903" s="192"/>
      <c r="F903"/>
      <c r="G903"/>
      <c r="H903"/>
      <c r="O903" s="192"/>
      <c r="P903" s="192"/>
      <c r="Q903" s="205"/>
      <c r="AB903" s="205"/>
      <c r="AC903" s="205"/>
      <c r="AE903"/>
    </row>
    <row r="904" spans="1:31" x14ac:dyDescent="0.2">
      <c r="A904" s="219"/>
      <c r="B904" s="219"/>
      <c r="C904" s="205"/>
      <c r="D904" s="205"/>
      <c r="E904" s="192"/>
      <c r="F904" s="205"/>
      <c r="G904"/>
      <c r="H904"/>
      <c r="O904" s="192"/>
      <c r="P904" s="192"/>
      <c r="Q904" s="205"/>
      <c r="AB904" s="205"/>
      <c r="AC904" s="205"/>
      <c r="AE904"/>
    </row>
    <row r="905" spans="1:31" x14ac:dyDescent="0.2">
      <c r="A905" s="219"/>
      <c r="B905" s="219"/>
      <c r="C905" s="205"/>
      <c r="D905" s="205"/>
      <c r="E905" s="192"/>
      <c r="F905" s="205"/>
      <c r="G905"/>
      <c r="H905"/>
      <c r="O905" s="192"/>
      <c r="P905" s="192"/>
      <c r="Q905" s="205"/>
      <c r="AB905" s="205"/>
      <c r="AC905" s="205"/>
      <c r="AE905"/>
    </row>
    <row r="906" spans="1:31" x14ac:dyDescent="0.2">
      <c r="A906" s="219"/>
      <c r="B906" s="219"/>
      <c r="C906" s="205"/>
      <c r="D906" s="205"/>
      <c r="E906" s="192"/>
      <c r="F906" s="205"/>
      <c r="G906"/>
      <c r="H906"/>
      <c r="O906" s="192"/>
      <c r="P906" s="192"/>
      <c r="Q906" s="205"/>
      <c r="AB906" s="205"/>
      <c r="AC906" s="205"/>
      <c r="AE906"/>
    </row>
    <row r="907" spans="1:31" x14ac:dyDescent="0.2">
      <c r="A907" s="219"/>
      <c r="B907" s="219"/>
      <c r="C907" s="205"/>
      <c r="D907" s="205"/>
      <c r="E907" s="192"/>
      <c r="F907" s="205"/>
      <c r="G907" s="205"/>
      <c r="H907"/>
      <c r="O907" s="192"/>
      <c r="P907" s="192"/>
      <c r="Q907" s="205"/>
      <c r="AB907" s="205"/>
      <c r="AC907" s="205"/>
      <c r="AE907"/>
    </row>
    <row r="908" spans="1:31" x14ac:dyDescent="0.2">
      <c r="A908" s="219"/>
      <c r="B908" s="219"/>
      <c r="C908" s="205"/>
      <c r="D908" s="205"/>
      <c r="E908" s="192"/>
      <c r="F908" s="205"/>
      <c r="G908" s="205"/>
      <c r="H908"/>
      <c r="O908" s="192"/>
      <c r="P908" s="192"/>
      <c r="Q908" s="205"/>
      <c r="AB908" s="205"/>
      <c r="AC908" s="205"/>
      <c r="AE908"/>
    </row>
    <row r="909" spans="1:31" x14ac:dyDescent="0.2">
      <c r="A909" s="219"/>
      <c r="B909" s="219"/>
      <c r="C909" s="205"/>
      <c r="D909" s="205"/>
      <c r="E909" s="192"/>
      <c r="F909" s="205"/>
      <c r="G909" s="205"/>
      <c r="H909"/>
      <c r="O909" s="192"/>
      <c r="P909" s="192"/>
      <c r="Q909" s="205"/>
      <c r="AB909" s="205"/>
      <c r="AC909" s="205"/>
      <c r="AE909"/>
    </row>
    <row r="910" spans="1:31" x14ac:dyDescent="0.2">
      <c r="A910" s="219"/>
      <c r="B910" s="219"/>
      <c r="C910" s="205"/>
      <c r="D910" s="205"/>
      <c r="E910" s="192"/>
      <c r="F910" s="205"/>
      <c r="G910" s="205"/>
      <c r="H910"/>
      <c r="O910" s="192"/>
      <c r="P910" s="192"/>
      <c r="Q910" s="205"/>
      <c r="AB910" s="205"/>
      <c r="AC910" s="205"/>
      <c r="AE910"/>
    </row>
    <row r="911" spans="1:31" x14ac:dyDescent="0.2">
      <c r="A911" s="219"/>
      <c r="B911" s="219"/>
      <c r="C911" s="205"/>
      <c r="D911" s="205"/>
      <c r="E911" s="192"/>
      <c r="F911" s="205"/>
      <c r="G911" s="205"/>
      <c r="H911"/>
      <c r="O911" s="192"/>
      <c r="P911" s="192"/>
      <c r="Q911" s="205"/>
      <c r="AB911" s="205"/>
      <c r="AC911" s="205"/>
      <c r="AE911"/>
    </row>
    <row r="912" spans="1:31" x14ac:dyDescent="0.2">
      <c r="A912" s="219"/>
      <c r="B912" s="219"/>
      <c r="C912" s="205"/>
      <c r="D912" s="205"/>
      <c r="E912" s="192"/>
      <c r="F912" s="205"/>
      <c r="G912" s="205"/>
      <c r="H912"/>
      <c r="O912" s="192"/>
      <c r="P912" s="192"/>
      <c r="Q912" s="205"/>
      <c r="AB912" s="205"/>
      <c r="AC912" s="205"/>
      <c r="AE912"/>
    </row>
    <row r="913" spans="1:31" x14ac:dyDescent="0.2">
      <c r="A913" s="219"/>
      <c r="B913" s="219"/>
      <c r="C913" s="205"/>
      <c r="D913" s="205"/>
      <c r="E913" s="192"/>
      <c r="F913" s="205"/>
      <c r="G913" s="205"/>
      <c r="H913"/>
      <c r="O913" s="192"/>
      <c r="P913" s="192"/>
      <c r="Q913" s="205"/>
      <c r="AB913" s="205"/>
      <c r="AC913" s="205"/>
      <c r="AE913"/>
    </row>
    <row r="914" spans="1:31" x14ac:dyDescent="0.2">
      <c r="A914" s="219"/>
      <c r="B914" s="219"/>
      <c r="C914" s="205"/>
      <c r="D914" s="205"/>
      <c r="E914" s="192"/>
      <c r="F914" s="205"/>
      <c r="G914" s="205"/>
      <c r="H914"/>
      <c r="O914" s="192"/>
      <c r="P914" s="192"/>
      <c r="Q914" s="205"/>
      <c r="AB914" s="205"/>
      <c r="AC914" s="205"/>
      <c r="AE914"/>
    </row>
    <row r="915" spans="1:31" x14ac:dyDescent="0.2">
      <c r="A915" s="219"/>
      <c r="B915" s="219"/>
      <c r="C915" s="205"/>
      <c r="D915" s="205"/>
      <c r="E915" s="192"/>
      <c r="F915" s="205"/>
      <c r="G915" s="205"/>
      <c r="H915"/>
      <c r="O915" s="192"/>
      <c r="P915" s="192"/>
      <c r="Q915" s="205"/>
      <c r="AB915" s="205"/>
      <c r="AC915" s="205"/>
      <c r="AE915"/>
    </row>
    <row r="916" spans="1:31" x14ac:dyDescent="0.2">
      <c r="A916" s="219"/>
      <c r="B916" s="219"/>
      <c r="C916" s="205"/>
      <c r="D916" s="205"/>
      <c r="E916" s="192"/>
      <c r="F916" s="205"/>
      <c r="G916" s="205"/>
      <c r="H916"/>
      <c r="O916" s="192"/>
      <c r="P916" s="192"/>
      <c r="Q916" s="205"/>
      <c r="AB916" s="205"/>
      <c r="AC916" s="205"/>
      <c r="AE916"/>
    </row>
    <row r="917" spans="1:31" x14ac:dyDescent="0.2">
      <c r="A917" s="219"/>
      <c r="B917" s="219"/>
      <c r="C917" s="205"/>
      <c r="D917" s="205"/>
      <c r="E917" s="192"/>
      <c r="F917" s="205"/>
      <c r="G917"/>
      <c r="H917"/>
      <c r="O917" s="192"/>
      <c r="P917" s="192"/>
      <c r="Q917" s="205"/>
      <c r="AB917" s="205"/>
      <c r="AC917" s="205"/>
      <c r="AE917"/>
    </row>
    <row r="918" spans="1:31" x14ac:dyDescent="0.2">
      <c r="A918" s="219"/>
      <c r="B918" s="219"/>
      <c r="C918" s="205"/>
      <c r="D918" s="205"/>
      <c r="E918" s="192"/>
      <c r="F918" s="205"/>
      <c r="G918"/>
      <c r="H918"/>
      <c r="O918" s="192"/>
      <c r="P918" s="192"/>
      <c r="Q918" s="205"/>
      <c r="AB918" s="205"/>
      <c r="AC918" s="205"/>
      <c r="AE918"/>
    </row>
    <row r="919" spans="1:31" x14ac:dyDescent="0.2">
      <c r="A919" s="219"/>
      <c r="B919" s="219"/>
      <c r="C919" s="205"/>
      <c r="D919" s="205"/>
      <c r="E919" s="192"/>
      <c r="F919" s="205"/>
      <c r="G919" s="205"/>
      <c r="H919"/>
      <c r="O919" s="192"/>
      <c r="P919" s="192"/>
      <c r="Q919" s="205"/>
      <c r="AB919" s="205"/>
      <c r="AC919" s="205"/>
      <c r="AE919"/>
    </row>
    <row r="920" spans="1:31" x14ac:dyDescent="0.2">
      <c r="A920" s="219"/>
      <c r="B920" s="219"/>
      <c r="C920" s="205"/>
      <c r="D920" s="205"/>
      <c r="E920" s="192"/>
      <c r="F920" s="205"/>
      <c r="G920" s="205"/>
      <c r="H920"/>
      <c r="O920" s="192"/>
      <c r="P920" s="192"/>
      <c r="Q920" s="205"/>
      <c r="AB920" s="205"/>
      <c r="AC920" s="205"/>
      <c r="AE920"/>
    </row>
    <row r="921" spans="1:31" x14ac:dyDescent="0.2">
      <c r="A921" s="219"/>
      <c r="B921" s="219"/>
      <c r="C921" s="205"/>
      <c r="D921" s="205"/>
      <c r="E921" s="192"/>
      <c r="F921" s="205"/>
      <c r="G921"/>
      <c r="H921"/>
      <c r="O921" s="192"/>
      <c r="P921" s="192"/>
      <c r="Q921" s="205"/>
      <c r="AB921" s="205"/>
      <c r="AC921" s="205"/>
      <c r="AE921"/>
    </row>
    <row r="922" spans="1:31" x14ac:dyDescent="0.2">
      <c r="A922" s="219"/>
      <c r="B922" s="219"/>
      <c r="C922" s="205"/>
      <c r="D922" s="205"/>
      <c r="E922" s="192"/>
      <c r="F922" s="205"/>
      <c r="G922"/>
      <c r="H922"/>
      <c r="O922" s="192"/>
      <c r="P922" s="192"/>
      <c r="Q922" s="205"/>
      <c r="AB922" s="205"/>
      <c r="AC922" s="205"/>
      <c r="AE922"/>
    </row>
    <row r="923" spans="1:31" x14ac:dyDescent="0.2">
      <c r="A923" s="219"/>
      <c r="B923" s="219"/>
      <c r="C923" s="205"/>
      <c r="D923" s="205"/>
      <c r="E923" s="192"/>
      <c r="F923" s="205"/>
      <c r="G923" s="205"/>
      <c r="H923"/>
      <c r="O923" s="192"/>
      <c r="P923" s="192"/>
      <c r="Q923" s="205"/>
      <c r="AB923" s="205"/>
      <c r="AC923" s="205"/>
      <c r="AE923"/>
    </row>
    <row r="924" spans="1:31" x14ac:dyDescent="0.2">
      <c r="A924" s="219"/>
      <c r="B924" s="219"/>
      <c r="C924" s="205"/>
      <c r="D924" s="205"/>
      <c r="E924" s="192"/>
      <c r="F924" s="205"/>
      <c r="G924" s="205"/>
      <c r="H924"/>
      <c r="O924" s="192"/>
      <c r="P924" s="192"/>
      <c r="Q924" s="205"/>
      <c r="AB924" s="205"/>
      <c r="AC924" s="205"/>
      <c r="AE924"/>
    </row>
    <row r="925" spans="1:31" x14ac:dyDescent="0.2">
      <c r="A925" s="219"/>
      <c r="B925" s="219"/>
      <c r="C925" s="205"/>
      <c r="D925" s="205"/>
      <c r="E925" s="192"/>
      <c r="F925" s="205"/>
      <c r="G925" s="205"/>
      <c r="H925" s="205"/>
      <c r="O925" s="192"/>
      <c r="P925" s="192"/>
      <c r="Q925" s="205"/>
      <c r="AB925" s="205"/>
      <c r="AC925" s="205"/>
      <c r="AE925"/>
    </row>
    <row r="926" spans="1:31" x14ac:dyDescent="0.2">
      <c r="A926" s="219"/>
      <c r="B926" s="219"/>
      <c r="C926" s="205"/>
      <c r="D926" s="205"/>
      <c r="E926" s="192"/>
      <c r="F926" s="205"/>
      <c r="G926" s="205"/>
      <c r="H926"/>
      <c r="O926" s="192"/>
      <c r="P926" s="192"/>
      <c r="Q926" s="205"/>
      <c r="AB926" s="205"/>
      <c r="AC926" s="205"/>
      <c r="AE926"/>
    </row>
    <row r="927" spans="1:31" x14ac:dyDescent="0.2">
      <c r="A927" s="219"/>
      <c r="B927" s="219"/>
      <c r="C927" s="205"/>
      <c r="D927" s="205"/>
      <c r="E927" s="192"/>
      <c r="F927" s="205"/>
      <c r="G927" s="205"/>
      <c r="H927"/>
      <c r="O927" s="192"/>
      <c r="P927" s="192"/>
      <c r="Q927" s="205"/>
      <c r="AB927" s="205"/>
      <c r="AC927" s="205"/>
      <c r="AE927"/>
    </row>
    <row r="928" spans="1:31" x14ac:dyDescent="0.2">
      <c r="A928" s="219"/>
      <c r="B928" s="219"/>
      <c r="C928" s="205"/>
      <c r="D928" s="205"/>
      <c r="E928" s="192"/>
      <c r="F928" s="205"/>
      <c r="G928" s="205"/>
      <c r="H928" s="205"/>
      <c r="O928" s="192"/>
      <c r="P928" s="192"/>
      <c r="Q928" s="205"/>
      <c r="AB928" s="205"/>
      <c r="AC928" s="205"/>
      <c r="AE928"/>
    </row>
    <row r="929" spans="1:31" x14ac:dyDescent="0.2">
      <c r="A929" s="219"/>
      <c r="B929" s="219"/>
      <c r="C929" s="205"/>
      <c r="D929" s="205"/>
      <c r="E929" s="192"/>
      <c r="F929" s="205"/>
      <c r="G929" s="205"/>
      <c r="H929"/>
      <c r="O929" s="192"/>
      <c r="P929" s="192"/>
      <c r="Q929" s="205"/>
      <c r="AB929" s="205"/>
      <c r="AC929" s="205"/>
      <c r="AE929"/>
    </row>
    <row r="930" spans="1:31" x14ac:dyDescent="0.2">
      <c r="A930" s="219"/>
      <c r="B930" s="219"/>
      <c r="C930" s="205"/>
      <c r="D930" s="205"/>
      <c r="E930" s="192"/>
      <c r="F930" s="205"/>
      <c r="G930" s="205"/>
      <c r="H930"/>
      <c r="O930" s="192"/>
      <c r="P930" s="192"/>
      <c r="Q930" s="205"/>
      <c r="AB930" s="205"/>
      <c r="AC930" s="205"/>
      <c r="AE930"/>
    </row>
    <row r="931" spans="1:31" x14ac:dyDescent="0.2">
      <c r="A931" s="219"/>
      <c r="B931" s="219"/>
      <c r="C931" s="205"/>
      <c r="D931" s="205"/>
      <c r="E931" s="192"/>
      <c r="F931" s="205"/>
      <c r="G931"/>
      <c r="H931"/>
      <c r="O931" s="192"/>
      <c r="P931" s="192"/>
      <c r="Q931" s="205"/>
      <c r="AB931" s="205"/>
      <c r="AC931" s="205"/>
      <c r="AE931"/>
    </row>
    <row r="932" spans="1:31" x14ac:dyDescent="0.2">
      <c r="A932" s="219"/>
      <c r="B932" s="219"/>
      <c r="C932" s="205"/>
      <c r="D932" s="205"/>
      <c r="E932" s="192"/>
      <c r="F932" s="205"/>
      <c r="G932" s="205"/>
      <c r="H932"/>
      <c r="O932" s="192"/>
      <c r="P932" s="192"/>
      <c r="Q932" s="205"/>
      <c r="AB932" s="205"/>
      <c r="AC932" s="205"/>
      <c r="AE932"/>
    </row>
    <row r="933" spans="1:31" x14ac:dyDescent="0.2">
      <c r="A933" s="219"/>
      <c r="B933" s="219"/>
      <c r="C933" s="205"/>
      <c r="D933" s="205"/>
      <c r="E933" s="192"/>
      <c r="F933" s="205"/>
      <c r="G933" s="205"/>
      <c r="H933"/>
      <c r="O933" s="192"/>
      <c r="P933" s="192"/>
      <c r="Q933" s="205"/>
      <c r="AB933" s="205"/>
      <c r="AC933" s="205"/>
      <c r="AE933"/>
    </row>
    <row r="934" spans="1:31" x14ac:dyDescent="0.2">
      <c r="A934" s="219"/>
      <c r="B934" s="219"/>
      <c r="C934" s="205"/>
      <c r="D934" s="205"/>
      <c r="E934" s="192"/>
      <c r="F934" s="205"/>
      <c r="G934" s="205"/>
      <c r="H934"/>
      <c r="O934" s="192"/>
      <c r="P934" s="192"/>
      <c r="Q934" s="205"/>
      <c r="AB934" s="205"/>
      <c r="AC934" s="205"/>
      <c r="AE934"/>
    </row>
    <row r="935" spans="1:31" x14ac:dyDescent="0.2">
      <c r="A935" s="219"/>
      <c r="B935" s="219"/>
      <c r="C935" s="205"/>
      <c r="D935" s="205"/>
      <c r="E935" s="192"/>
      <c r="F935" s="205"/>
      <c r="G935" s="205"/>
      <c r="H935"/>
      <c r="O935" s="192"/>
      <c r="P935" s="192"/>
      <c r="Q935" s="205"/>
      <c r="AB935" s="205"/>
      <c r="AC935" s="205"/>
      <c r="AE935"/>
    </row>
    <row r="936" spans="1:31" x14ac:dyDescent="0.2">
      <c r="A936" s="219"/>
      <c r="B936" s="219"/>
      <c r="C936" s="205"/>
      <c r="D936" s="205"/>
      <c r="E936" s="192"/>
      <c r="F936" s="205"/>
      <c r="G936"/>
      <c r="H936"/>
      <c r="O936" s="192"/>
      <c r="P936" s="192"/>
      <c r="Q936" s="205"/>
      <c r="AB936" s="205"/>
      <c r="AC936" s="205"/>
      <c r="AE936"/>
    </row>
    <row r="937" spans="1:31" x14ac:dyDescent="0.2">
      <c r="A937" s="219"/>
      <c r="B937" s="219"/>
      <c r="C937" s="205"/>
      <c r="D937" s="205"/>
      <c r="E937" s="192"/>
      <c r="F937" s="205"/>
      <c r="G937" s="205"/>
      <c r="H937"/>
      <c r="O937" s="192"/>
      <c r="P937" s="192"/>
      <c r="Q937" s="205"/>
      <c r="AB937" s="205"/>
      <c r="AC937" s="205"/>
      <c r="AE937"/>
    </row>
    <row r="938" spans="1:31" x14ac:dyDescent="0.2">
      <c r="A938" s="219"/>
      <c r="B938" s="219"/>
      <c r="C938" s="205"/>
      <c r="D938" s="205"/>
      <c r="E938" s="192"/>
      <c r="F938" s="205"/>
      <c r="G938" s="205"/>
      <c r="H938" s="205"/>
      <c r="O938" s="192"/>
      <c r="P938" s="192"/>
      <c r="Q938" s="205"/>
      <c r="AB938" s="205"/>
      <c r="AC938" s="205"/>
      <c r="AE938"/>
    </row>
    <row r="939" spans="1:31" x14ac:dyDescent="0.2">
      <c r="A939" s="219"/>
      <c r="B939" s="219"/>
      <c r="C939" s="205"/>
      <c r="D939" s="205"/>
      <c r="E939" s="192"/>
      <c r="F939" s="205"/>
      <c r="G939" s="205"/>
      <c r="H939"/>
      <c r="O939" s="192"/>
      <c r="P939" s="192"/>
      <c r="Q939" s="205"/>
      <c r="AB939" s="205"/>
      <c r="AC939" s="205"/>
      <c r="AE939"/>
    </row>
    <row r="940" spans="1:31" x14ac:dyDescent="0.2">
      <c r="A940" s="219"/>
      <c r="B940" s="219"/>
      <c r="C940" s="205"/>
      <c r="D940" s="205"/>
      <c r="E940" s="192"/>
      <c r="F940" s="205"/>
      <c r="G940"/>
      <c r="H940"/>
      <c r="O940" s="192"/>
      <c r="P940" s="192"/>
      <c r="Q940" s="205"/>
      <c r="AB940" s="205"/>
      <c r="AC940" s="205"/>
      <c r="AE940"/>
    </row>
    <row r="941" spans="1:31" x14ac:dyDescent="0.2">
      <c r="A941" s="219"/>
      <c r="B941" s="219"/>
      <c r="C941" s="205"/>
      <c r="D941" s="205"/>
      <c r="E941" s="192"/>
      <c r="F941" s="205"/>
      <c r="G941" s="205"/>
      <c r="H941"/>
      <c r="O941" s="192"/>
      <c r="P941" s="192"/>
      <c r="Q941" s="205"/>
      <c r="AB941" s="205"/>
      <c r="AC941" s="205"/>
      <c r="AE941"/>
    </row>
    <row r="942" spans="1:31" x14ac:dyDescent="0.2">
      <c r="A942" s="219"/>
      <c r="B942" s="219"/>
      <c r="C942" s="205"/>
      <c r="D942" s="205"/>
      <c r="E942" s="192"/>
      <c r="F942" s="205"/>
      <c r="G942" s="205"/>
      <c r="H942"/>
      <c r="O942" s="192"/>
      <c r="P942" s="192"/>
      <c r="Q942" s="205"/>
      <c r="AB942" s="205"/>
      <c r="AC942" s="205"/>
      <c r="AE942"/>
    </row>
    <row r="943" spans="1:31" x14ac:dyDescent="0.2">
      <c r="A943" s="219"/>
      <c r="B943" s="219"/>
      <c r="C943" s="205"/>
      <c r="D943" s="205"/>
      <c r="E943" s="192"/>
      <c r="F943" s="205"/>
      <c r="G943" s="205"/>
      <c r="H943" s="205"/>
      <c r="O943" s="192"/>
      <c r="P943" s="192"/>
      <c r="Q943" s="205"/>
      <c r="AB943" s="205"/>
      <c r="AC943" s="205"/>
      <c r="AE943"/>
    </row>
    <row r="944" spans="1:31" x14ac:dyDescent="0.2">
      <c r="A944" s="219"/>
      <c r="B944" s="219"/>
      <c r="C944" s="205"/>
      <c r="D944" s="205"/>
      <c r="E944" s="192"/>
      <c r="F944" s="205"/>
      <c r="G944" s="205"/>
      <c r="H944"/>
      <c r="O944" s="192"/>
      <c r="P944" s="192"/>
      <c r="Q944" s="205"/>
      <c r="AB944" s="205"/>
      <c r="AC944" s="205"/>
      <c r="AE944"/>
    </row>
    <row r="945" spans="1:31" x14ac:dyDescent="0.2">
      <c r="A945" s="219"/>
      <c r="B945" s="219"/>
      <c r="C945" s="205"/>
      <c r="D945" s="205"/>
      <c r="E945" s="192"/>
      <c r="F945" s="205"/>
      <c r="G945" s="205"/>
      <c r="H945" s="205"/>
      <c r="O945" s="192"/>
      <c r="P945" s="192"/>
      <c r="Q945" s="205"/>
      <c r="AB945" s="205"/>
      <c r="AC945" s="205"/>
      <c r="AE945"/>
    </row>
    <row r="946" spans="1:31" x14ac:dyDescent="0.2">
      <c r="A946" s="219"/>
      <c r="B946" s="219"/>
      <c r="C946" s="205"/>
      <c r="D946" s="205"/>
      <c r="E946" s="192"/>
      <c r="F946" s="205"/>
      <c r="G946" s="205"/>
      <c r="H946" s="205"/>
      <c r="O946" s="192"/>
      <c r="P946" s="192"/>
      <c r="Q946" s="205"/>
      <c r="AB946" s="205"/>
      <c r="AC946" s="205"/>
      <c r="AE946"/>
    </row>
    <row r="947" spans="1:31" x14ac:dyDescent="0.2">
      <c r="A947" s="219"/>
      <c r="B947" s="219"/>
      <c r="C947" s="205"/>
      <c r="D947" s="205"/>
      <c r="E947" s="192"/>
      <c r="F947" s="205"/>
      <c r="G947" s="205"/>
      <c r="H947" s="205"/>
      <c r="O947" s="192"/>
      <c r="P947" s="192"/>
      <c r="Q947" s="205"/>
      <c r="AB947" s="205"/>
      <c r="AC947" s="205"/>
      <c r="AE947"/>
    </row>
    <row r="948" spans="1:31" x14ac:dyDescent="0.2">
      <c r="A948" s="219"/>
      <c r="B948" s="219"/>
      <c r="C948" s="205"/>
      <c r="D948" s="205"/>
      <c r="E948" s="192"/>
      <c r="F948" s="205"/>
      <c r="G948"/>
      <c r="H948"/>
      <c r="O948" s="192"/>
      <c r="P948" s="192"/>
      <c r="Q948" s="205"/>
      <c r="AB948" s="205"/>
      <c r="AC948" s="205"/>
      <c r="AE948"/>
    </row>
    <row r="949" spans="1:31" x14ac:dyDescent="0.2">
      <c r="A949" s="219"/>
      <c r="B949" s="219"/>
      <c r="C949" s="205"/>
      <c r="D949" s="205"/>
      <c r="E949" s="192"/>
      <c r="F949" s="205"/>
      <c r="G949" s="205"/>
      <c r="H949"/>
      <c r="O949" s="192"/>
      <c r="P949" s="192"/>
      <c r="Q949" s="205"/>
      <c r="AB949" s="205"/>
      <c r="AC949" s="205"/>
      <c r="AE949"/>
    </row>
    <row r="950" spans="1:31" x14ac:dyDescent="0.2">
      <c r="A950" s="219"/>
      <c r="B950" s="219"/>
      <c r="C950" s="205"/>
      <c r="D950" s="205"/>
      <c r="E950" s="192"/>
      <c r="F950" s="205"/>
      <c r="G950" s="205"/>
      <c r="H950"/>
      <c r="O950" s="192"/>
      <c r="P950" s="192"/>
      <c r="Q950" s="205"/>
      <c r="AB950" s="205"/>
      <c r="AC950" s="205"/>
      <c r="AE950"/>
    </row>
    <row r="951" spans="1:31" x14ac:dyDescent="0.2">
      <c r="A951" s="219"/>
      <c r="B951" s="219"/>
      <c r="C951" s="205"/>
      <c r="D951" s="205"/>
      <c r="E951" s="192"/>
      <c r="F951" s="205"/>
      <c r="G951" s="205"/>
      <c r="H951"/>
      <c r="O951" s="192"/>
      <c r="P951" s="192"/>
      <c r="Q951" s="205"/>
      <c r="AB951" s="205"/>
      <c r="AC951" s="205"/>
      <c r="AE951"/>
    </row>
    <row r="952" spans="1:31" x14ac:dyDescent="0.2">
      <c r="A952" s="219"/>
      <c r="B952" s="219"/>
      <c r="C952" s="205"/>
      <c r="D952" s="205"/>
      <c r="E952" s="192"/>
      <c r="F952" s="205"/>
      <c r="G952" s="205"/>
      <c r="H952"/>
      <c r="O952" s="192"/>
      <c r="P952" s="192"/>
      <c r="Q952" s="205"/>
      <c r="AB952" s="205"/>
      <c r="AC952" s="205"/>
      <c r="AE952"/>
    </row>
    <row r="953" spans="1:31" x14ac:dyDescent="0.2">
      <c r="A953" s="219"/>
      <c r="B953" s="219"/>
      <c r="C953" s="205"/>
      <c r="D953" s="205"/>
      <c r="E953" s="192"/>
      <c r="F953" s="205"/>
      <c r="G953" s="205"/>
      <c r="H953"/>
      <c r="O953" s="192"/>
      <c r="P953" s="192"/>
      <c r="Q953" s="205"/>
      <c r="AB953" s="205"/>
      <c r="AC953" s="205"/>
      <c r="AE953"/>
    </row>
    <row r="954" spans="1:31" x14ac:dyDescent="0.2">
      <c r="A954" s="219"/>
      <c r="B954" s="219"/>
      <c r="C954" s="205"/>
      <c r="D954" s="205"/>
      <c r="E954" s="192"/>
      <c r="F954" s="205"/>
      <c r="G954" s="205"/>
      <c r="H954"/>
      <c r="O954" s="192"/>
      <c r="P954" s="192"/>
      <c r="Q954" s="205"/>
      <c r="AB954" s="205"/>
      <c r="AC954" s="205"/>
      <c r="AE954"/>
    </row>
    <row r="955" spans="1:31" x14ac:dyDescent="0.2">
      <c r="A955" s="219"/>
      <c r="B955" s="219"/>
      <c r="C955" s="205"/>
      <c r="D955" s="205"/>
      <c r="E955" s="192"/>
      <c r="F955" s="205"/>
      <c r="G955" s="205"/>
      <c r="H955"/>
      <c r="O955" s="192"/>
      <c r="P955" s="192"/>
      <c r="Q955" s="205"/>
      <c r="AB955" s="205"/>
      <c r="AC955" s="205"/>
      <c r="AE955"/>
    </row>
    <row r="956" spans="1:31" x14ac:dyDescent="0.2">
      <c r="A956" s="219"/>
      <c r="B956" s="219"/>
      <c r="C956" s="205"/>
      <c r="D956" s="205"/>
      <c r="E956" s="192"/>
      <c r="F956" s="205"/>
      <c r="G956"/>
      <c r="H956"/>
      <c r="O956" s="192"/>
      <c r="P956" s="192"/>
      <c r="Q956" s="205"/>
      <c r="AB956" s="205"/>
      <c r="AC956" s="205"/>
      <c r="AE956"/>
    </row>
    <row r="957" spans="1:31" x14ac:dyDescent="0.2">
      <c r="A957" s="219"/>
      <c r="B957" s="219"/>
      <c r="C957" s="205"/>
      <c r="D957" s="205"/>
      <c r="E957" s="192"/>
      <c r="F957" s="205"/>
      <c r="G957" s="205"/>
      <c r="H957"/>
      <c r="O957" s="192"/>
      <c r="P957" s="192"/>
      <c r="Q957" s="205"/>
      <c r="AB957" s="205"/>
      <c r="AC957" s="205"/>
      <c r="AE957"/>
    </row>
    <row r="958" spans="1:31" x14ac:dyDescent="0.2">
      <c r="A958" s="219"/>
      <c r="B958" s="219"/>
      <c r="C958" s="205"/>
      <c r="D958" s="205"/>
      <c r="E958" s="192"/>
      <c r="F958" s="205"/>
      <c r="G958" s="205"/>
      <c r="H958"/>
      <c r="O958" s="192"/>
      <c r="P958" s="192"/>
      <c r="Q958" s="205"/>
      <c r="AB958" s="205"/>
      <c r="AC958" s="205"/>
      <c r="AE958"/>
    </row>
    <row r="959" spans="1:31" x14ac:dyDescent="0.2">
      <c r="A959" s="219"/>
      <c r="B959" s="219"/>
      <c r="C959" s="205"/>
      <c r="D959" s="205"/>
      <c r="E959" s="192"/>
      <c r="F959" s="205"/>
      <c r="G959"/>
      <c r="H959"/>
      <c r="O959" s="192"/>
      <c r="P959" s="192"/>
      <c r="Q959" s="205"/>
      <c r="AB959" s="205"/>
      <c r="AC959" s="205"/>
      <c r="AE959"/>
    </row>
    <row r="960" spans="1:31" x14ac:dyDescent="0.2">
      <c r="A960" s="219"/>
      <c r="B960" s="219"/>
      <c r="C960" s="205"/>
      <c r="D960" s="205"/>
      <c r="E960" s="192"/>
      <c r="F960" s="205"/>
      <c r="G960" s="205"/>
      <c r="H960"/>
      <c r="O960" s="192"/>
      <c r="P960" s="192"/>
      <c r="Q960" s="205"/>
      <c r="AB960" s="205"/>
      <c r="AC960" s="205"/>
      <c r="AE960"/>
    </row>
    <row r="961" spans="1:31" x14ac:dyDescent="0.2">
      <c r="A961" s="219"/>
      <c r="B961" s="219"/>
      <c r="C961" s="205"/>
      <c r="D961" s="205"/>
      <c r="E961" s="192"/>
      <c r="F961" s="205"/>
      <c r="G961"/>
      <c r="H961"/>
      <c r="O961" s="192"/>
      <c r="P961" s="192"/>
      <c r="Q961" s="205"/>
      <c r="AB961" s="205"/>
      <c r="AC961" s="205"/>
      <c r="AE961"/>
    </row>
    <row r="962" spans="1:31" x14ac:dyDescent="0.2">
      <c r="A962" s="219"/>
      <c r="B962" s="219"/>
      <c r="C962" s="205"/>
      <c r="D962" s="205"/>
      <c r="E962" s="192"/>
      <c r="F962" s="205"/>
      <c r="G962"/>
      <c r="H962"/>
      <c r="O962" s="192"/>
      <c r="P962" s="192"/>
      <c r="Q962" s="205"/>
      <c r="AB962" s="205"/>
      <c r="AC962" s="205"/>
      <c r="AE962"/>
    </row>
    <row r="963" spans="1:31" x14ac:dyDescent="0.2">
      <c r="A963" s="219"/>
      <c r="B963" s="219"/>
      <c r="C963" s="205"/>
      <c r="D963" s="205"/>
      <c r="E963" s="192"/>
      <c r="F963" s="205"/>
      <c r="G963"/>
      <c r="H963"/>
      <c r="O963" s="192"/>
      <c r="P963" s="192"/>
      <c r="Q963" s="205"/>
      <c r="AB963" s="205"/>
      <c r="AC963" s="205"/>
      <c r="AE963"/>
    </row>
    <row r="964" spans="1:31" x14ac:dyDescent="0.2">
      <c r="A964" s="219"/>
      <c r="B964" s="219"/>
      <c r="C964" s="205"/>
      <c r="D964" s="205"/>
      <c r="E964" s="192"/>
      <c r="F964" s="205"/>
      <c r="G964" s="205"/>
      <c r="H964"/>
      <c r="O964" s="192"/>
      <c r="P964" s="192"/>
      <c r="Q964" s="205"/>
      <c r="AB964" s="205"/>
      <c r="AC964" s="205"/>
      <c r="AE964"/>
    </row>
    <row r="965" spans="1:31" x14ac:dyDescent="0.2">
      <c r="A965" s="219"/>
      <c r="B965" s="219"/>
      <c r="C965" s="205"/>
      <c r="D965" s="205"/>
      <c r="E965" s="192"/>
      <c r="F965" s="205"/>
      <c r="G965" s="205"/>
      <c r="H965"/>
      <c r="O965" s="192"/>
      <c r="P965" s="192"/>
      <c r="Q965" s="205"/>
      <c r="AB965" s="205"/>
      <c r="AC965" s="205"/>
      <c r="AE965"/>
    </row>
    <row r="966" spans="1:31" x14ac:dyDescent="0.2">
      <c r="A966" s="219"/>
      <c r="B966" s="219"/>
      <c r="C966" s="205"/>
      <c r="D966" s="205"/>
      <c r="E966" s="192"/>
      <c r="F966" s="205"/>
      <c r="G966" s="205"/>
      <c r="H966"/>
      <c r="O966" s="192"/>
      <c r="P966" s="192"/>
      <c r="Q966" s="205"/>
      <c r="AB966" s="205"/>
      <c r="AC966" s="205"/>
      <c r="AE966"/>
    </row>
    <row r="967" spans="1:31" x14ac:dyDescent="0.2">
      <c r="A967" s="219"/>
      <c r="B967" s="219"/>
      <c r="C967" s="205"/>
      <c r="D967" s="205"/>
      <c r="E967" s="192"/>
      <c r="F967" s="205"/>
      <c r="G967"/>
      <c r="H967"/>
      <c r="O967" s="192"/>
      <c r="P967" s="192"/>
      <c r="Q967" s="205"/>
      <c r="AB967" s="205"/>
      <c r="AC967" s="205"/>
      <c r="AE967"/>
    </row>
    <row r="968" spans="1:31" x14ac:dyDescent="0.2">
      <c r="A968" s="219"/>
      <c r="B968" s="219"/>
      <c r="C968" s="205"/>
      <c r="D968" s="205"/>
      <c r="E968" s="192"/>
      <c r="F968" s="205"/>
      <c r="G968" s="205"/>
      <c r="H968" s="205"/>
      <c r="O968" s="192"/>
      <c r="P968" s="192"/>
      <c r="Q968" s="205"/>
      <c r="AB968" s="205"/>
      <c r="AC968" s="205"/>
      <c r="AE968"/>
    </row>
    <row r="969" spans="1:31" x14ac:dyDescent="0.2">
      <c r="A969" s="219"/>
      <c r="B969" s="219"/>
      <c r="C969" s="205"/>
      <c r="D969" s="205"/>
      <c r="E969" s="192"/>
      <c r="F969" s="205"/>
      <c r="G969" s="205"/>
      <c r="H969"/>
      <c r="O969" s="192"/>
      <c r="P969" s="192"/>
      <c r="Q969" s="205"/>
      <c r="AB969" s="205"/>
      <c r="AC969" s="205"/>
      <c r="AE969"/>
    </row>
    <row r="970" spans="1:31" x14ac:dyDescent="0.2">
      <c r="A970" s="219"/>
      <c r="B970" s="219"/>
      <c r="C970" s="205"/>
      <c r="D970" s="205"/>
      <c r="E970" s="192"/>
      <c r="F970" s="205"/>
      <c r="G970" s="205"/>
      <c r="H970"/>
      <c r="O970" s="192"/>
      <c r="P970" s="192"/>
      <c r="Q970" s="205"/>
      <c r="AB970" s="205"/>
      <c r="AC970" s="205"/>
      <c r="AE970"/>
    </row>
    <row r="971" spans="1:31" x14ac:dyDescent="0.2">
      <c r="A971" s="219"/>
      <c r="B971" s="219"/>
      <c r="C971" s="205"/>
      <c r="D971" s="205"/>
      <c r="E971" s="192"/>
      <c r="F971" s="205"/>
      <c r="G971" s="205"/>
      <c r="H971"/>
      <c r="O971" s="192"/>
      <c r="P971" s="192"/>
      <c r="Q971" s="205"/>
      <c r="AB971" s="205"/>
      <c r="AC971" s="205"/>
      <c r="AE971"/>
    </row>
    <row r="972" spans="1:31" x14ac:dyDescent="0.2">
      <c r="A972" s="219"/>
      <c r="B972" s="219"/>
      <c r="C972" s="205"/>
      <c r="D972" s="205"/>
      <c r="E972" s="192"/>
      <c r="F972" s="205"/>
      <c r="G972" s="205"/>
      <c r="H972"/>
      <c r="O972" s="192"/>
      <c r="P972" s="192"/>
      <c r="Q972" s="205"/>
      <c r="AB972" s="205"/>
      <c r="AC972" s="205"/>
      <c r="AE972"/>
    </row>
    <row r="973" spans="1:31" x14ac:dyDescent="0.2">
      <c r="A973" s="219"/>
      <c r="B973" s="219"/>
      <c r="C973" s="205"/>
      <c r="D973" s="205"/>
      <c r="E973" s="192"/>
      <c r="F973" s="205"/>
      <c r="G973" s="205"/>
      <c r="H973"/>
      <c r="O973" s="192"/>
      <c r="P973" s="192"/>
      <c r="Q973" s="205"/>
      <c r="AB973" s="205"/>
      <c r="AC973" s="205"/>
      <c r="AE973"/>
    </row>
    <row r="974" spans="1:31" x14ac:dyDescent="0.2">
      <c r="A974" s="219"/>
      <c r="B974" s="219"/>
      <c r="C974" s="205"/>
      <c r="D974" s="205"/>
      <c r="E974" s="192"/>
      <c r="F974" s="205"/>
      <c r="G974" s="205"/>
      <c r="H974"/>
      <c r="O974" s="192"/>
      <c r="P974" s="192"/>
      <c r="Q974" s="205"/>
      <c r="AB974" s="205"/>
      <c r="AC974" s="205"/>
      <c r="AE974"/>
    </row>
    <row r="975" spans="1:31" x14ac:dyDescent="0.2">
      <c r="A975" s="219"/>
      <c r="B975" s="219"/>
      <c r="C975" s="205"/>
      <c r="D975" s="205"/>
      <c r="E975" s="192"/>
      <c r="F975" s="205"/>
      <c r="G975" s="205"/>
      <c r="H975"/>
      <c r="O975" s="192"/>
      <c r="P975" s="192"/>
      <c r="Q975" s="205"/>
      <c r="AB975" s="205"/>
      <c r="AC975" s="205"/>
      <c r="AE975"/>
    </row>
    <row r="976" spans="1:31" x14ac:dyDescent="0.2">
      <c r="A976" s="219"/>
      <c r="B976" s="219"/>
      <c r="C976" s="205"/>
      <c r="D976" s="205"/>
      <c r="E976" s="192"/>
      <c r="F976" s="205"/>
      <c r="G976" s="205"/>
      <c r="H976"/>
      <c r="O976" s="192"/>
      <c r="P976" s="192"/>
      <c r="Q976" s="205"/>
      <c r="AB976" s="205"/>
      <c r="AC976" s="205"/>
      <c r="AE976"/>
    </row>
    <row r="977" spans="1:31" x14ac:dyDescent="0.2">
      <c r="A977" s="219"/>
      <c r="B977" s="219"/>
      <c r="C977" s="205"/>
      <c r="D977" s="205"/>
      <c r="E977" s="192"/>
      <c r="F977" s="205"/>
      <c r="G977"/>
      <c r="H977"/>
      <c r="O977" s="192"/>
      <c r="P977" s="192"/>
      <c r="Q977" s="205"/>
      <c r="AB977" s="205"/>
      <c r="AC977" s="205"/>
      <c r="AE977"/>
    </row>
    <row r="978" spans="1:31" x14ac:dyDescent="0.2">
      <c r="A978" s="219"/>
      <c r="B978" s="219"/>
      <c r="C978" s="205"/>
      <c r="D978" s="205"/>
      <c r="E978" s="192"/>
      <c r="F978" s="205"/>
      <c r="G978"/>
      <c r="H978"/>
      <c r="O978" s="192"/>
      <c r="P978" s="192"/>
      <c r="Q978" s="205"/>
      <c r="AB978" s="205"/>
      <c r="AC978" s="205"/>
      <c r="AE978"/>
    </row>
    <row r="979" spans="1:31" x14ac:dyDescent="0.2">
      <c r="A979" s="219"/>
      <c r="B979" s="219"/>
      <c r="C979" s="205"/>
      <c r="D979" s="205"/>
      <c r="E979" s="192"/>
      <c r="F979" s="205"/>
      <c r="G979" s="205"/>
      <c r="H979" s="205"/>
      <c r="O979" s="192"/>
      <c r="P979" s="192"/>
      <c r="Q979" s="205"/>
      <c r="AB979" s="205"/>
      <c r="AC979" s="205"/>
      <c r="AE979"/>
    </row>
    <row r="980" spans="1:31" x14ac:dyDescent="0.2">
      <c r="A980" s="219"/>
      <c r="B980" s="219"/>
      <c r="C980" s="205"/>
      <c r="D980" s="205"/>
      <c r="E980" s="192"/>
      <c r="F980" s="205"/>
      <c r="G980"/>
      <c r="H980"/>
      <c r="O980" s="192"/>
      <c r="P980" s="192"/>
      <c r="Q980" s="205"/>
      <c r="AB980" s="205"/>
      <c r="AC980" s="205"/>
      <c r="AE980"/>
    </row>
    <row r="981" spans="1:31" x14ac:dyDescent="0.2">
      <c r="A981" s="219"/>
      <c r="B981" s="219"/>
      <c r="C981" s="205"/>
      <c r="D981" s="205"/>
      <c r="E981" s="192"/>
      <c r="F981" s="205"/>
      <c r="G981" s="205"/>
      <c r="H981"/>
      <c r="O981" s="192"/>
      <c r="P981" s="192"/>
      <c r="Q981" s="205"/>
      <c r="AB981" s="205"/>
      <c r="AC981" s="205"/>
      <c r="AE981"/>
    </row>
    <row r="982" spans="1:31" x14ac:dyDescent="0.2">
      <c r="A982" s="219"/>
      <c r="B982" s="219"/>
      <c r="C982" s="205"/>
      <c r="D982" s="205"/>
      <c r="E982" s="192"/>
      <c r="F982" s="205"/>
      <c r="G982" s="205"/>
      <c r="H982"/>
      <c r="O982" s="192"/>
      <c r="P982" s="192"/>
      <c r="Q982" s="205"/>
      <c r="AB982" s="205"/>
      <c r="AC982" s="205"/>
      <c r="AE982"/>
    </row>
    <row r="983" spans="1:31" x14ac:dyDescent="0.2">
      <c r="A983" s="219"/>
      <c r="B983" s="219"/>
      <c r="C983" s="205"/>
      <c r="D983" s="205"/>
      <c r="E983" s="192"/>
      <c r="F983" s="205"/>
      <c r="G983" s="205"/>
      <c r="H983"/>
      <c r="O983" s="192"/>
      <c r="P983" s="192"/>
      <c r="Q983" s="205"/>
      <c r="AB983" s="205"/>
      <c r="AC983" s="205"/>
      <c r="AE983"/>
    </row>
    <row r="984" spans="1:31" x14ac:dyDescent="0.2">
      <c r="A984" s="219"/>
      <c r="B984" s="219"/>
      <c r="C984" s="205"/>
      <c r="D984" s="205"/>
      <c r="E984" s="192"/>
      <c r="F984" s="205"/>
      <c r="G984" s="205"/>
      <c r="H984"/>
      <c r="O984" s="192"/>
      <c r="P984" s="192"/>
      <c r="Q984" s="205"/>
      <c r="AB984" s="205"/>
      <c r="AC984" s="205"/>
      <c r="AE984"/>
    </row>
    <row r="985" spans="1:31" x14ac:dyDescent="0.2">
      <c r="A985" s="219"/>
      <c r="B985" s="219"/>
      <c r="C985" s="205"/>
      <c r="D985" s="205"/>
      <c r="E985" s="192"/>
      <c r="F985" s="205"/>
      <c r="G985" s="205"/>
      <c r="H985"/>
      <c r="O985" s="192"/>
      <c r="P985" s="192"/>
      <c r="Q985" s="205"/>
      <c r="AB985" s="205"/>
      <c r="AC985" s="205"/>
      <c r="AE985"/>
    </row>
    <row r="986" spans="1:31" x14ac:dyDescent="0.2">
      <c r="A986" s="219"/>
      <c r="B986" s="219"/>
      <c r="C986" s="205"/>
      <c r="D986" s="205"/>
      <c r="E986" s="192"/>
      <c r="F986" s="205"/>
      <c r="G986" s="205"/>
      <c r="H986"/>
      <c r="O986" s="192"/>
      <c r="P986" s="192"/>
      <c r="Q986" s="205"/>
      <c r="AB986" s="205"/>
      <c r="AC986" s="205"/>
      <c r="AE986"/>
    </row>
    <row r="987" spans="1:31" x14ac:dyDescent="0.2">
      <c r="A987" s="219"/>
      <c r="B987" s="219"/>
      <c r="C987" s="205"/>
      <c r="D987" s="205"/>
      <c r="E987" s="192"/>
      <c r="F987" s="205"/>
      <c r="G987" s="205"/>
      <c r="H987"/>
      <c r="O987" s="192"/>
      <c r="P987" s="192"/>
      <c r="Q987" s="205"/>
      <c r="AB987" s="205"/>
      <c r="AC987" s="205"/>
      <c r="AE987"/>
    </row>
    <row r="988" spans="1:31" x14ac:dyDescent="0.2">
      <c r="A988" s="219"/>
      <c r="B988" s="219"/>
      <c r="C988" s="205"/>
      <c r="D988" s="205"/>
      <c r="E988" s="192"/>
      <c r="F988" s="205"/>
      <c r="G988" s="205"/>
      <c r="H988"/>
      <c r="O988" s="192"/>
      <c r="P988" s="192"/>
      <c r="Q988" s="205"/>
      <c r="AB988" s="205"/>
      <c r="AC988" s="205"/>
      <c r="AE988"/>
    </row>
    <row r="989" spans="1:31" x14ac:dyDescent="0.2">
      <c r="A989" s="219"/>
      <c r="B989" s="219"/>
      <c r="C989" s="205"/>
      <c r="D989" s="205"/>
      <c r="E989" s="192"/>
      <c r="F989" s="205"/>
      <c r="G989"/>
      <c r="H989"/>
      <c r="O989" s="192"/>
      <c r="P989" s="192"/>
      <c r="Q989" s="205"/>
      <c r="AB989" s="205"/>
      <c r="AC989" s="205"/>
      <c r="AE989"/>
    </row>
    <row r="990" spans="1:31" x14ac:dyDescent="0.2">
      <c r="A990" s="219"/>
      <c r="B990" s="219"/>
      <c r="C990" s="205"/>
      <c r="D990" s="205"/>
      <c r="E990" s="192"/>
      <c r="F990" s="205"/>
      <c r="G990" s="205"/>
      <c r="H990"/>
      <c r="O990" s="192"/>
      <c r="P990" s="192"/>
      <c r="Q990" s="205"/>
      <c r="AB990" s="205"/>
      <c r="AC990" s="205"/>
      <c r="AE990"/>
    </row>
    <row r="991" spans="1:31" x14ac:dyDescent="0.2">
      <c r="A991" s="219"/>
      <c r="B991" s="219"/>
      <c r="C991" s="205"/>
      <c r="D991" s="205"/>
      <c r="E991" s="192"/>
      <c r="F991" s="205"/>
      <c r="G991"/>
      <c r="H991"/>
      <c r="O991" s="192"/>
      <c r="P991" s="192"/>
      <c r="Q991" s="205"/>
      <c r="AB991" s="205"/>
      <c r="AC991" s="205"/>
      <c r="AE991"/>
    </row>
    <row r="992" spans="1:31" x14ac:dyDescent="0.2">
      <c r="A992" s="219"/>
      <c r="B992" s="219"/>
      <c r="C992" s="205"/>
      <c r="D992" s="205"/>
      <c r="E992" s="192"/>
      <c r="F992" s="205"/>
      <c r="G992" s="205"/>
      <c r="H992"/>
      <c r="O992" s="192"/>
      <c r="P992" s="192"/>
      <c r="Q992" s="205"/>
      <c r="AB992" s="205"/>
      <c r="AC992" s="205"/>
      <c r="AE992"/>
    </row>
    <row r="993" spans="1:31" x14ac:dyDescent="0.2">
      <c r="A993" s="219"/>
      <c r="B993" s="219"/>
      <c r="C993" s="205"/>
      <c r="D993" s="205"/>
      <c r="E993" s="192"/>
      <c r="F993" s="205"/>
      <c r="G993" s="205"/>
      <c r="H993"/>
      <c r="O993" s="192"/>
      <c r="P993" s="192"/>
      <c r="Q993" s="205"/>
      <c r="AB993" s="205"/>
      <c r="AC993" s="205"/>
      <c r="AE993"/>
    </row>
    <row r="994" spans="1:31" x14ac:dyDescent="0.2">
      <c r="A994" s="219"/>
      <c r="B994" s="219"/>
      <c r="C994" s="205"/>
      <c r="D994" s="205"/>
      <c r="E994" s="192"/>
      <c r="F994" s="205"/>
      <c r="G994" s="205"/>
      <c r="H994" s="205"/>
      <c r="O994" s="192"/>
      <c r="P994" s="192"/>
      <c r="Q994" s="205"/>
      <c r="AB994" s="205"/>
      <c r="AC994" s="205"/>
      <c r="AE994"/>
    </row>
    <row r="995" spans="1:31" x14ac:dyDescent="0.2">
      <c r="A995" s="219"/>
      <c r="B995" s="219"/>
      <c r="C995" s="205"/>
      <c r="D995" s="205"/>
      <c r="E995" s="192"/>
      <c r="F995" s="205"/>
      <c r="G995" s="205"/>
      <c r="H995"/>
      <c r="O995" s="192"/>
      <c r="P995" s="192"/>
      <c r="Q995" s="205"/>
      <c r="AB995" s="205"/>
      <c r="AC995" s="205"/>
      <c r="AE995"/>
    </row>
    <row r="996" spans="1:31" x14ac:dyDescent="0.2">
      <c r="A996" s="219"/>
      <c r="B996" s="219"/>
      <c r="C996" s="205"/>
      <c r="D996" s="205"/>
      <c r="E996" s="192"/>
      <c r="F996" s="205"/>
      <c r="G996"/>
      <c r="H996"/>
      <c r="O996" s="192"/>
      <c r="P996" s="192"/>
      <c r="Q996" s="205"/>
      <c r="AB996" s="205"/>
      <c r="AC996" s="205"/>
      <c r="AE996"/>
    </row>
    <row r="997" spans="1:31" x14ac:dyDescent="0.2">
      <c r="A997" s="219"/>
      <c r="B997" s="219"/>
      <c r="C997" s="205"/>
      <c r="D997" s="205"/>
      <c r="E997" s="192"/>
      <c r="F997" s="205"/>
      <c r="G997" s="205"/>
      <c r="H997"/>
      <c r="O997" s="192"/>
      <c r="P997" s="192"/>
      <c r="Q997" s="205"/>
      <c r="AB997" s="205"/>
      <c r="AC997" s="205"/>
      <c r="AE997"/>
    </row>
    <row r="998" spans="1:31" x14ac:dyDescent="0.2">
      <c r="A998" s="219"/>
      <c r="B998" s="219"/>
      <c r="C998" s="205"/>
      <c r="D998" s="205"/>
      <c r="E998" s="192"/>
      <c r="F998" s="205"/>
      <c r="G998" s="205"/>
      <c r="H998"/>
      <c r="O998" s="192"/>
      <c r="P998" s="192"/>
      <c r="Q998" s="205"/>
      <c r="AB998" s="205"/>
      <c r="AC998" s="205"/>
      <c r="AE998"/>
    </row>
    <row r="999" spans="1:31" x14ac:dyDescent="0.2">
      <c r="A999" s="219"/>
      <c r="B999" s="219"/>
      <c r="C999" s="205"/>
      <c r="D999" s="205"/>
      <c r="E999" s="192"/>
      <c r="F999" s="205"/>
      <c r="G999" s="205"/>
      <c r="H999"/>
      <c r="O999" s="192"/>
      <c r="P999" s="192"/>
      <c r="Q999" s="205"/>
      <c r="AB999" s="205"/>
      <c r="AC999" s="205"/>
      <c r="AE999"/>
    </row>
    <row r="1000" spans="1:31" x14ac:dyDescent="0.2">
      <c r="A1000" s="219"/>
      <c r="B1000" s="219"/>
      <c r="C1000" s="205"/>
      <c r="D1000" s="205"/>
      <c r="E1000" s="192"/>
      <c r="F1000" s="205"/>
      <c r="G1000" s="205"/>
      <c r="H1000"/>
      <c r="O1000" s="192"/>
      <c r="P1000" s="192"/>
      <c r="Q1000" s="205"/>
      <c r="AB1000" s="205"/>
      <c r="AC1000" s="205"/>
      <c r="AE1000"/>
    </row>
    <row r="1001" spans="1:31" x14ac:dyDescent="0.2">
      <c r="A1001" s="219"/>
      <c r="B1001" s="219"/>
      <c r="C1001" s="205"/>
      <c r="D1001" s="205"/>
      <c r="E1001" s="192"/>
      <c r="F1001" s="205"/>
      <c r="G1001" s="205"/>
      <c r="H1001" s="205"/>
      <c r="O1001" s="192"/>
      <c r="P1001" s="192"/>
      <c r="Q1001" s="205"/>
      <c r="AB1001" s="205"/>
      <c r="AC1001" s="205"/>
      <c r="AE1001"/>
    </row>
    <row r="1002" spans="1:31" x14ac:dyDescent="0.2">
      <c r="A1002" s="219"/>
      <c r="B1002" s="219"/>
      <c r="C1002" s="205"/>
      <c r="D1002" s="205"/>
      <c r="E1002" s="192"/>
      <c r="F1002" s="205"/>
      <c r="G1002" s="205"/>
      <c r="H1002"/>
      <c r="O1002" s="192"/>
      <c r="P1002" s="192"/>
      <c r="Q1002" s="205"/>
      <c r="AB1002" s="205"/>
      <c r="AC1002" s="205"/>
      <c r="AE1002"/>
    </row>
    <row r="1003" spans="1:31" x14ac:dyDescent="0.2">
      <c r="A1003" s="219"/>
      <c r="B1003" s="219"/>
      <c r="C1003" s="205"/>
      <c r="D1003" s="205"/>
      <c r="E1003" s="192"/>
      <c r="F1003" s="205"/>
      <c r="G1003" s="205"/>
      <c r="H1003"/>
      <c r="O1003" s="192"/>
      <c r="P1003" s="192"/>
      <c r="Q1003" s="205"/>
      <c r="AB1003" s="205"/>
      <c r="AC1003" s="205"/>
      <c r="AE1003"/>
    </row>
    <row r="1004" spans="1:31" x14ac:dyDescent="0.2">
      <c r="A1004" s="219"/>
      <c r="B1004" s="219"/>
      <c r="C1004" s="205"/>
      <c r="D1004" s="205"/>
      <c r="E1004" s="192"/>
      <c r="F1004" s="205"/>
      <c r="G1004" s="205"/>
      <c r="H1004"/>
      <c r="O1004" s="192"/>
      <c r="P1004" s="192"/>
      <c r="Q1004" s="205"/>
      <c r="AB1004" s="205"/>
      <c r="AC1004" s="205"/>
      <c r="AE1004"/>
    </row>
    <row r="1005" spans="1:31" x14ac:dyDescent="0.2">
      <c r="A1005" s="219"/>
      <c r="B1005" s="219"/>
      <c r="C1005" s="205"/>
      <c r="D1005" s="205"/>
      <c r="E1005" s="192"/>
      <c r="F1005" s="205"/>
      <c r="G1005" s="205"/>
      <c r="H1005"/>
      <c r="O1005" s="192"/>
      <c r="P1005" s="192"/>
      <c r="Q1005" s="205"/>
      <c r="AB1005" s="205"/>
      <c r="AC1005" s="205"/>
      <c r="AE1005"/>
    </row>
    <row r="1006" spans="1:31" x14ac:dyDescent="0.2">
      <c r="A1006" s="219"/>
      <c r="B1006" s="219"/>
      <c r="C1006" s="205"/>
      <c r="D1006" s="205"/>
      <c r="E1006" s="192"/>
      <c r="F1006" s="205"/>
      <c r="G1006" s="205"/>
      <c r="H1006"/>
      <c r="O1006" s="192"/>
      <c r="P1006" s="192"/>
      <c r="Q1006" s="205"/>
      <c r="AB1006" s="205"/>
      <c r="AC1006" s="205"/>
      <c r="AE1006"/>
    </row>
    <row r="1007" spans="1:31" x14ac:dyDescent="0.2">
      <c r="A1007" s="219"/>
      <c r="B1007" s="219"/>
      <c r="C1007" s="205"/>
      <c r="D1007" s="205"/>
      <c r="E1007" s="192"/>
      <c r="F1007" s="205"/>
      <c r="G1007" s="205"/>
      <c r="H1007"/>
      <c r="O1007" s="192"/>
      <c r="P1007" s="192"/>
      <c r="Q1007" s="205"/>
      <c r="AB1007" s="205"/>
      <c r="AC1007" s="205"/>
      <c r="AE1007"/>
    </row>
    <row r="1008" spans="1:31" x14ac:dyDescent="0.2">
      <c r="A1008" s="219"/>
      <c r="B1008" s="219"/>
      <c r="C1008" s="205"/>
      <c r="D1008" s="205"/>
      <c r="E1008" s="192"/>
      <c r="F1008" s="205"/>
      <c r="G1008" s="205"/>
      <c r="H1008"/>
      <c r="O1008" s="192"/>
      <c r="P1008" s="192"/>
      <c r="Q1008" s="205"/>
      <c r="AB1008" s="205"/>
      <c r="AC1008" s="205"/>
      <c r="AE1008"/>
    </row>
    <row r="1009" spans="1:31" x14ac:dyDescent="0.2">
      <c r="A1009" s="219"/>
      <c r="B1009" s="219"/>
      <c r="C1009" s="205"/>
      <c r="D1009" s="205"/>
      <c r="E1009" s="192"/>
      <c r="F1009" s="205"/>
      <c r="G1009" s="205"/>
      <c r="H1009"/>
      <c r="O1009" s="192"/>
      <c r="P1009" s="192"/>
      <c r="Q1009" s="205"/>
      <c r="AB1009" s="205"/>
      <c r="AC1009" s="205"/>
      <c r="AE1009"/>
    </row>
    <row r="1010" spans="1:31" x14ac:dyDescent="0.2">
      <c r="A1010" s="219"/>
      <c r="B1010" s="219"/>
      <c r="C1010" s="205"/>
      <c r="D1010" s="205"/>
      <c r="E1010" s="192"/>
      <c r="F1010" s="205"/>
      <c r="G1010"/>
      <c r="H1010"/>
      <c r="O1010" s="192"/>
      <c r="P1010" s="192"/>
      <c r="Q1010" s="205"/>
      <c r="AB1010" s="205"/>
      <c r="AC1010" s="205"/>
      <c r="AE1010"/>
    </row>
    <row r="1011" spans="1:31" x14ac:dyDescent="0.2">
      <c r="A1011" s="219"/>
      <c r="B1011" s="219"/>
      <c r="C1011" s="205"/>
      <c r="D1011" s="205"/>
      <c r="E1011" s="192"/>
      <c r="F1011" s="205"/>
      <c r="G1011" s="205"/>
      <c r="H1011"/>
      <c r="O1011" s="192"/>
      <c r="P1011" s="192"/>
      <c r="Q1011" s="205"/>
      <c r="AB1011" s="205"/>
      <c r="AC1011" s="205"/>
      <c r="AE1011"/>
    </row>
    <row r="1012" spans="1:31" x14ac:dyDescent="0.2">
      <c r="A1012" s="219"/>
      <c r="B1012" s="219"/>
      <c r="C1012" s="205"/>
      <c r="D1012" s="205"/>
      <c r="E1012" s="192"/>
      <c r="F1012" s="205"/>
      <c r="G1012" s="205"/>
      <c r="H1012" s="205"/>
      <c r="O1012" s="192"/>
      <c r="P1012" s="192"/>
      <c r="Q1012" s="205"/>
      <c r="AB1012" s="205"/>
      <c r="AC1012" s="205"/>
      <c r="AE1012"/>
    </row>
    <row r="1013" spans="1:31" x14ac:dyDescent="0.2">
      <c r="A1013" s="219"/>
      <c r="B1013" s="219"/>
      <c r="C1013" s="205"/>
      <c r="D1013" s="205"/>
      <c r="E1013" s="192"/>
      <c r="F1013" s="205"/>
      <c r="G1013" s="205"/>
      <c r="H1013"/>
      <c r="O1013" s="192"/>
      <c r="P1013" s="192"/>
      <c r="Q1013" s="205"/>
      <c r="AB1013" s="205"/>
      <c r="AC1013" s="205"/>
      <c r="AE1013"/>
    </row>
    <row r="1014" spans="1:31" x14ac:dyDescent="0.2">
      <c r="A1014" s="219"/>
      <c r="B1014" s="219"/>
      <c r="C1014" s="205"/>
      <c r="D1014" s="205"/>
      <c r="E1014" s="192"/>
      <c r="F1014" s="205"/>
      <c r="G1014" s="205"/>
      <c r="H1014"/>
      <c r="O1014" s="192"/>
      <c r="P1014" s="192"/>
      <c r="Q1014" s="205"/>
      <c r="AB1014" s="205"/>
      <c r="AC1014" s="205"/>
      <c r="AE1014"/>
    </row>
    <row r="1015" spans="1:31" x14ac:dyDescent="0.2">
      <c r="A1015" s="219"/>
      <c r="B1015" s="219"/>
      <c r="C1015" s="205"/>
      <c r="D1015" s="205"/>
      <c r="E1015" s="192"/>
      <c r="F1015" s="205"/>
      <c r="G1015"/>
      <c r="H1015"/>
      <c r="O1015" s="192"/>
      <c r="P1015" s="192"/>
      <c r="Q1015" s="205"/>
      <c r="AB1015" s="205"/>
      <c r="AC1015" s="205"/>
      <c r="AE1015"/>
    </row>
    <row r="1016" spans="1:31" x14ac:dyDescent="0.2">
      <c r="A1016" s="219"/>
      <c r="B1016" s="219"/>
      <c r="C1016" s="205"/>
      <c r="D1016" s="205"/>
      <c r="E1016" s="192"/>
      <c r="F1016" s="205"/>
      <c r="G1016"/>
      <c r="H1016"/>
      <c r="O1016" s="192"/>
      <c r="P1016" s="192"/>
      <c r="Q1016" s="205"/>
      <c r="AB1016" s="205"/>
      <c r="AC1016" s="205"/>
      <c r="AE1016"/>
    </row>
    <row r="1017" spans="1:31" x14ac:dyDescent="0.2">
      <c r="A1017" s="219"/>
      <c r="B1017" s="219"/>
      <c r="C1017" s="205"/>
      <c r="D1017" s="205"/>
      <c r="E1017" s="192"/>
      <c r="F1017" s="205"/>
      <c r="G1017" s="205"/>
      <c r="H1017"/>
      <c r="O1017" s="192"/>
      <c r="P1017" s="192"/>
      <c r="Q1017" s="205"/>
      <c r="AB1017" s="205"/>
      <c r="AC1017" s="205"/>
      <c r="AE1017"/>
    </row>
    <row r="1018" spans="1:31" x14ac:dyDescent="0.2">
      <c r="A1018" s="219"/>
      <c r="B1018" s="219"/>
      <c r="C1018" s="205"/>
      <c r="D1018" s="205"/>
      <c r="E1018" s="192"/>
      <c r="F1018" s="205"/>
      <c r="G1018" s="205"/>
      <c r="H1018"/>
      <c r="O1018" s="192"/>
      <c r="P1018" s="192"/>
      <c r="Q1018" s="205"/>
      <c r="AB1018" s="205"/>
      <c r="AC1018" s="205"/>
      <c r="AE1018"/>
    </row>
    <row r="1019" spans="1:31" x14ac:dyDescent="0.2">
      <c r="A1019" s="219"/>
      <c r="B1019" s="219"/>
      <c r="C1019" s="205"/>
      <c r="D1019" s="205"/>
      <c r="E1019" s="192"/>
      <c r="F1019" s="205"/>
      <c r="G1019" s="205"/>
      <c r="H1019" s="205"/>
      <c r="O1019" s="192"/>
      <c r="P1019" s="192"/>
      <c r="Q1019" s="205"/>
      <c r="AB1019" s="205"/>
      <c r="AC1019" s="205"/>
      <c r="AE1019"/>
    </row>
    <row r="1020" spans="1:31" x14ac:dyDescent="0.2">
      <c r="A1020" s="219"/>
      <c r="B1020" s="219"/>
      <c r="C1020" s="205"/>
      <c r="D1020" s="205"/>
      <c r="E1020" s="192"/>
      <c r="F1020" s="205"/>
      <c r="G1020" s="205"/>
      <c r="H1020"/>
      <c r="O1020" s="192"/>
      <c r="P1020" s="192"/>
      <c r="Q1020" s="205"/>
      <c r="AB1020" s="205"/>
      <c r="AC1020" s="205"/>
      <c r="AE1020"/>
    </row>
    <row r="1021" spans="1:31" x14ac:dyDescent="0.2">
      <c r="A1021" s="219"/>
      <c r="B1021" s="219"/>
      <c r="C1021" s="205"/>
      <c r="D1021" s="205"/>
      <c r="E1021" s="192"/>
      <c r="F1021" s="205"/>
      <c r="G1021" s="205"/>
      <c r="H1021"/>
      <c r="O1021" s="192"/>
      <c r="P1021" s="192"/>
      <c r="Q1021" s="205"/>
      <c r="AB1021" s="205"/>
      <c r="AC1021" s="205"/>
      <c r="AE1021"/>
    </row>
    <row r="1022" spans="1:31" x14ac:dyDescent="0.2">
      <c r="A1022" s="219"/>
      <c r="B1022" s="219"/>
      <c r="C1022" s="205"/>
      <c r="D1022" s="205"/>
      <c r="E1022" s="192"/>
      <c r="F1022" s="205"/>
      <c r="G1022"/>
      <c r="H1022"/>
      <c r="O1022" s="192"/>
      <c r="P1022" s="192"/>
      <c r="Q1022" s="205"/>
      <c r="AB1022" s="205"/>
      <c r="AC1022" s="205"/>
      <c r="AE1022"/>
    </row>
    <row r="1023" spans="1:31" x14ac:dyDescent="0.2">
      <c r="A1023" s="219"/>
      <c r="B1023" s="219"/>
      <c r="C1023" s="205"/>
      <c r="D1023" s="205"/>
      <c r="E1023" s="192"/>
      <c r="F1023" s="205"/>
      <c r="G1023" s="205"/>
      <c r="H1023"/>
      <c r="O1023" s="192"/>
      <c r="P1023" s="192"/>
      <c r="Q1023" s="205"/>
      <c r="AB1023" s="205"/>
      <c r="AC1023" s="205"/>
      <c r="AE1023"/>
    </row>
    <row r="1024" spans="1:31" x14ac:dyDescent="0.2">
      <c r="A1024" s="219"/>
      <c r="B1024" s="219"/>
      <c r="C1024" s="205"/>
      <c r="D1024" s="205"/>
      <c r="E1024" s="192"/>
      <c r="F1024" s="205"/>
      <c r="G1024" s="205"/>
      <c r="H1024"/>
      <c r="O1024" s="192"/>
      <c r="P1024" s="192"/>
      <c r="Q1024" s="205"/>
      <c r="AB1024" s="205"/>
      <c r="AC1024" s="205"/>
      <c r="AE1024"/>
    </row>
    <row r="1025" spans="1:31" x14ac:dyDescent="0.2">
      <c r="A1025" s="219"/>
      <c r="B1025" s="219"/>
      <c r="C1025" s="205"/>
      <c r="D1025" s="205"/>
      <c r="E1025" s="192"/>
      <c r="F1025" s="205"/>
      <c r="G1025" s="205"/>
      <c r="H1025"/>
      <c r="O1025" s="192"/>
      <c r="P1025" s="192"/>
      <c r="Q1025" s="205"/>
      <c r="AB1025" s="205"/>
      <c r="AC1025" s="205"/>
      <c r="AE1025"/>
    </row>
    <row r="1026" spans="1:31" x14ac:dyDescent="0.2">
      <c r="A1026" s="219"/>
      <c r="B1026" s="219"/>
      <c r="C1026" s="205"/>
      <c r="D1026" s="205"/>
      <c r="E1026" s="192"/>
      <c r="F1026" s="205"/>
      <c r="G1026" s="205"/>
      <c r="H1026" s="205"/>
      <c r="O1026" s="192"/>
      <c r="P1026" s="192"/>
      <c r="Q1026" s="205"/>
      <c r="AB1026" s="205"/>
      <c r="AC1026" s="205"/>
      <c r="AE1026"/>
    </row>
    <row r="1027" spans="1:31" x14ac:dyDescent="0.2">
      <c r="A1027" s="219"/>
      <c r="B1027" s="219"/>
      <c r="C1027" s="205"/>
      <c r="D1027" s="205"/>
      <c r="E1027" s="192"/>
      <c r="F1027" s="205"/>
      <c r="G1027" s="205"/>
      <c r="H1027"/>
      <c r="O1027" s="192"/>
      <c r="P1027" s="192"/>
      <c r="Q1027" s="205"/>
      <c r="AB1027" s="205"/>
      <c r="AC1027" s="205"/>
      <c r="AE1027"/>
    </row>
    <row r="1028" spans="1:31" x14ac:dyDescent="0.2">
      <c r="A1028" s="219"/>
      <c r="B1028" s="219"/>
      <c r="C1028" s="205"/>
      <c r="D1028" s="205"/>
      <c r="E1028" s="192"/>
      <c r="F1028" s="205"/>
      <c r="G1028" s="205"/>
      <c r="H1028"/>
      <c r="O1028" s="192"/>
      <c r="P1028" s="192"/>
      <c r="Q1028" s="205"/>
      <c r="AB1028" s="205"/>
      <c r="AC1028" s="205"/>
      <c r="AE1028"/>
    </row>
    <row r="1029" spans="1:31" x14ac:dyDescent="0.2">
      <c r="A1029" s="219"/>
      <c r="B1029" s="219"/>
      <c r="C1029" s="205"/>
      <c r="D1029" s="205"/>
      <c r="E1029" s="192"/>
      <c r="F1029" s="205"/>
      <c r="G1029" s="205"/>
      <c r="H1029"/>
      <c r="O1029" s="192"/>
      <c r="P1029" s="192"/>
      <c r="Q1029" s="205"/>
      <c r="AB1029" s="205"/>
      <c r="AC1029" s="205"/>
      <c r="AE1029"/>
    </row>
    <row r="1030" spans="1:31" x14ac:dyDescent="0.2">
      <c r="A1030" s="219"/>
      <c r="B1030" s="219"/>
      <c r="C1030" s="205"/>
      <c r="D1030" s="205"/>
      <c r="E1030" s="192"/>
      <c r="F1030" s="205"/>
      <c r="G1030"/>
      <c r="H1030"/>
      <c r="O1030" s="192"/>
      <c r="P1030" s="192"/>
      <c r="Q1030" s="205"/>
      <c r="AB1030" s="205"/>
      <c r="AC1030" s="205"/>
      <c r="AE1030"/>
    </row>
    <row r="1031" spans="1:31" x14ac:dyDescent="0.2">
      <c r="A1031" s="219"/>
      <c r="B1031" s="219"/>
      <c r="C1031" s="205"/>
      <c r="D1031" s="205"/>
      <c r="E1031" s="192"/>
      <c r="F1031" s="205"/>
      <c r="G1031" s="205"/>
      <c r="H1031"/>
      <c r="O1031" s="192"/>
      <c r="P1031" s="192"/>
      <c r="Q1031" s="205"/>
      <c r="AB1031" s="205"/>
      <c r="AC1031" s="205"/>
      <c r="AE1031"/>
    </row>
    <row r="1032" spans="1:31" x14ac:dyDescent="0.2">
      <c r="A1032" s="219"/>
      <c r="B1032" s="219"/>
      <c r="C1032" s="205"/>
      <c r="D1032" s="205"/>
      <c r="E1032" s="192"/>
      <c r="F1032" s="205"/>
      <c r="G1032" s="205"/>
      <c r="H1032"/>
      <c r="O1032" s="192"/>
      <c r="P1032" s="192"/>
      <c r="Q1032" s="205"/>
      <c r="AB1032" s="205"/>
      <c r="AC1032" s="205"/>
      <c r="AE1032"/>
    </row>
    <row r="1033" spans="1:31" x14ac:dyDescent="0.2">
      <c r="A1033" s="219"/>
      <c r="B1033" s="219"/>
      <c r="C1033" s="205"/>
      <c r="D1033" s="205"/>
      <c r="E1033" s="192"/>
      <c r="F1033" s="205"/>
      <c r="G1033" s="205"/>
      <c r="H1033"/>
      <c r="O1033" s="192"/>
      <c r="P1033" s="192"/>
      <c r="Q1033" s="205"/>
      <c r="AB1033" s="205"/>
      <c r="AC1033" s="205"/>
      <c r="AE1033"/>
    </row>
    <row r="1034" spans="1:31" x14ac:dyDescent="0.2">
      <c r="A1034" s="219"/>
      <c r="B1034" s="219"/>
      <c r="C1034" s="205"/>
      <c r="D1034" s="205"/>
      <c r="E1034" s="192"/>
      <c r="F1034" s="205"/>
      <c r="G1034" s="205"/>
      <c r="H1034"/>
      <c r="O1034" s="192"/>
      <c r="P1034" s="192"/>
      <c r="Q1034" s="205"/>
      <c r="AB1034" s="205"/>
      <c r="AC1034" s="205"/>
      <c r="AE1034"/>
    </row>
    <row r="1035" spans="1:31" x14ac:dyDescent="0.2">
      <c r="A1035" s="219"/>
      <c r="B1035" s="219"/>
      <c r="C1035" s="205"/>
      <c r="D1035" s="205"/>
      <c r="E1035" s="192"/>
      <c r="F1035" s="205"/>
      <c r="G1035" s="205"/>
      <c r="H1035"/>
      <c r="O1035" s="192"/>
      <c r="P1035" s="192"/>
      <c r="Q1035" s="205"/>
      <c r="AB1035" s="205"/>
      <c r="AC1035" s="205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topLeftCell="A49" zoomScale="90" zoomScaleNormal="90" workbookViewId="0">
      <selection activeCell="I56" sqref="I56"/>
    </sheetView>
  </sheetViews>
  <sheetFormatPr defaultColWidth="8.85546875" defaultRowHeight="12.75" x14ac:dyDescent="0.2"/>
  <cols>
    <col min="1" max="1" width="8.42578125" style="56" customWidth="1"/>
    <col min="2" max="2" width="9.85546875" style="56" customWidth="1"/>
    <col min="3" max="3" width="12.8554687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103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180</v>
      </c>
    </row>
    <row r="5" spans="2:13" ht="14.25" x14ac:dyDescent="0.2">
      <c r="B5" s="341" t="s">
        <v>348</v>
      </c>
      <c r="C5" s="342"/>
      <c r="D5" s="342"/>
      <c r="E5" s="343"/>
    </row>
    <row r="6" spans="2:13" ht="14.25" customHeight="1" x14ac:dyDescent="0.2">
      <c r="B6" s="365"/>
      <c r="C6" s="366"/>
      <c r="D6" s="366"/>
      <c r="E6" s="367"/>
    </row>
    <row r="7" spans="2:13" ht="14.25" x14ac:dyDescent="0.2">
      <c r="B7" s="344" t="s">
        <v>349</v>
      </c>
      <c r="C7" s="345"/>
      <c r="D7" s="346"/>
      <c r="E7" s="346"/>
    </row>
    <row r="8" spans="2:13" ht="14.25" customHeight="1" x14ac:dyDescent="0.2">
      <c r="B8" s="365"/>
      <c r="C8" s="366"/>
      <c r="D8" s="366"/>
      <c r="E8" s="367"/>
    </row>
    <row r="9" spans="2:13" ht="14.25" x14ac:dyDescent="0.2">
      <c r="B9" s="341" t="s">
        <v>351</v>
      </c>
      <c r="C9" s="342"/>
      <c r="D9" s="342"/>
      <c r="E9" s="343"/>
    </row>
    <row r="10" spans="2:13" ht="14.25" customHeight="1" x14ac:dyDescent="0.2">
      <c r="B10" s="365"/>
      <c r="C10" s="366"/>
      <c r="D10" s="366"/>
      <c r="E10" s="367"/>
    </row>
    <row r="11" spans="2:13" ht="14.25" x14ac:dyDescent="0.2">
      <c r="B11" s="347" t="s">
        <v>347</v>
      </c>
      <c r="C11" s="346"/>
      <c r="D11" s="346"/>
      <c r="E11" s="348"/>
    </row>
    <row r="12" spans="2:13" ht="15" customHeight="1" x14ac:dyDescent="0.2">
      <c r="B12" s="365"/>
      <c r="C12" s="366"/>
      <c r="D12" s="367"/>
      <c r="E12" s="349"/>
    </row>
    <row r="13" spans="2:13" ht="14.25" x14ac:dyDescent="0.2">
      <c r="B13" s="347" t="s">
        <v>350</v>
      </c>
      <c r="C13" s="346"/>
      <c r="D13" s="346"/>
      <c r="E13" s="48"/>
    </row>
    <row r="14" spans="2:13" ht="14.25" x14ac:dyDescent="0.2">
      <c r="B14" s="368"/>
      <c r="C14" s="366"/>
      <c r="D14" s="367"/>
      <c r="E14" s="48"/>
    </row>
    <row r="16" spans="2:13" x14ac:dyDescent="0.2">
      <c r="B16" s="64"/>
      <c r="C16" s="153"/>
      <c r="D16" s="154"/>
      <c r="E16" s="154"/>
      <c r="G16" s="64"/>
    </row>
    <row r="17" spans="2:19" ht="15" x14ac:dyDescent="0.2">
      <c r="B17" s="64"/>
      <c r="C17" s="153"/>
      <c r="D17" s="154"/>
      <c r="E17" s="154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312</v>
      </c>
      <c r="C18" s="46"/>
      <c r="D18" s="46"/>
      <c r="E18" s="46"/>
      <c r="F18" s="45"/>
      <c r="I18" s="46" t="s">
        <v>181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82" t="s">
        <v>313</v>
      </c>
      <c r="I20" s="281" t="s">
        <v>182</v>
      </c>
      <c r="J20" s="136"/>
      <c r="K20" s="135"/>
      <c r="L20" s="134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314</v>
      </c>
      <c r="C21" s="153"/>
      <c r="D21" s="154"/>
      <c r="E21" s="154"/>
      <c r="F21" s="266"/>
      <c r="G21" s="64" t="s">
        <v>62</v>
      </c>
      <c r="I21" s="131"/>
      <c r="J21" s="101"/>
      <c r="K21" s="375" t="s">
        <v>183</v>
      </c>
      <c r="L21" s="377" t="s">
        <v>184</v>
      </c>
      <c r="M21" s="5"/>
      <c r="R21" s="2"/>
      <c r="S21" s="48"/>
    </row>
    <row r="22" spans="2:19" ht="17.25" customHeight="1" x14ac:dyDescent="0.2">
      <c r="B22" s="64" t="s">
        <v>315</v>
      </c>
      <c r="C22" s="153"/>
      <c r="D22" s="154"/>
      <c r="E22" s="154"/>
      <c r="F22" s="266"/>
      <c r="G22" s="64" t="s">
        <v>62</v>
      </c>
      <c r="I22" s="133"/>
      <c r="J22" s="132"/>
      <c r="K22" s="376"/>
      <c r="L22" s="378"/>
      <c r="S22" s="60"/>
    </row>
    <row r="23" spans="2:19" x14ac:dyDescent="0.2">
      <c r="B23" s="64" t="s">
        <v>316</v>
      </c>
      <c r="C23" s="153"/>
      <c r="D23" s="154"/>
      <c r="E23" s="154"/>
      <c r="F23" s="49"/>
      <c r="G23" s="64" t="s">
        <v>127</v>
      </c>
      <c r="I23" s="131"/>
      <c r="J23" s="101"/>
      <c r="K23" s="101"/>
      <c r="L23" s="130"/>
      <c r="S23" s="60"/>
    </row>
    <row r="24" spans="2:19" x14ac:dyDescent="0.2">
      <c r="B24" s="56" t="s">
        <v>317</v>
      </c>
      <c r="F24" s="168">
        <f>IFERROR(INT(F21/F23),0)</f>
        <v>0</v>
      </c>
      <c r="G24" s="265" t="s">
        <v>126</v>
      </c>
      <c r="I24" s="126" t="s">
        <v>65</v>
      </c>
      <c r="J24" s="129" t="s">
        <v>61</v>
      </c>
      <c r="K24" s="166">
        <f>F40*F23*F43</f>
        <v>0</v>
      </c>
      <c r="L24" s="128">
        <f>F40*F23*F43*F41*F42/86400</f>
        <v>0</v>
      </c>
      <c r="S24" s="60"/>
    </row>
    <row r="25" spans="2:19" x14ac:dyDescent="0.2">
      <c r="B25" s="56" t="s">
        <v>318</v>
      </c>
      <c r="C25" s="153"/>
      <c r="D25" s="154"/>
      <c r="E25" s="154"/>
      <c r="F25" s="168">
        <f>IFERROR(INT(F22/F23),0)</f>
        <v>0</v>
      </c>
      <c r="G25" s="265" t="s">
        <v>126</v>
      </c>
      <c r="I25" s="127"/>
      <c r="J25" s="95"/>
      <c r="K25" s="48"/>
      <c r="L25" s="96"/>
      <c r="S25" s="60"/>
    </row>
    <row r="26" spans="2:19" x14ac:dyDescent="0.2">
      <c r="B26" s="56" t="s">
        <v>319</v>
      </c>
      <c r="F26" s="266"/>
      <c r="G26" s="265" t="s">
        <v>126</v>
      </c>
      <c r="I26" s="221" t="str">
        <f>IFERROR(INT(J26)&amp;" Qe =",0)</f>
        <v>0 Qe =</v>
      </c>
      <c r="J26" s="125">
        <f>IFERROR(L26/L24,0)</f>
        <v>0</v>
      </c>
      <c r="K26" s="101"/>
      <c r="L26" s="124">
        <f>IF(L24=0,0,10)</f>
        <v>0</v>
      </c>
      <c r="S26" s="60"/>
    </row>
    <row r="27" spans="2:19" x14ac:dyDescent="0.2">
      <c r="B27" s="56" t="s">
        <v>320</v>
      </c>
      <c r="F27" s="266"/>
      <c r="G27" s="265" t="s">
        <v>126</v>
      </c>
      <c r="I27" s="123"/>
      <c r="J27" s="120"/>
      <c r="K27" s="120"/>
      <c r="L27" s="122"/>
      <c r="S27" s="60"/>
    </row>
    <row r="28" spans="2:19" ht="12.6" customHeight="1" x14ac:dyDescent="0.2">
      <c r="I28" s="121"/>
      <c r="J28" s="120"/>
      <c r="K28" s="120"/>
      <c r="L28" s="119"/>
      <c r="S28" s="60"/>
    </row>
    <row r="29" spans="2:19" x14ac:dyDescent="0.2">
      <c r="B29" s="282" t="s">
        <v>321</v>
      </c>
      <c r="I29" s="369" t="s">
        <v>185</v>
      </c>
      <c r="J29" s="370"/>
      <c r="K29" s="370"/>
      <c r="L29" s="371"/>
      <c r="S29" s="60"/>
    </row>
    <row r="30" spans="2:19" ht="12.75" customHeight="1" x14ac:dyDescent="0.2">
      <c r="B30" s="68" t="s">
        <v>322</v>
      </c>
      <c r="C30" s="153"/>
      <c r="D30" s="154"/>
      <c r="E30" s="154"/>
      <c r="F30" s="177">
        <f>RedBasica!$K$11</f>
        <v>0</v>
      </c>
      <c r="G30" s="56" t="s">
        <v>126</v>
      </c>
      <c r="I30" s="372"/>
      <c r="J30" s="373"/>
      <c r="K30" s="373"/>
      <c r="L30" s="374"/>
      <c r="S30" s="60"/>
    </row>
    <row r="31" spans="2:19" x14ac:dyDescent="0.2">
      <c r="B31" s="68" t="s">
        <v>323</v>
      </c>
      <c r="C31" s="153"/>
      <c r="D31" s="154"/>
      <c r="E31" s="154"/>
      <c r="F31" s="177">
        <f>RedBasica!$L$11</f>
        <v>0</v>
      </c>
      <c r="G31" s="265" t="s">
        <v>126</v>
      </c>
      <c r="S31" s="60"/>
    </row>
    <row r="32" spans="2:19" x14ac:dyDescent="0.2">
      <c r="B32" s="64" t="s">
        <v>324</v>
      </c>
      <c r="C32" s="154"/>
      <c r="D32" s="154"/>
      <c r="E32" s="165" t="s">
        <v>63</v>
      </c>
      <c r="F32" s="176">
        <f>L24</f>
        <v>0</v>
      </c>
      <c r="G32" s="153" t="s">
        <v>5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325</v>
      </c>
      <c r="C33" s="154"/>
      <c r="D33" s="154"/>
      <c r="E33" s="165" t="s">
        <v>64</v>
      </c>
      <c r="F33" s="177">
        <f>K24</f>
        <v>0</v>
      </c>
      <c r="G33" s="153" t="s">
        <v>59</v>
      </c>
      <c r="I33" s="281" t="s">
        <v>186</v>
      </c>
      <c r="J33" s="136"/>
      <c r="K33" s="135"/>
      <c r="L33" s="134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82" t="s">
        <v>326</v>
      </c>
      <c r="I34" s="131"/>
      <c r="J34" s="379" t="s">
        <v>187</v>
      </c>
      <c r="K34" s="379" t="s">
        <v>188</v>
      </c>
      <c r="L34" s="381" t="s">
        <v>189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41" t="s">
        <v>327</v>
      </c>
      <c r="C35" s="153"/>
      <c r="D35" s="154"/>
      <c r="E35" s="154"/>
      <c r="F35" s="118" t="s">
        <v>178</v>
      </c>
      <c r="G35" s="140" t="s">
        <v>33</v>
      </c>
      <c r="I35" s="131"/>
      <c r="J35" s="379"/>
      <c r="K35" s="379"/>
      <c r="L35" s="381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41" t="s">
        <v>328</v>
      </c>
      <c r="C36" s="153"/>
      <c r="D36" s="154"/>
      <c r="E36" s="154"/>
      <c r="F36" s="175">
        <f>IFERROR(IF(F35="Si",L40,0),0)</f>
        <v>0</v>
      </c>
      <c r="G36" s="153" t="s">
        <v>14</v>
      </c>
      <c r="I36" s="131"/>
      <c r="J36" s="380"/>
      <c r="K36" s="380"/>
      <c r="L36" s="382"/>
      <c r="M36" s="2"/>
      <c r="N36" s="2"/>
      <c r="O36" s="2"/>
      <c r="P36" s="2"/>
      <c r="Q36" s="2"/>
      <c r="R36" s="2"/>
      <c r="S36" s="48"/>
    </row>
    <row r="37" spans="2:19" x14ac:dyDescent="0.2">
      <c r="B37" s="141" t="s">
        <v>329</v>
      </c>
      <c r="C37" s="153"/>
      <c r="D37" s="154"/>
      <c r="E37" s="154"/>
      <c r="F37" s="175">
        <f>IFERROR(IF(F35="Si",L38,0),0)</f>
        <v>0</v>
      </c>
      <c r="G37" s="153" t="s">
        <v>14</v>
      </c>
      <c r="I37" s="131"/>
      <c r="J37" s="101"/>
      <c r="L37" s="130"/>
    </row>
    <row r="38" spans="2:19" ht="12.6" customHeight="1" x14ac:dyDescent="0.2">
      <c r="I38" s="137" t="s">
        <v>190</v>
      </c>
      <c r="J38" s="164">
        <f>F22</f>
        <v>0</v>
      </c>
      <c r="K38" s="164">
        <f>RedBasica!F11</f>
        <v>0</v>
      </c>
      <c r="L38" s="138">
        <f>IF(RedBasica!$F$11=0,0,(F22*$F$40*$F$43/86400)/RedBasica!$F$11*1000)</f>
        <v>0</v>
      </c>
    </row>
    <row r="39" spans="2:19" x14ac:dyDescent="0.2">
      <c r="B39" s="282" t="s">
        <v>330</v>
      </c>
      <c r="I39" s="131"/>
      <c r="J39" s="101"/>
      <c r="K39" s="101"/>
      <c r="L39" s="130"/>
    </row>
    <row r="40" spans="2:19" ht="12.75" customHeight="1" x14ac:dyDescent="0.2">
      <c r="B40" s="141" t="s">
        <v>331</v>
      </c>
      <c r="C40" s="153"/>
      <c r="D40" s="154"/>
      <c r="E40" s="154"/>
      <c r="F40" s="268">
        <v>150</v>
      </c>
      <c r="G40" s="153" t="s">
        <v>13</v>
      </c>
      <c r="I40" s="137" t="s">
        <v>191</v>
      </c>
      <c r="J40" s="164">
        <f>F21</f>
        <v>0</v>
      </c>
      <c r="K40" s="164">
        <f>RedBasica!F11</f>
        <v>0</v>
      </c>
      <c r="L40" s="138">
        <f>IF(RedBasica!$F$11=0,0,(F21*$F$40*$F$43/86400)/RedBasica!$F$11*1000)</f>
        <v>0</v>
      </c>
    </row>
    <row r="41" spans="2:19" x14ac:dyDescent="0.2">
      <c r="B41" s="64" t="s">
        <v>11</v>
      </c>
      <c r="C41" s="153"/>
      <c r="D41" s="154"/>
      <c r="E41" s="154"/>
      <c r="F41" s="49">
        <v>1.2</v>
      </c>
      <c r="G41" s="155"/>
      <c r="I41" s="146"/>
      <c r="J41" s="147"/>
      <c r="K41" s="147"/>
      <c r="L41" s="148"/>
    </row>
    <row r="42" spans="2:19" x14ac:dyDescent="0.2">
      <c r="B42" s="64" t="s">
        <v>12</v>
      </c>
      <c r="C42" s="153"/>
      <c r="D42" s="154"/>
      <c r="E42" s="154"/>
      <c r="F42" s="49">
        <v>1.5</v>
      </c>
      <c r="G42" s="155"/>
    </row>
    <row r="43" spans="2:19" x14ac:dyDescent="0.2">
      <c r="B43" s="153" t="s">
        <v>3</v>
      </c>
      <c r="C43" s="153"/>
      <c r="D43" s="154"/>
      <c r="E43" s="154"/>
      <c r="F43" s="49">
        <v>0.8</v>
      </c>
      <c r="G43" s="153"/>
    </row>
    <row r="44" spans="2:19" x14ac:dyDescent="0.2">
      <c r="B44" s="64" t="s">
        <v>332</v>
      </c>
      <c r="C44" s="153"/>
      <c r="D44" s="154"/>
      <c r="E44" s="154"/>
      <c r="F44" s="267">
        <v>0.1</v>
      </c>
      <c r="G44" s="153" t="s">
        <v>14</v>
      </c>
      <c r="J44" s="47"/>
    </row>
    <row r="45" spans="2:19" ht="12.6" customHeight="1" x14ac:dyDescent="0.2">
      <c r="B45" s="141" t="s">
        <v>337</v>
      </c>
      <c r="C45" s="141"/>
      <c r="D45" s="154"/>
      <c r="E45" s="154"/>
      <c r="F45" s="49">
        <v>1</v>
      </c>
      <c r="G45" s="153" t="s">
        <v>0</v>
      </c>
    </row>
    <row r="46" spans="2:19" x14ac:dyDescent="0.2">
      <c r="B46" s="64" t="s">
        <v>333</v>
      </c>
      <c r="C46" s="153"/>
      <c r="D46" s="154"/>
      <c r="E46" s="154"/>
      <c r="F46" s="49">
        <v>1.5</v>
      </c>
      <c r="G46" s="153" t="s">
        <v>5</v>
      </c>
    </row>
    <row r="47" spans="2:19" x14ac:dyDescent="0.2">
      <c r="B47" s="64" t="s">
        <v>336</v>
      </c>
      <c r="C47" s="153"/>
      <c r="D47" s="154"/>
      <c r="E47" s="154"/>
      <c r="F47" s="169">
        <v>0.5</v>
      </c>
      <c r="G47" s="153" t="s">
        <v>4</v>
      </c>
    </row>
    <row r="48" spans="2:19" x14ac:dyDescent="0.2">
      <c r="B48" s="64" t="s">
        <v>334</v>
      </c>
      <c r="C48" s="153"/>
      <c r="D48" s="154"/>
      <c r="E48" s="154"/>
      <c r="F48" s="178">
        <v>0.75</v>
      </c>
      <c r="G48" s="153" t="s">
        <v>4</v>
      </c>
      <c r="I48" s="68"/>
      <c r="M48" s="167"/>
    </row>
    <row r="49" spans="1:7" x14ac:dyDescent="0.2">
      <c r="B49" s="51" t="s">
        <v>335</v>
      </c>
      <c r="C49" s="155"/>
      <c r="D49" s="154"/>
      <c r="E49" s="154"/>
      <c r="F49" s="171"/>
      <c r="G49" s="155"/>
    </row>
    <row r="50" spans="1:7" x14ac:dyDescent="0.2">
      <c r="B50" s="153" t="s">
        <v>1</v>
      </c>
      <c r="C50" s="153"/>
      <c r="D50" s="154"/>
      <c r="E50" s="154"/>
      <c r="F50" s="172">
        <v>150</v>
      </c>
      <c r="G50" s="153" t="s">
        <v>2</v>
      </c>
    </row>
    <row r="52" spans="1:7" x14ac:dyDescent="0.2">
      <c r="B52" s="51" t="s">
        <v>338</v>
      </c>
      <c r="C52" s="51"/>
      <c r="D52" s="154"/>
      <c r="E52" s="154"/>
      <c r="F52" s="170" t="s">
        <v>60</v>
      </c>
      <c r="G52" s="155"/>
    </row>
    <row r="53" spans="1:7" x14ac:dyDescent="0.2">
      <c r="B53" s="141" t="s">
        <v>339</v>
      </c>
      <c r="C53" s="161">
        <v>150</v>
      </c>
      <c r="D53" s="154"/>
      <c r="E53" s="154"/>
      <c r="F53" s="269">
        <v>4.4999999999999997E-3</v>
      </c>
      <c r="G53" s="153" t="s">
        <v>23</v>
      </c>
    </row>
    <row r="54" spans="1:7" x14ac:dyDescent="0.2">
      <c r="B54" s="141" t="s">
        <v>339</v>
      </c>
      <c r="C54" s="161">
        <v>200</v>
      </c>
      <c r="D54" s="154"/>
      <c r="E54" s="154"/>
      <c r="F54" s="269">
        <v>4.0000000000000001E-3</v>
      </c>
      <c r="G54" s="153" t="s">
        <v>23</v>
      </c>
    </row>
    <row r="55" spans="1:7" x14ac:dyDescent="0.2">
      <c r="B55" s="153" t="s">
        <v>58</v>
      </c>
      <c r="C55" s="161">
        <v>250</v>
      </c>
      <c r="D55" s="154"/>
      <c r="E55" s="154"/>
      <c r="F55" s="269">
        <v>3.5000000000000001E-3</v>
      </c>
      <c r="G55" s="153" t="s">
        <v>23</v>
      </c>
    </row>
    <row r="56" spans="1:7" x14ac:dyDescent="0.2">
      <c r="A56" s="68"/>
      <c r="B56" s="51" t="s">
        <v>24</v>
      </c>
      <c r="C56" s="51"/>
      <c r="D56" s="154"/>
      <c r="E56" s="154"/>
      <c r="F56" s="171"/>
      <c r="G56" s="155"/>
    </row>
    <row r="57" spans="1:7" x14ac:dyDescent="0.2">
      <c r="B57" s="64" t="s">
        <v>340</v>
      </c>
      <c r="C57" s="153"/>
      <c r="D57" s="154"/>
      <c r="E57" s="154"/>
      <c r="F57" s="173">
        <v>0.9</v>
      </c>
      <c r="G57" s="153" t="s">
        <v>6</v>
      </c>
    </row>
    <row r="58" spans="1:7" x14ac:dyDescent="0.2">
      <c r="B58" s="64" t="s">
        <v>341</v>
      </c>
      <c r="C58" s="153"/>
      <c r="D58" s="154"/>
      <c r="E58" s="154"/>
      <c r="F58" s="49">
        <v>0.65</v>
      </c>
      <c r="G58" s="153" t="s">
        <v>6</v>
      </c>
    </row>
    <row r="59" spans="1:7" x14ac:dyDescent="0.2">
      <c r="B59" s="51" t="s">
        <v>342</v>
      </c>
      <c r="C59" s="154"/>
      <c r="D59" s="154"/>
      <c r="E59" s="154"/>
      <c r="F59" s="174"/>
      <c r="G59" s="154"/>
    </row>
    <row r="60" spans="1:7" ht="16.5" customHeight="1" x14ac:dyDescent="0.2">
      <c r="B60" s="64" t="s">
        <v>343</v>
      </c>
      <c r="C60" s="154"/>
      <c r="D60" s="154"/>
      <c r="E60" s="154"/>
      <c r="F60" s="270" t="s">
        <v>123</v>
      </c>
      <c r="G60" s="154"/>
    </row>
    <row r="61" spans="1:7" x14ac:dyDescent="0.2">
      <c r="B61" s="282" t="s">
        <v>344</v>
      </c>
      <c r="C61" s="154"/>
      <c r="D61" s="154"/>
      <c r="E61" s="154"/>
      <c r="F61" s="174"/>
      <c r="G61" s="154"/>
    </row>
    <row r="62" spans="1:7" ht="16.5" customHeight="1" x14ac:dyDescent="0.2">
      <c r="B62" s="141" t="s">
        <v>346</v>
      </c>
      <c r="C62" s="154"/>
      <c r="D62" s="154"/>
      <c r="E62" s="154"/>
      <c r="F62" s="49">
        <v>0.5</v>
      </c>
      <c r="G62" s="154" t="s">
        <v>6</v>
      </c>
    </row>
    <row r="63" spans="1:7" ht="16.5" customHeight="1" x14ac:dyDescent="0.2">
      <c r="B63" s="282" t="s">
        <v>345</v>
      </c>
    </row>
    <row r="64" spans="1:7" ht="16.5" customHeight="1" x14ac:dyDescent="0.2">
      <c r="B64" s="56" t="s">
        <v>307</v>
      </c>
      <c r="F64" s="49">
        <v>0</v>
      </c>
      <c r="G64" s="56" t="s">
        <v>6</v>
      </c>
    </row>
    <row r="65" spans="2:7" ht="16.5" customHeight="1" x14ac:dyDescent="0.2"/>
    <row r="66" spans="2:7" ht="16.5" customHeight="1" x14ac:dyDescent="0.2">
      <c r="B66" s="142" t="s">
        <v>26</v>
      </c>
      <c r="C66" s="143"/>
      <c r="D66" s="143"/>
      <c r="E66" s="143"/>
      <c r="F66" s="139"/>
      <c r="G66" s="139"/>
    </row>
    <row r="67" spans="2:7" ht="25.5" x14ac:dyDescent="0.2">
      <c r="B67" s="66" t="s">
        <v>30</v>
      </c>
      <c r="C67" s="67" t="s">
        <v>27</v>
      </c>
      <c r="D67" s="65" t="s">
        <v>29</v>
      </c>
      <c r="E67" s="65" t="s">
        <v>266</v>
      </c>
      <c r="F67" s="139"/>
      <c r="G67" s="139"/>
    </row>
    <row r="68" spans="2:7" ht="3" customHeight="1" x14ac:dyDescent="0.2">
      <c r="B68" s="333">
        <v>0</v>
      </c>
      <c r="C68" s="334"/>
      <c r="D68" s="335"/>
      <c r="E68" s="335"/>
      <c r="F68" s="139"/>
      <c r="G68" s="139"/>
    </row>
    <row r="69" spans="2:7" ht="16.5" customHeight="1" x14ac:dyDescent="0.2">
      <c r="B69" s="43">
        <f>'A7'!B2</f>
        <v>100</v>
      </c>
      <c r="C69" s="151" t="s">
        <v>132</v>
      </c>
      <c r="D69" s="144">
        <f>HLOOKUP(C69,'A7'!$C$18:$G$19,2,FALSE)</f>
        <v>0.01</v>
      </c>
      <c r="E69" s="152">
        <v>1.2999999999999999E-2</v>
      </c>
      <c r="F69" s="139"/>
      <c r="G69" s="139"/>
    </row>
    <row r="70" spans="2:7" ht="16.5" customHeight="1" x14ac:dyDescent="0.2">
      <c r="B70" s="43">
        <f>'A7'!B3</f>
        <v>150</v>
      </c>
      <c r="C70" s="151" t="s">
        <v>132</v>
      </c>
      <c r="D70" s="144">
        <f>HLOOKUP(C70,'A7'!$C$18:$G$19,2,FALSE)</f>
        <v>0.01</v>
      </c>
      <c r="E70" s="152">
        <v>1.2999999999999999E-2</v>
      </c>
      <c r="F70" s="139"/>
      <c r="G70" s="139"/>
    </row>
    <row r="71" spans="2:7" ht="16.5" customHeight="1" x14ac:dyDescent="0.2">
      <c r="B71" s="43">
        <f>'A7'!B4</f>
        <v>200</v>
      </c>
      <c r="C71" s="151" t="s">
        <v>132</v>
      </c>
      <c r="D71" s="144">
        <f>HLOOKUP(C71,'A7'!$C$18:$G$19,2,FALSE)</f>
        <v>0.01</v>
      </c>
      <c r="E71" s="152">
        <v>1.2999999999999999E-2</v>
      </c>
      <c r="F71" s="139"/>
      <c r="G71" s="139"/>
    </row>
    <row r="72" spans="2:7" ht="16.5" customHeight="1" x14ac:dyDescent="0.2">
      <c r="B72" s="43">
        <f>'A7'!B5</f>
        <v>250</v>
      </c>
      <c r="C72" s="151" t="s">
        <v>132</v>
      </c>
      <c r="D72" s="144">
        <f>HLOOKUP(C72,'A7'!$C$18:$G$19,2,FALSE)</f>
        <v>0.01</v>
      </c>
      <c r="E72" s="152">
        <v>1.2999999999999999E-2</v>
      </c>
      <c r="F72" s="139"/>
      <c r="G72" s="139"/>
    </row>
    <row r="73" spans="2:7" ht="16.5" customHeight="1" x14ac:dyDescent="0.2">
      <c r="B73" s="43">
        <f>'A7'!B6</f>
        <v>300</v>
      </c>
      <c r="C73" s="151" t="s">
        <v>132</v>
      </c>
      <c r="D73" s="144">
        <f>HLOOKUP(C73,'A7'!$C$18:$G$19,2,FALSE)</f>
        <v>0.01</v>
      </c>
      <c r="E73" s="152">
        <v>1.2999999999999999E-2</v>
      </c>
      <c r="F73" s="139"/>
      <c r="G73" s="139"/>
    </row>
    <row r="74" spans="2:7" x14ac:dyDescent="0.2">
      <c r="B74" s="43">
        <f>'A7'!B7</f>
        <v>400</v>
      </c>
      <c r="C74" s="151" t="s">
        <v>132</v>
      </c>
      <c r="D74" s="144">
        <f>HLOOKUP(C74,'A7'!$C$18:$G$19,2,FALSE)</f>
        <v>0.01</v>
      </c>
      <c r="E74" s="152">
        <v>1.2999999999999999E-2</v>
      </c>
    </row>
    <row r="75" spans="2:7" x14ac:dyDescent="0.2">
      <c r="B75" s="43">
        <f>'A7'!B8</f>
        <v>500</v>
      </c>
      <c r="C75" s="151" t="s">
        <v>121</v>
      </c>
      <c r="D75" s="144">
        <f>HLOOKUP(C75,'A7'!$C$18:$G$19,2,FALSE)</f>
        <v>0.01</v>
      </c>
      <c r="E75" s="152">
        <v>1.2999999999999999E-2</v>
      </c>
    </row>
    <row r="76" spans="2:7" x14ac:dyDescent="0.2">
      <c r="B76" s="43">
        <f>'A7'!B9</f>
        <v>600</v>
      </c>
      <c r="C76" s="151" t="s">
        <v>121</v>
      </c>
      <c r="D76" s="144">
        <f>HLOOKUP(C76,'A7'!$C$18:$G$19,2,FALSE)</f>
        <v>0.01</v>
      </c>
      <c r="E76" s="152">
        <v>1.2999999999999999E-2</v>
      </c>
    </row>
    <row r="77" spans="2:7" x14ac:dyDescent="0.2">
      <c r="B77" s="43">
        <f>'A7'!B10</f>
        <v>700</v>
      </c>
      <c r="C77" s="151" t="s">
        <v>121</v>
      </c>
      <c r="D77" s="144">
        <f>HLOOKUP(C77,'A7'!$C$18:$G$19,2,FALSE)</f>
        <v>0.01</v>
      </c>
      <c r="E77" s="152">
        <v>1.2999999999999999E-2</v>
      </c>
    </row>
    <row r="78" spans="2:7" x14ac:dyDescent="0.2">
      <c r="B78" s="43">
        <f>'A7'!B11</f>
        <v>800</v>
      </c>
      <c r="C78" s="151" t="s">
        <v>121</v>
      </c>
      <c r="D78" s="144">
        <f>HLOOKUP(C78,'A7'!$C$18:$G$19,2,FALSE)</f>
        <v>0.01</v>
      </c>
      <c r="E78" s="152">
        <v>1.2999999999999999E-2</v>
      </c>
    </row>
    <row r="79" spans="2:7" x14ac:dyDescent="0.2">
      <c r="B79" s="43">
        <f>'A7'!B12</f>
        <v>900</v>
      </c>
      <c r="C79" s="151" t="s">
        <v>121</v>
      </c>
      <c r="D79" s="144">
        <f>HLOOKUP(C79,'A7'!$C$18:$G$19,2,FALSE)</f>
        <v>0.01</v>
      </c>
      <c r="E79" s="152">
        <v>1.2999999999999999E-2</v>
      </c>
    </row>
    <row r="80" spans="2:7" x14ac:dyDescent="0.2">
      <c r="B80" s="43">
        <f>'A7'!B13</f>
        <v>1000</v>
      </c>
      <c r="C80" s="151" t="s">
        <v>121</v>
      </c>
      <c r="D80" s="144">
        <f>HLOOKUP(C80,'A7'!$C$18:$G$19,2,FALSE)</f>
        <v>0.01</v>
      </c>
      <c r="E80" s="152">
        <v>1.2999999999999999E-2</v>
      </c>
    </row>
    <row r="81" spans="2:5" x14ac:dyDescent="0.2">
      <c r="B81" s="43">
        <f>'A7'!B14</f>
        <v>1200</v>
      </c>
      <c r="C81" s="151" t="s">
        <v>121</v>
      </c>
      <c r="D81" s="144">
        <f>HLOOKUP(C81,'A7'!$C$18:$G$19,2,FALSE)</f>
        <v>0.01</v>
      </c>
      <c r="E81" s="152">
        <v>1.2999999999999999E-2</v>
      </c>
    </row>
    <row r="82" spans="2:5" x14ac:dyDescent="0.2">
      <c r="B82" s="43">
        <f>'A7'!B15</f>
        <v>1500</v>
      </c>
      <c r="C82" s="151" t="s">
        <v>121</v>
      </c>
      <c r="D82" s="144">
        <f>HLOOKUP(C82,'A7'!$C$18:$G$19,2,FALSE)</f>
        <v>0.01</v>
      </c>
      <c r="E82" s="152">
        <v>1.2999999999999999E-2</v>
      </c>
    </row>
    <row r="85" spans="2:5" x14ac:dyDescent="0.2">
      <c r="B85" s="142" t="s">
        <v>192</v>
      </c>
      <c r="C85" s="143"/>
      <c r="D85" s="143"/>
    </row>
    <row r="86" spans="2:5" ht="38.25" x14ac:dyDescent="0.2">
      <c r="B86" s="65" t="s">
        <v>111</v>
      </c>
      <c r="C86" s="239" t="s">
        <v>119</v>
      </c>
      <c r="D86" s="65" t="s">
        <v>112</v>
      </c>
    </row>
    <row r="87" spans="2:5" x14ac:dyDescent="0.2">
      <c r="B87" s="240" t="s">
        <v>115</v>
      </c>
      <c r="C87" s="241">
        <v>1.3</v>
      </c>
      <c r="D87" s="242">
        <v>150</v>
      </c>
    </row>
    <row r="88" spans="2:5" x14ac:dyDescent="0.2">
      <c r="B88" s="240" t="s">
        <v>113</v>
      </c>
      <c r="C88" s="241">
        <v>1.8</v>
      </c>
      <c r="D88" s="242">
        <v>400</v>
      </c>
    </row>
    <row r="89" spans="2:5" x14ac:dyDescent="0.2">
      <c r="B89" s="240" t="s">
        <v>116</v>
      </c>
      <c r="C89" s="241">
        <v>3.5</v>
      </c>
      <c r="D89" s="242">
        <v>500</v>
      </c>
    </row>
    <row r="90" spans="2:5" x14ac:dyDescent="0.2">
      <c r="B90" s="240" t="s">
        <v>114</v>
      </c>
      <c r="C90" s="241">
        <v>4</v>
      </c>
      <c r="D90" s="242">
        <v>600</v>
      </c>
    </row>
    <row r="91" spans="2:5" x14ac:dyDescent="0.2">
      <c r="B91" s="240" t="s">
        <v>117</v>
      </c>
      <c r="C91" s="241">
        <v>6</v>
      </c>
      <c r="D91" s="242">
        <v>800</v>
      </c>
    </row>
    <row r="92" spans="2:5" x14ac:dyDescent="0.2">
      <c r="B92" s="240" t="s">
        <v>118</v>
      </c>
      <c r="C92" s="241">
        <v>15</v>
      </c>
      <c r="D92" s="242">
        <v>1000</v>
      </c>
    </row>
  </sheetData>
  <mergeCells count="11">
    <mergeCell ref="I29:L30"/>
    <mergeCell ref="K21:K22"/>
    <mergeCell ref="L21:L22"/>
    <mergeCell ref="J34:J36"/>
    <mergeCell ref="L34:L36"/>
    <mergeCell ref="K34:K36"/>
    <mergeCell ref="B6:E6"/>
    <mergeCell ref="B8:E8"/>
    <mergeCell ref="B10:E10"/>
    <mergeCell ref="B12:D12"/>
    <mergeCell ref="B14:D14"/>
  </mergeCells>
  <conditionalFormatting sqref="D69:D82">
    <cfRule type="cellIs" dxfId="110" priority="1893" operator="notEqual">
      <formula>E69</formula>
    </cfRule>
  </conditionalFormatting>
  <conditionalFormatting sqref="J38:L40">
    <cfRule type="cellIs" dxfId="109" priority="1851" operator="equal">
      <formula>0</formula>
    </cfRule>
  </conditionalFormatting>
  <conditionalFormatting sqref="L24">
    <cfRule type="cellIs" dxfId="108" priority="1847" operator="equal">
      <formula>0</formula>
    </cfRule>
  </conditionalFormatting>
  <conditionalFormatting sqref="L26">
    <cfRule type="cellIs" dxfId="107" priority="1846" operator="equal">
      <formula>0</formula>
    </cfRule>
  </conditionalFormatting>
  <conditionalFormatting sqref="K24">
    <cfRule type="cellIs" dxfId="106" priority="1845" operator="equal">
      <formula>0</formula>
    </cfRule>
  </conditionalFormatting>
  <conditionalFormatting sqref="C88">
    <cfRule type="expression" dxfId="105" priority="1073">
      <formula>C88&lt;C87</formula>
    </cfRule>
  </conditionalFormatting>
  <conditionalFormatting sqref="C89:C92">
    <cfRule type="expression" dxfId="104" priority="1072">
      <formula>C89&lt;C88</formula>
    </cfRule>
  </conditionalFormatting>
  <conditionalFormatting sqref="D88">
    <cfRule type="expression" dxfId="103" priority="1061">
      <formula>D88&lt;D87</formula>
    </cfRule>
  </conditionalFormatting>
  <conditionalFormatting sqref="D89:D92">
    <cfRule type="expression" dxfId="102" priority="1060">
      <formula>D89&lt;D88</formula>
    </cfRule>
  </conditionalFormatting>
  <conditionalFormatting sqref="F35">
    <cfRule type="cellIs" dxfId="101" priority="2" operator="equal">
      <formula>"Sim"</formula>
    </cfRule>
    <cfRule type="cellIs" dxfId="100" priority="3" operator="equal">
      <formula>"Não"</formula>
    </cfRule>
    <cfRule type="containsBlanks" dxfId="99" priority="4">
      <formula>LEN(TRIM(F35))=0</formula>
    </cfRule>
  </conditionalFormatting>
  <conditionalFormatting sqref="F21:F22">
    <cfRule type="cellIs" dxfId="98" priority="5" operator="equal">
      <formula>0</formula>
    </cfRule>
  </conditionalFormatting>
  <conditionalFormatting sqref="F26:F27">
    <cfRule type="cellIs" dxfId="97" priority="1" operator="equal">
      <formula>0</formula>
    </cfRule>
  </conditionalFormatting>
  <dataValidations count="16">
    <dataValidation type="list" allowBlank="1" showInputMessage="1" showErrorMessage="1" sqref="F35" xr:uid="{4172EA2A-710C-4B62-A495-D4F94E67B3A7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2D4AC1C7-B1E9-4C03-A82B-49A4C98A7E6A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70" zoomScaleNormal="70" workbookViewId="0">
      <selection activeCell="S33" sqref="S33"/>
    </sheetView>
  </sheetViews>
  <sheetFormatPr defaultColWidth="8" defaultRowHeight="12.75" x14ac:dyDescent="0.2"/>
  <cols>
    <col min="1" max="1" width="4.140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1.85546875" style="215" customWidth="1"/>
    <col min="6" max="6" width="11.140625" style="236" customWidth="1"/>
    <col min="7" max="7" width="13" style="47" customWidth="1"/>
    <col min="8" max="8" width="12.85546875" style="47" customWidth="1"/>
    <col min="9" max="9" width="12.42578125" style="47" customWidth="1"/>
    <col min="10" max="10" width="17.42578125" style="47" customWidth="1"/>
    <col min="11" max="11" width="12.140625" style="47" customWidth="1"/>
    <col min="12" max="12" width="12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customWidth="1"/>
    <col min="20" max="21" width="20.7109375" style="47" hidden="1" customWidth="1"/>
    <col min="22" max="23" width="20.7109375" style="47" customWidth="1"/>
    <col min="24" max="24" width="10" style="47" customWidth="1"/>
    <col min="25" max="25" width="12.7109375" style="47" hidden="1" customWidth="1"/>
    <col min="26" max="26" width="12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57031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9" t="s">
        <v>103</v>
      </c>
      <c r="F1" s="23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10"/>
      <c r="F2" s="233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11" t="s">
        <v>352</v>
      </c>
      <c r="F3" s="234"/>
      <c r="G3" s="162"/>
      <c r="H3" s="163"/>
      <c r="I3" s="59"/>
      <c r="J3" s="197"/>
      <c r="T3" s="45"/>
      <c r="U3" s="45"/>
      <c r="V3" s="45"/>
      <c r="X3" s="45"/>
      <c r="Y3" s="45"/>
      <c r="Z3" s="45"/>
      <c r="AA3" s="48"/>
      <c r="AC3" s="48"/>
      <c r="AD3" s="337"/>
      <c r="AE3" s="48"/>
      <c r="AG3" s="48"/>
      <c r="AH3" s="337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2"/>
      <c r="F4" s="235"/>
      <c r="G4" s="58"/>
      <c r="H4" s="59"/>
      <c r="I4" s="59"/>
      <c r="J4" s="197"/>
      <c r="K4" s="197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22" t="s">
        <v>193</v>
      </c>
      <c r="F5" s="325"/>
      <c r="G5" s="383">
        <f>Parametros!$B$6</f>
        <v>0</v>
      </c>
      <c r="H5" s="383"/>
      <c r="I5" s="383"/>
      <c r="J5" s="383"/>
      <c r="K5" s="383"/>
      <c r="L5" s="321"/>
      <c r="M5" s="321"/>
      <c r="N5" s="321"/>
      <c r="O5" s="321"/>
      <c r="P5" s="284"/>
      <c r="Q5" s="284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22" t="s">
        <v>194</v>
      </c>
      <c r="F6" s="325"/>
      <c r="G6" s="383">
        <f>Parametros!$B$8</f>
        <v>0</v>
      </c>
      <c r="H6" s="383"/>
      <c r="I6" s="383"/>
      <c r="J6" s="383"/>
      <c r="K6" s="383"/>
      <c r="L6" s="321"/>
      <c r="M6" s="321"/>
      <c r="N6" s="321"/>
      <c r="O6" s="321"/>
      <c r="P6" s="283"/>
      <c r="T6" s="48"/>
      <c r="U6" s="60"/>
      <c r="V6" s="48"/>
      <c r="W6" s="60"/>
      <c r="X6" s="48"/>
      <c r="Y6" s="48"/>
      <c r="Z6" s="60"/>
      <c r="AA6" s="48"/>
      <c r="AC6" s="48"/>
      <c r="AD6" s="337"/>
      <c r="AE6" s="48"/>
      <c r="AG6" s="48"/>
      <c r="AH6" s="337"/>
      <c r="AI6" s="338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22" t="s">
        <v>195</v>
      </c>
      <c r="F7" s="325"/>
      <c r="G7" s="383">
        <f>Parametros!$B$10</f>
        <v>0</v>
      </c>
      <c r="H7" s="383"/>
      <c r="I7" s="383"/>
      <c r="J7" s="383"/>
      <c r="K7" s="383"/>
      <c r="L7" s="321"/>
      <c r="M7" s="321"/>
      <c r="N7" s="321"/>
      <c r="O7" s="321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22" t="s">
        <v>22</v>
      </c>
      <c r="F8" s="325"/>
      <c r="G8" s="383">
        <f>Parametros!$B$12</f>
        <v>0</v>
      </c>
      <c r="H8" s="383"/>
      <c r="I8" s="383"/>
      <c r="J8" s="383"/>
      <c r="K8" s="383"/>
      <c r="L8" s="321"/>
      <c r="M8" s="321"/>
      <c r="N8" s="321"/>
      <c r="O8" s="321"/>
      <c r="P8" s="332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22" t="s">
        <v>196</v>
      </c>
      <c r="F9" s="326"/>
      <c r="G9" s="384">
        <f>Parametros!$B$14</f>
        <v>0</v>
      </c>
      <c r="H9" s="383"/>
      <c r="I9" s="383"/>
      <c r="J9" s="383"/>
      <c r="K9" s="383"/>
      <c r="L9" s="321"/>
      <c r="M9" s="321"/>
      <c r="N9" s="321"/>
      <c r="O9" s="321"/>
      <c r="P9" s="283"/>
      <c r="Q9" s="283"/>
      <c r="AA9" s="48"/>
      <c r="AC9" s="48"/>
      <c r="AD9" s="337"/>
      <c r="AE9" s="48"/>
      <c r="AG9" s="48"/>
      <c r="AH9" s="337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3"/>
      <c r="G10" s="2"/>
      <c r="I10" s="2"/>
      <c r="J10" s="3"/>
      <c r="K10" s="2"/>
      <c r="L10" s="3"/>
      <c r="M10" s="8"/>
      <c r="N10" s="8"/>
      <c r="O10" s="8"/>
      <c r="P10" s="332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43">
        <f>SUM($A$15:$A$10000)</f>
        <v>0</v>
      </c>
      <c r="B11" s="159"/>
      <c r="C11" s="159"/>
      <c r="D11" s="159"/>
      <c r="E11" s="214"/>
      <c r="F11" s="238">
        <f>SUM($F$15:$F$10000)</f>
        <v>0</v>
      </c>
      <c r="G11" s="7"/>
      <c r="H11" s="7"/>
      <c r="I11" s="7"/>
      <c r="J11" s="1"/>
      <c r="K11" s="243">
        <f>SUM($K$15:$K$10000)</f>
        <v>0</v>
      </c>
      <c r="L11" s="243">
        <f>SUM($L$15:$L$10000)</f>
        <v>0</v>
      </c>
      <c r="M11" s="8"/>
      <c r="N11" s="8"/>
      <c r="O11" s="8"/>
      <c r="P11" s="8"/>
      <c r="Q11" s="8"/>
      <c r="R11" s="8"/>
      <c r="S11" s="8"/>
      <c r="T11" s="220"/>
      <c r="U11" s="220"/>
      <c r="V11" s="8"/>
      <c r="W11" s="8"/>
      <c r="X11" s="319"/>
      <c r="Y11" s="220"/>
      <c r="Z11" s="220"/>
      <c r="AA11" s="244"/>
      <c r="AB11" s="245"/>
      <c r="AC11" s="245"/>
      <c r="AD11" s="245"/>
      <c r="AE11" s="6"/>
      <c r="AF11" s="6"/>
      <c r="AG11" s="6"/>
      <c r="AH11" s="9"/>
      <c r="AI11" s="285"/>
      <c r="AJ11" s="8"/>
      <c r="AK11" s="10"/>
      <c r="AL11" s="10"/>
      <c r="AM11" s="246"/>
      <c r="AN11" s="10"/>
      <c r="AO11" s="10"/>
      <c r="AP11" s="5"/>
      <c r="AQ11" s="10"/>
      <c r="AR11" s="10"/>
      <c r="AS11" s="10"/>
      <c r="AT11" s="246"/>
      <c r="AU11" s="8"/>
      <c r="AV11" s="8"/>
      <c r="AW11" s="220"/>
      <c r="AX11" s="60"/>
      <c r="AY11" s="220"/>
      <c r="AZ11" s="45"/>
      <c r="BA11" s="220"/>
      <c r="BB11" s="48"/>
    </row>
    <row r="12" spans="1:55" ht="48.75" customHeight="1" x14ac:dyDescent="0.2">
      <c r="A12" s="223"/>
      <c r="B12" s="443" t="s">
        <v>110</v>
      </c>
      <c r="C12" s="443" t="s">
        <v>75</v>
      </c>
      <c r="D12" s="424" t="s">
        <v>197</v>
      </c>
      <c r="E12" s="468" t="s">
        <v>198</v>
      </c>
      <c r="F12" s="427" t="s">
        <v>199</v>
      </c>
      <c r="G12" s="438" t="s">
        <v>200</v>
      </c>
      <c r="H12" s="439"/>
      <c r="I12" s="439"/>
      <c r="J12" s="440"/>
      <c r="K12" s="441" t="s">
        <v>311</v>
      </c>
      <c r="L12" s="442"/>
      <c r="M12" s="432" t="s">
        <v>207</v>
      </c>
      <c r="N12" s="433"/>
      <c r="O12" s="434"/>
      <c r="P12" s="462" t="s">
        <v>211</v>
      </c>
      <c r="Q12" s="462" t="s">
        <v>212</v>
      </c>
      <c r="R12" s="385" t="s">
        <v>213</v>
      </c>
      <c r="S12" s="388" t="s">
        <v>304</v>
      </c>
      <c r="T12" s="432" t="s">
        <v>215</v>
      </c>
      <c r="U12" s="433"/>
      <c r="V12" s="473" t="s">
        <v>52</v>
      </c>
      <c r="W12" s="474"/>
      <c r="X12" s="385" t="s">
        <v>309</v>
      </c>
      <c r="Y12" s="404" t="s">
        <v>35</v>
      </c>
      <c r="Z12" s="405"/>
      <c r="AA12" s="408" t="s">
        <v>36</v>
      </c>
      <c r="AB12" s="408"/>
      <c r="AC12" s="393" t="s">
        <v>285</v>
      </c>
      <c r="AD12" s="394"/>
      <c r="AE12" s="410" t="s">
        <v>219</v>
      </c>
      <c r="AF12" s="411"/>
      <c r="AG12" s="412"/>
      <c r="AH12" s="413"/>
      <c r="AI12" s="420" t="s">
        <v>221</v>
      </c>
      <c r="AJ12" s="420"/>
      <c r="AK12" s="452" t="s">
        <v>134</v>
      </c>
      <c r="AL12" s="456" t="s">
        <v>224</v>
      </c>
      <c r="AM12" s="456"/>
      <c r="AN12" s="457"/>
      <c r="AO12" s="457"/>
      <c r="AP12" s="457"/>
      <c r="AQ12" s="457"/>
      <c r="AR12" s="457"/>
      <c r="AS12" s="457"/>
      <c r="AT12" s="457"/>
      <c r="AU12" s="457"/>
      <c r="AV12" s="458"/>
      <c r="AW12" s="465" t="s">
        <v>235</v>
      </c>
      <c r="AX12" s="400" t="s">
        <v>237</v>
      </c>
      <c r="AY12" s="459" t="s">
        <v>236</v>
      </c>
      <c r="AZ12" s="397" t="s">
        <v>238</v>
      </c>
      <c r="BA12" s="446" t="s">
        <v>239</v>
      </c>
      <c r="BB12" s="449" t="s">
        <v>240</v>
      </c>
    </row>
    <row r="13" spans="1:55" ht="48.75" customHeight="1" x14ac:dyDescent="0.2">
      <c r="A13" s="224"/>
      <c r="B13" s="444"/>
      <c r="C13" s="444" t="s">
        <v>75</v>
      </c>
      <c r="D13" s="425"/>
      <c r="E13" s="469"/>
      <c r="F13" s="428"/>
      <c r="G13" s="435" t="s">
        <v>302</v>
      </c>
      <c r="H13" s="436"/>
      <c r="I13" s="437"/>
      <c r="J13" s="222" t="s">
        <v>303</v>
      </c>
      <c r="K13" s="438" t="s">
        <v>310</v>
      </c>
      <c r="L13" s="440"/>
      <c r="M13" s="422" t="s">
        <v>208</v>
      </c>
      <c r="N13" s="430" t="s">
        <v>209</v>
      </c>
      <c r="O13" s="430" t="s">
        <v>210</v>
      </c>
      <c r="P13" s="463"/>
      <c r="Q13" s="463"/>
      <c r="R13" s="386"/>
      <c r="S13" s="389"/>
      <c r="T13" s="391" t="s">
        <v>214</v>
      </c>
      <c r="U13" s="391" t="s">
        <v>216</v>
      </c>
      <c r="V13" s="391" t="s">
        <v>217</v>
      </c>
      <c r="W13" s="391" t="s">
        <v>218</v>
      </c>
      <c r="X13" s="386"/>
      <c r="Y13" s="406"/>
      <c r="Z13" s="407"/>
      <c r="AA13" s="409"/>
      <c r="AB13" s="409"/>
      <c r="AC13" s="395"/>
      <c r="AD13" s="396"/>
      <c r="AE13" s="414"/>
      <c r="AF13" s="415"/>
      <c r="AG13" s="416"/>
      <c r="AH13" s="417"/>
      <c r="AI13" s="421"/>
      <c r="AJ13" s="421"/>
      <c r="AK13" s="453"/>
      <c r="AL13" s="418" t="s">
        <v>225</v>
      </c>
      <c r="AM13" s="418"/>
      <c r="AN13" s="418"/>
      <c r="AO13" s="418"/>
      <c r="AP13" s="418"/>
      <c r="AQ13" s="418"/>
      <c r="AR13" s="419"/>
      <c r="AS13" s="455" t="s">
        <v>226</v>
      </c>
      <c r="AT13" s="455"/>
      <c r="AU13" s="455"/>
      <c r="AV13" s="455"/>
      <c r="AW13" s="466"/>
      <c r="AX13" s="401"/>
      <c r="AY13" s="460"/>
      <c r="AZ13" s="398"/>
      <c r="BA13" s="447"/>
      <c r="BB13" s="450"/>
    </row>
    <row r="14" spans="1:55" ht="86.25" customHeight="1" x14ac:dyDescent="0.2">
      <c r="A14" s="225" t="s">
        <v>140</v>
      </c>
      <c r="B14" s="445"/>
      <c r="C14" s="445"/>
      <c r="D14" s="426"/>
      <c r="E14" s="470" t="s">
        <v>8</v>
      </c>
      <c r="F14" s="429"/>
      <c r="G14" s="226" t="s">
        <v>201</v>
      </c>
      <c r="H14" s="280" t="s">
        <v>202</v>
      </c>
      <c r="I14" s="280" t="s">
        <v>203</v>
      </c>
      <c r="J14" s="280" t="s">
        <v>204</v>
      </c>
      <c r="K14" s="226" t="s">
        <v>205</v>
      </c>
      <c r="L14" s="226" t="s">
        <v>206</v>
      </c>
      <c r="M14" s="423"/>
      <c r="N14" s="431"/>
      <c r="O14" s="431"/>
      <c r="P14" s="464" t="s">
        <v>37</v>
      </c>
      <c r="Q14" s="464"/>
      <c r="R14" s="387"/>
      <c r="S14" s="390"/>
      <c r="T14" s="392"/>
      <c r="U14" s="392"/>
      <c r="V14" s="392"/>
      <c r="W14" s="392"/>
      <c r="X14" s="387"/>
      <c r="Y14" s="227" t="s">
        <v>38</v>
      </c>
      <c r="Z14" s="227" t="s">
        <v>39</v>
      </c>
      <c r="AA14" s="195" t="s">
        <v>38</v>
      </c>
      <c r="AB14" s="195" t="s">
        <v>39</v>
      </c>
      <c r="AC14" s="320" t="s">
        <v>38</v>
      </c>
      <c r="AD14" s="320" t="s">
        <v>39</v>
      </c>
      <c r="AE14" s="286" t="s">
        <v>40</v>
      </c>
      <c r="AF14" s="471" t="s">
        <v>220</v>
      </c>
      <c r="AG14" s="472"/>
      <c r="AH14" s="286" t="s">
        <v>222</v>
      </c>
      <c r="AI14" s="195" t="s">
        <v>73</v>
      </c>
      <c r="AJ14" s="195" t="s">
        <v>223</v>
      </c>
      <c r="AK14" s="454"/>
      <c r="AL14" s="279" t="s">
        <v>227</v>
      </c>
      <c r="AM14" s="279" t="s">
        <v>228</v>
      </c>
      <c r="AN14" s="403" t="s">
        <v>230</v>
      </c>
      <c r="AO14" s="403"/>
      <c r="AP14" s="277" t="s">
        <v>229</v>
      </c>
      <c r="AQ14" s="277" t="s">
        <v>231</v>
      </c>
      <c r="AR14" s="196" t="s">
        <v>232</v>
      </c>
      <c r="AS14" s="274" t="s">
        <v>233</v>
      </c>
      <c r="AT14" s="278" t="s">
        <v>234</v>
      </c>
      <c r="AU14" s="275" t="s">
        <v>230</v>
      </c>
      <c r="AV14" s="276" t="s">
        <v>229</v>
      </c>
      <c r="AW14" s="467"/>
      <c r="AX14" s="402"/>
      <c r="AY14" s="461"/>
      <c r="AZ14" s="399"/>
      <c r="BA14" s="448"/>
      <c r="BB14" s="451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R12:R14"/>
    <mergeCell ref="S12:S14"/>
    <mergeCell ref="X12:X14"/>
    <mergeCell ref="V13:V14"/>
    <mergeCell ref="W13:W14"/>
    <mergeCell ref="T13:T14"/>
    <mergeCell ref="U13:U14"/>
    <mergeCell ref="G5:K5"/>
    <mergeCell ref="G6:K6"/>
    <mergeCell ref="G7:K7"/>
    <mergeCell ref="G8:K8"/>
    <mergeCell ref="G9:K9"/>
  </mergeCells>
  <phoneticPr fontId="35" type="noConversion"/>
  <conditionalFormatting sqref="F11">
    <cfRule type="cellIs" dxfId="96" priority="700385" operator="equal">
      <formula>0</formula>
    </cfRule>
  </conditionalFormatting>
  <conditionalFormatting sqref="A11">
    <cfRule type="cellIs" dxfId="95" priority="7570" operator="equal">
      <formula>0</formula>
    </cfRule>
  </conditionalFormatting>
  <conditionalFormatting sqref="K11:L11">
    <cfRule type="cellIs" dxfId="94" priority="6552" operator="equal">
      <formula>0</formula>
    </cfRule>
  </conditionalFormatting>
  <conditionalFormatting sqref="L9:O9">
    <cfRule type="cellIs" dxfId="93" priority="1587" operator="equal">
      <formula>0</formula>
    </cfRule>
  </conditionalFormatting>
  <conditionalFormatting sqref="L5:O8">
    <cfRule type="cellIs" dxfId="92" priority="1588" operator="equal">
      <formula>0</formula>
    </cfRule>
  </conditionalFormatting>
  <conditionalFormatting sqref="F9">
    <cfRule type="cellIs" dxfId="91" priority="1440" operator="equal">
      <formula>0</formula>
    </cfRule>
  </conditionalFormatting>
  <conditionalFormatting sqref="F5:F8">
    <cfRule type="cellIs" dxfId="90" priority="1441" operator="equal">
      <formula>0</formula>
    </cfRule>
  </conditionalFormatting>
  <conditionalFormatting sqref="G9:K9">
    <cfRule type="cellIs" dxfId="89" priority="46" operator="equal">
      <formula>0</formula>
    </cfRule>
  </conditionalFormatting>
  <conditionalFormatting sqref="G5:K8">
    <cfRule type="cellIs" dxfId="88" priority="47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4</xdr:col>
                    <xdr:colOff>771525</xdr:colOff>
                    <xdr:row>9</xdr:row>
                    <xdr:rowOff>28575</xdr:rowOff>
                  </from>
                  <to>
                    <xdr:col>6</xdr:col>
                    <xdr:colOff>47625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400050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85725</xdr:colOff>
                    <xdr:row>9</xdr:row>
                    <xdr:rowOff>38100</xdr:rowOff>
                  </from>
                  <to>
                    <xdr:col>8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104775</xdr:colOff>
                    <xdr:row>9</xdr:row>
                    <xdr:rowOff>28575</xdr:rowOff>
                  </from>
                  <to>
                    <xdr:col>7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19050</xdr:rowOff>
                  </from>
                  <to>
                    <xdr:col>9</xdr:col>
                    <xdr:colOff>1047750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95250</xdr:colOff>
                    <xdr:row>9</xdr:row>
                    <xdr:rowOff>9525</xdr:rowOff>
                  </from>
                  <to>
                    <xdr:col>9</xdr:col>
                    <xdr:colOff>133350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561975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200025</xdr:colOff>
                    <xdr:row>3</xdr:row>
                    <xdr:rowOff>180975</xdr:rowOff>
                  </from>
                  <to>
                    <xdr:col>13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152400</xdr:colOff>
                    <xdr:row>8</xdr:row>
                    <xdr:rowOff>76200</xdr:rowOff>
                  </from>
                  <to>
                    <xdr:col>13</xdr:col>
                    <xdr:colOff>542925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409575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9" sqref="C9"/>
    </sheetView>
  </sheetViews>
  <sheetFormatPr defaultColWidth="8" defaultRowHeight="9.75" x14ac:dyDescent="0.15"/>
  <cols>
    <col min="1" max="1" width="0.85546875" style="291" customWidth="1"/>
    <col min="2" max="2" width="14.140625" style="17" customWidth="1"/>
    <col min="3" max="3" width="9.14062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8" width="8.7109375" style="11" customWidth="1"/>
    <col min="9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3" width="10.85546875" style="33" customWidth="1"/>
    <col min="24" max="24" width="11.5703125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9.28515625" style="1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91">
        <v>1</v>
      </c>
      <c r="B1" s="13" t="s">
        <v>107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91">
        <v>1</v>
      </c>
      <c r="B2" s="218" t="s">
        <v>352</v>
      </c>
      <c r="H2" s="20" t="s">
        <v>243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136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91">
        <v>1</v>
      </c>
    </row>
    <row r="4" spans="1:38" ht="29.25" customHeight="1" x14ac:dyDescent="0.2">
      <c r="A4" s="291">
        <v>1</v>
      </c>
      <c r="B4" s="42" t="s">
        <v>242</v>
      </c>
      <c r="C4" s="497">
        <v>0</v>
      </c>
      <c r="D4" s="497"/>
      <c r="E4" s="497"/>
      <c r="F4" s="497"/>
      <c r="G4" s="498"/>
      <c r="H4" s="483" t="s">
        <v>247</v>
      </c>
      <c r="I4" s="484"/>
      <c r="J4" s="271">
        <v>25000</v>
      </c>
      <c r="L4" s="483" t="s">
        <v>3</v>
      </c>
      <c r="M4" s="484"/>
      <c r="N4" s="28">
        <v>0.8</v>
      </c>
      <c r="S4" s="514" t="s">
        <v>253</v>
      </c>
      <c r="T4" s="515"/>
      <c r="X4" s="512" t="s">
        <v>259</v>
      </c>
      <c r="Y4" s="513"/>
      <c r="AB4" s="11"/>
      <c r="AD4" s="254" t="s">
        <v>182</v>
      </c>
      <c r="AE4" s="255"/>
      <c r="AF4" s="256"/>
      <c r="AG4" s="254"/>
      <c r="AH4" s="257"/>
      <c r="AI4" s="257"/>
      <c r="AJ4" s="257"/>
      <c r="AK4" s="258"/>
    </row>
    <row r="5" spans="1:38" ht="42.75" customHeight="1" x14ac:dyDescent="0.15">
      <c r="A5" s="291">
        <v>1</v>
      </c>
      <c r="B5" s="42" t="s">
        <v>241</v>
      </c>
      <c r="C5" s="497">
        <v>0</v>
      </c>
      <c r="D5" s="497"/>
      <c r="E5" s="497"/>
      <c r="F5" s="497"/>
      <c r="G5" s="498"/>
      <c r="H5" s="483" t="s">
        <v>245</v>
      </c>
      <c r="I5" s="484"/>
      <c r="J5" s="271">
        <v>12000</v>
      </c>
      <c r="L5" s="483" t="s">
        <v>248</v>
      </c>
      <c r="M5" s="484"/>
      <c r="N5" s="35">
        <v>0.1</v>
      </c>
      <c r="S5" s="289" t="s">
        <v>254</v>
      </c>
      <c r="T5" s="35">
        <v>5.3024383580935996</v>
      </c>
      <c r="X5" s="50" t="s">
        <v>30</v>
      </c>
      <c r="Y5" s="50" t="s">
        <v>260</v>
      </c>
      <c r="AB5" s="11"/>
      <c r="AD5" s="252"/>
      <c r="AE5" s="253"/>
      <c r="AF5" s="253"/>
      <c r="AG5" s="253"/>
      <c r="AH5" s="260" t="s">
        <v>264</v>
      </c>
      <c r="AI5" s="260"/>
      <c r="AJ5" s="260"/>
      <c r="AK5" s="294" t="s">
        <v>265</v>
      </c>
    </row>
    <row r="6" spans="1:38" ht="42" customHeight="1" x14ac:dyDescent="0.15">
      <c r="A6" s="291">
        <v>1</v>
      </c>
      <c r="B6" s="42" t="s">
        <v>195</v>
      </c>
      <c r="C6" s="497">
        <v>0</v>
      </c>
      <c r="D6" s="497"/>
      <c r="E6" s="497"/>
      <c r="F6" s="497"/>
      <c r="G6" s="498"/>
      <c r="H6" s="483" t="s">
        <v>244</v>
      </c>
      <c r="I6" s="484"/>
      <c r="J6" s="31">
        <v>150</v>
      </c>
      <c r="L6" s="483" t="s">
        <v>249</v>
      </c>
      <c r="M6" s="484"/>
      <c r="N6" s="36">
        <v>0.75</v>
      </c>
      <c r="S6" s="289" t="s">
        <v>255</v>
      </c>
      <c r="T6" s="35">
        <v>2.5451704118849285</v>
      </c>
      <c r="X6" s="50" t="s">
        <v>261</v>
      </c>
      <c r="Y6" s="34">
        <v>4.4999999999999997E-3</v>
      </c>
      <c r="AB6" s="11"/>
      <c r="AD6" s="247"/>
      <c r="AE6" s="248" t="s">
        <v>65</v>
      </c>
      <c r="AF6" s="510" t="s">
        <v>61</v>
      </c>
      <c r="AG6" s="510"/>
      <c r="AH6" s="249">
        <v>420</v>
      </c>
      <c r="AI6" s="249"/>
      <c r="AJ6" s="249"/>
      <c r="AK6" s="250">
        <v>8.7500000000000008E-3</v>
      </c>
    </row>
    <row r="7" spans="1:38" ht="24.95" customHeight="1" x14ac:dyDescent="0.15">
      <c r="A7" s="291">
        <v>1</v>
      </c>
      <c r="B7" s="42" t="s">
        <v>22</v>
      </c>
      <c r="C7" s="352">
        <v>0</v>
      </c>
      <c r="D7" s="352"/>
      <c r="E7" s="352"/>
      <c r="F7" s="352"/>
      <c r="G7" s="353"/>
      <c r="H7" s="483" t="s">
        <v>246</v>
      </c>
      <c r="I7" s="484"/>
      <c r="J7" s="28">
        <v>3.5</v>
      </c>
      <c r="L7" s="483" t="s">
        <v>250</v>
      </c>
      <c r="M7" s="484"/>
      <c r="N7" s="28">
        <v>1.5</v>
      </c>
      <c r="S7" s="514" t="s">
        <v>256</v>
      </c>
      <c r="T7" s="515"/>
      <c r="X7" s="50" t="s">
        <v>262</v>
      </c>
      <c r="Y7" s="34">
        <v>4.0000000000000001E-3</v>
      </c>
      <c r="AB7" s="11"/>
      <c r="AD7" s="251"/>
      <c r="AE7" s="261" t="s">
        <v>383</v>
      </c>
      <c r="AF7" s="511">
        <v>1142.8571428571427</v>
      </c>
      <c r="AG7" s="511"/>
      <c r="AH7" s="259"/>
      <c r="AI7" s="259"/>
      <c r="AJ7" s="259"/>
      <c r="AK7" s="262">
        <v>10</v>
      </c>
    </row>
    <row r="8" spans="1:38" ht="24.95" customHeight="1" x14ac:dyDescent="0.15">
      <c r="A8" s="291">
        <v>1</v>
      </c>
      <c r="B8" s="42" t="s">
        <v>196</v>
      </c>
      <c r="C8" s="496">
        <v>0</v>
      </c>
      <c r="D8" s="497"/>
      <c r="E8" s="497"/>
      <c r="F8" s="497"/>
      <c r="G8" s="498"/>
      <c r="H8" s="483" t="s">
        <v>11</v>
      </c>
      <c r="I8" s="484"/>
      <c r="J8" s="28">
        <v>1.5</v>
      </c>
      <c r="L8" s="483" t="s">
        <v>251</v>
      </c>
      <c r="M8" s="484"/>
      <c r="N8" s="30">
        <v>1</v>
      </c>
      <c r="S8" s="29" t="s">
        <v>257</v>
      </c>
      <c r="T8" s="28">
        <v>0.9</v>
      </c>
      <c r="X8" s="50" t="s">
        <v>263</v>
      </c>
      <c r="Y8" s="34">
        <v>3.5000000000000001E-3</v>
      </c>
      <c r="AB8" s="11"/>
      <c r="AD8" s="507" t="s">
        <v>185</v>
      </c>
      <c r="AE8" s="508"/>
      <c r="AF8" s="508"/>
      <c r="AG8" s="508"/>
      <c r="AH8" s="508"/>
      <c r="AI8" s="508"/>
      <c r="AJ8" s="508"/>
      <c r="AK8" s="509"/>
    </row>
    <row r="9" spans="1:38" ht="23.25" customHeight="1" x14ac:dyDescent="0.15">
      <c r="A9" s="291">
        <v>1</v>
      </c>
      <c r="H9" s="483" t="s">
        <v>12</v>
      </c>
      <c r="I9" s="484"/>
      <c r="J9" s="28">
        <v>1.2</v>
      </c>
      <c r="L9" s="483" t="s">
        <v>252</v>
      </c>
      <c r="M9" s="484"/>
      <c r="N9" s="32">
        <v>150</v>
      </c>
      <c r="S9" s="29" t="s">
        <v>258</v>
      </c>
      <c r="T9" s="28">
        <v>0.65</v>
      </c>
    </row>
    <row r="10" spans="1:38" ht="4.5" customHeight="1" x14ac:dyDescent="0.2">
      <c r="A10" s="291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63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92">
        <v>1</v>
      </c>
      <c r="B11" s="485" t="s">
        <v>198</v>
      </c>
      <c r="C11" s="493" t="s">
        <v>267</v>
      </c>
      <c r="D11" s="478" t="s">
        <v>268</v>
      </c>
      <c r="E11" s="479"/>
      <c r="F11" s="479"/>
      <c r="G11" s="480"/>
      <c r="H11" s="481" t="s">
        <v>274</v>
      </c>
      <c r="I11" s="482"/>
      <c r="J11" s="478" t="s">
        <v>276</v>
      </c>
      <c r="K11" s="479"/>
      <c r="L11" s="480"/>
      <c r="M11" s="481" t="s">
        <v>280</v>
      </c>
      <c r="N11" s="482"/>
      <c r="O11" s="481" t="s">
        <v>283</v>
      </c>
      <c r="P11" s="482"/>
      <c r="Q11" s="505" t="s">
        <v>284</v>
      </c>
      <c r="R11" s="506"/>
      <c r="S11" s="481" t="s">
        <v>15</v>
      </c>
      <c r="T11" s="482"/>
      <c r="U11" s="505" t="s">
        <v>124</v>
      </c>
      <c r="V11" s="506"/>
      <c r="W11" s="481" t="s">
        <v>288</v>
      </c>
      <c r="X11" s="482"/>
      <c r="Y11" s="475" t="s">
        <v>290</v>
      </c>
      <c r="Z11" s="502" t="s">
        <v>56</v>
      </c>
      <c r="AA11" s="481" t="s">
        <v>291</v>
      </c>
      <c r="AB11" s="488"/>
      <c r="AC11" s="488"/>
      <c r="AD11" s="488"/>
      <c r="AE11" s="488"/>
      <c r="AF11" s="488"/>
      <c r="AG11" s="488"/>
      <c r="AH11" s="482"/>
      <c r="AI11" s="475" t="s">
        <v>299</v>
      </c>
      <c r="AJ11" s="475" t="s">
        <v>300</v>
      </c>
      <c r="AK11" s="499" t="s">
        <v>301</v>
      </c>
    </row>
    <row r="12" spans="1:38" s="38" customFormat="1" ht="32.25" customHeight="1" x14ac:dyDescent="0.15">
      <c r="A12" s="292">
        <v>1</v>
      </c>
      <c r="B12" s="486"/>
      <c r="C12" s="494"/>
      <c r="D12" s="481" t="s">
        <v>269</v>
      </c>
      <c r="E12" s="488"/>
      <c r="F12" s="482"/>
      <c r="G12" s="475" t="s">
        <v>273</v>
      </c>
      <c r="H12" s="489" t="s">
        <v>275</v>
      </c>
      <c r="I12" s="490"/>
      <c r="J12" s="475" t="s">
        <v>277</v>
      </c>
      <c r="K12" s="475" t="s">
        <v>278</v>
      </c>
      <c r="L12" s="475" t="s">
        <v>279</v>
      </c>
      <c r="M12" s="475" t="s">
        <v>281</v>
      </c>
      <c r="N12" s="475" t="s">
        <v>282</v>
      </c>
      <c r="O12" s="475" t="s">
        <v>281</v>
      </c>
      <c r="P12" s="475" t="s">
        <v>282</v>
      </c>
      <c r="Q12" s="475" t="s">
        <v>281</v>
      </c>
      <c r="R12" s="475" t="s">
        <v>282</v>
      </c>
      <c r="S12" s="475" t="s">
        <v>286</v>
      </c>
      <c r="T12" s="475" t="s">
        <v>287</v>
      </c>
      <c r="U12" s="475" t="s">
        <v>138</v>
      </c>
      <c r="V12" s="475" t="s">
        <v>137</v>
      </c>
      <c r="W12" s="475" t="s">
        <v>57</v>
      </c>
      <c r="X12" s="475" t="s">
        <v>289</v>
      </c>
      <c r="Y12" s="476"/>
      <c r="Z12" s="503"/>
      <c r="AA12" s="481" t="s">
        <v>292</v>
      </c>
      <c r="AB12" s="488"/>
      <c r="AC12" s="488"/>
      <c r="AD12" s="488"/>
      <c r="AE12" s="482"/>
      <c r="AF12" s="481" t="s">
        <v>293</v>
      </c>
      <c r="AG12" s="488"/>
      <c r="AH12" s="482"/>
      <c r="AI12" s="476"/>
      <c r="AJ12" s="476"/>
      <c r="AK12" s="500"/>
      <c r="AL12" s="41"/>
    </row>
    <row r="13" spans="1:38" s="38" customFormat="1" ht="48" customHeight="1" x14ac:dyDescent="0.15">
      <c r="A13" s="292">
        <v>1</v>
      </c>
      <c r="B13" s="486"/>
      <c r="C13" s="495"/>
      <c r="D13" s="54" t="s">
        <v>270</v>
      </c>
      <c r="E13" s="318" t="s">
        <v>271</v>
      </c>
      <c r="F13" s="318" t="s">
        <v>272</v>
      </c>
      <c r="G13" s="477"/>
      <c r="H13" s="491"/>
      <c r="I13" s="492"/>
      <c r="J13" s="477"/>
      <c r="K13" s="477"/>
      <c r="L13" s="477"/>
      <c r="M13" s="477"/>
      <c r="N13" s="477"/>
      <c r="O13" s="477"/>
      <c r="P13" s="477"/>
      <c r="Q13" s="477"/>
      <c r="R13" s="477"/>
      <c r="S13" s="477"/>
      <c r="T13" s="477"/>
      <c r="U13" s="477"/>
      <c r="V13" s="477"/>
      <c r="W13" s="477"/>
      <c r="X13" s="477"/>
      <c r="Y13" s="477"/>
      <c r="Z13" s="504"/>
      <c r="AA13" s="54" t="s">
        <v>294</v>
      </c>
      <c r="AB13" s="54" t="s">
        <v>295</v>
      </c>
      <c r="AC13" s="264" t="s">
        <v>139</v>
      </c>
      <c r="AD13" s="52" t="s">
        <v>41</v>
      </c>
      <c r="AE13" s="52" t="s">
        <v>42</v>
      </c>
      <c r="AF13" s="52" t="s">
        <v>296</v>
      </c>
      <c r="AG13" s="54" t="s">
        <v>297</v>
      </c>
      <c r="AH13" s="52" t="s">
        <v>298</v>
      </c>
      <c r="AI13" s="476"/>
      <c r="AJ13" s="476"/>
      <c r="AK13" s="500"/>
    </row>
    <row r="14" spans="1:38" s="38" customFormat="1" ht="33" customHeight="1" x14ac:dyDescent="0.15">
      <c r="A14" s="292">
        <v>1</v>
      </c>
      <c r="B14" s="487"/>
      <c r="C14" s="290" t="s">
        <v>9</v>
      </c>
      <c r="D14" s="290" t="s">
        <v>25</v>
      </c>
      <c r="E14" s="290" t="s">
        <v>25</v>
      </c>
      <c r="F14" s="290" t="s">
        <v>25</v>
      </c>
      <c r="G14" s="290" t="s">
        <v>25</v>
      </c>
      <c r="H14" s="290" t="s">
        <v>66</v>
      </c>
      <c r="I14" s="290" t="s">
        <v>67</v>
      </c>
      <c r="J14" s="290" t="s">
        <v>17</v>
      </c>
      <c r="K14" s="290" t="s">
        <v>17</v>
      </c>
      <c r="L14" s="290" t="s">
        <v>17</v>
      </c>
      <c r="M14" s="290" t="s">
        <v>9</v>
      </c>
      <c r="N14" s="290" t="s">
        <v>9</v>
      </c>
      <c r="O14" s="290" t="s">
        <v>9</v>
      </c>
      <c r="P14" s="290" t="s">
        <v>9</v>
      </c>
      <c r="Q14" s="290" t="s">
        <v>9</v>
      </c>
      <c r="R14" s="290" t="s">
        <v>9</v>
      </c>
      <c r="S14" s="290" t="s">
        <v>9</v>
      </c>
      <c r="T14" s="290" t="s">
        <v>9</v>
      </c>
      <c r="U14" s="290" t="s">
        <v>9</v>
      </c>
      <c r="V14" s="290" t="s">
        <v>9</v>
      </c>
      <c r="W14" s="290" t="s">
        <v>18</v>
      </c>
      <c r="X14" s="290" t="s">
        <v>18</v>
      </c>
      <c r="Y14" s="290" t="s">
        <v>10</v>
      </c>
      <c r="Z14" s="290" t="s">
        <v>7</v>
      </c>
      <c r="AA14" s="290" t="s">
        <v>17</v>
      </c>
      <c r="AB14" s="290" t="s">
        <v>19</v>
      </c>
      <c r="AC14" s="290" t="s">
        <v>20</v>
      </c>
      <c r="AD14" s="290" t="s">
        <v>21</v>
      </c>
      <c r="AE14" s="290" t="s">
        <v>21</v>
      </c>
      <c r="AF14" s="290" t="s">
        <v>17</v>
      </c>
      <c r="AG14" s="290" t="s">
        <v>19</v>
      </c>
      <c r="AH14" s="290" t="s">
        <v>20</v>
      </c>
      <c r="AI14" s="477"/>
      <c r="AJ14" s="477"/>
      <c r="AK14" s="501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</mergeCells>
  <phoneticPr fontId="49" type="noConversion"/>
  <conditionalFormatting sqref="AF6 AK7 AH6:AK6">
    <cfRule type="cellIs" dxfId="87" priority="61907" operator="equal">
      <formula>0</formula>
    </cfRule>
  </conditionalFormatting>
  <conditionalFormatting sqref="C4:G6">
    <cfRule type="cellIs" dxfId="86" priority="383" operator="equal">
      <formula>0</formula>
    </cfRule>
  </conditionalFormatting>
  <conditionalFormatting sqref="C7:G8">
    <cfRule type="cellIs" dxfId="85" priority="382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ara_AbaINICIO">
                <anchor>
                  <from>
                    <xdr:col>1</xdr:col>
                    <xdr:colOff>57150</xdr:colOff>
                    <xdr:row>7</xdr:row>
                    <xdr:rowOff>257175</xdr:rowOff>
                  </from>
                  <to>
                    <xdr:col>1</xdr:col>
                    <xdr:colOff>876300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Limpar_RB_Print" altText="Limpar RB_print">
                <anchor>
                  <from>
                    <xdr:col>5</xdr:col>
                    <xdr:colOff>314325</xdr:colOff>
                    <xdr:row>7</xdr:row>
                    <xdr:rowOff>171450</xdr:rowOff>
                  </from>
                  <to>
                    <xdr:col>6</xdr:col>
                    <xdr:colOff>838200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Gerar_RB_Print" altText="Gerar Planilha de Impressão">
                <anchor>
                  <from>
                    <xdr:col>3</xdr:col>
                    <xdr:colOff>600075</xdr:colOff>
                    <xdr:row>7</xdr:row>
                    <xdr:rowOff>180975</xdr:rowOff>
                  </from>
                  <to>
                    <xdr:col>5</xdr:col>
                    <xdr:colOff>314325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76</v>
      </c>
      <c r="B1" t="s">
        <v>79</v>
      </c>
      <c r="C1" t="s">
        <v>82</v>
      </c>
      <c r="D1" t="s">
        <v>80</v>
      </c>
      <c r="E1" s="217" t="s">
        <v>81</v>
      </c>
      <c r="F1" s="109" t="s">
        <v>120</v>
      </c>
      <c r="G1" t="s">
        <v>133</v>
      </c>
    </row>
    <row r="2" spans="1:7" s="109" customFormat="1" x14ac:dyDescent="0.2">
      <c r="A2" s="198"/>
      <c r="B2"/>
      <c r="C2" s="206"/>
      <c r="D2" s="206"/>
      <c r="F2" s="206"/>
      <c r="G2" s="206"/>
    </row>
    <row r="3" spans="1:7" s="109" customFormat="1" x14ac:dyDescent="0.2">
      <c r="A3" s="198"/>
      <c r="B3"/>
      <c r="C3" s="206"/>
      <c r="D3" s="206"/>
      <c r="F3" s="206"/>
      <c r="G3" s="206"/>
    </row>
    <row r="4" spans="1:7" s="109" customFormat="1" x14ac:dyDescent="0.2">
      <c r="A4" s="198"/>
      <c r="B4"/>
      <c r="C4" s="206"/>
      <c r="D4" s="206"/>
      <c r="F4" s="206"/>
      <c r="G4" s="206"/>
    </row>
    <row r="5" spans="1:7" s="109" customFormat="1" x14ac:dyDescent="0.2">
      <c r="A5" s="198"/>
      <c r="B5"/>
      <c r="C5" s="206"/>
      <c r="D5" s="206"/>
      <c r="F5" s="206"/>
      <c r="G5" s="206"/>
    </row>
    <row r="6" spans="1:7" s="109" customFormat="1" x14ac:dyDescent="0.2">
      <c r="A6" s="198"/>
      <c r="B6"/>
      <c r="C6" s="206"/>
      <c r="D6" s="206"/>
      <c r="F6" s="206"/>
      <c r="G6" s="206"/>
    </row>
    <row r="7" spans="1:7" s="109" customFormat="1" x14ac:dyDescent="0.2">
      <c r="A7" s="198"/>
      <c r="B7"/>
      <c r="C7" s="206"/>
      <c r="D7" s="206"/>
      <c r="F7" s="206"/>
      <c r="G7" s="206"/>
    </row>
    <row r="8" spans="1:7" s="109" customFormat="1" x14ac:dyDescent="0.2">
      <c r="A8" s="198"/>
      <c r="B8"/>
      <c r="C8" s="206"/>
      <c r="D8" s="206"/>
      <c r="F8" s="206"/>
      <c r="G8" s="206"/>
    </row>
    <row r="9" spans="1:7" s="109" customFormat="1" x14ac:dyDescent="0.2">
      <c r="A9" s="198"/>
      <c r="B9"/>
      <c r="C9" s="206"/>
      <c r="D9" s="206"/>
      <c r="F9" s="206"/>
      <c r="G9" s="206"/>
    </row>
    <row r="10" spans="1:7" s="109" customFormat="1" x14ac:dyDescent="0.2">
      <c r="A10" s="198"/>
      <c r="B10"/>
      <c r="C10" s="206"/>
      <c r="D10" s="206"/>
      <c r="F10" s="206"/>
      <c r="G10" s="206"/>
    </row>
    <row r="11" spans="1:7" s="109" customFormat="1" x14ac:dyDescent="0.2">
      <c r="A11" s="198"/>
      <c r="B11"/>
      <c r="C11" s="206"/>
      <c r="D11" s="206"/>
      <c r="F11" s="206"/>
      <c r="G11" s="206"/>
    </row>
    <row r="12" spans="1:7" s="109" customFormat="1" x14ac:dyDescent="0.2">
      <c r="A12" s="198"/>
      <c r="B12"/>
      <c r="C12" s="206"/>
      <c r="D12" s="206"/>
      <c r="F12" s="206"/>
      <c r="G12" s="206"/>
    </row>
    <row r="13" spans="1:7" s="109" customFormat="1" x14ac:dyDescent="0.2">
      <c r="A13" s="198"/>
      <c r="B13"/>
      <c r="C13" s="206"/>
      <c r="D13" s="206"/>
      <c r="F13" s="206"/>
      <c r="G13" s="206"/>
    </row>
    <row r="14" spans="1:7" s="109" customFormat="1" x14ac:dyDescent="0.2">
      <c r="A14" s="198"/>
      <c r="B14"/>
      <c r="C14" s="206"/>
      <c r="D14" s="206"/>
      <c r="F14" s="206"/>
      <c r="G14" s="206"/>
    </row>
    <row r="15" spans="1:7" s="109" customFormat="1" x14ac:dyDescent="0.2">
      <c r="A15" s="198"/>
      <c r="B15"/>
      <c r="C15" s="206"/>
      <c r="D15" s="206"/>
      <c r="F15" s="206"/>
      <c r="G15" s="206"/>
    </row>
    <row r="16" spans="1:7" s="109" customFormat="1" x14ac:dyDescent="0.2">
      <c r="A16" s="198"/>
      <c r="B16"/>
      <c r="C16" s="206"/>
      <c r="D16" s="206"/>
      <c r="F16" s="206"/>
      <c r="G16" s="206"/>
    </row>
    <row r="17" spans="1:7" s="109" customFormat="1" x14ac:dyDescent="0.2">
      <c r="A17" s="198"/>
      <c r="B17"/>
      <c r="C17" s="206"/>
      <c r="D17" s="206"/>
      <c r="F17" s="206"/>
      <c r="G17" s="206"/>
    </row>
    <row r="18" spans="1:7" s="109" customFormat="1" x14ac:dyDescent="0.2">
      <c r="A18" s="198"/>
      <c r="B18"/>
      <c r="C18" s="206"/>
      <c r="D18" s="206"/>
      <c r="F18" s="206"/>
      <c r="G18" s="206"/>
    </row>
    <row r="19" spans="1:7" s="109" customFormat="1" x14ac:dyDescent="0.2">
      <c r="A19" s="198"/>
      <c r="B19"/>
      <c r="C19" s="206"/>
      <c r="D19" s="206"/>
      <c r="F19" s="206"/>
      <c r="G19" s="206"/>
    </row>
    <row r="20" spans="1:7" s="109" customFormat="1" x14ac:dyDescent="0.2">
      <c r="A20" s="198"/>
      <c r="B20"/>
      <c r="C20" s="206"/>
      <c r="D20" s="206"/>
      <c r="F20" s="206"/>
      <c r="G20" s="206"/>
    </row>
    <row r="21" spans="1:7" s="109" customFormat="1" x14ac:dyDescent="0.2">
      <c r="A21" s="198"/>
      <c r="B21"/>
      <c r="C21" s="206"/>
      <c r="D21" s="206"/>
      <c r="F21" s="206"/>
      <c r="G21" s="206"/>
    </row>
    <row r="22" spans="1:7" s="109" customFormat="1" x14ac:dyDescent="0.2">
      <c r="A22" s="198"/>
      <c r="B22"/>
      <c r="C22" s="206"/>
      <c r="D22" s="206"/>
      <c r="F22" s="206"/>
      <c r="G22" s="206"/>
    </row>
    <row r="23" spans="1:7" s="109" customFormat="1" x14ac:dyDescent="0.2">
      <c r="A23" s="198"/>
      <c r="B23"/>
      <c r="C23" s="206"/>
      <c r="D23" s="206"/>
      <c r="F23" s="206"/>
      <c r="G23" s="206"/>
    </row>
    <row r="24" spans="1:7" s="109" customFormat="1" x14ac:dyDescent="0.2">
      <c r="A24" s="198"/>
      <c r="B24"/>
      <c r="C24" s="206"/>
      <c r="D24" s="206"/>
      <c r="F24" s="206"/>
      <c r="G24" s="206"/>
    </row>
    <row r="25" spans="1:7" s="109" customFormat="1" x14ac:dyDescent="0.2">
      <c r="A25" s="198"/>
      <c r="B25"/>
      <c r="C25" s="206"/>
      <c r="D25" s="206"/>
      <c r="F25" s="206"/>
      <c r="G25" s="206"/>
    </row>
    <row r="26" spans="1:7" s="109" customFormat="1" x14ac:dyDescent="0.2">
      <c r="A26" s="198"/>
      <c r="B26"/>
      <c r="C26" s="206"/>
      <c r="D26" s="206"/>
      <c r="F26" s="206"/>
      <c r="G26" s="206"/>
    </row>
    <row r="27" spans="1:7" s="109" customFormat="1" x14ac:dyDescent="0.2">
      <c r="A27" s="198"/>
      <c r="B27"/>
      <c r="C27" s="206"/>
      <c r="D27" s="206"/>
      <c r="F27" s="206"/>
      <c r="G27" s="206"/>
    </row>
    <row r="28" spans="1:7" s="109" customFormat="1" x14ac:dyDescent="0.2">
      <c r="A28" s="198"/>
      <c r="B28"/>
      <c r="C28" s="206"/>
      <c r="D28" s="206"/>
      <c r="F28" s="206"/>
      <c r="G28" s="206"/>
    </row>
    <row r="29" spans="1:7" s="109" customFormat="1" x14ac:dyDescent="0.2">
      <c r="A29" s="198"/>
      <c r="B29"/>
      <c r="C29" s="206"/>
      <c r="D29" s="206"/>
      <c r="F29" s="206"/>
      <c r="G29" s="206"/>
    </row>
    <row r="30" spans="1:7" s="109" customFormat="1" x14ac:dyDescent="0.2">
      <c r="A30" s="198"/>
      <c r="B30"/>
      <c r="C30" s="206"/>
      <c r="D30" s="206"/>
      <c r="F30" s="206"/>
      <c r="G30" s="206"/>
    </row>
    <row r="31" spans="1:7" s="109" customFormat="1" x14ac:dyDescent="0.2">
      <c r="A31" s="198"/>
      <c r="B31"/>
      <c r="C31" s="206"/>
      <c r="D31" s="206"/>
      <c r="F31" s="206"/>
      <c r="G31" s="206"/>
    </row>
    <row r="32" spans="1:7" s="109" customFormat="1" x14ac:dyDescent="0.2">
      <c r="A32" s="198"/>
      <c r="B32"/>
      <c r="C32" s="206"/>
      <c r="D32" s="206"/>
      <c r="F32" s="206"/>
      <c r="G32" s="206"/>
    </row>
    <row r="33" spans="1:7" s="109" customFormat="1" x14ac:dyDescent="0.2">
      <c r="A33" s="198"/>
      <c r="B33"/>
      <c r="C33" s="206"/>
      <c r="D33" s="206"/>
      <c r="F33" s="206"/>
      <c r="G33" s="206"/>
    </row>
    <row r="34" spans="1:7" s="109" customFormat="1" x14ac:dyDescent="0.2">
      <c r="A34" s="198"/>
      <c r="B34"/>
      <c r="C34" s="206"/>
      <c r="D34" s="206"/>
      <c r="F34" s="206"/>
      <c r="G34" s="206"/>
    </row>
    <row r="35" spans="1:7" s="109" customFormat="1" x14ac:dyDescent="0.2">
      <c r="A35" s="198"/>
      <c r="B35"/>
      <c r="C35" s="206"/>
      <c r="D35" s="206"/>
      <c r="F35" s="206"/>
      <c r="G35" s="206"/>
    </row>
    <row r="36" spans="1:7" s="109" customFormat="1" x14ac:dyDescent="0.2">
      <c r="A36" s="198"/>
      <c r="B36"/>
      <c r="C36" s="206"/>
      <c r="D36" s="206"/>
      <c r="F36" s="206"/>
      <c r="G36" s="206"/>
    </row>
    <row r="37" spans="1:7" s="109" customFormat="1" x14ac:dyDescent="0.2">
      <c r="A37" s="198"/>
      <c r="B37"/>
      <c r="C37" s="206"/>
      <c r="D37" s="206"/>
      <c r="F37" s="206"/>
      <c r="G37" s="206"/>
    </row>
    <row r="38" spans="1:7" s="109" customFormat="1" x14ac:dyDescent="0.2">
      <c r="A38" s="198"/>
      <c r="B38"/>
      <c r="C38" s="206"/>
      <c r="D38" s="206"/>
      <c r="F38" s="206"/>
      <c r="G38" s="206"/>
    </row>
    <row r="39" spans="1:7" s="109" customFormat="1" x14ac:dyDescent="0.2">
      <c r="A39" s="198"/>
      <c r="B39"/>
      <c r="C39" s="206"/>
      <c r="D39" s="206"/>
      <c r="F39" s="206"/>
      <c r="G39" s="206"/>
    </row>
    <row r="40" spans="1:7" s="109" customFormat="1" x14ac:dyDescent="0.2">
      <c r="A40" s="198"/>
      <c r="B40"/>
      <c r="C40" s="206"/>
      <c r="D40" s="206"/>
      <c r="F40" s="206"/>
      <c r="G40" s="206"/>
    </row>
    <row r="41" spans="1:7" s="109" customFormat="1" x14ac:dyDescent="0.2">
      <c r="A41" s="198"/>
      <c r="B41"/>
      <c r="C41" s="206"/>
      <c r="D41" s="206"/>
      <c r="F41" s="206"/>
      <c r="G41" s="206"/>
    </row>
    <row r="42" spans="1:7" s="109" customFormat="1" x14ac:dyDescent="0.2">
      <c r="A42" s="198"/>
      <c r="B42"/>
      <c r="C42" s="206"/>
      <c r="D42" s="206"/>
      <c r="F42" s="206"/>
      <c r="G42" s="206"/>
    </row>
    <row r="43" spans="1:7" s="109" customFormat="1" x14ac:dyDescent="0.2">
      <c r="A43" s="198"/>
      <c r="B43"/>
      <c r="C43" s="206"/>
      <c r="D43" s="206"/>
      <c r="F43" s="206"/>
      <c r="G43" s="206"/>
    </row>
    <row r="44" spans="1:7" s="109" customFormat="1" x14ac:dyDescent="0.2">
      <c r="A44" s="198"/>
      <c r="B44"/>
      <c r="C44" s="206"/>
      <c r="D44" s="206"/>
      <c r="F44" s="206"/>
      <c r="G44" s="206"/>
    </row>
    <row r="45" spans="1:7" s="109" customFormat="1" x14ac:dyDescent="0.2">
      <c r="A45" s="198"/>
      <c r="B45"/>
      <c r="C45" s="206"/>
      <c r="D45" s="206"/>
      <c r="F45" s="206"/>
      <c r="G45" s="206"/>
    </row>
    <row r="46" spans="1:7" s="109" customFormat="1" x14ac:dyDescent="0.2">
      <c r="A46" s="198"/>
      <c r="B46"/>
      <c r="C46" s="206"/>
      <c r="D46" s="206"/>
      <c r="F46" s="206"/>
      <c r="G46" s="206"/>
    </row>
    <row r="47" spans="1:7" s="109" customFormat="1" x14ac:dyDescent="0.2">
      <c r="A47" s="198"/>
      <c r="B47"/>
      <c r="C47" s="206"/>
      <c r="D47" s="206"/>
      <c r="F47" s="206"/>
      <c r="G47" s="206"/>
    </row>
    <row r="48" spans="1:7" s="109" customFormat="1" x14ac:dyDescent="0.2">
      <c r="A48" s="198"/>
      <c r="B48"/>
      <c r="C48" s="206"/>
      <c r="D48" s="206"/>
      <c r="F48" s="206"/>
      <c r="G48" s="206"/>
    </row>
    <row r="49" spans="1:7" s="109" customFormat="1" x14ac:dyDescent="0.2">
      <c r="A49" s="198"/>
      <c r="B49"/>
      <c r="C49" s="206"/>
      <c r="D49" s="206"/>
      <c r="F49" s="206"/>
      <c r="G49" s="206"/>
    </row>
    <row r="50" spans="1:7" s="109" customFormat="1" x14ac:dyDescent="0.2">
      <c r="A50" s="198"/>
      <c r="B50"/>
      <c r="C50" s="206"/>
      <c r="D50" s="206"/>
      <c r="F50" s="206"/>
      <c r="G50" s="206"/>
    </row>
    <row r="51" spans="1:7" s="109" customFormat="1" x14ac:dyDescent="0.2">
      <c r="A51" s="198"/>
      <c r="B51"/>
      <c r="C51" s="206"/>
      <c r="D51" s="206"/>
      <c r="F51" s="206"/>
      <c r="G51" s="206"/>
    </row>
    <row r="52" spans="1:7" s="109" customFormat="1" x14ac:dyDescent="0.2">
      <c r="A52" s="198"/>
      <c r="B52"/>
      <c r="C52" s="206"/>
      <c r="D52" s="206"/>
      <c r="F52" s="206"/>
      <c r="G52" s="206"/>
    </row>
    <row r="53" spans="1:7" s="109" customFormat="1" x14ac:dyDescent="0.2">
      <c r="A53" s="198"/>
      <c r="B53"/>
      <c r="C53" s="206"/>
      <c r="D53" s="206"/>
      <c r="F53" s="206"/>
      <c r="G53" s="206"/>
    </row>
    <row r="54" spans="1:7" s="109" customFormat="1" x14ac:dyDescent="0.2">
      <c r="A54" s="198"/>
      <c r="B54"/>
      <c r="C54" s="206"/>
      <c r="D54" s="206"/>
      <c r="F54" s="206"/>
      <c r="G54" s="206"/>
    </row>
    <row r="55" spans="1:7" s="109" customFormat="1" x14ac:dyDescent="0.2">
      <c r="A55" s="198"/>
      <c r="B55"/>
      <c r="C55" s="206"/>
      <c r="D55" s="206"/>
      <c r="F55" s="206"/>
      <c r="G55" s="206"/>
    </row>
    <row r="56" spans="1:7" s="109" customFormat="1" x14ac:dyDescent="0.2">
      <c r="A56" s="198"/>
      <c r="B56"/>
      <c r="C56" s="206"/>
      <c r="D56" s="206"/>
      <c r="F56" s="206"/>
      <c r="G56" s="206"/>
    </row>
    <row r="57" spans="1:7" s="109" customFormat="1" x14ac:dyDescent="0.2">
      <c r="A57" s="198"/>
      <c r="B57"/>
      <c r="C57" s="206"/>
      <c r="D57" s="206"/>
      <c r="F57" s="206"/>
      <c r="G57" s="206"/>
    </row>
    <row r="58" spans="1:7" s="109" customFormat="1" x14ac:dyDescent="0.2">
      <c r="A58" s="198"/>
      <c r="B58"/>
      <c r="C58" s="206"/>
      <c r="D58" s="206"/>
      <c r="F58" s="206"/>
      <c r="G58" s="206"/>
    </row>
    <row r="59" spans="1:7" s="109" customFormat="1" x14ac:dyDescent="0.2">
      <c r="A59" s="198"/>
      <c r="B59"/>
      <c r="C59" s="206"/>
      <c r="D59" s="206"/>
      <c r="F59" s="206"/>
      <c r="G59" s="206"/>
    </row>
    <row r="60" spans="1:7" s="109" customFormat="1" x14ac:dyDescent="0.2">
      <c r="A60" s="198"/>
      <c r="B60"/>
      <c r="C60" s="206"/>
      <c r="D60" s="206"/>
      <c r="F60" s="206"/>
      <c r="G60" s="206"/>
    </row>
    <row r="61" spans="1:7" s="109" customFormat="1" x14ac:dyDescent="0.2">
      <c r="A61" s="198"/>
      <c r="B61"/>
      <c r="C61" s="206"/>
      <c r="D61" s="206"/>
      <c r="F61" s="206"/>
      <c r="G61" s="206"/>
    </row>
    <row r="62" spans="1:7" s="109" customFormat="1" x14ac:dyDescent="0.2">
      <c r="A62" s="198"/>
      <c r="B62"/>
      <c r="C62" s="206"/>
      <c r="D62" s="206"/>
      <c r="F62" s="206"/>
      <c r="G62" s="206"/>
    </row>
    <row r="63" spans="1:7" s="109" customFormat="1" x14ac:dyDescent="0.2">
      <c r="A63" s="198"/>
      <c r="B63"/>
      <c r="C63" s="206"/>
      <c r="D63" s="206"/>
      <c r="F63" s="206"/>
      <c r="G63" s="206"/>
    </row>
    <row r="64" spans="1:7" s="109" customFormat="1" x14ac:dyDescent="0.2">
      <c r="A64" s="198"/>
      <c r="B64"/>
      <c r="C64" s="206"/>
      <c r="D64" s="206"/>
      <c r="F64" s="206"/>
      <c r="G64" s="206"/>
    </row>
    <row r="65" spans="1:7" s="109" customFormat="1" x14ac:dyDescent="0.2">
      <c r="A65" s="198"/>
      <c r="B65"/>
      <c r="C65" s="206"/>
      <c r="D65" s="206"/>
      <c r="F65" s="206"/>
      <c r="G65" s="206"/>
    </row>
    <row r="66" spans="1:7" s="109" customFormat="1" x14ac:dyDescent="0.2">
      <c r="A66" s="198"/>
      <c r="B66"/>
      <c r="C66" s="206"/>
      <c r="D66" s="206"/>
      <c r="F66" s="206"/>
      <c r="G66" s="206"/>
    </row>
    <row r="67" spans="1:7" s="109" customFormat="1" x14ac:dyDescent="0.2">
      <c r="A67" s="198"/>
      <c r="B67"/>
      <c r="C67" s="206"/>
      <c r="D67" s="206"/>
      <c r="F67" s="206"/>
      <c r="G67" s="206"/>
    </row>
    <row r="68" spans="1:7" s="109" customFormat="1" x14ac:dyDescent="0.2">
      <c r="A68" s="198"/>
      <c r="B68"/>
      <c r="C68" s="206"/>
      <c r="D68" s="206"/>
      <c r="F68" s="206"/>
      <c r="G68" s="206"/>
    </row>
    <row r="69" spans="1:7" s="109" customFormat="1" x14ac:dyDescent="0.2">
      <c r="A69" s="198"/>
      <c r="B69"/>
      <c r="C69" s="206"/>
      <c r="D69" s="206"/>
      <c r="F69" s="206"/>
      <c r="G69" s="206"/>
    </row>
    <row r="70" spans="1:7" s="109" customFormat="1" x14ac:dyDescent="0.2">
      <c r="A70" s="198"/>
      <c r="B70"/>
      <c r="C70" s="206"/>
      <c r="D70" s="206"/>
      <c r="F70" s="206"/>
      <c r="G70" s="206"/>
    </row>
    <row r="71" spans="1:7" s="109" customFormat="1" x14ac:dyDescent="0.2">
      <c r="A71" s="198"/>
      <c r="B71"/>
      <c r="C71" s="206"/>
      <c r="D71" s="206"/>
      <c r="F71" s="206"/>
      <c r="G71" s="206"/>
    </row>
    <row r="72" spans="1:7" s="109" customFormat="1" x14ac:dyDescent="0.2">
      <c r="A72" s="198"/>
      <c r="B72"/>
      <c r="C72" s="206"/>
      <c r="D72" s="206"/>
      <c r="F72" s="206"/>
      <c r="G72" s="206"/>
    </row>
    <row r="73" spans="1:7" s="109" customFormat="1" x14ac:dyDescent="0.2">
      <c r="A73" s="198"/>
      <c r="B73"/>
      <c r="C73" s="206"/>
      <c r="D73" s="206"/>
      <c r="F73" s="206"/>
      <c r="G73" s="206"/>
    </row>
    <row r="74" spans="1:7" s="109" customFormat="1" x14ac:dyDescent="0.2">
      <c r="A74" s="198"/>
      <c r="B74"/>
      <c r="C74" s="206"/>
      <c r="D74" s="206"/>
      <c r="F74" s="206"/>
      <c r="G74" s="206"/>
    </row>
    <row r="75" spans="1:7" s="109" customFormat="1" x14ac:dyDescent="0.2">
      <c r="A75" s="198"/>
      <c r="B75"/>
      <c r="C75" s="206"/>
      <c r="D75" s="206"/>
      <c r="F75" s="206"/>
      <c r="G75" s="206"/>
    </row>
    <row r="76" spans="1:7" s="109" customFormat="1" x14ac:dyDescent="0.2">
      <c r="A76" s="198"/>
      <c r="B76"/>
      <c r="C76" s="206"/>
      <c r="D76" s="206"/>
      <c r="F76" s="206"/>
      <c r="G76" s="206"/>
    </row>
    <row r="77" spans="1:7" s="109" customFormat="1" x14ac:dyDescent="0.2">
      <c r="A77" s="198"/>
      <c r="B77"/>
      <c r="C77" s="206"/>
      <c r="D77" s="206"/>
      <c r="F77" s="206"/>
      <c r="G77" s="206"/>
    </row>
    <row r="78" spans="1:7" s="109" customFormat="1" x14ac:dyDescent="0.2">
      <c r="A78" s="198"/>
      <c r="B78"/>
      <c r="C78" s="206"/>
      <c r="D78" s="206"/>
      <c r="F78" s="206"/>
      <c r="G78" s="206"/>
    </row>
    <row r="79" spans="1:7" s="109" customFormat="1" x14ac:dyDescent="0.2">
      <c r="A79" s="198"/>
      <c r="B79"/>
      <c r="C79" s="206"/>
      <c r="D79" s="206"/>
      <c r="F79" s="206"/>
      <c r="G79" s="206"/>
    </row>
    <row r="80" spans="1:7" s="109" customFormat="1" x14ac:dyDescent="0.2">
      <c r="A80" s="198"/>
      <c r="B80"/>
      <c r="C80" s="206"/>
      <c r="D80" s="206"/>
      <c r="F80" s="206"/>
      <c r="G80" s="206"/>
    </row>
    <row r="81" spans="1:7" s="109" customFormat="1" x14ac:dyDescent="0.2">
      <c r="A81" s="198"/>
      <c r="B81"/>
      <c r="C81" s="206"/>
      <c r="D81" s="206"/>
      <c r="F81" s="206"/>
      <c r="G81" s="206"/>
    </row>
    <row r="82" spans="1:7" s="109" customFormat="1" x14ac:dyDescent="0.2">
      <c r="A82" s="198"/>
      <c r="B82"/>
      <c r="C82" s="206"/>
      <c r="D82" s="206"/>
      <c r="F82" s="206"/>
      <c r="G82" s="206"/>
    </row>
    <row r="83" spans="1:7" s="109" customFormat="1" x14ac:dyDescent="0.2">
      <c r="A83" s="198"/>
      <c r="B83"/>
      <c r="C83" s="206"/>
      <c r="D83" s="206"/>
      <c r="F83" s="206"/>
      <c r="G83" s="206"/>
    </row>
    <row r="84" spans="1:7" s="109" customFormat="1" x14ac:dyDescent="0.2">
      <c r="A84" s="198"/>
      <c r="B84"/>
      <c r="C84" s="206"/>
      <c r="D84" s="206"/>
      <c r="F84" s="206"/>
      <c r="G84" s="206"/>
    </row>
    <row r="85" spans="1:7" s="109" customFormat="1" x14ac:dyDescent="0.2">
      <c r="A85" s="198"/>
      <c r="B85"/>
      <c r="C85" s="206"/>
      <c r="D85" s="206"/>
      <c r="F85" s="206"/>
      <c r="G85" s="206"/>
    </row>
    <row r="86" spans="1:7" s="109" customFormat="1" x14ac:dyDescent="0.2">
      <c r="A86" s="198"/>
      <c r="B86"/>
      <c r="C86" s="206"/>
      <c r="D86" s="206"/>
      <c r="F86" s="206"/>
      <c r="G86" s="206"/>
    </row>
    <row r="87" spans="1:7" s="109" customFormat="1" x14ac:dyDescent="0.2">
      <c r="A87" s="198"/>
      <c r="B87"/>
      <c r="C87" s="206"/>
      <c r="D87" s="206"/>
      <c r="F87" s="206"/>
      <c r="G87" s="206"/>
    </row>
    <row r="88" spans="1:7" s="109" customFormat="1" x14ac:dyDescent="0.2">
      <c r="A88" s="198"/>
      <c r="B88"/>
      <c r="C88" s="206"/>
      <c r="D88" s="206"/>
      <c r="F88" s="206"/>
      <c r="G88" s="206"/>
    </row>
    <row r="89" spans="1:7" s="109" customFormat="1" x14ac:dyDescent="0.2">
      <c r="A89" s="198"/>
      <c r="B89"/>
      <c r="C89" s="206"/>
      <c r="D89" s="206"/>
      <c r="F89" s="206"/>
      <c r="G89" s="206"/>
    </row>
    <row r="90" spans="1:7" s="109" customFormat="1" x14ac:dyDescent="0.2">
      <c r="A90" s="198"/>
      <c r="B90"/>
      <c r="C90" s="206"/>
      <c r="D90" s="206"/>
      <c r="F90" s="206"/>
      <c r="G90" s="206"/>
    </row>
    <row r="91" spans="1:7" s="109" customFormat="1" x14ac:dyDescent="0.2">
      <c r="A91" s="198"/>
      <c r="B91"/>
      <c r="C91" s="206"/>
      <c r="D91" s="206"/>
      <c r="F91" s="206"/>
      <c r="G91" s="206"/>
    </row>
    <row r="92" spans="1:7" s="109" customFormat="1" x14ac:dyDescent="0.2">
      <c r="A92" s="198"/>
      <c r="B92"/>
      <c r="C92" s="206"/>
      <c r="D92" s="206"/>
      <c r="F92" s="206"/>
      <c r="G92" s="206"/>
    </row>
    <row r="93" spans="1:7" s="109" customFormat="1" x14ac:dyDescent="0.2">
      <c r="A93" s="198"/>
      <c r="B93"/>
      <c r="C93" s="206"/>
      <c r="D93" s="206"/>
      <c r="F93" s="206"/>
      <c r="G93" s="206"/>
    </row>
    <row r="94" spans="1:7" s="109" customFormat="1" x14ac:dyDescent="0.2">
      <c r="A94" s="198"/>
      <c r="B94"/>
      <c r="C94" s="206"/>
      <c r="D94" s="206"/>
      <c r="F94" s="206"/>
      <c r="G94" s="206"/>
    </row>
    <row r="95" spans="1:7" s="109" customFormat="1" x14ac:dyDescent="0.2">
      <c r="A95" s="198"/>
      <c r="B95"/>
      <c r="C95" s="206"/>
      <c r="D95" s="206"/>
      <c r="F95" s="206"/>
      <c r="G95" s="206"/>
    </row>
    <row r="96" spans="1:7" s="109" customFormat="1" x14ac:dyDescent="0.2">
      <c r="A96" s="198"/>
      <c r="B96"/>
      <c r="C96" s="206"/>
      <c r="D96" s="206"/>
      <c r="F96" s="206"/>
      <c r="G96" s="206"/>
    </row>
    <row r="97" spans="1:7" s="109" customFormat="1" x14ac:dyDescent="0.2">
      <c r="A97" s="198"/>
      <c r="B97"/>
      <c r="C97" s="206"/>
      <c r="D97" s="206"/>
      <c r="F97" s="206"/>
      <c r="G97" s="206"/>
    </row>
    <row r="98" spans="1:7" s="109" customFormat="1" x14ac:dyDescent="0.2">
      <c r="A98" s="198"/>
      <c r="B98"/>
      <c r="C98" s="206"/>
      <c r="D98" s="206"/>
      <c r="F98" s="206"/>
      <c r="G98" s="206"/>
    </row>
    <row r="99" spans="1:7" s="109" customFormat="1" x14ac:dyDescent="0.2">
      <c r="A99" s="198"/>
      <c r="B99"/>
      <c r="C99" s="206"/>
      <c r="D99" s="206"/>
      <c r="F99" s="206"/>
      <c r="G99" s="206"/>
    </row>
    <row r="100" spans="1:7" s="109" customFormat="1" x14ac:dyDescent="0.2">
      <c r="A100" s="198"/>
      <c r="B100"/>
      <c r="C100" s="206"/>
      <c r="D100" s="206"/>
      <c r="F100" s="206"/>
      <c r="G100" s="206"/>
    </row>
    <row r="101" spans="1:7" s="109" customFormat="1" x14ac:dyDescent="0.2">
      <c r="A101" s="198"/>
      <c r="B101"/>
      <c r="C101" s="206"/>
      <c r="D101" s="206"/>
      <c r="F101" s="206"/>
      <c r="G101" s="206"/>
    </row>
    <row r="102" spans="1:7" s="109" customFormat="1" x14ac:dyDescent="0.2">
      <c r="A102" s="198"/>
      <c r="B102"/>
      <c r="C102" s="206"/>
      <c r="D102" s="206"/>
      <c r="F102" s="206"/>
      <c r="G102" s="206"/>
    </row>
    <row r="103" spans="1:7" s="109" customFormat="1" x14ac:dyDescent="0.2">
      <c r="A103" s="198"/>
      <c r="B103"/>
      <c r="C103" s="206"/>
      <c r="D103" s="206"/>
      <c r="F103" s="206"/>
      <c r="G103" s="206"/>
    </row>
    <row r="104" spans="1:7" s="109" customFormat="1" x14ac:dyDescent="0.2">
      <c r="A104" s="198"/>
      <c r="B104"/>
      <c r="C104" s="206"/>
      <c r="D104" s="206"/>
      <c r="F104" s="206"/>
      <c r="G104" s="206"/>
    </row>
    <row r="105" spans="1:7" s="109" customFormat="1" x14ac:dyDescent="0.2">
      <c r="A105" s="198"/>
      <c r="B105"/>
      <c r="C105" s="206"/>
      <c r="D105" s="206"/>
      <c r="F105" s="206"/>
      <c r="G105" s="206"/>
    </row>
    <row r="106" spans="1:7" s="109" customFormat="1" x14ac:dyDescent="0.2">
      <c r="A106" s="198"/>
      <c r="B106"/>
      <c r="C106" s="206"/>
      <c r="D106" s="206"/>
      <c r="F106" s="206"/>
      <c r="G106" s="206"/>
    </row>
    <row r="107" spans="1:7" s="109" customFormat="1" x14ac:dyDescent="0.2">
      <c r="A107" s="198"/>
      <c r="B107"/>
      <c r="C107" s="206"/>
      <c r="D107" s="206"/>
      <c r="F107" s="206"/>
      <c r="G107" s="206"/>
    </row>
    <row r="108" spans="1:7" s="109" customFormat="1" x14ac:dyDescent="0.2">
      <c r="A108" s="198"/>
      <c r="B108"/>
      <c r="C108" s="206"/>
      <c r="D108" s="206"/>
      <c r="F108" s="206"/>
      <c r="G108" s="206"/>
    </row>
    <row r="109" spans="1:7" s="109" customFormat="1" x14ac:dyDescent="0.2">
      <c r="A109" s="198"/>
      <c r="B109"/>
      <c r="C109" s="206"/>
      <c r="D109" s="206"/>
      <c r="F109" s="206"/>
      <c r="G109" s="206"/>
    </row>
    <row r="110" spans="1:7" s="109" customFormat="1" x14ac:dyDescent="0.2">
      <c r="A110" s="198"/>
      <c r="B110"/>
      <c r="C110" s="206"/>
      <c r="D110" s="206"/>
      <c r="F110" s="206"/>
      <c r="G110" s="206"/>
    </row>
    <row r="111" spans="1:7" s="109" customFormat="1" x14ac:dyDescent="0.2">
      <c r="A111" s="198"/>
      <c r="B111"/>
      <c r="C111" s="206"/>
      <c r="D111" s="206"/>
      <c r="F111" s="206"/>
      <c r="G111" s="206"/>
    </row>
    <row r="112" spans="1:7" s="109" customFormat="1" x14ac:dyDescent="0.2">
      <c r="A112" s="198"/>
      <c r="B112"/>
      <c r="C112" s="206"/>
      <c r="D112" s="206"/>
      <c r="F112" s="206"/>
      <c r="G112" s="206"/>
    </row>
    <row r="113" spans="1:7" s="109" customFormat="1" x14ac:dyDescent="0.2">
      <c r="A113" s="198"/>
      <c r="B113"/>
      <c r="C113" s="206"/>
      <c r="D113" s="206"/>
      <c r="F113" s="206"/>
      <c r="G113" s="206"/>
    </row>
    <row r="114" spans="1:7" s="109" customFormat="1" x14ac:dyDescent="0.2">
      <c r="A114" s="198"/>
      <c r="B114"/>
      <c r="C114" s="206"/>
      <c r="D114" s="206"/>
      <c r="F114" s="206"/>
      <c r="G114" s="206"/>
    </row>
    <row r="115" spans="1:7" s="109" customFormat="1" x14ac:dyDescent="0.2">
      <c r="A115" s="198"/>
      <c r="B115"/>
      <c r="C115" s="206"/>
      <c r="D115" s="206"/>
      <c r="F115" s="206"/>
      <c r="G115" s="206"/>
    </row>
    <row r="116" spans="1:7" s="109" customFormat="1" x14ac:dyDescent="0.2">
      <c r="A116" s="198"/>
      <c r="B116"/>
      <c r="C116" s="206"/>
      <c r="D116" s="206"/>
      <c r="F116" s="206"/>
      <c r="G116" s="206"/>
    </row>
    <row r="117" spans="1:7" s="109" customFormat="1" x14ac:dyDescent="0.2">
      <c r="A117" s="198"/>
      <c r="B117"/>
      <c r="C117" s="206"/>
      <c r="D117" s="206"/>
      <c r="F117" s="206"/>
      <c r="G117" s="206"/>
    </row>
    <row r="118" spans="1:7" s="109" customFormat="1" x14ac:dyDescent="0.2">
      <c r="A118" s="198"/>
      <c r="B118"/>
      <c r="C118" s="206"/>
      <c r="D118" s="206"/>
      <c r="F118" s="206"/>
      <c r="G118" s="206"/>
    </row>
    <row r="119" spans="1:7" s="109" customFormat="1" x14ac:dyDescent="0.2">
      <c r="A119" s="198"/>
      <c r="B119"/>
      <c r="C119" s="206"/>
      <c r="D119" s="206"/>
      <c r="F119" s="206"/>
      <c r="G119" s="206"/>
    </row>
    <row r="120" spans="1:7" s="109" customFormat="1" x14ac:dyDescent="0.2">
      <c r="A120" s="198"/>
      <c r="B120"/>
      <c r="C120" s="206"/>
      <c r="D120" s="206"/>
      <c r="F120" s="206"/>
      <c r="G120" s="206"/>
    </row>
    <row r="121" spans="1:7" s="109" customFormat="1" x14ac:dyDescent="0.2">
      <c r="A121" s="198"/>
      <c r="B121"/>
      <c r="C121" s="206"/>
      <c r="D121" s="206"/>
      <c r="F121" s="206"/>
      <c r="G121" s="206"/>
    </row>
    <row r="122" spans="1:7" s="109" customFormat="1" x14ac:dyDescent="0.2">
      <c r="A122" s="198"/>
      <c r="B122"/>
      <c r="C122" s="206"/>
      <c r="D122" s="206"/>
      <c r="F122" s="206"/>
      <c r="G122" s="206"/>
    </row>
    <row r="123" spans="1:7" s="109" customFormat="1" x14ac:dyDescent="0.2">
      <c r="A123" s="198"/>
      <c r="B123"/>
      <c r="C123" s="206"/>
      <c r="D123" s="206"/>
      <c r="F123" s="206"/>
      <c r="G123" s="206"/>
    </row>
    <row r="124" spans="1:7" s="109" customFormat="1" x14ac:dyDescent="0.2">
      <c r="A124" s="198"/>
      <c r="B124"/>
      <c r="C124" s="206"/>
      <c r="D124" s="206"/>
      <c r="F124" s="206"/>
      <c r="G124" s="206"/>
    </row>
    <row r="125" spans="1:7" s="109" customFormat="1" x14ac:dyDescent="0.2">
      <c r="A125" s="198"/>
      <c r="B125"/>
      <c r="C125" s="206"/>
      <c r="D125" s="206"/>
      <c r="F125" s="206"/>
      <c r="G125" s="206"/>
    </row>
    <row r="126" spans="1:7" s="109" customFormat="1" x14ac:dyDescent="0.2">
      <c r="A126" s="198"/>
      <c r="B126"/>
      <c r="C126" s="206"/>
      <c r="D126" s="206"/>
      <c r="F126" s="206"/>
      <c r="G126" s="206"/>
    </row>
    <row r="127" spans="1:7" s="109" customFormat="1" x14ac:dyDescent="0.2">
      <c r="A127" s="198"/>
      <c r="B127"/>
      <c r="C127" s="206"/>
      <c r="D127" s="206"/>
      <c r="F127" s="206"/>
      <c r="G127" s="206"/>
    </row>
    <row r="128" spans="1:7" s="109" customFormat="1" x14ac:dyDescent="0.2">
      <c r="A128" s="198"/>
      <c r="B128"/>
      <c r="C128" s="206"/>
      <c r="D128" s="206"/>
      <c r="F128" s="206"/>
      <c r="G128" s="206"/>
    </row>
    <row r="129" spans="1:7" s="109" customFormat="1" x14ac:dyDescent="0.2">
      <c r="A129" s="198"/>
      <c r="B129"/>
      <c r="C129" s="206"/>
      <c r="D129" s="206"/>
      <c r="F129" s="206"/>
      <c r="G129" s="206"/>
    </row>
    <row r="130" spans="1:7" s="109" customFormat="1" x14ac:dyDescent="0.2">
      <c r="A130" s="198"/>
      <c r="B130"/>
      <c r="C130" s="206"/>
      <c r="D130" s="206"/>
      <c r="F130" s="206"/>
      <c r="G130" s="206"/>
    </row>
    <row r="131" spans="1:7" s="109" customFormat="1" x14ac:dyDescent="0.2">
      <c r="A131" s="198"/>
      <c r="B131"/>
      <c r="C131" s="206"/>
      <c r="D131" s="206"/>
      <c r="F131" s="206"/>
      <c r="G131" s="206"/>
    </row>
    <row r="132" spans="1:7" s="109" customFormat="1" x14ac:dyDescent="0.2">
      <c r="A132" s="198"/>
      <c r="B132"/>
      <c r="C132" s="206"/>
      <c r="D132" s="206"/>
      <c r="F132" s="206"/>
      <c r="G132" s="206"/>
    </row>
    <row r="133" spans="1:7" s="109" customFormat="1" x14ac:dyDescent="0.2">
      <c r="A133" s="198"/>
      <c r="B133"/>
      <c r="C133" s="206"/>
      <c r="D133" s="206"/>
      <c r="F133" s="206"/>
      <c r="G133" s="206"/>
    </row>
    <row r="134" spans="1:7" s="109" customFormat="1" x14ac:dyDescent="0.2">
      <c r="A134" s="198"/>
      <c r="B134"/>
      <c r="C134" s="206"/>
      <c r="D134" s="206"/>
      <c r="F134" s="206"/>
      <c r="G134" s="206"/>
    </row>
    <row r="135" spans="1:7" s="109" customFormat="1" x14ac:dyDescent="0.2">
      <c r="A135" s="198"/>
      <c r="B135"/>
      <c r="C135" s="206"/>
      <c r="D135" s="206"/>
      <c r="F135" s="206"/>
      <c r="G135" s="206"/>
    </row>
    <row r="136" spans="1:7" s="109" customFormat="1" x14ac:dyDescent="0.2">
      <c r="A136" s="198"/>
      <c r="B136"/>
      <c r="C136" s="206"/>
      <c r="D136" s="206"/>
      <c r="F136" s="206"/>
      <c r="G136" s="206"/>
    </row>
    <row r="137" spans="1:7" s="109" customFormat="1" x14ac:dyDescent="0.2">
      <c r="A137" s="198"/>
      <c r="B137"/>
      <c r="C137" s="206"/>
      <c r="D137" s="206"/>
      <c r="F137" s="206"/>
      <c r="G137" s="206"/>
    </row>
    <row r="138" spans="1:7" s="109" customFormat="1" x14ac:dyDescent="0.2">
      <c r="A138" s="198"/>
      <c r="B138"/>
      <c r="C138" s="206"/>
      <c r="D138" s="206"/>
      <c r="F138" s="206"/>
      <c r="G138" s="206"/>
    </row>
    <row r="139" spans="1:7" s="109" customFormat="1" x14ac:dyDescent="0.2">
      <c r="A139" s="198"/>
      <c r="B139"/>
      <c r="C139" s="206"/>
      <c r="D139" s="206"/>
      <c r="F139" s="206"/>
      <c r="G139" s="206"/>
    </row>
    <row r="140" spans="1:7" s="109" customFormat="1" x14ac:dyDescent="0.2">
      <c r="A140" s="198"/>
      <c r="B140"/>
      <c r="C140" s="206"/>
      <c r="D140" s="206"/>
      <c r="F140" s="206"/>
      <c r="G140" s="206"/>
    </row>
    <row r="141" spans="1:7" s="109" customFormat="1" x14ac:dyDescent="0.2">
      <c r="A141" s="198"/>
      <c r="B141"/>
      <c r="C141" s="206"/>
      <c r="D141" s="206"/>
      <c r="F141" s="206"/>
      <c r="G141" s="206"/>
    </row>
    <row r="142" spans="1:7" s="109" customFormat="1" x14ac:dyDescent="0.2">
      <c r="A142" s="198"/>
      <c r="B142"/>
      <c r="C142" s="206"/>
      <c r="D142" s="206"/>
      <c r="F142" s="206"/>
      <c r="G142" s="206"/>
    </row>
    <row r="143" spans="1:7" s="109" customFormat="1" x14ac:dyDescent="0.2">
      <c r="A143" s="198"/>
      <c r="B143"/>
      <c r="C143" s="206"/>
      <c r="D143" s="206"/>
      <c r="F143" s="206"/>
      <c r="G143" s="206"/>
    </row>
    <row r="144" spans="1:7" s="109" customFormat="1" x14ac:dyDescent="0.2">
      <c r="A144" s="198"/>
      <c r="B144"/>
      <c r="C144" s="206"/>
      <c r="D144" s="206"/>
      <c r="F144" s="206"/>
      <c r="G144" s="206"/>
    </row>
    <row r="145" spans="1:7" s="109" customFormat="1" x14ac:dyDescent="0.2">
      <c r="A145" s="198"/>
      <c r="B145"/>
      <c r="C145" s="206"/>
      <c r="D145" s="206"/>
      <c r="F145" s="206"/>
      <c r="G145" s="206"/>
    </row>
    <row r="146" spans="1:7" s="109" customFormat="1" x14ac:dyDescent="0.2">
      <c r="A146" s="198"/>
      <c r="B146"/>
      <c r="C146" s="206"/>
      <c r="D146" s="206"/>
      <c r="F146" s="206"/>
      <c r="G146" s="206"/>
    </row>
    <row r="147" spans="1:7" s="109" customFormat="1" x14ac:dyDescent="0.2">
      <c r="A147" s="198"/>
      <c r="B147"/>
      <c r="C147" s="206"/>
      <c r="D147" s="206"/>
      <c r="F147" s="206"/>
      <c r="G147" s="206"/>
    </row>
    <row r="148" spans="1:7" s="109" customFormat="1" x14ac:dyDescent="0.2">
      <c r="A148" s="198"/>
      <c r="B148"/>
      <c r="C148" s="206"/>
      <c r="D148" s="206"/>
      <c r="F148" s="206"/>
      <c r="G148" s="206"/>
    </row>
    <row r="149" spans="1:7" s="109" customFormat="1" x14ac:dyDescent="0.2">
      <c r="A149" s="198"/>
      <c r="B149"/>
      <c r="C149" s="206"/>
      <c r="D149" s="206"/>
      <c r="F149" s="206"/>
      <c r="G149" s="206"/>
    </row>
    <row r="150" spans="1:7" s="109" customFormat="1" x14ac:dyDescent="0.2">
      <c r="A150" s="198"/>
      <c r="B150"/>
      <c r="C150" s="206"/>
      <c r="D150" s="206"/>
      <c r="F150" s="206"/>
      <c r="G150" s="206"/>
    </row>
    <row r="151" spans="1:7" s="109" customFormat="1" x14ac:dyDescent="0.2">
      <c r="A151" s="198"/>
      <c r="B151"/>
      <c r="C151" s="206"/>
      <c r="D151" s="206"/>
      <c r="F151" s="206"/>
      <c r="G151" s="206"/>
    </row>
    <row r="152" spans="1:7" s="109" customFormat="1" x14ac:dyDescent="0.2">
      <c r="A152" s="198"/>
      <c r="B152"/>
      <c r="C152" s="206"/>
      <c r="D152" s="206"/>
      <c r="F152" s="206"/>
      <c r="G152" s="206"/>
    </row>
    <row r="153" spans="1:7" s="109" customFormat="1" x14ac:dyDescent="0.2">
      <c r="A153" s="198"/>
      <c r="B153"/>
      <c r="C153" s="206"/>
      <c r="D153" s="206"/>
      <c r="F153" s="206"/>
      <c r="G153" s="206"/>
    </row>
    <row r="154" spans="1:7" s="109" customFormat="1" x14ac:dyDescent="0.2">
      <c r="A154" s="198"/>
      <c r="B154"/>
      <c r="C154" s="206"/>
      <c r="D154" s="206"/>
      <c r="F154" s="206"/>
      <c r="G154" s="206"/>
    </row>
    <row r="155" spans="1:7" s="109" customFormat="1" x14ac:dyDescent="0.2">
      <c r="A155" s="198"/>
      <c r="B155"/>
      <c r="C155" s="206"/>
      <c r="D155" s="206"/>
      <c r="F155" s="206"/>
      <c r="G155" s="206"/>
    </row>
    <row r="156" spans="1:7" s="109" customFormat="1" x14ac:dyDescent="0.2">
      <c r="A156" s="198"/>
      <c r="B156"/>
      <c r="C156" s="206"/>
      <c r="D156" s="206"/>
      <c r="F156" s="206"/>
      <c r="G156" s="206"/>
    </row>
    <row r="157" spans="1:7" s="109" customFormat="1" x14ac:dyDescent="0.2">
      <c r="A157" s="198"/>
      <c r="B157"/>
      <c r="C157" s="206"/>
      <c r="D157" s="206"/>
      <c r="F157" s="206"/>
      <c r="G157" s="206"/>
    </row>
    <row r="158" spans="1:7" s="109" customFormat="1" x14ac:dyDescent="0.2">
      <c r="A158" s="198"/>
      <c r="B158"/>
      <c r="C158" s="206"/>
      <c r="D158" s="206"/>
      <c r="F158" s="206"/>
      <c r="G158" s="206"/>
    </row>
    <row r="159" spans="1:7" s="109" customFormat="1" x14ac:dyDescent="0.2">
      <c r="A159" s="198"/>
      <c r="B159"/>
      <c r="C159" s="206"/>
      <c r="D159" s="206"/>
      <c r="F159" s="206"/>
      <c r="G159" s="206"/>
    </row>
    <row r="160" spans="1:7" s="109" customFormat="1" x14ac:dyDescent="0.2">
      <c r="A160" s="198"/>
      <c r="B160"/>
      <c r="C160" s="206"/>
      <c r="D160" s="206"/>
      <c r="F160" s="206"/>
      <c r="G160" s="206"/>
    </row>
    <row r="161" spans="1:7" s="109" customFormat="1" x14ac:dyDescent="0.2">
      <c r="A161" s="198"/>
      <c r="B161"/>
      <c r="C161" s="206"/>
      <c r="D161" s="206"/>
      <c r="F161" s="206"/>
      <c r="G161" s="206"/>
    </row>
    <row r="162" spans="1:7" s="109" customFormat="1" x14ac:dyDescent="0.2">
      <c r="A162" s="198"/>
      <c r="B162"/>
      <c r="C162" s="206"/>
      <c r="D162" s="206"/>
      <c r="F162" s="206"/>
      <c r="G162" s="206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>
      <selection activeCell="X2" sqref="X2"/>
    </sheetView>
  </sheetViews>
  <sheetFormatPr defaultColWidth="8.85546875" defaultRowHeight="12.75" x14ac:dyDescent="0.2"/>
  <cols>
    <col min="1" max="1" width="11" style="208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8" t="s">
        <v>77</v>
      </c>
      <c r="B1" t="s">
        <v>83</v>
      </c>
      <c r="C1" t="s">
        <v>84</v>
      </c>
      <c r="D1" t="s">
        <v>130</v>
      </c>
      <c r="E1" t="s">
        <v>131</v>
      </c>
      <c r="F1" t="s">
        <v>85</v>
      </c>
      <c r="G1" t="s">
        <v>86</v>
      </c>
      <c r="H1" s="217" t="s">
        <v>87</v>
      </c>
      <c r="I1" t="s">
        <v>88</v>
      </c>
      <c r="J1" t="s">
        <v>89</v>
      </c>
      <c r="K1" t="s">
        <v>7</v>
      </c>
      <c r="L1" t="s">
        <v>90</v>
      </c>
      <c r="M1" t="s">
        <v>91</v>
      </c>
      <c r="N1" t="s">
        <v>92</v>
      </c>
      <c r="O1" t="s">
        <v>93</v>
      </c>
      <c r="P1" s="217" t="s">
        <v>94</v>
      </c>
      <c r="Q1" s="217" t="s">
        <v>95</v>
      </c>
      <c r="R1" s="217" t="s">
        <v>96</v>
      </c>
      <c r="S1" s="217" t="s">
        <v>97</v>
      </c>
      <c r="T1" t="s">
        <v>98</v>
      </c>
      <c r="U1" t="s">
        <v>99</v>
      </c>
      <c r="V1" s="216" t="s">
        <v>100</v>
      </c>
      <c r="W1" t="s">
        <v>101</v>
      </c>
      <c r="X1" t="s">
        <v>102</v>
      </c>
    </row>
    <row r="2" spans="1:24" s="109" customFormat="1" x14ac:dyDescent="0.2">
      <c r="A2" s="205"/>
      <c r="B2"/>
      <c r="C2"/>
      <c r="D2"/>
      <c r="E2"/>
      <c r="F2"/>
      <c r="G2"/>
      <c r="H2"/>
      <c r="I2"/>
      <c r="J2"/>
      <c r="K2"/>
      <c r="L2"/>
      <c r="M2"/>
      <c r="N2"/>
      <c r="O2"/>
      <c r="P2" s="273"/>
      <c r="Q2" s="273"/>
      <c r="R2"/>
      <c r="S2"/>
      <c r="T2"/>
      <c r="U2"/>
      <c r="V2"/>
      <c r="W2"/>
      <c r="X2"/>
    </row>
    <row r="3" spans="1:24" s="109" customFormat="1" x14ac:dyDescent="0.2">
      <c r="A3" s="205"/>
      <c r="B3"/>
      <c r="C3"/>
      <c r="D3"/>
      <c r="E3"/>
      <c r="F3"/>
      <c r="G3"/>
      <c r="H3"/>
      <c r="I3"/>
      <c r="J3"/>
      <c r="K3"/>
      <c r="L3"/>
      <c r="M3"/>
      <c r="N3"/>
      <c r="O3"/>
      <c r="P3" s="273"/>
      <c r="Q3" s="273"/>
      <c r="R3"/>
      <c r="S3"/>
      <c r="T3"/>
      <c r="U3"/>
      <c r="V3"/>
      <c r="W3"/>
      <c r="X3"/>
    </row>
    <row r="4" spans="1:24" s="109" customFormat="1" x14ac:dyDescent="0.2">
      <c r="A4" s="205"/>
      <c r="B4"/>
      <c r="C4"/>
      <c r="D4"/>
      <c r="E4"/>
      <c r="F4"/>
      <c r="G4"/>
      <c r="H4"/>
      <c r="I4"/>
      <c r="J4"/>
      <c r="K4"/>
      <c r="L4"/>
      <c r="M4"/>
      <c r="N4"/>
      <c r="O4"/>
      <c r="P4" s="273"/>
      <c r="Q4" s="273"/>
      <c r="R4"/>
      <c r="S4"/>
      <c r="T4"/>
      <c r="U4"/>
      <c r="V4"/>
      <c r="W4"/>
      <c r="X4"/>
    </row>
    <row r="5" spans="1:24" s="109" customFormat="1" x14ac:dyDescent="0.2">
      <c r="A5" s="205"/>
      <c r="B5"/>
      <c r="C5"/>
      <c r="D5"/>
      <c r="E5"/>
      <c r="F5"/>
      <c r="G5"/>
      <c r="H5"/>
      <c r="I5"/>
      <c r="J5"/>
      <c r="K5"/>
      <c r="L5"/>
      <c r="M5"/>
      <c r="N5"/>
      <c r="O5"/>
      <c r="P5" s="273"/>
      <c r="Q5" s="273"/>
      <c r="R5"/>
      <c r="S5"/>
      <c r="T5"/>
      <c r="U5"/>
      <c r="V5"/>
      <c r="W5"/>
      <c r="X5"/>
    </row>
    <row r="6" spans="1:24" s="109" customFormat="1" x14ac:dyDescent="0.2">
      <c r="A6" s="205"/>
      <c r="B6"/>
      <c r="C6"/>
      <c r="D6"/>
      <c r="E6"/>
      <c r="F6"/>
      <c r="G6"/>
      <c r="H6"/>
      <c r="I6"/>
      <c r="J6"/>
      <c r="K6"/>
      <c r="L6"/>
      <c r="M6"/>
      <c r="N6"/>
      <c r="O6"/>
      <c r="P6" s="273"/>
      <c r="Q6" s="273"/>
      <c r="R6"/>
      <c r="S6"/>
      <c r="T6"/>
      <c r="U6"/>
      <c r="V6"/>
      <c r="W6"/>
      <c r="X6"/>
    </row>
    <row r="7" spans="1:24" s="109" customFormat="1" x14ac:dyDescent="0.2">
      <c r="A7" s="205"/>
      <c r="B7"/>
      <c r="C7"/>
      <c r="D7"/>
      <c r="E7"/>
      <c r="F7"/>
      <c r="G7"/>
      <c r="H7"/>
      <c r="I7"/>
      <c r="J7"/>
      <c r="K7"/>
      <c r="L7"/>
      <c r="M7"/>
      <c r="N7"/>
      <c r="O7"/>
      <c r="P7" s="273"/>
      <c r="Q7" s="273"/>
      <c r="R7"/>
      <c r="S7"/>
      <c r="T7"/>
      <c r="U7"/>
      <c r="V7"/>
      <c r="W7"/>
      <c r="X7"/>
    </row>
    <row r="8" spans="1:24" s="109" customFormat="1" x14ac:dyDescent="0.2">
      <c r="A8" s="205"/>
      <c r="B8"/>
      <c r="C8"/>
      <c r="D8"/>
      <c r="E8"/>
      <c r="F8"/>
      <c r="G8"/>
      <c r="H8"/>
      <c r="I8"/>
      <c r="J8"/>
      <c r="K8"/>
      <c r="L8"/>
      <c r="M8"/>
      <c r="N8"/>
      <c r="O8"/>
      <c r="P8" s="273"/>
      <c r="Q8" s="273"/>
      <c r="R8"/>
      <c r="S8"/>
      <c r="T8"/>
      <c r="U8"/>
      <c r="V8"/>
      <c r="W8"/>
      <c r="X8"/>
    </row>
    <row r="9" spans="1:24" s="109" customFormat="1" x14ac:dyDescent="0.2">
      <c r="A9" s="205"/>
      <c r="B9"/>
      <c r="C9"/>
      <c r="D9"/>
      <c r="E9"/>
      <c r="F9"/>
      <c r="G9"/>
      <c r="H9"/>
      <c r="I9"/>
      <c r="J9"/>
      <c r="K9"/>
      <c r="L9"/>
      <c r="M9"/>
      <c r="N9"/>
      <c r="O9"/>
      <c r="P9" s="273"/>
      <c r="Q9" s="273"/>
      <c r="R9"/>
      <c r="S9"/>
      <c r="T9"/>
      <c r="U9"/>
      <c r="V9"/>
      <c r="W9"/>
      <c r="X9"/>
    </row>
    <row r="10" spans="1:24" s="109" customFormat="1" x14ac:dyDescent="0.2">
      <c r="A10" s="20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73"/>
      <c r="Q10" s="273"/>
      <c r="R10"/>
      <c r="S10"/>
      <c r="T10"/>
      <c r="U10"/>
      <c r="V10"/>
      <c r="W10"/>
      <c r="X10"/>
    </row>
    <row r="11" spans="1:24" s="109" customFormat="1" x14ac:dyDescent="0.2">
      <c r="A11" s="20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73"/>
      <c r="Q11" s="273"/>
      <c r="R11"/>
      <c r="S11"/>
      <c r="T11"/>
      <c r="U11"/>
      <c r="V11"/>
      <c r="W11"/>
      <c r="X11"/>
    </row>
    <row r="12" spans="1:24" s="109" customFormat="1" x14ac:dyDescent="0.2">
      <c r="A12" s="20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73"/>
      <c r="Q12" s="273"/>
      <c r="R12"/>
      <c r="S12"/>
      <c r="T12"/>
      <c r="U12"/>
      <c r="V12"/>
      <c r="W12"/>
      <c r="X12"/>
    </row>
    <row r="13" spans="1:24" s="109" customFormat="1" x14ac:dyDescent="0.2">
      <c r="A13" s="20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73"/>
      <c r="Q13" s="273"/>
      <c r="R13"/>
      <c r="S13"/>
      <c r="T13"/>
      <c r="U13"/>
      <c r="V13"/>
      <c r="W13"/>
      <c r="X13"/>
    </row>
    <row r="14" spans="1:24" s="109" customFormat="1" x14ac:dyDescent="0.2">
      <c r="A14" s="20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73"/>
      <c r="Q14" s="273"/>
      <c r="R14"/>
      <c r="S14"/>
      <c r="T14"/>
      <c r="U14"/>
      <c r="V14"/>
      <c r="W14"/>
      <c r="X14"/>
    </row>
    <row r="15" spans="1:24" s="109" customFormat="1" x14ac:dyDescent="0.2">
      <c r="A15" s="20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73"/>
      <c r="Q15" s="273"/>
      <c r="R15"/>
      <c r="S15"/>
      <c r="T15"/>
      <c r="U15"/>
      <c r="V15"/>
      <c r="W15"/>
      <c r="X15"/>
    </row>
    <row r="16" spans="1:24" s="109" customFormat="1" x14ac:dyDescent="0.2">
      <c r="A16" s="20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73"/>
      <c r="Q16" s="273"/>
      <c r="R16"/>
      <c r="S16"/>
      <c r="T16"/>
      <c r="U16"/>
      <c r="V16"/>
      <c r="W16"/>
      <c r="X16"/>
    </row>
    <row r="17" spans="1:24" s="109" customFormat="1" x14ac:dyDescent="0.2">
      <c r="A17" s="20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73"/>
      <c r="Q17" s="273"/>
      <c r="R17"/>
      <c r="S17"/>
      <c r="T17"/>
      <c r="U17"/>
      <c r="V17"/>
      <c r="W17"/>
      <c r="X17"/>
    </row>
    <row r="18" spans="1:24" s="109" customFormat="1" x14ac:dyDescent="0.2">
      <c r="A18" s="20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73"/>
      <c r="Q18" s="273"/>
      <c r="R18"/>
      <c r="S18"/>
      <c r="T18"/>
      <c r="U18"/>
      <c r="V18"/>
      <c r="W18"/>
      <c r="X18"/>
    </row>
    <row r="19" spans="1:24" s="109" customFormat="1" x14ac:dyDescent="0.2">
      <c r="A19" s="20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73"/>
      <c r="Q19" s="273"/>
      <c r="R19"/>
      <c r="S19"/>
      <c r="T19"/>
      <c r="U19"/>
      <c r="V19"/>
      <c r="W19"/>
      <c r="X19"/>
    </row>
    <row r="20" spans="1:24" s="109" customFormat="1" x14ac:dyDescent="0.2">
      <c r="A20" s="20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73"/>
      <c r="Q20" s="273"/>
      <c r="R20"/>
      <c r="S20"/>
      <c r="T20"/>
      <c r="U20"/>
      <c r="V20"/>
      <c r="W20"/>
      <c r="X20"/>
    </row>
    <row r="21" spans="1:24" s="109" customFormat="1" x14ac:dyDescent="0.2">
      <c r="A21" s="20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73"/>
      <c r="Q21" s="273"/>
      <c r="R21"/>
      <c r="S21"/>
      <c r="T21"/>
      <c r="U21"/>
      <c r="V21"/>
      <c r="W21"/>
      <c r="X21"/>
    </row>
    <row r="22" spans="1:24" s="109" customFormat="1" x14ac:dyDescent="0.2">
      <c r="A22" s="20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73"/>
      <c r="Q22" s="273"/>
      <c r="R22"/>
      <c r="S22"/>
      <c r="T22"/>
      <c r="U22"/>
      <c r="V22"/>
      <c r="W22"/>
      <c r="X22"/>
    </row>
    <row r="23" spans="1:24" s="109" customFormat="1" x14ac:dyDescent="0.2">
      <c r="A23" s="20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73"/>
      <c r="Q23" s="273"/>
      <c r="R23"/>
      <c r="S23"/>
      <c r="T23"/>
      <c r="U23"/>
      <c r="V23"/>
      <c r="W23"/>
      <c r="X23"/>
    </row>
    <row r="24" spans="1:24" s="109" customFormat="1" x14ac:dyDescent="0.2">
      <c r="A24" s="20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73"/>
      <c r="Q24" s="273"/>
      <c r="R24"/>
      <c r="S24"/>
      <c r="T24"/>
      <c r="U24"/>
      <c r="V24"/>
      <c r="W24"/>
      <c r="X24"/>
    </row>
    <row r="25" spans="1:24" s="109" customFormat="1" x14ac:dyDescent="0.2">
      <c r="A25" s="20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73"/>
      <c r="Q25" s="273"/>
      <c r="R25"/>
      <c r="S25"/>
      <c r="T25"/>
      <c r="U25"/>
      <c r="V25"/>
      <c r="W25"/>
      <c r="X25"/>
    </row>
    <row r="26" spans="1:24" s="109" customFormat="1" x14ac:dyDescent="0.2">
      <c r="A26" s="20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73"/>
      <c r="Q26" s="273"/>
      <c r="R26"/>
      <c r="S26"/>
      <c r="T26"/>
      <c r="U26"/>
      <c r="V26"/>
      <c r="W26"/>
      <c r="X26"/>
    </row>
    <row r="27" spans="1:24" s="109" customFormat="1" x14ac:dyDescent="0.2">
      <c r="A27" s="20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73"/>
      <c r="Q27" s="273"/>
      <c r="R27"/>
      <c r="S27"/>
      <c r="T27"/>
      <c r="U27"/>
      <c r="V27"/>
      <c r="W27"/>
      <c r="X27"/>
    </row>
    <row r="28" spans="1:24" s="109" customFormat="1" x14ac:dyDescent="0.2">
      <c r="A28" s="20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73"/>
      <c r="Q28" s="273"/>
      <c r="R28"/>
      <c r="S28"/>
      <c r="T28"/>
      <c r="U28"/>
      <c r="V28"/>
      <c r="W28"/>
      <c r="X28"/>
    </row>
    <row r="29" spans="1:24" s="109" customFormat="1" x14ac:dyDescent="0.2">
      <c r="A29" s="20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73"/>
      <c r="Q29" s="273"/>
      <c r="R29"/>
      <c r="S29"/>
      <c r="T29"/>
      <c r="U29"/>
      <c r="V29"/>
      <c r="W29"/>
      <c r="X29"/>
    </row>
    <row r="30" spans="1:24" s="109" customFormat="1" x14ac:dyDescent="0.2">
      <c r="A30" s="20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73"/>
      <c r="Q30" s="273"/>
      <c r="R30"/>
      <c r="S30"/>
      <c r="T30"/>
      <c r="U30"/>
      <c r="V30"/>
      <c r="W30"/>
      <c r="X30"/>
    </row>
    <row r="31" spans="1:24" s="109" customFormat="1" x14ac:dyDescent="0.2">
      <c r="A31" s="20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73"/>
      <c r="Q31" s="273"/>
      <c r="R31"/>
      <c r="S31"/>
      <c r="T31"/>
      <c r="U31"/>
      <c r="V31"/>
      <c r="W31"/>
      <c r="X31"/>
    </row>
    <row r="32" spans="1:24" s="109" customFormat="1" x14ac:dyDescent="0.2">
      <c r="A32" s="20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73"/>
      <c r="Q32" s="273"/>
      <c r="R32"/>
      <c r="S32"/>
      <c r="T32"/>
      <c r="U32"/>
      <c r="V32"/>
      <c r="W32"/>
      <c r="X32"/>
    </row>
    <row r="33" spans="1:24" s="109" customFormat="1" x14ac:dyDescent="0.2">
      <c r="A33" s="20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73"/>
      <c r="Q33" s="273"/>
      <c r="R33"/>
      <c r="S33"/>
      <c r="T33"/>
      <c r="U33"/>
      <c r="V33"/>
      <c r="W33"/>
      <c r="X33"/>
    </row>
    <row r="34" spans="1:24" s="109" customFormat="1" x14ac:dyDescent="0.2">
      <c r="A34" s="20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73"/>
      <c r="Q34" s="273"/>
      <c r="R34"/>
      <c r="S34"/>
      <c r="T34"/>
      <c r="U34"/>
      <c r="V34"/>
      <c r="W34"/>
      <c r="X34"/>
    </row>
    <row r="35" spans="1:24" s="109" customFormat="1" x14ac:dyDescent="0.2">
      <c r="A35" s="20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73"/>
      <c r="Q35" s="273"/>
      <c r="R35"/>
      <c r="S35"/>
      <c r="T35"/>
      <c r="U35"/>
      <c r="V35"/>
      <c r="W35"/>
      <c r="X35"/>
    </row>
    <row r="36" spans="1:24" s="109" customFormat="1" x14ac:dyDescent="0.2">
      <c r="A36" s="20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73"/>
      <c r="Q36" s="273"/>
      <c r="R36"/>
      <c r="S36"/>
      <c r="T36"/>
      <c r="U36"/>
      <c r="V36"/>
      <c r="W36"/>
      <c r="X36"/>
    </row>
    <row r="37" spans="1:24" s="109" customFormat="1" x14ac:dyDescent="0.2">
      <c r="A37" s="20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73"/>
      <c r="Q37" s="273"/>
      <c r="R37"/>
      <c r="S37"/>
      <c r="T37"/>
      <c r="U37"/>
      <c r="V37"/>
      <c r="W37"/>
      <c r="X37"/>
    </row>
    <row r="38" spans="1:24" s="109" customFormat="1" x14ac:dyDescent="0.2">
      <c r="A38" s="20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73"/>
      <c r="Q38" s="273"/>
      <c r="R38"/>
      <c r="S38"/>
      <c r="T38"/>
      <c r="U38"/>
      <c r="V38"/>
      <c r="W38"/>
      <c r="X38"/>
    </row>
    <row r="39" spans="1:24" s="109" customFormat="1" x14ac:dyDescent="0.2">
      <c r="A39" s="20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73"/>
      <c r="Q39" s="273"/>
      <c r="R39"/>
      <c r="S39"/>
      <c r="T39"/>
      <c r="U39"/>
      <c r="V39"/>
      <c r="W39"/>
      <c r="X39"/>
    </row>
    <row r="40" spans="1:24" s="109" customFormat="1" x14ac:dyDescent="0.2">
      <c r="A40" s="20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73"/>
      <c r="Q40" s="273"/>
      <c r="R40"/>
      <c r="S40"/>
      <c r="T40"/>
      <c r="U40"/>
      <c r="V40"/>
      <c r="W40"/>
      <c r="X40"/>
    </row>
    <row r="41" spans="1:24" s="109" customFormat="1" x14ac:dyDescent="0.2">
      <c r="A41" s="20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73"/>
      <c r="Q41" s="273"/>
      <c r="R41"/>
      <c r="S41"/>
      <c r="T41"/>
      <c r="U41"/>
      <c r="V41"/>
      <c r="W41"/>
      <c r="X41"/>
    </row>
    <row r="42" spans="1:24" s="109" customFormat="1" x14ac:dyDescent="0.2">
      <c r="A42" s="20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73"/>
      <c r="Q42" s="273"/>
      <c r="R42"/>
      <c r="S42"/>
      <c r="T42"/>
      <c r="U42"/>
      <c r="V42"/>
      <c r="W42"/>
      <c r="X42"/>
    </row>
    <row r="43" spans="1:24" s="109" customFormat="1" x14ac:dyDescent="0.2">
      <c r="A43" s="205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73"/>
      <c r="Q43" s="273"/>
      <c r="R43"/>
      <c r="S43"/>
      <c r="T43"/>
      <c r="U43"/>
      <c r="V43"/>
      <c r="W43"/>
      <c r="X43"/>
    </row>
    <row r="44" spans="1:24" s="109" customFormat="1" x14ac:dyDescent="0.2">
      <c r="A44" s="205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73"/>
      <c r="Q44" s="273"/>
      <c r="R44"/>
      <c r="S44"/>
      <c r="T44"/>
      <c r="U44"/>
      <c r="V44"/>
      <c r="W44"/>
      <c r="X44"/>
    </row>
    <row r="45" spans="1:24" s="109" customFormat="1" x14ac:dyDescent="0.2">
      <c r="A45" s="20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73"/>
      <c r="Q45" s="273"/>
      <c r="R45"/>
      <c r="S45"/>
      <c r="T45"/>
      <c r="U45"/>
      <c r="V45"/>
      <c r="W45"/>
      <c r="X45"/>
    </row>
    <row r="46" spans="1:24" s="109" customFormat="1" x14ac:dyDescent="0.2">
      <c r="A46" s="205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73"/>
      <c r="Q46" s="273"/>
      <c r="R46"/>
      <c r="S46"/>
      <c r="T46"/>
      <c r="U46"/>
      <c r="V46"/>
      <c r="W46"/>
      <c r="X46"/>
    </row>
    <row r="47" spans="1:24" s="109" customFormat="1" x14ac:dyDescent="0.2">
      <c r="A47" s="205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73"/>
      <c r="Q47" s="273"/>
      <c r="R47"/>
      <c r="S47"/>
      <c r="T47"/>
      <c r="U47"/>
      <c r="V47"/>
      <c r="W47"/>
      <c r="X47"/>
    </row>
    <row r="48" spans="1:24" s="109" customFormat="1" x14ac:dyDescent="0.2">
      <c r="A48" s="205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73"/>
      <c r="Q48" s="273"/>
      <c r="R48"/>
      <c r="S48"/>
      <c r="T48"/>
      <c r="U48"/>
      <c r="V48"/>
      <c r="W48"/>
      <c r="X48"/>
    </row>
    <row r="49" spans="1:24" s="109" customFormat="1" x14ac:dyDescent="0.2">
      <c r="A49" s="205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73"/>
      <c r="Q49" s="273"/>
      <c r="R49"/>
      <c r="S49"/>
      <c r="T49"/>
      <c r="U49"/>
      <c r="V49"/>
      <c r="W49"/>
      <c r="X49"/>
    </row>
    <row r="50" spans="1:24" s="109" customFormat="1" x14ac:dyDescent="0.2">
      <c r="A50" s="205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73"/>
      <c r="Q50" s="273"/>
      <c r="R50"/>
      <c r="S50"/>
      <c r="T50"/>
      <c r="U50"/>
      <c r="V50"/>
      <c r="W50"/>
      <c r="X50"/>
    </row>
    <row r="51" spans="1:24" s="109" customFormat="1" x14ac:dyDescent="0.2">
      <c r="A51" s="205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73"/>
      <c r="Q51" s="273"/>
      <c r="R51"/>
      <c r="S51"/>
      <c r="T51"/>
      <c r="U51"/>
      <c r="V51"/>
      <c r="W51"/>
      <c r="X51"/>
    </row>
    <row r="52" spans="1:24" s="109" customFormat="1" x14ac:dyDescent="0.2">
      <c r="A52" s="205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73"/>
      <c r="Q52" s="273"/>
      <c r="R52"/>
      <c r="S52"/>
      <c r="T52"/>
      <c r="U52"/>
      <c r="V52"/>
      <c r="W52"/>
      <c r="X52"/>
    </row>
    <row r="53" spans="1:24" s="109" customFormat="1" x14ac:dyDescent="0.2">
      <c r="A53" s="205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73"/>
      <c r="Q53" s="273"/>
      <c r="R53"/>
      <c r="S53"/>
      <c r="T53"/>
      <c r="U53"/>
      <c r="V53"/>
      <c r="W53"/>
      <c r="X53"/>
    </row>
    <row r="54" spans="1:24" s="109" customFormat="1" x14ac:dyDescent="0.2">
      <c r="A54" s="205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73"/>
      <c r="Q54" s="273"/>
      <c r="R54"/>
      <c r="S54"/>
      <c r="T54"/>
      <c r="U54"/>
      <c r="V54"/>
      <c r="W54"/>
      <c r="X54"/>
    </row>
    <row r="55" spans="1:24" s="109" customFormat="1" x14ac:dyDescent="0.2">
      <c r="A55" s="20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73"/>
      <c r="Q55" s="273"/>
      <c r="R55"/>
      <c r="S55"/>
      <c r="T55"/>
      <c r="U55"/>
      <c r="V55"/>
      <c r="W55"/>
      <c r="X55"/>
    </row>
    <row r="56" spans="1:24" s="109" customFormat="1" x14ac:dyDescent="0.2">
      <c r="A56" s="205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73"/>
      <c r="Q56" s="273"/>
      <c r="R56"/>
      <c r="S56"/>
      <c r="T56"/>
      <c r="U56"/>
      <c r="V56"/>
      <c r="W56"/>
      <c r="X56"/>
    </row>
    <row r="57" spans="1:24" s="109" customFormat="1" x14ac:dyDescent="0.2">
      <c r="A57" s="205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73"/>
      <c r="Q57" s="273"/>
      <c r="R57"/>
      <c r="S57"/>
      <c r="T57"/>
      <c r="U57"/>
      <c r="V57"/>
      <c r="W57"/>
      <c r="X57"/>
    </row>
    <row r="58" spans="1:24" s="109" customFormat="1" x14ac:dyDescent="0.2">
      <c r="A58" s="205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73"/>
      <c r="Q58" s="273"/>
      <c r="R58"/>
      <c r="S58"/>
      <c r="T58"/>
      <c r="U58"/>
      <c r="V58"/>
      <c r="W58"/>
      <c r="X58"/>
    </row>
    <row r="59" spans="1:24" s="109" customFormat="1" x14ac:dyDescent="0.2">
      <c r="A59" s="20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73"/>
      <c r="Q59" s="273"/>
      <c r="R59"/>
      <c r="S59"/>
      <c r="T59"/>
      <c r="U59"/>
      <c r="V59"/>
      <c r="W59"/>
      <c r="X59"/>
    </row>
    <row r="60" spans="1:24" s="109" customFormat="1" x14ac:dyDescent="0.2">
      <c r="A60" s="205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73"/>
      <c r="Q60" s="273"/>
      <c r="R60"/>
      <c r="S60"/>
      <c r="T60"/>
      <c r="U60"/>
      <c r="V60"/>
      <c r="W60"/>
      <c r="X60"/>
    </row>
    <row r="61" spans="1:24" s="109" customFormat="1" x14ac:dyDescent="0.2">
      <c r="A61" s="20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73"/>
      <c r="Q61" s="273"/>
      <c r="R61"/>
      <c r="S61"/>
      <c r="T61"/>
      <c r="U61"/>
      <c r="V61"/>
      <c r="W61"/>
      <c r="X61"/>
    </row>
    <row r="62" spans="1:24" s="109" customFormat="1" x14ac:dyDescent="0.2">
      <c r="A62" s="205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73"/>
      <c r="Q62" s="273"/>
      <c r="R62"/>
      <c r="S62"/>
      <c r="T62"/>
      <c r="U62"/>
      <c r="V62"/>
      <c r="W62"/>
      <c r="X62"/>
    </row>
    <row r="63" spans="1:24" s="109" customFormat="1" x14ac:dyDescent="0.2">
      <c r="A63" s="205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73"/>
      <c r="Q63" s="273"/>
      <c r="R63"/>
      <c r="S63"/>
      <c r="T63"/>
      <c r="U63"/>
      <c r="V63"/>
      <c r="W63"/>
      <c r="X63"/>
    </row>
    <row r="64" spans="1:24" s="109" customFormat="1" x14ac:dyDescent="0.2">
      <c r="A64" s="205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73"/>
      <c r="Q64" s="273"/>
      <c r="R64"/>
      <c r="S64"/>
      <c r="T64"/>
      <c r="U64"/>
      <c r="V64"/>
      <c r="W64"/>
      <c r="X64"/>
    </row>
    <row r="65" spans="1:24" s="109" customFormat="1" x14ac:dyDescent="0.2">
      <c r="A65" s="20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73"/>
      <c r="Q65" s="273"/>
      <c r="R65"/>
      <c r="S65"/>
      <c r="T65"/>
      <c r="U65"/>
      <c r="V65"/>
      <c r="W65"/>
      <c r="X65"/>
    </row>
    <row r="66" spans="1:24" s="109" customFormat="1" x14ac:dyDescent="0.2">
      <c r="A66" s="205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73"/>
      <c r="Q66" s="273"/>
      <c r="R66"/>
      <c r="S66"/>
      <c r="T66"/>
      <c r="U66"/>
      <c r="V66"/>
      <c r="W66"/>
      <c r="X66"/>
    </row>
    <row r="67" spans="1:24" s="109" customFormat="1" x14ac:dyDescent="0.2">
      <c r="A67" s="20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73"/>
      <c r="Q67" s="273"/>
      <c r="R67"/>
      <c r="S67"/>
      <c r="T67"/>
      <c r="U67"/>
      <c r="V67"/>
      <c r="W67"/>
      <c r="X67"/>
    </row>
    <row r="68" spans="1:24" s="109" customFormat="1" x14ac:dyDescent="0.2">
      <c r="A68" s="20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73"/>
      <c r="Q68" s="273"/>
      <c r="R68"/>
      <c r="S68"/>
      <c r="T68"/>
      <c r="U68"/>
      <c r="V68"/>
      <c r="W68"/>
      <c r="X68"/>
    </row>
    <row r="69" spans="1:24" s="109" customFormat="1" x14ac:dyDescent="0.2">
      <c r="A69" s="20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73"/>
      <c r="Q69" s="273"/>
      <c r="R69"/>
      <c r="S69"/>
      <c r="T69"/>
      <c r="U69"/>
      <c r="V69"/>
      <c r="W69"/>
      <c r="X69"/>
    </row>
    <row r="70" spans="1:24" s="109" customFormat="1" x14ac:dyDescent="0.2">
      <c r="A70" s="20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73"/>
      <c r="Q70" s="273"/>
      <c r="R70"/>
      <c r="S70"/>
      <c r="T70"/>
      <c r="U70"/>
      <c r="V70"/>
      <c r="W70"/>
      <c r="X70"/>
    </row>
    <row r="71" spans="1:24" s="109" customFormat="1" x14ac:dyDescent="0.2">
      <c r="A71" s="20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73"/>
      <c r="Q71" s="273"/>
      <c r="R71"/>
      <c r="S71"/>
      <c r="T71"/>
      <c r="U71"/>
      <c r="V71"/>
      <c r="W71"/>
      <c r="X71"/>
    </row>
    <row r="72" spans="1:24" s="109" customFormat="1" x14ac:dyDescent="0.2">
      <c r="A72" s="20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73"/>
      <c r="Q72" s="273"/>
      <c r="R72"/>
      <c r="S72"/>
      <c r="T72"/>
      <c r="U72"/>
      <c r="V72"/>
      <c r="W72"/>
      <c r="X72"/>
    </row>
    <row r="73" spans="1:24" s="109" customFormat="1" x14ac:dyDescent="0.2">
      <c r="A73" s="20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73"/>
      <c r="Q73" s="273"/>
      <c r="R73"/>
      <c r="S73"/>
      <c r="T73"/>
      <c r="U73"/>
      <c r="V73"/>
      <c r="W73"/>
      <c r="X73"/>
    </row>
    <row r="74" spans="1:24" s="109" customFormat="1" x14ac:dyDescent="0.2">
      <c r="A74" s="20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73"/>
      <c r="Q74" s="273"/>
      <c r="R74"/>
      <c r="S74"/>
      <c r="T74"/>
      <c r="U74"/>
      <c r="V74"/>
      <c r="W74"/>
      <c r="X74"/>
    </row>
    <row r="75" spans="1:24" s="109" customFormat="1" x14ac:dyDescent="0.2">
      <c r="A75" s="20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73"/>
      <c r="Q75" s="273"/>
      <c r="R75"/>
      <c r="S75"/>
      <c r="T75"/>
      <c r="U75"/>
      <c r="V75"/>
      <c r="W75"/>
      <c r="X75"/>
    </row>
    <row r="76" spans="1:24" s="109" customFormat="1" x14ac:dyDescent="0.2">
      <c r="A76" s="20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73"/>
      <c r="Q76" s="273"/>
      <c r="R76"/>
      <c r="S76"/>
      <c r="T76"/>
      <c r="U76"/>
      <c r="V76"/>
      <c r="W76"/>
      <c r="X76"/>
    </row>
    <row r="77" spans="1:24" s="109" customFormat="1" x14ac:dyDescent="0.2">
      <c r="A77" s="20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73"/>
      <c r="Q77" s="273"/>
      <c r="R77"/>
      <c r="S77"/>
      <c r="T77"/>
      <c r="U77"/>
      <c r="V77"/>
      <c r="W77"/>
      <c r="X77"/>
    </row>
    <row r="78" spans="1:24" s="109" customFormat="1" x14ac:dyDescent="0.2">
      <c r="A78" s="20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73"/>
      <c r="Q78" s="273"/>
      <c r="R78"/>
      <c r="S78"/>
      <c r="T78"/>
      <c r="U78"/>
      <c r="V78"/>
      <c r="W78"/>
      <c r="X78"/>
    </row>
    <row r="79" spans="1:24" s="109" customFormat="1" x14ac:dyDescent="0.2">
      <c r="A79" s="20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73"/>
      <c r="Q79" s="273"/>
      <c r="R79"/>
      <c r="S79"/>
      <c r="T79"/>
      <c r="U79"/>
      <c r="V79"/>
      <c r="W79"/>
      <c r="X79"/>
    </row>
    <row r="80" spans="1:24" s="109" customFormat="1" x14ac:dyDescent="0.2">
      <c r="A80" s="20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73"/>
      <c r="Q80" s="273"/>
      <c r="R80"/>
      <c r="S80"/>
      <c r="T80"/>
      <c r="U80"/>
      <c r="V80"/>
      <c r="W80"/>
      <c r="X80"/>
    </row>
    <row r="81" spans="1:24" s="109" customFormat="1" x14ac:dyDescent="0.2">
      <c r="A81" s="20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73"/>
      <c r="Q81" s="273"/>
      <c r="R81"/>
      <c r="S81"/>
      <c r="T81"/>
      <c r="U81"/>
      <c r="V81"/>
      <c r="W81"/>
      <c r="X81"/>
    </row>
    <row r="82" spans="1:24" s="109" customFormat="1" x14ac:dyDescent="0.2">
      <c r="A82" s="20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73"/>
      <c r="Q82" s="273"/>
      <c r="R82"/>
      <c r="S82"/>
      <c r="T82"/>
      <c r="U82"/>
      <c r="V82"/>
      <c r="W82"/>
      <c r="X82"/>
    </row>
    <row r="83" spans="1:24" s="109" customFormat="1" x14ac:dyDescent="0.2">
      <c r="A83" s="20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73"/>
      <c r="Q83" s="273"/>
      <c r="R83"/>
      <c r="S83"/>
      <c r="T83"/>
      <c r="U83"/>
      <c r="V83"/>
      <c r="W83"/>
      <c r="X83"/>
    </row>
    <row r="84" spans="1:24" s="109" customFormat="1" x14ac:dyDescent="0.2">
      <c r="A84" s="20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73"/>
      <c r="Q84" s="273"/>
      <c r="R84"/>
      <c r="S84"/>
      <c r="T84"/>
      <c r="U84"/>
      <c r="V84"/>
      <c r="W84"/>
      <c r="X84"/>
    </row>
    <row r="85" spans="1:24" s="109" customFormat="1" x14ac:dyDescent="0.2">
      <c r="A85" s="20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73"/>
      <c r="Q85" s="273"/>
      <c r="R85"/>
      <c r="S85"/>
      <c r="T85"/>
      <c r="U85"/>
      <c r="V85"/>
      <c r="W85"/>
      <c r="X85"/>
    </row>
    <row r="86" spans="1:24" s="109" customFormat="1" x14ac:dyDescent="0.2">
      <c r="A86" s="20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73"/>
      <c r="Q86" s="273"/>
      <c r="R86"/>
      <c r="S86"/>
      <c r="T86"/>
      <c r="U86"/>
      <c r="V86"/>
      <c r="W86"/>
      <c r="X86"/>
    </row>
    <row r="87" spans="1:24" s="109" customFormat="1" x14ac:dyDescent="0.2">
      <c r="A87" s="20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73"/>
      <c r="Q87" s="273"/>
      <c r="R87"/>
      <c r="S87"/>
      <c r="T87"/>
      <c r="U87"/>
      <c r="V87"/>
      <c r="W87"/>
      <c r="X87"/>
    </row>
    <row r="88" spans="1:24" s="109" customFormat="1" x14ac:dyDescent="0.2">
      <c r="A88" s="20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73"/>
      <c r="Q88" s="273"/>
      <c r="R88"/>
      <c r="S88"/>
      <c r="T88"/>
      <c r="U88"/>
      <c r="V88"/>
      <c r="W88"/>
      <c r="X88"/>
    </row>
    <row r="89" spans="1:24" s="109" customFormat="1" x14ac:dyDescent="0.2">
      <c r="A89" s="20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73"/>
      <c r="Q89" s="273"/>
      <c r="R89"/>
      <c r="S89"/>
      <c r="T89"/>
      <c r="U89"/>
      <c r="V89"/>
      <c r="W89"/>
      <c r="X89"/>
    </row>
    <row r="90" spans="1:24" s="109" customFormat="1" x14ac:dyDescent="0.2">
      <c r="A90" s="20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73"/>
      <c r="Q90" s="273"/>
      <c r="R90"/>
      <c r="S90"/>
      <c r="T90"/>
      <c r="U90"/>
      <c r="V90"/>
      <c r="W90"/>
      <c r="X90"/>
    </row>
    <row r="91" spans="1:24" s="109" customFormat="1" x14ac:dyDescent="0.2">
      <c r="A91" s="20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73"/>
      <c r="Q91" s="273"/>
      <c r="R91"/>
      <c r="S91"/>
      <c r="T91"/>
      <c r="U91"/>
      <c r="V91"/>
      <c r="W91"/>
      <c r="X91"/>
    </row>
    <row r="92" spans="1:24" s="109" customFormat="1" x14ac:dyDescent="0.2">
      <c r="A92" s="20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73"/>
      <c r="Q92" s="273"/>
      <c r="R92"/>
      <c r="S92"/>
      <c r="T92"/>
      <c r="U92"/>
      <c r="V92"/>
      <c r="W92"/>
      <c r="X92"/>
    </row>
    <row r="93" spans="1:24" s="109" customFormat="1" x14ac:dyDescent="0.2">
      <c r="A93" s="20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73"/>
      <c r="Q93" s="273"/>
      <c r="R93"/>
      <c r="S93"/>
      <c r="T93"/>
      <c r="U93"/>
      <c r="V93"/>
      <c r="W93"/>
      <c r="X93"/>
    </row>
    <row r="94" spans="1:24" s="109" customFormat="1" x14ac:dyDescent="0.2">
      <c r="A94" s="20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73"/>
      <c r="Q94" s="273"/>
      <c r="R94"/>
      <c r="S94"/>
      <c r="T94"/>
      <c r="U94"/>
      <c r="V94"/>
      <c r="W94"/>
      <c r="X94"/>
    </row>
    <row r="95" spans="1:24" s="109" customFormat="1" x14ac:dyDescent="0.2">
      <c r="A95" s="20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73"/>
      <c r="Q95" s="273"/>
      <c r="R95"/>
      <c r="S95"/>
      <c r="T95"/>
      <c r="U95"/>
      <c r="V95"/>
      <c r="W95"/>
      <c r="X95"/>
    </row>
    <row r="96" spans="1:24" s="109" customFormat="1" x14ac:dyDescent="0.2">
      <c r="A96" s="20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73"/>
      <c r="Q96" s="273"/>
      <c r="R96"/>
      <c r="S96"/>
      <c r="T96"/>
      <c r="U96"/>
      <c r="V96"/>
      <c r="W96"/>
      <c r="X96"/>
    </row>
    <row r="97" spans="1:24" s="109" customFormat="1" x14ac:dyDescent="0.2">
      <c r="A97" s="20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73"/>
      <c r="Q97" s="273"/>
      <c r="R97"/>
      <c r="S97"/>
      <c r="T97"/>
      <c r="U97"/>
      <c r="V97"/>
      <c r="W97"/>
      <c r="X97"/>
    </row>
    <row r="98" spans="1:24" s="109" customFormat="1" x14ac:dyDescent="0.2">
      <c r="A98" s="20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73"/>
      <c r="Q98" s="273"/>
      <c r="R98"/>
      <c r="S98"/>
      <c r="T98"/>
      <c r="U98"/>
      <c r="V98"/>
      <c r="W98"/>
      <c r="X98"/>
    </row>
    <row r="99" spans="1:24" s="109" customFormat="1" x14ac:dyDescent="0.2">
      <c r="A99" s="20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73"/>
      <c r="Q99" s="273"/>
      <c r="R99"/>
      <c r="S99"/>
      <c r="T99"/>
      <c r="U99"/>
      <c r="V99"/>
      <c r="W99"/>
      <c r="X99"/>
    </row>
    <row r="100" spans="1:24" s="109" customFormat="1" x14ac:dyDescent="0.2">
      <c r="A100" s="20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73"/>
      <c r="Q100" s="273"/>
      <c r="R100"/>
      <c r="S100"/>
      <c r="T100"/>
      <c r="U100"/>
      <c r="V100"/>
      <c r="W100"/>
      <c r="X100"/>
    </row>
    <row r="101" spans="1:24" s="109" customFormat="1" x14ac:dyDescent="0.2">
      <c r="A101" s="20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73"/>
      <c r="Q101" s="273"/>
      <c r="R101"/>
      <c r="S101"/>
      <c r="T101"/>
      <c r="U101"/>
      <c r="V101"/>
      <c r="W101"/>
      <c r="X101"/>
    </row>
    <row r="102" spans="1:24" s="109" customFormat="1" x14ac:dyDescent="0.2">
      <c r="A102" s="20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73"/>
      <c r="Q102" s="273"/>
      <c r="R102"/>
      <c r="S102"/>
      <c r="T102"/>
      <c r="U102"/>
      <c r="V102"/>
      <c r="W102"/>
      <c r="X102"/>
    </row>
    <row r="103" spans="1:24" s="109" customFormat="1" x14ac:dyDescent="0.2">
      <c r="A103" s="20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73"/>
      <c r="Q103" s="273"/>
      <c r="R103"/>
      <c r="S103"/>
      <c r="T103"/>
      <c r="U103"/>
      <c r="V103"/>
      <c r="W103"/>
      <c r="X103"/>
    </row>
    <row r="104" spans="1:24" s="109" customFormat="1" x14ac:dyDescent="0.2">
      <c r="A104" s="20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73"/>
      <c r="Q104" s="273"/>
      <c r="R104"/>
      <c r="S104"/>
      <c r="T104"/>
      <c r="U104"/>
      <c r="V104"/>
      <c r="W104"/>
      <c r="X104"/>
    </row>
    <row r="105" spans="1:24" s="109" customFormat="1" x14ac:dyDescent="0.2">
      <c r="A105" s="2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73"/>
      <c r="Q105" s="273"/>
      <c r="R105"/>
      <c r="S105"/>
      <c r="T105"/>
      <c r="U105"/>
      <c r="V105"/>
      <c r="W105"/>
      <c r="X105"/>
    </row>
    <row r="106" spans="1:24" s="109" customFormat="1" x14ac:dyDescent="0.2">
      <c r="A106" s="20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73"/>
      <c r="Q106" s="273"/>
      <c r="R106"/>
      <c r="S106"/>
      <c r="T106"/>
      <c r="U106"/>
      <c r="V106"/>
      <c r="W106"/>
      <c r="X106"/>
    </row>
    <row r="107" spans="1:24" s="109" customFormat="1" x14ac:dyDescent="0.2">
      <c r="A107" s="20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73"/>
      <c r="Q107" s="273"/>
      <c r="R107"/>
      <c r="S107"/>
      <c r="T107"/>
      <c r="U107"/>
      <c r="V107"/>
      <c r="W107"/>
      <c r="X107"/>
    </row>
    <row r="108" spans="1:24" s="109" customFormat="1" x14ac:dyDescent="0.2">
      <c r="A108" s="20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73"/>
      <c r="Q108" s="273"/>
      <c r="R108"/>
      <c r="S108"/>
      <c r="T108"/>
      <c r="U108"/>
      <c r="V108"/>
      <c r="W108"/>
      <c r="X108"/>
    </row>
    <row r="109" spans="1:24" s="109" customFormat="1" x14ac:dyDescent="0.2">
      <c r="A109" s="20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73"/>
      <c r="Q109" s="273"/>
      <c r="R109"/>
      <c r="S109"/>
      <c r="T109"/>
      <c r="U109"/>
      <c r="V109"/>
      <c r="W109"/>
      <c r="X109"/>
    </row>
    <row r="110" spans="1:24" s="109" customFormat="1" x14ac:dyDescent="0.2">
      <c r="A110" s="20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73"/>
      <c r="Q110" s="273"/>
      <c r="R110"/>
      <c r="S110"/>
      <c r="T110"/>
      <c r="U110"/>
      <c r="V110"/>
      <c r="W110"/>
      <c r="X110"/>
    </row>
    <row r="111" spans="1:24" s="109" customFormat="1" x14ac:dyDescent="0.2">
      <c r="A111" s="20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73"/>
      <c r="Q111" s="273"/>
      <c r="R111"/>
      <c r="S111"/>
      <c r="T111"/>
      <c r="U111"/>
      <c r="V111"/>
      <c r="W111"/>
      <c r="X111"/>
    </row>
    <row r="112" spans="1:24" s="109" customFormat="1" x14ac:dyDescent="0.2">
      <c r="A112" s="20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73"/>
      <c r="Q112" s="273"/>
      <c r="R112"/>
      <c r="S112"/>
      <c r="T112"/>
      <c r="U112"/>
      <c r="V112"/>
      <c r="W112"/>
      <c r="X112"/>
    </row>
    <row r="113" spans="1:24" s="109" customFormat="1" x14ac:dyDescent="0.2">
      <c r="A113" s="20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73"/>
      <c r="Q113" s="273"/>
      <c r="R113"/>
      <c r="S113"/>
      <c r="T113"/>
      <c r="U113"/>
      <c r="V113"/>
      <c r="W113"/>
      <c r="X113"/>
    </row>
    <row r="114" spans="1:24" s="109" customFormat="1" x14ac:dyDescent="0.2">
      <c r="A114" s="20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73"/>
      <c r="Q114" s="273"/>
      <c r="R114"/>
      <c r="S114"/>
      <c r="T114"/>
      <c r="U114"/>
      <c r="V114"/>
      <c r="W114"/>
      <c r="X114"/>
    </row>
    <row r="115" spans="1:24" s="109" customFormat="1" x14ac:dyDescent="0.2">
      <c r="A115" s="20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73"/>
      <c r="Q115" s="273"/>
      <c r="R115"/>
      <c r="S115"/>
      <c r="T115"/>
      <c r="U115"/>
      <c r="V115"/>
      <c r="W115"/>
      <c r="X115"/>
    </row>
    <row r="116" spans="1:24" s="109" customFormat="1" x14ac:dyDescent="0.2">
      <c r="A116" s="20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73"/>
      <c r="Q116" s="273"/>
      <c r="R116"/>
      <c r="S116"/>
      <c r="T116"/>
      <c r="U116"/>
      <c r="V116"/>
      <c r="W116"/>
      <c r="X116"/>
    </row>
    <row r="117" spans="1:24" s="109" customFormat="1" x14ac:dyDescent="0.2">
      <c r="A117" s="20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73"/>
      <c r="Q117" s="273"/>
      <c r="R117"/>
      <c r="S117"/>
      <c r="T117"/>
      <c r="U117"/>
      <c r="V117"/>
      <c r="W117"/>
      <c r="X117"/>
    </row>
    <row r="118" spans="1:24" s="109" customFormat="1" x14ac:dyDescent="0.2">
      <c r="A118" s="20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73"/>
      <c r="Q118" s="273"/>
      <c r="R118"/>
      <c r="S118"/>
      <c r="T118"/>
      <c r="U118"/>
      <c r="V118"/>
      <c r="W118"/>
      <c r="X118"/>
    </row>
    <row r="119" spans="1:24" s="109" customFormat="1" x14ac:dyDescent="0.2">
      <c r="A119" s="20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73"/>
      <c r="Q119" s="273"/>
      <c r="R119"/>
      <c r="S119"/>
      <c r="T119"/>
      <c r="U119"/>
      <c r="V119"/>
      <c r="W119"/>
      <c r="X119"/>
    </row>
    <row r="120" spans="1:24" s="109" customFormat="1" x14ac:dyDescent="0.2">
      <c r="A120" s="20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73"/>
      <c r="Q120" s="273"/>
      <c r="R120"/>
      <c r="S120"/>
      <c r="T120"/>
      <c r="U120"/>
      <c r="V120"/>
      <c r="W120"/>
      <c r="X120"/>
    </row>
    <row r="121" spans="1:24" s="109" customFormat="1" x14ac:dyDescent="0.2">
      <c r="A121" s="20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73"/>
      <c r="Q121" s="273"/>
      <c r="R121"/>
      <c r="S121"/>
      <c r="T121"/>
      <c r="U121"/>
      <c r="V121"/>
      <c r="W121"/>
      <c r="X121"/>
    </row>
    <row r="122" spans="1:24" s="109" customFormat="1" x14ac:dyDescent="0.2">
      <c r="A122" s="20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73"/>
      <c r="Q122" s="273"/>
      <c r="R122"/>
      <c r="S122"/>
      <c r="T122"/>
      <c r="U122"/>
      <c r="V122"/>
      <c r="W122"/>
      <c r="X122"/>
    </row>
    <row r="123" spans="1:24" s="109" customFormat="1" x14ac:dyDescent="0.2">
      <c r="A123" s="20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73"/>
      <c r="Q123" s="273"/>
      <c r="R123"/>
      <c r="S123"/>
      <c r="T123"/>
      <c r="U123"/>
      <c r="V123"/>
      <c r="W123"/>
      <c r="X123"/>
    </row>
    <row r="124" spans="1:24" s="109" customFormat="1" x14ac:dyDescent="0.2">
      <c r="A124" s="20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73"/>
      <c r="Q124" s="273"/>
      <c r="R124"/>
      <c r="S124"/>
      <c r="T124"/>
      <c r="U124"/>
      <c r="V124"/>
      <c r="W124"/>
      <c r="X124"/>
    </row>
    <row r="125" spans="1:24" s="109" customFormat="1" x14ac:dyDescent="0.2">
      <c r="A125" s="20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73"/>
      <c r="Q125" s="273"/>
      <c r="R125"/>
      <c r="S125"/>
      <c r="T125"/>
      <c r="U125"/>
      <c r="V125"/>
      <c r="W125"/>
      <c r="X125"/>
    </row>
    <row r="126" spans="1:24" s="109" customFormat="1" x14ac:dyDescent="0.2">
      <c r="A126" s="20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73"/>
      <c r="Q126" s="273"/>
      <c r="R126"/>
      <c r="S126"/>
      <c r="T126"/>
      <c r="U126"/>
      <c r="V126"/>
      <c r="W126"/>
      <c r="X126"/>
    </row>
    <row r="127" spans="1:24" s="109" customFormat="1" x14ac:dyDescent="0.2">
      <c r="A127" s="20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73"/>
      <c r="Q127" s="273"/>
      <c r="R127"/>
      <c r="S127"/>
      <c r="T127"/>
      <c r="U127"/>
      <c r="V127"/>
      <c r="W127"/>
      <c r="X127"/>
    </row>
    <row r="128" spans="1:24" s="109" customFormat="1" x14ac:dyDescent="0.2">
      <c r="A128" s="20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73"/>
      <c r="Q128" s="273"/>
      <c r="R128"/>
      <c r="S128"/>
      <c r="T128"/>
      <c r="U128"/>
      <c r="V128"/>
      <c r="W128"/>
      <c r="X128"/>
    </row>
    <row r="129" spans="1:24" s="109" customFormat="1" x14ac:dyDescent="0.2">
      <c r="A129" s="20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73"/>
      <c r="Q129" s="273"/>
      <c r="R129"/>
      <c r="S129"/>
      <c r="T129"/>
      <c r="U129"/>
      <c r="V129"/>
      <c r="W129"/>
      <c r="X129"/>
    </row>
    <row r="130" spans="1:24" s="109" customFormat="1" x14ac:dyDescent="0.2">
      <c r="A130" s="20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73"/>
      <c r="Q130" s="273"/>
      <c r="R130"/>
      <c r="S130"/>
      <c r="T130"/>
      <c r="U130"/>
      <c r="V130"/>
      <c r="W130"/>
      <c r="X130"/>
    </row>
    <row r="131" spans="1:24" s="109" customFormat="1" x14ac:dyDescent="0.2">
      <c r="A131" s="20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73"/>
      <c r="Q131" s="273"/>
      <c r="R131"/>
      <c r="S131"/>
      <c r="T131"/>
      <c r="U131"/>
      <c r="V131"/>
      <c r="W131"/>
      <c r="X131"/>
    </row>
    <row r="132" spans="1:24" s="109" customFormat="1" x14ac:dyDescent="0.2">
      <c r="A132" s="20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73"/>
      <c r="Q132" s="273"/>
      <c r="R132"/>
      <c r="S132"/>
      <c r="T132"/>
      <c r="U132"/>
      <c r="V132"/>
      <c r="W132"/>
      <c r="X132"/>
    </row>
    <row r="133" spans="1:24" s="109" customFormat="1" x14ac:dyDescent="0.2">
      <c r="A133" s="20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73"/>
      <c r="Q133" s="273"/>
      <c r="R133"/>
      <c r="S133"/>
      <c r="T133"/>
      <c r="U133"/>
      <c r="V133"/>
      <c r="W133"/>
      <c r="X133"/>
    </row>
    <row r="134" spans="1:24" s="109" customFormat="1" x14ac:dyDescent="0.2">
      <c r="A134" s="20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73"/>
      <c r="Q134" s="273"/>
      <c r="R134"/>
      <c r="S134"/>
      <c r="T134"/>
      <c r="U134"/>
      <c r="V134"/>
      <c r="W134"/>
      <c r="X134"/>
    </row>
    <row r="135" spans="1:24" s="109" customFormat="1" x14ac:dyDescent="0.2">
      <c r="A135" s="20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73"/>
      <c r="Q135" s="273"/>
      <c r="R135"/>
      <c r="S135"/>
      <c r="T135"/>
      <c r="U135"/>
      <c r="V135"/>
      <c r="W135"/>
      <c r="X135"/>
    </row>
    <row r="136" spans="1:24" s="109" customFormat="1" x14ac:dyDescent="0.2">
      <c r="A136" s="20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73"/>
      <c r="Q136" s="273"/>
      <c r="R136"/>
      <c r="S136"/>
      <c r="T136"/>
      <c r="U136"/>
      <c r="V136"/>
      <c r="W136"/>
      <c r="X136"/>
    </row>
    <row r="137" spans="1:24" s="109" customFormat="1" x14ac:dyDescent="0.2">
      <c r="A137" s="20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73"/>
      <c r="Q137" s="273"/>
      <c r="R137"/>
      <c r="S137"/>
      <c r="T137"/>
      <c r="U137"/>
      <c r="V137"/>
      <c r="W137"/>
      <c r="X137"/>
    </row>
    <row r="138" spans="1:24" s="109" customFormat="1" x14ac:dyDescent="0.2">
      <c r="A138" s="20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73"/>
      <c r="Q138" s="273"/>
      <c r="R138"/>
      <c r="S138"/>
      <c r="T138"/>
      <c r="U138"/>
      <c r="V138"/>
      <c r="W138"/>
      <c r="X138"/>
    </row>
    <row r="139" spans="1:24" s="109" customFormat="1" x14ac:dyDescent="0.2">
      <c r="A139" s="205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73"/>
      <c r="Q139" s="273"/>
      <c r="R139"/>
      <c r="S139"/>
      <c r="T139"/>
      <c r="U139"/>
      <c r="V139"/>
      <c r="W139"/>
      <c r="X139"/>
    </row>
    <row r="140" spans="1:24" s="109" customFormat="1" x14ac:dyDescent="0.2">
      <c r="A140" s="205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73"/>
      <c r="Q140" s="273"/>
      <c r="R140"/>
      <c r="S140"/>
      <c r="T140"/>
      <c r="U140"/>
      <c r="V140"/>
      <c r="W140"/>
      <c r="X140"/>
    </row>
    <row r="141" spans="1:24" s="109" customFormat="1" x14ac:dyDescent="0.2">
      <c r="A141" s="205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73"/>
      <c r="Q141" s="273"/>
      <c r="R141"/>
      <c r="S141"/>
      <c r="T141"/>
      <c r="U141"/>
      <c r="V141"/>
      <c r="W141"/>
      <c r="X141"/>
    </row>
    <row r="142" spans="1:24" s="109" customFormat="1" x14ac:dyDescent="0.2">
      <c r="A142" s="205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73"/>
      <c r="Q142" s="273"/>
      <c r="R142"/>
      <c r="S142"/>
      <c r="T142"/>
      <c r="U142"/>
      <c r="V142"/>
      <c r="W142"/>
      <c r="X142"/>
    </row>
    <row r="143" spans="1:24" s="109" customFormat="1" x14ac:dyDescent="0.2">
      <c r="A143" s="205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73"/>
      <c r="Q143" s="273"/>
      <c r="R143"/>
      <c r="S143"/>
      <c r="T143"/>
      <c r="U143"/>
      <c r="V143"/>
      <c r="W143"/>
      <c r="X143"/>
    </row>
    <row r="144" spans="1:24" s="109" customFormat="1" x14ac:dyDescent="0.2">
      <c r="A144" s="205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73"/>
      <c r="Q144" s="273"/>
      <c r="R144"/>
      <c r="S144"/>
      <c r="T144"/>
      <c r="U144"/>
      <c r="V144"/>
      <c r="W144"/>
      <c r="X144"/>
    </row>
    <row r="145" spans="1:24" s="109" customFormat="1" x14ac:dyDescent="0.2">
      <c r="A145" s="20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73"/>
      <c r="Q145" s="273"/>
      <c r="R145"/>
      <c r="S145"/>
      <c r="T145"/>
      <c r="U145"/>
      <c r="V145"/>
      <c r="W145"/>
      <c r="X145"/>
    </row>
    <row r="146" spans="1:24" s="109" customFormat="1" x14ac:dyDescent="0.2">
      <c r="A146" s="205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73"/>
      <c r="Q146" s="273"/>
      <c r="R146"/>
      <c r="S146"/>
      <c r="T146"/>
      <c r="U146"/>
      <c r="V146"/>
      <c r="W146"/>
      <c r="X146"/>
    </row>
    <row r="147" spans="1:24" s="109" customFormat="1" x14ac:dyDescent="0.2">
      <c r="A147" s="205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73"/>
      <c r="Q147" s="273"/>
      <c r="R147"/>
      <c r="S147"/>
      <c r="T147"/>
      <c r="U147"/>
      <c r="V147"/>
      <c r="W147"/>
      <c r="X147"/>
    </row>
    <row r="148" spans="1:24" s="109" customFormat="1" x14ac:dyDescent="0.2">
      <c r="A148" s="205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73"/>
      <c r="Q148" s="273"/>
      <c r="R148"/>
      <c r="S148"/>
      <c r="T148"/>
      <c r="U148"/>
      <c r="V148"/>
      <c r="W148"/>
      <c r="X148"/>
    </row>
    <row r="149" spans="1:24" s="109" customFormat="1" x14ac:dyDescent="0.2">
      <c r="A149" s="205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73"/>
      <c r="Q149" s="273"/>
      <c r="R149"/>
      <c r="S149"/>
      <c r="T149"/>
      <c r="U149"/>
      <c r="V149"/>
      <c r="W149"/>
      <c r="X149"/>
    </row>
    <row r="150" spans="1:24" s="109" customFormat="1" x14ac:dyDescent="0.2">
      <c r="A150" s="205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73"/>
      <c r="Q150" s="273"/>
      <c r="R150"/>
      <c r="S150"/>
      <c r="T150"/>
      <c r="U150"/>
      <c r="V150"/>
      <c r="W150"/>
      <c r="X150"/>
    </row>
    <row r="151" spans="1:24" s="109" customFormat="1" x14ac:dyDescent="0.2">
      <c r="A151" s="205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73"/>
      <c r="Q151" s="273"/>
      <c r="R151"/>
      <c r="S151"/>
      <c r="T151"/>
      <c r="U151"/>
      <c r="V151"/>
      <c r="W151"/>
      <c r="X151"/>
    </row>
    <row r="152" spans="1:24" s="109" customFormat="1" x14ac:dyDescent="0.2">
      <c r="A152" s="205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73"/>
      <c r="Q152" s="273"/>
      <c r="R152"/>
      <c r="S152"/>
      <c r="T152"/>
      <c r="U152"/>
      <c r="V152"/>
      <c r="W152"/>
      <c r="X152"/>
    </row>
    <row r="153" spans="1:24" s="109" customFormat="1" x14ac:dyDescent="0.2">
      <c r="A153" s="205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73"/>
      <c r="Q153" s="273"/>
      <c r="R153"/>
      <c r="S153"/>
      <c r="T153"/>
      <c r="U153"/>
      <c r="V153"/>
      <c r="W153"/>
      <c r="X153"/>
    </row>
    <row r="154" spans="1:24" s="109" customFormat="1" x14ac:dyDescent="0.2">
      <c r="A154" s="205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73"/>
      <c r="Q154" s="273"/>
      <c r="R154"/>
      <c r="S154"/>
      <c r="T154"/>
      <c r="U154"/>
      <c r="V154"/>
      <c r="W154"/>
      <c r="X154"/>
    </row>
    <row r="155" spans="1:24" s="109" customFormat="1" x14ac:dyDescent="0.2">
      <c r="A155" s="20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73"/>
      <c r="Q155" s="273"/>
      <c r="R155"/>
      <c r="S155"/>
      <c r="T155"/>
      <c r="U155"/>
      <c r="V155"/>
      <c r="W155"/>
      <c r="X155"/>
    </row>
    <row r="156" spans="1:24" s="109" customFormat="1" x14ac:dyDescent="0.2">
      <c r="A156" s="205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73"/>
      <c r="Q156" s="273"/>
      <c r="R156"/>
      <c r="S156"/>
      <c r="T156"/>
      <c r="U156"/>
      <c r="V156"/>
      <c r="W156"/>
      <c r="X156"/>
    </row>
    <row r="157" spans="1:24" s="109" customFormat="1" x14ac:dyDescent="0.2">
      <c r="A157" s="205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73"/>
      <c r="Q157" s="273"/>
      <c r="R157"/>
      <c r="S157"/>
      <c r="T157"/>
      <c r="U157"/>
      <c r="V157"/>
      <c r="W157"/>
      <c r="X157"/>
    </row>
    <row r="158" spans="1:24" s="109" customFormat="1" x14ac:dyDescent="0.2">
      <c r="A158" s="205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73"/>
      <c r="Q158" s="273"/>
      <c r="R158"/>
      <c r="S158"/>
      <c r="T158"/>
      <c r="U158"/>
      <c r="V158"/>
      <c r="W158"/>
      <c r="X158"/>
    </row>
    <row r="159" spans="1:24" s="109" customFormat="1" x14ac:dyDescent="0.2">
      <c r="A159" s="205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73"/>
      <c r="Q159" s="273"/>
      <c r="R159"/>
      <c r="S159"/>
      <c r="T159"/>
      <c r="U159"/>
      <c r="V159"/>
      <c r="W159"/>
      <c r="X159"/>
    </row>
    <row r="160" spans="1:24" s="109" customFormat="1" x14ac:dyDescent="0.2">
      <c r="A160" s="205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73"/>
      <c r="Q160" s="273"/>
      <c r="R160"/>
      <c r="S160"/>
      <c r="T160"/>
      <c r="U160"/>
      <c r="V160"/>
      <c r="W160"/>
      <c r="X160"/>
    </row>
    <row r="161" spans="1:24" s="109" customFormat="1" x14ac:dyDescent="0.2">
      <c r="A161" s="205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73"/>
      <c r="Q161" s="273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9"/>
    <col min="2" max="2" width="7.85546875" style="312" bestFit="1" customWidth="1"/>
    <col min="3" max="3" width="15.140625" style="312" customWidth="1"/>
    <col min="4" max="4" width="17.42578125" style="312" customWidth="1"/>
    <col min="5" max="5" width="16.140625" style="312" customWidth="1"/>
    <col min="6" max="6" width="14.5703125" style="312" customWidth="1"/>
    <col min="7" max="7" width="16.140625" style="312" customWidth="1"/>
    <col min="8" max="8" width="12.85546875" style="312" customWidth="1"/>
    <col min="9" max="9" width="14.140625" style="312" customWidth="1"/>
    <col min="10" max="12" width="12.5703125" style="312" customWidth="1"/>
    <col min="13" max="13" width="14.5703125" style="312" customWidth="1"/>
    <col min="14" max="14" width="15.5703125" style="312" customWidth="1"/>
    <col min="15" max="17" width="8.85546875" style="309"/>
    <col min="18" max="18" width="11" style="309" customWidth="1"/>
    <col min="19" max="16384" width="8.85546875" style="309"/>
  </cols>
  <sheetData>
    <row r="1" spans="1:14" x14ac:dyDescent="0.2">
      <c r="A1" s="310"/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</row>
    <row r="2" spans="1:14" x14ac:dyDescent="0.2">
      <c r="A2" s="311"/>
      <c r="B2" s="311"/>
      <c r="G2" s="311"/>
      <c r="H2" s="311"/>
      <c r="I2" s="311"/>
      <c r="J2" s="311"/>
      <c r="K2" s="311"/>
      <c r="L2" s="311"/>
      <c r="M2" s="311"/>
      <c r="N2" s="311"/>
    </row>
    <row r="3" spans="1:14" x14ac:dyDescent="0.2">
      <c r="A3" s="311"/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</row>
    <row r="4" spans="1:14" x14ac:dyDescent="0.2">
      <c r="A4" s="311"/>
      <c r="B4" s="311"/>
      <c r="G4" s="311"/>
      <c r="H4" s="311"/>
      <c r="I4" s="311"/>
      <c r="J4" s="311"/>
      <c r="K4" s="311"/>
      <c r="L4" s="311"/>
      <c r="M4" s="311"/>
    </row>
    <row r="5" spans="1:14" x14ac:dyDescent="0.2">
      <c r="A5" s="311"/>
      <c r="B5" s="311"/>
      <c r="G5" s="311"/>
      <c r="H5" s="311"/>
      <c r="I5" s="311"/>
      <c r="J5" s="311"/>
      <c r="K5" s="311"/>
      <c r="L5" s="311"/>
      <c r="M5" s="311"/>
    </row>
    <row r="6" spans="1:14" x14ac:dyDescent="0.2">
      <c r="A6" s="311"/>
      <c r="B6" s="311"/>
      <c r="C6" s="311"/>
      <c r="D6" s="311"/>
      <c r="E6" s="311"/>
      <c r="F6" s="311"/>
      <c r="G6" s="311"/>
      <c r="H6" s="311"/>
      <c r="I6" s="311"/>
      <c r="J6" s="311"/>
      <c r="K6" s="311"/>
      <c r="L6" s="311"/>
      <c r="M6" s="311"/>
    </row>
    <row r="7" spans="1:14" x14ac:dyDescent="0.2">
      <c r="A7" s="311"/>
      <c r="B7" s="311"/>
      <c r="G7" s="311"/>
      <c r="H7" s="311"/>
      <c r="I7" s="311"/>
      <c r="J7" s="311"/>
      <c r="K7" s="311"/>
      <c r="L7" s="311"/>
      <c r="M7" s="311"/>
    </row>
    <row r="8" spans="1:14" x14ac:dyDescent="0.2">
      <c r="A8" s="311"/>
      <c r="B8" s="311"/>
      <c r="C8" s="311"/>
      <c r="D8" s="311"/>
      <c r="E8" s="311"/>
      <c r="F8" s="311"/>
      <c r="G8" s="311"/>
      <c r="H8" s="311"/>
      <c r="I8" s="311"/>
      <c r="J8" s="311"/>
      <c r="K8" s="311"/>
      <c r="L8" s="311"/>
      <c r="M8" s="311"/>
    </row>
    <row r="9" spans="1:14" x14ac:dyDescent="0.2">
      <c r="A9" s="311"/>
      <c r="B9" s="311"/>
      <c r="G9" s="311"/>
      <c r="H9" s="311"/>
      <c r="I9" s="311"/>
      <c r="J9" s="311"/>
      <c r="K9" s="311"/>
      <c r="L9" s="311"/>
      <c r="M9" s="311"/>
    </row>
    <row r="10" spans="1:14" hidden="1" x14ac:dyDescent="0.2">
      <c r="A10" s="311"/>
      <c r="B10" s="311"/>
      <c r="C10" s="311"/>
      <c r="D10" s="311"/>
      <c r="E10" s="311"/>
      <c r="F10" s="311"/>
      <c r="G10" s="313"/>
      <c r="H10" s="313"/>
      <c r="I10" s="314"/>
      <c r="J10" s="314"/>
      <c r="K10" s="314"/>
      <c r="L10" s="314"/>
      <c r="M10" s="314"/>
      <c r="N10" s="314"/>
    </row>
    <row r="11" spans="1:14" hidden="1" x14ac:dyDescent="0.2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27.75" customHeight="1" x14ac:dyDescent="0.2">
      <c r="A12" s="359"/>
      <c r="B12" s="522" t="s">
        <v>16</v>
      </c>
      <c r="C12" s="516" t="s">
        <v>51</v>
      </c>
      <c r="D12" s="517"/>
      <c r="E12" s="517"/>
      <c r="F12" s="517"/>
      <c r="G12" s="517"/>
      <c r="H12" s="517"/>
      <c r="I12" s="517"/>
      <c r="J12" s="517"/>
      <c r="K12" s="517"/>
      <c r="L12" s="517"/>
      <c r="M12" s="517"/>
      <c r="N12" s="518"/>
    </row>
    <row r="13" spans="1:14" x14ac:dyDescent="0.2">
      <c r="A13" s="359"/>
      <c r="B13" s="523"/>
      <c r="C13" s="519" t="s">
        <v>48</v>
      </c>
      <c r="D13" s="520"/>
      <c r="E13" s="520"/>
      <c r="F13" s="520"/>
      <c r="G13" s="520"/>
      <c r="H13" s="521"/>
      <c r="I13" s="519" t="s">
        <v>47</v>
      </c>
      <c r="J13" s="520"/>
      <c r="K13" s="520"/>
      <c r="L13" s="520"/>
      <c r="M13" s="520"/>
      <c r="N13" s="521"/>
    </row>
    <row r="14" spans="1:14" ht="59.25" customHeight="1" x14ac:dyDescent="0.2">
      <c r="A14" s="360" t="s">
        <v>34</v>
      </c>
      <c r="B14" s="523"/>
      <c r="C14" s="360" t="s">
        <v>49</v>
      </c>
      <c r="D14" s="360" t="s">
        <v>43</v>
      </c>
      <c r="E14" s="360" t="s">
        <v>44</v>
      </c>
      <c r="F14" s="360" t="s">
        <v>50</v>
      </c>
      <c r="G14" s="360" t="s">
        <v>45</v>
      </c>
      <c r="H14" s="360" t="s">
        <v>46</v>
      </c>
      <c r="I14" s="360" t="s">
        <v>49</v>
      </c>
      <c r="J14" s="360" t="s">
        <v>43</v>
      </c>
      <c r="K14" s="360" t="s">
        <v>44</v>
      </c>
      <c r="L14" s="360" t="s">
        <v>50</v>
      </c>
      <c r="M14" s="360" t="s">
        <v>45</v>
      </c>
      <c r="N14" s="360" t="s">
        <v>46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K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12" customWidth="1"/>
    <col min="6" max="6" width="15" style="312" customWidth="1"/>
    <col min="7" max="7" width="15.85546875" style="312" bestFit="1" customWidth="1"/>
    <col min="8" max="8" width="15.85546875" style="312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28" customWidth="1"/>
    <col min="23" max="23" width="12" style="327" customWidth="1"/>
    <col min="24" max="24" width="10.140625" style="327" customWidth="1"/>
    <col min="25" max="25" width="11.140625" style="327" customWidth="1"/>
    <col min="26" max="26" width="11.85546875" style="327" customWidth="1"/>
    <col min="27" max="27" width="14.5703125" style="327" customWidth="1"/>
    <col min="28" max="28" width="13" style="328" customWidth="1"/>
    <col min="29" max="29" width="9.28515625" style="327" customWidth="1"/>
    <col min="30" max="30" width="13" style="328" customWidth="1"/>
    <col min="31" max="31" width="12.7109375" style="309" customWidth="1"/>
    <col min="32" max="32" width="11.7109375" style="309" customWidth="1"/>
    <col min="33" max="33" width="12.140625" style="309" customWidth="1"/>
    <col min="34" max="34" width="5.42578125" style="309" customWidth="1"/>
    <col min="35" max="36" width="11.7109375" style="309" customWidth="1"/>
    <col min="37" max="37" width="10" style="309" customWidth="1"/>
    <col min="38" max="39" width="8.85546875" style="309"/>
    <col min="41" max="16384" width="8.85546875" style="309"/>
  </cols>
  <sheetData>
    <row r="1" spans="1:38" hidden="1" x14ac:dyDescent="0.2"/>
    <row r="2" spans="1:38" hidden="1" x14ac:dyDescent="0.2"/>
    <row r="3" spans="1:38" hidden="1" x14ac:dyDescent="0.2"/>
    <row r="4" spans="1:38" hidden="1" x14ac:dyDescent="0.2"/>
    <row r="5" spans="1:38" hidden="1" x14ac:dyDescent="0.2"/>
    <row r="6" spans="1:38" hidden="1" x14ac:dyDescent="0.2"/>
    <row r="7" spans="1:38" hidden="1" x14ac:dyDescent="0.2"/>
    <row r="8" spans="1:38" hidden="1" x14ac:dyDescent="0.2"/>
    <row r="9" spans="1:38" hidden="1" x14ac:dyDescent="0.2"/>
    <row r="10" spans="1:38" hidden="1" x14ac:dyDescent="0.2"/>
    <row r="11" spans="1:38" hidden="1" x14ac:dyDescent="0.2"/>
    <row r="12" spans="1:38" ht="12.75" hidden="1" customHeight="1" x14ac:dyDescent="0.2"/>
    <row r="13" spans="1:38" s="356" customFormat="1" ht="41.25" hidden="1" customHeight="1" x14ac:dyDescent="0.2">
      <c r="A13" s="355"/>
      <c r="B13" s="355"/>
      <c r="C13" s="355"/>
      <c r="D13" s="355"/>
      <c r="E13" s="524"/>
      <c r="F13" s="524"/>
      <c r="G13" s="524"/>
      <c r="H13" s="330"/>
      <c r="I13" s="355"/>
      <c r="J13" s="355"/>
      <c r="K13" s="524"/>
      <c r="L13" s="524"/>
      <c r="M13" s="524"/>
      <c r="N13" s="330"/>
      <c r="O13" s="355"/>
      <c r="P13" s="355"/>
      <c r="Q13" s="524"/>
      <c r="R13" s="524"/>
      <c r="S13" s="524"/>
      <c r="T13" s="355"/>
      <c r="U13" s="355"/>
      <c r="V13" s="354">
        <f>IF(MAX(V15:V10000)&lt;0.01,0,MAX(V15:V10000))</f>
        <v>0</v>
      </c>
      <c r="W13" s="524"/>
      <c r="X13" s="524"/>
      <c r="Y13" s="524"/>
      <c r="AB13" s="354">
        <f>IF(MAX(AB15:AB10000)&lt;0.01,0,MAX(AB15:AB10000))</f>
        <v>0</v>
      </c>
      <c r="AC13" s="355"/>
      <c r="AD13" s="355"/>
      <c r="AE13" s="354">
        <f>AB13</f>
        <v>0</v>
      </c>
      <c r="AL13" s="355" t="s">
        <v>306</v>
      </c>
    </row>
    <row r="14" spans="1:38" s="358" customFormat="1" ht="33.75" x14ac:dyDescent="0.2">
      <c r="A14" s="357" t="s">
        <v>357</v>
      </c>
      <c r="B14" s="357" t="s">
        <v>358</v>
      </c>
      <c r="C14" s="357" t="s">
        <v>359</v>
      </c>
      <c r="D14" s="357" t="s">
        <v>360</v>
      </c>
      <c r="E14" s="357" t="s">
        <v>361</v>
      </c>
      <c r="F14" s="357" t="s">
        <v>362</v>
      </c>
      <c r="G14" s="357" t="s">
        <v>363</v>
      </c>
      <c r="H14" s="357" t="s">
        <v>364</v>
      </c>
      <c r="I14" s="357" t="s">
        <v>365</v>
      </c>
      <c r="J14" s="357" t="s">
        <v>366</v>
      </c>
      <c r="K14" s="357" t="s">
        <v>361</v>
      </c>
      <c r="L14" s="357" t="s">
        <v>362</v>
      </c>
      <c r="M14" s="357" t="s">
        <v>363</v>
      </c>
      <c r="N14" s="357" t="s">
        <v>367</v>
      </c>
      <c r="O14" s="357" t="s">
        <v>368</v>
      </c>
      <c r="P14" s="357" t="s">
        <v>369</v>
      </c>
      <c r="Q14" s="357" t="s">
        <v>361</v>
      </c>
      <c r="R14" s="357" t="s">
        <v>362</v>
      </c>
      <c r="S14" s="357" t="s">
        <v>363</v>
      </c>
      <c r="T14" s="357" t="s">
        <v>370</v>
      </c>
      <c r="U14" s="357" t="s">
        <v>371</v>
      </c>
      <c r="V14" s="357" t="s">
        <v>372</v>
      </c>
      <c r="W14" s="357" t="s">
        <v>361</v>
      </c>
      <c r="X14" s="357" t="s">
        <v>362</v>
      </c>
      <c r="Y14" s="357" t="s">
        <v>363</v>
      </c>
      <c r="Z14" s="357" t="s">
        <v>373</v>
      </c>
      <c r="AA14" s="357" t="s">
        <v>374</v>
      </c>
      <c r="AB14" s="357" t="s">
        <v>372</v>
      </c>
      <c r="AC14" s="357" t="s">
        <v>305</v>
      </c>
      <c r="AD14" s="357" t="s">
        <v>375</v>
      </c>
      <c r="AE14" s="357" t="s">
        <v>376</v>
      </c>
      <c r="AF14" s="357" t="s">
        <v>377</v>
      </c>
      <c r="AG14" s="357" t="s">
        <v>378</v>
      </c>
      <c r="AH14" s="357" t="s">
        <v>379</v>
      </c>
      <c r="AI14" s="357" t="s">
        <v>380</v>
      </c>
      <c r="AJ14" s="357" t="s">
        <v>381</v>
      </c>
      <c r="AK14" s="357" t="s">
        <v>382</v>
      </c>
      <c r="AL14" s="357"/>
    </row>
    <row r="15" spans="1:38" customFormat="1" x14ac:dyDescent="0.2"/>
    <row r="16" spans="1:38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12" customWidth="1"/>
    <col min="3" max="3" width="11" style="312" customWidth="1"/>
    <col min="4" max="4" width="13.85546875" style="317" customWidth="1"/>
    <col min="5" max="5" width="12.5703125" style="312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09"/>
    <col min="11" max="11" width="12.5703125" style="309" customWidth="1"/>
    <col min="12" max="16384" width="8.85546875" style="309"/>
  </cols>
  <sheetData>
    <row r="1" spans="1:9" hidden="1" x14ac:dyDescent="0.2">
      <c r="B1" s="311"/>
      <c r="C1" s="311"/>
      <c r="D1" s="315"/>
      <c r="E1" s="311"/>
    </row>
    <row r="2" spans="1:9" hidden="1" x14ac:dyDescent="0.2">
      <c r="B2" s="311"/>
      <c r="C2" s="311"/>
      <c r="D2" s="315"/>
      <c r="E2" s="311"/>
    </row>
    <row r="3" spans="1:9" hidden="1" x14ac:dyDescent="0.2">
      <c r="B3" s="311"/>
      <c r="C3" s="311"/>
      <c r="D3" s="315"/>
      <c r="E3" s="311"/>
    </row>
    <row r="4" spans="1:9" hidden="1" x14ac:dyDescent="0.2">
      <c r="B4" s="311"/>
      <c r="C4" s="311"/>
      <c r="D4" s="315"/>
      <c r="E4" s="311"/>
    </row>
    <row r="5" spans="1:9" hidden="1" x14ac:dyDescent="0.2">
      <c r="B5" s="311"/>
      <c r="C5" s="311"/>
      <c r="D5" s="315"/>
      <c r="E5" s="311"/>
    </row>
    <row r="6" spans="1:9" hidden="1" x14ac:dyDescent="0.2">
      <c r="B6" s="311"/>
      <c r="C6" s="311"/>
      <c r="D6" s="315"/>
      <c r="E6" s="311"/>
    </row>
    <row r="7" spans="1:9" hidden="1" x14ac:dyDescent="0.2">
      <c r="B7" s="311"/>
      <c r="C7" s="311"/>
      <c r="D7" s="315"/>
      <c r="E7" s="311"/>
    </row>
    <row r="8" spans="1:9" hidden="1" x14ac:dyDescent="0.2">
      <c r="B8" s="311"/>
      <c r="C8" s="311"/>
      <c r="D8" s="315"/>
      <c r="E8" s="311"/>
    </row>
    <row r="9" spans="1:9" hidden="1" x14ac:dyDescent="0.2">
      <c r="B9" s="311"/>
      <c r="C9" s="311"/>
      <c r="D9" s="315"/>
      <c r="E9" s="311"/>
    </row>
    <row r="10" spans="1:9" hidden="1" x14ac:dyDescent="0.2">
      <c r="B10" s="311"/>
      <c r="C10" s="311"/>
      <c r="D10" s="315"/>
      <c r="E10" s="311"/>
    </row>
    <row r="11" spans="1:9" hidden="1" x14ac:dyDescent="0.2">
      <c r="B11" s="314"/>
      <c r="C11" s="314"/>
      <c r="D11" s="316"/>
      <c r="E11" s="314"/>
    </row>
    <row r="12" spans="1:9" ht="12.75" customHeight="1" x14ac:dyDescent="0.2">
      <c r="A12" s="361"/>
      <c r="B12" s="525" t="s">
        <v>35</v>
      </c>
      <c r="C12" s="526"/>
      <c r="D12" s="527" t="s">
        <v>36</v>
      </c>
      <c r="E12" s="528"/>
      <c r="F12" s="527" t="s">
        <v>108</v>
      </c>
      <c r="G12" s="528"/>
      <c r="H12" s="527" t="s">
        <v>109</v>
      </c>
      <c r="I12" s="528"/>
    </row>
    <row r="13" spans="1:9" ht="41.25" customHeight="1" x14ac:dyDescent="0.2">
      <c r="A13" s="361"/>
      <c r="B13" s="525"/>
      <c r="C13" s="526"/>
      <c r="D13" s="529"/>
      <c r="E13" s="530"/>
      <c r="F13" s="529"/>
      <c r="G13" s="530"/>
      <c r="H13" s="529"/>
      <c r="I13" s="530"/>
    </row>
    <row r="14" spans="1:9" ht="45" x14ac:dyDescent="0.2">
      <c r="A14" s="360" t="s">
        <v>34</v>
      </c>
      <c r="B14" s="362" t="s">
        <v>38</v>
      </c>
      <c r="C14" s="362" t="s">
        <v>39</v>
      </c>
      <c r="D14" s="363" t="s">
        <v>38</v>
      </c>
      <c r="E14" s="364" t="s">
        <v>39</v>
      </c>
      <c r="F14" s="363" t="s">
        <v>38</v>
      </c>
      <c r="G14" s="364" t="s">
        <v>39</v>
      </c>
      <c r="H14" s="363" t="s">
        <v>38</v>
      </c>
      <c r="I14" s="364" t="s">
        <v>39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12" customWidth="1"/>
    <col min="4" max="4" width="12.85546875" style="312" customWidth="1"/>
    <col min="5" max="16384" width="8.85546875" style="309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33.75" x14ac:dyDescent="0.2">
      <c r="A14" s="360" t="s">
        <v>55</v>
      </c>
      <c r="B14" s="360" t="s">
        <v>53</v>
      </c>
      <c r="C14" s="360" t="s">
        <v>54</v>
      </c>
      <c r="D14" s="360" t="s">
        <v>74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J28" sqref="J28"/>
    </sheetView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8" t="s">
        <v>78</v>
      </c>
      <c r="B1" s="198"/>
      <c r="C1" s="198"/>
      <c r="D1" s="198"/>
      <c r="E1" s="198"/>
      <c r="F1" s="19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zoomScale="140" zoomScaleNormal="140" workbookViewId="0">
      <selection activeCell="J3" sqref="J3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7" ht="35.25" customHeight="1" x14ac:dyDescent="0.2">
      <c r="A1" s="296" t="s">
        <v>7</v>
      </c>
      <c r="B1" s="296" t="s">
        <v>30</v>
      </c>
      <c r="C1" s="298" t="s">
        <v>132</v>
      </c>
      <c r="D1" s="298" t="s">
        <v>121</v>
      </c>
      <c r="E1" s="298" t="s">
        <v>31</v>
      </c>
      <c r="F1" s="298" t="s">
        <v>141</v>
      </c>
      <c r="G1" s="298" t="s">
        <v>168</v>
      </c>
    </row>
    <row r="2" spans="1:7" x14ac:dyDescent="0.2">
      <c r="A2" s="297">
        <v>1</v>
      </c>
      <c r="B2" s="300">
        <v>100</v>
      </c>
      <c r="C2" s="299">
        <v>1</v>
      </c>
      <c r="D2" s="299">
        <v>1</v>
      </c>
      <c r="E2" s="299">
        <v>0</v>
      </c>
      <c r="F2" s="299">
        <v>0</v>
      </c>
      <c r="G2" s="299"/>
    </row>
    <row r="3" spans="1:7" x14ac:dyDescent="0.2">
      <c r="A3" s="297">
        <v>2</v>
      </c>
      <c r="B3" s="300">
        <v>150</v>
      </c>
      <c r="C3" s="299">
        <v>1</v>
      </c>
      <c r="D3" s="299">
        <v>1</v>
      </c>
      <c r="E3" s="299">
        <v>0</v>
      </c>
      <c r="F3" s="299">
        <v>1</v>
      </c>
      <c r="G3" s="299"/>
    </row>
    <row r="4" spans="1:7" x14ac:dyDescent="0.2">
      <c r="A4" s="297">
        <v>3</v>
      </c>
      <c r="B4" s="300">
        <v>200</v>
      </c>
      <c r="C4" s="299">
        <v>1</v>
      </c>
      <c r="D4" s="299">
        <v>1</v>
      </c>
      <c r="E4" s="299">
        <v>0</v>
      </c>
      <c r="F4" s="299">
        <v>1</v>
      </c>
      <c r="G4" s="299"/>
    </row>
    <row r="5" spans="1:7" x14ac:dyDescent="0.2">
      <c r="A5" s="297">
        <v>4</v>
      </c>
      <c r="B5" s="300">
        <v>250</v>
      </c>
      <c r="C5" s="299">
        <v>1</v>
      </c>
      <c r="D5" s="299">
        <v>1</v>
      </c>
      <c r="E5" s="299">
        <v>0</v>
      </c>
      <c r="F5" s="299">
        <v>1</v>
      </c>
      <c r="G5" s="299"/>
    </row>
    <row r="6" spans="1:7" x14ac:dyDescent="0.2">
      <c r="A6" s="297">
        <v>5</v>
      </c>
      <c r="B6" s="300">
        <v>300</v>
      </c>
      <c r="C6" s="299">
        <v>1</v>
      </c>
      <c r="D6" s="299">
        <v>1</v>
      </c>
      <c r="E6" s="299">
        <v>0</v>
      </c>
      <c r="F6" s="299">
        <v>1</v>
      </c>
      <c r="G6" s="299"/>
    </row>
    <row r="7" spans="1:7" x14ac:dyDescent="0.2">
      <c r="A7" s="297">
        <v>6</v>
      </c>
      <c r="B7" s="300">
        <v>400</v>
      </c>
      <c r="C7" s="299">
        <v>1</v>
      </c>
      <c r="D7" s="299">
        <v>1</v>
      </c>
      <c r="E7" s="299">
        <v>1</v>
      </c>
      <c r="F7" s="299">
        <v>1</v>
      </c>
      <c r="G7" s="299">
        <v>1</v>
      </c>
    </row>
    <row r="8" spans="1:7" x14ac:dyDescent="0.2">
      <c r="A8" s="297">
        <v>7</v>
      </c>
      <c r="B8" s="300">
        <v>500</v>
      </c>
      <c r="C8" s="299"/>
      <c r="D8" s="299">
        <v>1</v>
      </c>
      <c r="E8" s="299">
        <v>1</v>
      </c>
      <c r="F8" s="299">
        <v>1</v>
      </c>
      <c r="G8" s="299">
        <v>1</v>
      </c>
    </row>
    <row r="9" spans="1:7" x14ac:dyDescent="0.2">
      <c r="A9" s="297">
        <v>8</v>
      </c>
      <c r="B9" s="300">
        <v>600</v>
      </c>
      <c r="C9" s="299">
        <v>0</v>
      </c>
      <c r="D9" s="299">
        <v>1</v>
      </c>
      <c r="E9" s="299">
        <v>1</v>
      </c>
      <c r="F9" s="299">
        <v>1</v>
      </c>
      <c r="G9" s="299">
        <v>1</v>
      </c>
    </row>
    <row r="10" spans="1:7" x14ac:dyDescent="0.2">
      <c r="A10" s="297">
        <v>9</v>
      </c>
      <c r="B10" s="300">
        <v>700</v>
      </c>
      <c r="C10" s="299">
        <v>0</v>
      </c>
      <c r="D10" s="299">
        <v>1</v>
      </c>
      <c r="E10" s="299">
        <v>1</v>
      </c>
      <c r="F10" s="299">
        <v>1</v>
      </c>
      <c r="G10" s="299">
        <v>1</v>
      </c>
    </row>
    <row r="11" spans="1:7" x14ac:dyDescent="0.2">
      <c r="A11" s="297">
        <v>10</v>
      </c>
      <c r="B11" s="300">
        <v>800</v>
      </c>
      <c r="C11" s="299">
        <v>0</v>
      </c>
      <c r="D11" s="299">
        <v>1</v>
      </c>
      <c r="E11" s="299">
        <v>1</v>
      </c>
      <c r="F11" s="299">
        <v>1</v>
      </c>
      <c r="G11" s="299">
        <v>1</v>
      </c>
    </row>
    <row r="12" spans="1:7" x14ac:dyDescent="0.2">
      <c r="A12" s="297">
        <v>11</v>
      </c>
      <c r="B12" s="300">
        <v>900</v>
      </c>
      <c r="C12" s="299">
        <v>0</v>
      </c>
      <c r="D12" s="299">
        <v>1</v>
      </c>
      <c r="E12" s="299">
        <v>1</v>
      </c>
      <c r="F12" s="299">
        <v>1</v>
      </c>
      <c r="G12" s="299"/>
    </row>
    <row r="13" spans="1:7" x14ac:dyDescent="0.2">
      <c r="A13" s="297">
        <v>12</v>
      </c>
      <c r="B13" s="300">
        <v>1000</v>
      </c>
      <c r="C13" s="299">
        <v>0</v>
      </c>
      <c r="D13" s="299">
        <v>1</v>
      </c>
      <c r="E13" s="299">
        <v>1</v>
      </c>
      <c r="F13" s="299">
        <v>1</v>
      </c>
      <c r="G13" s="299"/>
    </row>
    <row r="14" spans="1:7" x14ac:dyDescent="0.2">
      <c r="A14" s="297">
        <v>13</v>
      </c>
      <c r="B14" s="300">
        <v>1200</v>
      </c>
      <c r="C14" s="299">
        <v>0</v>
      </c>
      <c r="D14" s="299">
        <v>1</v>
      </c>
      <c r="E14" s="299">
        <v>1</v>
      </c>
      <c r="F14" s="299">
        <v>1</v>
      </c>
      <c r="G14" s="299"/>
    </row>
    <row r="15" spans="1:7" x14ac:dyDescent="0.2">
      <c r="A15" s="297">
        <v>14</v>
      </c>
      <c r="B15" s="300">
        <v>1500</v>
      </c>
      <c r="C15" s="299">
        <v>0</v>
      </c>
      <c r="D15" s="299">
        <v>1</v>
      </c>
      <c r="E15" s="299">
        <v>1</v>
      </c>
      <c r="F15" s="299">
        <v>1</v>
      </c>
      <c r="G15" s="299"/>
    </row>
    <row r="18" spans="2:7" x14ac:dyDescent="0.2">
      <c r="B18" s="157" t="s">
        <v>27</v>
      </c>
      <c r="C18" s="157" t="str">
        <f>IF(ISBLANK(C1),"",C1)</f>
        <v>PVC</v>
      </c>
      <c r="D18" s="157" t="str">
        <f>IF(ISBLANK(D1),"",D1)</f>
        <v>PEAD</v>
      </c>
      <c r="E18" s="157" t="str">
        <f>IF(ISBLANK(E1),"",E1)</f>
        <v>Concreto</v>
      </c>
      <c r="F18" s="157" t="str">
        <f>IF(ISBLANK(F1),"",F1)</f>
        <v>Hierro</v>
      </c>
      <c r="G18" s="157" t="str">
        <f>IF(ISBLANK(G1),"",G1)</f>
        <v>Otro</v>
      </c>
    </row>
    <row r="19" spans="2:7" ht="51" x14ac:dyDescent="0.2">
      <c r="B19" s="156" t="s">
        <v>32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122</v>
      </c>
      <c r="C22" s="100"/>
    </row>
    <row r="23" spans="2:7" ht="18" x14ac:dyDescent="0.25">
      <c r="B23" s="104" t="s">
        <v>111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2" t="s">
        <v>135</v>
      </c>
      <c r="C26" s="143"/>
      <c r="D26" s="143"/>
    </row>
    <row r="27" spans="2:7" ht="51" x14ac:dyDescent="0.2">
      <c r="B27" s="65" t="s">
        <v>111</v>
      </c>
      <c r="C27" s="239" t="s">
        <v>119</v>
      </c>
      <c r="D27" s="65" t="s">
        <v>112</v>
      </c>
    </row>
    <row r="28" spans="2:7" x14ac:dyDescent="0.2">
      <c r="B28" s="336" t="s">
        <v>115</v>
      </c>
      <c r="C28" s="241">
        <v>1.3</v>
      </c>
      <c r="D28" s="242">
        <v>150</v>
      </c>
    </row>
    <row r="29" spans="2:7" x14ac:dyDescent="0.2">
      <c r="B29" s="336" t="s">
        <v>113</v>
      </c>
      <c r="C29" s="241">
        <v>2</v>
      </c>
      <c r="D29" s="242">
        <v>400</v>
      </c>
    </row>
    <row r="30" spans="2:7" x14ac:dyDescent="0.2">
      <c r="B30" s="336" t="s">
        <v>116</v>
      </c>
      <c r="C30" s="241">
        <v>3</v>
      </c>
      <c r="D30" s="242">
        <v>500</v>
      </c>
    </row>
    <row r="31" spans="2:7" x14ac:dyDescent="0.2">
      <c r="B31" s="336" t="s">
        <v>114</v>
      </c>
      <c r="C31" s="241">
        <v>4</v>
      </c>
      <c r="D31" s="242">
        <v>600</v>
      </c>
    </row>
    <row r="32" spans="2:7" x14ac:dyDescent="0.2">
      <c r="B32" s="336" t="s">
        <v>117</v>
      </c>
      <c r="C32" s="241">
        <v>6</v>
      </c>
      <c r="D32" s="242">
        <v>800</v>
      </c>
    </row>
    <row r="33" spans="2:4" x14ac:dyDescent="0.2">
      <c r="B33" s="336" t="s">
        <v>118</v>
      </c>
      <c r="C33" s="241">
        <v>15</v>
      </c>
      <c r="D33" s="242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ref="B2:G15">
      <sortCondition ref="B1:B15"/>
    </sortState>
  </autoFilter>
  <conditionalFormatting sqref="C29">
    <cfRule type="expression" dxfId="84" priority="5">
      <formula>C29&lt;C28</formula>
    </cfRule>
  </conditionalFormatting>
  <conditionalFormatting sqref="C30:C33">
    <cfRule type="expression" dxfId="83" priority="4">
      <formula>C30&lt;C29</formula>
    </cfRule>
  </conditionalFormatting>
  <conditionalFormatting sqref="D29">
    <cfRule type="expression" dxfId="82" priority="3">
      <formula>D29&lt;D28</formula>
    </cfRule>
  </conditionalFormatting>
  <conditionalFormatting sqref="D30:D33">
    <cfRule type="expression" dxfId="81" priority="2">
      <formula>D30&lt;D29</formula>
    </cfRule>
  </conditionalFormatting>
  <conditionalFormatting sqref="C2:G15">
    <cfRule type="cellIs" dxfId="80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72" t="s">
        <v>128</v>
      </c>
      <c r="J1" s="272" t="s">
        <v>129</v>
      </c>
    </row>
    <row r="3" spans="2:15" ht="15" x14ac:dyDescent="0.2">
      <c r="B3" s="46" t="s">
        <v>312</v>
      </c>
      <c r="C3" s="46"/>
      <c r="D3" s="46"/>
      <c r="E3" s="46"/>
      <c r="F3" s="45"/>
      <c r="G3" s="56"/>
      <c r="J3" s="46" t="s">
        <v>312</v>
      </c>
      <c r="K3" s="46"/>
      <c r="L3" s="46"/>
      <c r="M3" s="46"/>
      <c r="N3" s="45"/>
      <c r="O3" s="56"/>
    </row>
    <row r="4" spans="2:15" x14ac:dyDescent="0.2">
      <c r="B4" s="56"/>
      <c r="C4" s="56"/>
      <c r="D4" s="56"/>
      <c r="E4" s="56"/>
      <c r="F4" s="56"/>
      <c r="G4" s="56"/>
      <c r="J4" s="56"/>
      <c r="K4" s="56"/>
      <c r="L4" s="56"/>
      <c r="M4" s="56"/>
      <c r="N4" s="56"/>
      <c r="O4" s="56"/>
    </row>
    <row r="5" spans="2:15" x14ac:dyDescent="0.2">
      <c r="B5" s="282" t="s">
        <v>313</v>
      </c>
      <c r="C5" s="56"/>
      <c r="D5" s="56"/>
      <c r="E5" s="56"/>
      <c r="F5" s="56"/>
      <c r="G5" s="56"/>
      <c r="J5" s="282" t="s">
        <v>313</v>
      </c>
      <c r="K5" s="56"/>
      <c r="L5" s="56"/>
      <c r="M5" s="56"/>
      <c r="N5" s="56"/>
      <c r="O5" s="56"/>
    </row>
    <row r="6" spans="2:15" x14ac:dyDescent="0.2">
      <c r="B6" s="64" t="s">
        <v>314</v>
      </c>
      <c r="C6" s="153"/>
      <c r="D6" s="154"/>
      <c r="E6" s="154"/>
      <c r="F6" s="266">
        <v>25000</v>
      </c>
      <c r="G6" s="64" t="s">
        <v>62</v>
      </c>
      <c r="J6" s="64" t="s">
        <v>314</v>
      </c>
      <c r="K6" s="153"/>
      <c r="L6" s="154"/>
      <c r="M6" s="154"/>
      <c r="N6" s="266"/>
      <c r="O6" s="64" t="s">
        <v>62</v>
      </c>
    </row>
    <row r="7" spans="2:15" x14ac:dyDescent="0.2">
      <c r="B7" s="64" t="s">
        <v>315</v>
      </c>
      <c r="C7" s="153"/>
      <c r="D7" s="154"/>
      <c r="E7" s="154"/>
      <c r="F7" s="266">
        <v>12000</v>
      </c>
      <c r="G7" s="64" t="s">
        <v>62</v>
      </c>
      <c r="J7" s="64" t="s">
        <v>315</v>
      </c>
      <c r="K7" s="153"/>
      <c r="L7" s="154"/>
      <c r="M7" s="154"/>
      <c r="N7" s="266"/>
      <c r="O7" s="64" t="s">
        <v>62</v>
      </c>
    </row>
    <row r="8" spans="2:15" x14ac:dyDescent="0.2">
      <c r="B8" s="64" t="s">
        <v>316</v>
      </c>
      <c r="C8" s="153"/>
      <c r="D8" s="154"/>
      <c r="E8" s="154"/>
      <c r="F8" s="49">
        <v>3.5</v>
      </c>
      <c r="G8" s="64" t="s">
        <v>127</v>
      </c>
      <c r="J8" s="64" t="s">
        <v>316</v>
      </c>
      <c r="K8" s="153"/>
      <c r="L8" s="154"/>
      <c r="M8" s="154"/>
      <c r="N8" s="49">
        <v>3.5</v>
      </c>
      <c r="O8" s="64" t="s">
        <v>127</v>
      </c>
    </row>
    <row r="9" spans="2:15" x14ac:dyDescent="0.2">
      <c r="B9" s="56" t="s">
        <v>317</v>
      </c>
      <c r="C9" s="56"/>
      <c r="D9" s="56"/>
      <c r="E9" s="56"/>
      <c r="F9" s="168">
        <f>IFERROR(INT(F6/F8),0)</f>
        <v>7142</v>
      </c>
      <c r="G9" s="265" t="s">
        <v>126</v>
      </c>
      <c r="J9" s="56" t="s">
        <v>317</v>
      </c>
      <c r="K9" s="56"/>
      <c r="L9" s="56"/>
      <c r="M9" s="56"/>
      <c r="N9" s="168">
        <f>IFERROR(INT(N6/N8),0)</f>
        <v>0</v>
      </c>
      <c r="O9" s="265" t="s">
        <v>126</v>
      </c>
    </row>
    <row r="10" spans="2:15" x14ac:dyDescent="0.2">
      <c r="B10" s="56" t="s">
        <v>318</v>
      </c>
      <c r="C10" s="153"/>
      <c r="D10" s="154"/>
      <c r="E10" s="154"/>
      <c r="F10" s="168">
        <f>IFERROR(INT(F7/F8),0)</f>
        <v>3428</v>
      </c>
      <c r="G10" s="265" t="s">
        <v>126</v>
      </c>
      <c r="J10" s="56" t="s">
        <v>318</v>
      </c>
      <c r="K10" s="153"/>
      <c r="L10" s="154"/>
      <c r="M10" s="154"/>
      <c r="N10" s="168">
        <f>IFERROR(INT(N7/N8),0)</f>
        <v>0</v>
      </c>
      <c r="O10" s="265" t="s">
        <v>126</v>
      </c>
    </row>
    <row r="11" spans="2:15" x14ac:dyDescent="0.2">
      <c r="B11" s="56" t="s">
        <v>319</v>
      </c>
      <c r="C11" s="56"/>
      <c r="D11" s="56"/>
      <c r="E11" s="56"/>
      <c r="F11" s="266"/>
      <c r="G11" s="265" t="s">
        <v>126</v>
      </c>
      <c r="J11" s="56" t="s">
        <v>319</v>
      </c>
      <c r="K11" s="56"/>
      <c r="L11" s="56"/>
      <c r="M11" s="56"/>
      <c r="N11" s="266"/>
      <c r="O11" s="265" t="s">
        <v>126</v>
      </c>
    </row>
    <row r="12" spans="2:15" x14ac:dyDescent="0.2">
      <c r="B12" s="56" t="s">
        <v>320</v>
      </c>
      <c r="C12" s="56"/>
      <c r="D12" s="56"/>
      <c r="E12" s="56"/>
      <c r="F12" s="266"/>
      <c r="G12" s="265" t="s">
        <v>126</v>
      </c>
      <c r="J12" s="56" t="s">
        <v>320</v>
      </c>
      <c r="K12" s="56"/>
      <c r="L12" s="56"/>
      <c r="M12" s="56"/>
      <c r="N12" s="266"/>
      <c r="O12" s="265" t="s">
        <v>126</v>
      </c>
    </row>
    <row r="13" spans="2:15" x14ac:dyDescent="0.2">
      <c r="B13" s="56"/>
      <c r="C13" s="56"/>
      <c r="D13" s="56"/>
      <c r="E13" s="56"/>
      <c r="F13" s="56"/>
      <c r="G13" s="56"/>
      <c r="J13" s="56"/>
      <c r="K13" s="56"/>
      <c r="L13" s="56"/>
      <c r="M13" s="56"/>
      <c r="N13" s="56"/>
      <c r="O13" s="56"/>
    </row>
    <row r="14" spans="2:15" x14ac:dyDescent="0.2">
      <c r="B14" s="282" t="s">
        <v>321</v>
      </c>
      <c r="C14" s="56"/>
      <c r="D14" s="56"/>
      <c r="E14" s="56"/>
      <c r="F14" s="56"/>
      <c r="G14" s="56"/>
      <c r="J14" s="282" t="s">
        <v>321</v>
      </c>
      <c r="K14" s="56"/>
      <c r="L14" s="56"/>
      <c r="M14" s="56"/>
      <c r="N14" s="56"/>
      <c r="O14" s="56"/>
    </row>
    <row r="15" spans="2:15" x14ac:dyDescent="0.2">
      <c r="B15" s="68" t="s">
        <v>322</v>
      </c>
      <c r="C15" s="153"/>
      <c r="D15" s="154"/>
      <c r="E15" s="154"/>
      <c r="F15" s="177">
        <f>RedBasica!$K$11</f>
        <v>0</v>
      </c>
      <c r="G15" s="56" t="s">
        <v>126</v>
      </c>
      <c r="J15" s="68" t="s">
        <v>322</v>
      </c>
      <c r="K15" s="153"/>
      <c r="L15" s="154"/>
      <c r="M15" s="154"/>
      <c r="N15" s="177">
        <f>RedBasica!$K$11</f>
        <v>0</v>
      </c>
      <c r="O15" s="56" t="s">
        <v>126</v>
      </c>
    </row>
    <row r="16" spans="2:15" x14ac:dyDescent="0.2">
      <c r="B16" s="68" t="s">
        <v>323</v>
      </c>
      <c r="C16" s="153"/>
      <c r="D16" s="154"/>
      <c r="E16" s="154"/>
      <c r="F16" s="177">
        <f>RedBasica!$L$11</f>
        <v>0</v>
      </c>
      <c r="G16" s="265" t="s">
        <v>126</v>
      </c>
      <c r="J16" s="68" t="s">
        <v>323</v>
      </c>
      <c r="K16" s="153"/>
      <c r="L16" s="154"/>
      <c r="M16" s="154"/>
      <c r="N16" s="177">
        <f>RedBasica!$L$11</f>
        <v>0</v>
      </c>
      <c r="O16" s="265" t="s">
        <v>126</v>
      </c>
    </row>
    <row r="17" spans="2:15" x14ac:dyDescent="0.2">
      <c r="B17" s="64" t="s">
        <v>324</v>
      </c>
      <c r="C17" s="154"/>
      <c r="D17" s="154"/>
      <c r="E17" s="165" t="s">
        <v>63</v>
      </c>
      <c r="F17" s="176">
        <f>L9</f>
        <v>0</v>
      </c>
      <c r="G17" s="153" t="s">
        <v>5</v>
      </c>
      <c r="J17" s="64" t="s">
        <v>324</v>
      </c>
      <c r="K17" s="154"/>
      <c r="L17" s="154"/>
      <c r="M17" s="165" t="s">
        <v>63</v>
      </c>
      <c r="N17" s="176">
        <f>T9</f>
        <v>0</v>
      </c>
      <c r="O17" s="153" t="s">
        <v>5</v>
      </c>
    </row>
    <row r="18" spans="2:15" x14ac:dyDescent="0.2">
      <c r="B18" s="64" t="s">
        <v>325</v>
      </c>
      <c r="C18" s="154"/>
      <c r="D18" s="154"/>
      <c r="E18" s="165" t="s">
        <v>64</v>
      </c>
      <c r="F18" s="177">
        <f>K9</f>
        <v>0</v>
      </c>
      <c r="G18" s="153" t="s">
        <v>59</v>
      </c>
      <c r="J18" s="64" t="s">
        <v>325</v>
      </c>
      <c r="K18" s="154"/>
      <c r="L18" s="154"/>
      <c r="M18" s="165" t="s">
        <v>64</v>
      </c>
      <c r="N18" s="177">
        <f>S9</f>
        <v>0</v>
      </c>
      <c r="O18" s="153" t="s">
        <v>59</v>
      </c>
    </row>
    <row r="19" spans="2:15" x14ac:dyDescent="0.2">
      <c r="B19" s="282" t="s">
        <v>326</v>
      </c>
      <c r="C19" s="56"/>
      <c r="D19" s="56"/>
      <c r="E19" s="56"/>
      <c r="F19" s="56"/>
      <c r="G19" s="56"/>
      <c r="J19" s="282" t="s">
        <v>326</v>
      </c>
      <c r="K19" s="56"/>
      <c r="L19" s="56"/>
      <c r="M19" s="56"/>
      <c r="N19" s="56"/>
      <c r="O19" s="56"/>
    </row>
    <row r="20" spans="2:15" x14ac:dyDescent="0.2">
      <c r="B20" s="141" t="s">
        <v>327</v>
      </c>
      <c r="C20" s="153"/>
      <c r="D20" s="154"/>
      <c r="E20" s="154"/>
      <c r="F20" s="118" t="s">
        <v>178</v>
      </c>
      <c r="G20" s="140" t="s">
        <v>33</v>
      </c>
      <c r="J20" s="141" t="s">
        <v>327</v>
      </c>
      <c r="K20" s="153"/>
      <c r="L20" s="154"/>
      <c r="M20" s="154"/>
      <c r="N20" s="118" t="s">
        <v>125</v>
      </c>
      <c r="O20" s="140" t="s">
        <v>33</v>
      </c>
    </row>
    <row r="21" spans="2:15" x14ac:dyDescent="0.2">
      <c r="B21" s="141" t="s">
        <v>328</v>
      </c>
      <c r="C21" s="153"/>
      <c r="D21" s="154"/>
      <c r="E21" s="154"/>
      <c r="F21" s="175">
        <f>IFERROR(IF(F20="Si",L25,0),0)</f>
        <v>0</v>
      </c>
      <c r="G21" s="153" t="s">
        <v>14</v>
      </c>
      <c r="J21" s="141" t="s">
        <v>328</v>
      </c>
      <c r="K21" s="153"/>
      <c r="L21" s="154"/>
      <c r="M21" s="154"/>
      <c r="N21" s="175">
        <f>IFERROR(IF(N20="Si",T25,0),0)</f>
        <v>0</v>
      </c>
      <c r="O21" s="153" t="s">
        <v>14</v>
      </c>
    </row>
    <row r="22" spans="2:15" x14ac:dyDescent="0.2">
      <c r="B22" s="141" t="s">
        <v>329</v>
      </c>
      <c r="C22" s="153"/>
      <c r="D22" s="154"/>
      <c r="E22" s="154"/>
      <c r="F22" s="175">
        <f>IFERROR(IF(F20="Si",L23,0),0)</f>
        <v>0</v>
      </c>
      <c r="G22" s="153" t="s">
        <v>14</v>
      </c>
      <c r="J22" s="141" t="s">
        <v>329</v>
      </c>
      <c r="K22" s="153"/>
      <c r="L22" s="154"/>
      <c r="M22" s="154"/>
      <c r="N22" s="175">
        <f>IFERROR(IF(N20="Si",T23,0),0)</f>
        <v>0</v>
      </c>
      <c r="O22" s="153" t="s">
        <v>14</v>
      </c>
    </row>
    <row r="23" spans="2:15" x14ac:dyDescent="0.2">
      <c r="B23" s="56"/>
      <c r="C23" s="56"/>
      <c r="D23" s="56"/>
      <c r="E23" s="56"/>
      <c r="F23" s="56"/>
      <c r="G23" s="56"/>
      <c r="J23" s="56"/>
      <c r="K23" s="56"/>
      <c r="L23" s="56"/>
      <c r="M23" s="56"/>
      <c r="N23" s="56"/>
      <c r="O23" s="56"/>
    </row>
    <row r="24" spans="2:15" x14ac:dyDescent="0.2">
      <c r="B24" s="282" t="s">
        <v>330</v>
      </c>
      <c r="C24" s="56"/>
      <c r="D24" s="56"/>
      <c r="E24" s="56"/>
      <c r="F24" s="56"/>
      <c r="G24" s="56"/>
      <c r="J24" s="282" t="s">
        <v>330</v>
      </c>
      <c r="K24" s="56"/>
      <c r="L24" s="56"/>
      <c r="M24" s="56"/>
      <c r="N24" s="56"/>
      <c r="O24" s="56"/>
    </row>
    <row r="25" spans="2:15" x14ac:dyDescent="0.2">
      <c r="B25" s="141" t="s">
        <v>331</v>
      </c>
      <c r="C25" s="153"/>
      <c r="D25" s="154"/>
      <c r="E25" s="154"/>
      <c r="F25" s="268">
        <v>150</v>
      </c>
      <c r="G25" s="153" t="s">
        <v>13</v>
      </c>
      <c r="J25" s="141" t="s">
        <v>331</v>
      </c>
      <c r="K25" s="153"/>
      <c r="L25" s="154"/>
      <c r="M25" s="154"/>
      <c r="N25" s="268">
        <v>150</v>
      </c>
      <c r="O25" s="153" t="s">
        <v>13</v>
      </c>
    </row>
    <row r="26" spans="2:15" x14ac:dyDescent="0.2">
      <c r="B26" s="64" t="s">
        <v>11</v>
      </c>
      <c r="C26" s="153"/>
      <c r="D26" s="154"/>
      <c r="E26" s="154"/>
      <c r="F26" s="49">
        <v>1.2</v>
      </c>
      <c r="G26" s="155"/>
      <c r="J26" s="64" t="s">
        <v>11</v>
      </c>
      <c r="K26" s="153"/>
      <c r="L26" s="154"/>
      <c r="M26" s="154"/>
      <c r="N26" s="49">
        <v>1.2</v>
      </c>
      <c r="O26" s="155"/>
    </row>
    <row r="27" spans="2:15" x14ac:dyDescent="0.2">
      <c r="B27" s="64" t="s">
        <v>12</v>
      </c>
      <c r="C27" s="153"/>
      <c r="D27" s="154"/>
      <c r="E27" s="154"/>
      <c r="F27" s="49">
        <v>1.5</v>
      </c>
      <c r="G27" s="155"/>
      <c r="J27" s="64" t="s">
        <v>12</v>
      </c>
      <c r="K27" s="153"/>
      <c r="L27" s="154"/>
      <c r="M27" s="154"/>
      <c r="N27" s="49">
        <v>1.5</v>
      </c>
      <c r="O27" s="155"/>
    </row>
    <row r="28" spans="2:15" x14ac:dyDescent="0.2">
      <c r="B28" s="153" t="s">
        <v>3</v>
      </c>
      <c r="C28" s="153"/>
      <c r="D28" s="154"/>
      <c r="E28" s="154"/>
      <c r="F28" s="49">
        <v>0.8</v>
      </c>
      <c r="G28" s="153"/>
      <c r="J28" s="153" t="s">
        <v>3</v>
      </c>
      <c r="K28" s="153"/>
      <c r="L28" s="154"/>
      <c r="M28" s="154"/>
      <c r="N28" s="49">
        <v>0.8</v>
      </c>
      <c r="O28" s="153"/>
    </row>
    <row r="29" spans="2:15" x14ac:dyDescent="0.2">
      <c r="B29" s="64" t="s">
        <v>332</v>
      </c>
      <c r="C29" s="153"/>
      <c r="D29" s="154"/>
      <c r="E29" s="154"/>
      <c r="F29" s="267">
        <v>0.01</v>
      </c>
      <c r="G29" s="153" t="s">
        <v>14</v>
      </c>
      <c r="J29" s="64" t="s">
        <v>332</v>
      </c>
      <c r="K29" s="153"/>
      <c r="L29" s="154"/>
      <c r="M29" s="154"/>
      <c r="N29" s="267">
        <v>0.01</v>
      </c>
      <c r="O29" s="153" t="s">
        <v>14</v>
      </c>
    </row>
    <row r="30" spans="2:15" x14ac:dyDescent="0.2">
      <c r="B30" s="141" t="s">
        <v>337</v>
      </c>
      <c r="C30" s="141"/>
      <c r="D30" s="154"/>
      <c r="E30" s="154"/>
      <c r="F30" s="49">
        <v>1</v>
      </c>
      <c r="G30" s="153" t="s">
        <v>0</v>
      </c>
      <c r="J30" s="141" t="s">
        <v>337</v>
      </c>
      <c r="K30" s="141"/>
      <c r="L30" s="154"/>
      <c r="M30" s="154"/>
      <c r="N30" s="49">
        <v>1</v>
      </c>
      <c r="O30" s="153" t="s">
        <v>0</v>
      </c>
    </row>
    <row r="31" spans="2:15" x14ac:dyDescent="0.2">
      <c r="B31" s="64" t="s">
        <v>333</v>
      </c>
      <c r="C31" s="153"/>
      <c r="D31" s="154"/>
      <c r="E31" s="154"/>
      <c r="F31" s="49">
        <v>1.5</v>
      </c>
      <c r="G31" s="153" t="s">
        <v>5</v>
      </c>
      <c r="J31" s="64" t="s">
        <v>333</v>
      </c>
      <c r="K31" s="153"/>
      <c r="L31" s="154"/>
      <c r="M31" s="154"/>
      <c r="N31" s="49">
        <v>1.5</v>
      </c>
      <c r="O31" s="153" t="s">
        <v>5</v>
      </c>
    </row>
    <row r="32" spans="2:15" x14ac:dyDescent="0.2">
      <c r="B32" s="64" t="s">
        <v>336</v>
      </c>
      <c r="C32" s="153"/>
      <c r="D32" s="154"/>
      <c r="E32" s="154"/>
      <c r="F32" s="169">
        <v>0.5</v>
      </c>
      <c r="G32" s="153" t="s">
        <v>4</v>
      </c>
      <c r="J32" s="64" t="s">
        <v>336</v>
      </c>
      <c r="K32" s="153"/>
      <c r="L32" s="154"/>
      <c r="M32" s="154"/>
      <c r="N32" s="169">
        <v>0.5</v>
      </c>
      <c r="O32" s="153" t="s">
        <v>4</v>
      </c>
    </row>
    <row r="33" spans="2:15" x14ac:dyDescent="0.2">
      <c r="B33" s="64" t="s">
        <v>334</v>
      </c>
      <c r="C33" s="153"/>
      <c r="D33" s="154"/>
      <c r="E33" s="154"/>
      <c r="F33" s="178">
        <v>0.75</v>
      </c>
      <c r="G33" s="153" t="s">
        <v>4</v>
      </c>
      <c r="J33" s="64" t="s">
        <v>334</v>
      </c>
      <c r="K33" s="153"/>
      <c r="L33" s="154"/>
      <c r="M33" s="154"/>
      <c r="N33" s="178">
        <v>0.75</v>
      </c>
      <c r="O33" s="153" t="s">
        <v>4</v>
      </c>
    </row>
    <row r="34" spans="2:15" x14ac:dyDescent="0.2">
      <c r="B34" s="51" t="s">
        <v>335</v>
      </c>
      <c r="C34" s="155"/>
      <c r="D34" s="154"/>
      <c r="E34" s="154"/>
      <c r="F34" s="171"/>
      <c r="G34" s="155"/>
      <c r="J34" s="51" t="s">
        <v>335</v>
      </c>
      <c r="K34" s="155"/>
      <c r="L34" s="154"/>
      <c r="M34" s="154"/>
      <c r="N34" s="171"/>
      <c r="O34" s="155"/>
    </row>
    <row r="35" spans="2:15" x14ac:dyDescent="0.2">
      <c r="B35" s="153" t="s">
        <v>1</v>
      </c>
      <c r="C35" s="153"/>
      <c r="D35" s="154"/>
      <c r="E35" s="154"/>
      <c r="F35" s="172">
        <v>150</v>
      </c>
      <c r="G35" s="153" t="s">
        <v>2</v>
      </c>
      <c r="J35" s="153" t="s">
        <v>1</v>
      </c>
      <c r="K35" s="153"/>
      <c r="L35" s="154"/>
      <c r="M35" s="154"/>
      <c r="N35" s="172">
        <v>150</v>
      </c>
      <c r="O35" s="153" t="s">
        <v>2</v>
      </c>
    </row>
    <row r="36" spans="2:15" x14ac:dyDescent="0.2">
      <c r="B36" s="56"/>
      <c r="C36" s="56"/>
      <c r="D36" s="56"/>
      <c r="E36" s="56"/>
      <c r="F36" s="56"/>
      <c r="G36" s="56"/>
      <c r="J36" s="56"/>
      <c r="K36" s="56"/>
      <c r="L36" s="56"/>
      <c r="M36" s="56"/>
      <c r="N36" s="56"/>
      <c r="O36" s="56"/>
    </row>
    <row r="37" spans="2:15" x14ac:dyDescent="0.2">
      <c r="B37" s="51" t="s">
        <v>338</v>
      </c>
      <c r="C37" s="51"/>
      <c r="D37" s="154"/>
      <c r="E37" s="154"/>
      <c r="F37" s="170" t="s">
        <v>60</v>
      </c>
      <c r="G37" s="155"/>
      <c r="J37" s="51" t="s">
        <v>338</v>
      </c>
      <c r="K37" s="51"/>
      <c r="L37" s="154"/>
      <c r="M37" s="154"/>
      <c r="N37" s="170" t="s">
        <v>60</v>
      </c>
      <c r="O37" s="155"/>
    </row>
    <row r="38" spans="2:15" x14ac:dyDescent="0.2">
      <c r="B38" s="141" t="s">
        <v>339</v>
      </c>
      <c r="C38" s="161">
        <v>150</v>
      </c>
      <c r="D38" s="154"/>
      <c r="E38" s="154"/>
      <c r="F38" s="269">
        <v>4.4999999999999997E-3</v>
      </c>
      <c r="G38" s="153" t="s">
        <v>23</v>
      </c>
      <c r="J38" s="141" t="s">
        <v>339</v>
      </c>
      <c r="K38" s="161">
        <v>150</v>
      </c>
      <c r="L38" s="154"/>
      <c r="M38" s="154"/>
      <c r="N38" s="269">
        <v>4.4999999999999997E-3</v>
      </c>
      <c r="O38" s="153" t="s">
        <v>23</v>
      </c>
    </row>
    <row r="39" spans="2:15" x14ac:dyDescent="0.2">
      <c r="B39" s="141" t="s">
        <v>339</v>
      </c>
      <c r="C39" s="161">
        <v>200</v>
      </c>
      <c r="D39" s="154"/>
      <c r="E39" s="154"/>
      <c r="F39" s="269">
        <v>4.0000000000000001E-3</v>
      </c>
      <c r="G39" s="153" t="s">
        <v>23</v>
      </c>
      <c r="J39" s="141" t="s">
        <v>339</v>
      </c>
      <c r="K39" s="161">
        <v>200</v>
      </c>
      <c r="L39" s="154"/>
      <c r="M39" s="154"/>
      <c r="N39" s="269">
        <v>4.0000000000000001E-3</v>
      </c>
      <c r="O39" s="153" t="s">
        <v>23</v>
      </c>
    </row>
    <row r="40" spans="2:15" x14ac:dyDescent="0.2">
      <c r="B40" s="153" t="s">
        <v>58</v>
      </c>
      <c r="C40" s="161">
        <v>250</v>
      </c>
      <c r="D40" s="154"/>
      <c r="E40" s="154"/>
      <c r="F40" s="269">
        <v>3.5000000000000001E-3</v>
      </c>
      <c r="G40" s="153" t="s">
        <v>23</v>
      </c>
      <c r="J40" s="153" t="s">
        <v>58</v>
      </c>
      <c r="K40" s="161">
        <v>250</v>
      </c>
      <c r="L40" s="154"/>
      <c r="M40" s="154"/>
      <c r="N40" s="269">
        <v>3.5000000000000001E-3</v>
      </c>
      <c r="O40" s="153" t="s">
        <v>23</v>
      </c>
    </row>
    <row r="41" spans="2:15" x14ac:dyDescent="0.2">
      <c r="B41" s="51" t="s">
        <v>24</v>
      </c>
      <c r="C41" s="51"/>
      <c r="D41" s="154"/>
      <c r="E41" s="154"/>
      <c r="F41" s="171"/>
      <c r="G41" s="155"/>
      <c r="J41" s="51" t="s">
        <v>24</v>
      </c>
      <c r="K41" s="51"/>
      <c r="L41" s="154"/>
      <c r="M41" s="154"/>
      <c r="N41" s="171"/>
      <c r="O41" s="155"/>
    </row>
    <row r="42" spans="2:15" x14ac:dyDescent="0.2">
      <c r="B42" s="64" t="s">
        <v>340</v>
      </c>
      <c r="C42" s="153"/>
      <c r="D42" s="154"/>
      <c r="E42" s="154"/>
      <c r="F42" s="173">
        <v>0.9</v>
      </c>
      <c r="G42" s="153" t="s">
        <v>6</v>
      </c>
      <c r="J42" s="64" t="s">
        <v>340</v>
      </c>
      <c r="K42" s="153"/>
      <c r="L42" s="154"/>
      <c r="M42" s="154"/>
      <c r="N42" s="173">
        <v>0.9</v>
      </c>
      <c r="O42" s="153" t="s">
        <v>6</v>
      </c>
    </row>
    <row r="43" spans="2:15" x14ac:dyDescent="0.2">
      <c r="B43" s="64" t="s">
        <v>341</v>
      </c>
      <c r="C43" s="153"/>
      <c r="D43" s="154"/>
      <c r="E43" s="154"/>
      <c r="F43" s="49">
        <v>0.65</v>
      </c>
      <c r="G43" s="153" t="s">
        <v>6</v>
      </c>
      <c r="J43" s="64" t="s">
        <v>341</v>
      </c>
      <c r="K43" s="153"/>
      <c r="L43" s="154"/>
      <c r="M43" s="154"/>
      <c r="N43" s="49">
        <v>0.65</v>
      </c>
      <c r="O43" s="153" t="s">
        <v>6</v>
      </c>
    </row>
    <row r="44" spans="2:15" x14ac:dyDescent="0.2">
      <c r="B44" s="51" t="s">
        <v>342</v>
      </c>
      <c r="C44" s="154"/>
      <c r="D44" s="154"/>
      <c r="E44" s="154"/>
      <c r="F44" s="174"/>
      <c r="G44" s="154"/>
      <c r="J44" s="51" t="s">
        <v>342</v>
      </c>
      <c r="K44" s="154"/>
      <c r="L44" s="154"/>
      <c r="M44" s="154"/>
      <c r="N44" s="174"/>
      <c r="O44" s="154"/>
    </row>
    <row r="45" spans="2:15" x14ac:dyDescent="0.2">
      <c r="B45" s="64" t="s">
        <v>343</v>
      </c>
      <c r="C45" s="154"/>
      <c r="D45" s="154"/>
      <c r="E45" s="154"/>
      <c r="F45" s="270" t="s">
        <v>123</v>
      </c>
      <c r="G45" s="154"/>
      <c r="J45" s="64" t="s">
        <v>343</v>
      </c>
      <c r="K45" s="154"/>
      <c r="L45" s="154"/>
      <c r="M45" s="154"/>
      <c r="N45" s="270" t="s">
        <v>123</v>
      </c>
      <c r="O45" s="154"/>
    </row>
    <row r="46" spans="2:15" x14ac:dyDescent="0.2">
      <c r="B46" s="282" t="s">
        <v>344</v>
      </c>
      <c r="C46" s="154"/>
      <c r="D46" s="154"/>
      <c r="E46" s="154"/>
      <c r="F46" s="174"/>
      <c r="G46" s="154"/>
      <c r="J46" s="282" t="s">
        <v>344</v>
      </c>
      <c r="K46" s="154"/>
      <c r="L46" s="154"/>
      <c r="M46" s="154"/>
      <c r="N46" s="174"/>
      <c r="O46" s="154"/>
    </row>
    <row r="47" spans="2:15" x14ac:dyDescent="0.2">
      <c r="B47" s="141" t="s">
        <v>346</v>
      </c>
      <c r="C47" s="154"/>
      <c r="D47" s="154"/>
      <c r="E47" s="154"/>
      <c r="F47" s="49">
        <v>0.5</v>
      </c>
      <c r="G47" s="154" t="s">
        <v>6</v>
      </c>
      <c r="J47" s="141" t="s">
        <v>346</v>
      </c>
      <c r="K47" s="154"/>
      <c r="L47" s="154"/>
      <c r="M47" s="154"/>
      <c r="N47" s="49">
        <v>0.5</v>
      </c>
      <c r="O47" s="154" t="s">
        <v>6</v>
      </c>
    </row>
    <row r="48" spans="2:15" x14ac:dyDescent="0.2">
      <c r="B48" s="282" t="s">
        <v>345</v>
      </c>
      <c r="C48" s="56"/>
      <c r="D48" s="56"/>
      <c r="E48" s="56"/>
      <c r="F48" s="56"/>
      <c r="G48" s="56"/>
      <c r="J48" s="282" t="s">
        <v>345</v>
      </c>
      <c r="K48" s="56"/>
      <c r="L48" s="56"/>
      <c r="M48" s="56"/>
      <c r="N48" s="56"/>
      <c r="O48" s="56"/>
    </row>
    <row r="49" spans="2:15" x14ac:dyDescent="0.2">
      <c r="B49" s="56" t="s">
        <v>307</v>
      </c>
      <c r="C49" s="56"/>
      <c r="D49" s="56"/>
      <c r="E49" s="56"/>
      <c r="F49" s="49">
        <v>0</v>
      </c>
      <c r="G49" s="56" t="s">
        <v>6</v>
      </c>
      <c r="J49" s="56" t="s">
        <v>307</v>
      </c>
      <c r="K49" s="56"/>
      <c r="L49" s="56"/>
      <c r="M49" s="56"/>
      <c r="N49" s="49">
        <v>0</v>
      </c>
      <c r="O49" s="56" t="s">
        <v>6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41" t="s">
        <v>348</v>
      </c>
      <c r="C53" s="342"/>
      <c r="D53" s="342"/>
      <c r="E53" s="343"/>
    </row>
    <row r="54" spans="2:15" ht="14.25" customHeight="1" x14ac:dyDescent="0.2">
      <c r="B54" s="365"/>
      <c r="C54" s="366"/>
      <c r="D54" s="366"/>
      <c r="E54" s="367"/>
    </row>
    <row r="55" spans="2:15" ht="14.25" x14ac:dyDescent="0.2">
      <c r="B55" s="344" t="s">
        <v>349</v>
      </c>
      <c r="C55" s="345"/>
      <c r="D55" s="346"/>
      <c r="E55" s="346"/>
    </row>
    <row r="56" spans="2:15" ht="14.25" customHeight="1" x14ac:dyDescent="0.2">
      <c r="B56" s="365"/>
      <c r="C56" s="366"/>
      <c r="D56" s="366"/>
      <c r="E56" s="367"/>
    </row>
    <row r="57" spans="2:15" ht="14.25" x14ac:dyDescent="0.2">
      <c r="B57" s="341" t="s">
        <v>351</v>
      </c>
      <c r="C57" s="342"/>
      <c r="D57" s="342"/>
      <c r="E57" s="343"/>
    </row>
    <row r="58" spans="2:15" ht="14.25" customHeight="1" x14ac:dyDescent="0.2">
      <c r="B58" s="365"/>
      <c r="C58" s="366"/>
      <c r="D58" s="366"/>
      <c r="E58" s="367"/>
    </row>
    <row r="59" spans="2:15" ht="14.25" x14ac:dyDescent="0.2">
      <c r="B59" s="347" t="s">
        <v>347</v>
      </c>
      <c r="C59" s="346"/>
      <c r="D59" s="346"/>
      <c r="E59" s="348"/>
    </row>
    <row r="60" spans="2:15" ht="15" customHeight="1" x14ac:dyDescent="0.2">
      <c r="B60" s="365"/>
      <c r="C60" s="366"/>
      <c r="D60" s="367"/>
      <c r="E60" s="349"/>
    </row>
    <row r="61" spans="2:15" ht="14.25" x14ac:dyDescent="0.2">
      <c r="B61" s="347" t="s">
        <v>350</v>
      </c>
      <c r="C61" s="346"/>
      <c r="D61" s="346"/>
      <c r="E61" s="48"/>
    </row>
    <row r="62" spans="2:15" ht="14.25" x14ac:dyDescent="0.2">
      <c r="B62" s="368"/>
      <c r="C62" s="366"/>
      <c r="D62" s="367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79" priority="537" operator="equal">
      <formula>"Sim"</formula>
    </cfRule>
    <cfRule type="cellIs" dxfId="78" priority="538" operator="equal">
      <formula>"Não"</formula>
    </cfRule>
    <cfRule type="containsBlanks" dxfId="77" priority="539">
      <formula>LEN(TRIM(N20))=0</formula>
    </cfRule>
  </conditionalFormatting>
  <conditionalFormatting sqref="N6:N7">
    <cfRule type="cellIs" dxfId="76" priority="540" operator="equal">
      <formula>0</formula>
    </cfRule>
  </conditionalFormatting>
  <conditionalFormatting sqref="N11:N12">
    <cfRule type="cellIs" dxfId="75" priority="536" operator="equal">
      <formula>0</formula>
    </cfRule>
  </conditionalFormatting>
  <conditionalFormatting sqref="F20">
    <cfRule type="cellIs" dxfId="74" priority="2" operator="equal">
      <formula>"Sim"</formula>
    </cfRule>
    <cfRule type="cellIs" dxfId="73" priority="3" operator="equal">
      <formula>"Não"</formula>
    </cfRule>
    <cfRule type="containsBlanks" dxfId="72" priority="4">
      <formula>LEN(TRIM(F20))=0</formula>
    </cfRule>
  </conditionalFormatting>
  <conditionalFormatting sqref="F6:F7">
    <cfRule type="cellIs" dxfId="71" priority="5" operator="equal">
      <formula>0</formula>
    </cfRule>
  </conditionalFormatting>
  <conditionalFormatting sqref="F11:F12">
    <cfRule type="cellIs" dxfId="70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AA1" workbookViewId="0">
      <selection activeCell="BE12" sqref="BE12:BE20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383">
        <f>Parametros!$B$6</f>
        <v>0</v>
      </c>
      <c r="L2" s="383"/>
      <c r="M2" s="383"/>
      <c r="N2" s="383"/>
      <c r="O2" s="383"/>
    </row>
    <row r="3" spans="1:1491" ht="18" x14ac:dyDescent="0.2">
      <c r="K3" s="383">
        <f>Parametros!$B$8</f>
        <v>0</v>
      </c>
      <c r="L3" s="383"/>
      <c r="M3" s="383"/>
      <c r="N3" s="383"/>
      <c r="O3" s="383"/>
    </row>
    <row r="4" spans="1:1491" ht="18" x14ac:dyDescent="0.2">
      <c r="K4" s="383">
        <f>Parametros!$B$10</f>
        <v>0</v>
      </c>
      <c r="L4" s="383"/>
      <c r="M4" s="383"/>
      <c r="N4" s="383"/>
      <c r="O4" s="383"/>
    </row>
    <row r="5" spans="1:1491" ht="18" x14ac:dyDescent="0.2">
      <c r="K5" s="383">
        <f>Parametros!$B$12</f>
        <v>0</v>
      </c>
      <c r="L5" s="383"/>
      <c r="M5" s="383"/>
      <c r="N5" s="383"/>
      <c r="O5" s="383"/>
    </row>
    <row r="6" spans="1:1491" ht="18" x14ac:dyDescent="0.2">
      <c r="K6" s="384">
        <f>Parametros!$B$14</f>
        <v>0</v>
      </c>
      <c r="L6" s="383"/>
      <c r="M6" s="383"/>
      <c r="N6" s="383"/>
      <c r="O6" s="383"/>
    </row>
    <row r="7" spans="1:1491" ht="18" x14ac:dyDescent="0.2">
      <c r="C7" s="497">
        <f>Parametros!$B$6</f>
        <v>0</v>
      </c>
      <c r="D7" s="497"/>
      <c r="E7" s="497"/>
      <c r="F7" s="497"/>
      <c r="G7" s="498"/>
    </row>
    <row r="8" spans="1:1491" ht="18" x14ac:dyDescent="0.2">
      <c r="C8" s="497">
        <f>Parametros!$B$8</f>
        <v>0</v>
      </c>
      <c r="D8" s="497"/>
      <c r="E8" s="497"/>
      <c r="F8" s="497"/>
      <c r="G8" s="498"/>
    </row>
    <row r="9" spans="1:1491" ht="18" x14ac:dyDescent="0.2">
      <c r="C9" s="497">
        <f>Parametros!$B$10</f>
        <v>0</v>
      </c>
      <c r="D9" s="497"/>
      <c r="E9" s="497"/>
      <c r="F9" s="497"/>
      <c r="G9" s="498"/>
    </row>
    <row r="10" spans="1:1491" ht="18" x14ac:dyDescent="0.2">
      <c r="C10" s="323">
        <f>Parametros!$B$12</f>
        <v>0</v>
      </c>
      <c r="D10" s="323"/>
      <c r="E10" s="323"/>
      <c r="F10" s="323"/>
      <c r="G10" s="324"/>
    </row>
    <row r="11" spans="1:1491" ht="18" x14ac:dyDescent="0.2">
      <c r="C11" s="496">
        <f>Parametros!$B$14</f>
        <v>0</v>
      </c>
      <c r="D11" s="497"/>
      <c r="E11" s="497"/>
      <c r="F11" s="497"/>
      <c r="G11" s="498"/>
      <c r="AJ11" s="350" t="s">
        <v>353</v>
      </c>
    </row>
    <row r="12" spans="1:1491" x14ac:dyDescent="0.2">
      <c r="AJ12" s="79" t="s">
        <v>354</v>
      </c>
    </row>
    <row r="15" spans="1:1491" s="99" customFormat="1" ht="15" customHeight="1" x14ac:dyDescent="0.2">
      <c r="A15" s="97">
        <f>1</f>
        <v>1</v>
      </c>
      <c r="B15" s="228"/>
      <c r="C15" s="228"/>
      <c r="D15" s="229"/>
      <c r="E15" s="230"/>
      <c r="F15" s="231"/>
      <c r="G15" s="228"/>
      <c r="H15" s="228"/>
      <c r="I15" s="228"/>
      <c r="J15" s="228"/>
      <c r="K15" s="228"/>
      <c r="L15" s="228"/>
      <c r="M15" s="287">
        <f>Parametros!$F$44*F15/1000</f>
        <v>0</v>
      </c>
      <c r="N15" s="288">
        <f>SUM('A1'!F15,'A1'!G15,'A1'!H15)+M15</f>
        <v>0</v>
      </c>
      <c r="O15" s="288">
        <f>SUM('A1'!L15,'A1'!M15,'A1'!N15)+M15</f>
        <v>0</v>
      </c>
      <c r="P15" s="199"/>
      <c r="Q15" s="199"/>
      <c r="R15" s="72"/>
      <c r="S15" s="288">
        <f>'A2'!AE15</f>
        <v>0</v>
      </c>
      <c r="T15" s="74">
        <f>V15-AJ15/1000</f>
        <v>0.9</v>
      </c>
      <c r="U15" s="74">
        <f>W15-AJ15/1000</f>
        <v>0</v>
      </c>
      <c r="V15" s="74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0.9</v>
      </c>
      <c r="W15" s="74">
        <f>IF(F15=0,0,IF(IF(ISBLANK(X15),0,X15)&gt;=0,IF(ISBLANK(X15),MAX(Z15-(AA15-AF15*F15),IF(P15=1,Parametros!$F$58+AJ15/1000,Parametros!$F$57+AJ15/1000)),MAX(Z15-(AA15-AF15*F15),X15)),IF(ISBLANK(X15),Z15-(AA15-AF15*F15),MAX(Z15-(AA15-AF15*F15),X15))))</f>
        <v>0</v>
      </c>
      <c r="X15" s="72"/>
      <c r="Y15" s="75"/>
      <c r="Z15" s="75"/>
      <c r="AA15" s="75" t="str">
        <f>IF(OR(F15=0,ISBLANK(D15)),"-",Y15-V15)</f>
        <v>-</v>
      </c>
      <c r="AB15" s="75" t="str">
        <f>IF(OR(F15=0,ISBLANK(D15)),"-",Z15-W15)</f>
        <v>-</v>
      </c>
      <c r="AC15" s="75" t="str">
        <f>IF(OR(F15=0,ISBLANK(D15)),"-",Y15-T15)</f>
        <v>-</v>
      </c>
      <c r="AD15" s="75" t="str">
        <f>IF(OR(F15=0,ISBLANK(D15)),"-",Z15-U15)</f>
        <v>-</v>
      </c>
      <c r="AE15" s="76">
        <f>IF(F15=0,0,IF(ISBLANK(D15),0,(Y15-Z15)/F15))</f>
        <v>0</v>
      </c>
      <c r="AF15" s="158">
        <f>IF(F15=0,0,IF(AJ15&lt;=Parametros!$C$53,Parametros!$F$53,IF(AJ15&lt;=Parametros!$C$54,Parametros!$F$54,IF(AJ15&gt;=Parametros!$C$55,Parametros!$F$55))))</f>
        <v>0</v>
      </c>
      <c r="AG15" s="77">
        <f>IF(F15=0,0,IF(AJ15&lt;=Parametros!$C$53,Parametros!$F$53,IF(AJ15&lt;=Parametros!$C$54,Parametros!$F$54,IF(AJ15&gt;=Parametros!$C$55,Parametros!$F$55))))</f>
        <v>0</v>
      </c>
      <c r="AH15" s="78">
        <f>IF(F15=0,0,IF(ISBLANK(D15),0,(AC15-AD15)/F15))</f>
        <v>0</v>
      </c>
      <c r="AI15" s="69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9">
        <f>IF(B15=1,Parametros!$F$50,AJ14)</f>
        <v>0</v>
      </c>
      <c r="AK15" s="160">
        <f>IF(OR(F15=0,D15=0),0,VLOOKUP(AJ15,Parametros!$B$69:$E$82,4,FALSE))</f>
        <v>0</v>
      </c>
      <c r="AL15" s="80">
        <f>IF(OR(ISBLANK($D15),N15=0),0,IF(N15&lt;Parametros!$F$46,Parametros!$F$46,N15))</f>
        <v>0</v>
      </c>
      <c r="AM15" s="80">
        <f>IF(F15=0,0,IF(ISBLANK(D15),0,LAMINAABS(AL15,AJ15,AH15,AK15)))</f>
        <v>0</v>
      </c>
      <c r="AN15" s="179">
        <f>IF(F15=0,0,IF(ISBLANK(D15),0,LAMINAREL(AL15,AJ15,AH15,AK15)))</f>
        <v>0</v>
      </c>
      <c r="AO15" s="180">
        <f>IF(OR(AND(AN15&gt;Parametros!$F$47,AJ15=100),AN15&gt;Parametros!$F$48),1,0)</f>
        <v>0</v>
      </c>
      <c r="AP15" s="80">
        <f>IF(F15=0,0,IF(ISBLANK(D15),0,TENSTRAT(IF(N15/Parametros!$F$42&lt;Parametros!$F$46,Parametros!$F$46,N15/Parametros!$F$42),AJ15,AH15,AK15)))</f>
        <v>0</v>
      </c>
      <c r="AQ15" s="80">
        <f>IF(F15=0,0,IF(ISBLANK(D15),0,VELOCRIT(AL15,AJ15,AH15,AK15)))</f>
        <v>0</v>
      </c>
      <c r="AR15" s="80">
        <f>IF(F15=0,0,IF(ISBLANK(D15),0,VELOCID(AL15,AJ15,AH15,AK15)))</f>
        <v>0</v>
      </c>
      <c r="AS15" s="80">
        <f>IF(OR(ISBLANK($D15),O15=0),0,IF(O15&lt;Parametros!$F$46,Parametros!$F$46,O15))</f>
        <v>0</v>
      </c>
      <c r="AT15" s="80">
        <f>IF(F15=0,0,IF(ISBLANK(D15),0,LAMINAABS(AS15,AJ15,AH15,AK15)))</f>
        <v>0</v>
      </c>
      <c r="AU15" s="179">
        <f>IF(F15=0,0,IF(ISBLANK(D15),0,LAMINAREL(AS15,AJ15,AH15,AK15)))</f>
        <v>0</v>
      </c>
      <c r="AV15" s="80">
        <f>IF(F15=0,0,IF(ISBLANK(D15),0,TENSTRAT(IF(O15/Parametros!$F$42&lt;Parametros!$F$46,Parametros!$F$46,O15/Parametros!$F$42),AJ15,AH15,AK15)))</f>
        <v>0</v>
      </c>
      <c r="AW15" s="228"/>
      <c r="AX15" s="73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9"/>
      <c r="AZ15" s="73">
        <f>IFERROR(INDEX($AX$15:$AX$10000,MATCH(BA15,$E$15:$E$10000,0)),AX15)</f>
        <v>0</v>
      </c>
      <c r="BA15" s="228"/>
      <c r="BB15" s="14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93">
        <f t="shared" ref="A30" si="0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7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95">
        <f>RedBasica!AX30</f>
        <v>0</v>
      </c>
      <c r="AJ30" s="295">
        <f>RedBasica!AZ30</f>
        <v>0</v>
      </c>
      <c r="AK30" s="145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IF(OR(Parametros!$F$35=0,RedBasica!$F40=0),0,IF(Parametros!$F$35="No",0,IF(Parametros!$F$35="Si",1,0)))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RedBasica!K40*Parametros!$L$24</f>
        <v>0</v>
      </c>
      <c r="H40" s="71">
        <f>IF(RedBasica!$F40=0,0,$B40*Parametros!$F$41*Parametros!$F$42*Parametros!$F$36*RedBasica!$F40/1000)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RedBasica!L40*Parametros!$L$24/Parametros!$F$41</f>
        <v>0</v>
      </c>
      <c r="N40" s="71">
        <f>IF(RedBasica!$F40=0,0,$B40*Parametros!$F$42*Parametros!$F$37*RedBasica!$F40/1000)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31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29">
        <f>IF(Q50="",0,(IF(U50-T50&gt;(Parametros!$F$64*(-1)),ROUNDUP(U50-T50+(Parametros!$F$64),2),0)))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29">
        <f>IFERROR(IF(W50="",0,(IF(AA50-Z50&gt;0,ROUNDUP(AA50-Z50,2),0))),0)</f>
        <v>0</v>
      </c>
      <c r="AC50" s="70">
        <f>RedBasica!R50</f>
        <v>0</v>
      </c>
      <c r="AD50" s="329">
        <f>ROUND(I50+AB50,2)</f>
        <v>0</v>
      </c>
      <c r="AE50" s="329"/>
      <c r="AF50" s="329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9" t="str">
        <f t="shared" ref="AG50" si="1">IF(AF50="-","-",IF(AF50-J50=0,"-",ROUND(AF50,2)))</f>
        <v>-</v>
      </c>
      <c r="AH50" s="339">
        <f>RedBasica!B50</f>
        <v>0</v>
      </c>
      <c r="AI50" s="339">
        <f>RedBasica!AI50</f>
        <v>0</v>
      </c>
      <c r="AJ50" s="339">
        <f>RedBasica!AJ50</f>
        <v>0</v>
      </c>
      <c r="AK50" s="339">
        <f>IF(OR(AH50=1,AI50&gt;AJ49),AI50,AJ49)</f>
        <v>0</v>
      </c>
      <c r="AL50" s="340"/>
    </row>
    <row r="51" spans="1:42" ht="15" x14ac:dyDescent="0.25">
      <c r="A51" s="192"/>
      <c r="B51"/>
      <c r="C51"/>
      <c r="D51" s="200"/>
      <c r="E51" s="192"/>
      <c r="F51" s="193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IF(C70&gt;0,IF(C70&lt;Parametros!$F$62,"D","TC"),"")</f>
        <v/>
      </c>
    </row>
    <row r="80" spans="1:7" x14ac:dyDescent="0.2">
      <c r="A80" s="198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6" t="e">
        <f>TEXT(ROUND(IFERROR(INDEX(RedBasica!$AA$15:$AA$9848,MATCH($A80,RedBasica!$AW$15:$AW$9848,0)),INDEX(RedBasica!$AB$15:$AB$9848,MATCH($A80,RedBasica!$AY$15:$AY$9848,0))),2),"0.00")</f>
        <v>#N/A</v>
      </c>
      <c r="D80" s="206" t="e">
        <f>TEXT(ROUND(IFERROR(INDEX(RedBasica!$V$15:$V$9848,MATCH($A80,RedBasica!$AW$15:$AW$9848,0)),INDEX(RedBasica!$W$15:$W$9848,MATCH($A80,RedBasica!$AY$15:$AY$9848,0))),2),"0.00")</f>
        <v>#N/A</v>
      </c>
      <c r="F80" s="206" t="e">
        <f>TEXT(ROUND(IFERROR(INDEX(RedBasica!$AC$15:$AC$9848,MATCH($A80,RedBasica!$AW$15:$AW$9848,0)),INDEX(RedBasica!$AD$15:$AD$9848,MATCH($A80,RedBasica!$AY$15:$AY$9848,0))),2),"0.00")</f>
        <v>#N/A</v>
      </c>
      <c r="G80" s="206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5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73" t="e">
        <f>TEXT(ROUND(INDEX(RedBasica!$AT$15:$AT$10000,MATCH($A90,RedBasica!$E$15:$E$10000,0)),4),"0.00")</f>
        <v>#N/A</v>
      </c>
      <c r="Q90" s="273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7"/>
      <c r="G98" s="198"/>
      <c r="H98"/>
      <c r="J98" s="192"/>
      <c r="K98" s="192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69" priority="1514" stopIfTrue="1" operator="equal">
      <formula>0</formula>
    </cfRule>
  </conditionalFormatting>
  <conditionalFormatting sqref="J40:K40">
    <cfRule type="cellIs" dxfId="68" priority="1504" stopIfTrue="1" operator="equal">
      <formula>0</formula>
    </cfRule>
  </conditionalFormatting>
  <conditionalFormatting sqref="D40">
    <cfRule type="cellIs" dxfId="67" priority="1503" stopIfTrue="1" operator="equal">
      <formula>0</formula>
    </cfRule>
  </conditionalFormatting>
  <conditionalFormatting sqref="E40">
    <cfRule type="cellIs" dxfId="66" priority="1502" stopIfTrue="1" operator="equal">
      <formula>0</formula>
    </cfRule>
  </conditionalFormatting>
  <conditionalFormatting sqref="F40">
    <cfRule type="cellIs" dxfId="65" priority="1501" stopIfTrue="1" operator="equal">
      <formula>0</formula>
    </cfRule>
  </conditionalFormatting>
  <conditionalFormatting sqref="G40">
    <cfRule type="cellIs" dxfId="64" priority="1500" stopIfTrue="1" operator="equal">
      <formula>0</formula>
    </cfRule>
  </conditionalFormatting>
  <conditionalFormatting sqref="L40">
    <cfRule type="cellIs" dxfId="63" priority="1499" stopIfTrue="1" operator="equal">
      <formula>0</formula>
    </cfRule>
  </conditionalFormatting>
  <conditionalFormatting sqref="M40">
    <cfRule type="cellIs" dxfId="62" priority="1498" stopIfTrue="1" operator="equal">
      <formula>0</formula>
    </cfRule>
  </conditionalFormatting>
  <conditionalFormatting sqref="K6:O6">
    <cfRule type="cellIs" dxfId="61" priority="1116" operator="equal">
      <formula>0</formula>
    </cfRule>
  </conditionalFormatting>
  <conditionalFormatting sqref="K2:O5">
    <cfRule type="cellIs" dxfId="60" priority="1117" operator="equal">
      <formula>0</formula>
    </cfRule>
  </conditionalFormatting>
  <conditionalFormatting sqref="C7:G9">
    <cfRule type="cellIs" dxfId="59" priority="1115" operator="equal">
      <formula>0</formula>
    </cfRule>
  </conditionalFormatting>
  <conditionalFormatting sqref="C10:G11">
    <cfRule type="cellIs" dxfId="58" priority="1114" operator="equal">
      <formula>0</formula>
    </cfRule>
  </conditionalFormatting>
  <conditionalFormatting sqref="C30:T30 AA30:AK30">
    <cfRule type="cellIs" dxfId="57" priority="1112" stopIfTrue="1" operator="equal">
      <formula>0</formula>
    </cfRule>
  </conditionalFormatting>
  <conditionalFormatting sqref="U30:V30">
    <cfRule type="cellIs" dxfId="56" priority="1111" stopIfTrue="1" operator="equal">
      <formula>0</formula>
    </cfRule>
  </conditionalFormatting>
  <conditionalFormatting sqref="Y30">
    <cfRule type="cellIs" dxfId="55" priority="1113" stopIfTrue="1" operator="greaterThan">
      <formula>150</formula>
    </cfRule>
  </conditionalFormatting>
  <conditionalFormatting sqref="L50:M50 AC50">
    <cfRule type="cellIs" dxfId="54" priority="95" stopIfTrue="1" operator="equal">
      <formula>0</formula>
    </cfRule>
  </conditionalFormatting>
  <conditionalFormatting sqref="U50 O50:S50">
    <cfRule type="cellIs" dxfId="53" priority="94" stopIfTrue="1" operator="equal">
      <formula>0</formula>
    </cfRule>
  </conditionalFormatting>
  <conditionalFormatting sqref="F50:G50">
    <cfRule type="cellIs" dxfId="52" priority="97" stopIfTrue="1" operator="equal">
      <formula>0</formula>
    </cfRule>
  </conditionalFormatting>
  <conditionalFormatting sqref="I50:J50">
    <cfRule type="cellIs" dxfId="51" priority="96" stopIfTrue="1" operator="equal">
      <formula>0</formula>
    </cfRule>
  </conditionalFormatting>
  <conditionalFormatting sqref="W50:Y50">
    <cfRule type="cellIs" dxfId="50" priority="93" stopIfTrue="1" operator="equal">
      <formula>0</formula>
    </cfRule>
  </conditionalFormatting>
  <conditionalFormatting sqref="AA50">
    <cfRule type="cellIs" dxfId="49" priority="91" stopIfTrue="1" operator="equal">
      <formula>0</formula>
    </cfRule>
  </conditionalFormatting>
  <conditionalFormatting sqref="Z50">
    <cfRule type="cellIs" dxfId="48" priority="92" stopIfTrue="1" operator="equal">
      <formula>0</formula>
    </cfRule>
  </conditionalFormatting>
  <conditionalFormatting sqref="T50">
    <cfRule type="cellIs" dxfId="47" priority="90" stopIfTrue="1" operator="equal">
      <formula>0</formula>
    </cfRule>
  </conditionalFormatting>
  <conditionalFormatting sqref="H50">
    <cfRule type="cellIs" dxfId="46" priority="89" stopIfTrue="1" operator="equal">
      <formula>0</formula>
    </cfRule>
  </conditionalFormatting>
  <conditionalFormatting sqref="N50">
    <cfRule type="cellIs" dxfId="45" priority="88" stopIfTrue="1" operator="equal">
      <formula>0</formula>
    </cfRule>
  </conditionalFormatting>
  <conditionalFormatting sqref="K15:L15">
    <cfRule type="cellIs" dxfId="44" priority="85" stopIfTrue="1" operator="equal">
      <formula>0</formula>
    </cfRule>
  </conditionalFormatting>
  <conditionalFormatting sqref="E15">
    <cfRule type="expression" dxfId="43" priority="76" stopIfTrue="1">
      <formula>B15=1</formula>
    </cfRule>
  </conditionalFormatting>
  <conditionalFormatting sqref="AH15">
    <cfRule type="expression" dxfId="42" priority="74" stopIfTrue="1">
      <formula>ROUND(AH15,5)&lt;ROUND(AF15,5)</formula>
    </cfRule>
  </conditionalFormatting>
  <conditionalFormatting sqref="AW15">
    <cfRule type="cellIs" dxfId="41" priority="70" stopIfTrue="1" operator="equal">
      <formula>0</formula>
    </cfRule>
  </conditionalFormatting>
  <conditionalFormatting sqref="BA15">
    <cfRule type="cellIs" dxfId="40" priority="69" stopIfTrue="1" operator="equal">
      <formula>0</formula>
    </cfRule>
  </conditionalFormatting>
  <conditionalFormatting sqref="AK15">
    <cfRule type="cellIs" dxfId="39" priority="84" stopIfTrue="1" operator="equal">
      <formula>0</formula>
    </cfRule>
  </conditionalFormatting>
  <conditionalFormatting sqref="AF15">
    <cfRule type="expression" dxfId="38" priority="65" stopIfTrue="1">
      <formula>F15=0</formula>
    </cfRule>
    <cfRule type="cellIs" dxfId="37" priority="66" stopIfTrue="1" operator="notEqual">
      <formula>AG15</formula>
    </cfRule>
  </conditionalFormatting>
  <conditionalFormatting sqref="P15:Q15">
    <cfRule type="cellIs" dxfId="36" priority="58" stopIfTrue="1" operator="equal">
      <formula>0</formula>
    </cfRule>
  </conditionalFormatting>
  <conditionalFormatting sqref="R15">
    <cfRule type="cellIs" dxfId="35" priority="56" operator="equal">
      <formula>0</formula>
    </cfRule>
    <cfRule type="cellIs" dxfId="34" priority="57" operator="notEqual">
      <formula>0</formula>
    </cfRule>
  </conditionalFormatting>
  <conditionalFormatting sqref="V15">
    <cfRule type="expression" dxfId="33" priority="50" stopIfTrue="1">
      <formula>B15=1</formula>
    </cfRule>
  </conditionalFormatting>
  <conditionalFormatting sqref="U15">
    <cfRule type="expression" dxfId="32" priority="54" stopIfTrue="1">
      <formula>E15=1</formula>
    </cfRule>
  </conditionalFormatting>
  <conditionalFormatting sqref="W15">
    <cfRule type="cellIs" dxfId="31" priority="52" operator="greaterThanOrEqual">
      <formula>3</formula>
    </cfRule>
    <cfRule type="cellIs" dxfId="30" priority="53" operator="greaterThanOrEqual">
      <formula>2</formula>
    </cfRule>
  </conditionalFormatting>
  <conditionalFormatting sqref="V15">
    <cfRule type="cellIs" dxfId="29" priority="51" operator="greaterThanOrEqual">
      <formula>3</formula>
    </cfRule>
    <cfRule type="cellIs" dxfId="28" priority="55" operator="greaterThanOrEqual">
      <formula>2</formula>
    </cfRule>
  </conditionalFormatting>
  <conditionalFormatting sqref="T15">
    <cfRule type="expression" dxfId="27" priority="49" stopIfTrue="1">
      <formula>B15=1</formula>
    </cfRule>
  </conditionalFormatting>
  <conditionalFormatting sqref="M15">
    <cfRule type="expression" dxfId="26" priority="75" stopIfTrue="1">
      <formula>#REF!&gt;0</formula>
    </cfRule>
  </conditionalFormatting>
  <conditionalFormatting sqref="X15">
    <cfRule type="cellIs" dxfId="25" priority="47" operator="equal">
      <formula>0</formula>
    </cfRule>
    <cfRule type="cellIs" dxfId="24" priority="48" operator="notEqual">
      <formula>0</formula>
    </cfRule>
  </conditionalFormatting>
  <conditionalFormatting sqref="AJ15">
    <cfRule type="expression" dxfId="23" priority="45">
      <formula>BE15=1</formula>
    </cfRule>
    <cfRule type="cellIs" dxfId="22" priority="46" stopIfTrue="1" operator="notEqual">
      <formula>AI15</formula>
    </cfRule>
  </conditionalFormatting>
  <conditionalFormatting sqref="AJ12">
    <cfRule type="expression" dxfId="21" priority="700058">
      <formula>BE13=1</formula>
    </cfRule>
    <cfRule type="cellIs" dxfId="20" priority="700059" stopIfTrue="1" operator="notEqual">
      <formula>AI13</formula>
    </cfRule>
  </conditionalFormatting>
  <conditionalFormatting sqref="AN15">
    <cfRule type="cellIs" dxfId="19" priority="15" stopIfTrue="1" operator="equal">
      <formula>0</formula>
    </cfRule>
  </conditionalFormatting>
  <conditionalFormatting sqref="AO15">
    <cfRule type="cellIs" dxfId="18" priority="18" stopIfTrue="1" operator="equal">
      <formula>1</formula>
    </cfRule>
  </conditionalFormatting>
  <conditionalFormatting sqref="AR15">
    <cfRule type="cellIs" dxfId="17" priority="13" stopIfTrue="1" operator="greaterThan">
      <formula>AQ15</formula>
    </cfRule>
    <cfRule type="cellIs" dxfId="16" priority="17" stopIfTrue="1" operator="equal">
      <formula>0</formula>
    </cfRule>
  </conditionalFormatting>
  <conditionalFormatting sqref="AQ15">
    <cfRule type="cellIs" dxfId="15" priority="11" stopIfTrue="1" operator="equal">
      <formula>0</formula>
    </cfRule>
    <cfRule type="cellIs" dxfId="14" priority="20" stopIfTrue="1" operator="equal">
      <formula>0</formula>
    </cfRule>
  </conditionalFormatting>
  <conditionalFormatting sqref="AL15">
    <cfRule type="cellIs" dxfId="13" priority="22" stopIfTrue="1" operator="equal">
      <formula>0</formula>
    </cfRule>
  </conditionalFormatting>
  <conditionalFormatting sqref="AO15">
    <cfRule type="cellIs" dxfId="12" priority="16" stopIfTrue="1" operator="equal">
      <formula>1</formula>
    </cfRule>
  </conditionalFormatting>
  <conditionalFormatting sqref="AS15">
    <cfRule type="cellIs" dxfId="11" priority="14" stopIfTrue="1" operator="equal">
      <formula>0</formula>
    </cfRule>
    <cfRule type="cellIs" dxfId="10" priority="19" stopIfTrue="1" operator="equal">
      <formula>0</formula>
    </cfRule>
  </conditionalFormatting>
  <conditionalFormatting sqref="AM15">
    <cfRule type="cellIs" dxfId="9" priority="6" stopIfTrue="1" operator="equal">
      <formula>0</formula>
    </cfRule>
  </conditionalFormatting>
  <conditionalFormatting sqref="AP15">
    <cfRule type="cellIs" dxfId="8" priority="21" stopIfTrue="1" operator="equal">
      <formula>0</formula>
    </cfRule>
  </conditionalFormatting>
  <conditionalFormatting sqref="AT15">
    <cfRule type="cellIs" dxfId="7" priority="5" stopIfTrue="1" operator="equal">
      <formula>0</formula>
    </cfRule>
  </conditionalFormatting>
  <conditionalFormatting sqref="AV15">
    <cfRule type="cellIs" dxfId="6" priority="8" stopIfTrue="1" operator="equal">
      <formula>0</formula>
    </cfRule>
  </conditionalFormatting>
  <conditionalFormatting sqref="AU15">
    <cfRule type="cellIs" dxfId="5" priority="2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stopIfTrue="1" operator="greaterThan" id="{A0B2B2D7-E847-46AC-911A-6460A77C3AF6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12" stopIfTrue="1" id="{2A3F1ED0-F33E-4DFD-A375-264AFB33430C}">
            <xm:f>AND(AR15&gt;AQ15,AN15&gt;[_RedBasica_1907_LN_ES.xlsm]Parametros!#REF!)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9" stopIfTrue="1" operator="lessThan" id="{C3EF37FF-F8B3-4525-B4EB-9FD0E0BEC9E1}">
            <xm:f>Parametros!$F$45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7" stopIfTrue="1" operator="lessThan" id="{29C49E1D-5F6A-44F8-8F83-93256262B61E}">
            <xm:f>Parametros!$F$45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  <x14:conditionalFormatting xmlns:xm="http://schemas.microsoft.com/office/excel/2006/main">
          <x14:cfRule type="cellIs" priority="1" stopIfTrue="1" operator="greaterThan" id="{29C49202-EC39-4A99-AA93-5CA716476EBB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O25" sqref="O25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302"/>
      <c r="B1" s="301">
        <v>1</v>
      </c>
      <c r="C1" s="301">
        <v>2</v>
      </c>
      <c r="D1" s="301">
        <v>3</v>
      </c>
      <c r="E1" s="301">
        <v>4</v>
      </c>
      <c r="F1" s="301">
        <v>5</v>
      </c>
      <c r="G1" s="301">
        <v>6</v>
      </c>
      <c r="H1" s="301">
        <v>7</v>
      </c>
      <c r="I1" s="301">
        <v>8</v>
      </c>
      <c r="J1" s="301">
        <v>9</v>
      </c>
      <c r="K1" s="301">
        <v>10</v>
      </c>
      <c r="L1" s="301">
        <v>11</v>
      </c>
      <c r="M1" s="301">
        <v>12</v>
      </c>
      <c r="N1" s="301">
        <v>13</v>
      </c>
      <c r="O1" s="301">
        <v>14</v>
      </c>
    </row>
    <row r="2" spans="1:15" x14ac:dyDescent="0.2">
      <c r="A2" s="150" t="s">
        <v>169</v>
      </c>
      <c r="B2" s="150">
        <f>'A7'!B2</f>
        <v>100</v>
      </c>
      <c r="C2" s="150">
        <f>'A7'!B3</f>
        <v>150</v>
      </c>
      <c r="D2" s="150">
        <f>'A7'!B4</f>
        <v>200</v>
      </c>
      <c r="E2" s="150">
        <f>'A7'!B5</f>
        <v>250</v>
      </c>
      <c r="F2" s="150">
        <f>'A7'!B6</f>
        <v>300</v>
      </c>
      <c r="G2" s="150">
        <f>'A7'!B7</f>
        <v>400</v>
      </c>
      <c r="H2" s="150">
        <f>'A7'!B8</f>
        <v>500</v>
      </c>
      <c r="I2" s="150">
        <f>'A7'!B9</f>
        <v>600</v>
      </c>
      <c r="J2" s="150">
        <f>'A7'!B10</f>
        <v>700</v>
      </c>
      <c r="K2" s="150">
        <f>'A7'!B11</f>
        <v>800</v>
      </c>
      <c r="L2" s="150">
        <f>'A7'!B12</f>
        <v>900</v>
      </c>
      <c r="M2" s="150">
        <f>'A7'!B13</f>
        <v>1000</v>
      </c>
      <c r="N2" s="150">
        <f>'A7'!B14</f>
        <v>1200</v>
      </c>
      <c r="O2" s="150">
        <f>'A7'!B15</f>
        <v>1500</v>
      </c>
    </row>
    <row r="3" spans="1:15" x14ac:dyDescent="0.2">
      <c r="A3" s="150" t="s">
        <v>170</v>
      </c>
      <c r="B3" s="150" t="b">
        <v>1</v>
      </c>
      <c r="C3" s="150" t="b">
        <v>1</v>
      </c>
      <c r="D3" s="150" t="b">
        <v>1</v>
      </c>
      <c r="E3" s="150" t="b">
        <v>1</v>
      </c>
      <c r="F3" s="150" t="b">
        <v>1</v>
      </c>
      <c r="G3" s="150" t="b">
        <v>1</v>
      </c>
      <c r="H3" s="150" t="b">
        <v>1</v>
      </c>
      <c r="I3" s="150" t="b">
        <v>1</v>
      </c>
      <c r="J3" s="150" t="b">
        <v>1</v>
      </c>
      <c r="K3" s="150" t="b">
        <v>1</v>
      </c>
      <c r="L3" s="150" t="b">
        <v>1</v>
      </c>
      <c r="M3" s="150" t="b">
        <v>1</v>
      </c>
      <c r="N3" s="150" t="b">
        <v>1</v>
      </c>
      <c r="O3" s="150" t="b">
        <v>1</v>
      </c>
    </row>
    <row r="4" spans="1:15" x14ac:dyDescent="0.2">
      <c r="A4" s="303" t="str">
        <f>IF(ISBLANK('A7'!C1),"",'A7'!C1)</f>
        <v>PVC</v>
      </c>
      <c r="B4" s="308" t="str">
        <f>IF('A7'!C2=1,'A14'!A$4,IF('A7'!C2=0,"",""))</f>
        <v>PVC</v>
      </c>
      <c r="C4" s="308" t="str">
        <f>IF('A7'!C3=1,'A14'!A$4,IF('A7'!C3=0,"",""))</f>
        <v>PVC</v>
      </c>
      <c r="D4" s="308" t="str">
        <f>IF('A7'!C4=1,'A14'!A$4,IF('A7'!C4=0,"",""))</f>
        <v>PVC</v>
      </c>
      <c r="E4" s="308" t="str">
        <f>IF('A7'!C5=1,'A14'!A$4,IF('A7'!C5=0,"",""))</f>
        <v>PVC</v>
      </c>
      <c r="F4" s="308" t="str">
        <f>IF('A7'!C6=1,'A14'!A$4,IF('A7'!C6=0,"",""))</f>
        <v>PVC</v>
      </c>
      <c r="G4" s="308" t="str">
        <f>IF('A7'!C7=1,'A14'!A$4,IF('A7'!C7=0,"",""))</f>
        <v>PVC</v>
      </c>
      <c r="H4" s="308" t="str">
        <f>IF('A7'!C8=1,'A14'!A$4,IF('A7'!C8=0,"",""))</f>
        <v/>
      </c>
      <c r="I4" s="308" t="str">
        <f>IF('A7'!C9=1,'A14'!A$4,IF('A7'!C9=0,"",""))</f>
        <v/>
      </c>
      <c r="J4" s="308" t="str">
        <f>IF('A7'!C10=1,'A14'!A$4,IF('A7'!C10=0,"",""))</f>
        <v/>
      </c>
      <c r="K4" s="308" t="str">
        <f>IF('A7'!C11=1,'A14'!A$4,IF('A7'!C11=0,"",""))</f>
        <v/>
      </c>
      <c r="L4" s="308" t="str">
        <f>IF('A7'!C12=1,'A14'!A$4,IF('A7'!C12=0,"",""))</f>
        <v/>
      </c>
      <c r="M4" s="308" t="str">
        <f>IF('A7'!C13=1,'A14'!A$4,IF('A7'!C13=0,"",""))</f>
        <v/>
      </c>
      <c r="N4" s="308" t="str">
        <f>IF('A7'!C14=1,'A14'!A$4,IF('A7'!C14=0,"",""))</f>
        <v/>
      </c>
      <c r="O4" s="308" t="str">
        <f>IF('A7'!C15=1,'A14'!A$4,IF('A7'!C15=0,"",""))</f>
        <v/>
      </c>
    </row>
    <row r="5" spans="1:15" x14ac:dyDescent="0.2">
      <c r="A5" s="303" t="str">
        <f>IF(ISBLANK('A7'!D1),"",'A7'!D1)</f>
        <v>PEAD</v>
      </c>
      <c r="B5" s="308" t="str">
        <f>IF('A7'!D2=1,'A14'!A$5,IF('A7'!D2=0,"",""))</f>
        <v>PEAD</v>
      </c>
      <c r="C5" s="308" t="str">
        <f>IF('A7'!D3=1,'A14'!A$5,IF('A7'!D3=0,"",""))</f>
        <v>PEAD</v>
      </c>
      <c r="D5" s="308" t="str">
        <f>IF('A7'!D4=1,'A14'!A$5,IF('A7'!D4=0,"",""))</f>
        <v>PEAD</v>
      </c>
      <c r="E5" s="308" t="str">
        <f>IF('A7'!D5=1,'A14'!A$5,IF('A7'!D5=0,"",""))</f>
        <v>PEAD</v>
      </c>
      <c r="F5" s="308" t="str">
        <f>IF('A7'!D6=1,'A14'!A$5,IF('A7'!D6=0,"",""))</f>
        <v>PEAD</v>
      </c>
      <c r="G5" s="308" t="str">
        <f>IF('A7'!D7=1,'A14'!A$5,IF('A7'!D7=0,"",""))</f>
        <v>PEAD</v>
      </c>
      <c r="H5" s="308" t="str">
        <f>IF('A7'!D8=1,'A14'!A$5,IF('A7'!D8=0,"",""))</f>
        <v>PEAD</v>
      </c>
      <c r="I5" s="308" t="str">
        <f>IF('A7'!D9=1,'A14'!A$5,IF('A7'!D9=0,"",""))</f>
        <v>PEAD</v>
      </c>
      <c r="J5" s="308" t="str">
        <f>IF('A7'!D10=1,'A14'!A$5,IF('A7'!D10=0,"",""))</f>
        <v>PEAD</v>
      </c>
      <c r="K5" s="308" t="str">
        <f>IF('A7'!D11=1,'A14'!A$5,IF('A7'!D11=0,"",""))</f>
        <v>PEAD</v>
      </c>
      <c r="L5" s="308" t="str">
        <f>IF('A7'!D12=1,'A14'!A$5,IF('A7'!D12=0,"",""))</f>
        <v>PEAD</v>
      </c>
      <c r="M5" s="308" t="str">
        <f>IF('A7'!D13=1,'A14'!A$5,IF('A7'!D13=0,"",""))</f>
        <v>PEAD</v>
      </c>
      <c r="N5" s="308" t="str">
        <f>IF('A7'!D14=1,'A14'!A$5,IF('A7'!D14=0,"",""))</f>
        <v>PEAD</v>
      </c>
      <c r="O5" s="308" t="str">
        <f>IF('A7'!D15=1,'A14'!A$5,IF('A7'!D15=0,"",""))</f>
        <v>PEAD</v>
      </c>
    </row>
    <row r="6" spans="1:15" x14ac:dyDescent="0.2">
      <c r="A6" s="303" t="str">
        <f>IF(ISBLANK('A7'!E1),"",'A7'!E1)</f>
        <v>Concreto</v>
      </c>
      <c r="B6" s="308" t="str">
        <f>IF('A7'!E2=1,'A14'!A$6,IF('A7'!E2=0,"",""))</f>
        <v/>
      </c>
      <c r="C6" s="308" t="str">
        <f>IF('A7'!E3=1,'A14'!A$6,IF('A7'!E3=0,"",""))</f>
        <v/>
      </c>
      <c r="D6" s="308" t="str">
        <f>IF('A7'!E4=1,'A14'!A$6,IF('A7'!E4=0,"",""))</f>
        <v/>
      </c>
      <c r="E6" s="308" t="str">
        <f>IF('A7'!E5=1,'A14'!A$6,IF('A7'!E5=0,"",""))</f>
        <v/>
      </c>
      <c r="F6" s="308" t="str">
        <f>IF('A7'!E6=1,'A14'!A$6,IF('A7'!E6=0,"",""))</f>
        <v/>
      </c>
      <c r="G6" s="308" t="str">
        <f>IF('A7'!E7=1,'A14'!A$6,IF('A7'!E7=0,"",""))</f>
        <v>Concreto</v>
      </c>
      <c r="H6" s="308" t="str">
        <f>IF('A7'!E8=1,'A14'!A$6,IF('A7'!E8=0,"",""))</f>
        <v>Concreto</v>
      </c>
      <c r="I6" s="308" t="str">
        <f>IF('A7'!E9=1,'A14'!A$6,IF('A7'!E9=0,"",""))</f>
        <v>Concreto</v>
      </c>
      <c r="J6" s="308" t="str">
        <f>IF('A7'!E10=1,'A14'!A$6,IF('A7'!E10=0,"",""))</f>
        <v>Concreto</v>
      </c>
      <c r="K6" s="308" t="str">
        <f>IF('A7'!E11=1,'A14'!A$6,IF('A7'!E11=0,"",""))</f>
        <v>Concreto</v>
      </c>
      <c r="L6" s="308" t="str">
        <f>IF('A7'!E12=1,'A14'!A$6,IF('A7'!E12=0,"",""))</f>
        <v>Concreto</v>
      </c>
      <c r="M6" s="308" t="str">
        <f>IF('A7'!E13=1,'A14'!A$6,IF('A7'!E13=0,"",""))</f>
        <v>Concreto</v>
      </c>
      <c r="N6" s="308" t="str">
        <f>IF('A7'!E14=1,'A14'!A$6,IF('A7'!E14=0,"",""))</f>
        <v>Concreto</v>
      </c>
      <c r="O6" s="308" t="str">
        <f>IF('A7'!E15=1,'A14'!A$6,IF('A7'!E15=0,"",""))</f>
        <v>Concreto</v>
      </c>
    </row>
    <row r="7" spans="1:15" x14ac:dyDescent="0.2">
      <c r="A7" s="303" t="str">
        <f>IF(ISBLANK('A7'!F1),"",'A7'!F1)</f>
        <v>Hierro</v>
      </c>
      <c r="B7" s="308" t="str">
        <f>IF('A7'!F2=1,'A14'!A$7,IF('A7'!F2=0,"",""))</f>
        <v/>
      </c>
      <c r="C7" s="308" t="str">
        <f>IF('A7'!F3=1,'A14'!A$7,IF('A7'!F3=0,"",""))</f>
        <v>Hierro</v>
      </c>
      <c r="D7" s="308" t="str">
        <f>IF('A7'!F4=1,'A14'!A$7,IF('A7'!F4=0,"",""))</f>
        <v>Hierro</v>
      </c>
      <c r="E7" s="308" t="str">
        <f>IF('A7'!F5=1,'A14'!A$7,IF('A7'!F5=0,"",""))</f>
        <v>Hierro</v>
      </c>
      <c r="F7" s="308" t="str">
        <f>IF('A7'!F6=1,'A14'!A$7,IF('A7'!F6=0,"",""))</f>
        <v>Hierro</v>
      </c>
      <c r="G7" s="308" t="str">
        <f>IF('A7'!F7=1,'A14'!A$7,IF('A7'!F7=0,"",""))</f>
        <v>Hierro</v>
      </c>
      <c r="H7" s="308" t="str">
        <f>IF('A7'!F8=1,'A14'!A$7,IF('A7'!F8=0,"",""))</f>
        <v>Hierro</v>
      </c>
      <c r="I7" s="308" t="str">
        <f>IF('A7'!F9=1,'A14'!A$7,IF('A7'!F9=0,"",""))</f>
        <v>Hierro</v>
      </c>
      <c r="J7" s="308" t="str">
        <f>IF('A7'!F10=1,'A14'!A$7,IF('A7'!F10=0,"",""))</f>
        <v>Hierro</v>
      </c>
      <c r="K7" s="308" t="str">
        <f>IF('A7'!F11=1,'A14'!A$7,IF('A7'!F11=0,"",""))</f>
        <v>Hierro</v>
      </c>
      <c r="L7" s="308" t="str">
        <f>IF('A7'!F12=1,'A14'!A$7,IF('A7'!F12=0,"",""))</f>
        <v>Hierro</v>
      </c>
      <c r="M7" s="308" t="str">
        <f>IF('A7'!F13=1,'A14'!A$7,IF('A7'!F13=0,"",""))</f>
        <v>Hierro</v>
      </c>
      <c r="N7" s="308" t="str">
        <f>IF('A7'!F14=1,'A14'!A$7,IF('A7'!F14=0,"",""))</f>
        <v>Hierro</v>
      </c>
      <c r="O7" s="308" t="str">
        <f>IF('A7'!F15=1,'A14'!A$7,IF('A7'!F15=0,"",""))</f>
        <v>Hierro</v>
      </c>
    </row>
    <row r="8" spans="1:15" x14ac:dyDescent="0.2">
      <c r="A8" s="303" t="str">
        <f>IF(ISBLANK('A7'!G1),"",'A7'!G1)</f>
        <v>Otro</v>
      </c>
      <c r="B8" s="308" t="str">
        <f>IF('A7'!G2=1,'A14'!A$8,IF('A7'!G2=0,"",""))</f>
        <v/>
      </c>
      <c r="C8" s="308" t="str">
        <f>IF('A7'!G3=1,'A14'!A$8,IF('A7'!G3=0,"",""))</f>
        <v/>
      </c>
      <c r="D8" s="308" t="str">
        <f>IF('A7'!G4=1,'A14'!A$8,IF('A7'!G4=0,"",""))</f>
        <v/>
      </c>
      <c r="E8" s="308" t="str">
        <f>IF('A7'!G5=1,'A14'!A$8,IF('A7'!G5=0,"",""))</f>
        <v/>
      </c>
      <c r="F8" s="308" t="str">
        <f>IF('A7'!G6=1,'A14'!A$8,IF('A7'!G6=0,"",""))</f>
        <v/>
      </c>
      <c r="G8" s="308" t="str">
        <f>IF('A7'!G7=1,'A14'!A$8,IF('A7'!G7=0,"",""))</f>
        <v>Otro</v>
      </c>
      <c r="H8" s="308" t="str">
        <f>IF('A7'!G8=1,'A14'!A$8,IF('A7'!G8=0,"",""))</f>
        <v>Otro</v>
      </c>
      <c r="I8" s="308" t="str">
        <f>IF('A7'!G9=1,'A14'!A$8,IF('A7'!G9=0,"",""))</f>
        <v>Otro</v>
      </c>
      <c r="J8" s="308" t="str">
        <f>IF('A7'!G10=1,'A14'!A$8,IF('A7'!G10=0,"",""))</f>
        <v>Otro</v>
      </c>
      <c r="K8" s="308" t="str">
        <f>IF('A7'!G11=1,'A14'!A$8,IF('A7'!G11=0,"",""))</f>
        <v>Otro</v>
      </c>
      <c r="L8" s="308" t="str">
        <f>IF('A7'!G12=1,'A14'!A$8,IF('A7'!G12=0,"",""))</f>
        <v/>
      </c>
      <c r="M8" s="308" t="str">
        <f>IF('A7'!G13=1,'A14'!A$8,IF('A7'!G13=0,"",""))</f>
        <v/>
      </c>
      <c r="N8" s="308" t="str">
        <f>IF('A7'!G14=1,'A14'!A$8,IF('A7'!G14=0,"",""))</f>
        <v/>
      </c>
      <c r="O8" s="308" t="str">
        <f>IF('A7'!G15=1,'A14'!A$8,IF('A7'!G15=0,"",""))</f>
        <v/>
      </c>
    </row>
    <row r="9" spans="1:15" x14ac:dyDescent="0.2">
      <c r="A9" s="150" t="s">
        <v>171</v>
      </c>
      <c r="B9" s="150" t="s">
        <v>168</v>
      </c>
      <c r="C9" s="150" t="s">
        <v>132</v>
      </c>
      <c r="D9" s="150" t="s">
        <v>132</v>
      </c>
      <c r="E9" s="150" t="s">
        <v>132</v>
      </c>
      <c r="F9" s="150" t="s">
        <v>132</v>
      </c>
      <c r="G9" s="150" t="s">
        <v>121</v>
      </c>
      <c r="H9" s="150" t="s">
        <v>121</v>
      </c>
      <c r="I9" s="150" t="s">
        <v>121</v>
      </c>
      <c r="J9" s="150" t="s">
        <v>121</v>
      </c>
      <c r="K9" s="150" t="s">
        <v>121</v>
      </c>
      <c r="L9" s="150" t="s">
        <v>121</v>
      </c>
      <c r="M9" s="150" t="s">
        <v>121</v>
      </c>
      <c r="N9" s="150" t="s">
        <v>121</v>
      </c>
      <c r="O9" s="150" t="s">
        <v>121</v>
      </c>
    </row>
    <row r="10" spans="1:15" x14ac:dyDescent="0.2">
      <c r="A10" s="150" t="s">
        <v>172</v>
      </c>
      <c r="B10" s="150">
        <f>IFERROR(IF(MATCH(B9,nDN_1,0),1),0)</f>
        <v>0</v>
      </c>
      <c r="C10" s="150">
        <f>IFERROR(IF(MATCH(C9,nDN_2,0),1),0)</f>
        <v>1</v>
      </c>
      <c r="D10" s="150">
        <f>IFERROR(IF(MATCH(D9,nDN_3,0),1),0)</f>
        <v>1</v>
      </c>
      <c r="E10" s="150">
        <f>IFERROR(IF(MATCH(E9,nDN_4,0),1),0)</f>
        <v>1</v>
      </c>
      <c r="F10" s="150">
        <f>IFERROR(IF(MATCH(F9,nDN_5,0),1),0)</f>
        <v>1</v>
      </c>
      <c r="G10" s="150">
        <f>IFERROR(IF(MATCH(G9,nDN_6,0),1),0)</f>
        <v>1</v>
      </c>
      <c r="H10" s="150">
        <f>IFERROR(IF(MATCH(H9,nDN_7,0),1),0)</f>
        <v>1</v>
      </c>
      <c r="I10" s="150">
        <f>IFERROR(IF(MATCH(I9,nDN_8,0),1),0)</f>
        <v>1</v>
      </c>
      <c r="J10" s="150">
        <f>IFERROR(IF(MATCH(J9,nDN_9,0),1),0)</f>
        <v>1</v>
      </c>
      <c r="K10" s="150">
        <f>IFERROR(IF(MATCH(K9,nDN_10,0),1),0)</f>
        <v>1</v>
      </c>
      <c r="L10" s="150">
        <f>IFERROR(IF(MATCH(L9,nDN_11,0),1),0)</f>
        <v>1</v>
      </c>
      <c r="M10" s="150">
        <f>IFERROR(IF(MATCH(M9,nDN_12,0),1),0)</f>
        <v>1</v>
      </c>
      <c r="N10" s="150">
        <f>IFERROR(IF(MATCH(N9,nDN_13,0),1),0)</f>
        <v>1</v>
      </c>
      <c r="O10" s="150">
        <f>IFERROR(IF(MATCH(O9,nDN_14,0),1),0)</f>
        <v>1</v>
      </c>
    </row>
    <row r="11" spans="1:15" x14ac:dyDescent="0.2">
      <c r="A11" s="307"/>
      <c r="B11" s="297" t="str">
        <f t="array" ref="B11">INDEX(B$4:B$8, MATCH(LARGE(COUNTIF(B$4:B$8, "&lt;"&amp;B$4:B$8), ROW(1:1)), COUNTIF(B$4:B$8, "&lt;"&amp;B$4:B$8), 0))</f>
        <v>PVC</v>
      </c>
      <c r="C11" s="297" t="str">
        <f t="array" ref="C11">INDEX(C$4:C$8, MATCH(LARGE(COUNTIF(C$4:C$8, "&lt;"&amp;C$4:C$8), ROW(1:1)), COUNTIF(C$4:C$8, "&lt;"&amp;C$4:C$8), 0))</f>
        <v>PVC</v>
      </c>
      <c r="D11" s="297" t="str">
        <f t="array" ref="D11">INDEX(D$4:D$8, MATCH(LARGE(COUNTIF(D$4:D$8, "&lt;"&amp;D$4:D$8), ROW(1:1)), COUNTIF(D$4:D$8, "&lt;"&amp;D$4:D$8), 0))</f>
        <v>PVC</v>
      </c>
      <c r="E11" s="297" t="str">
        <f t="array" ref="E11">INDEX(E$4:E$8, MATCH(LARGE(COUNTIF(E$4:E$8, "&lt;"&amp;E$4:E$8), ROW(1:1)), COUNTIF(E$4:E$8, "&lt;"&amp;E$4:E$8), 0))</f>
        <v>PVC</v>
      </c>
      <c r="F11" s="297" t="str">
        <f t="array" ref="F11">INDEX(F$4:F$8, MATCH(LARGE(COUNTIF(F$4:F$8, "&lt;"&amp;F$4:F$8), ROW(1:1)), COUNTIF(F$4:F$8, "&lt;"&amp;F$4:F$8), 0))</f>
        <v>PVC</v>
      </c>
      <c r="G11" s="297" t="str">
        <f t="array" ref="G11">INDEX(G$4:G$8, MATCH(LARGE(COUNTIF(G$4:G$8, "&lt;"&amp;G$4:G$8), ROW(1:1)), COUNTIF(G$4:G$8, "&lt;"&amp;G$4:G$8), 0))</f>
        <v>PVC</v>
      </c>
      <c r="H11" s="297" t="str">
        <f t="array" ref="H11">INDEX(H$4:H$8, MATCH(LARGE(COUNTIF(H$4:H$8, "&lt;"&amp;H$4:H$8), ROW(1:1)), COUNTIF(H$4:H$8, "&lt;"&amp;H$4:H$8), 0))</f>
        <v>PEAD</v>
      </c>
      <c r="I11" s="297" t="str">
        <f t="array" ref="I11">INDEX(I$4:I$8, MATCH(LARGE(COUNTIF(I$4:I$8, "&lt;"&amp;I$4:I$8), ROW(1:1)), COUNTIF(I$4:I$8, "&lt;"&amp;I$4:I$8), 0))</f>
        <v>PEAD</v>
      </c>
      <c r="J11" s="297" t="str">
        <f t="array" ref="J11">INDEX(J$4:J$8, MATCH(LARGE(COUNTIF(J$4:J$8, "&lt;"&amp;J$4:J$8), ROW(1:1)), COUNTIF(J$4:J$8, "&lt;"&amp;J$4:J$8), 0))</f>
        <v>PEAD</v>
      </c>
      <c r="K11" s="297" t="str">
        <f t="array" ref="K11">INDEX(K$4:K$8, MATCH(LARGE(COUNTIF(K$4:K$8, "&lt;"&amp;K$4:K$8), ROW(1:1)), COUNTIF(K$4:K$8, "&lt;"&amp;K$4:K$8), 0))</f>
        <v>PEAD</v>
      </c>
      <c r="L11" s="297" t="str">
        <f t="array" ref="L11">INDEX(L$4:L$8, MATCH(LARGE(COUNTIF(L$4:L$8, "&lt;"&amp;L$4:L$8), ROW(1:1)), COUNTIF(L$4:L$8, "&lt;"&amp;L$4:L$8), 0))</f>
        <v>PEAD</v>
      </c>
      <c r="M11" s="297" t="str">
        <f t="array" ref="M11">INDEX(M$4:M$8, MATCH(LARGE(COUNTIF(M$4:M$8, "&lt;"&amp;M$4:M$8), ROW(1:1)), COUNTIF(M$4:M$8, "&lt;"&amp;M$4:M$8), 0))</f>
        <v>PEAD</v>
      </c>
      <c r="N11" s="297" t="str">
        <f t="array" ref="N11">INDEX(N$4:N$8, MATCH(LARGE(COUNTIF(N$4:N$8, "&lt;"&amp;N$4:N$8), ROW(1:1)), COUNTIF(N$4:N$8, "&lt;"&amp;N$4:N$8), 0))</f>
        <v>PEAD</v>
      </c>
      <c r="O11" s="297" t="str">
        <f t="array" ref="O11">INDEX(O$4:O$8, MATCH(LARGE(COUNTIF(O$4:O$8, "&lt;"&amp;O$4:O$8), ROW(1:1)), COUNTIF(O$4:O$8, "&lt;"&amp;O$4:O$8), 0))</f>
        <v>PEAD</v>
      </c>
    </row>
    <row r="12" spans="1:15" x14ac:dyDescent="0.2">
      <c r="A12" s="307"/>
      <c r="B12" s="297" t="str">
        <f t="array" ref="B12">INDEX(B$4:B$8, MATCH(LARGE(COUNTIF(B$4:B$8, "&lt;"&amp;B$4:B$8), ROW(2:2)), COUNTIF(B$4:B$8, "&lt;"&amp;B$4:B$8), 0))</f>
        <v>PEAD</v>
      </c>
      <c r="C12" s="297" t="str">
        <f t="array" ref="C12">INDEX(C$4:C$8, MATCH(LARGE(COUNTIF(C$4:C$8, "&lt;"&amp;C$4:C$8), ROW(2:2)), COUNTIF(C$4:C$8, "&lt;"&amp;C$4:C$8), 0))</f>
        <v>PEAD</v>
      </c>
      <c r="D12" s="297" t="str">
        <f t="array" ref="D12">INDEX(D$4:D$8, MATCH(LARGE(COUNTIF(D$4:D$8, "&lt;"&amp;D$4:D$8), ROW(2:2)), COUNTIF(D$4:D$8, "&lt;"&amp;D$4:D$8), 0))</f>
        <v>PEAD</v>
      </c>
      <c r="E12" s="297" t="str">
        <f t="array" ref="E12">INDEX(E$4:E$8, MATCH(LARGE(COUNTIF(E$4:E$8, "&lt;"&amp;E$4:E$8), ROW(2:2)), COUNTIF(E$4:E$8, "&lt;"&amp;E$4:E$8), 0))</f>
        <v>PEAD</v>
      </c>
      <c r="F12" s="297" t="str">
        <f t="array" ref="F12">INDEX(F$4:F$8, MATCH(LARGE(COUNTIF(F$4:F$8, "&lt;"&amp;F$4:F$8), ROW(2:2)), COUNTIF(F$4:F$8, "&lt;"&amp;F$4:F$8), 0))</f>
        <v>PEAD</v>
      </c>
      <c r="G12" s="297" t="str">
        <f t="array" ref="G12">INDEX(G$4:G$8, MATCH(LARGE(COUNTIF(G$4:G$8, "&lt;"&amp;G$4:G$8), ROW(2:2)), COUNTIF(G$4:G$8, "&lt;"&amp;G$4:G$8), 0))</f>
        <v>PEAD</v>
      </c>
      <c r="H12" s="297" t="str">
        <f t="array" ref="H12">INDEX(H$4:H$8, MATCH(LARGE(COUNTIF(H$4:H$8, "&lt;"&amp;H$4:H$8), ROW(2:2)), COUNTIF(H$4:H$8, "&lt;"&amp;H$4:H$8), 0))</f>
        <v>Otro</v>
      </c>
      <c r="I12" s="297" t="str">
        <f t="array" ref="I12">INDEX(I$4:I$8, MATCH(LARGE(COUNTIF(I$4:I$8, "&lt;"&amp;I$4:I$8), ROW(2:2)), COUNTIF(I$4:I$8, "&lt;"&amp;I$4:I$8), 0))</f>
        <v>Otro</v>
      </c>
      <c r="J12" s="297" t="str">
        <f t="array" ref="J12">INDEX(J$4:J$8, MATCH(LARGE(COUNTIF(J$4:J$8, "&lt;"&amp;J$4:J$8), ROW(2:2)), COUNTIF(J$4:J$8, "&lt;"&amp;J$4:J$8), 0))</f>
        <v>Otro</v>
      </c>
      <c r="K12" s="297" t="str">
        <f t="array" ref="K12">INDEX(K$4:K$8, MATCH(LARGE(COUNTIF(K$4:K$8, "&lt;"&amp;K$4:K$8), ROW(2:2)), COUNTIF(K$4:K$8, "&lt;"&amp;K$4:K$8), 0))</f>
        <v>Otro</v>
      </c>
      <c r="L12" s="297" t="str">
        <f t="array" ref="L12">INDEX(L$4:L$8, MATCH(LARGE(COUNTIF(L$4:L$8, "&lt;"&amp;L$4:L$8), ROW(2:2)), COUNTIF(L$4:L$8, "&lt;"&amp;L$4:L$8), 0))</f>
        <v>Hierro</v>
      </c>
      <c r="M12" s="297" t="str">
        <f t="array" ref="M12">INDEX(M$4:M$8, MATCH(LARGE(COUNTIF(M$4:M$8, "&lt;"&amp;M$4:M$8), ROW(2:2)), COUNTIF(M$4:M$8, "&lt;"&amp;M$4:M$8), 0))</f>
        <v>Hierro</v>
      </c>
      <c r="N12" s="297" t="str">
        <f t="array" ref="N12">INDEX(N$4:N$8, MATCH(LARGE(COUNTIF(N$4:N$8, "&lt;"&amp;N$4:N$8), ROW(2:2)), COUNTIF(N$4:N$8, "&lt;"&amp;N$4:N$8), 0))</f>
        <v>Hierro</v>
      </c>
      <c r="O12" s="297" t="str">
        <f t="array" ref="O12">INDEX(O$4:O$8, MATCH(LARGE(COUNTIF(O$4:O$8, "&lt;"&amp;O$4:O$8), ROW(2:2)), COUNTIF(O$4:O$8, "&lt;"&amp;O$4:O$8), 0))</f>
        <v>Hierro</v>
      </c>
    </row>
    <row r="13" spans="1:15" x14ac:dyDescent="0.2">
      <c r="A13" s="307"/>
      <c r="B13" s="297" t="str">
        <f t="array" ref="B13">INDEX(B$4:B$8, MATCH(LARGE(COUNTIF(B$4:B$8, "&lt;"&amp;B$4:B$8), ROW(3:3)), COUNTIF(B$4:B$8, "&lt;"&amp;B$4:B$8), 0))</f>
        <v/>
      </c>
      <c r="C13" s="297" t="str">
        <f t="array" ref="C13">INDEX(C$4:C$8, MATCH(LARGE(COUNTIF(C$4:C$8, "&lt;"&amp;C$4:C$8), ROW(3:3)), COUNTIF(C$4:C$8, "&lt;"&amp;C$4:C$8), 0))</f>
        <v>Hierro</v>
      </c>
      <c r="D13" s="297" t="str">
        <f t="array" ref="D13">INDEX(D$4:D$8, MATCH(LARGE(COUNTIF(D$4:D$8, "&lt;"&amp;D$4:D$8), ROW(3:3)), COUNTIF(D$4:D$8, "&lt;"&amp;D$4:D$8), 0))</f>
        <v>Hierro</v>
      </c>
      <c r="E13" s="297" t="str">
        <f t="array" ref="E13">INDEX(E$4:E$8, MATCH(LARGE(COUNTIF(E$4:E$8, "&lt;"&amp;E$4:E$8), ROW(3:3)), COUNTIF(E$4:E$8, "&lt;"&amp;E$4:E$8), 0))</f>
        <v>Hierro</v>
      </c>
      <c r="F13" s="297" t="str">
        <f t="array" ref="F13">INDEX(F$4:F$8, MATCH(LARGE(COUNTIF(F$4:F$8, "&lt;"&amp;F$4:F$8), ROW(3:3)), COUNTIF(F$4:F$8, "&lt;"&amp;F$4:F$8), 0))</f>
        <v>Hierro</v>
      </c>
      <c r="G13" s="297" t="str">
        <f t="array" ref="G13">INDEX(G$4:G$8, MATCH(LARGE(COUNTIF(G$4:G$8, "&lt;"&amp;G$4:G$8), ROW(3:3)), COUNTIF(G$4:G$8, "&lt;"&amp;G$4:G$8), 0))</f>
        <v>Otro</v>
      </c>
      <c r="H13" s="297" t="str">
        <f t="array" ref="H13">INDEX(H$4:H$8, MATCH(LARGE(COUNTIF(H$4:H$8, "&lt;"&amp;H$4:H$8), ROW(3:3)), COUNTIF(H$4:H$8, "&lt;"&amp;H$4:H$8), 0))</f>
        <v>Hierro</v>
      </c>
      <c r="I13" s="297" t="str">
        <f t="array" ref="I13">INDEX(I$4:I$8, MATCH(LARGE(COUNTIF(I$4:I$8, "&lt;"&amp;I$4:I$8), ROW(3:3)), COUNTIF(I$4:I$8, "&lt;"&amp;I$4:I$8), 0))</f>
        <v>Hierro</v>
      </c>
      <c r="J13" s="297" t="str">
        <f t="array" ref="J13">INDEX(J$4:J$8, MATCH(LARGE(COUNTIF(J$4:J$8, "&lt;"&amp;J$4:J$8), ROW(3:3)), COUNTIF(J$4:J$8, "&lt;"&amp;J$4:J$8), 0))</f>
        <v>Hierro</v>
      </c>
      <c r="K13" s="297" t="str">
        <f t="array" ref="K13">INDEX(K$4:K$8, MATCH(LARGE(COUNTIF(K$4:K$8, "&lt;"&amp;K$4:K$8), ROW(3:3)), COUNTIF(K$4:K$8, "&lt;"&amp;K$4:K$8), 0))</f>
        <v>Hierro</v>
      </c>
      <c r="L13" s="297" t="str">
        <f t="array" ref="L13">INDEX(L$4:L$8, MATCH(LARGE(COUNTIF(L$4:L$8, "&lt;"&amp;L$4:L$8), ROW(3:3)), COUNTIF(L$4:L$8, "&lt;"&amp;L$4:L$8), 0))</f>
        <v>Concreto</v>
      </c>
      <c r="M13" s="297" t="str">
        <f t="array" ref="M13">INDEX(M$4:M$8, MATCH(LARGE(COUNTIF(M$4:M$8, "&lt;"&amp;M$4:M$8), ROW(3:3)), COUNTIF(M$4:M$8, "&lt;"&amp;M$4:M$8), 0))</f>
        <v>Concreto</v>
      </c>
      <c r="N13" s="297" t="str">
        <f t="array" ref="N13">INDEX(N$4:N$8, MATCH(LARGE(COUNTIF(N$4:N$8, "&lt;"&amp;N$4:N$8), ROW(3:3)), COUNTIF(N$4:N$8, "&lt;"&amp;N$4:N$8), 0))</f>
        <v>Concreto</v>
      </c>
      <c r="O13" s="297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307"/>
      <c r="B14" s="297" t="str">
        <f t="array" ref="B14">INDEX(B$4:B$8, MATCH(LARGE(COUNTIF(B$4:B$8, "&lt;"&amp;B$4:B$8), ROW(4:4)), COUNTIF(B$4:B$8, "&lt;"&amp;B$4:B$8), 0))</f>
        <v/>
      </c>
      <c r="C14" s="297" t="str">
        <f t="array" ref="C14">INDEX(C$4:C$8, MATCH(LARGE(COUNTIF(C$4:C$8, "&lt;"&amp;C$4:C$8), ROW(4:4)), COUNTIF(C$4:C$8, "&lt;"&amp;C$4:C$8), 0))</f>
        <v/>
      </c>
      <c r="D14" s="297" t="str">
        <f t="array" ref="D14">INDEX(D$4:D$8, MATCH(LARGE(COUNTIF(D$4:D$8, "&lt;"&amp;D$4:D$8), ROW(4:4)), COUNTIF(D$4:D$8, "&lt;"&amp;D$4:D$8), 0))</f>
        <v/>
      </c>
      <c r="E14" s="297" t="str">
        <f t="array" ref="E14">INDEX(E$4:E$8, MATCH(LARGE(COUNTIF(E$4:E$8, "&lt;"&amp;E$4:E$8), ROW(4:4)), COUNTIF(E$4:E$8, "&lt;"&amp;E$4:E$8), 0))</f>
        <v/>
      </c>
      <c r="F14" s="297" t="str">
        <f t="array" ref="F14">INDEX(F$4:F$8, MATCH(LARGE(COUNTIF(F$4:F$8, "&lt;"&amp;F$4:F$8), ROW(4:4)), COUNTIF(F$4:F$8, "&lt;"&amp;F$4:F$8), 0))</f>
        <v/>
      </c>
      <c r="G14" s="297" t="str">
        <f t="array" ref="G14">INDEX(G$4:G$8, MATCH(LARGE(COUNTIF(G$4:G$8, "&lt;"&amp;G$4:G$8), ROW(4:4)), COUNTIF(G$4:G$8, "&lt;"&amp;G$4:G$8), 0))</f>
        <v>Hierro</v>
      </c>
      <c r="H14" s="297" t="str">
        <f t="array" ref="H14">INDEX(H$4:H$8, MATCH(LARGE(COUNTIF(H$4:H$8, "&lt;"&amp;H$4:H$8), ROW(4:4)), COUNTIF(H$4:H$8, "&lt;"&amp;H$4:H$8), 0))</f>
        <v>Concreto</v>
      </c>
      <c r="I14" s="297" t="str">
        <f t="array" ref="I14">INDEX(I$4:I$8, MATCH(LARGE(COUNTIF(I$4:I$8, "&lt;"&amp;I$4:I$8), ROW(4:4)), COUNTIF(I$4:I$8, "&lt;"&amp;I$4:I$8), 0))</f>
        <v>Concreto</v>
      </c>
      <c r="J14" s="297" t="str">
        <f t="array" ref="J14">INDEX(J$4:J$8, MATCH(LARGE(COUNTIF(J$4:J$8, "&lt;"&amp;J$4:J$8), ROW(4:4)), COUNTIF(J$4:J$8, "&lt;"&amp;J$4:J$8), 0))</f>
        <v>Concreto</v>
      </c>
      <c r="K14" s="297" t="str">
        <f t="array" ref="K14">INDEX(K$4:K$8, MATCH(LARGE(COUNTIF(K$4:K$8, "&lt;"&amp;K$4:K$8), ROW(4:4)), COUNTIF(K$4:K$8, "&lt;"&amp;K$4:K$8), 0))</f>
        <v>Concreto</v>
      </c>
      <c r="L14" s="297" t="str">
        <f t="array" ref="L14">INDEX(L$4:L$8, MATCH(LARGE(COUNTIF(L$4:L$8, "&lt;"&amp;L$4:L$8), ROW(4:4)), COUNTIF(L$4:L$8, "&lt;"&amp;L$4:L$8), 0))</f>
        <v/>
      </c>
      <c r="M14" s="297" t="str">
        <f t="array" ref="M14">INDEX(M$4:M$8, MATCH(LARGE(COUNTIF(M$4:M$8, "&lt;"&amp;M$4:M$8), ROW(4:4)), COUNTIF(M$4:M$8, "&lt;"&amp;M$4:M$8), 0))</f>
        <v/>
      </c>
      <c r="N14" s="297" t="str">
        <f t="array" ref="N14">INDEX(N$4:N$8, MATCH(LARGE(COUNTIF(N$4:N$8, "&lt;"&amp;N$4:N$8), ROW(4:4)), COUNTIF(N$4:N$8, "&lt;"&amp;N$4:N$8), 0))</f>
        <v/>
      </c>
      <c r="O14" s="297" t="str">
        <f t="array" ref="O14">INDEX(O$4:O$8, MATCH(LARGE(COUNTIF(O$4:O$8, "&lt;"&amp;O$4:O$8), ROW(4:4)), COUNTIF(O$4:O$8, "&lt;"&amp;O$4:O$8), 0))</f>
        <v/>
      </c>
    </row>
    <row r="15" spans="1:15" x14ac:dyDescent="0.2">
      <c r="A15" s="307"/>
      <c r="B15" s="297" t="str">
        <f t="array" ref="B15">INDEX(B$4:B$8, MATCH(LARGE(COUNTIF(B$4:B$8, "&lt;"&amp;B$4:B$8), ROW(5:5)), COUNTIF(B$4:B$8, "&lt;"&amp;B$4:B$8), 0))</f>
        <v/>
      </c>
      <c r="C15" s="297" t="str">
        <f t="array" ref="C15">INDEX(C$4:C$8, MATCH(LARGE(COUNTIF(C$4:C$8, "&lt;"&amp;C$4:C$8), ROW(5:5)), COUNTIF(C$4:C$8, "&lt;"&amp;C$4:C$8), 0))</f>
        <v/>
      </c>
      <c r="D15" s="297" t="str">
        <f t="array" ref="D15">INDEX(D$4:D$8, MATCH(LARGE(COUNTIF(D$4:D$8, "&lt;"&amp;D$4:D$8), ROW(5:5)), COUNTIF(D$4:D$8, "&lt;"&amp;D$4:D$8), 0))</f>
        <v/>
      </c>
      <c r="E15" s="297" t="str">
        <f t="array" ref="E15">INDEX(E$4:E$8, MATCH(LARGE(COUNTIF(E$4:E$8, "&lt;"&amp;E$4:E$8), ROW(5:5)), COUNTIF(E$4:E$8, "&lt;"&amp;E$4:E$8), 0))</f>
        <v/>
      </c>
      <c r="F15" s="297" t="str">
        <f t="array" ref="F15">INDEX(F$4:F$8, MATCH(LARGE(COUNTIF(F$4:F$8, "&lt;"&amp;F$4:F$8), ROW(5:5)), COUNTIF(F$4:F$8, "&lt;"&amp;F$4:F$8), 0))</f>
        <v/>
      </c>
      <c r="G15" s="297" t="str">
        <f t="array" ref="G15">INDEX(G$4:G$8, MATCH(LARGE(COUNTIF(G$4:G$8, "&lt;"&amp;G$4:G$8), ROW(5:5)), COUNTIF(G$4:G$8, "&lt;"&amp;G$4:G$8), 0))</f>
        <v>Concreto</v>
      </c>
      <c r="H15" s="297" t="str">
        <f t="array" ref="H15">INDEX(H$4:H$8, MATCH(LARGE(COUNTIF(H$4:H$8, "&lt;"&amp;H$4:H$8), ROW(5:5)), COUNTIF(H$4:H$8, "&lt;"&amp;H$4:H$8), 0))</f>
        <v/>
      </c>
      <c r="I15" s="297" t="str">
        <f t="array" ref="I15">INDEX(I$4:I$8, MATCH(LARGE(COUNTIF(I$4:I$8, "&lt;"&amp;I$4:I$8), ROW(5:5)), COUNTIF(I$4:I$8, "&lt;"&amp;I$4:I$8), 0))</f>
        <v/>
      </c>
      <c r="J15" s="297" t="str">
        <f t="array" ref="J15">INDEX(J$4:J$8, MATCH(LARGE(COUNTIF(J$4:J$8, "&lt;"&amp;J$4:J$8), ROW(5:5)), COUNTIF(J$4:J$8, "&lt;"&amp;J$4:J$8), 0))</f>
        <v/>
      </c>
      <c r="K15" s="297" t="str">
        <f t="array" ref="K15">INDEX(K$4:K$8, MATCH(LARGE(COUNTIF(K$4:K$8, "&lt;"&amp;K$4:K$8), ROW(5:5)), COUNTIF(K$4:K$8, "&lt;"&amp;K$4:K$8), 0))</f>
        <v/>
      </c>
      <c r="L15" s="297" t="str">
        <f t="array" ref="L15">INDEX(L$4:L$8, MATCH(LARGE(COUNTIF(L$4:L$8, "&lt;"&amp;L$4:L$8), ROW(5:5)), COUNTIF(L$4:L$8, "&lt;"&amp;L$4:L$8), 0))</f>
        <v/>
      </c>
      <c r="M15" s="297" t="str">
        <f t="array" ref="M15">INDEX(M$4:M$8, MATCH(LARGE(COUNTIF(M$4:M$8, "&lt;"&amp;M$4:M$8), ROW(5:5)), COUNTIF(M$4:M$8, "&lt;"&amp;M$4:M$8), 0))</f>
        <v/>
      </c>
      <c r="N15" s="297" t="str">
        <f t="array" ref="N15">INDEX(N$4:N$8, MATCH(LARGE(COUNTIF(N$4:N$8, "&lt;"&amp;N$4:N$8), ROW(5:5)), COUNTIF(N$4:N$8, "&lt;"&amp;N$4:N$8), 0))</f>
        <v/>
      </c>
      <c r="O15" s="297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C6" sqref="C6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304" t="s">
        <v>28</v>
      </c>
      <c r="B1" s="304" t="s">
        <v>27</v>
      </c>
      <c r="C1" s="304" t="s">
        <v>173</v>
      </c>
      <c r="D1" s="306"/>
    </row>
    <row r="2" spans="1:4" x14ac:dyDescent="0.2">
      <c r="A2" s="304">
        <f>'A7'!B2</f>
        <v>100</v>
      </c>
      <c r="B2" s="304" t="str">
        <f>'A14'!B9</f>
        <v>Otro</v>
      </c>
      <c r="C2" s="305" t="s">
        <v>174</v>
      </c>
    </row>
    <row r="3" spans="1:4" x14ac:dyDescent="0.2">
      <c r="A3" s="304">
        <f>'A7'!B3</f>
        <v>150</v>
      </c>
      <c r="B3" s="304" t="str">
        <f>'A14'!C9</f>
        <v>PVC</v>
      </c>
      <c r="C3" s="305" t="s">
        <v>176</v>
      </c>
    </row>
    <row r="4" spans="1:4" x14ac:dyDescent="0.2">
      <c r="A4" s="304">
        <f>'A7'!B4</f>
        <v>200</v>
      </c>
      <c r="B4" s="304" t="str">
        <f>'A14'!D9</f>
        <v>PVC</v>
      </c>
      <c r="C4" s="305" t="s">
        <v>175</v>
      </c>
    </row>
    <row r="5" spans="1:4" x14ac:dyDescent="0.2">
      <c r="A5" s="304">
        <f>'A7'!B5</f>
        <v>250</v>
      </c>
      <c r="B5" s="304" t="str">
        <f>'A14'!E9</f>
        <v>PVC</v>
      </c>
      <c r="C5" s="305" t="s">
        <v>174</v>
      </c>
    </row>
    <row r="6" spans="1:4" x14ac:dyDescent="0.2">
      <c r="A6" s="304">
        <f>'A7'!B6</f>
        <v>300</v>
      </c>
      <c r="B6" s="304" t="str">
        <f>'A14'!F9</f>
        <v>PVC</v>
      </c>
      <c r="C6" s="305" t="s">
        <v>177</v>
      </c>
    </row>
    <row r="7" spans="1:4" x14ac:dyDescent="0.2">
      <c r="A7" s="304">
        <f>'A7'!B7</f>
        <v>400</v>
      </c>
      <c r="B7" s="304" t="str">
        <f>'A14'!G9</f>
        <v>PEAD</v>
      </c>
      <c r="C7" s="305" t="s">
        <v>174</v>
      </c>
    </row>
    <row r="8" spans="1:4" x14ac:dyDescent="0.2">
      <c r="A8" s="304">
        <f>'A7'!B8</f>
        <v>500</v>
      </c>
      <c r="B8" s="304" t="str">
        <f>'A14'!H9</f>
        <v>PEAD</v>
      </c>
      <c r="C8" s="305" t="s">
        <v>174</v>
      </c>
    </row>
    <row r="9" spans="1:4" x14ac:dyDescent="0.2">
      <c r="A9" s="304">
        <f>'A7'!B9</f>
        <v>600</v>
      </c>
      <c r="B9" s="304" t="str">
        <f>'A14'!I9</f>
        <v>PEAD</v>
      </c>
      <c r="C9" s="305" t="s">
        <v>174</v>
      </c>
    </row>
    <row r="10" spans="1:4" x14ac:dyDescent="0.2">
      <c r="A10" s="304">
        <f>'A7'!B10</f>
        <v>700</v>
      </c>
      <c r="B10" s="304" t="str">
        <f>'A14'!J9</f>
        <v>PEAD</v>
      </c>
      <c r="C10" s="305" t="s">
        <v>174</v>
      </c>
    </row>
    <row r="11" spans="1:4" x14ac:dyDescent="0.2">
      <c r="A11" s="304">
        <f>'A7'!B11</f>
        <v>800</v>
      </c>
      <c r="B11" s="304" t="str">
        <f>'A14'!K9</f>
        <v>PEAD</v>
      </c>
      <c r="C11" s="305" t="s">
        <v>174</v>
      </c>
    </row>
    <row r="12" spans="1:4" x14ac:dyDescent="0.2">
      <c r="A12" s="304">
        <f>'A7'!B12</f>
        <v>900</v>
      </c>
      <c r="B12" s="304" t="str">
        <f>'A14'!L9</f>
        <v>PEAD</v>
      </c>
      <c r="C12" s="305" t="s">
        <v>174</v>
      </c>
    </row>
    <row r="13" spans="1:4" x14ac:dyDescent="0.2">
      <c r="A13" s="304">
        <f>'A7'!B13</f>
        <v>1000</v>
      </c>
      <c r="B13" s="304" t="str">
        <f>'A14'!M9</f>
        <v>PEAD</v>
      </c>
      <c r="C13" s="305" t="s">
        <v>174</v>
      </c>
    </row>
    <row r="14" spans="1:4" x14ac:dyDescent="0.2">
      <c r="A14" s="304">
        <f>'A7'!B14</f>
        <v>1200</v>
      </c>
      <c r="B14" s="304" t="str">
        <f>'A14'!N9</f>
        <v>PEAD</v>
      </c>
      <c r="C14" s="305" t="s">
        <v>174</v>
      </c>
    </row>
    <row r="15" spans="1:4" x14ac:dyDescent="0.2">
      <c r="A15" s="304">
        <f>'A7'!B15</f>
        <v>1500</v>
      </c>
      <c r="B15" s="304" t="str">
        <f>'A14'!O9</f>
        <v>PEAD</v>
      </c>
      <c r="C15" s="305" t="s">
        <v>174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48</vt:i4>
      </vt:variant>
    </vt:vector>
  </HeadingPairs>
  <TitlesOfParts>
    <vt:vector size="65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2019-07-24T17:48:52Z</dcterms:modified>
</cp:coreProperties>
</file>