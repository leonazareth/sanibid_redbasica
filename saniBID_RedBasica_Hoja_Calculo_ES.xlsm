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filterPrivacy="1" updateLinks="never" codeName="EstaPasta_de_trabalho"/>
  <xr:revisionPtr revIDLastSave="0" documentId="13_ncr:1_{1C7B217A-472B-4812-A3AD-850F4C1522DA}" xr6:coauthVersionLast="43" xr6:coauthVersionMax="43" xr10:uidLastSave="{00000000-0000-0000-0000-000000000000}"/>
  <bookViews>
    <workbookView xWindow="-120" yWindow="-120" windowWidth="20730" windowHeight="11760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  <sheet name="A10" sheetId="40" r:id="rId16"/>
    <sheet name="A11" sheetId="41" r:id="rId17"/>
    <sheet name="A12" sheetId="47" r:id="rId18"/>
    <sheet name="A13" sheetId="48" r:id="rId19"/>
    <sheet name="A14" sheetId="45" r:id="rId20"/>
    <sheet name="A15" sheetId="44" r:id="rId21"/>
  </sheets>
  <functionGroups builtInGroupCount="19"/>
  <definedNames>
    <definedName name="_xlnm._FilterDatabase" localSheetId="11" hidden="1">'A5'!$A$1:$A$314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19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2" localSheetId="1">ImportQGIS!$AD$1:$BF$161</definedName>
    <definedName name="sample_3" localSheetId="1">ImportQGIS!$AD$1:$BF$161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Teste">'A14'!$B$17:$B$27</definedName>
    <definedName name="_xlnm.Print_Titles" localSheetId="4">RedBasica_print!$1:$14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7" i="21" l="1"/>
  <c r="F36" i="21"/>
  <c r="F25" i="21"/>
  <c r="F24" i="21"/>
  <c r="G9" i="1"/>
  <c r="G8" i="1"/>
  <c r="G7" i="1"/>
  <c r="G6" i="1"/>
  <c r="G5" i="1"/>
  <c r="F22" i="31"/>
  <c r="F21" i="31"/>
  <c r="F18" i="31"/>
  <c r="F17" i="31"/>
  <c r="F10" i="31"/>
  <c r="F9" i="31"/>
  <c r="F11" i="1" l="1"/>
  <c r="L11" i="1"/>
  <c r="F31" i="21" s="1"/>
  <c r="K11" i="1"/>
  <c r="F30" i="21" s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70" i="21" s="1"/>
  <c r="D18" i="14"/>
  <c r="D76" i="21" s="1"/>
  <c r="E18" i="14"/>
  <c r="F18" i="14"/>
  <c r="G18" i="14"/>
  <c r="D69" i="21"/>
  <c r="D72" i="21"/>
  <c r="D73" i="21"/>
  <c r="D77" i="21"/>
  <c r="D81" i="21"/>
  <c r="D79" i="21" l="1"/>
  <c r="D75" i="21"/>
  <c r="D71" i="21"/>
  <c r="D80" i="21"/>
  <c r="D82" i="21"/>
  <c r="D78" i="21"/>
  <c r="D74" i="21"/>
  <c r="AJ50" i="24"/>
  <c r="AJ15" i="24"/>
  <c r="AG15" i="24" s="1"/>
  <c r="AE15" i="24"/>
  <c r="S15" i="24"/>
  <c r="M15" i="24"/>
  <c r="AK15" i="24" l="1"/>
  <c r="AF15" i="24"/>
  <c r="V15" i="24"/>
  <c r="AA15" i="24" l="1"/>
  <c r="W15" i="24" s="1"/>
  <c r="AX15" i="24"/>
  <c r="T15" i="24"/>
  <c r="AC15" i="24" s="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U15" i="24" l="1"/>
  <c r="AD15" i="24" s="1"/>
  <c r="AH15" i="24" s="1"/>
  <c r="AB15" i="24"/>
  <c r="E50" i="24" l="1"/>
  <c r="K50" i="24" l="1"/>
  <c r="C60" i="24"/>
  <c r="B60" i="24"/>
  <c r="A60" i="24"/>
  <c r="I50" i="24" l="1"/>
  <c r="Q50" i="24"/>
  <c r="A3" i="44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O50" i="24" l="1"/>
  <c r="B13" i="44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J50" i="24" l="1"/>
  <c r="U50" i="24"/>
  <c r="J4" i="14"/>
  <c r="P50" i="24" l="1"/>
  <c r="A4" i="45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G5" i="45"/>
  <c r="G6" i="45"/>
  <c r="G8" i="45"/>
  <c r="H4" i="45"/>
  <c r="H8" i="45"/>
  <c r="I4" i="45"/>
  <c r="I8" i="45"/>
  <c r="J4" i="45"/>
  <c r="K4" i="45"/>
  <c r="K8" i="45"/>
  <c r="L4" i="45"/>
  <c r="L8" i="45"/>
  <c r="M4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4" i="45"/>
  <c r="C6" i="45"/>
  <c r="C8" i="45"/>
  <c r="B6" i="45"/>
  <c r="O6" i="45" l="1"/>
  <c r="M6" i="45"/>
  <c r="K6" i="45"/>
  <c r="I6" i="45"/>
  <c r="D5" i="45"/>
  <c r="K5" i="45"/>
  <c r="M5" i="45"/>
  <c r="B8" i="45"/>
  <c r="B5" i="45"/>
  <c r="I5" i="45"/>
  <c r="O5" i="45"/>
  <c r="J8" i="45"/>
  <c r="C5" i="45"/>
  <c r="N6" i="45"/>
  <c r="N11" i="45" s="1" a="1"/>
  <c r="N11" i="45" s="1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I7" i="45"/>
  <c r="H7" i="45"/>
  <c r="H15" i="45" s="1" a="1"/>
  <c r="H15" i="45" s="1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N10" i="45" l="1"/>
  <c r="I10" i="45"/>
  <c r="E10" i="45"/>
  <c r="F12" i="45" a="1"/>
  <c r="F12" i="45" s="1"/>
  <c r="K14" i="45" a="1"/>
  <c r="K14" i="45" s="1"/>
  <c r="M14" i="45" a="1"/>
  <c r="M14" i="45" s="1"/>
  <c r="O10" i="45"/>
  <c r="C12" i="45" a="1"/>
  <c r="C12" i="45" s="1"/>
  <c r="K15" i="45" a="1"/>
  <c r="K15" i="45" s="1"/>
  <c r="J14" i="45" a="1"/>
  <c r="J14" i="45" s="1"/>
  <c r="I11" i="45" a="1"/>
  <c r="I11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M10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H10" i="45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0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s="1"/>
  <c r="C11" i="24" l="1"/>
  <c r="C10" i="24"/>
  <c r="C9" i="24"/>
  <c r="C8" i="24"/>
  <c r="C7" i="24"/>
  <c r="K6" i="24"/>
  <c r="K5" i="24"/>
  <c r="K4" i="24"/>
  <c r="K3" i="24"/>
  <c r="K2" i="24"/>
  <c r="K40" i="24" l="1"/>
  <c r="J40" i="24"/>
  <c r="E40" i="24"/>
  <c r="D40" i="24"/>
  <c r="A80" i="24" l="1"/>
  <c r="A90" i="24"/>
  <c r="B40" i="24" l="1"/>
  <c r="A40" i="24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l="1"/>
  <c r="H50" i="24"/>
  <c r="T50" i="24"/>
  <c r="V50" i="24" s="1"/>
  <c r="N50" i="24"/>
  <c r="M40" i="24"/>
  <c r="G40" i="24"/>
  <c r="N15" i="31"/>
  <c r="N16" i="31"/>
  <c r="L38" i="21" l="1"/>
  <c r="L40" i="21"/>
  <c r="N40" i="24" l="1"/>
  <c r="J40" i="21"/>
  <c r="N15" i="24" l="1"/>
  <c r="AL15" i="24" s="1"/>
  <c r="BE15" i="24" s="1"/>
  <c r="O15" i="24"/>
  <c r="AS15" i="24" s="1"/>
  <c r="J38" i="21"/>
  <c r="AI15" i="24"/>
  <c r="AR15" i="24"/>
  <c r="AM15" i="24"/>
  <c r="AV15" i="24"/>
  <c r="AQ15" i="24"/>
  <c r="AP15" i="24"/>
  <c r="AU15" i="24"/>
  <c r="AN15" i="24"/>
  <c r="AT15" i="24"/>
  <c r="AO15" i="24" l="1"/>
  <c r="K40" i="21"/>
  <c r="K38" i="21"/>
  <c r="H40" i="24" l="1"/>
  <c r="AI50" i="24" l="1"/>
  <c r="AK50" i="24" s="1"/>
  <c r="W50" i="24"/>
  <c r="Z50" i="24" s="1"/>
  <c r="K24" i="21"/>
  <c r="F33" i="21" s="1"/>
  <c r="AA50" i="24" l="1"/>
  <c r="AB50" i="24" s="1"/>
  <c r="AD50" i="24" s="1"/>
  <c r="L90" i="24"/>
  <c r="M90" i="24"/>
  <c r="L26" i="21"/>
  <c r="O90" i="24" l="1"/>
  <c r="N90" i="24"/>
  <c r="J26" i="21"/>
  <c r="I26" i="21" s="1"/>
  <c r="G90" i="24" l="1"/>
  <c r="H90" i="24"/>
  <c r="K90" i="24" l="1"/>
  <c r="C90" i="24" l="1"/>
  <c r="B90" i="24" l="1"/>
  <c r="E90" i="24"/>
  <c r="D90" i="24" l="1"/>
  <c r="Q90" i="24" l="1"/>
  <c r="S90" i="24"/>
  <c r="U90" i="24"/>
  <c r="X90" i="24"/>
  <c r="W90" i="24"/>
  <c r="P90" i="24"/>
  <c r="R90" i="24"/>
  <c r="T90" i="24"/>
  <c r="I90" i="24"/>
  <c r="J90" i="24"/>
  <c r="F90" i="24"/>
  <c r="C80" i="24" l="1"/>
  <c r="D80" i="24"/>
  <c r="G80" i="24" l="1"/>
  <c r="F80" i="24"/>
  <c r="B80" i="24"/>
  <c r="C70" i="24" l="1"/>
  <c r="L30" i="24" l="1"/>
  <c r="K30" i="24"/>
  <c r="D70" i="24"/>
  <c r="AF30" i="24" l="1"/>
  <c r="D60" i="24"/>
  <c r="AA30" i="24" l="1"/>
  <c r="F60" i="24"/>
  <c r="E60" i="24" l="1"/>
  <c r="AZ15" i="24" s="1"/>
  <c r="G60" i="24" l="1"/>
  <c r="H60" i="24" l="1"/>
  <c r="I60" i="24"/>
  <c r="Y30" i="24" l="1"/>
  <c r="Z30" i="24" l="1"/>
  <c r="C40" i="24" l="1"/>
  <c r="F40" i="24" s="1"/>
  <c r="I40" i="24"/>
  <c r="L40" i="24" s="1"/>
  <c r="AF50" i="24"/>
  <c r="AG50" i="24" s="1"/>
  <c r="S30" i="24" l="1"/>
  <c r="U30" i="24" l="1"/>
  <c r="AI30" i="24"/>
  <c r="O30" i="24"/>
  <c r="T30" i="24" l="1"/>
  <c r="Q30" i="24"/>
  <c r="P30" i="24" l="1"/>
  <c r="V30" i="24"/>
  <c r="R30" i="24" l="1"/>
  <c r="AJ30" i="24"/>
  <c r="AH30" i="24" l="1"/>
  <c r="AE30" i="24"/>
  <c r="AC30" i="24"/>
  <c r="AG30" i="24"/>
  <c r="AD30" i="24"/>
  <c r="AB30" i="24"/>
  <c r="X30" i="24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FFCE33C1-D3B2-4D15-9F64-8AE4DE4C0AB7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457DECB1-3429-4BBA-81AF-2A0FE5DCE4C4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4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5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6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7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8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0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1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2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28000000}" name="Falso" type="6" refreshedVersion="0" background="1">
    <textPr prompt="0" sourceFile="Falso">
      <textFields>
        <textField/>
      </textFields>
    </textPr>
  </connection>
  <connection id="48" xr16:uid="{00000000-0015-0000-FFFF-FFFF29000000}" name="Falso1" type="6" refreshedVersion="0" background="1">
    <textPr prompt="0" sourceFile="Falso">
      <textFields>
        <textField/>
      </textFields>
    </textPr>
  </connection>
  <connection id="49" xr16:uid="{00000000-0015-0000-FFFF-FFFF2A000000}" name="Falso10" type="6" refreshedVersion="0" background="1">
    <textPr prompt="0" sourceFile="Falso">
      <textFields>
        <textField/>
      </textFields>
    </textPr>
  </connection>
  <connection id="50" xr16:uid="{00000000-0015-0000-FFFF-FFFF2B000000}" name="Falso11" type="6" refreshedVersion="0" background="1">
    <textPr prompt="0" sourceFile="Falso">
      <textFields>
        <textField/>
      </textFields>
    </textPr>
  </connection>
  <connection id="51" xr16:uid="{00000000-0015-0000-FFFF-FFFF2C000000}" name="Falso12" type="6" refreshedVersion="0" background="1">
    <textPr prompt="0" sourceFile="Falso">
      <textFields>
        <textField/>
      </textFields>
    </textPr>
  </connection>
  <connection id="52" xr16:uid="{00000000-0015-0000-FFFF-FFFF2D000000}" name="Falso13" type="6" refreshedVersion="0" background="1">
    <textPr prompt="0" sourceFile="Falso">
      <textFields>
        <textField/>
      </textFields>
    </textPr>
  </connection>
  <connection id="53" xr16:uid="{00000000-0015-0000-FFFF-FFFF2E000000}" name="Falso14" type="6" refreshedVersion="0" background="1">
    <textPr prompt="0" sourceFile="Falso">
      <textFields>
        <textField/>
      </textFields>
    </textPr>
  </connection>
  <connection id="54" xr16:uid="{00000000-0015-0000-FFFF-FFFF2F000000}" name="Falso15" type="6" refreshedVersion="0" background="1">
    <textPr prompt="0" sourceFile="Falso">
      <textFields>
        <textField/>
      </textFields>
    </textPr>
  </connection>
  <connection id="55" xr16:uid="{00000000-0015-0000-FFFF-FFFF30000000}" name="Falso2" type="6" refreshedVersion="0" background="1">
    <textPr prompt="0" sourceFile="Falso">
      <textFields>
        <textField/>
      </textFields>
    </textPr>
  </connection>
  <connection id="56" xr16:uid="{00000000-0015-0000-FFFF-FFFF31000000}" name="Falso3" type="6" refreshedVersion="0" background="1">
    <textPr prompt="0" sourceFile="Falso">
      <textFields>
        <textField/>
      </textFields>
    </textPr>
  </connection>
  <connection id="57" xr16:uid="{00000000-0015-0000-FFFF-FFFF32000000}" name="Falso4" type="6" refreshedVersion="0" background="1">
    <textPr prompt="0" sourceFile="Falso">
      <textFields>
        <textField/>
      </textFields>
    </textPr>
  </connection>
  <connection id="58" xr16:uid="{00000000-0015-0000-FFFF-FFFF33000000}" name="Falso5" type="6" refreshedVersion="0" background="1">
    <textPr prompt="0" sourceFile="Falso">
      <textFields>
        <textField/>
      </textFields>
    </textPr>
  </connection>
  <connection id="59" xr16:uid="{00000000-0015-0000-FFFF-FFFF34000000}" name="Falso6" type="6" refreshedVersion="0" background="1">
    <textPr prompt="0" sourceFile="Falso">
      <textFields>
        <textField/>
      </textFields>
    </textPr>
  </connection>
  <connection id="60" xr16:uid="{00000000-0015-0000-FFFF-FFFF35000000}" name="Falso7" type="6" refreshedVersion="0" background="1">
    <textPr prompt="0" sourceFile="Falso">
      <textFields>
        <textField/>
      </textFields>
    </textPr>
  </connection>
  <connection id="61" xr16:uid="{00000000-0015-0000-FFFF-FFFF36000000}" name="Falso8" type="6" refreshedVersion="0" background="1">
    <textPr prompt="0" sourceFile="Falso">
      <textFields>
        <textField/>
      </textFields>
    </textPr>
  </connection>
  <connection id="62" xr16:uid="{00000000-0015-0000-FFFF-FFFF37000000}" name="Falso9" type="6" refreshedVersion="0" background="1">
    <textPr prompt="0" sourceFile="Falso">
      <textFields>
        <textField/>
      </textFields>
    </textPr>
  </connection>
  <connection id="63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4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5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6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7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8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9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0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1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2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3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<sst xmlns="http://schemas.openxmlformats.org/spreadsheetml/2006/main" count="3002" uniqueCount="1145">
  <si>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</si>
  <si>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</si>
  <si>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</si>
  <si>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</si>
  <si>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</si>
  <si>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</si>
  <si>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</si>
  <si>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</si>
  <si>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</si>
  <si>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</si>
  <si>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</si>
  <si>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</si>
  <si>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</si>
  <si>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</si>
  <si>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</si>
  <si>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</si>
  <si>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aux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</si>
  <si>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</si>
  <si>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</si>
  <si>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</si>
  <si>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</si>
  <si>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</si>
  <si>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</si>
  <si>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</si>
  <si>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</si>
  <si>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</si>
  <si>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</si>
  <si>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</si>
  <si>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t>DN Tubos 
(mm)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</si>
  <si>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</si>
  <si>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</si>
  <si>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</si>
  <si>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</si>
  <si>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sim ou não</t>
  </si>
  <si>
    <t>Nº Coletor e Trecho</t>
  </si>
  <si>
    <t>Rua = 0
Passeio = 1</t>
  </si>
  <si>
    <t>Terreno (m/m)</t>
  </si>
  <si>
    <t>Vel. crítica 
Vc</t>
  </si>
  <si>
    <t>Veloc.
Vf</t>
  </si>
  <si>
    <t>Trecho de Montante
(m)</t>
  </si>
  <si>
    <t>Coletor m1
(m)</t>
  </si>
  <si>
    <t>Coletor m2
(m)</t>
  </si>
  <si>
    <t>PROFUNDIDADES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</si>
  <si>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</si>
  <si>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</si>
  <si>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</si>
  <si>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</si>
  <si>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</si>
  <si>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</si>
  <si>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</si>
  <si>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</si>
  <si>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</si>
  <si>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</si>
  <si>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</si>
  <si>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</si>
  <si>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</si>
  <si>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</si>
  <si>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</si>
  <si>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</si>
  <si>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</si>
  <si>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</si>
  <si>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</si>
  <si>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</si>
  <si>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</si>
  <si>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</si>
  <si>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</si>
  <si>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</si>
  <si>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</si>
  <si>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</si>
  <si>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</si>
  <si>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</si>
  <si>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</si>
  <si>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</si>
  <si>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</si>
  <si>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</si>
  <si>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</si>
  <si>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</si>
  <si>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</si>
  <si>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</si>
  <si>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</si>
  <si>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</si>
  <si>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</si>
  <si>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</si>
  <si>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</si>
  <si>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</si>
  <si>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</si>
  <si>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</si>
  <si>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</si>
  <si>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</si>
  <si>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</si>
  <si>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</si>
  <si>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</si>
  <si>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</si>
  <si>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</si>
  <si>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NA</t>
  </si>
  <si>
    <t>1-001</t>
  </si>
  <si>
    <t>1-002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</si>
  <si>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</si>
  <si>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</si>
  <si>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</si>
  <si>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</si>
  <si>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</si>
  <si>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</si>
  <si>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</si>
  <si>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</si>
  <si>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</si>
  <si>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</si>
  <si>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</si>
  <si>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</si>
  <si>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CI</t>
  </si>
  <si>
    <t>Tapadas</t>
  </si>
  <si>
    <t>No</t>
  </si>
  <si>
    <t>un</t>
  </si>
  <si>
    <t>hab/dom</t>
  </si>
  <si>
    <t>Memória</t>
  </si>
  <si>
    <t>h_tap_p2</t>
  </si>
  <si>
    <t>h_tap_p1</t>
  </si>
  <si>
    <t>PVC</t>
  </si>
  <si>
    <t>Tap_nodo</t>
  </si>
  <si>
    <t>Ciudad:</t>
  </si>
  <si>
    <t>Fecha:</t>
  </si>
  <si>
    <t>Manning 
(n)</t>
  </si>
  <si>
    <t>Taza de infiltración</t>
  </si>
  <si>
    <t>Fuerza trativa media - mínimo</t>
  </si>
  <si>
    <t>Caudal mín. Qmin</t>
  </si>
  <si>
    <t>Lámina máx. - DN  &lt; 150mm</t>
  </si>
  <si>
    <t>Lámina máx. - DN desde 150 mm</t>
  </si>
  <si>
    <t>Dispositivos de Inspeción</t>
  </si>
  <si>
    <t>Observación:</t>
  </si>
  <si>
    <t>Punto AGUAS ABAJO del tramo (COLECTOR)</t>
  </si>
  <si>
    <t>Punto AGUAS ARRIBA del tramo (DISPOSITIVO DE INSPECIÓN)</t>
  </si>
  <si>
    <t>aux 1</t>
  </si>
  <si>
    <t>Hierro</t>
  </si>
  <si>
    <t>Proyecto: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</si>
  <si>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</si>
  <si>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</si>
  <si>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</si>
  <si>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</si>
  <si>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</si>
  <si>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</si>
  <si>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</si>
  <si>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</si>
  <si>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</si>
  <si>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</si>
  <si>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</si>
  <si>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</si>
  <si>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</si>
  <si>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</si>
  <si>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</si>
  <si>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</si>
  <si>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</si>
  <si>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</si>
  <si>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</si>
  <si>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</si>
  <si>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</si>
  <si>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</si>
  <si>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</si>
  <si>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</si>
  <si>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</si>
  <si>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</si>
  <si>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Standard</t>
  </si>
  <si>
    <t>Memoria</t>
  </si>
  <si>
    <t>Consumo per capita de Agua</t>
  </si>
  <si>
    <t>1,5</t>
  </si>
  <si>
    <t>0,8</t>
  </si>
  <si>
    <t>0,5</t>
  </si>
  <si>
    <t>0,01</t>
  </si>
  <si>
    <t>0,7</t>
  </si>
  <si>
    <t>P-02</t>
  </si>
  <si>
    <t>Modelo</t>
  </si>
  <si>
    <t>DN máximo - tuberías (mm)</t>
  </si>
  <si>
    <t>Otro</t>
  </si>
  <si>
    <t>material / DN (mm)</t>
  </si>
  <si>
    <t>=CORRESP(250;DN_lista;0)</t>
  </si>
  <si>
    <t>K12</t>
  </si>
  <si>
    <t>Pendiente min 1</t>
  </si>
  <si>
    <t>DN 1</t>
  </si>
  <si>
    <t>DN 2</t>
  </si>
  <si>
    <t>Pendiente min 2</t>
  </si>
  <si>
    <t>DN 3</t>
  </si>
  <si>
    <t>Pendiente min 3</t>
  </si>
  <si>
    <t>Rec Min Acera</t>
  </si>
  <si>
    <t>Rec Min Calles</t>
  </si>
  <si>
    <t>0,0045</t>
  </si>
  <si>
    <t>0,004</t>
  </si>
  <si>
    <t>0,0035</t>
  </si>
  <si>
    <t>0,9</t>
  </si>
  <si>
    <t>0,65</t>
  </si>
  <si>
    <t>Caixa Selecao</t>
  </si>
  <si>
    <t>Material Utilizado</t>
  </si>
  <si>
    <t>1,2</t>
  </si>
  <si>
    <t>0,007</t>
  </si>
  <si>
    <t>Verif.</t>
  </si>
  <si>
    <t>0,003</t>
  </si>
  <si>
    <t>0,005</t>
  </si>
  <si>
    <t>C.Manning n 
adoptado</t>
  </si>
  <si>
    <t>0,013</t>
  </si>
  <si>
    <t>0,027</t>
  </si>
  <si>
    <t>0,022</t>
  </si>
  <si>
    <t>0,033</t>
  </si>
  <si>
    <t>Tipo Contr.</t>
  </si>
  <si>
    <t>Si</t>
  </si>
  <si>
    <t>DGMax</t>
  </si>
  <si>
    <t>Zona:</t>
  </si>
  <si>
    <t>Aux1:</t>
  </si>
  <si>
    <t>Obs:</t>
  </si>
  <si>
    <t>Poblacion INICIAL</t>
  </si>
  <si>
    <t>Poblacion FINAL</t>
  </si>
  <si>
    <t>TAZA hab/dom INICIAL</t>
  </si>
  <si>
    <t>TAZA hab/dom FINAL</t>
  </si>
  <si>
    <t>Cant. Conex. INICIAL</t>
  </si>
  <si>
    <t>Cant. Conex. FINAL</t>
  </si>
  <si>
    <t>TAZA econ/conx INICIAL</t>
  </si>
  <si>
    <t>TAZA econ/conx FINAL</t>
  </si>
  <si>
    <t>San Juan</t>
  </si>
  <si>
    <t>cuenca A</t>
  </si>
  <si>
    <t>d</t>
  </si>
  <si>
    <t>Leonardo</t>
  </si>
  <si>
    <t>Q05C</t>
  </si>
  <si>
    <t>Cidade:</t>
  </si>
  <si>
    <t>Área:</t>
  </si>
  <si>
    <t>Sub-Bacia:</t>
  </si>
  <si>
    <t>Data:</t>
  </si>
  <si>
    <t>Sistema de Esgoto - Rede Básica Condominial</t>
  </si>
  <si>
    <t>Nº
Coletor</t>
  </si>
  <si>
    <t>Trecho anterior - Coletor atual
Id</t>
  </si>
  <si>
    <t>Coletor m1
Id</t>
  </si>
  <si>
    <t>Coletor m2
Id</t>
  </si>
  <si>
    <t>Recobrimentos mínimas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</si>
  <si>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</si>
  <si>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Col. b</t>
  </si>
  <si>
    <t>Col. c</t>
  </si>
  <si>
    <t>Recobrimento saída DISPOSITIVO DE INSPEÇÃO
(m)</t>
  </si>
  <si>
    <r>
      <t xml:space="preserve">NA </t>
    </r>
    <r>
      <rPr>
        <sz val="9"/>
        <rFont val="Tahoma"/>
        <family val="2"/>
      </rPr>
      <t>NOS TRECHOS DE MONTANTE QUE CHEGAM AO DISPOSITIVO DE INSPEÇÃO DO TRECHO ATUAL</t>
    </r>
  </si>
  <si>
    <r>
      <t xml:space="preserve">RECOBRIMENTO </t>
    </r>
    <r>
      <rPr>
        <sz val="9"/>
        <rFont val="Tahoma"/>
        <family val="2"/>
      </rPr>
      <t>DOS TRECHOS DE MONTANTE QUE DESCARREGAM NO DISPOSITIVO DE INSPEÇÃO DO TRECHO ATUAL</t>
    </r>
  </si>
  <si>
    <r>
      <t xml:space="preserve">PROFUNDIDADE </t>
    </r>
    <r>
      <rPr>
        <sz val="9"/>
        <rFont val="Tahoma"/>
        <family val="2"/>
      </rPr>
      <t>DOS TRECHOS DE MONTANTE QUE DESCARREGAM NO DISPOSITIVO DE INSPEÇÃO DO TRECHO ATUAL</t>
    </r>
  </si>
  <si>
    <t>NA mais prof (m)</t>
  </si>
  <si>
    <t>Cota NA Tub. saída DISPOSITIVO DE INSPEÇÃO
(m)</t>
  </si>
  <si>
    <t>aux ajuste prof</t>
  </si>
  <si>
    <t>FP</t>
  </si>
  <si>
    <t>Diferenca necessária (m)</t>
  </si>
  <si>
    <t>SE(J15="";0;(SE(N15-M15&gt;(RedBasica!$W$5*(-1));ARREDONDAR.PARA.CIMA(N15-M15+(RedBasica!$W$5);2);0)))</t>
  </si>
  <si>
    <r>
      <t>COTA DO COLETOR</t>
    </r>
    <r>
      <rPr>
        <sz val="9"/>
        <rFont val="Tahoma"/>
        <family val="2"/>
      </rPr>
      <t xml:space="preserve"> TRECHOS DE MONTANTE QUE CHEGAM AO DISPOSITIVO DE INSPEÇÃO DO TRECHO ATUAL</t>
    </r>
  </si>
  <si>
    <t>Menor Cota (m)</t>
  </si>
  <si>
    <t>Cota Tub. saída DISPOSITIVO DE INSPEÇÃO
(m)</t>
  </si>
  <si>
    <t>Maior Profundidade (m)</t>
  </si>
  <si>
    <t>Maior Recobrimento (m)</t>
  </si>
  <si>
    <t>H 
saída DISPOSITIVO DE INSPEÇÃO
(m)</t>
  </si>
  <si>
    <t>H 
extremidade de jusante
(m)</t>
  </si>
  <si>
    <t>Recobrimento
extremidade de jusante
(m)</t>
  </si>
  <si>
    <t>600 Qe =</t>
  </si>
  <si>
    <t>H imposicao Pt Jus - Min Desniv
(m)</t>
  </si>
  <si>
    <t>Aux ImpPt Jus - Min Desniv
(m)</t>
  </si>
  <si>
    <t>QEF</t>
  </si>
  <si>
    <t>QEI</t>
  </si>
  <si>
    <t>CN_1</t>
  </si>
  <si>
    <t>CN_1-001</t>
  </si>
  <si>
    <t>UM1</t>
  </si>
  <si>
    <t>CN_1-002</t>
  </si>
  <si>
    <t>792816.868551, 2187814.049643</t>
  </si>
  <si>
    <t>CN_1-003</t>
  </si>
  <si>
    <t>792879.741296, 2187793.092062</t>
  </si>
  <si>
    <t>CN_1-004</t>
  </si>
  <si>
    <t>792934.453834, 2187774.904735</t>
  </si>
  <si>
    <t>CN_18-002</t>
  </si>
  <si>
    <t>CN_1-005</t>
  </si>
  <si>
    <t>792977.874570, 2187760.270562</t>
  </si>
  <si>
    <t>CN_1-006</t>
  </si>
  <si>
    <t>793023.372998, 2187744.702933</t>
  </si>
  <si>
    <t>CN_3-005</t>
  </si>
  <si>
    <t>CN_1-007</t>
  </si>
  <si>
    <t>793070.286666, 2187728.864301</t>
  </si>
  <si>
    <t>CN_1-008</t>
  </si>
  <si>
    <t>793115.621502, 2187713.571589</t>
  </si>
  <si>
    <t>CN_1-009</t>
  </si>
  <si>
    <t>793163.029987, 2187696.765476</t>
  </si>
  <si>
    <t>CN_1-010</t>
  </si>
  <si>
    <t>793168.209159, 2187694.356558</t>
  </si>
  <si>
    <t>CN_1-011</t>
  </si>
  <si>
    <t>793214.497903, 2187678.529541</t>
  </si>
  <si>
    <t>CN_1-012</t>
  </si>
  <si>
    <t>793258.001557, 2187663.161077</t>
  </si>
  <si>
    <t>CN_1-013</t>
  </si>
  <si>
    <t>793303.650542, 2187646.720216</t>
  </si>
  <si>
    <t>CN_1-014</t>
  </si>
  <si>
    <t>793343.488014, 2187631.453702</t>
  </si>
  <si>
    <t>CN_1-015</t>
  </si>
  <si>
    <t>793348.938190, 2187634.886409</t>
  </si>
  <si>
    <t>CN_1-016</t>
  </si>
  <si>
    <t>793392.027701, 2187619.228446</t>
  </si>
  <si>
    <t>CN_1-017</t>
  </si>
  <si>
    <t>793436.954011, 2187604.142600</t>
  </si>
  <si>
    <t>CN_1-018</t>
  </si>
  <si>
    <t>793482.738498, 2187586.572559</t>
  </si>
  <si>
    <t>CN_1-019</t>
  </si>
  <si>
    <t>793529.817778, 2187568.580957</t>
  </si>
  <si>
    <t>CN_1-020</t>
  </si>
  <si>
    <t>793578.523078, 2187550.589354</t>
  </si>
  <si>
    <t>CN_1-021</t>
  </si>
  <si>
    <t>793610.862794, 2187538.604990</t>
  </si>
  <si>
    <t>CN_17-005</t>
  </si>
  <si>
    <t>CN_1-022</t>
  </si>
  <si>
    <t>793662.714742, 2187518.912090</t>
  </si>
  <si>
    <t>CN_4-005</t>
  </si>
  <si>
    <t>CN_1-023</t>
  </si>
  <si>
    <t>793688.836441, 2187557.951608</t>
  </si>
  <si>
    <t>CN_5-009</t>
  </si>
  <si>
    <t>CN_1-024</t>
  </si>
  <si>
    <t>793718.134899, 2187599.294654</t>
  </si>
  <si>
    <t>CN_6-010</t>
  </si>
  <si>
    <t>CN_7-009</t>
  </si>
  <si>
    <t>CN_1-025</t>
  </si>
  <si>
    <t>793752.552307, 2187649.099022</t>
  </si>
  <si>
    <t>CN_1-026</t>
  </si>
  <si>
    <t>793786.578266, 2187637.084546</t>
  </si>
  <si>
    <t>CN_1-027</t>
  </si>
  <si>
    <t>793814.792711, 2187621.547029</t>
  </si>
  <si>
    <t>CN_14-003</t>
  </si>
  <si>
    <t>CN_16-012</t>
  </si>
  <si>
    <t>793839.604561, 2187610.797235</t>
  </si>
  <si>
    <t>CN_1-027-FINAL</t>
  </si>
  <si>
    <t>CN_10</t>
  </si>
  <si>
    <t>CN_10-001</t>
  </si>
  <si>
    <t>IM6</t>
  </si>
  <si>
    <t>CN_9-002</t>
  </si>
  <si>
    <t>793661.254336, 2187955.106815</t>
  </si>
  <si>
    <t>CN_11</t>
  </si>
  <si>
    <t>CN_11-001</t>
  </si>
  <si>
    <t>CN_8-004</t>
  </si>
  <si>
    <t>793700.549802, 2187890.818831</t>
  </si>
  <si>
    <t>CN_12</t>
  </si>
  <si>
    <t>CN_12-001</t>
  </si>
  <si>
    <t>CN_12-002</t>
  </si>
  <si>
    <t>793786.824057, 2187847.148507</t>
  </si>
  <si>
    <t>CN_12-003</t>
  </si>
  <si>
    <t>793785.998442, 2187834.137271</t>
  </si>
  <si>
    <t>CN_16-007</t>
  </si>
  <si>
    <t>793839.102097, 2187824.359770</t>
  </si>
  <si>
    <t>CN_13</t>
  </si>
  <si>
    <t>CN_13-001</t>
  </si>
  <si>
    <t>CN_7-005</t>
  </si>
  <si>
    <t>793868.240567, 2187915.690904</t>
  </si>
  <si>
    <t>CN_14</t>
  </si>
  <si>
    <t>CN_14-001</t>
  </si>
  <si>
    <t>CN_14-002</t>
  </si>
  <si>
    <t>793702.595990, 2187392.654883</t>
  </si>
  <si>
    <t>793753.711495, 2187478.415341</t>
  </si>
  <si>
    <t>793807.382774, 2187562.755923</t>
  </si>
  <si>
    <t>CN_16</t>
  </si>
  <si>
    <t>CN_16-001</t>
  </si>
  <si>
    <t>CN_16-002</t>
  </si>
  <si>
    <t>793947.132613, 2188120.027325</t>
  </si>
  <si>
    <t>UM3</t>
  </si>
  <si>
    <t>CN_16-003</t>
  </si>
  <si>
    <t>793992.420261, 2188105.332929</t>
  </si>
  <si>
    <t>CN_16-004</t>
  </si>
  <si>
    <t>793964.476818, 2188061.249740</t>
  </si>
  <si>
    <t>CN_16-005</t>
  </si>
  <si>
    <t>793928.583948, 2187972.481132</t>
  </si>
  <si>
    <t>CN_16-006</t>
  </si>
  <si>
    <t>793909.673947, 2187924.061892</t>
  </si>
  <si>
    <t>793887.150569, 2187864.802523</t>
  </si>
  <si>
    <t>CN_16-008</t>
  </si>
  <si>
    <t>793877.654115, 2187818.045417</t>
  </si>
  <si>
    <t>CN_16-009</t>
  </si>
  <si>
    <t>793880.642222, 2187765.481158</t>
  </si>
  <si>
    <t>CN_16-010</t>
  </si>
  <si>
    <t>793879.919785, 2187719.967630</t>
  </si>
  <si>
    <t>DEWATS</t>
  </si>
  <si>
    <t>CN_16-011</t>
  </si>
  <si>
    <t>793879.197348, 2187710.937168</t>
  </si>
  <si>
    <t>793877.752474, 2187691.792588</t>
  </si>
  <si>
    <t>793856.801802, 2187636.887379</t>
  </si>
  <si>
    <t>CN_17</t>
  </si>
  <si>
    <t>CN_17-001</t>
  </si>
  <si>
    <t>CN_17-002</t>
  </si>
  <si>
    <t>793448.667372, 2187494.431467</t>
  </si>
  <si>
    <t>CN_17-003</t>
  </si>
  <si>
    <t>793493.774351, 2187477.569045</t>
  </si>
  <si>
    <t>CN_17-004</t>
  </si>
  <si>
    <t>793549.179452, 2187455.708119</t>
  </si>
  <si>
    <t>793606.210572, 2187438.183244</t>
  </si>
  <si>
    <t>793634.696021, 2187478.412166</t>
  </si>
  <si>
    <t>CN_18</t>
  </si>
  <si>
    <t>CN_18-001</t>
  </si>
  <si>
    <t>792917.411005, 2187725.845016</t>
  </si>
  <si>
    <t>792962.190034, 2187713.928344</t>
  </si>
  <si>
    <t>CN_3</t>
  </si>
  <si>
    <t>CN_3-001</t>
  </si>
  <si>
    <t>CN_3-002</t>
  </si>
  <si>
    <t>792903.228241, 2187680.595617</t>
  </si>
  <si>
    <t>CN_3-003</t>
  </si>
  <si>
    <t>792946.372883, 2187668.080862</t>
  </si>
  <si>
    <t>CN_3-004</t>
  </si>
  <si>
    <t>792991.839363, 2187653.368877</t>
  </si>
  <si>
    <t>793007.775258, 2187697.578485</t>
  </si>
  <si>
    <t>793052.859007, 2187682.088860</t>
  </si>
  <si>
    <t>CN_4</t>
  </si>
  <si>
    <t>CN_4-001</t>
  </si>
  <si>
    <t>CN_4-002</t>
  </si>
  <si>
    <t>793452.280748, 2187648.858130</t>
  </si>
  <si>
    <t>CN_4-003</t>
  </si>
  <si>
    <t>793498.592186, 2187630.008351</t>
  </si>
  <si>
    <t>CN_4-004</t>
  </si>
  <si>
    <t>793546.228528, 2187611.941470</t>
  </si>
  <si>
    <t>793597.538470, 2187592.308793</t>
  </si>
  <si>
    <t>793638.971850, 2187576.530384</t>
  </si>
  <si>
    <t>CN_5</t>
  </si>
  <si>
    <t>CN_5-001</t>
  </si>
  <si>
    <t>CN_5-002</t>
  </si>
  <si>
    <t>793294.255764, 2187766.232632</t>
  </si>
  <si>
    <t>CN_5-003</t>
  </si>
  <si>
    <t>793337.676501, 2187748.828204</t>
  </si>
  <si>
    <t>CN_5-004</t>
  </si>
  <si>
    <t>793383.747047, 2187730.941992</t>
  </si>
  <si>
    <t>CN_5-005</t>
  </si>
  <si>
    <t>793425.421319, 2187713.055780</t>
  </si>
  <si>
    <t>CN_5-006</t>
  </si>
  <si>
    <t>793469.203393, 2187695.049122</t>
  </si>
  <si>
    <t>CN_5-007</t>
  </si>
  <si>
    <t>793516.899958, 2187675.295999</t>
  </si>
  <si>
    <t>CN_5-008</t>
  </si>
  <si>
    <t>793565.499868, 2187657.229118</t>
  </si>
  <si>
    <t>793614.702006, 2187637.054435</t>
  </si>
  <si>
    <t>793667.637967, 2187619.228446</t>
  </si>
  <si>
    <t>CN_6</t>
  </si>
  <si>
    <t>CN_6-001</t>
  </si>
  <si>
    <t>CondForc</t>
  </si>
  <si>
    <t>CN_6-002</t>
  </si>
  <si>
    <t>793305.894276, 2187808.618336</t>
  </si>
  <si>
    <t>CN_6-003</t>
  </si>
  <si>
    <t>793313.905682, 2187806.451729</t>
  </si>
  <si>
    <t>CN_6-004</t>
  </si>
  <si>
    <t>793355.863828, 2187794.597635</t>
  </si>
  <si>
    <t>CN_6-005</t>
  </si>
  <si>
    <t>793399.284565, 2187777.494321</t>
  </si>
  <si>
    <t>CN_6-006</t>
  </si>
  <si>
    <t>793443.126862, 2187760.812568</t>
  </si>
  <si>
    <t>CN_6-007</t>
  </si>
  <si>
    <t>793487.671544, 2187743.749372</t>
  </si>
  <si>
    <t>CN_6-008</t>
  </si>
  <si>
    <t>793536.622970, 2187725.040144</t>
  </si>
  <si>
    <t>CN_6-009</t>
  </si>
  <si>
    <t>793586.367115, 2187706.913040</t>
  </si>
  <si>
    <t>793635.238028, 2187689.508612</t>
  </si>
  <si>
    <t>793697.990327, 2187665.058100</t>
  </si>
  <si>
    <t>CN_7</t>
  </si>
  <si>
    <t>CN_7-001</t>
  </si>
  <si>
    <t>CN_7-002</t>
  </si>
  <si>
    <t>793818.917982, 2188049.611657</t>
  </si>
  <si>
    <t>CN_7-003</t>
  </si>
  <si>
    <t>793811.510561, 2188007.154487</t>
  </si>
  <si>
    <t>CN_7-004</t>
  </si>
  <si>
    <t>793799.225082, 2187936.964656</t>
  </si>
  <si>
    <t>793791.411156, 2187881.017548</t>
  </si>
  <si>
    <t>793846.801201, 2187872.571281</t>
  </si>
  <si>
    <t>CN_7-008</t>
  </si>
  <si>
    <t>CN_8-008</t>
  </si>
  <si>
    <t>col_1</t>
  </si>
  <si>
    <t>793779.419718, 2187727.283448</t>
  </si>
  <si>
    <t>793764.909982, 2187673.103394</t>
  </si>
  <si>
    <t>CN_8</t>
  </si>
  <si>
    <t>CN_8-001</t>
  </si>
  <si>
    <t>UM2</t>
  </si>
  <si>
    <t>CN_8-002</t>
  </si>
  <si>
    <t>793767.839252, 2188056.801475</t>
  </si>
  <si>
    <t>CN_8-003</t>
  </si>
  <si>
    <t>793761.307827, 2188010.087583</t>
  </si>
  <si>
    <t>793750.700451, 2187942.911671</t>
  </si>
  <si>
    <t>CN_8-005</t>
  </si>
  <si>
    <t>793743.548978, 2187886.392445</t>
  </si>
  <si>
    <t>CN_8-006</t>
  </si>
  <si>
    <t>793738.873799, 2187848.931756</t>
  </si>
  <si>
    <t>CN_8-007</t>
  </si>
  <si>
    <t>793730.035103, 2187795.096209</t>
  </si>
  <si>
    <t>col_2</t>
  </si>
  <si>
    <t>793724.859663, 2187752.183182</t>
  </si>
  <si>
    <t>793779.848716, 2187749.595462</t>
  </si>
  <si>
    <t>CN_9</t>
  </si>
  <si>
    <t>CN_9-001</t>
  </si>
  <si>
    <t>793714.988250, 2188020.478812</t>
  </si>
  <si>
    <t>793704.509460, 2187948.873741</t>
  </si>
  <si>
    <t>CS_1</t>
  </si>
  <si>
    <t>CS_1-001</t>
  </si>
  <si>
    <t>CS_1-002</t>
  </si>
  <si>
    <t>793133.340079, 2187601.026063</t>
  </si>
  <si>
    <t>CS_1-003</t>
  </si>
  <si>
    <t>793182.301326, 2187582.055838</t>
  </si>
  <si>
    <t>CS_1-004</t>
  </si>
  <si>
    <t>793224.758496, 2187564.651410</t>
  </si>
  <si>
    <t>CS_1-005</t>
  </si>
  <si>
    <t>793270.046144, 2187548.692332</t>
  </si>
  <si>
    <t>CS_1-006</t>
  </si>
  <si>
    <t>793314.296432, 2187534.823945</t>
  </si>
  <si>
    <t>CS_2-004</t>
  </si>
  <si>
    <t>CS_1-007</t>
  </si>
  <si>
    <t>793299.194045, 2187493.648568</t>
  </si>
  <si>
    <t>CS_3-004</t>
  </si>
  <si>
    <t>CS_1-008</t>
  </si>
  <si>
    <t>793282.753184, 2187446.734901</t>
  </si>
  <si>
    <t>CS_4-004</t>
  </si>
  <si>
    <t>CS_1-009</t>
  </si>
  <si>
    <t>793267.817895, 2187405.421967</t>
  </si>
  <si>
    <t>CS_7-001</t>
  </si>
  <si>
    <t>CS_1-010</t>
  </si>
  <si>
    <t>793253.063276, 2187358.688969</t>
  </si>
  <si>
    <t>CS_5-004</t>
  </si>
  <si>
    <t>CS_1-011</t>
  </si>
  <si>
    <t>793238.730217, 2187314.906895</t>
  </si>
  <si>
    <t>CS_22-001</t>
  </si>
  <si>
    <t>CS_1-012</t>
  </si>
  <si>
    <t>793220.663337, 2187267.210329</t>
  </si>
  <si>
    <t>CS_1-013</t>
  </si>
  <si>
    <t>793206.450724, 2187220.477331</t>
  </si>
  <si>
    <t>CS_23-004</t>
  </si>
  <si>
    <t>CS_1-014</t>
  </si>
  <si>
    <t>793188.624735, 2187176.815703</t>
  </si>
  <si>
    <t>CS_1-015</t>
  </si>
  <si>
    <t>793175.255243, 2187135.924329</t>
  </si>
  <si>
    <t>CS_9-001</t>
  </si>
  <si>
    <t>CS_1-016</t>
  </si>
  <si>
    <t>793201.994226, 2187123.939965</t>
  </si>
  <si>
    <t>CS_10-001</t>
  </si>
  <si>
    <t>CS_1-017</t>
  </si>
  <si>
    <t>793247.040983, 2187107.619549</t>
  </si>
  <si>
    <t>CS_1-018</t>
  </si>
  <si>
    <t>793297.146465, 2187093.105822</t>
  </si>
  <si>
    <t>CS_1-019</t>
  </si>
  <si>
    <t>793336.351596, 2187079.314769</t>
  </si>
  <si>
    <t>CS_8-010</t>
  </si>
  <si>
    <t>CS_1-020</t>
  </si>
  <si>
    <t>793355.502490, 2187071.606233</t>
  </si>
  <si>
    <t>CS_21-008</t>
  </si>
  <si>
    <t>CS_1-021</t>
  </si>
  <si>
    <t>793439.633932, 2187035.894032</t>
  </si>
  <si>
    <t>CS_25-021</t>
  </si>
  <si>
    <t>CS_68-007</t>
  </si>
  <si>
    <t>793463.051392, 2187027.763765</t>
  </si>
  <si>
    <t>CS_1-021-FINAL</t>
  </si>
  <si>
    <t>CS_10</t>
  </si>
  <si>
    <t>793262.277385, 2187146.463343</t>
  </si>
  <si>
    <t>CS_11</t>
  </si>
  <si>
    <t>CS_11-001</t>
  </si>
  <si>
    <t>CS_11-002</t>
  </si>
  <si>
    <t>793237.977431, 2187210.359878</t>
  </si>
  <si>
    <t>CS_8-006</t>
  </si>
  <si>
    <t>793283.626416, 2187196.026819</t>
  </si>
  <si>
    <t>CS_12</t>
  </si>
  <si>
    <t>CS_12-001</t>
  </si>
  <si>
    <t>CS_12-002</t>
  </si>
  <si>
    <t>793256.646541, 2187257.092876</t>
  </si>
  <si>
    <t>CS_15-002</t>
  </si>
  <si>
    <t>CS_8-005</t>
  </si>
  <si>
    <t>793300.729730, 2187243.241601</t>
  </si>
  <si>
    <t>CS_13</t>
  </si>
  <si>
    <t>CS_13-001</t>
  </si>
  <si>
    <t>CS_13-002</t>
  </si>
  <si>
    <t>793352.280563, 2187371.697123</t>
  </si>
  <si>
    <t>CS_14-002</t>
  </si>
  <si>
    <t>CS_8-003</t>
  </si>
  <si>
    <t>793393.412828, 2187355.075593</t>
  </si>
  <si>
    <t>CS_14</t>
  </si>
  <si>
    <t>CS_14-001</t>
  </si>
  <si>
    <t>793428.793803, 2187445.108882</t>
  </si>
  <si>
    <t>793413.015394, 2187401.959149</t>
  </si>
  <si>
    <t>CS_15</t>
  </si>
  <si>
    <t>CS_15-001</t>
  </si>
  <si>
    <t>793273.569186, 2187300.152275</t>
  </si>
  <si>
    <t>793317.050146, 2187285.457879</t>
  </si>
  <si>
    <t>CS_16</t>
  </si>
  <si>
    <t>CS_16-001</t>
  </si>
  <si>
    <t>CS_16-002</t>
  </si>
  <si>
    <t>793456.496354, 2187385.789290</t>
  </si>
  <si>
    <t>CS_16-003</t>
  </si>
  <si>
    <t>793437.947689, 2187337.791610</t>
  </si>
  <si>
    <t>CS_16-004</t>
  </si>
  <si>
    <t>793423.193070, 2187302.380524</t>
  </si>
  <si>
    <t>CS_16-005</t>
  </si>
  <si>
    <t>793469.745400, 2187287.625905</t>
  </si>
  <si>
    <t>CS_19-003</t>
  </si>
  <si>
    <t>CS_16-006</t>
  </si>
  <si>
    <t>793500.037536, 2187276.002878</t>
  </si>
  <si>
    <t>CS_18-001</t>
  </si>
  <si>
    <t>CS_16-007</t>
  </si>
  <si>
    <t>793469.926068, 2187231.739020</t>
  </si>
  <si>
    <t>CS_17-002</t>
  </si>
  <si>
    <t>CS_8-009</t>
  </si>
  <si>
    <t>793440.838390, 2187193.256564</t>
  </si>
  <si>
    <t>CS_17</t>
  </si>
  <si>
    <t>CS_17-001</t>
  </si>
  <si>
    <t>793386.999086, 2187211.805228</t>
  </si>
  <si>
    <t>793414.280076, 2187202.410450</t>
  </si>
  <si>
    <t>CS_18</t>
  </si>
  <si>
    <t>793440.537276, 2187241.976919</t>
  </si>
  <si>
    <t>CS_19</t>
  </si>
  <si>
    <t>CS_19-001</t>
  </si>
  <si>
    <t>CS_19-002</t>
  </si>
  <si>
    <t>793502.928237, 2187370.793779</t>
  </si>
  <si>
    <t>793551.166809, 2187351.221325</t>
  </si>
  <si>
    <t>CS_20-001</t>
  </si>
  <si>
    <t>793522.440469, 2187304.970110</t>
  </si>
  <si>
    <t>CS_2</t>
  </si>
  <si>
    <t>CS_2-001</t>
  </si>
  <si>
    <t>CS_2-002</t>
  </si>
  <si>
    <t>793114.490301, 2187557.123543</t>
  </si>
  <si>
    <t>CS_2-003</t>
  </si>
  <si>
    <t>793165.679796, 2187539.899783</t>
  </si>
  <si>
    <t>793209.040310, 2187523.760036</t>
  </si>
  <si>
    <t>793254.207512, 2187507.138506</t>
  </si>
  <si>
    <t>CS_20</t>
  </si>
  <si>
    <t>793488.655401, 2187320.447405</t>
  </si>
  <si>
    <t>CS_21</t>
  </si>
  <si>
    <t>CS_21-001</t>
  </si>
  <si>
    <t>CS_21-002</t>
  </si>
  <si>
    <t>793616.087134, 2187339.357407</t>
  </si>
  <si>
    <t>CS_21-003</t>
  </si>
  <si>
    <t>793606.812802, 2187327.071928</t>
  </si>
  <si>
    <t>CS_21-004</t>
  </si>
  <si>
    <t>793578.688691, 2187279.616254</t>
  </si>
  <si>
    <t>CS_21-005</t>
  </si>
  <si>
    <t>793559.357128, 2187250.649022</t>
  </si>
  <si>
    <t>CS_21-006</t>
  </si>
  <si>
    <t>793530.691011, 2187210.118986</t>
  </si>
  <si>
    <t>CS_21-007</t>
  </si>
  <si>
    <t>793510.034544, 2187168.685606</t>
  </si>
  <si>
    <t>793489.016739, 2187122.374168</t>
  </si>
  <si>
    <t>793469.470819, 2187073.543563</t>
  </si>
  <si>
    <t>CS_22</t>
  </si>
  <si>
    <t>793177.965275, 2187283.771637</t>
  </si>
  <si>
    <t>CS_23</t>
  </si>
  <si>
    <t>CS_23-001</t>
  </si>
  <si>
    <t>CS_23-002</t>
  </si>
  <si>
    <t>793131.141942, 2187299.158597</t>
  </si>
  <si>
    <t>CS_24-002</t>
  </si>
  <si>
    <t>CS_23-003</t>
  </si>
  <si>
    <t>793115.754982, 2187257.092876</t>
  </si>
  <si>
    <t>CS_53-001</t>
  </si>
  <si>
    <t>793097.688101, 2187205.240928</t>
  </si>
  <si>
    <t>793145.173886, 2187189.251739</t>
  </si>
  <si>
    <t>CS_24</t>
  </si>
  <si>
    <t>CS_24-001</t>
  </si>
  <si>
    <t>793090.009677, 2187313.852993</t>
  </si>
  <si>
    <t>793072.424580, 2187270.853817</t>
  </si>
  <si>
    <t>CS_25</t>
  </si>
  <si>
    <t>CS_25-001</t>
  </si>
  <si>
    <t>UMS2</t>
  </si>
  <si>
    <t>CS_25-002</t>
  </si>
  <si>
    <t>792774.168463, 2186726.642510</t>
  </si>
  <si>
    <t>UMS1</t>
  </si>
  <si>
    <t>CS_25-003</t>
  </si>
  <si>
    <t>792835.931619, 2186746.831435</t>
  </si>
  <si>
    <t>CS_25-004</t>
  </si>
  <si>
    <t>792884.408574, 2186734.508350</t>
  </si>
  <si>
    <t>CS_25-005</t>
  </si>
  <si>
    <t>792905.125264, 2186781.482240</t>
  </si>
  <si>
    <t>CS_25-006</t>
  </si>
  <si>
    <t>792947.642657, 2186767.691187</t>
  </si>
  <si>
    <t>CS_60-002</t>
  </si>
  <si>
    <t>CS_25-007</t>
  </si>
  <si>
    <t>792992.508744, 2186750.648096</t>
  </si>
  <si>
    <t>CS_25-008</t>
  </si>
  <si>
    <t>793037.073716, 2186735.471917</t>
  </si>
  <si>
    <t>CS_25-009</t>
  </si>
  <si>
    <t>793061.975900, 2186807.107099</t>
  </si>
  <si>
    <t>CS_42-001</t>
  </si>
  <si>
    <t>CS_25-010</t>
  </si>
  <si>
    <t>793077.874755, 2186853.960543</t>
  </si>
  <si>
    <t>CS_25-011</t>
  </si>
  <si>
    <t>793141.409953, 2186832.039394</t>
  </si>
  <si>
    <t>UMS3,QCANAL</t>
  </si>
  <si>
    <t>CS_25-012</t>
  </si>
  <si>
    <t>793190.628938, 2186813.591297</t>
  </si>
  <si>
    <t>CS_25-013</t>
  </si>
  <si>
    <t>793203.525828, 2186831.023771</t>
  </si>
  <si>
    <t>CS_41-011</t>
  </si>
  <si>
    <t>CS_25-014</t>
  </si>
  <si>
    <t>793242.765154, 2186838.109501</t>
  </si>
  <si>
    <t>CS_25-015</t>
  </si>
  <si>
    <t>793289.618598, 2186830.232706</t>
  </si>
  <si>
    <t>CS_25-016</t>
  </si>
  <si>
    <t>793305.397007, 2186829.871369</t>
  </si>
  <si>
    <t>CS_25-017</t>
  </si>
  <si>
    <t>793320.814079, 2186832.641624</t>
  </si>
  <si>
    <t>IMSC1</t>
  </si>
  <si>
    <t>CS_25-018</t>
  </si>
  <si>
    <t>793342.373890, 2186845.770224</t>
  </si>
  <si>
    <t>CS_25-019</t>
  </si>
  <si>
    <t>793354.779815, 2186862.030416</t>
  </si>
  <si>
    <t>CS_34-012</t>
  </si>
  <si>
    <t>CS_25-020</t>
  </si>
  <si>
    <t>793382.482365, 2186905.150039</t>
  </si>
  <si>
    <t>793408.558897, 2186942.638816</t>
  </si>
  <si>
    <t>793442.434298, 2186994.761767</t>
  </si>
  <si>
    <t>CS_26</t>
  </si>
  <si>
    <t>CS_26-001</t>
  </si>
  <si>
    <t>CS_26-002</t>
  </si>
  <si>
    <t>792839.361818, 2187495.214365</t>
  </si>
  <si>
    <t>CS_27-001</t>
  </si>
  <si>
    <t>CS_26-003</t>
  </si>
  <si>
    <t>792883.445007, 2187480.399523</t>
  </si>
  <si>
    <t>CS_26-004</t>
  </si>
  <si>
    <t>792925.962400, 2187463.386543</t>
  </si>
  <si>
    <t>CS_28-002</t>
  </si>
  <si>
    <t>CS_26-005</t>
  </si>
  <si>
    <t>792909.521538, 2187423.850186</t>
  </si>
  <si>
    <t>CS_26-006</t>
  </si>
  <si>
    <t>792960.711034, 2187406.204865</t>
  </si>
  <si>
    <t>CS_26-007</t>
  </si>
  <si>
    <t>793004.493108, 2187391.329800</t>
  </si>
  <si>
    <t>CS_50-002</t>
  </si>
  <si>
    <t>CS_26-008</t>
  </si>
  <si>
    <t>793048.094514, 2187376.274066</t>
  </si>
  <si>
    <t>CS_26-009</t>
  </si>
  <si>
    <t>793035.050973, 2187337.334835</t>
  </si>
  <si>
    <t>CS_26-010</t>
  </si>
  <si>
    <t>793033.256758, 2187331.538139</t>
  </si>
  <si>
    <t>CS_26-011</t>
  </si>
  <si>
    <t>793020.421215, 2187289.305064</t>
  </si>
  <si>
    <t>CS_29-008</t>
  </si>
  <si>
    <t>CS_26-012</t>
  </si>
  <si>
    <t>793019.639176, 2187285.307322</t>
  </si>
  <si>
    <t>CS_26-013</t>
  </si>
  <si>
    <t>793005.101374, 2187247.210005</t>
  </si>
  <si>
    <t>CS_33-002</t>
  </si>
  <si>
    <t>CS_26-014</t>
  </si>
  <si>
    <t>793004.350194, 2187242.622231</t>
  </si>
  <si>
    <t>CS_26-015</t>
  </si>
  <si>
    <t>792989.919550, 2187201.526516</t>
  </si>
  <si>
    <t>CS_54-001</t>
  </si>
  <si>
    <t>CS_26-016</t>
  </si>
  <si>
    <t>792989.316928, 2187197.216222</t>
  </si>
  <si>
    <t>CS_26-017</t>
  </si>
  <si>
    <t>792973.081527, 2187153.772777</t>
  </si>
  <si>
    <t>CS_36-002</t>
  </si>
  <si>
    <t>CS_26-018</t>
  </si>
  <si>
    <t>792972.514729, 2187149.098096</t>
  </si>
  <si>
    <t>CS_37-002</t>
  </si>
  <si>
    <t>792959.417885, 2187107.537222</t>
  </si>
  <si>
    <t>CS_27</t>
  </si>
  <si>
    <t>792901.030104, 2187529.782330</t>
  </si>
  <si>
    <t>CS_28</t>
  </si>
  <si>
    <t>CS_28-001</t>
  </si>
  <si>
    <t>Ti Ginen 1,IMS1</t>
  </si>
  <si>
    <t>792823.764077, 2187450.167609</t>
  </si>
  <si>
    <t>792868.058047, 2187438.123022</t>
  </si>
  <si>
    <t>CS_29</t>
  </si>
  <si>
    <t>CS_29-001</t>
  </si>
  <si>
    <t>Ti Ginen 2,IMS2</t>
  </si>
  <si>
    <t>CS_29-002</t>
  </si>
  <si>
    <t>792796.362641, 2187367.210514</t>
  </si>
  <si>
    <t>CS_29-003</t>
  </si>
  <si>
    <t>792808.347006, 2187408.222334</t>
  </si>
  <si>
    <t>CS_29-004</t>
  </si>
  <si>
    <t>792852.430195, 2187396.177747</t>
  </si>
  <si>
    <t>CS_29-005</t>
  </si>
  <si>
    <t>792894.224912, 2187381.844688</t>
  </si>
  <si>
    <t>CS_45-001</t>
  </si>
  <si>
    <t>CS_29-006</t>
  </si>
  <si>
    <t>792880.614529, 2187335.111690</t>
  </si>
  <si>
    <t>CS_29-007</t>
  </si>
  <si>
    <t>792926.203291, 2187319.694618</t>
  </si>
  <si>
    <t>CS_30-001</t>
  </si>
  <si>
    <t>792928.732655, 2187316.382357</t>
  </si>
  <si>
    <t>CS_31-001</t>
  </si>
  <si>
    <t>792973.568630, 2187300.483501</t>
  </si>
  <si>
    <t>CS_3</t>
  </si>
  <si>
    <t>CS_3-001</t>
  </si>
  <si>
    <t>CS_3-002</t>
  </si>
  <si>
    <t>793099.675458, 2187512.558570</t>
  </si>
  <si>
    <t>CS_3-003</t>
  </si>
  <si>
    <t>793151.286514, 2187495.334811</t>
  </si>
  <si>
    <t>793194.526582, 2187479.556401</t>
  </si>
  <si>
    <t>793239.212001, 2187461.730412</t>
  </si>
  <si>
    <t>CS_30</t>
  </si>
  <si>
    <t>792944.782067, 2187363.235801</t>
  </si>
  <si>
    <t>CS_31</t>
  </si>
  <si>
    <t>792988.895368, 2187348.149955</t>
  </si>
  <si>
    <t>CS_33</t>
  </si>
  <si>
    <t>CS_33-001</t>
  </si>
  <si>
    <t>792916.146061, 2187273.744518</t>
  </si>
  <si>
    <t>792960.951925, 2187258.146777</t>
  </si>
  <si>
    <t>CS_34</t>
  </si>
  <si>
    <t>CS_34-001</t>
  </si>
  <si>
    <t>CS_34-002</t>
  </si>
  <si>
    <t>793042.554004, 2187178.547112</t>
  </si>
  <si>
    <t>CS_34-003</t>
  </si>
  <si>
    <t>793036.531710, 2187162.768703</t>
  </si>
  <si>
    <t>CS_34-004</t>
  </si>
  <si>
    <t>793024.186008, 2187131.693668</t>
  </si>
  <si>
    <t>CS_37-003</t>
  </si>
  <si>
    <t>CS_34-005</t>
  </si>
  <si>
    <t>793009.913172, 2187084.478886</t>
  </si>
  <si>
    <t>CS_34-006</t>
  </si>
  <si>
    <t>793050.623877, 2187069.543598</t>
  </si>
  <si>
    <t>CS_34-007</t>
  </si>
  <si>
    <t>793097.959105, 2187051.597163</t>
  </si>
  <si>
    <t>CS_51-004</t>
  </si>
  <si>
    <t>CS_34-008</t>
  </si>
  <si>
    <t>793140.235606, 2187037.866334</t>
  </si>
  <si>
    <t>CS_34-009</t>
  </si>
  <si>
    <t>793212.141791, 2187013.054484</t>
  </si>
  <si>
    <t>CS_34-010</t>
  </si>
  <si>
    <t>793257.188547, 2186997.998750</t>
  </si>
  <si>
    <t>CS_34-011</t>
  </si>
  <si>
    <t>793244.388597, 2186957.015949</t>
  </si>
  <si>
    <t>CS_35-003</t>
  </si>
  <si>
    <t>793274.291861, 2186946.267248</t>
  </si>
  <si>
    <t>793352.943015, 2186916.637564</t>
  </si>
  <si>
    <t>CS_35</t>
  </si>
  <si>
    <t>CS_35-001</t>
  </si>
  <si>
    <t>CS_35-002</t>
  </si>
  <si>
    <t>793275.737211, 2187043.286398</t>
  </si>
  <si>
    <t>793313.075432, 2187030.639581</t>
  </si>
  <si>
    <t>793295.731226, 2186982.943016</t>
  </si>
  <si>
    <t>CS_36</t>
  </si>
  <si>
    <t>CS_36-001</t>
  </si>
  <si>
    <t>792882.300771, 2187179.330010</t>
  </si>
  <si>
    <t>792929.033769, 2187165.117397</t>
  </si>
  <si>
    <t>CS_37</t>
  </si>
  <si>
    <t>CS_37-001</t>
  </si>
  <si>
    <t>792915.363163, 2187120.672870</t>
  </si>
  <si>
    <t>CS_40-006</t>
  </si>
  <si>
    <t>792958.603231, 2187102.485544</t>
  </si>
  <si>
    <t>792963.782403, 2187100.437964</t>
  </si>
  <si>
    <t>CS_38</t>
  </si>
  <si>
    <t>CS_38-001</t>
  </si>
  <si>
    <t>792899.223416, 2187075.565891</t>
  </si>
  <si>
    <t>CS_39</t>
  </si>
  <si>
    <t>CS_39-001</t>
  </si>
  <si>
    <t>CS_40-004</t>
  </si>
  <si>
    <t>792876.700038, 2187019.919899</t>
  </si>
  <si>
    <t>CS_4</t>
  </si>
  <si>
    <t>CS_4-001</t>
  </si>
  <si>
    <t>CS_4-002</t>
  </si>
  <si>
    <t>793082.993705, 2187460.887291</t>
  </si>
  <si>
    <t>CS_4-003</t>
  </si>
  <si>
    <t>793135.387659, 2187444.506653</t>
  </si>
  <si>
    <t>793178.145944, 2187433.425633</t>
  </si>
  <si>
    <t>793225.782286, 2187418.610790</t>
  </si>
  <si>
    <t>CS_40</t>
  </si>
  <si>
    <t>CS_40-001</t>
  </si>
  <si>
    <t>CS_40-002</t>
  </si>
  <si>
    <t>792864.053221, 2186972.223333</t>
  </si>
  <si>
    <t>CS_40-003</t>
  </si>
  <si>
    <t>792910.786220, 2186959.335625</t>
  </si>
  <si>
    <t>792922.964254, 2187001.091930</t>
  </si>
  <si>
    <t>CS_40-005</t>
  </si>
  <si>
    <t>792924.637495, 2187005.466394</t>
  </si>
  <si>
    <t>792942.838643, 2187056.712614</t>
  </si>
  <si>
    <t>792944.751956, 2187060.991941</t>
  </si>
  <si>
    <t>CS_41</t>
  </si>
  <si>
    <t>CS_41-001</t>
  </si>
  <si>
    <t>CS_41-002</t>
  </si>
  <si>
    <t>792948.365332, 2186905.315652</t>
  </si>
  <si>
    <t>CS_41-003</t>
  </si>
  <si>
    <t>792960.048581, 2186940.244954</t>
  </si>
  <si>
    <t>CS_41-004</t>
  </si>
  <si>
    <t>792963.842626, 2186940.666515</t>
  </si>
  <si>
    <t>CS_41-005</t>
  </si>
  <si>
    <t>792979.741481, 2186936.029349</t>
  </si>
  <si>
    <t>CS_41-006</t>
  </si>
  <si>
    <t>793003.107980, 2186926.393679</t>
  </si>
  <si>
    <t>CS_41-007</t>
  </si>
  <si>
    <t>793048.335405, 2186911.097053</t>
  </si>
  <si>
    <t>CS_41-008</t>
  </si>
  <si>
    <t>793093.020824, 2186896.824218</t>
  </si>
  <si>
    <t>CS_41-009</t>
  </si>
  <si>
    <t>793156.796913, 2186876.589311</t>
  </si>
  <si>
    <t>CS_41-010</t>
  </si>
  <si>
    <t>793202.205007, 2186860.148450</t>
  </si>
  <si>
    <t>793210.756664, 2186858.703099</t>
  </si>
  <si>
    <t>CS_43-005</t>
  </si>
  <si>
    <t>793216.748846, 2186859.335440</t>
  </si>
  <si>
    <t>CS_42</t>
  </si>
  <si>
    <t>793033.671120, 2186868.820552</t>
  </si>
  <si>
    <t>CS_43</t>
  </si>
  <si>
    <t>CS_43-001</t>
  </si>
  <si>
    <t>CS_43-002</t>
  </si>
  <si>
    <t>793108.046446, 2186939.010384</t>
  </si>
  <si>
    <t>CS_43-003</t>
  </si>
  <si>
    <t>793170.015847, 2186919.016369</t>
  </si>
  <si>
    <t>CS_43-004</t>
  </si>
  <si>
    <t>793220.241776, 2186900.949489</t>
  </si>
  <si>
    <t>793235.297510, 2186896.131654</t>
  </si>
  <si>
    <t>793239.994899, 2186894.324966</t>
  </si>
  <si>
    <t>CS_45</t>
  </si>
  <si>
    <t>792836.092365, 2187350.609518</t>
  </si>
  <si>
    <t>CS_5</t>
  </si>
  <si>
    <t>CS_5-001</t>
  </si>
  <si>
    <t>CS_5-002</t>
  </si>
  <si>
    <t>793118.826352, 2187403.675502</t>
  </si>
  <si>
    <t>CS_5-003</t>
  </si>
  <si>
    <t>793105.035300, 2187357.243619</t>
  </si>
  <si>
    <t>CS_6-001</t>
  </si>
  <si>
    <t>793146.408457, 2187342.428776</t>
  </si>
  <si>
    <t>793193.743684, 2187328.396832</t>
  </si>
  <si>
    <t>CS_50</t>
  </si>
  <si>
    <t>CS_50-001</t>
  </si>
  <si>
    <t>793061.688174, 2187419.454703</t>
  </si>
  <si>
    <t>793049.404698, 2187380.257993</t>
  </si>
  <si>
    <t>CS_51</t>
  </si>
  <si>
    <t>CS_51-001</t>
  </si>
  <si>
    <t>CS_51-002</t>
  </si>
  <si>
    <t>792996.844795, 2187043.286398</t>
  </si>
  <si>
    <t>CS_51-003</t>
  </si>
  <si>
    <t>793037.615723, 2187028.592001</t>
  </si>
  <si>
    <t>CS_52-003</t>
  </si>
  <si>
    <t>793083.686269, 2187012.452255</t>
  </si>
  <si>
    <t>793127.769458, 2186998.902094</t>
  </si>
  <si>
    <t>CS_52</t>
  </si>
  <si>
    <t>CS_52-001</t>
  </si>
  <si>
    <t>CS_52-002</t>
  </si>
  <si>
    <t>792973.478296, 2186988.363080</t>
  </si>
  <si>
    <t>793015.935466, 2186974.090244</t>
  </si>
  <si>
    <t>793061.464005, 2186957.047154</t>
  </si>
  <si>
    <t>CS_53</t>
  </si>
  <si>
    <t>793055.953607, 2187220.326774</t>
  </si>
  <si>
    <t>CS_54</t>
  </si>
  <si>
    <t>792946.799535, 2187214.921765</t>
  </si>
  <si>
    <t>CS_6</t>
  </si>
  <si>
    <t>793161.223299, 2187390.426456</t>
  </si>
  <si>
    <t>CS_60</t>
  </si>
  <si>
    <t>CS_60-001</t>
  </si>
  <si>
    <t>792928.026098, 2186721.939015</t>
  </si>
  <si>
    <t>792972.846515, 2186703.418181</t>
  </si>
  <si>
    <t>CS_68</t>
  </si>
  <si>
    <t>CS_68-001</t>
  </si>
  <si>
    <t>NCM</t>
  </si>
  <si>
    <t>CS_68-002</t>
  </si>
  <si>
    <t>793671.442874, 2187304.795561</t>
  </si>
  <si>
    <t>CS_68-003</t>
  </si>
  <si>
    <t>793648.905065, 2187279.644672</t>
  </si>
  <si>
    <t>CS_68-004</t>
  </si>
  <si>
    <t>793606.115891, 2187247.634450</t>
  </si>
  <si>
    <t>CS_68-005</t>
  </si>
  <si>
    <t>793596.970114, 2187235.222324</t>
  </si>
  <si>
    <t>CS_68-006</t>
  </si>
  <si>
    <t>793565.939797, 2187187.860261</t>
  </si>
  <si>
    <t>793525.437067, 2187125.962945</t>
  </si>
  <si>
    <t>793491.140401, 2187073.048089</t>
  </si>
  <si>
    <t>CS_7</t>
  </si>
  <si>
    <t>793211.750342, 2187374.166264</t>
  </si>
  <si>
    <t>CS_8</t>
  </si>
  <si>
    <t>CS_8-001</t>
  </si>
  <si>
    <t>CS_8-002</t>
  </si>
  <si>
    <t>793291.365063, 2187347.065942</t>
  </si>
  <si>
    <t>793334.364240, 2187330.926196</t>
  </si>
  <si>
    <t>CS_8-004</t>
  </si>
  <si>
    <t>793377.664531, 2187315.268232</t>
  </si>
  <si>
    <t>793361.043000, 2187269.017017</t>
  </si>
  <si>
    <t>793344.722585, 2187226.620071</t>
  </si>
  <si>
    <t>CS_8-007</t>
  </si>
  <si>
    <t>793328.228471, 2187179.697204</t>
  </si>
  <si>
    <t>CS_8-008</t>
  </si>
  <si>
    <t>793367.366408, 2187164.831338</t>
  </si>
  <si>
    <t>793388.926220, 2187158.146592</t>
  </si>
  <si>
    <t>793413.376732, 2187149.956273</t>
  </si>
  <si>
    <t>793380.615454, 2187106.053753</t>
  </si>
  <si>
    <t>CS_9</t>
  </si>
  <si>
    <t>793218.254419, 2187162.693424</t>
  </si>
  <si>
    <t>DN necessário estimado (mm)</t>
  </si>
  <si>
    <t>aux Ini</t>
  </si>
  <si>
    <t>DN adot (mm)</t>
  </si>
  <si>
    <t>H imposicao Pto M (NA)
(m)</t>
  </si>
  <si>
    <t>H calc Pto M
(m)</t>
  </si>
  <si>
    <t>DN calc max (mm)</t>
  </si>
  <si>
    <t>Nº Colector e Tramo Actual</t>
  </si>
  <si>
    <t>Extensión
 (m)</t>
  </si>
  <si>
    <t>CONTRIBUCIÓNES - IDENTIFICACIÓN</t>
  </si>
  <si>
    <t>TRAMOS DE AGUAS ARRIBA</t>
  </si>
  <si>
    <t xml:space="preserve">RAMALES CONDOMINIALES Y OTROS </t>
  </si>
  <si>
    <t>Manzanas y Otros
Id</t>
  </si>
  <si>
    <t>Cantidad
FINAL
 (QE)</t>
  </si>
  <si>
    <t>Cantidad
INICIAL
 (QE)</t>
  </si>
  <si>
    <t>Colector m1
Id</t>
  </si>
  <si>
    <t>Colector m2
Id</t>
  </si>
  <si>
    <t>Tramo anterior- Colector actual
Id</t>
  </si>
  <si>
    <t>CONTRIBUCIÓN EQUIVALENTE EN FAMILIAS</t>
  </si>
  <si>
    <t>CAUDALES</t>
  </si>
  <si>
    <t>INFILTRACIÓN en el tramo
(l/s)</t>
  </si>
  <si>
    <t>CAUDAL total
FINAL DE PLAN
(l/s)</t>
  </si>
  <si>
    <t>CAUDAL total
INICIO DE PLAN
(l/s)</t>
  </si>
  <si>
    <t>Ubicación del Tramo 
(Calzada=0 e Acera=1)</t>
  </si>
  <si>
    <t>Interferéncias                     (aux_Prof_i)</t>
  </si>
  <si>
    <t>FORZAR PROFUNDIDAD - punto AGUAS ARRIBA del tramo
(m)</t>
  </si>
  <si>
    <t>RECUBRIMIENTO</t>
  </si>
  <si>
    <t>Recubrimiento - punto ARRIBA del tramo
(m)</t>
  </si>
  <si>
    <t>Recubrimiento - punto ABAJO del tramo
(m)</t>
  </si>
  <si>
    <t>Profundidad - punto AGUAS ARRIBA del tramo
(m)</t>
  </si>
  <si>
    <t>Profundidad - punto AGUAS ABAJO del tramo
(m)</t>
  </si>
  <si>
    <t>FORZAR PROFUNDIDAD - punto AGUAS ABAJO del tramo
  (m)</t>
  </si>
  <si>
    <t>NIVEL DEL TERRENO</t>
  </si>
  <si>
    <t>NIVEL DEL COLECTOR</t>
  </si>
  <si>
    <t>En el punto AGUAS ARRIBA del tramo (m)</t>
  </si>
  <si>
    <t>En el punto AGUAS ABAJO del tramo (m)</t>
  </si>
  <si>
    <t>PENDIENTES</t>
  </si>
  <si>
    <t>S min ADMITIDO Colector (m/m)</t>
  </si>
  <si>
    <t>S
ADOPTADO colector (m/m)</t>
  </si>
  <si>
    <t>DN
ADOPTADO
(mm)</t>
  </si>
  <si>
    <t>DIÁMETRO</t>
  </si>
  <si>
    <t xml:space="preserve"> VERIFICACIÓN HIDRAULICA Y DE LAS CONDICIÓNES DE ESCURRIMIENTO</t>
  </si>
  <si>
    <t>FINAL DE PLAN</t>
  </si>
  <si>
    <t>INICIO DE PLAN</t>
  </si>
  <si>
    <t>Caudal de proyecto Qmax
 (l/s)</t>
  </si>
  <si>
    <t>Lámina Líquida 
y
 (m)</t>
  </si>
  <si>
    <t>Lámina Líquida
y/do 
(%)</t>
  </si>
  <si>
    <t>Fuerza Arraste
(Pa)</t>
  </si>
  <si>
    <t>Velocidad crítica 
Vc
(m/s)</t>
  </si>
  <si>
    <t>Velocidad (m/s)</t>
  </si>
  <si>
    <t>Caudal inicial
 Qi 
(l/s)</t>
  </si>
  <si>
    <t>Lámina Líquida  
 y         
 (m)</t>
  </si>
  <si>
    <t>ID - 
INSPECCIÓN DE AGUAS ARRIBA</t>
  </si>
  <si>
    <t>TIPO -
INSPECCIÓN DE AGUAS ARRIBA</t>
  </si>
  <si>
    <t>ID - 
 INSPECCIÓN DE AGUAS ABAJO</t>
  </si>
  <si>
    <t>TIPO -
 INSPECCIÓN DE AGUAS ABAJO</t>
  </si>
  <si>
    <t>ID - TRAMO  DE AGUAS ABAJO</t>
  </si>
  <si>
    <t>OBSERVACIONES</t>
  </si>
  <si>
    <t>Sistema de Alcantarillado - Red Basica Condominial</t>
  </si>
  <si>
    <t xml:space="preserve">CIUDAD:      </t>
  </si>
  <si>
    <t>PROYECTO :</t>
  </si>
  <si>
    <t>SUBCUENCA:</t>
  </si>
  <si>
    <t>AUTOR :</t>
  </si>
  <si>
    <t>FECHA :</t>
  </si>
  <si>
    <t>PARÁMETROS Y CRITERIOS BASICOS :</t>
  </si>
  <si>
    <t>Población y conexiones</t>
  </si>
  <si>
    <t>Pob. final de plan</t>
  </si>
  <si>
    <t>Pob. inicio de plan</t>
  </si>
  <si>
    <t>Taza de ocupación</t>
  </si>
  <si>
    <t>Cantidad de viviendas - final de plan</t>
  </si>
  <si>
    <t>Cantidad de viviendas - inicio de plan</t>
  </si>
  <si>
    <t>Cantidad de conexiones - final de plan</t>
  </si>
  <si>
    <t>Cantidad de conexiones - inicio de plan</t>
  </si>
  <si>
    <t>CAUDALES DE REFERENCIA</t>
  </si>
  <si>
    <t>Caudal de referencia del proyecto - Qe</t>
  </si>
  <si>
    <t>Caudal medio 
(l/dia)</t>
  </si>
  <si>
    <t>Caudal máx
(l/s)</t>
  </si>
  <si>
    <t xml:space="preserve">(*) Qe = Caudal equivalente a una unidad unifamiliar de referéncia </t>
  </si>
  <si>
    <t>Taza de contribución lineal</t>
  </si>
  <si>
    <t>Población
(hab)</t>
  </si>
  <si>
    <t>Extensión de la red
(m)</t>
  </si>
  <si>
    <t>Tz contr lineal 
(l/s.km)</t>
  </si>
  <si>
    <t xml:space="preserve">    Inicio de plan</t>
  </si>
  <si>
    <t xml:space="preserve">    Final de plan</t>
  </si>
  <si>
    <t>Contribuciones puntuais - Qe</t>
  </si>
  <si>
    <t>Cantidade Qe - final de plan</t>
  </si>
  <si>
    <t>Cantidade Qe - inicio de plan</t>
  </si>
  <si>
    <t>Qe - Caudal de referencia del proyeto</t>
  </si>
  <si>
    <t>Contribuciones distribuidas</t>
  </si>
  <si>
    <t>Contribuciones lineal de aguas residuales ?</t>
  </si>
  <si>
    <t>Taza de contribución lineal de AR - media (final)</t>
  </si>
  <si>
    <t>Taza de contribución lineal de AR - media (inicial)</t>
  </si>
  <si>
    <t>Parámetros - Cálculo Hidráulico</t>
  </si>
  <si>
    <t>Consumo per cápita de Agua</t>
  </si>
  <si>
    <t>Diámetros</t>
  </si>
  <si>
    <t>Pendientes mínimas</t>
  </si>
  <si>
    <t>hasta DN</t>
  </si>
  <si>
    <t>Tapada mín. (calzada)</t>
  </si>
  <si>
    <t>Tapada mín. (acera)</t>
  </si>
  <si>
    <t>Dispositivos de Inspeción y Limpieza</t>
  </si>
  <si>
    <t>Tipo preferido en el tramo inicial del colector</t>
  </si>
  <si>
    <t>Desnivel</t>
  </si>
  <si>
    <t>Desnivel máximo sin tubo de caida</t>
  </si>
  <si>
    <t>Desnivel mínimo</t>
  </si>
  <si>
    <t>Fondo de CI ou PV</t>
  </si>
  <si>
    <t>Por padrón</t>
  </si>
  <si>
    <t>Inspeción</t>
  </si>
  <si>
    <t>INICIO</t>
  </si>
  <si>
    <t>Navegación</t>
  </si>
  <si>
    <t>Limpiar hojas</t>
  </si>
  <si>
    <t>Importar datos del QGIS (csv)</t>
  </si>
  <si>
    <t>Ajustar Parámetros de diseño:</t>
  </si>
  <si>
    <t>Cargar hoja RedBasica</t>
  </si>
  <si>
    <t>Ajustar Hoja de Cálculos - hoja RedBasica</t>
  </si>
  <si>
    <t xml:space="preserve">Exportar resultados para el QGIS - Tramos (.csv) </t>
  </si>
  <si>
    <t xml:space="preserve">Exportar resultados para el QGIS - Nodos (.csv) </t>
  </si>
  <si>
    <t>Generar Impresión - Memória de Calculo de la Red Básica</t>
  </si>
  <si>
    <t xml:space="preserve">Ciudad:      </t>
  </si>
  <si>
    <t>Subcuenca:</t>
  </si>
  <si>
    <t>PARÁMETROS BÁSICOS :</t>
  </si>
  <si>
    <t>Pob. início de plan</t>
  </si>
  <si>
    <t>Consumo per capita de agua  (l/hab.dia)</t>
  </si>
  <si>
    <t>Taza de Ocupación (hab/familia)</t>
  </si>
  <si>
    <t>Taza de infiltración - Ti  (l/s.km)</t>
  </si>
  <si>
    <t>Lámina máxima (y /DN)</t>
  </si>
  <si>
    <t>Caudal mínima - Qmin  (l/s)</t>
  </si>
  <si>
    <t>Fuerza trativa mín - σ   (Pa)</t>
  </si>
  <si>
    <t>Diámetro mínimo - DN min  (mm)</t>
  </si>
  <si>
    <t>Caudales distribuidos</t>
  </si>
  <si>
    <t>Taza de contribuición lineal - final  (l/s.km)</t>
  </si>
  <si>
    <t>Taza de contribuición lineal - inicial  (l/s.km)</t>
  </si>
  <si>
    <t>Calzada  (m)</t>
  </si>
  <si>
    <t>Acera  (m)</t>
  </si>
  <si>
    <t>Pendientes mínimas admitidas</t>
  </si>
  <si>
    <t>hasta 150</t>
  </si>
  <si>
    <t>hasta 200</t>
  </si>
  <si>
    <t>desde 250</t>
  </si>
  <si>
    <t>S mín (m/m)</t>
  </si>
  <si>
    <t>Caudal
 máx
(l/s)</t>
  </si>
  <si>
    <t>Extensión</t>
  </si>
  <si>
    <t>Contribuiciónes - Identificación</t>
  </si>
  <si>
    <t>Tramos de AGUAS ARRIBAS</t>
  </si>
  <si>
    <t>Colector a atual</t>
  </si>
  <si>
    <t>Manzanas y Otros</t>
  </si>
  <si>
    <t>Ramales Condominiales y Outros</t>
  </si>
  <si>
    <t xml:space="preserve">Contribuición Equivalente
en cantidade de Unidades de Contribución de Referencia
</t>
  </si>
  <si>
    <t>Caudales</t>
  </si>
  <si>
    <t>Nivel del Terreno</t>
  </si>
  <si>
    <t>Nivel del Colector</t>
  </si>
  <si>
    <t>Nivel Intrados</t>
  </si>
  <si>
    <t>Pendientes</t>
  </si>
  <si>
    <t>Caudal de infiltración en el tramo</t>
  </si>
  <si>
    <t>CAUDAL total FINAL DE PLAN</t>
  </si>
  <si>
    <t>CAUDAL total INICIO DE PLAN</t>
  </si>
  <si>
    <t>En el punto AGUAS ARRIBA del tramo</t>
  </si>
  <si>
    <t>En el punto AGUAS ABAJO del tramo</t>
  </si>
  <si>
    <t>COLECTOR
S col</t>
  </si>
  <si>
    <t xml:space="preserve">Diámetro del Colector DN </t>
  </si>
  <si>
    <t xml:space="preserve"> Verificación Hidraulica y de las condiciónes de escurrimiento</t>
  </si>
  <si>
    <t>Final de Plan</t>
  </si>
  <si>
    <t>Inicio de Plan</t>
  </si>
  <si>
    <t>Caudal final 
Qf</t>
  </si>
  <si>
    <t>Lámina 
y/do</t>
  </si>
  <si>
    <t>Fuerza trativa
σ</t>
  </si>
  <si>
    <t>Caudal inicial 
Qi</t>
  </si>
  <si>
    <t>Lámina
y/do</t>
  </si>
  <si>
    <t xml:space="preserve">Tipo de Inspección de Aguas Arriba </t>
  </si>
  <si>
    <t xml:space="preserve">Tipo de Inspección de Aguas Abajo </t>
  </si>
  <si>
    <t>Observaciones</t>
  </si>
  <si>
    <t>NIVEL GS</t>
  </si>
  <si>
    <t>QUADRO DE CONTRIBUICIÓN</t>
  </si>
  <si>
    <t>CONTRIBUCIONES - FINAL DE PLAN</t>
  </si>
  <si>
    <t>CONTRIBUCIONES - INICIO DE PLAN</t>
  </si>
  <si>
    <t>Nº Colector e Tramo</t>
  </si>
  <si>
    <t>Tramo anterior - Colector atual
 (l/s)</t>
  </si>
  <si>
    <t>Colector m1
(l/s)</t>
  </si>
  <si>
    <t>Colector m2
(l/s)</t>
  </si>
  <si>
    <t>SUBTOTAL Trechos de Agua Arriba
(l/s)</t>
  </si>
  <si>
    <t>Ramales Condominiales y Otros 
(l/s)</t>
  </si>
  <si>
    <t>Contribución lineal em el tramo 
(l/s)</t>
  </si>
  <si>
    <t>No ponto de AGUAS ARRIBA del tramo (m)</t>
  </si>
  <si>
    <t>No ponto de AGUAS ABAJO del tramo (m)</t>
  </si>
  <si>
    <t>TRAMO ACTUAL
Id</t>
  </si>
  <si>
    <t>TRAMO Agua Abajo
Id</t>
  </si>
  <si>
    <t>Desnivel total
(m)</t>
  </si>
  <si>
    <t>Dispositivo de caída (tipo)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</si>
</sst>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0.0%"/>
    <numFmt numFmtId="196" formatCode="#,##0.00_ ;[Red]\-#,##0.00\ "/>
    <numFmt numFmtId="197" formatCode="#,##0_ ;[Red]\-#,##0\ "/>
  </numFmts>
  <fonts count="91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8" tint="-0.499984740745262"/>
      <name val="Tahoma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0"/>
      <color theme="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</fonts>
  <fills count="9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3"/>
        <bgColor indexed="64"/>
      </patternFill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60">
    <xf numFmtId="0" fontId="0" fillId="0" borderId="0" xfId="0"/>
    <xf numFmtId="0" fontId="27" fillId="0" borderId="0" xfId="81" applyFont="1" applyBorder="1" applyAlignment="1" applyProtection="1"/>
    <xf numFmtId="0" fontId="27" fillId="46" borderId="0" xfId="81" applyFont="1" applyFill="1" applyBorder="1" applyAlignment="1" applyProtection="1"/>
    <xf numFmtId="0" fontId="0" fillId="46" borderId="0" xfId="81" applyFont="1" applyFill="1" applyBorder="1" applyAlignment="1" applyProtection="1"/>
    <xf numFmtId="0" fontId="26" fillId="46" borderId="0" xfId="81" applyFont="1" applyFill="1" applyBorder="1" applyAlignment="1" applyProtection="1">
      <alignment horizontal="left"/>
    </xf>
    <xf numFmtId="0" fontId="28" fillId="46" borderId="0" xfId="81" applyFont="1" applyFill="1" applyBorder="1" applyAlignment="1" applyProtection="1"/>
    <xf numFmtId="0" fontId="27" fillId="46" borderId="0" xfId="81" applyFont="1" applyFill="1" applyBorder="1" applyAlignment="1"/>
    <xf numFmtId="0" fontId="37" fillId="46" borderId="0" xfId="81" applyFont="1" applyFill="1" applyBorder="1" applyAlignment="1" applyProtection="1">
      <alignment horizontal="center"/>
    </xf>
    <xf numFmtId="0" fontId="27" fillId="46" borderId="0" xfId="81" applyFont="1" applyFill="1" applyBorder="1" applyAlignment="1" applyProtection="1">
      <alignment horizontal="center"/>
    </xf>
    <xf numFmtId="0" fontId="28" fillId="46" borderId="0" xfId="81" applyFont="1" applyFill="1" applyBorder="1" applyAlignment="1"/>
    <xf numFmtId="0" fontId="0" fillId="46" borderId="0" xfId="0" applyFill="1"/>
    <xf numFmtId="0" fontId="27" fillId="0" borderId="0" xfId="80" applyFont="1" applyAlignment="1" applyProtection="1"/>
    <xf numFmtId="0" fontId="29" fillId="48" borderId="0" xfId="80" applyFont="1" applyFill="1" applyBorder="1" applyAlignment="1" applyProtection="1">
      <alignment horizontal="center"/>
    </xf>
    <xf numFmtId="0" fontId="29" fillId="48" borderId="0" xfId="80" applyFont="1" applyFill="1" applyBorder="1" applyAlignment="1" applyProtection="1">
      <alignment horizontal="left"/>
    </xf>
    <xf numFmtId="0" fontId="41" fillId="47" borderId="0" xfId="80" applyFill="1" applyBorder="1" applyAlignment="1"/>
    <xf numFmtId="0" fontId="27" fillId="47" borderId="0" xfId="80" applyFont="1" applyFill="1" applyBorder="1" applyAlignment="1" applyProtection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Border="1" applyAlignment="1" applyProtection="1"/>
    <xf numFmtId="4" fontId="27" fillId="0" borderId="0" xfId="80" applyNumberFormat="1" applyFont="1" applyAlignment="1" applyProtection="1"/>
    <xf numFmtId="0" fontId="26" fillId="47" borderId="14" xfId="80" quotePrefix="1" applyFont="1" applyFill="1" applyBorder="1" applyAlignment="1" applyProtection="1">
      <alignment horizontal="left" vertical="center"/>
    </xf>
    <xf numFmtId="0" fontId="29" fillId="47" borderId="14" xfId="80" applyFont="1" applyFill="1" applyBorder="1" applyAlignment="1" applyProtection="1">
      <alignment horizontal="center"/>
    </xf>
    <xf numFmtId="0" fontId="27" fillId="0" borderId="14" xfId="80" applyFont="1" applyBorder="1" applyAlignment="1" applyProtection="1"/>
    <xf numFmtId="0" fontId="49" fillId="47" borderId="14" xfId="80" applyFont="1" applyFill="1" applyBorder="1" applyAlignment="1"/>
    <xf numFmtId="0" fontId="35" fillId="47" borderId="14" xfId="80" applyFont="1" applyFill="1" applyBorder="1" applyAlignment="1" applyProtection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 applyProtection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left" vertical="center" wrapText="1"/>
    </xf>
    <xf numFmtId="166" fontId="35" fillId="0" borderId="15" xfId="80" applyNumberFormat="1" applyFont="1" applyFill="1" applyBorder="1" applyAlignment="1" applyProtection="1">
      <alignment horizontal="center" vertical="center"/>
      <protection locked="0"/>
    </xf>
    <xf numFmtId="1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center" vertical="center"/>
      <protection locked="0"/>
    </xf>
    <xf numFmtId="0" fontId="27" fillId="0" borderId="0" xfId="80" applyFont="1" applyBorder="1" applyAlignment="1" applyProtection="1"/>
    <xf numFmtId="168" fontId="35" fillId="0" borderId="16" xfId="80" applyNumberFormat="1" applyFont="1" applyFill="1" applyBorder="1" applyAlignment="1" applyProtection="1">
      <alignment horizontal="center" vertical="center"/>
      <protection locked="0"/>
    </xf>
    <xf numFmtId="175" fontId="35" fillId="0" borderId="15" xfId="98" applyNumberFormat="1" applyFont="1" applyFill="1" applyBorder="1" applyAlignment="1" applyProtection="1">
      <alignment horizontal="center" vertical="center"/>
      <protection locked="0"/>
    </xf>
    <xf numFmtId="9" fontId="35" fillId="0" borderId="15" xfId="88" applyFont="1" applyFill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 applyProtection="1"/>
    <xf numFmtId="0" fontId="29" fillId="0" borderId="0" xfId="80" applyFont="1" applyFill="1" applyBorder="1" applyAlignment="1" applyProtection="1">
      <alignment horizontal="center"/>
    </xf>
    <xf numFmtId="0" fontId="26" fillId="47" borderId="14" xfId="80" applyFont="1" applyFill="1" applyBorder="1" applyAlignment="1" applyProtection="1">
      <alignment horizontal="left" vertical="center"/>
    </xf>
    <xf numFmtId="0" fontId="34" fillId="0" borderId="24" xfId="80" applyFont="1" applyFill="1" applyBorder="1" applyAlignment="1" applyProtection="1">
      <alignment horizontal="center" wrapText="1"/>
    </xf>
    <xf numFmtId="0" fontId="31" fillId="47" borderId="0" xfId="80" applyFont="1" applyFill="1" applyBorder="1" applyAlignment="1" applyProtection="1">
      <alignment horizontal="left" vertical="center"/>
    </xf>
    <xf numFmtId="189" fontId="44" fillId="0" borderId="15" xfId="110" applyNumberFormat="1" applyFill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 applyProtection="1"/>
    <xf numFmtId="0" fontId="33" fillId="50" borderId="0" xfId="81" applyFont="1" applyFill="1" applyBorder="1" applyAlignment="1" applyProtection="1"/>
    <xf numFmtId="0" fontId="27" fillId="51" borderId="0" xfId="81" applyFont="1" applyFill="1" applyBorder="1" applyAlignment="1" applyProtection="1"/>
    <xf numFmtId="0" fontId="27" fillId="50" borderId="0" xfId="81" applyFont="1" applyFill="1" applyBorder="1" applyAlignment="1" applyProtection="1"/>
    <xf numFmtId="2" fontId="34" fillId="52" borderId="0" xfId="81" applyNumberFormat="1" applyFont="1" applyFill="1" applyBorder="1" applyAlignment="1" applyProtection="1">
      <alignment horizontal="center" vertical="center"/>
    </xf>
    <xf numFmtId="0" fontId="35" fillId="0" borderId="15" xfId="80" applyFont="1" applyFill="1" applyBorder="1" applyAlignment="1" applyProtection="1">
      <alignment horizontal="center" vertical="center" wrapText="1"/>
    </xf>
    <xf numFmtId="0" fontId="58" fillId="50" borderId="0" xfId="81" applyFont="1" applyFill="1" applyBorder="1" applyAlignment="1" applyProtection="1">
      <alignment vertical="center"/>
    </xf>
    <xf numFmtId="0" fontId="61" fillId="0" borderId="15" xfId="80" applyFont="1" applyFill="1" applyBorder="1" applyAlignment="1" applyProtection="1">
      <alignment horizontal="center" vertical="center" wrapText="1"/>
    </xf>
    <xf numFmtId="174" fontId="32" fillId="47" borderId="26" xfId="80" applyNumberFormat="1" applyFont="1" applyFill="1" applyBorder="1" applyAlignment="1" applyProtection="1">
      <alignment horizontal="left"/>
    </xf>
    <xf numFmtId="0" fontId="39" fillId="0" borderId="15" xfId="80" applyFont="1" applyFill="1" applyBorder="1" applyAlignment="1" applyProtection="1">
      <alignment horizontal="center" vertical="center" wrapText="1"/>
    </xf>
    <xf numFmtId="0" fontId="26" fillId="50" borderId="0" xfId="81" applyFont="1" applyFill="1" applyBorder="1" applyAlignment="1" applyProtection="1">
      <alignment horizontal="left"/>
    </xf>
    <xf numFmtId="0" fontId="0" fillId="51" borderId="0" xfId="0" applyFill="1"/>
    <xf numFmtId="0" fontId="63" fillId="51" borderId="0" xfId="80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 applyProtection="1"/>
    <xf numFmtId="0" fontId="28" fillId="50" borderId="0" xfId="81" applyFont="1" applyFill="1" applyBorder="1" applyAlignment="1" applyProtection="1"/>
    <xf numFmtId="0" fontId="28" fillId="51" borderId="0" xfId="81" applyFont="1" applyFill="1" applyBorder="1" applyAlignment="1" applyProtection="1"/>
    <xf numFmtId="190" fontId="29" fillId="45" borderId="0" xfId="81" applyNumberFormat="1" applyFont="1" applyFill="1" applyBorder="1" applyAlignment="1" applyProtection="1">
      <alignment horizontal="left"/>
    </xf>
    <xf numFmtId="190" fontId="27" fillId="51" borderId="0" xfId="81" applyNumberFormat="1" applyFont="1" applyFill="1" applyBorder="1" applyAlignment="1" applyProtection="1"/>
    <xf numFmtId="0" fontId="0" fillId="50" borderId="0" xfId="81" applyFont="1" applyFill="1" applyBorder="1" applyAlignment="1" applyProtection="1">
      <alignment vertical="center"/>
    </xf>
    <xf numFmtId="0" fontId="0" fillId="0" borderId="15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6" fillId="0" borderId="17" xfId="0" applyFont="1" applyFill="1" applyBorder="1" applyAlignment="1">
      <alignment horizontal="center" vertical="center"/>
    </xf>
    <xf numFmtId="0" fontId="0" fillId="46" borderId="0" xfId="81" applyFont="1" applyFill="1" applyBorder="1" applyAlignment="1" applyProtection="1">
      <alignment vertical="center"/>
    </xf>
    <xf numFmtId="1" fontId="34" fillId="0" borderId="15" xfId="81" applyNumberFormat="1" applyFont="1" applyFill="1" applyBorder="1" applyAlignment="1" applyProtection="1">
      <alignment horizontal="center"/>
      <protection hidden="1"/>
    </xf>
    <xf numFmtId="184" fontId="34" fillId="0" borderId="15" xfId="99" applyNumberFormat="1" applyFont="1" applyFill="1" applyBorder="1" applyAlignment="1" applyProtection="1">
      <alignment horizontal="right"/>
      <protection hidden="1"/>
    </xf>
    <xf numFmtId="167" fontId="34" fillId="0" borderId="15" xfId="81" applyNumberFormat="1" applyFont="1" applyFill="1" applyBorder="1" applyAlignment="1" applyProtection="1">
      <protection hidden="1"/>
    </xf>
    <xf numFmtId="40" fontId="34" fillId="52" borderId="15" xfId="99" applyNumberFormat="1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right"/>
      <protection hidden="1"/>
    </xf>
    <xf numFmtId="170" fontId="34" fillId="0" borderId="15" xfId="99" applyNumberFormat="1" applyFont="1" applyFill="1" applyBorder="1" applyAlignment="1" applyProtection="1">
      <alignment horizontal="right"/>
      <protection hidden="1"/>
    </xf>
    <xf numFmtId="170" fontId="50" fillId="0" borderId="15" xfId="99" applyNumberFormat="1" applyFont="1" applyFill="1" applyBorder="1" applyAlignment="1" applyProtection="1">
      <alignment horizontal="right"/>
      <protection hidden="1"/>
    </xf>
    <xf numFmtId="188" fontId="34" fillId="0" borderId="15" xfId="99" applyNumberFormat="1" applyFont="1" applyFill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Fill="1" applyBorder="1" applyAlignment="1" applyProtection="1">
      <alignment horizontal="right"/>
      <protection hidden="1"/>
    </xf>
    <xf numFmtId="4" fontId="35" fillId="0" borderId="15" xfId="80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Protection="1">
      <protection hidden="1"/>
    </xf>
    <xf numFmtId="170" fontId="35" fillId="0" borderId="15" xfId="98" applyNumberFormat="1" applyFont="1" applyFill="1" applyBorder="1" applyAlignment="1" applyProtection="1">
      <alignment horizontal="right"/>
      <protection hidden="1"/>
    </xf>
    <xf numFmtId="1" fontId="35" fillId="0" borderId="15" xfId="80" applyNumberFormat="1" applyFont="1" applyFill="1" applyBorder="1" applyAlignment="1" applyProtection="1">
      <protection hidden="1"/>
    </xf>
    <xf numFmtId="9" fontId="35" fillId="0" borderId="15" xfId="88" applyNumberFormat="1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Fill="1" applyBorder="1" applyAlignment="1" applyProtection="1">
      <alignment horizontal="center"/>
      <protection hidden="1"/>
    </xf>
    <xf numFmtId="4" fontId="34" fillId="0" borderId="15" xfId="81" applyNumberFormat="1" applyFont="1" applyFill="1" applyBorder="1" applyAlignment="1" applyProtection="1">
      <protection hidden="1"/>
    </xf>
    <xf numFmtId="4" fontId="34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50" borderId="0" xfId="81" applyFont="1" applyFill="1" applyBorder="1" applyAlignment="1" applyProtection="1">
      <alignment horizontal="center" vertical="center"/>
    </xf>
    <xf numFmtId="0" fontId="27" fillId="50" borderId="25" xfId="81" applyFont="1" applyFill="1" applyBorder="1" applyAlignment="1" applyProtection="1"/>
    <xf numFmtId="0" fontId="42" fillId="50" borderId="0" xfId="81" applyFont="1" applyFill="1" applyBorder="1" applyAlignment="1" applyProtection="1">
      <alignment horizontal="center"/>
      <protection hidden="1"/>
    </xf>
    <xf numFmtId="40" fontId="34" fillId="51" borderId="15" xfId="99" applyNumberFormat="1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Border="1" applyAlignment="1" applyProtection="1">
      <alignment horizontal="center"/>
      <protection locked="0"/>
    </xf>
    <xf numFmtId="0" fontId="0" fillId="51" borderId="0" xfId="0" applyFill="1" applyBorder="1"/>
    <xf numFmtId="0" fontId="27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4" fillId="51" borderId="0" xfId="78" applyFont="1" applyFill="1"/>
    <xf numFmtId="0" fontId="6" fillId="51" borderId="0" xfId="78" applyFill="1"/>
    <xf numFmtId="0" fontId="27" fillId="0" borderId="0" xfId="80" applyFont="1" applyBorder="1" applyAlignment="1" applyProtection="1">
      <protection hidden="1"/>
    </xf>
    <xf numFmtId="173" fontId="27" fillId="0" borderId="0" xfId="80" applyNumberFormat="1" applyFont="1" applyBorder="1" applyAlignment="1" applyProtection="1">
      <protection hidden="1"/>
    </xf>
    <xf numFmtId="4" fontId="27" fillId="0" borderId="0" xfId="80" applyNumberFormat="1" applyFont="1" applyBorder="1" applyAlignment="1" applyProtection="1">
      <protection hidden="1"/>
    </xf>
    <xf numFmtId="0" fontId="0" fillId="0" borderId="0" xfId="0" applyBorder="1" applyProtection="1">
      <protection hidden="1"/>
    </xf>
    <xf numFmtId="1" fontId="40" fillId="0" borderId="0" xfId="0" applyNumberFormat="1" applyFont="1" applyFill="1" applyBorder="1" applyAlignment="1" applyProtection="1">
      <alignment horizontal="right" vertical="center"/>
      <protection hidden="1"/>
    </xf>
    <xf numFmtId="2" fontId="27" fillId="0" borderId="0" xfId="0" applyNumberFormat="1" applyFont="1" applyFill="1" applyBorder="1" applyAlignment="1" applyProtection="1">
      <alignment horizontal="center"/>
      <protection hidden="1"/>
    </xf>
    <xf numFmtId="1" fontId="27" fillId="0" borderId="0" xfId="0" applyNumberFormat="1" applyFont="1" applyFill="1" applyBorder="1" applyAlignment="1" applyProtection="1">
      <alignment horizontal="center"/>
      <protection hidden="1"/>
    </xf>
    <xf numFmtId="168" fontId="27" fillId="0" borderId="0" xfId="0" applyNumberFormat="1" applyFont="1" applyFill="1" applyBorder="1" applyAlignment="1" applyProtection="1">
      <alignment horizontal="center"/>
      <protection hidden="1"/>
    </xf>
    <xf numFmtId="0" fontId="27" fillId="0" borderId="0" xfId="0" applyFont="1" applyFill="1" applyBorder="1" applyProtection="1">
      <protection hidden="1"/>
    </xf>
    <xf numFmtId="182" fontId="27" fillId="0" borderId="0" xfId="110" applyNumberFormat="1" applyFont="1" applyFill="1" applyBorder="1" applyAlignment="1" applyProtection="1">
      <alignment horizontal="right"/>
      <protection hidden="1"/>
    </xf>
    <xf numFmtId="173" fontId="27" fillId="0" borderId="0" xfId="86" applyNumberFormat="1" applyFont="1" applyFill="1" applyBorder="1" applyAlignment="1" applyProtection="1">
      <alignment horizontal="center"/>
      <protection hidden="1"/>
    </xf>
    <xf numFmtId="40" fontId="27" fillId="0" borderId="0" xfId="99" applyNumberFormat="1" applyFont="1" applyFill="1" applyBorder="1" applyAlignment="1" applyProtection="1">
      <alignment horizontal="right"/>
      <protection hidden="1"/>
    </xf>
    <xf numFmtId="1" fontId="56" fillId="52" borderId="0" xfId="81" applyNumberFormat="1" applyFont="1" applyFill="1" applyBorder="1" applyAlignment="1" applyProtection="1">
      <alignment horizontal="center" vertical="center"/>
    </xf>
    <xf numFmtId="0" fontId="27" fillId="51" borderId="25" xfId="81" applyFont="1" applyFill="1" applyBorder="1" applyAlignment="1" applyProtection="1">
      <alignment vertical="center"/>
    </xf>
    <xf numFmtId="0" fontId="27" fillId="51" borderId="0" xfId="81" applyFont="1" applyFill="1" applyBorder="1" applyAlignment="1" applyProtection="1">
      <alignment vertical="center"/>
    </xf>
    <xf numFmtId="0" fontId="27" fillId="51" borderId="23" xfId="81" applyFont="1" applyFill="1" applyBorder="1" applyAlignment="1" applyProtection="1">
      <alignment vertical="center"/>
    </xf>
    <xf numFmtId="0" fontId="27" fillId="51" borderId="25" xfId="81" applyFont="1" applyFill="1" applyBorder="1" applyAlignment="1" applyProtection="1"/>
    <xf numFmtId="0" fontId="27" fillId="51" borderId="24" xfId="81" applyFont="1" applyFill="1" applyBorder="1" applyAlignment="1" applyProtection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187" fontId="44" fillId="51" borderId="0" xfId="82" applyNumberFormat="1" applyFont="1" applyFill="1" applyBorder="1" applyAlignment="1" applyProtection="1">
      <alignment horizontal="right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Border="1" applyAlignment="1" applyProtection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Border="1" applyAlignment="1" applyProtection="1">
      <alignment vertical="center" wrapText="1"/>
    </xf>
    <xf numFmtId="0" fontId="27" fillId="50" borderId="24" xfId="81" applyFont="1" applyFill="1" applyBorder="1" applyAlignment="1" applyProtection="1">
      <alignment vertical="center"/>
    </xf>
    <xf numFmtId="0" fontId="67" fillId="62" borderId="30" xfId="82" applyFont="1" applyFill="1" applyBorder="1" applyAlignment="1" applyProtection="1">
      <alignment horizontal="left" vertical="center" wrapText="1"/>
    </xf>
    <xf numFmtId="0" fontId="68" fillId="62" borderId="29" xfId="81" applyFont="1" applyFill="1" applyBorder="1" applyAlignment="1" applyProtection="1"/>
    <xf numFmtId="0" fontId="68" fillId="65" borderId="29" xfId="81" applyFont="1" applyFill="1" applyBorder="1" applyAlignment="1" applyProtection="1">
      <alignment horizontal="left" vertical="center"/>
    </xf>
    <xf numFmtId="0" fontId="26" fillId="51" borderId="24" xfId="0" applyFont="1" applyFill="1" applyBorder="1" applyAlignment="1">
      <alignment horizontal="left"/>
    </xf>
    <xf numFmtId="171" fontId="26" fillId="51" borderId="25" xfId="82" applyNumberFormat="1" applyFont="1" applyFill="1" applyBorder="1" applyAlignment="1" applyProtection="1">
      <alignment horizontal="center" vertical="center"/>
    </xf>
    <xf numFmtId="0" fontId="0" fillId="51" borderId="0" xfId="0" applyFill="1" applyAlignment="1">
      <alignment vertical="center"/>
    </xf>
    <xf numFmtId="0" fontId="57" fillId="50" borderId="0" xfId="81" applyFont="1" applyFill="1" applyBorder="1" applyAlignment="1" applyProtection="1">
      <alignment vertical="center"/>
    </xf>
    <xf numFmtId="0" fontId="59" fillId="50" borderId="0" xfId="81" applyFont="1" applyFill="1" applyBorder="1" applyAlignment="1" applyProtection="1">
      <alignment vertical="center"/>
    </xf>
    <xf numFmtId="0" fontId="26" fillId="46" borderId="0" xfId="81" applyFont="1" applyFill="1" applyBorder="1" applyAlignment="1" applyProtection="1">
      <alignment vertical="center"/>
    </xf>
    <xf numFmtId="0" fontId="27" fillId="46" borderId="0" xfId="81" applyFont="1" applyFill="1" applyBorder="1" applyAlignment="1" applyProtection="1">
      <alignment vertical="center"/>
    </xf>
    <xf numFmtId="169" fontId="34" fillId="0" borderId="20" xfId="99" applyNumberFormat="1" applyFont="1" applyFill="1" applyBorder="1" applyAlignment="1" applyProtection="1">
      <alignment horizontal="center" vertical="center"/>
    </xf>
    <xf numFmtId="40" fontId="35" fillId="0" borderId="15" xfId="98" applyNumberFormat="1" applyFont="1" applyFill="1" applyBorder="1" applyAlignment="1" applyProtection="1">
      <alignment horizontal="left"/>
      <protection hidden="1"/>
    </xf>
    <xf numFmtId="0" fontId="0" fillId="50" borderId="23" xfId="81" applyFont="1" applyFill="1" applyBorder="1" applyAlignment="1" applyProtection="1">
      <alignment vertical="center" wrapText="1"/>
    </xf>
    <xf numFmtId="0" fontId="0" fillId="50" borderId="26" xfId="81" applyFont="1" applyFill="1" applyBorder="1" applyAlignment="1" applyProtection="1">
      <alignment vertical="center" wrapText="1"/>
    </xf>
    <xf numFmtId="0" fontId="0" fillId="50" borderId="27" xfId="81" applyFont="1" applyFill="1" applyBorder="1" applyAlignment="1" applyProtection="1">
      <alignment vertical="center" wrapText="1"/>
    </xf>
    <xf numFmtId="1" fontId="34" fillId="64" borderId="15" xfId="81" applyNumberFormat="1" applyFont="1" applyFill="1" applyBorder="1" applyAlignment="1" applyProtection="1">
      <alignment horizontal="center"/>
      <protection hidden="1"/>
    </xf>
    <xf numFmtId="0" fontId="54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Border="1" applyAlignment="1" applyProtection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Border="1" applyAlignment="1" applyProtection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6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2" fillId="68" borderId="0" xfId="81" applyFont="1" applyFill="1" applyBorder="1" applyAlignment="1" applyProtection="1">
      <alignment wrapText="1"/>
    </xf>
    <xf numFmtId="171" fontId="34" fillId="51" borderId="15" xfId="81" applyNumberFormat="1" applyFont="1" applyFill="1" applyBorder="1" applyAlignment="1" applyProtection="1">
      <protection hidden="1"/>
    </xf>
    <xf numFmtId="181" fontId="44" fillId="50" borderId="0" xfId="81" applyNumberFormat="1" applyFont="1" applyFill="1" applyBorder="1" applyAlignment="1" applyProtection="1">
      <alignment horizontal="center" vertical="center"/>
    </xf>
    <xf numFmtId="0" fontId="27" fillId="51" borderId="0" xfId="80" applyFont="1" applyFill="1" applyBorder="1" applyAlignment="1" applyProtection="1">
      <protection locked="0"/>
    </xf>
    <xf numFmtId="0" fontId="27" fillId="51" borderId="0" xfId="80" applyFont="1" applyFill="1" applyBorder="1" applyAlignment="1" applyProtection="1"/>
    <xf numFmtId="37" fontId="60" fillId="51" borderId="0" xfId="81" applyNumberFormat="1" applyFont="1" applyFill="1" applyBorder="1" applyAlignment="1" applyProtection="1">
      <alignment horizontal="center" vertical="center"/>
    </xf>
    <xf numFmtId="181" fontId="0" fillId="50" borderId="0" xfId="81" applyNumberFormat="1" applyFont="1" applyFill="1" applyBorder="1" applyAlignment="1" applyProtection="1">
      <alignment horizontal="center" vertical="center"/>
    </xf>
    <xf numFmtId="3" fontId="26" fillId="51" borderId="0" xfId="82" applyNumberFormat="1" applyFont="1" applyFill="1" applyBorder="1" applyAlignment="1">
      <alignment horizontal="center" vertical="center"/>
    </xf>
    <xf numFmtId="2" fontId="34" fillId="64" borderId="0" xfId="81" applyNumberFormat="1" applyFont="1" applyFill="1" applyBorder="1" applyAlignment="1" applyProtection="1">
      <alignment horizontal="center" vertical="center"/>
    </xf>
    <xf numFmtId="3" fontId="34" fillId="64" borderId="0" xfId="81" applyNumberFormat="1" applyFont="1" applyFill="1" applyBorder="1" applyAlignment="1" applyProtection="1">
      <alignment horizontal="center" vertical="center"/>
    </xf>
    <xf numFmtId="9" fontId="34" fillId="52" borderId="0" xfId="86" applyFont="1" applyFill="1" applyBorder="1" applyAlignment="1" applyProtection="1">
      <alignment horizontal="center" vertical="center"/>
    </xf>
    <xf numFmtId="0" fontId="38" fillId="50" borderId="0" xfId="81" applyFont="1" applyFill="1" applyBorder="1" applyAlignment="1" applyProtection="1">
      <alignment horizontal="center" vertical="center"/>
    </xf>
    <xf numFmtId="0" fontId="34" fillId="51" borderId="0" xfId="81" applyFont="1" applyFill="1" applyBorder="1" applyAlignment="1" applyProtection="1"/>
    <xf numFmtId="0" fontId="34" fillId="52" borderId="0" xfId="81" applyFont="1" applyFill="1" applyBorder="1" applyAlignment="1" applyProtection="1">
      <alignment horizontal="center" vertical="center"/>
    </xf>
    <xf numFmtId="2" fontId="34" fillId="52" borderId="0" xfId="81" applyNumberFormat="1" applyFont="1" applyFill="1" applyBorder="1" applyAlignment="1" applyProtection="1">
      <alignment horizontal="center"/>
    </xf>
    <xf numFmtId="0" fontId="34" fillId="0" borderId="0" xfId="0" applyFont="1" applyAlignment="1">
      <alignment vertical="center"/>
    </xf>
    <xf numFmtId="171" fontId="34" fillId="64" borderId="0" xfId="81" applyNumberFormat="1" applyFont="1" applyFill="1" applyBorder="1" applyAlignment="1" applyProtection="1">
      <alignment horizontal="center" vertical="center"/>
    </xf>
    <xf numFmtId="173" fontId="69" fillId="64" borderId="0" xfId="86" applyNumberFormat="1" applyFont="1" applyFill="1" applyBorder="1" applyAlignment="1" applyProtection="1">
      <alignment horizontal="center" vertical="center"/>
    </xf>
    <xf numFmtId="3" fontId="34" fillId="64" borderId="0" xfId="81" applyNumberFormat="1" applyFont="1" applyFill="1" applyBorder="1" applyAlignment="1" applyProtection="1">
      <alignment horizontal="center"/>
    </xf>
    <xf numFmtId="9" fontId="34" fillId="64" borderId="0" xfId="86" applyFont="1" applyFill="1" applyBorder="1" applyAlignment="1" applyProtection="1">
      <alignment horizontal="center" vertical="center"/>
    </xf>
    <xf numFmtId="9" fontId="34" fillId="46" borderId="22" xfId="86" applyNumberFormat="1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4" fillId="69" borderId="0" xfId="0" applyFont="1" applyFill="1" applyBorder="1"/>
    <xf numFmtId="0" fontId="75" fillId="69" borderId="0" xfId="0" applyFont="1" applyFill="1" applyBorder="1" applyAlignment="1">
      <alignment vertical="center"/>
    </xf>
    <xf numFmtId="0" fontId="6" fillId="70" borderId="0" xfId="0" applyFont="1" applyFill="1" applyBorder="1"/>
    <xf numFmtId="0" fontId="6" fillId="71" borderId="0" xfId="0" applyFont="1" applyFill="1" applyBorder="1"/>
    <xf numFmtId="0" fontId="6" fillId="70" borderId="0" xfId="0" applyFont="1" applyFill="1" applyBorder="1" applyAlignment="1">
      <alignment vertical="center"/>
    </xf>
    <xf numFmtId="0" fontId="73" fillId="70" borderId="0" xfId="0" applyFont="1" applyFill="1" applyBorder="1" applyAlignment="1">
      <alignment vertical="center"/>
    </xf>
    <xf numFmtId="0" fontId="6" fillId="70" borderId="0" xfId="0" applyFont="1" applyFill="1" applyBorder="1" applyAlignment="1">
      <alignment horizontal="center" vertical="center"/>
    </xf>
    <xf numFmtId="0" fontId="6" fillId="71" borderId="0" xfId="0" applyFont="1" applyFill="1" applyBorder="1" applyAlignment="1">
      <alignment vertical="center"/>
    </xf>
    <xf numFmtId="0" fontId="6" fillId="70" borderId="0" xfId="0" applyFont="1" applyFill="1" applyBorder="1" applyAlignment="1">
      <alignment horizontal="center"/>
    </xf>
    <xf numFmtId="0" fontId="76" fillId="70" borderId="0" xfId="0" applyFont="1" applyFill="1" applyBorder="1" applyAlignment="1">
      <alignment horizontal="left" vertical="center"/>
    </xf>
    <xf numFmtId="0" fontId="54" fillId="70" borderId="0" xfId="0" applyFont="1" applyFill="1" applyBorder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2" borderId="0" xfId="0" applyFont="1" applyFill="1" applyBorder="1"/>
    <xf numFmtId="0" fontId="38" fillId="59" borderId="35" xfId="81" applyFont="1" applyFill="1" applyBorder="1" applyAlignment="1" applyProtection="1">
      <alignment horizontal="center" vertical="center" wrapText="1"/>
    </xf>
    <xf numFmtId="0" fontId="38" fillId="56" borderId="51" xfId="81" applyFont="1" applyFill="1" applyBorder="1" applyAlignment="1" applyProtection="1">
      <alignment horizontal="center" vertical="center" wrapText="1"/>
    </xf>
    <xf numFmtId="0" fontId="78" fillId="46" borderId="0" xfId="81" applyFont="1" applyFill="1" applyBorder="1" applyAlignment="1" applyProtection="1">
      <alignment horizontal="center" vertical="center"/>
    </xf>
    <xf numFmtId="4" fontId="0" fillId="0" borderId="0" xfId="0" applyNumberFormat="1"/>
    <xf numFmtId="1" fontId="69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9" fillId="0" borderId="0" xfId="0" applyNumberFormat="1" applyFont="1" applyFill="1"/>
    <xf numFmtId="2" fontId="59" fillId="0" borderId="0" xfId="0" applyNumberFormat="1" applyFont="1" applyFill="1"/>
    <xf numFmtId="2" fontId="59" fillId="0" borderId="0" xfId="0" applyNumberFormat="1" applyFont="1" applyFill="1" applyAlignment="1">
      <alignment vertical="center"/>
    </xf>
    <xf numFmtId="2" fontId="1" fillId="0" borderId="0" xfId="0" applyNumberFormat="1" applyFont="1" applyFill="1" applyAlignment="1">
      <alignment vertical="center"/>
    </xf>
    <xf numFmtId="1" fontId="59" fillId="0" borderId="0" xfId="0" applyNumberFormat="1" applyFont="1" applyFill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NumberFormat="1"/>
    <xf numFmtId="49" fontId="29" fillId="45" borderId="0" xfId="81" applyNumberFormat="1" applyFont="1" applyFill="1" applyBorder="1" applyAlignment="1" applyProtection="1">
      <alignment horizontal="left"/>
    </xf>
    <xf numFmtId="49" fontId="0" fillId="50" borderId="0" xfId="81" applyNumberFormat="1" applyFont="1" applyFill="1" applyBorder="1" applyAlignment="1" applyProtection="1">
      <alignment horizontal="left"/>
    </xf>
    <xf numFmtId="49" fontId="63" fillId="51" borderId="0" xfId="80" applyNumberFormat="1" applyFont="1" applyFill="1" applyBorder="1" applyAlignment="1" applyProtection="1">
      <alignment horizontal="left" vertical="center"/>
    </xf>
    <xf numFmtId="49" fontId="27" fillId="51" borderId="0" xfId="80" applyNumberFormat="1" applyFont="1" applyFill="1" applyAlignment="1" applyProtection="1"/>
    <xf numFmtId="49" fontId="70" fillId="51" borderId="0" xfId="80" applyNumberFormat="1" applyFont="1" applyFill="1" applyBorder="1" applyAlignment="1" applyProtection="1">
      <alignment horizontal="left" vertical="center"/>
    </xf>
    <xf numFmtId="49" fontId="36" fillId="46" borderId="0" xfId="81" applyNumberFormat="1" applyFont="1" applyFill="1" applyBorder="1" applyAlignment="1" applyProtection="1">
      <alignment horizontal="center"/>
    </xf>
    <xf numFmtId="49" fontId="27" fillId="51" borderId="0" xfId="81" applyNumberFormat="1" applyFont="1" applyFill="1" applyBorder="1" applyAlignment="1" applyProtection="1"/>
    <xf numFmtId="0" fontId="79" fillId="0" borderId="0" xfId="0" applyFont="1"/>
    <xf numFmtId="0" fontId="59" fillId="0" borderId="0" xfId="0" applyFont="1"/>
    <xf numFmtId="49" fontId="31" fillId="47" borderId="0" xfId="80" applyNumberFormat="1" applyFont="1" applyFill="1" applyBorder="1" applyAlignment="1" applyProtection="1">
      <alignment horizontal="left" vertical="center"/>
    </xf>
    <xf numFmtId="1" fontId="0" fillId="0" borderId="0" xfId="0" applyNumberFormat="1"/>
    <xf numFmtId="0" fontId="27" fillId="68" borderId="0" xfId="81" applyFont="1" applyFill="1" applyBorder="1" applyAlignment="1" applyProtection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38" fillId="61" borderId="27" xfId="81" applyFont="1" applyFill="1" applyBorder="1" applyAlignment="1" applyProtection="1">
      <alignment horizontal="center" vertical="center" wrapText="1"/>
    </xf>
    <xf numFmtId="0" fontId="27" fillId="74" borderId="17" xfId="81" applyFont="1" applyFill="1" applyBorder="1" applyAlignment="1" applyProtection="1"/>
    <xf numFmtId="0" fontId="27" fillId="74" borderId="18" xfId="81" applyFont="1" applyFill="1" applyBorder="1" applyAlignment="1" applyProtection="1"/>
    <xf numFmtId="0" fontId="27" fillId="74" borderId="16" xfId="81" applyFont="1" applyFill="1" applyBorder="1" applyAlignment="1" applyProtection="1">
      <alignment horizontal="center" vertical="center"/>
    </xf>
    <xf numFmtId="190" fontId="38" fillId="61" borderId="47" xfId="81" applyNumberFormat="1" applyFont="1" applyFill="1" applyBorder="1" applyAlignment="1" applyProtection="1">
      <alignment horizontal="center" vertical="center" wrapText="1"/>
    </xf>
    <xf numFmtId="190" fontId="38" fillId="76" borderId="47" xfId="81" applyNumberFormat="1" applyFont="1" applyFill="1" applyBorder="1" applyAlignment="1" applyProtection="1">
      <alignment horizontal="center" vertical="center" wrapText="1"/>
    </xf>
    <xf numFmtId="1" fontId="69" fillId="0" borderId="15" xfId="81" applyNumberFormat="1" applyFont="1" applyFill="1" applyBorder="1" applyAlignment="1" applyProtection="1">
      <alignment horizontal="center"/>
      <protection hidden="1"/>
    </xf>
    <xf numFmtId="190" fontId="34" fillId="0" borderId="15" xfId="81" applyNumberFormat="1" applyFont="1" applyFill="1" applyBorder="1" applyAlignment="1" applyProtection="1">
      <alignment horizontal="center"/>
      <protection hidden="1"/>
    </xf>
    <xf numFmtId="0" fontId="34" fillId="0" borderId="15" xfId="81" applyNumberFormat="1" applyFont="1" applyFill="1" applyBorder="1" applyAlignment="1" applyProtection="1">
      <alignment horizontal="center"/>
      <protection hidden="1"/>
    </xf>
    <xf numFmtId="2" fontId="69" fillId="0" borderId="15" xfId="81" applyNumberFormat="1" applyFont="1" applyFill="1" applyBorder="1" applyAlignment="1" applyProtection="1">
      <protection hidden="1"/>
    </xf>
    <xf numFmtId="2" fontId="29" fillId="48" borderId="0" xfId="80" applyNumberFormat="1" applyFont="1" applyFill="1" applyBorder="1" applyAlignment="1" applyProtection="1">
      <alignment horizontal="center"/>
    </xf>
    <xf numFmtId="2" fontId="0" fillId="50" borderId="0" xfId="81" applyNumberFormat="1" applyFont="1" applyFill="1" applyBorder="1" applyAlignment="1" applyProtection="1"/>
    <xf numFmtId="2" fontId="27" fillId="51" borderId="0" xfId="80" applyNumberFormat="1" applyFont="1" applyFill="1" applyBorder="1" applyAlignment="1" applyProtection="1">
      <protection locked="0"/>
    </xf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 applyBorder="1" applyAlignment="1" applyProtection="1"/>
    <xf numFmtId="167" fontId="35" fillId="0" borderId="15" xfId="80" applyNumberFormat="1" applyFont="1" applyFill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8" borderId="0" xfId="81" applyFont="1" applyFill="1" applyBorder="1" applyAlignment="1" applyProtection="1">
      <alignment horizontal="center"/>
    </xf>
    <xf numFmtId="0" fontId="27" fillId="68" borderId="0" xfId="81" applyFont="1" applyFill="1" applyBorder="1" applyAlignment="1">
      <alignment horizontal="center"/>
    </xf>
    <xf numFmtId="0" fontId="0" fillId="68" borderId="0" xfId="0" applyFill="1"/>
    <xf numFmtId="0" fontId="27" fillId="79" borderId="24" xfId="80" applyFont="1" applyFill="1" applyBorder="1" applyAlignment="1" applyProtection="1"/>
    <xf numFmtId="166" fontId="39" fillId="79" borderId="0" xfId="82" applyNumberFormat="1" applyFont="1" applyFill="1" applyBorder="1" applyAlignment="1" applyProtection="1">
      <alignment horizontal="right" vertical="center"/>
    </xf>
    <xf numFmtId="191" fontId="39" fillId="79" borderId="0" xfId="82" applyNumberFormat="1" applyFont="1" applyFill="1" applyBorder="1" applyAlignment="1" applyProtection="1">
      <alignment horizontal="center" vertical="center"/>
    </xf>
    <xf numFmtId="185" fontId="39" fillId="79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 applyProtection="1"/>
    <xf numFmtId="0" fontId="80" fillId="53" borderId="24" xfId="80" applyFont="1" applyFill="1" applyBorder="1" applyAlignment="1" applyProtection="1"/>
    <xf numFmtId="0" fontId="80" fillId="53" borderId="0" xfId="80" applyFont="1" applyFill="1" applyBorder="1" applyAlignment="1" applyProtection="1">
      <protection locked="0"/>
    </xf>
    <xf numFmtId="0" fontId="71" fillId="74" borderId="28" xfId="81" applyFont="1" applyFill="1" applyBorder="1" applyAlignment="1" applyProtection="1">
      <alignment horizontal="left" vertical="center"/>
    </xf>
    <xf numFmtId="0" fontId="72" fillId="80" borderId="29" xfId="81" applyFont="1" applyFill="1" applyBorder="1" applyAlignment="1" applyProtection="1"/>
    <xf numFmtId="0" fontId="72" fillId="80" borderId="30" xfId="82" applyFont="1" applyFill="1" applyBorder="1" applyAlignment="1" applyProtection="1">
      <alignment horizontal="left" vertical="center" wrapText="1"/>
    </xf>
    <xf numFmtId="0" fontId="72" fillId="74" borderId="29" xfId="81" applyFont="1" applyFill="1" applyBorder="1" applyAlignment="1" applyProtection="1">
      <alignment horizontal="left" vertical="center"/>
    </xf>
    <xf numFmtId="0" fontId="72" fillId="80" borderId="30" xfId="81" applyFont="1" applyFill="1" applyBorder="1" applyAlignment="1" applyProtection="1"/>
    <xf numFmtId="187" fontId="39" fillId="53" borderId="0" xfId="82" applyNumberFormat="1" applyFont="1" applyFill="1" applyBorder="1" applyAlignment="1" applyProtection="1">
      <alignment horizontal="center" vertical="center"/>
    </xf>
    <xf numFmtId="0" fontId="38" fillId="53" borderId="0" xfId="82" applyFont="1" applyFill="1" applyBorder="1" applyAlignment="1" applyProtection="1">
      <alignment horizontal="center" vertical="center" wrapText="1"/>
    </xf>
    <xf numFmtId="187" fontId="38" fillId="53" borderId="0" xfId="82" applyNumberFormat="1" applyFont="1" applyFill="1" applyBorder="1" applyAlignment="1" applyProtection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8" borderId="0" xfId="80" applyFill="1" applyAlignment="1"/>
    <xf numFmtId="0" fontId="61" fillId="66" borderId="15" xfId="80" applyFont="1" applyFill="1" applyBorder="1" applyAlignment="1" applyProtection="1">
      <alignment horizontal="center" vertical="center" wrapText="1"/>
    </xf>
    <xf numFmtId="0" fontId="0" fillId="51" borderId="0" xfId="0" applyFont="1" applyFill="1"/>
    <xf numFmtId="3" fontId="34" fillId="52" borderId="0" xfId="81" applyNumberFormat="1" applyFont="1" applyFill="1" applyBorder="1" applyAlignment="1" applyProtection="1">
      <alignment horizontal="center" vertical="center"/>
    </xf>
    <xf numFmtId="167" fontId="34" fillId="52" borderId="0" xfId="86" applyNumberFormat="1" applyFont="1" applyFill="1" applyBorder="1" applyAlignment="1" applyProtection="1">
      <alignment horizontal="center" vertical="center"/>
    </xf>
    <xf numFmtId="0" fontId="34" fillId="49" borderId="0" xfId="0" applyFont="1" applyFill="1" applyBorder="1" applyAlignment="1" applyProtection="1">
      <alignment horizontal="center"/>
      <protection hidden="1"/>
    </xf>
    <xf numFmtId="168" fontId="34" fillId="52" borderId="0" xfId="81" applyNumberFormat="1" applyFont="1" applyFill="1" applyBorder="1" applyAlignment="1" applyProtection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6" xfId="81" applyFont="1" applyFill="1" applyBorder="1" applyAlignment="1" applyProtection="1">
      <alignment horizontal="center" vertical="center" wrapText="1"/>
    </xf>
    <xf numFmtId="0" fontId="60" fillId="55" borderId="48" xfId="81" applyFont="1" applyFill="1" applyBorder="1" applyAlignment="1" applyProtection="1">
      <alignment horizontal="center" vertical="center" wrapText="1"/>
    </xf>
    <xf numFmtId="0" fontId="60" fillId="55" borderId="59" xfId="81" applyFont="1" applyFill="1" applyBorder="1" applyAlignment="1" applyProtection="1">
      <alignment horizontal="center" vertical="center" wrapText="1"/>
    </xf>
    <xf numFmtId="0" fontId="60" fillId="56" borderId="48" xfId="81" applyFont="1" applyFill="1" applyBorder="1" applyAlignment="1" applyProtection="1">
      <alignment horizontal="center" vertical="center" wrapText="1"/>
    </xf>
    <xf numFmtId="0" fontId="60" fillId="55" borderId="56" xfId="81" applyFont="1" applyFill="1" applyBorder="1" applyAlignment="1" applyProtection="1">
      <alignment horizontal="center" vertical="center" wrapText="1"/>
    </xf>
    <xf numFmtId="0" fontId="60" fillId="56" borderId="49" xfId="81" applyFont="1" applyFill="1" applyBorder="1" applyAlignment="1" applyProtection="1">
      <alignment horizontal="center" vertical="center" wrapText="1"/>
    </xf>
    <xf numFmtId="190" fontId="60" fillId="61" borderId="47" xfId="81" applyNumberFormat="1" applyFont="1" applyFill="1" applyBorder="1" applyAlignment="1" applyProtection="1">
      <alignment horizontal="center" vertical="center" wrapText="1"/>
    </xf>
    <xf numFmtId="0" fontId="81" fillId="65" borderId="28" xfId="81" applyFont="1" applyFill="1" applyBorder="1" applyAlignment="1" applyProtection="1">
      <alignment horizontal="left" vertical="center"/>
    </xf>
    <xf numFmtId="0" fontId="82" fillId="50" borderId="0" xfId="81" applyFont="1" applyFill="1" applyBorder="1" applyAlignment="1" applyProtection="1">
      <alignment vertical="center"/>
    </xf>
    <xf numFmtId="2" fontId="84" fillId="51" borderId="0" xfId="81" applyNumberFormat="1" applyFont="1" applyFill="1" applyBorder="1" applyAlignment="1" applyProtection="1">
      <alignment horizontal="center"/>
    </xf>
    <xf numFmtId="0" fontId="44" fillId="51" borderId="0" xfId="81" applyFont="1" applyFill="1" applyBorder="1" applyAlignment="1" applyProtection="1">
      <alignment horizontal="center"/>
    </xf>
    <xf numFmtId="0" fontId="28" fillId="68" borderId="0" xfId="81" applyFont="1" applyFill="1" applyBorder="1" applyAlignment="1"/>
    <xf numFmtId="0" fontId="38" fillId="60" borderId="51" xfId="81" applyFont="1" applyFill="1" applyBorder="1" applyAlignment="1" applyProtection="1">
      <alignment horizontal="center" vertical="center" wrapText="1"/>
    </xf>
    <xf numFmtId="167" fontId="34" fillId="0" borderId="15" xfId="81" applyNumberFormat="1" applyFont="1" applyBorder="1" applyAlignment="1" applyProtection="1">
      <protection hidden="1"/>
    </xf>
    <xf numFmtId="4" fontId="34" fillId="0" borderId="15" xfId="81" applyNumberFormat="1" applyFont="1" applyBorder="1" applyAlignment="1" applyProtection="1">
      <protection hidden="1"/>
    </xf>
    <xf numFmtId="0" fontId="35" fillId="0" borderId="22" xfId="80" applyFont="1" applyFill="1" applyBorder="1" applyAlignment="1" applyProtection="1">
      <alignment horizontal="left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80" fillId="0" borderId="0" xfId="80" applyFont="1" applyAlignment="1" applyProtection="1"/>
    <xf numFmtId="0" fontId="85" fillId="0" borderId="0" xfId="80" applyFont="1" applyAlignment="1" applyProtection="1"/>
    <xf numFmtId="0" fontId="80" fillId="0" borderId="0" xfId="80" applyFont="1" applyBorder="1" applyAlignment="1" applyProtection="1">
      <protection hidden="1"/>
    </xf>
    <xf numFmtId="0" fontId="38" fillId="53" borderId="25" xfId="82" applyFont="1" applyFill="1" applyBorder="1" applyAlignment="1" applyProtection="1">
      <alignment horizontal="center" vertical="center" wrapText="1"/>
    </xf>
    <xf numFmtId="40" fontId="35" fillId="0" borderId="15" xfId="98" applyNumberFormat="1" applyFont="1" applyFill="1" applyBorder="1" applyAlignment="1" applyProtection="1">
      <alignment horizontal="center"/>
      <protection hidden="1"/>
    </xf>
    <xf numFmtId="0" fontId="0" fillId="0" borderId="0" xfId="0" applyFill="1"/>
    <xf numFmtId="0" fontId="34" fillId="0" borderId="0" xfId="0" applyFont="1" applyFill="1" applyBorder="1" applyAlignment="1" applyProtection="1">
      <alignment horizontal="center"/>
      <protection hidden="1"/>
    </xf>
    <xf numFmtId="2" fontId="34" fillId="0" borderId="0" xfId="81" applyNumberFormat="1" applyFont="1" applyFill="1" applyBorder="1" applyAlignment="1" applyProtection="1">
      <alignment horizontal="center" vertical="center"/>
    </xf>
    <xf numFmtId="167" fontId="34" fillId="0" borderId="0" xfId="86" applyNumberFormat="1" applyFont="1" applyFill="1" applyBorder="1" applyAlignment="1" applyProtection="1">
      <alignment horizontal="center" vertical="center"/>
    </xf>
    <xf numFmtId="166" fontId="34" fillId="0" borderId="0" xfId="81" applyNumberFormat="1" applyFont="1" applyFill="1" applyBorder="1" applyAlignment="1" applyProtection="1">
      <alignment horizontal="center" vertical="center"/>
    </xf>
    <xf numFmtId="9" fontId="34" fillId="0" borderId="0" xfId="86" applyFont="1" applyFill="1" applyBorder="1" applyAlignment="1" applyProtection="1">
      <alignment horizontal="center" vertical="center"/>
    </xf>
    <xf numFmtId="0" fontId="34" fillId="0" borderId="0" xfId="81" applyFont="1" applyFill="1" applyBorder="1" applyAlignment="1" applyProtection="1">
      <alignment horizontal="center" vertical="center"/>
    </xf>
    <xf numFmtId="0" fontId="26" fillId="0" borderId="0" xfId="0" applyFont="1" applyAlignment="1">
      <alignment vertical="center"/>
    </xf>
    <xf numFmtId="0" fontId="54" fillId="66" borderId="15" xfId="78" applyFont="1" applyFill="1" applyBorder="1" applyAlignment="1">
      <alignment horizontal="center" vertical="center"/>
    </xf>
    <xf numFmtId="0" fontId="0" fillId="51" borderId="31" xfId="0" applyFill="1" applyBorder="1" applyAlignment="1">
      <alignment horizontal="center"/>
    </xf>
    <xf numFmtId="1" fontId="0" fillId="49" borderId="22" xfId="0" applyNumberFormat="1" applyFill="1" applyBorder="1" applyAlignment="1">
      <alignment horizontal="center"/>
    </xf>
    <xf numFmtId="0" fontId="0" fillId="0" borderId="27" xfId="0" applyFill="1" applyBorder="1" applyAlignment="1">
      <alignment horizontal="center" vertical="center" wrapText="1"/>
    </xf>
    <xf numFmtId="0" fontId="6" fillId="0" borderId="16" xfId="0" applyFont="1" applyFill="1" applyBorder="1" applyAlignment="1">
      <alignment horizontal="center" vertical="center" wrapText="1"/>
    </xf>
    <xf numFmtId="0" fontId="0" fillId="0" borderId="23" xfId="0" applyFill="1" applyBorder="1" applyAlignment="1">
      <alignment horizontal="center" vertical="center" wrapText="1"/>
    </xf>
    <xf numFmtId="0" fontId="0" fillId="51" borderId="30" xfId="0" applyFill="1" applyBorder="1" applyAlignment="1">
      <alignment horizontal="center"/>
    </xf>
    <xf numFmtId="2" fontId="0" fillId="49" borderId="17" xfId="0" applyNumberFormat="1" applyFill="1" applyBorder="1" applyAlignment="1">
      <alignment horizontal="center"/>
    </xf>
    <xf numFmtId="1" fontId="0" fillId="49" borderId="28" xfId="0" applyNumberFormat="1" applyFill="1" applyBorder="1" applyAlignment="1">
      <alignment horizont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3" borderId="15" xfId="78" applyFill="1" applyBorder="1" applyAlignment="1">
      <alignment horizontal="center"/>
    </xf>
    <xf numFmtId="0" fontId="54" fillId="83" borderId="15" xfId="78" applyFont="1" applyFill="1" applyBorder="1" applyAlignment="1">
      <alignment horizontal="center"/>
    </xf>
    <xf numFmtId="0" fontId="79" fillId="84" borderId="15" xfId="0" applyFont="1" applyFill="1" applyBorder="1" applyAlignment="1">
      <alignment horizontal="center"/>
    </xf>
    <xf numFmtId="0" fontId="0" fillId="85" borderId="0" xfId="0" applyFill="1"/>
    <xf numFmtId="0" fontId="54" fillId="84" borderId="15" xfId="78" applyFont="1" applyFill="1" applyBorder="1" applyAlignment="1">
      <alignment horizontal="center" vertical="center"/>
    </xf>
    <xf numFmtId="0" fontId="6" fillId="51" borderId="0" xfId="78" quotePrefix="1" applyFill="1"/>
    <xf numFmtId="195" fontId="34" fillId="0" borderId="0" xfId="86" applyNumberFormat="1" applyFont="1" applyFill="1" applyBorder="1" applyAlignment="1" applyProtection="1">
      <alignment horizontal="center" vertical="center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80" borderId="15" xfId="0" applyFill="1" applyBorder="1"/>
    <xf numFmtId="0" fontId="6" fillId="86" borderId="15" xfId="78" applyFill="1" applyBorder="1" applyAlignment="1">
      <alignment horizontal="center"/>
    </xf>
    <xf numFmtId="14" fontId="0" fillId="0" borderId="0" xfId="0" applyNumberFormat="1"/>
    <xf numFmtId="0" fontId="0" fillId="51" borderId="0" xfId="0" applyFill="1" applyProtection="1">
      <protection locked="0"/>
    </xf>
    <xf numFmtId="0" fontId="27" fillId="63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7" fillId="51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38" fillId="54" borderId="17" xfId="81" applyFont="1" applyFill="1" applyBorder="1" applyAlignment="1" applyProtection="1">
      <alignment horizontal="center" vertical="center" wrapText="1"/>
      <protection hidden="1"/>
    </xf>
    <xf numFmtId="0" fontId="38" fillId="57" borderId="43" xfId="81" applyFont="1" applyFill="1" applyBorder="1" applyAlignment="1" applyProtection="1">
      <alignment horizontal="center" vertical="center" wrapText="1"/>
      <protection hidden="1"/>
    </xf>
    <xf numFmtId="0" fontId="38" fillId="57" borderId="41" xfId="81" applyFont="1" applyFill="1" applyBorder="1" applyAlignment="1" applyProtection="1">
      <alignment horizontal="center" vertical="center" wrapText="1"/>
      <protection hidden="1"/>
    </xf>
    <xf numFmtId="0" fontId="38" fillId="58" borderId="17" xfId="81" applyFont="1" applyFill="1" applyBorder="1" applyAlignment="1" applyProtection="1">
      <alignment horizontal="center" vertical="center" wrapText="1"/>
      <protection hidden="1"/>
    </xf>
    <xf numFmtId="0" fontId="30" fillId="50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alignment horizontal="center"/>
      <protection hidden="1"/>
    </xf>
    <xf numFmtId="0" fontId="38" fillId="60" borderId="19" xfId="81" applyFont="1" applyFill="1" applyBorder="1" applyAlignment="1" applyProtection="1">
      <alignment horizontal="center" vertical="center" wrapText="1"/>
      <protection hidden="1"/>
    </xf>
    <xf numFmtId="0" fontId="28" fillId="51" borderId="0" xfId="81" applyFont="1" applyFill="1" applyBorder="1" applyAlignment="1" applyProtection="1">
      <protection hidden="1"/>
    </xf>
    <xf numFmtId="0" fontId="39" fillId="0" borderId="31" xfId="80" applyFont="1" applyFill="1" applyBorder="1" applyAlignment="1" applyProtection="1">
      <alignment horizontal="center" vertical="center" wrapText="1"/>
    </xf>
    <xf numFmtId="0" fontId="27" fillId="46" borderId="0" xfId="81" applyFont="1" applyFill="1" applyBorder="1" applyAlignment="1" applyProtection="1">
      <alignment horizontal="center" wrapText="1"/>
    </xf>
    <xf numFmtId="0" fontId="51" fillId="0" borderId="0" xfId="80" applyNumberFormat="1" applyFont="1" applyBorder="1" applyAlignment="1" applyProtection="1">
      <alignment vertical="center"/>
      <protection locked="0"/>
    </xf>
    <xf numFmtId="49" fontId="51" fillId="51" borderId="0" xfId="80" applyNumberFormat="1" applyFont="1" applyFill="1" applyBorder="1" applyAlignment="1" applyProtection="1">
      <alignment horizontal="right" vertical="center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>
      <protection hidden="1"/>
    </xf>
    <xf numFmtId="0" fontId="38" fillId="0" borderId="43" xfId="81" applyFont="1" applyFill="1" applyBorder="1" applyAlignment="1" applyProtection="1">
      <alignment horizontal="center" vertical="center" wrapText="1"/>
      <protection hidden="1"/>
    </xf>
    <xf numFmtId="0" fontId="38" fillId="0" borderId="41" xfId="81" applyFont="1" applyFill="1" applyBorder="1" applyAlignment="1" applyProtection="1">
      <alignment horizontal="center" vertical="center" wrapText="1"/>
      <protection hidden="1"/>
    </xf>
    <xf numFmtId="0" fontId="38" fillId="0" borderId="17" xfId="81" applyFont="1" applyFill="1" applyBorder="1" applyAlignment="1" applyProtection="1">
      <alignment horizontal="center" vertical="center" wrapText="1"/>
      <protection hidden="1"/>
    </xf>
    <xf numFmtId="196" fontId="0" fillId="0" borderId="15" xfId="0" applyNumberFormat="1" applyFill="1" applyBorder="1"/>
    <xf numFmtId="0" fontId="38" fillId="57" borderId="29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0" fontId="38" fillId="54" borderId="28" xfId="81" applyFont="1" applyFill="1" applyBorder="1" applyAlignment="1" applyProtection="1">
      <alignment horizontal="center" vertical="center" wrapText="1"/>
      <protection hidden="1"/>
    </xf>
    <xf numFmtId="1" fontId="40" fillId="88" borderId="0" xfId="0" applyNumberFormat="1" applyFont="1" applyFill="1" applyBorder="1" applyAlignment="1" applyProtection="1">
      <alignment horizontal="right" vertical="center"/>
      <protection hidden="1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2" fontId="86" fillId="51" borderId="0" xfId="81" applyNumberFormat="1" applyFont="1" applyFill="1" applyBorder="1" applyAlignment="1" applyProtection="1">
      <alignment horizontal="center" vertical="center"/>
    </xf>
    <xf numFmtId="189" fontId="44" fillId="89" borderId="15" xfId="110" applyNumberFormat="1" applyFill="1" applyBorder="1" applyAlignment="1">
      <alignment horizontal="center" vertical="center"/>
    </xf>
    <xf numFmtId="0" fontId="6" fillId="89" borderId="17" xfId="0" applyFont="1" applyFill="1" applyBorder="1" applyAlignment="1">
      <alignment horizontal="center" vertical="center"/>
    </xf>
    <xf numFmtId="0" fontId="0" fillId="89" borderId="0" xfId="0" applyFill="1" applyBorder="1" applyAlignment="1">
      <alignment horizontal="center" vertical="center" wrapText="1"/>
    </xf>
    <xf numFmtId="0" fontId="0" fillId="83" borderId="15" xfId="0" applyFill="1" applyBorder="1" applyAlignment="1">
      <alignment horizontal="center"/>
    </xf>
    <xf numFmtId="0" fontId="79" fillId="50" borderId="0" xfId="81" applyFont="1" applyFill="1" applyBorder="1" applyAlignment="1" applyProtection="1">
      <alignment horizontal="right" vertical="center"/>
    </xf>
    <xf numFmtId="0" fontId="79" fillId="50" borderId="0" xfId="81" applyFont="1" applyFill="1" applyBorder="1" applyAlignment="1" applyProtection="1">
      <alignment horizontal="center" vertical="center"/>
    </xf>
    <xf numFmtId="0" fontId="38" fillId="0" borderId="15" xfId="81" applyFont="1" applyFill="1" applyBorder="1" applyAlignment="1" applyProtection="1">
      <alignment horizontal="center" vertical="center" wrapText="1"/>
      <protection hidden="1"/>
    </xf>
    <xf numFmtId="197" fontId="0" fillId="0" borderId="15" xfId="0" applyNumberFormat="1" applyBorder="1"/>
    <xf numFmtId="0" fontId="38" fillId="90" borderId="15" xfId="81" applyFont="1" applyFill="1" applyBorder="1" applyAlignment="1" applyProtection="1">
      <alignment horizontal="center" vertical="center" wrapText="1"/>
      <protection hidden="1"/>
    </xf>
    <xf numFmtId="0" fontId="38" fillId="91" borderId="17" xfId="81" applyFont="1" applyFill="1" applyBorder="1" applyAlignment="1" applyProtection="1">
      <alignment horizontal="center" vertical="center" wrapText="1"/>
      <protection hidden="1"/>
    </xf>
    <xf numFmtId="0" fontId="38" fillId="91" borderId="15" xfId="81" applyFont="1" applyFill="1" applyBorder="1" applyAlignment="1" applyProtection="1">
      <alignment horizontal="center" vertical="center" wrapText="1"/>
      <protection hidden="1"/>
    </xf>
    <xf numFmtId="2" fontId="88" fillId="80" borderId="15" xfId="0" applyNumberFormat="1" applyFont="1" applyFill="1" applyBorder="1" applyAlignment="1" applyProtection="1">
      <alignment horizontal="center" vertical="center"/>
      <protection hidden="1"/>
    </xf>
    <xf numFmtId="2" fontId="0" fillId="92" borderId="15" xfId="0" applyNumberFormat="1" applyFont="1" applyFill="1" applyBorder="1" applyAlignment="1" applyProtection="1">
      <alignment horizontal="center" vertical="center"/>
      <protection hidden="1"/>
    </xf>
    <xf numFmtId="0" fontId="0" fillId="0" borderId="15" xfId="0" applyBorder="1"/>
    <xf numFmtId="0" fontId="89" fillId="50" borderId="0" xfId="81" applyFont="1" applyFill="1" applyBorder="1" applyAlignment="1" applyProtection="1">
      <alignment horizontal="left"/>
    </xf>
    <xf numFmtId="0" fontId="41" fillId="51" borderId="0" xfId="80" applyFill="1" applyAlignment="1"/>
    <xf numFmtId="0" fontId="35" fillId="51" borderId="0" xfId="80" applyFont="1" applyFill="1" applyBorder="1" applyAlignment="1" applyProtection="1"/>
    <xf numFmtId="0" fontId="90" fillId="50" borderId="0" xfId="81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alignment horizontal="left" vertical="center" indent="1"/>
    </xf>
    <xf numFmtId="0" fontId="27" fillId="51" borderId="0" xfId="80" applyFont="1" applyFill="1" applyAlignment="1" applyProtection="1">
      <alignment vertical="center"/>
    </xf>
    <xf numFmtId="0" fontId="89" fillId="50" borderId="0" xfId="81" applyFont="1" applyFill="1" applyBorder="1" applyAlignment="1" applyProtection="1">
      <alignment horizontal="left" vertical="center"/>
    </xf>
    <xf numFmtId="0" fontId="27" fillId="51" borderId="0" xfId="81" applyFont="1" applyFill="1" applyAlignment="1" applyProtection="1">
      <alignment vertical="center"/>
    </xf>
    <xf numFmtId="174" fontId="32" fillId="51" borderId="0" xfId="81" applyNumberFormat="1" applyFont="1" applyFill="1" applyBorder="1" applyAlignment="1" applyProtection="1">
      <alignment horizontal="left" vertical="center"/>
    </xf>
    <xf numFmtId="0" fontId="60" fillId="59" borderId="35" xfId="81" applyFont="1" applyFill="1" applyBorder="1" applyAlignment="1" applyProtection="1">
      <alignment horizontal="center" vertical="center" wrapText="1"/>
    </xf>
    <xf numFmtId="0" fontId="59" fillId="50" borderId="24" xfId="81" applyFont="1" applyFill="1" applyBorder="1" applyAlignment="1" applyProtection="1">
      <alignment vertical="center" wrapText="1"/>
    </xf>
    <xf numFmtId="0" fontId="59" fillId="50" borderId="0" xfId="81" applyFont="1" applyFill="1" applyBorder="1" applyAlignment="1" applyProtection="1">
      <alignment vertical="center" wrapText="1"/>
    </xf>
    <xf numFmtId="0" fontId="59" fillId="50" borderId="25" xfId="81" applyFont="1" applyFill="1" applyBorder="1" applyAlignment="1" applyProtection="1">
      <alignment vertical="center" wrapText="1"/>
    </xf>
    <xf numFmtId="0" fontId="59" fillId="50" borderId="23" xfId="81" applyFont="1" applyFill="1" applyBorder="1" applyAlignment="1" applyProtection="1">
      <alignment vertical="center" wrapText="1"/>
    </xf>
    <xf numFmtId="0" fontId="59" fillId="50" borderId="26" xfId="81" applyFont="1" applyFill="1" applyBorder="1" applyAlignment="1" applyProtection="1">
      <alignment vertical="center" wrapText="1"/>
    </xf>
    <xf numFmtId="0" fontId="59" fillId="50" borderId="27" xfId="81" applyFont="1" applyFill="1" applyBorder="1" applyAlignment="1" applyProtection="1">
      <alignment vertical="center" wrapText="1"/>
    </xf>
    <xf numFmtId="0" fontId="38" fillId="51" borderId="0" xfId="82" applyFont="1" applyFill="1" applyBorder="1" applyAlignment="1" applyProtection="1">
      <alignment horizontal="center" vertical="center" wrapText="1"/>
    </xf>
    <xf numFmtId="0" fontId="38" fillId="51" borderId="26" xfId="82" applyFont="1" applyFill="1" applyBorder="1" applyAlignment="1" applyProtection="1">
      <alignment horizontal="center" vertical="center" wrapText="1"/>
    </xf>
    <xf numFmtId="0" fontId="38" fillId="51" borderId="25" xfId="82" applyFont="1" applyFill="1" applyBorder="1" applyAlignment="1" applyProtection="1">
      <alignment horizontal="center" vertical="center" wrapText="1"/>
    </xf>
    <xf numFmtId="0" fontId="38" fillId="51" borderId="27" xfId="82" applyFont="1" applyFill="1" applyBorder="1" applyAlignment="1" applyProtection="1">
      <alignment horizontal="center" vertical="center" wrapText="1"/>
    </xf>
    <xf numFmtId="0" fontId="26" fillId="51" borderId="0" xfId="0" applyFont="1" applyFill="1" applyBorder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3" fillId="51" borderId="25" xfId="0" applyFont="1" applyFill="1" applyBorder="1" applyAlignment="1">
      <alignment horizontal="center" vertical="center" wrapText="1"/>
    </xf>
    <xf numFmtId="0" fontId="83" fillId="51" borderId="27" xfId="0" applyFont="1" applyFill="1" applyBorder="1" applyAlignment="1">
      <alignment horizontal="center" vertical="center" wrapText="1"/>
    </xf>
    <xf numFmtId="0" fontId="89" fillId="93" borderId="22" xfId="80" applyFont="1" applyFill="1" applyBorder="1" applyAlignment="1" applyProtection="1">
      <alignment horizontal="left" vertical="center" wrapText="1" indent="1"/>
    </xf>
    <xf numFmtId="0" fontId="89" fillId="93" borderId="21" xfId="80" applyFont="1" applyFill="1" applyBorder="1" applyAlignment="1" applyProtection="1">
      <alignment horizontal="left" vertical="center" wrapText="1" indent="1"/>
    </xf>
    <xf numFmtId="0" fontId="89" fillId="93" borderId="31" xfId="80" applyFont="1" applyFill="1" applyBorder="1" applyAlignment="1" applyProtection="1">
      <alignment horizontal="left" vertical="center" wrapText="1" indent="1"/>
    </xf>
    <xf numFmtId="14" fontId="89" fillId="93" borderId="22" xfId="80" applyNumberFormat="1" applyFont="1" applyFill="1" applyBorder="1" applyAlignment="1" applyProtection="1">
      <alignment horizontal="left" vertical="center" wrapText="1" indent="1"/>
    </xf>
    <xf numFmtId="0" fontId="38" fillId="75" borderId="53" xfId="81" applyFont="1" applyFill="1" applyBorder="1" applyAlignment="1" applyProtection="1">
      <alignment horizontal="center" vertical="center" wrapText="1"/>
    </xf>
    <xf numFmtId="0" fontId="38" fillId="75" borderId="42" xfId="81" applyFont="1" applyFill="1" applyBorder="1" applyAlignment="1" applyProtection="1">
      <alignment horizontal="center" vertical="center" wrapText="1"/>
    </xf>
    <xf numFmtId="0" fontId="38" fillId="75" borderId="51" xfId="81" applyFont="1" applyFill="1" applyBorder="1" applyAlignment="1" applyProtection="1">
      <alignment horizontal="center" vertical="center" wrapText="1"/>
    </xf>
    <xf numFmtId="49" fontId="60" fillId="73" borderId="57" xfId="81" applyNumberFormat="1" applyFont="1" applyFill="1" applyBorder="1" applyAlignment="1" applyProtection="1">
      <alignment horizontal="center" vertical="center" wrapText="1"/>
    </xf>
    <xf numFmtId="49" fontId="60" fillId="73" borderId="58" xfId="81" applyNumberFormat="1" applyFont="1" applyFill="1" applyBorder="1" applyAlignment="1" applyProtection="1">
      <alignment horizontal="center" vertical="center" wrapText="1"/>
    </xf>
    <xf numFmtId="49" fontId="60" fillId="73" borderId="59" xfId="81" applyNumberFormat="1" applyFont="1" applyFill="1" applyBorder="1" applyAlignment="1" applyProtection="1">
      <alignment horizontal="center" vertical="center" wrapText="1"/>
    </xf>
    <xf numFmtId="0" fontId="34" fillId="54" borderId="17" xfId="81" applyFont="1" applyFill="1" applyBorder="1" applyAlignment="1" applyProtection="1">
      <alignment horizontal="center" vertical="center" wrapText="1"/>
    </xf>
    <xf numFmtId="0" fontId="34" fillId="54" borderId="18" xfId="81" applyFont="1" applyFill="1" applyBorder="1" applyAlignment="1" applyProtection="1">
      <alignment horizontal="center" vertical="center" wrapText="1"/>
    </xf>
    <xf numFmtId="0" fontId="34" fillId="54" borderId="16" xfId="81" applyFont="1" applyFill="1" applyBorder="1" applyAlignment="1" applyProtection="1">
      <alignment horizontal="center" vertical="center" wrapText="1"/>
    </xf>
    <xf numFmtId="190" fontId="83" fillId="61" borderId="17" xfId="81" applyNumberFormat="1" applyFont="1" applyFill="1" applyBorder="1" applyAlignment="1" applyProtection="1">
      <alignment horizontal="center" vertical="center" textRotation="90" wrapText="1"/>
    </xf>
    <xf numFmtId="190" fontId="83" fillId="61" borderId="18" xfId="81" applyNumberFormat="1" applyFont="1" applyFill="1" applyBorder="1" applyAlignment="1" applyProtection="1">
      <alignment horizontal="center" vertical="center" textRotation="90" wrapText="1"/>
    </xf>
    <xf numFmtId="190" fontId="83" fillId="61" borderId="16" xfId="81" applyNumberFormat="1" applyFont="1" applyFill="1" applyBorder="1" applyAlignment="1" applyProtection="1">
      <alignment horizontal="center" vertical="center" textRotation="90" wrapText="1"/>
    </xf>
    <xf numFmtId="0" fontId="38" fillId="55" borderId="47" xfId="81" applyFont="1" applyFill="1" applyBorder="1" applyAlignment="1" applyProtection="1">
      <alignment horizontal="center" vertical="center" wrapText="1"/>
    </xf>
    <xf numFmtId="0" fontId="38" fillId="56" borderId="21" xfId="81" applyNumberFormat="1" applyFont="1" applyFill="1" applyBorder="1" applyAlignment="1" applyProtection="1">
      <alignment horizontal="center" vertical="center" wrapText="1"/>
    </xf>
    <xf numFmtId="0" fontId="38" fillId="56" borderId="21" xfId="81" applyFont="1" applyFill="1" applyBorder="1" applyAlignment="1" applyProtection="1">
      <alignment horizontal="center" vertical="center" wrapText="1"/>
    </xf>
    <xf numFmtId="0" fontId="38" fillId="56" borderId="31" xfId="81" applyFont="1" applyFill="1" applyBorder="1" applyAlignment="1" applyProtection="1">
      <alignment horizontal="center" vertical="center" wrapText="1"/>
    </xf>
    <xf numFmtId="0" fontId="69" fillId="82" borderId="17" xfId="81" applyFont="1" applyFill="1" applyBorder="1" applyAlignment="1" applyProtection="1">
      <alignment horizontal="center" vertical="center" wrapText="1"/>
    </xf>
    <xf numFmtId="0" fontId="69" fillId="82" borderId="18" xfId="81" applyFont="1" applyFill="1" applyBorder="1" applyAlignment="1" applyProtection="1">
      <alignment horizontal="center" vertical="center" wrapText="1"/>
    </xf>
    <xf numFmtId="0" fontId="69" fillId="82" borderId="16" xfId="81" applyFont="1" applyFill="1" applyBorder="1" applyAlignment="1" applyProtection="1">
      <alignment horizontal="center" vertical="center" wrapText="1"/>
    </xf>
    <xf numFmtId="190" fontId="83" fillId="61" borderId="41" xfId="81" applyNumberFormat="1" applyFont="1" applyFill="1" applyBorder="1" applyAlignment="1" applyProtection="1">
      <alignment horizontal="center" vertical="center" textRotation="90" wrapText="1"/>
    </xf>
    <xf numFmtId="190" fontId="83" fillId="61" borderId="68" xfId="81" applyNumberFormat="1" applyFont="1" applyFill="1" applyBorder="1" applyAlignment="1" applyProtection="1">
      <alignment horizontal="center" vertical="center" textRotation="90" wrapText="1"/>
    </xf>
    <xf numFmtId="190" fontId="83" fillId="61" borderId="49" xfId="81" applyNumberFormat="1" applyFont="1" applyFill="1" applyBorder="1" applyAlignment="1" applyProtection="1">
      <alignment horizontal="center" vertical="center" textRotation="90" wrapText="1"/>
    </xf>
    <xf numFmtId="0" fontId="69" fillId="81" borderId="30" xfId="81" applyFont="1" applyFill="1" applyBorder="1" applyAlignment="1" applyProtection="1">
      <alignment horizontal="center" vertical="center" wrapText="1"/>
    </xf>
    <xf numFmtId="0" fontId="69" fillId="81" borderId="25" xfId="81" applyFont="1" applyFill="1" applyBorder="1" applyAlignment="1" applyProtection="1">
      <alignment horizontal="center" vertical="center" wrapText="1"/>
    </xf>
    <xf numFmtId="0" fontId="69" fillId="81" borderId="27" xfId="81" applyFont="1" applyFill="1" applyBorder="1" applyAlignment="1" applyProtection="1">
      <alignment horizontal="center" vertical="center" wrapText="1"/>
    </xf>
    <xf numFmtId="49" fontId="38" fillId="73" borderId="52" xfId="81" applyNumberFormat="1" applyFont="1" applyFill="1" applyBorder="1" applyAlignment="1" applyProtection="1">
      <alignment horizontal="center" vertical="center" wrapText="1"/>
    </xf>
    <xf numFmtId="49" fontId="38" fillId="73" borderId="11" xfId="81" applyNumberFormat="1" applyFont="1" applyFill="1" applyBorder="1" applyAlignment="1" applyProtection="1">
      <alignment horizontal="center" vertical="center" wrapText="1"/>
    </xf>
    <xf numFmtId="49" fontId="38" fillId="73" borderId="48" xfId="81" applyNumberFormat="1" applyFont="1" applyFill="1" applyBorder="1" applyAlignment="1" applyProtection="1">
      <alignment horizontal="center" vertical="center" wrapText="1"/>
    </xf>
    <xf numFmtId="0" fontId="38" fillId="60" borderId="51" xfId="81" applyFont="1" applyFill="1" applyBorder="1" applyAlignment="1" applyProtection="1">
      <alignment horizontal="center" vertical="center" wrapText="1"/>
    </xf>
    <xf numFmtId="0" fontId="38" fillId="60" borderId="49" xfId="81" applyFont="1" applyFill="1" applyBorder="1" applyAlignment="1" applyProtection="1">
      <alignment horizontal="center" vertical="center" wrapText="1"/>
    </xf>
    <xf numFmtId="0" fontId="60" fillId="55" borderId="22" xfId="81" applyNumberFormat="1" applyFont="1" applyFill="1" applyBorder="1" applyAlignment="1" applyProtection="1">
      <alignment horizontal="center" vertical="center" wrapText="1"/>
    </xf>
    <xf numFmtId="0" fontId="60" fillId="55" borderId="21" xfId="81" applyNumberFormat="1" applyFont="1" applyFill="1" applyBorder="1" applyAlignment="1" applyProtection="1">
      <alignment horizontal="center" vertical="center" wrapText="1"/>
    </xf>
    <xf numFmtId="0" fontId="38" fillId="58" borderId="22" xfId="81" applyFont="1" applyFill="1" applyBorder="1" applyAlignment="1" applyProtection="1">
      <alignment horizontal="center" vertical="center" wrapText="1"/>
    </xf>
    <xf numFmtId="0" fontId="38" fillId="58" borderId="31" xfId="81" applyFont="1" applyFill="1" applyBorder="1" applyAlignment="1" applyProtection="1">
      <alignment horizontal="center" vertical="center" wrapText="1"/>
    </xf>
    <xf numFmtId="0" fontId="60" fillId="55" borderId="17" xfId="81" applyFont="1" applyFill="1" applyBorder="1" applyAlignment="1" applyProtection="1">
      <alignment horizontal="center" vertical="center" wrapText="1"/>
    </xf>
    <xf numFmtId="0" fontId="60" fillId="55" borderId="16" xfId="81" applyFont="1" applyFill="1" applyBorder="1" applyAlignment="1" applyProtection="1">
      <alignment horizontal="center" vertical="center" wrapText="1"/>
    </xf>
    <xf numFmtId="0" fontId="26" fillId="55" borderId="30" xfId="81" applyFont="1" applyFill="1" applyBorder="1" applyAlignment="1" applyProtection="1">
      <alignment horizontal="center" vertical="center" textRotation="90" wrapText="1"/>
    </xf>
    <xf numFmtId="0" fontId="26" fillId="55" borderId="27" xfId="81" applyFont="1" applyFill="1" applyBorder="1" applyAlignment="1" applyProtection="1">
      <alignment horizontal="center" vertical="center" textRotation="90" wrapText="1"/>
    </xf>
    <xf numFmtId="190" fontId="38" fillId="75" borderId="52" xfId="81" applyNumberFormat="1" applyFont="1" applyFill="1" applyBorder="1" applyAlignment="1" applyProtection="1">
      <alignment horizontal="center" vertical="center" wrapText="1"/>
    </xf>
    <xf numFmtId="190" fontId="38" fillId="75" borderId="11" xfId="81" applyNumberFormat="1" applyFont="1" applyFill="1" applyBorder="1" applyAlignment="1" applyProtection="1">
      <alignment horizontal="center" vertical="center" wrapText="1"/>
    </xf>
    <xf numFmtId="190" fontId="38" fillId="75" borderId="48" xfId="81" applyNumberFormat="1" applyFont="1" applyFill="1" applyBorder="1" applyAlignment="1" applyProtection="1">
      <alignment horizontal="center" vertical="center" wrapText="1"/>
    </xf>
    <xf numFmtId="2" fontId="38" fillId="73" borderId="53" xfId="81" applyNumberFormat="1" applyFont="1" applyFill="1" applyBorder="1" applyAlignment="1" applyProtection="1">
      <alignment horizontal="center" vertical="center" wrapText="1"/>
    </xf>
    <xf numFmtId="2" fontId="38" fillId="73" borderId="42" xfId="81" applyNumberFormat="1" applyFont="1" applyFill="1" applyBorder="1" applyAlignment="1" applyProtection="1">
      <alignment horizontal="center" vertical="center" wrapText="1"/>
    </xf>
    <xf numFmtId="2" fontId="38" fillId="73" borderId="51" xfId="81" applyNumberFormat="1" applyFont="1" applyFill="1" applyBorder="1" applyAlignment="1" applyProtection="1">
      <alignment horizontal="center" vertical="center" wrapText="1"/>
    </xf>
    <xf numFmtId="0" fontId="38" fillId="55" borderId="22" xfId="81" applyNumberFormat="1" applyFont="1" applyFill="1" applyBorder="1" applyAlignment="1" applyProtection="1">
      <alignment horizontal="center" vertical="center" wrapText="1"/>
    </xf>
    <xf numFmtId="0" fontId="38" fillId="55" borderId="21" xfId="81" applyNumberFormat="1" applyFont="1" applyFill="1" applyBorder="1" applyAlignment="1" applyProtection="1">
      <alignment horizontal="center" vertical="center" wrapText="1"/>
    </xf>
    <xf numFmtId="0" fontId="38" fillId="55" borderId="46" xfId="81" applyNumberFormat="1" applyFont="1" applyFill="1" applyBorder="1" applyAlignment="1" applyProtection="1">
      <alignment horizontal="center" vertical="center" wrapText="1"/>
    </xf>
    <xf numFmtId="0" fontId="60" fillId="61" borderId="22" xfId="81" applyFont="1" applyFill="1" applyBorder="1" applyAlignment="1" applyProtection="1">
      <alignment horizontal="center" vertical="center" wrapText="1"/>
    </xf>
    <xf numFmtId="0" fontId="60" fillId="61" borderId="21" xfId="81" applyFont="1" applyFill="1" applyBorder="1" applyAlignment="1" applyProtection="1">
      <alignment horizontal="center" vertical="center" wrapText="1"/>
    </xf>
    <xf numFmtId="0" fontId="60" fillId="61" borderId="31" xfId="81" applyFont="1" applyFill="1" applyBorder="1" applyAlignment="1" applyProtection="1">
      <alignment horizontal="center" vertical="center" wrapText="1"/>
    </xf>
    <xf numFmtId="0" fontId="38" fillId="61" borderId="22" xfId="81" applyFont="1" applyFill="1" applyBorder="1" applyAlignment="1" applyProtection="1">
      <alignment horizontal="center" vertical="center" wrapText="1"/>
    </xf>
    <xf numFmtId="0" fontId="38" fillId="61" borderId="21" xfId="81" applyFont="1" applyFill="1" applyBorder="1" applyAlignment="1" applyProtection="1">
      <alignment horizontal="center" vertical="center" wrapText="1"/>
    </xf>
    <xf numFmtId="0" fontId="38" fillId="61" borderId="31" xfId="81" applyFont="1" applyFill="1" applyBorder="1" applyAlignment="1" applyProtection="1">
      <alignment horizontal="center" vertical="center" wrapText="1"/>
    </xf>
    <xf numFmtId="0" fontId="60" fillId="54" borderId="22" xfId="81" applyFont="1" applyFill="1" applyBorder="1" applyAlignment="1" applyProtection="1">
      <alignment horizontal="center" vertical="center" wrapText="1"/>
    </xf>
    <xf numFmtId="0" fontId="60" fillId="54" borderId="31" xfId="81" applyFont="1" applyFill="1" applyBorder="1" applyAlignment="1" applyProtection="1">
      <alignment horizontal="center" vertical="center" wrapText="1"/>
    </xf>
    <xf numFmtId="0" fontId="60" fillId="59" borderId="44" xfId="81" applyFont="1" applyFill="1" applyBorder="1" applyAlignment="1" applyProtection="1">
      <alignment horizontal="center" vertical="center" wrapText="1"/>
    </xf>
    <xf numFmtId="0" fontId="60" fillId="59" borderId="45" xfId="81" applyFont="1" applyFill="1" applyBorder="1" applyAlignment="1" applyProtection="1">
      <alignment horizontal="center" vertical="center" wrapText="1"/>
    </xf>
    <xf numFmtId="0" fontId="60" fillId="59" borderId="10" xfId="81" applyFont="1" applyFill="1" applyBorder="1" applyAlignment="1" applyProtection="1">
      <alignment horizontal="center" vertical="center" wrapText="1"/>
    </xf>
    <xf numFmtId="0" fontId="60" fillId="59" borderId="13" xfId="81" applyFont="1" applyFill="1" applyBorder="1" applyAlignment="1" applyProtection="1">
      <alignment horizontal="center" vertical="center" wrapText="1"/>
    </xf>
    <xf numFmtId="0" fontId="69" fillId="82" borderId="43" xfId="81" applyFont="1" applyFill="1" applyBorder="1" applyAlignment="1" applyProtection="1">
      <alignment horizontal="center" vertical="center" wrapText="1"/>
    </xf>
    <xf numFmtId="0" fontId="69" fillId="82" borderId="55" xfId="81" applyFont="1" applyFill="1" applyBorder="1" applyAlignment="1" applyProtection="1">
      <alignment horizontal="center" vertical="center" wrapText="1"/>
    </xf>
    <xf numFmtId="0" fontId="69" fillId="82" borderId="56" xfId="81" applyFont="1" applyFill="1" applyBorder="1" applyAlignment="1" applyProtection="1">
      <alignment horizontal="center" vertical="center" wrapText="1"/>
    </xf>
    <xf numFmtId="0" fontId="69" fillId="81" borderId="17" xfId="81" applyFont="1" applyFill="1" applyBorder="1" applyAlignment="1" applyProtection="1">
      <alignment horizontal="center" vertical="center" wrapText="1"/>
    </xf>
    <xf numFmtId="0" fontId="69" fillId="81" borderId="18" xfId="81" applyFont="1" applyFill="1" applyBorder="1" applyAlignment="1" applyProtection="1">
      <alignment horizontal="center" vertical="center" wrapText="1"/>
    </xf>
    <xf numFmtId="0" fontId="69" fillId="81" borderId="16" xfId="81" applyFont="1" applyFill="1" applyBorder="1" applyAlignment="1" applyProtection="1">
      <alignment horizontal="center" vertical="center" wrapText="1"/>
    </xf>
    <xf numFmtId="0" fontId="60" fillId="56" borderId="50" xfId="81" applyFont="1" applyFill="1" applyBorder="1" applyAlignment="1" applyProtection="1">
      <alignment horizontal="center" vertical="center" wrapText="1"/>
    </xf>
    <xf numFmtId="0" fontId="38" fillId="67" borderId="33" xfId="81" applyFont="1" applyFill="1" applyBorder="1" applyAlignment="1" applyProtection="1">
      <alignment horizontal="center" vertical="center" wrapText="1"/>
    </xf>
    <xf numFmtId="0" fontId="38" fillId="67" borderId="44" xfId="81" applyFont="1" applyFill="1" applyBorder="1" applyAlignment="1" applyProtection="1">
      <alignment horizontal="center" vertical="center" wrapText="1"/>
    </xf>
    <xf numFmtId="0" fontId="38" fillId="67" borderId="54" xfId="81" applyFont="1" applyFill="1" applyBorder="1" applyAlignment="1" applyProtection="1">
      <alignment horizontal="center" vertical="center" wrapText="1"/>
    </xf>
    <xf numFmtId="0" fontId="38" fillId="67" borderId="10" xfId="81" applyFont="1" applyFill="1" applyBorder="1" applyAlignment="1" applyProtection="1">
      <alignment horizontal="center" vertical="center" wrapText="1"/>
    </xf>
    <xf numFmtId="0" fontId="38" fillId="59" borderId="44" xfId="81" applyFont="1" applyFill="1" applyBorder="1" applyAlignment="1" applyProtection="1">
      <alignment horizontal="center" vertical="center" wrapText="1"/>
    </xf>
    <xf numFmtId="0" fontId="38" fillId="59" borderId="10" xfId="81" applyFont="1" applyFill="1" applyBorder="1" applyAlignment="1" applyProtection="1">
      <alignment horizontal="center" vertical="center" wrapText="1"/>
    </xf>
    <xf numFmtId="0" fontId="38" fillId="60" borderId="60" xfId="81" applyFont="1" applyFill="1" applyBorder="1" applyAlignment="1" applyProtection="1">
      <alignment horizontal="center" vertical="center" wrapText="1"/>
    </xf>
    <xf numFmtId="0" fontId="38" fillId="60" borderId="61" xfId="81" applyFont="1" applyFill="1" applyBorder="1" applyAlignment="1" applyProtection="1">
      <alignment horizontal="center" vertical="center" wrapText="1"/>
    </xf>
    <xf numFmtId="0" fontId="38" fillId="60" borderId="62" xfId="81" applyFont="1" applyFill="1" applyBorder="1" applyAlignment="1" applyProtection="1">
      <alignment horizontal="center" vertical="center" wrapText="1"/>
    </xf>
    <xf numFmtId="0" fontId="38" fillId="60" borderId="63" xfId="81" applyFont="1" applyFill="1" applyBorder="1" applyAlignment="1" applyProtection="1">
      <alignment horizontal="center" vertical="center" wrapText="1"/>
    </xf>
    <xf numFmtId="0" fontId="38" fillId="60" borderId="64" xfId="81" applyFont="1" applyFill="1" applyBorder="1" applyAlignment="1" applyProtection="1">
      <alignment horizontal="center" vertical="center" wrapText="1"/>
    </xf>
    <xf numFmtId="0" fontId="38" fillId="60" borderId="65" xfId="81" applyFont="1" applyFill="1" applyBorder="1" applyAlignment="1" applyProtection="1">
      <alignment horizontal="center" vertical="center" wrapText="1"/>
    </xf>
    <xf numFmtId="0" fontId="38" fillId="60" borderId="66" xfId="81" applyFont="1" applyFill="1" applyBorder="1" applyAlignment="1" applyProtection="1">
      <alignment horizontal="center" vertical="center" wrapText="1"/>
    </xf>
    <xf numFmtId="0" fontId="38" fillId="60" borderId="67" xfId="81" applyFont="1" applyFill="1" applyBorder="1" applyAlignment="1" applyProtection="1">
      <alignment horizontal="center" vertical="center" wrapText="1"/>
    </xf>
    <xf numFmtId="0" fontId="38" fillId="56" borderId="32" xfId="81" applyFont="1" applyFill="1" applyBorder="1" applyAlignment="1" applyProtection="1">
      <alignment horizontal="center" vertical="center" wrapText="1"/>
    </xf>
    <xf numFmtId="0" fontId="38" fillId="56" borderId="33" xfId="81" applyFont="1" applyFill="1" applyBorder="1" applyAlignment="1" applyProtection="1">
      <alignment horizontal="center" vertical="center" wrapText="1"/>
    </xf>
    <xf numFmtId="0" fontId="38" fillId="53" borderId="29" xfId="81" applyFont="1" applyFill="1" applyBorder="1" applyAlignment="1" applyProtection="1">
      <alignment horizontal="center" vertical="center" wrapText="1"/>
    </xf>
    <xf numFmtId="0" fontId="38" fillId="53" borderId="26" xfId="81" applyFont="1" applyFill="1" applyBorder="1" applyAlignment="1" applyProtection="1">
      <alignment horizontal="center" vertical="center" wrapText="1"/>
    </xf>
    <xf numFmtId="190" fontId="83" fillId="61" borderId="41" xfId="81" applyNumberFormat="1" applyFont="1" applyFill="1" applyBorder="1" applyAlignment="1" applyProtection="1">
      <alignment horizontal="center" textRotation="90" wrapText="1"/>
    </xf>
    <xf numFmtId="190" fontId="83" fillId="61" borderId="68" xfId="81" applyNumberFormat="1" applyFont="1" applyFill="1" applyBorder="1" applyAlignment="1" applyProtection="1">
      <alignment horizontal="center" textRotation="90" wrapText="1"/>
    </xf>
    <xf numFmtId="190" fontId="83" fillId="61" borderId="49" xfId="81" applyNumberFormat="1" applyFont="1" applyFill="1" applyBorder="1" applyAlignment="1" applyProtection="1">
      <alignment horizontal="center" textRotation="90" wrapText="1"/>
    </xf>
    <xf numFmtId="190" fontId="83" fillId="87" borderId="41" xfId="81" applyNumberFormat="1" applyFont="1" applyFill="1" applyBorder="1" applyAlignment="1" applyProtection="1">
      <alignment horizontal="center" vertical="center" textRotation="90" wrapText="1"/>
    </xf>
    <xf numFmtId="190" fontId="83" fillId="87" borderId="68" xfId="81" applyNumberFormat="1" applyFont="1" applyFill="1" applyBorder="1" applyAlignment="1" applyProtection="1">
      <alignment horizontal="center" vertical="center" textRotation="90" wrapText="1"/>
    </xf>
    <xf numFmtId="190" fontId="83" fillId="87" borderId="49" xfId="81" applyNumberFormat="1" applyFont="1" applyFill="1" applyBorder="1" applyAlignment="1" applyProtection="1">
      <alignment horizontal="center" vertical="center" textRotation="90" wrapText="1"/>
    </xf>
    <xf numFmtId="0" fontId="38" fillId="58" borderId="17" xfId="81" applyFont="1" applyFill="1" applyBorder="1" applyAlignment="1" applyProtection="1">
      <alignment horizontal="center" vertical="center" wrapText="1"/>
    </xf>
    <xf numFmtId="0" fontId="38" fillId="58" borderId="16" xfId="81" applyFont="1" applyFill="1" applyBorder="1" applyAlignment="1" applyProtection="1">
      <alignment horizontal="center" vertical="center" wrapText="1"/>
    </xf>
    <xf numFmtId="0" fontId="60" fillId="58" borderId="17" xfId="81" applyFont="1" applyFill="1" applyBorder="1" applyAlignment="1" applyProtection="1">
      <alignment horizontal="center" vertical="center" wrapText="1"/>
    </xf>
    <xf numFmtId="0" fontId="60" fillId="58" borderId="16" xfId="81" applyFont="1" applyFill="1" applyBorder="1" applyAlignment="1" applyProtection="1">
      <alignment horizontal="center" vertical="center" wrapText="1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34" fillId="79" borderId="23" xfId="82" applyFont="1" applyFill="1" applyBorder="1" applyAlignment="1" applyProtection="1">
      <alignment horizontal="left" vertical="center" wrapText="1"/>
    </xf>
    <xf numFmtId="0" fontId="34" fillId="79" borderId="26" xfId="82" applyFont="1" applyFill="1" applyBorder="1" applyAlignment="1" applyProtection="1">
      <alignment horizontal="left" vertical="center" wrapText="1"/>
    </xf>
    <xf numFmtId="0" fontId="34" fillId="79" borderId="27" xfId="82" applyFont="1" applyFill="1" applyBorder="1" applyAlignment="1" applyProtection="1">
      <alignment horizontal="left" vertical="center" wrapText="1"/>
    </xf>
    <xf numFmtId="166" fontId="39" fillId="79" borderId="0" xfId="82" applyNumberFormat="1" applyFont="1" applyFill="1" applyBorder="1" applyAlignment="1" applyProtection="1">
      <alignment horizontal="center" vertical="center"/>
    </xf>
    <xf numFmtId="187" fontId="38" fillId="53" borderId="0" xfId="82" applyNumberFormat="1" applyFont="1" applyFill="1" applyBorder="1" applyAlignment="1" applyProtection="1">
      <alignment horizontal="center" vertical="center"/>
    </xf>
    <xf numFmtId="0" fontId="35" fillId="0" borderId="22" xfId="80" applyFont="1" applyFill="1" applyBorder="1" applyAlignment="1" applyProtection="1">
      <alignment horizontal="left" vertical="center" wrapText="1"/>
    </xf>
    <xf numFmtId="0" fontId="35" fillId="0" borderId="31" xfId="80" applyFont="1" applyFill="1" applyBorder="1" applyAlignment="1" applyProtection="1">
      <alignment horizontal="left" vertical="center" wrapText="1"/>
    </xf>
    <xf numFmtId="0" fontId="35" fillId="0" borderId="22" xfId="80" applyFont="1" applyFill="1" applyBorder="1" applyAlignment="1" applyProtection="1">
      <alignment horizontal="center" vertical="center" wrapText="1"/>
    </xf>
    <xf numFmtId="0" fontId="35" fillId="0" borderId="31" xfId="80" applyFont="1" applyFill="1" applyBorder="1" applyAlignment="1" applyProtection="1">
      <alignment horizontal="center" vertical="center" wrapText="1"/>
    </xf>
    <xf numFmtId="0" fontId="35" fillId="0" borderId="22" xfId="80" applyFont="1" applyBorder="1" applyAlignment="1" applyProtection="1">
      <alignment horizontal="center" vertical="center"/>
    </xf>
    <xf numFmtId="0" fontId="35" fillId="0" borderId="31" xfId="80" applyFont="1" applyBorder="1" applyAlignment="1" applyProtection="1">
      <alignment horizontal="center" vertical="center"/>
    </xf>
    <xf numFmtId="0" fontId="52" fillId="0" borderId="17" xfId="80" applyFont="1" applyFill="1" applyBorder="1" applyAlignment="1">
      <alignment horizontal="center" vertical="center" wrapText="1"/>
    </xf>
    <xf numFmtId="0" fontId="52" fillId="0" borderId="18" xfId="80" applyFont="1" applyFill="1" applyBorder="1" applyAlignment="1">
      <alignment horizontal="center" vertical="center" wrapText="1"/>
    </xf>
    <xf numFmtId="0" fontId="52" fillId="0" borderId="16" xfId="80" applyFont="1" applyFill="1" applyBorder="1" applyAlignment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39" fillId="0" borderId="16" xfId="80" applyFont="1" applyFill="1" applyBorder="1" applyAlignment="1" applyProtection="1">
      <alignment horizontal="center" vertical="center" wrapText="1"/>
    </xf>
    <xf numFmtId="0" fontId="39" fillId="0" borderId="18" xfId="80" applyFont="1" applyFill="1" applyBorder="1" applyAlignment="1" applyProtection="1">
      <alignment horizontal="center" vertical="center" wrapText="1"/>
    </xf>
    <xf numFmtId="0" fontId="39" fillId="51" borderId="17" xfId="80" applyFont="1" applyFill="1" applyBorder="1" applyAlignment="1" applyProtection="1">
      <alignment horizontal="center" vertical="center" wrapText="1"/>
    </xf>
    <xf numFmtId="0" fontId="39" fillId="51" borderId="18" xfId="80" applyFont="1" applyFill="1" applyBorder="1" applyAlignment="1" applyProtection="1">
      <alignment horizontal="center" vertical="center" wrapText="1"/>
    </xf>
    <xf numFmtId="0" fontId="39" fillId="51" borderId="16" xfId="80" applyFont="1" applyFill="1" applyBorder="1" applyAlignment="1" applyProtection="1">
      <alignment horizontal="center" vertical="center" wrapText="1"/>
    </xf>
    <xf numFmtId="0" fontId="39" fillId="0" borderId="22" xfId="80" applyFont="1" applyFill="1" applyBorder="1" applyAlignment="1" applyProtection="1">
      <alignment horizontal="center" vertical="center" wrapText="1"/>
    </xf>
    <xf numFmtId="0" fontId="39" fillId="0" borderId="21" xfId="80" applyFont="1" applyFill="1" applyBorder="1" applyAlignment="1" applyProtection="1">
      <alignment horizontal="center" vertical="center" wrapText="1"/>
    </xf>
    <xf numFmtId="0" fontId="39" fillId="0" borderId="31" xfId="80" applyFont="1" applyFill="1" applyBorder="1" applyAlignment="1" applyProtection="1">
      <alignment horizontal="center" vertical="center" wrapText="1"/>
    </xf>
    <xf numFmtId="0" fontId="39" fillId="77" borderId="22" xfId="80" applyFont="1" applyFill="1" applyBorder="1" applyAlignment="1" applyProtection="1">
      <alignment horizontal="center" vertical="center" wrapText="1"/>
    </xf>
    <xf numFmtId="0" fontId="39" fillId="77" borderId="31" xfId="80" applyFont="1" applyFill="1" applyBorder="1" applyAlignment="1" applyProtection="1">
      <alignment horizontal="center" vertical="center" wrapText="1"/>
    </xf>
    <xf numFmtId="0" fontId="39" fillId="0" borderId="17" xfId="80" applyFont="1" applyBorder="1" applyAlignment="1" applyProtection="1">
      <alignment horizontal="center" vertical="center" wrapText="1"/>
    </xf>
    <xf numFmtId="0" fontId="39" fillId="0" borderId="18" xfId="80" applyFont="1" applyBorder="1" applyAlignment="1" applyProtection="1">
      <alignment horizontal="center" vertical="center" wrapText="1"/>
    </xf>
    <xf numFmtId="0" fontId="39" fillId="0" borderId="16" xfId="80" applyFont="1" applyBorder="1" applyAlignment="1" applyProtection="1">
      <alignment horizontal="center" vertical="center" wrapText="1"/>
    </xf>
    <xf numFmtId="0" fontId="39" fillId="0" borderId="22" xfId="80" applyFont="1" applyFill="1" applyBorder="1" applyAlignment="1">
      <alignment horizontal="center" vertical="center" wrapText="1"/>
    </xf>
    <xf numFmtId="0" fontId="39" fillId="0" borderId="21" xfId="80" applyFont="1" applyFill="1" applyBorder="1" applyAlignment="1">
      <alignment horizontal="center" vertical="center" wrapText="1"/>
    </xf>
    <xf numFmtId="0" fontId="39" fillId="0" borderId="31" xfId="80" applyFont="1" applyFill="1" applyBorder="1" applyAlignment="1">
      <alignment horizontal="center" vertical="center" wrapText="1"/>
    </xf>
    <xf numFmtId="0" fontId="39" fillId="0" borderId="28" xfId="80" applyFont="1" applyFill="1" applyBorder="1" applyAlignment="1" applyProtection="1">
      <alignment horizontal="center" vertical="center" wrapText="1"/>
    </xf>
    <xf numFmtId="0" fontId="39" fillId="0" borderId="30" xfId="80" applyFont="1" applyFill="1" applyBorder="1" applyAlignment="1" applyProtection="1">
      <alignment horizontal="center" vertical="center" wrapText="1"/>
    </xf>
    <xf numFmtId="0" fontId="39" fillId="0" borderId="23" xfId="80" applyFont="1" applyFill="1" applyBorder="1" applyAlignment="1" applyProtection="1">
      <alignment horizontal="center" vertical="center" wrapText="1"/>
    </xf>
    <xf numFmtId="0" fontId="39" fillId="0" borderId="27" xfId="80" applyFont="1" applyFill="1" applyBorder="1" applyAlignment="1" applyProtection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/>
    </xf>
    <xf numFmtId="0" fontId="39" fillId="0" borderId="18" xfId="80" applyFont="1" applyFill="1" applyBorder="1" applyAlignment="1" applyProtection="1">
      <alignment horizontal="center" vertical="center"/>
    </xf>
    <xf numFmtId="0" fontId="39" fillId="0" borderId="16" xfId="80" applyFont="1" applyFill="1" applyBorder="1" applyAlignment="1" applyProtection="1">
      <alignment horizontal="center" vertical="center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26" fillId="54" borderId="28" xfId="81" applyFont="1" applyFill="1" applyBorder="1" applyAlignment="1" applyProtection="1">
      <alignment horizontal="center" vertical="center" wrapText="1"/>
      <protection hidden="1"/>
    </xf>
    <xf numFmtId="0" fontId="26" fillId="54" borderId="29" xfId="81" applyFont="1" applyFill="1" applyBorder="1" applyAlignment="1" applyProtection="1">
      <alignment horizontal="center" vertical="center" wrapText="1"/>
      <protection hidden="1"/>
    </xf>
    <xf numFmtId="0" fontId="26" fillId="54" borderId="30" xfId="81" applyFont="1" applyFill="1" applyBorder="1" applyAlignment="1" applyProtection="1">
      <alignment horizontal="center" vertical="center" wrapText="1"/>
      <protection hidden="1"/>
    </xf>
    <xf numFmtId="0" fontId="38" fillId="54" borderId="22" xfId="81" applyFont="1" applyFill="1" applyBorder="1" applyAlignment="1" applyProtection="1">
      <alignment horizontal="center" vertical="center" wrapText="1"/>
      <protection hidden="1"/>
    </xf>
    <xf numFmtId="0" fontId="38" fillId="54" borderId="21" xfId="81" applyFont="1" applyFill="1" applyBorder="1" applyAlignment="1" applyProtection="1">
      <alignment horizontal="center" vertical="center" wrapText="1"/>
      <protection hidden="1"/>
    </xf>
    <xf numFmtId="0" fontId="38" fillId="54" borderId="31" xfId="81" applyFont="1" applyFill="1" applyBorder="1" applyAlignment="1" applyProtection="1">
      <alignment horizontal="center" vertical="center" wrapText="1"/>
      <protection hidden="1"/>
    </xf>
    <xf numFmtId="0" fontId="55" fillId="54" borderId="17" xfId="81" applyFont="1" applyFill="1" applyBorder="1" applyAlignment="1" applyProtection="1">
      <alignment horizontal="center" vertical="center" wrapText="1"/>
      <protection hidden="1"/>
    </xf>
    <xf numFmtId="0" fontId="55" fillId="54" borderId="18" xfId="81" applyFont="1" applyFill="1" applyBorder="1" applyAlignment="1" applyProtection="1">
      <alignment horizontal="center" vertical="center" wrapText="1"/>
      <protection hidden="1"/>
    </xf>
    <xf numFmtId="0" fontId="38" fillId="0" borderId="35" xfId="81" applyFont="1" applyFill="1" applyBorder="1" applyAlignment="1" applyProtection="1">
      <alignment horizontal="center" vertical="center" wrapText="1"/>
      <protection hidden="1"/>
    </xf>
    <xf numFmtId="0" fontId="38" fillId="0" borderId="36" xfId="81" applyFont="1" applyFill="1" applyBorder="1" applyAlignment="1" applyProtection="1">
      <alignment horizontal="center" vertical="center" wrapText="1"/>
      <protection hidden="1"/>
    </xf>
    <xf numFmtId="0" fontId="38" fillId="60" borderId="10" xfId="81" applyFont="1" applyFill="1" applyBorder="1" applyAlignment="1" applyProtection="1">
      <alignment horizontal="center" vertical="center" wrapText="1"/>
      <protection hidden="1"/>
    </xf>
    <xf numFmtId="0" fontId="38" fillId="60" borderId="13" xfId="81" applyFont="1" applyFill="1" applyBorder="1" applyAlignment="1" applyProtection="1">
      <alignment horizontal="center" vertical="center" wrapText="1"/>
      <protection hidden="1"/>
    </xf>
    <xf numFmtId="0" fontId="38" fillId="60" borderId="37" xfId="81" applyFont="1" applyFill="1" applyBorder="1" applyAlignment="1" applyProtection="1">
      <alignment horizontal="center" vertical="center" wrapText="1"/>
      <protection hidden="1"/>
    </xf>
    <xf numFmtId="0" fontId="38" fillId="60" borderId="38" xfId="81" applyFont="1" applyFill="1" applyBorder="1" applyAlignment="1" applyProtection="1">
      <alignment horizontal="center" vertical="center" wrapText="1"/>
      <protection hidden="1"/>
    </xf>
    <xf numFmtId="0" fontId="38" fillId="60" borderId="39" xfId="81" applyFont="1" applyFill="1" applyBorder="1" applyAlignment="1" applyProtection="1">
      <alignment horizontal="center" vertical="center" wrapText="1"/>
      <protection hidden="1"/>
    </xf>
    <xf numFmtId="0" fontId="38" fillId="60" borderId="40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50">
    <dxf>
      <numFmt numFmtId="1" formatCode="0"/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167" formatCode="#,##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solid">
          <fgColor indexed="15"/>
          <bgColor theme="0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D5"/>
      <color rgb="FFFFFFCC"/>
      <color rgb="FFFFFFE1"/>
      <color rgb="FFFFFFB9"/>
      <color rgb="FFFFFFD9"/>
      <color rgb="FFFFFFEB"/>
      <color rgb="FFFFFFCD"/>
      <color rgb="FF669900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RedeBasica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5</xdr:row>
          <xdr:rowOff>123825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8</xdr:row>
          <xdr:rowOff>95250</xdr:rowOff>
        </xdr:from>
        <xdr:to>
          <xdr:col>7</xdr:col>
          <xdr:colOff>95250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Parámetros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 Parámetro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Parámetros 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9</xdr:row>
          <xdr:rowOff>38100</xdr:rowOff>
        </xdr:from>
        <xdr:to>
          <xdr:col>7</xdr:col>
          <xdr:colOff>57150</xdr:colOff>
          <xdr:row>10</xdr:row>
          <xdr:rowOff>133350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</xdr:row>
          <xdr:rowOff>190500</xdr:rowOff>
        </xdr:from>
        <xdr:to>
          <xdr:col>12</xdr:col>
          <xdr:colOff>190500</xdr:colOff>
          <xdr:row>5</xdr:row>
          <xdr:rowOff>66675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9</xdr:row>
          <xdr:rowOff>28575</xdr:rowOff>
        </xdr:from>
        <xdr:to>
          <xdr:col>9</xdr:col>
          <xdr:colOff>47625</xdr:colOff>
          <xdr:row>10</xdr:row>
          <xdr:rowOff>114300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9</xdr:row>
          <xdr:rowOff>28575</xdr:rowOff>
        </xdr:from>
        <xdr:to>
          <xdr:col>8</xdr:col>
          <xdr:colOff>57150</xdr:colOff>
          <xdr:row>10</xdr:row>
          <xdr:rowOff>123825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6</xdr:row>
          <xdr:rowOff>95250</xdr:rowOff>
        </xdr:from>
        <xdr:to>
          <xdr:col>9</xdr:col>
          <xdr:colOff>1057275</xdr:colOff>
          <xdr:row>8</xdr:row>
          <xdr:rowOff>66675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9525</xdr:rowOff>
        </xdr:from>
        <xdr:to>
          <xdr:col>9</xdr:col>
          <xdr:colOff>1066800</xdr:colOff>
          <xdr:row>10</xdr:row>
          <xdr:rowOff>104775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352425</xdr:colOff>
          <xdr:row>1</xdr:row>
          <xdr:rowOff>104775</xdr:rowOff>
        </xdr:from>
        <xdr:to>
          <xdr:col>13</xdr:col>
          <xdr:colOff>704850</xdr:colOff>
          <xdr:row>3</xdr:row>
          <xdr:rowOff>104775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200025</xdr:rowOff>
        </xdr:from>
        <xdr:to>
          <xdr:col>13</xdr:col>
          <xdr:colOff>704850</xdr:colOff>
          <xdr:row>5</xdr:row>
          <xdr:rowOff>95250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6</xdr:row>
          <xdr:rowOff>85725</xdr:rowOff>
        </xdr:from>
        <xdr:to>
          <xdr:col>13</xdr:col>
          <xdr:colOff>676275</xdr:colOff>
          <xdr:row>8</xdr:row>
          <xdr:rowOff>114300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 Hoja de Impressión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5</xdr:row>
          <xdr:rowOff>171450</xdr:rowOff>
        </xdr:from>
        <xdr:to>
          <xdr:col>18</xdr:col>
          <xdr:colOff>28575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Ayuste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</xdr:row>
          <xdr:rowOff>114300</xdr:rowOff>
        </xdr:from>
        <xdr:to>
          <xdr:col>12</xdr:col>
          <xdr:colOff>180975</xdr:colOff>
          <xdr:row>3</xdr:row>
          <xdr:rowOff>123825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8</xdr:row>
          <xdr:rowOff>171450</xdr:rowOff>
        </xdr:from>
        <xdr:to>
          <xdr:col>18</xdr:col>
          <xdr:colOff>9525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 ayuste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76200</xdr:rowOff>
        </xdr:from>
        <xdr:to>
          <xdr:col>18</xdr:col>
          <xdr:colOff>28575</xdr:colOff>
          <xdr:row>4</xdr:row>
          <xdr:rowOff>200025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</xdr:row>
          <xdr:rowOff>57150</xdr:rowOff>
        </xdr:from>
        <xdr:to>
          <xdr:col>18</xdr:col>
          <xdr:colOff>28575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228600</xdr:rowOff>
        </xdr:from>
        <xdr:to>
          <xdr:col>36</xdr:col>
          <xdr:colOff>9525</xdr:colOff>
          <xdr:row>7</xdr:row>
          <xdr:rowOff>28575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sugerido (min)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104775</xdr:rowOff>
        </xdr:from>
        <xdr:to>
          <xdr:col>35</xdr:col>
          <xdr:colOff>857250</xdr:colOff>
          <xdr:row>9</xdr:row>
          <xdr:rowOff>28575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Resetear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2</xdr:row>
          <xdr:rowOff>238125</xdr:rowOff>
        </xdr:from>
        <xdr:to>
          <xdr:col>36</xdr:col>
          <xdr:colOff>19050</xdr:colOff>
          <xdr:row>4</xdr:row>
          <xdr:rowOff>142875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 cresciente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153080</xdr:colOff>
      <xdr:row>0</xdr:row>
      <xdr:rowOff>267240</xdr:rowOff>
    </xdr:from>
    <xdr:to>
      <xdr:col>31</xdr:col>
      <xdr:colOff>357399</xdr:colOff>
      <xdr:row>10</xdr:row>
      <xdr:rowOff>126559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1486" y="267240"/>
          <a:ext cx="4359600" cy="2109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7</xdr:row>
          <xdr:rowOff>190500</xdr:rowOff>
        </xdr:from>
        <xdr:to>
          <xdr:col>6</xdr:col>
          <xdr:colOff>800100</xdr:colOff>
          <xdr:row>10</xdr:row>
          <xdr:rowOff>19050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Limipar hoja de impresión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5</xdr:row>
          <xdr:rowOff>514350</xdr:rowOff>
        </xdr:from>
        <xdr:to>
          <xdr:col>6</xdr:col>
          <xdr:colOff>809625</xdr:colOff>
          <xdr:row>7</xdr:row>
          <xdr:rowOff>152400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hoja de impresión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18" xr16:uid="{755ACC67-F97C-48B9-B8C3-5BC35261B67E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19" xr16:uid="{41D7F6BC-0B00-4113-844C-C8E4B02C511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42" xr16:uid="{00000000-0016-0000-01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41" xr16:uid="{00000000-0016-0000-0100-000001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7" xr16:uid="{BB79558F-D955-4AC9-825C-A091B9A7338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21" xr16:uid="{7577B8AF-5D56-47F1-84E5-7894C6213623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22" xr16:uid="{A3478BCB-5E98-4648-BE26-C4FF38B663B7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0" xr16:uid="{91B04ADF-E3B6-4026-ADF2-677A7F71B6BD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43" xr16:uid="{00000000-0016-0000-01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U5" totalsRowShown="0" headerRowDxfId="40" headerRowCellStyle="Normal_RedeBasicaP10beta">
  <tableColumns count="21">
    <tableColumn id="1" xr3:uid="{00000000-0010-0000-0000-000001000000}" name="Id"/>
    <tableColumn id="2" xr3:uid="{00000000-0010-0000-0000-000002000000}" name="Consumo per capita de Agua" dataDxfId="39" totalsRowDxfId="38"/>
    <tableColumn id="3" xr3:uid="{00000000-0010-0000-0000-000003000000}" name="K1 (coef. dia max consumo)" dataDxfId="37" totalsRowDxfId="36" dataCellStyle="Normal_RedeBasicaP10beta"/>
    <tableColumn id="4" xr3:uid="{00000000-0010-0000-0000-000004000000}" name="K2 (coef. hora max consumo)" dataDxfId="35" totalsRowDxfId="34" dataCellStyle="Normal_RedeBasicaP10beta"/>
    <tableColumn id="5" xr3:uid="{00000000-0010-0000-0000-000005000000}" name="Coef. Retorno C" dataDxfId="33" totalsRowDxfId="32" dataCellStyle="Normal_RedeBasicaP10beta"/>
    <tableColumn id="6" xr3:uid="{00000000-0010-0000-0000-000006000000}" name="Taza de infiltración" dataDxfId="31" totalsRowDxfId="30" dataCellStyle="Porcentagem"/>
    <tableColumn id="7" xr3:uid="{00000000-0010-0000-0000-000007000000}" name="Fuerza trativa media - mínimo" dataDxfId="29" totalsRowDxfId="28" dataCellStyle="Normal_RedeBasicaP10beta"/>
    <tableColumn id="8" xr3:uid="{00000000-0010-0000-0000-000008000000}" name="Caudal mín. Qmin" dataDxfId="27" totalsRowDxfId="26" dataCellStyle="Normal_RedeBasicaP10beta"/>
    <tableColumn id="9" xr3:uid="{00000000-0010-0000-0000-000009000000}" name="Lámina máx. - DN  &lt; 150mm" dataDxfId="25" totalsRowDxfId="24" dataCellStyle="Porcentagem"/>
    <tableColumn id="10" xr3:uid="{00000000-0010-0000-0000-00000A000000}" name="Lámina máx. - DN desde 150 mm" dataDxfId="23" totalsRowDxfId="22" dataCellStyle="Porcentagem"/>
    <tableColumn id="11" xr3:uid="{00000000-0010-0000-0000-00000B000000}" name="DN mínimo" dataDxfId="21" totalsRowDxfId="20" dataCellStyle="Normal_RedeBasicaP10beta"/>
    <tableColumn id="12" xr3:uid="{00000000-0010-0000-0000-00000C000000}" name="DN 1" dataDxfId="19"/>
    <tableColumn id="13" xr3:uid="{00000000-0010-0000-0000-00000D000000}" name="Pendiente min 1" dataDxfId="18"/>
    <tableColumn id="14" xr3:uid="{00000000-0010-0000-0000-00000E000000}" name="DN 2" dataDxfId="17"/>
    <tableColumn id="15" xr3:uid="{00000000-0010-0000-0000-00000F000000}" name="Pendiente min 2" dataDxfId="16"/>
    <tableColumn id="16" xr3:uid="{00000000-0010-0000-0000-000010000000}" name="DN 3" dataDxfId="15"/>
    <tableColumn id="17" xr3:uid="{00000000-0010-0000-0000-000011000000}" name="Pendiente min 3" dataDxfId="14"/>
    <tableColumn id="18" xr3:uid="{00000000-0010-0000-0000-000012000000}" name="Rec Min Acera" dataDxfId="13"/>
    <tableColumn id="19" xr3:uid="{00000000-0010-0000-0000-000013000000}" name="Rec Min Calles" dataDxfId="12"/>
    <tableColumn id="20" xr3:uid="{00000000-0010-0000-0000-000014000000}" name="Tipo Contr." dataDxfId="11"/>
    <tableColumn id="21" xr3:uid="{00000000-0010-0000-0000-000015000000}" name="DGMax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C7" totalsRowShown="0" headerRowBorderDxfId="5" tableBorderDxfId="4" totalsRowBorderDxfId="3">
  <autoFilter ref="A1:C7" xr:uid="{00000000-0009-0000-0100-000002000000}"/>
  <tableColumns count="3">
    <tableColumn id="1" xr3:uid="{00000000-0010-0000-0100-000001000000}" name="Modelo" dataDxfId="2"/>
    <tableColumn id="2" xr3:uid="{00000000-0010-0000-0100-000002000000}" name="Prof. máxima (m)" dataDxfId="1"/>
    <tableColumn id="3" xr3:uid="{00000000-0010-0000-0100-000003000000}" name="DN máximo - tuberías (mm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G10" sqref="G10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81"/>
      <c r="B1" s="182" t="s">
        <v>1066</v>
      </c>
      <c r="C1" s="181"/>
      <c r="D1" s="183"/>
    </row>
    <row r="2" spans="1:4" x14ac:dyDescent="0.2">
      <c r="A2" s="184"/>
      <c r="B2" s="184"/>
      <c r="C2" s="184"/>
      <c r="D2" s="183"/>
    </row>
    <row r="3" spans="1:4" ht="15.75" x14ac:dyDescent="0.2">
      <c r="A3" s="185"/>
      <c r="B3" s="186"/>
      <c r="C3" s="183"/>
      <c r="D3" s="183"/>
    </row>
    <row r="4" spans="1:4" ht="25.5" customHeight="1" x14ac:dyDescent="0.2">
      <c r="A4" s="187" t="s">
        <v>55</v>
      </c>
      <c r="B4" s="191" t="s">
        <v>1068</v>
      </c>
      <c r="C4" s="183"/>
      <c r="D4" s="183"/>
    </row>
    <row r="5" spans="1:4" ht="15.75" x14ac:dyDescent="0.2">
      <c r="A5" s="185"/>
      <c r="B5" s="186"/>
      <c r="C5" s="183"/>
      <c r="D5" s="183"/>
    </row>
    <row r="6" spans="1:4" ht="25.5" customHeight="1" x14ac:dyDescent="0.2">
      <c r="A6" s="187" t="s">
        <v>56</v>
      </c>
      <c r="B6" s="191" t="s">
        <v>1069</v>
      </c>
      <c r="C6" s="183"/>
      <c r="D6" s="183"/>
    </row>
    <row r="7" spans="1:4" x14ac:dyDescent="0.2">
      <c r="A7" s="185"/>
      <c r="B7" s="185"/>
      <c r="C7" s="183"/>
      <c r="D7" s="183"/>
    </row>
    <row r="8" spans="1:4" ht="25.5" customHeight="1" x14ac:dyDescent="0.2">
      <c r="A8" s="187" t="s">
        <v>57</v>
      </c>
      <c r="B8" s="191" t="s">
        <v>1070</v>
      </c>
      <c r="C8" s="194"/>
      <c r="D8" s="183"/>
    </row>
    <row r="9" spans="1:4" x14ac:dyDescent="0.2">
      <c r="A9" s="185"/>
      <c r="B9" s="185"/>
      <c r="C9" s="183"/>
      <c r="D9" s="183"/>
    </row>
    <row r="10" spans="1:4" ht="25.5" customHeight="1" x14ac:dyDescent="0.2">
      <c r="A10" s="187" t="s">
        <v>58</v>
      </c>
      <c r="B10" s="191" t="s">
        <v>1071</v>
      </c>
      <c r="C10" s="194"/>
      <c r="D10" s="183"/>
    </row>
    <row r="11" spans="1:4" x14ac:dyDescent="0.2">
      <c r="A11" s="185"/>
      <c r="B11" s="185"/>
      <c r="C11" s="183"/>
      <c r="D11" s="183"/>
    </row>
    <row r="12" spans="1:4" ht="30" customHeight="1" x14ac:dyDescent="0.2">
      <c r="A12" s="187" t="s">
        <v>59</v>
      </c>
      <c r="B12" s="191" t="s">
        <v>1072</v>
      </c>
      <c r="C12" s="183"/>
      <c r="D12" s="183"/>
    </row>
    <row r="13" spans="1:4" ht="12.75" customHeight="1" x14ac:dyDescent="0.2">
      <c r="A13" s="185"/>
      <c r="B13" s="191"/>
      <c r="C13" s="183"/>
      <c r="D13" s="183"/>
    </row>
    <row r="14" spans="1:4" ht="25.5" customHeight="1" x14ac:dyDescent="0.2">
      <c r="A14" s="187" t="s">
        <v>90</v>
      </c>
      <c r="B14" s="191" t="s">
        <v>1073</v>
      </c>
      <c r="C14" s="183"/>
      <c r="D14" s="183"/>
    </row>
    <row r="15" spans="1:4" x14ac:dyDescent="0.2">
      <c r="A15" s="185"/>
      <c r="B15" s="185"/>
      <c r="C15" s="183"/>
      <c r="D15" s="183"/>
    </row>
    <row r="16" spans="1:4" ht="25.5" customHeight="1" x14ac:dyDescent="0.2">
      <c r="A16" s="187" t="s">
        <v>91</v>
      </c>
      <c r="B16" s="191" t="s">
        <v>1074</v>
      </c>
      <c r="C16" s="183"/>
      <c r="D16" s="183"/>
    </row>
    <row r="17" spans="1:4" x14ac:dyDescent="0.2">
      <c r="A17" s="187"/>
      <c r="B17" s="185"/>
      <c r="C17" s="183"/>
      <c r="D17" s="183"/>
    </row>
    <row r="18" spans="1:4" x14ac:dyDescent="0.2">
      <c r="A18" s="187"/>
      <c r="B18" s="185"/>
      <c r="C18" s="183"/>
      <c r="D18" s="183"/>
    </row>
    <row r="19" spans="1:4" ht="25.5" customHeight="1" x14ac:dyDescent="0.2">
      <c r="A19" s="187" t="s">
        <v>92</v>
      </c>
      <c r="B19" s="191" t="s">
        <v>1075</v>
      </c>
      <c r="C19" s="183"/>
      <c r="D19" s="183"/>
    </row>
    <row r="20" spans="1:4" x14ac:dyDescent="0.2">
      <c r="A20" s="185"/>
      <c r="B20" s="185"/>
      <c r="C20" s="183"/>
      <c r="D20" s="183"/>
    </row>
    <row r="21" spans="1:4" x14ac:dyDescent="0.2">
      <c r="A21" s="188"/>
      <c r="B21" s="188"/>
      <c r="C21" s="184"/>
      <c r="D21" s="183"/>
    </row>
    <row r="22" spans="1:4" x14ac:dyDescent="0.2">
      <c r="A22" s="185"/>
      <c r="B22" s="185"/>
      <c r="C22" s="189"/>
      <c r="D22" s="183"/>
    </row>
    <row r="23" spans="1:4" ht="15.75" x14ac:dyDescent="0.2">
      <c r="A23" s="185"/>
      <c r="B23" s="186" t="s">
        <v>1067</v>
      </c>
      <c r="C23" s="190"/>
      <c r="D23" s="183"/>
    </row>
    <row r="24" spans="1:4" x14ac:dyDescent="0.2">
      <c r="A24" s="185"/>
      <c r="B24" s="185"/>
      <c r="C24" s="189"/>
      <c r="D24" s="183"/>
    </row>
    <row r="25" spans="1:4" x14ac:dyDescent="0.2">
      <c r="A25" s="185"/>
      <c r="B25" s="185"/>
      <c r="C25" s="189"/>
      <c r="D25" s="183"/>
    </row>
    <row r="26" spans="1:4" x14ac:dyDescent="0.2">
      <c r="A26" s="185"/>
      <c r="B26" s="185"/>
      <c r="C26" s="189"/>
      <c r="D26" s="183"/>
    </row>
    <row r="27" spans="1:4" x14ac:dyDescent="0.2">
      <c r="A27" s="185"/>
      <c r="B27" s="185"/>
      <c r="C27" s="189"/>
      <c r="D27" s="183"/>
    </row>
    <row r="28" spans="1:4" x14ac:dyDescent="0.2">
      <c r="A28" s="185"/>
      <c r="B28" s="185"/>
      <c r="C28" s="189"/>
      <c r="D28" s="183"/>
    </row>
    <row r="29" spans="1:4" x14ac:dyDescent="0.2">
      <c r="A29" s="185"/>
      <c r="B29" s="185"/>
      <c r="C29" s="189"/>
      <c r="D29" s="183"/>
    </row>
    <row r="30" spans="1:4" x14ac:dyDescent="0.2">
      <c r="A30" s="185"/>
      <c r="B30" s="185"/>
      <c r="C30" s="189"/>
      <c r="D30" s="183"/>
    </row>
    <row r="31" spans="1:4" x14ac:dyDescent="0.2">
      <c r="A31" s="185"/>
      <c r="B31" s="185"/>
      <c r="C31" s="189"/>
      <c r="D31" s="183"/>
    </row>
    <row r="32" spans="1:4" x14ac:dyDescent="0.2">
      <c r="A32" s="185"/>
      <c r="B32" s="185"/>
      <c r="C32" s="189"/>
      <c r="D32" s="183"/>
    </row>
    <row r="33" spans="1:4" x14ac:dyDescent="0.2">
      <c r="A33" s="188"/>
      <c r="B33" s="188"/>
      <c r="C33" s="184"/>
      <c r="D33" s="183"/>
    </row>
    <row r="34" spans="1:4" x14ac:dyDescent="0.2">
      <c r="A34" s="183"/>
      <c r="B34" s="183"/>
      <c r="C34" s="183"/>
      <c r="D34" s="183"/>
    </row>
    <row r="35" spans="1:4" x14ac:dyDescent="0.2">
      <c r="A35" s="183"/>
      <c r="B35" s="183"/>
      <c r="C35" s="183"/>
      <c r="D35" s="183"/>
    </row>
    <row r="36" spans="1:4" x14ac:dyDescent="0.2">
      <c r="A36" s="183"/>
      <c r="B36" s="183"/>
      <c r="C36" s="183"/>
      <c r="D36" s="183"/>
    </row>
    <row r="37" spans="1:4" x14ac:dyDescent="0.2">
      <c r="A37" s="183"/>
      <c r="B37" s="183"/>
      <c r="C37" s="183"/>
      <c r="D37" s="183"/>
    </row>
    <row r="38" spans="1:4" x14ac:dyDescent="0.2">
      <c r="A38" s="183"/>
      <c r="B38" s="183"/>
      <c r="C38" s="183"/>
      <c r="D38" s="183"/>
    </row>
    <row r="39" spans="1:4" x14ac:dyDescent="0.2">
      <c r="A39" s="183"/>
      <c r="B39" s="183"/>
      <c r="C39" s="183"/>
      <c r="D39" s="183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AC2" sqref="AC2:AC312"/>
    </sheetView>
  </sheetViews>
  <sheetFormatPr defaultColWidth="10.7109375" defaultRowHeight="12.75" x14ac:dyDescent="0.2"/>
  <cols>
    <col min="1" max="1" width="11.42578125" style="205" bestFit="1" customWidth="1"/>
    <col min="2" max="2" width="11.7109375" style="202" bestFit="1" customWidth="1"/>
    <col min="3" max="3" width="7.85546875" style="201" bestFit="1" customWidth="1"/>
    <col min="4" max="4" width="11.7109375" style="202" bestFit="1" customWidth="1"/>
    <col min="5" max="5" width="6.28515625" style="202" bestFit="1" customWidth="1"/>
    <col min="6" max="6" width="12.85546875" style="202" bestFit="1" customWidth="1"/>
    <col min="7" max="7" width="12.7109375" style="202" bestFit="1" customWidth="1"/>
    <col min="8" max="8" width="12.85546875" style="202" bestFit="1" customWidth="1"/>
    <col min="9" max="9" width="14.85546875" style="202" bestFit="1" customWidth="1"/>
    <col min="10" max="10" width="6.5703125" style="202" bestFit="1" customWidth="1"/>
    <col min="11" max="11" width="5.5703125" style="202" bestFit="1" customWidth="1"/>
    <col min="12" max="12" width="12.42578125" style="202" bestFit="1" customWidth="1"/>
    <col min="13" max="13" width="9.42578125" style="202" bestFit="1" customWidth="1"/>
    <col min="14" max="14" width="12.85546875" style="202" bestFit="1" customWidth="1"/>
    <col min="15" max="15" width="8" style="202" bestFit="1" customWidth="1"/>
    <col min="16" max="16" width="8.42578125" style="202" bestFit="1" customWidth="1"/>
    <col min="17" max="17" width="11.28515625" style="202" bestFit="1" customWidth="1"/>
    <col min="18" max="18" width="31.42578125" style="202" bestFit="1" customWidth="1"/>
    <col min="19" max="22" width="12.7109375" style="206" bestFit="1" customWidth="1"/>
    <col min="23" max="24" width="11.42578125" style="202" bestFit="1" customWidth="1"/>
    <col min="25" max="27" width="7" style="202" bestFit="1" customWidth="1"/>
    <col min="28" max="28" width="10.85546875" bestFit="1" customWidth="1"/>
    <col min="29" max="29" width="15.85546875" bestFit="1" customWidth="1"/>
    <col min="30" max="30" width="11.42578125" bestFit="1" customWidth="1"/>
    <col min="31" max="31" width="11.7109375" style="192" bestFit="1" customWidth="1"/>
    <col min="32" max="32" width="7.85546875" style="206" bestFit="1" customWidth="1"/>
    <col min="33" max="33" width="11.7109375" style="206" bestFit="1" customWidth="1"/>
    <col min="34" max="34" width="6.28515625" style="206" bestFit="1" customWidth="1"/>
    <col min="35" max="35" width="12.85546875" style="206" bestFit="1" customWidth="1"/>
    <col min="36" max="36" width="12.7109375" style="206" bestFit="1" customWidth="1"/>
    <col min="37" max="37" width="12.85546875" style="206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20" bestFit="1" customWidth="1"/>
    <col min="47" max="47" width="31.42578125" style="220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92" bestFit="1" customWidth="1"/>
    <col min="57" max="57" width="10.85546875" style="192" bestFit="1" customWidth="1"/>
    <col min="58" max="58" width="15.85546875" bestFit="1" customWidth="1"/>
    <col min="59" max="59" width="27.28515625" style="202" bestFit="1" customWidth="1"/>
    <col min="60" max="60" width="6.5703125" style="202" bestFit="1" customWidth="1"/>
    <col min="61" max="61" width="9.5703125" style="202" bestFit="1" customWidth="1"/>
    <col min="62" max="64" width="11.5703125" style="202" bestFit="1" customWidth="1"/>
    <col min="65" max="65" width="7" style="202" bestFit="1" customWidth="1"/>
    <col min="66" max="66" width="11" style="202" bestFit="1" customWidth="1"/>
    <col min="67" max="67" width="8.85546875" style="202" bestFit="1" customWidth="1"/>
    <col min="68" max="69" width="10.7109375" style="202" bestFit="1" customWidth="1"/>
    <col min="70" max="70" width="11.42578125" style="202" bestFit="1" customWidth="1"/>
    <col min="71" max="71" width="11.85546875" style="202" bestFit="1" customWidth="1"/>
    <col min="72" max="72" width="6.42578125" style="202" bestFit="1" customWidth="1"/>
    <col min="73" max="73" width="6.42578125" style="205" bestFit="1" customWidth="1"/>
    <col min="74" max="74" width="6.42578125" style="202" bestFit="1" customWidth="1"/>
    <col min="75" max="75" width="10.7109375" style="202" bestFit="1" customWidth="1"/>
    <col min="76" max="76" width="11.140625" style="205" bestFit="1" customWidth="1"/>
    <col min="77" max="77" width="12.140625" style="205" bestFit="1" customWidth="1"/>
    <col min="78" max="78" width="12" style="202" bestFit="1" customWidth="1"/>
    <col min="79" max="79" width="12.140625" style="202" bestFit="1" customWidth="1"/>
    <col min="80" max="80" width="10.42578125" style="202" bestFit="1" customWidth="1"/>
    <col min="81" max="81" width="6" style="202" bestFit="1" customWidth="1"/>
    <col min="82" max="82" width="5.85546875" style="202" bestFit="1" customWidth="1"/>
    <col min="83" max="83" width="6.28515625" style="202" bestFit="1" customWidth="1"/>
    <col min="84" max="84" width="7.28515625" style="202" bestFit="1" customWidth="1"/>
    <col min="85" max="85" width="8.7109375" style="202" bestFit="1" customWidth="1"/>
    <col min="86" max="86" width="7.7109375" style="202" bestFit="1" customWidth="1"/>
    <col min="87" max="87" width="14.28515625" style="202" bestFit="1" customWidth="1"/>
    <col min="88" max="88" width="10.42578125" style="202" bestFit="1" customWidth="1"/>
    <col min="89" max="89" width="27.28515625" style="202" bestFit="1" customWidth="1"/>
    <col min="90" max="90" width="11.5703125" style="202" bestFit="1" customWidth="1"/>
    <col min="91" max="91" width="11.5703125" style="205" bestFit="1" customWidth="1"/>
    <col min="92" max="93" width="11.5703125" style="202" bestFit="1" customWidth="1"/>
    <col min="94" max="95" width="10.7109375" style="202" bestFit="1" customWidth="1"/>
    <col min="96" max="98" width="6.42578125" style="202" bestFit="1" customWidth="1"/>
    <col min="99" max="99" width="8.7109375" style="202" bestFit="1" customWidth="1"/>
    <col min="100" max="100" width="14.28515625" style="202" bestFit="1" customWidth="1"/>
    <col min="101" max="101" width="10.7109375" style="202"/>
    <col min="102" max="102" width="11.140625" style="202" bestFit="1" customWidth="1"/>
    <col min="103" max="103" width="7" style="202" bestFit="1" customWidth="1"/>
    <col min="104" max="104" width="11" style="202" bestFit="1" customWidth="1"/>
    <col min="105" max="105" width="7" style="202" bestFit="1" customWidth="1"/>
    <col min="106" max="106" width="12.140625" style="202" bestFit="1" customWidth="1"/>
    <col min="107" max="107" width="12" style="202" bestFit="1" customWidth="1"/>
    <col min="108" max="108" width="12.140625" style="202" bestFit="1" customWidth="1"/>
    <col min="109" max="109" width="6" style="202" bestFit="1" customWidth="1"/>
    <col min="110" max="110" width="5.85546875" style="202" bestFit="1" customWidth="1"/>
    <col min="111" max="111" width="6.28515625" style="202" bestFit="1" customWidth="1"/>
    <col min="112" max="112" width="11.42578125" style="202" bestFit="1" customWidth="1"/>
    <col min="113" max="113" width="8.85546875" style="202" bestFit="1" customWidth="1"/>
    <col min="114" max="114" width="11.85546875" style="202" bestFit="1" customWidth="1"/>
    <col min="115" max="115" width="7.28515625" style="202" bestFit="1" customWidth="1"/>
    <col min="116" max="116" width="7.7109375" style="202" bestFit="1" customWidth="1"/>
    <col min="117" max="117" width="10.42578125" style="202" bestFit="1" customWidth="1"/>
    <col min="118" max="118" width="27.28515625" style="202" bestFit="1" customWidth="1"/>
    <col min="119" max="122" width="12" style="202" bestFit="1" customWidth="1"/>
    <col min="123" max="124" width="10.7109375" style="202"/>
    <col min="125" max="127" width="6.42578125" style="202" bestFit="1" customWidth="1"/>
    <col min="128" max="128" width="8.7109375" style="202" bestFit="1" customWidth="1"/>
    <col min="129" max="129" width="14.28515625" style="202" bestFit="1" customWidth="1"/>
    <col min="130" max="130" width="10.7109375" style="202"/>
    <col min="131" max="131" width="11.140625" style="202" bestFit="1" customWidth="1"/>
    <col min="132" max="132" width="7" style="202" bestFit="1" customWidth="1"/>
    <col min="133" max="133" width="11" style="202" bestFit="1" customWidth="1"/>
    <col min="134" max="134" width="7" style="202" bestFit="1" customWidth="1"/>
    <col min="135" max="135" width="12.140625" style="202" bestFit="1" customWidth="1"/>
    <col min="136" max="136" width="12" style="202" bestFit="1" customWidth="1"/>
    <col min="137" max="137" width="12.140625" style="202" bestFit="1" customWidth="1"/>
    <col min="138" max="138" width="6" style="202" bestFit="1" customWidth="1"/>
    <col min="139" max="139" width="5.85546875" style="202" bestFit="1" customWidth="1"/>
    <col min="140" max="140" width="6.28515625" style="202" bestFit="1" customWidth="1"/>
    <col min="141" max="141" width="11.42578125" style="202" bestFit="1" customWidth="1"/>
    <col min="142" max="142" width="8.85546875" style="202" bestFit="1" customWidth="1"/>
    <col min="143" max="143" width="11.85546875" style="202" bestFit="1" customWidth="1"/>
    <col min="144" max="144" width="7.28515625" style="202" bestFit="1" customWidth="1"/>
    <col min="145" max="145" width="7.7109375" style="202" bestFit="1" customWidth="1"/>
    <col min="146" max="146" width="10.42578125" style="202" bestFit="1" customWidth="1"/>
    <col min="147" max="147" width="27.28515625" style="202" bestFit="1" customWidth="1"/>
    <col min="148" max="151" width="12" style="202" bestFit="1" customWidth="1"/>
    <col min="152" max="153" width="10.7109375" style="202"/>
    <col min="154" max="156" width="6.42578125" style="202" bestFit="1" customWidth="1"/>
    <col min="157" max="157" width="8.7109375" style="202" bestFit="1" customWidth="1"/>
    <col min="158" max="158" width="14.28515625" style="202" bestFit="1" customWidth="1"/>
    <col min="159" max="159" width="10.7109375" style="202"/>
    <col min="160" max="160" width="11.140625" style="202" bestFit="1" customWidth="1"/>
    <col min="161" max="161" width="7" style="202" bestFit="1" customWidth="1"/>
    <col min="162" max="162" width="11" style="202" bestFit="1" customWidth="1"/>
    <col min="163" max="163" width="7" style="202" bestFit="1" customWidth="1"/>
    <col min="164" max="164" width="12.140625" style="202" bestFit="1" customWidth="1"/>
    <col min="165" max="165" width="12" style="202" bestFit="1" customWidth="1"/>
    <col min="166" max="166" width="12.140625" style="202" bestFit="1" customWidth="1"/>
    <col min="167" max="167" width="6" style="202" bestFit="1" customWidth="1"/>
    <col min="168" max="168" width="5.85546875" style="202" bestFit="1" customWidth="1"/>
    <col min="169" max="169" width="6.28515625" style="202" bestFit="1" customWidth="1"/>
    <col min="170" max="170" width="11.42578125" style="202" bestFit="1" customWidth="1"/>
    <col min="171" max="171" width="8.85546875" style="202" bestFit="1" customWidth="1"/>
    <col min="172" max="172" width="11.85546875" style="202" bestFit="1" customWidth="1"/>
    <col min="173" max="173" width="7.28515625" style="202" bestFit="1" customWidth="1"/>
    <col min="174" max="174" width="7.7109375" style="202" bestFit="1" customWidth="1"/>
    <col min="175" max="175" width="10.42578125" style="202" bestFit="1" customWidth="1"/>
    <col min="176" max="176" width="27.28515625" style="202" bestFit="1" customWidth="1"/>
    <col min="177" max="180" width="12" style="202" bestFit="1" customWidth="1"/>
    <col min="181" max="182" width="10.7109375" style="202"/>
    <col min="183" max="185" width="6.42578125" style="202" bestFit="1" customWidth="1"/>
    <col min="186" max="186" width="7.42578125" style="202" bestFit="1" customWidth="1"/>
    <col min="187" max="187" width="11.140625" style="202" bestFit="1" customWidth="1"/>
    <col min="188" max="188" width="10.7109375" style="202"/>
    <col min="189" max="189" width="11.140625" style="202" bestFit="1" customWidth="1"/>
    <col min="190" max="190" width="7" style="202" bestFit="1" customWidth="1"/>
    <col min="191" max="191" width="11" style="202" bestFit="1" customWidth="1"/>
    <col min="192" max="192" width="7" style="202" bestFit="1" customWidth="1"/>
    <col min="193" max="193" width="12.140625" style="202" bestFit="1" customWidth="1"/>
    <col min="194" max="194" width="12" style="202" bestFit="1" customWidth="1"/>
    <col min="195" max="195" width="12.140625" style="202" bestFit="1" customWidth="1"/>
    <col min="196" max="196" width="6" style="202" bestFit="1" customWidth="1"/>
    <col min="197" max="197" width="5.85546875" style="202" bestFit="1" customWidth="1"/>
    <col min="198" max="198" width="6.28515625" style="202" bestFit="1" customWidth="1"/>
    <col min="199" max="199" width="11.42578125" style="202" bestFit="1" customWidth="1"/>
    <col min="200" max="200" width="8.85546875" style="202" bestFit="1" customWidth="1"/>
    <col min="201" max="201" width="11.85546875" style="202" bestFit="1" customWidth="1"/>
    <col min="202" max="202" width="7.28515625" style="202" bestFit="1" customWidth="1"/>
    <col min="203" max="203" width="7.7109375" style="202" bestFit="1" customWidth="1"/>
    <col min="204" max="204" width="10.42578125" style="202" bestFit="1" customWidth="1"/>
    <col min="205" max="205" width="27.28515625" style="202" bestFit="1" customWidth="1"/>
    <col min="206" max="209" width="12" style="202" bestFit="1" customWidth="1"/>
    <col min="210" max="211" width="10.7109375" style="202"/>
    <col min="212" max="214" width="6.42578125" style="202" bestFit="1" customWidth="1"/>
    <col min="215" max="215" width="7.42578125" style="202" bestFit="1" customWidth="1"/>
    <col min="216" max="216" width="11.140625" style="202" bestFit="1" customWidth="1"/>
    <col min="217" max="217" width="27.28515625" style="202" bestFit="1" customWidth="1"/>
    <col min="218" max="218" width="7" style="202" customWidth="1"/>
    <col min="219" max="222" width="12" style="202" bestFit="1" customWidth="1"/>
    <col min="223" max="223" width="7" style="202" customWidth="1"/>
    <col min="224" max="224" width="11" style="202" bestFit="1" customWidth="1"/>
    <col min="225" max="225" width="8.85546875" style="202" customWidth="1"/>
    <col min="226" max="227" width="10.7109375" style="202"/>
    <col min="228" max="228" width="11.42578125" style="202" bestFit="1" customWidth="1"/>
    <col min="229" max="229" width="11.85546875" style="202" bestFit="1" customWidth="1"/>
    <col min="230" max="232" width="6.42578125" style="202" customWidth="1"/>
    <col min="233" max="233" width="10.7109375" style="202"/>
    <col min="234" max="234" width="11.140625" style="202" bestFit="1" customWidth="1"/>
    <col min="235" max="235" width="12.140625" style="202" bestFit="1" customWidth="1"/>
    <col min="236" max="236" width="12" style="202" bestFit="1" customWidth="1"/>
    <col min="237" max="237" width="12.140625" style="202" bestFit="1" customWidth="1"/>
    <col min="238" max="238" width="10.42578125" style="202" customWidth="1"/>
    <col min="239" max="239" width="6" style="202" customWidth="1"/>
    <col min="240" max="240" width="5.85546875" style="202" customWidth="1"/>
    <col min="241" max="241" width="6.28515625" style="202" customWidth="1"/>
    <col min="242" max="242" width="7.28515625" style="202" customWidth="1"/>
    <col min="243" max="243" width="7.42578125" style="202" customWidth="1"/>
    <col min="244" max="244" width="7.7109375" style="202" customWidth="1"/>
    <col min="245" max="245" width="11.140625" style="202" bestFit="1" customWidth="1"/>
    <col min="246" max="246" width="11.7109375" style="202" bestFit="1" customWidth="1"/>
    <col min="247" max="247" width="11.85546875" style="202" bestFit="1" customWidth="1"/>
    <col min="248" max="248" width="7.5703125" style="202" bestFit="1" customWidth="1"/>
    <col min="249" max="249" width="12" style="202" bestFit="1" customWidth="1"/>
    <col min="250" max="250" width="7" style="202" bestFit="1" customWidth="1"/>
    <col min="251" max="251" width="12.85546875" style="202" bestFit="1" customWidth="1"/>
    <col min="252" max="253" width="13.28515625" style="202" bestFit="1" customWidth="1"/>
    <col min="254" max="254" width="6.42578125" style="202" bestFit="1" customWidth="1"/>
    <col min="255" max="255" width="6.28515625" style="202" bestFit="1" customWidth="1"/>
    <col min="256" max="256" width="6.42578125" style="202" bestFit="1" customWidth="1"/>
    <col min="257" max="257" width="12.140625" style="202" bestFit="1" customWidth="1"/>
    <col min="258" max="258" width="9.5703125" style="202" bestFit="1" customWidth="1"/>
    <col min="259" max="259" width="12.5703125" style="202" bestFit="1" customWidth="1"/>
    <col min="260" max="260" width="7.7109375" style="202" bestFit="1" customWidth="1"/>
    <col min="261" max="261" width="7.85546875" style="202" bestFit="1" customWidth="1"/>
    <col min="262" max="262" width="11.5703125" style="202" bestFit="1" customWidth="1"/>
    <col min="263" max="263" width="27.28515625" style="202" bestFit="1" customWidth="1"/>
    <col min="264" max="267" width="12" style="202" bestFit="1" customWidth="1"/>
    <col min="268" max="268" width="12.140625" style="202" bestFit="1" customWidth="1"/>
    <col min="269" max="269" width="11.5703125" style="202" bestFit="1" customWidth="1"/>
    <col min="270" max="272" width="7.140625" style="202" bestFit="1" customWidth="1"/>
    <col min="273" max="273" width="7.85546875" style="202" bestFit="1" customWidth="1"/>
    <col min="274" max="274" width="11.140625" style="202" bestFit="1" customWidth="1"/>
    <col min="275" max="276" width="10.7109375" style="202"/>
    <col min="277" max="277" width="14.140625" style="202" bestFit="1" customWidth="1"/>
    <col min="278" max="278" width="12.28515625" style="202" bestFit="1" customWidth="1"/>
    <col min="279" max="279" width="10.7109375" style="202"/>
    <col min="280" max="280" width="10.28515625" style="202" customWidth="1"/>
    <col min="281" max="16384" width="10.7109375" style="202"/>
  </cols>
  <sheetData>
    <row r="1" spans="1:282" ht="15" x14ac:dyDescent="0.2">
      <c r="A1" s="220" t="s">
        <v>149</v>
      </c>
      <c r="B1" s="220" t="s">
        <v>150</v>
      </c>
      <c r="C1" s="206" t="s">
        <v>140</v>
      </c>
      <c r="D1" s="206" t="s">
        <v>63</v>
      </c>
      <c r="E1" s="192" t="s">
        <v>135</v>
      </c>
      <c r="F1" s="206" t="s">
        <v>151</v>
      </c>
      <c r="G1" s="206" t="s">
        <v>152</v>
      </c>
      <c r="H1" s="206" t="s">
        <v>153</v>
      </c>
      <c r="I1" s="206" t="s">
        <v>155</v>
      </c>
      <c r="J1" s="206" t="s">
        <v>253</v>
      </c>
      <c r="K1" s="206" t="s">
        <v>254</v>
      </c>
      <c r="L1" s="206" t="s">
        <v>144</v>
      </c>
      <c r="M1" s="206" t="s">
        <v>141</v>
      </c>
      <c r="N1" s="206" t="s">
        <v>145</v>
      </c>
      <c r="O1" s="192" t="s">
        <v>156</v>
      </c>
      <c r="P1" s="192" t="s">
        <v>158</v>
      </c>
      <c r="Q1" s="206" t="s">
        <v>154</v>
      </c>
      <c r="R1" s="206" t="s">
        <v>134</v>
      </c>
      <c r="S1" s="206" t="s">
        <v>136</v>
      </c>
      <c r="T1" s="206" t="s">
        <v>137</v>
      </c>
      <c r="U1" s="206" t="s">
        <v>138</v>
      </c>
      <c r="V1" s="206" t="s">
        <v>139</v>
      </c>
      <c r="W1" s="206" t="s">
        <v>142</v>
      </c>
      <c r="X1" s="206" t="s">
        <v>143</v>
      </c>
      <c r="Y1" s="206" t="s">
        <v>146</v>
      </c>
      <c r="Z1" s="206" t="s">
        <v>147</v>
      </c>
      <c r="AA1" s="206" t="s">
        <v>148</v>
      </c>
      <c r="AB1" s="206" t="s">
        <v>157</v>
      </c>
      <c r="AC1" s="206" t="s">
        <v>159</v>
      </c>
      <c r="AD1" s="206"/>
      <c r="AL1" s="206"/>
      <c r="AM1" s="206"/>
      <c r="AN1" s="206"/>
      <c r="AO1" s="206"/>
      <c r="AP1" s="206"/>
      <c r="AQ1" s="206"/>
      <c r="AR1" s="206"/>
      <c r="AS1" s="206"/>
      <c r="AV1" s="206"/>
      <c r="AW1" s="206"/>
      <c r="AX1" s="206"/>
      <c r="AY1" s="206"/>
      <c r="AZ1" s="206"/>
      <c r="BA1" s="206"/>
      <c r="BB1" s="206"/>
      <c r="BD1" s="206"/>
      <c r="BF1" s="206"/>
      <c r="BG1" s="201"/>
      <c r="BH1" s="201"/>
      <c r="BI1" s="201"/>
      <c r="BJ1" s="201"/>
      <c r="BK1" s="201"/>
      <c r="BL1" s="201"/>
      <c r="BM1" s="201"/>
      <c r="BN1" s="201"/>
      <c r="BO1" s="201"/>
      <c r="BP1" s="201"/>
      <c r="BQ1" s="201"/>
      <c r="BR1" s="201"/>
      <c r="BS1" s="201"/>
      <c r="BT1" s="201"/>
      <c r="BU1" s="201"/>
      <c r="BV1" s="201"/>
      <c r="BW1" s="201"/>
      <c r="BX1" s="201"/>
      <c r="BY1" s="201"/>
      <c r="BZ1" s="201"/>
      <c r="CA1" s="201"/>
      <c r="CB1" s="201"/>
      <c r="CC1" s="201"/>
      <c r="CD1" s="201"/>
      <c r="CE1" s="201"/>
      <c r="CF1" s="201"/>
      <c r="CG1" s="201"/>
      <c r="CH1" s="201"/>
      <c r="CI1" s="201"/>
      <c r="CJ1" s="201"/>
      <c r="CK1" s="201"/>
      <c r="CL1" s="201"/>
      <c r="CM1" s="201"/>
      <c r="CN1" s="201"/>
      <c r="CO1" s="201"/>
      <c r="CP1" s="201"/>
      <c r="CQ1" s="201"/>
      <c r="CR1" s="201"/>
      <c r="CS1" s="201"/>
      <c r="CT1" s="201"/>
      <c r="CU1" s="201"/>
      <c r="CV1" s="201"/>
      <c r="IL1" s="203"/>
      <c r="IM1" s="203"/>
      <c r="IP1" s="204"/>
      <c r="IQ1" s="204"/>
      <c r="IR1" s="203"/>
      <c r="IS1" s="203"/>
      <c r="IT1" s="203"/>
      <c r="IW1" s="204"/>
      <c r="IY1" s="204"/>
      <c r="JB1" s="203"/>
      <c r="JC1" s="203"/>
      <c r="JD1" s="203"/>
      <c r="JE1" s="203"/>
      <c r="JF1" s="204"/>
      <c r="JG1" s="204"/>
      <c r="JI1" s="204"/>
      <c r="JJ1" s="203"/>
      <c r="JK1" s="203"/>
      <c r="JL1" s="203"/>
      <c r="JN1" s="203"/>
      <c r="JQ1" s="203"/>
      <c r="JR1" s="203"/>
      <c r="JV1" s="203"/>
    </row>
    <row r="2" spans="1:282" x14ac:dyDescent="0.2">
      <c r="A2" s="220">
        <v>1</v>
      </c>
      <c r="B2" s="220">
        <v>0</v>
      </c>
      <c r="C2" s="206" t="s">
        <v>255</v>
      </c>
      <c r="D2" s="206" t="s">
        <v>256</v>
      </c>
      <c r="E2" s="192">
        <v>66.27</v>
      </c>
      <c r="F2" s="206"/>
      <c r="G2" s="206"/>
      <c r="H2" s="206"/>
      <c r="I2" s="206" t="s">
        <v>257</v>
      </c>
      <c r="J2">
        <v>4483</v>
      </c>
      <c r="K2">
        <v>462</v>
      </c>
      <c r="L2" s="206"/>
      <c r="M2" s="206"/>
      <c r="N2" s="206"/>
      <c r="O2" s="192">
        <v>23.11</v>
      </c>
      <c r="P2" s="192">
        <v>20.54</v>
      </c>
      <c r="Q2" s="206" t="s">
        <v>258</v>
      </c>
      <c r="R2" s="206" t="s">
        <v>259</v>
      </c>
      <c r="S2" s="206">
        <v>792816.86849999998</v>
      </c>
      <c r="T2" s="206">
        <v>2187814.0490000001</v>
      </c>
      <c r="U2" s="206">
        <v>792879.74120000005</v>
      </c>
      <c r="V2" s="206">
        <v>2187793.0920000002</v>
      </c>
      <c r="W2" s="206"/>
      <c r="X2" s="206"/>
      <c r="Y2" s="206"/>
      <c r="Z2" s="206"/>
      <c r="AA2" s="206"/>
      <c r="AB2" s="206" t="s">
        <v>256</v>
      </c>
      <c r="AC2" s="206" t="s">
        <v>258</v>
      </c>
      <c r="AD2" s="206"/>
      <c r="AL2" s="206"/>
      <c r="AM2" s="206"/>
      <c r="AN2" s="206"/>
      <c r="AO2" s="206"/>
      <c r="AP2" s="206"/>
      <c r="AQ2" s="206"/>
      <c r="AR2" s="206"/>
      <c r="AS2" s="206"/>
      <c r="AV2" s="206"/>
      <c r="AW2" s="206"/>
      <c r="AX2" s="206"/>
      <c r="AY2" s="206"/>
      <c r="AZ2" s="206"/>
      <c r="BD2" s="206"/>
      <c r="BF2" s="206"/>
    </row>
    <row r="3" spans="1:282" x14ac:dyDescent="0.2">
      <c r="A3" s="220">
        <v>0</v>
      </c>
      <c r="B3" s="220">
        <v>0</v>
      </c>
      <c r="C3" s="206" t="s">
        <v>255</v>
      </c>
      <c r="D3" s="206" t="s">
        <v>258</v>
      </c>
      <c r="E3" s="192">
        <v>57.66</v>
      </c>
      <c r="F3" s="206" t="s">
        <v>256</v>
      </c>
      <c r="G3" s="206"/>
      <c r="H3" s="206"/>
      <c r="I3" s="206"/>
      <c r="J3" s="206"/>
      <c r="K3" s="206"/>
      <c r="L3" s="206"/>
      <c r="M3" s="206"/>
      <c r="N3" s="206"/>
      <c r="O3" s="192">
        <v>20.54</v>
      </c>
      <c r="P3" s="192">
        <v>18.86</v>
      </c>
      <c r="Q3" s="206" t="s">
        <v>260</v>
      </c>
      <c r="R3" s="206" t="s">
        <v>261</v>
      </c>
      <c r="S3" s="206">
        <v>792879.74120000005</v>
      </c>
      <c r="T3" s="206">
        <v>2187793.0920000002</v>
      </c>
      <c r="U3" s="206">
        <v>792934.45380000002</v>
      </c>
      <c r="V3" s="206">
        <v>2187774.9040000001</v>
      </c>
      <c r="W3" s="206"/>
      <c r="X3" s="206"/>
      <c r="Y3" s="206"/>
      <c r="Z3" s="206"/>
      <c r="AA3" s="206"/>
      <c r="AB3" s="206" t="s">
        <v>258</v>
      </c>
      <c r="AC3" s="206" t="s">
        <v>260</v>
      </c>
      <c r="AD3" s="206"/>
      <c r="AL3" s="206"/>
      <c r="AM3" s="206"/>
      <c r="AN3" s="206"/>
      <c r="AO3" s="206"/>
      <c r="AP3" s="206"/>
      <c r="AQ3" s="206"/>
      <c r="AR3" s="206"/>
      <c r="AS3" s="206"/>
      <c r="AV3" s="206"/>
      <c r="AW3" s="206"/>
      <c r="AX3" s="206"/>
      <c r="AY3" s="206"/>
      <c r="AZ3" s="206"/>
      <c r="BA3" s="206"/>
      <c r="BB3" s="206"/>
      <c r="BD3" s="206"/>
      <c r="BF3" s="206"/>
      <c r="BG3" s="201"/>
      <c r="BJ3" s="201"/>
      <c r="BK3" s="201"/>
      <c r="BL3" s="201"/>
      <c r="BM3" s="201"/>
      <c r="BN3" s="201"/>
      <c r="BO3" s="201"/>
      <c r="BP3" s="201"/>
      <c r="BQ3" s="201"/>
      <c r="BR3" s="201"/>
      <c r="BS3" s="201"/>
      <c r="BT3" s="201"/>
      <c r="BU3" s="201"/>
      <c r="BV3" s="201"/>
      <c r="BW3" s="201"/>
      <c r="BX3" s="201"/>
      <c r="BY3" s="201"/>
      <c r="BZ3" s="201"/>
      <c r="CA3" s="201"/>
      <c r="CB3" s="201"/>
      <c r="CC3" s="201"/>
      <c r="CD3" s="201"/>
      <c r="CE3" s="201"/>
      <c r="CF3" s="201"/>
      <c r="CG3" s="201"/>
      <c r="CH3" s="201"/>
      <c r="CI3" s="201"/>
      <c r="CJ3" s="201"/>
      <c r="CK3" s="201"/>
      <c r="CL3" s="201"/>
      <c r="CM3" s="201"/>
      <c r="CN3" s="201"/>
      <c r="CO3" s="201"/>
      <c r="CP3" s="201"/>
      <c r="CQ3" s="201"/>
      <c r="CR3" s="201"/>
      <c r="CS3" s="201"/>
      <c r="CT3" s="201"/>
      <c r="CU3" s="201"/>
      <c r="CV3" s="201"/>
    </row>
    <row r="4" spans="1:282" x14ac:dyDescent="0.2">
      <c r="A4" s="220">
        <v>0</v>
      </c>
      <c r="B4" s="220">
        <v>0</v>
      </c>
      <c r="C4" s="206" t="s">
        <v>255</v>
      </c>
      <c r="D4" s="206" t="s">
        <v>260</v>
      </c>
      <c r="E4" s="192">
        <v>45.82</v>
      </c>
      <c r="F4" s="206" t="s">
        <v>258</v>
      </c>
      <c r="G4" s="206"/>
      <c r="H4" s="206"/>
      <c r="I4" s="206"/>
      <c r="J4"/>
      <c r="K4"/>
      <c r="L4" s="206"/>
      <c r="M4" s="206"/>
      <c r="N4" s="206"/>
      <c r="O4" s="192">
        <v>18.86</v>
      </c>
      <c r="P4" s="192">
        <v>17.89</v>
      </c>
      <c r="Q4" s="206" t="s">
        <v>262</v>
      </c>
      <c r="R4" s="206" t="s">
        <v>263</v>
      </c>
      <c r="S4" s="206">
        <v>792934.45380000002</v>
      </c>
      <c r="T4" s="206">
        <v>2187774.9040000001</v>
      </c>
      <c r="U4" s="206">
        <v>792977.87450000003</v>
      </c>
      <c r="V4" s="206">
        <v>2187760.27</v>
      </c>
      <c r="W4" s="206"/>
      <c r="X4" s="206"/>
      <c r="Y4" s="206"/>
      <c r="Z4" s="206"/>
      <c r="AA4" s="206"/>
      <c r="AB4" s="206" t="s">
        <v>260</v>
      </c>
      <c r="AC4" s="206" t="s">
        <v>262</v>
      </c>
      <c r="AD4" s="206"/>
      <c r="AL4" s="206"/>
      <c r="AM4" s="206"/>
      <c r="AN4" s="206"/>
      <c r="AO4" s="206"/>
      <c r="AP4" s="206"/>
      <c r="AQ4" s="206"/>
      <c r="AR4" s="206"/>
      <c r="AS4" s="206"/>
      <c r="AV4" s="206"/>
      <c r="AW4" s="206"/>
      <c r="AX4" s="206"/>
      <c r="AY4" s="206"/>
      <c r="AZ4" s="206"/>
      <c r="BD4" s="206"/>
      <c r="BF4" s="206"/>
    </row>
    <row r="5" spans="1:282" x14ac:dyDescent="0.2">
      <c r="A5" s="220">
        <v>0</v>
      </c>
      <c r="B5" s="220">
        <v>0</v>
      </c>
      <c r="C5" s="206" t="s">
        <v>255</v>
      </c>
      <c r="D5" s="206" t="s">
        <v>262</v>
      </c>
      <c r="E5" s="192">
        <v>48.09</v>
      </c>
      <c r="F5" s="206" t="s">
        <v>260</v>
      </c>
      <c r="G5" s="206" t="s">
        <v>264</v>
      </c>
      <c r="H5" s="206"/>
      <c r="I5" s="206"/>
      <c r="J5"/>
      <c r="K5"/>
      <c r="L5" s="206"/>
      <c r="M5" s="206"/>
      <c r="N5" s="206"/>
      <c r="O5" s="192">
        <v>17.89</v>
      </c>
      <c r="P5" s="192">
        <v>16.32</v>
      </c>
      <c r="Q5" s="206" t="s">
        <v>265</v>
      </c>
      <c r="R5" s="206" t="s">
        <v>266</v>
      </c>
      <c r="S5" s="206">
        <v>792977.87450000003</v>
      </c>
      <c r="T5" s="206">
        <v>2187760.27</v>
      </c>
      <c r="U5" s="206">
        <v>793023.37289999996</v>
      </c>
      <c r="V5" s="206">
        <v>2187744.702</v>
      </c>
      <c r="W5" s="206"/>
      <c r="X5" s="206"/>
      <c r="Y5" s="206"/>
      <c r="Z5" s="206"/>
      <c r="AA5" s="206"/>
      <c r="AB5" s="206" t="s">
        <v>262</v>
      </c>
      <c r="AC5" s="206" t="s">
        <v>265</v>
      </c>
      <c r="AD5" s="206"/>
      <c r="AL5" s="206"/>
      <c r="AM5" s="206"/>
      <c r="AN5" s="206"/>
      <c r="AO5" s="206"/>
      <c r="AP5" s="206"/>
      <c r="AQ5" s="206"/>
      <c r="AR5" s="206"/>
      <c r="AS5" s="206"/>
      <c r="AV5" s="206"/>
      <c r="AW5" s="206"/>
      <c r="AX5" s="206"/>
      <c r="AY5" s="206"/>
      <c r="AZ5" s="206"/>
      <c r="BD5" s="206"/>
      <c r="BF5" s="206"/>
    </row>
    <row r="6" spans="1:282" x14ac:dyDescent="0.2">
      <c r="A6" s="220">
        <v>0</v>
      </c>
      <c r="B6" s="220">
        <v>0</v>
      </c>
      <c r="C6" s="206" t="s">
        <v>255</v>
      </c>
      <c r="D6" s="206" t="s">
        <v>265</v>
      </c>
      <c r="E6" s="192">
        <v>49.52</v>
      </c>
      <c r="F6" s="206" t="s">
        <v>262</v>
      </c>
      <c r="G6" s="206"/>
      <c r="H6" s="206"/>
      <c r="I6" s="206"/>
      <c r="J6"/>
      <c r="K6"/>
      <c r="L6" s="206"/>
      <c r="M6" s="206"/>
      <c r="N6" s="206"/>
      <c r="O6" s="192">
        <v>16.32</v>
      </c>
      <c r="P6" s="192">
        <v>14.88</v>
      </c>
      <c r="Q6" s="206" t="s">
        <v>267</v>
      </c>
      <c r="R6" s="206" t="s">
        <v>268</v>
      </c>
      <c r="S6" s="206">
        <v>793023.37289999996</v>
      </c>
      <c r="T6" s="206">
        <v>2187744.702</v>
      </c>
      <c r="U6" s="206">
        <v>793070.28659999999</v>
      </c>
      <c r="V6" s="206">
        <v>2187728.8640000001</v>
      </c>
      <c r="W6" s="206"/>
      <c r="X6" s="206"/>
      <c r="Y6" s="206"/>
      <c r="Z6" s="206"/>
      <c r="AA6" s="206"/>
      <c r="AB6" s="206" t="s">
        <v>265</v>
      </c>
      <c r="AC6" s="206" t="s">
        <v>267</v>
      </c>
      <c r="AD6" s="206"/>
      <c r="AL6" s="206"/>
      <c r="AM6" s="206"/>
      <c r="AN6" s="206"/>
      <c r="AO6" s="206"/>
      <c r="AP6" s="206"/>
      <c r="AQ6" s="206"/>
      <c r="AR6" s="206"/>
      <c r="AS6" s="206"/>
      <c r="AV6" s="206"/>
      <c r="AW6" s="206"/>
      <c r="AX6" s="206"/>
      <c r="AY6" s="206"/>
      <c r="AZ6" s="206"/>
      <c r="BD6" s="206"/>
      <c r="BF6" s="206"/>
    </row>
    <row r="7" spans="1:282" x14ac:dyDescent="0.2">
      <c r="A7" s="220">
        <v>0</v>
      </c>
      <c r="B7" s="220">
        <v>0</v>
      </c>
      <c r="C7" s="206" t="s">
        <v>255</v>
      </c>
      <c r="D7" s="206" t="s">
        <v>267</v>
      </c>
      <c r="E7" s="192">
        <v>47.84</v>
      </c>
      <c r="F7" s="206" t="s">
        <v>265</v>
      </c>
      <c r="G7" s="206" t="s">
        <v>269</v>
      </c>
      <c r="H7" s="206"/>
      <c r="I7" s="206"/>
      <c r="J7"/>
      <c r="K7"/>
      <c r="L7" s="206"/>
      <c r="M7" s="206"/>
      <c r="N7" s="206"/>
      <c r="O7" s="192">
        <v>14.88</v>
      </c>
      <c r="P7" s="192">
        <v>13.7</v>
      </c>
      <c r="Q7" s="206" t="s">
        <v>270</v>
      </c>
      <c r="R7" s="206" t="s">
        <v>271</v>
      </c>
      <c r="S7" s="206">
        <v>793070.28659999999</v>
      </c>
      <c r="T7" s="206">
        <v>2187728.8640000001</v>
      </c>
      <c r="U7" s="206">
        <v>793115.62150000001</v>
      </c>
      <c r="V7" s="206">
        <v>2187713.571</v>
      </c>
      <c r="W7" s="206"/>
      <c r="X7" s="206"/>
      <c r="Y7" s="206"/>
      <c r="Z7" s="206"/>
      <c r="AA7" s="206"/>
      <c r="AB7" s="206" t="s">
        <v>267</v>
      </c>
      <c r="AC7" s="206" t="s">
        <v>270</v>
      </c>
      <c r="AD7" s="206"/>
      <c r="AL7" s="206"/>
      <c r="AM7" s="206"/>
      <c r="AN7" s="206"/>
      <c r="AO7" s="206"/>
      <c r="AP7" s="206"/>
      <c r="AQ7" s="206"/>
      <c r="AR7" s="206"/>
      <c r="AS7" s="206"/>
      <c r="AV7" s="206"/>
      <c r="AW7" s="206"/>
      <c r="AX7" s="206"/>
      <c r="AY7" s="206"/>
      <c r="AZ7" s="206"/>
      <c r="BD7" s="206"/>
      <c r="BF7" s="206"/>
    </row>
    <row r="8" spans="1:282" x14ac:dyDescent="0.2">
      <c r="A8" s="220">
        <v>0</v>
      </c>
      <c r="B8" s="220">
        <v>0</v>
      </c>
      <c r="C8" s="206" t="s">
        <v>255</v>
      </c>
      <c r="D8" s="206" t="s">
        <v>270</v>
      </c>
      <c r="E8" s="192">
        <v>50.3</v>
      </c>
      <c r="F8" s="206" t="s">
        <v>267</v>
      </c>
      <c r="G8" s="206"/>
      <c r="H8" s="206"/>
      <c r="I8" s="206"/>
      <c r="J8"/>
      <c r="K8"/>
      <c r="L8" s="206"/>
      <c r="M8" s="206"/>
      <c r="N8" s="206"/>
      <c r="O8" s="192">
        <v>13.7</v>
      </c>
      <c r="P8" s="192">
        <v>12.86</v>
      </c>
      <c r="Q8" s="206" t="s">
        <v>272</v>
      </c>
      <c r="R8" s="206" t="s">
        <v>273</v>
      </c>
      <c r="S8" s="206">
        <v>793115.62150000001</v>
      </c>
      <c r="T8" s="206">
        <v>2187713.571</v>
      </c>
      <c r="U8" s="206">
        <v>793163.02989999996</v>
      </c>
      <c r="V8" s="206">
        <v>2187696.7650000001</v>
      </c>
      <c r="W8" s="206"/>
      <c r="X8" s="206"/>
      <c r="Y8" s="206"/>
      <c r="Z8" s="206"/>
      <c r="AA8" s="206"/>
      <c r="AB8" s="206" t="s">
        <v>270</v>
      </c>
      <c r="AC8" s="206" t="s">
        <v>272</v>
      </c>
      <c r="AD8" s="206"/>
      <c r="AL8" s="206"/>
      <c r="AM8" s="206"/>
      <c r="AN8" s="206"/>
      <c r="AO8" s="206"/>
      <c r="AP8" s="206"/>
      <c r="AQ8" s="206"/>
      <c r="AR8" s="206"/>
      <c r="AS8" s="206"/>
      <c r="AV8" s="206"/>
      <c r="AW8" s="206"/>
      <c r="AX8" s="206"/>
      <c r="AY8" s="206"/>
      <c r="AZ8" s="206"/>
      <c r="BD8" s="206"/>
      <c r="BF8" s="206"/>
    </row>
    <row r="9" spans="1:282" x14ac:dyDescent="0.2">
      <c r="A9" s="220">
        <v>0</v>
      </c>
      <c r="B9" s="220">
        <v>0</v>
      </c>
      <c r="C9" s="206" t="s">
        <v>255</v>
      </c>
      <c r="D9" s="206" t="s">
        <v>272</v>
      </c>
      <c r="E9" s="192">
        <v>5.71</v>
      </c>
      <c r="F9" s="206" t="s">
        <v>270</v>
      </c>
      <c r="G9" s="206"/>
      <c r="H9" s="206"/>
      <c r="I9" s="206"/>
      <c r="J9"/>
      <c r="K9"/>
      <c r="L9" s="206"/>
      <c r="M9" s="206"/>
      <c r="N9" s="206"/>
      <c r="O9" s="192">
        <v>12.86</v>
      </c>
      <c r="P9" s="192">
        <v>12.7</v>
      </c>
      <c r="Q9" s="206" t="s">
        <v>274</v>
      </c>
      <c r="R9" s="206" t="s">
        <v>275</v>
      </c>
      <c r="S9" s="206">
        <v>793163.02989999996</v>
      </c>
      <c r="T9" s="206">
        <v>2187696.7650000001</v>
      </c>
      <c r="U9" s="206">
        <v>793168.20909999998</v>
      </c>
      <c r="V9" s="206">
        <v>2187694.3560000001</v>
      </c>
      <c r="W9" s="206"/>
      <c r="X9" s="206"/>
      <c r="Y9" s="206"/>
      <c r="Z9" s="206"/>
      <c r="AA9" s="206"/>
      <c r="AB9" s="206" t="s">
        <v>272</v>
      </c>
      <c r="AC9" s="206" t="s">
        <v>274</v>
      </c>
      <c r="AD9" s="206"/>
      <c r="AL9" s="206"/>
      <c r="AM9" s="206"/>
      <c r="AN9" s="206"/>
      <c r="AO9" s="206"/>
      <c r="AP9" s="206"/>
      <c r="AQ9" s="206"/>
      <c r="AR9" s="206"/>
      <c r="AS9" s="206"/>
      <c r="AV9" s="206"/>
      <c r="AW9" s="206"/>
      <c r="AX9" s="206"/>
      <c r="AY9" s="206"/>
      <c r="AZ9" s="206"/>
      <c r="BD9" s="206"/>
      <c r="BF9" s="206"/>
    </row>
    <row r="10" spans="1:282" x14ac:dyDescent="0.2">
      <c r="A10" s="220">
        <v>0</v>
      </c>
      <c r="B10" s="220">
        <v>0</v>
      </c>
      <c r="C10" s="206" t="s">
        <v>255</v>
      </c>
      <c r="D10" s="206" t="s">
        <v>274</v>
      </c>
      <c r="E10" s="192">
        <v>48.92</v>
      </c>
      <c r="F10" s="206" t="s">
        <v>272</v>
      </c>
      <c r="G10" s="206"/>
      <c r="H10" s="206"/>
      <c r="I10" s="206"/>
      <c r="J10"/>
      <c r="K10"/>
      <c r="L10" s="206"/>
      <c r="M10" s="206"/>
      <c r="N10" s="206"/>
      <c r="O10" s="192">
        <v>12.7</v>
      </c>
      <c r="P10" s="192">
        <v>11.73</v>
      </c>
      <c r="Q10" s="206" t="s">
        <v>276</v>
      </c>
      <c r="R10" s="206" t="s">
        <v>277</v>
      </c>
      <c r="S10" s="206">
        <v>793168.20909999998</v>
      </c>
      <c r="T10" s="206">
        <v>2187694.3560000001</v>
      </c>
      <c r="U10" s="206">
        <v>793214.49789999996</v>
      </c>
      <c r="V10" s="206">
        <v>2187678.5290000001</v>
      </c>
      <c r="W10" s="206"/>
      <c r="X10" s="206"/>
      <c r="Y10" s="206"/>
      <c r="Z10" s="206"/>
      <c r="AA10" s="206"/>
      <c r="AB10" s="206" t="s">
        <v>274</v>
      </c>
      <c r="AC10" s="206" t="s">
        <v>276</v>
      </c>
      <c r="AD10" s="206"/>
      <c r="AL10" s="206"/>
      <c r="AM10" s="206"/>
      <c r="AN10" s="206"/>
      <c r="AO10" s="206"/>
      <c r="AP10" s="206"/>
      <c r="AQ10" s="206"/>
      <c r="AR10" s="206"/>
      <c r="AS10" s="206"/>
      <c r="AV10" s="206"/>
      <c r="AW10" s="206"/>
      <c r="AX10" s="206"/>
      <c r="AY10" s="206"/>
      <c r="AZ10" s="206"/>
      <c r="BD10" s="206"/>
      <c r="BF10" s="206"/>
    </row>
    <row r="11" spans="1:282" x14ac:dyDescent="0.2">
      <c r="A11" s="220">
        <v>0</v>
      </c>
      <c r="B11" s="220">
        <v>0</v>
      </c>
      <c r="C11" s="206" t="s">
        <v>255</v>
      </c>
      <c r="D11" s="206" t="s">
        <v>276</v>
      </c>
      <c r="E11" s="192">
        <v>46.14</v>
      </c>
      <c r="F11" s="206" t="s">
        <v>274</v>
      </c>
      <c r="G11" s="206"/>
      <c r="H11" s="206"/>
      <c r="I11" s="206"/>
      <c r="J11"/>
      <c r="K11"/>
      <c r="L11" s="206"/>
      <c r="M11" s="206"/>
      <c r="N11" s="206"/>
      <c r="O11" s="192">
        <v>11.73</v>
      </c>
      <c r="P11" s="192">
        <v>10.73</v>
      </c>
      <c r="Q11" s="206" t="s">
        <v>278</v>
      </c>
      <c r="R11" s="206" t="s">
        <v>279</v>
      </c>
      <c r="S11" s="206">
        <v>793214.49789999996</v>
      </c>
      <c r="T11" s="206">
        <v>2187678.5290000001</v>
      </c>
      <c r="U11" s="206">
        <v>793258.00150000001</v>
      </c>
      <c r="V11" s="206">
        <v>2187663.1609999998</v>
      </c>
      <c r="W11" s="206"/>
      <c r="X11" s="206"/>
      <c r="Y11" s="206"/>
      <c r="Z11" s="206"/>
      <c r="AA11" s="206"/>
      <c r="AB11" s="206" t="s">
        <v>276</v>
      </c>
      <c r="AC11" s="206" t="s">
        <v>278</v>
      </c>
      <c r="AD11" s="206"/>
      <c r="AL11" s="206"/>
      <c r="AM11" s="206"/>
      <c r="AN11" s="206"/>
      <c r="AO11" s="206"/>
      <c r="AP11" s="206"/>
      <c r="AQ11" s="206"/>
      <c r="AR11" s="206"/>
      <c r="AS11" s="206"/>
      <c r="AV11" s="206"/>
      <c r="AW11" s="206"/>
      <c r="AX11" s="206"/>
      <c r="AY11" s="206"/>
      <c r="AZ11" s="206"/>
      <c r="BD11" s="206"/>
      <c r="BF11" s="206"/>
    </row>
    <row r="12" spans="1:282" x14ac:dyDescent="0.2">
      <c r="A12" s="220">
        <v>0</v>
      </c>
      <c r="B12" s="220">
        <v>0</v>
      </c>
      <c r="C12" s="206" t="s">
        <v>255</v>
      </c>
      <c r="D12" s="206" t="s">
        <v>278</v>
      </c>
      <c r="E12" s="192">
        <v>48.52</v>
      </c>
      <c r="F12" s="206" t="s">
        <v>276</v>
      </c>
      <c r="G12" s="206"/>
      <c r="H12" s="206"/>
      <c r="I12" s="206"/>
      <c r="J12"/>
      <c r="K12"/>
      <c r="L12" s="206"/>
      <c r="M12" s="206"/>
      <c r="N12" s="206"/>
      <c r="O12" s="192">
        <v>10.73</v>
      </c>
      <c r="P12" s="192">
        <v>9.36</v>
      </c>
      <c r="Q12" s="206" t="s">
        <v>280</v>
      </c>
      <c r="R12" s="206" t="s">
        <v>281</v>
      </c>
      <c r="S12" s="206">
        <v>793258.00150000001</v>
      </c>
      <c r="T12" s="206">
        <v>2187663.1609999998</v>
      </c>
      <c r="U12" s="206">
        <v>793303.65049999999</v>
      </c>
      <c r="V12" s="206">
        <v>2187646.7200000002</v>
      </c>
      <c r="W12" s="206"/>
      <c r="X12" s="206"/>
      <c r="Y12" s="206"/>
      <c r="Z12" s="206"/>
      <c r="AA12" s="206"/>
      <c r="AB12" s="206" t="s">
        <v>278</v>
      </c>
      <c r="AC12" s="206" t="s">
        <v>280</v>
      </c>
      <c r="AD12" s="206"/>
      <c r="AL12" s="206"/>
      <c r="AM12" s="206"/>
      <c r="AN12" s="206"/>
      <c r="AO12" s="206"/>
      <c r="AP12" s="206"/>
      <c r="AQ12" s="206"/>
      <c r="AR12" s="206"/>
      <c r="AS12" s="206"/>
      <c r="AV12" s="206"/>
      <c r="AW12" s="206"/>
      <c r="AX12" s="206"/>
      <c r="AY12" s="206"/>
      <c r="AZ12" s="206"/>
      <c r="BD12" s="206"/>
      <c r="BF12" s="206"/>
    </row>
    <row r="13" spans="1:282" x14ac:dyDescent="0.2">
      <c r="A13" s="220">
        <v>0</v>
      </c>
      <c r="B13" s="220">
        <v>0</v>
      </c>
      <c r="C13" s="206" t="s">
        <v>255</v>
      </c>
      <c r="D13" s="206" t="s">
        <v>280</v>
      </c>
      <c r="E13" s="192">
        <v>42.66</v>
      </c>
      <c r="F13" s="206" t="s">
        <v>278</v>
      </c>
      <c r="G13" s="206"/>
      <c r="H13" s="206"/>
      <c r="I13" s="206"/>
      <c r="J13"/>
      <c r="K13"/>
      <c r="L13" s="206"/>
      <c r="M13" s="206"/>
      <c r="N13" s="206"/>
      <c r="O13" s="192">
        <v>9.36</v>
      </c>
      <c r="P13" s="192">
        <v>8.2899999999999991</v>
      </c>
      <c r="Q13" s="206" t="s">
        <v>282</v>
      </c>
      <c r="R13" s="206" t="s">
        <v>283</v>
      </c>
      <c r="S13" s="206">
        <v>793303.65049999999</v>
      </c>
      <c r="T13" s="206">
        <v>2187646.7200000002</v>
      </c>
      <c r="U13" s="206">
        <v>793343.48800000001</v>
      </c>
      <c r="V13" s="206">
        <v>2187631.4530000002</v>
      </c>
      <c r="W13" s="206"/>
      <c r="X13" s="206"/>
      <c r="Y13" s="206"/>
      <c r="Z13" s="206"/>
      <c r="AA13" s="206"/>
      <c r="AB13" s="206" t="s">
        <v>280</v>
      </c>
      <c r="AC13" s="206" t="s">
        <v>282</v>
      </c>
      <c r="AD13" s="206"/>
      <c r="AL13" s="206"/>
      <c r="AM13" s="206"/>
      <c r="AN13" s="206"/>
      <c r="AO13" s="206"/>
      <c r="AP13" s="206"/>
      <c r="AQ13" s="206"/>
      <c r="AR13" s="206"/>
      <c r="AS13" s="206"/>
      <c r="AV13" s="206"/>
      <c r="AW13" s="206"/>
      <c r="AX13" s="206"/>
      <c r="AY13" s="206"/>
      <c r="AZ13" s="206"/>
      <c r="BD13" s="206"/>
      <c r="BF13" s="206"/>
    </row>
    <row r="14" spans="1:282" x14ac:dyDescent="0.2">
      <c r="A14" s="220">
        <v>0</v>
      </c>
      <c r="B14" s="220">
        <v>0</v>
      </c>
      <c r="C14" s="206" t="s">
        <v>255</v>
      </c>
      <c r="D14" s="206" t="s">
        <v>282</v>
      </c>
      <c r="E14" s="192">
        <v>6.44</v>
      </c>
      <c r="F14" s="206" t="s">
        <v>280</v>
      </c>
      <c r="G14" s="206"/>
      <c r="H14" s="206"/>
      <c r="I14" s="206"/>
      <c r="J14"/>
      <c r="K14"/>
      <c r="L14" s="206"/>
      <c r="M14" s="206"/>
      <c r="N14" s="206"/>
      <c r="O14" s="192">
        <v>8.2899999999999991</v>
      </c>
      <c r="P14" s="192">
        <v>8.19</v>
      </c>
      <c r="Q14" s="206" t="s">
        <v>284</v>
      </c>
      <c r="R14" s="206" t="s">
        <v>285</v>
      </c>
      <c r="S14" s="206">
        <v>793343.48800000001</v>
      </c>
      <c r="T14" s="206">
        <v>2187631.4530000002</v>
      </c>
      <c r="U14" s="206">
        <v>793348.93810000003</v>
      </c>
      <c r="V14" s="206">
        <v>2187634.8859999999</v>
      </c>
      <c r="W14" s="206"/>
      <c r="X14" s="206"/>
      <c r="Y14" s="206"/>
      <c r="Z14" s="206"/>
      <c r="AA14" s="206"/>
      <c r="AB14" s="206" t="s">
        <v>282</v>
      </c>
      <c r="AC14" s="206" t="s">
        <v>284</v>
      </c>
      <c r="AD14" s="206"/>
      <c r="AL14" s="206"/>
      <c r="AM14" s="206"/>
      <c r="AN14" s="206"/>
      <c r="AO14" s="206"/>
      <c r="AP14" s="206"/>
      <c r="AQ14" s="206"/>
      <c r="AR14" s="206"/>
      <c r="AS14" s="206"/>
      <c r="AV14" s="206"/>
      <c r="AW14" s="206"/>
      <c r="AX14" s="206"/>
      <c r="AY14" s="206"/>
      <c r="AZ14" s="206"/>
      <c r="BD14" s="206"/>
      <c r="BF14" s="206"/>
    </row>
    <row r="15" spans="1:282" x14ac:dyDescent="0.2">
      <c r="A15" s="220">
        <v>0</v>
      </c>
      <c r="B15" s="220">
        <v>0</v>
      </c>
      <c r="C15" s="206" t="s">
        <v>255</v>
      </c>
      <c r="D15" s="206" t="s">
        <v>284</v>
      </c>
      <c r="E15" s="192">
        <v>45.85</v>
      </c>
      <c r="F15" s="206" t="s">
        <v>282</v>
      </c>
      <c r="G15" s="206"/>
      <c r="H15" s="206"/>
      <c r="I15" s="206"/>
      <c r="J15" s="206"/>
      <c r="K15" s="206"/>
      <c r="L15" s="206"/>
      <c r="M15" s="206"/>
      <c r="N15" s="206"/>
      <c r="O15" s="192">
        <v>8.19</v>
      </c>
      <c r="P15" s="192">
        <v>6.21</v>
      </c>
      <c r="Q15" s="206" t="s">
        <v>286</v>
      </c>
      <c r="R15" s="206" t="s">
        <v>287</v>
      </c>
      <c r="S15" s="206">
        <v>793348.93810000003</v>
      </c>
      <c r="T15" s="206">
        <v>2187634.8859999999</v>
      </c>
      <c r="U15" s="206">
        <v>793392.02769999998</v>
      </c>
      <c r="V15" s="206">
        <v>2187619.2280000001</v>
      </c>
      <c r="W15" s="206"/>
      <c r="X15" s="206"/>
      <c r="Y15" s="206"/>
      <c r="Z15" s="206"/>
      <c r="AA15" s="206"/>
      <c r="AB15" s="206" t="s">
        <v>284</v>
      </c>
      <c r="AC15" s="206" t="s">
        <v>286</v>
      </c>
      <c r="AD15" s="206"/>
      <c r="AL15" s="206"/>
      <c r="AM15" s="206"/>
      <c r="AN15" s="206"/>
      <c r="AO15" s="206"/>
      <c r="AP15" s="206"/>
      <c r="AQ15" s="206"/>
      <c r="AR15" s="206"/>
      <c r="AS15" s="206"/>
      <c r="AV15" s="206"/>
      <c r="AW15" s="206"/>
      <c r="AX15" s="206"/>
      <c r="AY15" s="206"/>
      <c r="AZ15" s="206"/>
      <c r="BA15" s="206"/>
      <c r="BB15" s="206"/>
      <c r="BD15" s="206"/>
      <c r="BF15" s="206"/>
      <c r="BG15" s="201"/>
      <c r="BH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  <c r="BY15" s="201"/>
      <c r="BZ15" s="201"/>
      <c r="CA15" s="201"/>
      <c r="CB15" s="201"/>
      <c r="CC15" s="201"/>
      <c r="CD15" s="201"/>
      <c r="CE15" s="201"/>
      <c r="CF15" s="201"/>
      <c r="CG15" s="201"/>
      <c r="CH15" s="201"/>
      <c r="CI15" s="201"/>
      <c r="CJ15" s="201"/>
      <c r="CK15" s="201"/>
      <c r="CL15" s="201"/>
      <c r="CM15" s="201"/>
      <c r="CN15" s="201"/>
      <c r="CO15" s="201"/>
      <c r="CP15" s="201"/>
      <c r="CQ15" s="201"/>
      <c r="CR15" s="201"/>
      <c r="CS15" s="201"/>
      <c r="CT15" s="201"/>
      <c r="CU15" s="201"/>
      <c r="CV15" s="201"/>
    </row>
    <row r="16" spans="1:282" x14ac:dyDescent="0.2">
      <c r="A16" s="220">
        <v>0</v>
      </c>
      <c r="B16" s="220">
        <v>0</v>
      </c>
      <c r="C16" s="206" t="s">
        <v>255</v>
      </c>
      <c r="D16" s="206" t="s">
        <v>286</v>
      </c>
      <c r="E16" s="192">
        <v>47.39</v>
      </c>
      <c r="F16" s="206" t="s">
        <v>284</v>
      </c>
      <c r="G16" s="206"/>
      <c r="H16" s="206"/>
      <c r="I16" s="206"/>
      <c r="J16"/>
      <c r="K16"/>
      <c r="L16" s="206"/>
      <c r="M16" s="206"/>
      <c r="N16" s="206"/>
      <c r="O16" s="192">
        <v>6.21</v>
      </c>
      <c r="P16" s="192">
        <v>4.4400000000000004</v>
      </c>
      <c r="Q16" s="206" t="s">
        <v>288</v>
      </c>
      <c r="R16" s="206" t="s">
        <v>289</v>
      </c>
      <c r="S16" s="206">
        <v>793392.02769999998</v>
      </c>
      <c r="T16" s="206">
        <v>2187619.2280000001</v>
      </c>
      <c r="U16" s="206">
        <v>793436.95400000003</v>
      </c>
      <c r="V16" s="206">
        <v>2187604.142</v>
      </c>
      <c r="W16" s="206"/>
      <c r="X16" s="206"/>
      <c r="Y16" s="206"/>
      <c r="Z16" s="206"/>
      <c r="AA16" s="206"/>
      <c r="AB16" s="206" t="s">
        <v>286</v>
      </c>
      <c r="AC16" s="206" t="s">
        <v>288</v>
      </c>
      <c r="AD16" s="206"/>
      <c r="AL16" s="206"/>
      <c r="AM16" s="206"/>
      <c r="AN16" s="206"/>
      <c r="AO16" s="206"/>
      <c r="AP16" s="206"/>
      <c r="AQ16" s="206"/>
      <c r="AR16" s="206"/>
      <c r="AS16" s="206"/>
      <c r="AV16" s="206"/>
      <c r="AW16" s="206"/>
      <c r="AX16" s="206"/>
      <c r="AY16" s="206"/>
      <c r="AZ16" s="206"/>
      <c r="BD16" s="206"/>
      <c r="BF16" s="206"/>
    </row>
    <row r="17" spans="1:100" x14ac:dyDescent="0.2">
      <c r="A17" s="220">
        <v>0</v>
      </c>
      <c r="B17" s="220">
        <v>0</v>
      </c>
      <c r="C17" s="206" t="s">
        <v>255</v>
      </c>
      <c r="D17" s="206" t="s">
        <v>288</v>
      </c>
      <c r="E17" s="192">
        <v>49.04</v>
      </c>
      <c r="F17" s="206" t="s">
        <v>286</v>
      </c>
      <c r="G17" s="206"/>
      <c r="H17" s="206"/>
      <c r="I17" s="206"/>
      <c r="J17"/>
      <c r="K17"/>
      <c r="L17" s="206"/>
      <c r="M17" s="206"/>
      <c r="N17" s="206"/>
      <c r="O17" s="192">
        <v>4.4400000000000004</v>
      </c>
      <c r="P17" s="192">
        <v>3.53</v>
      </c>
      <c r="Q17" s="206" t="s">
        <v>290</v>
      </c>
      <c r="R17" s="206" t="s">
        <v>291</v>
      </c>
      <c r="S17" s="206">
        <v>793436.95400000003</v>
      </c>
      <c r="T17" s="206">
        <v>2187604.142</v>
      </c>
      <c r="U17" s="206">
        <v>793482.73840000003</v>
      </c>
      <c r="V17" s="206">
        <v>2187586.5720000002</v>
      </c>
      <c r="W17" s="206"/>
      <c r="X17" s="206"/>
      <c r="Y17" s="206"/>
      <c r="Z17" s="206"/>
      <c r="AA17" s="206"/>
      <c r="AB17" s="206" t="s">
        <v>288</v>
      </c>
      <c r="AC17" s="206" t="s">
        <v>290</v>
      </c>
      <c r="AD17" s="206"/>
      <c r="AL17" s="206"/>
      <c r="AM17" s="206"/>
      <c r="AN17" s="206"/>
      <c r="AO17" s="206"/>
      <c r="AP17" s="206"/>
      <c r="AQ17" s="206"/>
      <c r="AR17" s="206"/>
      <c r="AS17" s="206"/>
      <c r="AV17" s="206"/>
      <c r="AW17" s="206"/>
      <c r="AX17" s="206"/>
      <c r="AY17" s="206"/>
      <c r="AZ17" s="206"/>
      <c r="BD17" s="206"/>
      <c r="BF17" s="206"/>
    </row>
    <row r="18" spans="1:100" x14ac:dyDescent="0.2">
      <c r="A18" s="220">
        <v>0</v>
      </c>
      <c r="B18" s="220">
        <v>0</v>
      </c>
      <c r="C18" s="206" t="s">
        <v>255</v>
      </c>
      <c r="D18" s="206" t="s">
        <v>290</v>
      </c>
      <c r="E18" s="192">
        <v>50.4</v>
      </c>
      <c r="F18" s="206" t="s">
        <v>288</v>
      </c>
      <c r="G18" s="206"/>
      <c r="H18" s="206"/>
      <c r="I18" s="206"/>
      <c r="J18"/>
      <c r="K18"/>
      <c r="L18" s="206"/>
      <c r="M18" s="206"/>
      <c r="N18" s="206"/>
      <c r="O18" s="192">
        <v>3.53</v>
      </c>
      <c r="P18" s="192">
        <v>2.69</v>
      </c>
      <c r="Q18" s="206" t="s">
        <v>292</v>
      </c>
      <c r="R18" s="206" t="s">
        <v>293</v>
      </c>
      <c r="S18" s="206">
        <v>793482.73840000003</v>
      </c>
      <c r="T18" s="206">
        <v>2187586.5720000002</v>
      </c>
      <c r="U18" s="206">
        <v>793529.81770000001</v>
      </c>
      <c r="V18" s="206">
        <v>2187568.58</v>
      </c>
      <c r="W18" s="206"/>
      <c r="X18" s="206"/>
      <c r="Y18" s="206"/>
      <c r="Z18" s="206"/>
      <c r="AA18" s="206"/>
      <c r="AB18" s="206" t="s">
        <v>290</v>
      </c>
      <c r="AC18" s="206" t="s">
        <v>292</v>
      </c>
      <c r="AD18" s="206"/>
      <c r="AL18" s="206"/>
      <c r="AM18" s="206"/>
      <c r="AN18" s="206"/>
      <c r="AO18" s="206"/>
      <c r="AP18" s="206"/>
      <c r="AQ18" s="206"/>
      <c r="AR18" s="206"/>
      <c r="AS18" s="206"/>
      <c r="AV18" s="206"/>
      <c r="AW18" s="206"/>
      <c r="AX18" s="206"/>
      <c r="AY18" s="206"/>
      <c r="AZ18" s="206"/>
      <c r="BD18" s="206"/>
      <c r="BF18" s="206"/>
    </row>
    <row r="19" spans="1:100" x14ac:dyDescent="0.2">
      <c r="A19" s="220">
        <v>0</v>
      </c>
      <c r="B19" s="220">
        <v>0</v>
      </c>
      <c r="C19" s="206" t="s">
        <v>255</v>
      </c>
      <c r="D19" s="206" t="s">
        <v>292</v>
      </c>
      <c r="E19" s="192">
        <v>51.92</v>
      </c>
      <c r="F19" s="206" t="s">
        <v>290</v>
      </c>
      <c r="G19" s="206"/>
      <c r="H19" s="206"/>
      <c r="I19" s="206"/>
      <c r="J19"/>
      <c r="K19"/>
      <c r="L19" s="206"/>
      <c r="M19" s="206"/>
      <c r="N19" s="206"/>
      <c r="O19" s="192">
        <v>2.69</v>
      </c>
      <c r="P19" s="192">
        <v>1.94</v>
      </c>
      <c r="Q19" s="206" t="s">
        <v>294</v>
      </c>
      <c r="R19" s="206" t="s">
        <v>295</v>
      </c>
      <c r="S19" s="206">
        <v>793529.81770000001</v>
      </c>
      <c r="T19" s="206">
        <v>2187568.58</v>
      </c>
      <c r="U19" s="206">
        <v>793578.52300000004</v>
      </c>
      <c r="V19" s="206">
        <v>2187550.5890000002</v>
      </c>
      <c r="W19" s="206"/>
      <c r="X19" s="206"/>
      <c r="Y19" s="206"/>
      <c r="Z19" s="206"/>
      <c r="AA19" s="206"/>
      <c r="AB19" s="206" t="s">
        <v>292</v>
      </c>
      <c r="AC19" s="206" t="s">
        <v>294</v>
      </c>
      <c r="AD19" s="206"/>
      <c r="AL19" s="206"/>
      <c r="AM19" s="206"/>
      <c r="AN19" s="206"/>
      <c r="AO19" s="206"/>
      <c r="AP19" s="206"/>
      <c r="AQ19" s="206"/>
      <c r="AR19" s="206"/>
      <c r="AS19" s="206"/>
      <c r="AV19" s="206"/>
      <c r="AW19" s="206"/>
      <c r="AX19" s="206"/>
      <c r="AY19" s="206"/>
      <c r="AZ19" s="206"/>
      <c r="BD19" s="206"/>
      <c r="BF19" s="206"/>
    </row>
    <row r="20" spans="1:100" x14ac:dyDescent="0.2">
      <c r="A20" s="220">
        <v>0</v>
      </c>
      <c r="B20" s="220">
        <v>0</v>
      </c>
      <c r="C20" s="206" t="s">
        <v>255</v>
      </c>
      <c r="D20" s="206" t="s">
        <v>294</v>
      </c>
      <c r="E20" s="192">
        <v>34.49</v>
      </c>
      <c r="F20" s="206" t="s">
        <v>292</v>
      </c>
      <c r="G20" s="206"/>
      <c r="H20" s="206"/>
      <c r="I20" s="206"/>
      <c r="J20"/>
      <c r="K20"/>
      <c r="L20" s="206"/>
      <c r="M20" s="206"/>
      <c r="N20" s="206"/>
      <c r="O20" s="192">
        <v>1.94</v>
      </c>
      <c r="P20" s="192">
        <v>1.23</v>
      </c>
      <c r="Q20" s="206" t="s">
        <v>296</v>
      </c>
      <c r="R20" s="206" t="s">
        <v>297</v>
      </c>
      <c r="S20" s="206">
        <v>793578.52300000004</v>
      </c>
      <c r="T20" s="206">
        <v>2187550.5890000002</v>
      </c>
      <c r="U20" s="206">
        <v>793610.86270000006</v>
      </c>
      <c r="V20" s="206">
        <v>2187538.6039999998</v>
      </c>
      <c r="W20" s="206"/>
      <c r="X20" s="206"/>
      <c r="Y20" s="206"/>
      <c r="Z20" s="206"/>
      <c r="AA20" s="206"/>
      <c r="AB20" s="206" t="s">
        <v>294</v>
      </c>
      <c r="AC20" s="206" t="s">
        <v>296</v>
      </c>
      <c r="AD20" s="206"/>
      <c r="AL20" s="206"/>
      <c r="AM20" s="206"/>
      <c r="AN20" s="206"/>
      <c r="AO20" s="206"/>
      <c r="AP20" s="206"/>
      <c r="AQ20" s="206"/>
      <c r="AR20" s="206"/>
      <c r="AS20" s="206"/>
      <c r="AV20" s="206"/>
      <c r="AW20" s="206"/>
      <c r="AX20" s="206"/>
      <c r="AY20" s="206"/>
      <c r="AZ20" s="206"/>
      <c r="BD20" s="206"/>
      <c r="BF20" s="206"/>
    </row>
    <row r="21" spans="1:100" x14ac:dyDescent="0.2">
      <c r="A21" s="220">
        <v>0</v>
      </c>
      <c r="B21" s="220">
        <v>0</v>
      </c>
      <c r="C21" s="206" t="s">
        <v>255</v>
      </c>
      <c r="D21" s="206" t="s">
        <v>296</v>
      </c>
      <c r="E21" s="192">
        <v>55.47</v>
      </c>
      <c r="F21" s="206" t="s">
        <v>294</v>
      </c>
      <c r="G21" s="206"/>
      <c r="H21" s="206"/>
      <c r="I21" s="206"/>
      <c r="J21"/>
      <c r="K21"/>
      <c r="L21" s="206"/>
      <c r="M21" s="206"/>
      <c r="N21" s="206"/>
      <c r="O21" s="192">
        <v>1.23</v>
      </c>
      <c r="P21" s="192">
        <v>1</v>
      </c>
      <c r="Q21" s="206" t="s">
        <v>298</v>
      </c>
      <c r="R21" s="206" t="s">
        <v>299</v>
      </c>
      <c r="S21" s="206">
        <v>793610.86270000006</v>
      </c>
      <c r="T21" s="206">
        <v>2187538.6039999998</v>
      </c>
      <c r="U21" s="206">
        <v>793662.71470000001</v>
      </c>
      <c r="V21" s="206">
        <v>2187518.912</v>
      </c>
      <c r="W21" s="206"/>
      <c r="X21" s="206"/>
      <c r="Y21" s="206"/>
      <c r="Z21" s="206"/>
      <c r="AA21" s="206"/>
      <c r="AB21" s="206" t="s">
        <v>296</v>
      </c>
      <c r="AC21" s="206" t="s">
        <v>298</v>
      </c>
      <c r="AD21" s="206"/>
      <c r="AL21" s="206"/>
      <c r="AM21" s="206"/>
      <c r="AN21" s="206"/>
      <c r="AO21" s="206"/>
      <c r="AP21" s="206"/>
      <c r="AQ21" s="206"/>
      <c r="AR21" s="206"/>
      <c r="AS21" s="206"/>
      <c r="AV21" s="206"/>
      <c r="AW21" s="206"/>
      <c r="AX21" s="206"/>
      <c r="AY21" s="206"/>
      <c r="AZ21" s="206"/>
      <c r="BD21" s="206"/>
      <c r="BF21" s="206"/>
    </row>
    <row r="22" spans="1:100" x14ac:dyDescent="0.2">
      <c r="A22" s="220">
        <v>0</v>
      </c>
      <c r="B22" s="220">
        <v>0</v>
      </c>
      <c r="C22" s="206" t="s">
        <v>255</v>
      </c>
      <c r="D22" s="206" t="s">
        <v>298</v>
      </c>
      <c r="E22" s="192">
        <v>46.97</v>
      </c>
      <c r="F22" s="206" t="s">
        <v>296</v>
      </c>
      <c r="G22" s="206" t="s">
        <v>300</v>
      </c>
      <c r="H22" s="206"/>
      <c r="I22" s="206"/>
      <c r="J22" s="206"/>
      <c r="K22" s="206"/>
      <c r="L22" s="206"/>
      <c r="M22" s="206"/>
      <c r="N22" s="206"/>
      <c r="O22" s="192">
        <v>1</v>
      </c>
      <c r="P22" s="192">
        <v>1</v>
      </c>
      <c r="Q22" s="206" t="s">
        <v>301</v>
      </c>
      <c r="R22" s="206" t="s">
        <v>302</v>
      </c>
      <c r="S22" s="206">
        <v>793662.71470000001</v>
      </c>
      <c r="T22" s="206">
        <v>2187518.912</v>
      </c>
      <c r="U22" s="206">
        <v>793688.83640000003</v>
      </c>
      <c r="V22" s="206">
        <v>2187557.9509999999</v>
      </c>
      <c r="W22" s="206"/>
      <c r="X22" s="206"/>
      <c r="Y22" s="206"/>
      <c r="Z22" s="206"/>
      <c r="AA22" s="206"/>
      <c r="AB22" s="206" t="s">
        <v>298</v>
      </c>
      <c r="AC22" s="206" t="s">
        <v>301</v>
      </c>
      <c r="AD22" s="206"/>
      <c r="AL22" s="206"/>
      <c r="AM22" s="206"/>
      <c r="AN22" s="206"/>
      <c r="AO22" s="206"/>
      <c r="AP22" s="206"/>
      <c r="AQ22" s="206"/>
      <c r="AR22" s="206"/>
      <c r="AS22" s="206"/>
      <c r="AV22" s="206"/>
      <c r="AW22" s="206"/>
      <c r="AX22" s="206"/>
      <c r="AY22" s="206"/>
      <c r="AZ22" s="206"/>
      <c r="BA22" s="206"/>
      <c r="BB22" s="206"/>
      <c r="BD22" s="206"/>
      <c r="BF22" s="206"/>
      <c r="BG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  <c r="BY22" s="201"/>
      <c r="BZ22" s="201"/>
      <c r="CA22" s="201"/>
      <c r="CB22" s="201"/>
      <c r="CC22" s="201"/>
      <c r="CD22" s="201"/>
      <c r="CE22" s="201"/>
      <c r="CF22" s="201"/>
      <c r="CG22" s="201"/>
      <c r="CH22" s="201"/>
      <c r="CI22" s="201"/>
      <c r="CJ22" s="201"/>
      <c r="CK22" s="201"/>
      <c r="CL22" s="201"/>
      <c r="CM22" s="201"/>
      <c r="CN22" s="201"/>
      <c r="CO22" s="201"/>
      <c r="CP22" s="201"/>
      <c r="CQ22" s="201"/>
      <c r="CR22" s="201"/>
      <c r="CS22" s="201"/>
      <c r="CT22" s="201"/>
      <c r="CU22" s="201"/>
      <c r="CV22" s="201"/>
    </row>
    <row r="23" spans="1:100" x14ac:dyDescent="0.2">
      <c r="A23" s="220">
        <v>0</v>
      </c>
      <c r="B23" s="220">
        <v>0</v>
      </c>
      <c r="C23" s="206" t="s">
        <v>255</v>
      </c>
      <c r="D23" s="206" t="s">
        <v>301</v>
      </c>
      <c r="E23" s="192">
        <v>50.67</v>
      </c>
      <c r="F23" s="206" t="s">
        <v>298</v>
      </c>
      <c r="G23" s="206" t="s">
        <v>303</v>
      </c>
      <c r="H23" s="206"/>
      <c r="I23" s="206"/>
      <c r="J23"/>
      <c r="K23"/>
      <c r="L23" s="206"/>
      <c r="M23" s="206"/>
      <c r="N23" s="206"/>
      <c r="O23" s="192">
        <v>1</v>
      </c>
      <c r="P23" s="192">
        <v>1</v>
      </c>
      <c r="Q23" s="206" t="s">
        <v>304</v>
      </c>
      <c r="R23" s="206" t="s">
        <v>305</v>
      </c>
      <c r="S23" s="206">
        <v>793688.83640000003</v>
      </c>
      <c r="T23" s="206">
        <v>2187557.9509999999</v>
      </c>
      <c r="U23" s="206">
        <v>793718.1348</v>
      </c>
      <c r="V23" s="206">
        <v>2187599.2940000002</v>
      </c>
      <c r="W23" s="206"/>
      <c r="X23" s="206"/>
      <c r="Y23" s="206"/>
      <c r="Z23" s="206"/>
      <c r="AA23" s="206"/>
      <c r="AB23" s="206" t="s">
        <v>301</v>
      </c>
      <c r="AC23" s="206" t="s">
        <v>304</v>
      </c>
      <c r="AD23" s="206"/>
      <c r="AL23" s="206"/>
      <c r="AM23" s="206"/>
      <c r="AN23" s="206"/>
      <c r="AO23" s="206"/>
      <c r="AP23" s="206"/>
      <c r="AQ23" s="206"/>
      <c r="AR23" s="206"/>
      <c r="AS23" s="206"/>
      <c r="AV23" s="206"/>
      <c r="AW23" s="206"/>
      <c r="AX23" s="206"/>
      <c r="AY23" s="206"/>
      <c r="AZ23" s="206"/>
      <c r="BD23" s="206"/>
      <c r="BF23" s="206"/>
    </row>
    <row r="24" spans="1:100" x14ac:dyDescent="0.2">
      <c r="A24" s="220">
        <v>0</v>
      </c>
      <c r="B24" s="220">
        <v>0</v>
      </c>
      <c r="C24" s="206" t="s">
        <v>255</v>
      </c>
      <c r="D24" s="206" t="s">
        <v>304</v>
      </c>
      <c r="E24" s="192">
        <v>60.54</v>
      </c>
      <c r="F24" s="206" t="s">
        <v>301</v>
      </c>
      <c r="G24" s="206" t="s">
        <v>306</v>
      </c>
      <c r="H24" s="206"/>
      <c r="I24" s="206"/>
      <c r="J24"/>
      <c r="K24"/>
      <c r="L24" s="206"/>
      <c r="M24" s="206"/>
      <c r="N24" s="206"/>
      <c r="O24" s="192">
        <v>1</v>
      </c>
      <c r="P24" s="192">
        <v>1</v>
      </c>
      <c r="Q24" s="206" t="s">
        <v>307</v>
      </c>
      <c r="R24" s="206" t="s">
        <v>308</v>
      </c>
      <c r="S24" s="206">
        <v>793718.1348</v>
      </c>
      <c r="T24" s="206">
        <v>2187599.2940000002</v>
      </c>
      <c r="U24" s="206">
        <v>793752.55229999998</v>
      </c>
      <c r="V24" s="206">
        <v>2187649.0989999999</v>
      </c>
      <c r="W24" s="206"/>
      <c r="X24" s="206"/>
      <c r="Y24" s="206"/>
      <c r="Z24" s="206"/>
      <c r="AA24" s="206"/>
      <c r="AB24" s="206" t="s">
        <v>304</v>
      </c>
      <c r="AC24" s="206" t="s">
        <v>307</v>
      </c>
      <c r="AD24" s="206"/>
      <c r="AL24" s="206"/>
      <c r="AM24" s="206"/>
      <c r="AN24" s="206"/>
      <c r="AO24" s="206"/>
      <c r="AP24" s="206"/>
      <c r="AQ24" s="206"/>
      <c r="AR24" s="206"/>
      <c r="AS24" s="206"/>
      <c r="AV24" s="206"/>
      <c r="AW24" s="206"/>
      <c r="AX24" s="206"/>
      <c r="AY24" s="206"/>
      <c r="AZ24" s="206"/>
      <c r="BD24" s="206"/>
      <c r="BF24" s="206"/>
    </row>
    <row r="25" spans="1:100" x14ac:dyDescent="0.2">
      <c r="A25" s="220">
        <v>0</v>
      </c>
      <c r="B25" s="220">
        <v>0</v>
      </c>
      <c r="C25" s="206" t="s">
        <v>255</v>
      </c>
      <c r="D25" s="206" t="s">
        <v>307</v>
      </c>
      <c r="E25" s="192">
        <v>36.08</v>
      </c>
      <c r="F25" s="206" t="s">
        <v>304</v>
      </c>
      <c r="G25" s="206" t="s">
        <v>309</v>
      </c>
      <c r="H25" s="206" t="s">
        <v>310</v>
      </c>
      <c r="I25" s="206"/>
      <c r="J25"/>
      <c r="K25"/>
      <c r="L25" s="206"/>
      <c r="M25" s="206"/>
      <c r="N25" s="206"/>
      <c r="O25" s="192">
        <v>1</v>
      </c>
      <c r="P25" s="192">
        <v>1</v>
      </c>
      <c r="Q25" s="206" t="s">
        <v>311</v>
      </c>
      <c r="R25" s="206" t="s">
        <v>312</v>
      </c>
      <c r="S25" s="206">
        <v>793752.55229999998</v>
      </c>
      <c r="T25" s="206">
        <v>2187649.0989999999</v>
      </c>
      <c r="U25" s="206">
        <v>793786.57819999999</v>
      </c>
      <c r="V25" s="206">
        <v>2187637.0839999998</v>
      </c>
      <c r="W25" s="206"/>
      <c r="X25" s="206"/>
      <c r="Y25" s="206"/>
      <c r="Z25" s="206"/>
      <c r="AA25" s="206"/>
      <c r="AB25" s="206" t="s">
        <v>307</v>
      </c>
      <c r="AC25" s="206" t="s">
        <v>311</v>
      </c>
      <c r="AD25" s="206"/>
      <c r="AL25" s="206"/>
      <c r="AM25" s="206"/>
      <c r="AN25" s="206"/>
      <c r="AO25" s="206"/>
      <c r="AP25" s="206"/>
      <c r="AQ25" s="206"/>
      <c r="AR25" s="206"/>
      <c r="AS25" s="206"/>
      <c r="AV25" s="206"/>
      <c r="AW25" s="206"/>
      <c r="AX25" s="206"/>
      <c r="AY25" s="206"/>
      <c r="AZ25" s="206"/>
      <c r="BD25" s="206"/>
      <c r="BF25" s="206"/>
    </row>
    <row r="26" spans="1:100" x14ac:dyDescent="0.2">
      <c r="A26" s="220">
        <v>0</v>
      </c>
      <c r="B26" s="220">
        <v>0</v>
      </c>
      <c r="C26" s="206" t="s">
        <v>255</v>
      </c>
      <c r="D26" s="206" t="s">
        <v>311</v>
      </c>
      <c r="E26" s="192">
        <v>32.21</v>
      </c>
      <c r="F26" s="206" t="s">
        <v>307</v>
      </c>
      <c r="G26" s="206"/>
      <c r="H26" s="206"/>
      <c r="I26" s="206"/>
      <c r="J26"/>
      <c r="K26"/>
      <c r="L26" s="206"/>
      <c r="M26" s="206"/>
      <c r="N26" s="206"/>
      <c r="O26" s="192">
        <v>1</v>
      </c>
      <c r="P26" s="192">
        <v>1</v>
      </c>
      <c r="Q26" s="206" t="s">
        <v>313</v>
      </c>
      <c r="R26" s="206" t="s">
        <v>314</v>
      </c>
      <c r="S26" s="206">
        <v>793786.57819999999</v>
      </c>
      <c r="T26" s="206">
        <v>2187637.0839999998</v>
      </c>
      <c r="U26" s="206">
        <v>793814.79269999999</v>
      </c>
      <c r="V26" s="206">
        <v>2187621.5469999998</v>
      </c>
      <c r="W26" s="206"/>
      <c r="X26" s="206"/>
      <c r="Y26" s="206"/>
      <c r="Z26" s="206"/>
      <c r="AA26" s="206"/>
      <c r="AB26" s="206" t="s">
        <v>311</v>
      </c>
      <c r="AC26" s="206" t="s">
        <v>313</v>
      </c>
      <c r="AD26" s="206"/>
      <c r="AL26" s="206"/>
      <c r="AM26" s="206"/>
      <c r="AN26" s="206"/>
      <c r="AO26" s="206"/>
      <c r="AP26" s="206"/>
      <c r="AQ26" s="206"/>
      <c r="AR26" s="206"/>
      <c r="AS26" s="206"/>
      <c r="AV26" s="206"/>
      <c r="AW26" s="206"/>
      <c r="AX26" s="206"/>
      <c r="AY26" s="206"/>
      <c r="AZ26" s="206"/>
      <c r="BD26" s="206"/>
      <c r="BF26" s="206"/>
    </row>
    <row r="27" spans="1:100" x14ac:dyDescent="0.2">
      <c r="A27" s="220">
        <v>0</v>
      </c>
      <c r="B27" s="220">
        <v>0</v>
      </c>
      <c r="C27" s="206" t="s">
        <v>255</v>
      </c>
      <c r="D27" s="206" t="s">
        <v>313</v>
      </c>
      <c r="E27" s="192">
        <v>27.04</v>
      </c>
      <c r="F27" s="206" t="s">
        <v>311</v>
      </c>
      <c r="G27" s="206"/>
      <c r="H27" s="206"/>
      <c r="I27" s="206"/>
      <c r="J27"/>
      <c r="K27"/>
      <c r="L27" s="206"/>
      <c r="M27" s="206"/>
      <c r="N27" s="206"/>
      <c r="O27" s="192">
        <v>1</v>
      </c>
      <c r="P27" s="192">
        <v>0.86</v>
      </c>
      <c r="Q27" s="206" t="s">
        <v>315</v>
      </c>
      <c r="R27" s="206" t="s">
        <v>316</v>
      </c>
      <c r="S27" s="206">
        <v>793814.79269999999</v>
      </c>
      <c r="T27" s="206">
        <v>2187621.5469999998</v>
      </c>
      <c r="U27" s="206">
        <v>793839.60450000002</v>
      </c>
      <c r="V27" s="206">
        <v>2187610.7969999998</v>
      </c>
      <c r="W27" s="206"/>
      <c r="X27" s="206"/>
      <c r="Y27" s="206"/>
      <c r="Z27" s="206"/>
      <c r="AA27" s="206"/>
      <c r="AB27" s="206" t="s">
        <v>313</v>
      </c>
      <c r="AC27" s="206" t="s">
        <v>315</v>
      </c>
      <c r="AD27" s="206"/>
      <c r="AL27" s="206"/>
      <c r="AM27" s="206"/>
      <c r="AN27" s="206"/>
      <c r="AO27" s="206"/>
      <c r="AP27" s="206"/>
      <c r="AQ27" s="206"/>
      <c r="AR27" s="206"/>
      <c r="AS27" s="206"/>
      <c r="AV27" s="206"/>
      <c r="AW27" s="206"/>
      <c r="AX27" s="206"/>
      <c r="AY27" s="206"/>
      <c r="AZ27" s="206"/>
      <c r="BD27" s="206"/>
      <c r="BF27" s="206"/>
    </row>
    <row r="28" spans="1:100" x14ac:dyDescent="0.2">
      <c r="A28" s="220">
        <v>0</v>
      </c>
      <c r="B28" s="220">
        <v>1</v>
      </c>
      <c r="C28" s="206" t="s">
        <v>255</v>
      </c>
      <c r="D28" s="206" t="s">
        <v>315</v>
      </c>
      <c r="E28" s="192">
        <v>18.7</v>
      </c>
      <c r="F28" s="206" t="s">
        <v>313</v>
      </c>
      <c r="G28" s="206" t="s">
        <v>317</v>
      </c>
      <c r="H28" s="206" t="s">
        <v>318</v>
      </c>
      <c r="I28" s="206"/>
      <c r="J28"/>
      <c r="K28"/>
      <c r="L28" s="206"/>
      <c r="M28" s="206"/>
      <c r="N28" s="206"/>
      <c r="O28" s="192">
        <v>0.86</v>
      </c>
      <c r="P28" s="192">
        <v>1.5</v>
      </c>
      <c r="Q28" s="206"/>
      <c r="R28" s="206" t="s">
        <v>319</v>
      </c>
      <c r="S28" s="206">
        <v>793839.60450000002</v>
      </c>
      <c r="T28" s="206">
        <v>2187610.7969999998</v>
      </c>
      <c r="U28" s="206">
        <v>793854.7807</v>
      </c>
      <c r="V28" s="206">
        <v>2187599.8659999999</v>
      </c>
      <c r="W28" s="206"/>
      <c r="X28" s="206"/>
      <c r="Y28" s="206"/>
      <c r="Z28" s="206"/>
      <c r="AA28" s="206"/>
      <c r="AB28" s="206" t="s">
        <v>315</v>
      </c>
      <c r="AC28" s="206" t="s">
        <v>320</v>
      </c>
      <c r="AD28" s="206"/>
      <c r="AL28" s="206"/>
      <c r="AM28" s="206"/>
      <c r="AN28" s="206"/>
      <c r="AO28" s="206"/>
      <c r="AP28" s="206"/>
      <c r="AQ28" s="206"/>
      <c r="AR28" s="206"/>
      <c r="AS28" s="206"/>
      <c r="AV28" s="206"/>
      <c r="AW28" s="206"/>
      <c r="AX28" s="206"/>
      <c r="AY28" s="206"/>
      <c r="AZ28" s="206"/>
      <c r="BD28" s="206"/>
      <c r="BF28" s="206"/>
    </row>
    <row r="29" spans="1:100" x14ac:dyDescent="0.2">
      <c r="A29" s="220">
        <v>1</v>
      </c>
      <c r="B29" s="220">
        <v>1</v>
      </c>
      <c r="C29" s="206" t="s">
        <v>321</v>
      </c>
      <c r="D29" s="206" t="s">
        <v>322</v>
      </c>
      <c r="E29" s="192">
        <v>43.7</v>
      </c>
      <c r="F29" s="206"/>
      <c r="G29" s="206"/>
      <c r="H29" s="206"/>
      <c r="I29" s="206" t="s">
        <v>323</v>
      </c>
      <c r="J29" s="206">
        <v>779</v>
      </c>
      <c r="K29" s="206">
        <v>261</v>
      </c>
      <c r="L29" s="206"/>
      <c r="M29" s="206">
        <v>1</v>
      </c>
      <c r="N29" s="206"/>
      <c r="O29" s="192">
        <v>4.28</v>
      </c>
      <c r="P29" s="192">
        <v>1.5</v>
      </c>
      <c r="Q29" s="206" t="s">
        <v>324</v>
      </c>
      <c r="R29" s="206" t="s">
        <v>325</v>
      </c>
      <c r="S29" s="206">
        <v>793661.25430000003</v>
      </c>
      <c r="T29" s="206">
        <v>2187955.1060000001</v>
      </c>
      <c r="U29" s="206">
        <v>793704.50939999998</v>
      </c>
      <c r="V29" s="206">
        <v>2187948.8730000001</v>
      </c>
      <c r="W29" s="206"/>
      <c r="X29" s="206"/>
      <c r="Y29" s="206"/>
      <c r="Z29" s="206"/>
      <c r="AA29" s="206"/>
      <c r="AB29" s="206" t="s">
        <v>322</v>
      </c>
      <c r="AC29" s="206" t="s">
        <v>324</v>
      </c>
      <c r="AD29" s="206"/>
      <c r="AL29" s="206"/>
      <c r="AM29" s="206"/>
      <c r="AN29" s="206"/>
      <c r="AO29" s="206"/>
      <c r="AP29" s="206"/>
      <c r="AQ29" s="206"/>
      <c r="AR29" s="206"/>
      <c r="AS29" s="206"/>
      <c r="AV29" s="206"/>
      <c r="AW29" s="206"/>
      <c r="AX29" s="206"/>
      <c r="AY29" s="206"/>
      <c r="AZ29" s="206"/>
      <c r="BA29" s="206"/>
      <c r="BB29" s="206"/>
      <c r="BD29" s="206"/>
      <c r="BF29" s="206"/>
      <c r="BG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  <c r="BY29" s="201"/>
      <c r="BZ29" s="201"/>
      <c r="CA29" s="201"/>
      <c r="CB29" s="201"/>
      <c r="CC29" s="201"/>
      <c r="CD29" s="201"/>
      <c r="CE29" s="201"/>
      <c r="CF29" s="201"/>
      <c r="CG29" s="201"/>
      <c r="CH29" s="201"/>
      <c r="CI29" s="201"/>
      <c r="CJ29" s="201"/>
      <c r="CK29" s="201"/>
      <c r="CL29" s="201"/>
      <c r="CM29" s="201"/>
      <c r="CN29" s="201"/>
      <c r="CO29" s="201"/>
      <c r="CP29" s="201"/>
      <c r="CQ29" s="201"/>
      <c r="CR29" s="201"/>
      <c r="CS29" s="201"/>
      <c r="CT29" s="201"/>
      <c r="CU29" s="201"/>
      <c r="CV29" s="201"/>
    </row>
    <row r="30" spans="1:100" x14ac:dyDescent="0.2">
      <c r="A30" s="220">
        <v>1</v>
      </c>
      <c r="B30" s="220">
        <v>1</v>
      </c>
      <c r="C30" s="206" t="s">
        <v>326</v>
      </c>
      <c r="D30" s="206" t="s">
        <v>327</v>
      </c>
      <c r="E30" s="192">
        <v>43.23</v>
      </c>
      <c r="F30" s="206"/>
      <c r="G30" s="206"/>
      <c r="H30" s="206"/>
      <c r="I30" s="206"/>
      <c r="J30" s="206"/>
      <c r="K30" s="206"/>
      <c r="L30" s="206"/>
      <c r="M30" s="206">
        <v>1</v>
      </c>
      <c r="N30" s="206"/>
      <c r="O30" s="192">
        <v>1.0900000000000001</v>
      </c>
      <c r="P30" s="192">
        <v>1</v>
      </c>
      <c r="Q30" s="206" t="s">
        <v>328</v>
      </c>
      <c r="R30" s="206" t="s">
        <v>329</v>
      </c>
      <c r="S30" s="206">
        <v>793700.54980000004</v>
      </c>
      <c r="T30" s="206">
        <v>2187890.818</v>
      </c>
      <c r="U30" s="206">
        <v>793743.54890000005</v>
      </c>
      <c r="V30" s="206">
        <v>2187886.392</v>
      </c>
      <c r="W30" s="206"/>
      <c r="X30" s="206"/>
      <c r="Y30" s="206"/>
      <c r="Z30" s="206"/>
      <c r="AA30" s="206"/>
      <c r="AB30" s="206" t="s">
        <v>327</v>
      </c>
      <c r="AC30" s="206" t="s">
        <v>328</v>
      </c>
      <c r="AD30" s="206"/>
      <c r="AL30" s="206"/>
      <c r="AM30" s="206"/>
      <c r="AN30" s="206"/>
      <c r="AO30" s="206"/>
      <c r="AP30" s="206"/>
      <c r="AQ30" s="206"/>
      <c r="AR30" s="206"/>
      <c r="AS30" s="206"/>
      <c r="AV30" s="206"/>
      <c r="AW30" s="206"/>
      <c r="AX30" s="206"/>
      <c r="AY30" s="206"/>
      <c r="AZ30" s="206"/>
      <c r="BA30" s="206"/>
      <c r="BB30" s="206"/>
      <c r="BD30" s="206"/>
      <c r="BF30" s="206"/>
      <c r="BG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  <c r="BY30" s="201"/>
      <c r="BZ30" s="201"/>
      <c r="CA30" s="201"/>
      <c r="CB30" s="201"/>
      <c r="CC30" s="201"/>
      <c r="CD30" s="201"/>
      <c r="CE30" s="201"/>
      <c r="CF30" s="201"/>
      <c r="CG30" s="201"/>
      <c r="CH30" s="201"/>
      <c r="CI30" s="201"/>
      <c r="CJ30" s="201"/>
      <c r="CK30" s="201"/>
      <c r="CL30" s="201"/>
      <c r="CM30" s="201"/>
      <c r="CN30" s="201"/>
      <c r="CO30" s="201"/>
      <c r="CP30" s="201"/>
      <c r="CQ30" s="201"/>
      <c r="CR30" s="201"/>
      <c r="CS30" s="201"/>
      <c r="CT30" s="201"/>
      <c r="CU30" s="201"/>
      <c r="CV30" s="201"/>
    </row>
    <row r="31" spans="1:100" x14ac:dyDescent="0.2">
      <c r="A31" s="220">
        <v>1</v>
      </c>
      <c r="B31" s="220">
        <v>0</v>
      </c>
      <c r="C31" s="206" t="s">
        <v>330</v>
      </c>
      <c r="D31" s="206" t="s">
        <v>331</v>
      </c>
      <c r="E31" s="192">
        <v>13.04</v>
      </c>
      <c r="F31" s="206"/>
      <c r="G31" s="206"/>
      <c r="H31" s="206"/>
      <c r="I31" s="206"/>
      <c r="J31"/>
      <c r="K31"/>
      <c r="L31" s="206"/>
      <c r="M31" s="206"/>
      <c r="N31" s="206"/>
      <c r="O31" s="192">
        <v>1</v>
      </c>
      <c r="P31" s="192">
        <v>1</v>
      </c>
      <c r="Q31" s="206" t="s">
        <v>332</v>
      </c>
      <c r="R31" s="206" t="s">
        <v>333</v>
      </c>
      <c r="S31" s="206">
        <v>793786.82400000002</v>
      </c>
      <c r="T31" s="206">
        <v>2187847.148</v>
      </c>
      <c r="U31" s="206">
        <v>793785.99840000004</v>
      </c>
      <c r="V31" s="206">
        <v>2187834.1370000001</v>
      </c>
      <c r="W31" s="206"/>
      <c r="X31" s="206"/>
      <c r="Y31" s="206"/>
      <c r="Z31" s="206"/>
      <c r="AA31" s="206"/>
      <c r="AB31" s="206" t="s">
        <v>331</v>
      </c>
      <c r="AC31" s="206" t="s">
        <v>332</v>
      </c>
      <c r="AD31" s="206"/>
      <c r="AL31" s="206"/>
      <c r="AM31" s="206"/>
      <c r="AN31" s="206"/>
      <c r="AO31" s="206"/>
      <c r="AP31" s="206"/>
      <c r="AQ31" s="206"/>
      <c r="AR31" s="206"/>
      <c r="AS31" s="206"/>
      <c r="AV31" s="206"/>
      <c r="AW31" s="206"/>
      <c r="AX31" s="206"/>
      <c r="AY31" s="206"/>
      <c r="AZ31" s="206"/>
      <c r="BD31" s="206"/>
      <c r="BF31" s="206"/>
    </row>
    <row r="32" spans="1:100" x14ac:dyDescent="0.2">
      <c r="A32" s="220">
        <v>0</v>
      </c>
      <c r="B32" s="220">
        <v>0</v>
      </c>
      <c r="C32" s="206" t="s">
        <v>330</v>
      </c>
      <c r="D32" s="206" t="s">
        <v>332</v>
      </c>
      <c r="E32" s="192">
        <v>54</v>
      </c>
      <c r="F32" s="206" t="s">
        <v>331</v>
      </c>
      <c r="G32" s="206"/>
      <c r="H32" s="206"/>
      <c r="I32" s="206"/>
      <c r="J32"/>
      <c r="K32"/>
      <c r="L32" s="206"/>
      <c r="M32" s="206"/>
      <c r="N32" s="206"/>
      <c r="O32" s="192">
        <v>1</v>
      </c>
      <c r="P32" s="192">
        <v>1.01</v>
      </c>
      <c r="Q32" s="206" t="s">
        <v>334</v>
      </c>
      <c r="R32" s="206" t="s">
        <v>335</v>
      </c>
      <c r="S32" s="206">
        <v>793785.99840000004</v>
      </c>
      <c r="T32" s="206">
        <v>2187834.1370000001</v>
      </c>
      <c r="U32" s="206">
        <v>793839.10199999996</v>
      </c>
      <c r="V32" s="206">
        <v>2187824.3590000002</v>
      </c>
      <c r="W32" s="206"/>
      <c r="X32" s="206"/>
      <c r="Y32" s="206"/>
      <c r="Z32" s="206"/>
      <c r="AA32" s="206"/>
      <c r="AB32" s="206" t="s">
        <v>332</v>
      </c>
      <c r="AC32" s="206" t="s">
        <v>334</v>
      </c>
      <c r="AD32" s="206"/>
      <c r="AL32" s="206"/>
      <c r="AM32" s="206"/>
      <c r="AN32" s="206"/>
      <c r="AO32" s="206"/>
      <c r="AP32" s="206"/>
      <c r="AQ32" s="206"/>
      <c r="AR32" s="206"/>
      <c r="AS32" s="206"/>
      <c r="AV32" s="206"/>
      <c r="AW32" s="206"/>
      <c r="AX32" s="206"/>
      <c r="AY32" s="206"/>
      <c r="AZ32" s="206"/>
      <c r="BD32" s="206"/>
      <c r="BF32" s="206"/>
    </row>
    <row r="33" spans="1:100" x14ac:dyDescent="0.2">
      <c r="A33" s="220">
        <v>0</v>
      </c>
      <c r="B33" s="220">
        <v>1</v>
      </c>
      <c r="C33" s="206" t="s">
        <v>330</v>
      </c>
      <c r="D33" s="206" t="s">
        <v>334</v>
      </c>
      <c r="E33" s="192">
        <v>39.07</v>
      </c>
      <c r="F33" s="206" t="s">
        <v>332</v>
      </c>
      <c r="G33" s="206"/>
      <c r="H33" s="206"/>
      <c r="I33" s="206"/>
      <c r="J33"/>
      <c r="K33"/>
      <c r="L33" s="206"/>
      <c r="M33" s="206"/>
      <c r="N33" s="206"/>
      <c r="O33" s="192">
        <v>1.01</v>
      </c>
      <c r="P33" s="192">
        <v>1.31</v>
      </c>
      <c r="Q33" s="206" t="s">
        <v>336</v>
      </c>
      <c r="R33" s="206" t="s">
        <v>337</v>
      </c>
      <c r="S33" s="206">
        <v>793839.10199999996</v>
      </c>
      <c r="T33" s="206">
        <v>2187824.3590000002</v>
      </c>
      <c r="U33" s="206">
        <v>793877.65410000004</v>
      </c>
      <c r="V33" s="206">
        <v>2187818.0449999999</v>
      </c>
      <c r="W33" s="206"/>
      <c r="X33" s="206"/>
      <c r="Y33" s="206"/>
      <c r="Z33" s="206"/>
      <c r="AA33" s="206"/>
      <c r="AB33" s="206" t="s">
        <v>334</v>
      </c>
      <c r="AC33" s="206" t="s">
        <v>336</v>
      </c>
      <c r="AD33" s="206"/>
      <c r="AL33" s="206"/>
      <c r="AM33" s="206"/>
      <c r="AN33" s="206"/>
      <c r="AO33" s="206"/>
      <c r="AP33" s="206"/>
      <c r="AQ33" s="206"/>
      <c r="AR33" s="206"/>
      <c r="AS33" s="206"/>
      <c r="AV33" s="206"/>
      <c r="AW33" s="206"/>
      <c r="AX33" s="206"/>
      <c r="AY33" s="206"/>
      <c r="AZ33" s="206"/>
      <c r="BD33" s="206"/>
      <c r="BF33" s="206"/>
    </row>
    <row r="34" spans="1:100" x14ac:dyDescent="0.2">
      <c r="A34" s="220">
        <v>1</v>
      </c>
      <c r="B34" s="220">
        <v>1</v>
      </c>
      <c r="C34" s="206" t="s">
        <v>338</v>
      </c>
      <c r="D34" s="206" t="s">
        <v>339</v>
      </c>
      <c r="E34" s="192">
        <v>48.16</v>
      </c>
      <c r="F34" s="206"/>
      <c r="G34" s="206"/>
      <c r="H34" s="206"/>
      <c r="I34" s="206"/>
      <c r="J34"/>
      <c r="K34"/>
      <c r="L34" s="206"/>
      <c r="M34" s="206"/>
      <c r="N34" s="206"/>
      <c r="O34" s="192">
        <v>1.22</v>
      </c>
      <c r="P34" s="192">
        <v>0.81</v>
      </c>
      <c r="Q34" s="206" t="s">
        <v>340</v>
      </c>
      <c r="R34" s="206" t="s">
        <v>341</v>
      </c>
      <c r="S34" s="206">
        <v>793868.24049999996</v>
      </c>
      <c r="T34" s="206">
        <v>2187915.69</v>
      </c>
      <c r="U34" s="206">
        <v>793846.80119999999</v>
      </c>
      <c r="V34" s="206">
        <v>2187872.571</v>
      </c>
      <c r="W34" s="206"/>
      <c r="X34" s="206"/>
      <c r="Y34" s="206"/>
      <c r="Z34" s="206"/>
      <c r="AA34" s="206"/>
      <c r="AB34" s="206" t="s">
        <v>339</v>
      </c>
      <c r="AC34" s="206" t="s">
        <v>340</v>
      </c>
      <c r="AD34" s="206"/>
      <c r="AL34" s="206"/>
      <c r="AM34" s="206"/>
      <c r="AN34" s="206"/>
      <c r="AO34" s="206"/>
      <c r="AP34" s="206"/>
      <c r="AQ34" s="206"/>
      <c r="AR34" s="206"/>
      <c r="AS34" s="206"/>
      <c r="AV34" s="206"/>
      <c r="AW34" s="206"/>
      <c r="AX34" s="206"/>
      <c r="AY34" s="206"/>
      <c r="AZ34" s="206"/>
      <c r="BD34" s="206"/>
      <c r="BF34" s="206"/>
    </row>
    <row r="35" spans="1:100" x14ac:dyDescent="0.2">
      <c r="A35" s="220">
        <v>1</v>
      </c>
      <c r="B35" s="220">
        <v>0</v>
      </c>
      <c r="C35" s="206" t="s">
        <v>342</v>
      </c>
      <c r="D35" s="206" t="s">
        <v>343</v>
      </c>
      <c r="E35" s="192">
        <v>99.84</v>
      </c>
      <c r="F35" s="206"/>
      <c r="G35" s="206"/>
      <c r="H35" s="206"/>
      <c r="I35" s="206"/>
      <c r="J35"/>
      <c r="K35"/>
      <c r="L35" s="206"/>
      <c r="M35" s="206"/>
      <c r="N35" s="206"/>
      <c r="O35" s="192">
        <v>1.17</v>
      </c>
      <c r="P35" s="192">
        <v>1.1499999999999999</v>
      </c>
      <c r="Q35" s="206" t="s">
        <v>344</v>
      </c>
      <c r="R35" s="206" t="s">
        <v>345</v>
      </c>
      <c r="S35" s="206">
        <v>793702.59589999996</v>
      </c>
      <c r="T35" s="206">
        <v>2187392.6540000001</v>
      </c>
      <c r="U35" s="206">
        <v>793753.71140000003</v>
      </c>
      <c r="V35" s="206">
        <v>2187478.415</v>
      </c>
      <c r="W35" s="206"/>
      <c r="X35" s="206"/>
      <c r="Y35" s="206"/>
      <c r="Z35" s="206"/>
      <c r="AA35" s="206"/>
      <c r="AB35" s="206" t="s">
        <v>343</v>
      </c>
      <c r="AC35" s="206" t="s">
        <v>344</v>
      </c>
      <c r="AD35" s="206"/>
      <c r="AL35" s="206"/>
      <c r="AM35" s="206"/>
      <c r="AN35" s="206"/>
      <c r="AO35" s="206"/>
      <c r="AP35" s="206"/>
      <c r="AQ35" s="206"/>
      <c r="AR35" s="206"/>
      <c r="AS35" s="206"/>
      <c r="AV35" s="206"/>
      <c r="AW35" s="206"/>
      <c r="AX35" s="206"/>
      <c r="AY35" s="206"/>
      <c r="AZ35" s="206"/>
      <c r="BD35" s="206"/>
      <c r="BF35" s="206"/>
    </row>
    <row r="36" spans="1:100" x14ac:dyDescent="0.2">
      <c r="A36" s="220">
        <v>0</v>
      </c>
      <c r="B36" s="220">
        <v>0</v>
      </c>
      <c r="C36" s="206" t="s">
        <v>342</v>
      </c>
      <c r="D36" s="206" t="s">
        <v>344</v>
      </c>
      <c r="E36" s="192">
        <v>99.97</v>
      </c>
      <c r="F36" s="206" t="s">
        <v>343</v>
      </c>
      <c r="G36" s="206"/>
      <c r="H36" s="206"/>
      <c r="I36" s="206"/>
      <c r="J36"/>
      <c r="K36"/>
      <c r="L36" s="206"/>
      <c r="M36" s="206"/>
      <c r="N36" s="206"/>
      <c r="O36" s="192">
        <v>1.1499999999999999</v>
      </c>
      <c r="P36" s="192">
        <v>1.1399999999999999</v>
      </c>
      <c r="Q36" s="206" t="s">
        <v>317</v>
      </c>
      <c r="R36" s="206" t="s">
        <v>346</v>
      </c>
      <c r="S36" s="206">
        <v>793753.71140000003</v>
      </c>
      <c r="T36" s="206">
        <v>2187478.415</v>
      </c>
      <c r="U36" s="206">
        <v>793807.38269999996</v>
      </c>
      <c r="V36" s="206">
        <v>2187562.7549999999</v>
      </c>
      <c r="W36" s="206"/>
      <c r="X36" s="206"/>
      <c r="Y36" s="206"/>
      <c r="Z36" s="206"/>
      <c r="AA36" s="206"/>
      <c r="AB36" s="206" t="s">
        <v>344</v>
      </c>
      <c r="AC36" s="206" t="s">
        <v>317</v>
      </c>
      <c r="AD36" s="206"/>
      <c r="AL36" s="206"/>
      <c r="AM36" s="206"/>
      <c r="AN36" s="206"/>
      <c r="AO36" s="206"/>
      <c r="AP36" s="206"/>
      <c r="AQ36" s="206"/>
      <c r="AR36" s="206"/>
      <c r="AS36" s="206"/>
      <c r="AV36" s="206"/>
      <c r="AW36" s="206"/>
      <c r="AX36" s="206"/>
      <c r="AY36" s="206"/>
      <c r="AZ36" s="206"/>
      <c r="BD36" s="206"/>
      <c r="BF36" s="206"/>
    </row>
    <row r="37" spans="1:100" x14ac:dyDescent="0.2">
      <c r="A37" s="220">
        <v>0</v>
      </c>
      <c r="B37" s="220">
        <v>1</v>
      </c>
      <c r="C37" s="206" t="s">
        <v>342</v>
      </c>
      <c r="D37" s="206" t="s">
        <v>317</v>
      </c>
      <c r="E37" s="192">
        <v>57.85</v>
      </c>
      <c r="F37" s="206" t="s">
        <v>344</v>
      </c>
      <c r="G37" s="206"/>
      <c r="H37" s="206"/>
      <c r="I37" s="206"/>
      <c r="J37"/>
      <c r="K37"/>
      <c r="L37" s="206"/>
      <c r="M37" s="206"/>
      <c r="N37" s="206"/>
      <c r="O37" s="192">
        <v>1.1399999999999999</v>
      </c>
      <c r="P37" s="192">
        <v>0.86</v>
      </c>
      <c r="Q37" s="206" t="s">
        <v>315</v>
      </c>
      <c r="R37" s="206" t="s">
        <v>347</v>
      </c>
      <c r="S37" s="206">
        <v>793807.38269999996</v>
      </c>
      <c r="T37" s="206">
        <v>2187562.7549999999</v>
      </c>
      <c r="U37" s="206">
        <v>793839.60450000002</v>
      </c>
      <c r="V37" s="206">
        <v>2187610.7969999998</v>
      </c>
      <c r="W37" s="206"/>
      <c r="X37" s="206"/>
      <c r="Y37" s="206"/>
      <c r="Z37" s="206"/>
      <c r="AA37" s="206"/>
      <c r="AB37" s="206" t="s">
        <v>317</v>
      </c>
      <c r="AC37" s="206" t="s">
        <v>315</v>
      </c>
      <c r="AD37" s="206"/>
      <c r="AL37" s="206"/>
      <c r="AM37" s="206"/>
      <c r="AN37" s="206"/>
      <c r="AO37" s="206"/>
      <c r="AP37" s="206"/>
      <c r="AQ37" s="206"/>
      <c r="AR37" s="206"/>
      <c r="AS37" s="206"/>
      <c r="AV37" s="206"/>
      <c r="AW37" s="206"/>
      <c r="AX37" s="206"/>
      <c r="AY37" s="206"/>
      <c r="AZ37" s="206"/>
      <c r="BD37" s="206"/>
      <c r="BF37" s="206"/>
    </row>
    <row r="38" spans="1:100" x14ac:dyDescent="0.2">
      <c r="A38" s="220">
        <v>1</v>
      </c>
      <c r="B38" s="220">
        <v>0</v>
      </c>
      <c r="C38" s="206" t="s">
        <v>348</v>
      </c>
      <c r="D38" s="206" t="s">
        <v>349</v>
      </c>
      <c r="E38" s="192">
        <v>47.61</v>
      </c>
      <c r="F38" s="206"/>
      <c r="G38" s="206"/>
      <c r="H38" s="206"/>
      <c r="I38" s="206"/>
      <c r="J38"/>
      <c r="K38"/>
      <c r="L38" s="206"/>
      <c r="M38" s="206"/>
      <c r="N38" s="206"/>
      <c r="O38" s="192">
        <v>1.49</v>
      </c>
      <c r="P38" s="192">
        <v>1.19</v>
      </c>
      <c r="Q38" s="206" t="s">
        <v>350</v>
      </c>
      <c r="R38" s="206" t="s">
        <v>351</v>
      </c>
      <c r="S38" s="206">
        <v>793947.13260000001</v>
      </c>
      <c r="T38" s="206">
        <v>2188120.0269999998</v>
      </c>
      <c r="U38" s="206">
        <v>793992.42020000005</v>
      </c>
      <c r="V38" s="206">
        <v>2188105.3319999999</v>
      </c>
      <c r="W38" s="206"/>
      <c r="X38" s="206"/>
      <c r="Y38" s="206"/>
      <c r="Z38" s="206"/>
      <c r="AA38" s="206"/>
      <c r="AB38" s="206" t="s">
        <v>349</v>
      </c>
      <c r="AC38" s="206" t="s">
        <v>350</v>
      </c>
      <c r="AD38" s="206"/>
      <c r="AL38" s="206"/>
      <c r="AM38" s="206"/>
      <c r="AN38" s="206"/>
      <c r="AO38" s="206"/>
      <c r="AP38" s="206"/>
      <c r="AQ38" s="206"/>
      <c r="AR38" s="206"/>
      <c r="AS38" s="206"/>
      <c r="AV38" s="206"/>
      <c r="AW38" s="206"/>
      <c r="AX38" s="206"/>
      <c r="AY38" s="206"/>
      <c r="AZ38" s="206"/>
      <c r="BD38" s="206"/>
      <c r="BF38" s="206"/>
    </row>
    <row r="39" spans="1:100" x14ac:dyDescent="0.2">
      <c r="A39" s="220">
        <v>0</v>
      </c>
      <c r="B39" s="220">
        <v>0</v>
      </c>
      <c r="C39" s="206" t="s">
        <v>348</v>
      </c>
      <c r="D39" s="206" t="s">
        <v>350</v>
      </c>
      <c r="E39" s="192">
        <v>52.19</v>
      </c>
      <c r="F39" s="206" t="s">
        <v>349</v>
      </c>
      <c r="G39" s="206"/>
      <c r="H39" s="206"/>
      <c r="I39" s="206" t="s">
        <v>352</v>
      </c>
      <c r="J39">
        <v>265</v>
      </c>
      <c r="K39">
        <v>30</v>
      </c>
      <c r="L39" s="206"/>
      <c r="M39" s="206"/>
      <c r="N39" s="206"/>
      <c r="O39" s="192">
        <v>1.19</v>
      </c>
      <c r="P39" s="192">
        <v>1.24</v>
      </c>
      <c r="Q39" s="206" t="s">
        <v>353</v>
      </c>
      <c r="R39" s="206" t="s">
        <v>354</v>
      </c>
      <c r="S39" s="206">
        <v>793992.42020000005</v>
      </c>
      <c r="T39" s="206">
        <v>2188105.3319999999</v>
      </c>
      <c r="U39" s="206">
        <v>793964.47679999995</v>
      </c>
      <c r="V39" s="206">
        <v>2188061.2489999998</v>
      </c>
      <c r="W39" s="206"/>
      <c r="X39" s="206"/>
      <c r="Y39" s="206"/>
      <c r="Z39" s="206"/>
      <c r="AA39" s="206"/>
      <c r="AB39" s="206" t="s">
        <v>350</v>
      </c>
      <c r="AC39" s="206" t="s">
        <v>353</v>
      </c>
      <c r="AD39" s="206"/>
      <c r="AL39" s="206"/>
      <c r="AM39" s="206"/>
      <c r="AN39" s="206"/>
      <c r="AO39" s="206"/>
      <c r="AP39" s="206"/>
      <c r="AQ39" s="206"/>
      <c r="AR39" s="206"/>
      <c r="AS39" s="206"/>
      <c r="AV39" s="206"/>
      <c r="AW39" s="206"/>
      <c r="AX39" s="206"/>
      <c r="AY39" s="206"/>
      <c r="AZ39" s="206"/>
      <c r="BD39" s="206"/>
      <c r="BF39" s="206"/>
    </row>
    <row r="40" spans="1:100" x14ac:dyDescent="0.2">
      <c r="A40" s="220">
        <v>0</v>
      </c>
      <c r="B40" s="220">
        <v>0</v>
      </c>
      <c r="C40" s="206" t="s">
        <v>348</v>
      </c>
      <c r="D40" s="206" t="s">
        <v>353</v>
      </c>
      <c r="E40" s="192">
        <v>95.75</v>
      </c>
      <c r="F40" s="206" t="s">
        <v>350</v>
      </c>
      <c r="G40" s="206"/>
      <c r="H40" s="206"/>
      <c r="I40" s="206"/>
      <c r="J40"/>
      <c r="K40"/>
      <c r="L40" s="206"/>
      <c r="M40" s="206"/>
      <c r="N40" s="206"/>
      <c r="O40" s="192">
        <v>1.24</v>
      </c>
      <c r="P40" s="192">
        <v>0.95</v>
      </c>
      <c r="Q40" s="206" t="s">
        <v>355</v>
      </c>
      <c r="R40" s="206" t="s">
        <v>356</v>
      </c>
      <c r="S40" s="206">
        <v>793964.47679999995</v>
      </c>
      <c r="T40" s="206">
        <v>2188061.2489999998</v>
      </c>
      <c r="U40" s="206">
        <v>793928.58389999997</v>
      </c>
      <c r="V40" s="206">
        <v>2187972.4810000001</v>
      </c>
      <c r="W40" s="206"/>
      <c r="X40" s="206"/>
      <c r="Y40" s="206"/>
      <c r="Z40" s="206"/>
      <c r="AA40" s="206"/>
      <c r="AB40" s="206" t="s">
        <v>353</v>
      </c>
      <c r="AC40" s="206" t="s">
        <v>355</v>
      </c>
      <c r="AD40" s="206"/>
      <c r="AL40" s="206"/>
      <c r="AM40" s="206"/>
      <c r="AN40" s="206"/>
      <c r="AO40" s="206"/>
      <c r="AP40" s="206"/>
      <c r="AQ40" s="206"/>
      <c r="AR40" s="206"/>
      <c r="AS40" s="206"/>
      <c r="AV40" s="206"/>
      <c r="AW40" s="206"/>
      <c r="AX40" s="206"/>
      <c r="AY40" s="206"/>
      <c r="AZ40" s="206"/>
      <c r="BD40" s="206"/>
      <c r="BF40" s="206"/>
    </row>
    <row r="41" spans="1:100" x14ac:dyDescent="0.2">
      <c r="A41" s="220">
        <v>0</v>
      </c>
      <c r="B41" s="220">
        <v>0</v>
      </c>
      <c r="C41" s="206" t="s">
        <v>348</v>
      </c>
      <c r="D41" s="206" t="s">
        <v>355</v>
      </c>
      <c r="E41" s="192">
        <v>51.98</v>
      </c>
      <c r="F41" s="206" t="s">
        <v>353</v>
      </c>
      <c r="G41" s="206"/>
      <c r="H41" s="206"/>
      <c r="I41" s="206"/>
      <c r="J41"/>
      <c r="K41"/>
      <c r="L41" s="206"/>
      <c r="M41" s="206"/>
      <c r="N41" s="206"/>
      <c r="O41" s="192">
        <v>0.95</v>
      </c>
      <c r="P41" s="192">
        <v>1.1599999999999999</v>
      </c>
      <c r="Q41" s="206" t="s">
        <v>357</v>
      </c>
      <c r="R41" s="206" t="s">
        <v>358</v>
      </c>
      <c r="S41" s="206">
        <v>793928.58389999997</v>
      </c>
      <c r="T41" s="206">
        <v>2187972.4810000001</v>
      </c>
      <c r="U41" s="206">
        <v>793909.67390000005</v>
      </c>
      <c r="V41" s="206">
        <v>2187924.0610000002</v>
      </c>
      <c r="W41" s="206"/>
      <c r="X41" s="206"/>
      <c r="Y41" s="206"/>
      <c r="Z41" s="206"/>
      <c r="AA41" s="206"/>
      <c r="AB41" s="206" t="s">
        <v>355</v>
      </c>
      <c r="AC41" s="206" t="s">
        <v>357</v>
      </c>
      <c r="AD41" s="206"/>
      <c r="AL41" s="206"/>
      <c r="AM41" s="206"/>
      <c r="AN41" s="206"/>
      <c r="AO41" s="206"/>
      <c r="AP41" s="206"/>
      <c r="AQ41" s="206"/>
      <c r="AR41" s="206"/>
      <c r="AS41" s="206"/>
      <c r="AV41" s="206"/>
      <c r="AW41" s="206"/>
      <c r="AX41" s="206"/>
      <c r="AY41" s="206"/>
      <c r="AZ41" s="206"/>
      <c r="BD41" s="206"/>
      <c r="BF41" s="206"/>
    </row>
    <row r="42" spans="1:100" x14ac:dyDescent="0.2">
      <c r="A42" s="220">
        <v>0</v>
      </c>
      <c r="B42" s="220">
        <v>0</v>
      </c>
      <c r="C42" s="206" t="s">
        <v>348</v>
      </c>
      <c r="D42" s="206" t="s">
        <v>357</v>
      </c>
      <c r="E42" s="192">
        <v>63.4</v>
      </c>
      <c r="F42" s="206" t="s">
        <v>355</v>
      </c>
      <c r="G42" s="206"/>
      <c r="H42" s="206"/>
      <c r="I42" s="206"/>
      <c r="J42"/>
      <c r="K42"/>
      <c r="L42" s="206"/>
      <c r="M42" s="206"/>
      <c r="N42" s="206"/>
      <c r="O42" s="192">
        <v>1.1599999999999999</v>
      </c>
      <c r="P42" s="192">
        <v>0.69</v>
      </c>
      <c r="Q42" s="206" t="s">
        <v>359</v>
      </c>
      <c r="R42" s="206" t="s">
        <v>360</v>
      </c>
      <c r="S42" s="206">
        <v>793909.67390000005</v>
      </c>
      <c r="T42" s="206">
        <v>2187924.0610000002</v>
      </c>
      <c r="U42" s="206">
        <v>793887.15049999999</v>
      </c>
      <c r="V42" s="206">
        <v>2187864.8020000001</v>
      </c>
      <c r="W42" s="206"/>
      <c r="X42" s="206"/>
      <c r="Y42" s="206"/>
      <c r="Z42" s="206"/>
      <c r="AA42" s="206"/>
      <c r="AB42" s="206" t="s">
        <v>357</v>
      </c>
      <c r="AC42" s="206" t="s">
        <v>359</v>
      </c>
      <c r="AD42" s="206"/>
      <c r="AL42" s="206"/>
      <c r="AM42" s="206"/>
      <c r="AN42" s="206"/>
      <c r="AO42" s="206"/>
      <c r="AP42" s="206"/>
      <c r="AQ42" s="206"/>
      <c r="AR42" s="206"/>
      <c r="AS42" s="206"/>
      <c r="AV42" s="206"/>
      <c r="AW42" s="206"/>
      <c r="AX42" s="206"/>
      <c r="AY42" s="206"/>
      <c r="AZ42" s="206"/>
      <c r="BD42" s="206"/>
      <c r="BF42" s="206"/>
    </row>
    <row r="43" spans="1:100" x14ac:dyDescent="0.2">
      <c r="A43" s="220">
        <v>0</v>
      </c>
      <c r="B43" s="220">
        <v>0</v>
      </c>
      <c r="C43" s="206" t="s">
        <v>348</v>
      </c>
      <c r="D43" s="206" t="s">
        <v>359</v>
      </c>
      <c r="E43" s="192">
        <v>47.71</v>
      </c>
      <c r="F43" s="206" t="s">
        <v>357</v>
      </c>
      <c r="G43" s="206" t="s">
        <v>340</v>
      </c>
      <c r="H43" s="206"/>
      <c r="I43" s="206"/>
      <c r="J43"/>
      <c r="K43"/>
      <c r="L43" s="206"/>
      <c r="M43" s="206"/>
      <c r="N43" s="206"/>
      <c r="O43" s="192">
        <v>0.69</v>
      </c>
      <c r="P43" s="192">
        <v>1.31</v>
      </c>
      <c r="Q43" s="206" t="s">
        <v>336</v>
      </c>
      <c r="R43" s="206" t="s">
        <v>361</v>
      </c>
      <c r="S43" s="206">
        <v>793887.15049999999</v>
      </c>
      <c r="T43" s="206">
        <v>2187864.8020000001</v>
      </c>
      <c r="U43" s="206">
        <v>793877.65410000004</v>
      </c>
      <c r="V43" s="206">
        <v>2187818.0449999999</v>
      </c>
      <c r="W43" s="206"/>
      <c r="X43" s="206"/>
      <c r="Y43" s="206"/>
      <c r="Z43" s="206"/>
      <c r="AA43" s="206"/>
      <c r="AB43" s="206" t="s">
        <v>359</v>
      </c>
      <c r="AC43" s="206" t="s">
        <v>336</v>
      </c>
      <c r="AD43" s="206"/>
      <c r="AL43" s="206"/>
      <c r="AM43" s="206"/>
      <c r="AN43" s="206"/>
      <c r="AO43" s="206"/>
      <c r="AP43" s="206"/>
      <c r="AQ43" s="206"/>
      <c r="AR43" s="206"/>
      <c r="AS43" s="206"/>
      <c r="AV43" s="206"/>
      <c r="AW43" s="206"/>
      <c r="AX43" s="206"/>
      <c r="AY43" s="206"/>
      <c r="AZ43" s="206"/>
      <c r="BD43" s="206"/>
      <c r="BF43" s="206"/>
    </row>
    <row r="44" spans="1:100" x14ac:dyDescent="0.2">
      <c r="A44" s="220">
        <v>0</v>
      </c>
      <c r="B44" s="220">
        <v>0</v>
      </c>
      <c r="C44" s="206" t="s">
        <v>348</v>
      </c>
      <c r="D44" s="206" t="s">
        <v>336</v>
      </c>
      <c r="E44" s="192">
        <v>52.65</v>
      </c>
      <c r="F44" s="206" t="s">
        <v>359</v>
      </c>
      <c r="G44" s="206" t="s">
        <v>334</v>
      </c>
      <c r="H44" s="206"/>
      <c r="I44" s="206"/>
      <c r="J44"/>
      <c r="K44"/>
      <c r="L44" s="206"/>
      <c r="M44" s="206"/>
      <c r="N44" s="206"/>
      <c r="O44" s="192">
        <v>1.31</v>
      </c>
      <c r="P44" s="192">
        <v>1.18</v>
      </c>
      <c r="Q44" s="206" t="s">
        <v>362</v>
      </c>
      <c r="R44" s="206" t="s">
        <v>363</v>
      </c>
      <c r="S44" s="206">
        <v>793877.65410000004</v>
      </c>
      <c r="T44" s="206">
        <v>2187818.0449999999</v>
      </c>
      <c r="U44" s="206">
        <v>793880.6422</v>
      </c>
      <c r="V44" s="206">
        <v>2187765.4810000001</v>
      </c>
      <c r="W44" s="206"/>
      <c r="X44" s="206"/>
      <c r="Y44" s="206"/>
      <c r="Z44" s="206"/>
      <c r="AA44" s="206"/>
      <c r="AB44" s="206" t="s">
        <v>336</v>
      </c>
      <c r="AC44" s="206" t="s">
        <v>362</v>
      </c>
      <c r="AD44" s="206"/>
      <c r="AL44" s="206"/>
      <c r="AM44" s="206"/>
      <c r="AN44" s="206"/>
      <c r="AO44" s="206"/>
      <c r="AP44" s="206"/>
      <c r="AQ44" s="206"/>
      <c r="AR44" s="206"/>
      <c r="AS44" s="206"/>
      <c r="AV44" s="206"/>
      <c r="AW44" s="206"/>
      <c r="AX44" s="206"/>
      <c r="AY44" s="206"/>
      <c r="AZ44" s="206"/>
      <c r="BD44" s="206"/>
      <c r="BF44" s="206"/>
    </row>
    <row r="45" spans="1:100" x14ac:dyDescent="0.2">
      <c r="A45" s="220">
        <v>0</v>
      </c>
      <c r="B45" s="220">
        <v>0</v>
      </c>
      <c r="C45" s="206" t="s">
        <v>348</v>
      </c>
      <c r="D45" s="206" t="s">
        <v>362</v>
      </c>
      <c r="E45" s="192">
        <v>45.52</v>
      </c>
      <c r="F45" s="206" t="s">
        <v>336</v>
      </c>
      <c r="G45" s="206"/>
      <c r="H45" s="206"/>
      <c r="I45" s="206"/>
      <c r="J45"/>
      <c r="K45"/>
      <c r="L45" s="206"/>
      <c r="M45" s="206"/>
      <c r="N45" s="206"/>
      <c r="O45" s="192">
        <v>1.18</v>
      </c>
      <c r="P45" s="192">
        <v>1.5</v>
      </c>
      <c r="Q45" s="206" t="s">
        <v>364</v>
      </c>
      <c r="R45" s="206" t="s">
        <v>365</v>
      </c>
      <c r="S45" s="206">
        <v>793880.6422</v>
      </c>
      <c r="T45" s="206">
        <v>2187765.4810000001</v>
      </c>
      <c r="U45" s="206">
        <v>793879.91969999997</v>
      </c>
      <c r="V45" s="206">
        <v>2187719.9670000002</v>
      </c>
      <c r="W45" s="206"/>
      <c r="X45" s="206"/>
      <c r="Y45" s="206"/>
      <c r="Z45" s="206"/>
      <c r="AA45" s="206"/>
      <c r="AB45" s="206" t="s">
        <v>362</v>
      </c>
      <c r="AC45" s="206" t="s">
        <v>364</v>
      </c>
      <c r="AD45" s="206"/>
      <c r="AL45" s="206"/>
      <c r="AM45" s="206"/>
      <c r="AN45" s="206"/>
      <c r="AO45" s="206"/>
      <c r="AP45" s="206"/>
      <c r="AQ45" s="206"/>
      <c r="AR45" s="206"/>
      <c r="AS45" s="206"/>
      <c r="AV45" s="206"/>
      <c r="AW45" s="206"/>
      <c r="AX45" s="206"/>
      <c r="AY45" s="206"/>
      <c r="AZ45" s="206"/>
      <c r="BD45" s="206"/>
      <c r="BF45" s="206"/>
    </row>
    <row r="46" spans="1:100" x14ac:dyDescent="0.2">
      <c r="A46" s="220">
        <v>0</v>
      </c>
      <c r="B46" s="220">
        <v>0</v>
      </c>
      <c r="C46" s="206" t="s">
        <v>348</v>
      </c>
      <c r="D46" s="206" t="s">
        <v>364</v>
      </c>
      <c r="E46" s="192">
        <v>9.06</v>
      </c>
      <c r="F46" s="206" t="s">
        <v>362</v>
      </c>
      <c r="G46" s="206"/>
      <c r="H46" s="206"/>
      <c r="I46" s="206"/>
      <c r="J46" s="206"/>
      <c r="K46" s="206"/>
      <c r="L46" s="206"/>
      <c r="M46" s="206"/>
      <c r="N46" s="206"/>
      <c r="O46" s="192">
        <v>1.5</v>
      </c>
      <c r="P46" s="192">
        <v>1.5</v>
      </c>
      <c r="Q46" s="206" t="s">
        <v>366</v>
      </c>
      <c r="R46" s="206" t="s">
        <v>367</v>
      </c>
      <c r="S46" s="206">
        <v>793879.91969999997</v>
      </c>
      <c r="T46" s="206">
        <v>2187719.9670000002</v>
      </c>
      <c r="U46" s="206">
        <v>793879.1973</v>
      </c>
      <c r="V46" s="206">
        <v>2187710.9369999999</v>
      </c>
      <c r="W46" s="206"/>
      <c r="X46" s="206"/>
      <c r="Y46" s="206"/>
      <c r="Z46" s="206"/>
      <c r="AA46" s="206"/>
      <c r="AB46" s="206" t="s">
        <v>364</v>
      </c>
      <c r="AC46" s="206" t="s">
        <v>366</v>
      </c>
      <c r="AD46" s="206"/>
      <c r="AL46" s="206"/>
      <c r="AM46" s="206"/>
      <c r="AN46" s="206"/>
      <c r="AO46" s="206"/>
      <c r="AP46" s="206"/>
      <c r="AQ46" s="206"/>
      <c r="AR46" s="206"/>
      <c r="AS46" s="206"/>
      <c r="AV46" s="206"/>
      <c r="AW46" s="206"/>
      <c r="AX46" s="206"/>
      <c r="AY46" s="206"/>
      <c r="AZ46" s="206"/>
      <c r="BA46" s="206"/>
      <c r="BB46" s="206"/>
      <c r="BD46" s="206"/>
      <c r="BF46" s="206"/>
      <c r="BG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  <c r="BY46" s="201"/>
      <c r="BZ46" s="201"/>
      <c r="CA46" s="201"/>
      <c r="CB46" s="201"/>
      <c r="CC46" s="201"/>
      <c r="CD46" s="201"/>
      <c r="CE46" s="201"/>
      <c r="CF46" s="201"/>
      <c r="CG46" s="201"/>
      <c r="CH46" s="201"/>
      <c r="CI46" s="201"/>
      <c r="CJ46" s="201"/>
      <c r="CK46" s="201"/>
      <c r="CL46" s="201"/>
      <c r="CM46" s="201"/>
      <c r="CN46" s="201"/>
      <c r="CO46" s="201"/>
      <c r="CP46" s="201"/>
      <c r="CQ46" s="201"/>
      <c r="CR46" s="201"/>
      <c r="CS46" s="201"/>
      <c r="CT46" s="201"/>
      <c r="CU46" s="201"/>
      <c r="CV46" s="201"/>
    </row>
    <row r="47" spans="1:100" x14ac:dyDescent="0.2">
      <c r="A47" s="220">
        <v>0</v>
      </c>
      <c r="B47" s="220">
        <v>0</v>
      </c>
      <c r="C47" s="206" t="s">
        <v>348</v>
      </c>
      <c r="D47" s="206" t="s">
        <v>366</v>
      </c>
      <c r="E47" s="192">
        <v>19.2</v>
      </c>
      <c r="F47" s="206" t="s">
        <v>364</v>
      </c>
      <c r="G47" s="206"/>
      <c r="H47" s="206"/>
      <c r="I47" s="206" t="s">
        <v>368</v>
      </c>
      <c r="J47" s="206">
        <v>0</v>
      </c>
      <c r="K47" s="206">
        <v>0</v>
      </c>
      <c r="L47" s="206"/>
      <c r="M47" s="206"/>
      <c r="N47" s="206"/>
      <c r="O47" s="192">
        <v>1.5</v>
      </c>
      <c r="P47" s="192">
        <v>1.5</v>
      </c>
      <c r="Q47" s="206" t="s">
        <v>369</v>
      </c>
      <c r="R47" s="206" t="s">
        <v>370</v>
      </c>
      <c r="S47" s="206">
        <v>793879.1973</v>
      </c>
      <c r="T47" s="206">
        <v>2187710.9369999999</v>
      </c>
      <c r="U47" s="206">
        <v>793877.7524</v>
      </c>
      <c r="V47" s="206">
        <v>2187691.7919999999</v>
      </c>
      <c r="W47" s="206"/>
      <c r="X47" s="206"/>
      <c r="Y47" s="206"/>
      <c r="Z47" s="206"/>
      <c r="AA47" s="206"/>
      <c r="AB47" s="206" t="s">
        <v>366</v>
      </c>
      <c r="AC47" s="206" t="s">
        <v>369</v>
      </c>
      <c r="AD47" s="206"/>
      <c r="AL47" s="206"/>
      <c r="AM47" s="206"/>
      <c r="AN47" s="206"/>
      <c r="AO47" s="206"/>
      <c r="AP47" s="206"/>
      <c r="AQ47" s="206"/>
      <c r="AR47" s="206"/>
      <c r="AS47" s="206"/>
      <c r="AV47" s="206"/>
      <c r="AW47" s="206"/>
      <c r="AX47" s="206"/>
      <c r="AY47" s="206"/>
      <c r="AZ47" s="206"/>
      <c r="BA47" s="206"/>
      <c r="BB47" s="206"/>
      <c r="BD47" s="206"/>
      <c r="BF47" s="206"/>
      <c r="BG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  <c r="BY47" s="201"/>
      <c r="BZ47" s="201"/>
      <c r="CA47" s="201"/>
      <c r="CB47" s="201"/>
      <c r="CC47" s="201"/>
      <c r="CD47" s="201"/>
      <c r="CE47" s="201"/>
      <c r="CF47" s="201"/>
      <c r="CG47" s="201"/>
      <c r="CH47" s="201"/>
      <c r="CI47" s="201"/>
      <c r="CJ47" s="201"/>
      <c r="CK47" s="201"/>
      <c r="CL47" s="201"/>
      <c r="CM47" s="201"/>
      <c r="CN47" s="201"/>
      <c r="CO47" s="201"/>
      <c r="CP47" s="201"/>
      <c r="CQ47" s="201"/>
      <c r="CR47" s="201"/>
      <c r="CS47" s="201"/>
      <c r="CT47" s="201"/>
      <c r="CU47" s="201"/>
      <c r="CV47" s="201"/>
    </row>
    <row r="48" spans="1:100" x14ac:dyDescent="0.2">
      <c r="A48" s="220">
        <v>0</v>
      </c>
      <c r="B48" s="220">
        <v>0</v>
      </c>
      <c r="C48" s="206" t="s">
        <v>348</v>
      </c>
      <c r="D48" s="206" t="s">
        <v>369</v>
      </c>
      <c r="E48" s="192">
        <v>58.77</v>
      </c>
      <c r="F48" s="206" t="s">
        <v>366</v>
      </c>
      <c r="G48" s="206"/>
      <c r="H48" s="206"/>
      <c r="I48" s="206"/>
      <c r="J48"/>
      <c r="K48"/>
      <c r="L48" s="206"/>
      <c r="M48" s="206"/>
      <c r="N48" s="206"/>
      <c r="O48" s="192">
        <v>1.5</v>
      </c>
      <c r="P48" s="192">
        <v>1</v>
      </c>
      <c r="Q48" s="206" t="s">
        <v>318</v>
      </c>
      <c r="R48" s="206" t="s">
        <v>371</v>
      </c>
      <c r="S48" s="206">
        <v>793877.7524</v>
      </c>
      <c r="T48" s="206">
        <v>2187691.7919999999</v>
      </c>
      <c r="U48" s="206">
        <v>793856.80180000002</v>
      </c>
      <c r="V48" s="206">
        <v>2187636.8870000001</v>
      </c>
      <c r="W48" s="206"/>
      <c r="X48" s="206"/>
      <c r="Y48" s="206"/>
      <c r="Z48" s="206"/>
      <c r="AA48" s="206"/>
      <c r="AB48" s="206" t="s">
        <v>369</v>
      </c>
      <c r="AC48" s="206" t="s">
        <v>318</v>
      </c>
      <c r="AD48" s="206"/>
      <c r="AL48" s="206"/>
      <c r="AM48" s="206"/>
      <c r="AN48" s="206"/>
      <c r="AO48" s="206"/>
      <c r="AP48" s="206"/>
      <c r="AQ48" s="206"/>
      <c r="AR48" s="206"/>
      <c r="AS48" s="206"/>
      <c r="AV48" s="206"/>
      <c r="AW48" s="206"/>
      <c r="AX48" s="206"/>
      <c r="AY48" s="206"/>
      <c r="AZ48" s="206"/>
      <c r="BD48" s="206"/>
      <c r="BF48" s="206"/>
    </row>
    <row r="49" spans="1:100" x14ac:dyDescent="0.2">
      <c r="A49" s="220">
        <v>0</v>
      </c>
      <c r="B49" s="220">
        <v>1</v>
      </c>
      <c r="C49" s="206" t="s">
        <v>348</v>
      </c>
      <c r="D49" s="206" t="s">
        <v>318</v>
      </c>
      <c r="E49" s="192">
        <v>31.25</v>
      </c>
      <c r="F49" s="206" t="s">
        <v>369</v>
      </c>
      <c r="G49" s="206"/>
      <c r="H49" s="206"/>
      <c r="I49" s="206"/>
      <c r="J49"/>
      <c r="K49"/>
      <c r="L49" s="206"/>
      <c r="M49" s="206"/>
      <c r="N49" s="206"/>
      <c r="O49" s="192">
        <v>1</v>
      </c>
      <c r="P49" s="192">
        <v>0.86</v>
      </c>
      <c r="Q49" s="206" t="s">
        <v>315</v>
      </c>
      <c r="R49" s="206" t="s">
        <v>372</v>
      </c>
      <c r="S49" s="206">
        <v>793856.80180000002</v>
      </c>
      <c r="T49" s="206">
        <v>2187636.8870000001</v>
      </c>
      <c r="U49" s="206">
        <v>793839.60450000002</v>
      </c>
      <c r="V49" s="206">
        <v>2187610.7969999998</v>
      </c>
      <c r="W49" s="206"/>
      <c r="X49" s="206"/>
      <c r="Y49" s="206"/>
      <c r="Z49" s="206"/>
      <c r="AA49" s="206"/>
      <c r="AB49" s="206" t="s">
        <v>318</v>
      </c>
      <c r="AC49" s="206" t="s">
        <v>315</v>
      </c>
      <c r="AD49" s="206"/>
      <c r="AL49" s="206"/>
      <c r="AM49" s="206"/>
      <c r="AN49" s="206"/>
      <c r="AO49" s="206"/>
      <c r="AP49" s="206"/>
      <c r="AQ49" s="206"/>
      <c r="AR49" s="206"/>
      <c r="AS49" s="206"/>
      <c r="AV49" s="206"/>
      <c r="AW49" s="206"/>
      <c r="AX49" s="206"/>
      <c r="AY49" s="206"/>
      <c r="AZ49" s="206"/>
      <c r="BD49" s="206"/>
      <c r="BF49" s="206"/>
    </row>
    <row r="50" spans="1:100" x14ac:dyDescent="0.2">
      <c r="A50" s="220">
        <v>1</v>
      </c>
      <c r="B50" s="220">
        <v>0</v>
      </c>
      <c r="C50" s="206" t="s">
        <v>373</v>
      </c>
      <c r="D50" s="206" t="s">
        <v>374</v>
      </c>
      <c r="E50" s="192">
        <v>48.16</v>
      </c>
      <c r="F50" s="206"/>
      <c r="G50" s="206"/>
      <c r="H50" s="206"/>
      <c r="I50" s="206"/>
      <c r="J50"/>
      <c r="K50"/>
      <c r="L50" s="206"/>
      <c r="M50" s="206"/>
      <c r="N50" s="206"/>
      <c r="O50" s="192">
        <v>4.1900000000000004</v>
      </c>
      <c r="P50" s="192">
        <v>2.78</v>
      </c>
      <c r="Q50" s="206" t="s">
        <v>375</v>
      </c>
      <c r="R50" s="206" t="s">
        <v>376</v>
      </c>
      <c r="S50" s="206">
        <v>793448.66729999997</v>
      </c>
      <c r="T50" s="206">
        <v>2187494.4309999999</v>
      </c>
      <c r="U50" s="206">
        <v>793493.77430000005</v>
      </c>
      <c r="V50" s="206">
        <v>2187477.5690000001</v>
      </c>
      <c r="W50" s="206"/>
      <c r="X50" s="206"/>
      <c r="Y50" s="206"/>
      <c r="Z50" s="206"/>
      <c r="AA50" s="206"/>
      <c r="AB50" s="206" t="s">
        <v>374</v>
      </c>
      <c r="AC50" s="206" t="s">
        <v>375</v>
      </c>
      <c r="AD50" s="206"/>
      <c r="AL50" s="206"/>
      <c r="AM50" s="206"/>
      <c r="AN50" s="206"/>
      <c r="AO50" s="206"/>
      <c r="AP50" s="206"/>
      <c r="AQ50" s="206"/>
      <c r="AR50" s="206"/>
      <c r="AS50" s="206"/>
      <c r="AV50" s="206"/>
      <c r="AW50" s="206"/>
      <c r="AX50" s="206"/>
      <c r="AY50" s="206"/>
      <c r="AZ50" s="206"/>
      <c r="BD50" s="206"/>
      <c r="BF50" s="206"/>
    </row>
    <row r="51" spans="1:100" x14ac:dyDescent="0.2">
      <c r="A51" s="220">
        <v>0</v>
      </c>
      <c r="B51" s="220">
        <v>0</v>
      </c>
      <c r="C51" s="206" t="s">
        <v>373</v>
      </c>
      <c r="D51" s="206" t="s">
        <v>375</v>
      </c>
      <c r="E51" s="192">
        <v>59.56</v>
      </c>
      <c r="F51" s="206" t="s">
        <v>374</v>
      </c>
      <c r="G51" s="206"/>
      <c r="H51" s="206"/>
      <c r="I51" s="206"/>
      <c r="J51"/>
      <c r="K51"/>
      <c r="L51" s="206"/>
      <c r="M51" s="206"/>
      <c r="N51" s="206"/>
      <c r="O51" s="192">
        <v>2.78</v>
      </c>
      <c r="P51" s="192">
        <v>1.51</v>
      </c>
      <c r="Q51" s="206" t="s">
        <v>377</v>
      </c>
      <c r="R51" s="206" t="s">
        <v>378</v>
      </c>
      <c r="S51" s="206">
        <v>793493.77430000005</v>
      </c>
      <c r="T51" s="206">
        <v>2187477.5690000001</v>
      </c>
      <c r="U51" s="206">
        <v>793549.17940000002</v>
      </c>
      <c r="V51" s="206">
        <v>2187455.7080000001</v>
      </c>
      <c r="W51" s="206"/>
      <c r="X51" s="206"/>
      <c r="Y51" s="206"/>
      <c r="Z51" s="206"/>
      <c r="AA51" s="206"/>
      <c r="AB51" s="206" t="s">
        <v>375</v>
      </c>
      <c r="AC51" s="206" t="s">
        <v>377</v>
      </c>
      <c r="AD51" s="206"/>
      <c r="AL51" s="206"/>
      <c r="AM51" s="206"/>
      <c r="AN51" s="206"/>
      <c r="AO51" s="206"/>
      <c r="AP51" s="206"/>
      <c r="AQ51" s="206"/>
      <c r="AR51" s="206"/>
      <c r="AS51" s="206"/>
      <c r="AV51" s="206"/>
      <c r="AW51" s="206"/>
      <c r="AX51" s="206"/>
      <c r="AY51" s="206"/>
      <c r="AZ51" s="206"/>
      <c r="BD51" s="206"/>
      <c r="BF51" s="206"/>
    </row>
    <row r="52" spans="1:100" x14ac:dyDescent="0.2">
      <c r="A52" s="220">
        <v>0</v>
      </c>
      <c r="B52" s="220">
        <v>0</v>
      </c>
      <c r="C52" s="206" t="s">
        <v>373</v>
      </c>
      <c r="D52" s="206" t="s">
        <v>377</v>
      </c>
      <c r="E52" s="192">
        <v>59.66</v>
      </c>
      <c r="F52" s="206" t="s">
        <v>375</v>
      </c>
      <c r="G52" s="206"/>
      <c r="H52" s="206"/>
      <c r="I52" s="206"/>
      <c r="J52"/>
      <c r="K52"/>
      <c r="L52" s="206"/>
      <c r="M52" s="206"/>
      <c r="N52" s="206"/>
      <c r="O52" s="192">
        <v>1.51</v>
      </c>
      <c r="P52" s="192">
        <v>1.5</v>
      </c>
      <c r="Q52" s="206" t="s">
        <v>379</v>
      </c>
      <c r="R52" s="206" t="s">
        <v>380</v>
      </c>
      <c r="S52" s="206">
        <v>793549.17940000002</v>
      </c>
      <c r="T52" s="206">
        <v>2187455.7080000001</v>
      </c>
      <c r="U52" s="206">
        <v>793606.21050000004</v>
      </c>
      <c r="V52" s="206">
        <v>2187438.1830000002</v>
      </c>
      <c r="W52" s="206"/>
      <c r="X52" s="206"/>
      <c r="Y52" s="206"/>
      <c r="Z52" s="206"/>
      <c r="AA52" s="206"/>
      <c r="AB52" s="206" t="s">
        <v>377</v>
      </c>
      <c r="AC52" s="206" t="s">
        <v>379</v>
      </c>
      <c r="AD52" s="206"/>
      <c r="AL52" s="206"/>
      <c r="AM52" s="206"/>
      <c r="AN52" s="206"/>
      <c r="AO52" s="206"/>
      <c r="AP52" s="206"/>
      <c r="AQ52" s="206"/>
      <c r="AR52" s="206"/>
      <c r="AS52" s="206"/>
      <c r="AV52" s="206"/>
      <c r="AW52" s="206"/>
      <c r="AX52" s="206"/>
      <c r="AY52" s="206"/>
      <c r="AZ52" s="206"/>
      <c r="BD52" s="206"/>
      <c r="BF52" s="206"/>
    </row>
    <row r="53" spans="1:100" x14ac:dyDescent="0.2">
      <c r="A53" s="220">
        <v>0</v>
      </c>
      <c r="B53" s="220">
        <v>0</v>
      </c>
      <c r="C53" s="206" t="s">
        <v>373</v>
      </c>
      <c r="D53" s="206" t="s">
        <v>379</v>
      </c>
      <c r="E53" s="192">
        <v>49.29</v>
      </c>
      <c r="F53" s="206" t="s">
        <v>377</v>
      </c>
      <c r="G53" s="206"/>
      <c r="H53" s="206"/>
      <c r="I53" s="206"/>
      <c r="J53" s="206"/>
      <c r="K53" s="206"/>
      <c r="L53" s="206"/>
      <c r="M53" s="206"/>
      <c r="N53" s="206"/>
      <c r="O53" s="192">
        <v>1.5</v>
      </c>
      <c r="P53" s="192">
        <v>1.41</v>
      </c>
      <c r="Q53" s="206" t="s">
        <v>300</v>
      </c>
      <c r="R53" s="206" t="s">
        <v>381</v>
      </c>
      <c r="S53" s="206">
        <v>793606.21050000004</v>
      </c>
      <c r="T53" s="206">
        <v>2187438.1830000002</v>
      </c>
      <c r="U53" s="206">
        <v>793634.696</v>
      </c>
      <c r="V53" s="206">
        <v>2187478.412</v>
      </c>
      <c r="W53" s="206"/>
      <c r="X53" s="206"/>
      <c r="Y53" s="206"/>
      <c r="Z53" s="206"/>
      <c r="AA53" s="206"/>
      <c r="AB53" s="206" t="s">
        <v>379</v>
      </c>
      <c r="AC53" s="206" t="s">
        <v>300</v>
      </c>
      <c r="AD53" s="206"/>
      <c r="AL53" s="206"/>
      <c r="AM53" s="206"/>
      <c r="AN53" s="206"/>
      <c r="AO53" s="206"/>
      <c r="AP53" s="206"/>
      <c r="AQ53" s="206"/>
      <c r="AR53" s="206"/>
      <c r="AS53" s="206"/>
      <c r="AV53" s="206"/>
      <c r="AW53" s="206"/>
      <c r="AX53" s="206"/>
      <c r="AY53" s="206"/>
      <c r="AZ53" s="206"/>
      <c r="BA53" s="206"/>
      <c r="BB53" s="206"/>
      <c r="BD53" s="206"/>
      <c r="BF53" s="206"/>
      <c r="BG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  <c r="BY53" s="201"/>
      <c r="BZ53" s="201"/>
      <c r="CA53" s="201"/>
      <c r="CB53" s="201"/>
      <c r="CC53" s="201"/>
      <c r="CD53" s="201"/>
      <c r="CE53" s="201"/>
      <c r="CF53" s="201"/>
      <c r="CG53" s="201"/>
      <c r="CH53" s="201"/>
      <c r="CI53" s="201"/>
      <c r="CJ53" s="201"/>
      <c r="CK53" s="201"/>
      <c r="CL53" s="201"/>
      <c r="CM53" s="201"/>
      <c r="CN53" s="201"/>
      <c r="CO53" s="201"/>
      <c r="CP53" s="201"/>
      <c r="CQ53" s="201"/>
      <c r="CR53" s="201"/>
      <c r="CS53" s="201"/>
      <c r="CT53" s="201"/>
      <c r="CU53" s="201"/>
      <c r="CV53" s="201"/>
    </row>
    <row r="54" spans="1:100" x14ac:dyDescent="0.2">
      <c r="A54" s="220">
        <v>0</v>
      </c>
      <c r="B54" s="220">
        <v>1</v>
      </c>
      <c r="C54" s="206" t="s">
        <v>373</v>
      </c>
      <c r="D54" s="206" t="s">
        <v>300</v>
      </c>
      <c r="E54" s="192">
        <v>49.25</v>
      </c>
      <c r="F54" s="206" t="s">
        <v>379</v>
      </c>
      <c r="G54" s="206"/>
      <c r="H54" s="206"/>
      <c r="I54" s="206"/>
      <c r="J54"/>
      <c r="K54"/>
      <c r="L54" s="206"/>
      <c r="M54" s="206"/>
      <c r="N54" s="206"/>
      <c r="O54" s="192">
        <v>1.41</v>
      </c>
      <c r="P54" s="192">
        <v>1</v>
      </c>
      <c r="Q54" s="206" t="s">
        <v>298</v>
      </c>
      <c r="R54" s="206" t="s">
        <v>382</v>
      </c>
      <c r="S54" s="206">
        <v>793634.696</v>
      </c>
      <c r="T54" s="206">
        <v>2187478.412</v>
      </c>
      <c r="U54" s="206">
        <v>793662.71470000001</v>
      </c>
      <c r="V54" s="206">
        <v>2187518.912</v>
      </c>
      <c r="W54" s="206"/>
      <c r="X54" s="206"/>
      <c r="Y54" s="206"/>
      <c r="Z54" s="206"/>
      <c r="AA54" s="206"/>
      <c r="AB54" s="206" t="s">
        <v>300</v>
      </c>
      <c r="AC54" s="206" t="s">
        <v>298</v>
      </c>
      <c r="AD54" s="206"/>
      <c r="AL54" s="206"/>
      <c r="AM54" s="206"/>
      <c r="AN54" s="206"/>
      <c r="AO54" s="206"/>
      <c r="AP54" s="206"/>
      <c r="AQ54" s="206"/>
      <c r="AR54" s="206"/>
      <c r="AS54" s="206"/>
      <c r="AV54" s="206"/>
      <c r="AW54" s="206"/>
      <c r="AX54" s="206"/>
      <c r="AY54" s="206"/>
      <c r="AZ54" s="206"/>
      <c r="BD54" s="206"/>
      <c r="BF54" s="206"/>
    </row>
    <row r="55" spans="1:100" x14ac:dyDescent="0.2">
      <c r="A55" s="220">
        <v>1</v>
      </c>
      <c r="B55" s="220">
        <v>0</v>
      </c>
      <c r="C55" s="206" t="s">
        <v>383</v>
      </c>
      <c r="D55" s="206" t="s">
        <v>384</v>
      </c>
      <c r="E55" s="192">
        <v>46.34</v>
      </c>
      <c r="F55" s="206"/>
      <c r="G55" s="206"/>
      <c r="H55" s="206"/>
      <c r="I55" s="206"/>
      <c r="J55"/>
      <c r="K55"/>
      <c r="L55" s="206"/>
      <c r="M55" s="206"/>
      <c r="N55" s="206"/>
      <c r="O55" s="192">
        <v>20.82</v>
      </c>
      <c r="P55" s="192">
        <v>19.22</v>
      </c>
      <c r="Q55" s="206" t="s">
        <v>264</v>
      </c>
      <c r="R55" s="206" t="s">
        <v>385</v>
      </c>
      <c r="S55" s="206">
        <v>792917.41099999996</v>
      </c>
      <c r="T55" s="206">
        <v>2187725.8450000002</v>
      </c>
      <c r="U55" s="206">
        <v>792962.19</v>
      </c>
      <c r="V55" s="206">
        <v>2187713.9279999998</v>
      </c>
      <c r="W55" s="206"/>
      <c r="X55" s="206"/>
      <c r="Y55" s="206"/>
      <c r="Z55" s="206"/>
      <c r="AA55" s="206"/>
      <c r="AB55" s="206" t="s">
        <v>384</v>
      </c>
      <c r="AC55" s="206" t="s">
        <v>264</v>
      </c>
      <c r="AD55" s="206"/>
      <c r="AL55" s="206"/>
      <c r="AM55" s="206"/>
      <c r="AN55" s="206"/>
      <c r="AO55" s="206"/>
      <c r="AP55" s="206"/>
      <c r="AQ55" s="206"/>
      <c r="AR55" s="206"/>
      <c r="AS55" s="206"/>
      <c r="AV55" s="206"/>
      <c r="AW55" s="206"/>
      <c r="AX55" s="206"/>
      <c r="AY55" s="206"/>
      <c r="AZ55" s="206"/>
      <c r="BD55" s="206"/>
      <c r="BF55" s="206"/>
    </row>
    <row r="56" spans="1:100" x14ac:dyDescent="0.2">
      <c r="A56" s="220">
        <v>0</v>
      </c>
      <c r="B56" s="220">
        <v>1</v>
      </c>
      <c r="C56" s="206" t="s">
        <v>383</v>
      </c>
      <c r="D56" s="206" t="s">
        <v>264</v>
      </c>
      <c r="E56" s="192">
        <v>48.92</v>
      </c>
      <c r="F56" s="206" t="s">
        <v>384</v>
      </c>
      <c r="G56" s="206"/>
      <c r="H56" s="206"/>
      <c r="I56" s="206"/>
      <c r="J56"/>
      <c r="K56"/>
      <c r="L56" s="206"/>
      <c r="M56" s="206"/>
      <c r="N56" s="206"/>
      <c r="O56" s="192">
        <v>19.22</v>
      </c>
      <c r="P56" s="192">
        <v>17.89</v>
      </c>
      <c r="Q56" s="206" t="s">
        <v>262</v>
      </c>
      <c r="R56" s="206" t="s">
        <v>386</v>
      </c>
      <c r="S56" s="206">
        <v>792962.19</v>
      </c>
      <c r="T56" s="206">
        <v>2187713.9279999998</v>
      </c>
      <c r="U56" s="206">
        <v>792977.87450000003</v>
      </c>
      <c r="V56" s="206">
        <v>2187760.27</v>
      </c>
      <c r="W56" s="206"/>
      <c r="X56" s="206"/>
      <c r="Y56" s="206"/>
      <c r="Z56" s="206"/>
      <c r="AA56" s="206"/>
      <c r="AB56" s="206" t="s">
        <v>264</v>
      </c>
      <c r="AC56" s="206" t="s">
        <v>262</v>
      </c>
      <c r="AD56" s="206"/>
      <c r="AL56" s="206"/>
      <c r="AM56" s="206"/>
      <c r="AN56" s="206"/>
      <c r="AO56" s="206"/>
      <c r="AP56" s="206"/>
      <c r="AQ56" s="206"/>
      <c r="AR56" s="206"/>
      <c r="AS56" s="206"/>
      <c r="AV56" s="206"/>
      <c r="AW56" s="206"/>
      <c r="AX56" s="206"/>
      <c r="AY56" s="206"/>
      <c r="AZ56" s="206"/>
      <c r="BD56" s="206"/>
      <c r="BF56" s="206"/>
    </row>
    <row r="57" spans="1:100" x14ac:dyDescent="0.2">
      <c r="A57" s="220">
        <v>1</v>
      </c>
      <c r="B57" s="220">
        <v>0</v>
      </c>
      <c r="C57" s="206" t="s">
        <v>387</v>
      </c>
      <c r="D57" s="206" t="s">
        <v>388</v>
      </c>
      <c r="E57" s="192">
        <v>44.92</v>
      </c>
      <c r="F57" s="206"/>
      <c r="G57" s="206"/>
      <c r="H57" s="206"/>
      <c r="I57" s="206"/>
      <c r="J57" s="206"/>
      <c r="K57" s="206"/>
      <c r="L57" s="206"/>
      <c r="M57" s="206"/>
      <c r="N57" s="206"/>
      <c r="O57" s="192">
        <v>22.01</v>
      </c>
      <c r="P57" s="192">
        <v>19.91</v>
      </c>
      <c r="Q57" s="206" t="s">
        <v>389</v>
      </c>
      <c r="R57" s="206" t="s">
        <v>390</v>
      </c>
      <c r="S57" s="206">
        <v>792903.22820000001</v>
      </c>
      <c r="T57" s="206">
        <v>2187680.5950000002</v>
      </c>
      <c r="U57" s="206">
        <v>792946.37280000001</v>
      </c>
      <c r="V57" s="206">
        <v>2187668.08</v>
      </c>
      <c r="W57" s="206"/>
      <c r="X57" s="206"/>
      <c r="Y57" s="206"/>
      <c r="Z57" s="206"/>
      <c r="AA57" s="206"/>
      <c r="AB57" s="206" t="s">
        <v>388</v>
      </c>
      <c r="AC57" s="206" t="s">
        <v>389</v>
      </c>
      <c r="AD57" s="206"/>
      <c r="AL57" s="206"/>
      <c r="AM57" s="206"/>
      <c r="AN57" s="206"/>
      <c r="AO57" s="206"/>
      <c r="AP57" s="206"/>
      <c r="AQ57" s="206"/>
      <c r="AR57" s="206"/>
      <c r="AS57" s="206"/>
      <c r="AV57" s="206"/>
      <c r="AW57" s="206"/>
      <c r="AX57" s="206"/>
      <c r="AY57" s="206"/>
      <c r="AZ57" s="206"/>
      <c r="BA57" s="206"/>
      <c r="BB57" s="206"/>
      <c r="BD57" s="206"/>
      <c r="BF57" s="206"/>
      <c r="BG57" s="201"/>
      <c r="BH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  <c r="BY57" s="201"/>
      <c r="BZ57" s="201"/>
      <c r="CA57" s="201"/>
      <c r="CB57" s="201"/>
      <c r="CC57" s="201"/>
      <c r="CD57" s="201"/>
      <c r="CE57" s="201"/>
      <c r="CF57" s="201"/>
      <c r="CG57" s="201"/>
      <c r="CH57" s="201"/>
      <c r="CI57" s="201"/>
      <c r="CJ57" s="201"/>
      <c r="CK57" s="201"/>
      <c r="CL57" s="201"/>
      <c r="CM57" s="201"/>
      <c r="CN57" s="201"/>
      <c r="CO57" s="201"/>
      <c r="CP57" s="201"/>
      <c r="CQ57" s="201"/>
      <c r="CR57" s="201"/>
      <c r="CS57" s="201"/>
      <c r="CT57" s="201"/>
      <c r="CU57" s="201"/>
      <c r="CV57" s="201"/>
    </row>
    <row r="58" spans="1:100" x14ac:dyDescent="0.2">
      <c r="A58" s="220">
        <v>0</v>
      </c>
      <c r="B58" s="220">
        <v>0</v>
      </c>
      <c r="C58" s="206" t="s">
        <v>387</v>
      </c>
      <c r="D58" s="206" t="s">
        <v>389</v>
      </c>
      <c r="E58" s="192">
        <v>47.79</v>
      </c>
      <c r="F58" s="206" t="s">
        <v>388</v>
      </c>
      <c r="G58" s="206"/>
      <c r="H58" s="206"/>
      <c r="I58" s="206"/>
      <c r="J58"/>
      <c r="K58"/>
      <c r="L58" s="206"/>
      <c r="M58" s="206"/>
      <c r="N58" s="206"/>
      <c r="O58" s="192">
        <v>19.91</v>
      </c>
      <c r="P58" s="192">
        <v>17.5</v>
      </c>
      <c r="Q58" s="206" t="s">
        <v>391</v>
      </c>
      <c r="R58" s="206" t="s">
        <v>392</v>
      </c>
      <c r="S58" s="206">
        <v>792946.37280000001</v>
      </c>
      <c r="T58" s="206">
        <v>2187668.08</v>
      </c>
      <c r="U58" s="206">
        <v>792991.83929999999</v>
      </c>
      <c r="V58" s="206">
        <v>2187653.3679999998</v>
      </c>
      <c r="W58" s="206"/>
      <c r="X58" s="206"/>
      <c r="Y58" s="206"/>
      <c r="Z58" s="206"/>
      <c r="AA58" s="206"/>
      <c r="AB58" s="206" t="s">
        <v>389</v>
      </c>
      <c r="AC58" s="206" t="s">
        <v>391</v>
      </c>
      <c r="AD58" s="206"/>
      <c r="AL58" s="206"/>
      <c r="AM58" s="206"/>
      <c r="AN58" s="206"/>
      <c r="AO58" s="206"/>
      <c r="AP58" s="206"/>
      <c r="AQ58" s="206"/>
      <c r="AR58" s="206"/>
      <c r="AS58" s="206"/>
      <c r="AV58" s="206"/>
      <c r="AW58" s="206"/>
      <c r="AX58" s="206"/>
      <c r="AY58" s="206"/>
      <c r="AZ58" s="206"/>
      <c r="BD58" s="206"/>
      <c r="BF58" s="206"/>
    </row>
    <row r="59" spans="1:100" x14ac:dyDescent="0.2">
      <c r="A59" s="220">
        <v>0</v>
      </c>
      <c r="B59" s="220">
        <v>0</v>
      </c>
      <c r="C59" s="206" t="s">
        <v>387</v>
      </c>
      <c r="D59" s="206" t="s">
        <v>391</v>
      </c>
      <c r="E59" s="192">
        <v>46.99</v>
      </c>
      <c r="F59" s="206" t="s">
        <v>389</v>
      </c>
      <c r="G59" s="206"/>
      <c r="H59" s="206"/>
      <c r="I59" s="206"/>
      <c r="J59"/>
      <c r="K59"/>
      <c r="L59" s="206"/>
      <c r="M59" s="206"/>
      <c r="N59" s="206"/>
      <c r="O59" s="192">
        <v>17.5</v>
      </c>
      <c r="P59" s="192">
        <v>16.87</v>
      </c>
      <c r="Q59" s="206" t="s">
        <v>393</v>
      </c>
      <c r="R59" s="206" t="s">
        <v>394</v>
      </c>
      <c r="S59" s="206">
        <v>792991.83929999999</v>
      </c>
      <c r="T59" s="206">
        <v>2187653.3679999998</v>
      </c>
      <c r="U59" s="206">
        <v>793007.77520000003</v>
      </c>
      <c r="V59" s="206">
        <v>2187697.5780000002</v>
      </c>
      <c r="W59" s="206"/>
      <c r="X59" s="206"/>
      <c r="Y59" s="206"/>
      <c r="Z59" s="206"/>
      <c r="AA59" s="206"/>
      <c r="AB59" s="206" t="s">
        <v>391</v>
      </c>
      <c r="AC59" s="206" t="s">
        <v>393</v>
      </c>
      <c r="AD59" s="206"/>
      <c r="AL59" s="206"/>
      <c r="AM59" s="206"/>
      <c r="AN59" s="206"/>
      <c r="AO59" s="206"/>
      <c r="AP59" s="206"/>
      <c r="AQ59" s="206"/>
      <c r="AR59" s="206"/>
      <c r="AS59" s="206"/>
      <c r="AV59" s="206"/>
      <c r="AW59" s="206"/>
      <c r="AX59" s="206"/>
      <c r="AY59" s="206"/>
      <c r="AZ59" s="206"/>
      <c r="BD59" s="206"/>
      <c r="BF59" s="206"/>
    </row>
    <row r="60" spans="1:100" x14ac:dyDescent="0.2">
      <c r="A60" s="220">
        <v>0</v>
      </c>
      <c r="B60" s="220">
        <v>0</v>
      </c>
      <c r="C60" s="206" t="s">
        <v>387</v>
      </c>
      <c r="D60" s="206" t="s">
        <v>393</v>
      </c>
      <c r="E60" s="192">
        <v>47.67</v>
      </c>
      <c r="F60" s="206" t="s">
        <v>391</v>
      </c>
      <c r="G60" s="206"/>
      <c r="H60" s="206"/>
      <c r="I60" s="206"/>
      <c r="J60" s="206"/>
      <c r="K60" s="206"/>
      <c r="L60" s="206"/>
      <c r="M60" s="206"/>
      <c r="N60" s="206"/>
      <c r="O60" s="192">
        <v>16.87</v>
      </c>
      <c r="P60" s="192">
        <v>15.53</v>
      </c>
      <c r="Q60" s="206" t="s">
        <v>269</v>
      </c>
      <c r="R60" s="206" t="s">
        <v>395</v>
      </c>
      <c r="S60" s="206">
        <v>793007.77520000003</v>
      </c>
      <c r="T60" s="206">
        <v>2187697.5780000002</v>
      </c>
      <c r="U60" s="206">
        <v>793052.85900000005</v>
      </c>
      <c r="V60" s="206">
        <v>2187682.088</v>
      </c>
      <c r="W60" s="206"/>
      <c r="X60" s="206"/>
      <c r="Y60" s="206"/>
      <c r="Z60" s="206"/>
      <c r="AA60" s="206"/>
      <c r="AB60" s="206" t="s">
        <v>393</v>
      </c>
      <c r="AC60" s="206" t="s">
        <v>269</v>
      </c>
      <c r="AD60" s="206"/>
      <c r="AL60" s="206"/>
      <c r="AM60" s="206"/>
      <c r="AN60" s="206"/>
      <c r="AO60" s="206"/>
      <c r="AP60" s="206"/>
      <c r="AQ60" s="206"/>
      <c r="AR60" s="206"/>
      <c r="AS60" s="206"/>
      <c r="AV60" s="206"/>
      <c r="AW60" s="206"/>
      <c r="AX60" s="206"/>
      <c r="AY60" s="206"/>
      <c r="AZ60" s="206"/>
      <c r="BA60" s="206"/>
      <c r="BB60" s="206"/>
      <c r="BD60" s="206"/>
      <c r="BF60" s="206"/>
      <c r="BG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  <c r="BY60" s="201"/>
      <c r="BZ60" s="201"/>
      <c r="CA60" s="201"/>
      <c r="CB60" s="201"/>
      <c r="CC60" s="201"/>
      <c r="CD60" s="201"/>
      <c r="CE60" s="201"/>
      <c r="CF60" s="201"/>
      <c r="CG60" s="201"/>
      <c r="CH60" s="201"/>
      <c r="CI60" s="201"/>
      <c r="CJ60" s="201"/>
      <c r="CK60" s="201"/>
      <c r="CL60" s="201"/>
      <c r="CM60" s="201"/>
      <c r="CN60" s="201"/>
      <c r="CO60" s="201"/>
      <c r="CP60" s="201"/>
      <c r="CQ60" s="201"/>
      <c r="CR60" s="201"/>
      <c r="CS60" s="201"/>
      <c r="CT60" s="201"/>
      <c r="CU60" s="201"/>
      <c r="CV60" s="201"/>
    </row>
    <row r="61" spans="1:100" x14ac:dyDescent="0.2">
      <c r="A61" s="220">
        <v>0</v>
      </c>
      <c r="B61" s="220">
        <v>1</v>
      </c>
      <c r="C61" s="206" t="s">
        <v>387</v>
      </c>
      <c r="D61" s="206" t="s">
        <v>269</v>
      </c>
      <c r="E61" s="192">
        <v>49.92</v>
      </c>
      <c r="F61" s="206" t="s">
        <v>393</v>
      </c>
      <c r="G61" s="206"/>
      <c r="H61" s="206"/>
      <c r="I61" s="206"/>
      <c r="J61" s="206"/>
      <c r="K61" s="206"/>
      <c r="L61" s="206"/>
      <c r="M61" s="206"/>
      <c r="N61" s="206"/>
      <c r="O61" s="192">
        <v>15.53</v>
      </c>
      <c r="P61" s="192">
        <v>14.88</v>
      </c>
      <c r="Q61" s="206" t="s">
        <v>267</v>
      </c>
      <c r="R61" s="206" t="s">
        <v>396</v>
      </c>
      <c r="S61" s="206">
        <v>793052.85900000005</v>
      </c>
      <c r="T61" s="206">
        <v>2187682.088</v>
      </c>
      <c r="U61" s="206">
        <v>793070.28659999999</v>
      </c>
      <c r="V61" s="206">
        <v>2187728.8640000001</v>
      </c>
      <c r="W61" s="206"/>
      <c r="X61" s="206"/>
      <c r="Y61" s="206"/>
      <c r="Z61" s="206"/>
      <c r="AA61" s="206"/>
      <c r="AB61" s="206" t="s">
        <v>269</v>
      </c>
      <c r="AC61" s="206" t="s">
        <v>267</v>
      </c>
      <c r="AD61" s="206"/>
      <c r="AL61" s="206"/>
      <c r="AM61" s="206"/>
      <c r="AN61" s="206"/>
      <c r="AO61" s="206"/>
      <c r="AP61" s="206"/>
      <c r="AQ61" s="206"/>
      <c r="AR61" s="206"/>
      <c r="AS61" s="206"/>
      <c r="AV61" s="206"/>
      <c r="AW61" s="206"/>
      <c r="AX61" s="206"/>
      <c r="AY61" s="206"/>
      <c r="AZ61" s="206"/>
      <c r="BA61" s="206"/>
      <c r="BB61" s="206"/>
      <c r="BD61" s="206"/>
      <c r="BF61" s="206"/>
      <c r="BG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  <c r="BY61" s="201"/>
      <c r="BZ61" s="201"/>
      <c r="CA61" s="201"/>
      <c r="CB61" s="201"/>
      <c r="CC61" s="201"/>
      <c r="CD61" s="201"/>
      <c r="CE61" s="201"/>
      <c r="CF61" s="201"/>
      <c r="CG61" s="201"/>
      <c r="CH61" s="201"/>
      <c r="CI61" s="201"/>
      <c r="CJ61" s="201"/>
      <c r="CK61" s="201"/>
      <c r="CL61" s="201"/>
      <c r="CM61" s="201"/>
      <c r="CN61" s="201"/>
      <c r="CO61" s="201"/>
      <c r="CP61" s="201"/>
      <c r="CQ61" s="201"/>
      <c r="CR61" s="201"/>
      <c r="CS61" s="201"/>
      <c r="CT61" s="201"/>
      <c r="CU61" s="201"/>
      <c r="CV61" s="201"/>
    </row>
    <row r="62" spans="1:100" x14ac:dyDescent="0.2">
      <c r="A62" s="220">
        <v>1</v>
      </c>
      <c r="B62" s="220">
        <v>0</v>
      </c>
      <c r="C62" s="206" t="s">
        <v>397</v>
      </c>
      <c r="D62" s="206" t="s">
        <v>398</v>
      </c>
      <c r="E62" s="192">
        <v>50</v>
      </c>
      <c r="F62" s="206"/>
      <c r="G62" s="206"/>
      <c r="H62" s="206"/>
      <c r="I62" s="206"/>
      <c r="J62"/>
      <c r="K62"/>
      <c r="L62" s="206"/>
      <c r="M62" s="206"/>
      <c r="N62" s="206"/>
      <c r="O62" s="192">
        <v>3.79</v>
      </c>
      <c r="P62" s="192">
        <v>3.02</v>
      </c>
      <c r="Q62" s="206" t="s">
        <v>399</v>
      </c>
      <c r="R62" s="206" t="s">
        <v>400</v>
      </c>
      <c r="S62" s="206">
        <v>793452.2807</v>
      </c>
      <c r="T62" s="206">
        <v>2187648.858</v>
      </c>
      <c r="U62" s="206">
        <v>793498.59210000001</v>
      </c>
      <c r="V62" s="206">
        <v>2187630.0079999999</v>
      </c>
      <c r="W62" s="206"/>
      <c r="X62" s="206"/>
      <c r="Y62" s="206"/>
      <c r="Z62" s="206"/>
      <c r="AA62" s="206"/>
      <c r="AB62" s="206" t="s">
        <v>398</v>
      </c>
      <c r="AC62" s="206" t="s">
        <v>399</v>
      </c>
      <c r="AD62" s="206"/>
      <c r="AL62" s="206"/>
      <c r="AM62" s="206"/>
      <c r="AN62" s="206"/>
      <c r="AO62" s="206"/>
      <c r="AP62" s="206"/>
      <c r="AQ62" s="206"/>
      <c r="AR62" s="206"/>
      <c r="AS62" s="206"/>
      <c r="AV62" s="206"/>
      <c r="AW62" s="206"/>
      <c r="AX62" s="206"/>
      <c r="AY62" s="206"/>
      <c r="AZ62" s="206"/>
      <c r="BD62" s="206"/>
      <c r="BF62" s="206"/>
    </row>
    <row r="63" spans="1:100" x14ac:dyDescent="0.2">
      <c r="A63" s="220">
        <v>0</v>
      </c>
      <c r="B63" s="220">
        <v>0</v>
      </c>
      <c r="C63" s="206" t="s">
        <v>397</v>
      </c>
      <c r="D63" s="206" t="s">
        <v>399</v>
      </c>
      <c r="E63" s="192">
        <v>50.95</v>
      </c>
      <c r="F63" s="206" t="s">
        <v>398</v>
      </c>
      <c r="G63" s="206"/>
      <c r="H63" s="206"/>
      <c r="I63" s="206"/>
      <c r="J63"/>
      <c r="K63"/>
      <c r="L63" s="206"/>
      <c r="M63" s="206"/>
      <c r="N63" s="206"/>
      <c r="O63" s="192">
        <v>3.02</v>
      </c>
      <c r="P63" s="192">
        <v>2.73</v>
      </c>
      <c r="Q63" s="206" t="s">
        <v>401</v>
      </c>
      <c r="R63" s="206" t="s">
        <v>402</v>
      </c>
      <c r="S63" s="206">
        <v>793498.59210000001</v>
      </c>
      <c r="T63" s="206">
        <v>2187630.0079999999</v>
      </c>
      <c r="U63" s="206">
        <v>793546.22849999997</v>
      </c>
      <c r="V63" s="206">
        <v>2187611.9410000001</v>
      </c>
      <c r="W63" s="206"/>
      <c r="X63" s="206"/>
      <c r="Y63" s="206"/>
      <c r="Z63" s="206"/>
      <c r="AA63" s="206"/>
      <c r="AB63" s="206" t="s">
        <v>399</v>
      </c>
      <c r="AC63" s="206" t="s">
        <v>401</v>
      </c>
      <c r="AD63" s="206"/>
      <c r="AL63" s="206"/>
      <c r="AM63" s="206"/>
      <c r="AN63" s="206"/>
      <c r="AO63" s="206"/>
      <c r="AP63" s="206"/>
      <c r="AQ63" s="206"/>
      <c r="AR63" s="206"/>
      <c r="AS63" s="206"/>
      <c r="AV63" s="206"/>
      <c r="AW63" s="206"/>
      <c r="AX63" s="206"/>
      <c r="AY63" s="206"/>
      <c r="AZ63" s="206"/>
      <c r="BD63" s="206"/>
      <c r="BF63" s="206"/>
    </row>
    <row r="64" spans="1:100" x14ac:dyDescent="0.2">
      <c r="A64" s="220">
        <v>0</v>
      </c>
      <c r="B64" s="220">
        <v>0</v>
      </c>
      <c r="C64" s="206" t="s">
        <v>397</v>
      </c>
      <c r="D64" s="206" t="s">
        <v>401</v>
      </c>
      <c r="E64" s="192">
        <v>54.94</v>
      </c>
      <c r="F64" s="206" t="s">
        <v>399</v>
      </c>
      <c r="G64" s="206"/>
      <c r="H64" s="206"/>
      <c r="I64" s="206"/>
      <c r="J64"/>
      <c r="K64"/>
      <c r="L64" s="206"/>
      <c r="M64" s="206"/>
      <c r="N64" s="206"/>
      <c r="O64" s="192">
        <v>2.73</v>
      </c>
      <c r="P64" s="192">
        <v>2.2000000000000002</v>
      </c>
      <c r="Q64" s="206" t="s">
        <v>403</v>
      </c>
      <c r="R64" s="206" t="s">
        <v>404</v>
      </c>
      <c r="S64" s="206">
        <v>793546.22849999997</v>
      </c>
      <c r="T64" s="206">
        <v>2187611.9410000001</v>
      </c>
      <c r="U64" s="206">
        <v>793597.53839999996</v>
      </c>
      <c r="V64" s="206">
        <v>2187592.3080000002</v>
      </c>
      <c r="W64" s="206"/>
      <c r="X64" s="206"/>
      <c r="Y64" s="206"/>
      <c r="Z64" s="206"/>
      <c r="AA64" s="206"/>
      <c r="AB64" s="206" t="s">
        <v>401</v>
      </c>
      <c r="AC64" s="206" t="s">
        <v>403</v>
      </c>
      <c r="AD64" s="206"/>
      <c r="AL64" s="206"/>
      <c r="AM64" s="206"/>
      <c r="AN64" s="206"/>
      <c r="AO64" s="206"/>
      <c r="AP64" s="206"/>
      <c r="AQ64" s="206"/>
      <c r="AR64" s="206"/>
      <c r="AS64" s="206"/>
      <c r="AV64" s="206"/>
      <c r="AW64" s="206"/>
      <c r="AX64" s="206"/>
      <c r="AY64" s="206"/>
      <c r="AZ64" s="206"/>
      <c r="BD64" s="206"/>
      <c r="BF64" s="206"/>
    </row>
    <row r="65" spans="1:100" x14ac:dyDescent="0.2">
      <c r="A65" s="220">
        <v>0</v>
      </c>
      <c r="B65" s="220">
        <v>0</v>
      </c>
      <c r="C65" s="206" t="s">
        <v>397</v>
      </c>
      <c r="D65" s="206" t="s">
        <v>403</v>
      </c>
      <c r="E65" s="192">
        <v>44.34</v>
      </c>
      <c r="F65" s="206" t="s">
        <v>401</v>
      </c>
      <c r="G65" s="206"/>
      <c r="H65" s="206"/>
      <c r="I65" s="206"/>
      <c r="J65"/>
      <c r="K65"/>
      <c r="L65" s="206"/>
      <c r="M65" s="206"/>
      <c r="N65" s="206"/>
      <c r="O65" s="192">
        <v>2.2000000000000002</v>
      </c>
      <c r="P65" s="192">
        <v>1.55</v>
      </c>
      <c r="Q65" s="206" t="s">
        <v>303</v>
      </c>
      <c r="R65" s="206" t="s">
        <v>405</v>
      </c>
      <c r="S65" s="206">
        <v>793597.53839999996</v>
      </c>
      <c r="T65" s="206">
        <v>2187592.3080000002</v>
      </c>
      <c r="U65" s="206">
        <v>793638.97180000006</v>
      </c>
      <c r="V65" s="206">
        <v>2187576.5299999998</v>
      </c>
      <c r="W65" s="206"/>
      <c r="X65" s="206"/>
      <c r="Y65" s="206"/>
      <c r="Z65" s="206"/>
      <c r="AA65" s="206"/>
      <c r="AB65" s="206" t="s">
        <v>403</v>
      </c>
      <c r="AC65" s="206" t="s">
        <v>303</v>
      </c>
      <c r="AD65" s="206"/>
      <c r="AL65" s="206"/>
      <c r="AM65" s="206"/>
      <c r="AN65" s="206"/>
      <c r="AO65" s="206"/>
      <c r="AP65" s="206"/>
      <c r="AQ65" s="206"/>
      <c r="AR65" s="206"/>
      <c r="AS65" s="206"/>
      <c r="AV65" s="206"/>
      <c r="AW65" s="206"/>
      <c r="AX65" s="206"/>
      <c r="AY65" s="206"/>
      <c r="AZ65" s="206"/>
      <c r="BD65" s="206"/>
      <c r="BF65" s="206"/>
    </row>
    <row r="66" spans="1:100" x14ac:dyDescent="0.2">
      <c r="A66" s="220">
        <v>0</v>
      </c>
      <c r="B66" s="220">
        <v>1</v>
      </c>
      <c r="C66" s="206" t="s">
        <v>397</v>
      </c>
      <c r="D66" s="206" t="s">
        <v>303</v>
      </c>
      <c r="E66" s="192">
        <v>53.21</v>
      </c>
      <c r="F66" s="206" t="s">
        <v>403</v>
      </c>
      <c r="G66" s="206"/>
      <c r="H66" s="206"/>
      <c r="I66" s="206"/>
      <c r="J66"/>
      <c r="K66"/>
      <c r="L66" s="206"/>
      <c r="M66" s="206"/>
      <c r="N66" s="206"/>
      <c r="O66" s="192">
        <v>1.55</v>
      </c>
      <c r="P66" s="192">
        <v>1</v>
      </c>
      <c r="Q66" s="206" t="s">
        <v>301</v>
      </c>
      <c r="R66" s="206" t="s">
        <v>406</v>
      </c>
      <c r="S66" s="206">
        <v>793638.97180000006</v>
      </c>
      <c r="T66" s="206">
        <v>2187576.5299999998</v>
      </c>
      <c r="U66" s="206">
        <v>793688.83640000003</v>
      </c>
      <c r="V66" s="206">
        <v>2187557.9509999999</v>
      </c>
      <c r="W66" s="206"/>
      <c r="X66" s="206"/>
      <c r="Y66" s="206"/>
      <c r="Z66" s="206"/>
      <c r="AA66" s="206"/>
      <c r="AB66" s="206" t="s">
        <v>303</v>
      </c>
      <c r="AC66" s="206" t="s">
        <v>301</v>
      </c>
      <c r="AD66" s="206"/>
      <c r="AL66" s="206"/>
      <c r="AM66" s="206"/>
      <c r="AN66" s="206"/>
      <c r="AO66" s="206"/>
      <c r="AP66" s="206"/>
      <c r="AQ66" s="206"/>
      <c r="AR66" s="206"/>
      <c r="AS66" s="206"/>
      <c r="AV66" s="206"/>
      <c r="AW66" s="206"/>
      <c r="AX66" s="206"/>
      <c r="AY66" s="206"/>
      <c r="AZ66" s="206"/>
      <c r="BD66" s="206"/>
      <c r="BF66" s="206"/>
    </row>
    <row r="67" spans="1:100" x14ac:dyDescent="0.2">
      <c r="A67" s="220">
        <v>1</v>
      </c>
      <c r="B67" s="220">
        <v>0</v>
      </c>
      <c r="C67" s="206" t="s">
        <v>407</v>
      </c>
      <c r="D67" s="206" t="s">
        <v>408</v>
      </c>
      <c r="E67" s="192">
        <v>46.78</v>
      </c>
      <c r="F67" s="206"/>
      <c r="G67" s="206"/>
      <c r="H67" s="206"/>
      <c r="I67" s="206"/>
      <c r="J67"/>
      <c r="K67"/>
      <c r="L67" s="206"/>
      <c r="M67" s="206"/>
      <c r="N67" s="206"/>
      <c r="O67" s="192">
        <v>9.5</v>
      </c>
      <c r="P67" s="192">
        <v>9.69</v>
      </c>
      <c r="Q67" s="206" t="s">
        <v>409</v>
      </c>
      <c r="R67" s="206" t="s">
        <v>410</v>
      </c>
      <c r="S67" s="206">
        <v>793294.25569999998</v>
      </c>
      <c r="T67" s="206">
        <v>2187766.2319999998</v>
      </c>
      <c r="U67" s="206">
        <v>793337.67649999994</v>
      </c>
      <c r="V67" s="206">
        <v>2187748.8280000002</v>
      </c>
      <c r="W67" s="206"/>
      <c r="X67" s="206"/>
      <c r="Y67" s="206"/>
      <c r="Z67" s="206"/>
      <c r="AA67" s="206"/>
      <c r="AB67" s="206" t="s">
        <v>408</v>
      </c>
      <c r="AC67" s="206" t="s">
        <v>409</v>
      </c>
      <c r="AD67" s="206"/>
      <c r="AL67" s="206"/>
      <c r="AM67" s="206"/>
      <c r="AN67" s="206"/>
      <c r="AO67" s="206"/>
      <c r="AP67" s="206"/>
      <c r="AQ67" s="206"/>
      <c r="AR67" s="206"/>
      <c r="AS67" s="206"/>
      <c r="AV67" s="206"/>
      <c r="AW67" s="206"/>
      <c r="AX67" s="206"/>
      <c r="AY67" s="206"/>
      <c r="AZ67" s="206"/>
      <c r="BD67" s="206"/>
      <c r="BF67" s="206"/>
    </row>
    <row r="68" spans="1:100" x14ac:dyDescent="0.2">
      <c r="A68" s="220">
        <v>0</v>
      </c>
      <c r="B68" s="220">
        <v>0</v>
      </c>
      <c r="C68" s="206" t="s">
        <v>407</v>
      </c>
      <c r="D68" s="206" t="s">
        <v>409</v>
      </c>
      <c r="E68" s="192">
        <v>49.42</v>
      </c>
      <c r="F68" s="206" t="s">
        <v>408</v>
      </c>
      <c r="G68" s="206"/>
      <c r="H68" s="206"/>
      <c r="I68" s="206"/>
      <c r="J68"/>
      <c r="K68"/>
      <c r="L68" s="206"/>
      <c r="M68" s="206"/>
      <c r="N68" s="206"/>
      <c r="O68" s="192">
        <v>9.69</v>
      </c>
      <c r="P68" s="192">
        <v>7.62</v>
      </c>
      <c r="Q68" s="206" t="s">
        <v>411</v>
      </c>
      <c r="R68" s="206" t="s">
        <v>412</v>
      </c>
      <c r="S68" s="206">
        <v>793337.67649999994</v>
      </c>
      <c r="T68" s="206">
        <v>2187748.8280000002</v>
      </c>
      <c r="U68" s="206">
        <v>793383.74699999997</v>
      </c>
      <c r="V68" s="206">
        <v>2187730.9410000001</v>
      </c>
      <c r="W68" s="206"/>
      <c r="X68" s="206"/>
      <c r="Y68" s="206"/>
      <c r="Z68" s="206"/>
      <c r="AA68" s="206"/>
      <c r="AB68" s="206" t="s">
        <v>409</v>
      </c>
      <c r="AC68" s="206" t="s">
        <v>411</v>
      </c>
      <c r="AD68" s="206"/>
      <c r="AL68" s="206"/>
      <c r="AM68" s="206"/>
      <c r="AN68" s="206"/>
      <c r="AO68" s="206"/>
      <c r="AP68" s="206"/>
      <c r="AQ68" s="206"/>
      <c r="AR68" s="206"/>
      <c r="AS68" s="206"/>
      <c r="AV68" s="206"/>
      <c r="AW68" s="206"/>
      <c r="AX68" s="206"/>
      <c r="AY68" s="206"/>
      <c r="AZ68" s="206"/>
      <c r="BD68" s="206"/>
      <c r="BF68" s="206"/>
    </row>
    <row r="69" spans="1:100" x14ac:dyDescent="0.2">
      <c r="A69" s="220">
        <v>0</v>
      </c>
      <c r="B69" s="220">
        <v>0</v>
      </c>
      <c r="C69" s="206" t="s">
        <v>407</v>
      </c>
      <c r="D69" s="206" t="s">
        <v>411</v>
      </c>
      <c r="E69" s="192">
        <v>45.35</v>
      </c>
      <c r="F69" s="206" t="s">
        <v>409</v>
      </c>
      <c r="G69" s="206"/>
      <c r="H69" s="206"/>
      <c r="I69" s="206"/>
      <c r="J69"/>
      <c r="K69"/>
      <c r="L69" s="206"/>
      <c r="M69" s="206"/>
      <c r="N69" s="206"/>
      <c r="O69" s="192">
        <v>7.62</v>
      </c>
      <c r="P69" s="192">
        <v>5.41</v>
      </c>
      <c r="Q69" s="206" t="s">
        <v>413</v>
      </c>
      <c r="R69" s="206" t="s">
        <v>414</v>
      </c>
      <c r="S69" s="206">
        <v>793383.74699999997</v>
      </c>
      <c r="T69" s="206">
        <v>2187730.9410000001</v>
      </c>
      <c r="U69" s="206">
        <v>793425.42130000005</v>
      </c>
      <c r="V69" s="206">
        <v>2187713.0550000002</v>
      </c>
      <c r="W69" s="206"/>
      <c r="X69" s="206"/>
      <c r="Y69" s="206"/>
      <c r="Z69" s="206"/>
      <c r="AA69" s="206"/>
      <c r="AB69" s="206" t="s">
        <v>411</v>
      </c>
      <c r="AC69" s="206" t="s">
        <v>413</v>
      </c>
      <c r="AD69" s="206"/>
      <c r="AL69" s="206"/>
      <c r="AM69" s="206"/>
      <c r="AN69" s="206"/>
      <c r="AO69" s="206"/>
      <c r="AP69" s="206"/>
      <c r="AQ69" s="206"/>
      <c r="AR69" s="206"/>
      <c r="AS69" s="206"/>
      <c r="AV69" s="206"/>
      <c r="AW69" s="206"/>
      <c r="AX69" s="206"/>
      <c r="AY69" s="206"/>
      <c r="AZ69" s="206"/>
      <c r="BD69" s="206"/>
      <c r="BF69" s="206"/>
    </row>
    <row r="70" spans="1:100" x14ac:dyDescent="0.2">
      <c r="A70" s="220">
        <v>0</v>
      </c>
      <c r="B70" s="220">
        <v>0</v>
      </c>
      <c r="C70" s="206" t="s">
        <v>407</v>
      </c>
      <c r="D70" s="206" t="s">
        <v>413</v>
      </c>
      <c r="E70" s="192">
        <v>47.34</v>
      </c>
      <c r="F70" s="206" t="s">
        <v>411</v>
      </c>
      <c r="G70" s="206"/>
      <c r="H70" s="206"/>
      <c r="I70" s="206"/>
      <c r="J70" s="206"/>
      <c r="K70" s="206"/>
      <c r="L70" s="206"/>
      <c r="M70" s="206"/>
      <c r="N70" s="206"/>
      <c r="O70" s="192">
        <v>5.41</v>
      </c>
      <c r="P70" s="192">
        <v>4.1100000000000003</v>
      </c>
      <c r="Q70" s="206" t="s">
        <v>415</v>
      </c>
      <c r="R70" s="206" t="s">
        <v>416</v>
      </c>
      <c r="S70" s="206">
        <v>793425.42130000005</v>
      </c>
      <c r="T70" s="206">
        <v>2187713.0550000002</v>
      </c>
      <c r="U70" s="206">
        <v>793469.20330000005</v>
      </c>
      <c r="V70" s="206">
        <v>2187695.0490000001</v>
      </c>
      <c r="W70" s="206"/>
      <c r="X70" s="206"/>
      <c r="Y70" s="206"/>
      <c r="Z70" s="206"/>
      <c r="AA70" s="206"/>
      <c r="AB70" s="206" t="s">
        <v>413</v>
      </c>
      <c r="AC70" s="206" t="s">
        <v>415</v>
      </c>
      <c r="AD70" s="206"/>
      <c r="AL70" s="206"/>
      <c r="AM70" s="206"/>
      <c r="AN70" s="206"/>
      <c r="AO70" s="206"/>
      <c r="AP70" s="206"/>
      <c r="AQ70" s="206"/>
      <c r="AR70" s="206"/>
      <c r="AS70" s="206"/>
      <c r="AV70" s="206"/>
      <c r="AW70" s="206"/>
      <c r="AX70" s="206"/>
      <c r="AY70" s="206"/>
      <c r="AZ70" s="206"/>
      <c r="BA70" s="206"/>
      <c r="BB70" s="206"/>
      <c r="BD70" s="206"/>
      <c r="BF70" s="206"/>
      <c r="BG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  <c r="BY70" s="201"/>
      <c r="BZ70" s="201"/>
      <c r="CA70" s="201"/>
      <c r="CB70" s="201"/>
      <c r="CC70" s="201"/>
      <c r="CD70" s="201"/>
      <c r="CE70" s="201"/>
      <c r="CF70" s="201"/>
      <c r="CG70" s="201"/>
      <c r="CH70" s="201"/>
      <c r="CI70" s="201"/>
      <c r="CJ70" s="201"/>
      <c r="CK70" s="201"/>
      <c r="CL70" s="201"/>
      <c r="CM70" s="201"/>
      <c r="CN70" s="201"/>
      <c r="CO70" s="201"/>
      <c r="CP70" s="201"/>
      <c r="CQ70" s="201"/>
      <c r="CR70" s="201"/>
      <c r="CS70" s="201"/>
      <c r="CT70" s="201"/>
      <c r="CU70" s="201"/>
      <c r="CV70" s="201"/>
    </row>
    <row r="71" spans="1:100" x14ac:dyDescent="0.2">
      <c r="A71" s="220">
        <v>0</v>
      </c>
      <c r="B71" s="220">
        <v>0</v>
      </c>
      <c r="C71" s="206" t="s">
        <v>407</v>
      </c>
      <c r="D71" s="206" t="s">
        <v>415</v>
      </c>
      <c r="E71" s="192">
        <v>51.63</v>
      </c>
      <c r="F71" s="206" t="s">
        <v>413</v>
      </c>
      <c r="G71" s="206"/>
      <c r="H71" s="206"/>
      <c r="I71" s="206"/>
      <c r="J71" s="206"/>
      <c r="K71" s="206"/>
      <c r="L71" s="206"/>
      <c r="M71" s="206"/>
      <c r="N71" s="206"/>
      <c r="O71" s="192">
        <v>4.1100000000000003</v>
      </c>
      <c r="P71" s="192">
        <v>3.01</v>
      </c>
      <c r="Q71" s="206" t="s">
        <v>417</v>
      </c>
      <c r="R71" s="206" t="s">
        <v>418</v>
      </c>
      <c r="S71" s="206">
        <v>793469.20330000005</v>
      </c>
      <c r="T71" s="206">
        <v>2187695.0490000001</v>
      </c>
      <c r="U71" s="206">
        <v>793516.89989999996</v>
      </c>
      <c r="V71" s="206">
        <v>2187675.2949999999</v>
      </c>
      <c r="W71" s="206"/>
      <c r="X71" s="206"/>
      <c r="Y71" s="206"/>
      <c r="Z71" s="206"/>
      <c r="AA71" s="206"/>
      <c r="AB71" s="206" t="s">
        <v>415</v>
      </c>
      <c r="AC71" s="206" t="s">
        <v>417</v>
      </c>
      <c r="AD71" s="206"/>
      <c r="AL71" s="206"/>
      <c r="AM71" s="206"/>
      <c r="AN71" s="206"/>
      <c r="AO71" s="206"/>
      <c r="AP71" s="206"/>
      <c r="AQ71" s="206"/>
      <c r="AR71" s="206"/>
      <c r="AS71" s="206"/>
      <c r="AV71" s="206"/>
      <c r="AW71" s="206"/>
      <c r="AX71" s="206"/>
      <c r="AY71" s="206"/>
      <c r="AZ71" s="206"/>
      <c r="BA71" s="206"/>
      <c r="BB71" s="206"/>
      <c r="BD71" s="206"/>
      <c r="BF71" s="206"/>
      <c r="BG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  <c r="BY71" s="201"/>
      <c r="BZ71" s="201"/>
      <c r="CA71" s="201"/>
      <c r="CB71" s="201"/>
      <c r="CC71" s="201"/>
      <c r="CD71" s="201"/>
      <c r="CE71" s="201"/>
      <c r="CF71" s="201"/>
      <c r="CG71" s="201"/>
      <c r="CH71" s="201"/>
      <c r="CI71" s="201"/>
      <c r="CJ71" s="201"/>
      <c r="CK71" s="201"/>
      <c r="CL71" s="201"/>
      <c r="CM71" s="201"/>
      <c r="CN71" s="201"/>
      <c r="CO71" s="201"/>
      <c r="CP71" s="201"/>
      <c r="CQ71" s="201"/>
      <c r="CR71" s="201"/>
      <c r="CS71" s="201"/>
      <c r="CT71" s="201"/>
      <c r="CU71" s="201"/>
      <c r="CV71" s="201"/>
    </row>
    <row r="72" spans="1:100" x14ac:dyDescent="0.2">
      <c r="A72" s="220">
        <v>0</v>
      </c>
      <c r="B72" s="220">
        <v>0</v>
      </c>
      <c r="C72" s="206" t="s">
        <v>407</v>
      </c>
      <c r="D72" s="206" t="s">
        <v>417</v>
      </c>
      <c r="E72" s="192">
        <v>51.85</v>
      </c>
      <c r="F72" s="206" t="s">
        <v>415</v>
      </c>
      <c r="G72" s="206"/>
      <c r="H72" s="206"/>
      <c r="I72" s="206"/>
      <c r="J72" s="206"/>
      <c r="K72" s="206"/>
      <c r="L72" s="206"/>
      <c r="M72" s="206"/>
      <c r="N72" s="206"/>
      <c r="O72" s="192">
        <v>3.01</v>
      </c>
      <c r="P72" s="192">
        <v>2.81</v>
      </c>
      <c r="Q72" s="206" t="s">
        <v>419</v>
      </c>
      <c r="R72" s="206" t="s">
        <v>420</v>
      </c>
      <c r="S72" s="206">
        <v>793516.89989999996</v>
      </c>
      <c r="T72" s="206">
        <v>2187675.2949999999</v>
      </c>
      <c r="U72" s="206">
        <v>793565.49979999999</v>
      </c>
      <c r="V72" s="206">
        <v>2187657.2289999998</v>
      </c>
      <c r="W72" s="206"/>
      <c r="X72" s="206"/>
      <c r="Y72" s="206"/>
      <c r="Z72" s="206"/>
      <c r="AA72" s="206"/>
      <c r="AB72" s="206" t="s">
        <v>417</v>
      </c>
      <c r="AC72" s="206" t="s">
        <v>419</v>
      </c>
      <c r="AD72" s="206"/>
      <c r="AL72" s="206"/>
      <c r="AM72" s="206"/>
      <c r="AN72" s="206"/>
      <c r="AO72" s="206"/>
      <c r="AP72" s="206"/>
      <c r="AQ72" s="206"/>
      <c r="AR72" s="206"/>
      <c r="AS72" s="206"/>
      <c r="AV72" s="206"/>
      <c r="AW72" s="206"/>
      <c r="AX72" s="206"/>
      <c r="AY72" s="206"/>
      <c r="AZ72" s="206"/>
      <c r="BA72" s="206"/>
      <c r="BB72" s="206"/>
      <c r="BD72" s="206"/>
      <c r="BF72" s="206"/>
      <c r="BG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  <c r="BY72" s="201"/>
      <c r="BZ72" s="201"/>
      <c r="CA72" s="201"/>
      <c r="CB72" s="201"/>
      <c r="CC72" s="201"/>
      <c r="CD72" s="201"/>
      <c r="CE72" s="201"/>
      <c r="CF72" s="201"/>
      <c r="CG72" s="201"/>
      <c r="CH72" s="201"/>
      <c r="CI72" s="201"/>
      <c r="CJ72" s="201"/>
      <c r="CK72" s="201"/>
      <c r="CL72" s="201"/>
      <c r="CM72" s="201"/>
      <c r="CN72" s="201"/>
      <c r="CP72" s="201"/>
      <c r="CQ72" s="201"/>
      <c r="CR72" s="201"/>
      <c r="CS72" s="201"/>
      <c r="CT72" s="201"/>
      <c r="CU72" s="201"/>
      <c r="CV72" s="201"/>
    </row>
    <row r="73" spans="1:100" x14ac:dyDescent="0.2">
      <c r="A73" s="220">
        <v>0</v>
      </c>
      <c r="B73" s="220">
        <v>0</v>
      </c>
      <c r="C73" s="206" t="s">
        <v>407</v>
      </c>
      <c r="D73" s="206" t="s">
        <v>419</v>
      </c>
      <c r="E73" s="192">
        <v>53.18</v>
      </c>
      <c r="F73" s="206" t="s">
        <v>417</v>
      </c>
      <c r="G73" s="206"/>
      <c r="H73" s="206"/>
      <c r="I73" s="206"/>
      <c r="J73"/>
      <c r="K73"/>
      <c r="L73" s="206"/>
      <c r="M73" s="206"/>
      <c r="N73" s="206"/>
      <c r="O73" s="192">
        <v>2.81</v>
      </c>
      <c r="P73" s="192">
        <v>2.27</v>
      </c>
      <c r="Q73" s="206" t="s">
        <v>421</v>
      </c>
      <c r="R73" s="206" t="s">
        <v>422</v>
      </c>
      <c r="S73" s="206">
        <v>793565.49979999999</v>
      </c>
      <c r="T73" s="206">
        <v>2187657.2289999998</v>
      </c>
      <c r="U73" s="206">
        <v>793614.70200000005</v>
      </c>
      <c r="V73" s="206">
        <v>2187637.054</v>
      </c>
      <c r="W73" s="206"/>
      <c r="X73" s="206"/>
      <c r="Y73" s="206"/>
      <c r="Z73" s="206"/>
      <c r="AA73" s="206"/>
      <c r="AB73" s="206" t="s">
        <v>419</v>
      </c>
      <c r="AC73" s="206" t="s">
        <v>421</v>
      </c>
      <c r="AD73" s="206"/>
      <c r="AL73" s="206"/>
      <c r="AM73" s="206"/>
      <c r="AN73" s="206"/>
      <c r="AO73" s="206"/>
      <c r="AP73" s="206"/>
      <c r="AQ73" s="206"/>
      <c r="AR73" s="206"/>
      <c r="AS73" s="206"/>
      <c r="AV73" s="206"/>
      <c r="AW73" s="206"/>
      <c r="AX73" s="206"/>
      <c r="AY73" s="206"/>
      <c r="AZ73" s="206"/>
      <c r="BD73" s="206"/>
      <c r="BF73" s="206"/>
    </row>
    <row r="74" spans="1:100" x14ac:dyDescent="0.2">
      <c r="A74" s="220">
        <v>0</v>
      </c>
      <c r="B74" s="220">
        <v>0</v>
      </c>
      <c r="C74" s="206" t="s">
        <v>407</v>
      </c>
      <c r="D74" s="206" t="s">
        <v>421</v>
      </c>
      <c r="E74" s="192">
        <v>55.86</v>
      </c>
      <c r="F74" s="206" t="s">
        <v>419</v>
      </c>
      <c r="G74" s="206"/>
      <c r="H74" s="206"/>
      <c r="I74" s="206"/>
      <c r="J74"/>
      <c r="K74"/>
      <c r="L74" s="206"/>
      <c r="M74" s="206"/>
      <c r="N74" s="206"/>
      <c r="O74" s="192">
        <v>2.27</v>
      </c>
      <c r="P74" s="192">
        <v>1.62</v>
      </c>
      <c r="Q74" s="206" t="s">
        <v>306</v>
      </c>
      <c r="R74" s="206" t="s">
        <v>423</v>
      </c>
      <c r="S74" s="206">
        <v>793614.70200000005</v>
      </c>
      <c r="T74" s="206">
        <v>2187637.054</v>
      </c>
      <c r="U74" s="206">
        <v>793667.63789999997</v>
      </c>
      <c r="V74" s="206">
        <v>2187619.2280000001</v>
      </c>
      <c r="W74" s="206"/>
      <c r="X74" s="206"/>
      <c r="Y74" s="206"/>
      <c r="Z74" s="206"/>
      <c r="AA74" s="206"/>
      <c r="AB74" s="206" t="s">
        <v>421</v>
      </c>
      <c r="AC74" s="206" t="s">
        <v>306</v>
      </c>
      <c r="AD74" s="206"/>
      <c r="AL74" s="206"/>
      <c r="AM74" s="206"/>
      <c r="AN74" s="206"/>
      <c r="AO74" s="206"/>
      <c r="AP74" s="206"/>
      <c r="AQ74" s="206"/>
      <c r="AR74" s="206"/>
      <c r="AS74" s="206"/>
      <c r="AV74" s="206"/>
      <c r="AW74" s="206"/>
      <c r="AX74" s="206"/>
      <c r="AY74" s="206"/>
      <c r="AZ74" s="206"/>
      <c r="BD74" s="206"/>
      <c r="BF74" s="206"/>
    </row>
    <row r="75" spans="1:100" x14ac:dyDescent="0.2">
      <c r="A75" s="220">
        <v>0</v>
      </c>
      <c r="B75" s="220">
        <v>1</v>
      </c>
      <c r="C75" s="206" t="s">
        <v>407</v>
      </c>
      <c r="D75" s="206" t="s">
        <v>306</v>
      </c>
      <c r="E75" s="192">
        <v>54.29</v>
      </c>
      <c r="F75" s="206" t="s">
        <v>421</v>
      </c>
      <c r="G75" s="206"/>
      <c r="H75" s="206"/>
      <c r="I75" s="206"/>
      <c r="J75"/>
      <c r="K75"/>
      <c r="L75" s="206"/>
      <c r="M75" s="206"/>
      <c r="N75" s="206"/>
      <c r="O75" s="192">
        <v>1.62</v>
      </c>
      <c r="P75" s="192">
        <v>1</v>
      </c>
      <c r="Q75" s="206" t="s">
        <v>304</v>
      </c>
      <c r="R75" s="206" t="s">
        <v>424</v>
      </c>
      <c r="S75" s="206">
        <v>793667.63789999997</v>
      </c>
      <c r="T75" s="206">
        <v>2187619.2280000001</v>
      </c>
      <c r="U75" s="206">
        <v>793718.1348</v>
      </c>
      <c r="V75" s="206">
        <v>2187599.2940000002</v>
      </c>
      <c r="W75" s="206"/>
      <c r="X75" s="206"/>
      <c r="Y75" s="206"/>
      <c r="Z75" s="206"/>
      <c r="AA75" s="206"/>
      <c r="AB75" s="206" t="s">
        <v>306</v>
      </c>
      <c r="AC75" s="206" t="s">
        <v>304</v>
      </c>
      <c r="AD75" s="206"/>
      <c r="AL75" s="206"/>
      <c r="AM75" s="206"/>
      <c r="AN75" s="206"/>
      <c r="AO75" s="206"/>
      <c r="AP75" s="206"/>
      <c r="AQ75" s="206"/>
      <c r="AR75" s="206"/>
      <c r="AS75" s="206"/>
      <c r="AV75" s="206"/>
      <c r="AW75" s="206"/>
      <c r="AX75" s="206"/>
      <c r="AY75" s="206"/>
      <c r="AZ75" s="206"/>
      <c r="BD75" s="206"/>
      <c r="BF75" s="206"/>
    </row>
    <row r="76" spans="1:100" x14ac:dyDescent="0.2">
      <c r="A76" s="220">
        <v>1</v>
      </c>
      <c r="B76" s="220">
        <v>0</v>
      </c>
      <c r="C76" s="206" t="s">
        <v>425</v>
      </c>
      <c r="D76" s="206" t="s">
        <v>426</v>
      </c>
      <c r="E76" s="192">
        <v>8.3000000000000007</v>
      </c>
      <c r="F76" s="206"/>
      <c r="G76" s="206"/>
      <c r="H76" s="206"/>
      <c r="I76" s="206" t="s">
        <v>427</v>
      </c>
      <c r="J76">
        <v>2173</v>
      </c>
      <c r="K76">
        <v>606</v>
      </c>
      <c r="L76" s="206"/>
      <c r="M76" s="206"/>
      <c r="N76" s="206"/>
      <c r="O76" s="192">
        <v>8.99</v>
      </c>
      <c r="P76" s="192">
        <v>8.5</v>
      </c>
      <c r="Q76" s="206" t="s">
        <v>428</v>
      </c>
      <c r="R76" s="206" t="s">
        <v>429</v>
      </c>
      <c r="S76" s="206">
        <v>793305.89419999998</v>
      </c>
      <c r="T76" s="206">
        <v>2187808.6179999998</v>
      </c>
      <c r="U76" s="206">
        <v>793313.90560000006</v>
      </c>
      <c r="V76" s="206">
        <v>2187806.4509999999</v>
      </c>
      <c r="W76" s="206"/>
      <c r="X76" s="206"/>
      <c r="Y76" s="206"/>
      <c r="Z76" s="206"/>
      <c r="AA76" s="206"/>
      <c r="AB76" s="206" t="s">
        <v>426</v>
      </c>
      <c r="AC76" s="206" t="s">
        <v>428</v>
      </c>
      <c r="AD76" s="206"/>
      <c r="AL76" s="206"/>
      <c r="AM76" s="206"/>
      <c r="AN76" s="206"/>
      <c r="AO76" s="206"/>
      <c r="AP76" s="206"/>
      <c r="AQ76" s="206"/>
      <c r="AR76" s="206"/>
      <c r="AS76" s="206"/>
      <c r="AV76" s="206"/>
      <c r="AW76" s="206"/>
      <c r="AX76" s="206"/>
      <c r="AY76" s="206"/>
      <c r="AZ76" s="206"/>
      <c r="BD76" s="206"/>
      <c r="BF76" s="206"/>
    </row>
    <row r="77" spans="1:100" x14ac:dyDescent="0.2">
      <c r="A77" s="220">
        <v>0</v>
      </c>
      <c r="B77" s="220">
        <v>0</v>
      </c>
      <c r="C77" s="206" t="s">
        <v>425</v>
      </c>
      <c r="D77" s="206" t="s">
        <v>428</v>
      </c>
      <c r="E77" s="192">
        <v>43.6</v>
      </c>
      <c r="F77" s="206" t="s">
        <v>426</v>
      </c>
      <c r="G77" s="206"/>
      <c r="H77" s="206"/>
      <c r="I77" s="206"/>
      <c r="J77"/>
      <c r="K77"/>
      <c r="L77" s="206"/>
      <c r="M77" s="206"/>
      <c r="N77" s="206"/>
      <c r="O77" s="192">
        <v>8.5</v>
      </c>
      <c r="P77" s="192">
        <v>7.62</v>
      </c>
      <c r="Q77" s="206" t="s">
        <v>430</v>
      </c>
      <c r="R77" s="206" t="s">
        <v>431</v>
      </c>
      <c r="S77" s="206">
        <v>793313.90560000006</v>
      </c>
      <c r="T77" s="206">
        <v>2187806.4509999999</v>
      </c>
      <c r="U77" s="206">
        <v>793355.86380000005</v>
      </c>
      <c r="V77" s="206">
        <v>2187794.5970000001</v>
      </c>
      <c r="W77" s="206"/>
      <c r="X77" s="206"/>
      <c r="Y77" s="206"/>
      <c r="Z77" s="206"/>
      <c r="AA77" s="206"/>
      <c r="AB77" s="206" t="s">
        <v>428</v>
      </c>
      <c r="AC77" s="206" t="s">
        <v>430</v>
      </c>
      <c r="AD77" s="206"/>
      <c r="AL77" s="206"/>
      <c r="AM77" s="206"/>
      <c r="AN77" s="206"/>
      <c r="AO77" s="206"/>
      <c r="AP77" s="206"/>
      <c r="AQ77" s="206"/>
      <c r="AR77" s="206"/>
      <c r="AS77" s="206"/>
      <c r="AV77" s="206"/>
      <c r="AW77" s="206"/>
      <c r="AX77" s="206"/>
      <c r="AY77" s="206"/>
      <c r="AZ77" s="206"/>
      <c r="BD77" s="206"/>
      <c r="BF77" s="206"/>
    </row>
    <row r="78" spans="1:100" x14ac:dyDescent="0.2">
      <c r="A78" s="220">
        <v>0</v>
      </c>
      <c r="B78" s="220">
        <v>0</v>
      </c>
      <c r="C78" s="206" t="s">
        <v>425</v>
      </c>
      <c r="D78" s="206" t="s">
        <v>430</v>
      </c>
      <c r="E78" s="192">
        <v>46.67</v>
      </c>
      <c r="F78" s="206" t="s">
        <v>428</v>
      </c>
      <c r="G78" s="206"/>
      <c r="H78" s="206"/>
      <c r="I78" s="206"/>
      <c r="J78"/>
      <c r="K78"/>
      <c r="L78" s="206"/>
      <c r="M78" s="206"/>
      <c r="N78" s="206"/>
      <c r="O78" s="192">
        <v>7.62</v>
      </c>
      <c r="P78" s="192">
        <v>6.69</v>
      </c>
      <c r="Q78" s="206" t="s">
        <v>432</v>
      </c>
      <c r="R78" s="206" t="s">
        <v>433</v>
      </c>
      <c r="S78" s="206">
        <v>793355.86380000005</v>
      </c>
      <c r="T78" s="206">
        <v>2187794.5970000001</v>
      </c>
      <c r="U78" s="206">
        <v>793399.28449999995</v>
      </c>
      <c r="V78" s="206">
        <v>2187777.4939999999</v>
      </c>
      <c r="W78" s="206"/>
      <c r="X78" s="206"/>
      <c r="Y78" s="206"/>
      <c r="Z78" s="206"/>
      <c r="AA78" s="206"/>
      <c r="AB78" s="206" t="s">
        <v>430</v>
      </c>
      <c r="AC78" s="206" t="s">
        <v>432</v>
      </c>
      <c r="AD78" s="206"/>
      <c r="AL78" s="206"/>
      <c r="AM78" s="206"/>
      <c r="AN78" s="206"/>
      <c r="AO78" s="206"/>
      <c r="AP78" s="206"/>
      <c r="AQ78" s="206"/>
      <c r="AR78" s="206"/>
      <c r="AS78" s="206"/>
      <c r="AV78" s="206"/>
      <c r="AW78" s="206"/>
      <c r="AX78" s="206"/>
      <c r="AY78" s="206"/>
      <c r="AZ78" s="206"/>
      <c r="BD78" s="206"/>
      <c r="BF78" s="206"/>
    </row>
    <row r="79" spans="1:100" x14ac:dyDescent="0.2">
      <c r="A79" s="220">
        <v>0</v>
      </c>
      <c r="B79" s="220">
        <v>0</v>
      </c>
      <c r="C79" s="206" t="s">
        <v>425</v>
      </c>
      <c r="D79" s="206" t="s">
        <v>432</v>
      </c>
      <c r="E79" s="192">
        <v>46.91</v>
      </c>
      <c r="F79" s="206" t="s">
        <v>430</v>
      </c>
      <c r="G79" s="206"/>
      <c r="H79" s="206"/>
      <c r="I79" s="206"/>
      <c r="J79"/>
      <c r="K79"/>
      <c r="L79" s="206"/>
      <c r="M79" s="206"/>
      <c r="N79" s="206"/>
      <c r="O79" s="192">
        <v>6.69</v>
      </c>
      <c r="P79" s="192">
        <v>5.5</v>
      </c>
      <c r="Q79" s="206" t="s">
        <v>434</v>
      </c>
      <c r="R79" s="206" t="s">
        <v>435</v>
      </c>
      <c r="S79" s="206">
        <v>793399.28449999995</v>
      </c>
      <c r="T79" s="206">
        <v>2187777.4939999999</v>
      </c>
      <c r="U79" s="206">
        <v>793443.12679999997</v>
      </c>
      <c r="V79" s="206">
        <v>2187760.8119999999</v>
      </c>
      <c r="W79" s="206"/>
      <c r="X79" s="206"/>
      <c r="Y79" s="206"/>
      <c r="Z79" s="206"/>
      <c r="AA79" s="206"/>
      <c r="AB79" s="206" t="s">
        <v>432</v>
      </c>
      <c r="AC79" s="206" t="s">
        <v>434</v>
      </c>
      <c r="AD79" s="206"/>
      <c r="AL79" s="206"/>
      <c r="AM79" s="206"/>
      <c r="AN79" s="206"/>
      <c r="AO79" s="206"/>
      <c r="AP79" s="206"/>
      <c r="AQ79" s="206"/>
      <c r="AR79" s="206"/>
      <c r="AS79" s="206"/>
      <c r="AV79" s="206"/>
      <c r="AW79" s="206"/>
      <c r="AX79" s="206"/>
      <c r="AY79" s="206"/>
      <c r="AZ79" s="206"/>
      <c r="BD79" s="206"/>
      <c r="BF79" s="206"/>
    </row>
    <row r="80" spans="1:100" x14ac:dyDescent="0.2">
      <c r="A80" s="220">
        <v>0</v>
      </c>
      <c r="B80" s="220">
        <v>0</v>
      </c>
      <c r="C80" s="206" t="s">
        <v>425</v>
      </c>
      <c r="D80" s="206" t="s">
        <v>434</v>
      </c>
      <c r="E80" s="192">
        <v>47.7</v>
      </c>
      <c r="F80" s="206" t="s">
        <v>432</v>
      </c>
      <c r="G80" s="206"/>
      <c r="H80" s="206"/>
      <c r="I80" s="206"/>
      <c r="J80"/>
      <c r="K80"/>
      <c r="L80" s="206"/>
      <c r="M80" s="206"/>
      <c r="N80" s="206"/>
      <c r="O80" s="192">
        <v>5.5</v>
      </c>
      <c r="P80" s="192">
        <v>4.5</v>
      </c>
      <c r="Q80" s="206" t="s">
        <v>436</v>
      </c>
      <c r="R80" s="206" t="s">
        <v>437</v>
      </c>
      <c r="S80" s="206">
        <v>793443.12679999997</v>
      </c>
      <c r="T80" s="206">
        <v>2187760.8119999999</v>
      </c>
      <c r="U80" s="206">
        <v>793487.67150000005</v>
      </c>
      <c r="V80" s="206">
        <v>2187743.7489999998</v>
      </c>
      <c r="W80" s="206"/>
      <c r="X80" s="206"/>
      <c r="Y80" s="206"/>
      <c r="Z80" s="206"/>
      <c r="AA80" s="206"/>
      <c r="AB80" s="206" t="s">
        <v>434</v>
      </c>
      <c r="AC80" s="206" t="s">
        <v>436</v>
      </c>
      <c r="AD80" s="206"/>
      <c r="AL80" s="206"/>
      <c r="AM80" s="206"/>
      <c r="AN80" s="206"/>
      <c r="AO80" s="206"/>
      <c r="AP80" s="206"/>
      <c r="AQ80" s="206"/>
      <c r="AR80" s="206"/>
      <c r="AS80" s="206"/>
      <c r="AV80" s="206"/>
      <c r="AW80" s="206"/>
      <c r="AX80" s="206"/>
      <c r="AY80" s="206"/>
      <c r="AZ80" s="206"/>
      <c r="BD80" s="206"/>
      <c r="BF80" s="206"/>
    </row>
    <row r="81" spans="1:100" x14ac:dyDescent="0.2">
      <c r="A81" s="220">
        <v>0</v>
      </c>
      <c r="B81" s="220">
        <v>0</v>
      </c>
      <c r="C81" s="206" t="s">
        <v>425</v>
      </c>
      <c r="D81" s="206" t="s">
        <v>436</v>
      </c>
      <c r="E81" s="192">
        <v>52.4</v>
      </c>
      <c r="F81" s="206" t="s">
        <v>434</v>
      </c>
      <c r="G81" s="206"/>
      <c r="H81" s="206"/>
      <c r="I81" s="206"/>
      <c r="J81"/>
      <c r="K81"/>
      <c r="L81" s="206"/>
      <c r="M81" s="206"/>
      <c r="N81" s="206"/>
      <c r="O81" s="192">
        <v>4.5</v>
      </c>
      <c r="P81" s="192">
        <v>3.5</v>
      </c>
      <c r="Q81" s="206" t="s">
        <v>438</v>
      </c>
      <c r="R81" s="206" t="s">
        <v>439</v>
      </c>
      <c r="S81" s="206">
        <v>793487.67150000005</v>
      </c>
      <c r="T81" s="206">
        <v>2187743.7489999998</v>
      </c>
      <c r="U81" s="206">
        <v>793536.62289999996</v>
      </c>
      <c r="V81" s="206">
        <v>2187725.04</v>
      </c>
      <c r="W81" s="206"/>
      <c r="X81" s="206"/>
      <c r="Y81" s="206"/>
      <c r="Z81" s="206"/>
      <c r="AA81" s="206"/>
      <c r="AB81" s="206" t="s">
        <v>436</v>
      </c>
      <c r="AC81" s="206" t="s">
        <v>438</v>
      </c>
      <c r="AD81" s="206"/>
      <c r="AL81" s="206"/>
      <c r="AM81" s="206"/>
      <c r="AN81" s="206"/>
      <c r="AO81" s="206"/>
      <c r="AP81" s="206"/>
      <c r="AQ81" s="206"/>
      <c r="AR81" s="206"/>
      <c r="AS81" s="206"/>
      <c r="AV81" s="206"/>
      <c r="AW81" s="206"/>
      <c r="AX81" s="206"/>
      <c r="AY81" s="206"/>
      <c r="AZ81" s="206"/>
      <c r="BD81" s="206"/>
      <c r="BF81" s="206"/>
    </row>
    <row r="82" spans="1:100" x14ac:dyDescent="0.2">
      <c r="A82" s="220">
        <v>0</v>
      </c>
      <c r="B82" s="220">
        <v>0</v>
      </c>
      <c r="C82" s="206" t="s">
        <v>425</v>
      </c>
      <c r="D82" s="206" t="s">
        <v>438</v>
      </c>
      <c r="E82" s="192">
        <v>52.94</v>
      </c>
      <c r="F82" s="206" t="s">
        <v>436</v>
      </c>
      <c r="G82" s="206"/>
      <c r="H82" s="206"/>
      <c r="I82" s="206"/>
      <c r="J82"/>
      <c r="K82"/>
      <c r="L82" s="206"/>
      <c r="M82" s="206"/>
      <c r="N82" s="206"/>
      <c r="O82" s="192">
        <v>3.5</v>
      </c>
      <c r="P82" s="192">
        <v>2.74</v>
      </c>
      <c r="Q82" s="206" t="s">
        <v>440</v>
      </c>
      <c r="R82" s="206" t="s">
        <v>441</v>
      </c>
      <c r="S82" s="206">
        <v>793536.62289999996</v>
      </c>
      <c r="T82" s="206">
        <v>2187725.04</v>
      </c>
      <c r="U82" s="206">
        <v>793586.36710000003</v>
      </c>
      <c r="V82" s="206">
        <v>2187706.9130000002</v>
      </c>
      <c r="W82" s="206"/>
      <c r="X82" s="206"/>
      <c r="Y82" s="206"/>
      <c r="Z82" s="206"/>
      <c r="AA82" s="206"/>
      <c r="AB82" s="206" t="s">
        <v>438</v>
      </c>
      <c r="AC82" s="206" t="s">
        <v>440</v>
      </c>
      <c r="AD82" s="206"/>
      <c r="AL82" s="206"/>
      <c r="AM82" s="206"/>
      <c r="AN82" s="206"/>
      <c r="AO82" s="206"/>
      <c r="AP82" s="206"/>
      <c r="AQ82" s="206"/>
      <c r="AR82" s="206"/>
      <c r="AS82" s="206"/>
      <c r="AV82" s="206"/>
      <c r="AW82" s="206"/>
      <c r="AX82" s="206"/>
      <c r="AY82" s="206"/>
      <c r="AZ82" s="206"/>
      <c r="BD82" s="206"/>
      <c r="BF82" s="206"/>
    </row>
    <row r="83" spans="1:100" x14ac:dyDescent="0.2">
      <c r="A83" s="220">
        <v>0</v>
      </c>
      <c r="B83" s="220">
        <v>0</v>
      </c>
      <c r="C83" s="206" t="s">
        <v>425</v>
      </c>
      <c r="D83" s="206" t="s">
        <v>440</v>
      </c>
      <c r="E83" s="192">
        <v>51.88</v>
      </c>
      <c r="F83" s="206" t="s">
        <v>438</v>
      </c>
      <c r="G83" s="206"/>
      <c r="H83" s="206"/>
      <c r="I83" s="206"/>
      <c r="J83"/>
      <c r="K83"/>
      <c r="L83" s="206"/>
      <c r="M83" s="206"/>
      <c r="N83" s="206"/>
      <c r="O83" s="192">
        <v>2.74</v>
      </c>
      <c r="P83" s="192">
        <v>2.15</v>
      </c>
      <c r="Q83" s="206" t="s">
        <v>442</v>
      </c>
      <c r="R83" s="206" t="s">
        <v>443</v>
      </c>
      <c r="S83" s="206">
        <v>793586.36710000003</v>
      </c>
      <c r="T83" s="206">
        <v>2187706.9130000002</v>
      </c>
      <c r="U83" s="206">
        <v>793635.23800000001</v>
      </c>
      <c r="V83" s="206">
        <v>2187689.5079999999</v>
      </c>
      <c r="W83" s="206"/>
      <c r="X83" s="206"/>
      <c r="Y83" s="206"/>
      <c r="Z83" s="206"/>
      <c r="AA83" s="206"/>
      <c r="AB83" s="206" t="s">
        <v>440</v>
      </c>
      <c r="AC83" s="206" t="s">
        <v>442</v>
      </c>
      <c r="AD83" s="206"/>
      <c r="AL83" s="206"/>
      <c r="AM83" s="206"/>
      <c r="AN83" s="206"/>
      <c r="AO83" s="206"/>
      <c r="AP83" s="206"/>
      <c r="AQ83" s="206"/>
      <c r="AR83" s="206"/>
      <c r="AS83" s="206"/>
      <c r="AV83" s="206"/>
      <c r="AW83" s="206"/>
      <c r="AX83" s="206"/>
      <c r="AY83" s="206"/>
      <c r="AZ83" s="206"/>
      <c r="BD83" s="206"/>
      <c r="BF83" s="206"/>
    </row>
    <row r="84" spans="1:100" x14ac:dyDescent="0.2">
      <c r="A84" s="220">
        <v>0</v>
      </c>
      <c r="B84" s="220">
        <v>0</v>
      </c>
      <c r="C84" s="206" t="s">
        <v>425</v>
      </c>
      <c r="D84" s="206" t="s">
        <v>442</v>
      </c>
      <c r="E84" s="192">
        <v>67.349999999999994</v>
      </c>
      <c r="F84" s="206" t="s">
        <v>440</v>
      </c>
      <c r="G84" s="206"/>
      <c r="H84" s="206"/>
      <c r="I84" s="206"/>
      <c r="J84"/>
      <c r="K84"/>
      <c r="L84" s="206"/>
      <c r="M84" s="206"/>
      <c r="N84" s="206"/>
      <c r="O84" s="192">
        <v>2.15</v>
      </c>
      <c r="P84" s="192">
        <v>1.1000000000000001</v>
      </c>
      <c r="Q84" s="206" t="s">
        <v>309</v>
      </c>
      <c r="R84" s="206" t="s">
        <v>444</v>
      </c>
      <c r="S84" s="206">
        <v>793635.23800000001</v>
      </c>
      <c r="T84" s="206">
        <v>2187689.5079999999</v>
      </c>
      <c r="U84" s="206">
        <v>793697.99029999995</v>
      </c>
      <c r="V84" s="206">
        <v>2187665.0580000002</v>
      </c>
      <c r="W84" s="206"/>
      <c r="X84" s="206"/>
      <c r="Y84" s="206"/>
      <c r="Z84" s="206"/>
      <c r="AA84" s="206"/>
      <c r="AB84" s="206" t="s">
        <v>442</v>
      </c>
      <c r="AC84" s="206" t="s">
        <v>309</v>
      </c>
      <c r="AD84" s="206"/>
      <c r="AL84" s="206"/>
      <c r="AM84" s="206"/>
      <c r="AN84" s="206"/>
      <c r="AO84" s="206"/>
      <c r="AP84" s="206"/>
      <c r="AQ84" s="206"/>
      <c r="AR84" s="206"/>
      <c r="AS84" s="206"/>
      <c r="AV84" s="206"/>
      <c r="AW84" s="206"/>
      <c r="AX84" s="206"/>
      <c r="AY84" s="206"/>
      <c r="AZ84" s="206"/>
      <c r="BD84" s="206"/>
      <c r="BF84" s="206"/>
    </row>
    <row r="85" spans="1:100" x14ac:dyDescent="0.2">
      <c r="A85" s="220">
        <v>0</v>
      </c>
      <c r="B85" s="220">
        <v>1</v>
      </c>
      <c r="C85" s="206" t="s">
        <v>425</v>
      </c>
      <c r="D85" s="206" t="s">
        <v>309</v>
      </c>
      <c r="E85" s="192">
        <v>56.85</v>
      </c>
      <c r="F85" s="206" t="s">
        <v>442</v>
      </c>
      <c r="G85" s="206"/>
      <c r="H85" s="206"/>
      <c r="I85" s="206"/>
      <c r="J85"/>
      <c r="K85"/>
      <c r="L85" s="206"/>
      <c r="M85" s="206"/>
      <c r="N85" s="206"/>
      <c r="O85" s="192">
        <v>1.1000000000000001</v>
      </c>
      <c r="P85" s="192">
        <v>1</v>
      </c>
      <c r="Q85" s="206" t="s">
        <v>307</v>
      </c>
      <c r="R85" s="206" t="s">
        <v>445</v>
      </c>
      <c r="S85" s="206">
        <v>793697.99029999995</v>
      </c>
      <c r="T85" s="206">
        <v>2187665.0580000002</v>
      </c>
      <c r="U85" s="206">
        <v>793752.55229999998</v>
      </c>
      <c r="V85" s="206">
        <v>2187649.0989999999</v>
      </c>
      <c r="W85" s="206"/>
      <c r="X85" s="206"/>
      <c r="Y85" s="206"/>
      <c r="Z85" s="206"/>
      <c r="AA85" s="206"/>
      <c r="AB85" s="206" t="s">
        <v>309</v>
      </c>
      <c r="AC85" s="206" t="s">
        <v>307</v>
      </c>
      <c r="AD85" s="206"/>
      <c r="AL85" s="206"/>
      <c r="AM85" s="206"/>
      <c r="AN85" s="206"/>
      <c r="AO85" s="206"/>
      <c r="AP85" s="206"/>
      <c r="AQ85" s="206"/>
      <c r="AR85" s="206"/>
      <c r="AS85" s="206"/>
      <c r="AV85" s="206"/>
      <c r="AW85" s="206"/>
      <c r="AX85" s="206"/>
      <c r="AY85" s="206"/>
      <c r="AZ85" s="206"/>
      <c r="BD85" s="206"/>
      <c r="BF85" s="206"/>
    </row>
    <row r="86" spans="1:100" x14ac:dyDescent="0.2">
      <c r="A86" s="220">
        <v>1</v>
      </c>
      <c r="B86" s="220">
        <v>0</v>
      </c>
      <c r="C86" s="206" t="s">
        <v>446</v>
      </c>
      <c r="D86" s="206" t="s">
        <v>447</v>
      </c>
      <c r="E86" s="192">
        <v>43.1</v>
      </c>
      <c r="F86" s="206"/>
      <c r="G86" s="206"/>
      <c r="H86" s="206"/>
      <c r="I86" s="206"/>
      <c r="J86"/>
      <c r="K86"/>
      <c r="L86" s="206"/>
      <c r="M86" s="206"/>
      <c r="N86" s="206"/>
      <c r="O86" s="192">
        <v>1</v>
      </c>
      <c r="P86" s="192">
        <v>1.19</v>
      </c>
      <c r="Q86" s="206" t="s">
        <v>448</v>
      </c>
      <c r="R86" s="206" t="s">
        <v>449</v>
      </c>
      <c r="S86" s="206">
        <v>793818.9179</v>
      </c>
      <c r="T86" s="206">
        <v>2188049.611</v>
      </c>
      <c r="U86" s="206">
        <v>793811.51049999997</v>
      </c>
      <c r="V86" s="206">
        <v>2188007.1540000001</v>
      </c>
      <c r="W86" s="206"/>
      <c r="X86" s="206"/>
      <c r="Y86" s="206"/>
      <c r="Z86" s="206"/>
      <c r="AA86" s="206"/>
      <c r="AB86" s="206" t="s">
        <v>447</v>
      </c>
      <c r="AC86" s="206" t="s">
        <v>448</v>
      </c>
      <c r="AD86" s="206"/>
      <c r="AL86" s="206"/>
      <c r="AM86" s="206"/>
      <c r="AN86" s="206"/>
      <c r="AO86" s="206"/>
      <c r="AP86" s="206"/>
      <c r="AQ86" s="206"/>
      <c r="AR86" s="206"/>
      <c r="AS86" s="206"/>
      <c r="AV86" s="206"/>
      <c r="AW86" s="206"/>
      <c r="AX86" s="206"/>
      <c r="AY86" s="206"/>
      <c r="AZ86" s="206"/>
      <c r="BD86" s="206"/>
      <c r="BF86" s="206"/>
    </row>
    <row r="87" spans="1:100" x14ac:dyDescent="0.2">
      <c r="A87" s="220">
        <v>0</v>
      </c>
      <c r="B87" s="220">
        <v>0</v>
      </c>
      <c r="C87" s="206" t="s">
        <v>446</v>
      </c>
      <c r="D87" s="206" t="s">
        <v>448</v>
      </c>
      <c r="E87" s="192">
        <v>71.260000000000005</v>
      </c>
      <c r="F87" s="206" t="s">
        <v>447</v>
      </c>
      <c r="G87" s="206"/>
      <c r="H87" s="206"/>
      <c r="I87" s="206"/>
      <c r="J87"/>
      <c r="K87"/>
      <c r="L87" s="206"/>
      <c r="M87" s="206"/>
      <c r="N87" s="206"/>
      <c r="O87" s="192">
        <v>1.19</v>
      </c>
      <c r="P87" s="192">
        <v>1</v>
      </c>
      <c r="Q87" s="206" t="s">
        <v>450</v>
      </c>
      <c r="R87" s="206" t="s">
        <v>451</v>
      </c>
      <c r="S87" s="206">
        <v>793811.51049999997</v>
      </c>
      <c r="T87" s="206">
        <v>2188007.1540000001</v>
      </c>
      <c r="U87" s="206">
        <v>793799.22499999998</v>
      </c>
      <c r="V87" s="206">
        <v>2187936.9640000002</v>
      </c>
      <c r="W87" s="206"/>
      <c r="X87" s="206"/>
      <c r="Y87" s="206"/>
      <c r="Z87" s="206"/>
      <c r="AA87" s="206"/>
      <c r="AB87" s="206" t="s">
        <v>448</v>
      </c>
      <c r="AC87" s="206" t="s">
        <v>450</v>
      </c>
      <c r="AD87" s="206"/>
      <c r="AL87" s="206"/>
      <c r="AM87" s="206"/>
      <c r="AN87" s="206"/>
      <c r="AO87" s="206"/>
      <c r="AP87" s="206"/>
      <c r="AQ87" s="206"/>
      <c r="AR87" s="206"/>
      <c r="AS87" s="206"/>
      <c r="AV87" s="206"/>
      <c r="AW87" s="206"/>
      <c r="AX87" s="206"/>
      <c r="AY87" s="206"/>
      <c r="AZ87" s="206"/>
      <c r="BD87" s="206"/>
      <c r="BF87" s="206"/>
    </row>
    <row r="88" spans="1:100" x14ac:dyDescent="0.2">
      <c r="A88" s="220">
        <v>0</v>
      </c>
      <c r="B88" s="220">
        <v>0</v>
      </c>
      <c r="C88" s="206" t="s">
        <v>446</v>
      </c>
      <c r="D88" s="206" t="s">
        <v>450</v>
      </c>
      <c r="E88" s="192">
        <v>56.49</v>
      </c>
      <c r="F88" s="206" t="s">
        <v>448</v>
      </c>
      <c r="G88" s="206"/>
      <c r="H88" s="206"/>
      <c r="I88" s="206"/>
      <c r="J88"/>
      <c r="K88"/>
      <c r="L88" s="206"/>
      <c r="M88" s="206"/>
      <c r="N88" s="206"/>
      <c r="O88" s="192">
        <v>1</v>
      </c>
      <c r="P88" s="192">
        <v>1</v>
      </c>
      <c r="Q88" s="206" t="s">
        <v>452</v>
      </c>
      <c r="R88" s="206" t="s">
        <v>453</v>
      </c>
      <c r="S88" s="206">
        <v>793799.22499999998</v>
      </c>
      <c r="T88" s="206">
        <v>2187936.9640000002</v>
      </c>
      <c r="U88" s="206">
        <v>793791.41110000003</v>
      </c>
      <c r="V88" s="206">
        <v>2187881.017</v>
      </c>
      <c r="W88" s="206"/>
      <c r="X88" s="206"/>
      <c r="Y88" s="206"/>
      <c r="Z88" s="206"/>
      <c r="AA88" s="206"/>
      <c r="AB88" s="206" t="s">
        <v>450</v>
      </c>
      <c r="AC88" s="206" t="s">
        <v>452</v>
      </c>
      <c r="AD88" s="206"/>
      <c r="AL88" s="206"/>
      <c r="AM88" s="206"/>
      <c r="AN88" s="206"/>
      <c r="AO88" s="206"/>
      <c r="AP88" s="206"/>
      <c r="AQ88" s="206"/>
      <c r="AR88" s="206"/>
      <c r="AS88" s="206"/>
      <c r="AV88" s="206"/>
      <c r="AW88" s="206"/>
      <c r="AX88" s="206"/>
      <c r="AY88" s="206"/>
      <c r="AZ88" s="206"/>
      <c r="BD88" s="206"/>
      <c r="BF88" s="206"/>
    </row>
    <row r="89" spans="1:100" x14ac:dyDescent="0.2">
      <c r="A89" s="220">
        <v>0</v>
      </c>
      <c r="B89" s="220">
        <v>0</v>
      </c>
      <c r="C89" s="206" t="s">
        <v>446</v>
      </c>
      <c r="D89" s="206" t="s">
        <v>452</v>
      </c>
      <c r="E89" s="192">
        <v>56.03</v>
      </c>
      <c r="F89" s="206" t="s">
        <v>450</v>
      </c>
      <c r="G89" s="206"/>
      <c r="H89" s="206"/>
      <c r="I89" s="206"/>
      <c r="J89"/>
      <c r="K89"/>
      <c r="L89" s="206"/>
      <c r="M89" s="206"/>
      <c r="N89" s="206"/>
      <c r="O89" s="192">
        <v>1</v>
      </c>
      <c r="P89" s="192">
        <v>0.81</v>
      </c>
      <c r="Q89" s="206" t="s">
        <v>340</v>
      </c>
      <c r="R89" s="206" t="s">
        <v>454</v>
      </c>
      <c r="S89" s="206">
        <v>793791.41110000003</v>
      </c>
      <c r="T89" s="206">
        <v>2187881.017</v>
      </c>
      <c r="U89" s="206">
        <v>793846.80119999999</v>
      </c>
      <c r="V89" s="206">
        <v>2187872.571</v>
      </c>
      <c r="W89" s="206"/>
      <c r="X89" s="206"/>
      <c r="Y89" s="206"/>
      <c r="Z89" s="206"/>
      <c r="AA89" s="206"/>
      <c r="AB89" s="206" t="s">
        <v>452</v>
      </c>
      <c r="AC89" s="206" t="s">
        <v>340</v>
      </c>
      <c r="AD89" s="206"/>
      <c r="AL89" s="206"/>
      <c r="AM89" s="206"/>
      <c r="AN89" s="206"/>
      <c r="AO89" s="206"/>
      <c r="AP89" s="206"/>
      <c r="AQ89" s="206"/>
      <c r="AR89" s="206"/>
      <c r="AS89" s="206"/>
      <c r="AV89" s="206"/>
      <c r="AW89" s="206"/>
      <c r="AX89" s="206"/>
      <c r="AY89" s="206"/>
      <c r="AZ89" s="206"/>
      <c r="BD89" s="206"/>
      <c r="BF89" s="206"/>
    </row>
    <row r="90" spans="1:100" x14ac:dyDescent="0.2">
      <c r="A90" s="220">
        <v>0</v>
      </c>
      <c r="B90" s="220">
        <v>1</v>
      </c>
      <c r="C90" s="206" t="s">
        <v>446</v>
      </c>
      <c r="D90" s="206" t="s">
        <v>340</v>
      </c>
      <c r="E90" s="192">
        <v>41.09</v>
      </c>
      <c r="F90" s="206" t="s">
        <v>452</v>
      </c>
      <c r="G90" s="206" t="s">
        <v>339</v>
      </c>
      <c r="H90" s="206"/>
      <c r="I90" s="206"/>
      <c r="J90" s="206"/>
      <c r="K90" s="206"/>
      <c r="L90" s="206"/>
      <c r="M90" s="206"/>
      <c r="N90" s="206"/>
      <c r="O90" s="192">
        <v>0.81</v>
      </c>
      <c r="P90" s="192">
        <v>0.69</v>
      </c>
      <c r="Q90" s="206" t="s">
        <v>359</v>
      </c>
      <c r="R90" s="206" t="s">
        <v>455</v>
      </c>
      <c r="S90" s="206">
        <v>793846.80119999999</v>
      </c>
      <c r="T90" s="206">
        <v>2187872.571</v>
      </c>
      <c r="U90" s="206">
        <v>793887.15049999999</v>
      </c>
      <c r="V90" s="206">
        <v>2187864.8020000001</v>
      </c>
      <c r="W90" s="206"/>
      <c r="X90" s="206"/>
      <c r="Y90" s="206"/>
      <c r="Z90" s="206"/>
      <c r="AA90" s="206"/>
      <c r="AB90" s="206" t="s">
        <v>340</v>
      </c>
      <c r="AC90" s="206" t="s">
        <v>359</v>
      </c>
      <c r="AD90" s="206"/>
      <c r="AL90" s="206"/>
      <c r="AM90" s="206"/>
      <c r="AN90" s="206"/>
      <c r="AO90" s="206"/>
      <c r="AP90" s="206"/>
      <c r="AQ90" s="206"/>
      <c r="AR90" s="206"/>
      <c r="AS90" s="206"/>
      <c r="AV90" s="206"/>
      <c r="AW90" s="206"/>
      <c r="AX90" s="206"/>
      <c r="AY90" s="206"/>
      <c r="AZ90" s="206"/>
      <c r="BA90" s="206"/>
      <c r="BB90" s="206"/>
      <c r="BD90" s="206"/>
      <c r="BF90" s="206"/>
      <c r="BG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  <c r="BY90" s="201"/>
      <c r="BZ90" s="201"/>
      <c r="CA90" s="201"/>
      <c r="CB90" s="201"/>
      <c r="CC90" s="201"/>
      <c r="CD90" s="201"/>
      <c r="CE90" s="201"/>
      <c r="CF90" s="201"/>
      <c r="CG90" s="201"/>
      <c r="CH90" s="201"/>
      <c r="CI90" s="201"/>
      <c r="CJ90" s="201"/>
      <c r="CK90" s="201"/>
      <c r="CL90" s="201"/>
      <c r="CM90" s="201"/>
      <c r="CN90" s="201"/>
      <c r="CO90" s="201"/>
      <c r="CP90" s="201"/>
      <c r="CQ90" s="201"/>
      <c r="CR90" s="201"/>
      <c r="CS90" s="201"/>
      <c r="CT90" s="201"/>
      <c r="CU90" s="201"/>
      <c r="CV90" s="201"/>
    </row>
    <row r="91" spans="1:100" x14ac:dyDescent="0.2">
      <c r="A91" s="220">
        <v>0</v>
      </c>
      <c r="B91" s="220">
        <v>0</v>
      </c>
      <c r="C91" s="206" t="s">
        <v>446</v>
      </c>
      <c r="D91" s="206" t="s">
        <v>456</v>
      </c>
      <c r="E91" s="192">
        <v>56.09</v>
      </c>
      <c r="F91" s="206"/>
      <c r="G91" s="206" t="s">
        <v>457</v>
      </c>
      <c r="H91" s="206"/>
      <c r="I91" s="206" t="s">
        <v>458</v>
      </c>
      <c r="J91" s="206">
        <v>1566</v>
      </c>
      <c r="K91" s="206">
        <v>443</v>
      </c>
      <c r="L91" s="206"/>
      <c r="M91" s="206"/>
      <c r="N91" s="206"/>
      <c r="O91" s="192">
        <v>2.34</v>
      </c>
      <c r="P91" s="192">
        <v>1.1100000000000001</v>
      </c>
      <c r="Q91" s="206" t="s">
        <v>310</v>
      </c>
      <c r="R91" s="206" t="s">
        <v>459</v>
      </c>
      <c r="S91" s="206">
        <v>793779.41969999997</v>
      </c>
      <c r="T91" s="206">
        <v>2187727.2829999998</v>
      </c>
      <c r="U91" s="206">
        <v>793764.90989999997</v>
      </c>
      <c r="V91" s="206">
        <v>2187673.1030000001</v>
      </c>
      <c r="W91" s="206"/>
      <c r="X91" s="206"/>
      <c r="Y91" s="206"/>
      <c r="Z91" s="206"/>
      <c r="AA91" s="206"/>
      <c r="AB91" s="206" t="s">
        <v>456</v>
      </c>
      <c r="AC91" s="206" t="s">
        <v>310</v>
      </c>
      <c r="AD91" s="206"/>
      <c r="AL91" s="206"/>
      <c r="AM91" s="206"/>
      <c r="AN91" s="206"/>
      <c r="AO91" s="206"/>
      <c r="AP91" s="206"/>
      <c r="AQ91" s="206"/>
      <c r="AR91" s="206"/>
      <c r="AS91" s="206"/>
      <c r="AV91" s="206"/>
      <c r="AW91" s="206"/>
      <c r="AX91" s="206"/>
      <c r="AY91" s="206"/>
      <c r="AZ91" s="206"/>
      <c r="BA91" s="206"/>
      <c r="BB91" s="206"/>
      <c r="BD91" s="206"/>
      <c r="BF91" s="206"/>
      <c r="BG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  <c r="BY91" s="201"/>
      <c r="BZ91" s="201"/>
      <c r="CA91" s="201"/>
      <c r="CB91" s="201"/>
      <c r="CC91" s="201"/>
      <c r="CD91" s="201"/>
      <c r="CE91" s="201"/>
      <c r="CF91" s="201"/>
      <c r="CG91" s="201"/>
      <c r="CH91" s="201"/>
      <c r="CI91" s="201"/>
      <c r="CJ91" s="201"/>
      <c r="CK91" s="201"/>
      <c r="CL91" s="201"/>
      <c r="CM91" s="201"/>
      <c r="CN91" s="201"/>
      <c r="CO91" s="201"/>
      <c r="CP91" s="201"/>
      <c r="CQ91" s="201"/>
      <c r="CR91" s="201"/>
      <c r="CS91" s="201"/>
      <c r="CT91" s="201"/>
      <c r="CU91" s="201"/>
      <c r="CV91" s="201"/>
    </row>
    <row r="92" spans="1:100" x14ac:dyDescent="0.2">
      <c r="A92" s="220">
        <v>0</v>
      </c>
      <c r="B92" s="220">
        <v>1</v>
      </c>
      <c r="C92" s="206" t="s">
        <v>446</v>
      </c>
      <c r="D92" s="206" t="s">
        <v>310</v>
      </c>
      <c r="E92" s="192">
        <v>27</v>
      </c>
      <c r="F92" s="206" t="s">
        <v>456</v>
      </c>
      <c r="G92" s="206"/>
      <c r="H92" s="206"/>
      <c r="I92" s="206"/>
      <c r="J92"/>
      <c r="K92"/>
      <c r="L92" s="206"/>
      <c r="M92" s="206"/>
      <c r="N92" s="206"/>
      <c r="O92" s="192">
        <v>1.1100000000000001</v>
      </c>
      <c r="P92" s="192">
        <v>1</v>
      </c>
      <c r="Q92" s="206" t="s">
        <v>307</v>
      </c>
      <c r="R92" s="206" t="s">
        <v>460</v>
      </c>
      <c r="S92" s="206">
        <v>793764.90989999997</v>
      </c>
      <c r="T92" s="206">
        <v>2187673.1030000001</v>
      </c>
      <c r="U92" s="206">
        <v>793752.55229999998</v>
      </c>
      <c r="V92" s="206">
        <v>2187649.0989999999</v>
      </c>
      <c r="W92" s="206"/>
      <c r="X92" s="206"/>
      <c r="Y92" s="206"/>
      <c r="Z92" s="206"/>
      <c r="AA92" s="206"/>
      <c r="AB92" s="206" t="s">
        <v>310</v>
      </c>
      <c r="AC92" s="206" t="s">
        <v>307</v>
      </c>
      <c r="AD92" s="206"/>
      <c r="AL92" s="206"/>
      <c r="AM92" s="206"/>
      <c r="AN92" s="206"/>
      <c r="AO92" s="206"/>
      <c r="AP92" s="206"/>
      <c r="AQ92" s="206"/>
      <c r="AR92" s="206"/>
      <c r="AS92" s="206"/>
      <c r="AV92" s="206"/>
      <c r="AW92" s="206"/>
      <c r="AX92" s="206"/>
      <c r="AY92" s="206"/>
      <c r="AZ92" s="206"/>
      <c r="BD92" s="206"/>
      <c r="BF92" s="206"/>
    </row>
    <row r="93" spans="1:100" x14ac:dyDescent="0.2">
      <c r="A93" s="220">
        <v>1</v>
      </c>
      <c r="B93" s="220">
        <v>0</v>
      </c>
      <c r="C93" s="206" t="s">
        <v>461</v>
      </c>
      <c r="D93" s="206" t="s">
        <v>462</v>
      </c>
      <c r="E93" s="192">
        <v>47.17</v>
      </c>
      <c r="F93" s="206"/>
      <c r="G93" s="206"/>
      <c r="H93" s="206"/>
      <c r="I93" s="206" t="s">
        <v>463</v>
      </c>
      <c r="J93">
        <v>1025</v>
      </c>
      <c r="K93">
        <v>435</v>
      </c>
      <c r="L93" s="206"/>
      <c r="M93" s="206">
        <v>1</v>
      </c>
      <c r="N93" s="206"/>
      <c r="O93" s="192">
        <v>1.77</v>
      </c>
      <c r="P93" s="192">
        <v>1.29</v>
      </c>
      <c r="Q93" s="206" t="s">
        <v>464</v>
      </c>
      <c r="R93" s="206" t="s">
        <v>465</v>
      </c>
      <c r="S93" s="206">
        <v>793767.83920000005</v>
      </c>
      <c r="T93" s="206">
        <v>2188056.801</v>
      </c>
      <c r="U93" s="206">
        <v>793761.30779999995</v>
      </c>
      <c r="V93" s="206">
        <v>2188010.0869999998</v>
      </c>
      <c r="W93" s="206"/>
      <c r="X93" s="206"/>
      <c r="Y93" s="206"/>
      <c r="Z93" s="206"/>
      <c r="AA93" s="206"/>
      <c r="AB93" s="206" t="s">
        <v>462</v>
      </c>
      <c r="AC93" s="206" t="s">
        <v>464</v>
      </c>
      <c r="AD93" s="206"/>
      <c r="AL93" s="206"/>
      <c r="AM93" s="206"/>
      <c r="AN93" s="206"/>
      <c r="AO93" s="206"/>
      <c r="AP93" s="206"/>
      <c r="AQ93" s="206"/>
      <c r="AR93" s="206"/>
      <c r="AS93" s="206"/>
      <c r="AV93" s="206"/>
      <c r="AW93" s="206"/>
      <c r="AX93" s="206"/>
      <c r="AY93" s="206"/>
      <c r="AZ93" s="206"/>
      <c r="BD93" s="206"/>
      <c r="BF93" s="206"/>
    </row>
    <row r="94" spans="1:100" x14ac:dyDescent="0.2">
      <c r="A94" s="220">
        <v>0</v>
      </c>
      <c r="B94" s="220">
        <v>0</v>
      </c>
      <c r="C94" s="206" t="s">
        <v>461</v>
      </c>
      <c r="D94" s="206" t="s">
        <v>464</v>
      </c>
      <c r="E94" s="192">
        <v>68.010000000000005</v>
      </c>
      <c r="F94" s="206" t="s">
        <v>462</v>
      </c>
      <c r="G94" s="206"/>
      <c r="H94" s="206"/>
      <c r="I94" s="206"/>
      <c r="J94" s="206"/>
      <c r="K94" s="206"/>
      <c r="L94" s="206"/>
      <c r="M94" s="206">
        <v>1</v>
      </c>
      <c r="N94" s="206"/>
      <c r="O94" s="192">
        <v>1.29</v>
      </c>
      <c r="P94" s="192">
        <v>1</v>
      </c>
      <c r="Q94" s="206" t="s">
        <v>466</v>
      </c>
      <c r="R94" s="206" t="s">
        <v>467</v>
      </c>
      <c r="S94" s="206">
        <v>793761.30779999995</v>
      </c>
      <c r="T94" s="206">
        <v>2188010.0869999998</v>
      </c>
      <c r="U94" s="206">
        <v>793750.70039999997</v>
      </c>
      <c r="V94" s="206">
        <v>2187942.9109999998</v>
      </c>
      <c r="W94" s="206"/>
      <c r="X94" s="206"/>
      <c r="Y94" s="206"/>
      <c r="Z94" s="206"/>
      <c r="AA94" s="206"/>
      <c r="AB94" s="206" t="s">
        <v>464</v>
      </c>
      <c r="AC94" s="206" t="s">
        <v>466</v>
      </c>
      <c r="AD94" s="206"/>
      <c r="AL94" s="206"/>
      <c r="AM94" s="206"/>
      <c r="AN94" s="206"/>
      <c r="AO94" s="206"/>
      <c r="AP94" s="206"/>
      <c r="AQ94" s="206"/>
      <c r="AR94" s="206"/>
      <c r="AS94" s="206"/>
      <c r="AV94" s="206"/>
      <c r="AW94" s="206"/>
      <c r="AX94" s="206"/>
      <c r="AY94" s="206"/>
      <c r="AZ94" s="206"/>
      <c r="BA94" s="206"/>
      <c r="BB94" s="206"/>
      <c r="BD94" s="206"/>
      <c r="BF94" s="206"/>
      <c r="BG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  <c r="BY94" s="201"/>
      <c r="BZ94" s="201"/>
      <c r="CA94" s="201"/>
      <c r="CB94" s="201"/>
      <c r="CC94" s="201"/>
      <c r="CD94" s="201"/>
      <c r="CE94" s="201"/>
      <c r="CF94" s="201"/>
      <c r="CG94" s="201"/>
      <c r="CH94" s="201"/>
      <c r="CI94" s="201"/>
      <c r="CJ94" s="201"/>
      <c r="CK94" s="201"/>
      <c r="CL94" s="201"/>
      <c r="CM94" s="201"/>
      <c r="CN94" s="201"/>
      <c r="CO94" s="201"/>
      <c r="CP94" s="201"/>
      <c r="CQ94" s="201"/>
      <c r="CR94" s="201"/>
      <c r="CS94" s="201"/>
      <c r="CT94" s="201"/>
      <c r="CU94" s="201"/>
      <c r="CV94" s="201"/>
    </row>
    <row r="95" spans="1:100" x14ac:dyDescent="0.2">
      <c r="A95" s="220">
        <v>0</v>
      </c>
      <c r="B95" s="220">
        <v>0</v>
      </c>
      <c r="C95" s="206" t="s">
        <v>461</v>
      </c>
      <c r="D95" s="206" t="s">
        <v>466</v>
      </c>
      <c r="E95" s="192">
        <v>56.97</v>
      </c>
      <c r="F95" s="206" t="s">
        <v>464</v>
      </c>
      <c r="G95" s="206" t="s">
        <v>324</v>
      </c>
      <c r="H95" s="206"/>
      <c r="I95" s="206"/>
      <c r="J95"/>
      <c r="K95"/>
      <c r="L95" s="206"/>
      <c r="M95" s="206">
        <v>1</v>
      </c>
      <c r="N95" s="206"/>
      <c r="O95" s="192">
        <v>1</v>
      </c>
      <c r="P95" s="192">
        <v>1</v>
      </c>
      <c r="Q95" s="206" t="s">
        <v>328</v>
      </c>
      <c r="R95" s="206" t="s">
        <v>468</v>
      </c>
      <c r="S95" s="206">
        <v>793750.70039999997</v>
      </c>
      <c r="T95" s="206">
        <v>2187942.9109999998</v>
      </c>
      <c r="U95" s="206">
        <v>793743.54890000005</v>
      </c>
      <c r="V95" s="206">
        <v>2187886.392</v>
      </c>
      <c r="W95" s="206"/>
      <c r="X95" s="206"/>
      <c r="Y95" s="206"/>
      <c r="Z95" s="206"/>
      <c r="AA95" s="206"/>
      <c r="AB95" s="206" t="s">
        <v>466</v>
      </c>
      <c r="AC95" s="206" t="s">
        <v>328</v>
      </c>
      <c r="AD95" s="206"/>
      <c r="AL95" s="206"/>
      <c r="AM95" s="206"/>
      <c r="AN95" s="206"/>
      <c r="AO95" s="206"/>
      <c r="AP95" s="206"/>
      <c r="AQ95" s="206"/>
      <c r="AR95" s="206"/>
      <c r="AS95" s="206"/>
      <c r="AV95" s="206"/>
      <c r="AW95" s="206"/>
      <c r="AX95" s="206"/>
      <c r="AY95" s="206"/>
      <c r="AZ95" s="206"/>
      <c r="BD95" s="206"/>
      <c r="BF95" s="206"/>
    </row>
    <row r="96" spans="1:100" x14ac:dyDescent="0.2">
      <c r="A96" s="220">
        <v>0</v>
      </c>
      <c r="B96" s="220">
        <v>0</v>
      </c>
      <c r="C96" s="206" t="s">
        <v>461</v>
      </c>
      <c r="D96" s="206" t="s">
        <v>328</v>
      </c>
      <c r="E96" s="192">
        <v>37.75</v>
      </c>
      <c r="F96" s="206" t="s">
        <v>466</v>
      </c>
      <c r="G96" s="206" t="s">
        <v>327</v>
      </c>
      <c r="H96" s="206"/>
      <c r="I96" s="206"/>
      <c r="J96"/>
      <c r="K96"/>
      <c r="L96" s="206"/>
      <c r="M96" s="206">
        <v>1</v>
      </c>
      <c r="N96" s="206"/>
      <c r="O96" s="192">
        <v>1</v>
      </c>
      <c r="P96" s="192">
        <v>1</v>
      </c>
      <c r="Q96" s="206" t="s">
        <v>469</v>
      </c>
      <c r="R96" s="206" t="s">
        <v>470</v>
      </c>
      <c r="S96" s="206">
        <v>793743.54890000005</v>
      </c>
      <c r="T96" s="206">
        <v>2187886.392</v>
      </c>
      <c r="U96" s="206">
        <v>793738.8737</v>
      </c>
      <c r="V96" s="206">
        <v>2187848.9309999999</v>
      </c>
      <c r="W96" s="206"/>
      <c r="X96" s="206"/>
      <c r="Y96" s="206"/>
      <c r="Z96" s="206"/>
      <c r="AA96" s="206"/>
      <c r="AB96" s="206" t="s">
        <v>328</v>
      </c>
      <c r="AC96" s="206" t="s">
        <v>469</v>
      </c>
      <c r="AD96" s="206"/>
      <c r="AL96" s="206"/>
      <c r="AM96" s="206"/>
      <c r="AN96" s="206"/>
      <c r="AO96" s="206"/>
      <c r="AP96" s="206"/>
      <c r="AQ96" s="206"/>
      <c r="AR96" s="206"/>
      <c r="AS96" s="206"/>
      <c r="AV96" s="206"/>
      <c r="AW96" s="206"/>
      <c r="AX96" s="206"/>
      <c r="AY96" s="206"/>
      <c r="AZ96" s="206"/>
      <c r="BD96" s="206"/>
      <c r="BF96" s="206"/>
    </row>
    <row r="97" spans="1:100" x14ac:dyDescent="0.2">
      <c r="A97" s="220">
        <v>0</v>
      </c>
      <c r="B97" s="220">
        <v>0</v>
      </c>
      <c r="C97" s="206" t="s">
        <v>461</v>
      </c>
      <c r="D97" s="206" t="s">
        <v>469</v>
      </c>
      <c r="E97" s="192">
        <v>54.56</v>
      </c>
      <c r="F97" s="206" t="s">
        <v>328</v>
      </c>
      <c r="G97" s="206"/>
      <c r="H97" s="206"/>
      <c r="I97" s="206"/>
      <c r="J97"/>
      <c r="K97"/>
      <c r="L97" s="206"/>
      <c r="M97" s="206"/>
      <c r="N97" s="206"/>
      <c r="O97" s="192">
        <v>1</v>
      </c>
      <c r="P97" s="192">
        <v>1.36</v>
      </c>
      <c r="Q97" s="206" t="s">
        <v>471</v>
      </c>
      <c r="R97" s="206" t="s">
        <v>472</v>
      </c>
      <c r="S97" s="206">
        <v>793738.8737</v>
      </c>
      <c r="T97" s="206">
        <v>2187848.9309999999</v>
      </c>
      <c r="U97" s="206">
        <v>793730.03509999998</v>
      </c>
      <c r="V97" s="206">
        <v>2187795.0959999999</v>
      </c>
      <c r="W97" s="206"/>
      <c r="X97" s="206"/>
      <c r="Y97" s="206"/>
      <c r="Z97" s="206"/>
      <c r="AA97" s="206"/>
      <c r="AB97" s="206" t="s">
        <v>469</v>
      </c>
      <c r="AC97" s="206" t="s">
        <v>471</v>
      </c>
      <c r="AD97" s="206"/>
      <c r="AL97" s="206"/>
      <c r="AM97" s="206"/>
      <c r="AN97" s="206"/>
      <c r="AO97" s="206"/>
      <c r="AP97" s="206"/>
      <c r="AQ97" s="206"/>
      <c r="AR97" s="206"/>
      <c r="AS97" s="206"/>
      <c r="AV97" s="206"/>
      <c r="AW97" s="206"/>
      <c r="AX97" s="206"/>
      <c r="AY97" s="206"/>
      <c r="AZ97" s="206"/>
      <c r="BD97" s="206"/>
      <c r="BF97" s="206"/>
    </row>
    <row r="98" spans="1:100" x14ac:dyDescent="0.2">
      <c r="A98" s="220">
        <v>0</v>
      </c>
      <c r="B98" s="220">
        <v>0</v>
      </c>
      <c r="C98" s="206" t="s">
        <v>461</v>
      </c>
      <c r="D98" s="206" t="s">
        <v>471</v>
      </c>
      <c r="E98" s="192">
        <v>43.22</v>
      </c>
      <c r="F98" s="206" t="s">
        <v>469</v>
      </c>
      <c r="G98" s="206"/>
      <c r="H98" s="206"/>
      <c r="I98" s="206"/>
      <c r="J98"/>
      <c r="K98"/>
      <c r="L98" s="206"/>
      <c r="M98" s="206"/>
      <c r="N98" s="206"/>
      <c r="O98" s="192">
        <v>1.36</v>
      </c>
      <c r="P98" s="192">
        <v>1.73</v>
      </c>
      <c r="Q98" s="206" t="s">
        <v>473</v>
      </c>
      <c r="R98" s="206" t="s">
        <v>474</v>
      </c>
      <c r="S98" s="206">
        <v>793730.03509999998</v>
      </c>
      <c r="T98" s="206">
        <v>2187795.0959999999</v>
      </c>
      <c r="U98" s="206">
        <v>793724.85959999997</v>
      </c>
      <c r="V98" s="206">
        <v>2187752.1830000002</v>
      </c>
      <c r="W98" s="206"/>
      <c r="X98" s="206"/>
      <c r="Y98" s="206"/>
      <c r="Z98" s="206"/>
      <c r="AA98" s="206"/>
      <c r="AB98" s="206" t="s">
        <v>471</v>
      </c>
      <c r="AC98" s="206" t="s">
        <v>473</v>
      </c>
      <c r="AD98" s="206"/>
      <c r="AL98" s="206"/>
      <c r="AM98" s="206"/>
      <c r="AN98" s="206"/>
      <c r="AO98" s="206"/>
      <c r="AP98" s="206"/>
      <c r="AQ98" s="206"/>
      <c r="AR98" s="206"/>
      <c r="AS98" s="206"/>
      <c r="AV98" s="206"/>
      <c r="AW98" s="206"/>
      <c r="AX98" s="206"/>
      <c r="AY98" s="206"/>
      <c r="AZ98" s="206"/>
      <c r="BD98" s="206"/>
      <c r="BF98" s="206"/>
    </row>
    <row r="99" spans="1:100" x14ac:dyDescent="0.2">
      <c r="A99" s="220">
        <v>0</v>
      </c>
      <c r="B99" s="220">
        <v>0</v>
      </c>
      <c r="C99" s="206" t="s">
        <v>461</v>
      </c>
      <c r="D99" s="206" t="s">
        <v>473</v>
      </c>
      <c r="E99" s="192">
        <v>55.05</v>
      </c>
      <c r="F99" s="206" t="s">
        <v>471</v>
      </c>
      <c r="G99" s="206"/>
      <c r="H99" s="206"/>
      <c r="I99" s="206" t="s">
        <v>475</v>
      </c>
      <c r="J99" s="206">
        <v>2276</v>
      </c>
      <c r="K99" s="206">
        <v>655</v>
      </c>
      <c r="L99" s="206"/>
      <c r="M99" s="206"/>
      <c r="N99" s="206"/>
      <c r="O99" s="192">
        <v>1.73</v>
      </c>
      <c r="P99" s="192">
        <v>2.42</v>
      </c>
      <c r="Q99" s="206" t="s">
        <v>457</v>
      </c>
      <c r="R99" s="206" t="s">
        <v>476</v>
      </c>
      <c r="S99" s="206">
        <v>793724.85959999997</v>
      </c>
      <c r="T99" s="206">
        <v>2187752.1830000002</v>
      </c>
      <c r="U99" s="206">
        <v>793779.84869999997</v>
      </c>
      <c r="V99" s="206">
        <v>2187749.5950000002</v>
      </c>
      <c r="W99" s="206"/>
      <c r="X99" s="206"/>
      <c r="Y99" s="206"/>
      <c r="Z99" s="206"/>
      <c r="AA99" s="206"/>
      <c r="AB99" s="206" t="s">
        <v>473</v>
      </c>
      <c r="AC99" s="206" t="s">
        <v>457</v>
      </c>
      <c r="AD99" s="206"/>
      <c r="AL99" s="206"/>
      <c r="AM99" s="206"/>
      <c r="AN99" s="206"/>
      <c r="AO99" s="206"/>
      <c r="AP99" s="206"/>
      <c r="AQ99" s="206"/>
      <c r="AR99" s="206"/>
      <c r="AS99" s="206"/>
      <c r="AV99" s="206"/>
      <c r="AW99" s="206"/>
      <c r="AX99" s="206"/>
      <c r="AY99" s="206"/>
      <c r="AZ99" s="206"/>
      <c r="BA99" s="206"/>
      <c r="BB99" s="206"/>
      <c r="BD99" s="206"/>
      <c r="BF99" s="206"/>
      <c r="BG99" s="201"/>
      <c r="BH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  <c r="BY99" s="201"/>
      <c r="BZ99" s="201"/>
      <c r="CA99" s="201"/>
      <c r="CB99" s="201"/>
      <c r="CC99" s="201"/>
      <c r="CD99" s="201"/>
      <c r="CE99" s="201"/>
      <c r="CF99" s="201"/>
      <c r="CG99" s="201"/>
      <c r="CH99" s="201"/>
      <c r="CI99" s="201"/>
      <c r="CJ99" s="201"/>
      <c r="CK99" s="201"/>
      <c r="CL99" s="201"/>
      <c r="CM99" s="201"/>
      <c r="CN99" s="201"/>
      <c r="CO99" s="201"/>
      <c r="CP99" s="201"/>
      <c r="CQ99" s="201"/>
      <c r="CR99" s="201"/>
      <c r="CS99" s="201"/>
      <c r="CT99" s="201"/>
      <c r="CU99" s="201"/>
      <c r="CV99" s="201"/>
    </row>
    <row r="100" spans="1:100" x14ac:dyDescent="0.2">
      <c r="A100" s="220">
        <v>0</v>
      </c>
      <c r="B100" s="220">
        <v>1</v>
      </c>
      <c r="C100" s="206" t="s">
        <v>461</v>
      </c>
      <c r="D100" s="206" t="s">
        <v>457</v>
      </c>
      <c r="E100" s="192">
        <v>22.32</v>
      </c>
      <c r="F100" s="206" t="s">
        <v>473</v>
      </c>
      <c r="G100" s="206"/>
      <c r="H100" s="206"/>
      <c r="I100" s="206"/>
      <c r="J100"/>
      <c r="K100"/>
      <c r="L100" s="206"/>
      <c r="M100" s="206"/>
      <c r="N100" s="206"/>
      <c r="O100" s="192">
        <v>2.42</v>
      </c>
      <c r="P100" s="192">
        <v>2.34</v>
      </c>
      <c r="Q100" s="206" t="s">
        <v>456</v>
      </c>
      <c r="R100" s="206" t="s">
        <v>477</v>
      </c>
      <c r="S100" s="206">
        <v>793779.84869999997</v>
      </c>
      <c r="T100" s="206">
        <v>2187749.5950000002</v>
      </c>
      <c r="U100" s="206">
        <v>793779.41969999997</v>
      </c>
      <c r="V100" s="206">
        <v>2187727.2829999998</v>
      </c>
      <c r="W100" s="206"/>
      <c r="X100" s="206"/>
      <c r="Y100" s="206"/>
      <c r="Z100" s="206"/>
      <c r="AA100" s="206"/>
      <c r="AB100" s="206" t="s">
        <v>457</v>
      </c>
      <c r="AC100" s="206" t="s">
        <v>456</v>
      </c>
      <c r="AD100" s="206"/>
      <c r="AL100" s="206"/>
      <c r="AM100" s="206"/>
      <c r="AN100" s="206"/>
      <c r="AO100" s="206"/>
      <c r="AP100" s="206"/>
      <c r="AQ100" s="206"/>
      <c r="AR100" s="206"/>
      <c r="AS100" s="206"/>
      <c r="AV100" s="206"/>
      <c r="AW100" s="206"/>
      <c r="AX100" s="206"/>
      <c r="AY100" s="206"/>
      <c r="AZ100" s="206"/>
      <c r="BD100" s="206"/>
      <c r="BF100" s="206"/>
    </row>
    <row r="101" spans="1:100" x14ac:dyDescent="0.2">
      <c r="A101" s="220">
        <v>1</v>
      </c>
      <c r="B101" s="220">
        <v>0</v>
      </c>
      <c r="C101" s="206" t="s">
        <v>478</v>
      </c>
      <c r="D101" s="206" t="s">
        <v>479</v>
      </c>
      <c r="E101" s="192">
        <v>72.37</v>
      </c>
      <c r="F101" s="206"/>
      <c r="G101" s="206"/>
      <c r="H101" s="206"/>
      <c r="I101" s="206"/>
      <c r="J101"/>
      <c r="K101"/>
      <c r="L101" s="206"/>
      <c r="M101" s="206">
        <v>1</v>
      </c>
      <c r="N101" s="206"/>
      <c r="O101" s="192">
        <v>3.28</v>
      </c>
      <c r="P101" s="192">
        <v>1.5</v>
      </c>
      <c r="Q101" s="206" t="s">
        <v>324</v>
      </c>
      <c r="R101" s="206" t="s">
        <v>480</v>
      </c>
      <c r="S101" s="206">
        <v>793714.98820000002</v>
      </c>
      <c r="T101" s="206">
        <v>2188020.4780000001</v>
      </c>
      <c r="U101" s="206">
        <v>793704.50939999998</v>
      </c>
      <c r="V101" s="206">
        <v>2187948.8730000001</v>
      </c>
      <c r="W101" s="206"/>
      <c r="X101" s="206"/>
      <c r="Y101" s="206"/>
      <c r="Z101" s="206"/>
      <c r="AA101" s="206"/>
      <c r="AB101" s="206" t="s">
        <v>479</v>
      </c>
      <c r="AC101" s="206" t="s">
        <v>324</v>
      </c>
      <c r="AD101" s="206"/>
      <c r="AL101" s="206"/>
      <c r="AM101" s="206"/>
      <c r="AN101" s="206"/>
      <c r="AO101" s="206"/>
      <c r="AP101" s="206"/>
      <c r="AQ101" s="206"/>
      <c r="AR101" s="206"/>
      <c r="AS101" s="206"/>
      <c r="AV101" s="206"/>
      <c r="AW101" s="206"/>
      <c r="AX101" s="206"/>
      <c r="AY101" s="206"/>
      <c r="AZ101" s="206"/>
      <c r="BD101" s="206"/>
      <c r="BF101" s="206"/>
    </row>
    <row r="102" spans="1:100" x14ac:dyDescent="0.2">
      <c r="A102" s="220">
        <v>0</v>
      </c>
      <c r="B102" s="220">
        <v>1</v>
      </c>
      <c r="C102" s="206" t="s">
        <v>478</v>
      </c>
      <c r="D102" s="206" t="s">
        <v>324</v>
      </c>
      <c r="E102" s="192">
        <v>46.57</v>
      </c>
      <c r="F102" s="206" t="s">
        <v>479</v>
      </c>
      <c r="G102" s="206" t="s">
        <v>322</v>
      </c>
      <c r="H102" s="206"/>
      <c r="I102" s="206"/>
      <c r="J102"/>
      <c r="K102"/>
      <c r="L102" s="206"/>
      <c r="M102" s="206">
        <v>1</v>
      </c>
      <c r="N102" s="206"/>
      <c r="O102" s="192">
        <v>1.5</v>
      </c>
      <c r="P102" s="192">
        <v>1</v>
      </c>
      <c r="Q102" s="206" t="s">
        <v>466</v>
      </c>
      <c r="R102" s="206" t="s">
        <v>481</v>
      </c>
      <c r="S102" s="206">
        <v>793704.50939999998</v>
      </c>
      <c r="T102" s="206">
        <v>2187948.8730000001</v>
      </c>
      <c r="U102" s="206">
        <v>793750.70039999997</v>
      </c>
      <c r="V102" s="206">
        <v>2187942.9109999998</v>
      </c>
      <c r="W102" s="206"/>
      <c r="X102" s="206"/>
      <c r="Y102" s="206"/>
      <c r="Z102" s="206"/>
      <c r="AA102" s="206"/>
      <c r="AB102" s="206" t="s">
        <v>324</v>
      </c>
      <c r="AC102" s="206" t="s">
        <v>466</v>
      </c>
      <c r="AD102" s="206"/>
      <c r="AL102" s="206"/>
      <c r="AM102" s="206"/>
      <c r="AN102" s="206"/>
      <c r="AO102" s="206"/>
      <c r="AP102" s="206"/>
      <c r="AQ102" s="206"/>
      <c r="AR102" s="206"/>
      <c r="AS102" s="206"/>
      <c r="AV102" s="206"/>
      <c r="AW102" s="206"/>
      <c r="AX102" s="206"/>
      <c r="AY102" s="206"/>
      <c r="AZ102" s="206"/>
      <c r="BD102" s="206"/>
      <c r="BF102" s="206"/>
    </row>
    <row r="103" spans="1:100" x14ac:dyDescent="0.2">
      <c r="A103" s="220">
        <v>1</v>
      </c>
      <c r="B103" s="220">
        <v>0</v>
      </c>
      <c r="C103" s="206" t="s">
        <v>482</v>
      </c>
      <c r="D103" s="206" t="s">
        <v>483</v>
      </c>
      <c r="E103" s="192">
        <v>52.51</v>
      </c>
      <c r="F103" s="206"/>
      <c r="G103" s="206"/>
      <c r="H103" s="206"/>
      <c r="I103" s="206"/>
      <c r="J103"/>
      <c r="K103"/>
      <c r="L103" s="206"/>
      <c r="M103" s="206"/>
      <c r="N103" s="206"/>
      <c r="O103" s="192">
        <v>12.12</v>
      </c>
      <c r="P103" s="192">
        <v>10.14</v>
      </c>
      <c r="Q103" s="206" t="s">
        <v>484</v>
      </c>
      <c r="R103" s="206" t="s">
        <v>485</v>
      </c>
      <c r="S103" s="206">
        <v>793133.34</v>
      </c>
      <c r="T103" s="206">
        <v>2187601.0260000001</v>
      </c>
      <c r="U103" s="206">
        <v>793182.30130000005</v>
      </c>
      <c r="V103" s="206">
        <v>2187582.0550000002</v>
      </c>
      <c r="W103" s="206"/>
      <c r="X103" s="206"/>
      <c r="Y103" s="206"/>
      <c r="Z103" s="206"/>
      <c r="AA103" s="206"/>
      <c r="AB103" s="206" t="s">
        <v>483</v>
      </c>
      <c r="AC103" s="206" t="s">
        <v>484</v>
      </c>
      <c r="AD103" s="206"/>
      <c r="AL103" s="206"/>
      <c r="AM103" s="206"/>
      <c r="AN103" s="206"/>
      <c r="AO103" s="206"/>
      <c r="AP103" s="206"/>
      <c r="AQ103" s="206"/>
      <c r="AR103" s="206"/>
      <c r="AS103" s="206"/>
      <c r="AV103" s="206"/>
      <c r="AW103" s="206"/>
      <c r="AX103" s="206"/>
      <c r="AY103" s="206"/>
      <c r="AZ103" s="206"/>
      <c r="BD103" s="206"/>
      <c r="BF103" s="206"/>
    </row>
    <row r="104" spans="1:100" x14ac:dyDescent="0.2">
      <c r="A104" s="220">
        <v>0</v>
      </c>
      <c r="B104" s="220">
        <v>0</v>
      </c>
      <c r="C104" s="206" t="s">
        <v>482</v>
      </c>
      <c r="D104" s="206" t="s">
        <v>484</v>
      </c>
      <c r="E104" s="192">
        <v>45.89</v>
      </c>
      <c r="F104" s="206" t="s">
        <v>483</v>
      </c>
      <c r="G104" s="206"/>
      <c r="H104" s="206"/>
      <c r="I104" s="206"/>
      <c r="J104"/>
      <c r="K104"/>
      <c r="L104" s="206"/>
      <c r="M104" s="206"/>
      <c r="N104" s="206"/>
      <c r="O104" s="192">
        <v>10.14</v>
      </c>
      <c r="P104" s="192">
        <v>8.69</v>
      </c>
      <c r="Q104" s="206" t="s">
        <v>486</v>
      </c>
      <c r="R104" s="206" t="s">
        <v>487</v>
      </c>
      <c r="S104" s="206">
        <v>793182.30130000005</v>
      </c>
      <c r="T104" s="206">
        <v>2187582.0550000002</v>
      </c>
      <c r="U104" s="206">
        <v>793224.75840000005</v>
      </c>
      <c r="V104" s="206">
        <v>2187564.6510000001</v>
      </c>
      <c r="W104" s="206"/>
      <c r="X104" s="206"/>
      <c r="Y104" s="206"/>
      <c r="Z104" s="206"/>
      <c r="AA104" s="206"/>
      <c r="AB104" s="206" t="s">
        <v>484</v>
      </c>
      <c r="AC104" s="206" t="s">
        <v>486</v>
      </c>
      <c r="AD104" s="206"/>
      <c r="AL104" s="206"/>
      <c r="AM104" s="206"/>
      <c r="AN104" s="206"/>
      <c r="AO104" s="206"/>
      <c r="AP104" s="206"/>
      <c r="AQ104" s="206"/>
      <c r="AR104" s="206"/>
      <c r="AS104" s="206"/>
      <c r="AV104" s="206"/>
      <c r="AW104" s="206"/>
      <c r="AX104" s="206"/>
      <c r="AY104" s="206"/>
      <c r="AZ104" s="206"/>
      <c r="BD104" s="206"/>
      <c r="BF104" s="206"/>
    </row>
    <row r="105" spans="1:100" x14ac:dyDescent="0.2">
      <c r="A105" s="220">
        <v>0</v>
      </c>
      <c r="B105" s="220">
        <v>0</v>
      </c>
      <c r="C105" s="206" t="s">
        <v>482</v>
      </c>
      <c r="D105" s="206" t="s">
        <v>486</v>
      </c>
      <c r="E105" s="192">
        <v>48.02</v>
      </c>
      <c r="F105" s="206" t="s">
        <v>484</v>
      </c>
      <c r="G105" s="206"/>
      <c r="H105" s="206"/>
      <c r="I105" s="206"/>
      <c r="J105"/>
      <c r="K105"/>
      <c r="L105" s="206"/>
      <c r="M105" s="206"/>
      <c r="N105" s="206"/>
      <c r="O105" s="192">
        <v>8.69</v>
      </c>
      <c r="P105" s="192">
        <v>8.2899999999999991</v>
      </c>
      <c r="Q105" s="206" t="s">
        <v>488</v>
      </c>
      <c r="R105" s="206" t="s">
        <v>489</v>
      </c>
      <c r="S105" s="206">
        <v>793224.75840000005</v>
      </c>
      <c r="T105" s="206">
        <v>2187564.6510000001</v>
      </c>
      <c r="U105" s="206">
        <v>793270.04610000004</v>
      </c>
      <c r="V105" s="206">
        <v>2187548.6919999998</v>
      </c>
      <c r="W105" s="206"/>
      <c r="X105" s="206"/>
      <c r="Y105" s="206"/>
      <c r="Z105" s="206"/>
      <c r="AA105" s="206"/>
      <c r="AB105" s="206" t="s">
        <v>486</v>
      </c>
      <c r="AC105" s="206" t="s">
        <v>488</v>
      </c>
      <c r="AD105" s="206"/>
      <c r="AL105" s="206"/>
      <c r="AM105" s="206"/>
      <c r="AN105" s="206"/>
      <c r="AO105" s="206"/>
      <c r="AP105" s="206"/>
      <c r="AQ105" s="206"/>
      <c r="AR105" s="206"/>
      <c r="AS105" s="206"/>
      <c r="AV105" s="206"/>
      <c r="AW105" s="206"/>
      <c r="AX105" s="206"/>
      <c r="AY105" s="206"/>
      <c r="AZ105" s="206"/>
      <c r="BD105" s="206"/>
      <c r="BF105" s="206"/>
    </row>
    <row r="106" spans="1:100" x14ac:dyDescent="0.2">
      <c r="A106" s="220">
        <v>0</v>
      </c>
      <c r="B106" s="220">
        <v>0</v>
      </c>
      <c r="C106" s="206" t="s">
        <v>482</v>
      </c>
      <c r="D106" s="206" t="s">
        <v>488</v>
      </c>
      <c r="E106" s="192">
        <v>46.37</v>
      </c>
      <c r="F106" s="206" t="s">
        <v>486</v>
      </c>
      <c r="G106" s="206"/>
      <c r="H106" s="206"/>
      <c r="I106" s="206"/>
      <c r="J106"/>
      <c r="K106"/>
      <c r="L106" s="206"/>
      <c r="M106" s="206"/>
      <c r="N106" s="206"/>
      <c r="O106" s="192">
        <v>8.2899999999999991</v>
      </c>
      <c r="P106" s="192">
        <v>7.68</v>
      </c>
      <c r="Q106" s="206" t="s">
        <v>490</v>
      </c>
      <c r="R106" s="206" t="s">
        <v>491</v>
      </c>
      <c r="S106" s="206">
        <v>793270.04610000004</v>
      </c>
      <c r="T106" s="206">
        <v>2187548.6919999998</v>
      </c>
      <c r="U106" s="206">
        <v>793314.29639999999</v>
      </c>
      <c r="V106" s="206">
        <v>2187534.8229999999</v>
      </c>
      <c r="W106" s="206"/>
      <c r="X106" s="206"/>
      <c r="Y106" s="206"/>
      <c r="Z106" s="206"/>
      <c r="AA106" s="206"/>
      <c r="AB106" s="206" t="s">
        <v>488</v>
      </c>
      <c r="AC106" s="206" t="s">
        <v>490</v>
      </c>
      <c r="AD106" s="206"/>
      <c r="AL106" s="206"/>
      <c r="AM106" s="206"/>
      <c r="AN106" s="206"/>
      <c r="AO106" s="206"/>
      <c r="AP106" s="206"/>
      <c r="AQ106" s="206"/>
      <c r="AR106" s="206"/>
      <c r="AS106" s="206"/>
      <c r="AV106" s="206"/>
      <c r="AW106" s="206"/>
      <c r="AX106" s="206"/>
      <c r="AY106" s="206"/>
      <c r="AZ106" s="206"/>
      <c r="BD106" s="206"/>
      <c r="BF106" s="206"/>
    </row>
    <row r="107" spans="1:100" x14ac:dyDescent="0.2">
      <c r="A107" s="220">
        <v>0</v>
      </c>
      <c r="B107" s="220">
        <v>0</v>
      </c>
      <c r="C107" s="206" t="s">
        <v>482</v>
      </c>
      <c r="D107" s="206" t="s">
        <v>490</v>
      </c>
      <c r="E107" s="192">
        <v>43.86</v>
      </c>
      <c r="F107" s="206" t="s">
        <v>488</v>
      </c>
      <c r="G107" s="206"/>
      <c r="H107" s="206"/>
      <c r="I107" s="206"/>
      <c r="J107"/>
      <c r="K107"/>
      <c r="L107" s="206"/>
      <c r="M107" s="206"/>
      <c r="N107" s="206"/>
      <c r="O107" s="192">
        <v>7.68</v>
      </c>
      <c r="P107" s="192">
        <v>6.47</v>
      </c>
      <c r="Q107" s="206" t="s">
        <v>492</v>
      </c>
      <c r="R107" s="206" t="s">
        <v>493</v>
      </c>
      <c r="S107" s="206">
        <v>793314.29639999999</v>
      </c>
      <c r="T107" s="206">
        <v>2187534.8229999999</v>
      </c>
      <c r="U107" s="206">
        <v>793299.19400000002</v>
      </c>
      <c r="V107" s="206">
        <v>2187493.648</v>
      </c>
      <c r="W107" s="206"/>
      <c r="X107" s="206"/>
      <c r="Y107" s="206"/>
      <c r="Z107" s="206"/>
      <c r="AA107" s="206"/>
      <c r="AB107" s="206" t="s">
        <v>490</v>
      </c>
      <c r="AC107" s="206" t="s">
        <v>492</v>
      </c>
      <c r="AD107" s="206"/>
      <c r="AL107" s="206"/>
      <c r="AM107" s="206"/>
      <c r="AN107" s="206"/>
      <c r="AO107" s="206"/>
      <c r="AP107" s="206"/>
      <c r="AQ107" s="206"/>
      <c r="AR107" s="206"/>
      <c r="AS107" s="206"/>
      <c r="AV107" s="206"/>
      <c r="AW107" s="206"/>
      <c r="AX107" s="206"/>
      <c r="AY107" s="206"/>
      <c r="AZ107" s="206"/>
      <c r="BD107" s="206"/>
      <c r="BF107" s="206"/>
    </row>
    <row r="108" spans="1:100" x14ac:dyDescent="0.2">
      <c r="A108" s="220">
        <v>0</v>
      </c>
      <c r="B108" s="220">
        <v>0</v>
      </c>
      <c r="C108" s="206" t="s">
        <v>482</v>
      </c>
      <c r="D108" s="206" t="s">
        <v>492</v>
      </c>
      <c r="E108" s="192">
        <v>49.71</v>
      </c>
      <c r="F108" s="206" t="s">
        <v>490</v>
      </c>
      <c r="G108" s="206" t="s">
        <v>494</v>
      </c>
      <c r="H108" s="206"/>
      <c r="I108" s="206"/>
      <c r="J108" s="206"/>
      <c r="K108" s="206"/>
      <c r="L108" s="206"/>
      <c r="M108" s="206"/>
      <c r="N108" s="206"/>
      <c r="O108" s="192">
        <v>6.47</v>
      </c>
      <c r="P108" s="192">
        <v>5.04</v>
      </c>
      <c r="Q108" s="206" t="s">
        <v>495</v>
      </c>
      <c r="R108" s="206" t="s">
        <v>496</v>
      </c>
      <c r="S108" s="206">
        <v>793299.19400000002</v>
      </c>
      <c r="T108" s="206">
        <v>2187493.648</v>
      </c>
      <c r="U108" s="206">
        <v>793282.75309999997</v>
      </c>
      <c r="V108" s="206">
        <v>2187446.7340000002</v>
      </c>
      <c r="W108" s="206"/>
      <c r="X108" s="206"/>
      <c r="Y108" s="206"/>
      <c r="Z108" s="206"/>
      <c r="AA108" s="206"/>
      <c r="AB108" s="206" t="s">
        <v>492</v>
      </c>
      <c r="AC108" s="206" t="s">
        <v>495</v>
      </c>
      <c r="AD108" s="206"/>
      <c r="AL108" s="206"/>
      <c r="AM108" s="206"/>
      <c r="AN108" s="206"/>
      <c r="AO108" s="206"/>
      <c r="AP108" s="206"/>
      <c r="AQ108" s="206"/>
      <c r="AR108" s="206"/>
      <c r="AS108" s="206"/>
      <c r="AV108" s="206"/>
      <c r="AW108" s="206"/>
      <c r="AX108" s="206"/>
      <c r="AY108" s="206"/>
      <c r="AZ108" s="206"/>
      <c r="BA108" s="206"/>
      <c r="BB108" s="206"/>
      <c r="BD108" s="206"/>
      <c r="BF108" s="206"/>
      <c r="BG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  <c r="BY108" s="201"/>
      <c r="BZ108" s="201"/>
      <c r="CA108" s="201"/>
      <c r="CB108" s="201"/>
      <c r="CC108" s="201"/>
      <c r="CD108" s="201"/>
      <c r="CE108" s="201"/>
      <c r="CF108" s="201"/>
      <c r="CG108" s="201"/>
      <c r="CH108" s="201"/>
      <c r="CI108" s="201"/>
      <c r="CJ108" s="201"/>
      <c r="CK108" s="201"/>
      <c r="CL108" s="201"/>
      <c r="CM108" s="201"/>
      <c r="CN108" s="201"/>
      <c r="CO108" s="201"/>
      <c r="CP108" s="201"/>
      <c r="CQ108" s="201"/>
      <c r="CR108" s="201"/>
      <c r="CS108" s="201"/>
      <c r="CT108" s="201"/>
      <c r="CU108" s="201"/>
      <c r="CV108" s="201"/>
    </row>
    <row r="109" spans="1:100" x14ac:dyDescent="0.2">
      <c r="A109" s="220">
        <v>0</v>
      </c>
      <c r="B109" s="220">
        <v>0</v>
      </c>
      <c r="C109" s="206" t="s">
        <v>482</v>
      </c>
      <c r="D109" s="206" t="s">
        <v>495</v>
      </c>
      <c r="E109" s="192">
        <v>43.93</v>
      </c>
      <c r="F109" s="206" t="s">
        <v>492</v>
      </c>
      <c r="G109" s="206" t="s">
        <v>497</v>
      </c>
      <c r="H109" s="206"/>
      <c r="I109" s="206"/>
      <c r="J109"/>
      <c r="K109"/>
      <c r="L109" s="206"/>
      <c r="M109" s="206"/>
      <c r="N109" s="206"/>
      <c r="O109" s="192">
        <v>5.04</v>
      </c>
      <c r="P109" s="192">
        <v>4.0999999999999996</v>
      </c>
      <c r="Q109" s="206" t="s">
        <v>498</v>
      </c>
      <c r="R109" s="206" t="s">
        <v>499</v>
      </c>
      <c r="S109" s="206">
        <v>793282.75309999997</v>
      </c>
      <c r="T109" s="206">
        <v>2187446.7340000002</v>
      </c>
      <c r="U109" s="206">
        <v>793267.81779999996</v>
      </c>
      <c r="V109" s="206">
        <v>2187405.4210000001</v>
      </c>
      <c r="W109" s="206"/>
      <c r="X109" s="206"/>
      <c r="Y109" s="206"/>
      <c r="Z109" s="206"/>
      <c r="AA109" s="206"/>
      <c r="AB109" s="206" t="s">
        <v>495</v>
      </c>
      <c r="AC109" s="206" t="s">
        <v>498</v>
      </c>
      <c r="AD109" s="206"/>
      <c r="AL109" s="206"/>
      <c r="AM109" s="206"/>
      <c r="AN109" s="206"/>
      <c r="AO109" s="206"/>
      <c r="AP109" s="206"/>
      <c r="AQ109" s="206"/>
      <c r="AR109" s="206"/>
      <c r="AS109" s="206"/>
      <c r="AV109" s="206"/>
      <c r="AW109" s="206"/>
      <c r="AX109" s="206"/>
      <c r="AY109" s="206"/>
      <c r="AZ109" s="206"/>
      <c r="BD109" s="206"/>
      <c r="BF109" s="206"/>
    </row>
    <row r="110" spans="1:100" x14ac:dyDescent="0.2">
      <c r="A110" s="220">
        <v>0</v>
      </c>
      <c r="B110" s="220">
        <v>0</v>
      </c>
      <c r="C110" s="206" t="s">
        <v>482</v>
      </c>
      <c r="D110" s="206" t="s">
        <v>498</v>
      </c>
      <c r="E110" s="192">
        <v>49.01</v>
      </c>
      <c r="F110" s="206" t="s">
        <v>495</v>
      </c>
      <c r="G110" s="206" t="s">
        <v>500</v>
      </c>
      <c r="H110" s="206"/>
      <c r="I110" s="206"/>
      <c r="J110"/>
      <c r="K110"/>
      <c r="L110" s="206"/>
      <c r="M110" s="206"/>
      <c r="N110" s="206"/>
      <c r="O110" s="192">
        <v>4.0999999999999996</v>
      </c>
      <c r="P110" s="192">
        <v>3.37</v>
      </c>
      <c r="Q110" s="206" t="s">
        <v>501</v>
      </c>
      <c r="R110" s="206" t="s">
        <v>502</v>
      </c>
      <c r="S110" s="206">
        <v>793267.81779999996</v>
      </c>
      <c r="T110" s="206">
        <v>2187405.4210000001</v>
      </c>
      <c r="U110" s="206">
        <v>793253.06319999998</v>
      </c>
      <c r="V110" s="206">
        <v>2187358.6880000001</v>
      </c>
      <c r="W110" s="206"/>
      <c r="X110" s="206"/>
      <c r="Y110" s="206"/>
      <c r="Z110" s="206"/>
      <c r="AA110" s="206"/>
      <c r="AB110" s="206" t="s">
        <v>498</v>
      </c>
      <c r="AC110" s="206" t="s">
        <v>501</v>
      </c>
      <c r="AD110" s="206"/>
      <c r="AL110" s="206"/>
      <c r="AM110" s="206"/>
      <c r="AN110" s="206"/>
      <c r="AO110" s="206"/>
      <c r="AP110" s="206"/>
      <c r="AQ110" s="206"/>
      <c r="AR110" s="206"/>
      <c r="AS110" s="206"/>
      <c r="AV110" s="206"/>
      <c r="AW110" s="206"/>
      <c r="AX110" s="206"/>
      <c r="AY110" s="206"/>
      <c r="AZ110" s="206"/>
      <c r="BD110" s="206"/>
      <c r="BF110" s="206"/>
    </row>
    <row r="111" spans="1:100" x14ac:dyDescent="0.2">
      <c r="A111" s="220">
        <v>0</v>
      </c>
      <c r="B111" s="220">
        <v>0</v>
      </c>
      <c r="C111" s="206" t="s">
        <v>482</v>
      </c>
      <c r="D111" s="206" t="s">
        <v>501</v>
      </c>
      <c r="E111" s="192">
        <v>46.07</v>
      </c>
      <c r="F111" s="206" t="s">
        <v>498</v>
      </c>
      <c r="G111" s="206" t="s">
        <v>503</v>
      </c>
      <c r="H111" s="206"/>
      <c r="I111" s="206"/>
      <c r="J111"/>
      <c r="K111"/>
      <c r="L111" s="206"/>
      <c r="M111" s="206"/>
      <c r="N111" s="206"/>
      <c r="O111" s="192">
        <v>3.37</v>
      </c>
      <c r="P111" s="192">
        <v>2.5299999999999998</v>
      </c>
      <c r="Q111" s="206" t="s">
        <v>504</v>
      </c>
      <c r="R111" s="206" t="s">
        <v>505</v>
      </c>
      <c r="S111" s="206">
        <v>793253.06319999998</v>
      </c>
      <c r="T111" s="206">
        <v>2187358.6880000001</v>
      </c>
      <c r="U111" s="206">
        <v>793238.73019999999</v>
      </c>
      <c r="V111" s="206">
        <v>2187314.906</v>
      </c>
      <c r="W111" s="206"/>
      <c r="X111" s="206"/>
      <c r="Y111" s="206"/>
      <c r="Z111" s="206"/>
      <c r="AA111" s="206"/>
      <c r="AB111" s="206" t="s">
        <v>501</v>
      </c>
      <c r="AC111" s="206" t="s">
        <v>504</v>
      </c>
      <c r="AD111" s="206"/>
      <c r="AL111" s="206"/>
      <c r="AM111" s="206"/>
      <c r="AN111" s="206"/>
      <c r="AO111" s="206"/>
      <c r="AP111" s="206"/>
      <c r="AQ111" s="206"/>
      <c r="AR111" s="206"/>
      <c r="AS111" s="206"/>
      <c r="AV111" s="206"/>
      <c r="AW111" s="206"/>
      <c r="AX111" s="206"/>
      <c r="AY111" s="206"/>
      <c r="AZ111" s="206"/>
      <c r="BD111" s="206"/>
      <c r="BF111" s="206"/>
    </row>
    <row r="112" spans="1:100" x14ac:dyDescent="0.2">
      <c r="A112" s="220">
        <v>0</v>
      </c>
      <c r="B112" s="220">
        <v>0</v>
      </c>
      <c r="C112" s="206" t="s">
        <v>482</v>
      </c>
      <c r="D112" s="206" t="s">
        <v>504</v>
      </c>
      <c r="E112" s="192">
        <v>51</v>
      </c>
      <c r="F112" s="206" t="s">
        <v>501</v>
      </c>
      <c r="G112" s="206" t="s">
        <v>506</v>
      </c>
      <c r="H112" s="206"/>
      <c r="I112" s="206"/>
      <c r="J112"/>
      <c r="K112"/>
      <c r="L112" s="206"/>
      <c r="M112" s="206"/>
      <c r="N112" s="206"/>
      <c r="O112" s="192">
        <v>2.5299999999999998</v>
      </c>
      <c r="P112" s="192">
        <v>2.11</v>
      </c>
      <c r="Q112" s="206" t="s">
        <v>507</v>
      </c>
      <c r="R112" s="206" t="s">
        <v>508</v>
      </c>
      <c r="S112" s="206">
        <v>793238.73019999999</v>
      </c>
      <c r="T112" s="206">
        <v>2187314.906</v>
      </c>
      <c r="U112" s="206">
        <v>793220.66330000001</v>
      </c>
      <c r="V112" s="206">
        <v>2187267.21</v>
      </c>
      <c r="W112" s="206"/>
      <c r="X112" s="206"/>
      <c r="Y112" s="206"/>
      <c r="Z112" s="206"/>
      <c r="AA112" s="206"/>
      <c r="AB112" s="206" t="s">
        <v>504</v>
      </c>
      <c r="AC112" s="206" t="s">
        <v>507</v>
      </c>
      <c r="AD112" s="206"/>
      <c r="AL112" s="206"/>
      <c r="AM112" s="206"/>
      <c r="AN112" s="206"/>
      <c r="AO112" s="206"/>
      <c r="AP112" s="206"/>
      <c r="AQ112" s="206"/>
      <c r="AR112" s="206"/>
      <c r="AS112" s="206"/>
      <c r="AV112" s="206"/>
      <c r="AW112" s="206"/>
      <c r="AX112" s="206"/>
      <c r="AY112" s="206"/>
      <c r="AZ112" s="206"/>
      <c r="BD112" s="206"/>
      <c r="BF112" s="206"/>
    </row>
    <row r="113" spans="1:100" x14ac:dyDescent="0.2">
      <c r="A113" s="220">
        <v>0</v>
      </c>
      <c r="B113" s="220">
        <v>0</v>
      </c>
      <c r="C113" s="206" t="s">
        <v>482</v>
      </c>
      <c r="D113" s="206" t="s">
        <v>507</v>
      </c>
      <c r="E113" s="192">
        <v>48.85</v>
      </c>
      <c r="F113" s="206" t="s">
        <v>504</v>
      </c>
      <c r="G113" s="206" t="s">
        <v>509</v>
      </c>
      <c r="H113" s="206"/>
      <c r="I113" s="206"/>
      <c r="J113"/>
      <c r="K113"/>
      <c r="L113" s="206"/>
      <c r="M113" s="206"/>
      <c r="N113" s="206"/>
      <c r="O113" s="192">
        <v>2.11</v>
      </c>
      <c r="P113" s="192">
        <v>1.75</v>
      </c>
      <c r="Q113" s="206" t="s">
        <v>510</v>
      </c>
      <c r="R113" s="206" t="s">
        <v>511</v>
      </c>
      <c r="S113" s="206">
        <v>793220.66330000001</v>
      </c>
      <c r="T113" s="206">
        <v>2187267.21</v>
      </c>
      <c r="U113" s="206">
        <v>793206.45070000004</v>
      </c>
      <c r="V113" s="206">
        <v>2187220.477</v>
      </c>
      <c r="W113" s="206"/>
      <c r="X113" s="206"/>
      <c r="Y113" s="206"/>
      <c r="Z113" s="206"/>
      <c r="AA113" s="206"/>
      <c r="AB113" s="206" t="s">
        <v>507</v>
      </c>
      <c r="AC113" s="206" t="s">
        <v>510</v>
      </c>
      <c r="AD113" s="206"/>
      <c r="AL113" s="206"/>
      <c r="AM113" s="206"/>
      <c r="AN113" s="206"/>
      <c r="AO113" s="206"/>
      <c r="AP113" s="206"/>
      <c r="AQ113" s="206"/>
      <c r="AR113" s="206"/>
      <c r="AS113" s="206"/>
      <c r="AV113" s="206"/>
      <c r="AW113" s="206"/>
      <c r="AX113" s="206"/>
      <c r="AY113" s="206"/>
      <c r="AZ113" s="206"/>
      <c r="BD113" s="206"/>
      <c r="BF113" s="206"/>
    </row>
    <row r="114" spans="1:100" x14ac:dyDescent="0.2">
      <c r="A114" s="220">
        <v>0</v>
      </c>
      <c r="B114" s="220">
        <v>0</v>
      </c>
      <c r="C114" s="206" t="s">
        <v>482</v>
      </c>
      <c r="D114" s="206" t="s">
        <v>510</v>
      </c>
      <c r="E114" s="192">
        <v>47.16</v>
      </c>
      <c r="F114" s="206" t="s">
        <v>507</v>
      </c>
      <c r="G114" s="206"/>
      <c r="H114" s="206"/>
      <c r="I114" s="206"/>
      <c r="J114"/>
      <c r="K114"/>
      <c r="L114" s="206"/>
      <c r="M114" s="206"/>
      <c r="N114" s="206"/>
      <c r="O114" s="192">
        <v>1.75</v>
      </c>
      <c r="P114" s="192">
        <v>2</v>
      </c>
      <c r="Q114" s="206" t="s">
        <v>512</v>
      </c>
      <c r="R114" s="206" t="s">
        <v>513</v>
      </c>
      <c r="S114" s="206">
        <v>793206.45070000004</v>
      </c>
      <c r="T114" s="206">
        <v>2187220.477</v>
      </c>
      <c r="U114" s="206">
        <v>793188.62470000004</v>
      </c>
      <c r="V114" s="206">
        <v>2187176.8149999999</v>
      </c>
      <c r="W114" s="206"/>
      <c r="X114" s="206"/>
      <c r="Y114" s="206"/>
      <c r="Z114" s="206"/>
      <c r="AA114" s="206"/>
      <c r="AB114" s="206" t="s">
        <v>510</v>
      </c>
      <c r="AC114" s="206" t="s">
        <v>512</v>
      </c>
      <c r="AD114" s="206"/>
      <c r="AL114" s="206"/>
      <c r="AM114" s="206"/>
      <c r="AN114" s="206"/>
      <c r="AO114" s="206"/>
      <c r="AP114" s="206"/>
      <c r="AQ114" s="206"/>
      <c r="AR114" s="206"/>
      <c r="AS114" s="206"/>
      <c r="AV114" s="206"/>
      <c r="AW114" s="206"/>
      <c r="AX114" s="206"/>
      <c r="AY114" s="206"/>
      <c r="AZ114" s="206"/>
      <c r="BD114" s="206"/>
      <c r="BF114" s="206"/>
    </row>
    <row r="115" spans="1:100" x14ac:dyDescent="0.2">
      <c r="A115" s="220">
        <v>0</v>
      </c>
      <c r="B115" s="220">
        <v>0</v>
      </c>
      <c r="C115" s="206" t="s">
        <v>482</v>
      </c>
      <c r="D115" s="206" t="s">
        <v>512</v>
      </c>
      <c r="E115" s="192">
        <v>43.02</v>
      </c>
      <c r="F115" s="206" t="s">
        <v>510</v>
      </c>
      <c r="G115" s="206" t="s">
        <v>514</v>
      </c>
      <c r="H115" s="206"/>
      <c r="I115" s="206"/>
      <c r="J115"/>
      <c r="K115"/>
      <c r="L115" s="206"/>
      <c r="M115" s="206"/>
      <c r="N115" s="206"/>
      <c r="O115" s="192">
        <v>2</v>
      </c>
      <c r="P115" s="192">
        <v>1.55</v>
      </c>
      <c r="Q115" s="206" t="s">
        <v>515</v>
      </c>
      <c r="R115" s="206" t="s">
        <v>516</v>
      </c>
      <c r="S115" s="206">
        <v>793188.62470000004</v>
      </c>
      <c r="T115" s="206">
        <v>2187176.8149999999</v>
      </c>
      <c r="U115" s="206">
        <v>793175.25520000001</v>
      </c>
      <c r="V115" s="206">
        <v>2187135.9240000001</v>
      </c>
      <c r="W115" s="206"/>
      <c r="X115" s="206"/>
      <c r="Y115" s="206"/>
      <c r="Z115" s="206"/>
      <c r="AA115" s="206"/>
      <c r="AB115" s="206" t="s">
        <v>512</v>
      </c>
      <c r="AC115" s="206" t="s">
        <v>515</v>
      </c>
      <c r="AD115" s="206"/>
      <c r="AL115" s="206"/>
      <c r="AM115" s="206"/>
      <c r="AN115" s="206"/>
      <c r="AO115" s="206"/>
      <c r="AP115" s="206"/>
      <c r="AQ115" s="206"/>
      <c r="AR115" s="206"/>
      <c r="AS115" s="206"/>
      <c r="AV115" s="206"/>
      <c r="AW115" s="206"/>
      <c r="AX115" s="206"/>
      <c r="AY115" s="206"/>
      <c r="AZ115" s="206"/>
      <c r="BD115" s="206"/>
      <c r="BF115" s="206"/>
    </row>
    <row r="116" spans="1:100" x14ac:dyDescent="0.2">
      <c r="A116" s="220">
        <v>0</v>
      </c>
      <c r="B116" s="220">
        <v>0</v>
      </c>
      <c r="C116" s="206" t="s">
        <v>482</v>
      </c>
      <c r="D116" s="206" t="s">
        <v>515</v>
      </c>
      <c r="E116" s="192">
        <v>29.3</v>
      </c>
      <c r="F116" s="206" t="s">
        <v>512</v>
      </c>
      <c r="G116" s="206"/>
      <c r="H116" s="206"/>
      <c r="I116" s="206"/>
      <c r="J116"/>
      <c r="K116"/>
      <c r="L116" s="206"/>
      <c r="M116" s="206"/>
      <c r="N116" s="206"/>
      <c r="O116" s="192">
        <v>1.55</v>
      </c>
      <c r="P116" s="192">
        <v>1.85</v>
      </c>
      <c r="Q116" s="206" t="s">
        <v>517</v>
      </c>
      <c r="R116" s="206" t="s">
        <v>518</v>
      </c>
      <c r="S116" s="206">
        <v>793175.25520000001</v>
      </c>
      <c r="T116" s="206">
        <v>2187135.9240000001</v>
      </c>
      <c r="U116" s="206">
        <v>793201.99419999996</v>
      </c>
      <c r="V116" s="206">
        <v>2187123.9389999998</v>
      </c>
      <c r="W116" s="206"/>
      <c r="X116" s="206"/>
      <c r="Y116" s="206"/>
      <c r="Z116" s="206"/>
      <c r="AA116" s="206"/>
      <c r="AB116" s="206" t="s">
        <v>515</v>
      </c>
      <c r="AC116" s="206" t="s">
        <v>517</v>
      </c>
      <c r="AD116" s="206"/>
      <c r="AL116" s="206"/>
      <c r="AM116" s="206"/>
      <c r="AN116" s="206"/>
      <c r="AO116" s="206"/>
      <c r="AP116" s="206"/>
      <c r="AQ116" s="206"/>
      <c r="AR116" s="206"/>
      <c r="AS116" s="206"/>
      <c r="AV116" s="206"/>
      <c r="AW116" s="206"/>
      <c r="AX116" s="206"/>
      <c r="AY116" s="206"/>
      <c r="AZ116" s="206"/>
      <c r="BD116" s="206"/>
      <c r="BF116" s="206"/>
    </row>
    <row r="117" spans="1:100" x14ac:dyDescent="0.2">
      <c r="A117" s="220">
        <v>0</v>
      </c>
      <c r="B117" s="220">
        <v>0</v>
      </c>
      <c r="C117" s="206" t="s">
        <v>482</v>
      </c>
      <c r="D117" s="206" t="s">
        <v>517</v>
      </c>
      <c r="E117" s="192">
        <v>47.91</v>
      </c>
      <c r="F117" s="206" t="s">
        <v>515</v>
      </c>
      <c r="G117" s="206" t="s">
        <v>519</v>
      </c>
      <c r="H117" s="206"/>
      <c r="I117" s="206"/>
      <c r="J117"/>
      <c r="K117"/>
      <c r="L117" s="206"/>
      <c r="M117" s="206"/>
      <c r="N117" s="206"/>
      <c r="O117" s="192">
        <v>1.85</v>
      </c>
      <c r="P117" s="192">
        <v>1</v>
      </c>
      <c r="Q117" s="206" t="s">
        <v>520</v>
      </c>
      <c r="R117" s="206" t="s">
        <v>521</v>
      </c>
      <c r="S117" s="206">
        <v>793201.99419999996</v>
      </c>
      <c r="T117" s="206">
        <v>2187123.9389999998</v>
      </c>
      <c r="U117" s="206">
        <v>793247.04090000002</v>
      </c>
      <c r="V117" s="206">
        <v>2187107.6189999999</v>
      </c>
      <c r="W117" s="206"/>
      <c r="X117" s="206"/>
      <c r="Y117" s="206"/>
      <c r="Z117" s="206"/>
      <c r="AA117" s="206"/>
      <c r="AB117" s="206" t="s">
        <v>517</v>
      </c>
      <c r="AC117" s="206" t="s">
        <v>520</v>
      </c>
      <c r="AD117" s="206"/>
      <c r="AL117" s="206"/>
      <c r="AM117" s="206"/>
      <c r="AN117" s="206"/>
      <c r="AO117" s="206"/>
      <c r="AP117" s="206"/>
      <c r="AQ117" s="206"/>
      <c r="AR117" s="206"/>
      <c r="AS117" s="206"/>
      <c r="AV117" s="206"/>
      <c r="AW117" s="206"/>
      <c r="AX117" s="206"/>
      <c r="AY117" s="206"/>
      <c r="AZ117" s="206"/>
      <c r="BD117" s="206"/>
      <c r="BF117" s="206"/>
    </row>
    <row r="118" spans="1:100" x14ac:dyDescent="0.2">
      <c r="A118" s="220">
        <v>0</v>
      </c>
      <c r="B118" s="220">
        <v>0</v>
      </c>
      <c r="C118" s="206" t="s">
        <v>482</v>
      </c>
      <c r="D118" s="206" t="s">
        <v>520</v>
      </c>
      <c r="E118" s="192">
        <v>52.17</v>
      </c>
      <c r="F118" s="206" t="s">
        <v>517</v>
      </c>
      <c r="G118" s="206" t="s">
        <v>522</v>
      </c>
      <c r="H118" s="206"/>
      <c r="I118" s="206"/>
      <c r="J118"/>
      <c r="K118"/>
      <c r="L118" s="206"/>
      <c r="M118" s="206"/>
      <c r="N118" s="206"/>
      <c r="O118" s="192">
        <v>1</v>
      </c>
      <c r="P118" s="192">
        <v>1</v>
      </c>
      <c r="Q118" s="206" t="s">
        <v>523</v>
      </c>
      <c r="R118" s="206" t="s">
        <v>524</v>
      </c>
      <c r="S118" s="206">
        <v>793247.04090000002</v>
      </c>
      <c r="T118" s="206">
        <v>2187107.6189999999</v>
      </c>
      <c r="U118" s="206">
        <v>793297.14639999997</v>
      </c>
      <c r="V118" s="206">
        <v>2187093.105</v>
      </c>
      <c r="W118" s="206"/>
      <c r="X118" s="206"/>
      <c r="Y118" s="206"/>
      <c r="Z118" s="206"/>
      <c r="AA118" s="206"/>
      <c r="AB118" s="206" t="s">
        <v>520</v>
      </c>
      <c r="AC118" s="206" t="s">
        <v>523</v>
      </c>
      <c r="AD118" s="206"/>
      <c r="AL118" s="206"/>
      <c r="AM118" s="206"/>
      <c r="AN118" s="206"/>
      <c r="AO118" s="206"/>
      <c r="AP118" s="206"/>
      <c r="AQ118" s="206"/>
      <c r="AR118" s="206"/>
      <c r="AS118" s="206"/>
      <c r="AV118" s="206"/>
      <c r="AW118" s="206"/>
      <c r="AX118" s="206"/>
      <c r="AY118" s="206"/>
      <c r="AZ118" s="206"/>
      <c r="BD118" s="206"/>
      <c r="BF118" s="206"/>
    </row>
    <row r="119" spans="1:100" x14ac:dyDescent="0.2">
      <c r="A119" s="220">
        <v>0</v>
      </c>
      <c r="B119" s="220">
        <v>0</v>
      </c>
      <c r="C119" s="206" t="s">
        <v>482</v>
      </c>
      <c r="D119" s="206" t="s">
        <v>523</v>
      </c>
      <c r="E119" s="192">
        <v>41.56</v>
      </c>
      <c r="F119" s="206" t="s">
        <v>520</v>
      </c>
      <c r="G119" s="206"/>
      <c r="H119" s="206"/>
      <c r="I119" s="206"/>
      <c r="J119"/>
      <c r="K119"/>
      <c r="L119" s="206"/>
      <c r="M119" s="206"/>
      <c r="N119" s="206"/>
      <c r="O119" s="192">
        <v>1</v>
      </c>
      <c r="P119" s="192">
        <v>1.02</v>
      </c>
      <c r="Q119" s="206" t="s">
        <v>525</v>
      </c>
      <c r="R119" s="206" t="s">
        <v>526</v>
      </c>
      <c r="S119" s="206">
        <v>793297.14639999997</v>
      </c>
      <c r="T119" s="206">
        <v>2187093.105</v>
      </c>
      <c r="U119" s="206">
        <v>793336.35149999999</v>
      </c>
      <c r="V119" s="206">
        <v>2187079.3139999998</v>
      </c>
      <c r="W119" s="206"/>
      <c r="X119" s="206"/>
      <c r="Y119" s="206"/>
      <c r="Z119" s="206"/>
      <c r="AA119" s="206"/>
      <c r="AB119" s="206" t="s">
        <v>523</v>
      </c>
      <c r="AC119" s="206" t="s">
        <v>525</v>
      </c>
      <c r="AD119" s="206"/>
      <c r="AL119" s="206"/>
      <c r="AM119" s="206"/>
      <c r="AN119" s="206"/>
      <c r="AO119" s="206"/>
      <c r="AP119" s="206"/>
      <c r="AQ119" s="206"/>
      <c r="AR119" s="206"/>
      <c r="AS119" s="206"/>
      <c r="AV119" s="206"/>
      <c r="AW119" s="206"/>
      <c r="AX119" s="206"/>
      <c r="AY119" s="206"/>
      <c r="AZ119" s="206"/>
      <c r="BD119" s="206"/>
      <c r="BF119" s="206"/>
    </row>
    <row r="120" spans="1:100" x14ac:dyDescent="0.2">
      <c r="A120" s="220">
        <v>0</v>
      </c>
      <c r="B120" s="220">
        <v>0</v>
      </c>
      <c r="C120" s="206" t="s">
        <v>482</v>
      </c>
      <c r="D120" s="206" t="s">
        <v>525</v>
      </c>
      <c r="E120" s="192">
        <v>20.64</v>
      </c>
      <c r="F120" s="206" t="s">
        <v>523</v>
      </c>
      <c r="G120" s="206"/>
      <c r="H120" s="206"/>
      <c r="I120" s="206"/>
      <c r="J120"/>
      <c r="K120"/>
      <c r="L120" s="206"/>
      <c r="M120" s="206"/>
      <c r="N120" s="206"/>
      <c r="O120" s="192">
        <v>1.02</v>
      </c>
      <c r="P120" s="192">
        <v>1.05</v>
      </c>
      <c r="Q120" s="206" t="s">
        <v>527</v>
      </c>
      <c r="R120" s="206" t="s">
        <v>528</v>
      </c>
      <c r="S120" s="206">
        <v>793336.35149999999</v>
      </c>
      <c r="T120" s="206">
        <v>2187079.3139999998</v>
      </c>
      <c r="U120" s="206">
        <v>793355.5024</v>
      </c>
      <c r="V120" s="206">
        <v>2187071.6060000001</v>
      </c>
      <c r="W120" s="206"/>
      <c r="X120" s="206"/>
      <c r="Y120" s="206"/>
      <c r="Z120" s="206"/>
      <c r="AA120" s="206"/>
      <c r="AB120" s="206" t="s">
        <v>525</v>
      </c>
      <c r="AC120" s="206" t="s">
        <v>527</v>
      </c>
      <c r="AD120" s="206"/>
      <c r="AL120" s="206"/>
      <c r="AM120" s="206"/>
      <c r="AN120" s="206"/>
      <c r="AO120" s="206"/>
      <c r="AP120" s="206"/>
      <c r="AQ120" s="206"/>
      <c r="AR120" s="206"/>
      <c r="AS120" s="206"/>
      <c r="AV120" s="206"/>
      <c r="AW120" s="206"/>
      <c r="AX120" s="206"/>
      <c r="AY120" s="206"/>
      <c r="AZ120" s="206"/>
      <c r="BD120" s="206"/>
      <c r="BF120" s="206"/>
    </row>
    <row r="121" spans="1:100" x14ac:dyDescent="0.2">
      <c r="A121" s="220">
        <v>0</v>
      </c>
      <c r="B121" s="220">
        <v>0</v>
      </c>
      <c r="C121" s="206" t="s">
        <v>482</v>
      </c>
      <c r="D121" s="206" t="s">
        <v>527</v>
      </c>
      <c r="E121" s="192">
        <v>91.4</v>
      </c>
      <c r="F121" s="206" t="s">
        <v>525</v>
      </c>
      <c r="G121" s="206" t="s">
        <v>529</v>
      </c>
      <c r="H121" s="206"/>
      <c r="I121" s="206"/>
      <c r="J121" s="206"/>
      <c r="K121" s="206"/>
      <c r="L121" s="206"/>
      <c r="M121" s="206"/>
      <c r="N121" s="206"/>
      <c r="O121" s="192">
        <v>1.05</v>
      </c>
      <c r="P121" s="192">
        <v>1</v>
      </c>
      <c r="Q121" s="206" t="s">
        <v>530</v>
      </c>
      <c r="R121" s="206" t="s">
        <v>531</v>
      </c>
      <c r="S121" s="206">
        <v>793355.5024</v>
      </c>
      <c r="T121" s="206">
        <v>2187071.6060000001</v>
      </c>
      <c r="U121" s="206">
        <v>793439.63390000002</v>
      </c>
      <c r="V121" s="206">
        <v>2187035.8939999999</v>
      </c>
      <c r="W121" s="206"/>
      <c r="X121" s="206"/>
      <c r="Y121" s="206"/>
      <c r="Z121" s="206"/>
      <c r="AA121" s="206"/>
      <c r="AB121" s="206" t="s">
        <v>527</v>
      </c>
      <c r="AC121" s="206" t="s">
        <v>530</v>
      </c>
      <c r="AD121" s="206"/>
      <c r="AL121" s="206"/>
      <c r="AM121" s="206"/>
      <c r="AN121" s="206"/>
      <c r="AO121" s="206"/>
      <c r="AP121" s="206"/>
      <c r="AQ121" s="206"/>
      <c r="AR121" s="206"/>
      <c r="AS121" s="206"/>
      <c r="AV121" s="206"/>
      <c r="AW121" s="206"/>
      <c r="AX121" s="206"/>
      <c r="AY121" s="206"/>
      <c r="AZ121" s="206"/>
      <c r="BA121" s="206"/>
      <c r="BB121" s="206"/>
      <c r="BD121" s="206"/>
      <c r="BF121" s="206"/>
      <c r="BG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  <c r="BY121" s="201"/>
      <c r="BZ121" s="201"/>
      <c r="CA121" s="201"/>
      <c r="CB121" s="201"/>
      <c r="CC121" s="201"/>
      <c r="CD121" s="201"/>
      <c r="CE121" s="201"/>
      <c r="CF121" s="201"/>
      <c r="CG121" s="201"/>
      <c r="CH121" s="201"/>
      <c r="CI121" s="201"/>
      <c r="CJ121" s="201"/>
      <c r="CK121" s="201"/>
      <c r="CL121" s="201"/>
      <c r="CM121" s="201"/>
      <c r="CN121" s="201"/>
      <c r="CO121" s="201"/>
      <c r="CP121" s="201"/>
      <c r="CQ121" s="201"/>
      <c r="CR121" s="201"/>
      <c r="CS121" s="201"/>
      <c r="CT121" s="201"/>
      <c r="CU121" s="201"/>
      <c r="CV121" s="201"/>
    </row>
    <row r="122" spans="1:100" x14ac:dyDescent="0.2">
      <c r="A122" s="220">
        <v>0</v>
      </c>
      <c r="B122" s="220">
        <v>0</v>
      </c>
      <c r="C122" s="206" t="s">
        <v>482</v>
      </c>
      <c r="D122" s="206" t="s">
        <v>530</v>
      </c>
      <c r="E122" s="192">
        <v>24.79</v>
      </c>
      <c r="F122" s="206" t="s">
        <v>527</v>
      </c>
      <c r="G122" s="206" t="s">
        <v>532</v>
      </c>
      <c r="H122" s="206"/>
      <c r="I122" s="206"/>
      <c r="J122"/>
      <c r="K122"/>
      <c r="L122" s="206"/>
      <c r="M122" s="206"/>
      <c r="N122" s="206"/>
      <c r="O122" s="192">
        <v>1</v>
      </c>
      <c r="P122" s="192">
        <v>1.0900000000000001</v>
      </c>
      <c r="Q122" s="206" t="s">
        <v>533</v>
      </c>
      <c r="R122" s="206" t="s">
        <v>534</v>
      </c>
      <c r="S122" s="206">
        <v>793439.63390000002</v>
      </c>
      <c r="T122" s="206">
        <v>2187035.8939999999</v>
      </c>
      <c r="U122" s="206">
        <v>793463.05130000005</v>
      </c>
      <c r="V122" s="206">
        <v>2187027.7629999998</v>
      </c>
      <c r="W122" s="206"/>
      <c r="X122" s="206"/>
      <c r="Y122" s="206"/>
      <c r="Z122" s="206"/>
      <c r="AA122" s="206"/>
      <c r="AB122" s="206" t="s">
        <v>530</v>
      </c>
      <c r="AC122" s="206" t="s">
        <v>533</v>
      </c>
      <c r="AD122" s="206"/>
      <c r="AL122" s="206"/>
      <c r="AM122" s="206"/>
      <c r="AN122" s="206"/>
      <c r="AO122" s="206"/>
      <c r="AP122" s="206"/>
      <c r="AQ122" s="206"/>
      <c r="AR122" s="206"/>
      <c r="AS122" s="206"/>
      <c r="AV122" s="206"/>
      <c r="AW122" s="206"/>
      <c r="AX122" s="206"/>
      <c r="AY122" s="206"/>
      <c r="AZ122" s="206"/>
      <c r="BD122" s="206"/>
      <c r="BF122" s="206"/>
    </row>
    <row r="123" spans="1:100" x14ac:dyDescent="0.2">
      <c r="A123" s="220">
        <v>0</v>
      </c>
      <c r="B123" s="220">
        <v>1</v>
      </c>
      <c r="C123" s="206" t="s">
        <v>482</v>
      </c>
      <c r="D123" s="206" t="s">
        <v>533</v>
      </c>
      <c r="E123" s="192">
        <v>12.72</v>
      </c>
      <c r="F123" s="206" t="s">
        <v>530</v>
      </c>
      <c r="G123" s="206" t="s">
        <v>535</v>
      </c>
      <c r="H123" s="206" t="s">
        <v>536</v>
      </c>
      <c r="I123" s="206"/>
      <c r="J123"/>
      <c r="K123"/>
      <c r="L123" s="206"/>
      <c r="M123" s="206"/>
      <c r="N123" s="206"/>
      <c r="O123" s="192">
        <v>1.0900000000000001</v>
      </c>
      <c r="P123" s="192">
        <v>0.54</v>
      </c>
      <c r="Q123" s="206"/>
      <c r="R123" s="206" t="s">
        <v>537</v>
      </c>
      <c r="S123" s="206">
        <v>793463.05130000005</v>
      </c>
      <c r="T123" s="206">
        <v>2187027.7629999998</v>
      </c>
      <c r="U123" s="206">
        <v>793474.98470000003</v>
      </c>
      <c r="V123" s="206">
        <v>2187023.3670000001</v>
      </c>
      <c r="W123" s="206"/>
      <c r="X123" s="206"/>
      <c r="Y123" s="206"/>
      <c r="Z123" s="206"/>
      <c r="AA123" s="206"/>
      <c r="AB123" s="206" t="s">
        <v>533</v>
      </c>
      <c r="AC123" s="206" t="s">
        <v>538</v>
      </c>
      <c r="AD123" s="206"/>
      <c r="AL123" s="206"/>
      <c r="AM123" s="206"/>
      <c r="AN123" s="206"/>
      <c r="AO123" s="206"/>
      <c r="AP123" s="206"/>
      <c r="AQ123" s="206"/>
      <c r="AR123" s="206"/>
      <c r="AS123" s="206"/>
      <c r="AV123" s="206"/>
      <c r="AW123" s="206"/>
      <c r="AX123" s="206"/>
      <c r="AY123" s="206"/>
      <c r="AZ123" s="206"/>
      <c r="BD123" s="206"/>
      <c r="BF123" s="206"/>
    </row>
    <row r="124" spans="1:100" x14ac:dyDescent="0.2">
      <c r="A124" s="220">
        <v>1</v>
      </c>
      <c r="B124" s="220">
        <v>1</v>
      </c>
      <c r="C124" s="206" t="s">
        <v>539</v>
      </c>
      <c r="D124" s="206" t="s">
        <v>522</v>
      </c>
      <c r="E124" s="192">
        <v>41.73</v>
      </c>
      <c r="F124" s="206"/>
      <c r="G124" s="206"/>
      <c r="H124" s="206"/>
      <c r="I124" s="206"/>
      <c r="J124"/>
      <c r="K124"/>
      <c r="L124" s="206"/>
      <c r="M124" s="206"/>
      <c r="N124" s="206"/>
      <c r="O124" s="192">
        <v>1</v>
      </c>
      <c r="P124" s="192">
        <v>1</v>
      </c>
      <c r="Q124" s="206" t="s">
        <v>520</v>
      </c>
      <c r="R124" s="206" t="s">
        <v>540</v>
      </c>
      <c r="S124" s="206">
        <v>793262.27729999996</v>
      </c>
      <c r="T124" s="206">
        <v>2187146.463</v>
      </c>
      <c r="U124" s="206">
        <v>793247.04090000002</v>
      </c>
      <c r="V124" s="206">
        <v>2187107.6189999999</v>
      </c>
      <c r="W124" s="206"/>
      <c r="X124" s="206"/>
      <c r="Y124" s="206"/>
      <c r="Z124" s="206"/>
      <c r="AA124" s="206"/>
      <c r="AB124" s="206" t="s">
        <v>522</v>
      </c>
      <c r="AC124" s="206" t="s">
        <v>520</v>
      </c>
      <c r="AD124" s="206"/>
      <c r="AL124" s="206"/>
      <c r="AM124" s="206"/>
      <c r="AN124" s="206"/>
      <c r="AO124" s="206"/>
      <c r="AP124" s="206"/>
      <c r="AQ124" s="206"/>
      <c r="AR124" s="206"/>
      <c r="AS124" s="206"/>
      <c r="AV124" s="206"/>
      <c r="AW124" s="206"/>
      <c r="AX124" s="206"/>
      <c r="AY124" s="206"/>
      <c r="AZ124" s="206"/>
      <c r="BD124" s="206"/>
      <c r="BF124" s="206"/>
    </row>
    <row r="125" spans="1:100" x14ac:dyDescent="0.2">
      <c r="A125" s="220">
        <v>1</v>
      </c>
      <c r="B125" s="220">
        <v>0</v>
      </c>
      <c r="C125" s="206" t="s">
        <v>541</v>
      </c>
      <c r="D125" s="206" t="s">
        <v>542</v>
      </c>
      <c r="E125" s="192">
        <v>47.85</v>
      </c>
      <c r="F125" s="206"/>
      <c r="G125" s="206"/>
      <c r="H125" s="206"/>
      <c r="I125" s="206"/>
      <c r="J125"/>
      <c r="K125"/>
      <c r="L125" s="206"/>
      <c r="M125" s="206"/>
      <c r="N125" s="206"/>
      <c r="O125" s="192">
        <v>1.73</v>
      </c>
      <c r="P125" s="192">
        <v>1.39</v>
      </c>
      <c r="Q125" s="206" t="s">
        <v>543</v>
      </c>
      <c r="R125" s="206" t="s">
        <v>544</v>
      </c>
      <c r="S125" s="206">
        <v>793237.97739999997</v>
      </c>
      <c r="T125" s="206">
        <v>2187210.3590000002</v>
      </c>
      <c r="U125" s="206">
        <v>793283.62639999995</v>
      </c>
      <c r="V125" s="206">
        <v>2187196.0260000001</v>
      </c>
      <c r="W125" s="206"/>
      <c r="X125" s="206"/>
      <c r="Y125" s="206"/>
      <c r="Z125" s="206"/>
      <c r="AA125" s="206"/>
      <c r="AB125" s="206" t="s">
        <v>542</v>
      </c>
      <c r="AC125" s="206" t="s">
        <v>543</v>
      </c>
      <c r="AD125" s="206"/>
      <c r="AL125" s="206"/>
      <c r="AM125" s="206"/>
      <c r="AN125" s="206"/>
      <c r="AO125" s="206"/>
      <c r="AP125" s="206"/>
      <c r="AQ125" s="206"/>
      <c r="AR125" s="206"/>
      <c r="AS125" s="206"/>
      <c r="AV125" s="206"/>
      <c r="AW125" s="206"/>
      <c r="AX125" s="206"/>
      <c r="AY125" s="206"/>
      <c r="AZ125" s="206"/>
      <c r="BD125" s="206"/>
      <c r="BF125" s="206"/>
    </row>
    <row r="126" spans="1:100" x14ac:dyDescent="0.2">
      <c r="A126" s="220">
        <v>0</v>
      </c>
      <c r="B126" s="220">
        <v>1</v>
      </c>
      <c r="C126" s="206" t="s">
        <v>541</v>
      </c>
      <c r="D126" s="206" t="s">
        <v>543</v>
      </c>
      <c r="E126" s="192">
        <v>47.5</v>
      </c>
      <c r="F126" s="206" t="s">
        <v>542</v>
      </c>
      <c r="G126" s="206"/>
      <c r="H126" s="206"/>
      <c r="I126" s="206"/>
      <c r="J126"/>
      <c r="K126"/>
      <c r="L126" s="206"/>
      <c r="M126" s="206"/>
      <c r="N126" s="206"/>
      <c r="O126" s="192">
        <v>1.39</v>
      </c>
      <c r="P126" s="192">
        <v>1.21</v>
      </c>
      <c r="Q126" s="206" t="s">
        <v>545</v>
      </c>
      <c r="R126" s="206" t="s">
        <v>546</v>
      </c>
      <c r="S126" s="206">
        <v>793283.62639999995</v>
      </c>
      <c r="T126" s="206">
        <v>2187196.0260000001</v>
      </c>
      <c r="U126" s="206">
        <v>793328.22840000002</v>
      </c>
      <c r="V126" s="206">
        <v>2187179.6970000002</v>
      </c>
      <c r="W126" s="206"/>
      <c r="X126" s="206"/>
      <c r="Y126" s="206"/>
      <c r="Z126" s="206"/>
      <c r="AA126" s="206"/>
      <c r="AB126" s="206" t="s">
        <v>543</v>
      </c>
      <c r="AC126" s="206" t="s">
        <v>545</v>
      </c>
      <c r="AD126" s="206"/>
      <c r="AL126" s="206"/>
      <c r="AM126" s="206"/>
      <c r="AN126" s="206"/>
      <c r="AO126" s="206"/>
      <c r="AP126" s="206"/>
      <c r="AQ126" s="206"/>
      <c r="AR126" s="206"/>
      <c r="AS126" s="206"/>
      <c r="AV126" s="206"/>
      <c r="AW126" s="206"/>
      <c r="AX126" s="206"/>
      <c r="AY126" s="206"/>
      <c r="AZ126" s="206"/>
      <c r="BD126" s="206"/>
      <c r="BF126" s="206"/>
    </row>
    <row r="127" spans="1:100" x14ac:dyDescent="0.2">
      <c r="A127" s="220">
        <v>1</v>
      </c>
      <c r="B127" s="220">
        <v>0</v>
      </c>
      <c r="C127" s="206" t="s">
        <v>547</v>
      </c>
      <c r="D127" s="206" t="s">
        <v>548</v>
      </c>
      <c r="E127" s="192">
        <v>46.21</v>
      </c>
      <c r="F127" s="206"/>
      <c r="G127" s="206"/>
      <c r="H127" s="206"/>
      <c r="I127" s="206"/>
      <c r="J127"/>
      <c r="K127"/>
      <c r="L127" s="206"/>
      <c r="M127" s="206"/>
      <c r="N127" s="206"/>
      <c r="O127" s="192">
        <v>2.0699999999999998</v>
      </c>
      <c r="P127" s="192">
        <v>1.69</v>
      </c>
      <c r="Q127" s="206" t="s">
        <v>549</v>
      </c>
      <c r="R127" s="206" t="s">
        <v>550</v>
      </c>
      <c r="S127" s="206">
        <v>793256.64650000003</v>
      </c>
      <c r="T127" s="206">
        <v>2187257.0920000002</v>
      </c>
      <c r="U127" s="206">
        <v>793300.72970000003</v>
      </c>
      <c r="V127" s="206">
        <v>2187243.2409999999</v>
      </c>
      <c r="W127" s="206"/>
      <c r="X127" s="206"/>
      <c r="Y127" s="206"/>
      <c r="Z127" s="206"/>
      <c r="AA127" s="206"/>
      <c r="AB127" s="206" t="s">
        <v>548</v>
      </c>
      <c r="AC127" s="206" t="s">
        <v>549</v>
      </c>
      <c r="AD127" s="206"/>
      <c r="AL127" s="206"/>
      <c r="AM127" s="206"/>
      <c r="AN127" s="206"/>
      <c r="AO127" s="206"/>
      <c r="AP127" s="206"/>
      <c r="AQ127" s="206"/>
      <c r="AR127" s="206"/>
      <c r="AS127" s="206"/>
      <c r="AV127" s="206"/>
      <c r="AW127" s="206"/>
      <c r="AX127" s="206"/>
      <c r="AY127" s="206"/>
      <c r="AZ127" s="206"/>
      <c r="BD127" s="206"/>
      <c r="BF127" s="206"/>
    </row>
    <row r="128" spans="1:100" x14ac:dyDescent="0.2">
      <c r="A128" s="220">
        <v>0</v>
      </c>
      <c r="B128" s="220">
        <v>1</v>
      </c>
      <c r="C128" s="206" t="s">
        <v>547</v>
      </c>
      <c r="D128" s="206" t="s">
        <v>549</v>
      </c>
      <c r="E128" s="192">
        <v>47.03</v>
      </c>
      <c r="F128" s="206" t="s">
        <v>548</v>
      </c>
      <c r="G128" s="206" t="s">
        <v>551</v>
      </c>
      <c r="H128" s="206"/>
      <c r="I128" s="206"/>
      <c r="J128" s="206"/>
      <c r="K128" s="206"/>
      <c r="L128" s="206"/>
      <c r="M128" s="206"/>
      <c r="N128" s="206"/>
      <c r="O128" s="192">
        <v>1.69</v>
      </c>
      <c r="P128" s="192">
        <v>1.04</v>
      </c>
      <c r="Q128" s="206" t="s">
        <v>552</v>
      </c>
      <c r="R128" s="206" t="s">
        <v>553</v>
      </c>
      <c r="S128" s="206">
        <v>793300.72970000003</v>
      </c>
      <c r="T128" s="206">
        <v>2187243.2409999999</v>
      </c>
      <c r="U128" s="206">
        <v>793344.72250000003</v>
      </c>
      <c r="V128" s="206">
        <v>2187226.62</v>
      </c>
      <c r="W128" s="206"/>
      <c r="X128" s="206"/>
      <c r="Y128" s="206"/>
      <c r="Z128" s="206"/>
      <c r="AA128" s="206"/>
      <c r="AB128" s="206" t="s">
        <v>549</v>
      </c>
      <c r="AC128" s="206" t="s">
        <v>552</v>
      </c>
      <c r="AD128" s="206"/>
      <c r="AL128" s="206"/>
      <c r="AM128" s="206"/>
      <c r="AN128" s="206"/>
      <c r="AO128" s="206"/>
      <c r="AP128" s="206"/>
      <c r="AQ128" s="206"/>
      <c r="AR128" s="206"/>
      <c r="AS128" s="206"/>
      <c r="AV128" s="206"/>
      <c r="AW128" s="206"/>
      <c r="AX128" s="206"/>
      <c r="AY128" s="206"/>
      <c r="AZ128" s="206"/>
      <c r="BA128" s="206"/>
      <c r="BB128" s="206"/>
      <c r="BD128" s="206"/>
      <c r="BF128" s="206"/>
      <c r="BG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  <c r="BY128" s="201"/>
      <c r="BZ128" s="201"/>
      <c r="CA128" s="201"/>
      <c r="CB128" s="201"/>
      <c r="CC128" s="201"/>
      <c r="CD128" s="201"/>
      <c r="CE128" s="201"/>
      <c r="CF128" s="201"/>
      <c r="CG128" s="201"/>
      <c r="CH128" s="201"/>
      <c r="CI128" s="201"/>
      <c r="CJ128" s="201"/>
      <c r="CK128" s="201"/>
      <c r="CL128" s="201"/>
      <c r="CM128" s="201"/>
      <c r="CN128" s="201"/>
      <c r="CP128" s="201"/>
      <c r="CQ128" s="201"/>
      <c r="CR128" s="201"/>
      <c r="CS128" s="201"/>
      <c r="CT128" s="201"/>
      <c r="CU128" s="201"/>
      <c r="CV128" s="201"/>
    </row>
    <row r="129" spans="1:100" x14ac:dyDescent="0.2">
      <c r="A129" s="220">
        <v>1</v>
      </c>
      <c r="B129" s="220">
        <v>0</v>
      </c>
      <c r="C129" s="206" t="s">
        <v>554</v>
      </c>
      <c r="D129" s="206" t="s">
        <v>555</v>
      </c>
      <c r="E129" s="192">
        <v>44.36</v>
      </c>
      <c r="F129" s="206"/>
      <c r="G129" s="206"/>
      <c r="H129" s="206"/>
      <c r="I129" s="206"/>
      <c r="J129" s="206"/>
      <c r="K129" s="206"/>
      <c r="L129" s="206"/>
      <c r="M129" s="206"/>
      <c r="N129" s="206"/>
      <c r="O129" s="192">
        <v>3.22</v>
      </c>
      <c r="P129" s="192">
        <v>2.54</v>
      </c>
      <c r="Q129" s="206" t="s">
        <v>556</v>
      </c>
      <c r="R129" s="206" t="s">
        <v>557</v>
      </c>
      <c r="S129" s="206">
        <v>793352.28049999999</v>
      </c>
      <c r="T129" s="206">
        <v>2187371.6970000002</v>
      </c>
      <c r="U129" s="206">
        <v>793393.41280000005</v>
      </c>
      <c r="V129" s="206">
        <v>2187355.0750000002</v>
      </c>
      <c r="W129" s="206"/>
      <c r="X129" s="206"/>
      <c r="Y129" s="206"/>
      <c r="Z129" s="206"/>
      <c r="AA129" s="206"/>
      <c r="AB129" s="206" t="s">
        <v>555</v>
      </c>
      <c r="AC129" s="206" t="s">
        <v>556</v>
      </c>
      <c r="AD129" s="206"/>
      <c r="AL129" s="206"/>
      <c r="AM129" s="206"/>
      <c r="AN129" s="206"/>
      <c r="AO129" s="206"/>
      <c r="AP129" s="206"/>
      <c r="AQ129" s="206"/>
      <c r="AR129" s="206"/>
      <c r="AS129" s="206"/>
      <c r="AV129" s="206"/>
      <c r="AW129" s="206"/>
      <c r="AX129" s="206"/>
      <c r="AY129" s="206"/>
      <c r="AZ129" s="206"/>
      <c r="BA129" s="206"/>
      <c r="BB129" s="206"/>
      <c r="BD129" s="206"/>
      <c r="BF129" s="206"/>
      <c r="BG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  <c r="BY129" s="201"/>
      <c r="BZ129" s="201"/>
      <c r="CA129" s="201"/>
      <c r="CB129" s="201"/>
      <c r="CC129" s="201"/>
      <c r="CD129" s="201"/>
      <c r="CE129" s="201"/>
      <c r="CF129" s="201"/>
      <c r="CG129" s="201"/>
      <c r="CH129" s="201"/>
      <c r="CI129" s="201"/>
      <c r="CJ129" s="201"/>
      <c r="CK129" s="201"/>
      <c r="CL129" s="201"/>
      <c r="CM129" s="201"/>
      <c r="CN129" s="201"/>
      <c r="CP129" s="201"/>
      <c r="CQ129" s="201"/>
      <c r="CR129" s="201"/>
      <c r="CS129" s="201"/>
      <c r="CT129" s="201"/>
      <c r="CU129" s="201"/>
      <c r="CV129" s="201"/>
    </row>
    <row r="130" spans="1:100" x14ac:dyDescent="0.2">
      <c r="A130" s="220">
        <v>0</v>
      </c>
      <c r="B130" s="220">
        <v>1</v>
      </c>
      <c r="C130" s="206" t="s">
        <v>554</v>
      </c>
      <c r="D130" s="206" t="s">
        <v>556</v>
      </c>
      <c r="E130" s="192">
        <v>42.81</v>
      </c>
      <c r="F130" s="206" t="s">
        <v>555</v>
      </c>
      <c r="G130" s="206" t="s">
        <v>558</v>
      </c>
      <c r="H130" s="206"/>
      <c r="I130" s="206"/>
      <c r="J130"/>
      <c r="K130"/>
      <c r="L130" s="206"/>
      <c r="M130" s="206"/>
      <c r="N130" s="206"/>
      <c r="O130" s="192">
        <v>2.54</v>
      </c>
      <c r="P130" s="192">
        <v>1.92</v>
      </c>
      <c r="Q130" s="206" t="s">
        <v>559</v>
      </c>
      <c r="R130" s="206" t="s">
        <v>560</v>
      </c>
      <c r="S130" s="206">
        <v>793393.41280000005</v>
      </c>
      <c r="T130" s="206">
        <v>2187355.0750000002</v>
      </c>
      <c r="U130" s="206">
        <v>793377.66449999996</v>
      </c>
      <c r="V130" s="206">
        <v>2187315.2680000002</v>
      </c>
      <c r="W130" s="206"/>
      <c r="X130" s="206"/>
      <c r="Y130" s="206"/>
      <c r="Z130" s="206"/>
      <c r="AA130" s="206"/>
      <c r="AB130" s="206" t="s">
        <v>556</v>
      </c>
      <c r="AC130" s="206" t="s">
        <v>559</v>
      </c>
      <c r="AD130" s="206"/>
      <c r="AL130" s="206"/>
      <c r="AM130" s="206"/>
      <c r="AN130" s="206"/>
      <c r="AO130" s="206"/>
      <c r="AP130" s="206"/>
      <c r="AQ130" s="206"/>
      <c r="AR130" s="206"/>
      <c r="AS130" s="206"/>
      <c r="AV130" s="206"/>
      <c r="AW130" s="206"/>
      <c r="AX130" s="206"/>
      <c r="AY130" s="206"/>
      <c r="AZ130" s="206"/>
      <c r="BD130" s="206"/>
      <c r="BF130" s="206"/>
    </row>
    <row r="131" spans="1:100" x14ac:dyDescent="0.2">
      <c r="A131" s="220">
        <v>1</v>
      </c>
      <c r="B131" s="220">
        <v>0</v>
      </c>
      <c r="C131" s="206" t="s">
        <v>561</v>
      </c>
      <c r="D131" s="206" t="s">
        <v>562</v>
      </c>
      <c r="E131" s="192">
        <v>45.94</v>
      </c>
      <c r="F131" s="206"/>
      <c r="G131" s="206"/>
      <c r="H131" s="206"/>
      <c r="I131" s="206"/>
      <c r="J131"/>
      <c r="K131"/>
      <c r="L131" s="206"/>
      <c r="M131" s="206"/>
      <c r="N131" s="206"/>
      <c r="O131" s="192">
        <v>3.8</v>
      </c>
      <c r="P131" s="192">
        <v>3.08</v>
      </c>
      <c r="Q131" s="206" t="s">
        <v>558</v>
      </c>
      <c r="R131" s="206" t="s">
        <v>563</v>
      </c>
      <c r="S131" s="206">
        <v>793428.79379999998</v>
      </c>
      <c r="T131" s="206">
        <v>2187445.108</v>
      </c>
      <c r="U131" s="206">
        <v>793413.01529999997</v>
      </c>
      <c r="V131" s="206">
        <v>2187401.9589999998</v>
      </c>
      <c r="W131" s="206"/>
      <c r="X131" s="206"/>
      <c r="Y131" s="206"/>
      <c r="Z131" s="206"/>
      <c r="AA131" s="206"/>
      <c r="AB131" s="206" t="s">
        <v>562</v>
      </c>
      <c r="AC131" s="206" t="s">
        <v>558</v>
      </c>
      <c r="AD131" s="206"/>
      <c r="AL131" s="206"/>
      <c r="AM131" s="206"/>
      <c r="AN131" s="206"/>
      <c r="AO131" s="206"/>
      <c r="AP131" s="206"/>
      <c r="AQ131" s="206"/>
      <c r="AR131" s="206"/>
      <c r="AS131" s="206"/>
      <c r="AV131" s="206"/>
      <c r="AW131" s="206"/>
      <c r="AX131" s="206"/>
      <c r="AY131" s="206"/>
      <c r="AZ131" s="206"/>
      <c r="BD131" s="206"/>
      <c r="BF131" s="206"/>
    </row>
    <row r="132" spans="1:100" x14ac:dyDescent="0.2">
      <c r="A132" s="220">
        <v>0</v>
      </c>
      <c r="B132" s="220">
        <v>1</v>
      </c>
      <c r="C132" s="206" t="s">
        <v>561</v>
      </c>
      <c r="D132" s="206" t="s">
        <v>558</v>
      </c>
      <c r="E132" s="192">
        <v>50.82</v>
      </c>
      <c r="F132" s="206" t="s">
        <v>562</v>
      </c>
      <c r="G132" s="206"/>
      <c r="H132" s="206"/>
      <c r="I132" s="206"/>
      <c r="J132" s="206"/>
      <c r="K132" s="206"/>
      <c r="L132" s="206"/>
      <c r="M132" s="206"/>
      <c r="N132" s="206"/>
      <c r="O132" s="192">
        <v>3.08</v>
      </c>
      <c r="P132" s="192">
        <v>2.54</v>
      </c>
      <c r="Q132" s="206" t="s">
        <v>556</v>
      </c>
      <c r="R132" s="206" t="s">
        <v>564</v>
      </c>
      <c r="S132" s="206">
        <v>793413.01529999997</v>
      </c>
      <c r="T132" s="206">
        <v>2187401.9589999998</v>
      </c>
      <c r="U132" s="206">
        <v>793393.41280000005</v>
      </c>
      <c r="V132" s="206">
        <v>2187355.0750000002</v>
      </c>
      <c r="W132" s="206"/>
      <c r="X132" s="206"/>
      <c r="Y132" s="206"/>
      <c r="Z132" s="206"/>
      <c r="AA132" s="206"/>
      <c r="AB132" s="206" t="s">
        <v>558</v>
      </c>
      <c r="AC132" s="206" t="s">
        <v>556</v>
      </c>
      <c r="AD132" s="206"/>
      <c r="AL132" s="206"/>
      <c r="AM132" s="206"/>
      <c r="AN132" s="206"/>
      <c r="AO132" s="206"/>
      <c r="AP132" s="206"/>
      <c r="AQ132" s="206"/>
      <c r="AR132" s="206"/>
      <c r="AS132" s="206"/>
      <c r="AV132" s="206"/>
      <c r="AW132" s="206"/>
      <c r="AX132" s="206"/>
      <c r="AY132" s="206"/>
      <c r="AZ132" s="206"/>
      <c r="BA132" s="206"/>
      <c r="BB132" s="206"/>
      <c r="BD132" s="206"/>
      <c r="BF132" s="206"/>
      <c r="BG132" s="201"/>
      <c r="BH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  <c r="BY132" s="201"/>
      <c r="BZ132" s="201"/>
      <c r="CA132" s="201"/>
      <c r="CB132" s="201"/>
      <c r="CC132" s="201"/>
      <c r="CD132" s="201"/>
      <c r="CE132" s="201"/>
      <c r="CF132" s="201"/>
      <c r="CG132" s="201"/>
      <c r="CH132" s="201"/>
      <c r="CI132" s="201"/>
      <c r="CJ132" s="201"/>
      <c r="CK132" s="201"/>
      <c r="CL132" s="201"/>
      <c r="CM132" s="201"/>
      <c r="CN132" s="201"/>
      <c r="CO132" s="201"/>
      <c r="CP132" s="201"/>
      <c r="CQ132" s="201"/>
      <c r="CR132" s="201"/>
      <c r="CS132" s="201"/>
      <c r="CT132" s="201"/>
      <c r="CU132" s="201"/>
      <c r="CV132" s="201"/>
    </row>
    <row r="133" spans="1:100" x14ac:dyDescent="0.2">
      <c r="A133" s="220">
        <v>1</v>
      </c>
      <c r="B133" s="220">
        <v>0</v>
      </c>
      <c r="C133" s="206" t="s">
        <v>565</v>
      </c>
      <c r="D133" s="206" t="s">
        <v>566</v>
      </c>
      <c r="E133" s="192">
        <v>45.9</v>
      </c>
      <c r="F133" s="206"/>
      <c r="G133" s="206"/>
      <c r="H133" s="206"/>
      <c r="I133" s="206"/>
      <c r="J133" s="206"/>
      <c r="K133" s="206"/>
      <c r="L133" s="206"/>
      <c r="M133" s="206"/>
      <c r="N133" s="206"/>
      <c r="O133" s="192">
        <v>2.44</v>
      </c>
      <c r="P133" s="192">
        <v>1.62</v>
      </c>
      <c r="Q133" s="206" t="s">
        <v>551</v>
      </c>
      <c r="R133" s="206" t="s">
        <v>567</v>
      </c>
      <c r="S133" s="206">
        <v>793273.56909999996</v>
      </c>
      <c r="T133" s="206">
        <v>2187300.1519999998</v>
      </c>
      <c r="U133" s="206">
        <v>793317.05009999999</v>
      </c>
      <c r="V133" s="206">
        <v>2187285.4569999999</v>
      </c>
      <c r="W133" s="206"/>
      <c r="X133" s="206"/>
      <c r="Y133" s="206"/>
      <c r="Z133" s="206"/>
      <c r="AA133" s="206"/>
      <c r="AB133" s="206" t="s">
        <v>566</v>
      </c>
      <c r="AC133" s="206" t="s">
        <v>551</v>
      </c>
      <c r="AD133" s="206"/>
      <c r="AL133" s="206"/>
      <c r="AM133" s="206"/>
      <c r="AN133" s="206"/>
      <c r="AO133" s="206"/>
      <c r="AP133" s="206"/>
      <c r="AQ133" s="206"/>
      <c r="AR133" s="206"/>
      <c r="AS133" s="206"/>
      <c r="AV133" s="206"/>
      <c r="AW133" s="206"/>
      <c r="AX133" s="206"/>
      <c r="AY133" s="206"/>
      <c r="AZ133" s="206"/>
      <c r="BA133" s="206"/>
      <c r="BB133" s="206"/>
      <c r="BD133" s="206"/>
      <c r="BF133" s="206"/>
      <c r="BG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  <c r="BY133" s="201"/>
      <c r="BZ133" s="201"/>
      <c r="CA133" s="201"/>
      <c r="CB133" s="201"/>
      <c r="CC133" s="201"/>
      <c r="CD133" s="201"/>
      <c r="CE133" s="201"/>
      <c r="CF133" s="201"/>
      <c r="CG133" s="201"/>
      <c r="CH133" s="201"/>
      <c r="CI133" s="201"/>
      <c r="CJ133" s="201"/>
      <c r="CK133" s="201"/>
      <c r="CL133" s="201"/>
      <c r="CM133" s="201"/>
      <c r="CN133" s="201"/>
      <c r="CO133" s="201"/>
      <c r="CP133" s="201"/>
      <c r="CQ133" s="201"/>
      <c r="CR133" s="201"/>
      <c r="CS133" s="201"/>
      <c r="CT133" s="201"/>
      <c r="CU133" s="201"/>
      <c r="CV133" s="201"/>
    </row>
    <row r="134" spans="1:100" x14ac:dyDescent="0.2">
      <c r="A134" s="220">
        <v>0</v>
      </c>
      <c r="B134" s="220">
        <v>1</v>
      </c>
      <c r="C134" s="206" t="s">
        <v>565</v>
      </c>
      <c r="D134" s="206" t="s">
        <v>551</v>
      </c>
      <c r="E134" s="192">
        <v>45.26</v>
      </c>
      <c r="F134" s="206" t="s">
        <v>566</v>
      </c>
      <c r="G134" s="206"/>
      <c r="H134" s="206"/>
      <c r="I134" s="206"/>
      <c r="J134"/>
      <c r="K134"/>
      <c r="L134" s="206"/>
      <c r="M134" s="206"/>
      <c r="N134" s="206"/>
      <c r="O134" s="192">
        <v>1.62</v>
      </c>
      <c r="P134" s="192">
        <v>1.69</v>
      </c>
      <c r="Q134" s="206" t="s">
        <v>549</v>
      </c>
      <c r="R134" s="206" t="s">
        <v>568</v>
      </c>
      <c r="S134" s="206">
        <v>793317.05009999999</v>
      </c>
      <c r="T134" s="206">
        <v>2187285.4569999999</v>
      </c>
      <c r="U134" s="206">
        <v>793300.72970000003</v>
      </c>
      <c r="V134" s="206">
        <v>2187243.2409999999</v>
      </c>
      <c r="W134" s="206"/>
      <c r="X134" s="206"/>
      <c r="Y134" s="206"/>
      <c r="Z134" s="206"/>
      <c r="AA134" s="206"/>
      <c r="AB134" s="206" t="s">
        <v>551</v>
      </c>
      <c r="AC134" s="206" t="s">
        <v>549</v>
      </c>
      <c r="AD134" s="206"/>
      <c r="AL134" s="206"/>
      <c r="AM134" s="206"/>
      <c r="AN134" s="206"/>
      <c r="AO134" s="206"/>
      <c r="AP134" s="206"/>
      <c r="AQ134" s="206"/>
      <c r="AR134" s="206"/>
      <c r="AS134" s="206"/>
      <c r="AV134" s="206"/>
      <c r="AW134" s="206"/>
      <c r="AX134" s="206"/>
      <c r="AY134" s="206"/>
      <c r="AZ134" s="206"/>
      <c r="BD134" s="206"/>
      <c r="BF134" s="206"/>
    </row>
    <row r="135" spans="1:100" x14ac:dyDescent="0.2">
      <c r="A135" s="220">
        <v>1</v>
      </c>
      <c r="B135" s="220">
        <v>0</v>
      </c>
      <c r="C135" s="206" t="s">
        <v>569</v>
      </c>
      <c r="D135" s="206" t="s">
        <v>570</v>
      </c>
      <c r="E135" s="192">
        <v>51.46</v>
      </c>
      <c r="F135" s="206"/>
      <c r="G135" s="206"/>
      <c r="H135" s="206"/>
      <c r="I135" s="206"/>
      <c r="J135" s="206"/>
      <c r="K135" s="206"/>
      <c r="L135" s="206"/>
      <c r="M135" s="206"/>
      <c r="N135" s="206"/>
      <c r="O135" s="192">
        <v>2</v>
      </c>
      <c r="P135" s="192">
        <v>1.77</v>
      </c>
      <c r="Q135" s="206" t="s">
        <v>571</v>
      </c>
      <c r="R135" s="206" t="s">
        <v>572</v>
      </c>
      <c r="S135" s="206">
        <v>793456.4963</v>
      </c>
      <c r="T135" s="206">
        <v>2187385.7889999999</v>
      </c>
      <c r="U135" s="206">
        <v>793437.94759999996</v>
      </c>
      <c r="V135" s="206">
        <v>2187337.7910000002</v>
      </c>
      <c r="W135" s="206"/>
      <c r="X135" s="206"/>
      <c r="Y135" s="206"/>
      <c r="Z135" s="206"/>
      <c r="AA135" s="206"/>
      <c r="AB135" s="206" t="s">
        <v>570</v>
      </c>
      <c r="AC135" s="206" t="s">
        <v>571</v>
      </c>
      <c r="AD135" s="206"/>
      <c r="AL135" s="206"/>
      <c r="AM135" s="206"/>
      <c r="AN135" s="206"/>
      <c r="AO135" s="206"/>
      <c r="AP135" s="206"/>
      <c r="AQ135" s="206"/>
      <c r="AR135" s="206"/>
      <c r="AS135" s="206"/>
      <c r="AV135" s="206"/>
      <c r="AW135" s="206"/>
      <c r="AX135" s="206"/>
      <c r="AY135" s="206"/>
      <c r="AZ135" s="206"/>
      <c r="BA135" s="206"/>
      <c r="BB135" s="206"/>
      <c r="BD135" s="206"/>
      <c r="BF135" s="206"/>
      <c r="BG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  <c r="BY135" s="201"/>
      <c r="BZ135" s="201"/>
      <c r="CA135" s="201"/>
      <c r="CB135" s="201"/>
      <c r="CC135" s="201"/>
      <c r="CD135" s="201"/>
      <c r="CE135" s="201"/>
      <c r="CF135" s="201"/>
      <c r="CG135" s="201"/>
      <c r="CH135" s="201"/>
      <c r="CI135" s="201"/>
      <c r="CJ135" s="201"/>
      <c r="CK135" s="201"/>
      <c r="CL135" s="201"/>
      <c r="CM135" s="201"/>
      <c r="CN135" s="201"/>
      <c r="CO135" s="201"/>
      <c r="CP135" s="201"/>
      <c r="CQ135" s="201"/>
      <c r="CR135" s="201"/>
      <c r="CS135" s="201"/>
      <c r="CT135" s="201"/>
      <c r="CU135" s="201"/>
      <c r="CV135" s="201"/>
    </row>
    <row r="136" spans="1:100" x14ac:dyDescent="0.2">
      <c r="A136" s="220">
        <v>0</v>
      </c>
      <c r="B136" s="220">
        <v>0</v>
      </c>
      <c r="C136" s="206" t="s">
        <v>569</v>
      </c>
      <c r="D136" s="206" t="s">
        <v>571</v>
      </c>
      <c r="E136" s="192">
        <v>38.36</v>
      </c>
      <c r="F136" s="206" t="s">
        <v>570</v>
      </c>
      <c r="G136" s="206"/>
      <c r="H136" s="206"/>
      <c r="I136" s="206"/>
      <c r="J136"/>
      <c r="K136"/>
      <c r="L136" s="206"/>
      <c r="M136" s="206"/>
      <c r="N136" s="206"/>
      <c r="O136" s="192">
        <v>1.77</v>
      </c>
      <c r="P136" s="192">
        <v>1.74</v>
      </c>
      <c r="Q136" s="206" t="s">
        <v>573</v>
      </c>
      <c r="R136" s="206" t="s">
        <v>574</v>
      </c>
      <c r="S136" s="206">
        <v>793437.94759999996</v>
      </c>
      <c r="T136" s="206">
        <v>2187337.7910000002</v>
      </c>
      <c r="U136" s="206">
        <v>793423.19299999997</v>
      </c>
      <c r="V136" s="206">
        <v>2187302.38</v>
      </c>
      <c r="W136" s="206"/>
      <c r="X136" s="206"/>
      <c r="Y136" s="206"/>
      <c r="Z136" s="206"/>
      <c r="AA136" s="206"/>
      <c r="AB136" s="206" t="s">
        <v>571</v>
      </c>
      <c r="AC136" s="206" t="s">
        <v>573</v>
      </c>
      <c r="AD136" s="206"/>
      <c r="AL136" s="206"/>
      <c r="AM136" s="206"/>
      <c r="AN136" s="206"/>
      <c r="AO136" s="206"/>
      <c r="AP136" s="206"/>
      <c r="AQ136" s="206"/>
      <c r="AR136" s="206"/>
      <c r="AS136" s="206"/>
      <c r="AV136" s="206"/>
      <c r="AW136" s="206"/>
      <c r="AX136" s="206"/>
      <c r="AY136" s="206"/>
      <c r="AZ136" s="206"/>
      <c r="BD136" s="206"/>
      <c r="BF136" s="206"/>
    </row>
    <row r="137" spans="1:100" x14ac:dyDescent="0.2">
      <c r="A137" s="220">
        <v>0</v>
      </c>
      <c r="B137" s="220">
        <v>0</v>
      </c>
      <c r="C137" s="206" t="s">
        <v>569</v>
      </c>
      <c r="D137" s="206" t="s">
        <v>573</v>
      </c>
      <c r="E137" s="192">
        <v>48.83</v>
      </c>
      <c r="F137" s="206" t="s">
        <v>571</v>
      </c>
      <c r="G137" s="206"/>
      <c r="H137" s="206"/>
      <c r="I137" s="206"/>
      <c r="J137"/>
      <c r="K137"/>
      <c r="L137" s="206"/>
      <c r="M137" s="206"/>
      <c r="N137" s="206"/>
      <c r="O137" s="192">
        <v>1.74</v>
      </c>
      <c r="P137" s="192">
        <v>1.1100000000000001</v>
      </c>
      <c r="Q137" s="206" t="s">
        <v>575</v>
      </c>
      <c r="R137" s="206" t="s">
        <v>576</v>
      </c>
      <c r="S137" s="206">
        <v>793423.19299999997</v>
      </c>
      <c r="T137" s="206">
        <v>2187302.38</v>
      </c>
      <c r="U137" s="206">
        <v>793469.74540000001</v>
      </c>
      <c r="V137" s="206">
        <v>2187287.625</v>
      </c>
      <c r="W137" s="206"/>
      <c r="X137" s="206"/>
      <c r="Y137" s="206"/>
      <c r="Z137" s="206"/>
      <c r="AA137" s="206"/>
      <c r="AB137" s="206" t="s">
        <v>573</v>
      </c>
      <c r="AC137" s="206" t="s">
        <v>575</v>
      </c>
      <c r="AD137" s="206"/>
      <c r="AL137" s="206"/>
      <c r="AM137" s="206"/>
      <c r="AN137" s="206"/>
      <c r="AO137" s="206"/>
      <c r="AP137" s="206"/>
      <c r="AQ137" s="206"/>
      <c r="AR137" s="206"/>
      <c r="AS137" s="206"/>
      <c r="AV137" s="206"/>
      <c r="AW137" s="206"/>
      <c r="AX137" s="206"/>
      <c r="AY137" s="206"/>
      <c r="AZ137" s="206"/>
      <c r="BD137" s="206"/>
      <c r="BF137" s="206"/>
    </row>
    <row r="138" spans="1:100" x14ac:dyDescent="0.2">
      <c r="A138" s="220">
        <v>0</v>
      </c>
      <c r="B138" s="220">
        <v>0</v>
      </c>
      <c r="C138" s="206" t="s">
        <v>569</v>
      </c>
      <c r="D138" s="206" t="s">
        <v>575</v>
      </c>
      <c r="E138" s="192">
        <v>32.450000000000003</v>
      </c>
      <c r="F138" s="206" t="s">
        <v>573</v>
      </c>
      <c r="G138" s="206"/>
      <c r="H138" s="206"/>
      <c r="I138" s="206"/>
      <c r="J138"/>
      <c r="K138"/>
      <c r="L138" s="206"/>
      <c r="M138" s="206"/>
      <c r="N138" s="206"/>
      <c r="O138" s="192">
        <v>1.1100000000000001</v>
      </c>
      <c r="P138" s="192">
        <v>1.5</v>
      </c>
      <c r="Q138" s="206" t="s">
        <v>577</v>
      </c>
      <c r="R138" s="206" t="s">
        <v>578</v>
      </c>
      <c r="S138" s="206">
        <v>793469.74540000001</v>
      </c>
      <c r="T138" s="206">
        <v>2187287.625</v>
      </c>
      <c r="U138" s="206">
        <v>793500.03749999998</v>
      </c>
      <c r="V138" s="206">
        <v>2187276.0019999999</v>
      </c>
      <c r="W138" s="206"/>
      <c r="X138" s="206"/>
      <c r="Y138" s="206"/>
      <c r="Z138" s="206"/>
      <c r="AA138" s="206"/>
      <c r="AB138" s="206" t="s">
        <v>575</v>
      </c>
      <c r="AC138" s="206" t="s">
        <v>577</v>
      </c>
      <c r="AD138" s="206"/>
      <c r="AL138" s="206"/>
      <c r="AM138" s="206"/>
      <c r="AN138" s="206"/>
      <c r="AO138" s="206"/>
      <c r="AP138" s="206"/>
      <c r="AQ138" s="206"/>
      <c r="AR138" s="206"/>
      <c r="AS138" s="206"/>
      <c r="AV138" s="206"/>
      <c r="AW138" s="206"/>
      <c r="AX138" s="206"/>
      <c r="AY138" s="206"/>
      <c r="AZ138" s="206"/>
      <c r="BD138" s="206"/>
      <c r="BF138" s="206"/>
    </row>
    <row r="139" spans="1:100" x14ac:dyDescent="0.2">
      <c r="A139" s="220">
        <v>0</v>
      </c>
      <c r="B139" s="220">
        <v>0</v>
      </c>
      <c r="C139" s="206" t="s">
        <v>569</v>
      </c>
      <c r="D139" s="206" t="s">
        <v>577</v>
      </c>
      <c r="E139" s="192">
        <v>53.53</v>
      </c>
      <c r="F139" s="206" t="s">
        <v>575</v>
      </c>
      <c r="G139" s="206" t="s">
        <v>579</v>
      </c>
      <c r="H139" s="206"/>
      <c r="I139" s="206"/>
      <c r="J139"/>
      <c r="K139"/>
      <c r="L139" s="206"/>
      <c r="M139" s="206"/>
      <c r="N139" s="206"/>
      <c r="O139" s="192">
        <v>1.5</v>
      </c>
      <c r="P139" s="192">
        <v>1.5</v>
      </c>
      <c r="Q139" s="206" t="s">
        <v>580</v>
      </c>
      <c r="R139" s="206" t="s">
        <v>581</v>
      </c>
      <c r="S139" s="206">
        <v>793500.03749999998</v>
      </c>
      <c r="T139" s="206">
        <v>2187276.0019999999</v>
      </c>
      <c r="U139" s="206">
        <v>793469.92599999998</v>
      </c>
      <c r="V139" s="206">
        <v>2187231.7390000001</v>
      </c>
      <c r="W139" s="206"/>
      <c r="X139" s="206"/>
      <c r="Y139" s="206"/>
      <c r="Z139" s="206"/>
      <c r="AA139" s="206"/>
      <c r="AB139" s="206" t="s">
        <v>577</v>
      </c>
      <c r="AC139" s="206" t="s">
        <v>580</v>
      </c>
      <c r="AD139" s="206"/>
      <c r="AL139" s="206"/>
      <c r="AM139" s="206"/>
      <c r="AN139" s="206"/>
      <c r="AO139" s="206"/>
      <c r="AP139" s="206"/>
      <c r="AQ139" s="206"/>
      <c r="AR139" s="206"/>
      <c r="AS139" s="206"/>
      <c r="AV139" s="206"/>
      <c r="AW139" s="206"/>
      <c r="AX139" s="206"/>
      <c r="AY139" s="206"/>
      <c r="AZ139" s="206"/>
      <c r="BD139" s="206"/>
      <c r="BF139" s="206"/>
    </row>
    <row r="140" spans="1:100" x14ac:dyDescent="0.2">
      <c r="A140" s="220">
        <v>0</v>
      </c>
      <c r="B140" s="220">
        <v>0</v>
      </c>
      <c r="C140" s="206" t="s">
        <v>569</v>
      </c>
      <c r="D140" s="206" t="s">
        <v>580</v>
      </c>
      <c r="E140" s="192">
        <v>48.24</v>
      </c>
      <c r="F140" s="206" t="s">
        <v>577</v>
      </c>
      <c r="G140" s="206" t="s">
        <v>582</v>
      </c>
      <c r="H140" s="206"/>
      <c r="I140" s="206"/>
      <c r="J140" s="206"/>
      <c r="K140" s="206"/>
      <c r="L140" s="206"/>
      <c r="M140" s="206"/>
      <c r="N140" s="206"/>
      <c r="O140" s="192">
        <v>1.5</v>
      </c>
      <c r="P140" s="192">
        <v>1.35</v>
      </c>
      <c r="Q140" s="206" t="s">
        <v>583</v>
      </c>
      <c r="R140" s="206" t="s">
        <v>584</v>
      </c>
      <c r="S140" s="206">
        <v>793469.92599999998</v>
      </c>
      <c r="T140" s="206">
        <v>2187231.7390000001</v>
      </c>
      <c r="U140" s="206">
        <v>793440.83829999994</v>
      </c>
      <c r="V140" s="206">
        <v>2187193.2560000001</v>
      </c>
      <c r="W140" s="206"/>
      <c r="X140" s="206"/>
      <c r="Y140" s="206"/>
      <c r="Z140" s="206"/>
      <c r="AA140" s="206"/>
      <c r="AB140" s="206" t="s">
        <v>580</v>
      </c>
      <c r="AC140" s="206" t="s">
        <v>583</v>
      </c>
      <c r="AD140" s="206"/>
      <c r="AL140" s="206"/>
      <c r="AM140" s="206"/>
      <c r="AN140" s="206"/>
      <c r="AO140" s="206"/>
      <c r="AP140" s="206"/>
      <c r="AQ140" s="206"/>
      <c r="AR140" s="206"/>
      <c r="AS140" s="206"/>
      <c r="AV140" s="206"/>
      <c r="AW140" s="206"/>
      <c r="AX140" s="206"/>
      <c r="AY140" s="206"/>
      <c r="AZ140" s="206"/>
      <c r="BA140" s="206"/>
      <c r="BB140" s="206"/>
      <c r="BD140" s="206"/>
      <c r="BF140" s="206"/>
      <c r="BG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  <c r="BY140" s="201"/>
      <c r="BZ140" s="201"/>
      <c r="CA140" s="201"/>
      <c r="CB140" s="201"/>
      <c r="CC140" s="201"/>
      <c r="CD140" s="201"/>
      <c r="CE140" s="201"/>
      <c r="CF140" s="201"/>
      <c r="CG140" s="201"/>
      <c r="CH140" s="201"/>
      <c r="CI140" s="201"/>
      <c r="CJ140" s="201"/>
      <c r="CK140" s="201"/>
      <c r="CL140" s="201"/>
      <c r="CM140" s="201"/>
      <c r="CN140" s="201"/>
      <c r="CO140" s="201"/>
      <c r="CP140" s="201"/>
      <c r="CQ140" s="201"/>
      <c r="CR140" s="201"/>
      <c r="CS140" s="201"/>
      <c r="CT140" s="201"/>
      <c r="CU140" s="201"/>
      <c r="CV140" s="201"/>
    </row>
    <row r="141" spans="1:100" x14ac:dyDescent="0.2">
      <c r="A141" s="220">
        <v>0</v>
      </c>
      <c r="B141" s="220">
        <v>1</v>
      </c>
      <c r="C141" s="206" t="s">
        <v>569</v>
      </c>
      <c r="D141" s="206" t="s">
        <v>583</v>
      </c>
      <c r="E141" s="192">
        <v>51.27</v>
      </c>
      <c r="F141" s="206" t="s">
        <v>580</v>
      </c>
      <c r="G141" s="206" t="s">
        <v>585</v>
      </c>
      <c r="H141" s="206"/>
      <c r="I141" s="206"/>
      <c r="J141" s="206"/>
      <c r="K141" s="206"/>
      <c r="L141" s="206"/>
      <c r="M141" s="206"/>
      <c r="N141" s="206"/>
      <c r="O141" s="192">
        <v>1.35</v>
      </c>
      <c r="P141" s="192">
        <v>1.07</v>
      </c>
      <c r="Q141" s="206" t="s">
        <v>586</v>
      </c>
      <c r="R141" s="206" t="s">
        <v>587</v>
      </c>
      <c r="S141" s="206">
        <v>793440.83829999994</v>
      </c>
      <c r="T141" s="206">
        <v>2187193.2560000001</v>
      </c>
      <c r="U141" s="206">
        <v>793413.37670000002</v>
      </c>
      <c r="V141" s="206">
        <v>2187149.9559999998</v>
      </c>
      <c r="W141" s="206"/>
      <c r="X141" s="206"/>
      <c r="Y141" s="206"/>
      <c r="Z141" s="206"/>
      <c r="AA141" s="206"/>
      <c r="AB141" s="206" t="s">
        <v>583</v>
      </c>
      <c r="AC141" s="206" t="s">
        <v>586</v>
      </c>
      <c r="AD141" s="206"/>
      <c r="AL141" s="206"/>
      <c r="AM141" s="206"/>
      <c r="AN141" s="206"/>
      <c r="AO141" s="206"/>
      <c r="AP141" s="206"/>
      <c r="AQ141" s="206"/>
      <c r="AR141" s="206"/>
      <c r="AS141" s="206"/>
      <c r="AV141" s="206"/>
      <c r="AW141" s="206"/>
      <c r="AX141" s="206"/>
      <c r="AY141" s="206"/>
      <c r="AZ141" s="206"/>
      <c r="BA141" s="206"/>
      <c r="BB141" s="206"/>
      <c r="BD141" s="206"/>
      <c r="BF141" s="206"/>
      <c r="BG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  <c r="BY141" s="201"/>
      <c r="BZ141" s="201"/>
      <c r="CA141" s="201"/>
      <c r="CB141" s="201"/>
      <c r="CC141" s="201"/>
      <c r="CD141" s="201"/>
      <c r="CE141" s="201"/>
      <c r="CF141" s="201"/>
      <c r="CG141" s="201"/>
      <c r="CH141" s="201"/>
      <c r="CI141" s="201"/>
      <c r="CJ141" s="201"/>
      <c r="CK141" s="201"/>
      <c r="CL141" s="201"/>
      <c r="CM141" s="201"/>
      <c r="CN141" s="201"/>
      <c r="CO141" s="201"/>
      <c r="CP141" s="201"/>
      <c r="CQ141" s="201"/>
      <c r="CR141" s="201"/>
      <c r="CS141" s="201"/>
      <c r="CT141" s="201"/>
      <c r="CU141" s="201"/>
      <c r="CV141" s="201"/>
    </row>
    <row r="142" spans="1:100" x14ac:dyDescent="0.2">
      <c r="A142" s="220">
        <v>1</v>
      </c>
      <c r="B142" s="220">
        <v>0</v>
      </c>
      <c r="C142" s="206" t="s">
        <v>588</v>
      </c>
      <c r="D142" s="206" t="s">
        <v>589</v>
      </c>
      <c r="E142" s="192">
        <v>28.85</v>
      </c>
      <c r="F142" s="206"/>
      <c r="G142" s="206"/>
      <c r="H142" s="206"/>
      <c r="I142" s="206"/>
      <c r="J142"/>
      <c r="K142"/>
      <c r="L142" s="206"/>
      <c r="M142" s="206"/>
      <c r="N142" s="206"/>
      <c r="O142" s="192">
        <v>1.26</v>
      </c>
      <c r="P142" s="192">
        <v>1.46</v>
      </c>
      <c r="Q142" s="206" t="s">
        <v>585</v>
      </c>
      <c r="R142" s="206" t="s">
        <v>590</v>
      </c>
      <c r="S142" s="206">
        <v>793386.99899999995</v>
      </c>
      <c r="T142" s="206">
        <v>2187211.8050000002</v>
      </c>
      <c r="U142" s="206">
        <v>793414.28</v>
      </c>
      <c r="V142" s="206">
        <v>2187202.41</v>
      </c>
      <c r="W142" s="206"/>
      <c r="X142" s="206"/>
      <c r="Y142" s="206"/>
      <c r="Z142" s="206"/>
      <c r="AA142" s="206"/>
      <c r="AB142" s="206" t="s">
        <v>589</v>
      </c>
      <c r="AC142" s="206" t="s">
        <v>585</v>
      </c>
      <c r="AD142" s="206"/>
      <c r="AL142" s="206"/>
      <c r="AM142" s="206"/>
      <c r="AN142" s="206"/>
      <c r="AO142" s="206"/>
      <c r="AP142" s="206"/>
      <c r="AQ142" s="206"/>
      <c r="AR142" s="206"/>
      <c r="AS142" s="206"/>
      <c r="AV142" s="206"/>
      <c r="AW142" s="206"/>
      <c r="AX142" s="206"/>
      <c r="AY142" s="206"/>
      <c r="AZ142" s="206"/>
      <c r="BD142" s="206"/>
      <c r="BF142" s="206"/>
    </row>
    <row r="143" spans="1:100" x14ac:dyDescent="0.2">
      <c r="A143" s="220">
        <v>0</v>
      </c>
      <c r="B143" s="220">
        <v>1</v>
      </c>
      <c r="C143" s="206" t="s">
        <v>588</v>
      </c>
      <c r="D143" s="206" t="s">
        <v>585</v>
      </c>
      <c r="E143" s="192">
        <v>28.09</v>
      </c>
      <c r="F143" s="206" t="s">
        <v>589</v>
      </c>
      <c r="G143" s="206"/>
      <c r="H143" s="206"/>
      <c r="I143" s="206"/>
      <c r="J143"/>
      <c r="K143"/>
      <c r="L143" s="206"/>
      <c r="M143" s="206"/>
      <c r="N143" s="206"/>
      <c r="O143" s="192">
        <v>1.46</v>
      </c>
      <c r="P143" s="192">
        <v>1.35</v>
      </c>
      <c r="Q143" s="206" t="s">
        <v>583</v>
      </c>
      <c r="R143" s="206" t="s">
        <v>591</v>
      </c>
      <c r="S143" s="206">
        <v>793414.28</v>
      </c>
      <c r="T143" s="206">
        <v>2187202.41</v>
      </c>
      <c r="U143" s="206">
        <v>793440.83829999994</v>
      </c>
      <c r="V143" s="206">
        <v>2187193.2560000001</v>
      </c>
      <c r="W143" s="206"/>
      <c r="X143" s="206"/>
      <c r="Y143" s="206"/>
      <c r="Z143" s="206"/>
      <c r="AA143" s="206"/>
      <c r="AB143" s="206" t="s">
        <v>585</v>
      </c>
      <c r="AC143" s="206" t="s">
        <v>583</v>
      </c>
      <c r="AD143" s="206"/>
      <c r="AL143" s="206"/>
      <c r="AM143" s="206"/>
      <c r="AN143" s="206"/>
      <c r="AO143" s="206"/>
      <c r="AP143" s="206"/>
      <c r="AQ143" s="206"/>
      <c r="AR143" s="206"/>
      <c r="AS143" s="206"/>
      <c r="AV143" s="206"/>
      <c r="AW143" s="206"/>
      <c r="AX143" s="206"/>
      <c r="AY143" s="206"/>
      <c r="AZ143" s="206"/>
      <c r="BD143" s="206"/>
      <c r="BF143" s="206"/>
    </row>
    <row r="144" spans="1:100" x14ac:dyDescent="0.2">
      <c r="A144" s="220">
        <v>1</v>
      </c>
      <c r="B144" s="220">
        <v>1</v>
      </c>
      <c r="C144" s="206" t="s">
        <v>592</v>
      </c>
      <c r="D144" s="206" t="s">
        <v>582</v>
      </c>
      <c r="E144" s="192">
        <v>31.12</v>
      </c>
      <c r="F144" s="206"/>
      <c r="G144" s="206"/>
      <c r="H144" s="206"/>
      <c r="I144" s="206"/>
      <c r="J144" s="206"/>
      <c r="K144" s="206"/>
      <c r="L144" s="206"/>
      <c r="M144" s="206"/>
      <c r="N144" s="206"/>
      <c r="O144" s="192">
        <v>1.29</v>
      </c>
      <c r="P144" s="192">
        <v>1.5</v>
      </c>
      <c r="Q144" s="206" t="s">
        <v>580</v>
      </c>
      <c r="R144" s="206" t="s">
        <v>593</v>
      </c>
      <c r="S144" s="206">
        <v>793440.53720000002</v>
      </c>
      <c r="T144" s="206">
        <v>2187241.9759999998</v>
      </c>
      <c r="U144" s="206">
        <v>793469.92599999998</v>
      </c>
      <c r="V144" s="206">
        <v>2187231.7390000001</v>
      </c>
      <c r="W144" s="206"/>
      <c r="X144" s="206"/>
      <c r="Y144" s="206"/>
      <c r="Z144" s="206"/>
      <c r="AA144" s="206"/>
      <c r="AB144" s="206" t="s">
        <v>582</v>
      </c>
      <c r="AC144" s="206" t="s">
        <v>580</v>
      </c>
      <c r="AD144" s="206"/>
      <c r="AL144" s="206"/>
      <c r="AM144" s="206"/>
      <c r="AN144" s="206"/>
      <c r="AO144" s="206"/>
      <c r="AP144" s="206"/>
      <c r="AQ144" s="206"/>
      <c r="AR144" s="206"/>
      <c r="AS144" s="206"/>
      <c r="AV144" s="206"/>
      <c r="AW144" s="206"/>
      <c r="AX144" s="206"/>
      <c r="AY144" s="206"/>
      <c r="AZ144" s="206"/>
      <c r="BA144" s="206"/>
      <c r="BB144" s="206"/>
      <c r="BD144" s="206"/>
      <c r="BF144" s="206"/>
      <c r="BG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  <c r="BY144" s="201"/>
      <c r="BZ144" s="201"/>
      <c r="CA144" s="201"/>
      <c r="CB144" s="201"/>
      <c r="CC144" s="201"/>
      <c r="CD144" s="201"/>
      <c r="CE144" s="201"/>
      <c r="CF144" s="201"/>
      <c r="CG144" s="201"/>
      <c r="CH144" s="201"/>
      <c r="CI144" s="201"/>
      <c r="CJ144" s="201"/>
      <c r="CK144" s="201"/>
      <c r="CL144" s="201"/>
      <c r="CM144" s="201"/>
      <c r="CN144" s="201"/>
      <c r="CO144" s="201"/>
      <c r="CP144" s="201"/>
      <c r="CQ144" s="201"/>
      <c r="CR144" s="201"/>
      <c r="CS144" s="201"/>
      <c r="CT144" s="201"/>
      <c r="CU144" s="201"/>
      <c r="CV144" s="201"/>
    </row>
    <row r="145" spans="1:100" x14ac:dyDescent="0.2">
      <c r="A145" s="220">
        <v>1</v>
      </c>
      <c r="B145" s="220">
        <v>0</v>
      </c>
      <c r="C145" s="206" t="s">
        <v>594</v>
      </c>
      <c r="D145" s="206" t="s">
        <v>595</v>
      </c>
      <c r="E145" s="192">
        <v>52.06</v>
      </c>
      <c r="F145" s="206"/>
      <c r="G145" s="206"/>
      <c r="H145" s="206"/>
      <c r="I145" s="206"/>
      <c r="J145"/>
      <c r="K145"/>
      <c r="L145" s="206"/>
      <c r="M145" s="206"/>
      <c r="N145" s="206"/>
      <c r="O145" s="192">
        <v>1.26</v>
      </c>
      <c r="P145" s="192">
        <v>1.31</v>
      </c>
      <c r="Q145" s="206" t="s">
        <v>596</v>
      </c>
      <c r="R145" s="206" t="s">
        <v>597</v>
      </c>
      <c r="S145" s="206">
        <v>793502.92819999997</v>
      </c>
      <c r="T145" s="206">
        <v>2187370.7930000001</v>
      </c>
      <c r="U145" s="206">
        <v>793551.16680000001</v>
      </c>
      <c r="V145" s="206">
        <v>2187351.2209999999</v>
      </c>
      <c r="W145" s="206"/>
      <c r="X145" s="206"/>
      <c r="Y145" s="206"/>
      <c r="Z145" s="206"/>
      <c r="AA145" s="206"/>
      <c r="AB145" s="206" t="s">
        <v>595</v>
      </c>
      <c r="AC145" s="206" t="s">
        <v>596</v>
      </c>
      <c r="AD145" s="206"/>
      <c r="AL145" s="206"/>
      <c r="AM145" s="206"/>
      <c r="AN145" s="206"/>
      <c r="AO145" s="206"/>
      <c r="AP145" s="206"/>
      <c r="AQ145" s="206"/>
      <c r="AR145" s="206"/>
      <c r="AS145" s="206"/>
      <c r="AV145" s="206"/>
      <c r="AW145" s="206"/>
      <c r="AX145" s="206"/>
      <c r="AY145" s="206"/>
      <c r="AZ145" s="206"/>
      <c r="BD145" s="206"/>
      <c r="BF145" s="206"/>
    </row>
    <row r="146" spans="1:100" x14ac:dyDescent="0.2">
      <c r="A146" s="220">
        <v>0</v>
      </c>
      <c r="B146" s="220">
        <v>0</v>
      </c>
      <c r="C146" s="206" t="s">
        <v>594</v>
      </c>
      <c r="D146" s="206" t="s">
        <v>596</v>
      </c>
      <c r="E146" s="192">
        <v>54.45</v>
      </c>
      <c r="F146" s="206" t="s">
        <v>595</v>
      </c>
      <c r="G146" s="206"/>
      <c r="H146" s="206"/>
      <c r="I146" s="206"/>
      <c r="J146" s="206"/>
      <c r="K146" s="206"/>
      <c r="L146" s="206"/>
      <c r="M146" s="206"/>
      <c r="N146" s="206"/>
      <c r="O146" s="192">
        <v>1.31</v>
      </c>
      <c r="P146" s="192">
        <v>1.5</v>
      </c>
      <c r="Q146" s="206" t="s">
        <v>579</v>
      </c>
      <c r="R146" s="206" t="s">
        <v>598</v>
      </c>
      <c r="S146" s="206">
        <v>793551.16680000001</v>
      </c>
      <c r="T146" s="206">
        <v>2187351.2209999999</v>
      </c>
      <c r="U146" s="206">
        <v>793522.44039999996</v>
      </c>
      <c r="V146" s="206">
        <v>2187304.9700000002</v>
      </c>
      <c r="W146" s="206"/>
      <c r="X146" s="206"/>
      <c r="Y146" s="206"/>
      <c r="Z146" s="206"/>
      <c r="AA146" s="206"/>
      <c r="AB146" s="206" t="s">
        <v>596</v>
      </c>
      <c r="AC146" s="206" t="s">
        <v>579</v>
      </c>
      <c r="AD146" s="206"/>
      <c r="AL146" s="206"/>
      <c r="AM146" s="206"/>
      <c r="AN146" s="206"/>
      <c r="AO146" s="206"/>
      <c r="AP146" s="206"/>
      <c r="AQ146" s="206"/>
      <c r="AR146" s="206"/>
      <c r="AS146" s="206"/>
      <c r="AV146" s="206"/>
      <c r="AW146" s="206"/>
      <c r="AX146" s="206"/>
      <c r="AY146" s="206"/>
      <c r="AZ146" s="206"/>
      <c r="BA146" s="206"/>
      <c r="BB146" s="206"/>
      <c r="BD146" s="206"/>
      <c r="BF146" s="206"/>
      <c r="BG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  <c r="BY146" s="201"/>
      <c r="BZ146" s="201"/>
      <c r="CA146" s="201"/>
      <c r="CB146" s="201"/>
      <c r="CC146" s="201"/>
      <c r="CD146" s="201"/>
      <c r="CE146" s="201"/>
      <c r="CF146" s="201"/>
      <c r="CG146" s="201"/>
      <c r="CH146" s="201"/>
      <c r="CI146" s="201"/>
      <c r="CJ146" s="201"/>
      <c r="CK146" s="201"/>
      <c r="CL146" s="201"/>
      <c r="CM146" s="201"/>
      <c r="CN146" s="201"/>
      <c r="CO146" s="201"/>
      <c r="CP146" s="201"/>
      <c r="CQ146" s="201"/>
      <c r="CR146" s="201"/>
      <c r="CS146" s="201"/>
      <c r="CT146" s="201"/>
      <c r="CU146" s="201"/>
      <c r="CV146" s="201"/>
    </row>
    <row r="147" spans="1:100" x14ac:dyDescent="0.2">
      <c r="A147" s="220">
        <v>0</v>
      </c>
      <c r="B147" s="220">
        <v>1</v>
      </c>
      <c r="C147" s="206" t="s">
        <v>594</v>
      </c>
      <c r="D147" s="206" t="s">
        <v>579</v>
      </c>
      <c r="E147" s="192">
        <v>36.619999999999997</v>
      </c>
      <c r="F147" s="206" t="s">
        <v>596</v>
      </c>
      <c r="G147" s="206" t="s">
        <v>599</v>
      </c>
      <c r="H147" s="206"/>
      <c r="I147" s="206"/>
      <c r="J147" s="206"/>
      <c r="K147" s="206"/>
      <c r="L147" s="206"/>
      <c r="M147" s="206"/>
      <c r="N147" s="206"/>
      <c r="O147" s="192">
        <v>1.5</v>
      </c>
      <c r="P147" s="192">
        <v>1.5</v>
      </c>
      <c r="Q147" s="206" t="s">
        <v>577</v>
      </c>
      <c r="R147" s="206" t="s">
        <v>600</v>
      </c>
      <c r="S147" s="206">
        <v>793522.44039999996</v>
      </c>
      <c r="T147" s="206">
        <v>2187304.9700000002</v>
      </c>
      <c r="U147" s="206">
        <v>793500.03749999998</v>
      </c>
      <c r="V147" s="206">
        <v>2187276.0019999999</v>
      </c>
      <c r="W147" s="206"/>
      <c r="X147" s="206"/>
      <c r="Y147" s="206"/>
      <c r="Z147" s="206"/>
      <c r="AA147" s="206"/>
      <c r="AB147" s="206" t="s">
        <v>579</v>
      </c>
      <c r="AC147" s="206" t="s">
        <v>577</v>
      </c>
      <c r="AD147" s="206"/>
      <c r="AL147" s="206"/>
      <c r="AM147" s="206"/>
      <c r="AN147" s="206"/>
      <c r="AO147" s="206"/>
      <c r="AP147" s="206"/>
      <c r="AQ147" s="206"/>
      <c r="AR147" s="206"/>
      <c r="AS147" s="206"/>
      <c r="AV147" s="206"/>
      <c r="AW147" s="206"/>
      <c r="AX147" s="206"/>
      <c r="AY147" s="206"/>
      <c r="AZ147" s="206"/>
      <c r="BA147" s="206"/>
      <c r="BB147" s="206"/>
      <c r="BD147" s="206"/>
      <c r="BF147" s="206"/>
      <c r="BG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  <c r="BY147" s="201"/>
      <c r="BZ147" s="201"/>
      <c r="CA147" s="201"/>
      <c r="CB147" s="201"/>
      <c r="CC147" s="201"/>
      <c r="CD147" s="201"/>
      <c r="CE147" s="201"/>
      <c r="CF147" s="201"/>
      <c r="CG147" s="201"/>
      <c r="CH147" s="201"/>
      <c r="CI147" s="201"/>
      <c r="CJ147" s="201"/>
      <c r="CK147" s="201"/>
      <c r="CL147" s="201"/>
      <c r="CM147" s="201"/>
      <c r="CN147" s="201"/>
      <c r="CO147" s="201"/>
      <c r="CP147" s="201"/>
      <c r="CQ147" s="201"/>
      <c r="CR147" s="201"/>
      <c r="CS147" s="201"/>
      <c r="CT147" s="201"/>
      <c r="CU147" s="201"/>
      <c r="CV147" s="201"/>
    </row>
    <row r="148" spans="1:100" x14ac:dyDescent="0.2">
      <c r="A148" s="220">
        <v>1</v>
      </c>
      <c r="B148" s="220">
        <v>0</v>
      </c>
      <c r="C148" s="206" t="s">
        <v>601</v>
      </c>
      <c r="D148" s="206" t="s">
        <v>602</v>
      </c>
      <c r="E148" s="192">
        <v>54.01</v>
      </c>
      <c r="F148" s="206"/>
      <c r="G148" s="206"/>
      <c r="H148" s="206"/>
      <c r="I148" s="206"/>
      <c r="J148" s="206"/>
      <c r="K148" s="206"/>
      <c r="L148" s="206"/>
      <c r="M148" s="206"/>
      <c r="N148" s="206"/>
      <c r="O148" s="192">
        <v>10.71</v>
      </c>
      <c r="P148" s="192">
        <v>9.19</v>
      </c>
      <c r="Q148" s="206" t="s">
        <v>603</v>
      </c>
      <c r="R148" s="206" t="s">
        <v>604</v>
      </c>
      <c r="S148" s="206">
        <v>793114.49029999995</v>
      </c>
      <c r="T148" s="206">
        <v>2187557.1230000001</v>
      </c>
      <c r="U148" s="206">
        <v>793165.67969999998</v>
      </c>
      <c r="V148" s="206">
        <v>2187539.8990000002</v>
      </c>
      <c r="W148" s="206"/>
      <c r="X148" s="206"/>
      <c r="Y148" s="206"/>
      <c r="Z148" s="206"/>
      <c r="AA148" s="206"/>
      <c r="AB148" s="206" t="s">
        <v>602</v>
      </c>
      <c r="AC148" s="206" t="s">
        <v>603</v>
      </c>
      <c r="AD148" s="206"/>
      <c r="AL148" s="206"/>
      <c r="AM148" s="206"/>
      <c r="AN148" s="206"/>
      <c r="AO148" s="206"/>
      <c r="AP148" s="206"/>
      <c r="AQ148" s="206"/>
      <c r="AR148" s="206"/>
      <c r="AS148" s="206"/>
      <c r="AV148" s="206"/>
      <c r="AW148" s="206"/>
      <c r="AX148" s="206"/>
      <c r="AY148" s="206"/>
      <c r="AZ148" s="206"/>
      <c r="BA148" s="206"/>
      <c r="BB148" s="206"/>
      <c r="BD148" s="206"/>
      <c r="BF148" s="206"/>
      <c r="BG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  <c r="BY148" s="201"/>
      <c r="BZ148" s="201"/>
      <c r="CA148" s="201"/>
      <c r="CB148" s="201"/>
      <c r="CC148" s="201"/>
      <c r="CD148" s="201"/>
      <c r="CE148" s="201"/>
      <c r="CF148" s="201"/>
      <c r="CG148" s="201"/>
      <c r="CH148" s="201"/>
      <c r="CI148" s="201"/>
      <c r="CJ148" s="201"/>
      <c r="CK148" s="201"/>
      <c r="CL148" s="201"/>
      <c r="CM148" s="201"/>
      <c r="CN148" s="201"/>
      <c r="CO148" s="201"/>
      <c r="CP148" s="201"/>
      <c r="CQ148" s="201"/>
      <c r="CR148" s="201"/>
      <c r="CS148" s="201"/>
      <c r="CT148" s="201"/>
      <c r="CU148" s="201"/>
      <c r="CV148" s="201"/>
    </row>
    <row r="149" spans="1:100" x14ac:dyDescent="0.2">
      <c r="A149" s="220">
        <v>0</v>
      </c>
      <c r="B149" s="220">
        <v>0</v>
      </c>
      <c r="C149" s="206" t="s">
        <v>601</v>
      </c>
      <c r="D149" s="206" t="s">
        <v>603</v>
      </c>
      <c r="E149" s="192">
        <v>46.27</v>
      </c>
      <c r="F149" s="206" t="s">
        <v>602</v>
      </c>
      <c r="G149" s="206"/>
      <c r="H149" s="206"/>
      <c r="I149" s="206"/>
      <c r="J149" s="206"/>
      <c r="K149" s="206"/>
      <c r="L149" s="206"/>
      <c r="M149" s="206"/>
      <c r="N149" s="206"/>
      <c r="O149" s="192">
        <v>9.19</v>
      </c>
      <c r="P149" s="192">
        <v>7.72</v>
      </c>
      <c r="Q149" s="206" t="s">
        <v>605</v>
      </c>
      <c r="R149" s="206" t="s">
        <v>606</v>
      </c>
      <c r="S149" s="206">
        <v>793165.67969999998</v>
      </c>
      <c r="T149" s="206">
        <v>2187539.8990000002</v>
      </c>
      <c r="U149" s="206">
        <v>793209.04029999999</v>
      </c>
      <c r="V149" s="206">
        <v>2187523.7599999998</v>
      </c>
      <c r="W149" s="206"/>
      <c r="X149" s="206"/>
      <c r="Y149" s="206"/>
      <c r="Z149" s="206"/>
      <c r="AA149" s="206"/>
      <c r="AB149" s="206" t="s">
        <v>603</v>
      </c>
      <c r="AC149" s="206" t="s">
        <v>605</v>
      </c>
      <c r="AD149" s="206"/>
      <c r="AL149" s="206"/>
      <c r="AM149" s="206"/>
      <c r="AN149" s="206"/>
      <c r="AO149" s="206"/>
      <c r="AP149" s="206"/>
      <c r="AQ149" s="206"/>
      <c r="AR149" s="206"/>
      <c r="AS149" s="206"/>
      <c r="AV149" s="206"/>
      <c r="AW149" s="206"/>
      <c r="AX149" s="206"/>
      <c r="AY149" s="206"/>
      <c r="AZ149" s="206"/>
      <c r="BA149" s="206"/>
      <c r="BB149" s="206"/>
      <c r="BD149" s="206"/>
      <c r="BF149" s="206"/>
      <c r="BG149" s="201"/>
      <c r="BH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  <c r="BY149" s="201"/>
      <c r="BZ149" s="201"/>
      <c r="CA149" s="201"/>
      <c r="CB149" s="201"/>
      <c r="CC149" s="201"/>
      <c r="CD149" s="201"/>
      <c r="CE149" s="201"/>
      <c r="CF149" s="201"/>
      <c r="CG149" s="201"/>
      <c r="CH149" s="201"/>
      <c r="CI149" s="201"/>
      <c r="CJ149" s="201"/>
      <c r="CK149" s="201"/>
      <c r="CL149" s="201"/>
      <c r="CM149" s="201"/>
      <c r="CN149" s="201"/>
      <c r="CO149" s="201"/>
      <c r="CP149" s="201"/>
      <c r="CQ149" s="201"/>
      <c r="CR149" s="201"/>
      <c r="CS149" s="201"/>
      <c r="CT149" s="201"/>
      <c r="CU149" s="201"/>
      <c r="CV149" s="201"/>
    </row>
    <row r="150" spans="1:100" x14ac:dyDescent="0.2">
      <c r="A150" s="220">
        <v>0</v>
      </c>
      <c r="B150" s="220">
        <v>0</v>
      </c>
      <c r="C150" s="206" t="s">
        <v>601</v>
      </c>
      <c r="D150" s="206" t="s">
        <v>605</v>
      </c>
      <c r="E150" s="192">
        <v>48.13</v>
      </c>
      <c r="F150" s="206" t="s">
        <v>603</v>
      </c>
      <c r="G150" s="206"/>
      <c r="H150" s="206"/>
      <c r="I150" s="206"/>
      <c r="J150"/>
      <c r="K150"/>
      <c r="L150" s="206"/>
      <c r="M150" s="206"/>
      <c r="N150" s="206"/>
      <c r="O150" s="192">
        <v>7.72</v>
      </c>
      <c r="P150" s="192">
        <v>6.95</v>
      </c>
      <c r="Q150" s="206" t="s">
        <v>494</v>
      </c>
      <c r="R150" s="206" t="s">
        <v>607</v>
      </c>
      <c r="S150" s="206">
        <v>793209.04029999999</v>
      </c>
      <c r="T150" s="206">
        <v>2187523.7599999998</v>
      </c>
      <c r="U150" s="206">
        <v>793254.20750000002</v>
      </c>
      <c r="V150" s="206">
        <v>2187507.1379999998</v>
      </c>
      <c r="W150" s="206"/>
      <c r="X150" s="206"/>
      <c r="Y150" s="206"/>
      <c r="Z150" s="206"/>
      <c r="AA150" s="206"/>
      <c r="AB150" s="206" t="s">
        <v>605</v>
      </c>
      <c r="AC150" s="206" t="s">
        <v>494</v>
      </c>
      <c r="AD150" s="206"/>
      <c r="AL150" s="206"/>
      <c r="AM150" s="206"/>
      <c r="AN150" s="206"/>
      <c r="AO150" s="206"/>
      <c r="AP150" s="206"/>
      <c r="AQ150" s="206"/>
      <c r="AR150" s="206"/>
      <c r="AS150" s="206"/>
      <c r="AV150" s="206"/>
      <c r="AW150" s="206"/>
      <c r="AX150" s="206"/>
      <c r="AY150" s="206"/>
      <c r="AZ150" s="206"/>
      <c r="BD150" s="206"/>
      <c r="BF150" s="206"/>
    </row>
    <row r="151" spans="1:100" x14ac:dyDescent="0.2">
      <c r="A151" s="220">
        <v>0</v>
      </c>
      <c r="B151" s="220">
        <v>1</v>
      </c>
      <c r="C151" s="206" t="s">
        <v>601</v>
      </c>
      <c r="D151" s="206" t="s">
        <v>494</v>
      </c>
      <c r="E151" s="192">
        <v>46.97</v>
      </c>
      <c r="F151" s="206" t="s">
        <v>605</v>
      </c>
      <c r="G151" s="206"/>
      <c r="H151" s="206"/>
      <c r="I151" s="206"/>
      <c r="J151"/>
      <c r="K151"/>
      <c r="L151" s="206"/>
      <c r="M151" s="206"/>
      <c r="N151" s="206"/>
      <c r="O151" s="192">
        <v>6.95</v>
      </c>
      <c r="P151" s="192">
        <v>6.47</v>
      </c>
      <c r="Q151" s="206" t="s">
        <v>492</v>
      </c>
      <c r="R151" s="206" t="s">
        <v>608</v>
      </c>
      <c r="S151" s="206">
        <v>793254.20750000002</v>
      </c>
      <c r="T151" s="206">
        <v>2187507.1379999998</v>
      </c>
      <c r="U151" s="206">
        <v>793299.19400000002</v>
      </c>
      <c r="V151" s="206">
        <v>2187493.648</v>
      </c>
      <c r="W151" s="206"/>
      <c r="X151" s="206"/>
      <c r="Y151" s="206"/>
      <c r="Z151" s="206"/>
      <c r="AA151" s="206"/>
      <c r="AB151" s="206" t="s">
        <v>494</v>
      </c>
      <c r="AC151" s="206" t="s">
        <v>492</v>
      </c>
      <c r="AD151" s="206"/>
      <c r="AL151" s="206"/>
      <c r="AM151" s="206"/>
      <c r="AN151" s="206"/>
      <c r="AO151" s="206"/>
      <c r="AP151" s="206"/>
      <c r="AQ151" s="206"/>
      <c r="AR151" s="206"/>
      <c r="AS151" s="206"/>
      <c r="AV151" s="206"/>
      <c r="AW151" s="206"/>
      <c r="AX151" s="206"/>
      <c r="AY151" s="206"/>
      <c r="AZ151" s="206"/>
      <c r="BD151" s="206"/>
      <c r="BF151" s="206"/>
    </row>
    <row r="152" spans="1:100" x14ac:dyDescent="0.2">
      <c r="A152" s="220">
        <v>1</v>
      </c>
      <c r="B152" s="220">
        <v>1</v>
      </c>
      <c r="C152" s="206" t="s">
        <v>609</v>
      </c>
      <c r="D152" s="206" t="s">
        <v>599</v>
      </c>
      <c r="E152" s="192">
        <v>37.159999999999997</v>
      </c>
      <c r="F152" s="206"/>
      <c r="G152" s="206"/>
      <c r="H152" s="206"/>
      <c r="I152" s="206"/>
      <c r="J152"/>
      <c r="K152"/>
      <c r="L152" s="206"/>
      <c r="M152" s="206"/>
      <c r="N152" s="206"/>
      <c r="O152" s="192">
        <v>1</v>
      </c>
      <c r="P152" s="192">
        <v>1.5</v>
      </c>
      <c r="Q152" s="206" t="s">
        <v>579</v>
      </c>
      <c r="R152" s="206" t="s">
        <v>610</v>
      </c>
      <c r="S152" s="206">
        <v>793488.65540000005</v>
      </c>
      <c r="T152" s="206">
        <v>2187320.4470000002</v>
      </c>
      <c r="U152" s="206">
        <v>793522.44039999996</v>
      </c>
      <c r="V152" s="206">
        <v>2187304.9700000002</v>
      </c>
      <c r="W152" s="206"/>
      <c r="X152" s="206"/>
      <c r="Y152" s="206"/>
      <c r="Z152" s="206"/>
      <c r="AA152" s="206"/>
      <c r="AB152" s="206" t="s">
        <v>599</v>
      </c>
      <c r="AC152" s="206" t="s">
        <v>579</v>
      </c>
      <c r="AD152" s="206"/>
      <c r="AL152" s="206"/>
      <c r="AM152" s="206"/>
      <c r="AN152" s="206"/>
      <c r="AO152" s="206"/>
      <c r="AP152" s="206"/>
      <c r="AQ152" s="206"/>
      <c r="AR152" s="206"/>
      <c r="AS152" s="206"/>
      <c r="AV152" s="206"/>
      <c r="AW152" s="206"/>
      <c r="AX152" s="206"/>
      <c r="AY152" s="206"/>
      <c r="AZ152" s="206"/>
      <c r="BD152" s="206"/>
      <c r="BF152" s="206"/>
    </row>
    <row r="153" spans="1:100" x14ac:dyDescent="0.2">
      <c r="A153" s="220">
        <v>1</v>
      </c>
      <c r="B153" s="220">
        <v>0</v>
      </c>
      <c r="C153" s="206" t="s">
        <v>611</v>
      </c>
      <c r="D153" s="206" t="s">
        <v>612</v>
      </c>
      <c r="E153" s="192">
        <v>15.39</v>
      </c>
      <c r="F153" s="206"/>
      <c r="G153" s="206"/>
      <c r="H153" s="206"/>
      <c r="I153" s="206"/>
      <c r="J153"/>
      <c r="K153"/>
      <c r="L153" s="206"/>
      <c r="M153" s="206"/>
      <c r="N153" s="206"/>
      <c r="O153" s="192">
        <v>1.28</v>
      </c>
      <c r="P153" s="192">
        <v>1.46</v>
      </c>
      <c r="Q153" s="206" t="s">
        <v>613</v>
      </c>
      <c r="R153" s="206" t="s">
        <v>614</v>
      </c>
      <c r="S153" s="206">
        <v>793616.0871</v>
      </c>
      <c r="T153" s="206">
        <v>2187339.3569999998</v>
      </c>
      <c r="U153" s="206">
        <v>793606.81279999996</v>
      </c>
      <c r="V153" s="206">
        <v>2187327.071</v>
      </c>
      <c r="W153" s="206"/>
      <c r="X153" s="206"/>
      <c r="Y153" s="206"/>
      <c r="Z153" s="206"/>
      <c r="AA153" s="206"/>
      <c r="AB153" s="206" t="s">
        <v>612</v>
      </c>
      <c r="AC153" s="206" t="s">
        <v>613</v>
      </c>
      <c r="AD153" s="206"/>
      <c r="AL153" s="206"/>
      <c r="AM153" s="206"/>
      <c r="AN153" s="206"/>
      <c r="AO153" s="206"/>
      <c r="AP153" s="206"/>
      <c r="AQ153" s="206"/>
      <c r="AR153" s="206"/>
      <c r="AS153" s="206"/>
      <c r="AV153" s="206"/>
      <c r="AW153" s="206"/>
      <c r="AX153" s="206"/>
      <c r="AY153" s="206"/>
      <c r="AZ153" s="206"/>
      <c r="BD153" s="206"/>
      <c r="BF153" s="206"/>
    </row>
    <row r="154" spans="1:100" x14ac:dyDescent="0.2">
      <c r="A154" s="220">
        <v>0</v>
      </c>
      <c r="B154" s="220">
        <v>0</v>
      </c>
      <c r="C154" s="206" t="s">
        <v>611</v>
      </c>
      <c r="D154" s="206" t="s">
        <v>613</v>
      </c>
      <c r="E154" s="192">
        <v>55.16</v>
      </c>
      <c r="F154" s="206" t="s">
        <v>612</v>
      </c>
      <c r="G154" s="206"/>
      <c r="H154" s="206"/>
      <c r="I154" s="206"/>
      <c r="J154"/>
      <c r="K154"/>
      <c r="L154" s="206"/>
      <c r="M154" s="206"/>
      <c r="N154" s="206"/>
      <c r="O154" s="192">
        <v>1.46</v>
      </c>
      <c r="P154" s="192">
        <v>1.0900000000000001</v>
      </c>
      <c r="Q154" s="206" t="s">
        <v>615</v>
      </c>
      <c r="R154" s="206" t="s">
        <v>616</v>
      </c>
      <c r="S154" s="206">
        <v>793606.81279999996</v>
      </c>
      <c r="T154" s="206">
        <v>2187327.071</v>
      </c>
      <c r="U154" s="206">
        <v>793578.68859999999</v>
      </c>
      <c r="V154" s="206">
        <v>2187279.6159999999</v>
      </c>
      <c r="W154" s="206"/>
      <c r="X154" s="206"/>
      <c r="Y154" s="206"/>
      <c r="Z154" s="206"/>
      <c r="AA154" s="206"/>
      <c r="AB154" s="206" t="s">
        <v>613</v>
      </c>
      <c r="AC154" s="206" t="s">
        <v>615</v>
      </c>
      <c r="AD154" s="206"/>
      <c r="AL154" s="206"/>
      <c r="AM154" s="206"/>
      <c r="AN154" s="206"/>
      <c r="AO154" s="206"/>
      <c r="AP154" s="206"/>
      <c r="AQ154" s="206"/>
      <c r="AR154" s="206"/>
      <c r="AS154" s="206"/>
      <c r="AV154" s="206"/>
      <c r="AW154" s="206"/>
      <c r="AX154" s="206"/>
      <c r="AY154" s="206"/>
      <c r="AZ154" s="206"/>
      <c r="BD154" s="206"/>
      <c r="BF154" s="206"/>
    </row>
    <row r="155" spans="1:100" x14ac:dyDescent="0.2">
      <c r="A155" s="220">
        <v>0</v>
      </c>
      <c r="B155" s="220">
        <v>0</v>
      </c>
      <c r="C155" s="206" t="s">
        <v>611</v>
      </c>
      <c r="D155" s="206" t="s">
        <v>615</v>
      </c>
      <c r="E155" s="192">
        <v>34.83</v>
      </c>
      <c r="F155" s="206" t="s">
        <v>613</v>
      </c>
      <c r="G155" s="206"/>
      <c r="H155" s="206"/>
      <c r="I155" s="206"/>
      <c r="J155" s="206"/>
      <c r="K155" s="206"/>
      <c r="L155" s="206"/>
      <c r="M155" s="206"/>
      <c r="N155" s="206"/>
      <c r="O155" s="192">
        <v>1.0900000000000001</v>
      </c>
      <c r="P155" s="192">
        <v>1.5</v>
      </c>
      <c r="Q155" s="206" t="s">
        <v>617</v>
      </c>
      <c r="R155" s="206" t="s">
        <v>618</v>
      </c>
      <c r="S155" s="206">
        <v>793578.68859999999</v>
      </c>
      <c r="T155" s="206">
        <v>2187279.6159999999</v>
      </c>
      <c r="U155" s="206">
        <v>793559.35710000002</v>
      </c>
      <c r="V155" s="206">
        <v>2187250.6490000002</v>
      </c>
      <c r="W155" s="206"/>
      <c r="X155" s="206"/>
      <c r="Y155" s="206"/>
      <c r="Z155" s="206"/>
      <c r="AA155" s="206"/>
      <c r="AB155" s="206" t="s">
        <v>615</v>
      </c>
      <c r="AC155" s="206" t="s">
        <v>617</v>
      </c>
      <c r="AD155" s="206"/>
      <c r="AL155" s="206"/>
      <c r="AM155" s="206"/>
      <c r="AN155" s="206"/>
      <c r="AO155" s="206"/>
      <c r="AP155" s="206"/>
      <c r="AQ155" s="206"/>
      <c r="AR155" s="206"/>
      <c r="AS155" s="206"/>
      <c r="AV155" s="206"/>
      <c r="AW155" s="206"/>
      <c r="AX155" s="206"/>
      <c r="AY155" s="206"/>
      <c r="AZ155" s="206"/>
      <c r="BA155" s="206"/>
      <c r="BB155" s="206"/>
      <c r="BD155" s="206"/>
      <c r="BF155" s="206"/>
      <c r="BG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  <c r="BY155" s="201"/>
      <c r="BZ155" s="201"/>
      <c r="CA155" s="201"/>
      <c r="CB155" s="201"/>
      <c r="CC155" s="201"/>
      <c r="CD155" s="201"/>
      <c r="CE155" s="201"/>
      <c r="CF155" s="201"/>
      <c r="CG155" s="201"/>
      <c r="CH155" s="201"/>
      <c r="CI155" s="201"/>
      <c r="CJ155" s="201"/>
      <c r="CK155" s="201"/>
      <c r="CL155" s="201"/>
      <c r="CM155" s="201"/>
      <c r="CN155" s="201"/>
      <c r="CO155" s="201"/>
      <c r="CP155" s="201"/>
      <c r="CQ155" s="201"/>
      <c r="CR155" s="201"/>
      <c r="CS155" s="201"/>
      <c r="CT155" s="201"/>
      <c r="CU155" s="201"/>
      <c r="CV155" s="201"/>
    </row>
    <row r="156" spans="1:100" x14ac:dyDescent="0.2">
      <c r="A156" s="220">
        <v>0</v>
      </c>
      <c r="B156" s="220">
        <v>0</v>
      </c>
      <c r="C156" s="206" t="s">
        <v>611</v>
      </c>
      <c r="D156" s="206" t="s">
        <v>617</v>
      </c>
      <c r="E156" s="192">
        <v>49.64</v>
      </c>
      <c r="F156" s="206" t="s">
        <v>615</v>
      </c>
      <c r="G156" s="206"/>
      <c r="H156" s="206"/>
      <c r="I156" s="206"/>
      <c r="J156" s="206"/>
      <c r="K156" s="206"/>
      <c r="L156" s="206"/>
      <c r="M156" s="206"/>
      <c r="N156" s="206"/>
      <c r="O156" s="192">
        <v>1.5</v>
      </c>
      <c r="P156" s="192">
        <v>1.5</v>
      </c>
      <c r="Q156" s="206" t="s">
        <v>619</v>
      </c>
      <c r="R156" s="206" t="s">
        <v>620</v>
      </c>
      <c r="S156" s="206">
        <v>793559.35710000002</v>
      </c>
      <c r="T156" s="206">
        <v>2187250.6490000002</v>
      </c>
      <c r="U156" s="206">
        <v>793530.69099999999</v>
      </c>
      <c r="V156" s="206">
        <v>2187210.1179999998</v>
      </c>
      <c r="W156" s="206"/>
      <c r="X156" s="206"/>
      <c r="Y156" s="206"/>
      <c r="Z156" s="206"/>
      <c r="AA156" s="206"/>
      <c r="AB156" s="206" t="s">
        <v>617</v>
      </c>
      <c r="AC156" s="206" t="s">
        <v>619</v>
      </c>
      <c r="AD156" s="206"/>
      <c r="AL156" s="206"/>
      <c r="AM156" s="206"/>
      <c r="AN156" s="206"/>
      <c r="AO156" s="206"/>
      <c r="AP156" s="206"/>
      <c r="AQ156" s="206"/>
      <c r="AR156" s="206"/>
      <c r="AS156" s="206"/>
      <c r="AV156" s="206"/>
      <c r="AW156" s="206"/>
      <c r="AX156" s="206"/>
      <c r="AY156" s="206"/>
      <c r="AZ156" s="206"/>
      <c r="BA156" s="206"/>
      <c r="BB156" s="206"/>
      <c r="BD156" s="206"/>
      <c r="BF156" s="206"/>
      <c r="BG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  <c r="BY156" s="201"/>
      <c r="BZ156" s="201"/>
      <c r="CA156" s="201"/>
      <c r="CB156" s="201"/>
      <c r="CC156" s="201"/>
      <c r="CD156" s="201"/>
      <c r="CE156" s="201"/>
      <c r="CF156" s="201"/>
      <c r="CG156" s="201"/>
      <c r="CH156" s="201"/>
      <c r="CI156" s="201"/>
      <c r="CJ156" s="201"/>
      <c r="CK156" s="201"/>
      <c r="CL156" s="201"/>
      <c r="CM156" s="201"/>
      <c r="CN156" s="201"/>
      <c r="CP156" s="201"/>
      <c r="CQ156" s="201"/>
      <c r="CR156" s="201"/>
      <c r="CS156" s="201"/>
      <c r="CT156" s="201"/>
      <c r="CU156" s="201"/>
      <c r="CV156" s="201"/>
    </row>
    <row r="157" spans="1:100" x14ac:dyDescent="0.2">
      <c r="A157" s="220">
        <v>0</v>
      </c>
      <c r="B157" s="220">
        <v>0</v>
      </c>
      <c r="C157" s="206" t="s">
        <v>611</v>
      </c>
      <c r="D157" s="206" t="s">
        <v>619</v>
      </c>
      <c r="E157" s="192">
        <v>46.3</v>
      </c>
      <c r="F157" s="206" t="s">
        <v>617</v>
      </c>
      <c r="G157" s="206"/>
      <c r="H157" s="206"/>
      <c r="I157" s="206"/>
      <c r="J157"/>
      <c r="K157"/>
      <c r="L157" s="206"/>
      <c r="M157" s="206"/>
      <c r="N157" s="206"/>
      <c r="O157" s="192">
        <v>1.5</v>
      </c>
      <c r="P157" s="192">
        <v>1.5</v>
      </c>
      <c r="Q157" s="206" t="s">
        <v>621</v>
      </c>
      <c r="R157" s="206" t="s">
        <v>622</v>
      </c>
      <c r="S157" s="206">
        <v>793530.69099999999</v>
      </c>
      <c r="T157" s="206">
        <v>2187210.1179999998</v>
      </c>
      <c r="U157" s="206">
        <v>793510.03449999995</v>
      </c>
      <c r="V157" s="206">
        <v>2187168.6850000001</v>
      </c>
      <c r="W157" s="206"/>
      <c r="X157" s="206"/>
      <c r="Y157" s="206"/>
      <c r="Z157" s="206"/>
      <c r="AA157" s="206"/>
      <c r="AB157" s="206" t="s">
        <v>619</v>
      </c>
      <c r="AC157" s="206" t="s">
        <v>621</v>
      </c>
      <c r="AD157" s="206"/>
      <c r="AL157" s="206"/>
      <c r="AM157" s="206"/>
      <c r="AN157" s="206"/>
      <c r="AO157" s="206"/>
      <c r="AP157" s="206"/>
      <c r="AQ157" s="206"/>
      <c r="AR157" s="206"/>
      <c r="AS157" s="206"/>
      <c r="AV157" s="206"/>
      <c r="AW157" s="206"/>
      <c r="AX157" s="206"/>
      <c r="AY157" s="206"/>
      <c r="AZ157" s="206"/>
      <c r="BD157" s="206"/>
      <c r="BF157" s="206"/>
    </row>
    <row r="158" spans="1:100" x14ac:dyDescent="0.2">
      <c r="A158" s="220">
        <v>0</v>
      </c>
      <c r="B158" s="220">
        <v>0</v>
      </c>
      <c r="C158" s="206" t="s">
        <v>611</v>
      </c>
      <c r="D158" s="206" t="s">
        <v>621</v>
      </c>
      <c r="E158" s="192">
        <v>50.86</v>
      </c>
      <c r="F158" s="206" t="s">
        <v>619</v>
      </c>
      <c r="G158" s="206"/>
      <c r="H158" s="206"/>
      <c r="I158" s="206"/>
      <c r="J158"/>
      <c r="K158"/>
      <c r="L158" s="206"/>
      <c r="M158" s="206"/>
      <c r="N158" s="206"/>
      <c r="O158" s="192">
        <v>1.5</v>
      </c>
      <c r="P158" s="192">
        <v>1.3</v>
      </c>
      <c r="Q158" s="206" t="s">
        <v>623</v>
      </c>
      <c r="R158" s="206" t="s">
        <v>624</v>
      </c>
      <c r="S158" s="206">
        <v>793510.03449999995</v>
      </c>
      <c r="T158" s="206">
        <v>2187168.6850000001</v>
      </c>
      <c r="U158" s="206">
        <v>793489.01670000004</v>
      </c>
      <c r="V158" s="206">
        <v>2187122.3739999998</v>
      </c>
      <c r="W158" s="206"/>
      <c r="X158" s="206"/>
      <c r="Y158" s="206"/>
      <c r="Z158" s="206"/>
      <c r="AA158" s="206"/>
      <c r="AB158" s="206" t="s">
        <v>621</v>
      </c>
      <c r="AC158" s="206" t="s">
        <v>623</v>
      </c>
      <c r="AD158" s="206"/>
      <c r="AL158" s="206"/>
      <c r="AM158" s="206"/>
      <c r="AN158" s="206"/>
      <c r="AO158" s="206"/>
      <c r="AP158" s="206"/>
      <c r="AQ158" s="206"/>
      <c r="AR158" s="206"/>
      <c r="AS158" s="206"/>
      <c r="AV158" s="206"/>
      <c r="AW158" s="206"/>
      <c r="AX158" s="206"/>
      <c r="AY158" s="206"/>
      <c r="AZ158" s="206"/>
      <c r="BD158" s="206"/>
      <c r="BF158" s="206"/>
    </row>
    <row r="159" spans="1:100" x14ac:dyDescent="0.2">
      <c r="A159" s="220">
        <v>0</v>
      </c>
      <c r="B159" s="220">
        <v>0</v>
      </c>
      <c r="C159" s="206" t="s">
        <v>611</v>
      </c>
      <c r="D159" s="206" t="s">
        <v>623</v>
      </c>
      <c r="E159" s="192">
        <v>52.6</v>
      </c>
      <c r="F159" s="206" t="s">
        <v>621</v>
      </c>
      <c r="G159" s="206"/>
      <c r="H159" s="206"/>
      <c r="I159" s="206"/>
      <c r="J159"/>
      <c r="K159"/>
      <c r="L159" s="206"/>
      <c r="M159" s="206"/>
      <c r="N159" s="206"/>
      <c r="O159" s="192">
        <v>1.3</v>
      </c>
      <c r="P159" s="192">
        <v>1.25</v>
      </c>
      <c r="Q159" s="206" t="s">
        <v>532</v>
      </c>
      <c r="R159" s="206" t="s">
        <v>625</v>
      </c>
      <c r="S159" s="206">
        <v>793489.01670000004</v>
      </c>
      <c r="T159" s="206">
        <v>2187122.3739999998</v>
      </c>
      <c r="U159" s="206">
        <v>793469.47080000001</v>
      </c>
      <c r="V159" s="206">
        <v>2187073.5430000001</v>
      </c>
      <c r="W159" s="206"/>
      <c r="X159" s="206"/>
      <c r="Y159" s="206"/>
      <c r="Z159" s="206"/>
      <c r="AA159" s="206"/>
      <c r="AB159" s="206" t="s">
        <v>623</v>
      </c>
      <c r="AC159" s="206" t="s">
        <v>532</v>
      </c>
      <c r="AD159" s="206"/>
      <c r="AL159" s="206"/>
      <c r="AM159" s="206"/>
      <c r="AN159" s="206"/>
      <c r="AO159" s="206"/>
      <c r="AP159" s="206"/>
      <c r="AQ159" s="206"/>
      <c r="AR159" s="206"/>
      <c r="AS159" s="206"/>
      <c r="AV159" s="206"/>
      <c r="AW159" s="206"/>
      <c r="AX159" s="206"/>
      <c r="AY159" s="206"/>
      <c r="AZ159" s="206"/>
      <c r="BD159" s="206"/>
      <c r="BF159" s="206"/>
    </row>
    <row r="160" spans="1:100" x14ac:dyDescent="0.2">
      <c r="A160" s="220">
        <v>0</v>
      </c>
      <c r="B160" s="220">
        <v>1</v>
      </c>
      <c r="C160" s="206" t="s">
        <v>611</v>
      </c>
      <c r="D160" s="206" t="s">
        <v>532</v>
      </c>
      <c r="E160" s="192">
        <v>48.04</v>
      </c>
      <c r="F160" s="206" t="s">
        <v>623</v>
      </c>
      <c r="G160" s="206"/>
      <c r="H160" s="206"/>
      <c r="I160" s="206"/>
      <c r="J160"/>
      <c r="K160"/>
      <c r="L160" s="206"/>
      <c r="M160" s="206"/>
      <c r="N160" s="206"/>
      <c r="O160" s="192">
        <v>1.25</v>
      </c>
      <c r="P160" s="192">
        <v>1</v>
      </c>
      <c r="Q160" s="206" t="s">
        <v>530</v>
      </c>
      <c r="R160" s="206" t="s">
        <v>626</v>
      </c>
      <c r="S160" s="206">
        <v>793469.47080000001</v>
      </c>
      <c r="T160" s="206">
        <v>2187073.5430000001</v>
      </c>
      <c r="U160" s="206">
        <v>793439.63390000002</v>
      </c>
      <c r="V160" s="206">
        <v>2187035.8939999999</v>
      </c>
      <c r="W160" s="206"/>
      <c r="X160" s="206"/>
      <c r="Y160" s="206"/>
      <c r="Z160" s="206"/>
      <c r="AA160" s="206"/>
      <c r="AB160" s="206" t="s">
        <v>532</v>
      </c>
      <c r="AC160" s="206" t="s">
        <v>530</v>
      </c>
      <c r="AD160" s="206"/>
      <c r="AL160" s="206"/>
      <c r="AM160" s="206"/>
      <c r="AN160" s="206"/>
      <c r="AO160" s="206"/>
      <c r="AP160" s="206"/>
      <c r="AQ160" s="206"/>
      <c r="AR160" s="206"/>
      <c r="AS160" s="206"/>
      <c r="AV160" s="206"/>
      <c r="AW160" s="206"/>
      <c r="AX160" s="206"/>
      <c r="AY160" s="206"/>
      <c r="AZ160" s="206"/>
      <c r="BD160" s="206"/>
      <c r="BF160" s="206"/>
    </row>
    <row r="161" spans="1:100" x14ac:dyDescent="0.2">
      <c r="A161" s="220">
        <v>1</v>
      </c>
      <c r="B161" s="220">
        <v>1</v>
      </c>
      <c r="C161" s="206" t="s">
        <v>627</v>
      </c>
      <c r="D161" s="206" t="s">
        <v>509</v>
      </c>
      <c r="E161" s="192">
        <v>45.8</v>
      </c>
      <c r="F161" s="206"/>
      <c r="G161" s="206"/>
      <c r="H161" s="206"/>
      <c r="I161" s="206"/>
      <c r="J161"/>
      <c r="K161"/>
      <c r="L161" s="206"/>
      <c r="M161" s="206"/>
      <c r="N161" s="206"/>
      <c r="O161" s="192">
        <v>2.66</v>
      </c>
      <c r="P161" s="192">
        <v>2.11</v>
      </c>
      <c r="Q161" s="206" t="s">
        <v>507</v>
      </c>
      <c r="R161" s="206" t="s">
        <v>628</v>
      </c>
      <c r="S161" s="206">
        <v>793177.96519999998</v>
      </c>
      <c r="T161" s="206">
        <v>2187283.7710000002</v>
      </c>
      <c r="U161" s="206">
        <v>793220.66330000001</v>
      </c>
      <c r="V161" s="206">
        <v>2187267.21</v>
      </c>
      <c r="W161" s="206"/>
      <c r="X161" s="206"/>
      <c r="Y161" s="206"/>
      <c r="Z161" s="206"/>
      <c r="AA161" s="206"/>
      <c r="AB161" s="206" t="s">
        <v>509</v>
      </c>
      <c r="AC161" s="206" t="s">
        <v>507</v>
      </c>
      <c r="AD161" s="206"/>
      <c r="AL161" s="206"/>
      <c r="AM161" s="206"/>
      <c r="AN161" s="206"/>
      <c r="AO161" s="206"/>
      <c r="AP161" s="206"/>
      <c r="AQ161" s="206"/>
      <c r="AR161" s="206"/>
      <c r="AS161" s="206"/>
      <c r="AV161" s="206"/>
      <c r="AW161" s="206"/>
      <c r="AX161" s="206"/>
      <c r="AY161" s="206"/>
      <c r="AZ161" s="206"/>
      <c r="BD161" s="206"/>
      <c r="BF161" s="206"/>
    </row>
    <row r="162" spans="1:100" x14ac:dyDescent="0.2">
      <c r="A162" s="220">
        <v>1</v>
      </c>
      <c r="B162" s="220">
        <v>0</v>
      </c>
      <c r="C162" s="206" t="s">
        <v>629</v>
      </c>
      <c r="D162" s="206" t="s">
        <v>630</v>
      </c>
      <c r="E162" s="192">
        <v>44.79</v>
      </c>
      <c r="F162" s="206"/>
      <c r="G162" s="206"/>
      <c r="H162" s="206"/>
      <c r="I162" s="206"/>
      <c r="J162"/>
      <c r="K162"/>
      <c r="L162" s="206"/>
      <c r="M162" s="206"/>
      <c r="N162" s="206"/>
      <c r="O162" s="192">
        <v>3.17</v>
      </c>
      <c r="P162" s="192">
        <v>2.72</v>
      </c>
      <c r="Q162" s="206" t="s">
        <v>631</v>
      </c>
      <c r="R162" s="206" t="s">
        <v>632</v>
      </c>
      <c r="S162" s="206">
        <v>793131.14190000005</v>
      </c>
      <c r="T162" s="206">
        <v>2187299.1579999998</v>
      </c>
      <c r="U162" s="206">
        <v>793115.75490000006</v>
      </c>
      <c r="V162" s="206">
        <v>2187257.0920000002</v>
      </c>
      <c r="W162" s="206"/>
      <c r="X162" s="206"/>
      <c r="Y162" s="206"/>
      <c r="Z162" s="206"/>
      <c r="AA162" s="206"/>
      <c r="AB162" s="206" t="s">
        <v>630</v>
      </c>
      <c r="AC162" s="206" t="s">
        <v>631</v>
      </c>
      <c r="AD162" s="206"/>
      <c r="AL162" s="206"/>
      <c r="AM162" s="206"/>
      <c r="AN162" s="206"/>
      <c r="AO162" s="206"/>
      <c r="AP162" s="206"/>
      <c r="AQ162" s="206"/>
      <c r="AR162" s="206"/>
      <c r="AS162" s="206"/>
      <c r="AV162" s="206"/>
      <c r="AW162" s="206"/>
      <c r="AX162" s="206"/>
      <c r="AY162" s="206"/>
      <c r="AZ162" s="206"/>
      <c r="BD162" s="206"/>
      <c r="BF162" s="206"/>
    </row>
    <row r="163" spans="1:100" x14ac:dyDescent="0.2">
      <c r="A163" s="220">
        <v>0</v>
      </c>
      <c r="B163" s="220">
        <v>0</v>
      </c>
      <c r="C163" s="206" t="s">
        <v>629</v>
      </c>
      <c r="D163" s="206" t="s">
        <v>631</v>
      </c>
      <c r="E163" s="192">
        <v>54.91</v>
      </c>
      <c r="F163" s="206" t="s">
        <v>630</v>
      </c>
      <c r="G163" s="206" t="s">
        <v>633</v>
      </c>
      <c r="H163" s="206"/>
      <c r="I163" s="206"/>
      <c r="J163"/>
      <c r="K163"/>
      <c r="L163" s="206"/>
      <c r="M163" s="206"/>
      <c r="N163" s="206"/>
      <c r="O163" s="192">
        <v>2.72</v>
      </c>
      <c r="P163" s="192">
        <v>2.5</v>
      </c>
      <c r="Q163" s="206" t="s">
        <v>634</v>
      </c>
      <c r="R163" s="206" t="s">
        <v>635</v>
      </c>
      <c r="S163" s="206">
        <v>793115.75490000006</v>
      </c>
      <c r="T163" s="206">
        <v>2187257.0920000002</v>
      </c>
      <c r="U163" s="206">
        <v>793097.68810000003</v>
      </c>
      <c r="V163" s="206">
        <v>2187205.2400000002</v>
      </c>
      <c r="W163" s="206"/>
      <c r="X163" s="206"/>
      <c r="Y163" s="206"/>
      <c r="Z163" s="206"/>
      <c r="AA163" s="206"/>
      <c r="AB163" s="206" t="s">
        <v>631</v>
      </c>
      <c r="AC163" s="206" t="s">
        <v>634</v>
      </c>
      <c r="AD163" s="206"/>
      <c r="AL163" s="206"/>
      <c r="AM163" s="206"/>
      <c r="AN163" s="206"/>
      <c r="AO163" s="206"/>
      <c r="AP163" s="206"/>
      <c r="AQ163" s="206"/>
      <c r="AR163" s="206"/>
      <c r="AS163" s="206"/>
      <c r="AV163" s="206"/>
      <c r="AW163" s="206"/>
      <c r="AX163" s="206"/>
      <c r="AY163" s="206"/>
      <c r="AZ163" s="206"/>
      <c r="BD163" s="206"/>
      <c r="BF163" s="206"/>
    </row>
    <row r="164" spans="1:100" x14ac:dyDescent="0.2">
      <c r="A164" s="220">
        <v>0</v>
      </c>
      <c r="B164" s="220">
        <v>0</v>
      </c>
      <c r="C164" s="206" t="s">
        <v>629</v>
      </c>
      <c r="D164" s="206" t="s">
        <v>634</v>
      </c>
      <c r="E164" s="192">
        <v>50.11</v>
      </c>
      <c r="F164" s="206" t="s">
        <v>631</v>
      </c>
      <c r="G164" s="206" t="s">
        <v>636</v>
      </c>
      <c r="H164" s="206"/>
      <c r="I164" s="206"/>
      <c r="J164"/>
      <c r="K164"/>
      <c r="L164" s="206"/>
      <c r="M164" s="206"/>
      <c r="N164" s="206"/>
      <c r="O164" s="192">
        <v>2.5</v>
      </c>
      <c r="P164" s="192">
        <v>2.38</v>
      </c>
      <c r="Q164" s="206" t="s">
        <v>514</v>
      </c>
      <c r="R164" s="206" t="s">
        <v>637</v>
      </c>
      <c r="S164" s="206">
        <v>793097.68810000003</v>
      </c>
      <c r="T164" s="206">
        <v>2187205.2400000002</v>
      </c>
      <c r="U164" s="206">
        <v>793145.17379999999</v>
      </c>
      <c r="V164" s="206">
        <v>2187189.2510000002</v>
      </c>
      <c r="W164" s="206"/>
      <c r="X164" s="206"/>
      <c r="Y164" s="206"/>
      <c r="Z164" s="206"/>
      <c r="AA164" s="206"/>
      <c r="AB164" s="206" t="s">
        <v>634</v>
      </c>
      <c r="AC164" s="206" t="s">
        <v>514</v>
      </c>
      <c r="AD164" s="206"/>
      <c r="AL164" s="206"/>
      <c r="AM164" s="206"/>
      <c r="AN164" s="206"/>
      <c r="AO164" s="206"/>
      <c r="AP164" s="206"/>
      <c r="AQ164" s="206"/>
      <c r="AR164" s="206"/>
      <c r="AS164" s="206"/>
      <c r="AV164" s="206"/>
      <c r="AW164" s="206"/>
      <c r="AX164" s="206"/>
      <c r="AY164" s="206"/>
      <c r="AZ164" s="206"/>
      <c r="BD164" s="206"/>
      <c r="BF164" s="206"/>
    </row>
    <row r="165" spans="1:100" x14ac:dyDescent="0.2">
      <c r="A165" s="220">
        <v>0</v>
      </c>
      <c r="B165" s="220">
        <v>1</v>
      </c>
      <c r="C165" s="206" t="s">
        <v>629</v>
      </c>
      <c r="D165" s="206" t="s">
        <v>514</v>
      </c>
      <c r="E165" s="192">
        <v>45.2</v>
      </c>
      <c r="F165" s="206" t="s">
        <v>634</v>
      </c>
      <c r="G165" s="206"/>
      <c r="H165" s="206"/>
      <c r="I165" s="206"/>
      <c r="J165" s="206"/>
      <c r="K165" s="206"/>
      <c r="L165" s="206"/>
      <c r="M165" s="206"/>
      <c r="N165" s="206"/>
      <c r="O165" s="192">
        <v>2.38</v>
      </c>
      <c r="P165" s="192">
        <v>2</v>
      </c>
      <c r="Q165" s="206" t="s">
        <v>512</v>
      </c>
      <c r="R165" s="206" t="s">
        <v>638</v>
      </c>
      <c r="S165" s="206">
        <v>793145.17379999999</v>
      </c>
      <c r="T165" s="206">
        <v>2187189.2510000002</v>
      </c>
      <c r="U165" s="206">
        <v>793188.62470000004</v>
      </c>
      <c r="V165" s="206">
        <v>2187176.8149999999</v>
      </c>
      <c r="W165" s="206"/>
      <c r="X165" s="206"/>
      <c r="Y165" s="206"/>
      <c r="Z165" s="206"/>
      <c r="AA165" s="206"/>
      <c r="AB165" s="206" t="s">
        <v>514</v>
      </c>
      <c r="AC165" s="206" t="s">
        <v>512</v>
      </c>
      <c r="AD165" s="206"/>
      <c r="AL165" s="206"/>
      <c r="AM165" s="206"/>
      <c r="AN165" s="206"/>
      <c r="AO165" s="206"/>
      <c r="AP165" s="206"/>
      <c r="AQ165" s="206"/>
      <c r="AR165" s="206"/>
      <c r="AS165" s="206"/>
      <c r="AV165" s="206"/>
      <c r="AW165" s="206"/>
      <c r="AX165" s="206"/>
      <c r="AY165" s="206"/>
      <c r="AZ165" s="206"/>
      <c r="BA165" s="206"/>
      <c r="BB165" s="206"/>
      <c r="BD165" s="206"/>
      <c r="BF165" s="206"/>
      <c r="BG165" s="201"/>
      <c r="BH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  <c r="BY165" s="201"/>
      <c r="BZ165" s="201"/>
      <c r="CA165" s="201"/>
      <c r="CB165" s="201"/>
      <c r="CC165" s="201"/>
      <c r="CD165" s="201"/>
      <c r="CE165" s="201"/>
      <c r="CF165" s="201"/>
      <c r="CG165" s="201"/>
      <c r="CH165" s="201"/>
      <c r="CI165" s="201"/>
      <c r="CJ165" s="201"/>
      <c r="CK165" s="201"/>
      <c r="CL165" s="201"/>
      <c r="CM165" s="201"/>
      <c r="CN165" s="201"/>
      <c r="CO165" s="201"/>
      <c r="CP165" s="201"/>
      <c r="CQ165" s="201"/>
      <c r="CR165" s="201"/>
      <c r="CS165" s="201"/>
      <c r="CT165" s="201"/>
      <c r="CU165" s="201"/>
      <c r="CV165" s="201"/>
    </row>
    <row r="166" spans="1:100" x14ac:dyDescent="0.2">
      <c r="A166" s="220">
        <v>1</v>
      </c>
      <c r="B166" s="220">
        <v>0</v>
      </c>
      <c r="C166" s="206" t="s">
        <v>639</v>
      </c>
      <c r="D166" s="206" t="s">
        <v>640</v>
      </c>
      <c r="E166" s="192">
        <v>46.46</v>
      </c>
      <c r="F166" s="206"/>
      <c r="G166" s="206"/>
      <c r="H166" s="206"/>
      <c r="I166" s="206"/>
      <c r="J166"/>
      <c r="K166"/>
      <c r="L166" s="206"/>
      <c r="M166" s="206"/>
      <c r="N166" s="206"/>
      <c r="O166" s="192">
        <v>4</v>
      </c>
      <c r="P166" s="192">
        <v>3.61</v>
      </c>
      <c r="Q166" s="206" t="s">
        <v>633</v>
      </c>
      <c r="R166" s="206" t="s">
        <v>641</v>
      </c>
      <c r="S166" s="206">
        <v>793090.00959999999</v>
      </c>
      <c r="T166" s="206">
        <v>2187313.852</v>
      </c>
      <c r="U166" s="206">
        <v>793072.42449999996</v>
      </c>
      <c r="V166" s="206">
        <v>2187270.8530000001</v>
      </c>
      <c r="W166" s="206"/>
      <c r="X166" s="206"/>
      <c r="Y166" s="206"/>
      <c r="Z166" s="206"/>
      <c r="AA166" s="206"/>
      <c r="AB166" s="206" t="s">
        <v>640</v>
      </c>
      <c r="AC166" s="206" t="s">
        <v>633</v>
      </c>
      <c r="AD166" s="206"/>
      <c r="AL166" s="206"/>
      <c r="AM166" s="206"/>
      <c r="AN166" s="206"/>
      <c r="AO166" s="206"/>
      <c r="AP166" s="206"/>
      <c r="AQ166" s="206"/>
      <c r="AR166" s="206"/>
      <c r="AS166" s="206"/>
      <c r="AV166" s="206"/>
      <c r="AW166" s="206"/>
      <c r="AX166" s="206"/>
      <c r="AY166" s="206"/>
      <c r="AZ166" s="206"/>
      <c r="BD166" s="206"/>
      <c r="BF166" s="206"/>
    </row>
    <row r="167" spans="1:100" x14ac:dyDescent="0.2">
      <c r="A167" s="220">
        <v>0</v>
      </c>
      <c r="B167" s="220">
        <v>1</v>
      </c>
      <c r="C167" s="206" t="s">
        <v>639</v>
      </c>
      <c r="D167" s="206" t="s">
        <v>633</v>
      </c>
      <c r="E167" s="192">
        <v>45.46</v>
      </c>
      <c r="F167" s="206" t="s">
        <v>640</v>
      </c>
      <c r="G167" s="206"/>
      <c r="H167" s="206"/>
      <c r="I167" s="206"/>
      <c r="J167"/>
      <c r="K167"/>
      <c r="L167" s="206"/>
      <c r="M167" s="206"/>
      <c r="N167" s="206"/>
      <c r="O167" s="192">
        <v>3.61</v>
      </c>
      <c r="P167" s="192">
        <v>2.72</v>
      </c>
      <c r="Q167" s="206" t="s">
        <v>631</v>
      </c>
      <c r="R167" s="206" t="s">
        <v>642</v>
      </c>
      <c r="S167" s="206">
        <v>793072.42449999996</v>
      </c>
      <c r="T167" s="206">
        <v>2187270.8530000001</v>
      </c>
      <c r="U167" s="206">
        <v>793115.75490000006</v>
      </c>
      <c r="V167" s="206">
        <v>2187257.0920000002</v>
      </c>
      <c r="W167" s="206"/>
      <c r="X167" s="206"/>
      <c r="Y167" s="206"/>
      <c r="Z167" s="206"/>
      <c r="AA167" s="206"/>
      <c r="AB167" s="206" t="s">
        <v>633</v>
      </c>
      <c r="AC167" s="206" t="s">
        <v>631</v>
      </c>
      <c r="AD167" s="206"/>
      <c r="AL167" s="206"/>
      <c r="AM167" s="206"/>
      <c r="AN167" s="206"/>
      <c r="AO167" s="206"/>
      <c r="AP167" s="206"/>
      <c r="AQ167" s="206"/>
      <c r="AR167" s="206"/>
      <c r="AS167" s="206"/>
      <c r="AV167" s="206"/>
      <c r="AW167" s="206"/>
      <c r="AX167" s="206"/>
      <c r="AY167" s="206"/>
      <c r="AZ167" s="206"/>
      <c r="BD167" s="206"/>
      <c r="BF167" s="206"/>
    </row>
    <row r="168" spans="1:100" x14ac:dyDescent="0.2">
      <c r="A168" s="220">
        <v>1</v>
      </c>
      <c r="B168" s="220">
        <v>0</v>
      </c>
      <c r="C168" s="206" t="s">
        <v>643</v>
      </c>
      <c r="D168" s="206" t="s">
        <v>644</v>
      </c>
      <c r="E168" s="192">
        <v>64.98</v>
      </c>
      <c r="F168" s="206"/>
      <c r="G168" s="206"/>
      <c r="H168" s="206"/>
      <c r="I168" s="206" t="s">
        <v>645</v>
      </c>
      <c r="J168">
        <v>941</v>
      </c>
      <c r="K168">
        <v>402</v>
      </c>
      <c r="L168" s="206"/>
      <c r="M168" s="206"/>
      <c r="N168" s="206"/>
      <c r="O168" s="192">
        <v>8</v>
      </c>
      <c r="P168" s="192">
        <v>5.47</v>
      </c>
      <c r="Q168" s="206" t="s">
        <v>646</v>
      </c>
      <c r="R168" s="206" t="s">
        <v>647</v>
      </c>
      <c r="S168" s="206">
        <v>792774.16839999997</v>
      </c>
      <c r="T168" s="206">
        <v>2186726.642</v>
      </c>
      <c r="U168" s="206">
        <v>792835.93160000001</v>
      </c>
      <c r="V168" s="206">
        <v>2186746.8309999998</v>
      </c>
      <c r="W168" s="206"/>
      <c r="X168" s="206"/>
      <c r="Y168" s="206"/>
      <c r="Z168" s="206"/>
      <c r="AA168" s="206"/>
      <c r="AB168" s="206" t="s">
        <v>644</v>
      </c>
      <c r="AC168" s="206" t="s">
        <v>646</v>
      </c>
      <c r="AD168" s="206"/>
      <c r="AL168" s="206"/>
      <c r="AM168" s="206"/>
      <c r="AN168" s="206"/>
      <c r="AO168" s="206"/>
      <c r="AP168" s="206"/>
      <c r="AQ168" s="206"/>
      <c r="AR168" s="206"/>
      <c r="AS168" s="206"/>
      <c r="AV168" s="206"/>
      <c r="AW168" s="206"/>
      <c r="AX168" s="206"/>
      <c r="AY168" s="206"/>
      <c r="AZ168" s="206"/>
      <c r="BD168" s="206"/>
      <c r="BF168" s="206"/>
    </row>
    <row r="169" spans="1:100" x14ac:dyDescent="0.2">
      <c r="A169" s="220">
        <v>0</v>
      </c>
      <c r="B169" s="220">
        <v>0</v>
      </c>
      <c r="C169" s="206" t="s">
        <v>643</v>
      </c>
      <c r="D169" s="206" t="s">
        <v>646</v>
      </c>
      <c r="E169" s="192">
        <v>50.02</v>
      </c>
      <c r="F169" s="206" t="s">
        <v>644</v>
      </c>
      <c r="G169" s="206"/>
      <c r="H169" s="206"/>
      <c r="I169" s="206" t="s">
        <v>648</v>
      </c>
      <c r="J169">
        <v>61</v>
      </c>
      <c r="K169">
        <v>26</v>
      </c>
      <c r="L169" s="206"/>
      <c r="M169" s="206"/>
      <c r="N169" s="206"/>
      <c r="O169" s="192">
        <v>5.47</v>
      </c>
      <c r="P169" s="192">
        <v>4.7300000000000004</v>
      </c>
      <c r="Q169" s="206" t="s">
        <v>649</v>
      </c>
      <c r="R169" s="206" t="s">
        <v>650</v>
      </c>
      <c r="S169" s="206">
        <v>792835.93160000001</v>
      </c>
      <c r="T169" s="206">
        <v>2186746.8309999998</v>
      </c>
      <c r="U169" s="206">
        <v>792884.40850000002</v>
      </c>
      <c r="V169" s="206">
        <v>2186734.5079999999</v>
      </c>
      <c r="W169" s="206"/>
      <c r="X169" s="206"/>
      <c r="Y169" s="206"/>
      <c r="Z169" s="206"/>
      <c r="AA169" s="206"/>
      <c r="AB169" s="206" t="s">
        <v>646</v>
      </c>
      <c r="AC169" s="206" t="s">
        <v>649</v>
      </c>
      <c r="AD169" s="206"/>
      <c r="AL169" s="206"/>
      <c r="AM169" s="206"/>
      <c r="AN169" s="206"/>
      <c r="AO169" s="206"/>
      <c r="AP169" s="206"/>
      <c r="AQ169" s="206"/>
      <c r="AR169" s="206"/>
      <c r="AS169" s="206"/>
      <c r="AV169" s="206"/>
      <c r="AW169" s="206"/>
      <c r="AX169" s="206"/>
      <c r="AY169" s="206"/>
      <c r="AZ169" s="206"/>
      <c r="BD169" s="206"/>
      <c r="BF169" s="206"/>
    </row>
    <row r="170" spans="1:100" x14ac:dyDescent="0.2">
      <c r="A170" s="220">
        <v>0</v>
      </c>
      <c r="B170" s="220">
        <v>0</v>
      </c>
      <c r="C170" s="206" t="s">
        <v>643</v>
      </c>
      <c r="D170" s="206" t="s">
        <v>649</v>
      </c>
      <c r="E170" s="192">
        <v>51.34</v>
      </c>
      <c r="F170" s="206" t="s">
        <v>646</v>
      </c>
      <c r="G170" s="206"/>
      <c r="H170" s="206"/>
      <c r="I170" s="206"/>
      <c r="J170" s="206"/>
      <c r="K170" s="206"/>
      <c r="L170" s="206"/>
      <c r="M170" s="206"/>
      <c r="N170" s="206"/>
      <c r="O170" s="192">
        <v>4.7300000000000004</v>
      </c>
      <c r="P170" s="192">
        <v>4.1100000000000003</v>
      </c>
      <c r="Q170" s="206" t="s">
        <v>651</v>
      </c>
      <c r="R170" s="206" t="s">
        <v>652</v>
      </c>
      <c r="S170" s="206">
        <v>792884.40850000002</v>
      </c>
      <c r="T170" s="206">
        <v>2186734.5079999999</v>
      </c>
      <c r="U170" s="206">
        <v>792905.12520000001</v>
      </c>
      <c r="V170" s="206">
        <v>2186781.4819999998</v>
      </c>
      <c r="W170" s="206"/>
      <c r="X170" s="206"/>
      <c r="Y170" s="206"/>
      <c r="Z170" s="206"/>
      <c r="AA170" s="206"/>
      <c r="AB170" s="206" t="s">
        <v>649</v>
      </c>
      <c r="AC170" s="206" t="s">
        <v>651</v>
      </c>
      <c r="AD170" s="206"/>
      <c r="AL170" s="206"/>
      <c r="AM170" s="206"/>
      <c r="AN170" s="206"/>
      <c r="AO170" s="206"/>
      <c r="AP170" s="206"/>
      <c r="AQ170" s="206"/>
      <c r="AR170" s="206"/>
      <c r="AS170" s="206"/>
      <c r="AV170" s="206"/>
      <c r="AW170" s="206"/>
      <c r="AX170" s="206"/>
      <c r="AY170" s="206"/>
      <c r="AZ170" s="206"/>
      <c r="BA170" s="206"/>
      <c r="BB170" s="206"/>
      <c r="BD170" s="206"/>
      <c r="BF170" s="206"/>
      <c r="BG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  <c r="BY170" s="201"/>
      <c r="BZ170" s="201"/>
      <c r="CA170" s="201"/>
      <c r="CB170" s="201"/>
      <c r="CC170" s="201"/>
      <c r="CD170" s="201"/>
      <c r="CE170" s="201"/>
      <c r="CF170" s="201"/>
      <c r="CG170" s="201"/>
      <c r="CH170" s="201"/>
      <c r="CI170" s="201"/>
      <c r="CJ170" s="201"/>
      <c r="CK170" s="201"/>
      <c r="CL170" s="201"/>
      <c r="CM170" s="201"/>
      <c r="CN170" s="201"/>
      <c r="CO170" s="201"/>
      <c r="CP170" s="201"/>
      <c r="CQ170" s="201"/>
      <c r="CR170" s="201"/>
      <c r="CS170" s="201"/>
      <c r="CT170" s="201"/>
      <c r="CU170" s="201"/>
      <c r="CV170" s="201"/>
    </row>
    <row r="171" spans="1:100" x14ac:dyDescent="0.2">
      <c r="A171" s="220">
        <v>0</v>
      </c>
      <c r="B171" s="220">
        <v>0</v>
      </c>
      <c r="C171" s="206" t="s">
        <v>643</v>
      </c>
      <c r="D171" s="206" t="s">
        <v>651</v>
      </c>
      <c r="E171" s="192">
        <v>44.7</v>
      </c>
      <c r="F171" s="206" t="s">
        <v>649</v>
      </c>
      <c r="G171" s="206"/>
      <c r="H171" s="206"/>
      <c r="I171" s="206"/>
      <c r="J171"/>
      <c r="K171"/>
      <c r="L171" s="206"/>
      <c r="M171" s="206"/>
      <c r="N171" s="206"/>
      <c r="O171" s="192">
        <v>4.1100000000000003</v>
      </c>
      <c r="P171" s="192">
        <v>3.08</v>
      </c>
      <c r="Q171" s="206" t="s">
        <v>653</v>
      </c>
      <c r="R171" s="206" t="s">
        <v>654</v>
      </c>
      <c r="S171" s="206">
        <v>792905.12520000001</v>
      </c>
      <c r="T171" s="206">
        <v>2186781.4819999998</v>
      </c>
      <c r="U171" s="206">
        <v>792947.64260000002</v>
      </c>
      <c r="V171" s="206">
        <v>2186767.6910000001</v>
      </c>
      <c r="W171" s="206"/>
      <c r="X171" s="206"/>
      <c r="Y171" s="206"/>
      <c r="Z171" s="206"/>
      <c r="AA171" s="206"/>
      <c r="AB171" s="206" t="s">
        <v>651</v>
      </c>
      <c r="AC171" s="206" t="s">
        <v>653</v>
      </c>
      <c r="AD171" s="206"/>
      <c r="AL171" s="206"/>
      <c r="AM171" s="206"/>
      <c r="AN171" s="206"/>
      <c r="AO171" s="206"/>
      <c r="AP171" s="206"/>
      <c r="AQ171" s="206"/>
      <c r="AR171" s="206"/>
      <c r="AS171" s="206"/>
      <c r="AV171" s="206"/>
      <c r="AW171" s="206"/>
      <c r="AX171" s="206"/>
      <c r="AY171" s="206"/>
      <c r="AZ171" s="206"/>
      <c r="BD171" s="206"/>
      <c r="BF171" s="206"/>
    </row>
    <row r="172" spans="1:100" x14ac:dyDescent="0.2">
      <c r="A172" s="220">
        <v>0</v>
      </c>
      <c r="B172" s="220">
        <v>0</v>
      </c>
      <c r="C172" s="206" t="s">
        <v>643</v>
      </c>
      <c r="D172" s="206" t="s">
        <v>653</v>
      </c>
      <c r="E172" s="192">
        <v>47.99</v>
      </c>
      <c r="F172" s="206" t="s">
        <v>651</v>
      </c>
      <c r="G172" s="206"/>
      <c r="H172" s="206"/>
      <c r="I172" s="206"/>
      <c r="J172"/>
      <c r="K172"/>
      <c r="L172" s="206"/>
      <c r="M172" s="206"/>
      <c r="N172" s="206"/>
      <c r="O172" s="192">
        <v>3.08</v>
      </c>
      <c r="P172" s="192">
        <v>2</v>
      </c>
      <c r="Q172" s="206" t="s">
        <v>655</v>
      </c>
      <c r="R172" s="206" t="s">
        <v>656</v>
      </c>
      <c r="S172" s="206">
        <v>792947.64260000002</v>
      </c>
      <c r="T172" s="206">
        <v>2186767.6910000001</v>
      </c>
      <c r="U172" s="206">
        <v>792992.50870000001</v>
      </c>
      <c r="V172" s="206">
        <v>2186750.648</v>
      </c>
      <c r="W172" s="206"/>
      <c r="X172" s="206"/>
      <c r="Y172" s="206"/>
      <c r="Z172" s="206"/>
      <c r="AA172" s="206"/>
      <c r="AB172" s="206" t="s">
        <v>653</v>
      </c>
      <c r="AC172" s="206" t="s">
        <v>655</v>
      </c>
      <c r="AD172" s="206"/>
      <c r="AL172" s="206"/>
      <c r="AM172" s="206"/>
      <c r="AN172" s="206"/>
      <c r="AO172" s="206"/>
      <c r="AP172" s="206"/>
      <c r="AQ172" s="206"/>
      <c r="AR172" s="206"/>
      <c r="AS172" s="206"/>
      <c r="AV172" s="206"/>
      <c r="AW172" s="206"/>
      <c r="AX172" s="206"/>
      <c r="AY172" s="206"/>
      <c r="AZ172" s="206"/>
      <c r="BD172" s="206"/>
      <c r="BF172" s="206"/>
    </row>
    <row r="173" spans="1:100" x14ac:dyDescent="0.2">
      <c r="A173" s="220">
        <v>0</v>
      </c>
      <c r="B173" s="220">
        <v>0</v>
      </c>
      <c r="C173" s="206" t="s">
        <v>643</v>
      </c>
      <c r="D173" s="206" t="s">
        <v>655</v>
      </c>
      <c r="E173" s="192">
        <v>47.08</v>
      </c>
      <c r="F173" s="206" t="s">
        <v>653</v>
      </c>
      <c r="G173" s="206" t="s">
        <v>657</v>
      </c>
      <c r="H173" s="206"/>
      <c r="I173" s="206"/>
      <c r="J173"/>
      <c r="K173"/>
      <c r="L173" s="206"/>
      <c r="M173" s="206"/>
      <c r="N173" s="206"/>
      <c r="O173" s="192">
        <v>2</v>
      </c>
      <c r="P173" s="192">
        <v>1.69</v>
      </c>
      <c r="Q173" s="206" t="s">
        <v>658</v>
      </c>
      <c r="R173" s="206" t="s">
        <v>659</v>
      </c>
      <c r="S173" s="206">
        <v>792992.50870000001</v>
      </c>
      <c r="T173" s="206">
        <v>2186750.648</v>
      </c>
      <c r="U173" s="206">
        <v>793037.07369999995</v>
      </c>
      <c r="V173" s="206">
        <v>2186735.4709999999</v>
      </c>
      <c r="W173" s="206"/>
      <c r="X173" s="206"/>
      <c r="Y173" s="206"/>
      <c r="Z173" s="206"/>
      <c r="AA173" s="206"/>
      <c r="AB173" s="206" t="s">
        <v>655</v>
      </c>
      <c r="AC173" s="206" t="s">
        <v>658</v>
      </c>
      <c r="AD173" s="206"/>
      <c r="AL173" s="206"/>
      <c r="AM173" s="206"/>
      <c r="AN173" s="206"/>
      <c r="AO173" s="206"/>
      <c r="AP173" s="206"/>
      <c r="AQ173" s="206"/>
      <c r="AR173" s="206"/>
      <c r="AS173" s="206"/>
      <c r="AV173" s="206"/>
      <c r="AW173" s="206"/>
      <c r="AX173" s="206"/>
      <c r="AY173" s="206"/>
      <c r="AZ173" s="206"/>
      <c r="BD173" s="206"/>
      <c r="BF173" s="206"/>
    </row>
    <row r="174" spans="1:100" x14ac:dyDescent="0.2">
      <c r="A174" s="220">
        <v>0</v>
      </c>
      <c r="B174" s="220">
        <v>0</v>
      </c>
      <c r="C174" s="206" t="s">
        <v>643</v>
      </c>
      <c r="D174" s="206" t="s">
        <v>658</v>
      </c>
      <c r="E174" s="192">
        <v>75.84</v>
      </c>
      <c r="F174" s="206" t="s">
        <v>655</v>
      </c>
      <c r="G174" s="206"/>
      <c r="H174" s="206"/>
      <c r="I174" s="206"/>
      <c r="J174"/>
      <c r="K174"/>
      <c r="L174" s="206"/>
      <c r="M174" s="206"/>
      <c r="N174" s="206"/>
      <c r="O174" s="192">
        <v>1.69</v>
      </c>
      <c r="P174" s="192">
        <v>1</v>
      </c>
      <c r="Q174" s="206" t="s">
        <v>660</v>
      </c>
      <c r="R174" s="206" t="s">
        <v>661</v>
      </c>
      <c r="S174" s="206">
        <v>793037.07369999995</v>
      </c>
      <c r="T174" s="206">
        <v>2186735.4709999999</v>
      </c>
      <c r="U174" s="206">
        <v>793061.97589999996</v>
      </c>
      <c r="V174" s="206">
        <v>2186807.1069999998</v>
      </c>
      <c r="W174" s="206"/>
      <c r="X174" s="206"/>
      <c r="Y174" s="206"/>
      <c r="Z174" s="206"/>
      <c r="AA174" s="206"/>
      <c r="AB174" s="206" t="s">
        <v>658</v>
      </c>
      <c r="AC174" s="206" t="s">
        <v>660</v>
      </c>
      <c r="AD174" s="206"/>
      <c r="AL174" s="206"/>
      <c r="AM174" s="206"/>
      <c r="AN174" s="206"/>
      <c r="AO174" s="206"/>
      <c r="AP174" s="206"/>
      <c r="AQ174" s="206"/>
      <c r="AR174" s="206"/>
      <c r="AS174" s="206"/>
      <c r="AV174" s="206"/>
      <c r="AW174" s="206"/>
      <c r="AX174" s="206"/>
      <c r="AY174" s="206"/>
      <c r="AZ174" s="206"/>
      <c r="BD174" s="206"/>
      <c r="BF174" s="206"/>
    </row>
    <row r="175" spans="1:100" x14ac:dyDescent="0.2">
      <c r="A175" s="220">
        <v>0</v>
      </c>
      <c r="B175" s="220">
        <v>0</v>
      </c>
      <c r="C175" s="206" t="s">
        <v>643</v>
      </c>
      <c r="D175" s="206" t="s">
        <v>660</v>
      </c>
      <c r="E175" s="192">
        <v>49.48</v>
      </c>
      <c r="F175" s="206" t="s">
        <v>658</v>
      </c>
      <c r="G175" s="206"/>
      <c r="H175" s="206"/>
      <c r="I175" s="206"/>
      <c r="J175"/>
      <c r="K175"/>
      <c r="L175" s="206"/>
      <c r="M175" s="206"/>
      <c r="N175" s="206"/>
      <c r="O175" s="192">
        <v>1</v>
      </c>
      <c r="P175" s="192">
        <v>1.24</v>
      </c>
      <c r="Q175" s="206" t="s">
        <v>662</v>
      </c>
      <c r="R175" s="206" t="s">
        <v>663</v>
      </c>
      <c r="S175" s="206">
        <v>793061.97589999996</v>
      </c>
      <c r="T175" s="206">
        <v>2186807.1069999998</v>
      </c>
      <c r="U175" s="206">
        <v>793077.87470000004</v>
      </c>
      <c r="V175" s="206">
        <v>2186853.96</v>
      </c>
      <c r="W175" s="206"/>
      <c r="X175" s="206"/>
      <c r="Y175" s="206"/>
      <c r="Z175" s="206"/>
      <c r="AA175" s="206"/>
      <c r="AB175" s="206" t="s">
        <v>660</v>
      </c>
      <c r="AC175" s="206" t="s">
        <v>662</v>
      </c>
      <c r="AD175" s="206"/>
      <c r="AL175" s="206"/>
      <c r="AM175" s="206"/>
      <c r="AN175" s="206"/>
      <c r="AO175" s="206"/>
      <c r="AP175" s="206"/>
      <c r="AQ175" s="206"/>
      <c r="AR175" s="206"/>
      <c r="AS175" s="206"/>
      <c r="AV175" s="206"/>
      <c r="AW175" s="206"/>
      <c r="AX175" s="206"/>
      <c r="AY175" s="206"/>
      <c r="AZ175" s="206"/>
      <c r="BD175" s="206"/>
      <c r="BF175" s="206"/>
    </row>
    <row r="176" spans="1:100" x14ac:dyDescent="0.2">
      <c r="A176" s="220">
        <v>0</v>
      </c>
      <c r="B176" s="220">
        <v>0</v>
      </c>
      <c r="C176" s="206" t="s">
        <v>643</v>
      </c>
      <c r="D176" s="206" t="s">
        <v>662</v>
      </c>
      <c r="E176" s="192">
        <v>67.209999999999994</v>
      </c>
      <c r="F176" s="206" t="s">
        <v>660</v>
      </c>
      <c r="G176" s="206" t="s">
        <v>664</v>
      </c>
      <c r="H176" s="206"/>
      <c r="I176" s="206"/>
      <c r="J176" s="206"/>
      <c r="K176" s="206"/>
      <c r="L176" s="206"/>
      <c r="M176" s="206"/>
      <c r="N176" s="206"/>
      <c r="O176" s="192">
        <v>1.24</v>
      </c>
      <c r="P176" s="192">
        <v>0.63</v>
      </c>
      <c r="Q176" s="206" t="s">
        <v>665</v>
      </c>
      <c r="R176" s="206" t="s">
        <v>666</v>
      </c>
      <c r="S176" s="206">
        <v>793077.87470000004</v>
      </c>
      <c r="T176" s="206">
        <v>2186853.96</v>
      </c>
      <c r="U176" s="206">
        <v>793141.40989999997</v>
      </c>
      <c r="V176" s="206">
        <v>2186832.0389999999</v>
      </c>
      <c r="W176" s="206"/>
      <c r="X176" s="206"/>
      <c r="Y176" s="206"/>
      <c r="Z176" s="206"/>
      <c r="AA176" s="206"/>
      <c r="AB176" s="206" t="s">
        <v>662</v>
      </c>
      <c r="AC176" s="206" t="s">
        <v>665</v>
      </c>
      <c r="AD176" s="206"/>
      <c r="AL176" s="206"/>
      <c r="AM176" s="206"/>
      <c r="AN176" s="206"/>
      <c r="AO176" s="206"/>
      <c r="AP176" s="206"/>
      <c r="AQ176" s="206"/>
      <c r="AR176" s="206"/>
      <c r="AS176" s="206"/>
      <c r="AV176" s="206"/>
      <c r="AW176" s="206"/>
      <c r="AX176" s="206"/>
      <c r="AY176" s="206"/>
      <c r="AZ176" s="206"/>
      <c r="BA176" s="206"/>
      <c r="BB176" s="206"/>
      <c r="BD176" s="206"/>
      <c r="BF176" s="206"/>
      <c r="BG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  <c r="BY176" s="201"/>
      <c r="BZ176" s="201"/>
      <c r="CA176" s="201"/>
      <c r="CB176" s="201"/>
      <c r="CC176" s="201"/>
      <c r="CD176" s="201"/>
      <c r="CE176" s="201"/>
      <c r="CF176" s="201"/>
      <c r="CG176" s="201"/>
      <c r="CH176" s="201"/>
      <c r="CI176" s="201"/>
      <c r="CJ176" s="201"/>
      <c r="CK176" s="201"/>
      <c r="CL176" s="201"/>
      <c r="CM176" s="201"/>
      <c r="CN176" s="201"/>
      <c r="CO176" s="201"/>
      <c r="CP176" s="201"/>
      <c r="CQ176" s="201"/>
      <c r="CR176" s="201"/>
      <c r="CS176" s="201"/>
      <c r="CT176" s="201"/>
      <c r="CU176" s="201"/>
      <c r="CV176" s="201"/>
    </row>
    <row r="177" spans="1:100" x14ac:dyDescent="0.2">
      <c r="A177" s="220">
        <v>0</v>
      </c>
      <c r="B177" s="220">
        <v>0</v>
      </c>
      <c r="C177" s="206" t="s">
        <v>643</v>
      </c>
      <c r="D177" s="206" t="s">
        <v>665</v>
      </c>
      <c r="E177" s="192">
        <v>52.56</v>
      </c>
      <c r="F177" s="206" t="s">
        <v>662</v>
      </c>
      <c r="G177" s="206"/>
      <c r="H177" s="206"/>
      <c r="I177" s="206"/>
      <c r="J177"/>
      <c r="K177"/>
      <c r="L177" s="206"/>
      <c r="M177" s="206"/>
      <c r="N177" s="206"/>
      <c r="O177" s="192">
        <v>0.63</v>
      </c>
      <c r="P177" s="192">
        <v>0.8</v>
      </c>
      <c r="Q177" s="206" t="s">
        <v>667</v>
      </c>
      <c r="R177" s="206" t="s">
        <v>668</v>
      </c>
      <c r="S177" s="206">
        <v>793141.40989999997</v>
      </c>
      <c r="T177" s="206">
        <v>2186832.0389999999</v>
      </c>
      <c r="U177" s="206">
        <v>793190.62890000001</v>
      </c>
      <c r="V177" s="206">
        <v>2186813.591</v>
      </c>
      <c r="W177" s="206"/>
      <c r="X177" s="206"/>
      <c r="Y177" s="206"/>
      <c r="Z177" s="206"/>
      <c r="AA177" s="206"/>
      <c r="AB177" s="206" t="s">
        <v>665</v>
      </c>
      <c r="AC177" s="206" t="s">
        <v>667</v>
      </c>
      <c r="AD177" s="206"/>
      <c r="AL177" s="206"/>
      <c r="AM177" s="206"/>
      <c r="AN177" s="206"/>
      <c r="AO177" s="206"/>
      <c r="AP177" s="206"/>
      <c r="AQ177" s="206"/>
      <c r="AR177" s="206"/>
      <c r="AS177" s="206"/>
      <c r="AV177" s="206"/>
      <c r="AW177" s="206"/>
      <c r="AX177" s="206"/>
      <c r="AY177" s="206"/>
      <c r="AZ177" s="206"/>
      <c r="BD177" s="206"/>
      <c r="BF177" s="206"/>
    </row>
    <row r="178" spans="1:100" x14ac:dyDescent="0.2">
      <c r="A178" s="220">
        <v>0</v>
      </c>
      <c r="B178" s="220">
        <v>0</v>
      </c>
      <c r="C178" s="206" t="s">
        <v>643</v>
      </c>
      <c r="D178" s="206" t="s">
        <v>667</v>
      </c>
      <c r="E178" s="192">
        <v>21.68</v>
      </c>
      <c r="F178" s="206" t="s">
        <v>665</v>
      </c>
      <c r="G178" s="206"/>
      <c r="H178" s="206"/>
      <c r="I178" s="206" t="s">
        <v>669</v>
      </c>
      <c r="J178" s="206">
        <v>6313</v>
      </c>
      <c r="K178" s="206">
        <v>2351</v>
      </c>
      <c r="L178" s="206"/>
      <c r="M178" s="206"/>
      <c r="N178" s="206"/>
      <c r="O178" s="192">
        <v>0.8</v>
      </c>
      <c r="P178" s="192">
        <v>0.5</v>
      </c>
      <c r="Q178" s="206" t="s">
        <v>670</v>
      </c>
      <c r="R178" s="206" t="s">
        <v>671</v>
      </c>
      <c r="S178" s="206">
        <v>793190.62890000001</v>
      </c>
      <c r="T178" s="206">
        <v>2186813.591</v>
      </c>
      <c r="U178" s="206">
        <v>793203.52579999994</v>
      </c>
      <c r="V178" s="206">
        <v>2186831.023</v>
      </c>
      <c r="W178" s="206"/>
      <c r="X178" s="206"/>
      <c r="Y178" s="206"/>
      <c r="Z178" s="206"/>
      <c r="AA178" s="206"/>
      <c r="AB178" s="206" t="s">
        <v>667</v>
      </c>
      <c r="AC178" s="206" t="s">
        <v>670</v>
      </c>
      <c r="AD178" s="206"/>
      <c r="AL178" s="206"/>
      <c r="AM178" s="206"/>
      <c r="AN178" s="206"/>
      <c r="AO178" s="206"/>
      <c r="AP178" s="206"/>
      <c r="AQ178" s="206"/>
      <c r="AR178" s="206"/>
      <c r="AS178" s="206"/>
      <c r="AV178" s="206"/>
      <c r="AW178" s="206"/>
      <c r="AX178" s="206"/>
      <c r="AY178" s="206"/>
      <c r="AZ178" s="206"/>
      <c r="BA178" s="206"/>
      <c r="BB178" s="206"/>
      <c r="BD178" s="206"/>
      <c r="BF178" s="206"/>
      <c r="BG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  <c r="BY178" s="201"/>
      <c r="BZ178" s="201"/>
      <c r="CA178" s="201"/>
      <c r="CB178" s="201"/>
      <c r="CC178" s="201"/>
      <c r="CD178" s="201"/>
      <c r="CE178" s="201"/>
      <c r="CF178" s="201"/>
      <c r="CG178" s="201"/>
      <c r="CH178" s="201"/>
      <c r="CI178" s="201"/>
      <c r="CJ178" s="201"/>
      <c r="CK178" s="201"/>
      <c r="CL178" s="201"/>
      <c r="CM178" s="201"/>
      <c r="CN178" s="201"/>
      <c r="CO178" s="201"/>
      <c r="CP178" s="201"/>
      <c r="CQ178" s="201"/>
      <c r="CR178" s="201"/>
      <c r="CS178" s="201"/>
      <c r="CT178" s="201"/>
      <c r="CU178" s="201"/>
      <c r="CV178" s="201"/>
    </row>
    <row r="179" spans="1:100" x14ac:dyDescent="0.2">
      <c r="A179" s="220">
        <v>0</v>
      </c>
      <c r="B179" s="220">
        <v>0</v>
      </c>
      <c r="C179" s="206" t="s">
        <v>643</v>
      </c>
      <c r="D179" s="206" t="s">
        <v>670</v>
      </c>
      <c r="E179" s="192">
        <v>39.869999999999997</v>
      </c>
      <c r="F179" s="206" t="s">
        <v>667</v>
      </c>
      <c r="G179" s="206"/>
      <c r="H179" s="206"/>
      <c r="I179" s="206"/>
      <c r="J179"/>
      <c r="K179"/>
      <c r="L179" s="206"/>
      <c r="M179" s="206"/>
      <c r="N179" s="206"/>
      <c r="O179" s="192">
        <v>0.5</v>
      </c>
      <c r="P179" s="192">
        <v>0.73</v>
      </c>
      <c r="Q179" s="206" t="s">
        <v>672</v>
      </c>
      <c r="R179" s="206" t="s">
        <v>673</v>
      </c>
      <c r="S179" s="206">
        <v>793203.52579999994</v>
      </c>
      <c r="T179" s="206">
        <v>2186831.023</v>
      </c>
      <c r="U179" s="206">
        <v>793242.76509999996</v>
      </c>
      <c r="V179" s="206">
        <v>2186838.1090000002</v>
      </c>
      <c r="W179" s="206"/>
      <c r="X179" s="206"/>
      <c r="Y179" s="206"/>
      <c r="Z179" s="206"/>
      <c r="AA179" s="206"/>
      <c r="AB179" s="206" t="s">
        <v>670</v>
      </c>
      <c r="AC179" s="206" t="s">
        <v>672</v>
      </c>
      <c r="AD179" s="206"/>
      <c r="AL179" s="206"/>
      <c r="AM179" s="206"/>
      <c r="AN179" s="206"/>
      <c r="AO179" s="206"/>
      <c r="AP179" s="206"/>
      <c r="AQ179" s="206"/>
      <c r="AR179" s="206"/>
      <c r="AS179" s="206"/>
      <c r="AV179" s="206"/>
      <c r="AW179" s="206"/>
      <c r="AX179" s="206"/>
      <c r="AY179" s="206"/>
      <c r="AZ179" s="206"/>
      <c r="BD179" s="206"/>
      <c r="BF179" s="206"/>
    </row>
    <row r="180" spans="1:100" x14ac:dyDescent="0.2">
      <c r="A180" s="220">
        <v>0</v>
      </c>
      <c r="B180" s="220">
        <v>0</v>
      </c>
      <c r="C180" s="206" t="s">
        <v>643</v>
      </c>
      <c r="D180" s="206" t="s">
        <v>672</v>
      </c>
      <c r="E180" s="192">
        <v>47.51</v>
      </c>
      <c r="F180" s="206" t="s">
        <v>670</v>
      </c>
      <c r="G180" s="206" t="s">
        <v>674</v>
      </c>
      <c r="H180" s="206"/>
      <c r="I180" s="206"/>
      <c r="J180"/>
      <c r="K180"/>
      <c r="L180" s="206"/>
      <c r="M180" s="206"/>
      <c r="N180" s="206"/>
      <c r="O180" s="192">
        <v>0.73</v>
      </c>
      <c r="P180" s="192">
        <v>0.62</v>
      </c>
      <c r="Q180" s="206" t="s">
        <v>675</v>
      </c>
      <c r="R180" s="206" t="s">
        <v>676</v>
      </c>
      <c r="S180" s="206">
        <v>793242.76509999996</v>
      </c>
      <c r="T180" s="206">
        <v>2186838.1090000002</v>
      </c>
      <c r="U180" s="206">
        <v>793289.61849999998</v>
      </c>
      <c r="V180" s="206">
        <v>2186830.2319999998</v>
      </c>
      <c r="W180" s="206"/>
      <c r="X180" s="206"/>
      <c r="Y180" s="206"/>
      <c r="Z180" s="206"/>
      <c r="AA180" s="206"/>
      <c r="AB180" s="206" t="s">
        <v>672</v>
      </c>
      <c r="AC180" s="206" t="s">
        <v>675</v>
      </c>
      <c r="AD180" s="206"/>
      <c r="AL180" s="206"/>
      <c r="AM180" s="206"/>
      <c r="AN180" s="206"/>
      <c r="AO180" s="206"/>
      <c r="AP180" s="206"/>
      <c r="AQ180" s="206"/>
      <c r="AR180" s="206"/>
      <c r="AS180" s="206"/>
      <c r="AV180" s="206"/>
      <c r="AW180" s="206"/>
      <c r="AX180" s="206"/>
      <c r="AY180" s="206"/>
      <c r="AZ180" s="206"/>
      <c r="BD180" s="206"/>
      <c r="BF180" s="206"/>
    </row>
    <row r="181" spans="1:100" x14ac:dyDescent="0.2">
      <c r="A181" s="220">
        <v>0</v>
      </c>
      <c r="B181" s="220">
        <v>0</v>
      </c>
      <c r="C181" s="206" t="s">
        <v>643</v>
      </c>
      <c r="D181" s="206" t="s">
        <v>675</v>
      </c>
      <c r="E181" s="192">
        <v>15.78</v>
      </c>
      <c r="F181" s="206" t="s">
        <v>672</v>
      </c>
      <c r="G181" s="206"/>
      <c r="H181" s="206"/>
      <c r="I181" s="206"/>
      <c r="J181" s="206"/>
      <c r="K181" s="206"/>
      <c r="L181" s="206"/>
      <c r="M181" s="206"/>
      <c r="N181" s="206"/>
      <c r="O181" s="192">
        <v>0.62</v>
      </c>
      <c r="P181" s="192">
        <v>0.68</v>
      </c>
      <c r="Q181" s="206" t="s">
        <v>677</v>
      </c>
      <c r="R181" s="206" t="s">
        <v>678</v>
      </c>
      <c r="S181" s="206">
        <v>793289.61849999998</v>
      </c>
      <c r="T181" s="206">
        <v>2186830.2319999998</v>
      </c>
      <c r="U181" s="206">
        <v>793305.397</v>
      </c>
      <c r="V181" s="206">
        <v>2186829.8709999998</v>
      </c>
      <c r="W181" s="206"/>
      <c r="X181" s="206"/>
      <c r="Y181" s="206"/>
      <c r="Z181" s="206"/>
      <c r="AA181" s="206"/>
      <c r="AB181" s="206" t="s">
        <v>675</v>
      </c>
      <c r="AC181" s="206" t="s">
        <v>677</v>
      </c>
      <c r="AD181" s="206"/>
      <c r="AL181" s="206"/>
      <c r="AM181" s="206"/>
      <c r="AN181" s="206"/>
      <c r="AO181" s="206"/>
      <c r="AP181" s="206"/>
      <c r="AQ181" s="206"/>
      <c r="AR181" s="206"/>
      <c r="AS181" s="206"/>
      <c r="AV181" s="206"/>
      <c r="AW181" s="206"/>
      <c r="AX181" s="206"/>
      <c r="AY181" s="206"/>
      <c r="AZ181" s="206"/>
      <c r="BA181" s="206"/>
      <c r="BB181" s="206"/>
      <c r="BD181" s="206"/>
      <c r="BF181" s="206"/>
      <c r="BG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  <c r="BY181" s="201"/>
      <c r="BZ181" s="201"/>
      <c r="CA181" s="201"/>
      <c r="CB181" s="201"/>
      <c r="CC181" s="201"/>
      <c r="CD181" s="201"/>
      <c r="CE181" s="201"/>
      <c r="CF181" s="201"/>
      <c r="CG181" s="201"/>
      <c r="CH181" s="201"/>
      <c r="CI181" s="201"/>
      <c r="CJ181" s="201"/>
      <c r="CK181" s="201"/>
      <c r="CL181" s="201"/>
      <c r="CM181" s="201"/>
      <c r="CN181" s="201"/>
      <c r="CO181" s="201"/>
      <c r="CP181" s="201"/>
      <c r="CQ181" s="201"/>
      <c r="CR181" s="201"/>
      <c r="CS181" s="201"/>
      <c r="CT181" s="201"/>
      <c r="CU181" s="201"/>
      <c r="CV181" s="201"/>
    </row>
    <row r="182" spans="1:100" x14ac:dyDescent="0.2">
      <c r="A182" s="220">
        <v>0</v>
      </c>
      <c r="B182" s="220">
        <v>0</v>
      </c>
      <c r="C182" s="206" t="s">
        <v>643</v>
      </c>
      <c r="D182" s="206" t="s">
        <v>677</v>
      </c>
      <c r="E182" s="192">
        <v>15.66</v>
      </c>
      <c r="F182" s="206" t="s">
        <v>675</v>
      </c>
      <c r="G182" s="206"/>
      <c r="H182" s="206"/>
      <c r="I182" s="206"/>
      <c r="J182" s="206"/>
      <c r="K182" s="206"/>
      <c r="L182" s="206"/>
      <c r="M182" s="206"/>
      <c r="N182" s="206"/>
      <c r="O182" s="192">
        <v>0.68</v>
      </c>
      <c r="P182" s="192">
        <v>0.67</v>
      </c>
      <c r="Q182" s="206" t="s">
        <v>679</v>
      </c>
      <c r="R182" s="206" t="s">
        <v>680</v>
      </c>
      <c r="S182" s="206">
        <v>793305.397</v>
      </c>
      <c r="T182" s="206">
        <v>2186829.8709999998</v>
      </c>
      <c r="U182" s="206">
        <v>793320.81400000001</v>
      </c>
      <c r="V182" s="206">
        <v>2186832.6409999998</v>
      </c>
      <c r="W182" s="206"/>
      <c r="X182" s="206"/>
      <c r="Y182" s="206"/>
      <c r="Z182" s="206"/>
      <c r="AA182" s="206"/>
      <c r="AB182" s="206" t="s">
        <v>677</v>
      </c>
      <c r="AC182" s="206" t="s">
        <v>679</v>
      </c>
      <c r="AD182" s="206"/>
      <c r="AL182" s="206"/>
      <c r="AM182" s="206"/>
      <c r="AN182" s="206"/>
      <c r="AO182" s="206"/>
      <c r="AP182" s="206"/>
      <c r="AQ182" s="206"/>
      <c r="AR182" s="206"/>
      <c r="AS182" s="206"/>
      <c r="AV182" s="206"/>
      <c r="AW182" s="206"/>
      <c r="AX182" s="206"/>
      <c r="AY182" s="206"/>
      <c r="AZ182" s="206"/>
      <c r="BA182" s="206"/>
      <c r="BB182" s="206"/>
      <c r="BD182" s="206"/>
      <c r="BF182" s="206"/>
      <c r="BG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  <c r="BY182" s="201"/>
      <c r="BZ182" s="201"/>
      <c r="CA182" s="201"/>
      <c r="CB182" s="201"/>
      <c r="CC182" s="201"/>
      <c r="CD182" s="201"/>
      <c r="CE182" s="201"/>
      <c r="CF182" s="201"/>
      <c r="CG182" s="201"/>
      <c r="CH182" s="201"/>
      <c r="CI182" s="201"/>
      <c r="CJ182" s="201"/>
      <c r="CK182" s="201"/>
      <c r="CL182" s="201"/>
      <c r="CM182" s="201"/>
      <c r="CN182" s="201"/>
      <c r="CO182" s="201"/>
      <c r="CP182" s="201"/>
      <c r="CQ182" s="201"/>
      <c r="CR182" s="201"/>
      <c r="CS182" s="201"/>
      <c r="CT182" s="201"/>
      <c r="CU182" s="201"/>
      <c r="CV182" s="201"/>
    </row>
    <row r="183" spans="1:100" x14ac:dyDescent="0.2">
      <c r="A183" s="220">
        <v>0</v>
      </c>
      <c r="B183" s="220">
        <v>0</v>
      </c>
      <c r="C183" s="206" t="s">
        <v>643</v>
      </c>
      <c r="D183" s="206" t="s">
        <v>679</v>
      </c>
      <c r="E183" s="192">
        <v>25.24</v>
      </c>
      <c r="F183" s="206" t="s">
        <v>677</v>
      </c>
      <c r="G183" s="206"/>
      <c r="H183" s="206"/>
      <c r="I183" s="206"/>
      <c r="J183"/>
      <c r="K183"/>
      <c r="L183" s="206"/>
      <c r="M183" s="206"/>
      <c r="N183" s="206"/>
      <c r="O183" s="192">
        <v>0.67</v>
      </c>
      <c r="P183" s="192">
        <v>0.79</v>
      </c>
      <c r="Q183" s="206" t="s">
        <v>681</v>
      </c>
      <c r="R183" s="206" t="s">
        <v>682</v>
      </c>
      <c r="S183" s="206">
        <v>793320.81400000001</v>
      </c>
      <c r="T183" s="206">
        <v>2186832.6409999998</v>
      </c>
      <c r="U183" s="206">
        <v>793342.37379999994</v>
      </c>
      <c r="V183" s="206">
        <v>2186845.77</v>
      </c>
      <c r="W183" s="206"/>
      <c r="X183" s="206"/>
      <c r="Y183" s="206"/>
      <c r="Z183" s="206"/>
      <c r="AA183" s="206"/>
      <c r="AB183" s="206" t="s">
        <v>679</v>
      </c>
      <c r="AC183" s="206" t="s">
        <v>681</v>
      </c>
      <c r="AD183" s="206"/>
      <c r="AL183" s="206"/>
      <c r="AM183" s="206"/>
      <c r="AN183" s="206"/>
      <c r="AO183" s="206"/>
      <c r="AP183" s="206"/>
      <c r="AQ183" s="206"/>
      <c r="AR183" s="206"/>
      <c r="AS183" s="206"/>
      <c r="AV183" s="206"/>
      <c r="AW183" s="206"/>
      <c r="AX183" s="206"/>
      <c r="AY183" s="206"/>
      <c r="AZ183" s="206"/>
      <c r="BD183" s="206"/>
      <c r="BF183" s="206"/>
    </row>
    <row r="184" spans="1:100" x14ac:dyDescent="0.2">
      <c r="A184" s="220">
        <v>0</v>
      </c>
      <c r="B184" s="220">
        <v>0</v>
      </c>
      <c r="C184" s="206" t="s">
        <v>643</v>
      </c>
      <c r="D184" s="206" t="s">
        <v>681</v>
      </c>
      <c r="E184" s="192">
        <v>20.45</v>
      </c>
      <c r="F184" s="206" t="s">
        <v>679</v>
      </c>
      <c r="G184" s="206"/>
      <c r="H184" s="206"/>
      <c r="I184" s="206" t="s">
        <v>683</v>
      </c>
      <c r="J184" s="206">
        <v>633</v>
      </c>
      <c r="K184" s="206">
        <v>403</v>
      </c>
      <c r="L184" s="206"/>
      <c r="M184" s="206"/>
      <c r="N184" s="206"/>
      <c r="O184" s="192">
        <v>0.79</v>
      </c>
      <c r="P184" s="192">
        <v>0.98</v>
      </c>
      <c r="Q184" s="206" t="s">
        <v>684</v>
      </c>
      <c r="R184" s="206" t="s">
        <v>685</v>
      </c>
      <c r="S184" s="206">
        <v>793342.37379999994</v>
      </c>
      <c r="T184" s="206">
        <v>2186845.77</v>
      </c>
      <c r="U184" s="206">
        <v>793354.77980000002</v>
      </c>
      <c r="V184" s="206">
        <v>2186862.0299999998</v>
      </c>
      <c r="W184" s="206"/>
      <c r="X184" s="206"/>
      <c r="Y184" s="206"/>
      <c r="Z184" s="206"/>
      <c r="AA184" s="206"/>
      <c r="AB184" s="206" t="s">
        <v>681</v>
      </c>
      <c r="AC184" s="206" t="s">
        <v>684</v>
      </c>
      <c r="AD184" s="206"/>
      <c r="AL184" s="206"/>
      <c r="AM184" s="206"/>
      <c r="AN184" s="206"/>
      <c r="AO184" s="206"/>
      <c r="AP184" s="206"/>
      <c r="AQ184" s="206"/>
      <c r="AR184" s="206"/>
      <c r="AS184" s="206"/>
      <c r="AV184" s="206"/>
      <c r="AW184" s="206"/>
      <c r="AX184" s="206"/>
      <c r="AY184" s="206"/>
      <c r="AZ184" s="206"/>
      <c r="BA184" s="206"/>
      <c r="BB184" s="206"/>
      <c r="BD184" s="206"/>
      <c r="BF184" s="206"/>
      <c r="BG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  <c r="BY184" s="201"/>
      <c r="BZ184" s="201"/>
      <c r="CA184" s="201"/>
      <c r="CB184" s="201"/>
      <c r="CC184" s="201"/>
      <c r="CD184" s="201"/>
      <c r="CE184" s="201"/>
      <c r="CF184" s="201"/>
      <c r="CG184" s="201"/>
      <c r="CH184" s="201"/>
      <c r="CI184" s="201"/>
      <c r="CJ184" s="201"/>
      <c r="CK184" s="201"/>
      <c r="CL184" s="201"/>
      <c r="CM184" s="201"/>
      <c r="CN184" s="201"/>
      <c r="CO184" s="201"/>
      <c r="CP184" s="201"/>
      <c r="CQ184" s="201"/>
      <c r="CR184" s="201"/>
      <c r="CS184" s="201"/>
      <c r="CT184" s="201"/>
      <c r="CU184" s="201"/>
      <c r="CV184" s="201"/>
    </row>
    <row r="185" spans="1:100" x14ac:dyDescent="0.2">
      <c r="A185" s="220">
        <v>0</v>
      </c>
      <c r="B185" s="220">
        <v>0</v>
      </c>
      <c r="C185" s="206" t="s">
        <v>643</v>
      </c>
      <c r="D185" s="206" t="s">
        <v>684</v>
      </c>
      <c r="E185" s="192">
        <v>51.25</v>
      </c>
      <c r="F185" s="206" t="s">
        <v>681</v>
      </c>
      <c r="G185" s="206"/>
      <c r="H185" s="206"/>
      <c r="I185" s="206"/>
      <c r="J185"/>
      <c r="K185"/>
      <c r="L185" s="206"/>
      <c r="M185" s="206"/>
      <c r="N185" s="206"/>
      <c r="O185" s="192">
        <v>0.98</v>
      </c>
      <c r="P185" s="192">
        <v>1.01</v>
      </c>
      <c r="Q185" s="206" t="s">
        <v>686</v>
      </c>
      <c r="R185" s="206" t="s">
        <v>687</v>
      </c>
      <c r="S185" s="206">
        <v>793354.77980000002</v>
      </c>
      <c r="T185" s="206">
        <v>2186862.0299999998</v>
      </c>
      <c r="U185" s="206">
        <v>793382.48230000003</v>
      </c>
      <c r="V185" s="206">
        <v>2186905.15</v>
      </c>
      <c r="W185" s="206"/>
      <c r="X185" s="206"/>
      <c r="Y185" s="206"/>
      <c r="Z185" s="206"/>
      <c r="AA185" s="206"/>
      <c r="AB185" s="206" t="s">
        <v>684</v>
      </c>
      <c r="AC185" s="206" t="s">
        <v>686</v>
      </c>
      <c r="AD185" s="206"/>
      <c r="AL185" s="206"/>
      <c r="AM185" s="206"/>
      <c r="AN185" s="206"/>
      <c r="AO185" s="206"/>
      <c r="AP185" s="206"/>
      <c r="AQ185" s="206"/>
      <c r="AR185" s="206"/>
      <c r="AS185" s="206"/>
      <c r="AV185" s="206"/>
      <c r="AW185" s="206"/>
      <c r="AX185" s="206"/>
      <c r="AY185" s="206"/>
      <c r="AZ185" s="206"/>
      <c r="BD185" s="206"/>
      <c r="BF185" s="206"/>
    </row>
    <row r="186" spans="1:100" x14ac:dyDescent="0.2">
      <c r="A186" s="220">
        <v>0</v>
      </c>
      <c r="B186" s="220">
        <v>0</v>
      </c>
      <c r="C186" s="206" t="s">
        <v>643</v>
      </c>
      <c r="D186" s="206" t="s">
        <v>686</v>
      </c>
      <c r="E186" s="192">
        <v>45.67</v>
      </c>
      <c r="F186" s="206" t="s">
        <v>684</v>
      </c>
      <c r="G186" s="206" t="s">
        <v>688</v>
      </c>
      <c r="H186" s="206"/>
      <c r="I186" s="206"/>
      <c r="J186"/>
      <c r="K186"/>
      <c r="L186" s="206"/>
      <c r="M186" s="206"/>
      <c r="N186" s="206"/>
      <c r="O186" s="192">
        <v>1.01</v>
      </c>
      <c r="P186" s="192">
        <v>1.04</v>
      </c>
      <c r="Q186" s="206" t="s">
        <v>689</v>
      </c>
      <c r="R186" s="206" t="s">
        <v>690</v>
      </c>
      <c r="S186" s="206">
        <v>793382.48230000003</v>
      </c>
      <c r="T186" s="206">
        <v>2186905.15</v>
      </c>
      <c r="U186" s="206">
        <v>793408.5588</v>
      </c>
      <c r="V186" s="206">
        <v>2186942.6379999998</v>
      </c>
      <c r="W186" s="206"/>
      <c r="X186" s="206"/>
      <c r="Y186" s="206"/>
      <c r="Z186" s="206"/>
      <c r="AA186" s="206"/>
      <c r="AB186" s="206" t="s">
        <v>686</v>
      </c>
      <c r="AC186" s="206" t="s">
        <v>689</v>
      </c>
      <c r="AD186" s="206"/>
      <c r="AL186" s="206"/>
      <c r="AM186" s="206"/>
      <c r="AN186" s="206"/>
      <c r="AO186" s="206"/>
      <c r="AP186" s="206"/>
      <c r="AQ186" s="206"/>
      <c r="AR186" s="206"/>
      <c r="AS186" s="206"/>
      <c r="AV186" s="206"/>
      <c r="AW186" s="206"/>
      <c r="AX186" s="206"/>
      <c r="AY186" s="206"/>
      <c r="AZ186" s="206"/>
      <c r="BD186" s="206"/>
      <c r="BF186" s="206"/>
    </row>
    <row r="187" spans="1:100" x14ac:dyDescent="0.2">
      <c r="A187" s="220">
        <v>0</v>
      </c>
      <c r="B187" s="220">
        <v>0</v>
      </c>
      <c r="C187" s="206" t="s">
        <v>643</v>
      </c>
      <c r="D187" s="206" t="s">
        <v>689</v>
      </c>
      <c r="E187" s="192">
        <v>62.16</v>
      </c>
      <c r="F187" s="206" t="s">
        <v>686</v>
      </c>
      <c r="G187" s="206"/>
      <c r="H187" s="206"/>
      <c r="I187" s="206"/>
      <c r="J187"/>
      <c r="K187"/>
      <c r="L187" s="206"/>
      <c r="M187" s="206"/>
      <c r="N187" s="206"/>
      <c r="O187" s="192">
        <v>1.04</v>
      </c>
      <c r="P187" s="192">
        <v>1.08</v>
      </c>
      <c r="Q187" s="206" t="s">
        <v>535</v>
      </c>
      <c r="R187" s="206" t="s">
        <v>691</v>
      </c>
      <c r="S187" s="206">
        <v>793408.5588</v>
      </c>
      <c r="T187" s="206">
        <v>2186942.6379999998</v>
      </c>
      <c r="U187" s="206">
        <v>793442.43420000002</v>
      </c>
      <c r="V187" s="206">
        <v>2186994.7609999999</v>
      </c>
      <c r="W187" s="206"/>
      <c r="X187" s="206"/>
      <c r="Y187" s="206"/>
      <c r="Z187" s="206"/>
      <c r="AA187" s="206"/>
      <c r="AB187" s="206" t="s">
        <v>689</v>
      </c>
      <c r="AC187" s="206" t="s">
        <v>535</v>
      </c>
      <c r="AD187" s="206"/>
      <c r="AL187" s="206"/>
      <c r="AM187" s="206"/>
      <c r="AN187" s="206"/>
      <c r="AO187" s="206"/>
      <c r="AP187" s="206"/>
      <c r="AQ187" s="206"/>
      <c r="AR187" s="206"/>
      <c r="AS187" s="206"/>
      <c r="AV187" s="206"/>
      <c r="AW187" s="206"/>
      <c r="AX187" s="206"/>
      <c r="AY187" s="206"/>
      <c r="AZ187" s="206"/>
      <c r="BD187" s="206"/>
      <c r="BF187" s="206"/>
    </row>
    <row r="188" spans="1:100" x14ac:dyDescent="0.2">
      <c r="A188" s="220">
        <v>0</v>
      </c>
      <c r="B188" s="220">
        <v>1</v>
      </c>
      <c r="C188" s="206" t="s">
        <v>643</v>
      </c>
      <c r="D188" s="206" t="s">
        <v>535</v>
      </c>
      <c r="E188" s="192">
        <v>38.909999999999997</v>
      </c>
      <c r="F188" s="206" t="s">
        <v>689</v>
      </c>
      <c r="G188" s="206"/>
      <c r="H188" s="206"/>
      <c r="I188" s="206"/>
      <c r="J188"/>
      <c r="K188"/>
      <c r="L188" s="206"/>
      <c r="M188" s="206"/>
      <c r="N188" s="206"/>
      <c r="O188" s="192">
        <v>1.08</v>
      </c>
      <c r="P188" s="192">
        <v>1.0900000000000001</v>
      </c>
      <c r="Q188" s="206" t="s">
        <v>533</v>
      </c>
      <c r="R188" s="206" t="s">
        <v>692</v>
      </c>
      <c r="S188" s="206">
        <v>793442.43420000002</v>
      </c>
      <c r="T188" s="206">
        <v>2186994.7609999999</v>
      </c>
      <c r="U188" s="206">
        <v>793463.05130000005</v>
      </c>
      <c r="V188" s="206">
        <v>2187027.7629999998</v>
      </c>
      <c r="W188" s="206"/>
      <c r="X188" s="206"/>
      <c r="Y188" s="206"/>
      <c r="Z188" s="206"/>
      <c r="AA188" s="206"/>
      <c r="AB188" s="206" t="s">
        <v>535</v>
      </c>
      <c r="AC188" s="206" t="s">
        <v>533</v>
      </c>
      <c r="AD188" s="206"/>
      <c r="AL188" s="206"/>
      <c r="AM188" s="206"/>
      <c r="AN188" s="206"/>
      <c r="AO188" s="206"/>
      <c r="AP188" s="206"/>
      <c r="AQ188" s="206"/>
      <c r="AR188" s="206"/>
      <c r="AS188" s="206"/>
      <c r="AV188" s="206"/>
      <c r="AW188" s="206"/>
      <c r="AX188" s="206"/>
      <c r="AY188" s="206"/>
      <c r="AZ188" s="206"/>
      <c r="BD188" s="206"/>
      <c r="BF188" s="206"/>
    </row>
    <row r="189" spans="1:100" x14ac:dyDescent="0.2">
      <c r="A189" s="220">
        <v>1</v>
      </c>
      <c r="B189" s="220">
        <v>0</v>
      </c>
      <c r="C189" s="206" t="s">
        <v>693</v>
      </c>
      <c r="D189" s="206" t="s">
        <v>694</v>
      </c>
      <c r="E189" s="192">
        <v>46.51</v>
      </c>
      <c r="F189" s="206"/>
      <c r="G189" s="206"/>
      <c r="H189" s="206"/>
      <c r="I189" s="206"/>
      <c r="J189"/>
      <c r="K189"/>
      <c r="L189" s="206"/>
      <c r="M189" s="206"/>
      <c r="N189" s="206"/>
      <c r="O189" s="192">
        <v>23.3</v>
      </c>
      <c r="P189" s="192">
        <v>19.63</v>
      </c>
      <c r="Q189" s="206" t="s">
        <v>695</v>
      </c>
      <c r="R189" s="206" t="s">
        <v>696</v>
      </c>
      <c r="S189" s="206">
        <v>792839.36179999996</v>
      </c>
      <c r="T189" s="206">
        <v>2187495.2140000002</v>
      </c>
      <c r="U189" s="206">
        <v>792883.44499999995</v>
      </c>
      <c r="V189" s="206">
        <v>2187480.3990000002</v>
      </c>
      <c r="W189" s="206"/>
      <c r="X189" s="206"/>
      <c r="Y189" s="206"/>
      <c r="Z189" s="206"/>
      <c r="AA189" s="206"/>
      <c r="AB189" s="206" t="s">
        <v>694</v>
      </c>
      <c r="AC189" s="206" t="s">
        <v>695</v>
      </c>
      <c r="AD189" s="206"/>
      <c r="AL189" s="206"/>
      <c r="AM189" s="206"/>
      <c r="AN189" s="206"/>
      <c r="AO189" s="206"/>
      <c r="AP189" s="206"/>
      <c r="AQ189" s="206"/>
      <c r="AR189" s="206"/>
      <c r="AS189" s="206"/>
      <c r="AV189" s="206"/>
      <c r="AW189" s="206"/>
      <c r="AX189" s="206"/>
      <c r="AY189" s="206"/>
      <c r="AZ189" s="206"/>
      <c r="BD189" s="206"/>
      <c r="BF189" s="206"/>
    </row>
    <row r="190" spans="1:100" x14ac:dyDescent="0.2">
      <c r="A190" s="220">
        <v>0</v>
      </c>
      <c r="B190" s="220">
        <v>0</v>
      </c>
      <c r="C190" s="206" t="s">
        <v>693</v>
      </c>
      <c r="D190" s="206" t="s">
        <v>695</v>
      </c>
      <c r="E190" s="192">
        <v>45.79</v>
      </c>
      <c r="F190" s="206" t="s">
        <v>694</v>
      </c>
      <c r="G190" s="206" t="s">
        <v>697</v>
      </c>
      <c r="H190" s="206"/>
      <c r="I190" s="206"/>
      <c r="J190"/>
      <c r="K190"/>
      <c r="L190" s="206"/>
      <c r="M190" s="206"/>
      <c r="N190" s="206"/>
      <c r="O190" s="192">
        <v>19.63</v>
      </c>
      <c r="P190" s="192">
        <v>16.07</v>
      </c>
      <c r="Q190" s="206" t="s">
        <v>698</v>
      </c>
      <c r="R190" s="206" t="s">
        <v>699</v>
      </c>
      <c r="S190" s="206">
        <v>792883.44499999995</v>
      </c>
      <c r="T190" s="206">
        <v>2187480.3990000002</v>
      </c>
      <c r="U190" s="206">
        <v>792925.96239999996</v>
      </c>
      <c r="V190" s="206">
        <v>2187463.3859999999</v>
      </c>
      <c r="W190" s="206"/>
      <c r="X190" s="206"/>
      <c r="Y190" s="206"/>
      <c r="Z190" s="206"/>
      <c r="AA190" s="206"/>
      <c r="AB190" s="206" t="s">
        <v>695</v>
      </c>
      <c r="AC190" s="206" t="s">
        <v>698</v>
      </c>
      <c r="AD190" s="206"/>
      <c r="AL190" s="206"/>
      <c r="AM190" s="206"/>
      <c r="AN190" s="206"/>
      <c r="AO190" s="206"/>
      <c r="AP190" s="206"/>
      <c r="AQ190" s="206"/>
      <c r="AR190" s="206"/>
      <c r="AS190" s="206"/>
      <c r="AV190" s="206"/>
      <c r="AW190" s="206"/>
      <c r="AX190" s="206"/>
      <c r="AY190" s="206"/>
      <c r="AZ190" s="206"/>
      <c r="BD190" s="206"/>
      <c r="BF190" s="206"/>
    </row>
    <row r="191" spans="1:100" x14ac:dyDescent="0.2">
      <c r="A191" s="220">
        <v>0</v>
      </c>
      <c r="B191" s="220">
        <v>0</v>
      </c>
      <c r="C191" s="206" t="s">
        <v>693</v>
      </c>
      <c r="D191" s="206" t="s">
        <v>698</v>
      </c>
      <c r="E191" s="192">
        <v>42.82</v>
      </c>
      <c r="F191" s="206" t="s">
        <v>695</v>
      </c>
      <c r="G191" s="206"/>
      <c r="H191" s="206"/>
      <c r="I191" s="206"/>
      <c r="J191"/>
      <c r="K191"/>
      <c r="L191" s="206"/>
      <c r="M191" s="206"/>
      <c r="N191" s="206"/>
      <c r="O191" s="192">
        <v>16.07</v>
      </c>
      <c r="P191" s="192">
        <v>15.65</v>
      </c>
      <c r="Q191" s="206" t="s">
        <v>700</v>
      </c>
      <c r="R191" s="206" t="s">
        <v>701</v>
      </c>
      <c r="S191" s="206">
        <v>792925.96239999996</v>
      </c>
      <c r="T191" s="206">
        <v>2187463.3859999999</v>
      </c>
      <c r="U191" s="206">
        <v>792909.52150000003</v>
      </c>
      <c r="V191" s="206">
        <v>2187423.85</v>
      </c>
      <c r="W191" s="206"/>
      <c r="X191" s="206"/>
      <c r="Y191" s="206"/>
      <c r="Z191" s="206"/>
      <c r="AA191" s="206"/>
      <c r="AB191" s="206" t="s">
        <v>698</v>
      </c>
      <c r="AC191" s="206" t="s">
        <v>700</v>
      </c>
      <c r="AD191" s="206"/>
      <c r="AL191" s="206"/>
      <c r="AM191" s="206"/>
      <c r="AN191" s="206"/>
      <c r="AO191" s="206"/>
      <c r="AP191" s="206"/>
      <c r="AQ191" s="206"/>
      <c r="AR191" s="206"/>
      <c r="AS191" s="206"/>
      <c r="AV191" s="206"/>
      <c r="AW191" s="206"/>
      <c r="AX191" s="206"/>
      <c r="AY191" s="206"/>
      <c r="AZ191" s="206"/>
      <c r="BD191" s="206"/>
      <c r="BF191" s="206"/>
    </row>
    <row r="192" spans="1:100" x14ac:dyDescent="0.2">
      <c r="A192" s="220">
        <v>0</v>
      </c>
      <c r="B192" s="220">
        <v>0</v>
      </c>
      <c r="C192" s="206" t="s">
        <v>693</v>
      </c>
      <c r="D192" s="206" t="s">
        <v>700</v>
      </c>
      <c r="E192" s="192">
        <v>54.15</v>
      </c>
      <c r="F192" s="206" t="s">
        <v>698</v>
      </c>
      <c r="G192" s="206" t="s">
        <v>702</v>
      </c>
      <c r="H192" s="206"/>
      <c r="I192" s="206"/>
      <c r="J192"/>
      <c r="K192"/>
      <c r="L192" s="206"/>
      <c r="M192" s="206"/>
      <c r="N192" s="206"/>
      <c r="O192" s="192">
        <v>15.65</v>
      </c>
      <c r="P192" s="192">
        <v>11.55</v>
      </c>
      <c r="Q192" s="206" t="s">
        <v>703</v>
      </c>
      <c r="R192" s="206" t="s">
        <v>704</v>
      </c>
      <c r="S192" s="206">
        <v>792909.52150000003</v>
      </c>
      <c r="T192" s="206">
        <v>2187423.85</v>
      </c>
      <c r="U192" s="206">
        <v>792960.71100000001</v>
      </c>
      <c r="V192" s="206">
        <v>2187406.2039999999</v>
      </c>
      <c r="W192" s="206"/>
      <c r="X192" s="206"/>
      <c r="Y192" s="206"/>
      <c r="Z192" s="206"/>
      <c r="AA192" s="206"/>
      <c r="AB192" s="206" t="s">
        <v>700</v>
      </c>
      <c r="AC192" s="206" t="s">
        <v>703</v>
      </c>
      <c r="AD192" s="206"/>
      <c r="AL192" s="206"/>
      <c r="AM192" s="206"/>
      <c r="AN192" s="206"/>
      <c r="AO192" s="206"/>
      <c r="AP192" s="206"/>
      <c r="AQ192" s="206"/>
      <c r="AR192" s="206"/>
      <c r="AS192" s="206"/>
      <c r="AV192" s="206"/>
      <c r="AW192" s="206"/>
      <c r="AX192" s="206"/>
      <c r="AY192" s="206"/>
      <c r="AZ192" s="206"/>
      <c r="BD192" s="206"/>
      <c r="BF192" s="206"/>
    </row>
    <row r="193" spans="1:100" x14ac:dyDescent="0.2">
      <c r="A193" s="220">
        <v>0</v>
      </c>
      <c r="B193" s="220">
        <v>0</v>
      </c>
      <c r="C193" s="206" t="s">
        <v>693</v>
      </c>
      <c r="D193" s="206" t="s">
        <v>703</v>
      </c>
      <c r="E193" s="192">
        <v>46.24</v>
      </c>
      <c r="F193" s="206" t="s">
        <v>700</v>
      </c>
      <c r="G193" s="206"/>
      <c r="H193" s="206"/>
      <c r="I193" s="206"/>
      <c r="J193"/>
      <c r="K193"/>
      <c r="L193" s="206"/>
      <c r="M193" s="206"/>
      <c r="N193" s="206"/>
      <c r="O193" s="192">
        <v>11.55</v>
      </c>
      <c r="P193" s="192">
        <v>8.9700000000000006</v>
      </c>
      <c r="Q193" s="206" t="s">
        <v>705</v>
      </c>
      <c r="R193" s="206" t="s">
        <v>706</v>
      </c>
      <c r="S193" s="206">
        <v>792960.71100000001</v>
      </c>
      <c r="T193" s="206">
        <v>2187406.2039999999</v>
      </c>
      <c r="U193" s="206">
        <v>793004.49309999996</v>
      </c>
      <c r="V193" s="206">
        <v>2187391.3289999999</v>
      </c>
      <c r="W193" s="206"/>
      <c r="X193" s="206"/>
      <c r="Y193" s="206"/>
      <c r="Z193" s="206"/>
      <c r="AA193" s="206"/>
      <c r="AB193" s="206" t="s">
        <v>703</v>
      </c>
      <c r="AC193" s="206" t="s">
        <v>705</v>
      </c>
      <c r="AD193" s="206"/>
      <c r="AL193" s="206"/>
      <c r="AM193" s="206"/>
      <c r="AN193" s="206"/>
      <c r="AO193" s="206"/>
      <c r="AP193" s="206"/>
      <c r="AQ193" s="206"/>
      <c r="AR193" s="206"/>
      <c r="AS193" s="206"/>
      <c r="AV193" s="206"/>
      <c r="AW193" s="206"/>
      <c r="AX193" s="206"/>
      <c r="AY193" s="206"/>
      <c r="AZ193" s="206"/>
      <c r="BD193" s="206"/>
      <c r="BF193" s="206"/>
    </row>
    <row r="194" spans="1:100" x14ac:dyDescent="0.2">
      <c r="A194" s="220">
        <v>0</v>
      </c>
      <c r="B194" s="220">
        <v>0</v>
      </c>
      <c r="C194" s="206" t="s">
        <v>693</v>
      </c>
      <c r="D194" s="206" t="s">
        <v>705</v>
      </c>
      <c r="E194" s="192">
        <v>46.13</v>
      </c>
      <c r="F194" s="206" t="s">
        <v>703</v>
      </c>
      <c r="G194" s="206"/>
      <c r="H194" s="206"/>
      <c r="I194" s="206"/>
      <c r="J194"/>
      <c r="K194"/>
      <c r="L194" s="206"/>
      <c r="M194" s="206"/>
      <c r="N194" s="206"/>
      <c r="O194" s="192">
        <v>8.9700000000000006</v>
      </c>
      <c r="P194" s="192">
        <v>6.57</v>
      </c>
      <c r="Q194" s="206" t="s">
        <v>707</v>
      </c>
      <c r="R194" s="206" t="s">
        <v>708</v>
      </c>
      <c r="S194" s="206">
        <v>793004.49309999996</v>
      </c>
      <c r="T194" s="206">
        <v>2187391.3289999999</v>
      </c>
      <c r="U194" s="206">
        <v>793048.09450000001</v>
      </c>
      <c r="V194" s="206">
        <v>2187376.2740000002</v>
      </c>
      <c r="W194" s="206"/>
      <c r="X194" s="206"/>
      <c r="Y194" s="206"/>
      <c r="Z194" s="206"/>
      <c r="AA194" s="206"/>
      <c r="AB194" s="206" t="s">
        <v>705</v>
      </c>
      <c r="AC194" s="206" t="s">
        <v>707</v>
      </c>
      <c r="AD194" s="206"/>
      <c r="AL194" s="206"/>
      <c r="AM194" s="206"/>
      <c r="AN194" s="206"/>
      <c r="AO194" s="206"/>
      <c r="AP194" s="206"/>
      <c r="AQ194" s="206"/>
      <c r="AR194" s="206"/>
      <c r="AS194" s="206"/>
      <c r="AV194" s="206"/>
      <c r="AW194" s="206"/>
      <c r="AX194" s="206"/>
      <c r="AY194" s="206"/>
      <c r="AZ194" s="206"/>
      <c r="BD194" s="206"/>
      <c r="BF194" s="206"/>
    </row>
    <row r="195" spans="1:100" x14ac:dyDescent="0.2">
      <c r="A195" s="220">
        <v>0</v>
      </c>
      <c r="B195" s="220">
        <v>0</v>
      </c>
      <c r="C195" s="206" t="s">
        <v>693</v>
      </c>
      <c r="D195" s="206" t="s">
        <v>707</v>
      </c>
      <c r="E195" s="192">
        <v>41.07</v>
      </c>
      <c r="F195" s="206" t="s">
        <v>705</v>
      </c>
      <c r="G195" s="206" t="s">
        <v>709</v>
      </c>
      <c r="H195" s="206"/>
      <c r="I195" s="206"/>
      <c r="J195"/>
      <c r="K195"/>
      <c r="L195" s="206"/>
      <c r="M195" s="206"/>
      <c r="N195" s="206"/>
      <c r="O195" s="192">
        <v>6.57</v>
      </c>
      <c r="P195" s="192">
        <v>5.67</v>
      </c>
      <c r="Q195" s="206" t="s">
        <v>710</v>
      </c>
      <c r="R195" s="206" t="s">
        <v>711</v>
      </c>
      <c r="S195" s="206">
        <v>793048.09450000001</v>
      </c>
      <c r="T195" s="206">
        <v>2187376.2740000002</v>
      </c>
      <c r="U195" s="206">
        <v>793035.05090000003</v>
      </c>
      <c r="V195" s="206">
        <v>2187337.3339999998</v>
      </c>
      <c r="W195" s="206"/>
      <c r="X195" s="206"/>
      <c r="Y195" s="206"/>
      <c r="Z195" s="206"/>
      <c r="AA195" s="206"/>
      <c r="AB195" s="206" t="s">
        <v>707</v>
      </c>
      <c r="AC195" s="206" t="s">
        <v>710</v>
      </c>
      <c r="AD195" s="206"/>
      <c r="AL195" s="206"/>
      <c r="AM195" s="206"/>
      <c r="AN195" s="206"/>
      <c r="AO195" s="206"/>
      <c r="AP195" s="206"/>
      <c r="AQ195" s="206"/>
      <c r="AR195" s="206"/>
      <c r="AS195" s="206"/>
      <c r="AV195" s="206"/>
      <c r="AW195" s="206"/>
      <c r="AX195" s="206"/>
      <c r="AY195" s="206"/>
      <c r="AZ195" s="206"/>
      <c r="BD195" s="206"/>
      <c r="BF195" s="206"/>
    </row>
    <row r="196" spans="1:100" x14ac:dyDescent="0.2">
      <c r="A196" s="220">
        <v>0</v>
      </c>
      <c r="B196" s="220">
        <v>0</v>
      </c>
      <c r="C196" s="206" t="s">
        <v>693</v>
      </c>
      <c r="D196" s="206" t="s">
        <v>710</v>
      </c>
      <c r="E196" s="192">
        <v>6.07</v>
      </c>
      <c r="F196" s="206" t="s">
        <v>707</v>
      </c>
      <c r="G196" s="206"/>
      <c r="H196" s="206"/>
      <c r="I196" s="206"/>
      <c r="J196"/>
      <c r="K196"/>
      <c r="L196" s="206"/>
      <c r="M196" s="206"/>
      <c r="N196" s="206"/>
      <c r="O196" s="192">
        <v>5.67</v>
      </c>
      <c r="P196" s="192">
        <v>5.54</v>
      </c>
      <c r="Q196" s="206" t="s">
        <v>712</v>
      </c>
      <c r="R196" s="206" t="s">
        <v>713</v>
      </c>
      <c r="S196" s="206">
        <v>793035.05090000003</v>
      </c>
      <c r="T196" s="206">
        <v>2187337.3339999998</v>
      </c>
      <c r="U196" s="206">
        <v>793033.25670000003</v>
      </c>
      <c r="V196" s="206">
        <v>2187331.5380000002</v>
      </c>
      <c r="W196" s="206"/>
      <c r="X196" s="206"/>
      <c r="Y196" s="206"/>
      <c r="Z196" s="206"/>
      <c r="AA196" s="206"/>
      <c r="AB196" s="206" t="s">
        <v>710</v>
      </c>
      <c r="AC196" s="206" t="s">
        <v>712</v>
      </c>
      <c r="AD196" s="206"/>
      <c r="AL196" s="206"/>
      <c r="AM196" s="206"/>
      <c r="AN196" s="206"/>
      <c r="AO196" s="206"/>
      <c r="AP196" s="206"/>
      <c r="AQ196" s="206"/>
      <c r="AR196" s="206"/>
      <c r="AS196" s="206"/>
      <c r="AV196" s="206"/>
      <c r="AW196" s="206"/>
      <c r="AX196" s="206"/>
      <c r="AY196" s="206"/>
      <c r="AZ196" s="206"/>
      <c r="BD196" s="206"/>
      <c r="BF196" s="206"/>
    </row>
    <row r="197" spans="1:100" x14ac:dyDescent="0.2">
      <c r="A197" s="220">
        <v>0</v>
      </c>
      <c r="B197" s="220">
        <v>0</v>
      </c>
      <c r="C197" s="206" t="s">
        <v>693</v>
      </c>
      <c r="D197" s="206" t="s">
        <v>712</v>
      </c>
      <c r="E197" s="192">
        <v>44.14</v>
      </c>
      <c r="F197" s="206" t="s">
        <v>710</v>
      </c>
      <c r="G197" s="206"/>
      <c r="H197" s="206"/>
      <c r="I197" s="206"/>
      <c r="J197" s="206"/>
      <c r="K197" s="206"/>
      <c r="L197" s="206"/>
      <c r="M197" s="206"/>
      <c r="N197" s="206"/>
      <c r="O197" s="192">
        <v>5.54</v>
      </c>
      <c r="P197" s="192">
        <v>4.8899999999999997</v>
      </c>
      <c r="Q197" s="206" t="s">
        <v>714</v>
      </c>
      <c r="R197" s="206" t="s">
        <v>715</v>
      </c>
      <c r="S197" s="206">
        <v>793033.25670000003</v>
      </c>
      <c r="T197" s="206">
        <v>2187331.5380000002</v>
      </c>
      <c r="U197" s="206">
        <v>793020.42119999998</v>
      </c>
      <c r="V197" s="206">
        <v>2187289.3050000002</v>
      </c>
      <c r="W197" s="206"/>
      <c r="X197" s="206"/>
      <c r="Y197" s="206"/>
      <c r="Z197" s="206"/>
      <c r="AA197" s="206"/>
      <c r="AB197" s="206" t="s">
        <v>712</v>
      </c>
      <c r="AC197" s="206" t="s">
        <v>714</v>
      </c>
      <c r="AD197" s="206"/>
      <c r="AL197" s="206"/>
      <c r="AM197" s="206"/>
      <c r="AN197" s="206"/>
      <c r="AO197" s="206"/>
      <c r="AP197" s="206"/>
      <c r="AQ197" s="206"/>
      <c r="AR197" s="206"/>
      <c r="AS197" s="206"/>
      <c r="AV197" s="206"/>
      <c r="AW197" s="206"/>
      <c r="AX197" s="206"/>
      <c r="AY197" s="206"/>
      <c r="AZ197" s="206"/>
      <c r="BA197" s="206"/>
      <c r="BB197" s="206"/>
      <c r="BD197" s="206"/>
      <c r="BF197" s="206"/>
      <c r="BG197" s="201"/>
      <c r="BH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  <c r="BY197" s="201"/>
      <c r="BZ197" s="201"/>
      <c r="CA197" s="201"/>
      <c r="CB197" s="201"/>
      <c r="CC197" s="201"/>
      <c r="CD197" s="201"/>
      <c r="CE197" s="201"/>
      <c r="CF197" s="201"/>
      <c r="CG197" s="201"/>
      <c r="CH197" s="201"/>
      <c r="CI197" s="201"/>
      <c r="CJ197" s="201"/>
      <c r="CK197" s="201"/>
      <c r="CL197" s="201"/>
      <c r="CM197" s="201"/>
      <c r="CN197" s="201"/>
      <c r="CO197" s="201"/>
      <c r="CP197" s="201"/>
      <c r="CQ197" s="201"/>
      <c r="CR197" s="201"/>
      <c r="CS197" s="201"/>
      <c r="CT197" s="201"/>
      <c r="CU197" s="201"/>
      <c r="CV197" s="201"/>
    </row>
    <row r="198" spans="1:100" x14ac:dyDescent="0.2">
      <c r="A198" s="220">
        <v>0</v>
      </c>
      <c r="B198" s="220">
        <v>0</v>
      </c>
      <c r="C198" s="206" t="s">
        <v>693</v>
      </c>
      <c r="D198" s="206" t="s">
        <v>714</v>
      </c>
      <c r="E198" s="192">
        <v>4.07</v>
      </c>
      <c r="F198" s="206" t="s">
        <v>712</v>
      </c>
      <c r="G198" s="206"/>
      <c r="H198" s="206"/>
      <c r="I198" s="206"/>
      <c r="J198"/>
      <c r="K198"/>
      <c r="L198" s="206"/>
      <c r="M198" s="206"/>
      <c r="N198" s="206"/>
      <c r="O198" s="192">
        <v>4.8899999999999997</v>
      </c>
      <c r="P198" s="192">
        <v>4.83</v>
      </c>
      <c r="Q198" s="206" t="s">
        <v>716</v>
      </c>
      <c r="R198" s="206" t="s">
        <v>717</v>
      </c>
      <c r="S198" s="206">
        <v>793020.42119999998</v>
      </c>
      <c r="T198" s="206">
        <v>2187289.3050000002</v>
      </c>
      <c r="U198" s="206">
        <v>793019.63910000003</v>
      </c>
      <c r="V198" s="206">
        <v>2187285.307</v>
      </c>
      <c r="W198" s="206"/>
      <c r="X198" s="206"/>
      <c r="Y198" s="206"/>
      <c r="Z198" s="206"/>
      <c r="AA198" s="206"/>
      <c r="AB198" s="206" t="s">
        <v>714</v>
      </c>
      <c r="AC198" s="206" t="s">
        <v>716</v>
      </c>
      <c r="AD198" s="206"/>
      <c r="AL198" s="206"/>
      <c r="AM198" s="206"/>
      <c r="AN198" s="206"/>
      <c r="AO198" s="206"/>
      <c r="AP198" s="206"/>
      <c r="AQ198" s="206"/>
      <c r="AR198" s="206"/>
      <c r="AS198" s="206"/>
      <c r="AV198" s="206"/>
      <c r="AW198" s="206"/>
      <c r="AX198" s="206"/>
      <c r="AY198" s="206"/>
      <c r="AZ198" s="206"/>
      <c r="BD198" s="206"/>
      <c r="BF198" s="206"/>
    </row>
    <row r="199" spans="1:100" x14ac:dyDescent="0.2">
      <c r="A199" s="220">
        <v>0</v>
      </c>
      <c r="B199" s="220">
        <v>0</v>
      </c>
      <c r="C199" s="206" t="s">
        <v>693</v>
      </c>
      <c r="D199" s="206" t="s">
        <v>716</v>
      </c>
      <c r="E199" s="192">
        <v>40.78</v>
      </c>
      <c r="F199" s="206" t="s">
        <v>714</v>
      </c>
      <c r="G199" s="206" t="s">
        <v>718</v>
      </c>
      <c r="H199" s="206"/>
      <c r="I199" s="206"/>
      <c r="J199"/>
      <c r="K199"/>
      <c r="L199" s="206"/>
      <c r="M199" s="206"/>
      <c r="N199" s="206"/>
      <c r="O199" s="192">
        <v>4.83</v>
      </c>
      <c r="P199" s="192">
        <v>4.33</v>
      </c>
      <c r="Q199" s="206" t="s">
        <v>719</v>
      </c>
      <c r="R199" s="206" t="s">
        <v>720</v>
      </c>
      <c r="S199" s="206">
        <v>793019.63910000003</v>
      </c>
      <c r="T199" s="206">
        <v>2187285.307</v>
      </c>
      <c r="U199" s="206">
        <v>793005.10129999998</v>
      </c>
      <c r="V199" s="206">
        <v>2187247.21</v>
      </c>
      <c r="W199" s="206"/>
      <c r="X199" s="206"/>
      <c r="Y199" s="206"/>
      <c r="Z199" s="206"/>
      <c r="AA199" s="206"/>
      <c r="AB199" s="206" t="s">
        <v>716</v>
      </c>
      <c r="AC199" s="206" t="s">
        <v>719</v>
      </c>
      <c r="AD199" s="206"/>
      <c r="AL199" s="206"/>
      <c r="AM199" s="206"/>
      <c r="AN199" s="206"/>
      <c r="AO199" s="206"/>
      <c r="AP199" s="206"/>
      <c r="AQ199" s="206"/>
      <c r="AR199" s="206"/>
      <c r="AS199" s="206"/>
      <c r="AV199" s="206"/>
      <c r="AW199" s="206"/>
      <c r="AX199" s="206"/>
      <c r="AY199" s="206"/>
      <c r="AZ199" s="206"/>
      <c r="BD199" s="206"/>
      <c r="BF199" s="206"/>
    </row>
    <row r="200" spans="1:100" x14ac:dyDescent="0.2">
      <c r="A200" s="220">
        <v>0</v>
      </c>
      <c r="B200" s="220">
        <v>0</v>
      </c>
      <c r="C200" s="206" t="s">
        <v>693</v>
      </c>
      <c r="D200" s="206" t="s">
        <v>719</v>
      </c>
      <c r="E200" s="192">
        <v>4.6500000000000004</v>
      </c>
      <c r="F200" s="206" t="s">
        <v>716</v>
      </c>
      <c r="G200" s="206"/>
      <c r="H200" s="206"/>
      <c r="I200" s="206"/>
      <c r="J200"/>
      <c r="K200"/>
      <c r="L200" s="206"/>
      <c r="M200" s="206"/>
      <c r="N200" s="206"/>
      <c r="O200" s="192">
        <v>4.33</v>
      </c>
      <c r="P200" s="192">
        <v>4.28</v>
      </c>
      <c r="Q200" s="206" t="s">
        <v>721</v>
      </c>
      <c r="R200" s="206" t="s">
        <v>722</v>
      </c>
      <c r="S200" s="206">
        <v>793005.10129999998</v>
      </c>
      <c r="T200" s="206">
        <v>2187247.21</v>
      </c>
      <c r="U200" s="206">
        <v>793004.35010000004</v>
      </c>
      <c r="V200" s="206">
        <v>2187242.622</v>
      </c>
      <c r="W200" s="206"/>
      <c r="X200" s="206"/>
      <c r="Y200" s="206"/>
      <c r="Z200" s="206"/>
      <c r="AA200" s="206"/>
      <c r="AB200" s="206" t="s">
        <v>719</v>
      </c>
      <c r="AC200" s="206" t="s">
        <v>721</v>
      </c>
      <c r="AD200" s="206"/>
      <c r="AL200" s="206"/>
      <c r="AM200" s="206"/>
      <c r="AN200" s="206"/>
      <c r="AO200" s="206"/>
      <c r="AP200" s="206"/>
      <c r="AQ200" s="206"/>
      <c r="AR200" s="206"/>
      <c r="AS200" s="206"/>
      <c r="AV200" s="206"/>
      <c r="AW200" s="206"/>
      <c r="AX200" s="206"/>
      <c r="AY200" s="206"/>
      <c r="AZ200" s="206"/>
      <c r="BD200" s="206"/>
      <c r="BF200" s="206"/>
    </row>
    <row r="201" spans="1:100" x14ac:dyDescent="0.2">
      <c r="A201" s="220">
        <v>0</v>
      </c>
      <c r="B201" s="220">
        <v>0</v>
      </c>
      <c r="C201" s="206" t="s">
        <v>693</v>
      </c>
      <c r="D201" s="206" t="s">
        <v>721</v>
      </c>
      <c r="E201" s="192">
        <v>43.56</v>
      </c>
      <c r="F201" s="206" t="s">
        <v>719</v>
      </c>
      <c r="G201" s="206" t="s">
        <v>723</v>
      </c>
      <c r="H201" s="206"/>
      <c r="I201" s="206"/>
      <c r="J201"/>
      <c r="K201"/>
      <c r="L201" s="206"/>
      <c r="M201" s="206"/>
      <c r="N201" s="206"/>
      <c r="O201" s="192">
        <v>4.28</v>
      </c>
      <c r="P201" s="192">
        <v>4.24</v>
      </c>
      <c r="Q201" s="206" t="s">
        <v>724</v>
      </c>
      <c r="R201" s="206" t="s">
        <v>725</v>
      </c>
      <c r="S201" s="206">
        <v>793004.35010000004</v>
      </c>
      <c r="T201" s="206">
        <v>2187242.622</v>
      </c>
      <c r="U201" s="206">
        <v>792989.91949999996</v>
      </c>
      <c r="V201" s="206">
        <v>2187201.5260000001</v>
      </c>
      <c r="W201" s="206"/>
      <c r="X201" s="206"/>
      <c r="Y201" s="206"/>
      <c r="Z201" s="206"/>
      <c r="AA201" s="206"/>
      <c r="AB201" s="206" t="s">
        <v>721</v>
      </c>
      <c r="AC201" s="206" t="s">
        <v>724</v>
      </c>
      <c r="AD201" s="206"/>
      <c r="AL201" s="206"/>
      <c r="AM201" s="206"/>
      <c r="AN201" s="206"/>
      <c r="AO201" s="206"/>
      <c r="AP201" s="206"/>
      <c r="AQ201" s="206"/>
      <c r="AR201" s="206"/>
      <c r="AS201" s="206"/>
      <c r="AV201" s="206"/>
      <c r="AW201" s="206"/>
      <c r="AX201" s="206"/>
      <c r="AY201" s="206"/>
      <c r="AZ201" s="206"/>
      <c r="BD201" s="206"/>
      <c r="BF201" s="206"/>
    </row>
    <row r="202" spans="1:100" x14ac:dyDescent="0.2">
      <c r="A202" s="220">
        <v>0</v>
      </c>
      <c r="B202" s="220">
        <v>0</v>
      </c>
      <c r="C202" s="206" t="s">
        <v>693</v>
      </c>
      <c r="D202" s="206" t="s">
        <v>724</v>
      </c>
      <c r="E202" s="192">
        <v>4.3499999999999996</v>
      </c>
      <c r="F202" s="206" t="s">
        <v>721</v>
      </c>
      <c r="G202" s="206"/>
      <c r="H202" s="206"/>
      <c r="I202" s="206"/>
      <c r="J202"/>
      <c r="K202"/>
      <c r="L202" s="206"/>
      <c r="M202" s="206"/>
      <c r="N202" s="206"/>
      <c r="O202" s="192">
        <v>4.24</v>
      </c>
      <c r="P202" s="192">
        <v>4.24</v>
      </c>
      <c r="Q202" s="206" t="s">
        <v>726</v>
      </c>
      <c r="R202" s="206" t="s">
        <v>727</v>
      </c>
      <c r="S202" s="206">
        <v>792989.91949999996</v>
      </c>
      <c r="T202" s="206">
        <v>2187201.5260000001</v>
      </c>
      <c r="U202" s="206">
        <v>792989.31689999998</v>
      </c>
      <c r="V202" s="206">
        <v>2187197.216</v>
      </c>
      <c r="W202" s="206"/>
      <c r="X202" s="206"/>
      <c r="Y202" s="206"/>
      <c r="Z202" s="206"/>
      <c r="AA202" s="206"/>
      <c r="AB202" s="206" t="s">
        <v>724</v>
      </c>
      <c r="AC202" s="206" t="s">
        <v>726</v>
      </c>
      <c r="AD202" s="206"/>
      <c r="AL202" s="206"/>
      <c r="AM202" s="206"/>
      <c r="AN202" s="206"/>
      <c r="AO202" s="206"/>
      <c r="AP202" s="206"/>
      <c r="AQ202" s="206"/>
      <c r="AR202" s="206"/>
      <c r="AS202" s="206"/>
      <c r="AV202" s="206"/>
      <c r="AW202" s="206"/>
      <c r="AX202" s="206"/>
      <c r="AY202" s="206"/>
      <c r="AZ202" s="206"/>
      <c r="BD202" s="206"/>
      <c r="BF202" s="206"/>
    </row>
    <row r="203" spans="1:100" x14ac:dyDescent="0.2">
      <c r="A203" s="220">
        <v>0</v>
      </c>
      <c r="B203" s="220">
        <v>0</v>
      </c>
      <c r="C203" s="206" t="s">
        <v>693</v>
      </c>
      <c r="D203" s="206" t="s">
        <v>726</v>
      </c>
      <c r="E203" s="192">
        <v>46.38</v>
      </c>
      <c r="F203" s="206" t="s">
        <v>724</v>
      </c>
      <c r="G203" s="206" t="s">
        <v>728</v>
      </c>
      <c r="H203" s="206"/>
      <c r="I203" s="206"/>
      <c r="J203"/>
      <c r="K203"/>
      <c r="L203" s="206"/>
      <c r="M203" s="206"/>
      <c r="N203" s="206"/>
      <c r="O203" s="192">
        <v>4.24</v>
      </c>
      <c r="P203" s="192">
        <v>3.78</v>
      </c>
      <c r="Q203" s="206" t="s">
        <v>729</v>
      </c>
      <c r="R203" s="206" t="s">
        <v>730</v>
      </c>
      <c r="S203" s="206">
        <v>792989.31689999998</v>
      </c>
      <c r="T203" s="206">
        <v>2187197.216</v>
      </c>
      <c r="U203" s="206">
        <v>792973.08149999997</v>
      </c>
      <c r="V203" s="206">
        <v>2187153.7719999999</v>
      </c>
      <c r="W203" s="206"/>
      <c r="X203" s="206"/>
      <c r="Y203" s="206"/>
      <c r="Z203" s="206"/>
      <c r="AA203" s="206"/>
      <c r="AB203" s="206" t="s">
        <v>726</v>
      </c>
      <c r="AC203" s="206" t="s">
        <v>729</v>
      </c>
      <c r="AD203" s="206"/>
      <c r="AL203" s="206"/>
      <c r="AM203" s="206"/>
      <c r="AN203" s="206"/>
      <c r="AO203" s="206"/>
      <c r="AP203" s="206"/>
      <c r="AQ203" s="206"/>
      <c r="AR203" s="206"/>
      <c r="AS203" s="206"/>
      <c r="AV203" s="206"/>
      <c r="AW203" s="206"/>
      <c r="AX203" s="206"/>
      <c r="AY203" s="206"/>
      <c r="AZ203" s="206"/>
      <c r="BD203" s="206"/>
      <c r="BF203" s="206"/>
    </row>
    <row r="204" spans="1:100" x14ac:dyDescent="0.2">
      <c r="A204" s="220">
        <v>0</v>
      </c>
      <c r="B204" s="220">
        <v>0</v>
      </c>
      <c r="C204" s="206" t="s">
        <v>693</v>
      </c>
      <c r="D204" s="206" t="s">
        <v>729</v>
      </c>
      <c r="E204" s="192">
        <v>4.71</v>
      </c>
      <c r="F204" s="206" t="s">
        <v>726</v>
      </c>
      <c r="G204" s="206"/>
      <c r="H204" s="206"/>
      <c r="I204" s="206"/>
      <c r="J204"/>
      <c r="K204"/>
      <c r="L204" s="206"/>
      <c r="M204" s="206"/>
      <c r="N204" s="206"/>
      <c r="O204" s="192">
        <v>3.78</v>
      </c>
      <c r="P204" s="192">
        <v>3.72</v>
      </c>
      <c r="Q204" s="206" t="s">
        <v>731</v>
      </c>
      <c r="R204" s="206" t="s">
        <v>732</v>
      </c>
      <c r="S204" s="206">
        <v>792973.08149999997</v>
      </c>
      <c r="T204" s="206">
        <v>2187153.7719999999</v>
      </c>
      <c r="U204" s="206">
        <v>792972.51470000006</v>
      </c>
      <c r="V204" s="206">
        <v>2187149.0980000002</v>
      </c>
      <c r="W204" s="206"/>
      <c r="X204" s="206"/>
      <c r="Y204" s="206"/>
      <c r="Z204" s="206"/>
      <c r="AA204" s="206"/>
      <c r="AB204" s="206" t="s">
        <v>729</v>
      </c>
      <c r="AC204" s="206" t="s">
        <v>731</v>
      </c>
      <c r="AD204" s="206"/>
      <c r="AL204" s="206"/>
      <c r="AM204" s="206"/>
      <c r="AN204" s="206"/>
      <c r="AO204" s="206"/>
      <c r="AP204" s="206"/>
      <c r="AQ204" s="206"/>
      <c r="AR204" s="206"/>
      <c r="AS204" s="206"/>
      <c r="AV204" s="206"/>
      <c r="AW204" s="206"/>
      <c r="AX204" s="206"/>
      <c r="AY204" s="206"/>
      <c r="AZ204" s="206"/>
      <c r="BD204" s="206"/>
      <c r="BF204" s="206"/>
    </row>
    <row r="205" spans="1:100" x14ac:dyDescent="0.2">
      <c r="A205" s="220">
        <v>0</v>
      </c>
      <c r="B205" s="220">
        <v>0</v>
      </c>
      <c r="C205" s="206" t="s">
        <v>693</v>
      </c>
      <c r="D205" s="206" t="s">
        <v>731</v>
      </c>
      <c r="E205" s="192">
        <v>43.58</v>
      </c>
      <c r="F205" s="206" t="s">
        <v>729</v>
      </c>
      <c r="G205" s="206" t="s">
        <v>733</v>
      </c>
      <c r="H205" s="206"/>
      <c r="I205" s="206"/>
      <c r="J205"/>
      <c r="K205"/>
      <c r="L205" s="206"/>
      <c r="M205" s="206"/>
      <c r="N205" s="206"/>
      <c r="O205" s="192">
        <v>3.72</v>
      </c>
      <c r="P205" s="192">
        <v>3.41</v>
      </c>
      <c r="Q205" s="206" t="s">
        <v>734</v>
      </c>
      <c r="R205" s="206" t="s">
        <v>735</v>
      </c>
      <c r="S205" s="206">
        <v>792972.51470000006</v>
      </c>
      <c r="T205" s="206">
        <v>2187149.0980000002</v>
      </c>
      <c r="U205" s="206">
        <v>792959.41780000005</v>
      </c>
      <c r="V205" s="206">
        <v>2187107.537</v>
      </c>
      <c r="W205" s="206"/>
      <c r="X205" s="206"/>
      <c r="Y205" s="206"/>
      <c r="Z205" s="206"/>
      <c r="AA205" s="206"/>
      <c r="AB205" s="206" t="s">
        <v>731</v>
      </c>
      <c r="AC205" s="206" t="s">
        <v>734</v>
      </c>
      <c r="AD205" s="206"/>
      <c r="AL205" s="206"/>
      <c r="AM205" s="206"/>
      <c r="AN205" s="206"/>
      <c r="AO205" s="206"/>
      <c r="AP205" s="206"/>
      <c r="AQ205" s="206"/>
      <c r="AR205" s="206"/>
      <c r="AS205" s="206"/>
      <c r="AV205" s="206"/>
      <c r="AW205" s="206"/>
      <c r="AX205" s="206"/>
      <c r="AY205" s="206"/>
      <c r="AZ205" s="206"/>
      <c r="BD205" s="206"/>
      <c r="BF205" s="206"/>
    </row>
    <row r="206" spans="1:100" x14ac:dyDescent="0.2">
      <c r="A206" s="220">
        <v>0</v>
      </c>
      <c r="B206" s="220">
        <v>1</v>
      </c>
      <c r="C206" s="206" t="s">
        <v>693</v>
      </c>
      <c r="D206" s="206" t="s">
        <v>734</v>
      </c>
      <c r="E206" s="192">
        <v>5.12</v>
      </c>
      <c r="F206" s="206" t="s">
        <v>731</v>
      </c>
      <c r="G206" s="206"/>
      <c r="H206" s="206"/>
      <c r="I206" s="206"/>
      <c r="J206"/>
      <c r="K206"/>
      <c r="L206" s="206"/>
      <c r="M206" s="206"/>
      <c r="N206" s="206"/>
      <c r="O206" s="192">
        <v>3.41</v>
      </c>
      <c r="P206" s="192">
        <v>3.35</v>
      </c>
      <c r="Q206" s="206" t="s">
        <v>736</v>
      </c>
      <c r="R206" s="206" t="s">
        <v>737</v>
      </c>
      <c r="S206" s="206">
        <v>792959.41780000005</v>
      </c>
      <c r="T206" s="206">
        <v>2187107.537</v>
      </c>
      <c r="U206" s="206">
        <v>792958.60320000001</v>
      </c>
      <c r="V206" s="206">
        <v>2187102.4849999999</v>
      </c>
      <c r="W206" s="206"/>
      <c r="X206" s="206"/>
      <c r="Y206" s="206"/>
      <c r="Z206" s="206"/>
      <c r="AA206" s="206"/>
      <c r="AB206" s="206" t="s">
        <v>734</v>
      </c>
      <c r="AC206" s="206" t="s">
        <v>736</v>
      </c>
      <c r="AD206" s="206"/>
      <c r="AL206" s="206"/>
      <c r="AM206" s="206"/>
      <c r="AN206" s="206"/>
      <c r="AO206" s="206"/>
      <c r="AP206" s="206"/>
      <c r="AQ206" s="206"/>
      <c r="AR206" s="206"/>
      <c r="AS206" s="206"/>
      <c r="AV206" s="206"/>
      <c r="AW206" s="206"/>
      <c r="AX206" s="206"/>
      <c r="AY206" s="206"/>
      <c r="AZ206" s="206"/>
      <c r="BD206" s="206"/>
      <c r="BF206" s="206"/>
    </row>
    <row r="207" spans="1:100" x14ac:dyDescent="0.2">
      <c r="A207" s="220">
        <v>1</v>
      </c>
      <c r="B207" s="220">
        <v>1</v>
      </c>
      <c r="C207" s="206" t="s">
        <v>738</v>
      </c>
      <c r="D207" s="206" t="s">
        <v>697</v>
      </c>
      <c r="E207" s="192">
        <v>52.42</v>
      </c>
      <c r="F207" s="206"/>
      <c r="G207" s="206"/>
      <c r="H207" s="206"/>
      <c r="I207" s="206"/>
      <c r="J207"/>
      <c r="K207"/>
      <c r="L207" s="206"/>
      <c r="M207" s="206"/>
      <c r="N207" s="206"/>
      <c r="O207" s="192">
        <v>20.62</v>
      </c>
      <c r="P207" s="192">
        <v>19.63</v>
      </c>
      <c r="Q207" s="206" t="s">
        <v>695</v>
      </c>
      <c r="R207" s="206" t="s">
        <v>739</v>
      </c>
      <c r="S207" s="206">
        <v>792901.03009999997</v>
      </c>
      <c r="T207" s="206">
        <v>2187529.7820000001</v>
      </c>
      <c r="U207" s="206">
        <v>792883.44499999995</v>
      </c>
      <c r="V207" s="206">
        <v>2187480.3990000002</v>
      </c>
      <c r="W207" s="206"/>
      <c r="X207" s="206"/>
      <c r="Y207" s="206"/>
      <c r="Z207" s="206"/>
      <c r="AA207" s="206"/>
      <c r="AB207" s="206" t="s">
        <v>697</v>
      </c>
      <c r="AC207" s="206" t="s">
        <v>695</v>
      </c>
      <c r="AD207" s="206"/>
      <c r="AL207" s="206"/>
      <c r="AM207" s="206"/>
      <c r="AN207" s="206"/>
      <c r="AO207" s="206"/>
      <c r="AP207" s="206"/>
      <c r="AQ207" s="206"/>
      <c r="AR207" s="206"/>
      <c r="AS207" s="206"/>
      <c r="AV207" s="206"/>
      <c r="AW207" s="206"/>
      <c r="AX207" s="206"/>
      <c r="AY207" s="206"/>
      <c r="AZ207" s="206"/>
      <c r="BD207" s="206"/>
      <c r="BF207" s="206"/>
    </row>
    <row r="208" spans="1:100" x14ac:dyDescent="0.2">
      <c r="A208" s="220">
        <v>1</v>
      </c>
      <c r="B208" s="220">
        <v>0</v>
      </c>
      <c r="C208" s="206" t="s">
        <v>740</v>
      </c>
      <c r="D208" s="206" t="s">
        <v>741</v>
      </c>
      <c r="E208" s="192">
        <v>45.9</v>
      </c>
      <c r="F208" s="206"/>
      <c r="G208" s="206"/>
      <c r="H208" s="206"/>
      <c r="I208" s="206" t="s">
        <v>742</v>
      </c>
      <c r="J208">
        <v>438</v>
      </c>
      <c r="K208">
        <v>180</v>
      </c>
      <c r="L208" s="206"/>
      <c r="M208" s="206"/>
      <c r="N208" s="206"/>
      <c r="O208" s="192">
        <v>24.58</v>
      </c>
      <c r="P208" s="192">
        <v>20.239999999999998</v>
      </c>
      <c r="Q208" s="206" t="s">
        <v>702</v>
      </c>
      <c r="R208" s="206" t="s">
        <v>743</v>
      </c>
      <c r="S208" s="206">
        <v>792823.76399999997</v>
      </c>
      <c r="T208" s="206">
        <v>2187450.1669999999</v>
      </c>
      <c r="U208" s="206">
        <v>792868.05799999996</v>
      </c>
      <c r="V208" s="206">
        <v>2187438.1230000001</v>
      </c>
      <c r="W208" s="206"/>
      <c r="X208" s="206"/>
      <c r="Y208" s="206"/>
      <c r="Z208" s="206"/>
      <c r="AA208" s="206"/>
      <c r="AB208" s="206" t="s">
        <v>741</v>
      </c>
      <c r="AC208" s="206" t="s">
        <v>702</v>
      </c>
      <c r="AD208" s="206"/>
      <c r="AL208" s="206"/>
      <c r="AM208" s="206"/>
      <c r="AN208" s="206"/>
      <c r="AO208" s="206"/>
      <c r="AP208" s="206"/>
      <c r="AQ208" s="206"/>
      <c r="AR208" s="206"/>
      <c r="AS208" s="206"/>
      <c r="AV208" s="206"/>
      <c r="AW208" s="206"/>
      <c r="AX208" s="206"/>
      <c r="AY208" s="206"/>
      <c r="AZ208" s="206"/>
      <c r="BD208" s="206"/>
      <c r="BF208" s="206"/>
    </row>
    <row r="209" spans="1:100" x14ac:dyDescent="0.2">
      <c r="A209" s="220">
        <v>0</v>
      </c>
      <c r="B209" s="220">
        <v>1</v>
      </c>
      <c r="C209" s="206" t="s">
        <v>740</v>
      </c>
      <c r="D209" s="206" t="s">
        <v>702</v>
      </c>
      <c r="E209" s="192">
        <v>43.85</v>
      </c>
      <c r="F209" s="206" t="s">
        <v>741</v>
      </c>
      <c r="G209" s="206"/>
      <c r="H209" s="206"/>
      <c r="I209" s="206"/>
      <c r="J209"/>
      <c r="K209"/>
      <c r="L209" s="206"/>
      <c r="M209" s="206"/>
      <c r="N209" s="206"/>
      <c r="O209" s="192">
        <v>20.239999999999998</v>
      </c>
      <c r="P209" s="192">
        <v>15.65</v>
      </c>
      <c r="Q209" s="206" t="s">
        <v>700</v>
      </c>
      <c r="R209" s="206" t="s">
        <v>744</v>
      </c>
      <c r="S209" s="206">
        <v>792868.05799999996</v>
      </c>
      <c r="T209" s="206">
        <v>2187438.1230000001</v>
      </c>
      <c r="U209" s="206">
        <v>792909.52150000003</v>
      </c>
      <c r="V209" s="206">
        <v>2187423.85</v>
      </c>
      <c r="W209" s="206"/>
      <c r="X209" s="206"/>
      <c r="Y209" s="206"/>
      <c r="Z209" s="206"/>
      <c r="AA209" s="206"/>
      <c r="AB209" s="206" t="s">
        <v>702</v>
      </c>
      <c r="AC209" s="206" t="s">
        <v>700</v>
      </c>
      <c r="AD209" s="206"/>
      <c r="AL209" s="206"/>
      <c r="AM209" s="206"/>
      <c r="AN209" s="206"/>
      <c r="AO209" s="206"/>
      <c r="AP209" s="206"/>
      <c r="AQ209" s="206"/>
      <c r="AR209" s="206"/>
      <c r="AS209" s="206"/>
      <c r="AV209" s="206"/>
      <c r="AW209" s="206"/>
      <c r="AX209" s="206"/>
      <c r="AY209" s="206"/>
      <c r="AZ209" s="206"/>
      <c r="BD209" s="206"/>
      <c r="BF209" s="206"/>
    </row>
    <row r="210" spans="1:100" x14ac:dyDescent="0.2">
      <c r="A210" s="220">
        <v>1</v>
      </c>
      <c r="B210" s="220">
        <v>0</v>
      </c>
      <c r="C210" s="206" t="s">
        <v>745</v>
      </c>
      <c r="D210" s="206" t="s">
        <v>746</v>
      </c>
      <c r="E210" s="192">
        <v>42.73</v>
      </c>
      <c r="F210" s="206"/>
      <c r="G210" s="206"/>
      <c r="H210" s="206"/>
      <c r="I210" s="206" t="s">
        <v>747</v>
      </c>
      <c r="J210">
        <v>152</v>
      </c>
      <c r="K210">
        <v>63</v>
      </c>
      <c r="L210" s="206"/>
      <c r="M210" s="206"/>
      <c r="N210" s="206"/>
      <c r="O210" s="192">
        <v>26.85</v>
      </c>
      <c r="P210" s="192">
        <v>23.98</v>
      </c>
      <c r="Q210" s="206" t="s">
        <v>748</v>
      </c>
      <c r="R210" s="206" t="s">
        <v>749</v>
      </c>
      <c r="S210" s="206">
        <v>792796.36259999999</v>
      </c>
      <c r="T210" s="206">
        <v>2187367.21</v>
      </c>
      <c r="U210" s="206">
        <v>792808.34699999995</v>
      </c>
      <c r="V210" s="206">
        <v>2187408.2220000001</v>
      </c>
      <c r="W210" s="206"/>
      <c r="X210" s="206"/>
      <c r="Y210" s="206"/>
      <c r="Z210" s="206"/>
      <c r="AA210" s="206"/>
      <c r="AB210" s="206" t="s">
        <v>746</v>
      </c>
      <c r="AC210" s="206" t="s">
        <v>748</v>
      </c>
      <c r="AD210" s="206"/>
      <c r="AL210" s="206"/>
      <c r="AM210" s="206"/>
      <c r="AN210" s="206"/>
      <c r="AO210" s="206"/>
      <c r="AP210" s="206"/>
      <c r="AQ210" s="206"/>
      <c r="AR210" s="206"/>
      <c r="AS210" s="206"/>
      <c r="AV210" s="206"/>
      <c r="AW210" s="206"/>
      <c r="AX210" s="206"/>
      <c r="AY210" s="206"/>
      <c r="AZ210" s="206"/>
      <c r="BD210" s="206"/>
      <c r="BF210" s="206"/>
    </row>
    <row r="211" spans="1:100" x14ac:dyDescent="0.2">
      <c r="A211" s="220">
        <v>0</v>
      </c>
      <c r="B211" s="220">
        <v>0</v>
      </c>
      <c r="C211" s="206" t="s">
        <v>745</v>
      </c>
      <c r="D211" s="206" t="s">
        <v>748</v>
      </c>
      <c r="E211" s="192">
        <v>45.7</v>
      </c>
      <c r="F211" s="206" t="s">
        <v>746</v>
      </c>
      <c r="G211" s="206"/>
      <c r="H211" s="206"/>
      <c r="I211" s="206"/>
      <c r="J211" s="206"/>
      <c r="K211" s="206"/>
      <c r="L211" s="206"/>
      <c r="M211" s="206"/>
      <c r="N211" s="206"/>
      <c r="O211" s="192">
        <v>23.98</v>
      </c>
      <c r="P211" s="192">
        <v>19.600000000000001</v>
      </c>
      <c r="Q211" s="206" t="s">
        <v>750</v>
      </c>
      <c r="R211" s="206" t="s">
        <v>751</v>
      </c>
      <c r="S211" s="206">
        <v>792808.34699999995</v>
      </c>
      <c r="T211" s="206">
        <v>2187408.2220000001</v>
      </c>
      <c r="U211" s="206">
        <v>792852.4301</v>
      </c>
      <c r="V211" s="206">
        <v>2187396.1770000001</v>
      </c>
      <c r="W211" s="206"/>
      <c r="X211" s="206"/>
      <c r="Y211" s="206"/>
      <c r="Z211" s="206"/>
      <c r="AA211" s="206"/>
      <c r="AB211" s="206" t="s">
        <v>748</v>
      </c>
      <c r="AC211" s="206" t="s">
        <v>750</v>
      </c>
      <c r="AD211" s="206"/>
      <c r="AL211" s="206"/>
      <c r="AM211" s="206"/>
      <c r="AN211" s="206"/>
      <c r="AO211" s="206"/>
      <c r="AP211" s="206"/>
      <c r="AQ211" s="206"/>
      <c r="AR211" s="206"/>
      <c r="AS211" s="206"/>
      <c r="AV211" s="206"/>
      <c r="AW211" s="206"/>
      <c r="AX211" s="206"/>
      <c r="AY211" s="206"/>
      <c r="AZ211" s="206"/>
      <c r="BA211" s="206"/>
      <c r="BB211" s="206"/>
      <c r="BD211" s="206"/>
      <c r="BF211" s="206"/>
      <c r="BG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  <c r="BY211" s="201"/>
      <c r="BZ211" s="201"/>
      <c r="CA211" s="201"/>
      <c r="CB211" s="201"/>
      <c r="CC211" s="201"/>
      <c r="CD211" s="201"/>
      <c r="CE211" s="201"/>
      <c r="CF211" s="201"/>
      <c r="CG211" s="201"/>
      <c r="CH211" s="201"/>
      <c r="CI211" s="201"/>
      <c r="CJ211" s="201"/>
      <c r="CK211" s="201"/>
      <c r="CL211" s="201"/>
      <c r="CM211" s="201"/>
      <c r="CN211" s="201"/>
      <c r="CO211" s="201"/>
      <c r="CP211" s="201"/>
      <c r="CQ211" s="201"/>
      <c r="CR211" s="201"/>
      <c r="CS211" s="201"/>
      <c r="CT211" s="201"/>
      <c r="CU211" s="201"/>
      <c r="CV211" s="201"/>
    </row>
    <row r="212" spans="1:100" x14ac:dyDescent="0.2">
      <c r="A212" s="220">
        <v>0</v>
      </c>
      <c r="B212" s="220">
        <v>0</v>
      </c>
      <c r="C212" s="206" t="s">
        <v>745</v>
      </c>
      <c r="D212" s="206" t="s">
        <v>750</v>
      </c>
      <c r="E212" s="192">
        <v>44.18</v>
      </c>
      <c r="F212" s="206" t="s">
        <v>748</v>
      </c>
      <c r="G212" s="206"/>
      <c r="H212" s="206"/>
      <c r="I212" s="206"/>
      <c r="J212"/>
      <c r="K212"/>
      <c r="L212" s="206"/>
      <c r="M212" s="206"/>
      <c r="N212" s="206"/>
      <c r="O212" s="192">
        <v>19.600000000000001</v>
      </c>
      <c r="P212" s="192">
        <v>15.4</v>
      </c>
      <c r="Q212" s="206" t="s">
        <v>752</v>
      </c>
      <c r="R212" s="206" t="s">
        <v>753</v>
      </c>
      <c r="S212" s="206">
        <v>792852.4301</v>
      </c>
      <c r="T212" s="206">
        <v>2187396.1770000001</v>
      </c>
      <c r="U212" s="206">
        <v>792894.22490000003</v>
      </c>
      <c r="V212" s="206">
        <v>2187381.844</v>
      </c>
      <c r="W212" s="206"/>
      <c r="X212" s="206"/>
      <c r="Y212" s="206"/>
      <c r="Z212" s="206"/>
      <c r="AA212" s="206"/>
      <c r="AB212" s="206" t="s">
        <v>750</v>
      </c>
      <c r="AC212" s="206" t="s">
        <v>752</v>
      </c>
      <c r="AD212" s="206"/>
      <c r="AL212" s="206"/>
      <c r="AM212" s="206"/>
      <c r="AN212" s="206"/>
      <c r="AO212" s="206"/>
      <c r="AP212" s="206"/>
      <c r="AQ212" s="206"/>
      <c r="AR212" s="206"/>
      <c r="AS212" s="206"/>
      <c r="AV212" s="206"/>
      <c r="AW212" s="206"/>
      <c r="AX212" s="206"/>
      <c r="AY212" s="206"/>
      <c r="AZ212" s="206"/>
      <c r="BD212" s="206"/>
      <c r="BF212" s="206"/>
    </row>
    <row r="213" spans="1:100" x14ac:dyDescent="0.2">
      <c r="A213" s="220">
        <v>0</v>
      </c>
      <c r="B213" s="220">
        <v>0</v>
      </c>
      <c r="C213" s="206" t="s">
        <v>745</v>
      </c>
      <c r="D213" s="206" t="s">
        <v>752</v>
      </c>
      <c r="E213" s="192">
        <v>48.67</v>
      </c>
      <c r="F213" s="206" t="s">
        <v>750</v>
      </c>
      <c r="G213" s="206"/>
      <c r="H213" s="206"/>
      <c r="I213" s="206"/>
      <c r="J213"/>
      <c r="K213"/>
      <c r="L213" s="206"/>
      <c r="M213" s="206"/>
      <c r="N213" s="206"/>
      <c r="O213" s="192">
        <v>15.4</v>
      </c>
      <c r="P213" s="192">
        <v>14.95</v>
      </c>
      <c r="Q213" s="206" t="s">
        <v>754</v>
      </c>
      <c r="R213" s="206" t="s">
        <v>755</v>
      </c>
      <c r="S213" s="206">
        <v>792894.22490000003</v>
      </c>
      <c r="T213" s="206">
        <v>2187381.844</v>
      </c>
      <c r="U213" s="206">
        <v>792880.61450000003</v>
      </c>
      <c r="V213" s="206">
        <v>2187335.111</v>
      </c>
      <c r="W213" s="206"/>
      <c r="X213" s="206"/>
      <c r="Y213" s="206"/>
      <c r="Z213" s="206"/>
      <c r="AA213" s="206"/>
      <c r="AB213" s="206" t="s">
        <v>752</v>
      </c>
      <c r="AC213" s="206" t="s">
        <v>754</v>
      </c>
      <c r="AD213" s="206"/>
      <c r="AL213" s="206"/>
      <c r="AM213" s="206"/>
      <c r="AN213" s="206"/>
      <c r="AO213" s="206"/>
      <c r="AP213" s="206"/>
      <c r="AQ213" s="206"/>
      <c r="AR213" s="206"/>
      <c r="AS213" s="206"/>
      <c r="AV213" s="206"/>
      <c r="AW213" s="206"/>
      <c r="AX213" s="206"/>
      <c r="AY213" s="206"/>
      <c r="AZ213" s="206"/>
      <c r="BD213" s="206"/>
      <c r="BF213" s="206"/>
    </row>
    <row r="214" spans="1:100" x14ac:dyDescent="0.2">
      <c r="A214" s="220">
        <v>0</v>
      </c>
      <c r="B214" s="220">
        <v>0</v>
      </c>
      <c r="C214" s="206" t="s">
        <v>745</v>
      </c>
      <c r="D214" s="206" t="s">
        <v>754</v>
      </c>
      <c r="E214" s="192">
        <v>48.13</v>
      </c>
      <c r="F214" s="206" t="s">
        <v>752</v>
      </c>
      <c r="G214" s="206" t="s">
        <v>756</v>
      </c>
      <c r="H214" s="206"/>
      <c r="I214" s="206"/>
      <c r="J214"/>
      <c r="K214"/>
      <c r="L214" s="206"/>
      <c r="M214" s="206"/>
      <c r="N214" s="206"/>
      <c r="O214" s="192">
        <v>14.95</v>
      </c>
      <c r="P214" s="192">
        <v>10.48</v>
      </c>
      <c r="Q214" s="206" t="s">
        <v>757</v>
      </c>
      <c r="R214" s="206" t="s">
        <v>758</v>
      </c>
      <c r="S214" s="206">
        <v>792880.61450000003</v>
      </c>
      <c r="T214" s="206">
        <v>2187335.111</v>
      </c>
      <c r="U214" s="206">
        <v>792926.20319999999</v>
      </c>
      <c r="V214" s="206">
        <v>2187319.6940000001</v>
      </c>
      <c r="W214" s="206"/>
      <c r="X214" s="206"/>
      <c r="Y214" s="206"/>
      <c r="Z214" s="206"/>
      <c r="AA214" s="206"/>
      <c r="AB214" s="206" t="s">
        <v>754</v>
      </c>
      <c r="AC214" s="206" t="s">
        <v>757</v>
      </c>
      <c r="AD214" s="206"/>
      <c r="AL214" s="206"/>
      <c r="AM214" s="206"/>
      <c r="AN214" s="206"/>
      <c r="AO214" s="206"/>
      <c r="AP214" s="206"/>
      <c r="AQ214" s="206"/>
      <c r="AR214" s="206"/>
      <c r="AS214" s="206"/>
      <c r="AV214" s="206"/>
      <c r="AW214" s="206"/>
      <c r="AX214" s="206"/>
      <c r="AY214" s="206"/>
      <c r="AZ214" s="206"/>
      <c r="BD214" s="206"/>
      <c r="BF214" s="206"/>
    </row>
    <row r="215" spans="1:100" x14ac:dyDescent="0.2">
      <c r="A215" s="220">
        <v>0</v>
      </c>
      <c r="B215" s="220">
        <v>0</v>
      </c>
      <c r="C215" s="206" t="s">
        <v>745</v>
      </c>
      <c r="D215" s="206" t="s">
        <v>757</v>
      </c>
      <c r="E215" s="192">
        <v>4.17</v>
      </c>
      <c r="F215" s="206" t="s">
        <v>754</v>
      </c>
      <c r="G215" s="206"/>
      <c r="H215" s="206"/>
      <c r="I215" s="206"/>
      <c r="J215"/>
      <c r="K215"/>
      <c r="L215" s="206"/>
      <c r="M215" s="206"/>
      <c r="N215" s="206"/>
      <c r="O215" s="192">
        <v>10.48</v>
      </c>
      <c r="P215" s="192">
        <v>10.23</v>
      </c>
      <c r="Q215" s="206" t="s">
        <v>759</v>
      </c>
      <c r="R215" s="206" t="s">
        <v>760</v>
      </c>
      <c r="S215" s="206">
        <v>792926.20319999999</v>
      </c>
      <c r="T215" s="206">
        <v>2187319.6940000001</v>
      </c>
      <c r="U215" s="206">
        <v>792928.73259999999</v>
      </c>
      <c r="V215" s="206">
        <v>2187316.3820000002</v>
      </c>
      <c r="W215" s="206"/>
      <c r="X215" s="206"/>
      <c r="Y215" s="206"/>
      <c r="Z215" s="206"/>
      <c r="AA215" s="206"/>
      <c r="AB215" s="206" t="s">
        <v>757</v>
      </c>
      <c r="AC215" s="206" t="s">
        <v>759</v>
      </c>
      <c r="AD215" s="206"/>
      <c r="AL215" s="206"/>
      <c r="AM215" s="206"/>
      <c r="AN215" s="206"/>
      <c r="AO215" s="206"/>
      <c r="AP215" s="206"/>
      <c r="AQ215" s="206"/>
      <c r="AR215" s="206"/>
      <c r="AS215" s="206"/>
      <c r="AV215" s="206"/>
      <c r="AW215" s="206"/>
      <c r="AX215" s="206"/>
      <c r="AY215" s="206"/>
      <c r="AZ215" s="206"/>
      <c r="BD215" s="206"/>
      <c r="BF215" s="206"/>
    </row>
    <row r="216" spans="1:100" x14ac:dyDescent="0.2">
      <c r="A216" s="220">
        <v>0</v>
      </c>
      <c r="B216" s="220">
        <v>0</v>
      </c>
      <c r="C216" s="206" t="s">
        <v>745</v>
      </c>
      <c r="D216" s="206" t="s">
        <v>759</v>
      </c>
      <c r="E216" s="192">
        <v>47.57</v>
      </c>
      <c r="F216" s="206" t="s">
        <v>757</v>
      </c>
      <c r="G216" s="206" t="s">
        <v>761</v>
      </c>
      <c r="H216" s="206"/>
      <c r="I216" s="206"/>
      <c r="J216"/>
      <c r="K216"/>
      <c r="L216" s="206"/>
      <c r="M216" s="206"/>
      <c r="N216" s="206"/>
      <c r="O216" s="192">
        <v>10.23</v>
      </c>
      <c r="P216" s="192">
        <v>6.7</v>
      </c>
      <c r="Q216" s="206" t="s">
        <v>718</v>
      </c>
      <c r="R216" s="206" t="s">
        <v>762</v>
      </c>
      <c r="S216" s="206">
        <v>792928.73259999999</v>
      </c>
      <c r="T216" s="206">
        <v>2187316.3820000002</v>
      </c>
      <c r="U216" s="206">
        <v>792973.5686</v>
      </c>
      <c r="V216" s="206">
        <v>2187300.483</v>
      </c>
      <c r="W216" s="206"/>
      <c r="X216" s="206"/>
      <c r="Y216" s="206"/>
      <c r="Z216" s="206"/>
      <c r="AA216" s="206"/>
      <c r="AB216" s="206" t="s">
        <v>759</v>
      </c>
      <c r="AC216" s="206" t="s">
        <v>718</v>
      </c>
      <c r="AD216" s="206"/>
      <c r="AL216" s="206"/>
      <c r="AM216" s="206"/>
      <c r="AN216" s="206"/>
      <c r="AO216" s="206"/>
      <c r="AP216" s="206"/>
      <c r="AQ216" s="206"/>
      <c r="AR216" s="206"/>
      <c r="AS216" s="206"/>
      <c r="AV216" s="206"/>
      <c r="AW216" s="206"/>
      <c r="AX216" s="206"/>
      <c r="AY216" s="206"/>
      <c r="AZ216" s="206"/>
      <c r="BD216" s="206"/>
      <c r="BF216" s="206"/>
    </row>
    <row r="217" spans="1:100" x14ac:dyDescent="0.2">
      <c r="A217" s="220">
        <v>0</v>
      </c>
      <c r="B217" s="220">
        <v>1</v>
      </c>
      <c r="C217" s="206" t="s">
        <v>745</v>
      </c>
      <c r="D217" s="206" t="s">
        <v>718</v>
      </c>
      <c r="E217" s="192">
        <v>48.51</v>
      </c>
      <c r="F217" s="206" t="s">
        <v>759</v>
      </c>
      <c r="G217" s="206" t="s">
        <v>763</v>
      </c>
      <c r="H217" s="206"/>
      <c r="I217" s="206"/>
      <c r="J217"/>
      <c r="K217"/>
      <c r="L217" s="206"/>
      <c r="M217" s="206"/>
      <c r="N217" s="206"/>
      <c r="O217" s="192">
        <v>6.7</v>
      </c>
      <c r="P217" s="192">
        <v>4.83</v>
      </c>
      <c r="Q217" s="206" t="s">
        <v>716</v>
      </c>
      <c r="R217" s="206" t="s">
        <v>764</v>
      </c>
      <c r="S217" s="206">
        <v>792973.5686</v>
      </c>
      <c r="T217" s="206">
        <v>2187300.483</v>
      </c>
      <c r="U217" s="206">
        <v>793019.63910000003</v>
      </c>
      <c r="V217" s="206">
        <v>2187285.307</v>
      </c>
      <c r="W217" s="206"/>
      <c r="X217" s="206"/>
      <c r="Y217" s="206"/>
      <c r="Z217" s="206"/>
      <c r="AA217" s="206"/>
      <c r="AB217" s="206" t="s">
        <v>718</v>
      </c>
      <c r="AC217" s="206" t="s">
        <v>716</v>
      </c>
      <c r="AD217" s="206"/>
      <c r="AL217" s="206"/>
      <c r="AM217" s="206"/>
      <c r="AN217" s="206"/>
      <c r="AO217" s="206"/>
      <c r="AP217" s="206"/>
      <c r="AQ217" s="206"/>
      <c r="AR217" s="206"/>
      <c r="AS217" s="206"/>
      <c r="AV217" s="206"/>
      <c r="AW217" s="206"/>
      <c r="AX217" s="206"/>
      <c r="AY217" s="206"/>
      <c r="AZ217" s="206"/>
      <c r="BD217" s="206"/>
      <c r="BF217" s="206"/>
    </row>
    <row r="218" spans="1:100" x14ac:dyDescent="0.2">
      <c r="A218" s="220">
        <v>1</v>
      </c>
      <c r="B218" s="220">
        <v>0</v>
      </c>
      <c r="C218" s="206" t="s">
        <v>765</v>
      </c>
      <c r="D218" s="206" t="s">
        <v>766</v>
      </c>
      <c r="E218" s="192">
        <v>54.41</v>
      </c>
      <c r="F218" s="206"/>
      <c r="G218" s="206"/>
      <c r="H218" s="206"/>
      <c r="I218" s="206"/>
      <c r="J218"/>
      <c r="K218"/>
      <c r="L218" s="206"/>
      <c r="M218" s="206"/>
      <c r="N218" s="206"/>
      <c r="O218" s="192">
        <v>9.68</v>
      </c>
      <c r="P218" s="192">
        <v>7.98</v>
      </c>
      <c r="Q218" s="206" t="s">
        <v>767</v>
      </c>
      <c r="R218" s="206" t="s">
        <v>768</v>
      </c>
      <c r="S218" s="206">
        <v>793099.67539999995</v>
      </c>
      <c r="T218" s="206">
        <v>2187512.5580000002</v>
      </c>
      <c r="U218" s="206">
        <v>793151.28650000005</v>
      </c>
      <c r="V218" s="206">
        <v>2187495.3339999998</v>
      </c>
      <c r="W218" s="206"/>
      <c r="X218" s="206"/>
      <c r="Y218" s="206"/>
      <c r="Z218" s="206"/>
      <c r="AA218" s="206"/>
      <c r="AB218" s="206" t="s">
        <v>766</v>
      </c>
      <c r="AC218" s="206" t="s">
        <v>767</v>
      </c>
      <c r="AD218" s="206"/>
      <c r="AL218" s="206"/>
      <c r="AM218" s="206"/>
      <c r="AN218" s="206"/>
      <c r="AO218" s="206"/>
      <c r="AP218" s="206"/>
      <c r="AQ218" s="206"/>
      <c r="AR218" s="206"/>
      <c r="AS218" s="206"/>
      <c r="AV218" s="206"/>
      <c r="AW218" s="206"/>
      <c r="AX218" s="206"/>
      <c r="AY218" s="206"/>
      <c r="AZ218" s="206"/>
      <c r="BD218" s="206"/>
      <c r="BF218" s="206"/>
    </row>
    <row r="219" spans="1:100" x14ac:dyDescent="0.2">
      <c r="A219" s="220">
        <v>0</v>
      </c>
      <c r="B219" s="220">
        <v>0</v>
      </c>
      <c r="C219" s="206" t="s">
        <v>765</v>
      </c>
      <c r="D219" s="206" t="s">
        <v>767</v>
      </c>
      <c r="E219" s="192">
        <v>46.03</v>
      </c>
      <c r="F219" s="206" t="s">
        <v>766</v>
      </c>
      <c r="G219" s="206"/>
      <c r="H219" s="206"/>
      <c r="I219" s="206"/>
      <c r="J219"/>
      <c r="K219"/>
      <c r="L219" s="206"/>
      <c r="M219" s="206"/>
      <c r="N219" s="206"/>
      <c r="O219" s="192">
        <v>7.98</v>
      </c>
      <c r="P219" s="192">
        <v>6.64</v>
      </c>
      <c r="Q219" s="206" t="s">
        <v>769</v>
      </c>
      <c r="R219" s="206" t="s">
        <v>770</v>
      </c>
      <c r="S219" s="206">
        <v>793151.28650000005</v>
      </c>
      <c r="T219" s="206">
        <v>2187495.3339999998</v>
      </c>
      <c r="U219" s="206">
        <v>793194.52650000004</v>
      </c>
      <c r="V219" s="206">
        <v>2187479.5559999999</v>
      </c>
      <c r="W219" s="206"/>
      <c r="X219" s="206"/>
      <c r="Y219" s="206"/>
      <c r="Z219" s="206"/>
      <c r="AA219" s="206"/>
      <c r="AB219" s="206" t="s">
        <v>767</v>
      </c>
      <c r="AC219" s="206" t="s">
        <v>769</v>
      </c>
      <c r="AD219" s="206"/>
      <c r="AL219" s="206"/>
      <c r="AM219" s="206"/>
      <c r="AN219" s="206"/>
      <c r="AO219" s="206"/>
      <c r="AP219" s="206"/>
      <c r="AQ219" s="206"/>
      <c r="AR219" s="206"/>
      <c r="AS219" s="206"/>
      <c r="AV219" s="206"/>
      <c r="AW219" s="206"/>
      <c r="AX219" s="206"/>
      <c r="AY219" s="206"/>
      <c r="AZ219" s="206"/>
      <c r="BD219" s="206"/>
      <c r="BF219" s="206"/>
    </row>
    <row r="220" spans="1:100" x14ac:dyDescent="0.2">
      <c r="A220" s="220">
        <v>0</v>
      </c>
      <c r="B220" s="220">
        <v>0</v>
      </c>
      <c r="C220" s="206" t="s">
        <v>765</v>
      </c>
      <c r="D220" s="206" t="s">
        <v>769</v>
      </c>
      <c r="E220" s="192">
        <v>48.11</v>
      </c>
      <c r="F220" s="206" t="s">
        <v>767</v>
      </c>
      <c r="G220" s="206"/>
      <c r="H220" s="206"/>
      <c r="I220" s="206"/>
      <c r="J220"/>
      <c r="K220"/>
      <c r="L220" s="206"/>
      <c r="M220" s="206"/>
      <c r="N220" s="206"/>
      <c r="O220" s="192">
        <v>6.64</v>
      </c>
      <c r="P220" s="192">
        <v>5.58</v>
      </c>
      <c r="Q220" s="206" t="s">
        <v>497</v>
      </c>
      <c r="R220" s="206" t="s">
        <v>771</v>
      </c>
      <c r="S220" s="206">
        <v>793194.52650000004</v>
      </c>
      <c r="T220" s="206">
        <v>2187479.5559999999</v>
      </c>
      <c r="U220" s="206">
        <v>793239.21200000006</v>
      </c>
      <c r="V220" s="206">
        <v>2187461.73</v>
      </c>
      <c r="W220" s="206"/>
      <c r="X220" s="206"/>
      <c r="Y220" s="206"/>
      <c r="Z220" s="206"/>
      <c r="AA220" s="206"/>
      <c r="AB220" s="206" t="s">
        <v>769</v>
      </c>
      <c r="AC220" s="206" t="s">
        <v>497</v>
      </c>
      <c r="AD220" s="206"/>
      <c r="AL220" s="206"/>
      <c r="AM220" s="206"/>
      <c r="AN220" s="206"/>
      <c r="AO220" s="206"/>
      <c r="AP220" s="206"/>
      <c r="AQ220" s="206"/>
      <c r="AR220" s="206"/>
      <c r="AS220" s="206"/>
      <c r="AV220" s="206"/>
      <c r="AW220" s="206"/>
      <c r="AX220" s="206"/>
      <c r="AY220" s="206"/>
      <c r="AZ220" s="206"/>
      <c r="BD220" s="206"/>
      <c r="BF220" s="206"/>
    </row>
    <row r="221" spans="1:100" x14ac:dyDescent="0.2">
      <c r="A221" s="220">
        <v>0</v>
      </c>
      <c r="B221" s="220">
        <v>1</v>
      </c>
      <c r="C221" s="206" t="s">
        <v>765</v>
      </c>
      <c r="D221" s="206" t="s">
        <v>497</v>
      </c>
      <c r="E221" s="192">
        <v>46.05</v>
      </c>
      <c r="F221" s="206" t="s">
        <v>769</v>
      </c>
      <c r="G221" s="206"/>
      <c r="H221" s="206"/>
      <c r="I221" s="206"/>
      <c r="J221"/>
      <c r="K221"/>
      <c r="L221" s="206"/>
      <c r="M221" s="206"/>
      <c r="N221" s="206"/>
      <c r="O221" s="192">
        <v>5.58</v>
      </c>
      <c r="P221" s="192">
        <v>5.04</v>
      </c>
      <c r="Q221" s="206" t="s">
        <v>495</v>
      </c>
      <c r="R221" s="206" t="s">
        <v>772</v>
      </c>
      <c r="S221" s="206">
        <v>793239.21200000006</v>
      </c>
      <c r="T221" s="206">
        <v>2187461.73</v>
      </c>
      <c r="U221" s="206">
        <v>793282.75309999997</v>
      </c>
      <c r="V221" s="206">
        <v>2187446.7340000002</v>
      </c>
      <c r="W221" s="206"/>
      <c r="X221" s="206"/>
      <c r="Y221" s="206"/>
      <c r="Z221" s="206"/>
      <c r="AA221" s="206"/>
      <c r="AB221" s="206" t="s">
        <v>497</v>
      </c>
      <c r="AC221" s="206" t="s">
        <v>495</v>
      </c>
      <c r="AD221" s="206"/>
      <c r="AL221" s="206"/>
      <c r="AM221" s="206"/>
      <c r="AN221" s="206"/>
      <c r="AO221" s="206"/>
      <c r="AP221" s="206"/>
      <c r="AQ221" s="206"/>
      <c r="AR221" s="206"/>
      <c r="AS221" s="206"/>
      <c r="AV221" s="206"/>
      <c r="AW221" s="206"/>
      <c r="AX221" s="206"/>
      <c r="AY221" s="206"/>
      <c r="AZ221" s="206"/>
      <c r="BD221" s="206"/>
      <c r="BF221" s="206"/>
    </row>
    <row r="222" spans="1:100" x14ac:dyDescent="0.2">
      <c r="A222" s="220">
        <v>1</v>
      </c>
      <c r="B222" s="220">
        <v>1</v>
      </c>
      <c r="C222" s="206" t="s">
        <v>773</v>
      </c>
      <c r="D222" s="206" t="s">
        <v>761</v>
      </c>
      <c r="E222" s="192">
        <v>49.53</v>
      </c>
      <c r="F222" s="206"/>
      <c r="G222" s="206"/>
      <c r="H222" s="206"/>
      <c r="I222" s="206"/>
      <c r="J222"/>
      <c r="K222"/>
      <c r="L222" s="206"/>
      <c r="M222" s="206"/>
      <c r="N222" s="206"/>
      <c r="O222" s="192">
        <v>10.72</v>
      </c>
      <c r="P222" s="192">
        <v>10.23</v>
      </c>
      <c r="Q222" s="206" t="s">
        <v>759</v>
      </c>
      <c r="R222" s="206" t="s">
        <v>774</v>
      </c>
      <c r="S222" s="206">
        <v>792944.78200000001</v>
      </c>
      <c r="T222" s="206">
        <v>2187363.2349999999</v>
      </c>
      <c r="U222" s="206">
        <v>792928.73259999999</v>
      </c>
      <c r="V222" s="206">
        <v>2187316.3820000002</v>
      </c>
      <c r="W222" s="206"/>
      <c r="X222" s="206"/>
      <c r="Y222" s="206"/>
      <c r="Z222" s="206"/>
      <c r="AA222" s="206"/>
      <c r="AB222" s="206" t="s">
        <v>761</v>
      </c>
      <c r="AC222" s="206" t="s">
        <v>759</v>
      </c>
      <c r="AD222" s="206"/>
      <c r="AL222" s="206"/>
      <c r="AM222" s="206"/>
      <c r="AN222" s="206"/>
      <c r="AO222" s="206"/>
      <c r="AP222" s="206"/>
      <c r="AQ222" s="206"/>
      <c r="AR222" s="206"/>
      <c r="AS222" s="206"/>
      <c r="AV222" s="206"/>
      <c r="AW222" s="206"/>
      <c r="AX222" s="206"/>
      <c r="AY222" s="206"/>
      <c r="AZ222" s="206"/>
      <c r="BD222" s="206"/>
      <c r="BF222" s="206"/>
    </row>
    <row r="223" spans="1:100" x14ac:dyDescent="0.2">
      <c r="A223" s="220">
        <v>1</v>
      </c>
      <c r="B223" s="220">
        <v>1</v>
      </c>
      <c r="C223" s="206" t="s">
        <v>775</v>
      </c>
      <c r="D223" s="206" t="s">
        <v>763</v>
      </c>
      <c r="E223" s="192">
        <v>50.07</v>
      </c>
      <c r="F223" s="206"/>
      <c r="G223" s="206"/>
      <c r="H223" s="206"/>
      <c r="I223" s="206"/>
      <c r="J223"/>
      <c r="K223"/>
      <c r="L223" s="206"/>
      <c r="M223" s="206"/>
      <c r="N223" s="206"/>
      <c r="O223" s="192">
        <v>7.64</v>
      </c>
      <c r="P223" s="192">
        <v>6.7</v>
      </c>
      <c r="Q223" s="206" t="s">
        <v>718</v>
      </c>
      <c r="R223" s="206" t="s">
        <v>776</v>
      </c>
      <c r="S223" s="206">
        <v>792988.89529999997</v>
      </c>
      <c r="T223" s="206">
        <v>2187348.1490000002</v>
      </c>
      <c r="U223" s="206">
        <v>792973.5686</v>
      </c>
      <c r="V223" s="206">
        <v>2187300.483</v>
      </c>
      <c r="W223" s="206"/>
      <c r="X223" s="206"/>
      <c r="Y223" s="206"/>
      <c r="Z223" s="206"/>
      <c r="AA223" s="206"/>
      <c r="AB223" s="206" t="s">
        <v>763</v>
      </c>
      <c r="AC223" s="206" t="s">
        <v>718</v>
      </c>
      <c r="AD223" s="206"/>
      <c r="AL223" s="206"/>
      <c r="AM223" s="206"/>
      <c r="AN223" s="206"/>
      <c r="AO223" s="206"/>
      <c r="AP223" s="206"/>
      <c r="AQ223" s="206"/>
      <c r="AR223" s="206"/>
      <c r="AS223" s="206"/>
      <c r="AV223" s="206"/>
      <c r="AW223" s="206"/>
      <c r="AX223" s="206"/>
      <c r="AY223" s="206"/>
      <c r="AZ223" s="206"/>
      <c r="BD223" s="206"/>
      <c r="BF223" s="206"/>
    </row>
    <row r="224" spans="1:100" x14ac:dyDescent="0.2">
      <c r="A224" s="220">
        <v>1</v>
      </c>
      <c r="B224" s="220">
        <v>0</v>
      </c>
      <c r="C224" s="206" t="s">
        <v>777</v>
      </c>
      <c r="D224" s="206" t="s">
        <v>778</v>
      </c>
      <c r="E224" s="192">
        <v>47.44</v>
      </c>
      <c r="F224" s="206"/>
      <c r="G224" s="206"/>
      <c r="H224" s="206"/>
      <c r="I224" s="206"/>
      <c r="J224"/>
      <c r="K224"/>
      <c r="L224" s="206"/>
      <c r="M224" s="206"/>
      <c r="N224" s="206"/>
      <c r="O224" s="192">
        <v>10.25</v>
      </c>
      <c r="P224" s="192">
        <v>5.86</v>
      </c>
      <c r="Q224" s="206" t="s">
        <v>723</v>
      </c>
      <c r="R224" s="206" t="s">
        <v>779</v>
      </c>
      <c r="S224" s="206">
        <v>792916.14599999995</v>
      </c>
      <c r="T224" s="206">
        <v>2187273.7439999999</v>
      </c>
      <c r="U224" s="206">
        <v>792960.95189999999</v>
      </c>
      <c r="V224" s="206">
        <v>2187258.1460000002</v>
      </c>
      <c r="W224" s="206"/>
      <c r="X224" s="206"/>
      <c r="Y224" s="206"/>
      <c r="Z224" s="206"/>
      <c r="AA224" s="206"/>
      <c r="AB224" s="206" t="s">
        <v>778</v>
      </c>
      <c r="AC224" s="206" t="s">
        <v>723</v>
      </c>
      <c r="AD224" s="206"/>
      <c r="AL224" s="206"/>
      <c r="AM224" s="206"/>
      <c r="AN224" s="206"/>
      <c r="AO224" s="206"/>
      <c r="AP224" s="206"/>
      <c r="AQ224" s="206"/>
      <c r="AR224" s="206"/>
      <c r="AS224" s="206"/>
      <c r="AV224" s="206"/>
      <c r="AW224" s="206"/>
      <c r="AX224" s="206"/>
      <c r="AY224" s="206"/>
      <c r="AZ224" s="206"/>
      <c r="BD224" s="206"/>
      <c r="BF224" s="206"/>
    </row>
    <row r="225" spans="1:100" x14ac:dyDescent="0.2">
      <c r="A225" s="220">
        <v>0</v>
      </c>
      <c r="B225" s="220">
        <v>1</v>
      </c>
      <c r="C225" s="206" t="s">
        <v>777</v>
      </c>
      <c r="D225" s="206" t="s">
        <v>723</v>
      </c>
      <c r="E225" s="192">
        <v>46.09</v>
      </c>
      <c r="F225" s="206" t="s">
        <v>778</v>
      </c>
      <c r="G225" s="206"/>
      <c r="H225" s="206"/>
      <c r="I225" s="206"/>
      <c r="J225"/>
      <c r="K225"/>
      <c r="L225" s="206"/>
      <c r="M225" s="206"/>
      <c r="N225" s="206"/>
      <c r="O225" s="192">
        <v>5.86</v>
      </c>
      <c r="P225" s="192">
        <v>4.28</v>
      </c>
      <c r="Q225" s="206" t="s">
        <v>721</v>
      </c>
      <c r="R225" s="206" t="s">
        <v>780</v>
      </c>
      <c r="S225" s="206">
        <v>792960.95189999999</v>
      </c>
      <c r="T225" s="206">
        <v>2187258.1460000002</v>
      </c>
      <c r="U225" s="206">
        <v>793004.35010000004</v>
      </c>
      <c r="V225" s="206">
        <v>2187242.622</v>
      </c>
      <c r="W225" s="206"/>
      <c r="X225" s="206"/>
      <c r="Y225" s="206"/>
      <c r="Z225" s="206"/>
      <c r="AA225" s="206"/>
      <c r="AB225" s="206" t="s">
        <v>723</v>
      </c>
      <c r="AC225" s="206" t="s">
        <v>721</v>
      </c>
      <c r="AD225" s="206"/>
      <c r="AL225" s="206"/>
      <c r="AM225" s="206"/>
      <c r="AN225" s="206"/>
      <c r="AO225" s="206"/>
      <c r="AP225" s="206"/>
      <c r="AQ225" s="206"/>
      <c r="AR225" s="206"/>
      <c r="AS225" s="206"/>
      <c r="AV225" s="206"/>
      <c r="AW225" s="206"/>
      <c r="AX225" s="206"/>
      <c r="AY225" s="206"/>
      <c r="AZ225" s="206"/>
      <c r="BD225" s="206"/>
      <c r="BF225" s="206"/>
    </row>
    <row r="226" spans="1:100" x14ac:dyDescent="0.2">
      <c r="A226" s="220">
        <v>1</v>
      </c>
      <c r="B226" s="220">
        <v>0</v>
      </c>
      <c r="C226" s="206" t="s">
        <v>781</v>
      </c>
      <c r="D226" s="206" t="s">
        <v>782</v>
      </c>
      <c r="E226" s="192">
        <v>16.89</v>
      </c>
      <c r="F226" s="206"/>
      <c r="G226" s="206"/>
      <c r="H226" s="206"/>
      <c r="I226" s="206"/>
      <c r="J226"/>
      <c r="K226"/>
      <c r="L226" s="206"/>
      <c r="M226" s="206"/>
      <c r="N226" s="206"/>
      <c r="O226" s="192">
        <v>2.91</v>
      </c>
      <c r="P226" s="192">
        <v>2.87</v>
      </c>
      <c r="Q226" s="206" t="s">
        <v>783</v>
      </c>
      <c r="R226" s="206" t="s">
        <v>784</v>
      </c>
      <c r="S226" s="206">
        <v>793042.554</v>
      </c>
      <c r="T226" s="206">
        <v>2187178.5469999998</v>
      </c>
      <c r="U226" s="206">
        <v>793036.53170000005</v>
      </c>
      <c r="V226" s="206">
        <v>2187162.7680000002</v>
      </c>
      <c r="W226" s="206"/>
      <c r="X226" s="206"/>
      <c r="Y226" s="206"/>
      <c r="Z226" s="206"/>
      <c r="AA226" s="206"/>
      <c r="AB226" s="206" t="s">
        <v>782</v>
      </c>
      <c r="AC226" s="206" t="s">
        <v>783</v>
      </c>
      <c r="AD226" s="206"/>
      <c r="AL226" s="206"/>
      <c r="AM226" s="206"/>
      <c r="AN226" s="206"/>
      <c r="AO226" s="206"/>
      <c r="AP226" s="206"/>
      <c r="AQ226" s="206"/>
      <c r="AR226" s="206"/>
      <c r="AS226" s="206"/>
      <c r="AV226" s="206"/>
      <c r="AW226" s="206"/>
      <c r="AX226" s="206"/>
      <c r="AY226" s="206"/>
      <c r="AZ226" s="206"/>
      <c r="BD226" s="206"/>
      <c r="BF226" s="206"/>
    </row>
    <row r="227" spans="1:100" x14ac:dyDescent="0.2">
      <c r="A227" s="220">
        <v>0</v>
      </c>
      <c r="B227" s="220">
        <v>0</v>
      </c>
      <c r="C227" s="206" t="s">
        <v>781</v>
      </c>
      <c r="D227" s="206" t="s">
        <v>783</v>
      </c>
      <c r="E227" s="192">
        <v>33.44</v>
      </c>
      <c r="F227" s="206" t="s">
        <v>782</v>
      </c>
      <c r="G227" s="206"/>
      <c r="H227" s="206"/>
      <c r="I227" s="206"/>
      <c r="J227"/>
      <c r="K227"/>
      <c r="L227" s="206"/>
      <c r="M227" s="206"/>
      <c r="N227" s="206"/>
      <c r="O227" s="192">
        <v>2.87</v>
      </c>
      <c r="P227" s="192">
        <v>2.52</v>
      </c>
      <c r="Q227" s="206" t="s">
        <v>785</v>
      </c>
      <c r="R227" s="206" t="s">
        <v>786</v>
      </c>
      <c r="S227" s="206">
        <v>793036.53170000005</v>
      </c>
      <c r="T227" s="206">
        <v>2187162.7680000002</v>
      </c>
      <c r="U227" s="206">
        <v>793024.18599999999</v>
      </c>
      <c r="V227" s="206">
        <v>2187131.693</v>
      </c>
      <c r="W227" s="206"/>
      <c r="X227" s="206"/>
      <c r="Y227" s="206"/>
      <c r="Z227" s="206"/>
      <c r="AA227" s="206"/>
      <c r="AB227" s="206" t="s">
        <v>783</v>
      </c>
      <c r="AC227" s="206" t="s">
        <v>785</v>
      </c>
      <c r="AD227" s="206"/>
      <c r="AL227" s="206"/>
      <c r="AM227" s="206"/>
      <c r="AN227" s="206"/>
      <c r="AO227" s="206"/>
      <c r="AP227" s="206"/>
      <c r="AQ227" s="206"/>
      <c r="AR227" s="206"/>
      <c r="AS227" s="206"/>
      <c r="AV227" s="206"/>
      <c r="AW227" s="206"/>
      <c r="AX227" s="206"/>
      <c r="AY227" s="206"/>
      <c r="AZ227" s="206"/>
      <c r="BD227" s="206"/>
      <c r="BF227" s="206"/>
    </row>
    <row r="228" spans="1:100" x14ac:dyDescent="0.2">
      <c r="A228" s="220">
        <v>0</v>
      </c>
      <c r="B228" s="220">
        <v>0</v>
      </c>
      <c r="C228" s="206" t="s">
        <v>781</v>
      </c>
      <c r="D228" s="206" t="s">
        <v>785</v>
      </c>
      <c r="E228" s="192">
        <v>49.32</v>
      </c>
      <c r="F228" s="206" t="s">
        <v>783</v>
      </c>
      <c r="G228" s="206"/>
      <c r="H228" s="206"/>
      <c r="I228" s="206"/>
      <c r="J228"/>
      <c r="K228"/>
      <c r="L228" s="206"/>
      <c r="M228" s="206"/>
      <c r="N228" s="206"/>
      <c r="O228" s="192">
        <v>2.52</v>
      </c>
      <c r="P228" s="192">
        <v>2.31</v>
      </c>
      <c r="Q228" s="206" t="s">
        <v>787</v>
      </c>
      <c r="R228" s="206" t="s">
        <v>788</v>
      </c>
      <c r="S228" s="206">
        <v>793024.18599999999</v>
      </c>
      <c r="T228" s="206">
        <v>2187131.693</v>
      </c>
      <c r="U228" s="206">
        <v>793009.91310000001</v>
      </c>
      <c r="V228" s="206">
        <v>2187084.4780000001</v>
      </c>
      <c r="W228" s="206"/>
      <c r="X228" s="206"/>
      <c r="Y228" s="206"/>
      <c r="Z228" s="206"/>
      <c r="AA228" s="206"/>
      <c r="AB228" s="206" t="s">
        <v>785</v>
      </c>
      <c r="AC228" s="206" t="s">
        <v>787</v>
      </c>
      <c r="AD228" s="206"/>
      <c r="AL228" s="206"/>
      <c r="AM228" s="206"/>
      <c r="AN228" s="206"/>
      <c r="AO228" s="206"/>
      <c r="AP228" s="206"/>
      <c r="AQ228" s="206"/>
      <c r="AR228" s="206"/>
      <c r="AS228" s="206"/>
      <c r="AV228" s="206"/>
      <c r="AW228" s="206"/>
      <c r="AX228" s="206"/>
      <c r="AY228" s="206"/>
      <c r="AZ228" s="206"/>
      <c r="BD228" s="206"/>
      <c r="BF228" s="206"/>
    </row>
    <row r="229" spans="1:100" x14ac:dyDescent="0.2">
      <c r="A229" s="220">
        <v>0</v>
      </c>
      <c r="B229" s="220">
        <v>0</v>
      </c>
      <c r="C229" s="206" t="s">
        <v>781</v>
      </c>
      <c r="D229" s="206" t="s">
        <v>787</v>
      </c>
      <c r="E229" s="192">
        <v>43.36</v>
      </c>
      <c r="F229" s="206" t="s">
        <v>785</v>
      </c>
      <c r="G229" s="206" t="s">
        <v>789</v>
      </c>
      <c r="H229" s="206"/>
      <c r="I229" s="206"/>
      <c r="J229" s="206"/>
      <c r="K229" s="206"/>
      <c r="L229" s="206"/>
      <c r="M229" s="206"/>
      <c r="N229" s="206"/>
      <c r="O229" s="192">
        <v>2.31</v>
      </c>
      <c r="P229" s="192">
        <v>2.04</v>
      </c>
      <c r="Q229" s="206" t="s">
        <v>790</v>
      </c>
      <c r="R229" s="206" t="s">
        <v>791</v>
      </c>
      <c r="S229" s="206">
        <v>793009.91310000001</v>
      </c>
      <c r="T229" s="206">
        <v>2187084.4780000001</v>
      </c>
      <c r="U229" s="206">
        <v>793050.62379999994</v>
      </c>
      <c r="V229" s="206">
        <v>2187069.5430000001</v>
      </c>
      <c r="W229" s="206"/>
      <c r="X229" s="206"/>
      <c r="Y229" s="206"/>
      <c r="Z229" s="206"/>
      <c r="AA229" s="206"/>
      <c r="AB229" s="206" t="s">
        <v>787</v>
      </c>
      <c r="AC229" s="206" t="s">
        <v>790</v>
      </c>
      <c r="AD229" s="206"/>
      <c r="AL229" s="206"/>
      <c r="AM229" s="206"/>
      <c r="AN229" s="206"/>
      <c r="AO229" s="206"/>
      <c r="AP229" s="206"/>
      <c r="AQ229" s="206"/>
      <c r="AR229" s="206"/>
      <c r="AS229" s="206"/>
      <c r="AV229" s="206"/>
      <c r="AW229" s="206"/>
      <c r="AX229" s="206"/>
      <c r="AY229" s="206"/>
      <c r="AZ229" s="206"/>
      <c r="BA229" s="206"/>
      <c r="BB229" s="206"/>
      <c r="BD229" s="206"/>
      <c r="BF229" s="206"/>
      <c r="BG229" s="201"/>
      <c r="BJ229" s="201"/>
      <c r="BK229" s="201"/>
      <c r="BL229" s="201"/>
      <c r="BM229" s="201"/>
      <c r="BN229" s="201"/>
      <c r="BO229" s="201"/>
      <c r="BP229" s="201"/>
      <c r="BQ229" s="201"/>
      <c r="BR229" s="201"/>
      <c r="BS229" s="201"/>
      <c r="BT229" s="201"/>
      <c r="BU229" s="201"/>
      <c r="BV229" s="201"/>
      <c r="BW229" s="201"/>
      <c r="BX229" s="201"/>
      <c r="BY229" s="201"/>
      <c r="BZ229" s="201"/>
      <c r="CA229" s="201"/>
      <c r="CB229" s="201"/>
      <c r="CC229" s="201"/>
      <c r="CD229" s="201"/>
      <c r="CE229" s="201"/>
      <c r="CF229" s="201"/>
      <c r="CG229" s="201"/>
      <c r="CH229" s="201"/>
      <c r="CI229" s="201"/>
      <c r="CK229" s="201"/>
      <c r="CL229" s="201"/>
      <c r="CM229" s="201"/>
      <c r="CN229" s="201"/>
      <c r="CO229" s="201"/>
      <c r="CP229" s="201"/>
      <c r="CQ229" s="201"/>
      <c r="CR229" s="201"/>
      <c r="CS229" s="201"/>
      <c r="CT229" s="201"/>
      <c r="CU229" s="201"/>
      <c r="CV229" s="201"/>
    </row>
    <row r="230" spans="1:100" x14ac:dyDescent="0.2">
      <c r="A230" s="220">
        <v>0</v>
      </c>
      <c r="B230" s="220">
        <v>0</v>
      </c>
      <c r="C230" s="206" t="s">
        <v>781</v>
      </c>
      <c r="D230" s="206" t="s">
        <v>790</v>
      </c>
      <c r="E230" s="192">
        <v>50.62</v>
      </c>
      <c r="F230" s="206" t="s">
        <v>787</v>
      </c>
      <c r="G230" s="206"/>
      <c r="H230" s="206"/>
      <c r="I230" s="206"/>
      <c r="J230"/>
      <c r="K230"/>
      <c r="L230" s="206"/>
      <c r="M230" s="206"/>
      <c r="N230" s="206"/>
      <c r="O230" s="192">
        <v>2.04</v>
      </c>
      <c r="P230" s="192">
        <v>1.72</v>
      </c>
      <c r="Q230" s="206" t="s">
        <v>792</v>
      </c>
      <c r="R230" s="206" t="s">
        <v>793</v>
      </c>
      <c r="S230" s="206">
        <v>793050.62379999994</v>
      </c>
      <c r="T230" s="206">
        <v>2187069.5430000001</v>
      </c>
      <c r="U230" s="206">
        <v>793097.95909999998</v>
      </c>
      <c r="V230" s="206">
        <v>2187051.5970000001</v>
      </c>
      <c r="W230" s="206"/>
      <c r="X230" s="206"/>
      <c r="Y230" s="206"/>
      <c r="Z230" s="206"/>
      <c r="AA230" s="206"/>
      <c r="AB230" s="206" t="s">
        <v>790</v>
      </c>
      <c r="AC230" s="206" t="s">
        <v>792</v>
      </c>
      <c r="AD230" s="206"/>
      <c r="AL230" s="206"/>
      <c r="AM230" s="206"/>
      <c r="AN230" s="206"/>
      <c r="AO230" s="206"/>
      <c r="AP230" s="206"/>
      <c r="AQ230" s="206"/>
      <c r="AR230" s="206"/>
      <c r="AS230" s="206"/>
      <c r="AV230" s="206"/>
      <c r="AW230" s="206"/>
      <c r="AX230" s="206"/>
      <c r="AY230" s="206"/>
      <c r="AZ230" s="206"/>
      <c r="BD230" s="206"/>
      <c r="BF230" s="206"/>
    </row>
    <row r="231" spans="1:100" x14ac:dyDescent="0.2">
      <c r="A231" s="220">
        <v>0</v>
      </c>
      <c r="B231" s="220">
        <v>0</v>
      </c>
      <c r="C231" s="206" t="s">
        <v>781</v>
      </c>
      <c r="D231" s="206" t="s">
        <v>792</v>
      </c>
      <c r="E231" s="192">
        <v>44.45</v>
      </c>
      <c r="F231" s="206" t="s">
        <v>790</v>
      </c>
      <c r="G231" s="206"/>
      <c r="H231" s="206"/>
      <c r="I231" s="206"/>
      <c r="J231"/>
      <c r="K231"/>
      <c r="L231" s="206"/>
      <c r="M231" s="206"/>
      <c r="N231" s="206"/>
      <c r="O231" s="192">
        <v>1.72</v>
      </c>
      <c r="P231" s="192">
        <v>1</v>
      </c>
      <c r="Q231" s="206" t="s">
        <v>794</v>
      </c>
      <c r="R231" s="206" t="s">
        <v>795</v>
      </c>
      <c r="S231" s="206">
        <v>793097.95909999998</v>
      </c>
      <c r="T231" s="206">
        <v>2187051.5970000001</v>
      </c>
      <c r="U231" s="206">
        <v>793140.23560000001</v>
      </c>
      <c r="V231" s="206">
        <v>2187037.8659999999</v>
      </c>
      <c r="W231" s="206"/>
      <c r="X231" s="206"/>
      <c r="Y231" s="206"/>
      <c r="Z231" s="206"/>
      <c r="AA231" s="206"/>
      <c r="AB231" s="206" t="s">
        <v>792</v>
      </c>
      <c r="AC231" s="206" t="s">
        <v>794</v>
      </c>
      <c r="AD231" s="206"/>
      <c r="AL231" s="206"/>
      <c r="AM231" s="206"/>
      <c r="AN231" s="206"/>
      <c r="AO231" s="206"/>
      <c r="AP231" s="206"/>
      <c r="AQ231" s="206"/>
      <c r="AR231" s="206"/>
      <c r="AS231" s="206"/>
      <c r="AV231" s="206"/>
      <c r="AW231" s="206"/>
      <c r="AX231" s="206"/>
      <c r="AY231" s="206"/>
      <c r="AZ231" s="206"/>
      <c r="BD231" s="206"/>
      <c r="BF231" s="206"/>
    </row>
    <row r="232" spans="1:100" x14ac:dyDescent="0.2">
      <c r="A232" s="220">
        <v>0</v>
      </c>
      <c r="B232" s="220">
        <v>0</v>
      </c>
      <c r="C232" s="206" t="s">
        <v>781</v>
      </c>
      <c r="D232" s="206" t="s">
        <v>794</v>
      </c>
      <c r="E232" s="192">
        <v>76.069999999999993</v>
      </c>
      <c r="F232" s="206" t="s">
        <v>792</v>
      </c>
      <c r="G232" s="206" t="s">
        <v>796</v>
      </c>
      <c r="H232" s="206"/>
      <c r="I232" s="206"/>
      <c r="J232"/>
      <c r="K232"/>
      <c r="L232" s="206"/>
      <c r="M232" s="206"/>
      <c r="N232" s="206"/>
      <c r="O232" s="192">
        <v>1</v>
      </c>
      <c r="P232" s="192">
        <v>1.28</v>
      </c>
      <c r="Q232" s="206" t="s">
        <v>797</v>
      </c>
      <c r="R232" s="206" t="s">
        <v>798</v>
      </c>
      <c r="S232" s="206">
        <v>793140.23560000001</v>
      </c>
      <c r="T232" s="206">
        <v>2187037.8659999999</v>
      </c>
      <c r="U232" s="206">
        <v>793212.14170000004</v>
      </c>
      <c r="V232" s="206">
        <v>2187013.054</v>
      </c>
      <c r="W232" s="206"/>
      <c r="X232" s="206"/>
      <c r="Y232" s="206"/>
      <c r="Z232" s="206"/>
      <c r="AA232" s="206"/>
      <c r="AB232" s="206" t="s">
        <v>794</v>
      </c>
      <c r="AC232" s="206" t="s">
        <v>797</v>
      </c>
      <c r="AD232" s="206"/>
      <c r="AL232" s="206"/>
      <c r="AM232" s="206"/>
      <c r="AN232" s="206"/>
      <c r="AO232" s="206"/>
      <c r="AP232" s="206"/>
      <c r="AQ232" s="206"/>
      <c r="AR232" s="206"/>
      <c r="AS232" s="206"/>
      <c r="AV232" s="206"/>
      <c r="AW232" s="206"/>
      <c r="AX232" s="206"/>
      <c r="AY232" s="206"/>
      <c r="AZ232" s="206"/>
      <c r="BD232" s="206"/>
      <c r="BF232" s="206"/>
    </row>
    <row r="233" spans="1:100" x14ac:dyDescent="0.2">
      <c r="A233" s="220">
        <v>0</v>
      </c>
      <c r="B233" s="220">
        <v>0</v>
      </c>
      <c r="C233" s="206" t="s">
        <v>781</v>
      </c>
      <c r="D233" s="206" t="s">
        <v>797</v>
      </c>
      <c r="E233" s="192">
        <v>47.5</v>
      </c>
      <c r="F233" s="206" t="s">
        <v>794</v>
      </c>
      <c r="G233" s="206"/>
      <c r="H233" s="206"/>
      <c r="I233" s="206"/>
      <c r="J233"/>
      <c r="K233"/>
      <c r="L233" s="206"/>
      <c r="M233" s="206"/>
      <c r="N233" s="206"/>
      <c r="O233" s="192">
        <v>1.28</v>
      </c>
      <c r="P233" s="192">
        <v>1.43</v>
      </c>
      <c r="Q233" s="206" t="s">
        <v>799</v>
      </c>
      <c r="R233" s="206" t="s">
        <v>800</v>
      </c>
      <c r="S233" s="206">
        <v>793212.14170000004</v>
      </c>
      <c r="T233" s="206">
        <v>2187013.054</v>
      </c>
      <c r="U233" s="206">
        <v>793257.18850000005</v>
      </c>
      <c r="V233" s="206">
        <v>2186997.9980000001</v>
      </c>
      <c r="W233" s="206"/>
      <c r="X233" s="206"/>
      <c r="Y233" s="206"/>
      <c r="Z233" s="206"/>
      <c r="AA233" s="206"/>
      <c r="AB233" s="206" t="s">
        <v>797</v>
      </c>
      <c r="AC233" s="206" t="s">
        <v>799</v>
      </c>
      <c r="AD233" s="206"/>
      <c r="AL233" s="206"/>
      <c r="AM233" s="206"/>
      <c r="AN233" s="206"/>
      <c r="AO233" s="206"/>
      <c r="AP233" s="206"/>
      <c r="AQ233" s="206"/>
      <c r="AR233" s="206"/>
      <c r="AS233" s="206"/>
      <c r="AV233" s="206"/>
      <c r="AW233" s="206"/>
      <c r="AX233" s="206"/>
      <c r="AY233" s="206"/>
      <c r="AZ233" s="206"/>
      <c r="BD233" s="206"/>
      <c r="BF233" s="206"/>
    </row>
    <row r="234" spans="1:100" x14ac:dyDescent="0.2">
      <c r="A234" s="220">
        <v>0</v>
      </c>
      <c r="B234" s="220">
        <v>0</v>
      </c>
      <c r="C234" s="206" t="s">
        <v>781</v>
      </c>
      <c r="D234" s="206" t="s">
        <v>799</v>
      </c>
      <c r="E234" s="192">
        <v>42.94</v>
      </c>
      <c r="F234" s="206" t="s">
        <v>797</v>
      </c>
      <c r="G234" s="206"/>
      <c r="H234" s="206"/>
      <c r="I234" s="206"/>
      <c r="J234"/>
      <c r="K234"/>
      <c r="L234" s="206"/>
      <c r="M234" s="206"/>
      <c r="N234" s="206"/>
      <c r="O234" s="192">
        <v>1.43</v>
      </c>
      <c r="P234" s="192">
        <v>1.19</v>
      </c>
      <c r="Q234" s="206" t="s">
        <v>801</v>
      </c>
      <c r="R234" s="206" t="s">
        <v>802</v>
      </c>
      <c r="S234" s="206">
        <v>793257.18850000005</v>
      </c>
      <c r="T234" s="206">
        <v>2186997.9980000001</v>
      </c>
      <c r="U234" s="206">
        <v>793244.3885</v>
      </c>
      <c r="V234" s="206">
        <v>2186957.0150000001</v>
      </c>
      <c r="W234" s="206"/>
      <c r="X234" s="206"/>
      <c r="Y234" s="206"/>
      <c r="Z234" s="206"/>
      <c r="AA234" s="206"/>
      <c r="AB234" s="206" t="s">
        <v>799</v>
      </c>
      <c r="AC234" s="206" t="s">
        <v>801</v>
      </c>
      <c r="AD234" s="206"/>
      <c r="AL234" s="206"/>
      <c r="AM234" s="206"/>
      <c r="AN234" s="206"/>
      <c r="AO234" s="206"/>
      <c r="AP234" s="206"/>
      <c r="AQ234" s="206"/>
      <c r="AR234" s="206"/>
      <c r="AS234" s="206"/>
      <c r="AV234" s="206"/>
      <c r="AW234" s="206"/>
      <c r="AX234" s="206"/>
      <c r="AY234" s="206"/>
      <c r="AZ234" s="206"/>
      <c r="BD234" s="206"/>
      <c r="BF234" s="206"/>
    </row>
    <row r="235" spans="1:100" x14ac:dyDescent="0.2">
      <c r="A235" s="220">
        <v>0</v>
      </c>
      <c r="B235" s="220">
        <v>0</v>
      </c>
      <c r="C235" s="206" t="s">
        <v>781</v>
      </c>
      <c r="D235" s="206" t="s">
        <v>801</v>
      </c>
      <c r="E235" s="192">
        <v>31.78</v>
      </c>
      <c r="F235" s="206" t="s">
        <v>799</v>
      </c>
      <c r="G235" s="206"/>
      <c r="H235" s="206"/>
      <c r="I235" s="206"/>
      <c r="J235"/>
      <c r="K235"/>
      <c r="L235" s="206"/>
      <c r="M235" s="206"/>
      <c r="N235" s="206"/>
      <c r="O235" s="192">
        <v>1.19</v>
      </c>
      <c r="P235" s="192">
        <v>1.1599999999999999</v>
      </c>
      <c r="Q235" s="206" t="s">
        <v>803</v>
      </c>
      <c r="R235" s="206" t="s">
        <v>804</v>
      </c>
      <c r="S235" s="206">
        <v>793244.3885</v>
      </c>
      <c r="T235" s="206">
        <v>2186957.0150000001</v>
      </c>
      <c r="U235" s="206">
        <v>793274.29180000001</v>
      </c>
      <c r="V235" s="206">
        <v>2186946.267</v>
      </c>
      <c r="W235" s="206"/>
      <c r="X235" s="206"/>
      <c r="Y235" s="206"/>
      <c r="Z235" s="206"/>
      <c r="AA235" s="206"/>
      <c r="AB235" s="206" t="s">
        <v>801</v>
      </c>
      <c r="AC235" s="206" t="s">
        <v>803</v>
      </c>
      <c r="AD235" s="206"/>
      <c r="AL235" s="206"/>
      <c r="AM235" s="206"/>
      <c r="AN235" s="206"/>
      <c r="AO235" s="206"/>
      <c r="AP235" s="206"/>
      <c r="AQ235" s="206"/>
      <c r="AR235" s="206"/>
      <c r="AS235" s="206"/>
      <c r="AV235" s="206"/>
      <c r="AW235" s="206"/>
      <c r="AX235" s="206"/>
      <c r="AY235" s="206"/>
      <c r="AZ235" s="206"/>
      <c r="BD235" s="206"/>
      <c r="BF235" s="206"/>
    </row>
    <row r="236" spans="1:100" x14ac:dyDescent="0.2">
      <c r="A236" s="220">
        <v>0</v>
      </c>
      <c r="B236" s="220">
        <v>0</v>
      </c>
      <c r="C236" s="206" t="s">
        <v>781</v>
      </c>
      <c r="D236" s="206" t="s">
        <v>803</v>
      </c>
      <c r="E236" s="192">
        <v>84.05</v>
      </c>
      <c r="F236" s="206" t="s">
        <v>801</v>
      </c>
      <c r="G236" s="206" t="s">
        <v>805</v>
      </c>
      <c r="H236" s="206"/>
      <c r="I236" s="206"/>
      <c r="J236"/>
      <c r="K236"/>
      <c r="L236" s="206"/>
      <c r="M236" s="206"/>
      <c r="N236" s="206"/>
      <c r="O236" s="192">
        <v>1.1599999999999999</v>
      </c>
      <c r="P236" s="192">
        <v>1.02</v>
      </c>
      <c r="Q236" s="206" t="s">
        <v>688</v>
      </c>
      <c r="R236" s="206" t="s">
        <v>806</v>
      </c>
      <c r="S236" s="206">
        <v>793274.29180000001</v>
      </c>
      <c r="T236" s="206">
        <v>2186946.267</v>
      </c>
      <c r="U236" s="206">
        <v>793352.94299999997</v>
      </c>
      <c r="V236" s="206">
        <v>2186916.6370000001</v>
      </c>
      <c r="W236" s="206"/>
      <c r="X236" s="206"/>
      <c r="Y236" s="206"/>
      <c r="Z236" s="206"/>
      <c r="AA236" s="206"/>
      <c r="AB236" s="206" t="s">
        <v>803</v>
      </c>
      <c r="AC236" s="206" t="s">
        <v>688</v>
      </c>
      <c r="AD236" s="206"/>
      <c r="AL236" s="206"/>
      <c r="AM236" s="206"/>
      <c r="AN236" s="206"/>
      <c r="AO236" s="206"/>
      <c r="AP236" s="206"/>
      <c r="AQ236" s="206"/>
      <c r="AR236" s="206"/>
      <c r="AS236" s="206"/>
      <c r="AV236" s="206"/>
      <c r="AW236" s="206"/>
      <c r="AX236" s="206"/>
      <c r="AY236" s="206"/>
      <c r="AZ236" s="206"/>
      <c r="BD236" s="206"/>
      <c r="BF236" s="206"/>
    </row>
    <row r="237" spans="1:100" x14ac:dyDescent="0.2">
      <c r="A237" s="220">
        <v>0</v>
      </c>
      <c r="B237" s="220">
        <v>1</v>
      </c>
      <c r="C237" s="206" t="s">
        <v>781</v>
      </c>
      <c r="D237" s="206" t="s">
        <v>688</v>
      </c>
      <c r="E237" s="192">
        <v>31.69</v>
      </c>
      <c r="F237" s="206" t="s">
        <v>803</v>
      </c>
      <c r="G237" s="206"/>
      <c r="H237" s="206"/>
      <c r="I237" s="206"/>
      <c r="J237" s="206"/>
      <c r="K237" s="206"/>
      <c r="L237" s="206"/>
      <c r="M237" s="206"/>
      <c r="N237" s="206"/>
      <c r="O237" s="192">
        <v>1.02</v>
      </c>
      <c r="P237" s="192">
        <v>1.01</v>
      </c>
      <c r="Q237" s="206" t="s">
        <v>686</v>
      </c>
      <c r="R237" s="206" t="s">
        <v>807</v>
      </c>
      <c r="S237" s="206">
        <v>793352.94299999997</v>
      </c>
      <c r="T237" s="206">
        <v>2186916.6370000001</v>
      </c>
      <c r="U237" s="206">
        <v>793382.48230000003</v>
      </c>
      <c r="V237" s="206">
        <v>2186905.15</v>
      </c>
      <c r="W237" s="206"/>
      <c r="X237" s="206"/>
      <c r="Y237" s="206"/>
      <c r="Z237" s="206"/>
      <c r="AA237" s="206"/>
      <c r="AB237" s="206" t="s">
        <v>688</v>
      </c>
      <c r="AC237" s="206" t="s">
        <v>686</v>
      </c>
      <c r="AD237" s="206"/>
      <c r="AL237" s="206"/>
      <c r="AM237" s="206"/>
      <c r="AN237" s="206"/>
      <c r="AO237" s="206"/>
      <c r="AP237" s="206"/>
      <c r="AQ237" s="206"/>
      <c r="AR237" s="206"/>
      <c r="AS237" s="206"/>
      <c r="AV237" s="206"/>
      <c r="AW237" s="206"/>
      <c r="AX237" s="206"/>
      <c r="AY237" s="206"/>
      <c r="AZ237" s="206"/>
      <c r="BA237" s="206"/>
      <c r="BB237" s="206"/>
      <c r="BD237" s="206"/>
      <c r="BF237" s="206"/>
      <c r="BG237" s="201"/>
      <c r="BJ237" s="201"/>
      <c r="BK237" s="201"/>
      <c r="BL237" s="201"/>
      <c r="BM237" s="201"/>
      <c r="BN237" s="201"/>
      <c r="BO237" s="201"/>
      <c r="BP237" s="201"/>
      <c r="BQ237" s="201"/>
      <c r="BR237" s="201"/>
      <c r="BS237" s="201"/>
      <c r="BT237" s="201"/>
      <c r="BU237" s="201"/>
      <c r="BV237" s="201"/>
      <c r="BW237" s="201"/>
      <c r="BX237" s="201"/>
      <c r="BY237" s="201"/>
      <c r="BZ237" s="201"/>
      <c r="CA237" s="201"/>
      <c r="CB237" s="201"/>
      <c r="CC237" s="201"/>
      <c r="CD237" s="201"/>
      <c r="CE237" s="201"/>
      <c r="CF237" s="201"/>
      <c r="CG237" s="201"/>
      <c r="CH237" s="201"/>
      <c r="CI237" s="201"/>
      <c r="CJ237" s="201"/>
      <c r="CK237" s="201"/>
      <c r="CL237" s="201"/>
      <c r="CM237" s="201"/>
      <c r="CN237" s="201"/>
      <c r="CO237" s="201"/>
      <c r="CP237" s="201"/>
      <c r="CQ237" s="201"/>
      <c r="CR237" s="201"/>
      <c r="CS237" s="201"/>
      <c r="CT237" s="201"/>
      <c r="CU237" s="201"/>
      <c r="CV237" s="201"/>
    </row>
    <row r="238" spans="1:100" x14ac:dyDescent="0.2">
      <c r="A238" s="220">
        <v>1</v>
      </c>
      <c r="B238" s="220">
        <v>0</v>
      </c>
      <c r="C238" s="206" t="s">
        <v>808</v>
      </c>
      <c r="D238" s="206" t="s">
        <v>809</v>
      </c>
      <c r="E238" s="192">
        <v>39.42</v>
      </c>
      <c r="F238" s="206"/>
      <c r="G238" s="206"/>
      <c r="H238" s="206"/>
      <c r="I238" s="206"/>
      <c r="J238"/>
      <c r="K238"/>
      <c r="L238" s="206"/>
      <c r="M238" s="206"/>
      <c r="N238" s="206"/>
      <c r="O238" s="192">
        <v>1.18</v>
      </c>
      <c r="P238" s="192">
        <v>1.5</v>
      </c>
      <c r="Q238" s="206" t="s">
        <v>810</v>
      </c>
      <c r="R238" s="206" t="s">
        <v>811</v>
      </c>
      <c r="S238" s="206">
        <v>793275.73719999997</v>
      </c>
      <c r="T238" s="206">
        <v>2187043.2859999998</v>
      </c>
      <c r="U238" s="206">
        <v>793313.07539999997</v>
      </c>
      <c r="V238" s="206">
        <v>2187030.639</v>
      </c>
      <c r="W238" s="206"/>
      <c r="X238" s="206"/>
      <c r="Y238" s="206"/>
      <c r="Z238" s="206"/>
      <c r="AA238" s="206"/>
      <c r="AB238" s="206" t="s">
        <v>809</v>
      </c>
      <c r="AC238" s="206" t="s">
        <v>810</v>
      </c>
      <c r="AD238" s="206"/>
      <c r="AL238" s="206"/>
      <c r="AM238" s="206"/>
      <c r="AN238" s="206"/>
      <c r="AO238" s="206"/>
      <c r="AP238" s="206"/>
      <c r="AQ238" s="206"/>
      <c r="AR238" s="206"/>
      <c r="AS238" s="206"/>
      <c r="AV238" s="206"/>
      <c r="AW238" s="206"/>
      <c r="AX238" s="206"/>
      <c r="AY238" s="206"/>
      <c r="AZ238" s="206"/>
      <c r="BD238" s="206"/>
      <c r="BF238" s="206"/>
    </row>
    <row r="239" spans="1:100" x14ac:dyDescent="0.2">
      <c r="A239" s="220">
        <v>0</v>
      </c>
      <c r="B239" s="220">
        <v>0</v>
      </c>
      <c r="C239" s="206" t="s">
        <v>808</v>
      </c>
      <c r="D239" s="206" t="s">
        <v>810</v>
      </c>
      <c r="E239" s="192">
        <v>50.75</v>
      </c>
      <c r="F239" s="206" t="s">
        <v>809</v>
      </c>
      <c r="G239" s="206"/>
      <c r="H239" s="206"/>
      <c r="I239" s="206"/>
      <c r="J239"/>
      <c r="K239"/>
      <c r="L239" s="206"/>
      <c r="M239" s="206"/>
      <c r="N239" s="206"/>
      <c r="O239" s="192">
        <v>1.5</v>
      </c>
      <c r="P239" s="192">
        <v>1.5</v>
      </c>
      <c r="Q239" s="206" t="s">
        <v>805</v>
      </c>
      <c r="R239" s="206" t="s">
        <v>812</v>
      </c>
      <c r="S239" s="206">
        <v>793313.07539999997</v>
      </c>
      <c r="T239" s="206">
        <v>2187030.639</v>
      </c>
      <c r="U239" s="206">
        <v>793295.73120000004</v>
      </c>
      <c r="V239" s="206">
        <v>2186982.943</v>
      </c>
      <c r="W239" s="206"/>
      <c r="X239" s="206"/>
      <c r="Y239" s="206"/>
      <c r="Z239" s="206"/>
      <c r="AA239" s="206"/>
      <c r="AB239" s="206" t="s">
        <v>810</v>
      </c>
      <c r="AC239" s="206" t="s">
        <v>805</v>
      </c>
      <c r="AD239" s="206"/>
      <c r="AL239" s="206"/>
      <c r="AM239" s="206"/>
      <c r="AN239" s="206"/>
      <c r="AO239" s="206"/>
      <c r="AP239" s="206"/>
      <c r="AQ239" s="206"/>
      <c r="AR239" s="206"/>
      <c r="AS239" s="206"/>
      <c r="AV239" s="206"/>
      <c r="AW239" s="206"/>
      <c r="AX239" s="206"/>
      <c r="AY239" s="206"/>
      <c r="AZ239" s="206"/>
      <c r="BD239" s="206"/>
      <c r="BF239" s="206"/>
    </row>
    <row r="240" spans="1:100" x14ac:dyDescent="0.2">
      <c r="A240" s="220">
        <v>0</v>
      </c>
      <c r="B240" s="220">
        <v>1</v>
      </c>
      <c r="C240" s="206" t="s">
        <v>808</v>
      </c>
      <c r="D240" s="206" t="s">
        <v>805</v>
      </c>
      <c r="E240" s="192">
        <v>42.48</v>
      </c>
      <c r="F240" s="206" t="s">
        <v>810</v>
      </c>
      <c r="G240" s="206"/>
      <c r="H240" s="206"/>
      <c r="I240" s="206"/>
      <c r="J240"/>
      <c r="K240"/>
      <c r="L240" s="206"/>
      <c r="M240" s="206"/>
      <c r="N240" s="206"/>
      <c r="O240" s="192">
        <v>1.5</v>
      </c>
      <c r="P240" s="192">
        <v>1.1599999999999999</v>
      </c>
      <c r="Q240" s="206" t="s">
        <v>803</v>
      </c>
      <c r="R240" s="206" t="s">
        <v>813</v>
      </c>
      <c r="S240" s="206">
        <v>793295.73120000004</v>
      </c>
      <c r="T240" s="206">
        <v>2186982.943</v>
      </c>
      <c r="U240" s="206">
        <v>793274.29180000001</v>
      </c>
      <c r="V240" s="206">
        <v>2186946.267</v>
      </c>
      <c r="W240" s="206"/>
      <c r="X240" s="206"/>
      <c r="Y240" s="206"/>
      <c r="Z240" s="206"/>
      <c r="AA240" s="206"/>
      <c r="AB240" s="206" t="s">
        <v>805</v>
      </c>
      <c r="AC240" s="206" t="s">
        <v>803</v>
      </c>
      <c r="AD240" s="206"/>
      <c r="AL240" s="206"/>
      <c r="AM240" s="206"/>
      <c r="AN240" s="206"/>
      <c r="AO240" s="206"/>
      <c r="AP240" s="206"/>
      <c r="AQ240" s="206"/>
      <c r="AR240" s="206"/>
      <c r="AS240" s="206"/>
      <c r="AV240" s="206"/>
      <c r="AW240" s="206"/>
      <c r="AX240" s="206"/>
      <c r="AY240" s="206"/>
      <c r="AZ240" s="206"/>
      <c r="BD240" s="206"/>
      <c r="BF240" s="206"/>
    </row>
    <row r="241" spans="1:100" x14ac:dyDescent="0.2">
      <c r="A241" s="220">
        <v>1</v>
      </c>
      <c r="B241" s="220">
        <v>0</v>
      </c>
      <c r="C241" s="206" t="s">
        <v>814</v>
      </c>
      <c r="D241" s="206" t="s">
        <v>815</v>
      </c>
      <c r="E241" s="192">
        <v>48.85</v>
      </c>
      <c r="F241" s="206"/>
      <c r="G241" s="206"/>
      <c r="H241" s="206"/>
      <c r="I241" s="206"/>
      <c r="J241"/>
      <c r="K241"/>
      <c r="L241" s="206"/>
      <c r="M241" s="206"/>
      <c r="N241" s="206"/>
      <c r="O241" s="192">
        <v>8.18</v>
      </c>
      <c r="P241" s="192">
        <v>4.74</v>
      </c>
      <c r="Q241" s="206" t="s">
        <v>733</v>
      </c>
      <c r="R241" s="206" t="s">
        <v>816</v>
      </c>
      <c r="S241" s="206">
        <v>792882.30070000002</v>
      </c>
      <c r="T241" s="206">
        <v>2187179.33</v>
      </c>
      <c r="U241" s="206">
        <v>792929.03370000003</v>
      </c>
      <c r="V241" s="206">
        <v>2187165.1170000001</v>
      </c>
      <c r="W241" s="206"/>
      <c r="X241" s="206"/>
      <c r="Y241" s="206"/>
      <c r="Z241" s="206"/>
      <c r="AA241" s="206"/>
      <c r="AB241" s="206" t="s">
        <v>815</v>
      </c>
      <c r="AC241" s="206" t="s">
        <v>733</v>
      </c>
      <c r="AD241" s="206"/>
      <c r="AL241" s="206"/>
      <c r="AM241" s="206"/>
      <c r="AN241" s="206"/>
      <c r="AO241" s="206"/>
      <c r="AP241" s="206"/>
      <c r="AQ241" s="206"/>
      <c r="AR241" s="206"/>
      <c r="AS241" s="206"/>
      <c r="AV241" s="206"/>
      <c r="AW241" s="206"/>
      <c r="AX241" s="206"/>
      <c r="AY241" s="206"/>
      <c r="AZ241" s="206"/>
      <c r="BD241" s="206"/>
      <c r="BF241" s="206"/>
    </row>
    <row r="242" spans="1:100" x14ac:dyDescent="0.2">
      <c r="A242" s="220">
        <v>0</v>
      </c>
      <c r="B242" s="220">
        <v>1</v>
      </c>
      <c r="C242" s="206" t="s">
        <v>814</v>
      </c>
      <c r="D242" s="206" t="s">
        <v>733</v>
      </c>
      <c r="E242" s="192">
        <v>46.34</v>
      </c>
      <c r="F242" s="206" t="s">
        <v>815</v>
      </c>
      <c r="G242" s="206"/>
      <c r="H242" s="206"/>
      <c r="I242" s="206"/>
      <c r="J242"/>
      <c r="K242"/>
      <c r="L242" s="206"/>
      <c r="M242" s="206"/>
      <c r="N242" s="206"/>
      <c r="O242" s="192">
        <v>4.74</v>
      </c>
      <c r="P242" s="192">
        <v>3.72</v>
      </c>
      <c r="Q242" s="206" t="s">
        <v>731</v>
      </c>
      <c r="R242" s="206" t="s">
        <v>817</v>
      </c>
      <c r="S242" s="206">
        <v>792929.03370000003</v>
      </c>
      <c r="T242" s="206">
        <v>2187165.1170000001</v>
      </c>
      <c r="U242" s="206">
        <v>792972.51470000006</v>
      </c>
      <c r="V242" s="206">
        <v>2187149.0980000002</v>
      </c>
      <c r="W242" s="206"/>
      <c r="X242" s="206"/>
      <c r="Y242" s="206"/>
      <c r="Z242" s="206"/>
      <c r="AA242" s="206"/>
      <c r="AB242" s="206" t="s">
        <v>733</v>
      </c>
      <c r="AC242" s="206" t="s">
        <v>731</v>
      </c>
      <c r="AD242" s="206"/>
      <c r="AL242" s="206"/>
      <c r="AM242" s="206"/>
      <c r="AN242" s="206"/>
      <c r="AO242" s="206"/>
      <c r="AP242" s="206"/>
      <c r="AQ242" s="206"/>
      <c r="AR242" s="206"/>
      <c r="AS242" s="206"/>
      <c r="AV242" s="206"/>
      <c r="AW242" s="206"/>
      <c r="AX242" s="206"/>
      <c r="AY242" s="206"/>
      <c r="AZ242" s="206"/>
      <c r="BD242" s="206"/>
      <c r="BF242" s="206"/>
    </row>
    <row r="243" spans="1:100" x14ac:dyDescent="0.2">
      <c r="A243" s="220">
        <v>1</v>
      </c>
      <c r="B243" s="220">
        <v>0</v>
      </c>
      <c r="C243" s="206" t="s">
        <v>818</v>
      </c>
      <c r="D243" s="206" t="s">
        <v>819</v>
      </c>
      <c r="E243" s="192">
        <v>46.91</v>
      </c>
      <c r="F243" s="206"/>
      <c r="G243" s="206"/>
      <c r="H243" s="206"/>
      <c r="I243" s="206"/>
      <c r="J243"/>
      <c r="K243"/>
      <c r="L243" s="206"/>
      <c r="M243" s="206"/>
      <c r="N243" s="206"/>
      <c r="O243" s="192">
        <v>4.93</v>
      </c>
      <c r="P243" s="192">
        <v>3.35</v>
      </c>
      <c r="Q243" s="206" t="s">
        <v>736</v>
      </c>
      <c r="R243" s="206" t="s">
        <v>820</v>
      </c>
      <c r="S243" s="206">
        <v>792915.36309999996</v>
      </c>
      <c r="T243" s="206">
        <v>2187120.6719999998</v>
      </c>
      <c r="U243" s="206">
        <v>792958.60320000001</v>
      </c>
      <c r="V243" s="206">
        <v>2187102.4849999999</v>
      </c>
      <c r="W243" s="206"/>
      <c r="X243" s="206"/>
      <c r="Y243" s="206"/>
      <c r="Z243" s="206"/>
      <c r="AA243" s="206"/>
      <c r="AB243" s="206" t="s">
        <v>819</v>
      </c>
      <c r="AC243" s="206" t="s">
        <v>736</v>
      </c>
      <c r="AD243" s="206"/>
      <c r="AL243" s="206"/>
      <c r="AM243" s="206"/>
      <c r="AN243" s="206"/>
      <c r="AO243" s="206"/>
      <c r="AP243" s="206"/>
      <c r="AQ243" s="206"/>
      <c r="AR243" s="206"/>
      <c r="AS243" s="206"/>
      <c r="AV243" s="206"/>
      <c r="AW243" s="206"/>
      <c r="AX243" s="206"/>
      <c r="AY243" s="206"/>
      <c r="AZ243" s="206"/>
      <c r="BD243" s="206"/>
      <c r="BF243" s="206"/>
    </row>
    <row r="244" spans="1:100" x14ac:dyDescent="0.2">
      <c r="A244" s="220">
        <v>0</v>
      </c>
      <c r="B244" s="220">
        <v>0</v>
      </c>
      <c r="C244" s="206" t="s">
        <v>818</v>
      </c>
      <c r="D244" s="206" t="s">
        <v>736</v>
      </c>
      <c r="E244" s="192">
        <v>5.57</v>
      </c>
      <c r="F244" s="206" t="s">
        <v>819</v>
      </c>
      <c r="G244" s="206" t="s">
        <v>734</v>
      </c>
      <c r="H244" s="206" t="s">
        <v>821</v>
      </c>
      <c r="I244" s="206"/>
      <c r="J244"/>
      <c r="K244"/>
      <c r="L244" s="206"/>
      <c r="M244" s="206"/>
      <c r="N244" s="206"/>
      <c r="O244" s="192">
        <v>3.35</v>
      </c>
      <c r="P244" s="192">
        <v>3.21</v>
      </c>
      <c r="Q244" s="206" t="s">
        <v>789</v>
      </c>
      <c r="R244" s="206" t="s">
        <v>822</v>
      </c>
      <c r="S244" s="206">
        <v>792958.60320000001</v>
      </c>
      <c r="T244" s="206">
        <v>2187102.4849999999</v>
      </c>
      <c r="U244" s="206">
        <v>792963.78240000003</v>
      </c>
      <c r="V244" s="206">
        <v>2187100.4369999999</v>
      </c>
      <c r="W244" s="206"/>
      <c r="X244" s="206"/>
      <c r="Y244" s="206"/>
      <c r="Z244" s="206"/>
      <c r="AA244" s="206"/>
      <c r="AB244" s="206" t="s">
        <v>736</v>
      </c>
      <c r="AC244" s="206" t="s">
        <v>789</v>
      </c>
      <c r="AD244" s="206"/>
      <c r="AL244" s="206"/>
      <c r="AM244" s="206"/>
      <c r="AN244" s="206"/>
      <c r="AO244" s="206"/>
      <c r="AP244" s="206"/>
      <c r="AQ244" s="206"/>
      <c r="AR244" s="206"/>
      <c r="AS244" s="206"/>
      <c r="AV244" s="206"/>
      <c r="AW244" s="206"/>
      <c r="AX244" s="206"/>
      <c r="AY244" s="206"/>
      <c r="AZ244" s="206"/>
      <c r="BD244" s="206"/>
      <c r="BF244" s="206"/>
    </row>
    <row r="245" spans="1:100" x14ac:dyDescent="0.2">
      <c r="A245" s="220">
        <v>0</v>
      </c>
      <c r="B245" s="220">
        <v>1</v>
      </c>
      <c r="C245" s="206" t="s">
        <v>818</v>
      </c>
      <c r="D245" s="206" t="s">
        <v>789</v>
      </c>
      <c r="E245" s="192">
        <v>48.81</v>
      </c>
      <c r="F245" s="206" t="s">
        <v>736</v>
      </c>
      <c r="G245" s="206"/>
      <c r="H245" s="206"/>
      <c r="I245" s="206"/>
      <c r="J245"/>
      <c r="K245"/>
      <c r="L245" s="206"/>
      <c r="M245" s="206"/>
      <c r="N245" s="206"/>
      <c r="O245" s="192">
        <v>3.21</v>
      </c>
      <c r="P245" s="192">
        <v>2.31</v>
      </c>
      <c r="Q245" s="206" t="s">
        <v>787</v>
      </c>
      <c r="R245" s="206" t="s">
        <v>823</v>
      </c>
      <c r="S245" s="206">
        <v>792963.78240000003</v>
      </c>
      <c r="T245" s="206">
        <v>2187100.4369999999</v>
      </c>
      <c r="U245" s="206">
        <v>793009.91310000001</v>
      </c>
      <c r="V245" s="206">
        <v>2187084.4780000001</v>
      </c>
      <c r="W245" s="206"/>
      <c r="X245" s="206"/>
      <c r="Y245" s="206"/>
      <c r="Z245" s="206"/>
      <c r="AA245" s="206"/>
      <c r="AB245" s="206" t="s">
        <v>789</v>
      </c>
      <c r="AC245" s="206" t="s">
        <v>787</v>
      </c>
      <c r="AD245" s="206"/>
      <c r="AL245" s="206"/>
      <c r="AM245" s="206"/>
      <c r="AN245" s="206"/>
      <c r="AO245" s="206"/>
      <c r="AP245" s="206"/>
      <c r="AQ245" s="206"/>
      <c r="AR245" s="206"/>
      <c r="AS245" s="206"/>
      <c r="AV245" s="206"/>
      <c r="AW245" s="206"/>
      <c r="AX245" s="206"/>
      <c r="AY245" s="206"/>
      <c r="AZ245" s="206"/>
      <c r="BD245" s="206"/>
      <c r="BF245" s="206"/>
    </row>
    <row r="246" spans="1:100" x14ac:dyDescent="0.2">
      <c r="A246" s="220">
        <v>1</v>
      </c>
      <c r="B246" s="220">
        <v>1</v>
      </c>
      <c r="C246" s="206" t="s">
        <v>824</v>
      </c>
      <c r="D246" s="206" t="s">
        <v>825</v>
      </c>
      <c r="E246" s="192">
        <v>47.8</v>
      </c>
      <c r="F246" s="206"/>
      <c r="G246" s="206"/>
      <c r="H246" s="206"/>
      <c r="I246" s="206"/>
      <c r="J246"/>
      <c r="K246"/>
      <c r="L246" s="206"/>
      <c r="M246" s="206"/>
      <c r="N246" s="206"/>
      <c r="O246" s="192">
        <v>5.5</v>
      </c>
      <c r="P246" s="192">
        <v>3.24</v>
      </c>
      <c r="Q246" s="206" t="s">
        <v>821</v>
      </c>
      <c r="R246" s="206" t="s">
        <v>826</v>
      </c>
      <c r="S246" s="206">
        <v>792899.22340000002</v>
      </c>
      <c r="T246" s="206">
        <v>2187075.5649999999</v>
      </c>
      <c r="U246" s="206">
        <v>792944.75190000003</v>
      </c>
      <c r="V246" s="206">
        <v>2187060.9909999999</v>
      </c>
      <c r="W246" s="206"/>
      <c r="X246" s="206"/>
      <c r="Y246" s="206"/>
      <c r="Z246" s="206"/>
      <c r="AA246" s="206"/>
      <c r="AB246" s="206" t="s">
        <v>825</v>
      </c>
      <c r="AC246" s="206" t="s">
        <v>821</v>
      </c>
      <c r="AD246" s="206"/>
      <c r="AL246" s="206"/>
      <c r="AM246" s="206"/>
      <c r="AN246" s="206"/>
      <c r="AO246" s="206"/>
      <c r="AP246" s="206"/>
      <c r="AQ246" s="206"/>
      <c r="AR246" s="206"/>
      <c r="AS246" s="206"/>
      <c r="AV246" s="206"/>
      <c r="AW246" s="206"/>
      <c r="AX246" s="206"/>
      <c r="AY246" s="206"/>
      <c r="AZ246" s="206"/>
      <c r="BD246" s="206"/>
      <c r="BF246" s="206"/>
    </row>
    <row r="247" spans="1:100" x14ac:dyDescent="0.2">
      <c r="A247" s="220">
        <v>1</v>
      </c>
      <c r="B247" s="220">
        <v>1</v>
      </c>
      <c r="C247" s="206" t="s">
        <v>827</v>
      </c>
      <c r="D247" s="206" t="s">
        <v>828</v>
      </c>
      <c r="E247" s="192">
        <v>50.07</v>
      </c>
      <c r="F247" s="206"/>
      <c r="G247" s="206"/>
      <c r="H247" s="206"/>
      <c r="I247" s="206"/>
      <c r="J247" s="206"/>
      <c r="K247" s="206"/>
      <c r="L247" s="206"/>
      <c r="M247" s="206"/>
      <c r="N247" s="206"/>
      <c r="O247" s="192">
        <v>6.35</v>
      </c>
      <c r="P247" s="192">
        <v>3.53</v>
      </c>
      <c r="Q247" s="206" t="s">
        <v>829</v>
      </c>
      <c r="R247" s="206" t="s">
        <v>830</v>
      </c>
      <c r="S247" s="206">
        <v>792876.7</v>
      </c>
      <c r="T247" s="206">
        <v>2187019.9190000002</v>
      </c>
      <c r="U247" s="206">
        <v>792924.63740000001</v>
      </c>
      <c r="V247" s="206">
        <v>2187005.466</v>
      </c>
      <c r="W247" s="206"/>
      <c r="X247" s="206"/>
      <c r="Y247" s="206"/>
      <c r="Z247" s="206"/>
      <c r="AA247" s="206"/>
      <c r="AB247" s="206" t="s">
        <v>828</v>
      </c>
      <c r="AC247" s="206" t="s">
        <v>829</v>
      </c>
      <c r="AD247" s="206"/>
      <c r="AL247" s="206"/>
      <c r="AM247" s="206"/>
      <c r="AN247" s="206"/>
      <c r="AO247" s="206"/>
      <c r="AP247" s="206"/>
      <c r="AQ247" s="206"/>
      <c r="AR247" s="206"/>
      <c r="AS247" s="206"/>
      <c r="AV247" s="206"/>
      <c r="AW247" s="206"/>
      <c r="AX247" s="206"/>
      <c r="AY247" s="206"/>
      <c r="AZ247" s="206"/>
      <c r="BA247" s="206"/>
      <c r="BB247" s="206"/>
      <c r="BD247" s="206"/>
      <c r="BF247" s="206"/>
      <c r="BG247" s="201"/>
      <c r="BH247" s="201"/>
      <c r="BJ247" s="201"/>
      <c r="BK247" s="201"/>
      <c r="BL247" s="201"/>
      <c r="BM247" s="201"/>
      <c r="BN247" s="201"/>
      <c r="BO247" s="201"/>
      <c r="BP247" s="201"/>
      <c r="BQ247" s="201"/>
      <c r="BR247" s="201"/>
      <c r="BS247" s="201"/>
      <c r="BT247" s="201"/>
      <c r="BU247" s="201"/>
      <c r="BV247" s="201"/>
      <c r="BW247" s="201"/>
      <c r="BX247" s="201"/>
      <c r="BY247" s="201"/>
      <c r="BZ247" s="201"/>
      <c r="CA247" s="201"/>
      <c r="CB247" s="201"/>
      <c r="CC247" s="201"/>
      <c r="CD247" s="201"/>
      <c r="CE247" s="201"/>
      <c r="CF247" s="201"/>
      <c r="CG247" s="201"/>
      <c r="CH247" s="201"/>
      <c r="CI247" s="201"/>
      <c r="CJ247" s="201"/>
      <c r="CK247" s="201"/>
      <c r="CL247" s="201"/>
      <c r="CM247" s="201"/>
      <c r="CN247" s="201"/>
      <c r="CO247" s="201"/>
      <c r="CP247" s="201"/>
      <c r="CQ247" s="201"/>
      <c r="CR247" s="201"/>
      <c r="CS247" s="201"/>
      <c r="CT247" s="201"/>
      <c r="CU247" s="201"/>
      <c r="CV247" s="201"/>
    </row>
    <row r="248" spans="1:100" x14ac:dyDescent="0.2">
      <c r="A248" s="220">
        <v>1</v>
      </c>
      <c r="B248" s="220">
        <v>0</v>
      </c>
      <c r="C248" s="206" t="s">
        <v>831</v>
      </c>
      <c r="D248" s="206" t="s">
        <v>832</v>
      </c>
      <c r="E248" s="192">
        <v>54.89</v>
      </c>
      <c r="F248" s="206"/>
      <c r="G248" s="206"/>
      <c r="H248" s="206"/>
      <c r="I248" s="206"/>
      <c r="J248"/>
      <c r="K248"/>
      <c r="L248" s="206"/>
      <c r="M248" s="206"/>
      <c r="N248" s="206"/>
      <c r="O248" s="192">
        <v>8.5</v>
      </c>
      <c r="P248" s="192">
        <v>7.23</v>
      </c>
      <c r="Q248" s="206" t="s">
        <v>833</v>
      </c>
      <c r="R248" s="206" t="s">
        <v>834</v>
      </c>
      <c r="S248" s="206">
        <v>793082.99369999999</v>
      </c>
      <c r="T248" s="206">
        <v>2187460.8870000001</v>
      </c>
      <c r="U248" s="206">
        <v>793135.38760000002</v>
      </c>
      <c r="V248" s="206">
        <v>2187444.5060000001</v>
      </c>
      <c r="W248" s="206"/>
      <c r="X248" s="206"/>
      <c r="Y248" s="206"/>
      <c r="Z248" s="206"/>
      <c r="AA248" s="206"/>
      <c r="AB248" s="206" t="s">
        <v>832</v>
      </c>
      <c r="AC248" s="206" t="s">
        <v>833</v>
      </c>
      <c r="AD248" s="206"/>
      <c r="AL248" s="206"/>
      <c r="AM248" s="206"/>
      <c r="AN248" s="206"/>
      <c r="AO248" s="206"/>
      <c r="AP248" s="206"/>
      <c r="AQ248" s="206"/>
      <c r="AR248" s="206"/>
      <c r="AS248" s="206"/>
      <c r="AV248" s="206"/>
      <c r="AW248" s="206"/>
      <c r="AX248" s="206"/>
      <c r="AY248" s="206"/>
      <c r="AZ248" s="206"/>
      <c r="BD248" s="206"/>
      <c r="BF248" s="206"/>
    </row>
    <row r="249" spans="1:100" x14ac:dyDescent="0.2">
      <c r="A249" s="220">
        <v>0</v>
      </c>
      <c r="B249" s="220">
        <v>0</v>
      </c>
      <c r="C249" s="206" t="s">
        <v>831</v>
      </c>
      <c r="D249" s="206" t="s">
        <v>833</v>
      </c>
      <c r="E249" s="192">
        <v>44.17</v>
      </c>
      <c r="F249" s="206" t="s">
        <v>832</v>
      </c>
      <c r="G249" s="206"/>
      <c r="H249" s="206"/>
      <c r="I249" s="206"/>
      <c r="J249"/>
      <c r="K249"/>
      <c r="L249" s="206"/>
      <c r="M249" s="206"/>
      <c r="N249" s="206"/>
      <c r="O249" s="192">
        <v>7.23</v>
      </c>
      <c r="P249" s="192">
        <v>5.82</v>
      </c>
      <c r="Q249" s="206" t="s">
        <v>835</v>
      </c>
      <c r="R249" s="206" t="s">
        <v>836</v>
      </c>
      <c r="S249" s="206">
        <v>793135.38760000002</v>
      </c>
      <c r="T249" s="206">
        <v>2187444.5060000001</v>
      </c>
      <c r="U249" s="206">
        <v>793178.1459</v>
      </c>
      <c r="V249" s="206">
        <v>2187433.4249999998</v>
      </c>
      <c r="W249" s="206"/>
      <c r="X249" s="206"/>
      <c r="Y249" s="206"/>
      <c r="Z249" s="206"/>
      <c r="AA249" s="206"/>
      <c r="AB249" s="206" t="s">
        <v>833</v>
      </c>
      <c r="AC249" s="206" t="s">
        <v>835</v>
      </c>
      <c r="AD249" s="206"/>
      <c r="AL249" s="206"/>
      <c r="AM249" s="206"/>
      <c r="AN249" s="206"/>
      <c r="AO249" s="206"/>
      <c r="AP249" s="206"/>
      <c r="AQ249" s="206"/>
      <c r="AR249" s="206"/>
      <c r="AS249" s="206"/>
      <c r="AV249" s="206"/>
      <c r="AW249" s="206"/>
      <c r="AX249" s="206"/>
      <c r="AY249" s="206"/>
      <c r="AZ249" s="206"/>
      <c r="BD249" s="206"/>
      <c r="BF249" s="206"/>
    </row>
    <row r="250" spans="1:100" x14ac:dyDescent="0.2">
      <c r="A250" s="220">
        <v>0</v>
      </c>
      <c r="B250" s="220">
        <v>0</v>
      </c>
      <c r="C250" s="206" t="s">
        <v>831</v>
      </c>
      <c r="D250" s="206" t="s">
        <v>835</v>
      </c>
      <c r="E250" s="192">
        <v>49.89</v>
      </c>
      <c r="F250" s="206" t="s">
        <v>833</v>
      </c>
      <c r="G250" s="206"/>
      <c r="H250" s="206"/>
      <c r="I250" s="206"/>
      <c r="J250"/>
      <c r="K250"/>
      <c r="L250" s="206"/>
      <c r="M250" s="206"/>
      <c r="N250" s="206"/>
      <c r="O250" s="192">
        <v>5.82</v>
      </c>
      <c r="P250" s="192">
        <v>4.67</v>
      </c>
      <c r="Q250" s="206" t="s">
        <v>500</v>
      </c>
      <c r="R250" s="206" t="s">
        <v>837</v>
      </c>
      <c r="S250" s="206">
        <v>793178.1459</v>
      </c>
      <c r="T250" s="206">
        <v>2187433.4249999998</v>
      </c>
      <c r="U250" s="206">
        <v>793225.78220000002</v>
      </c>
      <c r="V250" s="206">
        <v>2187418.61</v>
      </c>
      <c r="W250" s="206"/>
      <c r="X250" s="206"/>
      <c r="Y250" s="206"/>
      <c r="Z250" s="206"/>
      <c r="AA250" s="206"/>
      <c r="AB250" s="206" t="s">
        <v>835</v>
      </c>
      <c r="AC250" s="206" t="s">
        <v>500</v>
      </c>
      <c r="AD250" s="206"/>
      <c r="AL250" s="206"/>
      <c r="AM250" s="206"/>
      <c r="AN250" s="206"/>
      <c r="AO250" s="206"/>
      <c r="AP250" s="206"/>
      <c r="AQ250" s="206"/>
      <c r="AR250" s="206"/>
      <c r="AS250" s="206"/>
      <c r="AV250" s="206"/>
      <c r="AW250" s="206"/>
      <c r="AX250" s="206"/>
      <c r="AY250" s="206"/>
      <c r="AZ250" s="206"/>
      <c r="BD250" s="206"/>
      <c r="BF250" s="206"/>
    </row>
    <row r="251" spans="1:100" x14ac:dyDescent="0.2">
      <c r="A251" s="220">
        <v>0</v>
      </c>
      <c r="B251" s="220">
        <v>1</v>
      </c>
      <c r="C251" s="206" t="s">
        <v>831</v>
      </c>
      <c r="D251" s="206" t="s">
        <v>500</v>
      </c>
      <c r="E251" s="192">
        <v>44.06</v>
      </c>
      <c r="F251" s="206" t="s">
        <v>835</v>
      </c>
      <c r="G251" s="206"/>
      <c r="H251" s="206"/>
      <c r="I251" s="206"/>
      <c r="J251"/>
      <c r="K251"/>
      <c r="L251" s="206"/>
      <c r="M251" s="206"/>
      <c r="N251" s="206"/>
      <c r="O251" s="192">
        <v>4.67</v>
      </c>
      <c r="P251" s="192">
        <v>4.0999999999999996</v>
      </c>
      <c r="Q251" s="206" t="s">
        <v>498</v>
      </c>
      <c r="R251" s="206" t="s">
        <v>838</v>
      </c>
      <c r="S251" s="206">
        <v>793225.78220000002</v>
      </c>
      <c r="T251" s="206">
        <v>2187418.61</v>
      </c>
      <c r="U251" s="206">
        <v>793267.81779999996</v>
      </c>
      <c r="V251" s="206">
        <v>2187405.4210000001</v>
      </c>
      <c r="W251" s="206"/>
      <c r="X251" s="206"/>
      <c r="Y251" s="206"/>
      <c r="Z251" s="206"/>
      <c r="AA251" s="206"/>
      <c r="AB251" s="206" t="s">
        <v>500</v>
      </c>
      <c r="AC251" s="206" t="s">
        <v>498</v>
      </c>
      <c r="AD251" s="206"/>
      <c r="AL251" s="206"/>
      <c r="AM251" s="206"/>
      <c r="AN251" s="206"/>
      <c r="AO251" s="206"/>
      <c r="AP251" s="206"/>
      <c r="AQ251" s="206"/>
      <c r="AR251" s="206"/>
      <c r="AS251" s="206"/>
      <c r="AV251" s="206"/>
      <c r="AW251" s="206"/>
      <c r="AX251" s="206"/>
      <c r="AY251" s="206"/>
      <c r="AZ251" s="206"/>
      <c r="BD251" s="206"/>
      <c r="BF251" s="206"/>
    </row>
    <row r="252" spans="1:100" x14ac:dyDescent="0.2">
      <c r="A252" s="220">
        <v>1</v>
      </c>
      <c r="B252" s="220">
        <v>0</v>
      </c>
      <c r="C252" s="206" t="s">
        <v>839</v>
      </c>
      <c r="D252" s="206" t="s">
        <v>840</v>
      </c>
      <c r="E252" s="192">
        <v>48.48</v>
      </c>
      <c r="F252" s="206"/>
      <c r="G252" s="206"/>
      <c r="H252" s="206"/>
      <c r="I252" s="206"/>
      <c r="J252"/>
      <c r="K252"/>
      <c r="L252" s="206"/>
      <c r="M252" s="206"/>
      <c r="N252" s="206"/>
      <c r="O252" s="192">
        <v>11.97</v>
      </c>
      <c r="P252" s="192">
        <v>4.32</v>
      </c>
      <c r="Q252" s="206" t="s">
        <v>841</v>
      </c>
      <c r="R252" s="206" t="s">
        <v>842</v>
      </c>
      <c r="S252" s="206">
        <v>792864.05319999997</v>
      </c>
      <c r="T252" s="206">
        <v>2186972.2230000002</v>
      </c>
      <c r="U252" s="206">
        <v>792910.78619999997</v>
      </c>
      <c r="V252" s="206">
        <v>2186959.335</v>
      </c>
      <c r="W252" s="206"/>
      <c r="X252" s="206"/>
      <c r="Y252" s="206"/>
      <c r="Z252" s="206"/>
      <c r="AA252" s="206"/>
      <c r="AB252" s="206" t="s">
        <v>840</v>
      </c>
      <c r="AC252" s="206" t="s">
        <v>841</v>
      </c>
      <c r="AD252" s="206"/>
      <c r="AL252" s="206"/>
      <c r="AM252" s="206"/>
      <c r="AN252" s="206"/>
      <c r="AO252" s="206"/>
      <c r="AP252" s="206"/>
      <c r="AQ252" s="206"/>
      <c r="AR252" s="206"/>
      <c r="AS252" s="206"/>
      <c r="AV252" s="206"/>
      <c r="AW252" s="206"/>
      <c r="AX252" s="206"/>
      <c r="AY252" s="206"/>
      <c r="AZ252" s="206"/>
      <c r="BD252" s="206"/>
      <c r="BF252" s="206"/>
    </row>
    <row r="253" spans="1:100" x14ac:dyDescent="0.2">
      <c r="A253" s="220">
        <v>0</v>
      </c>
      <c r="B253" s="220">
        <v>0</v>
      </c>
      <c r="C253" s="206" t="s">
        <v>839</v>
      </c>
      <c r="D253" s="206" t="s">
        <v>841</v>
      </c>
      <c r="E253" s="192">
        <v>43.5</v>
      </c>
      <c r="F253" s="206" t="s">
        <v>840</v>
      </c>
      <c r="G253" s="206"/>
      <c r="H253" s="206"/>
      <c r="I253" s="206"/>
      <c r="J253"/>
      <c r="K253"/>
      <c r="L253" s="206"/>
      <c r="M253" s="206"/>
      <c r="N253" s="206"/>
      <c r="O253" s="192">
        <v>4.32</v>
      </c>
      <c r="P253" s="192">
        <v>3.63</v>
      </c>
      <c r="Q253" s="206" t="s">
        <v>843</v>
      </c>
      <c r="R253" s="206" t="s">
        <v>844</v>
      </c>
      <c r="S253" s="206">
        <v>792910.78619999997</v>
      </c>
      <c r="T253" s="206">
        <v>2186959.335</v>
      </c>
      <c r="U253" s="206">
        <v>792922.96420000005</v>
      </c>
      <c r="V253" s="206">
        <v>2187001.091</v>
      </c>
      <c r="W253" s="206"/>
      <c r="X253" s="206"/>
      <c r="Y253" s="206"/>
      <c r="Z253" s="206"/>
      <c r="AA253" s="206"/>
      <c r="AB253" s="206" t="s">
        <v>841</v>
      </c>
      <c r="AC253" s="206" t="s">
        <v>843</v>
      </c>
      <c r="AD253" s="206"/>
      <c r="AL253" s="206"/>
      <c r="AM253" s="206"/>
      <c r="AN253" s="206"/>
      <c r="AO253" s="206"/>
      <c r="AP253" s="206"/>
      <c r="AQ253" s="206"/>
      <c r="AR253" s="206"/>
      <c r="AS253" s="206"/>
      <c r="AV253" s="206"/>
      <c r="AW253" s="206"/>
      <c r="AX253" s="206"/>
      <c r="AY253" s="206"/>
      <c r="AZ253" s="206"/>
      <c r="BD253" s="206"/>
      <c r="BF253" s="206"/>
    </row>
    <row r="254" spans="1:100" x14ac:dyDescent="0.2">
      <c r="A254" s="220">
        <v>0</v>
      </c>
      <c r="B254" s="220">
        <v>0</v>
      </c>
      <c r="C254" s="206" t="s">
        <v>839</v>
      </c>
      <c r="D254" s="206" t="s">
        <v>843</v>
      </c>
      <c r="E254" s="192">
        <v>4.68</v>
      </c>
      <c r="F254" s="206" t="s">
        <v>841</v>
      </c>
      <c r="G254" s="206"/>
      <c r="H254" s="206"/>
      <c r="I254" s="206"/>
      <c r="J254" s="206"/>
      <c r="K254" s="206"/>
      <c r="L254" s="206"/>
      <c r="M254" s="206"/>
      <c r="N254" s="206"/>
      <c r="O254" s="192">
        <v>3.63</v>
      </c>
      <c r="P254" s="192">
        <v>3.53</v>
      </c>
      <c r="Q254" s="206" t="s">
        <v>829</v>
      </c>
      <c r="R254" s="206" t="s">
        <v>845</v>
      </c>
      <c r="S254" s="206">
        <v>792922.96420000005</v>
      </c>
      <c r="T254" s="206">
        <v>2187001.091</v>
      </c>
      <c r="U254" s="206">
        <v>792924.63740000001</v>
      </c>
      <c r="V254" s="206">
        <v>2187005.466</v>
      </c>
      <c r="W254" s="206"/>
      <c r="X254" s="206"/>
      <c r="Y254" s="206"/>
      <c r="Z254" s="206"/>
      <c r="AA254" s="206"/>
      <c r="AB254" s="206" t="s">
        <v>843</v>
      </c>
      <c r="AC254" s="206" t="s">
        <v>829</v>
      </c>
      <c r="AD254" s="206"/>
      <c r="AL254" s="206"/>
      <c r="AM254" s="206"/>
      <c r="AN254" s="206"/>
      <c r="AO254" s="206"/>
      <c r="AP254" s="206"/>
      <c r="AQ254" s="206"/>
      <c r="AR254" s="206"/>
      <c r="AS254" s="206"/>
      <c r="AV254" s="206"/>
      <c r="AW254" s="206"/>
      <c r="AX254" s="206"/>
      <c r="AY254" s="206"/>
      <c r="AZ254" s="206"/>
      <c r="BA254" s="206"/>
      <c r="BB254" s="206"/>
      <c r="BD254" s="206"/>
      <c r="BF254" s="206"/>
      <c r="BG254" s="201"/>
      <c r="BJ254" s="201"/>
      <c r="BK254" s="201"/>
      <c r="BL254" s="201"/>
      <c r="BM254" s="201"/>
      <c r="BN254" s="201"/>
      <c r="BO254" s="201"/>
      <c r="BP254" s="201"/>
      <c r="BQ254" s="201"/>
      <c r="BR254" s="201"/>
      <c r="BS254" s="201"/>
      <c r="BT254" s="201"/>
      <c r="BU254" s="201"/>
      <c r="BV254" s="201"/>
      <c r="BW254" s="201"/>
      <c r="BX254" s="201"/>
      <c r="BY254" s="201"/>
      <c r="BZ254" s="201"/>
      <c r="CA254" s="201"/>
      <c r="CB254" s="201"/>
      <c r="CC254" s="201"/>
      <c r="CD254" s="201"/>
      <c r="CE254" s="201"/>
      <c r="CF254" s="201"/>
      <c r="CG254" s="201"/>
      <c r="CH254" s="201"/>
      <c r="CI254" s="201"/>
      <c r="CJ254" s="201"/>
      <c r="CK254" s="201"/>
      <c r="CL254" s="201"/>
      <c r="CM254" s="201"/>
      <c r="CN254" s="201"/>
      <c r="CP254" s="201"/>
      <c r="CQ254" s="201"/>
      <c r="CR254" s="201"/>
      <c r="CS254" s="201"/>
      <c r="CT254" s="201"/>
      <c r="CU254" s="201"/>
      <c r="CV254" s="201"/>
    </row>
    <row r="255" spans="1:100" x14ac:dyDescent="0.2">
      <c r="A255" s="220">
        <v>0</v>
      </c>
      <c r="B255" s="220">
        <v>0</v>
      </c>
      <c r="C255" s="206" t="s">
        <v>839</v>
      </c>
      <c r="D255" s="206" t="s">
        <v>829</v>
      </c>
      <c r="E255" s="192">
        <v>54.38</v>
      </c>
      <c r="F255" s="206" t="s">
        <v>843</v>
      </c>
      <c r="G255" s="206" t="s">
        <v>828</v>
      </c>
      <c r="H255" s="206"/>
      <c r="I255" s="206"/>
      <c r="J255"/>
      <c r="K255"/>
      <c r="L255" s="206"/>
      <c r="M255" s="206"/>
      <c r="N255" s="206"/>
      <c r="O255" s="192">
        <v>3.53</v>
      </c>
      <c r="P255" s="192">
        <v>3.27</v>
      </c>
      <c r="Q255" s="206" t="s">
        <v>846</v>
      </c>
      <c r="R255" s="206" t="s">
        <v>847</v>
      </c>
      <c r="S255" s="206">
        <v>792924.63740000001</v>
      </c>
      <c r="T255" s="206">
        <v>2187005.466</v>
      </c>
      <c r="U255" s="206">
        <v>792942.83860000002</v>
      </c>
      <c r="V255" s="206">
        <v>2187056.7119999998</v>
      </c>
      <c r="W255" s="206"/>
      <c r="X255" s="206"/>
      <c r="Y255" s="206"/>
      <c r="Z255" s="206"/>
      <c r="AA255" s="206"/>
      <c r="AB255" s="206" t="s">
        <v>829</v>
      </c>
      <c r="AC255" s="206" t="s">
        <v>846</v>
      </c>
      <c r="AD255" s="206"/>
      <c r="AL255" s="206"/>
      <c r="AM255" s="206"/>
      <c r="AN255" s="206"/>
      <c r="AO255" s="206"/>
      <c r="AP255" s="206"/>
      <c r="AQ255" s="206"/>
      <c r="AR255" s="206"/>
      <c r="AS255" s="206"/>
      <c r="AV255" s="206"/>
      <c r="AW255" s="206"/>
      <c r="AX255" s="206"/>
      <c r="AY255" s="206"/>
      <c r="AZ255" s="206"/>
      <c r="BD255" s="206"/>
      <c r="BF255" s="206"/>
    </row>
    <row r="256" spans="1:100" x14ac:dyDescent="0.2">
      <c r="A256" s="220">
        <v>0</v>
      </c>
      <c r="B256" s="220">
        <v>0</v>
      </c>
      <c r="C256" s="206" t="s">
        <v>839</v>
      </c>
      <c r="D256" s="206" t="s">
        <v>846</v>
      </c>
      <c r="E256" s="192">
        <v>4.6900000000000004</v>
      </c>
      <c r="F256" s="206" t="s">
        <v>829</v>
      </c>
      <c r="G256" s="206"/>
      <c r="H256" s="206"/>
      <c r="I256" s="206"/>
      <c r="J256"/>
      <c r="K256"/>
      <c r="L256" s="206"/>
      <c r="M256" s="206"/>
      <c r="N256" s="206"/>
      <c r="O256" s="192">
        <v>3.27</v>
      </c>
      <c r="P256" s="192">
        <v>3.24</v>
      </c>
      <c r="Q256" s="206" t="s">
        <v>821</v>
      </c>
      <c r="R256" s="206" t="s">
        <v>848</v>
      </c>
      <c r="S256" s="206">
        <v>792942.83860000002</v>
      </c>
      <c r="T256" s="206">
        <v>2187056.7119999998</v>
      </c>
      <c r="U256" s="206">
        <v>792944.75190000003</v>
      </c>
      <c r="V256" s="206">
        <v>2187060.9909999999</v>
      </c>
      <c r="W256" s="206"/>
      <c r="X256" s="206"/>
      <c r="Y256" s="206"/>
      <c r="Z256" s="206"/>
      <c r="AA256" s="206"/>
      <c r="AB256" s="206" t="s">
        <v>846</v>
      </c>
      <c r="AC256" s="206" t="s">
        <v>821</v>
      </c>
      <c r="AD256" s="206"/>
      <c r="AL256" s="206"/>
      <c r="AM256" s="206"/>
      <c r="AN256" s="206"/>
      <c r="AO256" s="206"/>
      <c r="AP256" s="206"/>
      <c r="AQ256" s="206"/>
      <c r="AR256" s="206"/>
      <c r="AS256" s="206"/>
      <c r="AV256" s="206"/>
      <c r="AW256" s="206"/>
      <c r="AX256" s="206"/>
      <c r="AY256" s="206"/>
      <c r="AZ256" s="206"/>
      <c r="BD256" s="206"/>
      <c r="BF256" s="206"/>
    </row>
    <row r="257" spans="1:58" x14ac:dyDescent="0.2">
      <c r="A257" s="220">
        <v>0</v>
      </c>
      <c r="B257" s="220">
        <v>1</v>
      </c>
      <c r="C257" s="206" t="s">
        <v>839</v>
      </c>
      <c r="D257" s="206" t="s">
        <v>821</v>
      </c>
      <c r="E257" s="192">
        <v>43.74</v>
      </c>
      <c r="F257" s="206" t="s">
        <v>846</v>
      </c>
      <c r="G257" s="206" t="s">
        <v>825</v>
      </c>
      <c r="H257" s="206"/>
      <c r="I257" s="206"/>
      <c r="J257"/>
      <c r="K257"/>
      <c r="L257" s="206"/>
      <c r="M257" s="206"/>
      <c r="N257" s="206"/>
      <c r="O257" s="192">
        <v>3.24</v>
      </c>
      <c r="P257" s="192">
        <v>3.35</v>
      </c>
      <c r="Q257" s="206" t="s">
        <v>736</v>
      </c>
      <c r="R257" s="206" t="s">
        <v>849</v>
      </c>
      <c r="S257" s="206">
        <v>792944.75190000003</v>
      </c>
      <c r="T257" s="206">
        <v>2187060.9909999999</v>
      </c>
      <c r="U257" s="206">
        <v>792958.60320000001</v>
      </c>
      <c r="V257" s="206">
        <v>2187102.4849999999</v>
      </c>
      <c r="W257" s="206"/>
      <c r="X257" s="206"/>
      <c r="Y257" s="206"/>
      <c r="Z257" s="206"/>
      <c r="AA257" s="206"/>
      <c r="AB257" s="206" t="s">
        <v>821</v>
      </c>
      <c r="AC257" s="206" t="s">
        <v>736</v>
      </c>
      <c r="AD257" s="206"/>
      <c r="AL257" s="206"/>
      <c r="AM257" s="206"/>
      <c r="AN257" s="206"/>
      <c r="AO257" s="206"/>
      <c r="AP257" s="206"/>
      <c r="AQ257" s="206"/>
      <c r="AR257" s="206"/>
      <c r="AS257" s="206"/>
      <c r="AV257" s="206"/>
      <c r="AW257" s="206"/>
      <c r="AX257" s="206"/>
      <c r="AY257" s="206"/>
      <c r="AZ257" s="206"/>
      <c r="BD257" s="206"/>
      <c r="BF257" s="206"/>
    </row>
    <row r="258" spans="1:58" x14ac:dyDescent="0.2">
      <c r="A258" s="220">
        <v>1</v>
      </c>
      <c r="B258" s="220">
        <v>0</v>
      </c>
      <c r="C258" s="206" t="s">
        <v>850</v>
      </c>
      <c r="D258" s="206" t="s">
        <v>851</v>
      </c>
      <c r="E258" s="192">
        <v>36.83</v>
      </c>
      <c r="F258" s="206"/>
      <c r="G258" s="206"/>
      <c r="H258" s="206"/>
      <c r="I258" s="206"/>
      <c r="J258"/>
      <c r="K258"/>
      <c r="L258" s="206"/>
      <c r="M258" s="206"/>
      <c r="N258" s="206"/>
      <c r="O258" s="192">
        <v>3.15</v>
      </c>
      <c r="P258" s="192">
        <v>2.5</v>
      </c>
      <c r="Q258" s="206" t="s">
        <v>852</v>
      </c>
      <c r="R258" s="206" t="s">
        <v>853</v>
      </c>
      <c r="S258" s="206">
        <v>792948.36529999995</v>
      </c>
      <c r="T258" s="206">
        <v>2186905.3149999999</v>
      </c>
      <c r="U258" s="206">
        <v>792960.04850000003</v>
      </c>
      <c r="V258" s="206">
        <v>2186940.2439999999</v>
      </c>
      <c r="W258" s="206"/>
      <c r="X258" s="206"/>
      <c r="Y258" s="206"/>
      <c r="Z258" s="206"/>
      <c r="AA258" s="206"/>
      <c r="AB258" s="206" t="s">
        <v>851</v>
      </c>
      <c r="AC258" s="206" t="s">
        <v>852</v>
      </c>
      <c r="AD258" s="206"/>
      <c r="AL258" s="206"/>
      <c r="AM258" s="206"/>
      <c r="AN258" s="206"/>
      <c r="AO258" s="206"/>
      <c r="AP258" s="206"/>
      <c r="AQ258" s="206"/>
      <c r="AR258" s="206"/>
      <c r="AS258" s="206"/>
      <c r="AV258" s="206"/>
      <c r="AW258" s="206"/>
      <c r="AX258" s="206"/>
      <c r="AY258" s="206"/>
      <c r="AZ258" s="206"/>
      <c r="BD258" s="206"/>
      <c r="BF258" s="206"/>
    </row>
    <row r="259" spans="1:58" x14ac:dyDescent="0.2">
      <c r="A259" s="220">
        <v>0</v>
      </c>
      <c r="B259" s="220">
        <v>0</v>
      </c>
      <c r="C259" s="206" t="s">
        <v>850</v>
      </c>
      <c r="D259" s="206" t="s">
        <v>852</v>
      </c>
      <c r="E259" s="192">
        <v>3.82</v>
      </c>
      <c r="F259" s="206" t="s">
        <v>851</v>
      </c>
      <c r="G259" s="206"/>
      <c r="H259" s="206"/>
      <c r="I259" s="206"/>
      <c r="J259"/>
      <c r="K259"/>
      <c r="L259" s="206"/>
      <c r="M259" s="206"/>
      <c r="N259" s="206"/>
      <c r="O259" s="192">
        <v>2.5</v>
      </c>
      <c r="P259" s="192">
        <v>2.4500000000000002</v>
      </c>
      <c r="Q259" s="206" t="s">
        <v>854</v>
      </c>
      <c r="R259" s="206" t="s">
        <v>855</v>
      </c>
      <c r="S259" s="206">
        <v>792960.04850000003</v>
      </c>
      <c r="T259" s="206">
        <v>2186940.2439999999</v>
      </c>
      <c r="U259" s="206">
        <v>792963.84259999997</v>
      </c>
      <c r="V259" s="206">
        <v>2186940.6660000002</v>
      </c>
      <c r="W259" s="206"/>
      <c r="X259" s="206"/>
      <c r="Y259" s="206"/>
      <c r="Z259" s="206"/>
      <c r="AA259" s="206"/>
      <c r="AB259" s="206" t="s">
        <v>852</v>
      </c>
      <c r="AC259" s="206" t="s">
        <v>854</v>
      </c>
      <c r="AD259" s="206"/>
      <c r="AL259" s="206"/>
      <c r="AM259" s="206"/>
      <c r="AN259" s="206"/>
      <c r="AO259" s="206"/>
      <c r="AP259" s="206"/>
      <c r="AQ259" s="206"/>
      <c r="AR259" s="206"/>
      <c r="AS259" s="206"/>
      <c r="AV259" s="206"/>
      <c r="AW259" s="206"/>
      <c r="AX259" s="206"/>
      <c r="AY259" s="206"/>
      <c r="AZ259" s="206"/>
      <c r="BD259" s="206"/>
      <c r="BF259" s="206"/>
    </row>
    <row r="260" spans="1:58" x14ac:dyDescent="0.2">
      <c r="A260" s="220">
        <v>0</v>
      </c>
      <c r="B260" s="220">
        <v>0</v>
      </c>
      <c r="C260" s="206" t="s">
        <v>850</v>
      </c>
      <c r="D260" s="206" t="s">
        <v>854</v>
      </c>
      <c r="E260" s="192">
        <v>16.559999999999999</v>
      </c>
      <c r="F260" s="206" t="s">
        <v>852</v>
      </c>
      <c r="G260" s="206"/>
      <c r="H260" s="206"/>
      <c r="I260" s="206"/>
      <c r="J260"/>
      <c r="K260"/>
      <c r="L260" s="206"/>
      <c r="M260" s="206"/>
      <c r="N260" s="206"/>
      <c r="O260" s="192">
        <v>2.4500000000000002</v>
      </c>
      <c r="P260" s="192">
        <v>2.06</v>
      </c>
      <c r="Q260" s="206" t="s">
        <v>856</v>
      </c>
      <c r="R260" s="206" t="s">
        <v>857</v>
      </c>
      <c r="S260" s="206">
        <v>792963.84259999997</v>
      </c>
      <c r="T260" s="206">
        <v>2186940.6660000002</v>
      </c>
      <c r="U260" s="206">
        <v>792979.74140000006</v>
      </c>
      <c r="V260" s="206">
        <v>2186936.0290000001</v>
      </c>
      <c r="W260" s="206"/>
      <c r="X260" s="206"/>
      <c r="Y260" s="206"/>
      <c r="Z260" s="206"/>
      <c r="AA260" s="206"/>
      <c r="AB260" s="206" t="s">
        <v>854</v>
      </c>
      <c r="AC260" s="206" t="s">
        <v>856</v>
      </c>
      <c r="AD260" s="206"/>
      <c r="AL260" s="206"/>
      <c r="AM260" s="206"/>
      <c r="AN260" s="206"/>
      <c r="AO260" s="206"/>
      <c r="AP260" s="206"/>
      <c r="AQ260" s="206"/>
      <c r="AR260" s="206"/>
      <c r="AS260" s="206"/>
      <c r="AV260" s="206"/>
      <c r="AW260" s="206"/>
      <c r="AX260" s="206"/>
      <c r="AY260" s="206"/>
      <c r="AZ260" s="206"/>
      <c r="BD260" s="206"/>
      <c r="BF260" s="206"/>
    </row>
    <row r="261" spans="1:58" x14ac:dyDescent="0.2">
      <c r="A261" s="220">
        <v>0</v>
      </c>
      <c r="B261" s="220">
        <v>0</v>
      </c>
      <c r="C261" s="206" t="s">
        <v>850</v>
      </c>
      <c r="D261" s="206" t="s">
        <v>856</v>
      </c>
      <c r="E261" s="192">
        <v>25.28</v>
      </c>
      <c r="F261" s="206" t="s">
        <v>854</v>
      </c>
      <c r="G261" s="206"/>
      <c r="H261" s="206"/>
      <c r="I261" s="206"/>
      <c r="J261"/>
      <c r="K261"/>
      <c r="L261" s="206"/>
      <c r="M261" s="206"/>
      <c r="N261" s="206"/>
      <c r="O261" s="192">
        <v>2.06</v>
      </c>
      <c r="P261" s="192">
        <v>2.2200000000000002</v>
      </c>
      <c r="Q261" s="206" t="s">
        <v>858</v>
      </c>
      <c r="R261" s="206" t="s">
        <v>859</v>
      </c>
      <c r="S261" s="206">
        <v>792979.74140000006</v>
      </c>
      <c r="T261" s="206">
        <v>2186936.0290000001</v>
      </c>
      <c r="U261" s="206">
        <v>793003.10789999994</v>
      </c>
      <c r="V261" s="206">
        <v>2186926.3930000002</v>
      </c>
      <c r="W261" s="206"/>
      <c r="X261" s="206"/>
      <c r="Y261" s="206"/>
      <c r="Z261" s="206"/>
      <c r="AA261" s="206"/>
      <c r="AB261" s="206" t="s">
        <v>856</v>
      </c>
      <c r="AC261" s="206" t="s">
        <v>858</v>
      </c>
      <c r="AD261" s="206"/>
      <c r="AL261" s="206"/>
      <c r="AM261" s="206"/>
      <c r="AN261" s="206"/>
      <c r="AO261" s="206"/>
      <c r="AP261" s="206"/>
      <c r="AQ261" s="206"/>
      <c r="AR261" s="206"/>
      <c r="AS261" s="206"/>
      <c r="AV261" s="206"/>
      <c r="AW261" s="206"/>
      <c r="AX261" s="206"/>
      <c r="AY261" s="206"/>
      <c r="AZ261" s="206"/>
      <c r="BD261" s="206"/>
      <c r="BF261" s="206"/>
    </row>
    <row r="262" spans="1:58" x14ac:dyDescent="0.2">
      <c r="A262" s="220">
        <v>0</v>
      </c>
      <c r="B262" s="220">
        <v>0</v>
      </c>
      <c r="C262" s="206" t="s">
        <v>850</v>
      </c>
      <c r="D262" s="206" t="s">
        <v>858</v>
      </c>
      <c r="E262" s="192">
        <v>47.74</v>
      </c>
      <c r="F262" s="206" t="s">
        <v>856</v>
      </c>
      <c r="G262" s="206"/>
      <c r="H262" s="206"/>
      <c r="I262" s="206"/>
      <c r="J262"/>
      <c r="K262"/>
      <c r="L262" s="206"/>
      <c r="M262" s="206"/>
      <c r="N262" s="206"/>
      <c r="O262" s="192">
        <v>2.2200000000000002</v>
      </c>
      <c r="P262" s="192">
        <v>1.5</v>
      </c>
      <c r="Q262" s="206" t="s">
        <v>860</v>
      </c>
      <c r="R262" s="206" t="s">
        <v>861</v>
      </c>
      <c r="S262" s="206">
        <v>793003.10789999994</v>
      </c>
      <c r="T262" s="206">
        <v>2186926.3930000002</v>
      </c>
      <c r="U262" s="206">
        <v>793048.33539999998</v>
      </c>
      <c r="V262" s="206">
        <v>2186911.0970000001</v>
      </c>
      <c r="W262" s="206"/>
      <c r="X262" s="206"/>
      <c r="Y262" s="206"/>
      <c r="Z262" s="206"/>
      <c r="AA262" s="206"/>
      <c r="AB262" s="206" t="s">
        <v>858</v>
      </c>
      <c r="AC262" s="206" t="s">
        <v>860</v>
      </c>
      <c r="AD262" s="206"/>
      <c r="AL262" s="206"/>
      <c r="AM262" s="206"/>
      <c r="AN262" s="206"/>
      <c r="AO262" s="206"/>
      <c r="AP262" s="206"/>
      <c r="AQ262" s="206"/>
      <c r="AR262" s="206"/>
      <c r="AS262" s="206"/>
      <c r="AV262" s="206"/>
      <c r="AW262" s="206"/>
      <c r="AX262" s="206"/>
      <c r="AY262" s="206"/>
      <c r="AZ262" s="206"/>
      <c r="BD262" s="206"/>
      <c r="BF262" s="206"/>
    </row>
    <row r="263" spans="1:58" x14ac:dyDescent="0.2">
      <c r="A263" s="220">
        <v>0</v>
      </c>
      <c r="B263" s="220">
        <v>0</v>
      </c>
      <c r="C263" s="206" t="s">
        <v>850</v>
      </c>
      <c r="D263" s="206" t="s">
        <v>860</v>
      </c>
      <c r="E263" s="192">
        <v>46.91</v>
      </c>
      <c r="F263" s="206" t="s">
        <v>858</v>
      </c>
      <c r="G263" s="206"/>
      <c r="H263" s="206"/>
      <c r="I263" s="206"/>
      <c r="J263"/>
      <c r="K263"/>
      <c r="L263" s="206"/>
      <c r="M263" s="206"/>
      <c r="N263" s="206"/>
      <c r="O263" s="192">
        <v>1.5</v>
      </c>
      <c r="P263" s="192">
        <v>1.88</v>
      </c>
      <c r="Q263" s="206" t="s">
        <v>862</v>
      </c>
      <c r="R263" s="206" t="s">
        <v>863</v>
      </c>
      <c r="S263" s="206">
        <v>793048.33539999998</v>
      </c>
      <c r="T263" s="206">
        <v>2186911.0970000001</v>
      </c>
      <c r="U263" s="206">
        <v>793093.02080000006</v>
      </c>
      <c r="V263" s="206">
        <v>2186896.824</v>
      </c>
      <c r="W263" s="206"/>
      <c r="X263" s="206"/>
      <c r="Y263" s="206"/>
      <c r="Z263" s="206"/>
      <c r="AA263" s="206"/>
      <c r="AB263" s="206" t="s">
        <v>860</v>
      </c>
      <c r="AC263" s="206" t="s">
        <v>862</v>
      </c>
      <c r="AD263" s="206"/>
      <c r="AL263" s="206"/>
      <c r="AM263" s="206"/>
      <c r="AN263" s="206"/>
      <c r="AO263" s="206"/>
      <c r="AP263" s="206"/>
      <c r="AQ263" s="206"/>
      <c r="AR263" s="206"/>
      <c r="AS263" s="206"/>
      <c r="AV263" s="206"/>
      <c r="AW263" s="206"/>
      <c r="AX263" s="206"/>
      <c r="AY263" s="206"/>
      <c r="AZ263" s="206"/>
      <c r="BD263" s="206"/>
      <c r="BF263" s="206"/>
    </row>
    <row r="264" spans="1:58" x14ac:dyDescent="0.2">
      <c r="A264" s="220">
        <v>0</v>
      </c>
      <c r="B264" s="220">
        <v>0</v>
      </c>
      <c r="C264" s="206" t="s">
        <v>850</v>
      </c>
      <c r="D264" s="206" t="s">
        <v>862</v>
      </c>
      <c r="E264" s="192">
        <v>66.91</v>
      </c>
      <c r="F264" s="206" t="s">
        <v>860</v>
      </c>
      <c r="G264" s="206"/>
      <c r="H264" s="206"/>
      <c r="I264" s="206"/>
      <c r="J264"/>
      <c r="K264"/>
      <c r="L264" s="206"/>
      <c r="M264" s="206"/>
      <c r="N264" s="206"/>
      <c r="O264" s="192">
        <v>1.88</v>
      </c>
      <c r="P264" s="192">
        <v>0.99</v>
      </c>
      <c r="Q264" s="206" t="s">
        <v>864</v>
      </c>
      <c r="R264" s="206" t="s">
        <v>865</v>
      </c>
      <c r="S264" s="206">
        <v>793093.02080000006</v>
      </c>
      <c r="T264" s="206">
        <v>2186896.824</v>
      </c>
      <c r="U264" s="206">
        <v>793156.79689999996</v>
      </c>
      <c r="V264" s="206">
        <v>2186876.5890000002</v>
      </c>
      <c r="W264" s="206"/>
      <c r="X264" s="206"/>
      <c r="Y264" s="206"/>
      <c r="Z264" s="206"/>
      <c r="AA264" s="206"/>
      <c r="AB264" s="206" t="s">
        <v>862</v>
      </c>
      <c r="AC264" s="206" t="s">
        <v>864</v>
      </c>
      <c r="AD264" s="206"/>
      <c r="AL264" s="206"/>
      <c r="AM264" s="206"/>
      <c r="AN264" s="206"/>
      <c r="AO264" s="206"/>
      <c r="AP264" s="206"/>
      <c r="AQ264" s="206"/>
      <c r="AR264" s="206"/>
      <c r="AS264" s="206"/>
      <c r="AV264" s="206"/>
      <c r="AW264" s="206"/>
      <c r="AX264" s="206"/>
      <c r="AY264" s="206"/>
      <c r="AZ264" s="206"/>
      <c r="BD264" s="206"/>
      <c r="BF264" s="206"/>
    </row>
    <row r="265" spans="1:58" x14ac:dyDescent="0.2">
      <c r="A265" s="220">
        <v>0</v>
      </c>
      <c r="B265" s="220">
        <v>0</v>
      </c>
      <c r="C265" s="206" t="s">
        <v>850</v>
      </c>
      <c r="D265" s="206" t="s">
        <v>864</v>
      </c>
      <c r="E265" s="192">
        <v>48.29</v>
      </c>
      <c r="F265" s="206" t="s">
        <v>862</v>
      </c>
      <c r="G265" s="206"/>
      <c r="H265" s="206"/>
      <c r="I265" s="206"/>
      <c r="J265"/>
      <c r="K265"/>
      <c r="L265" s="206"/>
      <c r="M265" s="206"/>
      <c r="N265" s="206"/>
      <c r="O265" s="192">
        <v>0.99</v>
      </c>
      <c r="P265" s="192">
        <v>0.5</v>
      </c>
      <c r="Q265" s="206" t="s">
        <v>866</v>
      </c>
      <c r="R265" s="206" t="s">
        <v>867</v>
      </c>
      <c r="S265" s="206">
        <v>793156.79689999996</v>
      </c>
      <c r="T265" s="206">
        <v>2186876.5890000002</v>
      </c>
      <c r="U265" s="206">
        <v>793202.20499999996</v>
      </c>
      <c r="V265" s="206">
        <v>2186860.148</v>
      </c>
      <c r="W265" s="206"/>
      <c r="X265" s="206"/>
      <c r="Y265" s="206"/>
      <c r="Z265" s="206"/>
      <c r="AA265" s="206"/>
      <c r="AB265" s="206" t="s">
        <v>864</v>
      </c>
      <c r="AC265" s="206" t="s">
        <v>866</v>
      </c>
      <c r="AD265" s="206"/>
      <c r="AL265" s="206"/>
      <c r="AM265" s="206"/>
      <c r="AN265" s="206"/>
      <c r="AO265" s="206"/>
      <c r="AP265" s="206"/>
      <c r="AQ265" s="206"/>
      <c r="AR265" s="206"/>
      <c r="AS265" s="206"/>
      <c r="AV265" s="206"/>
      <c r="AW265" s="206"/>
      <c r="AX265" s="206"/>
      <c r="AY265" s="206"/>
      <c r="AZ265" s="206"/>
      <c r="BD265" s="206"/>
      <c r="BF265" s="206"/>
    </row>
    <row r="266" spans="1:58" x14ac:dyDescent="0.2">
      <c r="A266" s="220">
        <v>0</v>
      </c>
      <c r="B266" s="220">
        <v>0</v>
      </c>
      <c r="C266" s="206" t="s">
        <v>850</v>
      </c>
      <c r="D266" s="206" t="s">
        <v>866</v>
      </c>
      <c r="E266" s="192">
        <v>8.67</v>
      </c>
      <c r="F266" s="206" t="s">
        <v>864</v>
      </c>
      <c r="G266" s="206"/>
      <c r="H266" s="206"/>
      <c r="I266" s="206"/>
      <c r="J266"/>
      <c r="K266"/>
      <c r="L266" s="206"/>
      <c r="M266" s="206"/>
      <c r="N266" s="206"/>
      <c r="O266" s="192">
        <v>0.5</v>
      </c>
      <c r="P266" s="192">
        <v>0.5</v>
      </c>
      <c r="Q266" s="206" t="s">
        <v>868</v>
      </c>
      <c r="R266" s="206" t="s">
        <v>869</v>
      </c>
      <c r="S266" s="206">
        <v>793202.20499999996</v>
      </c>
      <c r="T266" s="206">
        <v>2186860.148</v>
      </c>
      <c r="U266" s="206">
        <v>793210.75659999996</v>
      </c>
      <c r="V266" s="206">
        <v>2186858.7030000002</v>
      </c>
      <c r="W266" s="206"/>
      <c r="X266" s="206"/>
      <c r="Y266" s="206"/>
      <c r="Z266" s="206"/>
      <c r="AA266" s="206"/>
      <c r="AB266" s="206" t="s">
        <v>866</v>
      </c>
      <c r="AC266" s="206" t="s">
        <v>868</v>
      </c>
      <c r="AD266" s="206"/>
      <c r="AL266" s="206"/>
      <c r="AM266" s="206"/>
      <c r="AN266" s="206"/>
      <c r="AO266" s="206"/>
      <c r="AP266" s="206"/>
      <c r="AQ266" s="206"/>
      <c r="AR266" s="206"/>
      <c r="AS266" s="206"/>
      <c r="AV266" s="206"/>
      <c r="AW266" s="206"/>
      <c r="AX266" s="206"/>
      <c r="AY266" s="206"/>
      <c r="AZ266" s="206"/>
      <c r="BD266" s="206"/>
      <c r="BF266" s="206"/>
    </row>
    <row r="267" spans="1:58" x14ac:dyDescent="0.2">
      <c r="A267" s="220">
        <v>0</v>
      </c>
      <c r="B267" s="220">
        <v>0</v>
      </c>
      <c r="C267" s="206" t="s">
        <v>850</v>
      </c>
      <c r="D267" s="206" t="s">
        <v>868</v>
      </c>
      <c r="E267" s="192">
        <v>6.03</v>
      </c>
      <c r="F267" s="206" t="s">
        <v>866</v>
      </c>
      <c r="G267" s="206"/>
      <c r="H267" s="206"/>
      <c r="I267" s="206"/>
      <c r="J267"/>
      <c r="K267"/>
      <c r="L267" s="206"/>
      <c r="M267" s="206"/>
      <c r="N267" s="206"/>
      <c r="O267" s="192">
        <v>0.5</v>
      </c>
      <c r="P267" s="192">
        <v>0.5</v>
      </c>
      <c r="Q267" s="206" t="s">
        <v>674</v>
      </c>
      <c r="R267" s="206" t="s">
        <v>870</v>
      </c>
      <c r="S267" s="206">
        <v>793210.75659999996</v>
      </c>
      <c r="T267" s="206">
        <v>2186858.7030000002</v>
      </c>
      <c r="U267" s="206">
        <v>793216.74879999994</v>
      </c>
      <c r="V267" s="206">
        <v>2186859.335</v>
      </c>
      <c r="W267" s="206"/>
      <c r="X267" s="206"/>
      <c r="Y267" s="206"/>
      <c r="Z267" s="206"/>
      <c r="AA267" s="206"/>
      <c r="AB267" s="206" t="s">
        <v>868</v>
      </c>
      <c r="AC267" s="206" t="s">
        <v>674</v>
      </c>
      <c r="AD267" s="206"/>
      <c r="AL267" s="206"/>
      <c r="AM267" s="206"/>
      <c r="AN267" s="206"/>
      <c r="AO267" s="206"/>
      <c r="AP267" s="206"/>
      <c r="AQ267" s="206"/>
      <c r="AR267" s="206"/>
      <c r="AS267" s="206"/>
      <c r="AV267" s="206"/>
      <c r="AW267" s="206"/>
      <c r="AX267" s="206"/>
      <c r="AY267" s="206"/>
      <c r="AZ267" s="206"/>
      <c r="BD267" s="206"/>
      <c r="BF267" s="206"/>
    </row>
    <row r="268" spans="1:58" x14ac:dyDescent="0.2">
      <c r="A268" s="220">
        <v>0</v>
      </c>
      <c r="B268" s="220">
        <v>1</v>
      </c>
      <c r="C268" s="206" t="s">
        <v>850</v>
      </c>
      <c r="D268" s="206" t="s">
        <v>674</v>
      </c>
      <c r="E268" s="192">
        <v>33.58</v>
      </c>
      <c r="F268" s="206" t="s">
        <v>868</v>
      </c>
      <c r="G268" s="206" t="s">
        <v>871</v>
      </c>
      <c r="H268" s="206"/>
      <c r="I268" s="206"/>
      <c r="J268"/>
      <c r="K268"/>
      <c r="L268" s="206"/>
      <c r="M268" s="206"/>
      <c r="N268" s="206"/>
      <c r="O268" s="192">
        <v>0.5</v>
      </c>
      <c r="P268" s="192">
        <v>0.73</v>
      </c>
      <c r="Q268" s="206" t="s">
        <v>672</v>
      </c>
      <c r="R268" s="206" t="s">
        <v>872</v>
      </c>
      <c r="S268" s="206">
        <v>793216.74879999994</v>
      </c>
      <c r="T268" s="206">
        <v>2186859.335</v>
      </c>
      <c r="U268" s="206">
        <v>793242.76509999996</v>
      </c>
      <c r="V268" s="206">
        <v>2186838.1090000002</v>
      </c>
      <c r="W268" s="206"/>
      <c r="X268" s="206"/>
      <c r="Y268" s="206"/>
      <c r="Z268" s="206"/>
      <c r="AA268" s="206"/>
      <c r="AB268" s="206" t="s">
        <v>674</v>
      </c>
      <c r="AC268" s="206" t="s">
        <v>672</v>
      </c>
      <c r="AD268" s="206"/>
      <c r="AL268" s="206"/>
      <c r="AM268" s="206"/>
      <c r="AN268" s="206"/>
      <c r="AO268" s="206"/>
      <c r="AP268" s="206"/>
      <c r="AQ268" s="206"/>
      <c r="AR268" s="206"/>
      <c r="AS268" s="206"/>
      <c r="AV268" s="206"/>
      <c r="AW268" s="206"/>
      <c r="AX268" s="206"/>
      <c r="AY268" s="206"/>
      <c r="AZ268" s="206"/>
      <c r="BD268" s="206"/>
      <c r="BF268" s="206"/>
    </row>
    <row r="269" spans="1:58" x14ac:dyDescent="0.2">
      <c r="A269" s="220">
        <v>1</v>
      </c>
      <c r="B269" s="220">
        <v>1</v>
      </c>
      <c r="C269" s="206" t="s">
        <v>873</v>
      </c>
      <c r="D269" s="206" t="s">
        <v>664</v>
      </c>
      <c r="E269" s="192">
        <v>46.63</v>
      </c>
      <c r="F269" s="206"/>
      <c r="G269" s="206"/>
      <c r="H269" s="206"/>
      <c r="I269" s="206"/>
      <c r="J269"/>
      <c r="K269"/>
      <c r="L269" s="206"/>
      <c r="M269" s="206"/>
      <c r="N269" s="206"/>
      <c r="O269" s="192">
        <v>1.52</v>
      </c>
      <c r="P269" s="192">
        <v>1.24</v>
      </c>
      <c r="Q269" s="206" t="s">
        <v>662</v>
      </c>
      <c r="R269" s="206" t="s">
        <v>874</v>
      </c>
      <c r="S269" s="206">
        <v>793033.67110000004</v>
      </c>
      <c r="T269" s="206">
        <v>2186868.8199999998</v>
      </c>
      <c r="U269" s="206">
        <v>793077.87470000004</v>
      </c>
      <c r="V269" s="206">
        <v>2186853.96</v>
      </c>
      <c r="W269" s="206"/>
      <c r="X269" s="206"/>
      <c r="Y269" s="206"/>
      <c r="Z269" s="206"/>
      <c r="AA269" s="206"/>
      <c r="AB269" s="206" t="s">
        <v>664</v>
      </c>
      <c r="AC269" s="206" t="s">
        <v>662</v>
      </c>
      <c r="AD269" s="206"/>
      <c r="AL269" s="206"/>
      <c r="AM269" s="206"/>
      <c r="AN269" s="206"/>
      <c r="AO269" s="206"/>
      <c r="AP269" s="206"/>
      <c r="AQ269" s="206"/>
      <c r="AR269" s="206"/>
      <c r="AS269" s="206"/>
      <c r="AV269" s="206"/>
      <c r="AW269" s="206"/>
      <c r="AX269" s="206"/>
      <c r="AY269" s="206"/>
      <c r="AZ269" s="206"/>
      <c r="BD269" s="206"/>
      <c r="BF269" s="206"/>
    </row>
    <row r="270" spans="1:58" x14ac:dyDescent="0.2">
      <c r="A270" s="220">
        <v>1</v>
      </c>
      <c r="B270" s="220">
        <v>0</v>
      </c>
      <c r="C270" s="206" t="s">
        <v>875</v>
      </c>
      <c r="D270" s="206" t="s">
        <v>876</v>
      </c>
      <c r="E270" s="192">
        <v>65.12</v>
      </c>
      <c r="F270" s="206"/>
      <c r="G270" s="206"/>
      <c r="H270" s="206"/>
      <c r="I270" s="206"/>
      <c r="J270"/>
      <c r="K270"/>
      <c r="L270" s="206"/>
      <c r="M270" s="206"/>
      <c r="N270" s="206"/>
      <c r="O270" s="192">
        <v>1.06</v>
      </c>
      <c r="P270" s="192">
        <v>1.23</v>
      </c>
      <c r="Q270" s="206" t="s">
        <v>877</v>
      </c>
      <c r="R270" s="206" t="s">
        <v>878</v>
      </c>
      <c r="S270" s="206">
        <v>793108.04639999999</v>
      </c>
      <c r="T270" s="206">
        <v>2186939.0099999998</v>
      </c>
      <c r="U270" s="206">
        <v>793170.01580000005</v>
      </c>
      <c r="V270" s="206">
        <v>2186919.0159999998</v>
      </c>
      <c r="W270" s="206"/>
      <c r="X270" s="206"/>
      <c r="Y270" s="206"/>
      <c r="Z270" s="206"/>
      <c r="AA270" s="206"/>
      <c r="AB270" s="206" t="s">
        <v>876</v>
      </c>
      <c r="AC270" s="206" t="s">
        <v>877</v>
      </c>
      <c r="AD270" s="206"/>
      <c r="AL270" s="206"/>
      <c r="AM270" s="206"/>
      <c r="AN270" s="206"/>
      <c r="AO270" s="206"/>
      <c r="AP270" s="206"/>
      <c r="AQ270" s="206"/>
      <c r="AR270" s="206"/>
      <c r="AS270" s="206"/>
      <c r="AV270" s="206"/>
      <c r="AW270" s="206"/>
      <c r="AX270" s="206"/>
      <c r="AY270" s="206"/>
      <c r="AZ270" s="206"/>
      <c r="BD270" s="206"/>
      <c r="BF270" s="206"/>
    </row>
    <row r="271" spans="1:58" x14ac:dyDescent="0.2">
      <c r="A271" s="220">
        <v>0</v>
      </c>
      <c r="B271" s="220">
        <v>0</v>
      </c>
      <c r="C271" s="206" t="s">
        <v>875</v>
      </c>
      <c r="D271" s="206" t="s">
        <v>877</v>
      </c>
      <c r="E271" s="192">
        <v>53.38</v>
      </c>
      <c r="F271" s="206" t="s">
        <v>876</v>
      </c>
      <c r="G271" s="206"/>
      <c r="H271" s="206"/>
      <c r="I271" s="206"/>
      <c r="J271"/>
      <c r="K271"/>
      <c r="L271" s="206"/>
      <c r="M271" s="206"/>
      <c r="N271" s="206"/>
      <c r="O271" s="192">
        <v>1.23</v>
      </c>
      <c r="P271" s="192">
        <v>0.57999999999999996</v>
      </c>
      <c r="Q271" s="206" t="s">
        <v>879</v>
      </c>
      <c r="R271" s="206" t="s">
        <v>880</v>
      </c>
      <c r="S271" s="206">
        <v>793170.01580000005</v>
      </c>
      <c r="T271" s="206">
        <v>2186919.0159999998</v>
      </c>
      <c r="U271" s="206">
        <v>793220.24170000001</v>
      </c>
      <c r="V271" s="206">
        <v>2186900.949</v>
      </c>
      <c r="W271" s="206"/>
      <c r="X271" s="206"/>
      <c r="Y271" s="206"/>
      <c r="Z271" s="206"/>
      <c r="AA271" s="206"/>
      <c r="AB271" s="206" t="s">
        <v>877</v>
      </c>
      <c r="AC271" s="206" t="s">
        <v>879</v>
      </c>
      <c r="AD271" s="206"/>
      <c r="AL271" s="206"/>
      <c r="AM271" s="206"/>
      <c r="AN271" s="206"/>
      <c r="AO271" s="206"/>
      <c r="AP271" s="206"/>
      <c r="AQ271" s="206"/>
      <c r="AR271" s="206"/>
      <c r="AS271" s="206"/>
      <c r="AV271" s="206"/>
      <c r="AW271" s="206"/>
      <c r="AX271" s="206"/>
      <c r="AY271" s="206"/>
      <c r="AZ271" s="206"/>
      <c r="BD271" s="206"/>
      <c r="BF271" s="206"/>
    </row>
    <row r="272" spans="1:58" x14ac:dyDescent="0.2">
      <c r="A272" s="220">
        <v>0</v>
      </c>
      <c r="B272" s="220">
        <v>0</v>
      </c>
      <c r="C272" s="206" t="s">
        <v>875</v>
      </c>
      <c r="D272" s="206" t="s">
        <v>879</v>
      </c>
      <c r="E272" s="192">
        <v>15.81</v>
      </c>
      <c r="F272" s="206" t="s">
        <v>877</v>
      </c>
      <c r="G272" s="206"/>
      <c r="H272" s="206"/>
      <c r="I272" s="206"/>
      <c r="J272"/>
      <c r="K272"/>
      <c r="L272" s="206"/>
      <c r="M272" s="206"/>
      <c r="N272" s="206"/>
      <c r="O272" s="192">
        <v>0.57999999999999996</v>
      </c>
      <c r="P272" s="192">
        <v>0.54</v>
      </c>
      <c r="Q272" s="206" t="s">
        <v>881</v>
      </c>
      <c r="R272" s="206" t="s">
        <v>882</v>
      </c>
      <c r="S272" s="206">
        <v>793220.24170000001</v>
      </c>
      <c r="T272" s="206">
        <v>2186900.949</v>
      </c>
      <c r="U272" s="206">
        <v>793235.29749999999</v>
      </c>
      <c r="V272" s="206">
        <v>2186896.1310000001</v>
      </c>
      <c r="W272" s="206"/>
      <c r="X272" s="206"/>
      <c r="Y272" s="206"/>
      <c r="Z272" s="206"/>
      <c r="AA272" s="206"/>
      <c r="AB272" s="206" t="s">
        <v>879</v>
      </c>
      <c r="AC272" s="206" t="s">
        <v>881</v>
      </c>
      <c r="AD272" s="206"/>
      <c r="AL272" s="206"/>
      <c r="AM272" s="206"/>
      <c r="AN272" s="206"/>
      <c r="AO272" s="206"/>
      <c r="AP272" s="206"/>
      <c r="AQ272" s="206"/>
      <c r="AR272" s="206"/>
      <c r="AS272" s="206"/>
      <c r="AV272" s="206"/>
      <c r="AW272" s="206"/>
      <c r="AX272" s="206"/>
      <c r="AY272" s="206"/>
      <c r="AZ272" s="206"/>
      <c r="BD272" s="206"/>
      <c r="BF272" s="206"/>
    </row>
    <row r="273" spans="1:100" x14ac:dyDescent="0.2">
      <c r="A273" s="220">
        <v>0</v>
      </c>
      <c r="B273" s="220">
        <v>0</v>
      </c>
      <c r="C273" s="206" t="s">
        <v>875</v>
      </c>
      <c r="D273" s="206" t="s">
        <v>881</v>
      </c>
      <c r="E273" s="192">
        <v>5.03</v>
      </c>
      <c r="F273" s="206" t="s">
        <v>879</v>
      </c>
      <c r="G273" s="206"/>
      <c r="H273" s="206"/>
      <c r="I273" s="206"/>
      <c r="J273"/>
      <c r="K273"/>
      <c r="L273" s="206"/>
      <c r="M273" s="206"/>
      <c r="N273" s="206"/>
      <c r="O273" s="192">
        <v>0.54</v>
      </c>
      <c r="P273" s="192">
        <v>0.73</v>
      </c>
      <c r="Q273" s="206" t="s">
        <v>871</v>
      </c>
      <c r="R273" s="206" t="s">
        <v>883</v>
      </c>
      <c r="S273" s="206">
        <v>793235.29749999999</v>
      </c>
      <c r="T273" s="206">
        <v>2186896.1310000001</v>
      </c>
      <c r="U273" s="206">
        <v>793239.99479999999</v>
      </c>
      <c r="V273" s="206">
        <v>2186894.324</v>
      </c>
      <c r="W273" s="206"/>
      <c r="X273" s="206"/>
      <c r="Y273" s="206"/>
      <c r="Z273" s="206"/>
      <c r="AA273" s="206"/>
      <c r="AB273" s="206" t="s">
        <v>881</v>
      </c>
      <c r="AC273" s="206" t="s">
        <v>871</v>
      </c>
      <c r="AD273" s="206"/>
      <c r="AL273" s="206"/>
      <c r="AM273" s="206"/>
      <c r="AN273" s="206"/>
      <c r="AO273" s="206"/>
      <c r="AP273" s="206"/>
      <c r="AQ273" s="206"/>
      <c r="AR273" s="206"/>
      <c r="AS273" s="206"/>
      <c r="AV273" s="206"/>
      <c r="AW273" s="206"/>
      <c r="AX273" s="206"/>
      <c r="AY273" s="206"/>
      <c r="AZ273" s="206"/>
      <c r="BD273" s="206"/>
      <c r="BF273" s="206"/>
    </row>
    <row r="274" spans="1:100" x14ac:dyDescent="0.2">
      <c r="A274" s="220">
        <v>0</v>
      </c>
      <c r="B274" s="220">
        <v>1</v>
      </c>
      <c r="C274" s="206" t="s">
        <v>875</v>
      </c>
      <c r="D274" s="206" t="s">
        <v>871</v>
      </c>
      <c r="E274" s="192">
        <v>42.01</v>
      </c>
      <c r="F274" s="206" t="s">
        <v>881</v>
      </c>
      <c r="G274" s="206"/>
      <c r="H274" s="206"/>
      <c r="I274" s="206"/>
      <c r="J274"/>
      <c r="K274"/>
      <c r="L274" s="206"/>
      <c r="M274" s="206"/>
      <c r="N274" s="206"/>
      <c r="O274" s="192">
        <v>0.73</v>
      </c>
      <c r="P274" s="192">
        <v>0.5</v>
      </c>
      <c r="Q274" s="206" t="s">
        <v>674</v>
      </c>
      <c r="R274" s="206" t="s">
        <v>884</v>
      </c>
      <c r="S274" s="206">
        <v>793239.99479999999</v>
      </c>
      <c r="T274" s="206">
        <v>2186894.324</v>
      </c>
      <c r="U274" s="206">
        <v>793216.74879999994</v>
      </c>
      <c r="V274" s="206">
        <v>2186859.335</v>
      </c>
      <c r="W274" s="206"/>
      <c r="X274" s="206"/>
      <c r="Y274" s="206"/>
      <c r="Z274" s="206"/>
      <c r="AA274" s="206"/>
      <c r="AB274" s="206" t="s">
        <v>871</v>
      </c>
      <c r="AC274" s="206" t="s">
        <v>674</v>
      </c>
      <c r="AD274" s="206"/>
      <c r="AL274" s="206"/>
      <c r="AM274" s="206"/>
      <c r="AN274" s="206"/>
      <c r="AO274" s="206"/>
      <c r="AP274" s="206"/>
      <c r="AQ274" s="206"/>
      <c r="AR274" s="206"/>
      <c r="AS274" s="206"/>
      <c r="AV274" s="206"/>
      <c r="AW274" s="206"/>
      <c r="AX274" s="206"/>
      <c r="AY274" s="206"/>
      <c r="AZ274" s="206"/>
      <c r="BD274" s="206"/>
      <c r="BF274" s="206"/>
    </row>
    <row r="275" spans="1:100" x14ac:dyDescent="0.2">
      <c r="A275" s="220">
        <v>1</v>
      </c>
      <c r="B275" s="220">
        <v>1</v>
      </c>
      <c r="C275" s="206" t="s">
        <v>885</v>
      </c>
      <c r="D275" s="206" t="s">
        <v>756</v>
      </c>
      <c r="E275" s="192">
        <v>47.14</v>
      </c>
      <c r="F275" s="206"/>
      <c r="G275" s="206"/>
      <c r="H275" s="206"/>
      <c r="I275" s="206"/>
      <c r="J275"/>
      <c r="K275"/>
      <c r="L275" s="206"/>
      <c r="M275" s="206"/>
      <c r="N275" s="206"/>
      <c r="O275" s="192">
        <v>20.13</v>
      </c>
      <c r="P275" s="192">
        <v>14.95</v>
      </c>
      <c r="Q275" s="206" t="s">
        <v>754</v>
      </c>
      <c r="R275" s="206" t="s">
        <v>886</v>
      </c>
      <c r="S275" s="206">
        <v>792836.09230000002</v>
      </c>
      <c r="T275" s="206">
        <v>2187350.6090000002</v>
      </c>
      <c r="U275" s="206">
        <v>792880.61450000003</v>
      </c>
      <c r="V275" s="206">
        <v>2187335.111</v>
      </c>
      <c r="W275" s="206"/>
      <c r="X275" s="206"/>
      <c r="Y275" s="206"/>
      <c r="Z275" s="206"/>
      <c r="AA275" s="206"/>
      <c r="AB275" s="206" t="s">
        <v>756</v>
      </c>
      <c r="AC275" s="206" t="s">
        <v>754</v>
      </c>
      <c r="AD275" s="206"/>
      <c r="AL275" s="206"/>
      <c r="AM275" s="206"/>
      <c r="AN275" s="206"/>
      <c r="AO275" s="206"/>
      <c r="AP275" s="206"/>
      <c r="AQ275" s="206"/>
      <c r="AR275" s="206"/>
      <c r="AS275" s="206"/>
      <c r="AV275" s="206"/>
      <c r="AW275" s="206"/>
      <c r="AX275" s="206"/>
      <c r="AY275" s="206"/>
      <c r="AZ275" s="206"/>
      <c r="BD275" s="206"/>
      <c r="BF275" s="206"/>
    </row>
    <row r="276" spans="1:100" x14ac:dyDescent="0.2">
      <c r="A276" s="220">
        <v>1</v>
      </c>
      <c r="B276" s="220">
        <v>0</v>
      </c>
      <c r="C276" s="206" t="s">
        <v>887</v>
      </c>
      <c r="D276" s="206" t="s">
        <v>888</v>
      </c>
      <c r="E276" s="192">
        <v>48.44</v>
      </c>
      <c r="F276" s="206"/>
      <c r="G276" s="206"/>
      <c r="H276" s="206"/>
      <c r="I276" s="206"/>
      <c r="J276"/>
      <c r="K276"/>
      <c r="L276" s="206"/>
      <c r="M276" s="206"/>
      <c r="N276" s="206"/>
      <c r="O276" s="192">
        <v>6.17</v>
      </c>
      <c r="P276" s="192">
        <v>4.8899999999999997</v>
      </c>
      <c r="Q276" s="206" t="s">
        <v>889</v>
      </c>
      <c r="R276" s="206" t="s">
        <v>890</v>
      </c>
      <c r="S276" s="206">
        <v>793118.82629999996</v>
      </c>
      <c r="T276" s="206">
        <v>2187403.6749999998</v>
      </c>
      <c r="U276" s="206">
        <v>793105.03529999999</v>
      </c>
      <c r="V276" s="206">
        <v>2187357.2429999998</v>
      </c>
      <c r="W276" s="206"/>
      <c r="X276" s="206"/>
      <c r="Y276" s="206"/>
      <c r="Z276" s="206"/>
      <c r="AA276" s="206"/>
      <c r="AB276" s="206" t="s">
        <v>888</v>
      </c>
      <c r="AC276" s="206" t="s">
        <v>889</v>
      </c>
      <c r="AD276" s="206"/>
      <c r="AL276" s="206"/>
      <c r="AM276" s="206"/>
      <c r="AN276" s="206"/>
      <c r="AO276" s="206"/>
      <c r="AP276" s="206"/>
      <c r="AQ276" s="206"/>
      <c r="AR276" s="206"/>
      <c r="AS276" s="206"/>
      <c r="AV276" s="206"/>
      <c r="AW276" s="206"/>
      <c r="AX276" s="206"/>
      <c r="AY276" s="206"/>
      <c r="AZ276" s="206"/>
      <c r="BD276" s="206"/>
      <c r="BF276" s="206"/>
    </row>
    <row r="277" spans="1:100" x14ac:dyDescent="0.2">
      <c r="A277" s="220">
        <v>0</v>
      </c>
      <c r="B277" s="220">
        <v>0</v>
      </c>
      <c r="C277" s="206" t="s">
        <v>887</v>
      </c>
      <c r="D277" s="206" t="s">
        <v>889</v>
      </c>
      <c r="E277" s="192">
        <v>43.95</v>
      </c>
      <c r="F277" s="206" t="s">
        <v>888</v>
      </c>
      <c r="G277" s="206"/>
      <c r="H277" s="206"/>
      <c r="I277" s="206"/>
      <c r="J277"/>
      <c r="K277"/>
      <c r="L277" s="206"/>
      <c r="M277" s="206"/>
      <c r="N277" s="206"/>
      <c r="O277" s="192">
        <v>4.8899999999999997</v>
      </c>
      <c r="P277" s="192">
        <v>4.09</v>
      </c>
      <c r="Q277" s="206" t="s">
        <v>891</v>
      </c>
      <c r="R277" s="206" t="s">
        <v>892</v>
      </c>
      <c r="S277" s="206">
        <v>793105.03529999999</v>
      </c>
      <c r="T277" s="206">
        <v>2187357.2429999998</v>
      </c>
      <c r="U277" s="206">
        <v>793146.40839999996</v>
      </c>
      <c r="V277" s="206">
        <v>2187342.4279999998</v>
      </c>
      <c r="W277" s="206"/>
      <c r="X277" s="206"/>
      <c r="Y277" s="206"/>
      <c r="Z277" s="206"/>
      <c r="AA277" s="206"/>
      <c r="AB277" s="206" t="s">
        <v>889</v>
      </c>
      <c r="AC277" s="206" t="s">
        <v>891</v>
      </c>
      <c r="AD277" s="206"/>
      <c r="AL277" s="206"/>
      <c r="AM277" s="206"/>
      <c r="AN277" s="206"/>
      <c r="AO277" s="206"/>
      <c r="AP277" s="206"/>
      <c r="AQ277" s="206"/>
      <c r="AR277" s="206"/>
      <c r="AS277" s="206"/>
      <c r="AV277" s="206"/>
      <c r="AW277" s="206"/>
      <c r="AX277" s="206"/>
      <c r="AY277" s="206"/>
      <c r="AZ277" s="206"/>
      <c r="BD277" s="206"/>
      <c r="BF277" s="206"/>
    </row>
    <row r="278" spans="1:100" x14ac:dyDescent="0.2">
      <c r="A278" s="220">
        <v>0</v>
      </c>
      <c r="B278" s="220">
        <v>0</v>
      </c>
      <c r="C278" s="206" t="s">
        <v>887</v>
      </c>
      <c r="D278" s="206" t="s">
        <v>891</v>
      </c>
      <c r="E278" s="192">
        <v>49.37</v>
      </c>
      <c r="F278" s="206" t="s">
        <v>889</v>
      </c>
      <c r="G278" s="206" t="s">
        <v>893</v>
      </c>
      <c r="H278" s="206"/>
      <c r="I278" s="206"/>
      <c r="J278"/>
      <c r="K278"/>
      <c r="L278" s="206"/>
      <c r="M278" s="206"/>
      <c r="N278" s="206"/>
      <c r="O278" s="192">
        <v>4.09</v>
      </c>
      <c r="P278" s="192">
        <v>3.09</v>
      </c>
      <c r="Q278" s="206" t="s">
        <v>506</v>
      </c>
      <c r="R278" s="206" t="s">
        <v>894</v>
      </c>
      <c r="S278" s="206">
        <v>793146.40839999996</v>
      </c>
      <c r="T278" s="206">
        <v>2187342.4279999998</v>
      </c>
      <c r="U278" s="206">
        <v>793193.74360000005</v>
      </c>
      <c r="V278" s="206">
        <v>2187328.3960000002</v>
      </c>
      <c r="W278" s="206"/>
      <c r="X278" s="206"/>
      <c r="Y278" s="206"/>
      <c r="Z278" s="206"/>
      <c r="AA278" s="206"/>
      <c r="AB278" s="206" t="s">
        <v>891</v>
      </c>
      <c r="AC278" s="206" t="s">
        <v>506</v>
      </c>
      <c r="AD278" s="206"/>
      <c r="AL278" s="206"/>
      <c r="AM278" s="206"/>
      <c r="AN278" s="206"/>
      <c r="AO278" s="206"/>
      <c r="AP278" s="206"/>
      <c r="AQ278" s="206"/>
      <c r="AR278" s="206"/>
      <c r="AS278" s="206"/>
      <c r="AV278" s="206"/>
      <c r="AW278" s="206"/>
      <c r="AX278" s="206"/>
      <c r="AY278" s="206"/>
      <c r="AZ278" s="206"/>
      <c r="BD278" s="206"/>
      <c r="BF278" s="206"/>
    </row>
    <row r="279" spans="1:100" x14ac:dyDescent="0.2">
      <c r="A279" s="220">
        <v>0</v>
      </c>
      <c r="B279" s="220">
        <v>1</v>
      </c>
      <c r="C279" s="206" t="s">
        <v>887</v>
      </c>
      <c r="D279" s="206" t="s">
        <v>506</v>
      </c>
      <c r="E279" s="192">
        <v>46.97</v>
      </c>
      <c r="F279" s="206" t="s">
        <v>891</v>
      </c>
      <c r="G279" s="206"/>
      <c r="H279" s="206"/>
      <c r="I279" s="206"/>
      <c r="J279" s="206"/>
      <c r="K279" s="206"/>
      <c r="L279" s="206"/>
      <c r="M279" s="206"/>
      <c r="N279" s="206"/>
      <c r="O279" s="192">
        <v>3.09</v>
      </c>
      <c r="P279" s="192">
        <v>2.5299999999999998</v>
      </c>
      <c r="Q279" s="206" t="s">
        <v>504</v>
      </c>
      <c r="R279" s="206" t="s">
        <v>895</v>
      </c>
      <c r="S279" s="206">
        <v>793193.74360000005</v>
      </c>
      <c r="T279" s="206">
        <v>2187328.3960000002</v>
      </c>
      <c r="U279" s="206">
        <v>793238.73019999999</v>
      </c>
      <c r="V279" s="206">
        <v>2187314.906</v>
      </c>
      <c r="W279" s="206"/>
      <c r="X279" s="206"/>
      <c r="Y279" s="206"/>
      <c r="Z279" s="206"/>
      <c r="AA279" s="206"/>
      <c r="AB279" s="206" t="s">
        <v>506</v>
      </c>
      <c r="AC279" s="206" t="s">
        <v>504</v>
      </c>
      <c r="AD279" s="206"/>
      <c r="AL279" s="206"/>
      <c r="AM279" s="206"/>
      <c r="AN279" s="206"/>
      <c r="AO279" s="206"/>
      <c r="AP279" s="206"/>
      <c r="AQ279" s="206"/>
      <c r="AR279" s="206"/>
      <c r="AS279" s="206"/>
      <c r="AV279" s="206"/>
      <c r="AW279" s="206"/>
      <c r="AX279" s="206"/>
      <c r="AY279" s="206"/>
      <c r="AZ279" s="206"/>
      <c r="BA279" s="206"/>
      <c r="BB279" s="206"/>
      <c r="BD279" s="206"/>
      <c r="BF279" s="206"/>
      <c r="BG279" s="201"/>
      <c r="BK279" s="201"/>
      <c r="BL279" s="201"/>
      <c r="BM279" s="201"/>
      <c r="BN279" s="201"/>
      <c r="BO279" s="201"/>
      <c r="BP279" s="201"/>
      <c r="BQ279" s="201"/>
      <c r="BR279" s="201"/>
      <c r="BS279" s="201"/>
      <c r="BT279" s="201"/>
      <c r="BU279" s="201"/>
      <c r="BV279" s="201"/>
      <c r="BW279" s="201"/>
      <c r="BX279" s="201"/>
      <c r="BY279" s="201"/>
      <c r="BZ279" s="201"/>
      <c r="CA279" s="201"/>
      <c r="CB279" s="201"/>
      <c r="CC279" s="201"/>
      <c r="CD279" s="201"/>
      <c r="CE279" s="201"/>
      <c r="CF279" s="201"/>
      <c r="CG279" s="201"/>
      <c r="CH279" s="201"/>
      <c r="CI279" s="201"/>
      <c r="CJ279" s="201"/>
      <c r="CK279" s="201"/>
      <c r="CL279" s="201"/>
      <c r="CM279" s="201"/>
      <c r="CN279" s="201"/>
      <c r="CO279" s="201"/>
      <c r="CP279" s="201"/>
      <c r="CQ279" s="201"/>
      <c r="CR279" s="201"/>
      <c r="CS279" s="201"/>
      <c r="CT279" s="201"/>
      <c r="CU279" s="201"/>
      <c r="CV279" s="201"/>
    </row>
    <row r="280" spans="1:100" x14ac:dyDescent="0.2">
      <c r="A280" s="220">
        <v>1</v>
      </c>
      <c r="B280" s="220">
        <v>0</v>
      </c>
      <c r="C280" s="206" t="s">
        <v>896</v>
      </c>
      <c r="D280" s="206" t="s">
        <v>897</v>
      </c>
      <c r="E280" s="192">
        <v>41.08</v>
      </c>
      <c r="F280" s="206"/>
      <c r="G280" s="206"/>
      <c r="H280" s="206"/>
      <c r="I280" s="206"/>
      <c r="J280"/>
      <c r="K280"/>
      <c r="L280" s="206"/>
      <c r="M280" s="206"/>
      <c r="N280" s="206"/>
      <c r="O280" s="192">
        <v>7.67</v>
      </c>
      <c r="P280" s="192">
        <v>6.73</v>
      </c>
      <c r="Q280" s="206" t="s">
        <v>709</v>
      </c>
      <c r="R280" s="206" t="s">
        <v>898</v>
      </c>
      <c r="S280" s="206">
        <v>793061.68810000003</v>
      </c>
      <c r="T280" s="206">
        <v>2187419.4539999999</v>
      </c>
      <c r="U280" s="206">
        <v>793049.40460000001</v>
      </c>
      <c r="V280" s="206">
        <v>2187380.2570000002</v>
      </c>
      <c r="W280" s="206"/>
      <c r="X280" s="206"/>
      <c r="Y280" s="206"/>
      <c r="Z280" s="206"/>
      <c r="AA280" s="206"/>
      <c r="AB280" s="206" t="s">
        <v>897</v>
      </c>
      <c r="AC280" s="206" t="s">
        <v>709</v>
      </c>
      <c r="AD280" s="206"/>
      <c r="AL280" s="206"/>
      <c r="AM280" s="206"/>
      <c r="AN280" s="206"/>
      <c r="AO280" s="206"/>
      <c r="AP280" s="206"/>
      <c r="AQ280" s="206"/>
      <c r="AR280" s="206"/>
      <c r="AS280" s="206"/>
      <c r="AV280" s="206"/>
      <c r="AW280" s="206"/>
      <c r="AX280" s="206"/>
      <c r="AY280" s="206"/>
      <c r="AZ280" s="206"/>
      <c r="BD280" s="206"/>
      <c r="BF280" s="206"/>
    </row>
    <row r="281" spans="1:100" x14ac:dyDescent="0.2">
      <c r="A281" s="220">
        <v>0</v>
      </c>
      <c r="B281" s="220">
        <v>1</v>
      </c>
      <c r="C281" s="206" t="s">
        <v>896</v>
      </c>
      <c r="D281" s="206" t="s">
        <v>709</v>
      </c>
      <c r="E281" s="192">
        <v>4.1900000000000004</v>
      </c>
      <c r="F281" s="206" t="s">
        <v>897</v>
      </c>
      <c r="G281" s="206"/>
      <c r="H281" s="206"/>
      <c r="I281" s="206"/>
      <c r="J281"/>
      <c r="K281"/>
      <c r="L281" s="206"/>
      <c r="M281" s="206"/>
      <c r="N281" s="206"/>
      <c r="O281" s="192">
        <v>6.73</v>
      </c>
      <c r="P281" s="192">
        <v>6.57</v>
      </c>
      <c r="Q281" s="206" t="s">
        <v>707</v>
      </c>
      <c r="R281" s="206" t="s">
        <v>899</v>
      </c>
      <c r="S281" s="206">
        <v>793049.40460000001</v>
      </c>
      <c r="T281" s="206">
        <v>2187380.2570000002</v>
      </c>
      <c r="U281" s="206">
        <v>793048.09450000001</v>
      </c>
      <c r="V281" s="206">
        <v>2187376.2740000002</v>
      </c>
      <c r="W281" s="206"/>
      <c r="X281" s="206"/>
      <c r="Y281" s="206"/>
      <c r="Z281" s="206"/>
      <c r="AA281" s="206"/>
      <c r="AB281" s="206" t="s">
        <v>709</v>
      </c>
      <c r="AC281" s="206" t="s">
        <v>707</v>
      </c>
      <c r="AD281" s="206"/>
      <c r="AL281" s="206"/>
      <c r="AM281" s="206"/>
      <c r="AN281" s="206"/>
      <c r="AO281" s="206"/>
      <c r="AP281" s="206"/>
      <c r="AQ281" s="206"/>
      <c r="AR281" s="206"/>
      <c r="AS281" s="206"/>
      <c r="AV281" s="206"/>
      <c r="AW281" s="206"/>
      <c r="AX281" s="206"/>
      <c r="AY281" s="206"/>
      <c r="AZ281" s="206"/>
      <c r="BD281" s="206"/>
      <c r="BF281" s="206"/>
    </row>
    <row r="282" spans="1:100" x14ac:dyDescent="0.2">
      <c r="A282" s="220">
        <v>1</v>
      </c>
      <c r="B282" s="220">
        <v>0</v>
      </c>
      <c r="C282" s="206" t="s">
        <v>900</v>
      </c>
      <c r="D282" s="206" t="s">
        <v>901</v>
      </c>
      <c r="E282" s="192">
        <v>43.34</v>
      </c>
      <c r="F282" s="206"/>
      <c r="G282" s="206"/>
      <c r="H282" s="206"/>
      <c r="I282" s="206"/>
      <c r="J282"/>
      <c r="K282"/>
      <c r="L282" s="206"/>
      <c r="M282" s="206"/>
      <c r="N282" s="206"/>
      <c r="O282" s="192">
        <v>2.14</v>
      </c>
      <c r="P282" s="192">
        <v>2.2400000000000002</v>
      </c>
      <c r="Q282" s="206" t="s">
        <v>902</v>
      </c>
      <c r="R282" s="206" t="s">
        <v>903</v>
      </c>
      <c r="S282" s="206">
        <v>792996.84470000002</v>
      </c>
      <c r="T282" s="206">
        <v>2187043.2859999998</v>
      </c>
      <c r="U282" s="206">
        <v>793037.61569999997</v>
      </c>
      <c r="V282" s="206">
        <v>2187028.5920000002</v>
      </c>
      <c r="W282" s="206"/>
      <c r="X282" s="206"/>
      <c r="Y282" s="206"/>
      <c r="Z282" s="206"/>
      <c r="AA282" s="206"/>
      <c r="AB282" s="206" t="s">
        <v>901</v>
      </c>
      <c r="AC282" s="206" t="s">
        <v>902</v>
      </c>
      <c r="AD282" s="206"/>
      <c r="AL282" s="206"/>
      <c r="AM282" s="206"/>
      <c r="AN282" s="206"/>
      <c r="AO282" s="206"/>
      <c r="AP282" s="206"/>
      <c r="AQ282" s="206"/>
      <c r="AR282" s="206"/>
      <c r="AS282" s="206"/>
      <c r="AV282" s="206"/>
      <c r="AW282" s="206"/>
      <c r="AX282" s="206"/>
      <c r="AY282" s="206"/>
      <c r="AZ282" s="206"/>
      <c r="BD282" s="206"/>
      <c r="BF282" s="206"/>
    </row>
    <row r="283" spans="1:100" x14ac:dyDescent="0.2">
      <c r="A283" s="220">
        <v>0</v>
      </c>
      <c r="B283" s="220">
        <v>0</v>
      </c>
      <c r="C283" s="206" t="s">
        <v>900</v>
      </c>
      <c r="D283" s="206" t="s">
        <v>902</v>
      </c>
      <c r="E283" s="192">
        <v>48.82</v>
      </c>
      <c r="F283" s="206" t="s">
        <v>901</v>
      </c>
      <c r="G283" s="206"/>
      <c r="H283" s="206"/>
      <c r="I283" s="206"/>
      <c r="J283"/>
      <c r="K283"/>
      <c r="L283" s="206"/>
      <c r="M283" s="206"/>
      <c r="N283" s="206"/>
      <c r="O283" s="192">
        <v>2.2400000000000002</v>
      </c>
      <c r="P283" s="192">
        <v>1.5</v>
      </c>
      <c r="Q283" s="206" t="s">
        <v>904</v>
      </c>
      <c r="R283" s="206" t="s">
        <v>905</v>
      </c>
      <c r="S283" s="206">
        <v>793037.61569999997</v>
      </c>
      <c r="T283" s="206">
        <v>2187028.5920000002</v>
      </c>
      <c r="U283" s="206">
        <v>793083.6862</v>
      </c>
      <c r="V283" s="206">
        <v>2187012.452</v>
      </c>
      <c r="W283" s="206"/>
      <c r="X283" s="206"/>
      <c r="Y283" s="206"/>
      <c r="Z283" s="206"/>
      <c r="AA283" s="206"/>
      <c r="AB283" s="206" t="s">
        <v>902</v>
      </c>
      <c r="AC283" s="206" t="s">
        <v>904</v>
      </c>
      <c r="AD283" s="206"/>
      <c r="AL283" s="206"/>
      <c r="AM283" s="206"/>
      <c r="AN283" s="206"/>
      <c r="AO283" s="206"/>
      <c r="AP283" s="206"/>
      <c r="AQ283" s="206"/>
      <c r="AR283" s="206"/>
      <c r="AS283" s="206"/>
      <c r="AV283" s="206"/>
      <c r="AW283" s="206"/>
      <c r="AX283" s="206"/>
      <c r="AY283" s="206"/>
      <c r="AZ283" s="206"/>
      <c r="BD283" s="206"/>
      <c r="BF283" s="206"/>
    </row>
    <row r="284" spans="1:100" x14ac:dyDescent="0.2">
      <c r="A284" s="220">
        <v>0</v>
      </c>
      <c r="B284" s="220">
        <v>0</v>
      </c>
      <c r="C284" s="206" t="s">
        <v>900</v>
      </c>
      <c r="D284" s="206" t="s">
        <v>904</v>
      </c>
      <c r="E284" s="192">
        <v>46.12</v>
      </c>
      <c r="F284" s="206" t="s">
        <v>902</v>
      </c>
      <c r="G284" s="206" t="s">
        <v>906</v>
      </c>
      <c r="H284" s="206"/>
      <c r="I284" s="206"/>
      <c r="J284"/>
      <c r="K284"/>
      <c r="L284" s="206"/>
      <c r="M284" s="206"/>
      <c r="N284" s="206"/>
      <c r="O284" s="192">
        <v>1.5</v>
      </c>
      <c r="P284" s="192">
        <v>1.99</v>
      </c>
      <c r="Q284" s="206" t="s">
        <v>796</v>
      </c>
      <c r="R284" s="206" t="s">
        <v>907</v>
      </c>
      <c r="S284" s="206">
        <v>793083.6862</v>
      </c>
      <c r="T284" s="206">
        <v>2187012.452</v>
      </c>
      <c r="U284" s="206">
        <v>793127.76939999999</v>
      </c>
      <c r="V284" s="206">
        <v>2186998.9019999998</v>
      </c>
      <c r="W284" s="206"/>
      <c r="X284" s="206"/>
      <c r="Y284" s="206"/>
      <c r="Z284" s="206"/>
      <c r="AA284" s="206"/>
      <c r="AB284" s="206" t="s">
        <v>904</v>
      </c>
      <c r="AC284" s="206" t="s">
        <v>796</v>
      </c>
      <c r="AD284" s="206"/>
      <c r="AL284" s="206"/>
      <c r="AM284" s="206"/>
      <c r="AN284" s="206"/>
      <c r="AO284" s="206"/>
      <c r="AP284" s="206"/>
      <c r="AQ284" s="206"/>
      <c r="AR284" s="206"/>
      <c r="AS284" s="206"/>
      <c r="AV284" s="206"/>
      <c r="AW284" s="206"/>
      <c r="AX284" s="206"/>
      <c r="AY284" s="206"/>
      <c r="AZ284" s="206"/>
      <c r="BD284" s="206"/>
      <c r="BF284" s="206"/>
    </row>
    <row r="285" spans="1:100" x14ac:dyDescent="0.2">
      <c r="A285" s="220">
        <v>0</v>
      </c>
      <c r="B285" s="220">
        <v>1</v>
      </c>
      <c r="C285" s="206" t="s">
        <v>900</v>
      </c>
      <c r="D285" s="206" t="s">
        <v>796</v>
      </c>
      <c r="E285" s="192">
        <v>40.909999999999997</v>
      </c>
      <c r="F285" s="206" t="s">
        <v>904</v>
      </c>
      <c r="G285" s="206"/>
      <c r="H285" s="206"/>
      <c r="I285" s="206"/>
      <c r="J285"/>
      <c r="K285"/>
      <c r="L285" s="206"/>
      <c r="M285" s="206"/>
      <c r="N285" s="206"/>
      <c r="O285" s="192">
        <v>1.99</v>
      </c>
      <c r="P285" s="192">
        <v>1</v>
      </c>
      <c r="Q285" s="206" t="s">
        <v>794</v>
      </c>
      <c r="R285" s="206" t="s">
        <v>908</v>
      </c>
      <c r="S285" s="206">
        <v>793127.76939999999</v>
      </c>
      <c r="T285" s="206">
        <v>2186998.9019999998</v>
      </c>
      <c r="U285" s="206">
        <v>793140.23560000001</v>
      </c>
      <c r="V285" s="206">
        <v>2187037.8659999999</v>
      </c>
      <c r="W285" s="206"/>
      <c r="X285" s="206"/>
      <c r="Y285" s="206"/>
      <c r="Z285" s="206"/>
      <c r="AA285" s="206"/>
      <c r="AB285" s="206" t="s">
        <v>796</v>
      </c>
      <c r="AC285" s="206" t="s">
        <v>794</v>
      </c>
      <c r="AD285" s="206"/>
      <c r="AL285" s="206"/>
      <c r="AM285" s="206"/>
      <c r="AN285" s="206"/>
      <c r="AO285" s="206"/>
      <c r="AP285" s="206"/>
      <c r="AQ285" s="206"/>
      <c r="AR285" s="206"/>
      <c r="AS285" s="206"/>
      <c r="AV285" s="206"/>
      <c r="AW285" s="206"/>
      <c r="AX285" s="206"/>
      <c r="AY285" s="206"/>
      <c r="AZ285" s="206"/>
      <c r="BD285" s="206"/>
      <c r="BF285" s="206"/>
    </row>
    <row r="286" spans="1:100" x14ac:dyDescent="0.2">
      <c r="A286" s="220">
        <v>1</v>
      </c>
      <c r="B286" s="220">
        <v>0</v>
      </c>
      <c r="C286" s="206" t="s">
        <v>909</v>
      </c>
      <c r="D286" s="206" t="s">
        <v>910</v>
      </c>
      <c r="E286" s="192">
        <v>44.79</v>
      </c>
      <c r="F286" s="206"/>
      <c r="G286" s="206"/>
      <c r="H286" s="206"/>
      <c r="I286" s="206"/>
      <c r="J286"/>
      <c r="K286"/>
      <c r="L286" s="206"/>
      <c r="M286" s="206"/>
      <c r="N286" s="206"/>
      <c r="O286" s="192">
        <v>2.29</v>
      </c>
      <c r="P286" s="192">
        <v>2.23</v>
      </c>
      <c r="Q286" s="206" t="s">
        <v>911</v>
      </c>
      <c r="R286" s="206" t="s">
        <v>912</v>
      </c>
      <c r="S286" s="206">
        <v>792973.47820000001</v>
      </c>
      <c r="T286" s="206">
        <v>2186988.3629999999</v>
      </c>
      <c r="U286" s="206">
        <v>793015.93539999996</v>
      </c>
      <c r="V286" s="206">
        <v>2186974.09</v>
      </c>
      <c r="W286" s="206"/>
      <c r="X286" s="206"/>
      <c r="Y286" s="206"/>
      <c r="Z286" s="206"/>
      <c r="AA286" s="206"/>
      <c r="AB286" s="206" t="s">
        <v>910</v>
      </c>
      <c r="AC286" s="206" t="s">
        <v>911</v>
      </c>
      <c r="AD286" s="206"/>
      <c r="AL286" s="206"/>
      <c r="AM286" s="206"/>
      <c r="AN286" s="206"/>
      <c r="AO286" s="206"/>
      <c r="AP286" s="206"/>
      <c r="AQ286" s="206"/>
      <c r="AR286" s="206"/>
      <c r="AS286" s="206"/>
      <c r="AV286" s="206"/>
      <c r="AW286" s="206"/>
      <c r="AX286" s="206"/>
      <c r="AY286" s="206"/>
      <c r="AZ286" s="206"/>
      <c r="BD286" s="206"/>
      <c r="BF286" s="206"/>
    </row>
    <row r="287" spans="1:100" x14ac:dyDescent="0.2">
      <c r="A287" s="220">
        <v>0</v>
      </c>
      <c r="B287" s="220">
        <v>0</v>
      </c>
      <c r="C287" s="206" t="s">
        <v>909</v>
      </c>
      <c r="D287" s="206" t="s">
        <v>911</v>
      </c>
      <c r="E287" s="192">
        <v>48.61</v>
      </c>
      <c r="F287" s="206" t="s">
        <v>910</v>
      </c>
      <c r="G287" s="206"/>
      <c r="H287" s="206"/>
      <c r="I287" s="206"/>
      <c r="J287"/>
      <c r="K287"/>
      <c r="L287" s="206"/>
      <c r="M287" s="206"/>
      <c r="N287" s="206"/>
      <c r="O287" s="192">
        <v>2.23</v>
      </c>
      <c r="P287" s="192">
        <v>1.68</v>
      </c>
      <c r="Q287" s="206" t="s">
        <v>906</v>
      </c>
      <c r="R287" s="206" t="s">
        <v>913</v>
      </c>
      <c r="S287" s="206">
        <v>793015.93539999996</v>
      </c>
      <c r="T287" s="206">
        <v>2186974.09</v>
      </c>
      <c r="U287" s="206">
        <v>793061.46400000004</v>
      </c>
      <c r="V287" s="206">
        <v>2186957.0469999998</v>
      </c>
      <c r="W287" s="206"/>
      <c r="X287" s="206"/>
      <c r="Y287" s="206"/>
      <c r="Z287" s="206"/>
      <c r="AA287" s="206"/>
      <c r="AB287" s="206" t="s">
        <v>911</v>
      </c>
      <c r="AC287" s="206" t="s">
        <v>906</v>
      </c>
      <c r="AD287" s="206"/>
      <c r="AL287" s="206"/>
      <c r="AM287" s="206"/>
      <c r="AN287" s="206"/>
      <c r="AO287" s="206"/>
      <c r="AP287" s="206"/>
      <c r="AQ287" s="206"/>
      <c r="AR287" s="206"/>
      <c r="AS287" s="206"/>
      <c r="AV287" s="206"/>
      <c r="AW287" s="206"/>
      <c r="AX287" s="206"/>
      <c r="AY287" s="206"/>
      <c r="AZ287" s="206"/>
      <c r="BD287" s="206"/>
      <c r="BF287" s="206"/>
    </row>
    <row r="288" spans="1:100" x14ac:dyDescent="0.2">
      <c r="A288" s="220">
        <v>0</v>
      </c>
      <c r="B288" s="220">
        <v>1</v>
      </c>
      <c r="C288" s="206" t="s">
        <v>909</v>
      </c>
      <c r="D288" s="206" t="s">
        <v>906</v>
      </c>
      <c r="E288" s="192">
        <v>59.7</v>
      </c>
      <c r="F288" s="206" t="s">
        <v>911</v>
      </c>
      <c r="G288" s="206"/>
      <c r="H288" s="206"/>
      <c r="I288" s="206"/>
      <c r="J288"/>
      <c r="K288"/>
      <c r="L288" s="206"/>
      <c r="M288" s="206"/>
      <c r="N288" s="206"/>
      <c r="O288" s="192">
        <v>1.68</v>
      </c>
      <c r="P288" s="192">
        <v>1.5</v>
      </c>
      <c r="Q288" s="206" t="s">
        <v>904</v>
      </c>
      <c r="R288" s="206" t="s">
        <v>914</v>
      </c>
      <c r="S288" s="206">
        <v>793061.46400000004</v>
      </c>
      <c r="T288" s="206">
        <v>2186957.0469999998</v>
      </c>
      <c r="U288" s="206">
        <v>793083.6862</v>
      </c>
      <c r="V288" s="206">
        <v>2187012.452</v>
      </c>
      <c r="W288" s="206"/>
      <c r="X288" s="206"/>
      <c r="Y288" s="206"/>
      <c r="Z288" s="206"/>
      <c r="AA288" s="206"/>
      <c r="AB288" s="206" t="s">
        <v>906</v>
      </c>
      <c r="AC288" s="206" t="s">
        <v>904</v>
      </c>
      <c r="AD288" s="206"/>
      <c r="AL288" s="206"/>
      <c r="AM288" s="206"/>
      <c r="AN288" s="206"/>
      <c r="AO288" s="206"/>
      <c r="AP288" s="206"/>
      <c r="AQ288" s="206"/>
      <c r="AR288" s="206"/>
      <c r="AS288" s="206"/>
      <c r="AV288" s="206"/>
      <c r="AW288" s="206"/>
      <c r="AX288" s="206"/>
      <c r="AY288" s="206"/>
      <c r="AZ288" s="206"/>
      <c r="BD288" s="206"/>
      <c r="BF288" s="206"/>
    </row>
    <row r="289" spans="1:58" x14ac:dyDescent="0.2">
      <c r="A289" s="220">
        <v>1</v>
      </c>
      <c r="B289" s="220">
        <v>1</v>
      </c>
      <c r="C289" s="206" t="s">
        <v>915</v>
      </c>
      <c r="D289" s="206" t="s">
        <v>636</v>
      </c>
      <c r="E289" s="192">
        <v>44.38</v>
      </c>
      <c r="F289" s="206"/>
      <c r="G289" s="206"/>
      <c r="H289" s="206"/>
      <c r="I289" s="206"/>
      <c r="J289"/>
      <c r="K289"/>
      <c r="L289" s="206"/>
      <c r="M289" s="206"/>
      <c r="N289" s="206"/>
      <c r="O289" s="192">
        <v>3</v>
      </c>
      <c r="P289" s="192">
        <v>2.5</v>
      </c>
      <c r="Q289" s="206" t="s">
        <v>634</v>
      </c>
      <c r="R289" s="206" t="s">
        <v>916</v>
      </c>
      <c r="S289" s="206">
        <v>793055.95360000001</v>
      </c>
      <c r="T289" s="206">
        <v>2187220.3259999999</v>
      </c>
      <c r="U289" s="206">
        <v>793097.68810000003</v>
      </c>
      <c r="V289" s="206">
        <v>2187205.2400000002</v>
      </c>
      <c r="W289" s="206"/>
      <c r="X289" s="206"/>
      <c r="Y289" s="206"/>
      <c r="Z289" s="206"/>
      <c r="AA289" s="206"/>
      <c r="AB289" s="206" t="s">
        <v>636</v>
      </c>
      <c r="AC289" s="206" t="s">
        <v>634</v>
      </c>
      <c r="AD289" s="206"/>
      <c r="AL289" s="206"/>
      <c r="AM289" s="206"/>
      <c r="AN289" s="206"/>
      <c r="AO289" s="206"/>
      <c r="AP289" s="206"/>
      <c r="AQ289" s="206"/>
      <c r="AR289" s="206"/>
      <c r="AS289" s="206"/>
      <c r="AV289" s="206"/>
      <c r="AW289" s="206"/>
      <c r="AX289" s="206"/>
      <c r="AY289" s="206"/>
      <c r="AZ289" s="206"/>
      <c r="BD289" s="206"/>
      <c r="BF289" s="206"/>
    </row>
    <row r="290" spans="1:58" x14ac:dyDescent="0.2">
      <c r="A290" s="220">
        <v>1</v>
      </c>
      <c r="B290" s="220">
        <v>1</v>
      </c>
      <c r="C290" s="206" t="s">
        <v>917</v>
      </c>
      <c r="D290" s="206" t="s">
        <v>728</v>
      </c>
      <c r="E290" s="192">
        <v>46.06</v>
      </c>
      <c r="F290" s="206"/>
      <c r="G290" s="206"/>
      <c r="H290" s="206"/>
      <c r="I290" s="206"/>
      <c r="J290"/>
      <c r="K290"/>
      <c r="L290" s="206"/>
      <c r="M290" s="206"/>
      <c r="N290" s="206"/>
      <c r="O290" s="192">
        <v>5.57</v>
      </c>
      <c r="P290" s="192">
        <v>4.24</v>
      </c>
      <c r="Q290" s="206" t="s">
        <v>726</v>
      </c>
      <c r="R290" s="206" t="s">
        <v>918</v>
      </c>
      <c r="S290" s="206">
        <v>792946.79949999996</v>
      </c>
      <c r="T290" s="206">
        <v>2187214.9210000001</v>
      </c>
      <c r="U290" s="206">
        <v>792989.31689999998</v>
      </c>
      <c r="V290" s="206">
        <v>2187197.216</v>
      </c>
      <c r="W290" s="206"/>
      <c r="X290" s="206"/>
      <c r="Y290" s="206"/>
      <c r="Z290" s="206"/>
      <c r="AA290" s="206"/>
      <c r="AB290" s="206" t="s">
        <v>728</v>
      </c>
      <c r="AC290" s="206" t="s">
        <v>726</v>
      </c>
      <c r="AD290" s="206"/>
      <c r="AL290" s="206"/>
      <c r="AM290" s="206"/>
      <c r="AN290" s="206"/>
      <c r="AO290" s="206"/>
      <c r="AP290" s="206"/>
      <c r="AQ290" s="206"/>
      <c r="AR290" s="206"/>
      <c r="AS290" s="206"/>
      <c r="AV290" s="206"/>
      <c r="AW290" s="206"/>
      <c r="AX290" s="206"/>
      <c r="AY290" s="206"/>
      <c r="AZ290" s="206"/>
      <c r="BD290" s="206"/>
      <c r="BF290" s="206"/>
    </row>
    <row r="291" spans="1:58" x14ac:dyDescent="0.2">
      <c r="A291" s="220">
        <v>1</v>
      </c>
      <c r="B291" s="220">
        <v>1</v>
      </c>
      <c r="C291" s="206" t="s">
        <v>919</v>
      </c>
      <c r="D291" s="206" t="s">
        <v>893</v>
      </c>
      <c r="E291" s="192">
        <v>50.23</v>
      </c>
      <c r="F291" s="206"/>
      <c r="G291" s="206"/>
      <c r="H291" s="206"/>
      <c r="I291" s="206"/>
      <c r="J291"/>
      <c r="K291"/>
      <c r="L291" s="206"/>
      <c r="M291" s="206"/>
      <c r="N291" s="206"/>
      <c r="O291" s="192">
        <v>4.99</v>
      </c>
      <c r="P291" s="192">
        <v>4.09</v>
      </c>
      <c r="Q291" s="206" t="s">
        <v>891</v>
      </c>
      <c r="R291" s="206" t="s">
        <v>920</v>
      </c>
      <c r="S291" s="206">
        <v>793161.22320000001</v>
      </c>
      <c r="T291" s="206">
        <v>2187390.426</v>
      </c>
      <c r="U291" s="206">
        <v>793146.40839999996</v>
      </c>
      <c r="V291" s="206">
        <v>2187342.4279999998</v>
      </c>
      <c r="W291" s="206"/>
      <c r="X291" s="206"/>
      <c r="Y291" s="206"/>
      <c r="Z291" s="206"/>
      <c r="AA291" s="206"/>
      <c r="AB291" s="206" t="s">
        <v>893</v>
      </c>
      <c r="AC291" s="206" t="s">
        <v>891</v>
      </c>
      <c r="AD291" s="206"/>
      <c r="AL291" s="206"/>
      <c r="AM291" s="206"/>
      <c r="AN291" s="206"/>
      <c r="AO291" s="206"/>
      <c r="AP291" s="206"/>
      <c r="AQ291" s="206"/>
      <c r="AR291" s="206"/>
      <c r="AS291" s="206"/>
      <c r="AV291" s="206"/>
      <c r="AW291" s="206"/>
      <c r="AX291" s="206"/>
      <c r="AY291" s="206"/>
      <c r="AZ291" s="206"/>
      <c r="BD291" s="206"/>
      <c r="BF291" s="206"/>
    </row>
    <row r="292" spans="1:58" x14ac:dyDescent="0.2">
      <c r="A292" s="220">
        <v>1</v>
      </c>
      <c r="B292" s="220">
        <v>0</v>
      </c>
      <c r="C292" s="206" t="s">
        <v>921</v>
      </c>
      <c r="D292" s="206" t="s">
        <v>922</v>
      </c>
      <c r="E292" s="192">
        <v>48.5</v>
      </c>
      <c r="F292" s="206"/>
      <c r="G292" s="206"/>
      <c r="H292" s="206"/>
      <c r="I292" s="206"/>
      <c r="J292"/>
      <c r="K292"/>
      <c r="L292" s="206"/>
      <c r="M292" s="206"/>
      <c r="N292" s="206"/>
      <c r="O292" s="192">
        <v>3</v>
      </c>
      <c r="P292" s="192">
        <v>2.2799999999999998</v>
      </c>
      <c r="Q292" s="206" t="s">
        <v>657</v>
      </c>
      <c r="R292" s="206" t="s">
        <v>923</v>
      </c>
      <c r="S292" s="206">
        <v>792928.02599999995</v>
      </c>
      <c r="T292" s="206">
        <v>2186721.9389999998</v>
      </c>
      <c r="U292" s="206">
        <v>792972.84649999999</v>
      </c>
      <c r="V292" s="206">
        <v>2186703.4180000001</v>
      </c>
      <c r="W292" s="206"/>
      <c r="X292" s="206"/>
      <c r="Y292" s="206"/>
      <c r="Z292" s="206"/>
      <c r="AA292" s="206"/>
      <c r="AB292" s="206" t="s">
        <v>922</v>
      </c>
      <c r="AC292" s="206" t="s">
        <v>657</v>
      </c>
      <c r="AD292" s="206"/>
      <c r="AL292" s="206"/>
      <c r="AM292" s="206"/>
      <c r="AN292" s="206"/>
      <c r="AO292" s="206"/>
      <c r="AP292" s="206"/>
      <c r="AQ292" s="206"/>
      <c r="AR292" s="206"/>
      <c r="AS292" s="206"/>
      <c r="AV292" s="206"/>
      <c r="AW292" s="206"/>
      <c r="AX292" s="206"/>
      <c r="AY292" s="206"/>
      <c r="AZ292" s="206"/>
      <c r="BD292" s="206"/>
      <c r="BF292" s="206"/>
    </row>
    <row r="293" spans="1:58" x14ac:dyDescent="0.2">
      <c r="A293" s="220">
        <v>0</v>
      </c>
      <c r="B293" s="220">
        <v>1</v>
      </c>
      <c r="C293" s="206" t="s">
        <v>921</v>
      </c>
      <c r="D293" s="206" t="s">
        <v>657</v>
      </c>
      <c r="E293" s="192">
        <v>51.16</v>
      </c>
      <c r="F293" s="206" t="s">
        <v>922</v>
      </c>
      <c r="G293" s="206"/>
      <c r="H293" s="206"/>
      <c r="I293" s="206"/>
      <c r="J293"/>
      <c r="K293"/>
      <c r="L293" s="206"/>
      <c r="M293" s="206"/>
      <c r="N293" s="206"/>
      <c r="O293" s="192">
        <v>2.2799999999999998</v>
      </c>
      <c r="P293" s="192">
        <v>2</v>
      </c>
      <c r="Q293" s="206" t="s">
        <v>655</v>
      </c>
      <c r="R293" s="206" t="s">
        <v>924</v>
      </c>
      <c r="S293" s="206">
        <v>792972.84649999999</v>
      </c>
      <c r="T293" s="206">
        <v>2186703.4180000001</v>
      </c>
      <c r="U293" s="206">
        <v>792992.50870000001</v>
      </c>
      <c r="V293" s="206">
        <v>2186750.648</v>
      </c>
      <c r="W293" s="206"/>
      <c r="X293" s="206"/>
      <c r="Y293" s="206"/>
      <c r="Z293" s="206"/>
      <c r="AA293" s="206"/>
      <c r="AB293" s="206" t="s">
        <v>657</v>
      </c>
      <c r="AC293" s="206" t="s">
        <v>655</v>
      </c>
      <c r="AD293" s="206"/>
      <c r="AL293" s="206"/>
      <c r="AM293" s="206"/>
      <c r="AN293" s="206"/>
      <c r="AO293" s="206"/>
      <c r="AP293" s="206"/>
      <c r="AQ293" s="206"/>
      <c r="AR293" s="206"/>
      <c r="AS293" s="206"/>
      <c r="AV293" s="206"/>
      <c r="AW293" s="206"/>
      <c r="AX293" s="206"/>
      <c r="AY293" s="206"/>
      <c r="AZ293" s="206"/>
      <c r="BD293" s="206"/>
      <c r="BF293" s="206"/>
    </row>
    <row r="294" spans="1:58" x14ac:dyDescent="0.2">
      <c r="A294" s="220">
        <v>1</v>
      </c>
      <c r="B294" s="220">
        <v>0</v>
      </c>
      <c r="C294" s="206" t="s">
        <v>925</v>
      </c>
      <c r="D294" s="206" t="s">
        <v>926</v>
      </c>
      <c r="E294" s="192">
        <v>33.770000000000003</v>
      </c>
      <c r="F294" s="206"/>
      <c r="G294" s="206"/>
      <c r="H294" s="206"/>
      <c r="I294" s="206" t="s">
        <v>927</v>
      </c>
      <c r="J294">
        <v>16815</v>
      </c>
      <c r="K294">
        <v>2121</v>
      </c>
      <c r="L294" s="206"/>
      <c r="M294" s="206"/>
      <c r="N294" s="206"/>
      <c r="O294" s="192">
        <v>1.5</v>
      </c>
      <c r="P294" s="192">
        <v>1.45</v>
      </c>
      <c r="Q294" s="206" t="s">
        <v>928</v>
      </c>
      <c r="R294" s="206" t="s">
        <v>929</v>
      </c>
      <c r="S294" s="206">
        <v>793671.44279999996</v>
      </c>
      <c r="T294" s="206">
        <v>2187304.7949999999</v>
      </c>
      <c r="U294" s="206">
        <v>793648.90500000003</v>
      </c>
      <c r="V294" s="206">
        <v>2187279.6439999999</v>
      </c>
      <c r="W294" s="206"/>
      <c r="X294" s="206"/>
      <c r="Y294" s="206"/>
      <c r="Z294" s="206"/>
      <c r="AA294" s="206"/>
      <c r="AB294" s="206" t="s">
        <v>926</v>
      </c>
      <c r="AC294" s="206" t="s">
        <v>928</v>
      </c>
      <c r="AD294" s="206"/>
      <c r="AL294" s="206"/>
      <c r="AM294" s="206"/>
      <c r="AN294" s="206"/>
      <c r="AO294" s="206"/>
      <c r="AP294" s="206"/>
      <c r="AQ294" s="206"/>
      <c r="AR294" s="206"/>
      <c r="AS294" s="206"/>
      <c r="AV294" s="206"/>
      <c r="AW294" s="206"/>
      <c r="AX294" s="206"/>
      <c r="AY294" s="206"/>
      <c r="AZ294" s="206"/>
      <c r="BD294" s="206"/>
      <c r="BF294" s="206"/>
    </row>
    <row r="295" spans="1:58" x14ac:dyDescent="0.2">
      <c r="A295" s="220">
        <v>0</v>
      </c>
      <c r="B295" s="220">
        <v>0</v>
      </c>
      <c r="C295" s="206" t="s">
        <v>925</v>
      </c>
      <c r="D295" s="206" t="s">
        <v>928</v>
      </c>
      <c r="E295" s="192">
        <v>53.44</v>
      </c>
      <c r="F295" s="206" t="s">
        <v>926</v>
      </c>
      <c r="G295" s="206"/>
      <c r="H295" s="206"/>
      <c r="I295" s="206"/>
      <c r="J295"/>
      <c r="K295"/>
      <c r="L295" s="206"/>
      <c r="M295" s="206"/>
      <c r="N295" s="206"/>
      <c r="O295" s="192">
        <v>1.45</v>
      </c>
      <c r="P295" s="192">
        <v>0.93</v>
      </c>
      <c r="Q295" s="206" t="s">
        <v>930</v>
      </c>
      <c r="R295" s="206" t="s">
        <v>931</v>
      </c>
      <c r="S295" s="206">
        <v>793648.90500000003</v>
      </c>
      <c r="T295" s="206">
        <v>2187279.6439999999</v>
      </c>
      <c r="U295" s="206">
        <v>793606.11580000003</v>
      </c>
      <c r="V295" s="206">
        <v>2187247.6340000001</v>
      </c>
      <c r="W295" s="206"/>
      <c r="X295" s="206"/>
      <c r="Y295" s="206"/>
      <c r="Z295" s="206"/>
      <c r="AA295" s="206"/>
      <c r="AB295" s="206" t="s">
        <v>928</v>
      </c>
      <c r="AC295" s="206" t="s">
        <v>930</v>
      </c>
      <c r="AD295" s="206"/>
      <c r="AL295" s="206"/>
      <c r="AM295" s="206"/>
      <c r="AN295" s="206"/>
      <c r="AO295" s="206"/>
      <c r="AP295" s="206"/>
      <c r="AQ295" s="206"/>
      <c r="AR295" s="206"/>
      <c r="AS295" s="206"/>
      <c r="AV295" s="206"/>
      <c r="AW295" s="206"/>
      <c r="AX295" s="206"/>
      <c r="AY295" s="206"/>
      <c r="AZ295" s="206"/>
      <c r="BD295" s="206"/>
      <c r="BF295" s="206"/>
    </row>
    <row r="296" spans="1:58" x14ac:dyDescent="0.2">
      <c r="A296" s="220">
        <v>0</v>
      </c>
      <c r="B296" s="220">
        <v>0</v>
      </c>
      <c r="C296" s="206" t="s">
        <v>925</v>
      </c>
      <c r="D296" s="206" t="s">
        <v>930</v>
      </c>
      <c r="E296" s="192">
        <v>15.42</v>
      </c>
      <c r="F296" s="206" t="s">
        <v>928</v>
      </c>
      <c r="G296" s="206"/>
      <c r="H296" s="206"/>
      <c r="I296" s="206"/>
      <c r="J296"/>
      <c r="K296"/>
      <c r="L296" s="206"/>
      <c r="M296" s="206"/>
      <c r="N296" s="206"/>
      <c r="O296" s="192">
        <v>0.93</v>
      </c>
      <c r="P296" s="192">
        <v>1.1499999999999999</v>
      </c>
      <c r="Q296" s="206" t="s">
        <v>932</v>
      </c>
      <c r="R296" s="206" t="s">
        <v>933</v>
      </c>
      <c r="S296" s="206">
        <v>793606.11580000003</v>
      </c>
      <c r="T296" s="206">
        <v>2187247.6340000001</v>
      </c>
      <c r="U296" s="206">
        <v>793596.97010000004</v>
      </c>
      <c r="V296" s="206">
        <v>2187235.2220000001</v>
      </c>
      <c r="W296" s="206"/>
      <c r="X296" s="206"/>
      <c r="Y296" s="206"/>
      <c r="Z296" s="206"/>
      <c r="AA296" s="206"/>
      <c r="AB296" s="206" t="s">
        <v>930</v>
      </c>
      <c r="AC296" s="206" t="s">
        <v>932</v>
      </c>
      <c r="AD296" s="206"/>
      <c r="AL296" s="206"/>
      <c r="AM296" s="206"/>
      <c r="AN296" s="206"/>
      <c r="AO296" s="206"/>
      <c r="AP296" s="206"/>
      <c r="AQ296" s="206"/>
      <c r="AR296" s="206"/>
      <c r="AS296" s="206"/>
      <c r="AV296" s="206"/>
      <c r="AW296" s="206"/>
      <c r="AX296" s="206"/>
      <c r="AY296" s="206"/>
      <c r="AZ296" s="206"/>
      <c r="BD296" s="206"/>
      <c r="BF296" s="206"/>
    </row>
    <row r="297" spans="1:58" x14ac:dyDescent="0.2">
      <c r="A297" s="220">
        <v>0</v>
      </c>
      <c r="B297" s="220">
        <v>0</v>
      </c>
      <c r="C297" s="206" t="s">
        <v>925</v>
      </c>
      <c r="D297" s="206" t="s">
        <v>932</v>
      </c>
      <c r="E297" s="192">
        <v>56.62</v>
      </c>
      <c r="F297" s="206" t="s">
        <v>930</v>
      </c>
      <c r="G297" s="206"/>
      <c r="H297" s="206"/>
      <c r="I297" s="206"/>
      <c r="J297"/>
      <c r="K297"/>
      <c r="L297" s="206"/>
      <c r="M297" s="206"/>
      <c r="N297" s="206"/>
      <c r="O297" s="192">
        <v>1.1499999999999999</v>
      </c>
      <c r="P297" s="192">
        <v>1.01</v>
      </c>
      <c r="Q297" s="206" t="s">
        <v>934</v>
      </c>
      <c r="R297" s="206" t="s">
        <v>935</v>
      </c>
      <c r="S297" s="206">
        <v>793596.97010000004</v>
      </c>
      <c r="T297" s="206">
        <v>2187235.2220000001</v>
      </c>
      <c r="U297" s="206">
        <v>793565.93969999999</v>
      </c>
      <c r="V297" s="206">
        <v>2187187.86</v>
      </c>
      <c r="W297" s="206"/>
      <c r="X297" s="206"/>
      <c r="Y297" s="206"/>
      <c r="Z297" s="206"/>
      <c r="AA297" s="206"/>
      <c r="AB297" s="206" t="s">
        <v>932</v>
      </c>
      <c r="AC297" s="206" t="s">
        <v>934</v>
      </c>
      <c r="AD297" s="206"/>
      <c r="AL297" s="206"/>
      <c r="AM297" s="206"/>
      <c r="AN297" s="206"/>
      <c r="AO297" s="206"/>
      <c r="AP297" s="206"/>
      <c r="AQ297" s="206"/>
      <c r="AR297" s="206"/>
      <c r="AS297" s="206"/>
      <c r="AV297" s="206"/>
      <c r="AW297" s="206"/>
      <c r="AX297" s="206"/>
      <c r="AY297" s="206"/>
      <c r="AZ297" s="206"/>
      <c r="BD297" s="206"/>
      <c r="BF297" s="206"/>
    </row>
    <row r="298" spans="1:58" x14ac:dyDescent="0.2">
      <c r="A298" s="220">
        <v>0</v>
      </c>
      <c r="B298" s="220">
        <v>0</v>
      </c>
      <c r="C298" s="206" t="s">
        <v>925</v>
      </c>
      <c r="D298" s="206" t="s">
        <v>934</v>
      </c>
      <c r="E298" s="192">
        <v>73.97</v>
      </c>
      <c r="F298" s="206" t="s">
        <v>932</v>
      </c>
      <c r="G298" s="206"/>
      <c r="H298" s="206"/>
      <c r="I298" s="206"/>
      <c r="J298"/>
      <c r="K298"/>
      <c r="L298" s="206"/>
      <c r="M298" s="206"/>
      <c r="N298" s="206"/>
      <c r="O298" s="192">
        <v>1.01</v>
      </c>
      <c r="P298" s="192">
        <v>1.5</v>
      </c>
      <c r="Q298" s="206" t="s">
        <v>936</v>
      </c>
      <c r="R298" s="206" t="s">
        <v>937</v>
      </c>
      <c r="S298" s="206">
        <v>793565.93969999999</v>
      </c>
      <c r="T298" s="206">
        <v>2187187.86</v>
      </c>
      <c r="U298" s="206">
        <v>793525.43700000003</v>
      </c>
      <c r="V298" s="206">
        <v>2187125.9619999998</v>
      </c>
      <c r="W298" s="206"/>
      <c r="X298" s="206"/>
      <c r="Y298" s="206"/>
      <c r="Z298" s="206"/>
      <c r="AA298" s="206"/>
      <c r="AB298" s="206" t="s">
        <v>934</v>
      </c>
      <c r="AC298" s="206" t="s">
        <v>936</v>
      </c>
      <c r="AD298" s="206"/>
      <c r="AL298" s="206"/>
      <c r="AM298" s="206"/>
      <c r="AN298" s="206"/>
      <c r="AO298" s="206"/>
      <c r="AP298" s="206"/>
      <c r="AQ298" s="206"/>
      <c r="AR298" s="206"/>
      <c r="AS298" s="206"/>
      <c r="AV298" s="206"/>
      <c r="AW298" s="206"/>
      <c r="AX298" s="206"/>
      <c r="AY298" s="206"/>
      <c r="AZ298" s="206"/>
      <c r="BD298" s="206"/>
      <c r="BF298" s="206"/>
    </row>
    <row r="299" spans="1:58" x14ac:dyDescent="0.2">
      <c r="A299" s="220">
        <v>0</v>
      </c>
      <c r="B299" s="220">
        <v>0</v>
      </c>
      <c r="C299" s="206" t="s">
        <v>925</v>
      </c>
      <c r="D299" s="206" t="s">
        <v>936</v>
      </c>
      <c r="E299" s="192">
        <v>63.06</v>
      </c>
      <c r="F299" s="206" t="s">
        <v>934</v>
      </c>
      <c r="G299" s="206"/>
      <c r="H299" s="206"/>
      <c r="I299" s="206"/>
      <c r="J299"/>
      <c r="K299"/>
      <c r="L299" s="206"/>
      <c r="M299" s="206"/>
      <c r="N299" s="206"/>
      <c r="O299" s="192">
        <v>1.5</v>
      </c>
      <c r="P299" s="192">
        <v>1.18</v>
      </c>
      <c r="Q299" s="206" t="s">
        <v>536</v>
      </c>
      <c r="R299" s="206" t="s">
        <v>938</v>
      </c>
      <c r="S299" s="206">
        <v>793525.43700000003</v>
      </c>
      <c r="T299" s="206">
        <v>2187125.9619999998</v>
      </c>
      <c r="U299" s="206">
        <v>793491.14040000003</v>
      </c>
      <c r="V299" s="206">
        <v>2187073.048</v>
      </c>
      <c r="W299" s="206"/>
      <c r="X299" s="206"/>
      <c r="Y299" s="206"/>
      <c r="Z299" s="206"/>
      <c r="AA299" s="206"/>
      <c r="AB299" s="206" t="s">
        <v>936</v>
      </c>
      <c r="AC299" s="206" t="s">
        <v>536</v>
      </c>
      <c r="AD299" s="206"/>
      <c r="AL299" s="206"/>
      <c r="AM299" s="206"/>
      <c r="AN299" s="206"/>
      <c r="AO299" s="206"/>
      <c r="AP299" s="206"/>
      <c r="AQ299" s="206"/>
      <c r="AR299" s="206"/>
      <c r="AS299" s="206"/>
      <c r="AV299" s="206"/>
      <c r="AW299" s="206"/>
      <c r="AX299" s="206"/>
      <c r="AY299" s="206"/>
      <c r="AZ299" s="206"/>
      <c r="BD299" s="206"/>
      <c r="BF299" s="206"/>
    </row>
    <row r="300" spans="1:58" x14ac:dyDescent="0.2">
      <c r="A300" s="220">
        <v>0</v>
      </c>
      <c r="B300" s="220">
        <v>1</v>
      </c>
      <c r="C300" s="206" t="s">
        <v>925</v>
      </c>
      <c r="D300" s="206" t="s">
        <v>536</v>
      </c>
      <c r="E300" s="192">
        <v>53.29</v>
      </c>
      <c r="F300" s="206" t="s">
        <v>936</v>
      </c>
      <c r="G300" s="206"/>
      <c r="H300" s="206"/>
      <c r="I300" s="206"/>
      <c r="J300"/>
      <c r="K300"/>
      <c r="L300" s="206"/>
      <c r="M300" s="206"/>
      <c r="N300" s="206"/>
      <c r="O300" s="192">
        <v>1.18</v>
      </c>
      <c r="P300" s="192">
        <v>1.0900000000000001</v>
      </c>
      <c r="Q300" s="206" t="s">
        <v>533</v>
      </c>
      <c r="R300" s="206" t="s">
        <v>939</v>
      </c>
      <c r="S300" s="206">
        <v>793491.14040000003</v>
      </c>
      <c r="T300" s="206">
        <v>2187073.048</v>
      </c>
      <c r="U300" s="206">
        <v>793463.05130000005</v>
      </c>
      <c r="V300" s="206">
        <v>2187027.7629999998</v>
      </c>
      <c r="W300" s="206"/>
      <c r="X300" s="206"/>
      <c r="Y300" s="206"/>
      <c r="Z300" s="206"/>
      <c r="AA300" s="206"/>
      <c r="AB300" s="206" t="s">
        <v>536</v>
      </c>
      <c r="AC300" s="206" t="s">
        <v>533</v>
      </c>
      <c r="AD300" s="206"/>
      <c r="AL300" s="206"/>
      <c r="AM300" s="206"/>
      <c r="AN300" s="206"/>
      <c r="AO300" s="206"/>
      <c r="AP300" s="206"/>
      <c r="AQ300" s="206"/>
      <c r="AR300" s="206"/>
      <c r="AS300" s="206"/>
      <c r="AV300" s="206"/>
      <c r="AW300" s="206"/>
      <c r="AX300" s="206"/>
      <c r="AY300" s="206"/>
      <c r="AZ300" s="206"/>
      <c r="BD300" s="206"/>
      <c r="BF300" s="206"/>
    </row>
    <row r="301" spans="1:58" x14ac:dyDescent="0.2">
      <c r="A301" s="220">
        <v>1</v>
      </c>
      <c r="B301" s="220">
        <v>1</v>
      </c>
      <c r="C301" s="206" t="s">
        <v>940</v>
      </c>
      <c r="D301" s="206" t="s">
        <v>503</v>
      </c>
      <c r="E301" s="192">
        <v>44.12</v>
      </c>
      <c r="F301" s="206"/>
      <c r="G301" s="206"/>
      <c r="H301" s="206"/>
      <c r="I301" s="206"/>
      <c r="J301"/>
      <c r="K301"/>
      <c r="L301" s="206"/>
      <c r="M301" s="206"/>
      <c r="N301" s="206"/>
      <c r="O301" s="192">
        <v>4.32</v>
      </c>
      <c r="P301" s="192">
        <v>3.37</v>
      </c>
      <c r="Q301" s="206" t="s">
        <v>501</v>
      </c>
      <c r="R301" s="206" t="s">
        <v>941</v>
      </c>
      <c r="S301" s="206">
        <v>793211.75029999996</v>
      </c>
      <c r="T301" s="206">
        <v>2187374.1660000002</v>
      </c>
      <c r="U301" s="206">
        <v>793253.06319999998</v>
      </c>
      <c r="V301" s="206">
        <v>2187358.6880000001</v>
      </c>
      <c r="W301" s="206"/>
      <c r="X301" s="206"/>
      <c r="Y301" s="206"/>
      <c r="Z301" s="206"/>
      <c r="AA301" s="206"/>
      <c r="AB301" s="206" t="s">
        <v>503</v>
      </c>
      <c r="AC301" s="206" t="s">
        <v>501</v>
      </c>
      <c r="AD301" s="206"/>
      <c r="AL301" s="206"/>
      <c r="AM301" s="206"/>
      <c r="AN301" s="206"/>
      <c r="AO301" s="206"/>
      <c r="AP301" s="206"/>
      <c r="AQ301" s="206"/>
      <c r="AR301" s="206"/>
      <c r="AS301" s="206"/>
      <c r="AV301" s="206"/>
      <c r="AW301" s="206"/>
      <c r="AX301" s="206"/>
      <c r="AY301" s="206"/>
      <c r="AZ301" s="206"/>
      <c r="BD301" s="206"/>
      <c r="BF301" s="206"/>
    </row>
    <row r="302" spans="1:58" x14ac:dyDescent="0.2">
      <c r="A302" s="220">
        <v>1</v>
      </c>
      <c r="B302" s="220">
        <v>0</v>
      </c>
      <c r="C302" s="206" t="s">
        <v>942</v>
      </c>
      <c r="D302" s="206" t="s">
        <v>943</v>
      </c>
      <c r="E302" s="192">
        <v>45.93</v>
      </c>
      <c r="F302" s="206"/>
      <c r="G302" s="206"/>
      <c r="H302" s="206"/>
      <c r="I302" s="206"/>
      <c r="J302"/>
      <c r="K302"/>
      <c r="L302" s="206"/>
      <c r="M302" s="206"/>
      <c r="N302" s="206"/>
      <c r="O302" s="192">
        <v>2.73</v>
      </c>
      <c r="P302" s="192">
        <v>2.3199999999999998</v>
      </c>
      <c r="Q302" s="206" t="s">
        <v>944</v>
      </c>
      <c r="R302" s="206" t="s">
        <v>945</v>
      </c>
      <c r="S302" s="206">
        <v>793291.36499999999</v>
      </c>
      <c r="T302" s="206">
        <v>2187347.0649999999</v>
      </c>
      <c r="U302" s="206">
        <v>793334.36419999995</v>
      </c>
      <c r="V302" s="206">
        <v>2187330.926</v>
      </c>
      <c r="W302" s="206"/>
      <c r="X302" s="206"/>
      <c r="Y302" s="206"/>
      <c r="Z302" s="206"/>
      <c r="AA302" s="206"/>
      <c r="AB302" s="206" t="s">
        <v>943</v>
      </c>
      <c r="AC302" s="206" t="s">
        <v>944</v>
      </c>
      <c r="AD302" s="206"/>
      <c r="AL302" s="206"/>
      <c r="AM302" s="206"/>
      <c r="AN302" s="206"/>
      <c r="AO302" s="206"/>
      <c r="AP302" s="206"/>
      <c r="AQ302" s="206"/>
      <c r="AR302" s="206"/>
      <c r="AS302" s="206"/>
      <c r="AV302" s="206"/>
      <c r="AW302" s="206"/>
      <c r="AX302" s="206"/>
      <c r="AY302" s="206"/>
      <c r="AZ302" s="206"/>
      <c r="BD302" s="206"/>
      <c r="BF302" s="206"/>
    </row>
    <row r="303" spans="1:58" x14ac:dyDescent="0.2">
      <c r="A303" s="220">
        <v>0</v>
      </c>
      <c r="B303" s="220">
        <v>0</v>
      </c>
      <c r="C303" s="206" t="s">
        <v>942</v>
      </c>
      <c r="D303" s="206" t="s">
        <v>944</v>
      </c>
      <c r="E303" s="192">
        <v>46.04</v>
      </c>
      <c r="F303" s="206" t="s">
        <v>943</v>
      </c>
      <c r="G303" s="206"/>
      <c r="H303" s="206"/>
      <c r="I303" s="206"/>
      <c r="J303"/>
      <c r="K303"/>
      <c r="L303" s="206"/>
      <c r="M303" s="206"/>
      <c r="N303" s="206"/>
      <c r="O303" s="192">
        <v>2.3199999999999998</v>
      </c>
      <c r="P303" s="192">
        <v>1.92</v>
      </c>
      <c r="Q303" s="206" t="s">
        <v>559</v>
      </c>
      <c r="R303" s="206" t="s">
        <v>946</v>
      </c>
      <c r="S303" s="206">
        <v>793334.36419999995</v>
      </c>
      <c r="T303" s="206">
        <v>2187330.926</v>
      </c>
      <c r="U303" s="206">
        <v>793377.66449999996</v>
      </c>
      <c r="V303" s="206">
        <v>2187315.2680000002</v>
      </c>
      <c r="W303" s="206"/>
      <c r="X303" s="206"/>
      <c r="Y303" s="206"/>
      <c r="Z303" s="206"/>
      <c r="AA303" s="206"/>
      <c r="AB303" s="206" t="s">
        <v>944</v>
      </c>
      <c r="AC303" s="206" t="s">
        <v>559</v>
      </c>
      <c r="AD303" s="206"/>
      <c r="AL303" s="206"/>
      <c r="AM303" s="206"/>
      <c r="AN303" s="206"/>
      <c r="AO303" s="206"/>
      <c r="AP303" s="206"/>
      <c r="AQ303" s="206"/>
      <c r="AR303" s="206"/>
      <c r="AS303" s="206"/>
      <c r="AV303" s="206"/>
      <c r="AW303" s="206"/>
      <c r="AX303" s="206"/>
      <c r="AY303" s="206"/>
      <c r="AZ303" s="206"/>
      <c r="BD303" s="206"/>
      <c r="BF303" s="206"/>
    </row>
    <row r="304" spans="1:58" x14ac:dyDescent="0.2">
      <c r="A304" s="220">
        <v>0</v>
      </c>
      <c r="B304" s="220">
        <v>0</v>
      </c>
      <c r="C304" s="206" t="s">
        <v>942</v>
      </c>
      <c r="D304" s="206" t="s">
        <v>559</v>
      </c>
      <c r="E304" s="192">
        <v>49.15</v>
      </c>
      <c r="F304" s="206" t="s">
        <v>944</v>
      </c>
      <c r="G304" s="206" t="s">
        <v>556</v>
      </c>
      <c r="H304" s="206"/>
      <c r="I304" s="206"/>
      <c r="J304"/>
      <c r="K304"/>
      <c r="L304" s="206"/>
      <c r="M304" s="206"/>
      <c r="N304" s="206"/>
      <c r="O304" s="192">
        <v>1.92</v>
      </c>
      <c r="P304" s="192">
        <v>1.82</v>
      </c>
      <c r="Q304" s="206" t="s">
        <v>947</v>
      </c>
      <c r="R304" s="206" t="s">
        <v>948</v>
      </c>
      <c r="S304" s="206">
        <v>793377.66449999996</v>
      </c>
      <c r="T304" s="206">
        <v>2187315.2680000002</v>
      </c>
      <c r="U304" s="206">
        <v>793361.04299999995</v>
      </c>
      <c r="V304" s="206">
        <v>2187269.017</v>
      </c>
      <c r="W304" s="206"/>
      <c r="X304" s="206"/>
      <c r="Y304" s="206"/>
      <c r="Z304" s="206"/>
      <c r="AA304" s="206"/>
      <c r="AB304" s="206" t="s">
        <v>559</v>
      </c>
      <c r="AC304" s="206" t="s">
        <v>947</v>
      </c>
      <c r="AD304" s="206"/>
      <c r="AL304" s="206"/>
      <c r="AM304" s="206"/>
      <c r="AN304" s="206"/>
      <c r="AO304" s="206"/>
      <c r="AP304" s="206"/>
      <c r="AQ304" s="206"/>
      <c r="AR304" s="206"/>
      <c r="AS304" s="206"/>
      <c r="AV304" s="206"/>
      <c r="AW304" s="206"/>
      <c r="AX304" s="206"/>
      <c r="AY304" s="206"/>
      <c r="AZ304" s="206"/>
      <c r="BD304" s="206"/>
      <c r="BF304" s="206"/>
    </row>
    <row r="305" spans="1:100" x14ac:dyDescent="0.2">
      <c r="A305" s="220">
        <v>0</v>
      </c>
      <c r="B305" s="220">
        <v>0</v>
      </c>
      <c r="C305" s="206" t="s">
        <v>942</v>
      </c>
      <c r="D305" s="206" t="s">
        <v>947</v>
      </c>
      <c r="E305" s="192">
        <v>45.43</v>
      </c>
      <c r="F305" s="206" t="s">
        <v>559</v>
      </c>
      <c r="G305" s="206"/>
      <c r="H305" s="206"/>
      <c r="I305" s="206"/>
      <c r="J305"/>
      <c r="K305"/>
      <c r="L305" s="206"/>
      <c r="M305" s="206"/>
      <c r="N305" s="206"/>
      <c r="O305" s="192">
        <v>1.82</v>
      </c>
      <c r="P305" s="192">
        <v>1.04</v>
      </c>
      <c r="Q305" s="206" t="s">
        <v>552</v>
      </c>
      <c r="R305" s="206" t="s">
        <v>949</v>
      </c>
      <c r="S305" s="206">
        <v>793361.04299999995</v>
      </c>
      <c r="T305" s="206">
        <v>2187269.017</v>
      </c>
      <c r="U305" s="206">
        <v>793344.72250000003</v>
      </c>
      <c r="V305" s="206">
        <v>2187226.62</v>
      </c>
      <c r="W305" s="206"/>
      <c r="X305" s="206"/>
      <c r="Y305" s="206"/>
      <c r="Z305" s="206"/>
      <c r="AA305" s="206"/>
      <c r="AB305" s="206" t="s">
        <v>947</v>
      </c>
      <c r="AC305" s="206" t="s">
        <v>552</v>
      </c>
      <c r="AD305" s="206"/>
      <c r="AL305" s="206"/>
      <c r="AM305" s="206"/>
      <c r="AN305" s="206"/>
      <c r="AO305" s="206"/>
      <c r="AP305" s="206"/>
      <c r="AQ305" s="206"/>
      <c r="AR305" s="206"/>
      <c r="AS305" s="206"/>
      <c r="AV305" s="206"/>
      <c r="AW305" s="206"/>
      <c r="AX305" s="206"/>
      <c r="AY305" s="206"/>
      <c r="AZ305" s="206"/>
      <c r="BD305" s="206"/>
      <c r="BF305" s="206"/>
    </row>
    <row r="306" spans="1:100" x14ac:dyDescent="0.2">
      <c r="A306" s="220">
        <v>0</v>
      </c>
      <c r="B306" s="220">
        <v>0</v>
      </c>
      <c r="C306" s="206" t="s">
        <v>942</v>
      </c>
      <c r="D306" s="206" t="s">
        <v>552</v>
      </c>
      <c r="E306" s="192">
        <v>49.74</v>
      </c>
      <c r="F306" s="206" t="s">
        <v>947</v>
      </c>
      <c r="G306" s="206" t="s">
        <v>549</v>
      </c>
      <c r="H306" s="206"/>
      <c r="I306" s="206"/>
      <c r="J306"/>
      <c r="K306"/>
      <c r="L306" s="206"/>
      <c r="M306" s="206"/>
      <c r="N306" s="206"/>
      <c r="O306" s="192">
        <v>1.04</v>
      </c>
      <c r="P306" s="192">
        <v>1.21</v>
      </c>
      <c r="Q306" s="206" t="s">
        <v>545</v>
      </c>
      <c r="R306" s="206" t="s">
        <v>950</v>
      </c>
      <c r="S306" s="206">
        <v>793344.72250000003</v>
      </c>
      <c r="T306" s="206">
        <v>2187226.62</v>
      </c>
      <c r="U306" s="206">
        <v>793328.22840000002</v>
      </c>
      <c r="V306" s="206">
        <v>2187179.6970000002</v>
      </c>
      <c r="W306" s="206"/>
      <c r="X306" s="206"/>
      <c r="Y306" s="206"/>
      <c r="Z306" s="206"/>
      <c r="AA306" s="206"/>
      <c r="AB306" s="206" t="s">
        <v>552</v>
      </c>
      <c r="AC306" s="206" t="s">
        <v>545</v>
      </c>
      <c r="AD306" s="206"/>
      <c r="AL306" s="206"/>
      <c r="AM306" s="206"/>
      <c r="AN306" s="206"/>
      <c r="AO306" s="206"/>
      <c r="AP306" s="206"/>
      <c r="AQ306" s="206"/>
      <c r="AR306" s="206"/>
      <c r="AS306" s="206"/>
      <c r="AV306" s="206"/>
      <c r="AW306" s="206"/>
      <c r="AX306" s="206"/>
      <c r="AY306" s="206"/>
      <c r="AZ306" s="206"/>
      <c r="BD306" s="206"/>
      <c r="BF306" s="206"/>
    </row>
    <row r="307" spans="1:100" x14ac:dyDescent="0.2">
      <c r="A307" s="220">
        <v>0</v>
      </c>
      <c r="B307" s="220">
        <v>0</v>
      </c>
      <c r="C307" s="206" t="s">
        <v>942</v>
      </c>
      <c r="D307" s="206" t="s">
        <v>545</v>
      </c>
      <c r="E307" s="192">
        <v>41.87</v>
      </c>
      <c r="F307" s="206" t="s">
        <v>552</v>
      </c>
      <c r="G307" s="206" t="s">
        <v>543</v>
      </c>
      <c r="H307" s="206"/>
      <c r="I307" s="206"/>
      <c r="J307"/>
      <c r="K307"/>
      <c r="L307" s="206"/>
      <c r="M307" s="206"/>
      <c r="N307" s="206"/>
      <c r="O307" s="192">
        <v>1.21</v>
      </c>
      <c r="P307" s="192">
        <v>1.02</v>
      </c>
      <c r="Q307" s="206" t="s">
        <v>951</v>
      </c>
      <c r="R307" s="206" t="s">
        <v>952</v>
      </c>
      <c r="S307" s="206">
        <v>793328.22840000002</v>
      </c>
      <c r="T307" s="206">
        <v>2187179.6970000002</v>
      </c>
      <c r="U307" s="206">
        <v>793367.36640000006</v>
      </c>
      <c r="V307" s="206">
        <v>2187164.8309999998</v>
      </c>
      <c r="W307" s="206"/>
      <c r="X307" s="206"/>
      <c r="Y307" s="206"/>
      <c r="Z307" s="206"/>
      <c r="AA307" s="206"/>
      <c r="AB307" s="206" t="s">
        <v>545</v>
      </c>
      <c r="AC307" s="206" t="s">
        <v>951</v>
      </c>
      <c r="AD307" s="206"/>
      <c r="AL307" s="206"/>
      <c r="AM307" s="206"/>
      <c r="AN307" s="206"/>
      <c r="AO307" s="206"/>
      <c r="AP307" s="206"/>
      <c r="AQ307" s="206"/>
      <c r="AR307" s="206"/>
      <c r="AS307" s="206"/>
      <c r="AV307" s="206"/>
      <c r="AW307" s="206"/>
      <c r="AX307" s="206"/>
      <c r="AY307" s="206"/>
      <c r="AZ307" s="206"/>
      <c r="BD307" s="206"/>
      <c r="BF307" s="206"/>
    </row>
    <row r="308" spans="1:100" x14ac:dyDescent="0.2">
      <c r="A308" s="220">
        <v>0</v>
      </c>
      <c r="B308" s="220">
        <v>0</v>
      </c>
      <c r="C308" s="206" t="s">
        <v>942</v>
      </c>
      <c r="D308" s="206" t="s">
        <v>951</v>
      </c>
      <c r="E308" s="192">
        <v>22.57</v>
      </c>
      <c r="F308" s="206" t="s">
        <v>545</v>
      </c>
      <c r="G308" s="206"/>
      <c r="H308" s="206"/>
      <c r="I308" s="206"/>
      <c r="J308" s="206"/>
      <c r="K308" s="206"/>
      <c r="L308" s="206"/>
      <c r="M308" s="206"/>
      <c r="N308" s="206"/>
      <c r="O308" s="192">
        <v>1.02</v>
      </c>
      <c r="P308" s="192">
        <v>1</v>
      </c>
      <c r="Q308" s="206" t="s">
        <v>953</v>
      </c>
      <c r="R308" s="206" t="s">
        <v>954</v>
      </c>
      <c r="S308" s="206">
        <v>793367.36640000006</v>
      </c>
      <c r="T308" s="206">
        <v>2187164.8309999998</v>
      </c>
      <c r="U308" s="206">
        <v>793388.92619999999</v>
      </c>
      <c r="V308" s="206">
        <v>2187158.1460000002</v>
      </c>
      <c r="W308" s="206"/>
      <c r="X308" s="206"/>
      <c r="Y308" s="206"/>
      <c r="Z308" s="206"/>
      <c r="AA308" s="206"/>
      <c r="AB308" s="206" t="s">
        <v>951</v>
      </c>
      <c r="AC308" s="206" t="s">
        <v>953</v>
      </c>
      <c r="AD308" s="206"/>
      <c r="AL308" s="206"/>
      <c r="AM308" s="206"/>
      <c r="AN308" s="206"/>
      <c r="AO308" s="206"/>
      <c r="AP308" s="206"/>
      <c r="AQ308" s="206"/>
      <c r="AR308" s="206"/>
      <c r="AS308" s="206"/>
      <c r="AV308" s="206"/>
      <c r="AW308" s="206"/>
      <c r="AX308" s="206"/>
      <c r="AY308" s="206"/>
      <c r="AZ308" s="206"/>
      <c r="BA308" s="206"/>
      <c r="BB308" s="206"/>
      <c r="BD308" s="206"/>
      <c r="BF308" s="206"/>
      <c r="BG308" s="201"/>
      <c r="BJ308" s="201"/>
      <c r="BK308" s="201"/>
      <c r="BL308" s="201"/>
      <c r="BM308" s="201"/>
      <c r="BN308" s="201"/>
      <c r="BO308" s="201"/>
      <c r="BP308" s="201"/>
      <c r="BQ308" s="201"/>
      <c r="BR308" s="201"/>
      <c r="BS308" s="201"/>
      <c r="BT308" s="201"/>
      <c r="BU308" s="201"/>
      <c r="BV308" s="201"/>
      <c r="BW308" s="201"/>
      <c r="BX308" s="201"/>
      <c r="BY308" s="201"/>
      <c r="BZ308" s="201"/>
      <c r="CA308" s="201"/>
      <c r="CB308" s="201"/>
      <c r="CC308" s="201"/>
      <c r="CD308" s="201"/>
      <c r="CE308" s="201"/>
      <c r="CF308" s="201"/>
      <c r="CG308" s="201"/>
      <c r="CH308" s="201"/>
      <c r="CI308" s="201"/>
      <c r="CJ308" s="201"/>
      <c r="CK308" s="201"/>
      <c r="CL308" s="201"/>
      <c r="CM308" s="201"/>
      <c r="CN308" s="201"/>
      <c r="CO308" s="201"/>
      <c r="CP308" s="201"/>
      <c r="CQ308" s="201"/>
      <c r="CR308" s="201"/>
      <c r="CS308" s="201"/>
      <c r="CT308" s="201"/>
      <c r="CU308" s="201"/>
      <c r="CV308" s="201"/>
    </row>
    <row r="309" spans="1:100" x14ac:dyDescent="0.2">
      <c r="A309" s="220">
        <v>0</v>
      </c>
      <c r="B309" s="220">
        <v>0</v>
      </c>
      <c r="C309" s="206" t="s">
        <v>942</v>
      </c>
      <c r="D309" s="206" t="s">
        <v>953</v>
      </c>
      <c r="E309" s="192">
        <v>25.79</v>
      </c>
      <c r="F309" s="206" t="s">
        <v>951</v>
      </c>
      <c r="G309" s="206"/>
      <c r="H309" s="206"/>
      <c r="I309" s="206"/>
      <c r="J309"/>
      <c r="K309"/>
      <c r="L309" s="206"/>
      <c r="M309" s="206"/>
      <c r="N309" s="206"/>
      <c r="O309" s="192">
        <v>1</v>
      </c>
      <c r="P309" s="192">
        <v>1.07</v>
      </c>
      <c r="Q309" s="206" t="s">
        <v>586</v>
      </c>
      <c r="R309" s="206" t="s">
        <v>955</v>
      </c>
      <c r="S309" s="206">
        <v>793388.92619999999</v>
      </c>
      <c r="T309" s="206">
        <v>2187158.1460000002</v>
      </c>
      <c r="U309" s="206">
        <v>793413.37670000002</v>
      </c>
      <c r="V309" s="206">
        <v>2187149.9559999998</v>
      </c>
      <c r="W309" s="206"/>
      <c r="X309" s="206"/>
      <c r="Y309" s="206"/>
      <c r="Z309" s="206"/>
      <c r="AA309" s="206"/>
      <c r="AB309" s="206" t="s">
        <v>953</v>
      </c>
      <c r="AC309" s="206" t="s">
        <v>586</v>
      </c>
      <c r="AD309" s="206"/>
      <c r="AL309" s="206"/>
      <c r="AM309" s="206"/>
      <c r="AN309" s="206"/>
      <c r="AO309" s="206"/>
      <c r="AP309" s="206"/>
      <c r="AQ309" s="206"/>
      <c r="AR309" s="206"/>
      <c r="AS309" s="206"/>
      <c r="AV309" s="206"/>
      <c r="AW309" s="206"/>
      <c r="AX309" s="206"/>
      <c r="AY309" s="206"/>
      <c r="AZ309" s="206"/>
      <c r="BD309" s="206"/>
      <c r="BF309" s="206"/>
    </row>
    <row r="310" spans="1:100" x14ac:dyDescent="0.2">
      <c r="A310" s="220">
        <v>0</v>
      </c>
      <c r="B310" s="220">
        <v>0</v>
      </c>
      <c r="C310" s="206" t="s">
        <v>942</v>
      </c>
      <c r="D310" s="206" t="s">
        <v>586</v>
      </c>
      <c r="E310" s="192">
        <v>54.78</v>
      </c>
      <c r="F310" s="206" t="s">
        <v>953</v>
      </c>
      <c r="G310" s="206" t="s">
        <v>583</v>
      </c>
      <c r="H310" s="206"/>
      <c r="I310" s="206"/>
      <c r="J310"/>
      <c r="K310"/>
      <c r="L310" s="206"/>
      <c r="M310" s="206"/>
      <c r="N310" s="206"/>
      <c r="O310" s="192">
        <v>1.07</v>
      </c>
      <c r="P310" s="192">
        <v>1.27</v>
      </c>
      <c r="Q310" s="206" t="s">
        <v>529</v>
      </c>
      <c r="R310" s="206" t="s">
        <v>956</v>
      </c>
      <c r="S310" s="206">
        <v>793413.37670000002</v>
      </c>
      <c r="T310" s="206">
        <v>2187149.9559999998</v>
      </c>
      <c r="U310" s="206">
        <v>793380.61540000001</v>
      </c>
      <c r="V310" s="206">
        <v>2187106.0529999998</v>
      </c>
      <c r="W310" s="206"/>
      <c r="X310" s="206"/>
      <c r="Y310" s="206"/>
      <c r="Z310" s="206"/>
      <c r="AA310" s="206"/>
      <c r="AB310" s="206" t="s">
        <v>586</v>
      </c>
      <c r="AC310" s="206" t="s">
        <v>529</v>
      </c>
      <c r="AD310" s="206"/>
      <c r="AL310" s="206"/>
      <c r="AM310" s="206"/>
      <c r="AN310" s="206"/>
      <c r="AO310" s="206"/>
      <c r="AP310" s="206"/>
      <c r="AQ310" s="206"/>
      <c r="AR310" s="206"/>
      <c r="AS310" s="206"/>
      <c r="AV310" s="206"/>
      <c r="AW310" s="206"/>
      <c r="AX310" s="206"/>
      <c r="AY310" s="206"/>
      <c r="AZ310" s="206"/>
      <c r="BD310" s="206"/>
      <c r="BF310" s="206"/>
    </row>
    <row r="311" spans="1:100" x14ac:dyDescent="0.2">
      <c r="A311" s="220">
        <v>0</v>
      </c>
      <c r="B311" s="220">
        <v>1</v>
      </c>
      <c r="C311" s="206" t="s">
        <v>942</v>
      </c>
      <c r="D311" s="206" t="s">
        <v>529</v>
      </c>
      <c r="E311" s="192">
        <v>42.63</v>
      </c>
      <c r="F311" s="206" t="s">
        <v>586</v>
      </c>
      <c r="G311" s="206"/>
      <c r="H311" s="206"/>
      <c r="I311" s="206"/>
      <c r="J311"/>
      <c r="K311"/>
      <c r="L311" s="206"/>
      <c r="M311" s="206"/>
      <c r="N311" s="206"/>
      <c r="O311" s="192">
        <v>1.27</v>
      </c>
      <c r="P311" s="192">
        <v>1.05</v>
      </c>
      <c r="Q311" s="206" t="s">
        <v>527</v>
      </c>
      <c r="R311" s="206" t="s">
        <v>957</v>
      </c>
      <c r="S311" s="206">
        <v>793380.61540000001</v>
      </c>
      <c r="T311" s="206">
        <v>2187106.0529999998</v>
      </c>
      <c r="U311" s="206">
        <v>793355.5024</v>
      </c>
      <c r="V311" s="206">
        <v>2187071.6060000001</v>
      </c>
      <c r="W311" s="206"/>
      <c r="X311" s="206"/>
      <c r="Y311" s="206"/>
      <c r="Z311" s="206"/>
      <c r="AA311" s="206"/>
      <c r="AB311" s="206" t="s">
        <v>529</v>
      </c>
      <c r="AC311" s="206" t="s">
        <v>527</v>
      </c>
      <c r="AD311" s="206"/>
      <c r="AL311" s="206"/>
      <c r="AM311" s="206"/>
      <c r="AN311" s="206"/>
      <c r="AO311" s="206"/>
      <c r="AP311" s="206"/>
      <c r="AQ311" s="206"/>
      <c r="AR311" s="206"/>
      <c r="AS311" s="206"/>
      <c r="AV311" s="206"/>
      <c r="AW311" s="206"/>
      <c r="AX311" s="206"/>
      <c r="AY311" s="206"/>
      <c r="AZ311" s="206"/>
      <c r="BD311" s="206"/>
      <c r="BF311" s="206"/>
    </row>
    <row r="312" spans="1:100" x14ac:dyDescent="0.2">
      <c r="A312" s="220">
        <v>1</v>
      </c>
      <c r="B312" s="220">
        <v>1</v>
      </c>
      <c r="C312" s="206" t="s">
        <v>958</v>
      </c>
      <c r="D312" s="206" t="s">
        <v>519</v>
      </c>
      <c r="E312" s="192">
        <v>42.03</v>
      </c>
      <c r="F312" s="206"/>
      <c r="G312" s="206"/>
      <c r="H312" s="206"/>
      <c r="I312" s="206"/>
      <c r="J312" s="206"/>
      <c r="K312" s="206"/>
      <c r="L312" s="206"/>
      <c r="M312" s="206"/>
      <c r="N312" s="206"/>
      <c r="O312" s="192">
        <v>1.9</v>
      </c>
      <c r="P312" s="192">
        <v>1.85</v>
      </c>
      <c r="Q312" s="206" t="s">
        <v>517</v>
      </c>
      <c r="R312" s="206" t="s">
        <v>959</v>
      </c>
      <c r="S312" s="206">
        <v>793218.25439999998</v>
      </c>
      <c r="T312" s="206">
        <v>2187162.693</v>
      </c>
      <c r="U312" s="206">
        <v>793201.99419999996</v>
      </c>
      <c r="V312" s="206">
        <v>2187123.9389999998</v>
      </c>
      <c r="W312" s="206"/>
      <c r="X312" s="206"/>
      <c r="Y312" s="206"/>
      <c r="Z312" s="206"/>
      <c r="AA312" s="206"/>
      <c r="AB312" s="206" t="s">
        <v>519</v>
      </c>
      <c r="AC312" s="206" t="s">
        <v>517</v>
      </c>
      <c r="AD312" s="206"/>
      <c r="AL312" s="206"/>
      <c r="AM312" s="206"/>
      <c r="AN312" s="206"/>
      <c r="AO312" s="206"/>
      <c r="AP312" s="206"/>
      <c r="AQ312" s="206"/>
      <c r="AR312" s="206"/>
      <c r="AS312" s="206"/>
      <c r="AV312" s="206"/>
      <c r="AW312" s="206"/>
      <c r="AX312" s="206"/>
      <c r="AY312" s="206"/>
      <c r="AZ312" s="206"/>
      <c r="BA312" s="206"/>
      <c r="BB312" s="206"/>
      <c r="BD312" s="206"/>
      <c r="BF312" s="206"/>
      <c r="BG312" s="201"/>
      <c r="BH312" s="201"/>
      <c r="BJ312" s="201"/>
      <c r="BK312" s="201"/>
      <c r="BL312" s="201"/>
      <c r="BM312" s="201"/>
      <c r="BN312" s="201"/>
      <c r="BO312" s="201"/>
      <c r="BP312" s="201"/>
      <c r="BQ312" s="201"/>
      <c r="BR312" s="201"/>
      <c r="BS312" s="201"/>
      <c r="BT312" s="201"/>
      <c r="BU312" s="201"/>
      <c r="BV312" s="201"/>
      <c r="BW312" s="201"/>
      <c r="BX312" s="201"/>
      <c r="BY312" s="201"/>
      <c r="BZ312" s="201"/>
      <c r="CA312" s="201"/>
      <c r="CB312" s="201"/>
      <c r="CC312" s="201"/>
      <c r="CD312" s="201"/>
      <c r="CE312" s="201"/>
      <c r="CF312" s="201"/>
      <c r="CG312" s="201"/>
      <c r="CH312" s="201"/>
      <c r="CI312" s="201"/>
      <c r="CJ312" s="201"/>
      <c r="CK312" s="201"/>
      <c r="CL312" s="201"/>
      <c r="CM312" s="201"/>
      <c r="CN312" s="201"/>
      <c r="CO312" s="201"/>
      <c r="CP312" s="201"/>
      <c r="CQ312" s="201"/>
      <c r="CR312" s="201"/>
      <c r="CS312" s="201"/>
      <c r="CT312" s="201"/>
      <c r="CU312" s="201"/>
      <c r="CV312" s="201"/>
    </row>
    <row r="313" spans="1:100" x14ac:dyDescent="0.2">
      <c r="A313" s="220"/>
      <c r="B313" s="220"/>
      <c r="C313" s="206"/>
      <c r="D313" s="206"/>
      <c r="E313" s="192"/>
      <c r="F313" s="206"/>
      <c r="G313" s="206"/>
      <c r="H313"/>
      <c r="I313" s="206"/>
      <c r="J313"/>
      <c r="K313"/>
      <c r="L313" s="206"/>
      <c r="M313" s="192"/>
      <c r="N313" s="206"/>
      <c r="O313" s="192"/>
      <c r="P313" s="192"/>
      <c r="Q313" s="206"/>
      <c r="R313" s="206"/>
      <c r="W313" s="206"/>
      <c r="X313" s="206"/>
      <c r="Y313" s="206"/>
      <c r="Z313" s="206"/>
      <c r="AA313" s="206"/>
      <c r="AB313" s="206"/>
      <c r="AC313" s="206"/>
      <c r="AD313" s="206"/>
      <c r="AL313" s="206"/>
      <c r="AM313" s="206"/>
      <c r="AN313" s="206"/>
      <c r="AO313" s="206"/>
      <c r="AP313" s="206"/>
      <c r="AQ313" s="206"/>
      <c r="AR313" s="206"/>
      <c r="AS313" s="206"/>
      <c r="AV313" s="206"/>
      <c r="AW313" s="206"/>
      <c r="AY313" s="206"/>
      <c r="AZ313" s="206"/>
      <c r="BD313" s="206"/>
      <c r="BF313" s="206"/>
    </row>
    <row r="314" spans="1:100" x14ac:dyDescent="0.2">
      <c r="A314" s="220"/>
      <c r="B314" s="220"/>
      <c r="C314" s="206"/>
      <c r="D314" s="206"/>
      <c r="E314" s="192"/>
      <c r="F314" s="206"/>
      <c r="G314"/>
      <c r="H314"/>
      <c r="I314" s="206"/>
      <c r="J314"/>
      <c r="K314"/>
      <c r="L314" s="206"/>
      <c r="M314" s="192"/>
      <c r="N314" s="206"/>
      <c r="O314" s="192"/>
      <c r="P314" s="192"/>
      <c r="Q314" s="206"/>
      <c r="R314" s="206"/>
      <c r="W314" s="206"/>
      <c r="X314" s="206"/>
      <c r="Y314" s="206"/>
      <c r="Z314" s="206"/>
      <c r="AA314" s="206"/>
      <c r="AB314" s="206"/>
      <c r="AC314" s="206"/>
      <c r="AD314" s="206"/>
      <c r="AL314" s="206"/>
      <c r="AM314" s="206"/>
      <c r="AN314" s="206"/>
      <c r="AO314" s="206"/>
      <c r="AP314" s="206"/>
      <c r="AQ314" s="206"/>
      <c r="AR314" s="206"/>
      <c r="AS314" s="206"/>
      <c r="AV314" s="206"/>
      <c r="AY314" s="206"/>
      <c r="AZ314" s="206"/>
      <c r="BD314" s="206"/>
      <c r="BF314" s="206"/>
    </row>
    <row r="315" spans="1:100" x14ac:dyDescent="0.2">
      <c r="A315" s="220"/>
      <c r="B315" s="220"/>
      <c r="C315" s="206"/>
      <c r="D315" s="206"/>
      <c r="E315" s="192"/>
      <c r="F315" s="206"/>
      <c r="G315" s="206"/>
      <c r="H315"/>
      <c r="I315" s="206"/>
      <c r="J315"/>
      <c r="K315"/>
      <c r="L315" s="206"/>
      <c r="M315" s="192"/>
      <c r="N315" s="206"/>
      <c r="O315" s="192"/>
      <c r="P315" s="192"/>
      <c r="Q315" s="206"/>
      <c r="R315" s="206"/>
      <c r="W315" s="206"/>
      <c r="X315" s="206"/>
      <c r="Y315" s="206"/>
      <c r="Z315" s="206"/>
      <c r="AA315" s="206"/>
      <c r="AB315" s="206"/>
      <c r="AC315" s="206"/>
      <c r="AD315" s="206"/>
      <c r="AL315" s="206"/>
      <c r="AM315" s="206"/>
      <c r="AN315" s="206"/>
      <c r="AO315" s="206"/>
      <c r="AP315" s="206"/>
      <c r="AQ315" s="206"/>
      <c r="AR315" s="206"/>
      <c r="AS315" s="206"/>
      <c r="AV315" s="206"/>
      <c r="AW315" s="206"/>
      <c r="AY315" s="206"/>
      <c r="AZ315" s="206"/>
      <c r="BD315" s="206"/>
      <c r="BF315" s="206"/>
    </row>
    <row r="316" spans="1:100" x14ac:dyDescent="0.2">
      <c r="A316" s="220"/>
      <c r="B316" s="220"/>
      <c r="C316" s="206"/>
      <c r="D316" s="206"/>
      <c r="E316" s="192"/>
      <c r="F316" s="206"/>
      <c r="G316" s="206"/>
      <c r="H316"/>
      <c r="I316" s="206"/>
      <c r="J316"/>
      <c r="K316"/>
      <c r="L316" s="206"/>
      <c r="M316" s="192"/>
      <c r="N316" s="206"/>
      <c r="O316" s="192"/>
      <c r="P316" s="192"/>
      <c r="Q316" s="206"/>
      <c r="R316" s="206"/>
      <c r="W316" s="206"/>
      <c r="X316" s="206"/>
      <c r="Y316" s="206"/>
      <c r="Z316" s="206"/>
      <c r="AA316" s="206"/>
      <c r="AB316" s="206"/>
      <c r="AC316" s="206"/>
      <c r="AD316" s="206"/>
      <c r="AL316" s="206"/>
      <c r="AM316" s="206"/>
      <c r="AN316" s="206"/>
      <c r="AO316" s="206"/>
      <c r="AP316" s="206"/>
      <c r="AQ316" s="206"/>
      <c r="AR316" s="206"/>
      <c r="AS316" s="206"/>
      <c r="AV316" s="206"/>
      <c r="AW316" s="206"/>
      <c r="AY316" s="206"/>
      <c r="AZ316" s="206"/>
      <c r="BD316" s="206"/>
      <c r="BF316" s="206"/>
    </row>
    <row r="317" spans="1:100" x14ac:dyDescent="0.2">
      <c r="A317" s="220"/>
      <c r="B317" s="220"/>
      <c r="C317" s="206"/>
      <c r="D317" s="206"/>
      <c r="E317" s="192"/>
      <c r="F317" s="206"/>
      <c r="G317" s="206"/>
      <c r="H317"/>
      <c r="I317" s="206"/>
      <c r="J317"/>
      <c r="K317"/>
      <c r="L317" s="206"/>
      <c r="M317" s="192"/>
      <c r="N317" s="206"/>
      <c r="O317" s="192"/>
      <c r="P317" s="192"/>
      <c r="Q317" s="206"/>
      <c r="R317" s="206"/>
      <c r="W317" s="206"/>
      <c r="X317" s="206"/>
      <c r="Y317" s="206"/>
      <c r="Z317" s="206"/>
      <c r="AA317" s="206"/>
      <c r="AB317" s="206"/>
      <c r="AC317" s="206"/>
      <c r="AD317" s="206"/>
      <c r="AL317" s="206"/>
      <c r="AM317" s="206"/>
      <c r="AN317" s="206"/>
      <c r="AO317" s="206"/>
      <c r="AP317" s="206"/>
      <c r="AQ317" s="206"/>
      <c r="AR317" s="206"/>
      <c r="AS317" s="206"/>
      <c r="AV317" s="206"/>
      <c r="AW317" s="206"/>
      <c r="AY317" s="206"/>
      <c r="AZ317" s="206"/>
      <c r="BD317" s="206"/>
      <c r="BF317" s="206"/>
    </row>
    <row r="318" spans="1:100" x14ac:dyDescent="0.2">
      <c r="A318" s="220"/>
      <c r="B318" s="220"/>
      <c r="C318" s="206"/>
      <c r="D318" s="206"/>
      <c r="E318" s="192"/>
      <c r="F318" s="206"/>
      <c r="G318" s="206"/>
      <c r="H318" s="206"/>
      <c r="I318" s="206"/>
      <c r="J318" s="206"/>
      <c r="K318" s="206"/>
      <c r="L318" s="206"/>
      <c r="M318" s="192"/>
      <c r="N318" s="206"/>
      <c r="O318" s="192"/>
      <c r="P318" s="192"/>
      <c r="Q318" s="206"/>
      <c r="R318" s="206"/>
      <c r="W318" s="206"/>
      <c r="X318" s="206"/>
      <c r="Y318" s="206"/>
      <c r="Z318" s="206"/>
      <c r="AA318" s="206"/>
      <c r="AB318" s="206"/>
      <c r="AC318" s="206"/>
      <c r="AD318" s="206"/>
      <c r="AL318" s="206"/>
      <c r="AM318" s="206"/>
      <c r="AN318" s="206"/>
      <c r="AO318" s="206"/>
      <c r="AP318" s="206"/>
      <c r="AQ318" s="206"/>
      <c r="AR318" s="206"/>
      <c r="AS318" s="206"/>
      <c r="AV318" s="206"/>
      <c r="AW318" s="206"/>
      <c r="AX318" s="206"/>
      <c r="AY318" s="206"/>
      <c r="AZ318" s="206"/>
      <c r="BA318" s="206"/>
      <c r="BB318" s="206"/>
      <c r="BD318" s="206"/>
      <c r="BF318" s="206"/>
      <c r="BG318" s="201"/>
      <c r="BJ318" s="201"/>
      <c r="BK318" s="201"/>
      <c r="BL318" s="201"/>
      <c r="BM318" s="201"/>
      <c r="BN318" s="201"/>
      <c r="BO318" s="201"/>
      <c r="BP318" s="201"/>
      <c r="BQ318" s="201"/>
      <c r="BR318" s="201"/>
      <c r="BS318" s="201"/>
      <c r="BT318" s="201"/>
      <c r="BU318" s="201"/>
      <c r="BV318" s="201"/>
      <c r="BW318" s="201"/>
      <c r="BX318" s="201"/>
      <c r="BY318" s="201"/>
      <c r="BZ318" s="201"/>
      <c r="CA318" s="201"/>
      <c r="CB318" s="201"/>
      <c r="CC318" s="201"/>
      <c r="CD318" s="201"/>
      <c r="CE318" s="201"/>
      <c r="CF318" s="201"/>
      <c r="CG318" s="201"/>
      <c r="CH318" s="201"/>
      <c r="CI318" s="201"/>
      <c r="CJ318" s="201"/>
      <c r="CK318" s="201"/>
      <c r="CL318" s="201"/>
      <c r="CM318" s="201"/>
      <c r="CN318" s="201"/>
      <c r="CO318" s="201"/>
      <c r="CP318" s="201"/>
      <c r="CQ318" s="201"/>
      <c r="CR318" s="201"/>
      <c r="CS318" s="201"/>
      <c r="CT318" s="201"/>
      <c r="CU318" s="201"/>
      <c r="CV318" s="201"/>
    </row>
    <row r="319" spans="1:100" x14ac:dyDescent="0.2">
      <c r="A319" s="220"/>
      <c r="B319" s="220"/>
      <c r="C319" s="206"/>
      <c r="D319" s="206"/>
      <c r="E319" s="192"/>
      <c r="F319" s="206"/>
      <c r="G319" s="206"/>
      <c r="H319"/>
      <c r="I319" s="206"/>
      <c r="J319"/>
      <c r="K319"/>
      <c r="L319" s="206"/>
      <c r="M319" s="192"/>
      <c r="N319" s="206"/>
      <c r="O319" s="192"/>
      <c r="P319" s="192"/>
      <c r="Q319" s="206"/>
      <c r="R319" s="206"/>
      <c r="W319" s="206"/>
      <c r="X319" s="206"/>
      <c r="Y319" s="206"/>
      <c r="Z319" s="206"/>
      <c r="AA319" s="206"/>
      <c r="AB319" s="206"/>
      <c r="AC319" s="206"/>
      <c r="AD319" s="206"/>
      <c r="AL319" s="206"/>
      <c r="AM319" s="206"/>
      <c r="AN319" s="206"/>
      <c r="AO319" s="206"/>
      <c r="AP319" s="206"/>
      <c r="AQ319" s="206"/>
      <c r="AR319" s="206"/>
      <c r="AS319" s="206"/>
      <c r="AV319" s="206"/>
      <c r="AW319" s="206"/>
      <c r="AY319" s="206"/>
      <c r="AZ319" s="206"/>
      <c r="BD319" s="206"/>
      <c r="BF319" s="206"/>
    </row>
    <row r="320" spans="1:100" x14ac:dyDescent="0.2">
      <c r="A320" s="220"/>
      <c r="B320" s="220"/>
      <c r="C320" s="206"/>
      <c r="D320" s="206"/>
      <c r="E320" s="192"/>
      <c r="F320" s="206"/>
      <c r="G320" s="206"/>
      <c r="H320"/>
      <c r="I320" s="206"/>
      <c r="J320"/>
      <c r="K320"/>
      <c r="L320" s="206"/>
      <c r="M320" s="192"/>
      <c r="N320" s="206"/>
      <c r="O320" s="192"/>
      <c r="P320" s="192"/>
      <c r="Q320" s="206"/>
      <c r="R320" s="206"/>
      <c r="W320" s="206"/>
      <c r="X320" s="206"/>
      <c r="Y320" s="206"/>
      <c r="Z320" s="206"/>
      <c r="AA320" s="206"/>
      <c r="AB320" s="206"/>
      <c r="AC320" s="206"/>
      <c r="AD320" s="206"/>
      <c r="AL320" s="206"/>
      <c r="AM320" s="206"/>
      <c r="AN320" s="206"/>
      <c r="AO320" s="206"/>
      <c r="AP320" s="206"/>
      <c r="AQ320" s="206"/>
      <c r="AR320" s="206"/>
      <c r="AS320" s="206"/>
      <c r="AV320" s="206"/>
      <c r="AW320" s="206"/>
      <c r="AY320" s="206"/>
      <c r="AZ320" s="206"/>
      <c r="BD320" s="206"/>
      <c r="BF320" s="206"/>
    </row>
    <row r="321" spans="1:100" x14ac:dyDescent="0.2">
      <c r="A321" s="220"/>
      <c r="B321" s="220"/>
      <c r="C321" s="206"/>
      <c r="D321" s="206"/>
      <c r="E321" s="192"/>
      <c r="F321" s="206"/>
      <c r="G321" s="206"/>
      <c r="H321"/>
      <c r="I321" s="206"/>
      <c r="J321"/>
      <c r="K321"/>
      <c r="L321" s="206"/>
      <c r="M321" s="192"/>
      <c r="N321" s="206"/>
      <c r="O321" s="192"/>
      <c r="P321" s="192"/>
      <c r="Q321" s="206"/>
      <c r="R321" s="206"/>
      <c r="W321" s="206"/>
      <c r="X321" s="206"/>
      <c r="Y321" s="206"/>
      <c r="Z321" s="206"/>
      <c r="AA321" s="206"/>
      <c r="AB321" s="206"/>
      <c r="AC321" s="206"/>
      <c r="AD321" s="206"/>
      <c r="AL321" s="206"/>
      <c r="AM321" s="206"/>
      <c r="AN321" s="206"/>
      <c r="AO321" s="206"/>
      <c r="AP321" s="206"/>
      <c r="AQ321" s="206"/>
      <c r="AR321" s="206"/>
      <c r="AS321" s="206"/>
      <c r="AV321" s="206"/>
      <c r="AW321" s="206"/>
      <c r="AY321" s="206"/>
      <c r="AZ321" s="206"/>
      <c r="BD321" s="206"/>
      <c r="BF321" s="206"/>
    </row>
    <row r="322" spans="1:100" x14ac:dyDescent="0.2">
      <c r="A322" s="220"/>
      <c r="B322" s="220"/>
      <c r="C322" s="206"/>
      <c r="D322" s="206"/>
      <c r="E322" s="192"/>
      <c r="F322" s="206"/>
      <c r="G322" s="206"/>
      <c r="H322"/>
      <c r="I322" s="206"/>
      <c r="J322"/>
      <c r="K322"/>
      <c r="L322" s="206"/>
      <c r="M322" s="192"/>
      <c r="N322" s="206"/>
      <c r="O322" s="192"/>
      <c r="P322" s="192"/>
      <c r="Q322" s="206"/>
      <c r="R322" s="206"/>
      <c r="W322" s="206"/>
      <c r="X322" s="206"/>
      <c r="Y322" s="206"/>
      <c r="Z322" s="206"/>
      <c r="AA322" s="206"/>
      <c r="AB322" s="206"/>
      <c r="AC322" s="206"/>
      <c r="AD322" s="206"/>
      <c r="AL322" s="206"/>
      <c r="AM322" s="206"/>
      <c r="AN322" s="206"/>
      <c r="AO322" s="206"/>
      <c r="AP322" s="206"/>
      <c r="AQ322" s="206"/>
      <c r="AR322" s="206"/>
      <c r="AS322" s="206"/>
      <c r="AV322" s="206"/>
      <c r="AW322" s="206"/>
      <c r="AY322" s="206"/>
      <c r="AZ322" s="206"/>
      <c r="BD322" s="206"/>
      <c r="BF322" s="206"/>
    </row>
    <row r="323" spans="1:100" x14ac:dyDescent="0.2">
      <c r="A323" s="220"/>
      <c r="B323" s="220"/>
      <c r="C323" s="206"/>
      <c r="D323" s="206"/>
      <c r="E323" s="192"/>
      <c r="F323" s="206"/>
      <c r="G323" s="206"/>
      <c r="H323" s="206"/>
      <c r="I323" s="206"/>
      <c r="J323" s="206"/>
      <c r="K323" s="206"/>
      <c r="L323" s="206"/>
      <c r="M323" s="192"/>
      <c r="N323" s="206"/>
      <c r="O323" s="192"/>
      <c r="P323" s="192"/>
      <c r="Q323" s="206"/>
      <c r="R323" s="206"/>
      <c r="W323" s="206"/>
      <c r="X323" s="206"/>
      <c r="Y323" s="206"/>
      <c r="Z323" s="206"/>
      <c r="AA323" s="206"/>
      <c r="AB323" s="206"/>
      <c r="AC323" s="206"/>
      <c r="AD323" s="206"/>
      <c r="AL323" s="206"/>
      <c r="AM323" s="206"/>
      <c r="AN323" s="206"/>
      <c r="AO323" s="206"/>
      <c r="AP323" s="206"/>
      <c r="AQ323" s="206"/>
      <c r="AR323" s="206"/>
      <c r="AS323" s="206"/>
      <c r="AV323" s="206"/>
      <c r="AW323" s="206"/>
      <c r="AX323" s="206"/>
      <c r="AY323" s="206"/>
      <c r="AZ323" s="206"/>
      <c r="BA323" s="206"/>
      <c r="BB323" s="206"/>
      <c r="BD323" s="206"/>
      <c r="BF323" s="206"/>
      <c r="BG323" s="201"/>
      <c r="BK323" s="201"/>
      <c r="BL323" s="201"/>
      <c r="BM323" s="201"/>
      <c r="BN323" s="201"/>
      <c r="BO323" s="201"/>
      <c r="BP323" s="201"/>
      <c r="BQ323" s="201"/>
      <c r="BR323" s="201"/>
      <c r="BS323" s="201"/>
      <c r="BT323" s="201"/>
      <c r="BU323" s="201"/>
      <c r="BV323" s="201"/>
      <c r="BW323" s="201"/>
      <c r="BX323" s="201"/>
      <c r="BY323" s="201"/>
      <c r="BZ323" s="201"/>
      <c r="CA323" s="201"/>
      <c r="CB323" s="201"/>
      <c r="CC323" s="201"/>
      <c r="CD323" s="201"/>
      <c r="CE323" s="201"/>
      <c r="CF323" s="201"/>
      <c r="CG323" s="201"/>
      <c r="CH323" s="201"/>
      <c r="CI323" s="201"/>
      <c r="CJ323" s="201"/>
      <c r="CK323" s="201"/>
      <c r="CL323" s="201"/>
      <c r="CM323" s="201"/>
      <c r="CN323" s="201"/>
      <c r="CO323" s="201"/>
      <c r="CP323" s="201"/>
      <c r="CQ323" s="201"/>
      <c r="CR323" s="201"/>
      <c r="CS323" s="201"/>
      <c r="CT323" s="201"/>
      <c r="CU323" s="201"/>
      <c r="CV323" s="201"/>
    </row>
    <row r="324" spans="1:100" x14ac:dyDescent="0.2">
      <c r="A324" s="220"/>
      <c r="B324" s="220"/>
      <c r="C324" s="206"/>
      <c r="D324" s="206"/>
      <c r="E324" s="192"/>
      <c r="F324" s="206"/>
      <c r="G324" s="206"/>
      <c r="H324" s="206"/>
      <c r="I324" s="206"/>
      <c r="J324" s="206"/>
      <c r="K324" s="206"/>
      <c r="L324" s="206"/>
      <c r="M324" s="192"/>
      <c r="N324" s="206"/>
      <c r="O324" s="192"/>
      <c r="P324" s="192"/>
      <c r="Q324" s="206"/>
      <c r="R324" s="206"/>
      <c r="W324" s="206"/>
      <c r="X324" s="206"/>
      <c r="Y324" s="206"/>
      <c r="Z324" s="206"/>
      <c r="AA324" s="206"/>
      <c r="AB324" s="206"/>
      <c r="AC324" s="206"/>
      <c r="AD324" s="206"/>
      <c r="AL324" s="206"/>
      <c r="AM324" s="206"/>
      <c r="AN324" s="206"/>
      <c r="AO324" s="206"/>
      <c r="AP324" s="206"/>
      <c r="AQ324" s="206"/>
      <c r="AR324" s="206"/>
      <c r="AS324" s="206"/>
      <c r="AV324" s="206"/>
      <c r="AW324" s="206"/>
      <c r="AX324" s="206"/>
      <c r="AY324" s="206"/>
      <c r="AZ324" s="206"/>
      <c r="BA324" s="206"/>
      <c r="BB324" s="206"/>
      <c r="BD324" s="206"/>
      <c r="BF324" s="206"/>
      <c r="BG324" s="201"/>
      <c r="BJ324" s="201"/>
      <c r="BK324" s="201"/>
      <c r="BL324" s="201"/>
      <c r="BM324" s="201"/>
      <c r="BN324" s="201"/>
      <c r="BO324" s="201"/>
      <c r="BP324" s="201"/>
      <c r="BQ324" s="201"/>
      <c r="BR324" s="201"/>
      <c r="BS324" s="201"/>
      <c r="BT324" s="201"/>
      <c r="BU324" s="201"/>
      <c r="BV324" s="201"/>
      <c r="BW324" s="201"/>
      <c r="BX324" s="201"/>
      <c r="BY324" s="201"/>
      <c r="BZ324" s="201"/>
      <c r="CA324" s="201"/>
      <c r="CB324" s="201"/>
      <c r="CC324" s="201"/>
      <c r="CD324" s="201"/>
      <c r="CE324" s="201"/>
      <c r="CF324" s="201"/>
      <c r="CG324" s="201"/>
      <c r="CH324" s="201"/>
      <c r="CI324" s="201"/>
      <c r="CJ324" s="201"/>
      <c r="CK324" s="201"/>
      <c r="CL324" s="201"/>
      <c r="CM324" s="201"/>
      <c r="CN324" s="201"/>
      <c r="CO324" s="201"/>
      <c r="CP324" s="201"/>
      <c r="CQ324" s="201"/>
      <c r="CR324" s="201"/>
      <c r="CS324" s="201"/>
      <c r="CT324" s="201"/>
      <c r="CU324" s="201"/>
      <c r="CV324" s="201"/>
    </row>
    <row r="325" spans="1:100" x14ac:dyDescent="0.2">
      <c r="A325" s="220"/>
      <c r="B325" s="220"/>
      <c r="C325" s="206"/>
      <c r="D325" s="206"/>
      <c r="E325" s="192"/>
      <c r="F325" s="206"/>
      <c r="G325" s="206"/>
      <c r="H325" s="206"/>
      <c r="I325" s="206"/>
      <c r="J325" s="206"/>
      <c r="K325" s="206"/>
      <c r="L325" s="206"/>
      <c r="M325" s="192"/>
      <c r="N325" s="206"/>
      <c r="O325" s="192"/>
      <c r="P325" s="192"/>
      <c r="Q325" s="206"/>
      <c r="R325" s="206"/>
      <c r="W325" s="206"/>
      <c r="X325" s="206"/>
      <c r="Y325" s="206"/>
      <c r="Z325" s="206"/>
      <c r="AA325" s="206"/>
      <c r="AB325" s="206"/>
      <c r="AC325" s="206"/>
      <c r="AD325" s="206"/>
      <c r="AL325" s="206"/>
      <c r="AM325" s="206"/>
      <c r="AN325" s="206"/>
      <c r="AO325" s="206"/>
      <c r="AP325" s="206"/>
      <c r="AQ325" s="206"/>
      <c r="AR325" s="206"/>
      <c r="AS325" s="206"/>
      <c r="AV325" s="206"/>
      <c r="AW325" s="206"/>
      <c r="AX325" s="206"/>
      <c r="AY325" s="206"/>
      <c r="AZ325" s="206"/>
      <c r="BA325" s="206"/>
      <c r="BB325" s="206"/>
      <c r="BD325" s="206"/>
      <c r="BF325" s="206"/>
      <c r="BG325" s="201"/>
      <c r="BJ325" s="201"/>
      <c r="BK325" s="201"/>
      <c r="BL325" s="201"/>
      <c r="BM325" s="201"/>
      <c r="BN325" s="201"/>
      <c r="BO325" s="201"/>
      <c r="BP325" s="201"/>
      <c r="BQ325" s="201"/>
      <c r="BR325" s="201"/>
      <c r="BS325" s="201"/>
      <c r="BT325" s="201"/>
      <c r="BU325" s="201"/>
      <c r="BV325" s="201"/>
      <c r="BW325" s="201"/>
      <c r="BX325" s="201"/>
      <c r="BY325" s="201"/>
      <c r="BZ325" s="201"/>
      <c r="CA325" s="201"/>
      <c r="CB325" s="201"/>
      <c r="CC325" s="201"/>
      <c r="CD325" s="201"/>
      <c r="CE325" s="201"/>
      <c r="CF325" s="201"/>
      <c r="CG325" s="201"/>
      <c r="CH325" s="201"/>
      <c r="CI325" s="201"/>
      <c r="CJ325" s="201"/>
      <c r="CK325" s="201"/>
      <c r="CL325" s="201"/>
      <c r="CM325" s="201"/>
      <c r="CN325" s="201"/>
      <c r="CP325" s="201"/>
      <c r="CQ325" s="201"/>
      <c r="CR325" s="201"/>
      <c r="CS325" s="201"/>
      <c r="CT325" s="201"/>
      <c r="CU325" s="201"/>
      <c r="CV325" s="201"/>
    </row>
    <row r="326" spans="1:100" x14ac:dyDescent="0.2">
      <c r="A326" s="220"/>
      <c r="B326" s="220"/>
      <c r="C326" s="206"/>
      <c r="D326" s="206"/>
      <c r="E326" s="192"/>
      <c r="F326" s="206"/>
      <c r="G326" s="206"/>
      <c r="H326"/>
      <c r="I326" s="206"/>
      <c r="J326"/>
      <c r="K326"/>
      <c r="L326" s="206"/>
      <c r="M326" s="192"/>
      <c r="N326" s="206"/>
      <c r="O326" s="192"/>
      <c r="P326" s="192"/>
      <c r="Q326" s="206"/>
      <c r="R326" s="206"/>
      <c r="W326" s="206"/>
      <c r="X326" s="206"/>
      <c r="Y326" s="206"/>
      <c r="Z326" s="206"/>
      <c r="AA326" s="206"/>
      <c r="AB326" s="206"/>
      <c r="AC326" s="206"/>
      <c r="AD326" s="206"/>
      <c r="AL326" s="206"/>
      <c r="AM326" s="206"/>
      <c r="AN326" s="206"/>
      <c r="AO326" s="206"/>
      <c r="AP326" s="206"/>
      <c r="AQ326" s="206"/>
      <c r="AR326" s="206"/>
      <c r="AS326" s="206"/>
      <c r="AV326" s="206"/>
      <c r="AW326" s="206"/>
      <c r="AY326" s="206"/>
      <c r="AZ326" s="206"/>
      <c r="BD326" s="206"/>
      <c r="BF326" s="206"/>
    </row>
    <row r="327" spans="1:100" x14ac:dyDescent="0.2">
      <c r="A327" s="220"/>
      <c r="B327" s="220"/>
      <c r="C327" s="206"/>
      <c r="D327" s="206"/>
      <c r="E327" s="192"/>
      <c r="F327" s="206"/>
      <c r="G327" s="206"/>
      <c r="H327" s="206"/>
      <c r="I327" s="206"/>
      <c r="J327" s="206"/>
      <c r="K327" s="206"/>
      <c r="L327" s="206"/>
      <c r="M327" s="192"/>
      <c r="N327" s="206"/>
      <c r="O327" s="192"/>
      <c r="P327" s="192"/>
      <c r="Q327" s="206"/>
      <c r="R327" s="206"/>
      <c r="W327" s="206"/>
      <c r="X327" s="206"/>
      <c r="Y327" s="206"/>
      <c r="Z327" s="206"/>
      <c r="AA327" s="206"/>
      <c r="AB327" s="206"/>
      <c r="AC327" s="206"/>
      <c r="AD327" s="206"/>
      <c r="AL327" s="206"/>
      <c r="AM327" s="206"/>
      <c r="AN327" s="206"/>
      <c r="AO327" s="206"/>
      <c r="AP327" s="206"/>
      <c r="AQ327" s="206"/>
      <c r="AR327" s="206"/>
      <c r="AS327" s="206"/>
      <c r="AV327" s="206"/>
      <c r="AW327" s="206"/>
      <c r="AX327" s="206"/>
      <c r="AY327" s="206"/>
      <c r="AZ327" s="206"/>
      <c r="BA327" s="206"/>
      <c r="BB327" s="206"/>
      <c r="BD327" s="206"/>
      <c r="BF327" s="206"/>
      <c r="BG327" s="201"/>
      <c r="BJ327" s="201"/>
      <c r="BK327" s="201"/>
      <c r="BL327" s="201"/>
      <c r="BM327" s="201"/>
      <c r="BN327" s="201"/>
      <c r="BO327" s="201"/>
      <c r="BP327" s="201"/>
      <c r="BQ327" s="201"/>
      <c r="BR327" s="201"/>
      <c r="BS327" s="201"/>
      <c r="BT327" s="201"/>
      <c r="BU327" s="201"/>
      <c r="BV327" s="201"/>
      <c r="BW327" s="201"/>
      <c r="BX327" s="201"/>
      <c r="BY327" s="201"/>
      <c r="BZ327" s="201"/>
      <c r="CA327" s="201"/>
      <c r="CB327" s="201"/>
      <c r="CC327" s="201"/>
      <c r="CD327" s="201"/>
      <c r="CE327" s="201"/>
      <c r="CF327" s="201"/>
      <c r="CG327" s="201"/>
      <c r="CH327" s="201"/>
      <c r="CI327" s="201"/>
      <c r="CJ327" s="201"/>
      <c r="CK327" s="201"/>
      <c r="CL327" s="201"/>
      <c r="CM327" s="201"/>
      <c r="CN327" s="201"/>
      <c r="CO327" s="201"/>
      <c r="CP327" s="201"/>
      <c r="CQ327" s="201"/>
      <c r="CR327" s="201"/>
      <c r="CS327" s="201"/>
      <c r="CT327" s="201"/>
      <c r="CU327" s="201"/>
      <c r="CV327" s="201"/>
    </row>
    <row r="328" spans="1:100" x14ac:dyDescent="0.2">
      <c r="A328" s="220"/>
      <c r="B328" s="220"/>
      <c r="C328" s="206"/>
      <c r="D328" s="206"/>
      <c r="E328" s="192"/>
      <c r="F328" s="206"/>
      <c r="G328" s="206"/>
      <c r="H328"/>
      <c r="I328" s="206"/>
      <c r="J328"/>
      <c r="K328"/>
      <c r="L328" s="206"/>
      <c r="M328" s="192"/>
      <c r="N328" s="206"/>
      <c r="O328" s="192"/>
      <c r="P328" s="192"/>
      <c r="Q328" s="206"/>
      <c r="R328" s="206"/>
      <c r="W328" s="206"/>
      <c r="X328" s="206"/>
      <c r="Y328" s="206"/>
      <c r="Z328" s="206"/>
      <c r="AA328" s="206"/>
      <c r="AB328" s="206"/>
      <c r="AC328" s="206"/>
      <c r="AD328" s="206"/>
      <c r="AL328" s="206"/>
      <c r="AM328" s="206"/>
      <c r="AN328" s="206"/>
      <c r="AO328" s="206"/>
      <c r="AP328" s="206"/>
      <c r="AQ328" s="206"/>
      <c r="AR328" s="206"/>
      <c r="AS328" s="206"/>
      <c r="AV328" s="206"/>
      <c r="AW328" s="206"/>
      <c r="AY328" s="206"/>
      <c r="AZ328" s="206"/>
      <c r="BD328" s="206"/>
      <c r="BF328" s="206"/>
    </row>
    <row r="329" spans="1:100" x14ac:dyDescent="0.2">
      <c r="A329" s="220"/>
      <c r="B329" s="220"/>
      <c r="C329" s="206"/>
      <c r="D329" s="206"/>
      <c r="E329" s="192"/>
      <c r="F329" s="206"/>
      <c r="G329" s="206"/>
      <c r="H329"/>
      <c r="I329" s="206"/>
      <c r="J329"/>
      <c r="K329"/>
      <c r="L329" s="206"/>
      <c r="M329" s="192"/>
      <c r="N329" s="206"/>
      <c r="O329" s="192"/>
      <c r="P329" s="192"/>
      <c r="Q329" s="206"/>
      <c r="R329" s="206"/>
      <c r="W329" s="206"/>
      <c r="X329" s="206"/>
      <c r="Y329" s="206"/>
      <c r="Z329" s="206"/>
      <c r="AA329" s="206"/>
      <c r="AB329" s="206"/>
      <c r="AC329" s="206"/>
      <c r="AD329" s="206"/>
      <c r="AL329" s="206"/>
      <c r="AM329" s="206"/>
      <c r="AN329" s="206"/>
      <c r="AO329" s="206"/>
      <c r="AP329" s="206"/>
      <c r="AQ329" s="206"/>
      <c r="AR329" s="206"/>
      <c r="AS329" s="206"/>
      <c r="AV329" s="206"/>
      <c r="AW329" s="206"/>
      <c r="AY329" s="206"/>
      <c r="AZ329" s="206"/>
      <c r="BD329" s="206"/>
      <c r="BF329" s="206"/>
    </row>
    <row r="330" spans="1:100" x14ac:dyDescent="0.2">
      <c r="A330" s="220"/>
      <c r="B330" s="220"/>
      <c r="C330" s="206"/>
      <c r="D330" s="206"/>
      <c r="E330" s="192"/>
      <c r="F330" s="206"/>
      <c r="G330" s="206"/>
      <c r="H330"/>
      <c r="I330" s="206"/>
      <c r="J330"/>
      <c r="K330"/>
      <c r="L330" s="206"/>
      <c r="M330" s="192"/>
      <c r="N330" s="206"/>
      <c r="O330" s="192"/>
      <c r="P330" s="192"/>
      <c r="Q330" s="206"/>
      <c r="R330" s="206"/>
      <c r="W330" s="206"/>
      <c r="X330" s="206"/>
      <c r="Y330" s="206"/>
      <c r="Z330" s="206"/>
      <c r="AA330" s="206"/>
      <c r="AB330" s="206"/>
      <c r="AC330" s="206"/>
      <c r="AD330" s="206"/>
      <c r="AL330" s="206"/>
      <c r="AM330" s="206"/>
      <c r="AN330" s="206"/>
      <c r="AO330" s="206"/>
      <c r="AP330" s="206"/>
      <c r="AQ330" s="206"/>
      <c r="AR330" s="206"/>
      <c r="AS330" s="206"/>
      <c r="AV330" s="206"/>
      <c r="AW330" s="206"/>
      <c r="AY330" s="206"/>
      <c r="AZ330" s="206"/>
      <c r="BD330" s="206"/>
      <c r="BF330" s="206"/>
    </row>
    <row r="331" spans="1:100" x14ac:dyDescent="0.2">
      <c r="A331" s="220"/>
      <c r="B331" s="220"/>
      <c r="C331" s="206"/>
      <c r="D331" s="206"/>
      <c r="E331" s="192"/>
      <c r="F331" s="206"/>
      <c r="G331" s="206"/>
      <c r="H331" s="206"/>
      <c r="I331" s="206"/>
      <c r="J331"/>
      <c r="K331"/>
      <c r="L331" s="206"/>
      <c r="M331" s="192"/>
      <c r="N331" s="206"/>
      <c r="O331" s="192"/>
      <c r="P331" s="192"/>
      <c r="Q331" s="206"/>
      <c r="R331" s="206"/>
      <c r="W331" s="206"/>
      <c r="X331" s="206"/>
      <c r="Y331" s="206"/>
      <c r="Z331" s="206"/>
      <c r="AA331" s="206"/>
      <c r="AB331" s="206"/>
      <c r="AC331" s="206"/>
      <c r="AD331" s="206"/>
      <c r="AL331" s="206"/>
      <c r="AM331" s="206"/>
      <c r="AN331" s="206"/>
      <c r="AO331" s="206"/>
      <c r="AP331" s="206"/>
      <c r="AQ331" s="206"/>
      <c r="AR331" s="206"/>
      <c r="AS331" s="206"/>
      <c r="AV331" s="206"/>
      <c r="AW331" s="206"/>
      <c r="AX331" s="206"/>
      <c r="AY331" s="206"/>
      <c r="AZ331" s="206"/>
      <c r="BD331" s="206"/>
      <c r="BF331" s="206"/>
    </row>
    <row r="332" spans="1:100" x14ac:dyDescent="0.2">
      <c r="A332" s="220"/>
      <c r="B332" s="220"/>
      <c r="C332" s="206"/>
      <c r="D332" s="206"/>
      <c r="E332" s="192"/>
      <c r="F332" s="206"/>
      <c r="G332" s="206"/>
      <c r="H332"/>
      <c r="I332" s="206"/>
      <c r="J332"/>
      <c r="K332"/>
      <c r="L332" s="206"/>
      <c r="M332" s="192"/>
      <c r="N332" s="206"/>
      <c r="O332" s="192"/>
      <c r="P332" s="192"/>
      <c r="Q332" s="206"/>
      <c r="R332" s="206"/>
      <c r="W332" s="206"/>
      <c r="X332" s="206"/>
      <c r="Y332" s="206"/>
      <c r="Z332" s="206"/>
      <c r="AA332" s="206"/>
      <c r="AB332" s="206"/>
      <c r="AC332" s="206"/>
      <c r="AD332" s="206"/>
      <c r="AL332" s="206"/>
      <c r="AM332" s="206"/>
      <c r="AN332" s="206"/>
      <c r="AO332" s="206"/>
      <c r="AP332" s="206"/>
      <c r="AQ332" s="206"/>
      <c r="AR332" s="206"/>
      <c r="AS332" s="206"/>
      <c r="AV332" s="206"/>
      <c r="AW332" s="206"/>
      <c r="AY332" s="206"/>
      <c r="AZ332" s="206"/>
      <c r="BD332" s="206"/>
      <c r="BF332" s="206"/>
    </row>
    <row r="333" spans="1:100" x14ac:dyDescent="0.2">
      <c r="A333" s="220"/>
      <c r="B333" s="220"/>
      <c r="C333" s="206"/>
      <c r="D333" s="206"/>
      <c r="E333" s="192"/>
      <c r="F333" s="206"/>
      <c r="G333" s="206"/>
      <c r="H333"/>
      <c r="I333" s="206"/>
      <c r="J333"/>
      <c r="K333"/>
      <c r="L333" s="206"/>
      <c r="M333" s="192"/>
      <c r="N333" s="206"/>
      <c r="O333" s="192"/>
      <c r="P333" s="192"/>
      <c r="Q333" s="206"/>
      <c r="R333" s="206"/>
      <c r="W333" s="206"/>
      <c r="X333" s="206"/>
      <c r="Y333" s="206"/>
      <c r="Z333" s="206"/>
      <c r="AA333" s="206"/>
      <c r="AB333" s="206"/>
      <c r="AC333" s="206"/>
      <c r="AD333" s="206"/>
      <c r="AL333" s="206"/>
      <c r="AM333" s="206"/>
      <c r="AN333" s="206"/>
      <c r="AO333" s="206"/>
      <c r="AP333" s="206"/>
      <c r="AQ333" s="206"/>
      <c r="AR333" s="206"/>
      <c r="AS333" s="206"/>
      <c r="AV333" s="206"/>
      <c r="AW333" s="206"/>
      <c r="AY333" s="206"/>
      <c r="AZ333" s="206"/>
      <c r="BD333" s="206"/>
      <c r="BF333" s="206"/>
    </row>
    <row r="334" spans="1:100" x14ac:dyDescent="0.2">
      <c r="A334" s="220"/>
      <c r="B334" s="220"/>
      <c r="C334" s="206"/>
      <c r="D334" s="206"/>
      <c r="E334" s="192"/>
      <c r="F334" s="206"/>
      <c r="G334" s="206"/>
      <c r="H334"/>
      <c r="I334" s="206"/>
      <c r="J334"/>
      <c r="K334"/>
      <c r="L334" s="206"/>
      <c r="M334" s="192"/>
      <c r="N334" s="206"/>
      <c r="O334" s="192"/>
      <c r="P334" s="192"/>
      <c r="Q334" s="206"/>
      <c r="R334" s="206"/>
      <c r="W334" s="206"/>
      <c r="X334" s="206"/>
      <c r="Y334" s="206"/>
      <c r="Z334" s="206"/>
      <c r="AA334" s="206"/>
      <c r="AB334" s="206"/>
      <c r="AC334" s="206"/>
      <c r="AD334" s="206"/>
      <c r="AL334" s="206"/>
      <c r="AM334" s="206"/>
      <c r="AN334" s="206"/>
      <c r="AO334" s="206"/>
      <c r="AP334" s="206"/>
      <c r="AQ334" s="206"/>
      <c r="AR334" s="206"/>
      <c r="AS334" s="206"/>
      <c r="AV334" s="206"/>
      <c r="AW334" s="206"/>
      <c r="AY334" s="206"/>
      <c r="AZ334" s="206"/>
      <c r="BD334" s="206"/>
      <c r="BF334" s="206"/>
    </row>
    <row r="335" spans="1:100" x14ac:dyDescent="0.2">
      <c r="A335" s="220"/>
      <c r="B335" s="220"/>
      <c r="C335" s="206"/>
      <c r="D335" s="206"/>
      <c r="E335" s="192"/>
      <c r="F335" s="206"/>
      <c r="G335" s="206"/>
      <c r="H335"/>
      <c r="I335" s="206"/>
      <c r="J335"/>
      <c r="K335"/>
      <c r="L335" s="206"/>
      <c r="M335" s="192"/>
      <c r="N335" s="206"/>
      <c r="O335" s="192"/>
      <c r="P335" s="192"/>
      <c r="Q335" s="206"/>
      <c r="R335" s="206"/>
      <c r="W335" s="206"/>
      <c r="X335" s="206"/>
      <c r="Y335" s="206"/>
      <c r="Z335" s="206"/>
      <c r="AA335" s="206"/>
      <c r="AB335" s="206"/>
      <c r="AC335" s="206"/>
      <c r="AD335" s="206"/>
      <c r="AL335" s="206"/>
      <c r="AM335" s="206"/>
      <c r="AN335" s="206"/>
      <c r="AO335" s="206"/>
      <c r="AP335" s="206"/>
      <c r="AQ335" s="206"/>
      <c r="AR335" s="206"/>
      <c r="AS335" s="206"/>
      <c r="AV335" s="206"/>
      <c r="AW335" s="206"/>
      <c r="AY335" s="206"/>
      <c r="AZ335" s="206"/>
      <c r="BD335" s="206"/>
      <c r="BF335" s="206"/>
    </row>
    <row r="336" spans="1:100" x14ac:dyDescent="0.2">
      <c r="A336" s="220"/>
      <c r="B336" s="220"/>
      <c r="C336" s="206"/>
      <c r="D336" s="206"/>
      <c r="E336" s="192"/>
      <c r="F336" s="206"/>
      <c r="G336" s="206"/>
      <c r="H336"/>
      <c r="I336" s="206"/>
      <c r="J336"/>
      <c r="K336"/>
      <c r="L336" s="206"/>
      <c r="M336" s="192"/>
      <c r="N336" s="206"/>
      <c r="O336" s="192"/>
      <c r="P336" s="192"/>
      <c r="Q336" s="206"/>
      <c r="R336" s="206"/>
      <c r="W336" s="206"/>
      <c r="X336" s="206"/>
      <c r="Y336" s="206"/>
      <c r="Z336" s="206"/>
      <c r="AA336" s="206"/>
      <c r="AB336" s="206"/>
      <c r="AC336" s="206"/>
      <c r="AD336" s="206"/>
      <c r="AL336" s="206"/>
      <c r="AM336" s="206"/>
      <c r="AN336" s="206"/>
      <c r="AO336" s="206"/>
      <c r="AP336" s="206"/>
      <c r="AQ336" s="206"/>
      <c r="AR336" s="206"/>
      <c r="AS336" s="206"/>
      <c r="AV336" s="206"/>
      <c r="AW336" s="206"/>
      <c r="AY336" s="206"/>
      <c r="AZ336" s="206"/>
      <c r="BD336" s="206"/>
      <c r="BF336" s="206"/>
    </row>
    <row r="337" spans="1:100" x14ac:dyDescent="0.2">
      <c r="A337" s="220"/>
      <c r="B337" s="220"/>
      <c r="C337" s="206"/>
      <c r="D337" s="206"/>
      <c r="E337" s="192"/>
      <c r="F337" s="206"/>
      <c r="G337" s="206"/>
      <c r="H337" s="206"/>
      <c r="I337" s="206"/>
      <c r="J337" s="206"/>
      <c r="K337" s="206"/>
      <c r="L337" s="206"/>
      <c r="M337" s="192"/>
      <c r="N337" s="206"/>
      <c r="O337" s="192"/>
      <c r="P337" s="192"/>
      <c r="Q337" s="206"/>
      <c r="R337" s="206"/>
      <c r="W337" s="206"/>
      <c r="X337" s="206"/>
      <c r="Y337" s="206"/>
      <c r="Z337" s="206"/>
      <c r="AA337" s="206"/>
      <c r="AB337" s="206"/>
      <c r="AC337" s="206"/>
      <c r="AD337" s="206"/>
      <c r="AL337" s="206"/>
      <c r="AM337" s="206"/>
      <c r="AN337" s="206"/>
      <c r="AO337" s="206"/>
      <c r="AP337" s="206"/>
      <c r="AQ337" s="206"/>
      <c r="AR337" s="206"/>
      <c r="AS337" s="206"/>
      <c r="AV337" s="206"/>
      <c r="AW337" s="206"/>
      <c r="AX337" s="206"/>
      <c r="AY337" s="206"/>
      <c r="AZ337" s="206"/>
      <c r="BA337" s="206"/>
      <c r="BB337" s="206"/>
      <c r="BD337" s="206"/>
      <c r="BF337" s="206"/>
      <c r="BG337" s="201"/>
      <c r="BJ337" s="201"/>
      <c r="BK337" s="201"/>
      <c r="BL337" s="201"/>
      <c r="BM337" s="201"/>
      <c r="BN337" s="201"/>
      <c r="BO337" s="201"/>
      <c r="BP337" s="201"/>
      <c r="BQ337" s="201"/>
      <c r="BR337" s="201"/>
      <c r="BS337" s="201"/>
      <c r="BT337" s="201"/>
      <c r="BU337" s="201"/>
      <c r="BV337" s="201"/>
      <c r="BW337" s="201"/>
      <c r="BX337" s="201"/>
      <c r="BY337" s="201"/>
      <c r="BZ337" s="201"/>
      <c r="CA337" s="201"/>
      <c r="CB337" s="201"/>
      <c r="CC337" s="201"/>
      <c r="CD337" s="201"/>
      <c r="CE337" s="201"/>
      <c r="CF337" s="201"/>
      <c r="CG337" s="201"/>
      <c r="CH337" s="201"/>
      <c r="CI337" s="201"/>
      <c r="CJ337" s="201"/>
      <c r="CK337" s="201"/>
      <c r="CL337" s="201"/>
      <c r="CM337" s="201"/>
      <c r="CN337" s="201"/>
      <c r="CO337" s="201"/>
      <c r="CP337" s="201"/>
      <c r="CQ337" s="201"/>
      <c r="CR337" s="201"/>
      <c r="CS337" s="201"/>
      <c r="CT337" s="201"/>
      <c r="CU337" s="201"/>
      <c r="CV337" s="201"/>
    </row>
    <row r="338" spans="1:100" x14ac:dyDescent="0.2">
      <c r="A338" s="220"/>
      <c r="B338" s="220"/>
      <c r="C338" s="206"/>
      <c r="D338" s="206"/>
      <c r="E338" s="192"/>
      <c r="F338" s="206"/>
      <c r="G338" s="206"/>
      <c r="H338"/>
      <c r="I338" s="206"/>
      <c r="J338"/>
      <c r="K338"/>
      <c r="L338" s="206"/>
      <c r="M338" s="192"/>
      <c r="N338" s="206"/>
      <c r="O338" s="192"/>
      <c r="P338" s="192"/>
      <c r="Q338" s="206"/>
      <c r="R338" s="206"/>
      <c r="W338" s="206"/>
      <c r="X338" s="206"/>
      <c r="Y338" s="206"/>
      <c r="Z338" s="206"/>
      <c r="AA338" s="206"/>
      <c r="AB338" s="206"/>
      <c r="AC338" s="206"/>
      <c r="AD338" s="206"/>
      <c r="AL338" s="206"/>
      <c r="AM338" s="206"/>
      <c r="AN338" s="206"/>
      <c r="AO338" s="206"/>
      <c r="AP338" s="206"/>
      <c r="AQ338" s="206"/>
      <c r="AR338" s="206"/>
      <c r="AS338" s="206"/>
      <c r="AV338" s="206"/>
      <c r="AW338" s="206"/>
      <c r="AY338" s="206"/>
      <c r="AZ338" s="206"/>
      <c r="BD338" s="206"/>
      <c r="BF338" s="206"/>
    </row>
    <row r="339" spans="1:100" x14ac:dyDescent="0.2">
      <c r="A339" s="220"/>
      <c r="B339" s="220"/>
      <c r="C339" s="206"/>
      <c r="D339" s="206"/>
      <c r="E339" s="192"/>
      <c r="F339" s="206"/>
      <c r="G339" s="206"/>
      <c r="H339"/>
      <c r="I339" s="206"/>
      <c r="J339"/>
      <c r="K339"/>
      <c r="L339" s="206"/>
      <c r="M339" s="192"/>
      <c r="N339" s="206"/>
      <c r="O339" s="192"/>
      <c r="P339" s="192"/>
      <c r="Q339" s="206"/>
      <c r="R339" s="206"/>
      <c r="W339" s="206"/>
      <c r="X339" s="206"/>
      <c r="Y339" s="206"/>
      <c r="Z339" s="206"/>
      <c r="AA339" s="206"/>
      <c r="AB339" s="206"/>
      <c r="AC339" s="206"/>
      <c r="AD339" s="206"/>
      <c r="AL339" s="206"/>
      <c r="AM339" s="206"/>
      <c r="AN339" s="206"/>
      <c r="AO339" s="206"/>
      <c r="AP339" s="206"/>
      <c r="AQ339" s="206"/>
      <c r="AR339" s="206"/>
      <c r="AS339" s="206"/>
      <c r="AV339" s="206"/>
      <c r="AW339" s="206"/>
      <c r="AY339" s="206"/>
      <c r="AZ339" s="206"/>
      <c r="BD339" s="206"/>
      <c r="BF339" s="206"/>
    </row>
    <row r="340" spans="1:100" x14ac:dyDescent="0.2">
      <c r="A340" s="220"/>
      <c r="B340" s="220"/>
      <c r="C340" s="206"/>
      <c r="D340" s="206"/>
      <c r="E340" s="192"/>
      <c r="F340" s="206"/>
      <c r="G340" s="206"/>
      <c r="H340"/>
      <c r="I340" s="206"/>
      <c r="J340"/>
      <c r="K340"/>
      <c r="L340" s="206"/>
      <c r="M340" s="192"/>
      <c r="N340" s="206"/>
      <c r="O340" s="192"/>
      <c r="P340" s="192"/>
      <c r="Q340" s="206"/>
      <c r="R340" s="206"/>
      <c r="W340" s="206"/>
      <c r="X340" s="206"/>
      <c r="Y340" s="206"/>
      <c r="Z340" s="206"/>
      <c r="AA340" s="206"/>
      <c r="AB340" s="206"/>
      <c r="AC340" s="206"/>
      <c r="AD340" s="206"/>
      <c r="AL340" s="206"/>
      <c r="AM340" s="206"/>
      <c r="AN340" s="206"/>
      <c r="AO340" s="206"/>
      <c r="AP340" s="206"/>
      <c r="AQ340" s="206"/>
      <c r="AR340" s="206"/>
      <c r="AS340" s="206"/>
      <c r="AV340" s="206"/>
      <c r="AW340" s="206"/>
      <c r="AY340" s="206"/>
      <c r="AZ340" s="206"/>
      <c r="BD340" s="206"/>
      <c r="BF340" s="206"/>
    </row>
    <row r="341" spans="1:100" x14ac:dyDescent="0.2">
      <c r="A341" s="220"/>
      <c r="B341" s="220"/>
      <c r="C341" s="206"/>
      <c r="D341" s="206"/>
      <c r="E341" s="192"/>
      <c r="F341" s="206"/>
      <c r="G341" s="206"/>
      <c r="H341"/>
      <c r="I341" s="206"/>
      <c r="J341"/>
      <c r="K341"/>
      <c r="L341" s="206"/>
      <c r="M341" s="192"/>
      <c r="N341" s="206"/>
      <c r="O341" s="192"/>
      <c r="P341" s="192"/>
      <c r="Q341" s="206"/>
      <c r="R341" s="206"/>
      <c r="W341" s="206"/>
      <c r="X341" s="206"/>
      <c r="Y341" s="206"/>
      <c r="Z341" s="206"/>
      <c r="AA341" s="206"/>
      <c r="AB341" s="206"/>
      <c r="AC341" s="206"/>
      <c r="AD341" s="206"/>
      <c r="AL341" s="206"/>
      <c r="AM341" s="206"/>
      <c r="AN341" s="206"/>
      <c r="AO341" s="206"/>
      <c r="AP341" s="206"/>
      <c r="AQ341" s="206"/>
      <c r="AR341" s="206"/>
      <c r="AS341" s="206"/>
      <c r="AV341" s="206"/>
      <c r="AW341" s="206"/>
      <c r="AY341" s="206"/>
      <c r="AZ341" s="206"/>
      <c r="BD341" s="206"/>
      <c r="BF341" s="206"/>
    </row>
    <row r="342" spans="1:100" x14ac:dyDescent="0.2">
      <c r="A342" s="220"/>
      <c r="B342" s="220"/>
      <c r="C342" s="206"/>
      <c r="D342" s="206"/>
      <c r="E342" s="192"/>
      <c r="F342" s="206"/>
      <c r="G342" s="206"/>
      <c r="H342" s="206"/>
      <c r="I342" s="206"/>
      <c r="J342" s="206"/>
      <c r="K342" s="206"/>
      <c r="L342" s="206"/>
      <c r="M342" s="192"/>
      <c r="N342" s="206"/>
      <c r="O342" s="192"/>
      <c r="P342" s="192"/>
      <c r="Q342" s="206"/>
      <c r="R342" s="206"/>
      <c r="W342" s="206"/>
      <c r="X342" s="206"/>
      <c r="Y342" s="206"/>
      <c r="Z342" s="206"/>
      <c r="AA342" s="206"/>
      <c r="AB342" s="206"/>
      <c r="AC342" s="206"/>
      <c r="AD342" s="206"/>
      <c r="AL342" s="206"/>
      <c r="AM342" s="206"/>
      <c r="AN342" s="206"/>
      <c r="AO342" s="206"/>
      <c r="AP342" s="206"/>
      <c r="AQ342" s="206"/>
      <c r="AR342" s="206"/>
      <c r="AS342" s="206"/>
      <c r="AV342" s="206"/>
      <c r="AW342" s="206"/>
      <c r="AX342" s="206"/>
      <c r="AY342" s="206"/>
      <c r="AZ342" s="206"/>
      <c r="BA342" s="206"/>
      <c r="BB342" s="206"/>
      <c r="BD342" s="206"/>
      <c r="BF342" s="206"/>
      <c r="BG342" s="201"/>
      <c r="BJ342" s="201"/>
      <c r="BK342" s="201"/>
      <c r="BL342" s="201"/>
      <c r="BM342" s="201"/>
      <c r="BN342" s="201"/>
      <c r="BO342" s="201"/>
      <c r="BP342" s="201"/>
      <c r="BQ342" s="201"/>
      <c r="BR342" s="201"/>
      <c r="BS342" s="201"/>
      <c r="BT342" s="201"/>
      <c r="BU342" s="201"/>
      <c r="BV342" s="201"/>
      <c r="BW342" s="201"/>
      <c r="BX342" s="201"/>
      <c r="BY342" s="201"/>
      <c r="BZ342" s="201"/>
      <c r="CA342" s="201"/>
      <c r="CB342" s="201"/>
      <c r="CC342" s="201"/>
      <c r="CD342" s="201"/>
      <c r="CE342" s="201"/>
      <c r="CF342" s="201"/>
      <c r="CG342" s="201"/>
      <c r="CH342" s="201"/>
      <c r="CI342" s="201"/>
      <c r="CJ342" s="201"/>
      <c r="CK342" s="201"/>
      <c r="CL342" s="201"/>
      <c r="CM342" s="201"/>
      <c r="CN342" s="201"/>
      <c r="CO342" s="201"/>
      <c r="CP342" s="201"/>
      <c r="CQ342" s="201"/>
      <c r="CR342" s="201"/>
      <c r="CS342" s="201"/>
      <c r="CT342" s="201"/>
      <c r="CU342" s="201"/>
      <c r="CV342" s="201"/>
    </row>
    <row r="343" spans="1:100" x14ac:dyDescent="0.2">
      <c r="A343" s="220"/>
      <c r="B343" s="220"/>
      <c r="C343" s="206"/>
      <c r="D343" s="206"/>
      <c r="E343" s="192"/>
      <c r="F343" s="206"/>
      <c r="G343"/>
      <c r="H343"/>
      <c r="I343" s="206"/>
      <c r="J343"/>
      <c r="K343"/>
      <c r="L343" s="206"/>
      <c r="M343" s="192"/>
      <c r="N343" s="206"/>
      <c r="O343" s="192"/>
      <c r="P343" s="192"/>
      <c r="Q343" s="206"/>
      <c r="R343" s="206"/>
      <c r="W343" s="206"/>
      <c r="X343" s="206"/>
      <c r="Y343" s="206"/>
      <c r="Z343" s="206"/>
      <c r="AA343" s="206"/>
      <c r="AB343" s="206"/>
      <c r="AC343" s="206"/>
      <c r="AD343" s="206"/>
      <c r="AL343" s="206"/>
      <c r="AM343" s="206"/>
      <c r="AN343" s="206"/>
      <c r="AO343" s="206"/>
      <c r="AP343" s="206"/>
      <c r="AQ343" s="206"/>
      <c r="AR343" s="206"/>
      <c r="AS343" s="206"/>
      <c r="AV343" s="206"/>
      <c r="AY343" s="206"/>
      <c r="AZ343" s="206"/>
      <c r="BD343" s="206"/>
      <c r="BF343" s="206"/>
    </row>
    <row r="344" spans="1:100" x14ac:dyDescent="0.2">
      <c r="A344" s="220"/>
      <c r="B344" s="220"/>
      <c r="C344" s="206"/>
      <c r="D344" s="206"/>
      <c r="E344" s="192"/>
      <c r="F344" s="206"/>
      <c r="G344" s="206"/>
      <c r="H344"/>
      <c r="I344" s="206"/>
      <c r="J344"/>
      <c r="K344"/>
      <c r="L344" s="206"/>
      <c r="M344" s="192"/>
      <c r="N344" s="206"/>
      <c r="O344" s="192"/>
      <c r="P344" s="192"/>
      <c r="Q344" s="206"/>
      <c r="R344" s="206"/>
      <c r="W344" s="206"/>
      <c r="X344" s="206"/>
      <c r="Y344" s="206"/>
      <c r="Z344" s="206"/>
      <c r="AA344" s="206"/>
      <c r="AB344" s="206"/>
      <c r="AC344" s="206"/>
      <c r="AD344" s="206"/>
      <c r="AL344" s="206"/>
      <c r="AM344" s="206"/>
      <c r="AN344" s="206"/>
      <c r="AO344" s="206"/>
      <c r="AP344" s="206"/>
      <c r="AQ344" s="206"/>
      <c r="AR344" s="206"/>
      <c r="AS344" s="206"/>
      <c r="AV344" s="206"/>
      <c r="AW344" s="206"/>
      <c r="AY344" s="206"/>
      <c r="AZ344" s="206"/>
      <c r="BD344" s="206"/>
      <c r="BF344" s="206"/>
    </row>
    <row r="345" spans="1:100" x14ac:dyDescent="0.2">
      <c r="A345" s="220"/>
      <c r="B345" s="220"/>
      <c r="C345" s="206"/>
      <c r="D345" s="206"/>
      <c r="E345" s="192"/>
      <c r="F345" s="206"/>
      <c r="G345" s="206"/>
      <c r="H345"/>
      <c r="I345" s="206"/>
      <c r="J345"/>
      <c r="K345"/>
      <c r="L345" s="206"/>
      <c r="M345" s="192"/>
      <c r="N345" s="206"/>
      <c r="O345" s="192"/>
      <c r="P345" s="192"/>
      <c r="Q345" s="206"/>
      <c r="R345" s="206"/>
      <c r="W345" s="206"/>
      <c r="X345" s="206"/>
      <c r="Y345" s="206"/>
      <c r="Z345" s="206"/>
      <c r="AA345" s="206"/>
      <c r="AB345" s="206"/>
      <c r="AC345" s="206"/>
      <c r="AD345" s="206"/>
      <c r="AL345" s="206"/>
      <c r="AM345" s="206"/>
      <c r="AN345" s="206"/>
      <c r="AO345" s="206"/>
      <c r="AP345" s="206"/>
      <c r="AQ345" s="206"/>
      <c r="AR345" s="206"/>
      <c r="AS345" s="206"/>
      <c r="AV345" s="206"/>
      <c r="AW345" s="206"/>
      <c r="AY345" s="206"/>
      <c r="AZ345" s="206"/>
      <c r="BD345" s="206"/>
      <c r="BF345" s="206"/>
    </row>
    <row r="346" spans="1:100" x14ac:dyDescent="0.2">
      <c r="A346" s="220"/>
      <c r="B346" s="220"/>
      <c r="C346" s="206"/>
      <c r="D346" s="206"/>
      <c r="E346" s="192"/>
      <c r="F346" s="206"/>
      <c r="G346" s="206"/>
      <c r="H346"/>
      <c r="I346" s="206"/>
      <c r="J346"/>
      <c r="K346"/>
      <c r="L346" s="206"/>
      <c r="M346" s="192"/>
      <c r="N346" s="206"/>
      <c r="O346" s="192"/>
      <c r="P346" s="192"/>
      <c r="Q346" s="206"/>
      <c r="R346" s="206"/>
      <c r="W346" s="206"/>
      <c r="X346" s="206"/>
      <c r="Y346" s="206"/>
      <c r="Z346" s="206"/>
      <c r="AA346" s="206"/>
      <c r="AB346" s="206"/>
      <c r="AC346" s="206"/>
      <c r="AD346" s="206"/>
      <c r="AL346" s="206"/>
      <c r="AM346" s="206"/>
      <c r="AN346" s="206"/>
      <c r="AO346" s="206"/>
      <c r="AP346" s="206"/>
      <c r="AQ346" s="206"/>
      <c r="AR346" s="206"/>
      <c r="AS346" s="206"/>
      <c r="AV346" s="206"/>
      <c r="AW346" s="206"/>
      <c r="AY346" s="206"/>
      <c r="AZ346" s="206"/>
      <c r="BD346" s="206"/>
      <c r="BF346" s="206"/>
    </row>
    <row r="347" spans="1:100" x14ac:dyDescent="0.2">
      <c r="A347" s="220"/>
      <c r="B347" s="220"/>
      <c r="C347" s="206"/>
      <c r="D347" s="206"/>
      <c r="E347" s="192"/>
      <c r="F347" s="206"/>
      <c r="G347" s="206"/>
      <c r="H347"/>
      <c r="I347" s="206"/>
      <c r="J347"/>
      <c r="K347"/>
      <c r="L347" s="206"/>
      <c r="M347" s="192"/>
      <c r="N347" s="206"/>
      <c r="O347" s="192"/>
      <c r="P347" s="192"/>
      <c r="Q347" s="206"/>
      <c r="R347" s="206"/>
      <c r="W347" s="206"/>
      <c r="X347" s="206"/>
      <c r="Y347" s="206"/>
      <c r="Z347" s="206"/>
      <c r="AA347" s="206"/>
      <c r="AB347" s="206"/>
      <c r="AC347" s="206"/>
      <c r="AD347" s="206"/>
      <c r="AL347" s="206"/>
      <c r="AM347" s="206"/>
      <c r="AN347" s="206"/>
      <c r="AO347" s="206"/>
      <c r="AP347" s="206"/>
      <c r="AQ347" s="206"/>
      <c r="AR347" s="206"/>
      <c r="AS347" s="206"/>
      <c r="AV347" s="206"/>
      <c r="AW347" s="206"/>
      <c r="AY347" s="206"/>
      <c r="AZ347" s="206"/>
      <c r="BD347" s="206"/>
      <c r="BF347" s="206"/>
    </row>
    <row r="348" spans="1:100" x14ac:dyDescent="0.2">
      <c r="A348" s="220"/>
      <c r="B348" s="220"/>
      <c r="C348" s="206"/>
      <c r="D348" s="206"/>
      <c r="E348" s="192"/>
      <c r="F348" s="206"/>
      <c r="G348" s="206"/>
      <c r="H348"/>
      <c r="I348" s="206"/>
      <c r="J348"/>
      <c r="K348"/>
      <c r="L348" s="206"/>
      <c r="M348" s="192"/>
      <c r="N348" s="206"/>
      <c r="O348" s="192"/>
      <c r="P348" s="192"/>
      <c r="Q348" s="206"/>
      <c r="R348" s="206"/>
      <c r="W348" s="206"/>
      <c r="X348" s="206"/>
      <c r="Y348" s="206"/>
      <c r="Z348" s="206"/>
      <c r="AA348" s="206"/>
      <c r="AB348" s="206"/>
      <c r="AC348" s="206"/>
      <c r="AD348" s="206"/>
      <c r="AL348" s="206"/>
      <c r="AM348" s="206"/>
      <c r="AN348" s="206"/>
      <c r="AO348" s="206"/>
      <c r="AP348" s="206"/>
      <c r="AQ348" s="206"/>
      <c r="AR348" s="206"/>
      <c r="AS348" s="206"/>
      <c r="AV348" s="206"/>
      <c r="AW348" s="206"/>
      <c r="AY348" s="206"/>
      <c r="AZ348" s="206"/>
      <c r="BD348" s="206"/>
      <c r="BF348" s="206"/>
    </row>
    <row r="349" spans="1:100" x14ac:dyDescent="0.2">
      <c r="A349" s="220"/>
      <c r="B349" s="220"/>
      <c r="C349" s="206"/>
      <c r="D349" s="206"/>
      <c r="E349" s="192"/>
      <c r="F349" s="206"/>
      <c r="G349" s="206"/>
      <c r="H349"/>
      <c r="I349" s="206"/>
      <c r="J349"/>
      <c r="K349"/>
      <c r="L349" s="206"/>
      <c r="M349" s="192"/>
      <c r="N349" s="206"/>
      <c r="O349" s="192"/>
      <c r="P349" s="192"/>
      <c r="Q349" s="206"/>
      <c r="R349" s="206"/>
      <c r="W349" s="206"/>
      <c r="X349" s="206"/>
      <c r="Y349" s="206"/>
      <c r="Z349" s="206"/>
      <c r="AA349" s="206"/>
      <c r="AB349" s="206"/>
      <c r="AC349" s="206"/>
      <c r="AD349" s="206"/>
      <c r="AL349" s="206"/>
      <c r="AM349" s="206"/>
      <c r="AN349" s="206"/>
      <c r="AO349" s="206"/>
      <c r="AP349" s="206"/>
      <c r="AQ349" s="206"/>
      <c r="AR349" s="206"/>
      <c r="AS349" s="206"/>
      <c r="AV349" s="206"/>
      <c r="AW349" s="206"/>
      <c r="AY349" s="206"/>
      <c r="AZ349" s="206"/>
      <c r="BD349" s="206"/>
      <c r="BF349" s="206"/>
    </row>
    <row r="350" spans="1:100" x14ac:dyDescent="0.2">
      <c r="A350" s="220"/>
      <c r="B350" s="220"/>
      <c r="C350" s="206"/>
      <c r="D350" s="206"/>
      <c r="E350" s="192"/>
      <c r="F350" s="206"/>
      <c r="G350" s="206"/>
      <c r="H350"/>
      <c r="I350" s="206"/>
      <c r="J350"/>
      <c r="K350"/>
      <c r="L350" s="206"/>
      <c r="M350" s="192"/>
      <c r="N350" s="206"/>
      <c r="O350" s="192"/>
      <c r="P350" s="192"/>
      <c r="Q350" s="206"/>
      <c r="R350" s="206"/>
      <c r="W350" s="206"/>
      <c r="X350" s="206"/>
      <c r="Y350" s="206"/>
      <c r="Z350" s="206"/>
      <c r="AA350" s="206"/>
      <c r="AB350" s="206"/>
      <c r="AC350" s="206"/>
      <c r="AD350" s="206"/>
      <c r="AL350" s="206"/>
      <c r="AM350" s="206"/>
      <c r="AN350" s="206"/>
      <c r="AO350" s="206"/>
      <c r="AP350" s="206"/>
      <c r="AQ350" s="206"/>
      <c r="AR350" s="206"/>
      <c r="AS350" s="206"/>
      <c r="AV350" s="206"/>
      <c r="AW350" s="206"/>
      <c r="AY350" s="206"/>
      <c r="AZ350" s="206"/>
      <c r="BD350" s="206"/>
      <c r="BF350" s="206"/>
    </row>
    <row r="351" spans="1:100" x14ac:dyDescent="0.2">
      <c r="A351" s="220"/>
      <c r="B351" s="220"/>
      <c r="C351" s="206"/>
      <c r="D351" s="206"/>
      <c r="E351" s="192"/>
      <c r="F351" s="206"/>
      <c r="G351" s="206"/>
      <c r="H351"/>
      <c r="I351" s="206"/>
      <c r="J351"/>
      <c r="K351"/>
      <c r="L351" s="206"/>
      <c r="M351" s="192"/>
      <c r="N351" s="206"/>
      <c r="O351" s="192"/>
      <c r="P351" s="192"/>
      <c r="Q351" s="206"/>
      <c r="R351" s="206"/>
      <c r="W351" s="206"/>
      <c r="X351" s="206"/>
      <c r="Y351" s="206"/>
      <c r="Z351" s="206"/>
      <c r="AA351" s="206"/>
      <c r="AB351" s="206"/>
      <c r="AC351" s="206"/>
      <c r="AD351" s="206"/>
      <c r="AL351" s="206"/>
      <c r="AM351" s="206"/>
      <c r="AN351" s="206"/>
      <c r="AO351" s="206"/>
      <c r="AP351" s="206"/>
      <c r="AQ351" s="206"/>
      <c r="AR351" s="206"/>
      <c r="AS351" s="206"/>
      <c r="AV351" s="206"/>
      <c r="AW351" s="206"/>
      <c r="AY351" s="206"/>
      <c r="AZ351" s="206"/>
      <c r="BD351" s="206"/>
      <c r="BF351" s="206"/>
    </row>
    <row r="352" spans="1:100" x14ac:dyDescent="0.2">
      <c r="A352" s="220"/>
      <c r="B352" s="220"/>
      <c r="C352" s="206"/>
      <c r="D352" s="206"/>
      <c r="E352" s="192"/>
      <c r="F352" s="206"/>
      <c r="G352" s="206"/>
      <c r="H352"/>
      <c r="I352" s="206"/>
      <c r="J352"/>
      <c r="K352"/>
      <c r="L352" s="206"/>
      <c r="M352" s="192"/>
      <c r="N352" s="206"/>
      <c r="O352" s="192"/>
      <c r="P352" s="192"/>
      <c r="Q352" s="206"/>
      <c r="R352" s="206"/>
      <c r="W352" s="206"/>
      <c r="X352" s="206"/>
      <c r="Y352" s="206"/>
      <c r="Z352" s="206"/>
      <c r="AA352" s="206"/>
      <c r="AB352" s="206"/>
      <c r="AC352" s="206"/>
      <c r="AD352" s="206"/>
      <c r="AL352" s="206"/>
      <c r="AM352" s="206"/>
      <c r="AN352" s="206"/>
      <c r="AO352" s="206"/>
      <c r="AP352" s="206"/>
      <c r="AQ352" s="206"/>
      <c r="AR352" s="206"/>
      <c r="AS352" s="206"/>
      <c r="AV352" s="206"/>
      <c r="AW352" s="206"/>
      <c r="AY352" s="206"/>
      <c r="AZ352" s="206"/>
      <c r="BD352" s="206"/>
      <c r="BF352" s="206"/>
    </row>
    <row r="353" spans="1:58" x14ac:dyDescent="0.2">
      <c r="A353" s="220"/>
      <c r="B353" s="220"/>
      <c r="C353" s="206"/>
      <c r="D353" s="206"/>
      <c r="E353" s="192"/>
      <c r="F353" s="206"/>
      <c r="G353" s="206"/>
      <c r="H353"/>
      <c r="I353" s="206"/>
      <c r="J353"/>
      <c r="K353"/>
      <c r="L353" s="206"/>
      <c r="M353" s="192"/>
      <c r="N353" s="206"/>
      <c r="O353" s="192"/>
      <c r="P353" s="192"/>
      <c r="Q353" s="206"/>
      <c r="R353" s="206"/>
      <c r="W353" s="206"/>
      <c r="X353" s="206"/>
      <c r="Y353" s="206"/>
      <c r="Z353" s="206"/>
      <c r="AA353" s="206"/>
      <c r="AB353" s="206"/>
      <c r="AC353" s="206"/>
      <c r="AD353" s="206"/>
      <c r="AL353" s="206"/>
      <c r="AM353" s="206"/>
      <c r="AN353" s="206"/>
      <c r="AO353" s="206"/>
      <c r="AP353" s="206"/>
      <c r="AQ353" s="206"/>
      <c r="AR353" s="206"/>
      <c r="AS353" s="206"/>
      <c r="AV353" s="206"/>
      <c r="AW353" s="206"/>
      <c r="AY353" s="206"/>
      <c r="AZ353" s="206"/>
      <c r="BD353" s="206"/>
      <c r="BF353" s="206"/>
    </row>
    <row r="354" spans="1:58" x14ac:dyDescent="0.2">
      <c r="A354" s="220"/>
      <c r="B354" s="220"/>
      <c r="C354" s="206"/>
      <c r="D354" s="206"/>
      <c r="E354" s="192"/>
      <c r="F354" s="206"/>
      <c r="G354" s="206"/>
      <c r="H354"/>
      <c r="I354" s="206"/>
      <c r="J354"/>
      <c r="K354"/>
      <c r="L354" s="206"/>
      <c r="M354" s="192"/>
      <c r="N354" s="206"/>
      <c r="O354" s="192"/>
      <c r="P354" s="192"/>
      <c r="Q354" s="206"/>
      <c r="R354" s="206"/>
      <c r="W354" s="206"/>
      <c r="X354" s="206"/>
      <c r="Y354" s="206"/>
      <c r="Z354" s="206"/>
      <c r="AA354" s="206"/>
      <c r="AB354" s="206"/>
      <c r="AC354" s="206"/>
      <c r="AD354" s="206"/>
      <c r="AL354" s="206"/>
      <c r="AM354" s="206"/>
      <c r="AN354" s="206"/>
      <c r="AO354" s="206"/>
      <c r="AP354" s="206"/>
      <c r="AQ354" s="206"/>
      <c r="AR354" s="206"/>
      <c r="AS354" s="206"/>
      <c r="AV354" s="206"/>
      <c r="AW354" s="206"/>
      <c r="AY354" s="206"/>
      <c r="AZ354" s="206"/>
      <c r="BD354" s="206"/>
      <c r="BF354" s="206"/>
    </row>
    <row r="355" spans="1:58" x14ac:dyDescent="0.2">
      <c r="A355" s="220"/>
      <c r="B355" s="220"/>
      <c r="C355" s="206"/>
      <c r="D355" s="206"/>
      <c r="E355" s="192"/>
      <c r="F355" s="206"/>
      <c r="G355" s="206"/>
      <c r="H355"/>
      <c r="I355" s="206"/>
      <c r="J355"/>
      <c r="K355"/>
      <c r="L355" s="206"/>
      <c r="M355" s="192"/>
      <c r="N355" s="206"/>
      <c r="O355" s="192"/>
      <c r="P355" s="192"/>
      <c r="Q355" s="206"/>
      <c r="R355" s="206"/>
      <c r="W355" s="206"/>
      <c r="X355" s="206"/>
      <c r="Y355" s="206"/>
      <c r="Z355" s="206"/>
      <c r="AA355" s="206"/>
      <c r="AB355" s="206"/>
      <c r="AC355" s="206"/>
      <c r="AD355" s="206"/>
      <c r="AL355" s="206"/>
      <c r="AM355" s="206"/>
      <c r="AN355" s="206"/>
      <c r="AO355" s="206"/>
      <c r="AP355" s="206"/>
      <c r="AQ355" s="206"/>
      <c r="AR355" s="206"/>
      <c r="AS355" s="206"/>
      <c r="AV355" s="206"/>
      <c r="AW355" s="206"/>
      <c r="AY355" s="206"/>
      <c r="AZ355" s="206"/>
      <c r="BD355" s="206"/>
      <c r="BF355" s="206"/>
    </row>
    <row r="356" spans="1:58" x14ac:dyDescent="0.2">
      <c r="A356" s="220"/>
      <c r="B356" s="220"/>
      <c r="C356" s="206"/>
      <c r="D356" s="206"/>
      <c r="E356" s="192"/>
      <c r="F356" s="206"/>
      <c r="G356" s="206"/>
      <c r="H356"/>
      <c r="I356" s="206"/>
      <c r="J356"/>
      <c r="K356"/>
      <c r="L356" s="206"/>
      <c r="M356" s="192"/>
      <c r="N356" s="206"/>
      <c r="O356" s="192"/>
      <c r="P356" s="192"/>
      <c r="Q356" s="206"/>
      <c r="R356" s="206"/>
      <c r="W356" s="206"/>
      <c r="X356" s="206"/>
      <c r="Y356" s="206"/>
      <c r="Z356" s="206"/>
      <c r="AA356" s="206"/>
      <c r="AB356" s="206"/>
      <c r="AC356" s="206"/>
      <c r="AD356" s="206"/>
      <c r="AL356" s="206"/>
      <c r="AM356" s="206"/>
      <c r="AN356" s="206"/>
      <c r="AO356" s="206"/>
      <c r="AP356" s="206"/>
      <c r="AQ356" s="206"/>
      <c r="AR356" s="206"/>
      <c r="AS356" s="206"/>
      <c r="AV356" s="206"/>
      <c r="AW356" s="206"/>
      <c r="AY356" s="206"/>
      <c r="AZ356" s="206"/>
      <c r="BD356" s="206"/>
      <c r="BF356" s="206"/>
    </row>
    <row r="357" spans="1:58" x14ac:dyDescent="0.2">
      <c r="A357" s="220"/>
      <c r="B357" s="220"/>
      <c r="C357" s="206"/>
      <c r="D357" s="206"/>
      <c r="E357" s="192"/>
      <c r="F357" s="206"/>
      <c r="G357" s="206"/>
      <c r="H357"/>
      <c r="I357" s="206"/>
      <c r="J357"/>
      <c r="K357"/>
      <c r="L357" s="206"/>
      <c r="M357" s="192"/>
      <c r="N357" s="206"/>
      <c r="O357" s="192"/>
      <c r="P357" s="192"/>
      <c r="Q357" s="206"/>
      <c r="R357" s="206"/>
      <c r="W357" s="206"/>
      <c r="X357" s="206"/>
      <c r="Y357" s="206"/>
      <c r="Z357" s="206"/>
      <c r="AA357" s="206"/>
      <c r="AB357" s="206"/>
      <c r="AC357" s="206"/>
      <c r="AD357" s="206"/>
      <c r="AL357" s="206"/>
      <c r="AM357" s="206"/>
      <c r="AN357" s="206"/>
      <c r="AO357" s="206"/>
      <c r="AP357" s="206"/>
      <c r="AQ357" s="206"/>
      <c r="AR357" s="206"/>
      <c r="AS357" s="206"/>
      <c r="AV357" s="206"/>
      <c r="AW357" s="206"/>
      <c r="AY357" s="206"/>
      <c r="AZ357" s="206"/>
      <c r="BD357" s="206"/>
      <c r="BF357" s="206"/>
    </row>
    <row r="358" spans="1:58" x14ac:dyDescent="0.2">
      <c r="A358" s="220"/>
      <c r="B358" s="220"/>
      <c r="C358" s="206"/>
      <c r="D358" s="206"/>
      <c r="E358" s="192"/>
      <c r="F358" s="206"/>
      <c r="G358" s="206"/>
      <c r="H358"/>
      <c r="I358" s="206"/>
      <c r="J358"/>
      <c r="K358"/>
      <c r="L358" s="206"/>
      <c r="M358" s="192"/>
      <c r="N358" s="206"/>
      <c r="O358" s="192"/>
      <c r="P358" s="192"/>
      <c r="Q358" s="206"/>
      <c r="R358" s="206"/>
      <c r="W358" s="206"/>
      <c r="X358" s="206"/>
      <c r="Y358" s="206"/>
      <c r="Z358" s="206"/>
      <c r="AA358" s="206"/>
      <c r="AB358" s="206"/>
      <c r="AC358" s="206"/>
      <c r="AD358" s="206"/>
      <c r="AL358" s="206"/>
      <c r="AM358" s="206"/>
      <c r="AN358" s="206"/>
      <c r="AO358" s="206"/>
      <c r="AP358" s="206"/>
      <c r="AQ358" s="206"/>
      <c r="AR358" s="206"/>
      <c r="AS358" s="206"/>
      <c r="AV358" s="206"/>
      <c r="AW358" s="206"/>
      <c r="AY358" s="206"/>
      <c r="AZ358" s="206"/>
      <c r="BD358" s="206"/>
      <c r="BF358" s="206"/>
    </row>
    <row r="359" spans="1:58" x14ac:dyDescent="0.2">
      <c r="A359" s="220"/>
      <c r="B359" s="220"/>
      <c r="C359" s="206"/>
      <c r="D359" s="206"/>
      <c r="E359" s="192"/>
      <c r="F359" s="206"/>
      <c r="G359" s="206"/>
      <c r="H359"/>
      <c r="I359" s="206"/>
      <c r="J359"/>
      <c r="K359"/>
      <c r="L359" s="206"/>
      <c r="M359" s="192"/>
      <c r="N359" s="206"/>
      <c r="O359" s="192"/>
      <c r="P359" s="192"/>
      <c r="Q359" s="206"/>
      <c r="R359" s="206"/>
      <c r="W359" s="206"/>
      <c r="X359" s="206"/>
      <c r="Y359" s="206"/>
      <c r="Z359" s="206"/>
      <c r="AA359" s="206"/>
      <c r="AB359" s="206"/>
      <c r="AC359" s="206"/>
      <c r="AD359" s="206"/>
      <c r="AL359" s="206"/>
      <c r="AM359" s="206"/>
      <c r="AN359" s="206"/>
      <c r="AO359" s="206"/>
      <c r="AP359" s="206"/>
      <c r="AQ359" s="206"/>
      <c r="AR359" s="206"/>
      <c r="AS359" s="206"/>
      <c r="AV359" s="206"/>
      <c r="AW359" s="206"/>
      <c r="AY359" s="206"/>
      <c r="AZ359" s="206"/>
      <c r="BD359" s="206"/>
      <c r="BF359" s="206"/>
    </row>
    <row r="360" spans="1:58" x14ac:dyDescent="0.2">
      <c r="A360" s="220"/>
      <c r="B360" s="220"/>
      <c r="C360" s="206"/>
      <c r="D360" s="206"/>
      <c r="E360" s="192"/>
      <c r="F360" s="206"/>
      <c r="G360"/>
      <c r="H360"/>
      <c r="I360" s="206"/>
      <c r="J360"/>
      <c r="K360"/>
      <c r="L360" s="206"/>
      <c r="M360" s="192"/>
      <c r="N360" s="206"/>
      <c r="O360" s="192"/>
      <c r="P360" s="192"/>
      <c r="Q360" s="206"/>
      <c r="R360" s="206"/>
      <c r="W360" s="206"/>
      <c r="X360" s="206"/>
      <c r="Y360" s="206"/>
      <c r="Z360" s="206"/>
      <c r="AA360" s="206"/>
      <c r="AB360" s="206"/>
      <c r="AC360" s="206"/>
      <c r="AD360" s="206"/>
      <c r="AL360" s="206"/>
      <c r="AM360" s="206"/>
      <c r="AN360" s="206"/>
      <c r="AO360" s="206"/>
      <c r="AP360" s="206"/>
      <c r="AQ360" s="206"/>
      <c r="AR360" s="206"/>
      <c r="AS360" s="206"/>
      <c r="AV360" s="206"/>
      <c r="AY360" s="206"/>
      <c r="AZ360" s="206"/>
      <c r="BD360" s="206"/>
      <c r="BF360" s="206"/>
    </row>
    <row r="361" spans="1:58" x14ac:dyDescent="0.2">
      <c r="A361" s="220"/>
      <c r="B361" s="220"/>
      <c r="C361" s="206"/>
      <c r="D361" s="206"/>
      <c r="E361" s="192"/>
      <c r="F361" s="206"/>
      <c r="G361" s="206"/>
      <c r="H361"/>
      <c r="I361" s="206"/>
      <c r="J361"/>
      <c r="K361"/>
      <c r="L361" s="206"/>
      <c r="M361" s="192"/>
      <c r="N361" s="206"/>
      <c r="O361" s="192"/>
      <c r="P361" s="192"/>
      <c r="Q361" s="206"/>
      <c r="R361" s="206"/>
      <c r="W361" s="206"/>
      <c r="X361" s="206"/>
      <c r="Y361" s="206"/>
      <c r="Z361" s="206"/>
      <c r="AA361" s="206"/>
      <c r="AB361" s="206"/>
      <c r="AC361" s="206"/>
      <c r="AD361" s="206"/>
      <c r="AL361" s="206"/>
      <c r="AM361" s="206"/>
      <c r="AN361" s="206"/>
      <c r="AO361" s="206"/>
      <c r="AP361" s="206"/>
      <c r="AQ361" s="206"/>
      <c r="AR361" s="206"/>
      <c r="AS361" s="206"/>
      <c r="AV361" s="206"/>
      <c r="AW361" s="206"/>
      <c r="AY361" s="206"/>
      <c r="AZ361" s="206"/>
      <c r="BD361" s="206"/>
      <c r="BF361" s="206"/>
    </row>
    <row r="362" spans="1:58" x14ac:dyDescent="0.2">
      <c r="A362" s="220"/>
      <c r="B362" s="220"/>
      <c r="C362" s="206"/>
      <c r="D362" s="206"/>
      <c r="E362" s="192"/>
      <c r="F362" s="206"/>
      <c r="G362" s="206"/>
      <c r="H362"/>
      <c r="I362" s="206"/>
      <c r="J362"/>
      <c r="K362"/>
      <c r="L362" s="206"/>
      <c r="M362" s="192"/>
      <c r="N362" s="206"/>
      <c r="O362" s="192"/>
      <c r="P362" s="192"/>
      <c r="Q362" s="206"/>
      <c r="R362" s="206"/>
      <c r="W362" s="206"/>
      <c r="X362" s="206"/>
      <c r="Y362" s="206"/>
      <c r="Z362" s="206"/>
      <c r="AA362" s="206"/>
      <c r="AB362" s="206"/>
      <c r="AC362" s="206"/>
      <c r="AD362" s="206"/>
      <c r="AL362" s="206"/>
      <c r="AM362" s="206"/>
      <c r="AN362" s="206"/>
      <c r="AO362" s="206"/>
      <c r="AP362" s="206"/>
      <c r="AQ362" s="206"/>
      <c r="AR362" s="206"/>
      <c r="AS362" s="206"/>
      <c r="AV362" s="206"/>
      <c r="AW362" s="206"/>
      <c r="AY362" s="206"/>
      <c r="AZ362" s="206"/>
      <c r="BD362" s="206"/>
      <c r="BF362" s="206"/>
    </row>
    <row r="363" spans="1:58" x14ac:dyDescent="0.2">
      <c r="A363" s="220"/>
      <c r="B363" s="220"/>
      <c r="C363" s="206"/>
      <c r="D363" s="206"/>
      <c r="E363" s="192"/>
      <c r="F363" s="206"/>
      <c r="G363" s="206"/>
      <c r="H363"/>
      <c r="I363" s="206"/>
      <c r="J363"/>
      <c r="K363"/>
      <c r="L363" s="206"/>
      <c r="M363" s="192"/>
      <c r="N363" s="206"/>
      <c r="O363" s="192"/>
      <c r="P363" s="192"/>
      <c r="Q363" s="206"/>
      <c r="R363" s="206"/>
      <c r="W363" s="206"/>
      <c r="X363" s="206"/>
      <c r="Y363" s="206"/>
      <c r="Z363" s="206"/>
      <c r="AA363" s="206"/>
      <c r="AB363" s="206"/>
      <c r="AC363" s="206"/>
      <c r="AD363" s="206"/>
      <c r="AL363" s="206"/>
      <c r="AM363" s="206"/>
      <c r="AN363" s="206"/>
      <c r="AO363" s="206"/>
      <c r="AP363" s="206"/>
      <c r="AQ363" s="206"/>
      <c r="AR363" s="206"/>
      <c r="AS363" s="206"/>
      <c r="AV363" s="206"/>
      <c r="AW363" s="206"/>
      <c r="AY363" s="206"/>
      <c r="AZ363" s="206"/>
      <c r="BD363" s="206"/>
      <c r="BF363" s="206"/>
    </row>
    <row r="364" spans="1:58" x14ac:dyDescent="0.2">
      <c r="A364" s="220"/>
      <c r="B364" s="220"/>
      <c r="C364" s="206"/>
      <c r="D364" s="206"/>
      <c r="E364" s="192"/>
      <c r="F364" s="206"/>
      <c r="G364" s="206"/>
      <c r="H364"/>
      <c r="I364" s="206"/>
      <c r="J364"/>
      <c r="K364"/>
      <c r="L364" s="206"/>
      <c r="M364" s="192"/>
      <c r="N364" s="206"/>
      <c r="O364" s="192"/>
      <c r="P364" s="192"/>
      <c r="Q364" s="206"/>
      <c r="R364" s="206"/>
      <c r="W364" s="206"/>
      <c r="X364" s="206"/>
      <c r="Y364" s="206"/>
      <c r="Z364" s="206"/>
      <c r="AA364" s="206"/>
      <c r="AB364" s="206"/>
      <c r="AC364" s="206"/>
      <c r="AD364" s="206"/>
      <c r="AL364" s="206"/>
      <c r="AM364" s="206"/>
      <c r="AN364" s="206"/>
      <c r="AO364" s="206"/>
      <c r="AP364" s="206"/>
      <c r="AQ364" s="206"/>
      <c r="AR364" s="206"/>
      <c r="AS364" s="206"/>
      <c r="AV364" s="206"/>
      <c r="AW364" s="206"/>
      <c r="AY364" s="206"/>
      <c r="AZ364" s="206"/>
      <c r="BD364" s="206"/>
      <c r="BF364" s="206"/>
    </row>
    <row r="365" spans="1:58" x14ac:dyDescent="0.2">
      <c r="A365" s="220"/>
      <c r="B365" s="220"/>
      <c r="C365" s="206"/>
      <c r="D365" s="206"/>
      <c r="E365" s="192"/>
      <c r="F365" s="206"/>
      <c r="G365" s="206"/>
      <c r="H365"/>
      <c r="I365" s="206"/>
      <c r="J365"/>
      <c r="K365"/>
      <c r="L365" s="206"/>
      <c r="M365" s="192"/>
      <c r="N365" s="206"/>
      <c r="O365" s="192"/>
      <c r="P365" s="192"/>
      <c r="Q365" s="206"/>
      <c r="R365" s="206"/>
      <c r="W365" s="206"/>
      <c r="X365" s="206"/>
      <c r="Y365" s="206"/>
      <c r="Z365" s="206"/>
      <c r="AA365" s="206"/>
      <c r="AB365" s="206"/>
      <c r="AC365" s="206"/>
      <c r="AD365" s="206"/>
      <c r="AL365" s="206"/>
      <c r="AM365" s="206"/>
      <c r="AN365" s="206"/>
      <c r="AO365" s="206"/>
      <c r="AP365" s="206"/>
      <c r="AQ365" s="206"/>
      <c r="AR365" s="206"/>
      <c r="AS365" s="206"/>
      <c r="AV365" s="206"/>
      <c r="AW365" s="206"/>
      <c r="AY365" s="206"/>
      <c r="AZ365" s="206"/>
      <c r="BD365" s="206"/>
      <c r="BF365" s="206"/>
    </row>
    <row r="366" spans="1:58" x14ac:dyDescent="0.2">
      <c r="A366" s="220"/>
      <c r="B366" s="220"/>
      <c r="C366" s="206"/>
      <c r="D366" s="206"/>
      <c r="E366" s="192"/>
      <c r="F366" s="206"/>
      <c r="G366" s="206"/>
      <c r="H366"/>
      <c r="I366" s="206"/>
      <c r="J366"/>
      <c r="K366"/>
      <c r="L366" s="206"/>
      <c r="M366" s="192"/>
      <c r="N366" s="206"/>
      <c r="O366" s="192"/>
      <c r="P366" s="192"/>
      <c r="Q366" s="206"/>
      <c r="R366" s="206"/>
      <c r="W366" s="206"/>
      <c r="X366" s="206"/>
      <c r="Y366" s="206"/>
      <c r="Z366" s="206"/>
      <c r="AA366" s="206"/>
      <c r="AB366" s="206"/>
      <c r="AC366" s="206"/>
      <c r="AD366" s="206"/>
      <c r="AL366" s="206"/>
      <c r="AM366" s="206"/>
      <c r="AN366" s="206"/>
      <c r="AO366" s="206"/>
      <c r="AP366" s="206"/>
      <c r="AQ366" s="206"/>
      <c r="AR366" s="206"/>
      <c r="AS366" s="206"/>
      <c r="AV366" s="206"/>
      <c r="AW366" s="206"/>
      <c r="AY366" s="206"/>
      <c r="AZ366" s="206"/>
      <c r="BD366" s="206"/>
      <c r="BF366" s="206"/>
    </row>
    <row r="367" spans="1:58" x14ac:dyDescent="0.2">
      <c r="A367" s="220"/>
      <c r="B367" s="220"/>
      <c r="C367" s="206"/>
      <c r="D367" s="206"/>
      <c r="E367" s="192"/>
      <c r="F367" s="206"/>
      <c r="G367" s="206"/>
      <c r="H367"/>
      <c r="I367" s="206"/>
      <c r="J367"/>
      <c r="K367"/>
      <c r="L367" s="206"/>
      <c r="M367" s="192"/>
      <c r="N367" s="206"/>
      <c r="O367" s="192"/>
      <c r="P367" s="192"/>
      <c r="Q367" s="206"/>
      <c r="R367" s="206"/>
      <c r="W367" s="206"/>
      <c r="X367" s="206"/>
      <c r="Y367" s="206"/>
      <c r="Z367" s="206"/>
      <c r="AA367" s="206"/>
      <c r="AB367" s="206"/>
      <c r="AC367" s="206"/>
      <c r="AD367" s="206"/>
      <c r="AL367" s="206"/>
      <c r="AM367" s="206"/>
      <c r="AN367" s="206"/>
      <c r="AO367" s="206"/>
      <c r="AP367" s="206"/>
      <c r="AQ367" s="206"/>
      <c r="AR367" s="206"/>
      <c r="AS367" s="206"/>
      <c r="AV367" s="206"/>
      <c r="AW367" s="206"/>
      <c r="AY367" s="206"/>
      <c r="AZ367" s="206"/>
      <c r="BD367" s="206"/>
      <c r="BF367" s="206"/>
    </row>
    <row r="368" spans="1:58" x14ac:dyDescent="0.2">
      <c r="A368" s="220"/>
      <c r="B368" s="220"/>
      <c r="C368" s="206"/>
      <c r="D368" s="206"/>
      <c r="E368" s="192"/>
      <c r="F368" s="206"/>
      <c r="G368"/>
      <c r="H368"/>
      <c r="I368" s="206"/>
      <c r="J368"/>
      <c r="K368"/>
      <c r="L368" s="206"/>
      <c r="M368" s="192"/>
      <c r="N368" s="206"/>
      <c r="O368" s="192"/>
      <c r="P368" s="192"/>
      <c r="Q368" s="206"/>
      <c r="R368" s="206"/>
      <c r="W368" s="206"/>
      <c r="X368" s="206"/>
      <c r="Y368" s="206"/>
      <c r="Z368" s="206"/>
      <c r="AA368" s="206"/>
      <c r="AB368" s="206"/>
      <c r="AC368" s="206"/>
      <c r="AD368" s="206"/>
      <c r="AL368" s="206"/>
      <c r="AM368" s="206"/>
      <c r="AN368" s="206"/>
      <c r="AO368" s="206"/>
      <c r="AP368" s="206"/>
      <c r="AQ368" s="206"/>
      <c r="AR368" s="206"/>
      <c r="AS368" s="206"/>
      <c r="AV368" s="206"/>
      <c r="AY368" s="206"/>
      <c r="AZ368" s="206"/>
      <c r="BD368" s="206"/>
      <c r="BF368" s="206"/>
    </row>
    <row r="369" spans="1:58" x14ac:dyDescent="0.2">
      <c r="A369" s="220"/>
      <c r="B369" s="220"/>
      <c r="C369" s="206"/>
      <c r="D369" s="206"/>
      <c r="E369" s="192"/>
      <c r="F369" s="206"/>
      <c r="G369" s="206"/>
      <c r="H369"/>
      <c r="I369" s="206"/>
      <c r="J369"/>
      <c r="K369"/>
      <c r="L369" s="206"/>
      <c r="M369" s="192"/>
      <c r="N369" s="206"/>
      <c r="O369" s="192"/>
      <c r="P369" s="192"/>
      <c r="Q369" s="206"/>
      <c r="R369" s="206"/>
      <c r="W369" s="206"/>
      <c r="X369" s="206"/>
      <c r="Y369" s="206"/>
      <c r="Z369" s="206"/>
      <c r="AA369" s="206"/>
      <c r="AB369" s="206"/>
      <c r="AC369" s="206"/>
      <c r="AD369" s="206"/>
      <c r="AL369" s="206"/>
      <c r="AM369" s="206"/>
      <c r="AN369" s="206"/>
      <c r="AO369" s="206"/>
      <c r="AP369" s="206"/>
      <c r="AQ369" s="206"/>
      <c r="AR369" s="206"/>
      <c r="AS369" s="206"/>
      <c r="AV369" s="206"/>
      <c r="AW369" s="206"/>
      <c r="AY369" s="206"/>
      <c r="AZ369" s="206"/>
      <c r="BD369" s="206"/>
      <c r="BF369" s="206"/>
    </row>
    <row r="370" spans="1:58" x14ac:dyDescent="0.2">
      <c r="A370" s="220"/>
      <c r="B370" s="220"/>
      <c r="C370" s="206"/>
      <c r="D370" s="206"/>
      <c r="E370" s="192"/>
      <c r="F370" s="206"/>
      <c r="G370" s="206"/>
      <c r="H370"/>
      <c r="I370" s="206"/>
      <c r="J370"/>
      <c r="K370"/>
      <c r="L370" s="206"/>
      <c r="M370" s="192"/>
      <c r="N370" s="206"/>
      <c r="O370" s="192"/>
      <c r="P370" s="192"/>
      <c r="Q370" s="206"/>
      <c r="R370" s="206"/>
      <c r="W370" s="206"/>
      <c r="X370" s="206"/>
      <c r="Y370" s="206"/>
      <c r="Z370" s="206"/>
      <c r="AA370" s="206"/>
      <c r="AB370" s="206"/>
      <c r="AC370" s="206"/>
      <c r="AD370" s="206"/>
      <c r="AL370" s="206"/>
      <c r="AM370" s="206"/>
      <c r="AN370" s="206"/>
      <c r="AO370" s="206"/>
      <c r="AP370" s="206"/>
      <c r="AQ370" s="206"/>
      <c r="AR370" s="206"/>
      <c r="AS370" s="206"/>
      <c r="AV370" s="206"/>
      <c r="AW370" s="206"/>
      <c r="AY370" s="206"/>
      <c r="AZ370" s="206"/>
      <c r="BD370" s="206"/>
      <c r="BF370" s="206"/>
    </row>
    <row r="371" spans="1:58" x14ac:dyDescent="0.2">
      <c r="A371" s="220"/>
      <c r="B371" s="220"/>
      <c r="C371" s="206"/>
      <c r="D371" s="206"/>
      <c r="E371" s="192"/>
      <c r="F371" s="206"/>
      <c r="G371" s="206"/>
      <c r="H371"/>
      <c r="I371" s="206"/>
      <c r="J371"/>
      <c r="K371"/>
      <c r="L371" s="206"/>
      <c r="M371" s="192"/>
      <c r="N371" s="206"/>
      <c r="O371" s="192"/>
      <c r="P371" s="192"/>
      <c r="Q371" s="206"/>
      <c r="R371" s="206"/>
      <c r="W371" s="206"/>
      <c r="X371" s="206"/>
      <c r="Y371" s="206"/>
      <c r="Z371" s="206"/>
      <c r="AA371" s="206"/>
      <c r="AB371" s="206"/>
      <c r="AC371" s="206"/>
      <c r="AD371" s="206"/>
      <c r="AL371" s="206"/>
      <c r="AM371" s="206"/>
      <c r="AN371" s="206"/>
      <c r="AO371" s="206"/>
      <c r="AP371" s="206"/>
      <c r="AQ371" s="206"/>
      <c r="AR371" s="206"/>
      <c r="AS371" s="206"/>
      <c r="AV371" s="206"/>
      <c r="AW371" s="206"/>
      <c r="AY371" s="206"/>
      <c r="AZ371" s="206"/>
      <c r="BD371" s="206"/>
      <c r="BF371" s="206"/>
    </row>
    <row r="372" spans="1:58" x14ac:dyDescent="0.2">
      <c r="A372" s="220"/>
      <c r="B372" s="220"/>
      <c r="C372" s="206"/>
      <c r="D372" s="206"/>
      <c r="E372" s="192"/>
      <c r="F372" s="206"/>
      <c r="G372"/>
      <c r="H372"/>
      <c r="I372" s="206"/>
      <c r="J372"/>
      <c r="K372"/>
      <c r="L372" s="206"/>
      <c r="M372" s="192"/>
      <c r="N372" s="206"/>
      <c r="O372" s="192"/>
      <c r="P372" s="192"/>
      <c r="Q372" s="206"/>
      <c r="R372" s="206"/>
      <c r="W372" s="206"/>
      <c r="X372" s="206"/>
      <c r="Y372" s="206"/>
      <c r="Z372" s="206"/>
      <c r="AA372" s="206"/>
      <c r="AB372" s="206"/>
      <c r="AC372" s="206"/>
      <c r="AD372" s="206"/>
      <c r="AL372" s="206"/>
      <c r="AM372" s="206"/>
      <c r="AN372" s="206"/>
      <c r="AO372" s="206"/>
      <c r="AP372" s="206"/>
      <c r="AQ372" s="206"/>
      <c r="AR372" s="206"/>
      <c r="AS372" s="206"/>
      <c r="AV372" s="206"/>
      <c r="AY372" s="206"/>
      <c r="AZ372" s="206"/>
      <c r="BD372" s="206"/>
      <c r="BF372" s="206"/>
    </row>
    <row r="373" spans="1:58" x14ac:dyDescent="0.2">
      <c r="A373" s="220"/>
      <c r="B373" s="220"/>
      <c r="C373" s="206"/>
      <c r="D373" s="206"/>
      <c r="E373" s="192"/>
      <c r="F373" s="206"/>
      <c r="G373" s="206"/>
      <c r="H373"/>
      <c r="I373" s="206"/>
      <c r="J373"/>
      <c r="K373"/>
      <c r="L373" s="206"/>
      <c r="M373" s="192"/>
      <c r="N373" s="206"/>
      <c r="O373" s="192"/>
      <c r="P373" s="192"/>
      <c r="Q373" s="206"/>
      <c r="R373" s="206"/>
      <c r="W373" s="206"/>
      <c r="X373" s="206"/>
      <c r="Y373" s="206"/>
      <c r="Z373" s="206"/>
      <c r="AA373" s="206"/>
      <c r="AB373" s="206"/>
      <c r="AC373" s="206"/>
      <c r="AD373" s="206"/>
      <c r="AL373" s="206"/>
      <c r="AM373" s="206"/>
      <c r="AN373" s="206"/>
      <c r="AO373" s="206"/>
      <c r="AP373" s="206"/>
      <c r="AQ373" s="206"/>
      <c r="AR373" s="206"/>
      <c r="AS373" s="206"/>
      <c r="AV373" s="206"/>
      <c r="AW373" s="206"/>
      <c r="AY373" s="206"/>
      <c r="AZ373" s="206"/>
      <c r="BD373" s="206"/>
      <c r="BF373" s="206"/>
    </row>
    <row r="374" spans="1:58" x14ac:dyDescent="0.2">
      <c r="A374" s="220"/>
      <c r="B374" s="220"/>
      <c r="C374" s="206"/>
      <c r="D374" s="206"/>
      <c r="E374" s="192"/>
      <c r="F374" s="206"/>
      <c r="G374" s="206"/>
      <c r="H374"/>
      <c r="I374" s="206"/>
      <c r="J374"/>
      <c r="K374"/>
      <c r="L374" s="206"/>
      <c r="M374" s="192"/>
      <c r="N374" s="206"/>
      <c r="O374" s="192"/>
      <c r="P374" s="192"/>
      <c r="Q374" s="206"/>
      <c r="R374" s="206"/>
      <c r="W374" s="206"/>
      <c r="X374" s="206"/>
      <c r="Y374" s="206"/>
      <c r="Z374" s="206"/>
      <c r="AA374" s="206"/>
      <c r="AB374" s="206"/>
      <c r="AC374" s="206"/>
      <c r="AD374" s="206"/>
      <c r="AL374" s="206"/>
      <c r="AM374" s="206"/>
      <c r="AN374" s="206"/>
      <c r="AO374" s="206"/>
      <c r="AP374" s="206"/>
      <c r="AQ374" s="206"/>
      <c r="AR374" s="206"/>
      <c r="AS374" s="206"/>
      <c r="AV374" s="206"/>
      <c r="AW374" s="206"/>
      <c r="AY374" s="206"/>
      <c r="AZ374" s="206"/>
      <c r="BD374" s="206"/>
      <c r="BF374" s="206"/>
    </row>
    <row r="375" spans="1:58" x14ac:dyDescent="0.2">
      <c r="A375" s="220"/>
      <c r="B375" s="220"/>
      <c r="C375" s="206"/>
      <c r="D375" s="206"/>
      <c r="E375" s="192"/>
      <c r="F375" s="206"/>
      <c r="G375" s="206"/>
      <c r="H375"/>
      <c r="I375" s="206"/>
      <c r="J375"/>
      <c r="K375"/>
      <c r="L375" s="206"/>
      <c r="M375" s="192"/>
      <c r="N375" s="206"/>
      <c r="O375" s="192"/>
      <c r="P375" s="192"/>
      <c r="Q375" s="206"/>
      <c r="R375" s="206"/>
      <c r="W375" s="206"/>
      <c r="X375" s="206"/>
      <c r="Y375" s="206"/>
      <c r="Z375" s="206"/>
      <c r="AA375" s="206"/>
      <c r="AB375" s="206"/>
      <c r="AC375" s="206"/>
      <c r="AD375" s="206"/>
      <c r="AL375" s="206"/>
      <c r="AM375" s="206"/>
      <c r="AN375" s="206"/>
      <c r="AO375" s="206"/>
      <c r="AP375" s="206"/>
      <c r="AQ375" s="206"/>
      <c r="AR375" s="206"/>
      <c r="AS375" s="206"/>
      <c r="AV375" s="206"/>
      <c r="AW375" s="206"/>
      <c r="AY375" s="206"/>
      <c r="AZ375" s="206"/>
      <c r="BD375" s="206"/>
      <c r="BF375" s="206"/>
    </row>
    <row r="376" spans="1:58" x14ac:dyDescent="0.2">
      <c r="A376" s="220"/>
      <c r="B376" s="220"/>
      <c r="C376" s="206"/>
      <c r="D376" s="206"/>
      <c r="E376" s="192"/>
      <c r="F376" s="206"/>
      <c r="G376" s="206"/>
      <c r="H376"/>
      <c r="I376" s="206"/>
      <c r="J376"/>
      <c r="K376"/>
      <c r="L376" s="206"/>
      <c r="M376" s="192"/>
      <c r="N376" s="206"/>
      <c r="O376" s="192"/>
      <c r="P376" s="192"/>
      <c r="Q376" s="206"/>
      <c r="R376" s="206"/>
      <c r="W376" s="206"/>
      <c r="X376" s="206"/>
      <c r="Y376" s="206"/>
      <c r="Z376" s="206"/>
      <c r="AA376" s="206"/>
      <c r="AB376" s="206"/>
      <c r="AC376" s="206"/>
      <c r="AD376" s="206"/>
      <c r="AL376" s="206"/>
      <c r="AM376" s="206"/>
      <c r="AN376" s="206"/>
      <c r="AO376" s="206"/>
      <c r="AP376" s="206"/>
      <c r="AQ376" s="206"/>
      <c r="AR376" s="206"/>
      <c r="AS376" s="206"/>
      <c r="AV376" s="206"/>
      <c r="AW376" s="206"/>
      <c r="AY376" s="206"/>
      <c r="AZ376" s="206"/>
      <c r="BD376" s="206"/>
      <c r="BF376" s="206"/>
    </row>
    <row r="377" spans="1:58" x14ac:dyDescent="0.2">
      <c r="A377" s="220"/>
      <c r="B377" s="220"/>
      <c r="C377" s="206"/>
      <c r="D377" s="206"/>
      <c r="E377" s="192"/>
      <c r="F377" s="206"/>
      <c r="G377" s="206"/>
      <c r="H377"/>
      <c r="I377" s="206"/>
      <c r="J377"/>
      <c r="K377"/>
      <c r="L377" s="206"/>
      <c r="M377" s="192"/>
      <c r="N377" s="206"/>
      <c r="O377" s="192"/>
      <c r="P377" s="192"/>
      <c r="Q377" s="206"/>
      <c r="R377" s="206"/>
      <c r="W377" s="206"/>
      <c r="X377" s="206"/>
      <c r="Y377" s="206"/>
      <c r="Z377" s="206"/>
      <c r="AA377" s="206"/>
      <c r="AB377" s="206"/>
      <c r="AC377" s="206"/>
      <c r="AD377" s="206"/>
      <c r="AL377" s="206"/>
      <c r="AM377" s="206"/>
      <c r="AN377" s="206"/>
      <c r="AO377" s="206"/>
      <c r="AP377" s="206"/>
      <c r="AQ377" s="206"/>
      <c r="AR377" s="206"/>
      <c r="AS377" s="206"/>
      <c r="AV377" s="206"/>
      <c r="AW377" s="206"/>
      <c r="AY377" s="206"/>
      <c r="AZ377" s="206"/>
      <c r="BD377" s="206"/>
      <c r="BF377" s="206"/>
    </row>
    <row r="378" spans="1:58" x14ac:dyDescent="0.2">
      <c r="A378" s="220"/>
      <c r="B378" s="220"/>
      <c r="C378" s="206"/>
      <c r="D378" s="206"/>
      <c r="E378" s="192"/>
      <c r="F378" s="206"/>
      <c r="G378" s="206"/>
      <c r="H378"/>
      <c r="I378" s="206"/>
      <c r="J378"/>
      <c r="K378"/>
      <c r="L378" s="206"/>
      <c r="M378" s="192"/>
      <c r="N378" s="206"/>
      <c r="O378" s="192"/>
      <c r="P378" s="192"/>
      <c r="Q378" s="206"/>
      <c r="R378" s="206"/>
      <c r="W378" s="206"/>
      <c r="X378" s="206"/>
      <c r="Y378" s="206"/>
      <c r="Z378" s="206"/>
      <c r="AA378" s="206"/>
      <c r="AB378" s="206"/>
      <c r="AC378" s="206"/>
      <c r="AD378" s="206"/>
      <c r="AL378" s="206"/>
      <c r="AM378" s="206"/>
      <c r="AN378" s="206"/>
      <c r="AO378" s="206"/>
      <c r="AP378" s="206"/>
      <c r="AQ378" s="206"/>
      <c r="AR378" s="206"/>
      <c r="AS378" s="206"/>
      <c r="AV378" s="206"/>
      <c r="AW378" s="206"/>
      <c r="AY378" s="206"/>
      <c r="AZ378" s="206"/>
      <c r="BD378" s="206"/>
      <c r="BF378" s="206"/>
    </row>
    <row r="379" spans="1:58" x14ac:dyDescent="0.2">
      <c r="A379" s="220"/>
      <c r="B379" s="220"/>
      <c r="C379" s="206"/>
      <c r="D379" s="206"/>
      <c r="E379" s="192"/>
      <c r="F379" s="206"/>
      <c r="G379" s="206"/>
      <c r="H379" s="206"/>
      <c r="I379" s="206"/>
      <c r="J379"/>
      <c r="K379"/>
      <c r="L379" s="206"/>
      <c r="M379" s="192"/>
      <c r="N379" s="206"/>
      <c r="O379" s="192"/>
      <c r="P379" s="192"/>
      <c r="Q379" s="206"/>
      <c r="R379" s="206"/>
      <c r="W379" s="206"/>
      <c r="X379" s="206"/>
      <c r="Y379" s="206"/>
      <c r="Z379" s="206"/>
      <c r="AA379" s="206"/>
      <c r="AB379" s="206"/>
      <c r="AC379" s="206"/>
      <c r="AD379" s="206"/>
      <c r="AL379" s="206"/>
      <c r="AM379" s="206"/>
      <c r="AN379" s="206"/>
      <c r="AO379" s="206"/>
      <c r="AP379" s="206"/>
      <c r="AQ379" s="206"/>
      <c r="AR379" s="206"/>
      <c r="AS379" s="206"/>
      <c r="AV379" s="206"/>
      <c r="AW379" s="206"/>
      <c r="AX379" s="206"/>
      <c r="AY379" s="206"/>
      <c r="AZ379" s="206"/>
      <c r="BD379" s="206"/>
      <c r="BF379" s="206"/>
    </row>
    <row r="380" spans="1:58" x14ac:dyDescent="0.2">
      <c r="A380" s="220"/>
      <c r="B380" s="220"/>
      <c r="C380" s="206"/>
      <c r="D380" s="206"/>
      <c r="E380" s="192"/>
      <c r="F380" s="206"/>
      <c r="G380" s="206"/>
      <c r="H380"/>
      <c r="I380" s="206"/>
      <c r="J380"/>
      <c r="K380"/>
      <c r="L380" s="206"/>
      <c r="M380" s="192"/>
      <c r="N380" s="206"/>
      <c r="O380" s="192"/>
      <c r="P380" s="192"/>
      <c r="Q380" s="206"/>
      <c r="R380" s="206"/>
      <c r="W380" s="206"/>
      <c r="X380" s="206"/>
      <c r="Y380" s="206"/>
      <c r="Z380" s="206"/>
      <c r="AA380" s="206"/>
      <c r="AB380" s="206"/>
      <c r="AC380" s="206"/>
      <c r="AD380" s="206"/>
      <c r="AL380" s="206"/>
      <c r="AM380" s="206"/>
      <c r="AN380" s="206"/>
      <c r="AO380" s="206"/>
      <c r="AP380" s="206"/>
      <c r="AQ380" s="206"/>
      <c r="AR380" s="206"/>
      <c r="AS380" s="206"/>
      <c r="AV380" s="206"/>
      <c r="AW380" s="206"/>
      <c r="AY380" s="206"/>
      <c r="AZ380" s="206"/>
      <c r="BD380" s="206"/>
      <c r="BF380" s="206"/>
    </row>
    <row r="381" spans="1:58" x14ac:dyDescent="0.2">
      <c r="A381" s="220"/>
      <c r="B381" s="220"/>
      <c r="C381" s="206"/>
      <c r="D381" s="206"/>
      <c r="E381" s="192"/>
      <c r="F381" s="206"/>
      <c r="G381" s="206"/>
      <c r="H381" s="206"/>
      <c r="I381" s="206"/>
      <c r="J381"/>
      <c r="K381"/>
      <c r="L381" s="206"/>
      <c r="M381" s="192"/>
      <c r="N381" s="206"/>
      <c r="O381" s="192"/>
      <c r="P381" s="192"/>
      <c r="Q381" s="206"/>
      <c r="R381" s="206"/>
      <c r="W381" s="206"/>
      <c r="X381" s="206"/>
      <c r="Y381" s="206"/>
      <c r="Z381" s="206"/>
      <c r="AA381" s="206"/>
      <c r="AB381" s="206"/>
      <c r="AC381" s="206"/>
      <c r="AD381" s="206"/>
      <c r="AL381" s="206"/>
      <c r="AM381" s="206"/>
      <c r="AN381" s="206"/>
      <c r="AO381" s="206"/>
      <c r="AP381" s="206"/>
      <c r="AQ381" s="206"/>
      <c r="AR381" s="206"/>
      <c r="AS381" s="206"/>
      <c r="AV381" s="206"/>
      <c r="AW381" s="206"/>
      <c r="AX381" s="206"/>
      <c r="AY381" s="206"/>
      <c r="AZ381" s="206"/>
      <c r="BD381" s="206"/>
      <c r="BF381" s="206"/>
    </row>
    <row r="382" spans="1:58" x14ac:dyDescent="0.2">
      <c r="A382" s="220"/>
      <c r="B382" s="220"/>
      <c r="C382" s="206"/>
      <c r="D382" s="206"/>
      <c r="E382" s="192"/>
      <c r="F382" s="206"/>
      <c r="G382"/>
      <c r="H382"/>
      <c r="I382" s="206"/>
      <c r="J382"/>
      <c r="K382"/>
      <c r="L382" s="206"/>
      <c r="M382" s="192"/>
      <c r="N382" s="206"/>
      <c r="O382" s="192"/>
      <c r="P382" s="192"/>
      <c r="Q382" s="206"/>
      <c r="R382" s="206"/>
      <c r="W382" s="206"/>
      <c r="X382" s="206"/>
      <c r="Y382" s="206"/>
      <c r="Z382" s="206"/>
      <c r="AA382" s="206"/>
      <c r="AB382" s="206"/>
      <c r="AC382" s="206"/>
      <c r="AD382" s="206"/>
      <c r="AL382" s="206"/>
      <c r="AM382" s="206"/>
      <c r="AN382" s="206"/>
      <c r="AO382" s="206"/>
      <c r="AP382" s="206"/>
      <c r="AQ382" s="206"/>
      <c r="AR382" s="206"/>
      <c r="AS382" s="206"/>
      <c r="AV382" s="206"/>
      <c r="AY382" s="206"/>
      <c r="AZ382" s="206"/>
      <c r="BD382" s="206"/>
      <c r="BF382" s="206"/>
    </row>
    <row r="383" spans="1:58" x14ac:dyDescent="0.2">
      <c r="A383" s="220"/>
      <c r="B383" s="220"/>
      <c r="C383" s="206"/>
      <c r="D383" s="206"/>
      <c r="E383" s="192"/>
      <c r="F383" s="206"/>
      <c r="G383"/>
      <c r="H383"/>
      <c r="I383" s="206"/>
      <c r="J383"/>
      <c r="K383"/>
      <c r="L383" s="206"/>
      <c r="M383" s="192"/>
      <c r="N383" s="206"/>
      <c r="O383" s="192"/>
      <c r="P383" s="192"/>
      <c r="Q383" s="206"/>
      <c r="R383" s="206"/>
      <c r="W383" s="206"/>
      <c r="X383" s="206"/>
      <c r="Y383" s="206"/>
      <c r="Z383" s="206"/>
      <c r="AA383" s="206"/>
      <c r="AB383" s="206"/>
      <c r="AC383" s="206"/>
      <c r="AD383" s="206"/>
      <c r="AL383" s="206"/>
      <c r="AM383" s="206"/>
      <c r="AN383" s="206"/>
      <c r="AO383" s="206"/>
      <c r="AP383" s="206"/>
      <c r="AQ383" s="206"/>
      <c r="AR383" s="206"/>
      <c r="AS383" s="206"/>
      <c r="AV383" s="206"/>
      <c r="AY383" s="206"/>
      <c r="AZ383" s="206"/>
      <c r="BD383" s="206"/>
      <c r="BF383" s="206"/>
    </row>
    <row r="384" spans="1:58" x14ac:dyDescent="0.2">
      <c r="A384" s="220"/>
      <c r="B384" s="220"/>
      <c r="C384" s="206"/>
      <c r="D384" s="206"/>
      <c r="E384" s="192"/>
      <c r="F384" s="206"/>
      <c r="G384" s="206"/>
      <c r="H384"/>
      <c r="I384" s="206"/>
      <c r="J384"/>
      <c r="K384"/>
      <c r="L384" s="206"/>
      <c r="M384" s="192"/>
      <c r="N384" s="206"/>
      <c r="O384" s="192"/>
      <c r="P384" s="192"/>
      <c r="Q384" s="206"/>
      <c r="R384" s="206"/>
      <c r="W384" s="206"/>
      <c r="X384" s="206"/>
      <c r="Y384" s="206"/>
      <c r="Z384" s="206"/>
      <c r="AA384" s="206"/>
      <c r="AB384" s="206"/>
      <c r="AC384" s="206"/>
      <c r="AD384" s="206"/>
      <c r="AL384" s="206"/>
      <c r="AM384" s="206"/>
      <c r="AN384" s="206"/>
      <c r="AO384" s="206"/>
      <c r="AP384" s="206"/>
      <c r="AQ384" s="206"/>
      <c r="AR384" s="206"/>
      <c r="AS384" s="206"/>
      <c r="AV384" s="206"/>
      <c r="AW384" s="206"/>
      <c r="AY384" s="206"/>
      <c r="AZ384" s="206"/>
      <c r="BD384" s="206"/>
      <c r="BF384" s="206"/>
    </row>
    <row r="385" spans="1:100" x14ac:dyDescent="0.2">
      <c r="A385" s="220"/>
      <c r="B385" s="220"/>
      <c r="C385" s="206"/>
      <c r="D385" s="206"/>
      <c r="E385" s="192"/>
      <c r="F385" s="206"/>
      <c r="G385" s="206"/>
      <c r="H385" s="206"/>
      <c r="I385" s="206"/>
      <c r="J385" s="206"/>
      <c r="K385" s="206"/>
      <c r="L385" s="206"/>
      <c r="M385" s="192"/>
      <c r="N385" s="206"/>
      <c r="O385" s="192"/>
      <c r="P385" s="192"/>
      <c r="Q385" s="206"/>
      <c r="R385" s="206"/>
      <c r="W385" s="206"/>
      <c r="X385" s="206"/>
      <c r="Y385" s="206"/>
      <c r="Z385" s="206"/>
      <c r="AA385" s="206"/>
      <c r="AB385" s="206"/>
      <c r="AC385" s="206"/>
      <c r="AD385" s="206"/>
      <c r="AL385" s="206"/>
      <c r="AM385" s="206"/>
      <c r="AN385" s="206"/>
      <c r="AO385" s="206"/>
      <c r="AP385" s="206"/>
      <c r="AQ385" s="206"/>
      <c r="AR385" s="206"/>
      <c r="AS385" s="206"/>
      <c r="AV385" s="206"/>
      <c r="AW385" s="206"/>
      <c r="AX385" s="206"/>
      <c r="AY385" s="206"/>
      <c r="AZ385" s="206"/>
      <c r="BA385" s="206"/>
      <c r="BB385" s="206"/>
      <c r="BD385" s="206"/>
      <c r="BF385" s="206"/>
      <c r="BG385" s="201"/>
      <c r="BJ385" s="201"/>
      <c r="BK385" s="201"/>
      <c r="BL385" s="201"/>
      <c r="BM385" s="201"/>
      <c r="BN385" s="201"/>
      <c r="BO385" s="201"/>
      <c r="BP385" s="201"/>
      <c r="BQ385" s="201"/>
      <c r="BR385" s="201"/>
      <c r="BS385" s="201"/>
      <c r="BT385" s="201"/>
      <c r="BU385" s="201"/>
      <c r="BV385" s="201"/>
      <c r="BW385" s="201"/>
      <c r="BX385" s="201"/>
      <c r="BY385" s="201"/>
      <c r="BZ385" s="201"/>
      <c r="CA385" s="201"/>
      <c r="CB385" s="201"/>
      <c r="CC385" s="201"/>
      <c r="CD385" s="201"/>
      <c r="CE385" s="201"/>
      <c r="CF385" s="201"/>
      <c r="CG385" s="201"/>
      <c r="CH385" s="201"/>
      <c r="CI385" s="201"/>
      <c r="CJ385" s="201"/>
      <c r="CK385" s="201"/>
      <c r="CL385" s="201"/>
      <c r="CM385" s="201"/>
      <c r="CN385" s="201"/>
      <c r="CP385" s="201"/>
      <c r="CQ385" s="201"/>
      <c r="CR385" s="201"/>
      <c r="CS385" s="201"/>
      <c r="CT385" s="201"/>
      <c r="CU385" s="201"/>
      <c r="CV385" s="201"/>
    </row>
    <row r="386" spans="1:100" x14ac:dyDescent="0.2">
      <c r="A386" s="220"/>
      <c r="B386" s="220"/>
      <c r="C386" s="206"/>
      <c r="D386" s="206"/>
      <c r="E386" s="192"/>
      <c r="F386"/>
      <c r="G386"/>
      <c r="H386"/>
      <c r="I386" s="206"/>
      <c r="J386"/>
      <c r="K386"/>
      <c r="L386" s="206"/>
      <c r="M386" s="192"/>
      <c r="N386" s="206"/>
      <c r="O386" s="192"/>
      <c r="P386" s="192"/>
      <c r="Q386" s="206"/>
      <c r="R386" s="206"/>
      <c r="W386" s="206"/>
      <c r="X386" s="206"/>
      <c r="Y386" s="206"/>
      <c r="Z386" s="206"/>
      <c r="AA386" s="206"/>
      <c r="AB386" s="206"/>
      <c r="AC386" s="206"/>
      <c r="AD386" s="206"/>
      <c r="AL386" s="206"/>
      <c r="AM386" s="206"/>
      <c r="AN386" s="206"/>
      <c r="AO386" s="206"/>
      <c r="AP386" s="206"/>
      <c r="AQ386" s="206"/>
      <c r="AR386" s="206"/>
      <c r="AS386" s="206"/>
      <c r="AY386" s="206"/>
      <c r="AZ386" s="206"/>
      <c r="BD386" s="206"/>
      <c r="BF386" s="206"/>
    </row>
    <row r="387" spans="1:100" x14ac:dyDescent="0.2">
      <c r="A387" s="220"/>
      <c r="B387" s="220"/>
      <c r="C387" s="206"/>
      <c r="D387" s="206"/>
      <c r="E387" s="192"/>
      <c r="F387" s="206"/>
      <c r="G387"/>
      <c r="H387"/>
      <c r="I387" s="206"/>
      <c r="J387"/>
      <c r="K387"/>
      <c r="L387" s="206"/>
      <c r="M387" s="192"/>
      <c r="N387" s="206"/>
      <c r="O387" s="192"/>
      <c r="P387" s="192"/>
      <c r="Q387" s="206"/>
      <c r="R387" s="206"/>
      <c r="W387" s="206"/>
      <c r="X387" s="206"/>
      <c r="Y387" s="206"/>
      <c r="Z387" s="206"/>
      <c r="AA387" s="206"/>
      <c r="AB387" s="206"/>
      <c r="AC387" s="206"/>
      <c r="AD387" s="206"/>
      <c r="AL387" s="206"/>
      <c r="AM387" s="206"/>
      <c r="AN387" s="206"/>
      <c r="AO387" s="206"/>
      <c r="AP387" s="206"/>
      <c r="AQ387" s="206"/>
      <c r="AR387" s="206"/>
      <c r="AS387" s="206"/>
      <c r="AV387" s="206"/>
      <c r="AY387" s="206"/>
      <c r="AZ387" s="206"/>
      <c r="BD387" s="206"/>
      <c r="BF387" s="206"/>
    </row>
    <row r="388" spans="1:100" x14ac:dyDescent="0.2">
      <c r="A388" s="220"/>
      <c r="B388" s="220"/>
      <c r="C388" s="206"/>
      <c r="D388" s="206"/>
      <c r="E388" s="192"/>
      <c r="F388" s="206"/>
      <c r="G388"/>
      <c r="H388"/>
      <c r="I388" s="206"/>
      <c r="J388"/>
      <c r="K388"/>
      <c r="L388" s="206"/>
      <c r="M388" s="192"/>
      <c r="N388" s="206"/>
      <c r="O388" s="192"/>
      <c r="P388" s="192"/>
      <c r="Q388" s="206"/>
      <c r="R388" s="206"/>
      <c r="W388" s="206"/>
      <c r="X388" s="206"/>
      <c r="Y388" s="206"/>
      <c r="Z388" s="206"/>
      <c r="AA388" s="206"/>
      <c r="AB388" s="206"/>
      <c r="AC388" s="206"/>
      <c r="AD388" s="206"/>
      <c r="AL388" s="206"/>
      <c r="AM388" s="206"/>
      <c r="AN388" s="206"/>
      <c r="AO388" s="206"/>
      <c r="AP388" s="206"/>
      <c r="AQ388" s="206"/>
      <c r="AR388" s="206"/>
      <c r="AS388" s="206"/>
      <c r="AV388" s="206"/>
      <c r="AY388" s="206"/>
      <c r="AZ388" s="206"/>
      <c r="BD388" s="206"/>
      <c r="BF388" s="206"/>
    </row>
    <row r="389" spans="1:100" x14ac:dyDescent="0.2">
      <c r="A389" s="220"/>
      <c r="B389" s="220"/>
      <c r="C389" s="206"/>
      <c r="D389" s="206"/>
      <c r="E389" s="192"/>
      <c r="F389" s="206"/>
      <c r="G389"/>
      <c r="H389"/>
      <c r="I389" s="206"/>
      <c r="J389"/>
      <c r="K389"/>
      <c r="L389" s="206"/>
      <c r="M389" s="192"/>
      <c r="N389" s="206"/>
      <c r="O389" s="192"/>
      <c r="P389" s="192"/>
      <c r="Q389" s="206"/>
      <c r="R389" s="206"/>
      <c r="W389" s="206"/>
      <c r="X389" s="206"/>
      <c r="Y389" s="206"/>
      <c r="Z389" s="206"/>
      <c r="AA389" s="206"/>
      <c r="AB389" s="206"/>
      <c r="AC389" s="206"/>
      <c r="AD389" s="206"/>
      <c r="AL389" s="206"/>
      <c r="AM389" s="206"/>
      <c r="AN389" s="206"/>
      <c r="AO389" s="206"/>
      <c r="AP389" s="206"/>
      <c r="AQ389" s="206"/>
      <c r="AR389" s="206"/>
      <c r="AS389" s="206"/>
      <c r="AV389" s="206"/>
      <c r="AY389" s="206"/>
      <c r="AZ389" s="206"/>
      <c r="BD389" s="206"/>
      <c r="BF389" s="206"/>
    </row>
    <row r="390" spans="1:100" x14ac:dyDescent="0.2">
      <c r="A390" s="220"/>
      <c r="B390" s="220"/>
      <c r="C390" s="206"/>
      <c r="D390" s="206"/>
      <c r="E390" s="192"/>
      <c r="F390" s="206"/>
      <c r="G390" s="206"/>
      <c r="H390"/>
      <c r="I390" s="206"/>
      <c r="J390"/>
      <c r="K390"/>
      <c r="L390" s="206"/>
      <c r="M390" s="192"/>
      <c r="N390" s="206"/>
      <c r="O390" s="192"/>
      <c r="P390" s="192"/>
      <c r="Q390" s="206"/>
      <c r="R390" s="206"/>
      <c r="W390" s="206"/>
      <c r="X390" s="206"/>
      <c r="Y390" s="206"/>
      <c r="Z390" s="206"/>
      <c r="AA390" s="206"/>
      <c r="AB390" s="206"/>
      <c r="AC390" s="206"/>
      <c r="AD390" s="206"/>
      <c r="AL390" s="206"/>
      <c r="AM390" s="206"/>
      <c r="AN390" s="206"/>
      <c r="AO390" s="206"/>
      <c r="AP390" s="206"/>
      <c r="AQ390" s="206"/>
      <c r="AR390" s="206"/>
      <c r="AS390" s="206"/>
      <c r="AV390" s="206"/>
      <c r="AW390" s="206"/>
      <c r="AY390" s="206"/>
      <c r="AZ390" s="206"/>
      <c r="BD390" s="206"/>
      <c r="BF390" s="206"/>
    </row>
    <row r="391" spans="1:100" x14ac:dyDescent="0.2">
      <c r="A391" s="220"/>
      <c r="B391" s="220"/>
      <c r="C391" s="206"/>
      <c r="D391" s="206"/>
      <c r="E391" s="192"/>
      <c r="F391" s="206"/>
      <c r="G391" s="206"/>
      <c r="H391"/>
      <c r="I391" s="206"/>
      <c r="J391"/>
      <c r="K391"/>
      <c r="L391" s="206"/>
      <c r="M391" s="192"/>
      <c r="N391" s="206"/>
      <c r="O391" s="192"/>
      <c r="P391" s="192"/>
      <c r="Q391" s="206"/>
      <c r="R391" s="206"/>
      <c r="W391" s="206"/>
      <c r="X391" s="206"/>
      <c r="Y391" s="206"/>
      <c r="Z391" s="206"/>
      <c r="AA391" s="206"/>
      <c r="AB391" s="206"/>
      <c r="AC391" s="206"/>
      <c r="AD391" s="206"/>
      <c r="AL391" s="206"/>
      <c r="AM391" s="206"/>
      <c r="AN391" s="206"/>
      <c r="AO391" s="206"/>
      <c r="AP391" s="206"/>
      <c r="AQ391" s="206"/>
      <c r="AR391" s="206"/>
      <c r="AS391" s="206"/>
      <c r="AV391" s="206"/>
      <c r="AW391" s="206"/>
      <c r="AY391" s="206"/>
      <c r="AZ391" s="206"/>
      <c r="BD391" s="206"/>
      <c r="BF391" s="206"/>
    </row>
    <row r="392" spans="1:100" x14ac:dyDescent="0.2">
      <c r="A392" s="220"/>
      <c r="B392" s="220"/>
      <c r="C392" s="206"/>
      <c r="D392" s="206"/>
      <c r="E392" s="192"/>
      <c r="F392" s="206"/>
      <c r="G392" s="206"/>
      <c r="H392"/>
      <c r="I392" s="206"/>
      <c r="J392"/>
      <c r="K392"/>
      <c r="L392" s="206"/>
      <c r="M392" s="192"/>
      <c r="N392" s="206"/>
      <c r="O392" s="192"/>
      <c r="P392" s="192"/>
      <c r="Q392" s="206"/>
      <c r="R392" s="206"/>
      <c r="W392" s="206"/>
      <c r="X392" s="206"/>
      <c r="Y392" s="206"/>
      <c r="Z392" s="206"/>
      <c r="AA392" s="206"/>
      <c r="AB392" s="206"/>
      <c r="AC392" s="206"/>
      <c r="AD392" s="206"/>
      <c r="AL392" s="206"/>
      <c r="AM392" s="206"/>
      <c r="AN392" s="206"/>
      <c r="AO392" s="206"/>
      <c r="AP392" s="206"/>
      <c r="AQ392" s="206"/>
      <c r="AR392" s="206"/>
      <c r="AS392" s="206"/>
      <c r="AV392" s="206"/>
      <c r="AW392" s="206"/>
      <c r="AY392" s="206"/>
      <c r="AZ392" s="206"/>
      <c r="BD392" s="206"/>
      <c r="BF392" s="206"/>
    </row>
    <row r="393" spans="1:100" x14ac:dyDescent="0.2">
      <c r="A393" s="220"/>
      <c r="B393" s="220"/>
      <c r="C393" s="206"/>
      <c r="D393" s="206"/>
      <c r="E393" s="192"/>
      <c r="F393" s="206"/>
      <c r="G393" s="206"/>
      <c r="H393"/>
      <c r="I393" s="206"/>
      <c r="J393"/>
      <c r="K393"/>
      <c r="L393" s="206"/>
      <c r="M393" s="192"/>
      <c r="N393" s="206"/>
      <c r="O393" s="192"/>
      <c r="P393" s="192"/>
      <c r="Q393" s="206"/>
      <c r="R393" s="206"/>
      <c r="W393" s="206"/>
      <c r="X393" s="206"/>
      <c r="Y393" s="206"/>
      <c r="Z393" s="206"/>
      <c r="AA393" s="206"/>
      <c r="AB393" s="206"/>
      <c r="AC393" s="206"/>
      <c r="AD393" s="206"/>
      <c r="AL393" s="206"/>
      <c r="AM393" s="206"/>
      <c r="AN393" s="206"/>
      <c r="AO393" s="206"/>
      <c r="AP393" s="206"/>
      <c r="AQ393" s="206"/>
      <c r="AR393" s="206"/>
      <c r="AS393" s="206"/>
      <c r="AV393" s="206"/>
      <c r="AW393" s="206"/>
      <c r="AY393" s="206"/>
      <c r="AZ393" s="206"/>
      <c r="BD393" s="206"/>
      <c r="BF393" s="206"/>
    </row>
    <row r="394" spans="1:100" x14ac:dyDescent="0.2">
      <c r="A394" s="220"/>
      <c r="B394" s="220"/>
      <c r="C394" s="206"/>
      <c r="D394" s="206"/>
      <c r="E394" s="192"/>
      <c r="F394" s="206"/>
      <c r="G394" s="206"/>
      <c r="H394"/>
      <c r="I394" s="206"/>
      <c r="J394"/>
      <c r="K394"/>
      <c r="L394" s="206"/>
      <c r="M394" s="192"/>
      <c r="N394" s="206"/>
      <c r="O394" s="192"/>
      <c r="P394" s="192"/>
      <c r="Q394" s="206"/>
      <c r="R394" s="206"/>
      <c r="W394" s="206"/>
      <c r="X394" s="206"/>
      <c r="Y394" s="206"/>
      <c r="Z394" s="206"/>
      <c r="AA394" s="206"/>
      <c r="AB394" s="206"/>
      <c r="AC394" s="206"/>
      <c r="AD394" s="206"/>
      <c r="AL394" s="206"/>
      <c r="AM394" s="206"/>
      <c r="AN394" s="206"/>
      <c r="AO394" s="206"/>
      <c r="AP394" s="206"/>
      <c r="AQ394" s="206"/>
      <c r="AR394" s="206"/>
      <c r="AS394" s="206"/>
      <c r="AV394" s="206"/>
      <c r="AW394" s="206"/>
      <c r="AY394" s="206"/>
      <c r="AZ394" s="206"/>
      <c r="BD394" s="206"/>
      <c r="BF394" s="206"/>
    </row>
    <row r="395" spans="1:100" x14ac:dyDescent="0.2">
      <c r="A395" s="220"/>
      <c r="B395" s="220"/>
      <c r="C395" s="206"/>
      <c r="D395" s="206"/>
      <c r="E395" s="192"/>
      <c r="F395" s="206"/>
      <c r="G395" s="206"/>
      <c r="H395"/>
      <c r="I395" s="206"/>
      <c r="J395"/>
      <c r="K395"/>
      <c r="L395" s="206"/>
      <c r="M395" s="192"/>
      <c r="N395" s="206"/>
      <c r="O395" s="192"/>
      <c r="P395" s="192"/>
      <c r="Q395" s="206"/>
      <c r="R395" s="206"/>
      <c r="W395" s="206"/>
      <c r="X395" s="206"/>
      <c r="Y395" s="206"/>
      <c r="Z395" s="206"/>
      <c r="AA395" s="206"/>
      <c r="AB395" s="206"/>
      <c r="AC395" s="206"/>
      <c r="AD395" s="206"/>
      <c r="AL395" s="206"/>
      <c r="AM395" s="206"/>
      <c r="AN395" s="206"/>
      <c r="AO395" s="206"/>
      <c r="AP395" s="206"/>
      <c r="AQ395" s="206"/>
      <c r="AR395" s="206"/>
      <c r="AS395" s="206"/>
      <c r="AV395" s="206"/>
      <c r="AW395" s="206"/>
      <c r="AY395" s="206"/>
      <c r="AZ395" s="206"/>
      <c r="BD395" s="206"/>
      <c r="BF395" s="206"/>
    </row>
    <row r="396" spans="1:100" x14ac:dyDescent="0.2">
      <c r="A396" s="220"/>
      <c r="B396" s="220"/>
      <c r="C396" s="206"/>
      <c r="D396" s="206"/>
      <c r="E396" s="192"/>
      <c r="F396" s="206"/>
      <c r="G396" s="206"/>
      <c r="H396"/>
      <c r="I396" s="206"/>
      <c r="J396"/>
      <c r="K396"/>
      <c r="L396" s="206"/>
      <c r="M396" s="192"/>
      <c r="N396" s="206"/>
      <c r="O396" s="192"/>
      <c r="P396" s="192"/>
      <c r="Q396" s="206"/>
      <c r="R396" s="206"/>
      <c r="W396" s="206"/>
      <c r="X396" s="206"/>
      <c r="Y396" s="206"/>
      <c r="Z396" s="206"/>
      <c r="AA396" s="206"/>
      <c r="AB396" s="206"/>
      <c r="AC396" s="206"/>
      <c r="AD396" s="206"/>
      <c r="AL396" s="206"/>
      <c r="AM396" s="206"/>
      <c r="AN396" s="206"/>
      <c r="AO396" s="206"/>
      <c r="AP396" s="206"/>
      <c r="AQ396" s="206"/>
      <c r="AR396" s="206"/>
      <c r="AS396" s="206"/>
      <c r="AV396" s="206"/>
      <c r="AW396" s="206"/>
      <c r="AY396" s="206"/>
      <c r="AZ396" s="206"/>
      <c r="BD396" s="206"/>
      <c r="BF396" s="206"/>
    </row>
    <row r="397" spans="1:100" x14ac:dyDescent="0.2">
      <c r="A397" s="220"/>
      <c r="B397" s="220"/>
      <c r="C397" s="206"/>
      <c r="D397" s="206"/>
      <c r="E397" s="192"/>
      <c r="F397" s="206"/>
      <c r="G397" s="206"/>
      <c r="H397"/>
      <c r="I397" s="206"/>
      <c r="J397"/>
      <c r="K397"/>
      <c r="L397" s="206"/>
      <c r="M397" s="192"/>
      <c r="N397" s="206"/>
      <c r="O397" s="192"/>
      <c r="P397" s="192"/>
      <c r="Q397" s="206"/>
      <c r="R397" s="206"/>
      <c r="W397" s="206"/>
      <c r="X397" s="206"/>
      <c r="Y397" s="206"/>
      <c r="Z397" s="206"/>
      <c r="AA397" s="206"/>
      <c r="AB397" s="206"/>
      <c r="AC397" s="206"/>
      <c r="AD397" s="206"/>
      <c r="AL397" s="206"/>
      <c r="AM397" s="206"/>
      <c r="AN397" s="206"/>
      <c r="AO397" s="206"/>
      <c r="AP397" s="206"/>
      <c r="AQ397" s="206"/>
      <c r="AR397" s="206"/>
      <c r="AS397" s="206"/>
      <c r="AV397" s="206"/>
      <c r="AW397" s="206"/>
      <c r="AY397" s="206"/>
      <c r="AZ397" s="206"/>
      <c r="BD397" s="206"/>
      <c r="BF397" s="206"/>
    </row>
    <row r="398" spans="1:100" x14ac:dyDescent="0.2">
      <c r="A398" s="220"/>
      <c r="B398" s="220"/>
      <c r="C398" s="206"/>
      <c r="D398" s="206"/>
      <c r="E398" s="192"/>
      <c r="F398" s="206"/>
      <c r="G398" s="206"/>
      <c r="H398"/>
      <c r="I398" s="206"/>
      <c r="J398"/>
      <c r="K398"/>
      <c r="L398" s="206"/>
      <c r="M398" s="192"/>
      <c r="N398" s="206"/>
      <c r="O398" s="192"/>
      <c r="P398" s="192"/>
      <c r="Q398" s="206"/>
      <c r="R398" s="206"/>
      <c r="W398" s="206"/>
      <c r="X398" s="206"/>
      <c r="Y398" s="206"/>
      <c r="Z398" s="206"/>
      <c r="AA398" s="206"/>
      <c r="AB398" s="206"/>
      <c r="AC398" s="206"/>
      <c r="AD398" s="206"/>
      <c r="AL398" s="206"/>
      <c r="AM398" s="206"/>
      <c r="AN398" s="206"/>
      <c r="AO398" s="206"/>
      <c r="AP398" s="206"/>
      <c r="AQ398" s="206"/>
      <c r="AR398" s="206"/>
      <c r="AS398" s="206"/>
      <c r="AV398" s="206"/>
      <c r="AW398" s="206"/>
      <c r="AY398" s="206"/>
      <c r="AZ398" s="206"/>
      <c r="BD398" s="206"/>
      <c r="BF398" s="206"/>
    </row>
    <row r="399" spans="1:100" x14ac:dyDescent="0.2">
      <c r="A399" s="220"/>
      <c r="B399" s="220"/>
      <c r="C399" s="206"/>
      <c r="D399" s="206"/>
      <c r="E399" s="192"/>
      <c r="F399" s="206"/>
      <c r="G399" s="206"/>
      <c r="H399"/>
      <c r="I399" s="206"/>
      <c r="J399"/>
      <c r="K399"/>
      <c r="L399" s="206"/>
      <c r="M399" s="192"/>
      <c r="N399" s="206"/>
      <c r="O399" s="192"/>
      <c r="P399" s="192"/>
      <c r="Q399" s="206"/>
      <c r="R399" s="206"/>
      <c r="W399" s="206"/>
      <c r="X399" s="206"/>
      <c r="Y399" s="206"/>
      <c r="Z399" s="206"/>
      <c r="AA399" s="206"/>
      <c r="AB399" s="206"/>
      <c r="AC399" s="206"/>
      <c r="AD399" s="206"/>
      <c r="AL399" s="206"/>
      <c r="AM399" s="206"/>
      <c r="AN399" s="206"/>
      <c r="AO399" s="206"/>
      <c r="AP399" s="206"/>
      <c r="AQ399" s="206"/>
      <c r="AR399" s="206"/>
      <c r="AS399" s="206"/>
      <c r="AV399" s="206"/>
      <c r="AW399" s="206"/>
      <c r="AY399" s="206"/>
      <c r="AZ399" s="206"/>
      <c r="BD399" s="206"/>
      <c r="BF399" s="206"/>
    </row>
    <row r="400" spans="1:100" x14ac:dyDescent="0.2">
      <c r="A400" s="220"/>
      <c r="B400" s="220"/>
      <c r="C400" s="206"/>
      <c r="D400" s="206"/>
      <c r="E400" s="192"/>
      <c r="F400" s="206"/>
      <c r="G400"/>
      <c r="H400"/>
      <c r="I400" s="206"/>
      <c r="J400"/>
      <c r="K400"/>
      <c r="L400" s="206"/>
      <c r="M400" s="192"/>
      <c r="N400" s="206"/>
      <c r="O400" s="192"/>
      <c r="P400" s="192"/>
      <c r="Q400" s="206"/>
      <c r="R400" s="206"/>
      <c r="W400" s="206"/>
      <c r="X400" s="206"/>
      <c r="Y400" s="206"/>
      <c r="Z400" s="206"/>
      <c r="AA400" s="206"/>
      <c r="AB400" s="206"/>
      <c r="AC400" s="206"/>
      <c r="AD400" s="206"/>
      <c r="AL400" s="206"/>
      <c r="AM400" s="206"/>
      <c r="AN400" s="206"/>
      <c r="AO400" s="206"/>
      <c r="AP400" s="206"/>
      <c r="AQ400" s="206"/>
      <c r="AR400" s="206"/>
      <c r="AS400" s="206"/>
      <c r="AV400" s="206"/>
      <c r="AY400" s="206"/>
      <c r="AZ400" s="206"/>
      <c r="BD400" s="206"/>
      <c r="BF400" s="206"/>
    </row>
    <row r="401" spans="1:100" x14ac:dyDescent="0.2">
      <c r="A401" s="220"/>
      <c r="B401" s="220"/>
      <c r="C401" s="206"/>
      <c r="D401" s="206"/>
      <c r="E401" s="192"/>
      <c r="F401" s="206"/>
      <c r="G401" s="206"/>
      <c r="H401"/>
      <c r="I401" s="206"/>
      <c r="J401"/>
      <c r="K401"/>
      <c r="L401" s="206"/>
      <c r="M401" s="192"/>
      <c r="N401" s="206"/>
      <c r="O401" s="192"/>
      <c r="P401" s="192"/>
      <c r="Q401" s="206"/>
      <c r="R401" s="206"/>
      <c r="W401" s="206"/>
      <c r="X401" s="206"/>
      <c r="Y401" s="206"/>
      <c r="Z401" s="206"/>
      <c r="AA401" s="206"/>
      <c r="AB401" s="206"/>
      <c r="AC401" s="206"/>
      <c r="AD401" s="206"/>
      <c r="AL401" s="206"/>
      <c r="AM401" s="206"/>
      <c r="AN401" s="206"/>
      <c r="AO401" s="206"/>
      <c r="AP401" s="206"/>
      <c r="AQ401" s="206"/>
      <c r="AR401" s="206"/>
      <c r="AS401" s="206"/>
      <c r="AV401" s="206"/>
      <c r="AW401" s="206"/>
      <c r="AY401" s="206"/>
      <c r="AZ401" s="206"/>
      <c r="BD401" s="206"/>
      <c r="BF401" s="206"/>
    </row>
    <row r="402" spans="1:100" x14ac:dyDescent="0.2">
      <c r="A402" s="220"/>
      <c r="B402" s="220"/>
      <c r="C402" s="206"/>
      <c r="D402" s="206"/>
      <c r="E402" s="192"/>
      <c r="F402" s="206"/>
      <c r="G402" s="206"/>
      <c r="H402"/>
      <c r="I402" s="206"/>
      <c r="J402"/>
      <c r="K402"/>
      <c r="L402" s="206"/>
      <c r="M402" s="192"/>
      <c r="N402" s="206"/>
      <c r="O402" s="192"/>
      <c r="P402" s="192"/>
      <c r="Q402" s="206"/>
      <c r="R402" s="206"/>
      <c r="W402" s="206"/>
      <c r="X402" s="206"/>
      <c r="Y402" s="206"/>
      <c r="Z402" s="206"/>
      <c r="AA402" s="206"/>
      <c r="AB402" s="206"/>
      <c r="AC402" s="206"/>
      <c r="AD402" s="206"/>
      <c r="AL402" s="206"/>
      <c r="AM402" s="206"/>
      <c r="AN402" s="206"/>
      <c r="AO402" s="206"/>
      <c r="AP402" s="206"/>
      <c r="AQ402" s="206"/>
      <c r="AR402" s="206"/>
      <c r="AS402" s="206"/>
      <c r="AV402" s="206"/>
      <c r="AW402" s="206"/>
      <c r="AY402" s="206"/>
      <c r="AZ402" s="206"/>
      <c r="BD402" s="206"/>
      <c r="BF402" s="206"/>
    </row>
    <row r="403" spans="1:100" x14ac:dyDescent="0.2">
      <c r="A403" s="220"/>
      <c r="B403" s="220"/>
      <c r="C403" s="206"/>
      <c r="D403" s="206"/>
      <c r="E403" s="192"/>
      <c r="F403" s="206"/>
      <c r="G403" s="206"/>
      <c r="H403"/>
      <c r="I403" s="206"/>
      <c r="J403"/>
      <c r="K403"/>
      <c r="L403" s="206"/>
      <c r="M403" s="192"/>
      <c r="N403" s="206"/>
      <c r="O403" s="192"/>
      <c r="P403" s="192"/>
      <c r="Q403" s="206"/>
      <c r="R403" s="206"/>
      <c r="W403" s="206"/>
      <c r="X403" s="206"/>
      <c r="Y403" s="206"/>
      <c r="Z403" s="206"/>
      <c r="AA403" s="206"/>
      <c r="AB403" s="206"/>
      <c r="AC403" s="206"/>
      <c r="AD403" s="206"/>
      <c r="AL403" s="206"/>
      <c r="AM403" s="206"/>
      <c r="AN403" s="206"/>
      <c r="AO403" s="206"/>
      <c r="AP403" s="206"/>
      <c r="AQ403" s="206"/>
      <c r="AR403" s="206"/>
      <c r="AS403" s="206"/>
      <c r="AV403" s="206"/>
      <c r="AW403" s="206"/>
      <c r="AY403" s="206"/>
      <c r="AZ403" s="206"/>
      <c r="BD403" s="206"/>
      <c r="BF403" s="206"/>
    </row>
    <row r="404" spans="1:100" x14ac:dyDescent="0.2">
      <c r="A404" s="220"/>
      <c r="B404" s="220"/>
      <c r="C404" s="206"/>
      <c r="D404" s="206"/>
      <c r="E404" s="192"/>
      <c r="F404" s="206"/>
      <c r="G404" s="206"/>
      <c r="H404"/>
      <c r="I404" s="206"/>
      <c r="J404"/>
      <c r="K404"/>
      <c r="L404" s="206"/>
      <c r="M404" s="192"/>
      <c r="N404" s="206"/>
      <c r="O404" s="192"/>
      <c r="P404" s="192"/>
      <c r="Q404" s="206"/>
      <c r="R404" s="206"/>
      <c r="W404" s="206"/>
      <c r="X404" s="206"/>
      <c r="Y404" s="206"/>
      <c r="Z404" s="206"/>
      <c r="AA404" s="206"/>
      <c r="AB404" s="206"/>
      <c r="AC404" s="206"/>
      <c r="AD404" s="206"/>
      <c r="AL404" s="206"/>
      <c r="AM404" s="206"/>
      <c r="AN404" s="206"/>
      <c r="AO404" s="206"/>
      <c r="AP404" s="206"/>
      <c r="AQ404" s="206"/>
      <c r="AR404" s="206"/>
      <c r="AS404" s="206"/>
      <c r="AV404" s="206"/>
      <c r="AW404" s="206"/>
      <c r="AY404" s="206"/>
      <c r="AZ404" s="206"/>
      <c r="BD404" s="206"/>
      <c r="BF404" s="206"/>
    </row>
    <row r="405" spans="1:100" x14ac:dyDescent="0.2">
      <c r="A405" s="220"/>
      <c r="B405" s="220"/>
      <c r="C405" s="206"/>
      <c r="D405" s="206"/>
      <c r="E405" s="192"/>
      <c r="F405" s="206"/>
      <c r="G405" s="206"/>
      <c r="H405"/>
      <c r="I405" s="206"/>
      <c r="J405"/>
      <c r="K405"/>
      <c r="L405" s="206"/>
      <c r="M405" s="192"/>
      <c r="N405" s="206"/>
      <c r="O405" s="192"/>
      <c r="P405" s="192"/>
      <c r="Q405" s="206"/>
      <c r="R405" s="206"/>
      <c r="W405" s="206"/>
      <c r="X405" s="206"/>
      <c r="Y405" s="206"/>
      <c r="Z405" s="206"/>
      <c r="AA405" s="206"/>
      <c r="AB405" s="206"/>
      <c r="AC405" s="206"/>
      <c r="AD405" s="206"/>
      <c r="AL405" s="206"/>
      <c r="AM405" s="206"/>
      <c r="AN405" s="206"/>
      <c r="AO405" s="206"/>
      <c r="AP405" s="206"/>
      <c r="AQ405" s="206"/>
      <c r="AR405" s="206"/>
      <c r="AS405" s="206"/>
      <c r="AV405" s="206"/>
      <c r="AW405" s="206"/>
      <c r="AY405" s="206"/>
      <c r="AZ405" s="206"/>
      <c r="BD405" s="206"/>
      <c r="BF405" s="206"/>
    </row>
    <row r="406" spans="1:100" x14ac:dyDescent="0.2">
      <c r="A406" s="220"/>
      <c r="B406" s="220"/>
      <c r="C406" s="206"/>
      <c r="D406" s="206"/>
      <c r="E406" s="192"/>
      <c r="F406" s="206"/>
      <c r="G406" s="206"/>
      <c r="H406"/>
      <c r="I406" s="206"/>
      <c r="J406"/>
      <c r="K406"/>
      <c r="L406" s="206"/>
      <c r="M406" s="192"/>
      <c r="N406" s="206"/>
      <c r="O406" s="192"/>
      <c r="P406" s="192"/>
      <c r="Q406" s="206"/>
      <c r="R406" s="206"/>
      <c r="W406" s="206"/>
      <c r="X406" s="206"/>
      <c r="Y406" s="206"/>
      <c r="Z406" s="206"/>
      <c r="AA406" s="206"/>
      <c r="AB406" s="206"/>
      <c r="AC406" s="206"/>
      <c r="AD406" s="206"/>
      <c r="AL406" s="206"/>
      <c r="AM406" s="206"/>
      <c r="AN406" s="206"/>
      <c r="AO406" s="206"/>
      <c r="AP406" s="206"/>
      <c r="AQ406" s="206"/>
      <c r="AR406" s="206"/>
      <c r="AS406" s="206"/>
      <c r="AV406" s="206"/>
      <c r="AW406" s="206"/>
      <c r="AY406" s="206"/>
      <c r="AZ406" s="206"/>
      <c r="BD406" s="206"/>
      <c r="BF406" s="206"/>
    </row>
    <row r="407" spans="1:100" x14ac:dyDescent="0.2">
      <c r="A407" s="220"/>
      <c r="B407" s="220"/>
      <c r="C407" s="206"/>
      <c r="D407" s="206"/>
      <c r="E407" s="192"/>
      <c r="F407" s="206"/>
      <c r="G407" s="206"/>
      <c r="H407" s="206"/>
      <c r="I407" s="206"/>
      <c r="J407" s="206"/>
      <c r="K407" s="206"/>
      <c r="L407" s="206"/>
      <c r="M407" s="192"/>
      <c r="N407" s="206"/>
      <c r="O407" s="192"/>
      <c r="P407" s="192"/>
      <c r="Q407" s="206"/>
      <c r="R407" s="206"/>
      <c r="W407" s="206"/>
      <c r="X407" s="206"/>
      <c r="Y407" s="206"/>
      <c r="Z407" s="206"/>
      <c r="AA407" s="206"/>
      <c r="AB407" s="206"/>
      <c r="AC407" s="206"/>
      <c r="AD407" s="206"/>
      <c r="AL407" s="206"/>
      <c r="AM407" s="206"/>
      <c r="AN407" s="206"/>
      <c r="AO407" s="206"/>
      <c r="AP407" s="206"/>
      <c r="AQ407" s="206"/>
      <c r="AR407" s="206"/>
      <c r="AS407" s="206"/>
      <c r="AV407" s="206"/>
      <c r="AW407" s="206"/>
      <c r="AX407" s="206"/>
      <c r="AY407" s="206"/>
      <c r="AZ407" s="206"/>
      <c r="BA407" s="206"/>
      <c r="BB407" s="206"/>
      <c r="BD407" s="206"/>
      <c r="BF407" s="206"/>
      <c r="BG407" s="201"/>
      <c r="BJ407" s="201"/>
      <c r="BK407" s="201"/>
      <c r="BL407" s="201"/>
      <c r="BM407" s="201"/>
      <c r="BN407" s="201"/>
      <c r="BO407" s="201"/>
      <c r="BP407" s="201"/>
      <c r="BQ407" s="201"/>
      <c r="BR407" s="201"/>
      <c r="BS407" s="201"/>
      <c r="BT407" s="201"/>
      <c r="BU407" s="201"/>
      <c r="BV407" s="201"/>
      <c r="BW407" s="201"/>
      <c r="BX407" s="201"/>
      <c r="BY407" s="201"/>
      <c r="BZ407" s="201"/>
      <c r="CA407" s="201"/>
      <c r="CB407" s="201"/>
      <c r="CC407" s="201"/>
      <c r="CD407" s="201"/>
      <c r="CE407" s="201"/>
      <c r="CF407" s="201"/>
      <c r="CG407" s="201"/>
      <c r="CH407" s="201"/>
      <c r="CI407" s="201"/>
      <c r="CJ407" s="201"/>
      <c r="CK407" s="201"/>
      <c r="CL407" s="201"/>
      <c r="CM407" s="201"/>
      <c r="CN407" s="201"/>
      <c r="CO407" s="201"/>
      <c r="CP407" s="201"/>
      <c r="CQ407" s="201"/>
      <c r="CR407" s="201"/>
      <c r="CS407" s="201"/>
      <c r="CT407" s="201"/>
      <c r="CU407" s="201"/>
      <c r="CV407" s="201"/>
    </row>
    <row r="408" spans="1:100" x14ac:dyDescent="0.2">
      <c r="A408" s="220"/>
      <c r="B408" s="220"/>
      <c r="C408" s="206"/>
      <c r="D408" s="206"/>
      <c r="E408" s="192"/>
      <c r="F408" s="206"/>
      <c r="G408" s="206"/>
      <c r="H408"/>
      <c r="I408" s="206"/>
      <c r="J408"/>
      <c r="K408"/>
      <c r="L408" s="206"/>
      <c r="M408" s="192"/>
      <c r="N408" s="206"/>
      <c r="O408" s="192"/>
      <c r="P408" s="192"/>
      <c r="Q408" s="206"/>
      <c r="R408" s="206"/>
      <c r="W408" s="206"/>
      <c r="X408" s="206"/>
      <c r="Y408" s="206"/>
      <c r="Z408" s="206"/>
      <c r="AA408" s="206"/>
      <c r="AB408" s="206"/>
      <c r="AC408" s="206"/>
      <c r="AD408" s="206"/>
      <c r="AL408" s="206"/>
      <c r="AM408" s="206"/>
      <c r="AN408" s="206"/>
      <c r="AO408" s="206"/>
      <c r="AP408" s="206"/>
      <c r="AQ408" s="206"/>
      <c r="AR408" s="206"/>
      <c r="AS408" s="206"/>
      <c r="AV408" s="206"/>
      <c r="AW408" s="206"/>
      <c r="AY408" s="206"/>
      <c r="AZ408" s="206"/>
      <c r="BD408" s="206"/>
      <c r="BF408" s="206"/>
    </row>
    <row r="409" spans="1:100" x14ac:dyDescent="0.2">
      <c r="A409" s="220"/>
      <c r="B409" s="220"/>
      <c r="C409" s="206"/>
      <c r="D409" s="206"/>
      <c r="E409" s="192"/>
      <c r="F409" s="206"/>
      <c r="G409" s="206"/>
      <c r="H409"/>
      <c r="I409" s="206"/>
      <c r="J409"/>
      <c r="K409"/>
      <c r="L409" s="206"/>
      <c r="M409" s="192"/>
      <c r="N409" s="206"/>
      <c r="O409" s="192"/>
      <c r="P409" s="192"/>
      <c r="Q409" s="206"/>
      <c r="R409" s="206"/>
      <c r="W409" s="206"/>
      <c r="X409" s="206"/>
      <c r="Y409" s="206"/>
      <c r="Z409" s="206"/>
      <c r="AA409" s="206"/>
      <c r="AB409" s="206"/>
      <c r="AC409" s="206"/>
      <c r="AD409" s="206"/>
      <c r="AL409" s="206"/>
      <c r="AM409" s="206"/>
      <c r="AN409" s="206"/>
      <c r="AO409" s="206"/>
      <c r="AP409" s="206"/>
      <c r="AQ409" s="206"/>
      <c r="AR409" s="206"/>
      <c r="AS409" s="206"/>
      <c r="AV409" s="206"/>
      <c r="AW409" s="206"/>
      <c r="AY409" s="206"/>
      <c r="AZ409" s="206"/>
      <c r="BD409" s="206"/>
      <c r="BF409" s="206"/>
    </row>
    <row r="410" spans="1:100" x14ac:dyDescent="0.2">
      <c r="A410" s="220"/>
      <c r="B410" s="220"/>
      <c r="C410" s="206"/>
      <c r="D410" s="206"/>
      <c r="E410" s="192"/>
      <c r="F410" s="206"/>
      <c r="G410" s="206"/>
      <c r="H410"/>
      <c r="I410" s="206"/>
      <c r="J410"/>
      <c r="K410"/>
      <c r="L410" s="206"/>
      <c r="M410" s="192"/>
      <c r="N410" s="206"/>
      <c r="O410" s="192"/>
      <c r="P410" s="192"/>
      <c r="Q410" s="206"/>
      <c r="R410" s="206"/>
      <c r="W410" s="206"/>
      <c r="X410" s="206"/>
      <c r="Y410" s="206"/>
      <c r="Z410" s="206"/>
      <c r="AA410" s="206"/>
      <c r="AB410" s="206"/>
      <c r="AC410" s="206"/>
      <c r="AD410" s="206"/>
      <c r="AL410" s="206"/>
      <c r="AM410" s="206"/>
      <c r="AN410" s="206"/>
      <c r="AO410" s="206"/>
      <c r="AP410" s="206"/>
      <c r="AQ410" s="206"/>
      <c r="AR410" s="206"/>
      <c r="AS410" s="206"/>
      <c r="AV410" s="206"/>
      <c r="AW410" s="206"/>
      <c r="AY410" s="206"/>
      <c r="AZ410" s="206"/>
      <c r="BD410" s="206"/>
      <c r="BF410" s="206"/>
    </row>
    <row r="411" spans="1:100" x14ac:dyDescent="0.2">
      <c r="A411" s="220"/>
      <c r="B411" s="220"/>
      <c r="C411" s="206"/>
      <c r="D411" s="206"/>
      <c r="E411" s="192"/>
      <c r="F411" s="206"/>
      <c r="G411" s="206"/>
      <c r="H411" s="206"/>
      <c r="I411" s="206"/>
      <c r="J411"/>
      <c r="K411"/>
      <c r="L411" s="206"/>
      <c r="M411" s="192"/>
      <c r="N411" s="206"/>
      <c r="O411" s="192"/>
      <c r="P411" s="192"/>
      <c r="Q411" s="206"/>
      <c r="R411" s="206"/>
      <c r="W411" s="206"/>
      <c r="X411" s="206"/>
      <c r="Y411" s="206"/>
      <c r="Z411" s="206"/>
      <c r="AA411" s="206"/>
      <c r="AB411" s="206"/>
      <c r="AC411" s="206"/>
      <c r="AD411" s="206"/>
      <c r="AL411" s="206"/>
      <c r="AM411" s="206"/>
      <c r="AN411" s="206"/>
      <c r="AO411" s="206"/>
      <c r="AP411" s="206"/>
      <c r="AQ411" s="206"/>
      <c r="AR411" s="206"/>
      <c r="AS411" s="206"/>
      <c r="AV411" s="206"/>
      <c r="AW411" s="206"/>
      <c r="AX411" s="206"/>
      <c r="AY411" s="206"/>
      <c r="AZ411" s="206"/>
      <c r="BD411" s="206"/>
      <c r="BF411" s="206"/>
    </row>
    <row r="412" spans="1:100" x14ac:dyDescent="0.2">
      <c r="A412" s="220"/>
      <c r="B412" s="220"/>
      <c r="C412" s="206"/>
      <c r="D412" s="206"/>
      <c r="E412" s="192"/>
      <c r="F412" s="206"/>
      <c r="G412" s="206"/>
      <c r="H412"/>
      <c r="I412" s="206"/>
      <c r="J412"/>
      <c r="K412"/>
      <c r="L412" s="206"/>
      <c r="M412" s="192"/>
      <c r="N412" s="206"/>
      <c r="O412" s="192"/>
      <c r="P412" s="192"/>
      <c r="Q412" s="206"/>
      <c r="R412" s="206"/>
      <c r="W412" s="206"/>
      <c r="X412" s="206"/>
      <c r="Y412" s="206"/>
      <c r="Z412" s="206"/>
      <c r="AA412" s="206"/>
      <c r="AB412" s="206"/>
      <c r="AC412" s="206"/>
      <c r="AD412" s="206"/>
      <c r="AL412" s="206"/>
      <c r="AM412" s="206"/>
      <c r="AN412" s="206"/>
      <c r="AO412" s="206"/>
      <c r="AP412" s="206"/>
      <c r="AQ412" s="206"/>
      <c r="AR412" s="206"/>
      <c r="AS412" s="206"/>
      <c r="AV412" s="206"/>
      <c r="AW412" s="206"/>
      <c r="AY412" s="206"/>
      <c r="AZ412" s="206"/>
      <c r="BD412" s="206"/>
      <c r="BF412" s="206"/>
    </row>
    <row r="413" spans="1:100" x14ac:dyDescent="0.2">
      <c r="A413" s="220"/>
      <c r="B413" s="220"/>
      <c r="C413" s="206"/>
      <c r="D413" s="206"/>
      <c r="E413" s="192"/>
      <c r="F413" s="206"/>
      <c r="G413" s="206"/>
      <c r="H413" s="206"/>
      <c r="I413" s="206"/>
      <c r="J413" s="206"/>
      <c r="K413" s="206"/>
      <c r="L413" s="206"/>
      <c r="M413" s="192"/>
      <c r="N413" s="206"/>
      <c r="O413" s="192"/>
      <c r="P413" s="192"/>
      <c r="Q413" s="206"/>
      <c r="R413" s="206"/>
      <c r="W413" s="206"/>
      <c r="X413" s="206"/>
      <c r="Y413" s="206"/>
      <c r="Z413" s="206"/>
      <c r="AA413" s="206"/>
      <c r="AB413" s="206"/>
      <c r="AC413" s="206"/>
      <c r="AD413" s="206"/>
      <c r="AL413" s="206"/>
      <c r="AM413" s="206"/>
      <c r="AN413" s="206"/>
      <c r="AO413" s="206"/>
      <c r="AP413" s="206"/>
      <c r="AQ413" s="206"/>
      <c r="AR413" s="206"/>
      <c r="AS413" s="206"/>
      <c r="AV413" s="206"/>
      <c r="AW413" s="206"/>
      <c r="AX413" s="206"/>
      <c r="AY413" s="206"/>
      <c r="AZ413" s="206"/>
      <c r="BA413" s="206"/>
      <c r="BB413" s="206"/>
      <c r="BD413" s="206"/>
      <c r="BF413" s="206"/>
      <c r="BG413" s="201"/>
      <c r="BJ413" s="201"/>
      <c r="BK413" s="201"/>
      <c r="BL413" s="201"/>
      <c r="BM413" s="201"/>
      <c r="BN413" s="201"/>
      <c r="BO413" s="201"/>
      <c r="BP413" s="201"/>
      <c r="BQ413" s="201"/>
      <c r="BR413" s="201"/>
      <c r="BS413" s="201"/>
      <c r="BT413" s="201"/>
      <c r="BU413" s="201"/>
      <c r="BV413" s="201"/>
      <c r="BW413" s="201"/>
      <c r="BX413" s="201"/>
      <c r="BY413" s="201"/>
      <c r="BZ413" s="201"/>
      <c r="CA413" s="201"/>
      <c r="CB413" s="201"/>
      <c r="CC413" s="201"/>
      <c r="CD413" s="201"/>
      <c r="CE413" s="201"/>
      <c r="CF413" s="201"/>
      <c r="CG413" s="201"/>
      <c r="CH413" s="201"/>
      <c r="CI413" s="201"/>
      <c r="CJ413" s="201"/>
      <c r="CK413" s="201"/>
      <c r="CL413" s="201"/>
      <c r="CM413" s="201"/>
      <c r="CN413" s="201"/>
      <c r="CO413" s="201"/>
      <c r="CP413" s="201"/>
      <c r="CQ413" s="201"/>
      <c r="CR413" s="201"/>
      <c r="CS413" s="201"/>
      <c r="CT413" s="201"/>
      <c r="CU413" s="201"/>
      <c r="CV413" s="201"/>
    </row>
    <row r="414" spans="1:100" x14ac:dyDescent="0.2">
      <c r="A414" s="220"/>
      <c r="B414" s="220"/>
      <c r="C414" s="206"/>
      <c r="D414" s="206"/>
      <c r="E414" s="192"/>
      <c r="F414" s="206"/>
      <c r="G414" s="206"/>
      <c r="H414"/>
      <c r="I414" s="206"/>
      <c r="J414"/>
      <c r="K414"/>
      <c r="L414" s="206"/>
      <c r="M414" s="192"/>
      <c r="N414" s="206"/>
      <c r="O414" s="192"/>
      <c r="P414" s="192"/>
      <c r="Q414" s="206"/>
      <c r="R414" s="206"/>
      <c r="W414" s="206"/>
      <c r="X414" s="206"/>
      <c r="Y414" s="206"/>
      <c r="Z414" s="206"/>
      <c r="AA414" s="206"/>
      <c r="AB414" s="206"/>
      <c r="AC414" s="206"/>
      <c r="AD414" s="206"/>
      <c r="AL414" s="206"/>
      <c r="AM414" s="206"/>
      <c r="AN414" s="206"/>
      <c r="AO414" s="206"/>
      <c r="AP414" s="206"/>
      <c r="AQ414" s="206"/>
      <c r="AR414" s="206"/>
      <c r="AS414" s="206"/>
      <c r="AV414" s="206"/>
      <c r="AW414" s="206"/>
      <c r="AY414" s="206"/>
      <c r="AZ414" s="206"/>
      <c r="BD414" s="206"/>
      <c r="BF414" s="206"/>
    </row>
    <row r="415" spans="1:100" x14ac:dyDescent="0.2">
      <c r="A415" s="220"/>
      <c r="B415" s="220"/>
      <c r="C415" s="206"/>
      <c r="D415" s="206"/>
      <c r="E415" s="192"/>
      <c r="F415" s="206"/>
      <c r="G415" s="206"/>
      <c r="H415"/>
      <c r="I415" s="206"/>
      <c r="J415"/>
      <c r="K415"/>
      <c r="L415" s="206"/>
      <c r="M415" s="192"/>
      <c r="N415" s="206"/>
      <c r="O415" s="192"/>
      <c r="P415" s="192"/>
      <c r="Q415" s="206"/>
      <c r="R415" s="206"/>
      <c r="W415" s="206"/>
      <c r="X415" s="206"/>
      <c r="Y415" s="206"/>
      <c r="Z415" s="206"/>
      <c r="AA415" s="206"/>
      <c r="AB415" s="206"/>
      <c r="AC415" s="206"/>
      <c r="AD415" s="206"/>
      <c r="AL415" s="206"/>
      <c r="AM415" s="206"/>
      <c r="AN415" s="206"/>
      <c r="AO415" s="206"/>
      <c r="AP415" s="206"/>
      <c r="AQ415" s="206"/>
      <c r="AR415" s="206"/>
      <c r="AS415" s="206"/>
      <c r="AV415" s="206"/>
      <c r="AW415" s="206"/>
      <c r="AY415" s="206"/>
      <c r="AZ415" s="206"/>
      <c r="BD415" s="206"/>
      <c r="BF415" s="206"/>
    </row>
    <row r="416" spans="1:100" x14ac:dyDescent="0.2">
      <c r="A416" s="220"/>
      <c r="B416" s="220"/>
      <c r="C416" s="206"/>
      <c r="D416" s="206"/>
      <c r="E416" s="192"/>
      <c r="F416" s="206"/>
      <c r="G416" s="206"/>
      <c r="H416" s="206"/>
      <c r="I416" s="206"/>
      <c r="J416"/>
      <c r="K416"/>
      <c r="L416" s="206"/>
      <c r="M416" s="192"/>
      <c r="N416" s="206"/>
      <c r="O416" s="192"/>
      <c r="P416" s="192"/>
      <c r="Q416" s="206"/>
      <c r="R416" s="206"/>
      <c r="W416" s="206"/>
      <c r="X416" s="206"/>
      <c r="Y416" s="206"/>
      <c r="Z416" s="206"/>
      <c r="AA416" s="206"/>
      <c r="AB416" s="206"/>
      <c r="AC416" s="206"/>
      <c r="AD416" s="206"/>
      <c r="AL416" s="206"/>
      <c r="AM416" s="206"/>
      <c r="AN416" s="206"/>
      <c r="AO416" s="206"/>
      <c r="AP416" s="206"/>
      <c r="AQ416" s="206"/>
      <c r="AR416" s="206"/>
      <c r="AS416" s="206"/>
      <c r="AV416" s="206"/>
      <c r="AW416" s="206"/>
      <c r="AX416" s="206"/>
      <c r="AY416" s="206"/>
      <c r="AZ416" s="206"/>
      <c r="BD416" s="206"/>
      <c r="BF416" s="206"/>
    </row>
    <row r="417" spans="1:100" x14ac:dyDescent="0.2">
      <c r="A417" s="220"/>
      <c r="B417" s="220"/>
      <c r="C417" s="206"/>
      <c r="D417" s="206"/>
      <c r="E417" s="192"/>
      <c r="F417" s="206"/>
      <c r="G417" s="206"/>
      <c r="H417"/>
      <c r="I417" s="206"/>
      <c r="J417"/>
      <c r="K417"/>
      <c r="L417" s="206"/>
      <c r="M417" s="192"/>
      <c r="N417" s="206"/>
      <c r="O417" s="192"/>
      <c r="P417" s="192"/>
      <c r="Q417" s="206"/>
      <c r="R417" s="206"/>
      <c r="W417" s="206"/>
      <c r="X417" s="206"/>
      <c r="Y417" s="206"/>
      <c r="Z417" s="206"/>
      <c r="AA417" s="206"/>
      <c r="AB417" s="206"/>
      <c r="AC417" s="206"/>
      <c r="AD417" s="206"/>
      <c r="AL417" s="206"/>
      <c r="AM417" s="206"/>
      <c r="AN417" s="206"/>
      <c r="AO417" s="206"/>
      <c r="AP417" s="206"/>
      <c r="AQ417" s="206"/>
      <c r="AR417" s="206"/>
      <c r="AS417" s="206"/>
      <c r="AV417" s="206"/>
      <c r="AW417" s="206"/>
      <c r="AY417" s="206"/>
      <c r="AZ417" s="206"/>
      <c r="BD417" s="206"/>
      <c r="BF417" s="206"/>
    </row>
    <row r="418" spans="1:100" x14ac:dyDescent="0.2">
      <c r="A418" s="220"/>
      <c r="B418" s="220"/>
      <c r="C418" s="206"/>
      <c r="D418" s="206"/>
      <c r="E418" s="192"/>
      <c r="F418" s="206"/>
      <c r="G418" s="206"/>
      <c r="H418"/>
      <c r="I418" s="206"/>
      <c r="J418"/>
      <c r="K418"/>
      <c r="L418" s="206"/>
      <c r="M418" s="192"/>
      <c r="N418" s="206"/>
      <c r="O418" s="192"/>
      <c r="P418" s="192"/>
      <c r="Q418" s="206"/>
      <c r="R418" s="206"/>
      <c r="W418" s="206"/>
      <c r="X418" s="206"/>
      <c r="Y418" s="206"/>
      <c r="Z418" s="206"/>
      <c r="AA418" s="206"/>
      <c r="AB418" s="206"/>
      <c r="AC418" s="206"/>
      <c r="AD418" s="206"/>
      <c r="AL418" s="206"/>
      <c r="AM418" s="206"/>
      <c r="AN418" s="206"/>
      <c r="AO418" s="206"/>
      <c r="AP418" s="206"/>
      <c r="AQ418" s="206"/>
      <c r="AR418" s="206"/>
      <c r="AS418" s="206"/>
      <c r="AV418" s="206"/>
      <c r="AW418" s="206"/>
      <c r="AY418" s="206"/>
      <c r="AZ418" s="206"/>
      <c r="BD418" s="206"/>
      <c r="BF418" s="206"/>
    </row>
    <row r="419" spans="1:100" x14ac:dyDescent="0.2">
      <c r="A419" s="220"/>
      <c r="B419" s="220"/>
      <c r="C419" s="206"/>
      <c r="D419" s="206"/>
      <c r="E419" s="192"/>
      <c r="F419" s="206"/>
      <c r="G419" s="206"/>
      <c r="H419" s="206"/>
      <c r="I419" s="206"/>
      <c r="J419"/>
      <c r="K419"/>
      <c r="L419" s="206"/>
      <c r="M419" s="192"/>
      <c r="N419" s="206"/>
      <c r="O419" s="192"/>
      <c r="P419" s="192"/>
      <c r="Q419" s="206"/>
      <c r="R419" s="206"/>
      <c r="W419" s="206"/>
      <c r="X419" s="206"/>
      <c r="Y419" s="206"/>
      <c r="Z419" s="206"/>
      <c r="AA419" s="206"/>
      <c r="AB419" s="206"/>
      <c r="AC419" s="206"/>
      <c r="AD419" s="206"/>
      <c r="AL419" s="206"/>
      <c r="AM419" s="206"/>
      <c r="AN419" s="206"/>
      <c r="AO419" s="206"/>
      <c r="AP419" s="206"/>
      <c r="AQ419" s="206"/>
      <c r="AR419" s="206"/>
      <c r="AS419" s="206"/>
      <c r="AV419" s="206"/>
      <c r="AW419" s="206"/>
      <c r="AX419" s="206"/>
      <c r="AY419" s="206"/>
      <c r="AZ419" s="206"/>
      <c r="BD419" s="206"/>
      <c r="BF419" s="206"/>
    </row>
    <row r="420" spans="1:100" x14ac:dyDescent="0.2">
      <c r="A420" s="220"/>
      <c r="B420" s="220"/>
      <c r="C420" s="206"/>
      <c r="D420" s="206"/>
      <c r="E420" s="192"/>
      <c r="F420" s="206"/>
      <c r="G420" s="206"/>
      <c r="H420"/>
      <c r="I420" s="206"/>
      <c r="J420"/>
      <c r="K420"/>
      <c r="L420" s="206"/>
      <c r="M420" s="192"/>
      <c r="N420" s="206"/>
      <c r="O420" s="192"/>
      <c r="P420" s="192"/>
      <c r="Q420" s="206"/>
      <c r="R420" s="206"/>
      <c r="W420" s="206"/>
      <c r="X420" s="206"/>
      <c r="Y420" s="206"/>
      <c r="Z420" s="206"/>
      <c r="AA420" s="206"/>
      <c r="AB420" s="206"/>
      <c r="AC420" s="206"/>
      <c r="AD420" s="206"/>
      <c r="AL420" s="206"/>
      <c r="AM420" s="206"/>
      <c r="AN420" s="206"/>
      <c r="AO420" s="206"/>
      <c r="AP420" s="206"/>
      <c r="AQ420" s="206"/>
      <c r="AR420" s="206"/>
      <c r="AS420" s="206"/>
      <c r="AV420" s="206"/>
      <c r="AW420" s="206"/>
      <c r="AY420" s="206"/>
      <c r="AZ420" s="206"/>
      <c r="BD420" s="206"/>
      <c r="BF420" s="206"/>
    </row>
    <row r="421" spans="1:100" x14ac:dyDescent="0.2">
      <c r="A421" s="220"/>
      <c r="B421" s="220"/>
      <c r="C421" s="206"/>
      <c r="D421" s="206"/>
      <c r="E421" s="192"/>
      <c r="F421" s="206"/>
      <c r="G421" s="206"/>
      <c r="H421" s="206"/>
      <c r="I421" s="206"/>
      <c r="J421"/>
      <c r="K421"/>
      <c r="L421" s="206"/>
      <c r="M421" s="192"/>
      <c r="N421" s="206"/>
      <c r="O421" s="192"/>
      <c r="P421" s="192"/>
      <c r="Q421" s="206"/>
      <c r="R421" s="206"/>
      <c r="W421" s="206"/>
      <c r="X421" s="206"/>
      <c r="Y421" s="206"/>
      <c r="Z421" s="206"/>
      <c r="AA421" s="206"/>
      <c r="AB421" s="206"/>
      <c r="AC421" s="206"/>
      <c r="AD421" s="206"/>
      <c r="AL421" s="206"/>
      <c r="AM421" s="206"/>
      <c r="AN421" s="206"/>
      <c r="AO421" s="206"/>
      <c r="AP421" s="206"/>
      <c r="AQ421" s="206"/>
      <c r="AR421" s="206"/>
      <c r="AS421" s="206"/>
      <c r="AV421" s="206"/>
      <c r="AW421" s="206"/>
      <c r="AX421" s="206"/>
      <c r="AY421" s="206"/>
      <c r="AZ421" s="206"/>
      <c r="BD421" s="206"/>
      <c r="BF421" s="206"/>
    </row>
    <row r="422" spans="1:100" x14ac:dyDescent="0.2">
      <c r="A422" s="220"/>
      <c r="B422" s="220"/>
      <c r="C422" s="206"/>
      <c r="D422" s="206"/>
      <c r="E422" s="192"/>
      <c r="F422" s="206"/>
      <c r="G422" s="206"/>
      <c r="H422"/>
      <c r="I422" s="206"/>
      <c r="J422"/>
      <c r="K422"/>
      <c r="L422" s="206"/>
      <c r="M422" s="192"/>
      <c r="N422" s="206"/>
      <c r="O422" s="192"/>
      <c r="P422" s="192"/>
      <c r="Q422" s="206"/>
      <c r="R422" s="206"/>
      <c r="W422" s="206"/>
      <c r="X422" s="206"/>
      <c r="Y422" s="206"/>
      <c r="Z422" s="206"/>
      <c r="AA422" s="206"/>
      <c r="AB422" s="206"/>
      <c r="AC422" s="206"/>
      <c r="AD422" s="206"/>
      <c r="AL422" s="206"/>
      <c r="AM422" s="206"/>
      <c r="AN422" s="206"/>
      <c r="AO422" s="206"/>
      <c r="AP422" s="206"/>
      <c r="AQ422" s="206"/>
      <c r="AR422" s="206"/>
      <c r="AS422" s="206"/>
      <c r="AV422" s="206"/>
      <c r="AW422" s="206"/>
      <c r="AY422" s="206"/>
      <c r="AZ422" s="206"/>
      <c r="BD422" s="206"/>
      <c r="BF422" s="206"/>
    </row>
    <row r="423" spans="1:100" x14ac:dyDescent="0.2">
      <c r="A423" s="220"/>
      <c r="B423" s="220"/>
      <c r="C423" s="206"/>
      <c r="D423" s="206"/>
      <c r="E423" s="192"/>
      <c r="F423" s="206"/>
      <c r="G423"/>
      <c r="H423"/>
      <c r="I423" s="206"/>
      <c r="J423"/>
      <c r="K423"/>
      <c r="L423" s="206"/>
      <c r="M423" s="192"/>
      <c r="N423" s="206"/>
      <c r="O423" s="192"/>
      <c r="P423" s="192"/>
      <c r="Q423" s="206"/>
      <c r="R423" s="206"/>
      <c r="W423" s="206"/>
      <c r="X423" s="206"/>
      <c r="Y423" s="206"/>
      <c r="Z423" s="206"/>
      <c r="AA423" s="206"/>
      <c r="AB423" s="206"/>
      <c r="AC423" s="206"/>
      <c r="AD423" s="206"/>
      <c r="AL423" s="206"/>
      <c r="AM423" s="206"/>
      <c r="AN423" s="206"/>
      <c r="AO423" s="206"/>
      <c r="AP423" s="206"/>
      <c r="AQ423" s="206"/>
      <c r="AR423" s="206"/>
      <c r="AS423" s="206"/>
      <c r="AV423" s="206"/>
      <c r="AY423" s="206"/>
      <c r="AZ423" s="206"/>
      <c r="BD423" s="206"/>
      <c r="BF423" s="206"/>
    </row>
    <row r="424" spans="1:100" x14ac:dyDescent="0.2">
      <c r="A424" s="220"/>
      <c r="B424" s="220"/>
      <c r="C424" s="206"/>
      <c r="D424" s="206"/>
      <c r="E424" s="192"/>
      <c r="F424" s="206"/>
      <c r="G424" s="206"/>
      <c r="H424"/>
      <c r="I424" s="206"/>
      <c r="J424"/>
      <c r="K424"/>
      <c r="L424" s="206"/>
      <c r="M424" s="192"/>
      <c r="N424" s="206"/>
      <c r="O424" s="192"/>
      <c r="P424" s="192"/>
      <c r="Q424" s="206"/>
      <c r="R424" s="206"/>
      <c r="W424" s="206"/>
      <c r="X424" s="206"/>
      <c r="Y424" s="206"/>
      <c r="Z424" s="206"/>
      <c r="AA424" s="206"/>
      <c r="AB424" s="206"/>
      <c r="AC424" s="206"/>
      <c r="AD424" s="206"/>
      <c r="AL424" s="206"/>
      <c r="AM424" s="206"/>
      <c r="AN424" s="206"/>
      <c r="AO424" s="206"/>
      <c r="AP424" s="206"/>
      <c r="AQ424" s="206"/>
      <c r="AR424" s="206"/>
      <c r="AS424" s="206"/>
      <c r="AV424" s="206"/>
      <c r="AW424" s="206"/>
      <c r="AY424" s="206"/>
      <c r="AZ424" s="206"/>
      <c r="BD424" s="206"/>
      <c r="BF424" s="206"/>
    </row>
    <row r="425" spans="1:100" x14ac:dyDescent="0.2">
      <c r="A425" s="220"/>
      <c r="B425" s="220"/>
      <c r="C425" s="206"/>
      <c r="D425" s="206"/>
      <c r="E425" s="192"/>
      <c r="F425" s="206"/>
      <c r="G425" s="206"/>
      <c r="H425"/>
      <c r="I425" s="206"/>
      <c r="J425"/>
      <c r="K425"/>
      <c r="L425" s="206"/>
      <c r="M425" s="192"/>
      <c r="N425" s="206"/>
      <c r="O425" s="192"/>
      <c r="P425" s="192"/>
      <c r="Q425" s="206"/>
      <c r="R425" s="206"/>
      <c r="W425" s="206"/>
      <c r="X425" s="206"/>
      <c r="Y425" s="206"/>
      <c r="Z425" s="206"/>
      <c r="AA425" s="206"/>
      <c r="AB425" s="206"/>
      <c r="AC425" s="206"/>
      <c r="AD425" s="206"/>
      <c r="AL425" s="206"/>
      <c r="AM425" s="206"/>
      <c r="AN425" s="206"/>
      <c r="AO425" s="206"/>
      <c r="AP425" s="206"/>
      <c r="AQ425" s="206"/>
      <c r="AR425" s="206"/>
      <c r="AS425" s="206"/>
      <c r="AV425" s="206"/>
      <c r="AW425" s="206"/>
      <c r="AY425" s="206"/>
      <c r="AZ425" s="206"/>
      <c r="BD425" s="206"/>
      <c r="BF425" s="206"/>
    </row>
    <row r="426" spans="1:100" x14ac:dyDescent="0.2">
      <c r="A426" s="220"/>
      <c r="B426" s="220"/>
      <c r="C426" s="206"/>
      <c r="D426" s="206"/>
      <c r="E426" s="192"/>
      <c r="F426" s="206"/>
      <c r="G426" s="206"/>
      <c r="H426"/>
      <c r="I426" s="206"/>
      <c r="J426"/>
      <c r="K426"/>
      <c r="L426" s="206"/>
      <c r="M426" s="192"/>
      <c r="N426" s="206"/>
      <c r="O426" s="192"/>
      <c r="P426" s="192"/>
      <c r="Q426" s="206"/>
      <c r="R426" s="206"/>
      <c r="W426" s="206"/>
      <c r="X426" s="206"/>
      <c r="Y426" s="206"/>
      <c r="Z426" s="206"/>
      <c r="AA426" s="206"/>
      <c r="AB426" s="206"/>
      <c r="AC426" s="206"/>
      <c r="AD426" s="206"/>
      <c r="AL426" s="206"/>
      <c r="AM426" s="206"/>
      <c r="AN426" s="206"/>
      <c r="AO426" s="206"/>
      <c r="AP426" s="206"/>
      <c r="AQ426" s="206"/>
      <c r="AR426" s="206"/>
      <c r="AS426" s="206"/>
      <c r="AV426" s="206"/>
      <c r="AW426" s="206"/>
      <c r="AY426" s="206"/>
      <c r="AZ426" s="206"/>
      <c r="BD426" s="206"/>
      <c r="BF426" s="206"/>
    </row>
    <row r="427" spans="1:100" x14ac:dyDescent="0.2">
      <c r="A427" s="220"/>
      <c r="B427" s="220"/>
      <c r="C427" s="206"/>
      <c r="D427" s="206"/>
      <c r="E427" s="192"/>
      <c r="F427" s="206"/>
      <c r="G427" s="206"/>
      <c r="H427"/>
      <c r="I427" s="206"/>
      <c r="J427"/>
      <c r="K427"/>
      <c r="L427" s="206"/>
      <c r="M427" s="192"/>
      <c r="N427" s="206"/>
      <c r="O427" s="192"/>
      <c r="P427" s="192"/>
      <c r="Q427" s="206"/>
      <c r="R427" s="206"/>
      <c r="W427" s="206"/>
      <c r="X427" s="206"/>
      <c r="Y427" s="206"/>
      <c r="Z427" s="206"/>
      <c r="AA427" s="206"/>
      <c r="AB427" s="206"/>
      <c r="AC427" s="206"/>
      <c r="AD427" s="206"/>
      <c r="AL427" s="206"/>
      <c r="AM427" s="206"/>
      <c r="AN427" s="206"/>
      <c r="AO427" s="206"/>
      <c r="AP427" s="206"/>
      <c r="AQ427" s="206"/>
      <c r="AR427" s="206"/>
      <c r="AS427" s="206"/>
      <c r="AV427" s="206"/>
      <c r="AW427" s="206"/>
      <c r="AY427" s="206"/>
      <c r="AZ427" s="206"/>
      <c r="BD427" s="206"/>
      <c r="BF427" s="206"/>
    </row>
    <row r="428" spans="1:100" x14ac:dyDescent="0.2">
      <c r="A428" s="220"/>
      <c r="B428" s="220"/>
      <c r="C428" s="206"/>
      <c r="D428" s="206"/>
      <c r="E428" s="192"/>
      <c r="F428" s="206"/>
      <c r="G428" s="206"/>
      <c r="H428"/>
      <c r="I428" s="206"/>
      <c r="J428"/>
      <c r="K428"/>
      <c r="L428" s="206"/>
      <c r="M428" s="192"/>
      <c r="N428" s="206"/>
      <c r="O428" s="192"/>
      <c r="P428" s="192"/>
      <c r="Q428" s="206"/>
      <c r="R428" s="206"/>
      <c r="W428" s="206"/>
      <c r="X428" s="206"/>
      <c r="Y428" s="206"/>
      <c r="Z428" s="206"/>
      <c r="AA428" s="206"/>
      <c r="AB428" s="206"/>
      <c r="AC428" s="206"/>
      <c r="AD428" s="206"/>
      <c r="AL428" s="206"/>
      <c r="AM428" s="206"/>
      <c r="AN428" s="206"/>
      <c r="AO428" s="206"/>
      <c r="AP428" s="206"/>
      <c r="AQ428" s="206"/>
      <c r="AR428" s="206"/>
      <c r="AS428" s="206"/>
      <c r="AV428" s="206"/>
      <c r="AW428" s="206"/>
      <c r="AY428" s="206"/>
      <c r="AZ428" s="206"/>
      <c r="BD428" s="206"/>
      <c r="BF428" s="206"/>
    </row>
    <row r="429" spans="1:100" x14ac:dyDescent="0.2">
      <c r="A429" s="220"/>
      <c r="B429" s="220"/>
      <c r="C429" s="206"/>
      <c r="D429" s="206"/>
      <c r="E429" s="192"/>
      <c r="F429" s="206"/>
      <c r="G429" s="206"/>
      <c r="H429"/>
      <c r="I429" s="206"/>
      <c r="J429"/>
      <c r="K429"/>
      <c r="L429" s="206"/>
      <c r="M429" s="192"/>
      <c r="N429" s="206"/>
      <c r="O429" s="192"/>
      <c r="P429" s="192"/>
      <c r="Q429" s="206"/>
      <c r="R429" s="206"/>
      <c r="W429" s="206"/>
      <c r="X429" s="206"/>
      <c r="Y429" s="206"/>
      <c r="Z429" s="206"/>
      <c r="AA429" s="206"/>
      <c r="AB429" s="206"/>
      <c r="AC429" s="206"/>
      <c r="AD429" s="206"/>
      <c r="AL429" s="206"/>
      <c r="AM429" s="206"/>
      <c r="AN429" s="206"/>
      <c r="AO429" s="206"/>
      <c r="AP429" s="206"/>
      <c r="AQ429" s="206"/>
      <c r="AR429" s="206"/>
      <c r="AS429" s="206"/>
      <c r="AV429" s="206"/>
      <c r="AW429" s="206"/>
      <c r="AY429" s="206"/>
      <c r="AZ429" s="206"/>
      <c r="BD429" s="206"/>
      <c r="BF429" s="206"/>
    </row>
    <row r="430" spans="1:100" x14ac:dyDescent="0.2">
      <c r="A430" s="220"/>
      <c r="B430" s="220"/>
      <c r="C430" s="206"/>
      <c r="D430" s="206"/>
      <c r="E430" s="192"/>
      <c r="F430" s="206"/>
      <c r="G430" s="206"/>
      <c r="H430"/>
      <c r="I430" s="206"/>
      <c r="J430"/>
      <c r="K430"/>
      <c r="L430" s="206"/>
      <c r="M430" s="192"/>
      <c r="N430" s="206"/>
      <c r="O430" s="192"/>
      <c r="P430" s="192"/>
      <c r="Q430" s="206"/>
      <c r="R430" s="206"/>
      <c r="W430" s="206"/>
      <c r="X430" s="206"/>
      <c r="Y430" s="206"/>
      <c r="Z430" s="206"/>
      <c r="AA430" s="206"/>
      <c r="AB430" s="206"/>
      <c r="AC430" s="206"/>
      <c r="AD430" s="206"/>
      <c r="AL430" s="206"/>
      <c r="AM430" s="206"/>
      <c r="AN430" s="206"/>
      <c r="AO430" s="206"/>
      <c r="AP430" s="206"/>
      <c r="AQ430" s="206"/>
      <c r="AR430" s="206"/>
      <c r="AS430" s="206"/>
      <c r="AV430" s="206"/>
      <c r="AW430" s="206"/>
      <c r="AY430" s="206"/>
      <c r="AZ430" s="206"/>
      <c r="BD430" s="206"/>
      <c r="BF430" s="206"/>
    </row>
    <row r="431" spans="1:100" x14ac:dyDescent="0.2">
      <c r="A431" s="220"/>
      <c r="B431" s="220"/>
      <c r="C431" s="206"/>
      <c r="D431" s="206"/>
      <c r="E431" s="192"/>
      <c r="F431" s="206"/>
      <c r="G431" s="206"/>
      <c r="H431"/>
      <c r="I431" s="206"/>
      <c r="J431"/>
      <c r="K431"/>
      <c r="L431" s="206"/>
      <c r="M431" s="192"/>
      <c r="N431" s="206"/>
      <c r="O431" s="192"/>
      <c r="P431" s="192"/>
      <c r="Q431" s="206"/>
      <c r="R431" s="206"/>
      <c r="W431" s="206"/>
      <c r="X431" s="206"/>
      <c r="Y431" s="206"/>
      <c r="Z431" s="206"/>
      <c r="AA431" s="206"/>
      <c r="AB431" s="206"/>
      <c r="AC431" s="206"/>
      <c r="AD431" s="206"/>
      <c r="AL431" s="206"/>
      <c r="AM431" s="206"/>
      <c r="AN431" s="206"/>
      <c r="AO431" s="206"/>
      <c r="AP431" s="206"/>
      <c r="AQ431" s="206"/>
      <c r="AR431" s="206"/>
      <c r="AS431" s="206"/>
      <c r="AV431" s="206"/>
      <c r="AW431" s="206"/>
      <c r="AY431" s="206"/>
      <c r="AZ431" s="206"/>
      <c r="BD431" s="206"/>
      <c r="BF431" s="206"/>
    </row>
    <row r="432" spans="1:100" x14ac:dyDescent="0.2">
      <c r="A432" s="220"/>
      <c r="B432" s="220"/>
      <c r="C432" s="206"/>
      <c r="D432" s="206"/>
      <c r="E432" s="192"/>
      <c r="F432" s="206"/>
      <c r="G432" s="206"/>
      <c r="H432" s="206"/>
      <c r="I432" s="206"/>
      <c r="J432" s="206"/>
      <c r="K432" s="206"/>
      <c r="L432" s="206"/>
      <c r="M432" s="192"/>
      <c r="N432" s="206"/>
      <c r="O432" s="192"/>
      <c r="P432" s="192"/>
      <c r="Q432" s="206"/>
      <c r="R432" s="206"/>
      <c r="W432" s="206"/>
      <c r="X432" s="206"/>
      <c r="Y432" s="206"/>
      <c r="Z432" s="206"/>
      <c r="AA432" s="206"/>
      <c r="AB432" s="206"/>
      <c r="AC432" s="206"/>
      <c r="AD432" s="206"/>
      <c r="AL432" s="206"/>
      <c r="AM432" s="206"/>
      <c r="AN432" s="206"/>
      <c r="AO432" s="206"/>
      <c r="AP432" s="206"/>
      <c r="AQ432" s="206"/>
      <c r="AR432" s="206"/>
      <c r="AS432" s="206"/>
      <c r="AV432" s="206"/>
      <c r="AW432" s="206"/>
      <c r="AX432" s="206"/>
      <c r="AY432" s="206"/>
      <c r="AZ432" s="206"/>
      <c r="BA432" s="206"/>
      <c r="BB432" s="206"/>
      <c r="BD432" s="206"/>
      <c r="BF432" s="206"/>
      <c r="BG432" s="201"/>
      <c r="BJ432" s="201"/>
      <c r="BK432" s="201"/>
      <c r="BL432" s="201"/>
      <c r="BM432" s="201"/>
      <c r="BN432" s="201"/>
      <c r="BO432" s="201"/>
      <c r="BP432" s="201"/>
      <c r="BQ432" s="201"/>
      <c r="BR432" s="201"/>
      <c r="BS432" s="201"/>
      <c r="BT432" s="201"/>
      <c r="BU432" s="201"/>
      <c r="BV432" s="201"/>
      <c r="BW432" s="201"/>
      <c r="BX432" s="201"/>
      <c r="BY432" s="201"/>
      <c r="BZ432" s="201"/>
      <c r="CA432" s="201"/>
      <c r="CB432" s="201"/>
      <c r="CC432" s="201"/>
      <c r="CD432" s="201"/>
      <c r="CE432" s="201"/>
      <c r="CF432" s="201"/>
      <c r="CG432" s="201"/>
      <c r="CH432" s="201"/>
      <c r="CI432" s="201"/>
      <c r="CJ432" s="201"/>
      <c r="CK432" s="201"/>
      <c r="CL432" s="201"/>
      <c r="CM432" s="201"/>
      <c r="CN432" s="201"/>
      <c r="CO432" s="201"/>
      <c r="CP432" s="201"/>
      <c r="CQ432" s="201"/>
      <c r="CR432" s="201"/>
      <c r="CS432" s="201"/>
      <c r="CT432" s="201"/>
      <c r="CU432" s="201"/>
      <c r="CV432" s="201"/>
    </row>
    <row r="433" spans="1:58" x14ac:dyDescent="0.2">
      <c r="A433" s="220"/>
      <c r="B433" s="220"/>
      <c r="C433" s="206"/>
      <c r="D433" s="206"/>
      <c r="E433" s="192"/>
      <c r="F433" s="206"/>
      <c r="G433" s="206"/>
      <c r="H433"/>
      <c r="I433" s="206"/>
      <c r="J433"/>
      <c r="K433"/>
      <c r="L433" s="206"/>
      <c r="M433" s="192"/>
      <c r="N433" s="206"/>
      <c r="O433" s="192"/>
      <c r="P433" s="192"/>
      <c r="Q433" s="206"/>
      <c r="R433" s="206"/>
      <c r="W433" s="206"/>
      <c r="X433" s="206"/>
      <c r="Y433" s="206"/>
      <c r="Z433" s="206"/>
      <c r="AA433" s="206"/>
      <c r="AB433" s="206"/>
      <c r="AC433" s="206"/>
      <c r="AD433" s="206"/>
      <c r="AL433" s="206"/>
      <c r="AM433" s="206"/>
      <c r="AN433" s="206"/>
      <c r="AO433" s="206"/>
      <c r="AP433" s="206"/>
      <c r="AQ433" s="206"/>
      <c r="AR433" s="206"/>
      <c r="AS433" s="206"/>
      <c r="AV433" s="206"/>
      <c r="AW433" s="206"/>
      <c r="AY433" s="206"/>
      <c r="AZ433" s="206"/>
      <c r="BD433" s="206"/>
      <c r="BF433" s="206"/>
    </row>
    <row r="434" spans="1:58" x14ac:dyDescent="0.2">
      <c r="A434" s="220"/>
      <c r="B434" s="220"/>
      <c r="C434" s="206"/>
      <c r="D434" s="206"/>
      <c r="E434" s="192"/>
      <c r="F434" s="206"/>
      <c r="G434" s="206"/>
      <c r="H434"/>
      <c r="I434" s="206"/>
      <c r="J434"/>
      <c r="K434"/>
      <c r="L434" s="206"/>
      <c r="M434" s="192"/>
      <c r="N434" s="206"/>
      <c r="O434" s="192"/>
      <c r="P434" s="192"/>
      <c r="Q434" s="206"/>
      <c r="R434" s="206"/>
      <c r="W434" s="206"/>
      <c r="X434" s="206"/>
      <c r="Y434" s="206"/>
      <c r="Z434" s="206"/>
      <c r="AA434" s="206"/>
      <c r="AB434" s="206"/>
      <c r="AC434" s="206"/>
      <c r="AD434" s="206"/>
      <c r="AL434" s="206"/>
      <c r="AM434" s="206"/>
      <c r="AN434" s="206"/>
      <c r="AO434" s="206"/>
      <c r="AP434" s="206"/>
      <c r="AQ434" s="206"/>
      <c r="AR434" s="206"/>
      <c r="AS434" s="206"/>
      <c r="AV434" s="206"/>
      <c r="AW434" s="206"/>
      <c r="AY434" s="206"/>
      <c r="AZ434" s="206"/>
      <c r="BD434" s="206"/>
      <c r="BF434" s="206"/>
    </row>
    <row r="435" spans="1:58" x14ac:dyDescent="0.2">
      <c r="A435" s="220"/>
      <c r="B435" s="220"/>
      <c r="C435" s="206"/>
      <c r="D435" s="206"/>
      <c r="E435" s="192"/>
      <c r="F435" s="206"/>
      <c r="G435" s="206"/>
      <c r="H435"/>
      <c r="I435" s="206"/>
      <c r="J435"/>
      <c r="K435"/>
      <c r="L435" s="206"/>
      <c r="M435" s="192"/>
      <c r="N435" s="206"/>
      <c r="O435" s="192"/>
      <c r="P435" s="192"/>
      <c r="Q435" s="206"/>
      <c r="R435" s="206"/>
      <c r="W435" s="206"/>
      <c r="X435" s="206"/>
      <c r="Y435" s="206"/>
      <c r="Z435" s="206"/>
      <c r="AA435" s="206"/>
      <c r="AB435" s="206"/>
      <c r="AC435" s="206"/>
      <c r="AD435" s="206"/>
      <c r="AL435" s="206"/>
      <c r="AM435" s="206"/>
      <c r="AN435" s="206"/>
      <c r="AO435" s="206"/>
      <c r="AP435" s="206"/>
      <c r="AQ435" s="206"/>
      <c r="AR435" s="206"/>
      <c r="AS435" s="206"/>
      <c r="AV435" s="206"/>
      <c r="AW435" s="206"/>
      <c r="AY435" s="206"/>
      <c r="AZ435" s="206"/>
      <c r="BD435" s="206"/>
      <c r="BF435" s="206"/>
    </row>
    <row r="436" spans="1:58" x14ac:dyDescent="0.2">
      <c r="A436" s="220"/>
      <c r="B436" s="220"/>
      <c r="C436" s="206"/>
      <c r="D436" s="206"/>
      <c r="E436" s="192"/>
      <c r="F436" s="206"/>
      <c r="G436" s="206"/>
      <c r="H436"/>
      <c r="I436" s="206"/>
      <c r="J436"/>
      <c r="K436"/>
      <c r="L436" s="206"/>
      <c r="M436" s="192"/>
      <c r="N436" s="206"/>
      <c r="O436" s="192"/>
      <c r="P436" s="192"/>
      <c r="Q436" s="206"/>
      <c r="R436" s="206"/>
      <c r="W436" s="206"/>
      <c r="X436" s="206"/>
      <c r="Y436" s="206"/>
      <c r="Z436" s="206"/>
      <c r="AA436" s="206"/>
      <c r="AB436" s="206"/>
      <c r="AC436" s="206"/>
      <c r="AD436" s="206"/>
      <c r="AL436" s="206"/>
      <c r="AM436" s="206"/>
      <c r="AN436" s="206"/>
      <c r="AO436" s="206"/>
      <c r="AP436" s="206"/>
      <c r="AQ436" s="206"/>
      <c r="AR436" s="206"/>
      <c r="AS436" s="206"/>
      <c r="AV436" s="206"/>
      <c r="AW436" s="206"/>
      <c r="AY436" s="206"/>
      <c r="AZ436" s="206"/>
      <c r="BD436" s="206"/>
      <c r="BF436" s="206"/>
    </row>
    <row r="437" spans="1:58" x14ac:dyDescent="0.2">
      <c r="A437" s="220"/>
      <c r="B437" s="220"/>
      <c r="C437" s="206"/>
      <c r="D437" s="206"/>
      <c r="E437" s="192"/>
      <c r="F437" s="206"/>
      <c r="G437" s="206"/>
      <c r="H437"/>
      <c r="I437" s="206"/>
      <c r="J437"/>
      <c r="K437"/>
      <c r="L437" s="206"/>
      <c r="M437" s="192"/>
      <c r="N437" s="206"/>
      <c r="O437" s="192"/>
      <c r="P437" s="192"/>
      <c r="Q437" s="206"/>
      <c r="R437" s="206"/>
      <c r="W437" s="206"/>
      <c r="X437" s="206"/>
      <c r="Y437" s="206"/>
      <c r="Z437" s="206"/>
      <c r="AA437" s="206"/>
      <c r="AB437" s="206"/>
      <c r="AC437" s="206"/>
      <c r="AD437" s="206"/>
      <c r="AL437" s="206"/>
      <c r="AM437" s="206"/>
      <c r="AN437" s="206"/>
      <c r="AO437" s="206"/>
      <c r="AP437" s="206"/>
      <c r="AQ437" s="206"/>
      <c r="AR437" s="206"/>
      <c r="AS437" s="206"/>
      <c r="AV437" s="206"/>
      <c r="AW437" s="206"/>
      <c r="AY437" s="206"/>
      <c r="AZ437" s="206"/>
      <c r="BD437" s="206"/>
      <c r="BF437" s="206"/>
    </row>
    <row r="438" spans="1:58" x14ac:dyDescent="0.2">
      <c r="A438" s="220"/>
      <c r="B438" s="220"/>
      <c r="C438" s="206"/>
      <c r="D438" s="206"/>
      <c r="E438" s="192"/>
      <c r="F438" s="206"/>
      <c r="G438" s="206"/>
      <c r="H438"/>
      <c r="I438" s="206"/>
      <c r="J438"/>
      <c r="K438"/>
      <c r="L438" s="206"/>
      <c r="M438" s="192"/>
      <c r="N438" s="206"/>
      <c r="O438" s="192"/>
      <c r="P438" s="192"/>
      <c r="Q438" s="206"/>
      <c r="R438" s="206"/>
      <c r="W438" s="206"/>
      <c r="X438" s="206"/>
      <c r="Y438" s="206"/>
      <c r="Z438" s="206"/>
      <c r="AA438" s="206"/>
      <c r="AB438" s="206"/>
      <c r="AC438" s="206"/>
      <c r="AD438" s="206"/>
      <c r="AL438" s="206"/>
      <c r="AM438" s="206"/>
      <c r="AN438" s="206"/>
      <c r="AO438" s="206"/>
      <c r="AP438" s="206"/>
      <c r="AQ438" s="206"/>
      <c r="AR438" s="206"/>
      <c r="AS438" s="206"/>
      <c r="AV438" s="206"/>
      <c r="AW438" s="206"/>
      <c r="AY438" s="206"/>
      <c r="AZ438" s="206"/>
      <c r="BD438" s="206"/>
      <c r="BF438" s="206"/>
    </row>
    <row r="439" spans="1:58" x14ac:dyDescent="0.2">
      <c r="A439" s="220"/>
      <c r="B439" s="220"/>
      <c r="C439" s="206"/>
      <c r="D439" s="206"/>
      <c r="E439" s="192"/>
      <c r="F439" s="206"/>
      <c r="G439"/>
      <c r="H439"/>
      <c r="I439" s="206"/>
      <c r="J439"/>
      <c r="K439"/>
      <c r="L439" s="206"/>
      <c r="M439" s="192"/>
      <c r="N439" s="206"/>
      <c r="O439" s="192"/>
      <c r="P439" s="192"/>
      <c r="Q439" s="206"/>
      <c r="R439" s="206"/>
      <c r="W439" s="206"/>
      <c r="X439" s="206"/>
      <c r="Y439" s="206"/>
      <c r="Z439" s="206"/>
      <c r="AA439" s="206"/>
      <c r="AB439" s="206"/>
      <c r="AC439" s="206"/>
      <c r="AD439" s="206"/>
      <c r="AL439" s="206"/>
      <c r="AM439" s="206"/>
      <c r="AN439" s="206"/>
      <c r="AO439" s="206"/>
      <c r="AP439" s="206"/>
      <c r="AQ439" s="206"/>
      <c r="AR439" s="206"/>
      <c r="AS439" s="206"/>
      <c r="AV439" s="206"/>
      <c r="AY439" s="206"/>
      <c r="AZ439" s="206"/>
      <c r="BD439" s="206"/>
      <c r="BF439" s="206"/>
    </row>
    <row r="440" spans="1:58" x14ac:dyDescent="0.2">
      <c r="A440" s="220"/>
      <c r="B440" s="220"/>
      <c r="C440" s="206"/>
      <c r="D440" s="206"/>
      <c r="E440" s="192"/>
      <c r="F440" s="206"/>
      <c r="G440" s="206"/>
      <c r="H440"/>
      <c r="I440" s="206"/>
      <c r="J440"/>
      <c r="K440"/>
      <c r="L440" s="206"/>
      <c r="M440" s="192"/>
      <c r="N440" s="206"/>
      <c r="O440" s="192"/>
      <c r="P440" s="192"/>
      <c r="Q440" s="206"/>
      <c r="R440" s="206"/>
      <c r="W440" s="206"/>
      <c r="X440" s="206"/>
      <c r="Y440" s="206"/>
      <c r="Z440" s="206"/>
      <c r="AA440" s="206"/>
      <c r="AB440" s="206"/>
      <c r="AC440" s="206"/>
      <c r="AD440" s="206"/>
      <c r="AL440" s="206"/>
      <c r="AM440" s="206"/>
      <c r="AN440" s="206"/>
      <c r="AO440" s="206"/>
      <c r="AP440" s="206"/>
      <c r="AQ440" s="206"/>
      <c r="AR440" s="206"/>
      <c r="AS440" s="206"/>
      <c r="AV440" s="206"/>
      <c r="AW440" s="206"/>
      <c r="AY440" s="206"/>
      <c r="AZ440" s="206"/>
      <c r="BD440" s="206"/>
      <c r="BF440" s="206"/>
    </row>
    <row r="441" spans="1:58" x14ac:dyDescent="0.2">
      <c r="A441" s="220"/>
      <c r="B441" s="220"/>
      <c r="C441" s="206"/>
      <c r="D441" s="206"/>
      <c r="E441" s="192"/>
      <c r="F441" s="206"/>
      <c r="G441" s="206"/>
      <c r="H441"/>
      <c r="I441" s="206"/>
      <c r="J441"/>
      <c r="K441"/>
      <c r="L441" s="206"/>
      <c r="M441" s="192"/>
      <c r="N441" s="206"/>
      <c r="O441" s="192"/>
      <c r="P441" s="192"/>
      <c r="Q441" s="206"/>
      <c r="R441" s="206"/>
      <c r="W441" s="206"/>
      <c r="X441" s="206"/>
      <c r="Y441" s="206"/>
      <c r="Z441" s="206"/>
      <c r="AA441" s="206"/>
      <c r="AB441" s="206"/>
      <c r="AC441" s="206"/>
      <c r="AD441" s="206"/>
      <c r="AL441" s="206"/>
      <c r="AM441" s="206"/>
      <c r="AN441" s="206"/>
      <c r="AO441" s="206"/>
      <c r="AP441" s="206"/>
      <c r="AQ441" s="206"/>
      <c r="AR441" s="206"/>
      <c r="AS441" s="206"/>
      <c r="AV441" s="206"/>
      <c r="AW441" s="206"/>
      <c r="AY441" s="206"/>
      <c r="AZ441" s="206"/>
      <c r="BD441" s="206"/>
      <c r="BF441" s="206"/>
    </row>
    <row r="442" spans="1:58" x14ac:dyDescent="0.2">
      <c r="A442" s="220"/>
      <c r="B442" s="220"/>
      <c r="C442" s="206"/>
      <c r="D442" s="206"/>
      <c r="E442" s="192"/>
      <c r="F442" s="206"/>
      <c r="G442" s="206"/>
      <c r="H442"/>
      <c r="I442" s="206"/>
      <c r="J442"/>
      <c r="K442"/>
      <c r="L442" s="206"/>
      <c r="M442" s="192"/>
      <c r="N442" s="206"/>
      <c r="O442" s="192"/>
      <c r="P442" s="192"/>
      <c r="Q442" s="206"/>
      <c r="R442" s="206"/>
      <c r="W442" s="206"/>
      <c r="X442" s="206"/>
      <c r="Y442" s="206"/>
      <c r="Z442" s="206"/>
      <c r="AA442" s="206"/>
      <c r="AB442" s="206"/>
      <c r="AC442" s="206"/>
      <c r="AD442" s="206"/>
      <c r="AL442" s="206"/>
      <c r="AM442" s="206"/>
      <c r="AN442" s="206"/>
      <c r="AO442" s="206"/>
      <c r="AP442" s="206"/>
      <c r="AQ442" s="206"/>
      <c r="AR442" s="206"/>
      <c r="AS442" s="206"/>
      <c r="AV442" s="206"/>
      <c r="AW442" s="206"/>
      <c r="AY442" s="206"/>
      <c r="AZ442" s="206"/>
      <c r="BD442" s="206"/>
      <c r="BF442" s="206"/>
    </row>
    <row r="443" spans="1:58" x14ac:dyDescent="0.2">
      <c r="A443" s="220"/>
      <c r="B443" s="220"/>
      <c r="C443" s="206"/>
      <c r="D443" s="206"/>
      <c r="E443" s="192"/>
      <c r="F443" s="206"/>
      <c r="G443" s="206"/>
      <c r="H443"/>
      <c r="I443" s="206"/>
      <c r="J443"/>
      <c r="K443"/>
      <c r="L443" s="206"/>
      <c r="M443" s="192"/>
      <c r="N443" s="206"/>
      <c r="O443" s="192"/>
      <c r="P443" s="192"/>
      <c r="Q443" s="206"/>
      <c r="R443" s="206"/>
      <c r="W443" s="206"/>
      <c r="X443" s="206"/>
      <c r="Y443" s="206"/>
      <c r="Z443" s="206"/>
      <c r="AA443" s="206"/>
      <c r="AB443" s="206"/>
      <c r="AC443" s="206"/>
      <c r="AD443" s="206"/>
      <c r="AL443" s="206"/>
      <c r="AM443" s="206"/>
      <c r="AN443" s="206"/>
      <c r="AO443" s="206"/>
      <c r="AP443" s="206"/>
      <c r="AQ443" s="206"/>
      <c r="AR443" s="206"/>
      <c r="AS443" s="206"/>
      <c r="AV443" s="206"/>
      <c r="AW443" s="206"/>
      <c r="AY443" s="206"/>
      <c r="AZ443" s="206"/>
      <c r="BD443" s="206"/>
      <c r="BF443" s="206"/>
    </row>
    <row r="444" spans="1:58" x14ac:dyDescent="0.2">
      <c r="A444" s="220"/>
      <c r="B444" s="220"/>
      <c r="C444" s="206"/>
      <c r="D444" s="206"/>
      <c r="E444" s="192"/>
      <c r="F444" s="206"/>
      <c r="G444" s="206"/>
      <c r="H444"/>
      <c r="I444" s="206"/>
      <c r="J444"/>
      <c r="K444"/>
      <c r="L444" s="206"/>
      <c r="M444" s="192"/>
      <c r="N444" s="206"/>
      <c r="O444" s="192"/>
      <c r="P444" s="192"/>
      <c r="Q444" s="206"/>
      <c r="R444" s="206"/>
      <c r="W444" s="206"/>
      <c r="X444" s="206"/>
      <c r="Y444" s="206"/>
      <c r="Z444" s="206"/>
      <c r="AA444" s="206"/>
      <c r="AB444" s="206"/>
      <c r="AC444" s="206"/>
      <c r="AD444" s="206"/>
      <c r="AL444" s="206"/>
      <c r="AM444" s="206"/>
      <c r="AN444" s="206"/>
      <c r="AO444" s="206"/>
      <c r="AP444" s="206"/>
      <c r="AQ444" s="206"/>
      <c r="AR444" s="206"/>
      <c r="AS444" s="206"/>
      <c r="AV444" s="206"/>
      <c r="AW444" s="206"/>
      <c r="AY444" s="206"/>
      <c r="AZ444" s="206"/>
      <c r="BD444" s="206"/>
      <c r="BF444" s="206"/>
    </row>
    <row r="445" spans="1:58" x14ac:dyDescent="0.2">
      <c r="A445" s="220"/>
      <c r="B445" s="220"/>
      <c r="C445" s="206"/>
      <c r="D445" s="206"/>
      <c r="E445" s="192"/>
      <c r="F445" s="206"/>
      <c r="G445" s="206"/>
      <c r="H445"/>
      <c r="I445" s="206"/>
      <c r="J445"/>
      <c r="K445"/>
      <c r="L445" s="206"/>
      <c r="M445" s="192"/>
      <c r="N445" s="206"/>
      <c r="O445" s="192"/>
      <c r="P445" s="192"/>
      <c r="Q445" s="206"/>
      <c r="R445" s="206"/>
      <c r="W445" s="206"/>
      <c r="X445" s="206"/>
      <c r="Y445" s="206"/>
      <c r="Z445" s="206"/>
      <c r="AA445" s="206"/>
      <c r="AB445" s="206"/>
      <c r="AC445" s="206"/>
      <c r="AD445" s="206"/>
      <c r="AL445" s="206"/>
      <c r="AM445" s="206"/>
      <c r="AN445" s="206"/>
      <c r="AO445" s="206"/>
      <c r="AP445" s="206"/>
      <c r="AQ445" s="206"/>
      <c r="AR445" s="206"/>
      <c r="AS445" s="206"/>
      <c r="AV445" s="206"/>
      <c r="AW445" s="206"/>
      <c r="AY445" s="206"/>
      <c r="AZ445" s="206"/>
      <c r="BD445" s="206"/>
      <c r="BF445" s="206"/>
    </row>
    <row r="446" spans="1:58" x14ac:dyDescent="0.2">
      <c r="A446" s="220"/>
      <c r="B446" s="220"/>
      <c r="C446" s="206"/>
      <c r="D446" s="206"/>
      <c r="E446" s="192"/>
      <c r="F446" s="206"/>
      <c r="G446" s="206"/>
      <c r="H446"/>
      <c r="I446" s="206"/>
      <c r="J446"/>
      <c r="K446"/>
      <c r="L446" s="206"/>
      <c r="M446" s="192"/>
      <c r="N446" s="206"/>
      <c r="O446" s="192"/>
      <c r="P446" s="192"/>
      <c r="Q446" s="206"/>
      <c r="R446" s="206"/>
      <c r="W446" s="206"/>
      <c r="X446" s="206"/>
      <c r="Y446" s="206"/>
      <c r="Z446" s="206"/>
      <c r="AA446" s="206"/>
      <c r="AB446" s="206"/>
      <c r="AC446" s="206"/>
      <c r="AD446" s="206"/>
      <c r="AL446" s="206"/>
      <c r="AM446" s="206"/>
      <c r="AN446" s="206"/>
      <c r="AO446" s="206"/>
      <c r="AP446" s="206"/>
      <c r="AQ446" s="206"/>
      <c r="AR446" s="206"/>
      <c r="AS446" s="206"/>
      <c r="AV446" s="206"/>
      <c r="AW446" s="206"/>
      <c r="AY446" s="206"/>
      <c r="AZ446" s="206"/>
      <c r="BD446" s="206"/>
      <c r="BF446" s="206"/>
    </row>
    <row r="447" spans="1:58" x14ac:dyDescent="0.2">
      <c r="A447" s="220"/>
      <c r="B447" s="220"/>
      <c r="C447" s="206"/>
      <c r="D447" s="206"/>
      <c r="E447" s="192"/>
      <c r="F447" s="206"/>
      <c r="G447" s="206"/>
      <c r="H447"/>
      <c r="I447" s="206"/>
      <c r="J447"/>
      <c r="K447"/>
      <c r="L447" s="206"/>
      <c r="M447" s="192"/>
      <c r="N447" s="206"/>
      <c r="O447" s="192"/>
      <c r="P447" s="192"/>
      <c r="Q447" s="206"/>
      <c r="R447" s="206"/>
      <c r="W447" s="206"/>
      <c r="X447" s="206"/>
      <c r="Y447" s="206"/>
      <c r="Z447" s="206"/>
      <c r="AA447" s="206"/>
      <c r="AB447" s="206"/>
      <c r="AC447" s="206"/>
      <c r="AD447" s="206"/>
      <c r="AL447" s="206"/>
      <c r="AM447" s="206"/>
      <c r="AN447" s="206"/>
      <c r="AO447" s="206"/>
      <c r="AP447" s="206"/>
      <c r="AQ447" s="206"/>
      <c r="AR447" s="206"/>
      <c r="AS447" s="206"/>
      <c r="AV447" s="206"/>
      <c r="AW447" s="206"/>
      <c r="AY447" s="206"/>
      <c r="AZ447" s="206"/>
      <c r="BD447" s="206"/>
      <c r="BF447" s="206"/>
    </row>
    <row r="448" spans="1:58" x14ac:dyDescent="0.2">
      <c r="A448" s="220"/>
      <c r="B448" s="220"/>
      <c r="C448" s="206"/>
      <c r="D448" s="206"/>
      <c r="E448" s="192"/>
      <c r="F448" s="206"/>
      <c r="G448" s="206"/>
      <c r="H448"/>
      <c r="I448" s="206"/>
      <c r="J448"/>
      <c r="K448"/>
      <c r="L448" s="206"/>
      <c r="M448" s="192"/>
      <c r="N448" s="206"/>
      <c r="O448" s="192"/>
      <c r="P448" s="192"/>
      <c r="Q448" s="206"/>
      <c r="R448" s="206"/>
      <c r="W448" s="206"/>
      <c r="X448" s="206"/>
      <c r="Y448" s="206"/>
      <c r="Z448" s="206"/>
      <c r="AA448" s="206"/>
      <c r="AB448" s="206"/>
      <c r="AC448" s="206"/>
      <c r="AD448" s="206"/>
      <c r="AL448" s="206"/>
      <c r="AM448" s="206"/>
      <c r="AN448" s="206"/>
      <c r="AO448" s="206"/>
      <c r="AP448" s="206"/>
      <c r="AQ448" s="206"/>
      <c r="AR448" s="206"/>
      <c r="AS448" s="206"/>
      <c r="AV448" s="206"/>
      <c r="AW448" s="206"/>
      <c r="AY448" s="206"/>
      <c r="AZ448" s="206"/>
      <c r="BD448" s="206"/>
      <c r="BF448" s="206"/>
    </row>
    <row r="449" spans="1:100" x14ac:dyDescent="0.2">
      <c r="A449" s="220"/>
      <c r="B449" s="220"/>
      <c r="C449" s="206"/>
      <c r="D449" s="206"/>
      <c r="E449" s="192"/>
      <c r="F449" s="206"/>
      <c r="G449" s="206"/>
      <c r="H449"/>
      <c r="I449" s="206"/>
      <c r="J449"/>
      <c r="K449"/>
      <c r="L449" s="206"/>
      <c r="M449" s="192"/>
      <c r="N449" s="206"/>
      <c r="O449" s="192"/>
      <c r="P449" s="192"/>
      <c r="Q449" s="206"/>
      <c r="R449" s="206"/>
      <c r="W449" s="206"/>
      <c r="X449" s="206"/>
      <c r="Y449" s="206"/>
      <c r="Z449" s="206"/>
      <c r="AA449" s="206"/>
      <c r="AB449" s="206"/>
      <c r="AC449" s="206"/>
      <c r="AD449" s="206"/>
      <c r="AL449" s="206"/>
      <c r="AM449" s="206"/>
      <c r="AN449" s="206"/>
      <c r="AO449" s="206"/>
      <c r="AP449" s="206"/>
      <c r="AQ449" s="206"/>
      <c r="AR449" s="206"/>
      <c r="AS449" s="206"/>
      <c r="AV449" s="206"/>
      <c r="AW449" s="206"/>
      <c r="AY449" s="206"/>
      <c r="AZ449" s="206"/>
      <c r="BD449" s="206"/>
      <c r="BF449" s="206"/>
    </row>
    <row r="450" spans="1:100" x14ac:dyDescent="0.2">
      <c r="A450" s="220"/>
      <c r="B450" s="220"/>
      <c r="C450" s="206"/>
      <c r="D450" s="206"/>
      <c r="E450" s="192"/>
      <c r="F450" s="206"/>
      <c r="G450"/>
      <c r="H450"/>
      <c r="I450" s="206"/>
      <c r="J450"/>
      <c r="K450"/>
      <c r="L450" s="206"/>
      <c r="M450" s="192"/>
      <c r="N450" s="206"/>
      <c r="O450" s="192"/>
      <c r="P450" s="192"/>
      <c r="Q450" s="206"/>
      <c r="R450" s="206"/>
      <c r="W450" s="206"/>
      <c r="X450" s="206"/>
      <c r="Y450" s="206"/>
      <c r="Z450" s="206"/>
      <c r="AA450" s="206"/>
      <c r="AB450" s="206"/>
      <c r="AC450" s="206"/>
      <c r="AD450" s="206"/>
      <c r="AL450" s="206"/>
      <c r="AM450" s="206"/>
      <c r="AN450" s="206"/>
      <c r="AO450" s="206"/>
      <c r="AP450" s="206"/>
      <c r="AQ450" s="206"/>
      <c r="AR450" s="206"/>
      <c r="AS450" s="206"/>
      <c r="AV450" s="206"/>
      <c r="AY450" s="206"/>
      <c r="AZ450" s="206"/>
      <c r="BD450" s="206"/>
      <c r="BF450" s="206"/>
    </row>
    <row r="451" spans="1:100" x14ac:dyDescent="0.2">
      <c r="A451" s="220"/>
      <c r="B451" s="220"/>
      <c r="C451" s="206"/>
      <c r="D451" s="206"/>
      <c r="E451" s="192"/>
      <c r="F451" s="206"/>
      <c r="G451" s="206"/>
      <c r="H451" s="206"/>
      <c r="I451" s="206"/>
      <c r="J451"/>
      <c r="K451"/>
      <c r="L451" s="206"/>
      <c r="M451" s="192"/>
      <c r="N451" s="206"/>
      <c r="O451" s="192"/>
      <c r="P451" s="192"/>
      <c r="Q451" s="206"/>
      <c r="R451" s="206"/>
      <c r="W451" s="206"/>
      <c r="X451" s="206"/>
      <c r="Y451" s="206"/>
      <c r="Z451" s="206"/>
      <c r="AA451" s="206"/>
      <c r="AB451" s="206"/>
      <c r="AC451" s="206"/>
      <c r="AD451" s="206"/>
      <c r="AL451" s="206"/>
      <c r="AM451" s="206"/>
      <c r="AN451" s="206"/>
      <c r="AO451" s="206"/>
      <c r="AP451" s="206"/>
      <c r="AQ451" s="206"/>
      <c r="AR451" s="206"/>
      <c r="AS451" s="206"/>
      <c r="AV451" s="206"/>
      <c r="AW451" s="206"/>
      <c r="AX451" s="206"/>
      <c r="AY451" s="206"/>
      <c r="AZ451" s="206"/>
      <c r="BD451" s="206"/>
      <c r="BF451" s="206"/>
    </row>
    <row r="452" spans="1:100" x14ac:dyDescent="0.2">
      <c r="A452" s="220"/>
      <c r="B452" s="220"/>
      <c r="C452" s="206"/>
      <c r="D452" s="206"/>
      <c r="E452" s="192"/>
      <c r="F452" s="206"/>
      <c r="G452" s="206"/>
      <c r="H452"/>
      <c r="I452" s="206"/>
      <c r="J452"/>
      <c r="K452"/>
      <c r="L452" s="206"/>
      <c r="M452" s="192"/>
      <c r="N452" s="206"/>
      <c r="O452" s="192"/>
      <c r="P452" s="192"/>
      <c r="Q452" s="206"/>
      <c r="R452" s="206"/>
      <c r="W452" s="206"/>
      <c r="X452" s="206"/>
      <c r="Y452" s="206"/>
      <c r="Z452" s="206"/>
      <c r="AA452" s="206"/>
      <c r="AB452" s="206"/>
      <c r="AC452" s="206"/>
      <c r="AD452" s="206"/>
      <c r="AL452" s="206"/>
      <c r="AM452" s="206"/>
      <c r="AN452" s="206"/>
      <c r="AO452" s="206"/>
      <c r="AP452" s="206"/>
      <c r="AQ452" s="206"/>
      <c r="AR452" s="206"/>
      <c r="AS452" s="206"/>
      <c r="AV452" s="206"/>
      <c r="AW452" s="206"/>
      <c r="AY452" s="206"/>
      <c r="AZ452" s="206"/>
      <c r="BD452" s="206"/>
      <c r="BF452" s="206"/>
    </row>
    <row r="453" spans="1:100" x14ac:dyDescent="0.2">
      <c r="A453" s="220"/>
      <c r="B453" s="220"/>
      <c r="C453" s="206"/>
      <c r="D453" s="206"/>
      <c r="E453" s="192"/>
      <c r="F453" s="206"/>
      <c r="G453" s="206"/>
      <c r="H453"/>
      <c r="I453" s="206"/>
      <c r="J453"/>
      <c r="K453"/>
      <c r="L453" s="206"/>
      <c r="M453" s="192"/>
      <c r="N453" s="206"/>
      <c r="O453" s="192"/>
      <c r="P453" s="192"/>
      <c r="Q453" s="206"/>
      <c r="R453" s="206"/>
      <c r="W453" s="206"/>
      <c r="X453" s="206"/>
      <c r="Y453" s="206"/>
      <c r="Z453" s="206"/>
      <c r="AA453" s="206"/>
      <c r="AB453" s="206"/>
      <c r="AC453" s="206"/>
      <c r="AD453" s="206"/>
      <c r="AL453" s="206"/>
      <c r="AM453" s="206"/>
      <c r="AN453" s="206"/>
      <c r="AO453" s="206"/>
      <c r="AP453" s="206"/>
      <c r="AQ453" s="206"/>
      <c r="AR453" s="206"/>
      <c r="AS453" s="206"/>
      <c r="AV453" s="206"/>
      <c r="AW453" s="206"/>
      <c r="AY453" s="206"/>
      <c r="AZ453" s="206"/>
      <c r="BD453" s="206"/>
      <c r="BF453" s="206"/>
    </row>
    <row r="454" spans="1:100" x14ac:dyDescent="0.2">
      <c r="A454" s="220"/>
      <c r="B454" s="220"/>
      <c r="C454" s="206"/>
      <c r="D454" s="206"/>
      <c r="E454" s="192"/>
      <c r="F454" s="206"/>
      <c r="G454" s="206"/>
      <c r="H454"/>
      <c r="I454" s="206"/>
      <c r="J454"/>
      <c r="K454"/>
      <c r="L454" s="206"/>
      <c r="M454" s="192"/>
      <c r="N454" s="206"/>
      <c r="O454" s="192"/>
      <c r="P454" s="192"/>
      <c r="Q454" s="206"/>
      <c r="R454" s="206"/>
      <c r="W454" s="206"/>
      <c r="X454" s="206"/>
      <c r="Y454" s="206"/>
      <c r="Z454" s="206"/>
      <c r="AA454" s="206"/>
      <c r="AB454" s="206"/>
      <c r="AC454" s="206"/>
      <c r="AD454" s="206"/>
      <c r="AL454" s="206"/>
      <c r="AM454" s="206"/>
      <c r="AN454" s="206"/>
      <c r="AO454" s="206"/>
      <c r="AP454" s="206"/>
      <c r="AQ454" s="206"/>
      <c r="AR454" s="206"/>
      <c r="AS454" s="206"/>
      <c r="AV454" s="206"/>
      <c r="AW454" s="206"/>
      <c r="AY454" s="206"/>
      <c r="AZ454" s="206"/>
      <c r="BD454" s="206"/>
      <c r="BF454" s="206"/>
    </row>
    <row r="455" spans="1:100" x14ac:dyDescent="0.2">
      <c r="A455" s="220"/>
      <c r="B455" s="220"/>
      <c r="C455" s="206"/>
      <c r="D455" s="206"/>
      <c r="E455" s="192"/>
      <c r="F455" s="206"/>
      <c r="G455" s="206"/>
      <c r="H455" s="206"/>
      <c r="I455" s="206"/>
      <c r="J455" s="206"/>
      <c r="K455" s="206"/>
      <c r="L455" s="206"/>
      <c r="M455" s="192"/>
      <c r="N455" s="206"/>
      <c r="O455" s="192"/>
      <c r="P455" s="192"/>
      <c r="Q455" s="206"/>
      <c r="R455" s="206"/>
      <c r="W455" s="206"/>
      <c r="X455" s="206"/>
      <c r="Y455" s="206"/>
      <c r="Z455" s="206"/>
      <c r="AA455" s="206"/>
      <c r="AB455" s="206"/>
      <c r="AC455" s="206"/>
      <c r="AD455" s="206"/>
      <c r="AL455" s="206"/>
      <c r="AM455" s="206"/>
      <c r="AN455" s="206"/>
      <c r="AO455" s="206"/>
      <c r="AP455" s="206"/>
      <c r="AQ455" s="206"/>
      <c r="AR455" s="206"/>
      <c r="AS455" s="206"/>
      <c r="AV455" s="206"/>
      <c r="AW455" s="206"/>
      <c r="AX455" s="206"/>
      <c r="AY455" s="206"/>
      <c r="AZ455" s="206"/>
      <c r="BA455" s="206"/>
      <c r="BB455" s="206"/>
      <c r="BD455" s="206"/>
      <c r="BF455" s="206"/>
      <c r="BG455" s="201"/>
      <c r="BJ455" s="201"/>
      <c r="BK455" s="201"/>
      <c r="BL455" s="201"/>
      <c r="BM455" s="201"/>
      <c r="BN455" s="201"/>
      <c r="BO455" s="201"/>
      <c r="BP455" s="201"/>
      <c r="BQ455" s="201"/>
      <c r="BR455" s="201"/>
      <c r="BS455" s="201"/>
      <c r="BT455" s="201"/>
      <c r="BU455" s="201"/>
      <c r="BV455" s="201"/>
      <c r="BW455" s="201"/>
      <c r="BX455" s="201"/>
      <c r="BY455" s="201"/>
      <c r="BZ455" s="201"/>
      <c r="CA455" s="201"/>
      <c r="CB455" s="201"/>
      <c r="CC455" s="201"/>
      <c r="CD455" s="201"/>
      <c r="CE455" s="201"/>
      <c r="CF455" s="201"/>
      <c r="CG455" s="201"/>
      <c r="CH455" s="201"/>
      <c r="CI455" s="201"/>
      <c r="CJ455" s="201"/>
      <c r="CK455" s="201"/>
      <c r="CL455" s="201"/>
      <c r="CM455" s="201"/>
      <c r="CN455" s="201"/>
      <c r="CO455" s="201"/>
      <c r="CP455" s="201"/>
      <c r="CQ455" s="201"/>
      <c r="CR455" s="201"/>
      <c r="CS455" s="201"/>
      <c r="CT455" s="201"/>
      <c r="CU455" s="201"/>
      <c r="CV455" s="201"/>
    </row>
    <row r="456" spans="1:100" x14ac:dyDescent="0.2">
      <c r="A456" s="220"/>
      <c r="B456" s="220"/>
      <c r="C456" s="206"/>
      <c r="D456" s="206"/>
      <c r="E456" s="192"/>
      <c r="F456" s="206"/>
      <c r="G456" s="206"/>
      <c r="H456"/>
      <c r="I456" s="206"/>
      <c r="J456"/>
      <c r="K456"/>
      <c r="L456" s="206"/>
      <c r="M456" s="192"/>
      <c r="N456" s="206"/>
      <c r="O456" s="192"/>
      <c r="P456" s="192"/>
      <c r="Q456" s="206"/>
      <c r="R456" s="206"/>
      <c r="W456" s="206"/>
      <c r="X456" s="206"/>
      <c r="Y456" s="206"/>
      <c r="Z456" s="206"/>
      <c r="AA456" s="206"/>
      <c r="AB456" s="206"/>
      <c r="AC456" s="206"/>
      <c r="AD456" s="206"/>
      <c r="AL456" s="206"/>
      <c r="AM456" s="206"/>
      <c r="AN456" s="206"/>
      <c r="AO456" s="206"/>
      <c r="AP456" s="206"/>
      <c r="AQ456" s="206"/>
      <c r="AR456" s="206"/>
      <c r="AS456" s="206"/>
      <c r="AV456" s="206"/>
      <c r="AW456" s="206"/>
      <c r="AY456" s="206"/>
      <c r="AZ456" s="206"/>
      <c r="BD456" s="206"/>
      <c r="BF456" s="206"/>
    </row>
    <row r="457" spans="1:100" x14ac:dyDescent="0.2">
      <c r="A457" s="220"/>
      <c r="B457" s="220"/>
      <c r="C457" s="206"/>
      <c r="D457" s="206"/>
      <c r="E457" s="192"/>
      <c r="F457" s="206"/>
      <c r="G457" s="206"/>
      <c r="H457"/>
      <c r="I457" s="206"/>
      <c r="J457"/>
      <c r="K457"/>
      <c r="L457" s="206"/>
      <c r="M457" s="192"/>
      <c r="N457" s="206"/>
      <c r="O457" s="192"/>
      <c r="P457" s="192"/>
      <c r="Q457" s="206"/>
      <c r="R457" s="206"/>
      <c r="W457" s="206"/>
      <c r="X457" s="206"/>
      <c r="Y457" s="206"/>
      <c r="Z457" s="206"/>
      <c r="AA457" s="206"/>
      <c r="AB457" s="206"/>
      <c r="AC457" s="206"/>
      <c r="AD457" s="206"/>
      <c r="AL457" s="206"/>
      <c r="AM457" s="206"/>
      <c r="AN457" s="206"/>
      <c r="AO457" s="206"/>
      <c r="AP457" s="206"/>
      <c r="AQ457" s="206"/>
      <c r="AR457" s="206"/>
      <c r="AS457" s="206"/>
      <c r="AV457" s="206"/>
      <c r="AW457" s="206"/>
      <c r="AY457" s="206"/>
      <c r="AZ457" s="206"/>
      <c r="BD457" s="206"/>
      <c r="BF457" s="206"/>
    </row>
    <row r="458" spans="1:100" x14ac:dyDescent="0.2">
      <c r="A458" s="220"/>
      <c r="B458" s="220"/>
      <c r="C458" s="206"/>
      <c r="D458" s="206"/>
      <c r="E458" s="192"/>
      <c r="F458" s="206"/>
      <c r="G458" s="206"/>
      <c r="H458"/>
      <c r="I458" s="206"/>
      <c r="J458"/>
      <c r="K458"/>
      <c r="L458" s="206"/>
      <c r="M458" s="192"/>
      <c r="N458" s="206"/>
      <c r="O458" s="192"/>
      <c r="P458" s="192"/>
      <c r="Q458" s="206"/>
      <c r="R458" s="206"/>
      <c r="W458" s="206"/>
      <c r="X458" s="206"/>
      <c r="Y458" s="206"/>
      <c r="Z458" s="206"/>
      <c r="AA458" s="206"/>
      <c r="AB458" s="206"/>
      <c r="AC458" s="206"/>
      <c r="AD458" s="206"/>
      <c r="AL458" s="206"/>
      <c r="AM458" s="206"/>
      <c r="AN458" s="206"/>
      <c r="AO458" s="206"/>
      <c r="AP458" s="206"/>
      <c r="AQ458" s="206"/>
      <c r="AR458" s="206"/>
      <c r="AS458" s="206"/>
      <c r="AV458" s="206"/>
      <c r="AW458" s="206"/>
      <c r="AY458" s="206"/>
      <c r="AZ458" s="206"/>
      <c r="BD458" s="206"/>
      <c r="BF458" s="206"/>
    </row>
    <row r="459" spans="1:100" x14ac:dyDescent="0.2">
      <c r="A459" s="220"/>
      <c r="B459" s="220"/>
      <c r="C459" s="206"/>
      <c r="D459" s="206"/>
      <c r="E459" s="192"/>
      <c r="F459" s="206"/>
      <c r="G459" s="206"/>
      <c r="H459"/>
      <c r="I459" s="206"/>
      <c r="J459"/>
      <c r="K459"/>
      <c r="L459" s="206"/>
      <c r="M459" s="192"/>
      <c r="N459" s="206"/>
      <c r="O459" s="192"/>
      <c r="P459" s="192"/>
      <c r="Q459" s="206"/>
      <c r="R459" s="206"/>
      <c r="W459" s="206"/>
      <c r="X459" s="206"/>
      <c r="Y459" s="206"/>
      <c r="Z459" s="206"/>
      <c r="AA459" s="206"/>
      <c r="AB459" s="206"/>
      <c r="AC459" s="206"/>
      <c r="AD459" s="206"/>
      <c r="AL459" s="206"/>
      <c r="AM459" s="206"/>
      <c r="AN459" s="206"/>
      <c r="AO459" s="206"/>
      <c r="AP459" s="206"/>
      <c r="AQ459" s="206"/>
      <c r="AR459" s="206"/>
      <c r="AS459" s="206"/>
      <c r="AV459" s="206"/>
      <c r="AW459" s="206"/>
      <c r="AY459" s="206"/>
      <c r="AZ459" s="206"/>
      <c r="BD459" s="206"/>
      <c r="BF459" s="206"/>
    </row>
    <row r="460" spans="1:100" x14ac:dyDescent="0.2">
      <c r="A460" s="220"/>
      <c r="B460" s="220"/>
      <c r="C460" s="206"/>
      <c r="D460" s="206"/>
      <c r="E460" s="192"/>
      <c r="F460" s="206"/>
      <c r="G460" s="206"/>
      <c r="H460"/>
      <c r="I460" s="206"/>
      <c r="J460"/>
      <c r="K460"/>
      <c r="L460" s="206"/>
      <c r="M460" s="192"/>
      <c r="N460" s="206"/>
      <c r="O460" s="192"/>
      <c r="P460" s="192"/>
      <c r="Q460" s="206"/>
      <c r="R460" s="206"/>
      <c r="W460" s="206"/>
      <c r="X460" s="206"/>
      <c r="Y460" s="206"/>
      <c r="Z460" s="206"/>
      <c r="AA460" s="206"/>
      <c r="AB460" s="206"/>
      <c r="AC460" s="206"/>
      <c r="AD460" s="206"/>
      <c r="AL460" s="206"/>
      <c r="AM460" s="206"/>
      <c r="AN460" s="206"/>
      <c r="AO460" s="206"/>
      <c r="AP460" s="206"/>
      <c r="AQ460" s="206"/>
      <c r="AR460" s="206"/>
      <c r="AS460" s="206"/>
      <c r="AV460" s="206"/>
      <c r="AW460" s="206"/>
      <c r="AY460" s="206"/>
      <c r="AZ460" s="206"/>
      <c r="BD460" s="206"/>
      <c r="BF460" s="206"/>
    </row>
    <row r="461" spans="1:100" x14ac:dyDescent="0.2">
      <c r="A461" s="220"/>
      <c r="B461" s="220"/>
      <c r="C461" s="206"/>
      <c r="D461" s="206"/>
      <c r="E461" s="192"/>
      <c r="F461" s="206"/>
      <c r="G461"/>
      <c r="H461"/>
      <c r="I461" s="206"/>
      <c r="J461"/>
      <c r="K461"/>
      <c r="L461" s="206"/>
      <c r="M461" s="192"/>
      <c r="N461" s="206"/>
      <c r="O461" s="192"/>
      <c r="P461" s="192"/>
      <c r="Q461" s="206"/>
      <c r="R461" s="206"/>
      <c r="W461" s="206"/>
      <c r="X461" s="206"/>
      <c r="Y461" s="206"/>
      <c r="Z461" s="206"/>
      <c r="AA461" s="206"/>
      <c r="AB461" s="206"/>
      <c r="AC461" s="206"/>
      <c r="AD461" s="206"/>
      <c r="AL461" s="206"/>
      <c r="AM461" s="206"/>
      <c r="AN461" s="206"/>
      <c r="AO461" s="206"/>
      <c r="AP461" s="206"/>
      <c r="AQ461" s="206"/>
      <c r="AR461" s="206"/>
      <c r="AS461" s="206"/>
      <c r="AV461" s="206"/>
      <c r="AY461" s="206"/>
      <c r="AZ461" s="206"/>
      <c r="BD461" s="206"/>
      <c r="BF461" s="206"/>
    </row>
    <row r="462" spans="1:100" x14ac:dyDescent="0.2">
      <c r="A462" s="220"/>
      <c r="B462" s="220"/>
      <c r="C462" s="206"/>
      <c r="D462" s="206"/>
      <c r="E462" s="192"/>
      <c r="F462" s="206"/>
      <c r="G462" s="206"/>
      <c r="H462"/>
      <c r="I462" s="206"/>
      <c r="J462"/>
      <c r="K462"/>
      <c r="L462" s="206"/>
      <c r="M462" s="192"/>
      <c r="N462" s="206"/>
      <c r="O462" s="192"/>
      <c r="P462" s="192"/>
      <c r="Q462" s="206"/>
      <c r="R462" s="206"/>
      <c r="W462" s="206"/>
      <c r="X462" s="206"/>
      <c r="Y462" s="206"/>
      <c r="Z462" s="206"/>
      <c r="AA462" s="206"/>
      <c r="AB462" s="206"/>
      <c r="AC462" s="206"/>
      <c r="AD462" s="206"/>
      <c r="AL462" s="206"/>
      <c r="AM462" s="206"/>
      <c r="AN462" s="206"/>
      <c r="AO462" s="206"/>
      <c r="AP462" s="206"/>
      <c r="AQ462" s="206"/>
      <c r="AR462" s="206"/>
      <c r="AS462" s="206"/>
      <c r="AV462" s="206"/>
      <c r="AW462" s="206"/>
      <c r="AY462" s="206"/>
      <c r="AZ462" s="206"/>
      <c r="BD462" s="206"/>
      <c r="BF462" s="206"/>
    </row>
    <row r="463" spans="1:100" x14ac:dyDescent="0.2">
      <c r="A463" s="220"/>
      <c r="B463" s="220"/>
      <c r="C463" s="206"/>
      <c r="D463" s="206"/>
      <c r="E463" s="192"/>
      <c r="F463" s="206"/>
      <c r="G463"/>
      <c r="H463"/>
      <c r="I463" s="206"/>
      <c r="J463"/>
      <c r="K463"/>
      <c r="L463" s="206"/>
      <c r="M463" s="192"/>
      <c r="N463" s="206"/>
      <c r="O463" s="192"/>
      <c r="P463" s="192"/>
      <c r="Q463" s="206"/>
      <c r="R463" s="206"/>
      <c r="W463" s="206"/>
      <c r="X463" s="206"/>
      <c r="Y463" s="206"/>
      <c r="Z463" s="206"/>
      <c r="AA463" s="206"/>
      <c r="AB463" s="206"/>
      <c r="AC463" s="206"/>
      <c r="AD463" s="206"/>
      <c r="AL463" s="206"/>
      <c r="AM463" s="206"/>
      <c r="AN463" s="206"/>
      <c r="AO463" s="206"/>
      <c r="AP463" s="206"/>
      <c r="AQ463" s="206"/>
      <c r="AR463" s="206"/>
      <c r="AS463" s="206"/>
      <c r="AV463" s="206"/>
      <c r="AY463" s="206"/>
      <c r="AZ463" s="206"/>
      <c r="BD463" s="206"/>
      <c r="BF463" s="206"/>
    </row>
    <row r="464" spans="1:100" x14ac:dyDescent="0.2">
      <c r="A464" s="220"/>
      <c r="B464" s="220"/>
      <c r="C464" s="206"/>
      <c r="D464" s="206"/>
      <c r="E464" s="192"/>
      <c r="F464" s="206"/>
      <c r="G464" s="206"/>
      <c r="H464"/>
      <c r="I464" s="206"/>
      <c r="J464"/>
      <c r="K464"/>
      <c r="L464" s="206"/>
      <c r="M464" s="192"/>
      <c r="N464" s="206"/>
      <c r="O464" s="192"/>
      <c r="P464" s="192"/>
      <c r="Q464" s="206"/>
      <c r="R464" s="206"/>
      <c r="W464" s="206"/>
      <c r="X464" s="206"/>
      <c r="Y464" s="206"/>
      <c r="Z464" s="206"/>
      <c r="AA464" s="206"/>
      <c r="AB464" s="206"/>
      <c r="AC464" s="206"/>
      <c r="AD464" s="206"/>
      <c r="AL464" s="206"/>
      <c r="AM464" s="206"/>
      <c r="AN464" s="206"/>
      <c r="AO464" s="206"/>
      <c r="AP464" s="206"/>
      <c r="AQ464" s="206"/>
      <c r="AR464" s="206"/>
      <c r="AS464" s="206"/>
      <c r="AV464" s="206"/>
      <c r="AW464" s="206"/>
      <c r="AY464" s="206"/>
      <c r="AZ464" s="206"/>
      <c r="BD464" s="206"/>
      <c r="BF464" s="206"/>
    </row>
    <row r="465" spans="1:100" x14ac:dyDescent="0.2">
      <c r="A465" s="220"/>
      <c r="B465" s="220"/>
      <c r="C465" s="206"/>
      <c r="D465" s="206"/>
      <c r="E465" s="192"/>
      <c r="F465" s="206"/>
      <c r="G465" s="206"/>
      <c r="H465"/>
      <c r="I465" s="206"/>
      <c r="J465"/>
      <c r="K465"/>
      <c r="L465" s="206"/>
      <c r="M465" s="192"/>
      <c r="N465" s="206"/>
      <c r="O465" s="192"/>
      <c r="P465" s="192"/>
      <c r="Q465" s="206"/>
      <c r="R465" s="206"/>
      <c r="W465" s="206"/>
      <c r="X465" s="206"/>
      <c r="Y465" s="206"/>
      <c r="Z465" s="206"/>
      <c r="AA465" s="206"/>
      <c r="AB465" s="206"/>
      <c r="AC465" s="206"/>
      <c r="AD465" s="206"/>
      <c r="AL465" s="206"/>
      <c r="AM465" s="206"/>
      <c r="AN465" s="206"/>
      <c r="AO465" s="206"/>
      <c r="AP465" s="206"/>
      <c r="AQ465" s="206"/>
      <c r="AR465" s="206"/>
      <c r="AS465" s="206"/>
      <c r="AV465" s="206"/>
      <c r="AW465" s="206"/>
      <c r="AY465" s="206"/>
      <c r="AZ465" s="206"/>
      <c r="BD465" s="206"/>
      <c r="BF465" s="206"/>
    </row>
    <row r="466" spans="1:100" x14ac:dyDescent="0.2">
      <c r="A466" s="220"/>
      <c r="B466" s="220"/>
      <c r="C466" s="206"/>
      <c r="D466" s="206"/>
      <c r="E466" s="192"/>
      <c r="F466" s="206"/>
      <c r="G466" s="206"/>
      <c r="H466"/>
      <c r="I466" s="206"/>
      <c r="J466"/>
      <c r="K466"/>
      <c r="L466" s="206"/>
      <c r="M466" s="192"/>
      <c r="N466" s="206"/>
      <c r="O466" s="192"/>
      <c r="P466" s="192"/>
      <c r="Q466" s="206"/>
      <c r="R466" s="206"/>
      <c r="W466" s="206"/>
      <c r="X466" s="206"/>
      <c r="Y466" s="206"/>
      <c r="Z466" s="206"/>
      <c r="AA466" s="206"/>
      <c r="AB466" s="206"/>
      <c r="AC466" s="206"/>
      <c r="AD466" s="206"/>
      <c r="AL466" s="206"/>
      <c r="AM466" s="206"/>
      <c r="AN466" s="206"/>
      <c r="AO466" s="206"/>
      <c r="AP466" s="206"/>
      <c r="AQ466" s="206"/>
      <c r="AR466" s="206"/>
      <c r="AS466" s="206"/>
      <c r="AV466" s="206"/>
      <c r="AW466" s="206"/>
      <c r="AY466" s="206"/>
      <c r="AZ466" s="206"/>
      <c r="BD466" s="206"/>
      <c r="BF466" s="206"/>
    </row>
    <row r="467" spans="1:100" x14ac:dyDescent="0.2">
      <c r="A467" s="220"/>
      <c r="B467" s="220"/>
      <c r="C467" s="206"/>
      <c r="D467" s="206"/>
      <c r="E467" s="192"/>
      <c r="F467" s="206"/>
      <c r="G467" s="206"/>
      <c r="H467" s="206"/>
      <c r="I467" s="206"/>
      <c r="J467"/>
      <c r="K467"/>
      <c r="L467" s="206"/>
      <c r="M467" s="192"/>
      <c r="N467" s="206"/>
      <c r="O467" s="192"/>
      <c r="P467" s="192"/>
      <c r="Q467" s="206"/>
      <c r="R467" s="206"/>
      <c r="W467" s="206"/>
      <c r="X467" s="206"/>
      <c r="Y467" s="206"/>
      <c r="Z467" s="206"/>
      <c r="AA467" s="206"/>
      <c r="AB467" s="206"/>
      <c r="AC467" s="206"/>
      <c r="AD467" s="206"/>
      <c r="AL467" s="206"/>
      <c r="AM467" s="206"/>
      <c r="AN467" s="206"/>
      <c r="AO467" s="206"/>
      <c r="AP467" s="206"/>
      <c r="AQ467" s="206"/>
      <c r="AR467" s="206"/>
      <c r="AS467" s="206"/>
      <c r="AV467" s="206"/>
      <c r="AW467" s="206"/>
      <c r="AX467" s="206"/>
      <c r="AY467" s="206"/>
      <c r="AZ467" s="206"/>
      <c r="BD467" s="206"/>
      <c r="BF467" s="206"/>
    </row>
    <row r="468" spans="1:100" x14ac:dyDescent="0.2">
      <c r="A468" s="220"/>
      <c r="B468" s="220"/>
      <c r="C468" s="206"/>
      <c r="D468" s="206"/>
      <c r="E468" s="192"/>
      <c r="F468" s="206"/>
      <c r="G468" s="206"/>
      <c r="H468"/>
      <c r="I468" s="206"/>
      <c r="J468"/>
      <c r="K468"/>
      <c r="L468" s="206"/>
      <c r="M468" s="192"/>
      <c r="N468" s="206"/>
      <c r="O468" s="192"/>
      <c r="P468" s="192"/>
      <c r="Q468" s="206"/>
      <c r="R468" s="206"/>
      <c r="W468" s="206"/>
      <c r="X468" s="206"/>
      <c r="Y468" s="206"/>
      <c r="Z468" s="206"/>
      <c r="AA468" s="206"/>
      <c r="AB468" s="206"/>
      <c r="AC468" s="206"/>
      <c r="AD468" s="206"/>
      <c r="AL468" s="206"/>
      <c r="AM468" s="206"/>
      <c r="AN468" s="206"/>
      <c r="AO468" s="206"/>
      <c r="AP468" s="206"/>
      <c r="AQ468" s="206"/>
      <c r="AR468" s="206"/>
      <c r="AS468" s="206"/>
      <c r="AV468" s="206"/>
      <c r="AW468" s="206"/>
      <c r="AY468" s="206"/>
      <c r="AZ468" s="206"/>
      <c r="BD468" s="206"/>
      <c r="BF468" s="206"/>
    </row>
    <row r="469" spans="1:100" x14ac:dyDescent="0.2">
      <c r="A469" s="220"/>
      <c r="B469" s="220"/>
      <c r="C469" s="206"/>
      <c r="D469" s="206"/>
      <c r="E469" s="192"/>
      <c r="F469" s="206"/>
      <c r="G469" s="206"/>
      <c r="H469"/>
      <c r="I469" s="206"/>
      <c r="J469"/>
      <c r="K469"/>
      <c r="L469" s="206"/>
      <c r="M469" s="192"/>
      <c r="N469" s="206"/>
      <c r="O469" s="192"/>
      <c r="P469" s="192"/>
      <c r="Q469" s="206"/>
      <c r="R469" s="206"/>
      <c r="W469" s="206"/>
      <c r="X469" s="206"/>
      <c r="Y469" s="206"/>
      <c r="Z469" s="206"/>
      <c r="AA469" s="206"/>
      <c r="AB469" s="206"/>
      <c r="AC469" s="206"/>
      <c r="AD469" s="206"/>
      <c r="AL469" s="206"/>
      <c r="AM469" s="206"/>
      <c r="AN469" s="206"/>
      <c r="AO469" s="206"/>
      <c r="AP469" s="206"/>
      <c r="AQ469" s="206"/>
      <c r="AR469" s="206"/>
      <c r="AS469" s="206"/>
      <c r="AV469" s="206"/>
      <c r="AW469" s="206"/>
      <c r="AY469" s="206"/>
      <c r="AZ469" s="206"/>
      <c r="BD469" s="206"/>
      <c r="BF469" s="206"/>
    </row>
    <row r="470" spans="1:100" x14ac:dyDescent="0.2">
      <c r="A470" s="220"/>
      <c r="B470" s="220"/>
      <c r="C470" s="206"/>
      <c r="D470" s="206"/>
      <c r="E470" s="192"/>
      <c r="F470" s="206"/>
      <c r="G470" s="206"/>
      <c r="H470"/>
      <c r="I470" s="206"/>
      <c r="J470"/>
      <c r="K470"/>
      <c r="L470" s="206"/>
      <c r="M470" s="192"/>
      <c r="N470" s="206"/>
      <c r="O470" s="192"/>
      <c r="P470" s="192"/>
      <c r="Q470" s="206"/>
      <c r="R470" s="206"/>
      <c r="W470" s="206"/>
      <c r="X470" s="206"/>
      <c r="Y470" s="206"/>
      <c r="Z470" s="206"/>
      <c r="AA470" s="206"/>
      <c r="AB470" s="206"/>
      <c r="AC470" s="206"/>
      <c r="AD470" s="206"/>
      <c r="AL470" s="206"/>
      <c r="AM470" s="206"/>
      <c r="AN470" s="206"/>
      <c r="AO470" s="206"/>
      <c r="AP470" s="206"/>
      <c r="AQ470" s="206"/>
      <c r="AR470" s="206"/>
      <c r="AS470" s="206"/>
      <c r="AV470" s="206"/>
      <c r="AW470" s="206"/>
      <c r="AY470" s="206"/>
      <c r="AZ470" s="206"/>
      <c r="BD470" s="206"/>
      <c r="BF470" s="206"/>
    </row>
    <row r="471" spans="1:100" x14ac:dyDescent="0.2">
      <c r="A471" s="220"/>
      <c r="B471" s="220"/>
      <c r="C471" s="206"/>
      <c r="D471" s="206"/>
      <c r="E471" s="192"/>
      <c r="F471" s="206"/>
      <c r="G471" s="206"/>
      <c r="H471"/>
      <c r="I471" s="206"/>
      <c r="J471"/>
      <c r="K471"/>
      <c r="L471" s="206"/>
      <c r="M471" s="192"/>
      <c r="N471" s="206"/>
      <c r="O471" s="192"/>
      <c r="P471" s="192"/>
      <c r="Q471" s="206"/>
      <c r="R471" s="206"/>
      <c r="W471" s="206"/>
      <c r="X471" s="206"/>
      <c r="Y471" s="206"/>
      <c r="Z471" s="206"/>
      <c r="AA471" s="206"/>
      <c r="AB471" s="206"/>
      <c r="AC471" s="206"/>
      <c r="AD471" s="206"/>
      <c r="AL471" s="206"/>
      <c r="AM471" s="206"/>
      <c r="AN471" s="206"/>
      <c r="AO471" s="206"/>
      <c r="AP471" s="206"/>
      <c r="AQ471" s="206"/>
      <c r="AR471" s="206"/>
      <c r="AS471" s="206"/>
      <c r="AV471" s="206"/>
      <c r="AW471" s="206"/>
      <c r="AY471" s="206"/>
      <c r="AZ471" s="206"/>
      <c r="BD471" s="206"/>
      <c r="BF471" s="206"/>
    </row>
    <row r="472" spans="1:100" x14ac:dyDescent="0.2">
      <c r="A472" s="220"/>
      <c r="B472" s="220"/>
      <c r="C472" s="206"/>
      <c r="D472" s="206"/>
      <c r="E472" s="192"/>
      <c r="F472" s="206"/>
      <c r="G472" s="206"/>
      <c r="H472"/>
      <c r="I472" s="206"/>
      <c r="J472"/>
      <c r="K472"/>
      <c r="L472" s="206"/>
      <c r="M472" s="192"/>
      <c r="N472" s="206"/>
      <c r="O472" s="192"/>
      <c r="P472" s="192"/>
      <c r="Q472" s="206"/>
      <c r="R472" s="206"/>
      <c r="W472" s="206"/>
      <c r="X472" s="206"/>
      <c r="Y472" s="206"/>
      <c r="Z472" s="206"/>
      <c r="AA472" s="206"/>
      <c r="AB472" s="206"/>
      <c r="AC472" s="206"/>
      <c r="AD472" s="206"/>
      <c r="AL472" s="206"/>
      <c r="AM472" s="206"/>
      <c r="AN472" s="206"/>
      <c r="AO472" s="206"/>
      <c r="AP472" s="206"/>
      <c r="AQ472" s="206"/>
      <c r="AR472" s="206"/>
      <c r="AS472" s="206"/>
      <c r="AV472" s="206"/>
      <c r="AW472" s="206"/>
      <c r="AY472" s="206"/>
      <c r="AZ472" s="206"/>
      <c r="BD472" s="206"/>
      <c r="BF472" s="206"/>
    </row>
    <row r="473" spans="1:100" x14ac:dyDescent="0.2">
      <c r="A473" s="220"/>
      <c r="B473" s="220"/>
      <c r="C473" s="206"/>
      <c r="D473" s="206"/>
      <c r="E473" s="192"/>
      <c r="F473" s="206"/>
      <c r="G473" s="206"/>
      <c r="H473" s="206"/>
      <c r="I473" s="206"/>
      <c r="J473" s="206"/>
      <c r="K473" s="206"/>
      <c r="L473" s="206"/>
      <c r="M473" s="192"/>
      <c r="N473" s="206"/>
      <c r="O473" s="192"/>
      <c r="P473" s="192"/>
      <c r="Q473" s="206"/>
      <c r="R473" s="206"/>
      <c r="W473" s="206"/>
      <c r="X473" s="206"/>
      <c r="Y473" s="206"/>
      <c r="Z473" s="206"/>
      <c r="AA473" s="206"/>
      <c r="AB473" s="206"/>
      <c r="AC473" s="206"/>
      <c r="AD473" s="206"/>
      <c r="AL473" s="206"/>
      <c r="AM473" s="206"/>
      <c r="AN473" s="206"/>
      <c r="AO473" s="206"/>
      <c r="AP473" s="206"/>
      <c r="AQ473" s="206"/>
      <c r="AR473" s="206"/>
      <c r="AS473" s="206"/>
      <c r="AV473" s="206"/>
      <c r="AW473" s="206"/>
      <c r="AX473" s="206"/>
      <c r="AY473" s="206"/>
      <c r="AZ473" s="206"/>
      <c r="BA473" s="206"/>
      <c r="BB473" s="206"/>
      <c r="BD473" s="206"/>
      <c r="BF473" s="206"/>
      <c r="BG473" s="201"/>
      <c r="BH473" s="201"/>
      <c r="BJ473" s="201"/>
      <c r="BK473" s="201"/>
      <c r="BL473" s="201"/>
      <c r="BM473" s="201"/>
      <c r="BN473" s="201"/>
      <c r="BO473" s="201"/>
      <c r="BP473" s="201"/>
      <c r="BQ473" s="201"/>
      <c r="BR473" s="201"/>
      <c r="BS473" s="201"/>
      <c r="BT473" s="201"/>
      <c r="BU473" s="201"/>
      <c r="BV473" s="201"/>
      <c r="BW473" s="201"/>
      <c r="BX473" s="201"/>
      <c r="BY473" s="201"/>
      <c r="BZ473" s="201"/>
      <c r="CA473" s="201"/>
      <c r="CB473" s="201"/>
      <c r="CC473" s="201"/>
      <c r="CD473" s="201"/>
      <c r="CE473" s="201"/>
      <c r="CF473" s="201"/>
      <c r="CG473" s="201"/>
      <c r="CH473" s="201"/>
      <c r="CI473" s="201"/>
      <c r="CJ473" s="201"/>
      <c r="CK473" s="201"/>
      <c r="CL473" s="201"/>
      <c r="CM473" s="201"/>
      <c r="CN473" s="201"/>
      <c r="CO473" s="201"/>
      <c r="CP473" s="201"/>
      <c r="CQ473" s="201"/>
      <c r="CR473" s="201"/>
      <c r="CS473" s="201"/>
      <c r="CT473" s="201"/>
      <c r="CU473" s="201"/>
      <c r="CV473" s="201"/>
    </row>
    <row r="474" spans="1:100" x14ac:dyDescent="0.2">
      <c r="A474" s="220"/>
      <c r="B474" s="220"/>
      <c r="C474" s="206"/>
      <c r="D474" s="206"/>
      <c r="E474" s="192"/>
      <c r="F474" s="206"/>
      <c r="G474"/>
      <c r="H474"/>
      <c r="I474" s="206"/>
      <c r="J474"/>
      <c r="K474"/>
      <c r="L474" s="206"/>
      <c r="M474" s="192"/>
      <c r="N474" s="206"/>
      <c r="O474" s="192"/>
      <c r="P474" s="192"/>
      <c r="Q474" s="206"/>
      <c r="R474" s="206"/>
      <c r="W474" s="206"/>
      <c r="X474" s="206"/>
      <c r="Y474" s="206"/>
      <c r="Z474" s="206"/>
      <c r="AA474" s="206"/>
      <c r="AB474" s="206"/>
      <c r="AC474" s="206"/>
      <c r="AD474" s="206"/>
      <c r="AL474" s="206"/>
      <c r="AM474" s="206"/>
      <c r="AN474" s="206"/>
      <c r="AO474" s="206"/>
      <c r="AP474" s="206"/>
      <c r="AQ474" s="206"/>
      <c r="AR474" s="206"/>
      <c r="AS474" s="206"/>
      <c r="AV474" s="206"/>
      <c r="AY474" s="206"/>
      <c r="AZ474" s="206"/>
      <c r="BD474" s="206"/>
      <c r="BF474" s="206"/>
    </row>
    <row r="475" spans="1:100" x14ac:dyDescent="0.2">
      <c r="A475" s="220"/>
      <c r="B475" s="220"/>
      <c r="C475" s="206"/>
      <c r="D475" s="206"/>
      <c r="E475" s="192"/>
      <c r="F475" s="206"/>
      <c r="G475" s="206"/>
      <c r="H475"/>
      <c r="I475" s="206"/>
      <c r="J475"/>
      <c r="K475"/>
      <c r="L475" s="206"/>
      <c r="M475" s="192"/>
      <c r="N475" s="206"/>
      <c r="O475" s="192"/>
      <c r="P475" s="192"/>
      <c r="Q475" s="206"/>
      <c r="R475" s="206"/>
      <c r="W475" s="206"/>
      <c r="X475" s="206"/>
      <c r="Y475" s="206"/>
      <c r="Z475" s="206"/>
      <c r="AA475" s="206"/>
      <c r="AB475" s="206"/>
      <c r="AC475" s="206"/>
      <c r="AD475" s="206"/>
      <c r="AL475" s="206"/>
      <c r="AM475" s="206"/>
      <c r="AN475" s="206"/>
      <c r="AO475" s="206"/>
      <c r="AP475" s="206"/>
      <c r="AQ475" s="206"/>
      <c r="AR475" s="206"/>
      <c r="AS475" s="206"/>
      <c r="AV475" s="206"/>
      <c r="AW475" s="206"/>
      <c r="AY475" s="206"/>
      <c r="AZ475" s="206"/>
      <c r="BD475" s="206"/>
      <c r="BF475" s="206"/>
    </row>
    <row r="476" spans="1:100" x14ac:dyDescent="0.2">
      <c r="A476" s="220"/>
      <c r="B476" s="220"/>
      <c r="C476" s="206"/>
      <c r="D476" s="206"/>
      <c r="E476" s="192"/>
      <c r="F476" s="206"/>
      <c r="G476" s="206"/>
      <c r="H476"/>
      <c r="I476" s="206"/>
      <c r="J476"/>
      <c r="K476"/>
      <c r="L476" s="206"/>
      <c r="M476" s="192"/>
      <c r="N476" s="206"/>
      <c r="O476" s="192"/>
      <c r="P476" s="192"/>
      <c r="Q476" s="206"/>
      <c r="R476" s="206"/>
      <c r="W476" s="206"/>
      <c r="X476" s="206"/>
      <c r="Y476" s="206"/>
      <c r="Z476" s="206"/>
      <c r="AA476" s="206"/>
      <c r="AB476" s="206"/>
      <c r="AC476" s="206"/>
      <c r="AD476" s="206"/>
      <c r="AL476" s="206"/>
      <c r="AM476" s="206"/>
      <c r="AN476" s="206"/>
      <c r="AO476" s="206"/>
      <c r="AP476" s="206"/>
      <c r="AQ476" s="206"/>
      <c r="AR476" s="206"/>
      <c r="AS476" s="206"/>
      <c r="AV476" s="206"/>
      <c r="AW476" s="206"/>
      <c r="AY476" s="206"/>
      <c r="AZ476" s="206"/>
      <c r="BD476" s="206"/>
      <c r="BF476" s="206"/>
    </row>
    <row r="477" spans="1:100" x14ac:dyDescent="0.2">
      <c r="A477" s="220"/>
      <c r="B477" s="220"/>
      <c r="C477" s="206"/>
      <c r="D477" s="206"/>
      <c r="E477" s="192"/>
      <c r="F477" s="206"/>
      <c r="G477" s="206"/>
      <c r="H477"/>
      <c r="I477" s="206"/>
      <c r="J477"/>
      <c r="K477"/>
      <c r="L477" s="206"/>
      <c r="M477" s="192"/>
      <c r="N477" s="206"/>
      <c r="O477" s="192"/>
      <c r="P477" s="192"/>
      <c r="Q477" s="206"/>
      <c r="R477" s="206"/>
      <c r="W477" s="206"/>
      <c r="X477" s="206"/>
      <c r="Y477" s="206"/>
      <c r="Z477" s="206"/>
      <c r="AA477" s="206"/>
      <c r="AB477" s="206"/>
      <c r="AC477" s="206"/>
      <c r="AD477" s="206"/>
      <c r="AL477" s="206"/>
      <c r="AM477" s="206"/>
      <c r="AN477" s="206"/>
      <c r="AO477" s="206"/>
      <c r="AP477" s="206"/>
      <c r="AQ477" s="206"/>
      <c r="AR477" s="206"/>
      <c r="AS477" s="206"/>
      <c r="AV477" s="206"/>
      <c r="AW477" s="206"/>
      <c r="AY477" s="206"/>
      <c r="AZ477" s="206"/>
      <c r="BD477" s="206"/>
      <c r="BF477" s="206"/>
    </row>
    <row r="478" spans="1:100" x14ac:dyDescent="0.2">
      <c r="A478" s="220"/>
      <c r="B478" s="220"/>
      <c r="C478" s="206"/>
      <c r="D478" s="206"/>
      <c r="E478" s="192"/>
      <c r="F478" s="206"/>
      <c r="G478" s="206"/>
      <c r="H478"/>
      <c r="I478" s="206"/>
      <c r="J478"/>
      <c r="K478"/>
      <c r="L478" s="206"/>
      <c r="M478" s="192"/>
      <c r="N478" s="206"/>
      <c r="O478" s="192"/>
      <c r="P478" s="192"/>
      <c r="Q478" s="206"/>
      <c r="R478" s="206"/>
      <c r="W478" s="206"/>
      <c r="X478" s="206"/>
      <c r="Y478" s="206"/>
      <c r="Z478" s="206"/>
      <c r="AA478" s="206"/>
      <c r="AB478" s="206"/>
      <c r="AC478" s="206"/>
      <c r="AD478" s="206"/>
      <c r="AL478" s="206"/>
      <c r="AM478" s="206"/>
      <c r="AN478" s="206"/>
      <c r="AO478" s="206"/>
      <c r="AP478" s="206"/>
      <c r="AQ478" s="206"/>
      <c r="AR478" s="206"/>
      <c r="AS478" s="206"/>
      <c r="AV478" s="206"/>
      <c r="AW478" s="206"/>
      <c r="AY478" s="206"/>
      <c r="AZ478" s="206"/>
      <c r="BD478" s="206"/>
      <c r="BF478" s="206"/>
    </row>
    <row r="479" spans="1:100" x14ac:dyDescent="0.2">
      <c r="A479" s="220"/>
      <c r="B479" s="220"/>
      <c r="C479" s="206"/>
      <c r="D479" s="206"/>
      <c r="E479" s="192"/>
      <c r="F479" s="206"/>
      <c r="G479"/>
      <c r="H479"/>
      <c r="I479" s="206"/>
      <c r="J479"/>
      <c r="K479"/>
      <c r="L479" s="206"/>
      <c r="M479" s="192"/>
      <c r="N479" s="206"/>
      <c r="O479" s="192"/>
      <c r="P479" s="192"/>
      <c r="Q479" s="206"/>
      <c r="R479" s="206"/>
      <c r="W479" s="206"/>
      <c r="X479" s="206"/>
      <c r="Y479" s="206"/>
      <c r="Z479" s="206"/>
      <c r="AA479" s="206"/>
      <c r="AB479" s="206"/>
      <c r="AC479" s="206"/>
      <c r="AD479" s="206"/>
      <c r="AL479" s="206"/>
      <c r="AM479" s="206"/>
      <c r="AN479" s="206"/>
      <c r="AO479" s="206"/>
      <c r="AP479" s="206"/>
      <c r="AQ479" s="206"/>
      <c r="AR479" s="206"/>
      <c r="AS479" s="206"/>
      <c r="AV479" s="206"/>
      <c r="AY479" s="206"/>
      <c r="AZ479" s="206"/>
      <c r="BD479" s="206"/>
      <c r="BF479" s="206"/>
    </row>
    <row r="480" spans="1:100" x14ac:dyDescent="0.2">
      <c r="A480" s="220"/>
      <c r="B480" s="220"/>
      <c r="C480" s="206"/>
      <c r="D480" s="206"/>
      <c r="E480" s="192"/>
      <c r="F480" s="206"/>
      <c r="G480" s="206"/>
      <c r="H480"/>
      <c r="I480" s="206"/>
      <c r="J480"/>
      <c r="K480"/>
      <c r="L480" s="206"/>
      <c r="M480" s="192"/>
      <c r="N480" s="206"/>
      <c r="O480" s="192"/>
      <c r="P480" s="192"/>
      <c r="Q480" s="206"/>
      <c r="R480" s="206"/>
      <c r="W480" s="206"/>
      <c r="X480" s="206"/>
      <c r="Y480" s="206"/>
      <c r="Z480" s="206"/>
      <c r="AA480" s="206"/>
      <c r="AB480" s="206"/>
      <c r="AC480" s="206"/>
      <c r="AD480" s="206"/>
      <c r="AL480" s="206"/>
      <c r="AM480" s="206"/>
      <c r="AN480" s="206"/>
      <c r="AO480" s="206"/>
      <c r="AP480" s="206"/>
      <c r="AQ480" s="206"/>
      <c r="AR480" s="206"/>
      <c r="AS480" s="206"/>
      <c r="AV480" s="206"/>
      <c r="AW480" s="206"/>
      <c r="AY480" s="206"/>
      <c r="AZ480" s="206"/>
      <c r="BD480" s="206"/>
      <c r="BF480" s="206"/>
    </row>
    <row r="481" spans="1:100" x14ac:dyDescent="0.2">
      <c r="A481" s="220"/>
      <c r="B481" s="220"/>
      <c r="C481" s="206"/>
      <c r="D481" s="206"/>
      <c r="E481" s="192"/>
      <c r="F481" s="206"/>
      <c r="G481" s="206"/>
      <c r="H481"/>
      <c r="I481" s="206"/>
      <c r="J481"/>
      <c r="K481"/>
      <c r="L481" s="206"/>
      <c r="M481" s="192"/>
      <c r="N481" s="206"/>
      <c r="O481" s="192"/>
      <c r="P481" s="192"/>
      <c r="Q481" s="206"/>
      <c r="R481" s="206"/>
      <c r="W481" s="206"/>
      <c r="X481" s="206"/>
      <c r="Y481" s="206"/>
      <c r="Z481" s="206"/>
      <c r="AA481" s="206"/>
      <c r="AB481" s="206"/>
      <c r="AC481" s="206"/>
      <c r="AD481" s="206"/>
      <c r="AL481" s="206"/>
      <c r="AM481" s="206"/>
      <c r="AN481" s="206"/>
      <c r="AO481" s="206"/>
      <c r="AP481" s="206"/>
      <c r="AQ481" s="206"/>
      <c r="AR481" s="206"/>
      <c r="AS481" s="206"/>
      <c r="AV481" s="206"/>
      <c r="AW481" s="206"/>
      <c r="AY481" s="206"/>
      <c r="AZ481" s="206"/>
      <c r="BD481" s="206"/>
      <c r="BF481" s="206"/>
    </row>
    <row r="482" spans="1:100" x14ac:dyDescent="0.2">
      <c r="A482" s="220"/>
      <c r="B482" s="220"/>
      <c r="C482" s="206"/>
      <c r="D482" s="206"/>
      <c r="E482" s="192"/>
      <c r="F482" s="206"/>
      <c r="G482" s="206"/>
      <c r="H482"/>
      <c r="I482" s="206"/>
      <c r="J482"/>
      <c r="K482"/>
      <c r="L482" s="206"/>
      <c r="M482" s="192"/>
      <c r="N482" s="206"/>
      <c r="O482" s="192"/>
      <c r="P482" s="192"/>
      <c r="Q482" s="206"/>
      <c r="R482" s="206"/>
      <c r="W482" s="206"/>
      <c r="X482" s="206"/>
      <c r="Y482" s="206"/>
      <c r="Z482" s="206"/>
      <c r="AA482" s="206"/>
      <c r="AB482" s="206"/>
      <c r="AC482" s="206"/>
      <c r="AD482" s="206"/>
      <c r="AL482" s="206"/>
      <c r="AM482" s="206"/>
      <c r="AN482" s="206"/>
      <c r="AO482" s="206"/>
      <c r="AP482" s="206"/>
      <c r="AQ482" s="206"/>
      <c r="AR482" s="206"/>
      <c r="AS482" s="206"/>
      <c r="AV482" s="206"/>
      <c r="AW482" s="206"/>
      <c r="AY482" s="206"/>
      <c r="AZ482" s="206"/>
      <c r="BD482" s="206"/>
      <c r="BF482" s="206"/>
    </row>
    <row r="483" spans="1:100" x14ac:dyDescent="0.2">
      <c r="A483" s="220"/>
      <c r="B483" s="220"/>
      <c r="C483" s="206"/>
      <c r="D483" s="206"/>
      <c r="E483" s="192"/>
      <c r="F483" s="206"/>
      <c r="G483" s="206"/>
      <c r="H483"/>
      <c r="I483" s="206"/>
      <c r="J483"/>
      <c r="K483"/>
      <c r="L483" s="206"/>
      <c r="M483" s="192"/>
      <c r="N483" s="206"/>
      <c r="O483" s="192"/>
      <c r="P483" s="192"/>
      <c r="Q483" s="206"/>
      <c r="R483" s="206"/>
      <c r="W483" s="206"/>
      <c r="X483" s="206"/>
      <c r="Y483" s="206"/>
      <c r="Z483" s="206"/>
      <c r="AA483" s="206"/>
      <c r="AB483" s="206"/>
      <c r="AC483" s="206"/>
      <c r="AD483" s="206"/>
      <c r="AL483" s="206"/>
      <c r="AM483" s="206"/>
      <c r="AN483" s="206"/>
      <c r="AO483" s="206"/>
      <c r="AP483" s="206"/>
      <c r="AQ483" s="206"/>
      <c r="AR483" s="206"/>
      <c r="AS483" s="206"/>
      <c r="AV483" s="206"/>
      <c r="AW483" s="206"/>
      <c r="AY483" s="206"/>
      <c r="AZ483" s="206"/>
      <c r="BD483" s="206"/>
      <c r="BF483" s="206"/>
    </row>
    <row r="484" spans="1:100" x14ac:dyDescent="0.2">
      <c r="A484" s="220"/>
      <c r="B484" s="220"/>
      <c r="C484" s="206"/>
      <c r="D484" s="206"/>
      <c r="E484" s="192"/>
      <c r="F484" s="206"/>
      <c r="G484" s="206"/>
      <c r="H484" s="206"/>
      <c r="I484" s="206"/>
      <c r="J484"/>
      <c r="K484"/>
      <c r="L484" s="206"/>
      <c r="M484" s="192"/>
      <c r="N484" s="206"/>
      <c r="O484" s="192"/>
      <c r="P484" s="192"/>
      <c r="Q484" s="206"/>
      <c r="R484" s="206"/>
      <c r="W484" s="206"/>
      <c r="X484" s="206"/>
      <c r="Y484" s="206"/>
      <c r="Z484" s="206"/>
      <c r="AA484" s="206"/>
      <c r="AB484" s="206"/>
      <c r="AC484" s="206"/>
      <c r="AD484" s="206"/>
      <c r="AL484" s="206"/>
      <c r="AM484" s="206"/>
      <c r="AN484" s="206"/>
      <c r="AO484" s="206"/>
      <c r="AP484" s="206"/>
      <c r="AQ484" s="206"/>
      <c r="AR484" s="206"/>
      <c r="AS484" s="206"/>
      <c r="AV484" s="206"/>
      <c r="AW484" s="206"/>
      <c r="AX484" s="206"/>
      <c r="AY484" s="206"/>
      <c r="AZ484" s="206"/>
      <c r="BD484" s="206"/>
      <c r="BF484" s="206"/>
    </row>
    <row r="485" spans="1:100" x14ac:dyDescent="0.2">
      <c r="A485" s="220"/>
      <c r="B485" s="220"/>
      <c r="C485" s="206"/>
      <c r="D485" s="206"/>
      <c r="E485" s="192"/>
      <c r="F485" s="206"/>
      <c r="G485" s="206"/>
      <c r="H485"/>
      <c r="I485" s="206"/>
      <c r="J485"/>
      <c r="K485"/>
      <c r="L485" s="206"/>
      <c r="M485" s="192"/>
      <c r="N485" s="206"/>
      <c r="O485" s="192"/>
      <c r="P485" s="192"/>
      <c r="Q485" s="206"/>
      <c r="R485" s="206"/>
      <c r="W485" s="206"/>
      <c r="X485" s="206"/>
      <c r="Y485" s="206"/>
      <c r="Z485" s="206"/>
      <c r="AA485" s="206"/>
      <c r="AB485" s="206"/>
      <c r="AC485" s="206"/>
      <c r="AD485" s="206"/>
      <c r="AL485" s="206"/>
      <c r="AM485" s="206"/>
      <c r="AN485" s="206"/>
      <c r="AO485" s="206"/>
      <c r="AP485" s="206"/>
      <c r="AQ485" s="206"/>
      <c r="AR485" s="206"/>
      <c r="AS485" s="206"/>
      <c r="AV485" s="206"/>
      <c r="AW485" s="206"/>
      <c r="AY485" s="206"/>
      <c r="AZ485" s="206"/>
      <c r="BD485" s="206"/>
      <c r="BF485" s="206"/>
    </row>
    <row r="486" spans="1:100" x14ac:dyDescent="0.2">
      <c r="A486" s="220"/>
      <c r="B486" s="220"/>
      <c r="C486" s="206"/>
      <c r="D486" s="206"/>
      <c r="E486" s="192"/>
      <c r="F486" s="206"/>
      <c r="G486" s="206"/>
      <c r="H486"/>
      <c r="I486" s="206"/>
      <c r="J486"/>
      <c r="K486"/>
      <c r="L486" s="206"/>
      <c r="M486" s="192"/>
      <c r="N486" s="206"/>
      <c r="O486" s="192"/>
      <c r="P486" s="192"/>
      <c r="Q486" s="206"/>
      <c r="R486" s="206"/>
      <c r="W486" s="206"/>
      <c r="X486" s="206"/>
      <c r="Y486" s="206"/>
      <c r="Z486" s="206"/>
      <c r="AA486" s="206"/>
      <c r="AB486" s="206"/>
      <c r="AC486" s="206"/>
      <c r="AD486" s="206"/>
      <c r="AL486" s="206"/>
      <c r="AM486" s="206"/>
      <c r="AN486" s="206"/>
      <c r="AO486" s="206"/>
      <c r="AP486" s="206"/>
      <c r="AQ486" s="206"/>
      <c r="AR486" s="206"/>
      <c r="AS486" s="206"/>
      <c r="AV486" s="206"/>
      <c r="AW486" s="206"/>
      <c r="AY486" s="206"/>
      <c r="AZ486" s="206"/>
      <c r="BD486" s="206"/>
      <c r="BF486" s="206"/>
    </row>
    <row r="487" spans="1:100" x14ac:dyDescent="0.2">
      <c r="A487" s="220"/>
      <c r="B487" s="220"/>
      <c r="C487" s="206"/>
      <c r="D487" s="206"/>
      <c r="E487" s="192"/>
      <c r="F487" s="206"/>
      <c r="G487" s="206"/>
      <c r="H487"/>
      <c r="I487" s="206"/>
      <c r="J487"/>
      <c r="K487"/>
      <c r="L487" s="206"/>
      <c r="M487" s="192"/>
      <c r="N487" s="206"/>
      <c r="O487" s="192"/>
      <c r="P487" s="192"/>
      <c r="Q487" s="206"/>
      <c r="R487" s="206"/>
      <c r="W487" s="206"/>
      <c r="X487" s="206"/>
      <c r="Y487" s="206"/>
      <c r="Z487" s="206"/>
      <c r="AA487" s="206"/>
      <c r="AB487" s="206"/>
      <c r="AC487" s="206"/>
      <c r="AD487" s="206"/>
      <c r="AL487" s="206"/>
      <c r="AM487" s="206"/>
      <c r="AN487" s="206"/>
      <c r="AO487" s="206"/>
      <c r="AP487" s="206"/>
      <c r="AQ487" s="206"/>
      <c r="AR487" s="206"/>
      <c r="AS487" s="206"/>
      <c r="AV487" s="206"/>
      <c r="AW487" s="206"/>
      <c r="AY487" s="206"/>
      <c r="AZ487" s="206"/>
      <c r="BD487" s="206"/>
      <c r="BF487" s="206"/>
    </row>
    <row r="488" spans="1:100" x14ac:dyDescent="0.2">
      <c r="A488" s="220"/>
      <c r="B488" s="220"/>
      <c r="C488" s="206"/>
      <c r="D488" s="206"/>
      <c r="E488" s="192"/>
      <c r="F488" s="206"/>
      <c r="G488" s="206"/>
      <c r="H488"/>
      <c r="I488" s="206"/>
      <c r="J488"/>
      <c r="K488"/>
      <c r="L488" s="206"/>
      <c r="M488" s="192"/>
      <c r="N488" s="206"/>
      <c r="O488" s="192"/>
      <c r="P488" s="192"/>
      <c r="Q488" s="206"/>
      <c r="R488" s="206"/>
      <c r="W488" s="206"/>
      <c r="X488" s="206"/>
      <c r="Y488" s="206"/>
      <c r="Z488" s="206"/>
      <c r="AA488" s="206"/>
      <c r="AB488" s="206"/>
      <c r="AC488" s="206"/>
      <c r="AD488" s="206"/>
      <c r="AL488" s="206"/>
      <c r="AM488" s="206"/>
      <c r="AN488" s="206"/>
      <c r="AO488" s="206"/>
      <c r="AP488" s="206"/>
      <c r="AQ488" s="206"/>
      <c r="AR488" s="206"/>
      <c r="AS488" s="206"/>
      <c r="AV488" s="206"/>
      <c r="AW488" s="206"/>
      <c r="AY488" s="206"/>
      <c r="AZ488" s="206"/>
      <c r="BD488" s="206"/>
      <c r="BF488" s="206"/>
    </row>
    <row r="489" spans="1:100" x14ac:dyDescent="0.2">
      <c r="A489" s="220"/>
      <c r="B489" s="220"/>
      <c r="C489" s="206"/>
      <c r="D489" s="206"/>
      <c r="E489" s="192"/>
      <c r="F489" s="206"/>
      <c r="G489" s="206"/>
      <c r="H489" s="206"/>
      <c r="I489" s="206"/>
      <c r="J489" s="206"/>
      <c r="K489" s="206"/>
      <c r="L489" s="206"/>
      <c r="M489" s="192"/>
      <c r="N489" s="206"/>
      <c r="O489" s="192"/>
      <c r="P489" s="192"/>
      <c r="Q489" s="206"/>
      <c r="R489" s="206"/>
      <c r="W489" s="206"/>
      <c r="X489" s="206"/>
      <c r="Y489" s="206"/>
      <c r="Z489" s="206"/>
      <c r="AA489" s="206"/>
      <c r="AB489" s="206"/>
      <c r="AC489" s="206"/>
      <c r="AD489" s="206"/>
      <c r="AL489" s="206"/>
      <c r="AM489" s="206"/>
      <c r="AN489" s="206"/>
      <c r="AO489" s="206"/>
      <c r="AP489" s="206"/>
      <c r="AQ489" s="206"/>
      <c r="AR489" s="206"/>
      <c r="AS489" s="206"/>
      <c r="AV489" s="206"/>
      <c r="AW489" s="206"/>
      <c r="AX489" s="206"/>
      <c r="AY489" s="206"/>
      <c r="AZ489" s="206"/>
      <c r="BA489" s="206"/>
      <c r="BB489" s="206"/>
      <c r="BD489" s="206"/>
      <c r="BF489" s="206"/>
      <c r="BG489" s="201"/>
      <c r="BJ489" s="201"/>
      <c r="BK489" s="201"/>
      <c r="BL489" s="201"/>
      <c r="BM489" s="201"/>
      <c r="BN489" s="201"/>
      <c r="BO489" s="201"/>
      <c r="BP489" s="201"/>
      <c r="BQ489" s="201"/>
      <c r="BR489" s="201"/>
      <c r="BS489" s="201"/>
      <c r="BT489" s="201"/>
      <c r="BU489" s="201"/>
      <c r="BV489" s="201"/>
      <c r="BW489" s="201"/>
      <c r="BX489" s="201"/>
      <c r="BY489" s="201"/>
      <c r="BZ489" s="201"/>
      <c r="CA489" s="201"/>
      <c r="CB489" s="201"/>
      <c r="CC489" s="201"/>
      <c r="CD489" s="201"/>
      <c r="CE489" s="201"/>
      <c r="CF489" s="201"/>
      <c r="CG489" s="201"/>
      <c r="CH489" s="201"/>
      <c r="CI489" s="201"/>
      <c r="CJ489" s="201"/>
      <c r="CK489" s="201"/>
      <c r="CL489" s="201"/>
      <c r="CM489" s="201"/>
      <c r="CN489" s="201"/>
      <c r="CO489" s="201"/>
      <c r="CP489" s="201"/>
      <c r="CQ489" s="201"/>
      <c r="CR489" s="201"/>
      <c r="CS489" s="201"/>
      <c r="CT489" s="201"/>
      <c r="CU489" s="201"/>
      <c r="CV489" s="201"/>
    </row>
    <row r="490" spans="1:100" x14ac:dyDescent="0.2">
      <c r="A490" s="220"/>
      <c r="B490" s="220"/>
      <c r="C490" s="206"/>
      <c r="D490" s="206"/>
      <c r="E490" s="192"/>
      <c r="F490" s="206"/>
      <c r="G490" s="206"/>
      <c r="H490" s="206"/>
      <c r="I490" s="206"/>
      <c r="J490" s="206"/>
      <c r="K490" s="206"/>
      <c r="L490" s="206"/>
      <c r="M490" s="192"/>
      <c r="N490" s="206"/>
      <c r="O490" s="192"/>
      <c r="P490" s="192"/>
      <c r="Q490" s="206"/>
      <c r="R490" s="206"/>
      <c r="W490" s="206"/>
      <c r="X490" s="206"/>
      <c r="Y490" s="206"/>
      <c r="Z490" s="206"/>
      <c r="AA490" s="206"/>
      <c r="AB490" s="206"/>
      <c r="AC490" s="206"/>
      <c r="AD490" s="206"/>
      <c r="AL490" s="206"/>
      <c r="AM490" s="206"/>
      <c r="AN490" s="206"/>
      <c r="AO490" s="206"/>
      <c r="AP490" s="206"/>
      <c r="AQ490" s="206"/>
      <c r="AR490" s="206"/>
      <c r="AS490" s="206"/>
      <c r="AV490" s="206"/>
      <c r="AW490" s="206"/>
      <c r="AX490" s="206"/>
      <c r="AY490" s="206"/>
      <c r="AZ490" s="206"/>
      <c r="BA490" s="206"/>
      <c r="BB490" s="206"/>
      <c r="BD490" s="206"/>
      <c r="BF490" s="206"/>
      <c r="BG490" s="201"/>
      <c r="BJ490" s="201"/>
      <c r="BK490" s="201"/>
      <c r="BL490" s="201"/>
      <c r="BM490" s="201"/>
      <c r="BN490" s="201"/>
      <c r="BO490" s="201"/>
      <c r="BP490" s="201"/>
      <c r="BQ490" s="201"/>
      <c r="BR490" s="201"/>
      <c r="BS490" s="201"/>
      <c r="BT490" s="201"/>
      <c r="BU490" s="201"/>
      <c r="BV490" s="201"/>
      <c r="BW490" s="201"/>
      <c r="BX490" s="201"/>
      <c r="BY490" s="201"/>
      <c r="BZ490" s="201"/>
      <c r="CA490" s="201"/>
      <c r="CB490" s="201"/>
      <c r="CC490" s="201"/>
      <c r="CD490" s="201"/>
      <c r="CE490" s="201"/>
      <c r="CF490" s="201"/>
      <c r="CG490" s="201"/>
      <c r="CH490" s="201"/>
      <c r="CI490" s="201"/>
      <c r="CJ490" s="201"/>
      <c r="CK490" s="201"/>
      <c r="CL490" s="201"/>
      <c r="CM490" s="201"/>
      <c r="CN490" s="201"/>
      <c r="CO490" s="201"/>
      <c r="CP490" s="201"/>
      <c r="CQ490" s="201"/>
      <c r="CR490" s="201"/>
      <c r="CS490" s="201"/>
      <c r="CT490" s="201"/>
      <c r="CU490" s="201"/>
      <c r="CV490" s="201"/>
    </row>
    <row r="491" spans="1:100" x14ac:dyDescent="0.2">
      <c r="A491" s="220"/>
      <c r="B491" s="220"/>
      <c r="C491" s="206"/>
      <c r="D491" s="206"/>
      <c r="E491" s="192"/>
      <c r="F491" s="206"/>
      <c r="G491" s="206"/>
      <c r="H491"/>
      <c r="I491" s="206"/>
      <c r="J491"/>
      <c r="K491"/>
      <c r="L491" s="206"/>
      <c r="M491" s="192"/>
      <c r="N491" s="206"/>
      <c r="O491" s="192"/>
      <c r="P491" s="192"/>
      <c r="Q491" s="206"/>
      <c r="R491" s="206"/>
      <c r="W491" s="206"/>
      <c r="X491" s="206"/>
      <c r="Y491" s="206"/>
      <c r="Z491" s="206"/>
      <c r="AA491" s="206"/>
      <c r="AB491" s="206"/>
      <c r="AC491" s="206"/>
      <c r="AD491" s="206"/>
      <c r="AL491" s="206"/>
      <c r="AM491" s="206"/>
      <c r="AN491" s="206"/>
      <c r="AO491" s="206"/>
      <c r="AP491" s="206"/>
      <c r="AQ491" s="206"/>
      <c r="AR491" s="206"/>
      <c r="AS491" s="206"/>
      <c r="AV491" s="206"/>
      <c r="AW491" s="206"/>
      <c r="AY491" s="206"/>
      <c r="AZ491" s="206"/>
      <c r="BD491" s="206"/>
      <c r="BF491" s="206"/>
    </row>
    <row r="492" spans="1:100" x14ac:dyDescent="0.2">
      <c r="A492" s="220"/>
      <c r="B492" s="220"/>
      <c r="C492" s="206"/>
      <c r="D492" s="206"/>
      <c r="E492" s="192"/>
      <c r="F492" s="206"/>
      <c r="G492" s="206"/>
      <c r="H492"/>
      <c r="I492" s="206"/>
      <c r="J492"/>
      <c r="K492"/>
      <c r="L492" s="206"/>
      <c r="M492" s="192"/>
      <c r="N492" s="206"/>
      <c r="O492" s="192"/>
      <c r="P492" s="192"/>
      <c r="Q492" s="206"/>
      <c r="R492" s="206"/>
      <c r="W492" s="206"/>
      <c r="X492" s="206"/>
      <c r="Y492" s="206"/>
      <c r="Z492" s="206"/>
      <c r="AA492" s="206"/>
      <c r="AB492" s="206"/>
      <c r="AC492" s="206"/>
      <c r="AD492" s="206"/>
      <c r="AL492" s="206"/>
      <c r="AM492" s="206"/>
      <c r="AN492" s="206"/>
      <c r="AO492" s="206"/>
      <c r="AP492" s="206"/>
      <c r="AQ492" s="206"/>
      <c r="AR492" s="206"/>
      <c r="AS492" s="206"/>
      <c r="AV492" s="206"/>
      <c r="AW492" s="206"/>
      <c r="AY492" s="206"/>
      <c r="AZ492" s="206"/>
      <c r="BD492" s="206"/>
      <c r="BF492" s="206"/>
    </row>
    <row r="493" spans="1:100" x14ac:dyDescent="0.2">
      <c r="A493" s="220"/>
      <c r="B493" s="220"/>
      <c r="C493" s="206"/>
      <c r="D493" s="206"/>
      <c r="E493" s="192"/>
      <c r="F493" s="206"/>
      <c r="G493" s="206"/>
      <c r="H493"/>
      <c r="I493" s="206"/>
      <c r="J493"/>
      <c r="K493"/>
      <c r="L493" s="206"/>
      <c r="M493" s="192"/>
      <c r="N493" s="206"/>
      <c r="O493" s="192"/>
      <c r="P493" s="192"/>
      <c r="Q493" s="206"/>
      <c r="R493" s="206"/>
      <c r="W493" s="206"/>
      <c r="X493" s="206"/>
      <c r="Y493" s="206"/>
      <c r="Z493" s="206"/>
      <c r="AA493" s="206"/>
      <c r="AB493" s="206"/>
      <c r="AC493" s="206"/>
      <c r="AD493" s="206"/>
      <c r="AL493" s="206"/>
      <c r="AM493" s="206"/>
      <c r="AN493" s="206"/>
      <c r="AO493" s="206"/>
      <c r="AP493" s="206"/>
      <c r="AQ493" s="206"/>
      <c r="AR493" s="206"/>
      <c r="AS493" s="206"/>
      <c r="AV493" s="206"/>
      <c r="AW493" s="206"/>
      <c r="AY493" s="206"/>
      <c r="AZ493" s="206"/>
      <c r="BD493" s="206"/>
      <c r="BF493" s="206"/>
    </row>
    <row r="494" spans="1:100" x14ac:dyDescent="0.2">
      <c r="A494" s="220"/>
      <c r="B494" s="220"/>
      <c r="C494" s="206"/>
      <c r="D494" s="206"/>
      <c r="E494" s="192"/>
      <c r="F494" s="206"/>
      <c r="G494" s="206"/>
      <c r="H494"/>
      <c r="I494" s="206"/>
      <c r="J494"/>
      <c r="K494"/>
      <c r="L494" s="206"/>
      <c r="M494" s="192"/>
      <c r="N494" s="206"/>
      <c r="O494" s="192"/>
      <c r="P494" s="192"/>
      <c r="Q494" s="206"/>
      <c r="R494" s="206"/>
      <c r="W494" s="206"/>
      <c r="X494" s="206"/>
      <c r="Y494" s="206"/>
      <c r="Z494" s="206"/>
      <c r="AA494" s="206"/>
      <c r="AB494" s="206"/>
      <c r="AC494" s="206"/>
      <c r="AD494" s="206"/>
      <c r="AL494" s="206"/>
      <c r="AM494" s="206"/>
      <c r="AN494" s="206"/>
      <c r="AO494" s="206"/>
      <c r="AP494" s="206"/>
      <c r="AQ494" s="206"/>
      <c r="AR494" s="206"/>
      <c r="AS494" s="206"/>
      <c r="AV494" s="206"/>
      <c r="AW494" s="206"/>
      <c r="AY494" s="206"/>
      <c r="AZ494" s="206"/>
      <c r="BD494" s="206"/>
      <c r="BF494" s="206"/>
    </row>
    <row r="495" spans="1:100" x14ac:dyDescent="0.2">
      <c r="A495" s="220"/>
      <c r="B495" s="220"/>
      <c r="C495" s="206"/>
      <c r="D495" s="206"/>
      <c r="E495" s="192"/>
      <c r="F495" s="206"/>
      <c r="G495" s="206"/>
      <c r="H495" s="206"/>
      <c r="I495" s="206"/>
      <c r="J495"/>
      <c r="K495"/>
      <c r="L495" s="206"/>
      <c r="M495" s="192"/>
      <c r="N495" s="206"/>
      <c r="O495" s="192"/>
      <c r="P495" s="192"/>
      <c r="Q495" s="206"/>
      <c r="R495" s="206"/>
      <c r="W495" s="206"/>
      <c r="X495" s="206"/>
      <c r="Y495" s="206"/>
      <c r="Z495" s="206"/>
      <c r="AA495" s="206"/>
      <c r="AB495" s="206"/>
      <c r="AC495" s="206"/>
      <c r="AD495" s="206"/>
      <c r="AL495" s="206"/>
      <c r="AM495" s="206"/>
      <c r="AN495" s="206"/>
      <c r="AO495" s="206"/>
      <c r="AP495" s="206"/>
      <c r="AQ495" s="206"/>
      <c r="AR495" s="206"/>
      <c r="AS495" s="206"/>
      <c r="AV495" s="206"/>
      <c r="AW495" s="206"/>
      <c r="AX495" s="206"/>
      <c r="AY495" s="206"/>
      <c r="AZ495" s="206"/>
      <c r="BD495" s="206"/>
      <c r="BF495" s="206"/>
    </row>
    <row r="496" spans="1:100" x14ac:dyDescent="0.2">
      <c r="A496" s="220"/>
      <c r="B496" s="220"/>
      <c r="C496" s="206"/>
      <c r="D496" s="206"/>
      <c r="E496" s="192"/>
      <c r="F496" s="206"/>
      <c r="G496" s="206"/>
      <c r="H496"/>
      <c r="I496" s="206"/>
      <c r="J496"/>
      <c r="K496"/>
      <c r="L496" s="206"/>
      <c r="M496" s="192"/>
      <c r="N496" s="206"/>
      <c r="O496" s="192"/>
      <c r="P496" s="192"/>
      <c r="Q496" s="206"/>
      <c r="R496" s="206"/>
      <c r="W496" s="206"/>
      <c r="X496" s="206"/>
      <c r="Y496" s="206"/>
      <c r="Z496" s="206"/>
      <c r="AA496" s="206"/>
      <c r="AB496" s="206"/>
      <c r="AC496" s="206"/>
      <c r="AD496" s="206"/>
      <c r="AL496" s="206"/>
      <c r="AM496" s="206"/>
      <c r="AN496" s="206"/>
      <c r="AO496" s="206"/>
      <c r="AP496" s="206"/>
      <c r="AQ496" s="206"/>
      <c r="AR496" s="206"/>
      <c r="AS496" s="206"/>
      <c r="AV496" s="206"/>
      <c r="AW496" s="206"/>
      <c r="AY496" s="206"/>
      <c r="AZ496" s="206"/>
      <c r="BD496" s="206"/>
      <c r="BF496" s="206"/>
    </row>
    <row r="497" spans="1:100" x14ac:dyDescent="0.2">
      <c r="A497" s="220"/>
      <c r="B497" s="220"/>
      <c r="C497" s="206"/>
      <c r="D497" s="206"/>
      <c r="E497" s="192"/>
      <c r="F497" s="206"/>
      <c r="G497" s="206"/>
      <c r="H497"/>
      <c r="I497" s="206"/>
      <c r="J497"/>
      <c r="K497"/>
      <c r="L497" s="206"/>
      <c r="M497" s="192"/>
      <c r="N497" s="206"/>
      <c r="O497" s="192"/>
      <c r="P497" s="192"/>
      <c r="Q497" s="206"/>
      <c r="R497" s="206"/>
      <c r="W497" s="206"/>
      <c r="X497" s="206"/>
      <c r="Y497" s="206"/>
      <c r="Z497" s="206"/>
      <c r="AA497" s="206"/>
      <c r="AB497" s="206"/>
      <c r="AC497" s="206"/>
      <c r="AD497" s="206"/>
      <c r="AL497" s="206"/>
      <c r="AM497" s="206"/>
      <c r="AN497" s="206"/>
      <c r="AO497" s="206"/>
      <c r="AP497" s="206"/>
      <c r="AQ497" s="206"/>
      <c r="AR497" s="206"/>
      <c r="AS497" s="206"/>
      <c r="AV497" s="206"/>
      <c r="AW497" s="206"/>
      <c r="AY497" s="206"/>
      <c r="AZ497" s="206"/>
      <c r="BD497" s="206"/>
      <c r="BF497" s="206"/>
    </row>
    <row r="498" spans="1:100" x14ac:dyDescent="0.2">
      <c r="A498" s="220"/>
      <c r="B498" s="220"/>
      <c r="C498" s="206"/>
      <c r="D498" s="206"/>
      <c r="E498" s="192"/>
      <c r="F498" s="206"/>
      <c r="G498" s="206"/>
      <c r="H498"/>
      <c r="I498" s="206"/>
      <c r="J498"/>
      <c r="K498"/>
      <c r="L498" s="206"/>
      <c r="M498" s="192"/>
      <c r="N498" s="206"/>
      <c r="O498" s="192"/>
      <c r="P498" s="192"/>
      <c r="Q498" s="206"/>
      <c r="R498" s="206"/>
      <c r="W498" s="206"/>
      <c r="X498" s="206"/>
      <c r="Y498" s="206"/>
      <c r="Z498" s="206"/>
      <c r="AA498" s="206"/>
      <c r="AB498" s="206"/>
      <c r="AC498" s="206"/>
      <c r="AD498" s="206"/>
      <c r="AL498" s="206"/>
      <c r="AM498" s="206"/>
      <c r="AN498" s="206"/>
      <c r="AO498" s="206"/>
      <c r="AP498" s="206"/>
      <c r="AQ498" s="206"/>
      <c r="AR498" s="206"/>
      <c r="AS498" s="206"/>
      <c r="AV498" s="206"/>
      <c r="AW498" s="206"/>
      <c r="AY498" s="206"/>
      <c r="AZ498" s="206"/>
      <c r="BD498" s="206"/>
      <c r="BF498" s="206"/>
    </row>
    <row r="499" spans="1:100" x14ac:dyDescent="0.2">
      <c r="A499" s="220"/>
      <c r="B499" s="220"/>
      <c r="C499" s="206"/>
      <c r="D499" s="206"/>
      <c r="E499" s="192"/>
      <c r="F499" s="206"/>
      <c r="G499" s="206"/>
      <c r="H499"/>
      <c r="I499" s="206"/>
      <c r="J499"/>
      <c r="K499"/>
      <c r="L499" s="206"/>
      <c r="M499" s="192"/>
      <c r="N499" s="206"/>
      <c r="O499" s="192"/>
      <c r="P499" s="192"/>
      <c r="Q499" s="206"/>
      <c r="R499" s="206"/>
      <c r="W499" s="206"/>
      <c r="X499" s="206"/>
      <c r="Y499" s="206"/>
      <c r="Z499" s="206"/>
      <c r="AA499" s="206"/>
      <c r="AB499" s="206"/>
      <c r="AC499" s="206"/>
      <c r="AD499" s="206"/>
      <c r="AL499" s="206"/>
      <c r="AM499" s="206"/>
      <c r="AN499" s="206"/>
      <c r="AO499" s="206"/>
      <c r="AP499" s="206"/>
      <c r="AQ499" s="206"/>
      <c r="AR499" s="206"/>
      <c r="AS499" s="206"/>
      <c r="AV499" s="206"/>
      <c r="AW499" s="206"/>
      <c r="AY499" s="206"/>
      <c r="AZ499" s="206"/>
      <c r="BD499" s="206"/>
      <c r="BF499" s="206"/>
    </row>
    <row r="500" spans="1:100" x14ac:dyDescent="0.2">
      <c r="A500" s="220"/>
      <c r="B500" s="220"/>
      <c r="C500" s="206"/>
      <c r="D500" s="206"/>
      <c r="E500" s="192"/>
      <c r="F500" s="206"/>
      <c r="G500" s="206"/>
      <c r="H500"/>
      <c r="I500" s="206"/>
      <c r="J500"/>
      <c r="K500"/>
      <c r="L500" s="206"/>
      <c r="M500" s="192"/>
      <c r="N500" s="206"/>
      <c r="O500" s="192"/>
      <c r="P500" s="192"/>
      <c r="Q500" s="206"/>
      <c r="R500" s="206"/>
      <c r="W500" s="206"/>
      <c r="X500" s="206"/>
      <c r="Y500" s="206"/>
      <c r="Z500" s="206"/>
      <c r="AA500" s="206"/>
      <c r="AB500" s="206"/>
      <c r="AC500" s="206"/>
      <c r="AD500" s="206"/>
      <c r="AL500" s="206"/>
      <c r="AM500" s="206"/>
      <c r="AN500" s="206"/>
      <c r="AO500" s="206"/>
      <c r="AP500" s="206"/>
      <c r="AQ500" s="206"/>
      <c r="AR500" s="206"/>
      <c r="AS500" s="206"/>
      <c r="AV500" s="206"/>
      <c r="AW500" s="206"/>
      <c r="AY500" s="206"/>
      <c r="AZ500" s="206"/>
      <c r="BD500" s="206"/>
      <c r="BF500" s="206"/>
    </row>
    <row r="501" spans="1:100" x14ac:dyDescent="0.2">
      <c r="A501" s="220"/>
      <c r="B501" s="220"/>
      <c r="C501" s="206"/>
      <c r="D501" s="206"/>
      <c r="E501" s="192"/>
      <c r="F501" s="206"/>
      <c r="G501" s="206"/>
      <c r="H501"/>
      <c r="I501" s="206"/>
      <c r="J501"/>
      <c r="K501"/>
      <c r="L501" s="206"/>
      <c r="M501" s="192"/>
      <c r="N501" s="206"/>
      <c r="O501" s="192"/>
      <c r="P501" s="192"/>
      <c r="Q501" s="206"/>
      <c r="R501" s="206"/>
      <c r="W501" s="206"/>
      <c r="X501" s="206"/>
      <c r="Y501" s="206"/>
      <c r="Z501" s="206"/>
      <c r="AA501" s="206"/>
      <c r="AB501" s="206"/>
      <c r="AC501" s="206"/>
      <c r="AD501" s="206"/>
      <c r="AL501" s="206"/>
      <c r="AM501" s="206"/>
      <c r="AN501" s="206"/>
      <c r="AO501" s="206"/>
      <c r="AP501" s="206"/>
      <c r="AQ501" s="206"/>
      <c r="AR501" s="206"/>
      <c r="AS501" s="206"/>
      <c r="AV501" s="206"/>
      <c r="AW501" s="206"/>
      <c r="AY501" s="206"/>
      <c r="AZ501" s="206"/>
      <c r="BD501" s="206"/>
      <c r="BF501" s="206"/>
    </row>
    <row r="502" spans="1:100" x14ac:dyDescent="0.2">
      <c r="A502" s="220"/>
      <c r="B502" s="220"/>
      <c r="C502" s="206"/>
      <c r="D502" s="206"/>
      <c r="E502" s="192"/>
      <c r="F502" s="206"/>
      <c r="G502" s="206"/>
      <c r="H502"/>
      <c r="I502" s="206"/>
      <c r="J502"/>
      <c r="K502"/>
      <c r="L502" s="206"/>
      <c r="M502" s="192"/>
      <c r="N502" s="206"/>
      <c r="O502" s="192"/>
      <c r="P502" s="192"/>
      <c r="Q502" s="206"/>
      <c r="R502" s="206"/>
      <c r="W502" s="206"/>
      <c r="X502" s="206"/>
      <c r="Y502" s="206"/>
      <c r="Z502" s="206"/>
      <c r="AA502" s="206"/>
      <c r="AB502" s="206"/>
      <c r="AC502" s="206"/>
      <c r="AD502" s="206"/>
      <c r="AL502" s="206"/>
      <c r="AM502" s="206"/>
      <c r="AN502" s="206"/>
      <c r="AO502" s="206"/>
      <c r="AP502" s="206"/>
      <c r="AQ502" s="206"/>
      <c r="AR502" s="206"/>
      <c r="AS502" s="206"/>
      <c r="AV502" s="206"/>
      <c r="AW502" s="206"/>
      <c r="AY502" s="206"/>
      <c r="AZ502" s="206"/>
      <c r="BD502" s="206"/>
      <c r="BF502" s="206"/>
    </row>
    <row r="503" spans="1:100" x14ac:dyDescent="0.2">
      <c r="A503" s="220"/>
      <c r="B503" s="220"/>
      <c r="C503" s="206"/>
      <c r="D503" s="206"/>
      <c r="E503" s="192"/>
      <c r="F503" s="206"/>
      <c r="G503" s="206"/>
      <c r="H503"/>
      <c r="I503" s="206"/>
      <c r="J503"/>
      <c r="K503"/>
      <c r="L503" s="206"/>
      <c r="M503" s="192"/>
      <c r="N503" s="206"/>
      <c r="O503" s="192"/>
      <c r="P503" s="192"/>
      <c r="Q503" s="206"/>
      <c r="R503" s="206"/>
      <c r="W503" s="206"/>
      <c r="X503" s="206"/>
      <c r="Y503" s="206"/>
      <c r="Z503" s="206"/>
      <c r="AA503" s="206"/>
      <c r="AB503" s="206"/>
      <c r="AC503" s="206"/>
      <c r="AD503" s="206"/>
      <c r="AL503" s="206"/>
      <c r="AM503" s="206"/>
      <c r="AN503" s="206"/>
      <c r="AO503" s="206"/>
      <c r="AP503" s="206"/>
      <c r="AQ503" s="206"/>
      <c r="AR503" s="206"/>
      <c r="AS503" s="206"/>
      <c r="AV503" s="206"/>
      <c r="AW503" s="206"/>
      <c r="AY503" s="206"/>
      <c r="AZ503" s="206"/>
      <c r="BD503" s="206"/>
      <c r="BF503" s="206"/>
    </row>
    <row r="504" spans="1:100" x14ac:dyDescent="0.2">
      <c r="A504" s="220"/>
      <c r="B504" s="220"/>
      <c r="C504" s="206"/>
      <c r="D504" s="206"/>
      <c r="E504" s="192"/>
      <c r="F504" s="206"/>
      <c r="G504" s="206"/>
      <c r="H504"/>
      <c r="I504" s="206"/>
      <c r="J504"/>
      <c r="K504"/>
      <c r="L504" s="206"/>
      <c r="M504" s="192"/>
      <c r="N504" s="206"/>
      <c r="O504" s="192"/>
      <c r="P504" s="192"/>
      <c r="Q504" s="206"/>
      <c r="R504" s="206"/>
      <c r="W504" s="206"/>
      <c r="X504" s="206"/>
      <c r="Y504" s="206"/>
      <c r="Z504" s="206"/>
      <c r="AA504" s="206"/>
      <c r="AB504" s="206"/>
      <c r="AC504" s="206"/>
      <c r="AD504" s="206"/>
      <c r="AL504" s="206"/>
      <c r="AM504" s="206"/>
      <c r="AN504" s="206"/>
      <c r="AO504" s="206"/>
      <c r="AP504" s="206"/>
      <c r="AQ504" s="206"/>
      <c r="AR504" s="206"/>
      <c r="AS504" s="206"/>
      <c r="AV504" s="206"/>
      <c r="AW504" s="206"/>
      <c r="AY504" s="206"/>
      <c r="AZ504" s="206"/>
      <c r="BD504" s="206"/>
      <c r="BF504" s="206"/>
    </row>
    <row r="505" spans="1:100" x14ac:dyDescent="0.2">
      <c r="A505" s="220"/>
      <c r="B505" s="220"/>
      <c r="C505" s="206"/>
      <c r="D505" s="206"/>
      <c r="E505" s="192"/>
      <c r="F505" s="206"/>
      <c r="G505" s="206"/>
      <c r="H505"/>
      <c r="I505" s="206"/>
      <c r="J505"/>
      <c r="K505"/>
      <c r="L505" s="206"/>
      <c r="M505" s="192"/>
      <c r="N505" s="206"/>
      <c r="O505" s="192"/>
      <c r="P505" s="192"/>
      <c r="Q505" s="206"/>
      <c r="R505" s="206"/>
      <c r="W505" s="206"/>
      <c r="X505" s="206"/>
      <c r="Y505" s="206"/>
      <c r="Z505" s="206"/>
      <c r="AA505" s="206"/>
      <c r="AB505" s="206"/>
      <c r="AC505" s="206"/>
      <c r="AD505" s="206"/>
      <c r="AL505" s="206"/>
      <c r="AM505" s="206"/>
      <c r="AN505" s="206"/>
      <c r="AO505" s="206"/>
      <c r="AP505" s="206"/>
      <c r="AQ505" s="206"/>
      <c r="AR505" s="206"/>
      <c r="AS505" s="206"/>
      <c r="AV505" s="206"/>
      <c r="AW505" s="206"/>
      <c r="AY505" s="206"/>
      <c r="AZ505" s="206"/>
      <c r="BD505" s="206"/>
      <c r="BF505" s="206"/>
    </row>
    <row r="506" spans="1:100" x14ac:dyDescent="0.2">
      <c r="A506" s="220"/>
      <c r="B506" s="220"/>
      <c r="C506" s="206"/>
      <c r="D506" s="206"/>
      <c r="E506" s="192"/>
      <c r="F506" s="206"/>
      <c r="G506" s="206"/>
      <c r="H506"/>
      <c r="I506" s="206"/>
      <c r="J506"/>
      <c r="K506"/>
      <c r="L506" s="206"/>
      <c r="M506" s="192"/>
      <c r="N506" s="206"/>
      <c r="O506" s="192"/>
      <c r="P506" s="192"/>
      <c r="Q506" s="206"/>
      <c r="R506" s="206"/>
      <c r="W506" s="206"/>
      <c r="X506" s="206"/>
      <c r="Y506" s="206"/>
      <c r="Z506" s="206"/>
      <c r="AA506" s="206"/>
      <c r="AB506" s="206"/>
      <c r="AC506" s="206"/>
      <c r="AD506" s="206"/>
      <c r="AL506" s="206"/>
      <c r="AM506" s="206"/>
      <c r="AN506" s="206"/>
      <c r="AO506" s="206"/>
      <c r="AP506" s="206"/>
      <c r="AQ506" s="206"/>
      <c r="AR506" s="206"/>
      <c r="AS506" s="206"/>
      <c r="AV506" s="206"/>
      <c r="AW506" s="206"/>
      <c r="AY506" s="206"/>
      <c r="AZ506" s="206"/>
      <c r="BD506" s="206"/>
      <c r="BF506" s="206"/>
    </row>
    <row r="507" spans="1:100" x14ac:dyDescent="0.2">
      <c r="A507" s="220"/>
      <c r="B507" s="220"/>
      <c r="C507" s="206"/>
      <c r="D507" s="206"/>
      <c r="E507" s="192"/>
      <c r="F507" s="206"/>
      <c r="G507" s="206"/>
      <c r="H507" s="206"/>
      <c r="I507" s="206"/>
      <c r="J507"/>
      <c r="K507"/>
      <c r="L507" s="206"/>
      <c r="M507" s="192"/>
      <c r="N507" s="206"/>
      <c r="O507" s="192"/>
      <c r="P507" s="192"/>
      <c r="Q507" s="206"/>
      <c r="R507" s="206"/>
      <c r="W507" s="206"/>
      <c r="X507" s="206"/>
      <c r="Y507" s="206"/>
      <c r="Z507" s="206"/>
      <c r="AA507" s="206"/>
      <c r="AB507" s="206"/>
      <c r="AC507" s="206"/>
      <c r="AD507" s="206"/>
      <c r="AL507" s="206"/>
      <c r="AM507" s="206"/>
      <c r="AN507" s="206"/>
      <c r="AO507" s="206"/>
      <c r="AP507" s="206"/>
      <c r="AQ507" s="206"/>
      <c r="AR507" s="206"/>
      <c r="AS507" s="206"/>
      <c r="AV507" s="206"/>
      <c r="AW507" s="206"/>
      <c r="AX507" s="206"/>
      <c r="AY507" s="206"/>
      <c r="AZ507" s="206"/>
      <c r="BD507" s="206"/>
      <c r="BF507" s="206"/>
    </row>
    <row r="508" spans="1:100" x14ac:dyDescent="0.2">
      <c r="A508" s="220"/>
      <c r="B508" s="220"/>
      <c r="C508" s="206"/>
      <c r="D508" s="206"/>
      <c r="E508" s="192"/>
      <c r="F508" s="206"/>
      <c r="G508" s="206"/>
      <c r="H508"/>
      <c r="I508" s="206"/>
      <c r="J508"/>
      <c r="K508"/>
      <c r="L508" s="206"/>
      <c r="M508" s="192"/>
      <c r="N508" s="206"/>
      <c r="O508" s="192"/>
      <c r="P508" s="192"/>
      <c r="Q508" s="206"/>
      <c r="R508" s="206"/>
      <c r="W508" s="206"/>
      <c r="X508" s="206"/>
      <c r="Y508" s="206"/>
      <c r="Z508" s="206"/>
      <c r="AA508" s="206"/>
      <c r="AB508" s="206"/>
      <c r="AC508" s="206"/>
      <c r="AD508" s="206"/>
      <c r="AL508" s="206"/>
      <c r="AM508" s="206"/>
      <c r="AN508" s="206"/>
      <c r="AO508" s="206"/>
      <c r="AP508" s="206"/>
      <c r="AQ508" s="206"/>
      <c r="AR508" s="206"/>
      <c r="AS508" s="206"/>
      <c r="AV508" s="206"/>
      <c r="AW508" s="206"/>
      <c r="AY508" s="206"/>
      <c r="AZ508" s="206"/>
      <c r="BD508" s="206"/>
      <c r="BF508" s="206"/>
    </row>
    <row r="509" spans="1:100" x14ac:dyDescent="0.2">
      <c r="A509" s="220"/>
      <c r="B509" s="220"/>
      <c r="C509" s="206"/>
      <c r="D509" s="206"/>
      <c r="E509" s="192"/>
      <c r="F509" s="206"/>
      <c r="G509" s="206"/>
      <c r="H509" s="206"/>
      <c r="I509" s="206"/>
      <c r="J509"/>
      <c r="K509"/>
      <c r="L509" s="206"/>
      <c r="M509" s="192"/>
      <c r="N509" s="206"/>
      <c r="O509" s="192"/>
      <c r="P509" s="192"/>
      <c r="Q509" s="206"/>
      <c r="R509" s="206"/>
      <c r="W509" s="206"/>
      <c r="X509" s="206"/>
      <c r="Y509" s="206"/>
      <c r="Z509" s="206"/>
      <c r="AA509" s="206"/>
      <c r="AB509" s="206"/>
      <c r="AC509" s="206"/>
      <c r="AD509" s="206"/>
      <c r="AL509" s="206"/>
      <c r="AM509" s="206"/>
      <c r="AN509" s="206"/>
      <c r="AO509" s="206"/>
      <c r="AP509" s="206"/>
      <c r="AQ509" s="206"/>
      <c r="AR509" s="206"/>
      <c r="AS509" s="206"/>
      <c r="AV509" s="206"/>
      <c r="AW509" s="206"/>
      <c r="AX509" s="206"/>
      <c r="AY509" s="206"/>
      <c r="AZ509" s="206"/>
      <c r="BD509" s="206"/>
      <c r="BF509" s="206"/>
    </row>
    <row r="510" spans="1:100" x14ac:dyDescent="0.2">
      <c r="A510" s="220"/>
      <c r="B510" s="220"/>
      <c r="C510" s="206"/>
      <c r="D510" s="206"/>
      <c r="E510" s="192"/>
      <c r="F510" s="206"/>
      <c r="G510" s="206"/>
      <c r="H510"/>
      <c r="I510" s="206"/>
      <c r="J510"/>
      <c r="K510"/>
      <c r="L510" s="206"/>
      <c r="M510" s="192"/>
      <c r="N510" s="206"/>
      <c r="O510" s="192"/>
      <c r="P510" s="192"/>
      <c r="Q510" s="206"/>
      <c r="R510" s="206"/>
      <c r="W510" s="206"/>
      <c r="X510" s="206"/>
      <c r="Y510" s="206"/>
      <c r="Z510" s="206"/>
      <c r="AA510" s="206"/>
      <c r="AB510" s="206"/>
      <c r="AC510" s="206"/>
      <c r="AD510" s="206"/>
      <c r="AL510" s="206"/>
      <c r="AM510" s="206"/>
      <c r="AN510" s="206"/>
      <c r="AO510" s="206"/>
      <c r="AP510" s="206"/>
      <c r="AQ510" s="206"/>
      <c r="AR510" s="206"/>
      <c r="AS510" s="206"/>
      <c r="AV510" s="206"/>
      <c r="AW510" s="206"/>
      <c r="AY510" s="206"/>
      <c r="AZ510" s="206"/>
      <c r="BD510" s="206"/>
      <c r="BF510" s="206"/>
    </row>
    <row r="511" spans="1:100" x14ac:dyDescent="0.2">
      <c r="A511" s="220"/>
      <c r="B511" s="220"/>
      <c r="C511" s="206"/>
      <c r="D511" s="206"/>
      <c r="E511" s="192"/>
      <c r="F511" s="206"/>
      <c r="G511" s="206"/>
      <c r="H511" s="206"/>
      <c r="I511" s="206"/>
      <c r="J511" s="206"/>
      <c r="K511" s="206"/>
      <c r="L511" s="206"/>
      <c r="M511" s="192"/>
      <c r="N511" s="206"/>
      <c r="O511" s="192"/>
      <c r="P511" s="192"/>
      <c r="Q511" s="206"/>
      <c r="R511" s="206"/>
      <c r="W511" s="206"/>
      <c r="X511" s="206"/>
      <c r="Y511" s="206"/>
      <c r="Z511" s="206"/>
      <c r="AA511" s="206"/>
      <c r="AB511" s="206"/>
      <c r="AC511" s="206"/>
      <c r="AD511" s="206"/>
      <c r="AL511" s="206"/>
      <c r="AM511" s="206"/>
      <c r="AN511" s="206"/>
      <c r="AO511" s="206"/>
      <c r="AP511" s="206"/>
      <c r="AQ511" s="206"/>
      <c r="AR511" s="206"/>
      <c r="AS511" s="206"/>
      <c r="AV511" s="206"/>
      <c r="AW511" s="206"/>
      <c r="AX511" s="206"/>
      <c r="AY511" s="206"/>
      <c r="AZ511" s="206"/>
      <c r="BA511" s="206"/>
      <c r="BB511" s="206"/>
      <c r="BD511" s="206"/>
      <c r="BF511" s="206"/>
      <c r="BG511" s="201"/>
      <c r="BJ511" s="201"/>
      <c r="BK511" s="201"/>
      <c r="BL511" s="201"/>
      <c r="BM511" s="201"/>
      <c r="BN511" s="201"/>
      <c r="BO511" s="201"/>
      <c r="BP511" s="201"/>
      <c r="BQ511" s="201"/>
      <c r="BR511" s="201"/>
      <c r="BS511" s="201"/>
      <c r="BT511" s="201"/>
      <c r="BU511" s="201"/>
      <c r="BV511" s="201"/>
      <c r="BW511" s="201"/>
      <c r="BX511" s="201"/>
      <c r="BY511" s="201"/>
      <c r="BZ511" s="201"/>
      <c r="CA511" s="201"/>
      <c r="CB511" s="201"/>
      <c r="CC511" s="201"/>
      <c r="CD511" s="201"/>
      <c r="CE511" s="201"/>
      <c r="CF511" s="201"/>
      <c r="CG511" s="201"/>
      <c r="CH511" s="201"/>
      <c r="CI511" s="201"/>
      <c r="CJ511" s="201"/>
      <c r="CK511" s="201"/>
      <c r="CL511" s="201"/>
      <c r="CM511" s="201"/>
      <c r="CN511" s="201"/>
      <c r="CP511" s="201"/>
      <c r="CQ511" s="201"/>
      <c r="CR511" s="201"/>
      <c r="CS511" s="201"/>
      <c r="CT511" s="201"/>
      <c r="CU511" s="201"/>
      <c r="CV511" s="201"/>
    </row>
    <row r="512" spans="1:100" x14ac:dyDescent="0.2">
      <c r="A512" s="220"/>
      <c r="B512" s="220"/>
      <c r="C512" s="206"/>
      <c r="D512" s="206"/>
      <c r="E512" s="192"/>
      <c r="F512" s="206"/>
      <c r="G512" s="206"/>
      <c r="H512"/>
      <c r="I512" s="206"/>
      <c r="J512"/>
      <c r="K512"/>
      <c r="L512" s="206"/>
      <c r="M512" s="192"/>
      <c r="N512" s="206"/>
      <c r="O512" s="192"/>
      <c r="P512" s="192"/>
      <c r="Q512" s="206"/>
      <c r="R512" s="206"/>
      <c r="W512" s="206"/>
      <c r="X512" s="206"/>
      <c r="Y512" s="206"/>
      <c r="Z512" s="206"/>
      <c r="AA512" s="206"/>
      <c r="AB512" s="206"/>
      <c r="AC512" s="206"/>
      <c r="AD512" s="206"/>
      <c r="AL512" s="206"/>
      <c r="AM512" s="206"/>
      <c r="AN512" s="206"/>
      <c r="AO512" s="206"/>
      <c r="AP512" s="206"/>
      <c r="AQ512" s="206"/>
      <c r="AR512" s="206"/>
      <c r="AS512" s="206"/>
      <c r="AV512" s="206"/>
      <c r="AW512" s="206"/>
      <c r="AY512" s="206"/>
      <c r="AZ512" s="206"/>
      <c r="BD512" s="206"/>
      <c r="BF512" s="206"/>
    </row>
    <row r="513" spans="1:58" x14ac:dyDescent="0.2">
      <c r="A513" s="220"/>
      <c r="B513" s="220"/>
      <c r="C513" s="206"/>
      <c r="D513" s="206"/>
      <c r="E513" s="192"/>
      <c r="F513" s="206"/>
      <c r="G513" s="206"/>
      <c r="H513"/>
      <c r="I513" s="206"/>
      <c r="J513"/>
      <c r="K513"/>
      <c r="L513" s="206"/>
      <c r="M513" s="192"/>
      <c r="N513" s="206"/>
      <c r="O513" s="192"/>
      <c r="P513" s="192"/>
      <c r="Q513" s="206"/>
      <c r="R513" s="206"/>
      <c r="W513" s="206"/>
      <c r="X513" s="206"/>
      <c r="Y513" s="206"/>
      <c r="Z513" s="206"/>
      <c r="AA513" s="206"/>
      <c r="AB513" s="206"/>
      <c r="AC513" s="206"/>
      <c r="AD513" s="206"/>
      <c r="AL513" s="206"/>
      <c r="AM513" s="206"/>
      <c r="AN513" s="206"/>
      <c r="AO513" s="206"/>
      <c r="AP513" s="206"/>
      <c r="AQ513" s="206"/>
      <c r="AR513" s="206"/>
      <c r="AS513" s="206"/>
      <c r="AV513" s="206"/>
      <c r="AW513" s="206"/>
      <c r="AY513" s="206"/>
      <c r="AZ513" s="206"/>
      <c r="BD513" s="206"/>
      <c r="BF513" s="206"/>
    </row>
    <row r="514" spans="1:58" x14ac:dyDescent="0.2">
      <c r="A514" s="220"/>
      <c r="B514" s="220"/>
      <c r="C514" s="206"/>
      <c r="D514" s="206"/>
      <c r="E514" s="192"/>
      <c r="F514" s="206"/>
      <c r="G514" s="206"/>
      <c r="H514"/>
      <c r="I514" s="206"/>
      <c r="J514"/>
      <c r="K514"/>
      <c r="L514" s="206"/>
      <c r="M514" s="192"/>
      <c r="N514" s="206"/>
      <c r="O514" s="192"/>
      <c r="P514" s="192"/>
      <c r="Q514" s="206"/>
      <c r="R514" s="206"/>
      <c r="W514" s="206"/>
      <c r="X514" s="206"/>
      <c r="Y514" s="206"/>
      <c r="Z514" s="206"/>
      <c r="AA514" s="206"/>
      <c r="AB514" s="206"/>
      <c r="AC514" s="206"/>
      <c r="AD514" s="206"/>
      <c r="AL514" s="206"/>
      <c r="AM514" s="206"/>
      <c r="AN514" s="206"/>
      <c r="AO514" s="206"/>
      <c r="AP514" s="206"/>
      <c r="AQ514" s="206"/>
      <c r="AR514" s="206"/>
      <c r="AS514" s="206"/>
      <c r="AV514" s="206"/>
      <c r="AW514" s="206"/>
      <c r="AY514" s="206"/>
      <c r="AZ514" s="206"/>
      <c r="BD514" s="206"/>
      <c r="BF514" s="206"/>
    </row>
    <row r="515" spans="1:58" x14ac:dyDescent="0.2">
      <c r="A515" s="220"/>
      <c r="B515" s="220"/>
      <c r="C515" s="206"/>
      <c r="D515" s="206"/>
      <c r="E515" s="192"/>
      <c r="F515" s="206"/>
      <c r="G515" s="206"/>
      <c r="H515"/>
      <c r="I515" s="206"/>
      <c r="J515"/>
      <c r="K515"/>
      <c r="L515" s="206"/>
      <c r="M515" s="192"/>
      <c r="N515" s="206"/>
      <c r="O515" s="192"/>
      <c r="P515" s="192"/>
      <c r="Q515" s="206"/>
      <c r="R515" s="206"/>
      <c r="W515" s="206"/>
      <c r="X515" s="206"/>
      <c r="Y515" s="206"/>
      <c r="Z515" s="206"/>
      <c r="AA515" s="206"/>
      <c r="AB515" s="206"/>
      <c r="AC515" s="206"/>
      <c r="AD515" s="206"/>
      <c r="AL515" s="206"/>
      <c r="AM515" s="206"/>
      <c r="AN515" s="206"/>
      <c r="AO515" s="206"/>
      <c r="AP515" s="206"/>
      <c r="AQ515" s="206"/>
      <c r="AR515" s="206"/>
      <c r="AS515" s="206"/>
      <c r="AV515" s="206"/>
      <c r="AW515" s="206"/>
      <c r="AY515" s="206"/>
      <c r="AZ515" s="206"/>
      <c r="BD515" s="206"/>
      <c r="BF515" s="206"/>
    </row>
    <row r="516" spans="1:58" x14ac:dyDescent="0.2">
      <c r="A516" s="220"/>
      <c r="B516" s="220"/>
      <c r="C516" s="206"/>
      <c r="D516" s="206"/>
      <c r="E516" s="192"/>
      <c r="F516" s="206"/>
      <c r="G516" s="206"/>
      <c r="H516"/>
      <c r="I516" s="206"/>
      <c r="J516"/>
      <c r="K516"/>
      <c r="L516" s="206"/>
      <c r="M516" s="192"/>
      <c r="N516" s="206"/>
      <c r="O516" s="192"/>
      <c r="P516" s="192"/>
      <c r="Q516" s="206"/>
      <c r="R516" s="206"/>
      <c r="W516" s="206"/>
      <c r="X516" s="206"/>
      <c r="Y516" s="206"/>
      <c r="Z516" s="206"/>
      <c r="AA516" s="206"/>
      <c r="AB516" s="206"/>
      <c r="AC516" s="206"/>
      <c r="AD516" s="206"/>
      <c r="AL516" s="206"/>
      <c r="AM516" s="206"/>
      <c r="AN516" s="206"/>
      <c r="AO516" s="206"/>
      <c r="AP516" s="206"/>
      <c r="AQ516" s="206"/>
      <c r="AR516" s="206"/>
      <c r="AS516" s="206"/>
      <c r="AV516" s="206"/>
      <c r="AW516" s="206"/>
      <c r="AY516" s="206"/>
      <c r="AZ516" s="206"/>
      <c r="BD516" s="206"/>
      <c r="BF516" s="206"/>
    </row>
    <row r="517" spans="1:58" x14ac:dyDescent="0.2">
      <c r="A517" s="220"/>
      <c r="B517" s="220"/>
      <c r="C517" s="206"/>
      <c r="D517" s="206"/>
      <c r="E517" s="192"/>
      <c r="F517" s="206"/>
      <c r="G517" s="206"/>
      <c r="H517"/>
      <c r="I517" s="206"/>
      <c r="J517"/>
      <c r="K517"/>
      <c r="L517" s="206"/>
      <c r="M517" s="192"/>
      <c r="N517" s="206"/>
      <c r="O517" s="192"/>
      <c r="P517" s="192"/>
      <c r="Q517" s="206"/>
      <c r="R517" s="206"/>
      <c r="W517" s="206"/>
      <c r="X517" s="206"/>
      <c r="Y517" s="206"/>
      <c r="Z517" s="206"/>
      <c r="AA517" s="206"/>
      <c r="AB517" s="206"/>
      <c r="AC517" s="206"/>
      <c r="AD517" s="206"/>
      <c r="AL517" s="206"/>
      <c r="AM517" s="206"/>
      <c r="AN517" s="206"/>
      <c r="AO517" s="206"/>
      <c r="AP517" s="206"/>
      <c r="AQ517" s="206"/>
      <c r="AR517" s="206"/>
      <c r="AS517" s="206"/>
      <c r="AV517" s="206"/>
      <c r="AW517" s="206"/>
      <c r="AY517" s="206"/>
      <c r="AZ517" s="206"/>
      <c r="BD517" s="206"/>
      <c r="BF517" s="206"/>
    </row>
    <row r="518" spans="1:58" x14ac:dyDescent="0.2">
      <c r="A518" s="220"/>
      <c r="B518" s="220"/>
      <c r="C518" s="206"/>
      <c r="D518" s="206"/>
      <c r="E518" s="192"/>
      <c r="F518" s="206"/>
      <c r="G518" s="206"/>
      <c r="H518"/>
      <c r="I518" s="206"/>
      <c r="J518"/>
      <c r="K518"/>
      <c r="L518" s="206"/>
      <c r="M518" s="192"/>
      <c r="N518" s="206"/>
      <c r="O518" s="192"/>
      <c r="P518" s="192"/>
      <c r="Q518" s="206"/>
      <c r="R518" s="206"/>
      <c r="W518" s="206"/>
      <c r="X518" s="206"/>
      <c r="Y518" s="206"/>
      <c r="Z518" s="206"/>
      <c r="AA518" s="206"/>
      <c r="AB518" s="206"/>
      <c r="AC518" s="206"/>
      <c r="AD518" s="206"/>
      <c r="AL518" s="206"/>
      <c r="AM518" s="206"/>
      <c r="AN518" s="206"/>
      <c r="AO518" s="206"/>
      <c r="AP518" s="206"/>
      <c r="AQ518" s="206"/>
      <c r="AR518" s="206"/>
      <c r="AS518" s="206"/>
      <c r="AV518" s="206"/>
      <c r="AW518" s="206"/>
      <c r="AY518" s="206"/>
      <c r="AZ518" s="206"/>
      <c r="BD518" s="206"/>
      <c r="BF518" s="206"/>
    </row>
    <row r="519" spans="1:58" x14ac:dyDescent="0.2">
      <c r="A519" s="220"/>
      <c r="B519" s="220"/>
      <c r="C519" s="206"/>
      <c r="D519" s="206"/>
      <c r="E519" s="192"/>
      <c r="F519" s="206"/>
      <c r="G519" s="206"/>
      <c r="H519" s="206"/>
      <c r="O519" s="192"/>
      <c r="P519" s="192"/>
      <c r="Q519" s="206"/>
      <c r="AB519" s="206"/>
      <c r="AC519" s="206"/>
      <c r="AE519"/>
    </row>
    <row r="520" spans="1:58" x14ac:dyDescent="0.2">
      <c r="A520" s="220"/>
      <c r="B520" s="220"/>
      <c r="C520" s="206"/>
      <c r="D520" s="206"/>
      <c r="E520" s="192"/>
      <c r="F520" s="206"/>
      <c r="G520" s="206"/>
      <c r="H520" s="206"/>
      <c r="O520" s="192"/>
      <c r="P520" s="192"/>
      <c r="Q520" s="206"/>
      <c r="AB520" s="206"/>
      <c r="AC520" s="206"/>
      <c r="AE520"/>
    </row>
    <row r="521" spans="1:58" x14ac:dyDescent="0.2">
      <c r="A521" s="220"/>
      <c r="B521" s="220"/>
      <c r="C521" s="206"/>
      <c r="D521" s="206"/>
      <c r="E521" s="192"/>
      <c r="F521" s="206"/>
      <c r="G521" s="206"/>
      <c r="H521" s="206"/>
      <c r="O521" s="192"/>
      <c r="P521" s="192"/>
      <c r="Q521" s="206"/>
      <c r="AB521" s="206"/>
      <c r="AC521" s="206"/>
      <c r="AE521"/>
    </row>
    <row r="522" spans="1:58" x14ac:dyDescent="0.2">
      <c r="A522" s="220"/>
      <c r="B522" s="220"/>
      <c r="C522" s="206"/>
      <c r="D522" s="206"/>
      <c r="E522" s="192"/>
      <c r="F522" s="206"/>
      <c r="G522" s="206"/>
      <c r="H522" s="206"/>
      <c r="O522" s="192"/>
      <c r="P522" s="192"/>
      <c r="Q522" s="206"/>
      <c r="AB522" s="206"/>
      <c r="AC522" s="206"/>
      <c r="AE522"/>
    </row>
    <row r="523" spans="1:58" x14ac:dyDescent="0.2">
      <c r="A523" s="220"/>
      <c r="B523" s="220"/>
      <c r="C523" s="206"/>
      <c r="D523" s="206"/>
      <c r="E523" s="192"/>
      <c r="F523" s="206"/>
      <c r="G523" s="206"/>
      <c r="H523" s="206"/>
      <c r="O523" s="192"/>
      <c r="P523" s="192"/>
      <c r="Q523" s="206"/>
      <c r="AB523" s="206"/>
      <c r="AC523" s="206"/>
      <c r="AE523"/>
    </row>
    <row r="524" spans="1:58" x14ac:dyDescent="0.2">
      <c r="A524" s="220"/>
      <c r="B524" s="220"/>
      <c r="C524" s="206"/>
      <c r="D524" s="206"/>
      <c r="E524" s="192"/>
      <c r="F524" s="206"/>
      <c r="G524" s="206"/>
      <c r="H524" s="206"/>
      <c r="O524" s="192"/>
      <c r="P524" s="192"/>
      <c r="Q524" s="206"/>
      <c r="AB524" s="206"/>
      <c r="AC524" s="206"/>
      <c r="AE524"/>
    </row>
    <row r="525" spans="1:58" x14ac:dyDescent="0.2">
      <c r="A525" s="220"/>
      <c r="B525" s="220"/>
      <c r="C525" s="206"/>
      <c r="D525" s="206"/>
      <c r="E525" s="192"/>
      <c r="F525" s="206"/>
      <c r="G525" s="206"/>
      <c r="H525" s="206"/>
      <c r="O525" s="192"/>
      <c r="P525" s="192"/>
      <c r="Q525" s="206"/>
      <c r="AB525" s="206"/>
      <c r="AC525" s="206"/>
      <c r="AE525"/>
    </row>
    <row r="526" spans="1:58" x14ac:dyDescent="0.2">
      <c r="A526" s="220"/>
      <c r="B526" s="220"/>
      <c r="C526" s="206"/>
      <c r="D526" s="206"/>
      <c r="E526" s="192"/>
      <c r="F526" s="206"/>
      <c r="G526" s="206"/>
      <c r="H526" s="206"/>
      <c r="O526" s="192"/>
      <c r="P526" s="192"/>
      <c r="Q526" s="206"/>
      <c r="AB526" s="206"/>
      <c r="AC526" s="206"/>
      <c r="AE526"/>
    </row>
    <row r="527" spans="1:58" x14ac:dyDescent="0.2">
      <c r="A527" s="220"/>
      <c r="B527" s="220"/>
      <c r="C527" s="206"/>
      <c r="D527" s="206"/>
      <c r="E527" s="192"/>
      <c r="F527" s="206"/>
      <c r="G527" s="206"/>
      <c r="H527" s="206"/>
      <c r="O527" s="192"/>
      <c r="P527" s="192"/>
      <c r="Q527" s="206"/>
      <c r="AB527" s="206"/>
      <c r="AC527" s="206"/>
      <c r="AE527"/>
    </row>
    <row r="528" spans="1:58" x14ac:dyDescent="0.2">
      <c r="A528" s="220"/>
      <c r="B528" s="220"/>
      <c r="C528" s="206"/>
      <c r="D528" s="206"/>
      <c r="E528" s="192"/>
      <c r="F528" s="206"/>
      <c r="G528" s="206"/>
      <c r="H528" s="206"/>
      <c r="O528" s="192"/>
      <c r="P528" s="192"/>
      <c r="Q528" s="206"/>
      <c r="AB528" s="206"/>
      <c r="AC528" s="206"/>
      <c r="AE528"/>
    </row>
    <row r="529" spans="1:31" x14ac:dyDescent="0.2">
      <c r="A529" s="220"/>
      <c r="B529" s="220"/>
      <c r="C529" s="206"/>
      <c r="D529" s="206"/>
      <c r="E529" s="192"/>
      <c r="F529" s="206"/>
      <c r="G529" s="206"/>
      <c r="H529" s="206"/>
      <c r="O529" s="192"/>
      <c r="P529" s="192"/>
      <c r="Q529" s="206"/>
      <c r="AB529" s="206"/>
      <c r="AC529" s="206"/>
      <c r="AE529"/>
    </row>
    <row r="530" spans="1:31" x14ac:dyDescent="0.2">
      <c r="A530" s="220"/>
      <c r="B530" s="220"/>
      <c r="C530" s="206"/>
      <c r="D530" s="206"/>
      <c r="E530" s="192"/>
      <c r="F530" s="206"/>
      <c r="G530" s="206"/>
      <c r="H530" s="206"/>
      <c r="O530" s="192"/>
      <c r="P530" s="192"/>
      <c r="Q530" s="206"/>
      <c r="AB530" s="206"/>
      <c r="AC530" s="206"/>
      <c r="AE530"/>
    </row>
    <row r="531" spans="1:31" x14ac:dyDescent="0.2">
      <c r="A531" s="220"/>
      <c r="B531" s="220"/>
      <c r="C531" s="206"/>
      <c r="D531" s="206"/>
      <c r="E531" s="192"/>
      <c r="F531" s="206"/>
      <c r="G531" s="206"/>
      <c r="H531" s="206"/>
      <c r="O531" s="192"/>
      <c r="P531" s="192"/>
      <c r="Q531" s="206"/>
      <c r="AB531" s="206"/>
      <c r="AC531" s="206"/>
      <c r="AE531"/>
    </row>
    <row r="532" spans="1:31" x14ac:dyDescent="0.2">
      <c r="A532" s="220"/>
      <c r="B532" s="220"/>
      <c r="C532" s="206"/>
      <c r="D532" s="206"/>
      <c r="E532" s="192"/>
      <c r="F532" s="206"/>
      <c r="G532" s="206"/>
      <c r="H532" s="206"/>
      <c r="O532" s="192"/>
      <c r="P532" s="192"/>
      <c r="Q532" s="206"/>
      <c r="AB532" s="206"/>
      <c r="AC532" s="206"/>
      <c r="AE532"/>
    </row>
    <row r="533" spans="1:31" x14ac:dyDescent="0.2">
      <c r="A533" s="220"/>
      <c r="B533" s="220"/>
      <c r="C533" s="206"/>
      <c r="D533" s="206"/>
      <c r="E533" s="192"/>
      <c r="F533" s="206"/>
      <c r="G533" s="206"/>
      <c r="H533" s="206"/>
      <c r="O533" s="192"/>
      <c r="P533" s="192"/>
      <c r="Q533" s="206"/>
      <c r="AB533" s="206"/>
      <c r="AC533" s="206"/>
      <c r="AE533"/>
    </row>
    <row r="534" spans="1:31" x14ac:dyDescent="0.2">
      <c r="A534" s="220"/>
      <c r="B534" s="220"/>
      <c r="C534" s="206"/>
      <c r="D534" s="206"/>
      <c r="E534" s="192"/>
      <c r="F534" s="206"/>
      <c r="G534" s="206"/>
      <c r="H534" s="206"/>
      <c r="O534" s="192"/>
      <c r="P534" s="192"/>
      <c r="Q534" s="206"/>
      <c r="AB534" s="206"/>
      <c r="AC534" s="206"/>
      <c r="AE534"/>
    </row>
    <row r="535" spans="1:31" x14ac:dyDescent="0.2">
      <c r="A535" s="220"/>
      <c r="B535" s="220"/>
      <c r="C535" s="206"/>
      <c r="D535" s="206"/>
      <c r="E535" s="192"/>
      <c r="F535" s="206"/>
      <c r="G535" s="206"/>
      <c r="H535" s="206"/>
      <c r="O535" s="192"/>
      <c r="P535" s="192"/>
      <c r="Q535" s="206"/>
      <c r="AB535" s="206"/>
      <c r="AC535" s="206"/>
      <c r="AE535"/>
    </row>
    <row r="536" spans="1:31" x14ac:dyDescent="0.2">
      <c r="A536" s="220"/>
      <c r="B536" s="220"/>
      <c r="C536" s="206"/>
      <c r="D536" s="206"/>
      <c r="E536" s="192"/>
      <c r="F536" s="206"/>
      <c r="G536" s="206"/>
      <c r="H536" s="206"/>
      <c r="O536" s="192"/>
      <c r="P536" s="192"/>
      <c r="Q536" s="206"/>
      <c r="AB536" s="206"/>
      <c r="AC536" s="206"/>
      <c r="AE536"/>
    </row>
    <row r="537" spans="1:31" x14ac:dyDescent="0.2">
      <c r="A537" s="220"/>
      <c r="B537" s="220"/>
      <c r="C537" s="206"/>
      <c r="D537" s="206"/>
      <c r="E537" s="192"/>
      <c r="F537" s="206"/>
      <c r="G537" s="206"/>
      <c r="H537" s="206"/>
      <c r="O537" s="192"/>
      <c r="P537" s="192"/>
      <c r="Q537" s="206"/>
      <c r="AB537" s="206"/>
      <c r="AC537" s="206"/>
      <c r="AE537"/>
    </row>
    <row r="538" spans="1:31" x14ac:dyDescent="0.2">
      <c r="A538" s="220"/>
      <c r="B538" s="220"/>
      <c r="C538" s="206"/>
      <c r="D538" s="206"/>
      <c r="E538" s="192"/>
      <c r="F538" s="206"/>
      <c r="G538" s="206"/>
      <c r="H538" s="206"/>
      <c r="O538" s="192"/>
      <c r="P538" s="192"/>
      <c r="Q538" s="206"/>
      <c r="AB538" s="206"/>
      <c r="AC538" s="206"/>
      <c r="AE538"/>
    </row>
    <row r="539" spans="1:31" x14ac:dyDescent="0.2">
      <c r="A539" s="220"/>
      <c r="B539" s="220"/>
      <c r="C539" s="206"/>
      <c r="D539" s="206"/>
      <c r="E539" s="192"/>
      <c r="F539" s="206"/>
      <c r="G539" s="206"/>
      <c r="H539" s="206"/>
      <c r="O539" s="192"/>
      <c r="P539" s="192"/>
      <c r="Q539" s="206"/>
      <c r="AB539" s="206"/>
      <c r="AC539" s="206"/>
      <c r="AE539"/>
    </row>
    <row r="540" spans="1:31" x14ac:dyDescent="0.2">
      <c r="A540" s="220"/>
      <c r="B540" s="220"/>
      <c r="C540" s="206"/>
      <c r="D540" s="206"/>
      <c r="E540" s="192"/>
      <c r="F540" s="206"/>
      <c r="G540" s="206"/>
      <c r="H540" s="206"/>
      <c r="O540" s="192"/>
      <c r="P540" s="192"/>
      <c r="Q540" s="206"/>
      <c r="AB540" s="206"/>
      <c r="AC540" s="206"/>
      <c r="AE540"/>
    </row>
    <row r="541" spans="1:31" x14ac:dyDescent="0.2">
      <c r="A541" s="220"/>
      <c r="B541" s="220"/>
      <c r="C541" s="206"/>
      <c r="D541" s="206"/>
      <c r="E541" s="192"/>
      <c r="F541" s="206"/>
      <c r="G541" s="206"/>
      <c r="H541" s="206"/>
      <c r="O541" s="192"/>
      <c r="P541" s="192"/>
      <c r="Q541" s="206"/>
      <c r="AB541" s="206"/>
      <c r="AC541" s="206"/>
      <c r="AE541"/>
    </row>
    <row r="542" spans="1:31" x14ac:dyDescent="0.2">
      <c r="A542" s="220"/>
      <c r="B542" s="220"/>
      <c r="C542" s="206"/>
      <c r="D542" s="206"/>
      <c r="E542" s="192"/>
      <c r="F542" s="206"/>
      <c r="G542" s="206"/>
      <c r="H542" s="206"/>
      <c r="O542" s="192"/>
      <c r="P542" s="192"/>
      <c r="Q542" s="206"/>
      <c r="AB542" s="206"/>
      <c r="AC542" s="206"/>
      <c r="AE542"/>
    </row>
    <row r="543" spans="1:31" x14ac:dyDescent="0.2">
      <c r="A543" s="220"/>
      <c r="B543" s="220"/>
      <c r="C543" s="206"/>
      <c r="D543" s="206"/>
      <c r="E543" s="192"/>
      <c r="F543" s="206"/>
      <c r="G543" s="206"/>
      <c r="H543" s="206"/>
      <c r="O543" s="192"/>
      <c r="P543" s="192"/>
      <c r="Q543" s="206"/>
      <c r="AB543" s="206"/>
      <c r="AC543" s="206"/>
      <c r="AE543"/>
    </row>
    <row r="544" spans="1:31" x14ac:dyDescent="0.2">
      <c r="A544" s="220"/>
      <c r="B544" s="220"/>
      <c r="C544" s="206"/>
      <c r="D544" s="206"/>
      <c r="E544" s="192"/>
      <c r="F544" s="206"/>
      <c r="G544" s="206"/>
      <c r="H544" s="206"/>
      <c r="O544" s="192"/>
      <c r="P544" s="192"/>
      <c r="Q544" s="206"/>
      <c r="AB544" s="206"/>
      <c r="AC544" s="206"/>
      <c r="AE544"/>
    </row>
    <row r="545" spans="1:31" x14ac:dyDescent="0.2">
      <c r="A545" s="220"/>
      <c r="B545" s="220"/>
      <c r="C545" s="206"/>
      <c r="D545" s="206"/>
      <c r="E545" s="192"/>
      <c r="F545" s="206"/>
      <c r="G545" s="206"/>
      <c r="H545" s="206"/>
      <c r="O545" s="192"/>
      <c r="P545" s="192"/>
      <c r="Q545" s="206"/>
      <c r="AB545" s="206"/>
      <c r="AC545" s="206"/>
      <c r="AE545"/>
    </row>
    <row r="546" spans="1:31" x14ac:dyDescent="0.2">
      <c r="A546" s="220"/>
      <c r="B546" s="220"/>
      <c r="C546" s="206"/>
      <c r="D546" s="206"/>
      <c r="E546" s="192"/>
      <c r="F546" s="206"/>
      <c r="G546" s="206"/>
      <c r="H546" s="206"/>
      <c r="O546" s="192"/>
      <c r="P546" s="192"/>
      <c r="Q546" s="206"/>
      <c r="AB546" s="206"/>
      <c r="AC546" s="206"/>
      <c r="AE546"/>
    </row>
    <row r="547" spans="1:31" x14ac:dyDescent="0.2">
      <c r="A547" s="220"/>
      <c r="B547" s="220"/>
      <c r="C547" s="206"/>
      <c r="D547" s="206"/>
      <c r="E547" s="192"/>
      <c r="F547" s="206"/>
      <c r="G547" s="206"/>
      <c r="H547" s="206"/>
      <c r="O547" s="192"/>
      <c r="P547" s="192"/>
      <c r="Q547" s="206"/>
      <c r="AB547" s="206"/>
      <c r="AC547" s="206"/>
      <c r="AE547"/>
    </row>
    <row r="548" spans="1:31" x14ac:dyDescent="0.2">
      <c r="A548" s="220"/>
      <c r="B548" s="220"/>
      <c r="C548" s="206"/>
      <c r="D548" s="206"/>
      <c r="E548" s="192"/>
      <c r="F548" s="206"/>
      <c r="G548" s="206"/>
      <c r="H548" s="206"/>
      <c r="O548" s="192"/>
      <c r="P548" s="192"/>
      <c r="Q548" s="206"/>
      <c r="AB548" s="206"/>
      <c r="AC548" s="206"/>
      <c r="AE548"/>
    </row>
    <row r="549" spans="1:31" x14ac:dyDescent="0.2">
      <c r="A549" s="220"/>
      <c r="B549" s="220"/>
      <c r="C549" s="206"/>
      <c r="D549" s="206"/>
      <c r="E549" s="192"/>
      <c r="F549" s="206"/>
      <c r="G549" s="206"/>
      <c r="H549" s="206"/>
      <c r="O549" s="192"/>
      <c r="P549" s="192"/>
      <c r="Q549" s="206"/>
      <c r="AB549" s="206"/>
      <c r="AC549" s="206"/>
      <c r="AE549"/>
    </row>
    <row r="550" spans="1:31" x14ac:dyDescent="0.2">
      <c r="A550" s="220"/>
      <c r="B550" s="220"/>
      <c r="C550" s="206"/>
      <c r="D550" s="206"/>
      <c r="E550" s="192"/>
      <c r="F550" s="206"/>
      <c r="G550" s="206"/>
      <c r="H550"/>
      <c r="O550" s="192"/>
      <c r="P550" s="192"/>
      <c r="Q550" s="206"/>
      <c r="AB550" s="206"/>
      <c r="AC550" s="206"/>
      <c r="AE550"/>
    </row>
    <row r="551" spans="1:31" x14ac:dyDescent="0.2">
      <c r="A551" s="220"/>
      <c r="B551" s="220"/>
      <c r="C551" s="206"/>
      <c r="D551" s="206"/>
      <c r="E551" s="192"/>
      <c r="F551" s="206"/>
      <c r="G551" s="206"/>
      <c r="H551" s="206"/>
      <c r="O551" s="192"/>
      <c r="P551" s="192"/>
      <c r="Q551" s="206"/>
      <c r="AB551" s="206"/>
      <c r="AC551" s="206"/>
      <c r="AE551"/>
    </row>
    <row r="552" spans="1:31" x14ac:dyDescent="0.2">
      <c r="A552" s="220"/>
      <c r="B552" s="220"/>
      <c r="C552" s="206"/>
      <c r="D552" s="206"/>
      <c r="E552" s="192"/>
      <c r="F552" s="206"/>
      <c r="G552" s="206"/>
      <c r="H552"/>
      <c r="O552" s="192"/>
      <c r="P552" s="192"/>
      <c r="Q552" s="206"/>
      <c r="AB552" s="206"/>
      <c r="AC552" s="206"/>
      <c r="AE552"/>
    </row>
    <row r="553" spans="1:31" x14ac:dyDescent="0.2">
      <c r="A553" s="220"/>
      <c r="B553" s="220"/>
      <c r="C553" s="206"/>
      <c r="D553" s="206"/>
      <c r="E553" s="192"/>
      <c r="F553" s="206"/>
      <c r="G553" s="206"/>
      <c r="H553"/>
      <c r="O553" s="192"/>
      <c r="P553" s="192"/>
      <c r="Q553" s="206"/>
      <c r="AB553" s="206"/>
      <c r="AC553" s="206"/>
      <c r="AE553"/>
    </row>
    <row r="554" spans="1:31" x14ac:dyDescent="0.2">
      <c r="A554" s="220"/>
      <c r="B554" s="220"/>
      <c r="C554" s="206"/>
      <c r="D554" s="206"/>
      <c r="E554" s="192"/>
      <c r="F554" s="206"/>
      <c r="G554"/>
      <c r="H554"/>
      <c r="O554" s="192"/>
      <c r="P554" s="192"/>
      <c r="Q554" s="206"/>
      <c r="AB554" s="206"/>
      <c r="AC554" s="206"/>
      <c r="AE554"/>
    </row>
    <row r="555" spans="1:31" x14ac:dyDescent="0.2">
      <c r="A555" s="220"/>
      <c r="B555" s="220"/>
      <c r="C555" s="206"/>
      <c r="D555" s="206"/>
      <c r="E555" s="192"/>
      <c r="F555" s="206"/>
      <c r="G555"/>
      <c r="H555"/>
      <c r="O555" s="192"/>
      <c r="P555" s="192"/>
      <c r="Q555" s="206"/>
      <c r="AB555" s="206"/>
      <c r="AC555" s="206"/>
      <c r="AE555"/>
    </row>
    <row r="556" spans="1:31" x14ac:dyDescent="0.2">
      <c r="A556" s="220"/>
      <c r="B556" s="220"/>
      <c r="C556" s="206"/>
      <c r="D556" s="206"/>
      <c r="E556" s="192"/>
      <c r="F556" s="206"/>
      <c r="G556" s="206"/>
      <c r="H556" s="206"/>
      <c r="O556" s="192"/>
      <c r="P556" s="192"/>
      <c r="Q556" s="206"/>
      <c r="AB556" s="206"/>
      <c r="AC556" s="206"/>
      <c r="AE556"/>
    </row>
    <row r="557" spans="1:31" x14ac:dyDescent="0.2">
      <c r="A557" s="220"/>
      <c r="B557" s="220"/>
      <c r="C557" s="206"/>
      <c r="D557" s="206"/>
      <c r="E557" s="192"/>
      <c r="F557" s="206"/>
      <c r="G557"/>
      <c r="H557"/>
      <c r="O557" s="192"/>
      <c r="P557" s="192"/>
      <c r="Q557" s="206"/>
      <c r="AB557" s="206"/>
      <c r="AC557" s="206"/>
      <c r="AE557"/>
    </row>
    <row r="558" spans="1:31" x14ac:dyDescent="0.2">
      <c r="A558" s="220"/>
      <c r="B558" s="220"/>
      <c r="C558" s="206"/>
      <c r="D558" s="206"/>
      <c r="E558" s="192"/>
      <c r="F558" s="206"/>
      <c r="G558" s="206"/>
      <c r="H558"/>
      <c r="O558" s="192"/>
      <c r="P558" s="192"/>
      <c r="Q558" s="206"/>
      <c r="AB558" s="206"/>
      <c r="AC558" s="206"/>
      <c r="AE558"/>
    </row>
    <row r="559" spans="1:31" x14ac:dyDescent="0.2">
      <c r="A559" s="220"/>
      <c r="B559" s="220"/>
      <c r="C559" s="206"/>
      <c r="D559" s="206"/>
      <c r="E559" s="192"/>
      <c r="F559" s="206"/>
      <c r="G559" s="206"/>
      <c r="H559"/>
      <c r="O559" s="192"/>
      <c r="P559" s="192"/>
      <c r="Q559" s="206"/>
      <c r="AB559" s="206"/>
      <c r="AC559" s="206"/>
      <c r="AE559"/>
    </row>
    <row r="560" spans="1:31" x14ac:dyDescent="0.2">
      <c r="A560" s="220"/>
      <c r="B560" s="220"/>
      <c r="C560" s="206"/>
      <c r="D560" s="206"/>
      <c r="E560" s="192"/>
      <c r="F560" s="206"/>
      <c r="G560" s="206"/>
      <c r="H560"/>
      <c r="O560" s="192"/>
      <c r="P560" s="192"/>
      <c r="Q560" s="206"/>
      <c r="AB560" s="206"/>
      <c r="AC560" s="206"/>
      <c r="AE560"/>
    </row>
    <row r="561" spans="1:31" x14ac:dyDescent="0.2">
      <c r="A561" s="220"/>
      <c r="B561" s="220"/>
      <c r="C561" s="206"/>
      <c r="D561" s="206"/>
      <c r="E561" s="192"/>
      <c r="F561" s="206"/>
      <c r="G561" s="206"/>
      <c r="H561"/>
      <c r="O561" s="192"/>
      <c r="P561" s="192"/>
      <c r="Q561" s="206"/>
      <c r="AB561" s="206"/>
      <c r="AC561" s="206"/>
      <c r="AE561"/>
    </row>
    <row r="562" spans="1:31" x14ac:dyDescent="0.2">
      <c r="A562" s="220"/>
      <c r="B562" s="220"/>
      <c r="C562" s="206"/>
      <c r="D562" s="206"/>
      <c r="E562" s="192"/>
      <c r="F562" s="206"/>
      <c r="G562"/>
      <c r="H562"/>
      <c r="O562" s="192"/>
      <c r="P562" s="192"/>
      <c r="Q562" s="206"/>
      <c r="AB562" s="206"/>
      <c r="AC562" s="206"/>
      <c r="AE562"/>
    </row>
    <row r="563" spans="1:31" x14ac:dyDescent="0.2">
      <c r="A563" s="220"/>
      <c r="B563" s="220"/>
      <c r="C563" s="206"/>
      <c r="D563" s="206"/>
      <c r="E563" s="192"/>
      <c r="F563" s="206"/>
      <c r="G563" s="206"/>
      <c r="H563"/>
      <c r="O563" s="192"/>
      <c r="P563" s="192"/>
      <c r="Q563" s="206"/>
      <c r="AB563" s="206"/>
      <c r="AC563" s="206"/>
      <c r="AE563"/>
    </row>
    <row r="564" spans="1:31" x14ac:dyDescent="0.2">
      <c r="A564" s="220"/>
      <c r="B564" s="220"/>
      <c r="C564" s="206"/>
      <c r="D564" s="206"/>
      <c r="E564" s="192"/>
      <c r="F564" s="206"/>
      <c r="G564" s="206"/>
      <c r="H564"/>
      <c r="O564" s="192"/>
      <c r="P564" s="192"/>
      <c r="Q564" s="206"/>
      <c r="AB564" s="206"/>
      <c r="AC564" s="206"/>
      <c r="AE564"/>
    </row>
    <row r="565" spans="1:31" x14ac:dyDescent="0.2">
      <c r="A565" s="220"/>
      <c r="B565" s="220"/>
      <c r="C565" s="206"/>
      <c r="D565" s="206"/>
      <c r="E565" s="192"/>
      <c r="F565" s="206"/>
      <c r="G565" s="206"/>
      <c r="H565"/>
      <c r="O565" s="192"/>
      <c r="P565" s="192"/>
      <c r="Q565" s="206"/>
      <c r="AB565" s="206"/>
      <c r="AC565" s="206"/>
      <c r="AE565"/>
    </row>
    <row r="566" spans="1:31" x14ac:dyDescent="0.2">
      <c r="A566" s="220"/>
      <c r="B566" s="220"/>
      <c r="C566" s="206"/>
      <c r="D566" s="206"/>
      <c r="E566" s="192"/>
      <c r="F566" s="206"/>
      <c r="G566" s="206"/>
      <c r="H566" s="206"/>
      <c r="O566" s="192"/>
      <c r="P566" s="192"/>
      <c r="Q566" s="206"/>
      <c r="AB566" s="206"/>
      <c r="AC566" s="206"/>
      <c r="AE566"/>
    </row>
    <row r="567" spans="1:31" x14ac:dyDescent="0.2">
      <c r="A567" s="220"/>
      <c r="B567" s="220"/>
      <c r="C567" s="206"/>
      <c r="D567" s="206"/>
      <c r="E567" s="192"/>
      <c r="F567" s="206"/>
      <c r="G567" s="206"/>
      <c r="H567"/>
      <c r="O567" s="192"/>
      <c r="P567" s="192"/>
      <c r="Q567" s="206"/>
      <c r="AB567" s="206"/>
      <c r="AC567" s="206"/>
      <c r="AE567"/>
    </row>
    <row r="568" spans="1:31" x14ac:dyDescent="0.2">
      <c r="A568" s="220"/>
      <c r="B568" s="220"/>
      <c r="C568" s="206"/>
      <c r="D568" s="206"/>
      <c r="E568" s="192"/>
      <c r="F568" s="206"/>
      <c r="G568" s="206"/>
      <c r="H568"/>
      <c r="O568" s="192"/>
      <c r="P568" s="192"/>
      <c r="Q568" s="206"/>
      <c r="AB568" s="206"/>
      <c r="AC568" s="206"/>
      <c r="AE568"/>
    </row>
    <row r="569" spans="1:31" x14ac:dyDescent="0.2">
      <c r="A569" s="220"/>
      <c r="B569" s="220"/>
      <c r="C569" s="206"/>
      <c r="D569" s="206"/>
      <c r="E569" s="192"/>
      <c r="F569" s="206"/>
      <c r="G569" s="206"/>
      <c r="H569"/>
      <c r="O569" s="192"/>
      <c r="P569" s="192"/>
      <c r="Q569" s="206"/>
      <c r="AB569" s="206"/>
      <c r="AC569" s="206"/>
      <c r="AE569"/>
    </row>
    <row r="570" spans="1:31" x14ac:dyDescent="0.2">
      <c r="A570" s="220"/>
      <c r="B570" s="220"/>
      <c r="C570" s="206"/>
      <c r="D570" s="206"/>
      <c r="E570" s="192"/>
      <c r="F570" s="206"/>
      <c r="G570" s="206"/>
      <c r="H570"/>
      <c r="O570" s="192"/>
      <c r="P570" s="192"/>
      <c r="Q570" s="206"/>
      <c r="AB570" s="206"/>
      <c r="AC570" s="206"/>
      <c r="AE570"/>
    </row>
    <row r="571" spans="1:31" x14ac:dyDescent="0.2">
      <c r="A571" s="220"/>
      <c r="B571" s="220"/>
      <c r="C571" s="206"/>
      <c r="D571" s="206"/>
      <c r="E571" s="192"/>
      <c r="F571" s="206"/>
      <c r="G571" s="206"/>
      <c r="H571" s="206"/>
      <c r="O571" s="192"/>
      <c r="P571" s="192"/>
      <c r="Q571" s="206"/>
      <c r="AB571" s="206"/>
      <c r="AC571" s="206"/>
      <c r="AE571"/>
    </row>
    <row r="572" spans="1:31" x14ac:dyDescent="0.2">
      <c r="A572" s="220"/>
      <c r="B572" s="220"/>
      <c r="C572" s="206"/>
      <c r="D572" s="206"/>
      <c r="E572" s="192"/>
      <c r="F572" s="206"/>
      <c r="G572" s="206"/>
      <c r="H572"/>
      <c r="O572" s="192"/>
      <c r="P572" s="192"/>
      <c r="Q572" s="206"/>
      <c r="AB572" s="206"/>
      <c r="AC572" s="206"/>
      <c r="AE572"/>
    </row>
    <row r="573" spans="1:31" x14ac:dyDescent="0.2">
      <c r="A573" s="220"/>
      <c r="B573" s="220"/>
      <c r="C573" s="206"/>
      <c r="D573" s="206"/>
      <c r="E573" s="192"/>
      <c r="F573" s="206"/>
      <c r="G573" s="206"/>
      <c r="H573"/>
      <c r="O573" s="192"/>
      <c r="P573" s="192"/>
      <c r="Q573" s="206"/>
      <c r="AB573" s="206"/>
      <c r="AC573" s="206"/>
      <c r="AE573"/>
    </row>
    <row r="574" spans="1:31" x14ac:dyDescent="0.2">
      <c r="A574" s="220"/>
      <c r="B574" s="220"/>
      <c r="C574" s="206"/>
      <c r="D574" s="206"/>
      <c r="E574" s="192"/>
      <c r="F574" s="206"/>
      <c r="G574"/>
      <c r="H574"/>
      <c r="O574" s="192"/>
      <c r="P574" s="192"/>
      <c r="Q574" s="206"/>
      <c r="AB574" s="206"/>
      <c r="AC574" s="206"/>
      <c r="AE574"/>
    </row>
    <row r="575" spans="1:31" x14ac:dyDescent="0.2">
      <c r="A575" s="220"/>
      <c r="B575" s="220"/>
      <c r="C575" s="206"/>
      <c r="D575" s="206"/>
      <c r="E575" s="192"/>
      <c r="F575" s="206"/>
      <c r="G575"/>
      <c r="H575"/>
      <c r="O575" s="192"/>
      <c r="P575" s="192"/>
      <c r="Q575" s="206"/>
      <c r="AB575" s="206"/>
      <c r="AC575" s="206"/>
      <c r="AE575"/>
    </row>
    <row r="576" spans="1:31" x14ac:dyDescent="0.2">
      <c r="A576" s="220"/>
      <c r="B576" s="220"/>
      <c r="C576" s="206"/>
      <c r="D576" s="206"/>
      <c r="E576" s="192"/>
      <c r="F576" s="206"/>
      <c r="G576" s="206"/>
      <c r="H576"/>
      <c r="O576" s="192"/>
      <c r="P576" s="192"/>
      <c r="Q576" s="206"/>
      <c r="AB576" s="206"/>
      <c r="AC576" s="206"/>
      <c r="AE576"/>
    </row>
    <row r="577" spans="1:31" x14ac:dyDescent="0.2">
      <c r="A577" s="220"/>
      <c r="B577" s="220"/>
      <c r="C577" s="206"/>
      <c r="D577" s="206"/>
      <c r="E577" s="192"/>
      <c r="F577" s="206"/>
      <c r="G577"/>
      <c r="H577"/>
      <c r="O577" s="192"/>
      <c r="P577" s="192"/>
      <c r="Q577" s="206"/>
      <c r="AB577" s="206"/>
      <c r="AC577" s="206"/>
      <c r="AE577"/>
    </row>
    <row r="578" spans="1:31" x14ac:dyDescent="0.2">
      <c r="A578" s="220"/>
      <c r="B578" s="220"/>
      <c r="C578" s="206"/>
      <c r="D578" s="206"/>
      <c r="E578" s="192"/>
      <c r="F578" s="206"/>
      <c r="G578" s="206"/>
      <c r="H578"/>
      <c r="O578" s="192"/>
      <c r="P578" s="192"/>
      <c r="Q578" s="206"/>
      <c r="AB578" s="206"/>
      <c r="AC578" s="206"/>
      <c r="AE578"/>
    </row>
    <row r="579" spans="1:31" x14ac:dyDescent="0.2">
      <c r="A579" s="220"/>
      <c r="B579" s="220"/>
      <c r="C579" s="206"/>
      <c r="D579" s="206"/>
      <c r="E579" s="192"/>
      <c r="F579" s="206"/>
      <c r="G579" s="206"/>
      <c r="H579"/>
      <c r="O579" s="192"/>
      <c r="P579" s="192"/>
      <c r="Q579" s="206"/>
      <c r="AB579" s="206"/>
      <c r="AC579" s="206"/>
      <c r="AE579"/>
    </row>
    <row r="580" spans="1:31" x14ac:dyDescent="0.2">
      <c r="A580" s="220"/>
      <c r="B580" s="220"/>
      <c r="C580" s="206"/>
      <c r="D580" s="206"/>
      <c r="E580" s="192"/>
      <c r="F580" s="206"/>
      <c r="G580" s="206"/>
      <c r="H580"/>
      <c r="O580" s="192"/>
      <c r="P580" s="192"/>
      <c r="Q580" s="206"/>
      <c r="AB580" s="206"/>
      <c r="AC580" s="206"/>
      <c r="AE580"/>
    </row>
    <row r="581" spans="1:31" x14ac:dyDescent="0.2">
      <c r="A581" s="220"/>
      <c r="B581" s="220"/>
      <c r="C581" s="206"/>
      <c r="D581" s="206"/>
      <c r="E581" s="192"/>
      <c r="F581" s="206"/>
      <c r="G581" s="206"/>
      <c r="H581"/>
      <c r="O581" s="192"/>
      <c r="P581" s="192"/>
      <c r="Q581" s="206"/>
      <c r="AB581" s="206"/>
      <c r="AC581" s="206"/>
      <c r="AE581"/>
    </row>
    <row r="582" spans="1:31" x14ac:dyDescent="0.2">
      <c r="A582" s="220"/>
      <c r="B582" s="220"/>
      <c r="C582" s="206"/>
      <c r="D582" s="206"/>
      <c r="E582" s="192"/>
      <c r="F582" s="206"/>
      <c r="G582"/>
      <c r="H582"/>
      <c r="O582" s="192"/>
      <c r="P582" s="192"/>
      <c r="Q582" s="206"/>
      <c r="AB582" s="206"/>
      <c r="AC582" s="206"/>
      <c r="AE582"/>
    </row>
    <row r="583" spans="1:31" x14ac:dyDescent="0.2">
      <c r="A583" s="220"/>
      <c r="B583" s="220"/>
      <c r="C583" s="206"/>
      <c r="D583" s="206"/>
      <c r="E583" s="192"/>
      <c r="F583" s="206"/>
      <c r="G583" s="206"/>
      <c r="H583"/>
      <c r="O583" s="192"/>
      <c r="P583" s="192"/>
      <c r="Q583" s="206"/>
      <c r="AB583" s="206"/>
      <c r="AC583" s="206"/>
      <c r="AE583"/>
    </row>
    <row r="584" spans="1:31" x14ac:dyDescent="0.2">
      <c r="A584" s="220"/>
      <c r="B584" s="220"/>
      <c r="C584" s="206"/>
      <c r="D584" s="206"/>
      <c r="E584" s="192"/>
      <c r="F584" s="206"/>
      <c r="G584" s="206"/>
      <c r="H584"/>
      <c r="O584" s="192"/>
      <c r="P584" s="192"/>
      <c r="Q584" s="206"/>
      <c r="AB584" s="206"/>
      <c r="AC584" s="206"/>
      <c r="AE584"/>
    </row>
    <row r="585" spans="1:31" x14ac:dyDescent="0.2">
      <c r="A585" s="220"/>
      <c r="B585" s="220"/>
      <c r="C585" s="206"/>
      <c r="D585" s="206"/>
      <c r="E585" s="192"/>
      <c r="F585" s="206"/>
      <c r="G585" s="206"/>
      <c r="H585"/>
      <c r="O585" s="192"/>
      <c r="P585" s="192"/>
      <c r="Q585" s="206"/>
      <c r="AB585" s="206"/>
      <c r="AC585" s="206"/>
      <c r="AE585"/>
    </row>
    <row r="586" spans="1:31" x14ac:dyDescent="0.2">
      <c r="A586" s="220"/>
      <c r="B586" s="220"/>
      <c r="C586" s="206"/>
      <c r="D586" s="206"/>
      <c r="E586" s="192"/>
      <c r="F586" s="206"/>
      <c r="G586" s="206"/>
      <c r="H586" s="206"/>
      <c r="O586" s="192"/>
      <c r="P586" s="192"/>
      <c r="Q586" s="206"/>
      <c r="AB586" s="206"/>
      <c r="AC586" s="206"/>
      <c r="AE586"/>
    </row>
    <row r="587" spans="1:31" x14ac:dyDescent="0.2">
      <c r="A587" s="220"/>
      <c r="B587" s="220"/>
      <c r="C587" s="206"/>
      <c r="D587" s="206"/>
      <c r="E587" s="192"/>
      <c r="F587" s="206"/>
      <c r="G587" s="206"/>
      <c r="H587"/>
      <c r="O587" s="192"/>
      <c r="P587" s="192"/>
      <c r="Q587" s="206"/>
      <c r="AB587" s="206"/>
      <c r="AC587" s="206"/>
      <c r="AE587"/>
    </row>
    <row r="588" spans="1:31" x14ac:dyDescent="0.2">
      <c r="A588" s="220"/>
      <c r="B588" s="220"/>
      <c r="C588" s="206"/>
      <c r="D588" s="206"/>
      <c r="E588" s="192"/>
      <c r="F588" s="206"/>
      <c r="G588" s="206"/>
      <c r="H588"/>
      <c r="O588" s="192"/>
      <c r="P588" s="192"/>
      <c r="Q588" s="206"/>
      <c r="AB588" s="206"/>
      <c r="AC588" s="206"/>
      <c r="AE588"/>
    </row>
    <row r="589" spans="1:31" x14ac:dyDescent="0.2">
      <c r="A589" s="220"/>
      <c r="B589" s="220"/>
      <c r="C589" s="206"/>
      <c r="D589" s="206"/>
      <c r="E589" s="192"/>
      <c r="F589" s="206"/>
      <c r="G589" s="206"/>
      <c r="H589"/>
      <c r="O589" s="192"/>
      <c r="P589" s="192"/>
      <c r="Q589" s="206"/>
      <c r="AB589" s="206"/>
      <c r="AC589" s="206"/>
      <c r="AE589"/>
    </row>
    <row r="590" spans="1:31" x14ac:dyDescent="0.2">
      <c r="A590" s="220"/>
      <c r="B590" s="220"/>
      <c r="C590" s="206"/>
      <c r="D590" s="206"/>
      <c r="E590" s="192"/>
      <c r="F590" s="206"/>
      <c r="G590" s="206"/>
      <c r="H590"/>
      <c r="O590" s="192"/>
      <c r="P590" s="192"/>
      <c r="Q590" s="206"/>
      <c r="AB590" s="206"/>
      <c r="AC590" s="206"/>
      <c r="AE590"/>
    </row>
    <row r="591" spans="1:31" x14ac:dyDescent="0.2">
      <c r="A591" s="220"/>
      <c r="B591" s="220"/>
      <c r="C591" s="206"/>
      <c r="D591" s="206"/>
      <c r="E591" s="192"/>
      <c r="F591" s="206"/>
      <c r="G591" s="206"/>
      <c r="H591" s="206"/>
      <c r="O591" s="192"/>
      <c r="P591" s="192"/>
      <c r="Q591" s="206"/>
      <c r="AB591" s="206"/>
      <c r="AC591" s="206"/>
      <c r="AE591"/>
    </row>
    <row r="592" spans="1:31" x14ac:dyDescent="0.2">
      <c r="A592" s="220"/>
      <c r="B592" s="220"/>
      <c r="C592" s="206"/>
      <c r="D592" s="206"/>
      <c r="E592" s="192"/>
      <c r="F592" s="206"/>
      <c r="G592"/>
      <c r="H592"/>
      <c r="O592" s="192"/>
      <c r="P592" s="192"/>
      <c r="Q592" s="206"/>
      <c r="AB592" s="206"/>
      <c r="AC592" s="206"/>
      <c r="AE592"/>
    </row>
    <row r="593" spans="1:31" x14ac:dyDescent="0.2">
      <c r="A593" s="220"/>
      <c r="B593" s="220"/>
      <c r="C593" s="206"/>
      <c r="D593" s="206"/>
      <c r="E593" s="192"/>
      <c r="F593" s="206"/>
      <c r="G593" s="206"/>
      <c r="H593"/>
      <c r="O593" s="192"/>
      <c r="P593" s="192"/>
      <c r="Q593" s="206"/>
      <c r="AB593" s="206"/>
      <c r="AC593" s="206"/>
      <c r="AE593"/>
    </row>
    <row r="594" spans="1:31" x14ac:dyDescent="0.2">
      <c r="A594" s="220"/>
      <c r="B594" s="220"/>
      <c r="C594" s="206"/>
      <c r="D594" s="206"/>
      <c r="E594" s="192"/>
      <c r="F594" s="206"/>
      <c r="G594" s="206"/>
      <c r="H594"/>
      <c r="O594" s="192"/>
      <c r="P594" s="192"/>
      <c r="Q594" s="206"/>
      <c r="AB594" s="206"/>
      <c r="AC594" s="206"/>
      <c r="AE594"/>
    </row>
    <row r="595" spans="1:31" x14ac:dyDescent="0.2">
      <c r="A595" s="220"/>
      <c r="B595" s="220"/>
      <c r="C595" s="206"/>
      <c r="D595" s="206"/>
      <c r="E595" s="192"/>
      <c r="F595" s="206"/>
      <c r="G595" s="206"/>
      <c r="H595"/>
      <c r="O595" s="192"/>
      <c r="P595" s="192"/>
      <c r="Q595" s="206"/>
      <c r="AB595" s="206"/>
      <c r="AC595" s="206"/>
      <c r="AE595"/>
    </row>
    <row r="596" spans="1:31" x14ac:dyDescent="0.2">
      <c r="A596" s="220"/>
      <c r="B596" s="220"/>
      <c r="C596" s="206"/>
      <c r="D596" s="206"/>
      <c r="E596" s="192"/>
      <c r="F596" s="206"/>
      <c r="G596" s="206"/>
      <c r="H596"/>
      <c r="O596" s="192"/>
      <c r="P596" s="192"/>
      <c r="Q596" s="206"/>
      <c r="AB596" s="206"/>
      <c r="AC596" s="206"/>
      <c r="AE596"/>
    </row>
    <row r="597" spans="1:31" x14ac:dyDescent="0.2">
      <c r="A597" s="220"/>
      <c r="B597" s="220"/>
      <c r="C597" s="206"/>
      <c r="D597" s="206"/>
      <c r="E597" s="192"/>
      <c r="F597" s="206"/>
      <c r="G597"/>
      <c r="H597"/>
      <c r="O597" s="192"/>
      <c r="P597" s="192"/>
      <c r="Q597" s="206"/>
      <c r="AB597" s="206"/>
      <c r="AC597" s="206"/>
      <c r="AE597"/>
    </row>
    <row r="598" spans="1:31" x14ac:dyDescent="0.2">
      <c r="A598" s="220"/>
      <c r="B598" s="220"/>
      <c r="C598" s="206"/>
      <c r="D598" s="206"/>
      <c r="E598" s="192"/>
      <c r="F598" s="206"/>
      <c r="G598" s="206"/>
      <c r="H598"/>
      <c r="O598" s="192"/>
      <c r="P598" s="192"/>
      <c r="Q598" s="206"/>
      <c r="AB598" s="206"/>
      <c r="AC598" s="206"/>
      <c r="AE598"/>
    </row>
    <row r="599" spans="1:31" x14ac:dyDescent="0.2">
      <c r="A599" s="220"/>
      <c r="B599" s="220"/>
      <c r="C599" s="206"/>
      <c r="D599" s="206"/>
      <c r="E599" s="192"/>
      <c r="F599" s="206"/>
      <c r="G599"/>
      <c r="H599"/>
      <c r="O599" s="192"/>
      <c r="P599" s="192"/>
      <c r="Q599" s="206"/>
      <c r="AB599" s="206"/>
      <c r="AC599" s="206"/>
      <c r="AE599"/>
    </row>
    <row r="600" spans="1:31" x14ac:dyDescent="0.2">
      <c r="A600" s="220"/>
      <c r="B600" s="220"/>
      <c r="C600" s="206"/>
      <c r="D600" s="206"/>
      <c r="E600" s="192"/>
      <c r="F600" s="206"/>
      <c r="G600" s="206"/>
      <c r="H600"/>
      <c r="O600" s="192"/>
      <c r="P600" s="192"/>
      <c r="Q600" s="206"/>
      <c r="AB600" s="206"/>
      <c r="AC600" s="206"/>
      <c r="AE600"/>
    </row>
    <row r="601" spans="1:31" x14ac:dyDescent="0.2">
      <c r="A601" s="220"/>
      <c r="B601" s="220"/>
      <c r="C601" s="206"/>
      <c r="D601" s="206"/>
      <c r="E601" s="192"/>
      <c r="F601" s="206"/>
      <c r="G601" s="206"/>
      <c r="H601"/>
      <c r="O601" s="192"/>
      <c r="P601" s="192"/>
      <c r="Q601" s="206"/>
      <c r="AB601" s="206"/>
      <c r="AC601" s="206"/>
      <c r="AE601"/>
    </row>
    <row r="602" spans="1:31" x14ac:dyDescent="0.2">
      <c r="A602" s="220"/>
      <c r="B602" s="220"/>
      <c r="C602" s="206"/>
      <c r="D602" s="206"/>
      <c r="E602" s="192"/>
      <c r="F602" s="206"/>
      <c r="G602" s="206"/>
      <c r="H602"/>
      <c r="O602" s="192"/>
      <c r="P602" s="192"/>
      <c r="Q602" s="206"/>
      <c r="AB602" s="206"/>
      <c r="AC602" s="206"/>
      <c r="AE602"/>
    </row>
    <row r="603" spans="1:31" x14ac:dyDescent="0.2">
      <c r="A603" s="220"/>
      <c r="B603" s="220"/>
      <c r="C603" s="206"/>
      <c r="D603" s="206"/>
      <c r="E603" s="192"/>
      <c r="F603" s="206"/>
      <c r="G603" s="206"/>
      <c r="H603"/>
      <c r="O603" s="192"/>
      <c r="P603" s="192"/>
      <c r="Q603" s="206"/>
      <c r="AB603" s="206"/>
      <c r="AC603" s="206"/>
      <c r="AE603"/>
    </row>
    <row r="604" spans="1:31" x14ac:dyDescent="0.2">
      <c r="A604" s="220"/>
      <c r="B604" s="220"/>
      <c r="C604" s="206"/>
      <c r="D604" s="206"/>
      <c r="E604" s="192"/>
      <c r="F604" s="206"/>
      <c r="G604" s="206"/>
      <c r="H604"/>
      <c r="O604" s="192"/>
      <c r="P604" s="192"/>
      <c r="Q604" s="206"/>
      <c r="AB604" s="206"/>
      <c r="AC604" s="206"/>
      <c r="AE604"/>
    </row>
    <row r="605" spans="1:31" x14ac:dyDescent="0.2">
      <c r="A605" s="220"/>
      <c r="B605" s="220"/>
      <c r="C605" s="206"/>
      <c r="D605" s="206"/>
      <c r="E605" s="192"/>
      <c r="F605" s="206"/>
      <c r="G605" s="206"/>
      <c r="H605"/>
      <c r="O605" s="192"/>
      <c r="P605" s="192"/>
      <c r="Q605" s="206"/>
      <c r="AB605" s="206"/>
      <c r="AC605" s="206"/>
      <c r="AE605"/>
    </row>
    <row r="606" spans="1:31" x14ac:dyDescent="0.2">
      <c r="A606" s="220"/>
      <c r="B606" s="220"/>
      <c r="C606" s="206"/>
      <c r="D606" s="206"/>
      <c r="E606" s="192"/>
      <c r="F606" s="206"/>
      <c r="G606" s="206"/>
      <c r="H606" s="206"/>
      <c r="O606" s="192"/>
      <c r="P606" s="192"/>
      <c r="Q606" s="206"/>
      <c r="AB606" s="206"/>
      <c r="AC606" s="206"/>
      <c r="AE606"/>
    </row>
    <row r="607" spans="1:31" x14ac:dyDescent="0.2">
      <c r="A607" s="220"/>
      <c r="B607" s="220"/>
      <c r="C607" s="206"/>
      <c r="D607" s="206"/>
      <c r="E607" s="192"/>
      <c r="F607" s="206"/>
      <c r="G607" s="206"/>
      <c r="H607"/>
      <c r="O607" s="192"/>
      <c r="P607" s="192"/>
      <c r="Q607" s="206"/>
      <c r="AB607" s="206"/>
      <c r="AC607" s="206"/>
      <c r="AE607"/>
    </row>
    <row r="608" spans="1:31" x14ac:dyDescent="0.2">
      <c r="A608" s="220"/>
      <c r="B608" s="220"/>
      <c r="C608" s="206"/>
      <c r="D608" s="206"/>
      <c r="E608" s="192"/>
      <c r="F608" s="206"/>
      <c r="G608" s="206"/>
      <c r="H608" s="206"/>
      <c r="O608" s="192"/>
      <c r="P608" s="192"/>
      <c r="Q608" s="206"/>
      <c r="AB608" s="206"/>
      <c r="AC608" s="206"/>
      <c r="AE608"/>
    </row>
    <row r="609" spans="1:31" x14ac:dyDescent="0.2">
      <c r="A609" s="220"/>
      <c r="B609" s="220"/>
      <c r="C609" s="206"/>
      <c r="D609" s="206"/>
      <c r="E609" s="192"/>
      <c r="F609" s="206"/>
      <c r="G609" s="206"/>
      <c r="H609"/>
      <c r="O609" s="192"/>
      <c r="P609" s="192"/>
      <c r="Q609" s="206"/>
      <c r="AB609" s="206"/>
      <c r="AC609" s="206"/>
      <c r="AE609"/>
    </row>
    <row r="610" spans="1:31" x14ac:dyDescent="0.2">
      <c r="A610" s="220"/>
      <c r="B610" s="220"/>
      <c r="C610" s="206"/>
      <c r="D610" s="206"/>
      <c r="E610" s="192"/>
      <c r="F610" s="206"/>
      <c r="G610" s="206"/>
      <c r="H610"/>
      <c r="O610" s="192"/>
      <c r="P610" s="192"/>
      <c r="Q610" s="206"/>
      <c r="AB610" s="206"/>
      <c r="AC610" s="206"/>
      <c r="AE610"/>
    </row>
    <row r="611" spans="1:31" x14ac:dyDescent="0.2">
      <c r="A611" s="220"/>
      <c r="B611" s="220"/>
      <c r="C611" s="206"/>
      <c r="D611" s="206"/>
      <c r="E611" s="192"/>
      <c r="F611" s="206"/>
      <c r="G611" s="206"/>
      <c r="H611" s="206"/>
      <c r="O611" s="192"/>
      <c r="P611" s="192"/>
      <c r="Q611" s="206"/>
      <c r="AB611" s="206"/>
      <c r="AC611" s="206"/>
      <c r="AE611"/>
    </row>
    <row r="612" spans="1:31" x14ac:dyDescent="0.2">
      <c r="A612" s="220"/>
      <c r="B612" s="220"/>
      <c r="C612" s="206"/>
      <c r="D612" s="206"/>
      <c r="E612" s="192"/>
      <c r="F612" s="206"/>
      <c r="G612" s="206"/>
      <c r="H612"/>
      <c r="O612" s="192"/>
      <c r="P612" s="192"/>
      <c r="Q612" s="206"/>
      <c r="AB612" s="206"/>
      <c r="AC612" s="206"/>
      <c r="AE612"/>
    </row>
    <row r="613" spans="1:31" x14ac:dyDescent="0.2">
      <c r="A613" s="220"/>
      <c r="B613" s="220"/>
      <c r="C613" s="206"/>
      <c r="D613" s="206"/>
      <c r="E613" s="192"/>
      <c r="F613" s="206"/>
      <c r="G613" s="206"/>
      <c r="H613"/>
      <c r="O613" s="192"/>
      <c r="P613" s="192"/>
      <c r="Q613" s="206"/>
      <c r="AB613" s="206"/>
      <c r="AC613" s="206"/>
      <c r="AE613"/>
    </row>
    <row r="614" spans="1:31" x14ac:dyDescent="0.2">
      <c r="A614" s="220"/>
      <c r="B614" s="220"/>
      <c r="C614" s="206"/>
      <c r="D614" s="206"/>
      <c r="E614" s="192"/>
      <c r="F614" s="206"/>
      <c r="G614" s="206"/>
      <c r="H614"/>
      <c r="O614" s="192"/>
      <c r="P614" s="192"/>
      <c r="Q614" s="206"/>
      <c r="AB614" s="206"/>
      <c r="AC614" s="206"/>
      <c r="AE614"/>
    </row>
    <row r="615" spans="1:31" x14ac:dyDescent="0.2">
      <c r="A615" s="220"/>
      <c r="B615" s="220"/>
      <c r="C615" s="206"/>
      <c r="D615" s="206"/>
      <c r="E615" s="192"/>
      <c r="F615" s="206"/>
      <c r="G615" s="206"/>
      <c r="H615"/>
      <c r="O615" s="192"/>
      <c r="P615" s="192"/>
      <c r="Q615" s="206"/>
      <c r="AB615" s="206"/>
      <c r="AC615" s="206"/>
      <c r="AE615"/>
    </row>
    <row r="616" spans="1:31" x14ac:dyDescent="0.2">
      <c r="A616" s="220"/>
      <c r="B616" s="220"/>
      <c r="C616" s="206"/>
      <c r="D616" s="206"/>
      <c r="E616" s="192"/>
      <c r="F616" s="206"/>
      <c r="G616"/>
      <c r="H616"/>
      <c r="O616" s="192"/>
      <c r="P616" s="192"/>
      <c r="Q616" s="206"/>
      <c r="AB616" s="206"/>
      <c r="AC616" s="206"/>
      <c r="AE616"/>
    </row>
    <row r="617" spans="1:31" x14ac:dyDescent="0.2">
      <c r="A617" s="220"/>
      <c r="B617" s="220"/>
      <c r="C617" s="206"/>
      <c r="D617" s="206"/>
      <c r="E617" s="192"/>
      <c r="F617" s="206"/>
      <c r="G617" s="206"/>
      <c r="H617"/>
      <c r="O617" s="192"/>
      <c r="P617" s="192"/>
      <c r="Q617" s="206"/>
      <c r="AB617" s="206"/>
      <c r="AC617" s="206"/>
      <c r="AE617"/>
    </row>
    <row r="618" spans="1:31" x14ac:dyDescent="0.2">
      <c r="A618" s="220"/>
      <c r="B618" s="220"/>
      <c r="C618" s="206"/>
      <c r="D618" s="206"/>
      <c r="E618" s="192"/>
      <c r="F618" s="206"/>
      <c r="G618"/>
      <c r="H618"/>
      <c r="O618" s="192"/>
      <c r="P618" s="192"/>
      <c r="Q618" s="206"/>
      <c r="AB618" s="206"/>
      <c r="AC618" s="206"/>
      <c r="AE618"/>
    </row>
    <row r="619" spans="1:31" x14ac:dyDescent="0.2">
      <c r="A619" s="220"/>
      <c r="B619" s="220"/>
      <c r="C619" s="206"/>
      <c r="D619" s="206"/>
      <c r="E619" s="192"/>
      <c r="F619" s="206"/>
      <c r="G619" s="206"/>
      <c r="H619"/>
      <c r="O619" s="192"/>
      <c r="P619" s="192"/>
      <c r="Q619" s="206"/>
      <c r="AB619" s="206"/>
      <c r="AC619" s="206"/>
      <c r="AE619"/>
    </row>
    <row r="620" spans="1:31" x14ac:dyDescent="0.2">
      <c r="A620" s="220"/>
      <c r="B620" s="220"/>
      <c r="C620" s="206"/>
      <c r="D620" s="206"/>
      <c r="E620" s="192"/>
      <c r="F620" s="206"/>
      <c r="G620" s="206"/>
      <c r="H620"/>
      <c r="O620" s="192"/>
      <c r="P620" s="192"/>
      <c r="Q620" s="206"/>
      <c r="AB620" s="206"/>
      <c r="AC620" s="206"/>
      <c r="AE620"/>
    </row>
    <row r="621" spans="1:31" x14ac:dyDescent="0.2">
      <c r="A621" s="220"/>
      <c r="B621" s="220"/>
      <c r="C621" s="206"/>
      <c r="D621" s="206"/>
      <c r="E621" s="192"/>
      <c r="F621" s="206"/>
      <c r="G621"/>
      <c r="H621"/>
      <c r="O621" s="192"/>
      <c r="P621" s="192"/>
      <c r="Q621" s="206"/>
      <c r="AB621" s="206"/>
      <c r="AC621" s="206"/>
      <c r="AE621"/>
    </row>
    <row r="622" spans="1:31" x14ac:dyDescent="0.2">
      <c r="A622" s="220"/>
      <c r="B622" s="220"/>
      <c r="C622" s="206"/>
      <c r="D622" s="206"/>
      <c r="E622" s="192"/>
      <c r="F622" s="206"/>
      <c r="G622" s="206"/>
      <c r="H622"/>
      <c r="O622" s="192"/>
      <c r="P622" s="192"/>
      <c r="Q622" s="206"/>
      <c r="AB622" s="206"/>
      <c r="AC622" s="206"/>
      <c r="AE622"/>
    </row>
    <row r="623" spans="1:31" x14ac:dyDescent="0.2">
      <c r="A623" s="220"/>
      <c r="B623" s="220"/>
      <c r="C623" s="206"/>
      <c r="D623" s="206"/>
      <c r="E623" s="192"/>
      <c r="F623" s="206"/>
      <c r="G623" s="206"/>
      <c r="H623"/>
      <c r="O623" s="192"/>
      <c r="P623" s="192"/>
      <c r="Q623" s="206"/>
      <c r="AB623" s="206"/>
      <c r="AC623" s="206"/>
      <c r="AE623"/>
    </row>
    <row r="624" spans="1:31" x14ac:dyDescent="0.2">
      <c r="A624" s="220"/>
      <c r="B624" s="220"/>
      <c r="C624" s="206"/>
      <c r="D624" s="206"/>
      <c r="E624" s="192"/>
      <c r="F624" s="206"/>
      <c r="G624" s="206"/>
      <c r="H624"/>
      <c r="O624" s="192"/>
      <c r="P624" s="192"/>
      <c r="Q624" s="206"/>
      <c r="AB624" s="206"/>
      <c r="AC624" s="206"/>
      <c r="AE624"/>
    </row>
    <row r="625" spans="1:31" x14ac:dyDescent="0.2">
      <c r="A625" s="220"/>
      <c r="B625" s="220"/>
      <c r="C625" s="206"/>
      <c r="D625" s="206"/>
      <c r="E625" s="192"/>
      <c r="F625" s="206"/>
      <c r="G625" s="206"/>
      <c r="H625"/>
      <c r="O625" s="192"/>
      <c r="P625" s="192"/>
      <c r="Q625" s="206"/>
      <c r="AB625" s="206"/>
      <c r="AC625" s="206"/>
      <c r="AE625"/>
    </row>
    <row r="626" spans="1:31" x14ac:dyDescent="0.2">
      <c r="A626" s="220"/>
      <c r="B626" s="220"/>
      <c r="C626" s="206"/>
      <c r="D626" s="206"/>
      <c r="E626" s="192"/>
      <c r="F626" s="206"/>
      <c r="G626" s="206"/>
      <c r="H626"/>
      <c r="O626" s="192"/>
      <c r="P626" s="192"/>
      <c r="Q626" s="206"/>
      <c r="AB626" s="206"/>
      <c r="AC626" s="206"/>
      <c r="AE626"/>
    </row>
    <row r="627" spans="1:31" x14ac:dyDescent="0.2">
      <c r="A627" s="220"/>
      <c r="B627" s="220"/>
      <c r="C627" s="206"/>
      <c r="D627" s="206"/>
      <c r="E627" s="192"/>
      <c r="F627" s="206"/>
      <c r="G627" s="206"/>
      <c r="H627" s="206"/>
      <c r="O627" s="192"/>
      <c r="P627" s="192"/>
      <c r="Q627" s="206"/>
      <c r="AB627" s="206"/>
      <c r="AC627" s="206"/>
      <c r="AE627"/>
    </row>
    <row r="628" spans="1:31" x14ac:dyDescent="0.2">
      <c r="A628" s="220"/>
      <c r="B628" s="220"/>
      <c r="C628" s="206"/>
      <c r="D628" s="206"/>
      <c r="E628" s="192"/>
      <c r="F628" s="206"/>
      <c r="G628" s="206"/>
      <c r="H628"/>
      <c r="O628" s="192"/>
      <c r="P628" s="192"/>
      <c r="Q628" s="206"/>
      <c r="AB628" s="206"/>
      <c r="AC628" s="206"/>
      <c r="AE628"/>
    </row>
    <row r="629" spans="1:31" x14ac:dyDescent="0.2">
      <c r="A629" s="220"/>
      <c r="B629" s="220"/>
      <c r="C629" s="206"/>
      <c r="D629" s="206"/>
      <c r="E629" s="192"/>
      <c r="F629" s="206"/>
      <c r="G629" s="206"/>
      <c r="H629"/>
      <c r="O629" s="192"/>
      <c r="P629" s="192"/>
      <c r="Q629" s="206"/>
      <c r="AB629" s="206"/>
      <c r="AC629" s="206"/>
      <c r="AE629"/>
    </row>
    <row r="630" spans="1:31" x14ac:dyDescent="0.2">
      <c r="A630" s="220"/>
      <c r="B630" s="220"/>
      <c r="C630" s="206"/>
      <c r="D630" s="206"/>
      <c r="E630" s="192"/>
      <c r="F630" s="206"/>
      <c r="G630" s="206"/>
      <c r="H630"/>
      <c r="O630" s="192"/>
      <c r="P630" s="192"/>
      <c r="Q630" s="206"/>
      <c r="AB630" s="206"/>
      <c r="AC630" s="206"/>
      <c r="AE630"/>
    </row>
    <row r="631" spans="1:31" x14ac:dyDescent="0.2">
      <c r="A631" s="220"/>
      <c r="B631" s="220"/>
      <c r="C631" s="206"/>
      <c r="D631" s="206"/>
      <c r="E631" s="192"/>
      <c r="F631" s="206"/>
      <c r="G631" s="206"/>
      <c r="H631"/>
      <c r="O631" s="192"/>
      <c r="P631" s="192"/>
      <c r="Q631" s="206"/>
      <c r="AB631" s="206"/>
      <c r="AC631" s="206"/>
      <c r="AE631"/>
    </row>
    <row r="632" spans="1:31" x14ac:dyDescent="0.2">
      <c r="A632" s="220"/>
      <c r="B632" s="220"/>
      <c r="C632" s="206"/>
      <c r="D632" s="206"/>
      <c r="E632" s="192"/>
      <c r="F632" s="206"/>
      <c r="G632" s="206"/>
      <c r="H632"/>
      <c r="O632" s="192"/>
      <c r="P632" s="192"/>
      <c r="Q632" s="206"/>
      <c r="AB632" s="206"/>
      <c r="AC632" s="206"/>
      <c r="AE632"/>
    </row>
    <row r="633" spans="1:31" x14ac:dyDescent="0.2">
      <c r="A633" s="220"/>
      <c r="B633" s="220"/>
      <c r="C633" s="206"/>
      <c r="D633" s="206"/>
      <c r="E633" s="192"/>
      <c r="F633" s="206"/>
      <c r="G633" s="206"/>
      <c r="H633"/>
      <c r="O633" s="192"/>
      <c r="P633" s="192"/>
      <c r="Q633" s="206"/>
      <c r="AB633" s="206"/>
      <c r="AC633" s="206"/>
      <c r="AE633"/>
    </row>
    <row r="634" spans="1:31" x14ac:dyDescent="0.2">
      <c r="A634" s="220"/>
      <c r="B634" s="220"/>
      <c r="C634" s="206"/>
      <c r="D634" s="206"/>
      <c r="E634" s="192"/>
      <c r="F634" s="206"/>
      <c r="G634" s="206"/>
      <c r="H634"/>
      <c r="O634" s="192"/>
      <c r="P634" s="192"/>
      <c r="Q634" s="206"/>
      <c r="AB634" s="206"/>
      <c r="AC634" s="206"/>
      <c r="AE634"/>
    </row>
    <row r="635" spans="1:31" x14ac:dyDescent="0.2">
      <c r="A635" s="220"/>
      <c r="B635" s="220"/>
      <c r="C635" s="206"/>
      <c r="D635" s="206"/>
      <c r="E635" s="192"/>
      <c r="F635" s="206"/>
      <c r="G635" s="206"/>
      <c r="H635"/>
      <c r="O635" s="192"/>
      <c r="P635" s="192"/>
      <c r="Q635" s="206"/>
      <c r="AB635" s="206"/>
      <c r="AC635" s="206"/>
      <c r="AE635"/>
    </row>
    <row r="636" spans="1:31" x14ac:dyDescent="0.2">
      <c r="A636" s="220"/>
      <c r="B636" s="220"/>
      <c r="C636" s="206"/>
      <c r="D636" s="206"/>
      <c r="E636" s="192"/>
      <c r="F636" s="206"/>
      <c r="G636" s="206"/>
      <c r="H636"/>
      <c r="O636" s="192"/>
      <c r="P636" s="192"/>
      <c r="Q636" s="206"/>
      <c r="AB636" s="206"/>
      <c r="AC636" s="206"/>
      <c r="AE636"/>
    </row>
    <row r="637" spans="1:31" x14ac:dyDescent="0.2">
      <c r="A637" s="220"/>
      <c r="B637" s="220"/>
      <c r="C637" s="206"/>
      <c r="D637" s="206"/>
      <c r="E637" s="192"/>
      <c r="F637" s="206"/>
      <c r="G637" s="206"/>
      <c r="H637"/>
      <c r="O637" s="192"/>
      <c r="P637" s="192"/>
      <c r="Q637" s="206"/>
      <c r="AB637" s="206"/>
      <c r="AC637" s="206"/>
      <c r="AE637"/>
    </row>
    <row r="638" spans="1:31" x14ac:dyDescent="0.2">
      <c r="A638" s="220"/>
      <c r="B638" s="220"/>
      <c r="C638" s="206"/>
      <c r="D638" s="206"/>
      <c r="E638" s="192"/>
      <c r="F638" s="206"/>
      <c r="G638" s="206"/>
      <c r="H638"/>
      <c r="O638" s="192"/>
      <c r="P638" s="192"/>
      <c r="Q638" s="206"/>
      <c r="AB638" s="206"/>
      <c r="AC638" s="206"/>
      <c r="AE638"/>
    </row>
    <row r="639" spans="1:31" x14ac:dyDescent="0.2">
      <c r="A639" s="220"/>
      <c r="B639" s="220"/>
      <c r="C639" s="206"/>
      <c r="D639" s="206"/>
      <c r="E639" s="192"/>
      <c r="F639" s="206"/>
      <c r="G639" s="206"/>
      <c r="H639"/>
      <c r="O639" s="192"/>
      <c r="P639" s="192"/>
      <c r="Q639" s="206"/>
      <c r="AB639" s="206"/>
      <c r="AC639" s="206"/>
      <c r="AE639"/>
    </row>
    <row r="640" spans="1:31" x14ac:dyDescent="0.2">
      <c r="A640" s="220"/>
      <c r="B640" s="220"/>
      <c r="C640" s="206"/>
      <c r="D640" s="206"/>
      <c r="E640" s="192"/>
      <c r="F640" s="206"/>
      <c r="G640" s="206"/>
      <c r="H640"/>
      <c r="O640" s="192"/>
      <c r="P640" s="192"/>
      <c r="Q640" s="206"/>
      <c r="AB640" s="206"/>
      <c r="AC640" s="206"/>
      <c r="AE640"/>
    </row>
    <row r="641" spans="1:31" x14ac:dyDescent="0.2">
      <c r="A641" s="220"/>
      <c r="B641" s="220"/>
      <c r="C641" s="206"/>
      <c r="D641" s="206"/>
      <c r="E641" s="192"/>
      <c r="F641" s="206"/>
      <c r="G641" s="206"/>
      <c r="H641"/>
      <c r="O641" s="192"/>
      <c r="P641" s="192"/>
      <c r="Q641" s="206"/>
      <c r="AB641" s="206"/>
      <c r="AC641" s="206"/>
      <c r="AE641"/>
    </row>
    <row r="642" spans="1:31" x14ac:dyDescent="0.2">
      <c r="A642" s="220"/>
      <c r="B642" s="220"/>
      <c r="C642" s="206"/>
      <c r="D642" s="206"/>
      <c r="E642" s="192"/>
      <c r="F642" s="206"/>
      <c r="G642" s="206"/>
      <c r="H642"/>
      <c r="O642" s="192"/>
      <c r="P642" s="192"/>
      <c r="Q642" s="206"/>
      <c r="AB642" s="206"/>
      <c r="AC642" s="206"/>
      <c r="AE642"/>
    </row>
    <row r="643" spans="1:31" x14ac:dyDescent="0.2">
      <c r="A643" s="220"/>
      <c r="B643" s="220"/>
      <c r="C643" s="206"/>
      <c r="D643" s="206"/>
      <c r="E643" s="192"/>
      <c r="F643" s="206"/>
      <c r="G643" s="206"/>
      <c r="H643"/>
      <c r="O643" s="192"/>
      <c r="P643" s="192"/>
      <c r="Q643" s="206"/>
      <c r="AB643" s="206"/>
      <c r="AC643" s="206"/>
      <c r="AE643"/>
    </row>
    <row r="644" spans="1:31" x14ac:dyDescent="0.2">
      <c r="A644" s="220"/>
      <c r="B644" s="220"/>
      <c r="C644" s="206"/>
      <c r="D644" s="206"/>
      <c r="E644" s="192"/>
      <c r="F644" s="206"/>
      <c r="G644" s="206"/>
      <c r="H644"/>
      <c r="O644" s="192"/>
      <c r="P644" s="192"/>
      <c r="Q644" s="206"/>
      <c r="AB644" s="206"/>
      <c r="AC644" s="206"/>
      <c r="AE644"/>
    </row>
    <row r="645" spans="1:31" x14ac:dyDescent="0.2">
      <c r="A645" s="220"/>
      <c r="B645" s="220"/>
      <c r="C645" s="206"/>
      <c r="D645" s="206"/>
      <c r="E645" s="192"/>
      <c r="F645" s="206"/>
      <c r="G645" s="206"/>
      <c r="H645"/>
      <c r="O645" s="192"/>
      <c r="P645" s="192"/>
      <c r="Q645" s="206"/>
      <c r="AB645" s="206"/>
      <c r="AC645" s="206"/>
      <c r="AE645"/>
    </row>
    <row r="646" spans="1:31" x14ac:dyDescent="0.2">
      <c r="A646" s="220"/>
      <c r="B646" s="220"/>
      <c r="C646" s="206"/>
      <c r="D646" s="206"/>
      <c r="E646" s="192"/>
      <c r="F646" s="206"/>
      <c r="G646" s="206"/>
      <c r="H646"/>
      <c r="O646" s="192"/>
      <c r="P646" s="192"/>
      <c r="Q646" s="206"/>
      <c r="AB646" s="206"/>
      <c r="AC646" s="206"/>
      <c r="AE646"/>
    </row>
    <row r="647" spans="1:31" x14ac:dyDescent="0.2">
      <c r="A647" s="220"/>
      <c r="B647" s="220"/>
      <c r="C647" s="206"/>
      <c r="D647" s="206"/>
      <c r="E647" s="192"/>
      <c r="F647" s="206"/>
      <c r="G647" s="206"/>
      <c r="H647"/>
      <c r="O647" s="192"/>
      <c r="P647" s="192"/>
      <c r="Q647" s="206"/>
      <c r="AB647" s="206"/>
      <c r="AC647" s="206"/>
      <c r="AE647"/>
    </row>
    <row r="648" spans="1:31" x14ac:dyDescent="0.2">
      <c r="A648" s="220"/>
      <c r="B648" s="220"/>
      <c r="C648" s="206"/>
      <c r="D648" s="206"/>
      <c r="E648" s="192"/>
      <c r="F648" s="206"/>
      <c r="G648" s="206"/>
      <c r="H648"/>
      <c r="O648" s="192"/>
      <c r="P648" s="192"/>
      <c r="Q648" s="206"/>
      <c r="AB648" s="206"/>
      <c r="AC648" s="206"/>
      <c r="AE648"/>
    </row>
    <row r="649" spans="1:31" x14ac:dyDescent="0.2">
      <c r="A649" s="220"/>
      <c r="B649" s="220"/>
      <c r="C649" s="206"/>
      <c r="D649" s="206"/>
      <c r="E649" s="192"/>
      <c r="F649" s="206"/>
      <c r="G649" s="206"/>
      <c r="H649" s="206"/>
      <c r="O649" s="192"/>
      <c r="P649" s="192"/>
      <c r="Q649" s="206"/>
      <c r="AB649" s="206"/>
      <c r="AC649" s="206"/>
      <c r="AE649"/>
    </row>
    <row r="650" spans="1:31" x14ac:dyDescent="0.2">
      <c r="A650" s="220"/>
      <c r="B650" s="220"/>
      <c r="C650" s="206"/>
      <c r="D650" s="206"/>
      <c r="E650" s="192"/>
      <c r="F650" s="206"/>
      <c r="G650" s="206"/>
      <c r="H650" s="206"/>
      <c r="O650" s="192"/>
      <c r="P650" s="192"/>
      <c r="Q650" s="206"/>
      <c r="AB650" s="206"/>
      <c r="AC650" s="206"/>
      <c r="AE650"/>
    </row>
    <row r="651" spans="1:31" x14ac:dyDescent="0.2">
      <c r="A651" s="220"/>
      <c r="B651" s="220"/>
      <c r="C651" s="206"/>
      <c r="D651" s="206"/>
      <c r="E651" s="192"/>
      <c r="F651" s="206"/>
      <c r="G651" s="206"/>
      <c r="H651" s="206"/>
      <c r="O651" s="192"/>
      <c r="P651" s="192"/>
      <c r="Q651" s="206"/>
      <c r="AB651" s="206"/>
      <c r="AC651" s="206"/>
      <c r="AE651"/>
    </row>
    <row r="652" spans="1:31" x14ac:dyDescent="0.2">
      <c r="A652" s="220"/>
      <c r="B652" s="220"/>
      <c r="C652" s="206"/>
      <c r="D652" s="206"/>
      <c r="E652" s="192"/>
      <c r="F652" s="206"/>
      <c r="G652" s="206"/>
      <c r="H652"/>
      <c r="O652" s="192"/>
      <c r="P652" s="192"/>
      <c r="Q652" s="206"/>
      <c r="AB652" s="206"/>
      <c r="AC652" s="206"/>
      <c r="AE652"/>
    </row>
    <row r="653" spans="1:31" x14ac:dyDescent="0.2">
      <c r="A653" s="220"/>
      <c r="B653" s="220"/>
      <c r="C653" s="206"/>
      <c r="D653" s="206"/>
      <c r="E653" s="192"/>
      <c r="F653" s="206"/>
      <c r="G653" s="206"/>
      <c r="H653"/>
      <c r="O653" s="192"/>
      <c r="P653" s="192"/>
      <c r="Q653" s="206"/>
      <c r="AB653" s="206"/>
      <c r="AC653" s="206"/>
      <c r="AE653"/>
    </row>
    <row r="654" spans="1:31" x14ac:dyDescent="0.2">
      <c r="A654" s="220"/>
      <c r="B654" s="220"/>
      <c r="C654" s="206"/>
      <c r="D654" s="206"/>
      <c r="E654" s="192"/>
      <c r="F654" s="206"/>
      <c r="G654" s="206"/>
      <c r="H654" s="206"/>
      <c r="O654" s="192"/>
      <c r="P654" s="192"/>
      <c r="Q654" s="206"/>
      <c r="AB654" s="206"/>
      <c r="AC654" s="206"/>
      <c r="AE654"/>
    </row>
    <row r="655" spans="1:31" x14ac:dyDescent="0.2">
      <c r="A655" s="220"/>
      <c r="B655" s="220"/>
      <c r="C655" s="206"/>
      <c r="D655" s="206"/>
      <c r="E655" s="192"/>
      <c r="F655" s="206"/>
      <c r="G655"/>
      <c r="H655"/>
      <c r="O655" s="192"/>
      <c r="P655" s="192"/>
      <c r="Q655" s="206"/>
      <c r="AB655" s="206"/>
      <c r="AC655" s="206"/>
      <c r="AE655"/>
    </row>
    <row r="656" spans="1:31" x14ac:dyDescent="0.2">
      <c r="A656" s="220"/>
      <c r="B656" s="220"/>
      <c r="C656" s="206"/>
      <c r="D656" s="206"/>
      <c r="E656" s="192"/>
      <c r="F656" s="206"/>
      <c r="G656" s="206"/>
      <c r="H656"/>
      <c r="O656" s="192"/>
      <c r="P656" s="192"/>
      <c r="Q656" s="206"/>
      <c r="AB656" s="206"/>
      <c r="AC656" s="206"/>
      <c r="AE656"/>
    </row>
    <row r="657" spans="1:31" x14ac:dyDescent="0.2">
      <c r="A657" s="220"/>
      <c r="B657" s="220"/>
      <c r="C657" s="206"/>
      <c r="D657" s="206"/>
      <c r="E657" s="192"/>
      <c r="F657" s="206"/>
      <c r="G657" s="206"/>
      <c r="H657"/>
      <c r="O657" s="192"/>
      <c r="P657" s="192"/>
      <c r="Q657" s="206"/>
      <c r="AB657" s="206"/>
      <c r="AC657" s="206"/>
      <c r="AE657"/>
    </row>
    <row r="658" spans="1:31" x14ac:dyDescent="0.2">
      <c r="A658" s="220"/>
      <c r="B658" s="220"/>
      <c r="C658" s="206"/>
      <c r="D658" s="206"/>
      <c r="E658" s="192"/>
      <c r="F658" s="206"/>
      <c r="G658" s="206"/>
      <c r="H658"/>
      <c r="O658" s="192"/>
      <c r="P658" s="192"/>
      <c r="Q658" s="206"/>
      <c r="AB658" s="206"/>
      <c r="AC658" s="206"/>
      <c r="AE658"/>
    </row>
    <row r="659" spans="1:31" x14ac:dyDescent="0.2">
      <c r="A659" s="220"/>
      <c r="B659" s="220"/>
      <c r="C659" s="206"/>
      <c r="D659" s="206"/>
      <c r="E659" s="192"/>
      <c r="F659" s="206"/>
      <c r="G659"/>
      <c r="H659"/>
      <c r="O659" s="192"/>
      <c r="P659" s="192"/>
      <c r="Q659" s="206"/>
      <c r="AB659" s="206"/>
      <c r="AC659" s="206"/>
      <c r="AE659"/>
    </row>
    <row r="660" spans="1:31" x14ac:dyDescent="0.2">
      <c r="A660" s="220"/>
      <c r="B660" s="220"/>
      <c r="C660" s="206"/>
      <c r="D660" s="206"/>
      <c r="E660" s="192"/>
      <c r="F660" s="206"/>
      <c r="G660" s="206"/>
      <c r="H660"/>
      <c r="O660" s="192"/>
      <c r="P660" s="192"/>
      <c r="Q660" s="206"/>
      <c r="AB660" s="206"/>
      <c r="AC660" s="206"/>
      <c r="AE660"/>
    </row>
    <row r="661" spans="1:31" x14ac:dyDescent="0.2">
      <c r="A661" s="220"/>
      <c r="B661" s="220"/>
      <c r="C661" s="206"/>
      <c r="D661" s="206"/>
      <c r="E661" s="192"/>
      <c r="F661" s="206"/>
      <c r="G661" s="206"/>
      <c r="H661"/>
      <c r="O661" s="192"/>
      <c r="P661" s="192"/>
      <c r="Q661" s="206"/>
      <c r="AB661" s="206"/>
      <c r="AC661" s="206"/>
      <c r="AE661"/>
    </row>
    <row r="662" spans="1:31" x14ac:dyDescent="0.2">
      <c r="A662" s="220"/>
      <c r="B662" s="220"/>
      <c r="C662" s="206"/>
      <c r="D662" s="206"/>
      <c r="E662" s="192"/>
      <c r="F662" s="206"/>
      <c r="G662" s="206"/>
      <c r="H662"/>
      <c r="O662" s="192"/>
      <c r="P662" s="192"/>
      <c r="Q662" s="206"/>
      <c r="AB662" s="206"/>
      <c r="AC662" s="206"/>
      <c r="AE662"/>
    </row>
    <row r="663" spans="1:31" x14ac:dyDescent="0.2">
      <c r="A663" s="220"/>
      <c r="B663" s="220"/>
      <c r="C663" s="206"/>
      <c r="D663" s="206"/>
      <c r="E663" s="192"/>
      <c r="F663" s="206"/>
      <c r="G663" s="206"/>
      <c r="H663"/>
      <c r="O663" s="192"/>
      <c r="P663" s="192"/>
      <c r="Q663" s="206"/>
      <c r="AB663" s="206"/>
      <c r="AC663" s="206"/>
      <c r="AE663"/>
    </row>
    <row r="664" spans="1:31" x14ac:dyDescent="0.2">
      <c r="A664" s="220"/>
      <c r="B664" s="220"/>
      <c r="C664" s="206"/>
      <c r="D664" s="206"/>
      <c r="E664" s="192"/>
      <c r="F664" s="206"/>
      <c r="G664"/>
      <c r="H664"/>
      <c r="O664" s="192"/>
      <c r="P664" s="192"/>
      <c r="Q664" s="206"/>
      <c r="AB664" s="206"/>
      <c r="AC664" s="206"/>
      <c r="AE664"/>
    </row>
    <row r="665" spans="1:31" x14ac:dyDescent="0.2">
      <c r="A665" s="220"/>
      <c r="B665" s="220"/>
      <c r="C665" s="206"/>
      <c r="D665" s="206"/>
      <c r="E665" s="192"/>
      <c r="F665" s="206"/>
      <c r="G665" s="206"/>
      <c r="H665"/>
      <c r="O665" s="192"/>
      <c r="P665" s="192"/>
      <c r="Q665" s="206"/>
      <c r="AB665" s="206"/>
      <c r="AC665" s="206"/>
      <c r="AE665"/>
    </row>
    <row r="666" spans="1:31" x14ac:dyDescent="0.2">
      <c r="A666" s="220"/>
      <c r="B666" s="220"/>
      <c r="C666" s="206"/>
      <c r="D666" s="206"/>
      <c r="E666" s="192"/>
      <c r="F666" s="206"/>
      <c r="G666"/>
      <c r="H666"/>
      <c r="O666" s="192"/>
      <c r="P666" s="192"/>
      <c r="Q666" s="206"/>
      <c r="AB666" s="206"/>
      <c r="AC666" s="206"/>
      <c r="AE666"/>
    </row>
    <row r="667" spans="1:31" x14ac:dyDescent="0.2">
      <c r="A667" s="220"/>
      <c r="B667" s="220"/>
      <c r="C667" s="206"/>
      <c r="D667" s="206"/>
      <c r="E667" s="192"/>
      <c r="F667" s="206"/>
      <c r="G667"/>
      <c r="H667"/>
      <c r="O667" s="192"/>
      <c r="P667" s="192"/>
      <c r="Q667" s="206"/>
      <c r="AB667" s="206"/>
      <c r="AC667" s="206"/>
      <c r="AE667"/>
    </row>
    <row r="668" spans="1:31" x14ac:dyDescent="0.2">
      <c r="A668" s="220"/>
      <c r="B668" s="220"/>
      <c r="C668" s="206"/>
      <c r="D668" s="206"/>
      <c r="E668" s="192"/>
      <c r="F668" s="206"/>
      <c r="G668" s="206"/>
      <c r="H668"/>
      <c r="O668" s="192"/>
      <c r="P668" s="192"/>
      <c r="Q668" s="206"/>
      <c r="AB668" s="206"/>
      <c r="AC668" s="206"/>
      <c r="AE668"/>
    </row>
    <row r="669" spans="1:31" x14ac:dyDescent="0.2">
      <c r="A669" s="220"/>
      <c r="B669" s="220"/>
      <c r="C669" s="206"/>
      <c r="D669" s="206"/>
      <c r="E669" s="192"/>
      <c r="F669" s="206"/>
      <c r="G669" s="206"/>
      <c r="H669"/>
      <c r="O669" s="192"/>
      <c r="P669" s="192"/>
      <c r="Q669" s="206"/>
      <c r="AB669" s="206"/>
      <c r="AC669" s="206"/>
      <c r="AE669"/>
    </row>
    <row r="670" spans="1:31" x14ac:dyDescent="0.2">
      <c r="A670" s="220"/>
      <c r="B670" s="220"/>
      <c r="C670" s="206"/>
      <c r="D670" s="206"/>
      <c r="E670" s="192"/>
      <c r="F670" s="206"/>
      <c r="G670" s="206"/>
      <c r="H670"/>
      <c r="O670" s="192"/>
      <c r="P670" s="192"/>
      <c r="Q670" s="206"/>
      <c r="AB670" s="206"/>
      <c r="AC670" s="206"/>
      <c r="AE670"/>
    </row>
    <row r="671" spans="1:31" x14ac:dyDescent="0.2">
      <c r="A671" s="220"/>
      <c r="B671" s="220"/>
      <c r="C671" s="206"/>
      <c r="D671" s="206"/>
      <c r="E671" s="192"/>
      <c r="F671" s="206"/>
      <c r="G671"/>
      <c r="H671"/>
      <c r="O671" s="192"/>
      <c r="P671" s="192"/>
      <c r="Q671" s="206"/>
      <c r="AB671" s="206"/>
      <c r="AC671" s="206"/>
      <c r="AE671"/>
    </row>
    <row r="672" spans="1:31" x14ac:dyDescent="0.2">
      <c r="A672" s="220"/>
      <c r="B672" s="220"/>
      <c r="C672" s="206"/>
      <c r="D672" s="206"/>
      <c r="E672" s="192"/>
      <c r="F672" s="206"/>
      <c r="G672" s="206"/>
      <c r="H672" s="206"/>
      <c r="O672" s="192"/>
      <c r="P672" s="192"/>
      <c r="Q672" s="206"/>
      <c r="AB672" s="206"/>
      <c r="AC672" s="206"/>
      <c r="AE672"/>
    </row>
    <row r="673" spans="1:31" x14ac:dyDescent="0.2">
      <c r="A673" s="220"/>
      <c r="B673" s="220"/>
      <c r="C673" s="206"/>
      <c r="D673" s="206"/>
      <c r="E673" s="192"/>
      <c r="F673" s="206"/>
      <c r="G673"/>
      <c r="H673"/>
      <c r="O673" s="192"/>
      <c r="P673" s="192"/>
      <c r="Q673" s="206"/>
      <c r="AB673" s="206"/>
      <c r="AC673" s="206"/>
      <c r="AE673"/>
    </row>
    <row r="674" spans="1:31" x14ac:dyDescent="0.2">
      <c r="A674" s="220"/>
      <c r="B674" s="220"/>
      <c r="C674" s="206"/>
      <c r="D674" s="206"/>
      <c r="E674" s="192"/>
      <c r="F674" s="206"/>
      <c r="G674"/>
      <c r="H674"/>
      <c r="O674" s="192"/>
      <c r="P674" s="192"/>
      <c r="Q674" s="206"/>
      <c r="AB674" s="206"/>
      <c r="AC674" s="206"/>
      <c r="AE674"/>
    </row>
    <row r="675" spans="1:31" x14ac:dyDescent="0.2">
      <c r="A675" s="220"/>
      <c r="B675" s="220"/>
      <c r="C675" s="206"/>
      <c r="D675" s="206"/>
      <c r="E675" s="192"/>
      <c r="F675" s="206"/>
      <c r="G675"/>
      <c r="H675"/>
      <c r="O675" s="192"/>
      <c r="P675" s="192"/>
      <c r="Q675" s="206"/>
      <c r="AB675" s="206"/>
      <c r="AC675" s="206"/>
      <c r="AE675"/>
    </row>
    <row r="676" spans="1:31" x14ac:dyDescent="0.2">
      <c r="A676" s="220"/>
      <c r="B676" s="220"/>
      <c r="C676" s="206"/>
      <c r="D676" s="206"/>
      <c r="E676" s="192"/>
      <c r="F676" s="206"/>
      <c r="G676" s="206"/>
      <c r="H676" s="206"/>
      <c r="O676" s="192"/>
      <c r="P676" s="192"/>
      <c r="Q676" s="206"/>
      <c r="AB676" s="206"/>
      <c r="AC676" s="206"/>
      <c r="AE676"/>
    </row>
    <row r="677" spans="1:31" x14ac:dyDescent="0.2">
      <c r="A677" s="220"/>
      <c r="B677" s="220"/>
      <c r="C677" s="206"/>
      <c r="D677" s="206"/>
      <c r="E677" s="192"/>
      <c r="F677" s="206"/>
      <c r="G677" s="206"/>
      <c r="H677"/>
      <c r="O677" s="192"/>
      <c r="P677" s="192"/>
      <c r="Q677" s="206"/>
      <c r="AB677" s="206"/>
      <c r="AC677" s="206"/>
      <c r="AE677"/>
    </row>
    <row r="678" spans="1:31" x14ac:dyDescent="0.2">
      <c r="A678" s="220"/>
      <c r="B678" s="220"/>
      <c r="C678" s="206"/>
      <c r="D678" s="206"/>
      <c r="E678" s="192"/>
      <c r="F678" s="206"/>
      <c r="G678" s="206"/>
      <c r="H678"/>
      <c r="O678" s="192"/>
      <c r="P678" s="192"/>
      <c r="Q678" s="206"/>
      <c r="AB678" s="206"/>
      <c r="AC678" s="206"/>
      <c r="AE678"/>
    </row>
    <row r="679" spans="1:31" x14ac:dyDescent="0.2">
      <c r="A679" s="220"/>
      <c r="B679" s="220"/>
      <c r="C679" s="206"/>
      <c r="D679" s="206"/>
      <c r="E679" s="192"/>
      <c r="F679" s="206"/>
      <c r="G679"/>
      <c r="H679"/>
      <c r="O679" s="192"/>
      <c r="P679" s="192"/>
      <c r="Q679" s="206"/>
      <c r="AB679" s="206"/>
      <c r="AC679" s="206"/>
      <c r="AE679"/>
    </row>
    <row r="680" spans="1:31" x14ac:dyDescent="0.2">
      <c r="A680" s="220"/>
      <c r="B680" s="220"/>
      <c r="C680" s="206"/>
      <c r="D680" s="206"/>
      <c r="E680" s="192"/>
      <c r="F680" s="206"/>
      <c r="G680" s="206"/>
      <c r="H680"/>
      <c r="O680" s="192"/>
      <c r="P680" s="192"/>
      <c r="Q680" s="206"/>
      <c r="AB680" s="206"/>
      <c r="AC680" s="206"/>
      <c r="AE680"/>
    </row>
    <row r="681" spans="1:31" x14ac:dyDescent="0.2">
      <c r="A681" s="220"/>
      <c r="B681" s="220"/>
      <c r="C681" s="206"/>
      <c r="D681" s="206"/>
      <c r="E681" s="192"/>
      <c r="F681" s="206"/>
      <c r="G681" s="206"/>
      <c r="H681"/>
      <c r="O681" s="192"/>
      <c r="P681" s="192"/>
      <c r="Q681" s="206"/>
      <c r="AB681" s="206"/>
      <c r="AC681" s="206"/>
      <c r="AE681"/>
    </row>
    <row r="682" spans="1:31" x14ac:dyDescent="0.2">
      <c r="A682" s="220"/>
      <c r="B682" s="220"/>
      <c r="C682" s="206"/>
      <c r="D682" s="206"/>
      <c r="E682" s="192"/>
      <c r="F682" s="206"/>
      <c r="G682" s="206"/>
      <c r="H682" s="206"/>
      <c r="O682" s="192"/>
      <c r="P682" s="192"/>
      <c r="Q682" s="206"/>
      <c r="AB682" s="206"/>
      <c r="AC682" s="206"/>
      <c r="AE682"/>
    </row>
    <row r="683" spans="1:31" x14ac:dyDescent="0.2">
      <c r="A683" s="220"/>
      <c r="B683" s="220"/>
      <c r="C683" s="206"/>
      <c r="D683" s="206"/>
      <c r="E683" s="192"/>
      <c r="F683" s="206"/>
      <c r="G683"/>
      <c r="H683"/>
      <c r="O683" s="192"/>
      <c r="P683" s="192"/>
      <c r="Q683" s="206"/>
      <c r="AB683" s="206"/>
      <c r="AC683" s="206"/>
      <c r="AE683"/>
    </row>
    <row r="684" spans="1:31" x14ac:dyDescent="0.2">
      <c r="A684" s="220"/>
      <c r="B684" s="220"/>
      <c r="C684" s="206"/>
      <c r="D684" s="206"/>
      <c r="E684" s="192"/>
      <c r="F684" s="206"/>
      <c r="G684"/>
      <c r="H684"/>
      <c r="O684" s="192"/>
      <c r="P684" s="192"/>
      <c r="Q684" s="206"/>
      <c r="AB684" s="206"/>
      <c r="AC684" s="206"/>
      <c r="AE684"/>
    </row>
    <row r="685" spans="1:31" x14ac:dyDescent="0.2">
      <c r="A685" s="220"/>
      <c r="B685" s="220"/>
      <c r="C685" s="206"/>
      <c r="D685" s="206"/>
      <c r="E685" s="192"/>
      <c r="F685" s="206"/>
      <c r="G685" s="206"/>
      <c r="H685" s="206"/>
      <c r="O685" s="192"/>
      <c r="P685" s="192"/>
      <c r="Q685" s="206"/>
      <c r="AB685" s="206"/>
      <c r="AC685" s="206"/>
      <c r="AE685"/>
    </row>
    <row r="686" spans="1:31" x14ac:dyDescent="0.2">
      <c r="A686" s="220"/>
      <c r="B686" s="220"/>
      <c r="C686" s="206"/>
      <c r="D686" s="206"/>
      <c r="E686" s="192"/>
      <c r="F686" s="206"/>
      <c r="G686" s="206"/>
      <c r="H686"/>
      <c r="O686" s="192"/>
      <c r="P686" s="192"/>
      <c r="Q686" s="206"/>
      <c r="AB686" s="206"/>
      <c r="AC686" s="206"/>
      <c r="AE686"/>
    </row>
    <row r="687" spans="1:31" x14ac:dyDescent="0.2">
      <c r="A687" s="220"/>
      <c r="B687" s="220"/>
      <c r="C687" s="206"/>
      <c r="D687" s="206"/>
      <c r="E687" s="192"/>
      <c r="F687" s="206"/>
      <c r="G687"/>
      <c r="H687"/>
      <c r="O687" s="192"/>
      <c r="P687" s="192"/>
      <c r="Q687" s="206"/>
      <c r="AB687" s="206"/>
      <c r="AC687" s="206"/>
      <c r="AE687"/>
    </row>
    <row r="688" spans="1:31" x14ac:dyDescent="0.2">
      <c r="A688" s="220"/>
      <c r="B688" s="220"/>
      <c r="C688" s="206"/>
      <c r="D688" s="206"/>
      <c r="E688" s="192"/>
      <c r="F688" s="206"/>
      <c r="G688"/>
      <c r="H688"/>
      <c r="O688" s="192"/>
      <c r="P688" s="192"/>
      <c r="Q688" s="206"/>
      <c r="AB688" s="206"/>
      <c r="AC688" s="206"/>
      <c r="AE688"/>
    </row>
    <row r="689" spans="1:31" x14ac:dyDescent="0.2">
      <c r="A689" s="220"/>
      <c r="B689" s="220"/>
      <c r="C689" s="206"/>
      <c r="D689" s="206"/>
      <c r="E689" s="192"/>
      <c r="F689" s="206"/>
      <c r="G689" s="206"/>
      <c r="H689"/>
      <c r="O689" s="192"/>
      <c r="P689" s="192"/>
      <c r="Q689" s="206"/>
      <c r="AB689" s="206"/>
      <c r="AC689" s="206"/>
      <c r="AE689"/>
    </row>
    <row r="690" spans="1:31" x14ac:dyDescent="0.2">
      <c r="A690" s="220"/>
      <c r="B690" s="220"/>
      <c r="C690" s="206"/>
      <c r="D690" s="206"/>
      <c r="E690" s="192"/>
      <c r="F690" s="206"/>
      <c r="G690" s="206"/>
      <c r="H690"/>
      <c r="O690" s="192"/>
      <c r="P690" s="192"/>
      <c r="Q690" s="206"/>
      <c r="AB690" s="206"/>
      <c r="AC690" s="206"/>
      <c r="AE690"/>
    </row>
    <row r="691" spans="1:31" x14ac:dyDescent="0.2">
      <c r="A691" s="220"/>
      <c r="B691" s="220"/>
      <c r="C691" s="206"/>
      <c r="D691" s="206"/>
      <c r="E691" s="192"/>
      <c r="F691" s="206"/>
      <c r="G691" s="206"/>
      <c r="H691" s="206"/>
      <c r="O691" s="192"/>
      <c r="P691" s="192"/>
      <c r="Q691" s="206"/>
      <c r="AB691" s="206"/>
      <c r="AC691" s="206"/>
      <c r="AE691"/>
    </row>
    <row r="692" spans="1:31" x14ac:dyDescent="0.2">
      <c r="A692" s="220"/>
      <c r="B692" s="220"/>
      <c r="C692" s="206"/>
      <c r="D692" s="206"/>
      <c r="E692" s="192"/>
      <c r="F692" s="206"/>
      <c r="G692" s="206"/>
      <c r="H692"/>
      <c r="O692" s="192"/>
      <c r="P692" s="192"/>
      <c r="Q692" s="206"/>
      <c r="AB692" s="206"/>
      <c r="AC692" s="206"/>
      <c r="AE692"/>
    </row>
    <row r="693" spans="1:31" x14ac:dyDescent="0.2">
      <c r="A693" s="220"/>
      <c r="B693" s="220"/>
      <c r="C693" s="206"/>
      <c r="D693" s="206"/>
      <c r="E693" s="192"/>
      <c r="F693" s="206"/>
      <c r="G693" s="206"/>
      <c r="H693" s="206"/>
      <c r="O693" s="192"/>
      <c r="P693" s="192"/>
      <c r="Q693" s="206"/>
      <c r="AB693" s="206"/>
      <c r="AC693" s="206"/>
      <c r="AE693"/>
    </row>
    <row r="694" spans="1:31" x14ac:dyDescent="0.2">
      <c r="A694" s="220"/>
      <c r="B694" s="220"/>
      <c r="C694" s="206"/>
      <c r="D694" s="206"/>
      <c r="E694" s="192"/>
      <c r="F694" s="206"/>
      <c r="G694" s="206"/>
      <c r="H694"/>
      <c r="O694" s="192"/>
      <c r="P694" s="192"/>
      <c r="Q694" s="206"/>
      <c r="AB694" s="206"/>
      <c r="AC694" s="206"/>
      <c r="AE694"/>
    </row>
    <row r="695" spans="1:31" x14ac:dyDescent="0.2">
      <c r="A695" s="220"/>
      <c r="B695" s="220"/>
      <c r="C695" s="206"/>
      <c r="D695" s="206"/>
      <c r="E695" s="192"/>
      <c r="F695" s="206"/>
      <c r="G695" s="206"/>
      <c r="H695"/>
      <c r="O695" s="192"/>
      <c r="P695" s="192"/>
      <c r="Q695" s="206"/>
      <c r="AB695" s="206"/>
      <c r="AC695" s="206"/>
      <c r="AE695"/>
    </row>
    <row r="696" spans="1:31" x14ac:dyDescent="0.2">
      <c r="A696" s="220"/>
      <c r="B696" s="220"/>
      <c r="C696" s="206"/>
      <c r="D696" s="206"/>
      <c r="E696" s="192"/>
      <c r="F696" s="206"/>
      <c r="G696"/>
      <c r="H696"/>
      <c r="O696" s="192"/>
      <c r="P696" s="192"/>
      <c r="Q696" s="206"/>
      <c r="AB696" s="206"/>
      <c r="AC696" s="206"/>
      <c r="AE696"/>
    </row>
    <row r="697" spans="1:31" x14ac:dyDescent="0.2">
      <c r="A697" s="220"/>
      <c r="B697" s="220"/>
      <c r="C697" s="206"/>
      <c r="D697" s="206"/>
      <c r="E697" s="192"/>
      <c r="F697" s="206"/>
      <c r="G697" s="206"/>
      <c r="H697"/>
      <c r="O697" s="192"/>
      <c r="P697" s="192"/>
      <c r="Q697" s="206"/>
      <c r="AB697" s="206"/>
      <c r="AC697" s="206"/>
      <c r="AE697"/>
    </row>
    <row r="698" spans="1:31" x14ac:dyDescent="0.2">
      <c r="A698" s="220"/>
      <c r="B698" s="220"/>
      <c r="C698" s="206"/>
      <c r="D698" s="206"/>
      <c r="E698" s="192"/>
      <c r="F698" s="206"/>
      <c r="G698" s="206"/>
      <c r="H698" s="206"/>
      <c r="O698" s="192"/>
      <c r="P698" s="192"/>
      <c r="Q698" s="206"/>
      <c r="AB698" s="206"/>
      <c r="AC698" s="206"/>
      <c r="AE698"/>
    </row>
    <row r="699" spans="1:31" x14ac:dyDescent="0.2">
      <c r="A699" s="220"/>
      <c r="B699" s="220"/>
      <c r="C699" s="206"/>
      <c r="D699" s="206"/>
      <c r="E699" s="192"/>
      <c r="F699" s="206"/>
      <c r="G699" s="206"/>
      <c r="H699" s="206"/>
      <c r="O699" s="192"/>
      <c r="P699" s="192"/>
      <c r="Q699" s="206"/>
      <c r="AB699" s="206"/>
      <c r="AC699" s="206"/>
      <c r="AE699"/>
    </row>
    <row r="700" spans="1:31" x14ac:dyDescent="0.2">
      <c r="A700" s="220"/>
      <c r="B700" s="220"/>
      <c r="C700" s="206"/>
      <c r="D700" s="206"/>
      <c r="E700" s="192"/>
      <c r="F700" s="206"/>
      <c r="G700"/>
      <c r="H700"/>
      <c r="O700" s="192"/>
      <c r="P700" s="192"/>
      <c r="Q700" s="206"/>
      <c r="AB700" s="206"/>
      <c r="AC700" s="206"/>
      <c r="AE700"/>
    </row>
    <row r="701" spans="1:31" x14ac:dyDescent="0.2">
      <c r="A701" s="220"/>
      <c r="B701" s="220"/>
      <c r="C701" s="206"/>
      <c r="D701" s="206"/>
      <c r="E701" s="192"/>
      <c r="F701" s="206"/>
      <c r="G701" s="206"/>
      <c r="H701"/>
      <c r="O701" s="192"/>
      <c r="P701" s="192"/>
      <c r="Q701" s="206"/>
      <c r="AB701" s="206"/>
      <c r="AC701" s="206"/>
      <c r="AE701"/>
    </row>
    <row r="702" spans="1:31" x14ac:dyDescent="0.2">
      <c r="A702" s="220"/>
      <c r="B702" s="220"/>
      <c r="C702" s="206"/>
      <c r="D702" s="206"/>
      <c r="E702" s="192"/>
      <c r="F702" s="206"/>
      <c r="G702" s="206"/>
      <c r="H702"/>
      <c r="O702" s="192"/>
      <c r="P702" s="192"/>
      <c r="Q702" s="206"/>
      <c r="AB702" s="206"/>
      <c r="AC702" s="206"/>
      <c r="AE702"/>
    </row>
    <row r="703" spans="1:31" x14ac:dyDescent="0.2">
      <c r="A703" s="220"/>
      <c r="B703" s="220"/>
      <c r="C703" s="206"/>
      <c r="D703" s="206"/>
      <c r="E703" s="192"/>
      <c r="F703" s="206"/>
      <c r="G703" s="206"/>
      <c r="H703"/>
      <c r="O703" s="192"/>
      <c r="P703" s="192"/>
      <c r="Q703" s="206"/>
      <c r="AB703" s="206"/>
      <c r="AC703" s="206"/>
      <c r="AE703"/>
    </row>
    <row r="704" spans="1:31" x14ac:dyDescent="0.2">
      <c r="A704" s="220"/>
      <c r="B704" s="220"/>
      <c r="C704" s="206"/>
      <c r="D704" s="206"/>
      <c r="E704" s="192"/>
      <c r="F704" s="206"/>
      <c r="G704" s="206"/>
      <c r="H704"/>
      <c r="O704" s="192"/>
      <c r="P704" s="192"/>
      <c r="Q704" s="206"/>
      <c r="AB704" s="206"/>
      <c r="AC704" s="206"/>
      <c r="AE704"/>
    </row>
    <row r="705" spans="1:31" x14ac:dyDescent="0.2">
      <c r="A705" s="220"/>
      <c r="B705" s="220"/>
      <c r="C705" s="206"/>
      <c r="D705" s="206"/>
      <c r="E705" s="192"/>
      <c r="F705" s="206"/>
      <c r="G705" s="206"/>
      <c r="H705" s="206"/>
      <c r="O705" s="192"/>
      <c r="P705" s="192"/>
      <c r="Q705" s="206"/>
      <c r="AB705" s="206"/>
      <c r="AC705" s="206"/>
      <c r="AE705"/>
    </row>
    <row r="706" spans="1:31" x14ac:dyDescent="0.2">
      <c r="A706" s="220"/>
      <c r="B706" s="220"/>
      <c r="C706" s="206"/>
      <c r="D706" s="206"/>
      <c r="E706" s="192"/>
      <c r="F706" s="206"/>
      <c r="G706"/>
      <c r="H706"/>
      <c r="O706" s="192"/>
      <c r="P706" s="192"/>
      <c r="Q706" s="206"/>
      <c r="AB706" s="206"/>
      <c r="AC706" s="206"/>
      <c r="AE706"/>
    </row>
    <row r="707" spans="1:31" x14ac:dyDescent="0.2">
      <c r="A707" s="220"/>
      <c r="B707" s="220"/>
      <c r="C707" s="206"/>
      <c r="D707" s="206"/>
      <c r="E707" s="192"/>
      <c r="F707" s="206"/>
      <c r="G707" s="206"/>
      <c r="H707"/>
      <c r="O707" s="192"/>
      <c r="P707" s="192"/>
      <c r="Q707" s="206"/>
      <c r="AB707" s="206"/>
      <c r="AC707" s="206"/>
      <c r="AE707"/>
    </row>
    <row r="708" spans="1:31" x14ac:dyDescent="0.2">
      <c r="A708" s="220"/>
      <c r="B708" s="220"/>
      <c r="C708" s="206"/>
      <c r="D708" s="206"/>
      <c r="E708" s="192"/>
      <c r="F708" s="206"/>
      <c r="G708" s="206"/>
      <c r="H708"/>
      <c r="O708" s="192"/>
      <c r="P708" s="192"/>
      <c r="Q708" s="206"/>
      <c r="AB708" s="206"/>
      <c r="AC708" s="206"/>
      <c r="AE708"/>
    </row>
    <row r="709" spans="1:31" x14ac:dyDescent="0.2">
      <c r="A709" s="220"/>
      <c r="B709" s="220"/>
      <c r="C709" s="206"/>
      <c r="D709" s="206"/>
      <c r="E709" s="192"/>
      <c r="F709" s="206"/>
      <c r="G709" s="206"/>
      <c r="H709"/>
      <c r="O709" s="192"/>
      <c r="P709" s="192"/>
      <c r="Q709" s="206"/>
      <c r="AB709" s="206"/>
      <c r="AC709" s="206"/>
      <c r="AE709"/>
    </row>
    <row r="710" spans="1:31" x14ac:dyDescent="0.2">
      <c r="A710" s="220"/>
      <c r="B710" s="220"/>
      <c r="C710" s="206"/>
      <c r="D710" s="206"/>
      <c r="E710" s="192"/>
      <c r="F710" s="206"/>
      <c r="G710" s="206"/>
      <c r="H710"/>
      <c r="O710" s="192"/>
      <c r="P710" s="192"/>
      <c r="Q710" s="206"/>
      <c r="AB710" s="206"/>
      <c r="AC710" s="206"/>
      <c r="AE710"/>
    </row>
    <row r="711" spans="1:31" x14ac:dyDescent="0.2">
      <c r="A711" s="220"/>
      <c r="B711" s="220"/>
      <c r="C711" s="206"/>
      <c r="D711" s="206"/>
      <c r="E711" s="192"/>
      <c r="F711" s="206"/>
      <c r="G711" s="206"/>
      <c r="H711"/>
      <c r="O711" s="192"/>
      <c r="P711" s="192"/>
      <c r="Q711" s="206"/>
      <c r="AB711" s="206"/>
      <c r="AC711" s="206"/>
      <c r="AE711"/>
    </row>
    <row r="712" spans="1:31" x14ac:dyDescent="0.2">
      <c r="A712" s="220"/>
      <c r="B712" s="220"/>
      <c r="C712" s="206"/>
      <c r="D712" s="206"/>
      <c r="E712" s="192"/>
      <c r="F712" s="206"/>
      <c r="G712" s="206"/>
      <c r="H712"/>
      <c r="O712" s="192"/>
      <c r="P712" s="192"/>
      <c r="Q712" s="206"/>
      <c r="AB712" s="206"/>
      <c r="AC712" s="206"/>
      <c r="AE712"/>
    </row>
    <row r="713" spans="1:31" x14ac:dyDescent="0.2">
      <c r="A713" s="220"/>
      <c r="B713" s="220"/>
      <c r="C713" s="206"/>
      <c r="D713" s="206"/>
      <c r="E713" s="192"/>
      <c r="F713" s="206"/>
      <c r="G713" s="206"/>
      <c r="H713"/>
      <c r="O713" s="192"/>
      <c r="P713" s="192"/>
      <c r="Q713" s="206"/>
      <c r="AB713" s="206"/>
      <c r="AC713" s="206"/>
      <c r="AE713"/>
    </row>
    <row r="714" spans="1:31" x14ac:dyDescent="0.2">
      <c r="A714" s="220"/>
      <c r="B714" s="220"/>
      <c r="C714" s="206"/>
      <c r="D714" s="206"/>
      <c r="E714" s="192"/>
      <c r="F714" s="206"/>
      <c r="G714" s="206"/>
      <c r="H714"/>
      <c r="O714" s="192"/>
      <c r="P714" s="192"/>
      <c r="Q714" s="206"/>
      <c r="AB714" s="206"/>
      <c r="AC714" s="206"/>
      <c r="AE714"/>
    </row>
    <row r="715" spans="1:31" x14ac:dyDescent="0.2">
      <c r="A715" s="220"/>
      <c r="B715" s="220"/>
      <c r="C715" s="206"/>
      <c r="D715" s="206"/>
      <c r="E715" s="192"/>
      <c r="F715" s="206"/>
      <c r="G715" s="206"/>
      <c r="H715"/>
      <c r="O715" s="192"/>
      <c r="P715" s="192"/>
      <c r="Q715" s="206"/>
      <c r="AB715" s="206"/>
      <c r="AC715" s="206"/>
      <c r="AE715"/>
    </row>
    <row r="716" spans="1:31" x14ac:dyDescent="0.2">
      <c r="A716" s="220"/>
      <c r="B716" s="220"/>
      <c r="C716" s="206"/>
      <c r="D716" s="206"/>
      <c r="E716" s="192"/>
      <c r="F716" s="206"/>
      <c r="G716"/>
      <c r="H716"/>
      <c r="O716" s="192"/>
      <c r="P716" s="192"/>
      <c r="Q716" s="206"/>
      <c r="AB716" s="206"/>
      <c r="AC716" s="206"/>
      <c r="AE716"/>
    </row>
    <row r="717" spans="1:31" x14ac:dyDescent="0.2">
      <c r="A717" s="220"/>
      <c r="B717" s="220"/>
      <c r="C717" s="206"/>
      <c r="D717" s="206"/>
      <c r="E717" s="192"/>
      <c r="F717" s="206"/>
      <c r="G717" s="206"/>
      <c r="H717"/>
      <c r="O717" s="192"/>
      <c r="P717" s="192"/>
      <c r="Q717" s="206"/>
      <c r="AB717" s="206"/>
      <c r="AC717" s="206"/>
      <c r="AE717"/>
    </row>
    <row r="718" spans="1:31" x14ac:dyDescent="0.2">
      <c r="A718" s="220"/>
      <c r="B718" s="220"/>
      <c r="C718" s="206"/>
      <c r="D718" s="206"/>
      <c r="E718" s="192"/>
      <c r="F718" s="206"/>
      <c r="G718" s="206"/>
      <c r="H718"/>
      <c r="O718" s="192"/>
      <c r="P718" s="192"/>
      <c r="Q718" s="206"/>
      <c r="AB718" s="206"/>
      <c r="AC718" s="206"/>
      <c r="AE718"/>
    </row>
    <row r="719" spans="1:31" x14ac:dyDescent="0.2">
      <c r="A719" s="220"/>
      <c r="B719" s="220"/>
      <c r="C719" s="206"/>
      <c r="D719" s="206"/>
      <c r="E719" s="192"/>
      <c r="F719" s="206"/>
      <c r="G719"/>
      <c r="H719"/>
      <c r="O719" s="192"/>
      <c r="P719" s="192"/>
      <c r="Q719" s="206"/>
      <c r="AB719" s="206"/>
      <c r="AC719" s="206"/>
      <c r="AE719"/>
    </row>
    <row r="720" spans="1:31" x14ac:dyDescent="0.2">
      <c r="A720" s="220"/>
      <c r="B720" s="220"/>
      <c r="C720" s="206"/>
      <c r="D720" s="206"/>
      <c r="E720" s="192"/>
      <c r="F720" s="206"/>
      <c r="G720" s="206"/>
      <c r="H720" s="206"/>
      <c r="O720" s="192"/>
      <c r="P720" s="192"/>
      <c r="Q720" s="206"/>
      <c r="AB720" s="206"/>
      <c r="AC720" s="206"/>
      <c r="AE720"/>
    </row>
    <row r="721" spans="1:31" x14ac:dyDescent="0.2">
      <c r="A721" s="220"/>
      <c r="B721" s="220"/>
      <c r="C721" s="206"/>
      <c r="D721" s="206"/>
      <c r="E721" s="192"/>
      <c r="F721" s="206"/>
      <c r="G721" s="206"/>
      <c r="H721" s="206"/>
      <c r="O721" s="192"/>
      <c r="P721" s="192"/>
      <c r="Q721" s="206"/>
      <c r="AB721" s="206"/>
      <c r="AC721" s="206"/>
      <c r="AE721"/>
    </row>
    <row r="722" spans="1:31" x14ac:dyDescent="0.2">
      <c r="A722" s="220"/>
      <c r="B722" s="220"/>
      <c r="C722" s="206"/>
      <c r="D722" s="206"/>
      <c r="E722" s="192"/>
      <c r="F722" s="206"/>
      <c r="G722" s="206"/>
      <c r="H722" s="206"/>
      <c r="O722" s="192"/>
      <c r="P722" s="192"/>
      <c r="Q722" s="206"/>
      <c r="AB722" s="206"/>
      <c r="AC722" s="206"/>
      <c r="AE722"/>
    </row>
    <row r="723" spans="1:31" x14ac:dyDescent="0.2">
      <c r="A723" s="220"/>
      <c r="B723" s="220"/>
      <c r="C723" s="206"/>
      <c r="D723" s="206"/>
      <c r="E723" s="192"/>
      <c r="F723" s="206"/>
      <c r="G723" s="206"/>
      <c r="H723"/>
      <c r="O723" s="192"/>
      <c r="P723" s="192"/>
      <c r="Q723" s="206"/>
      <c r="AB723" s="206"/>
      <c r="AC723" s="206"/>
      <c r="AE723"/>
    </row>
    <row r="724" spans="1:31" x14ac:dyDescent="0.2">
      <c r="A724" s="220"/>
      <c r="B724" s="220"/>
      <c r="C724" s="206"/>
      <c r="D724" s="206"/>
      <c r="E724" s="192"/>
      <c r="F724" s="206"/>
      <c r="G724"/>
      <c r="H724"/>
      <c r="O724" s="192"/>
      <c r="P724" s="192"/>
      <c r="Q724" s="206"/>
      <c r="AB724" s="206"/>
      <c r="AC724" s="206"/>
      <c r="AE724"/>
    </row>
    <row r="725" spans="1:31" x14ac:dyDescent="0.2">
      <c r="A725" s="220"/>
      <c r="B725" s="220"/>
      <c r="C725" s="206"/>
      <c r="D725" s="206"/>
      <c r="E725" s="192"/>
      <c r="F725" s="206"/>
      <c r="G725" s="206"/>
      <c r="H725"/>
      <c r="O725" s="192"/>
      <c r="P725" s="192"/>
      <c r="Q725" s="206"/>
      <c r="AB725" s="206"/>
      <c r="AC725" s="206"/>
      <c r="AE725"/>
    </row>
    <row r="726" spans="1:31" x14ac:dyDescent="0.2">
      <c r="A726" s="220"/>
      <c r="B726" s="220"/>
      <c r="C726" s="206"/>
      <c r="D726" s="206"/>
      <c r="E726" s="192"/>
      <c r="F726" s="206"/>
      <c r="G726" s="206"/>
      <c r="H726"/>
      <c r="O726" s="192"/>
      <c r="P726" s="192"/>
      <c r="Q726" s="206"/>
      <c r="AB726" s="206"/>
      <c r="AC726" s="206"/>
      <c r="AE726"/>
    </row>
    <row r="727" spans="1:31" x14ac:dyDescent="0.2">
      <c r="A727" s="220"/>
      <c r="B727" s="220"/>
      <c r="C727" s="206"/>
      <c r="D727" s="206"/>
      <c r="E727" s="192"/>
      <c r="F727" s="206"/>
      <c r="G727" s="206"/>
      <c r="H727" s="206"/>
      <c r="O727" s="192"/>
      <c r="P727" s="192"/>
      <c r="Q727" s="206"/>
      <c r="AB727" s="206"/>
      <c r="AC727" s="206"/>
      <c r="AE727"/>
    </row>
    <row r="728" spans="1:31" x14ac:dyDescent="0.2">
      <c r="A728" s="220"/>
      <c r="B728" s="220"/>
      <c r="C728" s="206"/>
      <c r="D728" s="206"/>
      <c r="E728" s="192"/>
      <c r="F728" s="206"/>
      <c r="G728" s="206"/>
      <c r="H728"/>
      <c r="O728" s="192"/>
      <c r="P728" s="192"/>
      <c r="Q728" s="206"/>
      <c r="AB728" s="206"/>
      <c r="AC728" s="206"/>
      <c r="AE728"/>
    </row>
    <row r="729" spans="1:31" x14ac:dyDescent="0.2">
      <c r="A729" s="220"/>
      <c r="B729" s="220"/>
      <c r="C729" s="206"/>
      <c r="D729" s="206"/>
      <c r="E729" s="192"/>
      <c r="F729" s="206"/>
      <c r="G729" s="206"/>
      <c r="H729"/>
      <c r="O729" s="192"/>
      <c r="P729" s="192"/>
      <c r="Q729" s="206"/>
      <c r="AB729" s="206"/>
      <c r="AC729" s="206"/>
      <c r="AE729"/>
    </row>
    <row r="730" spans="1:31" x14ac:dyDescent="0.2">
      <c r="A730" s="220"/>
      <c r="B730" s="220"/>
      <c r="C730" s="206"/>
      <c r="D730" s="206"/>
      <c r="E730" s="192"/>
      <c r="F730" s="206"/>
      <c r="G730" s="206"/>
      <c r="H730"/>
      <c r="O730" s="192"/>
      <c r="P730" s="192"/>
      <c r="Q730" s="206"/>
      <c r="AB730" s="206"/>
      <c r="AC730" s="206"/>
      <c r="AE730"/>
    </row>
    <row r="731" spans="1:31" x14ac:dyDescent="0.2">
      <c r="A731" s="220"/>
      <c r="B731" s="220"/>
      <c r="C731" s="206"/>
      <c r="D731" s="206"/>
      <c r="E731" s="192"/>
      <c r="F731" s="206"/>
      <c r="G731"/>
      <c r="H731"/>
      <c r="O731" s="192"/>
      <c r="P731" s="192"/>
      <c r="Q731" s="206"/>
      <c r="AB731" s="206"/>
      <c r="AC731" s="206"/>
      <c r="AE731"/>
    </row>
    <row r="732" spans="1:31" x14ac:dyDescent="0.2">
      <c r="A732" s="220"/>
      <c r="B732" s="220"/>
      <c r="C732" s="206"/>
      <c r="D732" s="206"/>
      <c r="E732" s="192"/>
      <c r="F732" s="206"/>
      <c r="G732"/>
      <c r="H732"/>
      <c r="O732" s="192"/>
      <c r="P732" s="192"/>
      <c r="Q732" s="206"/>
      <c r="AB732" s="206"/>
      <c r="AC732" s="206"/>
      <c r="AE732"/>
    </row>
    <row r="733" spans="1:31" x14ac:dyDescent="0.2">
      <c r="A733" s="220"/>
      <c r="B733" s="220"/>
      <c r="C733" s="206"/>
      <c r="D733" s="206"/>
      <c r="E733" s="192"/>
      <c r="F733" s="206"/>
      <c r="G733" s="206"/>
      <c r="H733"/>
      <c r="O733" s="192"/>
      <c r="P733" s="192"/>
      <c r="Q733" s="206"/>
      <c r="AB733" s="206"/>
      <c r="AC733" s="206"/>
      <c r="AE733"/>
    </row>
    <row r="734" spans="1:31" x14ac:dyDescent="0.2">
      <c r="A734" s="220"/>
      <c r="B734" s="220"/>
      <c r="C734" s="206"/>
      <c r="D734" s="206"/>
      <c r="E734" s="192"/>
      <c r="F734" s="206"/>
      <c r="G734" s="206"/>
      <c r="H734"/>
      <c r="O734" s="192"/>
      <c r="P734" s="192"/>
      <c r="Q734" s="206"/>
      <c r="AB734" s="206"/>
      <c r="AC734" s="206"/>
      <c r="AE734"/>
    </row>
    <row r="735" spans="1:31" x14ac:dyDescent="0.2">
      <c r="A735" s="220"/>
      <c r="B735" s="220"/>
      <c r="C735" s="206"/>
      <c r="D735" s="206"/>
      <c r="E735" s="192"/>
      <c r="F735" s="206"/>
      <c r="G735" s="206"/>
      <c r="H735"/>
      <c r="O735" s="192"/>
      <c r="P735" s="192"/>
      <c r="Q735" s="206"/>
      <c r="AB735" s="206"/>
      <c r="AC735" s="206"/>
      <c r="AE735"/>
    </row>
    <row r="736" spans="1:31" x14ac:dyDescent="0.2">
      <c r="A736" s="220"/>
      <c r="B736" s="220"/>
      <c r="C736" s="206"/>
      <c r="D736" s="206"/>
      <c r="E736" s="192"/>
      <c r="F736" s="206"/>
      <c r="G736" s="206"/>
      <c r="H736"/>
      <c r="O736" s="192"/>
      <c r="P736" s="192"/>
      <c r="Q736" s="206"/>
      <c r="AB736" s="206"/>
      <c r="AC736" s="206"/>
      <c r="AE736"/>
    </row>
    <row r="737" spans="1:31" x14ac:dyDescent="0.2">
      <c r="A737" s="220"/>
      <c r="B737" s="220"/>
      <c r="C737" s="206"/>
      <c r="D737" s="206"/>
      <c r="E737" s="192"/>
      <c r="F737" s="206"/>
      <c r="G737" s="206"/>
      <c r="H737"/>
      <c r="O737" s="192"/>
      <c r="P737" s="192"/>
      <c r="Q737" s="206"/>
      <c r="AB737" s="206"/>
      <c r="AC737" s="206"/>
      <c r="AE737"/>
    </row>
    <row r="738" spans="1:31" x14ac:dyDescent="0.2">
      <c r="A738" s="220"/>
      <c r="B738" s="220"/>
      <c r="C738" s="206"/>
      <c r="D738" s="206"/>
      <c r="E738" s="192"/>
      <c r="F738" s="206"/>
      <c r="G738" s="206"/>
      <c r="H738"/>
      <c r="O738" s="192"/>
      <c r="P738" s="192"/>
      <c r="Q738" s="206"/>
      <c r="AB738" s="206"/>
      <c r="AC738" s="206"/>
      <c r="AE738"/>
    </row>
    <row r="739" spans="1:31" x14ac:dyDescent="0.2">
      <c r="A739" s="220"/>
      <c r="B739" s="220"/>
      <c r="C739" s="206"/>
      <c r="D739" s="206"/>
      <c r="E739" s="192"/>
      <c r="F739" s="206"/>
      <c r="G739" s="206"/>
      <c r="H739"/>
      <c r="O739" s="192"/>
      <c r="P739" s="192"/>
      <c r="Q739" s="206"/>
      <c r="AB739" s="206"/>
      <c r="AC739" s="206"/>
      <c r="AE739"/>
    </row>
    <row r="740" spans="1:31" x14ac:dyDescent="0.2">
      <c r="A740" s="220"/>
      <c r="B740" s="220"/>
      <c r="C740" s="206"/>
      <c r="D740" s="206"/>
      <c r="E740" s="192"/>
      <c r="F740" s="206"/>
      <c r="G740" s="206"/>
      <c r="H740"/>
      <c r="O740" s="192"/>
      <c r="P740" s="192"/>
      <c r="Q740" s="206"/>
      <c r="AB740" s="206"/>
      <c r="AC740" s="206"/>
      <c r="AE740"/>
    </row>
    <row r="741" spans="1:31" x14ac:dyDescent="0.2">
      <c r="A741" s="220"/>
      <c r="B741" s="220"/>
      <c r="C741" s="206"/>
      <c r="D741" s="206"/>
      <c r="E741" s="192"/>
      <c r="F741" s="206"/>
      <c r="G741"/>
      <c r="H741"/>
      <c r="O741" s="192"/>
      <c r="P741" s="192"/>
      <c r="Q741" s="206"/>
      <c r="AB741" s="206"/>
      <c r="AC741" s="206"/>
      <c r="AE741"/>
    </row>
    <row r="742" spans="1:31" x14ac:dyDescent="0.2">
      <c r="A742" s="220"/>
      <c r="B742" s="220"/>
      <c r="C742" s="206"/>
      <c r="D742" s="206"/>
      <c r="E742" s="192"/>
      <c r="F742" s="206"/>
      <c r="G742" s="206"/>
      <c r="H742"/>
      <c r="O742" s="192"/>
      <c r="P742" s="192"/>
      <c r="Q742" s="206"/>
      <c r="AB742" s="206"/>
      <c r="AC742" s="206"/>
      <c r="AE742"/>
    </row>
    <row r="743" spans="1:31" x14ac:dyDescent="0.2">
      <c r="A743" s="220"/>
      <c r="B743" s="220"/>
      <c r="C743" s="206"/>
      <c r="D743" s="206"/>
      <c r="E743" s="192"/>
      <c r="F743" s="206"/>
      <c r="G743"/>
      <c r="H743"/>
      <c r="O743" s="192"/>
      <c r="P743" s="192"/>
      <c r="Q743" s="206"/>
      <c r="AB743" s="206"/>
      <c r="AC743" s="206"/>
      <c r="AE743"/>
    </row>
    <row r="744" spans="1:31" x14ac:dyDescent="0.2">
      <c r="A744" s="220"/>
      <c r="B744" s="220"/>
      <c r="C744" s="206"/>
      <c r="D744" s="206"/>
      <c r="E744" s="192"/>
      <c r="F744" s="206"/>
      <c r="G744" s="206"/>
      <c r="H744"/>
      <c r="O744" s="192"/>
      <c r="P744" s="192"/>
      <c r="Q744" s="206"/>
      <c r="AB744" s="206"/>
      <c r="AC744" s="206"/>
      <c r="AE744"/>
    </row>
    <row r="745" spans="1:31" x14ac:dyDescent="0.2">
      <c r="A745" s="220"/>
      <c r="B745" s="220"/>
      <c r="C745" s="206"/>
      <c r="D745" s="206"/>
      <c r="E745" s="192"/>
      <c r="F745" s="206"/>
      <c r="G745" s="206"/>
      <c r="H745" s="206"/>
      <c r="O745" s="192"/>
      <c r="P745" s="192"/>
      <c r="Q745" s="206"/>
      <c r="AB745" s="206"/>
      <c r="AC745" s="206"/>
      <c r="AE745"/>
    </row>
    <row r="746" spans="1:31" x14ac:dyDescent="0.2">
      <c r="A746" s="220"/>
      <c r="B746" s="220"/>
      <c r="C746" s="206"/>
      <c r="D746" s="206"/>
      <c r="E746" s="192"/>
      <c r="F746" s="206"/>
      <c r="G746" s="206"/>
      <c r="H746"/>
      <c r="O746" s="192"/>
      <c r="P746" s="192"/>
      <c r="Q746" s="206"/>
      <c r="AB746" s="206"/>
      <c r="AC746" s="206"/>
      <c r="AE746"/>
    </row>
    <row r="747" spans="1:31" x14ac:dyDescent="0.2">
      <c r="A747" s="220"/>
      <c r="B747" s="220"/>
      <c r="C747" s="206"/>
      <c r="D747" s="206"/>
      <c r="E747" s="192"/>
      <c r="F747" s="206"/>
      <c r="G747" s="206"/>
      <c r="H747"/>
      <c r="O747" s="192"/>
      <c r="P747" s="192"/>
      <c r="Q747" s="206"/>
      <c r="AB747" s="206"/>
      <c r="AC747" s="206"/>
      <c r="AE747"/>
    </row>
    <row r="748" spans="1:31" x14ac:dyDescent="0.2">
      <c r="A748" s="220"/>
      <c r="B748" s="220"/>
      <c r="C748" s="206"/>
      <c r="D748" s="206"/>
      <c r="E748" s="192"/>
      <c r="F748" s="206"/>
      <c r="G748" s="206"/>
      <c r="H748"/>
      <c r="O748" s="192"/>
      <c r="P748" s="192"/>
      <c r="Q748" s="206"/>
      <c r="AB748" s="206"/>
      <c r="AC748" s="206"/>
      <c r="AE748"/>
    </row>
    <row r="749" spans="1:31" x14ac:dyDescent="0.2">
      <c r="A749" s="220"/>
      <c r="B749" s="220"/>
      <c r="C749" s="206"/>
      <c r="D749" s="206"/>
      <c r="E749" s="192"/>
      <c r="F749" s="206"/>
      <c r="G749" s="206"/>
      <c r="H749"/>
      <c r="O749" s="192"/>
      <c r="P749" s="192"/>
      <c r="Q749" s="206"/>
      <c r="AB749" s="206"/>
      <c r="AC749" s="206"/>
      <c r="AE749"/>
    </row>
    <row r="750" spans="1:31" x14ac:dyDescent="0.2">
      <c r="A750" s="220"/>
      <c r="B750" s="220"/>
      <c r="C750" s="206"/>
      <c r="D750" s="206"/>
      <c r="E750" s="192"/>
      <c r="F750" s="206"/>
      <c r="G750" s="206"/>
      <c r="H750"/>
      <c r="O750" s="192"/>
      <c r="P750" s="192"/>
      <c r="Q750" s="206"/>
      <c r="AB750" s="206"/>
      <c r="AC750" s="206"/>
      <c r="AE750"/>
    </row>
    <row r="751" spans="1:31" x14ac:dyDescent="0.2">
      <c r="A751" s="220"/>
      <c r="B751" s="220"/>
      <c r="C751" s="206"/>
      <c r="D751" s="206"/>
      <c r="E751" s="192"/>
      <c r="F751" s="206"/>
      <c r="G751"/>
      <c r="H751"/>
      <c r="O751" s="192"/>
      <c r="P751" s="192"/>
      <c r="Q751" s="206"/>
      <c r="AB751" s="206"/>
      <c r="AC751" s="206"/>
      <c r="AE751"/>
    </row>
    <row r="752" spans="1:31" x14ac:dyDescent="0.2">
      <c r="A752" s="220"/>
      <c r="B752" s="220"/>
      <c r="C752" s="206"/>
      <c r="D752" s="206"/>
      <c r="E752" s="192"/>
      <c r="F752" s="206"/>
      <c r="G752"/>
      <c r="H752"/>
      <c r="O752" s="192"/>
      <c r="P752" s="192"/>
      <c r="Q752" s="206"/>
      <c r="AB752" s="206"/>
      <c r="AC752" s="206"/>
      <c r="AE752"/>
    </row>
    <row r="753" spans="1:31" x14ac:dyDescent="0.2">
      <c r="A753" s="220"/>
      <c r="B753" s="220"/>
      <c r="C753" s="206"/>
      <c r="D753" s="206"/>
      <c r="E753" s="192"/>
      <c r="F753" s="206"/>
      <c r="G753" s="206"/>
      <c r="H753"/>
      <c r="O753" s="192"/>
      <c r="P753" s="192"/>
      <c r="Q753" s="206"/>
      <c r="AB753" s="206"/>
      <c r="AC753" s="206"/>
      <c r="AE753"/>
    </row>
    <row r="754" spans="1:31" x14ac:dyDescent="0.2">
      <c r="A754" s="220"/>
      <c r="B754" s="220"/>
      <c r="C754" s="206"/>
      <c r="D754" s="206"/>
      <c r="E754" s="192"/>
      <c r="F754" s="206"/>
      <c r="G754"/>
      <c r="H754"/>
      <c r="O754" s="192"/>
      <c r="P754" s="192"/>
      <c r="Q754" s="206"/>
      <c r="AB754" s="206"/>
      <c r="AC754" s="206"/>
      <c r="AE754"/>
    </row>
    <row r="755" spans="1:31" x14ac:dyDescent="0.2">
      <c r="A755" s="220"/>
      <c r="B755" s="220"/>
      <c r="C755" s="206"/>
      <c r="D755" s="206"/>
      <c r="E755" s="192"/>
      <c r="F755" s="206"/>
      <c r="G755"/>
      <c r="H755"/>
      <c r="O755" s="192"/>
      <c r="P755" s="192"/>
      <c r="Q755" s="206"/>
      <c r="AB755" s="206"/>
      <c r="AC755" s="206"/>
      <c r="AE755"/>
    </row>
    <row r="756" spans="1:31" x14ac:dyDescent="0.2">
      <c r="A756" s="220"/>
      <c r="B756" s="220"/>
      <c r="C756" s="206"/>
      <c r="D756" s="206"/>
      <c r="E756" s="192"/>
      <c r="F756" s="206"/>
      <c r="G756"/>
      <c r="H756"/>
      <c r="O756" s="192"/>
      <c r="P756" s="192"/>
      <c r="Q756" s="206"/>
      <c r="AB756" s="206"/>
      <c r="AC756" s="206"/>
      <c r="AE756"/>
    </row>
    <row r="757" spans="1:31" x14ac:dyDescent="0.2">
      <c r="A757" s="220"/>
      <c r="B757" s="220"/>
      <c r="C757" s="206"/>
      <c r="D757" s="206"/>
      <c r="E757" s="192"/>
      <c r="F757" s="206"/>
      <c r="G757" s="206"/>
      <c r="H757"/>
      <c r="O757" s="192"/>
      <c r="P757" s="192"/>
      <c r="Q757" s="206"/>
      <c r="AB757" s="206"/>
      <c r="AC757" s="206"/>
      <c r="AE757"/>
    </row>
    <row r="758" spans="1:31" x14ac:dyDescent="0.2">
      <c r="A758" s="220"/>
      <c r="B758" s="220"/>
      <c r="C758" s="206"/>
      <c r="D758" s="206"/>
      <c r="E758" s="192"/>
      <c r="F758" s="206"/>
      <c r="G758" s="206"/>
      <c r="H758"/>
      <c r="O758" s="192"/>
      <c r="P758" s="192"/>
      <c r="Q758" s="206"/>
      <c r="AB758" s="206"/>
      <c r="AC758" s="206"/>
      <c r="AE758"/>
    </row>
    <row r="759" spans="1:31" x14ac:dyDescent="0.2">
      <c r="A759" s="220"/>
      <c r="B759" s="220"/>
      <c r="C759" s="206"/>
      <c r="D759" s="206"/>
      <c r="E759" s="192"/>
      <c r="F759" s="206"/>
      <c r="G759" s="206"/>
      <c r="H759"/>
      <c r="O759" s="192"/>
      <c r="P759" s="192"/>
      <c r="Q759" s="206"/>
      <c r="AB759" s="206"/>
      <c r="AC759" s="206"/>
      <c r="AE759"/>
    </row>
    <row r="760" spans="1:31" x14ac:dyDescent="0.2">
      <c r="A760" s="220"/>
      <c r="B760" s="220"/>
      <c r="C760" s="206"/>
      <c r="D760" s="206"/>
      <c r="E760" s="192"/>
      <c r="F760" s="206"/>
      <c r="G760" s="206"/>
      <c r="H760"/>
      <c r="O760" s="192"/>
      <c r="P760" s="192"/>
      <c r="Q760" s="206"/>
      <c r="AB760" s="206"/>
      <c r="AC760" s="206"/>
      <c r="AE760"/>
    </row>
    <row r="761" spans="1:31" x14ac:dyDescent="0.2">
      <c r="A761" s="220"/>
      <c r="B761" s="220"/>
      <c r="C761" s="206"/>
      <c r="D761" s="206"/>
      <c r="E761" s="192"/>
      <c r="F761" s="206"/>
      <c r="G761"/>
      <c r="H761"/>
      <c r="O761" s="192"/>
      <c r="P761" s="192"/>
      <c r="Q761" s="206"/>
      <c r="AB761" s="206"/>
      <c r="AC761" s="206"/>
      <c r="AE761"/>
    </row>
    <row r="762" spans="1:31" x14ac:dyDescent="0.2">
      <c r="A762" s="220"/>
      <c r="B762" s="220"/>
      <c r="C762" s="206"/>
      <c r="D762" s="206"/>
      <c r="E762" s="192"/>
      <c r="F762" s="206"/>
      <c r="G762" s="206"/>
      <c r="H762"/>
      <c r="O762" s="192"/>
      <c r="P762" s="192"/>
      <c r="Q762" s="206"/>
      <c r="AB762" s="206"/>
      <c r="AC762" s="206"/>
      <c r="AE762"/>
    </row>
    <row r="763" spans="1:31" x14ac:dyDescent="0.2">
      <c r="A763" s="220"/>
      <c r="B763" s="220"/>
      <c r="C763" s="206"/>
      <c r="D763" s="206"/>
      <c r="E763" s="192"/>
      <c r="F763" s="206"/>
      <c r="G763"/>
      <c r="H763"/>
      <c r="O763" s="192"/>
      <c r="P763" s="192"/>
      <c r="Q763" s="206"/>
      <c r="AB763" s="206"/>
      <c r="AC763" s="206"/>
      <c r="AE763"/>
    </row>
    <row r="764" spans="1:31" x14ac:dyDescent="0.2">
      <c r="A764" s="220"/>
      <c r="B764" s="220"/>
      <c r="C764" s="206"/>
      <c r="D764" s="206"/>
      <c r="E764" s="192"/>
      <c r="F764" s="206"/>
      <c r="G764" s="206"/>
      <c r="H764"/>
      <c r="O764" s="192"/>
      <c r="P764" s="192"/>
      <c r="Q764" s="206"/>
      <c r="AB764" s="206"/>
      <c r="AC764" s="206"/>
      <c r="AE764"/>
    </row>
    <row r="765" spans="1:31" x14ac:dyDescent="0.2">
      <c r="A765" s="220"/>
      <c r="B765" s="220"/>
      <c r="C765" s="206"/>
      <c r="D765" s="206"/>
      <c r="E765" s="192"/>
      <c r="F765" s="206"/>
      <c r="G765" s="206"/>
      <c r="H765"/>
      <c r="O765" s="192"/>
      <c r="P765" s="192"/>
      <c r="Q765" s="206"/>
      <c r="AB765" s="206"/>
      <c r="AC765" s="206"/>
      <c r="AE765"/>
    </row>
    <row r="766" spans="1:31" x14ac:dyDescent="0.2">
      <c r="A766" s="220"/>
      <c r="B766" s="220"/>
      <c r="C766" s="206"/>
      <c r="D766" s="206"/>
      <c r="E766" s="192"/>
      <c r="F766" s="206"/>
      <c r="G766"/>
      <c r="H766"/>
      <c r="O766" s="192"/>
      <c r="P766" s="192"/>
      <c r="Q766" s="206"/>
      <c r="AB766" s="206"/>
      <c r="AC766" s="206"/>
      <c r="AE766"/>
    </row>
    <row r="767" spans="1:31" x14ac:dyDescent="0.2">
      <c r="A767" s="220"/>
      <c r="B767" s="220"/>
      <c r="C767" s="206"/>
      <c r="D767" s="206"/>
      <c r="E767" s="192"/>
      <c r="F767" s="206"/>
      <c r="G767" s="206"/>
      <c r="H767" s="206"/>
      <c r="O767" s="192"/>
      <c r="P767" s="192"/>
      <c r="Q767" s="206"/>
      <c r="AB767" s="206"/>
      <c r="AC767" s="206"/>
      <c r="AE767"/>
    </row>
    <row r="768" spans="1:31" x14ac:dyDescent="0.2">
      <c r="A768" s="220"/>
      <c r="B768" s="220"/>
      <c r="C768" s="206"/>
      <c r="D768" s="206"/>
      <c r="E768" s="192"/>
      <c r="F768" s="206"/>
      <c r="G768" s="206"/>
      <c r="H768"/>
      <c r="O768" s="192"/>
      <c r="P768" s="192"/>
      <c r="Q768" s="206"/>
      <c r="AB768" s="206"/>
      <c r="AC768" s="206"/>
      <c r="AE768"/>
    </row>
    <row r="769" spans="1:31" x14ac:dyDescent="0.2">
      <c r="A769" s="220"/>
      <c r="B769" s="220"/>
      <c r="C769" s="206"/>
      <c r="D769" s="206"/>
      <c r="E769" s="192"/>
      <c r="F769" s="206"/>
      <c r="G769" s="206"/>
      <c r="H769"/>
      <c r="O769" s="192"/>
      <c r="P769" s="192"/>
      <c r="Q769" s="206"/>
      <c r="AB769" s="206"/>
      <c r="AC769" s="206"/>
      <c r="AE769"/>
    </row>
    <row r="770" spans="1:31" x14ac:dyDescent="0.2">
      <c r="A770" s="220"/>
      <c r="B770" s="220"/>
      <c r="C770" s="206"/>
      <c r="D770" s="206"/>
      <c r="E770" s="192"/>
      <c r="F770" s="206"/>
      <c r="G770" s="206"/>
      <c r="H770"/>
      <c r="O770" s="192"/>
      <c r="P770" s="192"/>
      <c r="Q770" s="206"/>
      <c r="AB770" s="206"/>
      <c r="AC770" s="206"/>
      <c r="AE770"/>
    </row>
    <row r="771" spans="1:31" x14ac:dyDescent="0.2">
      <c r="A771" s="220"/>
      <c r="B771" s="220"/>
      <c r="C771" s="206"/>
      <c r="D771" s="206"/>
      <c r="E771" s="192"/>
      <c r="F771" s="206"/>
      <c r="G771" s="206"/>
      <c r="H771"/>
      <c r="O771" s="192"/>
      <c r="P771" s="192"/>
      <c r="Q771" s="206"/>
      <c r="AB771" s="206"/>
      <c r="AC771" s="206"/>
      <c r="AE771"/>
    </row>
    <row r="772" spans="1:31" x14ac:dyDescent="0.2">
      <c r="A772" s="220"/>
      <c r="B772" s="220"/>
      <c r="C772" s="206"/>
      <c r="D772" s="206"/>
      <c r="E772" s="192"/>
      <c r="F772" s="206"/>
      <c r="G772"/>
      <c r="H772"/>
      <c r="O772" s="192"/>
      <c r="P772" s="192"/>
      <c r="Q772" s="206"/>
      <c r="AB772" s="206"/>
      <c r="AC772" s="206"/>
      <c r="AE772"/>
    </row>
    <row r="773" spans="1:31" x14ac:dyDescent="0.2">
      <c r="A773" s="220"/>
      <c r="B773" s="220"/>
      <c r="C773" s="206"/>
      <c r="D773" s="206"/>
      <c r="E773" s="192"/>
      <c r="F773" s="206"/>
      <c r="G773"/>
      <c r="H773"/>
      <c r="O773" s="192"/>
      <c r="P773" s="192"/>
      <c r="Q773" s="206"/>
      <c r="AB773" s="206"/>
      <c r="AC773" s="206"/>
      <c r="AE773"/>
    </row>
    <row r="774" spans="1:31" x14ac:dyDescent="0.2">
      <c r="A774" s="220"/>
      <c r="B774" s="220"/>
      <c r="C774" s="206"/>
      <c r="D774" s="206"/>
      <c r="E774" s="192"/>
      <c r="F774" s="206"/>
      <c r="G774" s="206"/>
      <c r="H774"/>
      <c r="O774" s="192"/>
      <c r="P774" s="192"/>
      <c r="Q774" s="206"/>
      <c r="AB774" s="206"/>
      <c r="AC774" s="206"/>
      <c r="AE774"/>
    </row>
    <row r="775" spans="1:31" x14ac:dyDescent="0.2">
      <c r="A775" s="220"/>
      <c r="B775" s="220"/>
      <c r="C775" s="206"/>
      <c r="D775" s="206"/>
      <c r="E775" s="192"/>
      <c r="F775" s="206"/>
      <c r="G775" s="206"/>
      <c r="H775"/>
      <c r="O775" s="192"/>
      <c r="P775" s="192"/>
      <c r="Q775" s="206"/>
      <c r="AB775" s="206"/>
      <c r="AC775" s="206"/>
      <c r="AE775"/>
    </row>
    <row r="776" spans="1:31" x14ac:dyDescent="0.2">
      <c r="A776" s="220"/>
      <c r="B776" s="220"/>
      <c r="C776" s="206"/>
      <c r="D776" s="206"/>
      <c r="E776" s="192"/>
      <c r="F776" s="206"/>
      <c r="G776" s="206"/>
      <c r="H776"/>
      <c r="O776" s="192"/>
      <c r="P776" s="192"/>
      <c r="Q776" s="206"/>
      <c r="AB776" s="206"/>
      <c r="AC776" s="206"/>
      <c r="AE776"/>
    </row>
    <row r="777" spans="1:31" x14ac:dyDescent="0.2">
      <c r="A777" s="220"/>
      <c r="B777" s="220"/>
      <c r="C777" s="206"/>
      <c r="D777" s="206"/>
      <c r="E777" s="192"/>
      <c r="F777" s="206"/>
      <c r="G777" s="206"/>
      <c r="H777"/>
      <c r="O777" s="192"/>
      <c r="P777" s="192"/>
      <c r="Q777" s="206"/>
      <c r="AB777" s="206"/>
      <c r="AC777" s="206"/>
      <c r="AE777"/>
    </row>
    <row r="778" spans="1:31" x14ac:dyDescent="0.2">
      <c r="A778" s="220"/>
      <c r="B778" s="220"/>
      <c r="C778" s="206"/>
      <c r="D778" s="206"/>
      <c r="E778" s="192"/>
      <c r="F778" s="206"/>
      <c r="G778" s="206"/>
      <c r="H778" s="206"/>
      <c r="O778" s="192"/>
      <c r="P778" s="192"/>
      <c r="Q778" s="206"/>
      <c r="AB778" s="206"/>
      <c r="AC778" s="206"/>
      <c r="AE778"/>
    </row>
    <row r="779" spans="1:31" x14ac:dyDescent="0.2">
      <c r="A779" s="220"/>
      <c r="B779" s="220"/>
      <c r="C779" s="206"/>
      <c r="D779" s="206"/>
      <c r="E779" s="192"/>
      <c r="F779" s="206"/>
      <c r="G779" s="206"/>
      <c r="H779"/>
      <c r="O779" s="192"/>
      <c r="P779" s="192"/>
      <c r="Q779" s="206"/>
      <c r="AB779" s="206"/>
      <c r="AC779" s="206"/>
      <c r="AE779"/>
    </row>
    <row r="780" spans="1:31" x14ac:dyDescent="0.2">
      <c r="A780" s="220"/>
      <c r="B780" s="220"/>
      <c r="C780" s="206"/>
      <c r="D780" s="206"/>
      <c r="E780" s="192"/>
      <c r="F780" s="206"/>
      <c r="G780" s="206"/>
      <c r="H780"/>
      <c r="O780" s="192"/>
      <c r="P780" s="192"/>
      <c r="Q780" s="206"/>
      <c r="AB780" s="206"/>
      <c r="AC780" s="206"/>
      <c r="AE780"/>
    </row>
    <row r="781" spans="1:31" x14ac:dyDescent="0.2">
      <c r="A781" s="220"/>
      <c r="B781" s="220"/>
      <c r="C781" s="206"/>
      <c r="D781" s="206"/>
      <c r="E781" s="192"/>
      <c r="F781" s="206"/>
      <c r="G781"/>
      <c r="H781"/>
      <c r="O781" s="192"/>
      <c r="P781" s="192"/>
      <c r="Q781" s="206"/>
      <c r="AB781" s="206"/>
      <c r="AC781" s="206"/>
      <c r="AE781"/>
    </row>
    <row r="782" spans="1:31" x14ac:dyDescent="0.2">
      <c r="A782" s="220"/>
      <c r="B782" s="220"/>
      <c r="C782" s="206"/>
      <c r="D782" s="206"/>
      <c r="E782" s="192"/>
      <c r="F782" s="206"/>
      <c r="G782" s="206"/>
      <c r="H782"/>
      <c r="O782" s="192"/>
      <c r="P782" s="192"/>
      <c r="Q782" s="206"/>
      <c r="AB782" s="206"/>
      <c r="AC782" s="206"/>
      <c r="AE782"/>
    </row>
    <row r="783" spans="1:31" x14ac:dyDescent="0.2">
      <c r="A783" s="220"/>
      <c r="B783" s="220"/>
      <c r="C783" s="206"/>
      <c r="D783" s="206"/>
      <c r="E783" s="192"/>
      <c r="F783" s="206"/>
      <c r="G783" s="206"/>
      <c r="H783"/>
      <c r="O783" s="192"/>
      <c r="P783" s="192"/>
      <c r="Q783" s="206"/>
      <c r="AB783" s="206"/>
      <c r="AC783" s="206"/>
      <c r="AE783"/>
    </row>
    <row r="784" spans="1:31" x14ac:dyDescent="0.2">
      <c r="A784" s="220"/>
      <c r="B784" s="220"/>
      <c r="C784" s="206"/>
      <c r="D784" s="206"/>
      <c r="E784" s="192"/>
      <c r="F784" s="206"/>
      <c r="G784"/>
      <c r="H784"/>
      <c r="O784" s="192"/>
      <c r="P784" s="192"/>
      <c r="Q784" s="206"/>
      <c r="AB784" s="206"/>
      <c r="AC784" s="206"/>
      <c r="AE784"/>
    </row>
    <row r="785" spans="1:31" x14ac:dyDescent="0.2">
      <c r="A785" s="220"/>
      <c r="B785" s="220"/>
      <c r="C785" s="206"/>
      <c r="D785" s="206"/>
      <c r="E785" s="192"/>
      <c r="F785" s="206"/>
      <c r="G785" s="206"/>
      <c r="H785"/>
      <c r="O785" s="192"/>
      <c r="P785" s="192"/>
      <c r="Q785" s="206"/>
      <c r="AB785" s="206"/>
      <c r="AC785" s="206"/>
      <c r="AE785"/>
    </row>
    <row r="786" spans="1:31" x14ac:dyDescent="0.2">
      <c r="A786" s="220"/>
      <c r="B786" s="220"/>
      <c r="C786" s="206"/>
      <c r="D786" s="206"/>
      <c r="E786" s="192"/>
      <c r="F786" s="206"/>
      <c r="G786" s="206"/>
      <c r="H786"/>
      <c r="O786" s="192"/>
      <c r="P786" s="192"/>
      <c r="Q786" s="206"/>
      <c r="AB786" s="206"/>
      <c r="AC786" s="206"/>
      <c r="AE786"/>
    </row>
    <row r="787" spans="1:31" x14ac:dyDescent="0.2">
      <c r="A787" s="220"/>
      <c r="B787" s="220"/>
      <c r="C787" s="206"/>
      <c r="D787" s="206"/>
      <c r="E787" s="192"/>
      <c r="F787" s="206"/>
      <c r="G787" s="206"/>
      <c r="H787"/>
      <c r="O787" s="192"/>
      <c r="P787" s="192"/>
      <c r="Q787" s="206"/>
      <c r="AB787" s="206"/>
      <c r="AC787" s="206"/>
      <c r="AE787"/>
    </row>
    <row r="788" spans="1:31" x14ac:dyDescent="0.2">
      <c r="A788" s="220"/>
      <c r="B788" s="220"/>
      <c r="C788" s="206"/>
      <c r="D788" s="206"/>
      <c r="E788" s="192"/>
      <c r="F788" s="206"/>
      <c r="G788" s="206"/>
      <c r="H788"/>
      <c r="O788" s="192"/>
      <c r="P788" s="192"/>
      <c r="Q788" s="206"/>
      <c r="AB788" s="206"/>
      <c r="AC788" s="206"/>
      <c r="AE788"/>
    </row>
    <row r="789" spans="1:31" x14ac:dyDescent="0.2">
      <c r="A789" s="220"/>
      <c r="B789" s="220"/>
      <c r="C789" s="206"/>
      <c r="D789" s="206"/>
      <c r="E789" s="192"/>
      <c r="F789" s="206"/>
      <c r="G789" s="206"/>
      <c r="H789"/>
      <c r="O789" s="192"/>
      <c r="P789" s="192"/>
      <c r="Q789" s="206"/>
      <c r="AB789" s="206"/>
      <c r="AC789" s="206"/>
      <c r="AE789"/>
    </row>
    <row r="790" spans="1:31" x14ac:dyDescent="0.2">
      <c r="A790" s="220"/>
      <c r="B790" s="220"/>
      <c r="C790" s="206"/>
      <c r="D790" s="206"/>
      <c r="E790" s="192"/>
      <c r="F790" s="206"/>
      <c r="G790" s="206"/>
      <c r="H790"/>
      <c r="O790" s="192"/>
      <c r="P790" s="192"/>
      <c r="Q790" s="206"/>
      <c r="AB790" s="206"/>
      <c r="AC790" s="206"/>
      <c r="AE790"/>
    </row>
    <row r="791" spans="1:31" x14ac:dyDescent="0.2">
      <c r="A791" s="220"/>
      <c r="B791" s="220"/>
      <c r="C791" s="206"/>
      <c r="D791" s="206"/>
      <c r="E791" s="192"/>
      <c r="F791" s="206"/>
      <c r="G791" s="206"/>
      <c r="H791"/>
      <c r="O791" s="192"/>
      <c r="P791" s="192"/>
      <c r="Q791" s="206"/>
      <c r="AB791" s="206"/>
      <c r="AC791" s="206"/>
      <c r="AE791"/>
    </row>
    <row r="792" spans="1:31" x14ac:dyDescent="0.2">
      <c r="A792" s="220"/>
      <c r="B792" s="220"/>
      <c r="C792" s="206"/>
      <c r="D792" s="206"/>
      <c r="E792" s="192"/>
      <c r="F792" s="206"/>
      <c r="G792" s="206"/>
      <c r="H792" s="206"/>
      <c r="O792" s="192"/>
      <c r="P792" s="192"/>
      <c r="Q792" s="206"/>
      <c r="AB792" s="206"/>
      <c r="AC792" s="206"/>
      <c r="AE792"/>
    </row>
    <row r="793" spans="1:31" x14ac:dyDescent="0.2">
      <c r="A793" s="220"/>
      <c r="B793" s="220"/>
      <c r="C793" s="206"/>
      <c r="D793" s="206"/>
      <c r="E793" s="192"/>
      <c r="F793" s="206"/>
      <c r="G793"/>
      <c r="H793"/>
      <c r="O793" s="192"/>
      <c r="P793" s="192"/>
      <c r="Q793" s="206"/>
      <c r="AB793" s="206"/>
      <c r="AC793" s="206"/>
      <c r="AE793"/>
    </row>
    <row r="794" spans="1:31" x14ac:dyDescent="0.2">
      <c r="A794" s="220"/>
      <c r="B794" s="220"/>
      <c r="C794" s="206"/>
      <c r="D794" s="206"/>
      <c r="E794" s="192"/>
      <c r="F794" s="206"/>
      <c r="G794" s="206"/>
      <c r="H794"/>
      <c r="O794" s="192"/>
      <c r="P794" s="192"/>
      <c r="Q794" s="206"/>
      <c r="AB794" s="206"/>
      <c r="AC794" s="206"/>
      <c r="AE794"/>
    </row>
    <row r="795" spans="1:31" x14ac:dyDescent="0.2">
      <c r="A795" s="220"/>
      <c r="B795" s="220"/>
      <c r="C795" s="206"/>
      <c r="D795" s="206"/>
      <c r="E795" s="192"/>
      <c r="F795" s="206"/>
      <c r="G795"/>
      <c r="H795"/>
      <c r="O795" s="192"/>
      <c r="P795" s="192"/>
      <c r="Q795" s="206"/>
      <c r="AB795" s="206"/>
      <c r="AC795" s="206"/>
      <c r="AE795"/>
    </row>
    <row r="796" spans="1:31" x14ac:dyDescent="0.2">
      <c r="A796" s="220"/>
      <c r="B796" s="220"/>
      <c r="C796" s="206"/>
      <c r="D796" s="206"/>
      <c r="E796" s="192"/>
      <c r="F796" s="206"/>
      <c r="G796"/>
      <c r="H796"/>
      <c r="O796" s="192"/>
      <c r="P796" s="192"/>
      <c r="Q796" s="206"/>
      <c r="AB796" s="206"/>
      <c r="AC796" s="206"/>
      <c r="AE796"/>
    </row>
    <row r="797" spans="1:31" x14ac:dyDescent="0.2">
      <c r="A797" s="220"/>
      <c r="B797" s="220"/>
      <c r="C797" s="206"/>
      <c r="D797" s="206"/>
      <c r="E797" s="192"/>
      <c r="F797" s="206"/>
      <c r="G797"/>
      <c r="H797"/>
      <c r="O797" s="192"/>
      <c r="P797" s="192"/>
      <c r="Q797" s="206"/>
      <c r="AB797" s="206"/>
      <c r="AC797" s="206"/>
      <c r="AE797"/>
    </row>
    <row r="798" spans="1:31" x14ac:dyDescent="0.2">
      <c r="A798" s="220"/>
      <c r="B798" s="220"/>
      <c r="C798" s="206"/>
      <c r="D798" s="206"/>
      <c r="E798" s="192"/>
      <c r="F798" s="206"/>
      <c r="G798" s="206"/>
      <c r="H798" s="206"/>
      <c r="O798" s="192"/>
      <c r="P798" s="192"/>
      <c r="Q798" s="206"/>
      <c r="AB798" s="206"/>
      <c r="AC798" s="206"/>
      <c r="AE798"/>
    </row>
    <row r="799" spans="1:31" x14ac:dyDescent="0.2">
      <c r="A799" s="220"/>
      <c r="B799" s="220"/>
      <c r="C799" s="206"/>
      <c r="D799" s="206"/>
      <c r="E799" s="192"/>
      <c r="F799" s="206"/>
      <c r="G799" s="206"/>
      <c r="H799"/>
      <c r="O799" s="192"/>
      <c r="P799" s="192"/>
      <c r="Q799" s="206"/>
      <c r="AB799" s="206"/>
      <c r="AC799" s="206"/>
      <c r="AE799"/>
    </row>
    <row r="800" spans="1:31" x14ac:dyDescent="0.2">
      <c r="A800" s="220"/>
      <c r="B800" s="220"/>
      <c r="C800" s="206"/>
      <c r="D800" s="206"/>
      <c r="E800" s="192"/>
      <c r="F800" s="206"/>
      <c r="G800" s="206"/>
      <c r="H800"/>
      <c r="O800" s="192"/>
      <c r="P800" s="192"/>
      <c r="Q800" s="206"/>
      <c r="AB800" s="206"/>
      <c r="AC800" s="206"/>
      <c r="AE800"/>
    </row>
    <row r="801" spans="1:31" x14ac:dyDescent="0.2">
      <c r="A801" s="220"/>
      <c r="B801" s="220"/>
      <c r="C801" s="206"/>
      <c r="D801" s="206"/>
      <c r="E801" s="192"/>
      <c r="F801" s="206"/>
      <c r="G801" s="206"/>
      <c r="H801"/>
      <c r="O801" s="192"/>
      <c r="P801" s="192"/>
      <c r="Q801" s="206"/>
      <c r="AB801" s="206"/>
      <c r="AC801" s="206"/>
      <c r="AE801"/>
    </row>
    <row r="802" spans="1:31" x14ac:dyDescent="0.2">
      <c r="A802" s="220"/>
      <c r="B802" s="220"/>
      <c r="C802" s="206"/>
      <c r="D802" s="206"/>
      <c r="E802" s="192"/>
      <c r="F802" s="206"/>
      <c r="G802"/>
      <c r="H802"/>
      <c r="O802" s="192"/>
      <c r="P802" s="192"/>
      <c r="Q802" s="206"/>
      <c r="AB802" s="206"/>
      <c r="AC802" s="206"/>
      <c r="AE802"/>
    </row>
    <row r="803" spans="1:31" x14ac:dyDescent="0.2">
      <c r="A803" s="220"/>
      <c r="B803" s="220"/>
      <c r="C803" s="206"/>
      <c r="D803" s="206"/>
      <c r="E803" s="192"/>
      <c r="F803" s="206"/>
      <c r="G803" s="206"/>
      <c r="H803"/>
      <c r="O803" s="192"/>
      <c r="P803" s="192"/>
      <c r="Q803" s="206"/>
      <c r="AB803" s="206"/>
      <c r="AC803" s="206"/>
      <c r="AE803"/>
    </row>
    <row r="804" spans="1:31" x14ac:dyDescent="0.2">
      <c r="A804" s="220"/>
      <c r="B804" s="220"/>
      <c r="C804" s="206"/>
      <c r="D804" s="206"/>
      <c r="E804" s="192"/>
      <c r="F804" s="206"/>
      <c r="G804"/>
      <c r="H804"/>
      <c r="O804" s="192"/>
      <c r="P804" s="192"/>
      <c r="Q804" s="206"/>
      <c r="AB804" s="206"/>
      <c r="AC804" s="206"/>
      <c r="AE804"/>
    </row>
    <row r="805" spans="1:31" x14ac:dyDescent="0.2">
      <c r="A805" s="220"/>
      <c r="B805" s="220"/>
      <c r="C805" s="206"/>
      <c r="D805" s="206"/>
      <c r="E805" s="192"/>
      <c r="F805" s="206"/>
      <c r="G805" s="206"/>
      <c r="H805"/>
      <c r="O805" s="192"/>
      <c r="P805" s="192"/>
      <c r="Q805" s="206"/>
      <c r="AB805" s="206"/>
      <c r="AC805" s="206"/>
      <c r="AE805"/>
    </row>
    <row r="806" spans="1:31" x14ac:dyDescent="0.2">
      <c r="A806" s="220"/>
      <c r="B806" s="220"/>
      <c r="C806" s="206"/>
      <c r="D806" s="206"/>
      <c r="E806" s="192"/>
      <c r="F806" s="206"/>
      <c r="G806"/>
      <c r="H806"/>
      <c r="O806" s="192"/>
      <c r="P806" s="192"/>
      <c r="Q806" s="206"/>
      <c r="AB806" s="206"/>
      <c r="AC806" s="206"/>
      <c r="AE806"/>
    </row>
    <row r="807" spans="1:31" x14ac:dyDescent="0.2">
      <c r="A807" s="220"/>
      <c r="B807" s="220"/>
      <c r="C807" s="206"/>
      <c r="D807" s="206"/>
      <c r="E807" s="192"/>
      <c r="F807" s="206"/>
      <c r="G807" s="206"/>
      <c r="H807"/>
      <c r="O807" s="192"/>
      <c r="P807" s="192"/>
      <c r="Q807" s="206"/>
      <c r="AB807" s="206"/>
      <c r="AC807" s="206"/>
      <c r="AE807"/>
    </row>
    <row r="808" spans="1:31" x14ac:dyDescent="0.2">
      <c r="A808" s="220"/>
      <c r="B808" s="220"/>
      <c r="C808" s="206"/>
      <c r="D808" s="206"/>
      <c r="E808" s="192"/>
      <c r="F808" s="206"/>
      <c r="G808" s="206"/>
      <c r="H808"/>
      <c r="O808" s="192"/>
      <c r="P808" s="192"/>
      <c r="Q808" s="206"/>
      <c r="AB808" s="206"/>
      <c r="AC808" s="206"/>
      <c r="AE808"/>
    </row>
    <row r="809" spans="1:31" x14ac:dyDescent="0.2">
      <c r="A809" s="220"/>
      <c r="B809" s="220"/>
      <c r="C809" s="206"/>
      <c r="D809" s="206"/>
      <c r="E809" s="192"/>
      <c r="F809" s="206"/>
      <c r="G809" s="206"/>
      <c r="H809" s="206"/>
      <c r="O809" s="192"/>
      <c r="P809" s="192"/>
      <c r="Q809" s="206"/>
      <c r="AB809" s="206"/>
      <c r="AC809" s="206"/>
      <c r="AE809"/>
    </row>
    <row r="810" spans="1:31" x14ac:dyDescent="0.2">
      <c r="A810" s="220"/>
      <c r="B810" s="220"/>
      <c r="C810" s="206"/>
      <c r="D810" s="206"/>
      <c r="E810" s="192"/>
      <c r="F810" s="206"/>
      <c r="G810" s="206"/>
      <c r="H810"/>
      <c r="O810" s="192"/>
      <c r="P810" s="192"/>
      <c r="Q810" s="206"/>
      <c r="AB810" s="206"/>
      <c r="AC810" s="206"/>
      <c r="AE810"/>
    </row>
    <row r="811" spans="1:31" x14ac:dyDescent="0.2">
      <c r="A811" s="220"/>
      <c r="B811" s="220"/>
      <c r="C811" s="206"/>
      <c r="D811" s="206"/>
      <c r="E811" s="192"/>
      <c r="F811" s="206"/>
      <c r="G811" s="206"/>
      <c r="H811"/>
      <c r="O811" s="192"/>
      <c r="P811" s="192"/>
      <c r="Q811" s="206"/>
      <c r="AB811" s="206"/>
      <c r="AC811" s="206"/>
      <c r="AE811"/>
    </row>
    <row r="812" spans="1:31" x14ac:dyDescent="0.2">
      <c r="A812" s="220"/>
      <c r="B812" s="220"/>
      <c r="C812" s="206"/>
      <c r="D812" s="206"/>
      <c r="E812" s="192"/>
      <c r="F812" s="206"/>
      <c r="G812" s="206"/>
      <c r="H812"/>
      <c r="O812" s="192"/>
      <c r="P812" s="192"/>
      <c r="Q812" s="206"/>
      <c r="AB812" s="206"/>
      <c r="AC812" s="206"/>
      <c r="AE812"/>
    </row>
    <row r="813" spans="1:31" x14ac:dyDescent="0.2">
      <c r="A813" s="220"/>
      <c r="B813" s="220"/>
      <c r="C813" s="206"/>
      <c r="D813" s="206"/>
      <c r="E813" s="192"/>
      <c r="F813" s="206"/>
      <c r="G813"/>
      <c r="H813"/>
      <c r="O813" s="192"/>
      <c r="P813" s="192"/>
      <c r="Q813" s="206"/>
      <c r="AB813" s="206"/>
      <c r="AC813" s="206"/>
      <c r="AE813"/>
    </row>
    <row r="814" spans="1:31" x14ac:dyDescent="0.2">
      <c r="A814" s="220"/>
      <c r="B814" s="220"/>
      <c r="C814" s="206"/>
      <c r="D814" s="206"/>
      <c r="E814" s="192"/>
      <c r="F814" s="206"/>
      <c r="G814"/>
      <c r="H814"/>
      <c r="O814" s="192"/>
      <c r="P814" s="192"/>
      <c r="Q814" s="206"/>
      <c r="AB814" s="206"/>
      <c r="AC814" s="206"/>
      <c r="AE814"/>
    </row>
    <row r="815" spans="1:31" x14ac:dyDescent="0.2">
      <c r="A815" s="220"/>
      <c r="B815" s="220"/>
      <c r="C815" s="206"/>
      <c r="D815" s="206"/>
      <c r="E815" s="192"/>
      <c r="F815" s="206"/>
      <c r="G815" s="206"/>
      <c r="H815"/>
      <c r="O815" s="192"/>
      <c r="P815" s="192"/>
      <c r="Q815" s="206"/>
      <c r="AB815" s="206"/>
      <c r="AC815" s="206"/>
      <c r="AE815"/>
    </row>
    <row r="816" spans="1:31" x14ac:dyDescent="0.2">
      <c r="A816" s="220"/>
      <c r="B816" s="220"/>
      <c r="C816" s="206"/>
      <c r="D816" s="206"/>
      <c r="E816" s="192"/>
      <c r="F816" s="206"/>
      <c r="G816" s="206"/>
      <c r="H816"/>
      <c r="O816" s="192"/>
      <c r="P816" s="192"/>
      <c r="Q816" s="206"/>
      <c r="AB816" s="206"/>
      <c r="AC816" s="206"/>
      <c r="AE816"/>
    </row>
    <row r="817" spans="1:31" x14ac:dyDescent="0.2">
      <c r="A817" s="220"/>
      <c r="B817" s="220"/>
      <c r="C817" s="206"/>
      <c r="D817" s="206"/>
      <c r="E817" s="192"/>
      <c r="F817" s="206"/>
      <c r="G817" s="206"/>
      <c r="H817"/>
      <c r="O817" s="192"/>
      <c r="P817" s="192"/>
      <c r="Q817" s="206"/>
      <c r="AB817" s="206"/>
      <c r="AC817" s="206"/>
      <c r="AE817"/>
    </row>
    <row r="818" spans="1:31" x14ac:dyDescent="0.2">
      <c r="A818" s="220"/>
      <c r="B818" s="220"/>
      <c r="C818" s="206"/>
      <c r="D818" s="206"/>
      <c r="E818" s="192"/>
      <c r="F818" s="206"/>
      <c r="G818" s="206"/>
      <c r="H818" s="206"/>
      <c r="O818" s="192"/>
      <c r="P818" s="192"/>
      <c r="Q818" s="206"/>
      <c r="AB818" s="206"/>
      <c r="AC818" s="206"/>
      <c r="AE818"/>
    </row>
    <row r="819" spans="1:31" x14ac:dyDescent="0.2">
      <c r="A819" s="220"/>
      <c r="B819" s="220"/>
      <c r="C819" s="206"/>
      <c r="D819" s="206"/>
      <c r="E819" s="192"/>
      <c r="F819" s="206"/>
      <c r="G819" s="206"/>
      <c r="H819"/>
      <c r="O819" s="192"/>
      <c r="P819" s="192"/>
      <c r="Q819" s="206"/>
      <c r="AB819" s="206"/>
      <c r="AC819" s="206"/>
      <c r="AE819"/>
    </row>
    <row r="820" spans="1:31" x14ac:dyDescent="0.2">
      <c r="A820" s="220"/>
      <c r="B820" s="220"/>
      <c r="C820" s="206"/>
      <c r="D820" s="206"/>
      <c r="E820" s="192"/>
      <c r="F820" s="206"/>
      <c r="G820" s="206"/>
      <c r="H820"/>
      <c r="O820" s="192"/>
      <c r="P820" s="192"/>
      <c r="Q820" s="206"/>
      <c r="AB820" s="206"/>
      <c r="AC820" s="206"/>
      <c r="AE820"/>
    </row>
    <row r="821" spans="1:31" x14ac:dyDescent="0.2">
      <c r="A821" s="220"/>
      <c r="B821" s="220"/>
      <c r="C821" s="206"/>
      <c r="D821" s="206"/>
      <c r="E821" s="192"/>
      <c r="F821" s="206"/>
      <c r="G821" s="206"/>
      <c r="H821"/>
      <c r="O821" s="192"/>
      <c r="P821" s="192"/>
      <c r="Q821" s="206"/>
      <c r="AB821" s="206"/>
      <c r="AC821" s="206"/>
      <c r="AE821"/>
    </row>
    <row r="822" spans="1:31" x14ac:dyDescent="0.2">
      <c r="A822" s="220"/>
      <c r="B822" s="220"/>
      <c r="C822" s="206"/>
      <c r="D822" s="206"/>
      <c r="E822" s="192"/>
      <c r="F822" s="206"/>
      <c r="G822" s="206"/>
      <c r="H822"/>
      <c r="O822" s="192"/>
      <c r="P822" s="192"/>
      <c r="Q822" s="206"/>
      <c r="AB822" s="206"/>
      <c r="AC822" s="206"/>
      <c r="AE822"/>
    </row>
    <row r="823" spans="1:31" x14ac:dyDescent="0.2">
      <c r="A823" s="220"/>
      <c r="B823" s="220"/>
      <c r="C823" s="206"/>
      <c r="D823" s="206"/>
      <c r="E823" s="192"/>
      <c r="F823" s="206"/>
      <c r="G823"/>
      <c r="H823"/>
      <c r="O823" s="192"/>
      <c r="P823" s="192"/>
      <c r="Q823" s="206"/>
      <c r="AB823" s="206"/>
      <c r="AC823" s="206"/>
      <c r="AE823"/>
    </row>
    <row r="824" spans="1:31" x14ac:dyDescent="0.2">
      <c r="A824" s="220"/>
      <c r="B824" s="220"/>
      <c r="C824" s="206"/>
      <c r="D824" s="206"/>
      <c r="E824" s="192"/>
      <c r="F824" s="206"/>
      <c r="G824" s="206"/>
      <c r="H824"/>
      <c r="O824" s="192"/>
      <c r="P824" s="192"/>
      <c r="Q824" s="206"/>
      <c r="AB824" s="206"/>
      <c r="AC824" s="206"/>
      <c r="AE824"/>
    </row>
    <row r="825" spans="1:31" x14ac:dyDescent="0.2">
      <c r="A825" s="220"/>
      <c r="B825" s="220"/>
      <c r="C825" s="206"/>
      <c r="D825" s="206"/>
      <c r="E825" s="192"/>
      <c r="F825" s="206"/>
      <c r="G825" s="206"/>
      <c r="H825" s="206"/>
      <c r="O825" s="192"/>
      <c r="P825" s="192"/>
      <c r="Q825" s="206"/>
      <c r="AB825" s="206"/>
      <c r="AC825" s="206"/>
      <c r="AE825"/>
    </row>
    <row r="826" spans="1:31" x14ac:dyDescent="0.2">
      <c r="A826" s="220"/>
      <c r="B826" s="220"/>
      <c r="C826" s="206"/>
      <c r="D826" s="206"/>
      <c r="E826" s="192"/>
      <c r="F826" s="206"/>
      <c r="G826"/>
      <c r="H826"/>
      <c r="O826" s="192"/>
      <c r="P826" s="192"/>
      <c r="Q826" s="206"/>
      <c r="AB826" s="206"/>
      <c r="AC826" s="206"/>
      <c r="AE826"/>
    </row>
    <row r="827" spans="1:31" x14ac:dyDescent="0.2">
      <c r="A827" s="220"/>
      <c r="B827" s="220"/>
      <c r="C827" s="206"/>
      <c r="D827" s="206"/>
      <c r="E827" s="192"/>
      <c r="F827" s="206"/>
      <c r="G827"/>
      <c r="H827"/>
      <c r="O827" s="192"/>
      <c r="P827" s="192"/>
      <c r="Q827" s="206"/>
      <c r="AB827" s="206"/>
      <c r="AC827" s="206"/>
      <c r="AE827"/>
    </row>
    <row r="828" spans="1:31" x14ac:dyDescent="0.2">
      <c r="A828" s="220"/>
      <c r="B828" s="220"/>
      <c r="C828" s="206"/>
      <c r="D828" s="206"/>
      <c r="E828" s="192"/>
      <c r="F828" s="206"/>
      <c r="G828" s="206"/>
      <c r="H828" s="206"/>
      <c r="O828" s="192"/>
      <c r="P828" s="192"/>
      <c r="Q828" s="206"/>
      <c r="AB828" s="206"/>
      <c r="AC828" s="206"/>
      <c r="AE828"/>
    </row>
    <row r="829" spans="1:31" x14ac:dyDescent="0.2">
      <c r="A829" s="220"/>
      <c r="B829" s="220"/>
      <c r="C829" s="206"/>
      <c r="D829" s="206"/>
      <c r="E829" s="192"/>
      <c r="F829" s="206"/>
      <c r="G829"/>
      <c r="H829"/>
      <c r="O829" s="192"/>
      <c r="P829" s="192"/>
      <c r="Q829" s="206"/>
      <c r="AB829" s="206"/>
      <c r="AC829" s="206"/>
      <c r="AE829"/>
    </row>
    <row r="830" spans="1:31" x14ac:dyDescent="0.2">
      <c r="A830" s="220"/>
      <c r="B830" s="220"/>
      <c r="C830" s="206"/>
      <c r="D830" s="206"/>
      <c r="E830" s="192"/>
      <c r="F830" s="206"/>
      <c r="G830" s="206"/>
      <c r="H830"/>
      <c r="O830" s="192"/>
      <c r="P830" s="192"/>
      <c r="Q830" s="206"/>
      <c r="AB830" s="206"/>
      <c r="AC830" s="206"/>
      <c r="AE830"/>
    </row>
    <row r="831" spans="1:31" x14ac:dyDescent="0.2">
      <c r="A831" s="220"/>
      <c r="B831" s="220"/>
      <c r="C831" s="206"/>
      <c r="D831" s="206"/>
      <c r="E831" s="192"/>
      <c r="F831" s="206"/>
      <c r="G831"/>
      <c r="H831"/>
      <c r="O831" s="192"/>
      <c r="P831" s="192"/>
      <c r="Q831" s="206"/>
      <c r="AB831" s="206"/>
      <c r="AC831" s="206"/>
      <c r="AE831"/>
    </row>
    <row r="832" spans="1:31" x14ac:dyDescent="0.2">
      <c r="A832" s="220"/>
      <c r="B832" s="220"/>
      <c r="C832" s="206"/>
      <c r="D832" s="206"/>
      <c r="E832" s="192"/>
      <c r="F832" s="206"/>
      <c r="G832" s="206"/>
      <c r="H832"/>
      <c r="O832" s="192"/>
      <c r="P832" s="192"/>
      <c r="Q832" s="206"/>
      <c r="AB832" s="206"/>
      <c r="AC832" s="206"/>
      <c r="AE832"/>
    </row>
    <row r="833" spans="1:31" x14ac:dyDescent="0.2">
      <c r="A833" s="220"/>
      <c r="B833" s="220"/>
      <c r="C833" s="206"/>
      <c r="D833" s="206"/>
      <c r="E833" s="192"/>
      <c r="F833" s="206"/>
      <c r="G833" s="206"/>
      <c r="H833"/>
      <c r="O833" s="192"/>
      <c r="P833" s="192"/>
      <c r="Q833" s="206"/>
      <c r="AB833" s="206"/>
      <c r="AC833" s="206"/>
      <c r="AE833"/>
    </row>
    <row r="834" spans="1:31" x14ac:dyDescent="0.2">
      <c r="A834" s="220"/>
      <c r="B834" s="220"/>
      <c r="C834" s="206"/>
      <c r="D834" s="206"/>
      <c r="E834" s="192"/>
      <c r="F834" s="206"/>
      <c r="G834" s="206"/>
      <c r="H834"/>
      <c r="O834" s="192"/>
      <c r="P834" s="192"/>
      <c r="Q834" s="206"/>
      <c r="AB834" s="206"/>
      <c r="AC834" s="206"/>
      <c r="AE834"/>
    </row>
    <row r="835" spans="1:31" x14ac:dyDescent="0.2">
      <c r="A835" s="220"/>
      <c r="B835" s="220"/>
      <c r="C835" s="206"/>
      <c r="D835" s="206"/>
      <c r="E835" s="192"/>
      <c r="F835" s="206"/>
      <c r="G835" s="206"/>
      <c r="H835"/>
      <c r="O835" s="192"/>
      <c r="P835" s="192"/>
      <c r="Q835" s="206"/>
      <c r="AB835" s="206"/>
      <c r="AC835" s="206"/>
      <c r="AE835"/>
    </row>
    <row r="836" spans="1:31" x14ac:dyDescent="0.2">
      <c r="A836" s="220"/>
      <c r="B836" s="220"/>
      <c r="C836" s="206"/>
      <c r="D836" s="206"/>
      <c r="E836" s="192"/>
      <c r="F836" s="206"/>
      <c r="G836" s="206"/>
      <c r="H836"/>
      <c r="O836" s="192"/>
      <c r="P836" s="192"/>
      <c r="Q836" s="206"/>
      <c r="AB836" s="206"/>
      <c r="AC836" s="206"/>
      <c r="AE836"/>
    </row>
    <row r="837" spans="1:31" x14ac:dyDescent="0.2">
      <c r="A837" s="220"/>
      <c r="B837" s="220"/>
      <c r="C837" s="206"/>
      <c r="D837" s="206"/>
      <c r="E837" s="192"/>
      <c r="F837" s="206"/>
      <c r="G837"/>
      <c r="H837"/>
      <c r="O837" s="192"/>
      <c r="P837" s="192"/>
      <c r="Q837" s="206"/>
      <c r="AB837" s="206"/>
      <c r="AC837" s="206"/>
      <c r="AE837"/>
    </row>
    <row r="838" spans="1:31" x14ac:dyDescent="0.2">
      <c r="A838" s="220"/>
      <c r="B838" s="220"/>
      <c r="C838" s="206"/>
      <c r="D838" s="206"/>
      <c r="E838" s="192"/>
      <c r="F838" s="206"/>
      <c r="G838" s="206"/>
      <c r="H838"/>
      <c r="O838" s="192"/>
      <c r="P838" s="192"/>
      <c r="Q838" s="206"/>
      <c r="AB838" s="206"/>
      <c r="AC838" s="206"/>
      <c r="AE838"/>
    </row>
    <row r="839" spans="1:31" x14ac:dyDescent="0.2">
      <c r="A839" s="220"/>
      <c r="B839" s="220"/>
      <c r="C839" s="206"/>
      <c r="D839" s="206"/>
      <c r="E839" s="192"/>
      <c r="F839" s="206"/>
      <c r="G839" s="206"/>
      <c r="H839"/>
      <c r="O839" s="192"/>
      <c r="P839" s="192"/>
      <c r="Q839" s="206"/>
      <c r="AB839" s="206"/>
      <c r="AC839" s="206"/>
      <c r="AE839"/>
    </row>
    <row r="840" spans="1:31" x14ac:dyDescent="0.2">
      <c r="A840" s="220"/>
      <c r="B840" s="220"/>
      <c r="C840" s="206"/>
      <c r="D840" s="206"/>
      <c r="E840" s="192"/>
      <c r="F840" s="206"/>
      <c r="G840" s="206"/>
      <c r="H840"/>
      <c r="O840" s="192"/>
      <c r="P840" s="192"/>
      <c r="Q840" s="206"/>
      <c r="AB840" s="206"/>
      <c r="AC840" s="206"/>
      <c r="AE840"/>
    </row>
    <row r="841" spans="1:31" x14ac:dyDescent="0.2">
      <c r="A841" s="220"/>
      <c r="B841" s="220"/>
      <c r="C841" s="206"/>
      <c r="D841" s="206"/>
      <c r="E841" s="192"/>
      <c r="F841" s="206"/>
      <c r="G841" s="206"/>
      <c r="H841"/>
      <c r="O841" s="192"/>
      <c r="P841" s="192"/>
      <c r="Q841" s="206"/>
      <c r="AB841" s="206"/>
      <c r="AC841" s="206"/>
      <c r="AE841"/>
    </row>
    <row r="842" spans="1:31" x14ac:dyDescent="0.2">
      <c r="A842" s="220"/>
      <c r="B842" s="220"/>
      <c r="C842" s="206"/>
      <c r="D842" s="206"/>
      <c r="E842" s="192"/>
      <c r="F842" s="206"/>
      <c r="G842" s="206"/>
      <c r="H842"/>
      <c r="O842" s="192"/>
      <c r="P842" s="192"/>
      <c r="Q842" s="206"/>
      <c r="AB842" s="206"/>
      <c r="AC842" s="206"/>
      <c r="AE842"/>
    </row>
    <row r="843" spans="1:31" x14ac:dyDescent="0.2">
      <c r="A843" s="220"/>
      <c r="B843" s="220"/>
      <c r="C843" s="206"/>
      <c r="D843" s="206"/>
      <c r="E843" s="192"/>
      <c r="F843" s="206"/>
      <c r="G843" s="206"/>
      <c r="H843"/>
      <c r="O843" s="192"/>
      <c r="P843" s="192"/>
      <c r="Q843" s="206"/>
      <c r="AB843" s="206"/>
      <c r="AC843" s="206"/>
      <c r="AE843"/>
    </row>
    <row r="844" spans="1:31" x14ac:dyDescent="0.2">
      <c r="A844" s="220"/>
      <c r="B844" s="220"/>
      <c r="C844" s="206"/>
      <c r="D844" s="206"/>
      <c r="E844" s="192"/>
      <c r="F844" s="206"/>
      <c r="G844"/>
      <c r="H844"/>
      <c r="O844" s="192"/>
      <c r="P844" s="192"/>
      <c r="Q844" s="206"/>
      <c r="AB844" s="206"/>
      <c r="AC844" s="206"/>
      <c r="AE844"/>
    </row>
    <row r="845" spans="1:31" x14ac:dyDescent="0.2">
      <c r="A845" s="220"/>
      <c r="B845" s="220"/>
      <c r="C845" s="206"/>
      <c r="D845" s="206"/>
      <c r="E845" s="192"/>
      <c r="F845" s="206"/>
      <c r="G845" s="206"/>
      <c r="H845"/>
      <c r="O845" s="192"/>
      <c r="P845" s="192"/>
      <c r="Q845" s="206"/>
      <c r="AB845" s="206"/>
      <c r="AC845" s="206"/>
      <c r="AE845"/>
    </row>
    <row r="846" spans="1:31" x14ac:dyDescent="0.2">
      <c r="A846" s="220"/>
      <c r="B846" s="220"/>
      <c r="C846" s="206"/>
      <c r="D846" s="206"/>
      <c r="E846" s="192"/>
      <c r="F846" s="206"/>
      <c r="G846" s="206"/>
      <c r="H846"/>
      <c r="O846" s="192"/>
      <c r="P846" s="192"/>
      <c r="Q846" s="206"/>
      <c r="AB846" s="206"/>
      <c r="AC846" s="206"/>
      <c r="AE846"/>
    </row>
    <row r="847" spans="1:31" x14ac:dyDescent="0.2">
      <c r="A847" s="220"/>
      <c r="B847" s="220"/>
      <c r="C847" s="206"/>
      <c r="D847" s="206"/>
      <c r="E847" s="192"/>
      <c r="F847" s="206"/>
      <c r="G847" s="206"/>
      <c r="H847"/>
      <c r="O847" s="192"/>
      <c r="P847" s="192"/>
      <c r="Q847" s="206"/>
      <c r="AB847" s="206"/>
      <c r="AC847" s="206"/>
      <c r="AE847"/>
    </row>
    <row r="848" spans="1:31" x14ac:dyDescent="0.2">
      <c r="A848" s="220"/>
      <c r="B848" s="220"/>
      <c r="C848" s="206"/>
      <c r="D848" s="206"/>
      <c r="E848" s="192"/>
      <c r="F848" s="206"/>
      <c r="G848" s="206"/>
      <c r="H848"/>
      <c r="O848" s="192"/>
      <c r="P848" s="192"/>
      <c r="Q848" s="206"/>
      <c r="AB848" s="206"/>
      <c r="AC848" s="206"/>
      <c r="AE848"/>
    </row>
    <row r="849" spans="1:31" x14ac:dyDescent="0.2">
      <c r="A849" s="220"/>
      <c r="B849" s="220"/>
      <c r="C849" s="206"/>
      <c r="D849" s="206"/>
      <c r="E849" s="192"/>
      <c r="F849" s="206"/>
      <c r="G849" s="206"/>
      <c r="H849"/>
      <c r="O849" s="192"/>
      <c r="P849" s="192"/>
      <c r="Q849" s="206"/>
      <c r="AB849" s="206"/>
      <c r="AC849" s="206"/>
      <c r="AE849"/>
    </row>
    <row r="850" spans="1:31" x14ac:dyDescent="0.2">
      <c r="A850" s="220"/>
      <c r="B850" s="220"/>
      <c r="C850" s="206"/>
      <c r="D850" s="206"/>
      <c r="E850" s="192"/>
      <c r="F850" s="206"/>
      <c r="G850" s="206"/>
      <c r="H850"/>
      <c r="O850" s="192"/>
      <c r="P850" s="192"/>
      <c r="Q850" s="206"/>
      <c r="AB850" s="206"/>
      <c r="AC850" s="206"/>
      <c r="AE850"/>
    </row>
    <row r="851" spans="1:31" x14ac:dyDescent="0.2">
      <c r="A851" s="220"/>
      <c r="B851" s="220"/>
      <c r="C851" s="206"/>
      <c r="D851" s="206"/>
      <c r="E851" s="192"/>
      <c r="F851" s="206"/>
      <c r="G851" s="206"/>
      <c r="H851"/>
      <c r="O851" s="192"/>
      <c r="P851" s="192"/>
      <c r="Q851" s="206"/>
      <c r="AB851" s="206"/>
      <c r="AC851" s="206"/>
      <c r="AE851"/>
    </row>
    <row r="852" spans="1:31" x14ac:dyDescent="0.2">
      <c r="A852" s="220"/>
      <c r="B852" s="220"/>
      <c r="C852" s="206"/>
      <c r="D852" s="206"/>
      <c r="E852" s="192"/>
      <c r="F852" s="206"/>
      <c r="G852" s="206"/>
      <c r="H852"/>
      <c r="O852" s="192"/>
      <c r="P852" s="192"/>
      <c r="Q852" s="206"/>
      <c r="AB852" s="206"/>
      <c r="AC852" s="206"/>
      <c r="AE852"/>
    </row>
    <row r="853" spans="1:31" x14ac:dyDescent="0.2">
      <c r="A853" s="220"/>
      <c r="B853" s="220"/>
      <c r="C853" s="206"/>
      <c r="D853" s="206"/>
      <c r="E853" s="192"/>
      <c r="F853" s="206"/>
      <c r="G853"/>
      <c r="H853"/>
      <c r="O853" s="192"/>
      <c r="P853" s="192"/>
      <c r="Q853" s="206"/>
      <c r="AB853" s="206"/>
      <c r="AC853" s="206"/>
      <c r="AE853"/>
    </row>
    <row r="854" spans="1:31" x14ac:dyDescent="0.2">
      <c r="A854" s="220"/>
      <c r="B854" s="220"/>
      <c r="C854" s="206"/>
      <c r="D854" s="206"/>
      <c r="E854" s="192"/>
      <c r="F854" s="206"/>
      <c r="G854"/>
      <c r="H854"/>
      <c r="O854" s="192"/>
      <c r="P854" s="192"/>
      <c r="Q854" s="206"/>
      <c r="AB854" s="206"/>
      <c r="AC854" s="206"/>
      <c r="AE854"/>
    </row>
    <row r="855" spans="1:31" x14ac:dyDescent="0.2">
      <c r="A855" s="220"/>
      <c r="B855" s="220"/>
      <c r="C855" s="206"/>
      <c r="D855" s="206"/>
      <c r="E855" s="192"/>
      <c r="F855" s="206"/>
      <c r="G855"/>
      <c r="H855"/>
      <c r="O855" s="192"/>
      <c r="P855" s="192"/>
      <c r="Q855" s="206"/>
      <c r="AB855" s="206"/>
      <c r="AC855" s="206"/>
      <c r="AE855"/>
    </row>
    <row r="856" spans="1:31" x14ac:dyDescent="0.2">
      <c r="A856" s="220"/>
      <c r="B856" s="220"/>
      <c r="C856" s="206"/>
      <c r="D856" s="206"/>
      <c r="E856" s="192"/>
      <c r="F856" s="206"/>
      <c r="G856" s="206"/>
      <c r="H856"/>
      <c r="O856" s="192"/>
      <c r="P856" s="192"/>
      <c r="Q856" s="206"/>
      <c r="AB856" s="206"/>
      <c r="AC856" s="206"/>
      <c r="AE856"/>
    </row>
    <row r="857" spans="1:31" x14ac:dyDescent="0.2">
      <c r="A857" s="220"/>
      <c r="B857" s="220"/>
      <c r="C857" s="206"/>
      <c r="D857" s="206"/>
      <c r="E857" s="192"/>
      <c r="F857" s="206"/>
      <c r="G857" s="206"/>
      <c r="H857"/>
      <c r="O857" s="192"/>
      <c r="P857" s="192"/>
      <c r="Q857" s="206"/>
      <c r="AB857" s="206"/>
      <c r="AC857" s="206"/>
      <c r="AE857"/>
    </row>
    <row r="858" spans="1:31" x14ac:dyDescent="0.2">
      <c r="A858" s="220"/>
      <c r="B858" s="220"/>
      <c r="C858" s="206"/>
      <c r="D858" s="206"/>
      <c r="E858" s="192"/>
      <c r="F858" s="206"/>
      <c r="G858" s="206"/>
      <c r="H858" s="206"/>
      <c r="O858" s="192"/>
      <c r="P858" s="192"/>
      <c r="Q858" s="206"/>
      <c r="AB858" s="206"/>
      <c r="AC858" s="206"/>
      <c r="AE858"/>
    </row>
    <row r="859" spans="1:31" x14ac:dyDescent="0.2">
      <c r="A859" s="220"/>
      <c r="B859" s="220"/>
      <c r="C859" s="206"/>
      <c r="D859" s="206"/>
      <c r="E859" s="192"/>
      <c r="F859" s="206"/>
      <c r="G859" s="206"/>
      <c r="H859"/>
      <c r="O859" s="192"/>
      <c r="P859" s="192"/>
      <c r="Q859" s="206"/>
      <c r="AB859" s="206"/>
      <c r="AC859" s="206"/>
      <c r="AE859"/>
    </row>
    <row r="860" spans="1:31" x14ac:dyDescent="0.2">
      <c r="A860" s="220"/>
      <c r="B860" s="220"/>
      <c r="C860" s="206"/>
      <c r="D860" s="206"/>
      <c r="E860" s="192"/>
      <c r="F860" s="206"/>
      <c r="G860"/>
      <c r="H860"/>
      <c r="O860" s="192"/>
      <c r="P860" s="192"/>
      <c r="Q860" s="206"/>
      <c r="AB860" s="206"/>
      <c r="AC860" s="206"/>
      <c r="AE860"/>
    </row>
    <row r="861" spans="1:31" x14ac:dyDescent="0.2">
      <c r="A861" s="220"/>
      <c r="B861" s="220"/>
      <c r="C861" s="206"/>
      <c r="D861" s="206"/>
      <c r="E861" s="192"/>
      <c r="F861" s="206"/>
      <c r="G861" s="206"/>
      <c r="H861"/>
      <c r="O861" s="192"/>
      <c r="P861" s="192"/>
      <c r="Q861" s="206"/>
      <c r="AB861" s="206"/>
      <c r="AC861" s="206"/>
      <c r="AE861"/>
    </row>
    <row r="862" spans="1:31" x14ac:dyDescent="0.2">
      <c r="A862" s="220"/>
      <c r="B862" s="220"/>
      <c r="C862" s="206"/>
      <c r="D862" s="206"/>
      <c r="E862" s="192"/>
      <c r="F862" s="206"/>
      <c r="G862" s="206"/>
      <c r="H862"/>
      <c r="O862" s="192"/>
      <c r="P862" s="192"/>
      <c r="Q862" s="206"/>
      <c r="AB862" s="206"/>
      <c r="AC862" s="206"/>
      <c r="AE862"/>
    </row>
    <row r="863" spans="1:31" x14ac:dyDescent="0.2">
      <c r="A863" s="220"/>
      <c r="B863" s="220"/>
      <c r="C863" s="206"/>
      <c r="D863" s="206"/>
      <c r="E863" s="192"/>
      <c r="F863" s="206"/>
      <c r="G863" s="206"/>
      <c r="H863"/>
      <c r="O863" s="192"/>
      <c r="P863" s="192"/>
      <c r="Q863" s="206"/>
      <c r="AB863" s="206"/>
      <c r="AC863" s="206"/>
      <c r="AE863"/>
    </row>
    <row r="864" spans="1:31" x14ac:dyDescent="0.2">
      <c r="A864" s="220"/>
      <c r="B864" s="220"/>
      <c r="C864" s="206"/>
      <c r="D864" s="206"/>
      <c r="E864" s="192"/>
      <c r="F864" s="206"/>
      <c r="G864" s="206"/>
      <c r="H864"/>
      <c r="O864" s="192"/>
      <c r="P864" s="192"/>
      <c r="Q864" s="206"/>
      <c r="AB864" s="206"/>
      <c r="AC864" s="206"/>
      <c r="AE864"/>
    </row>
    <row r="865" spans="1:31" x14ac:dyDescent="0.2">
      <c r="A865" s="220"/>
      <c r="B865" s="220"/>
      <c r="C865" s="206"/>
      <c r="D865" s="206"/>
      <c r="E865" s="192"/>
      <c r="F865" s="206"/>
      <c r="G865" s="206"/>
      <c r="H865"/>
      <c r="O865" s="192"/>
      <c r="P865" s="192"/>
      <c r="Q865" s="206"/>
      <c r="AB865" s="206"/>
      <c r="AC865" s="206"/>
      <c r="AE865"/>
    </row>
    <row r="866" spans="1:31" x14ac:dyDescent="0.2">
      <c r="A866" s="220"/>
      <c r="B866" s="220"/>
      <c r="C866" s="206"/>
      <c r="D866" s="206"/>
      <c r="E866" s="192"/>
      <c r="F866" s="206"/>
      <c r="G866" s="206"/>
      <c r="H866"/>
      <c r="O866" s="192"/>
      <c r="P866" s="192"/>
      <c r="Q866" s="206"/>
      <c r="AB866" s="206"/>
      <c r="AC866" s="206"/>
      <c r="AE866"/>
    </row>
    <row r="867" spans="1:31" x14ac:dyDescent="0.2">
      <c r="A867" s="220"/>
      <c r="B867" s="220"/>
      <c r="C867" s="206"/>
      <c r="D867" s="206"/>
      <c r="E867" s="192"/>
      <c r="F867" s="206"/>
      <c r="G867" s="206"/>
      <c r="H867"/>
      <c r="O867" s="192"/>
      <c r="P867" s="192"/>
      <c r="Q867" s="206"/>
      <c r="AB867" s="206"/>
      <c r="AC867" s="206"/>
      <c r="AE867"/>
    </row>
    <row r="868" spans="1:31" x14ac:dyDescent="0.2">
      <c r="A868" s="220"/>
      <c r="B868" s="220"/>
      <c r="C868" s="206"/>
      <c r="D868" s="206"/>
      <c r="E868" s="192"/>
      <c r="F868" s="206"/>
      <c r="G868" s="206"/>
      <c r="H868" s="206"/>
      <c r="O868" s="192"/>
      <c r="P868" s="192"/>
      <c r="Q868" s="206"/>
      <c r="AB868" s="206"/>
      <c r="AC868" s="206"/>
      <c r="AE868"/>
    </row>
    <row r="869" spans="1:31" x14ac:dyDescent="0.2">
      <c r="A869" s="220"/>
      <c r="B869" s="220"/>
      <c r="C869" s="206"/>
      <c r="D869" s="206"/>
      <c r="E869" s="192"/>
      <c r="F869" s="206"/>
      <c r="G869" s="206"/>
      <c r="H869"/>
      <c r="O869" s="192"/>
      <c r="P869" s="192"/>
      <c r="Q869" s="206"/>
      <c r="AB869" s="206"/>
      <c r="AC869" s="206"/>
      <c r="AE869"/>
    </row>
    <row r="870" spans="1:31" x14ac:dyDescent="0.2">
      <c r="A870" s="220"/>
      <c r="B870" s="220"/>
      <c r="C870" s="206"/>
      <c r="D870" s="206"/>
      <c r="E870" s="192"/>
      <c r="F870" s="206"/>
      <c r="G870" s="206"/>
      <c r="H870"/>
      <c r="O870" s="192"/>
      <c r="P870" s="192"/>
      <c r="Q870" s="206"/>
      <c r="AB870" s="206"/>
      <c r="AC870" s="206"/>
      <c r="AE870"/>
    </row>
    <row r="871" spans="1:31" x14ac:dyDescent="0.2">
      <c r="A871" s="220"/>
      <c r="B871" s="220"/>
      <c r="C871" s="206"/>
      <c r="D871" s="206"/>
      <c r="E871" s="192"/>
      <c r="F871" s="206"/>
      <c r="G871"/>
      <c r="H871"/>
      <c r="O871" s="192"/>
      <c r="P871" s="192"/>
      <c r="Q871" s="206"/>
      <c r="AB871" s="206"/>
      <c r="AC871" s="206"/>
      <c r="AE871"/>
    </row>
    <row r="872" spans="1:31" x14ac:dyDescent="0.2">
      <c r="A872" s="220"/>
      <c r="B872" s="220"/>
      <c r="C872" s="206"/>
      <c r="D872" s="206"/>
      <c r="E872" s="192"/>
      <c r="F872" s="206"/>
      <c r="G872"/>
      <c r="H872"/>
      <c r="O872" s="192"/>
      <c r="P872" s="192"/>
      <c r="Q872" s="206"/>
      <c r="AB872" s="206"/>
      <c r="AC872" s="206"/>
      <c r="AE872"/>
    </row>
    <row r="873" spans="1:31" x14ac:dyDescent="0.2">
      <c r="A873" s="220"/>
      <c r="B873" s="220"/>
      <c r="C873" s="206"/>
      <c r="D873" s="206"/>
      <c r="E873" s="192"/>
      <c r="F873" s="206"/>
      <c r="G873"/>
      <c r="H873"/>
      <c r="O873" s="192"/>
      <c r="P873" s="192"/>
      <c r="Q873" s="206"/>
      <c r="AB873" s="206"/>
      <c r="AC873" s="206"/>
      <c r="AE873"/>
    </row>
    <row r="874" spans="1:31" x14ac:dyDescent="0.2">
      <c r="A874" s="220"/>
      <c r="B874" s="220"/>
      <c r="C874" s="206"/>
      <c r="D874" s="206"/>
      <c r="E874" s="192"/>
      <c r="F874" s="206"/>
      <c r="G874" s="206"/>
      <c r="H874" s="206"/>
      <c r="O874" s="192"/>
      <c r="P874" s="192"/>
      <c r="Q874" s="206"/>
      <c r="AB874" s="206"/>
      <c r="AC874" s="206"/>
      <c r="AE874"/>
    </row>
    <row r="875" spans="1:31" x14ac:dyDescent="0.2">
      <c r="A875" s="220"/>
      <c r="B875" s="220"/>
      <c r="C875" s="206"/>
      <c r="D875" s="206"/>
      <c r="E875" s="192"/>
      <c r="F875" s="206"/>
      <c r="G875" s="206"/>
      <c r="H875"/>
      <c r="O875" s="192"/>
      <c r="P875" s="192"/>
      <c r="Q875" s="206"/>
      <c r="AB875" s="206"/>
      <c r="AC875" s="206"/>
      <c r="AE875"/>
    </row>
    <row r="876" spans="1:31" x14ac:dyDescent="0.2">
      <c r="A876" s="220"/>
      <c r="B876" s="220"/>
      <c r="C876" s="206"/>
      <c r="D876" s="206"/>
      <c r="E876" s="192"/>
      <c r="F876" s="206"/>
      <c r="G876" s="206"/>
      <c r="H876"/>
      <c r="O876" s="192"/>
      <c r="P876" s="192"/>
      <c r="Q876" s="206"/>
      <c r="AB876" s="206"/>
      <c r="AC876" s="206"/>
      <c r="AE876"/>
    </row>
    <row r="877" spans="1:31" x14ac:dyDescent="0.2">
      <c r="A877" s="220"/>
      <c r="B877" s="220"/>
      <c r="C877" s="206"/>
      <c r="D877" s="206"/>
      <c r="E877" s="192"/>
      <c r="F877" s="206"/>
      <c r="G877"/>
      <c r="H877"/>
      <c r="O877" s="192"/>
      <c r="P877" s="192"/>
      <c r="Q877" s="206"/>
      <c r="AB877" s="206"/>
      <c r="AC877" s="206"/>
      <c r="AE877"/>
    </row>
    <row r="878" spans="1:31" x14ac:dyDescent="0.2">
      <c r="A878" s="220"/>
      <c r="B878" s="220"/>
      <c r="C878" s="206"/>
      <c r="D878" s="206"/>
      <c r="E878" s="192"/>
      <c r="F878" s="206"/>
      <c r="G878" s="206"/>
      <c r="H878"/>
      <c r="O878" s="192"/>
      <c r="P878" s="192"/>
      <c r="Q878" s="206"/>
      <c r="AB878" s="206"/>
      <c r="AC878" s="206"/>
      <c r="AE878"/>
    </row>
    <row r="879" spans="1:31" x14ac:dyDescent="0.2">
      <c r="A879" s="220"/>
      <c r="B879" s="220"/>
      <c r="C879" s="206"/>
      <c r="D879" s="206"/>
      <c r="E879" s="192"/>
      <c r="F879" s="206"/>
      <c r="G879" s="206"/>
      <c r="H879"/>
      <c r="O879" s="192"/>
      <c r="P879" s="192"/>
      <c r="Q879" s="206"/>
      <c r="AB879" s="206"/>
      <c r="AC879" s="206"/>
      <c r="AE879"/>
    </row>
    <row r="880" spans="1:31" x14ac:dyDescent="0.2">
      <c r="A880" s="220"/>
      <c r="B880" s="220"/>
      <c r="C880" s="206"/>
      <c r="D880" s="206"/>
      <c r="E880" s="192"/>
      <c r="F880" s="206"/>
      <c r="G880" s="206"/>
      <c r="H880"/>
      <c r="O880" s="192"/>
      <c r="P880" s="192"/>
      <c r="Q880" s="206"/>
      <c r="AB880" s="206"/>
      <c r="AC880" s="206"/>
      <c r="AE880"/>
    </row>
    <row r="881" spans="1:31" x14ac:dyDescent="0.2">
      <c r="A881" s="220"/>
      <c r="B881" s="220"/>
      <c r="C881" s="206"/>
      <c r="D881" s="206"/>
      <c r="E881" s="192"/>
      <c r="F881" s="206"/>
      <c r="G881" s="206"/>
      <c r="H881"/>
      <c r="O881" s="192"/>
      <c r="P881" s="192"/>
      <c r="Q881" s="206"/>
      <c r="AB881" s="206"/>
      <c r="AC881" s="206"/>
      <c r="AE881"/>
    </row>
    <row r="882" spans="1:31" x14ac:dyDescent="0.2">
      <c r="A882" s="220"/>
      <c r="B882" s="220"/>
      <c r="C882" s="206"/>
      <c r="D882" s="206"/>
      <c r="E882" s="192"/>
      <c r="F882" s="206"/>
      <c r="G882" s="206"/>
      <c r="H882"/>
      <c r="O882" s="192"/>
      <c r="P882" s="192"/>
      <c r="Q882" s="206"/>
      <c r="AB882" s="206"/>
      <c r="AC882" s="206"/>
      <c r="AE882"/>
    </row>
    <row r="883" spans="1:31" x14ac:dyDescent="0.2">
      <c r="A883" s="220"/>
      <c r="B883" s="220"/>
      <c r="C883" s="206"/>
      <c r="D883" s="206"/>
      <c r="E883" s="192"/>
      <c r="F883" s="206"/>
      <c r="G883"/>
      <c r="H883"/>
      <c r="O883" s="192"/>
      <c r="P883" s="192"/>
      <c r="Q883" s="206"/>
      <c r="AB883" s="206"/>
      <c r="AC883" s="206"/>
      <c r="AE883"/>
    </row>
    <row r="884" spans="1:31" x14ac:dyDescent="0.2">
      <c r="A884" s="220"/>
      <c r="B884" s="220"/>
      <c r="C884" s="206"/>
      <c r="D884" s="206"/>
      <c r="E884" s="192"/>
      <c r="F884" s="206"/>
      <c r="G884" s="206"/>
      <c r="H884"/>
      <c r="O884" s="192"/>
      <c r="P884" s="192"/>
      <c r="Q884" s="206"/>
      <c r="AB884" s="206"/>
      <c r="AC884" s="206"/>
      <c r="AE884"/>
    </row>
    <row r="885" spans="1:31" x14ac:dyDescent="0.2">
      <c r="A885" s="220"/>
      <c r="B885" s="220"/>
      <c r="C885" s="206"/>
      <c r="D885" s="206"/>
      <c r="E885" s="192"/>
      <c r="F885" s="206"/>
      <c r="G885"/>
      <c r="H885"/>
      <c r="O885" s="192"/>
      <c r="P885" s="192"/>
      <c r="Q885" s="206"/>
      <c r="AB885" s="206"/>
      <c r="AC885" s="206"/>
      <c r="AE885"/>
    </row>
    <row r="886" spans="1:31" x14ac:dyDescent="0.2">
      <c r="A886" s="220"/>
      <c r="B886" s="220"/>
      <c r="C886" s="206"/>
      <c r="D886" s="206"/>
      <c r="E886" s="192"/>
      <c r="F886" s="206"/>
      <c r="G886" s="206"/>
      <c r="H886"/>
      <c r="O886" s="192"/>
      <c r="P886" s="192"/>
      <c r="Q886" s="206"/>
      <c r="AB886" s="206"/>
      <c r="AC886" s="206"/>
      <c r="AE886"/>
    </row>
    <row r="887" spans="1:31" x14ac:dyDescent="0.2">
      <c r="A887" s="220"/>
      <c r="B887" s="220"/>
      <c r="C887" s="206"/>
      <c r="D887" s="206"/>
      <c r="E887" s="192"/>
      <c r="F887" s="206"/>
      <c r="G887" s="206"/>
      <c r="H887"/>
      <c r="O887" s="192"/>
      <c r="P887" s="192"/>
      <c r="Q887" s="206"/>
      <c r="AB887" s="206"/>
      <c r="AC887" s="206"/>
      <c r="AE887"/>
    </row>
    <row r="888" spans="1:31" x14ac:dyDescent="0.2">
      <c r="A888" s="220"/>
      <c r="B888" s="220"/>
      <c r="C888" s="206"/>
      <c r="D888" s="206"/>
      <c r="E888" s="192"/>
      <c r="F888" s="206"/>
      <c r="G888" s="206"/>
      <c r="H888"/>
      <c r="O888" s="192"/>
      <c r="P888" s="192"/>
      <c r="Q888" s="206"/>
      <c r="AB888" s="206"/>
      <c r="AC888" s="206"/>
      <c r="AE888"/>
    </row>
    <row r="889" spans="1:31" x14ac:dyDescent="0.2">
      <c r="A889" s="220"/>
      <c r="B889" s="220"/>
      <c r="C889" s="206"/>
      <c r="D889" s="206"/>
      <c r="E889" s="192"/>
      <c r="F889" s="206"/>
      <c r="G889"/>
      <c r="H889"/>
      <c r="O889" s="192"/>
      <c r="P889" s="192"/>
      <c r="Q889" s="206"/>
      <c r="AB889" s="206"/>
      <c r="AC889" s="206"/>
      <c r="AE889"/>
    </row>
    <row r="890" spans="1:31" x14ac:dyDescent="0.2">
      <c r="A890" s="220"/>
      <c r="B890" s="220"/>
      <c r="C890" s="206"/>
      <c r="D890" s="206"/>
      <c r="E890" s="192"/>
      <c r="F890" s="206"/>
      <c r="G890" s="206"/>
      <c r="H890"/>
      <c r="O890" s="192"/>
      <c r="P890" s="192"/>
      <c r="Q890" s="206"/>
      <c r="AB890" s="206"/>
      <c r="AC890" s="206"/>
      <c r="AE890"/>
    </row>
    <row r="891" spans="1:31" x14ac:dyDescent="0.2">
      <c r="A891" s="220"/>
      <c r="B891" s="220"/>
      <c r="C891" s="206"/>
      <c r="D891" s="206"/>
      <c r="E891" s="192"/>
      <c r="F891" s="206"/>
      <c r="G891" s="206"/>
      <c r="H891"/>
      <c r="O891" s="192"/>
      <c r="P891" s="192"/>
      <c r="Q891" s="206"/>
      <c r="AB891" s="206"/>
      <c r="AC891" s="206"/>
      <c r="AE891"/>
    </row>
    <row r="892" spans="1:31" x14ac:dyDescent="0.2">
      <c r="A892" s="220"/>
      <c r="B892" s="220"/>
      <c r="C892" s="206"/>
      <c r="D892" s="206"/>
      <c r="E892" s="192"/>
      <c r="F892" s="206"/>
      <c r="G892" s="206"/>
      <c r="H892"/>
      <c r="O892" s="192"/>
      <c r="P892" s="192"/>
      <c r="Q892" s="206"/>
      <c r="AB892" s="206"/>
      <c r="AC892" s="206"/>
      <c r="AE892"/>
    </row>
    <row r="893" spans="1:31" x14ac:dyDescent="0.2">
      <c r="A893" s="220"/>
      <c r="B893" s="220"/>
      <c r="C893" s="206"/>
      <c r="D893" s="206"/>
      <c r="E893" s="192"/>
      <c r="F893" s="206"/>
      <c r="G893" s="206"/>
      <c r="H893"/>
      <c r="O893" s="192"/>
      <c r="P893" s="192"/>
      <c r="Q893" s="206"/>
      <c r="AB893" s="206"/>
      <c r="AC893" s="206"/>
      <c r="AE893"/>
    </row>
    <row r="894" spans="1:31" x14ac:dyDescent="0.2">
      <c r="A894" s="220"/>
      <c r="B894" s="220"/>
      <c r="C894" s="206"/>
      <c r="D894" s="206"/>
      <c r="E894" s="192"/>
      <c r="F894" s="206"/>
      <c r="G894" s="206"/>
      <c r="H894"/>
      <c r="O894" s="192"/>
      <c r="P894" s="192"/>
      <c r="Q894" s="206"/>
      <c r="AB894" s="206"/>
      <c r="AC894" s="206"/>
      <c r="AE894"/>
    </row>
    <row r="895" spans="1:31" x14ac:dyDescent="0.2">
      <c r="A895" s="220"/>
      <c r="B895" s="220"/>
      <c r="C895" s="206"/>
      <c r="D895" s="206"/>
      <c r="E895" s="192"/>
      <c r="F895" s="206"/>
      <c r="G895" s="206"/>
      <c r="H895"/>
      <c r="O895" s="192"/>
      <c r="P895" s="192"/>
      <c r="Q895" s="206"/>
      <c r="AB895" s="206"/>
      <c r="AC895" s="206"/>
      <c r="AE895"/>
    </row>
    <row r="896" spans="1:31" x14ac:dyDescent="0.2">
      <c r="A896" s="220"/>
      <c r="B896" s="220"/>
      <c r="C896" s="206"/>
      <c r="D896" s="206"/>
      <c r="E896" s="192"/>
      <c r="F896" s="206"/>
      <c r="G896"/>
      <c r="H896"/>
      <c r="O896" s="192"/>
      <c r="P896" s="192"/>
      <c r="Q896" s="206"/>
      <c r="AB896" s="206"/>
      <c r="AC896" s="206"/>
      <c r="AE896"/>
    </row>
    <row r="897" spans="1:31" x14ac:dyDescent="0.2">
      <c r="A897" s="220"/>
      <c r="B897" s="220"/>
      <c r="C897" s="206"/>
      <c r="D897" s="206"/>
      <c r="E897" s="192"/>
      <c r="F897" s="206"/>
      <c r="G897" s="206"/>
      <c r="H897"/>
      <c r="O897" s="192"/>
      <c r="P897" s="192"/>
      <c r="Q897" s="206"/>
      <c r="AB897" s="206"/>
      <c r="AC897" s="206"/>
      <c r="AE897"/>
    </row>
    <row r="898" spans="1:31" x14ac:dyDescent="0.2">
      <c r="A898" s="220"/>
      <c r="B898" s="220"/>
      <c r="C898" s="206"/>
      <c r="D898" s="206"/>
      <c r="E898" s="192"/>
      <c r="F898" s="206"/>
      <c r="G898" s="206"/>
      <c r="H898" s="206"/>
      <c r="O898" s="192"/>
      <c r="P898" s="192"/>
      <c r="Q898" s="206"/>
      <c r="AB898" s="206"/>
      <c r="AC898" s="206"/>
      <c r="AE898"/>
    </row>
    <row r="899" spans="1:31" x14ac:dyDescent="0.2">
      <c r="A899" s="220"/>
      <c r="B899" s="220"/>
      <c r="C899" s="206"/>
      <c r="D899" s="206"/>
      <c r="E899" s="192"/>
      <c r="F899" s="206"/>
      <c r="G899" s="206"/>
      <c r="H899" s="206"/>
      <c r="O899" s="192"/>
      <c r="P899" s="192"/>
      <c r="Q899" s="206"/>
      <c r="AB899" s="206"/>
      <c r="AC899" s="206"/>
      <c r="AE899"/>
    </row>
    <row r="900" spans="1:31" x14ac:dyDescent="0.2">
      <c r="A900" s="220"/>
      <c r="B900" s="220"/>
      <c r="C900" s="206"/>
      <c r="D900" s="206"/>
      <c r="E900" s="192"/>
      <c r="F900" s="206"/>
      <c r="G900"/>
      <c r="H900"/>
      <c r="O900" s="192"/>
      <c r="P900" s="192"/>
      <c r="Q900" s="206"/>
      <c r="AB900" s="206"/>
      <c r="AC900" s="206"/>
      <c r="AE900"/>
    </row>
    <row r="901" spans="1:31" x14ac:dyDescent="0.2">
      <c r="A901" s="220"/>
      <c r="B901" s="220"/>
      <c r="C901" s="206"/>
      <c r="D901" s="206"/>
      <c r="E901" s="192"/>
      <c r="F901" s="206"/>
      <c r="G901" s="206"/>
      <c r="H901"/>
      <c r="O901" s="192"/>
      <c r="P901" s="192"/>
      <c r="Q901" s="206"/>
      <c r="AB901" s="206"/>
      <c r="AC901" s="206"/>
      <c r="AE901"/>
    </row>
    <row r="902" spans="1:31" x14ac:dyDescent="0.2">
      <c r="A902" s="220"/>
      <c r="B902" s="220"/>
      <c r="C902" s="206"/>
      <c r="D902" s="206"/>
      <c r="E902" s="192"/>
      <c r="F902" s="206"/>
      <c r="G902"/>
      <c r="H902"/>
      <c r="O902" s="192"/>
      <c r="P902" s="192"/>
      <c r="Q902" s="206"/>
      <c r="AB902" s="206"/>
      <c r="AC902" s="206"/>
      <c r="AE902"/>
    </row>
    <row r="903" spans="1:31" x14ac:dyDescent="0.2">
      <c r="A903" s="220"/>
      <c r="B903" s="220"/>
      <c r="C903" s="206"/>
      <c r="D903" s="206"/>
      <c r="E903" s="192"/>
      <c r="F903"/>
      <c r="G903"/>
      <c r="H903"/>
      <c r="O903" s="192"/>
      <c r="P903" s="192"/>
      <c r="Q903" s="206"/>
      <c r="AB903" s="206"/>
      <c r="AC903" s="206"/>
      <c r="AE903"/>
    </row>
    <row r="904" spans="1:31" x14ac:dyDescent="0.2">
      <c r="A904" s="220"/>
      <c r="B904" s="220"/>
      <c r="C904" s="206"/>
      <c r="D904" s="206"/>
      <c r="E904" s="192"/>
      <c r="F904" s="206"/>
      <c r="G904"/>
      <c r="H904"/>
      <c r="O904" s="192"/>
      <c r="P904" s="192"/>
      <c r="Q904" s="206"/>
      <c r="AB904" s="206"/>
      <c r="AC904" s="206"/>
      <c r="AE904"/>
    </row>
    <row r="905" spans="1:31" x14ac:dyDescent="0.2">
      <c r="A905" s="220"/>
      <c r="B905" s="220"/>
      <c r="C905" s="206"/>
      <c r="D905" s="206"/>
      <c r="E905" s="192"/>
      <c r="F905" s="206"/>
      <c r="G905"/>
      <c r="H905"/>
      <c r="O905" s="192"/>
      <c r="P905" s="192"/>
      <c r="Q905" s="206"/>
      <c r="AB905" s="206"/>
      <c r="AC905" s="206"/>
      <c r="AE905"/>
    </row>
    <row r="906" spans="1:31" x14ac:dyDescent="0.2">
      <c r="A906" s="220"/>
      <c r="B906" s="220"/>
      <c r="C906" s="206"/>
      <c r="D906" s="206"/>
      <c r="E906" s="192"/>
      <c r="F906" s="206"/>
      <c r="G906"/>
      <c r="H906"/>
      <c r="O906" s="192"/>
      <c r="P906" s="192"/>
      <c r="Q906" s="206"/>
      <c r="AB906" s="206"/>
      <c r="AC906" s="206"/>
      <c r="AE906"/>
    </row>
    <row r="907" spans="1:31" x14ac:dyDescent="0.2">
      <c r="A907" s="220"/>
      <c r="B907" s="220"/>
      <c r="C907" s="206"/>
      <c r="D907" s="206"/>
      <c r="E907" s="192"/>
      <c r="F907" s="206"/>
      <c r="G907" s="206"/>
      <c r="H907"/>
      <c r="O907" s="192"/>
      <c r="P907" s="192"/>
      <c r="Q907" s="206"/>
      <c r="AB907" s="206"/>
      <c r="AC907" s="206"/>
      <c r="AE907"/>
    </row>
    <row r="908" spans="1:31" x14ac:dyDescent="0.2">
      <c r="A908" s="220"/>
      <c r="B908" s="220"/>
      <c r="C908" s="206"/>
      <c r="D908" s="206"/>
      <c r="E908" s="192"/>
      <c r="F908" s="206"/>
      <c r="G908" s="206"/>
      <c r="H908"/>
      <c r="O908" s="192"/>
      <c r="P908" s="192"/>
      <c r="Q908" s="206"/>
      <c r="AB908" s="206"/>
      <c r="AC908" s="206"/>
      <c r="AE908"/>
    </row>
    <row r="909" spans="1:31" x14ac:dyDescent="0.2">
      <c r="A909" s="220"/>
      <c r="B909" s="220"/>
      <c r="C909" s="206"/>
      <c r="D909" s="206"/>
      <c r="E909" s="192"/>
      <c r="F909" s="206"/>
      <c r="G909" s="206"/>
      <c r="H909"/>
      <c r="O909" s="192"/>
      <c r="P909" s="192"/>
      <c r="Q909" s="206"/>
      <c r="AB909" s="206"/>
      <c r="AC909" s="206"/>
      <c r="AE909"/>
    </row>
    <row r="910" spans="1:31" x14ac:dyDescent="0.2">
      <c r="A910" s="220"/>
      <c r="B910" s="220"/>
      <c r="C910" s="206"/>
      <c r="D910" s="206"/>
      <c r="E910" s="192"/>
      <c r="F910" s="206"/>
      <c r="G910" s="206"/>
      <c r="H910"/>
      <c r="O910" s="192"/>
      <c r="P910" s="192"/>
      <c r="Q910" s="206"/>
      <c r="AB910" s="206"/>
      <c r="AC910" s="206"/>
      <c r="AE910"/>
    </row>
    <row r="911" spans="1:31" x14ac:dyDescent="0.2">
      <c r="A911" s="220"/>
      <c r="B911" s="220"/>
      <c r="C911" s="206"/>
      <c r="D911" s="206"/>
      <c r="E911" s="192"/>
      <c r="F911" s="206"/>
      <c r="G911" s="206"/>
      <c r="H911"/>
      <c r="O911" s="192"/>
      <c r="P911" s="192"/>
      <c r="Q911" s="206"/>
      <c r="AB911" s="206"/>
      <c r="AC911" s="206"/>
      <c r="AE911"/>
    </row>
    <row r="912" spans="1:31" x14ac:dyDescent="0.2">
      <c r="A912" s="220"/>
      <c r="B912" s="220"/>
      <c r="C912" s="206"/>
      <c r="D912" s="206"/>
      <c r="E912" s="192"/>
      <c r="F912" s="206"/>
      <c r="G912" s="206"/>
      <c r="H912"/>
      <c r="O912" s="192"/>
      <c r="P912" s="192"/>
      <c r="Q912" s="206"/>
      <c r="AB912" s="206"/>
      <c r="AC912" s="206"/>
      <c r="AE912"/>
    </row>
    <row r="913" spans="1:31" x14ac:dyDescent="0.2">
      <c r="A913" s="220"/>
      <c r="B913" s="220"/>
      <c r="C913" s="206"/>
      <c r="D913" s="206"/>
      <c r="E913" s="192"/>
      <c r="F913" s="206"/>
      <c r="G913" s="206"/>
      <c r="H913"/>
      <c r="O913" s="192"/>
      <c r="P913" s="192"/>
      <c r="Q913" s="206"/>
      <c r="AB913" s="206"/>
      <c r="AC913" s="206"/>
      <c r="AE913"/>
    </row>
    <row r="914" spans="1:31" x14ac:dyDescent="0.2">
      <c r="A914" s="220"/>
      <c r="B914" s="220"/>
      <c r="C914" s="206"/>
      <c r="D914" s="206"/>
      <c r="E914" s="192"/>
      <c r="F914" s="206"/>
      <c r="G914" s="206"/>
      <c r="H914"/>
      <c r="O914" s="192"/>
      <c r="P914" s="192"/>
      <c r="Q914" s="206"/>
      <c r="AB914" s="206"/>
      <c r="AC914" s="206"/>
      <c r="AE914"/>
    </row>
    <row r="915" spans="1:31" x14ac:dyDescent="0.2">
      <c r="A915" s="220"/>
      <c r="B915" s="220"/>
      <c r="C915" s="206"/>
      <c r="D915" s="206"/>
      <c r="E915" s="192"/>
      <c r="F915" s="206"/>
      <c r="G915" s="206"/>
      <c r="H915"/>
      <c r="O915" s="192"/>
      <c r="P915" s="192"/>
      <c r="Q915" s="206"/>
      <c r="AB915" s="206"/>
      <c r="AC915" s="206"/>
      <c r="AE915"/>
    </row>
    <row r="916" spans="1:31" x14ac:dyDescent="0.2">
      <c r="A916" s="220"/>
      <c r="B916" s="220"/>
      <c r="C916" s="206"/>
      <c r="D916" s="206"/>
      <c r="E916" s="192"/>
      <c r="F916" s="206"/>
      <c r="G916" s="206"/>
      <c r="H916"/>
      <c r="O916" s="192"/>
      <c r="P916" s="192"/>
      <c r="Q916" s="206"/>
      <c r="AB916" s="206"/>
      <c r="AC916" s="206"/>
      <c r="AE916"/>
    </row>
    <row r="917" spans="1:31" x14ac:dyDescent="0.2">
      <c r="A917" s="220"/>
      <c r="B917" s="220"/>
      <c r="C917" s="206"/>
      <c r="D917" s="206"/>
      <c r="E917" s="192"/>
      <c r="F917" s="206"/>
      <c r="G917"/>
      <c r="H917"/>
      <c r="O917" s="192"/>
      <c r="P917" s="192"/>
      <c r="Q917" s="206"/>
      <c r="AB917" s="206"/>
      <c r="AC917" s="206"/>
      <c r="AE917"/>
    </row>
    <row r="918" spans="1:31" x14ac:dyDescent="0.2">
      <c r="A918" s="220"/>
      <c r="B918" s="220"/>
      <c r="C918" s="206"/>
      <c r="D918" s="206"/>
      <c r="E918" s="192"/>
      <c r="F918" s="206"/>
      <c r="G918"/>
      <c r="H918"/>
      <c r="O918" s="192"/>
      <c r="P918" s="192"/>
      <c r="Q918" s="206"/>
      <c r="AB918" s="206"/>
      <c r="AC918" s="206"/>
      <c r="AE918"/>
    </row>
    <row r="919" spans="1:31" x14ac:dyDescent="0.2">
      <c r="A919" s="220"/>
      <c r="B919" s="220"/>
      <c r="C919" s="206"/>
      <c r="D919" s="206"/>
      <c r="E919" s="192"/>
      <c r="F919" s="206"/>
      <c r="G919" s="206"/>
      <c r="H919"/>
      <c r="O919" s="192"/>
      <c r="P919" s="192"/>
      <c r="Q919" s="206"/>
      <c r="AB919" s="206"/>
      <c r="AC919" s="206"/>
      <c r="AE919"/>
    </row>
    <row r="920" spans="1:31" x14ac:dyDescent="0.2">
      <c r="A920" s="220"/>
      <c r="B920" s="220"/>
      <c r="C920" s="206"/>
      <c r="D920" s="206"/>
      <c r="E920" s="192"/>
      <c r="F920" s="206"/>
      <c r="G920" s="206"/>
      <c r="H920"/>
      <c r="O920" s="192"/>
      <c r="P920" s="192"/>
      <c r="Q920" s="206"/>
      <c r="AB920" s="206"/>
      <c r="AC920" s="206"/>
      <c r="AE920"/>
    </row>
    <row r="921" spans="1:31" x14ac:dyDescent="0.2">
      <c r="A921" s="220"/>
      <c r="B921" s="220"/>
      <c r="C921" s="206"/>
      <c r="D921" s="206"/>
      <c r="E921" s="192"/>
      <c r="F921" s="206"/>
      <c r="G921"/>
      <c r="H921"/>
      <c r="O921" s="192"/>
      <c r="P921" s="192"/>
      <c r="Q921" s="206"/>
      <c r="AB921" s="206"/>
      <c r="AC921" s="206"/>
      <c r="AE921"/>
    </row>
    <row r="922" spans="1:31" x14ac:dyDescent="0.2">
      <c r="A922" s="220"/>
      <c r="B922" s="220"/>
      <c r="C922" s="206"/>
      <c r="D922" s="206"/>
      <c r="E922" s="192"/>
      <c r="F922" s="206"/>
      <c r="G922"/>
      <c r="H922"/>
      <c r="O922" s="192"/>
      <c r="P922" s="192"/>
      <c r="Q922" s="206"/>
      <c r="AB922" s="206"/>
      <c r="AC922" s="206"/>
      <c r="AE922"/>
    </row>
    <row r="923" spans="1:31" x14ac:dyDescent="0.2">
      <c r="A923" s="220"/>
      <c r="B923" s="220"/>
      <c r="C923" s="206"/>
      <c r="D923" s="206"/>
      <c r="E923" s="192"/>
      <c r="F923" s="206"/>
      <c r="G923" s="206"/>
      <c r="H923"/>
      <c r="O923" s="192"/>
      <c r="P923" s="192"/>
      <c r="Q923" s="206"/>
      <c r="AB923" s="206"/>
      <c r="AC923" s="206"/>
      <c r="AE923"/>
    </row>
    <row r="924" spans="1:31" x14ac:dyDescent="0.2">
      <c r="A924" s="220"/>
      <c r="B924" s="220"/>
      <c r="C924" s="206"/>
      <c r="D924" s="206"/>
      <c r="E924" s="192"/>
      <c r="F924" s="206"/>
      <c r="G924" s="206"/>
      <c r="H924"/>
      <c r="O924" s="192"/>
      <c r="P924" s="192"/>
      <c r="Q924" s="206"/>
      <c r="AB924" s="206"/>
      <c r="AC924" s="206"/>
      <c r="AE924"/>
    </row>
    <row r="925" spans="1:31" x14ac:dyDescent="0.2">
      <c r="A925" s="220"/>
      <c r="B925" s="220"/>
      <c r="C925" s="206"/>
      <c r="D925" s="206"/>
      <c r="E925" s="192"/>
      <c r="F925" s="206"/>
      <c r="G925" s="206"/>
      <c r="H925" s="206"/>
      <c r="O925" s="192"/>
      <c r="P925" s="192"/>
      <c r="Q925" s="206"/>
      <c r="AB925" s="206"/>
      <c r="AC925" s="206"/>
      <c r="AE925"/>
    </row>
    <row r="926" spans="1:31" x14ac:dyDescent="0.2">
      <c r="A926" s="220"/>
      <c r="B926" s="220"/>
      <c r="C926" s="206"/>
      <c r="D926" s="206"/>
      <c r="E926" s="192"/>
      <c r="F926" s="206"/>
      <c r="G926" s="206"/>
      <c r="H926"/>
      <c r="O926" s="192"/>
      <c r="P926" s="192"/>
      <c r="Q926" s="206"/>
      <c r="AB926" s="206"/>
      <c r="AC926" s="206"/>
      <c r="AE926"/>
    </row>
    <row r="927" spans="1:31" x14ac:dyDescent="0.2">
      <c r="A927" s="220"/>
      <c r="B927" s="220"/>
      <c r="C927" s="206"/>
      <c r="D927" s="206"/>
      <c r="E927" s="192"/>
      <c r="F927" s="206"/>
      <c r="G927" s="206"/>
      <c r="H927"/>
      <c r="O927" s="192"/>
      <c r="P927" s="192"/>
      <c r="Q927" s="206"/>
      <c r="AB927" s="206"/>
      <c r="AC927" s="206"/>
      <c r="AE927"/>
    </row>
    <row r="928" spans="1:31" x14ac:dyDescent="0.2">
      <c r="A928" s="220"/>
      <c r="B928" s="220"/>
      <c r="C928" s="206"/>
      <c r="D928" s="206"/>
      <c r="E928" s="192"/>
      <c r="F928" s="206"/>
      <c r="G928" s="206"/>
      <c r="H928" s="206"/>
      <c r="O928" s="192"/>
      <c r="P928" s="192"/>
      <c r="Q928" s="206"/>
      <c r="AB928" s="206"/>
      <c r="AC928" s="206"/>
      <c r="AE928"/>
    </row>
    <row r="929" spans="1:31" x14ac:dyDescent="0.2">
      <c r="A929" s="220"/>
      <c r="B929" s="220"/>
      <c r="C929" s="206"/>
      <c r="D929" s="206"/>
      <c r="E929" s="192"/>
      <c r="F929" s="206"/>
      <c r="G929" s="206"/>
      <c r="H929"/>
      <c r="O929" s="192"/>
      <c r="P929" s="192"/>
      <c r="Q929" s="206"/>
      <c r="AB929" s="206"/>
      <c r="AC929" s="206"/>
      <c r="AE929"/>
    </row>
    <row r="930" spans="1:31" x14ac:dyDescent="0.2">
      <c r="A930" s="220"/>
      <c r="B930" s="220"/>
      <c r="C930" s="206"/>
      <c r="D930" s="206"/>
      <c r="E930" s="192"/>
      <c r="F930" s="206"/>
      <c r="G930" s="206"/>
      <c r="H930"/>
      <c r="O930" s="192"/>
      <c r="P930" s="192"/>
      <c r="Q930" s="206"/>
      <c r="AB930" s="206"/>
      <c r="AC930" s="206"/>
      <c r="AE930"/>
    </row>
    <row r="931" spans="1:31" x14ac:dyDescent="0.2">
      <c r="A931" s="220"/>
      <c r="B931" s="220"/>
      <c r="C931" s="206"/>
      <c r="D931" s="206"/>
      <c r="E931" s="192"/>
      <c r="F931" s="206"/>
      <c r="G931"/>
      <c r="H931"/>
      <c r="O931" s="192"/>
      <c r="P931" s="192"/>
      <c r="Q931" s="206"/>
      <c r="AB931" s="206"/>
      <c r="AC931" s="206"/>
      <c r="AE931"/>
    </row>
    <row r="932" spans="1:31" x14ac:dyDescent="0.2">
      <c r="A932" s="220"/>
      <c r="B932" s="220"/>
      <c r="C932" s="206"/>
      <c r="D932" s="206"/>
      <c r="E932" s="192"/>
      <c r="F932" s="206"/>
      <c r="G932" s="206"/>
      <c r="H932"/>
      <c r="O932" s="192"/>
      <c r="P932" s="192"/>
      <c r="Q932" s="206"/>
      <c r="AB932" s="206"/>
      <c r="AC932" s="206"/>
      <c r="AE932"/>
    </row>
    <row r="933" spans="1:31" x14ac:dyDescent="0.2">
      <c r="A933" s="220"/>
      <c r="B933" s="220"/>
      <c r="C933" s="206"/>
      <c r="D933" s="206"/>
      <c r="E933" s="192"/>
      <c r="F933" s="206"/>
      <c r="G933" s="206"/>
      <c r="H933"/>
      <c r="O933" s="192"/>
      <c r="P933" s="192"/>
      <c r="Q933" s="206"/>
      <c r="AB933" s="206"/>
      <c r="AC933" s="206"/>
      <c r="AE933"/>
    </row>
    <row r="934" spans="1:31" x14ac:dyDescent="0.2">
      <c r="A934" s="220"/>
      <c r="B934" s="220"/>
      <c r="C934" s="206"/>
      <c r="D934" s="206"/>
      <c r="E934" s="192"/>
      <c r="F934" s="206"/>
      <c r="G934" s="206"/>
      <c r="H934"/>
      <c r="O934" s="192"/>
      <c r="P934" s="192"/>
      <c r="Q934" s="206"/>
      <c r="AB934" s="206"/>
      <c r="AC934" s="206"/>
      <c r="AE934"/>
    </row>
    <row r="935" spans="1:31" x14ac:dyDescent="0.2">
      <c r="A935" s="220"/>
      <c r="B935" s="220"/>
      <c r="C935" s="206"/>
      <c r="D935" s="206"/>
      <c r="E935" s="192"/>
      <c r="F935" s="206"/>
      <c r="G935" s="206"/>
      <c r="H935"/>
      <c r="O935" s="192"/>
      <c r="P935" s="192"/>
      <c r="Q935" s="206"/>
      <c r="AB935" s="206"/>
      <c r="AC935" s="206"/>
      <c r="AE935"/>
    </row>
    <row r="936" spans="1:31" x14ac:dyDescent="0.2">
      <c r="A936" s="220"/>
      <c r="B936" s="220"/>
      <c r="C936" s="206"/>
      <c r="D936" s="206"/>
      <c r="E936" s="192"/>
      <c r="F936" s="206"/>
      <c r="G936"/>
      <c r="H936"/>
      <c r="O936" s="192"/>
      <c r="P936" s="192"/>
      <c r="Q936" s="206"/>
      <c r="AB936" s="206"/>
      <c r="AC936" s="206"/>
      <c r="AE936"/>
    </row>
    <row r="937" spans="1:31" x14ac:dyDescent="0.2">
      <c r="A937" s="220"/>
      <c r="B937" s="220"/>
      <c r="C937" s="206"/>
      <c r="D937" s="206"/>
      <c r="E937" s="192"/>
      <c r="F937" s="206"/>
      <c r="G937" s="206"/>
      <c r="H937"/>
      <c r="O937" s="192"/>
      <c r="P937" s="192"/>
      <c r="Q937" s="206"/>
      <c r="AB937" s="206"/>
      <c r="AC937" s="206"/>
      <c r="AE937"/>
    </row>
    <row r="938" spans="1:31" x14ac:dyDescent="0.2">
      <c r="A938" s="220"/>
      <c r="B938" s="220"/>
      <c r="C938" s="206"/>
      <c r="D938" s="206"/>
      <c r="E938" s="192"/>
      <c r="F938" s="206"/>
      <c r="G938" s="206"/>
      <c r="H938" s="206"/>
      <c r="O938" s="192"/>
      <c r="P938" s="192"/>
      <c r="Q938" s="206"/>
      <c r="AB938" s="206"/>
      <c r="AC938" s="206"/>
      <c r="AE938"/>
    </row>
    <row r="939" spans="1:31" x14ac:dyDescent="0.2">
      <c r="A939" s="220"/>
      <c r="B939" s="220"/>
      <c r="C939" s="206"/>
      <c r="D939" s="206"/>
      <c r="E939" s="192"/>
      <c r="F939" s="206"/>
      <c r="G939" s="206"/>
      <c r="H939"/>
      <c r="O939" s="192"/>
      <c r="P939" s="192"/>
      <c r="Q939" s="206"/>
      <c r="AB939" s="206"/>
      <c r="AC939" s="206"/>
      <c r="AE939"/>
    </row>
    <row r="940" spans="1:31" x14ac:dyDescent="0.2">
      <c r="A940" s="220"/>
      <c r="B940" s="220"/>
      <c r="C940" s="206"/>
      <c r="D940" s="206"/>
      <c r="E940" s="192"/>
      <c r="F940" s="206"/>
      <c r="G940"/>
      <c r="H940"/>
      <c r="O940" s="192"/>
      <c r="P940" s="192"/>
      <c r="Q940" s="206"/>
      <c r="AB940" s="206"/>
      <c r="AC940" s="206"/>
      <c r="AE940"/>
    </row>
    <row r="941" spans="1:31" x14ac:dyDescent="0.2">
      <c r="A941" s="220"/>
      <c r="B941" s="220"/>
      <c r="C941" s="206"/>
      <c r="D941" s="206"/>
      <c r="E941" s="192"/>
      <c r="F941" s="206"/>
      <c r="G941" s="206"/>
      <c r="H941"/>
      <c r="O941" s="192"/>
      <c r="P941" s="192"/>
      <c r="Q941" s="206"/>
      <c r="AB941" s="206"/>
      <c r="AC941" s="206"/>
      <c r="AE941"/>
    </row>
    <row r="942" spans="1:31" x14ac:dyDescent="0.2">
      <c r="A942" s="220"/>
      <c r="B942" s="220"/>
      <c r="C942" s="206"/>
      <c r="D942" s="206"/>
      <c r="E942" s="192"/>
      <c r="F942" s="206"/>
      <c r="G942" s="206"/>
      <c r="H942"/>
      <c r="O942" s="192"/>
      <c r="P942" s="192"/>
      <c r="Q942" s="206"/>
      <c r="AB942" s="206"/>
      <c r="AC942" s="206"/>
      <c r="AE942"/>
    </row>
    <row r="943" spans="1:31" x14ac:dyDescent="0.2">
      <c r="A943" s="220"/>
      <c r="B943" s="220"/>
      <c r="C943" s="206"/>
      <c r="D943" s="206"/>
      <c r="E943" s="192"/>
      <c r="F943" s="206"/>
      <c r="G943" s="206"/>
      <c r="H943" s="206"/>
      <c r="O943" s="192"/>
      <c r="P943" s="192"/>
      <c r="Q943" s="206"/>
      <c r="AB943" s="206"/>
      <c r="AC943" s="206"/>
      <c r="AE943"/>
    </row>
    <row r="944" spans="1:31" x14ac:dyDescent="0.2">
      <c r="A944" s="220"/>
      <c r="B944" s="220"/>
      <c r="C944" s="206"/>
      <c r="D944" s="206"/>
      <c r="E944" s="192"/>
      <c r="F944" s="206"/>
      <c r="G944" s="206"/>
      <c r="H944"/>
      <c r="O944" s="192"/>
      <c r="P944" s="192"/>
      <c r="Q944" s="206"/>
      <c r="AB944" s="206"/>
      <c r="AC944" s="206"/>
      <c r="AE944"/>
    </row>
    <row r="945" spans="1:31" x14ac:dyDescent="0.2">
      <c r="A945" s="220"/>
      <c r="B945" s="220"/>
      <c r="C945" s="206"/>
      <c r="D945" s="206"/>
      <c r="E945" s="192"/>
      <c r="F945" s="206"/>
      <c r="G945" s="206"/>
      <c r="H945" s="206"/>
      <c r="O945" s="192"/>
      <c r="P945" s="192"/>
      <c r="Q945" s="206"/>
      <c r="AB945" s="206"/>
      <c r="AC945" s="206"/>
      <c r="AE945"/>
    </row>
    <row r="946" spans="1:31" x14ac:dyDescent="0.2">
      <c r="A946" s="220"/>
      <c r="B946" s="220"/>
      <c r="C946" s="206"/>
      <c r="D946" s="206"/>
      <c r="E946" s="192"/>
      <c r="F946" s="206"/>
      <c r="G946" s="206"/>
      <c r="H946" s="206"/>
      <c r="O946" s="192"/>
      <c r="P946" s="192"/>
      <c r="Q946" s="206"/>
      <c r="AB946" s="206"/>
      <c r="AC946" s="206"/>
      <c r="AE946"/>
    </row>
    <row r="947" spans="1:31" x14ac:dyDescent="0.2">
      <c r="A947" s="220"/>
      <c r="B947" s="220"/>
      <c r="C947" s="206"/>
      <c r="D947" s="206"/>
      <c r="E947" s="192"/>
      <c r="F947" s="206"/>
      <c r="G947" s="206"/>
      <c r="H947" s="206"/>
      <c r="O947" s="192"/>
      <c r="P947" s="192"/>
      <c r="Q947" s="206"/>
      <c r="AB947" s="206"/>
      <c r="AC947" s="206"/>
      <c r="AE947"/>
    </row>
    <row r="948" spans="1:31" x14ac:dyDescent="0.2">
      <c r="A948" s="220"/>
      <c r="B948" s="220"/>
      <c r="C948" s="206"/>
      <c r="D948" s="206"/>
      <c r="E948" s="192"/>
      <c r="F948" s="206"/>
      <c r="G948"/>
      <c r="H948"/>
      <c r="O948" s="192"/>
      <c r="P948" s="192"/>
      <c r="Q948" s="206"/>
      <c r="AB948" s="206"/>
      <c r="AC948" s="206"/>
      <c r="AE948"/>
    </row>
    <row r="949" spans="1:31" x14ac:dyDescent="0.2">
      <c r="A949" s="220"/>
      <c r="B949" s="220"/>
      <c r="C949" s="206"/>
      <c r="D949" s="206"/>
      <c r="E949" s="192"/>
      <c r="F949" s="206"/>
      <c r="G949" s="206"/>
      <c r="H949"/>
      <c r="O949" s="192"/>
      <c r="P949" s="192"/>
      <c r="Q949" s="206"/>
      <c r="AB949" s="206"/>
      <c r="AC949" s="206"/>
      <c r="AE949"/>
    </row>
    <row r="950" spans="1:31" x14ac:dyDescent="0.2">
      <c r="A950" s="220"/>
      <c r="B950" s="220"/>
      <c r="C950" s="206"/>
      <c r="D950" s="206"/>
      <c r="E950" s="192"/>
      <c r="F950" s="206"/>
      <c r="G950" s="206"/>
      <c r="H950"/>
      <c r="O950" s="192"/>
      <c r="P950" s="192"/>
      <c r="Q950" s="206"/>
      <c r="AB950" s="206"/>
      <c r="AC950" s="206"/>
      <c r="AE950"/>
    </row>
    <row r="951" spans="1:31" x14ac:dyDescent="0.2">
      <c r="A951" s="220"/>
      <c r="B951" s="220"/>
      <c r="C951" s="206"/>
      <c r="D951" s="206"/>
      <c r="E951" s="192"/>
      <c r="F951" s="206"/>
      <c r="G951" s="206"/>
      <c r="H951"/>
      <c r="O951" s="192"/>
      <c r="P951" s="192"/>
      <c r="Q951" s="206"/>
      <c r="AB951" s="206"/>
      <c r="AC951" s="206"/>
      <c r="AE951"/>
    </row>
    <row r="952" spans="1:31" x14ac:dyDescent="0.2">
      <c r="A952" s="220"/>
      <c r="B952" s="220"/>
      <c r="C952" s="206"/>
      <c r="D952" s="206"/>
      <c r="E952" s="192"/>
      <c r="F952" s="206"/>
      <c r="G952" s="206"/>
      <c r="H952"/>
      <c r="O952" s="192"/>
      <c r="P952" s="192"/>
      <c r="Q952" s="206"/>
      <c r="AB952" s="206"/>
      <c r="AC952" s="206"/>
      <c r="AE952"/>
    </row>
    <row r="953" spans="1:31" x14ac:dyDescent="0.2">
      <c r="A953" s="220"/>
      <c r="B953" s="220"/>
      <c r="C953" s="206"/>
      <c r="D953" s="206"/>
      <c r="E953" s="192"/>
      <c r="F953" s="206"/>
      <c r="G953" s="206"/>
      <c r="H953"/>
      <c r="O953" s="192"/>
      <c r="P953" s="192"/>
      <c r="Q953" s="206"/>
      <c r="AB953" s="206"/>
      <c r="AC953" s="206"/>
      <c r="AE953"/>
    </row>
    <row r="954" spans="1:31" x14ac:dyDescent="0.2">
      <c r="A954" s="220"/>
      <c r="B954" s="220"/>
      <c r="C954" s="206"/>
      <c r="D954" s="206"/>
      <c r="E954" s="192"/>
      <c r="F954" s="206"/>
      <c r="G954" s="206"/>
      <c r="H954"/>
      <c r="O954" s="192"/>
      <c r="P954" s="192"/>
      <c r="Q954" s="206"/>
      <c r="AB954" s="206"/>
      <c r="AC954" s="206"/>
      <c r="AE954"/>
    </row>
    <row r="955" spans="1:31" x14ac:dyDescent="0.2">
      <c r="A955" s="220"/>
      <c r="B955" s="220"/>
      <c r="C955" s="206"/>
      <c r="D955" s="206"/>
      <c r="E955" s="192"/>
      <c r="F955" s="206"/>
      <c r="G955" s="206"/>
      <c r="H955"/>
      <c r="O955" s="192"/>
      <c r="P955" s="192"/>
      <c r="Q955" s="206"/>
      <c r="AB955" s="206"/>
      <c r="AC955" s="206"/>
      <c r="AE955"/>
    </row>
    <row r="956" spans="1:31" x14ac:dyDescent="0.2">
      <c r="A956" s="220"/>
      <c r="B956" s="220"/>
      <c r="C956" s="206"/>
      <c r="D956" s="206"/>
      <c r="E956" s="192"/>
      <c r="F956" s="206"/>
      <c r="G956"/>
      <c r="H956"/>
      <c r="O956" s="192"/>
      <c r="P956" s="192"/>
      <c r="Q956" s="206"/>
      <c r="AB956" s="206"/>
      <c r="AC956" s="206"/>
      <c r="AE956"/>
    </row>
    <row r="957" spans="1:31" x14ac:dyDescent="0.2">
      <c r="A957" s="220"/>
      <c r="B957" s="220"/>
      <c r="C957" s="206"/>
      <c r="D957" s="206"/>
      <c r="E957" s="192"/>
      <c r="F957" s="206"/>
      <c r="G957" s="206"/>
      <c r="H957"/>
      <c r="O957" s="192"/>
      <c r="P957" s="192"/>
      <c r="Q957" s="206"/>
      <c r="AB957" s="206"/>
      <c r="AC957" s="206"/>
      <c r="AE957"/>
    </row>
    <row r="958" spans="1:31" x14ac:dyDescent="0.2">
      <c r="A958" s="220"/>
      <c r="B958" s="220"/>
      <c r="C958" s="206"/>
      <c r="D958" s="206"/>
      <c r="E958" s="192"/>
      <c r="F958" s="206"/>
      <c r="G958" s="206"/>
      <c r="H958"/>
      <c r="O958" s="192"/>
      <c r="P958" s="192"/>
      <c r="Q958" s="206"/>
      <c r="AB958" s="206"/>
      <c r="AC958" s="206"/>
      <c r="AE958"/>
    </row>
    <row r="959" spans="1:31" x14ac:dyDescent="0.2">
      <c r="A959" s="220"/>
      <c r="B959" s="220"/>
      <c r="C959" s="206"/>
      <c r="D959" s="206"/>
      <c r="E959" s="192"/>
      <c r="F959" s="206"/>
      <c r="G959"/>
      <c r="H959"/>
      <c r="O959" s="192"/>
      <c r="P959" s="192"/>
      <c r="Q959" s="206"/>
      <c r="AB959" s="206"/>
      <c r="AC959" s="206"/>
      <c r="AE959"/>
    </row>
    <row r="960" spans="1:31" x14ac:dyDescent="0.2">
      <c r="A960" s="220"/>
      <c r="B960" s="220"/>
      <c r="C960" s="206"/>
      <c r="D960" s="206"/>
      <c r="E960" s="192"/>
      <c r="F960" s="206"/>
      <c r="G960" s="206"/>
      <c r="H960"/>
      <c r="O960" s="192"/>
      <c r="P960" s="192"/>
      <c r="Q960" s="206"/>
      <c r="AB960" s="206"/>
      <c r="AC960" s="206"/>
      <c r="AE960"/>
    </row>
    <row r="961" spans="1:31" x14ac:dyDescent="0.2">
      <c r="A961" s="220"/>
      <c r="B961" s="220"/>
      <c r="C961" s="206"/>
      <c r="D961" s="206"/>
      <c r="E961" s="192"/>
      <c r="F961" s="206"/>
      <c r="G961"/>
      <c r="H961"/>
      <c r="O961" s="192"/>
      <c r="P961" s="192"/>
      <c r="Q961" s="206"/>
      <c r="AB961" s="206"/>
      <c r="AC961" s="206"/>
      <c r="AE961"/>
    </row>
    <row r="962" spans="1:31" x14ac:dyDescent="0.2">
      <c r="A962" s="220"/>
      <c r="B962" s="220"/>
      <c r="C962" s="206"/>
      <c r="D962" s="206"/>
      <c r="E962" s="192"/>
      <c r="F962" s="206"/>
      <c r="G962"/>
      <c r="H962"/>
      <c r="O962" s="192"/>
      <c r="P962" s="192"/>
      <c r="Q962" s="206"/>
      <c r="AB962" s="206"/>
      <c r="AC962" s="206"/>
      <c r="AE962"/>
    </row>
    <row r="963" spans="1:31" x14ac:dyDescent="0.2">
      <c r="A963" s="220"/>
      <c r="B963" s="220"/>
      <c r="C963" s="206"/>
      <c r="D963" s="206"/>
      <c r="E963" s="192"/>
      <c r="F963" s="206"/>
      <c r="G963"/>
      <c r="H963"/>
      <c r="O963" s="192"/>
      <c r="P963" s="192"/>
      <c r="Q963" s="206"/>
      <c r="AB963" s="206"/>
      <c r="AC963" s="206"/>
      <c r="AE963"/>
    </row>
    <row r="964" spans="1:31" x14ac:dyDescent="0.2">
      <c r="A964" s="220"/>
      <c r="B964" s="220"/>
      <c r="C964" s="206"/>
      <c r="D964" s="206"/>
      <c r="E964" s="192"/>
      <c r="F964" s="206"/>
      <c r="G964" s="206"/>
      <c r="H964"/>
      <c r="O964" s="192"/>
      <c r="P964" s="192"/>
      <c r="Q964" s="206"/>
      <c r="AB964" s="206"/>
      <c r="AC964" s="206"/>
      <c r="AE964"/>
    </row>
    <row r="965" spans="1:31" x14ac:dyDescent="0.2">
      <c r="A965" s="220"/>
      <c r="B965" s="220"/>
      <c r="C965" s="206"/>
      <c r="D965" s="206"/>
      <c r="E965" s="192"/>
      <c r="F965" s="206"/>
      <c r="G965" s="206"/>
      <c r="H965"/>
      <c r="O965" s="192"/>
      <c r="P965" s="192"/>
      <c r="Q965" s="206"/>
      <c r="AB965" s="206"/>
      <c r="AC965" s="206"/>
      <c r="AE965"/>
    </row>
    <row r="966" spans="1:31" x14ac:dyDescent="0.2">
      <c r="A966" s="220"/>
      <c r="B966" s="220"/>
      <c r="C966" s="206"/>
      <c r="D966" s="206"/>
      <c r="E966" s="192"/>
      <c r="F966" s="206"/>
      <c r="G966" s="206"/>
      <c r="H966"/>
      <c r="O966" s="192"/>
      <c r="P966" s="192"/>
      <c r="Q966" s="206"/>
      <c r="AB966" s="206"/>
      <c r="AC966" s="206"/>
      <c r="AE966"/>
    </row>
    <row r="967" spans="1:31" x14ac:dyDescent="0.2">
      <c r="A967" s="220"/>
      <c r="B967" s="220"/>
      <c r="C967" s="206"/>
      <c r="D967" s="206"/>
      <c r="E967" s="192"/>
      <c r="F967" s="206"/>
      <c r="G967"/>
      <c r="H967"/>
      <c r="O967" s="192"/>
      <c r="P967" s="192"/>
      <c r="Q967" s="206"/>
      <c r="AB967" s="206"/>
      <c r="AC967" s="206"/>
      <c r="AE967"/>
    </row>
    <row r="968" spans="1:31" x14ac:dyDescent="0.2">
      <c r="A968" s="220"/>
      <c r="B968" s="220"/>
      <c r="C968" s="206"/>
      <c r="D968" s="206"/>
      <c r="E968" s="192"/>
      <c r="F968" s="206"/>
      <c r="G968" s="206"/>
      <c r="H968" s="206"/>
      <c r="O968" s="192"/>
      <c r="P968" s="192"/>
      <c r="Q968" s="206"/>
      <c r="AB968" s="206"/>
      <c r="AC968" s="206"/>
      <c r="AE968"/>
    </row>
    <row r="969" spans="1:31" x14ac:dyDescent="0.2">
      <c r="A969" s="220"/>
      <c r="B969" s="220"/>
      <c r="C969" s="206"/>
      <c r="D969" s="206"/>
      <c r="E969" s="192"/>
      <c r="F969" s="206"/>
      <c r="G969" s="206"/>
      <c r="H969"/>
      <c r="O969" s="192"/>
      <c r="P969" s="192"/>
      <c r="Q969" s="206"/>
      <c r="AB969" s="206"/>
      <c r="AC969" s="206"/>
      <c r="AE969"/>
    </row>
    <row r="970" spans="1:31" x14ac:dyDescent="0.2">
      <c r="A970" s="220"/>
      <c r="B970" s="220"/>
      <c r="C970" s="206"/>
      <c r="D970" s="206"/>
      <c r="E970" s="192"/>
      <c r="F970" s="206"/>
      <c r="G970" s="206"/>
      <c r="H970"/>
      <c r="O970" s="192"/>
      <c r="P970" s="192"/>
      <c r="Q970" s="206"/>
      <c r="AB970" s="206"/>
      <c r="AC970" s="206"/>
      <c r="AE970"/>
    </row>
    <row r="971" spans="1:31" x14ac:dyDescent="0.2">
      <c r="A971" s="220"/>
      <c r="B971" s="220"/>
      <c r="C971" s="206"/>
      <c r="D971" s="206"/>
      <c r="E971" s="192"/>
      <c r="F971" s="206"/>
      <c r="G971" s="206"/>
      <c r="H971"/>
      <c r="O971" s="192"/>
      <c r="P971" s="192"/>
      <c r="Q971" s="206"/>
      <c r="AB971" s="206"/>
      <c r="AC971" s="206"/>
      <c r="AE971"/>
    </row>
    <row r="972" spans="1:31" x14ac:dyDescent="0.2">
      <c r="A972" s="220"/>
      <c r="B972" s="220"/>
      <c r="C972" s="206"/>
      <c r="D972" s="206"/>
      <c r="E972" s="192"/>
      <c r="F972" s="206"/>
      <c r="G972" s="206"/>
      <c r="H972"/>
      <c r="O972" s="192"/>
      <c r="P972" s="192"/>
      <c r="Q972" s="206"/>
      <c r="AB972" s="206"/>
      <c r="AC972" s="206"/>
      <c r="AE972"/>
    </row>
    <row r="973" spans="1:31" x14ac:dyDescent="0.2">
      <c r="A973" s="220"/>
      <c r="B973" s="220"/>
      <c r="C973" s="206"/>
      <c r="D973" s="206"/>
      <c r="E973" s="192"/>
      <c r="F973" s="206"/>
      <c r="G973" s="206"/>
      <c r="H973"/>
      <c r="O973" s="192"/>
      <c r="P973" s="192"/>
      <c r="Q973" s="206"/>
      <c r="AB973" s="206"/>
      <c r="AC973" s="206"/>
      <c r="AE973"/>
    </row>
    <row r="974" spans="1:31" x14ac:dyDescent="0.2">
      <c r="A974" s="220"/>
      <c r="B974" s="220"/>
      <c r="C974" s="206"/>
      <c r="D974" s="206"/>
      <c r="E974" s="192"/>
      <c r="F974" s="206"/>
      <c r="G974" s="206"/>
      <c r="H974"/>
      <c r="O974" s="192"/>
      <c r="P974" s="192"/>
      <c r="Q974" s="206"/>
      <c r="AB974" s="206"/>
      <c r="AC974" s="206"/>
      <c r="AE974"/>
    </row>
    <row r="975" spans="1:31" x14ac:dyDescent="0.2">
      <c r="A975" s="220"/>
      <c r="B975" s="220"/>
      <c r="C975" s="206"/>
      <c r="D975" s="206"/>
      <c r="E975" s="192"/>
      <c r="F975" s="206"/>
      <c r="G975" s="206"/>
      <c r="H975"/>
      <c r="O975" s="192"/>
      <c r="P975" s="192"/>
      <c r="Q975" s="206"/>
      <c r="AB975" s="206"/>
      <c r="AC975" s="206"/>
      <c r="AE975"/>
    </row>
    <row r="976" spans="1:31" x14ac:dyDescent="0.2">
      <c r="A976" s="220"/>
      <c r="B976" s="220"/>
      <c r="C976" s="206"/>
      <c r="D976" s="206"/>
      <c r="E976" s="192"/>
      <c r="F976" s="206"/>
      <c r="G976" s="206"/>
      <c r="H976"/>
      <c r="O976" s="192"/>
      <c r="P976" s="192"/>
      <c r="Q976" s="206"/>
      <c r="AB976" s="206"/>
      <c r="AC976" s="206"/>
      <c r="AE976"/>
    </row>
    <row r="977" spans="1:31" x14ac:dyDescent="0.2">
      <c r="A977" s="220"/>
      <c r="B977" s="220"/>
      <c r="C977" s="206"/>
      <c r="D977" s="206"/>
      <c r="E977" s="192"/>
      <c r="F977" s="206"/>
      <c r="G977"/>
      <c r="H977"/>
      <c r="O977" s="192"/>
      <c r="P977" s="192"/>
      <c r="Q977" s="206"/>
      <c r="AB977" s="206"/>
      <c r="AC977" s="206"/>
      <c r="AE977"/>
    </row>
    <row r="978" spans="1:31" x14ac:dyDescent="0.2">
      <c r="A978" s="220"/>
      <c r="B978" s="220"/>
      <c r="C978" s="206"/>
      <c r="D978" s="206"/>
      <c r="E978" s="192"/>
      <c r="F978" s="206"/>
      <c r="G978"/>
      <c r="H978"/>
      <c r="O978" s="192"/>
      <c r="P978" s="192"/>
      <c r="Q978" s="206"/>
      <c r="AB978" s="206"/>
      <c r="AC978" s="206"/>
      <c r="AE978"/>
    </row>
    <row r="979" spans="1:31" x14ac:dyDescent="0.2">
      <c r="A979" s="220"/>
      <c r="B979" s="220"/>
      <c r="C979" s="206"/>
      <c r="D979" s="206"/>
      <c r="E979" s="192"/>
      <c r="F979" s="206"/>
      <c r="G979" s="206"/>
      <c r="H979" s="206"/>
      <c r="O979" s="192"/>
      <c r="P979" s="192"/>
      <c r="Q979" s="206"/>
      <c r="AB979" s="206"/>
      <c r="AC979" s="206"/>
      <c r="AE979"/>
    </row>
    <row r="980" spans="1:31" x14ac:dyDescent="0.2">
      <c r="A980" s="220"/>
      <c r="B980" s="220"/>
      <c r="C980" s="206"/>
      <c r="D980" s="206"/>
      <c r="E980" s="192"/>
      <c r="F980" s="206"/>
      <c r="G980"/>
      <c r="H980"/>
      <c r="O980" s="192"/>
      <c r="P980" s="192"/>
      <c r="Q980" s="206"/>
      <c r="AB980" s="206"/>
      <c r="AC980" s="206"/>
      <c r="AE980"/>
    </row>
    <row r="981" spans="1:31" x14ac:dyDescent="0.2">
      <c r="A981" s="220"/>
      <c r="B981" s="220"/>
      <c r="C981" s="206"/>
      <c r="D981" s="206"/>
      <c r="E981" s="192"/>
      <c r="F981" s="206"/>
      <c r="G981" s="206"/>
      <c r="H981"/>
      <c r="O981" s="192"/>
      <c r="P981" s="192"/>
      <c r="Q981" s="206"/>
      <c r="AB981" s="206"/>
      <c r="AC981" s="206"/>
      <c r="AE981"/>
    </row>
    <row r="982" spans="1:31" x14ac:dyDescent="0.2">
      <c r="A982" s="220"/>
      <c r="B982" s="220"/>
      <c r="C982" s="206"/>
      <c r="D982" s="206"/>
      <c r="E982" s="192"/>
      <c r="F982" s="206"/>
      <c r="G982" s="206"/>
      <c r="H982"/>
      <c r="O982" s="192"/>
      <c r="P982" s="192"/>
      <c r="Q982" s="206"/>
      <c r="AB982" s="206"/>
      <c r="AC982" s="206"/>
      <c r="AE982"/>
    </row>
    <row r="983" spans="1:31" x14ac:dyDescent="0.2">
      <c r="A983" s="220"/>
      <c r="B983" s="220"/>
      <c r="C983" s="206"/>
      <c r="D983" s="206"/>
      <c r="E983" s="192"/>
      <c r="F983" s="206"/>
      <c r="G983" s="206"/>
      <c r="H983"/>
      <c r="O983" s="192"/>
      <c r="P983" s="192"/>
      <c r="Q983" s="206"/>
      <c r="AB983" s="206"/>
      <c r="AC983" s="206"/>
      <c r="AE983"/>
    </row>
    <row r="984" spans="1:31" x14ac:dyDescent="0.2">
      <c r="A984" s="220"/>
      <c r="B984" s="220"/>
      <c r="C984" s="206"/>
      <c r="D984" s="206"/>
      <c r="E984" s="192"/>
      <c r="F984" s="206"/>
      <c r="G984" s="206"/>
      <c r="H984"/>
      <c r="O984" s="192"/>
      <c r="P984" s="192"/>
      <c r="Q984" s="206"/>
      <c r="AB984" s="206"/>
      <c r="AC984" s="206"/>
      <c r="AE984"/>
    </row>
    <row r="985" spans="1:31" x14ac:dyDescent="0.2">
      <c r="A985" s="220"/>
      <c r="B985" s="220"/>
      <c r="C985" s="206"/>
      <c r="D985" s="206"/>
      <c r="E985" s="192"/>
      <c r="F985" s="206"/>
      <c r="G985" s="206"/>
      <c r="H985"/>
      <c r="O985" s="192"/>
      <c r="P985" s="192"/>
      <c r="Q985" s="206"/>
      <c r="AB985" s="206"/>
      <c r="AC985" s="206"/>
      <c r="AE985"/>
    </row>
    <row r="986" spans="1:31" x14ac:dyDescent="0.2">
      <c r="A986" s="220"/>
      <c r="B986" s="220"/>
      <c r="C986" s="206"/>
      <c r="D986" s="206"/>
      <c r="E986" s="192"/>
      <c r="F986" s="206"/>
      <c r="G986" s="206"/>
      <c r="H986"/>
      <c r="O986" s="192"/>
      <c r="P986" s="192"/>
      <c r="Q986" s="206"/>
      <c r="AB986" s="206"/>
      <c r="AC986" s="206"/>
      <c r="AE986"/>
    </row>
    <row r="987" spans="1:31" x14ac:dyDescent="0.2">
      <c r="A987" s="220"/>
      <c r="B987" s="220"/>
      <c r="C987" s="206"/>
      <c r="D987" s="206"/>
      <c r="E987" s="192"/>
      <c r="F987" s="206"/>
      <c r="G987" s="206"/>
      <c r="H987"/>
      <c r="O987" s="192"/>
      <c r="P987" s="192"/>
      <c r="Q987" s="206"/>
      <c r="AB987" s="206"/>
      <c r="AC987" s="206"/>
      <c r="AE987"/>
    </row>
    <row r="988" spans="1:31" x14ac:dyDescent="0.2">
      <c r="A988" s="220"/>
      <c r="B988" s="220"/>
      <c r="C988" s="206"/>
      <c r="D988" s="206"/>
      <c r="E988" s="192"/>
      <c r="F988" s="206"/>
      <c r="G988" s="206"/>
      <c r="H988"/>
      <c r="O988" s="192"/>
      <c r="P988" s="192"/>
      <c r="Q988" s="206"/>
      <c r="AB988" s="206"/>
      <c r="AC988" s="206"/>
      <c r="AE988"/>
    </row>
    <row r="989" spans="1:31" x14ac:dyDescent="0.2">
      <c r="A989" s="220"/>
      <c r="B989" s="220"/>
      <c r="C989" s="206"/>
      <c r="D989" s="206"/>
      <c r="E989" s="192"/>
      <c r="F989" s="206"/>
      <c r="G989"/>
      <c r="H989"/>
      <c r="O989" s="192"/>
      <c r="P989" s="192"/>
      <c r="Q989" s="206"/>
      <c r="AB989" s="206"/>
      <c r="AC989" s="206"/>
      <c r="AE989"/>
    </row>
    <row r="990" spans="1:31" x14ac:dyDescent="0.2">
      <c r="A990" s="220"/>
      <c r="B990" s="220"/>
      <c r="C990" s="206"/>
      <c r="D990" s="206"/>
      <c r="E990" s="192"/>
      <c r="F990" s="206"/>
      <c r="G990" s="206"/>
      <c r="H990"/>
      <c r="O990" s="192"/>
      <c r="P990" s="192"/>
      <c r="Q990" s="206"/>
      <c r="AB990" s="206"/>
      <c r="AC990" s="206"/>
      <c r="AE990"/>
    </row>
    <row r="991" spans="1:31" x14ac:dyDescent="0.2">
      <c r="A991" s="220"/>
      <c r="B991" s="220"/>
      <c r="C991" s="206"/>
      <c r="D991" s="206"/>
      <c r="E991" s="192"/>
      <c r="F991" s="206"/>
      <c r="G991"/>
      <c r="H991"/>
      <c r="O991" s="192"/>
      <c r="P991" s="192"/>
      <c r="Q991" s="206"/>
      <c r="AB991" s="206"/>
      <c r="AC991" s="206"/>
      <c r="AE991"/>
    </row>
    <row r="992" spans="1:31" x14ac:dyDescent="0.2">
      <c r="A992" s="220"/>
      <c r="B992" s="220"/>
      <c r="C992" s="206"/>
      <c r="D992" s="206"/>
      <c r="E992" s="192"/>
      <c r="F992" s="206"/>
      <c r="G992" s="206"/>
      <c r="H992"/>
      <c r="O992" s="192"/>
      <c r="P992" s="192"/>
      <c r="Q992" s="206"/>
      <c r="AB992" s="206"/>
      <c r="AC992" s="206"/>
      <c r="AE992"/>
    </row>
    <row r="993" spans="1:31" x14ac:dyDescent="0.2">
      <c r="A993" s="220"/>
      <c r="B993" s="220"/>
      <c r="C993" s="206"/>
      <c r="D993" s="206"/>
      <c r="E993" s="192"/>
      <c r="F993" s="206"/>
      <c r="G993" s="206"/>
      <c r="H993"/>
      <c r="O993" s="192"/>
      <c r="P993" s="192"/>
      <c r="Q993" s="206"/>
      <c r="AB993" s="206"/>
      <c r="AC993" s="206"/>
      <c r="AE993"/>
    </row>
    <row r="994" spans="1:31" x14ac:dyDescent="0.2">
      <c r="A994" s="220"/>
      <c r="B994" s="220"/>
      <c r="C994" s="206"/>
      <c r="D994" s="206"/>
      <c r="E994" s="192"/>
      <c r="F994" s="206"/>
      <c r="G994" s="206"/>
      <c r="H994" s="206"/>
      <c r="O994" s="192"/>
      <c r="P994" s="192"/>
      <c r="Q994" s="206"/>
      <c r="AB994" s="206"/>
      <c r="AC994" s="206"/>
      <c r="AE994"/>
    </row>
    <row r="995" spans="1:31" x14ac:dyDescent="0.2">
      <c r="A995" s="220"/>
      <c r="B995" s="220"/>
      <c r="C995" s="206"/>
      <c r="D995" s="206"/>
      <c r="E995" s="192"/>
      <c r="F995" s="206"/>
      <c r="G995" s="206"/>
      <c r="H995"/>
      <c r="O995" s="192"/>
      <c r="P995" s="192"/>
      <c r="Q995" s="206"/>
      <c r="AB995" s="206"/>
      <c r="AC995" s="206"/>
      <c r="AE995"/>
    </row>
    <row r="996" spans="1:31" x14ac:dyDescent="0.2">
      <c r="A996" s="220"/>
      <c r="B996" s="220"/>
      <c r="C996" s="206"/>
      <c r="D996" s="206"/>
      <c r="E996" s="192"/>
      <c r="F996" s="206"/>
      <c r="G996"/>
      <c r="H996"/>
      <c r="O996" s="192"/>
      <c r="P996" s="192"/>
      <c r="Q996" s="206"/>
      <c r="AB996" s="206"/>
      <c r="AC996" s="206"/>
      <c r="AE996"/>
    </row>
    <row r="997" spans="1:31" x14ac:dyDescent="0.2">
      <c r="A997" s="220"/>
      <c r="B997" s="220"/>
      <c r="C997" s="206"/>
      <c r="D997" s="206"/>
      <c r="E997" s="192"/>
      <c r="F997" s="206"/>
      <c r="G997" s="206"/>
      <c r="H997"/>
      <c r="O997" s="192"/>
      <c r="P997" s="192"/>
      <c r="Q997" s="206"/>
      <c r="AB997" s="206"/>
      <c r="AC997" s="206"/>
      <c r="AE997"/>
    </row>
    <row r="998" spans="1:31" x14ac:dyDescent="0.2">
      <c r="A998" s="220"/>
      <c r="B998" s="220"/>
      <c r="C998" s="206"/>
      <c r="D998" s="206"/>
      <c r="E998" s="192"/>
      <c r="F998" s="206"/>
      <c r="G998" s="206"/>
      <c r="H998"/>
      <c r="O998" s="192"/>
      <c r="P998" s="192"/>
      <c r="Q998" s="206"/>
      <c r="AB998" s="206"/>
      <c r="AC998" s="206"/>
      <c r="AE998"/>
    </row>
    <row r="999" spans="1:31" x14ac:dyDescent="0.2">
      <c r="A999" s="220"/>
      <c r="B999" s="220"/>
      <c r="C999" s="206"/>
      <c r="D999" s="206"/>
      <c r="E999" s="192"/>
      <c r="F999" s="206"/>
      <c r="G999" s="206"/>
      <c r="H999"/>
      <c r="O999" s="192"/>
      <c r="P999" s="192"/>
      <c r="Q999" s="206"/>
      <c r="AB999" s="206"/>
      <c r="AC999" s="206"/>
      <c r="AE999"/>
    </row>
    <row r="1000" spans="1:31" x14ac:dyDescent="0.2">
      <c r="A1000" s="220"/>
      <c r="B1000" s="220"/>
      <c r="C1000" s="206"/>
      <c r="D1000" s="206"/>
      <c r="E1000" s="192"/>
      <c r="F1000" s="206"/>
      <c r="G1000" s="206"/>
      <c r="H1000"/>
      <c r="O1000" s="192"/>
      <c r="P1000" s="192"/>
      <c r="Q1000" s="206"/>
      <c r="AB1000" s="206"/>
      <c r="AC1000" s="206"/>
      <c r="AE1000"/>
    </row>
    <row r="1001" spans="1:31" x14ac:dyDescent="0.2">
      <c r="A1001" s="220"/>
      <c r="B1001" s="220"/>
      <c r="C1001" s="206"/>
      <c r="D1001" s="206"/>
      <c r="E1001" s="192"/>
      <c r="F1001" s="206"/>
      <c r="G1001" s="206"/>
      <c r="H1001" s="206"/>
      <c r="O1001" s="192"/>
      <c r="P1001" s="192"/>
      <c r="Q1001" s="206"/>
      <c r="AB1001" s="206"/>
      <c r="AC1001" s="206"/>
      <c r="AE1001"/>
    </row>
    <row r="1002" spans="1:31" x14ac:dyDescent="0.2">
      <c r="A1002" s="220"/>
      <c r="B1002" s="220"/>
      <c r="C1002" s="206"/>
      <c r="D1002" s="206"/>
      <c r="E1002" s="192"/>
      <c r="F1002" s="206"/>
      <c r="G1002" s="206"/>
      <c r="H1002"/>
      <c r="O1002" s="192"/>
      <c r="P1002" s="192"/>
      <c r="Q1002" s="206"/>
      <c r="AB1002" s="206"/>
      <c r="AC1002" s="206"/>
      <c r="AE1002"/>
    </row>
    <row r="1003" spans="1:31" x14ac:dyDescent="0.2">
      <c r="A1003" s="220"/>
      <c r="B1003" s="220"/>
      <c r="C1003" s="206"/>
      <c r="D1003" s="206"/>
      <c r="E1003" s="192"/>
      <c r="F1003" s="206"/>
      <c r="G1003" s="206"/>
      <c r="H1003"/>
      <c r="O1003" s="192"/>
      <c r="P1003" s="192"/>
      <c r="Q1003" s="206"/>
      <c r="AB1003" s="206"/>
      <c r="AC1003" s="206"/>
      <c r="AE1003"/>
    </row>
    <row r="1004" spans="1:31" x14ac:dyDescent="0.2">
      <c r="A1004" s="220"/>
      <c r="B1004" s="220"/>
      <c r="C1004" s="206"/>
      <c r="D1004" s="206"/>
      <c r="E1004" s="192"/>
      <c r="F1004" s="206"/>
      <c r="G1004" s="206"/>
      <c r="H1004"/>
      <c r="O1004" s="192"/>
      <c r="P1004" s="192"/>
      <c r="Q1004" s="206"/>
      <c r="AB1004" s="206"/>
      <c r="AC1004" s="206"/>
      <c r="AE1004"/>
    </row>
    <row r="1005" spans="1:31" x14ac:dyDescent="0.2">
      <c r="A1005" s="220"/>
      <c r="B1005" s="220"/>
      <c r="C1005" s="206"/>
      <c r="D1005" s="206"/>
      <c r="E1005" s="192"/>
      <c r="F1005" s="206"/>
      <c r="G1005" s="206"/>
      <c r="H1005"/>
      <c r="O1005" s="192"/>
      <c r="P1005" s="192"/>
      <c r="Q1005" s="206"/>
      <c r="AB1005" s="206"/>
      <c r="AC1005" s="206"/>
      <c r="AE1005"/>
    </row>
    <row r="1006" spans="1:31" x14ac:dyDescent="0.2">
      <c r="A1006" s="220"/>
      <c r="B1006" s="220"/>
      <c r="C1006" s="206"/>
      <c r="D1006" s="206"/>
      <c r="E1006" s="192"/>
      <c r="F1006" s="206"/>
      <c r="G1006" s="206"/>
      <c r="H1006"/>
      <c r="O1006" s="192"/>
      <c r="P1006" s="192"/>
      <c r="Q1006" s="206"/>
      <c r="AB1006" s="206"/>
      <c r="AC1006" s="206"/>
      <c r="AE1006"/>
    </row>
    <row r="1007" spans="1:31" x14ac:dyDescent="0.2">
      <c r="A1007" s="220"/>
      <c r="B1007" s="220"/>
      <c r="C1007" s="206"/>
      <c r="D1007" s="206"/>
      <c r="E1007" s="192"/>
      <c r="F1007" s="206"/>
      <c r="G1007" s="206"/>
      <c r="H1007"/>
      <c r="O1007" s="192"/>
      <c r="P1007" s="192"/>
      <c r="Q1007" s="206"/>
      <c r="AB1007" s="206"/>
      <c r="AC1007" s="206"/>
      <c r="AE1007"/>
    </row>
    <row r="1008" spans="1:31" x14ac:dyDescent="0.2">
      <c r="A1008" s="220"/>
      <c r="B1008" s="220"/>
      <c r="C1008" s="206"/>
      <c r="D1008" s="206"/>
      <c r="E1008" s="192"/>
      <c r="F1008" s="206"/>
      <c r="G1008" s="206"/>
      <c r="H1008"/>
      <c r="O1008" s="192"/>
      <c r="P1008" s="192"/>
      <c r="Q1008" s="206"/>
      <c r="AB1008" s="206"/>
      <c r="AC1008" s="206"/>
      <c r="AE1008"/>
    </row>
    <row r="1009" spans="1:31" x14ac:dyDescent="0.2">
      <c r="A1009" s="220"/>
      <c r="B1009" s="220"/>
      <c r="C1009" s="206"/>
      <c r="D1009" s="206"/>
      <c r="E1009" s="192"/>
      <c r="F1009" s="206"/>
      <c r="G1009" s="206"/>
      <c r="H1009"/>
      <c r="O1009" s="192"/>
      <c r="P1009" s="192"/>
      <c r="Q1009" s="206"/>
      <c r="AB1009" s="206"/>
      <c r="AC1009" s="206"/>
      <c r="AE1009"/>
    </row>
    <row r="1010" spans="1:31" x14ac:dyDescent="0.2">
      <c r="A1010" s="220"/>
      <c r="B1010" s="220"/>
      <c r="C1010" s="206"/>
      <c r="D1010" s="206"/>
      <c r="E1010" s="192"/>
      <c r="F1010" s="206"/>
      <c r="G1010"/>
      <c r="H1010"/>
      <c r="O1010" s="192"/>
      <c r="P1010" s="192"/>
      <c r="Q1010" s="206"/>
      <c r="AB1010" s="206"/>
      <c r="AC1010" s="206"/>
      <c r="AE1010"/>
    </row>
    <row r="1011" spans="1:31" x14ac:dyDescent="0.2">
      <c r="A1011" s="220"/>
      <c r="B1011" s="220"/>
      <c r="C1011" s="206"/>
      <c r="D1011" s="206"/>
      <c r="E1011" s="192"/>
      <c r="F1011" s="206"/>
      <c r="G1011" s="206"/>
      <c r="H1011"/>
      <c r="O1011" s="192"/>
      <c r="P1011" s="192"/>
      <c r="Q1011" s="206"/>
      <c r="AB1011" s="206"/>
      <c r="AC1011" s="206"/>
      <c r="AE1011"/>
    </row>
    <row r="1012" spans="1:31" x14ac:dyDescent="0.2">
      <c r="A1012" s="220"/>
      <c r="B1012" s="220"/>
      <c r="C1012" s="206"/>
      <c r="D1012" s="206"/>
      <c r="E1012" s="192"/>
      <c r="F1012" s="206"/>
      <c r="G1012" s="206"/>
      <c r="H1012" s="206"/>
      <c r="O1012" s="192"/>
      <c r="P1012" s="192"/>
      <c r="Q1012" s="206"/>
      <c r="AB1012" s="206"/>
      <c r="AC1012" s="206"/>
      <c r="AE1012"/>
    </row>
    <row r="1013" spans="1:31" x14ac:dyDescent="0.2">
      <c r="A1013" s="220"/>
      <c r="B1013" s="220"/>
      <c r="C1013" s="206"/>
      <c r="D1013" s="206"/>
      <c r="E1013" s="192"/>
      <c r="F1013" s="206"/>
      <c r="G1013" s="206"/>
      <c r="H1013"/>
      <c r="O1013" s="192"/>
      <c r="P1013" s="192"/>
      <c r="Q1013" s="206"/>
      <c r="AB1013" s="206"/>
      <c r="AC1013" s="206"/>
      <c r="AE1013"/>
    </row>
    <row r="1014" spans="1:31" x14ac:dyDescent="0.2">
      <c r="A1014" s="220"/>
      <c r="B1014" s="220"/>
      <c r="C1014" s="206"/>
      <c r="D1014" s="206"/>
      <c r="E1014" s="192"/>
      <c r="F1014" s="206"/>
      <c r="G1014" s="206"/>
      <c r="H1014"/>
      <c r="O1014" s="192"/>
      <c r="P1014" s="192"/>
      <c r="Q1014" s="206"/>
      <c r="AB1014" s="206"/>
      <c r="AC1014" s="206"/>
      <c r="AE1014"/>
    </row>
    <row r="1015" spans="1:31" x14ac:dyDescent="0.2">
      <c r="A1015" s="220"/>
      <c r="B1015" s="220"/>
      <c r="C1015" s="206"/>
      <c r="D1015" s="206"/>
      <c r="E1015" s="192"/>
      <c r="F1015" s="206"/>
      <c r="G1015"/>
      <c r="H1015"/>
      <c r="O1015" s="192"/>
      <c r="P1015" s="192"/>
      <c r="Q1015" s="206"/>
      <c r="AB1015" s="206"/>
      <c r="AC1015" s="206"/>
      <c r="AE1015"/>
    </row>
    <row r="1016" spans="1:31" x14ac:dyDescent="0.2">
      <c r="A1016" s="220"/>
      <c r="B1016" s="220"/>
      <c r="C1016" s="206"/>
      <c r="D1016" s="206"/>
      <c r="E1016" s="192"/>
      <c r="F1016" s="206"/>
      <c r="G1016"/>
      <c r="H1016"/>
      <c r="O1016" s="192"/>
      <c r="P1016" s="192"/>
      <c r="Q1016" s="206"/>
      <c r="AB1016" s="206"/>
      <c r="AC1016" s="206"/>
      <c r="AE1016"/>
    </row>
    <row r="1017" spans="1:31" x14ac:dyDescent="0.2">
      <c r="A1017" s="220"/>
      <c r="B1017" s="220"/>
      <c r="C1017" s="206"/>
      <c r="D1017" s="206"/>
      <c r="E1017" s="192"/>
      <c r="F1017" s="206"/>
      <c r="G1017" s="206"/>
      <c r="H1017"/>
      <c r="O1017" s="192"/>
      <c r="P1017" s="192"/>
      <c r="Q1017" s="206"/>
      <c r="AB1017" s="206"/>
      <c r="AC1017" s="206"/>
      <c r="AE1017"/>
    </row>
    <row r="1018" spans="1:31" x14ac:dyDescent="0.2">
      <c r="A1018" s="220"/>
      <c r="B1018" s="220"/>
      <c r="C1018" s="206"/>
      <c r="D1018" s="206"/>
      <c r="E1018" s="192"/>
      <c r="F1018" s="206"/>
      <c r="G1018" s="206"/>
      <c r="H1018"/>
      <c r="O1018" s="192"/>
      <c r="P1018" s="192"/>
      <c r="Q1018" s="206"/>
      <c r="AB1018" s="206"/>
      <c r="AC1018" s="206"/>
      <c r="AE1018"/>
    </row>
    <row r="1019" spans="1:31" x14ac:dyDescent="0.2">
      <c r="A1019" s="220"/>
      <c r="B1019" s="220"/>
      <c r="C1019" s="206"/>
      <c r="D1019" s="206"/>
      <c r="E1019" s="192"/>
      <c r="F1019" s="206"/>
      <c r="G1019" s="206"/>
      <c r="H1019" s="206"/>
      <c r="O1019" s="192"/>
      <c r="P1019" s="192"/>
      <c r="Q1019" s="206"/>
      <c r="AB1019" s="206"/>
      <c r="AC1019" s="206"/>
      <c r="AE1019"/>
    </row>
    <row r="1020" spans="1:31" x14ac:dyDescent="0.2">
      <c r="A1020" s="220"/>
      <c r="B1020" s="220"/>
      <c r="C1020" s="206"/>
      <c r="D1020" s="206"/>
      <c r="E1020" s="192"/>
      <c r="F1020" s="206"/>
      <c r="G1020" s="206"/>
      <c r="H1020"/>
      <c r="O1020" s="192"/>
      <c r="P1020" s="192"/>
      <c r="Q1020" s="206"/>
      <c r="AB1020" s="206"/>
      <c r="AC1020" s="206"/>
      <c r="AE1020"/>
    </row>
    <row r="1021" spans="1:31" x14ac:dyDescent="0.2">
      <c r="A1021" s="220"/>
      <c r="B1021" s="220"/>
      <c r="C1021" s="206"/>
      <c r="D1021" s="206"/>
      <c r="E1021" s="192"/>
      <c r="F1021" s="206"/>
      <c r="G1021" s="206"/>
      <c r="H1021"/>
      <c r="O1021" s="192"/>
      <c r="P1021" s="192"/>
      <c r="Q1021" s="206"/>
      <c r="AB1021" s="206"/>
      <c r="AC1021" s="206"/>
      <c r="AE1021"/>
    </row>
    <row r="1022" spans="1:31" x14ac:dyDescent="0.2">
      <c r="A1022" s="220"/>
      <c r="B1022" s="220"/>
      <c r="C1022" s="206"/>
      <c r="D1022" s="206"/>
      <c r="E1022" s="192"/>
      <c r="F1022" s="206"/>
      <c r="G1022"/>
      <c r="H1022"/>
      <c r="O1022" s="192"/>
      <c r="P1022" s="192"/>
      <c r="Q1022" s="206"/>
      <c r="AB1022" s="206"/>
      <c r="AC1022" s="206"/>
      <c r="AE1022"/>
    </row>
    <row r="1023" spans="1:31" x14ac:dyDescent="0.2">
      <c r="A1023" s="220"/>
      <c r="B1023" s="220"/>
      <c r="C1023" s="206"/>
      <c r="D1023" s="206"/>
      <c r="E1023" s="192"/>
      <c r="F1023" s="206"/>
      <c r="G1023" s="206"/>
      <c r="H1023"/>
      <c r="O1023" s="192"/>
      <c r="P1023" s="192"/>
      <c r="Q1023" s="206"/>
      <c r="AB1023" s="206"/>
      <c r="AC1023" s="206"/>
      <c r="AE1023"/>
    </row>
    <row r="1024" spans="1:31" x14ac:dyDescent="0.2">
      <c r="A1024" s="220"/>
      <c r="B1024" s="220"/>
      <c r="C1024" s="206"/>
      <c r="D1024" s="206"/>
      <c r="E1024" s="192"/>
      <c r="F1024" s="206"/>
      <c r="G1024" s="206"/>
      <c r="H1024"/>
      <c r="O1024" s="192"/>
      <c r="P1024" s="192"/>
      <c r="Q1024" s="206"/>
      <c r="AB1024" s="206"/>
      <c r="AC1024" s="206"/>
      <c r="AE1024"/>
    </row>
    <row r="1025" spans="1:31" x14ac:dyDescent="0.2">
      <c r="A1025" s="220"/>
      <c r="B1025" s="220"/>
      <c r="C1025" s="206"/>
      <c r="D1025" s="206"/>
      <c r="E1025" s="192"/>
      <c r="F1025" s="206"/>
      <c r="G1025" s="206"/>
      <c r="H1025"/>
      <c r="O1025" s="192"/>
      <c r="P1025" s="192"/>
      <c r="Q1025" s="206"/>
      <c r="AB1025" s="206"/>
      <c r="AC1025" s="206"/>
      <c r="AE1025"/>
    </row>
    <row r="1026" spans="1:31" x14ac:dyDescent="0.2">
      <c r="A1026" s="220"/>
      <c r="B1026" s="220"/>
      <c r="C1026" s="206"/>
      <c r="D1026" s="206"/>
      <c r="E1026" s="192"/>
      <c r="F1026" s="206"/>
      <c r="G1026" s="206"/>
      <c r="H1026" s="206"/>
      <c r="O1026" s="192"/>
      <c r="P1026" s="192"/>
      <c r="Q1026" s="206"/>
      <c r="AB1026" s="206"/>
      <c r="AC1026" s="206"/>
      <c r="AE1026"/>
    </row>
    <row r="1027" spans="1:31" x14ac:dyDescent="0.2">
      <c r="A1027" s="220"/>
      <c r="B1027" s="220"/>
      <c r="C1027" s="206"/>
      <c r="D1027" s="206"/>
      <c r="E1027" s="192"/>
      <c r="F1027" s="206"/>
      <c r="G1027" s="206"/>
      <c r="H1027"/>
      <c r="O1027" s="192"/>
      <c r="P1027" s="192"/>
      <c r="Q1027" s="206"/>
      <c r="AB1027" s="206"/>
      <c r="AC1027" s="206"/>
      <c r="AE1027"/>
    </row>
    <row r="1028" spans="1:31" x14ac:dyDescent="0.2">
      <c r="A1028" s="220"/>
      <c r="B1028" s="220"/>
      <c r="C1028" s="206"/>
      <c r="D1028" s="206"/>
      <c r="E1028" s="192"/>
      <c r="F1028" s="206"/>
      <c r="G1028" s="206"/>
      <c r="H1028"/>
      <c r="O1028" s="192"/>
      <c r="P1028" s="192"/>
      <c r="Q1028" s="206"/>
      <c r="AB1028" s="206"/>
      <c r="AC1028" s="206"/>
      <c r="AE1028"/>
    </row>
    <row r="1029" spans="1:31" x14ac:dyDescent="0.2">
      <c r="A1029" s="220"/>
      <c r="B1029" s="220"/>
      <c r="C1029" s="206"/>
      <c r="D1029" s="206"/>
      <c r="E1029" s="192"/>
      <c r="F1029" s="206"/>
      <c r="G1029" s="206"/>
      <c r="H1029"/>
      <c r="O1029" s="192"/>
      <c r="P1029" s="192"/>
      <c r="Q1029" s="206"/>
      <c r="AB1029" s="206"/>
      <c r="AC1029" s="206"/>
      <c r="AE1029"/>
    </row>
    <row r="1030" spans="1:31" x14ac:dyDescent="0.2">
      <c r="A1030" s="220"/>
      <c r="B1030" s="220"/>
      <c r="C1030" s="206"/>
      <c r="D1030" s="206"/>
      <c r="E1030" s="192"/>
      <c r="F1030" s="206"/>
      <c r="G1030"/>
      <c r="H1030"/>
      <c r="O1030" s="192"/>
      <c r="P1030" s="192"/>
      <c r="Q1030" s="206"/>
      <c r="AB1030" s="206"/>
      <c r="AC1030" s="206"/>
      <c r="AE1030"/>
    </row>
    <row r="1031" spans="1:31" x14ac:dyDescent="0.2">
      <c r="A1031" s="220"/>
      <c r="B1031" s="220"/>
      <c r="C1031" s="206"/>
      <c r="D1031" s="206"/>
      <c r="E1031" s="192"/>
      <c r="F1031" s="206"/>
      <c r="G1031" s="206"/>
      <c r="H1031"/>
      <c r="O1031" s="192"/>
      <c r="P1031" s="192"/>
      <c r="Q1031" s="206"/>
      <c r="AB1031" s="206"/>
      <c r="AC1031" s="206"/>
      <c r="AE1031"/>
    </row>
    <row r="1032" spans="1:31" x14ac:dyDescent="0.2">
      <c r="A1032" s="220"/>
      <c r="B1032" s="220"/>
      <c r="C1032" s="206"/>
      <c r="D1032" s="206"/>
      <c r="E1032" s="192"/>
      <c r="F1032" s="206"/>
      <c r="G1032" s="206"/>
      <c r="H1032"/>
      <c r="O1032" s="192"/>
      <c r="P1032" s="192"/>
      <c r="Q1032" s="206"/>
      <c r="AB1032" s="206"/>
      <c r="AC1032" s="206"/>
      <c r="AE1032"/>
    </row>
    <row r="1033" spans="1:31" x14ac:dyDescent="0.2">
      <c r="A1033" s="220"/>
      <c r="B1033" s="220"/>
      <c r="C1033" s="206"/>
      <c r="D1033" s="206"/>
      <c r="E1033" s="192"/>
      <c r="F1033" s="206"/>
      <c r="G1033" s="206"/>
      <c r="H1033"/>
      <c r="O1033" s="192"/>
      <c r="P1033" s="192"/>
      <c r="Q1033" s="206"/>
      <c r="AB1033" s="206"/>
      <c r="AC1033" s="206"/>
      <c r="AE1033"/>
    </row>
    <row r="1034" spans="1:31" x14ac:dyDescent="0.2">
      <c r="A1034" s="220"/>
      <c r="B1034" s="220"/>
      <c r="C1034" s="206"/>
      <c r="D1034" s="206"/>
      <c r="E1034" s="192"/>
      <c r="F1034" s="206"/>
      <c r="G1034" s="206"/>
      <c r="H1034"/>
      <c r="O1034" s="192"/>
      <c r="P1034" s="192"/>
      <c r="Q1034" s="206"/>
      <c r="AB1034" s="206"/>
      <c r="AC1034" s="206"/>
      <c r="AE1034"/>
    </row>
    <row r="1035" spans="1:31" x14ac:dyDescent="0.2">
      <c r="A1035" s="220"/>
      <c r="B1035" s="220"/>
      <c r="C1035" s="206"/>
      <c r="D1035" s="206"/>
      <c r="E1035" s="192"/>
      <c r="F1035" s="206"/>
      <c r="G1035" s="206"/>
      <c r="H1035"/>
      <c r="O1035" s="192"/>
      <c r="P1035" s="192"/>
      <c r="Q1035" s="206"/>
      <c r="AB1035" s="206"/>
      <c r="AC1035" s="206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topLeftCell="A52" zoomScale="90" zoomScaleNormal="90" workbookViewId="0">
      <selection activeCell="G70" sqref="G70"/>
    </sheetView>
  </sheetViews>
  <sheetFormatPr defaultColWidth="8.85546875" defaultRowHeight="12.75" x14ac:dyDescent="0.2"/>
  <cols>
    <col min="1" max="1" width="8.42578125" style="56" customWidth="1"/>
    <col min="2" max="2" width="9.85546875" style="56" customWidth="1"/>
    <col min="3" max="3" width="12.85546875" style="56" customWidth="1"/>
    <col min="4" max="4" width="12.42578125" style="56" customWidth="1"/>
    <col min="5" max="5" width="13.140625" style="56" customWidth="1"/>
    <col min="6" max="6" width="8.85546875" style="56"/>
    <col min="7" max="7" width="12.5703125" style="56" bestFit="1" customWidth="1"/>
    <col min="8" max="8" width="8.85546875" style="56"/>
    <col min="9" max="9" width="17.5703125" style="56" customWidth="1"/>
    <col min="10" max="10" width="15.42578125" style="56" customWidth="1"/>
    <col min="11" max="11" width="14.85546875" style="56" customWidth="1"/>
    <col min="12" max="12" width="15.42578125" style="56" customWidth="1"/>
    <col min="13" max="13" width="15.5703125" style="56" customWidth="1"/>
    <col min="14" max="14" width="8.85546875" style="56"/>
    <col min="15" max="15" width="13" style="56" customWidth="1"/>
    <col min="16" max="17" width="8.85546875" style="56"/>
    <col min="18" max="18" width="11.85546875" style="56" customWidth="1"/>
    <col min="19" max="16384" width="8.85546875" style="56"/>
  </cols>
  <sheetData>
    <row r="1" spans="2:13" ht="22.5" x14ac:dyDescent="0.3">
      <c r="B1" s="62" t="s">
        <v>89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3" spans="2:13" ht="19.5" x14ac:dyDescent="0.2">
      <c r="B3" s="57" t="s">
        <v>1017</v>
      </c>
    </row>
    <row r="5" spans="2:13" ht="14.25" x14ac:dyDescent="0.2">
      <c r="B5" s="379" t="s">
        <v>1018</v>
      </c>
      <c r="C5" s="380"/>
      <c r="D5" s="380"/>
      <c r="E5" s="381"/>
    </row>
    <row r="6" spans="2:13" ht="14.25" customHeight="1" x14ac:dyDescent="0.2">
      <c r="B6" s="403"/>
      <c r="C6" s="404"/>
      <c r="D6" s="404"/>
      <c r="E6" s="405"/>
    </row>
    <row r="7" spans="2:13" ht="14.25" x14ac:dyDescent="0.2">
      <c r="B7" s="382" t="s">
        <v>1019</v>
      </c>
      <c r="C7" s="383"/>
      <c r="D7" s="384"/>
      <c r="E7" s="384"/>
    </row>
    <row r="8" spans="2:13" ht="14.25" customHeight="1" x14ac:dyDescent="0.2">
      <c r="B8" s="403"/>
      <c r="C8" s="404"/>
      <c r="D8" s="404"/>
      <c r="E8" s="405"/>
    </row>
    <row r="9" spans="2:13" ht="14.25" x14ac:dyDescent="0.2">
      <c r="B9" s="379" t="s">
        <v>1020</v>
      </c>
      <c r="C9" s="380"/>
      <c r="D9" s="380"/>
      <c r="E9" s="381"/>
    </row>
    <row r="10" spans="2:13" ht="14.25" customHeight="1" x14ac:dyDescent="0.2">
      <c r="B10" s="403"/>
      <c r="C10" s="404"/>
      <c r="D10" s="404"/>
      <c r="E10" s="405"/>
    </row>
    <row r="11" spans="2:13" ht="14.25" x14ac:dyDescent="0.2">
      <c r="B11" s="385" t="s">
        <v>1021</v>
      </c>
      <c r="C11" s="384"/>
      <c r="D11" s="384"/>
      <c r="E11" s="386"/>
    </row>
    <row r="12" spans="2:13" ht="15" customHeight="1" x14ac:dyDescent="0.2">
      <c r="B12" s="403"/>
      <c r="C12" s="404"/>
      <c r="D12" s="405"/>
      <c r="E12" s="387"/>
    </row>
    <row r="13" spans="2:13" ht="14.25" x14ac:dyDescent="0.2">
      <c r="B13" s="385" t="s">
        <v>1022</v>
      </c>
      <c r="C13" s="384"/>
      <c r="D13" s="384"/>
      <c r="E13" s="48"/>
    </row>
    <row r="14" spans="2:13" ht="14.25" x14ac:dyDescent="0.2">
      <c r="B14" s="406"/>
      <c r="C14" s="404"/>
      <c r="D14" s="405"/>
      <c r="E14" s="48"/>
    </row>
    <row r="16" spans="2:13" x14ac:dyDescent="0.2">
      <c r="B16" s="64"/>
      <c r="C16" s="153"/>
      <c r="D16" s="154"/>
      <c r="E16" s="154"/>
      <c r="G16" s="64"/>
    </row>
    <row r="17" spans="2:19" ht="15" x14ac:dyDescent="0.2">
      <c r="B17" s="64"/>
      <c r="C17" s="153"/>
      <c r="D17" s="154"/>
      <c r="E17" s="154"/>
      <c r="G17" s="64"/>
      <c r="J17" s="46"/>
      <c r="K17" s="46"/>
      <c r="L17" s="46"/>
      <c r="M17" s="46"/>
      <c r="N17" s="4"/>
      <c r="O17" s="4"/>
      <c r="P17" s="4"/>
      <c r="Q17" s="4"/>
      <c r="R17" s="4"/>
      <c r="S17" s="55"/>
    </row>
    <row r="18" spans="2:19" ht="15" x14ac:dyDescent="0.2">
      <c r="B18" s="46" t="s">
        <v>1023</v>
      </c>
      <c r="C18" s="46"/>
      <c r="D18" s="46"/>
      <c r="E18" s="46"/>
      <c r="F18" s="45"/>
      <c r="I18" s="46" t="s">
        <v>1032</v>
      </c>
      <c r="K18" s="46"/>
      <c r="L18" s="46"/>
      <c r="M18" s="46"/>
      <c r="N18" s="3"/>
      <c r="O18" s="4"/>
      <c r="P18" s="4"/>
      <c r="Q18" s="4"/>
      <c r="R18" s="4"/>
      <c r="S18" s="55"/>
    </row>
    <row r="19" spans="2:19" ht="18.75" customHeight="1" x14ac:dyDescent="0.2">
      <c r="K19" s="47"/>
      <c r="L19" s="47"/>
      <c r="M19" s="47"/>
      <c r="N19" s="4"/>
      <c r="O19" s="4"/>
      <c r="P19" s="4"/>
      <c r="Q19" s="4"/>
      <c r="R19" s="4"/>
      <c r="S19" s="55"/>
    </row>
    <row r="20" spans="2:19" ht="15" x14ac:dyDescent="0.2">
      <c r="B20" s="283" t="s">
        <v>1024</v>
      </c>
      <c r="I20" s="282" t="s">
        <v>1033</v>
      </c>
      <c r="J20" s="136"/>
      <c r="K20" s="135"/>
      <c r="L20" s="134"/>
      <c r="M20" s="47"/>
      <c r="N20" s="2"/>
      <c r="O20" s="2"/>
      <c r="P20" s="2"/>
      <c r="Q20" s="2"/>
      <c r="R20" s="2"/>
      <c r="S20" s="48"/>
    </row>
    <row r="21" spans="2:19" ht="17.25" customHeight="1" x14ac:dyDescent="0.2">
      <c r="B21" s="64" t="s">
        <v>1025</v>
      </c>
      <c r="C21" s="153"/>
      <c r="D21" s="154"/>
      <c r="E21" s="154"/>
      <c r="F21" s="267"/>
      <c r="G21" s="64" t="s">
        <v>49</v>
      </c>
      <c r="I21" s="131"/>
      <c r="J21" s="101"/>
      <c r="K21" s="395" t="s">
        <v>1034</v>
      </c>
      <c r="L21" s="397" t="s">
        <v>1035</v>
      </c>
      <c r="M21" s="5"/>
      <c r="R21" s="2"/>
      <c r="S21" s="48"/>
    </row>
    <row r="22" spans="2:19" ht="17.25" customHeight="1" x14ac:dyDescent="0.2">
      <c r="B22" s="64" t="s">
        <v>1026</v>
      </c>
      <c r="C22" s="153"/>
      <c r="D22" s="154"/>
      <c r="E22" s="154"/>
      <c r="F22" s="267"/>
      <c r="G22" s="64" t="s">
        <v>49</v>
      </c>
      <c r="I22" s="133"/>
      <c r="J22" s="132"/>
      <c r="K22" s="396"/>
      <c r="L22" s="398"/>
      <c r="S22" s="60"/>
    </row>
    <row r="23" spans="2:19" x14ac:dyDescent="0.2">
      <c r="B23" s="64" t="s">
        <v>1027</v>
      </c>
      <c r="C23" s="153"/>
      <c r="D23" s="154"/>
      <c r="E23" s="154"/>
      <c r="F23" s="49"/>
      <c r="G23" s="64" t="s">
        <v>113</v>
      </c>
      <c r="I23" s="131"/>
      <c r="J23" s="101"/>
      <c r="K23" s="101"/>
      <c r="L23" s="130"/>
      <c r="S23" s="60"/>
    </row>
    <row r="24" spans="2:19" x14ac:dyDescent="0.2">
      <c r="B24" s="56" t="s">
        <v>1028</v>
      </c>
      <c r="F24" s="168">
        <f>IFERROR(INT(F21/F23),0)</f>
        <v>0</v>
      </c>
      <c r="G24" s="266" t="s">
        <v>112</v>
      </c>
      <c r="I24" s="126" t="s">
        <v>52</v>
      </c>
      <c r="J24" s="129" t="s">
        <v>48</v>
      </c>
      <c r="K24" s="166">
        <f>F40*F23*F43</f>
        <v>0</v>
      </c>
      <c r="L24" s="128">
        <f>F40*F23*F43*F41*F42/86400</f>
        <v>0</v>
      </c>
      <c r="S24" s="60"/>
    </row>
    <row r="25" spans="2:19" x14ac:dyDescent="0.2">
      <c r="B25" s="56" t="s">
        <v>1029</v>
      </c>
      <c r="C25" s="153"/>
      <c r="D25" s="154"/>
      <c r="E25" s="154"/>
      <c r="F25" s="168">
        <f>IFERROR(INT(F22/F23),0)</f>
        <v>0</v>
      </c>
      <c r="G25" s="266" t="s">
        <v>112</v>
      </c>
      <c r="I25" s="127"/>
      <c r="J25" s="95"/>
      <c r="K25" s="48"/>
      <c r="L25" s="96"/>
      <c r="S25" s="60"/>
    </row>
    <row r="26" spans="2:19" x14ac:dyDescent="0.2">
      <c r="B26" s="56" t="s">
        <v>1030</v>
      </c>
      <c r="F26" s="267"/>
      <c r="G26" s="266" t="s">
        <v>112</v>
      </c>
      <c r="I26" s="222" t="str">
        <f>IFERROR(INT(J26)&amp;" Qe =",0)</f>
        <v>0 Qe =</v>
      </c>
      <c r="J26" s="125">
        <f>IFERROR(L26/L24,0)</f>
        <v>0</v>
      </c>
      <c r="K26" s="101"/>
      <c r="L26" s="124">
        <f>IF(L24=0,0,10)</f>
        <v>0</v>
      </c>
      <c r="S26" s="60"/>
    </row>
    <row r="27" spans="2:19" x14ac:dyDescent="0.2">
      <c r="B27" s="56" t="s">
        <v>1031</v>
      </c>
      <c r="F27" s="267"/>
      <c r="G27" s="266" t="s">
        <v>112</v>
      </c>
      <c r="I27" s="123"/>
      <c r="J27" s="120"/>
      <c r="K27" s="120"/>
      <c r="L27" s="122"/>
      <c r="S27" s="60"/>
    </row>
    <row r="28" spans="2:19" ht="12.6" customHeight="1" x14ac:dyDescent="0.2">
      <c r="I28" s="121"/>
      <c r="J28" s="120"/>
      <c r="K28" s="120"/>
      <c r="L28" s="119"/>
      <c r="S28" s="60"/>
    </row>
    <row r="29" spans="2:19" x14ac:dyDescent="0.2">
      <c r="B29" s="283" t="s">
        <v>1043</v>
      </c>
      <c r="I29" s="389" t="s">
        <v>1036</v>
      </c>
      <c r="J29" s="390"/>
      <c r="K29" s="390"/>
      <c r="L29" s="391"/>
      <c r="S29" s="60"/>
    </row>
    <row r="30" spans="2:19" ht="12.75" customHeight="1" x14ac:dyDescent="0.2">
      <c r="B30" s="68" t="s">
        <v>1044</v>
      </c>
      <c r="C30" s="153"/>
      <c r="D30" s="154"/>
      <c r="E30" s="154"/>
      <c r="F30" s="177">
        <f>RedBasica!$K$11</f>
        <v>0</v>
      </c>
      <c r="G30" s="56" t="s">
        <v>112</v>
      </c>
      <c r="I30" s="392"/>
      <c r="J30" s="393"/>
      <c r="K30" s="393"/>
      <c r="L30" s="394"/>
      <c r="S30" s="60"/>
    </row>
    <row r="31" spans="2:19" x14ac:dyDescent="0.2">
      <c r="B31" s="68" t="s">
        <v>1045</v>
      </c>
      <c r="C31" s="153"/>
      <c r="D31" s="154"/>
      <c r="E31" s="154"/>
      <c r="F31" s="177">
        <f>RedBasica!$L$11</f>
        <v>0</v>
      </c>
      <c r="G31" s="266" t="s">
        <v>112</v>
      </c>
      <c r="S31" s="60"/>
    </row>
    <row r="32" spans="2:19" x14ac:dyDescent="0.2">
      <c r="B32" s="64" t="s">
        <v>1046</v>
      </c>
      <c r="C32" s="154"/>
      <c r="D32" s="154"/>
      <c r="E32" s="165" t="s">
        <v>50</v>
      </c>
      <c r="F32" s="176">
        <f>L24</f>
        <v>0</v>
      </c>
      <c r="G32" s="153" t="s">
        <v>5</v>
      </c>
      <c r="M32" s="2"/>
      <c r="N32" s="2"/>
      <c r="O32" s="2"/>
      <c r="P32" s="2"/>
      <c r="Q32" s="2"/>
      <c r="R32" s="2"/>
      <c r="S32" s="48"/>
    </row>
    <row r="33" spans="2:19" ht="15" x14ac:dyDescent="0.2">
      <c r="B33" s="64" t="s">
        <v>1046</v>
      </c>
      <c r="C33" s="154"/>
      <c r="D33" s="154"/>
      <c r="E33" s="165" t="s">
        <v>51</v>
      </c>
      <c r="F33" s="177">
        <f>K24</f>
        <v>0</v>
      </c>
      <c r="G33" s="153" t="s">
        <v>46</v>
      </c>
      <c r="I33" s="282" t="s">
        <v>1037</v>
      </c>
      <c r="J33" s="136"/>
      <c r="K33" s="135"/>
      <c r="L33" s="134"/>
      <c r="M33" s="2"/>
      <c r="N33" s="2"/>
      <c r="O33" s="2"/>
      <c r="P33" s="2"/>
      <c r="Q33" s="2"/>
      <c r="R33" s="2"/>
      <c r="S33" s="48"/>
    </row>
    <row r="34" spans="2:19" ht="17.25" customHeight="1" x14ac:dyDescent="0.2">
      <c r="B34" s="283" t="s">
        <v>1047</v>
      </c>
      <c r="I34" s="131"/>
      <c r="J34" s="399" t="s">
        <v>1038</v>
      </c>
      <c r="K34" s="399" t="s">
        <v>1039</v>
      </c>
      <c r="L34" s="401" t="s">
        <v>1040</v>
      </c>
      <c r="M34" s="2"/>
      <c r="N34" s="2"/>
      <c r="O34" s="2"/>
      <c r="P34" s="2"/>
      <c r="Q34" s="2"/>
      <c r="R34" s="2"/>
      <c r="S34" s="48"/>
    </row>
    <row r="35" spans="2:19" ht="15" customHeight="1" x14ac:dyDescent="0.2">
      <c r="B35" s="141" t="s">
        <v>1048</v>
      </c>
      <c r="C35" s="153"/>
      <c r="D35" s="154"/>
      <c r="E35" s="154"/>
      <c r="F35" s="118" t="s">
        <v>111</v>
      </c>
      <c r="G35" s="140" t="s">
        <v>33</v>
      </c>
      <c r="I35" s="131"/>
      <c r="J35" s="399"/>
      <c r="K35" s="399"/>
      <c r="L35" s="401"/>
      <c r="M35" s="2"/>
      <c r="N35" s="2"/>
      <c r="O35" s="2"/>
      <c r="P35" s="2"/>
      <c r="Q35" s="2"/>
      <c r="R35" s="2"/>
      <c r="S35" s="48"/>
    </row>
    <row r="36" spans="2:19" ht="15" customHeight="1" x14ac:dyDescent="0.2">
      <c r="B36" s="141" t="s">
        <v>1049</v>
      </c>
      <c r="C36" s="153"/>
      <c r="D36" s="154"/>
      <c r="E36" s="154"/>
      <c r="F36" s="175">
        <f>IFERROR(IF(F35="Si",L40,0),0)</f>
        <v>0</v>
      </c>
      <c r="G36" s="153" t="s">
        <v>14</v>
      </c>
      <c r="I36" s="131"/>
      <c r="J36" s="400"/>
      <c r="K36" s="400"/>
      <c r="L36" s="402"/>
      <c r="M36" s="2"/>
      <c r="N36" s="2"/>
      <c r="O36" s="2"/>
      <c r="P36" s="2"/>
      <c r="Q36" s="2"/>
      <c r="R36" s="2"/>
      <c r="S36" s="48"/>
    </row>
    <row r="37" spans="2:19" x14ac:dyDescent="0.2">
      <c r="B37" s="141" t="s">
        <v>1050</v>
      </c>
      <c r="C37" s="153"/>
      <c r="D37" s="154"/>
      <c r="E37" s="154"/>
      <c r="F37" s="175">
        <f>IFERROR(IF(F35="Si",L38,0),0)</f>
        <v>0</v>
      </c>
      <c r="G37" s="153" t="s">
        <v>14</v>
      </c>
      <c r="I37" s="131"/>
      <c r="J37" s="101"/>
      <c r="L37" s="130"/>
    </row>
    <row r="38" spans="2:19" ht="12.6" customHeight="1" x14ac:dyDescent="0.2">
      <c r="I38" s="137" t="s">
        <v>1041</v>
      </c>
      <c r="J38" s="164">
        <f>F22</f>
        <v>0</v>
      </c>
      <c r="K38" s="164">
        <f>RedBasica!F11</f>
        <v>0</v>
      </c>
      <c r="L38" s="138">
        <f>IF(RedBasica!$F$11=0,0,(F22*$F$40*$F$43/86400)/RedBasica!$F$11*1000)</f>
        <v>0</v>
      </c>
    </row>
    <row r="39" spans="2:19" x14ac:dyDescent="0.2">
      <c r="B39" s="283" t="s">
        <v>1051</v>
      </c>
      <c r="I39" s="131"/>
      <c r="J39" s="101"/>
      <c r="K39" s="101"/>
      <c r="L39" s="130"/>
    </row>
    <row r="40" spans="2:19" ht="12.75" customHeight="1" x14ac:dyDescent="0.2">
      <c r="B40" s="141" t="s">
        <v>1052</v>
      </c>
      <c r="C40" s="153"/>
      <c r="D40" s="154"/>
      <c r="E40" s="154"/>
      <c r="F40" s="269">
        <v>150</v>
      </c>
      <c r="G40" s="153" t="s">
        <v>13</v>
      </c>
      <c r="I40" s="137" t="s">
        <v>1042</v>
      </c>
      <c r="J40" s="164">
        <f>F21</f>
        <v>0</v>
      </c>
      <c r="K40" s="164">
        <f>RedBasica!F11</f>
        <v>0</v>
      </c>
      <c r="L40" s="138">
        <f>IF(RedBasica!$F$11=0,0,(F21*$F$40*$F$43/86400)/RedBasica!$F$11*1000)</f>
        <v>0</v>
      </c>
    </row>
    <row r="41" spans="2:19" x14ac:dyDescent="0.2">
      <c r="B41" s="64" t="s">
        <v>11</v>
      </c>
      <c r="C41" s="153"/>
      <c r="D41" s="154"/>
      <c r="E41" s="154"/>
      <c r="F41" s="49">
        <v>1.2</v>
      </c>
      <c r="G41" s="155"/>
      <c r="I41" s="146"/>
      <c r="J41" s="147"/>
      <c r="K41" s="147"/>
      <c r="L41" s="148"/>
    </row>
    <row r="42" spans="2:19" x14ac:dyDescent="0.2">
      <c r="B42" s="64" t="s">
        <v>12</v>
      </c>
      <c r="C42" s="153"/>
      <c r="D42" s="154"/>
      <c r="E42" s="154"/>
      <c r="F42" s="49">
        <v>1.5</v>
      </c>
      <c r="G42" s="155"/>
    </row>
    <row r="43" spans="2:19" x14ac:dyDescent="0.2">
      <c r="B43" s="153" t="s">
        <v>3</v>
      </c>
      <c r="C43" s="153"/>
      <c r="D43" s="154"/>
      <c r="E43" s="154"/>
      <c r="F43" s="49">
        <v>0.8</v>
      </c>
      <c r="G43" s="153"/>
    </row>
    <row r="44" spans="2:19" x14ac:dyDescent="0.2">
      <c r="B44" s="64" t="s">
        <v>122</v>
      </c>
      <c r="C44" s="153"/>
      <c r="D44" s="154"/>
      <c r="E44" s="154"/>
      <c r="F44" s="268">
        <v>0.01</v>
      </c>
      <c r="G44" s="153" t="s">
        <v>14</v>
      </c>
      <c r="J44" s="47"/>
    </row>
    <row r="45" spans="2:19" ht="12.6" customHeight="1" x14ac:dyDescent="0.2">
      <c r="B45" s="141" t="s">
        <v>123</v>
      </c>
      <c r="C45" s="141"/>
      <c r="D45" s="154"/>
      <c r="E45" s="154"/>
      <c r="F45" s="49">
        <v>1</v>
      </c>
      <c r="G45" s="153" t="s">
        <v>0</v>
      </c>
    </row>
    <row r="46" spans="2:19" x14ac:dyDescent="0.2">
      <c r="B46" s="64" t="s">
        <v>124</v>
      </c>
      <c r="C46" s="153"/>
      <c r="D46" s="154"/>
      <c r="E46" s="154"/>
      <c r="F46" s="49">
        <v>1.5</v>
      </c>
      <c r="G46" s="153" t="s">
        <v>5</v>
      </c>
    </row>
    <row r="47" spans="2:19" x14ac:dyDescent="0.2">
      <c r="B47" s="64" t="s">
        <v>125</v>
      </c>
      <c r="C47" s="153"/>
      <c r="D47" s="154"/>
      <c r="E47" s="154"/>
      <c r="F47" s="169">
        <v>0.5</v>
      </c>
      <c r="G47" s="153" t="s">
        <v>4</v>
      </c>
    </row>
    <row r="48" spans="2:19" x14ac:dyDescent="0.2">
      <c r="B48" s="64" t="s">
        <v>126</v>
      </c>
      <c r="C48" s="153"/>
      <c r="D48" s="154"/>
      <c r="E48" s="154"/>
      <c r="F48" s="178">
        <v>0.75</v>
      </c>
      <c r="G48" s="153" t="s">
        <v>4</v>
      </c>
      <c r="I48" s="68"/>
      <c r="M48" s="167"/>
    </row>
    <row r="49" spans="1:7" x14ac:dyDescent="0.2">
      <c r="B49" s="51" t="s">
        <v>1053</v>
      </c>
      <c r="C49" s="155"/>
      <c r="D49" s="154"/>
      <c r="E49" s="154"/>
      <c r="F49" s="171"/>
      <c r="G49" s="155"/>
    </row>
    <row r="50" spans="1:7" x14ac:dyDescent="0.2">
      <c r="B50" s="153" t="s">
        <v>1</v>
      </c>
      <c r="C50" s="153"/>
      <c r="D50" s="154"/>
      <c r="E50" s="154"/>
      <c r="F50" s="172">
        <v>150</v>
      </c>
      <c r="G50" s="153" t="s">
        <v>2</v>
      </c>
    </row>
    <row r="52" spans="1:7" x14ac:dyDescent="0.2">
      <c r="B52" s="51" t="s">
        <v>1054</v>
      </c>
      <c r="C52" s="51"/>
      <c r="D52" s="154"/>
      <c r="E52" s="154"/>
      <c r="F52" s="170" t="s">
        <v>47</v>
      </c>
      <c r="G52" s="155"/>
    </row>
    <row r="53" spans="1:7" x14ac:dyDescent="0.2">
      <c r="B53" s="141" t="s">
        <v>1055</v>
      </c>
      <c r="C53" s="161">
        <v>150</v>
      </c>
      <c r="D53" s="154"/>
      <c r="E53" s="154"/>
      <c r="F53" s="270">
        <v>4.4999999999999997E-3</v>
      </c>
      <c r="G53" s="153" t="s">
        <v>23</v>
      </c>
    </row>
    <row r="54" spans="1:7" x14ac:dyDescent="0.2">
      <c r="B54" s="141" t="s">
        <v>1055</v>
      </c>
      <c r="C54" s="161">
        <v>200</v>
      </c>
      <c r="D54" s="154"/>
      <c r="E54" s="154"/>
      <c r="F54" s="270">
        <v>4.0000000000000001E-3</v>
      </c>
      <c r="G54" s="153" t="s">
        <v>23</v>
      </c>
    </row>
    <row r="55" spans="1:7" x14ac:dyDescent="0.2">
      <c r="B55" s="153" t="s">
        <v>45</v>
      </c>
      <c r="C55" s="161">
        <v>250</v>
      </c>
      <c r="D55" s="154"/>
      <c r="E55" s="154"/>
      <c r="F55" s="270">
        <v>3.5000000000000001E-3</v>
      </c>
      <c r="G55" s="153" t="s">
        <v>23</v>
      </c>
    </row>
    <row r="56" spans="1:7" x14ac:dyDescent="0.2">
      <c r="A56" s="68"/>
      <c r="B56" s="51" t="s">
        <v>24</v>
      </c>
      <c r="C56" s="51"/>
      <c r="D56" s="154"/>
      <c r="E56" s="154"/>
      <c r="F56" s="171"/>
      <c r="G56" s="155"/>
    </row>
    <row r="57" spans="1:7" x14ac:dyDescent="0.2">
      <c r="B57" s="64" t="s">
        <v>1056</v>
      </c>
      <c r="C57" s="153"/>
      <c r="D57" s="154"/>
      <c r="E57" s="154"/>
      <c r="F57" s="173">
        <v>0.9</v>
      </c>
      <c r="G57" s="153" t="s">
        <v>6</v>
      </c>
    </row>
    <row r="58" spans="1:7" x14ac:dyDescent="0.2">
      <c r="B58" s="64" t="s">
        <v>1057</v>
      </c>
      <c r="C58" s="153"/>
      <c r="D58" s="154"/>
      <c r="E58" s="154"/>
      <c r="F58" s="49">
        <v>0.65</v>
      </c>
      <c r="G58" s="153" t="s">
        <v>6</v>
      </c>
    </row>
    <row r="59" spans="1:7" x14ac:dyDescent="0.2">
      <c r="B59" s="51" t="s">
        <v>1058</v>
      </c>
      <c r="C59" s="154"/>
      <c r="D59" s="154"/>
      <c r="E59" s="154"/>
      <c r="F59" s="174"/>
      <c r="G59" s="154"/>
    </row>
    <row r="60" spans="1:7" ht="16.5" customHeight="1" x14ac:dyDescent="0.2">
      <c r="B60" s="64" t="s">
        <v>1059</v>
      </c>
      <c r="C60" s="154"/>
      <c r="D60" s="154"/>
      <c r="E60" s="154"/>
      <c r="F60" s="271" t="s">
        <v>109</v>
      </c>
      <c r="G60" s="154"/>
    </row>
    <row r="61" spans="1:7" x14ac:dyDescent="0.2">
      <c r="B61" s="283" t="s">
        <v>1060</v>
      </c>
      <c r="C61" s="154"/>
      <c r="D61" s="154"/>
      <c r="E61" s="154"/>
      <c r="F61" s="174"/>
      <c r="G61" s="154"/>
    </row>
    <row r="62" spans="1:7" ht="16.5" customHeight="1" x14ac:dyDescent="0.2">
      <c r="B62" s="141" t="s">
        <v>1061</v>
      </c>
      <c r="C62" s="154"/>
      <c r="D62" s="154"/>
      <c r="E62" s="154"/>
      <c r="F62" s="49">
        <v>0.5</v>
      </c>
      <c r="G62" s="154" t="s">
        <v>6</v>
      </c>
    </row>
    <row r="63" spans="1:7" ht="16.5" customHeight="1" x14ac:dyDescent="0.2">
      <c r="B63" s="283" t="s">
        <v>1062</v>
      </c>
    </row>
    <row r="64" spans="1:7" ht="16.5" customHeight="1" x14ac:dyDescent="0.2">
      <c r="B64" s="56" t="s">
        <v>1063</v>
      </c>
      <c r="F64" s="49">
        <v>0</v>
      </c>
      <c r="G64" s="56" t="s">
        <v>6</v>
      </c>
    </row>
    <row r="65" spans="2:7" ht="16.5" customHeight="1" x14ac:dyDescent="0.2"/>
    <row r="66" spans="2:7" ht="16.5" customHeight="1" x14ac:dyDescent="0.2">
      <c r="B66" s="142" t="s">
        <v>26</v>
      </c>
      <c r="C66" s="143"/>
      <c r="D66" s="143"/>
      <c r="E66" s="143"/>
      <c r="F66" s="139"/>
      <c r="G66" s="139"/>
    </row>
    <row r="67" spans="2:7" ht="25.5" x14ac:dyDescent="0.2">
      <c r="B67" s="66" t="s">
        <v>30</v>
      </c>
      <c r="C67" s="67" t="s">
        <v>27</v>
      </c>
      <c r="D67" s="65" t="s">
        <v>29</v>
      </c>
      <c r="E67" s="65" t="s">
        <v>229</v>
      </c>
      <c r="F67" s="139"/>
      <c r="G67" s="139"/>
    </row>
    <row r="68" spans="2:7" ht="3" customHeight="1" x14ac:dyDescent="0.2">
      <c r="B68" s="365">
        <v>0</v>
      </c>
      <c r="C68" s="366"/>
      <c r="D68" s="367"/>
      <c r="E68" s="367"/>
      <c r="F68" s="139"/>
      <c r="G68" s="139"/>
    </row>
    <row r="69" spans="2:7" ht="16.5" customHeight="1" x14ac:dyDescent="0.2">
      <c r="B69" s="43">
        <f>'A7'!B2</f>
        <v>100</v>
      </c>
      <c r="C69" s="151" t="s">
        <v>117</v>
      </c>
      <c r="D69" s="144">
        <f>HLOOKUP(C69,'A7'!$C$18:$G$19,2,FALSE)</f>
        <v>0.01</v>
      </c>
      <c r="E69" s="152">
        <v>1.2999999999999999E-2</v>
      </c>
      <c r="F69" s="139"/>
      <c r="G69" s="139"/>
    </row>
    <row r="70" spans="2:7" ht="16.5" customHeight="1" x14ac:dyDescent="0.2">
      <c r="B70" s="43">
        <f>'A7'!B3</f>
        <v>150</v>
      </c>
      <c r="C70" s="151" t="s">
        <v>117</v>
      </c>
      <c r="D70" s="144">
        <f>HLOOKUP(C70,'A7'!$C$18:$G$19,2,FALSE)</f>
        <v>0.01</v>
      </c>
      <c r="E70" s="152">
        <v>1.2999999999999999E-2</v>
      </c>
      <c r="F70" s="139"/>
      <c r="G70" s="139"/>
    </row>
    <row r="71" spans="2:7" ht="16.5" customHeight="1" x14ac:dyDescent="0.2">
      <c r="B71" s="43">
        <f>'A7'!B4</f>
        <v>200</v>
      </c>
      <c r="C71" s="151" t="s">
        <v>117</v>
      </c>
      <c r="D71" s="144">
        <f>HLOOKUP(C71,'A7'!$C$18:$G$19,2,FALSE)</f>
        <v>0.01</v>
      </c>
      <c r="E71" s="152">
        <v>1.2999999999999999E-2</v>
      </c>
      <c r="F71" s="139"/>
      <c r="G71" s="139"/>
    </row>
    <row r="72" spans="2:7" ht="16.5" customHeight="1" x14ac:dyDescent="0.2">
      <c r="B72" s="43">
        <f>'A7'!B5</f>
        <v>250</v>
      </c>
      <c r="C72" s="151" t="s">
        <v>117</v>
      </c>
      <c r="D72" s="144">
        <f>HLOOKUP(C72,'A7'!$C$18:$G$19,2,FALSE)</f>
        <v>0.01</v>
      </c>
      <c r="E72" s="152">
        <v>1.2999999999999999E-2</v>
      </c>
      <c r="F72" s="139"/>
      <c r="G72" s="139"/>
    </row>
    <row r="73" spans="2:7" ht="16.5" customHeight="1" x14ac:dyDescent="0.2">
      <c r="B73" s="43">
        <f>'A7'!B6</f>
        <v>300</v>
      </c>
      <c r="C73" s="151" t="s">
        <v>117</v>
      </c>
      <c r="D73" s="144">
        <f>HLOOKUP(C73,'A7'!$C$18:$G$19,2,FALSE)</f>
        <v>0.01</v>
      </c>
      <c r="E73" s="152">
        <v>1.2999999999999999E-2</v>
      </c>
      <c r="F73" s="139"/>
      <c r="G73" s="139"/>
    </row>
    <row r="74" spans="2:7" x14ac:dyDescent="0.2">
      <c r="B74" s="43">
        <f>'A7'!B7</f>
        <v>350</v>
      </c>
      <c r="C74" s="151" t="s">
        <v>117</v>
      </c>
      <c r="D74" s="144">
        <f>HLOOKUP(C74,'A7'!$C$18:$G$19,2,FALSE)</f>
        <v>0.01</v>
      </c>
      <c r="E74" s="152">
        <v>1.2999999999999999E-2</v>
      </c>
    </row>
    <row r="75" spans="2:7" x14ac:dyDescent="0.2">
      <c r="B75" s="43">
        <f>'A7'!B8</f>
        <v>400</v>
      </c>
      <c r="C75" s="151" t="s">
        <v>108</v>
      </c>
      <c r="D75" s="144">
        <f>HLOOKUP(C75,'A7'!$C$18:$G$19,2,FALSE)</f>
        <v>0.01</v>
      </c>
      <c r="E75" s="152">
        <v>1.2999999999999999E-2</v>
      </c>
    </row>
    <row r="76" spans="2:7" x14ac:dyDescent="0.2">
      <c r="B76" s="43">
        <f>'A7'!B9</f>
        <v>450</v>
      </c>
      <c r="C76" s="151" t="s">
        <v>108</v>
      </c>
      <c r="D76" s="144">
        <f>HLOOKUP(C76,'A7'!$C$18:$G$19,2,FALSE)</f>
        <v>0.01</v>
      </c>
      <c r="E76" s="152">
        <v>1.2999999999999999E-2</v>
      </c>
    </row>
    <row r="77" spans="2:7" x14ac:dyDescent="0.2">
      <c r="B77" s="43">
        <f>'A7'!B10</f>
        <v>500</v>
      </c>
      <c r="C77" s="151" t="s">
        <v>108</v>
      </c>
      <c r="D77" s="144">
        <f>HLOOKUP(C77,'A7'!$C$18:$G$19,2,FALSE)</f>
        <v>0.01</v>
      </c>
      <c r="E77" s="152">
        <v>1.2999999999999999E-2</v>
      </c>
    </row>
    <row r="78" spans="2:7" x14ac:dyDescent="0.2">
      <c r="B78" s="43">
        <f>'A7'!B11</f>
        <v>600</v>
      </c>
      <c r="C78" s="151" t="s">
        <v>108</v>
      </c>
      <c r="D78" s="144">
        <f>HLOOKUP(C78,'A7'!$C$18:$G$19,2,FALSE)</f>
        <v>0.01</v>
      </c>
      <c r="E78" s="152">
        <v>1.2999999999999999E-2</v>
      </c>
    </row>
    <row r="79" spans="2:7" x14ac:dyDescent="0.2">
      <c r="B79" s="43">
        <f>'A7'!B12</f>
        <v>700</v>
      </c>
      <c r="C79" s="151" t="s">
        <v>108</v>
      </c>
      <c r="D79" s="144">
        <f>HLOOKUP(C79,'A7'!$C$18:$G$19,2,FALSE)</f>
        <v>0.01</v>
      </c>
      <c r="E79" s="152">
        <v>1.2999999999999999E-2</v>
      </c>
    </row>
    <row r="80" spans="2:7" x14ac:dyDescent="0.2">
      <c r="B80" s="43">
        <f>'A7'!B13</f>
        <v>800</v>
      </c>
      <c r="C80" s="151" t="s">
        <v>108</v>
      </c>
      <c r="D80" s="144">
        <f>HLOOKUP(C80,'A7'!$C$18:$G$19,2,FALSE)</f>
        <v>0.01</v>
      </c>
      <c r="E80" s="152">
        <v>1.2999999999999999E-2</v>
      </c>
    </row>
    <row r="81" spans="2:5" x14ac:dyDescent="0.2">
      <c r="B81" s="43">
        <f>'A7'!B14</f>
        <v>900</v>
      </c>
      <c r="C81" s="151" t="s">
        <v>108</v>
      </c>
      <c r="D81" s="144">
        <f>HLOOKUP(C81,'A7'!$C$18:$G$19,2,FALSE)</f>
        <v>0.01</v>
      </c>
      <c r="E81" s="152">
        <v>1.2999999999999999E-2</v>
      </c>
    </row>
    <row r="82" spans="2:5" x14ac:dyDescent="0.2">
      <c r="B82" s="43">
        <f>'A7'!B15</f>
        <v>1000</v>
      </c>
      <c r="C82" s="151" t="s">
        <v>108</v>
      </c>
      <c r="D82" s="144">
        <f>HLOOKUP(C82,'A7'!$C$18:$G$19,2,FALSE)</f>
        <v>0.01</v>
      </c>
      <c r="E82" s="152">
        <v>1.2999999999999999E-2</v>
      </c>
    </row>
    <row r="85" spans="2:5" x14ac:dyDescent="0.2">
      <c r="B85" s="142" t="s">
        <v>127</v>
      </c>
      <c r="C85" s="143"/>
      <c r="D85" s="143"/>
    </row>
    <row r="86" spans="2:5" ht="38.25" x14ac:dyDescent="0.2">
      <c r="B86" s="65" t="s">
        <v>98</v>
      </c>
      <c r="C86" s="240" t="s">
        <v>106</v>
      </c>
      <c r="D86" s="65" t="s">
        <v>99</v>
      </c>
    </row>
    <row r="87" spans="2:5" x14ac:dyDescent="0.2">
      <c r="B87" s="241" t="s">
        <v>102</v>
      </c>
      <c r="C87" s="242">
        <v>1.3</v>
      </c>
      <c r="D87" s="243">
        <v>150</v>
      </c>
    </row>
    <row r="88" spans="2:5" x14ac:dyDescent="0.2">
      <c r="B88" s="241" t="s">
        <v>100</v>
      </c>
      <c r="C88" s="242">
        <v>1.8</v>
      </c>
      <c r="D88" s="243">
        <v>400</v>
      </c>
    </row>
    <row r="89" spans="2:5" x14ac:dyDescent="0.2">
      <c r="B89" s="241" t="s">
        <v>103</v>
      </c>
      <c r="C89" s="242">
        <v>3.5</v>
      </c>
      <c r="D89" s="243">
        <v>500</v>
      </c>
    </row>
    <row r="90" spans="2:5" x14ac:dyDescent="0.2">
      <c r="B90" s="241" t="s">
        <v>101</v>
      </c>
      <c r="C90" s="242">
        <v>4</v>
      </c>
      <c r="D90" s="243">
        <v>600</v>
      </c>
    </row>
    <row r="91" spans="2:5" x14ac:dyDescent="0.2">
      <c r="B91" s="241" t="s">
        <v>104</v>
      </c>
      <c r="C91" s="242">
        <v>6</v>
      </c>
      <c r="D91" s="243">
        <v>800</v>
      </c>
    </row>
    <row r="92" spans="2:5" x14ac:dyDescent="0.2">
      <c r="B92" s="241" t="s">
        <v>105</v>
      </c>
      <c r="C92" s="242">
        <v>15</v>
      </c>
      <c r="D92" s="243">
        <v>1000</v>
      </c>
    </row>
  </sheetData>
  <mergeCells count="11">
    <mergeCell ref="B6:E6"/>
    <mergeCell ref="B8:E8"/>
    <mergeCell ref="B10:E10"/>
    <mergeCell ref="B12:D12"/>
    <mergeCell ref="B14:D14"/>
    <mergeCell ref="I29:L30"/>
    <mergeCell ref="K21:K22"/>
    <mergeCell ref="L21:L22"/>
    <mergeCell ref="J34:J36"/>
    <mergeCell ref="L34:L36"/>
    <mergeCell ref="K34:K36"/>
  </mergeCells>
  <conditionalFormatting sqref="D69:D82">
    <cfRule type="cellIs" dxfId="149" priority="1868" operator="notEqual">
      <formula>E69</formula>
    </cfRule>
  </conditionalFormatting>
  <conditionalFormatting sqref="J38:L40">
    <cfRule type="cellIs" dxfId="148" priority="1826" operator="equal">
      <formula>0</formula>
    </cfRule>
  </conditionalFormatting>
  <conditionalFormatting sqref="L24">
    <cfRule type="cellIs" dxfId="147" priority="1822" operator="equal">
      <formula>0</formula>
    </cfRule>
  </conditionalFormatting>
  <conditionalFormatting sqref="L26">
    <cfRule type="cellIs" dxfId="146" priority="1821" operator="equal">
      <formula>0</formula>
    </cfRule>
  </conditionalFormatting>
  <conditionalFormatting sqref="K24">
    <cfRule type="cellIs" dxfId="145" priority="1820" operator="equal">
      <formula>0</formula>
    </cfRule>
  </conditionalFormatting>
  <conditionalFormatting sqref="C88">
    <cfRule type="expression" dxfId="144" priority="1048">
      <formula>C88&lt;C87</formula>
    </cfRule>
  </conditionalFormatting>
  <conditionalFormatting sqref="C89:C92">
    <cfRule type="expression" dxfId="143" priority="1047">
      <formula>C89&lt;C88</formula>
    </cfRule>
  </conditionalFormatting>
  <conditionalFormatting sqref="D88">
    <cfRule type="expression" dxfId="142" priority="1036">
      <formula>D88&lt;D87</formula>
    </cfRule>
  </conditionalFormatting>
  <conditionalFormatting sqref="D89:D92">
    <cfRule type="expression" dxfId="141" priority="1035">
      <formula>D89&lt;D88</formula>
    </cfRule>
  </conditionalFormatting>
  <conditionalFormatting sqref="F35">
    <cfRule type="cellIs" dxfId="140" priority="2" operator="equal">
      <formula>"Sim"</formula>
    </cfRule>
    <cfRule type="cellIs" dxfId="139" priority="3" operator="equal">
      <formula>"Não"</formula>
    </cfRule>
    <cfRule type="containsBlanks" dxfId="138" priority="4">
      <formula>LEN(TRIM(F35))=0</formula>
    </cfRule>
  </conditionalFormatting>
  <conditionalFormatting sqref="F21:F22">
    <cfRule type="cellIs" dxfId="137" priority="5" operator="equal">
      <formula>0</formula>
    </cfRule>
  </conditionalFormatting>
  <conditionalFormatting sqref="F26:F27">
    <cfRule type="cellIs" dxfId="136" priority="1" operator="equal">
      <formula>0</formula>
    </cfRule>
  </conditionalFormatting>
  <dataValidations count="16">
    <dataValidation type="list" allowBlank="1" showInputMessage="1" showErrorMessage="1" sqref="F35" xr:uid="{01900A4A-4816-4E29-B8C2-496C3E500B26}">
      <formula1>"No,Si"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A7869A10-4497-4F44-968F-BD3DF2B3AD4D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133350</xdr:colOff>
                    <xdr:row>5</xdr:row>
                    <xdr:rowOff>123825</xdr:rowOff>
                  </from>
                  <to>
                    <xdr:col>7</xdr:col>
                    <xdr:colOff>104775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123825</xdr:colOff>
                    <xdr:row>8</xdr:row>
                    <xdr:rowOff>95250</xdr:rowOff>
                  </from>
                  <to>
                    <xdr:col>7</xdr:col>
                    <xdr:colOff>95250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topLeftCell="E1" zoomScale="80" zoomScaleNormal="80" workbookViewId="0">
      <selection activeCell="L4" sqref="L4"/>
    </sheetView>
  </sheetViews>
  <sheetFormatPr defaultColWidth="8" defaultRowHeight="12.75" x14ac:dyDescent="0.2"/>
  <cols>
    <col min="1" max="1" width="4.28515625" style="47" hidden="1" customWidth="1"/>
    <col min="2" max="2" width="8.5703125" style="47" hidden="1" customWidth="1"/>
    <col min="3" max="3" width="8.85546875" style="47" hidden="1" customWidth="1"/>
    <col min="4" max="4" width="10.5703125" style="63" hidden="1" customWidth="1"/>
    <col min="5" max="5" width="11.85546875" style="216" customWidth="1"/>
    <col min="6" max="6" width="12.28515625" style="237" customWidth="1"/>
    <col min="7" max="9" width="13" style="47" customWidth="1"/>
    <col min="10" max="10" width="18.28515625" style="47" customWidth="1"/>
    <col min="11" max="12" width="10.42578125" style="47" customWidth="1"/>
    <col min="13" max="13" width="12.85546875" style="47" customWidth="1"/>
    <col min="14" max="15" width="11.85546875" style="47" customWidth="1"/>
    <col min="16" max="16" width="9.85546875" style="47" customWidth="1"/>
    <col min="17" max="17" width="10.5703125" style="47" customWidth="1"/>
    <col min="18" max="18" width="10" style="47" customWidth="1"/>
    <col min="19" max="19" width="6.85546875" style="47" customWidth="1"/>
    <col min="20" max="21" width="20.7109375" style="47" hidden="1" customWidth="1"/>
    <col min="22" max="23" width="20.7109375" style="47" customWidth="1"/>
    <col min="24" max="24" width="10" style="47" customWidth="1"/>
    <col min="25" max="25" width="12.7109375" style="47" hidden="1" customWidth="1"/>
    <col min="26" max="26" width="12" style="47" hidden="1" customWidth="1"/>
    <col min="27" max="27" width="12.42578125" style="61" hidden="1" customWidth="1"/>
    <col min="28" max="30" width="12.5703125" style="47" hidden="1" customWidth="1"/>
    <col min="31" max="31" width="10.85546875" style="47" customWidth="1"/>
    <col min="32" max="32" width="11.42578125" style="47" customWidth="1"/>
    <col min="33" max="33" width="1.5703125" style="47" customWidth="1"/>
    <col min="34" max="34" width="13.140625" style="61" customWidth="1"/>
    <col min="35" max="35" width="11.42578125" style="61" hidden="1" customWidth="1"/>
    <col min="36" max="36" width="13" style="102" customWidth="1"/>
    <col min="37" max="37" width="8.5703125" style="102" bestFit="1" customWidth="1"/>
    <col min="38" max="38" width="13.140625" style="102" customWidth="1"/>
    <col min="39" max="39" width="13.140625" style="102" hidden="1" customWidth="1"/>
    <col min="40" max="40" width="11.28515625" style="102" customWidth="1"/>
    <col min="41" max="41" width="1" style="102" customWidth="1"/>
    <col min="42" max="42" width="14.140625" style="102" customWidth="1"/>
    <col min="43" max="43" width="13.42578125" style="102" customWidth="1"/>
    <col min="44" max="44" width="11.42578125" style="102" bestFit="1" customWidth="1"/>
    <col min="45" max="45" width="11.85546875" style="47" customWidth="1"/>
    <col min="46" max="46" width="11.85546875" style="47" hidden="1" customWidth="1"/>
    <col min="47" max="48" width="11.85546875" style="47" customWidth="1"/>
    <col min="49" max="49" width="17.42578125" style="47" hidden="1" customWidth="1"/>
    <col min="50" max="50" width="15.140625" style="47" customWidth="1"/>
    <col min="51" max="51" width="16.7109375" style="47" hidden="1" customWidth="1"/>
    <col min="52" max="52" width="16.7109375" style="47" customWidth="1"/>
    <col min="53" max="53" width="16.7109375" style="47" hidden="1" customWidth="1"/>
    <col min="54" max="54" width="22" style="47" customWidth="1"/>
    <col min="55" max="56" width="6.85546875" style="56" customWidth="1"/>
    <col min="57" max="57" width="12.140625" style="56" customWidth="1"/>
    <col min="58" max="59" width="6.85546875" style="56" customWidth="1"/>
    <col min="60" max="60" width="7.5703125" style="56" customWidth="1"/>
    <col min="61" max="61" width="8.7109375" style="56" bestFit="1" customWidth="1"/>
    <col min="62" max="63" width="7.5703125" style="56" customWidth="1"/>
    <col min="64" max="64" width="14.7109375" style="56" customWidth="1"/>
    <col min="65" max="68" width="7.5703125" style="56" customWidth="1"/>
    <col min="69" max="69" width="6.85546875" style="56" customWidth="1"/>
    <col min="70" max="70" width="9.140625" style="56" customWidth="1"/>
    <col min="71" max="71" width="7" style="56" customWidth="1"/>
    <col min="72" max="72" width="7.5703125" style="56" customWidth="1"/>
    <col min="73" max="73" width="7" style="56" bestFit="1" customWidth="1"/>
    <col min="74" max="74" width="12.85546875" style="56" bestFit="1" customWidth="1"/>
    <col min="75" max="75" width="6.85546875" style="56" customWidth="1"/>
    <col min="76" max="76" width="8.85546875" style="56" customWidth="1"/>
    <col min="77" max="79" width="6.85546875" style="56" customWidth="1"/>
    <col min="80" max="80" width="8.85546875" style="56" customWidth="1"/>
    <col min="81" max="81" width="8.5703125" style="56" customWidth="1"/>
    <col min="82" max="118" width="6.85546875" style="56" customWidth="1"/>
    <col min="119" max="119" width="26.5703125" style="56" customWidth="1"/>
    <col min="120" max="121" width="8" style="56" customWidth="1"/>
    <col min="122" max="122" width="20.85546875" style="56" customWidth="1"/>
    <col min="123" max="124" width="8" style="56" customWidth="1"/>
    <col min="125" max="125" width="23.85546875" style="56" customWidth="1"/>
    <col min="126" max="127" width="8" style="56" customWidth="1"/>
    <col min="128" max="128" width="22" style="56" customWidth="1"/>
    <col min="129" max="129" width="8" style="56" customWidth="1"/>
    <col min="130" max="130" width="8.140625" style="56" customWidth="1"/>
    <col min="131" max="131" width="6.85546875" style="56" customWidth="1"/>
    <col min="132" max="16384" width="8" style="56"/>
  </cols>
  <sheetData>
    <row r="1" spans="1:55" ht="22.5" x14ac:dyDescent="0.3">
      <c r="A1" s="48"/>
      <c r="E1" s="210" t="s">
        <v>89</v>
      </c>
      <c r="F1" s="233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</row>
    <row r="2" spans="1:55" x14ac:dyDescent="0.2">
      <c r="A2" s="48"/>
      <c r="E2" s="211"/>
      <c r="F2" s="234"/>
      <c r="G2" s="45"/>
      <c r="H2" s="45"/>
      <c r="I2" s="45"/>
      <c r="J2" s="45"/>
      <c r="K2" s="45"/>
      <c r="L2" s="45"/>
      <c r="Q2" s="56"/>
      <c r="R2" s="56"/>
      <c r="S2" s="56"/>
      <c r="T2" s="56"/>
      <c r="U2" s="56"/>
      <c r="V2" s="56"/>
      <c r="W2" s="56"/>
      <c r="X2" s="56"/>
      <c r="Y2" s="56"/>
      <c r="Z2" s="56"/>
      <c r="AA2" s="45"/>
      <c r="AC2" s="45"/>
      <c r="AD2" s="45"/>
      <c r="AE2" s="45"/>
      <c r="AG2" s="45"/>
      <c r="AH2" s="45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</row>
    <row r="3" spans="1:55" ht="20.100000000000001" customHeight="1" x14ac:dyDescent="0.2">
      <c r="A3" s="48"/>
      <c r="E3" s="212" t="s">
        <v>223</v>
      </c>
      <c r="F3" s="235"/>
      <c r="G3" s="162"/>
      <c r="H3" s="163"/>
      <c r="I3" s="59"/>
      <c r="J3" s="197"/>
      <c r="T3" s="45"/>
      <c r="U3" s="45"/>
      <c r="V3" s="45"/>
      <c r="X3" s="45"/>
      <c r="Y3" s="45"/>
      <c r="Z3" s="45"/>
      <c r="AA3" s="48"/>
      <c r="AC3" s="48"/>
      <c r="AD3" s="369"/>
      <c r="AE3" s="48"/>
      <c r="AG3" s="48"/>
      <c r="AH3" s="369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X3" s="55"/>
      <c r="AY3" s="45"/>
      <c r="AZ3" s="45"/>
      <c r="BA3" s="45"/>
      <c r="BB3" s="45"/>
    </row>
    <row r="4" spans="1:55" ht="20.100000000000001" customHeight="1" x14ac:dyDescent="0.2">
      <c r="A4" s="48"/>
      <c r="E4" s="213"/>
      <c r="F4" s="236"/>
      <c r="G4" s="58"/>
      <c r="H4" s="59"/>
      <c r="I4" s="59"/>
      <c r="J4" s="197"/>
      <c r="K4" s="197"/>
      <c r="T4" s="45"/>
      <c r="U4" s="45"/>
      <c r="V4" s="45"/>
      <c r="W4" s="45"/>
      <c r="X4" s="45"/>
      <c r="Y4" s="45"/>
      <c r="Z4" s="45"/>
      <c r="AA4" s="48"/>
      <c r="AB4" s="48"/>
      <c r="AC4" s="48"/>
      <c r="AD4" s="48"/>
      <c r="AE4" s="48"/>
      <c r="AF4" s="48"/>
      <c r="AG4" s="48"/>
      <c r="AH4" s="48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X4" s="55"/>
      <c r="AY4" s="45"/>
      <c r="AZ4" s="45"/>
      <c r="BA4" s="45"/>
      <c r="BB4" s="45"/>
      <c r="BC4" s="45"/>
    </row>
    <row r="5" spans="1:55" ht="19.5" customHeight="1" x14ac:dyDescent="0.2">
      <c r="A5" s="48"/>
      <c r="E5" s="347" t="s">
        <v>219</v>
      </c>
      <c r="F5" s="350"/>
      <c r="G5" s="501">
        <f>Parametros!$B$6</f>
        <v>0</v>
      </c>
      <c r="H5" s="501"/>
      <c r="I5" s="501"/>
      <c r="J5" s="501"/>
      <c r="K5" s="501"/>
      <c r="L5" s="346"/>
      <c r="M5" s="346"/>
      <c r="N5" s="346"/>
      <c r="O5" s="346"/>
      <c r="P5" s="285"/>
      <c r="Q5" s="285"/>
      <c r="T5" s="45"/>
      <c r="U5" s="45"/>
      <c r="V5" s="45"/>
      <c r="X5" s="45"/>
      <c r="Y5" s="45"/>
      <c r="Z5" s="45"/>
      <c r="AA5" s="45"/>
      <c r="AC5" s="45"/>
      <c r="AD5" s="45"/>
      <c r="AE5" s="45"/>
      <c r="AG5" s="45"/>
      <c r="AH5" s="45"/>
      <c r="AI5" s="45"/>
      <c r="AJ5" s="45"/>
      <c r="AK5" s="45"/>
      <c r="AL5" s="95"/>
      <c r="AM5" s="64"/>
      <c r="AN5" s="45"/>
      <c r="AO5" s="45"/>
      <c r="AP5" s="45"/>
      <c r="AQ5" s="45"/>
      <c r="AR5" s="45"/>
      <c r="AS5" s="45"/>
      <c r="AT5" s="45"/>
      <c r="AU5" s="45"/>
      <c r="AV5" s="45"/>
      <c r="AX5" s="55"/>
      <c r="AY5" s="45"/>
      <c r="AZ5" s="45"/>
      <c r="BA5" s="45"/>
      <c r="BB5" s="45"/>
    </row>
    <row r="6" spans="1:55" ht="15" customHeight="1" x14ac:dyDescent="0.2">
      <c r="A6" s="48"/>
      <c r="E6" s="347" t="s">
        <v>220</v>
      </c>
      <c r="F6" s="350"/>
      <c r="G6" s="501">
        <f>Parametros!$B$8</f>
        <v>0</v>
      </c>
      <c r="H6" s="501"/>
      <c r="I6" s="501"/>
      <c r="J6" s="501"/>
      <c r="K6" s="501"/>
      <c r="L6" s="346"/>
      <c r="M6" s="346"/>
      <c r="N6" s="346"/>
      <c r="O6" s="346"/>
      <c r="P6" s="284"/>
      <c r="T6" s="48"/>
      <c r="U6" s="60"/>
      <c r="V6" s="48"/>
      <c r="W6" s="60"/>
      <c r="X6" s="48"/>
      <c r="Y6" s="48"/>
      <c r="Z6" s="60"/>
      <c r="AA6" s="48"/>
      <c r="AC6" s="48"/>
      <c r="AD6" s="369"/>
      <c r="AE6" s="48"/>
      <c r="AG6" s="48"/>
      <c r="AH6" s="369"/>
      <c r="AI6" s="370"/>
      <c r="AJ6" s="48"/>
      <c r="AK6" s="48"/>
      <c r="AL6" s="48"/>
      <c r="AM6" s="64"/>
      <c r="AN6" s="48"/>
      <c r="AO6" s="48"/>
      <c r="AP6" s="48"/>
      <c r="AQ6" s="48"/>
      <c r="AR6" s="48"/>
      <c r="AS6" s="48"/>
      <c r="AT6" s="48"/>
      <c r="AU6" s="48"/>
      <c r="AV6" s="48"/>
      <c r="AX6" s="48"/>
      <c r="AY6" s="48"/>
      <c r="AZ6" s="48"/>
      <c r="BA6" s="48"/>
      <c r="BB6" s="48"/>
    </row>
    <row r="7" spans="1:55" ht="15" customHeight="1" x14ac:dyDescent="0.2">
      <c r="A7" s="48"/>
      <c r="E7" s="347" t="s">
        <v>221</v>
      </c>
      <c r="F7" s="350"/>
      <c r="G7" s="501">
        <f>Parametros!$B$10</f>
        <v>0</v>
      </c>
      <c r="H7" s="501"/>
      <c r="I7" s="501"/>
      <c r="J7" s="501"/>
      <c r="K7" s="501"/>
      <c r="L7" s="346"/>
      <c r="M7" s="346"/>
      <c r="N7" s="346"/>
      <c r="O7" s="346"/>
      <c r="T7" s="48"/>
      <c r="U7" s="60"/>
      <c r="V7" s="48"/>
      <c r="W7" s="60"/>
      <c r="X7" s="48"/>
      <c r="Y7" s="48"/>
      <c r="Z7" s="60"/>
      <c r="AA7" s="48"/>
      <c r="AB7" s="48"/>
      <c r="AC7" s="48"/>
      <c r="AD7" s="48"/>
      <c r="AE7" s="48"/>
      <c r="AF7" s="48"/>
      <c r="AG7" s="48"/>
      <c r="AH7" s="48"/>
      <c r="AI7" s="48"/>
      <c r="AK7" s="48"/>
      <c r="AL7" s="48"/>
      <c r="AM7" s="64"/>
      <c r="AN7" s="48"/>
      <c r="AO7" s="48"/>
      <c r="AP7" s="48"/>
      <c r="AQ7" s="48"/>
      <c r="AR7" s="48"/>
      <c r="AS7" s="48"/>
      <c r="AT7" s="48"/>
      <c r="AU7" s="48"/>
      <c r="AV7" s="48"/>
      <c r="AX7" s="48"/>
      <c r="AY7" s="48"/>
      <c r="AZ7" s="48"/>
      <c r="BA7" s="48"/>
      <c r="BB7" s="48"/>
    </row>
    <row r="8" spans="1:55" ht="14.25" customHeight="1" x14ac:dyDescent="0.2">
      <c r="A8" s="48"/>
      <c r="E8" s="347" t="s">
        <v>22</v>
      </c>
      <c r="F8" s="350"/>
      <c r="G8" s="501">
        <f>Parametros!$B$12</f>
        <v>0</v>
      </c>
      <c r="H8" s="501"/>
      <c r="I8" s="501"/>
      <c r="J8" s="501"/>
      <c r="K8" s="501"/>
      <c r="L8" s="346"/>
      <c r="M8" s="346"/>
      <c r="N8" s="346"/>
      <c r="O8" s="346"/>
      <c r="P8" s="364">
        <f>'A2'!AE13</f>
        <v>0</v>
      </c>
      <c r="AA8" s="45"/>
      <c r="AC8" s="45"/>
      <c r="AD8" s="45"/>
      <c r="AE8" s="45"/>
      <c r="AG8" s="45"/>
      <c r="AH8" s="45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X8" s="48"/>
      <c r="BB8" s="48"/>
    </row>
    <row r="9" spans="1:55" ht="18" x14ac:dyDescent="0.2">
      <c r="A9" s="48"/>
      <c r="E9" s="347" t="s">
        <v>222</v>
      </c>
      <c r="F9" s="351"/>
      <c r="G9" s="502">
        <f>Parametros!$B$14</f>
        <v>0</v>
      </c>
      <c r="H9" s="501"/>
      <c r="I9" s="501"/>
      <c r="J9" s="501"/>
      <c r="K9" s="501"/>
      <c r="L9" s="346"/>
      <c r="M9" s="346"/>
      <c r="N9" s="346"/>
      <c r="O9" s="346"/>
      <c r="P9" s="284"/>
      <c r="Q9" s="284"/>
      <c r="AA9" s="48"/>
      <c r="AC9" s="48"/>
      <c r="AD9" s="369"/>
      <c r="AE9" s="48"/>
      <c r="AG9" s="48"/>
      <c r="AH9" s="369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60"/>
      <c r="AU9" s="60"/>
      <c r="AV9" s="60"/>
      <c r="AX9" s="60"/>
      <c r="AY9" s="60"/>
      <c r="AZ9" s="60"/>
      <c r="BA9" s="60"/>
      <c r="BB9" s="48"/>
      <c r="BC9" s="60"/>
    </row>
    <row r="10" spans="1:55" ht="21" customHeight="1" x14ac:dyDescent="0.2">
      <c r="A10" s="48"/>
      <c r="B10" s="48"/>
      <c r="C10" s="48"/>
      <c r="D10" s="48"/>
      <c r="E10" s="214"/>
      <c r="G10" s="2"/>
      <c r="I10" s="2"/>
      <c r="J10" s="3"/>
      <c r="K10" s="2"/>
      <c r="L10" s="3"/>
      <c r="M10" s="8"/>
      <c r="N10" s="8"/>
      <c r="O10" s="8"/>
      <c r="P10" s="364">
        <f>'A2'!V13</f>
        <v>0</v>
      </c>
      <c r="Q10" s="8"/>
      <c r="R10" s="8"/>
      <c r="T10" s="8"/>
      <c r="U10" s="8"/>
      <c r="V10" s="8"/>
      <c r="W10" s="8"/>
      <c r="X10" s="8"/>
      <c r="Y10" s="8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8"/>
      <c r="AX10" s="60"/>
      <c r="AY10" s="5"/>
      <c r="AZ10" s="5"/>
      <c r="BA10" s="5"/>
      <c r="BB10" s="48"/>
      <c r="BC10" s="5"/>
    </row>
    <row r="11" spans="1:55" x14ac:dyDescent="0.2">
      <c r="A11" s="244">
        <f>SUM($A$15:$A$10000)</f>
        <v>0</v>
      </c>
      <c r="B11" s="159"/>
      <c r="C11" s="159"/>
      <c r="D11" s="159"/>
      <c r="E11" s="215"/>
      <c r="F11" s="239">
        <f>SUM($F$15:$F$10000)</f>
        <v>0</v>
      </c>
      <c r="G11" s="7"/>
      <c r="H11" s="7"/>
      <c r="I11" s="7"/>
      <c r="J11" s="1"/>
      <c r="K11" s="244">
        <f>SUM($K$15:$K$10000)</f>
        <v>0</v>
      </c>
      <c r="L11" s="244">
        <f>SUM($L$15:$L$10000)</f>
        <v>0</v>
      </c>
      <c r="M11" s="8"/>
      <c r="N11" s="8"/>
      <c r="O11" s="8"/>
      <c r="P11" s="8"/>
      <c r="Q11" s="8"/>
      <c r="R11" s="8"/>
      <c r="S11" s="8"/>
      <c r="T11" s="221"/>
      <c r="U11" s="221"/>
      <c r="V11" s="8"/>
      <c r="W11" s="8"/>
      <c r="X11" s="345"/>
      <c r="Y11" s="221"/>
      <c r="Z11" s="221"/>
      <c r="AA11" s="245"/>
      <c r="AB11" s="246"/>
      <c r="AC11" s="246"/>
      <c r="AD11" s="246"/>
      <c r="AE11" s="6"/>
      <c r="AF11" s="6"/>
      <c r="AG11" s="6"/>
      <c r="AH11" s="9"/>
      <c r="AI11" s="286"/>
      <c r="AJ11" s="8"/>
      <c r="AK11" s="10"/>
      <c r="AL11" s="10"/>
      <c r="AM11" s="247"/>
      <c r="AN11" s="10"/>
      <c r="AO11" s="10"/>
      <c r="AP11" s="5"/>
      <c r="AQ11" s="10"/>
      <c r="AR11" s="10"/>
      <c r="AS11" s="10"/>
      <c r="AT11" s="247"/>
      <c r="AU11" s="8"/>
      <c r="AV11" s="8"/>
      <c r="AW11" s="221"/>
      <c r="AX11" s="60"/>
      <c r="AY11" s="221"/>
      <c r="AZ11" s="45"/>
      <c r="BA11" s="221"/>
      <c r="BB11" s="48"/>
    </row>
    <row r="12" spans="1:55" ht="48.75" customHeight="1" x14ac:dyDescent="0.2">
      <c r="A12" s="224"/>
      <c r="B12" s="407" t="s">
        <v>97</v>
      </c>
      <c r="C12" s="407" t="s">
        <v>61</v>
      </c>
      <c r="D12" s="445" t="s">
        <v>224</v>
      </c>
      <c r="E12" s="432" t="s">
        <v>966</v>
      </c>
      <c r="F12" s="448" t="s">
        <v>967</v>
      </c>
      <c r="G12" s="457" t="s">
        <v>968</v>
      </c>
      <c r="H12" s="458"/>
      <c r="I12" s="458"/>
      <c r="J12" s="459"/>
      <c r="K12" s="460" t="s">
        <v>977</v>
      </c>
      <c r="L12" s="461"/>
      <c r="M12" s="451" t="s">
        <v>978</v>
      </c>
      <c r="N12" s="452"/>
      <c r="O12" s="453"/>
      <c r="P12" s="426" t="s">
        <v>982</v>
      </c>
      <c r="Q12" s="426" t="s">
        <v>983</v>
      </c>
      <c r="R12" s="491" t="s">
        <v>984</v>
      </c>
      <c r="S12" s="494" t="s">
        <v>238</v>
      </c>
      <c r="T12" s="437" t="s">
        <v>985</v>
      </c>
      <c r="U12" s="438"/>
      <c r="V12" s="439" t="s">
        <v>42</v>
      </c>
      <c r="W12" s="440"/>
      <c r="X12" s="491" t="s">
        <v>990</v>
      </c>
      <c r="Y12" s="473" t="s">
        <v>991</v>
      </c>
      <c r="Z12" s="474"/>
      <c r="AA12" s="477" t="s">
        <v>992</v>
      </c>
      <c r="AB12" s="477"/>
      <c r="AC12" s="462" t="s">
        <v>1128</v>
      </c>
      <c r="AD12" s="463"/>
      <c r="AE12" s="479" t="s">
        <v>995</v>
      </c>
      <c r="AF12" s="480"/>
      <c r="AG12" s="481"/>
      <c r="AH12" s="482"/>
      <c r="AI12" s="489" t="s">
        <v>999</v>
      </c>
      <c r="AJ12" s="489"/>
      <c r="AK12" s="416" t="s">
        <v>121</v>
      </c>
      <c r="AL12" s="420" t="s">
        <v>1000</v>
      </c>
      <c r="AM12" s="420"/>
      <c r="AN12" s="421"/>
      <c r="AO12" s="421"/>
      <c r="AP12" s="421"/>
      <c r="AQ12" s="421"/>
      <c r="AR12" s="421"/>
      <c r="AS12" s="421"/>
      <c r="AT12" s="421"/>
      <c r="AU12" s="421"/>
      <c r="AV12" s="422"/>
      <c r="AW12" s="429" t="s">
        <v>1011</v>
      </c>
      <c r="AX12" s="469" t="s">
        <v>1012</v>
      </c>
      <c r="AY12" s="423" t="s">
        <v>1013</v>
      </c>
      <c r="AZ12" s="466" t="s">
        <v>1014</v>
      </c>
      <c r="BA12" s="410" t="s">
        <v>1015</v>
      </c>
      <c r="BB12" s="413" t="s">
        <v>1016</v>
      </c>
    </row>
    <row r="13" spans="1:55" ht="48.75" customHeight="1" x14ac:dyDescent="0.2">
      <c r="A13" s="225"/>
      <c r="B13" s="408"/>
      <c r="C13" s="408" t="s">
        <v>61</v>
      </c>
      <c r="D13" s="446"/>
      <c r="E13" s="433"/>
      <c r="F13" s="449"/>
      <c r="G13" s="454" t="s">
        <v>969</v>
      </c>
      <c r="H13" s="455"/>
      <c r="I13" s="456"/>
      <c r="J13" s="223" t="s">
        <v>970</v>
      </c>
      <c r="K13" s="457" t="s">
        <v>970</v>
      </c>
      <c r="L13" s="459"/>
      <c r="M13" s="443" t="s">
        <v>979</v>
      </c>
      <c r="N13" s="441" t="s">
        <v>980</v>
      </c>
      <c r="O13" s="441" t="s">
        <v>981</v>
      </c>
      <c r="P13" s="427"/>
      <c r="Q13" s="427"/>
      <c r="R13" s="492"/>
      <c r="S13" s="495"/>
      <c r="T13" s="499" t="s">
        <v>986</v>
      </c>
      <c r="U13" s="499" t="s">
        <v>987</v>
      </c>
      <c r="V13" s="497" t="s">
        <v>988</v>
      </c>
      <c r="W13" s="497" t="s">
        <v>989</v>
      </c>
      <c r="X13" s="492"/>
      <c r="Y13" s="475"/>
      <c r="Z13" s="476"/>
      <c r="AA13" s="478"/>
      <c r="AB13" s="478"/>
      <c r="AC13" s="464"/>
      <c r="AD13" s="465"/>
      <c r="AE13" s="483"/>
      <c r="AF13" s="484"/>
      <c r="AG13" s="485"/>
      <c r="AH13" s="486"/>
      <c r="AI13" s="490"/>
      <c r="AJ13" s="490"/>
      <c r="AK13" s="417"/>
      <c r="AL13" s="487" t="s">
        <v>1001</v>
      </c>
      <c r="AM13" s="487"/>
      <c r="AN13" s="487"/>
      <c r="AO13" s="487"/>
      <c r="AP13" s="487"/>
      <c r="AQ13" s="487"/>
      <c r="AR13" s="488"/>
      <c r="AS13" s="419" t="s">
        <v>1002</v>
      </c>
      <c r="AT13" s="419"/>
      <c r="AU13" s="419"/>
      <c r="AV13" s="419"/>
      <c r="AW13" s="430"/>
      <c r="AX13" s="470"/>
      <c r="AY13" s="424"/>
      <c r="AZ13" s="467"/>
      <c r="BA13" s="411"/>
      <c r="BB13" s="414"/>
    </row>
    <row r="14" spans="1:55" ht="86.25" customHeight="1" x14ac:dyDescent="0.2">
      <c r="A14" s="226" t="s">
        <v>131</v>
      </c>
      <c r="B14" s="409"/>
      <c r="C14" s="409"/>
      <c r="D14" s="447"/>
      <c r="E14" s="434" t="s">
        <v>8</v>
      </c>
      <c r="F14" s="450"/>
      <c r="G14" s="227" t="s">
        <v>976</v>
      </c>
      <c r="H14" s="281" t="s">
        <v>974</v>
      </c>
      <c r="I14" s="281" t="s">
        <v>975</v>
      </c>
      <c r="J14" s="281" t="s">
        <v>971</v>
      </c>
      <c r="K14" s="227" t="s">
        <v>972</v>
      </c>
      <c r="L14" s="227" t="s">
        <v>973</v>
      </c>
      <c r="M14" s="444"/>
      <c r="N14" s="442"/>
      <c r="O14" s="442"/>
      <c r="P14" s="428" t="s">
        <v>35</v>
      </c>
      <c r="Q14" s="428"/>
      <c r="R14" s="493"/>
      <c r="S14" s="496"/>
      <c r="T14" s="500"/>
      <c r="U14" s="500"/>
      <c r="V14" s="498"/>
      <c r="W14" s="498"/>
      <c r="X14" s="493"/>
      <c r="Y14" s="228" t="s">
        <v>993</v>
      </c>
      <c r="Z14" s="228" t="s">
        <v>994</v>
      </c>
      <c r="AA14" s="195" t="s">
        <v>993</v>
      </c>
      <c r="AB14" s="195" t="s">
        <v>994</v>
      </c>
      <c r="AC14" s="388" t="s">
        <v>993</v>
      </c>
      <c r="AD14" s="388" t="s">
        <v>994</v>
      </c>
      <c r="AE14" s="287" t="s">
        <v>36</v>
      </c>
      <c r="AF14" s="435" t="s">
        <v>996</v>
      </c>
      <c r="AG14" s="436"/>
      <c r="AH14" s="287" t="s">
        <v>997</v>
      </c>
      <c r="AI14" s="195" t="s">
        <v>60</v>
      </c>
      <c r="AJ14" s="195" t="s">
        <v>998</v>
      </c>
      <c r="AK14" s="418"/>
      <c r="AL14" s="280" t="s">
        <v>1003</v>
      </c>
      <c r="AM14" s="280" t="s">
        <v>1004</v>
      </c>
      <c r="AN14" s="472" t="s">
        <v>1005</v>
      </c>
      <c r="AO14" s="472"/>
      <c r="AP14" s="278" t="s">
        <v>1006</v>
      </c>
      <c r="AQ14" s="278" t="s">
        <v>1007</v>
      </c>
      <c r="AR14" s="196" t="s">
        <v>1008</v>
      </c>
      <c r="AS14" s="275" t="s">
        <v>1009</v>
      </c>
      <c r="AT14" s="279" t="s">
        <v>1010</v>
      </c>
      <c r="AU14" s="276" t="s">
        <v>1005</v>
      </c>
      <c r="AV14" s="277" t="s">
        <v>1006</v>
      </c>
      <c r="AW14" s="431"/>
      <c r="AX14" s="471"/>
      <c r="AY14" s="425"/>
      <c r="AZ14" s="468"/>
      <c r="BA14" s="412"/>
      <c r="BB14" s="415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G5:K5"/>
    <mergeCell ref="G6:K6"/>
    <mergeCell ref="G7:K7"/>
    <mergeCell ref="G8:K8"/>
    <mergeCell ref="G9:K9"/>
    <mergeCell ref="R12:R14"/>
    <mergeCell ref="S12:S14"/>
    <mergeCell ref="X12:X14"/>
    <mergeCell ref="V13:V14"/>
    <mergeCell ref="W13:W14"/>
    <mergeCell ref="T13:T14"/>
    <mergeCell ref="U13:U14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</mergeCells>
  <phoneticPr fontId="35" type="noConversion"/>
  <conditionalFormatting sqref="F11">
    <cfRule type="cellIs" dxfId="135" priority="700105" operator="equal">
      <formula>0</formula>
    </cfRule>
  </conditionalFormatting>
  <conditionalFormatting sqref="A11">
    <cfRule type="cellIs" dxfId="134" priority="7290" operator="equal">
      <formula>0</formula>
    </cfRule>
  </conditionalFormatting>
  <conditionalFormatting sqref="K11:L11">
    <cfRule type="cellIs" dxfId="133" priority="6272" operator="equal">
      <formula>0</formula>
    </cfRule>
  </conditionalFormatting>
  <conditionalFormatting sqref="L9:O9">
    <cfRule type="cellIs" dxfId="132" priority="1307" operator="equal">
      <formula>0</formula>
    </cfRule>
  </conditionalFormatting>
  <conditionalFormatting sqref="L5:O8">
    <cfRule type="cellIs" dxfId="131" priority="1308" operator="equal">
      <formula>0</formula>
    </cfRule>
  </conditionalFormatting>
  <conditionalFormatting sqref="F9">
    <cfRule type="cellIs" dxfId="130" priority="1160" operator="equal">
      <formula>0</formula>
    </cfRule>
  </conditionalFormatting>
  <conditionalFormatting sqref="F5:F8">
    <cfRule type="cellIs" dxfId="129" priority="1161" operator="equal">
      <formula>0</formula>
    </cfRule>
  </conditionalFormatting>
  <conditionalFormatting sqref="G9:K9">
    <cfRule type="cellIs" dxfId="128" priority="44" operator="equal">
      <formula>0</formula>
    </cfRule>
  </conditionalFormatting>
  <conditionalFormatting sqref="G5:K8">
    <cfRule type="cellIs" dxfId="127" priority="45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6</xdr:col>
                    <xdr:colOff>133350</xdr:colOff>
                    <xdr:row>9</xdr:row>
                    <xdr:rowOff>38100</xdr:rowOff>
                  </from>
                  <to>
                    <xdr:col>7</xdr:col>
                    <xdr:colOff>57150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371475</xdr:colOff>
                    <xdr:row>3</xdr:row>
                    <xdr:rowOff>190500</xdr:rowOff>
                  </from>
                  <to>
                    <xdr:col>12</xdr:col>
                    <xdr:colOff>190500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8</xdr:col>
                    <xdr:colOff>123825</xdr:colOff>
                    <xdr:row>9</xdr:row>
                    <xdr:rowOff>28575</xdr:rowOff>
                  </from>
                  <to>
                    <xdr:col>9</xdr:col>
                    <xdr:colOff>47625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7</xdr:col>
                    <xdr:colOff>123825</xdr:colOff>
                    <xdr:row>9</xdr:row>
                    <xdr:rowOff>28575</xdr:rowOff>
                  </from>
                  <to>
                    <xdr:col>8</xdr:col>
                    <xdr:colOff>57150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200025</xdr:colOff>
                    <xdr:row>6</xdr:row>
                    <xdr:rowOff>95250</xdr:rowOff>
                  </from>
                  <to>
                    <xdr:col>9</xdr:col>
                    <xdr:colOff>1057275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9</xdr:col>
                    <xdr:colOff>190500</xdr:colOff>
                    <xdr:row>9</xdr:row>
                    <xdr:rowOff>9525</xdr:rowOff>
                  </from>
                  <to>
                    <xdr:col>9</xdr:col>
                    <xdr:colOff>1066800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352425</xdr:colOff>
                    <xdr:row>1</xdr:row>
                    <xdr:rowOff>104775</xdr:rowOff>
                  </from>
                  <to>
                    <xdr:col>13</xdr:col>
                    <xdr:colOff>704850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333375</xdr:colOff>
                    <xdr:row>3</xdr:row>
                    <xdr:rowOff>200025</xdr:rowOff>
                  </from>
                  <to>
                    <xdr:col>13</xdr:col>
                    <xdr:colOff>704850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285750</xdr:colOff>
                    <xdr:row>6</xdr:row>
                    <xdr:rowOff>85725</xdr:rowOff>
                  </from>
                  <to>
                    <xdr:col>13</xdr:col>
                    <xdr:colOff>676275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361950</xdr:colOff>
                    <xdr:row>5</xdr:row>
                    <xdr:rowOff>171450</xdr:rowOff>
                  </from>
                  <to>
                    <xdr:col>18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352425</xdr:colOff>
                    <xdr:row>1</xdr:row>
                    <xdr:rowOff>114300</xdr:rowOff>
                  </from>
                  <to>
                    <xdr:col>12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361950</xdr:colOff>
                    <xdr:row>8</xdr:row>
                    <xdr:rowOff>171450</xdr:rowOff>
                  </from>
                  <to>
                    <xdr:col>18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352425</xdr:colOff>
                    <xdr:row>3</xdr:row>
                    <xdr:rowOff>76200</xdr:rowOff>
                  </from>
                  <to>
                    <xdr:col>18</xdr:col>
                    <xdr:colOff>28575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352425</xdr:colOff>
                    <xdr:row>1</xdr:row>
                    <xdr:rowOff>57150</xdr:rowOff>
                  </from>
                  <to>
                    <xdr:col>18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228600</xdr:rowOff>
                  </from>
                  <to>
                    <xdr:col>36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19050</xdr:colOff>
                    <xdr:row>7</xdr:row>
                    <xdr:rowOff>104775</xdr:rowOff>
                  </from>
                  <to>
                    <xdr:col>35</xdr:col>
                    <xdr:colOff>857250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2</xdr:row>
                    <xdr:rowOff>238125</xdr:rowOff>
                  </from>
                  <to>
                    <xdr:col>36</xdr:col>
                    <xdr:colOff>19050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W22" sqref="W22"/>
    </sheetView>
  </sheetViews>
  <sheetFormatPr defaultColWidth="8" defaultRowHeight="9.75" x14ac:dyDescent="0.15"/>
  <cols>
    <col min="1" max="1" width="0.85546875" style="292" customWidth="1"/>
    <col min="2" max="2" width="14.140625" style="17" customWidth="1"/>
    <col min="3" max="3" width="9.7109375" style="17" customWidth="1"/>
    <col min="4" max="4" width="11.42578125" style="11" customWidth="1"/>
    <col min="5" max="5" width="7.85546875" style="11" customWidth="1"/>
    <col min="6" max="6" width="6.42578125" style="11" customWidth="1"/>
    <col min="7" max="7" width="12.7109375" style="11" customWidth="1"/>
    <col min="8" max="8" width="8.7109375" style="11" customWidth="1"/>
    <col min="9" max="9" width="7.85546875" style="11" customWidth="1"/>
    <col min="10" max="10" width="10.28515625" style="11" customWidth="1"/>
    <col min="11" max="11" width="9.85546875" style="11" customWidth="1"/>
    <col min="12" max="12" width="10.85546875" style="11" customWidth="1"/>
    <col min="13" max="13" width="11.85546875" style="11" customWidth="1"/>
    <col min="14" max="14" width="11" style="11" customWidth="1"/>
    <col min="15" max="15" width="10.85546875" style="11" customWidth="1"/>
    <col min="16" max="16" width="11.140625" style="11" customWidth="1"/>
    <col min="17" max="17" width="11.5703125" style="11" hidden="1" customWidth="1"/>
    <col min="18" max="18" width="11.28515625" style="11" hidden="1" customWidth="1"/>
    <col min="19" max="19" width="13.140625" style="11" customWidth="1"/>
    <col min="20" max="20" width="11.7109375" style="33" customWidth="1"/>
    <col min="21" max="21" width="12.85546875" style="33" hidden="1" customWidth="1"/>
    <col min="22" max="22" width="11" style="33" hidden="1" customWidth="1"/>
    <col min="23" max="24" width="12" style="33" customWidth="1"/>
    <col min="25" max="25" width="10.85546875" style="33" customWidth="1"/>
    <col min="26" max="26" width="11.140625" style="33" customWidth="1"/>
    <col min="27" max="27" width="8.85546875" style="33" customWidth="1"/>
    <col min="28" max="28" width="8.140625" style="33" customWidth="1"/>
    <col min="29" max="29" width="7.85546875" style="33" hidden="1" customWidth="1"/>
    <col min="30" max="30" width="8.140625" style="33" customWidth="1"/>
    <col min="31" max="31" width="9" style="17" customWidth="1"/>
    <col min="32" max="33" width="8.85546875" style="17" customWidth="1"/>
    <col min="34" max="34" width="9.28515625" style="11" customWidth="1"/>
    <col min="35" max="35" width="10.85546875" style="11" customWidth="1"/>
    <col min="36" max="36" width="11" style="11" customWidth="1"/>
    <col min="37" max="37" width="23.5703125" style="17" customWidth="1"/>
    <col min="38" max="38" width="17.85546875" style="17" customWidth="1"/>
    <col min="39" max="39" width="6.85546875" style="17" customWidth="1"/>
    <col min="40" max="40" width="7.5703125" style="17" customWidth="1"/>
    <col min="41" max="41" width="6.85546875" style="17" customWidth="1"/>
    <col min="42" max="42" width="6.140625" style="17" customWidth="1"/>
    <col min="43" max="43" width="7" style="17" customWidth="1"/>
    <col min="44" max="44" width="7.5703125" style="17" customWidth="1"/>
    <col min="45" max="45" width="6.140625" style="17" customWidth="1"/>
    <col min="46" max="47" width="6.85546875" style="17" customWidth="1"/>
    <col min="48" max="48" width="8.85546875" style="17" customWidth="1"/>
    <col min="49" max="51" width="6.85546875" style="11" customWidth="1"/>
    <col min="52" max="52" width="8.85546875" style="11" customWidth="1"/>
    <col min="53" max="53" width="8.5703125" style="11" customWidth="1"/>
    <col min="54" max="90" width="6.85546875" style="11" customWidth="1"/>
    <col min="91" max="91" width="26.5703125" style="11" customWidth="1"/>
    <col min="92" max="93" width="8" style="11" customWidth="1"/>
    <col min="94" max="94" width="20.85546875" style="11" customWidth="1"/>
    <col min="95" max="96" width="8" style="11" customWidth="1"/>
    <col min="97" max="97" width="23.85546875" style="11" customWidth="1"/>
    <col min="98" max="99" width="8" style="11" customWidth="1"/>
    <col min="100" max="100" width="22" style="11" customWidth="1"/>
    <col min="101" max="101" width="8" style="11" customWidth="1"/>
    <col min="102" max="102" width="8.140625" style="18" bestFit="1" customWidth="1"/>
    <col min="103" max="103" width="6.85546875" style="19" customWidth="1"/>
    <col min="104" max="16384" width="8" style="11"/>
  </cols>
  <sheetData>
    <row r="1" spans="1:38" ht="22.5" x14ac:dyDescent="0.3">
      <c r="A1" s="292">
        <v>1</v>
      </c>
      <c r="B1" s="13" t="s">
        <v>93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39"/>
    </row>
    <row r="2" spans="1:38" ht="23.25" thickBot="1" x14ac:dyDescent="0.35">
      <c r="A2" s="292">
        <v>1</v>
      </c>
      <c r="B2" s="219" t="s">
        <v>1017</v>
      </c>
      <c r="H2" s="20" t="s">
        <v>1078</v>
      </c>
      <c r="I2" s="20"/>
      <c r="J2" s="22"/>
      <c r="K2" s="23"/>
      <c r="L2" s="24"/>
      <c r="M2" s="25"/>
      <c r="N2" s="26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7"/>
      <c r="AC2" s="40" t="s">
        <v>128</v>
      </c>
      <c r="AD2" s="40"/>
      <c r="AE2" s="21"/>
      <c r="AF2" s="21"/>
      <c r="AG2" s="21"/>
      <c r="AH2" s="22"/>
      <c r="AI2" s="22"/>
      <c r="AJ2" s="22"/>
      <c r="AK2" s="22"/>
    </row>
    <row r="3" spans="1:38" ht="6" customHeight="1" thickTop="1" x14ac:dyDescent="0.15">
      <c r="A3" s="292">
        <v>1</v>
      </c>
    </row>
    <row r="4" spans="1:38" ht="29.25" customHeight="1" x14ac:dyDescent="0.2">
      <c r="A4" s="292">
        <v>1</v>
      </c>
      <c r="B4" s="42" t="s">
        <v>1076</v>
      </c>
      <c r="C4" s="503">
        <v>0</v>
      </c>
      <c r="D4" s="503"/>
      <c r="E4" s="503"/>
      <c r="F4" s="503"/>
      <c r="G4" s="504"/>
      <c r="H4" s="510" t="s">
        <v>1025</v>
      </c>
      <c r="I4" s="511"/>
      <c r="J4" s="272">
        <v>6000</v>
      </c>
      <c r="L4" s="510" t="s">
        <v>3</v>
      </c>
      <c r="M4" s="511"/>
      <c r="N4" s="28">
        <v>0.8</v>
      </c>
      <c r="S4" s="514" t="s">
        <v>1087</v>
      </c>
      <c r="T4" s="515"/>
      <c r="X4" s="512" t="s">
        <v>1092</v>
      </c>
      <c r="Y4" s="513"/>
      <c r="AB4" s="11"/>
      <c r="AD4" s="255" t="s">
        <v>1033</v>
      </c>
      <c r="AE4" s="256"/>
      <c r="AF4" s="257"/>
      <c r="AG4" s="255"/>
      <c r="AH4" s="258"/>
      <c r="AI4" s="258"/>
      <c r="AJ4" s="258"/>
      <c r="AK4" s="259"/>
    </row>
    <row r="5" spans="1:38" ht="42.75" customHeight="1" x14ac:dyDescent="0.15">
      <c r="A5" s="292">
        <v>1</v>
      </c>
      <c r="B5" s="42" t="s">
        <v>133</v>
      </c>
      <c r="C5" s="503">
        <v>0</v>
      </c>
      <c r="D5" s="503"/>
      <c r="E5" s="503"/>
      <c r="F5" s="503"/>
      <c r="G5" s="504"/>
      <c r="H5" s="510" t="s">
        <v>1079</v>
      </c>
      <c r="I5" s="511"/>
      <c r="J5" s="272">
        <v>4000</v>
      </c>
      <c r="L5" s="510" t="s">
        <v>1082</v>
      </c>
      <c r="M5" s="511"/>
      <c r="N5" s="35">
        <v>0.01</v>
      </c>
      <c r="S5" s="290" t="s">
        <v>1088</v>
      </c>
      <c r="T5" s="35">
        <v>0</v>
      </c>
      <c r="X5" s="50" t="s">
        <v>30</v>
      </c>
      <c r="Y5" s="50" t="s">
        <v>1096</v>
      </c>
      <c r="AB5" s="11"/>
      <c r="AD5" s="253"/>
      <c r="AE5" s="254"/>
      <c r="AF5" s="254"/>
      <c r="AG5" s="254"/>
      <c r="AH5" s="261" t="s">
        <v>1034</v>
      </c>
      <c r="AI5" s="261"/>
      <c r="AJ5" s="261"/>
      <c r="AK5" s="295" t="s">
        <v>1097</v>
      </c>
    </row>
    <row r="6" spans="1:38" ht="42" customHeight="1" x14ac:dyDescent="0.15">
      <c r="A6" s="292">
        <v>1</v>
      </c>
      <c r="B6" s="42" t="s">
        <v>1077</v>
      </c>
      <c r="C6" s="503">
        <v>0</v>
      </c>
      <c r="D6" s="503"/>
      <c r="E6" s="503"/>
      <c r="F6" s="503"/>
      <c r="G6" s="504"/>
      <c r="H6" s="510" t="s">
        <v>1080</v>
      </c>
      <c r="I6" s="511"/>
      <c r="J6" s="31">
        <v>250</v>
      </c>
      <c r="L6" s="510" t="s">
        <v>1083</v>
      </c>
      <c r="M6" s="511"/>
      <c r="N6" s="36">
        <v>0.75</v>
      </c>
      <c r="S6" s="290" t="s">
        <v>1089</v>
      </c>
      <c r="T6" s="35">
        <v>0</v>
      </c>
      <c r="X6" s="50" t="s">
        <v>1093</v>
      </c>
      <c r="Y6" s="34">
        <v>4.4999999999999997E-3</v>
      </c>
      <c r="AB6" s="11"/>
      <c r="AD6" s="248"/>
      <c r="AE6" s="249" t="s">
        <v>52</v>
      </c>
      <c r="AF6" s="508" t="s">
        <v>48</v>
      </c>
      <c r="AG6" s="508"/>
      <c r="AH6" s="250">
        <v>800</v>
      </c>
      <c r="AI6" s="250"/>
      <c r="AJ6" s="250"/>
      <c r="AK6" s="251">
        <v>1.6666666666666666E-2</v>
      </c>
    </row>
    <row r="7" spans="1:38" ht="23.25" customHeight="1" x14ac:dyDescent="0.15">
      <c r="A7" s="292">
        <v>1</v>
      </c>
      <c r="B7" s="42" t="s">
        <v>22</v>
      </c>
      <c r="C7" s="362">
        <v>0</v>
      </c>
      <c r="D7" s="362"/>
      <c r="E7" s="362"/>
      <c r="F7" s="362"/>
      <c r="G7" s="363"/>
      <c r="H7" s="510" t="s">
        <v>1081</v>
      </c>
      <c r="I7" s="511"/>
      <c r="J7" s="28">
        <v>4</v>
      </c>
      <c r="L7" s="510" t="s">
        <v>1084</v>
      </c>
      <c r="M7" s="511"/>
      <c r="N7" s="28">
        <v>1.5</v>
      </c>
      <c r="S7" s="514" t="s">
        <v>228</v>
      </c>
      <c r="T7" s="515"/>
      <c r="X7" s="50" t="s">
        <v>1094</v>
      </c>
      <c r="Y7" s="34">
        <v>4.0000000000000001E-3</v>
      </c>
      <c r="AB7" s="11"/>
      <c r="AD7" s="252"/>
      <c r="AE7" s="262" t="s">
        <v>250</v>
      </c>
      <c r="AF7" s="509">
        <v>600</v>
      </c>
      <c r="AG7" s="509"/>
      <c r="AH7" s="260"/>
      <c r="AI7" s="260"/>
      <c r="AJ7" s="260"/>
      <c r="AK7" s="263">
        <v>10</v>
      </c>
    </row>
    <row r="8" spans="1:38" ht="23.25" customHeight="1" x14ac:dyDescent="0.15">
      <c r="A8" s="292">
        <v>1</v>
      </c>
      <c r="B8" s="42" t="s">
        <v>120</v>
      </c>
      <c r="C8" s="543">
        <v>0</v>
      </c>
      <c r="D8" s="503"/>
      <c r="E8" s="503"/>
      <c r="F8" s="503"/>
      <c r="G8" s="504"/>
      <c r="H8" s="510" t="s">
        <v>11</v>
      </c>
      <c r="I8" s="511"/>
      <c r="J8" s="28">
        <v>1.5</v>
      </c>
      <c r="L8" s="510" t="s">
        <v>1085</v>
      </c>
      <c r="M8" s="511"/>
      <c r="N8" s="30">
        <v>1</v>
      </c>
      <c r="S8" s="29" t="s">
        <v>1090</v>
      </c>
      <c r="T8" s="28">
        <v>0.9</v>
      </c>
      <c r="X8" s="50" t="s">
        <v>1095</v>
      </c>
      <c r="Y8" s="34">
        <v>3.5000000000000001E-3</v>
      </c>
      <c r="AB8" s="11"/>
      <c r="AD8" s="505" t="s">
        <v>1036</v>
      </c>
      <c r="AE8" s="506"/>
      <c r="AF8" s="506"/>
      <c r="AG8" s="506"/>
      <c r="AH8" s="506"/>
      <c r="AI8" s="506"/>
      <c r="AJ8" s="506"/>
      <c r="AK8" s="507"/>
    </row>
    <row r="9" spans="1:38" ht="23.25" customHeight="1" x14ac:dyDescent="0.15">
      <c r="A9" s="292">
        <v>1</v>
      </c>
      <c r="H9" s="510" t="s">
        <v>12</v>
      </c>
      <c r="I9" s="511"/>
      <c r="J9" s="28">
        <v>1.2</v>
      </c>
      <c r="L9" s="510" t="s">
        <v>1086</v>
      </c>
      <c r="M9" s="511"/>
      <c r="N9" s="32">
        <v>150</v>
      </c>
      <c r="S9" s="29" t="s">
        <v>1091</v>
      </c>
      <c r="T9" s="28">
        <v>0.65</v>
      </c>
    </row>
    <row r="10" spans="1:38" ht="4.5" customHeight="1" x14ac:dyDescent="0.2">
      <c r="A10" s="292">
        <v>1</v>
      </c>
      <c r="B10" s="53"/>
      <c r="C10" s="53"/>
      <c r="M10" s="15"/>
      <c r="S10" s="16"/>
      <c r="T10" s="37"/>
      <c r="U10" s="37"/>
      <c r="V10" s="37"/>
      <c r="W10" s="17"/>
      <c r="X10" s="11"/>
      <c r="Y10" s="37"/>
      <c r="Z10" s="37"/>
      <c r="AA10" s="37"/>
      <c r="AB10" s="37"/>
      <c r="AC10" s="264"/>
      <c r="AD10" s="37"/>
      <c r="AE10" s="14"/>
      <c r="AF10" s="14"/>
      <c r="AG10" s="14"/>
      <c r="AH10" s="14"/>
      <c r="AI10" s="14"/>
      <c r="AJ10" s="14"/>
      <c r="AK10" s="14"/>
    </row>
    <row r="11" spans="1:38" s="38" customFormat="1" ht="37.5" customHeight="1" x14ac:dyDescent="0.15">
      <c r="A11" s="293">
        <v>1</v>
      </c>
      <c r="B11" s="530" t="s">
        <v>966</v>
      </c>
      <c r="C11" s="540" t="s">
        <v>1098</v>
      </c>
      <c r="D11" s="533" t="s">
        <v>1099</v>
      </c>
      <c r="E11" s="534"/>
      <c r="F11" s="534"/>
      <c r="G11" s="535"/>
      <c r="H11" s="525" t="s">
        <v>1103</v>
      </c>
      <c r="I11" s="527"/>
      <c r="J11" s="533" t="s">
        <v>1105</v>
      </c>
      <c r="K11" s="534"/>
      <c r="L11" s="535"/>
      <c r="M11" s="525" t="s">
        <v>1106</v>
      </c>
      <c r="N11" s="527"/>
      <c r="O11" s="525" t="s">
        <v>1107</v>
      </c>
      <c r="P11" s="527"/>
      <c r="Q11" s="528" t="s">
        <v>1108</v>
      </c>
      <c r="R11" s="529"/>
      <c r="S11" s="525" t="s">
        <v>15</v>
      </c>
      <c r="T11" s="527"/>
      <c r="U11" s="528" t="s">
        <v>110</v>
      </c>
      <c r="V11" s="529"/>
      <c r="W11" s="525" t="s">
        <v>1109</v>
      </c>
      <c r="X11" s="527"/>
      <c r="Y11" s="519" t="s">
        <v>1116</v>
      </c>
      <c r="Z11" s="522" t="s">
        <v>43</v>
      </c>
      <c r="AA11" s="525" t="s">
        <v>1117</v>
      </c>
      <c r="AB11" s="526"/>
      <c r="AC11" s="526"/>
      <c r="AD11" s="526"/>
      <c r="AE11" s="526"/>
      <c r="AF11" s="526"/>
      <c r="AG11" s="526"/>
      <c r="AH11" s="527"/>
      <c r="AI11" s="519" t="s">
        <v>1125</v>
      </c>
      <c r="AJ11" s="519" t="s">
        <v>1126</v>
      </c>
      <c r="AK11" s="516" t="s">
        <v>1127</v>
      </c>
    </row>
    <row r="12" spans="1:38" s="38" customFormat="1" ht="32.25" customHeight="1" x14ac:dyDescent="0.15">
      <c r="A12" s="293">
        <v>1</v>
      </c>
      <c r="B12" s="531"/>
      <c r="C12" s="541"/>
      <c r="D12" s="525" t="s">
        <v>1100</v>
      </c>
      <c r="E12" s="526"/>
      <c r="F12" s="527"/>
      <c r="G12" s="519" t="s">
        <v>1102</v>
      </c>
      <c r="H12" s="536" t="s">
        <v>1104</v>
      </c>
      <c r="I12" s="537"/>
      <c r="J12" s="519" t="s">
        <v>1110</v>
      </c>
      <c r="K12" s="519" t="s">
        <v>1111</v>
      </c>
      <c r="L12" s="519" t="s">
        <v>1112</v>
      </c>
      <c r="M12" s="519" t="s">
        <v>1113</v>
      </c>
      <c r="N12" s="519" t="s">
        <v>1114</v>
      </c>
      <c r="O12" s="519" t="s">
        <v>1113</v>
      </c>
      <c r="P12" s="519" t="s">
        <v>1114</v>
      </c>
      <c r="Q12" s="519" t="s">
        <v>1113</v>
      </c>
      <c r="R12" s="519" t="s">
        <v>1114</v>
      </c>
      <c r="S12" s="519" t="s">
        <v>130</v>
      </c>
      <c r="T12" s="519" t="s">
        <v>129</v>
      </c>
      <c r="U12" s="519" t="s">
        <v>130</v>
      </c>
      <c r="V12" s="519" t="s">
        <v>129</v>
      </c>
      <c r="W12" s="519" t="s">
        <v>44</v>
      </c>
      <c r="X12" s="519" t="s">
        <v>1115</v>
      </c>
      <c r="Y12" s="521"/>
      <c r="Z12" s="523"/>
      <c r="AA12" s="525" t="s">
        <v>1118</v>
      </c>
      <c r="AB12" s="526"/>
      <c r="AC12" s="526"/>
      <c r="AD12" s="526"/>
      <c r="AE12" s="527"/>
      <c r="AF12" s="525" t="s">
        <v>1119</v>
      </c>
      <c r="AG12" s="526"/>
      <c r="AH12" s="527"/>
      <c r="AI12" s="521"/>
      <c r="AJ12" s="521"/>
      <c r="AK12" s="517"/>
      <c r="AL12" s="41"/>
    </row>
    <row r="13" spans="1:38" s="38" customFormat="1" ht="48" customHeight="1" x14ac:dyDescent="0.15">
      <c r="A13" s="293">
        <v>1</v>
      </c>
      <c r="B13" s="531"/>
      <c r="C13" s="542"/>
      <c r="D13" s="54" t="s">
        <v>1101</v>
      </c>
      <c r="E13" s="344" t="s">
        <v>230</v>
      </c>
      <c r="F13" s="344" t="s">
        <v>231</v>
      </c>
      <c r="G13" s="520"/>
      <c r="H13" s="538"/>
      <c r="I13" s="539"/>
      <c r="J13" s="520"/>
      <c r="K13" s="520"/>
      <c r="L13" s="520"/>
      <c r="M13" s="520"/>
      <c r="N13" s="520"/>
      <c r="O13" s="520"/>
      <c r="P13" s="520"/>
      <c r="Q13" s="520"/>
      <c r="R13" s="520"/>
      <c r="S13" s="520"/>
      <c r="T13" s="520"/>
      <c r="U13" s="520"/>
      <c r="V13" s="520"/>
      <c r="W13" s="520"/>
      <c r="X13" s="520"/>
      <c r="Y13" s="520"/>
      <c r="Z13" s="524"/>
      <c r="AA13" s="54" t="s">
        <v>1120</v>
      </c>
      <c r="AB13" s="54" t="s">
        <v>1121</v>
      </c>
      <c r="AC13" s="265" t="s">
        <v>1122</v>
      </c>
      <c r="AD13" s="52" t="s">
        <v>37</v>
      </c>
      <c r="AE13" s="52" t="s">
        <v>38</v>
      </c>
      <c r="AF13" s="52" t="s">
        <v>1123</v>
      </c>
      <c r="AG13" s="54" t="s">
        <v>1124</v>
      </c>
      <c r="AH13" s="52" t="s">
        <v>1122</v>
      </c>
      <c r="AI13" s="521"/>
      <c r="AJ13" s="521"/>
      <c r="AK13" s="517"/>
    </row>
    <row r="14" spans="1:38" s="38" customFormat="1" ht="33" customHeight="1" x14ac:dyDescent="0.15">
      <c r="A14" s="293">
        <v>1</v>
      </c>
      <c r="B14" s="532"/>
      <c r="C14" s="291" t="s">
        <v>9</v>
      </c>
      <c r="D14" s="291" t="s">
        <v>25</v>
      </c>
      <c r="E14" s="291" t="s">
        <v>25</v>
      </c>
      <c r="F14" s="291" t="s">
        <v>25</v>
      </c>
      <c r="G14" s="291" t="s">
        <v>25</v>
      </c>
      <c r="H14" s="291" t="s">
        <v>53</v>
      </c>
      <c r="I14" s="291" t="s">
        <v>54</v>
      </c>
      <c r="J14" s="291" t="s">
        <v>17</v>
      </c>
      <c r="K14" s="291" t="s">
        <v>17</v>
      </c>
      <c r="L14" s="291" t="s">
        <v>17</v>
      </c>
      <c r="M14" s="291" t="s">
        <v>9</v>
      </c>
      <c r="N14" s="291" t="s">
        <v>9</v>
      </c>
      <c r="O14" s="291" t="s">
        <v>9</v>
      </c>
      <c r="P14" s="291" t="s">
        <v>9</v>
      </c>
      <c r="Q14" s="291" t="s">
        <v>9</v>
      </c>
      <c r="R14" s="291" t="s">
        <v>9</v>
      </c>
      <c r="S14" s="291" t="s">
        <v>9</v>
      </c>
      <c r="T14" s="291" t="s">
        <v>9</v>
      </c>
      <c r="U14" s="291" t="s">
        <v>9</v>
      </c>
      <c r="V14" s="291" t="s">
        <v>9</v>
      </c>
      <c r="W14" s="291" t="s">
        <v>18</v>
      </c>
      <c r="X14" s="291" t="s">
        <v>18</v>
      </c>
      <c r="Y14" s="291" t="s">
        <v>10</v>
      </c>
      <c r="Z14" s="291" t="s">
        <v>7</v>
      </c>
      <c r="AA14" s="291" t="s">
        <v>17</v>
      </c>
      <c r="AB14" s="291" t="s">
        <v>19</v>
      </c>
      <c r="AC14" s="291" t="s">
        <v>20</v>
      </c>
      <c r="AD14" s="291" t="s">
        <v>21</v>
      </c>
      <c r="AE14" s="291" t="s">
        <v>21</v>
      </c>
      <c r="AF14" s="291" t="s">
        <v>17</v>
      </c>
      <c r="AG14" s="291" t="s">
        <v>19</v>
      </c>
      <c r="AH14" s="291" t="s">
        <v>20</v>
      </c>
      <c r="AI14" s="520"/>
      <c r="AJ14" s="520"/>
      <c r="AK14" s="518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</mergeCells>
  <phoneticPr fontId="49" type="noConversion"/>
  <conditionalFormatting sqref="AF6 AK7 AH6:AK6">
    <cfRule type="cellIs" dxfId="126" priority="61524" operator="equal">
      <formula>0</formula>
    </cfRule>
  </conditionalFormatting>
  <conditionalFormatting sqref="C4:G6">
    <cfRule type="cellIs" dxfId="125" priority="482" operator="equal">
      <formula>0</formula>
    </cfRule>
  </conditionalFormatting>
  <conditionalFormatting sqref="C7:G8">
    <cfRule type="cellIs" dxfId="124" priority="481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209550</xdr:colOff>
                    <xdr:row>7</xdr:row>
                    <xdr:rowOff>190500</xdr:rowOff>
                  </from>
                  <to>
                    <xdr:col>6</xdr:col>
                    <xdr:colOff>800100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238125</xdr:colOff>
                    <xdr:row>5</xdr:row>
                    <xdr:rowOff>514350</xdr:rowOff>
                  </from>
                  <to>
                    <xdr:col>6</xdr:col>
                    <xdr:colOff>809625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>
      <selection activeCell="G2" sqref="G2"/>
    </sheetView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109" bestFit="1" customWidth="1"/>
    <col min="8" max="8" width="10" bestFit="1" customWidth="1"/>
    <col min="9" max="9" width="12.140625" bestFit="1" customWidth="1"/>
  </cols>
  <sheetData>
    <row r="1" spans="1:7" x14ac:dyDescent="0.2">
      <c r="A1" t="s">
        <v>62</v>
      </c>
      <c r="B1" t="s">
        <v>65</v>
      </c>
      <c r="C1" t="s">
        <v>68</v>
      </c>
      <c r="D1" t="s">
        <v>66</v>
      </c>
      <c r="E1" s="218" t="s">
        <v>67</v>
      </c>
      <c r="F1" s="109" t="s">
        <v>107</v>
      </c>
      <c r="G1" t="s">
        <v>118</v>
      </c>
    </row>
    <row r="2" spans="1:7" s="109" customFormat="1" x14ac:dyDescent="0.2">
      <c r="A2" s="198"/>
      <c r="B2"/>
      <c r="C2" s="207"/>
      <c r="D2" s="207"/>
      <c r="F2" s="207"/>
      <c r="G2" s="207"/>
    </row>
    <row r="3" spans="1:7" s="109" customFormat="1" x14ac:dyDescent="0.2">
      <c r="A3" s="198"/>
      <c r="B3"/>
      <c r="C3" s="207"/>
      <c r="D3" s="207"/>
      <c r="F3" s="207"/>
      <c r="G3" s="207"/>
    </row>
    <row r="4" spans="1:7" s="109" customFormat="1" x14ac:dyDescent="0.2">
      <c r="A4" s="198"/>
      <c r="B4"/>
      <c r="C4" s="207"/>
      <c r="D4" s="207"/>
      <c r="F4" s="207"/>
      <c r="G4" s="207"/>
    </row>
    <row r="5" spans="1:7" s="109" customFormat="1" x14ac:dyDescent="0.2">
      <c r="A5" s="198"/>
      <c r="B5"/>
      <c r="C5" s="207"/>
      <c r="D5" s="207"/>
      <c r="F5" s="207"/>
      <c r="G5" s="207"/>
    </row>
    <row r="6" spans="1:7" s="109" customFormat="1" x14ac:dyDescent="0.2">
      <c r="A6" s="198"/>
      <c r="B6"/>
      <c r="C6" s="207"/>
      <c r="D6" s="207"/>
      <c r="F6" s="207"/>
      <c r="G6" s="207"/>
    </row>
    <row r="7" spans="1:7" s="109" customFormat="1" x14ac:dyDescent="0.2">
      <c r="A7" s="198"/>
      <c r="B7"/>
      <c r="C7" s="207"/>
      <c r="D7" s="207"/>
      <c r="F7" s="207"/>
      <c r="G7" s="207"/>
    </row>
    <row r="8" spans="1:7" s="109" customFormat="1" x14ac:dyDescent="0.2">
      <c r="A8" s="198"/>
      <c r="B8"/>
      <c r="C8" s="207"/>
      <c r="D8" s="207"/>
      <c r="F8" s="207"/>
      <c r="G8" s="207"/>
    </row>
    <row r="9" spans="1:7" s="109" customFormat="1" x14ac:dyDescent="0.2">
      <c r="A9" s="198"/>
      <c r="B9"/>
      <c r="C9" s="207"/>
      <c r="D9" s="207"/>
      <c r="F9" s="207"/>
      <c r="G9" s="207"/>
    </row>
    <row r="10" spans="1:7" s="109" customFormat="1" x14ac:dyDescent="0.2">
      <c r="A10" s="198"/>
      <c r="B10"/>
      <c r="C10" s="207"/>
      <c r="D10" s="207"/>
      <c r="F10" s="207"/>
      <c r="G10" s="207"/>
    </row>
    <row r="11" spans="1:7" s="109" customFormat="1" x14ac:dyDescent="0.2">
      <c r="A11" s="198"/>
      <c r="B11"/>
      <c r="C11" s="207"/>
      <c r="D11" s="207"/>
      <c r="F11" s="207"/>
      <c r="G11" s="207"/>
    </row>
    <row r="12" spans="1:7" s="109" customFormat="1" x14ac:dyDescent="0.2">
      <c r="A12" s="198"/>
      <c r="B12"/>
      <c r="C12" s="207"/>
      <c r="D12" s="207"/>
      <c r="F12" s="207"/>
      <c r="G12" s="207"/>
    </row>
    <row r="13" spans="1:7" s="109" customFormat="1" x14ac:dyDescent="0.2">
      <c r="A13" s="198"/>
      <c r="B13"/>
      <c r="C13" s="207"/>
      <c r="D13" s="207"/>
      <c r="F13" s="207"/>
      <c r="G13" s="207"/>
    </row>
    <row r="14" spans="1:7" s="109" customFormat="1" x14ac:dyDescent="0.2">
      <c r="A14" s="198"/>
      <c r="B14"/>
      <c r="C14" s="207"/>
      <c r="D14" s="207"/>
      <c r="F14" s="207"/>
      <c r="G14" s="207"/>
    </row>
    <row r="15" spans="1:7" s="109" customFormat="1" x14ac:dyDescent="0.2">
      <c r="A15" s="198"/>
      <c r="B15"/>
      <c r="C15" s="207"/>
      <c r="D15" s="207"/>
      <c r="F15" s="207"/>
      <c r="G15" s="207"/>
    </row>
    <row r="16" spans="1:7" s="109" customFormat="1" x14ac:dyDescent="0.2">
      <c r="A16" s="198"/>
      <c r="B16"/>
      <c r="C16" s="207"/>
      <c r="D16" s="207"/>
      <c r="F16" s="207"/>
      <c r="G16" s="207"/>
    </row>
    <row r="17" spans="1:7" s="109" customFormat="1" x14ac:dyDescent="0.2">
      <c r="A17" s="198"/>
      <c r="B17"/>
      <c r="C17" s="207"/>
      <c r="D17" s="207"/>
      <c r="F17" s="207"/>
      <c r="G17" s="207"/>
    </row>
    <row r="18" spans="1:7" s="109" customFormat="1" x14ac:dyDescent="0.2">
      <c r="A18" s="198"/>
      <c r="B18"/>
      <c r="C18" s="207"/>
      <c r="D18" s="207"/>
      <c r="F18" s="207"/>
      <c r="G18" s="207"/>
    </row>
    <row r="19" spans="1:7" s="109" customFormat="1" x14ac:dyDescent="0.2">
      <c r="A19" s="198"/>
      <c r="B19"/>
      <c r="C19" s="207"/>
      <c r="D19" s="207"/>
      <c r="F19" s="207"/>
      <c r="G19" s="207"/>
    </row>
    <row r="20" spans="1:7" s="109" customFormat="1" x14ac:dyDescent="0.2">
      <c r="A20" s="198"/>
      <c r="B20"/>
      <c r="C20" s="207"/>
      <c r="D20" s="207"/>
      <c r="F20" s="207"/>
      <c r="G20" s="207"/>
    </row>
    <row r="21" spans="1:7" s="109" customFormat="1" x14ac:dyDescent="0.2">
      <c r="A21" s="198"/>
      <c r="B21"/>
      <c r="C21" s="207"/>
      <c r="D21" s="207"/>
      <c r="F21" s="207"/>
      <c r="G21" s="207"/>
    </row>
    <row r="22" spans="1:7" s="109" customFormat="1" x14ac:dyDescent="0.2">
      <c r="A22" s="198"/>
      <c r="B22"/>
      <c r="C22" s="207"/>
      <c r="D22" s="207"/>
      <c r="F22" s="207"/>
      <c r="G22" s="207"/>
    </row>
    <row r="23" spans="1:7" s="109" customFormat="1" x14ac:dyDescent="0.2">
      <c r="A23" s="198"/>
      <c r="B23"/>
      <c r="C23" s="207"/>
      <c r="D23" s="207"/>
      <c r="F23" s="207"/>
      <c r="G23" s="207"/>
    </row>
    <row r="24" spans="1:7" s="109" customFormat="1" x14ac:dyDescent="0.2">
      <c r="A24" s="198"/>
      <c r="B24"/>
      <c r="C24" s="207"/>
      <c r="D24" s="207"/>
      <c r="F24" s="207"/>
      <c r="G24" s="207"/>
    </row>
    <row r="25" spans="1:7" s="109" customFormat="1" x14ac:dyDescent="0.2">
      <c r="A25" s="198"/>
      <c r="B25"/>
      <c r="C25" s="207"/>
      <c r="D25" s="207"/>
      <c r="F25" s="207"/>
      <c r="G25" s="207"/>
    </row>
    <row r="26" spans="1:7" s="109" customFormat="1" x14ac:dyDescent="0.2">
      <c r="A26" s="198"/>
      <c r="B26"/>
      <c r="C26" s="207"/>
      <c r="D26" s="207"/>
      <c r="F26" s="207"/>
      <c r="G26" s="207"/>
    </row>
    <row r="27" spans="1:7" s="109" customFormat="1" x14ac:dyDescent="0.2">
      <c r="A27" s="198"/>
      <c r="B27"/>
      <c r="C27" s="207"/>
      <c r="D27" s="207"/>
      <c r="F27" s="207"/>
      <c r="G27" s="207"/>
    </row>
    <row r="28" spans="1:7" s="109" customFormat="1" x14ac:dyDescent="0.2">
      <c r="A28" s="198"/>
      <c r="B28"/>
      <c r="C28" s="207"/>
      <c r="D28" s="207"/>
      <c r="F28" s="207"/>
      <c r="G28" s="207"/>
    </row>
    <row r="29" spans="1:7" s="109" customFormat="1" x14ac:dyDescent="0.2">
      <c r="A29" s="198"/>
      <c r="B29"/>
      <c r="C29" s="207"/>
      <c r="D29" s="207"/>
      <c r="F29" s="207"/>
      <c r="G29" s="207"/>
    </row>
    <row r="30" spans="1:7" s="109" customFormat="1" x14ac:dyDescent="0.2">
      <c r="A30" s="198"/>
      <c r="B30"/>
      <c r="C30" s="207"/>
      <c r="D30" s="207"/>
      <c r="F30" s="207"/>
      <c r="G30" s="207"/>
    </row>
    <row r="31" spans="1:7" s="109" customFormat="1" x14ac:dyDescent="0.2">
      <c r="A31" s="198"/>
      <c r="B31"/>
      <c r="C31" s="207"/>
      <c r="D31" s="207"/>
      <c r="F31" s="207"/>
      <c r="G31" s="207"/>
    </row>
    <row r="32" spans="1:7" s="109" customFormat="1" x14ac:dyDescent="0.2">
      <c r="A32" s="198"/>
      <c r="B32"/>
      <c r="C32" s="207"/>
      <c r="D32" s="207"/>
      <c r="F32" s="207"/>
      <c r="G32" s="207"/>
    </row>
    <row r="33" spans="1:7" s="109" customFormat="1" x14ac:dyDescent="0.2">
      <c r="A33" s="198"/>
      <c r="B33"/>
      <c r="C33" s="207"/>
      <c r="D33" s="207"/>
      <c r="F33" s="207"/>
      <c r="G33" s="207"/>
    </row>
    <row r="34" spans="1:7" s="109" customFormat="1" x14ac:dyDescent="0.2">
      <c r="A34" s="198"/>
      <c r="B34"/>
      <c r="C34" s="207"/>
      <c r="D34" s="207"/>
      <c r="F34" s="207"/>
      <c r="G34" s="207"/>
    </row>
    <row r="35" spans="1:7" s="109" customFormat="1" x14ac:dyDescent="0.2">
      <c r="A35" s="198"/>
      <c r="B35"/>
      <c r="C35" s="207"/>
      <c r="D35" s="207"/>
      <c r="F35" s="207"/>
      <c r="G35" s="207"/>
    </row>
    <row r="36" spans="1:7" s="109" customFormat="1" x14ac:dyDescent="0.2">
      <c r="A36" s="198"/>
      <c r="B36"/>
      <c r="C36" s="207"/>
      <c r="D36" s="207"/>
      <c r="F36" s="207"/>
      <c r="G36" s="207"/>
    </row>
    <row r="37" spans="1:7" s="109" customFormat="1" x14ac:dyDescent="0.2">
      <c r="A37" s="198"/>
      <c r="B37"/>
      <c r="C37" s="207"/>
      <c r="D37" s="207"/>
      <c r="F37" s="207"/>
      <c r="G37" s="207"/>
    </row>
    <row r="38" spans="1:7" s="109" customFormat="1" x14ac:dyDescent="0.2">
      <c r="A38" s="198"/>
      <c r="B38"/>
      <c r="C38" s="207"/>
      <c r="D38" s="207"/>
      <c r="F38" s="207"/>
      <c r="G38" s="207"/>
    </row>
    <row r="39" spans="1:7" s="109" customFormat="1" x14ac:dyDescent="0.2">
      <c r="A39" s="198"/>
      <c r="B39"/>
      <c r="C39" s="207"/>
      <c r="D39" s="207"/>
      <c r="F39" s="207"/>
      <c r="G39" s="207"/>
    </row>
    <row r="40" spans="1:7" s="109" customFormat="1" x14ac:dyDescent="0.2">
      <c r="A40" s="198"/>
      <c r="B40"/>
      <c r="C40" s="207"/>
      <c r="D40" s="207"/>
      <c r="F40" s="207"/>
      <c r="G40" s="207"/>
    </row>
    <row r="41" spans="1:7" s="109" customFormat="1" x14ac:dyDescent="0.2">
      <c r="A41" s="198"/>
      <c r="B41"/>
      <c r="C41" s="207"/>
      <c r="D41" s="207"/>
      <c r="F41" s="207"/>
      <c r="G41" s="207"/>
    </row>
    <row r="42" spans="1:7" s="109" customFormat="1" x14ac:dyDescent="0.2">
      <c r="A42" s="198"/>
      <c r="B42"/>
      <c r="C42" s="207"/>
      <c r="D42" s="207"/>
      <c r="F42" s="207"/>
      <c r="G42" s="207"/>
    </row>
    <row r="43" spans="1:7" s="109" customFormat="1" x14ac:dyDescent="0.2">
      <c r="A43" s="198"/>
      <c r="B43"/>
      <c r="C43" s="207"/>
      <c r="D43" s="207"/>
      <c r="F43" s="207"/>
      <c r="G43" s="207"/>
    </row>
    <row r="44" spans="1:7" s="109" customFormat="1" x14ac:dyDescent="0.2">
      <c r="A44" s="198"/>
      <c r="B44"/>
      <c r="C44" s="207"/>
      <c r="D44" s="207"/>
      <c r="F44" s="207"/>
      <c r="G44" s="207"/>
    </row>
    <row r="45" spans="1:7" s="109" customFormat="1" x14ac:dyDescent="0.2">
      <c r="A45" s="198"/>
      <c r="B45"/>
      <c r="C45" s="207"/>
      <c r="D45" s="207"/>
      <c r="F45" s="207"/>
      <c r="G45" s="207"/>
    </row>
    <row r="46" spans="1:7" s="109" customFormat="1" x14ac:dyDescent="0.2">
      <c r="A46" s="198"/>
      <c r="B46"/>
      <c r="C46" s="207"/>
      <c r="D46" s="207"/>
      <c r="F46" s="207"/>
      <c r="G46" s="207"/>
    </row>
    <row r="47" spans="1:7" s="109" customFormat="1" x14ac:dyDescent="0.2">
      <c r="A47" s="198"/>
      <c r="B47"/>
      <c r="C47" s="207"/>
      <c r="D47" s="207"/>
      <c r="F47" s="207"/>
      <c r="G47" s="207"/>
    </row>
    <row r="48" spans="1:7" s="109" customFormat="1" x14ac:dyDescent="0.2">
      <c r="A48" s="198"/>
      <c r="B48"/>
      <c r="C48" s="207"/>
      <c r="D48" s="207"/>
      <c r="F48" s="207"/>
      <c r="G48" s="207"/>
    </row>
    <row r="49" spans="1:7" s="109" customFormat="1" x14ac:dyDescent="0.2">
      <c r="A49" s="198"/>
      <c r="B49"/>
      <c r="C49" s="207"/>
      <c r="D49" s="207"/>
      <c r="F49" s="207"/>
      <c r="G49" s="207"/>
    </row>
    <row r="50" spans="1:7" s="109" customFormat="1" x14ac:dyDescent="0.2">
      <c r="A50" s="198"/>
      <c r="B50"/>
      <c r="C50" s="207"/>
      <c r="D50" s="207"/>
      <c r="F50" s="207"/>
      <c r="G50" s="207"/>
    </row>
    <row r="51" spans="1:7" s="109" customFormat="1" x14ac:dyDescent="0.2">
      <c r="A51" s="198"/>
      <c r="B51"/>
      <c r="C51" s="207"/>
      <c r="D51" s="207"/>
      <c r="F51" s="207"/>
      <c r="G51" s="207"/>
    </row>
    <row r="52" spans="1:7" s="109" customFormat="1" x14ac:dyDescent="0.2">
      <c r="A52" s="198"/>
      <c r="B52"/>
      <c r="C52" s="207"/>
      <c r="D52" s="207"/>
      <c r="F52" s="207"/>
      <c r="G52" s="207"/>
    </row>
    <row r="53" spans="1:7" s="109" customFormat="1" x14ac:dyDescent="0.2">
      <c r="A53" s="198"/>
      <c r="B53"/>
      <c r="C53" s="207"/>
      <c r="D53" s="207"/>
      <c r="F53" s="207"/>
      <c r="G53" s="207"/>
    </row>
    <row r="54" spans="1:7" s="109" customFormat="1" x14ac:dyDescent="0.2">
      <c r="A54" s="198"/>
      <c r="B54"/>
      <c r="C54" s="207"/>
      <c r="D54" s="207"/>
      <c r="F54" s="207"/>
      <c r="G54" s="207"/>
    </row>
    <row r="55" spans="1:7" s="109" customFormat="1" x14ac:dyDescent="0.2">
      <c r="A55" s="198"/>
      <c r="B55"/>
      <c r="C55" s="207"/>
      <c r="D55" s="207"/>
      <c r="F55" s="207"/>
      <c r="G55" s="207"/>
    </row>
    <row r="56" spans="1:7" s="109" customFormat="1" x14ac:dyDescent="0.2">
      <c r="A56" s="198"/>
      <c r="B56"/>
      <c r="C56" s="207"/>
      <c r="D56" s="207"/>
      <c r="F56" s="207"/>
      <c r="G56" s="207"/>
    </row>
    <row r="57" spans="1:7" s="109" customFormat="1" x14ac:dyDescent="0.2">
      <c r="A57" s="198"/>
      <c r="B57"/>
      <c r="C57" s="207"/>
      <c r="D57" s="207"/>
      <c r="F57" s="207"/>
      <c r="G57" s="207"/>
    </row>
    <row r="58" spans="1:7" s="109" customFormat="1" x14ac:dyDescent="0.2">
      <c r="A58" s="198"/>
      <c r="B58"/>
      <c r="C58" s="207"/>
      <c r="D58" s="207"/>
      <c r="F58" s="207"/>
      <c r="G58" s="207"/>
    </row>
    <row r="59" spans="1:7" s="109" customFormat="1" x14ac:dyDescent="0.2">
      <c r="A59" s="198"/>
      <c r="B59"/>
      <c r="C59" s="207"/>
      <c r="D59" s="207"/>
      <c r="F59" s="207"/>
      <c r="G59" s="207"/>
    </row>
    <row r="60" spans="1:7" s="109" customFormat="1" x14ac:dyDescent="0.2">
      <c r="A60" s="198"/>
      <c r="B60"/>
      <c r="C60" s="207"/>
      <c r="D60" s="207"/>
      <c r="F60" s="207"/>
      <c r="G60" s="207"/>
    </row>
    <row r="61" spans="1:7" s="109" customFormat="1" x14ac:dyDescent="0.2">
      <c r="A61" s="198"/>
      <c r="B61"/>
      <c r="C61" s="207"/>
      <c r="D61" s="207"/>
      <c r="F61" s="207"/>
      <c r="G61" s="207"/>
    </row>
    <row r="62" spans="1:7" s="109" customFormat="1" x14ac:dyDescent="0.2">
      <c r="A62" s="198"/>
      <c r="B62"/>
      <c r="C62" s="207"/>
      <c r="D62" s="207"/>
      <c r="F62" s="207"/>
      <c r="G62" s="207"/>
    </row>
    <row r="63" spans="1:7" s="109" customFormat="1" x14ac:dyDescent="0.2">
      <c r="A63" s="198"/>
      <c r="B63"/>
      <c r="C63" s="207"/>
      <c r="D63" s="207"/>
      <c r="F63" s="207"/>
      <c r="G63" s="207"/>
    </row>
    <row r="64" spans="1:7" s="109" customFormat="1" x14ac:dyDescent="0.2">
      <c r="A64" s="198"/>
      <c r="B64"/>
      <c r="C64" s="207"/>
      <c r="D64" s="207"/>
      <c r="F64" s="207"/>
      <c r="G64" s="207"/>
    </row>
    <row r="65" spans="1:7" s="109" customFormat="1" x14ac:dyDescent="0.2">
      <c r="A65" s="198"/>
      <c r="B65"/>
      <c r="C65" s="207"/>
      <c r="D65" s="207"/>
      <c r="F65" s="207"/>
      <c r="G65" s="207"/>
    </row>
    <row r="66" spans="1:7" s="109" customFormat="1" x14ac:dyDescent="0.2">
      <c r="A66" s="198"/>
      <c r="B66"/>
      <c r="C66" s="207"/>
      <c r="D66" s="207"/>
      <c r="F66" s="207"/>
      <c r="G66" s="207"/>
    </row>
    <row r="67" spans="1:7" s="109" customFormat="1" x14ac:dyDescent="0.2">
      <c r="A67" s="198"/>
      <c r="B67"/>
      <c r="C67" s="207"/>
      <c r="D67" s="207"/>
      <c r="F67" s="207"/>
      <c r="G67" s="207"/>
    </row>
    <row r="68" spans="1:7" s="109" customFormat="1" x14ac:dyDescent="0.2">
      <c r="A68" s="198"/>
      <c r="B68"/>
      <c r="C68" s="207"/>
      <c r="D68" s="207"/>
      <c r="F68" s="207"/>
      <c r="G68" s="207"/>
    </row>
    <row r="69" spans="1:7" s="109" customFormat="1" x14ac:dyDescent="0.2">
      <c r="A69" s="198"/>
      <c r="B69"/>
      <c r="C69" s="207"/>
      <c r="D69" s="207"/>
      <c r="F69" s="207"/>
      <c r="G69" s="207"/>
    </row>
    <row r="70" spans="1:7" s="109" customFormat="1" x14ac:dyDescent="0.2">
      <c r="A70" s="198"/>
      <c r="B70"/>
      <c r="C70" s="207"/>
      <c r="D70" s="207"/>
      <c r="F70" s="207"/>
      <c r="G70" s="207"/>
    </row>
    <row r="71" spans="1:7" s="109" customFormat="1" x14ac:dyDescent="0.2">
      <c r="A71" s="198"/>
      <c r="B71"/>
      <c r="C71" s="207"/>
      <c r="D71" s="207"/>
      <c r="F71" s="207"/>
      <c r="G71" s="207"/>
    </row>
    <row r="72" spans="1:7" s="109" customFormat="1" x14ac:dyDescent="0.2">
      <c r="A72" s="198"/>
      <c r="B72"/>
      <c r="C72" s="207"/>
      <c r="D72" s="207"/>
      <c r="F72" s="207"/>
      <c r="G72" s="207"/>
    </row>
    <row r="73" spans="1:7" s="109" customFormat="1" x14ac:dyDescent="0.2">
      <c r="A73" s="198"/>
      <c r="B73"/>
      <c r="C73" s="207"/>
      <c r="D73" s="207"/>
      <c r="F73" s="207"/>
      <c r="G73" s="207"/>
    </row>
    <row r="74" spans="1:7" s="109" customFormat="1" x14ac:dyDescent="0.2">
      <c r="A74" s="198"/>
      <c r="B74"/>
      <c r="C74" s="207"/>
      <c r="D74" s="207"/>
      <c r="F74" s="207"/>
      <c r="G74" s="207"/>
    </row>
    <row r="75" spans="1:7" s="109" customFormat="1" x14ac:dyDescent="0.2">
      <c r="A75" s="198"/>
      <c r="B75"/>
      <c r="C75" s="207"/>
      <c r="D75" s="207"/>
      <c r="F75" s="207"/>
      <c r="G75" s="207"/>
    </row>
    <row r="76" spans="1:7" s="109" customFormat="1" x14ac:dyDescent="0.2">
      <c r="A76" s="198"/>
      <c r="B76"/>
      <c r="C76" s="207"/>
      <c r="D76" s="207"/>
      <c r="F76" s="207"/>
      <c r="G76" s="207"/>
    </row>
    <row r="77" spans="1:7" s="109" customFormat="1" x14ac:dyDescent="0.2">
      <c r="A77" s="198"/>
      <c r="B77"/>
      <c r="C77" s="207"/>
      <c r="D77" s="207"/>
      <c r="F77" s="207"/>
      <c r="G77" s="207"/>
    </row>
    <row r="78" spans="1:7" s="109" customFormat="1" x14ac:dyDescent="0.2">
      <c r="A78" s="198"/>
      <c r="B78"/>
      <c r="C78" s="207"/>
      <c r="D78" s="207"/>
      <c r="F78" s="207"/>
      <c r="G78" s="207"/>
    </row>
    <row r="79" spans="1:7" s="109" customFormat="1" x14ac:dyDescent="0.2">
      <c r="A79" s="198"/>
      <c r="B79"/>
      <c r="C79" s="207"/>
      <c r="D79" s="207"/>
      <c r="F79" s="207"/>
      <c r="G79" s="207"/>
    </row>
    <row r="80" spans="1:7" s="109" customFormat="1" x14ac:dyDescent="0.2">
      <c r="A80" s="198"/>
      <c r="B80"/>
      <c r="C80" s="207"/>
      <c r="D80" s="207"/>
      <c r="F80" s="207"/>
      <c r="G80" s="207"/>
    </row>
    <row r="81" spans="1:7" s="109" customFormat="1" x14ac:dyDescent="0.2">
      <c r="A81" s="198"/>
      <c r="B81"/>
      <c r="C81" s="207"/>
      <c r="D81" s="207"/>
      <c r="F81" s="207"/>
      <c r="G81" s="207"/>
    </row>
    <row r="82" spans="1:7" s="109" customFormat="1" x14ac:dyDescent="0.2">
      <c r="A82" s="198"/>
      <c r="B82"/>
      <c r="C82" s="207"/>
      <c r="D82" s="207"/>
      <c r="F82" s="207"/>
      <c r="G82" s="207"/>
    </row>
    <row r="83" spans="1:7" s="109" customFormat="1" x14ac:dyDescent="0.2">
      <c r="A83" s="198"/>
      <c r="B83"/>
      <c r="C83" s="207"/>
      <c r="D83" s="207"/>
      <c r="F83" s="207"/>
      <c r="G83" s="207"/>
    </row>
    <row r="84" spans="1:7" s="109" customFormat="1" x14ac:dyDescent="0.2">
      <c r="A84" s="198"/>
      <c r="B84"/>
      <c r="C84" s="207"/>
      <c r="D84" s="207"/>
      <c r="F84" s="207"/>
      <c r="G84" s="207"/>
    </row>
    <row r="85" spans="1:7" s="109" customFormat="1" x14ac:dyDescent="0.2">
      <c r="A85" s="198"/>
      <c r="B85"/>
      <c r="C85" s="207"/>
      <c r="D85" s="207"/>
      <c r="F85" s="207"/>
      <c r="G85" s="207"/>
    </row>
    <row r="86" spans="1:7" s="109" customFormat="1" x14ac:dyDescent="0.2">
      <c r="A86" s="198"/>
      <c r="B86"/>
      <c r="C86" s="207"/>
      <c r="D86" s="207"/>
      <c r="F86" s="207"/>
      <c r="G86" s="207"/>
    </row>
    <row r="87" spans="1:7" s="109" customFormat="1" x14ac:dyDescent="0.2">
      <c r="A87" s="198"/>
      <c r="B87"/>
      <c r="C87" s="207"/>
      <c r="D87" s="207"/>
      <c r="F87" s="207"/>
      <c r="G87" s="207"/>
    </row>
    <row r="88" spans="1:7" s="109" customFormat="1" x14ac:dyDescent="0.2">
      <c r="A88" s="198"/>
      <c r="B88"/>
      <c r="C88" s="207"/>
      <c r="D88" s="207"/>
      <c r="F88" s="207"/>
      <c r="G88" s="207"/>
    </row>
    <row r="89" spans="1:7" s="109" customFormat="1" x14ac:dyDescent="0.2">
      <c r="A89" s="198"/>
      <c r="B89"/>
      <c r="C89" s="207"/>
      <c r="D89" s="207"/>
      <c r="F89" s="207"/>
      <c r="G89" s="207"/>
    </row>
    <row r="90" spans="1:7" s="109" customFormat="1" x14ac:dyDescent="0.2">
      <c r="A90" s="198"/>
      <c r="B90"/>
      <c r="C90" s="207"/>
      <c r="D90" s="207"/>
      <c r="F90" s="207"/>
      <c r="G90" s="207"/>
    </row>
    <row r="91" spans="1:7" s="109" customFormat="1" x14ac:dyDescent="0.2">
      <c r="A91" s="198"/>
      <c r="B91"/>
      <c r="C91" s="207"/>
      <c r="D91" s="207"/>
      <c r="F91" s="207"/>
      <c r="G91" s="207"/>
    </row>
    <row r="92" spans="1:7" s="109" customFormat="1" x14ac:dyDescent="0.2">
      <c r="A92" s="198"/>
      <c r="B92"/>
      <c r="C92" s="207"/>
      <c r="D92" s="207"/>
      <c r="F92" s="207"/>
      <c r="G92" s="207"/>
    </row>
    <row r="93" spans="1:7" s="109" customFormat="1" x14ac:dyDescent="0.2">
      <c r="A93" s="198"/>
      <c r="B93"/>
      <c r="C93" s="207"/>
      <c r="D93" s="207"/>
      <c r="F93" s="207"/>
      <c r="G93" s="207"/>
    </row>
    <row r="94" spans="1:7" s="109" customFormat="1" x14ac:dyDescent="0.2">
      <c r="A94" s="198"/>
      <c r="B94"/>
      <c r="C94" s="207"/>
      <c r="D94" s="207"/>
      <c r="F94" s="207"/>
      <c r="G94" s="207"/>
    </row>
    <row r="95" spans="1:7" s="109" customFormat="1" x14ac:dyDescent="0.2">
      <c r="A95" s="198"/>
      <c r="B95"/>
      <c r="C95" s="207"/>
      <c r="D95" s="207"/>
      <c r="F95" s="207"/>
      <c r="G95" s="207"/>
    </row>
    <row r="96" spans="1:7" s="109" customFormat="1" x14ac:dyDescent="0.2">
      <c r="A96" s="198"/>
      <c r="B96"/>
      <c r="C96" s="207"/>
      <c r="D96" s="207"/>
      <c r="F96" s="207"/>
      <c r="G96" s="207"/>
    </row>
    <row r="97" spans="1:7" s="109" customFormat="1" x14ac:dyDescent="0.2">
      <c r="A97" s="198"/>
      <c r="B97"/>
      <c r="C97" s="207"/>
      <c r="D97" s="207"/>
      <c r="F97" s="207"/>
      <c r="G97" s="207"/>
    </row>
    <row r="98" spans="1:7" s="109" customFormat="1" x14ac:dyDescent="0.2">
      <c r="A98" s="198"/>
      <c r="B98"/>
      <c r="C98" s="207"/>
      <c r="D98" s="207"/>
      <c r="F98" s="207"/>
      <c r="G98" s="207"/>
    </row>
    <row r="99" spans="1:7" s="109" customFormat="1" x14ac:dyDescent="0.2">
      <c r="A99" s="198"/>
      <c r="B99"/>
      <c r="C99" s="207"/>
      <c r="D99" s="207"/>
      <c r="F99" s="207"/>
      <c r="G99" s="207"/>
    </row>
    <row r="100" spans="1:7" s="109" customFormat="1" x14ac:dyDescent="0.2">
      <c r="A100" s="198"/>
      <c r="B100"/>
      <c r="C100" s="207"/>
      <c r="D100" s="207"/>
      <c r="F100" s="207"/>
      <c r="G100" s="207"/>
    </row>
    <row r="101" spans="1:7" s="109" customFormat="1" x14ac:dyDescent="0.2">
      <c r="A101" s="198"/>
      <c r="B101"/>
      <c r="C101" s="207"/>
      <c r="D101" s="207"/>
      <c r="F101" s="207"/>
      <c r="G101" s="207"/>
    </row>
    <row r="102" spans="1:7" s="109" customFormat="1" x14ac:dyDescent="0.2">
      <c r="A102" s="198"/>
      <c r="B102"/>
      <c r="C102" s="207"/>
      <c r="D102" s="207"/>
      <c r="F102" s="207"/>
      <c r="G102" s="207"/>
    </row>
    <row r="103" spans="1:7" s="109" customFormat="1" x14ac:dyDescent="0.2">
      <c r="A103" s="198"/>
      <c r="B103"/>
      <c r="C103" s="207"/>
      <c r="D103" s="207"/>
      <c r="F103" s="207"/>
      <c r="G103" s="207"/>
    </row>
    <row r="104" spans="1:7" s="109" customFormat="1" x14ac:dyDescent="0.2">
      <c r="A104" s="198"/>
      <c r="B104"/>
      <c r="C104" s="207"/>
      <c r="D104" s="207"/>
      <c r="F104" s="207"/>
      <c r="G104" s="207"/>
    </row>
    <row r="105" spans="1:7" s="109" customFormat="1" x14ac:dyDescent="0.2">
      <c r="A105" s="198"/>
      <c r="B105"/>
      <c r="C105" s="207"/>
      <c r="D105" s="207"/>
      <c r="F105" s="207"/>
      <c r="G105" s="207"/>
    </row>
    <row r="106" spans="1:7" s="109" customFormat="1" x14ac:dyDescent="0.2">
      <c r="A106" s="198"/>
      <c r="B106"/>
      <c r="C106" s="207"/>
      <c r="D106" s="207"/>
      <c r="F106" s="207"/>
      <c r="G106" s="207"/>
    </row>
    <row r="107" spans="1:7" s="109" customFormat="1" x14ac:dyDescent="0.2">
      <c r="A107" s="198"/>
      <c r="B107"/>
      <c r="C107" s="207"/>
      <c r="D107" s="207"/>
      <c r="F107" s="207"/>
      <c r="G107" s="207"/>
    </row>
    <row r="108" spans="1:7" s="109" customFormat="1" x14ac:dyDescent="0.2">
      <c r="A108" s="198"/>
      <c r="B108"/>
      <c r="C108" s="207"/>
      <c r="D108" s="207"/>
      <c r="F108" s="207"/>
      <c r="G108" s="207"/>
    </row>
    <row r="109" spans="1:7" s="109" customFormat="1" x14ac:dyDescent="0.2">
      <c r="A109" s="198"/>
      <c r="B109"/>
      <c r="C109" s="207"/>
      <c r="D109" s="207"/>
      <c r="F109" s="207"/>
      <c r="G109" s="207"/>
    </row>
    <row r="110" spans="1:7" s="109" customFormat="1" x14ac:dyDescent="0.2">
      <c r="A110" s="198"/>
      <c r="B110"/>
      <c r="C110" s="207"/>
      <c r="D110" s="207"/>
      <c r="F110" s="207"/>
      <c r="G110" s="207"/>
    </row>
    <row r="111" spans="1:7" s="109" customFormat="1" x14ac:dyDescent="0.2">
      <c r="A111" s="198"/>
      <c r="B111"/>
      <c r="C111" s="207"/>
      <c r="D111" s="207"/>
      <c r="F111" s="207"/>
      <c r="G111" s="207"/>
    </row>
    <row r="112" spans="1:7" s="109" customFormat="1" x14ac:dyDescent="0.2">
      <c r="A112" s="198"/>
      <c r="B112"/>
      <c r="C112" s="207"/>
      <c r="D112" s="207"/>
      <c r="F112" s="207"/>
      <c r="G112" s="207"/>
    </row>
    <row r="113" spans="1:7" s="109" customFormat="1" x14ac:dyDescent="0.2">
      <c r="A113" s="198"/>
      <c r="B113"/>
      <c r="C113" s="207"/>
      <c r="D113" s="207"/>
      <c r="F113" s="207"/>
      <c r="G113" s="207"/>
    </row>
    <row r="114" spans="1:7" s="109" customFormat="1" x14ac:dyDescent="0.2">
      <c r="A114" s="198"/>
      <c r="B114"/>
      <c r="C114" s="207"/>
      <c r="D114" s="207"/>
      <c r="F114" s="207"/>
      <c r="G114" s="207"/>
    </row>
    <row r="115" spans="1:7" s="109" customFormat="1" x14ac:dyDescent="0.2">
      <c r="A115" s="198"/>
      <c r="B115"/>
      <c r="C115" s="207"/>
      <c r="D115" s="207"/>
      <c r="F115" s="207"/>
      <c r="G115" s="207"/>
    </row>
    <row r="116" spans="1:7" s="109" customFormat="1" x14ac:dyDescent="0.2">
      <c r="A116" s="198"/>
      <c r="B116"/>
      <c r="C116" s="207"/>
      <c r="D116" s="207"/>
      <c r="F116" s="207"/>
      <c r="G116" s="207"/>
    </row>
    <row r="117" spans="1:7" s="109" customFormat="1" x14ac:dyDescent="0.2">
      <c r="A117" s="198"/>
      <c r="B117"/>
      <c r="C117" s="207"/>
      <c r="D117" s="207"/>
      <c r="F117" s="207"/>
      <c r="G117" s="207"/>
    </row>
    <row r="118" spans="1:7" s="109" customFormat="1" x14ac:dyDescent="0.2">
      <c r="A118" s="198"/>
      <c r="B118"/>
      <c r="C118" s="207"/>
      <c r="D118" s="207"/>
      <c r="F118" s="207"/>
      <c r="G118" s="207"/>
    </row>
    <row r="119" spans="1:7" s="109" customFormat="1" x14ac:dyDescent="0.2">
      <c r="A119" s="198"/>
      <c r="B119"/>
      <c r="C119" s="207"/>
      <c r="D119" s="207"/>
      <c r="F119" s="207"/>
      <c r="G119" s="207"/>
    </row>
    <row r="120" spans="1:7" s="109" customFormat="1" x14ac:dyDescent="0.2">
      <c r="A120" s="198"/>
      <c r="B120"/>
      <c r="C120" s="207"/>
      <c r="D120" s="207"/>
      <c r="F120" s="207"/>
      <c r="G120" s="207"/>
    </row>
    <row r="121" spans="1:7" s="109" customFormat="1" x14ac:dyDescent="0.2">
      <c r="A121" s="198"/>
      <c r="B121"/>
      <c r="C121" s="207"/>
      <c r="D121" s="207"/>
      <c r="F121" s="207"/>
      <c r="G121" s="207"/>
    </row>
    <row r="122" spans="1:7" s="109" customFormat="1" x14ac:dyDescent="0.2">
      <c r="A122" s="198"/>
      <c r="B122"/>
      <c r="C122" s="207"/>
      <c r="D122" s="207"/>
      <c r="F122" s="207"/>
      <c r="G122" s="207"/>
    </row>
    <row r="123" spans="1:7" s="109" customFormat="1" x14ac:dyDescent="0.2">
      <c r="A123" s="198"/>
      <c r="B123"/>
      <c r="C123" s="207"/>
      <c r="D123" s="207"/>
      <c r="F123" s="207"/>
      <c r="G123" s="207"/>
    </row>
    <row r="124" spans="1:7" s="109" customFormat="1" x14ac:dyDescent="0.2">
      <c r="A124" s="198"/>
      <c r="B124"/>
      <c r="C124" s="207"/>
      <c r="D124" s="207"/>
      <c r="F124" s="207"/>
      <c r="G124" s="207"/>
    </row>
    <row r="125" spans="1:7" s="109" customFormat="1" x14ac:dyDescent="0.2">
      <c r="A125" s="198"/>
      <c r="B125"/>
      <c r="C125" s="207"/>
      <c r="D125" s="207"/>
      <c r="F125" s="207"/>
      <c r="G125" s="207"/>
    </row>
    <row r="126" spans="1:7" s="109" customFormat="1" x14ac:dyDescent="0.2">
      <c r="A126" s="198"/>
      <c r="B126"/>
      <c r="C126" s="207"/>
      <c r="D126" s="207"/>
      <c r="F126" s="207"/>
      <c r="G126" s="207"/>
    </row>
    <row r="127" spans="1:7" s="109" customFormat="1" x14ac:dyDescent="0.2">
      <c r="A127" s="198"/>
      <c r="B127"/>
      <c r="C127" s="207"/>
      <c r="D127" s="207"/>
      <c r="F127" s="207"/>
      <c r="G127" s="207"/>
    </row>
    <row r="128" spans="1:7" s="109" customFormat="1" x14ac:dyDescent="0.2">
      <c r="A128" s="198"/>
      <c r="B128"/>
      <c r="C128" s="207"/>
      <c r="D128" s="207"/>
      <c r="F128" s="207"/>
      <c r="G128" s="207"/>
    </row>
    <row r="129" spans="1:7" s="109" customFormat="1" x14ac:dyDescent="0.2">
      <c r="A129" s="198"/>
      <c r="B129"/>
      <c r="C129" s="207"/>
      <c r="D129" s="207"/>
      <c r="F129" s="207"/>
      <c r="G129" s="207"/>
    </row>
    <row r="130" spans="1:7" s="109" customFormat="1" x14ac:dyDescent="0.2">
      <c r="A130" s="198"/>
      <c r="B130"/>
      <c r="C130" s="207"/>
      <c r="D130" s="207"/>
      <c r="F130" s="207"/>
      <c r="G130" s="207"/>
    </row>
    <row r="131" spans="1:7" s="109" customFormat="1" x14ac:dyDescent="0.2">
      <c r="A131" s="198"/>
      <c r="B131"/>
      <c r="C131" s="207"/>
      <c r="D131" s="207"/>
      <c r="F131" s="207"/>
      <c r="G131" s="207"/>
    </row>
    <row r="132" spans="1:7" s="109" customFormat="1" x14ac:dyDescent="0.2">
      <c r="A132" s="198"/>
      <c r="B132"/>
      <c r="C132" s="207"/>
      <c r="D132" s="207"/>
      <c r="F132" s="207"/>
      <c r="G132" s="207"/>
    </row>
    <row r="133" spans="1:7" s="109" customFormat="1" x14ac:dyDescent="0.2">
      <c r="A133" s="198"/>
      <c r="B133"/>
      <c r="C133" s="207"/>
      <c r="D133" s="207"/>
      <c r="F133" s="207"/>
      <c r="G133" s="207"/>
    </row>
    <row r="134" spans="1:7" s="109" customFormat="1" x14ac:dyDescent="0.2">
      <c r="A134" s="198"/>
      <c r="B134"/>
      <c r="C134" s="207"/>
      <c r="D134" s="207"/>
      <c r="F134" s="207"/>
      <c r="G134" s="207"/>
    </row>
    <row r="135" spans="1:7" s="109" customFormat="1" x14ac:dyDescent="0.2">
      <c r="A135" s="198"/>
      <c r="B135"/>
      <c r="C135" s="207"/>
      <c r="D135" s="207"/>
      <c r="F135" s="207"/>
      <c r="G135" s="207"/>
    </row>
    <row r="136" spans="1:7" s="109" customFormat="1" x14ac:dyDescent="0.2">
      <c r="A136" s="198"/>
      <c r="B136"/>
      <c r="C136" s="207"/>
      <c r="D136" s="207"/>
      <c r="F136" s="207"/>
      <c r="G136" s="207"/>
    </row>
    <row r="137" spans="1:7" s="109" customFormat="1" x14ac:dyDescent="0.2">
      <c r="A137" s="198"/>
      <c r="B137"/>
      <c r="C137" s="207"/>
      <c r="D137" s="207"/>
      <c r="F137" s="207"/>
      <c r="G137" s="207"/>
    </row>
    <row r="138" spans="1:7" s="109" customFormat="1" x14ac:dyDescent="0.2">
      <c r="A138" s="198"/>
      <c r="B138"/>
      <c r="C138" s="207"/>
      <c r="D138" s="207"/>
      <c r="F138" s="207"/>
      <c r="G138" s="207"/>
    </row>
    <row r="139" spans="1:7" s="109" customFormat="1" x14ac:dyDescent="0.2">
      <c r="A139" s="198"/>
      <c r="B139"/>
      <c r="C139" s="207"/>
      <c r="D139" s="207"/>
      <c r="F139" s="207"/>
      <c r="G139" s="207"/>
    </row>
    <row r="140" spans="1:7" s="109" customFormat="1" x14ac:dyDescent="0.2">
      <c r="A140" s="198"/>
      <c r="B140"/>
      <c r="C140" s="207"/>
      <c r="D140" s="207"/>
      <c r="F140" s="207"/>
      <c r="G140" s="207"/>
    </row>
    <row r="141" spans="1:7" s="109" customFormat="1" x14ac:dyDescent="0.2">
      <c r="A141" s="198"/>
      <c r="B141"/>
      <c r="C141" s="207"/>
      <c r="D141" s="207"/>
      <c r="F141" s="207"/>
      <c r="G141" s="207"/>
    </row>
    <row r="142" spans="1:7" s="109" customFormat="1" x14ac:dyDescent="0.2">
      <c r="A142" s="198"/>
      <c r="B142"/>
      <c r="C142" s="207"/>
      <c r="D142" s="207"/>
      <c r="F142" s="207"/>
      <c r="G142" s="207"/>
    </row>
    <row r="143" spans="1:7" s="109" customFormat="1" x14ac:dyDescent="0.2">
      <c r="A143" s="198"/>
      <c r="B143"/>
      <c r="C143" s="207"/>
      <c r="D143" s="207"/>
      <c r="F143" s="207"/>
      <c r="G143" s="207"/>
    </row>
    <row r="144" spans="1:7" s="109" customFormat="1" x14ac:dyDescent="0.2">
      <c r="A144" s="198"/>
      <c r="B144"/>
      <c r="C144" s="207"/>
      <c r="D144" s="207"/>
      <c r="F144" s="207"/>
      <c r="G144" s="207"/>
    </row>
    <row r="145" spans="1:7" s="109" customFormat="1" x14ac:dyDescent="0.2">
      <c r="A145" s="198"/>
      <c r="B145"/>
      <c r="C145" s="207"/>
      <c r="D145" s="207"/>
      <c r="F145" s="207"/>
      <c r="G145" s="207"/>
    </row>
    <row r="146" spans="1:7" s="109" customFormat="1" x14ac:dyDescent="0.2">
      <c r="A146" s="198"/>
      <c r="B146"/>
      <c r="C146" s="207"/>
      <c r="D146" s="207"/>
      <c r="F146" s="207"/>
      <c r="G146" s="207"/>
    </row>
    <row r="147" spans="1:7" s="109" customFormat="1" x14ac:dyDescent="0.2">
      <c r="A147" s="198"/>
      <c r="B147"/>
      <c r="C147" s="207"/>
      <c r="D147" s="207"/>
      <c r="F147" s="207"/>
      <c r="G147" s="207"/>
    </row>
    <row r="148" spans="1:7" s="109" customFormat="1" x14ac:dyDescent="0.2">
      <c r="A148" s="198"/>
      <c r="B148"/>
      <c r="C148" s="207"/>
      <c r="D148" s="207"/>
      <c r="F148" s="207"/>
      <c r="G148" s="207"/>
    </row>
    <row r="149" spans="1:7" s="109" customFormat="1" x14ac:dyDescent="0.2">
      <c r="A149" s="198"/>
      <c r="B149"/>
      <c r="C149" s="207"/>
      <c r="D149" s="207"/>
      <c r="F149" s="207"/>
      <c r="G149" s="207"/>
    </row>
    <row r="150" spans="1:7" s="109" customFormat="1" x14ac:dyDescent="0.2">
      <c r="A150" s="198"/>
      <c r="B150"/>
      <c r="C150" s="207"/>
      <c r="D150" s="207"/>
      <c r="F150" s="207"/>
      <c r="G150" s="207"/>
    </row>
    <row r="151" spans="1:7" s="109" customFormat="1" x14ac:dyDescent="0.2">
      <c r="A151" s="198"/>
      <c r="B151"/>
      <c r="C151" s="207"/>
      <c r="D151" s="207"/>
      <c r="F151" s="207"/>
      <c r="G151" s="207"/>
    </row>
    <row r="152" spans="1:7" s="109" customFormat="1" x14ac:dyDescent="0.2">
      <c r="A152" s="198"/>
      <c r="B152"/>
      <c r="C152" s="207"/>
      <c r="D152" s="207"/>
      <c r="F152" s="207"/>
      <c r="G152" s="207"/>
    </row>
    <row r="153" spans="1:7" s="109" customFormat="1" x14ac:dyDescent="0.2">
      <c r="A153" s="198"/>
      <c r="B153"/>
      <c r="C153" s="207"/>
      <c r="D153" s="207"/>
      <c r="F153" s="207"/>
      <c r="G153" s="207"/>
    </row>
    <row r="154" spans="1:7" s="109" customFormat="1" x14ac:dyDescent="0.2">
      <c r="A154" s="198"/>
      <c r="B154"/>
      <c r="C154" s="207"/>
      <c r="D154" s="207"/>
      <c r="F154" s="207"/>
      <c r="G154" s="207"/>
    </row>
    <row r="155" spans="1:7" s="109" customFormat="1" x14ac:dyDescent="0.2">
      <c r="A155" s="198"/>
      <c r="B155"/>
      <c r="C155" s="207"/>
      <c r="D155" s="207"/>
      <c r="F155" s="207"/>
      <c r="G155" s="207"/>
    </row>
    <row r="156" spans="1:7" s="109" customFormat="1" x14ac:dyDescent="0.2">
      <c r="A156" s="198"/>
      <c r="B156"/>
      <c r="C156" s="207"/>
      <c r="D156" s="207"/>
      <c r="F156" s="207"/>
      <c r="G156" s="207"/>
    </row>
    <row r="157" spans="1:7" s="109" customFormat="1" x14ac:dyDescent="0.2">
      <c r="A157" s="198"/>
      <c r="B157"/>
      <c r="C157" s="207"/>
      <c r="D157" s="207"/>
      <c r="F157" s="207"/>
      <c r="G157" s="207"/>
    </row>
    <row r="158" spans="1:7" s="109" customFormat="1" x14ac:dyDescent="0.2">
      <c r="A158" s="198"/>
      <c r="B158"/>
      <c r="C158" s="207"/>
      <c r="D158" s="207"/>
      <c r="F158" s="207"/>
      <c r="G158" s="207"/>
    </row>
    <row r="159" spans="1:7" s="109" customFormat="1" x14ac:dyDescent="0.2">
      <c r="A159" s="198"/>
      <c r="B159"/>
      <c r="C159" s="207"/>
      <c r="D159" s="207"/>
      <c r="F159" s="207"/>
      <c r="G159" s="207"/>
    </row>
    <row r="160" spans="1:7" s="109" customFormat="1" x14ac:dyDescent="0.2">
      <c r="A160" s="198"/>
      <c r="B160"/>
      <c r="C160" s="207"/>
      <c r="D160" s="207"/>
      <c r="F160" s="207"/>
      <c r="G160" s="207"/>
    </row>
    <row r="161" spans="1:7" s="109" customFormat="1" x14ac:dyDescent="0.2">
      <c r="A161" s="198"/>
      <c r="B161"/>
      <c r="C161" s="207"/>
      <c r="D161" s="207"/>
      <c r="F161" s="207"/>
      <c r="G161" s="207"/>
    </row>
    <row r="162" spans="1:7" s="109" customFormat="1" x14ac:dyDescent="0.2">
      <c r="A162" s="198"/>
      <c r="B162"/>
      <c r="C162" s="207"/>
      <c r="D162" s="207"/>
      <c r="F162" s="207"/>
      <c r="G162" s="207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0000"/>
  <sheetViews>
    <sheetView workbookViewId="0"/>
  </sheetViews>
  <sheetFormatPr defaultColWidth="8.85546875" defaultRowHeight="12.75" x14ac:dyDescent="0.2"/>
  <cols>
    <col min="1" max="1" width="11" style="209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s="209" t="s">
        <v>63</v>
      </c>
      <c r="B1" t="s">
        <v>69</v>
      </c>
      <c r="C1" t="s">
        <v>70</v>
      </c>
      <c r="D1" t="s">
        <v>115</v>
      </c>
      <c r="E1" t="s">
        <v>116</v>
      </c>
      <c r="F1" t="s">
        <v>71</v>
      </c>
      <c r="G1" t="s">
        <v>72</v>
      </c>
      <c r="H1" s="218" t="s">
        <v>73</v>
      </c>
      <c r="I1" t="s">
        <v>74</v>
      </c>
      <c r="J1" t="s">
        <v>75</v>
      </c>
      <c r="K1" t="s">
        <v>7</v>
      </c>
      <c r="L1" t="s">
        <v>76</v>
      </c>
      <c r="M1" t="s">
        <v>77</v>
      </c>
      <c r="N1" t="s">
        <v>78</v>
      </c>
      <c r="O1" t="s">
        <v>79</v>
      </c>
      <c r="P1" s="218" t="s">
        <v>80</v>
      </c>
      <c r="Q1" s="218" t="s">
        <v>81</v>
      </c>
      <c r="R1" s="218" t="s">
        <v>82</v>
      </c>
      <c r="S1" s="218" t="s">
        <v>83</v>
      </c>
      <c r="T1" t="s">
        <v>84</v>
      </c>
      <c r="U1" t="s">
        <v>85</v>
      </c>
      <c r="V1" s="217" t="s">
        <v>86</v>
      </c>
      <c r="W1" t="s">
        <v>87</v>
      </c>
      <c r="X1" t="s">
        <v>88</v>
      </c>
    </row>
    <row r="2" spans="1:24" s="109" customFormat="1" x14ac:dyDescent="0.2">
      <c r="A2" s="206"/>
      <c r="B2"/>
      <c r="C2"/>
      <c r="D2"/>
      <c r="E2"/>
      <c r="F2"/>
      <c r="G2"/>
      <c r="H2"/>
      <c r="I2"/>
      <c r="J2"/>
      <c r="K2"/>
      <c r="L2"/>
      <c r="M2"/>
      <c r="N2"/>
      <c r="O2"/>
      <c r="P2" s="274"/>
      <c r="Q2" s="274"/>
      <c r="R2"/>
      <c r="S2"/>
      <c r="T2"/>
      <c r="U2"/>
      <c r="V2"/>
      <c r="W2"/>
      <c r="X2"/>
    </row>
    <row r="3" spans="1:24" s="109" customFormat="1" x14ac:dyDescent="0.2">
      <c r="A3" s="206"/>
      <c r="B3"/>
      <c r="C3"/>
      <c r="D3"/>
      <c r="E3"/>
      <c r="F3"/>
      <c r="G3"/>
      <c r="H3"/>
      <c r="I3"/>
      <c r="J3"/>
      <c r="K3"/>
      <c r="L3"/>
      <c r="M3"/>
      <c r="N3"/>
      <c r="O3"/>
      <c r="P3" s="274"/>
      <c r="Q3" s="274"/>
      <c r="R3"/>
      <c r="S3"/>
      <c r="T3"/>
      <c r="U3"/>
      <c r="V3"/>
      <c r="W3"/>
      <c r="X3"/>
    </row>
    <row r="4" spans="1:24" s="109" customFormat="1" x14ac:dyDescent="0.2">
      <c r="A4" s="206"/>
      <c r="B4"/>
      <c r="C4"/>
      <c r="D4"/>
      <c r="E4"/>
      <c r="F4"/>
      <c r="G4"/>
      <c r="H4"/>
      <c r="I4"/>
      <c r="J4"/>
      <c r="K4"/>
      <c r="L4"/>
      <c r="M4"/>
      <c r="N4"/>
      <c r="O4"/>
      <c r="P4" s="274"/>
      <c r="Q4" s="274"/>
      <c r="R4"/>
      <c r="S4"/>
      <c r="T4"/>
      <c r="U4"/>
      <c r="V4"/>
      <c r="W4"/>
      <c r="X4"/>
    </row>
    <row r="5" spans="1:24" s="109" customFormat="1" x14ac:dyDescent="0.2">
      <c r="A5" s="206"/>
      <c r="B5"/>
      <c r="C5"/>
      <c r="D5"/>
      <c r="E5"/>
      <c r="F5"/>
      <c r="G5"/>
      <c r="H5"/>
      <c r="I5"/>
      <c r="J5"/>
      <c r="K5"/>
      <c r="L5"/>
      <c r="M5"/>
      <c r="N5"/>
      <c r="O5"/>
      <c r="P5" s="274"/>
      <c r="Q5" s="274"/>
      <c r="R5"/>
      <c r="S5"/>
      <c r="T5"/>
      <c r="U5"/>
      <c r="V5"/>
      <c r="W5"/>
      <c r="X5"/>
    </row>
    <row r="6" spans="1:24" s="109" customFormat="1" x14ac:dyDescent="0.2">
      <c r="A6" s="206"/>
      <c r="B6"/>
      <c r="C6"/>
      <c r="D6"/>
      <c r="E6"/>
      <c r="F6"/>
      <c r="G6"/>
      <c r="H6"/>
      <c r="I6"/>
      <c r="J6"/>
      <c r="K6"/>
      <c r="L6"/>
      <c r="M6"/>
      <c r="N6"/>
      <c r="O6"/>
      <c r="P6" s="274"/>
      <c r="Q6" s="274"/>
      <c r="R6"/>
      <c r="S6"/>
      <c r="T6"/>
      <c r="U6"/>
      <c r="V6"/>
      <c r="W6"/>
      <c r="X6"/>
    </row>
    <row r="7" spans="1:24" s="109" customFormat="1" x14ac:dyDescent="0.2">
      <c r="A7" s="206"/>
      <c r="B7"/>
      <c r="C7"/>
      <c r="D7"/>
      <c r="E7"/>
      <c r="F7"/>
      <c r="G7"/>
      <c r="H7"/>
      <c r="I7"/>
      <c r="J7"/>
      <c r="K7"/>
      <c r="L7"/>
      <c r="M7"/>
      <c r="N7"/>
      <c r="O7"/>
      <c r="P7" s="274"/>
      <c r="Q7" s="274"/>
      <c r="R7"/>
      <c r="S7"/>
      <c r="T7"/>
      <c r="U7"/>
      <c r="V7"/>
      <c r="W7"/>
      <c r="X7"/>
    </row>
    <row r="8" spans="1:24" s="109" customFormat="1" x14ac:dyDescent="0.2">
      <c r="A8" s="206"/>
      <c r="B8"/>
      <c r="C8"/>
      <c r="D8"/>
      <c r="E8"/>
      <c r="F8"/>
      <c r="G8"/>
      <c r="H8"/>
      <c r="I8"/>
      <c r="J8"/>
      <c r="K8"/>
      <c r="L8"/>
      <c r="M8"/>
      <c r="N8"/>
      <c r="O8"/>
      <c r="P8" s="274"/>
      <c r="Q8" s="274"/>
      <c r="R8"/>
      <c r="S8"/>
      <c r="T8"/>
      <c r="U8"/>
      <c r="V8"/>
      <c r="W8"/>
      <c r="X8"/>
    </row>
    <row r="9" spans="1:24" s="109" customFormat="1" x14ac:dyDescent="0.2">
      <c r="A9" s="206"/>
      <c r="B9"/>
      <c r="C9"/>
      <c r="D9"/>
      <c r="E9"/>
      <c r="F9"/>
      <c r="G9"/>
      <c r="H9"/>
      <c r="I9"/>
      <c r="J9"/>
      <c r="K9"/>
      <c r="L9"/>
      <c r="M9"/>
      <c r="N9"/>
      <c r="O9"/>
      <c r="P9" s="274"/>
      <c r="Q9" s="274"/>
      <c r="R9"/>
      <c r="S9"/>
      <c r="T9"/>
      <c r="U9"/>
      <c r="V9"/>
      <c r="W9"/>
      <c r="X9"/>
    </row>
    <row r="10" spans="1:24" s="109" customFormat="1" x14ac:dyDescent="0.2">
      <c r="A10" s="206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74"/>
      <c r="Q10" s="274"/>
      <c r="R10"/>
      <c r="S10"/>
      <c r="T10"/>
      <c r="U10"/>
      <c r="V10"/>
      <c r="W10"/>
      <c r="X10"/>
    </row>
    <row r="11" spans="1:24" s="109" customFormat="1" x14ac:dyDescent="0.2">
      <c r="A11" s="206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74"/>
      <c r="Q11" s="274"/>
      <c r="R11"/>
      <c r="S11"/>
      <c r="T11"/>
      <c r="U11"/>
      <c r="V11"/>
      <c r="W11"/>
      <c r="X11"/>
    </row>
    <row r="12" spans="1:24" s="109" customFormat="1" x14ac:dyDescent="0.2">
      <c r="A12" s="206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74"/>
      <c r="Q12" s="274"/>
      <c r="R12"/>
      <c r="S12"/>
      <c r="T12"/>
      <c r="U12"/>
      <c r="V12"/>
      <c r="W12"/>
      <c r="X12"/>
    </row>
    <row r="13" spans="1:24" s="109" customFormat="1" x14ac:dyDescent="0.2">
      <c r="A13" s="206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74"/>
      <c r="Q13" s="274"/>
      <c r="R13"/>
      <c r="S13"/>
      <c r="T13"/>
      <c r="U13"/>
      <c r="V13"/>
      <c r="W13"/>
      <c r="X13"/>
    </row>
    <row r="14" spans="1:24" s="109" customFormat="1" x14ac:dyDescent="0.2">
      <c r="A14" s="206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74"/>
      <c r="Q14" s="274"/>
      <c r="R14"/>
      <c r="S14"/>
      <c r="T14"/>
      <c r="U14"/>
      <c r="V14"/>
      <c r="W14"/>
      <c r="X14"/>
    </row>
    <row r="15" spans="1:24" s="109" customFormat="1" x14ac:dyDescent="0.2">
      <c r="A15" s="206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74"/>
      <c r="Q15" s="274"/>
      <c r="R15"/>
      <c r="S15"/>
      <c r="T15"/>
      <c r="U15"/>
      <c r="V15"/>
      <c r="W15"/>
      <c r="X15"/>
    </row>
    <row r="16" spans="1:24" s="109" customFormat="1" x14ac:dyDescent="0.2">
      <c r="A16" s="20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74"/>
      <c r="Q16" s="274"/>
      <c r="R16"/>
      <c r="S16"/>
      <c r="T16"/>
      <c r="U16"/>
      <c r="V16"/>
      <c r="W16"/>
      <c r="X16"/>
    </row>
    <row r="17" spans="1:24" s="109" customFormat="1" x14ac:dyDescent="0.2">
      <c r="A17" s="206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74"/>
      <c r="Q17" s="274"/>
      <c r="R17"/>
      <c r="S17"/>
      <c r="T17"/>
      <c r="U17"/>
      <c r="V17"/>
      <c r="W17"/>
      <c r="X17"/>
    </row>
    <row r="18" spans="1:24" s="109" customFormat="1" x14ac:dyDescent="0.2">
      <c r="A18" s="206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74"/>
      <c r="Q18" s="274"/>
      <c r="R18"/>
      <c r="S18"/>
      <c r="T18"/>
      <c r="U18"/>
      <c r="V18"/>
      <c r="W18"/>
      <c r="X18"/>
    </row>
    <row r="19" spans="1:24" s="109" customFormat="1" x14ac:dyDescent="0.2">
      <c r="A19" s="206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74"/>
      <c r="Q19" s="274"/>
      <c r="R19"/>
      <c r="S19"/>
      <c r="T19"/>
      <c r="U19"/>
      <c r="V19"/>
      <c r="W19"/>
      <c r="X19"/>
    </row>
    <row r="20" spans="1:24" s="109" customFormat="1" x14ac:dyDescent="0.2">
      <c r="A20" s="206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74"/>
      <c r="Q20" s="274"/>
      <c r="R20"/>
      <c r="S20"/>
      <c r="T20"/>
      <c r="U20"/>
      <c r="V20"/>
      <c r="W20"/>
      <c r="X20"/>
    </row>
    <row r="21" spans="1:24" s="109" customFormat="1" x14ac:dyDescent="0.2">
      <c r="A21" s="206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74"/>
      <c r="Q21" s="274"/>
      <c r="R21"/>
      <c r="S21"/>
      <c r="T21"/>
      <c r="U21"/>
      <c r="V21"/>
      <c r="W21"/>
      <c r="X21"/>
    </row>
    <row r="22" spans="1:24" s="109" customFormat="1" x14ac:dyDescent="0.2">
      <c r="A22" s="206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74"/>
      <c r="Q22" s="274"/>
      <c r="R22"/>
      <c r="S22"/>
      <c r="T22"/>
      <c r="U22"/>
      <c r="V22"/>
      <c r="W22"/>
      <c r="X22"/>
    </row>
    <row r="23" spans="1:24" s="109" customFormat="1" x14ac:dyDescent="0.2">
      <c r="A23" s="206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74"/>
      <c r="Q23" s="274"/>
      <c r="R23"/>
      <c r="S23"/>
      <c r="T23"/>
      <c r="U23"/>
      <c r="V23"/>
      <c r="W23"/>
      <c r="X23"/>
    </row>
    <row r="24" spans="1:24" s="109" customFormat="1" x14ac:dyDescent="0.2">
      <c r="A24" s="206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74"/>
      <c r="Q24" s="274"/>
      <c r="R24"/>
      <c r="S24"/>
      <c r="T24"/>
      <c r="U24"/>
      <c r="V24"/>
      <c r="W24"/>
      <c r="X24"/>
    </row>
    <row r="25" spans="1:24" s="109" customFormat="1" x14ac:dyDescent="0.2">
      <c r="A25" s="206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74"/>
      <c r="Q25" s="274"/>
      <c r="R25"/>
      <c r="S25"/>
      <c r="T25"/>
      <c r="U25"/>
      <c r="V25"/>
      <c r="W25"/>
      <c r="X25"/>
    </row>
    <row r="26" spans="1:24" s="109" customFormat="1" x14ac:dyDescent="0.2">
      <c r="A26" s="20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74"/>
      <c r="Q26" s="274"/>
      <c r="R26"/>
      <c r="S26"/>
      <c r="T26"/>
      <c r="U26"/>
      <c r="V26"/>
      <c r="W26"/>
      <c r="X26"/>
    </row>
    <row r="27" spans="1:24" s="109" customFormat="1" x14ac:dyDescent="0.2">
      <c r="A27" s="206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74"/>
      <c r="Q27" s="274"/>
      <c r="R27"/>
      <c r="S27"/>
      <c r="T27"/>
      <c r="U27"/>
      <c r="V27"/>
      <c r="W27"/>
      <c r="X27"/>
    </row>
    <row r="28" spans="1:24" s="109" customFormat="1" x14ac:dyDescent="0.2">
      <c r="A28" s="206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74"/>
      <c r="Q28" s="274"/>
      <c r="R28"/>
      <c r="S28"/>
      <c r="T28"/>
      <c r="U28"/>
      <c r="V28"/>
      <c r="W28"/>
      <c r="X28"/>
    </row>
    <row r="29" spans="1:24" s="109" customFormat="1" x14ac:dyDescent="0.2">
      <c r="A29" s="206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74"/>
      <c r="Q29" s="274"/>
      <c r="R29"/>
      <c r="S29"/>
      <c r="T29"/>
      <c r="U29"/>
      <c r="V29"/>
      <c r="W29"/>
      <c r="X29"/>
    </row>
    <row r="30" spans="1:24" s="109" customFormat="1" x14ac:dyDescent="0.2">
      <c r="A30" s="206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74"/>
      <c r="Q30" s="274"/>
      <c r="R30"/>
      <c r="S30"/>
      <c r="T30"/>
      <c r="U30"/>
      <c r="V30"/>
      <c r="W30"/>
      <c r="X30"/>
    </row>
    <row r="31" spans="1:24" s="109" customFormat="1" x14ac:dyDescent="0.2">
      <c r="A31" s="206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74"/>
      <c r="Q31" s="274"/>
      <c r="R31"/>
      <c r="S31"/>
      <c r="T31"/>
      <c r="U31"/>
      <c r="V31"/>
      <c r="W31"/>
      <c r="X31"/>
    </row>
    <row r="32" spans="1:24" s="109" customFormat="1" x14ac:dyDescent="0.2">
      <c r="A32" s="206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74"/>
      <c r="Q32" s="274"/>
      <c r="R32"/>
      <c r="S32"/>
      <c r="T32"/>
      <c r="U32"/>
      <c r="V32"/>
      <c r="W32"/>
      <c r="X32"/>
    </row>
    <row r="33" spans="1:24" s="109" customFormat="1" x14ac:dyDescent="0.2">
      <c r="A33" s="206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74"/>
      <c r="Q33" s="274"/>
      <c r="R33"/>
      <c r="S33"/>
      <c r="T33"/>
      <c r="U33"/>
      <c r="V33"/>
      <c r="W33"/>
      <c r="X33"/>
    </row>
    <row r="34" spans="1:24" s="109" customFormat="1" x14ac:dyDescent="0.2">
      <c r="A34" s="206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74"/>
      <c r="Q34" s="274"/>
      <c r="R34"/>
      <c r="S34"/>
      <c r="T34"/>
      <c r="U34"/>
      <c r="V34"/>
      <c r="W34"/>
      <c r="X34"/>
    </row>
    <row r="35" spans="1:24" s="109" customFormat="1" x14ac:dyDescent="0.2">
      <c r="A35" s="206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74"/>
      <c r="Q35" s="274"/>
      <c r="R35"/>
      <c r="S35"/>
      <c r="T35"/>
      <c r="U35"/>
      <c r="V35"/>
      <c r="W35"/>
      <c r="X35"/>
    </row>
    <row r="36" spans="1:24" s="109" customFormat="1" x14ac:dyDescent="0.2">
      <c r="A36" s="20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74"/>
      <c r="Q36" s="274"/>
      <c r="R36"/>
      <c r="S36"/>
      <c r="T36"/>
      <c r="U36"/>
      <c r="V36"/>
      <c r="W36"/>
      <c r="X36"/>
    </row>
    <row r="37" spans="1:24" s="109" customFormat="1" x14ac:dyDescent="0.2">
      <c r="A37" s="206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74"/>
      <c r="Q37" s="274"/>
      <c r="R37"/>
      <c r="S37"/>
      <c r="T37"/>
      <c r="U37"/>
      <c r="V37"/>
      <c r="W37"/>
      <c r="X37"/>
    </row>
    <row r="38" spans="1:24" s="109" customFormat="1" x14ac:dyDescent="0.2">
      <c r="A38" s="206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74"/>
      <c r="Q38" s="274"/>
      <c r="R38"/>
      <c r="S38"/>
      <c r="T38"/>
      <c r="U38"/>
      <c r="V38"/>
      <c r="W38"/>
      <c r="X38"/>
    </row>
    <row r="39" spans="1:24" s="109" customFormat="1" x14ac:dyDescent="0.2">
      <c r="A39" s="206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74"/>
      <c r="Q39" s="274"/>
      <c r="R39"/>
      <c r="S39"/>
      <c r="T39"/>
      <c r="U39"/>
      <c r="V39"/>
      <c r="W39"/>
      <c r="X39"/>
    </row>
    <row r="40" spans="1:24" s="109" customFormat="1" x14ac:dyDescent="0.2">
      <c r="A40" s="206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74"/>
      <c r="Q40" s="274"/>
      <c r="R40"/>
      <c r="S40"/>
      <c r="T40"/>
      <c r="U40"/>
      <c r="V40"/>
      <c r="W40"/>
      <c r="X40"/>
    </row>
    <row r="41" spans="1:24" s="109" customFormat="1" x14ac:dyDescent="0.2">
      <c r="A41" s="206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74"/>
      <c r="Q41" s="274"/>
      <c r="R41"/>
      <c r="S41"/>
      <c r="T41"/>
      <c r="U41"/>
      <c r="V41"/>
      <c r="W41"/>
      <c r="X41"/>
    </row>
    <row r="42" spans="1:24" s="109" customFormat="1" x14ac:dyDescent="0.2">
      <c r="A42" s="206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74"/>
      <c r="Q42" s="274"/>
      <c r="R42"/>
      <c r="S42"/>
      <c r="T42"/>
      <c r="U42"/>
      <c r="V42"/>
      <c r="W42"/>
      <c r="X42"/>
    </row>
    <row r="43" spans="1:24" s="109" customFormat="1" x14ac:dyDescent="0.2">
      <c r="A43" s="206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74"/>
      <c r="Q43" s="274"/>
      <c r="R43"/>
      <c r="S43"/>
      <c r="T43"/>
      <c r="U43"/>
      <c r="V43"/>
      <c r="W43"/>
      <c r="X43"/>
    </row>
    <row r="44" spans="1:24" s="109" customFormat="1" x14ac:dyDescent="0.2">
      <c r="A44" s="206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74"/>
      <c r="Q44" s="274"/>
      <c r="R44"/>
      <c r="S44"/>
      <c r="T44"/>
      <c r="U44"/>
      <c r="V44"/>
      <c r="W44"/>
      <c r="X44"/>
    </row>
    <row r="45" spans="1:24" s="109" customFormat="1" x14ac:dyDescent="0.2">
      <c r="A45" s="206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74"/>
      <c r="Q45" s="274"/>
      <c r="R45"/>
      <c r="S45"/>
      <c r="T45"/>
      <c r="U45"/>
      <c r="V45"/>
      <c r="W45"/>
      <c r="X45"/>
    </row>
    <row r="46" spans="1:24" s="109" customFormat="1" x14ac:dyDescent="0.2">
      <c r="A46" s="20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74"/>
      <c r="Q46" s="274"/>
      <c r="R46"/>
      <c r="S46"/>
      <c r="T46"/>
      <c r="U46"/>
      <c r="V46"/>
      <c r="W46"/>
      <c r="X46"/>
    </row>
    <row r="47" spans="1:24" s="109" customFormat="1" x14ac:dyDescent="0.2">
      <c r="A47" s="206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74"/>
      <c r="Q47" s="274"/>
      <c r="R47"/>
      <c r="S47"/>
      <c r="T47"/>
      <c r="U47"/>
      <c r="V47"/>
      <c r="W47"/>
      <c r="X47"/>
    </row>
    <row r="48" spans="1:24" s="109" customFormat="1" x14ac:dyDescent="0.2">
      <c r="A48" s="206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74"/>
      <c r="Q48" s="274"/>
      <c r="R48"/>
      <c r="S48"/>
      <c r="T48"/>
      <c r="U48"/>
      <c r="V48"/>
      <c r="W48"/>
      <c r="X48"/>
    </row>
    <row r="49" spans="1:24" s="109" customFormat="1" x14ac:dyDescent="0.2">
      <c r="A49" s="206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74"/>
      <c r="Q49" s="274"/>
      <c r="R49"/>
      <c r="S49"/>
      <c r="T49"/>
      <c r="U49"/>
      <c r="V49"/>
      <c r="W49"/>
      <c r="X49"/>
    </row>
    <row r="50" spans="1:24" s="109" customFormat="1" x14ac:dyDescent="0.2">
      <c r="A50" s="206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74"/>
      <c r="Q50" s="274"/>
      <c r="R50"/>
      <c r="S50"/>
      <c r="T50"/>
      <c r="U50"/>
      <c r="V50"/>
      <c r="W50"/>
      <c r="X50"/>
    </row>
    <row r="51" spans="1:24" s="109" customFormat="1" x14ac:dyDescent="0.2">
      <c r="A51" s="206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74"/>
      <c r="Q51" s="274"/>
      <c r="R51"/>
      <c r="S51"/>
      <c r="T51"/>
      <c r="U51"/>
      <c r="V51"/>
      <c r="W51"/>
      <c r="X51"/>
    </row>
    <row r="52" spans="1:24" s="109" customFormat="1" x14ac:dyDescent="0.2">
      <c r="A52" s="206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74"/>
      <c r="Q52" s="274"/>
      <c r="R52"/>
      <c r="S52"/>
      <c r="T52"/>
      <c r="U52"/>
      <c r="V52"/>
      <c r="W52"/>
      <c r="X52"/>
    </row>
    <row r="53" spans="1:24" s="109" customFormat="1" x14ac:dyDescent="0.2">
      <c r="A53" s="206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74"/>
      <c r="Q53" s="274"/>
      <c r="R53"/>
      <c r="S53"/>
      <c r="T53"/>
      <c r="U53"/>
      <c r="V53"/>
      <c r="W53"/>
      <c r="X53"/>
    </row>
    <row r="54" spans="1:24" s="109" customFormat="1" x14ac:dyDescent="0.2">
      <c r="A54" s="206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74"/>
      <c r="Q54" s="274"/>
      <c r="R54"/>
      <c r="S54"/>
      <c r="T54"/>
      <c r="U54"/>
      <c r="V54"/>
      <c r="W54"/>
      <c r="X54"/>
    </row>
    <row r="55" spans="1:24" s="109" customFormat="1" x14ac:dyDescent="0.2">
      <c r="A55" s="206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74"/>
      <c r="Q55" s="274"/>
      <c r="R55"/>
      <c r="S55"/>
      <c r="T55"/>
      <c r="U55"/>
      <c r="V55"/>
      <c r="W55"/>
      <c r="X55"/>
    </row>
    <row r="56" spans="1:24" s="109" customFormat="1" x14ac:dyDescent="0.2">
      <c r="A56" s="20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74"/>
      <c r="Q56" s="274"/>
      <c r="R56"/>
      <c r="S56"/>
      <c r="T56"/>
      <c r="U56"/>
      <c r="V56"/>
      <c r="W56"/>
      <c r="X56"/>
    </row>
    <row r="57" spans="1:24" s="109" customFormat="1" x14ac:dyDescent="0.2">
      <c r="A57" s="206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74"/>
      <c r="Q57" s="274"/>
      <c r="R57"/>
      <c r="S57"/>
      <c r="T57"/>
      <c r="U57"/>
      <c r="V57"/>
      <c r="W57"/>
      <c r="X57"/>
    </row>
    <row r="58" spans="1:24" s="109" customFormat="1" x14ac:dyDescent="0.2">
      <c r="A58" s="206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74"/>
      <c r="Q58" s="274"/>
      <c r="R58"/>
      <c r="S58"/>
      <c r="T58"/>
      <c r="U58"/>
      <c r="V58"/>
      <c r="W58"/>
      <c r="X58"/>
    </row>
    <row r="59" spans="1:24" s="109" customFormat="1" x14ac:dyDescent="0.2">
      <c r="A59" s="206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74"/>
      <c r="Q59" s="274"/>
      <c r="R59"/>
      <c r="S59"/>
      <c r="T59"/>
      <c r="U59"/>
      <c r="V59"/>
      <c r="W59"/>
      <c r="X59"/>
    </row>
    <row r="60" spans="1:24" s="109" customFormat="1" x14ac:dyDescent="0.2">
      <c r="A60" s="206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74"/>
      <c r="Q60" s="274"/>
      <c r="R60"/>
      <c r="S60"/>
      <c r="T60"/>
      <c r="U60"/>
      <c r="V60"/>
      <c r="W60"/>
      <c r="X60"/>
    </row>
    <row r="61" spans="1:24" s="109" customFormat="1" x14ac:dyDescent="0.2">
      <c r="A61" s="206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74"/>
      <c r="Q61" s="274"/>
      <c r="R61"/>
      <c r="S61"/>
      <c r="T61"/>
      <c r="U61"/>
      <c r="V61"/>
      <c r="W61"/>
      <c r="X61"/>
    </row>
    <row r="62" spans="1:24" s="109" customFormat="1" x14ac:dyDescent="0.2">
      <c r="A62" s="206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74"/>
      <c r="Q62" s="274"/>
      <c r="R62"/>
      <c r="S62"/>
      <c r="T62"/>
      <c r="U62"/>
      <c r="V62"/>
      <c r="W62"/>
      <c r="X62"/>
    </row>
    <row r="63" spans="1:24" s="109" customFormat="1" x14ac:dyDescent="0.2">
      <c r="A63" s="206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74"/>
      <c r="Q63" s="274"/>
      <c r="R63"/>
      <c r="S63"/>
      <c r="T63"/>
      <c r="U63"/>
      <c r="V63"/>
      <c r="W63"/>
      <c r="X63"/>
    </row>
    <row r="64" spans="1:24" s="109" customFormat="1" x14ac:dyDescent="0.2">
      <c r="A64" s="206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74"/>
      <c r="Q64" s="274"/>
      <c r="R64"/>
      <c r="S64"/>
      <c r="T64"/>
      <c r="U64"/>
      <c r="V64"/>
      <c r="W64"/>
      <c r="X64"/>
    </row>
    <row r="65" spans="1:24" s="109" customFormat="1" x14ac:dyDescent="0.2">
      <c r="A65" s="206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74"/>
      <c r="Q65" s="274"/>
      <c r="R65"/>
      <c r="S65"/>
      <c r="T65"/>
      <c r="U65"/>
      <c r="V65"/>
      <c r="W65"/>
      <c r="X65"/>
    </row>
    <row r="66" spans="1:24" s="109" customFormat="1" x14ac:dyDescent="0.2">
      <c r="A66" s="20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74"/>
      <c r="Q66" s="274"/>
      <c r="R66"/>
      <c r="S66"/>
      <c r="T66"/>
      <c r="U66"/>
      <c r="V66"/>
      <c r="W66"/>
      <c r="X66"/>
    </row>
    <row r="67" spans="1:24" s="109" customFormat="1" x14ac:dyDescent="0.2">
      <c r="A67" s="206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74"/>
      <c r="Q67" s="274"/>
      <c r="R67"/>
      <c r="S67"/>
      <c r="T67"/>
      <c r="U67"/>
      <c r="V67"/>
      <c r="W67"/>
      <c r="X67"/>
    </row>
    <row r="68" spans="1:24" s="109" customFormat="1" x14ac:dyDescent="0.2">
      <c r="A68" s="206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74"/>
      <c r="Q68" s="274"/>
      <c r="R68"/>
      <c r="S68"/>
      <c r="T68"/>
      <c r="U68"/>
      <c r="V68"/>
      <c r="W68"/>
      <c r="X68"/>
    </row>
    <row r="69" spans="1:24" s="109" customFormat="1" x14ac:dyDescent="0.2">
      <c r="A69" s="206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74"/>
      <c r="Q69" s="274"/>
      <c r="R69"/>
      <c r="S69"/>
      <c r="T69"/>
      <c r="U69"/>
      <c r="V69"/>
      <c r="W69"/>
      <c r="X69"/>
    </row>
    <row r="70" spans="1:24" s="109" customFormat="1" x14ac:dyDescent="0.2">
      <c r="A70" s="206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74"/>
      <c r="Q70" s="274"/>
      <c r="R70"/>
      <c r="S70"/>
      <c r="T70"/>
      <c r="U70"/>
      <c r="V70"/>
      <c r="W70"/>
      <c r="X70"/>
    </row>
    <row r="71" spans="1:24" s="109" customFormat="1" x14ac:dyDescent="0.2">
      <c r="A71" s="20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74"/>
      <c r="Q71" s="274"/>
      <c r="R71"/>
      <c r="S71"/>
      <c r="T71"/>
      <c r="U71"/>
      <c r="V71"/>
      <c r="W71"/>
      <c r="X71"/>
    </row>
    <row r="72" spans="1:24" s="109" customFormat="1" x14ac:dyDescent="0.2">
      <c r="A72" s="20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74"/>
      <c r="Q72" s="274"/>
      <c r="R72"/>
      <c r="S72"/>
      <c r="T72"/>
      <c r="U72"/>
      <c r="V72"/>
      <c r="W72"/>
      <c r="X72"/>
    </row>
    <row r="73" spans="1:24" s="109" customFormat="1" x14ac:dyDescent="0.2">
      <c r="A73" s="20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74"/>
      <c r="Q73" s="274"/>
      <c r="R73"/>
      <c r="S73"/>
      <c r="T73"/>
      <c r="U73"/>
      <c r="V73"/>
      <c r="W73"/>
      <c r="X73"/>
    </row>
    <row r="74" spans="1:24" s="109" customFormat="1" x14ac:dyDescent="0.2">
      <c r="A74" s="20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74"/>
      <c r="Q74" s="274"/>
      <c r="R74"/>
      <c r="S74"/>
      <c r="T74"/>
      <c r="U74"/>
      <c r="V74"/>
      <c r="W74"/>
      <c r="X74"/>
    </row>
    <row r="75" spans="1:24" s="109" customFormat="1" x14ac:dyDescent="0.2">
      <c r="A75" s="20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74"/>
      <c r="Q75" s="274"/>
      <c r="R75"/>
      <c r="S75"/>
      <c r="T75"/>
      <c r="U75"/>
      <c r="V75"/>
      <c r="W75"/>
      <c r="X75"/>
    </row>
    <row r="76" spans="1:24" s="109" customFormat="1" x14ac:dyDescent="0.2">
      <c r="A76" s="20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74"/>
      <c r="Q76" s="274"/>
      <c r="R76"/>
      <c r="S76"/>
      <c r="T76"/>
      <c r="U76"/>
      <c r="V76"/>
      <c r="W76"/>
      <c r="X76"/>
    </row>
    <row r="77" spans="1:24" s="109" customFormat="1" x14ac:dyDescent="0.2">
      <c r="A77" s="20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74"/>
      <c r="Q77" s="274"/>
      <c r="R77"/>
      <c r="S77"/>
      <c r="T77"/>
      <c r="U77"/>
      <c r="V77"/>
      <c r="W77"/>
      <c r="X77"/>
    </row>
    <row r="78" spans="1:24" s="109" customFormat="1" x14ac:dyDescent="0.2">
      <c r="A78" s="20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74"/>
      <c r="Q78" s="274"/>
      <c r="R78"/>
      <c r="S78"/>
      <c r="T78"/>
      <c r="U78"/>
      <c r="V78"/>
      <c r="W78"/>
      <c r="X78"/>
    </row>
    <row r="79" spans="1:24" s="109" customFormat="1" x14ac:dyDescent="0.2">
      <c r="A79" s="20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74"/>
      <c r="Q79" s="274"/>
      <c r="R79"/>
      <c r="S79"/>
      <c r="T79"/>
      <c r="U79"/>
      <c r="V79"/>
      <c r="W79"/>
      <c r="X79"/>
    </row>
    <row r="80" spans="1:24" s="109" customFormat="1" x14ac:dyDescent="0.2">
      <c r="A80" s="20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74"/>
      <c r="Q80" s="274"/>
      <c r="R80"/>
      <c r="S80"/>
      <c r="T80"/>
      <c r="U80"/>
      <c r="V80"/>
      <c r="W80"/>
      <c r="X80"/>
    </row>
    <row r="81" spans="1:24" s="109" customFormat="1" x14ac:dyDescent="0.2">
      <c r="A81" s="20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74"/>
      <c r="Q81" s="274"/>
      <c r="R81"/>
      <c r="S81"/>
      <c r="T81"/>
      <c r="U81"/>
      <c r="V81"/>
      <c r="W81"/>
      <c r="X81"/>
    </row>
    <row r="82" spans="1:24" s="109" customFormat="1" x14ac:dyDescent="0.2">
      <c r="A82" s="20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74"/>
      <c r="Q82" s="274"/>
      <c r="R82"/>
      <c r="S82"/>
      <c r="T82"/>
      <c r="U82"/>
      <c r="V82"/>
      <c r="W82"/>
      <c r="X82"/>
    </row>
    <row r="83" spans="1:24" s="109" customFormat="1" x14ac:dyDescent="0.2">
      <c r="A83" s="20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74"/>
      <c r="Q83" s="274"/>
      <c r="R83"/>
      <c r="S83"/>
      <c r="T83"/>
      <c r="U83"/>
      <c r="V83"/>
      <c r="W83"/>
      <c r="X83"/>
    </row>
    <row r="84" spans="1:24" s="109" customFormat="1" x14ac:dyDescent="0.2">
      <c r="A84" s="20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74"/>
      <c r="Q84" s="274"/>
      <c r="R84"/>
      <c r="S84"/>
      <c r="T84"/>
      <c r="U84"/>
      <c r="V84"/>
      <c r="W84"/>
      <c r="X84"/>
    </row>
    <row r="85" spans="1:24" s="109" customFormat="1" x14ac:dyDescent="0.2">
      <c r="A85" s="20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74"/>
      <c r="Q85" s="274"/>
      <c r="R85"/>
      <c r="S85"/>
      <c r="T85"/>
      <c r="U85"/>
      <c r="V85"/>
      <c r="W85"/>
      <c r="X85"/>
    </row>
    <row r="86" spans="1:24" s="109" customFormat="1" x14ac:dyDescent="0.2">
      <c r="A86" s="20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74"/>
      <c r="Q86" s="274"/>
      <c r="R86"/>
      <c r="S86"/>
      <c r="T86"/>
      <c r="U86"/>
      <c r="V86"/>
      <c r="W86"/>
      <c r="X86"/>
    </row>
    <row r="87" spans="1:24" s="109" customFormat="1" x14ac:dyDescent="0.2">
      <c r="A87" s="20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74"/>
      <c r="Q87" s="274"/>
      <c r="R87"/>
      <c r="S87"/>
      <c r="T87"/>
      <c r="U87"/>
      <c r="V87"/>
      <c r="W87"/>
      <c r="X87"/>
    </row>
    <row r="88" spans="1:24" s="109" customFormat="1" x14ac:dyDescent="0.2">
      <c r="A88" s="20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74"/>
      <c r="Q88" s="274"/>
      <c r="R88"/>
      <c r="S88"/>
      <c r="T88"/>
      <c r="U88"/>
      <c r="V88"/>
      <c r="W88"/>
      <c r="X88"/>
    </row>
    <row r="89" spans="1:24" s="109" customFormat="1" x14ac:dyDescent="0.2">
      <c r="A89" s="20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74"/>
      <c r="Q89" s="274"/>
      <c r="R89"/>
      <c r="S89"/>
      <c r="T89"/>
      <c r="U89"/>
      <c r="V89"/>
      <c r="W89"/>
      <c r="X89"/>
    </row>
    <row r="90" spans="1:24" s="109" customFormat="1" x14ac:dyDescent="0.2">
      <c r="A90" s="20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74"/>
      <c r="Q90" s="274"/>
      <c r="R90"/>
      <c r="S90"/>
      <c r="T90"/>
      <c r="U90"/>
      <c r="V90"/>
      <c r="W90"/>
      <c r="X90"/>
    </row>
    <row r="91" spans="1:24" s="109" customFormat="1" x14ac:dyDescent="0.2">
      <c r="A91" s="20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74"/>
      <c r="Q91" s="274"/>
      <c r="R91"/>
      <c r="S91"/>
      <c r="T91"/>
      <c r="U91"/>
      <c r="V91"/>
      <c r="W91"/>
      <c r="X91"/>
    </row>
    <row r="92" spans="1:24" s="109" customFormat="1" x14ac:dyDescent="0.2">
      <c r="A92" s="20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74"/>
      <c r="Q92" s="274"/>
      <c r="R92"/>
      <c r="S92"/>
      <c r="T92"/>
      <c r="U92"/>
      <c r="V92"/>
      <c r="W92"/>
      <c r="X92"/>
    </row>
    <row r="93" spans="1:24" s="109" customFormat="1" x14ac:dyDescent="0.2">
      <c r="A93" s="20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74"/>
      <c r="Q93" s="274"/>
      <c r="R93"/>
      <c r="S93"/>
      <c r="T93"/>
      <c r="U93"/>
      <c r="V93"/>
      <c r="W93"/>
      <c r="X93"/>
    </row>
    <row r="94" spans="1:24" s="109" customFormat="1" x14ac:dyDescent="0.2">
      <c r="A94" s="20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74"/>
      <c r="Q94" s="274"/>
      <c r="R94"/>
      <c r="S94"/>
      <c r="T94"/>
      <c r="U94"/>
      <c r="V94"/>
      <c r="W94"/>
      <c r="X94"/>
    </row>
    <row r="95" spans="1:24" s="109" customFormat="1" x14ac:dyDescent="0.2">
      <c r="A95" s="20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74"/>
      <c r="Q95" s="274"/>
      <c r="R95"/>
      <c r="S95"/>
      <c r="T95"/>
      <c r="U95"/>
      <c r="V95"/>
      <c r="W95"/>
      <c r="X95"/>
    </row>
    <row r="96" spans="1:24" s="109" customFormat="1" x14ac:dyDescent="0.2">
      <c r="A96" s="20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74"/>
      <c r="Q96" s="274"/>
      <c r="R96"/>
      <c r="S96"/>
      <c r="T96"/>
      <c r="U96"/>
      <c r="V96"/>
      <c r="W96"/>
      <c r="X96"/>
    </row>
    <row r="97" spans="1:24" s="109" customFormat="1" x14ac:dyDescent="0.2">
      <c r="A97" s="20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74"/>
      <c r="Q97" s="274"/>
      <c r="R97"/>
      <c r="S97"/>
      <c r="T97"/>
      <c r="U97"/>
      <c r="V97"/>
      <c r="W97"/>
      <c r="X97"/>
    </row>
    <row r="98" spans="1:24" s="109" customFormat="1" x14ac:dyDescent="0.2">
      <c r="A98" s="20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74"/>
      <c r="Q98" s="274"/>
      <c r="R98"/>
      <c r="S98"/>
      <c r="T98"/>
      <c r="U98"/>
      <c r="V98"/>
      <c r="W98"/>
      <c r="X98"/>
    </row>
    <row r="99" spans="1:24" s="109" customFormat="1" x14ac:dyDescent="0.2">
      <c r="A99" s="20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74"/>
      <c r="Q99" s="274"/>
      <c r="R99"/>
      <c r="S99"/>
      <c r="T99"/>
      <c r="U99"/>
      <c r="V99"/>
      <c r="W99"/>
      <c r="X99"/>
    </row>
    <row r="100" spans="1:24" s="109" customFormat="1" x14ac:dyDescent="0.2">
      <c r="A100" s="20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74"/>
      <c r="Q100" s="274"/>
      <c r="R100"/>
      <c r="S100"/>
      <c r="T100"/>
      <c r="U100"/>
      <c r="V100"/>
      <c r="W100"/>
      <c r="X100"/>
    </row>
    <row r="101" spans="1:24" s="109" customFormat="1" x14ac:dyDescent="0.2">
      <c r="A101" s="20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74"/>
      <c r="Q101" s="274"/>
      <c r="R101"/>
      <c r="S101"/>
      <c r="T101"/>
      <c r="U101"/>
      <c r="V101"/>
      <c r="W101"/>
      <c r="X101"/>
    </row>
    <row r="102" spans="1:24" s="109" customFormat="1" x14ac:dyDescent="0.2">
      <c r="A102" s="20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74"/>
      <c r="Q102" s="274"/>
      <c r="R102"/>
      <c r="S102"/>
      <c r="T102"/>
      <c r="U102"/>
      <c r="V102"/>
      <c r="W102"/>
      <c r="X102"/>
    </row>
    <row r="103" spans="1:24" s="109" customFormat="1" x14ac:dyDescent="0.2">
      <c r="A103" s="20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74"/>
      <c r="Q103" s="274"/>
      <c r="R103"/>
      <c r="S103"/>
      <c r="T103"/>
      <c r="U103"/>
      <c r="V103"/>
      <c r="W103"/>
      <c r="X103"/>
    </row>
    <row r="104" spans="1:24" s="109" customFormat="1" x14ac:dyDescent="0.2">
      <c r="A104" s="20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74"/>
      <c r="Q104" s="274"/>
      <c r="R104"/>
      <c r="S104"/>
      <c r="T104"/>
      <c r="U104"/>
      <c r="V104"/>
      <c r="W104"/>
      <c r="X104"/>
    </row>
    <row r="105" spans="1:24" s="109" customFormat="1" x14ac:dyDescent="0.2">
      <c r="A105" s="20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74"/>
      <c r="Q105" s="274"/>
      <c r="R105"/>
      <c r="S105"/>
      <c r="T105"/>
      <c r="U105"/>
      <c r="V105"/>
      <c r="W105"/>
      <c r="X105"/>
    </row>
    <row r="106" spans="1:24" s="109" customFormat="1" x14ac:dyDescent="0.2">
      <c r="A106" s="2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74"/>
      <c r="Q106" s="274"/>
      <c r="R106"/>
      <c r="S106"/>
      <c r="T106"/>
      <c r="U106"/>
      <c r="V106"/>
      <c r="W106"/>
      <c r="X106"/>
    </row>
    <row r="107" spans="1:24" s="109" customFormat="1" x14ac:dyDescent="0.2">
      <c r="A107" s="20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74"/>
      <c r="Q107" s="274"/>
      <c r="R107"/>
      <c r="S107"/>
      <c r="T107"/>
      <c r="U107"/>
      <c r="V107"/>
      <c r="W107"/>
      <c r="X107"/>
    </row>
    <row r="108" spans="1:24" s="109" customFormat="1" x14ac:dyDescent="0.2">
      <c r="A108" s="20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74"/>
      <c r="Q108" s="274"/>
      <c r="R108"/>
      <c r="S108"/>
      <c r="T108"/>
      <c r="U108"/>
      <c r="V108"/>
      <c r="W108"/>
      <c r="X108"/>
    </row>
    <row r="109" spans="1:24" s="109" customFormat="1" x14ac:dyDescent="0.2">
      <c r="A109" s="20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74"/>
      <c r="Q109" s="274"/>
      <c r="R109"/>
      <c r="S109"/>
      <c r="T109"/>
      <c r="U109"/>
      <c r="V109"/>
      <c r="W109"/>
      <c r="X109"/>
    </row>
    <row r="110" spans="1:24" s="109" customFormat="1" x14ac:dyDescent="0.2">
      <c r="A110" s="20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74"/>
      <c r="Q110" s="274"/>
      <c r="R110"/>
      <c r="S110"/>
      <c r="T110"/>
      <c r="U110"/>
      <c r="V110"/>
      <c r="W110"/>
      <c r="X110"/>
    </row>
    <row r="111" spans="1:24" s="109" customFormat="1" x14ac:dyDescent="0.2">
      <c r="A111" s="20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74"/>
      <c r="Q111" s="274"/>
      <c r="R111"/>
      <c r="S111"/>
      <c r="T111"/>
      <c r="U111"/>
      <c r="V111"/>
      <c r="W111"/>
      <c r="X111"/>
    </row>
    <row r="112" spans="1:24" s="109" customFormat="1" x14ac:dyDescent="0.2">
      <c r="A112" s="20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74"/>
      <c r="Q112" s="274"/>
      <c r="R112"/>
      <c r="S112"/>
      <c r="T112"/>
      <c r="U112"/>
      <c r="V112"/>
      <c r="W112"/>
      <c r="X112"/>
    </row>
    <row r="113" spans="1:24" s="109" customFormat="1" x14ac:dyDescent="0.2">
      <c r="A113" s="20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74"/>
      <c r="Q113" s="274"/>
      <c r="R113"/>
      <c r="S113"/>
      <c r="T113"/>
      <c r="U113"/>
      <c r="V113"/>
      <c r="W113"/>
      <c r="X113"/>
    </row>
    <row r="114" spans="1:24" s="109" customFormat="1" x14ac:dyDescent="0.2">
      <c r="A114" s="20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74"/>
      <c r="Q114" s="274"/>
      <c r="R114"/>
      <c r="S114"/>
      <c r="T114"/>
      <c r="U114"/>
      <c r="V114"/>
      <c r="W114"/>
      <c r="X114"/>
    </row>
    <row r="115" spans="1:24" s="109" customFormat="1" x14ac:dyDescent="0.2">
      <c r="A115" s="20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74"/>
      <c r="Q115" s="274"/>
      <c r="R115"/>
      <c r="S115"/>
      <c r="T115"/>
      <c r="U115"/>
      <c r="V115"/>
      <c r="W115"/>
      <c r="X115"/>
    </row>
    <row r="116" spans="1:24" s="109" customFormat="1" x14ac:dyDescent="0.2">
      <c r="A116" s="20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74"/>
      <c r="Q116" s="274"/>
      <c r="R116"/>
      <c r="S116"/>
      <c r="T116"/>
      <c r="U116"/>
      <c r="V116"/>
      <c r="W116"/>
      <c r="X116"/>
    </row>
    <row r="117" spans="1:24" s="109" customFormat="1" x14ac:dyDescent="0.2">
      <c r="A117" s="20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74"/>
      <c r="Q117" s="274"/>
      <c r="R117"/>
      <c r="S117"/>
      <c r="T117"/>
      <c r="U117"/>
      <c r="V117"/>
      <c r="W117"/>
      <c r="X117"/>
    </row>
    <row r="118" spans="1:24" s="109" customFormat="1" x14ac:dyDescent="0.2">
      <c r="A118" s="20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74"/>
      <c r="Q118" s="274"/>
      <c r="R118"/>
      <c r="S118"/>
      <c r="T118"/>
      <c r="U118"/>
      <c r="V118"/>
      <c r="W118"/>
      <c r="X118"/>
    </row>
    <row r="119" spans="1:24" s="109" customFormat="1" x14ac:dyDescent="0.2">
      <c r="A119" s="20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74"/>
      <c r="Q119" s="274"/>
      <c r="R119"/>
      <c r="S119"/>
      <c r="T119"/>
      <c r="U119"/>
      <c r="V119"/>
      <c r="W119"/>
      <c r="X119"/>
    </row>
    <row r="120" spans="1:24" s="109" customFormat="1" x14ac:dyDescent="0.2">
      <c r="A120" s="20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74"/>
      <c r="Q120" s="274"/>
      <c r="R120"/>
      <c r="S120"/>
      <c r="T120"/>
      <c r="U120"/>
      <c r="V120"/>
      <c r="W120"/>
      <c r="X120"/>
    </row>
    <row r="121" spans="1:24" s="109" customFormat="1" x14ac:dyDescent="0.2">
      <c r="A121" s="20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74"/>
      <c r="Q121" s="274"/>
      <c r="R121"/>
      <c r="S121"/>
      <c r="T121"/>
      <c r="U121"/>
      <c r="V121"/>
      <c r="W121"/>
      <c r="X121"/>
    </row>
    <row r="122" spans="1:24" s="109" customFormat="1" x14ac:dyDescent="0.2">
      <c r="A122" s="20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74"/>
      <c r="Q122" s="274"/>
      <c r="R122"/>
      <c r="S122"/>
      <c r="T122"/>
      <c r="U122"/>
      <c r="V122"/>
      <c r="W122"/>
      <c r="X122"/>
    </row>
    <row r="123" spans="1:24" s="109" customFormat="1" x14ac:dyDescent="0.2">
      <c r="A123" s="20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74"/>
      <c r="Q123" s="274"/>
      <c r="R123"/>
      <c r="S123"/>
      <c r="T123"/>
      <c r="U123"/>
      <c r="V123"/>
      <c r="W123"/>
      <c r="X123"/>
    </row>
    <row r="124" spans="1:24" s="109" customFormat="1" x14ac:dyDescent="0.2">
      <c r="A124" s="20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74"/>
      <c r="Q124" s="274"/>
      <c r="R124"/>
      <c r="S124"/>
      <c r="T124"/>
      <c r="U124"/>
      <c r="V124"/>
      <c r="W124"/>
      <c r="X124"/>
    </row>
    <row r="125" spans="1:24" s="109" customFormat="1" x14ac:dyDescent="0.2">
      <c r="A125" s="20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74"/>
      <c r="Q125" s="274"/>
      <c r="R125"/>
      <c r="S125"/>
      <c r="T125"/>
      <c r="U125"/>
      <c r="V125"/>
      <c r="W125"/>
      <c r="X125"/>
    </row>
    <row r="126" spans="1:24" s="109" customFormat="1" x14ac:dyDescent="0.2">
      <c r="A126" s="20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74"/>
      <c r="Q126" s="274"/>
      <c r="R126"/>
      <c r="S126"/>
      <c r="T126"/>
      <c r="U126"/>
      <c r="V126"/>
      <c r="W126"/>
      <c r="X126"/>
    </row>
    <row r="127" spans="1:24" s="109" customFormat="1" x14ac:dyDescent="0.2">
      <c r="A127" s="20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74"/>
      <c r="Q127" s="274"/>
      <c r="R127"/>
      <c r="S127"/>
      <c r="T127"/>
      <c r="U127"/>
      <c r="V127"/>
      <c r="W127"/>
      <c r="X127"/>
    </row>
    <row r="128" spans="1:24" s="109" customFormat="1" x14ac:dyDescent="0.2">
      <c r="A128" s="20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74"/>
      <c r="Q128" s="274"/>
      <c r="R128"/>
      <c r="S128"/>
      <c r="T128"/>
      <c r="U128"/>
      <c r="V128"/>
      <c r="W128"/>
      <c r="X128"/>
    </row>
    <row r="129" spans="1:24" s="109" customFormat="1" x14ac:dyDescent="0.2">
      <c r="A129" s="20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74"/>
      <c r="Q129" s="274"/>
      <c r="R129"/>
      <c r="S129"/>
      <c r="T129"/>
      <c r="U129"/>
      <c r="V129"/>
      <c r="W129"/>
      <c r="X129"/>
    </row>
    <row r="130" spans="1:24" s="109" customFormat="1" x14ac:dyDescent="0.2">
      <c r="A130" s="20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74"/>
      <c r="Q130" s="274"/>
      <c r="R130"/>
      <c r="S130"/>
      <c r="T130"/>
      <c r="U130"/>
      <c r="V130"/>
      <c r="W130"/>
      <c r="X130"/>
    </row>
    <row r="131" spans="1:24" s="109" customFormat="1" x14ac:dyDescent="0.2">
      <c r="A131" s="20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74"/>
      <c r="Q131" s="274"/>
      <c r="R131"/>
      <c r="S131"/>
      <c r="T131"/>
      <c r="U131"/>
      <c r="V131"/>
      <c r="W131"/>
      <c r="X131"/>
    </row>
    <row r="132" spans="1:24" s="109" customFormat="1" x14ac:dyDescent="0.2">
      <c r="A132" s="20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74"/>
      <c r="Q132" s="274"/>
      <c r="R132"/>
      <c r="S132"/>
      <c r="T132"/>
      <c r="U132"/>
      <c r="V132"/>
      <c r="W132"/>
      <c r="X132"/>
    </row>
    <row r="133" spans="1:24" s="109" customFormat="1" x14ac:dyDescent="0.2">
      <c r="A133" s="20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74"/>
      <c r="Q133" s="274"/>
      <c r="R133"/>
      <c r="S133"/>
      <c r="T133"/>
      <c r="U133"/>
      <c r="V133"/>
      <c r="W133"/>
      <c r="X133"/>
    </row>
    <row r="134" spans="1:24" s="109" customFormat="1" x14ac:dyDescent="0.2">
      <c r="A134" s="20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74"/>
      <c r="Q134" s="274"/>
      <c r="R134"/>
      <c r="S134"/>
      <c r="T134"/>
      <c r="U134"/>
      <c r="V134"/>
      <c r="W134"/>
      <c r="X134"/>
    </row>
    <row r="135" spans="1:24" s="109" customFormat="1" x14ac:dyDescent="0.2">
      <c r="A135" s="20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74"/>
      <c r="Q135" s="274"/>
      <c r="R135"/>
      <c r="S135"/>
      <c r="T135"/>
      <c r="U135"/>
      <c r="V135"/>
      <c r="W135"/>
      <c r="X135"/>
    </row>
    <row r="136" spans="1:24" s="109" customFormat="1" x14ac:dyDescent="0.2">
      <c r="A136" s="20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74"/>
      <c r="Q136" s="274"/>
      <c r="R136"/>
      <c r="S136"/>
      <c r="T136"/>
      <c r="U136"/>
      <c r="V136"/>
      <c r="W136"/>
      <c r="X136"/>
    </row>
    <row r="137" spans="1:24" s="109" customFormat="1" x14ac:dyDescent="0.2">
      <c r="A137" s="20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74"/>
      <c r="Q137" s="274"/>
      <c r="R137"/>
      <c r="S137"/>
      <c r="T137"/>
      <c r="U137"/>
      <c r="V137"/>
      <c r="W137"/>
      <c r="X137"/>
    </row>
    <row r="138" spans="1:24" s="109" customFormat="1" x14ac:dyDescent="0.2">
      <c r="A138" s="20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74"/>
      <c r="Q138" s="274"/>
      <c r="R138"/>
      <c r="S138"/>
      <c r="T138"/>
      <c r="U138"/>
      <c r="V138"/>
      <c r="W138"/>
      <c r="X138"/>
    </row>
    <row r="139" spans="1:24" s="109" customFormat="1" x14ac:dyDescent="0.2">
      <c r="A139" s="206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74"/>
      <c r="Q139" s="274"/>
      <c r="R139"/>
      <c r="S139"/>
      <c r="T139"/>
      <c r="U139"/>
      <c r="V139"/>
      <c r="W139"/>
      <c r="X139"/>
    </row>
    <row r="140" spans="1:24" s="109" customFormat="1" x14ac:dyDescent="0.2">
      <c r="A140" s="206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74"/>
      <c r="Q140" s="274"/>
      <c r="R140"/>
      <c r="S140"/>
      <c r="T140"/>
      <c r="U140"/>
      <c r="V140"/>
      <c r="W140"/>
      <c r="X140"/>
    </row>
    <row r="141" spans="1:24" s="109" customFormat="1" x14ac:dyDescent="0.2">
      <c r="A141" s="206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74"/>
      <c r="Q141" s="274"/>
      <c r="R141"/>
      <c r="S141"/>
      <c r="T141"/>
      <c r="U141"/>
      <c r="V141"/>
      <c r="W141"/>
      <c r="X141"/>
    </row>
    <row r="142" spans="1:24" s="109" customFormat="1" x14ac:dyDescent="0.2">
      <c r="A142" s="206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74"/>
      <c r="Q142" s="274"/>
      <c r="R142"/>
      <c r="S142"/>
      <c r="T142"/>
      <c r="U142"/>
      <c r="V142"/>
      <c r="W142"/>
      <c r="X142"/>
    </row>
    <row r="143" spans="1:24" s="109" customFormat="1" x14ac:dyDescent="0.2">
      <c r="A143" s="206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74"/>
      <c r="Q143" s="274"/>
      <c r="R143"/>
      <c r="S143"/>
      <c r="T143"/>
      <c r="U143"/>
      <c r="V143"/>
      <c r="W143"/>
      <c r="X143"/>
    </row>
    <row r="144" spans="1:24" s="109" customFormat="1" x14ac:dyDescent="0.2">
      <c r="A144" s="206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74"/>
      <c r="Q144" s="274"/>
      <c r="R144"/>
      <c r="S144"/>
      <c r="T144"/>
      <c r="U144"/>
      <c r="V144"/>
      <c r="W144"/>
      <c r="X144"/>
    </row>
    <row r="145" spans="1:24" s="109" customFormat="1" x14ac:dyDescent="0.2">
      <c r="A145" s="206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74"/>
      <c r="Q145" s="274"/>
      <c r="R145"/>
      <c r="S145"/>
      <c r="T145"/>
      <c r="U145"/>
      <c r="V145"/>
      <c r="W145"/>
      <c r="X145"/>
    </row>
    <row r="146" spans="1:24" s="109" customFormat="1" x14ac:dyDescent="0.2">
      <c r="A146" s="20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74"/>
      <c r="Q146" s="274"/>
      <c r="R146"/>
      <c r="S146"/>
      <c r="T146"/>
      <c r="U146"/>
      <c r="V146"/>
      <c r="W146"/>
      <c r="X146"/>
    </row>
    <row r="147" spans="1:24" s="109" customFormat="1" x14ac:dyDescent="0.2">
      <c r="A147" s="206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74"/>
      <c r="Q147" s="274"/>
      <c r="R147"/>
      <c r="S147"/>
      <c r="T147"/>
      <c r="U147"/>
      <c r="V147"/>
      <c r="W147"/>
      <c r="X147"/>
    </row>
    <row r="148" spans="1:24" s="109" customFormat="1" x14ac:dyDescent="0.2">
      <c r="A148" s="206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74"/>
      <c r="Q148" s="274"/>
      <c r="R148"/>
      <c r="S148"/>
      <c r="T148"/>
      <c r="U148"/>
      <c r="V148"/>
      <c r="W148"/>
      <c r="X148"/>
    </row>
    <row r="149" spans="1:24" s="109" customFormat="1" x14ac:dyDescent="0.2">
      <c r="A149" s="206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74"/>
      <c r="Q149" s="274"/>
      <c r="R149"/>
      <c r="S149"/>
      <c r="T149"/>
      <c r="U149"/>
      <c r="V149"/>
      <c r="W149"/>
      <c r="X149"/>
    </row>
    <row r="150" spans="1:24" s="109" customFormat="1" x14ac:dyDescent="0.2">
      <c r="A150" s="206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74"/>
      <c r="Q150" s="274"/>
      <c r="R150"/>
      <c r="S150"/>
      <c r="T150"/>
      <c r="U150"/>
      <c r="V150"/>
      <c r="W150"/>
      <c r="X150"/>
    </row>
    <row r="151" spans="1:24" s="109" customFormat="1" x14ac:dyDescent="0.2">
      <c r="A151" s="206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74"/>
      <c r="Q151" s="274"/>
      <c r="R151"/>
      <c r="S151"/>
      <c r="T151"/>
      <c r="U151"/>
      <c r="V151"/>
      <c r="W151"/>
      <c r="X151"/>
    </row>
    <row r="152" spans="1:24" s="109" customFormat="1" x14ac:dyDescent="0.2">
      <c r="A152" s="206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74"/>
      <c r="Q152" s="274"/>
      <c r="R152"/>
      <c r="S152"/>
      <c r="T152"/>
      <c r="U152"/>
      <c r="V152"/>
      <c r="W152"/>
      <c r="X152"/>
    </row>
    <row r="153" spans="1:24" s="109" customFormat="1" x14ac:dyDescent="0.2">
      <c r="A153" s="206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74"/>
      <c r="Q153" s="274"/>
      <c r="R153"/>
      <c r="S153"/>
      <c r="T153"/>
      <c r="U153"/>
      <c r="V153"/>
      <c r="W153"/>
      <c r="X153"/>
    </row>
    <row r="154" spans="1:24" s="109" customFormat="1" x14ac:dyDescent="0.2">
      <c r="A154" s="206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74"/>
      <c r="Q154" s="274"/>
      <c r="R154"/>
      <c r="S154"/>
      <c r="T154"/>
      <c r="U154"/>
      <c r="V154"/>
      <c r="W154"/>
      <c r="X154"/>
    </row>
    <row r="155" spans="1:24" s="109" customFormat="1" x14ac:dyDescent="0.2">
      <c r="A155" s="206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74"/>
      <c r="Q155" s="274"/>
      <c r="R155"/>
      <c r="S155"/>
      <c r="T155"/>
      <c r="U155"/>
      <c r="V155"/>
      <c r="W155"/>
      <c r="X155"/>
    </row>
    <row r="156" spans="1:24" s="109" customFormat="1" x14ac:dyDescent="0.2">
      <c r="A156" s="20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74"/>
      <c r="Q156" s="274"/>
      <c r="R156"/>
      <c r="S156"/>
      <c r="T156"/>
      <c r="U156"/>
      <c r="V156"/>
      <c r="W156"/>
      <c r="X156"/>
    </row>
    <row r="157" spans="1:24" s="109" customFormat="1" x14ac:dyDescent="0.2">
      <c r="A157" s="206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74"/>
      <c r="Q157" s="274"/>
      <c r="R157"/>
      <c r="S157"/>
      <c r="T157"/>
      <c r="U157"/>
      <c r="V157"/>
      <c r="W157"/>
      <c r="X157"/>
    </row>
    <row r="158" spans="1:24" s="109" customFormat="1" x14ac:dyDescent="0.2">
      <c r="A158" s="206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74"/>
      <c r="Q158" s="274"/>
      <c r="R158"/>
      <c r="S158"/>
      <c r="T158"/>
      <c r="U158"/>
      <c r="V158"/>
      <c r="W158"/>
      <c r="X158"/>
    </row>
    <row r="159" spans="1:24" s="109" customFormat="1" x14ac:dyDescent="0.2">
      <c r="A159" s="206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74"/>
      <c r="Q159" s="274"/>
      <c r="R159"/>
      <c r="S159"/>
      <c r="T159"/>
      <c r="U159"/>
      <c r="V159"/>
      <c r="W159"/>
      <c r="X159"/>
    </row>
    <row r="160" spans="1:24" s="109" customFormat="1" x14ac:dyDescent="0.2">
      <c r="A160" s="206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74"/>
      <c r="Q160" s="274"/>
      <c r="R160"/>
      <c r="S160"/>
      <c r="T160"/>
      <c r="U160"/>
      <c r="V160"/>
      <c r="W160"/>
      <c r="X160"/>
    </row>
    <row r="161" spans="1:24" s="109" customFormat="1" x14ac:dyDescent="0.2">
      <c r="A161" s="206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74"/>
      <c r="Q161" s="274"/>
      <c r="R161"/>
      <c r="S161"/>
      <c r="T161"/>
      <c r="U161"/>
      <c r="V161"/>
      <c r="W161"/>
      <c r="X161"/>
    </row>
    <row r="162" spans="1:24" x14ac:dyDescent="0.2">
      <c r="A162"/>
    </row>
    <row r="163" spans="1:24" x14ac:dyDescent="0.2">
      <c r="A163"/>
    </row>
    <row r="164" spans="1:24" x14ac:dyDescent="0.2">
      <c r="A164"/>
    </row>
    <row r="165" spans="1:24" x14ac:dyDescent="0.2">
      <c r="A165"/>
    </row>
    <row r="166" spans="1:24" x14ac:dyDescent="0.2">
      <c r="A166"/>
    </row>
    <row r="167" spans="1:24" x14ac:dyDescent="0.2">
      <c r="A167"/>
    </row>
    <row r="168" spans="1:24" x14ac:dyDescent="0.2">
      <c r="A168"/>
    </row>
    <row r="169" spans="1:24" x14ac:dyDescent="0.2">
      <c r="A169"/>
    </row>
    <row r="170" spans="1:24" x14ac:dyDescent="0.2">
      <c r="A170"/>
    </row>
    <row r="171" spans="1:24" x14ac:dyDescent="0.2">
      <c r="A171"/>
    </row>
    <row r="172" spans="1:24" x14ac:dyDescent="0.2">
      <c r="A172"/>
    </row>
    <row r="173" spans="1:24" x14ac:dyDescent="0.2">
      <c r="A173"/>
    </row>
    <row r="174" spans="1:24" x14ac:dyDescent="0.2">
      <c r="A174"/>
    </row>
    <row r="175" spans="1:24" x14ac:dyDescent="0.2">
      <c r="A175"/>
    </row>
    <row r="176" spans="1:24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  <row r="5067" spans="1:1" x14ac:dyDescent="0.2">
      <c r="A5067"/>
    </row>
    <row r="5068" spans="1:1" x14ac:dyDescent="0.2">
      <c r="A5068"/>
    </row>
    <row r="5069" spans="1:1" x14ac:dyDescent="0.2">
      <c r="A5069"/>
    </row>
    <row r="5070" spans="1:1" x14ac:dyDescent="0.2">
      <c r="A5070"/>
    </row>
    <row r="5071" spans="1:1" x14ac:dyDescent="0.2">
      <c r="A5071"/>
    </row>
    <row r="5072" spans="1:1" x14ac:dyDescent="0.2">
      <c r="A5072"/>
    </row>
    <row r="5073" spans="1:1" x14ac:dyDescent="0.2">
      <c r="A5073"/>
    </row>
    <row r="5074" spans="1:1" x14ac:dyDescent="0.2">
      <c r="A5074"/>
    </row>
    <row r="5075" spans="1:1" x14ac:dyDescent="0.2">
      <c r="A5075"/>
    </row>
    <row r="5076" spans="1:1" x14ac:dyDescent="0.2">
      <c r="A5076"/>
    </row>
    <row r="5077" spans="1:1" x14ac:dyDescent="0.2">
      <c r="A5077"/>
    </row>
    <row r="5078" spans="1:1" x14ac:dyDescent="0.2">
      <c r="A5078"/>
    </row>
    <row r="5079" spans="1:1" x14ac:dyDescent="0.2">
      <c r="A5079"/>
    </row>
    <row r="5080" spans="1:1" x14ac:dyDescent="0.2">
      <c r="A5080"/>
    </row>
    <row r="5081" spans="1:1" x14ac:dyDescent="0.2">
      <c r="A5081"/>
    </row>
    <row r="5082" spans="1:1" x14ac:dyDescent="0.2">
      <c r="A5082"/>
    </row>
    <row r="5083" spans="1:1" x14ac:dyDescent="0.2">
      <c r="A5083"/>
    </row>
    <row r="5084" spans="1:1" x14ac:dyDescent="0.2">
      <c r="A5084"/>
    </row>
    <row r="5085" spans="1:1" x14ac:dyDescent="0.2">
      <c r="A5085"/>
    </row>
    <row r="5086" spans="1:1" x14ac:dyDescent="0.2">
      <c r="A5086"/>
    </row>
    <row r="5087" spans="1:1" x14ac:dyDescent="0.2">
      <c r="A5087"/>
    </row>
    <row r="5088" spans="1:1" x14ac:dyDescent="0.2">
      <c r="A5088"/>
    </row>
    <row r="5089" spans="1:1" x14ac:dyDescent="0.2">
      <c r="A5089"/>
    </row>
    <row r="5090" spans="1:1" x14ac:dyDescent="0.2">
      <c r="A5090"/>
    </row>
    <row r="5091" spans="1:1" x14ac:dyDescent="0.2">
      <c r="A5091"/>
    </row>
    <row r="5092" spans="1:1" x14ac:dyDescent="0.2">
      <c r="A5092"/>
    </row>
    <row r="5093" spans="1:1" x14ac:dyDescent="0.2">
      <c r="A5093"/>
    </row>
    <row r="5094" spans="1:1" x14ac:dyDescent="0.2">
      <c r="A5094"/>
    </row>
    <row r="5095" spans="1:1" x14ac:dyDescent="0.2">
      <c r="A5095"/>
    </row>
    <row r="5096" spans="1:1" x14ac:dyDescent="0.2">
      <c r="A5096"/>
    </row>
    <row r="5097" spans="1:1" x14ac:dyDescent="0.2">
      <c r="A5097"/>
    </row>
    <row r="5098" spans="1:1" x14ac:dyDescent="0.2">
      <c r="A5098"/>
    </row>
    <row r="5099" spans="1:1" x14ac:dyDescent="0.2">
      <c r="A5099"/>
    </row>
    <row r="5100" spans="1:1" x14ac:dyDescent="0.2">
      <c r="A5100"/>
    </row>
    <row r="5101" spans="1:1" x14ac:dyDescent="0.2">
      <c r="A5101"/>
    </row>
    <row r="5102" spans="1:1" x14ac:dyDescent="0.2">
      <c r="A5102"/>
    </row>
    <row r="5103" spans="1:1" x14ac:dyDescent="0.2">
      <c r="A5103"/>
    </row>
    <row r="5104" spans="1:1" x14ac:dyDescent="0.2">
      <c r="A5104"/>
    </row>
    <row r="5105" spans="1:1" x14ac:dyDescent="0.2">
      <c r="A5105"/>
    </row>
    <row r="5106" spans="1:1" x14ac:dyDescent="0.2">
      <c r="A5106"/>
    </row>
    <row r="5107" spans="1:1" x14ac:dyDescent="0.2">
      <c r="A5107"/>
    </row>
    <row r="5108" spans="1:1" x14ac:dyDescent="0.2">
      <c r="A5108"/>
    </row>
    <row r="5109" spans="1:1" x14ac:dyDescent="0.2">
      <c r="A5109"/>
    </row>
    <row r="5110" spans="1:1" x14ac:dyDescent="0.2">
      <c r="A5110"/>
    </row>
    <row r="5111" spans="1:1" x14ac:dyDescent="0.2">
      <c r="A5111"/>
    </row>
    <row r="5112" spans="1:1" x14ac:dyDescent="0.2">
      <c r="A5112"/>
    </row>
    <row r="5113" spans="1:1" x14ac:dyDescent="0.2">
      <c r="A5113"/>
    </row>
    <row r="5114" spans="1:1" x14ac:dyDescent="0.2">
      <c r="A5114"/>
    </row>
    <row r="5115" spans="1:1" x14ac:dyDescent="0.2">
      <c r="A5115"/>
    </row>
    <row r="5116" spans="1:1" x14ac:dyDescent="0.2">
      <c r="A5116"/>
    </row>
    <row r="5117" spans="1:1" x14ac:dyDescent="0.2">
      <c r="A5117"/>
    </row>
    <row r="5118" spans="1:1" x14ac:dyDescent="0.2">
      <c r="A5118"/>
    </row>
    <row r="5119" spans="1:1" x14ac:dyDescent="0.2">
      <c r="A5119"/>
    </row>
    <row r="5120" spans="1:1" x14ac:dyDescent="0.2">
      <c r="A5120"/>
    </row>
    <row r="5121" spans="1:1" x14ac:dyDescent="0.2">
      <c r="A5121"/>
    </row>
    <row r="5122" spans="1:1" x14ac:dyDescent="0.2">
      <c r="A5122"/>
    </row>
    <row r="5123" spans="1:1" x14ac:dyDescent="0.2">
      <c r="A5123"/>
    </row>
    <row r="5124" spans="1:1" x14ac:dyDescent="0.2">
      <c r="A5124"/>
    </row>
    <row r="5125" spans="1:1" x14ac:dyDescent="0.2">
      <c r="A5125"/>
    </row>
    <row r="5126" spans="1:1" x14ac:dyDescent="0.2">
      <c r="A5126"/>
    </row>
    <row r="5127" spans="1:1" x14ac:dyDescent="0.2">
      <c r="A5127"/>
    </row>
    <row r="5128" spans="1:1" x14ac:dyDescent="0.2">
      <c r="A5128"/>
    </row>
    <row r="5129" spans="1:1" x14ac:dyDescent="0.2">
      <c r="A5129"/>
    </row>
    <row r="5130" spans="1:1" x14ac:dyDescent="0.2">
      <c r="A5130"/>
    </row>
    <row r="5131" spans="1:1" x14ac:dyDescent="0.2">
      <c r="A5131"/>
    </row>
    <row r="5132" spans="1:1" x14ac:dyDescent="0.2">
      <c r="A5132"/>
    </row>
    <row r="5133" spans="1:1" x14ac:dyDescent="0.2">
      <c r="A5133"/>
    </row>
    <row r="5134" spans="1:1" x14ac:dyDescent="0.2">
      <c r="A5134"/>
    </row>
    <row r="5135" spans="1:1" x14ac:dyDescent="0.2">
      <c r="A5135"/>
    </row>
    <row r="5136" spans="1:1" x14ac:dyDescent="0.2">
      <c r="A5136"/>
    </row>
    <row r="5137" spans="1:1" x14ac:dyDescent="0.2">
      <c r="A5137"/>
    </row>
    <row r="5138" spans="1:1" x14ac:dyDescent="0.2">
      <c r="A5138"/>
    </row>
    <row r="5139" spans="1:1" x14ac:dyDescent="0.2">
      <c r="A5139"/>
    </row>
    <row r="5140" spans="1:1" x14ac:dyDescent="0.2">
      <c r="A5140"/>
    </row>
    <row r="5141" spans="1:1" x14ac:dyDescent="0.2">
      <c r="A5141"/>
    </row>
    <row r="5142" spans="1:1" x14ac:dyDescent="0.2">
      <c r="A5142"/>
    </row>
    <row r="5143" spans="1:1" x14ac:dyDescent="0.2">
      <c r="A5143"/>
    </row>
    <row r="5144" spans="1:1" x14ac:dyDescent="0.2">
      <c r="A5144"/>
    </row>
    <row r="5145" spans="1:1" x14ac:dyDescent="0.2">
      <c r="A5145"/>
    </row>
    <row r="5146" spans="1:1" x14ac:dyDescent="0.2">
      <c r="A5146"/>
    </row>
    <row r="5147" spans="1:1" x14ac:dyDescent="0.2">
      <c r="A5147"/>
    </row>
    <row r="5148" spans="1:1" x14ac:dyDescent="0.2">
      <c r="A5148"/>
    </row>
    <row r="5149" spans="1:1" x14ac:dyDescent="0.2">
      <c r="A5149"/>
    </row>
    <row r="5150" spans="1:1" x14ac:dyDescent="0.2">
      <c r="A5150"/>
    </row>
    <row r="5151" spans="1:1" x14ac:dyDescent="0.2">
      <c r="A5151"/>
    </row>
    <row r="5152" spans="1:1" x14ac:dyDescent="0.2">
      <c r="A5152"/>
    </row>
    <row r="5153" spans="1:1" x14ac:dyDescent="0.2">
      <c r="A5153"/>
    </row>
    <row r="5154" spans="1:1" x14ac:dyDescent="0.2">
      <c r="A5154"/>
    </row>
    <row r="5155" spans="1:1" x14ac:dyDescent="0.2">
      <c r="A5155"/>
    </row>
    <row r="5156" spans="1:1" x14ac:dyDescent="0.2">
      <c r="A5156"/>
    </row>
    <row r="5157" spans="1:1" x14ac:dyDescent="0.2">
      <c r="A5157"/>
    </row>
    <row r="5158" spans="1:1" x14ac:dyDescent="0.2">
      <c r="A5158"/>
    </row>
    <row r="5159" spans="1:1" x14ac:dyDescent="0.2">
      <c r="A5159"/>
    </row>
    <row r="5160" spans="1:1" x14ac:dyDescent="0.2">
      <c r="A5160"/>
    </row>
    <row r="5161" spans="1:1" x14ac:dyDescent="0.2">
      <c r="A5161"/>
    </row>
    <row r="5162" spans="1:1" x14ac:dyDescent="0.2">
      <c r="A5162"/>
    </row>
    <row r="5163" spans="1:1" x14ac:dyDescent="0.2">
      <c r="A5163"/>
    </row>
    <row r="5164" spans="1:1" x14ac:dyDescent="0.2">
      <c r="A5164"/>
    </row>
    <row r="5165" spans="1:1" x14ac:dyDescent="0.2">
      <c r="A5165"/>
    </row>
    <row r="5166" spans="1:1" x14ac:dyDescent="0.2">
      <c r="A5166"/>
    </row>
    <row r="5167" spans="1:1" x14ac:dyDescent="0.2">
      <c r="A5167"/>
    </row>
    <row r="5168" spans="1:1" x14ac:dyDescent="0.2">
      <c r="A5168"/>
    </row>
    <row r="5169" spans="1:1" x14ac:dyDescent="0.2">
      <c r="A5169"/>
    </row>
    <row r="5170" spans="1:1" x14ac:dyDescent="0.2">
      <c r="A5170"/>
    </row>
    <row r="5171" spans="1:1" x14ac:dyDescent="0.2">
      <c r="A5171"/>
    </row>
    <row r="5172" spans="1:1" x14ac:dyDescent="0.2">
      <c r="A5172"/>
    </row>
    <row r="5173" spans="1:1" x14ac:dyDescent="0.2">
      <c r="A5173"/>
    </row>
    <row r="5174" spans="1:1" x14ac:dyDescent="0.2">
      <c r="A5174"/>
    </row>
    <row r="5175" spans="1:1" x14ac:dyDescent="0.2">
      <c r="A5175"/>
    </row>
    <row r="5176" spans="1:1" x14ac:dyDescent="0.2">
      <c r="A5176"/>
    </row>
    <row r="5177" spans="1:1" x14ac:dyDescent="0.2">
      <c r="A5177"/>
    </row>
    <row r="5178" spans="1:1" x14ac:dyDescent="0.2">
      <c r="A5178"/>
    </row>
    <row r="5179" spans="1:1" x14ac:dyDescent="0.2">
      <c r="A5179"/>
    </row>
    <row r="5180" spans="1:1" x14ac:dyDescent="0.2">
      <c r="A5180"/>
    </row>
    <row r="5181" spans="1:1" x14ac:dyDescent="0.2">
      <c r="A5181"/>
    </row>
    <row r="5182" spans="1:1" x14ac:dyDescent="0.2">
      <c r="A5182"/>
    </row>
    <row r="5183" spans="1:1" x14ac:dyDescent="0.2">
      <c r="A5183"/>
    </row>
    <row r="5184" spans="1:1" x14ac:dyDescent="0.2">
      <c r="A5184"/>
    </row>
    <row r="5185" spans="1:1" x14ac:dyDescent="0.2">
      <c r="A5185"/>
    </row>
    <row r="5186" spans="1:1" x14ac:dyDescent="0.2">
      <c r="A5186"/>
    </row>
    <row r="5187" spans="1:1" x14ac:dyDescent="0.2">
      <c r="A5187"/>
    </row>
    <row r="5188" spans="1:1" x14ac:dyDescent="0.2">
      <c r="A5188"/>
    </row>
    <row r="5189" spans="1:1" x14ac:dyDescent="0.2">
      <c r="A5189"/>
    </row>
    <row r="5190" spans="1:1" x14ac:dyDescent="0.2">
      <c r="A5190"/>
    </row>
    <row r="5191" spans="1:1" x14ac:dyDescent="0.2">
      <c r="A5191"/>
    </row>
    <row r="5192" spans="1:1" x14ac:dyDescent="0.2">
      <c r="A5192"/>
    </row>
    <row r="5193" spans="1:1" x14ac:dyDescent="0.2">
      <c r="A5193"/>
    </row>
    <row r="5194" spans="1:1" x14ac:dyDescent="0.2">
      <c r="A5194"/>
    </row>
    <row r="5195" spans="1:1" x14ac:dyDescent="0.2">
      <c r="A5195"/>
    </row>
    <row r="5196" spans="1:1" x14ac:dyDescent="0.2">
      <c r="A5196"/>
    </row>
    <row r="5197" spans="1:1" x14ac:dyDescent="0.2">
      <c r="A5197"/>
    </row>
    <row r="5198" spans="1:1" x14ac:dyDescent="0.2">
      <c r="A5198"/>
    </row>
    <row r="5199" spans="1:1" x14ac:dyDescent="0.2">
      <c r="A5199"/>
    </row>
    <row r="5200" spans="1:1" x14ac:dyDescent="0.2">
      <c r="A5200"/>
    </row>
    <row r="5201" spans="1:1" x14ac:dyDescent="0.2">
      <c r="A5201"/>
    </row>
    <row r="5202" spans="1:1" x14ac:dyDescent="0.2">
      <c r="A5202"/>
    </row>
    <row r="5203" spans="1:1" x14ac:dyDescent="0.2">
      <c r="A5203"/>
    </row>
    <row r="5204" spans="1:1" x14ac:dyDescent="0.2">
      <c r="A5204"/>
    </row>
    <row r="5205" spans="1:1" x14ac:dyDescent="0.2">
      <c r="A5205"/>
    </row>
    <row r="5206" spans="1:1" x14ac:dyDescent="0.2">
      <c r="A5206"/>
    </row>
    <row r="5207" spans="1:1" x14ac:dyDescent="0.2">
      <c r="A5207"/>
    </row>
    <row r="5208" spans="1:1" x14ac:dyDescent="0.2">
      <c r="A5208"/>
    </row>
    <row r="5209" spans="1:1" x14ac:dyDescent="0.2">
      <c r="A5209"/>
    </row>
    <row r="5210" spans="1:1" x14ac:dyDescent="0.2">
      <c r="A5210"/>
    </row>
    <row r="5211" spans="1:1" x14ac:dyDescent="0.2">
      <c r="A5211"/>
    </row>
    <row r="5212" spans="1:1" x14ac:dyDescent="0.2">
      <c r="A5212"/>
    </row>
    <row r="5213" spans="1:1" x14ac:dyDescent="0.2">
      <c r="A5213"/>
    </row>
    <row r="5214" spans="1:1" x14ac:dyDescent="0.2">
      <c r="A5214"/>
    </row>
    <row r="5215" spans="1:1" x14ac:dyDescent="0.2">
      <c r="A5215"/>
    </row>
    <row r="5216" spans="1:1" x14ac:dyDescent="0.2">
      <c r="A5216"/>
    </row>
    <row r="5217" spans="1:1" x14ac:dyDescent="0.2">
      <c r="A5217"/>
    </row>
    <row r="5218" spans="1:1" x14ac:dyDescent="0.2">
      <c r="A5218"/>
    </row>
    <row r="5219" spans="1:1" x14ac:dyDescent="0.2">
      <c r="A5219"/>
    </row>
    <row r="5220" spans="1:1" x14ac:dyDescent="0.2">
      <c r="A5220"/>
    </row>
    <row r="5221" spans="1:1" x14ac:dyDescent="0.2">
      <c r="A5221"/>
    </row>
    <row r="5222" spans="1:1" x14ac:dyDescent="0.2">
      <c r="A5222"/>
    </row>
    <row r="5223" spans="1:1" x14ac:dyDescent="0.2">
      <c r="A5223"/>
    </row>
    <row r="5224" spans="1:1" x14ac:dyDescent="0.2">
      <c r="A5224"/>
    </row>
    <row r="5225" spans="1:1" x14ac:dyDescent="0.2">
      <c r="A5225"/>
    </row>
    <row r="5226" spans="1:1" x14ac:dyDescent="0.2">
      <c r="A5226"/>
    </row>
    <row r="5227" spans="1:1" x14ac:dyDescent="0.2">
      <c r="A5227"/>
    </row>
    <row r="5228" spans="1:1" x14ac:dyDescent="0.2">
      <c r="A5228"/>
    </row>
    <row r="5229" spans="1:1" x14ac:dyDescent="0.2">
      <c r="A5229"/>
    </row>
    <row r="5230" spans="1:1" x14ac:dyDescent="0.2">
      <c r="A5230"/>
    </row>
    <row r="5231" spans="1:1" x14ac:dyDescent="0.2">
      <c r="A5231"/>
    </row>
    <row r="5232" spans="1:1" x14ac:dyDescent="0.2">
      <c r="A5232"/>
    </row>
    <row r="5233" spans="1:1" x14ac:dyDescent="0.2">
      <c r="A5233"/>
    </row>
    <row r="5234" spans="1:1" x14ac:dyDescent="0.2">
      <c r="A5234"/>
    </row>
    <row r="5235" spans="1:1" x14ac:dyDescent="0.2">
      <c r="A5235"/>
    </row>
    <row r="5236" spans="1:1" x14ac:dyDescent="0.2">
      <c r="A5236"/>
    </row>
    <row r="5237" spans="1:1" x14ac:dyDescent="0.2">
      <c r="A5237"/>
    </row>
    <row r="5238" spans="1:1" x14ac:dyDescent="0.2">
      <c r="A5238"/>
    </row>
    <row r="5239" spans="1:1" x14ac:dyDescent="0.2">
      <c r="A5239"/>
    </row>
    <row r="5240" spans="1:1" x14ac:dyDescent="0.2">
      <c r="A5240"/>
    </row>
    <row r="5241" spans="1:1" x14ac:dyDescent="0.2">
      <c r="A5241"/>
    </row>
    <row r="5242" spans="1:1" x14ac:dyDescent="0.2">
      <c r="A5242"/>
    </row>
    <row r="5243" spans="1:1" x14ac:dyDescent="0.2">
      <c r="A5243"/>
    </row>
    <row r="5244" spans="1:1" x14ac:dyDescent="0.2">
      <c r="A5244"/>
    </row>
    <row r="5245" spans="1:1" x14ac:dyDescent="0.2">
      <c r="A5245"/>
    </row>
    <row r="5246" spans="1:1" x14ac:dyDescent="0.2">
      <c r="A5246"/>
    </row>
    <row r="5247" spans="1:1" x14ac:dyDescent="0.2">
      <c r="A5247"/>
    </row>
    <row r="5248" spans="1:1" x14ac:dyDescent="0.2">
      <c r="A5248"/>
    </row>
    <row r="5249" spans="1:1" x14ac:dyDescent="0.2">
      <c r="A5249"/>
    </row>
    <row r="5250" spans="1:1" x14ac:dyDescent="0.2">
      <c r="A5250"/>
    </row>
    <row r="5251" spans="1:1" x14ac:dyDescent="0.2">
      <c r="A5251"/>
    </row>
    <row r="5252" spans="1:1" x14ac:dyDescent="0.2">
      <c r="A5252"/>
    </row>
    <row r="5253" spans="1:1" x14ac:dyDescent="0.2">
      <c r="A5253"/>
    </row>
    <row r="5254" spans="1:1" x14ac:dyDescent="0.2">
      <c r="A5254"/>
    </row>
    <row r="5255" spans="1:1" x14ac:dyDescent="0.2">
      <c r="A5255"/>
    </row>
    <row r="5256" spans="1:1" x14ac:dyDescent="0.2">
      <c r="A5256"/>
    </row>
    <row r="5257" spans="1:1" x14ac:dyDescent="0.2">
      <c r="A5257"/>
    </row>
    <row r="5258" spans="1:1" x14ac:dyDescent="0.2">
      <c r="A5258"/>
    </row>
    <row r="5259" spans="1:1" x14ac:dyDescent="0.2">
      <c r="A5259"/>
    </row>
    <row r="5260" spans="1:1" x14ac:dyDescent="0.2">
      <c r="A5260"/>
    </row>
    <row r="5261" spans="1:1" x14ac:dyDescent="0.2">
      <c r="A5261"/>
    </row>
    <row r="5262" spans="1:1" x14ac:dyDescent="0.2">
      <c r="A5262"/>
    </row>
    <row r="5263" spans="1:1" x14ac:dyDescent="0.2">
      <c r="A5263"/>
    </row>
    <row r="5264" spans="1:1" x14ac:dyDescent="0.2">
      <c r="A5264"/>
    </row>
    <row r="5265" spans="1:1" x14ac:dyDescent="0.2">
      <c r="A5265"/>
    </row>
    <row r="5266" spans="1:1" x14ac:dyDescent="0.2">
      <c r="A5266"/>
    </row>
    <row r="5267" spans="1:1" x14ac:dyDescent="0.2">
      <c r="A5267"/>
    </row>
    <row r="5268" spans="1:1" x14ac:dyDescent="0.2">
      <c r="A5268"/>
    </row>
    <row r="5269" spans="1:1" x14ac:dyDescent="0.2">
      <c r="A5269"/>
    </row>
    <row r="5270" spans="1:1" x14ac:dyDescent="0.2">
      <c r="A5270"/>
    </row>
    <row r="5271" spans="1:1" x14ac:dyDescent="0.2">
      <c r="A5271"/>
    </row>
    <row r="5272" spans="1:1" x14ac:dyDescent="0.2">
      <c r="A5272"/>
    </row>
    <row r="5273" spans="1:1" x14ac:dyDescent="0.2">
      <c r="A5273"/>
    </row>
    <row r="5274" spans="1:1" x14ac:dyDescent="0.2">
      <c r="A5274"/>
    </row>
    <row r="5275" spans="1:1" x14ac:dyDescent="0.2">
      <c r="A5275"/>
    </row>
    <row r="5276" spans="1:1" x14ac:dyDescent="0.2">
      <c r="A5276"/>
    </row>
    <row r="5277" spans="1:1" x14ac:dyDescent="0.2">
      <c r="A5277"/>
    </row>
    <row r="5278" spans="1:1" x14ac:dyDescent="0.2">
      <c r="A5278"/>
    </row>
    <row r="5279" spans="1:1" x14ac:dyDescent="0.2">
      <c r="A5279"/>
    </row>
    <row r="5280" spans="1:1" x14ac:dyDescent="0.2">
      <c r="A5280"/>
    </row>
    <row r="5281" spans="1:1" x14ac:dyDescent="0.2">
      <c r="A5281"/>
    </row>
    <row r="5282" spans="1:1" x14ac:dyDescent="0.2">
      <c r="A5282"/>
    </row>
    <row r="5283" spans="1:1" x14ac:dyDescent="0.2">
      <c r="A5283"/>
    </row>
    <row r="5284" spans="1:1" x14ac:dyDescent="0.2">
      <c r="A5284"/>
    </row>
    <row r="5285" spans="1:1" x14ac:dyDescent="0.2">
      <c r="A5285"/>
    </row>
    <row r="5286" spans="1:1" x14ac:dyDescent="0.2">
      <c r="A5286"/>
    </row>
    <row r="5287" spans="1:1" x14ac:dyDescent="0.2">
      <c r="A5287"/>
    </row>
    <row r="5288" spans="1:1" x14ac:dyDescent="0.2">
      <c r="A5288"/>
    </row>
    <row r="5289" spans="1:1" x14ac:dyDescent="0.2">
      <c r="A5289"/>
    </row>
    <row r="5290" spans="1:1" x14ac:dyDescent="0.2">
      <c r="A5290"/>
    </row>
    <row r="5291" spans="1:1" x14ac:dyDescent="0.2">
      <c r="A5291"/>
    </row>
    <row r="5292" spans="1:1" x14ac:dyDescent="0.2">
      <c r="A5292"/>
    </row>
    <row r="5293" spans="1:1" x14ac:dyDescent="0.2">
      <c r="A5293"/>
    </row>
    <row r="5294" spans="1:1" x14ac:dyDescent="0.2">
      <c r="A5294"/>
    </row>
    <row r="5295" spans="1:1" x14ac:dyDescent="0.2">
      <c r="A5295"/>
    </row>
    <row r="5296" spans="1:1" x14ac:dyDescent="0.2">
      <c r="A5296"/>
    </row>
    <row r="5297" spans="1:1" x14ac:dyDescent="0.2">
      <c r="A5297"/>
    </row>
    <row r="5298" spans="1:1" x14ac:dyDescent="0.2">
      <c r="A5298"/>
    </row>
    <row r="5299" spans="1:1" x14ac:dyDescent="0.2">
      <c r="A5299"/>
    </row>
    <row r="5300" spans="1:1" x14ac:dyDescent="0.2">
      <c r="A5300"/>
    </row>
    <row r="5301" spans="1:1" x14ac:dyDescent="0.2">
      <c r="A5301"/>
    </row>
    <row r="5302" spans="1:1" x14ac:dyDescent="0.2">
      <c r="A5302"/>
    </row>
    <row r="5303" spans="1:1" x14ac:dyDescent="0.2">
      <c r="A5303"/>
    </row>
    <row r="5304" spans="1:1" x14ac:dyDescent="0.2">
      <c r="A5304"/>
    </row>
    <row r="5305" spans="1:1" x14ac:dyDescent="0.2">
      <c r="A5305"/>
    </row>
    <row r="5306" spans="1:1" x14ac:dyDescent="0.2">
      <c r="A5306"/>
    </row>
    <row r="5307" spans="1:1" x14ac:dyDescent="0.2">
      <c r="A5307"/>
    </row>
    <row r="5308" spans="1:1" x14ac:dyDescent="0.2">
      <c r="A5308"/>
    </row>
    <row r="5309" spans="1:1" x14ac:dyDescent="0.2">
      <c r="A5309"/>
    </row>
    <row r="5310" spans="1:1" x14ac:dyDescent="0.2">
      <c r="A5310"/>
    </row>
    <row r="5311" spans="1:1" x14ac:dyDescent="0.2">
      <c r="A5311"/>
    </row>
    <row r="5312" spans="1:1" x14ac:dyDescent="0.2">
      <c r="A5312"/>
    </row>
    <row r="5313" spans="1:1" x14ac:dyDescent="0.2">
      <c r="A5313"/>
    </row>
    <row r="5314" spans="1:1" x14ac:dyDescent="0.2">
      <c r="A5314"/>
    </row>
    <row r="5315" spans="1:1" x14ac:dyDescent="0.2">
      <c r="A5315"/>
    </row>
    <row r="5316" spans="1:1" x14ac:dyDescent="0.2">
      <c r="A5316"/>
    </row>
    <row r="5317" spans="1:1" x14ac:dyDescent="0.2">
      <c r="A5317"/>
    </row>
    <row r="5318" spans="1:1" x14ac:dyDescent="0.2">
      <c r="A5318"/>
    </row>
    <row r="5319" spans="1:1" x14ac:dyDescent="0.2">
      <c r="A5319"/>
    </row>
    <row r="5320" spans="1:1" x14ac:dyDescent="0.2">
      <c r="A5320"/>
    </row>
    <row r="5321" spans="1:1" x14ac:dyDescent="0.2">
      <c r="A5321"/>
    </row>
    <row r="5322" spans="1:1" x14ac:dyDescent="0.2">
      <c r="A5322"/>
    </row>
    <row r="5323" spans="1:1" x14ac:dyDescent="0.2">
      <c r="A5323"/>
    </row>
    <row r="5324" spans="1:1" x14ac:dyDescent="0.2">
      <c r="A5324"/>
    </row>
    <row r="5325" spans="1:1" x14ac:dyDescent="0.2">
      <c r="A5325"/>
    </row>
    <row r="5326" spans="1:1" x14ac:dyDescent="0.2">
      <c r="A5326"/>
    </row>
    <row r="5327" spans="1:1" x14ac:dyDescent="0.2">
      <c r="A5327"/>
    </row>
    <row r="5328" spans="1:1" x14ac:dyDescent="0.2">
      <c r="A5328"/>
    </row>
    <row r="5329" spans="1:1" x14ac:dyDescent="0.2">
      <c r="A5329"/>
    </row>
    <row r="5330" spans="1:1" x14ac:dyDescent="0.2">
      <c r="A5330"/>
    </row>
    <row r="5331" spans="1:1" x14ac:dyDescent="0.2">
      <c r="A5331"/>
    </row>
    <row r="5332" spans="1:1" x14ac:dyDescent="0.2">
      <c r="A5332"/>
    </row>
    <row r="5333" spans="1:1" x14ac:dyDescent="0.2">
      <c r="A5333"/>
    </row>
    <row r="5334" spans="1:1" x14ac:dyDescent="0.2">
      <c r="A5334"/>
    </row>
    <row r="5335" spans="1:1" x14ac:dyDescent="0.2">
      <c r="A5335"/>
    </row>
    <row r="5336" spans="1:1" x14ac:dyDescent="0.2">
      <c r="A5336"/>
    </row>
    <row r="5337" spans="1:1" x14ac:dyDescent="0.2">
      <c r="A5337"/>
    </row>
    <row r="5338" spans="1:1" x14ac:dyDescent="0.2">
      <c r="A5338"/>
    </row>
    <row r="5339" spans="1:1" x14ac:dyDescent="0.2">
      <c r="A5339"/>
    </row>
    <row r="5340" spans="1:1" x14ac:dyDescent="0.2">
      <c r="A5340"/>
    </row>
    <row r="5341" spans="1:1" x14ac:dyDescent="0.2">
      <c r="A5341"/>
    </row>
    <row r="5342" spans="1:1" x14ac:dyDescent="0.2">
      <c r="A5342"/>
    </row>
    <row r="5343" spans="1:1" x14ac:dyDescent="0.2">
      <c r="A5343"/>
    </row>
    <row r="5344" spans="1:1" x14ac:dyDescent="0.2">
      <c r="A5344"/>
    </row>
    <row r="5345" spans="1:1" x14ac:dyDescent="0.2">
      <c r="A5345"/>
    </row>
    <row r="5346" spans="1:1" x14ac:dyDescent="0.2">
      <c r="A5346"/>
    </row>
    <row r="5347" spans="1:1" x14ac:dyDescent="0.2">
      <c r="A5347"/>
    </row>
    <row r="5348" spans="1:1" x14ac:dyDescent="0.2">
      <c r="A5348"/>
    </row>
    <row r="5349" spans="1:1" x14ac:dyDescent="0.2">
      <c r="A5349"/>
    </row>
    <row r="5350" spans="1:1" x14ac:dyDescent="0.2">
      <c r="A5350"/>
    </row>
    <row r="5351" spans="1:1" x14ac:dyDescent="0.2">
      <c r="A5351"/>
    </row>
    <row r="5352" spans="1:1" x14ac:dyDescent="0.2">
      <c r="A5352"/>
    </row>
    <row r="5353" spans="1:1" x14ac:dyDescent="0.2">
      <c r="A5353"/>
    </row>
    <row r="5354" spans="1:1" x14ac:dyDescent="0.2">
      <c r="A5354"/>
    </row>
    <row r="5355" spans="1:1" x14ac:dyDescent="0.2">
      <c r="A5355"/>
    </row>
    <row r="5356" spans="1:1" x14ac:dyDescent="0.2">
      <c r="A5356"/>
    </row>
    <row r="5357" spans="1:1" x14ac:dyDescent="0.2">
      <c r="A5357"/>
    </row>
    <row r="5358" spans="1:1" x14ac:dyDescent="0.2">
      <c r="A5358"/>
    </row>
    <row r="5359" spans="1:1" x14ac:dyDescent="0.2">
      <c r="A5359"/>
    </row>
    <row r="5360" spans="1:1" x14ac:dyDescent="0.2">
      <c r="A5360"/>
    </row>
    <row r="5361" spans="1:1" x14ac:dyDescent="0.2">
      <c r="A5361"/>
    </row>
    <row r="5362" spans="1:1" x14ac:dyDescent="0.2">
      <c r="A5362"/>
    </row>
    <row r="5363" spans="1:1" x14ac:dyDescent="0.2">
      <c r="A5363"/>
    </row>
    <row r="5364" spans="1:1" x14ac:dyDescent="0.2">
      <c r="A5364"/>
    </row>
    <row r="5365" spans="1:1" x14ac:dyDescent="0.2">
      <c r="A5365"/>
    </row>
    <row r="5366" spans="1:1" x14ac:dyDescent="0.2">
      <c r="A5366"/>
    </row>
    <row r="5367" spans="1:1" x14ac:dyDescent="0.2">
      <c r="A5367"/>
    </row>
    <row r="5368" spans="1:1" x14ac:dyDescent="0.2">
      <c r="A5368"/>
    </row>
    <row r="5369" spans="1:1" x14ac:dyDescent="0.2">
      <c r="A5369"/>
    </row>
    <row r="5370" spans="1:1" x14ac:dyDescent="0.2">
      <c r="A5370"/>
    </row>
    <row r="5371" spans="1:1" x14ac:dyDescent="0.2">
      <c r="A5371"/>
    </row>
    <row r="5372" spans="1:1" x14ac:dyDescent="0.2">
      <c r="A5372"/>
    </row>
    <row r="5373" spans="1:1" x14ac:dyDescent="0.2">
      <c r="A5373"/>
    </row>
    <row r="5374" spans="1:1" x14ac:dyDescent="0.2">
      <c r="A5374"/>
    </row>
    <row r="5375" spans="1:1" x14ac:dyDescent="0.2">
      <c r="A5375"/>
    </row>
    <row r="5376" spans="1:1" x14ac:dyDescent="0.2">
      <c r="A5376"/>
    </row>
    <row r="5377" spans="1:1" x14ac:dyDescent="0.2">
      <c r="A5377"/>
    </row>
    <row r="5378" spans="1:1" x14ac:dyDescent="0.2">
      <c r="A5378"/>
    </row>
    <row r="5379" spans="1:1" x14ac:dyDescent="0.2">
      <c r="A5379"/>
    </row>
    <row r="5380" spans="1:1" x14ac:dyDescent="0.2">
      <c r="A5380"/>
    </row>
    <row r="5381" spans="1:1" x14ac:dyDescent="0.2">
      <c r="A5381"/>
    </row>
    <row r="5382" spans="1:1" x14ac:dyDescent="0.2">
      <c r="A5382"/>
    </row>
    <row r="5383" spans="1:1" x14ac:dyDescent="0.2">
      <c r="A5383"/>
    </row>
    <row r="5384" spans="1:1" x14ac:dyDescent="0.2">
      <c r="A5384"/>
    </row>
    <row r="5385" spans="1:1" x14ac:dyDescent="0.2">
      <c r="A5385"/>
    </row>
    <row r="5386" spans="1:1" x14ac:dyDescent="0.2">
      <c r="A5386"/>
    </row>
    <row r="5387" spans="1:1" x14ac:dyDescent="0.2">
      <c r="A5387"/>
    </row>
    <row r="5388" spans="1:1" x14ac:dyDescent="0.2">
      <c r="A5388"/>
    </row>
    <row r="5389" spans="1:1" x14ac:dyDescent="0.2">
      <c r="A5389"/>
    </row>
    <row r="5390" spans="1:1" x14ac:dyDescent="0.2">
      <c r="A5390"/>
    </row>
    <row r="5391" spans="1:1" x14ac:dyDescent="0.2">
      <c r="A5391"/>
    </row>
    <row r="5392" spans="1:1" x14ac:dyDescent="0.2">
      <c r="A5392"/>
    </row>
    <row r="5393" spans="1:1" x14ac:dyDescent="0.2">
      <c r="A5393"/>
    </row>
    <row r="5394" spans="1:1" x14ac:dyDescent="0.2">
      <c r="A5394"/>
    </row>
    <row r="5395" spans="1:1" x14ac:dyDescent="0.2">
      <c r="A5395"/>
    </row>
    <row r="5396" spans="1:1" x14ac:dyDescent="0.2">
      <c r="A5396"/>
    </row>
    <row r="5397" spans="1:1" x14ac:dyDescent="0.2">
      <c r="A5397"/>
    </row>
    <row r="5398" spans="1:1" x14ac:dyDescent="0.2">
      <c r="A5398"/>
    </row>
    <row r="5399" spans="1:1" x14ac:dyDescent="0.2">
      <c r="A5399"/>
    </row>
    <row r="5400" spans="1:1" x14ac:dyDescent="0.2">
      <c r="A5400"/>
    </row>
    <row r="5401" spans="1:1" x14ac:dyDescent="0.2">
      <c r="A5401"/>
    </row>
    <row r="5402" spans="1:1" x14ac:dyDescent="0.2">
      <c r="A5402"/>
    </row>
    <row r="5403" spans="1:1" x14ac:dyDescent="0.2">
      <c r="A5403"/>
    </row>
    <row r="5404" spans="1:1" x14ac:dyDescent="0.2">
      <c r="A5404"/>
    </row>
    <row r="5405" spans="1:1" x14ac:dyDescent="0.2">
      <c r="A5405"/>
    </row>
    <row r="5406" spans="1:1" x14ac:dyDescent="0.2">
      <c r="A5406"/>
    </row>
    <row r="5407" spans="1:1" x14ac:dyDescent="0.2">
      <c r="A5407"/>
    </row>
    <row r="5408" spans="1:1" x14ac:dyDescent="0.2">
      <c r="A5408"/>
    </row>
    <row r="5409" spans="1:1" x14ac:dyDescent="0.2">
      <c r="A5409"/>
    </row>
    <row r="5410" spans="1:1" x14ac:dyDescent="0.2">
      <c r="A5410"/>
    </row>
    <row r="5411" spans="1:1" x14ac:dyDescent="0.2">
      <c r="A5411"/>
    </row>
    <row r="5412" spans="1:1" x14ac:dyDescent="0.2">
      <c r="A5412"/>
    </row>
    <row r="5413" spans="1:1" x14ac:dyDescent="0.2">
      <c r="A5413"/>
    </row>
    <row r="5414" spans="1:1" x14ac:dyDescent="0.2">
      <c r="A5414"/>
    </row>
    <row r="5415" spans="1:1" x14ac:dyDescent="0.2">
      <c r="A5415"/>
    </row>
    <row r="5416" spans="1:1" x14ac:dyDescent="0.2">
      <c r="A5416"/>
    </row>
    <row r="5417" spans="1:1" x14ac:dyDescent="0.2">
      <c r="A5417"/>
    </row>
    <row r="5418" spans="1:1" x14ac:dyDescent="0.2">
      <c r="A5418"/>
    </row>
    <row r="5419" spans="1:1" x14ac:dyDescent="0.2">
      <c r="A5419"/>
    </row>
    <row r="5420" spans="1:1" x14ac:dyDescent="0.2">
      <c r="A5420"/>
    </row>
    <row r="5421" spans="1:1" x14ac:dyDescent="0.2">
      <c r="A5421"/>
    </row>
    <row r="5422" spans="1:1" x14ac:dyDescent="0.2">
      <c r="A5422"/>
    </row>
    <row r="5423" spans="1:1" x14ac:dyDescent="0.2">
      <c r="A5423"/>
    </row>
    <row r="5424" spans="1:1" x14ac:dyDescent="0.2">
      <c r="A5424"/>
    </row>
    <row r="5425" spans="1:1" x14ac:dyDescent="0.2">
      <c r="A5425"/>
    </row>
    <row r="5426" spans="1:1" x14ac:dyDescent="0.2">
      <c r="A5426"/>
    </row>
    <row r="5427" spans="1:1" x14ac:dyDescent="0.2">
      <c r="A5427"/>
    </row>
    <row r="5428" spans="1:1" x14ac:dyDescent="0.2">
      <c r="A5428"/>
    </row>
    <row r="5429" spans="1:1" x14ac:dyDescent="0.2">
      <c r="A5429"/>
    </row>
    <row r="5430" spans="1:1" x14ac:dyDescent="0.2">
      <c r="A5430"/>
    </row>
    <row r="5431" spans="1:1" x14ac:dyDescent="0.2">
      <c r="A5431"/>
    </row>
    <row r="5432" spans="1:1" x14ac:dyDescent="0.2">
      <c r="A5432"/>
    </row>
    <row r="5433" spans="1:1" x14ac:dyDescent="0.2">
      <c r="A5433"/>
    </row>
    <row r="5434" spans="1:1" x14ac:dyDescent="0.2">
      <c r="A5434"/>
    </row>
    <row r="5435" spans="1:1" x14ac:dyDescent="0.2">
      <c r="A5435"/>
    </row>
    <row r="5436" spans="1:1" x14ac:dyDescent="0.2">
      <c r="A5436"/>
    </row>
    <row r="5437" spans="1:1" x14ac:dyDescent="0.2">
      <c r="A5437"/>
    </row>
    <row r="5438" spans="1:1" x14ac:dyDescent="0.2">
      <c r="A5438"/>
    </row>
    <row r="5439" spans="1:1" x14ac:dyDescent="0.2">
      <c r="A5439"/>
    </row>
    <row r="5440" spans="1:1" x14ac:dyDescent="0.2">
      <c r="A5440"/>
    </row>
    <row r="5441" spans="1:1" x14ac:dyDescent="0.2">
      <c r="A5441"/>
    </row>
    <row r="5442" spans="1:1" x14ac:dyDescent="0.2">
      <c r="A5442"/>
    </row>
    <row r="5443" spans="1:1" x14ac:dyDescent="0.2">
      <c r="A5443"/>
    </row>
    <row r="5444" spans="1:1" x14ac:dyDescent="0.2">
      <c r="A5444"/>
    </row>
    <row r="5445" spans="1:1" x14ac:dyDescent="0.2">
      <c r="A5445"/>
    </row>
    <row r="5446" spans="1:1" x14ac:dyDescent="0.2">
      <c r="A5446"/>
    </row>
    <row r="5447" spans="1:1" x14ac:dyDescent="0.2">
      <c r="A5447"/>
    </row>
    <row r="5448" spans="1:1" x14ac:dyDescent="0.2">
      <c r="A5448"/>
    </row>
    <row r="5449" spans="1:1" x14ac:dyDescent="0.2">
      <c r="A5449"/>
    </row>
    <row r="5450" spans="1:1" x14ac:dyDescent="0.2">
      <c r="A5450"/>
    </row>
    <row r="5451" spans="1:1" x14ac:dyDescent="0.2">
      <c r="A5451"/>
    </row>
    <row r="5452" spans="1:1" x14ac:dyDescent="0.2">
      <c r="A5452"/>
    </row>
    <row r="5453" spans="1:1" x14ac:dyDescent="0.2">
      <c r="A5453"/>
    </row>
    <row r="5454" spans="1:1" x14ac:dyDescent="0.2">
      <c r="A5454"/>
    </row>
    <row r="5455" spans="1:1" x14ac:dyDescent="0.2">
      <c r="A5455"/>
    </row>
    <row r="5456" spans="1:1" x14ac:dyDescent="0.2">
      <c r="A5456"/>
    </row>
    <row r="5457" spans="1:1" x14ac:dyDescent="0.2">
      <c r="A5457"/>
    </row>
    <row r="5458" spans="1:1" x14ac:dyDescent="0.2">
      <c r="A5458"/>
    </row>
    <row r="5459" spans="1:1" x14ac:dyDescent="0.2">
      <c r="A5459"/>
    </row>
    <row r="5460" spans="1:1" x14ac:dyDescent="0.2">
      <c r="A5460"/>
    </row>
    <row r="5461" spans="1:1" x14ac:dyDescent="0.2">
      <c r="A5461"/>
    </row>
    <row r="5462" spans="1:1" x14ac:dyDescent="0.2">
      <c r="A5462"/>
    </row>
    <row r="5463" spans="1:1" x14ac:dyDescent="0.2">
      <c r="A5463"/>
    </row>
    <row r="5464" spans="1:1" x14ac:dyDescent="0.2">
      <c r="A5464"/>
    </row>
    <row r="5465" spans="1:1" x14ac:dyDescent="0.2">
      <c r="A5465"/>
    </row>
    <row r="5466" spans="1:1" x14ac:dyDescent="0.2">
      <c r="A5466"/>
    </row>
    <row r="5467" spans="1:1" x14ac:dyDescent="0.2">
      <c r="A5467"/>
    </row>
    <row r="5468" spans="1:1" x14ac:dyDescent="0.2">
      <c r="A5468"/>
    </row>
    <row r="5469" spans="1:1" x14ac:dyDescent="0.2">
      <c r="A5469"/>
    </row>
    <row r="5470" spans="1:1" x14ac:dyDescent="0.2">
      <c r="A5470"/>
    </row>
    <row r="5471" spans="1:1" x14ac:dyDescent="0.2">
      <c r="A5471"/>
    </row>
    <row r="5472" spans="1:1" x14ac:dyDescent="0.2">
      <c r="A5472"/>
    </row>
    <row r="5473" spans="1:1" x14ac:dyDescent="0.2">
      <c r="A5473"/>
    </row>
    <row r="5474" spans="1:1" x14ac:dyDescent="0.2">
      <c r="A5474"/>
    </row>
    <row r="5475" spans="1:1" x14ac:dyDescent="0.2">
      <c r="A5475"/>
    </row>
    <row r="5476" spans="1:1" x14ac:dyDescent="0.2">
      <c r="A5476"/>
    </row>
    <row r="5477" spans="1:1" x14ac:dyDescent="0.2">
      <c r="A5477"/>
    </row>
    <row r="5478" spans="1:1" x14ac:dyDescent="0.2">
      <c r="A5478"/>
    </row>
    <row r="5479" spans="1:1" x14ac:dyDescent="0.2">
      <c r="A5479"/>
    </row>
    <row r="5480" spans="1:1" x14ac:dyDescent="0.2">
      <c r="A5480"/>
    </row>
    <row r="5481" spans="1:1" x14ac:dyDescent="0.2">
      <c r="A5481"/>
    </row>
    <row r="5482" spans="1:1" x14ac:dyDescent="0.2">
      <c r="A5482"/>
    </row>
    <row r="5483" spans="1:1" x14ac:dyDescent="0.2">
      <c r="A5483"/>
    </row>
    <row r="5484" spans="1:1" x14ac:dyDescent="0.2">
      <c r="A5484"/>
    </row>
    <row r="5485" spans="1:1" x14ac:dyDescent="0.2">
      <c r="A5485"/>
    </row>
    <row r="5486" spans="1:1" x14ac:dyDescent="0.2">
      <c r="A5486"/>
    </row>
    <row r="5487" spans="1:1" x14ac:dyDescent="0.2">
      <c r="A5487"/>
    </row>
    <row r="5488" spans="1:1" x14ac:dyDescent="0.2">
      <c r="A5488"/>
    </row>
    <row r="5489" spans="1:1" x14ac:dyDescent="0.2">
      <c r="A5489"/>
    </row>
    <row r="5490" spans="1:1" x14ac:dyDescent="0.2">
      <c r="A5490"/>
    </row>
    <row r="5491" spans="1:1" x14ac:dyDescent="0.2">
      <c r="A5491"/>
    </row>
    <row r="5492" spans="1:1" x14ac:dyDescent="0.2">
      <c r="A5492"/>
    </row>
    <row r="5493" spans="1:1" x14ac:dyDescent="0.2">
      <c r="A5493"/>
    </row>
    <row r="5494" spans="1:1" x14ac:dyDescent="0.2">
      <c r="A5494"/>
    </row>
    <row r="5495" spans="1:1" x14ac:dyDescent="0.2">
      <c r="A5495"/>
    </row>
    <row r="5496" spans="1:1" x14ac:dyDescent="0.2">
      <c r="A5496"/>
    </row>
    <row r="5497" spans="1:1" x14ac:dyDescent="0.2">
      <c r="A5497"/>
    </row>
    <row r="5498" spans="1:1" x14ac:dyDescent="0.2">
      <c r="A5498"/>
    </row>
    <row r="5499" spans="1:1" x14ac:dyDescent="0.2">
      <c r="A5499"/>
    </row>
    <row r="5500" spans="1:1" x14ac:dyDescent="0.2">
      <c r="A5500"/>
    </row>
    <row r="5501" spans="1:1" x14ac:dyDescent="0.2">
      <c r="A5501"/>
    </row>
    <row r="5502" spans="1:1" x14ac:dyDescent="0.2">
      <c r="A5502"/>
    </row>
    <row r="5503" spans="1:1" x14ac:dyDescent="0.2">
      <c r="A5503"/>
    </row>
    <row r="5504" spans="1:1" x14ac:dyDescent="0.2">
      <c r="A5504"/>
    </row>
    <row r="5505" spans="1:1" x14ac:dyDescent="0.2">
      <c r="A5505"/>
    </row>
    <row r="5506" spans="1:1" x14ac:dyDescent="0.2">
      <c r="A5506"/>
    </row>
    <row r="5507" spans="1:1" x14ac:dyDescent="0.2">
      <c r="A5507"/>
    </row>
    <row r="5508" spans="1:1" x14ac:dyDescent="0.2">
      <c r="A5508"/>
    </row>
    <row r="5509" spans="1:1" x14ac:dyDescent="0.2">
      <c r="A5509"/>
    </row>
    <row r="5510" spans="1:1" x14ac:dyDescent="0.2">
      <c r="A5510"/>
    </row>
    <row r="5511" spans="1:1" x14ac:dyDescent="0.2">
      <c r="A5511"/>
    </row>
    <row r="5512" spans="1:1" x14ac:dyDescent="0.2">
      <c r="A5512"/>
    </row>
    <row r="5513" spans="1:1" x14ac:dyDescent="0.2">
      <c r="A5513"/>
    </row>
    <row r="5514" spans="1:1" x14ac:dyDescent="0.2">
      <c r="A5514"/>
    </row>
    <row r="5515" spans="1:1" x14ac:dyDescent="0.2">
      <c r="A5515"/>
    </row>
    <row r="5516" spans="1:1" x14ac:dyDescent="0.2">
      <c r="A5516"/>
    </row>
    <row r="5517" spans="1:1" x14ac:dyDescent="0.2">
      <c r="A5517"/>
    </row>
    <row r="5518" spans="1:1" x14ac:dyDescent="0.2">
      <c r="A5518"/>
    </row>
    <row r="5519" spans="1:1" x14ac:dyDescent="0.2">
      <c r="A5519"/>
    </row>
    <row r="5520" spans="1:1" x14ac:dyDescent="0.2">
      <c r="A5520"/>
    </row>
    <row r="5521" spans="1:1" x14ac:dyDescent="0.2">
      <c r="A5521"/>
    </row>
    <row r="5522" spans="1:1" x14ac:dyDescent="0.2">
      <c r="A5522"/>
    </row>
    <row r="5523" spans="1:1" x14ac:dyDescent="0.2">
      <c r="A5523"/>
    </row>
    <row r="5524" spans="1:1" x14ac:dyDescent="0.2">
      <c r="A5524"/>
    </row>
    <row r="5525" spans="1:1" x14ac:dyDescent="0.2">
      <c r="A5525"/>
    </row>
    <row r="5526" spans="1:1" x14ac:dyDescent="0.2">
      <c r="A5526"/>
    </row>
    <row r="5527" spans="1:1" x14ac:dyDescent="0.2">
      <c r="A5527"/>
    </row>
    <row r="5528" spans="1:1" x14ac:dyDescent="0.2">
      <c r="A5528"/>
    </row>
    <row r="5529" spans="1:1" x14ac:dyDescent="0.2">
      <c r="A5529"/>
    </row>
    <row r="5530" spans="1:1" x14ac:dyDescent="0.2">
      <c r="A5530"/>
    </row>
    <row r="5531" spans="1:1" x14ac:dyDescent="0.2">
      <c r="A5531"/>
    </row>
    <row r="5532" spans="1:1" x14ac:dyDescent="0.2">
      <c r="A5532"/>
    </row>
    <row r="5533" spans="1:1" x14ac:dyDescent="0.2">
      <c r="A5533"/>
    </row>
    <row r="5534" spans="1:1" x14ac:dyDescent="0.2">
      <c r="A5534"/>
    </row>
    <row r="5535" spans="1:1" x14ac:dyDescent="0.2">
      <c r="A5535"/>
    </row>
    <row r="5536" spans="1:1" x14ac:dyDescent="0.2">
      <c r="A5536"/>
    </row>
    <row r="5537" spans="1:1" x14ac:dyDescent="0.2">
      <c r="A5537"/>
    </row>
    <row r="5538" spans="1:1" x14ac:dyDescent="0.2">
      <c r="A5538"/>
    </row>
    <row r="5539" spans="1:1" x14ac:dyDescent="0.2">
      <c r="A5539"/>
    </row>
    <row r="5540" spans="1:1" x14ac:dyDescent="0.2">
      <c r="A5540"/>
    </row>
    <row r="5541" spans="1:1" x14ac:dyDescent="0.2">
      <c r="A5541"/>
    </row>
    <row r="5542" spans="1:1" x14ac:dyDescent="0.2">
      <c r="A5542"/>
    </row>
    <row r="5543" spans="1:1" x14ac:dyDescent="0.2">
      <c r="A5543"/>
    </row>
    <row r="5544" spans="1:1" x14ac:dyDescent="0.2">
      <c r="A5544"/>
    </row>
    <row r="5545" spans="1:1" x14ac:dyDescent="0.2">
      <c r="A5545"/>
    </row>
    <row r="5546" spans="1:1" x14ac:dyDescent="0.2">
      <c r="A5546"/>
    </row>
    <row r="5547" spans="1:1" x14ac:dyDescent="0.2">
      <c r="A5547"/>
    </row>
    <row r="5548" spans="1:1" x14ac:dyDescent="0.2">
      <c r="A5548"/>
    </row>
    <row r="5549" spans="1:1" x14ac:dyDescent="0.2">
      <c r="A5549"/>
    </row>
    <row r="5550" spans="1:1" x14ac:dyDescent="0.2">
      <c r="A5550"/>
    </row>
    <row r="5551" spans="1:1" x14ac:dyDescent="0.2">
      <c r="A5551"/>
    </row>
    <row r="5552" spans="1:1" x14ac:dyDescent="0.2">
      <c r="A5552"/>
    </row>
    <row r="5553" spans="1:1" x14ac:dyDescent="0.2">
      <c r="A5553"/>
    </row>
    <row r="5554" spans="1:1" x14ac:dyDescent="0.2">
      <c r="A5554"/>
    </row>
    <row r="5555" spans="1:1" x14ac:dyDescent="0.2">
      <c r="A5555"/>
    </row>
    <row r="5556" spans="1:1" x14ac:dyDescent="0.2">
      <c r="A5556"/>
    </row>
    <row r="5557" spans="1:1" x14ac:dyDescent="0.2">
      <c r="A5557"/>
    </row>
    <row r="5558" spans="1:1" x14ac:dyDescent="0.2">
      <c r="A5558"/>
    </row>
    <row r="5559" spans="1:1" x14ac:dyDescent="0.2">
      <c r="A5559"/>
    </row>
    <row r="5560" spans="1:1" x14ac:dyDescent="0.2">
      <c r="A5560"/>
    </row>
    <row r="5561" spans="1:1" x14ac:dyDescent="0.2">
      <c r="A5561"/>
    </row>
    <row r="5562" spans="1:1" x14ac:dyDescent="0.2">
      <c r="A5562"/>
    </row>
    <row r="5563" spans="1:1" x14ac:dyDescent="0.2">
      <c r="A5563"/>
    </row>
    <row r="5564" spans="1:1" x14ac:dyDescent="0.2">
      <c r="A5564"/>
    </row>
    <row r="5565" spans="1:1" x14ac:dyDescent="0.2">
      <c r="A5565"/>
    </row>
    <row r="5566" spans="1:1" x14ac:dyDescent="0.2">
      <c r="A5566"/>
    </row>
    <row r="5567" spans="1:1" x14ac:dyDescent="0.2">
      <c r="A5567"/>
    </row>
    <row r="5568" spans="1:1" x14ac:dyDescent="0.2">
      <c r="A5568"/>
    </row>
    <row r="5569" spans="1:1" x14ac:dyDescent="0.2">
      <c r="A5569"/>
    </row>
    <row r="5570" spans="1:1" x14ac:dyDescent="0.2">
      <c r="A5570"/>
    </row>
    <row r="5571" spans="1:1" x14ac:dyDescent="0.2">
      <c r="A5571"/>
    </row>
    <row r="5572" spans="1:1" x14ac:dyDescent="0.2">
      <c r="A5572"/>
    </row>
    <row r="5573" spans="1:1" x14ac:dyDescent="0.2">
      <c r="A5573"/>
    </row>
    <row r="5574" spans="1:1" x14ac:dyDescent="0.2">
      <c r="A5574"/>
    </row>
    <row r="5575" spans="1:1" x14ac:dyDescent="0.2">
      <c r="A5575"/>
    </row>
    <row r="5576" spans="1:1" x14ac:dyDescent="0.2">
      <c r="A5576"/>
    </row>
    <row r="5577" spans="1:1" x14ac:dyDescent="0.2">
      <c r="A5577"/>
    </row>
    <row r="5578" spans="1:1" x14ac:dyDescent="0.2">
      <c r="A5578"/>
    </row>
    <row r="5579" spans="1:1" x14ac:dyDescent="0.2">
      <c r="A5579"/>
    </row>
    <row r="5580" spans="1:1" x14ac:dyDescent="0.2">
      <c r="A5580"/>
    </row>
    <row r="5581" spans="1:1" x14ac:dyDescent="0.2">
      <c r="A5581"/>
    </row>
    <row r="5582" spans="1:1" x14ac:dyDescent="0.2">
      <c r="A5582"/>
    </row>
    <row r="5583" spans="1:1" x14ac:dyDescent="0.2">
      <c r="A5583"/>
    </row>
    <row r="5584" spans="1:1" x14ac:dyDescent="0.2">
      <c r="A5584"/>
    </row>
    <row r="5585" spans="1:1" x14ac:dyDescent="0.2">
      <c r="A5585"/>
    </row>
    <row r="5586" spans="1:1" x14ac:dyDescent="0.2">
      <c r="A5586"/>
    </row>
    <row r="5587" spans="1:1" x14ac:dyDescent="0.2">
      <c r="A5587"/>
    </row>
    <row r="5588" spans="1:1" x14ac:dyDescent="0.2">
      <c r="A5588"/>
    </row>
    <row r="5589" spans="1:1" x14ac:dyDescent="0.2">
      <c r="A5589"/>
    </row>
    <row r="5590" spans="1:1" x14ac:dyDescent="0.2">
      <c r="A5590"/>
    </row>
    <row r="5591" spans="1:1" x14ac:dyDescent="0.2">
      <c r="A5591"/>
    </row>
    <row r="5592" spans="1:1" x14ac:dyDescent="0.2">
      <c r="A5592"/>
    </row>
    <row r="5593" spans="1:1" x14ac:dyDescent="0.2">
      <c r="A5593"/>
    </row>
    <row r="5594" spans="1:1" x14ac:dyDescent="0.2">
      <c r="A5594"/>
    </row>
    <row r="5595" spans="1:1" x14ac:dyDescent="0.2">
      <c r="A5595"/>
    </row>
    <row r="5596" spans="1:1" x14ac:dyDescent="0.2">
      <c r="A5596"/>
    </row>
    <row r="5597" spans="1:1" x14ac:dyDescent="0.2">
      <c r="A5597"/>
    </row>
    <row r="5598" spans="1:1" x14ac:dyDescent="0.2">
      <c r="A5598"/>
    </row>
    <row r="5599" spans="1:1" x14ac:dyDescent="0.2">
      <c r="A5599"/>
    </row>
    <row r="5600" spans="1:1" x14ac:dyDescent="0.2">
      <c r="A5600"/>
    </row>
    <row r="5601" spans="1:1" x14ac:dyDescent="0.2">
      <c r="A5601"/>
    </row>
    <row r="5602" spans="1:1" x14ac:dyDescent="0.2">
      <c r="A5602"/>
    </row>
    <row r="5603" spans="1:1" x14ac:dyDescent="0.2">
      <c r="A5603"/>
    </row>
    <row r="5604" spans="1:1" x14ac:dyDescent="0.2">
      <c r="A5604"/>
    </row>
    <row r="5605" spans="1:1" x14ac:dyDescent="0.2">
      <c r="A5605"/>
    </row>
    <row r="5606" spans="1:1" x14ac:dyDescent="0.2">
      <c r="A5606"/>
    </row>
    <row r="5607" spans="1:1" x14ac:dyDescent="0.2">
      <c r="A5607"/>
    </row>
    <row r="5608" spans="1:1" x14ac:dyDescent="0.2">
      <c r="A5608"/>
    </row>
    <row r="5609" spans="1:1" x14ac:dyDescent="0.2">
      <c r="A5609"/>
    </row>
    <row r="5610" spans="1:1" x14ac:dyDescent="0.2">
      <c r="A5610"/>
    </row>
    <row r="5611" spans="1:1" x14ac:dyDescent="0.2">
      <c r="A5611"/>
    </row>
    <row r="5612" spans="1:1" x14ac:dyDescent="0.2">
      <c r="A5612"/>
    </row>
    <row r="5613" spans="1:1" x14ac:dyDescent="0.2">
      <c r="A5613"/>
    </row>
    <row r="5614" spans="1:1" x14ac:dyDescent="0.2">
      <c r="A5614"/>
    </row>
    <row r="5615" spans="1:1" x14ac:dyDescent="0.2">
      <c r="A5615"/>
    </row>
    <row r="5616" spans="1:1" x14ac:dyDescent="0.2">
      <c r="A5616"/>
    </row>
    <row r="5617" spans="1:1" x14ac:dyDescent="0.2">
      <c r="A5617"/>
    </row>
    <row r="5618" spans="1:1" x14ac:dyDescent="0.2">
      <c r="A5618"/>
    </row>
    <row r="5619" spans="1:1" x14ac:dyDescent="0.2">
      <c r="A5619"/>
    </row>
    <row r="5620" spans="1:1" x14ac:dyDescent="0.2">
      <c r="A5620"/>
    </row>
    <row r="5621" spans="1:1" x14ac:dyDescent="0.2">
      <c r="A5621"/>
    </row>
    <row r="5622" spans="1:1" x14ac:dyDescent="0.2">
      <c r="A5622"/>
    </row>
    <row r="5623" spans="1:1" x14ac:dyDescent="0.2">
      <c r="A5623"/>
    </row>
    <row r="5624" spans="1:1" x14ac:dyDescent="0.2">
      <c r="A5624"/>
    </row>
    <row r="5625" spans="1:1" x14ac:dyDescent="0.2">
      <c r="A5625"/>
    </row>
    <row r="5626" spans="1:1" x14ac:dyDescent="0.2">
      <c r="A5626"/>
    </row>
    <row r="5627" spans="1:1" x14ac:dyDescent="0.2">
      <c r="A5627"/>
    </row>
    <row r="5628" spans="1:1" x14ac:dyDescent="0.2">
      <c r="A5628"/>
    </row>
    <row r="5629" spans="1:1" x14ac:dyDescent="0.2">
      <c r="A5629"/>
    </row>
    <row r="5630" spans="1:1" x14ac:dyDescent="0.2">
      <c r="A5630"/>
    </row>
    <row r="5631" spans="1:1" x14ac:dyDescent="0.2">
      <c r="A5631"/>
    </row>
    <row r="5632" spans="1:1" x14ac:dyDescent="0.2">
      <c r="A5632"/>
    </row>
    <row r="5633" spans="1:1" x14ac:dyDescent="0.2">
      <c r="A5633"/>
    </row>
    <row r="5634" spans="1:1" x14ac:dyDescent="0.2">
      <c r="A5634"/>
    </row>
    <row r="5635" spans="1:1" x14ac:dyDescent="0.2">
      <c r="A5635"/>
    </row>
    <row r="5636" spans="1:1" x14ac:dyDescent="0.2">
      <c r="A5636"/>
    </row>
    <row r="5637" spans="1:1" x14ac:dyDescent="0.2">
      <c r="A5637"/>
    </row>
    <row r="5638" spans="1:1" x14ac:dyDescent="0.2">
      <c r="A5638"/>
    </row>
    <row r="5639" spans="1:1" x14ac:dyDescent="0.2">
      <c r="A5639"/>
    </row>
    <row r="5640" spans="1:1" x14ac:dyDescent="0.2">
      <c r="A5640"/>
    </row>
    <row r="5641" spans="1:1" x14ac:dyDescent="0.2">
      <c r="A5641"/>
    </row>
    <row r="5642" spans="1:1" x14ac:dyDescent="0.2">
      <c r="A5642"/>
    </row>
    <row r="5643" spans="1:1" x14ac:dyDescent="0.2">
      <c r="A5643"/>
    </row>
    <row r="5644" spans="1:1" x14ac:dyDescent="0.2">
      <c r="A5644"/>
    </row>
    <row r="5645" spans="1:1" x14ac:dyDescent="0.2">
      <c r="A5645"/>
    </row>
    <row r="5646" spans="1:1" x14ac:dyDescent="0.2">
      <c r="A5646"/>
    </row>
    <row r="5647" spans="1:1" x14ac:dyDescent="0.2">
      <c r="A5647"/>
    </row>
    <row r="5648" spans="1:1" x14ac:dyDescent="0.2">
      <c r="A5648"/>
    </row>
    <row r="5649" spans="1:1" x14ac:dyDescent="0.2">
      <c r="A5649"/>
    </row>
    <row r="5650" spans="1:1" x14ac:dyDescent="0.2">
      <c r="A5650"/>
    </row>
    <row r="5651" spans="1:1" x14ac:dyDescent="0.2">
      <c r="A5651"/>
    </row>
    <row r="5652" spans="1:1" x14ac:dyDescent="0.2">
      <c r="A5652"/>
    </row>
    <row r="5653" spans="1:1" x14ac:dyDescent="0.2">
      <c r="A5653"/>
    </row>
    <row r="5654" spans="1:1" x14ac:dyDescent="0.2">
      <c r="A5654"/>
    </row>
    <row r="5655" spans="1:1" x14ac:dyDescent="0.2">
      <c r="A5655"/>
    </row>
    <row r="5656" spans="1:1" x14ac:dyDescent="0.2">
      <c r="A5656"/>
    </row>
    <row r="5657" spans="1:1" x14ac:dyDescent="0.2">
      <c r="A5657"/>
    </row>
    <row r="5658" spans="1:1" x14ac:dyDescent="0.2">
      <c r="A5658"/>
    </row>
    <row r="5659" spans="1:1" x14ac:dyDescent="0.2">
      <c r="A5659"/>
    </row>
    <row r="5660" spans="1:1" x14ac:dyDescent="0.2">
      <c r="A5660"/>
    </row>
    <row r="5661" spans="1:1" x14ac:dyDescent="0.2">
      <c r="A5661"/>
    </row>
    <row r="5662" spans="1:1" x14ac:dyDescent="0.2">
      <c r="A5662"/>
    </row>
    <row r="5663" spans="1:1" x14ac:dyDescent="0.2">
      <c r="A5663"/>
    </row>
    <row r="5664" spans="1:1" x14ac:dyDescent="0.2">
      <c r="A5664"/>
    </row>
    <row r="5665" spans="1:1" x14ac:dyDescent="0.2">
      <c r="A5665"/>
    </row>
    <row r="5666" spans="1:1" x14ac:dyDescent="0.2">
      <c r="A5666"/>
    </row>
    <row r="5667" spans="1:1" x14ac:dyDescent="0.2">
      <c r="A5667"/>
    </row>
    <row r="5668" spans="1:1" x14ac:dyDescent="0.2">
      <c r="A5668"/>
    </row>
    <row r="5669" spans="1:1" x14ac:dyDescent="0.2">
      <c r="A5669"/>
    </row>
    <row r="5670" spans="1:1" x14ac:dyDescent="0.2">
      <c r="A5670"/>
    </row>
    <row r="5671" spans="1:1" x14ac:dyDescent="0.2">
      <c r="A5671"/>
    </row>
    <row r="5672" spans="1:1" x14ac:dyDescent="0.2">
      <c r="A5672"/>
    </row>
    <row r="5673" spans="1:1" x14ac:dyDescent="0.2">
      <c r="A5673"/>
    </row>
    <row r="5674" spans="1:1" x14ac:dyDescent="0.2">
      <c r="A5674"/>
    </row>
    <row r="5675" spans="1:1" x14ac:dyDescent="0.2">
      <c r="A5675"/>
    </row>
    <row r="5676" spans="1:1" x14ac:dyDescent="0.2">
      <c r="A5676"/>
    </row>
    <row r="5677" spans="1:1" x14ac:dyDescent="0.2">
      <c r="A5677"/>
    </row>
    <row r="5678" spans="1:1" x14ac:dyDescent="0.2">
      <c r="A5678"/>
    </row>
    <row r="5679" spans="1:1" x14ac:dyDescent="0.2">
      <c r="A5679"/>
    </row>
    <row r="5680" spans="1:1" x14ac:dyDescent="0.2">
      <c r="A5680"/>
    </row>
    <row r="5681" spans="1:1" x14ac:dyDescent="0.2">
      <c r="A5681"/>
    </row>
    <row r="5682" spans="1:1" x14ac:dyDescent="0.2">
      <c r="A5682"/>
    </row>
    <row r="5683" spans="1:1" x14ac:dyDescent="0.2">
      <c r="A5683"/>
    </row>
    <row r="5684" spans="1:1" x14ac:dyDescent="0.2">
      <c r="A5684"/>
    </row>
    <row r="5685" spans="1:1" x14ac:dyDescent="0.2">
      <c r="A5685"/>
    </row>
    <row r="5686" spans="1:1" x14ac:dyDescent="0.2">
      <c r="A5686"/>
    </row>
    <row r="5687" spans="1:1" x14ac:dyDescent="0.2">
      <c r="A5687"/>
    </row>
    <row r="5688" spans="1:1" x14ac:dyDescent="0.2">
      <c r="A5688"/>
    </row>
    <row r="5689" spans="1:1" x14ac:dyDescent="0.2">
      <c r="A5689"/>
    </row>
    <row r="5690" spans="1:1" x14ac:dyDescent="0.2">
      <c r="A5690"/>
    </row>
    <row r="5691" spans="1:1" x14ac:dyDescent="0.2">
      <c r="A5691"/>
    </row>
    <row r="5692" spans="1:1" x14ac:dyDescent="0.2">
      <c r="A5692"/>
    </row>
    <row r="5693" spans="1:1" x14ac:dyDescent="0.2">
      <c r="A5693"/>
    </row>
    <row r="5694" spans="1:1" x14ac:dyDescent="0.2">
      <c r="A5694"/>
    </row>
    <row r="5695" spans="1:1" x14ac:dyDescent="0.2">
      <c r="A5695"/>
    </row>
    <row r="5696" spans="1:1" x14ac:dyDescent="0.2">
      <c r="A5696"/>
    </row>
    <row r="5697" spans="1:1" x14ac:dyDescent="0.2">
      <c r="A5697"/>
    </row>
    <row r="5698" spans="1:1" x14ac:dyDescent="0.2">
      <c r="A5698"/>
    </row>
    <row r="5699" spans="1:1" x14ac:dyDescent="0.2">
      <c r="A5699"/>
    </row>
    <row r="5700" spans="1:1" x14ac:dyDescent="0.2">
      <c r="A5700"/>
    </row>
    <row r="5701" spans="1:1" x14ac:dyDescent="0.2">
      <c r="A5701"/>
    </row>
    <row r="5702" spans="1:1" x14ac:dyDescent="0.2">
      <c r="A5702"/>
    </row>
    <row r="5703" spans="1:1" x14ac:dyDescent="0.2">
      <c r="A5703"/>
    </row>
    <row r="5704" spans="1:1" x14ac:dyDescent="0.2">
      <c r="A5704"/>
    </row>
    <row r="5705" spans="1:1" x14ac:dyDescent="0.2">
      <c r="A5705"/>
    </row>
    <row r="5706" spans="1:1" x14ac:dyDescent="0.2">
      <c r="A5706"/>
    </row>
    <row r="5707" spans="1:1" x14ac:dyDescent="0.2">
      <c r="A5707"/>
    </row>
    <row r="5708" spans="1:1" x14ac:dyDescent="0.2">
      <c r="A5708"/>
    </row>
    <row r="5709" spans="1:1" x14ac:dyDescent="0.2">
      <c r="A5709"/>
    </row>
    <row r="5710" spans="1:1" x14ac:dyDescent="0.2">
      <c r="A5710"/>
    </row>
    <row r="5711" spans="1:1" x14ac:dyDescent="0.2">
      <c r="A5711"/>
    </row>
    <row r="5712" spans="1:1" x14ac:dyDescent="0.2">
      <c r="A5712"/>
    </row>
    <row r="5713" spans="1:1" x14ac:dyDescent="0.2">
      <c r="A5713"/>
    </row>
    <row r="5714" spans="1:1" x14ac:dyDescent="0.2">
      <c r="A5714"/>
    </row>
    <row r="5715" spans="1:1" x14ac:dyDescent="0.2">
      <c r="A5715"/>
    </row>
    <row r="5716" spans="1:1" x14ac:dyDescent="0.2">
      <c r="A5716"/>
    </row>
    <row r="5717" spans="1:1" x14ac:dyDescent="0.2">
      <c r="A5717"/>
    </row>
    <row r="5718" spans="1:1" x14ac:dyDescent="0.2">
      <c r="A5718"/>
    </row>
    <row r="5719" spans="1:1" x14ac:dyDescent="0.2">
      <c r="A5719"/>
    </row>
    <row r="5720" spans="1:1" x14ac:dyDescent="0.2">
      <c r="A5720"/>
    </row>
    <row r="5721" spans="1:1" x14ac:dyDescent="0.2">
      <c r="A5721"/>
    </row>
    <row r="5722" spans="1:1" x14ac:dyDescent="0.2">
      <c r="A5722"/>
    </row>
    <row r="5723" spans="1:1" x14ac:dyDescent="0.2">
      <c r="A5723"/>
    </row>
    <row r="5724" spans="1:1" x14ac:dyDescent="0.2">
      <c r="A5724"/>
    </row>
    <row r="5725" spans="1:1" x14ac:dyDescent="0.2">
      <c r="A5725"/>
    </row>
    <row r="5726" spans="1:1" x14ac:dyDescent="0.2">
      <c r="A5726"/>
    </row>
    <row r="5727" spans="1:1" x14ac:dyDescent="0.2">
      <c r="A5727"/>
    </row>
    <row r="5728" spans="1:1" x14ac:dyDescent="0.2">
      <c r="A5728"/>
    </row>
    <row r="5729" spans="1:1" x14ac:dyDescent="0.2">
      <c r="A5729"/>
    </row>
    <row r="5730" spans="1:1" x14ac:dyDescent="0.2">
      <c r="A5730"/>
    </row>
    <row r="5731" spans="1:1" x14ac:dyDescent="0.2">
      <c r="A5731"/>
    </row>
    <row r="5732" spans="1:1" x14ac:dyDescent="0.2">
      <c r="A5732"/>
    </row>
    <row r="5733" spans="1:1" x14ac:dyDescent="0.2">
      <c r="A5733"/>
    </row>
    <row r="5734" spans="1:1" x14ac:dyDescent="0.2">
      <c r="A5734"/>
    </row>
    <row r="5735" spans="1:1" x14ac:dyDescent="0.2">
      <c r="A5735"/>
    </row>
    <row r="5736" spans="1:1" x14ac:dyDescent="0.2">
      <c r="A5736"/>
    </row>
    <row r="5737" spans="1:1" x14ac:dyDescent="0.2">
      <c r="A5737"/>
    </row>
    <row r="5738" spans="1:1" x14ac:dyDescent="0.2">
      <c r="A5738"/>
    </row>
    <row r="5739" spans="1:1" x14ac:dyDescent="0.2">
      <c r="A5739"/>
    </row>
    <row r="5740" spans="1:1" x14ac:dyDescent="0.2">
      <c r="A5740"/>
    </row>
    <row r="5741" spans="1:1" x14ac:dyDescent="0.2">
      <c r="A5741"/>
    </row>
    <row r="5742" spans="1:1" x14ac:dyDescent="0.2">
      <c r="A5742"/>
    </row>
    <row r="5743" spans="1:1" x14ac:dyDescent="0.2">
      <c r="A5743"/>
    </row>
    <row r="5744" spans="1:1" x14ac:dyDescent="0.2">
      <c r="A5744"/>
    </row>
    <row r="5745" spans="1:1" x14ac:dyDescent="0.2">
      <c r="A5745"/>
    </row>
    <row r="5746" spans="1:1" x14ac:dyDescent="0.2">
      <c r="A5746"/>
    </row>
    <row r="5747" spans="1:1" x14ac:dyDescent="0.2">
      <c r="A5747"/>
    </row>
    <row r="5748" spans="1:1" x14ac:dyDescent="0.2">
      <c r="A5748"/>
    </row>
    <row r="5749" spans="1:1" x14ac:dyDescent="0.2">
      <c r="A5749"/>
    </row>
    <row r="5750" spans="1:1" x14ac:dyDescent="0.2">
      <c r="A5750"/>
    </row>
    <row r="5751" spans="1:1" x14ac:dyDescent="0.2">
      <c r="A5751"/>
    </row>
    <row r="5752" spans="1:1" x14ac:dyDescent="0.2">
      <c r="A5752"/>
    </row>
    <row r="5753" spans="1:1" x14ac:dyDescent="0.2">
      <c r="A5753"/>
    </row>
    <row r="5754" spans="1:1" x14ac:dyDescent="0.2">
      <c r="A5754"/>
    </row>
    <row r="5755" spans="1:1" x14ac:dyDescent="0.2">
      <c r="A5755"/>
    </row>
    <row r="5756" spans="1:1" x14ac:dyDescent="0.2">
      <c r="A5756"/>
    </row>
    <row r="5757" spans="1:1" x14ac:dyDescent="0.2">
      <c r="A5757"/>
    </row>
    <row r="5758" spans="1:1" x14ac:dyDescent="0.2">
      <c r="A5758"/>
    </row>
    <row r="5759" spans="1:1" x14ac:dyDescent="0.2">
      <c r="A5759"/>
    </row>
    <row r="5760" spans="1:1" x14ac:dyDescent="0.2">
      <c r="A5760"/>
    </row>
    <row r="5761" spans="1:1" x14ac:dyDescent="0.2">
      <c r="A5761"/>
    </row>
    <row r="5762" spans="1:1" x14ac:dyDescent="0.2">
      <c r="A5762"/>
    </row>
    <row r="5763" spans="1:1" x14ac:dyDescent="0.2">
      <c r="A5763"/>
    </row>
    <row r="5764" spans="1:1" x14ac:dyDescent="0.2">
      <c r="A5764"/>
    </row>
    <row r="5765" spans="1:1" x14ac:dyDescent="0.2">
      <c r="A5765"/>
    </row>
    <row r="5766" spans="1:1" x14ac:dyDescent="0.2">
      <c r="A5766"/>
    </row>
    <row r="5767" spans="1:1" x14ac:dyDescent="0.2">
      <c r="A5767"/>
    </row>
    <row r="5768" spans="1:1" x14ac:dyDescent="0.2">
      <c r="A5768"/>
    </row>
    <row r="5769" spans="1:1" x14ac:dyDescent="0.2">
      <c r="A5769"/>
    </row>
    <row r="5770" spans="1:1" x14ac:dyDescent="0.2">
      <c r="A5770"/>
    </row>
    <row r="5771" spans="1:1" x14ac:dyDescent="0.2">
      <c r="A5771"/>
    </row>
    <row r="5772" spans="1:1" x14ac:dyDescent="0.2">
      <c r="A5772"/>
    </row>
    <row r="5773" spans="1:1" x14ac:dyDescent="0.2">
      <c r="A5773"/>
    </row>
    <row r="5774" spans="1:1" x14ac:dyDescent="0.2">
      <c r="A5774"/>
    </row>
    <row r="5775" spans="1:1" x14ac:dyDescent="0.2">
      <c r="A5775"/>
    </row>
    <row r="5776" spans="1:1" x14ac:dyDescent="0.2">
      <c r="A5776"/>
    </row>
    <row r="5777" spans="1:1" x14ac:dyDescent="0.2">
      <c r="A5777"/>
    </row>
    <row r="5778" spans="1:1" x14ac:dyDescent="0.2">
      <c r="A5778"/>
    </row>
    <row r="5779" spans="1:1" x14ac:dyDescent="0.2">
      <c r="A5779"/>
    </row>
    <row r="5780" spans="1:1" x14ac:dyDescent="0.2">
      <c r="A5780"/>
    </row>
    <row r="5781" spans="1:1" x14ac:dyDescent="0.2">
      <c r="A5781"/>
    </row>
    <row r="5782" spans="1:1" x14ac:dyDescent="0.2">
      <c r="A5782"/>
    </row>
    <row r="5783" spans="1:1" x14ac:dyDescent="0.2">
      <c r="A5783"/>
    </row>
    <row r="5784" spans="1:1" x14ac:dyDescent="0.2">
      <c r="A5784"/>
    </row>
    <row r="5785" spans="1:1" x14ac:dyDescent="0.2">
      <c r="A5785"/>
    </row>
    <row r="5786" spans="1:1" x14ac:dyDescent="0.2">
      <c r="A5786"/>
    </row>
    <row r="5787" spans="1:1" x14ac:dyDescent="0.2">
      <c r="A5787"/>
    </row>
    <row r="5788" spans="1:1" x14ac:dyDescent="0.2">
      <c r="A5788"/>
    </row>
    <row r="5789" spans="1:1" x14ac:dyDescent="0.2">
      <c r="A5789"/>
    </row>
    <row r="5790" spans="1:1" x14ac:dyDescent="0.2">
      <c r="A5790"/>
    </row>
    <row r="5791" spans="1:1" x14ac:dyDescent="0.2">
      <c r="A5791"/>
    </row>
    <row r="5792" spans="1:1" x14ac:dyDescent="0.2">
      <c r="A5792"/>
    </row>
    <row r="5793" spans="1:1" x14ac:dyDescent="0.2">
      <c r="A5793"/>
    </row>
    <row r="5794" spans="1:1" x14ac:dyDescent="0.2">
      <c r="A5794"/>
    </row>
    <row r="5795" spans="1:1" x14ac:dyDescent="0.2">
      <c r="A5795"/>
    </row>
    <row r="5796" spans="1:1" x14ac:dyDescent="0.2">
      <c r="A5796"/>
    </row>
    <row r="5797" spans="1:1" x14ac:dyDescent="0.2">
      <c r="A5797"/>
    </row>
    <row r="5798" spans="1:1" x14ac:dyDescent="0.2">
      <c r="A5798"/>
    </row>
    <row r="5799" spans="1:1" x14ac:dyDescent="0.2">
      <c r="A5799"/>
    </row>
    <row r="5800" spans="1:1" x14ac:dyDescent="0.2">
      <c r="A5800"/>
    </row>
    <row r="5801" spans="1:1" x14ac:dyDescent="0.2">
      <c r="A5801"/>
    </row>
    <row r="5802" spans="1:1" x14ac:dyDescent="0.2">
      <c r="A5802"/>
    </row>
    <row r="5803" spans="1:1" x14ac:dyDescent="0.2">
      <c r="A5803"/>
    </row>
    <row r="5804" spans="1:1" x14ac:dyDescent="0.2">
      <c r="A5804"/>
    </row>
    <row r="5805" spans="1:1" x14ac:dyDescent="0.2">
      <c r="A5805"/>
    </row>
    <row r="5806" spans="1:1" x14ac:dyDescent="0.2">
      <c r="A5806"/>
    </row>
    <row r="5807" spans="1:1" x14ac:dyDescent="0.2">
      <c r="A5807"/>
    </row>
    <row r="5808" spans="1:1" x14ac:dyDescent="0.2">
      <c r="A5808"/>
    </row>
    <row r="5809" spans="1:1" x14ac:dyDescent="0.2">
      <c r="A5809"/>
    </row>
    <row r="5810" spans="1:1" x14ac:dyDescent="0.2">
      <c r="A5810"/>
    </row>
    <row r="5811" spans="1:1" x14ac:dyDescent="0.2">
      <c r="A5811"/>
    </row>
    <row r="5812" spans="1:1" x14ac:dyDescent="0.2">
      <c r="A5812"/>
    </row>
    <row r="5813" spans="1:1" x14ac:dyDescent="0.2">
      <c r="A5813"/>
    </row>
    <row r="5814" spans="1:1" x14ac:dyDescent="0.2">
      <c r="A5814"/>
    </row>
    <row r="5815" spans="1:1" x14ac:dyDescent="0.2">
      <c r="A5815"/>
    </row>
    <row r="5816" spans="1:1" x14ac:dyDescent="0.2">
      <c r="A5816"/>
    </row>
    <row r="5817" spans="1:1" x14ac:dyDescent="0.2">
      <c r="A5817"/>
    </row>
    <row r="5818" spans="1:1" x14ac:dyDescent="0.2">
      <c r="A5818"/>
    </row>
    <row r="5819" spans="1:1" x14ac:dyDescent="0.2">
      <c r="A5819"/>
    </row>
    <row r="5820" spans="1:1" x14ac:dyDescent="0.2">
      <c r="A5820"/>
    </row>
    <row r="5821" spans="1:1" x14ac:dyDescent="0.2">
      <c r="A5821"/>
    </row>
    <row r="5822" spans="1:1" x14ac:dyDescent="0.2">
      <c r="A5822"/>
    </row>
    <row r="5823" spans="1:1" x14ac:dyDescent="0.2">
      <c r="A5823"/>
    </row>
    <row r="5824" spans="1:1" x14ac:dyDescent="0.2">
      <c r="A5824"/>
    </row>
    <row r="5825" spans="1:1" x14ac:dyDescent="0.2">
      <c r="A5825"/>
    </row>
    <row r="5826" spans="1:1" x14ac:dyDescent="0.2">
      <c r="A5826"/>
    </row>
    <row r="5827" spans="1:1" x14ac:dyDescent="0.2">
      <c r="A5827"/>
    </row>
    <row r="5828" spans="1:1" x14ac:dyDescent="0.2">
      <c r="A5828"/>
    </row>
    <row r="5829" spans="1:1" x14ac:dyDescent="0.2">
      <c r="A5829"/>
    </row>
    <row r="5830" spans="1:1" x14ac:dyDescent="0.2">
      <c r="A5830"/>
    </row>
    <row r="5831" spans="1:1" x14ac:dyDescent="0.2">
      <c r="A5831"/>
    </row>
    <row r="5832" spans="1:1" x14ac:dyDescent="0.2">
      <c r="A5832"/>
    </row>
    <row r="5833" spans="1:1" x14ac:dyDescent="0.2">
      <c r="A5833"/>
    </row>
    <row r="5834" spans="1:1" x14ac:dyDescent="0.2">
      <c r="A5834"/>
    </row>
    <row r="5835" spans="1:1" x14ac:dyDescent="0.2">
      <c r="A5835"/>
    </row>
    <row r="5836" spans="1:1" x14ac:dyDescent="0.2">
      <c r="A5836"/>
    </row>
    <row r="5837" spans="1:1" x14ac:dyDescent="0.2">
      <c r="A5837"/>
    </row>
    <row r="5838" spans="1:1" x14ac:dyDescent="0.2">
      <c r="A5838"/>
    </row>
    <row r="5839" spans="1:1" x14ac:dyDescent="0.2">
      <c r="A5839"/>
    </row>
    <row r="5840" spans="1:1" x14ac:dyDescent="0.2">
      <c r="A5840"/>
    </row>
    <row r="5841" spans="1:1" x14ac:dyDescent="0.2">
      <c r="A5841"/>
    </row>
    <row r="5842" spans="1:1" x14ac:dyDescent="0.2">
      <c r="A5842"/>
    </row>
    <row r="5843" spans="1:1" x14ac:dyDescent="0.2">
      <c r="A5843"/>
    </row>
    <row r="5844" spans="1:1" x14ac:dyDescent="0.2">
      <c r="A5844"/>
    </row>
    <row r="5845" spans="1:1" x14ac:dyDescent="0.2">
      <c r="A5845"/>
    </row>
    <row r="5846" spans="1:1" x14ac:dyDescent="0.2">
      <c r="A5846"/>
    </row>
    <row r="5847" spans="1:1" x14ac:dyDescent="0.2">
      <c r="A5847"/>
    </row>
    <row r="5848" spans="1:1" x14ac:dyDescent="0.2">
      <c r="A5848"/>
    </row>
    <row r="5849" spans="1:1" x14ac:dyDescent="0.2">
      <c r="A5849"/>
    </row>
    <row r="5850" spans="1:1" x14ac:dyDescent="0.2">
      <c r="A5850"/>
    </row>
    <row r="5851" spans="1:1" x14ac:dyDescent="0.2">
      <c r="A5851"/>
    </row>
    <row r="5852" spans="1:1" x14ac:dyDescent="0.2">
      <c r="A5852"/>
    </row>
    <row r="5853" spans="1:1" x14ac:dyDescent="0.2">
      <c r="A5853"/>
    </row>
    <row r="5854" spans="1:1" x14ac:dyDescent="0.2">
      <c r="A5854"/>
    </row>
    <row r="5855" spans="1:1" x14ac:dyDescent="0.2">
      <c r="A5855"/>
    </row>
    <row r="5856" spans="1:1" x14ac:dyDescent="0.2">
      <c r="A5856"/>
    </row>
    <row r="5857" spans="1:1" x14ac:dyDescent="0.2">
      <c r="A5857"/>
    </row>
    <row r="5858" spans="1:1" x14ac:dyDescent="0.2">
      <c r="A5858"/>
    </row>
    <row r="5859" spans="1:1" x14ac:dyDescent="0.2">
      <c r="A5859"/>
    </row>
    <row r="5860" spans="1:1" x14ac:dyDescent="0.2">
      <c r="A5860"/>
    </row>
    <row r="5861" spans="1:1" x14ac:dyDescent="0.2">
      <c r="A5861"/>
    </row>
    <row r="5862" spans="1:1" x14ac:dyDescent="0.2">
      <c r="A5862"/>
    </row>
    <row r="5863" spans="1:1" x14ac:dyDescent="0.2">
      <c r="A5863"/>
    </row>
    <row r="5864" spans="1:1" x14ac:dyDescent="0.2">
      <c r="A5864"/>
    </row>
    <row r="5865" spans="1:1" x14ac:dyDescent="0.2">
      <c r="A5865"/>
    </row>
    <row r="5866" spans="1:1" x14ac:dyDescent="0.2">
      <c r="A5866"/>
    </row>
    <row r="5867" spans="1:1" x14ac:dyDescent="0.2">
      <c r="A5867"/>
    </row>
    <row r="5868" spans="1:1" x14ac:dyDescent="0.2">
      <c r="A5868"/>
    </row>
    <row r="5869" spans="1:1" x14ac:dyDescent="0.2">
      <c r="A5869"/>
    </row>
    <row r="5870" spans="1:1" x14ac:dyDescent="0.2">
      <c r="A5870"/>
    </row>
    <row r="5871" spans="1:1" x14ac:dyDescent="0.2">
      <c r="A5871"/>
    </row>
    <row r="5872" spans="1:1" x14ac:dyDescent="0.2">
      <c r="A5872"/>
    </row>
    <row r="5873" spans="1:1" x14ac:dyDescent="0.2">
      <c r="A5873"/>
    </row>
    <row r="5874" spans="1:1" x14ac:dyDescent="0.2">
      <c r="A5874"/>
    </row>
    <row r="5875" spans="1:1" x14ac:dyDescent="0.2">
      <c r="A5875"/>
    </row>
    <row r="5876" spans="1:1" x14ac:dyDescent="0.2">
      <c r="A5876"/>
    </row>
    <row r="5877" spans="1:1" x14ac:dyDescent="0.2">
      <c r="A5877"/>
    </row>
    <row r="5878" spans="1:1" x14ac:dyDescent="0.2">
      <c r="A5878"/>
    </row>
    <row r="5879" spans="1:1" x14ac:dyDescent="0.2">
      <c r="A5879"/>
    </row>
    <row r="5880" spans="1:1" x14ac:dyDescent="0.2">
      <c r="A5880"/>
    </row>
    <row r="5881" spans="1:1" x14ac:dyDescent="0.2">
      <c r="A5881"/>
    </row>
    <row r="5882" spans="1:1" x14ac:dyDescent="0.2">
      <c r="A5882"/>
    </row>
    <row r="5883" spans="1:1" x14ac:dyDescent="0.2">
      <c r="A5883"/>
    </row>
    <row r="5884" spans="1:1" x14ac:dyDescent="0.2">
      <c r="A5884"/>
    </row>
    <row r="5885" spans="1:1" x14ac:dyDescent="0.2">
      <c r="A5885"/>
    </row>
    <row r="5886" spans="1:1" x14ac:dyDescent="0.2">
      <c r="A5886"/>
    </row>
    <row r="5887" spans="1:1" x14ac:dyDescent="0.2">
      <c r="A5887"/>
    </row>
    <row r="5888" spans="1:1" x14ac:dyDescent="0.2">
      <c r="A5888"/>
    </row>
    <row r="5889" spans="1:1" x14ac:dyDescent="0.2">
      <c r="A5889"/>
    </row>
    <row r="5890" spans="1:1" x14ac:dyDescent="0.2">
      <c r="A5890"/>
    </row>
    <row r="5891" spans="1:1" x14ac:dyDescent="0.2">
      <c r="A5891"/>
    </row>
    <row r="5892" spans="1:1" x14ac:dyDescent="0.2">
      <c r="A5892"/>
    </row>
    <row r="5893" spans="1:1" x14ac:dyDescent="0.2">
      <c r="A5893"/>
    </row>
    <row r="5894" spans="1:1" x14ac:dyDescent="0.2">
      <c r="A5894"/>
    </row>
    <row r="5895" spans="1:1" x14ac:dyDescent="0.2">
      <c r="A5895"/>
    </row>
    <row r="5896" spans="1:1" x14ac:dyDescent="0.2">
      <c r="A5896"/>
    </row>
    <row r="5897" spans="1:1" x14ac:dyDescent="0.2">
      <c r="A5897"/>
    </row>
    <row r="5898" spans="1:1" x14ac:dyDescent="0.2">
      <c r="A5898"/>
    </row>
    <row r="5899" spans="1:1" x14ac:dyDescent="0.2">
      <c r="A5899"/>
    </row>
    <row r="5900" spans="1:1" x14ac:dyDescent="0.2">
      <c r="A5900"/>
    </row>
    <row r="5901" spans="1:1" x14ac:dyDescent="0.2">
      <c r="A5901"/>
    </row>
    <row r="5902" spans="1:1" x14ac:dyDescent="0.2">
      <c r="A5902"/>
    </row>
    <row r="5903" spans="1:1" x14ac:dyDescent="0.2">
      <c r="A5903"/>
    </row>
    <row r="5904" spans="1:1" x14ac:dyDescent="0.2">
      <c r="A5904"/>
    </row>
    <row r="5905" spans="1:1" x14ac:dyDescent="0.2">
      <c r="A5905"/>
    </row>
    <row r="5906" spans="1:1" x14ac:dyDescent="0.2">
      <c r="A5906"/>
    </row>
    <row r="5907" spans="1:1" x14ac:dyDescent="0.2">
      <c r="A5907"/>
    </row>
    <row r="5908" spans="1:1" x14ac:dyDescent="0.2">
      <c r="A5908"/>
    </row>
    <row r="5909" spans="1:1" x14ac:dyDescent="0.2">
      <c r="A5909"/>
    </row>
    <row r="5910" spans="1:1" x14ac:dyDescent="0.2">
      <c r="A5910"/>
    </row>
    <row r="5911" spans="1:1" x14ac:dyDescent="0.2">
      <c r="A5911"/>
    </row>
    <row r="5912" spans="1:1" x14ac:dyDescent="0.2">
      <c r="A5912"/>
    </row>
    <row r="5913" spans="1:1" x14ac:dyDescent="0.2">
      <c r="A5913"/>
    </row>
    <row r="5914" spans="1:1" x14ac:dyDescent="0.2">
      <c r="A5914"/>
    </row>
    <row r="5915" spans="1:1" x14ac:dyDescent="0.2">
      <c r="A5915"/>
    </row>
    <row r="5916" spans="1:1" x14ac:dyDescent="0.2">
      <c r="A5916"/>
    </row>
    <row r="5917" spans="1:1" x14ac:dyDescent="0.2">
      <c r="A5917"/>
    </row>
    <row r="5918" spans="1:1" x14ac:dyDescent="0.2">
      <c r="A5918"/>
    </row>
    <row r="5919" spans="1:1" x14ac:dyDescent="0.2">
      <c r="A5919"/>
    </row>
    <row r="5920" spans="1:1" x14ac:dyDescent="0.2">
      <c r="A5920"/>
    </row>
    <row r="5921" spans="1:1" x14ac:dyDescent="0.2">
      <c r="A5921"/>
    </row>
    <row r="5922" spans="1:1" x14ac:dyDescent="0.2">
      <c r="A5922"/>
    </row>
    <row r="5923" spans="1:1" x14ac:dyDescent="0.2">
      <c r="A5923"/>
    </row>
    <row r="5924" spans="1:1" x14ac:dyDescent="0.2">
      <c r="A5924"/>
    </row>
    <row r="5925" spans="1:1" x14ac:dyDescent="0.2">
      <c r="A5925"/>
    </row>
    <row r="5926" spans="1:1" x14ac:dyDescent="0.2">
      <c r="A5926"/>
    </row>
    <row r="5927" spans="1:1" x14ac:dyDescent="0.2">
      <c r="A5927"/>
    </row>
    <row r="5928" spans="1:1" x14ac:dyDescent="0.2">
      <c r="A5928"/>
    </row>
    <row r="5929" spans="1:1" x14ac:dyDescent="0.2">
      <c r="A5929"/>
    </row>
    <row r="5930" spans="1:1" x14ac:dyDescent="0.2">
      <c r="A5930"/>
    </row>
    <row r="5931" spans="1:1" x14ac:dyDescent="0.2">
      <c r="A5931"/>
    </row>
    <row r="5932" spans="1:1" x14ac:dyDescent="0.2">
      <c r="A5932"/>
    </row>
    <row r="5933" spans="1:1" x14ac:dyDescent="0.2">
      <c r="A5933"/>
    </row>
    <row r="5934" spans="1:1" x14ac:dyDescent="0.2">
      <c r="A5934"/>
    </row>
    <row r="5935" spans="1:1" x14ac:dyDescent="0.2">
      <c r="A5935"/>
    </row>
    <row r="5936" spans="1:1" x14ac:dyDescent="0.2">
      <c r="A5936"/>
    </row>
    <row r="5937" spans="1:1" x14ac:dyDescent="0.2">
      <c r="A5937"/>
    </row>
    <row r="5938" spans="1:1" x14ac:dyDescent="0.2">
      <c r="A5938"/>
    </row>
    <row r="5939" spans="1:1" x14ac:dyDescent="0.2">
      <c r="A5939"/>
    </row>
    <row r="5940" spans="1:1" x14ac:dyDescent="0.2">
      <c r="A5940"/>
    </row>
    <row r="5941" spans="1:1" x14ac:dyDescent="0.2">
      <c r="A5941"/>
    </row>
    <row r="5942" spans="1:1" x14ac:dyDescent="0.2">
      <c r="A5942"/>
    </row>
    <row r="5943" spans="1:1" x14ac:dyDescent="0.2">
      <c r="A5943"/>
    </row>
    <row r="5944" spans="1:1" x14ac:dyDescent="0.2">
      <c r="A5944"/>
    </row>
    <row r="5945" spans="1:1" x14ac:dyDescent="0.2">
      <c r="A5945"/>
    </row>
    <row r="5946" spans="1:1" x14ac:dyDescent="0.2">
      <c r="A5946"/>
    </row>
    <row r="5947" spans="1:1" x14ac:dyDescent="0.2">
      <c r="A5947"/>
    </row>
    <row r="5948" spans="1:1" x14ac:dyDescent="0.2">
      <c r="A5948"/>
    </row>
    <row r="5949" spans="1:1" x14ac:dyDescent="0.2">
      <c r="A5949"/>
    </row>
    <row r="5950" spans="1:1" x14ac:dyDescent="0.2">
      <c r="A5950"/>
    </row>
    <row r="5951" spans="1:1" x14ac:dyDescent="0.2">
      <c r="A5951"/>
    </row>
    <row r="5952" spans="1:1" x14ac:dyDescent="0.2">
      <c r="A5952"/>
    </row>
    <row r="5953" spans="1:1" x14ac:dyDescent="0.2">
      <c r="A5953"/>
    </row>
    <row r="5954" spans="1:1" x14ac:dyDescent="0.2">
      <c r="A5954"/>
    </row>
    <row r="5955" spans="1:1" x14ac:dyDescent="0.2">
      <c r="A5955"/>
    </row>
    <row r="5956" spans="1:1" x14ac:dyDescent="0.2">
      <c r="A5956"/>
    </row>
    <row r="5957" spans="1:1" x14ac:dyDescent="0.2">
      <c r="A5957"/>
    </row>
    <row r="5958" spans="1:1" x14ac:dyDescent="0.2">
      <c r="A5958"/>
    </row>
    <row r="5959" spans="1:1" x14ac:dyDescent="0.2">
      <c r="A5959"/>
    </row>
    <row r="5960" spans="1:1" x14ac:dyDescent="0.2">
      <c r="A5960"/>
    </row>
    <row r="5961" spans="1:1" x14ac:dyDescent="0.2">
      <c r="A5961"/>
    </row>
    <row r="5962" spans="1:1" x14ac:dyDescent="0.2">
      <c r="A5962"/>
    </row>
    <row r="5963" spans="1:1" x14ac:dyDescent="0.2">
      <c r="A5963"/>
    </row>
    <row r="5964" spans="1:1" x14ac:dyDescent="0.2">
      <c r="A5964"/>
    </row>
    <row r="5965" spans="1:1" x14ac:dyDescent="0.2">
      <c r="A5965"/>
    </row>
    <row r="5966" spans="1:1" x14ac:dyDescent="0.2">
      <c r="A5966"/>
    </row>
    <row r="5967" spans="1:1" x14ac:dyDescent="0.2">
      <c r="A5967"/>
    </row>
    <row r="5968" spans="1:1" x14ac:dyDescent="0.2">
      <c r="A5968"/>
    </row>
    <row r="5969" spans="1:1" x14ac:dyDescent="0.2">
      <c r="A5969"/>
    </row>
    <row r="5970" spans="1:1" x14ac:dyDescent="0.2">
      <c r="A5970"/>
    </row>
    <row r="5971" spans="1:1" x14ac:dyDescent="0.2">
      <c r="A5971"/>
    </row>
    <row r="5972" spans="1:1" x14ac:dyDescent="0.2">
      <c r="A5972"/>
    </row>
    <row r="5973" spans="1:1" x14ac:dyDescent="0.2">
      <c r="A5973"/>
    </row>
    <row r="5974" spans="1:1" x14ac:dyDescent="0.2">
      <c r="A5974"/>
    </row>
    <row r="5975" spans="1:1" x14ac:dyDescent="0.2">
      <c r="A5975"/>
    </row>
    <row r="5976" spans="1:1" x14ac:dyDescent="0.2">
      <c r="A5976"/>
    </row>
    <row r="5977" spans="1:1" x14ac:dyDescent="0.2">
      <c r="A5977"/>
    </row>
    <row r="5978" spans="1:1" x14ac:dyDescent="0.2">
      <c r="A5978"/>
    </row>
    <row r="5979" spans="1:1" x14ac:dyDescent="0.2">
      <c r="A5979"/>
    </row>
    <row r="5980" spans="1:1" x14ac:dyDescent="0.2">
      <c r="A5980"/>
    </row>
    <row r="5981" spans="1:1" x14ac:dyDescent="0.2">
      <c r="A5981"/>
    </row>
    <row r="5982" spans="1:1" x14ac:dyDescent="0.2">
      <c r="A5982"/>
    </row>
    <row r="5983" spans="1:1" x14ac:dyDescent="0.2">
      <c r="A5983"/>
    </row>
    <row r="5984" spans="1:1" x14ac:dyDescent="0.2">
      <c r="A5984"/>
    </row>
    <row r="5985" spans="1:1" x14ac:dyDescent="0.2">
      <c r="A5985"/>
    </row>
    <row r="5986" spans="1:1" x14ac:dyDescent="0.2">
      <c r="A5986"/>
    </row>
    <row r="5987" spans="1:1" x14ac:dyDescent="0.2">
      <c r="A5987"/>
    </row>
    <row r="5988" spans="1:1" x14ac:dyDescent="0.2">
      <c r="A5988"/>
    </row>
    <row r="5989" spans="1:1" x14ac:dyDescent="0.2">
      <c r="A5989"/>
    </row>
    <row r="5990" spans="1:1" x14ac:dyDescent="0.2">
      <c r="A5990"/>
    </row>
    <row r="5991" spans="1:1" x14ac:dyDescent="0.2">
      <c r="A5991"/>
    </row>
    <row r="5992" spans="1:1" x14ac:dyDescent="0.2">
      <c r="A5992"/>
    </row>
    <row r="5993" spans="1:1" x14ac:dyDescent="0.2">
      <c r="A5993"/>
    </row>
    <row r="5994" spans="1:1" x14ac:dyDescent="0.2">
      <c r="A5994"/>
    </row>
    <row r="5995" spans="1:1" x14ac:dyDescent="0.2">
      <c r="A5995"/>
    </row>
    <row r="5996" spans="1:1" x14ac:dyDescent="0.2">
      <c r="A5996"/>
    </row>
    <row r="5997" spans="1:1" x14ac:dyDescent="0.2">
      <c r="A5997"/>
    </row>
    <row r="5998" spans="1:1" x14ac:dyDescent="0.2">
      <c r="A5998"/>
    </row>
    <row r="5999" spans="1:1" x14ac:dyDescent="0.2">
      <c r="A5999"/>
    </row>
    <row r="6000" spans="1:1" x14ac:dyDescent="0.2">
      <c r="A6000"/>
    </row>
    <row r="6001" spans="1:1" x14ac:dyDescent="0.2">
      <c r="A6001"/>
    </row>
    <row r="6002" spans="1:1" x14ac:dyDescent="0.2">
      <c r="A6002"/>
    </row>
    <row r="6003" spans="1:1" x14ac:dyDescent="0.2">
      <c r="A6003"/>
    </row>
    <row r="6004" spans="1:1" x14ac:dyDescent="0.2">
      <c r="A6004"/>
    </row>
    <row r="6005" spans="1:1" x14ac:dyDescent="0.2">
      <c r="A6005"/>
    </row>
    <row r="6006" spans="1:1" x14ac:dyDescent="0.2">
      <c r="A6006"/>
    </row>
    <row r="6007" spans="1:1" x14ac:dyDescent="0.2">
      <c r="A6007"/>
    </row>
    <row r="6008" spans="1:1" x14ac:dyDescent="0.2">
      <c r="A6008"/>
    </row>
    <row r="6009" spans="1:1" x14ac:dyDescent="0.2">
      <c r="A6009"/>
    </row>
    <row r="6010" spans="1:1" x14ac:dyDescent="0.2">
      <c r="A6010"/>
    </row>
    <row r="6011" spans="1:1" x14ac:dyDescent="0.2">
      <c r="A6011"/>
    </row>
    <row r="6012" spans="1:1" x14ac:dyDescent="0.2">
      <c r="A6012"/>
    </row>
    <row r="6013" spans="1:1" x14ac:dyDescent="0.2">
      <c r="A6013"/>
    </row>
    <row r="6014" spans="1:1" x14ac:dyDescent="0.2">
      <c r="A6014"/>
    </row>
    <row r="6015" spans="1:1" x14ac:dyDescent="0.2">
      <c r="A6015"/>
    </row>
    <row r="6016" spans="1:1" x14ac:dyDescent="0.2">
      <c r="A6016"/>
    </row>
    <row r="6017" spans="1:1" x14ac:dyDescent="0.2">
      <c r="A6017"/>
    </row>
    <row r="6018" spans="1:1" x14ac:dyDescent="0.2">
      <c r="A6018"/>
    </row>
    <row r="6019" spans="1:1" x14ac:dyDescent="0.2">
      <c r="A6019"/>
    </row>
    <row r="6020" spans="1:1" x14ac:dyDescent="0.2">
      <c r="A6020"/>
    </row>
    <row r="6021" spans="1:1" x14ac:dyDescent="0.2">
      <c r="A6021"/>
    </row>
    <row r="6022" spans="1:1" x14ac:dyDescent="0.2">
      <c r="A6022"/>
    </row>
    <row r="6023" spans="1:1" x14ac:dyDescent="0.2">
      <c r="A6023"/>
    </row>
    <row r="6024" spans="1:1" x14ac:dyDescent="0.2">
      <c r="A6024"/>
    </row>
    <row r="6025" spans="1:1" x14ac:dyDescent="0.2">
      <c r="A6025"/>
    </row>
    <row r="6026" spans="1:1" x14ac:dyDescent="0.2">
      <c r="A6026"/>
    </row>
    <row r="6027" spans="1:1" x14ac:dyDescent="0.2">
      <c r="A6027"/>
    </row>
    <row r="6028" spans="1:1" x14ac:dyDescent="0.2">
      <c r="A6028"/>
    </row>
    <row r="6029" spans="1:1" x14ac:dyDescent="0.2">
      <c r="A6029"/>
    </row>
    <row r="6030" spans="1:1" x14ac:dyDescent="0.2">
      <c r="A6030"/>
    </row>
    <row r="6031" spans="1:1" x14ac:dyDescent="0.2">
      <c r="A6031"/>
    </row>
    <row r="6032" spans="1:1" x14ac:dyDescent="0.2">
      <c r="A6032"/>
    </row>
    <row r="6033" spans="1:1" x14ac:dyDescent="0.2">
      <c r="A6033"/>
    </row>
    <row r="6034" spans="1:1" x14ac:dyDescent="0.2">
      <c r="A6034"/>
    </row>
    <row r="6035" spans="1:1" x14ac:dyDescent="0.2">
      <c r="A6035"/>
    </row>
    <row r="6036" spans="1:1" x14ac:dyDescent="0.2">
      <c r="A6036"/>
    </row>
    <row r="6037" spans="1:1" x14ac:dyDescent="0.2">
      <c r="A6037"/>
    </row>
    <row r="6038" spans="1:1" x14ac:dyDescent="0.2">
      <c r="A6038"/>
    </row>
    <row r="6039" spans="1:1" x14ac:dyDescent="0.2">
      <c r="A6039"/>
    </row>
    <row r="6040" spans="1:1" x14ac:dyDescent="0.2">
      <c r="A6040"/>
    </row>
    <row r="6041" spans="1:1" x14ac:dyDescent="0.2">
      <c r="A6041"/>
    </row>
    <row r="6042" spans="1:1" x14ac:dyDescent="0.2">
      <c r="A6042"/>
    </row>
    <row r="6043" spans="1:1" x14ac:dyDescent="0.2">
      <c r="A6043"/>
    </row>
    <row r="6044" spans="1:1" x14ac:dyDescent="0.2">
      <c r="A6044"/>
    </row>
    <row r="6045" spans="1:1" x14ac:dyDescent="0.2">
      <c r="A6045"/>
    </row>
    <row r="6046" spans="1:1" x14ac:dyDescent="0.2">
      <c r="A6046"/>
    </row>
    <row r="6047" spans="1:1" x14ac:dyDescent="0.2">
      <c r="A6047"/>
    </row>
    <row r="6048" spans="1:1" x14ac:dyDescent="0.2">
      <c r="A6048"/>
    </row>
    <row r="6049" spans="1:1" x14ac:dyDescent="0.2">
      <c r="A6049"/>
    </row>
    <row r="6050" spans="1:1" x14ac:dyDescent="0.2">
      <c r="A6050"/>
    </row>
    <row r="6051" spans="1:1" x14ac:dyDescent="0.2">
      <c r="A6051"/>
    </row>
    <row r="6052" spans="1:1" x14ac:dyDescent="0.2">
      <c r="A6052"/>
    </row>
    <row r="6053" spans="1:1" x14ac:dyDescent="0.2">
      <c r="A6053"/>
    </row>
    <row r="6054" spans="1:1" x14ac:dyDescent="0.2">
      <c r="A6054"/>
    </row>
    <row r="6055" spans="1:1" x14ac:dyDescent="0.2">
      <c r="A6055"/>
    </row>
    <row r="6056" spans="1:1" x14ac:dyDescent="0.2">
      <c r="A6056"/>
    </row>
    <row r="6057" spans="1:1" x14ac:dyDescent="0.2">
      <c r="A6057"/>
    </row>
    <row r="6058" spans="1:1" x14ac:dyDescent="0.2">
      <c r="A6058"/>
    </row>
    <row r="6059" spans="1:1" x14ac:dyDescent="0.2">
      <c r="A6059"/>
    </row>
    <row r="6060" spans="1:1" x14ac:dyDescent="0.2">
      <c r="A6060"/>
    </row>
    <row r="6061" spans="1:1" x14ac:dyDescent="0.2">
      <c r="A6061"/>
    </row>
    <row r="6062" spans="1:1" x14ac:dyDescent="0.2">
      <c r="A6062"/>
    </row>
    <row r="6063" spans="1:1" x14ac:dyDescent="0.2">
      <c r="A6063"/>
    </row>
    <row r="6064" spans="1:1" x14ac:dyDescent="0.2">
      <c r="A6064"/>
    </row>
    <row r="6065" spans="1:1" x14ac:dyDescent="0.2">
      <c r="A6065"/>
    </row>
    <row r="6066" spans="1:1" x14ac:dyDescent="0.2">
      <c r="A6066"/>
    </row>
    <row r="6067" spans="1:1" x14ac:dyDescent="0.2">
      <c r="A6067"/>
    </row>
    <row r="6068" spans="1:1" x14ac:dyDescent="0.2">
      <c r="A6068"/>
    </row>
    <row r="6069" spans="1:1" x14ac:dyDescent="0.2">
      <c r="A6069"/>
    </row>
    <row r="6070" spans="1:1" x14ac:dyDescent="0.2">
      <c r="A6070"/>
    </row>
    <row r="6071" spans="1:1" x14ac:dyDescent="0.2">
      <c r="A6071"/>
    </row>
    <row r="6072" spans="1:1" x14ac:dyDescent="0.2">
      <c r="A6072"/>
    </row>
    <row r="6073" spans="1:1" x14ac:dyDescent="0.2">
      <c r="A6073"/>
    </row>
    <row r="6074" spans="1:1" x14ac:dyDescent="0.2">
      <c r="A6074"/>
    </row>
    <row r="6075" spans="1:1" x14ac:dyDescent="0.2">
      <c r="A6075"/>
    </row>
    <row r="6076" spans="1:1" x14ac:dyDescent="0.2">
      <c r="A6076"/>
    </row>
    <row r="6077" spans="1:1" x14ac:dyDescent="0.2">
      <c r="A6077"/>
    </row>
    <row r="6078" spans="1:1" x14ac:dyDescent="0.2">
      <c r="A6078"/>
    </row>
    <row r="6079" spans="1:1" x14ac:dyDescent="0.2">
      <c r="A6079"/>
    </row>
    <row r="6080" spans="1:1" x14ac:dyDescent="0.2">
      <c r="A6080"/>
    </row>
    <row r="6081" spans="1:1" x14ac:dyDescent="0.2">
      <c r="A6081"/>
    </row>
    <row r="6082" spans="1:1" x14ac:dyDescent="0.2">
      <c r="A6082"/>
    </row>
    <row r="6083" spans="1:1" x14ac:dyDescent="0.2">
      <c r="A6083"/>
    </row>
    <row r="6084" spans="1:1" x14ac:dyDescent="0.2">
      <c r="A6084"/>
    </row>
    <row r="6085" spans="1:1" x14ac:dyDescent="0.2">
      <c r="A6085"/>
    </row>
    <row r="6086" spans="1:1" x14ac:dyDescent="0.2">
      <c r="A6086"/>
    </row>
    <row r="6087" spans="1:1" x14ac:dyDescent="0.2">
      <c r="A6087"/>
    </row>
    <row r="6088" spans="1:1" x14ac:dyDescent="0.2">
      <c r="A6088"/>
    </row>
    <row r="6089" spans="1:1" x14ac:dyDescent="0.2">
      <c r="A6089"/>
    </row>
    <row r="6090" spans="1:1" x14ac:dyDescent="0.2">
      <c r="A6090"/>
    </row>
    <row r="6091" spans="1:1" x14ac:dyDescent="0.2">
      <c r="A6091"/>
    </row>
    <row r="6092" spans="1:1" x14ac:dyDescent="0.2">
      <c r="A6092"/>
    </row>
    <row r="6093" spans="1:1" x14ac:dyDescent="0.2">
      <c r="A6093"/>
    </row>
    <row r="6094" spans="1:1" x14ac:dyDescent="0.2">
      <c r="A6094"/>
    </row>
    <row r="6095" spans="1:1" x14ac:dyDescent="0.2">
      <c r="A6095"/>
    </row>
    <row r="6096" spans="1:1" x14ac:dyDescent="0.2">
      <c r="A6096"/>
    </row>
    <row r="6097" spans="1:1" x14ac:dyDescent="0.2">
      <c r="A6097"/>
    </row>
    <row r="6098" spans="1:1" x14ac:dyDescent="0.2">
      <c r="A6098"/>
    </row>
    <row r="6099" spans="1:1" x14ac:dyDescent="0.2">
      <c r="A6099"/>
    </row>
    <row r="6100" spans="1:1" x14ac:dyDescent="0.2">
      <c r="A6100"/>
    </row>
    <row r="6101" spans="1:1" x14ac:dyDescent="0.2">
      <c r="A6101"/>
    </row>
    <row r="6102" spans="1:1" x14ac:dyDescent="0.2">
      <c r="A6102"/>
    </row>
    <row r="6103" spans="1:1" x14ac:dyDescent="0.2">
      <c r="A6103"/>
    </row>
    <row r="6104" spans="1:1" x14ac:dyDescent="0.2">
      <c r="A6104"/>
    </row>
    <row r="6105" spans="1:1" x14ac:dyDescent="0.2">
      <c r="A6105"/>
    </row>
    <row r="6106" spans="1:1" x14ac:dyDescent="0.2">
      <c r="A6106"/>
    </row>
    <row r="6107" spans="1:1" x14ac:dyDescent="0.2">
      <c r="A6107"/>
    </row>
    <row r="6108" spans="1:1" x14ac:dyDescent="0.2">
      <c r="A6108"/>
    </row>
    <row r="6109" spans="1:1" x14ac:dyDescent="0.2">
      <c r="A6109"/>
    </row>
    <row r="6110" spans="1:1" x14ac:dyDescent="0.2">
      <c r="A6110"/>
    </row>
    <row r="6111" spans="1:1" x14ac:dyDescent="0.2">
      <c r="A6111"/>
    </row>
    <row r="6112" spans="1:1" x14ac:dyDescent="0.2">
      <c r="A6112"/>
    </row>
    <row r="6113" spans="1:1" x14ac:dyDescent="0.2">
      <c r="A6113"/>
    </row>
    <row r="6114" spans="1:1" x14ac:dyDescent="0.2">
      <c r="A6114"/>
    </row>
    <row r="6115" spans="1:1" x14ac:dyDescent="0.2">
      <c r="A6115"/>
    </row>
    <row r="6116" spans="1:1" x14ac:dyDescent="0.2">
      <c r="A6116"/>
    </row>
    <row r="6117" spans="1:1" x14ac:dyDescent="0.2">
      <c r="A6117"/>
    </row>
    <row r="6118" spans="1:1" x14ac:dyDescent="0.2">
      <c r="A6118"/>
    </row>
    <row r="6119" spans="1:1" x14ac:dyDescent="0.2">
      <c r="A6119"/>
    </row>
    <row r="6120" spans="1:1" x14ac:dyDescent="0.2">
      <c r="A6120"/>
    </row>
    <row r="6121" spans="1:1" x14ac:dyDescent="0.2">
      <c r="A6121"/>
    </row>
    <row r="6122" spans="1:1" x14ac:dyDescent="0.2">
      <c r="A6122"/>
    </row>
    <row r="6123" spans="1:1" x14ac:dyDescent="0.2">
      <c r="A6123"/>
    </row>
    <row r="6124" spans="1:1" x14ac:dyDescent="0.2">
      <c r="A6124"/>
    </row>
    <row r="6125" spans="1:1" x14ac:dyDescent="0.2">
      <c r="A6125"/>
    </row>
    <row r="6126" spans="1:1" x14ac:dyDescent="0.2">
      <c r="A6126"/>
    </row>
    <row r="6127" spans="1:1" x14ac:dyDescent="0.2">
      <c r="A6127"/>
    </row>
    <row r="6128" spans="1:1" x14ac:dyDescent="0.2">
      <c r="A6128"/>
    </row>
    <row r="6129" spans="1:1" x14ac:dyDescent="0.2">
      <c r="A6129"/>
    </row>
    <row r="6130" spans="1:1" x14ac:dyDescent="0.2">
      <c r="A6130"/>
    </row>
    <row r="6131" spans="1:1" x14ac:dyDescent="0.2">
      <c r="A6131"/>
    </row>
    <row r="6132" spans="1:1" x14ac:dyDescent="0.2">
      <c r="A6132"/>
    </row>
    <row r="6133" spans="1:1" x14ac:dyDescent="0.2">
      <c r="A6133"/>
    </row>
    <row r="6134" spans="1:1" x14ac:dyDescent="0.2">
      <c r="A6134"/>
    </row>
    <row r="6135" spans="1:1" x14ac:dyDescent="0.2">
      <c r="A6135"/>
    </row>
    <row r="6136" spans="1:1" x14ac:dyDescent="0.2">
      <c r="A6136"/>
    </row>
    <row r="6137" spans="1:1" x14ac:dyDescent="0.2">
      <c r="A6137"/>
    </row>
    <row r="6138" spans="1:1" x14ac:dyDescent="0.2">
      <c r="A6138"/>
    </row>
    <row r="6139" spans="1:1" x14ac:dyDescent="0.2">
      <c r="A6139"/>
    </row>
    <row r="6140" spans="1:1" x14ac:dyDescent="0.2">
      <c r="A6140"/>
    </row>
    <row r="6141" spans="1:1" x14ac:dyDescent="0.2">
      <c r="A6141"/>
    </row>
    <row r="6142" spans="1:1" x14ac:dyDescent="0.2">
      <c r="A6142"/>
    </row>
    <row r="6143" spans="1:1" x14ac:dyDescent="0.2">
      <c r="A6143"/>
    </row>
    <row r="6144" spans="1:1" x14ac:dyDescent="0.2">
      <c r="A6144"/>
    </row>
    <row r="6145" spans="1:1" x14ac:dyDescent="0.2">
      <c r="A6145"/>
    </row>
    <row r="6146" spans="1:1" x14ac:dyDescent="0.2">
      <c r="A6146"/>
    </row>
    <row r="6147" spans="1:1" x14ac:dyDescent="0.2">
      <c r="A6147"/>
    </row>
    <row r="6148" spans="1:1" x14ac:dyDescent="0.2">
      <c r="A6148"/>
    </row>
    <row r="6149" spans="1:1" x14ac:dyDescent="0.2">
      <c r="A6149"/>
    </row>
    <row r="6150" spans="1:1" x14ac:dyDescent="0.2">
      <c r="A6150"/>
    </row>
    <row r="6151" spans="1:1" x14ac:dyDescent="0.2">
      <c r="A6151"/>
    </row>
    <row r="6152" spans="1:1" x14ac:dyDescent="0.2">
      <c r="A6152"/>
    </row>
    <row r="6153" spans="1:1" x14ac:dyDescent="0.2">
      <c r="A6153"/>
    </row>
    <row r="6154" spans="1:1" x14ac:dyDescent="0.2">
      <c r="A6154"/>
    </row>
    <row r="6155" spans="1:1" x14ac:dyDescent="0.2">
      <c r="A6155"/>
    </row>
    <row r="6156" spans="1:1" x14ac:dyDescent="0.2">
      <c r="A6156"/>
    </row>
    <row r="6157" spans="1:1" x14ac:dyDescent="0.2">
      <c r="A6157"/>
    </row>
    <row r="6158" spans="1:1" x14ac:dyDescent="0.2">
      <c r="A6158"/>
    </row>
    <row r="6159" spans="1:1" x14ac:dyDescent="0.2">
      <c r="A6159"/>
    </row>
    <row r="6160" spans="1:1" x14ac:dyDescent="0.2">
      <c r="A6160"/>
    </row>
    <row r="6161" spans="1:1" x14ac:dyDescent="0.2">
      <c r="A6161"/>
    </row>
    <row r="6162" spans="1:1" x14ac:dyDescent="0.2">
      <c r="A6162"/>
    </row>
    <row r="6163" spans="1:1" x14ac:dyDescent="0.2">
      <c r="A6163"/>
    </row>
    <row r="6164" spans="1:1" x14ac:dyDescent="0.2">
      <c r="A6164"/>
    </row>
    <row r="6165" spans="1:1" x14ac:dyDescent="0.2">
      <c r="A6165"/>
    </row>
    <row r="6166" spans="1:1" x14ac:dyDescent="0.2">
      <c r="A6166"/>
    </row>
    <row r="6167" spans="1:1" x14ac:dyDescent="0.2">
      <c r="A6167"/>
    </row>
    <row r="6168" spans="1:1" x14ac:dyDescent="0.2">
      <c r="A6168"/>
    </row>
    <row r="6169" spans="1:1" x14ac:dyDescent="0.2">
      <c r="A6169"/>
    </row>
    <row r="6170" spans="1:1" x14ac:dyDescent="0.2">
      <c r="A6170"/>
    </row>
    <row r="6171" spans="1:1" x14ac:dyDescent="0.2">
      <c r="A6171"/>
    </row>
    <row r="6172" spans="1:1" x14ac:dyDescent="0.2">
      <c r="A6172"/>
    </row>
    <row r="6173" spans="1:1" x14ac:dyDescent="0.2">
      <c r="A6173"/>
    </row>
    <row r="6174" spans="1:1" x14ac:dyDescent="0.2">
      <c r="A6174"/>
    </row>
    <row r="6175" spans="1:1" x14ac:dyDescent="0.2">
      <c r="A6175"/>
    </row>
    <row r="6176" spans="1:1" x14ac:dyDescent="0.2">
      <c r="A6176"/>
    </row>
    <row r="6177" spans="1:1" x14ac:dyDescent="0.2">
      <c r="A6177"/>
    </row>
    <row r="6178" spans="1:1" x14ac:dyDescent="0.2">
      <c r="A6178"/>
    </row>
    <row r="6179" spans="1:1" x14ac:dyDescent="0.2">
      <c r="A6179"/>
    </row>
    <row r="6180" spans="1:1" x14ac:dyDescent="0.2">
      <c r="A6180"/>
    </row>
    <row r="6181" spans="1:1" x14ac:dyDescent="0.2">
      <c r="A6181"/>
    </row>
    <row r="6182" spans="1:1" x14ac:dyDescent="0.2">
      <c r="A6182"/>
    </row>
    <row r="6183" spans="1:1" x14ac:dyDescent="0.2">
      <c r="A6183"/>
    </row>
    <row r="6184" spans="1:1" x14ac:dyDescent="0.2">
      <c r="A6184"/>
    </row>
    <row r="6185" spans="1:1" x14ac:dyDescent="0.2">
      <c r="A6185"/>
    </row>
    <row r="6186" spans="1:1" x14ac:dyDescent="0.2">
      <c r="A6186"/>
    </row>
    <row r="6187" spans="1:1" x14ac:dyDescent="0.2">
      <c r="A6187"/>
    </row>
    <row r="6188" spans="1:1" x14ac:dyDescent="0.2">
      <c r="A6188"/>
    </row>
    <row r="6189" spans="1:1" x14ac:dyDescent="0.2">
      <c r="A6189"/>
    </row>
    <row r="6190" spans="1:1" x14ac:dyDescent="0.2">
      <c r="A6190"/>
    </row>
    <row r="6191" spans="1:1" x14ac:dyDescent="0.2">
      <c r="A6191"/>
    </row>
    <row r="6192" spans="1:1" x14ac:dyDescent="0.2">
      <c r="A6192"/>
    </row>
    <row r="6193" spans="1:1" x14ac:dyDescent="0.2">
      <c r="A6193"/>
    </row>
    <row r="6194" spans="1:1" x14ac:dyDescent="0.2">
      <c r="A6194"/>
    </row>
    <row r="6195" spans="1:1" x14ac:dyDescent="0.2">
      <c r="A6195"/>
    </row>
    <row r="6196" spans="1:1" x14ac:dyDescent="0.2">
      <c r="A6196"/>
    </row>
    <row r="6197" spans="1:1" x14ac:dyDescent="0.2">
      <c r="A6197"/>
    </row>
    <row r="6198" spans="1:1" x14ac:dyDescent="0.2">
      <c r="A6198"/>
    </row>
    <row r="6199" spans="1:1" x14ac:dyDescent="0.2">
      <c r="A6199"/>
    </row>
    <row r="6200" spans="1:1" x14ac:dyDescent="0.2">
      <c r="A6200"/>
    </row>
    <row r="6201" spans="1:1" x14ac:dyDescent="0.2">
      <c r="A6201"/>
    </row>
    <row r="6202" spans="1:1" x14ac:dyDescent="0.2">
      <c r="A6202"/>
    </row>
    <row r="6203" spans="1:1" x14ac:dyDescent="0.2">
      <c r="A6203"/>
    </row>
    <row r="6204" spans="1:1" x14ac:dyDescent="0.2">
      <c r="A6204"/>
    </row>
    <row r="6205" spans="1:1" x14ac:dyDescent="0.2">
      <c r="A6205"/>
    </row>
    <row r="6206" spans="1:1" x14ac:dyDescent="0.2">
      <c r="A6206"/>
    </row>
    <row r="6207" spans="1:1" x14ac:dyDescent="0.2">
      <c r="A6207"/>
    </row>
    <row r="6208" spans="1:1" x14ac:dyDescent="0.2">
      <c r="A6208"/>
    </row>
    <row r="6209" spans="1:1" x14ac:dyDescent="0.2">
      <c r="A6209"/>
    </row>
    <row r="6210" spans="1:1" x14ac:dyDescent="0.2">
      <c r="A6210"/>
    </row>
    <row r="6211" spans="1:1" x14ac:dyDescent="0.2">
      <c r="A6211"/>
    </row>
    <row r="6212" spans="1:1" x14ac:dyDescent="0.2">
      <c r="A6212"/>
    </row>
    <row r="6213" spans="1:1" x14ac:dyDescent="0.2">
      <c r="A6213"/>
    </row>
    <row r="6214" spans="1:1" x14ac:dyDescent="0.2">
      <c r="A6214"/>
    </row>
    <row r="6215" spans="1:1" x14ac:dyDescent="0.2">
      <c r="A6215"/>
    </row>
    <row r="6216" spans="1:1" x14ac:dyDescent="0.2">
      <c r="A6216"/>
    </row>
    <row r="6217" spans="1:1" x14ac:dyDescent="0.2">
      <c r="A6217"/>
    </row>
    <row r="6218" spans="1:1" x14ac:dyDescent="0.2">
      <c r="A6218"/>
    </row>
    <row r="6219" spans="1:1" x14ac:dyDescent="0.2">
      <c r="A6219"/>
    </row>
    <row r="6220" spans="1:1" x14ac:dyDescent="0.2">
      <c r="A6220"/>
    </row>
    <row r="6221" spans="1:1" x14ac:dyDescent="0.2">
      <c r="A6221"/>
    </row>
    <row r="6222" spans="1:1" x14ac:dyDescent="0.2">
      <c r="A6222"/>
    </row>
    <row r="6223" spans="1:1" x14ac:dyDescent="0.2">
      <c r="A6223"/>
    </row>
    <row r="6224" spans="1:1" x14ac:dyDescent="0.2">
      <c r="A6224"/>
    </row>
    <row r="6225" spans="1:1" x14ac:dyDescent="0.2">
      <c r="A6225"/>
    </row>
    <row r="6226" spans="1:1" x14ac:dyDescent="0.2">
      <c r="A6226"/>
    </row>
    <row r="6227" spans="1:1" x14ac:dyDescent="0.2">
      <c r="A6227"/>
    </row>
    <row r="6228" spans="1:1" x14ac:dyDescent="0.2">
      <c r="A6228"/>
    </row>
    <row r="6229" spans="1:1" x14ac:dyDescent="0.2">
      <c r="A6229"/>
    </row>
    <row r="6230" spans="1:1" x14ac:dyDescent="0.2">
      <c r="A6230"/>
    </row>
    <row r="6231" spans="1:1" x14ac:dyDescent="0.2">
      <c r="A6231"/>
    </row>
    <row r="6232" spans="1:1" x14ac:dyDescent="0.2">
      <c r="A6232"/>
    </row>
    <row r="6233" spans="1:1" x14ac:dyDescent="0.2">
      <c r="A6233"/>
    </row>
    <row r="6234" spans="1:1" x14ac:dyDescent="0.2">
      <c r="A6234"/>
    </row>
    <row r="6235" spans="1:1" x14ac:dyDescent="0.2">
      <c r="A6235"/>
    </row>
    <row r="6236" spans="1:1" x14ac:dyDescent="0.2">
      <c r="A6236"/>
    </row>
    <row r="6237" spans="1:1" x14ac:dyDescent="0.2">
      <c r="A6237"/>
    </row>
    <row r="6238" spans="1:1" x14ac:dyDescent="0.2">
      <c r="A6238"/>
    </row>
    <row r="6239" spans="1:1" x14ac:dyDescent="0.2">
      <c r="A6239"/>
    </row>
    <row r="6240" spans="1:1" x14ac:dyDescent="0.2">
      <c r="A6240"/>
    </row>
    <row r="6241" spans="1:1" x14ac:dyDescent="0.2">
      <c r="A6241"/>
    </row>
    <row r="6242" spans="1:1" x14ac:dyDescent="0.2">
      <c r="A6242"/>
    </row>
    <row r="6243" spans="1:1" x14ac:dyDescent="0.2">
      <c r="A6243"/>
    </row>
    <row r="6244" spans="1:1" x14ac:dyDescent="0.2">
      <c r="A6244"/>
    </row>
    <row r="6245" spans="1:1" x14ac:dyDescent="0.2">
      <c r="A6245"/>
    </row>
    <row r="6246" spans="1:1" x14ac:dyDescent="0.2">
      <c r="A6246"/>
    </row>
    <row r="6247" spans="1:1" x14ac:dyDescent="0.2">
      <c r="A6247"/>
    </row>
    <row r="6248" spans="1:1" x14ac:dyDescent="0.2">
      <c r="A6248"/>
    </row>
    <row r="6249" spans="1:1" x14ac:dyDescent="0.2">
      <c r="A6249"/>
    </row>
    <row r="6250" spans="1:1" x14ac:dyDescent="0.2">
      <c r="A6250"/>
    </row>
    <row r="6251" spans="1:1" x14ac:dyDescent="0.2">
      <c r="A6251"/>
    </row>
    <row r="6252" spans="1:1" x14ac:dyDescent="0.2">
      <c r="A6252"/>
    </row>
    <row r="6253" spans="1:1" x14ac:dyDescent="0.2">
      <c r="A6253"/>
    </row>
    <row r="6254" spans="1:1" x14ac:dyDescent="0.2">
      <c r="A6254"/>
    </row>
    <row r="6255" spans="1:1" x14ac:dyDescent="0.2">
      <c r="A6255"/>
    </row>
    <row r="6256" spans="1:1" x14ac:dyDescent="0.2">
      <c r="A6256"/>
    </row>
    <row r="6257" spans="1:1" x14ac:dyDescent="0.2">
      <c r="A6257"/>
    </row>
    <row r="6258" spans="1:1" x14ac:dyDescent="0.2">
      <c r="A6258"/>
    </row>
    <row r="6259" spans="1:1" x14ac:dyDescent="0.2">
      <c r="A6259"/>
    </row>
    <row r="6260" spans="1:1" x14ac:dyDescent="0.2">
      <c r="A6260"/>
    </row>
    <row r="6261" spans="1:1" x14ac:dyDescent="0.2">
      <c r="A6261"/>
    </row>
    <row r="6262" spans="1:1" x14ac:dyDescent="0.2">
      <c r="A6262"/>
    </row>
    <row r="6263" spans="1:1" x14ac:dyDescent="0.2">
      <c r="A6263"/>
    </row>
    <row r="6264" spans="1:1" x14ac:dyDescent="0.2">
      <c r="A6264"/>
    </row>
    <row r="6265" spans="1:1" x14ac:dyDescent="0.2">
      <c r="A6265"/>
    </row>
    <row r="6266" spans="1:1" x14ac:dyDescent="0.2">
      <c r="A6266"/>
    </row>
    <row r="6267" spans="1:1" x14ac:dyDescent="0.2">
      <c r="A6267"/>
    </row>
    <row r="6268" spans="1:1" x14ac:dyDescent="0.2">
      <c r="A6268"/>
    </row>
    <row r="6269" spans="1:1" x14ac:dyDescent="0.2">
      <c r="A6269"/>
    </row>
    <row r="6270" spans="1:1" x14ac:dyDescent="0.2">
      <c r="A6270"/>
    </row>
    <row r="6271" spans="1:1" x14ac:dyDescent="0.2">
      <c r="A6271"/>
    </row>
    <row r="6272" spans="1:1" x14ac:dyDescent="0.2">
      <c r="A6272"/>
    </row>
    <row r="6273" spans="1:1" x14ac:dyDescent="0.2">
      <c r="A6273"/>
    </row>
    <row r="6274" spans="1:1" x14ac:dyDescent="0.2">
      <c r="A6274"/>
    </row>
    <row r="6275" spans="1:1" x14ac:dyDescent="0.2">
      <c r="A6275"/>
    </row>
    <row r="6276" spans="1:1" x14ac:dyDescent="0.2">
      <c r="A6276"/>
    </row>
    <row r="6277" spans="1:1" x14ac:dyDescent="0.2">
      <c r="A6277"/>
    </row>
    <row r="6278" spans="1:1" x14ac:dyDescent="0.2">
      <c r="A6278"/>
    </row>
    <row r="6279" spans="1:1" x14ac:dyDescent="0.2">
      <c r="A6279"/>
    </row>
    <row r="6280" spans="1:1" x14ac:dyDescent="0.2">
      <c r="A6280"/>
    </row>
    <row r="6281" spans="1:1" x14ac:dyDescent="0.2">
      <c r="A6281"/>
    </row>
    <row r="6282" spans="1:1" x14ac:dyDescent="0.2">
      <c r="A6282"/>
    </row>
    <row r="6283" spans="1:1" x14ac:dyDescent="0.2">
      <c r="A6283"/>
    </row>
    <row r="6284" spans="1:1" x14ac:dyDescent="0.2">
      <c r="A6284"/>
    </row>
    <row r="6285" spans="1:1" x14ac:dyDescent="0.2">
      <c r="A6285"/>
    </row>
    <row r="6286" spans="1:1" x14ac:dyDescent="0.2">
      <c r="A6286"/>
    </row>
    <row r="6287" spans="1:1" x14ac:dyDescent="0.2">
      <c r="A6287"/>
    </row>
    <row r="6288" spans="1:1" x14ac:dyDescent="0.2">
      <c r="A6288"/>
    </row>
    <row r="6289" spans="1:1" x14ac:dyDescent="0.2">
      <c r="A6289"/>
    </row>
    <row r="6290" spans="1:1" x14ac:dyDescent="0.2">
      <c r="A6290"/>
    </row>
    <row r="6291" spans="1:1" x14ac:dyDescent="0.2">
      <c r="A6291"/>
    </row>
    <row r="6292" spans="1:1" x14ac:dyDescent="0.2">
      <c r="A6292"/>
    </row>
    <row r="6293" spans="1:1" x14ac:dyDescent="0.2">
      <c r="A6293"/>
    </row>
    <row r="6294" spans="1:1" x14ac:dyDescent="0.2">
      <c r="A6294"/>
    </row>
    <row r="6295" spans="1:1" x14ac:dyDescent="0.2">
      <c r="A6295"/>
    </row>
    <row r="6296" spans="1:1" x14ac:dyDescent="0.2">
      <c r="A6296"/>
    </row>
    <row r="6297" spans="1:1" x14ac:dyDescent="0.2">
      <c r="A6297"/>
    </row>
    <row r="6298" spans="1:1" x14ac:dyDescent="0.2">
      <c r="A6298"/>
    </row>
    <row r="6299" spans="1:1" x14ac:dyDescent="0.2">
      <c r="A6299"/>
    </row>
    <row r="6300" spans="1:1" x14ac:dyDescent="0.2">
      <c r="A6300"/>
    </row>
    <row r="6301" spans="1:1" x14ac:dyDescent="0.2">
      <c r="A6301"/>
    </row>
    <row r="6302" spans="1:1" x14ac:dyDescent="0.2">
      <c r="A6302"/>
    </row>
    <row r="6303" spans="1:1" x14ac:dyDescent="0.2">
      <c r="A6303"/>
    </row>
    <row r="6304" spans="1:1" x14ac:dyDescent="0.2">
      <c r="A6304"/>
    </row>
    <row r="6305" spans="1:1" x14ac:dyDescent="0.2">
      <c r="A6305"/>
    </row>
    <row r="6306" spans="1:1" x14ac:dyDescent="0.2">
      <c r="A6306"/>
    </row>
    <row r="6307" spans="1:1" x14ac:dyDescent="0.2">
      <c r="A6307"/>
    </row>
    <row r="6308" spans="1:1" x14ac:dyDescent="0.2">
      <c r="A6308"/>
    </row>
    <row r="6309" spans="1:1" x14ac:dyDescent="0.2">
      <c r="A6309"/>
    </row>
    <row r="6310" spans="1:1" x14ac:dyDescent="0.2">
      <c r="A6310"/>
    </row>
    <row r="6311" spans="1:1" x14ac:dyDescent="0.2">
      <c r="A6311"/>
    </row>
    <row r="6312" spans="1:1" x14ac:dyDescent="0.2">
      <c r="A6312"/>
    </row>
    <row r="6313" spans="1:1" x14ac:dyDescent="0.2">
      <c r="A6313"/>
    </row>
    <row r="6314" spans="1:1" x14ac:dyDescent="0.2">
      <c r="A6314"/>
    </row>
    <row r="6315" spans="1:1" x14ac:dyDescent="0.2">
      <c r="A6315"/>
    </row>
    <row r="6316" spans="1:1" x14ac:dyDescent="0.2">
      <c r="A6316"/>
    </row>
    <row r="6317" spans="1:1" x14ac:dyDescent="0.2">
      <c r="A6317"/>
    </row>
    <row r="6318" spans="1:1" x14ac:dyDescent="0.2">
      <c r="A6318"/>
    </row>
    <row r="6319" spans="1:1" x14ac:dyDescent="0.2">
      <c r="A6319"/>
    </row>
    <row r="6320" spans="1:1" x14ac:dyDescent="0.2">
      <c r="A6320"/>
    </row>
    <row r="6321" spans="1:1" x14ac:dyDescent="0.2">
      <c r="A6321"/>
    </row>
    <row r="6322" spans="1:1" x14ac:dyDescent="0.2">
      <c r="A6322"/>
    </row>
    <row r="6323" spans="1:1" x14ac:dyDescent="0.2">
      <c r="A6323"/>
    </row>
    <row r="6324" spans="1:1" x14ac:dyDescent="0.2">
      <c r="A6324"/>
    </row>
    <row r="6325" spans="1:1" x14ac:dyDescent="0.2">
      <c r="A6325"/>
    </row>
    <row r="6326" spans="1:1" x14ac:dyDescent="0.2">
      <c r="A6326"/>
    </row>
    <row r="6327" spans="1:1" x14ac:dyDescent="0.2">
      <c r="A6327"/>
    </row>
    <row r="6328" spans="1:1" x14ac:dyDescent="0.2">
      <c r="A6328"/>
    </row>
    <row r="6329" spans="1:1" x14ac:dyDescent="0.2">
      <c r="A6329"/>
    </row>
    <row r="6330" spans="1:1" x14ac:dyDescent="0.2">
      <c r="A6330"/>
    </row>
    <row r="6331" spans="1:1" x14ac:dyDescent="0.2">
      <c r="A6331"/>
    </row>
    <row r="6332" spans="1:1" x14ac:dyDescent="0.2">
      <c r="A6332"/>
    </row>
    <row r="6333" spans="1:1" x14ac:dyDescent="0.2">
      <c r="A6333"/>
    </row>
    <row r="6334" spans="1:1" x14ac:dyDescent="0.2">
      <c r="A6334"/>
    </row>
    <row r="6335" spans="1:1" x14ac:dyDescent="0.2">
      <c r="A6335"/>
    </row>
    <row r="6336" spans="1:1" x14ac:dyDescent="0.2">
      <c r="A6336"/>
    </row>
    <row r="6337" spans="1:1" x14ac:dyDescent="0.2">
      <c r="A6337"/>
    </row>
    <row r="6338" spans="1:1" x14ac:dyDescent="0.2">
      <c r="A6338"/>
    </row>
    <row r="6339" spans="1:1" x14ac:dyDescent="0.2">
      <c r="A6339"/>
    </row>
    <row r="6340" spans="1:1" x14ac:dyDescent="0.2">
      <c r="A6340"/>
    </row>
    <row r="6341" spans="1:1" x14ac:dyDescent="0.2">
      <c r="A6341"/>
    </row>
    <row r="6342" spans="1:1" x14ac:dyDescent="0.2">
      <c r="A6342"/>
    </row>
    <row r="6343" spans="1:1" x14ac:dyDescent="0.2">
      <c r="A6343"/>
    </row>
    <row r="6344" spans="1:1" x14ac:dyDescent="0.2">
      <c r="A6344"/>
    </row>
    <row r="6345" spans="1:1" x14ac:dyDescent="0.2">
      <c r="A6345"/>
    </row>
    <row r="6346" spans="1:1" x14ac:dyDescent="0.2">
      <c r="A6346"/>
    </row>
    <row r="6347" spans="1:1" x14ac:dyDescent="0.2">
      <c r="A6347"/>
    </row>
    <row r="6348" spans="1:1" x14ac:dyDescent="0.2">
      <c r="A6348"/>
    </row>
    <row r="6349" spans="1:1" x14ac:dyDescent="0.2">
      <c r="A6349"/>
    </row>
    <row r="6350" spans="1:1" x14ac:dyDescent="0.2">
      <c r="A6350"/>
    </row>
    <row r="6351" spans="1:1" x14ac:dyDescent="0.2">
      <c r="A6351"/>
    </row>
    <row r="6352" spans="1:1" x14ac:dyDescent="0.2">
      <c r="A6352"/>
    </row>
    <row r="6353" spans="1:1" x14ac:dyDescent="0.2">
      <c r="A6353"/>
    </row>
    <row r="6354" spans="1:1" x14ac:dyDescent="0.2">
      <c r="A6354"/>
    </row>
    <row r="6355" spans="1:1" x14ac:dyDescent="0.2">
      <c r="A6355"/>
    </row>
    <row r="6356" spans="1:1" x14ac:dyDescent="0.2">
      <c r="A6356"/>
    </row>
    <row r="6357" spans="1:1" x14ac:dyDescent="0.2">
      <c r="A6357"/>
    </row>
    <row r="6358" spans="1:1" x14ac:dyDescent="0.2">
      <c r="A6358"/>
    </row>
    <row r="6359" spans="1:1" x14ac:dyDescent="0.2">
      <c r="A6359"/>
    </row>
    <row r="6360" spans="1:1" x14ac:dyDescent="0.2">
      <c r="A6360"/>
    </row>
    <row r="6361" spans="1:1" x14ac:dyDescent="0.2">
      <c r="A6361"/>
    </row>
    <row r="6362" spans="1:1" x14ac:dyDescent="0.2">
      <c r="A6362"/>
    </row>
    <row r="6363" spans="1:1" x14ac:dyDescent="0.2">
      <c r="A6363"/>
    </row>
    <row r="6364" spans="1:1" x14ac:dyDescent="0.2">
      <c r="A6364"/>
    </row>
    <row r="6365" spans="1:1" x14ac:dyDescent="0.2">
      <c r="A6365"/>
    </row>
    <row r="6366" spans="1:1" x14ac:dyDescent="0.2">
      <c r="A6366"/>
    </row>
    <row r="6367" spans="1:1" x14ac:dyDescent="0.2">
      <c r="A6367"/>
    </row>
    <row r="6368" spans="1:1" x14ac:dyDescent="0.2">
      <c r="A6368"/>
    </row>
    <row r="6369" spans="1:1" x14ac:dyDescent="0.2">
      <c r="A6369"/>
    </row>
    <row r="6370" spans="1:1" x14ac:dyDescent="0.2">
      <c r="A6370"/>
    </row>
    <row r="6371" spans="1:1" x14ac:dyDescent="0.2">
      <c r="A6371"/>
    </row>
    <row r="6372" spans="1:1" x14ac:dyDescent="0.2">
      <c r="A6372"/>
    </row>
    <row r="6373" spans="1:1" x14ac:dyDescent="0.2">
      <c r="A6373"/>
    </row>
    <row r="6374" spans="1:1" x14ac:dyDescent="0.2">
      <c r="A6374"/>
    </row>
    <row r="6375" spans="1:1" x14ac:dyDescent="0.2">
      <c r="A6375"/>
    </row>
    <row r="6376" spans="1:1" x14ac:dyDescent="0.2">
      <c r="A6376"/>
    </row>
    <row r="6377" spans="1:1" x14ac:dyDescent="0.2">
      <c r="A6377"/>
    </row>
    <row r="6378" spans="1:1" x14ac:dyDescent="0.2">
      <c r="A6378"/>
    </row>
    <row r="6379" spans="1:1" x14ac:dyDescent="0.2">
      <c r="A6379"/>
    </row>
    <row r="6380" spans="1:1" x14ac:dyDescent="0.2">
      <c r="A6380"/>
    </row>
    <row r="6381" spans="1:1" x14ac:dyDescent="0.2">
      <c r="A6381"/>
    </row>
    <row r="6382" spans="1:1" x14ac:dyDescent="0.2">
      <c r="A6382"/>
    </row>
    <row r="6383" spans="1:1" x14ac:dyDescent="0.2">
      <c r="A6383"/>
    </row>
    <row r="6384" spans="1:1" x14ac:dyDescent="0.2">
      <c r="A6384"/>
    </row>
    <row r="6385" spans="1:1" x14ac:dyDescent="0.2">
      <c r="A6385"/>
    </row>
    <row r="6386" spans="1:1" x14ac:dyDescent="0.2">
      <c r="A6386"/>
    </row>
    <row r="6387" spans="1:1" x14ac:dyDescent="0.2">
      <c r="A6387"/>
    </row>
    <row r="6388" spans="1:1" x14ac:dyDescent="0.2">
      <c r="A6388"/>
    </row>
    <row r="6389" spans="1:1" x14ac:dyDescent="0.2">
      <c r="A6389"/>
    </row>
    <row r="6390" spans="1:1" x14ac:dyDescent="0.2">
      <c r="A6390"/>
    </row>
    <row r="6391" spans="1:1" x14ac:dyDescent="0.2">
      <c r="A6391"/>
    </row>
    <row r="6392" spans="1:1" x14ac:dyDescent="0.2">
      <c r="A6392"/>
    </row>
    <row r="6393" spans="1:1" x14ac:dyDescent="0.2">
      <c r="A6393"/>
    </row>
    <row r="6394" spans="1:1" x14ac:dyDescent="0.2">
      <c r="A6394"/>
    </row>
    <row r="6395" spans="1:1" x14ac:dyDescent="0.2">
      <c r="A6395"/>
    </row>
    <row r="6396" spans="1:1" x14ac:dyDescent="0.2">
      <c r="A6396"/>
    </row>
    <row r="6397" spans="1:1" x14ac:dyDescent="0.2">
      <c r="A6397"/>
    </row>
    <row r="6398" spans="1:1" x14ac:dyDescent="0.2">
      <c r="A6398"/>
    </row>
    <row r="6399" spans="1:1" x14ac:dyDescent="0.2">
      <c r="A6399"/>
    </row>
    <row r="6400" spans="1:1" x14ac:dyDescent="0.2">
      <c r="A6400"/>
    </row>
    <row r="6401" spans="1:1" x14ac:dyDescent="0.2">
      <c r="A6401"/>
    </row>
    <row r="6402" spans="1:1" x14ac:dyDescent="0.2">
      <c r="A6402"/>
    </row>
    <row r="6403" spans="1:1" x14ac:dyDescent="0.2">
      <c r="A6403"/>
    </row>
    <row r="6404" spans="1:1" x14ac:dyDescent="0.2">
      <c r="A6404"/>
    </row>
    <row r="6405" spans="1:1" x14ac:dyDescent="0.2">
      <c r="A6405"/>
    </row>
    <row r="6406" spans="1:1" x14ac:dyDescent="0.2">
      <c r="A6406"/>
    </row>
    <row r="6407" spans="1:1" x14ac:dyDescent="0.2">
      <c r="A6407"/>
    </row>
    <row r="6408" spans="1:1" x14ac:dyDescent="0.2">
      <c r="A6408"/>
    </row>
    <row r="6409" spans="1:1" x14ac:dyDescent="0.2">
      <c r="A6409"/>
    </row>
    <row r="6410" spans="1:1" x14ac:dyDescent="0.2">
      <c r="A6410"/>
    </row>
    <row r="6411" spans="1:1" x14ac:dyDescent="0.2">
      <c r="A6411"/>
    </row>
    <row r="6412" spans="1:1" x14ac:dyDescent="0.2">
      <c r="A6412"/>
    </row>
    <row r="6413" spans="1:1" x14ac:dyDescent="0.2">
      <c r="A6413"/>
    </row>
    <row r="6414" spans="1:1" x14ac:dyDescent="0.2">
      <c r="A6414"/>
    </row>
    <row r="6415" spans="1:1" x14ac:dyDescent="0.2">
      <c r="A6415"/>
    </row>
    <row r="6416" spans="1:1" x14ac:dyDescent="0.2">
      <c r="A6416"/>
    </row>
    <row r="6417" spans="1:1" x14ac:dyDescent="0.2">
      <c r="A6417"/>
    </row>
    <row r="6418" spans="1:1" x14ac:dyDescent="0.2">
      <c r="A6418"/>
    </row>
    <row r="6419" spans="1:1" x14ac:dyDescent="0.2">
      <c r="A6419"/>
    </row>
    <row r="6420" spans="1:1" x14ac:dyDescent="0.2">
      <c r="A6420"/>
    </row>
    <row r="6421" spans="1:1" x14ac:dyDescent="0.2">
      <c r="A6421"/>
    </row>
    <row r="6422" spans="1:1" x14ac:dyDescent="0.2">
      <c r="A6422"/>
    </row>
    <row r="6423" spans="1:1" x14ac:dyDescent="0.2">
      <c r="A6423"/>
    </row>
    <row r="6424" spans="1:1" x14ac:dyDescent="0.2">
      <c r="A6424"/>
    </row>
    <row r="6425" spans="1:1" x14ac:dyDescent="0.2">
      <c r="A6425"/>
    </row>
    <row r="6426" spans="1:1" x14ac:dyDescent="0.2">
      <c r="A6426"/>
    </row>
    <row r="6427" spans="1:1" x14ac:dyDescent="0.2">
      <c r="A6427"/>
    </row>
    <row r="6428" spans="1:1" x14ac:dyDescent="0.2">
      <c r="A6428"/>
    </row>
    <row r="6429" spans="1:1" x14ac:dyDescent="0.2">
      <c r="A6429"/>
    </row>
    <row r="6430" spans="1:1" x14ac:dyDescent="0.2">
      <c r="A6430"/>
    </row>
    <row r="6431" spans="1:1" x14ac:dyDescent="0.2">
      <c r="A6431"/>
    </row>
    <row r="6432" spans="1:1" x14ac:dyDescent="0.2">
      <c r="A6432"/>
    </row>
    <row r="6433" spans="1:1" x14ac:dyDescent="0.2">
      <c r="A6433"/>
    </row>
    <row r="6434" spans="1:1" x14ac:dyDescent="0.2">
      <c r="A6434"/>
    </row>
    <row r="6435" spans="1:1" x14ac:dyDescent="0.2">
      <c r="A6435"/>
    </row>
    <row r="6436" spans="1:1" x14ac:dyDescent="0.2">
      <c r="A6436"/>
    </row>
    <row r="6437" spans="1:1" x14ac:dyDescent="0.2">
      <c r="A6437"/>
    </row>
    <row r="6438" spans="1:1" x14ac:dyDescent="0.2">
      <c r="A6438"/>
    </row>
    <row r="6439" spans="1:1" x14ac:dyDescent="0.2">
      <c r="A6439"/>
    </row>
    <row r="6440" spans="1:1" x14ac:dyDescent="0.2">
      <c r="A6440"/>
    </row>
    <row r="6441" spans="1:1" x14ac:dyDescent="0.2">
      <c r="A6441"/>
    </row>
    <row r="6442" spans="1:1" x14ac:dyDescent="0.2">
      <c r="A6442"/>
    </row>
    <row r="6443" spans="1:1" x14ac:dyDescent="0.2">
      <c r="A6443"/>
    </row>
    <row r="6444" spans="1:1" x14ac:dyDescent="0.2">
      <c r="A6444"/>
    </row>
    <row r="6445" spans="1:1" x14ac:dyDescent="0.2">
      <c r="A6445"/>
    </row>
    <row r="6446" spans="1:1" x14ac:dyDescent="0.2">
      <c r="A6446"/>
    </row>
    <row r="6447" spans="1:1" x14ac:dyDescent="0.2">
      <c r="A6447"/>
    </row>
    <row r="6448" spans="1:1" x14ac:dyDescent="0.2">
      <c r="A6448"/>
    </row>
    <row r="6449" spans="1:1" x14ac:dyDescent="0.2">
      <c r="A6449"/>
    </row>
    <row r="6450" spans="1:1" x14ac:dyDescent="0.2">
      <c r="A6450"/>
    </row>
    <row r="6451" spans="1:1" x14ac:dyDescent="0.2">
      <c r="A6451"/>
    </row>
    <row r="6452" spans="1:1" x14ac:dyDescent="0.2">
      <c r="A6452"/>
    </row>
    <row r="6453" spans="1:1" x14ac:dyDescent="0.2">
      <c r="A6453"/>
    </row>
    <row r="6454" spans="1:1" x14ac:dyDescent="0.2">
      <c r="A6454"/>
    </row>
    <row r="6455" spans="1:1" x14ac:dyDescent="0.2">
      <c r="A6455"/>
    </row>
    <row r="6456" spans="1:1" x14ac:dyDescent="0.2">
      <c r="A6456"/>
    </row>
    <row r="6457" spans="1:1" x14ac:dyDescent="0.2">
      <c r="A6457"/>
    </row>
    <row r="6458" spans="1:1" x14ac:dyDescent="0.2">
      <c r="A6458"/>
    </row>
    <row r="6459" spans="1:1" x14ac:dyDescent="0.2">
      <c r="A6459"/>
    </row>
    <row r="6460" spans="1:1" x14ac:dyDescent="0.2">
      <c r="A6460"/>
    </row>
    <row r="6461" spans="1:1" x14ac:dyDescent="0.2">
      <c r="A6461"/>
    </row>
    <row r="6462" spans="1:1" x14ac:dyDescent="0.2">
      <c r="A6462"/>
    </row>
    <row r="6463" spans="1:1" x14ac:dyDescent="0.2">
      <c r="A6463"/>
    </row>
    <row r="6464" spans="1:1" x14ac:dyDescent="0.2">
      <c r="A6464"/>
    </row>
    <row r="6465" spans="1:1" x14ac:dyDescent="0.2">
      <c r="A6465"/>
    </row>
    <row r="6466" spans="1:1" x14ac:dyDescent="0.2">
      <c r="A6466"/>
    </row>
    <row r="6467" spans="1:1" x14ac:dyDescent="0.2">
      <c r="A6467"/>
    </row>
    <row r="6468" spans="1:1" x14ac:dyDescent="0.2">
      <c r="A6468"/>
    </row>
    <row r="6469" spans="1:1" x14ac:dyDescent="0.2">
      <c r="A6469"/>
    </row>
    <row r="6470" spans="1:1" x14ac:dyDescent="0.2">
      <c r="A6470"/>
    </row>
    <row r="6471" spans="1:1" x14ac:dyDescent="0.2">
      <c r="A6471"/>
    </row>
    <row r="6472" spans="1:1" x14ac:dyDescent="0.2">
      <c r="A6472"/>
    </row>
    <row r="6473" spans="1:1" x14ac:dyDescent="0.2">
      <c r="A6473"/>
    </row>
    <row r="6474" spans="1:1" x14ac:dyDescent="0.2">
      <c r="A6474"/>
    </row>
    <row r="6475" spans="1:1" x14ac:dyDescent="0.2">
      <c r="A6475"/>
    </row>
    <row r="6476" spans="1:1" x14ac:dyDescent="0.2">
      <c r="A6476"/>
    </row>
    <row r="6477" spans="1:1" x14ac:dyDescent="0.2">
      <c r="A6477"/>
    </row>
    <row r="6478" spans="1:1" x14ac:dyDescent="0.2">
      <c r="A6478"/>
    </row>
    <row r="6479" spans="1:1" x14ac:dyDescent="0.2">
      <c r="A6479"/>
    </row>
    <row r="6480" spans="1:1" x14ac:dyDescent="0.2">
      <c r="A6480"/>
    </row>
    <row r="6481" spans="1:1" x14ac:dyDescent="0.2">
      <c r="A6481"/>
    </row>
    <row r="6482" spans="1:1" x14ac:dyDescent="0.2">
      <c r="A6482"/>
    </row>
    <row r="6483" spans="1:1" x14ac:dyDescent="0.2">
      <c r="A6483"/>
    </row>
    <row r="6484" spans="1:1" x14ac:dyDescent="0.2">
      <c r="A6484"/>
    </row>
    <row r="6485" spans="1:1" x14ac:dyDescent="0.2">
      <c r="A6485"/>
    </row>
    <row r="6486" spans="1:1" x14ac:dyDescent="0.2">
      <c r="A6486"/>
    </row>
    <row r="6487" spans="1:1" x14ac:dyDescent="0.2">
      <c r="A6487"/>
    </row>
    <row r="6488" spans="1:1" x14ac:dyDescent="0.2">
      <c r="A6488"/>
    </row>
    <row r="6489" spans="1:1" x14ac:dyDescent="0.2">
      <c r="A6489"/>
    </row>
    <row r="6490" spans="1:1" x14ac:dyDescent="0.2">
      <c r="A6490"/>
    </row>
    <row r="6491" spans="1:1" x14ac:dyDescent="0.2">
      <c r="A6491"/>
    </row>
    <row r="6492" spans="1:1" x14ac:dyDescent="0.2">
      <c r="A6492"/>
    </row>
    <row r="6493" spans="1:1" x14ac:dyDescent="0.2">
      <c r="A6493"/>
    </row>
    <row r="6494" spans="1:1" x14ac:dyDescent="0.2">
      <c r="A6494"/>
    </row>
    <row r="6495" spans="1:1" x14ac:dyDescent="0.2">
      <c r="A6495"/>
    </row>
    <row r="6496" spans="1:1" x14ac:dyDescent="0.2">
      <c r="A6496"/>
    </row>
    <row r="6497" spans="1:1" x14ac:dyDescent="0.2">
      <c r="A6497"/>
    </row>
    <row r="6498" spans="1:1" x14ac:dyDescent="0.2">
      <c r="A6498"/>
    </row>
    <row r="6499" spans="1:1" x14ac:dyDescent="0.2">
      <c r="A6499"/>
    </row>
    <row r="6500" spans="1:1" x14ac:dyDescent="0.2">
      <c r="A6500"/>
    </row>
    <row r="6501" spans="1:1" x14ac:dyDescent="0.2">
      <c r="A6501"/>
    </row>
    <row r="6502" spans="1:1" x14ac:dyDescent="0.2">
      <c r="A6502"/>
    </row>
    <row r="6503" spans="1:1" x14ac:dyDescent="0.2">
      <c r="A6503"/>
    </row>
    <row r="6504" spans="1:1" x14ac:dyDescent="0.2">
      <c r="A6504"/>
    </row>
    <row r="6505" spans="1:1" x14ac:dyDescent="0.2">
      <c r="A6505"/>
    </row>
    <row r="6506" spans="1:1" x14ac:dyDescent="0.2">
      <c r="A6506"/>
    </row>
    <row r="6507" spans="1:1" x14ac:dyDescent="0.2">
      <c r="A6507"/>
    </row>
    <row r="6508" spans="1:1" x14ac:dyDescent="0.2">
      <c r="A6508"/>
    </row>
    <row r="6509" spans="1:1" x14ac:dyDescent="0.2">
      <c r="A6509"/>
    </row>
    <row r="6510" spans="1:1" x14ac:dyDescent="0.2">
      <c r="A6510"/>
    </row>
    <row r="6511" spans="1:1" x14ac:dyDescent="0.2">
      <c r="A6511"/>
    </row>
    <row r="6512" spans="1:1" x14ac:dyDescent="0.2">
      <c r="A6512"/>
    </row>
    <row r="6513" spans="1:1" x14ac:dyDescent="0.2">
      <c r="A6513"/>
    </row>
    <row r="6514" spans="1:1" x14ac:dyDescent="0.2">
      <c r="A6514"/>
    </row>
    <row r="6515" spans="1:1" x14ac:dyDescent="0.2">
      <c r="A6515"/>
    </row>
    <row r="6516" spans="1:1" x14ac:dyDescent="0.2">
      <c r="A6516"/>
    </row>
    <row r="6517" spans="1:1" x14ac:dyDescent="0.2">
      <c r="A6517"/>
    </row>
    <row r="6518" spans="1:1" x14ac:dyDescent="0.2">
      <c r="A6518"/>
    </row>
    <row r="6519" spans="1:1" x14ac:dyDescent="0.2">
      <c r="A6519"/>
    </row>
    <row r="6520" spans="1:1" x14ac:dyDescent="0.2">
      <c r="A6520"/>
    </row>
    <row r="6521" spans="1:1" x14ac:dyDescent="0.2">
      <c r="A6521"/>
    </row>
    <row r="6522" spans="1:1" x14ac:dyDescent="0.2">
      <c r="A6522"/>
    </row>
    <row r="6523" spans="1:1" x14ac:dyDescent="0.2">
      <c r="A6523"/>
    </row>
    <row r="6524" spans="1:1" x14ac:dyDescent="0.2">
      <c r="A6524"/>
    </row>
    <row r="6525" spans="1:1" x14ac:dyDescent="0.2">
      <c r="A6525"/>
    </row>
    <row r="6526" spans="1:1" x14ac:dyDescent="0.2">
      <c r="A6526"/>
    </row>
    <row r="6527" spans="1:1" x14ac:dyDescent="0.2">
      <c r="A6527"/>
    </row>
    <row r="6528" spans="1:1" x14ac:dyDescent="0.2">
      <c r="A6528"/>
    </row>
    <row r="6529" spans="1:1" x14ac:dyDescent="0.2">
      <c r="A6529"/>
    </row>
    <row r="6530" spans="1:1" x14ac:dyDescent="0.2">
      <c r="A6530"/>
    </row>
    <row r="6531" spans="1:1" x14ac:dyDescent="0.2">
      <c r="A6531"/>
    </row>
    <row r="6532" spans="1:1" x14ac:dyDescent="0.2">
      <c r="A6532"/>
    </row>
    <row r="6533" spans="1:1" x14ac:dyDescent="0.2">
      <c r="A6533"/>
    </row>
    <row r="6534" spans="1:1" x14ac:dyDescent="0.2">
      <c r="A6534"/>
    </row>
    <row r="6535" spans="1:1" x14ac:dyDescent="0.2">
      <c r="A6535"/>
    </row>
    <row r="6536" spans="1:1" x14ac:dyDescent="0.2">
      <c r="A6536"/>
    </row>
    <row r="6537" spans="1:1" x14ac:dyDescent="0.2">
      <c r="A6537"/>
    </row>
    <row r="6538" spans="1:1" x14ac:dyDescent="0.2">
      <c r="A6538"/>
    </row>
    <row r="6539" spans="1:1" x14ac:dyDescent="0.2">
      <c r="A6539"/>
    </row>
    <row r="6540" spans="1:1" x14ac:dyDescent="0.2">
      <c r="A6540"/>
    </row>
    <row r="6541" spans="1:1" x14ac:dyDescent="0.2">
      <c r="A6541"/>
    </row>
    <row r="6542" spans="1:1" x14ac:dyDescent="0.2">
      <c r="A6542"/>
    </row>
    <row r="6543" spans="1:1" x14ac:dyDescent="0.2">
      <c r="A6543"/>
    </row>
    <row r="6544" spans="1:1" x14ac:dyDescent="0.2">
      <c r="A6544"/>
    </row>
    <row r="6545" spans="1:1" x14ac:dyDescent="0.2">
      <c r="A6545"/>
    </row>
    <row r="6546" spans="1:1" x14ac:dyDescent="0.2">
      <c r="A6546"/>
    </row>
    <row r="6547" spans="1:1" x14ac:dyDescent="0.2">
      <c r="A6547"/>
    </row>
    <row r="6548" spans="1:1" x14ac:dyDescent="0.2">
      <c r="A6548"/>
    </row>
    <row r="6549" spans="1:1" x14ac:dyDescent="0.2">
      <c r="A6549"/>
    </row>
    <row r="6550" spans="1:1" x14ac:dyDescent="0.2">
      <c r="A6550"/>
    </row>
    <row r="6551" spans="1:1" x14ac:dyDescent="0.2">
      <c r="A6551"/>
    </row>
    <row r="6552" spans="1:1" x14ac:dyDescent="0.2">
      <c r="A6552"/>
    </row>
    <row r="6553" spans="1:1" x14ac:dyDescent="0.2">
      <c r="A6553"/>
    </row>
    <row r="6554" spans="1:1" x14ac:dyDescent="0.2">
      <c r="A6554"/>
    </row>
    <row r="6555" spans="1:1" x14ac:dyDescent="0.2">
      <c r="A6555"/>
    </row>
    <row r="6556" spans="1:1" x14ac:dyDescent="0.2">
      <c r="A6556"/>
    </row>
    <row r="6557" spans="1:1" x14ac:dyDescent="0.2">
      <c r="A6557"/>
    </row>
    <row r="6558" spans="1:1" x14ac:dyDescent="0.2">
      <c r="A6558"/>
    </row>
    <row r="6559" spans="1:1" x14ac:dyDescent="0.2">
      <c r="A6559"/>
    </row>
    <row r="6560" spans="1:1" x14ac:dyDescent="0.2">
      <c r="A6560"/>
    </row>
    <row r="6561" spans="1:1" x14ac:dyDescent="0.2">
      <c r="A6561"/>
    </row>
    <row r="6562" spans="1:1" x14ac:dyDescent="0.2">
      <c r="A6562"/>
    </row>
    <row r="6563" spans="1:1" x14ac:dyDescent="0.2">
      <c r="A6563"/>
    </row>
    <row r="6564" spans="1:1" x14ac:dyDescent="0.2">
      <c r="A6564"/>
    </row>
    <row r="6565" spans="1:1" x14ac:dyDescent="0.2">
      <c r="A6565"/>
    </row>
    <row r="6566" spans="1:1" x14ac:dyDescent="0.2">
      <c r="A6566"/>
    </row>
    <row r="6567" spans="1:1" x14ac:dyDescent="0.2">
      <c r="A6567"/>
    </row>
    <row r="6568" spans="1:1" x14ac:dyDescent="0.2">
      <c r="A6568"/>
    </row>
    <row r="6569" spans="1:1" x14ac:dyDescent="0.2">
      <c r="A6569"/>
    </row>
    <row r="6570" spans="1:1" x14ac:dyDescent="0.2">
      <c r="A6570"/>
    </row>
    <row r="6571" spans="1:1" x14ac:dyDescent="0.2">
      <c r="A6571"/>
    </row>
    <row r="6572" spans="1:1" x14ac:dyDescent="0.2">
      <c r="A6572"/>
    </row>
    <row r="6573" spans="1:1" x14ac:dyDescent="0.2">
      <c r="A6573"/>
    </row>
    <row r="6574" spans="1:1" x14ac:dyDescent="0.2">
      <c r="A6574"/>
    </row>
    <row r="6575" spans="1:1" x14ac:dyDescent="0.2">
      <c r="A6575"/>
    </row>
    <row r="6576" spans="1:1" x14ac:dyDescent="0.2">
      <c r="A6576"/>
    </row>
    <row r="6577" spans="1:1" x14ac:dyDescent="0.2">
      <c r="A6577"/>
    </row>
    <row r="6578" spans="1:1" x14ac:dyDescent="0.2">
      <c r="A6578"/>
    </row>
    <row r="6579" spans="1:1" x14ac:dyDescent="0.2">
      <c r="A6579"/>
    </row>
    <row r="6580" spans="1:1" x14ac:dyDescent="0.2">
      <c r="A6580"/>
    </row>
    <row r="6581" spans="1:1" x14ac:dyDescent="0.2">
      <c r="A6581"/>
    </row>
    <row r="6582" spans="1:1" x14ac:dyDescent="0.2">
      <c r="A6582"/>
    </row>
    <row r="6583" spans="1:1" x14ac:dyDescent="0.2">
      <c r="A6583"/>
    </row>
    <row r="6584" spans="1:1" x14ac:dyDescent="0.2">
      <c r="A6584"/>
    </row>
    <row r="6585" spans="1:1" x14ac:dyDescent="0.2">
      <c r="A6585"/>
    </row>
    <row r="6586" spans="1:1" x14ac:dyDescent="0.2">
      <c r="A6586"/>
    </row>
    <row r="6587" spans="1:1" x14ac:dyDescent="0.2">
      <c r="A6587"/>
    </row>
    <row r="6588" spans="1:1" x14ac:dyDescent="0.2">
      <c r="A6588"/>
    </row>
    <row r="6589" spans="1:1" x14ac:dyDescent="0.2">
      <c r="A6589"/>
    </row>
    <row r="6590" spans="1:1" x14ac:dyDescent="0.2">
      <c r="A6590"/>
    </row>
    <row r="6591" spans="1:1" x14ac:dyDescent="0.2">
      <c r="A6591"/>
    </row>
    <row r="6592" spans="1:1" x14ac:dyDescent="0.2">
      <c r="A6592"/>
    </row>
    <row r="6593" spans="1:1" x14ac:dyDescent="0.2">
      <c r="A6593"/>
    </row>
    <row r="6594" spans="1:1" x14ac:dyDescent="0.2">
      <c r="A6594"/>
    </row>
    <row r="6595" spans="1:1" x14ac:dyDescent="0.2">
      <c r="A6595"/>
    </row>
    <row r="6596" spans="1:1" x14ac:dyDescent="0.2">
      <c r="A6596"/>
    </row>
    <row r="6597" spans="1:1" x14ac:dyDescent="0.2">
      <c r="A6597"/>
    </row>
    <row r="6598" spans="1:1" x14ac:dyDescent="0.2">
      <c r="A6598"/>
    </row>
    <row r="6599" spans="1:1" x14ac:dyDescent="0.2">
      <c r="A6599"/>
    </row>
    <row r="6600" spans="1:1" x14ac:dyDescent="0.2">
      <c r="A6600"/>
    </row>
    <row r="6601" spans="1:1" x14ac:dyDescent="0.2">
      <c r="A6601"/>
    </row>
    <row r="6602" spans="1:1" x14ac:dyDescent="0.2">
      <c r="A6602"/>
    </row>
    <row r="6603" spans="1:1" x14ac:dyDescent="0.2">
      <c r="A6603"/>
    </row>
    <row r="6604" spans="1:1" x14ac:dyDescent="0.2">
      <c r="A6604"/>
    </row>
    <row r="6605" spans="1:1" x14ac:dyDescent="0.2">
      <c r="A6605"/>
    </row>
    <row r="6606" spans="1:1" x14ac:dyDescent="0.2">
      <c r="A6606"/>
    </row>
    <row r="6607" spans="1:1" x14ac:dyDescent="0.2">
      <c r="A6607"/>
    </row>
    <row r="6608" spans="1:1" x14ac:dyDescent="0.2">
      <c r="A6608"/>
    </row>
    <row r="6609" spans="1:1" x14ac:dyDescent="0.2">
      <c r="A6609"/>
    </row>
    <row r="6610" spans="1:1" x14ac:dyDescent="0.2">
      <c r="A6610"/>
    </row>
    <row r="6611" spans="1:1" x14ac:dyDescent="0.2">
      <c r="A6611"/>
    </row>
    <row r="6612" spans="1:1" x14ac:dyDescent="0.2">
      <c r="A6612"/>
    </row>
    <row r="6613" spans="1:1" x14ac:dyDescent="0.2">
      <c r="A6613"/>
    </row>
    <row r="6614" spans="1:1" x14ac:dyDescent="0.2">
      <c r="A6614"/>
    </row>
    <row r="6615" spans="1:1" x14ac:dyDescent="0.2">
      <c r="A6615"/>
    </row>
    <row r="6616" spans="1:1" x14ac:dyDescent="0.2">
      <c r="A6616"/>
    </row>
    <row r="6617" spans="1:1" x14ac:dyDescent="0.2">
      <c r="A6617"/>
    </row>
    <row r="6618" spans="1:1" x14ac:dyDescent="0.2">
      <c r="A6618"/>
    </row>
    <row r="6619" spans="1:1" x14ac:dyDescent="0.2">
      <c r="A6619"/>
    </row>
    <row r="6620" spans="1:1" x14ac:dyDescent="0.2">
      <c r="A6620"/>
    </row>
    <row r="6621" spans="1:1" x14ac:dyDescent="0.2">
      <c r="A6621"/>
    </row>
    <row r="6622" spans="1:1" x14ac:dyDescent="0.2">
      <c r="A6622"/>
    </row>
    <row r="6623" spans="1:1" x14ac:dyDescent="0.2">
      <c r="A6623"/>
    </row>
    <row r="6624" spans="1:1" x14ac:dyDescent="0.2">
      <c r="A6624"/>
    </row>
    <row r="6625" spans="1:1" x14ac:dyDescent="0.2">
      <c r="A6625"/>
    </row>
    <row r="6626" spans="1:1" x14ac:dyDescent="0.2">
      <c r="A6626"/>
    </row>
    <row r="6627" spans="1:1" x14ac:dyDescent="0.2">
      <c r="A6627"/>
    </row>
    <row r="6628" spans="1:1" x14ac:dyDescent="0.2">
      <c r="A6628"/>
    </row>
    <row r="6629" spans="1:1" x14ac:dyDescent="0.2">
      <c r="A6629"/>
    </row>
    <row r="6630" spans="1:1" x14ac:dyDescent="0.2">
      <c r="A6630"/>
    </row>
    <row r="6631" spans="1:1" x14ac:dyDescent="0.2">
      <c r="A6631"/>
    </row>
    <row r="6632" spans="1:1" x14ac:dyDescent="0.2">
      <c r="A6632"/>
    </row>
    <row r="6633" spans="1:1" x14ac:dyDescent="0.2">
      <c r="A6633"/>
    </row>
    <row r="6634" spans="1:1" x14ac:dyDescent="0.2">
      <c r="A6634"/>
    </row>
    <row r="6635" spans="1:1" x14ac:dyDescent="0.2">
      <c r="A6635"/>
    </row>
    <row r="6636" spans="1:1" x14ac:dyDescent="0.2">
      <c r="A6636"/>
    </row>
    <row r="6637" spans="1:1" x14ac:dyDescent="0.2">
      <c r="A6637"/>
    </row>
    <row r="6638" spans="1:1" x14ac:dyDescent="0.2">
      <c r="A6638"/>
    </row>
    <row r="6639" spans="1:1" x14ac:dyDescent="0.2">
      <c r="A6639"/>
    </row>
    <row r="6640" spans="1:1" x14ac:dyDescent="0.2">
      <c r="A6640"/>
    </row>
    <row r="6641" spans="1:1" x14ac:dyDescent="0.2">
      <c r="A6641"/>
    </row>
    <row r="6642" spans="1:1" x14ac:dyDescent="0.2">
      <c r="A6642"/>
    </row>
    <row r="6643" spans="1:1" x14ac:dyDescent="0.2">
      <c r="A6643"/>
    </row>
    <row r="6644" spans="1:1" x14ac:dyDescent="0.2">
      <c r="A6644"/>
    </row>
    <row r="6645" spans="1:1" x14ac:dyDescent="0.2">
      <c r="A6645"/>
    </row>
    <row r="6646" spans="1:1" x14ac:dyDescent="0.2">
      <c r="A6646"/>
    </row>
    <row r="6647" spans="1:1" x14ac:dyDescent="0.2">
      <c r="A6647"/>
    </row>
    <row r="6648" spans="1:1" x14ac:dyDescent="0.2">
      <c r="A6648"/>
    </row>
    <row r="6649" spans="1:1" x14ac:dyDescent="0.2">
      <c r="A6649"/>
    </row>
    <row r="6650" spans="1:1" x14ac:dyDescent="0.2">
      <c r="A6650"/>
    </row>
    <row r="6651" spans="1:1" x14ac:dyDescent="0.2">
      <c r="A6651"/>
    </row>
    <row r="6652" spans="1:1" x14ac:dyDescent="0.2">
      <c r="A6652"/>
    </row>
    <row r="6653" spans="1:1" x14ac:dyDescent="0.2">
      <c r="A6653"/>
    </row>
    <row r="6654" spans="1:1" x14ac:dyDescent="0.2">
      <c r="A6654"/>
    </row>
    <row r="6655" spans="1:1" x14ac:dyDescent="0.2">
      <c r="A6655"/>
    </row>
    <row r="6656" spans="1:1" x14ac:dyDescent="0.2">
      <c r="A6656"/>
    </row>
    <row r="6657" spans="1:1" x14ac:dyDescent="0.2">
      <c r="A6657"/>
    </row>
    <row r="6658" spans="1:1" x14ac:dyDescent="0.2">
      <c r="A6658"/>
    </row>
    <row r="6659" spans="1:1" x14ac:dyDescent="0.2">
      <c r="A6659"/>
    </row>
    <row r="6660" spans="1:1" x14ac:dyDescent="0.2">
      <c r="A6660"/>
    </row>
    <row r="6661" spans="1:1" x14ac:dyDescent="0.2">
      <c r="A6661"/>
    </row>
    <row r="6662" spans="1:1" x14ac:dyDescent="0.2">
      <c r="A6662"/>
    </row>
    <row r="6663" spans="1:1" x14ac:dyDescent="0.2">
      <c r="A6663"/>
    </row>
    <row r="6664" spans="1:1" x14ac:dyDescent="0.2">
      <c r="A6664"/>
    </row>
    <row r="6665" spans="1:1" x14ac:dyDescent="0.2">
      <c r="A6665"/>
    </row>
    <row r="6666" spans="1:1" x14ac:dyDescent="0.2">
      <c r="A6666"/>
    </row>
    <row r="6667" spans="1:1" x14ac:dyDescent="0.2">
      <c r="A6667"/>
    </row>
    <row r="6668" spans="1:1" x14ac:dyDescent="0.2">
      <c r="A6668"/>
    </row>
    <row r="6669" spans="1:1" x14ac:dyDescent="0.2">
      <c r="A6669"/>
    </row>
    <row r="6670" spans="1:1" x14ac:dyDescent="0.2">
      <c r="A6670"/>
    </row>
    <row r="6671" spans="1:1" x14ac:dyDescent="0.2">
      <c r="A6671"/>
    </row>
    <row r="6672" spans="1:1" x14ac:dyDescent="0.2">
      <c r="A6672"/>
    </row>
    <row r="6673" spans="1:1" x14ac:dyDescent="0.2">
      <c r="A6673"/>
    </row>
    <row r="6674" spans="1:1" x14ac:dyDescent="0.2">
      <c r="A6674"/>
    </row>
    <row r="6675" spans="1:1" x14ac:dyDescent="0.2">
      <c r="A6675"/>
    </row>
    <row r="6676" spans="1:1" x14ac:dyDescent="0.2">
      <c r="A6676"/>
    </row>
    <row r="6677" spans="1:1" x14ac:dyDescent="0.2">
      <c r="A6677"/>
    </row>
    <row r="6678" spans="1:1" x14ac:dyDescent="0.2">
      <c r="A6678"/>
    </row>
    <row r="6679" spans="1:1" x14ac:dyDescent="0.2">
      <c r="A6679"/>
    </row>
    <row r="6680" spans="1:1" x14ac:dyDescent="0.2">
      <c r="A6680"/>
    </row>
    <row r="6681" spans="1:1" x14ac:dyDescent="0.2">
      <c r="A6681"/>
    </row>
    <row r="6682" spans="1:1" x14ac:dyDescent="0.2">
      <c r="A6682"/>
    </row>
    <row r="6683" spans="1:1" x14ac:dyDescent="0.2">
      <c r="A6683"/>
    </row>
    <row r="6684" spans="1:1" x14ac:dyDescent="0.2">
      <c r="A6684"/>
    </row>
    <row r="6685" spans="1:1" x14ac:dyDescent="0.2">
      <c r="A6685"/>
    </row>
    <row r="6686" spans="1:1" x14ac:dyDescent="0.2">
      <c r="A6686"/>
    </row>
    <row r="6687" spans="1:1" x14ac:dyDescent="0.2">
      <c r="A6687"/>
    </row>
    <row r="6688" spans="1:1" x14ac:dyDescent="0.2">
      <c r="A6688"/>
    </row>
    <row r="6689" spans="1:1" x14ac:dyDescent="0.2">
      <c r="A6689"/>
    </row>
    <row r="6690" spans="1:1" x14ac:dyDescent="0.2">
      <c r="A6690"/>
    </row>
    <row r="6691" spans="1:1" x14ac:dyDescent="0.2">
      <c r="A6691"/>
    </row>
    <row r="6692" spans="1:1" x14ac:dyDescent="0.2">
      <c r="A6692"/>
    </row>
    <row r="6693" spans="1:1" x14ac:dyDescent="0.2">
      <c r="A6693"/>
    </row>
    <row r="6694" spans="1:1" x14ac:dyDescent="0.2">
      <c r="A6694"/>
    </row>
    <row r="6695" spans="1:1" x14ac:dyDescent="0.2">
      <c r="A6695"/>
    </row>
    <row r="6696" spans="1:1" x14ac:dyDescent="0.2">
      <c r="A6696"/>
    </row>
    <row r="6697" spans="1:1" x14ac:dyDescent="0.2">
      <c r="A6697"/>
    </row>
    <row r="6698" spans="1:1" x14ac:dyDescent="0.2">
      <c r="A6698"/>
    </row>
    <row r="6699" spans="1:1" x14ac:dyDescent="0.2">
      <c r="A6699"/>
    </row>
    <row r="6700" spans="1:1" x14ac:dyDescent="0.2">
      <c r="A6700"/>
    </row>
    <row r="6701" spans="1:1" x14ac:dyDescent="0.2">
      <c r="A6701"/>
    </row>
    <row r="6702" spans="1:1" x14ac:dyDescent="0.2">
      <c r="A6702"/>
    </row>
    <row r="6703" spans="1:1" x14ac:dyDescent="0.2">
      <c r="A6703"/>
    </row>
    <row r="6704" spans="1:1" x14ac:dyDescent="0.2">
      <c r="A6704"/>
    </row>
    <row r="6705" spans="1:1" x14ac:dyDescent="0.2">
      <c r="A6705"/>
    </row>
    <row r="6706" spans="1:1" x14ac:dyDescent="0.2">
      <c r="A6706"/>
    </row>
    <row r="6707" spans="1:1" x14ac:dyDescent="0.2">
      <c r="A6707"/>
    </row>
    <row r="6708" spans="1:1" x14ac:dyDescent="0.2">
      <c r="A6708"/>
    </row>
    <row r="6709" spans="1:1" x14ac:dyDescent="0.2">
      <c r="A6709"/>
    </row>
    <row r="6710" spans="1:1" x14ac:dyDescent="0.2">
      <c r="A6710"/>
    </row>
    <row r="6711" spans="1:1" x14ac:dyDescent="0.2">
      <c r="A6711"/>
    </row>
    <row r="6712" spans="1:1" x14ac:dyDescent="0.2">
      <c r="A6712"/>
    </row>
    <row r="6713" spans="1:1" x14ac:dyDescent="0.2">
      <c r="A6713"/>
    </row>
    <row r="6714" spans="1:1" x14ac:dyDescent="0.2">
      <c r="A6714"/>
    </row>
    <row r="6715" spans="1:1" x14ac:dyDescent="0.2">
      <c r="A6715"/>
    </row>
    <row r="6716" spans="1:1" x14ac:dyDescent="0.2">
      <c r="A6716"/>
    </row>
    <row r="6717" spans="1:1" x14ac:dyDescent="0.2">
      <c r="A6717"/>
    </row>
    <row r="6718" spans="1:1" x14ac:dyDescent="0.2">
      <c r="A6718"/>
    </row>
    <row r="6719" spans="1:1" x14ac:dyDescent="0.2">
      <c r="A6719"/>
    </row>
    <row r="6720" spans="1:1" x14ac:dyDescent="0.2">
      <c r="A6720"/>
    </row>
    <row r="6721" spans="1:1" x14ac:dyDescent="0.2">
      <c r="A6721"/>
    </row>
    <row r="6722" spans="1:1" x14ac:dyDescent="0.2">
      <c r="A6722"/>
    </row>
    <row r="6723" spans="1:1" x14ac:dyDescent="0.2">
      <c r="A6723"/>
    </row>
    <row r="6724" spans="1:1" x14ac:dyDescent="0.2">
      <c r="A6724"/>
    </row>
    <row r="6725" spans="1:1" x14ac:dyDescent="0.2">
      <c r="A6725"/>
    </row>
    <row r="6726" spans="1:1" x14ac:dyDescent="0.2">
      <c r="A6726"/>
    </row>
    <row r="6727" spans="1:1" x14ac:dyDescent="0.2">
      <c r="A6727"/>
    </row>
    <row r="6728" spans="1:1" x14ac:dyDescent="0.2">
      <c r="A6728"/>
    </row>
    <row r="6729" spans="1:1" x14ac:dyDescent="0.2">
      <c r="A6729"/>
    </row>
    <row r="6730" spans="1:1" x14ac:dyDescent="0.2">
      <c r="A6730"/>
    </row>
    <row r="6731" spans="1:1" x14ac:dyDescent="0.2">
      <c r="A6731"/>
    </row>
    <row r="6732" spans="1:1" x14ac:dyDescent="0.2">
      <c r="A6732"/>
    </row>
    <row r="6733" spans="1:1" x14ac:dyDescent="0.2">
      <c r="A6733"/>
    </row>
    <row r="6734" spans="1:1" x14ac:dyDescent="0.2">
      <c r="A6734"/>
    </row>
    <row r="6735" spans="1:1" x14ac:dyDescent="0.2">
      <c r="A6735"/>
    </row>
    <row r="6736" spans="1:1" x14ac:dyDescent="0.2">
      <c r="A6736"/>
    </row>
    <row r="6737" spans="1:1" x14ac:dyDescent="0.2">
      <c r="A6737"/>
    </row>
    <row r="6738" spans="1:1" x14ac:dyDescent="0.2">
      <c r="A6738"/>
    </row>
    <row r="6739" spans="1:1" x14ac:dyDescent="0.2">
      <c r="A6739"/>
    </row>
    <row r="6740" spans="1:1" x14ac:dyDescent="0.2">
      <c r="A6740"/>
    </row>
    <row r="6741" spans="1:1" x14ac:dyDescent="0.2">
      <c r="A6741"/>
    </row>
    <row r="6742" spans="1:1" x14ac:dyDescent="0.2">
      <c r="A6742"/>
    </row>
    <row r="6743" spans="1:1" x14ac:dyDescent="0.2">
      <c r="A6743"/>
    </row>
    <row r="6744" spans="1:1" x14ac:dyDescent="0.2">
      <c r="A6744"/>
    </row>
    <row r="6745" spans="1:1" x14ac:dyDescent="0.2">
      <c r="A6745"/>
    </row>
    <row r="6746" spans="1:1" x14ac:dyDescent="0.2">
      <c r="A6746"/>
    </row>
    <row r="6747" spans="1:1" x14ac:dyDescent="0.2">
      <c r="A6747"/>
    </row>
    <row r="6748" spans="1:1" x14ac:dyDescent="0.2">
      <c r="A6748"/>
    </row>
    <row r="6749" spans="1:1" x14ac:dyDescent="0.2">
      <c r="A6749"/>
    </row>
    <row r="6750" spans="1:1" x14ac:dyDescent="0.2">
      <c r="A6750"/>
    </row>
    <row r="6751" spans="1:1" x14ac:dyDescent="0.2">
      <c r="A6751"/>
    </row>
    <row r="6752" spans="1:1" x14ac:dyDescent="0.2">
      <c r="A6752"/>
    </row>
    <row r="6753" spans="1:1" x14ac:dyDescent="0.2">
      <c r="A6753"/>
    </row>
    <row r="6754" spans="1:1" x14ac:dyDescent="0.2">
      <c r="A6754"/>
    </row>
    <row r="6755" spans="1:1" x14ac:dyDescent="0.2">
      <c r="A6755"/>
    </row>
    <row r="6756" spans="1:1" x14ac:dyDescent="0.2">
      <c r="A6756"/>
    </row>
    <row r="6757" spans="1:1" x14ac:dyDescent="0.2">
      <c r="A6757"/>
    </row>
    <row r="6758" spans="1:1" x14ac:dyDescent="0.2">
      <c r="A6758"/>
    </row>
    <row r="6759" spans="1:1" x14ac:dyDescent="0.2">
      <c r="A6759"/>
    </row>
    <row r="6760" spans="1:1" x14ac:dyDescent="0.2">
      <c r="A6760"/>
    </row>
    <row r="6761" spans="1:1" x14ac:dyDescent="0.2">
      <c r="A6761"/>
    </row>
    <row r="6762" spans="1:1" x14ac:dyDescent="0.2">
      <c r="A6762"/>
    </row>
    <row r="6763" spans="1:1" x14ac:dyDescent="0.2">
      <c r="A6763"/>
    </row>
    <row r="6764" spans="1:1" x14ac:dyDescent="0.2">
      <c r="A6764"/>
    </row>
    <row r="6765" spans="1:1" x14ac:dyDescent="0.2">
      <c r="A6765"/>
    </row>
    <row r="6766" spans="1:1" x14ac:dyDescent="0.2">
      <c r="A6766"/>
    </row>
    <row r="6767" spans="1:1" x14ac:dyDescent="0.2">
      <c r="A6767"/>
    </row>
    <row r="6768" spans="1:1" x14ac:dyDescent="0.2">
      <c r="A6768"/>
    </row>
    <row r="6769" spans="1:1" x14ac:dyDescent="0.2">
      <c r="A6769"/>
    </row>
    <row r="6770" spans="1:1" x14ac:dyDescent="0.2">
      <c r="A6770"/>
    </row>
    <row r="6771" spans="1:1" x14ac:dyDescent="0.2">
      <c r="A6771"/>
    </row>
    <row r="6772" spans="1:1" x14ac:dyDescent="0.2">
      <c r="A6772"/>
    </row>
    <row r="6773" spans="1:1" x14ac:dyDescent="0.2">
      <c r="A6773"/>
    </row>
    <row r="6774" spans="1:1" x14ac:dyDescent="0.2">
      <c r="A6774"/>
    </row>
    <row r="6775" spans="1:1" x14ac:dyDescent="0.2">
      <c r="A6775"/>
    </row>
    <row r="6776" spans="1:1" x14ac:dyDescent="0.2">
      <c r="A6776"/>
    </row>
    <row r="6777" spans="1:1" x14ac:dyDescent="0.2">
      <c r="A6777"/>
    </row>
    <row r="6778" spans="1:1" x14ac:dyDescent="0.2">
      <c r="A6778"/>
    </row>
    <row r="6779" spans="1:1" x14ac:dyDescent="0.2">
      <c r="A6779"/>
    </row>
    <row r="6780" spans="1:1" x14ac:dyDescent="0.2">
      <c r="A6780"/>
    </row>
    <row r="6781" spans="1:1" x14ac:dyDescent="0.2">
      <c r="A6781"/>
    </row>
    <row r="6782" spans="1:1" x14ac:dyDescent="0.2">
      <c r="A6782"/>
    </row>
    <row r="6783" spans="1:1" x14ac:dyDescent="0.2">
      <c r="A6783"/>
    </row>
    <row r="6784" spans="1:1" x14ac:dyDescent="0.2">
      <c r="A6784"/>
    </row>
    <row r="6785" spans="1:1" x14ac:dyDescent="0.2">
      <c r="A6785"/>
    </row>
    <row r="6786" spans="1:1" x14ac:dyDescent="0.2">
      <c r="A6786"/>
    </row>
    <row r="6787" spans="1:1" x14ac:dyDescent="0.2">
      <c r="A6787"/>
    </row>
    <row r="6788" spans="1:1" x14ac:dyDescent="0.2">
      <c r="A6788"/>
    </row>
    <row r="6789" spans="1:1" x14ac:dyDescent="0.2">
      <c r="A6789"/>
    </row>
    <row r="6790" spans="1:1" x14ac:dyDescent="0.2">
      <c r="A6790"/>
    </row>
    <row r="6791" spans="1:1" x14ac:dyDescent="0.2">
      <c r="A6791"/>
    </row>
    <row r="6792" spans="1:1" x14ac:dyDescent="0.2">
      <c r="A6792"/>
    </row>
    <row r="6793" spans="1:1" x14ac:dyDescent="0.2">
      <c r="A6793"/>
    </row>
    <row r="6794" spans="1:1" x14ac:dyDescent="0.2">
      <c r="A6794"/>
    </row>
    <row r="6795" spans="1:1" x14ac:dyDescent="0.2">
      <c r="A6795"/>
    </row>
    <row r="6796" spans="1:1" x14ac:dyDescent="0.2">
      <c r="A6796"/>
    </row>
    <row r="6797" spans="1:1" x14ac:dyDescent="0.2">
      <c r="A6797"/>
    </row>
    <row r="6798" spans="1:1" x14ac:dyDescent="0.2">
      <c r="A6798"/>
    </row>
    <row r="6799" spans="1:1" x14ac:dyDescent="0.2">
      <c r="A6799"/>
    </row>
    <row r="6800" spans="1:1" x14ac:dyDescent="0.2">
      <c r="A6800"/>
    </row>
    <row r="6801" spans="1:1" x14ac:dyDescent="0.2">
      <c r="A6801"/>
    </row>
    <row r="6802" spans="1:1" x14ac:dyDescent="0.2">
      <c r="A6802"/>
    </row>
    <row r="6803" spans="1:1" x14ac:dyDescent="0.2">
      <c r="A6803"/>
    </row>
    <row r="6804" spans="1:1" x14ac:dyDescent="0.2">
      <c r="A6804"/>
    </row>
    <row r="6805" spans="1:1" x14ac:dyDescent="0.2">
      <c r="A6805"/>
    </row>
    <row r="6806" spans="1:1" x14ac:dyDescent="0.2">
      <c r="A6806"/>
    </row>
    <row r="6807" spans="1:1" x14ac:dyDescent="0.2">
      <c r="A6807"/>
    </row>
    <row r="6808" spans="1:1" x14ac:dyDescent="0.2">
      <c r="A6808"/>
    </row>
    <row r="6809" spans="1:1" x14ac:dyDescent="0.2">
      <c r="A6809"/>
    </row>
    <row r="6810" spans="1:1" x14ac:dyDescent="0.2">
      <c r="A6810"/>
    </row>
    <row r="6811" spans="1:1" x14ac:dyDescent="0.2">
      <c r="A6811"/>
    </row>
    <row r="6812" spans="1:1" x14ac:dyDescent="0.2">
      <c r="A6812"/>
    </row>
    <row r="6813" spans="1:1" x14ac:dyDescent="0.2">
      <c r="A6813"/>
    </row>
    <row r="6814" spans="1:1" x14ac:dyDescent="0.2">
      <c r="A6814"/>
    </row>
    <row r="6815" spans="1:1" x14ac:dyDescent="0.2">
      <c r="A6815"/>
    </row>
    <row r="6816" spans="1:1" x14ac:dyDescent="0.2">
      <c r="A6816"/>
    </row>
    <row r="6817" spans="1:1" x14ac:dyDescent="0.2">
      <c r="A6817"/>
    </row>
    <row r="6818" spans="1:1" x14ac:dyDescent="0.2">
      <c r="A6818"/>
    </row>
    <row r="6819" spans="1:1" x14ac:dyDescent="0.2">
      <c r="A6819"/>
    </row>
    <row r="6820" spans="1:1" x14ac:dyDescent="0.2">
      <c r="A6820"/>
    </row>
    <row r="6821" spans="1:1" x14ac:dyDescent="0.2">
      <c r="A6821"/>
    </row>
    <row r="6822" spans="1:1" x14ac:dyDescent="0.2">
      <c r="A6822"/>
    </row>
    <row r="6823" spans="1:1" x14ac:dyDescent="0.2">
      <c r="A6823"/>
    </row>
    <row r="6824" spans="1:1" x14ac:dyDescent="0.2">
      <c r="A6824"/>
    </row>
    <row r="6825" spans="1:1" x14ac:dyDescent="0.2">
      <c r="A6825"/>
    </row>
    <row r="6826" spans="1:1" x14ac:dyDescent="0.2">
      <c r="A6826"/>
    </row>
    <row r="6827" spans="1:1" x14ac:dyDescent="0.2">
      <c r="A6827"/>
    </row>
    <row r="6828" spans="1:1" x14ac:dyDescent="0.2">
      <c r="A6828"/>
    </row>
    <row r="6829" spans="1:1" x14ac:dyDescent="0.2">
      <c r="A6829"/>
    </row>
    <row r="6830" spans="1:1" x14ac:dyDescent="0.2">
      <c r="A6830"/>
    </row>
    <row r="6831" spans="1:1" x14ac:dyDescent="0.2">
      <c r="A6831"/>
    </row>
    <row r="6832" spans="1:1" x14ac:dyDescent="0.2">
      <c r="A6832"/>
    </row>
    <row r="6833" spans="1:1" x14ac:dyDescent="0.2">
      <c r="A6833"/>
    </row>
    <row r="6834" spans="1:1" x14ac:dyDescent="0.2">
      <c r="A6834"/>
    </row>
    <row r="6835" spans="1:1" x14ac:dyDescent="0.2">
      <c r="A6835"/>
    </row>
    <row r="6836" spans="1:1" x14ac:dyDescent="0.2">
      <c r="A6836"/>
    </row>
    <row r="6837" spans="1:1" x14ac:dyDescent="0.2">
      <c r="A6837"/>
    </row>
    <row r="6838" spans="1:1" x14ac:dyDescent="0.2">
      <c r="A6838"/>
    </row>
    <row r="6839" spans="1:1" x14ac:dyDescent="0.2">
      <c r="A6839"/>
    </row>
    <row r="6840" spans="1:1" x14ac:dyDescent="0.2">
      <c r="A6840"/>
    </row>
    <row r="6841" spans="1:1" x14ac:dyDescent="0.2">
      <c r="A6841"/>
    </row>
    <row r="6842" spans="1:1" x14ac:dyDescent="0.2">
      <c r="A6842"/>
    </row>
    <row r="6843" spans="1:1" x14ac:dyDescent="0.2">
      <c r="A6843"/>
    </row>
    <row r="6844" spans="1:1" x14ac:dyDescent="0.2">
      <c r="A6844"/>
    </row>
    <row r="6845" spans="1:1" x14ac:dyDescent="0.2">
      <c r="A6845"/>
    </row>
    <row r="6846" spans="1:1" x14ac:dyDescent="0.2">
      <c r="A6846"/>
    </row>
    <row r="6847" spans="1:1" x14ac:dyDescent="0.2">
      <c r="A6847"/>
    </row>
    <row r="6848" spans="1:1" x14ac:dyDescent="0.2">
      <c r="A6848"/>
    </row>
    <row r="6849" spans="1:1" x14ac:dyDescent="0.2">
      <c r="A6849"/>
    </row>
    <row r="6850" spans="1:1" x14ac:dyDescent="0.2">
      <c r="A6850"/>
    </row>
    <row r="6851" spans="1:1" x14ac:dyDescent="0.2">
      <c r="A6851"/>
    </row>
    <row r="6852" spans="1:1" x14ac:dyDescent="0.2">
      <c r="A6852"/>
    </row>
    <row r="6853" spans="1:1" x14ac:dyDescent="0.2">
      <c r="A6853"/>
    </row>
    <row r="6854" spans="1:1" x14ac:dyDescent="0.2">
      <c r="A6854"/>
    </row>
    <row r="6855" spans="1:1" x14ac:dyDescent="0.2">
      <c r="A6855"/>
    </row>
    <row r="6856" spans="1:1" x14ac:dyDescent="0.2">
      <c r="A6856"/>
    </row>
    <row r="6857" spans="1:1" x14ac:dyDescent="0.2">
      <c r="A6857"/>
    </row>
    <row r="6858" spans="1:1" x14ac:dyDescent="0.2">
      <c r="A6858"/>
    </row>
    <row r="6859" spans="1:1" x14ac:dyDescent="0.2">
      <c r="A6859"/>
    </row>
    <row r="6860" spans="1:1" x14ac:dyDescent="0.2">
      <c r="A6860"/>
    </row>
    <row r="6861" spans="1:1" x14ac:dyDescent="0.2">
      <c r="A6861"/>
    </row>
    <row r="6862" spans="1:1" x14ac:dyDescent="0.2">
      <c r="A6862"/>
    </row>
    <row r="6863" spans="1:1" x14ac:dyDescent="0.2">
      <c r="A6863"/>
    </row>
    <row r="6864" spans="1:1" x14ac:dyDescent="0.2">
      <c r="A6864"/>
    </row>
    <row r="6865" spans="1:1" x14ac:dyDescent="0.2">
      <c r="A6865"/>
    </row>
    <row r="6866" spans="1:1" x14ac:dyDescent="0.2">
      <c r="A6866"/>
    </row>
    <row r="6867" spans="1:1" x14ac:dyDescent="0.2">
      <c r="A6867"/>
    </row>
    <row r="6868" spans="1:1" x14ac:dyDescent="0.2">
      <c r="A6868"/>
    </row>
    <row r="6869" spans="1:1" x14ac:dyDescent="0.2">
      <c r="A6869"/>
    </row>
    <row r="6870" spans="1:1" x14ac:dyDescent="0.2">
      <c r="A6870"/>
    </row>
    <row r="6871" spans="1:1" x14ac:dyDescent="0.2">
      <c r="A6871"/>
    </row>
    <row r="6872" spans="1:1" x14ac:dyDescent="0.2">
      <c r="A6872"/>
    </row>
    <row r="6873" spans="1:1" x14ac:dyDescent="0.2">
      <c r="A6873"/>
    </row>
    <row r="6874" spans="1:1" x14ac:dyDescent="0.2">
      <c r="A6874"/>
    </row>
    <row r="6875" spans="1:1" x14ac:dyDescent="0.2">
      <c r="A6875"/>
    </row>
    <row r="6876" spans="1:1" x14ac:dyDescent="0.2">
      <c r="A6876"/>
    </row>
    <row r="6877" spans="1:1" x14ac:dyDescent="0.2">
      <c r="A6877"/>
    </row>
    <row r="6878" spans="1:1" x14ac:dyDescent="0.2">
      <c r="A6878"/>
    </row>
    <row r="6879" spans="1:1" x14ac:dyDescent="0.2">
      <c r="A6879"/>
    </row>
    <row r="6880" spans="1:1" x14ac:dyDescent="0.2">
      <c r="A6880"/>
    </row>
    <row r="6881" spans="1:1" x14ac:dyDescent="0.2">
      <c r="A6881"/>
    </row>
    <row r="6882" spans="1:1" x14ac:dyDescent="0.2">
      <c r="A6882"/>
    </row>
    <row r="6883" spans="1:1" x14ac:dyDescent="0.2">
      <c r="A6883"/>
    </row>
    <row r="6884" spans="1:1" x14ac:dyDescent="0.2">
      <c r="A6884"/>
    </row>
    <row r="6885" spans="1:1" x14ac:dyDescent="0.2">
      <c r="A6885"/>
    </row>
    <row r="6886" spans="1:1" x14ac:dyDescent="0.2">
      <c r="A6886"/>
    </row>
    <row r="6887" spans="1:1" x14ac:dyDescent="0.2">
      <c r="A6887"/>
    </row>
    <row r="6888" spans="1:1" x14ac:dyDescent="0.2">
      <c r="A6888"/>
    </row>
    <row r="6889" spans="1:1" x14ac:dyDescent="0.2">
      <c r="A6889"/>
    </row>
    <row r="6890" spans="1:1" x14ac:dyDescent="0.2">
      <c r="A6890"/>
    </row>
    <row r="6891" spans="1:1" x14ac:dyDescent="0.2">
      <c r="A6891"/>
    </row>
    <row r="6892" spans="1:1" x14ac:dyDescent="0.2">
      <c r="A6892"/>
    </row>
    <row r="6893" spans="1:1" x14ac:dyDescent="0.2">
      <c r="A6893"/>
    </row>
    <row r="6894" spans="1:1" x14ac:dyDescent="0.2">
      <c r="A6894"/>
    </row>
    <row r="6895" spans="1:1" x14ac:dyDescent="0.2">
      <c r="A6895"/>
    </row>
    <row r="6896" spans="1:1" x14ac:dyDescent="0.2">
      <c r="A6896"/>
    </row>
    <row r="6897" spans="1:1" x14ac:dyDescent="0.2">
      <c r="A6897"/>
    </row>
    <row r="6898" spans="1:1" x14ac:dyDescent="0.2">
      <c r="A6898"/>
    </row>
    <row r="6899" spans="1:1" x14ac:dyDescent="0.2">
      <c r="A6899"/>
    </row>
    <row r="6900" spans="1:1" x14ac:dyDescent="0.2">
      <c r="A6900"/>
    </row>
    <row r="6901" spans="1:1" x14ac:dyDescent="0.2">
      <c r="A6901"/>
    </row>
    <row r="6902" spans="1:1" x14ac:dyDescent="0.2">
      <c r="A6902"/>
    </row>
    <row r="6903" spans="1:1" x14ac:dyDescent="0.2">
      <c r="A6903"/>
    </row>
    <row r="6904" spans="1:1" x14ac:dyDescent="0.2">
      <c r="A6904"/>
    </row>
    <row r="6905" spans="1:1" x14ac:dyDescent="0.2">
      <c r="A6905"/>
    </row>
    <row r="6906" spans="1:1" x14ac:dyDescent="0.2">
      <c r="A6906"/>
    </row>
    <row r="6907" spans="1:1" x14ac:dyDescent="0.2">
      <c r="A6907"/>
    </row>
    <row r="6908" spans="1:1" x14ac:dyDescent="0.2">
      <c r="A6908"/>
    </row>
    <row r="6909" spans="1:1" x14ac:dyDescent="0.2">
      <c r="A6909"/>
    </row>
    <row r="6910" spans="1:1" x14ac:dyDescent="0.2">
      <c r="A6910"/>
    </row>
    <row r="6911" spans="1:1" x14ac:dyDescent="0.2">
      <c r="A6911"/>
    </row>
    <row r="6912" spans="1:1" x14ac:dyDescent="0.2">
      <c r="A6912"/>
    </row>
    <row r="6913" spans="1:1" x14ac:dyDescent="0.2">
      <c r="A6913"/>
    </row>
    <row r="6914" spans="1:1" x14ac:dyDescent="0.2">
      <c r="A6914"/>
    </row>
    <row r="6915" spans="1:1" x14ac:dyDescent="0.2">
      <c r="A6915"/>
    </row>
    <row r="6916" spans="1:1" x14ac:dyDescent="0.2">
      <c r="A6916"/>
    </row>
    <row r="6917" spans="1:1" x14ac:dyDescent="0.2">
      <c r="A6917"/>
    </row>
    <row r="6918" spans="1:1" x14ac:dyDescent="0.2">
      <c r="A6918"/>
    </row>
    <row r="6919" spans="1:1" x14ac:dyDescent="0.2">
      <c r="A6919"/>
    </row>
    <row r="6920" spans="1:1" x14ac:dyDescent="0.2">
      <c r="A6920"/>
    </row>
    <row r="6921" spans="1:1" x14ac:dyDescent="0.2">
      <c r="A6921"/>
    </row>
    <row r="6922" spans="1:1" x14ac:dyDescent="0.2">
      <c r="A6922"/>
    </row>
    <row r="6923" spans="1:1" x14ac:dyDescent="0.2">
      <c r="A6923"/>
    </row>
    <row r="6924" spans="1:1" x14ac:dyDescent="0.2">
      <c r="A6924"/>
    </row>
    <row r="6925" spans="1:1" x14ac:dyDescent="0.2">
      <c r="A6925"/>
    </row>
    <row r="6926" spans="1:1" x14ac:dyDescent="0.2">
      <c r="A6926"/>
    </row>
    <row r="6927" spans="1:1" x14ac:dyDescent="0.2">
      <c r="A6927"/>
    </row>
    <row r="6928" spans="1:1" x14ac:dyDescent="0.2">
      <c r="A6928"/>
    </row>
    <row r="6929" spans="1:1" x14ac:dyDescent="0.2">
      <c r="A6929"/>
    </row>
    <row r="6930" spans="1:1" x14ac:dyDescent="0.2">
      <c r="A6930"/>
    </row>
    <row r="6931" spans="1:1" x14ac:dyDescent="0.2">
      <c r="A6931"/>
    </row>
    <row r="6932" spans="1:1" x14ac:dyDescent="0.2">
      <c r="A6932"/>
    </row>
    <row r="6933" spans="1:1" x14ac:dyDescent="0.2">
      <c r="A6933"/>
    </row>
    <row r="6934" spans="1:1" x14ac:dyDescent="0.2">
      <c r="A6934"/>
    </row>
    <row r="6935" spans="1:1" x14ac:dyDescent="0.2">
      <c r="A6935"/>
    </row>
    <row r="6936" spans="1:1" x14ac:dyDescent="0.2">
      <c r="A6936"/>
    </row>
    <row r="6937" spans="1:1" x14ac:dyDescent="0.2">
      <c r="A6937"/>
    </row>
    <row r="6938" spans="1:1" x14ac:dyDescent="0.2">
      <c r="A6938"/>
    </row>
    <row r="6939" spans="1:1" x14ac:dyDescent="0.2">
      <c r="A6939"/>
    </row>
    <row r="6940" spans="1:1" x14ac:dyDescent="0.2">
      <c r="A6940"/>
    </row>
    <row r="6941" spans="1:1" x14ac:dyDescent="0.2">
      <c r="A6941"/>
    </row>
    <row r="6942" spans="1:1" x14ac:dyDescent="0.2">
      <c r="A6942"/>
    </row>
    <row r="6943" spans="1:1" x14ac:dyDescent="0.2">
      <c r="A6943"/>
    </row>
    <row r="6944" spans="1:1" x14ac:dyDescent="0.2">
      <c r="A6944"/>
    </row>
    <row r="6945" spans="1:1" x14ac:dyDescent="0.2">
      <c r="A6945"/>
    </row>
    <row r="6946" spans="1:1" x14ac:dyDescent="0.2">
      <c r="A6946"/>
    </row>
    <row r="6947" spans="1:1" x14ac:dyDescent="0.2">
      <c r="A6947"/>
    </row>
    <row r="6948" spans="1:1" x14ac:dyDescent="0.2">
      <c r="A6948"/>
    </row>
    <row r="6949" spans="1:1" x14ac:dyDescent="0.2">
      <c r="A6949"/>
    </row>
    <row r="6950" spans="1:1" x14ac:dyDescent="0.2">
      <c r="A6950"/>
    </row>
    <row r="6951" spans="1:1" x14ac:dyDescent="0.2">
      <c r="A6951"/>
    </row>
    <row r="6952" spans="1:1" x14ac:dyDescent="0.2">
      <c r="A6952"/>
    </row>
    <row r="6953" spans="1:1" x14ac:dyDescent="0.2">
      <c r="A6953"/>
    </row>
    <row r="6954" spans="1:1" x14ac:dyDescent="0.2">
      <c r="A6954"/>
    </row>
    <row r="6955" spans="1:1" x14ac:dyDescent="0.2">
      <c r="A6955"/>
    </row>
    <row r="6956" spans="1:1" x14ac:dyDescent="0.2">
      <c r="A6956"/>
    </row>
    <row r="6957" spans="1:1" x14ac:dyDescent="0.2">
      <c r="A6957"/>
    </row>
    <row r="6958" spans="1:1" x14ac:dyDescent="0.2">
      <c r="A6958"/>
    </row>
    <row r="6959" spans="1:1" x14ac:dyDescent="0.2">
      <c r="A6959"/>
    </row>
    <row r="6960" spans="1:1" x14ac:dyDescent="0.2">
      <c r="A6960"/>
    </row>
    <row r="6961" spans="1:1" x14ac:dyDescent="0.2">
      <c r="A6961"/>
    </row>
    <row r="6962" spans="1:1" x14ac:dyDescent="0.2">
      <c r="A6962"/>
    </row>
    <row r="6963" spans="1:1" x14ac:dyDescent="0.2">
      <c r="A6963"/>
    </row>
    <row r="6964" spans="1:1" x14ac:dyDescent="0.2">
      <c r="A6964"/>
    </row>
    <row r="6965" spans="1:1" x14ac:dyDescent="0.2">
      <c r="A6965"/>
    </row>
    <row r="6966" spans="1:1" x14ac:dyDescent="0.2">
      <c r="A6966"/>
    </row>
    <row r="6967" spans="1:1" x14ac:dyDescent="0.2">
      <c r="A6967"/>
    </row>
    <row r="6968" spans="1:1" x14ac:dyDescent="0.2">
      <c r="A6968"/>
    </row>
    <row r="6969" spans="1:1" x14ac:dyDescent="0.2">
      <c r="A6969"/>
    </row>
    <row r="6970" spans="1:1" x14ac:dyDescent="0.2">
      <c r="A6970"/>
    </row>
    <row r="6971" spans="1:1" x14ac:dyDescent="0.2">
      <c r="A6971"/>
    </row>
    <row r="6972" spans="1:1" x14ac:dyDescent="0.2">
      <c r="A6972"/>
    </row>
    <row r="6973" spans="1:1" x14ac:dyDescent="0.2">
      <c r="A6973"/>
    </row>
    <row r="6974" spans="1:1" x14ac:dyDescent="0.2">
      <c r="A6974"/>
    </row>
    <row r="6975" spans="1:1" x14ac:dyDescent="0.2">
      <c r="A6975"/>
    </row>
    <row r="6976" spans="1:1" x14ac:dyDescent="0.2">
      <c r="A6976"/>
    </row>
    <row r="6977" spans="1:1" x14ac:dyDescent="0.2">
      <c r="A6977"/>
    </row>
    <row r="6978" spans="1:1" x14ac:dyDescent="0.2">
      <c r="A6978"/>
    </row>
    <row r="6979" spans="1:1" x14ac:dyDescent="0.2">
      <c r="A6979"/>
    </row>
    <row r="6980" spans="1:1" x14ac:dyDescent="0.2">
      <c r="A6980"/>
    </row>
    <row r="6981" spans="1:1" x14ac:dyDescent="0.2">
      <c r="A6981"/>
    </row>
    <row r="6982" spans="1:1" x14ac:dyDescent="0.2">
      <c r="A6982"/>
    </row>
    <row r="6983" spans="1:1" x14ac:dyDescent="0.2">
      <c r="A6983"/>
    </row>
    <row r="6984" spans="1:1" x14ac:dyDescent="0.2">
      <c r="A6984"/>
    </row>
    <row r="6985" spans="1:1" x14ac:dyDescent="0.2">
      <c r="A6985"/>
    </row>
    <row r="6986" spans="1:1" x14ac:dyDescent="0.2">
      <c r="A6986"/>
    </row>
    <row r="6987" spans="1:1" x14ac:dyDescent="0.2">
      <c r="A6987"/>
    </row>
    <row r="6988" spans="1:1" x14ac:dyDescent="0.2">
      <c r="A6988"/>
    </row>
    <row r="6989" spans="1:1" x14ac:dyDescent="0.2">
      <c r="A6989"/>
    </row>
    <row r="6990" spans="1:1" x14ac:dyDescent="0.2">
      <c r="A6990"/>
    </row>
    <row r="6991" spans="1:1" x14ac:dyDescent="0.2">
      <c r="A6991"/>
    </row>
    <row r="6992" spans="1:1" x14ac:dyDescent="0.2">
      <c r="A6992"/>
    </row>
    <row r="6993" spans="1:1" x14ac:dyDescent="0.2">
      <c r="A6993"/>
    </row>
    <row r="6994" spans="1:1" x14ac:dyDescent="0.2">
      <c r="A6994"/>
    </row>
    <row r="6995" spans="1:1" x14ac:dyDescent="0.2">
      <c r="A6995"/>
    </row>
    <row r="6996" spans="1:1" x14ac:dyDescent="0.2">
      <c r="A6996"/>
    </row>
    <row r="6997" spans="1:1" x14ac:dyDescent="0.2">
      <c r="A6997"/>
    </row>
    <row r="6998" spans="1:1" x14ac:dyDescent="0.2">
      <c r="A6998"/>
    </row>
    <row r="6999" spans="1:1" x14ac:dyDescent="0.2">
      <c r="A6999"/>
    </row>
    <row r="7000" spans="1:1" x14ac:dyDescent="0.2">
      <c r="A7000"/>
    </row>
    <row r="7001" spans="1:1" x14ac:dyDescent="0.2">
      <c r="A7001"/>
    </row>
    <row r="7002" spans="1:1" x14ac:dyDescent="0.2">
      <c r="A7002"/>
    </row>
    <row r="7003" spans="1:1" x14ac:dyDescent="0.2">
      <c r="A7003"/>
    </row>
    <row r="7004" spans="1:1" x14ac:dyDescent="0.2">
      <c r="A7004"/>
    </row>
    <row r="7005" spans="1:1" x14ac:dyDescent="0.2">
      <c r="A7005"/>
    </row>
    <row r="7006" spans="1:1" x14ac:dyDescent="0.2">
      <c r="A7006"/>
    </row>
    <row r="7007" spans="1:1" x14ac:dyDescent="0.2">
      <c r="A7007"/>
    </row>
    <row r="7008" spans="1:1" x14ac:dyDescent="0.2">
      <c r="A7008"/>
    </row>
    <row r="7009" spans="1:1" x14ac:dyDescent="0.2">
      <c r="A7009"/>
    </row>
    <row r="7010" spans="1:1" x14ac:dyDescent="0.2">
      <c r="A7010"/>
    </row>
    <row r="7011" spans="1:1" x14ac:dyDescent="0.2">
      <c r="A7011"/>
    </row>
    <row r="7012" spans="1:1" x14ac:dyDescent="0.2">
      <c r="A7012"/>
    </row>
    <row r="7013" spans="1:1" x14ac:dyDescent="0.2">
      <c r="A7013"/>
    </row>
    <row r="7014" spans="1:1" x14ac:dyDescent="0.2">
      <c r="A7014"/>
    </row>
    <row r="7015" spans="1:1" x14ac:dyDescent="0.2">
      <c r="A7015"/>
    </row>
    <row r="7016" spans="1:1" x14ac:dyDescent="0.2">
      <c r="A7016"/>
    </row>
    <row r="7017" spans="1:1" x14ac:dyDescent="0.2">
      <c r="A7017"/>
    </row>
    <row r="7018" spans="1:1" x14ac:dyDescent="0.2">
      <c r="A7018"/>
    </row>
    <row r="7019" spans="1:1" x14ac:dyDescent="0.2">
      <c r="A7019"/>
    </row>
    <row r="7020" spans="1:1" x14ac:dyDescent="0.2">
      <c r="A7020"/>
    </row>
    <row r="7021" spans="1:1" x14ac:dyDescent="0.2">
      <c r="A7021"/>
    </row>
    <row r="7022" spans="1:1" x14ac:dyDescent="0.2">
      <c r="A7022"/>
    </row>
    <row r="7023" spans="1:1" x14ac:dyDescent="0.2">
      <c r="A7023"/>
    </row>
    <row r="7024" spans="1:1" x14ac:dyDescent="0.2">
      <c r="A7024"/>
    </row>
    <row r="7025" spans="1:1" x14ac:dyDescent="0.2">
      <c r="A7025"/>
    </row>
    <row r="7026" spans="1:1" x14ac:dyDescent="0.2">
      <c r="A7026"/>
    </row>
    <row r="7027" spans="1:1" x14ac:dyDescent="0.2">
      <c r="A7027"/>
    </row>
    <row r="7028" spans="1:1" x14ac:dyDescent="0.2">
      <c r="A7028"/>
    </row>
    <row r="7029" spans="1:1" x14ac:dyDescent="0.2">
      <c r="A7029"/>
    </row>
    <row r="7030" spans="1:1" x14ac:dyDescent="0.2">
      <c r="A7030"/>
    </row>
    <row r="7031" spans="1:1" x14ac:dyDescent="0.2">
      <c r="A7031"/>
    </row>
    <row r="7032" spans="1:1" x14ac:dyDescent="0.2">
      <c r="A7032"/>
    </row>
    <row r="7033" spans="1:1" x14ac:dyDescent="0.2">
      <c r="A7033"/>
    </row>
    <row r="7034" spans="1:1" x14ac:dyDescent="0.2">
      <c r="A7034"/>
    </row>
    <row r="7035" spans="1:1" x14ac:dyDescent="0.2">
      <c r="A7035"/>
    </row>
    <row r="7036" spans="1:1" x14ac:dyDescent="0.2">
      <c r="A7036"/>
    </row>
    <row r="7037" spans="1:1" x14ac:dyDescent="0.2">
      <c r="A7037"/>
    </row>
    <row r="7038" spans="1:1" x14ac:dyDescent="0.2">
      <c r="A7038"/>
    </row>
    <row r="7039" spans="1:1" x14ac:dyDescent="0.2">
      <c r="A7039"/>
    </row>
    <row r="7040" spans="1:1" x14ac:dyDescent="0.2">
      <c r="A7040"/>
    </row>
    <row r="7041" spans="1:1" x14ac:dyDescent="0.2">
      <c r="A7041"/>
    </row>
    <row r="7042" spans="1:1" x14ac:dyDescent="0.2">
      <c r="A7042"/>
    </row>
    <row r="7043" spans="1:1" x14ac:dyDescent="0.2">
      <c r="A7043"/>
    </row>
    <row r="7044" spans="1:1" x14ac:dyDescent="0.2">
      <c r="A7044"/>
    </row>
    <row r="7045" spans="1:1" x14ac:dyDescent="0.2">
      <c r="A7045"/>
    </row>
    <row r="7046" spans="1:1" x14ac:dyDescent="0.2">
      <c r="A7046"/>
    </row>
    <row r="7047" spans="1:1" x14ac:dyDescent="0.2">
      <c r="A7047"/>
    </row>
    <row r="7048" spans="1:1" x14ac:dyDescent="0.2">
      <c r="A7048"/>
    </row>
    <row r="7049" spans="1:1" x14ac:dyDescent="0.2">
      <c r="A7049"/>
    </row>
    <row r="7050" spans="1:1" x14ac:dyDescent="0.2">
      <c r="A7050"/>
    </row>
    <row r="7051" spans="1:1" x14ac:dyDescent="0.2">
      <c r="A7051"/>
    </row>
    <row r="7052" spans="1:1" x14ac:dyDescent="0.2">
      <c r="A7052"/>
    </row>
    <row r="7053" spans="1:1" x14ac:dyDescent="0.2">
      <c r="A7053"/>
    </row>
    <row r="7054" spans="1:1" x14ac:dyDescent="0.2">
      <c r="A7054"/>
    </row>
    <row r="7055" spans="1:1" x14ac:dyDescent="0.2">
      <c r="A7055"/>
    </row>
    <row r="7056" spans="1:1" x14ac:dyDescent="0.2">
      <c r="A7056"/>
    </row>
    <row r="7057" spans="1:1" x14ac:dyDescent="0.2">
      <c r="A7057"/>
    </row>
    <row r="7058" spans="1:1" x14ac:dyDescent="0.2">
      <c r="A7058"/>
    </row>
    <row r="7059" spans="1:1" x14ac:dyDescent="0.2">
      <c r="A7059"/>
    </row>
    <row r="7060" spans="1:1" x14ac:dyDescent="0.2">
      <c r="A7060"/>
    </row>
    <row r="7061" spans="1:1" x14ac:dyDescent="0.2">
      <c r="A7061"/>
    </row>
    <row r="7062" spans="1:1" x14ac:dyDescent="0.2">
      <c r="A7062"/>
    </row>
    <row r="7063" spans="1:1" x14ac:dyDescent="0.2">
      <c r="A7063"/>
    </row>
    <row r="7064" spans="1:1" x14ac:dyDescent="0.2">
      <c r="A7064"/>
    </row>
    <row r="7065" spans="1:1" x14ac:dyDescent="0.2">
      <c r="A7065"/>
    </row>
    <row r="7066" spans="1:1" x14ac:dyDescent="0.2">
      <c r="A7066"/>
    </row>
    <row r="7067" spans="1:1" x14ac:dyDescent="0.2">
      <c r="A7067"/>
    </row>
    <row r="7068" spans="1:1" x14ac:dyDescent="0.2">
      <c r="A7068"/>
    </row>
    <row r="7069" spans="1:1" x14ac:dyDescent="0.2">
      <c r="A7069"/>
    </row>
    <row r="7070" spans="1:1" x14ac:dyDescent="0.2">
      <c r="A7070"/>
    </row>
    <row r="7071" spans="1:1" x14ac:dyDescent="0.2">
      <c r="A7071"/>
    </row>
    <row r="7072" spans="1:1" x14ac:dyDescent="0.2">
      <c r="A7072"/>
    </row>
    <row r="7073" spans="1:1" x14ac:dyDescent="0.2">
      <c r="A7073"/>
    </row>
    <row r="7074" spans="1:1" x14ac:dyDescent="0.2">
      <c r="A7074"/>
    </row>
    <row r="7075" spans="1:1" x14ac:dyDescent="0.2">
      <c r="A7075"/>
    </row>
    <row r="7076" spans="1:1" x14ac:dyDescent="0.2">
      <c r="A7076"/>
    </row>
    <row r="7077" spans="1:1" x14ac:dyDescent="0.2">
      <c r="A7077"/>
    </row>
    <row r="7078" spans="1:1" x14ac:dyDescent="0.2">
      <c r="A7078"/>
    </row>
    <row r="7079" spans="1:1" x14ac:dyDescent="0.2">
      <c r="A7079"/>
    </row>
    <row r="7080" spans="1:1" x14ac:dyDescent="0.2">
      <c r="A7080"/>
    </row>
    <row r="7081" spans="1:1" x14ac:dyDescent="0.2">
      <c r="A7081"/>
    </row>
    <row r="7082" spans="1:1" x14ac:dyDescent="0.2">
      <c r="A7082"/>
    </row>
    <row r="7083" spans="1:1" x14ac:dyDescent="0.2">
      <c r="A7083"/>
    </row>
    <row r="7084" spans="1:1" x14ac:dyDescent="0.2">
      <c r="A7084"/>
    </row>
    <row r="7085" spans="1:1" x14ac:dyDescent="0.2">
      <c r="A7085"/>
    </row>
    <row r="7086" spans="1:1" x14ac:dyDescent="0.2">
      <c r="A7086"/>
    </row>
    <row r="7087" spans="1:1" x14ac:dyDescent="0.2">
      <c r="A7087"/>
    </row>
    <row r="7088" spans="1:1" x14ac:dyDescent="0.2">
      <c r="A7088"/>
    </row>
    <row r="7089" spans="1:1" x14ac:dyDescent="0.2">
      <c r="A7089"/>
    </row>
    <row r="7090" spans="1:1" x14ac:dyDescent="0.2">
      <c r="A7090"/>
    </row>
    <row r="7091" spans="1:1" x14ac:dyDescent="0.2">
      <c r="A7091"/>
    </row>
    <row r="7092" spans="1:1" x14ac:dyDescent="0.2">
      <c r="A7092"/>
    </row>
    <row r="7093" spans="1:1" x14ac:dyDescent="0.2">
      <c r="A7093"/>
    </row>
    <row r="7094" spans="1:1" x14ac:dyDescent="0.2">
      <c r="A7094"/>
    </row>
    <row r="7095" spans="1:1" x14ac:dyDescent="0.2">
      <c r="A7095"/>
    </row>
    <row r="7096" spans="1:1" x14ac:dyDescent="0.2">
      <c r="A7096"/>
    </row>
    <row r="7097" spans="1:1" x14ac:dyDescent="0.2">
      <c r="A7097"/>
    </row>
    <row r="7098" spans="1:1" x14ac:dyDescent="0.2">
      <c r="A7098"/>
    </row>
    <row r="7099" spans="1:1" x14ac:dyDescent="0.2">
      <c r="A7099"/>
    </row>
    <row r="7100" spans="1:1" x14ac:dyDescent="0.2">
      <c r="A7100"/>
    </row>
    <row r="7101" spans="1:1" x14ac:dyDescent="0.2">
      <c r="A7101"/>
    </row>
    <row r="7102" spans="1:1" x14ac:dyDescent="0.2">
      <c r="A7102"/>
    </row>
    <row r="7103" spans="1:1" x14ac:dyDescent="0.2">
      <c r="A7103"/>
    </row>
    <row r="7104" spans="1:1" x14ac:dyDescent="0.2">
      <c r="A7104"/>
    </row>
    <row r="7105" spans="1:1" x14ac:dyDescent="0.2">
      <c r="A7105"/>
    </row>
    <row r="7106" spans="1:1" x14ac:dyDescent="0.2">
      <c r="A7106"/>
    </row>
    <row r="7107" spans="1:1" x14ac:dyDescent="0.2">
      <c r="A7107"/>
    </row>
    <row r="7108" spans="1:1" x14ac:dyDescent="0.2">
      <c r="A7108"/>
    </row>
    <row r="7109" spans="1:1" x14ac:dyDescent="0.2">
      <c r="A7109"/>
    </row>
    <row r="7110" spans="1:1" x14ac:dyDescent="0.2">
      <c r="A7110"/>
    </row>
    <row r="7111" spans="1:1" x14ac:dyDescent="0.2">
      <c r="A7111"/>
    </row>
    <row r="7112" spans="1:1" x14ac:dyDescent="0.2">
      <c r="A7112"/>
    </row>
    <row r="7113" spans="1:1" x14ac:dyDescent="0.2">
      <c r="A7113"/>
    </row>
    <row r="7114" spans="1:1" x14ac:dyDescent="0.2">
      <c r="A7114"/>
    </row>
    <row r="7115" spans="1:1" x14ac:dyDescent="0.2">
      <c r="A7115"/>
    </row>
    <row r="7116" spans="1:1" x14ac:dyDescent="0.2">
      <c r="A7116"/>
    </row>
    <row r="7117" spans="1:1" x14ac:dyDescent="0.2">
      <c r="A7117"/>
    </row>
    <row r="7118" spans="1:1" x14ac:dyDescent="0.2">
      <c r="A7118"/>
    </row>
    <row r="7119" spans="1:1" x14ac:dyDescent="0.2">
      <c r="A7119"/>
    </row>
    <row r="7120" spans="1:1" x14ac:dyDescent="0.2">
      <c r="A7120"/>
    </row>
    <row r="7121" spans="1:1" x14ac:dyDescent="0.2">
      <c r="A7121"/>
    </row>
    <row r="7122" spans="1:1" x14ac:dyDescent="0.2">
      <c r="A7122"/>
    </row>
    <row r="7123" spans="1:1" x14ac:dyDescent="0.2">
      <c r="A7123"/>
    </row>
    <row r="7124" spans="1:1" x14ac:dyDescent="0.2">
      <c r="A7124"/>
    </row>
    <row r="7125" spans="1:1" x14ac:dyDescent="0.2">
      <c r="A7125"/>
    </row>
    <row r="7126" spans="1:1" x14ac:dyDescent="0.2">
      <c r="A7126"/>
    </row>
    <row r="7127" spans="1:1" x14ac:dyDescent="0.2">
      <c r="A7127"/>
    </row>
    <row r="7128" spans="1:1" x14ac:dyDescent="0.2">
      <c r="A7128"/>
    </row>
    <row r="7129" spans="1:1" x14ac:dyDescent="0.2">
      <c r="A7129"/>
    </row>
    <row r="7130" spans="1:1" x14ac:dyDescent="0.2">
      <c r="A7130"/>
    </row>
    <row r="7131" spans="1:1" x14ac:dyDescent="0.2">
      <c r="A7131"/>
    </row>
    <row r="7132" spans="1:1" x14ac:dyDescent="0.2">
      <c r="A7132"/>
    </row>
    <row r="7133" spans="1:1" x14ac:dyDescent="0.2">
      <c r="A7133"/>
    </row>
    <row r="7134" spans="1:1" x14ac:dyDescent="0.2">
      <c r="A7134"/>
    </row>
    <row r="7135" spans="1:1" x14ac:dyDescent="0.2">
      <c r="A7135"/>
    </row>
    <row r="7136" spans="1:1" x14ac:dyDescent="0.2">
      <c r="A7136"/>
    </row>
    <row r="7137" spans="1:1" x14ac:dyDescent="0.2">
      <c r="A7137"/>
    </row>
    <row r="7138" spans="1:1" x14ac:dyDescent="0.2">
      <c r="A7138"/>
    </row>
    <row r="7139" spans="1:1" x14ac:dyDescent="0.2">
      <c r="A7139"/>
    </row>
    <row r="7140" spans="1:1" x14ac:dyDescent="0.2">
      <c r="A7140"/>
    </row>
    <row r="7141" spans="1:1" x14ac:dyDescent="0.2">
      <c r="A7141"/>
    </row>
    <row r="7142" spans="1:1" x14ac:dyDescent="0.2">
      <c r="A7142"/>
    </row>
    <row r="7143" spans="1:1" x14ac:dyDescent="0.2">
      <c r="A7143"/>
    </row>
    <row r="7144" spans="1:1" x14ac:dyDescent="0.2">
      <c r="A7144"/>
    </row>
    <row r="7145" spans="1:1" x14ac:dyDescent="0.2">
      <c r="A7145"/>
    </row>
    <row r="7146" spans="1:1" x14ac:dyDescent="0.2">
      <c r="A7146"/>
    </row>
    <row r="7147" spans="1:1" x14ac:dyDescent="0.2">
      <c r="A7147"/>
    </row>
    <row r="7148" spans="1:1" x14ac:dyDescent="0.2">
      <c r="A7148"/>
    </row>
    <row r="7149" spans="1:1" x14ac:dyDescent="0.2">
      <c r="A7149"/>
    </row>
    <row r="7150" spans="1:1" x14ac:dyDescent="0.2">
      <c r="A7150"/>
    </row>
    <row r="7151" spans="1:1" x14ac:dyDescent="0.2">
      <c r="A7151"/>
    </row>
    <row r="7152" spans="1:1" x14ac:dyDescent="0.2">
      <c r="A7152"/>
    </row>
    <row r="7153" spans="1:1" x14ac:dyDescent="0.2">
      <c r="A7153"/>
    </row>
    <row r="7154" spans="1:1" x14ac:dyDescent="0.2">
      <c r="A7154"/>
    </row>
    <row r="7155" spans="1:1" x14ac:dyDescent="0.2">
      <c r="A7155"/>
    </row>
    <row r="7156" spans="1:1" x14ac:dyDescent="0.2">
      <c r="A7156"/>
    </row>
    <row r="7157" spans="1:1" x14ac:dyDescent="0.2">
      <c r="A7157"/>
    </row>
    <row r="7158" spans="1:1" x14ac:dyDescent="0.2">
      <c r="A7158"/>
    </row>
    <row r="7159" spans="1:1" x14ac:dyDescent="0.2">
      <c r="A7159"/>
    </row>
    <row r="7160" spans="1:1" x14ac:dyDescent="0.2">
      <c r="A7160"/>
    </row>
    <row r="7161" spans="1:1" x14ac:dyDescent="0.2">
      <c r="A7161"/>
    </row>
    <row r="7162" spans="1:1" x14ac:dyDescent="0.2">
      <c r="A7162"/>
    </row>
    <row r="7163" spans="1:1" x14ac:dyDescent="0.2">
      <c r="A7163"/>
    </row>
    <row r="7164" spans="1:1" x14ac:dyDescent="0.2">
      <c r="A7164"/>
    </row>
    <row r="7165" spans="1:1" x14ac:dyDescent="0.2">
      <c r="A7165"/>
    </row>
    <row r="7166" spans="1:1" x14ac:dyDescent="0.2">
      <c r="A7166"/>
    </row>
    <row r="7167" spans="1:1" x14ac:dyDescent="0.2">
      <c r="A7167"/>
    </row>
    <row r="7168" spans="1:1" x14ac:dyDescent="0.2">
      <c r="A7168"/>
    </row>
    <row r="7169" spans="1:1" x14ac:dyDescent="0.2">
      <c r="A7169"/>
    </row>
    <row r="7170" spans="1:1" x14ac:dyDescent="0.2">
      <c r="A7170"/>
    </row>
    <row r="7171" spans="1:1" x14ac:dyDescent="0.2">
      <c r="A7171"/>
    </row>
    <row r="7172" spans="1:1" x14ac:dyDescent="0.2">
      <c r="A7172"/>
    </row>
    <row r="7173" spans="1:1" x14ac:dyDescent="0.2">
      <c r="A7173"/>
    </row>
    <row r="7174" spans="1:1" x14ac:dyDescent="0.2">
      <c r="A7174"/>
    </row>
    <row r="7175" spans="1:1" x14ac:dyDescent="0.2">
      <c r="A7175"/>
    </row>
    <row r="7176" spans="1:1" x14ac:dyDescent="0.2">
      <c r="A7176"/>
    </row>
    <row r="7177" spans="1:1" x14ac:dyDescent="0.2">
      <c r="A7177"/>
    </row>
    <row r="7178" spans="1:1" x14ac:dyDescent="0.2">
      <c r="A7178"/>
    </row>
    <row r="7179" spans="1:1" x14ac:dyDescent="0.2">
      <c r="A7179"/>
    </row>
    <row r="7180" spans="1:1" x14ac:dyDescent="0.2">
      <c r="A7180"/>
    </row>
    <row r="7181" spans="1:1" x14ac:dyDescent="0.2">
      <c r="A7181"/>
    </row>
    <row r="7182" spans="1:1" x14ac:dyDescent="0.2">
      <c r="A7182"/>
    </row>
    <row r="7183" spans="1:1" x14ac:dyDescent="0.2">
      <c r="A7183"/>
    </row>
    <row r="7184" spans="1:1" x14ac:dyDescent="0.2">
      <c r="A7184"/>
    </row>
    <row r="7185" spans="1:1" x14ac:dyDescent="0.2">
      <c r="A7185"/>
    </row>
    <row r="7186" spans="1:1" x14ac:dyDescent="0.2">
      <c r="A7186"/>
    </row>
    <row r="7187" spans="1:1" x14ac:dyDescent="0.2">
      <c r="A7187"/>
    </row>
    <row r="7188" spans="1:1" x14ac:dyDescent="0.2">
      <c r="A7188"/>
    </row>
    <row r="7189" spans="1:1" x14ac:dyDescent="0.2">
      <c r="A7189"/>
    </row>
    <row r="7190" spans="1:1" x14ac:dyDescent="0.2">
      <c r="A7190"/>
    </row>
    <row r="7191" spans="1:1" x14ac:dyDescent="0.2">
      <c r="A7191"/>
    </row>
    <row r="7192" spans="1:1" x14ac:dyDescent="0.2">
      <c r="A7192"/>
    </row>
    <row r="7193" spans="1:1" x14ac:dyDescent="0.2">
      <c r="A7193"/>
    </row>
    <row r="7194" spans="1:1" x14ac:dyDescent="0.2">
      <c r="A7194"/>
    </row>
    <row r="7195" spans="1:1" x14ac:dyDescent="0.2">
      <c r="A7195"/>
    </row>
    <row r="7196" spans="1:1" x14ac:dyDescent="0.2">
      <c r="A7196"/>
    </row>
    <row r="7197" spans="1:1" x14ac:dyDescent="0.2">
      <c r="A7197"/>
    </row>
    <row r="7198" spans="1:1" x14ac:dyDescent="0.2">
      <c r="A7198"/>
    </row>
    <row r="7199" spans="1:1" x14ac:dyDescent="0.2">
      <c r="A7199"/>
    </row>
    <row r="7200" spans="1:1" x14ac:dyDescent="0.2">
      <c r="A7200"/>
    </row>
    <row r="7201" spans="1:1" x14ac:dyDescent="0.2">
      <c r="A7201"/>
    </row>
    <row r="7202" spans="1:1" x14ac:dyDescent="0.2">
      <c r="A7202"/>
    </row>
    <row r="7203" spans="1:1" x14ac:dyDescent="0.2">
      <c r="A7203"/>
    </row>
    <row r="7204" spans="1:1" x14ac:dyDescent="0.2">
      <c r="A7204"/>
    </row>
    <row r="7205" spans="1:1" x14ac:dyDescent="0.2">
      <c r="A7205"/>
    </row>
    <row r="7206" spans="1:1" x14ac:dyDescent="0.2">
      <c r="A7206"/>
    </row>
    <row r="7207" spans="1:1" x14ac:dyDescent="0.2">
      <c r="A7207"/>
    </row>
    <row r="7208" spans="1:1" x14ac:dyDescent="0.2">
      <c r="A7208"/>
    </row>
    <row r="7209" spans="1:1" x14ac:dyDescent="0.2">
      <c r="A7209"/>
    </row>
    <row r="7210" spans="1:1" x14ac:dyDescent="0.2">
      <c r="A7210"/>
    </row>
    <row r="7211" spans="1:1" x14ac:dyDescent="0.2">
      <c r="A7211"/>
    </row>
    <row r="7212" spans="1:1" x14ac:dyDescent="0.2">
      <c r="A7212"/>
    </row>
    <row r="7213" spans="1:1" x14ac:dyDescent="0.2">
      <c r="A7213"/>
    </row>
    <row r="7214" spans="1:1" x14ac:dyDescent="0.2">
      <c r="A7214"/>
    </row>
    <row r="7215" spans="1:1" x14ac:dyDescent="0.2">
      <c r="A7215"/>
    </row>
    <row r="7216" spans="1:1" x14ac:dyDescent="0.2">
      <c r="A7216"/>
    </row>
    <row r="7217" spans="1:1" x14ac:dyDescent="0.2">
      <c r="A7217"/>
    </row>
    <row r="7218" spans="1:1" x14ac:dyDescent="0.2">
      <c r="A7218"/>
    </row>
    <row r="7219" spans="1:1" x14ac:dyDescent="0.2">
      <c r="A7219"/>
    </row>
    <row r="7220" spans="1:1" x14ac:dyDescent="0.2">
      <c r="A7220"/>
    </row>
    <row r="7221" spans="1:1" x14ac:dyDescent="0.2">
      <c r="A7221"/>
    </row>
    <row r="7222" spans="1:1" x14ac:dyDescent="0.2">
      <c r="A7222"/>
    </row>
    <row r="7223" spans="1:1" x14ac:dyDescent="0.2">
      <c r="A7223"/>
    </row>
    <row r="7224" spans="1:1" x14ac:dyDescent="0.2">
      <c r="A7224"/>
    </row>
    <row r="7225" spans="1:1" x14ac:dyDescent="0.2">
      <c r="A7225"/>
    </row>
    <row r="7226" spans="1:1" x14ac:dyDescent="0.2">
      <c r="A7226"/>
    </row>
    <row r="7227" spans="1:1" x14ac:dyDescent="0.2">
      <c r="A7227"/>
    </row>
    <row r="7228" spans="1:1" x14ac:dyDescent="0.2">
      <c r="A7228"/>
    </row>
    <row r="7229" spans="1:1" x14ac:dyDescent="0.2">
      <c r="A7229"/>
    </row>
    <row r="7230" spans="1:1" x14ac:dyDescent="0.2">
      <c r="A7230"/>
    </row>
    <row r="7231" spans="1:1" x14ac:dyDescent="0.2">
      <c r="A7231"/>
    </row>
    <row r="7232" spans="1:1" x14ac:dyDescent="0.2">
      <c r="A7232"/>
    </row>
    <row r="7233" spans="1:1" x14ac:dyDescent="0.2">
      <c r="A7233"/>
    </row>
    <row r="7234" spans="1:1" x14ac:dyDescent="0.2">
      <c r="A7234"/>
    </row>
    <row r="7235" spans="1:1" x14ac:dyDescent="0.2">
      <c r="A7235"/>
    </row>
    <row r="7236" spans="1:1" x14ac:dyDescent="0.2">
      <c r="A7236"/>
    </row>
    <row r="7237" spans="1:1" x14ac:dyDescent="0.2">
      <c r="A7237"/>
    </row>
    <row r="7238" spans="1:1" x14ac:dyDescent="0.2">
      <c r="A7238"/>
    </row>
    <row r="7239" spans="1:1" x14ac:dyDescent="0.2">
      <c r="A7239"/>
    </row>
    <row r="7240" spans="1:1" x14ac:dyDescent="0.2">
      <c r="A7240"/>
    </row>
    <row r="7241" spans="1:1" x14ac:dyDescent="0.2">
      <c r="A7241"/>
    </row>
    <row r="7242" spans="1:1" x14ac:dyDescent="0.2">
      <c r="A7242"/>
    </row>
    <row r="7243" spans="1:1" x14ac:dyDescent="0.2">
      <c r="A7243"/>
    </row>
    <row r="7244" spans="1:1" x14ac:dyDescent="0.2">
      <c r="A7244"/>
    </row>
    <row r="7245" spans="1:1" x14ac:dyDescent="0.2">
      <c r="A7245"/>
    </row>
    <row r="7246" spans="1:1" x14ac:dyDescent="0.2">
      <c r="A7246"/>
    </row>
    <row r="7247" spans="1:1" x14ac:dyDescent="0.2">
      <c r="A7247"/>
    </row>
    <row r="7248" spans="1:1" x14ac:dyDescent="0.2">
      <c r="A7248"/>
    </row>
    <row r="7249" spans="1:1" x14ac:dyDescent="0.2">
      <c r="A7249"/>
    </row>
    <row r="7250" spans="1:1" x14ac:dyDescent="0.2">
      <c r="A7250"/>
    </row>
    <row r="7251" spans="1:1" x14ac:dyDescent="0.2">
      <c r="A7251"/>
    </row>
    <row r="7252" spans="1:1" x14ac:dyDescent="0.2">
      <c r="A7252"/>
    </row>
    <row r="7253" spans="1:1" x14ac:dyDescent="0.2">
      <c r="A7253"/>
    </row>
    <row r="7254" spans="1:1" x14ac:dyDescent="0.2">
      <c r="A7254"/>
    </row>
    <row r="7255" spans="1:1" x14ac:dyDescent="0.2">
      <c r="A7255"/>
    </row>
    <row r="7256" spans="1:1" x14ac:dyDescent="0.2">
      <c r="A7256"/>
    </row>
    <row r="7257" spans="1:1" x14ac:dyDescent="0.2">
      <c r="A7257"/>
    </row>
    <row r="7258" spans="1:1" x14ac:dyDescent="0.2">
      <c r="A7258"/>
    </row>
    <row r="7259" spans="1:1" x14ac:dyDescent="0.2">
      <c r="A7259"/>
    </row>
    <row r="7260" spans="1:1" x14ac:dyDescent="0.2">
      <c r="A7260"/>
    </row>
    <row r="7261" spans="1:1" x14ac:dyDescent="0.2">
      <c r="A7261"/>
    </row>
    <row r="7262" spans="1:1" x14ac:dyDescent="0.2">
      <c r="A7262"/>
    </row>
    <row r="7263" spans="1:1" x14ac:dyDescent="0.2">
      <c r="A7263"/>
    </row>
    <row r="7264" spans="1:1" x14ac:dyDescent="0.2">
      <c r="A7264"/>
    </row>
    <row r="7265" spans="1:1" x14ac:dyDescent="0.2">
      <c r="A7265"/>
    </row>
    <row r="7266" spans="1:1" x14ac:dyDescent="0.2">
      <c r="A7266"/>
    </row>
    <row r="7267" spans="1:1" x14ac:dyDescent="0.2">
      <c r="A7267"/>
    </row>
    <row r="7268" spans="1:1" x14ac:dyDescent="0.2">
      <c r="A7268"/>
    </row>
    <row r="7269" spans="1:1" x14ac:dyDescent="0.2">
      <c r="A7269"/>
    </row>
    <row r="7270" spans="1:1" x14ac:dyDescent="0.2">
      <c r="A7270"/>
    </row>
    <row r="7271" spans="1:1" x14ac:dyDescent="0.2">
      <c r="A7271"/>
    </row>
    <row r="7272" spans="1:1" x14ac:dyDescent="0.2">
      <c r="A7272"/>
    </row>
    <row r="7273" spans="1:1" x14ac:dyDescent="0.2">
      <c r="A7273"/>
    </row>
    <row r="7274" spans="1:1" x14ac:dyDescent="0.2">
      <c r="A7274"/>
    </row>
    <row r="7275" spans="1:1" x14ac:dyDescent="0.2">
      <c r="A7275"/>
    </row>
    <row r="7276" spans="1:1" x14ac:dyDescent="0.2">
      <c r="A7276"/>
    </row>
    <row r="7277" spans="1:1" x14ac:dyDescent="0.2">
      <c r="A7277"/>
    </row>
    <row r="7278" spans="1:1" x14ac:dyDescent="0.2">
      <c r="A7278"/>
    </row>
    <row r="7279" spans="1:1" x14ac:dyDescent="0.2">
      <c r="A7279"/>
    </row>
    <row r="7280" spans="1:1" x14ac:dyDescent="0.2">
      <c r="A7280"/>
    </row>
    <row r="7281" spans="1:1" x14ac:dyDescent="0.2">
      <c r="A7281"/>
    </row>
    <row r="7282" spans="1:1" x14ac:dyDescent="0.2">
      <c r="A7282"/>
    </row>
    <row r="7283" spans="1:1" x14ac:dyDescent="0.2">
      <c r="A7283"/>
    </row>
    <row r="7284" spans="1:1" x14ac:dyDescent="0.2">
      <c r="A7284"/>
    </row>
    <row r="7285" spans="1:1" x14ac:dyDescent="0.2">
      <c r="A7285"/>
    </row>
    <row r="7286" spans="1:1" x14ac:dyDescent="0.2">
      <c r="A7286"/>
    </row>
    <row r="7287" spans="1:1" x14ac:dyDescent="0.2">
      <c r="A7287"/>
    </row>
    <row r="7288" spans="1:1" x14ac:dyDescent="0.2">
      <c r="A7288"/>
    </row>
    <row r="7289" spans="1:1" x14ac:dyDescent="0.2">
      <c r="A7289"/>
    </row>
    <row r="7290" spans="1:1" x14ac:dyDescent="0.2">
      <c r="A7290"/>
    </row>
    <row r="7291" spans="1:1" x14ac:dyDescent="0.2">
      <c r="A7291"/>
    </row>
    <row r="7292" spans="1:1" x14ac:dyDescent="0.2">
      <c r="A7292"/>
    </row>
    <row r="7293" spans="1:1" x14ac:dyDescent="0.2">
      <c r="A7293"/>
    </row>
    <row r="7294" spans="1:1" x14ac:dyDescent="0.2">
      <c r="A7294"/>
    </row>
    <row r="7295" spans="1:1" x14ac:dyDescent="0.2">
      <c r="A7295"/>
    </row>
    <row r="7296" spans="1:1" x14ac:dyDescent="0.2">
      <c r="A7296"/>
    </row>
    <row r="7297" spans="1:1" x14ac:dyDescent="0.2">
      <c r="A7297"/>
    </row>
    <row r="7298" spans="1:1" x14ac:dyDescent="0.2">
      <c r="A7298"/>
    </row>
    <row r="7299" spans="1:1" x14ac:dyDescent="0.2">
      <c r="A7299"/>
    </row>
    <row r="7300" spans="1:1" x14ac:dyDescent="0.2">
      <c r="A7300"/>
    </row>
    <row r="7301" spans="1:1" x14ac:dyDescent="0.2">
      <c r="A7301"/>
    </row>
    <row r="7302" spans="1:1" x14ac:dyDescent="0.2">
      <c r="A7302"/>
    </row>
    <row r="7303" spans="1:1" x14ac:dyDescent="0.2">
      <c r="A7303"/>
    </row>
    <row r="7304" spans="1:1" x14ac:dyDescent="0.2">
      <c r="A7304"/>
    </row>
    <row r="7305" spans="1:1" x14ac:dyDescent="0.2">
      <c r="A7305"/>
    </row>
    <row r="7306" spans="1:1" x14ac:dyDescent="0.2">
      <c r="A7306"/>
    </row>
    <row r="7307" spans="1:1" x14ac:dyDescent="0.2">
      <c r="A7307"/>
    </row>
    <row r="7308" spans="1:1" x14ac:dyDescent="0.2">
      <c r="A7308"/>
    </row>
    <row r="7309" spans="1:1" x14ac:dyDescent="0.2">
      <c r="A7309"/>
    </row>
    <row r="7310" spans="1:1" x14ac:dyDescent="0.2">
      <c r="A7310"/>
    </row>
    <row r="7311" spans="1:1" x14ac:dyDescent="0.2">
      <c r="A7311"/>
    </row>
    <row r="7312" spans="1:1" x14ac:dyDescent="0.2">
      <c r="A7312"/>
    </row>
    <row r="7313" spans="1:1" x14ac:dyDescent="0.2">
      <c r="A7313"/>
    </row>
    <row r="7314" spans="1:1" x14ac:dyDescent="0.2">
      <c r="A7314"/>
    </row>
    <row r="7315" spans="1:1" x14ac:dyDescent="0.2">
      <c r="A7315"/>
    </row>
    <row r="7316" spans="1:1" x14ac:dyDescent="0.2">
      <c r="A7316"/>
    </row>
    <row r="7317" spans="1:1" x14ac:dyDescent="0.2">
      <c r="A7317"/>
    </row>
    <row r="7318" spans="1:1" x14ac:dyDescent="0.2">
      <c r="A7318"/>
    </row>
    <row r="7319" spans="1:1" x14ac:dyDescent="0.2">
      <c r="A7319"/>
    </row>
    <row r="7320" spans="1:1" x14ac:dyDescent="0.2">
      <c r="A7320"/>
    </row>
    <row r="7321" spans="1:1" x14ac:dyDescent="0.2">
      <c r="A7321"/>
    </row>
    <row r="7322" spans="1:1" x14ac:dyDescent="0.2">
      <c r="A7322"/>
    </row>
    <row r="7323" spans="1:1" x14ac:dyDescent="0.2">
      <c r="A7323"/>
    </row>
    <row r="7324" spans="1:1" x14ac:dyDescent="0.2">
      <c r="A7324"/>
    </row>
    <row r="7325" spans="1:1" x14ac:dyDescent="0.2">
      <c r="A7325"/>
    </row>
    <row r="7326" spans="1:1" x14ac:dyDescent="0.2">
      <c r="A7326"/>
    </row>
    <row r="7327" spans="1:1" x14ac:dyDescent="0.2">
      <c r="A7327"/>
    </row>
    <row r="7328" spans="1:1" x14ac:dyDescent="0.2">
      <c r="A7328"/>
    </row>
    <row r="7329" spans="1:1" x14ac:dyDescent="0.2">
      <c r="A7329"/>
    </row>
    <row r="7330" spans="1:1" x14ac:dyDescent="0.2">
      <c r="A7330"/>
    </row>
    <row r="7331" spans="1:1" x14ac:dyDescent="0.2">
      <c r="A7331"/>
    </row>
    <row r="7332" spans="1:1" x14ac:dyDescent="0.2">
      <c r="A7332"/>
    </row>
    <row r="7333" spans="1:1" x14ac:dyDescent="0.2">
      <c r="A7333"/>
    </row>
    <row r="7334" spans="1:1" x14ac:dyDescent="0.2">
      <c r="A7334"/>
    </row>
    <row r="7335" spans="1:1" x14ac:dyDescent="0.2">
      <c r="A7335"/>
    </row>
    <row r="7336" spans="1:1" x14ac:dyDescent="0.2">
      <c r="A7336"/>
    </row>
    <row r="7337" spans="1:1" x14ac:dyDescent="0.2">
      <c r="A7337"/>
    </row>
    <row r="7338" spans="1:1" x14ac:dyDescent="0.2">
      <c r="A7338"/>
    </row>
    <row r="7339" spans="1:1" x14ac:dyDescent="0.2">
      <c r="A7339"/>
    </row>
    <row r="7340" spans="1:1" x14ac:dyDescent="0.2">
      <c r="A7340"/>
    </row>
    <row r="7341" spans="1:1" x14ac:dyDescent="0.2">
      <c r="A7341"/>
    </row>
    <row r="7342" spans="1:1" x14ac:dyDescent="0.2">
      <c r="A7342"/>
    </row>
    <row r="7343" spans="1:1" x14ac:dyDescent="0.2">
      <c r="A7343"/>
    </row>
    <row r="7344" spans="1:1" x14ac:dyDescent="0.2">
      <c r="A7344"/>
    </row>
    <row r="7345" spans="1:1" x14ac:dyDescent="0.2">
      <c r="A7345"/>
    </row>
    <row r="7346" spans="1:1" x14ac:dyDescent="0.2">
      <c r="A7346"/>
    </row>
    <row r="7347" spans="1:1" x14ac:dyDescent="0.2">
      <c r="A7347"/>
    </row>
    <row r="7348" spans="1:1" x14ac:dyDescent="0.2">
      <c r="A7348"/>
    </row>
    <row r="7349" spans="1:1" x14ac:dyDescent="0.2">
      <c r="A7349"/>
    </row>
    <row r="7350" spans="1:1" x14ac:dyDescent="0.2">
      <c r="A7350"/>
    </row>
    <row r="7351" spans="1:1" x14ac:dyDescent="0.2">
      <c r="A7351"/>
    </row>
    <row r="7352" spans="1:1" x14ac:dyDescent="0.2">
      <c r="A7352"/>
    </row>
    <row r="7353" spans="1:1" x14ac:dyDescent="0.2">
      <c r="A7353"/>
    </row>
    <row r="7354" spans="1:1" x14ac:dyDescent="0.2">
      <c r="A7354"/>
    </row>
    <row r="7355" spans="1:1" x14ac:dyDescent="0.2">
      <c r="A7355"/>
    </row>
    <row r="7356" spans="1:1" x14ac:dyDescent="0.2">
      <c r="A7356"/>
    </row>
    <row r="7357" spans="1:1" x14ac:dyDescent="0.2">
      <c r="A7357"/>
    </row>
    <row r="7358" spans="1:1" x14ac:dyDescent="0.2">
      <c r="A7358"/>
    </row>
    <row r="7359" spans="1:1" x14ac:dyDescent="0.2">
      <c r="A7359"/>
    </row>
    <row r="7360" spans="1:1" x14ac:dyDescent="0.2">
      <c r="A7360"/>
    </row>
    <row r="7361" spans="1:1" x14ac:dyDescent="0.2">
      <c r="A7361"/>
    </row>
    <row r="7362" spans="1:1" x14ac:dyDescent="0.2">
      <c r="A7362"/>
    </row>
    <row r="7363" spans="1:1" x14ac:dyDescent="0.2">
      <c r="A7363"/>
    </row>
    <row r="7364" spans="1:1" x14ac:dyDescent="0.2">
      <c r="A7364"/>
    </row>
    <row r="7365" spans="1:1" x14ac:dyDescent="0.2">
      <c r="A7365"/>
    </row>
    <row r="7366" spans="1:1" x14ac:dyDescent="0.2">
      <c r="A7366"/>
    </row>
    <row r="7367" spans="1:1" x14ac:dyDescent="0.2">
      <c r="A7367"/>
    </row>
    <row r="7368" spans="1:1" x14ac:dyDescent="0.2">
      <c r="A7368"/>
    </row>
    <row r="7369" spans="1:1" x14ac:dyDescent="0.2">
      <c r="A7369"/>
    </row>
    <row r="7370" spans="1:1" x14ac:dyDescent="0.2">
      <c r="A7370"/>
    </row>
    <row r="7371" spans="1:1" x14ac:dyDescent="0.2">
      <c r="A7371"/>
    </row>
    <row r="7372" spans="1:1" x14ac:dyDescent="0.2">
      <c r="A7372"/>
    </row>
    <row r="7373" spans="1:1" x14ac:dyDescent="0.2">
      <c r="A7373"/>
    </row>
    <row r="7374" spans="1:1" x14ac:dyDescent="0.2">
      <c r="A7374"/>
    </row>
    <row r="7375" spans="1:1" x14ac:dyDescent="0.2">
      <c r="A7375"/>
    </row>
    <row r="7376" spans="1:1" x14ac:dyDescent="0.2">
      <c r="A7376"/>
    </row>
    <row r="7377" spans="1:1" x14ac:dyDescent="0.2">
      <c r="A7377"/>
    </row>
    <row r="7378" spans="1:1" x14ac:dyDescent="0.2">
      <c r="A7378"/>
    </row>
    <row r="7379" spans="1:1" x14ac:dyDescent="0.2">
      <c r="A7379"/>
    </row>
    <row r="7380" spans="1:1" x14ac:dyDescent="0.2">
      <c r="A7380"/>
    </row>
    <row r="7381" spans="1:1" x14ac:dyDescent="0.2">
      <c r="A7381"/>
    </row>
    <row r="7382" spans="1:1" x14ac:dyDescent="0.2">
      <c r="A7382"/>
    </row>
    <row r="7383" spans="1:1" x14ac:dyDescent="0.2">
      <c r="A7383"/>
    </row>
    <row r="7384" spans="1:1" x14ac:dyDescent="0.2">
      <c r="A7384"/>
    </row>
    <row r="7385" spans="1:1" x14ac:dyDescent="0.2">
      <c r="A7385"/>
    </row>
    <row r="7386" spans="1:1" x14ac:dyDescent="0.2">
      <c r="A7386"/>
    </row>
    <row r="7387" spans="1:1" x14ac:dyDescent="0.2">
      <c r="A7387"/>
    </row>
    <row r="7388" spans="1:1" x14ac:dyDescent="0.2">
      <c r="A7388"/>
    </row>
    <row r="7389" spans="1:1" x14ac:dyDescent="0.2">
      <c r="A7389"/>
    </row>
    <row r="7390" spans="1:1" x14ac:dyDescent="0.2">
      <c r="A7390"/>
    </row>
    <row r="7391" spans="1:1" x14ac:dyDescent="0.2">
      <c r="A7391"/>
    </row>
    <row r="7392" spans="1:1" x14ac:dyDescent="0.2">
      <c r="A7392"/>
    </row>
    <row r="7393" spans="1:1" x14ac:dyDescent="0.2">
      <c r="A7393"/>
    </row>
    <row r="7394" spans="1:1" x14ac:dyDescent="0.2">
      <c r="A7394"/>
    </row>
    <row r="7395" spans="1:1" x14ac:dyDescent="0.2">
      <c r="A7395"/>
    </row>
    <row r="7396" spans="1:1" x14ac:dyDescent="0.2">
      <c r="A7396"/>
    </row>
    <row r="7397" spans="1:1" x14ac:dyDescent="0.2">
      <c r="A7397"/>
    </row>
    <row r="7398" spans="1:1" x14ac:dyDescent="0.2">
      <c r="A7398"/>
    </row>
    <row r="7399" spans="1:1" x14ac:dyDescent="0.2">
      <c r="A7399"/>
    </row>
    <row r="7400" spans="1:1" x14ac:dyDescent="0.2">
      <c r="A7400"/>
    </row>
    <row r="7401" spans="1:1" x14ac:dyDescent="0.2">
      <c r="A7401"/>
    </row>
    <row r="7402" spans="1:1" x14ac:dyDescent="0.2">
      <c r="A7402"/>
    </row>
    <row r="7403" spans="1:1" x14ac:dyDescent="0.2">
      <c r="A7403"/>
    </row>
    <row r="7404" spans="1:1" x14ac:dyDescent="0.2">
      <c r="A7404"/>
    </row>
    <row r="7405" spans="1:1" x14ac:dyDescent="0.2">
      <c r="A7405"/>
    </row>
    <row r="7406" spans="1:1" x14ac:dyDescent="0.2">
      <c r="A7406"/>
    </row>
    <row r="7407" spans="1:1" x14ac:dyDescent="0.2">
      <c r="A7407"/>
    </row>
    <row r="7408" spans="1:1" x14ac:dyDescent="0.2">
      <c r="A7408"/>
    </row>
    <row r="7409" spans="1:1" x14ac:dyDescent="0.2">
      <c r="A7409"/>
    </row>
    <row r="7410" spans="1:1" x14ac:dyDescent="0.2">
      <c r="A7410"/>
    </row>
    <row r="7411" spans="1:1" x14ac:dyDescent="0.2">
      <c r="A7411"/>
    </row>
    <row r="7412" spans="1:1" x14ac:dyDescent="0.2">
      <c r="A7412"/>
    </row>
    <row r="7413" spans="1:1" x14ac:dyDescent="0.2">
      <c r="A7413"/>
    </row>
    <row r="7414" spans="1:1" x14ac:dyDescent="0.2">
      <c r="A7414"/>
    </row>
    <row r="7415" spans="1:1" x14ac:dyDescent="0.2">
      <c r="A7415"/>
    </row>
    <row r="7416" spans="1:1" x14ac:dyDescent="0.2">
      <c r="A7416"/>
    </row>
    <row r="7417" spans="1:1" x14ac:dyDescent="0.2">
      <c r="A7417"/>
    </row>
    <row r="7418" spans="1:1" x14ac:dyDescent="0.2">
      <c r="A7418"/>
    </row>
    <row r="7419" spans="1:1" x14ac:dyDescent="0.2">
      <c r="A7419"/>
    </row>
    <row r="7420" spans="1:1" x14ac:dyDescent="0.2">
      <c r="A7420"/>
    </row>
    <row r="7421" spans="1:1" x14ac:dyDescent="0.2">
      <c r="A7421"/>
    </row>
    <row r="7422" spans="1:1" x14ac:dyDescent="0.2">
      <c r="A7422"/>
    </row>
    <row r="7423" spans="1:1" x14ac:dyDescent="0.2">
      <c r="A7423"/>
    </row>
    <row r="7424" spans="1:1" x14ac:dyDescent="0.2">
      <c r="A7424"/>
    </row>
    <row r="7425" spans="1:1" x14ac:dyDescent="0.2">
      <c r="A7425"/>
    </row>
    <row r="7426" spans="1:1" x14ac:dyDescent="0.2">
      <c r="A7426"/>
    </row>
    <row r="7427" spans="1:1" x14ac:dyDescent="0.2">
      <c r="A7427"/>
    </row>
    <row r="7428" spans="1:1" x14ac:dyDescent="0.2">
      <c r="A7428"/>
    </row>
    <row r="7429" spans="1:1" x14ac:dyDescent="0.2">
      <c r="A7429"/>
    </row>
    <row r="7430" spans="1:1" x14ac:dyDescent="0.2">
      <c r="A7430"/>
    </row>
    <row r="7431" spans="1:1" x14ac:dyDescent="0.2">
      <c r="A7431"/>
    </row>
    <row r="7432" spans="1:1" x14ac:dyDescent="0.2">
      <c r="A7432"/>
    </row>
    <row r="7433" spans="1:1" x14ac:dyDescent="0.2">
      <c r="A7433"/>
    </row>
    <row r="7434" spans="1:1" x14ac:dyDescent="0.2">
      <c r="A7434"/>
    </row>
    <row r="7435" spans="1:1" x14ac:dyDescent="0.2">
      <c r="A7435"/>
    </row>
    <row r="7436" spans="1:1" x14ac:dyDescent="0.2">
      <c r="A7436"/>
    </row>
    <row r="7437" spans="1:1" x14ac:dyDescent="0.2">
      <c r="A7437"/>
    </row>
    <row r="7438" spans="1:1" x14ac:dyDescent="0.2">
      <c r="A7438"/>
    </row>
    <row r="7439" spans="1:1" x14ac:dyDescent="0.2">
      <c r="A7439"/>
    </row>
    <row r="7440" spans="1:1" x14ac:dyDescent="0.2">
      <c r="A7440"/>
    </row>
    <row r="7441" spans="1:1" x14ac:dyDescent="0.2">
      <c r="A7441"/>
    </row>
    <row r="7442" spans="1:1" x14ac:dyDescent="0.2">
      <c r="A7442"/>
    </row>
    <row r="7443" spans="1:1" x14ac:dyDescent="0.2">
      <c r="A7443"/>
    </row>
    <row r="7444" spans="1:1" x14ac:dyDescent="0.2">
      <c r="A7444"/>
    </row>
    <row r="7445" spans="1:1" x14ac:dyDescent="0.2">
      <c r="A7445"/>
    </row>
    <row r="7446" spans="1:1" x14ac:dyDescent="0.2">
      <c r="A7446"/>
    </row>
    <row r="7447" spans="1:1" x14ac:dyDescent="0.2">
      <c r="A7447"/>
    </row>
    <row r="7448" spans="1:1" x14ac:dyDescent="0.2">
      <c r="A7448"/>
    </row>
    <row r="7449" spans="1:1" x14ac:dyDescent="0.2">
      <c r="A7449"/>
    </row>
    <row r="7450" spans="1:1" x14ac:dyDescent="0.2">
      <c r="A7450"/>
    </row>
    <row r="7451" spans="1:1" x14ac:dyDescent="0.2">
      <c r="A7451"/>
    </row>
    <row r="7452" spans="1:1" x14ac:dyDescent="0.2">
      <c r="A7452"/>
    </row>
    <row r="7453" spans="1:1" x14ac:dyDescent="0.2">
      <c r="A7453"/>
    </row>
    <row r="7454" spans="1:1" x14ac:dyDescent="0.2">
      <c r="A7454"/>
    </row>
    <row r="7455" spans="1:1" x14ac:dyDescent="0.2">
      <c r="A7455"/>
    </row>
    <row r="7456" spans="1:1" x14ac:dyDescent="0.2">
      <c r="A7456"/>
    </row>
    <row r="7457" spans="1:1" x14ac:dyDescent="0.2">
      <c r="A7457"/>
    </row>
    <row r="7458" spans="1:1" x14ac:dyDescent="0.2">
      <c r="A7458"/>
    </row>
    <row r="7459" spans="1:1" x14ac:dyDescent="0.2">
      <c r="A7459"/>
    </row>
    <row r="7460" spans="1:1" x14ac:dyDescent="0.2">
      <c r="A7460"/>
    </row>
    <row r="7461" spans="1:1" x14ac:dyDescent="0.2">
      <c r="A7461"/>
    </row>
    <row r="7462" spans="1:1" x14ac:dyDescent="0.2">
      <c r="A7462"/>
    </row>
    <row r="7463" spans="1:1" x14ac:dyDescent="0.2">
      <c r="A7463"/>
    </row>
    <row r="7464" spans="1:1" x14ac:dyDescent="0.2">
      <c r="A7464"/>
    </row>
    <row r="7465" spans="1:1" x14ac:dyDescent="0.2">
      <c r="A7465"/>
    </row>
    <row r="7466" spans="1:1" x14ac:dyDescent="0.2">
      <c r="A7466"/>
    </row>
    <row r="7467" spans="1:1" x14ac:dyDescent="0.2">
      <c r="A7467"/>
    </row>
    <row r="7468" spans="1:1" x14ac:dyDescent="0.2">
      <c r="A7468"/>
    </row>
    <row r="7469" spans="1:1" x14ac:dyDescent="0.2">
      <c r="A7469"/>
    </row>
    <row r="7470" spans="1:1" x14ac:dyDescent="0.2">
      <c r="A7470"/>
    </row>
    <row r="7471" spans="1:1" x14ac:dyDescent="0.2">
      <c r="A7471"/>
    </row>
    <row r="7472" spans="1:1" x14ac:dyDescent="0.2">
      <c r="A7472"/>
    </row>
    <row r="7473" spans="1:1" x14ac:dyDescent="0.2">
      <c r="A7473"/>
    </row>
    <row r="7474" spans="1:1" x14ac:dyDescent="0.2">
      <c r="A7474"/>
    </row>
    <row r="7475" spans="1:1" x14ac:dyDescent="0.2">
      <c r="A7475"/>
    </row>
    <row r="7476" spans="1:1" x14ac:dyDescent="0.2">
      <c r="A7476"/>
    </row>
    <row r="7477" spans="1:1" x14ac:dyDescent="0.2">
      <c r="A7477"/>
    </row>
    <row r="7478" spans="1:1" x14ac:dyDescent="0.2">
      <c r="A7478"/>
    </row>
    <row r="7479" spans="1:1" x14ac:dyDescent="0.2">
      <c r="A7479"/>
    </row>
    <row r="7480" spans="1:1" x14ac:dyDescent="0.2">
      <c r="A7480"/>
    </row>
    <row r="7481" spans="1:1" x14ac:dyDescent="0.2">
      <c r="A7481"/>
    </row>
    <row r="7482" spans="1:1" x14ac:dyDescent="0.2">
      <c r="A7482"/>
    </row>
    <row r="7483" spans="1:1" x14ac:dyDescent="0.2">
      <c r="A7483"/>
    </row>
    <row r="7484" spans="1:1" x14ac:dyDescent="0.2">
      <c r="A7484"/>
    </row>
    <row r="7485" spans="1:1" x14ac:dyDescent="0.2">
      <c r="A7485"/>
    </row>
    <row r="7486" spans="1:1" x14ac:dyDescent="0.2">
      <c r="A7486"/>
    </row>
    <row r="7487" spans="1:1" x14ac:dyDescent="0.2">
      <c r="A7487"/>
    </row>
    <row r="7488" spans="1:1" x14ac:dyDescent="0.2">
      <c r="A7488"/>
    </row>
    <row r="7489" spans="1:1" x14ac:dyDescent="0.2">
      <c r="A7489"/>
    </row>
    <row r="7490" spans="1:1" x14ac:dyDescent="0.2">
      <c r="A7490"/>
    </row>
    <row r="7491" spans="1:1" x14ac:dyDescent="0.2">
      <c r="A7491"/>
    </row>
    <row r="7492" spans="1:1" x14ac:dyDescent="0.2">
      <c r="A7492"/>
    </row>
    <row r="7493" spans="1:1" x14ac:dyDescent="0.2">
      <c r="A7493"/>
    </row>
    <row r="7494" spans="1:1" x14ac:dyDescent="0.2">
      <c r="A7494"/>
    </row>
    <row r="7495" spans="1:1" x14ac:dyDescent="0.2">
      <c r="A7495"/>
    </row>
    <row r="7496" spans="1:1" x14ac:dyDescent="0.2">
      <c r="A7496"/>
    </row>
    <row r="7497" spans="1:1" x14ac:dyDescent="0.2">
      <c r="A7497"/>
    </row>
    <row r="7498" spans="1:1" x14ac:dyDescent="0.2">
      <c r="A7498"/>
    </row>
    <row r="7499" spans="1:1" x14ac:dyDescent="0.2">
      <c r="A7499"/>
    </row>
    <row r="7500" spans="1:1" x14ac:dyDescent="0.2">
      <c r="A7500"/>
    </row>
    <row r="7501" spans="1:1" x14ac:dyDescent="0.2">
      <c r="A7501"/>
    </row>
    <row r="7502" spans="1:1" x14ac:dyDescent="0.2">
      <c r="A7502"/>
    </row>
    <row r="7503" spans="1:1" x14ac:dyDescent="0.2">
      <c r="A7503"/>
    </row>
    <row r="7504" spans="1:1" x14ac:dyDescent="0.2">
      <c r="A7504"/>
    </row>
    <row r="7505" spans="1:1" x14ac:dyDescent="0.2">
      <c r="A7505"/>
    </row>
    <row r="7506" spans="1:1" x14ac:dyDescent="0.2">
      <c r="A7506"/>
    </row>
    <row r="7507" spans="1:1" x14ac:dyDescent="0.2">
      <c r="A7507"/>
    </row>
    <row r="7508" spans="1:1" x14ac:dyDescent="0.2">
      <c r="A7508"/>
    </row>
    <row r="7509" spans="1:1" x14ac:dyDescent="0.2">
      <c r="A7509"/>
    </row>
    <row r="7510" spans="1:1" x14ac:dyDescent="0.2">
      <c r="A7510"/>
    </row>
    <row r="7511" spans="1:1" x14ac:dyDescent="0.2">
      <c r="A7511"/>
    </row>
    <row r="7512" spans="1:1" x14ac:dyDescent="0.2">
      <c r="A7512"/>
    </row>
    <row r="7513" spans="1:1" x14ac:dyDescent="0.2">
      <c r="A7513"/>
    </row>
    <row r="7514" spans="1:1" x14ac:dyDescent="0.2">
      <c r="A7514"/>
    </row>
    <row r="7515" spans="1:1" x14ac:dyDescent="0.2">
      <c r="A7515"/>
    </row>
    <row r="7516" spans="1:1" x14ac:dyDescent="0.2">
      <c r="A7516"/>
    </row>
    <row r="7517" spans="1:1" x14ac:dyDescent="0.2">
      <c r="A7517"/>
    </row>
    <row r="7518" spans="1:1" x14ac:dyDescent="0.2">
      <c r="A7518"/>
    </row>
    <row r="7519" spans="1:1" x14ac:dyDescent="0.2">
      <c r="A7519"/>
    </row>
    <row r="7520" spans="1:1" x14ac:dyDescent="0.2">
      <c r="A7520"/>
    </row>
    <row r="7521" spans="1:1" x14ac:dyDescent="0.2">
      <c r="A7521"/>
    </row>
    <row r="7522" spans="1:1" x14ac:dyDescent="0.2">
      <c r="A7522"/>
    </row>
    <row r="7523" spans="1:1" x14ac:dyDescent="0.2">
      <c r="A7523"/>
    </row>
    <row r="7524" spans="1:1" x14ac:dyDescent="0.2">
      <c r="A7524"/>
    </row>
    <row r="7525" spans="1:1" x14ac:dyDescent="0.2">
      <c r="A7525"/>
    </row>
    <row r="7526" spans="1:1" x14ac:dyDescent="0.2">
      <c r="A7526"/>
    </row>
    <row r="7527" spans="1:1" x14ac:dyDescent="0.2">
      <c r="A7527"/>
    </row>
    <row r="7528" spans="1:1" x14ac:dyDescent="0.2">
      <c r="A7528"/>
    </row>
    <row r="7529" spans="1:1" x14ac:dyDescent="0.2">
      <c r="A7529"/>
    </row>
    <row r="7530" spans="1:1" x14ac:dyDescent="0.2">
      <c r="A7530"/>
    </row>
    <row r="7531" spans="1:1" x14ac:dyDescent="0.2">
      <c r="A7531"/>
    </row>
    <row r="7532" spans="1:1" x14ac:dyDescent="0.2">
      <c r="A7532"/>
    </row>
    <row r="7533" spans="1:1" x14ac:dyDescent="0.2">
      <c r="A7533"/>
    </row>
    <row r="7534" spans="1:1" x14ac:dyDescent="0.2">
      <c r="A7534"/>
    </row>
    <row r="7535" spans="1:1" x14ac:dyDescent="0.2">
      <c r="A7535"/>
    </row>
    <row r="7536" spans="1:1" x14ac:dyDescent="0.2">
      <c r="A7536"/>
    </row>
    <row r="7537" spans="1:1" x14ac:dyDescent="0.2">
      <c r="A7537"/>
    </row>
    <row r="7538" spans="1:1" x14ac:dyDescent="0.2">
      <c r="A7538"/>
    </row>
    <row r="7539" spans="1:1" x14ac:dyDescent="0.2">
      <c r="A7539"/>
    </row>
    <row r="7540" spans="1:1" x14ac:dyDescent="0.2">
      <c r="A7540"/>
    </row>
    <row r="7541" spans="1:1" x14ac:dyDescent="0.2">
      <c r="A7541"/>
    </row>
    <row r="7542" spans="1:1" x14ac:dyDescent="0.2">
      <c r="A7542"/>
    </row>
    <row r="7543" spans="1:1" x14ac:dyDescent="0.2">
      <c r="A7543"/>
    </row>
    <row r="7544" spans="1:1" x14ac:dyDescent="0.2">
      <c r="A7544"/>
    </row>
    <row r="7545" spans="1:1" x14ac:dyDescent="0.2">
      <c r="A7545"/>
    </row>
    <row r="7546" spans="1:1" x14ac:dyDescent="0.2">
      <c r="A7546"/>
    </row>
    <row r="7547" spans="1:1" x14ac:dyDescent="0.2">
      <c r="A7547"/>
    </row>
    <row r="7548" spans="1:1" x14ac:dyDescent="0.2">
      <c r="A7548"/>
    </row>
    <row r="7549" spans="1:1" x14ac:dyDescent="0.2">
      <c r="A7549"/>
    </row>
    <row r="7550" spans="1:1" x14ac:dyDescent="0.2">
      <c r="A7550"/>
    </row>
    <row r="7551" spans="1:1" x14ac:dyDescent="0.2">
      <c r="A7551"/>
    </row>
    <row r="7552" spans="1:1" x14ac:dyDescent="0.2">
      <c r="A7552"/>
    </row>
    <row r="7553" spans="1:1" x14ac:dyDescent="0.2">
      <c r="A7553"/>
    </row>
    <row r="7554" spans="1:1" x14ac:dyDescent="0.2">
      <c r="A7554"/>
    </row>
    <row r="7555" spans="1:1" x14ac:dyDescent="0.2">
      <c r="A7555"/>
    </row>
    <row r="7556" spans="1:1" x14ac:dyDescent="0.2">
      <c r="A7556"/>
    </row>
    <row r="7557" spans="1:1" x14ac:dyDescent="0.2">
      <c r="A7557"/>
    </row>
    <row r="7558" spans="1:1" x14ac:dyDescent="0.2">
      <c r="A7558"/>
    </row>
    <row r="7559" spans="1:1" x14ac:dyDescent="0.2">
      <c r="A7559"/>
    </row>
    <row r="7560" spans="1:1" x14ac:dyDescent="0.2">
      <c r="A7560"/>
    </row>
    <row r="7561" spans="1:1" x14ac:dyDescent="0.2">
      <c r="A7561"/>
    </row>
    <row r="7562" spans="1:1" x14ac:dyDescent="0.2">
      <c r="A7562"/>
    </row>
    <row r="7563" spans="1:1" x14ac:dyDescent="0.2">
      <c r="A7563"/>
    </row>
    <row r="7564" spans="1:1" x14ac:dyDescent="0.2">
      <c r="A7564"/>
    </row>
    <row r="7565" spans="1:1" x14ac:dyDescent="0.2">
      <c r="A7565"/>
    </row>
    <row r="7566" spans="1:1" x14ac:dyDescent="0.2">
      <c r="A7566"/>
    </row>
    <row r="7567" spans="1:1" x14ac:dyDescent="0.2">
      <c r="A7567"/>
    </row>
    <row r="7568" spans="1:1" x14ac:dyDescent="0.2">
      <c r="A7568"/>
    </row>
    <row r="7569" spans="1:1" x14ac:dyDescent="0.2">
      <c r="A7569"/>
    </row>
    <row r="7570" spans="1:1" x14ac:dyDescent="0.2">
      <c r="A7570"/>
    </row>
    <row r="7571" spans="1:1" x14ac:dyDescent="0.2">
      <c r="A7571"/>
    </row>
    <row r="7572" spans="1:1" x14ac:dyDescent="0.2">
      <c r="A7572"/>
    </row>
    <row r="7573" spans="1:1" x14ac:dyDescent="0.2">
      <c r="A7573"/>
    </row>
    <row r="7574" spans="1:1" x14ac:dyDescent="0.2">
      <c r="A7574"/>
    </row>
    <row r="7575" spans="1:1" x14ac:dyDescent="0.2">
      <c r="A7575"/>
    </row>
    <row r="7576" spans="1:1" x14ac:dyDescent="0.2">
      <c r="A7576"/>
    </row>
    <row r="7577" spans="1:1" x14ac:dyDescent="0.2">
      <c r="A7577"/>
    </row>
    <row r="7578" spans="1:1" x14ac:dyDescent="0.2">
      <c r="A7578"/>
    </row>
    <row r="7579" spans="1:1" x14ac:dyDescent="0.2">
      <c r="A7579"/>
    </row>
    <row r="7580" spans="1:1" x14ac:dyDescent="0.2">
      <c r="A7580"/>
    </row>
    <row r="7581" spans="1:1" x14ac:dyDescent="0.2">
      <c r="A7581"/>
    </row>
    <row r="7582" spans="1:1" x14ac:dyDescent="0.2">
      <c r="A7582"/>
    </row>
    <row r="7583" spans="1:1" x14ac:dyDescent="0.2">
      <c r="A7583"/>
    </row>
    <row r="7584" spans="1:1" x14ac:dyDescent="0.2">
      <c r="A7584"/>
    </row>
    <row r="7585" spans="1:1" x14ac:dyDescent="0.2">
      <c r="A7585"/>
    </row>
    <row r="7586" spans="1:1" x14ac:dyDescent="0.2">
      <c r="A7586"/>
    </row>
    <row r="7587" spans="1:1" x14ac:dyDescent="0.2">
      <c r="A7587"/>
    </row>
    <row r="7588" spans="1:1" x14ac:dyDescent="0.2">
      <c r="A7588"/>
    </row>
    <row r="7589" spans="1:1" x14ac:dyDescent="0.2">
      <c r="A7589"/>
    </row>
    <row r="7590" spans="1:1" x14ac:dyDescent="0.2">
      <c r="A7590"/>
    </row>
    <row r="7591" spans="1:1" x14ac:dyDescent="0.2">
      <c r="A7591"/>
    </row>
    <row r="7592" spans="1:1" x14ac:dyDescent="0.2">
      <c r="A7592"/>
    </row>
    <row r="7593" spans="1:1" x14ac:dyDescent="0.2">
      <c r="A7593"/>
    </row>
    <row r="7594" spans="1:1" x14ac:dyDescent="0.2">
      <c r="A7594"/>
    </row>
    <row r="7595" spans="1:1" x14ac:dyDescent="0.2">
      <c r="A7595"/>
    </row>
    <row r="7596" spans="1:1" x14ac:dyDescent="0.2">
      <c r="A7596"/>
    </row>
    <row r="7597" spans="1:1" x14ac:dyDescent="0.2">
      <c r="A7597"/>
    </row>
    <row r="7598" spans="1:1" x14ac:dyDescent="0.2">
      <c r="A7598"/>
    </row>
    <row r="7599" spans="1:1" x14ac:dyDescent="0.2">
      <c r="A7599"/>
    </row>
    <row r="7600" spans="1:1" x14ac:dyDescent="0.2">
      <c r="A7600"/>
    </row>
    <row r="7601" spans="1:1" x14ac:dyDescent="0.2">
      <c r="A7601"/>
    </row>
    <row r="7602" spans="1:1" x14ac:dyDescent="0.2">
      <c r="A7602"/>
    </row>
    <row r="7603" spans="1:1" x14ac:dyDescent="0.2">
      <c r="A7603"/>
    </row>
    <row r="7604" spans="1:1" x14ac:dyDescent="0.2">
      <c r="A7604"/>
    </row>
    <row r="7605" spans="1:1" x14ac:dyDescent="0.2">
      <c r="A7605"/>
    </row>
    <row r="7606" spans="1:1" x14ac:dyDescent="0.2">
      <c r="A7606"/>
    </row>
    <row r="7607" spans="1:1" x14ac:dyDescent="0.2">
      <c r="A7607"/>
    </row>
    <row r="7608" spans="1:1" x14ac:dyDescent="0.2">
      <c r="A7608"/>
    </row>
    <row r="7609" spans="1:1" x14ac:dyDescent="0.2">
      <c r="A7609"/>
    </row>
    <row r="7610" spans="1:1" x14ac:dyDescent="0.2">
      <c r="A7610"/>
    </row>
    <row r="7611" spans="1:1" x14ac:dyDescent="0.2">
      <c r="A7611"/>
    </row>
    <row r="7612" spans="1:1" x14ac:dyDescent="0.2">
      <c r="A7612"/>
    </row>
    <row r="7613" spans="1:1" x14ac:dyDescent="0.2">
      <c r="A7613"/>
    </row>
    <row r="7614" spans="1:1" x14ac:dyDescent="0.2">
      <c r="A7614"/>
    </row>
    <row r="7615" spans="1:1" x14ac:dyDescent="0.2">
      <c r="A7615"/>
    </row>
    <row r="7616" spans="1:1" x14ac:dyDescent="0.2">
      <c r="A7616"/>
    </row>
    <row r="7617" spans="1:1" x14ac:dyDescent="0.2">
      <c r="A7617"/>
    </row>
    <row r="7618" spans="1:1" x14ac:dyDescent="0.2">
      <c r="A7618"/>
    </row>
    <row r="7619" spans="1:1" x14ac:dyDescent="0.2">
      <c r="A7619"/>
    </row>
    <row r="7620" spans="1:1" x14ac:dyDescent="0.2">
      <c r="A7620"/>
    </row>
    <row r="7621" spans="1:1" x14ac:dyDescent="0.2">
      <c r="A7621"/>
    </row>
    <row r="7622" spans="1:1" x14ac:dyDescent="0.2">
      <c r="A7622"/>
    </row>
    <row r="7623" spans="1:1" x14ac:dyDescent="0.2">
      <c r="A7623"/>
    </row>
    <row r="7624" spans="1:1" x14ac:dyDescent="0.2">
      <c r="A7624"/>
    </row>
    <row r="7625" spans="1:1" x14ac:dyDescent="0.2">
      <c r="A7625"/>
    </row>
    <row r="7626" spans="1:1" x14ac:dyDescent="0.2">
      <c r="A7626"/>
    </row>
    <row r="7627" spans="1:1" x14ac:dyDescent="0.2">
      <c r="A7627"/>
    </row>
    <row r="7628" spans="1:1" x14ac:dyDescent="0.2">
      <c r="A7628"/>
    </row>
    <row r="7629" spans="1:1" x14ac:dyDescent="0.2">
      <c r="A7629"/>
    </row>
    <row r="7630" spans="1:1" x14ac:dyDescent="0.2">
      <c r="A7630"/>
    </row>
    <row r="7631" spans="1:1" x14ac:dyDescent="0.2">
      <c r="A7631"/>
    </row>
    <row r="7632" spans="1:1" x14ac:dyDescent="0.2">
      <c r="A7632"/>
    </row>
    <row r="7633" spans="1:1" x14ac:dyDescent="0.2">
      <c r="A7633"/>
    </row>
    <row r="7634" spans="1:1" x14ac:dyDescent="0.2">
      <c r="A7634"/>
    </row>
    <row r="7635" spans="1:1" x14ac:dyDescent="0.2">
      <c r="A7635"/>
    </row>
    <row r="7636" spans="1:1" x14ac:dyDescent="0.2">
      <c r="A7636"/>
    </row>
    <row r="7637" spans="1:1" x14ac:dyDescent="0.2">
      <c r="A7637"/>
    </row>
    <row r="7638" spans="1:1" x14ac:dyDescent="0.2">
      <c r="A7638"/>
    </row>
    <row r="7639" spans="1:1" x14ac:dyDescent="0.2">
      <c r="A7639"/>
    </row>
    <row r="7640" spans="1:1" x14ac:dyDescent="0.2">
      <c r="A7640"/>
    </row>
    <row r="7641" spans="1:1" x14ac:dyDescent="0.2">
      <c r="A7641"/>
    </row>
    <row r="7642" spans="1:1" x14ac:dyDescent="0.2">
      <c r="A7642"/>
    </row>
    <row r="7643" spans="1:1" x14ac:dyDescent="0.2">
      <c r="A7643"/>
    </row>
    <row r="7644" spans="1:1" x14ac:dyDescent="0.2">
      <c r="A7644"/>
    </row>
    <row r="7645" spans="1:1" x14ac:dyDescent="0.2">
      <c r="A7645"/>
    </row>
    <row r="7646" spans="1:1" x14ac:dyDescent="0.2">
      <c r="A7646"/>
    </row>
    <row r="7647" spans="1:1" x14ac:dyDescent="0.2">
      <c r="A7647"/>
    </row>
    <row r="7648" spans="1:1" x14ac:dyDescent="0.2">
      <c r="A7648"/>
    </row>
    <row r="7649" spans="1:1" x14ac:dyDescent="0.2">
      <c r="A7649"/>
    </row>
    <row r="7650" spans="1:1" x14ac:dyDescent="0.2">
      <c r="A7650"/>
    </row>
    <row r="7651" spans="1:1" x14ac:dyDescent="0.2">
      <c r="A7651"/>
    </row>
    <row r="7652" spans="1:1" x14ac:dyDescent="0.2">
      <c r="A7652"/>
    </row>
    <row r="7653" spans="1:1" x14ac:dyDescent="0.2">
      <c r="A7653"/>
    </row>
    <row r="7654" spans="1:1" x14ac:dyDescent="0.2">
      <c r="A7654"/>
    </row>
    <row r="7655" spans="1:1" x14ac:dyDescent="0.2">
      <c r="A7655"/>
    </row>
    <row r="7656" spans="1:1" x14ac:dyDescent="0.2">
      <c r="A7656"/>
    </row>
    <row r="7657" spans="1:1" x14ac:dyDescent="0.2">
      <c r="A7657"/>
    </row>
    <row r="7658" spans="1:1" x14ac:dyDescent="0.2">
      <c r="A7658"/>
    </row>
    <row r="7659" spans="1:1" x14ac:dyDescent="0.2">
      <c r="A7659"/>
    </row>
    <row r="7660" spans="1:1" x14ac:dyDescent="0.2">
      <c r="A7660"/>
    </row>
    <row r="7661" spans="1:1" x14ac:dyDescent="0.2">
      <c r="A7661"/>
    </row>
    <row r="7662" spans="1:1" x14ac:dyDescent="0.2">
      <c r="A7662"/>
    </row>
    <row r="7663" spans="1:1" x14ac:dyDescent="0.2">
      <c r="A7663"/>
    </row>
    <row r="7664" spans="1:1" x14ac:dyDescent="0.2">
      <c r="A7664"/>
    </row>
    <row r="7665" spans="1:1" x14ac:dyDescent="0.2">
      <c r="A7665"/>
    </row>
    <row r="7666" spans="1:1" x14ac:dyDescent="0.2">
      <c r="A7666"/>
    </row>
    <row r="7667" spans="1:1" x14ac:dyDescent="0.2">
      <c r="A7667"/>
    </row>
    <row r="7668" spans="1:1" x14ac:dyDescent="0.2">
      <c r="A7668"/>
    </row>
    <row r="7669" spans="1:1" x14ac:dyDescent="0.2">
      <c r="A7669"/>
    </row>
    <row r="7670" spans="1:1" x14ac:dyDescent="0.2">
      <c r="A7670"/>
    </row>
    <row r="7671" spans="1:1" x14ac:dyDescent="0.2">
      <c r="A7671"/>
    </row>
    <row r="7672" spans="1:1" x14ac:dyDescent="0.2">
      <c r="A7672"/>
    </row>
    <row r="7673" spans="1:1" x14ac:dyDescent="0.2">
      <c r="A7673"/>
    </row>
    <row r="7674" spans="1:1" x14ac:dyDescent="0.2">
      <c r="A7674"/>
    </row>
    <row r="7675" spans="1:1" x14ac:dyDescent="0.2">
      <c r="A7675"/>
    </row>
    <row r="7676" spans="1:1" x14ac:dyDescent="0.2">
      <c r="A7676"/>
    </row>
    <row r="7677" spans="1:1" x14ac:dyDescent="0.2">
      <c r="A7677"/>
    </row>
    <row r="7678" spans="1:1" x14ac:dyDescent="0.2">
      <c r="A7678"/>
    </row>
    <row r="7679" spans="1:1" x14ac:dyDescent="0.2">
      <c r="A7679"/>
    </row>
    <row r="7680" spans="1:1" x14ac:dyDescent="0.2">
      <c r="A7680"/>
    </row>
    <row r="7681" spans="1:1" x14ac:dyDescent="0.2">
      <c r="A7681"/>
    </row>
    <row r="7682" spans="1:1" x14ac:dyDescent="0.2">
      <c r="A7682"/>
    </row>
    <row r="7683" spans="1:1" x14ac:dyDescent="0.2">
      <c r="A7683"/>
    </row>
    <row r="7684" spans="1:1" x14ac:dyDescent="0.2">
      <c r="A7684"/>
    </row>
    <row r="7685" spans="1:1" x14ac:dyDescent="0.2">
      <c r="A7685"/>
    </row>
    <row r="7686" spans="1:1" x14ac:dyDescent="0.2">
      <c r="A7686"/>
    </row>
    <row r="7687" spans="1:1" x14ac:dyDescent="0.2">
      <c r="A7687"/>
    </row>
    <row r="7688" spans="1:1" x14ac:dyDescent="0.2">
      <c r="A7688"/>
    </row>
    <row r="7689" spans="1:1" x14ac:dyDescent="0.2">
      <c r="A7689"/>
    </row>
    <row r="7690" spans="1:1" x14ac:dyDescent="0.2">
      <c r="A7690"/>
    </row>
    <row r="7691" spans="1:1" x14ac:dyDescent="0.2">
      <c r="A7691"/>
    </row>
    <row r="7692" spans="1:1" x14ac:dyDescent="0.2">
      <c r="A7692"/>
    </row>
    <row r="7693" spans="1:1" x14ac:dyDescent="0.2">
      <c r="A7693"/>
    </row>
    <row r="7694" spans="1:1" x14ac:dyDescent="0.2">
      <c r="A7694"/>
    </row>
    <row r="7695" spans="1:1" x14ac:dyDescent="0.2">
      <c r="A7695"/>
    </row>
    <row r="7696" spans="1:1" x14ac:dyDescent="0.2">
      <c r="A7696"/>
    </row>
    <row r="7697" spans="1:1" x14ac:dyDescent="0.2">
      <c r="A7697"/>
    </row>
    <row r="7698" spans="1:1" x14ac:dyDescent="0.2">
      <c r="A7698"/>
    </row>
    <row r="7699" spans="1:1" x14ac:dyDescent="0.2">
      <c r="A7699"/>
    </row>
    <row r="7700" spans="1:1" x14ac:dyDescent="0.2">
      <c r="A7700"/>
    </row>
    <row r="7701" spans="1:1" x14ac:dyDescent="0.2">
      <c r="A7701"/>
    </row>
    <row r="7702" spans="1:1" x14ac:dyDescent="0.2">
      <c r="A7702"/>
    </row>
    <row r="7703" spans="1:1" x14ac:dyDescent="0.2">
      <c r="A7703"/>
    </row>
    <row r="7704" spans="1:1" x14ac:dyDescent="0.2">
      <c r="A7704"/>
    </row>
    <row r="7705" spans="1:1" x14ac:dyDescent="0.2">
      <c r="A7705"/>
    </row>
    <row r="7706" spans="1:1" x14ac:dyDescent="0.2">
      <c r="A7706"/>
    </row>
    <row r="7707" spans="1:1" x14ac:dyDescent="0.2">
      <c r="A7707"/>
    </row>
    <row r="7708" spans="1:1" x14ac:dyDescent="0.2">
      <c r="A7708"/>
    </row>
    <row r="7709" spans="1:1" x14ac:dyDescent="0.2">
      <c r="A7709"/>
    </row>
    <row r="7710" spans="1:1" x14ac:dyDescent="0.2">
      <c r="A7710"/>
    </row>
    <row r="7711" spans="1:1" x14ac:dyDescent="0.2">
      <c r="A7711"/>
    </row>
    <row r="7712" spans="1:1" x14ac:dyDescent="0.2">
      <c r="A7712"/>
    </row>
    <row r="7713" spans="1:1" x14ac:dyDescent="0.2">
      <c r="A7713"/>
    </row>
    <row r="7714" spans="1:1" x14ac:dyDescent="0.2">
      <c r="A7714"/>
    </row>
    <row r="7715" spans="1:1" x14ac:dyDescent="0.2">
      <c r="A7715"/>
    </row>
    <row r="7716" spans="1:1" x14ac:dyDescent="0.2">
      <c r="A7716"/>
    </row>
    <row r="7717" spans="1:1" x14ac:dyDescent="0.2">
      <c r="A7717"/>
    </row>
    <row r="7718" spans="1:1" x14ac:dyDescent="0.2">
      <c r="A7718"/>
    </row>
    <row r="7719" spans="1:1" x14ac:dyDescent="0.2">
      <c r="A7719"/>
    </row>
    <row r="7720" spans="1:1" x14ac:dyDescent="0.2">
      <c r="A7720"/>
    </row>
    <row r="7721" spans="1:1" x14ac:dyDescent="0.2">
      <c r="A7721"/>
    </row>
    <row r="7722" spans="1:1" x14ac:dyDescent="0.2">
      <c r="A7722"/>
    </row>
    <row r="7723" spans="1:1" x14ac:dyDescent="0.2">
      <c r="A7723"/>
    </row>
    <row r="7724" spans="1:1" x14ac:dyDescent="0.2">
      <c r="A7724"/>
    </row>
    <row r="7725" spans="1:1" x14ac:dyDescent="0.2">
      <c r="A7725"/>
    </row>
    <row r="7726" spans="1:1" x14ac:dyDescent="0.2">
      <c r="A7726"/>
    </row>
    <row r="7727" spans="1:1" x14ac:dyDescent="0.2">
      <c r="A7727"/>
    </row>
    <row r="7728" spans="1:1" x14ac:dyDescent="0.2">
      <c r="A7728"/>
    </row>
    <row r="7729" spans="1:1" x14ac:dyDescent="0.2">
      <c r="A7729"/>
    </row>
    <row r="7730" spans="1:1" x14ac:dyDescent="0.2">
      <c r="A7730"/>
    </row>
    <row r="7731" spans="1:1" x14ac:dyDescent="0.2">
      <c r="A7731"/>
    </row>
    <row r="7732" spans="1:1" x14ac:dyDescent="0.2">
      <c r="A7732"/>
    </row>
    <row r="7733" spans="1:1" x14ac:dyDescent="0.2">
      <c r="A7733"/>
    </row>
    <row r="7734" spans="1:1" x14ac:dyDescent="0.2">
      <c r="A7734"/>
    </row>
    <row r="7735" spans="1:1" x14ac:dyDescent="0.2">
      <c r="A7735"/>
    </row>
    <row r="7736" spans="1:1" x14ac:dyDescent="0.2">
      <c r="A7736"/>
    </row>
    <row r="7737" spans="1:1" x14ac:dyDescent="0.2">
      <c r="A7737"/>
    </row>
    <row r="7738" spans="1:1" x14ac:dyDescent="0.2">
      <c r="A7738"/>
    </row>
    <row r="7739" spans="1:1" x14ac:dyDescent="0.2">
      <c r="A7739"/>
    </row>
    <row r="7740" spans="1:1" x14ac:dyDescent="0.2">
      <c r="A7740"/>
    </row>
    <row r="7741" spans="1:1" x14ac:dyDescent="0.2">
      <c r="A7741"/>
    </row>
    <row r="7742" spans="1:1" x14ac:dyDescent="0.2">
      <c r="A7742"/>
    </row>
    <row r="7743" spans="1:1" x14ac:dyDescent="0.2">
      <c r="A7743"/>
    </row>
    <row r="7744" spans="1:1" x14ac:dyDescent="0.2">
      <c r="A7744"/>
    </row>
    <row r="7745" spans="1:1" x14ac:dyDescent="0.2">
      <c r="A7745"/>
    </row>
    <row r="7746" spans="1:1" x14ac:dyDescent="0.2">
      <c r="A7746"/>
    </row>
    <row r="7747" spans="1:1" x14ac:dyDescent="0.2">
      <c r="A7747"/>
    </row>
    <row r="7748" spans="1:1" x14ac:dyDescent="0.2">
      <c r="A7748"/>
    </row>
    <row r="7749" spans="1:1" x14ac:dyDescent="0.2">
      <c r="A7749"/>
    </row>
    <row r="7750" spans="1:1" x14ac:dyDescent="0.2">
      <c r="A7750"/>
    </row>
    <row r="7751" spans="1:1" x14ac:dyDescent="0.2">
      <c r="A7751"/>
    </row>
    <row r="7752" spans="1:1" x14ac:dyDescent="0.2">
      <c r="A7752"/>
    </row>
    <row r="7753" spans="1:1" x14ac:dyDescent="0.2">
      <c r="A7753"/>
    </row>
    <row r="7754" spans="1:1" x14ac:dyDescent="0.2">
      <c r="A7754"/>
    </row>
    <row r="7755" spans="1:1" x14ac:dyDescent="0.2">
      <c r="A7755"/>
    </row>
    <row r="7756" spans="1:1" x14ac:dyDescent="0.2">
      <c r="A7756"/>
    </row>
    <row r="7757" spans="1:1" x14ac:dyDescent="0.2">
      <c r="A7757"/>
    </row>
    <row r="7758" spans="1:1" x14ac:dyDescent="0.2">
      <c r="A7758"/>
    </row>
    <row r="7759" spans="1:1" x14ac:dyDescent="0.2">
      <c r="A7759"/>
    </row>
    <row r="7760" spans="1:1" x14ac:dyDescent="0.2">
      <c r="A7760"/>
    </row>
    <row r="7761" spans="1:1" x14ac:dyDescent="0.2">
      <c r="A7761"/>
    </row>
    <row r="7762" spans="1:1" x14ac:dyDescent="0.2">
      <c r="A7762"/>
    </row>
    <row r="7763" spans="1:1" x14ac:dyDescent="0.2">
      <c r="A7763"/>
    </row>
    <row r="7764" spans="1:1" x14ac:dyDescent="0.2">
      <c r="A7764"/>
    </row>
    <row r="7765" spans="1:1" x14ac:dyDescent="0.2">
      <c r="A7765"/>
    </row>
    <row r="7766" spans="1:1" x14ac:dyDescent="0.2">
      <c r="A7766"/>
    </row>
    <row r="7767" spans="1:1" x14ac:dyDescent="0.2">
      <c r="A7767"/>
    </row>
    <row r="7768" spans="1:1" x14ac:dyDescent="0.2">
      <c r="A7768"/>
    </row>
    <row r="7769" spans="1:1" x14ac:dyDescent="0.2">
      <c r="A7769"/>
    </row>
    <row r="7770" spans="1:1" x14ac:dyDescent="0.2">
      <c r="A7770"/>
    </row>
    <row r="7771" spans="1:1" x14ac:dyDescent="0.2">
      <c r="A7771"/>
    </row>
    <row r="7772" spans="1:1" x14ac:dyDescent="0.2">
      <c r="A7772"/>
    </row>
    <row r="7773" spans="1:1" x14ac:dyDescent="0.2">
      <c r="A7773"/>
    </row>
    <row r="7774" spans="1:1" x14ac:dyDescent="0.2">
      <c r="A7774"/>
    </row>
    <row r="7775" spans="1:1" x14ac:dyDescent="0.2">
      <c r="A7775"/>
    </row>
    <row r="7776" spans="1:1" x14ac:dyDescent="0.2">
      <c r="A7776"/>
    </row>
    <row r="7777" spans="1:1" x14ac:dyDescent="0.2">
      <c r="A7777"/>
    </row>
    <row r="7778" spans="1:1" x14ac:dyDescent="0.2">
      <c r="A7778"/>
    </row>
    <row r="7779" spans="1:1" x14ac:dyDescent="0.2">
      <c r="A7779"/>
    </row>
    <row r="7780" spans="1:1" x14ac:dyDescent="0.2">
      <c r="A7780"/>
    </row>
    <row r="7781" spans="1:1" x14ac:dyDescent="0.2">
      <c r="A7781"/>
    </row>
    <row r="7782" spans="1:1" x14ac:dyDescent="0.2">
      <c r="A7782"/>
    </row>
    <row r="7783" spans="1:1" x14ac:dyDescent="0.2">
      <c r="A7783"/>
    </row>
    <row r="7784" spans="1:1" x14ac:dyDescent="0.2">
      <c r="A7784"/>
    </row>
    <row r="7785" spans="1:1" x14ac:dyDescent="0.2">
      <c r="A7785"/>
    </row>
    <row r="7786" spans="1:1" x14ac:dyDescent="0.2">
      <c r="A7786"/>
    </row>
    <row r="7787" spans="1:1" x14ac:dyDescent="0.2">
      <c r="A7787"/>
    </row>
    <row r="7788" spans="1:1" x14ac:dyDescent="0.2">
      <c r="A7788"/>
    </row>
    <row r="7789" spans="1:1" x14ac:dyDescent="0.2">
      <c r="A7789"/>
    </row>
    <row r="7790" spans="1:1" x14ac:dyDescent="0.2">
      <c r="A7790"/>
    </row>
    <row r="7791" spans="1:1" x14ac:dyDescent="0.2">
      <c r="A7791"/>
    </row>
    <row r="7792" spans="1:1" x14ac:dyDescent="0.2">
      <c r="A7792"/>
    </row>
    <row r="7793" spans="1:1" x14ac:dyDescent="0.2">
      <c r="A7793"/>
    </row>
    <row r="7794" spans="1:1" x14ac:dyDescent="0.2">
      <c r="A7794"/>
    </row>
    <row r="7795" spans="1:1" x14ac:dyDescent="0.2">
      <c r="A7795"/>
    </row>
    <row r="7796" spans="1:1" x14ac:dyDescent="0.2">
      <c r="A7796"/>
    </row>
    <row r="7797" spans="1:1" x14ac:dyDescent="0.2">
      <c r="A7797"/>
    </row>
    <row r="7798" spans="1:1" x14ac:dyDescent="0.2">
      <c r="A7798"/>
    </row>
    <row r="7799" spans="1:1" x14ac:dyDescent="0.2">
      <c r="A7799"/>
    </row>
    <row r="7800" spans="1:1" x14ac:dyDescent="0.2">
      <c r="A7800"/>
    </row>
    <row r="7801" spans="1:1" x14ac:dyDescent="0.2">
      <c r="A7801"/>
    </row>
    <row r="7802" spans="1:1" x14ac:dyDescent="0.2">
      <c r="A7802"/>
    </row>
    <row r="7803" spans="1:1" x14ac:dyDescent="0.2">
      <c r="A7803"/>
    </row>
    <row r="7804" spans="1:1" x14ac:dyDescent="0.2">
      <c r="A7804"/>
    </row>
    <row r="7805" spans="1:1" x14ac:dyDescent="0.2">
      <c r="A7805"/>
    </row>
    <row r="7806" spans="1:1" x14ac:dyDescent="0.2">
      <c r="A7806"/>
    </row>
    <row r="7807" spans="1:1" x14ac:dyDescent="0.2">
      <c r="A7807"/>
    </row>
    <row r="7808" spans="1:1" x14ac:dyDescent="0.2">
      <c r="A7808"/>
    </row>
    <row r="7809" spans="1:1" x14ac:dyDescent="0.2">
      <c r="A7809"/>
    </row>
    <row r="7810" spans="1:1" x14ac:dyDescent="0.2">
      <c r="A7810"/>
    </row>
    <row r="7811" spans="1:1" x14ac:dyDescent="0.2">
      <c r="A7811"/>
    </row>
    <row r="7812" spans="1:1" x14ac:dyDescent="0.2">
      <c r="A7812"/>
    </row>
    <row r="7813" spans="1:1" x14ac:dyDescent="0.2">
      <c r="A7813"/>
    </row>
    <row r="7814" spans="1:1" x14ac:dyDescent="0.2">
      <c r="A7814"/>
    </row>
    <row r="7815" spans="1:1" x14ac:dyDescent="0.2">
      <c r="A7815"/>
    </row>
    <row r="7816" spans="1:1" x14ac:dyDescent="0.2">
      <c r="A7816"/>
    </row>
    <row r="7817" spans="1:1" x14ac:dyDescent="0.2">
      <c r="A7817"/>
    </row>
    <row r="7818" spans="1:1" x14ac:dyDescent="0.2">
      <c r="A7818"/>
    </row>
    <row r="7819" spans="1:1" x14ac:dyDescent="0.2">
      <c r="A7819"/>
    </row>
    <row r="7820" spans="1:1" x14ac:dyDescent="0.2">
      <c r="A7820"/>
    </row>
    <row r="7821" spans="1:1" x14ac:dyDescent="0.2">
      <c r="A7821"/>
    </row>
    <row r="7822" spans="1:1" x14ac:dyDescent="0.2">
      <c r="A7822"/>
    </row>
    <row r="7823" spans="1:1" x14ac:dyDescent="0.2">
      <c r="A7823"/>
    </row>
    <row r="7824" spans="1:1" x14ac:dyDescent="0.2">
      <c r="A7824"/>
    </row>
    <row r="7825" spans="1:1" x14ac:dyDescent="0.2">
      <c r="A7825"/>
    </row>
    <row r="7826" spans="1:1" x14ac:dyDescent="0.2">
      <c r="A7826"/>
    </row>
    <row r="7827" spans="1:1" x14ac:dyDescent="0.2">
      <c r="A7827"/>
    </row>
    <row r="7828" spans="1:1" x14ac:dyDescent="0.2">
      <c r="A7828"/>
    </row>
    <row r="7829" spans="1:1" x14ac:dyDescent="0.2">
      <c r="A7829"/>
    </row>
    <row r="7830" spans="1:1" x14ac:dyDescent="0.2">
      <c r="A7830"/>
    </row>
    <row r="7831" spans="1:1" x14ac:dyDescent="0.2">
      <c r="A7831"/>
    </row>
    <row r="7832" spans="1:1" x14ac:dyDescent="0.2">
      <c r="A7832"/>
    </row>
    <row r="7833" spans="1:1" x14ac:dyDescent="0.2">
      <c r="A7833"/>
    </row>
    <row r="7834" spans="1:1" x14ac:dyDescent="0.2">
      <c r="A7834"/>
    </row>
    <row r="7835" spans="1:1" x14ac:dyDescent="0.2">
      <c r="A7835"/>
    </row>
    <row r="7836" spans="1:1" x14ac:dyDescent="0.2">
      <c r="A7836"/>
    </row>
    <row r="7837" spans="1:1" x14ac:dyDescent="0.2">
      <c r="A7837"/>
    </row>
    <row r="7838" spans="1:1" x14ac:dyDescent="0.2">
      <c r="A7838"/>
    </row>
    <row r="7839" spans="1:1" x14ac:dyDescent="0.2">
      <c r="A7839"/>
    </row>
    <row r="7840" spans="1:1" x14ac:dyDescent="0.2">
      <c r="A7840"/>
    </row>
    <row r="7841" spans="1:1" x14ac:dyDescent="0.2">
      <c r="A7841"/>
    </row>
    <row r="7842" spans="1:1" x14ac:dyDescent="0.2">
      <c r="A7842"/>
    </row>
    <row r="7843" spans="1:1" x14ac:dyDescent="0.2">
      <c r="A7843"/>
    </row>
    <row r="7844" spans="1:1" x14ac:dyDescent="0.2">
      <c r="A7844"/>
    </row>
    <row r="7845" spans="1:1" x14ac:dyDescent="0.2">
      <c r="A7845"/>
    </row>
    <row r="7846" spans="1:1" x14ac:dyDescent="0.2">
      <c r="A7846"/>
    </row>
    <row r="7847" spans="1:1" x14ac:dyDescent="0.2">
      <c r="A7847"/>
    </row>
    <row r="7848" spans="1:1" x14ac:dyDescent="0.2">
      <c r="A7848"/>
    </row>
    <row r="7849" spans="1:1" x14ac:dyDescent="0.2">
      <c r="A7849"/>
    </row>
    <row r="7850" spans="1:1" x14ac:dyDescent="0.2">
      <c r="A7850"/>
    </row>
    <row r="7851" spans="1:1" x14ac:dyDescent="0.2">
      <c r="A7851"/>
    </row>
    <row r="7852" spans="1:1" x14ac:dyDescent="0.2">
      <c r="A7852"/>
    </row>
    <row r="7853" spans="1:1" x14ac:dyDescent="0.2">
      <c r="A7853"/>
    </row>
    <row r="7854" spans="1:1" x14ac:dyDescent="0.2">
      <c r="A7854"/>
    </row>
    <row r="7855" spans="1:1" x14ac:dyDescent="0.2">
      <c r="A7855"/>
    </row>
    <row r="7856" spans="1:1" x14ac:dyDescent="0.2">
      <c r="A7856"/>
    </row>
    <row r="7857" spans="1:1" x14ac:dyDescent="0.2">
      <c r="A7857"/>
    </row>
    <row r="7858" spans="1:1" x14ac:dyDescent="0.2">
      <c r="A7858"/>
    </row>
    <row r="7859" spans="1:1" x14ac:dyDescent="0.2">
      <c r="A7859"/>
    </row>
    <row r="7860" spans="1:1" x14ac:dyDescent="0.2">
      <c r="A7860"/>
    </row>
    <row r="7861" spans="1:1" x14ac:dyDescent="0.2">
      <c r="A7861"/>
    </row>
    <row r="7862" spans="1:1" x14ac:dyDescent="0.2">
      <c r="A7862"/>
    </row>
    <row r="7863" spans="1:1" x14ac:dyDescent="0.2">
      <c r="A7863"/>
    </row>
    <row r="7864" spans="1:1" x14ac:dyDescent="0.2">
      <c r="A7864"/>
    </row>
    <row r="7865" spans="1:1" x14ac:dyDescent="0.2">
      <c r="A7865"/>
    </row>
    <row r="7866" spans="1:1" x14ac:dyDescent="0.2">
      <c r="A7866"/>
    </row>
    <row r="7867" spans="1:1" x14ac:dyDescent="0.2">
      <c r="A7867"/>
    </row>
    <row r="7868" spans="1:1" x14ac:dyDescent="0.2">
      <c r="A7868"/>
    </row>
    <row r="7869" spans="1:1" x14ac:dyDescent="0.2">
      <c r="A7869"/>
    </row>
    <row r="7870" spans="1:1" x14ac:dyDescent="0.2">
      <c r="A7870"/>
    </row>
    <row r="7871" spans="1:1" x14ac:dyDescent="0.2">
      <c r="A7871"/>
    </row>
    <row r="7872" spans="1:1" x14ac:dyDescent="0.2">
      <c r="A7872"/>
    </row>
    <row r="7873" spans="1:1" x14ac:dyDescent="0.2">
      <c r="A7873"/>
    </row>
    <row r="7874" spans="1:1" x14ac:dyDescent="0.2">
      <c r="A7874"/>
    </row>
    <row r="7875" spans="1:1" x14ac:dyDescent="0.2">
      <c r="A7875"/>
    </row>
    <row r="7876" spans="1:1" x14ac:dyDescent="0.2">
      <c r="A7876"/>
    </row>
    <row r="7877" spans="1:1" x14ac:dyDescent="0.2">
      <c r="A7877"/>
    </row>
    <row r="7878" spans="1:1" x14ac:dyDescent="0.2">
      <c r="A7878"/>
    </row>
    <row r="7879" spans="1:1" x14ac:dyDescent="0.2">
      <c r="A7879"/>
    </row>
    <row r="7880" spans="1:1" x14ac:dyDescent="0.2">
      <c r="A7880"/>
    </row>
    <row r="7881" spans="1:1" x14ac:dyDescent="0.2">
      <c r="A7881"/>
    </row>
    <row r="7882" spans="1:1" x14ac:dyDescent="0.2">
      <c r="A7882"/>
    </row>
    <row r="7883" spans="1:1" x14ac:dyDescent="0.2">
      <c r="A7883"/>
    </row>
    <row r="7884" spans="1:1" x14ac:dyDescent="0.2">
      <c r="A7884"/>
    </row>
    <row r="7885" spans="1:1" x14ac:dyDescent="0.2">
      <c r="A7885"/>
    </row>
    <row r="7886" spans="1:1" x14ac:dyDescent="0.2">
      <c r="A7886"/>
    </row>
    <row r="7887" spans="1:1" x14ac:dyDescent="0.2">
      <c r="A7887"/>
    </row>
    <row r="7888" spans="1:1" x14ac:dyDescent="0.2">
      <c r="A7888"/>
    </row>
    <row r="7889" spans="1:1" x14ac:dyDescent="0.2">
      <c r="A7889"/>
    </row>
    <row r="7890" spans="1:1" x14ac:dyDescent="0.2">
      <c r="A7890"/>
    </row>
    <row r="7891" spans="1:1" x14ac:dyDescent="0.2">
      <c r="A7891"/>
    </row>
    <row r="7892" spans="1:1" x14ac:dyDescent="0.2">
      <c r="A7892"/>
    </row>
    <row r="7893" spans="1:1" x14ac:dyDescent="0.2">
      <c r="A7893"/>
    </row>
    <row r="7894" spans="1:1" x14ac:dyDescent="0.2">
      <c r="A7894"/>
    </row>
    <row r="7895" spans="1:1" x14ac:dyDescent="0.2">
      <c r="A7895"/>
    </row>
    <row r="7896" spans="1:1" x14ac:dyDescent="0.2">
      <c r="A7896"/>
    </row>
    <row r="7897" spans="1:1" x14ac:dyDescent="0.2">
      <c r="A7897"/>
    </row>
    <row r="7898" spans="1:1" x14ac:dyDescent="0.2">
      <c r="A7898"/>
    </row>
    <row r="7899" spans="1:1" x14ac:dyDescent="0.2">
      <c r="A7899"/>
    </row>
    <row r="7900" spans="1:1" x14ac:dyDescent="0.2">
      <c r="A7900"/>
    </row>
    <row r="7901" spans="1:1" x14ac:dyDescent="0.2">
      <c r="A7901"/>
    </row>
    <row r="7902" spans="1:1" x14ac:dyDescent="0.2">
      <c r="A7902"/>
    </row>
    <row r="7903" spans="1:1" x14ac:dyDescent="0.2">
      <c r="A7903"/>
    </row>
    <row r="7904" spans="1:1" x14ac:dyDescent="0.2">
      <c r="A7904"/>
    </row>
    <row r="7905" spans="1:1" x14ac:dyDescent="0.2">
      <c r="A7905"/>
    </row>
    <row r="7906" spans="1:1" x14ac:dyDescent="0.2">
      <c r="A7906"/>
    </row>
    <row r="7907" spans="1:1" x14ac:dyDescent="0.2">
      <c r="A7907"/>
    </row>
    <row r="7908" spans="1:1" x14ac:dyDescent="0.2">
      <c r="A7908"/>
    </row>
    <row r="7909" spans="1:1" x14ac:dyDescent="0.2">
      <c r="A7909"/>
    </row>
    <row r="7910" spans="1:1" x14ac:dyDescent="0.2">
      <c r="A7910"/>
    </row>
    <row r="7911" spans="1:1" x14ac:dyDescent="0.2">
      <c r="A7911"/>
    </row>
    <row r="7912" spans="1:1" x14ac:dyDescent="0.2">
      <c r="A7912"/>
    </row>
    <row r="7913" spans="1:1" x14ac:dyDescent="0.2">
      <c r="A7913"/>
    </row>
    <row r="7914" spans="1:1" x14ac:dyDescent="0.2">
      <c r="A7914"/>
    </row>
    <row r="7915" spans="1:1" x14ac:dyDescent="0.2">
      <c r="A7915"/>
    </row>
    <row r="7916" spans="1:1" x14ac:dyDescent="0.2">
      <c r="A7916"/>
    </row>
    <row r="7917" spans="1:1" x14ac:dyDescent="0.2">
      <c r="A7917"/>
    </row>
    <row r="7918" spans="1:1" x14ac:dyDescent="0.2">
      <c r="A7918"/>
    </row>
    <row r="7919" spans="1:1" x14ac:dyDescent="0.2">
      <c r="A7919"/>
    </row>
    <row r="7920" spans="1:1" x14ac:dyDescent="0.2">
      <c r="A7920"/>
    </row>
    <row r="7921" spans="1:1" x14ac:dyDescent="0.2">
      <c r="A7921"/>
    </row>
    <row r="7922" spans="1:1" x14ac:dyDescent="0.2">
      <c r="A7922"/>
    </row>
    <row r="7923" spans="1:1" x14ac:dyDescent="0.2">
      <c r="A7923"/>
    </row>
    <row r="7924" spans="1:1" x14ac:dyDescent="0.2">
      <c r="A7924"/>
    </row>
    <row r="7925" spans="1:1" x14ac:dyDescent="0.2">
      <c r="A7925"/>
    </row>
    <row r="7926" spans="1:1" x14ac:dyDescent="0.2">
      <c r="A7926"/>
    </row>
    <row r="7927" spans="1:1" x14ac:dyDescent="0.2">
      <c r="A7927"/>
    </row>
    <row r="7928" spans="1:1" x14ac:dyDescent="0.2">
      <c r="A7928"/>
    </row>
    <row r="7929" spans="1:1" x14ac:dyDescent="0.2">
      <c r="A7929"/>
    </row>
    <row r="7930" spans="1:1" x14ac:dyDescent="0.2">
      <c r="A7930"/>
    </row>
    <row r="7931" spans="1:1" x14ac:dyDescent="0.2">
      <c r="A7931"/>
    </row>
    <row r="7932" spans="1:1" x14ac:dyDescent="0.2">
      <c r="A7932"/>
    </row>
    <row r="7933" spans="1:1" x14ac:dyDescent="0.2">
      <c r="A7933"/>
    </row>
    <row r="7934" spans="1:1" x14ac:dyDescent="0.2">
      <c r="A7934"/>
    </row>
    <row r="7935" spans="1:1" x14ac:dyDescent="0.2">
      <c r="A7935"/>
    </row>
    <row r="7936" spans="1:1" x14ac:dyDescent="0.2">
      <c r="A7936"/>
    </row>
    <row r="7937" spans="1:1" x14ac:dyDescent="0.2">
      <c r="A7937"/>
    </row>
    <row r="7938" spans="1:1" x14ac:dyDescent="0.2">
      <c r="A7938"/>
    </row>
    <row r="7939" spans="1:1" x14ac:dyDescent="0.2">
      <c r="A7939"/>
    </row>
    <row r="7940" spans="1:1" x14ac:dyDescent="0.2">
      <c r="A7940"/>
    </row>
    <row r="7941" spans="1:1" x14ac:dyDescent="0.2">
      <c r="A7941"/>
    </row>
    <row r="7942" spans="1:1" x14ac:dyDescent="0.2">
      <c r="A7942"/>
    </row>
    <row r="7943" spans="1:1" x14ac:dyDescent="0.2">
      <c r="A7943"/>
    </row>
    <row r="7944" spans="1:1" x14ac:dyDescent="0.2">
      <c r="A7944"/>
    </row>
    <row r="7945" spans="1:1" x14ac:dyDescent="0.2">
      <c r="A7945"/>
    </row>
    <row r="7946" spans="1:1" x14ac:dyDescent="0.2">
      <c r="A7946"/>
    </row>
    <row r="7947" spans="1:1" x14ac:dyDescent="0.2">
      <c r="A7947"/>
    </row>
    <row r="7948" spans="1:1" x14ac:dyDescent="0.2">
      <c r="A7948"/>
    </row>
    <row r="7949" spans="1:1" x14ac:dyDescent="0.2">
      <c r="A7949"/>
    </row>
    <row r="7950" spans="1:1" x14ac:dyDescent="0.2">
      <c r="A7950"/>
    </row>
    <row r="7951" spans="1:1" x14ac:dyDescent="0.2">
      <c r="A7951"/>
    </row>
    <row r="7952" spans="1:1" x14ac:dyDescent="0.2">
      <c r="A7952"/>
    </row>
    <row r="7953" spans="1:1" x14ac:dyDescent="0.2">
      <c r="A7953"/>
    </row>
    <row r="7954" spans="1:1" x14ac:dyDescent="0.2">
      <c r="A7954"/>
    </row>
    <row r="7955" spans="1:1" x14ac:dyDescent="0.2">
      <c r="A7955"/>
    </row>
    <row r="7956" spans="1:1" x14ac:dyDescent="0.2">
      <c r="A7956"/>
    </row>
    <row r="7957" spans="1:1" x14ac:dyDescent="0.2">
      <c r="A7957"/>
    </row>
    <row r="7958" spans="1:1" x14ac:dyDescent="0.2">
      <c r="A7958"/>
    </row>
    <row r="7959" spans="1:1" x14ac:dyDescent="0.2">
      <c r="A7959"/>
    </row>
    <row r="7960" spans="1:1" x14ac:dyDescent="0.2">
      <c r="A7960"/>
    </row>
    <row r="7961" spans="1:1" x14ac:dyDescent="0.2">
      <c r="A7961"/>
    </row>
    <row r="7962" spans="1:1" x14ac:dyDescent="0.2">
      <c r="A7962"/>
    </row>
    <row r="7963" spans="1:1" x14ac:dyDescent="0.2">
      <c r="A7963"/>
    </row>
    <row r="7964" spans="1:1" x14ac:dyDescent="0.2">
      <c r="A7964"/>
    </row>
    <row r="7965" spans="1:1" x14ac:dyDescent="0.2">
      <c r="A7965"/>
    </row>
    <row r="7966" spans="1:1" x14ac:dyDescent="0.2">
      <c r="A7966"/>
    </row>
    <row r="7967" spans="1:1" x14ac:dyDescent="0.2">
      <c r="A7967"/>
    </row>
    <row r="7968" spans="1:1" x14ac:dyDescent="0.2">
      <c r="A7968"/>
    </row>
    <row r="7969" spans="1:1" x14ac:dyDescent="0.2">
      <c r="A7969"/>
    </row>
    <row r="7970" spans="1:1" x14ac:dyDescent="0.2">
      <c r="A7970"/>
    </row>
    <row r="7971" spans="1:1" x14ac:dyDescent="0.2">
      <c r="A7971"/>
    </row>
    <row r="7972" spans="1:1" x14ac:dyDescent="0.2">
      <c r="A7972"/>
    </row>
    <row r="7973" spans="1:1" x14ac:dyDescent="0.2">
      <c r="A7973"/>
    </row>
    <row r="7974" spans="1:1" x14ac:dyDescent="0.2">
      <c r="A7974"/>
    </row>
    <row r="7975" spans="1:1" x14ac:dyDescent="0.2">
      <c r="A7975"/>
    </row>
    <row r="7976" spans="1:1" x14ac:dyDescent="0.2">
      <c r="A7976"/>
    </row>
    <row r="7977" spans="1:1" x14ac:dyDescent="0.2">
      <c r="A7977"/>
    </row>
    <row r="7978" spans="1:1" x14ac:dyDescent="0.2">
      <c r="A7978"/>
    </row>
    <row r="7979" spans="1:1" x14ac:dyDescent="0.2">
      <c r="A7979"/>
    </row>
    <row r="7980" spans="1:1" x14ac:dyDescent="0.2">
      <c r="A7980"/>
    </row>
    <row r="7981" spans="1:1" x14ac:dyDescent="0.2">
      <c r="A7981"/>
    </row>
    <row r="7982" spans="1:1" x14ac:dyDescent="0.2">
      <c r="A7982"/>
    </row>
    <row r="7983" spans="1:1" x14ac:dyDescent="0.2">
      <c r="A7983"/>
    </row>
    <row r="7984" spans="1:1" x14ac:dyDescent="0.2">
      <c r="A7984"/>
    </row>
    <row r="7985" spans="1:1" x14ac:dyDescent="0.2">
      <c r="A7985"/>
    </row>
    <row r="7986" spans="1:1" x14ac:dyDescent="0.2">
      <c r="A7986"/>
    </row>
    <row r="7987" spans="1:1" x14ac:dyDescent="0.2">
      <c r="A7987"/>
    </row>
    <row r="7988" spans="1:1" x14ac:dyDescent="0.2">
      <c r="A7988"/>
    </row>
    <row r="7989" spans="1:1" x14ac:dyDescent="0.2">
      <c r="A7989"/>
    </row>
    <row r="7990" spans="1:1" x14ac:dyDescent="0.2">
      <c r="A7990"/>
    </row>
    <row r="7991" spans="1:1" x14ac:dyDescent="0.2">
      <c r="A7991"/>
    </row>
    <row r="7992" spans="1:1" x14ac:dyDescent="0.2">
      <c r="A7992"/>
    </row>
    <row r="7993" spans="1:1" x14ac:dyDescent="0.2">
      <c r="A7993"/>
    </row>
    <row r="7994" spans="1:1" x14ac:dyDescent="0.2">
      <c r="A7994"/>
    </row>
    <row r="7995" spans="1:1" x14ac:dyDescent="0.2">
      <c r="A7995"/>
    </row>
    <row r="7996" spans="1:1" x14ac:dyDescent="0.2">
      <c r="A7996"/>
    </row>
    <row r="7997" spans="1:1" x14ac:dyDescent="0.2">
      <c r="A7997"/>
    </row>
    <row r="7998" spans="1:1" x14ac:dyDescent="0.2">
      <c r="A7998"/>
    </row>
    <row r="7999" spans="1:1" x14ac:dyDescent="0.2">
      <c r="A7999"/>
    </row>
    <row r="8000" spans="1:1" x14ac:dyDescent="0.2">
      <c r="A8000"/>
    </row>
    <row r="8001" spans="1:1" x14ac:dyDescent="0.2">
      <c r="A8001"/>
    </row>
    <row r="8002" spans="1:1" x14ac:dyDescent="0.2">
      <c r="A8002"/>
    </row>
    <row r="8003" spans="1:1" x14ac:dyDescent="0.2">
      <c r="A8003"/>
    </row>
    <row r="8004" spans="1:1" x14ac:dyDescent="0.2">
      <c r="A8004"/>
    </row>
    <row r="8005" spans="1:1" x14ac:dyDescent="0.2">
      <c r="A8005"/>
    </row>
    <row r="8006" spans="1:1" x14ac:dyDescent="0.2">
      <c r="A8006"/>
    </row>
    <row r="8007" spans="1:1" x14ac:dyDescent="0.2">
      <c r="A8007"/>
    </row>
    <row r="8008" spans="1:1" x14ac:dyDescent="0.2">
      <c r="A8008"/>
    </row>
    <row r="8009" spans="1:1" x14ac:dyDescent="0.2">
      <c r="A8009"/>
    </row>
    <row r="8010" spans="1:1" x14ac:dyDescent="0.2">
      <c r="A8010"/>
    </row>
    <row r="8011" spans="1:1" x14ac:dyDescent="0.2">
      <c r="A8011"/>
    </row>
    <row r="8012" spans="1:1" x14ac:dyDescent="0.2">
      <c r="A8012"/>
    </row>
    <row r="8013" spans="1:1" x14ac:dyDescent="0.2">
      <c r="A8013"/>
    </row>
    <row r="8014" spans="1:1" x14ac:dyDescent="0.2">
      <c r="A8014"/>
    </row>
    <row r="8015" spans="1:1" x14ac:dyDescent="0.2">
      <c r="A8015"/>
    </row>
    <row r="8016" spans="1:1" x14ac:dyDescent="0.2">
      <c r="A8016"/>
    </row>
    <row r="8017" spans="1:1" x14ac:dyDescent="0.2">
      <c r="A8017"/>
    </row>
    <row r="8018" spans="1:1" x14ac:dyDescent="0.2">
      <c r="A8018"/>
    </row>
    <row r="8019" spans="1:1" x14ac:dyDescent="0.2">
      <c r="A8019"/>
    </row>
    <row r="8020" spans="1:1" x14ac:dyDescent="0.2">
      <c r="A8020"/>
    </row>
    <row r="8021" spans="1:1" x14ac:dyDescent="0.2">
      <c r="A8021"/>
    </row>
    <row r="8022" spans="1:1" x14ac:dyDescent="0.2">
      <c r="A8022"/>
    </row>
    <row r="8023" spans="1:1" x14ac:dyDescent="0.2">
      <c r="A8023"/>
    </row>
    <row r="8024" spans="1:1" x14ac:dyDescent="0.2">
      <c r="A8024"/>
    </row>
    <row r="8025" spans="1:1" x14ac:dyDescent="0.2">
      <c r="A8025"/>
    </row>
    <row r="8026" spans="1:1" x14ac:dyDescent="0.2">
      <c r="A8026"/>
    </row>
    <row r="8027" spans="1:1" x14ac:dyDescent="0.2">
      <c r="A8027"/>
    </row>
    <row r="8028" spans="1:1" x14ac:dyDescent="0.2">
      <c r="A8028"/>
    </row>
    <row r="8029" spans="1:1" x14ac:dyDescent="0.2">
      <c r="A8029"/>
    </row>
    <row r="8030" spans="1:1" x14ac:dyDescent="0.2">
      <c r="A8030"/>
    </row>
    <row r="8031" spans="1:1" x14ac:dyDescent="0.2">
      <c r="A8031"/>
    </row>
    <row r="8032" spans="1:1" x14ac:dyDescent="0.2">
      <c r="A8032"/>
    </row>
    <row r="8033" spans="1:1" x14ac:dyDescent="0.2">
      <c r="A8033"/>
    </row>
    <row r="8034" spans="1:1" x14ac:dyDescent="0.2">
      <c r="A8034"/>
    </row>
    <row r="8035" spans="1:1" x14ac:dyDescent="0.2">
      <c r="A8035"/>
    </row>
    <row r="8036" spans="1:1" x14ac:dyDescent="0.2">
      <c r="A8036"/>
    </row>
    <row r="8037" spans="1:1" x14ac:dyDescent="0.2">
      <c r="A8037"/>
    </row>
    <row r="8038" spans="1:1" x14ac:dyDescent="0.2">
      <c r="A8038"/>
    </row>
    <row r="8039" spans="1:1" x14ac:dyDescent="0.2">
      <c r="A8039"/>
    </row>
    <row r="8040" spans="1:1" x14ac:dyDescent="0.2">
      <c r="A8040"/>
    </row>
    <row r="8041" spans="1:1" x14ac:dyDescent="0.2">
      <c r="A8041"/>
    </row>
    <row r="8042" spans="1:1" x14ac:dyDescent="0.2">
      <c r="A8042"/>
    </row>
    <row r="8043" spans="1:1" x14ac:dyDescent="0.2">
      <c r="A8043"/>
    </row>
    <row r="8044" spans="1:1" x14ac:dyDescent="0.2">
      <c r="A8044"/>
    </row>
    <row r="8045" spans="1:1" x14ac:dyDescent="0.2">
      <c r="A8045"/>
    </row>
    <row r="8046" spans="1:1" x14ac:dyDescent="0.2">
      <c r="A8046"/>
    </row>
    <row r="8047" spans="1:1" x14ac:dyDescent="0.2">
      <c r="A8047"/>
    </row>
    <row r="8048" spans="1:1" x14ac:dyDescent="0.2">
      <c r="A8048"/>
    </row>
    <row r="8049" spans="1:1" x14ac:dyDescent="0.2">
      <c r="A8049"/>
    </row>
    <row r="8050" spans="1:1" x14ac:dyDescent="0.2">
      <c r="A8050"/>
    </row>
    <row r="8051" spans="1:1" x14ac:dyDescent="0.2">
      <c r="A8051"/>
    </row>
    <row r="8052" spans="1:1" x14ac:dyDescent="0.2">
      <c r="A8052"/>
    </row>
    <row r="8053" spans="1:1" x14ac:dyDescent="0.2">
      <c r="A8053"/>
    </row>
    <row r="8054" spans="1:1" x14ac:dyDescent="0.2">
      <c r="A8054"/>
    </row>
    <row r="8055" spans="1:1" x14ac:dyDescent="0.2">
      <c r="A8055"/>
    </row>
    <row r="8056" spans="1:1" x14ac:dyDescent="0.2">
      <c r="A8056"/>
    </row>
    <row r="8057" spans="1:1" x14ac:dyDescent="0.2">
      <c r="A8057"/>
    </row>
    <row r="8058" spans="1:1" x14ac:dyDescent="0.2">
      <c r="A8058"/>
    </row>
    <row r="8059" spans="1:1" x14ac:dyDescent="0.2">
      <c r="A8059"/>
    </row>
    <row r="8060" spans="1:1" x14ac:dyDescent="0.2">
      <c r="A8060"/>
    </row>
    <row r="8061" spans="1:1" x14ac:dyDescent="0.2">
      <c r="A8061"/>
    </row>
    <row r="8062" spans="1:1" x14ac:dyDescent="0.2">
      <c r="A8062"/>
    </row>
    <row r="8063" spans="1:1" x14ac:dyDescent="0.2">
      <c r="A8063"/>
    </row>
    <row r="8064" spans="1:1" x14ac:dyDescent="0.2">
      <c r="A8064"/>
    </row>
    <row r="8065" spans="1:1" x14ac:dyDescent="0.2">
      <c r="A8065"/>
    </row>
    <row r="8066" spans="1:1" x14ac:dyDescent="0.2">
      <c r="A8066"/>
    </row>
    <row r="8067" spans="1:1" x14ac:dyDescent="0.2">
      <c r="A8067"/>
    </row>
    <row r="8068" spans="1:1" x14ac:dyDescent="0.2">
      <c r="A8068"/>
    </row>
    <row r="8069" spans="1:1" x14ac:dyDescent="0.2">
      <c r="A8069"/>
    </row>
    <row r="8070" spans="1:1" x14ac:dyDescent="0.2">
      <c r="A8070"/>
    </row>
    <row r="8071" spans="1:1" x14ac:dyDescent="0.2">
      <c r="A8071"/>
    </row>
    <row r="8072" spans="1:1" x14ac:dyDescent="0.2">
      <c r="A8072"/>
    </row>
    <row r="8073" spans="1:1" x14ac:dyDescent="0.2">
      <c r="A8073"/>
    </row>
    <row r="8074" spans="1:1" x14ac:dyDescent="0.2">
      <c r="A8074"/>
    </row>
    <row r="8075" spans="1:1" x14ac:dyDescent="0.2">
      <c r="A8075"/>
    </row>
    <row r="8076" spans="1:1" x14ac:dyDescent="0.2">
      <c r="A8076"/>
    </row>
    <row r="8077" spans="1:1" x14ac:dyDescent="0.2">
      <c r="A8077"/>
    </row>
    <row r="8078" spans="1:1" x14ac:dyDescent="0.2">
      <c r="A8078"/>
    </row>
    <row r="8079" spans="1:1" x14ac:dyDescent="0.2">
      <c r="A8079"/>
    </row>
    <row r="8080" spans="1:1" x14ac:dyDescent="0.2">
      <c r="A8080"/>
    </row>
    <row r="8081" spans="1:1" x14ac:dyDescent="0.2">
      <c r="A8081"/>
    </row>
    <row r="8082" spans="1:1" x14ac:dyDescent="0.2">
      <c r="A8082"/>
    </row>
    <row r="8083" spans="1:1" x14ac:dyDescent="0.2">
      <c r="A8083"/>
    </row>
    <row r="8084" spans="1:1" x14ac:dyDescent="0.2">
      <c r="A8084"/>
    </row>
    <row r="8085" spans="1:1" x14ac:dyDescent="0.2">
      <c r="A8085"/>
    </row>
    <row r="8086" spans="1:1" x14ac:dyDescent="0.2">
      <c r="A8086"/>
    </row>
    <row r="8087" spans="1:1" x14ac:dyDescent="0.2">
      <c r="A8087"/>
    </row>
    <row r="8088" spans="1:1" x14ac:dyDescent="0.2">
      <c r="A8088"/>
    </row>
    <row r="8089" spans="1:1" x14ac:dyDescent="0.2">
      <c r="A8089"/>
    </row>
    <row r="8090" spans="1:1" x14ac:dyDescent="0.2">
      <c r="A8090"/>
    </row>
    <row r="8091" spans="1:1" x14ac:dyDescent="0.2">
      <c r="A8091"/>
    </row>
    <row r="8092" spans="1:1" x14ac:dyDescent="0.2">
      <c r="A8092"/>
    </row>
    <row r="8093" spans="1:1" x14ac:dyDescent="0.2">
      <c r="A8093"/>
    </row>
    <row r="8094" spans="1:1" x14ac:dyDescent="0.2">
      <c r="A8094"/>
    </row>
    <row r="8095" spans="1:1" x14ac:dyDescent="0.2">
      <c r="A8095"/>
    </row>
    <row r="8096" spans="1:1" x14ac:dyDescent="0.2">
      <c r="A8096"/>
    </row>
    <row r="8097" spans="1:1" x14ac:dyDescent="0.2">
      <c r="A8097"/>
    </row>
    <row r="8098" spans="1:1" x14ac:dyDescent="0.2">
      <c r="A8098"/>
    </row>
    <row r="8099" spans="1:1" x14ac:dyDescent="0.2">
      <c r="A8099"/>
    </row>
    <row r="8100" spans="1:1" x14ac:dyDescent="0.2">
      <c r="A8100"/>
    </row>
    <row r="8101" spans="1:1" x14ac:dyDescent="0.2">
      <c r="A8101"/>
    </row>
    <row r="8102" spans="1:1" x14ac:dyDescent="0.2">
      <c r="A8102"/>
    </row>
    <row r="8103" spans="1:1" x14ac:dyDescent="0.2">
      <c r="A8103"/>
    </row>
    <row r="8104" spans="1:1" x14ac:dyDescent="0.2">
      <c r="A8104"/>
    </row>
    <row r="8105" spans="1:1" x14ac:dyDescent="0.2">
      <c r="A8105"/>
    </row>
    <row r="8106" spans="1:1" x14ac:dyDescent="0.2">
      <c r="A8106"/>
    </row>
    <row r="8107" spans="1:1" x14ac:dyDescent="0.2">
      <c r="A8107"/>
    </row>
    <row r="8108" spans="1:1" x14ac:dyDescent="0.2">
      <c r="A8108"/>
    </row>
    <row r="8109" spans="1:1" x14ac:dyDescent="0.2">
      <c r="A8109"/>
    </row>
    <row r="8110" spans="1:1" x14ac:dyDescent="0.2">
      <c r="A8110"/>
    </row>
    <row r="8111" spans="1:1" x14ac:dyDescent="0.2">
      <c r="A8111"/>
    </row>
    <row r="8112" spans="1:1" x14ac:dyDescent="0.2">
      <c r="A8112"/>
    </row>
    <row r="8113" spans="1:1" x14ac:dyDescent="0.2">
      <c r="A8113"/>
    </row>
    <row r="8114" spans="1:1" x14ac:dyDescent="0.2">
      <c r="A8114"/>
    </row>
    <row r="8115" spans="1:1" x14ac:dyDescent="0.2">
      <c r="A8115"/>
    </row>
    <row r="8116" spans="1:1" x14ac:dyDescent="0.2">
      <c r="A8116"/>
    </row>
    <row r="8117" spans="1:1" x14ac:dyDescent="0.2">
      <c r="A8117"/>
    </row>
    <row r="8118" spans="1:1" x14ac:dyDescent="0.2">
      <c r="A8118"/>
    </row>
    <row r="8119" spans="1:1" x14ac:dyDescent="0.2">
      <c r="A8119"/>
    </row>
    <row r="8120" spans="1:1" x14ac:dyDescent="0.2">
      <c r="A8120"/>
    </row>
    <row r="8121" spans="1:1" x14ac:dyDescent="0.2">
      <c r="A8121"/>
    </row>
    <row r="8122" spans="1:1" x14ac:dyDescent="0.2">
      <c r="A8122"/>
    </row>
    <row r="8123" spans="1:1" x14ac:dyDescent="0.2">
      <c r="A8123"/>
    </row>
    <row r="8124" spans="1:1" x14ac:dyDescent="0.2">
      <c r="A8124"/>
    </row>
    <row r="8125" spans="1:1" x14ac:dyDescent="0.2">
      <c r="A8125"/>
    </row>
    <row r="8126" spans="1:1" x14ac:dyDescent="0.2">
      <c r="A8126"/>
    </row>
    <row r="8127" spans="1:1" x14ac:dyDescent="0.2">
      <c r="A8127"/>
    </row>
    <row r="8128" spans="1:1" x14ac:dyDescent="0.2">
      <c r="A8128"/>
    </row>
    <row r="8129" spans="1:1" x14ac:dyDescent="0.2">
      <c r="A8129"/>
    </row>
    <row r="8130" spans="1:1" x14ac:dyDescent="0.2">
      <c r="A8130"/>
    </row>
    <row r="8131" spans="1:1" x14ac:dyDescent="0.2">
      <c r="A8131"/>
    </row>
    <row r="8132" spans="1:1" x14ac:dyDescent="0.2">
      <c r="A8132"/>
    </row>
    <row r="8133" spans="1:1" x14ac:dyDescent="0.2">
      <c r="A8133"/>
    </row>
    <row r="8134" spans="1:1" x14ac:dyDescent="0.2">
      <c r="A8134"/>
    </row>
    <row r="8135" spans="1:1" x14ac:dyDescent="0.2">
      <c r="A8135"/>
    </row>
    <row r="8136" spans="1:1" x14ac:dyDescent="0.2">
      <c r="A8136"/>
    </row>
    <row r="8137" spans="1:1" x14ac:dyDescent="0.2">
      <c r="A8137"/>
    </row>
    <row r="8138" spans="1:1" x14ac:dyDescent="0.2">
      <c r="A8138"/>
    </row>
    <row r="8139" spans="1:1" x14ac:dyDescent="0.2">
      <c r="A8139"/>
    </row>
    <row r="8140" spans="1:1" x14ac:dyDescent="0.2">
      <c r="A8140"/>
    </row>
    <row r="8141" spans="1:1" x14ac:dyDescent="0.2">
      <c r="A8141"/>
    </row>
    <row r="8142" spans="1:1" x14ac:dyDescent="0.2">
      <c r="A8142"/>
    </row>
    <row r="8143" spans="1:1" x14ac:dyDescent="0.2">
      <c r="A8143"/>
    </row>
    <row r="8144" spans="1:1" x14ac:dyDescent="0.2">
      <c r="A8144"/>
    </row>
    <row r="8145" spans="1:1" x14ac:dyDescent="0.2">
      <c r="A8145"/>
    </row>
    <row r="8146" spans="1:1" x14ac:dyDescent="0.2">
      <c r="A8146"/>
    </row>
    <row r="8147" spans="1:1" x14ac:dyDescent="0.2">
      <c r="A8147"/>
    </row>
    <row r="8148" spans="1:1" x14ac:dyDescent="0.2">
      <c r="A8148"/>
    </row>
    <row r="8149" spans="1:1" x14ac:dyDescent="0.2">
      <c r="A8149"/>
    </row>
    <row r="8150" spans="1:1" x14ac:dyDescent="0.2">
      <c r="A8150"/>
    </row>
    <row r="8151" spans="1:1" x14ac:dyDescent="0.2">
      <c r="A8151"/>
    </row>
    <row r="8152" spans="1:1" x14ac:dyDescent="0.2">
      <c r="A8152"/>
    </row>
    <row r="8153" spans="1:1" x14ac:dyDescent="0.2">
      <c r="A8153"/>
    </row>
    <row r="8154" spans="1:1" x14ac:dyDescent="0.2">
      <c r="A8154"/>
    </row>
    <row r="8155" spans="1:1" x14ac:dyDescent="0.2">
      <c r="A8155"/>
    </row>
    <row r="8156" spans="1:1" x14ac:dyDescent="0.2">
      <c r="A8156"/>
    </row>
    <row r="8157" spans="1:1" x14ac:dyDescent="0.2">
      <c r="A8157"/>
    </row>
    <row r="8158" spans="1:1" x14ac:dyDescent="0.2">
      <c r="A8158"/>
    </row>
    <row r="8159" spans="1:1" x14ac:dyDescent="0.2">
      <c r="A8159"/>
    </row>
    <row r="8160" spans="1:1" x14ac:dyDescent="0.2">
      <c r="A8160"/>
    </row>
    <row r="8161" spans="1:1" x14ac:dyDescent="0.2">
      <c r="A8161"/>
    </row>
    <row r="8162" spans="1:1" x14ac:dyDescent="0.2">
      <c r="A8162"/>
    </row>
    <row r="8163" spans="1:1" x14ac:dyDescent="0.2">
      <c r="A8163"/>
    </row>
    <row r="8164" spans="1:1" x14ac:dyDescent="0.2">
      <c r="A8164"/>
    </row>
    <row r="8165" spans="1:1" x14ac:dyDescent="0.2">
      <c r="A8165"/>
    </row>
    <row r="8166" spans="1:1" x14ac:dyDescent="0.2">
      <c r="A8166"/>
    </row>
    <row r="8167" spans="1:1" x14ac:dyDescent="0.2">
      <c r="A8167"/>
    </row>
    <row r="8168" spans="1:1" x14ac:dyDescent="0.2">
      <c r="A8168"/>
    </row>
    <row r="8169" spans="1:1" x14ac:dyDescent="0.2">
      <c r="A8169"/>
    </row>
    <row r="8170" spans="1:1" x14ac:dyDescent="0.2">
      <c r="A8170"/>
    </row>
    <row r="8171" spans="1:1" x14ac:dyDescent="0.2">
      <c r="A8171"/>
    </row>
    <row r="8172" spans="1:1" x14ac:dyDescent="0.2">
      <c r="A8172"/>
    </row>
    <row r="8173" spans="1:1" x14ac:dyDescent="0.2">
      <c r="A8173"/>
    </row>
    <row r="8174" spans="1:1" x14ac:dyDescent="0.2">
      <c r="A8174"/>
    </row>
    <row r="8175" spans="1:1" x14ac:dyDescent="0.2">
      <c r="A8175"/>
    </row>
    <row r="8176" spans="1:1" x14ac:dyDescent="0.2">
      <c r="A8176"/>
    </row>
    <row r="8177" spans="1:1" x14ac:dyDescent="0.2">
      <c r="A8177"/>
    </row>
    <row r="8178" spans="1:1" x14ac:dyDescent="0.2">
      <c r="A8178"/>
    </row>
    <row r="8179" spans="1:1" x14ac:dyDescent="0.2">
      <c r="A8179"/>
    </row>
    <row r="8180" spans="1:1" x14ac:dyDescent="0.2">
      <c r="A8180"/>
    </row>
    <row r="8181" spans="1:1" x14ac:dyDescent="0.2">
      <c r="A8181"/>
    </row>
    <row r="8182" spans="1:1" x14ac:dyDescent="0.2">
      <c r="A8182"/>
    </row>
    <row r="8183" spans="1:1" x14ac:dyDescent="0.2">
      <c r="A8183"/>
    </row>
    <row r="8184" spans="1:1" x14ac:dyDescent="0.2">
      <c r="A8184"/>
    </row>
    <row r="8185" spans="1:1" x14ac:dyDescent="0.2">
      <c r="A8185"/>
    </row>
    <row r="8186" spans="1:1" x14ac:dyDescent="0.2">
      <c r="A8186"/>
    </row>
    <row r="8187" spans="1:1" x14ac:dyDescent="0.2">
      <c r="A8187"/>
    </row>
    <row r="8188" spans="1:1" x14ac:dyDescent="0.2">
      <c r="A8188"/>
    </row>
    <row r="8189" spans="1:1" x14ac:dyDescent="0.2">
      <c r="A8189"/>
    </row>
    <row r="8190" spans="1:1" x14ac:dyDescent="0.2">
      <c r="A8190"/>
    </row>
    <row r="8191" spans="1:1" x14ac:dyDescent="0.2">
      <c r="A8191"/>
    </row>
    <row r="8192" spans="1:1" x14ac:dyDescent="0.2">
      <c r="A8192"/>
    </row>
    <row r="8193" spans="1:1" x14ac:dyDescent="0.2">
      <c r="A8193"/>
    </row>
    <row r="8194" spans="1:1" x14ac:dyDescent="0.2">
      <c r="A8194"/>
    </row>
    <row r="8195" spans="1:1" x14ac:dyDescent="0.2">
      <c r="A8195"/>
    </row>
    <row r="8196" spans="1:1" x14ac:dyDescent="0.2">
      <c r="A8196"/>
    </row>
    <row r="8197" spans="1:1" x14ac:dyDescent="0.2">
      <c r="A8197"/>
    </row>
    <row r="8198" spans="1:1" x14ac:dyDescent="0.2">
      <c r="A8198"/>
    </row>
    <row r="8199" spans="1:1" x14ac:dyDescent="0.2">
      <c r="A8199"/>
    </row>
    <row r="8200" spans="1:1" x14ac:dyDescent="0.2">
      <c r="A8200"/>
    </row>
    <row r="8201" spans="1:1" x14ac:dyDescent="0.2">
      <c r="A8201"/>
    </row>
    <row r="8202" spans="1:1" x14ac:dyDescent="0.2">
      <c r="A8202"/>
    </row>
    <row r="8203" spans="1:1" x14ac:dyDescent="0.2">
      <c r="A8203"/>
    </row>
    <row r="8204" spans="1:1" x14ac:dyDescent="0.2">
      <c r="A8204"/>
    </row>
    <row r="8205" spans="1:1" x14ac:dyDescent="0.2">
      <c r="A8205"/>
    </row>
    <row r="8206" spans="1:1" x14ac:dyDescent="0.2">
      <c r="A8206"/>
    </row>
    <row r="8207" spans="1:1" x14ac:dyDescent="0.2">
      <c r="A8207"/>
    </row>
    <row r="8208" spans="1:1" x14ac:dyDescent="0.2">
      <c r="A8208"/>
    </row>
    <row r="8209" spans="1:1" x14ac:dyDescent="0.2">
      <c r="A8209"/>
    </row>
    <row r="8210" spans="1:1" x14ac:dyDescent="0.2">
      <c r="A8210"/>
    </row>
    <row r="8211" spans="1:1" x14ac:dyDescent="0.2">
      <c r="A8211"/>
    </row>
    <row r="8212" spans="1:1" x14ac:dyDescent="0.2">
      <c r="A8212"/>
    </row>
    <row r="8213" spans="1:1" x14ac:dyDescent="0.2">
      <c r="A8213"/>
    </row>
    <row r="8214" spans="1:1" x14ac:dyDescent="0.2">
      <c r="A8214"/>
    </row>
    <row r="8215" spans="1:1" x14ac:dyDescent="0.2">
      <c r="A8215"/>
    </row>
    <row r="8216" spans="1:1" x14ac:dyDescent="0.2">
      <c r="A8216"/>
    </row>
    <row r="8217" spans="1:1" x14ac:dyDescent="0.2">
      <c r="A8217"/>
    </row>
    <row r="8218" spans="1:1" x14ac:dyDescent="0.2">
      <c r="A8218"/>
    </row>
    <row r="8219" spans="1:1" x14ac:dyDescent="0.2">
      <c r="A8219"/>
    </row>
    <row r="8220" spans="1:1" x14ac:dyDescent="0.2">
      <c r="A8220"/>
    </row>
    <row r="8221" spans="1:1" x14ac:dyDescent="0.2">
      <c r="A8221"/>
    </row>
    <row r="8222" spans="1:1" x14ac:dyDescent="0.2">
      <c r="A8222"/>
    </row>
    <row r="8223" spans="1:1" x14ac:dyDescent="0.2">
      <c r="A8223"/>
    </row>
    <row r="8224" spans="1:1" x14ac:dyDescent="0.2">
      <c r="A8224"/>
    </row>
    <row r="8225" spans="1:1" x14ac:dyDescent="0.2">
      <c r="A8225"/>
    </row>
    <row r="8226" spans="1:1" x14ac:dyDescent="0.2">
      <c r="A8226"/>
    </row>
    <row r="8227" spans="1:1" x14ac:dyDescent="0.2">
      <c r="A8227"/>
    </row>
    <row r="8228" spans="1:1" x14ac:dyDescent="0.2">
      <c r="A8228"/>
    </row>
    <row r="8229" spans="1:1" x14ac:dyDescent="0.2">
      <c r="A8229"/>
    </row>
    <row r="8230" spans="1:1" x14ac:dyDescent="0.2">
      <c r="A8230"/>
    </row>
    <row r="8231" spans="1:1" x14ac:dyDescent="0.2">
      <c r="A8231"/>
    </row>
    <row r="8232" spans="1:1" x14ac:dyDescent="0.2">
      <c r="A8232"/>
    </row>
    <row r="8233" spans="1:1" x14ac:dyDescent="0.2">
      <c r="A8233"/>
    </row>
    <row r="8234" spans="1:1" x14ac:dyDescent="0.2">
      <c r="A8234"/>
    </row>
    <row r="8235" spans="1:1" x14ac:dyDescent="0.2">
      <c r="A8235"/>
    </row>
    <row r="8236" spans="1:1" x14ac:dyDescent="0.2">
      <c r="A8236"/>
    </row>
    <row r="8237" spans="1:1" x14ac:dyDescent="0.2">
      <c r="A8237"/>
    </row>
    <row r="8238" spans="1:1" x14ac:dyDescent="0.2">
      <c r="A8238"/>
    </row>
    <row r="8239" spans="1:1" x14ac:dyDescent="0.2">
      <c r="A8239"/>
    </row>
    <row r="8240" spans="1:1" x14ac:dyDescent="0.2">
      <c r="A8240"/>
    </row>
    <row r="8241" spans="1:1" x14ac:dyDescent="0.2">
      <c r="A8241"/>
    </row>
    <row r="8242" spans="1:1" x14ac:dyDescent="0.2">
      <c r="A8242"/>
    </row>
    <row r="8243" spans="1:1" x14ac:dyDescent="0.2">
      <c r="A8243"/>
    </row>
    <row r="8244" spans="1:1" x14ac:dyDescent="0.2">
      <c r="A8244"/>
    </row>
    <row r="8245" spans="1:1" x14ac:dyDescent="0.2">
      <c r="A8245"/>
    </row>
    <row r="8246" spans="1:1" x14ac:dyDescent="0.2">
      <c r="A8246"/>
    </row>
    <row r="8247" spans="1:1" x14ac:dyDescent="0.2">
      <c r="A8247"/>
    </row>
    <row r="8248" spans="1:1" x14ac:dyDescent="0.2">
      <c r="A8248"/>
    </row>
    <row r="8249" spans="1:1" x14ac:dyDescent="0.2">
      <c r="A8249"/>
    </row>
    <row r="8250" spans="1:1" x14ac:dyDescent="0.2">
      <c r="A8250"/>
    </row>
    <row r="8251" spans="1:1" x14ac:dyDescent="0.2">
      <c r="A8251"/>
    </row>
    <row r="8252" spans="1:1" x14ac:dyDescent="0.2">
      <c r="A8252"/>
    </row>
    <row r="8253" spans="1:1" x14ac:dyDescent="0.2">
      <c r="A8253"/>
    </row>
    <row r="8254" spans="1:1" x14ac:dyDescent="0.2">
      <c r="A8254"/>
    </row>
    <row r="8255" spans="1:1" x14ac:dyDescent="0.2">
      <c r="A8255"/>
    </row>
    <row r="8256" spans="1:1" x14ac:dyDescent="0.2">
      <c r="A8256"/>
    </row>
    <row r="8257" spans="1:1" x14ac:dyDescent="0.2">
      <c r="A8257"/>
    </row>
    <row r="8258" spans="1:1" x14ac:dyDescent="0.2">
      <c r="A8258"/>
    </row>
    <row r="8259" spans="1:1" x14ac:dyDescent="0.2">
      <c r="A8259"/>
    </row>
    <row r="8260" spans="1:1" x14ac:dyDescent="0.2">
      <c r="A8260"/>
    </row>
    <row r="8261" spans="1:1" x14ac:dyDescent="0.2">
      <c r="A8261"/>
    </row>
    <row r="8262" spans="1:1" x14ac:dyDescent="0.2">
      <c r="A8262"/>
    </row>
    <row r="8263" spans="1:1" x14ac:dyDescent="0.2">
      <c r="A8263"/>
    </row>
    <row r="8264" spans="1:1" x14ac:dyDescent="0.2">
      <c r="A8264"/>
    </row>
    <row r="8265" spans="1:1" x14ac:dyDescent="0.2">
      <c r="A8265"/>
    </row>
    <row r="8266" spans="1:1" x14ac:dyDescent="0.2">
      <c r="A8266"/>
    </row>
    <row r="8267" spans="1:1" x14ac:dyDescent="0.2">
      <c r="A8267"/>
    </row>
    <row r="8268" spans="1:1" x14ac:dyDescent="0.2">
      <c r="A8268"/>
    </row>
    <row r="8269" spans="1:1" x14ac:dyDescent="0.2">
      <c r="A8269"/>
    </row>
    <row r="8270" spans="1:1" x14ac:dyDescent="0.2">
      <c r="A8270"/>
    </row>
    <row r="8271" spans="1:1" x14ac:dyDescent="0.2">
      <c r="A8271"/>
    </row>
    <row r="8272" spans="1:1" x14ac:dyDescent="0.2">
      <c r="A8272"/>
    </row>
    <row r="8273" spans="1:1" x14ac:dyDescent="0.2">
      <c r="A8273"/>
    </row>
    <row r="8274" spans="1:1" x14ac:dyDescent="0.2">
      <c r="A8274"/>
    </row>
    <row r="8275" spans="1:1" x14ac:dyDescent="0.2">
      <c r="A8275"/>
    </row>
    <row r="8276" spans="1:1" x14ac:dyDescent="0.2">
      <c r="A8276"/>
    </row>
    <row r="8277" spans="1:1" x14ac:dyDescent="0.2">
      <c r="A8277"/>
    </row>
    <row r="8278" spans="1:1" x14ac:dyDescent="0.2">
      <c r="A8278"/>
    </row>
    <row r="8279" spans="1:1" x14ac:dyDescent="0.2">
      <c r="A8279"/>
    </row>
    <row r="8280" spans="1:1" x14ac:dyDescent="0.2">
      <c r="A8280"/>
    </row>
    <row r="8281" spans="1:1" x14ac:dyDescent="0.2">
      <c r="A8281"/>
    </row>
    <row r="8282" spans="1:1" x14ac:dyDescent="0.2">
      <c r="A8282"/>
    </row>
    <row r="8283" spans="1:1" x14ac:dyDescent="0.2">
      <c r="A8283"/>
    </row>
    <row r="8284" spans="1:1" x14ac:dyDescent="0.2">
      <c r="A8284"/>
    </row>
    <row r="8285" spans="1:1" x14ac:dyDescent="0.2">
      <c r="A8285"/>
    </row>
    <row r="8286" spans="1:1" x14ac:dyDescent="0.2">
      <c r="A8286"/>
    </row>
    <row r="8287" spans="1:1" x14ac:dyDescent="0.2">
      <c r="A8287"/>
    </row>
    <row r="8288" spans="1:1" x14ac:dyDescent="0.2">
      <c r="A8288"/>
    </row>
    <row r="8289" spans="1:1" x14ac:dyDescent="0.2">
      <c r="A8289"/>
    </row>
    <row r="8290" spans="1:1" x14ac:dyDescent="0.2">
      <c r="A8290"/>
    </row>
    <row r="8291" spans="1:1" x14ac:dyDescent="0.2">
      <c r="A8291"/>
    </row>
    <row r="8292" spans="1:1" x14ac:dyDescent="0.2">
      <c r="A8292"/>
    </row>
    <row r="8293" spans="1:1" x14ac:dyDescent="0.2">
      <c r="A8293"/>
    </row>
    <row r="8294" spans="1:1" x14ac:dyDescent="0.2">
      <c r="A8294"/>
    </row>
    <row r="8295" spans="1:1" x14ac:dyDescent="0.2">
      <c r="A8295"/>
    </row>
    <row r="8296" spans="1:1" x14ac:dyDescent="0.2">
      <c r="A8296"/>
    </row>
    <row r="8297" spans="1:1" x14ac:dyDescent="0.2">
      <c r="A8297"/>
    </row>
    <row r="8298" spans="1:1" x14ac:dyDescent="0.2">
      <c r="A8298"/>
    </row>
    <row r="8299" spans="1:1" x14ac:dyDescent="0.2">
      <c r="A8299"/>
    </row>
    <row r="8300" spans="1:1" x14ac:dyDescent="0.2">
      <c r="A8300"/>
    </row>
    <row r="8301" spans="1:1" x14ac:dyDescent="0.2">
      <c r="A8301"/>
    </row>
    <row r="8302" spans="1:1" x14ac:dyDescent="0.2">
      <c r="A8302"/>
    </row>
    <row r="8303" spans="1:1" x14ac:dyDescent="0.2">
      <c r="A8303"/>
    </row>
    <row r="8304" spans="1:1" x14ac:dyDescent="0.2">
      <c r="A8304"/>
    </row>
    <row r="8305" spans="1:1" x14ac:dyDescent="0.2">
      <c r="A8305"/>
    </row>
    <row r="8306" spans="1:1" x14ac:dyDescent="0.2">
      <c r="A8306"/>
    </row>
    <row r="8307" spans="1:1" x14ac:dyDescent="0.2">
      <c r="A8307"/>
    </row>
    <row r="8308" spans="1:1" x14ac:dyDescent="0.2">
      <c r="A8308"/>
    </row>
    <row r="8309" spans="1:1" x14ac:dyDescent="0.2">
      <c r="A8309"/>
    </row>
    <row r="8310" spans="1:1" x14ac:dyDescent="0.2">
      <c r="A8310"/>
    </row>
    <row r="8311" spans="1:1" x14ac:dyDescent="0.2">
      <c r="A8311"/>
    </row>
    <row r="8312" spans="1:1" x14ac:dyDescent="0.2">
      <c r="A8312"/>
    </row>
    <row r="8313" spans="1:1" x14ac:dyDescent="0.2">
      <c r="A8313"/>
    </row>
    <row r="8314" spans="1:1" x14ac:dyDescent="0.2">
      <c r="A8314"/>
    </row>
    <row r="8315" spans="1:1" x14ac:dyDescent="0.2">
      <c r="A8315"/>
    </row>
    <row r="8316" spans="1:1" x14ac:dyDescent="0.2">
      <c r="A8316"/>
    </row>
    <row r="8317" spans="1:1" x14ac:dyDescent="0.2">
      <c r="A8317"/>
    </row>
    <row r="8318" spans="1:1" x14ac:dyDescent="0.2">
      <c r="A8318"/>
    </row>
    <row r="8319" spans="1:1" x14ac:dyDescent="0.2">
      <c r="A8319"/>
    </row>
    <row r="8320" spans="1:1" x14ac:dyDescent="0.2">
      <c r="A8320"/>
    </row>
    <row r="8321" spans="1:1" x14ac:dyDescent="0.2">
      <c r="A8321"/>
    </row>
    <row r="8322" spans="1:1" x14ac:dyDescent="0.2">
      <c r="A8322"/>
    </row>
    <row r="8323" spans="1:1" x14ac:dyDescent="0.2">
      <c r="A8323"/>
    </row>
    <row r="8324" spans="1:1" x14ac:dyDescent="0.2">
      <c r="A8324"/>
    </row>
    <row r="8325" spans="1:1" x14ac:dyDescent="0.2">
      <c r="A8325"/>
    </row>
    <row r="8326" spans="1:1" x14ac:dyDescent="0.2">
      <c r="A8326"/>
    </row>
    <row r="8327" spans="1:1" x14ac:dyDescent="0.2">
      <c r="A8327"/>
    </row>
    <row r="8328" spans="1:1" x14ac:dyDescent="0.2">
      <c r="A8328"/>
    </row>
    <row r="8329" spans="1:1" x14ac:dyDescent="0.2">
      <c r="A8329"/>
    </row>
    <row r="8330" spans="1:1" x14ac:dyDescent="0.2">
      <c r="A8330"/>
    </row>
    <row r="8331" spans="1:1" x14ac:dyDescent="0.2">
      <c r="A8331"/>
    </row>
    <row r="8332" spans="1:1" x14ac:dyDescent="0.2">
      <c r="A8332"/>
    </row>
    <row r="8333" spans="1:1" x14ac:dyDescent="0.2">
      <c r="A8333"/>
    </row>
    <row r="8334" spans="1:1" x14ac:dyDescent="0.2">
      <c r="A8334"/>
    </row>
    <row r="8335" spans="1:1" x14ac:dyDescent="0.2">
      <c r="A8335"/>
    </row>
    <row r="8336" spans="1:1" x14ac:dyDescent="0.2">
      <c r="A8336"/>
    </row>
    <row r="8337" spans="1:1" x14ac:dyDescent="0.2">
      <c r="A8337"/>
    </row>
    <row r="8338" spans="1:1" x14ac:dyDescent="0.2">
      <c r="A8338"/>
    </row>
    <row r="8339" spans="1:1" x14ac:dyDescent="0.2">
      <c r="A8339"/>
    </row>
    <row r="8340" spans="1:1" x14ac:dyDescent="0.2">
      <c r="A8340"/>
    </row>
    <row r="8341" spans="1:1" x14ac:dyDescent="0.2">
      <c r="A8341"/>
    </row>
    <row r="8342" spans="1:1" x14ac:dyDescent="0.2">
      <c r="A8342"/>
    </row>
    <row r="8343" spans="1:1" x14ac:dyDescent="0.2">
      <c r="A8343"/>
    </row>
    <row r="8344" spans="1:1" x14ac:dyDescent="0.2">
      <c r="A8344"/>
    </row>
    <row r="8345" spans="1:1" x14ac:dyDescent="0.2">
      <c r="A8345"/>
    </row>
    <row r="8346" spans="1:1" x14ac:dyDescent="0.2">
      <c r="A8346"/>
    </row>
    <row r="8347" spans="1:1" x14ac:dyDescent="0.2">
      <c r="A8347"/>
    </row>
    <row r="8348" spans="1:1" x14ac:dyDescent="0.2">
      <c r="A8348"/>
    </row>
    <row r="8349" spans="1:1" x14ac:dyDescent="0.2">
      <c r="A8349"/>
    </row>
    <row r="8350" spans="1:1" x14ac:dyDescent="0.2">
      <c r="A8350"/>
    </row>
    <row r="8351" spans="1:1" x14ac:dyDescent="0.2">
      <c r="A8351"/>
    </row>
    <row r="8352" spans="1:1" x14ac:dyDescent="0.2">
      <c r="A8352"/>
    </row>
    <row r="8353" spans="1:1" x14ac:dyDescent="0.2">
      <c r="A8353"/>
    </row>
    <row r="8354" spans="1:1" x14ac:dyDescent="0.2">
      <c r="A8354"/>
    </row>
    <row r="8355" spans="1:1" x14ac:dyDescent="0.2">
      <c r="A8355"/>
    </row>
    <row r="8356" spans="1:1" x14ac:dyDescent="0.2">
      <c r="A8356"/>
    </row>
    <row r="8357" spans="1:1" x14ac:dyDescent="0.2">
      <c r="A8357"/>
    </row>
    <row r="8358" spans="1:1" x14ac:dyDescent="0.2">
      <c r="A8358"/>
    </row>
    <row r="8359" spans="1:1" x14ac:dyDescent="0.2">
      <c r="A8359"/>
    </row>
    <row r="8360" spans="1:1" x14ac:dyDescent="0.2">
      <c r="A8360"/>
    </row>
    <row r="8361" spans="1:1" x14ac:dyDescent="0.2">
      <c r="A8361"/>
    </row>
    <row r="8362" spans="1:1" x14ac:dyDescent="0.2">
      <c r="A8362"/>
    </row>
    <row r="8363" spans="1:1" x14ac:dyDescent="0.2">
      <c r="A8363"/>
    </row>
    <row r="8364" spans="1:1" x14ac:dyDescent="0.2">
      <c r="A8364"/>
    </row>
    <row r="8365" spans="1:1" x14ac:dyDescent="0.2">
      <c r="A8365"/>
    </row>
    <row r="8366" spans="1:1" x14ac:dyDescent="0.2">
      <c r="A8366"/>
    </row>
    <row r="8367" spans="1:1" x14ac:dyDescent="0.2">
      <c r="A8367"/>
    </row>
    <row r="8368" spans="1:1" x14ac:dyDescent="0.2">
      <c r="A8368"/>
    </row>
    <row r="8369" spans="1:1" x14ac:dyDescent="0.2">
      <c r="A8369"/>
    </row>
    <row r="8370" spans="1:1" x14ac:dyDescent="0.2">
      <c r="A8370"/>
    </row>
    <row r="8371" spans="1:1" x14ac:dyDescent="0.2">
      <c r="A8371"/>
    </row>
    <row r="8372" spans="1:1" x14ac:dyDescent="0.2">
      <c r="A8372"/>
    </row>
    <row r="8373" spans="1:1" x14ac:dyDescent="0.2">
      <c r="A8373"/>
    </row>
    <row r="8374" spans="1:1" x14ac:dyDescent="0.2">
      <c r="A8374"/>
    </row>
    <row r="8375" spans="1:1" x14ac:dyDescent="0.2">
      <c r="A8375"/>
    </row>
    <row r="8376" spans="1:1" x14ac:dyDescent="0.2">
      <c r="A8376"/>
    </row>
    <row r="8377" spans="1:1" x14ac:dyDescent="0.2">
      <c r="A8377"/>
    </row>
    <row r="8378" spans="1:1" x14ac:dyDescent="0.2">
      <c r="A8378"/>
    </row>
    <row r="8379" spans="1:1" x14ac:dyDescent="0.2">
      <c r="A8379"/>
    </row>
    <row r="8380" spans="1:1" x14ac:dyDescent="0.2">
      <c r="A8380"/>
    </row>
    <row r="8381" spans="1:1" x14ac:dyDescent="0.2">
      <c r="A8381"/>
    </row>
    <row r="8382" spans="1:1" x14ac:dyDescent="0.2">
      <c r="A8382"/>
    </row>
    <row r="8383" spans="1:1" x14ac:dyDescent="0.2">
      <c r="A8383"/>
    </row>
    <row r="8384" spans="1:1" x14ac:dyDescent="0.2">
      <c r="A8384"/>
    </row>
    <row r="8385" spans="1:1" x14ac:dyDescent="0.2">
      <c r="A8385"/>
    </row>
    <row r="8386" spans="1:1" x14ac:dyDescent="0.2">
      <c r="A8386"/>
    </row>
    <row r="8387" spans="1:1" x14ac:dyDescent="0.2">
      <c r="A8387"/>
    </row>
    <row r="8388" spans="1:1" x14ac:dyDescent="0.2">
      <c r="A8388"/>
    </row>
    <row r="8389" spans="1:1" x14ac:dyDescent="0.2">
      <c r="A8389"/>
    </row>
    <row r="8390" spans="1:1" x14ac:dyDescent="0.2">
      <c r="A8390"/>
    </row>
    <row r="8391" spans="1:1" x14ac:dyDescent="0.2">
      <c r="A8391"/>
    </row>
    <row r="8392" spans="1:1" x14ac:dyDescent="0.2">
      <c r="A8392"/>
    </row>
    <row r="8393" spans="1:1" x14ac:dyDescent="0.2">
      <c r="A8393"/>
    </row>
    <row r="8394" spans="1:1" x14ac:dyDescent="0.2">
      <c r="A8394"/>
    </row>
    <row r="8395" spans="1:1" x14ac:dyDescent="0.2">
      <c r="A8395"/>
    </row>
    <row r="8396" spans="1:1" x14ac:dyDescent="0.2">
      <c r="A8396"/>
    </row>
    <row r="8397" spans="1:1" x14ac:dyDescent="0.2">
      <c r="A8397"/>
    </row>
    <row r="8398" spans="1:1" x14ac:dyDescent="0.2">
      <c r="A8398"/>
    </row>
    <row r="8399" spans="1:1" x14ac:dyDescent="0.2">
      <c r="A8399"/>
    </row>
    <row r="8400" spans="1:1" x14ac:dyDescent="0.2">
      <c r="A8400"/>
    </row>
    <row r="8401" spans="1:1" x14ac:dyDescent="0.2">
      <c r="A8401"/>
    </row>
    <row r="8402" spans="1:1" x14ac:dyDescent="0.2">
      <c r="A8402"/>
    </row>
    <row r="8403" spans="1:1" x14ac:dyDescent="0.2">
      <c r="A8403"/>
    </row>
    <row r="8404" spans="1:1" x14ac:dyDescent="0.2">
      <c r="A8404"/>
    </row>
    <row r="8405" spans="1:1" x14ac:dyDescent="0.2">
      <c r="A8405"/>
    </row>
    <row r="8406" spans="1:1" x14ac:dyDescent="0.2">
      <c r="A8406"/>
    </row>
    <row r="8407" spans="1:1" x14ac:dyDescent="0.2">
      <c r="A8407"/>
    </row>
    <row r="8408" spans="1:1" x14ac:dyDescent="0.2">
      <c r="A8408"/>
    </row>
    <row r="8409" spans="1:1" x14ac:dyDescent="0.2">
      <c r="A8409"/>
    </row>
    <row r="8410" spans="1:1" x14ac:dyDescent="0.2">
      <c r="A8410"/>
    </row>
    <row r="8411" spans="1:1" x14ac:dyDescent="0.2">
      <c r="A8411"/>
    </row>
    <row r="8412" spans="1:1" x14ac:dyDescent="0.2">
      <c r="A8412"/>
    </row>
    <row r="8413" spans="1:1" x14ac:dyDescent="0.2">
      <c r="A8413"/>
    </row>
    <row r="8414" spans="1:1" x14ac:dyDescent="0.2">
      <c r="A8414"/>
    </row>
    <row r="8415" spans="1:1" x14ac:dyDescent="0.2">
      <c r="A8415"/>
    </row>
    <row r="8416" spans="1:1" x14ac:dyDescent="0.2">
      <c r="A8416"/>
    </row>
    <row r="8417" spans="1:1" x14ac:dyDescent="0.2">
      <c r="A8417"/>
    </row>
    <row r="8418" spans="1:1" x14ac:dyDescent="0.2">
      <c r="A8418"/>
    </row>
    <row r="8419" spans="1:1" x14ac:dyDescent="0.2">
      <c r="A8419"/>
    </row>
    <row r="8420" spans="1:1" x14ac:dyDescent="0.2">
      <c r="A8420"/>
    </row>
    <row r="8421" spans="1:1" x14ac:dyDescent="0.2">
      <c r="A8421"/>
    </row>
    <row r="8422" spans="1:1" x14ac:dyDescent="0.2">
      <c r="A8422"/>
    </row>
    <row r="8423" spans="1:1" x14ac:dyDescent="0.2">
      <c r="A8423"/>
    </row>
    <row r="8424" spans="1:1" x14ac:dyDescent="0.2">
      <c r="A8424"/>
    </row>
    <row r="8425" spans="1:1" x14ac:dyDescent="0.2">
      <c r="A8425"/>
    </row>
    <row r="8426" spans="1:1" x14ac:dyDescent="0.2">
      <c r="A8426"/>
    </row>
    <row r="8427" spans="1:1" x14ac:dyDescent="0.2">
      <c r="A8427"/>
    </row>
    <row r="8428" spans="1:1" x14ac:dyDescent="0.2">
      <c r="A8428"/>
    </row>
    <row r="8429" spans="1:1" x14ac:dyDescent="0.2">
      <c r="A8429"/>
    </row>
    <row r="8430" spans="1:1" x14ac:dyDescent="0.2">
      <c r="A8430"/>
    </row>
    <row r="8431" spans="1:1" x14ac:dyDescent="0.2">
      <c r="A8431"/>
    </row>
    <row r="8432" spans="1:1" x14ac:dyDescent="0.2">
      <c r="A8432"/>
    </row>
    <row r="8433" spans="1:1" x14ac:dyDescent="0.2">
      <c r="A8433"/>
    </row>
    <row r="8434" spans="1:1" x14ac:dyDescent="0.2">
      <c r="A8434"/>
    </row>
    <row r="8435" spans="1:1" x14ac:dyDescent="0.2">
      <c r="A8435"/>
    </row>
    <row r="8436" spans="1:1" x14ac:dyDescent="0.2">
      <c r="A8436"/>
    </row>
    <row r="8437" spans="1:1" x14ac:dyDescent="0.2">
      <c r="A8437"/>
    </row>
    <row r="8438" spans="1:1" x14ac:dyDescent="0.2">
      <c r="A8438"/>
    </row>
    <row r="8439" spans="1:1" x14ac:dyDescent="0.2">
      <c r="A8439"/>
    </row>
    <row r="8440" spans="1:1" x14ac:dyDescent="0.2">
      <c r="A8440"/>
    </row>
    <row r="8441" spans="1:1" x14ac:dyDescent="0.2">
      <c r="A8441"/>
    </row>
    <row r="8442" spans="1:1" x14ac:dyDescent="0.2">
      <c r="A8442"/>
    </row>
    <row r="8443" spans="1:1" x14ac:dyDescent="0.2">
      <c r="A8443"/>
    </row>
    <row r="8444" spans="1:1" x14ac:dyDescent="0.2">
      <c r="A8444"/>
    </row>
    <row r="8445" spans="1:1" x14ac:dyDescent="0.2">
      <c r="A8445"/>
    </row>
    <row r="8446" spans="1:1" x14ac:dyDescent="0.2">
      <c r="A8446"/>
    </row>
    <row r="8447" spans="1:1" x14ac:dyDescent="0.2">
      <c r="A8447"/>
    </row>
    <row r="8448" spans="1:1" x14ac:dyDescent="0.2">
      <c r="A8448"/>
    </row>
    <row r="8449" spans="1:1" x14ac:dyDescent="0.2">
      <c r="A8449"/>
    </row>
    <row r="8450" spans="1:1" x14ac:dyDescent="0.2">
      <c r="A8450"/>
    </row>
    <row r="8451" spans="1:1" x14ac:dyDescent="0.2">
      <c r="A8451"/>
    </row>
    <row r="8452" spans="1:1" x14ac:dyDescent="0.2">
      <c r="A8452"/>
    </row>
    <row r="8453" spans="1:1" x14ac:dyDescent="0.2">
      <c r="A8453"/>
    </row>
    <row r="8454" spans="1:1" x14ac:dyDescent="0.2">
      <c r="A8454"/>
    </row>
    <row r="8455" spans="1:1" x14ac:dyDescent="0.2">
      <c r="A8455"/>
    </row>
    <row r="8456" spans="1:1" x14ac:dyDescent="0.2">
      <c r="A8456"/>
    </row>
    <row r="8457" spans="1:1" x14ac:dyDescent="0.2">
      <c r="A8457"/>
    </row>
    <row r="8458" spans="1:1" x14ac:dyDescent="0.2">
      <c r="A8458"/>
    </row>
    <row r="8459" spans="1:1" x14ac:dyDescent="0.2">
      <c r="A8459"/>
    </row>
    <row r="8460" spans="1:1" x14ac:dyDescent="0.2">
      <c r="A8460"/>
    </row>
    <row r="8461" spans="1:1" x14ac:dyDescent="0.2">
      <c r="A8461"/>
    </row>
    <row r="8462" spans="1:1" x14ac:dyDescent="0.2">
      <c r="A8462"/>
    </row>
    <row r="8463" spans="1:1" x14ac:dyDescent="0.2">
      <c r="A8463"/>
    </row>
    <row r="8464" spans="1:1" x14ac:dyDescent="0.2">
      <c r="A8464"/>
    </row>
    <row r="8465" spans="1:1" x14ac:dyDescent="0.2">
      <c r="A8465"/>
    </row>
    <row r="8466" spans="1:1" x14ac:dyDescent="0.2">
      <c r="A8466"/>
    </row>
    <row r="8467" spans="1:1" x14ac:dyDescent="0.2">
      <c r="A8467"/>
    </row>
    <row r="8468" spans="1:1" x14ac:dyDescent="0.2">
      <c r="A8468"/>
    </row>
    <row r="8469" spans="1:1" x14ac:dyDescent="0.2">
      <c r="A8469"/>
    </row>
    <row r="8470" spans="1:1" x14ac:dyDescent="0.2">
      <c r="A8470"/>
    </row>
    <row r="8471" spans="1:1" x14ac:dyDescent="0.2">
      <c r="A8471"/>
    </row>
    <row r="8472" spans="1:1" x14ac:dyDescent="0.2">
      <c r="A8472"/>
    </row>
    <row r="8473" spans="1:1" x14ac:dyDescent="0.2">
      <c r="A8473"/>
    </row>
    <row r="8474" spans="1:1" x14ac:dyDescent="0.2">
      <c r="A8474"/>
    </row>
    <row r="8475" spans="1:1" x14ac:dyDescent="0.2">
      <c r="A8475"/>
    </row>
    <row r="8476" spans="1:1" x14ac:dyDescent="0.2">
      <c r="A8476"/>
    </row>
    <row r="8477" spans="1:1" x14ac:dyDescent="0.2">
      <c r="A8477"/>
    </row>
    <row r="8478" spans="1:1" x14ac:dyDescent="0.2">
      <c r="A8478"/>
    </row>
    <row r="8479" spans="1:1" x14ac:dyDescent="0.2">
      <c r="A8479"/>
    </row>
    <row r="8480" spans="1:1" x14ac:dyDescent="0.2">
      <c r="A8480"/>
    </row>
    <row r="8481" spans="1:1" x14ac:dyDescent="0.2">
      <c r="A8481"/>
    </row>
    <row r="8482" spans="1:1" x14ac:dyDescent="0.2">
      <c r="A8482"/>
    </row>
    <row r="8483" spans="1:1" x14ac:dyDescent="0.2">
      <c r="A8483"/>
    </row>
    <row r="8484" spans="1:1" x14ac:dyDescent="0.2">
      <c r="A8484"/>
    </row>
    <row r="8485" spans="1:1" x14ac:dyDescent="0.2">
      <c r="A8485"/>
    </row>
    <row r="8486" spans="1:1" x14ac:dyDescent="0.2">
      <c r="A8486"/>
    </row>
    <row r="8487" spans="1:1" x14ac:dyDescent="0.2">
      <c r="A8487"/>
    </row>
    <row r="8488" spans="1:1" x14ac:dyDescent="0.2">
      <c r="A8488"/>
    </row>
    <row r="8489" spans="1:1" x14ac:dyDescent="0.2">
      <c r="A8489"/>
    </row>
    <row r="8490" spans="1:1" x14ac:dyDescent="0.2">
      <c r="A8490"/>
    </row>
    <row r="8491" spans="1:1" x14ac:dyDescent="0.2">
      <c r="A8491"/>
    </row>
    <row r="8492" spans="1:1" x14ac:dyDescent="0.2">
      <c r="A8492"/>
    </row>
    <row r="8493" spans="1:1" x14ac:dyDescent="0.2">
      <c r="A8493"/>
    </row>
    <row r="8494" spans="1:1" x14ac:dyDescent="0.2">
      <c r="A8494"/>
    </row>
    <row r="8495" spans="1:1" x14ac:dyDescent="0.2">
      <c r="A8495"/>
    </row>
    <row r="8496" spans="1:1" x14ac:dyDescent="0.2">
      <c r="A8496"/>
    </row>
    <row r="8497" spans="1:1" x14ac:dyDescent="0.2">
      <c r="A8497"/>
    </row>
    <row r="8498" spans="1:1" x14ac:dyDescent="0.2">
      <c r="A8498"/>
    </row>
    <row r="8499" spans="1:1" x14ac:dyDescent="0.2">
      <c r="A8499"/>
    </row>
    <row r="8500" spans="1:1" x14ac:dyDescent="0.2">
      <c r="A8500"/>
    </row>
    <row r="8501" spans="1:1" x14ac:dyDescent="0.2">
      <c r="A8501"/>
    </row>
    <row r="8502" spans="1:1" x14ac:dyDescent="0.2">
      <c r="A8502"/>
    </row>
    <row r="8503" spans="1:1" x14ac:dyDescent="0.2">
      <c r="A8503"/>
    </row>
    <row r="8504" spans="1:1" x14ac:dyDescent="0.2">
      <c r="A8504"/>
    </row>
    <row r="8505" spans="1:1" x14ac:dyDescent="0.2">
      <c r="A8505"/>
    </row>
    <row r="8506" spans="1:1" x14ac:dyDescent="0.2">
      <c r="A8506"/>
    </row>
    <row r="8507" spans="1:1" x14ac:dyDescent="0.2">
      <c r="A8507"/>
    </row>
    <row r="8508" spans="1:1" x14ac:dyDescent="0.2">
      <c r="A8508"/>
    </row>
    <row r="8509" spans="1:1" x14ac:dyDescent="0.2">
      <c r="A8509"/>
    </row>
    <row r="8510" spans="1:1" x14ac:dyDescent="0.2">
      <c r="A8510"/>
    </row>
    <row r="8511" spans="1:1" x14ac:dyDescent="0.2">
      <c r="A8511"/>
    </row>
    <row r="8512" spans="1:1" x14ac:dyDescent="0.2">
      <c r="A8512"/>
    </row>
    <row r="8513" spans="1:1" x14ac:dyDescent="0.2">
      <c r="A8513"/>
    </row>
    <row r="8514" spans="1:1" x14ac:dyDescent="0.2">
      <c r="A8514"/>
    </row>
    <row r="8515" spans="1:1" x14ac:dyDescent="0.2">
      <c r="A8515"/>
    </row>
    <row r="8516" spans="1:1" x14ac:dyDescent="0.2">
      <c r="A8516"/>
    </row>
    <row r="8517" spans="1:1" x14ac:dyDescent="0.2">
      <c r="A8517"/>
    </row>
    <row r="8518" spans="1:1" x14ac:dyDescent="0.2">
      <c r="A8518"/>
    </row>
    <row r="8519" spans="1:1" x14ac:dyDescent="0.2">
      <c r="A8519"/>
    </row>
    <row r="8520" spans="1:1" x14ac:dyDescent="0.2">
      <c r="A8520"/>
    </row>
    <row r="8521" spans="1:1" x14ac:dyDescent="0.2">
      <c r="A8521"/>
    </row>
    <row r="8522" spans="1:1" x14ac:dyDescent="0.2">
      <c r="A8522"/>
    </row>
    <row r="8523" spans="1:1" x14ac:dyDescent="0.2">
      <c r="A8523"/>
    </row>
    <row r="8524" spans="1:1" x14ac:dyDescent="0.2">
      <c r="A8524"/>
    </row>
    <row r="8525" spans="1:1" x14ac:dyDescent="0.2">
      <c r="A8525"/>
    </row>
    <row r="8526" spans="1:1" x14ac:dyDescent="0.2">
      <c r="A8526"/>
    </row>
    <row r="8527" spans="1:1" x14ac:dyDescent="0.2">
      <c r="A8527"/>
    </row>
    <row r="8528" spans="1:1" x14ac:dyDescent="0.2">
      <c r="A8528"/>
    </row>
    <row r="8529" spans="1:1" x14ac:dyDescent="0.2">
      <c r="A8529"/>
    </row>
    <row r="8530" spans="1:1" x14ac:dyDescent="0.2">
      <c r="A8530"/>
    </row>
    <row r="8531" spans="1:1" x14ac:dyDescent="0.2">
      <c r="A8531"/>
    </row>
    <row r="8532" spans="1:1" x14ac:dyDescent="0.2">
      <c r="A8532"/>
    </row>
    <row r="8533" spans="1:1" x14ac:dyDescent="0.2">
      <c r="A8533"/>
    </row>
    <row r="8534" spans="1:1" x14ac:dyDescent="0.2">
      <c r="A8534"/>
    </row>
    <row r="8535" spans="1:1" x14ac:dyDescent="0.2">
      <c r="A8535"/>
    </row>
    <row r="8536" spans="1:1" x14ac:dyDescent="0.2">
      <c r="A8536"/>
    </row>
    <row r="8537" spans="1:1" x14ac:dyDescent="0.2">
      <c r="A8537"/>
    </row>
    <row r="8538" spans="1:1" x14ac:dyDescent="0.2">
      <c r="A8538"/>
    </row>
    <row r="8539" spans="1:1" x14ac:dyDescent="0.2">
      <c r="A8539"/>
    </row>
    <row r="8540" spans="1:1" x14ac:dyDescent="0.2">
      <c r="A8540"/>
    </row>
    <row r="8541" spans="1:1" x14ac:dyDescent="0.2">
      <c r="A8541"/>
    </row>
    <row r="8542" spans="1:1" x14ac:dyDescent="0.2">
      <c r="A8542"/>
    </row>
    <row r="8543" spans="1:1" x14ac:dyDescent="0.2">
      <c r="A8543"/>
    </row>
    <row r="8544" spans="1:1" x14ac:dyDescent="0.2">
      <c r="A8544"/>
    </row>
    <row r="8545" spans="1:1" x14ac:dyDescent="0.2">
      <c r="A8545"/>
    </row>
    <row r="8546" spans="1:1" x14ac:dyDescent="0.2">
      <c r="A8546"/>
    </row>
    <row r="8547" spans="1:1" x14ac:dyDescent="0.2">
      <c r="A8547"/>
    </row>
    <row r="8548" spans="1:1" x14ac:dyDescent="0.2">
      <c r="A8548"/>
    </row>
    <row r="8549" spans="1:1" x14ac:dyDescent="0.2">
      <c r="A8549"/>
    </row>
    <row r="8550" spans="1:1" x14ac:dyDescent="0.2">
      <c r="A8550"/>
    </row>
    <row r="8551" spans="1:1" x14ac:dyDescent="0.2">
      <c r="A8551"/>
    </row>
    <row r="8552" spans="1:1" x14ac:dyDescent="0.2">
      <c r="A8552"/>
    </row>
    <row r="8553" spans="1:1" x14ac:dyDescent="0.2">
      <c r="A8553"/>
    </row>
    <row r="8554" spans="1:1" x14ac:dyDescent="0.2">
      <c r="A8554"/>
    </row>
    <row r="8555" spans="1:1" x14ac:dyDescent="0.2">
      <c r="A8555"/>
    </row>
    <row r="8556" spans="1:1" x14ac:dyDescent="0.2">
      <c r="A8556"/>
    </row>
    <row r="8557" spans="1:1" x14ac:dyDescent="0.2">
      <c r="A8557"/>
    </row>
    <row r="8558" spans="1:1" x14ac:dyDescent="0.2">
      <c r="A8558"/>
    </row>
    <row r="8559" spans="1:1" x14ac:dyDescent="0.2">
      <c r="A8559"/>
    </row>
    <row r="8560" spans="1:1" x14ac:dyDescent="0.2">
      <c r="A8560"/>
    </row>
    <row r="8561" spans="1:1" x14ac:dyDescent="0.2">
      <c r="A8561"/>
    </row>
    <row r="8562" spans="1:1" x14ac:dyDescent="0.2">
      <c r="A8562"/>
    </row>
    <row r="8563" spans="1:1" x14ac:dyDescent="0.2">
      <c r="A8563"/>
    </row>
    <row r="8564" spans="1:1" x14ac:dyDescent="0.2">
      <c r="A8564"/>
    </row>
    <row r="8565" spans="1:1" x14ac:dyDescent="0.2">
      <c r="A8565"/>
    </row>
    <row r="8566" spans="1:1" x14ac:dyDescent="0.2">
      <c r="A8566"/>
    </row>
    <row r="8567" spans="1:1" x14ac:dyDescent="0.2">
      <c r="A8567"/>
    </row>
    <row r="8568" spans="1:1" x14ac:dyDescent="0.2">
      <c r="A8568"/>
    </row>
    <row r="8569" spans="1:1" x14ac:dyDescent="0.2">
      <c r="A8569"/>
    </row>
    <row r="8570" spans="1:1" x14ac:dyDescent="0.2">
      <c r="A8570"/>
    </row>
    <row r="8571" spans="1:1" x14ac:dyDescent="0.2">
      <c r="A8571"/>
    </row>
    <row r="8572" spans="1:1" x14ac:dyDescent="0.2">
      <c r="A8572"/>
    </row>
    <row r="8573" spans="1:1" x14ac:dyDescent="0.2">
      <c r="A8573"/>
    </row>
    <row r="8574" spans="1:1" x14ac:dyDescent="0.2">
      <c r="A8574"/>
    </row>
    <row r="8575" spans="1:1" x14ac:dyDescent="0.2">
      <c r="A8575"/>
    </row>
    <row r="8576" spans="1:1" x14ac:dyDescent="0.2">
      <c r="A8576"/>
    </row>
    <row r="8577" spans="1:1" x14ac:dyDescent="0.2">
      <c r="A8577"/>
    </row>
    <row r="8578" spans="1:1" x14ac:dyDescent="0.2">
      <c r="A8578"/>
    </row>
    <row r="8579" spans="1:1" x14ac:dyDescent="0.2">
      <c r="A8579"/>
    </row>
    <row r="8580" spans="1:1" x14ac:dyDescent="0.2">
      <c r="A8580"/>
    </row>
    <row r="8581" spans="1:1" x14ac:dyDescent="0.2">
      <c r="A8581"/>
    </row>
    <row r="8582" spans="1:1" x14ac:dyDescent="0.2">
      <c r="A8582"/>
    </row>
    <row r="8583" spans="1:1" x14ac:dyDescent="0.2">
      <c r="A8583"/>
    </row>
    <row r="8584" spans="1:1" x14ac:dyDescent="0.2">
      <c r="A8584"/>
    </row>
    <row r="8585" spans="1:1" x14ac:dyDescent="0.2">
      <c r="A8585"/>
    </row>
    <row r="8586" spans="1:1" x14ac:dyDescent="0.2">
      <c r="A8586"/>
    </row>
    <row r="8587" spans="1:1" x14ac:dyDescent="0.2">
      <c r="A8587"/>
    </row>
    <row r="8588" spans="1:1" x14ac:dyDescent="0.2">
      <c r="A8588"/>
    </row>
    <row r="8589" spans="1:1" x14ac:dyDescent="0.2">
      <c r="A8589"/>
    </row>
    <row r="8590" spans="1:1" x14ac:dyDescent="0.2">
      <c r="A8590"/>
    </row>
    <row r="8591" spans="1:1" x14ac:dyDescent="0.2">
      <c r="A8591"/>
    </row>
    <row r="8592" spans="1:1" x14ac:dyDescent="0.2">
      <c r="A8592"/>
    </row>
    <row r="8593" spans="1:1" x14ac:dyDescent="0.2">
      <c r="A8593"/>
    </row>
    <row r="8594" spans="1:1" x14ac:dyDescent="0.2">
      <c r="A8594"/>
    </row>
    <row r="8595" spans="1:1" x14ac:dyDescent="0.2">
      <c r="A8595"/>
    </row>
    <row r="8596" spans="1:1" x14ac:dyDescent="0.2">
      <c r="A8596"/>
    </row>
    <row r="8597" spans="1:1" x14ac:dyDescent="0.2">
      <c r="A8597"/>
    </row>
    <row r="8598" spans="1:1" x14ac:dyDescent="0.2">
      <c r="A8598"/>
    </row>
    <row r="8599" spans="1:1" x14ac:dyDescent="0.2">
      <c r="A8599"/>
    </row>
    <row r="8600" spans="1:1" x14ac:dyDescent="0.2">
      <c r="A8600"/>
    </row>
    <row r="8601" spans="1:1" x14ac:dyDescent="0.2">
      <c r="A8601"/>
    </row>
    <row r="8602" spans="1:1" x14ac:dyDescent="0.2">
      <c r="A8602"/>
    </row>
    <row r="8603" spans="1:1" x14ac:dyDescent="0.2">
      <c r="A8603"/>
    </row>
    <row r="8604" spans="1:1" x14ac:dyDescent="0.2">
      <c r="A8604"/>
    </row>
    <row r="8605" spans="1:1" x14ac:dyDescent="0.2">
      <c r="A8605"/>
    </row>
    <row r="8606" spans="1:1" x14ac:dyDescent="0.2">
      <c r="A8606"/>
    </row>
    <row r="8607" spans="1:1" x14ac:dyDescent="0.2">
      <c r="A8607"/>
    </row>
    <row r="8608" spans="1:1" x14ac:dyDescent="0.2">
      <c r="A8608"/>
    </row>
    <row r="8609" spans="1:1" x14ac:dyDescent="0.2">
      <c r="A8609"/>
    </row>
    <row r="8610" spans="1:1" x14ac:dyDescent="0.2">
      <c r="A8610"/>
    </row>
    <row r="8611" spans="1:1" x14ac:dyDescent="0.2">
      <c r="A8611"/>
    </row>
    <row r="8612" spans="1:1" x14ac:dyDescent="0.2">
      <c r="A8612"/>
    </row>
    <row r="8613" spans="1:1" x14ac:dyDescent="0.2">
      <c r="A8613"/>
    </row>
    <row r="8614" spans="1:1" x14ac:dyDescent="0.2">
      <c r="A8614"/>
    </row>
    <row r="8615" spans="1:1" x14ac:dyDescent="0.2">
      <c r="A8615"/>
    </row>
    <row r="8616" spans="1:1" x14ac:dyDescent="0.2">
      <c r="A8616"/>
    </row>
    <row r="8617" spans="1:1" x14ac:dyDescent="0.2">
      <c r="A8617"/>
    </row>
    <row r="8618" spans="1:1" x14ac:dyDescent="0.2">
      <c r="A8618"/>
    </row>
    <row r="8619" spans="1:1" x14ac:dyDescent="0.2">
      <c r="A8619"/>
    </row>
    <row r="8620" spans="1:1" x14ac:dyDescent="0.2">
      <c r="A8620"/>
    </row>
    <row r="8621" spans="1:1" x14ac:dyDescent="0.2">
      <c r="A8621"/>
    </row>
    <row r="8622" spans="1:1" x14ac:dyDescent="0.2">
      <c r="A8622"/>
    </row>
    <row r="8623" spans="1:1" x14ac:dyDescent="0.2">
      <c r="A8623"/>
    </row>
    <row r="8624" spans="1:1" x14ac:dyDescent="0.2">
      <c r="A8624"/>
    </row>
    <row r="8625" spans="1:1" x14ac:dyDescent="0.2">
      <c r="A8625"/>
    </row>
    <row r="8626" spans="1:1" x14ac:dyDescent="0.2">
      <c r="A8626"/>
    </row>
    <row r="8627" spans="1:1" x14ac:dyDescent="0.2">
      <c r="A8627"/>
    </row>
    <row r="8628" spans="1:1" x14ac:dyDescent="0.2">
      <c r="A8628"/>
    </row>
    <row r="8629" spans="1:1" x14ac:dyDescent="0.2">
      <c r="A8629"/>
    </row>
    <row r="8630" spans="1:1" x14ac:dyDescent="0.2">
      <c r="A8630"/>
    </row>
    <row r="8631" spans="1:1" x14ac:dyDescent="0.2">
      <c r="A8631"/>
    </row>
    <row r="8632" spans="1:1" x14ac:dyDescent="0.2">
      <c r="A8632"/>
    </row>
    <row r="8633" spans="1:1" x14ac:dyDescent="0.2">
      <c r="A8633"/>
    </row>
    <row r="8634" spans="1:1" x14ac:dyDescent="0.2">
      <c r="A8634"/>
    </row>
    <row r="8635" spans="1:1" x14ac:dyDescent="0.2">
      <c r="A8635"/>
    </row>
    <row r="8636" spans="1:1" x14ac:dyDescent="0.2">
      <c r="A8636"/>
    </row>
    <row r="8637" spans="1:1" x14ac:dyDescent="0.2">
      <c r="A8637"/>
    </row>
    <row r="8638" spans="1:1" x14ac:dyDescent="0.2">
      <c r="A8638"/>
    </row>
    <row r="8639" spans="1:1" x14ac:dyDescent="0.2">
      <c r="A8639"/>
    </row>
    <row r="8640" spans="1:1" x14ac:dyDescent="0.2">
      <c r="A8640"/>
    </row>
    <row r="8641" spans="1:1" x14ac:dyDescent="0.2">
      <c r="A8641"/>
    </row>
    <row r="8642" spans="1:1" x14ac:dyDescent="0.2">
      <c r="A8642"/>
    </row>
    <row r="8643" spans="1:1" x14ac:dyDescent="0.2">
      <c r="A8643"/>
    </row>
    <row r="8644" spans="1:1" x14ac:dyDescent="0.2">
      <c r="A8644"/>
    </row>
    <row r="8645" spans="1:1" x14ac:dyDescent="0.2">
      <c r="A8645"/>
    </row>
    <row r="8646" spans="1:1" x14ac:dyDescent="0.2">
      <c r="A8646"/>
    </row>
    <row r="8647" spans="1:1" x14ac:dyDescent="0.2">
      <c r="A8647"/>
    </row>
    <row r="8648" spans="1:1" x14ac:dyDescent="0.2">
      <c r="A8648"/>
    </row>
    <row r="8649" spans="1:1" x14ac:dyDescent="0.2">
      <c r="A8649"/>
    </row>
    <row r="8650" spans="1:1" x14ac:dyDescent="0.2">
      <c r="A8650"/>
    </row>
    <row r="8651" spans="1:1" x14ac:dyDescent="0.2">
      <c r="A8651"/>
    </row>
    <row r="8652" spans="1:1" x14ac:dyDescent="0.2">
      <c r="A8652"/>
    </row>
    <row r="8653" spans="1:1" x14ac:dyDescent="0.2">
      <c r="A8653"/>
    </row>
    <row r="8654" spans="1:1" x14ac:dyDescent="0.2">
      <c r="A8654"/>
    </row>
    <row r="8655" spans="1:1" x14ac:dyDescent="0.2">
      <c r="A8655"/>
    </row>
    <row r="8656" spans="1:1" x14ac:dyDescent="0.2">
      <c r="A8656"/>
    </row>
    <row r="8657" spans="1:1" x14ac:dyDescent="0.2">
      <c r="A8657"/>
    </row>
    <row r="8658" spans="1:1" x14ac:dyDescent="0.2">
      <c r="A8658"/>
    </row>
    <row r="8659" spans="1:1" x14ac:dyDescent="0.2">
      <c r="A8659"/>
    </row>
    <row r="8660" spans="1:1" x14ac:dyDescent="0.2">
      <c r="A8660"/>
    </row>
    <row r="8661" spans="1:1" x14ac:dyDescent="0.2">
      <c r="A8661"/>
    </row>
    <row r="8662" spans="1:1" x14ac:dyDescent="0.2">
      <c r="A8662"/>
    </row>
    <row r="8663" spans="1:1" x14ac:dyDescent="0.2">
      <c r="A8663"/>
    </row>
    <row r="8664" spans="1:1" x14ac:dyDescent="0.2">
      <c r="A8664"/>
    </row>
    <row r="8665" spans="1:1" x14ac:dyDescent="0.2">
      <c r="A8665"/>
    </row>
    <row r="8666" spans="1:1" x14ac:dyDescent="0.2">
      <c r="A8666"/>
    </row>
    <row r="8667" spans="1:1" x14ac:dyDescent="0.2">
      <c r="A8667"/>
    </row>
    <row r="8668" spans="1:1" x14ac:dyDescent="0.2">
      <c r="A8668"/>
    </row>
    <row r="8669" spans="1:1" x14ac:dyDescent="0.2">
      <c r="A8669"/>
    </row>
    <row r="8670" spans="1:1" x14ac:dyDescent="0.2">
      <c r="A8670"/>
    </row>
    <row r="8671" spans="1:1" x14ac:dyDescent="0.2">
      <c r="A8671"/>
    </row>
    <row r="8672" spans="1:1" x14ac:dyDescent="0.2">
      <c r="A8672"/>
    </row>
    <row r="8673" spans="1:1" x14ac:dyDescent="0.2">
      <c r="A8673"/>
    </row>
    <row r="8674" spans="1:1" x14ac:dyDescent="0.2">
      <c r="A8674"/>
    </row>
    <row r="8675" spans="1:1" x14ac:dyDescent="0.2">
      <c r="A8675"/>
    </row>
    <row r="8676" spans="1:1" x14ac:dyDescent="0.2">
      <c r="A8676"/>
    </row>
    <row r="8677" spans="1:1" x14ac:dyDescent="0.2">
      <c r="A8677"/>
    </row>
    <row r="8678" spans="1:1" x14ac:dyDescent="0.2">
      <c r="A8678"/>
    </row>
    <row r="8679" spans="1:1" x14ac:dyDescent="0.2">
      <c r="A8679"/>
    </row>
    <row r="8680" spans="1:1" x14ac:dyDescent="0.2">
      <c r="A8680"/>
    </row>
    <row r="8681" spans="1:1" x14ac:dyDescent="0.2">
      <c r="A8681"/>
    </row>
    <row r="8682" spans="1:1" x14ac:dyDescent="0.2">
      <c r="A8682"/>
    </row>
    <row r="8683" spans="1:1" x14ac:dyDescent="0.2">
      <c r="A8683"/>
    </row>
    <row r="8684" spans="1:1" x14ac:dyDescent="0.2">
      <c r="A8684"/>
    </row>
    <row r="8685" spans="1:1" x14ac:dyDescent="0.2">
      <c r="A8685"/>
    </row>
    <row r="8686" spans="1:1" x14ac:dyDescent="0.2">
      <c r="A8686"/>
    </row>
    <row r="8687" spans="1:1" x14ac:dyDescent="0.2">
      <c r="A8687"/>
    </row>
    <row r="8688" spans="1:1" x14ac:dyDescent="0.2">
      <c r="A8688"/>
    </row>
    <row r="8689" spans="1:1" x14ac:dyDescent="0.2">
      <c r="A8689"/>
    </row>
    <row r="8690" spans="1:1" x14ac:dyDescent="0.2">
      <c r="A8690"/>
    </row>
    <row r="8691" spans="1:1" x14ac:dyDescent="0.2">
      <c r="A8691"/>
    </row>
    <row r="8692" spans="1:1" x14ac:dyDescent="0.2">
      <c r="A8692"/>
    </row>
    <row r="8693" spans="1:1" x14ac:dyDescent="0.2">
      <c r="A8693"/>
    </row>
    <row r="8694" spans="1:1" x14ac:dyDescent="0.2">
      <c r="A8694"/>
    </row>
    <row r="8695" spans="1:1" x14ac:dyDescent="0.2">
      <c r="A8695"/>
    </row>
    <row r="8696" spans="1:1" x14ac:dyDescent="0.2">
      <c r="A8696"/>
    </row>
    <row r="8697" spans="1:1" x14ac:dyDescent="0.2">
      <c r="A8697"/>
    </row>
    <row r="8698" spans="1:1" x14ac:dyDescent="0.2">
      <c r="A8698"/>
    </row>
    <row r="8699" spans="1:1" x14ac:dyDescent="0.2">
      <c r="A8699"/>
    </row>
    <row r="8700" spans="1:1" x14ac:dyDescent="0.2">
      <c r="A8700"/>
    </row>
    <row r="8701" spans="1:1" x14ac:dyDescent="0.2">
      <c r="A8701"/>
    </row>
    <row r="8702" spans="1:1" x14ac:dyDescent="0.2">
      <c r="A8702"/>
    </row>
    <row r="8703" spans="1:1" x14ac:dyDescent="0.2">
      <c r="A8703"/>
    </row>
    <row r="8704" spans="1:1" x14ac:dyDescent="0.2">
      <c r="A8704"/>
    </row>
    <row r="8705" spans="1:1" x14ac:dyDescent="0.2">
      <c r="A8705"/>
    </row>
    <row r="8706" spans="1:1" x14ac:dyDescent="0.2">
      <c r="A8706"/>
    </row>
    <row r="8707" spans="1:1" x14ac:dyDescent="0.2">
      <c r="A8707"/>
    </row>
    <row r="8708" spans="1:1" x14ac:dyDescent="0.2">
      <c r="A8708"/>
    </row>
    <row r="8709" spans="1:1" x14ac:dyDescent="0.2">
      <c r="A8709"/>
    </row>
    <row r="8710" spans="1:1" x14ac:dyDescent="0.2">
      <c r="A8710"/>
    </row>
    <row r="8711" spans="1:1" x14ac:dyDescent="0.2">
      <c r="A8711"/>
    </row>
    <row r="8712" spans="1:1" x14ac:dyDescent="0.2">
      <c r="A8712"/>
    </row>
    <row r="8713" spans="1:1" x14ac:dyDescent="0.2">
      <c r="A8713"/>
    </row>
    <row r="8714" spans="1:1" x14ac:dyDescent="0.2">
      <c r="A8714"/>
    </row>
    <row r="8715" spans="1:1" x14ac:dyDescent="0.2">
      <c r="A8715"/>
    </row>
    <row r="8716" spans="1:1" x14ac:dyDescent="0.2">
      <c r="A8716"/>
    </row>
    <row r="8717" spans="1:1" x14ac:dyDescent="0.2">
      <c r="A8717"/>
    </row>
    <row r="8718" spans="1:1" x14ac:dyDescent="0.2">
      <c r="A8718"/>
    </row>
    <row r="8719" spans="1:1" x14ac:dyDescent="0.2">
      <c r="A8719"/>
    </row>
    <row r="8720" spans="1:1" x14ac:dyDescent="0.2">
      <c r="A8720"/>
    </row>
    <row r="8721" spans="1:1" x14ac:dyDescent="0.2">
      <c r="A8721"/>
    </row>
    <row r="8722" spans="1:1" x14ac:dyDescent="0.2">
      <c r="A8722"/>
    </row>
    <row r="8723" spans="1:1" x14ac:dyDescent="0.2">
      <c r="A8723"/>
    </row>
    <row r="8724" spans="1:1" x14ac:dyDescent="0.2">
      <c r="A8724"/>
    </row>
    <row r="8725" spans="1:1" x14ac:dyDescent="0.2">
      <c r="A8725"/>
    </row>
    <row r="8726" spans="1:1" x14ac:dyDescent="0.2">
      <c r="A8726"/>
    </row>
    <row r="8727" spans="1:1" x14ac:dyDescent="0.2">
      <c r="A8727"/>
    </row>
    <row r="8728" spans="1:1" x14ac:dyDescent="0.2">
      <c r="A8728"/>
    </row>
    <row r="8729" spans="1:1" x14ac:dyDescent="0.2">
      <c r="A8729"/>
    </row>
    <row r="8730" spans="1:1" x14ac:dyDescent="0.2">
      <c r="A8730"/>
    </row>
    <row r="8731" spans="1:1" x14ac:dyDescent="0.2">
      <c r="A8731"/>
    </row>
    <row r="8732" spans="1:1" x14ac:dyDescent="0.2">
      <c r="A8732"/>
    </row>
    <row r="8733" spans="1:1" x14ac:dyDescent="0.2">
      <c r="A8733"/>
    </row>
    <row r="8734" spans="1:1" x14ac:dyDescent="0.2">
      <c r="A8734"/>
    </row>
    <row r="8735" spans="1:1" x14ac:dyDescent="0.2">
      <c r="A8735"/>
    </row>
    <row r="8736" spans="1:1" x14ac:dyDescent="0.2">
      <c r="A8736"/>
    </row>
    <row r="8737" spans="1:1" x14ac:dyDescent="0.2">
      <c r="A8737"/>
    </row>
    <row r="8738" spans="1:1" x14ac:dyDescent="0.2">
      <c r="A8738"/>
    </row>
    <row r="8739" spans="1:1" x14ac:dyDescent="0.2">
      <c r="A8739"/>
    </row>
    <row r="8740" spans="1:1" x14ac:dyDescent="0.2">
      <c r="A8740"/>
    </row>
    <row r="8741" spans="1:1" x14ac:dyDescent="0.2">
      <c r="A8741"/>
    </row>
    <row r="8742" spans="1:1" x14ac:dyDescent="0.2">
      <c r="A8742"/>
    </row>
    <row r="8743" spans="1:1" x14ac:dyDescent="0.2">
      <c r="A8743"/>
    </row>
    <row r="8744" spans="1:1" x14ac:dyDescent="0.2">
      <c r="A8744"/>
    </row>
    <row r="8745" spans="1:1" x14ac:dyDescent="0.2">
      <c r="A8745"/>
    </row>
    <row r="8746" spans="1:1" x14ac:dyDescent="0.2">
      <c r="A8746"/>
    </row>
    <row r="8747" spans="1:1" x14ac:dyDescent="0.2">
      <c r="A8747"/>
    </row>
    <row r="8748" spans="1:1" x14ac:dyDescent="0.2">
      <c r="A8748"/>
    </row>
    <row r="8749" spans="1:1" x14ac:dyDescent="0.2">
      <c r="A8749"/>
    </row>
    <row r="8750" spans="1:1" x14ac:dyDescent="0.2">
      <c r="A8750"/>
    </row>
    <row r="8751" spans="1:1" x14ac:dyDescent="0.2">
      <c r="A8751"/>
    </row>
    <row r="8752" spans="1:1" x14ac:dyDescent="0.2">
      <c r="A8752"/>
    </row>
    <row r="8753" spans="1:1" x14ac:dyDescent="0.2">
      <c r="A8753"/>
    </row>
    <row r="8754" spans="1:1" x14ac:dyDescent="0.2">
      <c r="A8754"/>
    </row>
    <row r="8755" spans="1:1" x14ac:dyDescent="0.2">
      <c r="A8755"/>
    </row>
    <row r="8756" spans="1:1" x14ac:dyDescent="0.2">
      <c r="A8756"/>
    </row>
    <row r="8757" spans="1:1" x14ac:dyDescent="0.2">
      <c r="A8757"/>
    </row>
    <row r="8758" spans="1:1" x14ac:dyDescent="0.2">
      <c r="A8758"/>
    </row>
    <row r="8759" spans="1:1" x14ac:dyDescent="0.2">
      <c r="A8759"/>
    </row>
    <row r="8760" spans="1:1" x14ac:dyDescent="0.2">
      <c r="A8760"/>
    </row>
    <row r="8761" spans="1:1" x14ac:dyDescent="0.2">
      <c r="A8761"/>
    </row>
    <row r="8762" spans="1:1" x14ac:dyDescent="0.2">
      <c r="A8762"/>
    </row>
    <row r="8763" spans="1:1" x14ac:dyDescent="0.2">
      <c r="A8763"/>
    </row>
    <row r="8764" spans="1:1" x14ac:dyDescent="0.2">
      <c r="A8764"/>
    </row>
    <row r="8765" spans="1:1" x14ac:dyDescent="0.2">
      <c r="A8765"/>
    </row>
    <row r="8766" spans="1:1" x14ac:dyDescent="0.2">
      <c r="A8766"/>
    </row>
    <row r="8767" spans="1:1" x14ac:dyDescent="0.2">
      <c r="A8767"/>
    </row>
    <row r="8768" spans="1:1" x14ac:dyDescent="0.2">
      <c r="A8768"/>
    </row>
    <row r="8769" spans="1:1" x14ac:dyDescent="0.2">
      <c r="A8769"/>
    </row>
    <row r="8770" spans="1:1" x14ac:dyDescent="0.2">
      <c r="A8770"/>
    </row>
    <row r="8771" spans="1:1" x14ac:dyDescent="0.2">
      <c r="A8771"/>
    </row>
    <row r="8772" spans="1:1" x14ac:dyDescent="0.2">
      <c r="A8772"/>
    </row>
    <row r="8773" spans="1:1" x14ac:dyDescent="0.2">
      <c r="A8773"/>
    </row>
    <row r="8774" spans="1:1" x14ac:dyDescent="0.2">
      <c r="A8774"/>
    </row>
    <row r="8775" spans="1:1" x14ac:dyDescent="0.2">
      <c r="A8775"/>
    </row>
    <row r="8776" spans="1:1" x14ac:dyDescent="0.2">
      <c r="A8776"/>
    </row>
    <row r="8777" spans="1:1" x14ac:dyDescent="0.2">
      <c r="A8777"/>
    </row>
    <row r="8778" spans="1:1" x14ac:dyDescent="0.2">
      <c r="A8778"/>
    </row>
    <row r="8779" spans="1:1" x14ac:dyDescent="0.2">
      <c r="A8779"/>
    </row>
    <row r="8780" spans="1:1" x14ac:dyDescent="0.2">
      <c r="A8780"/>
    </row>
    <row r="8781" spans="1:1" x14ac:dyDescent="0.2">
      <c r="A8781"/>
    </row>
    <row r="8782" spans="1:1" x14ac:dyDescent="0.2">
      <c r="A8782"/>
    </row>
    <row r="8783" spans="1:1" x14ac:dyDescent="0.2">
      <c r="A8783"/>
    </row>
    <row r="8784" spans="1:1" x14ac:dyDescent="0.2">
      <c r="A8784"/>
    </row>
    <row r="8785" spans="1:1" x14ac:dyDescent="0.2">
      <c r="A8785"/>
    </row>
    <row r="8786" spans="1:1" x14ac:dyDescent="0.2">
      <c r="A8786"/>
    </row>
    <row r="8787" spans="1:1" x14ac:dyDescent="0.2">
      <c r="A8787"/>
    </row>
    <row r="8788" spans="1:1" x14ac:dyDescent="0.2">
      <c r="A8788"/>
    </row>
    <row r="8789" spans="1:1" x14ac:dyDescent="0.2">
      <c r="A8789"/>
    </row>
    <row r="8790" spans="1:1" x14ac:dyDescent="0.2">
      <c r="A8790"/>
    </row>
    <row r="8791" spans="1:1" x14ac:dyDescent="0.2">
      <c r="A8791"/>
    </row>
    <row r="8792" spans="1:1" x14ac:dyDescent="0.2">
      <c r="A8792"/>
    </row>
    <row r="8793" spans="1:1" x14ac:dyDescent="0.2">
      <c r="A8793"/>
    </row>
    <row r="8794" spans="1:1" x14ac:dyDescent="0.2">
      <c r="A8794"/>
    </row>
    <row r="8795" spans="1:1" x14ac:dyDescent="0.2">
      <c r="A8795"/>
    </row>
    <row r="8796" spans="1:1" x14ac:dyDescent="0.2">
      <c r="A8796"/>
    </row>
    <row r="8797" spans="1:1" x14ac:dyDescent="0.2">
      <c r="A8797"/>
    </row>
    <row r="8798" spans="1:1" x14ac:dyDescent="0.2">
      <c r="A8798"/>
    </row>
    <row r="8799" spans="1:1" x14ac:dyDescent="0.2">
      <c r="A8799"/>
    </row>
    <row r="8800" spans="1:1" x14ac:dyDescent="0.2">
      <c r="A8800"/>
    </row>
    <row r="8801" spans="1:1" x14ac:dyDescent="0.2">
      <c r="A8801"/>
    </row>
    <row r="8802" spans="1:1" x14ac:dyDescent="0.2">
      <c r="A8802"/>
    </row>
    <row r="8803" spans="1:1" x14ac:dyDescent="0.2">
      <c r="A8803"/>
    </row>
    <row r="8804" spans="1:1" x14ac:dyDescent="0.2">
      <c r="A8804"/>
    </row>
    <row r="8805" spans="1:1" x14ac:dyDescent="0.2">
      <c r="A8805"/>
    </row>
    <row r="8806" spans="1:1" x14ac:dyDescent="0.2">
      <c r="A8806"/>
    </row>
    <row r="8807" spans="1:1" x14ac:dyDescent="0.2">
      <c r="A8807"/>
    </row>
    <row r="8808" spans="1:1" x14ac:dyDescent="0.2">
      <c r="A8808"/>
    </row>
    <row r="8809" spans="1:1" x14ac:dyDescent="0.2">
      <c r="A8809"/>
    </row>
    <row r="8810" spans="1:1" x14ac:dyDescent="0.2">
      <c r="A8810"/>
    </row>
    <row r="8811" spans="1:1" x14ac:dyDescent="0.2">
      <c r="A8811"/>
    </row>
    <row r="8812" spans="1:1" x14ac:dyDescent="0.2">
      <c r="A8812"/>
    </row>
    <row r="8813" spans="1:1" x14ac:dyDescent="0.2">
      <c r="A8813"/>
    </row>
    <row r="8814" spans="1:1" x14ac:dyDescent="0.2">
      <c r="A8814"/>
    </row>
    <row r="8815" spans="1:1" x14ac:dyDescent="0.2">
      <c r="A8815"/>
    </row>
    <row r="8816" spans="1:1" x14ac:dyDescent="0.2">
      <c r="A8816"/>
    </row>
    <row r="8817" spans="1:1" x14ac:dyDescent="0.2">
      <c r="A8817"/>
    </row>
    <row r="8818" spans="1:1" x14ac:dyDescent="0.2">
      <c r="A8818"/>
    </row>
    <row r="8819" spans="1:1" x14ac:dyDescent="0.2">
      <c r="A8819"/>
    </row>
    <row r="8820" spans="1:1" x14ac:dyDescent="0.2">
      <c r="A8820"/>
    </row>
    <row r="8821" spans="1:1" x14ac:dyDescent="0.2">
      <c r="A8821"/>
    </row>
    <row r="8822" spans="1:1" x14ac:dyDescent="0.2">
      <c r="A8822"/>
    </row>
    <row r="8823" spans="1:1" x14ac:dyDescent="0.2">
      <c r="A8823"/>
    </row>
    <row r="8824" spans="1:1" x14ac:dyDescent="0.2">
      <c r="A8824"/>
    </row>
    <row r="8825" spans="1:1" x14ac:dyDescent="0.2">
      <c r="A8825"/>
    </row>
    <row r="8826" spans="1:1" x14ac:dyDescent="0.2">
      <c r="A8826"/>
    </row>
    <row r="8827" spans="1:1" x14ac:dyDescent="0.2">
      <c r="A8827"/>
    </row>
    <row r="8828" spans="1:1" x14ac:dyDescent="0.2">
      <c r="A8828"/>
    </row>
    <row r="8829" spans="1:1" x14ac:dyDescent="0.2">
      <c r="A8829"/>
    </row>
    <row r="8830" spans="1:1" x14ac:dyDescent="0.2">
      <c r="A8830"/>
    </row>
    <row r="8831" spans="1:1" x14ac:dyDescent="0.2">
      <c r="A8831"/>
    </row>
    <row r="8832" spans="1:1" x14ac:dyDescent="0.2">
      <c r="A8832"/>
    </row>
    <row r="8833" spans="1:1" x14ac:dyDescent="0.2">
      <c r="A8833"/>
    </row>
    <row r="8834" spans="1:1" x14ac:dyDescent="0.2">
      <c r="A8834"/>
    </row>
    <row r="8835" spans="1:1" x14ac:dyDescent="0.2">
      <c r="A8835"/>
    </row>
    <row r="8836" spans="1:1" x14ac:dyDescent="0.2">
      <c r="A8836"/>
    </row>
    <row r="8837" spans="1:1" x14ac:dyDescent="0.2">
      <c r="A8837"/>
    </row>
    <row r="8838" spans="1:1" x14ac:dyDescent="0.2">
      <c r="A8838"/>
    </row>
    <row r="8839" spans="1:1" x14ac:dyDescent="0.2">
      <c r="A8839"/>
    </row>
    <row r="8840" spans="1:1" x14ac:dyDescent="0.2">
      <c r="A8840"/>
    </row>
    <row r="8841" spans="1:1" x14ac:dyDescent="0.2">
      <c r="A8841"/>
    </row>
    <row r="8842" spans="1:1" x14ac:dyDescent="0.2">
      <c r="A8842"/>
    </row>
    <row r="8843" spans="1:1" x14ac:dyDescent="0.2">
      <c r="A8843"/>
    </row>
    <row r="8844" spans="1:1" x14ac:dyDescent="0.2">
      <c r="A8844"/>
    </row>
    <row r="8845" spans="1:1" x14ac:dyDescent="0.2">
      <c r="A8845"/>
    </row>
    <row r="8846" spans="1:1" x14ac:dyDescent="0.2">
      <c r="A8846"/>
    </row>
    <row r="8847" spans="1:1" x14ac:dyDescent="0.2">
      <c r="A8847"/>
    </row>
    <row r="8848" spans="1:1" x14ac:dyDescent="0.2">
      <c r="A8848"/>
    </row>
    <row r="8849" spans="1:1" x14ac:dyDescent="0.2">
      <c r="A8849"/>
    </row>
    <row r="8850" spans="1:1" x14ac:dyDescent="0.2">
      <c r="A8850"/>
    </row>
    <row r="8851" spans="1:1" x14ac:dyDescent="0.2">
      <c r="A8851"/>
    </row>
    <row r="8852" spans="1:1" x14ac:dyDescent="0.2">
      <c r="A8852"/>
    </row>
    <row r="8853" spans="1:1" x14ac:dyDescent="0.2">
      <c r="A8853"/>
    </row>
    <row r="8854" spans="1:1" x14ac:dyDescent="0.2">
      <c r="A8854"/>
    </row>
    <row r="8855" spans="1:1" x14ac:dyDescent="0.2">
      <c r="A8855"/>
    </row>
    <row r="8856" spans="1:1" x14ac:dyDescent="0.2">
      <c r="A8856"/>
    </row>
    <row r="8857" spans="1:1" x14ac:dyDescent="0.2">
      <c r="A8857"/>
    </row>
    <row r="8858" spans="1:1" x14ac:dyDescent="0.2">
      <c r="A8858"/>
    </row>
    <row r="8859" spans="1:1" x14ac:dyDescent="0.2">
      <c r="A8859"/>
    </row>
    <row r="8860" spans="1:1" x14ac:dyDescent="0.2">
      <c r="A8860"/>
    </row>
    <row r="8861" spans="1:1" x14ac:dyDescent="0.2">
      <c r="A8861"/>
    </row>
    <row r="8862" spans="1:1" x14ac:dyDescent="0.2">
      <c r="A8862"/>
    </row>
    <row r="8863" spans="1:1" x14ac:dyDescent="0.2">
      <c r="A8863"/>
    </row>
    <row r="8864" spans="1:1" x14ac:dyDescent="0.2">
      <c r="A8864"/>
    </row>
    <row r="8865" spans="1:1" x14ac:dyDescent="0.2">
      <c r="A8865"/>
    </row>
    <row r="8866" spans="1:1" x14ac:dyDescent="0.2">
      <c r="A8866"/>
    </row>
    <row r="8867" spans="1:1" x14ac:dyDescent="0.2">
      <c r="A8867"/>
    </row>
    <row r="8868" spans="1:1" x14ac:dyDescent="0.2">
      <c r="A8868"/>
    </row>
    <row r="8869" spans="1:1" x14ac:dyDescent="0.2">
      <c r="A8869"/>
    </row>
    <row r="8870" spans="1:1" x14ac:dyDescent="0.2">
      <c r="A8870"/>
    </row>
    <row r="8871" spans="1:1" x14ac:dyDescent="0.2">
      <c r="A8871"/>
    </row>
    <row r="8872" spans="1:1" x14ac:dyDescent="0.2">
      <c r="A8872"/>
    </row>
    <row r="8873" spans="1:1" x14ac:dyDescent="0.2">
      <c r="A8873"/>
    </row>
    <row r="8874" spans="1:1" x14ac:dyDescent="0.2">
      <c r="A8874"/>
    </row>
    <row r="8875" spans="1:1" x14ac:dyDescent="0.2">
      <c r="A8875"/>
    </row>
    <row r="8876" spans="1:1" x14ac:dyDescent="0.2">
      <c r="A8876"/>
    </row>
    <row r="8877" spans="1:1" x14ac:dyDescent="0.2">
      <c r="A8877"/>
    </row>
    <row r="8878" spans="1:1" x14ac:dyDescent="0.2">
      <c r="A8878"/>
    </row>
    <row r="8879" spans="1:1" x14ac:dyDescent="0.2">
      <c r="A8879"/>
    </row>
    <row r="8880" spans="1:1" x14ac:dyDescent="0.2">
      <c r="A8880"/>
    </row>
    <row r="8881" spans="1:1" x14ac:dyDescent="0.2">
      <c r="A8881"/>
    </row>
    <row r="8882" spans="1:1" x14ac:dyDescent="0.2">
      <c r="A8882"/>
    </row>
    <row r="8883" spans="1:1" x14ac:dyDescent="0.2">
      <c r="A8883"/>
    </row>
    <row r="8884" spans="1:1" x14ac:dyDescent="0.2">
      <c r="A8884"/>
    </row>
    <row r="8885" spans="1:1" x14ac:dyDescent="0.2">
      <c r="A8885"/>
    </row>
    <row r="8886" spans="1:1" x14ac:dyDescent="0.2">
      <c r="A8886"/>
    </row>
    <row r="8887" spans="1:1" x14ac:dyDescent="0.2">
      <c r="A8887"/>
    </row>
    <row r="8888" spans="1:1" x14ac:dyDescent="0.2">
      <c r="A8888"/>
    </row>
    <row r="8889" spans="1:1" x14ac:dyDescent="0.2">
      <c r="A8889"/>
    </row>
    <row r="8890" spans="1:1" x14ac:dyDescent="0.2">
      <c r="A8890"/>
    </row>
    <row r="8891" spans="1:1" x14ac:dyDescent="0.2">
      <c r="A8891"/>
    </row>
    <row r="8892" spans="1:1" x14ac:dyDescent="0.2">
      <c r="A8892"/>
    </row>
    <row r="8893" spans="1:1" x14ac:dyDescent="0.2">
      <c r="A8893"/>
    </row>
    <row r="8894" spans="1:1" x14ac:dyDescent="0.2">
      <c r="A8894"/>
    </row>
    <row r="8895" spans="1:1" x14ac:dyDescent="0.2">
      <c r="A8895"/>
    </row>
    <row r="8896" spans="1:1" x14ac:dyDescent="0.2">
      <c r="A8896"/>
    </row>
    <row r="8897" spans="1:1" x14ac:dyDescent="0.2">
      <c r="A8897"/>
    </row>
    <row r="8898" spans="1:1" x14ac:dyDescent="0.2">
      <c r="A8898"/>
    </row>
    <row r="8899" spans="1:1" x14ac:dyDescent="0.2">
      <c r="A8899"/>
    </row>
    <row r="8900" spans="1:1" x14ac:dyDescent="0.2">
      <c r="A8900"/>
    </row>
    <row r="8901" spans="1:1" x14ac:dyDescent="0.2">
      <c r="A8901"/>
    </row>
    <row r="8902" spans="1:1" x14ac:dyDescent="0.2">
      <c r="A8902"/>
    </row>
    <row r="8903" spans="1:1" x14ac:dyDescent="0.2">
      <c r="A8903"/>
    </row>
    <row r="8904" spans="1:1" x14ac:dyDescent="0.2">
      <c r="A8904"/>
    </row>
    <row r="8905" spans="1:1" x14ac:dyDescent="0.2">
      <c r="A8905"/>
    </row>
    <row r="8906" spans="1:1" x14ac:dyDescent="0.2">
      <c r="A8906"/>
    </row>
    <row r="8907" spans="1:1" x14ac:dyDescent="0.2">
      <c r="A8907"/>
    </row>
    <row r="8908" spans="1:1" x14ac:dyDescent="0.2">
      <c r="A8908"/>
    </row>
    <row r="8909" spans="1:1" x14ac:dyDescent="0.2">
      <c r="A8909"/>
    </row>
    <row r="8910" spans="1:1" x14ac:dyDescent="0.2">
      <c r="A8910"/>
    </row>
    <row r="8911" spans="1:1" x14ac:dyDescent="0.2">
      <c r="A8911"/>
    </row>
    <row r="8912" spans="1:1" x14ac:dyDescent="0.2">
      <c r="A8912"/>
    </row>
    <row r="8913" spans="1:1" x14ac:dyDescent="0.2">
      <c r="A8913"/>
    </row>
    <row r="8914" spans="1:1" x14ac:dyDescent="0.2">
      <c r="A8914"/>
    </row>
    <row r="8915" spans="1:1" x14ac:dyDescent="0.2">
      <c r="A8915"/>
    </row>
    <row r="8916" spans="1:1" x14ac:dyDescent="0.2">
      <c r="A8916"/>
    </row>
    <row r="8917" spans="1:1" x14ac:dyDescent="0.2">
      <c r="A8917"/>
    </row>
    <row r="8918" spans="1:1" x14ac:dyDescent="0.2">
      <c r="A8918"/>
    </row>
    <row r="8919" spans="1:1" x14ac:dyDescent="0.2">
      <c r="A8919"/>
    </row>
    <row r="8920" spans="1:1" x14ac:dyDescent="0.2">
      <c r="A8920"/>
    </row>
    <row r="8921" spans="1:1" x14ac:dyDescent="0.2">
      <c r="A8921"/>
    </row>
    <row r="8922" spans="1:1" x14ac:dyDescent="0.2">
      <c r="A8922"/>
    </row>
    <row r="8923" spans="1:1" x14ac:dyDescent="0.2">
      <c r="A8923"/>
    </row>
    <row r="8924" spans="1:1" x14ac:dyDescent="0.2">
      <c r="A8924"/>
    </row>
    <row r="8925" spans="1:1" x14ac:dyDescent="0.2">
      <c r="A8925"/>
    </row>
    <row r="8926" spans="1:1" x14ac:dyDescent="0.2">
      <c r="A8926"/>
    </row>
    <row r="8927" spans="1:1" x14ac:dyDescent="0.2">
      <c r="A8927"/>
    </row>
    <row r="8928" spans="1:1" x14ac:dyDescent="0.2">
      <c r="A8928"/>
    </row>
    <row r="8929" spans="1:1" x14ac:dyDescent="0.2">
      <c r="A8929"/>
    </row>
    <row r="8930" spans="1:1" x14ac:dyDescent="0.2">
      <c r="A8930"/>
    </row>
    <row r="8931" spans="1:1" x14ac:dyDescent="0.2">
      <c r="A8931"/>
    </row>
    <row r="8932" spans="1:1" x14ac:dyDescent="0.2">
      <c r="A8932"/>
    </row>
    <row r="8933" spans="1:1" x14ac:dyDescent="0.2">
      <c r="A8933"/>
    </row>
    <row r="8934" spans="1:1" x14ac:dyDescent="0.2">
      <c r="A8934"/>
    </row>
    <row r="8935" spans="1:1" x14ac:dyDescent="0.2">
      <c r="A8935"/>
    </row>
    <row r="8936" spans="1:1" x14ac:dyDescent="0.2">
      <c r="A8936"/>
    </row>
    <row r="8937" spans="1:1" x14ac:dyDescent="0.2">
      <c r="A8937"/>
    </row>
    <row r="8938" spans="1:1" x14ac:dyDescent="0.2">
      <c r="A8938"/>
    </row>
    <row r="8939" spans="1:1" x14ac:dyDescent="0.2">
      <c r="A8939"/>
    </row>
    <row r="8940" spans="1:1" x14ac:dyDescent="0.2">
      <c r="A8940"/>
    </row>
    <row r="8941" spans="1:1" x14ac:dyDescent="0.2">
      <c r="A8941"/>
    </row>
    <row r="8942" spans="1:1" x14ac:dyDescent="0.2">
      <c r="A8942"/>
    </row>
    <row r="8943" spans="1:1" x14ac:dyDescent="0.2">
      <c r="A8943"/>
    </row>
    <row r="8944" spans="1:1" x14ac:dyDescent="0.2">
      <c r="A8944"/>
    </row>
    <row r="8945" spans="1:1" x14ac:dyDescent="0.2">
      <c r="A8945"/>
    </row>
    <row r="8946" spans="1:1" x14ac:dyDescent="0.2">
      <c r="A8946"/>
    </row>
    <row r="8947" spans="1:1" x14ac:dyDescent="0.2">
      <c r="A8947"/>
    </row>
    <row r="8948" spans="1:1" x14ac:dyDescent="0.2">
      <c r="A8948"/>
    </row>
    <row r="8949" spans="1:1" x14ac:dyDescent="0.2">
      <c r="A8949"/>
    </row>
    <row r="8950" spans="1:1" x14ac:dyDescent="0.2">
      <c r="A8950"/>
    </row>
    <row r="8951" spans="1:1" x14ac:dyDescent="0.2">
      <c r="A8951"/>
    </row>
    <row r="8952" spans="1:1" x14ac:dyDescent="0.2">
      <c r="A8952"/>
    </row>
    <row r="8953" spans="1:1" x14ac:dyDescent="0.2">
      <c r="A8953"/>
    </row>
    <row r="8954" spans="1:1" x14ac:dyDescent="0.2">
      <c r="A8954"/>
    </row>
    <row r="8955" spans="1:1" x14ac:dyDescent="0.2">
      <c r="A8955"/>
    </row>
    <row r="8956" spans="1:1" x14ac:dyDescent="0.2">
      <c r="A8956"/>
    </row>
    <row r="8957" spans="1:1" x14ac:dyDescent="0.2">
      <c r="A8957"/>
    </row>
    <row r="8958" spans="1:1" x14ac:dyDescent="0.2">
      <c r="A8958"/>
    </row>
    <row r="8959" spans="1:1" x14ac:dyDescent="0.2">
      <c r="A8959"/>
    </row>
    <row r="8960" spans="1:1" x14ac:dyDescent="0.2">
      <c r="A8960"/>
    </row>
    <row r="8961" spans="1:1" x14ac:dyDescent="0.2">
      <c r="A8961"/>
    </row>
    <row r="8962" spans="1:1" x14ac:dyDescent="0.2">
      <c r="A8962"/>
    </row>
    <row r="8963" spans="1:1" x14ac:dyDescent="0.2">
      <c r="A8963"/>
    </row>
    <row r="8964" spans="1:1" x14ac:dyDescent="0.2">
      <c r="A8964"/>
    </row>
    <row r="8965" spans="1:1" x14ac:dyDescent="0.2">
      <c r="A8965"/>
    </row>
    <row r="8966" spans="1:1" x14ac:dyDescent="0.2">
      <c r="A8966"/>
    </row>
    <row r="8967" spans="1:1" x14ac:dyDescent="0.2">
      <c r="A8967"/>
    </row>
    <row r="8968" spans="1:1" x14ac:dyDescent="0.2">
      <c r="A8968"/>
    </row>
    <row r="8969" spans="1:1" x14ac:dyDescent="0.2">
      <c r="A8969"/>
    </row>
    <row r="8970" spans="1:1" x14ac:dyDescent="0.2">
      <c r="A8970"/>
    </row>
    <row r="8971" spans="1:1" x14ac:dyDescent="0.2">
      <c r="A8971"/>
    </row>
    <row r="8972" spans="1:1" x14ac:dyDescent="0.2">
      <c r="A8972"/>
    </row>
    <row r="8973" spans="1:1" x14ac:dyDescent="0.2">
      <c r="A8973"/>
    </row>
    <row r="8974" spans="1:1" x14ac:dyDescent="0.2">
      <c r="A8974"/>
    </row>
    <row r="8975" spans="1:1" x14ac:dyDescent="0.2">
      <c r="A8975"/>
    </row>
    <row r="8976" spans="1:1" x14ac:dyDescent="0.2">
      <c r="A8976"/>
    </row>
    <row r="8977" spans="1:1" x14ac:dyDescent="0.2">
      <c r="A8977"/>
    </row>
    <row r="8978" spans="1:1" x14ac:dyDescent="0.2">
      <c r="A8978"/>
    </row>
    <row r="8979" spans="1:1" x14ac:dyDescent="0.2">
      <c r="A8979"/>
    </row>
    <row r="8980" spans="1:1" x14ac:dyDescent="0.2">
      <c r="A8980"/>
    </row>
    <row r="8981" spans="1:1" x14ac:dyDescent="0.2">
      <c r="A8981"/>
    </row>
    <row r="8982" spans="1:1" x14ac:dyDescent="0.2">
      <c r="A8982"/>
    </row>
    <row r="8983" spans="1:1" x14ac:dyDescent="0.2">
      <c r="A8983"/>
    </row>
    <row r="8984" spans="1:1" x14ac:dyDescent="0.2">
      <c r="A8984"/>
    </row>
    <row r="8985" spans="1:1" x14ac:dyDescent="0.2">
      <c r="A8985"/>
    </row>
    <row r="8986" spans="1:1" x14ac:dyDescent="0.2">
      <c r="A8986"/>
    </row>
    <row r="8987" spans="1:1" x14ac:dyDescent="0.2">
      <c r="A8987"/>
    </row>
    <row r="8988" spans="1:1" x14ac:dyDescent="0.2">
      <c r="A8988"/>
    </row>
    <row r="8989" spans="1:1" x14ac:dyDescent="0.2">
      <c r="A8989"/>
    </row>
    <row r="8990" spans="1:1" x14ac:dyDescent="0.2">
      <c r="A8990"/>
    </row>
    <row r="8991" spans="1:1" x14ac:dyDescent="0.2">
      <c r="A8991"/>
    </row>
    <row r="8992" spans="1:1" x14ac:dyDescent="0.2">
      <c r="A8992"/>
    </row>
    <row r="8993" spans="1:1" x14ac:dyDescent="0.2">
      <c r="A8993"/>
    </row>
    <row r="8994" spans="1:1" x14ac:dyDescent="0.2">
      <c r="A8994"/>
    </row>
    <row r="8995" spans="1:1" x14ac:dyDescent="0.2">
      <c r="A8995"/>
    </row>
    <row r="8996" spans="1:1" x14ac:dyDescent="0.2">
      <c r="A8996"/>
    </row>
    <row r="8997" spans="1:1" x14ac:dyDescent="0.2">
      <c r="A8997"/>
    </row>
    <row r="8998" spans="1:1" x14ac:dyDescent="0.2">
      <c r="A8998"/>
    </row>
    <row r="8999" spans="1:1" x14ac:dyDescent="0.2">
      <c r="A8999"/>
    </row>
    <row r="9000" spans="1:1" x14ac:dyDescent="0.2">
      <c r="A9000"/>
    </row>
    <row r="9001" spans="1:1" x14ac:dyDescent="0.2">
      <c r="A9001"/>
    </row>
    <row r="9002" spans="1:1" x14ac:dyDescent="0.2">
      <c r="A9002"/>
    </row>
    <row r="9003" spans="1:1" x14ac:dyDescent="0.2">
      <c r="A9003"/>
    </row>
    <row r="9004" spans="1:1" x14ac:dyDescent="0.2">
      <c r="A9004"/>
    </row>
    <row r="9005" spans="1:1" x14ac:dyDescent="0.2">
      <c r="A9005"/>
    </row>
    <row r="9006" spans="1:1" x14ac:dyDescent="0.2">
      <c r="A9006"/>
    </row>
    <row r="9007" spans="1:1" x14ac:dyDescent="0.2">
      <c r="A9007"/>
    </row>
    <row r="9008" spans="1:1" x14ac:dyDescent="0.2">
      <c r="A9008"/>
    </row>
    <row r="9009" spans="1:1" x14ac:dyDescent="0.2">
      <c r="A9009"/>
    </row>
    <row r="9010" spans="1:1" x14ac:dyDescent="0.2">
      <c r="A9010"/>
    </row>
    <row r="9011" spans="1:1" x14ac:dyDescent="0.2">
      <c r="A9011"/>
    </row>
    <row r="9012" spans="1:1" x14ac:dyDescent="0.2">
      <c r="A9012"/>
    </row>
    <row r="9013" spans="1:1" x14ac:dyDescent="0.2">
      <c r="A9013"/>
    </row>
    <row r="9014" spans="1:1" x14ac:dyDescent="0.2">
      <c r="A9014"/>
    </row>
    <row r="9015" spans="1:1" x14ac:dyDescent="0.2">
      <c r="A9015"/>
    </row>
    <row r="9016" spans="1:1" x14ac:dyDescent="0.2">
      <c r="A9016"/>
    </row>
    <row r="9017" spans="1:1" x14ac:dyDescent="0.2">
      <c r="A9017"/>
    </row>
    <row r="9018" spans="1:1" x14ac:dyDescent="0.2">
      <c r="A9018"/>
    </row>
    <row r="9019" spans="1:1" x14ac:dyDescent="0.2">
      <c r="A9019"/>
    </row>
    <row r="9020" spans="1:1" x14ac:dyDescent="0.2">
      <c r="A9020"/>
    </row>
    <row r="9021" spans="1:1" x14ac:dyDescent="0.2">
      <c r="A9021"/>
    </row>
    <row r="9022" spans="1:1" x14ac:dyDescent="0.2">
      <c r="A9022"/>
    </row>
    <row r="9023" spans="1:1" x14ac:dyDescent="0.2">
      <c r="A9023"/>
    </row>
    <row r="9024" spans="1:1" x14ac:dyDescent="0.2">
      <c r="A9024"/>
    </row>
    <row r="9025" spans="1:1" x14ac:dyDescent="0.2">
      <c r="A9025"/>
    </row>
    <row r="9026" spans="1:1" x14ac:dyDescent="0.2">
      <c r="A9026"/>
    </row>
    <row r="9027" spans="1:1" x14ac:dyDescent="0.2">
      <c r="A9027"/>
    </row>
    <row r="9028" spans="1:1" x14ac:dyDescent="0.2">
      <c r="A9028"/>
    </row>
    <row r="9029" spans="1:1" x14ac:dyDescent="0.2">
      <c r="A9029"/>
    </row>
    <row r="9030" spans="1:1" x14ac:dyDescent="0.2">
      <c r="A9030"/>
    </row>
    <row r="9031" spans="1:1" x14ac:dyDescent="0.2">
      <c r="A9031"/>
    </row>
    <row r="9032" spans="1:1" x14ac:dyDescent="0.2">
      <c r="A9032"/>
    </row>
    <row r="9033" spans="1:1" x14ac:dyDescent="0.2">
      <c r="A9033"/>
    </row>
    <row r="9034" spans="1:1" x14ac:dyDescent="0.2">
      <c r="A9034"/>
    </row>
    <row r="9035" spans="1:1" x14ac:dyDescent="0.2">
      <c r="A9035"/>
    </row>
    <row r="9036" spans="1:1" x14ac:dyDescent="0.2">
      <c r="A9036"/>
    </row>
    <row r="9037" spans="1:1" x14ac:dyDescent="0.2">
      <c r="A9037"/>
    </row>
    <row r="9038" spans="1:1" x14ac:dyDescent="0.2">
      <c r="A9038"/>
    </row>
    <row r="9039" spans="1:1" x14ac:dyDescent="0.2">
      <c r="A9039"/>
    </row>
    <row r="9040" spans="1:1" x14ac:dyDescent="0.2">
      <c r="A9040"/>
    </row>
    <row r="9041" spans="1:1" x14ac:dyDescent="0.2">
      <c r="A9041"/>
    </row>
    <row r="9042" spans="1:1" x14ac:dyDescent="0.2">
      <c r="A9042"/>
    </row>
    <row r="9043" spans="1:1" x14ac:dyDescent="0.2">
      <c r="A9043"/>
    </row>
    <row r="9044" spans="1:1" x14ac:dyDescent="0.2">
      <c r="A9044"/>
    </row>
    <row r="9045" spans="1:1" x14ac:dyDescent="0.2">
      <c r="A9045"/>
    </row>
    <row r="9046" spans="1:1" x14ac:dyDescent="0.2">
      <c r="A9046"/>
    </row>
    <row r="9047" spans="1:1" x14ac:dyDescent="0.2">
      <c r="A9047"/>
    </row>
    <row r="9048" spans="1:1" x14ac:dyDescent="0.2">
      <c r="A9048"/>
    </row>
    <row r="9049" spans="1:1" x14ac:dyDescent="0.2">
      <c r="A9049"/>
    </row>
    <row r="9050" spans="1:1" x14ac:dyDescent="0.2">
      <c r="A9050"/>
    </row>
    <row r="9051" spans="1:1" x14ac:dyDescent="0.2">
      <c r="A9051"/>
    </row>
    <row r="9052" spans="1:1" x14ac:dyDescent="0.2">
      <c r="A9052"/>
    </row>
    <row r="9053" spans="1:1" x14ac:dyDescent="0.2">
      <c r="A9053"/>
    </row>
    <row r="9054" spans="1:1" x14ac:dyDescent="0.2">
      <c r="A9054"/>
    </row>
    <row r="9055" spans="1:1" x14ac:dyDescent="0.2">
      <c r="A9055"/>
    </row>
    <row r="9056" spans="1:1" x14ac:dyDescent="0.2">
      <c r="A9056"/>
    </row>
    <row r="9057" spans="1:1" x14ac:dyDescent="0.2">
      <c r="A9057"/>
    </row>
    <row r="9058" spans="1:1" x14ac:dyDescent="0.2">
      <c r="A9058"/>
    </row>
    <row r="9059" spans="1:1" x14ac:dyDescent="0.2">
      <c r="A9059"/>
    </row>
    <row r="9060" spans="1:1" x14ac:dyDescent="0.2">
      <c r="A9060"/>
    </row>
    <row r="9061" spans="1:1" x14ac:dyDescent="0.2">
      <c r="A9061"/>
    </row>
    <row r="9062" spans="1:1" x14ac:dyDescent="0.2">
      <c r="A9062"/>
    </row>
    <row r="9063" spans="1:1" x14ac:dyDescent="0.2">
      <c r="A9063"/>
    </row>
    <row r="9064" spans="1:1" x14ac:dyDescent="0.2">
      <c r="A9064"/>
    </row>
    <row r="9065" spans="1:1" x14ac:dyDescent="0.2">
      <c r="A9065"/>
    </row>
    <row r="9066" spans="1:1" x14ac:dyDescent="0.2">
      <c r="A9066"/>
    </row>
    <row r="9067" spans="1:1" x14ac:dyDescent="0.2">
      <c r="A9067"/>
    </row>
    <row r="9068" spans="1:1" x14ac:dyDescent="0.2">
      <c r="A9068"/>
    </row>
    <row r="9069" spans="1:1" x14ac:dyDescent="0.2">
      <c r="A9069"/>
    </row>
    <row r="9070" spans="1:1" x14ac:dyDescent="0.2">
      <c r="A9070"/>
    </row>
    <row r="9071" spans="1:1" x14ac:dyDescent="0.2">
      <c r="A9071"/>
    </row>
    <row r="9072" spans="1:1" x14ac:dyDescent="0.2">
      <c r="A9072"/>
    </row>
    <row r="9073" spans="1:1" x14ac:dyDescent="0.2">
      <c r="A9073"/>
    </row>
    <row r="9074" spans="1:1" x14ac:dyDescent="0.2">
      <c r="A9074"/>
    </row>
    <row r="9075" spans="1:1" x14ac:dyDescent="0.2">
      <c r="A9075"/>
    </row>
    <row r="9076" spans="1:1" x14ac:dyDescent="0.2">
      <c r="A9076"/>
    </row>
    <row r="9077" spans="1:1" x14ac:dyDescent="0.2">
      <c r="A9077"/>
    </row>
    <row r="9078" spans="1:1" x14ac:dyDescent="0.2">
      <c r="A9078"/>
    </row>
    <row r="9079" spans="1:1" x14ac:dyDescent="0.2">
      <c r="A9079"/>
    </row>
    <row r="9080" spans="1:1" x14ac:dyDescent="0.2">
      <c r="A9080"/>
    </row>
    <row r="9081" spans="1:1" x14ac:dyDescent="0.2">
      <c r="A9081"/>
    </row>
    <row r="9082" spans="1:1" x14ac:dyDescent="0.2">
      <c r="A9082"/>
    </row>
    <row r="9083" spans="1:1" x14ac:dyDescent="0.2">
      <c r="A9083"/>
    </row>
    <row r="9084" spans="1:1" x14ac:dyDescent="0.2">
      <c r="A9084"/>
    </row>
    <row r="9085" spans="1:1" x14ac:dyDescent="0.2">
      <c r="A9085"/>
    </row>
    <row r="9086" spans="1:1" x14ac:dyDescent="0.2">
      <c r="A9086"/>
    </row>
    <row r="9087" spans="1:1" x14ac:dyDescent="0.2">
      <c r="A9087"/>
    </row>
    <row r="9088" spans="1:1" x14ac:dyDescent="0.2">
      <c r="A9088"/>
    </row>
    <row r="9089" spans="1:1" x14ac:dyDescent="0.2">
      <c r="A9089"/>
    </row>
    <row r="9090" spans="1:1" x14ac:dyDescent="0.2">
      <c r="A9090"/>
    </row>
    <row r="9091" spans="1:1" x14ac:dyDescent="0.2">
      <c r="A9091"/>
    </row>
    <row r="9092" spans="1:1" x14ac:dyDescent="0.2">
      <c r="A9092"/>
    </row>
    <row r="9093" spans="1:1" x14ac:dyDescent="0.2">
      <c r="A9093"/>
    </row>
    <row r="9094" spans="1:1" x14ac:dyDescent="0.2">
      <c r="A9094"/>
    </row>
    <row r="9095" spans="1:1" x14ac:dyDescent="0.2">
      <c r="A9095"/>
    </row>
    <row r="9096" spans="1:1" x14ac:dyDescent="0.2">
      <c r="A9096"/>
    </row>
    <row r="9097" spans="1:1" x14ac:dyDescent="0.2">
      <c r="A9097"/>
    </row>
    <row r="9098" spans="1:1" x14ac:dyDescent="0.2">
      <c r="A9098"/>
    </row>
    <row r="9099" spans="1:1" x14ac:dyDescent="0.2">
      <c r="A9099"/>
    </row>
    <row r="9100" spans="1:1" x14ac:dyDescent="0.2">
      <c r="A9100"/>
    </row>
    <row r="9101" spans="1:1" x14ac:dyDescent="0.2">
      <c r="A9101"/>
    </row>
    <row r="9102" spans="1:1" x14ac:dyDescent="0.2">
      <c r="A9102"/>
    </row>
    <row r="9103" spans="1:1" x14ac:dyDescent="0.2">
      <c r="A9103"/>
    </row>
    <row r="9104" spans="1:1" x14ac:dyDescent="0.2">
      <c r="A9104"/>
    </row>
    <row r="9105" spans="1:1" x14ac:dyDescent="0.2">
      <c r="A9105"/>
    </row>
    <row r="9106" spans="1:1" x14ac:dyDescent="0.2">
      <c r="A9106"/>
    </row>
    <row r="9107" spans="1:1" x14ac:dyDescent="0.2">
      <c r="A9107"/>
    </row>
    <row r="9108" spans="1:1" x14ac:dyDescent="0.2">
      <c r="A9108"/>
    </row>
    <row r="9109" spans="1:1" x14ac:dyDescent="0.2">
      <c r="A9109"/>
    </row>
    <row r="9110" spans="1:1" x14ac:dyDescent="0.2">
      <c r="A9110"/>
    </row>
    <row r="9111" spans="1:1" x14ac:dyDescent="0.2">
      <c r="A9111"/>
    </row>
    <row r="9112" spans="1:1" x14ac:dyDescent="0.2">
      <c r="A9112"/>
    </row>
    <row r="9113" spans="1:1" x14ac:dyDescent="0.2">
      <c r="A9113"/>
    </row>
    <row r="9114" spans="1:1" x14ac:dyDescent="0.2">
      <c r="A9114"/>
    </row>
    <row r="9115" spans="1:1" x14ac:dyDescent="0.2">
      <c r="A9115"/>
    </row>
    <row r="9116" spans="1:1" x14ac:dyDescent="0.2">
      <c r="A9116"/>
    </row>
    <row r="9117" spans="1:1" x14ac:dyDescent="0.2">
      <c r="A9117"/>
    </row>
    <row r="9118" spans="1:1" x14ac:dyDescent="0.2">
      <c r="A9118"/>
    </row>
    <row r="9119" spans="1:1" x14ac:dyDescent="0.2">
      <c r="A9119"/>
    </row>
    <row r="9120" spans="1:1" x14ac:dyDescent="0.2">
      <c r="A9120"/>
    </row>
    <row r="9121" spans="1:1" x14ac:dyDescent="0.2">
      <c r="A9121"/>
    </row>
    <row r="9122" spans="1:1" x14ac:dyDescent="0.2">
      <c r="A9122"/>
    </row>
    <row r="9123" spans="1:1" x14ac:dyDescent="0.2">
      <c r="A9123"/>
    </row>
    <row r="9124" spans="1:1" x14ac:dyDescent="0.2">
      <c r="A9124"/>
    </row>
    <row r="9125" spans="1:1" x14ac:dyDescent="0.2">
      <c r="A9125"/>
    </row>
    <row r="9126" spans="1:1" x14ac:dyDescent="0.2">
      <c r="A9126"/>
    </row>
    <row r="9127" spans="1:1" x14ac:dyDescent="0.2">
      <c r="A9127"/>
    </row>
    <row r="9128" spans="1:1" x14ac:dyDescent="0.2">
      <c r="A9128"/>
    </row>
    <row r="9129" spans="1:1" x14ac:dyDescent="0.2">
      <c r="A9129"/>
    </row>
    <row r="9130" spans="1:1" x14ac:dyDescent="0.2">
      <c r="A9130"/>
    </row>
    <row r="9131" spans="1:1" x14ac:dyDescent="0.2">
      <c r="A9131"/>
    </row>
    <row r="9132" spans="1:1" x14ac:dyDescent="0.2">
      <c r="A9132"/>
    </row>
    <row r="9133" spans="1:1" x14ac:dyDescent="0.2">
      <c r="A9133"/>
    </row>
    <row r="9134" spans="1:1" x14ac:dyDescent="0.2">
      <c r="A9134"/>
    </row>
    <row r="9135" spans="1:1" x14ac:dyDescent="0.2">
      <c r="A9135"/>
    </row>
    <row r="9136" spans="1:1" x14ac:dyDescent="0.2">
      <c r="A9136"/>
    </row>
    <row r="9137" spans="1:1" x14ac:dyDescent="0.2">
      <c r="A9137"/>
    </row>
    <row r="9138" spans="1:1" x14ac:dyDescent="0.2">
      <c r="A9138"/>
    </row>
    <row r="9139" spans="1:1" x14ac:dyDescent="0.2">
      <c r="A9139"/>
    </row>
    <row r="9140" spans="1:1" x14ac:dyDescent="0.2">
      <c r="A9140"/>
    </row>
    <row r="9141" spans="1:1" x14ac:dyDescent="0.2">
      <c r="A9141"/>
    </row>
    <row r="9142" spans="1:1" x14ac:dyDescent="0.2">
      <c r="A9142"/>
    </row>
    <row r="9143" spans="1:1" x14ac:dyDescent="0.2">
      <c r="A9143"/>
    </row>
    <row r="9144" spans="1:1" x14ac:dyDescent="0.2">
      <c r="A9144"/>
    </row>
    <row r="9145" spans="1:1" x14ac:dyDescent="0.2">
      <c r="A9145"/>
    </row>
    <row r="9146" spans="1:1" x14ac:dyDescent="0.2">
      <c r="A9146"/>
    </row>
    <row r="9147" spans="1:1" x14ac:dyDescent="0.2">
      <c r="A9147"/>
    </row>
    <row r="9148" spans="1:1" x14ac:dyDescent="0.2">
      <c r="A9148"/>
    </row>
    <row r="9149" spans="1:1" x14ac:dyDescent="0.2">
      <c r="A9149"/>
    </row>
    <row r="9150" spans="1:1" x14ac:dyDescent="0.2">
      <c r="A9150"/>
    </row>
    <row r="9151" spans="1:1" x14ac:dyDescent="0.2">
      <c r="A9151"/>
    </row>
    <row r="9152" spans="1:1" x14ac:dyDescent="0.2">
      <c r="A9152"/>
    </row>
    <row r="9153" spans="1:1" x14ac:dyDescent="0.2">
      <c r="A9153"/>
    </row>
    <row r="9154" spans="1:1" x14ac:dyDescent="0.2">
      <c r="A9154"/>
    </row>
    <row r="9155" spans="1:1" x14ac:dyDescent="0.2">
      <c r="A9155"/>
    </row>
    <row r="9156" spans="1:1" x14ac:dyDescent="0.2">
      <c r="A9156"/>
    </row>
    <row r="9157" spans="1:1" x14ac:dyDescent="0.2">
      <c r="A9157"/>
    </row>
    <row r="9158" spans="1:1" x14ac:dyDescent="0.2">
      <c r="A9158"/>
    </row>
    <row r="9159" spans="1:1" x14ac:dyDescent="0.2">
      <c r="A9159"/>
    </row>
    <row r="9160" spans="1:1" x14ac:dyDescent="0.2">
      <c r="A9160"/>
    </row>
    <row r="9161" spans="1:1" x14ac:dyDescent="0.2">
      <c r="A9161"/>
    </row>
    <row r="9162" spans="1:1" x14ac:dyDescent="0.2">
      <c r="A9162"/>
    </row>
    <row r="9163" spans="1:1" x14ac:dyDescent="0.2">
      <c r="A9163"/>
    </row>
    <row r="9164" spans="1:1" x14ac:dyDescent="0.2">
      <c r="A9164"/>
    </row>
    <row r="9165" spans="1:1" x14ac:dyDescent="0.2">
      <c r="A9165"/>
    </row>
    <row r="9166" spans="1:1" x14ac:dyDescent="0.2">
      <c r="A9166"/>
    </row>
    <row r="9167" spans="1:1" x14ac:dyDescent="0.2">
      <c r="A9167"/>
    </row>
    <row r="9168" spans="1:1" x14ac:dyDescent="0.2">
      <c r="A9168"/>
    </row>
    <row r="9169" spans="1:1" x14ac:dyDescent="0.2">
      <c r="A9169"/>
    </row>
    <row r="9170" spans="1:1" x14ac:dyDescent="0.2">
      <c r="A9170"/>
    </row>
    <row r="9171" spans="1:1" x14ac:dyDescent="0.2">
      <c r="A9171"/>
    </row>
    <row r="9172" spans="1:1" x14ac:dyDescent="0.2">
      <c r="A9172"/>
    </row>
    <row r="9173" spans="1:1" x14ac:dyDescent="0.2">
      <c r="A9173"/>
    </row>
    <row r="9174" spans="1:1" x14ac:dyDescent="0.2">
      <c r="A9174"/>
    </row>
    <row r="9175" spans="1:1" x14ac:dyDescent="0.2">
      <c r="A9175"/>
    </row>
    <row r="9176" spans="1:1" x14ac:dyDescent="0.2">
      <c r="A9176"/>
    </row>
    <row r="9177" spans="1:1" x14ac:dyDescent="0.2">
      <c r="A9177"/>
    </row>
    <row r="9178" spans="1:1" x14ac:dyDescent="0.2">
      <c r="A9178"/>
    </row>
    <row r="9179" spans="1:1" x14ac:dyDescent="0.2">
      <c r="A9179"/>
    </row>
    <row r="9180" spans="1:1" x14ac:dyDescent="0.2">
      <c r="A9180"/>
    </row>
    <row r="9181" spans="1:1" x14ac:dyDescent="0.2">
      <c r="A9181"/>
    </row>
    <row r="9182" spans="1:1" x14ac:dyDescent="0.2">
      <c r="A9182"/>
    </row>
    <row r="9183" spans="1:1" x14ac:dyDescent="0.2">
      <c r="A9183"/>
    </row>
    <row r="9184" spans="1:1" x14ac:dyDescent="0.2">
      <c r="A9184"/>
    </row>
    <row r="9185" spans="1:1" x14ac:dyDescent="0.2">
      <c r="A9185"/>
    </row>
    <row r="9186" spans="1:1" x14ac:dyDescent="0.2">
      <c r="A9186"/>
    </row>
    <row r="9187" spans="1:1" x14ac:dyDescent="0.2">
      <c r="A9187"/>
    </row>
    <row r="9188" spans="1:1" x14ac:dyDescent="0.2">
      <c r="A9188"/>
    </row>
    <row r="9189" spans="1:1" x14ac:dyDescent="0.2">
      <c r="A9189"/>
    </row>
    <row r="9190" spans="1:1" x14ac:dyDescent="0.2">
      <c r="A9190"/>
    </row>
    <row r="9191" spans="1:1" x14ac:dyDescent="0.2">
      <c r="A9191"/>
    </row>
    <row r="9192" spans="1:1" x14ac:dyDescent="0.2">
      <c r="A9192"/>
    </row>
    <row r="9193" spans="1:1" x14ac:dyDescent="0.2">
      <c r="A9193"/>
    </row>
    <row r="9194" spans="1:1" x14ac:dyDescent="0.2">
      <c r="A9194"/>
    </row>
    <row r="9195" spans="1:1" x14ac:dyDescent="0.2">
      <c r="A9195"/>
    </row>
    <row r="9196" spans="1:1" x14ac:dyDescent="0.2">
      <c r="A9196"/>
    </row>
    <row r="9197" spans="1:1" x14ac:dyDescent="0.2">
      <c r="A9197"/>
    </row>
    <row r="9198" spans="1:1" x14ac:dyDescent="0.2">
      <c r="A9198"/>
    </row>
    <row r="9199" spans="1:1" x14ac:dyDescent="0.2">
      <c r="A9199"/>
    </row>
    <row r="9200" spans="1:1" x14ac:dyDescent="0.2">
      <c r="A9200"/>
    </row>
    <row r="9201" spans="1:1" x14ac:dyDescent="0.2">
      <c r="A9201"/>
    </row>
    <row r="9202" spans="1:1" x14ac:dyDescent="0.2">
      <c r="A9202"/>
    </row>
    <row r="9203" spans="1:1" x14ac:dyDescent="0.2">
      <c r="A9203"/>
    </row>
    <row r="9204" spans="1:1" x14ac:dyDescent="0.2">
      <c r="A9204"/>
    </row>
    <row r="9205" spans="1:1" x14ac:dyDescent="0.2">
      <c r="A9205"/>
    </row>
    <row r="9206" spans="1:1" x14ac:dyDescent="0.2">
      <c r="A9206"/>
    </row>
    <row r="9207" spans="1:1" x14ac:dyDescent="0.2">
      <c r="A9207"/>
    </row>
    <row r="9208" spans="1:1" x14ac:dyDescent="0.2">
      <c r="A9208"/>
    </row>
    <row r="9209" spans="1:1" x14ac:dyDescent="0.2">
      <c r="A9209"/>
    </row>
    <row r="9210" spans="1:1" x14ac:dyDescent="0.2">
      <c r="A9210"/>
    </row>
    <row r="9211" spans="1:1" x14ac:dyDescent="0.2">
      <c r="A9211"/>
    </row>
    <row r="9212" spans="1:1" x14ac:dyDescent="0.2">
      <c r="A9212"/>
    </row>
    <row r="9213" spans="1:1" x14ac:dyDescent="0.2">
      <c r="A9213"/>
    </row>
    <row r="9214" spans="1:1" x14ac:dyDescent="0.2">
      <c r="A9214"/>
    </row>
    <row r="9215" spans="1:1" x14ac:dyDescent="0.2">
      <c r="A9215"/>
    </row>
    <row r="9216" spans="1:1" x14ac:dyDescent="0.2">
      <c r="A9216"/>
    </row>
    <row r="9217" spans="1:1" x14ac:dyDescent="0.2">
      <c r="A9217"/>
    </row>
    <row r="9218" spans="1:1" x14ac:dyDescent="0.2">
      <c r="A9218"/>
    </row>
    <row r="9219" spans="1:1" x14ac:dyDescent="0.2">
      <c r="A9219"/>
    </row>
    <row r="9220" spans="1:1" x14ac:dyDescent="0.2">
      <c r="A9220"/>
    </row>
    <row r="9221" spans="1:1" x14ac:dyDescent="0.2">
      <c r="A9221"/>
    </row>
    <row r="9222" spans="1:1" x14ac:dyDescent="0.2">
      <c r="A9222"/>
    </row>
    <row r="9223" spans="1:1" x14ac:dyDescent="0.2">
      <c r="A9223"/>
    </row>
    <row r="9224" spans="1:1" x14ac:dyDescent="0.2">
      <c r="A9224"/>
    </row>
    <row r="9225" spans="1:1" x14ac:dyDescent="0.2">
      <c r="A9225"/>
    </row>
    <row r="9226" spans="1:1" x14ac:dyDescent="0.2">
      <c r="A9226"/>
    </row>
    <row r="9227" spans="1:1" x14ac:dyDescent="0.2">
      <c r="A9227"/>
    </row>
    <row r="9228" spans="1:1" x14ac:dyDescent="0.2">
      <c r="A9228"/>
    </row>
    <row r="9229" spans="1:1" x14ac:dyDescent="0.2">
      <c r="A9229"/>
    </row>
    <row r="9230" spans="1:1" x14ac:dyDescent="0.2">
      <c r="A9230"/>
    </row>
    <row r="9231" spans="1:1" x14ac:dyDescent="0.2">
      <c r="A9231"/>
    </row>
    <row r="9232" spans="1:1" x14ac:dyDescent="0.2">
      <c r="A9232"/>
    </row>
    <row r="9233" spans="1:1" x14ac:dyDescent="0.2">
      <c r="A9233"/>
    </row>
    <row r="9234" spans="1:1" x14ac:dyDescent="0.2">
      <c r="A9234"/>
    </row>
    <row r="9235" spans="1:1" x14ac:dyDescent="0.2">
      <c r="A9235"/>
    </row>
    <row r="9236" spans="1:1" x14ac:dyDescent="0.2">
      <c r="A9236"/>
    </row>
    <row r="9237" spans="1:1" x14ac:dyDescent="0.2">
      <c r="A9237"/>
    </row>
    <row r="9238" spans="1:1" x14ac:dyDescent="0.2">
      <c r="A9238"/>
    </row>
    <row r="9239" spans="1:1" x14ac:dyDescent="0.2">
      <c r="A9239"/>
    </row>
    <row r="9240" spans="1:1" x14ac:dyDescent="0.2">
      <c r="A9240"/>
    </row>
    <row r="9241" spans="1:1" x14ac:dyDescent="0.2">
      <c r="A9241"/>
    </row>
    <row r="9242" spans="1:1" x14ac:dyDescent="0.2">
      <c r="A9242"/>
    </row>
    <row r="9243" spans="1:1" x14ac:dyDescent="0.2">
      <c r="A9243"/>
    </row>
    <row r="9244" spans="1:1" x14ac:dyDescent="0.2">
      <c r="A9244"/>
    </row>
    <row r="9245" spans="1:1" x14ac:dyDescent="0.2">
      <c r="A9245"/>
    </row>
    <row r="9246" spans="1:1" x14ac:dyDescent="0.2">
      <c r="A9246"/>
    </row>
    <row r="9247" spans="1:1" x14ac:dyDescent="0.2">
      <c r="A9247"/>
    </row>
    <row r="9248" spans="1:1" x14ac:dyDescent="0.2">
      <c r="A9248"/>
    </row>
    <row r="9249" spans="1:1" x14ac:dyDescent="0.2">
      <c r="A9249"/>
    </row>
    <row r="9250" spans="1:1" x14ac:dyDescent="0.2">
      <c r="A9250"/>
    </row>
    <row r="9251" spans="1:1" x14ac:dyDescent="0.2">
      <c r="A9251"/>
    </row>
    <row r="9252" spans="1:1" x14ac:dyDescent="0.2">
      <c r="A9252"/>
    </row>
    <row r="9253" spans="1:1" x14ac:dyDescent="0.2">
      <c r="A9253"/>
    </row>
    <row r="9254" spans="1:1" x14ac:dyDescent="0.2">
      <c r="A9254"/>
    </row>
    <row r="9255" spans="1:1" x14ac:dyDescent="0.2">
      <c r="A9255"/>
    </row>
    <row r="9256" spans="1:1" x14ac:dyDescent="0.2">
      <c r="A9256"/>
    </row>
    <row r="9257" spans="1:1" x14ac:dyDescent="0.2">
      <c r="A9257"/>
    </row>
    <row r="9258" spans="1:1" x14ac:dyDescent="0.2">
      <c r="A9258"/>
    </row>
    <row r="9259" spans="1:1" x14ac:dyDescent="0.2">
      <c r="A9259"/>
    </row>
    <row r="9260" spans="1:1" x14ac:dyDescent="0.2">
      <c r="A9260"/>
    </row>
    <row r="9261" spans="1:1" x14ac:dyDescent="0.2">
      <c r="A9261"/>
    </row>
    <row r="9262" spans="1:1" x14ac:dyDescent="0.2">
      <c r="A9262"/>
    </row>
    <row r="9263" spans="1:1" x14ac:dyDescent="0.2">
      <c r="A9263"/>
    </row>
    <row r="9264" spans="1:1" x14ac:dyDescent="0.2">
      <c r="A9264"/>
    </row>
    <row r="9265" spans="1:1" x14ac:dyDescent="0.2">
      <c r="A9265"/>
    </row>
    <row r="9266" spans="1:1" x14ac:dyDescent="0.2">
      <c r="A9266"/>
    </row>
    <row r="9267" spans="1:1" x14ac:dyDescent="0.2">
      <c r="A9267"/>
    </row>
    <row r="9268" spans="1:1" x14ac:dyDescent="0.2">
      <c r="A9268"/>
    </row>
    <row r="9269" spans="1:1" x14ac:dyDescent="0.2">
      <c r="A9269"/>
    </row>
    <row r="9270" spans="1:1" x14ac:dyDescent="0.2">
      <c r="A9270"/>
    </row>
    <row r="9271" spans="1:1" x14ac:dyDescent="0.2">
      <c r="A9271"/>
    </row>
    <row r="9272" spans="1:1" x14ac:dyDescent="0.2">
      <c r="A9272"/>
    </row>
    <row r="9273" spans="1:1" x14ac:dyDescent="0.2">
      <c r="A9273"/>
    </row>
    <row r="9274" spans="1:1" x14ac:dyDescent="0.2">
      <c r="A9274"/>
    </row>
    <row r="9275" spans="1:1" x14ac:dyDescent="0.2">
      <c r="A9275"/>
    </row>
    <row r="9276" spans="1:1" x14ac:dyDescent="0.2">
      <c r="A9276"/>
    </row>
    <row r="9277" spans="1:1" x14ac:dyDescent="0.2">
      <c r="A9277"/>
    </row>
    <row r="9278" spans="1:1" x14ac:dyDescent="0.2">
      <c r="A9278"/>
    </row>
    <row r="9279" spans="1:1" x14ac:dyDescent="0.2">
      <c r="A9279"/>
    </row>
    <row r="9280" spans="1:1" x14ac:dyDescent="0.2">
      <c r="A9280"/>
    </row>
    <row r="9281" spans="1:1" x14ac:dyDescent="0.2">
      <c r="A9281"/>
    </row>
    <row r="9282" spans="1:1" x14ac:dyDescent="0.2">
      <c r="A9282"/>
    </row>
    <row r="9283" spans="1:1" x14ac:dyDescent="0.2">
      <c r="A9283"/>
    </row>
    <row r="9284" spans="1:1" x14ac:dyDescent="0.2">
      <c r="A9284"/>
    </row>
    <row r="9285" spans="1:1" x14ac:dyDescent="0.2">
      <c r="A9285"/>
    </row>
    <row r="9286" spans="1:1" x14ac:dyDescent="0.2">
      <c r="A9286"/>
    </row>
    <row r="9287" spans="1:1" x14ac:dyDescent="0.2">
      <c r="A9287"/>
    </row>
    <row r="9288" spans="1:1" x14ac:dyDescent="0.2">
      <c r="A9288"/>
    </row>
    <row r="9289" spans="1:1" x14ac:dyDescent="0.2">
      <c r="A9289"/>
    </row>
    <row r="9290" spans="1:1" x14ac:dyDescent="0.2">
      <c r="A9290"/>
    </row>
    <row r="9291" spans="1:1" x14ac:dyDescent="0.2">
      <c r="A9291"/>
    </row>
    <row r="9292" spans="1:1" x14ac:dyDescent="0.2">
      <c r="A9292"/>
    </row>
    <row r="9293" spans="1:1" x14ac:dyDescent="0.2">
      <c r="A9293"/>
    </row>
    <row r="9294" spans="1:1" x14ac:dyDescent="0.2">
      <c r="A9294"/>
    </row>
    <row r="9295" spans="1:1" x14ac:dyDescent="0.2">
      <c r="A9295"/>
    </row>
    <row r="9296" spans="1:1" x14ac:dyDescent="0.2">
      <c r="A9296"/>
    </row>
    <row r="9297" spans="1:1" x14ac:dyDescent="0.2">
      <c r="A9297"/>
    </row>
    <row r="9298" spans="1:1" x14ac:dyDescent="0.2">
      <c r="A9298"/>
    </row>
    <row r="9299" spans="1:1" x14ac:dyDescent="0.2">
      <c r="A9299"/>
    </row>
    <row r="9300" spans="1:1" x14ac:dyDescent="0.2">
      <c r="A9300"/>
    </row>
    <row r="9301" spans="1:1" x14ac:dyDescent="0.2">
      <c r="A9301"/>
    </row>
    <row r="9302" spans="1:1" x14ac:dyDescent="0.2">
      <c r="A9302"/>
    </row>
    <row r="9303" spans="1:1" x14ac:dyDescent="0.2">
      <c r="A9303"/>
    </row>
    <row r="9304" spans="1:1" x14ac:dyDescent="0.2">
      <c r="A9304"/>
    </row>
    <row r="9305" spans="1:1" x14ac:dyDescent="0.2">
      <c r="A9305"/>
    </row>
    <row r="9306" spans="1:1" x14ac:dyDescent="0.2">
      <c r="A9306"/>
    </row>
    <row r="9307" spans="1:1" x14ac:dyDescent="0.2">
      <c r="A9307"/>
    </row>
    <row r="9308" spans="1:1" x14ac:dyDescent="0.2">
      <c r="A9308"/>
    </row>
    <row r="9309" spans="1:1" x14ac:dyDescent="0.2">
      <c r="A9309"/>
    </row>
    <row r="9310" spans="1:1" x14ac:dyDescent="0.2">
      <c r="A9310"/>
    </row>
    <row r="9311" spans="1:1" x14ac:dyDescent="0.2">
      <c r="A9311"/>
    </row>
    <row r="9312" spans="1:1" x14ac:dyDescent="0.2">
      <c r="A9312"/>
    </row>
    <row r="9313" spans="1:1" x14ac:dyDescent="0.2">
      <c r="A9313"/>
    </row>
    <row r="9314" spans="1:1" x14ac:dyDescent="0.2">
      <c r="A9314"/>
    </row>
    <row r="9315" spans="1:1" x14ac:dyDescent="0.2">
      <c r="A9315"/>
    </row>
    <row r="9316" spans="1:1" x14ac:dyDescent="0.2">
      <c r="A9316"/>
    </row>
    <row r="9317" spans="1:1" x14ac:dyDescent="0.2">
      <c r="A9317"/>
    </row>
    <row r="9318" spans="1:1" x14ac:dyDescent="0.2">
      <c r="A9318"/>
    </row>
    <row r="9319" spans="1:1" x14ac:dyDescent="0.2">
      <c r="A9319"/>
    </row>
    <row r="9320" spans="1:1" x14ac:dyDescent="0.2">
      <c r="A9320"/>
    </row>
    <row r="9321" spans="1:1" x14ac:dyDescent="0.2">
      <c r="A9321"/>
    </row>
    <row r="9322" spans="1:1" x14ac:dyDescent="0.2">
      <c r="A9322"/>
    </row>
    <row r="9323" spans="1:1" x14ac:dyDescent="0.2">
      <c r="A9323"/>
    </row>
    <row r="9324" spans="1:1" x14ac:dyDescent="0.2">
      <c r="A9324"/>
    </row>
    <row r="9325" spans="1:1" x14ac:dyDescent="0.2">
      <c r="A9325"/>
    </row>
    <row r="9326" spans="1:1" x14ac:dyDescent="0.2">
      <c r="A9326"/>
    </row>
    <row r="9327" spans="1:1" x14ac:dyDescent="0.2">
      <c r="A9327"/>
    </row>
    <row r="9328" spans="1:1" x14ac:dyDescent="0.2">
      <c r="A9328"/>
    </row>
    <row r="9329" spans="1:1" x14ac:dyDescent="0.2">
      <c r="A9329"/>
    </row>
    <row r="9330" spans="1:1" x14ac:dyDescent="0.2">
      <c r="A9330"/>
    </row>
    <row r="9331" spans="1:1" x14ac:dyDescent="0.2">
      <c r="A9331"/>
    </row>
    <row r="9332" spans="1:1" x14ac:dyDescent="0.2">
      <c r="A9332"/>
    </row>
    <row r="9333" spans="1:1" x14ac:dyDescent="0.2">
      <c r="A9333"/>
    </row>
    <row r="9334" spans="1:1" x14ac:dyDescent="0.2">
      <c r="A9334"/>
    </row>
    <row r="9335" spans="1:1" x14ac:dyDescent="0.2">
      <c r="A9335"/>
    </row>
    <row r="9336" spans="1:1" x14ac:dyDescent="0.2">
      <c r="A9336"/>
    </row>
    <row r="9337" spans="1:1" x14ac:dyDescent="0.2">
      <c r="A9337"/>
    </row>
    <row r="9338" spans="1:1" x14ac:dyDescent="0.2">
      <c r="A9338"/>
    </row>
    <row r="9339" spans="1:1" x14ac:dyDescent="0.2">
      <c r="A9339"/>
    </row>
    <row r="9340" spans="1:1" x14ac:dyDescent="0.2">
      <c r="A9340"/>
    </row>
    <row r="9341" spans="1:1" x14ac:dyDescent="0.2">
      <c r="A9341"/>
    </row>
    <row r="9342" spans="1:1" x14ac:dyDescent="0.2">
      <c r="A9342"/>
    </row>
    <row r="9343" spans="1:1" x14ac:dyDescent="0.2">
      <c r="A9343"/>
    </row>
    <row r="9344" spans="1:1" x14ac:dyDescent="0.2">
      <c r="A9344"/>
    </row>
    <row r="9345" spans="1:1" x14ac:dyDescent="0.2">
      <c r="A9345"/>
    </row>
    <row r="9346" spans="1:1" x14ac:dyDescent="0.2">
      <c r="A9346"/>
    </row>
    <row r="9347" spans="1:1" x14ac:dyDescent="0.2">
      <c r="A9347"/>
    </row>
    <row r="9348" spans="1:1" x14ac:dyDescent="0.2">
      <c r="A9348"/>
    </row>
    <row r="9349" spans="1:1" x14ac:dyDescent="0.2">
      <c r="A9349"/>
    </row>
    <row r="9350" spans="1:1" x14ac:dyDescent="0.2">
      <c r="A9350"/>
    </row>
    <row r="9351" spans="1:1" x14ac:dyDescent="0.2">
      <c r="A9351"/>
    </row>
    <row r="9352" spans="1:1" x14ac:dyDescent="0.2">
      <c r="A9352"/>
    </row>
    <row r="9353" spans="1:1" x14ac:dyDescent="0.2">
      <c r="A9353"/>
    </row>
    <row r="9354" spans="1:1" x14ac:dyDescent="0.2">
      <c r="A9354"/>
    </row>
    <row r="9355" spans="1:1" x14ac:dyDescent="0.2">
      <c r="A9355"/>
    </row>
    <row r="9356" spans="1:1" x14ac:dyDescent="0.2">
      <c r="A9356"/>
    </row>
    <row r="9357" spans="1:1" x14ac:dyDescent="0.2">
      <c r="A9357"/>
    </row>
    <row r="9358" spans="1:1" x14ac:dyDescent="0.2">
      <c r="A9358"/>
    </row>
    <row r="9359" spans="1:1" x14ac:dyDescent="0.2">
      <c r="A9359"/>
    </row>
    <row r="9360" spans="1:1" x14ac:dyDescent="0.2">
      <c r="A9360"/>
    </row>
    <row r="9361" spans="1:1" x14ac:dyDescent="0.2">
      <c r="A9361"/>
    </row>
    <row r="9362" spans="1:1" x14ac:dyDescent="0.2">
      <c r="A9362"/>
    </row>
    <row r="9363" spans="1:1" x14ac:dyDescent="0.2">
      <c r="A9363"/>
    </row>
    <row r="9364" spans="1:1" x14ac:dyDescent="0.2">
      <c r="A9364"/>
    </row>
    <row r="9365" spans="1:1" x14ac:dyDescent="0.2">
      <c r="A9365"/>
    </row>
    <row r="9366" spans="1:1" x14ac:dyDescent="0.2">
      <c r="A9366"/>
    </row>
    <row r="9367" spans="1:1" x14ac:dyDescent="0.2">
      <c r="A9367"/>
    </row>
    <row r="9368" spans="1:1" x14ac:dyDescent="0.2">
      <c r="A9368"/>
    </row>
    <row r="9369" spans="1:1" x14ac:dyDescent="0.2">
      <c r="A9369"/>
    </row>
    <row r="9370" spans="1:1" x14ac:dyDescent="0.2">
      <c r="A9370"/>
    </row>
    <row r="9371" spans="1:1" x14ac:dyDescent="0.2">
      <c r="A9371"/>
    </row>
    <row r="9372" spans="1:1" x14ac:dyDescent="0.2">
      <c r="A9372"/>
    </row>
    <row r="9373" spans="1:1" x14ac:dyDescent="0.2">
      <c r="A9373"/>
    </row>
    <row r="9374" spans="1:1" x14ac:dyDescent="0.2">
      <c r="A9374"/>
    </row>
    <row r="9375" spans="1:1" x14ac:dyDescent="0.2">
      <c r="A9375"/>
    </row>
    <row r="9376" spans="1:1" x14ac:dyDescent="0.2">
      <c r="A9376"/>
    </row>
    <row r="9377" spans="1:1" x14ac:dyDescent="0.2">
      <c r="A9377"/>
    </row>
    <row r="9378" spans="1:1" x14ac:dyDescent="0.2">
      <c r="A9378"/>
    </row>
    <row r="9379" spans="1:1" x14ac:dyDescent="0.2">
      <c r="A9379"/>
    </row>
    <row r="9380" spans="1:1" x14ac:dyDescent="0.2">
      <c r="A9380"/>
    </row>
    <row r="9381" spans="1:1" x14ac:dyDescent="0.2">
      <c r="A9381"/>
    </row>
    <row r="9382" spans="1:1" x14ac:dyDescent="0.2">
      <c r="A9382"/>
    </row>
    <row r="9383" spans="1:1" x14ac:dyDescent="0.2">
      <c r="A9383"/>
    </row>
    <row r="9384" spans="1:1" x14ac:dyDescent="0.2">
      <c r="A9384"/>
    </row>
    <row r="9385" spans="1:1" x14ac:dyDescent="0.2">
      <c r="A9385"/>
    </row>
    <row r="9386" spans="1:1" x14ac:dyDescent="0.2">
      <c r="A9386"/>
    </row>
    <row r="9387" spans="1:1" x14ac:dyDescent="0.2">
      <c r="A9387"/>
    </row>
    <row r="9388" spans="1:1" x14ac:dyDescent="0.2">
      <c r="A9388"/>
    </row>
    <row r="9389" spans="1:1" x14ac:dyDescent="0.2">
      <c r="A9389"/>
    </row>
    <row r="9390" spans="1:1" x14ac:dyDescent="0.2">
      <c r="A9390"/>
    </row>
    <row r="9391" spans="1:1" x14ac:dyDescent="0.2">
      <c r="A9391"/>
    </row>
    <row r="9392" spans="1:1" x14ac:dyDescent="0.2">
      <c r="A9392"/>
    </row>
    <row r="9393" spans="1:1" x14ac:dyDescent="0.2">
      <c r="A9393"/>
    </row>
    <row r="9394" spans="1:1" x14ac:dyDescent="0.2">
      <c r="A9394"/>
    </row>
    <row r="9395" spans="1:1" x14ac:dyDescent="0.2">
      <c r="A9395"/>
    </row>
    <row r="9396" spans="1:1" x14ac:dyDescent="0.2">
      <c r="A9396"/>
    </row>
    <row r="9397" spans="1:1" x14ac:dyDescent="0.2">
      <c r="A9397"/>
    </row>
    <row r="9398" spans="1:1" x14ac:dyDescent="0.2">
      <c r="A9398"/>
    </row>
    <row r="9399" spans="1:1" x14ac:dyDescent="0.2">
      <c r="A9399"/>
    </row>
    <row r="9400" spans="1:1" x14ac:dyDescent="0.2">
      <c r="A9400"/>
    </row>
    <row r="9401" spans="1:1" x14ac:dyDescent="0.2">
      <c r="A9401"/>
    </row>
    <row r="9402" spans="1:1" x14ac:dyDescent="0.2">
      <c r="A9402"/>
    </row>
    <row r="9403" spans="1:1" x14ac:dyDescent="0.2">
      <c r="A9403"/>
    </row>
    <row r="9404" spans="1:1" x14ac:dyDescent="0.2">
      <c r="A9404"/>
    </row>
    <row r="9405" spans="1:1" x14ac:dyDescent="0.2">
      <c r="A9405"/>
    </row>
    <row r="9406" spans="1:1" x14ac:dyDescent="0.2">
      <c r="A9406"/>
    </row>
    <row r="9407" spans="1:1" x14ac:dyDescent="0.2">
      <c r="A9407"/>
    </row>
    <row r="9408" spans="1:1" x14ac:dyDescent="0.2">
      <c r="A9408"/>
    </row>
    <row r="9409" spans="1:1" x14ac:dyDescent="0.2">
      <c r="A9409"/>
    </row>
    <row r="9410" spans="1:1" x14ac:dyDescent="0.2">
      <c r="A9410"/>
    </row>
    <row r="9411" spans="1:1" x14ac:dyDescent="0.2">
      <c r="A9411"/>
    </row>
    <row r="9412" spans="1:1" x14ac:dyDescent="0.2">
      <c r="A9412"/>
    </row>
    <row r="9413" spans="1:1" x14ac:dyDescent="0.2">
      <c r="A9413"/>
    </row>
    <row r="9414" spans="1:1" x14ac:dyDescent="0.2">
      <c r="A9414"/>
    </row>
    <row r="9415" spans="1:1" x14ac:dyDescent="0.2">
      <c r="A9415"/>
    </row>
    <row r="9416" spans="1:1" x14ac:dyDescent="0.2">
      <c r="A9416"/>
    </row>
    <row r="9417" spans="1:1" x14ac:dyDescent="0.2">
      <c r="A9417"/>
    </row>
    <row r="9418" spans="1:1" x14ac:dyDescent="0.2">
      <c r="A9418"/>
    </row>
    <row r="9419" spans="1:1" x14ac:dyDescent="0.2">
      <c r="A9419"/>
    </row>
    <row r="9420" spans="1:1" x14ac:dyDescent="0.2">
      <c r="A9420"/>
    </row>
    <row r="9421" spans="1:1" x14ac:dyDescent="0.2">
      <c r="A9421"/>
    </row>
    <row r="9422" spans="1:1" x14ac:dyDescent="0.2">
      <c r="A9422"/>
    </row>
    <row r="9423" spans="1:1" x14ac:dyDescent="0.2">
      <c r="A9423"/>
    </row>
    <row r="9424" spans="1:1" x14ac:dyDescent="0.2">
      <c r="A9424"/>
    </row>
    <row r="9425" spans="1:1" x14ac:dyDescent="0.2">
      <c r="A9425"/>
    </row>
    <row r="9426" spans="1:1" x14ac:dyDescent="0.2">
      <c r="A9426"/>
    </row>
    <row r="9427" spans="1:1" x14ac:dyDescent="0.2">
      <c r="A9427"/>
    </row>
    <row r="9428" spans="1:1" x14ac:dyDescent="0.2">
      <c r="A9428"/>
    </row>
    <row r="9429" spans="1:1" x14ac:dyDescent="0.2">
      <c r="A9429"/>
    </row>
    <row r="9430" spans="1:1" x14ac:dyDescent="0.2">
      <c r="A9430"/>
    </row>
    <row r="9431" spans="1:1" x14ac:dyDescent="0.2">
      <c r="A9431"/>
    </row>
    <row r="9432" spans="1:1" x14ac:dyDescent="0.2">
      <c r="A9432"/>
    </row>
    <row r="9433" spans="1:1" x14ac:dyDescent="0.2">
      <c r="A9433"/>
    </row>
    <row r="9434" spans="1:1" x14ac:dyDescent="0.2">
      <c r="A9434"/>
    </row>
    <row r="9435" spans="1:1" x14ac:dyDescent="0.2">
      <c r="A9435"/>
    </row>
    <row r="9436" spans="1:1" x14ac:dyDescent="0.2">
      <c r="A9436"/>
    </row>
    <row r="9437" spans="1:1" x14ac:dyDescent="0.2">
      <c r="A9437"/>
    </row>
    <row r="9438" spans="1:1" x14ac:dyDescent="0.2">
      <c r="A9438"/>
    </row>
    <row r="9439" spans="1:1" x14ac:dyDescent="0.2">
      <c r="A9439"/>
    </row>
    <row r="9440" spans="1:1" x14ac:dyDescent="0.2">
      <c r="A9440"/>
    </row>
    <row r="9441" spans="1:1" x14ac:dyDescent="0.2">
      <c r="A9441"/>
    </row>
    <row r="9442" spans="1:1" x14ac:dyDescent="0.2">
      <c r="A9442"/>
    </row>
    <row r="9443" spans="1:1" x14ac:dyDescent="0.2">
      <c r="A9443"/>
    </row>
    <row r="9444" spans="1:1" x14ac:dyDescent="0.2">
      <c r="A9444"/>
    </row>
    <row r="9445" spans="1:1" x14ac:dyDescent="0.2">
      <c r="A9445"/>
    </row>
    <row r="9446" spans="1:1" x14ac:dyDescent="0.2">
      <c r="A9446"/>
    </row>
    <row r="9447" spans="1:1" x14ac:dyDescent="0.2">
      <c r="A9447"/>
    </row>
    <row r="9448" spans="1:1" x14ac:dyDescent="0.2">
      <c r="A9448"/>
    </row>
    <row r="9449" spans="1:1" x14ac:dyDescent="0.2">
      <c r="A9449"/>
    </row>
    <row r="9450" spans="1:1" x14ac:dyDescent="0.2">
      <c r="A9450"/>
    </row>
    <row r="9451" spans="1:1" x14ac:dyDescent="0.2">
      <c r="A9451"/>
    </row>
    <row r="9452" spans="1:1" x14ac:dyDescent="0.2">
      <c r="A9452"/>
    </row>
    <row r="9453" spans="1:1" x14ac:dyDescent="0.2">
      <c r="A9453"/>
    </row>
    <row r="9454" spans="1:1" x14ac:dyDescent="0.2">
      <c r="A9454"/>
    </row>
    <row r="9455" spans="1:1" x14ac:dyDescent="0.2">
      <c r="A9455"/>
    </row>
    <row r="9456" spans="1:1" x14ac:dyDescent="0.2">
      <c r="A9456"/>
    </row>
    <row r="9457" spans="1:1" x14ac:dyDescent="0.2">
      <c r="A9457"/>
    </row>
    <row r="9458" spans="1:1" x14ac:dyDescent="0.2">
      <c r="A9458"/>
    </row>
    <row r="9459" spans="1:1" x14ac:dyDescent="0.2">
      <c r="A9459"/>
    </row>
    <row r="9460" spans="1:1" x14ac:dyDescent="0.2">
      <c r="A9460"/>
    </row>
    <row r="9461" spans="1:1" x14ac:dyDescent="0.2">
      <c r="A9461"/>
    </row>
    <row r="9462" spans="1:1" x14ac:dyDescent="0.2">
      <c r="A9462"/>
    </row>
    <row r="9463" spans="1:1" x14ac:dyDescent="0.2">
      <c r="A9463"/>
    </row>
    <row r="9464" spans="1:1" x14ac:dyDescent="0.2">
      <c r="A9464"/>
    </row>
    <row r="9465" spans="1:1" x14ac:dyDescent="0.2">
      <c r="A9465"/>
    </row>
    <row r="9466" spans="1:1" x14ac:dyDescent="0.2">
      <c r="A9466"/>
    </row>
    <row r="9467" spans="1:1" x14ac:dyDescent="0.2">
      <c r="A9467"/>
    </row>
    <row r="9468" spans="1:1" x14ac:dyDescent="0.2">
      <c r="A9468"/>
    </row>
    <row r="9469" spans="1:1" x14ac:dyDescent="0.2">
      <c r="A9469"/>
    </row>
    <row r="9470" spans="1:1" x14ac:dyDescent="0.2">
      <c r="A9470"/>
    </row>
    <row r="9471" spans="1:1" x14ac:dyDescent="0.2">
      <c r="A9471"/>
    </row>
    <row r="9472" spans="1:1" x14ac:dyDescent="0.2">
      <c r="A9472"/>
    </row>
    <row r="9473" spans="1:1" x14ac:dyDescent="0.2">
      <c r="A9473"/>
    </row>
    <row r="9474" spans="1:1" x14ac:dyDescent="0.2">
      <c r="A9474"/>
    </row>
    <row r="9475" spans="1:1" x14ac:dyDescent="0.2">
      <c r="A9475"/>
    </row>
    <row r="9476" spans="1:1" x14ac:dyDescent="0.2">
      <c r="A9476"/>
    </row>
    <row r="9477" spans="1:1" x14ac:dyDescent="0.2">
      <c r="A9477"/>
    </row>
    <row r="9478" spans="1:1" x14ac:dyDescent="0.2">
      <c r="A9478"/>
    </row>
    <row r="9479" spans="1:1" x14ac:dyDescent="0.2">
      <c r="A9479"/>
    </row>
    <row r="9480" spans="1:1" x14ac:dyDescent="0.2">
      <c r="A9480"/>
    </row>
    <row r="9481" spans="1:1" x14ac:dyDescent="0.2">
      <c r="A9481"/>
    </row>
    <row r="9482" spans="1:1" x14ac:dyDescent="0.2">
      <c r="A9482"/>
    </row>
    <row r="9483" spans="1:1" x14ac:dyDescent="0.2">
      <c r="A9483"/>
    </row>
    <row r="9484" spans="1:1" x14ac:dyDescent="0.2">
      <c r="A9484"/>
    </row>
    <row r="9485" spans="1:1" x14ac:dyDescent="0.2">
      <c r="A9485"/>
    </row>
    <row r="9486" spans="1:1" x14ac:dyDescent="0.2">
      <c r="A9486"/>
    </row>
    <row r="9487" spans="1:1" x14ac:dyDescent="0.2">
      <c r="A9487"/>
    </row>
    <row r="9488" spans="1:1" x14ac:dyDescent="0.2">
      <c r="A9488"/>
    </row>
    <row r="9489" spans="1:1" x14ac:dyDescent="0.2">
      <c r="A9489"/>
    </row>
    <row r="9490" spans="1:1" x14ac:dyDescent="0.2">
      <c r="A9490"/>
    </row>
    <row r="9491" spans="1:1" x14ac:dyDescent="0.2">
      <c r="A9491"/>
    </row>
    <row r="9492" spans="1:1" x14ac:dyDescent="0.2">
      <c r="A9492"/>
    </row>
    <row r="9493" spans="1:1" x14ac:dyDescent="0.2">
      <c r="A9493"/>
    </row>
    <row r="9494" spans="1:1" x14ac:dyDescent="0.2">
      <c r="A9494"/>
    </row>
    <row r="9495" spans="1:1" x14ac:dyDescent="0.2">
      <c r="A9495"/>
    </row>
    <row r="9496" spans="1:1" x14ac:dyDescent="0.2">
      <c r="A9496"/>
    </row>
    <row r="9497" spans="1:1" x14ac:dyDescent="0.2">
      <c r="A9497"/>
    </row>
    <row r="9498" spans="1:1" x14ac:dyDescent="0.2">
      <c r="A9498"/>
    </row>
    <row r="9499" spans="1:1" x14ac:dyDescent="0.2">
      <c r="A9499"/>
    </row>
    <row r="9500" spans="1:1" x14ac:dyDescent="0.2">
      <c r="A9500"/>
    </row>
    <row r="9501" spans="1:1" x14ac:dyDescent="0.2">
      <c r="A9501"/>
    </row>
    <row r="9502" spans="1:1" x14ac:dyDescent="0.2">
      <c r="A9502"/>
    </row>
    <row r="9503" spans="1:1" x14ac:dyDescent="0.2">
      <c r="A9503"/>
    </row>
    <row r="9504" spans="1:1" x14ac:dyDescent="0.2">
      <c r="A9504"/>
    </row>
    <row r="9505" spans="1:1" x14ac:dyDescent="0.2">
      <c r="A9505"/>
    </row>
    <row r="9506" spans="1:1" x14ac:dyDescent="0.2">
      <c r="A9506"/>
    </row>
    <row r="9507" spans="1:1" x14ac:dyDescent="0.2">
      <c r="A9507"/>
    </row>
    <row r="9508" spans="1:1" x14ac:dyDescent="0.2">
      <c r="A9508"/>
    </row>
    <row r="9509" spans="1:1" x14ac:dyDescent="0.2">
      <c r="A9509"/>
    </row>
    <row r="9510" spans="1:1" x14ac:dyDescent="0.2">
      <c r="A9510"/>
    </row>
    <row r="9511" spans="1:1" x14ac:dyDescent="0.2">
      <c r="A9511"/>
    </row>
    <row r="9512" spans="1:1" x14ac:dyDescent="0.2">
      <c r="A9512"/>
    </row>
    <row r="9513" spans="1:1" x14ac:dyDescent="0.2">
      <c r="A9513"/>
    </row>
    <row r="9514" spans="1:1" x14ac:dyDescent="0.2">
      <c r="A9514"/>
    </row>
    <row r="9515" spans="1:1" x14ac:dyDescent="0.2">
      <c r="A9515"/>
    </row>
    <row r="9516" spans="1:1" x14ac:dyDescent="0.2">
      <c r="A9516"/>
    </row>
    <row r="9517" spans="1:1" x14ac:dyDescent="0.2">
      <c r="A9517"/>
    </row>
    <row r="9518" spans="1:1" x14ac:dyDescent="0.2">
      <c r="A9518"/>
    </row>
    <row r="9519" spans="1:1" x14ac:dyDescent="0.2">
      <c r="A9519"/>
    </row>
    <row r="9520" spans="1:1" x14ac:dyDescent="0.2">
      <c r="A9520"/>
    </row>
    <row r="9521" spans="1:1" x14ac:dyDescent="0.2">
      <c r="A9521"/>
    </row>
    <row r="9522" spans="1:1" x14ac:dyDescent="0.2">
      <c r="A9522"/>
    </row>
    <row r="9523" spans="1:1" x14ac:dyDescent="0.2">
      <c r="A9523"/>
    </row>
    <row r="9524" spans="1:1" x14ac:dyDescent="0.2">
      <c r="A9524"/>
    </row>
    <row r="9525" spans="1:1" x14ac:dyDescent="0.2">
      <c r="A9525"/>
    </row>
    <row r="9526" spans="1:1" x14ac:dyDescent="0.2">
      <c r="A9526"/>
    </row>
    <row r="9527" spans="1:1" x14ac:dyDescent="0.2">
      <c r="A9527"/>
    </row>
    <row r="9528" spans="1:1" x14ac:dyDescent="0.2">
      <c r="A9528"/>
    </row>
    <row r="9529" spans="1:1" x14ac:dyDescent="0.2">
      <c r="A9529"/>
    </row>
    <row r="9530" spans="1:1" x14ac:dyDescent="0.2">
      <c r="A9530"/>
    </row>
    <row r="9531" spans="1:1" x14ac:dyDescent="0.2">
      <c r="A9531"/>
    </row>
    <row r="9532" spans="1:1" x14ac:dyDescent="0.2">
      <c r="A9532"/>
    </row>
    <row r="9533" spans="1:1" x14ac:dyDescent="0.2">
      <c r="A9533"/>
    </row>
    <row r="9534" spans="1:1" x14ac:dyDescent="0.2">
      <c r="A9534"/>
    </row>
    <row r="9535" spans="1:1" x14ac:dyDescent="0.2">
      <c r="A9535"/>
    </row>
    <row r="9536" spans="1:1" x14ac:dyDescent="0.2">
      <c r="A9536"/>
    </row>
    <row r="9537" spans="1:1" x14ac:dyDescent="0.2">
      <c r="A9537"/>
    </row>
    <row r="9538" spans="1:1" x14ac:dyDescent="0.2">
      <c r="A9538"/>
    </row>
    <row r="9539" spans="1:1" x14ac:dyDescent="0.2">
      <c r="A9539"/>
    </row>
    <row r="9540" spans="1:1" x14ac:dyDescent="0.2">
      <c r="A9540"/>
    </row>
    <row r="9541" spans="1:1" x14ac:dyDescent="0.2">
      <c r="A9541"/>
    </row>
    <row r="9542" spans="1:1" x14ac:dyDescent="0.2">
      <c r="A9542"/>
    </row>
    <row r="9543" spans="1:1" x14ac:dyDescent="0.2">
      <c r="A9543"/>
    </row>
    <row r="9544" spans="1:1" x14ac:dyDescent="0.2">
      <c r="A9544"/>
    </row>
    <row r="9545" spans="1:1" x14ac:dyDescent="0.2">
      <c r="A9545"/>
    </row>
    <row r="9546" spans="1:1" x14ac:dyDescent="0.2">
      <c r="A9546"/>
    </row>
    <row r="9547" spans="1:1" x14ac:dyDescent="0.2">
      <c r="A9547"/>
    </row>
    <row r="9548" spans="1:1" x14ac:dyDescent="0.2">
      <c r="A9548"/>
    </row>
    <row r="9549" spans="1:1" x14ac:dyDescent="0.2">
      <c r="A9549"/>
    </row>
    <row r="9550" spans="1:1" x14ac:dyDescent="0.2">
      <c r="A9550"/>
    </row>
    <row r="9551" spans="1:1" x14ac:dyDescent="0.2">
      <c r="A9551"/>
    </row>
    <row r="9552" spans="1:1" x14ac:dyDescent="0.2">
      <c r="A9552"/>
    </row>
    <row r="9553" spans="1:1" x14ac:dyDescent="0.2">
      <c r="A9553"/>
    </row>
    <row r="9554" spans="1:1" x14ac:dyDescent="0.2">
      <c r="A9554"/>
    </row>
    <row r="9555" spans="1:1" x14ac:dyDescent="0.2">
      <c r="A9555"/>
    </row>
    <row r="9556" spans="1:1" x14ac:dyDescent="0.2">
      <c r="A9556"/>
    </row>
    <row r="9557" spans="1:1" x14ac:dyDescent="0.2">
      <c r="A9557"/>
    </row>
    <row r="9558" spans="1:1" x14ac:dyDescent="0.2">
      <c r="A9558"/>
    </row>
    <row r="9559" spans="1:1" x14ac:dyDescent="0.2">
      <c r="A9559"/>
    </row>
    <row r="9560" spans="1:1" x14ac:dyDescent="0.2">
      <c r="A9560"/>
    </row>
    <row r="9561" spans="1:1" x14ac:dyDescent="0.2">
      <c r="A9561"/>
    </row>
    <row r="9562" spans="1:1" x14ac:dyDescent="0.2">
      <c r="A9562"/>
    </row>
    <row r="9563" spans="1:1" x14ac:dyDescent="0.2">
      <c r="A9563"/>
    </row>
    <row r="9564" spans="1:1" x14ac:dyDescent="0.2">
      <c r="A9564"/>
    </row>
    <row r="9565" spans="1:1" x14ac:dyDescent="0.2">
      <c r="A9565"/>
    </row>
    <row r="9566" spans="1:1" x14ac:dyDescent="0.2">
      <c r="A9566"/>
    </row>
    <row r="9567" spans="1:1" x14ac:dyDescent="0.2">
      <c r="A9567"/>
    </row>
    <row r="9568" spans="1:1" x14ac:dyDescent="0.2">
      <c r="A9568"/>
    </row>
    <row r="9569" spans="1:1" x14ac:dyDescent="0.2">
      <c r="A9569"/>
    </row>
    <row r="9570" spans="1:1" x14ac:dyDescent="0.2">
      <c r="A9570"/>
    </row>
    <row r="9571" spans="1:1" x14ac:dyDescent="0.2">
      <c r="A9571"/>
    </row>
    <row r="9572" spans="1:1" x14ac:dyDescent="0.2">
      <c r="A9572"/>
    </row>
    <row r="9573" spans="1:1" x14ac:dyDescent="0.2">
      <c r="A9573"/>
    </row>
    <row r="9574" spans="1:1" x14ac:dyDescent="0.2">
      <c r="A9574"/>
    </row>
    <row r="9575" spans="1:1" x14ac:dyDescent="0.2">
      <c r="A9575"/>
    </row>
    <row r="9576" spans="1:1" x14ac:dyDescent="0.2">
      <c r="A9576"/>
    </row>
    <row r="9577" spans="1:1" x14ac:dyDescent="0.2">
      <c r="A9577"/>
    </row>
    <row r="9578" spans="1:1" x14ac:dyDescent="0.2">
      <c r="A9578"/>
    </row>
    <row r="9579" spans="1:1" x14ac:dyDescent="0.2">
      <c r="A9579"/>
    </row>
    <row r="9580" spans="1:1" x14ac:dyDescent="0.2">
      <c r="A9580"/>
    </row>
    <row r="9581" spans="1:1" x14ac:dyDescent="0.2">
      <c r="A9581"/>
    </row>
    <row r="9582" spans="1:1" x14ac:dyDescent="0.2">
      <c r="A9582"/>
    </row>
    <row r="9583" spans="1:1" x14ac:dyDescent="0.2">
      <c r="A9583"/>
    </row>
    <row r="9584" spans="1:1" x14ac:dyDescent="0.2">
      <c r="A9584"/>
    </row>
    <row r="9585" spans="1:1" x14ac:dyDescent="0.2">
      <c r="A9585"/>
    </row>
    <row r="9586" spans="1:1" x14ac:dyDescent="0.2">
      <c r="A9586"/>
    </row>
    <row r="9587" spans="1:1" x14ac:dyDescent="0.2">
      <c r="A9587"/>
    </row>
    <row r="9588" spans="1:1" x14ac:dyDescent="0.2">
      <c r="A9588"/>
    </row>
    <row r="9589" spans="1:1" x14ac:dyDescent="0.2">
      <c r="A9589"/>
    </row>
    <row r="9590" spans="1:1" x14ac:dyDescent="0.2">
      <c r="A9590"/>
    </row>
    <row r="9591" spans="1:1" x14ac:dyDescent="0.2">
      <c r="A9591"/>
    </row>
    <row r="9592" spans="1:1" x14ac:dyDescent="0.2">
      <c r="A9592"/>
    </row>
    <row r="9593" spans="1:1" x14ac:dyDescent="0.2">
      <c r="A9593"/>
    </row>
    <row r="9594" spans="1:1" x14ac:dyDescent="0.2">
      <c r="A9594"/>
    </row>
    <row r="9595" spans="1:1" x14ac:dyDescent="0.2">
      <c r="A9595"/>
    </row>
    <row r="9596" spans="1:1" x14ac:dyDescent="0.2">
      <c r="A9596"/>
    </row>
    <row r="9597" spans="1:1" x14ac:dyDescent="0.2">
      <c r="A9597"/>
    </row>
    <row r="9598" spans="1:1" x14ac:dyDescent="0.2">
      <c r="A9598"/>
    </row>
    <row r="9599" spans="1:1" x14ac:dyDescent="0.2">
      <c r="A9599"/>
    </row>
    <row r="9600" spans="1:1" x14ac:dyDescent="0.2">
      <c r="A9600"/>
    </row>
    <row r="9601" spans="1:1" x14ac:dyDescent="0.2">
      <c r="A9601"/>
    </row>
    <row r="9602" spans="1:1" x14ac:dyDescent="0.2">
      <c r="A9602"/>
    </row>
    <row r="9603" spans="1:1" x14ac:dyDescent="0.2">
      <c r="A9603"/>
    </row>
    <row r="9604" spans="1:1" x14ac:dyDescent="0.2">
      <c r="A9604"/>
    </row>
    <row r="9605" spans="1:1" x14ac:dyDescent="0.2">
      <c r="A9605"/>
    </row>
    <row r="9606" spans="1:1" x14ac:dyDescent="0.2">
      <c r="A9606"/>
    </row>
    <row r="9607" spans="1:1" x14ac:dyDescent="0.2">
      <c r="A9607"/>
    </row>
    <row r="9608" spans="1:1" x14ac:dyDescent="0.2">
      <c r="A9608"/>
    </row>
    <row r="9609" spans="1:1" x14ac:dyDescent="0.2">
      <c r="A9609"/>
    </row>
    <row r="9610" spans="1:1" x14ac:dyDescent="0.2">
      <c r="A9610"/>
    </row>
    <row r="9611" spans="1:1" x14ac:dyDescent="0.2">
      <c r="A9611"/>
    </row>
    <row r="9612" spans="1:1" x14ac:dyDescent="0.2">
      <c r="A9612"/>
    </row>
    <row r="9613" spans="1:1" x14ac:dyDescent="0.2">
      <c r="A9613"/>
    </row>
    <row r="9614" spans="1:1" x14ac:dyDescent="0.2">
      <c r="A9614"/>
    </row>
    <row r="9615" spans="1:1" x14ac:dyDescent="0.2">
      <c r="A9615"/>
    </row>
    <row r="9616" spans="1:1" x14ac:dyDescent="0.2">
      <c r="A9616"/>
    </row>
    <row r="9617" spans="1:1" x14ac:dyDescent="0.2">
      <c r="A9617"/>
    </row>
    <row r="9618" spans="1:1" x14ac:dyDescent="0.2">
      <c r="A9618"/>
    </row>
    <row r="9619" spans="1:1" x14ac:dyDescent="0.2">
      <c r="A9619"/>
    </row>
    <row r="9620" spans="1:1" x14ac:dyDescent="0.2">
      <c r="A9620"/>
    </row>
    <row r="9621" spans="1:1" x14ac:dyDescent="0.2">
      <c r="A9621"/>
    </row>
    <row r="9622" spans="1:1" x14ac:dyDescent="0.2">
      <c r="A9622"/>
    </row>
    <row r="9623" spans="1:1" x14ac:dyDescent="0.2">
      <c r="A9623"/>
    </row>
    <row r="9624" spans="1:1" x14ac:dyDescent="0.2">
      <c r="A9624"/>
    </row>
    <row r="9625" spans="1:1" x14ac:dyDescent="0.2">
      <c r="A9625"/>
    </row>
    <row r="9626" spans="1:1" x14ac:dyDescent="0.2">
      <c r="A9626"/>
    </row>
    <row r="9627" spans="1:1" x14ac:dyDescent="0.2">
      <c r="A9627"/>
    </row>
    <row r="9628" spans="1:1" x14ac:dyDescent="0.2">
      <c r="A9628"/>
    </row>
    <row r="9629" spans="1:1" x14ac:dyDescent="0.2">
      <c r="A9629"/>
    </row>
    <row r="9630" spans="1:1" x14ac:dyDescent="0.2">
      <c r="A9630"/>
    </row>
    <row r="9631" spans="1:1" x14ac:dyDescent="0.2">
      <c r="A9631"/>
    </row>
    <row r="9632" spans="1:1" x14ac:dyDescent="0.2">
      <c r="A9632"/>
    </row>
    <row r="9633" spans="1:1" x14ac:dyDescent="0.2">
      <c r="A9633"/>
    </row>
    <row r="9634" spans="1:1" x14ac:dyDescent="0.2">
      <c r="A9634"/>
    </row>
    <row r="9635" spans="1:1" x14ac:dyDescent="0.2">
      <c r="A9635"/>
    </row>
    <row r="9636" spans="1:1" x14ac:dyDescent="0.2">
      <c r="A9636"/>
    </row>
    <row r="9637" spans="1:1" x14ac:dyDescent="0.2">
      <c r="A9637"/>
    </row>
    <row r="9638" spans="1:1" x14ac:dyDescent="0.2">
      <c r="A9638"/>
    </row>
    <row r="9639" spans="1:1" x14ac:dyDescent="0.2">
      <c r="A9639"/>
    </row>
    <row r="9640" spans="1:1" x14ac:dyDescent="0.2">
      <c r="A9640"/>
    </row>
    <row r="9641" spans="1:1" x14ac:dyDescent="0.2">
      <c r="A9641"/>
    </row>
    <row r="9642" spans="1:1" x14ac:dyDescent="0.2">
      <c r="A9642"/>
    </row>
    <row r="9643" spans="1:1" x14ac:dyDescent="0.2">
      <c r="A9643"/>
    </row>
    <row r="9644" spans="1:1" x14ac:dyDescent="0.2">
      <c r="A9644"/>
    </row>
    <row r="9645" spans="1:1" x14ac:dyDescent="0.2">
      <c r="A9645"/>
    </row>
    <row r="9646" spans="1:1" x14ac:dyDescent="0.2">
      <c r="A9646"/>
    </row>
    <row r="9647" spans="1:1" x14ac:dyDescent="0.2">
      <c r="A9647"/>
    </row>
    <row r="9648" spans="1:1" x14ac:dyDescent="0.2">
      <c r="A9648"/>
    </row>
    <row r="9649" spans="1:1" x14ac:dyDescent="0.2">
      <c r="A9649"/>
    </row>
    <row r="9650" spans="1:1" x14ac:dyDescent="0.2">
      <c r="A9650"/>
    </row>
    <row r="9651" spans="1:1" x14ac:dyDescent="0.2">
      <c r="A9651"/>
    </row>
    <row r="9652" spans="1:1" x14ac:dyDescent="0.2">
      <c r="A9652"/>
    </row>
    <row r="9653" spans="1:1" x14ac:dyDescent="0.2">
      <c r="A9653"/>
    </row>
    <row r="9654" spans="1:1" x14ac:dyDescent="0.2">
      <c r="A9654"/>
    </row>
    <row r="9655" spans="1:1" x14ac:dyDescent="0.2">
      <c r="A9655"/>
    </row>
    <row r="9656" spans="1:1" x14ac:dyDescent="0.2">
      <c r="A9656"/>
    </row>
    <row r="9657" spans="1:1" x14ac:dyDescent="0.2">
      <c r="A9657"/>
    </row>
    <row r="9658" spans="1:1" x14ac:dyDescent="0.2">
      <c r="A9658"/>
    </row>
    <row r="9659" spans="1:1" x14ac:dyDescent="0.2">
      <c r="A9659"/>
    </row>
    <row r="9660" spans="1:1" x14ac:dyDescent="0.2">
      <c r="A9660"/>
    </row>
    <row r="9661" spans="1:1" x14ac:dyDescent="0.2">
      <c r="A9661"/>
    </row>
    <row r="9662" spans="1:1" x14ac:dyDescent="0.2">
      <c r="A9662"/>
    </row>
    <row r="9663" spans="1:1" x14ac:dyDescent="0.2">
      <c r="A9663"/>
    </row>
    <row r="9664" spans="1:1" x14ac:dyDescent="0.2">
      <c r="A9664"/>
    </row>
    <row r="9665" spans="1:1" x14ac:dyDescent="0.2">
      <c r="A9665"/>
    </row>
    <row r="9666" spans="1:1" x14ac:dyDescent="0.2">
      <c r="A9666"/>
    </row>
    <row r="9667" spans="1:1" x14ac:dyDescent="0.2">
      <c r="A9667"/>
    </row>
    <row r="9668" spans="1:1" x14ac:dyDescent="0.2">
      <c r="A9668"/>
    </row>
    <row r="9669" spans="1:1" x14ac:dyDescent="0.2">
      <c r="A9669"/>
    </row>
    <row r="9670" spans="1:1" x14ac:dyDescent="0.2">
      <c r="A9670"/>
    </row>
    <row r="9671" spans="1:1" x14ac:dyDescent="0.2">
      <c r="A9671"/>
    </row>
    <row r="9672" spans="1:1" x14ac:dyDescent="0.2">
      <c r="A9672"/>
    </row>
    <row r="9673" spans="1:1" x14ac:dyDescent="0.2">
      <c r="A9673"/>
    </row>
    <row r="9674" spans="1:1" x14ac:dyDescent="0.2">
      <c r="A9674"/>
    </row>
    <row r="9675" spans="1:1" x14ac:dyDescent="0.2">
      <c r="A9675"/>
    </row>
    <row r="9676" spans="1:1" x14ac:dyDescent="0.2">
      <c r="A9676"/>
    </row>
    <row r="9677" spans="1:1" x14ac:dyDescent="0.2">
      <c r="A9677"/>
    </row>
    <row r="9678" spans="1:1" x14ac:dyDescent="0.2">
      <c r="A9678"/>
    </row>
    <row r="9679" spans="1:1" x14ac:dyDescent="0.2">
      <c r="A9679"/>
    </row>
    <row r="9680" spans="1:1" x14ac:dyDescent="0.2">
      <c r="A9680"/>
    </row>
    <row r="9681" spans="1:1" x14ac:dyDescent="0.2">
      <c r="A9681"/>
    </row>
    <row r="9682" spans="1:1" x14ac:dyDescent="0.2">
      <c r="A9682"/>
    </row>
    <row r="9683" spans="1:1" x14ac:dyDescent="0.2">
      <c r="A9683"/>
    </row>
    <row r="9684" spans="1:1" x14ac:dyDescent="0.2">
      <c r="A9684"/>
    </row>
    <row r="9685" spans="1:1" x14ac:dyDescent="0.2">
      <c r="A9685"/>
    </row>
    <row r="9686" spans="1:1" x14ac:dyDescent="0.2">
      <c r="A9686"/>
    </row>
    <row r="9687" spans="1:1" x14ac:dyDescent="0.2">
      <c r="A9687"/>
    </row>
    <row r="9688" spans="1:1" x14ac:dyDescent="0.2">
      <c r="A9688"/>
    </row>
    <row r="9689" spans="1:1" x14ac:dyDescent="0.2">
      <c r="A9689"/>
    </row>
    <row r="9690" spans="1:1" x14ac:dyDescent="0.2">
      <c r="A9690"/>
    </row>
    <row r="9691" spans="1:1" x14ac:dyDescent="0.2">
      <c r="A9691"/>
    </row>
    <row r="9692" spans="1:1" x14ac:dyDescent="0.2">
      <c r="A9692"/>
    </row>
    <row r="9693" spans="1:1" x14ac:dyDescent="0.2">
      <c r="A9693"/>
    </row>
    <row r="9694" spans="1:1" x14ac:dyDescent="0.2">
      <c r="A9694"/>
    </row>
    <row r="9695" spans="1:1" x14ac:dyDescent="0.2">
      <c r="A9695"/>
    </row>
    <row r="9696" spans="1:1" x14ac:dyDescent="0.2">
      <c r="A9696"/>
    </row>
    <row r="9697" spans="1:1" x14ac:dyDescent="0.2">
      <c r="A9697"/>
    </row>
    <row r="9698" spans="1:1" x14ac:dyDescent="0.2">
      <c r="A9698"/>
    </row>
    <row r="9699" spans="1:1" x14ac:dyDescent="0.2">
      <c r="A9699"/>
    </row>
    <row r="9700" spans="1:1" x14ac:dyDescent="0.2">
      <c r="A9700"/>
    </row>
    <row r="9701" spans="1:1" x14ac:dyDescent="0.2">
      <c r="A9701"/>
    </row>
    <row r="9702" spans="1:1" x14ac:dyDescent="0.2">
      <c r="A9702"/>
    </row>
    <row r="9703" spans="1:1" x14ac:dyDescent="0.2">
      <c r="A9703"/>
    </row>
    <row r="9704" spans="1:1" x14ac:dyDescent="0.2">
      <c r="A9704"/>
    </row>
    <row r="9705" spans="1:1" x14ac:dyDescent="0.2">
      <c r="A9705"/>
    </row>
    <row r="9706" spans="1:1" x14ac:dyDescent="0.2">
      <c r="A9706"/>
    </row>
    <row r="9707" spans="1:1" x14ac:dyDescent="0.2">
      <c r="A9707"/>
    </row>
    <row r="9708" spans="1:1" x14ac:dyDescent="0.2">
      <c r="A9708"/>
    </row>
    <row r="9709" spans="1:1" x14ac:dyDescent="0.2">
      <c r="A9709"/>
    </row>
    <row r="9710" spans="1:1" x14ac:dyDescent="0.2">
      <c r="A9710"/>
    </row>
    <row r="9711" spans="1:1" x14ac:dyDescent="0.2">
      <c r="A9711"/>
    </row>
    <row r="9712" spans="1:1" x14ac:dyDescent="0.2">
      <c r="A9712"/>
    </row>
    <row r="9713" spans="1:1" x14ac:dyDescent="0.2">
      <c r="A9713"/>
    </row>
    <row r="9714" spans="1:1" x14ac:dyDescent="0.2">
      <c r="A9714"/>
    </row>
    <row r="9715" spans="1:1" x14ac:dyDescent="0.2">
      <c r="A9715"/>
    </row>
    <row r="9716" spans="1:1" x14ac:dyDescent="0.2">
      <c r="A9716"/>
    </row>
    <row r="9717" spans="1:1" x14ac:dyDescent="0.2">
      <c r="A9717"/>
    </row>
    <row r="9718" spans="1:1" x14ac:dyDescent="0.2">
      <c r="A9718"/>
    </row>
    <row r="9719" spans="1:1" x14ac:dyDescent="0.2">
      <c r="A9719"/>
    </row>
    <row r="9720" spans="1:1" x14ac:dyDescent="0.2">
      <c r="A9720"/>
    </row>
    <row r="9721" spans="1:1" x14ac:dyDescent="0.2">
      <c r="A9721"/>
    </row>
    <row r="9722" spans="1:1" x14ac:dyDescent="0.2">
      <c r="A9722"/>
    </row>
    <row r="9723" spans="1:1" x14ac:dyDescent="0.2">
      <c r="A9723"/>
    </row>
    <row r="9724" spans="1:1" x14ac:dyDescent="0.2">
      <c r="A9724"/>
    </row>
    <row r="9725" spans="1:1" x14ac:dyDescent="0.2">
      <c r="A9725"/>
    </row>
    <row r="9726" spans="1:1" x14ac:dyDescent="0.2">
      <c r="A9726"/>
    </row>
    <row r="9727" spans="1:1" x14ac:dyDescent="0.2">
      <c r="A9727"/>
    </row>
    <row r="9728" spans="1:1" x14ac:dyDescent="0.2">
      <c r="A9728"/>
    </row>
    <row r="9729" spans="1:1" x14ac:dyDescent="0.2">
      <c r="A9729"/>
    </row>
    <row r="9730" spans="1:1" x14ac:dyDescent="0.2">
      <c r="A9730"/>
    </row>
    <row r="9731" spans="1:1" x14ac:dyDescent="0.2">
      <c r="A9731"/>
    </row>
    <row r="9732" spans="1:1" x14ac:dyDescent="0.2">
      <c r="A9732"/>
    </row>
    <row r="9733" spans="1:1" x14ac:dyDescent="0.2">
      <c r="A9733"/>
    </row>
    <row r="9734" spans="1:1" x14ac:dyDescent="0.2">
      <c r="A9734"/>
    </row>
    <row r="9735" spans="1:1" x14ac:dyDescent="0.2">
      <c r="A9735"/>
    </row>
    <row r="9736" spans="1:1" x14ac:dyDescent="0.2">
      <c r="A9736"/>
    </row>
    <row r="9737" spans="1:1" x14ac:dyDescent="0.2">
      <c r="A9737"/>
    </row>
    <row r="9738" spans="1:1" x14ac:dyDescent="0.2">
      <c r="A9738"/>
    </row>
    <row r="9739" spans="1:1" x14ac:dyDescent="0.2">
      <c r="A9739"/>
    </row>
    <row r="9740" spans="1:1" x14ac:dyDescent="0.2">
      <c r="A9740"/>
    </row>
    <row r="9741" spans="1:1" x14ac:dyDescent="0.2">
      <c r="A9741"/>
    </row>
    <row r="9742" spans="1:1" x14ac:dyDescent="0.2">
      <c r="A9742"/>
    </row>
    <row r="9743" spans="1:1" x14ac:dyDescent="0.2">
      <c r="A9743"/>
    </row>
    <row r="9744" spans="1:1" x14ac:dyDescent="0.2">
      <c r="A9744"/>
    </row>
    <row r="9745" spans="1:1" x14ac:dyDescent="0.2">
      <c r="A9745"/>
    </row>
    <row r="9746" spans="1:1" x14ac:dyDescent="0.2">
      <c r="A9746"/>
    </row>
    <row r="9747" spans="1:1" x14ac:dyDescent="0.2">
      <c r="A9747"/>
    </row>
    <row r="9748" spans="1:1" x14ac:dyDescent="0.2">
      <c r="A9748"/>
    </row>
    <row r="9749" spans="1:1" x14ac:dyDescent="0.2">
      <c r="A9749"/>
    </row>
    <row r="9750" spans="1:1" x14ac:dyDescent="0.2">
      <c r="A9750"/>
    </row>
    <row r="9751" spans="1:1" x14ac:dyDescent="0.2">
      <c r="A9751"/>
    </row>
    <row r="9752" spans="1:1" x14ac:dyDescent="0.2">
      <c r="A9752"/>
    </row>
    <row r="9753" spans="1:1" x14ac:dyDescent="0.2">
      <c r="A9753"/>
    </row>
    <row r="9754" spans="1:1" x14ac:dyDescent="0.2">
      <c r="A9754"/>
    </row>
    <row r="9755" spans="1:1" x14ac:dyDescent="0.2">
      <c r="A9755"/>
    </row>
    <row r="9756" spans="1:1" x14ac:dyDescent="0.2">
      <c r="A9756"/>
    </row>
    <row r="9757" spans="1:1" x14ac:dyDescent="0.2">
      <c r="A9757"/>
    </row>
    <row r="9758" spans="1:1" x14ac:dyDescent="0.2">
      <c r="A9758"/>
    </row>
    <row r="9759" spans="1:1" x14ac:dyDescent="0.2">
      <c r="A9759"/>
    </row>
    <row r="9760" spans="1:1" x14ac:dyDescent="0.2">
      <c r="A9760"/>
    </row>
    <row r="9761" spans="1:1" x14ac:dyDescent="0.2">
      <c r="A9761"/>
    </row>
    <row r="9762" spans="1:1" x14ac:dyDescent="0.2">
      <c r="A9762"/>
    </row>
    <row r="9763" spans="1:1" x14ac:dyDescent="0.2">
      <c r="A9763"/>
    </row>
    <row r="9764" spans="1:1" x14ac:dyDescent="0.2">
      <c r="A9764"/>
    </row>
    <row r="9765" spans="1:1" x14ac:dyDescent="0.2">
      <c r="A9765"/>
    </row>
    <row r="9766" spans="1:1" x14ac:dyDescent="0.2">
      <c r="A9766"/>
    </row>
    <row r="9767" spans="1:1" x14ac:dyDescent="0.2">
      <c r="A9767"/>
    </row>
    <row r="9768" spans="1:1" x14ac:dyDescent="0.2">
      <c r="A9768"/>
    </row>
    <row r="9769" spans="1:1" x14ac:dyDescent="0.2">
      <c r="A9769"/>
    </row>
    <row r="9770" spans="1:1" x14ac:dyDescent="0.2">
      <c r="A9770"/>
    </row>
    <row r="9771" spans="1:1" x14ac:dyDescent="0.2">
      <c r="A9771"/>
    </row>
    <row r="9772" spans="1:1" x14ac:dyDescent="0.2">
      <c r="A9772"/>
    </row>
    <row r="9773" spans="1:1" x14ac:dyDescent="0.2">
      <c r="A9773"/>
    </row>
    <row r="9774" spans="1:1" x14ac:dyDescent="0.2">
      <c r="A9774"/>
    </row>
    <row r="9775" spans="1:1" x14ac:dyDescent="0.2">
      <c r="A9775"/>
    </row>
    <row r="9776" spans="1:1" x14ac:dyDescent="0.2">
      <c r="A9776"/>
    </row>
    <row r="9777" spans="1:1" x14ac:dyDescent="0.2">
      <c r="A9777"/>
    </row>
    <row r="9778" spans="1:1" x14ac:dyDescent="0.2">
      <c r="A9778"/>
    </row>
    <row r="9779" spans="1:1" x14ac:dyDescent="0.2">
      <c r="A9779"/>
    </row>
    <row r="9780" spans="1:1" x14ac:dyDescent="0.2">
      <c r="A9780"/>
    </row>
    <row r="9781" spans="1:1" x14ac:dyDescent="0.2">
      <c r="A9781"/>
    </row>
    <row r="9782" spans="1:1" x14ac:dyDescent="0.2">
      <c r="A9782"/>
    </row>
    <row r="9783" spans="1:1" x14ac:dyDescent="0.2">
      <c r="A9783"/>
    </row>
    <row r="9784" spans="1:1" x14ac:dyDescent="0.2">
      <c r="A9784"/>
    </row>
    <row r="9785" spans="1:1" x14ac:dyDescent="0.2">
      <c r="A9785"/>
    </row>
    <row r="9786" spans="1:1" x14ac:dyDescent="0.2">
      <c r="A9786"/>
    </row>
    <row r="9787" spans="1:1" x14ac:dyDescent="0.2">
      <c r="A9787"/>
    </row>
    <row r="9788" spans="1:1" x14ac:dyDescent="0.2">
      <c r="A9788"/>
    </row>
    <row r="9789" spans="1:1" x14ac:dyDescent="0.2">
      <c r="A9789"/>
    </row>
    <row r="9790" spans="1:1" x14ac:dyDescent="0.2">
      <c r="A9790"/>
    </row>
    <row r="9791" spans="1:1" x14ac:dyDescent="0.2">
      <c r="A9791"/>
    </row>
    <row r="9792" spans="1:1" x14ac:dyDescent="0.2">
      <c r="A9792"/>
    </row>
    <row r="9793" spans="1:1" x14ac:dyDescent="0.2">
      <c r="A9793"/>
    </row>
    <row r="9794" spans="1:1" x14ac:dyDescent="0.2">
      <c r="A9794"/>
    </row>
    <row r="9795" spans="1:1" x14ac:dyDescent="0.2">
      <c r="A9795"/>
    </row>
    <row r="9796" spans="1:1" x14ac:dyDescent="0.2">
      <c r="A9796"/>
    </row>
    <row r="9797" spans="1:1" x14ac:dyDescent="0.2">
      <c r="A9797"/>
    </row>
    <row r="9798" spans="1:1" x14ac:dyDescent="0.2">
      <c r="A9798"/>
    </row>
    <row r="9799" spans="1:1" x14ac:dyDescent="0.2">
      <c r="A9799"/>
    </row>
    <row r="9800" spans="1:1" x14ac:dyDescent="0.2">
      <c r="A9800"/>
    </row>
    <row r="9801" spans="1:1" x14ac:dyDescent="0.2">
      <c r="A9801"/>
    </row>
    <row r="9802" spans="1:1" x14ac:dyDescent="0.2">
      <c r="A9802"/>
    </row>
    <row r="9803" spans="1:1" x14ac:dyDescent="0.2">
      <c r="A9803"/>
    </row>
    <row r="9804" spans="1:1" x14ac:dyDescent="0.2">
      <c r="A9804"/>
    </row>
    <row r="9805" spans="1:1" x14ac:dyDescent="0.2">
      <c r="A9805"/>
    </row>
    <row r="9806" spans="1:1" x14ac:dyDescent="0.2">
      <c r="A9806"/>
    </row>
    <row r="9807" spans="1:1" x14ac:dyDescent="0.2">
      <c r="A9807"/>
    </row>
    <row r="9808" spans="1:1" x14ac:dyDescent="0.2">
      <c r="A9808"/>
    </row>
    <row r="9809" spans="1:1" x14ac:dyDescent="0.2">
      <c r="A9809"/>
    </row>
    <row r="9810" spans="1:1" x14ac:dyDescent="0.2">
      <c r="A9810"/>
    </row>
    <row r="9811" spans="1:1" x14ac:dyDescent="0.2">
      <c r="A9811"/>
    </row>
    <row r="9812" spans="1:1" x14ac:dyDescent="0.2">
      <c r="A9812"/>
    </row>
    <row r="9813" spans="1:1" x14ac:dyDescent="0.2">
      <c r="A9813"/>
    </row>
    <row r="9814" spans="1:1" x14ac:dyDescent="0.2">
      <c r="A9814"/>
    </row>
    <row r="9815" spans="1:1" x14ac:dyDescent="0.2">
      <c r="A9815"/>
    </row>
    <row r="9816" spans="1:1" x14ac:dyDescent="0.2">
      <c r="A9816"/>
    </row>
    <row r="9817" spans="1:1" x14ac:dyDescent="0.2">
      <c r="A9817"/>
    </row>
    <row r="9818" spans="1:1" x14ac:dyDescent="0.2">
      <c r="A9818"/>
    </row>
    <row r="9819" spans="1:1" x14ac:dyDescent="0.2">
      <c r="A9819"/>
    </row>
    <row r="9820" spans="1:1" x14ac:dyDescent="0.2">
      <c r="A9820"/>
    </row>
    <row r="9821" spans="1:1" x14ac:dyDescent="0.2">
      <c r="A9821"/>
    </row>
    <row r="9822" spans="1:1" x14ac:dyDescent="0.2">
      <c r="A9822"/>
    </row>
    <row r="9823" spans="1:1" x14ac:dyDescent="0.2">
      <c r="A9823"/>
    </row>
    <row r="9824" spans="1:1" x14ac:dyDescent="0.2">
      <c r="A9824"/>
    </row>
    <row r="9825" spans="1:1" x14ac:dyDescent="0.2">
      <c r="A9825"/>
    </row>
    <row r="9826" spans="1:1" x14ac:dyDescent="0.2">
      <c r="A9826"/>
    </row>
    <row r="9827" spans="1:1" x14ac:dyDescent="0.2">
      <c r="A9827"/>
    </row>
    <row r="9828" spans="1:1" x14ac:dyDescent="0.2">
      <c r="A9828"/>
    </row>
    <row r="9829" spans="1:1" x14ac:dyDescent="0.2">
      <c r="A9829"/>
    </row>
    <row r="9830" spans="1:1" x14ac:dyDescent="0.2">
      <c r="A9830"/>
    </row>
    <row r="9831" spans="1:1" x14ac:dyDescent="0.2">
      <c r="A9831"/>
    </row>
    <row r="9832" spans="1:1" x14ac:dyDescent="0.2">
      <c r="A9832"/>
    </row>
    <row r="9833" spans="1:1" x14ac:dyDescent="0.2">
      <c r="A9833"/>
    </row>
    <row r="9834" spans="1:1" x14ac:dyDescent="0.2">
      <c r="A9834"/>
    </row>
    <row r="9835" spans="1:1" x14ac:dyDescent="0.2">
      <c r="A9835"/>
    </row>
    <row r="9836" spans="1:1" x14ac:dyDescent="0.2">
      <c r="A9836"/>
    </row>
    <row r="9837" spans="1:1" x14ac:dyDescent="0.2">
      <c r="A9837"/>
    </row>
    <row r="9838" spans="1:1" x14ac:dyDescent="0.2">
      <c r="A9838"/>
    </row>
    <row r="9839" spans="1:1" x14ac:dyDescent="0.2">
      <c r="A9839"/>
    </row>
    <row r="9840" spans="1:1" x14ac:dyDescent="0.2">
      <c r="A9840"/>
    </row>
    <row r="9841" spans="1:1" x14ac:dyDescent="0.2">
      <c r="A9841"/>
    </row>
    <row r="9842" spans="1:1" x14ac:dyDescent="0.2">
      <c r="A9842"/>
    </row>
    <row r="9843" spans="1:1" x14ac:dyDescent="0.2">
      <c r="A9843"/>
    </row>
    <row r="9844" spans="1:1" x14ac:dyDescent="0.2">
      <c r="A9844"/>
    </row>
    <row r="9845" spans="1:1" x14ac:dyDescent="0.2">
      <c r="A9845"/>
    </row>
    <row r="9846" spans="1:1" x14ac:dyDescent="0.2">
      <c r="A9846"/>
    </row>
    <row r="9847" spans="1:1" x14ac:dyDescent="0.2">
      <c r="A9847"/>
    </row>
    <row r="9848" spans="1:1" x14ac:dyDescent="0.2">
      <c r="A9848"/>
    </row>
    <row r="9849" spans="1:1" x14ac:dyDescent="0.2">
      <c r="A9849"/>
    </row>
    <row r="9850" spans="1:1" x14ac:dyDescent="0.2">
      <c r="A9850"/>
    </row>
    <row r="9851" spans="1:1" x14ac:dyDescent="0.2">
      <c r="A9851"/>
    </row>
    <row r="9852" spans="1:1" x14ac:dyDescent="0.2">
      <c r="A9852"/>
    </row>
    <row r="9853" spans="1:1" x14ac:dyDescent="0.2">
      <c r="A9853"/>
    </row>
    <row r="9854" spans="1:1" x14ac:dyDescent="0.2">
      <c r="A9854"/>
    </row>
    <row r="9855" spans="1:1" x14ac:dyDescent="0.2">
      <c r="A9855"/>
    </row>
    <row r="9856" spans="1:1" x14ac:dyDescent="0.2">
      <c r="A9856"/>
    </row>
    <row r="9857" spans="1:1" x14ac:dyDescent="0.2">
      <c r="A9857"/>
    </row>
    <row r="9858" spans="1:1" x14ac:dyDescent="0.2">
      <c r="A9858"/>
    </row>
    <row r="9859" spans="1:1" x14ac:dyDescent="0.2">
      <c r="A9859"/>
    </row>
    <row r="9860" spans="1:1" x14ac:dyDescent="0.2">
      <c r="A9860"/>
    </row>
    <row r="9861" spans="1:1" x14ac:dyDescent="0.2">
      <c r="A9861"/>
    </row>
    <row r="9862" spans="1:1" x14ac:dyDescent="0.2">
      <c r="A9862"/>
    </row>
    <row r="9863" spans="1:1" x14ac:dyDescent="0.2">
      <c r="A9863"/>
    </row>
    <row r="9864" spans="1:1" x14ac:dyDescent="0.2">
      <c r="A9864"/>
    </row>
    <row r="9865" spans="1:1" x14ac:dyDescent="0.2">
      <c r="A9865"/>
    </row>
    <row r="9866" spans="1:1" x14ac:dyDescent="0.2">
      <c r="A9866"/>
    </row>
    <row r="9867" spans="1:1" x14ac:dyDescent="0.2">
      <c r="A9867"/>
    </row>
    <row r="9868" spans="1:1" x14ac:dyDescent="0.2">
      <c r="A9868"/>
    </row>
    <row r="9869" spans="1:1" x14ac:dyDescent="0.2">
      <c r="A9869"/>
    </row>
    <row r="9870" spans="1:1" x14ac:dyDescent="0.2">
      <c r="A9870"/>
    </row>
    <row r="9871" spans="1:1" x14ac:dyDescent="0.2">
      <c r="A9871"/>
    </row>
    <row r="9872" spans="1:1" x14ac:dyDescent="0.2">
      <c r="A9872"/>
    </row>
    <row r="9873" spans="1:1" x14ac:dyDescent="0.2">
      <c r="A9873"/>
    </row>
    <row r="9874" spans="1:1" x14ac:dyDescent="0.2">
      <c r="A9874"/>
    </row>
    <row r="9875" spans="1:1" x14ac:dyDescent="0.2">
      <c r="A9875"/>
    </row>
    <row r="9876" spans="1:1" x14ac:dyDescent="0.2">
      <c r="A9876"/>
    </row>
    <row r="9877" spans="1:1" x14ac:dyDescent="0.2">
      <c r="A9877"/>
    </row>
    <row r="9878" spans="1:1" x14ac:dyDescent="0.2">
      <c r="A9878"/>
    </row>
    <row r="9879" spans="1:1" x14ac:dyDescent="0.2">
      <c r="A9879"/>
    </row>
    <row r="9880" spans="1:1" x14ac:dyDescent="0.2">
      <c r="A9880"/>
    </row>
    <row r="9881" spans="1:1" x14ac:dyDescent="0.2">
      <c r="A9881"/>
    </row>
    <row r="9882" spans="1:1" x14ac:dyDescent="0.2">
      <c r="A9882"/>
    </row>
    <row r="9883" spans="1:1" x14ac:dyDescent="0.2">
      <c r="A9883"/>
    </row>
    <row r="9884" spans="1:1" x14ac:dyDescent="0.2">
      <c r="A9884"/>
    </row>
    <row r="9885" spans="1:1" x14ac:dyDescent="0.2">
      <c r="A9885"/>
    </row>
    <row r="9886" spans="1:1" x14ac:dyDescent="0.2">
      <c r="A9886"/>
    </row>
    <row r="9887" spans="1:1" x14ac:dyDescent="0.2">
      <c r="A9887"/>
    </row>
    <row r="9888" spans="1:1" x14ac:dyDescent="0.2">
      <c r="A9888"/>
    </row>
    <row r="9889" spans="1:1" x14ac:dyDescent="0.2">
      <c r="A9889"/>
    </row>
    <row r="9890" spans="1:1" x14ac:dyDescent="0.2">
      <c r="A9890"/>
    </row>
    <row r="9891" spans="1:1" x14ac:dyDescent="0.2">
      <c r="A9891"/>
    </row>
    <row r="9892" spans="1:1" x14ac:dyDescent="0.2">
      <c r="A9892"/>
    </row>
    <row r="9893" spans="1:1" x14ac:dyDescent="0.2">
      <c r="A9893"/>
    </row>
    <row r="9894" spans="1:1" x14ac:dyDescent="0.2">
      <c r="A9894"/>
    </row>
    <row r="9895" spans="1:1" x14ac:dyDescent="0.2">
      <c r="A9895"/>
    </row>
    <row r="9896" spans="1:1" x14ac:dyDescent="0.2">
      <c r="A9896"/>
    </row>
    <row r="9897" spans="1:1" x14ac:dyDescent="0.2">
      <c r="A9897"/>
    </row>
    <row r="9898" spans="1:1" x14ac:dyDescent="0.2">
      <c r="A9898"/>
    </row>
    <row r="9899" spans="1:1" x14ac:dyDescent="0.2">
      <c r="A9899"/>
    </row>
    <row r="9900" spans="1:1" x14ac:dyDescent="0.2">
      <c r="A9900"/>
    </row>
    <row r="9901" spans="1:1" x14ac:dyDescent="0.2">
      <c r="A9901"/>
    </row>
    <row r="9902" spans="1:1" x14ac:dyDescent="0.2">
      <c r="A9902"/>
    </row>
    <row r="9903" spans="1:1" x14ac:dyDescent="0.2">
      <c r="A9903"/>
    </row>
    <row r="9904" spans="1:1" x14ac:dyDescent="0.2">
      <c r="A9904"/>
    </row>
    <row r="9905" spans="1:1" x14ac:dyDescent="0.2">
      <c r="A9905"/>
    </row>
    <row r="9906" spans="1:1" x14ac:dyDescent="0.2">
      <c r="A9906"/>
    </row>
    <row r="9907" spans="1:1" x14ac:dyDescent="0.2">
      <c r="A9907"/>
    </row>
    <row r="9908" spans="1:1" x14ac:dyDescent="0.2">
      <c r="A9908"/>
    </row>
    <row r="9909" spans="1:1" x14ac:dyDescent="0.2">
      <c r="A9909"/>
    </row>
    <row r="9910" spans="1:1" x14ac:dyDescent="0.2">
      <c r="A9910"/>
    </row>
    <row r="9911" spans="1:1" x14ac:dyDescent="0.2">
      <c r="A9911"/>
    </row>
    <row r="9912" spans="1:1" x14ac:dyDescent="0.2">
      <c r="A9912"/>
    </row>
    <row r="9913" spans="1:1" x14ac:dyDescent="0.2">
      <c r="A9913"/>
    </row>
    <row r="9914" spans="1:1" x14ac:dyDescent="0.2">
      <c r="A9914"/>
    </row>
    <row r="9915" spans="1:1" x14ac:dyDescent="0.2">
      <c r="A9915"/>
    </row>
    <row r="9916" spans="1:1" x14ac:dyDescent="0.2">
      <c r="A9916"/>
    </row>
    <row r="9917" spans="1:1" x14ac:dyDescent="0.2">
      <c r="A9917"/>
    </row>
    <row r="9918" spans="1:1" x14ac:dyDescent="0.2">
      <c r="A9918"/>
    </row>
    <row r="9919" spans="1:1" x14ac:dyDescent="0.2">
      <c r="A9919"/>
    </row>
    <row r="9920" spans="1:1" x14ac:dyDescent="0.2">
      <c r="A9920"/>
    </row>
    <row r="9921" spans="1:1" x14ac:dyDescent="0.2">
      <c r="A9921"/>
    </row>
    <row r="9922" spans="1:1" x14ac:dyDescent="0.2">
      <c r="A9922"/>
    </row>
    <row r="9923" spans="1:1" x14ac:dyDescent="0.2">
      <c r="A9923"/>
    </row>
    <row r="9924" spans="1:1" x14ac:dyDescent="0.2">
      <c r="A9924"/>
    </row>
    <row r="9925" spans="1:1" x14ac:dyDescent="0.2">
      <c r="A9925"/>
    </row>
    <row r="9926" spans="1:1" x14ac:dyDescent="0.2">
      <c r="A9926"/>
    </row>
    <row r="9927" spans="1:1" x14ac:dyDescent="0.2">
      <c r="A9927"/>
    </row>
    <row r="9928" spans="1:1" x14ac:dyDescent="0.2">
      <c r="A9928"/>
    </row>
    <row r="9929" spans="1:1" x14ac:dyDescent="0.2">
      <c r="A9929"/>
    </row>
    <row r="9930" spans="1:1" x14ac:dyDescent="0.2">
      <c r="A9930"/>
    </row>
    <row r="9931" spans="1:1" x14ac:dyDescent="0.2">
      <c r="A9931"/>
    </row>
    <row r="9932" spans="1:1" x14ac:dyDescent="0.2">
      <c r="A9932"/>
    </row>
    <row r="9933" spans="1:1" x14ac:dyDescent="0.2">
      <c r="A9933"/>
    </row>
    <row r="9934" spans="1:1" x14ac:dyDescent="0.2">
      <c r="A9934"/>
    </row>
    <row r="9935" spans="1:1" x14ac:dyDescent="0.2">
      <c r="A9935"/>
    </row>
    <row r="9936" spans="1:1" x14ac:dyDescent="0.2">
      <c r="A9936"/>
    </row>
    <row r="9937" spans="1:1" x14ac:dyDescent="0.2">
      <c r="A9937"/>
    </row>
    <row r="9938" spans="1:1" x14ac:dyDescent="0.2">
      <c r="A9938"/>
    </row>
    <row r="9939" spans="1:1" x14ac:dyDescent="0.2">
      <c r="A9939"/>
    </row>
    <row r="9940" spans="1:1" x14ac:dyDescent="0.2">
      <c r="A9940"/>
    </row>
    <row r="9941" spans="1:1" x14ac:dyDescent="0.2">
      <c r="A9941"/>
    </row>
    <row r="9942" spans="1:1" x14ac:dyDescent="0.2">
      <c r="A9942"/>
    </row>
    <row r="9943" spans="1:1" x14ac:dyDescent="0.2">
      <c r="A9943"/>
    </row>
    <row r="9944" spans="1:1" x14ac:dyDescent="0.2">
      <c r="A9944"/>
    </row>
    <row r="9945" spans="1:1" x14ac:dyDescent="0.2">
      <c r="A9945"/>
    </row>
    <row r="9946" spans="1:1" x14ac:dyDescent="0.2">
      <c r="A9946"/>
    </row>
    <row r="9947" spans="1:1" x14ac:dyDescent="0.2">
      <c r="A9947"/>
    </row>
    <row r="9948" spans="1:1" x14ac:dyDescent="0.2">
      <c r="A9948"/>
    </row>
    <row r="9949" spans="1:1" x14ac:dyDescent="0.2">
      <c r="A9949"/>
    </row>
    <row r="9950" spans="1:1" x14ac:dyDescent="0.2">
      <c r="A9950"/>
    </row>
    <row r="9951" spans="1:1" x14ac:dyDescent="0.2">
      <c r="A9951"/>
    </row>
    <row r="9952" spans="1:1" x14ac:dyDescent="0.2">
      <c r="A9952"/>
    </row>
    <row r="9953" spans="1:1" x14ac:dyDescent="0.2">
      <c r="A9953"/>
    </row>
    <row r="9954" spans="1:1" x14ac:dyDescent="0.2">
      <c r="A9954"/>
    </row>
    <row r="9955" spans="1:1" x14ac:dyDescent="0.2">
      <c r="A9955"/>
    </row>
    <row r="9956" spans="1:1" x14ac:dyDescent="0.2">
      <c r="A9956"/>
    </row>
    <row r="9957" spans="1:1" x14ac:dyDescent="0.2">
      <c r="A9957"/>
    </row>
    <row r="9958" spans="1:1" x14ac:dyDescent="0.2">
      <c r="A9958"/>
    </row>
    <row r="9959" spans="1:1" x14ac:dyDescent="0.2">
      <c r="A9959"/>
    </row>
    <row r="9960" spans="1:1" x14ac:dyDescent="0.2">
      <c r="A9960"/>
    </row>
    <row r="9961" spans="1:1" x14ac:dyDescent="0.2">
      <c r="A9961"/>
    </row>
    <row r="9962" spans="1:1" x14ac:dyDescent="0.2">
      <c r="A9962"/>
    </row>
    <row r="9963" spans="1:1" x14ac:dyDescent="0.2">
      <c r="A9963"/>
    </row>
    <row r="9964" spans="1:1" x14ac:dyDescent="0.2">
      <c r="A9964"/>
    </row>
    <row r="9965" spans="1:1" x14ac:dyDescent="0.2">
      <c r="A9965"/>
    </row>
    <row r="9966" spans="1:1" x14ac:dyDescent="0.2">
      <c r="A9966"/>
    </row>
    <row r="9967" spans="1:1" x14ac:dyDescent="0.2">
      <c r="A9967"/>
    </row>
    <row r="9968" spans="1:1" x14ac:dyDescent="0.2">
      <c r="A9968"/>
    </row>
    <row r="9969" spans="1:1" x14ac:dyDescent="0.2">
      <c r="A9969"/>
    </row>
    <row r="9970" spans="1:1" x14ac:dyDescent="0.2">
      <c r="A9970"/>
    </row>
    <row r="9971" spans="1:1" x14ac:dyDescent="0.2">
      <c r="A9971"/>
    </row>
    <row r="9972" spans="1:1" x14ac:dyDescent="0.2">
      <c r="A9972"/>
    </row>
    <row r="9973" spans="1:1" x14ac:dyDescent="0.2">
      <c r="A9973"/>
    </row>
    <row r="9974" spans="1:1" x14ac:dyDescent="0.2">
      <c r="A9974"/>
    </row>
    <row r="9975" spans="1:1" x14ac:dyDescent="0.2">
      <c r="A9975"/>
    </row>
    <row r="9976" spans="1:1" x14ac:dyDescent="0.2">
      <c r="A9976"/>
    </row>
    <row r="9977" spans="1:1" x14ac:dyDescent="0.2">
      <c r="A9977"/>
    </row>
    <row r="9978" spans="1:1" x14ac:dyDescent="0.2">
      <c r="A9978"/>
    </row>
    <row r="9979" spans="1:1" x14ac:dyDescent="0.2">
      <c r="A9979"/>
    </row>
    <row r="9980" spans="1:1" x14ac:dyDescent="0.2">
      <c r="A9980"/>
    </row>
    <row r="9981" spans="1:1" x14ac:dyDescent="0.2">
      <c r="A9981"/>
    </row>
    <row r="9982" spans="1:1" x14ac:dyDescent="0.2">
      <c r="A9982"/>
    </row>
    <row r="9983" spans="1:1" x14ac:dyDescent="0.2">
      <c r="A9983"/>
    </row>
    <row r="9984" spans="1:1" x14ac:dyDescent="0.2">
      <c r="A9984"/>
    </row>
    <row r="9985" spans="1:1" x14ac:dyDescent="0.2">
      <c r="A9985"/>
    </row>
    <row r="9986" spans="1:1" x14ac:dyDescent="0.2">
      <c r="A9986"/>
    </row>
    <row r="9987" spans="1:1" x14ac:dyDescent="0.2">
      <c r="A9987"/>
    </row>
    <row r="9988" spans="1:1" x14ac:dyDescent="0.2">
      <c r="A9988"/>
    </row>
    <row r="9989" spans="1:1" x14ac:dyDescent="0.2">
      <c r="A9989"/>
    </row>
    <row r="9990" spans="1:1" x14ac:dyDescent="0.2">
      <c r="A9990"/>
    </row>
    <row r="9991" spans="1:1" x14ac:dyDescent="0.2">
      <c r="A9991"/>
    </row>
    <row r="9992" spans="1:1" x14ac:dyDescent="0.2">
      <c r="A9992"/>
    </row>
    <row r="9993" spans="1:1" x14ac:dyDescent="0.2">
      <c r="A9993"/>
    </row>
    <row r="9994" spans="1:1" x14ac:dyDescent="0.2">
      <c r="A9994"/>
    </row>
    <row r="9995" spans="1:1" x14ac:dyDescent="0.2">
      <c r="A9995"/>
    </row>
    <row r="9996" spans="1:1" x14ac:dyDescent="0.2">
      <c r="A9996"/>
    </row>
    <row r="9997" spans="1:1" x14ac:dyDescent="0.2">
      <c r="A9997"/>
    </row>
    <row r="9998" spans="1:1" x14ac:dyDescent="0.2">
      <c r="A9998"/>
    </row>
    <row r="9999" spans="1:1" x14ac:dyDescent="0.2">
      <c r="A9999"/>
    </row>
    <row r="10000" spans="1:1" x14ac:dyDescent="0.2">
      <c r="A10000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9.42578125" style="99" customWidth="1"/>
    <col min="2" max="2" width="7.85546875" style="333" bestFit="1" customWidth="1"/>
    <col min="3" max="3" width="15.140625" style="333" customWidth="1"/>
    <col min="4" max="4" width="17.42578125" style="333" customWidth="1"/>
    <col min="5" max="5" width="16.140625" style="333" customWidth="1"/>
    <col min="6" max="6" width="14.5703125" style="333" customWidth="1"/>
    <col min="7" max="7" width="16.140625" style="333" customWidth="1"/>
    <col min="8" max="9" width="14.140625" style="333" customWidth="1"/>
    <col min="10" max="12" width="12.5703125" style="333" customWidth="1"/>
    <col min="13" max="13" width="14.5703125" style="333" customWidth="1"/>
    <col min="14" max="14" width="15.5703125" style="333" customWidth="1"/>
    <col min="15" max="17" width="8.85546875" style="330"/>
    <col min="18" max="18" width="11" style="330" customWidth="1"/>
    <col min="19" max="16384" width="8.85546875" style="330"/>
  </cols>
  <sheetData>
    <row r="1" spans="1:14" x14ac:dyDescent="0.2">
      <c r="A1" s="331"/>
      <c r="B1" s="331"/>
      <c r="C1" s="331"/>
      <c r="D1" s="331"/>
      <c r="E1" s="331"/>
      <c r="F1" s="331"/>
      <c r="G1" s="331"/>
      <c r="H1" s="331"/>
      <c r="I1" s="331"/>
      <c r="J1" s="331"/>
      <c r="K1" s="331"/>
      <c r="L1" s="331"/>
      <c r="M1" s="331"/>
      <c r="N1" s="331"/>
    </row>
    <row r="2" spans="1:14" x14ac:dyDescent="0.2">
      <c r="A2" s="332"/>
      <c r="B2" s="332"/>
      <c r="G2" s="332"/>
      <c r="H2" s="332"/>
      <c r="I2" s="332"/>
      <c r="J2" s="332"/>
      <c r="K2" s="332"/>
      <c r="L2" s="332"/>
      <c r="M2" s="332"/>
      <c r="N2" s="332"/>
    </row>
    <row r="3" spans="1:14" x14ac:dyDescent="0.2">
      <c r="A3" s="332"/>
      <c r="B3" s="332"/>
      <c r="C3" s="332"/>
      <c r="D3" s="332"/>
      <c r="E3" s="332"/>
      <c r="F3" s="332"/>
      <c r="G3" s="332"/>
      <c r="H3" s="332"/>
      <c r="I3" s="332"/>
      <c r="J3" s="332"/>
      <c r="K3" s="332"/>
      <c r="L3" s="332"/>
      <c r="M3" s="332"/>
    </row>
    <row r="4" spans="1:14" x14ac:dyDescent="0.2">
      <c r="A4" s="332"/>
      <c r="B4" s="332"/>
      <c r="G4" s="332"/>
      <c r="H4" s="332"/>
      <c r="I4" s="332"/>
      <c r="J4" s="332"/>
      <c r="K4" s="332"/>
      <c r="L4" s="332"/>
      <c r="M4" s="332"/>
    </row>
    <row r="5" spans="1:14" x14ac:dyDescent="0.2">
      <c r="A5" s="332"/>
      <c r="B5" s="332"/>
      <c r="G5" s="332"/>
      <c r="H5" s="332"/>
      <c r="I5" s="332"/>
      <c r="J5" s="332"/>
      <c r="K5" s="332"/>
      <c r="L5" s="332"/>
      <c r="M5" s="332"/>
    </row>
    <row r="6" spans="1:14" x14ac:dyDescent="0.2">
      <c r="A6" s="332"/>
      <c r="B6" s="332"/>
      <c r="C6" s="332"/>
      <c r="D6" s="332"/>
      <c r="E6" s="332"/>
      <c r="F6" s="332"/>
      <c r="G6" s="332"/>
      <c r="H6" s="332"/>
      <c r="I6" s="332"/>
      <c r="J6" s="332"/>
      <c r="K6" s="332"/>
      <c r="L6" s="332"/>
      <c r="M6" s="332"/>
    </row>
    <row r="7" spans="1:14" x14ac:dyDescent="0.2">
      <c r="A7" s="332"/>
      <c r="B7" s="332"/>
      <c r="G7" s="332"/>
      <c r="H7" s="332"/>
      <c r="I7" s="332"/>
      <c r="J7" s="332"/>
      <c r="K7" s="332"/>
      <c r="L7" s="332"/>
      <c r="M7" s="332"/>
    </row>
    <row r="8" spans="1:14" x14ac:dyDescent="0.2">
      <c r="A8" s="332"/>
      <c r="B8" s="332"/>
      <c r="C8" s="332"/>
      <c r="D8" s="332"/>
      <c r="E8" s="332"/>
      <c r="F8" s="332"/>
      <c r="G8" s="332"/>
      <c r="H8" s="332"/>
      <c r="I8" s="332"/>
      <c r="J8" s="332"/>
      <c r="K8" s="332"/>
      <c r="L8" s="332"/>
      <c r="M8" s="332"/>
    </row>
    <row r="9" spans="1:14" x14ac:dyDescent="0.2">
      <c r="A9" s="332"/>
      <c r="B9" s="332"/>
      <c r="G9" s="332"/>
      <c r="H9" s="332"/>
      <c r="I9" s="332"/>
      <c r="J9" s="332"/>
      <c r="K9" s="332"/>
      <c r="L9" s="332"/>
      <c r="M9" s="332"/>
    </row>
    <row r="10" spans="1:14" hidden="1" x14ac:dyDescent="0.2">
      <c r="A10" s="332"/>
      <c r="B10" s="332"/>
      <c r="C10" s="332"/>
      <c r="D10" s="332"/>
      <c r="E10" s="332"/>
      <c r="F10" s="332"/>
      <c r="G10" s="334"/>
      <c r="H10" s="334"/>
      <c r="I10" s="335"/>
      <c r="J10" s="335"/>
      <c r="K10" s="335"/>
      <c r="L10" s="335"/>
      <c r="M10" s="335"/>
      <c r="N10" s="335"/>
    </row>
    <row r="11" spans="1:14" hidden="1" x14ac:dyDescent="0.2">
      <c r="A11" s="335"/>
      <c r="B11" s="335"/>
      <c r="C11" s="335"/>
      <c r="D11" s="335"/>
      <c r="E11" s="335"/>
      <c r="F11" s="335"/>
      <c r="G11" s="335"/>
      <c r="H11" s="335"/>
      <c r="I11" s="335"/>
      <c r="J11" s="335"/>
      <c r="K11" s="335"/>
      <c r="L11" s="335"/>
      <c r="M11" s="335"/>
      <c r="N11" s="335"/>
    </row>
    <row r="12" spans="1:14" ht="27.75" customHeight="1" x14ac:dyDescent="0.2">
      <c r="A12" s="335"/>
      <c r="B12" s="550" t="s">
        <v>16</v>
      </c>
      <c r="C12" s="544" t="s">
        <v>1129</v>
      </c>
      <c r="D12" s="545"/>
      <c r="E12" s="545"/>
      <c r="F12" s="545"/>
      <c r="G12" s="545"/>
      <c r="H12" s="545"/>
      <c r="I12" s="545"/>
      <c r="J12" s="545"/>
      <c r="K12" s="545"/>
      <c r="L12" s="545"/>
      <c r="M12" s="545"/>
      <c r="N12" s="546"/>
    </row>
    <row r="13" spans="1:14" x14ac:dyDescent="0.2">
      <c r="A13" s="335"/>
      <c r="B13" s="551"/>
      <c r="C13" s="547" t="s">
        <v>1130</v>
      </c>
      <c r="D13" s="548"/>
      <c r="E13" s="548"/>
      <c r="F13" s="548"/>
      <c r="G13" s="548"/>
      <c r="H13" s="549"/>
      <c r="I13" s="547" t="s">
        <v>1131</v>
      </c>
      <c r="J13" s="548"/>
      <c r="K13" s="548"/>
      <c r="L13" s="548"/>
      <c r="M13" s="548"/>
      <c r="N13" s="549"/>
    </row>
    <row r="14" spans="1:14" ht="59.25" customHeight="1" x14ac:dyDescent="0.2">
      <c r="A14" s="336" t="s">
        <v>1132</v>
      </c>
      <c r="B14" s="551"/>
      <c r="C14" s="336" t="s">
        <v>1133</v>
      </c>
      <c r="D14" s="336" t="s">
        <v>1134</v>
      </c>
      <c r="E14" s="336" t="s">
        <v>1135</v>
      </c>
      <c r="F14" s="336" t="s">
        <v>1136</v>
      </c>
      <c r="G14" s="336" t="s">
        <v>1137</v>
      </c>
      <c r="H14" s="336" t="s">
        <v>1138</v>
      </c>
      <c r="I14" s="336" t="s">
        <v>1133</v>
      </c>
      <c r="J14" s="336" t="s">
        <v>1134</v>
      </c>
      <c r="K14" s="336" t="s">
        <v>1135</v>
      </c>
      <c r="L14" s="336" t="s">
        <v>1136</v>
      </c>
      <c r="M14" s="336" t="s">
        <v>1137</v>
      </c>
      <c r="N14" s="336" t="s">
        <v>1138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X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9"/>
    <col min="5" max="5" width="13.42578125" style="333" customWidth="1"/>
    <col min="6" max="6" width="15" style="333" customWidth="1"/>
    <col min="7" max="7" width="15.85546875" style="333" bestFit="1" customWidth="1"/>
    <col min="8" max="8" width="15.85546875" style="333" customWidth="1"/>
    <col min="9" max="9" width="15" style="99" customWidth="1"/>
    <col min="10" max="10" width="14.28515625" style="99" customWidth="1"/>
    <col min="11" max="11" width="14.85546875" style="99" customWidth="1"/>
    <col min="12" max="12" width="11.5703125" style="99" customWidth="1"/>
    <col min="13" max="13" width="13.140625" style="99" customWidth="1"/>
    <col min="14" max="14" width="14.42578125" style="99" customWidth="1"/>
    <col min="15" max="21" width="13" style="99" customWidth="1"/>
    <col min="22" max="22" width="13" style="353" customWidth="1"/>
    <col min="23" max="23" width="12" style="352" customWidth="1"/>
    <col min="24" max="24" width="10.140625" style="352" customWidth="1"/>
    <col min="25" max="25" width="11.140625" style="352" customWidth="1"/>
    <col min="26" max="26" width="11.85546875" style="352" customWidth="1"/>
    <col min="27" max="27" width="14.5703125" style="352" customWidth="1"/>
    <col min="28" max="28" width="13" style="353" customWidth="1"/>
    <col min="29" max="29" width="9.28515625" style="352" customWidth="1"/>
    <col min="30" max="30" width="13" style="353" customWidth="1"/>
    <col min="31" max="31" width="12.7109375" style="330" customWidth="1"/>
    <col min="32" max="32" width="11.7109375" style="330" customWidth="1"/>
    <col min="33" max="33" width="12.140625" style="330" customWidth="1"/>
    <col min="34" max="34" width="5.42578125" style="330" customWidth="1"/>
    <col min="35" max="36" width="11.7109375" style="330" customWidth="1"/>
    <col min="37" max="37" width="10" style="330" customWidth="1"/>
    <col min="38" max="39" width="8.85546875" style="330"/>
    <col min="41" max="16384" width="8.85546875" style="330"/>
  </cols>
  <sheetData>
    <row r="1" spans="1:40" hidden="1" x14ac:dyDescent="0.2"/>
    <row r="2" spans="1:40" hidden="1" x14ac:dyDescent="0.2"/>
    <row r="3" spans="1:40" hidden="1" x14ac:dyDescent="0.2"/>
    <row r="4" spans="1:40" hidden="1" x14ac:dyDescent="0.2"/>
    <row r="5" spans="1:40" hidden="1" x14ac:dyDescent="0.2"/>
    <row r="6" spans="1:40" hidden="1" x14ac:dyDescent="0.2"/>
    <row r="7" spans="1:40" hidden="1" x14ac:dyDescent="0.2"/>
    <row r="8" spans="1:40" hidden="1" x14ac:dyDescent="0.2"/>
    <row r="9" spans="1:40" hidden="1" x14ac:dyDescent="0.2"/>
    <row r="10" spans="1:40" hidden="1" x14ac:dyDescent="0.2"/>
    <row r="11" spans="1:40" hidden="1" x14ac:dyDescent="0.2"/>
    <row r="12" spans="1:40" ht="12.75" hidden="1" customHeight="1" x14ac:dyDescent="0.2"/>
    <row r="13" spans="1:40" ht="41.25" customHeight="1" x14ac:dyDescent="0.2">
      <c r="E13" s="552" t="s">
        <v>235</v>
      </c>
      <c r="F13" s="553"/>
      <c r="G13" s="553"/>
      <c r="H13" s="359"/>
      <c r="I13" s="353"/>
      <c r="J13" s="353"/>
      <c r="K13" s="552" t="s">
        <v>234</v>
      </c>
      <c r="L13" s="553"/>
      <c r="M13" s="553"/>
      <c r="N13" s="359"/>
      <c r="O13" s="353"/>
      <c r="P13" s="353"/>
      <c r="Q13" s="552" t="s">
        <v>242</v>
      </c>
      <c r="R13" s="553"/>
      <c r="S13" s="553"/>
      <c r="T13" s="353"/>
      <c r="U13" s="353"/>
      <c r="V13" s="377">
        <f>IF(MAX(V15:V10000)&lt;0.01,0,MAX(V15:V10000))</f>
        <v>0</v>
      </c>
      <c r="W13" s="552" t="s">
        <v>233</v>
      </c>
      <c r="X13" s="553"/>
      <c r="Y13" s="553"/>
      <c r="AB13" s="377">
        <f>IF(MAX(AB15:AB10000)&lt;0.01,0,MAX(AB15:AB10000))</f>
        <v>0</v>
      </c>
      <c r="AC13" s="353"/>
      <c r="AE13" s="376">
        <f>AB13</f>
        <v>0</v>
      </c>
      <c r="AL13" s="109" t="s">
        <v>241</v>
      </c>
      <c r="AN13" s="330"/>
    </row>
    <row r="14" spans="1:40" ht="56.25" x14ac:dyDescent="0.2">
      <c r="A14" s="336" t="s">
        <v>34</v>
      </c>
      <c r="B14" s="360" t="s">
        <v>225</v>
      </c>
      <c r="C14" s="360" t="s">
        <v>226</v>
      </c>
      <c r="D14" s="360" t="s">
        <v>227</v>
      </c>
      <c r="E14" s="337" t="s">
        <v>39</v>
      </c>
      <c r="F14" s="338" t="s">
        <v>40</v>
      </c>
      <c r="G14" s="338" t="s">
        <v>41</v>
      </c>
      <c r="H14" s="358" t="s">
        <v>245</v>
      </c>
      <c r="I14" s="339" t="s">
        <v>247</v>
      </c>
      <c r="J14" s="339" t="s">
        <v>248</v>
      </c>
      <c r="K14" s="337" t="s">
        <v>39</v>
      </c>
      <c r="L14" s="338" t="s">
        <v>40</v>
      </c>
      <c r="M14" s="338" t="s">
        <v>41</v>
      </c>
      <c r="N14" s="358" t="s">
        <v>246</v>
      </c>
      <c r="O14" s="339" t="s">
        <v>232</v>
      </c>
      <c r="P14" s="339" t="s">
        <v>249</v>
      </c>
      <c r="Q14" s="354" t="s">
        <v>39</v>
      </c>
      <c r="R14" s="355" t="s">
        <v>40</v>
      </c>
      <c r="S14" s="355" t="s">
        <v>41</v>
      </c>
      <c r="T14" s="355" t="s">
        <v>243</v>
      </c>
      <c r="U14" s="356" t="s">
        <v>244</v>
      </c>
      <c r="V14" s="356" t="s">
        <v>240</v>
      </c>
      <c r="W14" s="354" t="s">
        <v>39</v>
      </c>
      <c r="X14" s="355" t="s">
        <v>40</v>
      </c>
      <c r="Y14" s="355" t="s">
        <v>41</v>
      </c>
      <c r="Z14" s="355" t="s">
        <v>236</v>
      </c>
      <c r="AA14" s="356" t="s">
        <v>237</v>
      </c>
      <c r="AB14" s="356" t="s">
        <v>240</v>
      </c>
      <c r="AC14" s="356" t="s">
        <v>239</v>
      </c>
      <c r="AD14" s="374" t="s">
        <v>964</v>
      </c>
      <c r="AE14" s="375" t="s">
        <v>963</v>
      </c>
      <c r="AF14" s="373" t="s">
        <v>252</v>
      </c>
      <c r="AG14" s="373" t="s">
        <v>251</v>
      </c>
      <c r="AH14" s="371" t="s">
        <v>961</v>
      </c>
      <c r="AI14" s="371" t="s">
        <v>960</v>
      </c>
      <c r="AJ14" s="371" t="s">
        <v>962</v>
      </c>
      <c r="AK14" s="371" t="s">
        <v>965</v>
      </c>
      <c r="AL14" s="371"/>
      <c r="AN14" s="330"/>
    </row>
    <row r="15" spans="1:40" customFormat="1" x14ac:dyDescent="0.2"/>
    <row r="16" spans="1:40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9"/>
    <col min="2" max="2" width="11.85546875" style="333" customWidth="1"/>
    <col min="3" max="3" width="11" style="333" customWidth="1"/>
    <col min="4" max="4" width="13.85546875" style="343" customWidth="1"/>
    <col min="5" max="5" width="12.5703125" style="333" customWidth="1"/>
    <col min="6" max="6" width="13.140625" style="99" customWidth="1"/>
    <col min="7" max="7" width="12.5703125" style="99" customWidth="1"/>
    <col min="8" max="8" width="13.42578125" style="99" customWidth="1"/>
    <col min="9" max="9" width="14.140625" style="99" customWidth="1"/>
    <col min="10" max="10" width="8.85546875" style="330"/>
    <col min="11" max="11" width="12.5703125" style="330" customWidth="1"/>
    <col min="12" max="16384" width="8.85546875" style="330"/>
  </cols>
  <sheetData>
    <row r="1" spans="1:9" hidden="1" x14ac:dyDescent="0.2">
      <c r="B1" s="332"/>
      <c r="C1" s="332"/>
      <c r="D1" s="340"/>
      <c r="E1" s="332"/>
    </row>
    <row r="2" spans="1:9" hidden="1" x14ac:dyDescent="0.2">
      <c r="B2" s="332"/>
      <c r="C2" s="332"/>
      <c r="D2" s="340"/>
      <c r="E2" s="332"/>
    </row>
    <row r="3" spans="1:9" hidden="1" x14ac:dyDescent="0.2">
      <c r="B3" s="332"/>
      <c r="C3" s="332"/>
      <c r="D3" s="340"/>
      <c r="E3" s="332"/>
    </row>
    <row r="4" spans="1:9" hidden="1" x14ac:dyDescent="0.2">
      <c r="B4" s="332"/>
      <c r="C4" s="332"/>
      <c r="D4" s="340"/>
      <c r="E4" s="332"/>
    </row>
    <row r="5" spans="1:9" hidden="1" x14ac:dyDescent="0.2">
      <c r="B5" s="332"/>
      <c r="C5" s="332"/>
      <c r="D5" s="340"/>
      <c r="E5" s="332"/>
    </row>
    <row r="6" spans="1:9" hidden="1" x14ac:dyDescent="0.2">
      <c r="B6" s="332"/>
      <c r="C6" s="332"/>
      <c r="D6" s="340"/>
      <c r="E6" s="332"/>
    </row>
    <row r="7" spans="1:9" hidden="1" x14ac:dyDescent="0.2">
      <c r="B7" s="332"/>
      <c r="C7" s="332"/>
      <c r="D7" s="340"/>
      <c r="E7" s="332"/>
    </row>
    <row r="8" spans="1:9" hidden="1" x14ac:dyDescent="0.2">
      <c r="B8" s="332"/>
      <c r="C8" s="332"/>
      <c r="D8" s="340"/>
      <c r="E8" s="332"/>
    </row>
    <row r="9" spans="1:9" hidden="1" x14ac:dyDescent="0.2">
      <c r="B9" s="332"/>
      <c r="C9" s="332"/>
      <c r="D9" s="340"/>
      <c r="E9" s="332"/>
    </row>
    <row r="10" spans="1:9" hidden="1" x14ac:dyDescent="0.2">
      <c r="B10" s="332"/>
      <c r="C10" s="332"/>
      <c r="D10" s="340"/>
      <c r="E10" s="332"/>
    </row>
    <row r="11" spans="1:9" hidden="1" x14ac:dyDescent="0.2">
      <c r="B11" s="335"/>
      <c r="C11" s="335"/>
      <c r="D11" s="341"/>
      <c r="E11" s="335"/>
    </row>
    <row r="12" spans="1:9" ht="12.75" customHeight="1" x14ac:dyDescent="0.2">
      <c r="B12" s="554" t="s">
        <v>991</v>
      </c>
      <c r="C12" s="555"/>
      <c r="D12" s="556" t="s">
        <v>992</v>
      </c>
      <c r="E12" s="557"/>
      <c r="F12" s="556" t="s">
        <v>1128</v>
      </c>
      <c r="G12" s="557"/>
      <c r="H12" s="556" t="s">
        <v>94</v>
      </c>
      <c r="I12" s="557"/>
    </row>
    <row r="13" spans="1:9" ht="41.25" customHeight="1" x14ac:dyDescent="0.2">
      <c r="B13" s="554"/>
      <c r="C13" s="555"/>
      <c r="D13" s="558"/>
      <c r="E13" s="559"/>
      <c r="F13" s="558"/>
      <c r="G13" s="559"/>
      <c r="H13" s="558"/>
      <c r="I13" s="559"/>
    </row>
    <row r="14" spans="1:9" ht="45" x14ac:dyDescent="0.2">
      <c r="A14" s="336" t="s">
        <v>1132</v>
      </c>
      <c r="B14" s="342" t="s">
        <v>1139</v>
      </c>
      <c r="C14" s="342" t="s">
        <v>1140</v>
      </c>
      <c r="D14" s="342" t="s">
        <v>1139</v>
      </c>
      <c r="E14" s="342" t="s">
        <v>1140</v>
      </c>
      <c r="F14" s="342" t="s">
        <v>1139</v>
      </c>
      <c r="G14" s="342" t="s">
        <v>1140</v>
      </c>
      <c r="H14" s="342" t="s">
        <v>1139</v>
      </c>
      <c r="I14" s="342" t="s">
        <v>1140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15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9" customWidth="1"/>
    <col min="2" max="2" width="10.85546875" style="99" customWidth="1"/>
    <col min="3" max="3" width="11" style="333" customWidth="1"/>
    <col min="4" max="4" width="12.85546875" style="333" customWidth="1"/>
    <col min="5" max="16384" width="8.85546875" style="330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9"/>
      <c r="D12" s="99"/>
    </row>
    <row r="13" spans="1:4" hidden="1" x14ac:dyDescent="0.2">
      <c r="C13" s="99"/>
      <c r="D13" s="99"/>
    </row>
    <row r="14" spans="1:4" ht="45" x14ac:dyDescent="0.2">
      <c r="A14" s="336" t="s">
        <v>1141</v>
      </c>
      <c r="B14" s="336" t="s">
        <v>1142</v>
      </c>
      <c r="C14" s="336" t="s">
        <v>1143</v>
      </c>
      <c r="D14" s="336" t="s">
        <v>1144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4"/>
  <sheetViews>
    <sheetView workbookViewId="0"/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8" t="s">
        <v>64</v>
      </c>
      <c r="B1" s="198"/>
      <c r="C1" s="198"/>
      <c r="D1" s="198"/>
      <c r="E1" s="198"/>
      <c r="F1" s="198"/>
    </row>
    <row r="2" spans="1:6" x14ac:dyDescent="0.2">
      <c r="A2" t="s">
        <v>322</v>
      </c>
    </row>
    <row r="3" spans="1:6" x14ac:dyDescent="0.2">
      <c r="A3" t="s">
        <v>256</v>
      </c>
    </row>
    <row r="4" spans="1:6" x14ac:dyDescent="0.2">
      <c r="A4" t="s">
        <v>258</v>
      </c>
    </row>
    <row r="5" spans="1:6" x14ac:dyDescent="0.2">
      <c r="A5" t="s">
        <v>260</v>
      </c>
    </row>
    <row r="6" spans="1:6" x14ac:dyDescent="0.2">
      <c r="A6" t="s">
        <v>262</v>
      </c>
    </row>
    <row r="7" spans="1:6" x14ac:dyDescent="0.2">
      <c r="A7" t="s">
        <v>265</v>
      </c>
    </row>
    <row r="8" spans="1:6" x14ac:dyDescent="0.2">
      <c r="A8" t="s">
        <v>267</v>
      </c>
    </row>
    <row r="9" spans="1:6" x14ac:dyDescent="0.2">
      <c r="A9" t="s">
        <v>270</v>
      </c>
    </row>
    <row r="10" spans="1:6" x14ac:dyDescent="0.2">
      <c r="A10" t="s">
        <v>272</v>
      </c>
    </row>
    <row r="11" spans="1:6" x14ac:dyDescent="0.2">
      <c r="A11" t="s">
        <v>274</v>
      </c>
    </row>
    <row r="12" spans="1:6" x14ac:dyDescent="0.2">
      <c r="A12" t="s">
        <v>276</v>
      </c>
    </row>
    <row r="13" spans="1:6" x14ac:dyDescent="0.2">
      <c r="A13" t="s">
        <v>278</v>
      </c>
    </row>
    <row r="14" spans="1:6" x14ac:dyDescent="0.2">
      <c r="A14" t="s">
        <v>280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J418"/>
  <sheetViews>
    <sheetView zoomScale="140" zoomScaleNormal="140" workbookViewId="0">
      <selection activeCell="I11" sqref="I11"/>
    </sheetView>
  </sheetViews>
  <sheetFormatPr defaultColWidth="8.85546875" defaultRowHeight="12.75" x14ac:dyDescent="0.2"/>
  <cols>
    <col min="1" max="1" width="8.85546875" style="105"/>
    <col min="2" max="2" width="15.140625" style="105" customWidth="1"/>
    <col min="3" max="7" width="9.5703125" style="105" customWidth="1"/>
    <col min="8" max="16384" width="8.85546875" style="105"/>
  </cols>
  <sheetData>
    <row r="1" spans="1:10" ht="35.25" customHeight="1" x14ac:dyDescent="0.2">
      <c r="A1" s="305" t="s">
        <v>7</v>
      </c>
      <c r="B1" s="305" t="s">
        <v>30</v>
      </c>
      <c r="C1" s="315" t="s">
        <v>117</v>
      </c>
      <c r="D1" s="315" t="s">
        <v>108</v>
      </c>
      <c r="E1" s="315" t="s">
        <v>31</v>
      </c>
      <c r="F1" s="315" t="s">
        <v>132</v>
      </c>
      <c r="G1" s="315" t="s">
        <v>171</v>
      </c>
    </row>
    <row r="2" spans="1:10" x14ac:dyDescent="0.2">
      <c r="A2" s="314">
        <v>1</v>
      </c>
      <c r="B2" s="317">
        <v>100</v>
      </c>
      <c r="C2" s="316">
        <v>1</v>
      </c>
      <c r="D2" s="316">
        <v>1</v>
      </c>
      <c r="E2" s="316">
        <v>0</v>
      </c>
      <c r="F2" s="316">
        <v>0</v>
      </c>
      <c r="G2" s="316">
        <v>1</v>
      </c>
      <c r="J2" s="321" t="s">
        <v>173</v>
      </c>
    </row>
    <row r="3" spans="1:10" x14ac:dyDescent="0.2">
      <c r="A3" s="314">
        <v>2</v>
      </c>
      <c r="B3" s="317">
        <v>150</v>
      </c>
      <c r="C3" s="316">
        <v>1</v>
      </c>
      <c r="D3" s="316">
        <v>1</v>
      </c>
      <c r="E3" s="316">
        <v>0</v>
      </c>
      <c r="F3" s="316">
        <v>1</v>
      </c>
      <c r="G3" s="316"/>
    </row>
    <row r="4" spans="1:10" x14ac:dyDescent="0.2">
      <c r="A4" s="314">
        <v>3</v>
      </c>
      <c r="B4" s="317">
        <v>200</v>
      </c>
      <c r="C4" s="316">
        <v>1</v>
      </c>
      <c r="D4" s="316">
        <v>1</v>
      </c>
      <c r="E4" s="316">
        <v>0</v>
      </c>
      <c r="F4" s="316">
        <v>1</v>
      </c>
      <c r="G4" s="316"/>
      <c r="J4" s="105">
        <f>MATCH(250,DN_lista,0)</f>
        <v>4</v>
      </c>
    </row>
    <row r="5" spans="1:10" x14ac:dyDescent="0.2">
      <c r="A5" s="314">
        <v>4</v>
      </c>
      <c r="B5" s="317">
        <v>250</v>
      </c>
      <c r="C5" s="316">
        <v>1</v>
      </c>
      <c r="D5" s="316">
        <v>1</v>
      </c>
      <c r="E5" s="316">
        <v>1</v>
      </c>
      <c r="F5" s="316">
        <v>1</v>
      </c>
      <c r="G5" s="316">
        <v>1</v>
      </c>
    </row>
    <row r="6" spans="1:10" x14ac:dyDescent="0.2">
      <c r="A6" s="314">
        <v>5</v>
      </c>
      <c r="B6" s="317">
        <v>300</v>
      </c>
      <c r="C6" s="316">
        <v>1</v>
      </c>
      <c r="D6" s="316">
        <v>1</v>
      </c>
      <c r="E6" s="316">
        <v>0</v>
      </c>
      <c r="F6" s="316">
        <v>1</v>
      </c>
      <c r="G6" s="316"/>
    </row>
    <row r="7" spans="1:10" x14ac:dyDescent="0.2">
      <c r="A7" s="314">
        <v>6</v>
      </c>
      <c r="B7" s="317">
        <v>350</v>
      </c>
      <c r="C7" s="316">
        <v>1</v>
      </c>
      <c r="D7" s="316">
        <v>1</v>
      </c>
      <c r="E7" s="316">
        <v>0</v>
      </c>
      <c r="F7" s="316">
        <v>1</v>
      </c>
      <c r="G7" s="316"/>
    </row>
    <row r="8" spans="1:10" x14ac:dyDescent="0.2">
      <c r="A8" s="314">
        <v>7</v>
      </c>
      <c r="B8" s="317">
        <v>400</v>
      </c>
      <c r="C8" s="316">
        <v>1</v>
      </c>
      <c r="D8" s="316">
        <v>1</v>
      </c>
      <c r="E8" s="316">
        <v>1</v>
      </c>
      <c r="F8" s="316">
        <v>1</v>
      </c>
      <c r="G8" s="316"/>
    </row>
    <row r="9" spans="1:10" x14ac:dyDescent="0.2">
      <c r="A9" s="314">
        <v>8</v>
      </c>
      <c r="B9" s="317">
        <v>450</v>
      </c>
      <c r="C9" s="316">
        <v>0</v>
      </c>
      <c r="D9" s="316">
        <v>1</v>
      </c>
      <c r="E9" s="316">
        <v>1</v>
      </c>
      <c r="F9" s="316">
        <v>1</v>
      </c>
      <c r="G9" s="316"/>
    </row>
    <row r="10" spans="1:10" x14ac:dyDescent="0.2">
      <c r="A10" s="314">
        <v>9</v>
      </c>
      <c r="B10" s="317">
        <v>500</v>
      </c>
      <c r="C10" s="316">
        <v>0</v>
      </c>
      <c r="D10" s="316">
        <v>1</v>
      </c>
      <c r="E10" s="316">
        <v>1</v>
      </c>
      <c r="F10" s="316">
        <v>1</v>
      </c>
      <c r="G10" s="316">
        <v>1</v>
      </c>
    </row>
    <row r="11" spans="1:10" x14ac:dyDescent="0.2">
      <c r="A11" s="314">
        <v>10</v>
      </c>
      <c r="B11" s="317">
        <v>600</v>
      </c>
      <c r="C11" s="316">
        <v>0</v>
      </c>
      <c r="D11" s="316">
        <v>1</v>
      </c>
      <c r="E11" s="316">
        <v>1</v>
      </c>
      <c r="F11" s="316">
        <v>1</v>
      </c>
      <c r="G11" s="316"/>
    </row>
    <row r="12" spans="1:10" x14ac:dyDescent="0.2">
      <c r="A12" s="314">
        <v>11</v>
      </c>
      <c r="B12" s="317">
        <v>700</v>
      </c>
      <c r="C12" s="316">
        <v>0</v>
      </c>
      <c r="D12" s="316">
        <v>1</v>
      </c>
      <c r="E12" s="316">
        <v>1</v>
      </c>
      <c r="F12" s="316">
        <v>1</v>
      </c>
      <c r="G12" s="316"/>
    </row>
    <row r="13" spans="1:10" x14ac:dyDescent="0.2">
      <c r="A13" s="314">
        <v>12</v>
      </c>
      <c r="B13" s="317">
        <v>800</v>
      </c>
      <c r="C13" s="316">
        <v>0</v>
      </c>
      <c r="D13" s="316">
        <v>1</v>
      </c>
      <c r="E13" s="316">
        <v>1</v>
      </c>
      <c r="F13" s="316">
        <v>1</v>
      </c>
      <c r="G13" s="316"/>
    </row>
    <row r="14" spans="1:10" x14ac:dyDescent="0.2">
      <c r="A14" s="314">
        <v>13</v>
      </c>
      <c r="B14" s="317">
        <v>900</v>
      </c>
      <c r="C14" s="316">
        <v>0</v>
      </c>
      <c r="D14" s="316">
        <v>1</v>
      </c>
      <c r="E14" s="316">
        <v>1</v>
      </c>
      <c r="F14" s="316">
        <v>1</v>
      </c>
      <c r="G14" s="316"/>
    </row>
    <row r="15" spans="1:10" x14ac:dyDescent="0.2">
      <c r="A15" s="314">
        <v>14</v>
      </c>
      <c r="B15" s="317">
        <v>1000</v>
      </c>
      <c r="C15" s="316">
        <v>0</v>
      </c>
      <c r="D15" s="316">
        <v>1</v>
      </c>
      <c r="E15" s="316">
        <v>1</v>
      </c>
      <c r="F15" s="316">
        <v>1</v>
      </c>
      <c r="G15" s="316"/>
    </row>
    <row r="18" spans="2:7" x14ac:dyDescent="0.2">
      <c r="B18" s="157" t="s">
        <v>27</v>
      </c>
      <c r="C18" s="157" t="str">
        <f>IF(ISBLANK(C1),"",C1)</f>
        <v>PVC</v>
      </c>
      <c r="D18" s="157" t="str">
        <f>IF(ISBLANK(D1),"",D1)</f>
        <v>PEAD</v>
      </c>
      <c r="E18" s="157" t="str">
        <f>IF(ISBLANK(E1),"",E1)</f>
        <v>Concreto</v>
      </c>
      <c r="F18" s="157" t="str">
        <f>IF(ISBLANK(F1),"",F1)</f>
        <v>Hierro</v>
      </c>
      <c r="G18" s="157" t="str">
        <f>IF(ISBLANK(G1),"",G1)</f>
        <v>Otro</v>
      </c>
    </row>
    <row r="19" spans="2:7" ht="51" x14ac:dyDescent="0.2">
      <c r="B19" s="156" t="s">
        <v>32</v>
      </c>
      <c r="C19" s="44">
        <v>0.01</v>
      </c>
      <c r="D19" s="44">
        <v>0.01</v>
      </c>
      <c r="E19" s="44">
        <v>1.2999999999999999E-2</v>
      </c>
      <c r="F19" s="44">
        <v>1.2999999999999999E-2</v>
      </c>
      <c r="G19" s="44">
        <v>1.2999999999999999E-2</v>
      </c>
    </row>
    <row r="22" spans="2:7" ht="18" x14ac:dyDescent="0.25">
      <c r="B22" s="104" t="s">
        <v>1065</v>
      </c>
      <c r="C22" s="100"/>
    </row>
    <row r="23" spans="2:7" ht="18" x14ac:dyDescent="0.25">
      <c r="B23" s="104" t="s">
        <v>98</v>
      </c>
      <c r="C23" s="100"/>
    </row>
    <row r="24" spans="2:7" x14ac:dyDescent="0.2">
      <c r="C24" s="100"/>
    </row>
    <row r="25" spans="2:7" x14ac:dyDescent="0.2">
      <c r="C25" s="100"/>
    </row>
    <row r="26" spans="2:7" x14ac:dyDescent="0.2">
      <c r="B26" s="142" t="s">
        <v>127</v>
      </c>
      <c r="C26" s="143"/>
      <c r="D26" s="143"/>
    </row>
    <row r="27" spans="2:7" ht="51" x14ac:dyDescent="0.2">
      <c r="B27" s="65" t="s">
        <v>98</v>
      </c>
      <c r="C27" s="240" t="s">
        <v>106</v>
      </c>
      <c r="D27" s="65" t="s">
        <v>99</v>
      </c>
    </row>
    <row r="28" spans="2:7" x14ac:dyDescent="0.2">
      <c r="B28" s="368" t="s">
        <v>102</v>
      </c>
      <c r="C28" s="242">
        <v>1.3</v>
      </c>
      <c r="D28" s="243">
        <v>150</v>
      </c>
    </row>
    <row r="29" spans="2:7" x14ac:dyDescent="0.2">
      <c r="B29" s="368" t="s">
        <v>100</v>
      </c>
      <c r="C29" s="242">
        <v>2</v>
      </c>
      <c r="D29" s="243">
        <v>400</v>
      </c>
    </row>
    <row r="30" spans="2:7" x14ac:dyDescent="0.2">
      <c r="B30" s="368" t="s">
        <v>103</v>
      </c>
      <c r="C30" s="242">
        <v>3</v>
      </c>
      <c r="D30" s="243">
        <v>500</v>
      </c>
    </row>
    <row r="31" spans="2:7" x14ac:dyDescent="0.2">
      <c r="B31" s="368" t="s">
        <v>101</v>
      </c>
      <c r="C31" s="242">
        <v>4</v>
      </c>
      <c r="D31" s="243">
        <v>600</v>
      </c>
    </row>
    <row r="32" spans="2:7" x14ac:dyDescent="0.2">
      <c r="B32" s="368" t="s">
        <v>104</v>
      </c>
      <c r="C32" s="242">
        <v>6</v>
      </c>
      <c r="D32" s="243">
        <v>800</v>
      </c>
    </row>
    <row r="33" spans="2:4" x14ac:dyDescent="0.2">
      <c r="B33" s="368" t="s">
        <v>105</v>
      </c>
      <c r="C33" s="242">
        <v>15</v>
      </c>
      <c r="D33" s="243">
        <v>1000</v>
      </c>
    </row>
    <row r="34" spans="2:4" x14ac:dyDescent="0.2">
      <c r="C34" s="100"/>
    </row>
    <row r="35" spans="2:4" x14ac:dyDescent="0.2">
      <c r="C35" s="100"/>
    </row>
    <row r="36" spans="2:4" x14ac:dyDescent="0.2">
      <c r="C36" s="100"/>
    </row>
    <row r="37" spans="2:4" x14ac:dyDescent="0.2">
      <c r="C37" s="100"/>
    </row>
    <row r="38" spans="2:4" x14ac:dyDescent="0.2">
      <c r="C38" s="100"/>
    </row>
    <row r="39" spans="2:4" x14ac:dyDescent="0.2">
      <c r="C39" s="100"/>
    </row>
    <row r="40" spans="2:4" x14ac:dyDescent="0.2">
      <c r="C40" s="100"/>
    </row>
    <row r="41" spans="2:4" x14ac:dyDescent="0.2">
      <c r="C41" s="100"/>
    </row>
    <row r="42" spans="2:4" x14ac:dyDescent="0.2">
      <c r="C42" s="100"/>
    </row>
    <row r="43" spans="2:4" x14ac:dyDescent="0.2">
      <c r="C43" s="100"/>
    </row>
    <row r="44" spans="2:4" x14ac:dyDescent="0.2">
      <c r="C44" s="100"/>
    </row>
    <row r="45" spans="2:4" x14ac:dyDescent="0.2">
      <c r="C45" s="100"/>
    </row>
    <row r="46" spans="2:4" x14ac:dyDescent="0.2">
      <c r="C46" s="100"/>
    </row>
    <row r="47" spans="2:4" x14ac:dyDescent="0.2">
      <c r="C47" s="100"/>
    </row>
    <row r="48" spans="2:4" x14ac:dyDescent="0.2">
      <c r="C48" s="100"/>
    </row>
    <row r="49" spans="3:3" x14ac:dyDescent="0.2">
      <c r="C49" s="100"/>
    </row>
    <row r="50" spans="3:3" x14ac:dyDescent="0.2">
      <c r="C50" s="100"/>
    </row>
    <row r="51" spans="3:3" x14ac:dyDescent="0.2">
      <c r="C51" s="100"/>
    </row>
    <row r="52" spans="3:3" x14ac:dyDescent="0.2">
      <c r="C52" s="100"/>
    </row>
    <row r="53" spans="3:3" x14ac:dyDescent="0.2">
      <c r="C53" s="100"/>
    </row>
    <row r="54" spans="3:3" x14ac:dyDescent="0.2">
      <c r="C54" s="100"/>
    </row>
    <row r="55" spans="3:3" x14ac:dyDescent="0.2">
      <c r="C55" s="100"/>
    </row>
    <row r="56" spans="3:3" x14ac:dyDescent="0.2">
      <c r="C56" s="100"/>
    </row>
    <row r="57" spans="3:3" x14ac:dyDescent="0.2">
      <c r="C57" s="100"/>
    </row>
    <row r="58" spans="3:3" x14ac:dyDescent="0.2">
      <c r="C58" s="100"/>
    </row>
    <row r="59" spans="3:3" x14ac:dyDescent="0.2">
      <c r="C59" s="100"/>
    </row>
    <row r="60" spans="3:3" x14ac:dyDescent="0.2">
      <c r="C60" s="100"/>
    </row>
    <row r="61" spans="3:3" x14ac:dyDescent="0.2">
      <c r="C61" s="100"/>
    </row>
    <row r="62" spans="3:3" x14ac:dyDescent="0.2">
      <c r="C62" s="100"/>
    </row>
    <row r="63" spans="3:3" x14ac:dyDescent="0.2">
      <c r="C63" s="100"/>
    </row>
    <row r="64" spans="3:3" x14ac:dyDescent="0.2">
      <c r="C64" s="100"/>
    </row>
    <row r="65" spans="3:3" x14ac:dyDescent="0.2">
      <c r="C65" s="100"/>
    </row>
    <row r="66" spans="3:3" x14ac:dyDescent="0.2">
      <c r="C66" s="100"/>
    </row>
    <row r="67" spans="3:3" x14ac:dyDescent="0.2">
      <c r="C67" s="100"/>
    </row>
    <row r="68" spans="3:3" x14ac:dyDescent="0.2">
      <c r="C68" s="100"/>
    </row>
    <row r="69" spans="3:3" x14ac:dyDescent="0.2">
      <c r="C69" s="100"/>
    </row>
    <row r="70" spans="3:3" x14ac:dyDescent="0.2">
      <c r="C70" s="100"/>
    </row>
    <row r="71" spans="3:3" x14ac:dyDescent="0.2">
      <c r="C71" s="100"/>
    </row>
    <row r="72" spans="3:3" x14ac:dyDescent="0.2">
      <c r="C72" s="100"/>
    </row>
    <row r="73" spans="3:3" x14ac:dyDescent="0.2">
      <c r="C73" s="100"/>
    </row>
    <row r="74" spans="3:3" x14ac:dyDescent="0.2">
      <c r="C74" s="100"/>
    </row>
    <row r="75" spans="3:3" x14ac:dyDescent="0.2">
      <c r="C75" s="100"/>
    </row>
    <row r="76" spans="3:3" x14ac:dyDescent="0.2">
      <c r="C76" s="100"/>
    </row>
    <row r="77" spans="3:3" x14ac:dyDescent="0.2">
      <c r="C77" s="100"/>
    </row>
    <row r="78" spans="3:3" x14ac:dyDescent="0.2">
      <c r="C78" s="100"/>
    </row>
    <row r="79" spans="3:3" x14ac:dyDescent="0.2">
      <c r="C79" s="100"/>
    </row>
    <row r="80" spans="3:3" x14ac:dyDescent="0.2">
      <c r="C80" s="100"/>
    </row>
    <row r="81" spans="3:3" x14ac:dyDescent="0.2">
      <c r="C81" s="100"/>
    </row>
    <row r="82" spans="3:3" x14ac:dyDescent="0.2">
      <c r="C82" s="100"/>
    </row>
    <row r="83" spans="3:3" x14ac:dyDescent="0.2">
      <c r="C83" s="100"/>
    </row>
    <row r="84" spans="3:3" x14ac:dyDescent="0.2">
      <c r="C84" s="100"/>
    </row>
    <row r="85" spans="3:3" x14ac:dyDescent="0.2">
      <c r="C85" s="100"/>
    </row>
    <row r="86" spans="3:3" x14ac:dyDescent="0.2">
      <c r="C86" s="100"/>
    </row>
    <row r="87" spans="3:3" x14ac:dyDescent="0.2">
      <c r="C87" s="100"/>
    </row>
    <row r="88" spans="3:3" x14ac:dyDescent="0.2">
      <c r="C88" s="100"/>
    </row>
    <row r="89" spans="3:3" x14ac:dyDescent="0.2">
      <c r="C89" s="100"/>
    </row>
    <row r="90" spans="3:3" x14ac:dyDescent="0.2">
      <c r="C90" s="100"/>
    </row>
    <row r="91" spans="3:3" x14ac:dyDescent="0.2">
      <c r="C91" s="100"/>
    </row>
    <row r="92" spans="3:3" x14ac:dyDescent="0.2">
      <c r="C92" s="100"/>
    </row>
    <row r="93" spans="3:3" x14ac:dyDescent="0.2">
      <c r="C93" s="100"/>
    </row>
    <row r="94" spans="3:3" x14ac:dyDescent="0.2">
      <c r="C94" s="100"/>
    </row>
    <row r="95" spans="3:3" x14ac:dyDescent="0.2">
      <c r="C95" s="100"/>
    </row>
    <row r="96" spans="3:3" x14ac:dyDescent="0.2">
      <c r="C96" s="100"/>
    </row>
    <row r="97" spans="3:3" x14ac:dyDescent="0.2">
      <c r="C97" s="100"/>
    </row>
    <row r="98" spans="3:3" x14ac:dyDescent="0.2">
      <c r="C98" s="100"/>
    </row>
    <row r="99" spans="3:3" x14ac:dyDescent="0.2">
      <c r="C99" s="100"/>
    </row>
    <row r="100" spans="3:3" x14ac:dyDescent="0.2">
      <c r="C100" s="100"/>
    </row>
    <row r="101" spans="3:3" x14ac:dyDescent="0.2">
      <c r="C101" s="100"/>
    </row>
    <row r="102" spans="3:3" x14ac:dyDescent="0.2">
      <c r="C102" s="100"/>
    </row>
    <row r="103" spans="3:3" x14ac:dyDescent="0.2">
      <c r="C103" s="100"/>
    </row>
    <row r="104" spans="3:3" x14ac:dyDescent="0.2">
      <c r="C104" s="100"/>
    </row>
    <row r="105" spans="3:3" x14ac:dyDescent="0.2">
      <c r="C105" s="100"/>
    </row>
    <row r="106" spans="3:3" x14ac:dyDescent="0.2">
      <c r="C106" s="100"/>
    </row>
    <row r="107" spans="3:3" x14ac:dyDescent="0.2">
      <c r="C107" s="100"/>
    </row>
    <row r="108" spans="3:3" x14ac:dyDescent="0.2">
      <c r="C108" s="100"/>
    </row>
    <row r="109" spans="3:3" x14ac:dyDescent="0.2">
      <c r="C109" s="100"/>
    </row>
    <row r="110" spans="3:3" x14ac:dyDescent="0.2">
      <c r="C110" s="100"/>
    </row>
    <row r="111" spans="3:3" x14ac:dyDescent="0.2">
      <c r="C111" s="100"/>
    </row>
    <row r="112" spans="3:3" x14ac:dyDescent="0.2">
      <c r="C112" s="100"/>
    </row>
    <row r="113" spans="3:3" x14ac:dyDescent="0.2">
      <c r="C113" s="100"/>
    </row>
    <row r="114" spans="3:3" x14ac:dyDescent="0.2">
      <c r="C114" s="100"/>
    </row>
    <row r="115" spans="3:3" x14ac:dyDescent="0.2">
      <c r="C115" s="100"/>
    </row>
    <row r="116" spans="3:3" x14ac:dyDescent="0.2">
      <c r="C116" s="100"/>
    </row>
    <row r="117" spans="3:3" x14ac:dyDescent="0.2">
      <c r="C117" s="100"/>
    </row>
    <row r="118" spans="3:3" x14ac:dyDescent="0.2">
      <c r="C118" s="100"/>
    </row>
    <row r="119" spans="3:3" x14ac:dyDescent="0.2">
      <c r="C119" s="100"/>
    </row>
    <row r="120" spans="3:3" x14ac:dyDescent="0.2">
      <c r="C120" s="100"/>
    </row>
    <row r="121" spans="3:3" x14ac:dyDescent="0.2">
      <c r="C121" s="100"/>
    </row>
    <row r="122" spans="3:3" x14ac:dyDescent="0.2">
      <c r="C122" s="100"/>
    </row>
    <row r="123" spans="3:3" x14ac:dyDescent="0.2">
      <c r="C123" s="100"/>
    </row>
    <row r="124" spans="3:3" x14ac:dyDescent="0.2">
      <c r="C124" s="100"/>
    </row>
    <row r="125" spans="3:3" x14ac:dyDescent="0.2">
      <c r="C125" s="100"/>
    </row>
    <row r="126" spans="3:3" x14ac:dyDescent="0.2">
      <c r="C126" s="100"/>
    </row>
    <row r="127" spans="3:3" x14ac:dyDescent="0.2">
      <c r="C127" s="100"/>
    </row>
    <row r="128" spans="3:3" x14ac:dyDescent="0.2">
      <c r="C128" s="100"/>
    </row>
    <row r="129" spans="3:3" x14ac:dyDescent="0.2">
      <c r="C129" s="100"/>
    </row>
    <row r="130" spans="3:3" x14ac:dyDescent="0.2">
      <c r="C130" s="100"/>
    </row>
    <row r="131" spans="3:3" x14ac:dyDescent="0.2">
      <c r="C131" s="100"/>
    </row>
    <row r="132" spans="3:3" x14ac:dyDescent="0.2">
      <c r="C132" s="100"/>
    </row>
    <row r="133" spans="3:3" x14ac:dyDescent="0.2">
      <c r="C133" s="100"/>
    </row>
    <row r="134" spans="3:3" x14ac:dyDescent="0.2">
      <c r="C134" s="100"/>
    </row>
    <row r="135" spans="3:3" x14ac:dyDescent="0.2">
      <c r="C135" s="100"/>
    </row>
    <row r="136" spans="3:3" x14ac:dyDescent="0.2">
      <c r="C136" s="100"/>
    </row>
    <row r="137" spans="3:3" x14ac:dyDescent="0.2">
      <c r="C137" s="100"/>
    </row>
    <row r="138" spans="3:3" x14ac:dyDescent="0.2">
      <c r="C138" s="100"/>
    </row>
    <row r="139" spans="3:3" x14ac:dyDescent="0.2">
      <c r="C139" s="100"/>
    </row>
    <row r="140" spans="3:3" x14ac:dyDescent="0.2">
      <c r="C140" s="100"/>
    </row>
    <row r="141" spans="3:3" x14ac:dyDescent="0.2">
      <c r="C141" s="100"/>
    </row>
    <row r="142" spans="3:3" x14ac:dyDescent="0.2">
      <c r="C142" s="100"/>
    </row>
    <row r="143" spans="3:3" x14ac:dyDescent="0.2">
      <c r="C143" s="100"/>
    </row>
    <row r="144" spans="3:3" x14ac:dyDescent="0.2">
      <c r="C144" s="100"/>
    </row>
    <row r="145" spans="3:3" x14ac:dyDescent="0.2">
      <c r="C145" s="100"/>
    </row>
    <row r="146" spans="3:3" x14ac:dyDescent="0.2">
      <c r="C146" s="100"/>
    </row>
    <row r="147" spans="3:3" x14ac:dyDescent="0.2">
      <c r="C147" s="100"/>
    </row>
    <row r="148" spans="3:3" x14ac:dyDescent="0.2">
      <c r="C148" s="100"/>
    </row>
    <row r="149" spans="3:3" x14ac:dyDescent="0.2">
      <c r="C149" s="100"/>
    </row>
    <row r="150" spans="3:3" x14ac:dyDescent="0.2">
      <c r="C150" s="100"/>
    </row>
    <row r="151" spans="3:3" x14ac:dyDescent="0.2">
      <c r="C151" s="100"/>
    </row>
    <row r="152" spans="3:3" x14ac:dyDescent="0.2">
      <c r="C152" s="100"/>
    </row>
    <row r="153" spans="3:3" x14ac:dyDescent="0.2">
      <c r="C153" s="100"/>
    </row>
    <row r="154" spans="3:3" x14ac:dyDescent="0.2">
      <c r="C154" s="100"/>
    </row>
    <row r="155" spans="3:3" x14ac:dyDescent="0.2">
      <c r="C155" s="100"/>
    </row>
    <row r="156" spans="3:3" x14ac:dyDescent="0.2">
      <c r="C156" s="100"/>
    </row>
    <row r="157" spans="3:3" x14ac:dyDescent="0.2">
      <c r="C157" s="100"/>
    </row>
    <row r="158" spans="3:3" x14ac:dyDescent="0.2">
      <c r="C158" s="100"/>
    </row>
    <row r="159" spans="3:3" x14ac:dyDescent="0.2">
      <c r="C159" s="100"/>
    </row>
    <row r="160" spans="3:3" x14ac:dyDescent="0.2">
      <c r="C160" s="100"/>
    </row>
    <row r="161" spans="3:3" x14ac:dyDescent="0.2">
      <c r="C161" s="100"/>
    </row>
    <row r="162" spans="3:3" x14ac:dyDescent="0.2">
      <c r="C162" s="100"/>
    </row>
    <row r="163" spans="3:3" x14ac:dyDescent="0.2">
      <c r="C163" s="100"/>
    </row>
    <row r="164" spans="3:3" x14ac:dyDescent="0.2">
      <c r="C164" s="100"/>
    </row>
    <row r="165" spans="3:3" x14ac:dyDescent="0.2">
      <c r="C165" s="100"/>
    </row>
    <row r="166" spans="3:3" x14ac:dyDescent="0.2">
      <c r="C166" s="100"/>
    </row>
    <row r="167" spans="3:3" x14ac:dyDescent="0.2">
      <c r="C167" s="100"/>
    </row>
    <row r="168" spans="3:3" x14ac:dyDescent="0.2">
      <c r="C168" s="100"/>
    </row>
    <row r="169" spans="3:3" x14ac:dyDescent="0.2">
      <c r="C169" s="100"/>
    </row>
    <row r="170" spans="3:3" x14ac:dyDescent="0.2">
      <c r="C170" s="100"/>
    </row>
    <row r="171" spans="3:3" x14ac:dyDescent="0.2">
      <c r="C171" s="100"/>
    </row>
    <row r="172" spans="3:3" x14ac:dyDescent="0.2">
      <c r="C172" s="100"/>
    </row>
    <row r="173" spans="3:3" x14ac:dyDescent="0.2">
      <c r="C173" s="100"/>
    </row>
    <row r="174" spans="3:3" x14ac:dyDescent="0.2">
      <c r="C174" s="100"/>
    </row>
    <row r="175" spans="3:3" x14ac:dyDescent="0.2">
      <c r="C175" s="100"/>
    </row>
    <row r="176" spans="3:3" x14ac:dyDescent="0.2">
      <c r="C176" s="100"/>
    </row>
    <row r="177" spans="3:3" x14ac:dyDescent="0.2">
      <c r="C177" s="100"/>
    </row>
    <row r="178" spans="3:3" x14ac:dyDescent="0.2">
      <c r="C178" s="100"/>
    </row>
    <row r="179" spans="3:3" x14ac:dyDescent="0.2">
      <c r="C179" s="100"/>
    </row>
    <row r="180" spans="3:3" x14ac:dyDescent="0.2">
      <c r="C180" s="100"/>
    </row>
    <row r="181" spans="3:3" x14ac:dyDescent="0.2">
      <c r="C181" s="100"/>
    </row>
    <row r="182" spans="3:3" x14ac:dyDescent="0.2">
      <c r="C182" s="100"/>
    </row>
    <row r="183" spans="3:3" x14ac:dyDescent="0.2">
      <c r="C183" s="100"/>
    </row>
    <row r="184" spans="3:3" x14ac:dyDescent="0.2">
      <c r="C184" s="100"/>
    </row>
    <row r="185" spans="3:3" x14ac:dyDescent="0.2">
      <c r="C185" s="100"/>
    </row>
    <row r="186" spans="3:3" x14ac:dyDescent="0.2">
      <c r="C186" s="100"/>
    </row>
    <row r="187" spans="3:3" x14ac:dyDescent="0.2">
      <c r="C187" s="100"/>
    </row>
    <row r="188" spans="3:3" x14ac:dyDescent="0.2">
      <c r="C188" s="100"/>
    </row>
    <row r="189" spans="3:3" x14ac:dyDescent="0.2">
      <c r="C189" s="100"/>
    </row>
    <row r="190" spans="3:3" x14ac:dyDescent="0.2">
      <c r="C190" s="100"/>
    </row>
    <row r="191" spans="3:3" x14ac:dyDescent="0.2">
      <c r="C191" s="100"/>
    </row>
    <row r="192" spans="3:3" x14ac:dyDescent="0.2">
      <c r="C192" s="100"/>
    </row>
    <row r="193" spans="3:3" x14ac:dyDescent="0.2">
      <c r="C193" s="100"/>
    </row>
    <row r="194" spans="3:3" x14ac:dyDescent="0.2">
      <c r="C194" s="100"/>
    </row>
    <row r="195" spans="3:3" x14ac:dyDescent="0.2">
      <c r="C195" s="100"/>
    </row>
    <row r="196" spans="3:3" x14ac:dyDescent="0.2">
      <c r="C196" s="100"/>
    </row>
    <row r="197" spans="3:3" x14ac:dyDescent="0.2">
      <c r="C197" s="100"/>
    </row>
    <row r="198" spans="3:3" x14ac:dyDescent="0.2">
      <c r="C198" s="100"/>
    </row>
    <row r="199" spans="3:3" x14ac:dyDescent="0.2">
      <c r="C199" s="100"/>
    </row>
    <row r="200" spans="3:3" x14ac:dyDescent="0.2">
      <c r="C200" s="100"/>
    </row>
    <row r="201" spans="3:3" x14ac:dyDescent="0.2">
      <c r="C201" s="100"/>
    </row>
    <row r="202" spans="3:3" x14ac:dyDescent="0.2">
      <c r="C202" s="100"/>
    </row>
    <row r="203" spans="3:3" x14ac:dyDescent="0.2">
      <c r="C203" s="100"/>
    </row>
    <row r="204" spans="3:3" x14ac:dyDescent="0.2">
      <c r="C204" s="100"/>
    </row>
    <row r="205" spans="3:3" x14ac:dyDescent="0.2">
      <c r="C205" s="100"/>
    </row>
    <row r="206" spans="3:3" x14ac:dyDescent="0.2">
      <c r="C206" s="100"/>
    </row>
    <row r="207" spans="3:3" x14ac:dyDescent="0.2">
      <c r="C207" s="100"/>
    </row>
    <row r="208" spans="3:3" x14ac:dyDescent="0.2">
      <c r="C208" s="100"/>
    </row>
    <row r="209" spans="3:3" x14ac:dyDescent="0.2">
      <c r="C209" s="100"/>
    </row>
    <row r="210" spans="3:3" x14ac:dyDescent="0.2">
      <c r="C210" s="100"/>
    </row>
    <row r="211" spans="3:3" x14ac:dyDescent="0.2">
      <c r="C211" s="100"/>
    </row>
    <row r="212" spans="3:3" x14ac:dyDescent="0.2">
      <c r="C212" s="100"/>
    </row>
    <row r="213" spans="3:3" x14ac:dyDescent="0.2">
      <c r="C213" s="100"/>
    </row>
    <row r="214" spans="3:3" x14ac:dyDescent="0.2">
      <c r="C214" s="100"/>
    </row>
    <row r="215" spans="3:3" x14ac:dyDescent="0.2">
      <c r="C215" s="100"/>
    </row>
    <row r="216" spans="3:3" x14ac:dyDescent="0.2">
      <c r="C216" s="100"/>
    </row>
    <row r="217" spans="3:3" x14ac:dyDescent="0.2">
      <c r="C217" s="100"/>
    </row>
    <row r="218" spans="3:3" x14ac:dyDescent="0.2">
      <c r="C218" s="100"/>
    </row>
    <row r="219" spans="3:3" x14ac:dyDescent="0.2">
      <c r="C219" s="100"/>
    </row>
    <row r="220" spans="3:3" x14ac:dyDescent="0.2">
      <c r="C220" s="100"/>
    </row>
    <row r="221" spans="3:3" x14ac:dyDescent="0.2">
      <c r="C221" s="100"/>
    </row>
    <row r="222" spans="3:3" x14ac:dyDescent="0.2">
      <c r="C222" s="100"/>
    </row>
    <row r="223" spans="3:3" x14ac:dyDescent="0.2">
      <c r="C223" s="100"/>
    </row>
    <row r="224" spans="3:3" x14ac:dyDescent="0.2">
      <c r="C224" s="100"/>
    </row>
    <row r="225" spans="3:3" x14ac:dyDescent="0.2">
      <c r="C225" s="100"/>
    </row>
    <row r="226" spans="3:3" x14ac:dyDescent="0.2">
      <c r="C226" s="100"/>
    </row>
    <row r="227" spans="3:3" x14ac:dyDescent="0.2">
      <c r="C227" s="100"/>
    </row>
    <row r="228" spans="3:3" x14ac:dyDescent="0.2">
      <c r="C228" s="100"/>
    </row>
    <row r="229" spans="3:3" x14ac:dyDescent="0.2">
      <c r="C229" s="100"/>
    </row>
    <row r="230" spans="3:3" x14ac:dyDescent="0.2">
      <c r="C230" s="100"/>
    </row>
    <row r="231" spans="3:3" x14ac:dyDescent="0.2">
      <c r="C231" s="100"/>
    </row>
    <row r="232" spans="3:3" x14ac:dyDescent="0.2">
      <c r="C232" s="100"/>
    </row>
    <row r="233" spans="3:3" x14ac:dyDescent="0.2">
      <c r="C233" s="100"/>
    </row>
    <row r="234" spans="3:3" x14ac:dyDescent="0.2">
      <c r="C234" s="100"/>
    </row>
    <row r="235" spans="3:3" x14ac:dyDescent="0.2">
      <c r="C235" s="100"/>
    </row>
    <row r="236" spans="3:3" x14ac:dyDescent="0.2">
      <c r="C236" s="100"/>
    </row>
    <row r="237" spans="3:3" x14ac:dyDescent="0.2">
      <c r="C237" s="100"/>
    </row>
    <row r="238" spans="3:3" x14ac:dyDescent="0.2">
      <c r="C238" s="100"/>
    </row>
    <row r="239" spans="3:3" x14ac:dyDescent="0.2">
      <c r="C239" s="100"/>
    </row>
    <row r="240" spans="3:3" x14ac:dyDescent="0.2">
      <c r="C240" s="100"/>
    </row>
    <row r="241" spans="3:3" x14ac:dyDescent="0.2">
      <c r="C241" s="100"/>
    </row>
    <row r="242" spans="3:3" x14ac:dyDescent="0.2">
      <c r="C242" s="100"/>
    </row>
    <row r="243" spans="3:3" x14ac:dyDescent="0.2">
      <c r="C243" s="100"/>
    </row>
    <row r="244" spans="3:3" x14ac:dyDescent="0.2">
      <c r="C244" s="100"/>
    </row>
    <row r="245" spans="3:3" x14ac:dyDescent="0.2">
      <c r="C245" s="100"/>
    </row>
    <row r="246" spans="3:3" x14ac:dyDescent="0.2">
      <c r="C246" s="100"/>
    </row>
    <row r="247" spans="3:3" x14ac:dyDescent="0.2">
      <c r="C247" s="100"/>
    </row>
    <row r="248" spans="3:3" x14ac:dyDescent="0.2">
      <c r="C248" s="100"/>
    </row>
    <row r="249" spans="3:3" x14ac:dyDescent="0.2">
      <c r="C249" s="100"/>
    </row>
    <row r="250" spans="3:3" x14ac:dyDescent="0.2">
      <c r="C250" s="100"/>
    </row>
    <row r="251" spans="3:3" x14ac:dyDescent="0.2">
      <c r="C251" s="100"/>
    </row>
    <row r="252" spans="3:3" x14ac:dyDescent="0.2">
      <c r="C252" s="100"/>
    </row>
    <row r="253" spans="3:3" x14ac:dyDescent="0.2">
      <c r="C253" s="100"/>
    </row>
    <row r="254" spans="3:3" x14ac:dyDescent="0.2">
      <c r="C254" s="100"/>
    </row>
    <row r="255" spans="3:3" x14ac:dyDescent="0.2">
      <c r="C255" s="100"/>
    </row>
    <row r="256" spans="3:3" x14ac:dyDescent="0.2">
      <c r="C256" s="100"/>
    </row>
    <row r="257" spans="3:3" x14ac:dyDescent="0.2">
      <c r="C257" s="100"/>
    </row>
    <row r="258" spans="3:3" x14ac:dyDescent="0.2">
      <c r="C258" s="100"/>
    </row>
    <row r="259" spans="3:3" x14ac:dyDescent="0.2">
      <c r="C259" s="100"/>
    </row>
    <row r="260" spans="3:3" x14ac:dyDescent="0.2">
      <c r="C260" s="100"/>
    </row>
    <row r="261" spans="3:3" x14ac:dyDescent="0.2">
      <c r="C261" s="100"/>
    </row>
    <row r="262" spans="3:3" x14ac:dyDescent="0.2">
      <c r="C262" s="100"/>
    </row>
    <row r="263" spans="3:3" x14ac:dyDescent="0.2">
      <c r="C263" s="100"/>
    </row>
    <row r="264" spans="3:3" x14ac:dyDescent="0.2">
      <c r="C264" s="100"/>
    </row>
    <row r="265" spans="3:3" x14ac:dyDescent="0.2">
      <c r="C265" s="100"/>
    </row>
    <row r="266" spans="3:3" x14ac:dyDescent="0.2">
      <c r="C266" s="100"/>
    </row>
    <row r="267" spans="3:3" x14ac:dyDescent="0.2">
      <c r="C267" s="100"/>
    </row>
    <row r="268" spans="3:3" x14ac:dyDescent="0.2">
      <c r="C268" s="100"/>
    </row>
    <row r="269" spans="3:3" x14ac:dyDescent="0.2">
      <c r="C269" s="100"/>
    </row>
    <row r="270" spans="3:3" x14ac:dyDescent="0.2">
      <c r="C270" s="100"/>
    </row>
    <row r="271" spans="3:3" x14ac:dyDescent="0.2">
      <c r="C271" s="100"/>
    </row>
    <row r="272" spans="3:3" x14ac:dyDescent="0.2">
      <c r="C272" s="100"/>
    </row>
    <row r="273" spans="3:3" x14ac:dyDescent="0.2">
      <c r="C273" s="100"/>
    </row>
    <row r="274" spans="3:3" x14ac:dyDescent="0.2">
      <c r="C274" s="100"/>
    </row>
    <row r="275" spans="3:3" x14ac:dyDescent="0.2">
      <c r="C275" s="100"/>
    </row>
    <row r="276" spans="3:3" x14ac:dyDescent="0.2">
      <c r="C276" s="100"/>
    </row>
    <row r="277" spans="3:3" x14ac:dyDescent="0.2">
      <c r="C277" s="100"/>
    </row>
    <row r="278" spans="3:3" x14ac:dyDescent="0.2">
      <c r="C278" s="100"/>
    </row>
    <row r="279" spans="3:3" x14ac:dyDescent="0.2">
      <c r="C279" s="100"/>
    </row>
    <row r="280" spans="3:3" x14ac:dyDescent="0.2">
      <c r="C280" s="100"/>
    </row>
    <row r="281" spans="3:3" x14ac:dyDescent="0.2">
      <c r="C281" s="100"/>
    </row>
    <row r="282" spans="3:3" x14ac:dyDescent="0.2">
      <c r="C282" s="100"/>
    </row>
    <row r="283" spans="3:3" x14ac:dyDescent="0.2">
      <c r="C283" s="100"/>
    </row>
    <row r="284" spans="3:3" x14ac:dyDescent="0.2">
      <c r="C284" s="100"/>
    </row>
    <row r="285" spans="3:3" x14ac:dyDescent="0.2">
      <c r="C285" s="100"/>
    </row>
    <row r="286" spans="3:3" x14ac:dyDescent="0.2">
      <c r="C286" s="100"/>
    </row>
    <row r="287" spans="3:3" x14ac:dyDescent="0.2">
      <c r="C287" s="100"/>
    </row>
    <row r="288" spans="3:3" x14ac:dyDescent="0.2">
      <c r="C288" s="100"/>
    </row>
    <row r="289" spans="3:3" x14ac:dyDescent="0.2">
      <c r="C289" s="100"/>
    </row>
    <row r="290" spans="3:3" x14ac:dyDescent="0.2">
      <c r="C290" s="100"/>
    </row>
    <row r="291" spans="3:3" x14ac:dyDescent="0.2">
      <c r="C291" s="100"/>
    </row>
    <row r="292" spans="3:3" x14ac:dyDescent="0.2">
      <c r="C292" s="100"/>
    </row>
    <row r="293" spans="3:3" x14ac:dyDescent="0.2">
      <c r="C293" s="100"/>
    </row>
    <row r="294" spans="3:3" x14ac:dyDescent="0.2">
      <c r="C294" s="100"/>
    </row>
    <row r="295" spans="3:3" x14ac:dyDescent="0.2">
      <c r="C295" s="100"/>
    </row>
    <row r="296" spans="3:3" x14ac:dyDescent="0.2">
      <c r="C296" s="100"/>
    </row>
    <row r="297" spans="3:3" x14ac:dyDescent="0.2">
      <c r="C297" s="100"/>
    </row>
    <row r="298" spans="3:3" x14ac:dyDescent="0.2">
      <c r="C298" s="100"/>
    </row>
    <row r="299" spans="3:3" x14ac:dyDescent="0.2">
      <c r="C299" s="100"/>
    </row>
    <row r="300" spans="3:3" x14ac:dyDescent="0.2">
      <c r="C300" s="100"/>
    </row>
    <row r="301" spans="3:3" x14ac:dyDescent="0.2">
      <c r="C301" s="100"/>
    </row>
    <row r="302" spans="3:3" x14ac:dyDescent="0.2">
      <c r="C302" s="100"/>
    </row>
    <row r="303" spans="3:3" x14ac:dyDescent="0.2">
      <c r="C303" s="100"/>
    </row>
    <row r="304" spans="3:3" x14ac:dyDescent="0.2">
      <c r="C304" s="100"/>
    </row>
    <row r="305" spans="3:3" x14ac:dyDescent="0.2">
      <c r="C305" s="100"/>
    </row>
    <row r="306" spans="3:3" x14ac:dyDescent="0.2">
      <c r="C306" s="100"/>
    </row>
    <row r="307" spans="3:3" x14ac:dyDescent="0.2">
      <c r="C307" s="100"/>
    </row>
    <row r="308" spans="3:3" x14ac:dyDescent="0.2">
      <c r="C308" s="100"/>
    </row>
    <row r="309" spans="3:3" x14ac:dyDescent="0.2">
      <c r="C309" s="100"/>
    </row>
    <row r="310" spans="3:3" x14ac:dyDescent="0.2">
      <c r="C310" s="100"/>
    </row>
    <row r="311" spans="3:3" x14ac:dyDescent="0.2">
      <c r="C311" s="100"/>
    </row>
    <row r="312" spans="3:3" x14ac:dyDescent="0.2">
      <c r="C312" s="100"/>
    </row>
    <row r="313" spans="3:3" x14ac:dyDescent="0.2">
      <c r="C313" s="100"/>
    </row>
    <row r="314" spans="3:3" x14ac:dyDescent="0.2">
      <c r="C314" s="100"/>
    </row>
    <row r="315" spans="3:3" x14ac:dyDescent="0.2">
      <c r="C315" s="100"/>
    </row>
    <row r="316" spans="3:3" x14ac:dyDescent="0.2">
      <c r="C316" s="100"/>
    </row>
    <row r="317" spans="3:3" x14ac:dyDescent="0.2">
      <c r="C317" s="100"/>
    </row>
    <row r="318" spans="3:3" x14ac:dyDescent="0.2">
      <c r="C318" s="100"/>
    </row>
    <row r="319" spans="3:3" x14ac:dyDescent="0.2">
      <c r="C319" s="100"/>
    </row>
    <row r="320" spans="3:3" x14ac:dyDescent="0.2">
      <c r="C320" s="100"/>
    </row>
    <row r="321" spans="3:3" x14ac:dyDescent="0.2">
      <c r="C321" s="100"/>
    </row>
    <row r="322" spans="3:3" x14ac:dyDescent="0.2">
      <c r="C322" s="100"/>
    </row>
    <row r="323" spans="3:3" x14ac:dyDescent="0.2">
      <c r="C323" s="100"/>
    </row>
    <row r="324" spans="3:3" x14ac:dyDescent="0.2">
      <c r="C324" s="100"/>
    </row>
    <row r="325" spans="3:3" x14ac:dyDescent="0.2">
      <c r="C325" s="100"/>
    </row>
    <row r="326" spans="3:3" x14ac:dyDescent="0.2">
      <c r="C326" s="100"/>
    </row>
    <row r="327" spans="3:3" x14ac:dyDescent="0.2">
      <c r="C327" s="100"/>
    </row>
    <row r="328" spans="3:3" x14ac:dyDescent="0.2">
      <c r="C328" s="100"/>
    </row>
    <row r="329" spans="3:3" x14ac:dyDescent="0.2">
      <c r="C329" s="100"/>
    </row>
    <row r="330" spans="3:3" x14ac:dyDescent="0.2">
      <c r="C330" s="100"/>
    </row>
    <row r="331" spans="3:3" x14ac:dyDescent="0.2">
      <c r="C331" s="100"/>
    </row>
    <row r="332" spans="3:3" x14ac:dyDescent="0.2">
      <c r="C332" s="100"/>
    </row>
    <row r="333" spans="3:3" x14ac:dyDescent="0.2">
      <c r="C333" s="100"/>
    </row>
    <row r="334" spans="3:3" x14ac:dyDescent="0.2">
      <c r="C334" s="100"/>
    </row>
    <row r="335" spans="3:3" x14ac:dyDescent="0.2">
      <c r="C335" s="100"/>
    </row>
    <row r="336" spans="3:3" x14ac:dyDescent="0.2">
      <c r="C336" s="100"/>
    </row>
    <row r="337" spans="3:3" x14ac:dyDescent="0.2">
      <c r="C337" s="100"/>
    </row>
    <row r="338" spans="3:3" x14ac:dyDescent="0.2">
      <c r="C338" s="100"/>
    </row>
    <row r="339" spans="3:3" x14ac:dyDescent="0.2">
      <c r="C339" s="100"/>
    </row>
    <row r="340" spans="3:3" x14ac:dyDescent="0.2">
      <c r="C340" s="100"/>
    </row>
    <row r="341" spans="3:3" x14ac:dyDescent="0.2">
      <c r="C341" s="100"/>
    </row>
    <row r="342" spans="3:3" x14ac:dyDescent="0.2">
      <c r="C342" s="100"/>
    </row>
    <row r="343" spans="3:3" x14ac:dyDescent="0.2">
      <c r="C343" s="100"/>
    </row>
    <row r="344" spans="3:3" x14ac:dyDescent="0.2">
      <c r="C344" s="100"/>
    </row>
    <row r="345" spans="3:3" x14ac:dyDescent="0.2">
      <c r="C345" s="100"/>
    </row>
    <row r="346" spans="3:3" x14ac:dyDescent="0.2">
      <c r="C346" s="100"/>
    </row>
    <row r="347" spans="3:3" x14ac:dyDescent="0.2">
      <c r="C347" s="100"/>
    </row>
    <row r="348" spans="3:3" x14ac:dyDescent="0.2">
      <c r="C348" s="100"/>
    </row>
    <row r="349" spans="3:3" x14ac:dyDescent="0.2">
      <c r="C349" s="100"/>
    </row>
    <row r="350" spans="3:3" x14ac:dyDescent="0.2">
      <c r="C350" s="100"/>
    </row>
    <row r="351" spans="3:3" x14ac:dyDescent="0.2">
      <c r="C351" s="100"/>
    </row>
    <row r="352" spans="3:3" x14ac:dyDescent="0.2">
      <c r="C352" s="100"/>
    </row>
    <row r="353" spans="3:3" x14ac:dyDescent="0.2">
      <c r="C353" s="100"/>
    </row>
    <row r="354" spans="3:3" x14ac:dyDescent="0.2">
      <c r="C354" s="100"/>
    </row>
    <row r="355" spans="3:3" x14ac:dyDescent="0.2">
      <c r="C355" s="100"/>
    </row>
    <row r="356" spans="3:3" x14ac:dyDescent="0.2">
      <c r="C356" s="100"/>
    </row>
    <row r="357" spans="3:3" x14ac:dyDescent="0.2">
      <c r="C357" s="100"/>
    </row>
    <row r="358" spans="3:3" x14ac:dyDescent="0.2">
      <c r="C358" s="100"/>
    </row>
    <row r="359" spans="3:3" x14ac:dyDescent="0.2">
      <c r="C359" s="100"/>
    </row>
    <row r="360" spans="3:3" x14ac:dyDescent="0.2">
      <c r="C360" s="100"/>
    </row>
    <row r="361" spans="3:3" x14ac:dyDescent="0.2">
      <c r="C361" s="100"/>
    </row>
    <row r="362" spans="3:3" x14ac:dyDescent="0.2">
      <c r="C362" s="100"/>
    </row>
    <row r="363" spans="3:3" x14ac:dyDescent="0.2">
      <c r="C363" s="100"/>
    </row>
    <row r="364" spans="3:3" x14ac:dyDescent="0.2">
      <c r="C364" s="100"/>
    </row>
    <row r="365" spans="3:3" x14ac:dyDescent="0.2">
      <c r="C365" s="100"/>
    </row>
    <row r="366" spans="3:3" x14ac:dyDescent="0.2">
      <c r="C366" s="100"/>
    </row>
    <row r="367" spans="3:3" x14ac:dyDescent="0.2">
      <c r="C367" s="100"/>
    </row>
    <row r="368" spans="3:3" x14ac:dyDescent="0.2">
      <c r="C368" s="100"/>
    </row>
    <row r="369" spans="3:3" x14ac:dyDescent="0.2">
      <c r="C369" s="100"/>
    </row>
    <row r="370" spans="3:3" x14ac:dyDescent="0.2">
      <c r="C370" s="100"/>
    </row>
    <row r="371" spans="3:3" x14ac:dyDescent="0.2">
      <c r="C371" s="100"/>
    </row>
    <row r="372" spans="3:3" x14ac:dyDescent="0.2">
      <c r="C372" s="100"/>
    </row>
    <row r="373" spans="3:3" x14ac:dyDescent="0.2">
      <c r="C373" s="100"/>
    </row>
    <row r="374" spans="3:3" x14ac:dyDescent="0.2">
      <c r="C374" s="100"/>
    </row>
    <row r="375" spans="3:3" x14ac:dyDescent="0.2">
      <c r="C375" s="100"/>
    </row>
    <row r="376" spans="3:3" x14ac:dyDescent="0.2">
      <c r="C376" s="100"/>
    </row>
    <row r="377" spans="3:3" x14ac:dyDescent="0.2">
      <c r="C377" s="100"/>
    </row>
    <row r="378" spans="3:3" x14ac:dyDescent="0.2">
      <c r="C378" s="100"/>
    </row>
    <row r="379" spans="3:3" x14ac:dyDescent="0.2">
      <c r="C379" s="100"/>
    </row>
    <row r="380" spans="3:3" x14ac:dyDescent="0.2">
      <c r="C380" s="100"/>
    </row>
    <row r="381" spans="3:3" x14ac:dyDescent="0.2">
      <c r="C381" s="100"/>
    </row>
    <row r="382" spans="3:3" x14ac:dyDescent="0.2">
      <c r="C382" s="100"/>
    </row>
    <row r="383" spans="3:3" x14ac:dyDescent="0.2">
      <c r="C383" s="100"/>
    </row>
    <row r="384" spans="3:3" x14ac:dyDescent="0.2">
      <c r="C384" s="100"/>
    </row>
    <row r="385" spans="3:3" x14ac:dyDescent="0.2">
      <c r="C385" s="100"/>
    </row>
    <row r="386" spans="3:3" x14ac:dyDescent="0.2">
      <c r="C386" s="100"/>
    </row>
    <row r="387" spans="3:3" x14ac:dyDescent="0.2">
      <c r="C387" s="100"/>
    </row>
    <row r="388" spans="3:3" x14ac:dyDescent="0.2">
      <c r="C388" s="100"/>
    </row>
    <row r="389" spans="3:3" x14ac:dyDescent="0.2">
      <c r="C389" s="100"/>
    </row>
    <row r="390" spans="3:3" x14ac:dyDescent="0.2">
      <c r="C390" s="100"/>
    </row>
    <row r="391" spans="3:3" x14ac:dyDescent="0.2">
      <c r="C391" s="100"/>
    </row>
    <row r="392" spans="3:3" x14ac:dyDescent="0.2">
      <c r="C392" s="100"/>
    </row>
    <row r="393" spans="3:3" x14ac:dyDescent="0.2">
      <c r="C393" s="100"/>
    </row>
    <row r="394" spans="3:3" x14ac:dyDescent="0.2">
      <c r="C394" s="100"/>
    </row>
    <row r="395" spans="3:3" x14ac:dyDescent="0.2">
      <c r="C395" s="100"/>
    </row>
    <row r="396" spans="3:3" x14ac:dyDescent="0.2">
      <c r="C396" s="100"/>
    </row>
    <row r="397" spans="3:3" x14ac:dyDescent="0.2">
      <c r="C397" s="100"/>
    </row>
    <row r="398" spans="3:3" x14ac:dyDescent="0.2">
      <c r="C398" s="100"/>
    </row>
    <row r="399" spans="3:3" x14ac:dyDescent="0.2">
      <c r="C399" s="100"/>
    </row>
    <row r="400" spans="3:3" x14ac:dyDescent="0.2">
      <c r="C400" s="100"/>
    </row>
    <row r="401" spans="3:3" x14ac:dyDescent="0.2">
      <c r="C401" s="100"/>
    </row>
    <row r="402" spans="3:3" x14ac:dyDescent="0.2">
      <c r="C402" s="100"/>
    </row>
    <row r="403" spans="3:3" x14ac:dyDescent="0.2">
      <c r="C403" s="100"/>
    </row>
    <row r="404" spans="3:3" x14ac:dyDescent="0.2">
      <c r="C404" s="100"/>
    </row>
    <row r="405" spans="3:3" x14ac:dyDescent="0.2">
      <c r="C405" s="100"/>
    </row>
    <row r="406" spans="3:3" x14ac:dyDescent="0.2">
      <c r="C406" s="100"/>
    </row>
    <row r="407" spans="3:3" x14ac:dyDescent="0.2">
      <c r="C407" s="100"/>
    </row>
    <row r="408" spans="3:3" x14ac:dyDescent="0.2">
      <c r="C408" s="100"/>
    </row>
    <row r="409" spans="3:3" x14ac:dyDescent="0.2">
      <c r="C409" s="100"/>
    </row>
    <row r="410" spans="3:3" x14ac:dyDescent="0.2">
      <c r="C410" s="100"/>
    </row>
    <row r="411" spans="3:3" x14ac:dyDescent="0.2">
      <c r="C411" s="100"/>
    </row>
    <row r="412" spans="3:3" x14ac:dyDescent="0.2">
      <c r="C412" s="100"/>
    </row>
    <row r="413" spans="3:3" x14ac:dyDescent="0.2">
      <c r="C413" s="100"/>
    </row>
    <row r="414" spans="3:3" x14ac:dyDescent="0.2">
      <c r="C414" s="100"/>
    </row>
    <row r="415" spans="3:3" x14ac:dyDescent="0.2">
      <c r="C415" s="100"/>
    </row>
    <row r="416" spans="3:3" x14ac:dyDescent="0.2">
      <c r="C416" s="100"/>
    </row>
    <row r="417" spans="3:3" x14ac:dyDescent="0.2">
      <c r="C417" s="100"/>
    </row>
    <row r="418" spans="3:3" x14ac:dyDescent="0.2">
      <c r="C418" s="100"/>
    </row>
  </sheetData>
  <autoFilter ref="B1:G15" xr:uid="{00000000-0009-0000-0000-00000E000000}">
    <sortState ref="B2:G15">
      <sortCondition ref="B1:B15"/>
    </sortState>
  </autoFilter>
  <conditionalFormatting sqref="C29">
    <cfRule type="expression" dxfId="123" priority="5">
      <formula>C29&lt;C28</formula>
    </cfRule>
  </conditionalFormatting>
  <conditionalFormatting sqref="C30:C33">
    <cfRule type="expression" dxfId="122" priority="4">
      <formula>C30&lt;C29</formula>
    </cfRule>
  </conditionalFormatting>
  <conditionalFormatting sqref="D29">
    <cfRule type="expression" dxfId="121" priority="3">
      <formula>D29&lt;D28</formula>
    </cfRule>
  </conditionalFormatting>
  <conditionalFormatting sqref="D30:D33">
    <cfRule type="expression" dxfId="120" priority="2">
      <formula>D30&lt;D29</formula>
    </cfRule>
  </conditionalFormatting>
  <conditionalFormatting sqref="C2:G15">
    <cfRule type="cellIs" dxfId="119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workbookViewId="0">
      <selection activeCell="B3" sqref="B3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73" t="s">
        <v>114</v>
      </c>
      <c r="J1" s="273" t="s">
        <v>1064</v>
      </c>
    </row>
    <row r="3" spans="2:15" ht="15" x14ac:dyDescent="0.2">
      <c r="B3" s="46" t="s">
        <v>1023</v>
      </c>
      <c r="C3" s="46"/>
      <c r="D3" s="46"/>
      <c r="E3" s="46"/>
      <c r="F3" s="45"/>
      <c r="G3" s="56"/>
      <c r="J3" s="46" t="s">
        <v>1023</v>
      </c>
      <c r="K3" s="46"/>
      <c r="L3" s="46"/>
      <c r="M3" s="46"/>
      <c r="N3" s="45"/>
      <c r="O3" s="56"/>
    </row>
    <row r="4" spans="2:15" x14ac:dyDescent="0.2">
      <c r="B4" s="56"/>
      <c r="C4" s="56"/>
      <c r="D4" s="56"/>
      <c r="E4" s="56"/>
      <c r="F4" s="56"/>
      <c r="G4" s="56"/>
      <c r="J4" s="56"/>
      <c r="K4" s="56"/>
      <c r="L4" s="56"/>
      <c r="M4" s="56"/>
      <c r="N4" s="56"/>
      <c r="O4" s="56"/>
    </row>
    <row r="5" spans="2:15" x14ac:dyDescent="0.2">
      <c r="B5" s="283" t="s">
        <v>1024</v>
      </c>
      <c r="C5" s="56"/>
      <c r="D5" s="56"/>
      <c r="E5" s="56"/>
      <c r="F5" s="56"/>
      <c r="G5" s="56"/>
      <c r="J5" s="283" t="s">
        <v>1024</v>
      </c>
      <c r="K5" s="56"/>
      <c r="L5" s="56"/>
      <c r="M5" s="56"/>
      <c r="N5" s="56"/>
      <c r="O5" s="56"/>
    </row>
    <row r="6" spans="2:15" x14ac:dyDescent="0.2">
      <c r="B6" s="64" t="s">
        <v>1025</v>
      </c>
      <c r="C6" s="153"/>
      <c r="D6" s="154"/>
      <c r="E6" s="154"/>
      <c r="F6" s="267"/>
      <c r="G6" s="64" t="s">
        <v>49</v>
      </c>
      <c r="J6" s="64" t="s">
        <v>1025</v>
      </c>
      <c r="K6" s="153"/>
      <c r="L6" s="154"/>
      <c r="M6" s="154"/>
      <c r="N6" s="267"/>
      <c r="O6" s="64" t="s">
        <v>49</v>
      </c>
    </row>
    <row r="7" spans="2:15" x14ac:dyDescent="0.2">
      <c r="B7" s="64" t="s">
        <v>1026</v>
      </c>
      <c r="C7" s="153"/>
      <c r="D7" s="154"/>
      <c r="E7" s="154"/>
      <c r="F7" s="267"/>
      <c r="G7" s="64" t="s">
        <v>49</v>
      </c>
      <c r="J7" s="64" t="s">
        <v>1026</v>
      </c>
      <c r="K7" s="153"/>
      <c r="L7" s="154"/>
      <c r="M7" s="154"/>
      <c r="N7" s="267"/>
      <c r="O7" s="64" t="s">
        <v>49</v>
      </c>
    </row>
    <row r="8" spans="2:15" x14ac:dyDescent="0.2">
      <c r="B8" s="64" t="s">
        <v>1027</v>
      </c>
      <c r="C8" s="153"/>
      <c r="D8" s="154"/>
      <c r="E8" s="154"/>
      <c r="F8" s="49">
        <v>3.5</v>
      </c>
      <c r="G8" s="64" t="s">
        <v>113</v>
      </c>
      <c r="J8" s="64" t="s">
        <v>1027</v>
      </c>
      <c r="K8" s="153"/>
      <c r="L8" s="154"/>
      <c r="M8" s="154"/>
      <c r="N8" s="49">
        <v>3.5</v>
      </c>
      <c r="O8" s="64" t="s">
        <v>113</v>
      </c>
    </row>
    <row r="9" spans="2:15" x14ac:dyDescent="0.2">
      <c r="B9" s="56" t="s">
        <v>1028</v>
      </c>
      <c r="C9" s="56"/>
      <c r="D9" s="56"/>
      <c r="E9" s="56"/>
      <c r="F9" s="168">
        <f>IFERROR(INT(F6/F8),0)</f>
        <v>0</v>
      </c>
      <c r="G9" s="266" t="s">
        <v>112</v>
      </c>
      <c r="J9" s="56" t="s">
        <v>1028</v>
      </c>
      <c r="K9" s="56"/>
      <c r="L9" s="56"/>
      <c r="M9" s="56"/>
      <c r="N9" s="168">
        <f>IFERROR(INT(N6/N8),0)</f>
        <v>0</v>
      </c>
      <c r="O9" s="266" t="s">
        <v>112</v>
      </c>
    </row>
    <row r="10" spans="2:15" x14ac:dyDescent="0.2">
      <c r="B10" s="56" t="s">
        <v>1029</v>
      </c>
      <c r="C10" s="153"/>
      <c r="D10" s="154"/>
      <c r="E10" s="154"/>
      <c r="F10" s="168">
        <f>IFERROR(INT(F7/F8),0)</f>
        <v>0</v>
      </c>
      <c r="G10" s="266" t="s">
        <v>112</v>
      </c>
      <c r="J10" s="56" t="s">
        <v>1029</v>
      </c>
      <c r="K10" s="153"/>
      <c r="L10" s="154"/>
      <c r="M10" s="154"/>
      <c r="N10" s="168">
        <f>IFERROR(INT(N7/N8),0)</f>
        <v>0</v>
      </c>
      <c r="O10" s="266" t="s">
        <v>112</v>
      </c>
    </row>
    <row r="11" spans="2:15" x14ac:dyDescent="0.2">
      <c r="B11" s="56" t="s">
        <v>1030</v>
      </c>
      <c r="C11" s="56"/>
      <c r="D11" s="56"/>
      <c r="E11" s="56"/>
      <c r="F11" s="267"/>
      <c r="G11" s="266" t="s">
        <v>112</v>
      </c>
      <c r="J11" s="56" t="s">
        <v>1030</v>
      </c>
      <c r="K11" s="56"/>
      <c r="L11" s="56"/>
      <c r="M11" s="56"/>
      <c r="N11" s="267"/>
      <c r="O11" s="266" t="s">
        <v>112</v>
      </c>
    </row>
    <row r="12" spans="2:15" x14ac:dyDescent="0.2">
      <c r="B12" s="56" t="s">
        <v>1031</v>
      </c>
      <c r="C12" s="56"/>
      <c r="D12" s="56"/>
      <c r="E12" s="56"/>
      <c r="F12" s="267"/>
      <c r="G12" s="266" t="s">
        <v>112</v>
      </c>
      <c r="J12" s="56" t="s">
        <v>1031</v>
      </c>
      <c r="K12" s="56"/>
      <c r="L12" s="56"/>
      <c r="M12" s="56"/>
      <c r="N12" s="267"/>
      <c r="O12" s="266" t="s">
        <v>112</v>
      </c>
    </row>
    <row r="13" spans="2:15" x14ac:dyDescent="0.2">
      <c r="B13" s="56"/>
      <c r="C13" s="56"/>
      <c r="D13" s="56"/>
      <c r="E13" s="56"/>
      <c r="F13" s="56"/>
      <c r="G13" s="56"/>
      <c r="J13" s="56"/>
      <c r="K13" s="56"/>
      <c r="L13" s="56"/>
      <c r="M13" s="56"/>
      <c r="N13" s="56"/>
      <c r="O13" s="56"/>
    </row>
    <row r="14" spans="2:15" x14ac:dyDescent="0.2">
      <c r="B14" s="283" t="s">
        <v>1043</v>
      </c>
      <c r="C14" s="56"/>
      <c r="D14" s="56"/>
      <c r="E14" s="56"/>
      <c r="F14" s="56"/>
      <c r="G14" s="56"/>
      <c r="J14" s="283" t="s">
        <v>1043</v>
      </c>
      <c r="K14" s="56"/>
      <c r="L14" s="56"/>
      <c r="M14" s="56"/>
      <c r="N14" s="56"/>
      <c r="O14" s="56"/>
    </row>
    <row r="15" spans="2:15" x14ac:dyDescent="0.2">
      <c r="B15" s="68" t="s">
        <v>1044</v>
      </c>
      <c r="C15" s="153"/>
      <c r="D15" s="154"/>
      <c r="E15" s="154"/>
      <c r="F15" s="177">
        <f>RedBasica!$K$11</f>
        <v>0</v>
      </c>
      <c r="G15" s="56" t="s">
        <v>112</v>
      </c>
      <c r="J15" s="68" t="s">
        <v>1044</v>
      </c>
      <c r="K15" s="153"/>
      <c r="L15" s="154"/>
      <c r="M15" s="154"/>
      <c r="N15" s="177">
        <f>RedBasica!$K$11</f>
        <v>0</v>
      </c>
      <c r="O15" s="56" t="s">
        <v>112</v>
      </c>
    </row>
    <row r="16" spans="2:15" x14ac:dyDescent="0.2">
      <c r="B16" s="68" t="s">
        <v>1045</v>
      </c>
      <c r="C16" s="153"/>
      <c r="D16" s="154"/>
      <c r="E16" s="154"/>
      <c r="F16" s="177">
        <f>RedBasica!$L$11</f>
        <v>0</v>
      </c>
      <c r="G16" s="266" t="s">
        <v>112</v>
      </c>
      <c r="J16" s="68" t="s">
        <v>1045</v>
      </c>
      <c r="K16" s="153"/>
      <c r="L16" s="154"/>
      <c r="M16" s="154"/>
      <c r="N16" s="177">
        <f>RedBasica!$L$11</f>
        <v>0</v>
      </c>
      <c r="O16" s="266" t="s">
        <v>112</v>
      </c>
    </row>
    <row r="17" spans="2:15" x14ac:dyDescent="0.2">
      <c r="B17" s="64" t="s">
        <v>1046</v>
      </c>
      <c r="C17" s="154"/>
      <c r="D17" s="154"/>
      <c r="E17" s="165" t="s">
        <v>50</v>
      </c>
      <c r="F17" s="176">
        <f>L9</f>
        <v>0</v>
      </c>
      <c r="G17" s="153" t="s">
        <v>5</v>
      </c>
      <c r="J17" s="64" t="s">
        <v>1046</v>
      </c>
      <c r="K17" s="154"/>
      <c r="L17" s="154"/>
      <c r="M17" s="165" t="s">
        <v>50</v>
      </c>
      <c r="N17" s="176">
        <f>T9</f>
        <v>0</v>
      </c>
      <c r="O17" s="153" t="s">
        <v>5</v>
      </c>
    </row>
    <row r="18" spans="2:15" x14ac:dyDescent="0.2">
      <c r="B18" s="64" t="s">
        <v>1046</v>
      </c>
      <c r="C18" s="154"/>
      <c r="D18" s="154"/>
      <c r="E18" s="165" t="s">
        <v>51</v>
      </c>
      <c r="F18" s="177">
        <f>K9</f>
        <v>0</v>
      </c>
      <c r="G18" s="153" t="s">
        <v>46</v>
      </c>
      <c r="J18" s="64" t="s">
        <v>1046</v>
      </c>
      <c r="K18" s="154"/>
      <c r="L18" s="154"/>
      <c r="M18" s="165" t="s">
        <v>51</v>
      </c>
      <c r="N18" s="177">
        <f>S9</f>
        <v>0</v>
      </c>
      <c r="O18" s="153" t="s">
        <v>46</v>
      </c>
    </row>
    <row r="19" spans="2:15" x14ac:dyDescent="0.2">
      <c r="B19" s="283" t="s">
        <v>1047</v>
      </c>
      <c r="C19" s="56"/>
      <c r="D19" s="56"/>
      <c r="E19" s="56"/>
      <c r="F19" s="56"/>
      <c r="G19" s="56"/>
      <c r="J19" s="283" t="s">
        <v>1047</v>
      </c>
      <c r="K19" s="56"/>
      <c r="L19" s="56"/>
      <c r="M19" s="56"/>
      <c r="N19" s="56"/>
      <c r="O19" s="56"/>
    </row>
    <row r="20" spans="2:15" x14ac:dyDescent="0.2">
      <c r="B20" s="141" t="s">
        <v>1048</v>
      </c>
      <c r="C20" s="153"/>
      <c r="D20" s="154"/>
      <c r="E20" s="154"/>
      <c r="F20" s="118" t="s">
        <v>111</v>
      </c>
      <c r="G20" s="140" t="s">
        <v>33</v>
      </c>
      <c r="J20" s="141" t="s">
        <v>1048</v>
      </c>
      <c r="K20" s="153"/>
      <c r="L20" s="154"/>
      <c r="M20" s="154"/>
      <c r="N20" s="118" t="s">
        <v>111</v>
      </c>
      <c r="O20" s="140" t="s">
        <v>33</v>
      </c>
    </row>
    <row r="21" spans="2:15" x14ac:dyDescent="0.2">
      <c r="B21" s="141" t="s">
        <v>1049</v>
      </c>
      <c r="C21" s="153"/>
      <c r="D21" s="154"/>
      <c r="E21" s="154"/>
      <c r="F21" s="175">
        <f>IFERROR(IF(F20="Si",L25,0),0)</f>
        <v>0</v>
      </c>
      <c r="G21" s="153" t="s">
        <v>14</v>
      </c>
      <c r="J21" s="141" t="s">
        <v>1049</v>
      </c>
      <c r="K21" s="153"/>
      <c r="L21" s="154"/>
      <c r="M21" s="154"/>
      <c r="N21" s="175">
        <f>IFERROR(IF(N20="Si",T25,0),0)</f>
        <v>0</v>
      </c>
      <c r="O21" s="153" t="s">
        <v>14</v>
      </c>
    </row>
    <row r="22" spans="2:15" x14ac:dyDescent="0.2">
      <c r="B22" s="141" t="s">
        <v>1050</v>
      </c>
      <c r="C22" s="153"/>
      <c r="D22" s="154"/>
      <c r="E22" s="154"/>
      <c r="F22" s="175">
        <f>IFERROR(IF(F20="Si",L23,0),0)</f>
        <v>0</v>
      </c>
      <c r="G22" s="153" t="s">
        <v>14</v>
      </c>
      <c r="J22" s="141" t="s">
        <v>1050</v>
      </c>
      <c r="K22" s="153"/>
      <c r="L22" s="154"/>
      <c r="M22" s="154"/>
      <c r="N22" s="175">
        <f>IFERROR(IF(N20="Si",T23,0),0)</f>
        <v>0</v>
      </c>
      <c r="O22" s="153" t="s">
        <v>14</v>
      </c>
    </row>
    <row r="23" spans="2:15" x14ac:dyDescent="0.2">
      <c r="B23" s="56"/>
      <c r="C23" s="56"/>
      <c r="D23" s="56"/>
      <c r="E23" s="56"/>
      <c r="F23" s="56"/>
      <c r="G23" s="56"/>
      <c r="J23" s="56"/>
      <c r="K23" s="56"/>
      <c r="L23" s="56"/>
      <c r="M23" s="56"/>
      <c r="N23" s="56"/>
      <c r="O23" s="56"/>
    </row>
    <row r="24" spans="2:15" x14ac:dyDescent="0.2">
      <c r="B24" s="283" t="s">
        <v>1051</v>
      </c>
      <c r="C24" s="56"/>
      <c r="D24" s="56"/>
      <c r="E24" s="56"/>
      <c r="F24" s="56"/>
      <c r="G24" s="56"/>
      <c r="J24" s="283" t="s">
        <v>1051</v>
      </c>
      <c r="K24" s="56"/>
      <c r="L24" s="56"/>
      <c r="M24" s="56"/>
      <c r="N24" s="56"/>
      <c r="O24" s="56"/>
    </row>
    <row r="25" spans="2:15" x14ac:dyDescent="0.2">
      <c r="B25" s="141" t="s">
        <v>1052</v>
      </c>
      <c r="C25" s="153"/>
      <c r="D25" s="154"/>
      <c r="E25" s="154"/>
      <c r="F25" s="269">
        <v>150</v>
      </c>
      <c r="G25" s="153" t="s">
        <v>13</v>
      </c>
      <c r="J25" s="141" t="s">
        <v>1052</v>
      </c>
      <c r="K25" s="153"/>
      <c r="L25" s="154"/>
      <c r="M25" s="154"/>
      <c r="N25" s="269">
        <v>150</v>
      </c>
      <c r="O25" s="153" t="s">
        <v>13</v>
      </c>
    </row>
    <row r="26" spans="2:15" x14ac:dyDescent="0.2">
      <c r="B26" s="64" t="s">
        <v>11</v>
      </c>
      <c r="C26" s="153"/>
      <c r="D26" s="154"/>
      <c r="E26" s="154"/>
      <c r="F26" s="49">
        <v>1.2</v>
      </c>
      <c r="G26" s="155"/>
      <c r="J26" s="64" t="s">
        <v>11</v>
      </c>
      <c r="K26" s="153"/>
      <c r="L26" s="154"/>
      <c r="M26" s="154"/>
      <c r="N26" s="49">
        <v>1.2</v>
      </c>
      <c r="O26" s="155"/>
    </row>
    <row r="27" spans="2:15" x14ac:dyDescent="0.2">
      <c r="B27" s="64" t="s">
        <v>12</v>
      </c>
      <c r="C27" s="153"/>
      <c r="D27" s="154"/>
      <c r="E27" s="154"/>
      <c r="F27" s="49">
        <v>1.5</v>
      </c>
      <c r="G27" s="155"/>
      <c r="J27" s="64" t="s">
        <v>12</v>
      </c>
      <c r="K27" s="153"/>
      <c r="L27" s="154"/>
      <c r="M27" s="154"/>
      <c r="N27" s="49">
        <v>1.5</v>
      </c>
      <c r="O27" s="155"/>
    </row>
    <row r="28" spans="2:15" x14ac:dyDescent="0.2">
      <c r="B28" s="153" t="s">
        <v>3</v>
      </c>
      <c r="C28" s="153"/>
      <c r="D28" s="154"/>
      <c r="E28" s="154"/>
      <c r="F28" s="49">
        <v>0.8</v>
      </c>
      <c r="G28" s="153"/>
      <c r="J28" s="153" t="s">
        <v>3</v>
      </c>
      <c r="K28" s="153"/>
      <c r="L28" s="154"/>
      <c r="M28" s="154"/>
      <c r="N28" s="49">
        <v>0.8</v>
      </c>
      <c r="O28" s="153"/>
    </row>
    <row r="29" spans="2:15" x14ac:dyDescent="0.2">
      <c r="B29" s="64" t="s">
        <v>122</v>
      </c>
      <c r="C29" s="153"/>
      <c r="D29" s="154"/>
      <c r="E29" s="154"/>
      <c r="F29" s="268">
        <v>0.01</v>
      </c>
      <c r="G29" s="153" t="s">
        <v>14</v>
      </c>
      <c r="J29" s="64" t="s">
        <v>122</v>
      </c>
      <c r="K29" s="153"/>
      <c r="L29" s="154"/>
      <c r="M29" s="154"/>
      <c r="N29" s="268">
        <v>0.01</v>
      </c>
      <c r="O29" s="153" t="s">
        <v>14</v>
      </c>
    </row>
    <row r="30" spans="2:15" x14ac:dyDescent="0.2">
      <c r="B30" s="141" t="s">
        <v>123</v>
      </c>
      <c r="C30" s="141"/>
      <c r="D30" s="154"/>
      <c r="E30" s="154"/>
      <c r="F30" s="49">
        <v>1</v>
      </c>
      <c r="G30" s="153" t="s">
        <v>0</v>
      </c>
      <c r="J30" s="141" t="s">
        <v>123</v>
      </c>
      <c r="K30" s="141"/>
      <c r="L30" s="154"/>
      <c r="M30" s="154"/>
      <c r="N30" s="49">
        <v>1</v>
      </c>
      <c r="O30" s="153" t="s">
        <v>0</v>
      </c>
    </row>
    <row r="31" spans="2:15" x14ac:dyDescent="0.2">
      <c r="B31" s="64" t="s">
        <v>124</v>
      </c>
      <c r="C31" s="153"/>
      <c r="D31" s="154"/>
      <c r="E31" s="154"/>
      <c r="F31" s="49">
        <v>1.5</v>
      </c>
      <c r="G31" s="153" t="s">
        <v>5</v>
      </c>
      <c r="J31" s="64" t="s">
        <v>124</v>
      </c>
      <c r="K31" s="153"/>
      <c r="L31" s="154"/>
      <c r="M31" s="154"/>
      <c r="N31" s="49">
        <v>1.5</v>
      </c>
      <c r="O31" s="153" t="s">
        <v>5</v>
      </c>
    </row>
    <row r="32" spans="2:15" x14ac:dyDescent="0.2">
      <c r="B32" s="64" t="s">
        <v>125</v>
      </c>
      <c r="C32" s="153"/>
      <c r="D32" s="154"/>
      <c r="E32" s="154"/>
      <c r="F32" s="169">
        <v>0.5</v>
      </c>
      <c r="G32" s="153" t="s">
        <v>4</v>
      </c>
      <c r="J32" s="64" t="s">
        <v>125</v>
      </c>
      <c r="K32" s="153"/>
      <c r="L32" s="154"/>
      <c r="M32" s="154"/>
      <c r="N32" s="169">
        <v>0.5</v>
      </c>
      <c r="O32" s="153" t="s">
        <v>4</v>
      </c>
    </row>
    <row r="33" spans="2:15" x14ac:dyDescent="0.2">
      <c r="B33" s="64" t="s">
        <v>126</v>
      </c>
      <c r="C33" s="153"/>
      <c r="D33" s="154"/>
      <c r="E33" s="154"/>
      <c r="F33" s="178">
        <v>0.75</v>
      </c>
      <c r="G33" s="153" t="s">
        <v>4</v>
      </c>
      <c r="J33" s="64" t="s">
        <v>126</v>
      </c>
      <c r="K33" s="153"/>
      <c r="L33" s="154"/>
      <c r="M33" s="154"/>
      <c r="N33" s="178">
        <v>0.75</v>
      </c>
      <c r="O33" s="153" t="s">
        <v>4</v>
      </c>
    </row>
    <row r="34" spans="2:15" x14ac:dyDescent="0.2">
      <c r="B34" s="51" t="s">
        <v>1053</v>
      </c>
      <c r="C34" s="155"/>
      <c r="D34" s="154"/>
      <c r="E34" s="154"/>
      <c r="F34" s="171"/>
      <c r="G34" s="155"/>
      <c r="J34" s="51" t="s">
        <v>1053</v>
      </c>
      <c r="K34" s="155"/>
      <c r="L34" s="154"/>
      <c r="M34" s="154"/>
      <c r="N34" s="171"/>
      <c r="O34" s="155"/>
    </row>
    <row r="35" spans="2:15" x14ac:dyDescent="0.2">
      <c r="B35" s="153" t="s">
        <v>1</v>
      </c>
      <c r="C35" s="153"/>
      <c r="D35" s="154"/>
      <c r="E35" s="154"/>
      <c r="F35" s="172">
        <v>150</v>
      </c>
      <c r="G35" s="153" t="s">
        <v>2</v>
      </c>
      <c r="J35" s="153" t="s">
        <v>1</v>
      </c>
      <c r="K35" s="153"/>
      <c r="L35" s="154"/>
      <c r="M35" s="154"/>
      <c r="N35" s="172">
        <v>150</v>
      </c>
      <c r="O35" s="153" t="s">
        <v>2</v>
      </c>
    </row>
    <row r="36" spans="2:15" x14ac:dyDescent="0.2">
      <c r="B36" s="56"/>
      <c r="C36" s="56"/>
      <c r="D36" s="56"/>
      <c r="E36" s="56"/>
      <c r="F36" s="56"/>
      <c r="G36" s="56"/>
      <c r="J36" s="56"/>
      <c r="K36" s="56"/>
      <c r="L36" s="56"/>
      <c r="M36" s="56"/>
      <c r="N36" s="56"/>
      <c r="O36" s="56"/>
    </row>
    <row r="37" spans="2:15" x14ac:dyDescent="0.2">
      <c r="B37" s="51" t="s">
        <v>1054</v>
      </c>
      <c r="C37" s="51"/>
      <c r="D37" s="154"/>
      <c r="E37" s="154"/>
      <c r="F37" s="170" t="s">
        <v>47</v>
      </c>
      <c r="G37" s="155"/>
      <c r="J37" s="51" t="s">
        <v>1054</v>
      </c>
      <c r="K37" s="51"/>
      <c r="L37" s="154"/>
      <c r="M37" s="154"/>
      <c r="N37" s="170" t="s">
        <v>47</v>
      </c>
      <c r="O37" s="155"/>
    </row>
    <row r="38" spans="2:15" x14ac:dyDescent="0.2">
      <c r="B38" s="141" t="s">
        <v>1055</v>
      </c>
      <c r="C38" s="161">
        <v>150</v>
      </c>
      <c r="D38" s="154"/>
      <c r="E38" s="154"/>
      <c r="F38" s="270">
        <v>4.4999999999999997E-3</v>
      </c>
      <c r="G38" s="153" t="s">
        <v>23</v>
      </c>
      <c r="J38" s="141" t="s">
        <v>1055</v>
      </c>
      <c r="K38" s="161">
        <v>150</v>
      </c>
      <c r="L38" s="154"/>
      <c r="M38" s="154"/>
      <c r="N38" s="270">
        <v>4.4999999999999997E-3</v>
      </c>
      <c r="O38" s="153" t="s">
        <v>23</v>
      </c>
    </row>
    <row r="39" spans="2:15" x14ac:dyDescent="0.2">
      <c r="B39" s="141" t="s">
        <v>1055</v>
      </c>
      <c r="C39" s="161">
        <v>200</v>
      </c>
      <c r="D39" s="154"/>
      <c r="E39" s="154"/>
      <c r="F39" s="270">
        <v>4.0000000000000001E-3</v>
      </c>
      <c r="G39" s="153" t="s">
        <v>23</v>
      </c>
      <c r="J39" s="141" t="s">
        <v>1055</v>
      </c>
      <c r="K39" s="161">
        <v>200</v>
      </c>
      <c r="L39" s="154"/>
      <c r="M39" s="154"/>
      <c r="N39" s="270">
        <v>4.0000000000000001E-3</v>
      </c>
      <c r="O39" s="153" t="s">
        <v>23</v>
      </c>
    </row>
    <row r="40" spans="2:15" x14ac:dyDescent="0.2">
      <c r="B40" s="153" t="s">
        <v>45</v>
      </c>
      <c r="C40" s="161">
        <v>250</v>
      </c>
      <c r="D40" s="154"/>
      <c r="E40" s="154"/>
      <c r="F40" s="270">
        <v>3.5000000000000001E-3</v>
      </c>
      <c r="G40" s="153" t="s">
        <v>23</v>
      </c>
      <c r="J40" s="153" t="s">
        <v>45</v>
      </c>
      <c r="K40" s="161">
        <v>250</v>
      </c>
      <c r="L40" s="154"/>
      <c r="M40" s="154"/>
      <c r="N40" s="270">
        <v>3.5000000000000001E-3</v>
      </c>
      <c r="O40" s="153" t="s">
        <v>23</v>
      </c>
    </row>
    <row r="41" spans="2:15" x14ac:dyDescent="0.2">
      <c r="B41" s="51" t="s">
        <v>24</v>
      </c>
      <c r="C41" s="51"/>
      <c r="D41" s="154"/>
      <c r="E41" s="154"/>
      <c r="F41" s="171"/>
      <c r="G41" s="155"/>
      <c r="J41" s="51" t="s">
        <v>24</v>
      </c>
      <c r="K41" s="51"/>
      <c r="L41" s="154"/>
      <c r="M41" s="154"/>
      <c r="N41" s="171"/>
      <c r="O41" s="155"/>
    </row>
    <row r="42" spans="2:15" x14ac:dyDescent="0.2">
      <c r="B42" s="64" t="s">
        <v>1056</v>
      </c>
      <c r="C42" s="153"/>
      <c r="D42" s="154"/>
      <c r="E42" s="154"/>
      <c r="F42" s="173">
        <v>0.9</v>
      </c>
      <c r="G42" s="153" t="s">
        <v>6</v>
      </c>
      <c r="J42" s="64" t="s">
        <v>1056</v>
      </c>
      <c r="K42" s="153"/>
      <c r="L42" s="154"/>
      <c r="M42" s="154"/>
      <c r="N42" s="173">
        <v>0.9</v>
      </c>
      <c r="O42" s="153" t="s">
        <v>6</v>
      </c>
    </row>
    <row r="43" spans="2:15" x14ac:dyDescent="0.2">
      <c r="B43" s="64" t="s">
        <v>1057</v>
      </c>
      <c r="C43" s="153"/>
      <c r="D43" s="154"/>
      <c r="E43" s="154"/>
      <c r="F43" s="49">
        <v>0.65</v>
      </c>
      <c r="G43" s="153" t="s">
        <v>6</v>
      </c>
      <c r="J43" s="64" t="s">
        <v>1057</v>
      </c>
      <c r="K43" s="153"/>
      <c r="L43" s="154"/>
      <c r="M43" s="154"/>
      <c r="N43" s="49">
        <v>0.65</v>
      </c>
      <c r="O43" s="153" t="s">
        <v>6</v>
      </c>
    </row>
    <row r="44" spans="2:15" x14ac:dyDescent="0.2">
      <c r="B44" s="51" t="s">
        <v>1058</v>
      </c>
      <c r="C44" s="154"/>
      <c r="D44" s="154"/>
      <c r="E44" s="154"/>
      <c r="F44" s="174"/>
      <c r="G44" s="154"/>
      <c r="J44" s="51" t="s">
        <v>1058</v>
      </c>
      <c r="K44" s="154"/>
      <c r="L44" s="154"/>
      <c r="M44" s="154"/>
      <c r="N44" s="174"/>
      <c r="O44" s="154"/>
    </row>
    <row r="45" spans="2:15" x14ac:dyDescent="0.2">
      <c r="B45" s="64" t="s">
        <v>1059</v>
      </c>
      <c r="C45" s="154"/>
      <c r="D45" s="154"/>
      <c r="E45" s="154"/>
      <c r="F45" s="271" t="s">
        <v>109</v>
      </c>
      <c r="G45" s="154"/>
      <c r="J45" s="64" t="s">
        <v>1059</v>
      </c>
      <c r="K45" s="154"/>
      <c r="L45" s="154"/>
      <c r="M45" s="154"/>
      <c r="N45" s="271" t="s">
        <v>109</v>
      </c>
      <c r="O45" s="154"/>
    </row>
    <row r="46" spans="2:15" x14ac:dyDescent="0.2">
      <c r="B46" s="283" t="s">
        <v>1060</v>
      </c>
      <c r="C46" s="154"/>
      <c r="D46" s="154"/>
      <c r="E46" s="154"/>
      <c r="F46" s="174"/>
      <c r="G46" s="154"/>
      <c r="J46" s="283" t="s">
        <v>1060</v>
      </c>
      <c r="K46" s="154"/>
      <c r="L46" s="154"/>
      <c r="M46" s="154"/>
      <c r="N46" s="174"/>
      <c r="O46" s="154"/>
    </row>
    <row r="47" spans="2:15" x14ac:dyDescent="0.2">
      <c r="B47" s="141" t="s">
        <v>1061</v>
      </c>
      <c r="C47" s="154"/>
      <c r="D47" s="154"/>
      <c r="E47" s="154"/>
      <c r="F47" s="49">
        <v>0.5</v>
      </c>
      <c r="G47" s="154" t="s">
        <v>6</v>
      </c>
      <c r="J47" s="141" t="s">
        <v>1061</v>
      </c>
      <c r="K47" s="154"/>
      <c r="L47" s="154"/>
      <c r="M47" s="154"/>
      <c r="N47" s="49">
        <v>0.5</v>
      </c>
      <c r="O47" s="154" t="s">
        <v>6</v>
      </c>
    </row>
    <row r="48" spans="2:15" x14ac:dyDescent="0.2">
      <c r="B48" s="283" t="s">
        <v>1062</v>
      </c>
      <c r="C48" s="56"/>
      <c r="D48" s="56"/>
      <c r="E48" s="56"/>
      <c r="F48" s="56"/>
      <c r="G48" s="56"/>
      <c r="J48" s="283" t="s">
        <v>1062</v>
      </c>
      <c r="K48" s="56"/>
      <c r="L48" s="56"/>
      <c r="M48" s="56"/>
      <c r="N48" s="56"/>
      <c r="O48" s="56"/>
    </row>
    <row r="49" spans="2:15" x14ac:dyDescent="0.2">
      <c r="B49" s="56" t="s">
        <v>1063</v>
      </c>
      <c r="C49" s="56"/>
      <c r="D49" s="56"/>
      <c r="E49" s="56"/>
      <c r="F49" s="49">
        <v>0</v>
      </c>
      <c r="G49" s="56" t="s">
        <v>6</v>
      </c>
      <c r="J49" s="56" t="s">
        <v>1063</v>
      </c>
      <c r="K49" s="56"/>
      <c r="L49" s="56"/>
      <c r="M49" s="56"/>
      <c r="N49" s="49">
        <v>0</v>
      </c>
      <c r="O49" s="56" t="s">
        <v>6</v>
      </c>
    </row>
    <row r="50" spans="2:15" x14ac:dyDescent="0.2">
      <c r="B50" s="56"/>
      <c r="C50" s="56"/>
      <c r="D50" s="56"/>
      <c r="E50" s="56"/>
      <c r="F50" s="56"/>
      <c r="G50" s="56"/>
      <c r="J50" s="56"/>
      <c r="K50" s="56"/>
      <c r="L50" s="56"/>
      <c r="M50" s="56"/>
      <c r="N50" s="56"/>
      <c r="O50" s="56"/>
    </row>
    <row r="53" spans="2:15" ht="14.25" x14ac:dyDescent="0.2">
      <c r="B53" s="379" t="s">
        <v>1018</v>
      </c>
      <c r="C53" s="380"/>
      <c r="D53" s="380"/>
      <c r="E53" s="381"/>
    </row>
    <row r="54" spans="2:15" ht="14.25" customHeight="1" x14ac:dyDescent="0.2">
      <c r="B54" s="403"/>
      <c r="C54" s="404"/>
      <c r="D54" s="404"/>
      <c r="E54" s="405"/>
    </row>
    <row r="55" spans="2:15" ht="14.25" x14ac:dyDescent="0.2">
      <c r="B55" s="382" t="s">
        <v>1019</v>
      </c>
      <c r="C55" s="383"/>
      <c r="D55" s="384"/>
      <c r="E55" s="384"/>
    </row>
    <row r="56" spans="2:15" ht="14.25" customHeight="1" x14ac:dyDescent="0.2">
      <c r="B56" s="403"/>
      <c r="C56" s="404"/>
      <c r="D56" s="404"/>
      <c r="E56" s="405"/>
    </row>
    <row r="57" spans="2:15" ht="14.25" x14ac:dyDescent="0.2">
      <c r="B57" s="379" t="s">
        <v>1020</v>
      </c>
      <c r="C57" s="380"/>
      <c r="D57" s="380"/>
      <c r="E57" s="381"/>
    </row>
    <row r="58" spans="2:15" ht="14.25" customHeight="1" x14ac:dyDescent="0.2">
      <c r="B58" s="403"/>
      <c r="C58" s="404"/>
      <c r="D58" s="404"/>
      <c r="E58" s="405"/>
    </row>
    <row r="59" spans="2:15" ht="14.25" x14ac:dyDescent="0.2">
      <c r="B59" s="385" t="s">
        <v>1021</v>
      </c>
      <c r="C59" s="384"/>
      <c r="D59" s="384"/>
      <c r="E59" s="386"/>
    </row>
    <row r="60" spans="2:15" ht="15" customHeight="1" x14ac:dyDescent="0.2">
      <c r="B60" s="403"/>
      <c r="C60" s="404"/>
      <c r="D60" s="405"/>
      <c r="E60" s="387"/>
    </row>
    <row r="61" spans="2:15" ht="14.25" x14ac:dyDescent="0.2">
      <c r="B61" s="385" t="s">
        <v>1022</v>
      </c>
      <c r="C61" s="384"/>
      <c r="D61" s="384"/>
      <c r="E61" s="48"/>
    </row>
    <row r="62" spans="2:15" ht="14.25" x14ac:dyDescent="0.2">
      <c r="B62" s="406"/>
      <c r="C62" s="404"/>
      <c r="D62" s="405"/>
      <c r="E62" s="48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118" priority="502" operator="equal">
      <formula>"Sim"</formula>
    </cfRule>
    <cfRule type="cellIs" dxfId="117" priority="503" operator="equal">
      <formula>"Não"</formula>
    </cfRule>
    <cfRule type="containsBlanks" dxfId="116" priority="504">
      <formula>LEN(TRIM(N20))=0</formula>
    </cfRule>
  </conditionalFormatting>
  <conditionalFormatting sqref="N6:N7">
    <cfRule type="cellIs" dxfId="115" priority="505" operator="equal">
      <formula>0</formula>
    </cfRule>
  </conditionalFormatting>
  <conditionalFormatting sqref="N11:N12">
    <cfRule type="cellIs" dxfId="114" priority="501" operator="equal">
      <formula>0</formula>
    </cfRule>
  </conditionalFormatting>
  <conditionalFormatting sqref="F20">
    <cfRule type="cellIs" dxfId="113" priority="2" operator="equal">
      <formula>"Sim"</formula>
    </cfRule>
    <cfRule type="cellIs" dxfId="112" priority="3" operator="equal">
      <formula>"Não"</formula>
    </cfRule>
    <cfRule type="containsBlanks" dxfId="111" priority="4">
      <formula>LEN(TRIM(F20))=0</formula>
    </cfRule>
  </conditionalFormatting>
  <conditionalFormatting sqref="F6:F7">
    <cfRule type="cellIs" dxfId="110" priority="5" operator="equal">
      <formula>0</formula>
    </cfRule>
  </conditionalFormatting>
  <conditionalFormatting sqref="F11:F12">
    <cfRule type="cellIs" dxfId="109" priority="1" operator="equal">
      <formula>0</formula>
    </cfRule>
  </conditionalFormatting>
  <dataValidations disablePrompts="1"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A28" workbookViewId="0">
      <selection activeCell="AK51" sqref="AK51"/>
    </sheetView>
  </sheetViews>
  <sheetFormatPr defaultColWidth="8.85546875" defaultRowHeight="12.75" x14ac:dyDescent="0.2"/>
  <cols>
    <col min="1" max="1" width="15.85546875" style="109" bestFit="1" customWidth="1"/>
    <col min="2" max="43" width="8.85546875" style="109"/>
    <col min="44" max="44" width="1" style="109" customWidth="1"/>
    <col min="45" max="16384" width="8.85546875" style="109"/>
  </cols>
  <sheetData>
    <row r="2" spans="1:1491" ht="18" x14ac:dyDescent="0.2">
      <c r="K2" s="501">
        <f>Parametros!$B$6</f>
        <v>0</v>
      </c>
      <c r="L2" s="501"/>
      <c r="M2" s="501"/>
      <c r="N2" s="501"/>
      <c r="O2" s="501"/>
    </row>
    <row r="3" spans="1:1491" ht="18" x14ac:dyDescent="0.2">
      <c r="K3" s="501">
        <f>Parametros!$B$8</f>
        <v>0</v>
      </c>
      <c r="L3" s="501"/>
      <c r="M3" s="501"/>
      <c r="N3" s="501"/>
      <c r="O3" s="501"/>
    </row>
    <row r="4" spans="1:1491" ht="18" x14ac:dyDescent="0.2">
      <c r="K4" s="501">
        <f>Parametros!$B$10</f>
        <v>0</v>
      </c>
      <c r="L4" s="501"/>
      <c r="M4" s="501"/>
      <c r="N4" s="501"/>
      <c r="O4" s="501"/>
    </row>
    <row r="5" spans="1:1491" ht="18" x14ac:dyDescent="0.2">
      <c r="K5" s="501">
        <f>Parametros!$B$12</f>
        <v>0</v>
      </c>
      <c r="L5" s="501"/>
      <c r="M5" s="501"/>
      <c r="N5" s="501"/>
      <c r="O5" s="501"/>
    </row>
    <row r="6" spans="1:1491" ht="18" x14ac:dyDescent="0.2">
      <c r="K6" s="502">
        <f>Parametros!$B$14</f>
        <v>0</v>
      </c>
      <c r="L6" s="501"/>
      <c r="M6" s="501"/>
      <c r="N6" s="501"/>
      <c r="O6" s="501"/>
    </row>
    <row r="7" spans="1:1491" ht="18" x14ac:dyDescent="0.2">
      <c r="C7" s="503">
        <f>Parametros!$B$6</f>
        <v>0</v>
      </c>
      <c r="D7" s="503"/>
      <c r="E7" s="503"/>
      <c r="F7" s="503"/>
      <c r="G7" s="504"/>
    </row>
    <row r="8" spans="1:1491" ht="18" x14ac:dyDescent="0.2">
      <c r="C8" s="503">
        <f>Parametros!$B$8</f>
        <v>0</v>
      </c>
      <c r="D8" s="503"/>
      <c r="E8" s="503"/>
      <c r="F8" s="503"/>
      <c r="G8" s="504"/>
    </row>
    <row r="9" spans="1:1491" ht="18" x14ac:dyDescent="0.2">
      <c r="C9" s="503">
        <f>Parametros!$B$10</f>
        <v>0</v>
      </c>
      <c r="D9" s="503"/>
      <c r="E9" s="503"/>
      <c r="F9" s="503"/>
      <c r="G9" s="504"/>
    </row>
    <row r="10" spans="1:1491" ht="18" x14ac:dyDescent="0.2">
      <c r="C10" s="348">
        <f>Parametros!$B$12</f>
        <v>0</v>
      </c>
      <c r="D10" s="348"/>
      <c r="E10" s="348"/>
      <c r="F10" s="348"/>
      <c r="G10" s="349"/>
    </row>
    <row r="11" spans="1:1491" ht="18" x14ac:dyDescent="0.2">
      <c r="C11" s="543">
        <f>Parametros!$B$14</f>
        <v>0</v>
      </c>
      <c r="D11" s="503"/>
      <c r="E11" s="503"/>
      <c r="F11" s="503"/>
      <c r="G11" s="504"/>
    </row>
    <row r="15" spans="1:1491" s="99" customFormat="1" ht="15" customHeight="1" x14ac:dyDescent="0.2">
      <c r="A15" s="97">
        <v>1</v>
      </c>
      <c r="B15" s="229">
        <v>1</v>
      </c>
      <c r="C15" s="229">
        <v>0</v>
      </c>
      <c r="D15" s="230">
        <v>1</v>
      </c>
      <c r="E15" s="231" t="s">
        <v>95</v>
      </c>
      <c r="F15" s="232">
        <v>31.29</v>
      </c>
      <c r="G15" s="229"/>
      <c r="H15" s="229"/>
      <c r="I15" s="229"/>
      <c r="J15" s="229" t="s">
        <v>218</v>
      </c>
      <c r="K15" s="229">
        <v>9</v>
      </c>
      <c r="L15" s="229">
        <v>7</v>
      </c>
      <c r="M15" s="288">
        <f>Parametros!$F$44*F15/1000</f>
        <v>3.1290000000000002E-4</v>
      </c>
      <c r="N15" s="289">
        <f>SUM('A1'!F15,'A1'!G15,'A1'!H15)+M15</f>
        <v>3.1290000000000002E-4</v>
      </c>
      <c r="O15" s="289">
        <f>SUM('A1'!L15,'A1'!M15,'A1'!N15)+M15</f>
        <v>3.1290000000000002E-4</v>
      </c>
      <c r="P15" s="199"/>
      <c r="Q15" s="199"/>
      <c r="R15" s="72"/>
      <c r="S15" s="289">
        <f>'A2'!AE15</f>
        <v>0</v>
      </c>
      <c r="T15" s="74">
        <f t="shared" ref="T15" si="0">V15-AJ15/1000</f>
        <v>0.9</v>
      </c>
      <c r="U15" s="74">
        <f t="shared" ref="U15" si="1">W15-AJ15/1000</f>
        <v>0.9</v>
      </c>
      <c r="V15" s="74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15)))</f>
        <v>1.05</v>
      </c>
      <c r="W15" s="74">
        <f>IF(F15=0,0,IF(IF(ISBLANK(X15),0,X15)&gt;=0,IF(ISBLANK(X15),MAX(Z15-(AA15-AF15*F15),IF(P15=1,Parametros!$F$58+AJ15/1000,Parametros!$F$57+AJ15/1000)),MAX(Z15-(AA15-AF15*F15),X15)),IF(ISBLANK(X15),Z15-(AA15-AF15*F15),MAX(Z15-(AA15-AF15*F15),X15))))</f>
        <v>1.05</v>
      </c>
      <c r="X15" s="72"/>
      <c r="Y15" s="75">
        <v>139.46</v>
      </c>
      <c r="Z15" s="75">
        <v>139.09</v>
      </c>
      <c r="AA15" s="75">
        <f>IF(OR(F15=0,ISBLANK(D15)),"-",Y15-V15)</f>
        <v>138.41</v>
      </c>
      <c r="AB15" s="75">
        <f>IF(OR(F15=0,ISBLANK(D15)),"-",Z15-W15)</f>
        <v>138.04</v>
      </c>
      <c r="AC15" s="75">
        <f>IF(OR(F15=0,ISBLANK(D15)),"-",Y15-T15)</f>
        <v>138.56</v>
      </c>
      <c r="AD15" s="75">
        <f>IF(OR(F15=0,ISBLANK(D15)),"-",Z15-U15)</f>
        <v>138.19</v>
      </c>
      <c r="AE15" s="76">
        <f>IF(F15=0,0,IF(ISBLANK(D15),0,(Y15-Z15)/F15))</f>
        <v>1.1824864173857608E-2</v>
      </c>
      <c r="AF15" s="158">
        <f>IF(F15=0,0,IF(AJ15&lt;=Parametros!$C$53,Parametros!$F$53,IF(AJ15&lt;=Parametros!$C$54,Parametros!$F$54,IF(AJ15&gt;=Parametros!$C$55,Parametros!$F$55))))</f>
        <v>4.4999999999999997E-3</v>
      </c>
      <c r="AG15" s="77">
        <f>IF(F15=0,0,IF(AJ15&lt;=Parametros!$C$53,Parametros!$F$53,IF(AJ15&lt;=Parametros!$C$54,Parametros!$F$54,IF(AJ15&gt;=Parametros!$C$55,Parametros!$F$55))))</f>
        <v>4.4999999999999997E-3</v>
      </c>
      <c r="AH15" s="78">
        <f>IF(F15=0,0,IF(ISBLANK(D15),0,(AC15-AD15)/F15))</f>
        <v>1.1824864173857608E-2</v>
      </c>
      <c r="AI15" s="69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9">
        <f>IF(B15=1,Parametros!$F$50,AJ14)</f>
        <v>150</v>
      </c>
      <c r="AK15" s="160">
        <f>IF(OR(F15=0,D15=0),0,VLOOKUP(AJ15,Parametros!$B$69:$E$82,4,FALSE))</f>
        <v>1.2999999999999999E-2</v>
      </c>
      <c r="AL15" s="80">
        <f>IF(OR(ISBLANK($D15),N15=0),0,IF(N15&lt;Parametros!$F$46,Parametros!$F$46,N15))</f>
        <v>1.5</v>
      </c>
      <c r="AM15" s="80">
        <f>IF(F15=0,0,IF(ISBLANK(D15),0,LAMINAABS(AL15,AJ15,AH15,AK15)))</f>
        <v>3.0504163207447321E-2</v>
      </c>
      <c r="AN15" s="179">
        <f>IF(F15=0,0,IF(ISBLANK(D15),0,LAMINAREL(AL15,AJ15,AH15,AK15)))</f>
        <v>0.20336108804964881</v>
      </c>
      <c r="AO15" s="180">
        <f>IF(OR(AND(AN15&gt;Parametros!$F$47,AJ15=100),AN15&gt;Parametros!$F$48),1,0)</f>
        <v>0</v>
      </c>
      <c r="AP15" s="80">
        <f>IF(F15=0,0,IF(ISBLANK(D15),0,TENSTRAT(AL15,AJ15,AH15,AK15)))</f>
        <v>2.1296999804082946</v>
      </c>
      <c r="AQ15" s="80">
        <f>IF(F15=0,0,IF(ISBLANK(D15),0,VELOCRIT(AL15,AJ15,AH15,AK15)))</f>
        <v>2.5450183471301111</v>
      </c>
      <c r="AR15" s="80">
        <f>IF(F15=0,0,IF(ISBLANK(D15),0,VELOCID(AL15,AJ15,AH15,AK15)))</f>
        <v>0.58205724003351944</v>
      </c>
      <c r="AS15" s="80">
        <f>IF(OR(ISBLANK($D15),O15=0),0,IF(O15&lt;Parametros!$F$46,Parametros!$F$46,O15))</f>
        <v>1.5</v>
      </c>
      <c r="AT15" s="80">
        <f>IF(F15=0,0,IF(ISBLANK(D15),0,LAMINAABS(AS15,AJ15,AH15,AK15)))</f>
        <v>3.0504163207447321E-2</v>
      </c>
      <c r="AU15" s="179">
        <f>IF(F15=0,0,IF(ISBLANK(D15),0,LAMINAREL(AS15,AJ15,AH15,AK15)))</f>
        <v>0.20336108804964881</v>
      </c>
      <c r="AV15" s="80">
        <f>IF(F15=0,0,IF(ISBLANK(D15),0,TENSTRAT(AS15,AJ15,AH15,AK15)))</f>
        <v>2.1296999804082946</v>
      </c>
      <c r="AW15" s="229" t="s">
        <v>95</v>
      </c>
      <c r="AX15" s="73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9" t="s">
        <v>96</v>
      </c>
      <c r="AZ15" s="73" t="str">
        <f>IFERROR(INDEX($AX$15:$AX$10000,MATCH(BA15,$E$15:$E$10000,0)),AX15)</f>
        <v>CI-0.60</v>
      </c>
      <c r="BA15" s="229" t="s">
        <v>96</v>
      </c>
      <c r="BB15" s="149"/>
      <c r="BC15" s="109"/>
      <c r="BD15" s="109"/>
      <c r="BE15" s="109">
        <f>1000*((AK15*AL15/1000)/(0.284219*(AH15^(1/2))))^(3/8)</f>
        <v>63.094831363449785</v>
      </c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/>
      <c r="NG15" s="109"/>
      <c r="NH15" s="109"/>
      <c r="NI15" s="109"/>
      <c r="NJ15" s="109"/>
      <c r="NK15" s="109"/>
      <c r="NL15" s="109"/>
      <c r="NM15" s="109"/>
      <c r="NN15" s="109"/>
      <c r="NO15" s="109"/>
      <c r="NP15" s="109"/>
      <c r="NQ15" s="109"/>
      <c r="NR15" s="109"/>
      <c r="NS15" s="109"/>
      <c r="NT15" s="109"/>
      <c r="NU15" s="109"/>
      <c r="NV15" s="109"/>
      <c r="NW15" s="109"/>
      <c r="NX15" s="109"/>
      <c r="NY15" s="109"/>
      <c r="NZ15" s="109"/>
      <c r="OA15" s="109"/>
      <c r="OB15" s="109"/>
      <c r="OC15" s="109"/>
      <c r="OD15" s="109"/>
      <c r="OE15" s="109"/>
      <c r="OF15" s="109"/>
      <c r="OG15" s="109"/>
      <c r="OH15" s="109"/>
      <c r="OI15" s="109"/>
      <c r="OJ15" s="109"/>
      <c r="OK15" s="109"/>
      <c r="OL15" s="109"/>
      <c r="OM15" s="109"/>
      <c r="ON15" s="109"/>
      <c r="OO15" s="109"/>
      <c r="OP15" s="109"/>
      <c r="OQ15" s="109"/>
      <c r="OR15" s="109"/>
      <c r="OS15" s="109"/>
      <c r="OT15" s="109"/>
      <c r="OU15" s="109"/>
      <c r="OV15" s="109"/>
      <c r="OW15" s="109"/>
      <c r="OX15" s="109"/>
      <c r="OY15" s="109"/>
      <c r="OZ15" s="109"/>
      <c r="PA15" s="109"/>
      <c r="PB15" s="109"/>
      <c r="PC15" s="109"/>
      <c r="PD15" s="109"/>
      <c r="PE15" s="109"/>
      <c r="PF15" s="109"/>
      <c r="PG15" s="109"/>
      <c r="PH15" s="109"/>
      <c r="PI15" s="109"/>
      <c r="PJ15" s="109"/>
      <c r="PK15" s="109"/>
      <c r="PL15" s="109"/>
      <c r="PM15" s="109"/>
      <c r="PN15" s="109"/>
      <c r="PO15" s="109"/>
      <c r="PP15" s="109"/>
      <c r="PQ15" s="109"/>
      <c r="PR15" s="109"/>
      <c r="PS15" s="109"/>
      <c r="PT15" s="109"/>
      <c r="PU15" s="109"/>
      <c r="PV15" s="109"/>
      <c r="PW15" s="109"/>
      <c r="PX15" s="109"/>
      <c r="PY15" s="109"/>
      <c r="PZ15" s="109"/>
      <c r="QA15" s="109"/>
      <c r="QB15" s="109"/>
      <c r="QC15" s="109"/>
      <c r="QD15" s="109"/>
      <c r="QE15" s="109"/>
      <c r="QF15" s="109"/>
      <c r="QG15" s="109"/>
      <c r="QH15" s="109"/>
      <c r="QI15" s="109"/>
      <c r="QJ15" s="109"/>
      <c r="QK15" s="109"/>
      <c r="QL15" s="109"/>
      <c r="QM15" s="109"/>
      <c r="QN15" s="109"/>
      <c r="QO15" s="109"/>
      <c r="QP15" s="109"/>
      <c r="QQ15" s="109"/>
      <c r="QR15" s="109"/>
      <c r="QS15" s="109"/>
      <c r="QT15" s="109"/>
      <c r="QU15" s="109"/>
      <c r="QV15" s="109"/>
      <c r="QW15" s="109"/>
      <c r="QX15" s="109"/>
      <c r="QY15" s="109"/>
      <c r="QZ15" s="109"/>
      <c r="RA15" s="109"/>
      <c r="RB15" s="109"/>
      <c r="RC15" s="109"/>
      <c r="RD15" s="109"/>
      <c r="RE15" s="109"/>
      <c r="RF15" s="109"/>
      <c r="RG15" s="109"/>
      <c r="RH15" s="109"/>
      <c r="RI15" s="109"/>
      <c r="RJ15" s="109"/>
      <c r="RK15" s="109"/>
      <c r="RL15" s="109"/>
      <c r="RM15" s="109"/>
      <c r="RN15" s="109"/>
      <c r="RO15" s="109"/>
      <c r="RP15" s="109"/>
      <c r="RQ15" s="109"/>
      <c r="RR15" s="109"/>
      <c r="RS15" s="109"/>
      <c r="RT15" s="109"/>
      <c r="RU15" s="109"/>
      <c r="RV15" s="109"/>
      <c r="RW15" s="109"/>
      <c r="RX15" s="109"/>
      <c r="RY15" s="109"/>
      <c r="RZ15" s="109"/>
      <c r="SA15" s="109"/>
      <c r="SB15" s="109"/>
      <c r="SC15" s="109"/>
      <c r="SD15" s="109"/>
      <c r="SE15" s="109"/>
      <c r="SF15" s="109"/>
      <c r="SG15" s="109"/>
      <c r="SH15" s="109"/>
      <c r="SI15" s="109"/>
      <c r="SJ15" s="109"/>
      <c r="SK15" s="109"/>
      <c r="SL15" s="109"/>
      <c r="SM15" s="109"/>
      <c r="SN15" s="109"/>
      <c r="SO15" s="109"/>
      <c r="SP15" s="109"/>
      <c r="SQ15" s="109"/>
      <c r="SR15" s="109"/>
      <c r="SS15" s="109"/>
      <c r="ST15" s="109"/>
      <c r="SU15" s="109"/>
      <c r="SV15" s="109"/>
      <c r="SW15" s="109"/>
      <c r="SX15" s="109"/>
      <c r="SY15" s="109"/>
      <c r="SZ15" s="109"/>
      <c r="TA15" s="109"/>
      <c r="TB15" s="109"/>
      <c r="TC15" s="109"/>
      <c r="TD15" s="109"/>
      <c r="TE15" s="109"/>
      <c r="TF15" s="109"/>
      <c r="TG15" s="109"/>
      <c r="TH15" s="109"/>
      <c r="TI15" s="109"/>
      <c r="TJ15" s="109"/>
      <c r="TK15" s="109"/>
      <c r="TL15" s="109"/>
      <c r="TM15" s="109"/>
      <c r="TN15" s="109"/>
      <c r="TO15" s="109"/>
      <c r="TP15" s="109"/>
      <c r="TQ15" s="109"/>
      <c r="TR15" s="109"/>
      <c r="TS15" s="109"/>
      <c r="TT15" s="109"/>
      <c r="TU15" s="109"/>
      <c r="TV15" s="109"/>
      <c r="TW15" s="109"/>
      <c r="TX15" s="109"/>
      <c r="TY15" s="109"/>
      <c r="TZ15" s="109"/>
      <c r="UA15" s="109"/>
      <c r="UB15" s="109"/>
      <c r="UC15" s="109"/>
      <c r="UD15" s="109"/>
      <c r="UE15" s="109"/>
      <c r="UF15" s="109"/>
      <c r="UG15" s="109"/>
      <c r="UH15" s="109"/>
      <c r="UI15" s="109"/>
      <c r="UJ15" s="109"/>
      <c r="UK15" s="109"/>
      <c r="UL15" s="109"/>
      <c r="UM15" s="109"/>
      <c r="UN15" s="109"/>
      <c r="UO15" s="109"/>
      <c r="UP15" s="109"/>
      <c r="UQ15" s="109"/>
      <c r="UR15" s="109"/>
      <c r="US15" s="109"/>
      <c r="UT15" s="109"/>
      <c r="UU15" s="109"/>
      <c r="UV15" s="109"/>
      <c r="UW15" s="109"/>
      <c r="UX15" s="109"/>
      <c r="UY15" s="109"/>
      <c r="UZ15" s="109"/>
      <c r="VA15" s="109"/>
      <c r="VB15" s="109"/>
      <c r="VC15" s="109"/>
      <c r="VD15" s="109"/>
      <c r="VE15" s="109"/>
      <c r="VF15" s="109"/>
      <c r="VG15" s="109"/>
      <c r="VH15" s="109"/>
      <c r="VI15" s="109"/>
      <c r="VJ15" s="109"/>
      <c r="VK15" s="109"/>
      <c r="VL15" s="109"/>
      <c r="VM15" s="109"/>
      <c r="VN15" s="109"/>
      <c r="VO15" s="109"/>
      <c r="VP15" s="109"/>
      <c r="VQ15" s="109"/>
      <c r="VR15" s="109"/>
      <c r="VS15" s="109"/>
      <c r="VT15" s="109"/>
      <c r="VU15" s="109"/>
      <c r="VV15" s="109"/>
      <c r="VW15" s="109"/>
      <c r="VX15" s="109"/>
      <c r="VY15" s="109"/>
      <c r="VZ15" s="109"/>
      <c r="WA15" s="109"/>
      <c r="WB15" s="109"/>
      <c r="WC15" s="109"/>
      <c r="WD15" s="109"/>
      <c r="WE15" s="109"/>
      <c r="WF15" s="109"/>
      <c r="WG15" s="109"/>
      <c r="WH15" s="109"/>
      <c r="WI15" s="109"/>
      <c r="WJ15" s="109"/>
      <c r="WK15" s="109"/>
      <c r="WL15" s="109"/>
      <c r="WM15" s="109"/>
      <c r="WN15" s="109"/>
      <c r="WO15" s="109"/>
      <c r="WP15" s="109"/>
      <c r="WQ15" s="109"/>
      <c r="WR15" s="109"/>
      <c r="WS15" s="109"/>
      <c r="WT15" s="109"/>
      <c r="WU15" s="109"/>
      <c r="WV15" s="109"/>
      <c r="WW15" s="109"/>
      <c r="WX15" s="109"/>
      <c r="WY15" s="109"/>
      <c r="WZ15" s="109"/>
      <c r="XA15" s="109"/>
      <c r="XB15" s="109"/>
      <c r="XC15" s="109"/>
      <c r="XD15" s="109"/>
      <c r="XE15" s="109"/>
      <c r="XF15" s="109"/>
      <c r="XG15" s="109"/>
      <c r="XH15" s="109"/>
      <c r="XI15" s="109"/>
      <c r="XJ15" s="109"/>
      <c r="XK15" s="109"/>
      <c r="XL15" s="109"/>
      <c r="XM15" s="109"/>
      <c r="XN15" s="109"/>
      <c r="XO15" s="109"/>
      <c r="XP15" s="109"/>
      <c r="XQ15" s="109"/>
      <c r="XR15" s="109"/>
      <c r="XS15" s="109"/>
      <c r="XT15" s="109"/>
      <c r="XU15" s="109"/>
      <c r="XV15" s="109"/>
      <c r="XW15" s="109"/>
      <c r="XX15" s="109"/>
      <c r="XY15" s="109"/>
      <c r="XZ15" s="109"/>
      <c r="YA15" s="109"/>
      <c r="YB15" s="109"/>
      <c r="YC15" s="109"/>
      <c r="YD15" s="109"/>
      <c r="YE15" s="109"/>
      <c r="YF15" s="109"/>
      <c r="YG15" s="109"/>
      <c r="YH15" s="109"/>
      <c r="YI15" s="109"/>
      <c r="YJ15" s="109"/>
      <c r="YK15" s="109"/>
      <c r="YL15" s="109"/>
      <c r="YM15" s="109"/>
      <c r="YN15" s="109"/>
      <c r="YO15" s="109"/>
      <c r="YP15" s="109"/>
      <c r="YQ15" s="109"/>
      <c r="YR15" s="109"/>
      <c r="YS15" s="109"/>
      <c r="YT15" s="109"/>
      <c r="YU15" s="109"/>
      <c r="YV15" s="109"/>
      <c r="YW15" s="109"/>
      <c r="YX15" s="109"/>
      <c r="YY15" s="109"/>
      <c r="YZ15" s="109"/>
      <c r="ZA15" s="109"/>
      <c r="ZB15" s="109"/>
      <c r="ZC15" s="109"/>
      <c r="ZD15" s="109"/>
      <c r="ZE15" s="109"/>
      <c r="ZF15" s="109"/>
      <c r="ZG15" s="109"/>
      <c r="ZH15" s="109"/>
      <c r="ZI15" s="109"/>
      <c r="ZJ15" s="109"/>
      <c r="ZK15" s="109"/>
      <c r="ZL15" s="109"/>
      <c r="ZM15" s="109"/>
      <c r="ZN15" s="109"/>
      <c r="ZO15" s="109"/>
      <c r="ZP15" s="109"/>
      <c r="ZQ15" s="109"/>
      <c r="ZR15" s="109"/>
      <c r="ZS15" s="109"/>
      <c r="ZT15" s="109"/>
      <c r="ZU15" s="109"/>
      <c r="ZV15" s="109"/>
      <c r="ZW15" s="109"/>
      <c r="ZX15" s="109"/>
      <c r="ZY15" s="109"/>
      <c r="ZZ15" s="109"/>
      <c r="AAA15" s="109"/>
      <c r="AAB15" s="109"/>
      <c r="AAC15" s="109"/>
      <c r="AAD15" s="109"/>
      <c r="AAE15" s="109"/>
      <c r="AAF15" s="109"/>
      <c r="AAG15" s="109"/>
      <c r="AAH15" s="109"/>
      <c r="AAI15" s="109"/>
      <c r="AAJ15" s="109"/>
      <c r="AAK15" s="109"/>
      <c r="AAL15" s="109"/>
      <c r="AAM15" s="109"/>
      <c r="AAN15" s="109"/>
      <c r="AAO15" s="109"/>
      <c r="AAP15" s="109"/>
      <c r="AAQ15" s="109"/>
      <c r="AAR15" s="109"/>
      <c r="AAS15" s="109"/>
      <c r="AAT15" s="109"/>
      <c r="AAU15" s="109"/>
      <c r="AAV15" s="109"/>
      <c r="AAW15" s="109"/>
      <c r="AAX15" s="109"/>
      <c r="AAY15" s="109"/>
      <c r="AAZ15" s="109"/>
      <c r="ABA15" s="109"/>
      <c r="ABB15" s="109"/>
      <c r="ABC15" s="109"/>
      <c r="ABD15" s="109"/>
      <c r="ABE15" s="109"/>
      <c r="ABF15" s="109"/>
      <c r="ABG15" s="109"/>
      <c r="ABH15" s="109"/>
      <c r="ABI15" s="109"/>
      <c r="ABJ15" s="109"/>
      <c r="ABK15" s="109"/>
      <c r="ABL15" s="109"/>
      <c r="ABM15" s="109"/>
      <c r="ABN15" s="109"/>
      <c r="ABO15" s="109"/>
      <c r="ABP15" s="109"/>
      <c r="ABQ15" s="109"/>
      <c r="ABR15" s="109"/>
      <c r="ABS15" s="109"/>
      <c r="ABT15" s="109"/>
      <c r="ABU15" s="109"/>
      <c r="ABV15" s="109"/>
      <c r="ABW15" s="109"/>
      <c r="ABX15" s="109"/>
      <c r="ABY15" s="109"/>
      <c r="ABZ15" s="109"/>
      <c r="ACA15" s="109"/>
      <c r="ACB15" s="109"/>
      <c r="ACC15" s="109"/>
      <c r="ACD15" s="109"/>
      <c r="ACE15" s="109"/>
      <c r="ACF15" s="109"/>
      <c r="ACG15" s="109"/>
      <c r="ACH15" s="109"/>
      <c r="ACI15" s="109"/>
      <c r="ACJ15" s="109"/>
      <c r="ACK15" s="109"/>
      <c r="ACL15" s="109"/>
      <c r="ACM15" s="109"/>
      <c r="ACN15" s="109"/>
      <c r="ACO15" s="109"/>
      <c r="ACP15" s="109"/>
      <c r="ACQ15" s="109"/>
      <c r="ACR15" s="109"/>
      <c r="ACS15" s="109"/>
      <c r="ACT15" s="109"/>
      <c r="ACU15" s="109"/>
      <c r="ACV15" s="109"/>
      <c r="ACW15" s="109"/>
      <c r="ACX15" s="109"/>
      <c r="ACY15" s="109"/>
      <c r="ACZ15" s="109"/>
      <c r="ADA15" s="109"/>
      <c r="ADB15" s="109"/>
      <c r="ADC15" s="109"/>
      <c r="ADD15" s="109"/>
      <c r="ADE15" s="109"/>
      <c r="ADF15" s="109"/>
      <c r="ADG15" s="109"/>
      <c r="ADH15" s="109"/>
      <c r="ADI15" s="109"/>
      <c r="ADJ15" s="109"/>
      <c r="ADK15" s="109"/>
      <c r="ADL15" s="109"/>
      <c r="ADM15" s="109"/>
      <c r="ADN15" s="109"/>
      <c r="ADO15" s="109"/>
      <c r="ADP15" s="109"/>
      <c r="ADQ15" s="109"/>
      <c r="ADR15" s="109"/>
      <c r="ADS15" s="109"/>
      <c r="ADT15" s="109"/>
      <c r="ADU15" s="109"/>
      <c r="ADV15" s="109"/>
      <c r="ADW15" s="109"/>
      <c r="ADX15" s="109"/>
      <c r="ADY15" s="109"/>
      <c r="ADZ15" s="109"/>
      <c r="AEA15" s="109"/>
      <c r="AEB15" s="109"/>
      <c r="AEC15" s="109"/>
      <c r="AED15" s="109"/>
      <c r="AEE15" s="109"/>
      <c r="AEF15" s="109"/>
      <c r="AEG15" s="109"/>
      <c r="AEH15" s="109"/>
      <c r="AEI15" s="109"/>
      <c r="AEJ15" s="109"/>
      <c r="AEK15" s="109"/>
      <c r="AEL15" s="109"/>
      <c r="AEM15" s="109"/>
      <c r="AEN15" s="109"/>
      <c r="AEO15" s="109"/>
      <c r="AEP15" s="109"/>
      <c r="AEQ15" s="109"/>
      <c r="AER15" s="109"/>
      <c r="AES15" s="109"/>
      <c r="AET15" s="109"/>
      <c r="AEU15" s="109"/>
      <c r="AEV15" s="109"/>
      <c r="AEW15" s="109"/>
      <c r="AEX15" s="109"/>
      <c r="AEY15" s="109"/>
      <c r="AEZ15" s="109"/>
      <c r="AFA15" s="109"/>
      <c r="AFB15" s="109"/>
      <c r="AFC15" s="109"/>
      <c r="AFD15" s="109"/>
      <c r="AFE15" s="109"/>
      <c r="AFF15" s="109"/>
      <c r="AFG15" s="109"/>
      <c r="AFH15" s="109"/>
      <c r="AFI15" s="109"/>
      <c r="AFJ15" s="109"/>
      <c r="AFK15" s="109"/>
      <c r="AFL15" s="109"/>
      <c r="AFM15" s="109"/>
      <c r="AFN15" s="109"/>
      <c r="AFO15" s="109"/>
      <c r="AFP15" s="109"/>
      <c r="AFQ15" s="109"/>
      <c r="AFR15" s="109"/>
      <c r="AFS15" s="109"/>
      <c r="AFT15" s="109"/>
      <c r="AFU15" s="109"/>
      <c r="AFV15" s="109"/>
      <c r="AFW15" s="109"/>
      <c r="AFX15" s="109"/>
      <c r="AFY15" s="109"/>
      <c r="AFZ15" s="109"/>
      <c r="AGA15" s="109"/>
      <c r="AGB15" s="109"/>
      <c r="AGC15" s="109"/>
      <c r="AGD15" s="109"/>
      <c r="AGE15" s="109"/>
      <c r="AGF15" s="109"/>
      <c r="AGG15" s="109"/>
      <c r="AGH15" s="109"/>
      <c r="AGI15" s="109"/>
      <c r="AGJ15" s="109"/>
      <c r="AGK15" s="109"/>
      <c r="AGL15" s="109"/>
      <c r="AGM15" s="109"/>
      <c r="AGN15" s="109"/>
      <c r="AGO15" s="109"/>
      <c r="AGP15" s="109"/>
      <c r="AGQ15" s="109"/>
      <c r="AGR15" s="109"/>
      <c r="AGS15" s="109"/>
      <c r="AGT15" s="109"/>
      <c r="AGU15" s="109"/>
      <c r="AGV15" s="109"/>
      <c r="AGW15" s="109"/>
      <c r="AGX15" s="109"/>
      <c r="AGY15" s="109"/>
      <c r="AGZ15" s="109"/>
      <c r="AHA15" s="109"/>
      <c r="AHB15" s="109"/>
      <c r="AHC15" s="109"/>
      <c r="AHD15" s="109"/>
      <c r="AHE15" s="109"/>
      <c r="AHF15" s="109"/>
      <c r="AHG15" s="109"/>
      <c r="AHH15" s="109"/>
      <c r="AHI15" s="109"/>
      <c r="AHJ15" s="109"/>
      <c r="AHK15" s="109"/>
      <c r="AHL15" s="109"/>
      <c r="AHM15" s="109"/>
      <c r="AHN15" s="109"/>
      <c r="AHO15" s="109"/>
      <c r="AHP15" s="109"/>
      <c r="AHQ15" s="109"/>
      <c r="AHR15" s="109"/>
      <c r="AHS15" s="109"/>
      <c r="AHT15" s="109"/>
      <c r="AHU15" s="109"/>
      <c r="AHV15" s="109"/>
      <c r="AHW15" s="109"/>
      <c r="AHX15" s="109"/>
      <c r="AHY15" s="109"/>
      <c r="AHZ15" s="109"/>
      <c r="AIA15" s="109"/>
      <c r="AIB15" s="109"/>
      <c r="AIC15" s="109"/>
      <c r="AID15" s="109"/>
      <c r="AIE15" s="109"/>
      <c r="AIF15" s="109"/>
      <c r="AIG15" s="109"/>
      <c r="AIH15" s="109"/>
      <c r="AII15" s="109"/>
      <c r="AIJ15" s="109"/>
      <c r="AIK15" s="109"/>
      <c r="AIL15" s="109"/>
      <c r="AIM15" s="109"/>
      <c r="AIN15" s="109"/>
      <c r="AIO15" s="109"/>
      <c r="AIP15" s="109"/>
      <c r="AIQ15" s="109"/>
      <c r="AIR15" s="109"/>
      <c r="AIS15" s="109"/>
      <c r="AIT15" s="109"/>
      <c r="AIU15" s="109"/>
      <c r="AIV15" s="109"/>
      <c r="AIW15" s="109"/>
      <c r="AIX15" s="109"/>
      <c r="AIY15" s="109"/>
      <c r="AIZ15" s="109"/>
      <c r="AJA15" s="109"/>
      <c r="AJB15" s="109"/>
      <c r="AJC15" s="109"/>
      <c r="AJD15" s="109"/>
      <c r="AJE15" s="109"/>
      <c r="AJF15" s="109"/>
      <c r="AJG15" s="109"/>
      <c r="AJH15" s="109"/>
      <c r="AJI15" s="109"/>
      <c r="AJJ15" s="109"/>
      <c r="AJK15" s="109"/>
      <c r="AJL15" s="109"/>
      <c r="AJM15" s="109"/>
      <c r="AJN15" s="109"/>
      <c r="AJO15" s="109"/>
      <c r="AJP15" s="109"/>
      <c r="AJQ15" s="109"/>
      <c r="AJR15" s="109"/>
      <c r="AJS15" s="109"/>
      <c r="AJT15" s="109"/>
      <c r="AJU15" s="109"/>
      <c r="AJV15" s="109"/>
      <c r="AJW15" s="109"/>
      <c r="AJX15" s="109"/>
      <c r="AJY15" s="109"/>
      <c r="AJZ15" s="109"/>
      <c r="AKA15" s="109"/>
      <c r="AKB15" s="109"/>
      <c r="AKC15" s="109"/>
      <c r="AKD15" s="109"/>
      <c r="AKE15" s="109"/>
      <c r="AKF15" s="109"/>
      <c r="AKG15" s="109"/>
      <c r="AKH15" s="109"/>
      <c r="AKI15" s="109"/>
      <c r="AKJ15" s="109"/>
      <c r="AKK15" s="109"/>
      <c r="AKL15" s="109"/>
      <c r="AKM15" s="109"/>
      <c r="AKN15" s="109"/>
      <c r="AKO15" s="109"/>
      <c r="AKP15" s="109"/>
      <c r="AKQ15" s="109"/>
      <c r="AKR15" s="109"/>
      <c r="AKS15" s="109"/>
      <c r="AKT15" s="109"/>
      <c r="AKU15" s="109"/>
      <c r="AKV15" s="109"/>
      <c r="AKW15" s="109"/>
      <c r="AKX15" s="109"/>
      <c r="AKY15" s="109"/>
      <c r="AKZ15" s="109"/>
      <c r="ALA15" s="109"/>
      <c r="ALB15" s="109"/>
      <c r="ALC15" s="109"/>
      <c r="ALD15" s="109"/>
      <c r="ALE15" s="109"/>
      <c r="ALF15" s="109"/>
      <c r="ALG15" s="109"/>
      <c r="ALH15" s="109"/>
      <c r="ALI15" s="109"/>
      <c r="ALJ15" s="109"/>
      <c r="ALK15" s="109"/>
      <c r="ALL15" s="109"/>
      <c r="ALM15" s="109"/>
      <c r="ALN15" s="109"/>
      <c r="ALO15" s="109"/>
      <c r="ALP15" s="109"/>
      <c r="ALQ15" s="109"/>
      <c r="ALR15" s="109"/>
      <c r="ALS15" s="109"/>
      <c r="ALT15" s="109"/>
      <c r="ALU15" s="109"/>
      <c r="ALV15" s="109"/>
      <c r="ALW15" s="109"/>
      <c r="ALX15" s="109"/>
      <c r="ALY15" s="109"/>
      <c r="ALZ15" s="109"/>
      <c r="AMA15" s="109"/>
      <c r="AMB15" s="109"/>
      <c r="AMC15" s="109"/>
      <c r="AMD15" s="109"/>
      <c r="AME15" s="109"/>
      <c r="AMF15" s="109"/>
      <c r="AMG15" s="109"/>
      <c r="AMH15" s="109"/>
      <c r="AMI15" s="109"/>
      <c r="AMJ15" s="109"/>
      <c r="AMK15" s="109"/>
      <c r="AML15" s="109"/>
      <c r="AMM15" s="109"/>
      <c r="AMN15" s="109"/>
      <c r="AMO15" s="109"/>
      <c r="AMP15" s="109"/>
      <c r="AMQ15" s="109"/>
      <c r="AMR15" s="109"/>
      <c r="AMS15" s="109"/>
      <c r="AMT15" s="109"/>
      <c r="AMU15" s="109"/>
      <c r="AMV15" s="109"/>
      <c r="AMW15" s="109"/>
      <c r="AMX15" s="109"/>
      <c r="AMY15" s="109"/>
      <c r="AMZ15" s="109"/>
      <c r="ANA15" s="109"/>
      <c r="ANB15" s="109"/>
      <c r="ANC15" s="109"/>
      <c r="AND15" s="109"/>
      <c r="ANE15" s="109"/>
      <c r="ANF15" s="109"/>
      <c r="ANG15" s="109"/>
      <c r="ANH15" s="109"/>
      <c r="ANI15" s="109"/>
      <c r="ANJ15" s="109"/>
      <c r="ANK15" s="109"/>
      <c r="ANL15" s="109"/>
      <c r="ANM15" s="109"/>
      <c r="ANN15" s="109"/>
      <c r="ANO15" s="109"/>
      <c r="ANP15" s="109"/>
      <c r="ANQ15" s="109"/>
      <c r="ANR15" s="109"/>
      <c r="ANS15" s="109"/>
      <c r="ANT15" s="109"/>
      <c r="ANU15" s="109"/>
      <c r="ANV15" s="109"/>
      <c r="ANW15" s="109"/>
      <c r="ANX15" s="109"/>
      <c r="ANY15" s="109"/>
      <c r="ANZ15" s="109"/>
      <c r="AOA15" s="109"/>
      <c r="AOB15" s="109"/>
      <c r="AOC15" s="109"/>
      <c r="AOD15" s="109"/>
      <c r="AOE15" s="109"/>
      <c r="AOF15" s="109"/>
      <c r="AOG15" s="109"/>
      <c r="AOH15" s="109"/>
      <c r="AOI15" s="109"/>
      <c r="AOJ15" s="109"/>
      <c r="AOK15" s="109"/>
      <c r="AOL15" s="109"/>
      <c r="AOM15" s="109"/>
      <c r="AON15" s="109"/>
      <c r="AOO15" s="109"/>
      <c r="AOP15" s="109"/>
      <c r="AOQ15" s="109"/>
      <c r="AOR15" s="109"/>
      <c r="AOS15" s="109"/>
      <c r="AOT15" s="109"/>
      <c r="AOU15" s="109"/>
      <c r="AOV15" s="109"/>
      <c r="AOW15" s="109"/>
      <c r="AOX15" s="109"/>
      <c r="AOY15" s="109"/>
      <c r="AOZ15" s="109"/>
      <c r="APA15" s="109"/>
      <c r="APB15" s="109"/>
      <c r="APC15" s="109"/>
      <c r="APD15" s="109"/>
      <c r="APE15" s="109"/>
      <c r="APF15" s="109"/>
      <c r="APG15" s="109"/>
      <c r="APH15" s="109"/>
      <c r="API15" s="109"/>
      <c r="APJ15" s="109"/>
      <c r="APK15" s="109"/>
      <c r="APL15" s="109"/>
      <c r="APM15" s="109"/>
      <c r="APN15" s="109"/>
      <c r="APO15" s="109"/>
      <c r="APP15" s="109"/>
      <c r="APQ15" s="109"/>
      <c r="APR15" s="109"/>
      <c r="APS15" s="109"/>
      <c r="APT15" s="109"/>
      <c r="APU15" s="109"/>
      <c r="APV15" s="109"/>
      <c r="APW15" s="109"/>
      <c r="APX15" s="109"/>
      <c r="APY15" s="109"/>
      <c r="APZ15" s="109"/>
      <c r="AQA15" s="109"/>
      <c r="AQB15" s="109"/>
      <c r="AQC15" s="109"/>
      <c r="AQD15" s="109"/>
      <c r="AQE15" s="109"/>
      <c r="AQF15" s="109"/>
      <c r="AQG15" s="109"/>
      <c r="AQH15" s="109"/>
      <c r="AQI15" s="109"/>
      <c r="AQJ15" s="109"/>
      <c r="AQK15" s="109"/>
      <c r="AQL15" s="109"/>
      <c r="AQM15" s="109"/>
      <c r="AQN15" s="109"/>
      <c r="AQO15" s="109"/>
      <c r="AQP15" s="109"/>
      <c r="AQQ15" s="109"/>
      <c r="AQR15" s="109"/>
      <c r="AQS15" s="109"/>
      <c r="AQT15" s="109"/>
      <c r="AQU15" s="109"/>
      <c r="AQV15" s="109"/>
      <c r="AQW15" s="109"/>
      <c r="AQX15" s="109"/>
      <c r="AQY15" s="109"/>
      <c r="AQZ15" s="109"/>
      <c r="ARA15" s="109"/>
      <c r="ARB15" s="109"/>
      <c r="ARC15" s="109"/>
      <c r="ARD15" s="109"/>
      <c r="ARE15" s="109"/>
      <c r="ARF15" s="109"/>
      <c r="ARG15" s="109"/>
      <c r="ARH15" s="109"/>
      <c r="ARI15" s="109"/>
      <c r="ARJ15" s="109"/>
      <c r="ARK15" s="109"/>
      <c r="ARL15" s="109"/>
      <c r="ARM15" s="109"/>
      <c r="ARN15" s="109"/>
      <c r="ARO15" s="109"/>
      <c r="ARP15" s="109"/>
      <c r="ARQ15" s="109"/>
      <c r="ARR15" s="109"/>
      <c r="ARS15" s="109"/>
      <c r="ART15" s="109"/>
      <c r="ARU15" s="109"/>
      <c r="ARV15" s="109"/>
      <c r="ARW15" s="109"/>
      <c r="ARX15" s="109"/>
      <c r="ARY15" s="109"/>
      <c r="ARZ15" s="109"/>
      <c r="ASA15" s="109"/>
      <c r="ASB15" s="109"/>
      <c r="ASC15" s="109"/>
      <c r="ASD15" s="109"/>
      <c r="ASE15" s="109"/>
      <c r="ASF15" s="109"/>
      <c r="ASG15" s="109"/>
      <c r="ASH15" s="109"/>
      <c r="ASI15" s="109"/>
      <c r="ASJ15" s="109"/>
      <c r="ASK15" s="109"/>
      <c r="ASL15" s="109"/>
      <c r="ASM15" s="109"/>
      <c r="ASN15" s="109"/>
      <c r="ASO15" s="109"/>
      <c r="ASP15" s="109"/>
      <c r="ASQ15" s="109"/>
      <c r="ASR15" s="109"/>
      <c r="ASS15" s="109"/>
      <c r="AST15" s="109"/>
      <c r="ASU15" s="109"/>
      <c r="ASV15" s="109"/>
      <c r="ASW15" s="109"/>
      <c r="ASX15" s="109"/>
      <c r="ASY15" s="109"/>
      <c r="ASZ15" s="109"/>
      <c r="ATA15" s="109"/>
      <c r="ATB15" s="109"/>
      <c r="ATC15" s="109"/>
      <c r="ATD15" s="109"/>
      <c r="ATE15" s="109"/>
      <c r="ATF15" s="109"/>
      <c r="ATG15" s="109"/>
      <c r="ATH15" s="109"/>
      <c r="ATI15" s="109"/>
      <c r="ATJ15" s="109"/>
      <c r="ATK15" s="109"/>
      <c r="ATL15" s="109"/>
      <c r="ATM15" s="109"/>
      <c r="ATN15" s="109"/>
      <c r="ATO15" s="109"/>
      <c r="ATP15" s="109"/>
      <c r="ATQ15" s="109"/>
      <c r="ATR15" s="109"/>
      <c r="ATS15" s="109"/>
      <c r="ATT15" s="109"/>
      <c r="ATU15" s="109"/>
      <c r="ATV15" s="109"/>
      <c r="ATW15" s="109"/>
      <c r="ATX15" s="109"/>
      <c r="ATY15" s="109"/>
      <c r="ATZ15" s="109"/>
      <c r="AUA15" s="109"/>
      <c r="AUB15" s="109"/>
      <c r="AUC15" s="109"/>
      <c r="AUD15" s="109"/>
      <c r="AUE15" s="109"/>
      <c r="AUF15" s="109"/>
      <c r="AUG15" s="109"/>
      <c r="AUH15" s="109"/>
      <c r="AUI15" s="109"/>
      <c r="AUJ15" s="109"/>
      <c r="AUK15" s="109"/>
      <c r="AUL15" s="109"/>
      <c r="AUM15" s="109"/>
      <c r="AUN15" s="109"/>
      <c r="AUO15" s="109"/>
      <c r="AUP15" s="109"/>
      <c r="AUQ15" s="109"/>
      <c r="AUR15" s="109"/>
      <c r="AUS15" s="109"/>
      <c r="AUT15" s="109"/>
      <c r="AUU15" s="109"/>
      <c r="AUV15" s="109"/>
      <c r="AUW15" s="109"/>
      <c r="AUX15" s="109"/>
      <c r="AUY15" s="109"/>
      <c r="AUZ15" s="109"/>
      <c r="AVA15" s="109"/>
      <c r="AVB15" s="109"/>
      <c r="AVC15" s="109"/>
      <c r="AVD15" s="109"/>
      <c r="AVE15" s="109"/>
      <c r="AVF15" s="109"/>
      <c r="AVG15" s="109"/>
      <c r="AVH15" s="109"/>
      <c r="AVI15" s="109"/>
      <c r="AVJ15" s="109"/>
      <c r="AVK15" s="109"/>
      <c r="AVL15" s="109"/>
      <c r="AVM15" s="109"/>
      <c r="AVN15" s="109"/>
      <c r="AVO15" s="109"/>
      <c r="AVP15" s="109"/>
      <c r="AVQ15" s="109"/>
      <c r="AVR15" s="109"/>
      <c r="AVS15" s="109"/>
      <c r="AVT15" s="109"/>
      <c r="AVU15" s="109"/>
      <c r="AVV15" s="109"/>
      <c r="AVW15" s="109"/>
      <c r="AVX15" s="109"/>
      <c r="AVY15" s="109"/>
      <c r="AVZ15" s="109"/>
      <c r="AWA15" s="109"/>
      <c r="AWB15" s="109"/>
      <c r="AWC15" s="109"/>
      <c r="AWD15" s="109"/>
      <c r="AWE15" s="109"/>
      <c r="AWF15" s="109"/>
      <c r="AWG15" s="109"/>
      <c r="AWH15" s="109"/>
      <c r="AWI15" s="109"/>
      <c r="AWJ15" s="109"/>
      <c r="AWK15" s="109"/>
      <c r="AWL15" s="109"/>
      <c r="AWM15" s="109"/>
      <c r="AWN15" s="109"/>
      <c r="AWO15" s="109"/>
      <c r="AWP15" s="109"/>
      <c r="AWQ15" s="109"/>
      <c r="AWR15" s="109"/>
      <c r="AWS15" s="109"/>
      <c r="AWT15" s="109"/>
      <c r="AWU15" s="109"/>
      <c r="AWV15" s="109"/>
      <c r="AWW15" s="109"/>
      <c r="AWX15" s="109"/>
      <c r="AWY15" s="109"/>
      <c r="AWZ15" s="109"/>
      <c r="AXA15" s="109"/>
      <c r="AXB15" s="109"/>
      <c r="AXC15" s="109"/>
      <c r="AXD15" s="109"/>
      <c r="AXE15" s="109"/>
      <c r="AXF15" s="109"/>
      <c r="AXG15" s="109"/>
      <c r="AXH15" s="109"/>
      <c r="AXI15" s="109"/>
      <c r="AXJ15" s="109"/>
      <c r="AXK15" s="109"/>
      <c r="AXL15" s="109"/>
      <c r="AXM15" s="109"/>
      <c r="AXN15" s="109"/>
      <c r="AXO15" s="109"/>
      <c r="AXP15" s="109"/>
      <c r="AXQ15" s="109"/>
      <c r="AXR15" s="109"/>
      <c r="AXS15" s="109"/>
      <c r="AXT15" s="109"/>
      <c r="AXU15" s="109"/>
      <c r="AXV15" s="109"/>
      <c r="AXW15" s="109"/>
      <c r="AXX15" s="109"/>
      <c r="AXY15" s="109"/>
      <c r="AXZ15" s="109"/>
      <c r="AYA15" s="109"/>
      <c r="AYB15" s="109"/>
      <c r="AYC15" s="109"/>
      <c r="AYD15" s="109"/>
      <c r="AYE15" s="109"/>
      <c r="AYF15" s="109"/>
      <c r="AYG15" s="109"/>
      <c r="AYH15" s="109"/>
      <c r="AYI15" s="109"/>
      <c r="AYJ15" s="109"/>
      <c r="AYK15" s="109"/>
      <c r="AYL15" s="109"/>
      <c r="AYM15" s="109"/>
      <c r="AYN15" s="109"/>
      <c r="AYO15" s="109"/>
      <c r="AYP15" s="109"/>
      <c r="AYQ15" s="109"/>
      <c r="AYR15" s="109"/>
      <c r="AYS15" s="109"/>
      <c r="AYT15" s="109"/>
      <c r="AYU15" s="109"/>
      <c r="AYV15" s="109"/>
      <c r="AYW15" s="109"/>
      <c r="AYX15" s="109"/>
      <c r="AYY15" s="109"/>
      <c r="AYZ15" s="109"/>
      <c r="AZA15" s="109"/>
      <c r="AZB15" s="109"/>
      <c r="AZC15" s="109"/>
      <c r="AZD15" s="109"/>
      <c r="AZE15" s="109"/>
      <c r="AZF15" s="109"/>
      <c r="AZG15" s="109"/>
      <c r="AZH15" s="109"/>
      <c r="AZI15" s="109"/>
      <c r="AZJ15" s="109"/>
      <c r="AZK15" s="109"/>
      <c r="AZL15" s="109"/>
      <c r="AZM15" s="109"/>
      <c r="AZN15" s="109"/>
      <c r="AZO15" s="109"/>
      <c r="AZP15" s="109"/>
      <c r="AZQ15" s="109"/>
      <c r="AZR15" s="109"/>
      <c r="AZS15" s="109"/>
      <c r="AZT15" s="109"/>
      <c r="AZU15" s="109"/>
      <c r="AZV15" s="109"/>
      <c r="AZW15" s="109"/>
      <c r="AZX15" s="109"/>
      <c r="AZY15" s="109"/>
      <c r="AZZ15" s="109"/>
      <c r="BAA15" s="109"/>
      <c r="BAB15" s="109"/>
      <c r="BAC15" s="109"/>
      <c r="BAD15" s="109"/>
      <c r="BAE15" s="109"/>
      <c r="BAF15" s="109"/>
      <c r="BAG15" s="109"/>
      <c r="BAH15" s="109"/>
      <c r="BAI15" s="109"/>
      <c r="BAJ15" s="109"/>
      <c r="BAK15" s="109"/>
      <c r="BAL15" s="109"/>
      <c r="BAM15" s="109"/>
      <c r="BAN15" s="109"/>
      <c r="BAO15" s="109"/>
      <c r="BAP15" s="109"/>
      <c r="BAQ15" s="109"/>
      <c r="BAR15" s="109"/>
      <c r="BAS15" s="109"/>
      <c r="BAT15" s="109"/>
      <c r="BAU15" s="109"/>
      <c r="BAV15" s="109"/>
      <c r="BAW15" s="109"/>
      <c r="BAX15" s="109"/>
      <c r="BAY15" s="109"/>
      <c r="BAZ15" s="109"/>
      <c r="BBA15" s="109"/>
      <c r="BBB15" s="109"/>
      <c r="BBC15" s="109"/>
      <c r="BBD15" s="109"/>
      <c r="BBE15" s="109"/>
      <c r="BBF15" s="109"/>
      <c r="BBG15" s="109"/>
      <c r="BBH15" s="109"/>
      <c r="BBI15" s="109"/>
      <c r="BBJ15" s="109"/>
      <c r="BBK15" s="109"/>
      <c r="BBL15" s="109"/>
      <c r="BBM15" s="109"/>
      <c r="BBN15" s="109"/>
      <c r="BBO15" s="109"/>
      <c r="BBP15" s="109"/>
      <c r="BBQ15" s="109"/>
      <c r="BBR15" s="109"/>
      <c r="BBS15" s="109"/>
      <c r="BBT15" s="109"/>
      <c r="BBU15" s="109"/>
      <c r="BBV15" s="109"/>
      <c r="BBW15" s="109"/>
      <c r="BBX15" s="109"/>
      <c r="BBY15" s="109"/>
      <c r="BBZ15" s="109"/>
      <c r="BCA15" s="109"/>
      <c r="BCB15" s="109"/>
      <c r="BCC15" s="109"/>
      <c r="BCD15" s="109"/>
      <c r="BCE15" s="109"/>
      <c r="BCF15" s="109"/>
      <c r="BCG15" s="109"/>
      <c r="BCH15" s="109"/>
      <c r="BCI15" s="109"/>
      <c r="BCJ15" s="109"/>
      <c r="BCK15" s="109"/>
      <c r="BCL15" s="109"/>
      <c r="BCM15" s="109"/>
      <c r="BCN15" s="109"/>
      <c r="BCO15" s="109"/>
      <c r="BCP15" s="109"/>
      <c r="BCQ15" s="109"/>
      <c r="BCR15" s="109"/>
      <c r="BCS15" s="109"/>
      <c r="BCT15" s="109"/>
      <c r="BCU15" s="109"/>
      <c r="BCV15" s="109"/>
      <c r="BCW15" s="109"/>
      <c r="BCX15" s="109"/>
      <c r="BCY15" s="109"/>
      <c r="BCZ15" s="109"/>
      <c r="BDA15" s="109"/>
      <c r="BDB15" s="109"/>
      <c r="BDC15" s="109"/>
      <c r="BDD15" s="109"/>
      <c r="BDE15" s="109"/>
      <c r="BDF15" s="109"/>
      <c r="BDG15" s="109"/>
      <c r="BDH15" s="109"/>
      <c r="BDI15" s="109"/>
      <c r="BDJ15" s="109"/>
      <c r="BDK15" s="109"/>
      <c r="BDL15" s="109"/>
      <c r="BDM15" s="109"/>
      <c r="BDN15" s="109"/>
      <c r="BDO15" s="109"/>
      <c r="BDP15" s="109"/>
      <c r="BDQ15" s="109"/>
      <c r="BDR15" s="109"/>
      <c r="BDS15" s="109"/>
      <c r="BDT15" s="109"/>
      <c r="BDU15" s="109"/>
      <c r="BDV15" s="109"/>
      <c r="BDW15" s="109"/>
      <c r="BDX15" s="109"/>
      <c r="BDY15" s="109"/>
      <c r="BDZ15" s="109"/>
      <c r="BEA15" s="109"/>
      <c r="BEB15" s="109"/>
      <c r="BEC15" s="109"/>
      <c r="BED15" s="109"/>
      <c r="BEE15" s="109"/>
      <c r="BEF15" s="109"/>
      <c r="BEG15" s="109"/>
      <c r="BEH15" s="109"/>
      <c r="BEI15" s="109"/>
    </row>
    <row r="18" spans="1:1493" customFormat="1" x14ac:dyDescent="0.2"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09"/>
      <c r="DV18" s="109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/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/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/>
      <c r="KP18" s="109"/>
      <c r="KQ18" s="109"/>
      <c r="KR18" s="109"/>
      <c r="KS18" s="109"/>
      <c r="KT18" s="109"/>
      <c r="KU18" s="109"/>
      <c r="KV18" s="109"/>
      <c r="KW18" s="109"/>
      <c r="KX18" s="109"/>
      <c r="KY18" s="109"/>
      <c r="KZ18" s="109"/>
      <c r="LA18" s="109"/>
      <c r="LB18" s="109"/>
      <c r="LC18" s="109"/>
      <c r="LD18" s="109"/>
      <c r="LE18" s="109"/>
      <c r="LF18" s="109"/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109"/>
      <c r="NM18" s="109"/>
      <c r="NN18" s="109"/>
      <c r="NO18" s="109"/>
      <c r="NP18" s="109"/>
      <c r="NQ18" s="109"/>
      <c r="NR18" s="109"/>
      <c r="NS18" s="109"/>
      <c r="NT18" s="109"/>
      <c r="NU18" s="109"/>
      <c r="NV18" s="109"/>
      <c r="NW18" s="109"/>
      <c r="NX18" s="109"/>
      <c r="NY18" s="109"/>
      <c r="NZ18" s="109"/>
      <c r="OA18" s="109"/>
      <c r="OB18" s="109"/>
      <c r="OC18" s="109"/>
      <c r="OD18" s="109"/>
      <c r="OE18" s="109"/>
      <c r="OF18" s="109"/>
      <c r="OG18" s="109"/>
      <c r="OH18" s="109"/>
      <c r="OI18" s="109"/>
      <c r="OJ18" s="109"/>
      <c r="OK18" s="109"/>
      <c r="OL18" s="109"/>
      <c r="OM18" s="109"/>
      <c r="ON18" s="109"/>
      <c r="OO18" s="109"/>
      <c r="OP18" s="109"/>
      <c r="OQ18" s="109"/>
      <c r="OR18" s="109"/>
      <c r="OS18" s="109"/>
      <c r="OT18" s="109"/>
      <c r="OU18" s="109"/>
      <c r="OV18" s="109"/>
      <c r="OW18" s="109"/>
      <c r="OX18" s="109"/>
      <c r="OY18" s="109"/>
      <c r="OZ18" s="109"/>
      <c r="PA18" s="109"/>
      <c r="PB18" s="109"/>
      <c r="PC18" s="109"/>
      <c r="PD18" s="109"/>
      <c r="PE18" s="109"/>
      <c r="PF18" s="109"/>
      <c r="PG18" s="109"/>
      <c r="PH18" s="109"/>
      <c r="PI18" s="109"/>
      <c r="PJ18" s="109"/>
      <c r="PK18" s="109"/>
      <c r="PL18" s="109"/>
      <c r="PM18" s="109"/>
      <c r="PN18" s="109"/>
      <c r="PO18" s="109"/>
      <c r="PP18" s="109"/>
      <c r="PQ18" s="109"/>
      <c r="PR18" s="109"/>
      <c r="PS18" s="109"/>
      <c r="PT18" s="109"/>
      <c r="PU18" s="109"/>
      <c r="PV18" s="109"/>
      <c r="PW18" s="109"/>
      <c r="PX18" s="109"/>
      <c r="PY18" s="109"/>
      <c r="PZ18" s="109"/>
      <c r="QA18" s="109"/>
      <c r="QB18" s="109"/>
      <c r="QC18" s="109"/>
      <c r="QD18" s="109"/>
      <c r="QE18" s="109"/>
      <c r="QF18" s="109"/>
      <c r="QG18" s="109"/>
      <c r="QH18" s="109"/>
      <c r="QI18" s="109"/>
      <c r="QJ18" s="109"/>
      <c r="QK18" s="109"/>
      <c r="QL18" s="109"/>
      <c r="QM18" s="109"/>
      <c r="QN18" s="109"/>
      <c r="QO18" s="109"/>
      <c r="QP18" s="109"/>
      <c r="QQ18" s="109"/>
      <c r="QR18" s="109"/>
      <c r="QS18" s="109"/>
      <c r="QT18" s="109"/>
      <c r="QU18" s="109"/>
      <c r="QV18" s="109"/>
      <c r="QW18" s="109"/>
      <c r="QX18" s="109"/>
      <c r="QY18" s="109"/>
      <c r="QZ18" s="109"/>
      <c r="RA18" s="109"/>
      <c r="RB18" s="109"/>
      <c r="RC18" s="109"/>
      <c r="RD18" s="109"/>
      <c r="RE18" s="109"/>
      <c r="RF18" s="109"/>
      <c r="RG18" s="109"/>
      <c r="RH18" s="109"/>
      <c r="RI18" s="109"/>
      <c r="RJ18" s="109"/>
      <c r="RK18" s="109"/>
      <c r="RL18" s="109"/>
      <c r="RM18" s="109"/>
      <c r="RN18" s="109"/>
      <c r="RO18" s="109"/>
      <c r="RP18" s="109"/>
      <c r="RQ18" s="109"/>
      <c r="RR18" s="109"/>
      <c r="RS18" s="109"/>
      <c r="RT18" s="109"/>
      <c r="RU18" s="109"/>
      <c r="RV18" s="109"/>
      <c r="RW18" s="109"/>
      <c r="RX18" s="109"/>
      <c r="RY18" s="109"/>
      <c r="RZ18" s="109"/>
      <c r="SA18" s="109"/>
      <c r="SB18" s="109"/>
      <c r="SC18" s="109"/>
      <c r="SD18" s="109"/>
      <c r="SE18" s="109"/>
      <c r="SF18" s="109"/>
      <c r="SG18" s="109"/>
      <c r="SH18" s="109"/>
      <c r="SI18" s="109"/>
      <c r="SJ18" s="109"/>
      <c r="SK18" s="109"/>
      <c r="SL18" s="109"/>
      <c r="SM18" s="109"/>
      <c r="SN18" s="109"/>
      <c r="SO18" s="109"/>
      <c r="SP18" s="109"/>
      <c r="SQ18" s="109"/>
      <c r="SR18" s="109"/>
      <c r="SS18" s="109"/>
      <c r="ST18" s="109"/>
      <c r="SU18" s="109"/>
      <c r="SV18" s="109"/>
      <c r="SW18" s="109"/>
      <c r="SX18" s="109"/>
      <c r="SY18" s="109"/>
      <c r="SZ18" s="109"/>
      <c r="TA18" s="109"/>
      <c r="TB18" s="109"/>
      <c r="TC18" s="109"/>
      <c r="TD18" s="109"/>
      <c r="TE18" s="109"/>
      <c r="TF18" s="109"/>
      <c r="TG18" s="109"/>
      <c r="TH18" s="109"/>
      <c r="TI18" s="109"/>
      <c r="TJ18" s="109"/>
      <c r="TK18" s="109"/>
      <c r="TL18" s="109"/>
      <c r="TM18" s="109"/>
      <c r="TN18" s="109"/>
      <c r="TO18" s="109"/>
      <c r="TP18" s="109"/>
      <c r="TQ18" s="109"/>
      <c r="TR18" s="109"/>
      <c r="TS18" s="109"/>
      <c r="TT18" s="109"/>
      <c r="TU18" s="109"/>
      <c r="TV18" s="109"/>
      <c r="TW18" s="109"/>
      <c r="TX18" s="109"/>
      <c r="TY18" s="109"/>
      <c r="TZ18" s="109"/>
      <c r="UA18" s="109"/>
      <c r="UB18" s="109"/>
      <c r="UC18" s="109"/>
      <c r="UD18" s="109"/>
      <c r="UE18" s="109"/>
      <c r="UF18" s="109"/>
      <c r="UG18" s="109"/>
      <c r="UH18" s="109"/>
      <c r="UI18" s="109"/>
      <c r="UJ18" s="109"/>
      <c r="UK18" s="109"/>
      <c r="UL18" s="109"/>
      <c r="UM18" s="109"/>
      <c r="UN18" s="109"/>
      <c r="UO18" s="109"/>
      <c r="UP18" s="109"/>
      <c r="UQ18" s="109"/>
      <c r="UR18" s="109"/>
      <c r="US18" s="109"/>
      <c r="UT18" s="109"/>
      <c r="UU18" s="109"/>
      <c r="UV18" s="109"/>
      <c r="UW18" s="109"/>
      <c r="UX18" s="109"/>
      <c r="UY18" s="109"/>
      <c r="UZ18" s="109"/>
      <c r="VA18" s="109"/>
      <c r="VB18" s="109"/>
      <c r="VC18" s="109"/>
      <c r="VD18" s="109"/>
      <c r="VE18" s="109"/>
      <c r="VF18" s="109"/>
      <c r="VG18" s="109"/>
      <c r="VH18" s="109"/>
      <c r="VI18" s="109"/>
      <c r="VJ18" s="109"/>
      <c r="VK18" s="109"/>
      <c r="VL18" s="109"/>
      <c r="VM18" s="109"/>
      <c r="VN18" s="109"/>
      <c r="VO18" s="109"/>
      <c r="VP18" s="109"/>
      <c r="VQ18" s="109"/>
      <c r="VR18" s="109"/>
      <c r="VS18" s="109"/>
      <c r="VT18" s="109"/>
      <c r="VU18" s="109"/>
      <c r="VV18" s="109"/>
      <c r="VW18" s="109"/>
      <c r="VX18" s="109"/>
      <c r="VY18" s="109"/>
      <c r="VZ18" s="109"/>
      <c r="WA18" s="109"/>
      <c r="WB18" s="109"/>
      <c r="WC18" s="109"/>
      <c r="WD18" s="109"/>
      <c r="WE18" s="109"/>
      <c r="WF18" s="109"/>
      <c r="WG18" s="109"/>
      <c r="WH18" s="109"/>
      <c r="WI18" s="109"/>
      <c r="WJ18" s="109"/>
      <c r="WK18" s="109"/>
      <c r="WL18" s="109"/>
      <c r="WM18" s="109"/>
      <c r="WN18" s="109"/>
      <c r="WO18" s="109"/>
      <c r="WP18" s="109"/>
      <c r="WQ18" s="109"/>
      <c r="WR18" s="109"/>
      <c r="WS18" s="109"/>
      <c r="WT18" s="109"/>
      <c r="WU18" s="109"/>
      <c r="WV18" s="109"/>
      <c r="WW18" s="109"/>
      <c r="WX18" s="109"/>
      <c r="WY18" s="109"/>
      <c r="WZ18" s="109"/>
      <c r="XA18" s="109"/>
      <c r="XB18" s="109"/>
      <c r="XC18" s="109"/>
      <c r="XD18" s="109"/>
      <c r="XE18" s="109"/>
      <c r="XF18" s="109"/>
      <c r="XG18" s="109"/>
      <c r="XH18" s="109"/>
      <c r="XI18" s="109"/>
      <c r="XJ18" s="109"/>
      <c r="XK18" s="109"/>
      <c r="XL18" s="109"/>
      <c r="XM18" s="109"/>
      <c r="XN18" s="109"/>
      <c r="XO18" s="109"/>
      <c r="XP18" s="109"/>
      <c r="XQ18" s="109"/>
      <c r="XR18" s="109"/>
      <c r="XS18" s="109"/>
      <c r="XT18" s="109"/>
      <c r="XU18" s="109"/>
      <c r="XV18" s="109"/>
      <c r="XW18" s="109"/>
      <c r="XX18" s="109"/>
      <c r="XY18" s="109"/>
      <c r="XZ18" s="109"/>
      <c r="YA18" s="109"/>
      <c r="YB18" s="109"/>
      <c r="YC18" s="109"/>
      <c r="YD18" s="109"/>
      <c r="YE18" s="109"/>
      <c r="YF18" s="109"/>
      <c r="YG18" s="109"/>
      <c r="YH18" s="109"/>
      <c r="YI18" s="109"/>
      <c r="YJ18" s="109"/>
      <c r="YK18" s="109"/>
      <c r="YL18" s="109"/>
      <c r="YM18" s="109"/>
      <c r="YN18" s="109"/>
      <c r="YO18" s="109"/>
      <c r="YP18" s="109"/>
      <c r="YQ18" s="109"/>
      <c r="YR18" s="109"/>
      <c r="YS18" s="109"/>
      <c r="YT18" s="109"/>
      <c r="YU18" s="109"/>
      <c r="YV18" s="109"/>
      <c r="YW18" s="109"/>
      <c r="YX18" s="109"/>
      <c r="YY18" s="109"/>
      <c r="YZ18" s="109"/>
      <c r="ZA18" s="109"/>
      <c r="ZB18" s="109"/>
      <c r="ZC18" s="109"/>
      <c r="ZD18" s="109"/>
      <c r="ZE18" s="109"/>
      <c r="ZF18" s="109"/>
      <c r="ZG18" s="109"/>
      <c r="ZH18" s="109"/>
      <c r="ZI18" s="109"/>
      <c r="ZJ18" s="109"/>
      <c r="ZK18" s="109"/>
      <c r="ZL18" s="109"/>
      <c r="ZM18" s="109"/>
      <c r="ZN18" s="109"/>
      <c r="ZO18" s="109"/>
      <c r="ZP18" s="109"/>
      <c r="ZQ18" s="109"/>
      <c r="ZR18" s="109"/>
      <c r="ZS18" s="109"/>
      <c r="ZT18" s="109"/>
      <c r="ZU18" s="109"/>
      <c r="ZV18" s="109"/>
      <c r="ZW18" s="109"/>
      <c r="ZX18" s="109"/>
      <c r="ZY18" s="109"/>
      <c r="ZZ18" s="109"/>
      <c r="AAA18" s="109"/>
      <c r="AAB18" s="109"/>
      <c r="AAC18" s="109"/>
      <c r="AAD18" s="109"/>
      <c r="AAE18" s="109"/>
      <c r="AAF18" s="109"/>
      <c r="AAG18" s="109"/>
      <c r="AAH18" s="109"/>
      <c r="AAI18" s="109"/>
      <c r="AAJ18" s="109"/>
      <c r="AAK18" s="109"/>
      <c r="AAL18" s="109"/>
      <c r="AAM18" s="109"/>
      <c r="AAN18" s="109"/>
      <c r="AAO18" s="109"/>
      <c r="AAP18" s="109"/>
      <c r="AAQ18" s="109"/>
      <c r="AAR18" s="109"/>
      <c r="AAS18" s="109"/>
      <c r="AAT18" s="109"/>
      <c r="AAU18" s="109"/>
      <c r="AAV18" s="109"/>
      <c r="AAW18" s="109"/>
      <c r="AAX18" s="109"/>
      <c r="AAY18" s="109"/>
      <c r="AAZ18" s="109"/>
      <c r="ABA18" s="109"/>
      <c r="ABB18" s="109"/>
      <c r="ABC18" s="109"/>
      <c r="ABD18" s="109"/>
      <c r="ABE18" s="109"/>
      <c r="ABF18" s="109"/>
      <c r="ABG18" s="109"/>
      <c r="ABH18" s="109"/>
      <c r="ABI18" s="109"/>
      <c r="ABJ18" s="109"/>
      <c r="ABK18" s="109"/>
      <c r="ABL18" s="109"/>
      <c r="ABM18" s="109"/>
      <c r="ABN18" s="109"/>
      <c r="ABO18" s="109"/>
      <c r="ABP18" s="109"/>
      <c r="ABQ18" s="109"/>
      <c r="ABR18" s="109"/>
      <c r="ABS18" s="109"/>
      <c r="ABT18" s="109"/>
      <c r="ABU18" s="109"/>
      <c r="ABV18" s="109"/>
      <c r="ABW18" s="109"/>
      <c r="ABX18" s="109"/>
      <c r="ABY18" s="109"/>
      <c r="ABZ18" s="109"/>
      <c r="ACA18" s="109"/>
      <c r="ACB18" s="109"/>
      <c r="ACC18" s="109"/>
      <c r="ACD18" s="109"/>
      <c r="ACE18" s="109"/>
      <c r="ACF18" s="109"/>
      <c r="ACG18" s="109"/>
      <c r="ACH18" s="109"/>
      <c r="ACI18" s="109"/>
      <c r="ACJ18" s="109"/>
      <c r="ACK18" s="109"/>
      <c r="ACL18" s="109"/>
      <c r="ACM18" s="109"/>
      <c r="ACN18" s="109"/>
      <c r="ACO18" s="109"/>
      <c r="ACP18" s="109"/>
      <c r="ACQ18" s="109"/>
      <c r="ACR18" s="109"/>
      <c r="ACS18" s="109"/>
      <c r="ACT18" s="109"/>
      <c r="ACU18" s="109"/>
      <c r="ACV18" s="109"/>
      <c r="ACW18" s="109"/>
      <c r="ACX18" s="109"/>
      <c r="ACY18" s="109"/>
      <c r="ACZ18" s="109"/>
      <c r="ADA18" s="109"/>
      <c r="ADB18" s="109"/>
      <c r="ADC18" s="109"/>
      <c r="ADD18" s="109"/>
      <c r="ADE18" s="109"/>
      <c r="ADF18" s="109"/>
      <c r="ADG18" s="109"/>
      <c r="ADH18" s="109"/>
      <c r="ADI18" s="109"/>
      <c r="ADJ18" s="109"/>
      <c r="ADK18" s="109"/>
      <c r="ADL18" s="109"/>
      <c r="ADM18" s="109"/>
      <c r="ADN18" s="109"/>
      <c r="ADO18" s="109"/>
      <c r="ADP18" s="109"/>
      <c r="ADQ18" s="109"/>
      <c r="ADR18" s="109"/>
      <c r="ADS18" s="109"/>
      <c r="ADT18" s="109"/>
      <c r="ADU18" s="109"/>
      <c r="ADV18" s="109"/>
      <c r="ADW18" s="109"/>
      <c r="ADX18" s="109"/>
      <c r="ADY18" s="109"/>
      <c r="ADZ18" s="109"/>
      <c r="AEA18" s="109"/>
      <c r="AEB18" s="109"/>
      <c r="AEC18" s="109"/>
      <c r="AED18" s="109"/>
      <c r="AEE18" s="109"/>
      <c r="AEF18" s="109"/>
      <c r="AEG18" s="109"/>
      <c r="AEH18" s="109"/>
      <c r="AEI18" s="109"/>
      <c r="AEJ18" s="109"/>
      <c r="AEK18" s="109"/>
      <c r="AEL18" s="109"/>
      <c r="AEM18" s="109"/>
      <c r="AEN18" s="109"/>
      <c r="AEO18" s="109"/>
      <c r="AEP18" s="109"/>
      <c r="AEQ18" s="109"/>
      <c r="AER18" s="109"/>
      <c r="AES18" s="109"/>
      <c r="AET18" s="109"/>
      <c r="AEU18" s="109"/>
      <c r="AEV18" s="109"/>
      <c r="AEW18" s="109"/>
      <c r="AEX18" s="109"/>
      <c r="AEY18" s="109"/>
      <c r="AEZ18" s="109"/>
      <c r="AFA18" s="109"/>
      <c r="AFB18" s="109"/>
      <c r="AFC18" s="109"/>
      <c r="AFD18" s="109"/>
      <c r="AFE18" s="109"/>
      <c r="AFF18" s="109"/>
      <c r="AFG18" s="109"/>
      <c r="AFH18" s="109"/>
      <c r="AFI18" s="109"/>
      <c r="AFJ18" s="109"/>
      <c r="AFK18" s="109"/>
      <c r="AFL18" s="109"/>
      <c r="AFM18" s="109"/>
      <c r="AFN18" s="109"/>
      <c r="AFO18" s="109"/>
      <c r="AFP18" s="109"/>
      <c r="AFQ18" s="109"/>
      <c r="AFR18" s="109"/>
      <c r="AFS18" s="109"/>
      <c r="AFT18" s="109"/>
      <c r="AFU18" s="109"/>
      <c r="AFV18" s="109"/>
      <c r="AFW18" s="109"/>
      <c r="AFX18" s="109"/>
      <c r="AFY18" s="109"/>
      <c r="AFZ18" s="109"/>
      <c r="AGA18" s="109"/>
      <c r="AGB18" s="109"/>
      <c r="AGC18" s="109"/>
      <c r="AGD18" s="109"/>
      <c r="AGE18" s="109"/>
      <c r="AGF18" s="109"/>
      <c r="AGG18" s="109"/>
      <c r="AGH18" s="109"/>
      <c r="AGI18" s="109"/>
      <c r="AGJ18" s="109"/>
      <c r="AGK18" s="109"/>
      <c r="AGL18" s="109"/>
      <c r="AGM18" s="109"/>
      <c r="AGN18" s="109"/>
      <c r="AGO18" s="109"/>
      <c r="AGP18" s="109"/>
      <c r="AGQ18" s="109"/>
      <c r="AGR18" s="109"/>
      <c r="AGS18" s="109"/>
      <c r="AGT18" s="109"/>
      <c r="AGU18" s="109"/>
      <c r="AGV18" s="109"/>
      <c r="AGW18" s="109"/>
      <c r="AGX18" s="109"/>
      <c r="AGY18" s="109"/>
      <c r="AGZ18" s="109"/>
      <c r="AHA18" s="109"/>
      <c r="AHB18" s="109"/>
      <c r="AHC18" s="109"/>
      <c r="AHD18" s="109"/>
      <c r="AHE18" s="109"/>
      <c r="AHF18" s="109"/>
      <c r="AHG18" s="109"/>
      <c r="AHH18" s="109"/>
      <c r="AHI18" s="109"/>
      <c r="AHJ18" s="109"/>
      <c r="AHK18" s="109"/>
      <c r="AHL18" s="109"/>
      <c r="AHM18" s="109"/>
      <c r="AHN18" s="109"/>
      <c r="AHO18" s="109"/>
      <c r="AHP18" s="109"/>
      <c r="AHQ18" s="109"/>
      <c r="AHR18" s="109"/>
      <c r="AHS18" s="109"/>
      <c r="AHT18" s="109"/>
      <c r="AHU18" s="109"/>
      <c r="AHV18" s="109"/>
      <c r="AHW18" s="109"/>
      <c r="AHX18" s="109"/>
      <c r="AHY18" s="109"/>
      <c r="AHZ18" s="109"/>
      <c r="AIA18" s="109"/>
      <c r="AIB18" s="109"/>
      <c r="AIC18" s="109"/>
      <c r="AID18" s="109"/>
      <c r="AIE18" s="109"/>
      <c r="AIF18" s="109"/>
      <c r="AIG18" s="109"/>
      <c r="AIH18" s="109"/>
      <c r="AII18" s="109"/>
      <c r="AIJ18" s="109"/>
      <c r="AIK18" s="109"/>
      <c r="AIL18" s="109"/>
      <c r="AIM18" s="109"/>
      <c r="AIN18" s="109"/>
      <c r="AIO18" s="109"/>
      <c r="AIP18" s="109"/>
      <c r="AIQ18" s="109"/>
      <c r="AIR18" s="109"/>
      <c r="AIS18" s="109"/>
      <c r="AIT18" s="109"/>
      <c r="AIU18" s="109"/>
      <c r="AIV18" s="109"/>
      <c r="AIW18" s="109"/>
      <c r="AIX18" s="109"/>
      <c r="AIY18" s="109"/>
      <c r="AIZ18" s="109"/>
      <c r="AJA18" s="109"/>
      <c r="AJB18" s="109"/>
      <c r="AJC18" s="109"/>
      <c r="AJD18" s="109"/>
      <c r="AJE18" s="109"/>
      <c r="AJF18" s="109"/>
      <c r="AJG18" s="109"/>
      <c r="AJH18" s="109"/>
      <c r="AJI18" s="109"/>
      <c r="AJJ18" s="109"/>
      <c r="AJK18" s="109"/>
      <c r="AJL18" s="109"/>
      <c r="AJM18" s="109"/>
      <c r="AJN18" s="109"/>
      <c r="AJO18" s="109"/>
      <c r="AJP18" s="109"/>
      <c r="AJQ18" s="109"/>
      <c r="AJR18" s="109"/>
      <c r="AJS18" s="109"/>
      <c r="AJT18" s="109"/>
      <c r="AJU18" s="109"/>
      <c r="AJV18" s="109"/>
      <c r="AJW18" s="109"/>
      <c r="AJX18" s="109"/>
      <c r="AJY18" s="109"/>
      <c r="AJZ18" s="109"/>
      <c r="AKA18" s="109"/>
      <c r="AKB18" s="109"/>
      <c r="AKC18" s="109"/>
      <c r="AKD18" s="109"/>
      <c r="AKE18" s="109"/>
      <c r="AKF18" s="109"/>
      <c r="AKG18" s="109"/>
      <c r="AKH18" s="109"/>
      <c r="AKI18" s="109"/>
      <c r="AKJ18" s="109"/>
      <c r="AKK18" s="109"/>
      <c r="AKL18" s="109"/>
      <c r="AKM18" s="109"/>
      <c r="AKN18" s="109"/>
      <c r="AKO18" s="109"/>
      <c r="AKP18" s="109"/>
      <c r="AKQ18" s="109"/>
      <c r="AKR18" s="109"/>
      <c r="AKS18" s="109"/>
      <c r="AKT18" s="109"/>
      <c r="AKU18" s="109"/>
      <c r="AKV18" s="109"/>
      <c r="AKW18" s="109"/>
      <c r="AKX18" s="109"/>
      <c r="AKY18" s="109"/>
      <c r="AKZ18" s="109"/>
      <c r="ALA18" s="109"/>
      <c r="ALB18" s="109"/>
      <c r="ALC18" s="109"/>
      <c r="ALD18" s="109"/>
      <c r="ALE18" s="109"/>
      <c r="ALF18" s="109"/>
      <c r="ALG18" s="109"/>
      <c r="ALH18" s="109"/>
      <c r="ALI18" s="109"/>
      <c r="ALJ18" s="109"/>
      <c r="ALK18" s="109"/>
      <c r="ALL18" s="109"/>
      <c r="ALM18" s="109"/>
      <c r="ALN18" s="109"/>
      <c r="ALO18" s="109"/>
      <c r="ALP18" s="109"/>
      <c r="ALQ18" s="109"/>
      <c r="ALR18" s="109"/>
      <c r="ALS18" s="109"/>
      <c r="ALT18" s="109"/>
      <c r="ALU18" s="109"/>
      <c r="ALV18" s="109"/>
      <c r="ALW18" s="109"/>
      <c r="ALX18" s="109"/>
      <c r="ALY18" s="109"/>
      <c r="ALZ18" s="109"/>
      <c r="AMA18" s="109"/>
      <c r="AMB18" s="109"/>
      <c r="AMC18" s="109"/>
      <c r="AMD18" s="109"/>
      <c r="AME18" s="109"/>
      <c r="AMF18" s="109"/>
      <c r="AMG18" s="109"/>
      <c r="AMH18" s="109"/>
      <c r="AMI18" s="109"/>
      <c r="AMJ18" s="109"/>
      <c r="AMK18" s="109"/>
      <c r="AML18" s="109"/>
      <c r="AMM18" s="109"/>
      <c r="AMN18" s="109"/>
      <c r="AMO18" s="109"/>
      <c r="AMP18" s="109"/>
      <c r="AMQ18" s="109"/>
      <c r="AMR18" s="109"/>
      <c r="AMS18" s="109"/>
      <c r="AMT18" s="109"/>
      <c r="AMU18" s="109"/>
      <c r="AMV18" s="109"/>
      <c r="AMW18" s="109"/>
      <c r="AMX18" s="109"/>
      <c r="AMY18" s="109"/>
      <c r="AMZ18" s="109"/>
      <c r="ANA18" s="109"/>
      <c r="ANB18" s="109"/>
      <c r="ANC18" s="109"/>
      <c r="AND18" s="109"/>
      <c r="ANE18" s="109"/>
      <c r="ANF18" s="109"/>
      <c r="ANG18" s="109"/>
      <c r="ANH18" s="109"/>
      <c r="ANI18" s="109"/>
      <c r="ANJ18" s="109"/>
      <c r="ANK18" s="109"/>
      <c r="ANL18" s="109"/>
      <c r="ANM18" s="109"/>
      <c r="ANN18" s="109"/>
      <c r="ANO18" s="109"/>
      <c r="ANP18" s="109"/>
      <c r="ANQ18" s="109"/>
      <c r="ANR18" s="109"/>
      <c r="ANS18" s="109"/>
      <c r="ANT18" s="109"/>
      <c r="ANU18" s="109"/>
      <c r="ANV18" s="109"/>
      <c r="ANW18" s="109"/>
      <c r="ANX18" s="109"/>
      <c r="ANY18" s="109"/>
      <c r="ANZ18" s="109"/>
      <c r="AOA18" s="109"/>
      <c r="AOB18" s="109"/>
      <c r="AOC18" s="109"/>
      <c r="AOD18" s="109"/>
      <c r="AOE18" s="109"/>
      <c r="AOF18" s="109"/>
      <c r="AOG18" s="109"/>
      <c r="AOH18" s="109"/>
      <c r="AOI18" s="109"/>
      <c r="AOJ18" s="109"/>
      <c r="AOK18" s="109"/>
      <c r="AOL18" s="109"/>
      <c r="AOM18" s="109"/>
      <c r="AON18" s="109"/>
      <c r="AOO18" s="109"/>
      <c r="AOP18" s="109"/>
      <c r="AOQ18" s="109"/>
      <c r="AOR18" s="109"/>
      <c r="AOS18" s="109"/>
      <c r="AOT18" s="109"/>
      <c r="AOU18" s="109"/>
      <c r="AOV18" s="109"/>
      <c r="AOW18" s="109"/>
      <c r="AOX18" s="109"/>
      <c r="AOY18" s="109"/>
      <c r="AOZ18" s="109"/>
      <c r="APA18" s="109"/>
      <c r="APB18" s="109"/>
      <c r="APC18" s="109"/>
      <c r="APD18" s="109"/>
      <c r="APE18" s="109"/>
      <c r="APF18" s="109"/>
      <c r="APG18" s="109"/>
      <c r="APH18" s="109"/>
      <c r="API18" s="109"/>
      <c r="APJ18" s="109"/>
      <c r="APK18" s="109"/>
      <c r="APL18" s="109"/>
      <c r="APM18" s="109"/>
      <c r="APN18" s="109"/>
      <c r="APO18" s="109"/>
      <c r="APP18" s="109"/>
      <c r="APQ18" s="109"/>
      <c r="APR18" s="109"/>
      <c r="APS18" s="109"/>
      <c r="APT18" s="109"/>
      <c r="APU18" s="109"/>
      <c r="APV18" s="109"/>
      <c r="APW18" s="109"/>
      <c r="APX18" s="109"/>
      <c r="APY18" s="109"/>
      <c r="APZ18" s="109"/>
      <c r="AQA18" s="109"/>
      <c r="AQB18" s="109"/>
      <c r="AQC18" s="109"/>
      <c r="AQD18" s="109"/>
      <c r="AQE18" s="109"/>
      <c r="AQF18" s="109"/>
      <c r="AQG18" s="109"/>
      <c r="AQH18" s="109"/>
      <c r="AQI18" s="109"/>
      <c r="AQJ18" s="109"/>
      <c r="AQK18" s="109"/>
      <c r="AQL18" s="109"/>
      <c r="AQM18" s="109"/>
      <c r="AQN18" s="109"/>
      <c r="AQO18" s="109"/>
      <c r="AQP18" s="109"/>
      <c r="AQQ18" s="109"/>
      <c r="AQR18" s="109"/>
      <c r="AQS18" s="109"/>
      <c r="AQT18" s="109"/>
      <c r="AQU18" s="109"/>
      <c r="AQV18" s="109"/>
      <c r="AQW18" s="109"/>
      <c r="AQX18" s="109"/>
      <c r="AQY18" s="109"/>
      <c r="AQZ18" s="109"/>
      <c r="ARA18" s="109"/>
      <c r="ARB18" s="109"/>
      <c r="ARC18" s="109"/>
      <c r="ARD18" s="109"/>
      <c r="ARE18" s="109"/>
      <c r="ARF18" s="109"/>
      <c r="ARG18" s="109"/>
      <c r="ARH18" s="109"/>
      <c r="ARI18" s="109"/>
      <c r="ARJ18" s="109"/>
      <c r="ARK18" s="109"/>
      <c r="ARL18" s="109"/>
      <c r="ARM18" s="109"/>
      <c r="ARN18" s="109"/>
      <c r="ARO18" s="109"/>
      <c r="ARP18" s="109"/>
      <c r="ARQ18" s="109"/>
      <c r="ARR18" s="109"/>
      <c r="ARS18" s="109"/>
      <c r="ART18" s="109"/>
      <c r="ARU18" s="109"/>
      <c r="ARV18" s="109"/>
      <c r="ARW18" s="109"/>
      <c r="ARX18" s="109"/>
      <c r="ARY18" s="109"/>
      <c r="ARZ18" s="109"/>
      <c r="ASA18" s="109"/>
      <c r="ASB18" s="109"/>
      <c r="ASC18" s="109"/>
      <c r="ASD18" s="109"/>
      <c r="ASE18" s="109"/>
      <c r="ASF18" s="109"/>
      <c r="ASG18" s="109"/>
      <c r="ASH18" s="109"/>
      <c r="ASI18" s="109"/>
      <c r="ASJ18" s="109"/>
      <c r="ASK18" s="109"/>
      <c r="ASL18" s="109"/>
      <c r="ASM18" s="109"/>
      <c r="ASN18" s="109"/>
      <c r="ASO18" s="109"/>
      <c r="ASP18" s="109"/>
      <c r="ASQ18" s="109"/>
      <c r="ASR18" s="109"/>
      <c r="ASS18" s="109"/>
      <c r="AST18" s="109"/>
      <c r="ASU18" s="109"/>
      <c r="ASV18" s="109"/>
      <c r="ASW18" s="109"/>
      <c r="ASX18" s="109"/>
      <c r="ASY18" s="109"/>
      <c r="ASZ18" s="109"/>
      <c r="ATA18" s="109"/>
      <c r="ATB18" s="109"/>
      <c r="ATC18" s="109"/>
      <c r="ATD18" s="109"/>
      <c r="ATE18" s="109"/>
      <c r="ATF18" s="109"/>
      <c r="ATG18" s="109"/>
      <c r="ATH18" s="109"/>
      <c r="ATI18" s="109"/>
      <c r="ATJ18" s="109"/>
      <c r="ATK18" s="109"/>
      <c r="ATL18" s="109"/>
      <c r="ATM18" s="109"/>
      <c r="ATN18" s="109"/>
      <c r="ATO18" s="109"/>
      <c r="ATP18" s="109"/>
      <c r="ATQ18" s="109"/>
      <c r="ATR18" s="109"/>
      <c r="ATS18" s="109"/>
      <c r="ATT18" s="109"/>
      <c r="ATU18" s="109"/>
      <c r="ATV18" s="109"/>
      <c r="ATW18" s="109"/>
      <c r="ATX18" s="109"/>
      <c r="ATY18" s="109"/>
      <c r="ATZ18" s="109"/>
      <c r="AUA18" s="109"/>
      <c r="AUB18" s="109"/>
      <c r="AUC18" s="109"/>
      <c r="AUD18" s="109"/>
      <c r="AUE18" s="109"/>
      <c r="AUF18" s="109"/>
      <c r="AUG18" s="109"/>
      <c r="AUH18" s="109"/>
      <c r="AUI18" s="109"/>
      <c r="AUJ18" s="109"/>
      <c r="AUK18" s="109"/>
      <c r="AUL18" s="109"/>
      <c r="AUM18" s="109"/>
      <c r="AUN18" s="109"/>
      <c r="AUO18" s="109"/>
      <c r="AUP18" s="109"/>
      <c r="AUQ18" s="109"/>
      <c r="AUR18" s="109"/>
      <c r="AUS18" s="109"/>
      <c r="AUT18" s="109"/>
      <c r="AUU18" s="109"/>
      <c r="AUV18" s="109"/>
      <c r="AUW18" s="109"/>
      <c r="AUX18" s="109"/>
      <c r="AUY18" s="109"/>
      <c r="AUZ18" s="109"/>
      <c r="AVA18" s="109"/>
      <c r="AVB18" s="109"/>
      <c r="AVC18" s="109"/>
      <c r="AVD18" s="109"/>
      <c r="AVE18" s="109"/>
      <c r="AVF18" s="109"/>
      <c r="AVG18" s="109"/>
      <c r="AVH18" s="109"/>
      <c r="AVI18" s="109"/>
      <c r="AVJ18" s="109"/>
      <c r="AVK18" s="109"/>
      <c r="AVL18" s="109"/>
      <c r="AVM18" s="109"/>
      <c r="AVN18" s="109"/>
      <c r="AVO18" s="109"/>
      <c r="AVP18" s="109"/>
      <c r="AVQ18" s="109"/>
      <c r="AVR18" s="109"/>
      <c r="AVS18" s="109"/>
      <c r="AVT18" s="109"/>
      <c r="AVU18" s="109"/>
      <c r="AVV18" s="109"/>
      <c r="AVW18" s="109"/>
      <c r="AVX18" s="109"/>
      <c r="AVY18" s="109"/>
      <c r="AVZ18" s="109"/>
      <c r="AWA18" s="109"/>
      <c r="AWB18" s="109"/>
      <c r="AWC18" s="109"/>
      <c r="AWD18" s="109"/>
      <c r="AWE18" s="109"/>
      <c r="AWF18" s="109"/>
      <c r="AWG18" s="109"/>
      <c r="AWH18" s="109"/>
      <c r="AWI18" s="109"/>
      <c r="AWJ18" s="109"/>
      <c r="AWK18" s="109"/>
      <c r="AWL18" s="109"/>
      <c r="AWM18" s="109"/>
      <c r="AWN18" s="109"/>
      <c r="AWO18" s="109"/>
      <c r="AWP18" s="109"/>
      <c r="AWQ18" s="109"/>
      <c r="AWR18" s="109"/>
      <c r="AWS18" s="109"/>
      <c r="AWT18" s="109"/>
      <c r="AWU18" s="109"/>
      <c r="AWV18" s="109"/>
      <c r="AWW18" s="109"/>
      <c r="AWX18" s="109"/>
      <c r="AWY18" s="109"/>
      <c r="AWZ18" s="109"/>
      <c r="AXA18" s="109"/>
      <c r="AXB18" s="109"/>
      <c r="AXC18" s="109"/>
      <c r="AXD18" s="109"/>
      <c r="AXE18" s="109"/>
      <c r="AXF18" s="109"/>
      <c r="AXG18" s="109"/>
      <c r="AXH18" s="109"/>
      <c r="AXI18" s="109"/>
      <c r="AXJ18" s="109"/>
      <c r="AXK18" s="109"/>
      <c r="AXL18" s="109"/>
      <c r="AXM18" s="109"/>
      <c r="AXN18" s="109"/>
      <c r="AXO18" s="109"/>
      <c r="AXP18" s="109"/>
      <c r="AXQ18" s="109"/>
      <c r="AXR18" s="109"/>
      <c r="AXS18" s="109"/>
      <c r="AXT18" s="109"/>
      <c r="AXU18" s="109"/>
      <c r="AXV18" s="109"/>
      <c r="AXW18" s="109"/>
      <c r="AXX18" s="109"/>
      <c r="AXY18" s="109"/>
      <c r="AXZ18" s="109"/>
      <c r="AYA18" s="109"/>
      <c r="AYB18" s="109"/>
      <c r="AYC18" s="109"/>
      <c r="AYD18" s="109"/>
      <c r="AYE18" s="109"/>
      <c r="AYF18" s="109"/>
      <c r="AYG18" s="109"/>
      <c r="AYH18" s="109"/>
      <c r="AYI18" s="109"/>
      <c r="AYJ18" s="109"/>
      <c r="AYK18" s="109"/>
      <c r="AYL18" s="109"/>
      <c r="AYM18" s="109"/>
      <c r="AYN18" s="109"/>
      <c r="AYO18" s="109"/>
      <c r="AYP18" s="109"/>
      <c r="AYQ18" s="109"/>
      <c r="AYR18" s="109"/>
      <c r="AYS18" s="109"/>
      <c r="AYT18" s="109"/>
      <c r="AYU18" s="109"/>
      <c r="AYV18" s="109"/>
      <c r="AYW18" s="109"/>
      <c r="AYX18" s="109"/>
      <c r="AYY18" s="109"/>
      <c r="AYZ18" s="109"/>
      <c r="AZA18" s="109"/>
      <c r="AZB18" s="109"/>
      <c r="AZC18" s="109"/>
      <c r="AZD18" s="109"/>
      <c r="AZE18" s="109"/>
      <c r="AZF18" s="109"/>
      <c r="AZG18" s="109"/>
      <c r="AZH18" s="109"/>
      <c r="AZI18" s="109"/>
      <c r="AZJ18" s="109"/>
      <c r="AZK18" s="109"/>
      <c r="AZL18" s="109"/>
      <c r="AZM18" s="109"/>
      <c r="AZN18" s="109"/>
      <c r="AZO18" s="109"/>
      <c r="AZP18" s="109"/>
      <c r="AZQ18" s="109"/>
      <c r="AZR18" s="109"/>
      <c r="AZS18" s="109"/>
      <c r="AZT18" s="109"/>
      <c r="AZU18" s="109"/>
      <c r="AZV18" s="109"/>
      <c r="AZW18" s="109"/>
      <c r="AZX18" s="109"/>
      <c r="AZY18" s="109"/>
      <c r="AZZ18" s="109"/>
      <c r="BAA18" s="109"/>
      <c r="BAB18" s="109"/>
      <c r="BAC18" s="109"/>
      <c r="BAD18" s="109"/>
      <c r="BAE18" s="109"/>
      <c r="BAF18" s="109"/>
      <c r="BAG18" s="109"/>
      <c r="BAH18" s="109"/>
      <c r="BAI18" s="109"/>
      <c r="BAJ18" s="109"/>
      <c r="BAK18" s="109"/>
      <c r="BAL18" s="109"/>
      <c r="BAM18" s="109"/>
      <c r="BAN18" s="109"/>
      <c r="BAO18" s="109"/>
      <c r="BAP18" s="109"/>
      <c r="BAQ18" s="109"/>
      <c r="BAR18" s="109"/>
      <c r="BAS18" s="109"/>
      <c r="BAT18" s="109"/>
      <c r="BAU18" s="109"/>
      <c r="BAV18" s="109"/>
      <c r="BAW18" s="109"/>
      <c r="BAX18" s="109"/>
      <c r="BAY18" s="109"/>
      <c r="BAZ18" s="109"/>
      <c r="BBA18" s="109"/>
      <c r="BBB18" s="109"/>
      <c r="BBC18" s="109"/>
      <c r="BBD18" s="109"/>
      <c r="BBE18" s="109"/>
      <c r="BBF18" s="109"/>
      <c r="BBG18" s="109"/>
      <c r="BBH18" s="109"/>
      <c r="BBI18" s="109"/>
      <c r="BBJ18" s="109"/>
      <c r="BBK18" s="109"/>
      <c r="BBL18" s="109"/>
      <c r="BBM18" s="109"/>
      <c r="BBN18" s="109"/>
      <c r="BBO18" s="109"/>
      <c r="BBP18" s="109"/>
      <c r="BBQ18" s="109"/>
      <c r="BBR18" s="109"/>
      <c r="BBS18" s="109"/>
      <c r="BBT18" s="109"/>
      <c r="BBU18" s="109"/>
      <c r="BBV18" s="109"/>
      <c r="BBW18" s="109"/>
      <c r="BBX18" s="109"/>
      <c r="BBY18" s="109"/>
      <c r="BBZ18" s="109"/>
      <c r="BCA18" s="109"/>
      <c r="BCB18" s="109"/>
      <c r="BCC18" s="109"/>
      <c r="BCD18" s="109"/>
      <c r="BCE18" s="109"/>
      <c r="BCF18" s="109"/>
      <c r="BCG18" s="109"/>
      <c r="BCH18" s="109"/>
      <c r="BCI18" s="109"/>
      <c r="BCJ18" s="109"/>
      <c r="BCK18" s="109"/>
      <c r="BCL18" s="109"/>
      <c r="BCM18" s="109"/>
      <c r="BCN18" s="109"/>
      <c r="BCO18" s="109"/>
      <c r="BCP18" s="109"/>
      <c r="BCQ18" s="109"/>
      <c r="BCR18" s="109"/>
      <c r="BCS18" s="109"/>
      <c r="BCT18" s="109"/>
      <c r="BCU18" s="109"/>
      <c r="BCV18" s="109"/>
      <c r="BCW18" s="109"/>
      <c r="BCX18" s="109"/>
      <c r="BCY18" s="109"/>
      <c r="BCZ18" s="109"/>
      <c r="BDA18" s="109"/>
      <c r="BDB18" s="109"/>
      <c r="BDC18" s="109"/>
      <c r="BDD18" s="109"/>
      <c r="BDE18" s="109"/>
      <c r="BDF18" s="109"/>
      <c r="BDG18" s="109"/>
      <c r="BDH18" s="109"/>
      <c r="BDI18" s="109"/>
      <c r="BDJ18" s="109"/>
      <c r="BDK18" s="109"/>
      <c r="BDL18" s="109"/>
      <c r="BDM18" s="109"/>
      <c r="BDN18" s="109"/>
      <c r="BDO18" s="109"/>
      <c r="BDP18" s="109"/>
      <c r="BDQ18" s="109"/>
      <c r="BDR18" s="109"/>
      <c r="BDS18" s="109"/>
      <c r="BDT18" s="109"/>
      <c r="BDU18" s="109"/>
      <c r="BDV18" s="109"/>
      <c r="BDW18" s="109"/>
      <c r="BDX18" s="109"/>
      <c r="BDY18" s="109"/>
      <c r="BDZ18" s="109"/>
      <c r="BEA18" s="109"/>
      <c r="BEB18" s="109"/>
      <c r="BEC18" s="109"/>
      <c r="BED18" s="109"/>
      <c r="BEE18" s="109"/>
      <c r="BEF18" s="109"/>
      <c r="BEG18" s="109"/>
      <c r="BEH18" s="109"/>
      <c r="BEI18" s="109"/>
      <c r="BEJ18" s="109"/>
      <c r="BEK18" s="109"/>
    </row>
    <row r="19" spans="1:1493" customFormat="1" x14ac:dyDescent="0.2"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/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/>
      <c r="NK19" s="109"/>
      <c r="NL19" s="109"/>
      <c r="NM19" s="109"/>
      <c r="NN19" s="109"/>
      <c r="NO19" s="109"/>
      <c r="NP19" s="109"/>
      <c r="NQ19" s="109"/>
      <c r="NR19" s="109"/>
      <c r="NS19" s="109"/>
      <c r="NT19" s="109"/>
      <c r="NU19" s="109"/>
      <c r="NV19" s="109"/>
      <c r="NW19" s="109"/>
      <c r="NX19" s="109"/>
      <c r="NY19" s="109"/>
      <c r="NZ19" s="109"/>
      <c r="OA19" s="109"/>
      <c r="OB19" s="109"/>
      <c r="OC19" s="109"/>
      <c r="OD19" s="109"/>
      <c r="OE19" s="109"/>
      <c r="OF19" s="109"/>
      <c r="OG19" s="109"/>
      <c r="OH19" s="109"/>
      <c r="OI19" s="109"/>
      <c r="OJ19" s="109"/>
      <c r="OK19" s="109"/>
      <c r="OL19" s="109"/>
      <c r="OM19" s="109"/>
      <c r="ON19" s="109"/>
      <c r="OO19" s="109"/>
      <c r="OP19" s="109"/>
      <c r="OQ19" s="109"/>
      <c r="OR19" s="109"/>
      <c r="OS19" s="109"/>
      <c r="OT19" s="109"/>
      <c r="OU19" s="109"/>
      <c r="OV19" s="109"/>
      <c r="OW19" s="109"/>
      <c r="OX19" s="109"/>
      <c r="OY19" s="109"/>
      <c r="OZ19" s="109"/>
      <c r="PA19" s="109"/>
      <c r="PB19" s="109"/>
      <c r="PC19" s="109"/>
      <c r="PD19" s="109"/>
      <c r="PE19" s="109"/>
      <c r="PF19" s="109"/>
      <c r="PG19" s="109"/>
      <c r="PH19" s="109"/>
      <c r="PI19" s="109"/>
      <c r="PJ19" s="109"/>
      <c r="PK19" s="109"/>
      <c r="PL19" s="109"/>
      <c r="PM19" s="109"/>
      <c r="PN19" s="109"/>
      <c r="PO19" s="109"/>
      <c r="PP19" s="109"/>
      <c r="PQ19" s="109"/>
      <c r="PR19" s="109"/>
      <c r="PS19" s="109"/>
      <c r="PT19" s="109"/>
      <c r="PU19" s="109"/>
      <c r="PV19" s="109"/>
      <c r="PW19" s="109"/>
      <c r="PX19" s="109"/>
      <c r="PY19" s="109"/>
      <c r="PZ19" s="109"/>
      <c r="QA19" s="109"/>
      <c r="QB19" s="109"/>
      <c r="QC19" s="109"/>
      <c r="QD19" s="109"/>
      <c r="QE19" s="109"/>
      <c r="QF19" s="109"/>
      <c r="QG19" s="109"/>
      <c r="QH19" s="109"/>
      <c r="QI19" s="109"/>
      <c r="QJ19" s="109"/>
      <c r="QK19" s="109"/>
      <c r="QL19" s="109"/>
      <c r="QM19" s="109"/>
      <c r="QN19" s="109"/>
      <c r="QO19" s="109"/>
      <c r="QP19" s="109"/>
      <c r="QQ19" s="109"/>
      <c r="QR19" s="109"/>
      <c r="QS19" s="109"/>
      <c r="QT19" s="109"/>
      <c r="QU19" s="109"/>
      <c r="QV19" s="109"/>
      <c r="QW19" s="109"/>
      <c r="QX19" s="109"/>
      <c r="QY19" s="109"/>
      <c r="QZ19" s="109"/>
      <c r="RA19" s="109"/>
      <c r="RB19" s="109"/>
      <c r="RC19" s="109"/>
      <c r="RD19" s="109"/>
      <c r="RE19" s="109"/>
      <c r="RF19" s="109"/>
      <c r="RG19" s="109"/>
      <c r="RH19" s="109"/>
      <c r="RI19" s="109"/>
      <c r="RJ19" s="109"/>
      <c r="RK19" s="109"/>
      <c r="RL19" s="109"/>
      <c r="RM19" s="109"/>
      <c r="RN19" s="109"/>
      <c r="RO19" s="109"/>
      <c r="RP19" s="109"/>
      <c r="RQ19" s="109"/>
      <c r="RR19" s="109"/>
      <c r="RS19" s="109"/>
      <c r="RT19" s="109"/>
      <c r="RU19" s="109"/>
      <c r="RV19" s="109"/>
      <c r="RW19" s="109"/>
      <c r="RX19" s="109"/>
      <c r="RY19" s="109"/>
      <c r="RZ19" s="109"/>
      <c r="SA19" s="109"/>
      <c r="SB19" s="109"/>
      <c r="SC19" s="109"/>
      <c r="SD19" s="109"/>
      <c r="SE19" s="109"/>
      <c r="SF19" s="109"/>
      <c r="SG19" s="109"/>
      <c r="SH19" s="109"/>
      <c r="SI19" s="109"/>
      <c r="SJ19" s="109"/>
      <c r="SK19" s="109"/>
      <c r="SL19" s="109"/>
      <c r="SM19" s="109"/>
      <c r="SN19" s="109"/>
      <c r="SO19" s="109"/>
      <c r="SP19" s="109"/>
      <c r="SQ19" s="109"/>
      <c r="SR19" s="109"/>
      <c r="SS19" s="109"/>
      <c r="ST19" s="109"/>
      <c r="SU19" s="109"/>
      <c r="SV19" s="109"/>
      <c r="SW19" s="109"/>
      <c r="SX19" s="109"/>
      <c r="SY19" s="109"/>
      <c r="SZ19" s="109"/>
      <c r="TA19" s="109"/>
      <c r="TB19" s="109"/>
      <c r="TC19" s="109"/>
      <c r="TD19" s="109"/>
      <c r="TE19" s="109"/>
      <c r="TF19" s="109"/>
      <c r="TG19" s="109"/>
      <c r="TH19" s="109"/>
      <c r="TI19" s="109"/>
      <c r="TJ19" s="109"/>
      <c r="TK19" s="109"/>
      <c r="TL19" s="109"/>
      <c r="TM19" s="109"/>
      <c r="TN19" s="109"/>
      <c r="TO19" s="109"/>
      <c r="TP19" s="109"/>
      <c r="TQ19" s="109"/>
      <c r="TR19" s="109"/>
      <c r="TS19" s="109"/>
      <c r="TT19" s="109"/>
      <c r="TU19" s="109"/>
      <c r="TV19" s="109"/>
      <c r="TW19" s="109"/>
      <c r="TX19" s="109"/>
      <c r="TY19" s="109"/>
      <c r="TZ19" s="109"/>
      <c r="UA19" s="109"/>
      <c r="UB19" s="109"/>
      <c r="UC19" s="109"/>
      <c r="UD19" s="109"/>
      <c r="UE19" s="109"/>
      <c r="UF19" s="109"/>
      <c r="UG19" s="109"/>
      <c r="UH19" s="109"/>
      <c r="UI19" s="109"/>
      <c r="UJ19" s="109"/>
      <c r="UK19" s="109"/>
      <c r="UL19" s="109"/>
      <c r="UM19" s="109"/>
      <c r="UN19" s="109"/>
      <c r="UO19" s="109"/>
      <c r="UP19" s="109"/>
      <c r="UQ19" s="109"/>
      <c r="UR19" s="109"/>
      <c r="US19" s="109"/>
      <c r="UT19" s="109"/>
      <c r="UU19" s="109"/>
      <c r="UV19" s="109"/>
      <c r="UW19" s="109"/>
      <c r="UX19" s="109"/>
      <c r="UY19" s="109"/>
      <c r="UZ19" s="109"/>
      <c r="VA19" s="109"/>
      <c r="VB19" s="109"/>
      <c r="VC19" s="109"/>
      <c r="VD19" s="109"/>
      <c r="VE19" s="109"/>
      <c r="VF19" s="109"/>
      <c r="VG19" s="109"/>
      <c r="VH19" s="109"/>
      <c r="VI19" s="109"/>
      <c r="VJ19" s="109"/>
      <c r="VK19" s="109"/>
      <c r="VL19" s="109"/>
      <c r="VM19" s="109"/>
      <c r="VN19" s="109"/>
      <c r="VO19" s="109"/>
      <c r="VP19" s="109"/>
      <c r="VQ19" s="109"/>
      <c r="VR19" s="109"/>
      <c r="VS19" s="109"/>
      <c r="VT19" s="109"/>
      <c r="VU19" s="109"/>
      <c r="VV19" s="109"/>
      <c r="VW19" s="109"/>
      <c r="VX19" s="109"/>
      <c r="VY19" s="109"/>
      <c r="VZ19" s="109"/>
      <c r="WA19" s="109"/>
      <c r="WB19" s="109"/>
      <c r="WC19" s="109"/>
      <c r="WD19" s="109"/>
      <c r="WE19" s="109"/>
      <c r="WF19" s="109"/>
      <c r="WG19" s="109"/>
      <c r="WH19" s="109"/>
      <c r="WI19" s="109"/>
      <c r="WJ19" s="109"/>
      <c r="WK19" s="109"/>
      <c r="WL19" s="109"/>
      <c r="WM19" s="109"/>
      <c r="WN19" s="109"/>
      <c r="WO19" s="109"/>
      <c r="WP19" s="109"/>
      <c r="WQ19" s="109"/>
      <c r="WR19" s="109"/>
      <c r="WS19" s="109"/>
      <c r="WT19" s="109"/>
      <c r="WU19" s="109"/>
      <c r="WV19" s="109"/>
      <c r="WW19" s="109"/>
      <c r="WX19" s="109"/>
      <c r="WY19" s="109"/>
      <c r="WZ19" s="109"/>
      <c r="XA19" s="109"/>
      <c r="XB19" s="109"/>
      <c r="XC19" s="109"/>
      <c r="XD19" s="109"/>
      <c r="XE19" s="109"/>
      <c r="XF19" s="109"/>
      <c r="XG19" s="109"/>
      <c r="XH19" s="109"/>
      <c r="XI19" s="109"/>
      <c r="XJ19" s="109"/>
      <c r="XK19" s="109"/>
      <c r="XL19" s="109"/>
      <c r="XM19" s="109"/>
      <c r="XN19" s="109"/>
      <c r="XO19" s="109"/>
      <c r="XP19" s="109"/>
      <c r="XQ19" s="109"/>
      <c r="XR19" s="109"/>
      <c r="XS19" s="109"/>
      <c r="XT19" s="109"/>
      <c r="XU19" s="109"/>
      <c r="XV19" s="109"/>
      <c r="XW19" s="109"/>
      <c r="XX19" s="109"/>
      <c r="XY19" s="109"/>
      <c r="XZ19" s="109"/>
      <c r="YA19" s="109"/>
      <c r="YB19" s="109"/>
      <c r="YC19" s="109"/>
      <c r="YD19" s="109"/>
      <c r="YE19" s="109"/>
      <c r="YF19" s="109"/>
      <c r="YG19" s="109"/>
      <c r="YH19" s="109"/>
      <c r="YI19" s="109"/>
      <c r="YJ19" s="109"/>
      <c r="YK19" s="109"/>
      <c r="YL19" s="109"/>
      <c r="YM19" s="109"/>
      <c r="YN19" s="109"/>
      <c r="YO19" s="109"/>
      <c r="YP19" s="109"/>
      <c r="YQ19" s="109"/>
      <c r="YR19" s="109"/>
      <c r="YS19" s="109"/>
      <c r="YT19" s="109"/>
      <c r="YU19" s="109"/>
      <c r="YV19" s="109"/>
      <c r="YW19" s="109"/>
      <c r="YX19" s="109"/>
      <c r="YY19" s="109"/>
      <c r="YZ19" s="109"/>
      <c r="ZA19" s="109"/>
      <c r="ZB19" s="109"/>
      <c r="ZC19" s="109"/>
      <c r="ZD19" s="109"/>
      <c r="ZE19" s="109"/>
      <c r="ZF19" s="109"/>
      <c r="ZG19" s="109"/>
      <c r="ZH19" s="109"/>
      <c r="ZI19" s="109"/>
      <c r="ZJ19" s="109"/>
      <c r="ZK19" s="109"/>
      <c r="ZL19" s="109"/>
      <c r="ZM19" s="109"/>
      <c r="ZN19" s="109"/>
      <c r="ZO19" s="109"/>
      <c r="ZP19" s="109"/>
      <c r="ZQ19" s="109"/>
      <c r="ZR19" s="109"/>
      <c r="ZS19" s="109"/>
      <c r="ZT19" s="109"/>
      <c r="ZU19" s="109"/>
      <c r="ZV19" s="109"/>
      <c r="ZW19" s="109"/>
      <c r="ZX19" s="109"/>
      <c r="ZY19" s="109"/>
      <c r="ZZ19" s="109"/>
      <c r="AAA19" s="109"/>
      <c r="AAB19" s="109"/>
      <c r="AAC19" s="109"/>
      <c r="AAD19" s="109"/>
      <c r="AAE19" s="109"/>
      <c r="AAF19" s="109"/>
      <c r="AAG19" s="109"/>
      <c r="AAH19" s="109"/>
      <c r="AAI19" s="109"/>
      <c r="AAJ19" s="109"/>
      <c r="AAK19" s="109"/>
      <c r="AAL19" s="109"/>
      <c r="AAM19" s="109"/>
      <c r="AAN19" s="109"/>
      <c r="AAO19" s="109"/>
      <c r="AAP19" s="109"/>
      <c r="AAQ19" s="109"/>
      <c r="AAR19" s="109"/>
      <c r="AAS19" s="109"/>
      <c r="AAT19" s="109"/>
      <c r="AAU19" s="109"/>
      <c r="AAV19" s="109"/>
      <c r="AAW19" s="109"/>
      <c r="AAX19" s="109"/>
      <c r="AAY19" s="109"/>
      <c r="AAZ19" s="109"/>
      <c r="ABA19" s="109"/>
      <c r="ABB19" s="109"/>
      <c r="ABC19" s="109"/>
      <c r="ABD19" s="109"/>
      <c r="ABE19" s="109"/>
      <c r="ABF19" s="109"/>
      <c r="ABG19" s="109"/>
      <c r="ABH19" s="109"/>
      <c r="ABI19" s="109"/>
      <c r="ABJ19" s="109"/>
      <c r="ABK19" s="109"/>
      <c r="ABL19" s="109"/>
      <c r="ABM19" s="109"/>
      <c r="ABN19" s="109"/>
      <c r="ABO19" s="109"/>
      <c r="ABP19" s="109"/>
      <c r="ABQ19" s="109"/>
      <c r="ABR19" s="109"/>
      <c r="ABS19" s="109"/>
      <c r="ABT19" s="109"/>
      <c r="ABU19" s="109"/>
      <c r="ABV19" s="109"/>
      <c r="ABW19" s="109"/>
      <c r="ABX19" s="109"/>
      <c r="ABY19" s="109"/>
      <c r="ABZ19" s="109"/>
      <c r="ACA19" s="109"/>
      <c r="ACB19" s="109"/>
      <c r="ACC19" s="109"/>
      <c r="ACD19" s="109"/>
      <c r="ACE19" s="109"/>
      <c r="ACF19" s="109"/>
      <c r="ACG19" s="109"/>
      <c r="ACH19" s="109"/>
      <c r="ACI19" s="109"/>
      <c r="ACJ19" s="109"/>
      <c r="ACK19" s="109"/>
      <c r="ACL19" s="109"/>
      <c r="ACM19" s="109"/>
      <c r="ACN19" s="109"/>
      <c r="ACO19" s="109"/>
      <c r="ACP19" s="109"/>
      <c r="ACQ19" s="109"/>
      <c r="ACR19" s="109"/>
      <c r="ACS19" s="109"/>
      <c r="ACT19" s="109"/>
      <c r="ACU19" s="109"/>
      <c r="ACV19" s="109"/>
      <c r="ACW19" s="109"/>
      <c r="ACX19" s="109"/>
      <c r="ACY19" s="109"/>
      <c r="ACZ19" s="109"/>
      <c r="ADA19" s="109"/>
      <c r="ADB19" s="109"/>
      <c r="ADC19" s="109"/>
      <c r="ADD19" s="109"/>
      <c r="ADE19" s="109"/>
      <c r="ADF19" s="109"/>
      <c r="ADG19" s="109"/>
      <c r="ADH19" s="109"/>
      <c r="ADI19" s="109"/>
      <c r="ADJ19" s="109"/>
      <c r="ADK19" s="109"/>
      <c r="ADL19" s="109"/>
      <c r="ADM19" s="109"/>
      <c r="ADN19" s="109"/>
      <c r="ADO19" s="109"/>
      <c r="ADP19" s="109"/>
      <c r="ADQ19" s="109"/>
      <c r="ADR19" s="109"/>
      <c r="ADS19" s="109"/>
      <c r="ADT19" s="109"/>
      <c r="ADU19" s="109"/>
      <c r="ADV19" s="109"/>
      <c r="ADW19" s="109"/>
      <c r="ADX19" s="109"/>
      <c r="ADY19" s="109"/>
      <c r="ADZ19" s="109"/>
      <c r="AEA19" s="109"/>
      <c r="AEB19" s="109"/>
      <c r="AEC19" s="109"/>
      <c r="AED19" s="109"/>
      <c r="AEE19" s="109"/>
      <c r="AEF19" s="109"/>
      <c r="AEG19" s="109"/>
      <c r="AEH19" s="109"/>
      <c r="AEI19" s="109"/>
      <c r="AEJ19" s="109"/>
      <c r="AEK19" s="109"/>
      <c r="AEL19" s="109"/>
      <c r="AEM19" s="109"/>
      <c r="AEN19" s="109"/>
      <c r="AEO19" s="109"/>
      <c r="AEP19" s="109"/>
      <c r="AEQ19" s="109"/>
      <c r="AER19" s="109"/>
      <c r="AES19" s="109"/>
      <c r="AET19" s="109"/>
      <c r="AEU19" s="109"/>
      <c r="AEV19" s="109"/>
      <c r="AEW19" s="109"/>
      <c r="AEX19" s="109"/>
      <c r="AEY19" s="109"/>
      <c r="AEZ19" s="109"/>
      <c r="AFA19" s="109"/>
      <c r="AFB19" s="109"/>
      <c r="AFC19" s="109"/>
      <c r="AFD19" s="109"/>
      <c r="AFE19" s="109"/>
      <c r="AFF19" s="109"/>
      <c r="AFG19" s="109"/>
      <c r="AFH19" s="109"/>
      <c r="AFI19" s="109"/>
      <c r="AFJ19" s="109"/>
      <c r="AFK19" s="109"/>
      <c r="AFL19" s="109"/>
      <c r="AFM19" s="109"/>
      <c r="AFN19" s="109"/>
      <c r="AFO19" s="109"/>
      <c r="AFP19" s="109"/>
      <c r="AFQ19" s="109"/>
      <c r="AFR19" s="109"/>
      <c r="AFS19" s="109"/>
      <c r="AFT19" s="109"/>
      <c r="AFU19" s="109"/>
      <c r="AFV19" s="109"/>
      <c r="AFW19" s="109"/>
      <c r="AFX19" s="109"/>
      <c r="AFY19" s="109"/>
      <c r="AFZ19" s="109"/>
      <c r="AGA19" s="109"/>
      <c r="AGB19" s="109"/>
      <c r="AGC19" s="109"/>
      <c r="AGD19" s="109"/>
      <c r="AGE19" s="109"/>
      <c r="AGF19" s="109"/>
      <c r="AGG19" s="109"/>
      <c r="AGH19" s="109"/>
      <c r="AGI19" s="109"/>
      <c r="AGJ19" s="109"/>
      <c r="AGK19" s="109"/>
      <c r="AGL19" s="109"/>
      <c r="AGM19" s="109"/>
      <c r="AGN19" s="109"/>
      <c r="AGO19" s="109"/>
      <c r="AGP19" s="109"/>
      <c r="AGQ19" s="109"/>
      <c r="AGR19" s="109"/>
      <c r="AGS19" s="109"/>
      <c r="AGT19" s="109"/>
      <c r="AGU19" s="109"/>
      <c r="AGV19" s="109"/>
      <c r="AGW19" s="109"/>
      <c r="AGX19" s="109"/>
      <c r="AGY19" s="109"/>
      <c r="AGZ19" s="109"/>
      <c r="AHA19" s="109"/>
      <c r="AHB19" s="109"/>
      <c r="AHC19" s="109"/>
      <c r="AHD19" s="109"/>
      <c r="AHE19" s="109"/>
      <c r="AHF19" s="109"/>
      <c r="AHG19" s="109"/>
      <c r="AHH19" s="109"/>
      <c r="AHI19" s="109"/>
      <c r="AHJ19" s="109"/>
      <c r="AHK19" s="109"/>
      <c r="AHL19" s="109"/>
      <c r="AHM19" s="109"/>
      <c r="AHN19" s="109"/>
      <c r="AHO19" s="109"/>
      <c r="AHP19" s="109"/>
      <c r="AHQ19" s="109"/>
      <c r="AHR19" s="109"/>
      <c r="AHS19" s="109"/>
      <c r="AHT19" s="109"/>
      <c r="AHU19" s="109"/>
      <c r="AHV19" s="109"/>
      <c r="AHW19" s="109"/>
      <c r="AHX19" s="109"/>
      <c r="AHY19" s="109"/>
      <c r="AHZ19" s="109"/>
      <c r="AIA19" s="109"/>
      <c r="AIB19" s="109"/>
      <c r="AIC19" s="109"/>
      <c r="AID19" s="109"/>
      <c r="AIE19" s="109"/>
      <c r="AIF19" s="109"/>
      <c r="AIG19" s="109"/>
      <c r="AIH19" s="109"/>
      <c r="AII19" s="109"/>
      <c r="AIJ19" s="109"/>
      <c r="AIK19" s="109"/>
      <c r="AIL19" s="109"/>
      <c r="AIM19" s="109"/>
      <c r="AIN19" s="109"/>
      <c r="AIO19" s="109"/>
      <c r="AIP19" s="109"/>
      <c r="AIQ19" s="109"/>
      <c r="AIR19" s="109"/>
      <c r="AIS19" s="109"/>
      <c r="AIT19" s="109"/>
      <c r="AIU19" s="109"/>
      <c r="AIV19" s="109"/>
      <c r="AIW19" s="109"/>
      <c r="AIX19" s="109"/>
      <c r="AIY19" s="109"/>
      <c r="AIZ19" s="109"/>
      <c r="AJA19" s="109"/>
      <c r="AJB19" s="109"/>
      <c r="AJC19" s="109"/>
      <c r="AJD19" s="109"/>
      <c r="AJE19" s="109"/>
      <c r="AJF19" s="109"/>
      <c r="AJG19" s="109"/>
      <c r="AJH19" s="109"/>
      <c r="AJI19" s="109"/>
      <c r="AJJ19" s="109"/>
      <c r="AJK19" s="109"/>
      <c r="AJL19" s="109"/>
      <c r="AJM19" s="109"/>
      <c r="AJN19" s="109"/>
      <c r="AJO19" s="109"/>
      <c r="AJP19" s="109"/>
      <c r="AJQ19" s="109"/>
      <c r="AJR19" s="109"/>
      <c r="AJS19" s="109"/>
      <c r="AJT19" s="109"/>
      <c r="AJU19" s="109"/>
      <c r="AJV19" s="109"/>
      <c r="AJW19" s="109"/>
      <c r="AJX19" s="109"/>
      <c r="AJY19" s="109"/>
      <c r="AJZ19" s="109"/>
      <c r="AKA19" s="109"/>
      <c r="AKB19" s="109"/>
      <c r="AKC19" s="109"/>
      <c r="AKD19" s="109"/>
      <c r="AKE19" s="109"/>
      <c r="AKF19" s="109"/>
      <c r="AKG19" s="109"/>
      <c r="AKH19" s="109"/>
      <c r="AKI19" s="109"/>
      <c r="AKJ19" s="109"/>
      <c r="AKK19" s="109"/>
      <c r="AKL19" s="109"/>
      <c r="AKM19" s="109"/>
      <c r="AKN19" s="109"/>
      <c r="AKO19" s="109"/>
      <c r="AKP19" s="109"/>
      <c r="AKQ19" s="109"/>
      <c r="AKR19" s="109"/>
      <c r="AKS19" s="109"/>
      <c r="AKT19" s="109"/>
      <c r="AKU19" s="109"/>
      <c r="AKV19" s="109"/>
      <c r="AKW19" s="109"/>
      <c r="AKX19" s="109"/>
      <c r="AKY19" s="109"/>
      <c r="AKZ19" s="109"/>
      <c r="ALA19" s="109"/>
      <c r="ALB19" s="109"/>
      <c r="ALC19" s="109"/>
      <c r="ALD19" s="109"/>
      <c r="ALE19" s="109"/>
      <c r="ALF19" s="109"/>
      <c r="ALG19" s="109"/>
      <c r="ALH19" s="109"/>
      <c r="ALI19" s="109"/>
      <c r="ALJ19" s="109"/>
      <c r="ALK19" s="109"/>
      <c r="ALL19" s="109"/>
      <c r="ALM19" s="109"/>
      <c r="ALN19" s="109"/>
      <c r="ALO19" s="109"/>
      <c r="ALP19" s="109"/>
      <c r="ALQ19" s="109"/>
      <c r="ALR19" s="109"/>
      <c r="ALS19" s="109"/>
      <c r="ALT19" s="109"/>
      <c r="ALU19" s="109"/>
      <c r="ALV19" s="109"/>
      <c r="ALW19" s="109"/>
      <c r="ALX19" s="109"/>
      <c r="ALY19" s="109"/>
      <c r="ALZ19" s="109"/>
      <c r="AMA19" s="109"/>
      <c r="AMB19" s="109"/>
      <c r="AMC19" s="109"/>
      <c r="AMD19" s="109"/>
      <c r="AME19" s="109"/>
      <c r="AMF19" s="109"/>
      <c r="AMG19" s="109"/>
      <c r="AMH19" s="109"/>
      <c r="AMI19" s="109"/>
      <c r="AMJ19" s="109"/>
      <c r="AMK19" s="109"/>
      <c r="AML19" s="109"/>
      <c r="AMM19" s="109"/>
      <c r="AMN19" s="109"/>
      <c r="AMO19" s="109"/>
      <c r="AMP19" s="109"/>
      <c r="AMQ19" s="109"/>
      <c r="AMR19" s="109"/>
      <c r="AMS19" s="109"/>
      <c r="AMT19" s="109"/>
      <c r="AMU19" s="109"/>
      <c r="AMV19" s="109"/>
      <c r="AMW19" s="109"/>
      <c r="AMX19" s="109"/>
      <c r="AMY19" s="109"/>
      <c r="AMZ19" s="109"/>
      <c r="ANA19" s="109"/>
      <c r="ANB19" s="109"/>
      <c r="ANC19" s="109"/>
      <c r="AND19" s="109"/>
      <c r="ANE19" s="109"/>
      <c r="ANF19" s="109"/>
      <c r="ANG19" s="109"/>
      <c r="ANH19" s="109"/>
      <c r="ANI19" s="109"/>
      <c r="ANJ19" s="109"/>
      <c r="ANK19" s="109"/>
      <c r="ANL19" s="109"/>
      <c r="ANM19" s="109"/>
      <c r="ANN19" s="109"/>
      <c r="ANO19" s="109"/>
      <c r="ANP19" s="109"/>
      <c r="ANQ19" s="109"/>
      <c r="ANR19" s="109"/>
      <c r="ANS19" s="109"/>
      <c r="ANT19" s="109"/>
      <c r="ANU19" s="109"/>
      <c r="ANV19" s="109"/>
      <c r="ANW19" s="109"/>
      <c r="ANX19" s="109"/>
      <c r="ANY19" s="109"/>
      <c r="ANZ19" s="109"/>
      <c r="AOA19" s="109"/>
      <c r="AOB19" s="109"/>
      <c r="AOC19" s="109"/>
      <c r="AOD19" s="109"/>
      <c r="AOE19" s="109"/>
      <c r="AOF19" s="109"/>
      <c r="AOG19" s="109"/>
      <c r="AOH19" s="109"/>
      <c r="AOI19" s="109"/>
      <c r="AOJ19" s="109"/>
      <c r="AOK19" s="109"/>
      <c r="AOL19" s="109"/>
      <c r="AOM19" s="109"/>
      <c r="AON19" s="109"/>
      <c r="AOO19" s="109"/>
      <c r="AOP19" s="109"/>
      <c r="AOQ19" s="109"/>
      <c r="AOR19" s="109"/>
      <c r="AOS19" s="109"/>
      <c r="AOT19" s="109"/>
      <c r="AOU19" s="109"/>
      <c r="AOV19" s="109"/>
      <c r="AOW19" s="109"/>
      <c r="AOX19" s="109"/>
      <c r="AOY19" s="109"/>
      <c r="AOZ19" s="109"/>
      <c r="APA19" s="109"/>
      <c r="APB19" s="109"/>
      <c r="APC19" s="109"/>
      <c r="APD19" s="109"/>
      <c r="APE19" s="109"/>
      <c r="APF19" s="109"/>
      <c r="APG19" s="109"/>
      <c r="APH19" s="109"/>
      <c r="API19" s="109"/>
      <c r="APJ19" s="109"/>
      <c r="APK19" s="109"/>
      <c r="APL19" s="109"/>
      <c r="APM19" s="109"/>
      <c r="APN19" s="109"/>
      <c r="APO19" s="109"/>
      <c r="APP19" s="109"/>
      <c r="APQ19" s="109"/>
      <c r="APR19" s="109"/>
      <c r="APS19" s="109"/>
      <c r="APT19" s="109"/>
      <c r="APU19" s="109"/>
      <c r="APV19" s="109"/>
      <c r="APW19" s="109"/>
      <c r="APX19" s="109"/>
      <c r="APY19" s="109"/>
      <c r="APZ19" s="109"/>
      <c r="AQA19" s="109"/>
      <c r="AQB19" s="109"/>
      <c r="AQC19" s="109"/>
      <c r="AQD19" s="109"/>
      <c r="AQE19" s="109"/>
      <c r="AQF19" s="109"/>
      <c r="AQG19" s="109"/>
      <c r="AQH19" s="109"/>
      <c r="AQI19" s="109"/>
      <c r="AQJ19" s="109"/>
      <c r="AQK19" s="109"/>
      <c r="AQL19" s="109"/>
      <c r="AQM19" s="109"/>
      <c r="AQN19" s="109"/>
      <c r="AQO19" s="109"/>
      <c r="AQP19" s="109"/>
      <c r="AQQ19" s="109"/>
      <c r="AQR19" s="109"/>
      <c r="AQS19" s="109"/>
      <c r="AQT19" s="109"/>
      <c r="AQU19" s="109"/>
      <c r="AQV19" s="109"/>
      <c r="AQW19" s="109"/>
      <c r="AQX19" s="109"/>
      <c r="AQY19" s="109"/>
      <c r="AQZ19" s="109"/>
      <c r="ARA19" s="109"/>
      <c r="ARB19" s="109"/>
      <c r="ARC19" s="109"/>
      <c r="ARD19" s="109"/>
      <c r="ARE19" s="109"/>
      <c r="ARF19" s="109"/>
      <c r="ARG19" s="109"/>
      <c r="ARH19" s="109"/>
      <c r="ARI19" s="109"/>
      <c r="ARJ19" s="109"/>
      <c r="ARK19" s="109"/>
      <c r="ARL19" s="109"/>
      <c r="ARM19" s="109"/>
      <c r="ARN19" s="109"/>
      <c r="ARO19" s="109"/>
      <c r="ARP19" s="109"/>
      <c r="ARQ19" s="109"/>
      <c r="ARR19" s="109"/>
      <c r="ARS19" s="109"/>
      <c r="ART19" s="109"/>
      <c r="ARU19" s="109"/>
      <c r="ARV19" s="109"/>
      <c r="ARW19" s="109"/>
      <c r="ARX19" s="109"/>
      <c r="ARY19" s="109"/>
      <c r="ARZ19" s="109"/>
      <c r="ASA19" s="109"/>
      <c r="ASB19" s="109"/>
      <c r="ASC19" s="109"/>
      <c r="ASD19" s="109"/>
      <c r="ASE19" s="109"/>
      <c r="ASF19" s="109"/>
      <c r="ASG19" s="109"/>
      <c r="ASH19" s="109"/>
      <c r="ASI19" s="109"/>
      <c r="ASJ19" s="109"/>
      <c r="ASK19" s="109"/>
      <c r="ASL19" s="109"/>
      <c r="ASM19" s="109"/>
      <c r="ASN19" s="109"/>
      <c r="ASO19" s="109"/>
      <c r="ASP19" s="109"/>
      <c r="ASQ19" s="109"/>
      <c r="ASR19" s="109"/>
      <c r="ASS19" s="109"/>
      <c r="AST19" s="109"/>
      <c r="ASU19" s="109"/>
      <c r="ASV19" s="109"/>
      <c r="ASW19" s="109"/>
      <c r="ASX19" s="109"/>
      <c r="ASY19" s="109"/>
      <c r="ASZ19" s="109"/>
      <c r="ATA19" s="109"/>
      <c r="ATB19" s="109"/>
      <c r="ATC19" s="109"/>
      <c r="ATD19" s="109"/>
      <c r="ATE19" s="109"/>
      <c r="ATF19" s="109"/>
      <c r="ATG19" s="109"/>
      <c r="ATH19" s="109"/>
      <c r="ATI19" s="109"/>
      <c r="ATJ19" s="109"/>
      <c r="ATK19" s="109"/>
      <c r="ATL19" s="109"/>
      <c r="ATM19" s="109"/>
      <c r="ATN19" s="109"/>
      <c r="ATO19" s="109"/>
      <c r="ATP19" s="109"/>
      <c r="ATQ19" s="109"/>
      <c r="ATR19" s="109"/>
      <c r="ATS19" s="109"/>
      <c r="ATT19" s="109"/>
      <c r="ATU19" s="109"/>
      <c r="ATV19" s="109"/>
      <c r="ATW19" s="109"/>
      <c r="ATX19" s="109"/>
      <c r="ATY19" s="109"/>
      <c r="ATZ19" s="109"/>
      <c r="AUA19" s="109"/>
      <c r="AUB19" s="109"/>
      <c r="AUC19" s="109"/>
      <c r="AUD19" s="109"/>
      <c r="AUE19" s="109"/>
      <c r="AUF19" s="109"/>
      <c r="AUG19" s="109"/>
      <c r="AUH19" s="109"/>
      <c r="AUI19" s="109"/>
      <c r="AUJ19" s="109"/>
      <c r="AUK19" s="109"/>
      <c r="AUL19" s="109"/>
      <c r="AUM19" s="109"/>
      <c r="AUN19" s="109"/>
      <c r="AUO19" s="109"/>
      <c r="AUP19" s="109"/>
      <c r="AUQ19" s="109"/>
      <c r="AUR19" s="109"/>
      <c r="AUS19" s="109"/>
      <c r="AUT19" s="109"/>
      <c r="AUU19" s="109"/>
      <c r="AUV19" s="109"/>
      <c r="AUW19" s="109"/>
      <c r="AUX19" s="109"/>
      <c r="AUY19" s="109"/>
      <c r="AUZ19" s="109"/>
      <c r="AVA19" s="109"/>
      <c r="AVB19" s="109"/>
      <c r="AVC19" s="109"/>
      <c r="AVD19" s="109"/>
      <c r="AVE19" s="109"/>
      <c r="AVF19" s="109"/>
      <c r="AVG19" s="109"/>
      <c r="AVH19" s="109"/>
      <c r="AVI19" s="109"/>
      <c r="AVJ19" s="109"/>
      <c r="AVK19" s="109"/>
      <c r="AVL19" s="109"/>
      <c r="AVM19" s="109"/>
      <c r="AVN19" s="109"/>
      <c r="AVO19" s="109"/>
      <c r="AVP19" s="109"/>
      <c r="AVQ19" s="109"/>
      <c r="AVR19" s="109"/>
      <c r="AVS19" s="109"/>
      <c r="AVT19" s="109"/>
      <c r="AVU19" s="109"/>
      <c r="AVV19" s="109"/>
      <c r="AVW19" s="109"/>
      <c r="AVX19" s="109"/>
      <c r="AVY19" s="109"/>
      <c r="AVZ19" s="109"/>
      <c r="AWA19" s="109"/>
      <c r="AWB19" s="109"/>
      <c r="AWC19" s="109"/>
      <c r="AWD19" s="109"/>
      <c r="AWE19" s="109"/>
      <c r="AWF19" s="109"/>
      <c r="AWG19" s="109"/>
      <c r="AWH19" s="109"/>
      <c r="AWI19" s="109"/>
      <c r="AWJ19" s="109"/>
      <c r="AWK19" s="109"/>
      <c r="AWL19" s="109"/>
      <c r="AWM19" s="109"/>
      <c r="AWN19" s="109"/>
      <c r="AWO19" s="109"/>
      <c r="AWP19" s="109"/>
      <c r="AWQ19" s="109"/>
      <c r="AWR19" s="109"/>
      <c r="AWS19" s="109"/>
      <c r="AWT19" s="109"/>
      <c r="AWU19" s="109"/>
      <c r="AWV19" s="109"/>
      <c r="AWW19" s="109"/>
      <c r="AWX19" s="109"/>
      <c r="AWY19" s="109"/>
      <c r="AWZ19" s="109"/>
      <c r="AXA19" s="109"/>
      <c r="AXB19" s="109"/>
      <c r="AXC19" s="109"/>
      <c r="AXD19" s="109"/>
      <c r="AXE19" s="109"/>
      <c r="AXF19" s="109"/>
      <c r="AXG19" s="109"/>
      <c r="AXH19" s="109"/>
      <c r="AXI19" s="109"/>
      <c r="AXJ19" s="109"/>
      <c r="AXK19" s="109"/>
      <c r="AXL19" s="109"/>
      <c r="AXM19" s="109"/>
      <c r="AXN19" s="109"/>
      <c r="AXO19" s="109"/>
      <c r="AXP19" s="109"/>
      <c r="AXQ19" s="109"/>
      <c r="AXR19" s="109"/>
      <c r="AXS19" s="109"/>
      <c r="AXT19" s="109"/>
      <c r="AXU19" s="109"/>
      <c r="AXV19" s="109"/>
      <c r="AXW19" s="109"/>
      <c r="AXX19" s="109"/>
      <c r="AXY19" s="109"/>
      <c r="AXZ19" s="109"/>
      <c r="AYA19" s="109"/>
      <c r="AYB19" s="109"/>
      <c r="AYC19" s="109"/>
      <c r="AYD19" s="109"/>
      <c r="AYE19" s="109"/>
      <c r="AYF19" s="109"/>
      <c r="AYG19" s="109"/>
      <c r="AYH19" s="109"/>
      <c r="AYI19" s="109"/>
      <c r="AYJ19" s="109"/>
      <c r="AYK19" s="109"/>
      <c r="AYL19" s="109"/>
      <c r="AYM19" s="109"/>
      <c r="AYN19" s="109"/>
      <c r="AYO19" s="109"/>
      <c r="AYP19" s="109"/>
      <c r="AYQ19" s="109"/>
      <c r="AYR19" s="109"/>
      <c r="AYS19" s="109"/>
      <c r="AYT19" s="109"/>
      <c r="AYU19" s="109"/>
      <c r="AYV19" s="109"/>
      <c r="AYW19" s="109"/>
      <c r="AYX19" s="109"/>
      <c r="AYY19" s="109"/>
      <c r="AYZ19" s="109"/>
      <c r="AZA19" s="109"/>
      <c r="AZB19" s="109"/>
      <c r="AZC19" s="109"/>
      <c r="AZD19" s="109"/>
      <c r="AZE19" s="109"/>
      <c r="AZF19" s="109"/>
      <c r="AZG19" s="109"/>
      <c r="AZH19" s="109"/>
      <c r="AZI19" s="109"/>
      <c r="AZJ19" s="109"/>
      <c r="AZK19" s="109"/>
      <c r="AZL19" s="109"/>
      <c r="AZM19" s="109"/>
      <c r="AZN19" s="109"/>
      <c r="AZO19" s="109"/>
      <c r="AZP19" s="109"/>
      <c r="AZQ19" s="109"/>
      <c r="AZR19" s="109"/>
      <c r="AZS19" s="109"/>
      <c r="AZT19" s="109"/>
      <c r="AZU19" s="109"/>
      <c r="AZV19" s="109"/>
      <c r="AZW19" s="109"/>
      <c r="AZX19" s="109"/>
      <c r="AZY19" s="109"/>
      <c r="AZZ19" s="109"/>
      <c r="BAA19" s="109"/>
      <c r="BAB19" s="109"/>
      <c r="BAC19" s="109"/>
      <c r="BAD19" s="109"/>
      <c r="BAE19" s="109"/>
      <c r="BAF19" s="109"/>
      <c r="BAG19" s="109"/>
      <c r="BAH19" s="109"/>
      <c r="BAI19" s="109"/>
      <c r="BAJ19" s="109"/>
      <c r="BAK19" s="109"/>
      <c r="BAL19" s="109"/>
      <c r="BAM19" s="109"/>
      <c r="BAN19" s="109"/>
      <c r="BAO19" s="109"/>
      <c r="BAP19" s="109"/>
      <c r="BAQ19" s="109"/>
      <c r="BAR19" s="109"/>
      <c r="BAS19" s="109"/>
      <c r="BAT19" s="109"/>
      <c r="BAU19" s="109"/>
      <c r="BAV19" s="109"/>
      <c r="BAW19" s="109"/>
      <c r="BAX19" s="109"/>
      <c r="BAY19" s="109"/>
      <c r="BAZ19" s="109"/>
      <c r="BBA19" s="109"/>
      <c r="BBB19" s="109"/>
      <c r="BBC19" s="109"/>
      <c r="BBD19" s="109"/>
      <c r="BBE19" s="109"/>
      <c r="BBF19" s="109"/>
      <c r="BBG19" s="109"/>
      <c r="BBH19" s="109"/>
      <c r="BBI19" s="109"/>
      <c r="BBJ19" s="109"/>
      <c r="BBK19" s="109"/>
      <c r="BBL19" s="109"/>
      <c r="BBM19" s="109"/>
      <c r="BBN19" s="109"/>
      <c r="BBO19" s="109"/>
      <c r="BBP19" s="109"/>
      <c r="BBQ19" s="109"/>
      <c r="BBR19" s="109"/>
      <c r="BBS19" s="109"/>
      <c r="BBT19" s="109"/>
      <c r="BBU19" s="109"/>
      <c r="BBV19" s="109"/>
      <c r="BBW19" s="109"/>
      <c r="BBX19" s="109"/>
      <c r="BBY19" s="109"/>
      <c r="BBZ19" s="109"/>
      <c r="BCA19" s="109"/>
      <c r="BCB19" s="109"/>
      <c r="BCC19" s="109"/>
      <c r="BCD19" s="109"/>
      <c r="BCE19" s="109"/>
      <c r="BCF19" s="109"/>
      <c r="BCG19" s="109"/>
      <c r="BCH19" s="109"/>
      <c r="BCI19" s="109"/>
      <c r="BCJ19" s="109"/>
      <c r="BCK19" s="109"/>
      <c r="BCL19" s="109"/>
      <c r="BCM19" s="109"/>
      <c r="BCN19" s="109"/>
      <c r="BCO19" s="109"/>
      <c r="BCP19" s="109"/>
      <c r="BCQ19" s="109"/>
      <c r="BCR19" s="109"/>
      <c r="BCS19" s="109"/>
      <c r="BCT19" s="109"/>
      <c r="BCU19" s="109"/>
      <c r="BCV19" s="109"/>
      <c r="BCW19" s="109"/>
      <c r="BCX19" s="109"/>
      <c r="BCY19" s="109"/>
      <c r="BCZ19" s="109"/>
      <c r="BDA19" s="109"/>
      <c r="BDB19" s="109"/>
      <c r="BDC19" s="109"/>
      <c r="BDD19" s="109"/>
      <c r="BDE19" s="109"/>
      <c r="BDF19" s="109"/>
      <c r="BDG19" s="109"/>
      <c r="BDH19" s="109"/>
      <c r="BDI19" s="109"/>
      <c r="BDJ19" s="109"/>
      <c r="BDK19" s="109"/>
      <c r="BDL19" s="109"/>
      <c r="BDM19" s="109"/>
      <c r="BDN19" s="109"/>
      <c r="BDO19" s="109"/>
      <c r="BDP19" s="109"/>
      <c r="BDQ19" s="109"/>
      <c r="BDR19" s="109"/>
      <c r="BDS19" s="109"/>
      <c r="BDT19" s="109"/>
      <c r="BDU19" s="109"/>
      <c r="BDV19" s="109"/>
      <c r="BDW19" s="109"/>
      <c r="BDX19" s="109"/>
      <c r="BDY19" s="109"/>
      <c r="BDZ19" s="109"/>
      <c r="BEA19" s="109"/>
      <c r="BEB19" s="109"/>
      <c r="BEC19" s="109"/>
      <c r="BED19" s="109"/>
      <c r="BEE19" s="109"/>
      <c r="BEF19" s="109"/>
      <c r="BEG19" s="109"/>
      <c r="BEH19" s="109"/>
      <c r="BEI19" s="109"/>
      <c r="BEJ19" s="109"/>
      <c r="BEK19" s="109"/>
    </row>
    <row r="20" spans="1:1493" customFormat="1" x14ac:dyDescent="0.2"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109"/>
      <c r="NM20" s="109"/>
      <c r="NN20" s="109"/>
      <c r="NO20" s="109"/>
      <c r="NP20" s="109"/>
      <c r="NQ20" s="109"/>
      <c r="NR20" s="109"/>
      <c r="NS20" s="109"/>
      <c r="NT20" s="109"/>
      <c r="NU20" s="109"/>
      <c r="NV20" s="109"/>
      <c r="NW20" s="109"/>
      <c r="NX20" s="109"/>
      <c r="NY20" s="109"/>
      <c r="NZ20" s="109"/>
      <c r="OA20" s="109"/>
      <c r="OB20" s="109"/>
      <c r="OC20" s="109"/>
      <c r="OD20" s="109"/>
      <c r="OE20" s="109"/>
      <c r="OF20" s="109"/>
      <c r="OG20" s="109"/>
      <c r="OH20" s="109"/>
      <c r="OI20" s="109"/>
      <c r="OJ20" s="109"/>
      <c r="OK20" s="109"/>
      <c r="OL20" s="109"/>
      <c r="OM20" s="109"/>
      <c r="ON20" s="109"/>
      <c r="OO20" s="109"/>
      <c r="OP20" s="109"/>
      <c r="OQ20" s="109"/>
      <c r="OR20" s="109"/>
      <c r="OS20" s="109"/>
      <c r="OT20" s="109"/>
      <c r="OU20" s="109"/>
      <c r="OV20" s="109"/>
      <c r="OW20" s="109"/>
      <c r="OX20" s="109"/>
      <c r="OY20" s="109"/>
      <c r="OZ20" s="109"/>
      <c r="PA20" s="109"/>
      <c r="PB20" s="109"/>
      <c r="PC20" s="109"/>
      <c r="PD20" s="109"/>
      <c r="PE20" s="109"/>
      <c r="PF20" s="109"/>
      <c r="PG20" s="109"/>
      <c r="PH20" s="109"/>
      <c r="PI20" s="109"/>
      <c r="PJ20" s="109"/>
      <c r="PK20" s="109"/>
      <c r="PL20" s="109"/>
      <c r="PM20" s="109"/>
      <c r="PN20" s="109"/>
      <c r="PO20" s="109"/>
      <c r="PP20" s="109"/>
      <c r="PQ20" s="109"/>
      <c r="PR20" s="109"/>
      <c r="PS20" s="109"/>
      <c r="PT20" s="109"/>
      <c r="PU20" s="109"/>
      <c r="PV20" s="109"/>
      <c r="PW20" s="109"/>
      <c r="PX20" s="109"/>
      <c r="PY20" s="109"/>
      <c r="PZ20" s="109"/>
      <c r="QA20" s="109"/>
      <c r="QB20" s="109"/>
      <c r="QC20" s="109"/>
      <c r="QD20" s="109"/>
      <c r="QE20" s="109"/>
      <c r="QF20" s="109"/>
      <c r="QG20" s="109"/>
      <c r="QH20" s="109"/>
      <c r="QI20" s="109"/>
      <c r="QJ20" s="109"/>
      <c r="QK20" s="109"/>
      <c r="QL20" s="109"/>
      <c r="QM20" s="109"/>
      <c r="QN20" s="109"/>
      <c r="QO20" s="109"/>
      <c r="QP20" s="109"/>
      <c r="QQ20" s="109"/>
      <c r="QR20" s="109"/>
      <c r="QS20" s="109"/>
      <c r="QT20" s="109"/>
      <c r="QU20" s="109"/>
      <c r="QV20" s="109"/>
      <c r="QW20" s="109"/>
      <c r="QX20" s="109"/>
      <c r="QY20" s="109"/>
      <c r="QZ20" s="109"/>
      <c r="RA20" s="109"/>
      <c r="RB20" s="109"/>
      <c r="RC20" s="109"/>
      <c r="RD20" s="109"/>
      <c r="RE20" s="109"/>
      <c r="RF20" s="109"/>
      <c r="RG20" s="109"/>
      <c r="RH20" s="109"/>
      <c r="RI20" s="109"/>
      <c r="RJ20" s="109"/>
      <c r="RK20" s="109"/>
      <c r="RL20" s="109"/>
      <c r="RM20" s="109"/>
      <c r="RN20" s="109"/>
      <c r="RO20" s="109"/>
      <c r="RP20" s="109"/>
      <c r="RQ20" s="109"/>
      <c r="RR20" s="109"/>
      <c r="RS20" s="109"/>
      <c r="RT20" s="109"/>
      <c r="RU20" s="109"/>
      <c r="RV20" s="109"/>
      <c r="RW20" s="109"/>
      <c r="RX20" s="109"/>
      <c r="RY20" s="109"/>
      <c r="RZ20" s="109"/>
      <c r="SA20" s="109"/>
      <c r="SB20" s="109"/>
      <c r="SC20" s="109"/>
      <c r="SD20" s="109"/>
      <c r="SE20" s="109"/>
      <c r="SF20" s="109"/>
      <c r="SG20" s="109"/>
      <c r="SH20" s="109"/>
      <c r="SI20" s="109"/>
      <c r="SJ20" s="109"/>
      <c r="SK20" s="109"/>
      <c r="SL20" s="109"/>
      <c r="SM20" s="109"/>
      <c r="SN20" s="109"/>
      <c r="SO20" s="109"/>
      <c r="SP20" s="109"/>
      <c r="SQ20" s="109"/>
      <c r="SR20" s="109"/>
      <c r="SS20" s="109"/>
      <c r="ST20" s="109"/>
      <c r="SU20" s="109"/>
      <c r="SV20" s="109"/>
      <c r="SW20" s="109"/>
      <c r="SX20" s="109"/>
      <c r="SY20" s="109"/>
      <c r="SZ20" s="109"/>
      <c r="TA20" s="109"/>
      <c r="TB20" s="109"/>
      <c r="TC20" s="109"/>
      <c r="TD20" s="109"/>
      <c r="TE20" s="109"/>
      <c r="TF20" s="109"/>
      <c r="TG20" s="109"/>
      <c r="TH20" s="109"/>
      <c r="TI20" s="109"/>
      <c r="TJ20" s="109"/>
      <c r="TK20" s="109"/>
      <c r="TL20" s="109"/>
      <c r="TM20" s="109"/>
      <c r="TN20" s="109"/>
      <c r="TO20" s="109"/>
      <c r="TP20" s="109"/>
      <c r="TQ20" s="109"/>
      <c r="TR20" s="109"/>
      <c r="TS20" s="109"/>
      <c r="TT20" s="109"/>
      <c r="TU20" s="109"/>
      <c r="TV20" s="109"/>
      <c r="TW20" s="109"/>
      <c r="TX20" s="109"/>
      <c r="TY20" s="109"/>
      <c r="TZ20" s="109"/>
      <c r="UA20" s="109"/>
      <c r="UB20" s="109"/>
      <c r="UC20" s="109"/>
      <c r="UD20" s="109"/>
      <c r="UE20" s="109"/>
      <c r="UF20" s="109"/>
      <c r="UG20" s="109"/>
      <c r="UH20" s="109"/>
      <c r="UI20" s="109"/>
      <c r="UJ20" s="109"/>
      <c r="UK20" s="109"/>
      <c r="UL20" s="109"/>
      <c r="UM20" s="109"/>
      <c r="UN20" s="109"/>
      <c r="UO20" s="109"/>
      <c r="UP20" s="109"/>
      <c r="UQ20" s="109"/>
      <c r="UR20" s="109"/>
      <c r="US20" s="109"/>
      <c r="UT20" s="109"/>
      <c r="UU20" s="109"/>
      <c r="UV20" s="109"/>
      <c r="UW20" s="109"/>
      <c r="UX20" s="109"/>
      <c r="UY20" s="109"/>
      <c r="UZ20" s="109"/>
      <c r="VA20" s="109"/>
      <c r="VB20" s="109"/>
      <c r="VC20" s="109"/>
      <c r="VD20" s="109"/>
      <c r="VE20" s="109"/>
      <c r="VF20" s="109"/>
      <c r="VG20" s="109"/>
      <c r="VH20" s="109"/>
      <c r="VI20" s="109"/>
      <c r="VJ20" s="109"/>
      <c r="VK20" s="109"/>
      <c r="VL20" s="109"/>
      <c r="VM20" s="109"/>
      <c r="VN20" s="109"/>
      <c r="VO20" s="109"/>
      <c r="VP20" s="109"/>
      <c r="VQ20" s="109"/>
      <c r="VR20" s="109"/>
      <c r="VS20" s="109"/>
      <c r="VT20" s="109"/>
      <c r="VU20" s="109"/>
      <c r="VV20" s="109"/>
      <c r="VW20" s="109"/>
      <c r="VX20" s="109"/>
      <c r="VY20" s="109"/>
      <c r="VZ20" s="109"/>
      <c r="WA20" s="109"/>
      <c r="WB20" s="109"/>
      <c r="WC20" s="109"/>
      <c r="WD20" s="109"/>
      <c r="WE20" s="109"/>
      <c r="WF20" s="109"/>
      <c r="WG20" s="109"/>
      <c r="WH20" s="109"/>
      <c r="WI20" s="109"/>
      <c r="WJ20" s="109"/>
      <c r="WK20" s="109"/>
      <c r="WL20" s="109"/>
      <c r="WM20" s="109"/>
      <c r="WN20" s="109"/>
      <c r="WO20" s="109"/>
      <c r="WP20" s="109"/>
      <c r="WQ20" s="109"/>
      <c r="WR20" s="109"/>
      <c r="WS20" s="109"/>
      <c r="WT20" s="109"/>
      <c r="WU20" s="109"/>
      <c r="WV20" s="109"/>
      <c r="WW20" s="109"/>
      <c r="WX20" s="109"/>
      <c r="WY20" s="109"/>
      <c r="WZ20" s="109"/>
      <c r="XA20" s="109"/>
      <c r="XB20" s="109"/>
      <c r="XC20" s="109"/>
      <c r="XD20" s="109"/>
      <c r="XE20" s="109"/>
      <c r="XF20" s="109"/>
      <c r="XG20" s="109"/>
      <c r="XH20" s="109"/>
      <c r="XI20" s="109"/>
      <c r="XJ20" s="109"/>
      <c r="XK20" s="109"/>
      <c r="XL20" s="109"/>
      <c r="XM20" s="109"/>
      <c r="XN20" s="109"/>
      <c r="XO20" s="109"/>
      <c r="XP20" s="109"/>
      <c r="XQ20" s="109"/>
      <c r="XR20" s="109"/>
      <c r="XS20" s="109"/>
      <c r="XT20" s="109"/>
      <c r="XU20" s="109"/>
      <c r="XV20" s="109"/>
      <c r="XW20" s="109"/>
      <c r="XX20" s="109"/>
      <c r="XY20" s="109"/>
      <c r="XZ20" s="109"/>
      <c r="YA20" s="109"/>
      <c r="YB20" s="109"/>
      <c r="YC20" s="109"/>
      <c r="YD20" s="109"/>
      <c r="YE20" s="109"/>
      <c r="YF20" s="109"/>
      <c r="YG20" s="109"/>
      <c r="YH20" s="109"/>
      <c r="YI20" s="109"/>
      <c r="YJ20" s="109"/>
      <c r="YK20" s="109"/>
      <c r="YL20" s="109"/>
      <c r="YM20" s="109"/>
      <c r="YN20" s="109"/>
      <c r="YO20" s="109"/>
      <c r="YP20" s="109"/>
      <c r="YQ20" s="109"/>
      <c r="YR20" s="109"/>
      <c r="YS20" s="109"/>
      <c r="YT20" s="109"/>
      <c r="YU20" s="109"/>
      <c r="YV20" s="109"/>
      <c r="YW20" s="109"/>
      <c r="YX20" s="109"/>
      <c r="YY20" s="109"/>
      <c r="YZ20" s="109"/>
      <c r="ZA20" s="109"/>
      <c r="ZB20" s="109"/>
      <c r="ZC20" s="109"/>
      <c r="ZD20" s="109"/>
      <c r="ZE20" s="109"/>
      <c r="ZF20" s="109"/>
      <c r="ZG20" s="109"/>
      <c r="ZH20" s="109"/>
      <c r="ZI20" s="109"/>
      <c r="ZJ20" s="109"/>
      <c r="ZK20" s="109"/>
      <c r="ZL20" s="109"/>
      <c r="ZM20" s="109"/>
      <c r="ZN20" s="109"/>
      <c r="ZO20" s="109"/>
      <c r="ZP20" s="109"/>
      <c r="ZQ20" s="109"/>
      <c r="ZR20" s="109"/>
      <c r="ZS20" s="109"/>
      <c r="ZT20" s="109"/>
      <c r="ZU20" s="109"/>
      <c r="ZV20" s="109"/>
      <c r="ZW20" s="109"/>
      <c r="ZX20" s="109"/>
      <c r="ZY20" s="109"/>
      <c r="ZZ20" s="109"/>
      <c r="AAA20" s="109"/>
      <c r="AAB20" s="109"/>
      <c r="AAC20" s="109"/>
      <c r="AAD20" s="109"/>
      <c r="AAE20" s="109"/>
      <c r="AAF20" s="109"/>
      <c r="AAG20" s="109"/>
      <c r="AAH20" s="109"/>
      <c r="AAI20" s="109"/>
      <c r="AAJ20" s="109"/>
      <c r="AAK20" s="109"/>
      <c r="AAL20" s="109"/>
      <c r="AAM20" s="109"/>
      <c r="AAN20" s="109"/>
      <c r="AAO20" s="109"/>
      <c r="AAP20" s="109"/>
      <c r="AAQ20" s="109"/>
      <c r="AAR20" s="109"/>
      <c r="AAS20" s="109"/>
      <c r="AAT20" s="109"/>
      <c r="AAU20" s="109"/>
      <c r="AAV20" s="109"/>
      <c r="AAW20" s="109"/>
      <c r="AAX20" s="109"/>
      <c r="AAY20" s="109"/>
      <c r="AAZ20" s="109"/>
      <c r="ABA20" s="109"/>
      <c r="ABB20" s="109"/>
      <c r="ABC20" s="109"/>
      <c r="ABD20" s="109"/>
      <c r="ABE20" s="109"/>
      <c r="ABF20" s="109"/>
      <c r="ABG20" s="109"/>
      <c r="ABH20" s="109"/>
      <c r="ABI20" s="109"/>
      <c r="ABJ20" s="109"/>
      <c r="ABK20" s="109"/>
      <c r="ABL20" s="109"/>
      <c r="ABM20" s="109"/>
      <c r="ABN20" s="109"/>
      <c r="ABO20" s="109"/>
      <c r="ABP20" s="109"/>
      <c r="ABQ20" s="109"/>
      <c r="ABR20" s="109"/>
      <c r="ABS20" s="109"/>
      <c r="ABT20" s="109"/>
      <c r="ABU20" s="109"/>
      <c r="ABV20" s="109"/>
      <c r="ABW20" s="109"/>
      <c r="ABX20" s="109"/>
      <c r="ABY20" s="109"/>
      <c r="ABZ20" s="109"/>
      <c r="ACA20" s="109"/>
      <c r="ACB20" s="109"/>
      <c r="ACC20" s="109"/>
      <c r="ACD20" s="109"/>
      <c r="ACE20" s="109"/>
      <c r="ACF20" s="109"/>
      <c r="ACG20" s="109"/>
      <c r="ACH20" s="109"/>
      <c r="ACI20" s="109"/>
      <c r="ACJ20" s="109"/>
      <c r="ACK20" s="109"/>
      <c r="ACL20" s="109"/>
      <c r="ACM20" s="109"/>
      <c r="ACN20" s="109"/>
      <c r="ACO20" s="109"/>
      <c r="ACP20" s="109"/>
      <c r="ACQ20" s="109"/>
      <c r="ACR20" s="109"/>
      <c r="ACS20" s="109"/>
      <c r="ACT20" s="109"/>
      <c r="ACU20" s="109"/>
      <c r="ACV20" s="109"/>
      <c r="ACW20" s="109"/>
      <c r="ACX20" s="109"/>
      <c r="ACY20" s="109"/>
      <c r="ACZ20" s="109"/>
      <c r="ADA20" s="109"/>
      <c r="ADB20" s="109"/>
      <c r="ADC20" s="109"/>
      <c r="ADD20" s="109"/>
      <c r="ADE20" s="109"/>
      <c r="ADF20" s="109"/>
      <c r="ADG20" s="109"/>
      <c r="ADH20" s="109"/>
      <c r="ADI20" s="109"/>
      <c r="ADJ20" s="109"/>
      <c r="ADK20" s="109"/>
      <c r="ADL20" s="109"/>
      <c r="ADM20" s="109"/>
      <c r="ADN20" s="109"/>
      <c r="ADO20" s="109"/>
      <c r="ADP20" s="109"/>
      <c r="ADQ20" s="109"/>
      <c r="ADR20" s="109"/>
      <c r="ADS20" s="109"/>
      <c r="ADT20" s="109"/>
      <c r="ADU20" s="109"/>
      <c r="ADV20" s="109"/>
      <c r="ADW20" s="109"/>
      <c r="ADX20" s="109"/>
      <c r="ADY20" s="109"/>
      <c r="ADZ20" s="109"/>
      <c r="AEA20" s="109"/>
      <c r="AEB20" s="109"/>
      <c r="AEC20" s="109"/>
      <c r="AED20" s="109"/>
      <c r="AEE20" s="109"/>
      <c r="AEF20" s="109"/>
      <c r="AEG20" s="109"/>
      <c r="AEH20" s="109"/>
      <c r="AEI20" s="109"/>
      <c r="AEJ20" s="109"/>
      <c r="AEK20" s="109"/>
      <c r="AEL20" s="109"/>
      <c r="AEM20" s="109"/>
      <c r="AEN20" s="109"/>
      <c r="AEO20" s="109"/>
      <c r="AEP20" s="109"/>
      <c r="AEQ20" s="109"/>
      <c r="AER20" s="109"/>
      <c r="AES20" s="109"/>
      <c r="AET20" s="109"/>
      <c r="AEU20" s="109"/>
      <c r="AEV20" s="109"/>
      <c r="AEW20" s="109"/>
      <c r="AEX20" s="109"/>
      <c r="AEY20" s="109"/>
      <c r="AEZ20" s="109"/>
      <c r="AFA20" s="109"/>
      <c r="AFB20" s="109"/>
      <c r="AFC20" s="109"/>
      <c r="AFD20" s="109"/>
      <c r="AFE20" s="109"/>
      <c r="AFF20" s="109"/>
      <c r="AFG20" s="109"/>
      <c r="AFH20" s="109"/>
      <c r="AFI20" s="109"/>
      <c r="AFJ20" s="109"/>
      <c r="AFK20" s="109"/>
      <c r="AFL20" s="109"/>
      <c r="AFM20" s="109"/>
      <c r="AFN20" s="109"/>
      <c r="AFO20" s="109"/>
      <c r="AFP20" s="109"/>
      <c r="AFQ20" s="109"/>
      <c r="AFR20" s="109"/>
      <c r="AFS20" s="109"/>
      <c r="AFT20" s="109"/>
      <c r="AFU20" s="109"/>
      <c r="AFV20" s="109"/>
      <c r="AFW20" s="109"/>
      <c r="AFX20" s="109"/>
      <c r="AFY20" s="109"/>
      <c r="AFZ20" s="109"/>
      <c r="AGA20" s="109"/>
      <c r="AGB20" s="109"/>
      <c r="AGC20" s="109"/>
      <c r="AGD20" s="109"/>
      <c r="AGE20" s="109"/>
      <c r="AGF20" s="109"/>
      <c r="AGG20" s="109"/>
      <c r="AGH20" s="109"/>
      <c r="AGI20" s="109"/>
      <c r="AGJ20" s="109"/>
      <c r="AGK20" s="109"/>
      <c r="AGL20" s="109"/>
      <c r="AGM20" s="109"/>
      <c r="AGN20" s="109"/>
      <c r="AGO20" s="109"/>
      <c r="AGP20" s="109"/>
      <c r="AGQ20" s="109"/>
      <c r="AGR20" s="109"/>
      <c r="AGS20" s="109"/>
      <c r="AGT20" s="109"/>
      <c r="AGU20" s="109"/>
      <c r="AGV20" s="109"/>
      <c r="AGW20" s="109"/>
      <c r="AGX20" s="109"/>
      <c r="AGY20" s="109"/>
      <c r="AGZ20" s="109"/>
      <c r="AHA20" s="109"/>
      <c r="AHB20" s="109"/>
      <c r="AHC20" s="109"/>
      <c r="AHD20" s="109"/>
      <c r="AHE20" s="109"/>
      <c r="AHF20" s="109"/>
      <c r="AHG20" s="109"/>
      <c r="AHH20" s="109"/>
      <c r="AHI20" s="109"/>
      <c r="AHJ20" s="109"/>
      <c r="AHK20" s="109"/>
      <c r="AHL20" s="109"/>
      <c r="AHM20" s="109"/>
      <c r="AHN20" s="109"/>
      <c r="AHO20" s="109"/>
      <c r="AHP20" s="109"/>
      <c r="AHQ20" s="109"/>
      <c r="AHR20" s="109"/>
      <c r="AHS20" s="109"/>
      <c r="AHT20" s="109"/>
      <c r="AHU20" s="109"/>
      <c r="AHV20" s="109"/>
      <c r="AHW20" s="109"/>
      <c r="AHX20" s="109"/>
      <c r="AHY20" s="109"/>
      <c r="AHZ20" s="109"/>
      <c r="AIA20" s="109"/>
      <c r="AIB20" s="109"/>
      <c r="AIC20" s="109"/>
      <c r="AID20" s="109"/>
      <c r="AIE20" s="109"/>
      <c r="AIF20" s="109"/>
      <c r="AIG20" s="109"/>
      <c r="AIH20" s="109"/>
      <c r="AII20" s="109"/>
      <c r="AIJ20" s="109"/>
      <c r="AIK20" s="109"/>
      <c r="AIL20" s="109"/>
      <c r="AIM20" s="109"/>
      <c r="AIN20" s="109"/>
      <c r="AIO20" s="109"/>
      <c r="AIP20" s="109"/>
      <c r="AIQ20" s="109"/>
      <c r="AIR20" s="109"/>
      <c r="AIS20" s="109"/>
      <c r="AIT20" s="109"/>
      <c r="AIU20" s="109"/>
      <c r="AIV20" s="109"/>
      <c r="AIW20" s="109"/>
      <c r="AIX20" s="109"/>
      <c r="AIY20" s="109"/>
      <c r="AIZ20" s="109"/>
      <c r="AJA20" s="109"/>
      <c r="AJB20" s="109"/>
      <c r="AJC20" s="109"/>
      <c r="AJD20" s="109"/>
      <c r="AJE20" s="109"/>
      <c r="AJF20" s="109"/>
      <c r="AJG20" s="109"/>
      <c r="AJH20" s="109"/>
      <c r="AJI20" s="109"/>
      <c r="AJJ20" s="109"/>
      <c r="AJK20" s="109"/>
      <c r="AJL20" s="109"/>
      <c r="AJM20" s="109"/>
      <c r="AJN20" s="109"/>
      <c r="AJO20" s="109"/>
      <c r="AJP20" s="109"/>
      <c r="AJQ20" s="109"/>
      <c r="AJR20" s="109"/>
      <c r="AJS20" s="109"/>
      <c r="AJT20" s="109"/>
      <c r="AJU20" s="109"/>
      <c r="AJV20" s="109"/>
      <c r="AJW20" s="109"/>
      <c r="AJX20" s="109"/>
      <c r="AJY20" s="109"/>
      <c r="AJZ20" s="109"/>
      <c r="AKA20" s="109"/>
      <c r="AKB20" s="109"/>
      <c r="AKC20" s="109"/>
      <c r="AKD20" s="109"/>
      <c r="AKE20" s="109"/>
      <c r="AKF20" s="109"/>
      <c r="AKG20" s="109"/>
      <c r="AKH20" s="109"/>
      <c r="AKI20" s="109"/>
      <c r="AKJ20" s="109"/>
      <c r="AKK20" s="109"/>
      <c r="AKL20" s="109"/>
      <c r="AKM20" s="109"/>
      <c r="AKN20" s="109"/>
      <c r="AKO20" s="109"/>
      <c r="AKP20" s="109"/>
      <c r="AKQ20" s="109"/>
      <c r="AKR20" s="109"/>
      <c r="AKS20" s="109"/>
      <c r="AKT20" s="109"/>
      <c r="AKU20" s="109"/>
      <c r="AKV20" s="109"/>
      <c r="AKW20" s="109"/>
      <c r="AKX20" s="109"/>
      <c r="AKY20" s="109"/>
      <c r="AKZ20" s="109"/>
      <c r="ALA20" s="109"/>
      <c r="ALB20" s="109"/>
      <c r="ALC20" s="109"/>
      <c r="ALD20" s="109"/>
      <c r="ALE20" s="109"/>
      <c r="ALF20" s="109"/>
      <c r="ALG20" s="109"/>
      <c r="ALH20" s="109"/>
      <c r="ALI20" s="109"/>
      <c r="ALJ20" s="109"/>
      <c r="ALK20" s="109"/>
      <c r="ALL20" s="109"/>
      <c r="ALM20" s="109"/>
      <c r="ALN20" s="109"/>
      <c r="ALO20" s="109"/>
      <c r="ALP20" s="109"/>
      <c r="ALQ20" s="109"/>
      <c r="ALR20" s="109"/>
      <c r="ALS20" s="109"/>
      <c r="ALT20" s="109"/>
      <c r="ALU20" s="109"/>
      <c r="ALV20" s="109"/>
      <c r="ALW20" s="109"/>
      <c r="ALX20" s="109"/>
      <c r="ALY20" s="109"/>
      <c r="ALZ20" s="109"/>
      <c r="AMA20" s="109"/>
      <c r="AMB20" s="109"/>
      <c r="AMC20" s="109"/>
      <c r="AMD20" s="109"/>
      <c r="AME20" s="109"/>
      <c r="AMF20" s="109"/>
      <c r="AMG20" s="109"/>
      <c r="AMH20" s="109"/>
      <c r="AMI20" s="109"/>
      <c r="AMJ20" s="109"/>
      <c r="AMK20" s="109"/>
      <c r="AML20" s="109"/>
      <c r="AMM20" s="109"/>
      <c r="AMN20" s="109"/>
      <c r="AMO20" s="109"/>
      <c r="AMP20" s="109"/>
      <c r="AMQ20" s="109"/>
      <c r="AMR20" s="109"/>
      <c r="AMS20" s="109"/>
      <c r="AMT20" s="109"/>
      <c r="AMU20" s="109"/>
      <c r="AMV20" s="109"/>
      <c r="AMW20" s="109"/>
      <c r="AMX20" s="109"/>
      <c r="AMY20" s="109"/>
      <c r="AMZ20" s="109"/>
      <c r="ANA20" s="109"/>
      <c r="ANB20" s="109"/>
      <c r="ANC20" s="109"/>
      <c r="AND20" s="109"/>
      <c r="ANE20" s="109"/>
      <c r="ANF20" s="109"/>
      <c r="ANG20" s="109"/>
      <c r="ANH20" s="109"/>
      <c r="ANI20" s="109"/>
      <c r="ANJ20" s="109"/>
      <c r="ANK20" s="109"/>
      <c r="ANL20" s="109"/>
      <c r="ANM20" s="109"/>
      <c r="ANN20" s="109"/>
      <c r="ANO20" s="109"/>
      <c r="ANP20" s="109"/>
      <c r="ANQ20" s="109"/>
      <c r="ANR20" s="109"/>
      <c r="ANS20" s="109"/>
      <c r="ANT20" s="109"/>
      <c r="ANU20" s="109"/>
      <c r="ANV20" s="109"/>
      <c r="ANW20" s="109"/>
      <c r="ANX20" s="109"/>
      <c r="ANY20" s="109"/>
      <c r="ANZ20" s="109"/>
      <c r="AOA20" s="109"/>
      <c r="AOB20" s="109"/>
      <c r="AOC20" s="109"/>
      <c r="AOD20" s="109"/>
      <c r="AOE20" s="109"/>
      <c r="AOF20" s="109"/>
      <c r="AOG20" s="109"/>
      <c r="AOH20" s="109"/>
      <c r="AOI20" s="109"/>
      <c r="AOJ20" s="109"/>
      <c r="AOK20" s="109"/>
      <c r="AOL20" s="109"/>
      <c r="AOM20" s="109"/>
      <c r="AON20" s="109"/>
      <c r="AOO20" s="109"/>
      <c r="AOP20" s="109"/>
      <c r="AOQ20" s="109"/>
      <c r="AOR20" s="109"/>
      <c r="AOS20" s="109"/>
      <c r="AOT20" s="109"/>
      <c r="AOU20" s="109"/>
      <c r="AOV20" s="109"/>
      <c r="AOW20" s="109"/>
      <c r="AOX20" s="109"/>
      <c r="AOY20" s="109"/>
      <c r="AOZ20" s="109"/>
      <c r="APA20" s="109"/>
      <c r="APB20" s="109"/>
      <c r="APC20" s="109"/>
      <c r="APD20" s="109"/>
      <c r="APE20" s="109"/>
      <c r="APF20" s="109"/>
      <c r="APG20" s="109"/>
      <c r="APH20" s="109"/>
      <c r="API20" s="109"/>
      <c r="APJ20" s="109"/>
      <c r="APK20" s="109"/>
      <c r="APL20" s="109"/>
      <c r="APM20" s="109"/>
      <c r="APN20" s="109"/>
      <c r="APO20" s="109"/>
      <c r="APP20" s="109"/>
      <c r="APQ20" s="109"/>
      <c r="APR20" s="109"/>
      <c r="APS20" s="109"/>
      <c r="APT20" s="109"/>
      <c r="APU20" s="109"/>
      <c r="APV20" s="109"/>
      <c r="APW20" s="109"/>
      <c r="APX20" s="109"/>
      <c r="APY20" s="109"/>
      <c r="APZ20" s="109"/>
      <c r="AQA20" s="109"/>
      <c r="AQB20" s="109"/>
      <c r="AQC20" s="109"/>
      <c r="AQD20" s="109"/>
      <c r="AQE20" s="109"/>
      <c r="AQF20" s="109"/>
      <c r="AQG20" s="109"/>
      <c r="AQH20" s="109"/>
      <c r="AQI20" s="109"/>
      <c r="AQJ20" s="109"/>
      <c r="AQK20" s="109"/>
      <c r="AQL20" s="109"/>
      <c r="AQM20" s="109"/>
      <c r="AQN20" s="109"/>
      <c r="AQO20" s="109"/>
      <c r="AQP20" s="109"/>
      <c r="AQQ20" s="109"/>
      <c r="AQR20" s="109"/>
      <c r="AQS20" s="109"/>
      <c r="AQT20" s="109"/>
      <c r="AQU20" s="109"/>
      <c r="AQV20" s="109"/>
      <c r="AQW20" s="109"/>
      <c r="AQX20" s="109"/>
      <c r="AQY20" s="109"/>
      <c r="AQZ20" s="109"/>
      <c r="ARA20" s="109"/>
      <c r="ARB20" s="109"/>
      <c r="ARC20" s="109"/>
      <c r="ARD20" s="109"/>
      <c r="ARE20" s="109"/>
      <c r="ARF20" s="109"/>
      <c r="ARG20" s="109"/>
      <c r="ARH20" s="109"/>
      <c r="ARI20" s="109"/>
      <c r="ARJ20" s="109"/>
      <c r="ARK20" s="109"/>
      <c r="ARL20" s="109"/>
      <c r="ARM20" s="109"/>
      <c r="ARN20" s="109"/>
      <c r="ARO20" s="109"/>
      <c r="ARP20" s="109"/>
      <c r="ARQ20" s="109"/>
      <c r="ARR20" s="109"/>
      <c r="ARS20" s="109"/>
      <c r="ART20" s="109"/>
      <c r="ARU20" s="109"/>
      <c r="ARV20" s="109"/>
      <c r="ARW20" s="109"/>
      <c r="ARX20" s="109"/>
      <c r="ARY20" s="109"/>
      <c r="ARZ20" s="109"/>
      <c r="ASA20" s="109"/>
      <c r="ASB20" s="109"/>
      <c r="ASC20" s="109"/>
      <c r="ASD20" s="109"/>
      <c r="ASE20" s="109"/>
      <c r="ASF20" s="109"/>
      <c r="ASG20" s="109"/>
      <c r="ASH20" s="109"/>
      <c r="ASI20" s="109"/>
      <c r="ASJ20" s="109"/>
      <c r="ASK20" s="109"/>
      <c r="ASL20" s="109"/>
      <c r="ASM20" s="109"/>
      <c r="ASN20" s="109"/>
      <c r="ASO20" s="109"/>
      <c r="ASP20" s="109"/>
      <c r="ASQ20" s="109"/>
      <c r="ASR20" s="109"/>
      <c r="ASS20" s="109"/>
      <c r="AST20" s="109"/>
      <c r="ASU20" s="109"/>
      <c r="ASV20" s="109"/>
      <c r="ASW20" s="109"/>
      <c r="ASX20" s="109"/>
      <c r="ASY20" s="109"/>
      <c r="ASZ20" s="109"/>
      <c r="ATA20" s="109"/>
      <c r="ATB20" s="109"/>
      <c r="ATC20" s="109"/>
      <c r="ATD20" s="109"/>
      <c r="ATE20" s="109"/>
      <c r="ATF20" s="109"/>
      <c r="ATG20" s="109"/>
      <c r="ATH20" s="109"/>
      <c r="ATI20" s="109"/>
      <c r="ATJ20" s="109"/>
      <c r="ATK20" s="109"/>
      <c r="ATL20" s="109"/>
      <c r="ATM20" s="109"/>
      <c r="ATN20" s="109"/>
      <c r="ATO20" s="109"/>
      <c r="ATP20" s="109"/>
      <c r="ATQ20" s="109"/>
      <c r="ATR20" s="109"/>
      <c r="ATS20" s="109"/>
      <c r="ATT20" s="109"/>
      <c r="ATU20" s="109"/>
      <c r="ATV20" s="109"/>
      <c r="ATW20" s="109"/>
      <c r="ATX20" s="109"/>
      <c r="ATY20" s="109"/>
      <c r="ATZ20" s="109"/>
      <c r="AUA20" s="109"/>
      <c r="AUB20" s="109"/>
      <c r="AUC20" s="109"/>
      <c r="AUD20" s="109"/>
      <c r="AUE20" s="109"/>
      <c r="AUF20" s="109"/>
      <c r="AUG20" s="109"/>
      <c r="AUH20" s="109"/>
      <c r="AUI20" s="109"/>
      <c r="AUJ20" s="109"/>
      <c r="AUK20" s="109"/>
      <c r="AUL20" s="109"/>
      <c r="AUM20" s="109"/>
      <c r="AUN20" s="109"/>
      <c r="AUO20" s="109"/>
      <c r="AUP20" s="109"/>
      <c r="AUQ20" s="109"/>
      <c r="AUR20" s="109"/>
      <c r="AUS20" s="109"/>
      <c r="AUT20" s="109"/>
      <c r="AUU20" s="109"/>
      <c r="AUV20" s="109"/>
      <c r="AUW20" s="109"/>
      <c r="AUX20" s="109"/>
      <c r="AUY20" s="109"/>
      <c r="AUZ20" s="109"/>
      <c r="AVA20" s="109"/>
      <c r="AVB20" s="109"/>
      <c r="AVC20" s="109"/>
      <c r="AVD20" s="109"/>
      <c r="AVE20" s="109"/>
      <c r="AVF20" s="109"/>
      <c r="AVG20" s="109"/>
      <c r="AVH20" s="109"/>
      <c r="AVI20" s="109"/>
      <c r="AVJ20" s="109"/>
      <c r="AVK20" s="109"/>
      <c r="AVL20" s="109"/>
      <c r="AVM20" s="109"/>
      <c r="AVN20" s="109"/>
      <c r="AVO20" s="109"/>
      <c r="AVP20" s="109"/>
      <c r="AVQ20" s="109"/>
      <c r="AVR20" s="109"/>
      <c r="AVS20" s="109"/>
      <c r="AVT20" s="109"/>
      <c r="AVU20" s="109"/>
      <c r="AVV20" s="109"/>
      <c r="AVW20" s="109"/>
      <c r="AVX20" s="109"/>
      <c r="AVY20" s="109"/>
      <c r="AVZ20" s="109"/>
      <c r="AWA20" s="109"/>
      <c r="AWB20" s="109"/>
      <c r="AWC20" s="109"/>
      <c r="AWD20" s="109"/>
      <c r="AWE20" s="109"/>
      <c r="AWF20" s="109"/>
      <c r="AWG20" s="109"/>
      <c r="AWH20" s="109"/>
      <c r="AWI20" s="109"/>
      <c r="AWJ20" s="109"/>
      <c r="AWK20" s="109"/>
      <c r="AWL20" s="109"/>
      <c r="AWM20" s="109"/>
      <c r="AWN20" s="109"/>
      <c r="AWO20" s="109"/>
      <c r="AWP20" s="109"/>
      <c r="AWQ20" s="109"/>
      <c r="AWR20" s="109"/>
      <c r="AWS20" s="109"/>
      <c r="AWT20" s="109"/>
      <c r="AWU20" s="109"/>
      <c r="AWV20" s="109"/>
      <c r="AWW20" s="109"/>
      <c r="AWX20" s="109"/>
      <c r="AWY20" s="109"/>
      <c r="AWZ20" s="109"/>
      <c r="AXA20" s="109"/>
      <c r="AXB20" s="109"/>
      <c r="AXC20" s="109"/>
      <c r="AXD20" s="109"/>
      <c r="AXE20" s="109"/>
      <c r="AXF20" s="109"/>
      <c r="AXG20" s="109"/>
      <c r="AXH20" s="109"/>
      <c r="AXI20" s="109"/>
      <c r="AXJ20" s="109"/>
      <c r="AXK20" s="109"/>
      <c r="AXL20" s="109"/>
      <c r="AXM20" s="109"/>
      <c r="AXN20" s="109"/>
      <c r="AXO20" s="109"/>
      <c r="AXP20" s="109"/>
      <c r="AXQ20" s="109"/>
      <c r="AXR20" s="109"/>
      <c r="AXS20" s="109"/>
      <c r="AXT20" s="109"/>
      <c r="AXU20" s="109"/>
      <c r="AXV20" s="109"/>
      <c r="AXW20" s="109"/>
      <c r="AXX20" s="109"/>
      <c r="AXY20" s="109"/>
      <c r="AXZ20" s="109"/>
      <c r="AYA20" s="109"/>
      <c r="AYB20" s="109"/>
      <c r="AYC20" s="109"/>
      <c r="AYD20" s="109"/>
      <c r="AYE20" s="109"/>
      <c r="AYF20" s="109"/>
      <c r="AYG20" s="109"/>
      <c r="AYH20" s="109"/>
      <c r="AYI20" s="109"/>
      <c r="AYJ20" s="109"/>
      <c r="AYK20" s="109"/>
      <c r="AYL20" s="109"/>
      <c r="AYM20" s="109"/>
      <c r="AYN20" s="109"/>
      <c r="AYO20" s="109"/>
      <c r="AYP20" s="109"/>
      <c r="AYQ20" s="109"/>
      <c r="AYR20" s="109"/>
      <c r="AYS20" s="109"/>
      <c r="AYT20" s="109"/>
      <c r="AYU20" s="109"/>
      <c r="AYV20" s="109"/>
      <c r="AYW20" s="109"/>
      <c r="AYX20" s="109"/>
      <c r="AYY20" s="109"/>
      <c r="AYZ20" s="109"/>
      <c r="AZA20" s="109"/>
      <c r="AZB20" s="109"/>
      <c r="AZC20" s="109"/>
      <c r="AZD20" s="109"/>
      <c r="AZE20" s="109"/>
      <c r="AZF20" s="109"/>
      <c r="AZG20" s="109"/>
      <c r="AZH20" s="109"/>
      <c r="AZI20" s="109"/>
      <c r="AZJ20" s="109"/>
      <c r="AZK20" s="109"/>
      <c r="AZL20" s="109"/>
      <c r="AZM20" s="109"/>
      <c r="AZN20" s="109"/>
      <c r="AZO20" s="109"/>
      <c r="AZP20" s="109"/>
      <c r="AZQ20" s="109"/>
      <c r="AZR20" s="109"/>
      <c r="AZS20" s="109"/>
      <c r="AZT20" s="109"/>
      <c r="AZU20" s="109"/>
      <c r="AZV20" s="109"/>
      <c r="AZW20" s="109"/>
      <c r="AZX20" s="109"/>
      <c r="AZY20" s="109"/>
      <c r="AZZ20" s="109"/>
      <c r="BAA20" s="109"/>
      <c r="BAB20" s="109"/>
      <c r="BAC20" s="109"/>
      <c r="BAD20" s="109"/>
      <c r="BAE20" s="109"/>
      <c r="BAF20" s="109"/>
      <c r="BAG20" s="109"/>
      <c r="BAH20" s="109"/>
      <c r="BAI20" s="109"/>
      <c r="BAJ20" s="109"/>
      <c r="BAK20" s="109"/>
      <c r="BAL20" s="109"/>
      <c r="BAM20" s="109"/>
      <c r="BAN20" s="109"/>
      <c r="BAO20" s="109"/>
      <c r="BAP20" s="109"/>
      <c r="BAQ20" s="109"/>
      <c r="BAR20" s="109"/>
      <c r="BAS20" s="109"/>
      <c r="BAT20" s="109"/>
      <c r="BAU20" s="109"/>
      <c r="BAV20" s="109"/>
      <c r="BAW20" s="109"/>
      <c r="BAX20" s="109"/>
      <c r="BAY20" s="109"/>
      <c r="BAZ20" s="109"/>
      <c r="BBA20" s="109"/>
      <c r="BBB20" s="109"/>
      <c r="BBC20" s="109"/>
      <c r="BBD20" s="109"/>
      <c r="BBE20" s="109"/>
      <c r="BBF20" s="109"/>
      <c r="BBG20" s="109"/>
      <c r="BBH20" s="109"/>
      <c r="BBI20" s="109"/>
      <c r="BBJ20" s="109"/>
      <c r="BBK20" s="109"/>
      <c r="BBL20" s="109"/>
      <c r="BBM20" s="109"/>
      <c r="BBN20" s="109"/>
      <c r="BBO20" s="109"/>
      <c r="BBP20" s="109"/>
      <c r="BBQ20" s="109"/>
      <c r="BBR20" s="109"/>
      <c r="BBS20" s="109"/>
      <c r="BBT20" s="109"/>
      <c r="BBU20" s="109"/>
      <c r="BBV20" s="109"/>
      <c r="BBW20" s="109"/>
      <c r="BBX20" s="109"/>
      <c r="BBY20" s="109"/>
      <c r="BBZ20" s="109"/>
      <c r="BCA20" s="109"/>
      <c r="BCB20" s="109"/>
      <c r="BCC20" s="109"/>
      <c r="BCD20" s="109"/>
      <c r="BCE20" s="109"/>
      <c r="BCF20" s="109"/>
      <c r="BCG20" s="109"/>
      <c r="BCH20" s="109"/>
      <c r="BCI20" s="109"/>
      <c r="BCJ20" s="109"/>
      <c r="BCK20" s="109"/>
      <c r="BCL20" s="109"/>
      <c r="BCM20" s="109"/>
      <c r="BCN20" s="109"/>
      <c r="BCO20" s="109"/>
      <c r="BCP20" s="109"/>
      <c r="BCQ20" s="109"/>
      <c r="BCR20" s="109"/>
      <c r="BCS20" s="109"/>
      <c r="BCT20" s="109"/>
      <c r="BCU20" s="109"/>
      <c r="BCV20" s="109"/>
      <c r="BCW20" s="109"/>
      <c r="BCX20" s="109"/>
      <c r="BCY20" s="109"/>
      <c r="BCZ20" s="109"/>
      <c r="BDA20" s="109"/>
      <c r="BDB20" s="109"/>
      <c r="BDC20" s="109"/>
      <c r="BDD20" s="109"/>
      <c r="BDE20" s="109"/>
      <c r="BDF20" s="109"/>
      <c r="BDG20" s="109"/>
      <c r="BDH20" s="109"/>
      <c r="BDI20" s="109"/>
      <c r="BDJ20" s="109"/>
      <c r="BDK20" s="109"/>
      <c r="BDL20" s="109"/>
      <c r="BDM20" s="109"/>
      <c r="BDN20" s="109"/>
      <c r="BDO20" s="109"/>
      <c r="BDP20" s="109"/>
      <c r="BDQ20" s="109"/>
      <c r="BDR20" s="109"/>
      <c r="BDS20" s="109"/>
      <c r="BDT20" s="109"/>
      <c r="BDU20" s="109"/>
      <c r="BDV20" s="109"/>
      <c r="BDW20" s="109"/>
      <c r="BDX20" s="109"/>
      <c r="BDY20" s="109"/>
      <c r="BDZ20" s="109"/>
      <c r="BEA20" s="109"/>
      <c r="BEB20" s="109"/>
      <c r="BEC20" s="109"/>
      <c r="BED20" s="109"/>
      <c r="BEE20" s="109"/>
      <c r="BEF20" s="109"/>
      <c r="BEG20" s="109"/>
      <c r="BEH20" s="109"/>
      <c r="BEI20" s="109"/>
      <c r="BEJ20" s="109"/>
      <c r="BEK20" s="109"/>
    </row>
    <row r="21" spans="1:1493" customFormat="1" x14ac:dyDescent="0.2"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109"/>
      <c r="NM21" s="109"/>
      <c r="NN21" s="109"/>
      <c r="NO21" s="109"/>
      <c r="NP21" s="109"/>
      <c r="NQ21" s="109"/>
      <c r="NR21" s="109"/>
      <c r="NS21" s="109"/>
      <c r="NT21" s="109"/>
      <c r="NU21" s="109"/>
      <c r="NV21" s="109"/>
      <c r="NW21" s="109"/>
      <c r="NX21" s="109"/>
      <c r="NY21" s="109"/>
      <c r="NZ21" s="109"/>
      <c r="OA21" s="109"/>
      <c r="OB21" s="109"/>
      <c r="OC21" s="109"/>
      <c r="OD21" s="109"/>
      <c r="OE21" s="109"/>
      <c r="OF21" s="109"/>
      <c r="OG21" s="109"/>
      <c r="OH21" s="109"/>
      <c r="OI21" s="109"/>
      <c r="OJ21" s="109"/>
      <c r="OK21" s="109"/>
      <c r="OL21" s="109"/>
      <c r="OM21" s="109"/>
      <c r="ON21" s="109"/>
      <c r="OO21" s="109"/>
      <c r="OP21" s="109"/>
      <c r="OQ21" s="109"/>
      <c r="OR21" s="109"/>
      <c r="OS21" s="109"/>
      <c r="OT21" s="109"/>
      <c r="OU21" s="109"/>
      <c r="OV21" s="109"/>
      <c r="OW21" s="109"/>
      <c r="OX21" s="109"/>
      <c r="OY21" s="109"/>
      <c r="OZ21" s="109"/>
      <c r="PA21" s="109"/>
      <c r="PB21" s="109"/>
      <c r="PC21" s="109"/>
      <c r="PD21" s="109"/>
      <c r="PE21" s="109"/>
      <c r="PF21" s="109"/>
      <c r="PG21" s="109"/>
      <c r="PH21" s="109"/>
      <c r="PI21" s="109"/>
      <c r="PJ21" s="109"/>
      <c r="PK21" s="109"/>
      <c r="PL21" s="109"/>
      <c r="PM21" s="109"/>
      <c r="PN21" s="109"/>
      <c r="PO21" s="109"/>
      <c r="PP21" s="109"/>
      <c r="PQ21" s="109"/>
      <c r="PR21" s="109"/>
      <c r="PS21" s="109"/>
      <c r="PT21" s="109"/>
      <c r="PU21" s="109"/>
      <c r="PV21" s="109"/>
      <c r="PW21" s="109"/>
      <c r="PX21" s="109"/>
      <c r="PY21" s="109"/>
      <c r="PZ21" s="109"/>
      <c r="QA21" s="109"/>
      <c r="QB21" s="109"/>
      <c r="QC21" s="109"/>
      <c r="QD21" s="109"/>
      <c r="QE21" s="109"/>
      <c r="QF21" s="109"/>
      <c r="QG21" s="109"/>
      <c r="QH21" s="109"/>
      <c r="QI21" s="109"/>
      <c r="QJ21" s="109"/>
      <c r="QK21" s="109"/>
      <c r="QL21" s="109"/>
      <c r="QM21" s="109"/>
      <c r="QN21" s="109"/>
      <c r="QO21" s="109"/>
      <c r="QP21" s="109"/>
      <c r="QQ21" s="109"/>
      <c r="QR21" s="109"/>
      <c r="QS21" s="109"/>
      <c r="QT21" s="109"/>
      <c r="QU21" s="109"/>
      <c r="QV21" s="109"/>
      <c r="QW21" s="109"/>
      <c r="QX21" s="109"/>
      <c r="QY21" s="109"/>
      <c r="QZ21" s="109"/>
      <c r="RA21" s="109"/>
      <c r="RB21" s="109"/>
      <c r="RC21" s="109"/>
      <c r="RD21" s="109"/>
      <c r="RE21" s="109"/>
      <c r="RF21" s="109"/>
      <c r="RG21" s="109"/>
      <c r="RH21" s="109"/>
      <c r="RI21" s="109"/>
      <c r="RJ21" s="109"/>
      <c r="RK21" s="109"/>
      <c r="RL21" s="109"/>
      <c r="RM21" s="109"/>
      <c r="RN21" s="109"/>
      <c r="RO21" s="109"/>
      <c r="RP21" s="109"/>
      <c r="RQ21" s="109"/>
      <c r="RR21" s="109"/>
      <c r="RS21" s="109"/>
      <c r="RT21" s="109"/>
      <c r="RU21" s="109"/>
      <c r="RV21" s="109"/>
      <c r="RW21" s="109"/>
      <c r="RX21" s="109"/>
      <c r="RY21" s="109"/>
      <c r="RZ21" s="109"/>
      <c r="SA21" s="109"/>
      <c r="SB21" s="109"/>
      <c r="SC21" s="109"/>
      <c r="SD21" s="109"/>
      <c r="SE21" s="109"/>
      <c r="SF21" s="109"/>
      <c r="SG21" s="109"/>
      <c r="SH21" s="109"/>
      <c r="SI21" s="109"/>
      <c r="SJ21" s="109"/>
      <c r="SK21" s="109"/>
      <c r="SL21" s="109"/>
      <c r="SM21" s="109"/>
      <c r="SN21" s="109"/>
      <c r="SO21" s="109"/>
      <c r="SP21" s="109"/>
      <c r="SQ21" s="109"/>
      <c r="SR21" s="109"/>
      <c r="SS21" s="109"/>
      <c r="ST21" s="109"/>
      <c r="SU21" s="109"/>
      <c r="SV21" s="109"/>
      <c r="SW21" s="109"/>
      <c r="SX21" s="109"/>
      <c r="SY21" s="109"/>
      <c r="SZ21" s="109"/>
      <c r="TA21" s="109"/>
      <c r="TB21" s="109"/>
      <c r="TC21" s="109"/>
      <c r="TD21" s="109"/>
      <c r="TE21" s="109"/>
      <c r="TF21" s="109"/>
      <c r="TG21" s="109"/>
      <c r="TH21" s="109"/>
      <c r="TI21" s="109"/>
      <c r="TJ21" s="109"/>
      <c r="TK21" s="109"/>
      <c r="TL21" s="109"/>
      <c r="TM21" s="109"/>
      <c r="TN21" s="109"/>
      <c r="TO21" s="109"/>
      <c r="TP21" s="109"/>
      <c r="TQ21" s="109"/>
      <c r="TR21" s="109"/>
      <c r="TS21" s="109"/>
      <c r="TT21" s="109"/>
      <c r="TU21" s="109"/>
      <c r="TV21" s="109"/>
      <c r="TW21" s="109"/>
      <c r="TX21" s="109"/>
      <c r="TY21" s="109"/>
      <c r="TZ21" s="109"/>
      <c r="UA21" s="109"/>
      <c r="UB21" s="109"/>
      <c r="UC21" s="109"/>
      <c r="UD21" s="109"/>
      <c r="UE21" s="109"/>
      <c r="UF21" s="109"/>
      <c r="UG21" s="109"/>
      <c r="UH21" s="109"/>
      <c r="UI21" s="109"/>
      <c r="UJ21" s="109"/>
      <c r="UK21" s="109"/>
      <c r="UL21" s="109"/>
      <c r="UM21" s="109"/>
      <c r="UN21" s="109"/>
      <c r="UO21" s="109"/>
      <c r="UP21" s="109"/>
      <c r="UQ21" s="109"/>
      <c r="UR21" s="109"/>
      <c r="US21" s="109"/>
      <c r="UT21" s="109"/>
      <c r="UU21" s="109"/>
      <c r="UV21" s="109"/>
      <c r="UW21" s="109"/>
      <c r="UX21" s="109"/>
      <c r="UY21" s="109"/>
      <c r="UZ21" s="109"/>
      <c r="VA21" s="109"/>
      <c r="VB21" s="109"/>
      <c r="VC21" s="109"/>
      <c r="VD21" s="109"/>
      <c r="VE21" s="109"/>
      <c r="VF21" s="109"/>
      <c r="VG21" s="109"/>
      <c r="VH21" s="109"/>
      <c r="VI21" s="109"/>
      <c r="VJ21" s="109"/>
      <c r="VK21" s="109"/>
      <c r="VL21" s="109"/>
      <c r="VM21" s="109"/>
      <c r="VN21" s="109"/>
      <c r="VO21" s="109"/>
      <c r="VP21" s="109"/>
      <c r="VQ21" s="109"/>
      <c r="VR21" s="109"/>
      <c r="VS21" s="109"/>
      <c r="VT21" s="109"/>
      <c r="VU21" s="109"/>
      <c r="VV21" s="109"/>
      <c r="VW21" s="109"/>
      <c r="VX21" s="109"/>
      <c r="VY21" s="109"/>
      <c r="VZ21" s="109"/>
      <c r="WA21" s="109"/>
      <c r="WB21" s="109"/>
      <c r="WC21" s="109"/>
      <c r="WD21" s="109"/>
      <c r="WE21" s="109"/>
      <c r="WF21" s="109"/>
      <c r="WG21" s="109"/>
      <c r="WH21" s="109"/>
      <c r="WI21" s="109"/>
      <c r="WJ21" s="109"/>
      <c r="WK21" s="109"/>
      <c r="WL21" s="109"/>
      <c r="WM21" s="109"/>
      <c r="WN21" s="109"/>
      <c r="WO21" s="109"/>
      <c r="WP21" s="109"/>
      <c r="WQ21" s="109"/>
      <c r="WR21" s="109"/>
      <c r="WS21" s="109"/>
      <c r="WT21" s="109"/>
      <c r="WU21" s="109"/>
      <c r="WV21" s="109"/>
      <c r="WW21" s="109"/>
      <c r="WX21" s="109"/>
      <c r="WY21" s="109"/>
      <c r="WZ21" s="109"/>
      <c r="XA21" s="109"/>
      <c r="XB21" s="109"/>
      <c r="XC21" s="109"/>
      <c r="XD21" s="109"/>
      <c r="XE21" s="109"/>
      <c r="XF21" s="109"/>
      <c r="XG21" s="109"/>
      <c r="XH21" s="109"/>
      <c r="XI21" s="109"/>
      <c r="XJ21" s="109"/>
      <c r="XK21" s="109"/>
      <c r="XL21" s="109"/>
      <c r="XM21" s="109"/>
      <c r="XN21" s="109"/>
      <c r="XO21" s="109"/>
      <c r="XP21" s="109"/>
      <c r="XQ21" s="109"/>
      <c r="XR21" s="109"/>
      <c r="XS21" s="109"/>
      <c r="XT21" s="109"/>
      <c r="XU21" s="109"/>
      <c r="XV21" s="109"/>
      <c r="XW21" s="109"/>
      <c r="XX21" s="109"/>
      <c r="XY21" s="109"/>
      <c r="XZ21" s="109"/>
      <c r="YA21" s="109"/>
      <c r="YB21" s="109"/>
      <c r="YC21" s="109"/>
      <c r="YD21" s="109"/>
      <c r="YE21" s="109"/>
      <c r="YF21" s="109"/>
      <c r="YG21" s="109"/>
      <c r="YH21" s="109"/>
      <c r="YI21" s="109"/>
      <c r="YJ21" s="109"/>
      <c r="YK21" s="109"/>
      <c r="YL21" s="109"/>
      <c r="YM21" s="109"/>
      <c r="YN21" s="109"/>
      <c r="YO21" s="109"/>
      <c r="YP21" s="109"/>
      <c r="YQ21" s="109"/>
      <c r="YR21" s="109"/>
      <c r="YS21" s="109"/>
      <c r="YT21" s="109"/>
      <c r="YU21" s="109"/>
      <c r="YV21" s="109"/>
      <c r="YW21" s="109"/>
      <c r="YX21" s="109"/>
      <c r="YY21" s="109"/>
      <c r="YZ21" s="109"/>
      <c r="ZA21" s="109"/>
      <c r="ZB21" s="109"/>
      <c r="ZC21" s="109"/>
      <c r="ZD21" s="109"/>
      <c r="ZE21" s="109"/>
      <c r="ZF21" s="109"/>
      <c r="ZG21" s="109"/>
      <c r="ZH21" s="109"/>
      <c r="ZI21" s="109"/>
      <c r="ZJ21" s="109"/>
      <c r="ZK21" s="109"/>
      <c r="ZL21" s="109"/>
      <c r="ZM21" s="109"/>
      <c r="ZN21" s="109"/>
      <c r="ZO21" s="109"/>
      <c r="ZP21" s="109"/>
      <c r="ZQ21" s="109"/>
      <c r="ZR21" s="109"/>
      <c r="ZS21" s="109"/>
      <c r="ZT21" s="109"/>
      <c r="ZU21" s="109"/>
      <c r="ZV21" s="109"/>
      <c r="ZW21" s="109"/>
      <c r="ZX21" s="109"/>
      <c r="ZY21" s="109"/>
      <c r="ZZ21" s="109"/>
      <c r="AAA21" s="109"/>
      <c r="AAB21" s="109"/>
      <c r="AAC21" s="109"/>
      <c r="AAD21" s="109"/>
      <c r="AAE21" s="109"/>
      <c r="AAF21" s="109"/>
      <c r="AAG21" s="109"/>
      <c r="AAH21" s="109"/>
      <c r="AAI21" s="109"/>
      <c r="AAJ21" s="109"/>
      <c r="AAK21" s="109"/>
      <c r="AAL21" s="109"/>
      <c r="AAM21" s="109"/>
      <c r="AAN21" s="109"/>
      <c r="AAO21" s="109"/>
      <c r="AAP21" s="109"/>
      <c r="AAQ21" s="109"/>
      <c r="AAR21" s="109"/>
      <c r="AAS21" s="109"/>
      <c r="AAT21" s="109"/>
      <c r="AAU21" s="109"/>
      <c r="AAV21" s="109"/>
      <c r="AAW21" s="109"/>
      <c r="AAX21" s="109"/>
      <c r="AAY21" s="109"/>
      <c r="AAZ21" s="109"/>
      <c r="ABA21" s="109"/>
      <c r="ABB21" s="109"/>
      <c r="ABC21" s="109"/>
      <c r="ABD21" s="109"/>
      <c r="ABE21" s="109"/>
      <c r="ABF21" s="109"/>
      <c r="ABG21" s="109"/>
      <c r="ABH21" s="109"/>
      <c r="ABI21" s="109"/>
      <c r="ABJ21" s="109"/>
      <c r="ABK21" s="109"/>
      <c r="ABL21" s="109"/>
      <c r="ABM21" s="109"/>
      <c r="ABN21" s="109"/>
      <c r="ABO21" s="109"/>
      <c r="ABP21" s="109"/>
      <c r="ABQ21" s="109"/>
      <c r="ABR21" s="109"/>
      <c r="ABS21" s="109"/>
      <c r="ABT21" s="109"/>
      <c r="ABU21" s="109"/>
      <c r="ABV21" s="109"/>
      <c r="ABW21" s="109"/>
      <c r="ABX21" s="109"/>
      <c r="ABY21" s="109"/>
      <c r="ABZ21" s="109"/>
      <c r="ACA21" s="109"/>
      <c r="ACB21" s="109"/>
      <c r="ACC21" s="109"/>
      <c r="ACD21" s="109"/>
      <c r="ACE21" s="109"/>
      <c r="ACF21" s="109"/>
      <c r="ACG21" s="109"/>
      <c r="ACH21" s="109"/>
      <c r="ACI21" s="109"/>
      <c r="ACJ21" s="109"/>
      <c r="ACK21" s="109"/>
      <c r="ACL21" s="109"/>
      <c r="ACM21" s="109"/>
      <c r="ACN21" s="109"/>
      <c r="ACO21" s="109"/>
      <c r="ACP21" s="109"/>
      <c r="ACQ21" s="109"/>
      <c r="ACR21" s="109"/>
      <c r="ACS21" s="109"/>
      <c r="ACT21" s="109"/>
      <c r="ACU21" s="109"/>
      <c r="ACV21" s="109"/>
      <c r="ACW21" s="109"/>
      <c r="ACX21" s="109"/>
      <c r="ACY21" s="109"/>
      <c r="ACZ21" s="109"/>
      <c r="ADA21" s="109"/>
      <c r="ADB21" s="109"/>
      <c r="ADC21" s="109"/>
      <c r="ADD21" s="109"/>
      <c r="ADE21" s="109"/>
      <c r="ADF21" s="109"/>
      <c r="ADG21" s="109"/>
      <c r="ADH21" s="109"/>
      <c r="ADI21" s="109"/>
      <c r="ADJ21" s="109"/>
      <c r="ADK21" s="109"/>
      <c r="ADL21" s="109"/>
      <c r="ADM21" s="109"/>
      <c r="ADN21" s="109"/>
      <c r="ADO21" s="109"/>
      <c r="ADP21" s="109"/>
      <c r="ADQ21" s="109"/>
      <c r="ADR21" s="109"/>
      <c r="ADS21" s="109"/>
      <c r="ADT21" s="109"/>
      <c r="ADU21" s="109"/>
      <c r="ADV21" s="109"/>
      <c r="ADW21" s="109"/>
      <c r="ADX21" s="109"/>
      <c r="ADY21" s="109"/>
      <c r="ADZ21" s="109"/>
      <c r="AEA21" s="109"/>
      <c r="AEB21" s="109"/>
      <c r="AEC21" s="109"/>
      <c r="AED21" s="109"/>
      <c r="AEE21" s="109"/>
      <c r="AEF21" s="109"/>
      <c r="AEG21" s="109"/>
      <c r="AEH21" s="109"/>
      <c r="AEI21" s="109"/>
      <c r="AEJ21" s="109"/>
      <c r="AEK21" s="109"/>
      <c r="AEL21" s="109"/>
      <c r="AEM21" s="109"/>
      <c r="AEN21" s="109"/>
      <c r="AEO21" s="109"/>
      <c r="AEP21" s="109"/>
      <c r="AEQ21" s="109"/>
      <c r="AER21" s="109"/>
      <c r="AES21" s="109"/>
      <c r="AET21" s="109"/>
      <c r="AEU21" s="109"/>
      <c r="AEV21" s="109"/>
      <c r="AEW21" s="109"/>
      <c r="AEX21" s="109"/>
      <c r="AEY21" s="109"/>
      <c r="AEZ21" s="109"/>
      <c r="AFA21" s="109"/>
      <c r="AFB21" s="109"/>
      <c r="AFC21" s="109"/>
      <c r="AFD21" s="109"/>
      <c r="AFE21" s="109"/>
      <c r="AFF21" s="109"/>
      <c r="AFG21" s="109"/>
      <c r="AFH21" s="109"/>
      <c r="AFI21" s="109"/>
      <c r="AFJ21" s="109"/>
      <c r="AFK21" s="109"/>
      <c r="AFL21" s="109"/>
      <c r="AFM21" s="109"/>
      <c r="AFN21" s="109"/>
      <c r="AFO21" s="109"/>
      <c r="AFP21" s="109"/>
      <c r="AFQ21" s="109"/>
      <c r="AFR21" s="109"/>
      <c r="AFS21" s="109"/>
      <c r="AFT21" s="109"/>
      <c r="AFU21" s="109"/>
      <c r="AFV21" s="109"/>
      <c r="AFW21" s="109"/>
      <c r="AFX21" s="109"/>
      <c r="AFY21" s="109"/>
      <c r="AFZ21" s="109"/>
      <c r="AGA21" s="109"/>
      <c r="AGB21" s="109"/>
      <c r="AGC21" s="109"/>
      <c r="AGD21" s="109"/>
      <c r="AGE21" s="109"/>
      <c r="AGF21" s="109"/>
      <c r="AGG21" s="109"/>
      <c r="AGH21" s="109"/>
      <c r="AGI21" s="109"/>
      <c r="AGJ21" s="109"/>
      <c r="AGK21" s="109"/>
      <c r="AGL21" s="109"/>
      <c r="AGM21" s="109"/>
      <c r="AGN21" s="109"/>
      <c r="AGO21" s="109"/>
      <c r="AGP21" s="109"/>
      <c r="AGQ21" s="109"/>
      <c r="AGR21" s="109"/>
      <c r="AGS21" s="109"/>
      <c r="AGT21" s="109"/>
      <c r="AGU21" s="109"/>
      <c r="AGV21" s="109"/>
      <c r="AGW21" s="109"/>
      <c r="AGX21" s="109"/>
      <c r="AGY21" s="109"/>
      <c r="AGZ21" s="109"/>
      <c r="AHA21" s="109"/>
      <c r="AHB21" s="109"/>
      <c r="AHC21" s="109"/>
      <c r="AHD21" s="109"/>
      <c r="AHE21" s="109"/>
      <c r="AHF21" s="109"/>
      <c r="AHG21" s="109"/>
      <c r="AHH21" s="109"/>
      <c r="AHI21" s="109"/>
      <c r="AHJ21" s="109"/>
      <c r="AHK21" s="109"/>
      <c r="AHL21" s="109"/>
      <c r="AHM21" s="109"/>
      <c r="AHN21" s="109"/>
      <c r="AHO21" s="109"/>
      <c r="AHP21" s="109"/>
      <c r="AHQ21" s="109"/>
      <c r="AHR21" s="109"/>
      <c r="AHS21" s="109"/>
      <c r="AHT21" s="109"/>
      <c r="AHU21" s="109"/>
      <c r="AHV21" s="109"/>
      <c r="AHW21" s="109"/>
      <c r="AHX21" s="109"/>
      <c r="AHY21" s="109"/>
      <c r="AHZ21" s="109"/>
      <c r="AIA21" s="109"/>
      <c r="AIB21" s="109"/>
      <c r="AIC21" s="109"/>
      <c r="AID21" s="109"/>
      <c r="AIE21" s="109"/>
      <c r="AIF21" s="109"/>
      <c r="AIG21" s="109"/>
      <c r="AIH21" s="109"/>
      <c r="AII21" s="109"/>
      <c r="AIJ21" s="109"/>
      <c r="AIK21" s="109"/>
      <c r="AIL21" s="109"/>
      <c r="AIM21" s="109"/>
      <c r="AIN21" s="109"/>
      <c r="AIO21" s="109"/>
      <c r="AIP21" s="109"/>
      <c r="AIQ21" s="109"/>
      <c r="AIR21" s="109"/>
      <c r="AIS21" s="109"/>
      <c r="AIT21" s="109"/>
      <c r="AIU21" s="109"/>
      <c r="AIV21" s="109"/>
      <c r="AIW21" s="109"/>
      <c r="AIX21" s="109"/>
      <c r="AIY21" s="109"/>
      <c r="AIZ21" s="109"/>
      <c r="AJA21" s="109"/>
      <c r="AJB21" s="109"/>
      <c r="AJC21" s="109"/>
      <c r="AJD21" s="109"/>
      <c r="AJE21" s="109"/>
      <c r="AJF21" s="109"/>
      <c r="AJG21" s="109"/>
      <c r="AJH21" s="109"/>
      <c r="AJI21" s="109"/>
      <c r="AJJ21" s="109"/>
      <c r="AJK21" s="109"/>
      <c r="AJL21" s="109"/>
      <c r="AJM21" s="109"/>
      <c r="AJN21" s="109"/>
      <c r="AJO21" s="109"/>
      <c r="AJP21" s="109"/>
      <c r="AJQ21" s="109"/>
      <c r="AJR21" s="109"/>
      <c r="AJS21" s="109"/>
      <c r="AJT21" s="109"/>
      <c r="AJU21" s="109"/>
      <c r="AJV21" s="109"/>
      <c r="AJW21" s="109"/>
      <c r="AJX21" s="109"/>
      <c r="AJY21" s="109"/>
      <c r="AJZ21" s="109"/>
      <c r="AKA21" s="109"/>
      <c r="AKB21" s="109"/>
      <c r="AKC21" s="109"/>
      <c r="AKD21" s="109"/>
      <c r="AKE21" s="109"/>
      <c r="AKF21" s="109"/>
      <c r="AKG21" s="109"/>
      <c r="AKH21" s="109"/>
      <c r="AKI21" s="109"/>
      <c r="AKJ21" s="109"/>
      <c r="AKK21" s="109"/>
      <c r="AKL21" s="109"/>
      <c r="AKM21" s="109"/>
      <c r="AKN21" s="109"/>
      <c r="AKO21" s="109"/>
      <c r="AKP21" s="109"/>
      <c r="AKQ21" s="109"/>
      <c r="AKR21" s="109"/>
      <c r="AKS21" s="109"/>
      <c r="AKT21" s="109"/>
      <c r="AKU21" s="109"/>
      <c r="AKV21" s="109"/>
      <c r="AKW21" s="109"/>
      <c r="AKX21" s="109"/>
      <c r="AKY21" s="109"/>
      <c r="AKZ21" s="109"/>
      <c r="ALA21" s="109"/>
      <c r="ALB21" s="109"/>
      <c r="ALC21" s="109"/>
      <c r="ALD21" s="109"/>
      <c r="ALE21" s="109"/>
      <c r="ALF21" s="109"/>
      <c r="ALG21" s="109"/>
      <c r="ALH21" s="109"/>
      <c r="ALI21" s="109"/>
      <c r="ALJ21" s="109"/>
      <c r="ALK21" s="109"/>
      <c r="ALL21" s="109"/>
      <c r="ALM21" s="109"/>
      <c r="ALN21" s="109"/>
      <c r="ALO21" s="109"/>
      <c r="ALP21" s="109"/>
      <c r="ALQ21" s="109"/>
      <c r="ALR21" s="109"/>
      <c r="ALS21" s="109"/>
      <c r="ALT21" s="109"/>
      <c r="ALU21" s="109"/>
      <c r="ALV21" s="109"/>
      <c r="ALW21" s="109"/>
      <c r="ALX21" s="109"/>
      <c r="ALY21" s="109"/>
      <c r="ALZ21" s="109"/>
      <c r="AMA21" s="109"/>
      <c r="AMB21" s="109"/>
      <c r="AMC21" s="109"/>
      <c r="AMD21" s="109"/>
      <c r="AME21" s="109"/>
      <c r="AMF21" s="109"/>
      <c r="AMG21" s="109"/>
      <c r="AMH21" s="109"/>
      <c r="AMI21" s="109"/>
      <c r="AMJ21" s="109"/>
      <c r="AMK21" s="109"/>
      <c r="AML21" s="109"/>
      <c r="AMM21" s="109"/>
      <c r="AMN21" s="109"/>
      <c r="AMO21" s="109"/>
      <c r="AMP21" s="109"/>
      <c r="AMQ21" s="109"/>
      <c r="AMR21" s="109"/>
      <c r="AMS21" s="109"/>
      <c r="AMT21" s="109"/>
      <c r="AMU21" s="109"/>
      <c r="AMV21" s="109"/>
      <c r="AMW21" s="109"/>
      <c r="AMX21" s="109"/>
      <c r="AMY21" s="109"/>
      <c r="AMZ21" s="109"/>
      <c r="ANA21" s="109"/>
      <c r="ANB21" s="109"/>
      <c r="ANC21" s="109"/>
      <c r="AND21" s="109"/>
      <c r="ANE21" s="109"/>
      <c r="ANF21" s="109"/>
      <c r="ANG21" s="109"/>
      <c r="ANH21" s="109"/>
      <c r="ANI21" s="109"/>
      <c r="ANJ21" s="109"/>
      <c r="ANK21" s="109"/>
      <c r="ANL21" s="109"/>
      <c r="ANM21" s="109"/>
      <c r="ANN21" s="109"/>
      <c r="ANO21" s="109"/>
      <c r="ANP21" s="109"/>
      <c r="ANQ21" s="109"/>
      <c r="ANR21" s="109"/>
      <c r="ANS21" s="109"/>
      <c r="ANT21" s="109"/>
      <c r="ANU21" s="109"/>
      <c r="ANV21" s="109"/>
      <c r="ANW21" s="109"/>
      <c r="ANX21" s="109"/>
      <c r="ANY21" s="109"/>
      <c r="ANZ21" s="109"/>
      <c r="AOA21" s="109"/>
      <c r="AOB21" s="109"/>
      <c r="AOC21" s="109"/>
      <c r="AOD21" s="109"/>
      <c r="AOE21" s="109"/>
      <c r="AOF21" s="109"/>
      <c r="AOG21" s="109"/>
      <c r="AOH21" s="109"/>
      <c r="AOI21" s="109"/>
      <c r="AOJ21" s="109"/>
      <c r="AOK21" s="109"/>
      <c r="AOL21" s="109"/>
      <c r="AOM21" s="109"/>
      <c r="AON21" s="109"/>
      <c r="AOO21" s="109"/>
      <c r="AOP21" s="109"/>
      <c r="AOQ21" s="109"/>
      <c r="AOR21" s="109"/>
      <c r="AOS21" s="109"/>
      <c r="AOT21" s="109"/>
      <c r="AOU21" s="109"/>
      <c r="AOV21" s="109"/>
      <c r="AOW21" s="109"/>
      <c r="AOX21" s="109"/>
      <c r="AOY21" s="109"/>
      <c r="AOZ21" s="109"/>
      <c r="APA21" s="109"/>
      <c r="APB21" s="109"/>
      <c r="APC21" s="109"/>
      <c r="APD21" s="109"/>
      <c r="APE21" s="109"/>
      <c r="APF21" s="109"/>
      <c r="APG21" s="109"/>
      <c r="APH21" s="109"/>
      <c r="API21" s="109"/>
      <c r="APJ21" s="109"/>
      <c r="APK21" s="109"/>
      <c r="APL21" s="109"/>
      <c r="APM21" s="109"/>
      <c r="APN21" s="109"/>
      <c r="APO21" s="109"/>
      <c r="APP21" s="109"/>
      <c r="APQ21" s="109"/>
      <c r="APR21" s="109"/>
      <c r="APS21" s="109"/>
      <c r="APT21" s="109"/>
      <c r="APU21" s="109"/>
      <c r="APV21" s="109"/>
      <c r="APW21" s="109"/>
      <c r="APX21" s="109"/>
      <c r="APY21" s="109"/>
      <c r="APZ21" s="109"/>
      <c r="AQA21" s="109"/>
      <c r="AQB21" s="109"/>
      <c r="AQC21" s="109"/>
      <c r="AQD21" s="109"/>
      <c r="AQE21" s="109"/>
      <c r="AQF21" s="109"/>
      <c r="AQG21" s="109"/>
      <c r="AQH21" s="109"/>
      <c r="AQI21" s="109"/>
      <c r="AQJ21" s="109"/>
      <c r="AQK21" s="109"/>
      <c r="AQL21" s="109"/>
      <c r="AQM21" s="109"/>
      <c r="AQN21" s="109"/>
      <c r="AQO21" s="109"/>
      <c r="AQP21" s="109"/>
      <c r="AQQ21" s="109"/>
      <c r="AQR21" s="109"/>
      <c r="AQS21" s="109"/>
      <c r="AQT21" s="109"/>
      <c r="AQU21" s="109"/>
      <c r="AQV21" s="109"/>
      <c r="AQW21" s="109"/>
      <c r="AQX21" s="109"/>
      <c r="AQY21" s="109"/>
      <c r="AQZ21" s="109"/>
      <c r="ARA21" s="109"/>
      <c r="ARB21" s="109"/>
      <c r="ARC21" s="109"/>
      <c r="ARD21" s="109"/>
      <c r="ARE21" s="109"/>
      <c r="ARF21" s="109"/>
      <c r="ARG21" s="109"/>
      <c r="ARH21" s="109"/>
      <c r="ARI21" s="109"/>
      <c r="ARJ21" s="109"/>
      <c r="ARK21" s="109"/>
      <c r="ARL21" s="109"/>
      <c r="ARM21" s="109"/>
      <c r="ARN21" s="109"/>
      <c r="ARO21" s="109"/>
      <c r="ARP21" s="109"/>
      <c r="ARQ21" s="109"/>
      <c r="ARR21" s="109"/>
      <c r="ARS21" s="109"/>
      <c r="ART21" s="109"/>
      <c r="ARU21" s="109"/>
      <c r="ARV21" s="109"/>
      <c r="ARW21" s="109"/>
      <c r="ARX21" s="109"/>
      <c r="ARY21" s="109"/>
      <c r="ARZ21" s="109"/>
      <c r="ASA21" s="109"/>
      <c r="ASB21" s="109"/>
      <c r="ASC21" s="109"/>
      <c r="ASD21" s="109"/>
      <c r="ASE21" s="109"/>
      <c r="ASF21" s="109"/>
      <c r="ASG21" s="109"/>
      <c r="ASH21" s="109"/>
      <c r="ASI21" s="109"/>
      <c r="ASJ21" s="109"/>
      <c r="ASK21" s="109"/>
      <c r="ASL21" s="109"/>
      <c r="ASM21" s="109"/>
      <c r="ASN21" s="109"/>
      <c r="ASO21" s="109"/>
      <c r="ASP21" s="109"/>
      <c r="ASQ21" s="109"/>
      <c r="ASR21" s="109"/>
      <c r="ASS21" s="109"/>
      <c r="AST21" s="109"/>
      <c r="ASU21" s="109"/>
      <c r="ASV21" s="109"/>
      <c r="ASW21" s="109"/>
      <c r="ASX21" s="109"/>
      <c r="ASY21" s="109"/>
      <c r="ASZ21" s="109"/>
      <c r="ATA21" s="109"/>
      <c r="ATB21" s="109"/>
      <c r="ATC21" s="109"/>
      <c r="ATD21" s="109"/>
      <c r="ATE21" s="109"/>
      <c r="ATF21" s="109"/>
      <c r="ATG21" s="109"/>
      <c r="ATH21" s="109"/>
      <c r="ATI21" s="109"/>
      <c r="ATJ21" s="109"/>
      <c r="ATK21" s="109"/>
      <c r="ATL21" s="109"/>
      <c r="ATM21" s="109"/>
      <c r="ATN21" s="109"/>
      <c r="ATO21" s="109"/>
      <c r="ATP21" s="109"/>
      <c r="ATQ21" s="109"/>
      <c r="ATR21" s="109"/>
      <c r="ATS21" s="109"/>
      <c r="ATT21" s="109"/>
      <c r="ATU21" s="109"/>
      <c r="ATV21" s="109"/>
      <c r="ATW21" s="109"/>
      <c r="ATX21" s="109"/>
      <c r="ATY21" s="109"/>
      <c r="ATZ21" s="109"/>
      <c r="AUA21" s="109"/>
      <c r="AUB21" s="109"/>
      <c r="AUC21" s="109"/>
      <c r="AUD21" s="109"/>
      <c r="AUE21" s="109"/>
      <c r="AUF21" s="109"/>
      <c r="AUG21" s="109"/>
      <c r="AUH21" s="109"/>
      <c r="AUI21" s="109"/>
      <c r="AUJ21" s="109"/>
      <c r="AUK21" s="109"/>
      <c r="AUL21" s="109"/>
      <c r="AUM21" s="109"/>
      <c r="AUN21" s="109"/>
      <c r="AUO21" s="109"/>
      <c r="AUP21" s="109"/>
      <c r="AUQ21" s="109"/>
      <c r="AUR21" s="109"/>
      <c r="AUS21" s="109"/>
      <c r="AUT21" s="109"/>
      <c r="AUU21" s="109"/>
      <c r="AUV21" s="109"/>
      <c r="AUW21" s="109"/>
      <c r="AUX21" s="109"/>
      <c r="AUY21" s="109"/>
      <c r="AUZ21" s="109"/>
      <c r="AVA21" s="109"/>
      <c r="AVB21" s="109"/>
      <c r="AVC21" s="109"/>
      <c r="AVD21" s="109"/>
      <c r="AVE21" s="109"/>
      <c r="AVF21" s="109"/>
      <c r="AVG21" s="109"/>
      <c r="AVH21" s="109"/>
      <c r="AVI21" s="109"/>
      <c r="AVJ21" s="109"/>
      <c r="AVK21" s="109"/>
      <c r="AVL21" s="109"/>
      <c r="AVM21" s="109"/>
      <c r="AVN21" s="109"/>
      <c r="AVO21" s="109"/>
      <c r="AVP21" s="109"/>
      <c r="AVQ21" s="109"/>
      <c r="AVR21" s="109"/>
      <c r="AVS21" s="109"/>
      <c r="AVT21" s="109"/>
      <c r="AVU21" s="109"/>
      <c r="AVV21" s="109"/>
      <c r="AVW21" s="109"/>
      <c r="AVX21" s="109"/>
      <c r="AVY21" s="109"/>
      <c r="AVZ21" s="109"/>
      <c r="AWA21" s="109"/>
      <c r="AWB21" s="109"/>
      <c r="AWC21" s="109"/>
      <c r="AWD21" s="109"/>
      <c r="AWE21" s="109"/>
      <c r="AWF21" s="109"/>
      <c r="AWG21" s="109"/>
      <c r="AWH21" s="109"/>
      <c r="AWI21" s="109"/>
      <c r="AWJ21" s="109"/>
      <c r="AWK21" s="109"/>
      <c r="AWL21" s="109"/>
      <c r="AWM21" s="109"/>
      <c r="AWN21" s="109"/>
      <c r="AWO21" s="109"/>
      <c r="AWP21" s="109"/>
      <c r="AWQ21" s="109"/>
      <c r="AWR21" s="109"/>
      <c r="AWS21" s="109"/>
      <c r="AWT21" s="109"/>
      <c r="AWU21" s="109"/>
      <c r="AWV21" s="109"/>
      <c r="AWW21" s="109"/>
      <c r="AWX21" s="109"/>
      <c r="AWY21" s="109"/>
      <c r="AWZ21" s="109"/>
      <c r="AXA21" s="109"/>
      <c r="AXB21" s="109"/>
      <c r="AXC21" s="109"/>
      <c r="AXD21" s="109"/>
      <c r="AXE21" s="109"/>
      <c r="AXF21" s="109"/>
      <c r="AXG21" s="109"/>
      <c r="AXH21" s="109"/>
      <c r="AXI21" s="109"/>
      <c r="AXJ21" s="109"/>
      <c r="AXK21" s="109"/>
      <c r="AXL21" s="109"/>
      <c r="AXM21" s="109"/>
      <c r="AXN21" s="109"/>
      <c r="AXO21" s="109"/>
      <c r="AXP21" s="109"/>
      <c r="AXQ21" s="109"/>
      <c r="AXR21" s="109"/>
      <c r="AXS21" s="109"/>
      <c r="AXT21" s="109"/>
      <c r="AXU21" s="109"/>
      <c r="AXV21" s="109"/>
      <c r="AXW21" s="109"/>
      <c r="AXX21" s="109"/>
      <c r="AXY21" s="109"/>
      <c r="AXZ21" s="109"/>
      <c r="AYA21" s="109"/>
      <c r="AYB21" s="109"/>
      <c r="AYC21" s="109"/>
      <c r="AYD21" s="109"/>
      <c r="AYE21" s="109"/>
      <c r="AYF21" s="109"/>
      <c r="AYG21" s="109"/>
      <c r="AYH21" s="109"/>
      <c r="AYI21" s="109"/>
      <c r="AYJ21" s="109"/>
      <c r="AYK21" s="109"/>
      <c r="AYL21" s="109"/>
      <c r="AYM21" s="109"/>
      <c r="AYN21" s="109"/>
      <c r="AYO21" s="109"/>
      <c r="AYP21" s="109"/>
      <c r="AYQ21" s="109"/>
      <c r="AYR21" s="109"/>
      <c r="AYS21" s="109"/>
      <c r="AYT21" s="109"/>
      <c r="AYU21" s="109"/>
      <c r="AYV21" s="109"/>
      <c r="AYW21" s="109"/>
      <c r="AYX21" s="109"/>
      <c r="AYY21" s="109"/>
      <c r="AYZ21" s="109"/>
      <c r="AZA21" s="109"/>
      <c r="AZB21" s="109"/>
      <c r="AZC21" s="109"/>
      <c r="AZD21" s="109"/>
      <c r="AZE21" s="109"/>
      <c r="AZF21" s="109"/>
      <c r="AZG21" s="109"/>
      <c r="AZH21" s="109"/>
      <c r="AZI21" s="109"/>
      <c r="AZJ21" s="109"/>
      <c r="AZK21" s="109"/>
      <c r="AZL21" s="109"/>
      <c r="AZM21" s="109"/>
      <c r="AZN21" s="109"/>
      <c r="AZO21" s="109"/>
      <c r="AZP21" s="109"/>
      <c r="AZQ21" s="109"/>
      <c r="AZR21" s="109"/>
      <c r="AZS21" s="109"/>
      <c r="AZT21" s="109"/>
      <c r="AZU21" s="109"/>
      <c r="AZV21" s="109"/>
      <c r="AZW21" s="109"/>
      <c r="AZX21" s="109"/>
      <c r="AZY21" s="109"/>
      <c r="AZZ21" s="109"/>
      <c r="BAA21" s="109"/>
      <c r="BAB21" s="109"/>
      <c r="BAC21" s="109"/>
      <c r="BAD21" s="109"/>
      <c r="BAE21" s="109"/>
      <c r="BAF21" s="109"/>
      <c r="BAG21" s="109"/>
      <c r="BAH21" s="109"/>
      <c r="BAI21" s="109"/>
      <c r="BAJ21" s="109"/>
      <c r="BAK21" s="109"/>
      <c r="BAL21" s="109"/>
      <c r="BAM21" s="109"/>
      <c r="BAN21" s="109"/>
      <c r="BAO21" s="109"/>
      <c r="BAP21" s="109"/>
      <c r="BAQ21" s="109"/>
      <c r="BAR21" s="109"/>
      <c r="BAS21" s="109"/>
      <c r="BAT21" s="109"/>
      <c r="BAU21" s="109"/>
      <c r="BAV21" s="109"/>
      <c r="BAW21" s="109"/>
      <c r="BAX21" s="109"/>
      <c r="BAY21" s="109"/>
      <c r="BAZ21" s="109"/>
      <c r="BBA21" s="109"/>
      <c r="BBB21" s="109"/>
      <c r="BBC21" s="109"/>
      <c r="BBD21" s="109"/>
      <c r="BBE21" s="109"/>
      <c r="BBF21" s="109"/>
      <c r="BBG21" s="109"/>
      <c r="BBH21" s="109"/>
      <c r="BBI21" s="109"/>
      <c r="BBJ21" s="109"/>
      <c r="BBK21" s="109"/>
      <c r="BBL21" s="109"/>
      <c r="BBM21" s="109"/>
      <c r="BBN21" s="109"/>
      <c r="BBO21" s="109"/>
      <c r="BBP21" s="109"/>
      <c r="BBQ21" s="109"/>
      <c r="BBR21" s="109"/>
      <c r="BBS21" s="109"/>
      <c r="BBT21" s="109"/>
      <c r="BBU21" s="109"/>
      <c r="BBV21" s="109"/>
      <c r="BBW21" s="109"/>
      <c r="BBX21" s="109"/>
      <c r="BBY21" s="109"/>
      <c r="BBZ21" s="109"/>
      <c r="BCA21" s="109"/>
      <c r="BCB21" s="109"/>
      <c r="BCC21" s="109"/>
      <c r="BCD21" s="109"/>
      <c r="BCE21" s="109"/>
      <c r="BCF21" s="109"/>
      <c r="BCG21" s="109"/>
      <c r="BCH21" s="109"/>
      <c r="BCI21" s="109"/>
      <c r="BCJ21" s="109"/>
      <c r="BCK21" s="109"/>
      <c r="BCL21" s="109"/>
      <c r="BCM21" s="109"/>
      <c r="BCN21" s="109"/>
      <c r="BCO21" s="109"/>
      <c r="BCP21" s="109"/>
      <c r="BCQ21" s="109"/>
      <c r="BCR21" s="109"/>
      <c r="BCS21" s="109"/>
      <c r="BCT21" s="109"/>
      <c r="BCU21" s="109"/>
      <c r="BCV21" s="109"/>
      <c r="BCW21" s="109"/>
      <c r="BCX21" s="109"/>
      <c r="BCY21" s="109"/>
      <c r="BCZ21" s="109"/>
      <c r="BDA21" s="109"/>
      <c r="BDB21" s="109"/>
      <c r="BDC21" s="109"/>
      <c r="BDD21" s="109"/>
      <c r="BDE21" s="109"/>
      <c r="BDF21" s="109"/>
      <c r="BDG21" s="109"/>
      <c r="BDH21" s="109"/>
      <c r="BDI21" s="109"/>
      <c r="BDJ21" s="109"/>
      <c r="BDK21" s="109"/>
      <c r="BDL21" s="109"/>
      <c r="BDM21" s="109"/>
      <c r="BDN21" s="109"/>
      <c r="BDO21" s="109"/>
      <c r="BDP21" s="109"/>
      <c r="BDQ21" s="109"/>
      <c r="BDR21" s="109"/>
      <c r="BDS21" s="109"/>
      <c r="BDT21" s="109"/>
      <c r="BDU21" s="109"/>
      <c r="BDV21" s="109"/>
      <c r="BDW21" s="109"/>
      <c r="BDX21" s="109"/>
      <c r="BDY21" s="109"/>
      <c r="BDZ21" s="109"/>
      <c r="BEA21" s="109"/>
      <c r="BEB21" s="109"/>
      <c r="BEC21" s="109"/>
      <c r="BED21" s="109"/>
      <c r="BEE21" s="109"/>
      <c r="BEF21" s="109"/>
      <c r="BEG21" s="109"/>
      <c r="BEH21" s="109"/>
      <c r="BEI21" s="109"/>
      <c r="BEJ21" s="109"/>
      <c r="BEK21" s="109"/>
    </row>
    <row r="25" spans="1:1493" customFormat="1" x14ac:dyDescent="0.2"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/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/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/>
      <c r="IO25" s="109"/>
      <c r="IP25" s="109"/>
      <c r="IQ25" s="109"/>
      <c r="IR25" s="109"/>
      <c r="IS25" s="109"/>
      <c r="IT25" s="109"/>
      <c r="IU25" s="109"/>
      <c r="IV25" s="109"/>
      <c r="IW25" s="109"/>
      <c r="IX25" s="109"/>
      <c r="IY25" s="109"/>
      <c r="IZ25" s="109"/>
      <c r="JA25" s="109"/>
      <c r="JB25" s="109"/>
      <c r="JC25" s="109"/>
      <c r="JD25" s="109"/>
      <c r="JE25" s="109"/>
      <c r="JF25" s="109"/>
      <c r="JG25" s="109"/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/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/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109"/>
      <c r="NM25" s="109"/>
      <c r="NN25" s="109"/>
      <c r="NO25" s="109"/>
      <c r="NP25" s="109"/>
      <c r="NQ25" s="109"/>
      <c r="NR25" s="109"/>
      <c r="NS25" s="109"/>
      <c r="NT25" s="109"/>
      <c r="NU25" s="109"/>
      <c r="NV25" s="109"/>
      <c r="NW25" s="109"/>
      <c r="NX25" s="109"/>
      <c r="NY25" s="109"/>
      <c r="NZ25" s="109"/>
      <c r="OA25" s="109"/>
      <c r="OB25" s="109"/>
      <c r="OC25" s="109"/>
      <c r="OD25" s="109"/>
      <c r="OE25" s="109"/>
      <c r="OF25" s="109"/>
      <c r="OG25" s="109"/>
      <c r="OH25" s="109"/>
      <c r="OI25" s="109"/>
      <c r="OJ25" s="109"/>
      <c r="OK25" s="109"/>
      <c r="OL25" s="109"/>
      <c r="OM25" s="109"/>
      <c r="ON25" s="109"/>
      <c r="OO25" s="109"/>
      <c r="OP25" s="109"/>
      <c r="OQ25" s="109"/>
      <c r="OR25" s="109"/>
      <c r="OS25" s="109"/>
      <c r="OT25" s="109"/>
      <c r="OU25" s="109"/>
      <c r="OV25" s="109"/>
      <c r="OW25" s="109"/>
      <c r="OX25" s="109"/>
      <c r="OY25" s="109"/>
      <c r="OZ25" s="109"/>
      <c r="PA25" s="109"/>
      <c r="PB25" s="109"/>
      <c r="PC25" s="109"/>
      <c r="PD25" s="109"/>
      <c r="PE25" s="109"/>
      <c r="PF25" s="109"/>
      <c r="PG25" s="109"/>
      <c r="PH25" s="109"/>
      <c r="PI25" s="109"/>
      <c r="PJ25" s="109"/>
      <c r="PK25" s="109"/>
      <c r="PL25" s="109"/>
      <c r="PM25" s="109"/>
      <c r="PN25" s="109"/>
      <c r="PO25" s="109"/>
      <c r="PP25" s="109"/>
      <c r="PQ25" s="109"/>
      <c r="PR25" s="109"/>
      <c r="PS25" s="109"/>
      <c r="PT25" s="109"/>
      <c r="PU25" s="109"/>
      <c r="PV25" s="109"/>
      <c r="PW25" s="109"/>
      <c r="PX25" s="109"/>
      <c r="PY25" s="109"/>
      <c r="PZ25" s="109"/>
      <c r="QA25" s="109"/>
      <c r="QB25" s="109"/>
      <c r="QC25" s="109"/>
      <c r="QD25" s="109"/>
      <c r="QE25" s="109"/>
      <c r="QF25" s="109"/>
      <c r="QG25" s="109"/>
      <c r="QH25" s="109"/>
      <c r="QI25" s="109"/>
      <c r="QJ25" s="109"/>
      <c r="QK25" s="109"/>
      <c r="QL25" s="109"/>
      <c r="QM25" s="109"/>
      <c r="QN25" s="109"/>
      <c r="QO25" s="109"/>
      <c r="QP25" s="109"/>
      <c r="QQ25" s="109"/>
      <c r="QR25" s="109"/>
      <c r="QS25" s="109"/>
      <c r="QT25" s="109"/>
      <c r="QU25" s="109"/>
      <c r="QV25" s="109"/>
      <c r="QW25" s="109"/>
      <c r="QX25" s="109"/>
      <c r="QY25" s="109"/>
      <c r="QZ25" s="109"/>
      <c r="RA25" s="109"/>
      <c r="RB25" s="109"/>
      <c r="RC25" s="109"/>
      <c r="RD25" s="109"/>
      <c r="RE25" s="109"/>
      <c r="RF25" s="109"/>
      <c r="RG25" s="109"/>
      <c r="RH25" s="109"/>
      <c r="RI25" s="109"/>
      <c r="RJ25" s="109"/>
      <c r="RK25" s="109"/>
      <c r="RL25" s="109"/>
      <c r="RM25" s="109"/>
      <c r="RN25" s="109"/>
      <c r="RO25" s="109"/>
      <c r="RP25" s="109"/>
      <c r="RQ25" s="109"/>
      <c r="RR25" s="109"/>
      <c r="RS25" s="109"/>
      <c r="RT25" s="109"/>
      <c r="RU25" s="109"/>
      <c r="RV25" s="109"/>
      <c r="RW25" s="109"/>
      <c r="RX25" s="109"/>
      <c r="RY25" s="109"/>
      <c r="RZ25" s="109"/>
      <c r="SA25" s="109"/>
      <c r="SB25" s="109"/>
      <c r="SC25" s="109"/>
      <c r="SD25" s="109"/>
      <c r="SE25" s="109"/>
      <c r="SF25" s="109"/>
      <c r="SG25" s="109"/>
      <c r="SH25" s="109"/>
      <c r="SI25" s="109"/>
      <c r="SJ25" s="109"/>
      <c r="SK25" s="109"/>
      <c r="SL25" s="109"/>
      <c r="SM25" s="109"/>
      <c r="SN25" s="109"/>
      <c r="SO25" s="109"/>
      <c r="SP25" s="109"/>
      <c r="SQ25" s="109"/>
      <c r="SR25" s="109"/>
      <c r="SS25" s="109"/>
      <c r="ST25" s="109"/>
      <c r="SU25" s="109"/>
      <c r="SV25" s="109"/>
      <c r="SW25" s="109"/>
      <c r="SX25" s="109"/>
      <c r="SY25" s="109"/>
      <c r="SZ25" s="109"/>
      <c r="TA25" s="109"/>
      <c r="TB25" s="109"/>
      <c r="TC25" s="109"/>
      <c r="TD25" s="109"/>
      <c r="TE25" s="109"/>
      <c r="TF25" s="109"/>
      <c r="TG25" s="109"/>
      <c r="TH25" s="109"/>
      <c r="TI25" s="109"/>
      <c r="TJ25" s="109"/>
      <c r="TK25" s="109"/>
      <c r="TL25" s="109"/>
      <c r="TM25" s="109"/>
      <c r="TN25" s="109"/>
      <c r="TO25" s="109"/>
      <c r="TP25" s="109"/>
      <c r="TQ25" s="109"/>
      <c r="TR25" s="109"/>
      <c r="TS25" s="109"/>
      <c r="TT25" s="109"/>
      <c r="TU25" s="109"/>
      <c r="TV25" s="109"/>
      <c r="TW25" s="109"/>
      <c r="TX25" s="109"/>
      <c r="TY25" s="109"/>
      <c r="TZ25" s="109"/>
      <c r="UA25" s="109"/>
      <c r="UB25" s="109"/>
      <c r="UC25" s="109"/>
      <c r="UD25" s="109"/>
      <c r="UE25" s="109"/>
      <c r="UF25" s="109"/>
      <c r="UG25" s="109"/>
      <c r="UH25" s="109"/>
      <c r="UI25" s="109"/>
      <c r="UJ25" s="109"/>
      <c r="UK25" s="109"/>
      <c r="UL25" s="109"/>
      <c r="UM25" s="109"/>
      <c r="UN25" s="109"/>
      <c r="UO25" s="109"/>
      <c r="UP25" s="109"/>
      <c r="UQ25" s="109"/>
      <c r="UR25" s="109"/>
      <c r="US25" s="109"/>
      <c r="UT25" s="109"/>
      <c r="UU25" s="109"/>
      <c r="UV25" s="109"/>
      <c r="UW25" s="109"/>
      <c r="UX25" s="109"/>
      <c r="UY25" s="109"/>
      <c r="UZ25" s="109"/>
      <c r="VA25" s="109"/>
      <c r="VB25" s="109"/>
      <c r="VC25" s="109"/>
      <c r="VD25" s="109"/>
      <c r="VE25" s="109"/>
      <c r="VF25" s="109"/>
      <c r="VG25" s="109"/>
      <c r="VH25" s="109"/>
      <c r="VI25" s="109"/>
      <c r="VJ25" s="109"/>
      <c r="VK25" s="109"/>
      <c r="VL25" s="109"/>
      <c r="VM25" s="109"/>
      <c r="VN25" s="109"/>
      <c r="VO25" s="109"/>
      <c r="VP25" s="109"/>
      <c r="VQ25" s="109"/>
      <c r="VR25" s="109"/>
      <c r="VS25" s="109"/>
      <c r="VT25" s="109"/>
      <c r="VU25" s="109"/>
      <c r="VV25" s="109"/>
      <c r="VW25" s="109"/>
      <c r="VX25" s="109"/>
      <c r="VY25" s="109"/>
      <c r="VZ25" s="109"/>
      <c r="WA25" s="109"/>
      <c r="WB25" s="109"/>
      <c r="WC25" s="109"/>
      <c r="WD25" s="109"/>
      <c r="WE25" s="109"/>
      <c r="WF25" s="109"/>
      <c r="WG25" s="109"/>
      <c r="WH25" s="109"/>
      <c r="WI25" s="109"/>
      <c r="WJ25" s="109"/>
      <c r="WK25" s="109"/>
      <c r="WL25" s="109"/>
      <c r="WM25" s="109"/>
      <c r="WN25" s="109"/>
      <c r="WO25" s="109"/>
      <c r="WP25" s="109"/>
      <c r="WQ25" s="109"/>
      <c r="WR25" s="109"/>
      <c r="WS25" s="109"/>
      <c r="WT25" s="109"/>
      <c r="WU25" s="109"/>
      <c r="WV25" s="109"/>
      <c r="WW25" s="109"/>
      <c r="WX25" s="109"/>
      <c r="WY25" s="109"/>
      <c r="WZ25" s="109"/>
      <c r="XA25" s="109"/>
      <c r="XB25" s="109"/>
      <c r="XC25" s="109"/>
      <c r="XD25" s="109"/>
      <c r="XE25" s="109"/>
      <c r="XF25" s="109"/>
      <c r="XG25" s="109"/>
      <c r="XH25" s="109"/>
      <c r="XI25" s="109"/>
      <c r="XJ25" s="109"/>
      <c r="XK25" s="109"/>
      <c r="XL25" s="109"/>
      <c r="XM25" s="109"/>
      <c r="XN25" s="109"/>
      <c r="XO25" s="109"/>
      <c r="XP25" s="109"/>
      <c r="XQ25" s="109"/>
      <c r="XR25" s="109"/>
      <c r="XS25" s="109"/>
      <c r="XT25" s="109"/>
      <c r="XU25" s="109"/>
      <c r="XV25" s="109"/>
      <c r="XW25" s="109"/>
      <c r="XX25" s="109"/>
      <c r="XY25" s="109"/>
      <c r="XZ25" s="109"/>
      <c r="YA25" s="109"/>
      <c r="YB25" s="109"/>
      <c r="YC25" s="109"/>
      <c r="YD25" s="109"/>
      <c r="YE25" s="109"/>
      <c r="YF25" s="109"/>
      <c r="YG25" s="109"/>
      <c r="YH25" s="109"/>
      <c r="YI25" s="109"/>
      <c r="YJ25" s="109"/>
      <c r="YK25" s="109"/>
      <c r="YL25" s="109"/>
      <c r="YM25" s="109"/>
      <c r="YN25" s="109"/>
      <c r="YO25" s="109"/>
      <c r="YP25" s="109"/>
      <c r="YQ25" s="109"/>
      <c r="YR25" s="109"/>
      <c r="YS25" s="109"/>
      <c r="YT25" s="109"/>
      <c r="YU25" s="109"/>
      <c r="YV25" s="109"/>
      <c r="YW25" s="109"/>
      <c r="YX25" s="109"/>
      <c r="YY25" s="109"/>
      <c r="YZ25" s="109"/>
      <c r="ZA25" s="109"/>
      <c r="ZB25" s="109"/>
      <c r="ZC25" s="109"/>
      <c r="ZD25" s="109"/>
      <c r="ZE25" s="109"/>
      <c r="ZF25" s="109"/>
      <c r="ZG25" s="109"/>
      <c r="ZH25" s="109"/>
      <c r="ZI25" s="109"/>
      <c r="ZJ25" s="109"/>
      <c r="ZK25" s="109"/>
      <c r="ZL25" s="109"/>
      <c r="ZM25" s="109"/>
      <c r="ZN25" s="109"/>
      <c r="ZO25" s="109"/>
      <c r="ZP25" s="109"/>
      <c r="ZQ25" s="109"/>
      <c r="ZR25" s="109"/>
      <c r="ZS25" s="109"/>
      <c r="ZT25" s="109"/>
      <c r="ZU25" s="109"/>
      <c r="ZV25" s="109"/>
      <c r="ZW25" s="109"/>
      <c r="ZX25" s="109"/>
      <c r="ZY25" s="109"/>
      <c r="ZZ25" s="109"/>
      <c r="AAA25" s="109"/>
      <c r="AAB25" s="109"/>
      <c r="AAC25" s="109"/>
      <c r="AAD25" s="109"/>
      <c r="AAE25" s="109"/>
      <c r="AAF25" s="109"/>
      <c r="AAG25" s="109"/>
      <c r="AAH25" s="109"/>
      <c r="AAI25" s="109"/>
      <c r="AAJ25" s="109"/>
      <c r="AAK25" s="109"/>
      <c r="AAL25" s="109"/>
      <c r="AAM25" s="109"/>
      <c r="AAN25" s="109"/>
      <c r="AAO25" s="109"/>
      <c r="AAP25" s="109"/>
      <c r="AAQ25" s="109"/>
      <c r="AAR25" s="109"/>
      <c r="AAS25" s="109"/>
      <c r="AAT25" s="109"/>
      <c r="AAU25" s="109"/>
      <c r="AAV25" s="109"/>
      <c r="AAW25" s="109"/>
      <c r="AAX25" s="109"/>
      <c r="AAY25" s="109"/>
      <c r="AAZ25" s="109"/>
      <c r="ABA25" s="109"/>
      <c r="ABB25" s="109"/>
      <c r="ABC25" s="109"/>
      <c r="ABD25" s="109"/>
      <c r="ABE25" s="109"/>
      <c r="ABF25" s="109"/>
      <c r="ABG25" s="109"/>
      <c r="ABH25" s="109"/>
      <c r="ABI25" s="109"/>
      <c r="ABJ25" s="109"/>
      <c r="ABK25" s="109"/>
      <c r="ABL25" s="109"/>
      <c r="ABM25" s="109"/>
      <c r="ABN25" s="109"/>
      <c r="ABO25" s="109"/>
      <c r="ABP25" s="109"/>
      <c r="ABQ25" s="109"/>
      <c r="ABR25" s="109"/>
      <c r="ABS25" s="109"/>
      <c r="ABT25" s="109"/>
      <c r="ABU25" s="109"/>
      <c r="ABV25" s="109"/>
      <c r="ABW25" s="109"/>
      <c r="ABX25" s="109"/>
      <c r="ABY25" s="109"/>
      <c r="ABZ25" s="109"/>
      <c r="ACA25" s="109"/>
      <c r="ACB25" s="109"/>
      <c r="ACC25" s="109"/>
      <c r="ACD25" s="109"/>
      <c r="ACE25" s="109"/>
      <c r="ACF25" s="109"/>
      <c r="ACG25" s="109"/>
      <c r="ACH25" s="109"/>
      <c r="ACI25" s="109"/>
      <c r="ACJ25" s="109"/>
      <c r="ACK25" s="109"/>
      <c r="ACL25" s="109"/>
      <c r="ACM25" s="109"/>
      <c r="ACN25" s="109"/>
      <c r="ACO25" s="109"/>
      <c r="ACP25" s="109"/>
      <c r="ACQ25" s="109"/>
      <c r="ACR25" s="109"/>
      <c r="ACS25" s="109"/>
      <c r="ACT25" s="109"/>
      <c r="ACU25" s="109"/>
      <c r="ACV25" s="109"/>
      <c r="ACW25" s="109"/>
      <c r="ACX25" s="109"/>
      <c r="ACY25" s="109"/>
      <c r="ACZ25" s="109"/>
      <c r="ADA25" s="109"/>
      <c r="ADB25" s="109"/>
      <c r="ADC25" s="109"/>
      <c r="ADD25" s="109"/>
      <c r="ADE25" s="109"/>
      <c r="ADF25" s="109"/>
      <c r="ADG25" s="109"/>
      <c r="ADH25" s="109"/>
      <c r="ADI25" s="109"/>
      <c r="ADJ25" s="109"/>
      <c r="ADK25" s="109"/>
      <c r="ADL25" s="109"/>
      <c r="ADM25" s="109"/>
      <c r="ADN25" s="109"/>
      <c r="ADO25" s="109"/>
      <c r="ADP25" s="109"/>
      <c r="ADQ25" s="109"/>
      <c r="ADR25" s="109"/>
      <c r="ADS25" s="109"/>
      <c r="ADT25" s="109"/>
      <c r="ADU25" s="109"/>
      <c r="ADV25" s="109"/>
      <c r="ADW25" s="109"/>
      <c r="ADX25" s="109"/>
      <c r="ADY25" s="109"/>
      <c r="ADZ25" s="109"/>
      <c r="AEA25" s="109"/>
      <c r="AEB25" s="109"/>
      <c r="AEC25" s="109"/>
      <c r="AED25" s="109"/>
      <c r="AEE25" s="109"/>
      <c r="AEF25" s="109"/>
      <c r="AEG25" s="109"/>
      <c r="AEH25" s="109"/>
      <c r="AEI25" s="109"/>
      <c r="AEJ25" s="109"/>
      <c r="AEK25" s="109"/>
      <c r="AEL25" s="109"/>
      <c r="AEM25" s="109"/>
      <c r="AEN25" s="109"/>
      <c r="AEO25" s="109"/>
      <c r="AEP25" s="109"/>
      <c r="AEQ25" s="109"/>
      <c r="AER25" s="109"/>
      <c r="AES25" s="109"/>
      <c r="AET25" s="109"/>
      <c r="AEU25" s="109"/>
      <c r="AEV25" s="109"/>
      <c r="AEW25" s="109"/>
      <c r="AEX25" s="109"/>
      <c r="AEY25" s="109"/>
      <c r="AEZ25" s="109"/>
      <c r="AFA25" s="109"/>
      <c r="AFB25" s="109"/>
      <c r="AFC25" s="109"/>
      <c r="AFD25" s="109"/>
      <c r="AFE25" s="109"/>
      <c r="AFF25" s="109"/>
      <c r="AFG25" s="109"/>
      <c r="AFH25" s="109"/>
      <c r="AFI25" s="109"/>
      <c r="AFJ25" s="109"/>
      <c r="AFK25" s="109"/>
      <c r="AFL25" s="109"/>
      <c r="AFM25" s="109"/>
      <c r="AFN25" s="109"/>
      <c r="AFO25" s="109"/>
      <c r="AFP25" s="109"/>
      <c r="AFQ25" s="109"/>
      <c r="AFR25" s="109"/>
      <c r="AFS25" s="109"/>
      <c r="AFT25" s="109"/>
      <c r="AFU25" s="109"/>
      <c r="AFV25" s="109"/>
      <c r="AFW25" s="109"/>
      <c r="AFX25" s="109"/>
      <c r="AFY25" s="109"/>
      <c r="AFZ25" s="109"/>
      <c r="AGA25" s="109"/>
      <c r="AGB25" s="109"/>
      <c r="AGC25" s="109"/>
      <c r="AGD25" s="109"/>
      <c r="AGE25" s="109"/>
      <c r="AGF25" s="109"/>
      <c r="AGG25" s="109"/>
      <c r="AGH25" s="109"/>
      <c r="AGI25" s="109"/>
      <c r="AGJ25" s="109"/>
      <c r="AGK25" s="109"/>
      <c r="AGL25" s="109"/>
      <c r="AGM25" s="109"/>
      <c r="AGN25" s="109"/>
      <c r="AGO25" s="109"/>
      <c r="AGP25" s="109"/>
      <c r="AGQ25" s="109"/>
      <c r="AGR25" s="109"/>
      <c r="AGS25" s="109"/>
      <c r="AGT25" s="109"/>
      <c r="AGU25" s="109"/>
      <c r="AGV25" s="109"/>
      <c r="AGW25" s="109"/>
      <c r="AGX25" s="109"/>
      <c r="AGY25" s="109"/>
      <c r="AGZ25" s="109"/>
      <c r="AHA25" s="109"/>
      <c r="AHB25" s="109"/>
      <c r="AHC25" s="109"/>
      <c r="AHD25" s="109"/>
      <c r="AHE25" s="109"/>
      <c r="AHF25" s="109"/>
      <c r="AHG25" s="109"/>
      <c r="AHH25" s="109"/>
      <c r="AHI25" s="109"/>
      <c r="AHJ25" s="109"/>
      <c r="AHK25" s="109"/>
      <c r="AHL25" s="109"/>
      <c r="AHM25" s="109"/>
      <c r="AHN25" s="109"/>
      <c r="AHO25" s="109"/>
      <c r="AHP25" s="109"/>
      <c r="AHQ25" s="109"/>
      <c r="AHR25" s="109"/>
      <c r="AHS25" s="109"/>
      <c r="AHT25" s="109"/>
      <c r="AHU25" s="109"/>
      <c r="AHV25" s="109"/>
      <c r="AHW25" s="109"/>
      <c r="AHX25" s="109"/>
      <c r="AHY25" s="109"/>
      <c r="AHZ25" s="109"/>
      <c r="AIA25" s="109"/>
      <c r="AIB25" s="109"/>
      <c r="AIC25" s="109"/>
      <c r="AID25" s="109"/>
      <c r="AIE25" s="109"/>
      <c r="AIF25" s="109"/>
      <c r="AIG25" s="109"/>
      <c r="AIH25" s="109"/>
      <c r="AII25" s="109"/>
      <c r="AIJ25" s="109"/>
      <c r="AIK25" s="109"/>
      <c r="AIL25" s="109"/>
      <c r="AIM25" s="109"/>
      <c r="AIN25" s="109"/>
      <c r="AIO25" s="109"/>
      <c r="AIP25" s="109"/>
      <c r="AIQ25" s="109"/>
      <c r="AIR25" s="109"/>
      <c r="AIS25" s="109"/>
      <c r="AIT25" s="109"/>
      <c r="AIU25" s="109"/>
      <c r="AIV25" s="109"/>
      <c r="AIW25" s="109"/>
      <c r="AIX25" s="109"/>
      <c r="AIY25" s="109"/>
      <c r="AIZ25" s="109"/>
      <c r="AJA25" s="109"/>
      <c r="AJB25" s="109"/>
      <c r="AJC25" s="109"/>
      <c r="AJD25" s="109"/>
      <c r="AJE25" s="109"/>
      <c r="AJF25" s="109"/>
      <c r="AJG25" s="109"/>
      <c r="AJH25" s="109"/>
      <c r="AJI25" s="109"/>
      <c r="AJJ25" s="109"/>
      <c r="AJK25" s="109"/>
      <c r="AJL25" s="109"/>
      <c r="AJM25" s="109"/>
      <c r="AJN25" s="109"/>
      <c r="AJO25" s="109"/>
      <c r="AJP25" s="109"/>
      <c r="AJQ25" s="109"/>
      <c r="AJR25" s="109"/>
      <c r="AJS25" s="109"/>
      <c r="AJT25" s="109"/>
      <c r="AJU25" s="109"/>
      <c r="AJV25" s="109"/>
      <c r="AJW25" s="109"/>
      <c r="AJX25" s="109"/>
      <c r="AJY25" s="109"/>
      <c r="AJZ25" s="109"/>
      <c r="AKA25" s="109"/>
      <c r="AKB25" s="109"/>
      <c r="AKC25" s="109"/>
      <c r="AKD25" s="109"/>
      <c r="AKE25" s="109"/>
      <c r="AKF25" s="109"/>
      <c r="AKG25" s="109"/>
      <c r="AKH25" s="109"/>
      <c r="AKI25" s="109"/>
      <c r="AKJ25" s="109"/>
      <c r="AKK25" s="109"/>
      <c r="AKL25" s="109"/>
      <c r="AKM25" s="109"/>
      <c r="AKN25" s="109"/>
      <c r="AKO25" s="109"/>
      <c r="AKP25" s="109"/>
      <c r="AKQ25" s="109"/>
      <c r="AKR25" s="109"/>
      <c r="AKS25" s="109"/>
      <c r="AKT25" s="109"/>
      <c r="AKU25" s="109"/>
      <c r="AKV25" s="109"/>
      <c r="AKW25" s="109"/>
      <c r="AKX25" s="109"/>
      <c r="AKY25" s="109"/>
      <c r="AKZ25" s="109"/>
      <c r="ALA25" s="109"/>
      <c r="ALB25" s="109"/>
      <c r="ALC25" s="109"/>
      <c r="ALD25" s="109"/>
      <c r="ALE25" s="109"/>
      <c r="ALF25" s="109"/>
      <c r="ALG25" s="109"/>
      <c r="ALH25" s="109"/>
      <c r="ALI25" s="109"/>
      <c r="ALJ25" s="109"/>
      <c r="ALK25" s="109"/>
      <c r="ALL25" s="109"/>
      <c r="ALM25" s="109"/>
      <c r="ALN25" s="109"/>
      <c r="ALO25" s="109"/>
      <c r="ALP25" s="109"/>
      <c r="ALQ25" s="109"/>
      <c r="ALR25" s="109"/>
      <c r="ALS25" s="109"/>
      <c r="ALT25" s="109"/>
      <c r="ALU25" s="109"/>
      <c r="ALV25" s="109"/>
      <c r="ALW25" s="109"/>
      <c r="ALX25" s="109"/>
      <c r="ALY25" s="109"/>
      <c r="ALZ25" s="109"/>
      <c r="AMA25" s="109"/>
      <c r="AMB25" s="109"/>
      <c r="AMC25" s="109"/>
      <c r="AMD25" s="109"/>
      <c r="AME25" s="109"/>
      <c r="AMF25" s="109"/>
      <c r="AMG25" s="109"/>
      <c r="AMH25" s="109"/>
      <c r="AMI25" s="109"/>
      <c r="AMJ25" s="109"/>
      <c r="AMK25" s="109"/>
      <c r="AML25" s="109"/>
      <c r="AMM25" s="109"/>
      <c r="AMN25" s="109"/>
      <c r="AMO25" s="109"/>
      <c r="AMP25" s="109"/>
      <c r="AMQ25" s="109"/>
      <c r="AMR25" s="109"/>
      <c r="AMS25" s="109"/>
      <c r="AMT25" s="109"/>
      <c r="AMU25" s="109"/>
      <c r="AMV25" s="109"/>
      <c r="AMW25" s="109"/>
      <c r="AMX25" s="109"/>
      <c r="AMY25" s="109"/>
      <c r="AMZ25" s="109"/>
      <c r="ANA25" s="109"/>
      <c r="ANB25" s="109"/>
      <c r="ANC25" s="109"/>
      <c r="AND25" s="109"/>
      <c r="ANE25" s="109"/>
      <c r="ANF25" s="109"/>
      <c r="ANG25" s="109"/>
      <c r="ANH25" s="109"/>
      <c r="ANI25" s="109"/>
      <c r="ANJ25" s="109"/>
      <c r="ANK25" s="109"/>
      <c r="ANL25" s="109"/>
      <c r="ANM25" s="109"/>
      <c r="ANN25" s="109"/>
      <c r="ANO25" s="109"/>
      <c r="ANP25" s="109"/>
      <c r="ANQ25" s="109"/>
      <c r="ANR25" s="109"/>
      <c r="ANS25" s="109"/>
      <c r="ANT25" s="109"/>
      <c r="ANU25" s="109"/>
      <c r="ANV25" s="109"/>
      <c r="ANW25" s="109"/>
      <c r="ANX25" s="109"/>
      <c r="ANY25" s="109"/>
      <c r="ANZ25" s="109"/>
      <c r="AOA25" s="109"/>
      <c r="AOB25" s="109"/>
      <c r="AOC25" s="109"/>
      <c r="AOD25" s="109"/>
      <c r="AOE25" s="109"/>
      <c r="AOF25" s="109"/>
      <c r="AOG25" s="109"/>
      <c r="AOH25" s="109"/>
      <c r="AOI25" s="109"/>
      <c r="AOJ25" s="109"/>
      <c r="AOK25" s="109"/>
      <c r="AOL25" s="109"/>
      <c r="AOM25" s="109"/>
      <c r="AON25" s="109"/>
      <c r="AOO25" s="109"/>
      <c r="AOP25" s="109"/>
      <c r="AOQ25" s="109"/>
      <c r="AOR25" s="109"/>
      <c r="AOS25" s="109"/>
      <c r="AOT25" s="109"/>
      <c r="AOU25" s="109"/>
      <c r="AOV25" s="109"/>
      <c r="AOW25" s="109"/>
      <c r="AOX25" s="109"/>
      <c r="AOY25" s="109"/>
      <c r="AOZ25" s="109"/>
      <c r="APA25" s="109"/>
      <c r="APB25" s="109"/>
      <c r="APC25" s="109"/>
      <c r="APD25" s="109"/>
      <c r="APE25" s="109"/>
      <c r="APF25" s="109"/>
      <c r="APG25" s="109"/>
      <c r="APH25" s="109"/>
      <c r="API25" s="109"/>
      <c r="APJ25" s="109"/>
      <c r="APK25" s="109"/>
      <c r="APL25" s="109"/>
      <c r="APM25" s="109"/>
      <c r="APN25" s="109"/>
      <c r="APO25" s="109"/>
      <c r="APP25" s="109"/>
      <c r="APQ25" s="109"/>
      <c r="APR25" s="109"/>
      <c r="APS25" s="109"/>
      <c r="APT25" s="109"/>
      <c r="APU25" s="109"/>
      <c r="APV25" s="109"/>
      <c r="APW25" s="109"/>
      <c r="APX25" s="109"/>
      <c r="APY25" s="109"/>
      <c r="APZ25" s="109"/>
      <c r="AQA25" s="109"/>
      <c r="AQB25" s="109"/>
      <c r="AQC25" s="109"/>
      <c r="AQD25" s="109"/>
      <c r="AQE25" s="109"/>
      <c r="AQF25" s="109"/>
      <c r="AQG25" s="109"/>
      <c r="AQH25" s="109"/>
      <c r="AQI25" s="109"/>
      <c r="AQJ25" s="109"/>
      <c r="AQK25" s="109"/>
      <c r="AQL25" s="109"/>
      <c r="AQM25" s="109"/>
      <c r="AQN25" s="109"/>
      <c r="AQO25" s="109"/>
      <c r="AQP25" s="109"/>
      <c r="AQQ25" s="109"/>
      <c r="AQR25" s="109"/>
      <c r="AQS25" s="109"/>
      <c r="AQT25" s="109"/>
      <c r="AQU25" s="109"/>
      <c r="AQV25" s="109"/>
      <c r="AQW25" s="109"/>
      <c r="AQX25" s="109"/>
      <c r="AQY25" s="109"/>
      <c r="AQZ25" s="109"/>
      <c r="ARA25" s="109"/>
      <c r="ARB25" s="109"/>
      <c r="ARC25" s="109"/>
      <c r="ARD25" s="109"/>
      <c r="ARE25" s="109"/>
      <c r="ARF25" s="109"/>
      <c r="ARG25" s="109"/>
      <c r="ARH25" s="109"/>
      <c r="ARI25" s="109"/>
      <c r="ARJ25" s="109"/>
      <c r="ARK25" s="109"/>
      <c r="ARL25" s="109"/>
      <c r="ARM25" s="109"/>
      <c r="ARN25" s="109"/>
      <c r="ARO25" s="109"/>
      <c r="ARP25" s="109"/>
      <c r="ARQ25" s="109"/>
      <c r="ARR25" s="109"/>
      <c r="ARS25" s="109"/>
      <c r="ART25" s="109"/>
      <c r="ARU25" s="109"/>
      <c r="ARV25" s="109"/>
      <c r="ARW25" s="109"/>
      <c r="ARX25" s="109"/>
      <c r="ARY25" s="109"/>
      <c r="ARZ25" s="109"/>
      <c r="ASA25" s="109"/>
      <c r="ASB25" s="109"/>
      <c r="ASC25" s="109"/>
      <c r="ASD25" s="109"/>
      <c r="ASE25" s="109"/>
      <c r="ASF25" s="109"/>
      <c r="ASG25" s="109"/>
      <c r="ASH25" s="109"/>
      <c r="ASI25" s="109"/>
      <c r="ASJ25" s="109"/>
      <c r="ASK25" s="109"/>
      <c r="ASL25" s="109"/>
      <c r="ASM25" s="109"/>
      <c r="ASN25" s="109"/>
      <c r="ASO25" s="109"/>
      <c r="ASP25" s="109"/>
      <c r="ASQ25" s="109"/>
      <c r="ASR25" s="109"/>
      <c r="ASS25" s="109"/>
      <c r="AST25" s="109"/>
      <c r="ASU25" s="109"/>
      <c r="ASV25" s="109"/>
      <c r="ASW25" s="109"/>
      <c r="ASX25" s="109"/>
      <c r="ASY25" s="109"/>
      <c r="ASZ25" s="109"/>
      <c r="ATA25" s="109"/>
      <c r="ATB25" s="109"/>
      <c r="ATC25" s="109"/>
      <c r="ATD25" s="109"/>
      <c r="ATE25" s="109"/>
      <c r="ATF25" s="109"/>
      <c r="ATG25" s="109"/>
      <c r="ATH25" s="109"/>
      <c r="ATI25" s="109"/>
      <c r="ATJ25" s="109"/>
      <c r="ATK25" s="109"/>
      <c r="ATL25" s="109"/>
      <c r="ATM25" s="109"/>
      <c r="ATN25" s="109"/>
      <c r="ATO25" s="109"/>
      <c r="ATP25" s="109"/>
      <c r="ATQ25" s="109"/>
      <c r="ATR25" s="109"/>
      <c r="ATS25" s="109"/>
      <c r="ATT25" s="109"/>
      <c r="ATU25" s="109"/>
      <c r="ATV25" s="109"/>
      <c r="ATW25" s="109"/>
      <c r="ATX25" s="109"/>
      <c r="ATY25" s="109"/>
      <c r="ATZ25" s="109"/>
      <c r="AUA25" s="109"/>
      <c r="AUB25" s="109"/>
      <c r="AUC25" s="109"/>
      <c r="AUD25" s="109"/>
      <c r="AUE25" s="109"/>
      <c r="AUF25" s="109"/>
      <c r="AUG25" s="109"/>
      <c r="AUH25" s="109"/>
      <c r="AUI25" s="109"/>
      <c r="AUJ25" s="109"/>
      <c r="AUK25" s="109"/>
      <c r="AUL25" s="109"/>
      <c r="AUM25" s="109"/>
      <c r="AUN25" s="109"/>
      <c r="AUO25" s="109"/>
      <c r="AUP25" s="109"/>
      <c r="AUQ25" s="109"/>
      <c r="AUR25" s="109"/>
      <c r="AUS25" s="109"/>
      <c r="AUT25" s="109"/>
      <c r="AUU25" s="109"/>
      <c r="AUV25" s="109"/>
      <c r="AUW25" s="109"/>
      <c r="AUX25" s="109"/>
      <c r="AUY25" s="109"/>
      <c r="AUZ25" s="109"/>
      <c r="AVA25" s="109"/>
      <c r="AVB25" s="109"/>
      <c r="AVC25" s="109"/>
      <c r="AVD25" s="109"/>
      <c r="AVE25" s="109"/>
      <c r="AVF25" s="109"/>
      <c r="AVG25" s="109"/>
      <c r="AVH25" s="109"/>
      <c r="AVI25" s="109"/>
      <c r="AVJ25" s="109"/>
      <c r="AVK25" s="109"/>
      <c r="AVL25" s="109"/>
      <c r="AVM25" s="109"/>
      <c r="AVN25" s="109"/>
      <c r="AVO25" s="109"/>
      <c r="AVP25" s="109"/>
      <c r="AVQ25" s="109"/>
      <c r="AVR25" s="109"/>
      <c r="AVS25" s="109"/>
      <c r="AVT25" s="109"/>
      <c r="AVU25" s="109"/>
      <c r="AVV25" s="109"/>
      <c r="AVW25" s="109"/>
      <c r="AVX25" s="109"/>
      <c r="AVY25" s="109"/>
      <c r="AVZ25" s="109"/>
      <c r="AWA25" s="109"/>
      <c r="AWB25" s="109"/>
      <c r="AWC25" s="109"/>
      <c r="AWD25" s="109"/>
      <c r="AWE25" s="109"/>
      <c r="AWF25" s="109"/>
      <c r="AWG25" s="109"/>
      <c r="AWH25" s="109"/>
      <c r="AWI25" s="109"/>
      <c r="AWJ25" s="109"/>
      <c r="AWK25" s="109"/>
      <c r="AWL25" s="109"/>
      <c r="AWM25" s="109"/>
      <c r="AWN25" s="109"/>
      <c r="AWO25" s="109"/>
      <c r="AWP25" s="109"/>
      <c r="AWQ25" s="109"/>
      <c r="AWR25" s="109"/>
      <c r="AWS25" s="109"/>
      <c r="AWT25" s="109"/>
      <c r="AWU25" s="109"/>
      <c r="AWV25" s="109"/>
      <c r="AWW25" s="109"/>
      <c r="AWX25" s="109"/>
      <c r="AWY25" s="109"/>
      <c r="AWZ25" s="109"/>
      <c r="AXA25" s="109"/>
      <c r="AXB25" s="109"/>
      <c r="AXC25" s="109"/>
      <c r="AXD25" s="109"/>
      <c r="AXE25" s="109"/>
      <c r="AXF25" s="109"/>
      <c r="AXG25" s="109"/>
      <c r="AXH25" s="109"/>
      <c r="AXI25" s="109"/>
      <c r="AXJ25" s="109"/>
      <c r="AXK25" s="109"/>
      <c r="AXL25" s="109"/>
      <c r="AXM25" s="109"/>
      <c r="AXN25" s="109"/>
      <c r="AXO25" s="109"/>
      <c r="AXP25" s="109"/>
      <c r="AXQ25" s="109"/>
      <c r="AXR25" s="109"/>
      <c r="AXS25" s="109"/>
      <c r="AXT25" s="109"/>
      <c r="AXU25" s="109"/>
      <c r="AXV25" s="109"/>
      <c r="AXW25" s="109"/>
      <c r="AXX25" s="109"/>
      <c r="AXY25" s="109"/>
      <c r="AXZ25" s="109"/>
      <c r="AYA25" s="109"/>
      <c r="AYB25" s="109"/>
      <c r="AYC25" s="109"/>
      <c r="AYD25" s="109"/>
      <c r="AYE25" s="109"/>
      <c r="AYF25" s="109"/>
      <c r="AYG25" s="109"/>
      <c r="AYH25" s="109"/>
      <c r="AYI25" s="109"/>
      <c r="AYJ25" s="109"/>
      <c r="AYK25" s="109"/>
      <c r="AYL25" s="109"/>
      <c r="AYM25" s="109"/>
      <c r="AYN25" s="109"/>
      <c r="AYO25" s="109"/>
      <c r="AYP25" s="109"/>
      <c r="AYQ25" s="109"/>
      <c r="AYR25" s="109"/>
      <c r="AYS25" s="109"/>
      <c r="AYT25" s="109"/>
      <c r="AYU25" s="109"/>
      <c r="AYV25" s="109"/>
      <c r="AYW25" s="109"/>
      <c r="AYX25" s="109"/>
      <c r="AYY25" s="109"/>
      <c r="AYZ25" s="109"/>
      <c r="AZA25" s="109"/>
      <c r="AZB25" s="109"/>
      <c r="AZC25" s="109"/>
      <c r="AZD25" s="109"/>
      <c r="AZE25" s="109"/>
      <c r="AZF25" s="109"/>
      <c r="AZG25" s="109"/>
      <c r="AZH25" s="109"/>
      <c r="AZI25" s="109"/>
      <c r="AZJ25" s="109"/>
      <c r="AZK25" s="109"/>
      <c r="AZL25" s="109"/>
      <c r="AZM25" s="109"/>
      <c r="AZN25" s="109"/>
      <c r="AZO25" s="109"/>
      <c r="AZP25" s="109"/>
      <c r="AZQ25" s="109"/>
      <c r="AZR25" s="109"/>
      <c r="AZS25" s="109"/>
      <c r="AZT25" s="109"/>
      <c r="AZU25" s="109"/>
      <c r="AZV25" s="109"/>
      <c r="AZW25" s="109"/>
      <c r="AZX25" s="109"/>
      <c r="AZY25" s="109"/>
      <c r="AZZ25" s="109"/>
      <c r="BAA25" s="109"/>
      <c r="BAB25" s="109"/>
      <c r="BAC25" s="109"/>
      <c r="BAD25" s="109"/>
      <c r="BAE25" s="109"/>
      <c r="BAF25" s="109"/>
      <c r="BAG25" s="109"/>
      <c r="BAH25" s="109"/>
      <c r="BAI25" s="109"/>
      <c r="BAJ25" s="109"/>
      <c r="BAK25" s="109"/>
      <c r="BAL25" s="109"/>
      <c r="BAM25" s="109"/>
      <c r="BAN25" s="109"/>
      <c r="BAO25" s="109"/>
      <c r="BAP25" s="109"/>
      <c r="BAQ25" s="109"/>
      <c r="BAR25" s="109"/>
      <c r="BAS25" s="109"/>
      <c r="BAT25" s="109"/>
      <c r="BAU25" s="109"/>
      <c r="BAV25" s="109"/>
      <c r="BAW25" s="109"/>
      <c r="BAX25" s="109"/>
      <c r="BAY25" s="109"/>
      <c r="BAZ25" s="109"/>
      <c r="BBA25" s="109"/>
      <c r="BBB25" s="109"/>
      <c r="BBC25" s="109"/>
      <c r="BBD25" s="109"/>
      <c r="BBE25" s="109"/>
      <c r="BBF25" s="109"/>
      <c r="BBG25" s="109"/>
      <c r="BBH25" s="109"/>
      <c r="BBI25" s="109"/>
      <c r="BBJ25" s="109"/>
      <c r="BBK25" s="109"/>
      <c r="BBL25" s="109"/>
      <c r="BBM25" s="109"/>
      <c r="BBN25" s="109"/>
      <c r="BBO25" s="109"/>
      <c r="BBP25" s="109"/>
      <c r="BBQ25" s="109"/>
      <c r="BBR25" s="109"/>
      <c r="BBS25" s="109"/>
      <c r="BBT25" s="109"/>
      <c r="BBU25" s="109"/>
      <c r="BBV25" s="109"/>
      <c r="BBW25" s="109"/>
      <c r="BBX25" s="109"/>
      <c r="BBY25" s="109"/>
      <c r="BBZ25" s="109"/>
      <c r="BCA25" s="109"/>
      <c r="BCB25" s="109"/>
      <c r="BCC25" s="109"/>
      <c r="BCD25" s="109"/>
      <c r="BCE25" s="109"/>
      <c r="BCF25" s="109"/>
      <c r="BCG25" s="109"/>
      <c r="BCH25" s="109"/>
      <c r="BCI25" s="109"/>
      <c r="BCJ25" s="109"/>
      <c r="BCK25" s="109"/>
      <c r="BCL25" s="109"/>
      <c r="BCM25" s="109"/>
      <c r="BCN25" s="109"/>
      <c r="BCO25" s="109"/>
      <c r="BCP25" s="109"/>
      <c r="BCQ25" s="109"/>
      <c r="BCR25" s="109"/>
      <c r="BCS25" s="109"/>
      <c r="BCT25" s="109"/>
      <c r="BCU25" s="109"/>
      <c r="BCV25" s="109"/>
      <c r="BCW25" s="109"/>
      <c r="BCX25" s="109"/>
      <c r="BCY25" s="109"/>
      <c r="BCZ25" s="109"/>
      <c r="BDA25" s="109"/>
      <c r="BDB25" s="109"/>
      <c r="BDC25" s="109"/>
      <c r="BDD25" s="109"/>
      <c r="BDE25" s="109"/>
      <c r="BDF25" s="109"/>
      <c r="BDG25" s="109"/>
      <c r="BDH25" s="109"/>
      <c r="BDI25" s="109"/>
      <c r="BDJ25" s="109"/>
      <c r="BDK25" s="109"/>
      <c r="BDL25" s="109"/>
      <c r="BDM25" s="109"/>
      <c r="BDN25" s="109"/>
      <c r="BDO25" s="109"/>
      <c r="BDP25" s="109"/>
      <c r="BDQ25" s="109"/>
      <c r="BDR25" s="109"/>
      <c r="BDS25" s="109"/>
      <c r="BDT25" s="109"/>
      <c r="BDU25" s="109"/>
      <c r="BDV25" s="109"/>
      <c r="BDW25" s="109"/>
      <c r="BDX25" s="109"/>
      <c r="BDY25" s="109"/>
      <c r="BDZ25" s="109"/>
      <c r="BEA25" s="109"/>
      <c r="BEB25" s="109"/>
      <c r="BEC25" s="109"/>
      <c r="BED25" s="109"/>
      <c r="BEE25" s="109"/>
      <c r="BEF25" s="109"/>
      <c r="BEG25" s="109"/>
      <c r="BEH25" s="109"/>
      <c r="BEI25" s="109"/>
      <c r="BEJ25" s="109"/>
      <c r="BEK25" s="109"/>
    </row>
    <row r="28" spans="1:1493" s="106" customFormat="1" ht="15" customHeight="1" x14ac:dyDescent="0.15">
      <c r="DA28" s="107"/>
      <c r="DB28" s="108"/>
    </row>
    <row r="30" spans="1:1493" s="106" customFormat="1" ht="15" customHeight="1" x14ac:dyDescent="0.15">
      <c r="A30" s="294">
        <f t="shared" ref="A30" si="2">IF(B30&lt;&gt;"",1,0)</f>
        <v>1</v>
      </c>
      <c r="B30" s="81">
        <f>RedBasica!E30</f>
        <v>0</v>
      </c>
      <c r="C30" s="82">
        <f>RedBasica!F30</f>
        <v>0</v>
      </c>
      <c r="D30" s="83">
        <f>RedBasica!G30</f>
        <v>0</v>
      </c>
      <c r="E30" s="83">
        <f>RedBasica!H30</f>
        <v>0</v>
      </c>
      <c r="F30" s="83">
        <f>RedBasica!I30</f>
        <v>0</v>
      </c>
      <c r="G30" s="83">
        <f>RedBasica!J30</f>
        <v>0</v>
      </c>
      <c r="H30" s="83">
        <f>RedBasica!K30</f>
        <v>0</v>
      </c>
      <c r="I30" s="83">
        <f>RedBasica!L30</f>
        <v>0</v>
      </c>
      <c r="J30" s="238">
        <f>RedBasica!M30</f>
        <v>0</v>
      </c>
      <c r="K30" s="83">
        <f>RedBasica!N30</f>
        <v>0</v>
      </c>
      <c r="L30" s="83">
        <f>RedBasica!O30</f>
        <v>0</v>
      </c>
      <c r="M30" s="84">
        <f>RedBasica!Y30</f>
        <v>0</v>
      </c>
      <c r="N30" s="84">
        <f>RedBasica!Z30</f>
        <v>0</v>
      </c>
      <c r="O30" s="85">
        <f>RedBasica!AA30</f>
        <v>0</v>
      </c>
      <c r="P30" s="85">
        <f>RedBasica!AB30</f>
        <v>0</v>
      </c>
      <c r="Q30" s="85">
        <f>RedBasica!AC30</f>
        <v>0</v>
      </c>
      <c r="R30" s="85">
        <f>RedBasica!AD30</f>
        <v>0</v>
      </c>
      <c r="S30" s="84">
        <f>RedBasica!V30</f>
        <v>0</v>
      </c>
      <c r="T30" s="84">
        <f>RedBasica!W30</f>
        <v>0</v>
      </c>
      <c r="U30" s="84">
        <f>RedBasica!T30</f>
        <v>0</v>
      </c>
      <c r="V30" s="84">
        <f>RedBasica!U30</f>
        <v>0</v>
      </c>
      <c r="W30" s="86">
        <f>RedBasica!AE30</f>
        <v>0</v>
      </c>
      <c r="X30" s="86">
        <f>RedBasica!AH30</f>
        <v>0</v>
      </c>
      <c r="Y30" s="87">
        <f>RedBasica!AJ30</f>
        <v>0</v>
      </c>
      <c r="Z30" s="86">
        <f>RedBasica!AK30</f>
        <v>0</v>
      </c>
      <c r="AA30" s="84">
        <f>RedBasica!AL30</f>
        <v>0</v>
      </c>
      <c r="AB30" s="88">
        <f>RedBasica!AN30</f>
        <v>0</v>
      </c>
      <c r="AC30" s="84">
        <f>RedBasica!AP30</f>
        <v>0</v>
      </c>
      <c r="AD30" s="84">
        <f>RedBasica!AQ30</f>
        <v>0</v>
      </c>
      <c r="AE30" s="84">
        <f>RedBasica!AR30</f>
        <v>0</v>
      </c>
      <c r="AF30" s="84">
        <f>RedBasica!AS30</f>
        <v>0</v>
      </c>
      <c r="AG30" s="88">
        <f>RedBasica!AU30</f>
        <v>0</v>
      </c>
      <c r="AH30" s="84">
        <f>RedBasica!AV30</f>
        <v>0</v>
      </c>
      <c r="AI30" s="296">
        <f>RedBasica!AX30</f>
        <v>0</v>
      </c>
      <c r="AJ30" s="296">
        <f>RedBasica!AZ30</f>
        <v>0</v>
      </c>
      <c r="AK30" s="145">
        <f>RedBasica!BB30</f>
        <v>0</v>
      </c>
      <c r="CV30" s="107"/>
      <c r="CW30" s="108"/>
    </row>
    <row r="35" spans="1:42" x14ac:dyDescent="0.2">
      <c r="A35" s="110"/>
      <c r="B35" s="111"/>
      <c r="C35" s="111"/>
      <c r="D35" s="112"/>
      <c r="E35" s="113"/>
      <c r="F35" s="114"/>
      <c r="G35" s="115"/>
      <c r="H35" s="114"/>
      <c r="I35" s="114"/>
      <c r="J35" s="112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6"/>
      <c r="AF35" s="114"/>
    </row>
    <row r="36" spans="1:42" x14ac:dyDescent="0.2">
      <c r="A36" s="110"/>
      <c r="B36" s="111"/>
      <c r="C36" s="111"/>
      <c r="D36" s="112"/>
      <c r="E36" s="113"/>
      <c r="F36" s="114"/>
      <c r="G36" s="115"/>
      <c r="H36" s="114"/>
      <c r="I36" s="114"/>
      <c r="J36" s="112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6"/>
      <c r="AF36" s="114"/>
    </row>
    <row r="38" spans="1:42" x14ac:dyDescent="0.2">
      <c r="A38" s="110"/>
      <c r="B38" s="111"/>
      <c r="C38" s="111"/>
      <c r="D38" s="112"/>
      <c r="E38" s="113"/>
      <c r="F38" s="114"/>
      <c r="G38" s="115"/>
      <c r="H38" s="114"/>
      <c r="I38" s="114"/>
      <c r="J38" s="112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6"/>
      <c r="AF38" s="114"/>
    </row>
    <row r="40" spans="1:42" x14ac:dyDescent="0.2">
      <c r="A40" s="89">
        <f>RedBasica!E40</f>
        <v>0</v>
      </c>
      <c r="B40" s="90">
        <f>IF(OR(Parametros!$F$35=0,RedBasica!$F40=0),0,IF(Parametros!$F$35="No",0,IF(Parametros!$F$35="Si",1,0)))</f>
        <v>0</v>
      </c>
      <c r="C40" s="91">
        <f>IFERROR(INDEX(RedBasica!$N$15:$N$10000,MATCH(RedBasica!G40,RedBasica!$E$15:$E$10000,0),1),0)</f>
        <v>0</v>
      </c>
      <c r="D40" s="70">
        <f>IFERROR(INDEX(RedBasica!$N$15:$N$10000,MATCH(RedBasica!H40,RedBasica!$E$15:$E$10000,0),1),0)</f>
        <v>0</v>
      </c>
      <c r="E40" s="70">
        <f>IFERROR(INDEX(RedBasica!$N$15:$N$10000,MATCH(RedBasica!I40,RedBasica!$E$15:$E$10000,0),1),0)</f>
        <v>0</v>
      </c>
      <c r="F40" s="70">
        <f>SUM(C40,D40,E40)</f>
        <v>0</v>
      </c>
      <c r="G40" s="70">
        <f>RedBasica!K40*Parametros!$L$24</f>
        <v>0</v>
      </c>
      <c r="H40" s="71">
        <f>IF(RedBasica!$F40=0,0,$B40*Parametros!$F$41*Parametros!$F$42*Parametros!$F$36*RedBasica!$F40/1000)</f>
        <v>0</v>
      </c>
      <c r="I40" s="91">
        <f>IFERROR(INDEX(RedBasica!$O$15:$O$10000,MATCH(RedBasica!G40,RedBasica!$E$15:$E$10000,0),1),0)</f>
        <v>0</v>
      </c>
      <c r="J40" s="92">
        <f>IFERROR(INDEX(RedBasica!$O$15:$O$10000,MATCH(RedBasica!H40,RedBasica!$E$15:$E$10000,0),1),0)</f>
        <v>0</v>
      </c>
      <c r="K40" s="92">
        <f>IFERROR(INDEX(RedBasica!$O$15:$O$10000,MATCH(RedBasica!I40,RedBasica!$E$15:$E$10000,0),1),0)</f>
        <v>0</v>
      </c>
      <c r="L40" s="70">
        <f>SUM(I40,J40,K40)</f>
        <v>0</v>
      </c>
      <c r="M40" s="70">
        <f>RedBasica!L40*Parametros!$L$24/Parametros!$F$41</f>
        <v>0</v>
      </c>
      <c r="N40" s="71">
        <f>IF(RedBasica!$F40=0,0,$B40*Parametros!$F$42*Parametros!$F$37*RedBasica!$F40/1000)</f>
        <v>0</v>
      </c>
    </row>
    <row r="45" spans="1:42" x14ac:dyDescent="0.2">
      <c r="A45" s="110"/>
      <c r="B45" s="111"/>
      <c r="C45" s="111"/>
      <c r="D45" s="112"/>
      <c r="E45" s="113"/>
      <c r="F45" s="114"/>
      <c r="G45" s="115"/>
      <c r="H45" s="114"/>
      <c r="I45" s="114"/>
      <c r="J45" s="112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6"/>
      <c r="AF45" s="114"/>
    </row>
    <row r="46" spans="1:42" s="94" customFormat="1" x14ac:dyDescent="0.2">
      <c r="A46" s="110"/>
      <c r="B46" s="111"/>
      <c r="C46" s="111"/>
      <c r="D46" s="112"/>
      <c r="E46" s="113"/>
      <c r="F46" s="114"/>
      <c r="G46" s="115"/>
      <c r="H46" s="114"/>
      <c r="I46" s="114"/>
      <c r="J46" s="112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6"/>
      <c r="AF46" s="114"/>
      <c r="AG46" s="117"/>
      <c r="AI46" s="109"/>
      <c r="AJ46" s="109"/>
      <c r="AK46" s="109"/>
      <c r="AL46" s="109"/>
      <c r="AM46" s="109"/>
      <c r="AN46" s="109"/>
      <c r="AO46" s="109"/>
      <c r="AP46" s="109"/>
    </row>
    <row r="47" spans="1:42" s="94" customFormat="1" x14ac:dyDescent="0.2">
      <c r="A47" s="110"/>
      <c r="B47" s="111"/>
      <c r="C47" s="111"/>
      <c r="D47" s="112"/>
      <c r="E47" s="113"/>
      <c r="F47" s="114"/>
      <c r="G47" s="115"/>
      <c r="H47" s="114"/>
      <c r="I47" s="114"/>
      <c r="J47" s="112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6"/>
      <c r="AF47" s="114"/>
      <c r="AG47" s="117"/>
      <c r="AI47" s="109"/>
      <c r="AJ47" s="109"/>
      <c r="AK47" s="109"/>
      <c r="AL47" s="109"/>
      <c r="AM47" s="109"/>
      <c r="AN47" s="109"/>
      <c r="AO47" s="109"/>
      <c r="AP47" s="109"/>
    </row>
    <row r="48" spans="1:42" s="94" customFormat="1" x14ac:dyDescent="0.2">
      <c r="A48" s="110"/>
      <c r="B48" s="111"/>
      <c r="C48" s="111"/>
      <c r="D48" s="112"/>
      <c r="E48" s="113"/>
      <c r="F48" s="114"/>
      <c r="G48" s="115"/>
      <c r="H48" s="114"/>
      <c r="I48" s="114"/>
      <c r="J48" s="112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6"/>
      <c r="AF48" s="114"/>
      <c r="AG48" s="117"/>
      <c r="AI48" s="109"/>
      <c r="AJ48" s="109"/>
      <c r="AK48" s="109"/>
      <c r="AL48" s="109"/>
      <c r="AM48" s="109"/>
      <c r="AN48" s="109"/>
      <c r="AO48" s="109"/>
      <c r="AP48" s="109"/>
    </row>
    <row r="49" spans="1:42" s="94" customFormat="1" x14ac:dyDescent="0.2">
      <c r="A49" s="361"/>
      <c r="B49" s="111"/>
      <c r="C49" s="111"/>
      <c r="D49" s="112"/>
      <c r="E49" s="113"/>
      <c r="F49" s="114"/>
      <c r="G49" s="115"/>
      <c r="H49" s="114"/>
      <c r="I49" s="114"/>
      <c r="J49" s="112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6"/>
      <c r="AF49" s="114"/>
      <c r="AG49" s="117"/>
      <c r="AI49" s="109"/>
      <c r="AJ49" s="109"/>
      <c r="AK49" s="109"/>
      <c r="AL49" s="109"/>
      <c r="AM49" s="109"/>
      <c r="AN49" s="109"/>
      <c r="AO49" s="109"/>
      <c r="AP49" s="109"/>
    </row>
    <row r="50" spans="1:42" x14ac:dyDescent="0.2">
      <c r="A50" s="89">
        <f>RedBasica!E50</f>
        <v>0</v>
      </c>
      <c r="B50" s="89" t="str">
        <f>IF(RedBasica!G50=0,"",RedBasica!G50)</f>
        <v/>
      </c>
      <c r="C50" s="89" t="str">
        <f>IF(RedBasica!H50=0,"",RedBasica!H50)</f>
        <v/>
      </c>
      <c r="D50" s="89" t="str">
        <f>IF(RedBasica!I50=0,"",RedBasica!I50)</f>
        <v/>
      </c>
      <c r="E50" s="91" t="str">
        <f>IF(AND(RedBasica!D50=RedBasica!D49,RedBasica!F50&gt;0),RedBasica!W49,"")</f>
        <v/>
      </c>
      <c r="F50" s="70" t="str">
        <f>IFERROR(INDEX($J$15:$J$10000,MATCH(C50,$A$15:$A$10000,0),1),"")</f>
        <v/>
      </c>
      <c r="G50" s="70" t="str">
        <f>IFERROR(INDEX($J$15:$J$10000,MATCH(D50,$A$15:$A$10000,0),1),"")</f>
        <v/>
      </c>
      <c r="H50" s="70">
        <f>MAX(E50:G50)</f>
        <v>0</v>
      </c>
      <c r="I50" s="70">
        <f>RedBasica!V50</f>
        <v>0</v>
      </c>
      <c r="J50" s="70">
        <f>RedBasica!W50</f>
        <v>0</v>
      </c>
      <c r="K50" s="91" t="str">
        <f>IF(AND(RedBasica!D50=RedBasica!D49,RedBasica!F50&gt;0),RedBasica!U49,"")</f>
        <v/>
      </c>
      <c r="L50" s="70" t="str">
        <f>IFERROR(INDEX($P$15:$P$10000,MATCH(C50,$A$15:$A$10000,0),1),"")</f>
        <v/>
      </c>
      <c r="M50" s="70" t="str">
        <f>IFERROR(INDEX($P$15:$P$10000,MATCH(D50,$A$15:$A$10000,0),1),"")</f>
        <v/>
      </c>
      <c r="N50" s="70">
        <f>MAX(K50:M50)</f>
        <v>0</v>
      </c>
      <c r="O50" s="70">
        <f>RedBasica!T50</f>
        <v>0</v>
      </c>
      <c r="P50" s="70">
        <f>RedBasica!U50</f>
        <v>0</v>
      </c>
      <c r="Q50" s="70" t="str">
        <f>IFERROR(INDEX('A3'!$E$15:$E$10000,MATCH(RedBasica!G50,'A3'!$A$15:$A$10000,0),1),"")</f>
        <v/>
      </c>
      <c r="R50" s="70" t="str">
        <f>IFERROR(INDEX('A3'!$E$15:$E$10000,MATCH(C50,$A$15:$A$10000,0),1),"")</f>
        <v/>
      </c>
      <c r="S50" s="70" t="str">
        <f>IFERROR(INDEX('A3'!$E$15:$E$10000,MATCH(D50,$A$15:$A$10000,0),1),"")</f>
        <v/>
      </c>
      <c r="T50" s="70">
        <f>MIN(Q50:S50)</f>
        <v>0</v>
      </c>
      <c r="U50" s="70" t="str">
        <f>IFERROR(INDEX('A3'!$D$15:$D$10000,MATCH(A50,'A3'!$A$15:$A$10000,0),1),"")</f>
        <v/>
      </c>
      <c r="V50" s="357">
        <f>IF(Q50="",0,(IF(U50-T50&gt;(Parametros!$F$64*(-1)),ROUNDUP(U50-T50+(Parametros!$F$64),2),0)))</f>
        <v>0</v>
      </c>
      <c r="W50" s="70" t="str">
        <f>IFERROR(INDEX('A3'!$I$15:$I$10000,MATCH(RedBasica!G50,'A3'!$A$15:$A$10000,0),1),"")</f>
        <v/>
      </c>
      <c r="X50" s="70" t="str">
        <f>IFERROR(INDEX('A3'!$I$15:$I$10000,MATCH(C50,$A$15:$A$10000,0),1),"")</f>
        <v/>
      </c>
      <c r="Y50" s="70" t="str">
        <f>IFERROR(INDEX('A3'!$I$15:$I$10000,MATCH(D50,$A$15:$A$10000,0),1),"")</f>
        <v/>
      </c>
      <c r="Z50" s="70">
        <f>MIN(W50:Y50)</f>
        <v>0</v>
      </c>
      <c r="AA50" s="70" t="str">
        <f>IFERROR(INDEX('A3'!$H$15:$H$10000,MATCH(A50,'A3'!$A$15:$A$10000,0),1),"")</f>
        <v/>
      </c>
      <c r="AB50" s="357">
        <f>IFERROR(IF(W50="",0,(IF(AA50-Z50&gt;0,ROUNDUP(AA50-Z50,2),0))),0)</f>
        <v>0</v>
      </c>
      <c r="AC50" s="70">
        <f>RedBasica!R50</f>
        <v>0</v>
      </c>
      <c r="AD50" s="357">
        <f>ROUND(I50+AB50,2)</f>
        <v>0</v>
      </c>
      <c r="AE50" s="357"/>
      <c r="AF50" s="357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57" t="str">
        <f t="shared" ref="AG50" si="3">IF(AF50="-","-",IF(AF50-J50=0,"-",ROUND(AF50,2)))</f>
        <v>-</v>
      </c>
      <c r="AH50" s="372">
        <f>RedBasica!B50</f>
        <v>0</v>
      </c>
      <c r="AI50" s="372">
        <f>RedBasica!AI50</f>
        <v>0</v>
      </c>
      <c r="AJ50" s="372">
        <f>RedBasica!AJ50</f>
        <v>0</v>
      </c>
      <c r="AK50" s="372">
        <f>IF(OR(AH50=1,AI50&gt;AJ49),AI50,AJ49)</f>
        <v>0</v>
      </c>
      <c r="AL50" s="378"/>
    </row>
    <row r="51" spans="1:42" ht="15" x14ac:dyDescent="0.25">
      <c r="A51" s="192"/>
      <c r="B51"/>
      <c r="C51"/>
      <c r="D51" s="200"/>
      <c r="E51" s="192"/>
      <c r="F51" s="193"/>
      <c r="G51"/>
      <c r="H51"/>
      <c r="I51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</row>
    <row r="52" spans="1:42" x14ac:dyDescent="0.2"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</row>
    <row r="53" spans="1:42" x14ac:dyDescent="0.2"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</row>
    <row r="54" spans="1:42" x14ac:dyDescent="0.2"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</row>
    <row r="55" spans="1:42" customFormat="1" x14ac:dyDescent="0.2">
      <c r="AI55" s="109"/>
      <c r="AJ55" s="109"/>
      <c r="AK55" s="109"/>
      <c r="AL55" s="109"/>
      <c r="AM55" s="109"/>
      <c r="AN55" s="109"/>
      <c r="AO55" s="109"/>
      <c r="AP55" s="109"/>
    </row>
    <row r="60" spans="1:42" x14ac:dyDescent="0.2">
      <c r="A60" s="103">
        <f>RedBasica!E60</f>
        <v>0</v>
      </c>
      <c r="B60" s="98">
        <f>RedBasica!Y60</f>
        <v>0</v>
      </c>
      <c r="C60" s="98">
        <f>RedBasica!Z60</f>
        <v>0</v>
      </c>
      <c r="D60" s="98">
        <f>IF(ISERR(RedBasica!AA60),"-",RedBasica!AA60)</f>
        <v>0</v>
      </c>
      <c r="E60" s="98">
        <f>IF(ISERR(RedBasica!AB60),"-",RedBasica!AB60)</f>
        <v>0</v>
      </c>
      <c r="F60" s="98">
        <f>IF(ISERR(RedBasica!F60=0),"-",RedBasica!AC60)</f>
        <v>0</v>
      </c>
      <c r="G60" s="98">
        <f>IF(ISERR(RedBasica!F60=0),"-",RedBasica!AD60)</f>
        <v>0</v>
      </c>
      <c r="H60" s="98">
        <f>IF(ISERR(RedBasica!F60=0),"-",RedBasica!AA60+RedBasica!AM60)</f>
        <v>0</v>
      </c>
      <c r="I60" s="98">
        <f>IF(ISERR(RedBasica!F60=0),"-",RedBasica!AB60+RedBasica!AM60)</f>
        <v>0</v>
      </c>
    </row>
    <row r="70" spans="1:7" x14ac:dyDescent="0.2">
      <c r="A70" s="89">
        <f>RedBasica!E70</f>
        <v>0</v>
      </c>
      <c r="B70" s="93">
        <f>RedBasica!BA70</f>
        <v>0</v>
      </c>
      <c r="C70" s="70">
        <f>IF(OR(B70=0,B70=""),0,IFERROR(INDEX('A3'!$E$15:$E$10000,(MATCH(A70,'A3'!$A$15:$A$10000,0))),0)-IFERROR(INDEX('A3'!$D$15:$D$10000,(MATCH(B70,'A3'!$A$15:$A$10000,0))),0))</f>
        <v>0</v>
      </c>
      <c r="D70" s="80" t="str">
        <f>IF(C70&gt;0,IF(C70&lt;Parametros!$F$62,"D","TC"),"")</f>
        <v/>
      </c>
    </row>
    <row r="80" spans="1:7" x14ac:dyDescent="0.2">
      <c r="A80" s="198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7" t="e">
        <f>TEXT(ROUND(IFERROR(INDEX(RedBasica!$AA$15:$AA$9848,MATCH($A80,RedBasica!$AW$15:$AW$9848,0)),INDEX(RedBasica!$AB$15:$AB$9848,MATCH($A80,RedBasica!$AY$15:$AY$9848,0))),2),"0.00")</f>
        <v>#N/A</v>
      </c>
      <c r="D80" s="207" t="e">
        <f>TEXT(ROUND(IFERROR(INDEX(RedBasica!$V$15:$V$9848,MATCH($A80,RedBasica!$AW$15:$AW$9848,0)),INDEX(RedBasica!$W$15:$W$9848,MATCH($A80,RedBasica!$AY$15:$AY$9848,0))),2),"0.00")</f>
        <v>#N/A</v>
      </c>
      <c r="F80" s="207" t="e">
        <f>TEXT(ROUND(IFERROR(INDEX(RedBasica!$AC$15:$AC$9848,MATCH($A80,RedBasica!$AW$15:$AW$9848,0)),INDEX(RedBasica!$AD$15:$AD$9848,MATCH($A80,RedBasica!$AY$15:$AY$9848,0))),2),"0.00")</f>
        <v>#N/A</v>
      </c>
      <c r="G80" s="207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206" t="str">
        <f>ImportQGIS!D90</f>
        <v>CN_7-005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(INDEX(Parametros!$C$69:$C$82,MATCH((INDEX(RedBasica!$AJ$15:$AJ$10000,MATCH($A90,RedBasica!$E$15:$E$10000,0))),Parametros!$B$69:$B$82,0)))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74" t="e">
        <f>TEXT(ROUND(INDEX(RedBasica!$AT$15:$AT$10000,MATCH($A90,RedBasica!$E$15:$E$10000,0)),4),"0.00")</f>
        <v>#N/A</v>
      </c>
      <c r="Q90" s="274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8"/>
      <c r="G98" s="198"/>
      <c r="H98"/>
      <c r="J98" s="192"/>
      <c r="K98" s="192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108" priority="1427" stopIfTrue="1" operator="equal">
      <formula>0</formula>
    </cfRule>
  </conditionalFormatting>
  <conditionalFormatting sqref="J40:K40">
    <cfRule type="cellIs" dxfId="107" priority="1417" stopIfTrue="1" operator="equal">
      <formula>0</formula>
    </cfRule>
  </conditionalFormatting>
  <conditionalFormatting sqref="D40">
    <cfRule type="cellIs" dxfId="106" priority="1416" stopIfTrue="1" operator="equal">
      <formula>0</formula>
    </cfRule>
  </conditionalFormatting>
  <conditionalFormatting sqref="E40">
    <cfRule type="cellIs" dxfId="105" priority="1415" stopIfTrue="1" operator="equal">
      <formula>0</formula>
    </cfRule>
  </conditionalFormatting>
  <conditionalFormatting sqref="F40">
    <cfRule type="cellIs" dxfId="104" priority="1414" stopIfTrue="1" operator="equal">
      <formula>0</formula>
    </cfRule>
  </conditionalFormatting>
  <conditionalFormatting sqref="G40">
    <cfRule type="cellIs" dxfId="103" priority="1413" stopIfTrue="1" operator="equal">
      <formula>0</formula>
    </cfRule>
  </conditionalFormatting>
  <conditionalFormatting sqref="L40">
    <cfRule type="cellIs" dxfId="102" priority="1412" stopIfTrue="1" operator="equal">
      <formula>0</formula>
    </cfRule>
  </conditionalFormatting>
  <conditionalFormatting sqref="M40">
    <cfRule type="cellIs" dxfId="101" priority="1411" stopIfTrue="1" operator="equal">
      <formula>0</formula>
    </cfRule>
  </conditionalFormatting>
  <conditionalFormatting sqref="K6:O6">
    <cfRule type="cellIs" dxfId="100" priority="1029" operator="equal">
      <formula>0</formula>
    </cfRule>
  </conditionalFormatting>
  <conditionalFormatting sqref="K2:O5">
    <cfRule type="cellIs" dxfId="99" priority="1030" operator="equal">
      <formula>0</formula>
    </cfRule>
  </conditionalFormatting>
  <conditionalFormatting sqref="C7:G9">
    <cfRule type="cellIs" dxfId="98" priority="1028" operator="equal">
      <formula>0</formula>
    </cfRule>
  </conditionalFormatting>
  <conditionalFormatting sqref="C10:G11">
    <cfRule type="cellIs" dxfId="97" priority="1027" operator="equal">
      <formula>0</formula>
    </cfRule>
  </conditionalFormatting>
  <conditionalFormatting sqref="C30:T30 AA30:AK30">
    <cfRule type="cellIs" dxfId="96" priority="1025" stopIfTrue="1" operator="equal">
      <formula>0</formula>
    </cfRule>
  </conditionalFormatting>
  <conditionalFormatting sqref="U30:V30">
    <cfRule type="cellIs" dxfId="95" priority="1024" stopIfTrue="1" operator="equal">
      <formula>0</formula>
    </cfRule>
  </conditionalFormatting>
  <conditionalFormatting sqref="Y30">
    <cfRule type="cellIs" dxfId="94" priority="1026" stopIfTrue="1" operator="greaterThan">
      <formula>150</formula>
    </cfRule>
  </conditionalFormatting>
  <conditionalFormatting sqref="K15:L15">
    <cfRule type="cellIs" dxfId="93" priority="61" stopIfTrue="1" operator="equal">
      <formula>0</formula>
    </cfRule>
  </conditionalFormatting>
  <conditionalFormatting sqref="AO15">
    <cfRule type="cellIs" dxfId="92" priority="57" stopIfTrue="1" operator="equal">
      <formula>1</formula>
    </cfRule>
  </conditionalFormatting>
  <conditionalFormatting sqref="E15">
    <cfRule type="expression" dxfId="91" priority="52" stopIfTrue="1">
      <formula>B15=1</formula>
    </cfRule>
  </conditionalFormatting>
  <conditionalFormatting sqref="AH15">
    <cfRule type="expression" dxfId="90" priority="50" stopIfTrue="1">
      <formula>ROUND(AH15,5)&lt;ROUND(AF15,5)</formula>
    </cfRule>
  </conditionalFormatting>
  <conditionalFormatting sqref="AR15">
    <cfRule type="cellIs" dxfId="89" priority="49" stopIfTrue="1" operator="greaterThan">
      <formula>AQ15</formula>
    </cfRule>
    <cfRule type="cellIs" dxfId="88" priority="56" stopIfTrue="1" operator="equal">
      <formula>0</formula>
    </cfRule>
  </conditionalFormatting>
  <conditionalFormatting sqref="AQ15">
    <cfRule type="cellIs" dxfId="87" priority="47" stopIfTrue="1" operator="equal">
      <formula>0</formula>
    </cfRule>
    <cfRule type="cellIs" dxfId="86" priority="59" stopIfTrue="1" operator="equal">
      <formula>0</formula>
    </cfRule>
  </conditionalFormatting>
  <conditionalFormatting sqref="AW15">
    <cfRule type="cellIs" dxfId="85" priority="46" stopIfTrue="1" operator="equal">
      <formula>0</formula>
    </cfRule>
  </conditionalFormatting>
  <conditionalFormatting sqref="BA15">
    <cfRule type="cellIs" dxfId="84" priority="45" stopIfTrue="1" operator="equal">
      <formula>0</formula>
    </cfRule>
  </conditionalFormatting>
  <conditionalFormatting sqref="AL15">
    <cfRule type="cellIs" dxfId="83" priority="63" stopIfTrue="1" operator="equal">
      <formula>0</formula>
    </cfRule>
  </conditionalFormatting>
  <conditionalFormatting sqref="AK15">
    <cfRule type="cellIs" dxfId="82" priority="60" stopIfTrue="1" operator="equal">
      <formula>0</formula>
    </cfRule>
  </conditionalFormatting>
  <conditionalFormatting sqref="AO15">
    <cfRule type="cellIs" dxfId="81" priority="55" stopIfTrue="1" operator="equal">
      <formula>1</formula>
    </cfRule>
  </conditionalFormatting>
  <conditionalFormatting sqref="AS15">
    <cfRule type="cellIs" dxfId="80" priority="53" stopIfTrue="1" operator="equal">
      <formula>0</formula>
    </cfRule>
    <cfRule type="cellIs" dxfId="79" priority="58" stopIfTrue="1" operator="equal">
      <formula>0</formula>
    </cfRule>
  </conditionalFormatting>
  <conditionalFormatting sqref="AF15">
    <cfRule type="expression" dxfId="78" priority="41" stopIfTrue="1">
      <formula>F15=0</formula>
    </cfRule>
    <cfRule type="cellIs" dxfId="77" priority="42" stopIfTrue="1" operator="notEqual">
      <formula>AG15</formula>
    </cfRule>
  </conditionalFormatting>
  <conditionalFormatting sqref="AN15">
    <cfRule type="cellIs" dxfId="76" priority="54" stopIfTrue="1" operator="equal">
      <formula>0</formula>
    </cfRule>
  </conditionalFormatting>
  <conditionalFormatting sqref="AM15">
    <cfRule type="cellIs" dxfId="75" priority="38" stopIfTrue="1" operator="equal">
      <formula>0</formula>
    </cfRule>
  </conditionalFormatting>
  <conditionalFormatting sqref="AP15">
    <cfRule type="cellIs" dxfId="74" priority="62" stopIfTrue="1" operator="equal">
      <formula>0</formula>
    </cfRule>
  </conditionalFormatting>
  <conditionalFormatting sqref="AT15">
    <cfRule type="cellIs" dxfId="73" priority="37" stopIfTrue="1" operator="equal">
      <formula>0</formula>
    </cfRule>
  </conditionalFormatting>
  <conditionalFormatting sqref="AU15">
    <cfRule type="cellIs" dxfId="72" priority="36" stopIfTrue="1" operator="equal">
      <formula>0</formula>
    </cfRule>
  </conditionalFormatting>
  <conditionalFormatting sqref="AV15">
    <cfRule type="cellIs" dxfId="71" priority="40" stopIfTrue="1" operator="equal">
      <formula>0</formula>
    </cfRule>
  </conditionalFormatting>
  <conditionalFormatting sqref="P15:Q15">
    <cfRule type="cellIs" dxfId="70" priority="34" stopIfTrue="1" operator="equal">
      <formula>0</formula>
    </cfRule>
  </conditionalFormatting>
  <conditionalFormatting sqref="R15">
    <cfRule type="cellIs" dxfId="69" priority="32" operator="equal">
      <formula>0</formula>
    </cfRule>
    <cfRule type="cellIs" dxfId="68" priority="33" operator="notEqual">
      <formula>0</formula>
    </cfRule>
  </conditionalFormatting>
  <conditionalFormatting sqref="V15">
    <cfRule type="expression" dxfId="67" priority="26" stopIfTrue="1">
      <formula>B15=1</formula>
    </cfRule>
  </conditionalFormatting>
  <conditionalFormatting sqref="U15">
    <cfRule type="expression" dxfId="66" priority="30" stopIfTrue="1">
      <formula>E15=1</formula>
    </cfRule>
  </conditionalFormatting>
  <conditionalFormatting sqref="W15">
    <cfRule type="cellIs" dxfId="65" priority="28" operator="greaterThanOrEqual">
      <formula>3</formula>
    </cfRule>
    <cfRule type="cellIs" dxfId="64" priority="29" operator="greaterThanOrEqual">
      <formula>2</formula>
    </cfRule>
  </conditionalFormatting>
  <conditionalFormatting sqref="V15">
    <cfRule type="cellIs" dxfId="63" priority="27" operator="greaterThanOrEqual">
      <formula>3</formula>
    </cfRule>
    <cfRule type="cellIs" dxfId="62" priority="31" operator="greaterThanOrEqual">
      <formula>2</formula>
    </cfRule>
  </conditionalFormatting>
  <conditionalFormatting sqref="T15">
    <cfRule type="expression" dxfId="61" priority="25" stopIfTrue="1">
      <formula>B15=1</formula>
    </cfRule>
  </conditionalFormatting>
  <conditionalFormatting sqref="M15">
    <cfRule type="expression" dxfId="60" priority="51" stopIfTrue="1">
      <formula>#REF!&gt;0</formula>
    </cfRule>
  </conditionalFormatting>
  <conditionalFormatting sqref="X15">
    <cfRule type="cellIs" dxfId="59" priority="23" operator="equal">
      <formula>0</formula>
    </cfRule>
    <cfRule type="cellIs" dxfId="58" priority="24" operator="notEqual">
      <formula>0</formula>
    </cfRule>
  </conditionalFormatting>
  <conditionalFormatting sqref="AJ15">
    <cfRule type="expression" dxfId="57" priority="21">
      <formula>BE15=1</formula>
    </cfRule>
    <cfRule type="cellIs" dxfId="56" priority="22" stopIfTrue="1" operator="notEqual">
      <formula>AI15</formula>
    </cfRule>
  </conditionalFormatting>
  <conditionalFormatting sqref="L50:M50 AC50">
    <cfRule type="cellIs" dxfId="55" priority="8" stopIfTrue="1" operator="equal">
      <formula>0</formula>
    </cfRule>
  </conditionalFormatting>
  <conditionalFormatting sqref="U50 O50:S50">
    <cfRule type="cellIs" dxfId="54" priority="7" stopIfTrue="1" operator="equal">
      <formula>0</formula>
    </cfRule>
  </conditionalFormatting>
  <conditionalFormatting sqref="F50:G50">
    <cfRule type="cellIs" dxfId="53" priority="10" stopIfTrue="1" operator="equal">
      <formula>0</formula>
    </cfRule>
  </conditionalFormatting>
  <conditionalFormatting sqref="I50:J50">
    <cfRule type="cellIs" dxfId="52" priority="9" stopIfTrue="1" operator="equal">
      <formula>0</formula>
    </cfRule>
  </conditionalFormatting>
  <conditionalFormatting sqref="W50:Y50">
    <cfRule type="cellIs" dxfId="51" priority="6" stopIfTrue="1" operator="equal">
      <formula>0</formula>
    </cfRule>
  </conditionalFormatting>
  <conditionalFormatting sqref="AA50">
    <cfRule type="cellIs" dxfId="50" priority="4" stopIfTrue="1" operator="equal">
      <formula>0</formula>
    </cfRule>
  </conditionalFormatting>
  <conditionalFormatting sqref="Z50">
    <cfRule type="cellIs" dxfId="49" priority="5" stopIfTrue="1" operator="equal">
      <formula>0</formula>
    </cfRule>
  </conditionalFormatting>
  <conditionalFormatting sqref="T50">
    <cfRule type="cellIs" dxfId="48" priority="3" stopIfTrue="1" operator="equal">
      <formula>0</formula>
    </cfRule>
  </conditionalFormatting>
  <conditionalFormatting sqref="H50">
    <cfRule type="cellIs" dxfId="47" priority="2" stopIfTrue="1" operator="equal">
      <formula>0</formula>
    </cfRule>
  </conditionalFormatting>
  <conditionalFormatting sqref="N50">
    <cfRule type="cellIs" dxfId="46" priority="1" stopIfTrue="1" operator="equal">
      <formula>0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4" stopIfTrue="1" operator="greaterThan" id="{85502E11-2EA3-49D9-8AC1-B59670CE5E29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48" stopIfTrue="1" id="{1321373B-DD34-4FCA-8762-782A0D53988F}">
            <xm:f>AND(AR15&gt;AQ15,AN15&gt;Parametros!$F$47)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43" stopIfTrue="1" operator="lessThan" id="{AC37B449-7156-42E4-9A75-46723B53F7D8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35" stopIfTrue="1" operator="greaterThan" id="{42AB05A5-3604-46B0-B6ED-A7167B4AB801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  <x14:conditionalFormatting xmlns:xm="http://schemas.microsoft.com/office/excel/2006/main">
          <x14:cfRule type="cellIs" priority="39" stopIfTrue="1" operator="lessThan" id="{74A1F66A-2814-4D4A-B349-5A3F2F0D67C9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6"/>
  <dimension ref="A1:U22"/>
  <sheetViews>
    <sheetView topLeftCell="F1" workbookViewId="0">
      <selection activeCell="I11" sqref="I11"/>
    </sheetView>
  </sheetViews>
  <sheetFormatPr defaultRowHeight="12.75" x14ac:dyDescent="0.2"/>
  <cols>
    <col min="1" max="1" width="8.7109375" bestFit="1" customWidth="1"/>
    <col min="2" max="2" width="29.7109375" customWidth="1"/>
    <col min="3" max="3" width="28.5703125" customWidth="1"/>
    <col min="4" max="4" width="30.140625" customWidth="1"/>
    <col min="5" max="5" width="17.7109375" customWidth="1"/>
    <col min="6" max="6" width="20.5703125" customWidth="1"/>
    <col min="7" max="7" width="30.5703125" customWidth="1"/>
    <col min="8" max="8" width="18.5703125" customWidth="1"/>
    <col min="9" max="9" width="28.7109375" customWidth="1"/>
    <col min="10" max="10" width="32.7109375" customWidth="1"/>
    <col min="11" max="11" width="12.85546875" customWidth="1"/>
    <col min="12" max="12" width="11" customWidth="1"/>
    <col min="13" max="13" width="17.140625" customWidth="1"/>
    <col min="14" max="14" width="5.7109375" customWidth="1"/>
    <col min="15" max="15" width="16.85546875" customWidth="1"/>
    <col min="16" max="16" width="5.140625" bestFit="1" customWidth="1"/>
    <col min="17" max="17" width="15.85546875" bestFit="1" customWidth="1"/>
    <col min="18" max="18" width="15.140625" customWidth="1"/>
    <col min="19" max="19" width="15" customWidth="1"/>
    <col min="20" max="20" width="10.5703125" customWidth="1"/>
  </cols>
  <sheetData>
    <row r="1" spans="1:21" ht="27" customHeight="1" x14ac:dyDescent="0.2">
      <c r="A1" s="304" t="s">
        <v>25</v>
      </c>
      <c r="B1" s="304" t="s">
        <v>162</v>
      </c>
      <c r="C1" s="304" t="s">
        <v>11</v>
      </c>
      <c r="D1" s="304" t="s">
        <v>12</v>
      </c>
      <c r="E1" s="304" t="s">
        <v>3</v>
      </c>
      <c r="F1" s="304" t="s">
        <v>122</v>
      </c>
      <c r="G1" s="304" t="s">
        <v>123</v>
      </c>
      <c r="H1" s="304" t="s">
        <v>124</v>
      </c>
      <c r="I1" s="304" t="s">
        <v>125</v>
      </c>
      <c r="J1" s="304" t="s">
        <v>126</v>
      </c>
      <c r="K1" s="304" t="s">
        <v>1</v>
      </c>
      <c r="L1" s="304" t="s">
        <v>176</v>
      </c>
      <c r="M1" s="304" t="s">
        <v>175</v>
      </c>
      <c r="N1" s="304" t="s">
        <v>177</v>
      </c>
      <c r="O1" s="304" t="s">
        <v>178</v>
      </c>
      <c r="P1" s="304" t="s">
        <v>179</v>
      </c>
      <c r="Q1" s="304" t="s">
        <v>180</v>
      </c>
      <c r="R1" s="304" t="s">
        <v>181</v>
      </c>
      <c r="S1" s="304" t="s">
        <v>182</v>
      </c>
      <c r="T1" s="304" t="s">
        <v>200</v>
      </c>
      <c r="U1" s="304" t="s">
        <v>202</v>
      </c>
    </row>
    <row r="2" spans="1:21" x14ac:dyDescent="0.2">
      <c r="A2" t="s">
        <v>161</v>
      </c>
      <c r="B2" s="298">
        <v>20</v>
      </c>
      <c r="C2" s="299">
        <v>12</v>
      </c>
      <c r="D2" s="299">
        <v>5</v>
      </c>
      <c r="E2" s="299" t="s">
        <v>164</v>
      </c>
      <c r="F2" s="300" t="s">
        <v>166</v>
      </c>
      <c r="G2" s="301">
        <v>1</v>
      </c>
      <c r="H2" s="299" t="s">
        <v>163</v>
      </c>
      <c r="I2" s="302" t="s">
        <v>165</v>
      </c>
      <c r="J2" s="302" t="s">
        <v>167</v>
      </c>
      <c r="K2" s="303">
        <v>150</v>
      </c>
      <c r="L2" s="209">
        <v>150</v>
      </c>
      <c r="M2" s="323" t="s">
        <v>193</v>
      </c>
      <c r="N2" s="323">
        <v>200</v>
      </c>
      <c r="O2" s="323" t="s">
        <v>184</v>
      </c>
      <c r="P2" s="323">
        <v>350</v>
      </c>
      <c r="Q2" s="323" t="s">
        <v>194</v>
      </c>
      <c r="R2" s="323" t="s">
        <v>186</v>
      </c>
      <c r="S2" s="323" t="s">
        <v>190</v>
      </c>
      <c r="T2" s="323" t="s">
        <v>111</v>
      </c>
      <c r="U2" s="323" t="s">
        <v>164</v>
      </c>
    </row>
    <row r="3" spans="1:21" x14ac:dyDescent="0.2">
      <c r="A3" s="297" t="s">
        <v>160</v>
      </c>
      <c r="B3" s="298">
        <v>300</v>
      </c>
      <c r="C3" s="299" t="s">
        <v>190</v>
      </c>
      <c r="D3" s="299" t="s">
        <v>163</v>
      </c>
      <c r="E3" s="299" t="s">
        <v>164</v>
      </c>
      <c r="F3" s="300" t="s">
        <v>166</v>
      </c>
      <c r="G3" s="301">
        <v>1</v>
      </c>
      <c r="H3" s="299" t="s">
        <v>163</v>
      </c>
      <c r="I3" s="322" t="s">
        <v>166</v>
      </c>
      <c r="J3" s="302" t="s">
        <v>191</v>
      </c>
      <c r="K3" s="303">
        <v>150</v>
      </c>
      <c r="L3" s="209">
        <v>150</v>
      </c>
      <c r="M3" s="323" t="s">
        <v>183</v>
      </c>
      <c r="N3" s="323">
        <v>200</v>
      </c>
      <c r="O3" s="323" t="s">
        <v>184</v>
      </c>
      <c r="P3" s="323">
        <v>250</v>
      </c>
      <c r="Q3" s="323" t="s">
        <v>185</v>
      </c>
      <c r="R3" s="323" t="s">
        <v>186</v>
      </c>
      <c r="S3" s="323" t="s">
        <v>187</v>
      </c>
      <c r="T3" s="323" t="s">
        <v>111</v>
      </c>
      <c r="U3" s="323">
        <v>0.5</v>
      </c>
    </row>
    <row r="4" spans="1:21" x14ac:dyDescent="0.2">
      <c r="A4" t="s">
        <v>168</v>
      </c>
      <c r="B4" s="298">
        <v>400</v>
      </c>
      <c r="C4" s="299">
        <v>12</v>
      </c>
      <c r="D4" s="299">
        <v>5</v>
      </c>
      <c r="E4" s="299" t="s">
        <v>164</v>
      </c>
      <c r="F4" s="300" t="s">
        <v>166</v>
      </c>
      <c r="G4" s="301">
        <v>1</v>
      </c>
      <c r="H4" s="299" t="s">
        <v>163</v>
      </c>
      <c r="I4" s="302" t="s">
        <v>165</v>
      </c>
      <c r="J4" s="302" t="s">
        <v>167</v>
      </c>
      <c r="K4" s="303">
        <v>150</v>
      </c>
      <c r="L4" s="209">
        <v>150</v>
      </c>
      <c r="M4" s="323" t="s">
        <v>183</v>
      </c>
      <c r="N4" s="323">
        <v>200</v>
      </c>
      <c r="O4" s="323" t="s">
        <v>184</v>
      </c>
      <c r="P4" s="323">
        <v>300</v>
      </c>
      <c r="Q4" s="323" t="s">
        <v>185</v>
      </c>
      <c r="R4" s="323" t="s">
        <v>186</v>
      </c>
      <c r="S4" s="323" t="s">
        <v>187</v>
      </c>
      <c r="T4" s="323" t="s">
        <v>201</v>
      </c>
      <c r="U4" s="323" t="s">
        <v>167</v>
      </c>
    </row>
    <row r="5" spans="1:21" x14ac:dyDescent="0.2">
      <c r="A5" t="s">
        <v>174</v>
      </c>
      <c r="B5" s="298">
        <v>20</v>
      </c>
      <c r="C5" s="299">
        <v>12</v>
      </c>
      <c r="D5" s="299">
        <v>5</v>
      </c>
      <c r="E5" s="299" t="s">
        <v>164</v>
      </c>
      <c r="F5" s="300" t="s">
        <v>166</v>
      </c>
      <c r="G5" s="301">
        <v>1</v>
      </c>
      <c r="H5" s="299" t="s">
        <v>163</v>
      </c>
      <c r="I5" s="302" t="s">
        <v>165</v>
      </c>
      <c r="J5" s="302" t="s">
        <v>167</v>
      </c>
      <c r="K5" s="303">
        <v>150</v>
      </c>
      <c r="L5" s="209">
        <v>150</v>
      </c>
      <c r="M5" s="323" t="s">
        <v>193</v>
      </c>
      <c r="N5" s="323">
        <v>200</v>
      </c>
      <c r="O5" s="323" t="s">
        <v>184</v>
      </c>
      <c r="P5" s="323">
        <v>350</v>
      </c>
      <c r="Q5" s="323" t="s">
        <v>194</v>
      </c>
      <c r="R5" s="323" t="s">
        <v>186</v>
      </c>
      <c r="S5" s="323" t="s">
        <v>190</v>
      </c>
      <c r="T5" s="323" t="s">
        <v>111</v>
      </c>
      <c r="U5" s="323" t="s">
        <v>164</v>
      </c>
    </row>
    <row r="6" spans="1:21" x14ac:dyDescent="0.2">
      <c r="B6" s="298"/>
      <c r="C6" s="299"/>
      <c r="D6" s="299"/>
      <c r="E6" s="299"/>
      <c r="F6" s="300"/>
      <c r="G6" s="301"/>
      <c r="H6" s="299"/>
      <c r="I6" s="302"/>
      <c r="J6" s="302"/>
      <c r="K6" s="303"/>
    </row>
    <row r="7" spans="1:21" x14ac:dyDescent="0.2">
      <c r="B7" s="298"/>
      <c r="C7" s="299"/>
      <c r="D7" s="299"/>
      <c r="E7" s="299"/>
      <c r="F7" s="300"/>
      <c r="G7" s="301"/>
      <c r="H7" s="299"/>
      <c r="I7" s="302"/>
      <c r="J7" s="302"/>
      <c r="K7" s="303"/>
    </row>
    <row r="8" spans="1:21" x14ac:dyDescent="0.2">
      <c r="B8" s="298"/>
      <c r="C8" s="299"/>
      <c r="D8" s="299"/>
      <c r="E8" s="299"/>
      <c r="F8" s="300"/>
      <c r="G8" s="301"/>
      <c r="H8" s="299"/>
      <c r="I8" s="302"/>
      <c r="J8" s="302"/>
      <c r="K8" s="303"/>
    </row>
    <row r="9" spans="1:21" x14ac:dyDescent="0.2">
      <c r="B9" s="298"/>
      <c r="C9" s="299"/>
      <c r="D9" s="299"/>
      <c r="E9" s="299"/>
      <c r="F9" s="300"/>
      <c r="G9" s="301"/>
      <c r="H9" s="299"/>
      <c r="I9" s="302"/>
      <c r="J9" s="302"/>
      <c r="K9" s="303"/>
    </row>
    <row r="10" spans="1:21" x14ac:dyDescent="0.2">
      <c r="B10" s="298"/>
      <c r="C10" s="299"/>
      <c r="D10" s="299"/>
      <c r="E10" s="299"/>
      <c r="F10" s="300"/>
      <c r="G10" s="301"/>
      <c r="H10" s="299"/>
      <c r="I10" s="302"/>
      <c r="J10" s="302"/>
      <c r="K10" s="303"/>
    </row>
    <row r="11" spans="1:21" x14ac:dyDescent="0.2">
      <c r="B11" s="298"/>
      <c r="C11" s="299"/>
      <c r="D11" s="299"/>
      <c r="E11" s="299"/>
      <c r="F11" s="300"/>
      <c r="G11" s="301"/>
      <c r="H11" s="299"/>
      <c r="I11" s="302"/>
      <c r="J11" s="302"/>
      <c r="K11" s="303"/>
    </row>
    <row r="12" spans="1:21" x14ac:dyDescent="0.2">
      <c r="B12" s="298"/>
      <c r="C12" s="299"/>
      <c r="D12" s="299"/>
      <c r="E12" s="299"/>
      <c r="F12" s="300"/>
      <c r="G12" s="301"/>
      <c r="H12" s="299"/>
      <c r="I12" s="302"/>
      <c r="J12" s="302"/>
      <c r="K12" s="303"/>
    </row>
    <row r="13" spans="1:21" x14ac:dyDescent="0.2">
      <c r="B13" s="298"/>
      <c r="C13" s="299"/>
      <c r="D13" s="299"/>
      <c r="E13" s="299"/>
      <c r="F13" s="300"/>
      <c r="G13" s="301"/>
      <c r="H13" s="299"/>
      <c r="I13" s="302"/>
      <c r="J13" s="302"/>
      <c r="K13" s="303"/>
    </row>
    <row r="14" spans="1:21" x14ac:dyDescent="0.2">
      <c r="B14" s="298"/>
      <c r="C14" s="299"/>
      <c r="D14" s="299"/>
      <c r="E14" s="299"/>
      <c r="F14" s="300"/>
      <c r="G14" s="301"/>
      <c r="H14" s="299"/>
      <c r="I14" s="302"/>
      <c r="J14" s="302"/>
      <c r="K14" s="303"/>
    </row>
    <row r="15" spans="1:21" x14ac:dyDescent="0.2">
      <c r="B15" s="298"/>
      <c r="C15" s="299"/>
      <c r="D15" s="299"/>
      <c r="E15" s="299"/>
      <c r="F15" s="300"/>
      <c r="G15" s="301"/>
      <c r="H15" s="299"/>
      <c r="I15" s="302"/>
      <c r="J15" s="302"/>
      <c r="K15" s="303"/>
    </row>
    <row r="16" spans="1:21" x14ac:dyDescent="0.2">
      <c r="B16" s="298"/>
      <c r="C16" s="299"/>
      <c r="D16" s="299"/>
      <c r="E16" s="299"/>
      <c r="F16" s="300"/>
      <c r="G16" s="301"/>
      <c r="H16" s="299"/>
      <c r="I16" s="302"/>
      <c r="J16" s="302"/>
      <c r="K16" s="303"/>
    </row>
    <row r="17" spans="2:11" x14ac:dyDescent="0.2">
      <c r="B17" s="298"/>
      <c r="C17" s="299"/>
      <c r="D17" s="299"/>
      <c r="E17" s="299"/>
      <c r="F17" s="300"/>
      <c r="G17" s="301"/>
      <c r="H17" s="299"/>
      <c r="I17" s="302"/>
      <c r="J17" s="302"/>
      <c r="K17" s="303"/>
    </row>
    <row r="18" spans="2:11" x14ac:dyDescent="0.2">
      <c r="B18" s="298"/>
      <c r="C18" s="299"/>
      <c r="D18" s="299"/>
      <c r="E18" s="299"/>
      <c r="F18" s="300"/>
      <c r="G18" s="301"/>
      <c r="H18" s="299"/>
      <c r="I18" s="302"/>
      <c r="J18" s="302"/>
      <c r="K18" s="303"/>
    </row>
    <row r="19" spans="2:11" x14ac:dyDescent="0.2">
      <c r="B19" s="298"/>
      <c r="C19" s="299"/>
      <c r="D19" s="299"/>
      <c r="E19" s="299"/>
      <c r="F19" s="300"/>
      <c r="G19" s="301"/>
      <c r="H19" s="299"/>
      <c r="I19" s="302"/>
      <c r="J19" s="302"/>
      <c r="K19" s="303"/>
    </row>
    <row r="20" spans="2:11" x14ac:dyDescent="0.2">
      <c r="B20" s="298"/>
      <c r="C20" s="299"/>
      <c r="D20" s="299"/>
      <c r="E20" s="299"/>
      <c r="F20" s="300"/>
      <c r="G20" s="301"/>
      <c r="H20" s="299"/>
      <c r="I20" s="302"/>
      <c r="J20" s="302"/>
      <c r="K20" s="303"/>
    </row>
    <row r="21" spans="2:11" x14ac:dyDescent="0.2">
      <c r="B21" s="298"/>
      <c r="C21" s="299"/>
      <c r="D21" s="299"/>
      <c r="E21" s="299"/>
      <c r="F21" s="300"/>
      <c r="G21" s="301"/>
      <c r="H21" s="299"/>
      <c r="I21" s="302"/>
      <c r="J21" s="302"/>
      <c r="K21" s="303"/>
    </row>
    <row r="22" spans="2:11" x14ac:dyDescent="0.2">
      <c r="B22" s="298"/>
      <c r="C22" s="299"/>
      <c r="D22" s="299"/>
      <c r="E22" s="299"/>
      <c r="F22" s="300"/>
      <c r="G22" s="301"/>
      <c r="H22" s="299"/>
      <c r="I22" s="302"/>
      <c r="J22" s="302"/>
      <c r="K22" s="30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1"/>
  <dimension ref="A1:C7"/>
  <sheetViews>
    <sheetView workbookViewId="0">
      <selection activeCell="I11" sqref="I11"/>
    </sheetView>
  </sheetViews>
  <sheetFormatPr defaultRowHeight="12.75" x14ac:dyDescent="0.2"/>
  <cols>
    <col min="1" max="1" width="13.7109375" customWidth="1"/>
    <col min="2" max="2" width="18.85546875" customWidth="1"/>
    <col min="3" max="3" width="16.85546875" customWidth="1"/>
  </cols>
  <sheetData>
    <row r="1" spans="1:3" ht="25.5" x14ac:dyDescent="0.2">
      <c r="A1" s="308" t="s">
        <v>169</v>
      </c>
      <c r="B1" s="309" t="s">
        <v>106</v>
      </c>
      <c r="C1" s="310" t="s">
        <v>170</v>
      </c>
    </row>
    <row r="2" spans="1:3" x14ac:dyDescent="0.2">
      <c r="A2" s="306" t="s">
        <v>102</v>
      </c>
      <c r="B2" s="242">
        <v>1.3</v>
      </c>
      <c r="C2" s="307">
        <v>150</v>
      </c>
    </row>
    <row r="3" spans="1:3" x14ac:dyDescent="0.2">
      <c r="A3" s="306" t="s">
        <v>100</v>
      </c>
      <c r="B3" s="242">
        <v>2</v>
      </c>
      <c r="C3" s="307">
        <v>400</v>
      </c>
    </row>
    <row r="4" spans="1:3" x14ac:dyDescent="0.2">
      <c r="A4" s="306" t="s">
        <v>103</v>
      </c>
      <c r="B4" s="242">
        <v>3</v>
      </c>
      <c r="C4" s="307">
        <v>500</v>
      </c>
    </row>
    <row r="5" spans="1:3" x14ac:dyDescent="0.2">
      <c r="A5" s="306" t="s">
        <v>101</v>
      </c>
      <c r="B5" s="242">
        <v>4</v>
      </c>
      <c r="C5" s="307">
        <v>600</v>
      </c>
    </row>
    <row r="6" spans="1:3" x14ac:dyDescent="0.2">
      <c r="A6" s="306" t="s">
        <v>104</v>
      </c>
      <c r="B6" s="242">
        <v>6</v>
      </c>
      <c r="C6" s="307">
        <v>800</v>
      </c>
    </row>
    <row r="7" spans="1:3" x14ac:dyDescent="0.2">
      <c r="A7" s="311" t="s">
        <v>105</v>
      </c>
      <c r="B7" s="312">
        <v>15</v>
      </c>
      <c r="C7" s="313">
        <v>1000</v>
      </c>
    </row>
  </sheetData>
  <conditionalFormatting sqref="B3">
    <cfRule type="expression" dxfId="9" priority="4">
      <formula>B3&lt;B2</formula>
    </cfRule>
  </conditionalFormatting>
  <conditionalFormatting sqref="B4:B7">
    <cfRule type="expression" dxfId="8" priority="3">
      <formula>B4&lt;B3</formula>
    </cfRule>
  </conditionalFormatting>
  <conditionalFormatting sqref="C3">
    <cfRule type="expression" dxfId="7" priority="2">
      <formula>C3&lt;C2</formula>
    </cfRule>
  </conditionalFormatting>
  <conditionalFormatting sqref="C4:C7">
    <cfRule type="expression" dxfId="6" priority="1">
      <formula>C4&lt;C3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3"/>
  <dimension ref="A1:B7"/>
  <sheetViews>
    <sheetView workbookViewId="0">
      <selection activeCell="I11" sqref="I11"/>
    </sheetView>
  </sheetViews>
  <sheetFormatPr defaultRowHeight="12.75" x14ac:dyDescent="0.2"/>
  <cols>
    <col min="1" max="1" width="10.5703125" customWidth="1"/>
    <col min="2" max="2" width="73" customWidth="1"/>
  </cols>
  <sheetData>
    <row r="1" spans="1:2" x14ac:dyDescent="0.2">
      <c r="A1" t="s">
        <v>119</v>
      </c>
      <c r="B1" t="s">
        <v>214</v>
      </c>
    </row>
    <row r="2" spans="1:2" x14ac:dyDescent="0.2">
      <c r="A2" t="s">
        <v>133</v>
      </c>
      <c r="B2" t="s">
        <v>215</v>
      </c>
    </row>
    <row r="3" spans="1:2" x14ac:dyDescent="0.2">
      <c r="A3" t="s">
        <v>203</v>
      </c>
      <c r="B3" t="s">
        <v>216</v>
      </c>
    </row>
    <row r="4" spans="1:2" x14ac:dyDescent="0.2">
      <c r="A4" t="s">
        <v>22</v>
      </c>
      <c r="B4" t="s">
        <v>217</v>
      </c>
    </row>
    <row r="5" spans="1:2" x14ac:dyDescent="0.2">
      <c r="A5" t="s">
        <v>120</v>
      </c>
      <c r="B5" s="329">
        <v>39125</v>
      </c>
    </row>
    <row r="6" spans="1:2" x14ac:dyDescent="0.2">
      <c r="A6" t="s">
        <v>204</v>
      </c>
      <c r="B6">
        <v>31231</v>
      </c>
    </row>
    <row r="7" spans="1:2" x14ac:dyDescent="0.2">
      <c r="A7" t="s">
        <v>205</v>
      </c>
      <c r="B7">
        <v>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18"/>
  <dimension ref="A1:B8"/>
  <sheetViews>
    <sheetView workbookViewId="0">
      <selection activeCell="I11" sqref="I11"/>
    </sheetView>
  </sheetViews>
  <sheetFormatPr defaultRowHeight="12.75" x14ac:dyDescent="0.2"/>
  <cols>
    <col min="1" max="1" width="21.5703125" customWidth="1"/>
  </cols>
  <sheetData>
    <row r="1" spans="1:2" x14ac:dyDescent="0.2">
      <c r="A1" t="s">
        <v>206</v>
      </c>
      <c r="B1">
        <v>14000</v>
      </c>
    </row>
    <row r="2" spans="1:2" x14ac:dyDescent="0.2">
      <c r="A2" t="s">
        <v>207</v>
      </c>
      <c r="B2">
        <v>20000</v>
      </c>
    </row>
    <row r="3" spans="1:2" x14ac:dyDescent="0.2">
      <c r="A3" t="s">
        <v>208</v>
      </c>
      <c r="B3">
        <v>4</v>
      </c>
    </row>
    <row r="4" spans="1:2" x14ac:dyDescent="0.2">
      <c r="A4" t="s">
        <v>209</v>
      </c>
      <c r="B4">
        <v>5</v>
      </c>
    </row>
    <row r="5" spans="1:2" x14ac:dyDescent="0.2">
      <c r="A5" t="s">
        <v>210</v>
      </c>
    </row>
    <row r="6" spans="1:2" x14ac:dyDescent="0.2">
      <c r="A6" t="s">
        <v>211</v>
      </c>
    </row>
    <row r="7" spans="1:2" x14ac:dyDescent="0.2">
      <c r="A7" t="s">
        <v>212</v>
      </c>
    </row>
    <row r="8" spans="1:2" x14ac:dyDescent="0.2">
      <c r="A8" t="s">
        <v>213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D23" sqref="D23"/>
    </sheetView>
  </sheetViews>
  <sheetFormatPr defaultRowHeight="12.75" x14ac:dyDescent="0.2"/>
  <cols>
    <col min="1" max="1" width="18.28515625" bestFit="1" customWidth="1"/>
    <col min="2" max="13" width="13.140625" bestFit="1" customWidth="1"/>
    <col min="14" max="14" width="12.85546875" customWidth="1"/>
    <col min="15" max="15" width="13.140625" bestFit="1" customWidth="1"/>
  </cols>
  <sheetData>
    <row r="1" spans="1:15" x14ac:dyDescent="0.2">
      <c r="A1" s="319"/>
      <c r="B1" s="318">
        <v>1</v>
      </c>
      <c r="C1" s="318">
        <v>2</v>
      </c>
      <c r="D1" s="318">
        <v>3</v>
      </c>
      <c r="E1" s="318">
        <v>4</v>
      </c>
      <c r="F1" s="318">
        <v>5</v>
      </c>
      <c r="G1" s="318">
        <v>6</v>
      </c>
      <c r="H1" s="318">
        <v>7</v>
      </c>
      <c r="I1" s="318">
        <v>8</v>
      </c>
      <c r="J1" s="318">
        <v>9</v>
      </c>
      <c r="K1" s="318">
        <v>10</v>
      </c>
      <c r="L1" s="318">
        <v>11</v>
      </c>
      <c r="M1" s="318">
        <v>12</v>
      </c>
      <c r="N1" s="318">
        <v>13</v>
      </c>
      <c r="O1" s="318">
        <v>14</v>
      </c>
    </row>
    <row r="2" spans="1:15" x14ac:dyDescent="0.2">
      <c r="A2" s="150" t="s">
        <v>172</v>
      </c>
      <c r="B2" s="150">
        <f>'A7'!B2</f>
        <v>100</v>
      </c>
      <c r="C2" s="150">
        <f>'A7'!B3</f>
        <v>150</v>
      </c>
      <c r="D2" s="150">
        <f>'A7'!B4</f>
        <v>200</v>
      </c>
      <c r="E2" s="150">
        <f>'A7'!B5</f>
        <v>250</v>
      </c>
      <c r="F2" s="150">
        <f>'A7'!B6</f>
        <v>300</v>
      </c>
      <c r="G2" s="150">
        <f>'A7'!B7</f>
        <v>350</v>
      </c>
      <c r="H2" s="150">
        <f>'A7'!B8</f>
        <v>400</v>
      </c>
      <c r="I2" s="150">
        <f>'A7'!B9</f>
        <v>450</v>
      </c>
      <c r="J2" s="150">
        <f>'A7'!B10</f>
        <v>500</v>
      </c>
      <c r="K2" s="150">
        <f>'A7'!B11</f>
        <v>600</v>
      </c>
      <c r="L2" s="150">
        <f>'A7'!B12</f>
        <v>700</v>
      </c>
      <c r="M2" s="150">
        <f>'A7'!B13</f>
        <v>800</v>
      </c>
      <c r="N2" s="150">
        <f>'A7'!B14</f>
        <v>900</v>
      </c>
      <c r="O2" s="150">
        <v>1000</v>
      </c>
    </row>
    <row r="3" spans="1:15" x14ac:dyDescent="0.2">
      <c r="A3" s="150" t="s">
        <v>188</v>
      </c>
      <c r="B3" s="150" t="b">
        <v>1</v>
      </c>
      <c r="C3" s="150" t="b">
        <v>1</v>
      </c>
      <c r="D3" s="150" t="b">
        <v>1</v>
      </c>
      <c r="E3" s="150" t="b">
        <v>1</v>
      </c>
      <c r="F3" s="150" t="b">
        <v>1</v>
      </c>
      <c r="G3" s="150" t="b">
        <v>1</v>
      </c>
      <c r="H3" s="150" t="b">
        <v>1</v>
      </c>
      <c r="I3" s="150" t="b">
        <v>1</v>
      </c>
      <c r="J3" s="150" t="b">
        <v>1</v>
      </c>
      <c r="K3" s="150" t="b">
        <v>1</v>
      </c>
      <c r="L3" s="150" t="b">
        <v>1</v>
      </c>
      <c r="M3" s="150" t="b">
        <v>1</v>
      </c>
      <c r="N3" s="150" t="b">
        <v>1</v>
      </c>
      <c r="O3" s="150" t="b">
        <v>1</v>
      </c>
    </row>
    <row r="4" spans="1:15" x14ac:dyDescent="0.2">
      <c r="A4" s="320" t="str">
        <f>IF(ISBLANK('A7'!C1),"",'A7'!C1)</f>
        <v>PVC</v>
      </c>
      <c r="B4" s="328" t="str">
        <f>IF('A7'!C2=1,'A14'!A$4,IF('A7'!C2=0,"",""))</f>
        <v>PVC</v>
      </c>
      <c r="C4" s="328" t="str">
        <f>IF('A7'!C3=1,'A14'!A$4,IF('A7'!C3=0,"",""))</f>
        <v>PVC</v>
      </c>
      <c r="D4" s="328" t="str">
        <f>IF('A7'!C4=1,'A14'!A$4,IF('A7'!C4=0,"",""))</f>
        <v>PVC</v>
      </c>
      <c r="E4" s="328" t="str">
        <f>IF('A7'!C5=1,'A14'!A$4,IF('A7'!C5=0,"",""))</f>
        <v>PVC</v>
      </c>
      <c r="F4" s="328" t="str">
        <f>IF('A7'!C6=1,'A14'!A$4,IF('A7'!C6=0,"",""))</f>
        <v>PVC</v>
      </c>
      <c r="G4" s="328" t="str">
        <f>IF('A7'!C7=1,'A14'!A$4,IF('A7'!C7=0,"",""))</f>
        <v>PVC</v>
      </c>
      <c r="H4" s="328" t="str">
        <f>IF('A7'!C8=1,'A14'!A$4,IF('A7'!C8=0,"",""))</f>
        <v>PVC</v>
      </c>
      <c r="I4" s="328" t="str">
        <f>IF('A7'!C9=1,'A14'!A$4,IF('A7'!C9=0,"",""))</f>
        <v/>
      </c>
      <c r="J4" s="328" t="str">
        <f>IF('A7'!C10=1,'A14'!A$4,IF('A7'!C10=0,"",""))</f>
        <v/>
      </c>
      <c r="K4" s="328" t="str">
        <f>IF('A7'!C11=1,'A14'!A$4,IF('A7'!C11=0,"",""))</f>
        <v/>
      </c>
      <c r="L4" s="328" t="str">
        <f>IF('A7'!C12=1,'A14'!A$4,IF('A7'!C12=0,"",""))</f>
        <v/>
      </c>
      <c r="M4" s="328" t="str">
        <f>IF('A7'!C13=1,'A14'!A$4,IF('A7'!C13=0,"",""))</f>
        <v/>
      </c>
      <c r="N4" s="328" t="str">
        <f>IF('A7'!C14=1,'A14'!A$4,IF('A7'!C14=0,"",""))</f>
        <v/>
      </c>
      <c r="O4" s="328" t="str">
        <f>IF('A7'!C15=1,'A14'!A$4,IF('A7'!C15=0,"",""))</f>
        <v/>
      </c>
    </row>
    <row r="5" spans="1:15" x14ac:dyDescent="0.2">
      <c r="A5" s="320" t="str">
        <f>IF(ISBLANK('A7'!D1),"",'A7'!D1)</f>
        <v>PEAD</v>
      </c>
      <c r="B5" s="328" t="str">
        <f>IF('A7'!D2=1,'A14'!A$5,IF('A7'!D2=0,"",""))</f>
        <v>PEAD</v>
      </c>
      <c r="C5" s="328" t="str">
        <f>IF('A7'!D3=1,'A14'!A$5,IF('A7'!D3=0,"",""))</f>
        <v>PEAD</v>
      </c>
      <c r="D5" s="328" t="str">
        <f>IF('A7'!D4=1,'A14'!A$5,IF('A7'!D4=0,"",""))</f>
        <v>PEAD</v>
      </c>
      <c r="E5" s="328" t="str">
        <f>IF('A7'!D5=1,'A14'!A$5,IF('A7'!D5=0,"",""))</f>
        <v>PEAD</v>
      </c>
      <c r="F5" s="328" t="str">
        <f>IF('A7'!D6=1,'A14'!A$5,IF('A7'!D6=0,"",""))</f>
        <v>PEAD</v>
      </c>
      <c r="G5" s="328" t="str">
        <f>IF('A7'!D7=1,'A14'!A$5,IF('A7'!D7=0,"",""))</f>
        <v>PEAD</v>
      </c>
      <c r="H5" s="328" t="str">
        <f>IF('A7'!D8=1,'A14'!A$5,IF('A7'!D8=0,"",""))</f>
        <v>PEAD</v>
      </c>
      <c r="I5" s="328" t="str">
        <f>IF('A7'!D9=1,'A14'!A$5,IF('A7'!D9=0,"",""))</f>
        <v>PEAD</v>
      </c>
      <c r="J5" s="328" t="str">
        <f>IF('A7'!D10=1,'A14'!A$5,IF('A7'!D10=0,"",""))</f>
        <v>PEAD</v>
      </c>
      <c r="K5" s="328" t="str">
        <f>IF('A7'!D11=1,'A14'!A$5,IF('A7'!D11=0,"",""))</f>
        <v>PEAD</v>
      </c>
      <c r="L5" s="328" t="str">
        <f>IF('A7'!D12=1,'A14'!A$5,IF('A7'!D12=0,"",""))</f>
        <v>PEAD</v>
      </c>
      <c r="M5" s="328" t="str">
        <f>IF('A7'!D13=1,'A14'!A$5,IF('A7'!D13=0,"",""))</f>
        <v>PEAD</v>
      </c>
      <c r="N5" s="328" t="str">
        <f>IF('A7'!D14=1,'A14'!A$5,IF('A7'!D14=0,"",""))</f>
        <v>PEAD</v>
      </c>
      <c r="O5" s="328" t="str">
        <f>IF('A7'!D15=1,'A14'!A$5,IF('A7'!D15=0,"",""))</f>
        <v>PEAD</v>
      </c>
    </row>
    <row r="6" spans="1:15" x14ac:dyDescent="0.2">
      <c r="A6" s="320" t="str">
        <f>IF(ISBLANK('A7'!E1),"",'A7'!E1)</f>
        <v>Concreto</v>
      </c>
      <c r="B6" s="328" t="str">
        <f>IF('A7'!E2=1,'A14'!A$6,IF('A7'!E2=0,"",""))</f>
        <v/>
      </c>
      <c r="C6" s="328" t="str">
        <f>IF('A7'!E3=1,'A14'!A$6,IF('A7'!E3=0,"",""))</f>
        <v/>
      </c>
      <c r="D6" s="328" t="str">
        <f>IF('A7'!E4=1,'A14'!A$6,IF('A7'!E4=0,"",""))</f>
        <v/>
      </c>
      <c r="E6" s="328" t="str">
        <f>IF('A7'!E5=1,'A14'!A$6,IF('A7'!E5=0,"",""))</f>
        <v>Concreto</v>
      </c>
      <c r="F6" s="328" t="str">
        <f>IF('A7'!E6=1,'A14'!A$6,IF('A7'!E6=0,"",""))</f>
        <v/>
      </c>
      <c r="G6" s="328" t="str">
        <f>IF('A7'!E7=1,'A14'!A$6,IF('A7'!E7=0,"",""))</f>
        <v/>
      </c>
      <c r="H6" s="328" t="str">
        <f>IF('A7'!E8=1,'A14'!A$6,IF('A7'!E8=0,"",""))</f>
        <v>Concreto</v>
      </c>
      <c r="I6" s="328" t="str">
        <f>IF('A7'!E9=1,'A14'!A$6,IF('A7'!E9=0,"",""))</f>
        <v>Concreto</v>
      </c>
      <c r="J6" s="328" t="str">
        <f>IF('A7'!E10=1,'A14'!A$6,IF('A7'!E10=0,"",""))</f>
        <v>Concreto</v>
      </c>
      <c r="K6" s="328" t="str">
        <f>IF('A7'!E11=1,'A14'!A$6,IF('A7'!E11=0,"",""))</f>
        <v>Concreto</v>
      </c>
      <c r="L6" s="328" t="str">
        <f>IF('A7'!E12=1,'A14'!A$6,IF('A7'!E12=0,"",""))</f>
        <v>Concreto</v>
      </c>
      <c r="M6" s="328" t="str">
        <f>IF('A7'!E13=1,'A14'!A$6,IF('A7'!E13=0,"",""))</f>
        <v>Concreto</v>
      </c>
      <c r="N6" s="328" t="str">
        <f>IF('A7'!E14=1,'A14'!A$6,IF('A7'!E14=0,"",""))</f>
        <v>Concreto</v>
      </c>
      <c r="O6" s="328" t="str">
        <f>IF('A7'!E15=1,'A14'!A$6,IF('A7'!E15=0,"",""))</f>
        <v>Concreto</v>
      </c>
    </row>
    <row r="7" spans="1:15" x14ac:dyDescent="0.2">
      <c r="A7" s="320" t="str">
        <f>IF(ISBLANK('A7'!F1),"",'A7'!F1)</f>
        <v>Hierro</v>
      </c>
      <c r="B7" s="328" t="str">
        <f>IF('A7'!F2=1,'A14'!A$7,IF('A7'!F2=0,"",""))</f>
        <v/>
      </c>
      <c r="C7" s="328" t="str">
        <f>IF('A7'!F3=1,'A14'!A$7,IF('A7'!F3=0,"",""))</f>
        <v>Hierro</v>
      </c>
      <c r="D7" s="328" t="str">
        <f>IF('A7'!F4=1,'A14'!A$7,IF('A7'!F4=0,"",""))</f>
        <v>Hierro</v>
      </c>
      <c r="E7" s="328" t="str">
        <f>IF('A7'!F5=1,'A14'!A$7,IF('A7'!F5=0,"",""))</f>
        <v>Hierro</v>
      </c>
      <c r="F7" s="328" t="str">
        <f>IF('A7'!F6=1,'A14'!A$7,IF('A7'!F6=0,"",""))</f>
        <v>Hierro</v>
      </c>
      <c r="G7" s="328" t="str">
        <f>IF('A7'!F7=1,'A14'!A$7,IF('A7'!F7=0,"",""))</f>
        <v>Hierro</v>
      </c>
      <c r="H7" s="328" t="str">
        <f>IF('A7'!F8=1,'A14'!A$7,IF('A7'!F8=0,"",""))</f>
        <v>Hierro</v>
      </c>
      <c r="I7" s="328" t="str">
        <f>IF('A7'!F9=1,'A14'!A$7,IF('A7'!F9=0,"",""))</f>
        <v>Hierro</v>
      </c>
      <c r="J7" s="328" t="str">
        <f>IF('A7'!F10=1,'A14'!A$7,IF('A7'!F10=0,"",""))</f>
        <v>Hierro</v>
      </c>
      <c r="K7" s="328" t="str">
        <f>IF('A7'!F11=1,'A14'!A$7,IF('A7'!F11=0,"",""))</f>
        <v>Hierro</v>
      </c>
      <c r="L7" s="328" t="str">
        <f>IF('A7'!F12=1,'A14'!A$7,IF('A7'!F12=0,"",""))</f>
        <v>Hierro</v>
      </c>
      <c r="M7" s="328" t="str">
        <f>IF('A7'!F13=1,'A14'!A$7,IF('A7'!F13=0,"",""))</f>
        <v>Hierro</v>
      </c>
      <c r="N7" s="328" t="str">
        <f>IF('A7'!F14=1,'A14'!A$7,IF('A7'!F14=0,"",""))</f>
        <v>Hierro</v>
      </c>
      <c r="O7" s="328" t="str">
        <f>IF('A7'!F15=1,'A14'!A$7,IF('A7'!F15=0,"",""))</f>
        <v>Hierro</v>
      </c>
    </row>
    <row r="8" spans="1:15" x14ac:dyDescent="0.2">
      <c r="A8" s="320" t="str">
        <f>IF(ISBLANK('A7'!G1),"",'A7'!G1)</f>
        <v>Otro</v>
      </c>
      <c r="B8" s="328" t="str">
        <f>IF('A7'!G2=1,'A14'!A$8,IF('A7'!G2=0,"",""))</f>
        <v>Otro</v>
      </c>
      <c r="C8" s="328" t="str">
        <f>IF('A7'!G3=1,'A14'!A$8,IF('A7'!G3=0,"",""))</f>
        <v/>
      </c>
      <c r="D8" s="328" t="str">
        <f>IF('A7'!G4=1,'A14'!A$8,IF('A7'!G4=0,"",""))</f>
        <v/>
      </c>
      <c r="E8" s="328" t="str">
        <f>IF('A7'!G5=1,'A14'!A$8,IF('A7'!G5=0,"",""))</f>
        <v>Otro</v>
      </c>
      <c r="F8" s="328" t="str">
        <f>IF('A7'!G6=1,'A14'!A$8,IF('A7'!G6=0,"",""))</f>
        <v/>
      </c>
      <c r="G8" s="328" t="str">
        <f>IF('A7'!G7=1,'A14'!A$8,IF('A7'!G7=0,"",""))</f>
        <v/>
      </c>
      <c r="H8" s="328" t="str">
        <f>IF('A7'!G8=1,'A14'!A$8,IF('A7'!G8=0,"",""))</f>
        <v/>
      </c>
      <c r="I8" s="328" t="str">
        <f>IF('A7'!G9=1,'A14'!A$8,IF('A7'!G9=0,"",""))</f>
        <v/>
      </c>
      <c r="J8" s="328" t="str">
        <f>IF('A7'!G10=1,'A14'!A$8,IF('A7'!G10=0,"",""))</f>
        <v>Otro</v>
      </c>
      <c r="K8" s="328" t="str">
        <f>IF('A7'!G11=1,'A14'!A$8,IF('A7'!G11=0,"",""))</f>
        <v/>
      </c>
      <c r="L8" s="328" t="str">
        <f>IF('A7'!G12=1,'A14'!A$8,IF('A7'!G12=0,"",""))</f>
        <v/>
      </c>
      <c r="M8" s="328" t="str">
        <f>IF('A7'!G13=1,'A14'!A$8,IF('A7'!G13=0,"",""))</f>
        <v/>
      </c>
      <c r="N8" s="328" t="str">
        <f>IF('A7'!G14=1,'A14'!A$8,IF('A7'!G14=0,"",""))</f>
        <v/>
      </c>
      <c r="O8" s="328" t="str">
        <f>IF('A7'!G15=1,'A14'!A$8,IF('A7'!G15=0,"",""))</f>
        <v/>
      </c>
    </row>
    <row r="9" spans="1:15" x14ac:dyDescent="0.2">
      <c r="A9" s="150" t="s">
        <v>189</v>
      </c>
      <c r="B9" s="150" t="s">
        <v>171</v>
      </c>
      <c r="C9" s="150" t="s">
        <v>117</v>
      </c>
      <c r="D9" s="150" t="s">
        <v>117</v>
      </c>
      <c r="E9" s="150" t="s">
        <v>117</v>
      </c>
      <c r="F9" s="150" t="s">
        <v>117</v>
      </c>
      <c r="G9" s="150" t="s">
        <v>108</v>
      </c>
      <c r="H9" s="150" t="s">
        <v>108</v>
      </c>
      <c r="I9" s="150" t="s">
        <v>108</v>
      </c>
      <c r="J9" s="150" t="s">
        <v>108</v>
      </c>
      <c r="K9" s="150" t="s">
        <v>108</v>
      </c>
      <c r="L9" s="150" t="s">
        <v>108</v>
      </c>
      <c r="M9" s="150" t="s">
        <v>108</v>
      </c>
      <c r="N9" s="150" t="s">
        <v>108</v>
      </c>
      <c r="O9" s="150" t="s">
        <v>108</v>
      </c>
    </row>
    <row r="10" spans="1:15" x14ac:dyDescent="0.2">
      <c r="A10" s="150" t="s">
        <v>192</v>
      </c>
      <c r="B10" s="150">
        <f>IFERROR(IF(MATCH(B9,nDN_1,0),1),0)</f>
        <v>1</v>
      </c>
      <c r="C10" s="150">
        <f>IFERROR(IF(MATCH(C9,nDN_2,0),1),0)</f>
        <v>1</v>
      </c>
      <c r="D10" s="150">
        <f>IFERROR(IF(MATCH(D9,nDN_3,0),1),0)</f>
        <v>1</v>
      </c>
      <c r="E10" s="150">
        <f>IFERROR(IF(MATCH(E9,nDN_4,0),1),0)</f>
        <v>1</v>
      </c>
      <c r="F10" s="150">
        <f>IFERROR(IF(MATCH(F9,nDN_5,0),1),0)</f>
        <v>1</v>
      </c>
      <c r="G10" s="150">
        <f>IFERROR(IF(MATCH(G9,nDN_6,0),1),0)</f>
        <v>1</v>
      </c>
      <c r="H10" s="150">
        <f>IFERROR(IF(MATCH(H9,nDN_7,0),1),0)</f>
        <v>1</v>
      </c>
      <c r="I10" s="150">
        <f>IFERROR(IF(MATCH(I9,nDN_8,0),1),0)</f>
        <v>1</v>
      </c>
      <c r="J10" s="150">
        <f>IFERROR(IF(MATCH(J9,nDN_9,0),1),0)</f>
        <v>1</v>
      </c>
      <c r="K10" s="150">
        <f>IFERROR(IF(MATCH(K9,nDN_10,0),1),0)</f>
        <v>1</v>
      </c>
      <c r="L10" s="150">
        <f>IFERROR(IF(MATCH(L9,nDN_11,0),1),0)</f>
        <v>1</v>
      </c>
      <c r="M10" s="150">
        <f>IFERROR(IF(MATCH(M9,nDN_12,0),1),0)</f>
        <v>1</v>
      </c>
      <c r="N10" s="150">
        <f>IFERROR(IF(MATCH(N9,nDN_13,0),1),0)</f>
        <v>1</v>
      </c>
      <c r="O10" s="150">
        <f>IFERROR(IF(MATCH(O9,nDN_14,0),1),0)</f>
        <v>1</v>
      </c>
    </row>
    <row r="11" spans="1:15" x14ac:dyDescent="0.2">
      <c r="A11" s="327"/>
      <c r="B11" s="314" t="str">
        <f t="array" ref="B11">INDEX(B$4:B$8, MATCH(LARGE(COUNTIF(B$4:B$8, "&lt;"&amp;B$4:B$8), ROW(1:1)), COUNTIF(B$4:B$8, "&lt;"&amp;B$4:B$8), 0))</f>
        <v>PVC</v>
      </c>
      <c r="C11" s="314" t="str">
        <f t="array" ref="C11">INDEX(C$4:C$8, MATCH(LARGE(COUNTIF(C$4:C$8, "&lt;"&amp;C$4:C$8), ROW(1:1)), COUNTIF(C$4:C$8, "&lt;"&amp;C$4:C$8), 0))</f>
        <v>PVC</v>
      </c>
      <c r="D11" s="314" t="str">
        <f t="array" ref="D11">INDEX(D$4:D$8, MATCH(LARGE(COUNTIF(D$4:D$8, "&lt;"&amp;D$4:D$8), ROW(1:1)), COUNTIF(D$4:D$8, "&lt;"&amp;D$4:D$8), 0))</f>
        <v>PVC</v>
      </c>
      <c r="E11" s="314" t="str">
        <f t="array" ref="E11">INDEX(E$4:E$8, MATCH(LARGE(COUNTIF(E$4:E$8, "&lt;"&amp;E$4:E$8), ROW(1:1)), COUNTIF(E$4:E$8, "&lt;"&amp;E$4:E$8), 0))</f>
        <v>PVC</v>
      </c>
      <c r="F11" s="314" t="str">
        <f t="array" ref="F11">INDEX(F$4:F$8, MATCH(LARGE(COUNTIF(F$4:F$8, "&lt;"&amp;F$4:F$8), ROW(1:1)), COUNTIF(F$4:F$8, "&lt;"&amp;F$4:F$8), 0))</f>
        <v>PVC</v>
      </c>
      <c r="G11" s="314" t="str">
        <f t="array" ref="G11">INDEX(G$4:G$8, MATCH(LARGE(COUNTIF(G$4:G$8, "&lt;"&amp;G$4:G$8), ROW(1:1)), COUNTIF(G$4:G$8, "&lt;"&amp;G$4:G$8), 0))</f>
        <v>PVC</v>
      </c>
      <c r="H11" s="314" t="str">
        <f t="array" ref="H11">INDEX(H$4:H$8, MATCH(LARGE(COUNTIF(H$4:H$8, "&lt;"&amp;H$4:H$8), ROW(1:1)), COUNTIF(H$4:H$8, "&lt;"&amp;H$4:H$8), 0))</f>
        <v>PVC</v>
      </c>
      <c r="I11" s="314" t="str">
        <f t="array" ref="I11">INDEX(I$4:I$8, MATCH(LARGE(COUNTIF(I$4:I$8, "&lt;"&amp;I$4:I$8), ROW(1:1)), COUNTIF(I$4:I$8, "&lt;"&amp;I$4:I$8), 0))</f>
        <v>PEAD</v>
      </c>
      <c r="J11" s="314" t="str">
        <f t="array" ref="J11">INDEX(J$4:J$8, MATCH(LARGE(COUNTIF(J$4:J$8, "&lt;"&amp;J$4:J$8), ROW(1:1)), COUNTIF(J$4:J$8, "&lt;"&amp;J$4:J$8), 0))</f>
        <v>PEAD</v>
      </c>
      <c r="K11" s="314" t="str">
        <f t="array" ref="K11">INDEX(K$4:K$8, MATCH(LARGE(COUNTIF(K$4:K$8, "&lt;"&amp;K$4:K$8), ROW(1:1)), COUNTIF(K$4:K$8, "&lt;"&amp;K$4:K$8), 0))</f>
        <v>PEAD</v>
      </c>
      <c r="L11" s="314" t="str">
        <f t="array" ref="L11">INDEX(L$4:L$8, MATCH(LARGE(COUNTIF(L$4:L$8, "&lt;"&amp;L$4:L$8), ROW(1:1)), COUNTIF(L$4:L$8, "&lt;"&amp;L$4:L$8), 0))</f>
        <v>PEAD</v>
      </c>
      <c r="M11" s="314" t="str">
        <f t="array" ref="M11">INDEX(M$4:M$8, MATCH(LARGE(COUNTIF(M$4:M$8, "&lt;"&amp;M$4:M$8), ROW(1:1)), COUNTIF(M$4:M$8, "&lt;"&amp;M$4:M$8), 0))</f>
        <v>PEAD</v>
      </c>
      <c r="N11" s="314" t="str">
        <f t="array" ref="N11">INDEX(N$4:N$8, MATCH(LARGE(COUNTIF(N$4:N$8, "&lt;"&amp;N$4:N$8), ROW(1:1)), COUNTIF(N$4:N$8, "&lt;"&amp;N$4:N$8), 0))</f>
        <v>PEAD</v>
      </c>
      <c r="O11" s="314" t="str">
        <f t="array" ref="O11">INDEX(O$4:O$8, MATCH(LARGE(COUNTIF(O$4:O$8, "&lt;"&amp;O$4:O$8), ROW(1:1)), COUNTIF(O$4:O$8, "&lt;"&amp;O$4:O$8), 0))</f>
        <v>PEAD</v>
      </c>
    </row>
    <row r="12" spans="1:15" x14ac:dyDescent="0.2">
      <c r="A12" s="327"/>
      <c r="B12" s="314" t="str">
        <f t="array" ref="B12">INDEX(B$4:B$8, MATCH(LARGE(COUNTIF(B$4:B$8, "&lt;"&amp;B$4:B$8), ROW(2:2)), COUNTIF(B$4:B$8, "&lt;"&amp;B$4:B$8), 0))</f>
        <v>PEAD</v>
      </c>
      <c r="C12" s="314" t="str">
        <f t="array" ref="C12">INDEX(C$4:C$8, MATCH(LARGE(COUNTIF(C$4:C$8, "&lt;"&amp;C$4:C$8), ROW(2:2)), COUNTIF(C$4:C$8, "&lt;"&amp;C$4:C$8), 0))</f>
        <v>PEAD</v>
      </c>
      <c r="D12" s="314" t="str">
        <f t="array" ref="D12">INDEX(D$4:D$8, MATCH(LARGE(COUNTIF(D$4:D$8, "&lt;"&amp;D$4:D$8), ROW(2:2)), COUNTIF(D$4:D$8, "&lt;"&amp;D$4:D$8), 0))</f>
        <v>PEAD</v>
      </c>
      <c r="E12" s="314" t="str">
        <f t="array" ref="E12">INDEX(E$4:E$8, MATCH(LARGE(COUNTIF(E$4:E$8, "&lt;"&amp;E$4:E$8), ROW(2:2)), COUNTIF(E$4:E$8, "&lt;"&amp;E$4:E$8), 0))</f>
        <v>PEAD</v>
      </c>
      <c r="F12" s="314" t="str">
        <f t="array" ref="F12">INDEX(F$4:F$8, MATCH(LARGE(COUNTIF(F$4:F$8, "&lt;"&amp;F$4:F$8), ROW(2:2)), COUNTIF(F$4:F$8, "&lt;"&amp;F$4:F$8), 0))</f>
        <v>PEAD</v>
      </c>
      <c r="G12" s="314" t="str">
        <f t="array" ref="G12">INDEX(G$4:G$8, MATCH(LARGE(COUNTIF(G$4:G$8, "&lt;"&amp;G$4:G$8), ROW(2:2)), COUNTIF(G$4:G$8, "&lt;"&amp;G$4:G$8), 0))</f>
        <v>PEAD</v>
      </c>
      <c r="H12" s="314" t="str">
        <f t="array" ref="H12">INDEX(H$4:H$8, MATCH(LARGE(COUNTIF(H$4:H$8, "&lt;"&amp;H$4:H$8), ROW(2:2)), COUNTIF(H$4:H$8, "&lt;"&amp;H$4:H$8), 0))</f>
        <v>PEAD</v>
      </c>
      <c r="I12" s="314" t="str">
        <f t="array" ref="I12">INDEX(I$4:I$8, MATCH(LARGE(COUNTIF(I$4:I$8, "&lt;"&amp;I$4:I$8), ROW(2:2)), COUNTIF(I$4:I$8, "&lt;"&amp;I$4:I$8), 0))</f>
        <v>Hierro</v>
      </c>
      <c r="J12" s="314" t="str">
        <f t="array" ref="J12">INDEX(J$4:J$8, MATCH(LARGE(COUNTIF(J$4:J$8, "&lt;"&amp;J$4:J$8), ROW(2:2)), COUNTIF(J$4:J$8, "&lt;"&amp;J$4:J$8), 0))</f>
        <v>Otro</v>
      </c>
      <c r="K12" s="314" t="str">
        <f t="array" ref="K12">INDEX(K$4:K$8, MATCH(LARGE(COUNTIF(K$4:K$8, "&lt;"&amp;K$4:K$8), ROW(2:2)), COUNTIF(K$4:K$8, "&lt;"&amp;K$4:K$8), 0))</f>
        <v>Hierro</v>
      </c>
      <c r="L12" s="314" t="str">
        <f t="array" ref="L12">INDEX(L$4:L$8, MATCH(LARGE(COUNTIF(L$4:L$8, "&lt;"&amp;L$4:L$8), ROW(2:2)), COUNTIF(L$4:L$8, "&lt;"&amp;L$4:L$8), 0))</f>
        <v>Hierro</v>
      </c>
      <c r="M12" s="314" t="str">
        <f t="array" ref="M12">INDEX(M$4:M$8, MATCH(LARGE(COUNTIF(M$4:M$8, "&lt;"&amp;M$4:M$8), ROW(2:2)), COUNTIF(M$4:M$8, "&lt;"&amp;M$4:M$8), 0))</f>
        <v>Hierro</v>
      </c>
      <c r="N12" s="314" t="str">
        <f t="array" ref="N12">INDEX(N$4:N$8, MATCH(LARGE(COUNTIF(N$4:N$8, "&lt;"&amp;N$4:N$8), ROW(2:2)), COUNTIF(N$4:N$8, "&lt;"&amp;N$4:N$8), 0))</f>
        <v>Hierro</v>
      </c>
      <c r="O12" s="314" t="str">
        <f t="array" ref="O12">INDEX(O$4:O$8, MATCH(LARGE(COUNTIF(O$4:O$8, "&lt;"&amp;O$4:O$8), ROW(2:2)), COUNTIF(O$4:O$8, "&lt;"&amp;O$4:O$8), 0))</f>
        <v>Hierro</v>
      </c>
    </row>
    <row r="13" spans="1:15" x14ac:dyDescent="0.2">
      <c r="A13" s="327"/>
      <c r="B13" s="314" t="str">
        <f t="array" ref="B13">INDEX(B$4:B$8, MATCH(LARGE(COUNTIF(B$4:B$8, "&lt;"&amp;B$4:B$8), ROW(3:3)), COUNTIF(B$4:B$8, "&lt;"&amp;B$4:B$8), 0))</f>
        <v>Otro</v>
      </c>
      <c r="C13" s="314" t="str">
        <f t="array" ref="C13">INDEX(C$4:C$8, MATCH(LARGE(COUNTIF(C$4:C$8, "&lt;"&amp;C$4:C$8), ROW(3:3)), COUNTIF(C$4:C$8, "&lt;"&amp;C$4:C$8), 0))</f>
        <v>Hierro</v>
      </c>
      <c r="D13" s="314" t="str">
        <f t="array" ref="D13">INDEX(D$4:D$8, MATCH(LARGE(COUNTIF(D$4:D$8, "&lt;"&amp;D$4:D$8), ROW(3:3)), COUNTIF(D$4:D$8, "&lt;"&amp;D$4:D$8), 0))</f>
        <v>Hierro</v>
      </c>
      <c r="E13" s="314" t="str">
        <f t="array" ref="E13">INDEX(E$4:E$8, MATCH(LARGE(COUNTIF(E$4:E$8, "&lt;"&amp;E$4:E$8), ROW(3:3)), COUNTIF(E$4:E$8, "&lt;"&amp;E$4:E$8), 0))</f>
        <v>Otro</v>
      </c>
      <c r="F13" s="314" t="str">
        <f t="array" ref="F13">INDEX(F$4:F$8, MATCH(LARGE(COUNTIF(F$4:F$8, "&lt;"&amp;F$4:F$8), ROW(3:3)), COUNTIF(F$4:F$8, "&lt;"&amp;F$4:F$8), 0))</f>
        <v>Hierro</v>
      </c>
      <c r="G13" s="314" t="str">
        <f t="array" ref="G13">INDEX(G$4:G$8, MATCH(LARGE(COUNTIF(G$4:G$8, "&lt;"&amp;G$4:G$8), ROW(3:3)), COUNTIF(G$4:G$8, "&lt;"&amp;G$4:G$8), 0))</f>
        <v>Hierro</v>
      </c>
      <c r="H13" s="314" t="str">
        <f t="array" ref="H13">INDEX(H$4:H$8, MATCH(LARGE(COUNTIF(H$4:H$8, "&lt;"&amp;H$4:H$8), ROW(3:3)), COUNTIF(H$4:H$8, "&lt;"&amp;H$4:H$8), 0))</f>
        <v>Hierro</v>
      </c>
      <c r="I13" s="314" t="str">
        <f t="array" ref="I13">INDEX(I$4:I$8, MATCH(LARGE(COUNTIF(I$4:I$8, "&lt;"&amp;I$4:I$8), ROW(3:3)), COUNTIF(I$4:I$8, "&lt;"&amp;I$4:I$8), 0))</f>
        <v>Concreto</v>
      </c>
      <c r="J13" s="314" t="str">
        <f t="array" ref="J13">INDEX(J$4:J$8, MATCH(LARGE(COUNTIF(J$4:J$8, "&lt;"&amp;J$4:J$8), ROW(3:3)), COUNTIF(J$4:J$8, "&lt;"&amp;J$4:J$8), 0))</f>
        <v>Hierro</v>
      </c>
      <c r="K13" s="314" t="str">
        <f t="array" ref="K13">INDEX(K$4:K$8, MATCH(LARGE(COUNTIF(K$4:K$8, "&lt;"&amp;K$4:K$8), ROW(3:3)), COUNTIF(K$4:K$8, "&lt;"&amp;K$4:K$8), 0))</f>
        <v>Concreto</v>
      </c>
      <c r="L13" s="314" t="str">
        <f t="array" ref="L13">INDEX(L$4:L$8, MATCH(LARGE(COUNTIF(L$4:L$8, "&lt;"&amp;L$4:L$8), ROW(3:3)), COUNTIF(L$4:L$8, "&lt;"&amp;L$4:L$8), 0))</f>
        <v>Concreto</v>
      </c>
      <c r="M13" s="314" t="str">
        <f t="array" ref="M13">INDEX(M$4:M$8, MATCH(LARGE(COUNTIF(M$4:M$8, "&lt;"&amp;M$4:M$8), ROW(3:3)), COUNTIF(M$4:M$8, "&lt;"&amp;M$4:M$8), 0))</f>
        <v>Concreto</v>
      </c>
      <c r="N13" s="314" t="str">
        <f t="array" ref="N13">INDEX(N$4:N$8, MATCH(LARGE(COUNTIF(N$4:N$8, "&lt;"&amp;N$4:N$8), ROW(3:3)), COUNTIF(N$4:N$8, "&lt;"&amp;N$4:N$8), 0))</f>
        <v>Concreto</v>
      </c>
      <c r="O13" s="314" t="str">
        <f t="array" ref="O13">INDEX(O$4:O$8, MATCH(LARGE(COUNTIF(O$4:O$8, "&lt;"&amp;O$4:O$8), ROW(3:3)), COUNTIF(O$4:O$8, "&lt;"&amp;O$4:O$8), 0))</f>
        <v>Concreto</v>
      </c>
    </row>
    <row r="14" spans="1:15" x14ac:dyDescent="0.2">
      <c r="A14" s="327"/>
      <c r="B14" s="314" t="str">
        <f t="array" ref="B14">INDEX(B$4:B$8, MATCH(LARGE(COUNTIF(B$4:B$8, "&lt;"&amp;B$4:B$8), ROW(4:4)), COUNTIF(B$4:B$8, "&lt;"&amp;B$4:B$8), 0))</f>
        <v/>
      </c>
      <c r="C14" s="314" t="str">
        <f t="array" ref="C14">INDEX(C$4:C$8, MATCH(LARGE(COUNTIF(C$4:C$8, "&lt;"&amp;C$4:C$8), ROW(4:4)), COUNTIF(C$4:C$8, "&lt;"&amp;C$4:C$8), 0))</f>
        <v/>
      </c>
      <c r="D14" s="314" t="str">
        <f t="array" ref="D14">INDEX(D$4:D$8, MATCH(LARGE(COUNTIF(D$4:D$8, "&lt;"&amp;D$4:D$8), ROW(4:4)), COUNTIF(D$4:D$8, "&lt;"&amp;D$4:D$8), 0))</f>
        <v/>
      </c>
      <c r="E14" s="314" t="str">
        <f t="array" ref="E14">INDEX(E$4:E$8, MATCH(LARGE(COUNTIF(E$4:E$8, "&lt;"&amp;E$4:E$8), ROW(4:4)), COUNTIF(E$4:E$8, "&lt;"&amp;E$4:E$8), 0))</f>
        <v>Hierro</v>
      </c>
      <c r="F14" s="314" t="str">
        <f t="array" ref="F14">INDEX(F$4:F$8, MATCH(LARGE(COUNTIF(F$4:F$8, "&lt;"&amp;F$4:F$8), ROW(4:4)), COUNTIF(F$4:F$8, "&lt;"&amp;F$4:F$8), 0))</f>
        <v/>
      </c>
      <c r="G14" s="314" t="str">
        <f t="array" ref="G14">INDEX(G$4:G$8, MATCH(LARGE(COUNTIF(G$4:G$8, "&lt;"&amp;G$4:G$8), ROW(4:4)), COUNTIF(G$4:G$8, "&lt;"&amp;G$4:G$8), 0))</f>
        <v/>
      </c>
      <c r="H14" s="314" t="str">
        <f t="array" ref="H14">INDEX(H$4:H$8, MATCH(LARGE(COUNTIF(H$4:H$8, "&lt;"&amp;H$4:H$8), ROW(4:4)), COUNTIF(H$4:H$8, "&lt;"&amp;H$4:H$8), 0))</f>
        <v>Concreto</v>
      </c>
      <c r="I14" s="314" t="str">
        <f t="array" ref="I14">INDEX(I$4:I$8, MATCH(LARGE(COUNTIF(I$4:I$8, "&lt;"&amp;I$4:I$8), ROW(4:4)), COUNTIF(I$4:I$8, "&lt;"&amp;I$4:I$8), 0))</f>
        <v/>
      </c>
      <c r="J14" s="314" t="str">
        <f t="array" ref="J14">INDEX(J$4:J$8, MATCH(LARGE(COUNTIF(J$4:J$8, "&lt;"&amp;J$4:J$8), ROW(4:4)), COUNTIF(J$4:J$8, "&lt;"&amp;J$4:J$8), 0))</f>
        <v>Concreto</v>
      </c>
      <c r="K14" s="314" t="str">
        <f t="array" ref="K14">INDEX(K$4:K$8, MATCH(LARGE(COUNTIF(K$4:K$8, "&lt;"&amp;K$4:K$8), ROW(4:4)), COUNTIF(K$4:K$8, "&lt;"&amp;K$4:K$8), 0))</f>
        <v/>
      </c>
      <c r="L14" s="314" t="str">
        <f t="array" ref="L14">INDEX(L$4:L$8, MATCH(LARGE(COUNTIF(L$4:L$8, "&lt;"&amp;L$4:L$8), ROW(4:4)), COUNTIF(L$4:L$8, "&lt;"&amp;L$4:L$8), 0))</f>
        <v/>
      </c>
      <c r="M14" s="314" t="str">
        <f t="array" ref="M14">INDEX(M$4:M$8, MATCH(LARGE(COUNTIF(M$4:M$8, "&lt;"&amp;M$4:M$8), ROW(4:4)), COUNTIF(M$4:M$8, "&lt;"&amp;M$4:M$8), 0))</f>
        <v/>
      </c>
      <c r="N14" s="314" t="str">
        <f t="array" ref="N14">INDEX(N$4:N$8, MATCH(LARGE(COUNTIF(N$4:N$8, "&lt;"&amp;N$4:N$8), ROW(4:4)), COUNTIF(N$4:N$8, "&lt;"&amp;N$4:N$8), 0))</f>
        <v/>
      </c>
      <c r="O14" s="314" t="str">
        <f t="array" ref="O14">INDEX(O$4:O$8, MATCH(LARGE(COUNTIF(O$4:O$8, "&lt;"&amp;O$4:O$8), ROW(4:4)), COUNTIF(O$4:O$8, "&lt;"&amp;O$4:O$8), 0))</f>
        <v/>
      </c>
    </row>
    <row r="15" spans="1:15" x14ac:dyDescent="0.2">
      <c r="A15" s="327"/>
      <c r="B15" s="314" t="str">
        <f t="array" ref="B15">INDEX(B$4:B$8, MATCH(LARGE(COUNTIF(B$4:B$8, "&lt;"&amp;B$4:B$8), ROW(5:5)), COUNTIF(B$4:B$8, "&lt;"&amp;B$4:B$8), 0))</f>
        <v/>
      </c>
      <c r="C15" s="314" t="str">
        <f t="array" ref="C15">INDEX(C$4:C$8, MATCH(LARGE(COUNTIF(C$4:C$8, "&lt;"&amp;C$4:C$8), ROW(5:5)), COUNTIF(C$4:C$8, "&lt;"&amp;C$4:C$8), 0))</f>
        <v/>
      </c>
      <c r="D15" s="314" t="str">
        <f t="array" ref="D15">INDEX(D$4:D$8, MATCH(LARGE(COUNTIF(D$4:D$8, "&lt;"&amp;D$4:D$8), ROW(5:5)), COUNTIF(D$4:D$8, "&lt;"&amp;D$4:D$8), 0))</f>
        <v/>
      </c>
      <c r="E15" s="314" t="str">
        <f t="array" ref="E15">INDEX(E$4:E$8, MATCH(LARGE(COUNTIF(E$4:E$8, "&lt;"&amp;E$4:E$8), ROW(5:5)), COUNTIF(E$4:E$8, "&lt;"&amp;E$4:E$8), 0))</f>
        <v>Concreto</v>
      </c>
      <c r="F15" s="314" t="str">
        <f t="array" ref="F15">INDEX(F$4:F$8, MATCH(LARGE(COUNTIF(F$4:F$8, "&lt;"&amp;F$4:F$8), ROW(5:5)), COUNTIF(F$4:F$8, "&lt;"&amp;F$4:F$8), 0))</f>
        <v/>
      </c>
      <c r="G15" s="314" t="str">
        <f t="array" ref="G15">INDEX(G$4:G$8, MATCH(LARGE(COUNTIF(G$4:G$8, "&lt;"&amp;G$4:G$8), ROW(5:5)), COUNTIF(G$4:G$8, "&lt;"&amp;G$4:G$8), 0))</f>
        <v/>
      </c>
      <c r="H15" s="314" t="str">
        <f t="array" ref="H15">INDEX(H$4:H$8, MATCH(LARGE(COUNTIF(H$4:H$8, "&lt;"&amp;H$4:H$8), ROW(5:5)), COUNTIF(H$4:H$8, "&lt;"&amp;H$4:H$8), 0))</f>
        <v/>
      </c>
      <c r="I15" s="314" t="str">
        <f t="array" ref="I15">INDEX(I$4:I$8, MATCH(LARGE(COUNTIF(I$4:I$8, "&lt;"&amp;I$4:I$8), ROW(5:5)), COUNTIF(I$4:I$8, "&lt;"&amp;I$4:I$8), 0))</f>
        <v/>
      </c>
      <c r="J15" s="314" t="str">
        <f t="array" ref="J15">INDEX(J$4:J$8, MATCH(LARGE(COUNTIF(J$4:J$8, "&lt;"&amp;J$4:J$8), ROW(5:5)), COUNTIF(J$4:J$8, "&lt;"&amp;J$4:J$8), 0))</f>
        <v/>
      </c>
      <c r="K15" s="314" t="str">
        <f t="array" ref="K15">INDEX(K$4:K$8, MATCH(LARGE(COUNTIF(K$4:K$8, "&lt;"&amp;K$4:K$8), ROW(5:5)), COUNTIF(K$4:K$8, "&lt;"&amp;K$4:K$8), 0))</f>
        <v/>
      </c>
      <c r="L15" s="314" t="str">
        <f t="array" ref="L15">INDEX(L$4:L$8, MATCH(LARGE(COUNTIF(L$4:L$8, "&lt;"&amp;L$4:L$8), ROW(5:5)), COUNTIF(L$4:L$8, "&lt;"&amp;L$4:L$8), 0))</f>
        <v/>
      </c>
      <c r="M15" s="314" t="str">
        <f t="array" ref="M15">INDEX(M$4:M$8, MATCH(LARGE(COUNTIF(M$4:M$8, "&lt;"&amp;M$4:M$8), ROW(5:5)), COUNTIF(M$4:M$8, "&lt;"&amp;M$4:M$8), 0))</f>
        <v/>
      </c>
      <c r="N15" s="314" t="str">
        <f t="array" ref="N15">INDEX(N$4:N$8, MATCH(LARGE(COUNTIF(N$4:N$8, "&lt;"&amp;N$4:N$8), ROW(5:5)), COUNTIF(N$4:N$8, "&lt;"&amp;N$4:N$8), 0))</f>
        <v/>
      </c>
      <c r="O15" s="314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C6" sqref="C6"/>
    </sheetView>
  </sheetViews>
  <sheetFormatPr defaultRowHeight="12.75" x14ac:dyDescent="0.2"/>
  <cols>
    <col min="1" max="1" width="15.7109375" customWidth="1"/>
    <col min="3" max="3" width="20.42578125" customWidth="1"/>
    <col min="4" max="4" width="10.28515625" customWidth="1"/>
  </cols>
  <sheetData>
    <row r="1" spans="1:4" x14ac:dyDescent="0.2">
      <c r="A1" s="324" t="s">
        <v>28</v>
      </c>
      <c r="B1" s="324" t="s">
        <v>27</v>
      </c>
      <c r="C1" s="324" t="s">
        <v>195</v>
      </c>
      <c r="D1" s="326"/>
    </row>
    <row r="2" spans="1:4" x14ac:dyDescent="0.2">
      <c r="A2" s="324">
        <f>'A7'!B2</f>
        <v>100</v>
      </c>
      <c r="B2" s="324" t="str">
        <f>'A14'!B9</f>
        <v>Otro</v>
      </c>
      <c r="C2" s="325" t="s">
        <v>196</v>
      </c>
    </row>
    <row r="3" spans="1:4" x14ac:dyDescent="0.2">
      <c r="A3" s="324">
        <f>'A7'!B3</f>
        <v>150</v>
      </c>
      <c r="B3" s="324" t="str">
        <f>'A14'!C9</f>
        <v>PVC</v>
      </c>
      <c r="C3" s="325" t="s">
        <v>198</v>
      </c>
    </row>
    <row r="4" spans="1:4" x14ac:dyDescent="0.2">
      <c r="A4" s="324">
        <f>'A7'!B4</f>
        <v>200</v>
      </c>
      <c r="B4" s="324" t="str">
        <f>'A14'!D9</f>
        <v>PVC</v>
      </c>
      <c r="C4" s="325" t="s">
        <v>197</v>
      </c>
    </row>
    <row r="5" spans="1:4" x14ac:dyDescent="0.2">
      <c r="A5" s="324">
        <f>'A7'!B5</f>
        <v>250</v>
      </c>
      <c r="B5" s="324" t="str">
        <f>'A14'!E9</f>
        <v>PVC</v>
      </c>
      <c r="C5" s="325" t="s">
        <v>196</v>
      </c>
    </row>
    <row r="6" spans="1:4" x14ac:dyDescent="0.2">
      <c r="A6" s="324">
        <f>'A7'!B6</f>
        <v>300</v>
      </c>
      <c r="B6" s="324" t="str">
        <f>'A14'!F9</f>
        <v>PVC</v>
      </c>
      <c r="C6" s="325" t="s">
        <v>199</v>
      </c>
    </row>
    <row r="7" spans="1:4" x14ac:dyDescent="0.2">
      <c r="A7" s="324">
        <f>'A7'!B7</f>
        <v>350</v>
      </c>
      <c r="B7" s="324" t="str">
        <f>'A14'!G9</f>
        <v>PEAD</v>
      </c>
      <c r="C7" s="325" t="s">
        <v>196</v>
      </c>
    </row>
    <row r="8" spans="1:4" x14ac:dyDescent="0.2">
      <c r="A8" s="324">
        <f>'A7'!B8</f>
        <v>400</v>
      </c>
      <c r="B8" s="324" t="str">
        <f>'A14'!H9</f>
        <v>PEAD</v>
      </c>
      <c r="C8" s="325" t="s">
        <v>196</v>
      </c>
    </row>
    <row r="9" spans="1:4" x14ac:dyDescent="0.2">
      <c r="A9" s="324">
        <f>'A7'!B9</f>
        <v>450</v>
      </c>
      <c r="B9" s="324" t="str">
        <f>'A14'!I9</f>
        <v>PEAD</v>
      </c>
      <c r="C9" s="325" t="s">
        <v>196</v>
      </c>
    </row>
    <row r="10" spans="1:4" x14ac:dyDescent="0.2">
      <c r="A10" s="324">
        <f>'A7'!B10</f>
        <v>500</v>
      </c>
      <c r="B10" s="324" t="str">
        <f>'A14'!J9</f>
        <v>PEAD</v>
      </c>
      <c r="C10" s="325" t="s">
        <v>196</v>
      </c>
    </row>
    <row r="11" spans="1:4" x14ac:dyDescent="0.2">
      <c r="A11" s="324">
        <f>'A7'!B11</f>
        <v>600</v>
      </c>
      <c r="B11" s="324" t="str">
        <f>'A14'!K9</f>
        <v>PEAD</v>
      </c>
      <c r="C11" s="325" t="s">
        <v>196</v>
      </c>
    </row>
    <row r="12" spans="1:4" x14ac:dyDescent="0.2">
      <c r="A12" s="324">
        <f>'A7'!B12</f>
        <v>700</v>
      </c>
      <c r="B12" s="324" t="str">
        <f>'A14'!L9</f>
        <v>PEAD</v>
      </c>
      <c r="C12" s="325" t="s">
        <v>196</v>
      </c>
    </row>
    <row r="13" spans="1:4" x14ac:dyDescent="0.2">
      <c r="A13" s="324">
        <f>'A7'!B13</f>
        <v>800</v>
      </c>
      <c r="B13" s="324" t="str">
        <f>'A14'!M9</f>
        <v>PEAD</v>
      </c>
      <c r="C13" s="325" t="s">
        <v>196</v>
      </c>
    </row>
    <row r="14" spans="1:4" x14ac:dyDescent="0.2">
      <c r="A14" s="324">
        <f>'A7'!B14</f>
        <v>900</v>
      </c>
      <c r="B14" s="324" t="str">
        <f>'A14'!N9</f>
        <v>PEAD</v>
      </c>
      <c r="C14" s="325" t="s">
        <v>196</v>
      </c>
    </row>
    <row r="15" spans="1:4" x14ac:dyDescent="0.2">
      <c r="A15" s="324">
        <f>'A7'!B15</f>
        <v>1000</v>
      </c>
      <c r="B15" s="324" t="str">
        <f>'A14'!O9</f>
        <v>PEAD</v>
      </c>
      <c r="C15" s="325" t="s">
        <v>196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21</vt:i4>
      </vt:variant>
      <vt:variant>
        <vt:lpstr>Intervalos Nomeados</vt:lpstr>
      </vt:variant>
      <vt:variant>
        <vt:i4>29</vt:i4>
      </vt:variant>
    </vt:vector>
  </HeadingPairs>
  <TitlesOfParts>
    <vt:vector size="50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A10</vt:lpstr>
      <vt:lpstr>A11</vt:lpstr>
      <vt:lpstr>A12</vt:lpstr>
      <vt:lpstr>A13</vt:lpstr>
      <vt:lpstr>A14</vt:lpstr>
      <vt:lpstr>A15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ImportQGIS!sample_2</vt:lpstr>
      <vt:lpstr>ImportQGIS!sample_3</vt:lpstr>
      <vt:lpstr>ImportQGIS!sample_4</vt:lpstr>
      <vt:lpstr>ImportQGIS!sample_5</vt:lpstr>
      <vt:lpstr>ImportQGIS!sample_6</vt:lpstr>
      <vt:lpstr>ImportQGIS!sample_7</vt:lpstr>
      <vt:lpstr>ImportQGIS!sample_8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saniBID RedBasica QGIS</dc:title>
  <dc:creator/>
  <cp:keywords>Calculo Hidraulico , Rede de Esgoto , Alcantarillado , Sewerage , Sistema Condominial</cp:keywords>
  <dc:description>Hoja de cálculo para proyecto de redes de alcantarillado del tipo Condominial. Apenas para el uso con el saniBID RedBasica, plugin del QGIS._x000d_
_x000d_
Autor: Leonardo Porto Nazareth_x000d_
leonazareth@gmail.com_x000d_
_x000d_
Licenced under Creative Commons' Attribution-NonCommercial 4.0 International (CC BY-NC 4.0)</dc:description>
  <cp:lastModifiedBy/>
  <dcterms:created xsi:type="dcterms:W3CDTF">2015-02-15T15:06:09Z</dcterms:created>
  <dcterms:modified xsi:type="dcterms:W3CDTF">2019-06-16T15:19:01Z</dcterms:modified>
</cp:coreProperties>
</file>