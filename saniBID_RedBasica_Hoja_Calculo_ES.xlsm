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4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425" codeName="{99F03F65-6EE5-B2FF-AC1D-F4DDD12603F5}"/>
  <workbookPr filterPrivacy="1" updateLinks="never" codeName="EstaPasta_de_trabalho"/>
  <xr:revisionPtr revIDLastSave="0" documentId="13_ncr:1_{55F6E981-8807-4A91-9569-02DD93185F07}" xr6:coauthVersionLast="43" xr6:coauthVersionMax="43" xr10:uidLastSave="{00000000-0000-0000-0000-000000000000}"/>
  <bookViews>
    <workbookView xWindow="-120" yWindow="-120" windowWidth="20730" windowHeight="11760" tabRatio="770" firstSheet="1" activeTab="2" xr2:uid="{00000000-000D-0000-FFFF-FFFF00000000}"/>
  </bookViews>
  <sheets>
    <sheet name="INICIO" sheetId="30" r:id="rId1"/>
    <sheet name="ImportQGIS" sheetId="33" r:id="rId2"/>
    <sheet name="Parametros" sheetId="21" r:id="rId3"/>
    <sheet name="RedBasica" sheetId="1" r:id="rId4"/>
    <sheet name="RedBasica_print" sheetId="13" r:id="rId5"/>
    <sheet name="ExportNodos" sheetId="38" r:id="rId6"/>
    <sheet name="ExportTramos" sheetId="39" r:id="rId7"/>
    <sheet name="A1" sheetId="16" r:id="rId8"/>
    <sheet name="A2" sheetId="17" r:id="rId9"/>
    <sheet name="A3" sheetId="20" r:id="rId10"/>
    <sheet name="A4" sheetId="18" r:id="rId11"/>
    <sheet name="A5" sheetId="37" r:id="rId12"/>
    <sheet name="A7" sheetId="14" r:id="rId13"/>
    <sheet name="A8" sheetId="31" r:id="rId14"/>
    <sheet name="A9" sheetId="24" r:id="rId15"/>
    <sheet name="A14" sheetId="45" r:id="rId16"/>
  </sheets>
  <functionGroups builtInGroupCount="19"/>
  <definedNames>
    <definedName name="_xlnm._FilterDatabase" localSheetId="11" hidden="1">'A5'!$A$1:$A$38</definedName>
    <definedName name="_xlnm._FilterDatabase" localSheetId="12" hidden="1">'A7'!$B$1:$G$15</definedName>
    <definedName name="_xlnm._FilterDatabase" localSheetId="1" hidden="1">ImportQGIS!$A$1:$JV$1</definedName>
    <definedName name="_xlnm._FilterDatabase" localSheetId="3" hidden="1">RedBasica!$X$12:$X$174</definedName>
    <definedName name="_Key1" localSheetId="15" hidden="1">#REF!</definedName>
    <definedName name="_Key1" localSheetId="9" hidden="1">#REF!</definedName>
    <definedName name="_Key1" localSheetId="1" hidden="1">#REF!</definedName>
    <definedName name="_Key1" hidden="1">#REF!</definedName>
    <definedName name="_xlnm.Print_Area" localSheetId="2">Parametros!$A$1</definedName>
    <definedName name="DN_lista">'A7'!$B$2:$B$15</definedName>
    <definedName name="ImpresionRB">OFFSET(RedBasica_print!$B$1,0,0,COUNTA(RedBasica_print!$A:$A),34)</definedName>
    <definedName name="nDN_1">'A14'!$B$11:$B$15</definedName>
    <definedName name="nDN_10">'A14'!$K$11:$K$15</definedName>
    <definedName name="nDN_11">'A14'!$L$11:$L$15</definedName>
    <definedName name="nDN_12">'A14'!$M$11:$M$15</definedName>
    <definedName name="nDN_13">'A14'!$N$11:$N$15</definedName>
    <definedName name="nDN_14">'A14'!$O$11:$O$15</definedName>
    <definedName name="nDN_2">'A14'!$C$11:$C$15</definedName>
    <definedName name="nDN_3">'A14'!$D$11:$D$15</definedName>
    <definedName name="nDN_4">'A14'!$E$11:$E$15</definedName>
    <definedName name="nDN_5">'A14'!$F$11:$F$15</definedName>
    <definedName name="nDN_6">'A14'!$G$11:$G$15</definedName>
    <definedName name="nDN_7">'A14'!$H$11:$H$15</definedName>
    <definedName name="nDN_8">'A14'!$I$11:$I$15</definedName>
    <definedName name="nDN_9">'A14'!$J$11:$J$15</definedName>
    <definedName name="Plista">'A14'!$A$4:$A$8</definedName>
    <definedName name="Proc_man">'A7'!$C$18:$G$19</definedName>
    <definedName name="sample" localSheetId="1">ImportQGIS!$AD$1:$BG$312</definedName>
    <definedName name="sample_1" localSheetId="1">ImportQGIS!$AD$1:$BF$158</definedName>
    <definedName name="sample_2" localSheetId="1">ImportQGIS!$AD$1:$BF$161</definedName>
    <definedName name="sample_3" localSheetId="1">ImportQGIS!$AD$1:$BF$161</definedName>
    <definedName name="sample_4" localSheetId="1">ImportQGIS!$AD$1:$BG$312</definedName>
    <definedName name="sample_5" localSheetId="1">ImportQGIS!$A$1:$AD$312</definedName>
    <definedName name="sample_6" localSheetId="1">ImportQGIS!$A$1:$AD$312</definedName>
    <definedName name="sample_7" localSheetId="1">ImportQGIS!$A$1:$AD$312</definedName>
    <definedName name="sample_8" localSheetId="1">ImportQGIS!$A$1:$AD$312</definedName>
    <definedName name="sample_9" localSheetId="1">ImportQGIS!$A$1:$AD$37</definedName>
    <definedName name="Teste">'A14'!$B$17:$B$27</definedName>
    <definedName name="_xlnm.Print_Titles" localSheetId="4">RedBasica_print!$1:$14</definedName>
  </definedNames>
  <calcPr calcId="181029"/>
</workbook>
</file>

<file path=xl/calcChain.xml><?xml version="1.0" encoding="utf-8"?>
<calcChain xmlns="http://schemas.openxmlformats.org/spreadsheetml/2006/main">
  <c r="A16" i="18" l="1"/>
  <c r="B16" i="18"/>
  <c r="A17" i="18"/>
  <c r="B17" i="18"/>
  <c r="A18" i="18"/>
  <c r="B18" i="18"/>
  <c r="A19" i="18"/>
  <c r="B19" i="18"/>
  <c r="A20" i="18"/>
  <c r="B20" i="18"/>
  <c r="A21" i="18"/>
  <c r="B21" i="18"/>
  <c r="A22" i="18"/>
  <c r="B22" i="18"/>
  <c r="A23" i="18"/>
  <c r="B23" i="18"/>
  <c r="A24" i="18"/>
  <c r="B24" i="18"/>
  <c r="A25" i="18"/>
  <c r="B25" i="18"/>
  <c r="A26" i="18"/>
  <c r="B26" i="18"/>
  <c r="A27" i="18"/>
  <c r="B27" i="18"/>
  <c r="A28" i="18"/>
  <c r="B28" i="18"/>
  <c r="A29" i="18"/>
  <c r="B29" i="18"/>
  <c r="A30" i="18"/>
  <c r="B30" i="18"/>
  <c r="A31" i="18"/>
  <c r="B31" i="18"/>
  <c r="A32" i="18"/>
  <c r="B32" i="18"/>
  <c r="A33" i="18"/>
  <c r="B33" i="18"/>
  <c r="A34" i="18"/>
  <c r="B34" i="18"/>
  <c r="A35" i="18"/>
  <c r="B35" i="18"/>
  <c r="A36" i="18"/>
  <c r="B36" i="18"/>
  <c r="A37" i="18"/>
  <c r="B37" i="18"/>
  <c r="A38" i="18"/>
  <c r="B38" i="18"/>
  <c r="A39" i="18"/>
  <c r="B39" i="18"/>
  <c r="A40" i="18"/>
  <c r="B40" i="18"/>
  <c r="A41" i="18"/>
  <c r="B41" i="18"/>
  <c r="A42" i="18"/>
  <c r="B42" i="18"/>
  <c r="A43" i="18"/>
  <c r="B43" i="18"/>
  <c r="A44" i="18"/>
  <c r="B44" i="18"/>
  <c r="A45" i="18"/>
  <c r="B45" i="18"/>
  <c r="A46" i="18"/>
  <c r="B46" i="18"/>
  <c r="A47" i="18"/>
  <c r="B47" i="18"/>
  <c r="A48" i="18"/>
  <c r="B48" i="18"/>
  <c r="A49" i="18"/>
  <c r="B49" i="18"/>
  <c r="A50" i="18"/>
  <c r="B50" i="18"/>
  <c r="A16" i="20"/>
  <c r="B16" i="20"/>
  <c r="C16" i="20"/>
  <c r="A17" i="20"/>
  <c r="B17" i="20"/>
  <c r="C17" i="20"/>
  <c r="A18" i="20"/>
  <c r="B18" i="20"/>
  <c r="C18" i="20"/>
  <c r="A19" i="20"/>
  <c r="Q15" i="17" s="1"/>
  <c r="B19" i="20"/>
  <c r="C19" i="20"/>
  <c r="A20" i="20"/>
  <c r="B20" i="20"/>
  <c r="C20" i="20"/>
  <c r="A21" i="20"/>
  <c r="B21" i="20"/>
  <c r="C21" i="20"/>
  <c r="A22" i="20"/>
  <c r="B22" i="20"/>
  <c r="C22" i="20"/>
  <c r="A23" i="20"/>
  <c r="B23" i="20"/>
  <c r="C23" i="20"/>
  <c r="A24" i="20"/>
  <c r="B24" i="20"/>
  <c r="C24" i="20"/>
  <c r="A25" i="20"/>
  <c r="B25" i="20"/>
  <c r="C25" i="20"/>
  <c r="A26" i="20"/>
  <c r="B26" i="20"/>
  <c r="C26" i="20"/>
  <c r="A27" i="20"/>
  <c r="B27" i="20"/>
  <c r="C27" i="20"/>
  <c r="A28" i="20"/>
  <c r="B28" i="20"/>
  <c r="C28" i="20"/>
  <c r="A29" i="20"/>
  <c r="B29" i="20"/>
  <c r="C29" i="20"/>
  <c r="A30" i="20"/>
  <c r="B30" i="20"/>
  <c r="C30" i="20"/>
  <c r="A31" i="20"/>
  <c r="B31" i="20"/>
  <c r="C31" i="20"/>
  <c r="A32" i="20"/>
  <c r="B32" i="20"/>
  <c r="C32" i="20"/>
  <c r="A33" i="20"/>
  <c r="B33" i="20"/>
  <c r="C33" i="20"/>
  <c r="A34" i="20"/>
  <c r="B34" i="20"/>
  <c r="C34" i="20"/>
  <c r="A35" i="20"/>
  <c r="B35" i="20"/>
  <c r="C35" i="20"/>
  <c r="A36" i="20"/>
  <c r="B36" i="20"/>
  <c r="C36" i="20"/>
  <c r="A37" i="20"/>
  <c r="B37" i="20"/>
  <c r="C37" i="20"/>
  <c r="A38" i="20"/>
  <c r="B38" i="20"/>
  <c r="C38" i="20"/>
  <c r="A39" i="20"/>
  <c r="B39" i="20"/>
  <c r="C39" i="20"/>
  <c r="A40" i="20"/>
  <c r="B40" i="20"/>
  <c r="C40" i="20"/>
  <c r="A41" i="20"/>
  <c r="B41" i="20"/>
  <c r="C41" i="20"/>
  <c r="A42" i="20"/>
  <c r="B42" i="20"/>
  <c r="C42" i="20"/>
  <c r="A43" i="20"/>
  <c r="B43" i="20"/>
  <c r="C43" i="20"/>
  <c r="A44" i="20"/>
  <c r="B44" i="20"/>
  <c r="C44" i="20"/>
  <c r="A45" i="20"/>
  <c r="B45" i="20"/>
  <c r="C45" i="20"/>
  <c r="A46" i="20"/>
  <c r="B46" i="20"/>
  <c r="C46" i="20"/>
  <c r="A47" i="20"/>
  <c r="B47" i="20"/>
  <c r="C47" i="20"/>
  <c r="A48" i="20"/>
  <c r="B48" i="20"/>
  <c r="C48" i="20"/>
  <c r="A49" i="20"/>
  <c r="B49" i="20"/>
  <c r="C49" i="20"/>
  <c r="A50" i="20"/>
  <c r="B50" i="20"/>
  <c r="C50" i="20"/>
  <c r="A16" i="17"/>
  <c r="B16" i="17"/>
  <c r="C16" i="17"/>
  <c r="D16" i="17"/>
  <c r="AC16" i="17"/>
  <c r="AH16" i="17"/>
  <c r="A17" i="17"/>
  <c r="B17" i="17"/>
  <c r="C17" i="17"/>
  <c r="D17" i="17"/>
  <c r="AC17" i="17"/>
  <c r="AH17" i="17"/>
  <c r="A18" i="17"/>
  <c r="B18" i="17"/>
  <c r="C18" i="17"/>
  <c r="D18" i="17"/>
  <c r="AC18" i="17"/>
  <c r="AH18" i="17"/>
  <c r="A19" i="17"/>
  <c r="B19" i="17"/>
  <c r="C19" i="17"/>
  <c r="D19" i="17"/>
  <c r="AC19" i="17"/>
  <c r="AH19" i="17"/>
  <c r="A20" i="17"/>
  <c r="B20" i="17"/>
  <c r="C20" i="17"/>
  <c r="D20" i="17"/>
  <c r="AC20" i="17"/>
  <c r="AH20" i="17"/>
  <c r="A21" i="17"/>
  <c r="B21" i="17"/>
  <c r="C21" i="17"/>
  <c r="D21" i="17"/>
  <c r="AC21" i="17"/>
  <c r="AH21" i="17"/>
  <c r="A22" i="17"/>
  <c r="B22" i="17"/>
  <c r="C22" i="17"/>
  <c r="D22" i="17"/>
  <c r="AC22" i="17"/>
  <c r="AH22" i="17"/>
  <c r="A23" i="17"/>
  <c r="B23" i="17"/>
  <c r="C23" i="17"/>
  <c r="D23" i="17"/>
  <c r="AC23" i="17"/>
  <c r="AH23" i="17"/>
  <c r="A24" i="17"/>
  <c r="B24" i="17"/>
  <c r="C24" i="17"/>
  <c r="D24" i="17"/>
  <c r="AC24" i="17"/>
  <c r="AH24" i="17"/>
  <c r="A25" i="17"/>
  <c r="B25" i="17"/>
  <c r="C25" i="17"/>
  <c r="D25" i="17"/>
  <c r="AC25" i="17"/>
  <c r="AH25" i="17"/>
  <c r="A26" i="17"/>
  <c r="B26" i="17"/>
  <c r="C26" i="17"/>
  <c r="D26" i="17"/>
  <c r="AC26" i="17"/>
  <c r="AH26" i="17"/>
  <c r="A27" i="17"/>
  <c r="B27" i="17"/>
  <c r="C27" i="17"/>
  <c r="D27" i="17"/>
  <c r="AC27" i="17"/>
  <c r="AH27" i="17"/>
  <c r="A28" i="17"/>
  <c r="B28" i="17"/>
  <c r="C28" i="17"/>
  <c r="D28" i="17"/>
  <c r="AC28" i="17"/>
  <c r="AH28" i="17"/>
  <c r="A29" i="17"/>
  <c r="B29" i="17"/>
  <c r="C29" i="17"/>
  <c r="D29" i="17"/>
  <c r="AC29" i="17"/>
  <c r="AH29" i="17"/>
  <c r="A30" i="17"/>
  <c r="B30" i="17"/>
  <c r="C30" i="17"/>
  <c r="D30" i="17"/>
  <c r="AC30" i="17"/>
  <c r="AH30" i="17"/>
  <c r="A31" i="17"/>
  <c r="B31" i="17"/>
  <c r="C31" i="17"/>
  <c r="D31" i="17"/>
  <c r="AC31" i="17"/>
  <c r="AH31" i="17"/>
  <c r="A32" i="17"/>
  <c r="B32" i="17"/>
  <c r="C32" i="17"/>
  <c r="D32" i="17"/>
  <c r="Q32" i="17"/>
  <c r="AC32" i="17"/>
  <c r="AH32" i="17"/>
  <c r="A33" i="17"/>
  <c r="B33" i="17"/>
  <c r="C33" i="17"/>
  <c r="D33" i="17"/>
  <c r="AC33" i="17"/>
  <c r="AH33" i="17"/>
  <c r="A34" i="17"/>
  <c r="B34" i="17"/>
  <c r="C34" i="17"/>
  <c r="D34" i="17"/>
  <c r="AC34" i="17"/>
  <c r="AH34" i="17"/>
  <c r="A35" i="17"/>
  <c r="B35" i="17"/>
  <c r="C35" i="17"/>
  <c r="D35" i="17"/>
  <c r="AC35" i="17"/>
  <c r="AH35" i="17"/>
  <c r="A36" i="17"/>
  <c r="B36" i="17"/>
  <c r="C36" i="17"/>
  <c r="D36" i="17"/>
  <c r="AC36" i="17"/>
  <c r="AH36" i="17"/>
  <c r="A37" i="17"/>
  <c r="B37" i="17"/>
  <c r="C37" i="17"/>
  <c r="D37" i="17"/>
  <c r="AC37" i="17"/>
  <c r="AH37" i="17"/>
  <c r="A38" i="17"/>
  <c r="B38" i="17"/>
  <c r="C38" i="17"/>
  <c r="D38" i="17"/>
  <c r="AC38" i="17"/>
  <c r="AH38" i="17"/>
  <c r="A39" i="17"/>
  <c r="B39" i="17"/>
  <c r="C39" i="17"/>
  <c r="D39" i="17"/>
  <c r="AC39" i="17"/>
  <c r="AH39" i="17"/>
  <c r="A40" i="17"/>
  <c r="B40" i="17"/>
  <c r="C40" i="17"/>
  <c r="D40" i="17"/>
  <c r="AC40" i="17"/>
  <c r="AH40" i="17"/>
  <c r="A41" i="17"/>
  <c r="B41" i="17"/>
  <c r="C41" i="17"/>
  <c r="D41" i="17"/>
  <c r="AC41" i="17"/>
  <c r="AH41" i="17"/>
  <c r="A42" i="17"/>
  <c r="B42" i="17"/>
  <c r="C42" i="17"/>
  <c r="D42" i="17"/>
  <c r="Q42" i="17"/>
  <c r="V42" i="17" s="1"/>
  <c r="AC42" i="17"/>
  <c r="AH42" i="17"/>
  <c r="A43" i="17"/>
  <c r="B43" i="17"/>
  <c r="C43" i="17"/>
  <c r="D43" i="17"/>
  <c r="AC43" i="17"/>
  <c r="AH43" i="17"/>
  <c r="A44" i="17"/>
  <c r="B44" i="17"/>
  <c r="C44" i="17"/>
  <c r="D44" i="17"/>
  <c r="AC44" i="17"/>
  <c r="AH44" i="17"/>
  <c r="A45" i="17"/>
  <c r="B45" i="17"/>
  <c r="C45" i="17"/>
  <c r="D45" i="17"/>
  <c r="AC45" i="17"/>
  <c r="AH45" i="17"/>
  <c r="A46" i="17"/>
  <c r="B46" i="17"/>
  <c r="C46" i="17"/>
  <c r="D46" i="17"/>
  <c r="AC46" i="17"/>
  <c r="AH46" i="17"/>
  <c r="A47" i="17"/>
  <c r="B47" i="17"/>
  <c r="C47" i="17"/>
  <c r="D47" i="17"/>
  <c r="AC47" i="17"/>
  <c r="AH47" i="17"/>
  <c r="A48" i="17"/>
  <c r="B48" i="17"/>
  <c r="C48" i="17"/>
  <c r="D48" i="17"/>
  <c r="AC48" i="17"/>
  <c r="AH48" i="17"/>
  <c r="A49" i="17"/>
  <c r="B49" i="17"/>
  <c r="C49" i="17"/>
  <c r="D49" i="17"/>
  <c r="AC49" i="17"/>
  <c r="AH49" i="17"/>
  <c r="A50" i="17"/>
  <c r="B50" i="17"/>
  <c r="C50" i="17"/>
  <c r="D50" i="17"/>
  <c r="Q50" i="17"/>
  <c r="V50" i="17" s="1"/>
  <c r="AC50" i="17"/>
  <c r="AH50" i="17"/>
  <c r="A16" i="16"/>
  <c r="B16" i="16"/>
  <c r="E16" i="16"/>
  <c r="G16" i="16"/>
  <c r="K16" i="16"/>
  <c r="M16" i="16"/>
  <c r="A17" i="16"/>
  <c r="B17" i="16"/>
  <c r="D17" i="16"/>
  <c r="E17" i="16"/>
  <c r="G17" i="16"/>
  <c r="J17" i="16"/>
  <c r="K17" i="16"/>
  <c r="M17" i="16"/>
  <c r="A18" i="16"/>
  <c r="B18" i="16"/>
  <c r="D18" i="16"/>
  <c r="E18" i="16"/>
  <c r="G18" i="16"/>
  <c r="J18" i="16"/>
  <c r="K18" i="16"/>
  <c r="M18" i="16"/>
  <c r="A19" i="16"/>
  <c r="B19" i="16"/>
  <c r="D19" i="16"/>
  <c r="E19" i="16"/>
  <c r="G19" i="16"/>
  <c r="J19" i="16"/>
  <c r="K19" i="16"/>
  <c r="M19" i="16"/>
  <c r="A20" i="16"/>
  <c r="B20" i="16"/>
  <c r="D20" i="16"/>
  <c r="E20" i="16"/>
  <c r="G20" i="16"/>
  <c r="J20" i="16"/>
  <c r="K20" i="16"/>
  <c r="M20" i="16"/>
  <c r="A21" i="16"/>
  <c r="B21" i="16"/>
  <c r="E21" i="16"/>
  <c r="G21" i="16"/>
  <c r="K21" i="16"/>
  <c r="M21" i="16"/>
  <c r="A22" i="16"/>
  <c r="B22" i="16"/>
  <c r="E22" i="16"/>
  <c r="G22" i="16"/>
  <c r="K22" i="16"/>
  <c r="M22" i="16"/>
  <c r="A23" i="16"/>
  <c r="B23" i="16"/>
  <c r="D23" i="16"/>
  <c r="E23" i="16"/>
  <c r="G23" i="16"/>
  <c r="J23" i="16"/>
  <c r="K23" i="16"/>
  <c r="M23" i="16"/>
  <c r="A24" i="16"/>
  <c r="B24" i="16"/>
  <c r="E24" i="16"/>
  <c r="G24" i="16"/>
  <c r="K24" i="16"/>
  <c r="M24" i="16"/>
  <c r="A25" i="16"/>
  <c r="B25" i="16"/>
  <c r="D25" i="16"/>
  <c r="E25" i="16"/>
  <c r="G25" i="16"/>
  <c r="J25" i="16"/>
  <c r="K25" i="16"/>
  <c r="M25" i="16"/>
  <c r="A26" i="16"/>
  <c r="B26" i="16"/>
  <c r="E26" i="16"/>
  <c r="G26" i="16"/>
  <c r="K26" i="16"/>
  <c r="M26" i="16"/>
  <c r="A27" i="16"/>
  <c r="B27" i="16"/>
  <c r="C27" i="16"/>
  <c r="D27" i="16"/>
  <c r="F27" i="16" s="1"/>
  <c r="E27" i="16"/>
  <c r="G27" i="16"/>
  <c r="I27" i="16"/>
  <c r="J27" i="16"/>
  <c r="K27" i="16"/>
  <c r="M27" i="16"/>
  <c r="A28" i="16"/>
  <c r="B28" i="16"/>
  <c r="D28" i="16"/>
  <c r="E28" i="16"/>
  <c r="G28" i="16"/>
  <c r="J28" i="16"/>
  <c r="K28" i="16"/>
  <c r="M28" i="16"/>
  <c r="A29" i="16"/>
  <c r="B29" i="16"/>
  <c r="D29" i="16"/>
  <c r="E29" i="16"/>
  <c r="G29" i="16"/>
  <c r="J29" i="16"/>
  <c r="K29" i="16"/>
  <c r="M29" i="16"/>
  <c r="A30" i="16"/>
  <c r="B30" i="16"/>
  <c r="D30" i="16"/>
  <c r="E30" i="16"/>
  <c r="G30" i="16"/>
  <c r="J30" i="16"/>
  <c r="K30" i="16"/>
  <c r="M30" i="16"/>
  <c r="A31" i="16"/>
  <c r="B31" i="16"/>
  <c r="D31" i="16"/>
  <c r="E31" i="16"/>
  <c r="G31" i="16"/>
  <c r="J31" i="16"/>
  <c r="K31" i="16"/>
  <c r="M31" i="16"/>
  <c r="A32" i="16"/>
  <c r="B32" i="16"/>
  <c r="C32" i="16"/>
  <c r="D32" i="16"/>
  <c r="E32" i="16"/>
  <c r="G32" i="16"/>
  <c r="I32" i="16"/>
  <c r="J32" i="16"/>
  <c r="K32" i="16"/>
  <c r="L32" i="16"/>
  <c r="M32" i="16"/>
  <c r="A33" i="16"/>
  <c r="B33" i="16"/>
  <c r="D33" i="16"/>
  <c r="E33" i="16"/>
  <c r="G33" i="16"/>
  <c r="J33" i="16"/>
  <c r="K33" i="16"/>
  <c r="M33" i="16"/>
  <c r="A34" i="16"/>
  <c r="B34" i="16"/>
  <c r="C34" i="16"/>
  <c r="D34" i="16"/>
  <c r="E34" i="16"/>
  <c r="G34" i="16"/>
  <c r="I34" i="16"/>
  <c r="L34" i="16" s="1"/>
  <c r="J34" i="16"/>
  <c r="K34" i="16"/>
  <c r="M34" i="16"/>
  <c r="A35" i="16"/>
  <c r="B35" i="16"/>
  <c r="D35" i="16"/>
  <c r="E35" i="16"/>
  <c r="G35" i="16"/>
  <c r="J35" i="16"/>
  <c r="K35" i="16"/>
  <c r="M35" i="16"/>
  <c r="A36" i="16"/>
  <c r="B36" i="16"/>
  <c r="D36" i="16"/>
  <c r="E36" i="16"/>
  <c r="G36" i="16"/>
  <c r="J36" i="16"/>
  <c r="K36" i="16"/>
  <c r="M36" i="16"/>
  <c r="A37" i="16"/>
  <c r="B37" i="16"/>
  <c r="D37" i="16"/>
  <c r="E37" i="16"/>
  <c r="G37" i="16"/>
  <c r="J37" i="16"/>
  <c r="K37" i="16"/>
  <c r="M37" i="16"/>
  <c r="A38" i="16"/>
  <c r="B38" i="16"/>
  <c r="D38" i="16"/>
  <c r="E38" i="16"/>
  <c r="G38" i="16"/>
  <c r="J38" i="16"/>
  <c r="K38" i="16"/>
  <c r="M38" i="16"/>
  <c r="A39" i="16"/>
  <c r="B39" i="16"/>
  <c r="D39" i="16"/>
  <c r="E39" i="16"/>
  <c r="G39" i="16"/>
  <c r="J39" i="16"/>
  <c r="K39" i="16"/>
  <c r="M39" i="16"/>
  <c r="A40" i="16"/>
  <c r="B40" i="16"/>
  <c r="E40" i="16"/>
  <c r="G40" i="16"/>
  <c r="K40" i="16"/>
  <c r="M40" i="16"/>
  <c r="A41" i="16"/>
  <c r="B41" i="16"/>
  <c r="D41" i="16"/>
  <c r="E41" i="16"/>
  <c r="G41" i="16"/>
  <c r="J41" i="16"/>
  <c r="K41" i="16"/>
  <c r="M41" i="16"/>
  <c r="A42" i="16"/>
  <c r="B42" i="16"/>
  <c r="C42" i="16"/>
  <c r="D42" i="16"/>
  <c r="E42" i="16"/>
  <c r="G42" i="16"/>
  <c r="I42" i="16"/>
  <c r="L42" i="16" s="1"/>
  <c r="J42" i="16"/>
  <c r="K42" i="16"/>
  <c r="M42" i="16"/>
  <c r="A43" i="16"/>
  <c r="B43" i="16"/>
  <c r="D43" i="16"/>
  <c r="E43" i="16"/>
  <c r="G43" i="16"/>
  <c r="J43" i="16"/>
  <c r="K43" i="16"/>
  <c r="M43" i="16"/>
  <c r="A44" i="16"/>
  <c r="B44" i="16"/>
  <c r="D44" i="16"/>
  <c r="E44" i="16"/>
  <c r="G44" i="16"/>
  <c r="J44" i="16"/>
  <c r="K44" i="16"/>
  <c r="M44" i="16"/>
  <c r="A45" i="16"/>
  <c r="B45" i="16"/>
  <c r="C45" i="16"/>
  <c r="F45" i="16" s="1"/>
  <c r="D45" i="16"/>
  <c r="E45" i="16"/>
  <c r="G45" i="16"/>
  <c r="I45" i="16"/>
  <c r="J45" i="16"/>
  <c r="L45" i="16" s="1"/>
  <c r="K45" i="16"/>
  <c r="M45" i="16"/>
  <c r="A46" i="16"/>
  <c r="B46" i="16"/>
  <c r="D46" i="16"/>
  <c r="E46" i="16"/>
  <c r="G46" i="16"/>
  <c r="J46" i="16"/>
  <c r="K46" i="16"/>
  <c r="M46" i="16"/>
  <c r="A47" i="16"/>
  <c r="B47" i="16"/>
  <c r="D47" i="16"/>
  <c r="E47" i="16"/>
  <c r="G47" i="16"/>
  <c r="J47" i="16"/>
  <c r="K47" i="16"/>
  <c r="M47" i="16"/>
  <c r="A48" i="16"/>
  <c r="B48" i="16"/>
  <c r="D48" i="16"/>
  <c r="E48" i="16"/>
  <c r="G48" i="16"/>
  <c r="J48" i="16"/>
  <c r="K48" i="16"/>
  <c r="M48" i="16"/>
  <c r="A49" i="16"/>
  <c r="B49" i="16"/>
  <c r="D49" i="16"/>
  <c r="E49" i="16"/>
  <c r="G49" i="16"/>
  <c r="J49" i="16"/>
  <c r="K49" i="16"/>
  <c r="M49" i="16"/>
  <c r="A50" i="16"/>
  <c r="B50" i="16"/>
  <c r="C50" i="16"/>
  <c r="D50" i="16"/>
  <c r="F50" i="16" s="1"/>
  <c r="E50" i="16"/>
  <c r="G50" i="16"/>
  <c r="I50" i="16"/>
  <c r="J50" i="16"/>
  <c r="L50" i="16" s="1"/>
  <c r="K50" i="16"/>
  <c r="M50" i="16"/>
  <c r="M16" i="1"/>
  <c r="S16" i="1"/>
  <c r="AE16" i="1"/>
  <c r="M17" i="1"/>
  <c r="S17" i="1"/>
  <c r="AE17" i="1"/>
  <c r="M18" i="1"/>
  <c r="S18" i="1"/>
  <c r="AE18" i="1"/>
  <c r="M19" i="1"/>
  <c r="S19" i="1"/>
  <c r="AE19" i="1"/>
  <c r="M20" i="1"/>
  <c r="S20" i="1"/>
  <c r="AE20" i="1"/>
  <c r="M21" i="1"/>
  <c r="S21" i="1"/>
  <c r="AE21" i="1"/>
  <c r="M22" i="1"/>
  <c r="S22" i="1"/>
  <c r="AE22" i="1"/>
  <c r="M23" i="1"/>
  <c r="S23" i="1"/>
  <c r="AE23" i="1"/>
  <c r="M24" i="1"/>
  <c r="S24" i="1"/>
  <c r="AE24" i="1"/>
  <c r="M25" i="1"/>
  <c r="S25" i="1"/>
  <c r="AE25" i="1"/>
  <c r="M26" i="1"/>
  <c r="S26" i="1"/>
  <c r="AE26" i="1"/>
  <c r="M27" i="1"/>
  <c r="S27" i="1"/>
  <c r="V27" i="1"/>
  <c r="I27" i="17" s="1"/>
  <c r="AE27" i="1"/>
  <c r="AJ27" i="1"/>
  <c r="AK27" i="1"/>
  <c r="AX27" i="1"/>
  <c r="M28" i="1"/>
  <c r="S28" i="1"/>
  <c r="AE28" i="1"/>
  <c r="AJ28" i="1"/>
  <c r="M29" i="1"/>
  <c r="S29" i="1"/>
  <c r="AE29" i="1"/>
  <c r="M30" i="1"/>
  <c r="S30" i="1"/>
  <c r="AE30" i="1"/>
  <c r="M31" i="1"/>
  <c r="S31" i="1"/>
  <c r="AE31" i="1"/>
  <c r="M32" i="1"/>
  <c r="S32" i="1"/>
  <c r="AE32" i="1"/>
  <c r="AJ32" i="1"/>
  <c r="AF32" i="1" s="1"/>
  <c r="M33" i="1"/>
  <c r="S33" i="1"/>
  <c r="AE33" i="1"/>
  <c r="M34" i="1"/>
  <c r="S34" i="1"/>
  <c r="AE34" i="1"/>
  <c r="AJ34" i="1"/>
  <c r="AF34" i="1" s="1"/>
  <c r="M35" i="1"/>
  <c r="S35" i="1"/>
  <c r="AE35" i="1"/>
  <c r="AJ35" i="1"/>
  <c r="M36" i="1"/>
  <c r="S36" i="1"/>
  <c r="AE36" i="1"/>
  <c r="M37" i="1"/>
  <c r="S37" i="1"/>
  <c r="AE37" i="1"/>
  <c r="M38" i="1"/>
  <c r="S38" i="1"/>
  <c r="AE38" i="1"/>
  <c r="M39" i="1"/>
  <c r="S39" i="1"/>
  <c r="AE39" i="1"/>
  <c r="M40" i="1"/>
  <c r="S40" i="1"/>
  <c r="AE40" i="1"/>
  <c r="M41" i="1"/>
  <c r="S41" i="1"/>
  <c r="AE41" i="1"/>
  <c r="M42" i="1"/>
  <c r="S42" i="1"/>
  <c r="AE42" i="1"/>
  <c r="AF42" i="1"/>
  <c r="AJ42" i="1"/>
  <c r="M43" i="1"/>
  <c r="S43" i="1"/>
  <c r="AE43" i="1"/>
  <c r="AJ43" i="1"/>
  <c r="AF43" i="1" s="1"/>
  <c r="M44" i="1"/>
  <c r="S44" i="1"/>
  <c r="AE44" i="1"/>
  <c r="AJ44" i="1"/>
  <c r="AG44" i="1" s="1"/>
  <c r="M45" i="1"/>
  <c r="S45" i="1"/>
  <c r="AE45" i="1"/>
  <c r="AJ45" i="1"/>
  <c r="AJ45" i="17" s="1"/>
  <c r="M46" i="1"/>
  <c r="S46" i="1"/>
  <c r="AE46" i="1"/>
  <c r="M47" i="1"/>
  <c r="S47" i="1"/>
  <c r="AE47" i="1"/>
  <c r="M48" i="1"/>
  <c r="S48" i="1"/>
  <c r="AE48" i="1"/>
  <c r="M49" i="1"/>
  <c r="S49" i="1"/>
  <c r="AE49" i="1"/>
  <c r="M50" i="1"/>
  <c r="S50" i="1"/>
  <c r="AE50" i="1"/>
  <c r="AJ50" i="1"/>
  <c r="AJ50" i="17" s="1"/>
  <c r="B15" i="18"/>
  <c r="A15" i="18"/>
  <c r="C15" i="20"/>
  <c r="B15" i="20"/>
  <c r="A15" i="20"/>
  <c r="AH15" i="17"/>
  <c r="AC15" i="17"/>
  <c r="W15" i="17"/>
  <c r="AB15" i="17" s="1"/>
  <c r="K15" i="17"/>
  <c r="E15" i="17"/>
  <c r="D15" i="17"/>
  <c r="C15" i="17"/>
  <c r="B15" i="17"/>
  <c r="A15" i="17"/>
  <c r="M15" i="16"/>
  <c r="K15" i="16"/>
  <c r="J15" i="16"/>
  <c r="I15" i="16"/>
  <c r="G15" i="16"/>
  <c r="E15" i="16"/>
  <c r="D15" i="16"/>
  <c r="C15" i="16"/>
  <c r="F15" i="16" s="1"/>
  <c r="B15" i="16"/>
  <c r="A15" i="16"/>
  <c r="AJ15" i="1"/>
  <c r="AK15" i="1" s="1"/>
  <c r="AE15" i="1"/>
  <c r="S15" i="1"/>
  <c r="M15" i="1"/>
  <c r="G9" i="1"/>
  <c r="G8" i="1"/>
  <c r="G7" i="1"/>
  <c r="G6" i="1"/>
  <c r="G5" i="1"/>
  <c r="F37" i="21"/>
  <c r="F36" i="21"/>
  <c r="F25" i="21"/>
  <c r="F24" i="21"/>
  <c r="T27" i="1" l="1"/>
  <c r="O27" i="17" s="1"/>
  <c r="AJ46" i="1"/>
  <c r="Y15" i="17"/>
  <c r="L37" i="17"/>
  <c r="L39" i="17"/>
  <c r="L41" i="17"/>
  <c r="L43" i="17"/>
  <c r="L45" i="17"/>
  <c r="L47" i="17"/>
  <c r="L49" i="17"/>
  <c r="X37" i="17"/>
  <c r="X39" i="17"/>
  <c r="X41" i="17"/>
  <c r="X43" i="17"/>
  <c r="X45" i="17"/>
  <c r="X47" i="17"/>
  <c r="X49" i="17"/>
  <c r="R37" i="17"/>
  <c r="R39" i="17"/>
  <c r="R41" i="17"/>
  <c r="R43" i="17"/>
  <c r="R45" i="17"/>
  <c r="R47" i="17"/>
  <c r="R49" i="17"/>
  <c r="F41" i="17"/>
  <c r="F47" i="17"/>
  <c r="F49" i="17"/>
  <c r="M34" i="17"/>
  <c r="F37" i="17"/>
  <c r="F39" i="17"/>
  <c r="G15" i="17"/>
  <c r="F43" i="17"/>
  <c r="F45" i="17"/>
  <c r="AJ36" i="1"/>
  <c r="AF35" i="1"/>
  <c r="AJ28" i="17"/>
  <c r="AG28" i="1"/>
  <c r="AK28" i="1"/>
  <c r="AJ29" i="1"/>
  <c r="G35" i="17"/>
  <c r="Y33" i="17"/>
  <c r="G28" i="17"/>
  <c r="AJ33" i="1"/>
  <c r="AF33" i="1" s="1"/>
  <c r="AJ16" i="1"/>
  <c r="F42" i="16"/>
  <c r="F34" i="16"/>
  <c r="Y34" i="17"/>
  <c r="Y30" i="17"/>
  <c r="R50" i="17"/>
  <c r="F50" i="17"/>
  <c r="L50" i="17"/>
  <c r="R48" i="17"/>
  <c r="F48" i="17"/>
  <c r="L48" i="17"/>
  <c r="R46" i="17"/>
  <c r="F46" i="17"/>
  <c r="L46" i="17"/>
  <c r="R44" i="17"/>
  <c r="F44" i="17"/>
  <c r="L44" i="17"/>
  <c r="R42" i="17"/>
  <c r="F42" i="17"/>
  <c r="L42" i="17"/>
  <c r="R38" i="17"/>
  <c r="F38" i="17"/>
  <c r="L38" i="17"/>
  <c r="R36" i="17"/>
  <c r="F36" i="17"/>
  <c r="L36" i="17"/>
  <c r="Y31" i="17"/>
  <c r="X15" i="17"/>
  <c r="Z15" i="17" s="1"/>
  <c r="W27" i="17"/>
  <c r="AB27" i="17" s="1"/>
  <c r="AD27" i="17" s="1"/>
  <c r="W32" i="17"/>
  <c r="Q34" i="17"/>
  <c r="W45" i="17"/>
  <c r="AB45" i="17" s="1"/>
  <c r="W34" i="17"/>
  <c r="AB34" i="17" s="1"/>
  <c r="Q45" i="17"/>
  <c r="V45" i="17" s="1"/>
  <c r="W42" i="17"/>
  <c r="AB42" i="17" s="1"/>
  <c r="W50" i="17"/>
  <c r="AB50" i="17" s="1"/>
  <c r="AJ27" i="17"/>
  <c r="AG27" i="1"/>
  <c r="X50" i="17"/>
  <c r="X48" i="17"/>
  <c r="X46" i="17"/>
  <c r="X44" i="17"/>
  <c r="X42" i="17"/>
  <c r="X38" i="17"/>
  <c r="X36" i="17"/>
  <c r="Y32" i="17"/>
  <c r="Q27" i="17"/>
  <c r="F32" i="16"/>
  <c r="G41" i="17"/>
  <c r="G39" i="17"/>
  <c r="G37" i="17"/>
  <c r="R35" i="17"/>
  <c r="X35" i="17"/>
  <c r="L35" i="17"/>
  <c r="L27" i="16"/>
  <c r="G40" i="17"/>
  <c r="G38" i="17"/>
  <c r="G36" i="17"/>
  <c r="AK50" i="1"/>
  <c r="AG50" i="1"/>
  <c r="V50" i="1"/>
  <c r="AK46" i="1"/>
  <c r="AG46" i="1"/>
  <c r="AK45" i="1"/>
  <c r="AG45" i="1"/>
  <c r="V45" i="1"/>
  <c r="AK44" i="1"/>
  <c r="AJ33" i="17"/>
  <c r="AG33" i="1"/>
  <c r="AK33" i="1"/>
  <c r="AC27" i="1"/>
  <c r="H49" i="16"/>
  <c r="H45" i="16"/>
  <c r="N45" i="1" s="1"/>
  <c r="H41" i="16"/>
  <c r="H37" i="16"/>
  <c r="H33" i="16"/>
  <c r="H29" i="16"/>
  <c r="AF46" i="1"/>
  <c r="AF45" i="1"/>
  <c r="AJ44" i="17"/>
  <c r="AF44" i="1"/>
  <c r="N16" i="16"/>
  <c r="N18" i="16"/>
  <c r="N20" i="16"/>
  <c r="N22" i="16"/>
  <c r="N24" i="16"/>
  <c r="N17" i="16"/>
  <c r="N19" i="16"/>
  <c r="N21" i="16"/>
  <c r="N23" i="16"/>
  <c r="N25" i="16"/>
  <c r="N26" i="16"/>
  <c r="N28" i="16"/>
  <c r="N30" i="16"/>
  <c r="N32" i="16"/>
  <c r="O32" i="1" s="1"/>
  <c r="N34" i="16"/>
  <c r="O34" i="1" s="1"/>
  <c r="N36" i="16"/>
  <c r="N38" i="16"/>
  <c r="N40" i="16"/>
  <c r="N42" i="16"/>
  <c r="O42" i="1" s="1"/>
  <c r="N44" i="16"/>
  <c r="N46" i="16"/>
  <c r="N48" i="16"/>
  <c r="N50" i="16"/>
  <c r="O50" i="1" s="1"/>
  <c r="N27" i="16"/>
  <c r="N29" i="16"/>
  <c r="N31" i="16"/>
  <c r="N33" i="16"/>
  <c r="N35" i="16"/>
  <c r="N37" i="16"/>
  <c r="N39" i="16"/>
  <c r="N41" i="16"/>
  <c r="N43" i="16"/>
  <c r="N45" i="16"/>
  <c r="O45" i="1" s="1"/>
  <c r="N47" i="16"/>
  <c r="N49" i="16"/>
  <c r="L15" i="16"/>
  <c r="O15" i="1"/>
  <c r="AF50" i="1"/>
  <c r="H16" i="16"/>
  <c r="H18" i="16"/>
  <c r="H20" i="16"/>
  <c r="H22" i="16"/>
  <c r="H24" i="16"/>
  <c r="H26" i="16"/>
  <c r="H28" i="16"/>
  <c r="H30" i="16"/>
  <c r="H32" i="16"/>
  <c r="N32" i="1" s="1"/>
  <c r="H34" i="16"/>
  <c r="N34" i="1" s="1"/>
  <c r="H36" i="16"/>
  <c r="H38" i="16"/>
  <c r="H40" i="16"/>
  <c r="H42" i="16"/>
  <c r="N42" i="1" s="1"/>
  <c r="H44" i="16"/>
  <c r="H46" i="16"/>
  <c r="H48" i="16"/>
  <c r="H50" i="16"/>
  <c r="N50" i="1" s="1"/>
  <c r="N15" i="16"/>
  <c r="AJ34" i="17"/>
  <c r="V34" i="1"/>
  <c r="AG34" i="1"/>
  <c r="AK34" i="1"/>
  <c r="AJ32" i="17"/>
  <c r="V32" i="1"/>
  <c r="AG32" i="1"/>
  <c r="AK32" i="1"/>
  <c r="H47" i="16"/>
  <c r="H43" i="16"/>
  <c r="H39" i="16"/>
  <c r="H35" i="16"/>
  <c r="H31" i="16"/>
  <c r="H27" i="16"/>
  <c r="N27" i="1" s="1"/>
  <c r="AJ43" i="17"/>
  <c r="AG43" i="1"/>
  <c r="AK43" i="1"/>
  <c r="AJ42" i="17"/>
  <c r="V42" i="1"/>
  <c r="AG42" i="1"/>
  <c r="AK42" i="1"/>
  <c r="AJ36" i="17"/>
  <c r="AG36" i="1"/>
  <c r="AK36" i="1"/>
  <c r="AJ35" i="17"/>
  <c r="AG35" i="1"/>
  <c r="AK35" i="1"/>
  <c r="O27" i="1"/>
  <c r="AA27" i="1"/>
  <c r="H25" i="16"/>
  <c r="H23" i="16"/>
  <c r="H21" i="16"/>
  <c r="H19" i="16"/>
  <c r="H17" i="16"/>
  <c r="G50" i="17"/>
  <c r="S50" i="17"/>
  <c r="T50" i="17" s="1"/>
  <c r="M50" i="17"/>
  <c r="Y50" i="17"/>
  <c r="Z50" i="17" s="1"/>
  <c r="G49" i="17"/>
  <c r="S49" i="17"/>
  <c r="M49" i="17"/>
  <c r="Y49" i="17"/>
  <c r="G48" i="17"/>
  <c r="S48" i="17"/>
  <c r="M48" i="17"/>
  <c r="Y48" i="17"/>
  <c r="G47" i="17"/>
  <c r="S47" i="17"/>
  <c r="M47" i="17"/>
  <c r="Y47" i="17"/>
  <c r="G46" i="17"/>
  <c r="S46" i="17"/>
  <c r="M46" i="17"/>
  <c r="Y46" i="17"/>
  <c r="G45" i="17"/>
  <c r="S45" i="17"/>
  <c r="T45" i="17" s="1"/>
  <c r="M45" i="17"/>
  <c r="Y45" i="17"/>
  <c r="Z45" i="17" s="1"/>
  <c r="G44" i="17"/>
  <c r="S44" i="17"/>
  <c r="M44" i="17"/>
  <c r="Y44" i="17"/>
  <c r="AF29" i="1"/>
  <c r="AF28" i="1"/>
  <c r="AF27" i="1"/>
  <c r="G42" i="17"/>
  <c r="S42" i="17"/>
  <c r="T42" i="17" s="1"/>
  <c r="M42" i="17"/>
  <c r="Y42" i="17"/>
  <c r="G43" i="17"/>
  <c r="S43" i="17"/>
  <c r="M43" i="17"/>
  <c r="Y43" i="17"/>
  <c r="AF26" i="17"/>
  <c r="AG26" i="17" s="1"/>
  <c r="AJ16" i="17"/>
  <c r="AK16" i="1"/>
  <c r="Z42" i="17"/>
  <c r="Y41" i="17"/>
  <c r="M41" i="17"/>
  <c r="Y40" i="17"/>
  <c r="M40" i="17"/>
  <c r="Y39" i="17"/>
  <c r="M39" i="17"/>
  <c r="Y38" i="17"/>
  <c r="M38" i="17"/>
  <c r="Y37" i="17"/>
  <c r="M37" i="17"/>
  <c r="Y36" i="17"/>
  <c r="M36" i="17"/>
  <c r="Y35" i="17"/>
  <c r="M35" i="17"/>
  <c r="G34" i="17"/>
  <c r="G33" i="17"/>
  <c r="AB32" i="17"/>
  <c r="G32" i="17"/>
  <c r="G31" i="17"/>
  <c r="G30" i="17"/>
  <c r="G29" i="17"/>
  <c r="L27" i="17"/>
  <c r="X27" i="17"/>
  <c r="F27" i="17"/>
  <c r="R27" i="17"/>
  <c r="M33" i="17"/>
  <c r="M32" i="17"/>
  <c r="M31" i="17"/>
  <c r="M30" i="17"/>
  <c r="M29" i="17"/>
  <c r="M28" i="17"/>
  <c r="S26" i="17"/>
  <c r="L25" i="17"/>
  <c r="R25" i="17"/>
  <c r="X25" i="17"/>
  <c r="G26" i="17"/>
  <c r="S41" i="17"/>
  <c r="S40" i="17"/>
  <c r="S39" i="17"/>
  <c r="S38" i="17"/>
  <c r="S37" i="17"/>
  <c r="S36" i="17"/>
  <c r="S35" i="17"/>
  <c r="F35" i="17"/>
  <c r="S34" i="17"/>
  <c r="S33" i="17"/>
  <c r="S32" i="17"/>
  <c r="S31" i="17"/>
  <c r="S30" i="17"/>
  <c r="S29" i="17"/>
  <c r="S28" i="17"/>
  <c r="S27" i="17"/>
  <c r="G27" i="17"/>
  <c r="V34" i="17"/>
  <c r="L34" i="17"/>
  <c r="X34" i="17"/>
  <c r="F34" i="17"/>
  <c r="R34" i="17"/>
  <c r="T34" i="17" s="1"/>
  <c r="L33" i="17"/>
  <c r="X33" i="17"/>
  <c r="F33" i="17"/>
  <c r="R33" i="17"/>
  <c r="V32" i="17"/>
  <c r="L32" i="17"/>
  <c r="X32" i="17"/>
  <c r="Z32" i="17" s="1"/>
  <c r="F32" i="17"/>
  <c r="R32" i="17"/>
  <c r="T32" i="17" s="1"/>
  <c r="L31" i="17"/>
  <c r="X31" i="17"/>
  <c r="F31" i="17"/>
  <c r="R31" i="17"/>
  <c r="L30" i="17"/>
  <c r="X30" i="17"/>
  <c r="F30" i="17"/>
  <c r="R30" i="17"/>
  <c r="Y29" i="17"/>
  <c r="L29" i="17"/>
  <c r="X29" i="17"/>
  <c r="F29" i="17"/>
  <c r="R29" i="17"/>
  <c r="Y28" i="17"/>
  <c r="L28" i="17"/>
  <c r="X28" i="17"/>
  <c r="F28" i="17"/>
  <c r="R28" i="17"/>
  <c r="Y27" i="17"/>
  <c r="M27" i="17"/>
  <c r="Y26" i="17"/>
  <c r="F25" i="17"/>
  <c r="V27" i="17"/>
  <c r="G25" i="17"/>
  <c r="S25" i="17"/>
  <c r="M25" i="17"/>
  <c r="Y25" i="17"/>
  <c r="G24" i="17"/>
  <c r="S24" i="17"/>
  <c r="M24" i="17"/>
  <c r="Y24" i="17"/>
  <c r="G22" i="17"/>
  <c r="G20" i="17"/>
  <c r="G18" i="17"/>
  <c r="G16" i="17"/>
  <c r="L23" i="17"/>
  <c r="X23" i="17"/>
  <c r="F23" i="17"/>
  <c r="R23" i="17"/>
  <c r="X19" i="17"/>
  <c r="M26" i="17"/>
  <c r="G23" i="17"/>
  <c r="G21" i="17"/>
  <c r="G19" i="17"/>
  <c r="G17" i="17"/>
  <c r="R20" i="17"/>
  <c r="F20" i="17"/>
  <c r="R19" i="17"/>
  <c r="F19" i="17"/>
  <c r="R18" i="17"/>
  <c r="F18" i="17"/>
  <c r="R17" i="17"/>
  <c r="F17" i="17"/>
  <c r="Y23" i="17"/>
  <c r="M23" i="17"/>
  <c r="Y22" i="17"/>
  <c r="M22" i="17"/>
  <c r="Y21" i="17"/>
  <c r="M21" i="17"/>
  <c r="Y20" i="17"/>
  <c r="M20" i="17"/>
  <c r="Y19" i="17"/>
  <c r="M19" i="17"/>
  <c r="Y18" i="17"/>
  <c r="M18" i="17"/>
  <c r="Y17" i="17"/>
  <c r="M17" i="17"/>
  <c r="Y16" i="17"/>
  <c r="M16" i="17"/>
  <c r="X20" i="17"/>
  <c r="L20" i="17"/>
  <c r="L19" i="17"/>
  <c r="X18" i="17"/>
  <c r="L18" i="17"/>
  <c r="X17" i="17"/>
  <c r="L17" i="17"/>
  <c r="S23" i="17"/>
  <c r="S22" i="17"/>
  <c r="S21" i="17"/>
  <c r="S20" i="17"/>
  <c r="S19" i="17"/>
  <c r="S18" i="17"/>
  <c r="S17" i="17"/>
  <c r="S16" i="17"/>
  <c r="H15" i="16"/>
  <c r="N15" i="1" s="1"/>
  <c r="F15" i="17"/>
  <c r="H15" i="17" s="1"/>
  <c r="R15" i="17"/>
  <c r="T15" i="17" s="1"/>
  <c r="V15" i="17"/>
  <c r="S15" i="17"/>
  <c r="AJ15" i="17"/>
  <c r="AF15" i="1"/>
  <c r="V15" i="1"/>
  <c r="AG15" i="1"/>
  <c r="L15" i="17"/>
  <c r="M15" i="17"/>
  <c r="AJ15" i="24"/>
  <c r="Z34" i="17" l="1"/>
  <c r="T27" i="17"/>
  <c r="AL15" i="1"/>
  <c r="C16" i="16"/>
  <c r="AL42" i="1"/>
  <c r="C43" i="16"/>
  <c r="F43" i="16" s="1"/>
  <c r="N43" i="1" s="1"/>
  <c r="AL27" i="1"/>
  <c r="C28" i="16"/>
  <c r="F28" i="16" s="1"/>
  <c r="N28" i="1" s="1"/>
  <c r="AL50" i="1"/>
  <c r="D22" i="16"/>
  <c r="AL34" i="1"/>
  <c r="C35" i="16"/>
  <c r="F35" i="16" s="1"/>
  <c r="AS15" i="1"/>
  <c r="I16" i="16"/>
  <c r="AS45" i="1"/>
  <c r="I46" i="16"/>
  <c r="L46" i="16" s="1"/>
  <c r="O46" i="1" s="1"/>
  <c r="N33" i="1"/>
  <c r="AF16" i="1"/>
  <c r="AJ17" i="1"/>
  <c r="AJ29" i="17"/>
  <c r="AJ30" i="1"/>
  <c r="AG29" i="1"/>
  <c r="AK29" i="1"/>
  <c r="AS27" i="1"/>
  <c r="I28" i="16"/>
  <c r="L28" i="16" s="1"/>
  <c r="O28" i="1" s="1"/>
  <c r="AL32" i="1"/>
  <c r="C33" i="16"/>
  <c r="F33" i="16" s="1"/>
  <c r="AG16" i="1"/>
  <c r="N35" i="1"/>
  <c r="AS50" i="1"/>
  <c r="J22" i="16"/>
  <c r="AS42" i="1"/>
  <c r="I43" i="16"/>
  <c r="L43" i="16" s="1"/>
  <c r="O43" i="1" s="1"/>
  <c r="AS34" i="1"/>
  <c r="I35" i="16"/>
  <c r="L35" i="16" s="1"/>
  <c r="O35" i="1" s="1"/>
  <c r="AJ37" i="1"/>
  <c r="AF36" i="1"/>
  <c r="AJ46" i="17"/>
  <c r="AJ47" i="1"/>
  <c r="Z27" i="17"/>
  <c r="AS32" i="1"/>
  <c r="I33" i="16"/>
  <c r="L33" i="16" s="1"/>
  <c r="O33" i="1" s="1"/>
  <c r="AL45" i="1"/>
  <c r="C46" i="16"/>
  <c r="F46" i="16" s="1"/>
  <c r="N46" i="1" s="1"/>
  <c r="N15" i="17"/>
  <c r="I32" i="17"/>
  <c r="AD32" i="17" s="1"/>
  <c r="T32" i="1"/>
  <c r="AA32" i="1"/>
  <c r="AX32" i="1"/>
  <c r="F27" i="20"/>
  <c r="I34" i="17"/>
  <c r="AD34" i="17" s="1"/>
  <c r="T34" i="1"/>
  <c r="AA34" i="1"/>
  <c r="AX34" i="1"/>
  <c r="I50" i="17"/>
  <c r="AD50" i="17" s="1"/>
  <c r="T50" i="1"/>
  <c r="AA50" i="1"/>
  <c r="AX50" i="1"/>
  <c r="D27" i="20"/>
  <c r="U27" i="17" s="1"/>
  <c r="W27" i="1"/>
  <c r="I42" i="17"/>
  <c r="AD42" i="17" s="1"/>
  <c r="AX42" i="1"/>
  <c r="AA42" i="1"/>
  <c r="T42" i="1"/>
  <c r="I45" i="17"/>
  <c r="AD45" i="17" s="1"/>
  <c r="T45" i="1"/>
  <c r="AA45" i="1"/>
  <c r="AX45" i="1"/>
  <c r="I15" i="17"/>
  <c r="AD15" i="17" s="1"/>
  <c r="AX15" i="1"/>
  <c r="AZ15" i="1" s="1"/>
  <c r="AA15" i="1"/>
  <c r="T15" i="1"/>
  <c r="F22" i="31"/>
  <c r="F21" i="31"/>
  <c r="F18" i="31"/>
  <c r="F17" i="31"/>
  <c r="F10" i="31"/>
  <c r="F9" i="31"/>
  <c r="AS43" i="1" l="1"/>
  <c r="I44" i="16"/>
  <c r="L44" i="16" s="1"/>
  <c r="O44" i="1" s="1"/>
  <c r="AL46" i="1"/>
  <c r="C47" i="16"/>
  <c r="F47" i="16" s="1"/>
  <c r="N47" i="1" s="1"/>
  <c r="AS46" i="1"/>
  <c r="I47" i="16"/>
  <c r="L47" i="16" s="1"/>
  <c r="O47" i="1" s="1"/>
  <c r="AL33" i="1"/>
  <c r="D16" i="16"/>
  <c r="F16" i="16" s="1"/>
  <c r="N16" i="1" s="1"/>
  <c r="AS35" i="1"/>
  <c r="I36" i="16"/>
  <c r="L36" i="16" s="1"/>
  <c r="O36" i="1" s="1"/>
  <c r="AF17" i="1"/>
  <c r="AJ18" i="1"/>
  <c r="AG17" i="1"/>
  <c r="AK17" i="1"/>
  <c r="AJ17" i="17"/>
  <c r="AS28" i="1"/>
  <c r="I29" i="16"/>
  <c r="L29" i="16" s="1"/>
  <c r="O29" i="1" s="1"/>
  <c r="AL28" i="1"/>
  <c r="C29" i="16"/>
  <c r="F29" i="16" s="1"/>
  <c r="N29" i="1" s="1"/>
  <c r="AJ47" i="17"/>
  <c r="AJ48" i="1"/>
  <c r="AG47" i="1"/>
  <c r="AF47" i="1"/>
  <c r="AK47" i="1"/>
  <c r="AS33" i="1"/>
  <c r="J16" i="16"/>
  <c r="L16" i="16" s="1"/>
  <c r="O16" i="1" s="1"/>
  <c r="AF37" i="1"/>
  <c r="AJ38" i="1"/>
  <c r="AG37" i="1"/>
  <c r="AK37" i="1"/>
  <c r="AJ37" i="17"/>
  <c r="AL35" i="1"/>
  <c r="C36" i="16"/>
  <c r="F36" i="16" s="1"/>
  <c r="N36" i="1" s="1"/>
  <c r="AF30" i="1"/>
  <c r="AJ31" i="1"/>
  <c r="AJ30" i="17"/>
  <c r="AG30" i="1"/>
  <c r="AK30" i="1"/>
  <c r="AL43" i="1"/>
  <c r="C44" i="16"/>
  <c r="F44" i="16" s="1"/>
  <c r="N44" i="1" s="1"/>
  <c r="O42" i="17"/>
  <c r="AC42" i="1"/>
  <c r="J27" i="17"/>
  <c r="E28" i="17"/>
  <c r="H28" i="17" s="1"/>
  <c r="U27" i="1"/>
  <c r="AB27" i="1"/>
  <c r="D50" i="20"/>
  <c r="U50" i="17" s="1"/>
  <c r="W50" i="1"/>
  <c r="O32" i="17"/>
  <c r="AC32" i="1"/>
  <c r="E27" i="17"/>
  <c r="H27" i="17" s="1"/>
  <c r="D42" i="20"/>
  <c r="U42" i="17" s="1"/>
  <c r="W42" i="1"/>
  <c r="O50" i="17"/>
  <c r="AC50" i="1"/>
  <c r="D34" i="20"/>
  <c r="U34" i="17" s="1"/>
  <c r="W34" i="1"/>
  <c r="D45" i="20"/>
  <c r="U45" i="17" s="1"/>
  <c r="W45" i="1"/>
  <c r="O34" i="17"/>
  <c r="AC34" i="1"/>
  <c r="O45" i="17"/>
  <c r="AC45" i="1"/>
  <c r="AZ50" i="1"/>
  <c r="D32" i="20"/>
  <c r="U32" i="17" s="1"/>
  <c r="W32" i="1"/>
  <c r="AC15" i="1"/>
  <c r="O15" i="17"/>
  <c r="D15" i="20"/>
  <c r="U15" i="17" s="1"/>
  <c r="W15" i="1"/>
  <c r="E16" i="17" s="1"/>
  <c r="F11" i="1"/>
  <c r="L11" i="1"/>
  <c r="F31" i="21" s="1"/>
  <c r="K11" i="1"/>
  <c r="F30" i="21" s="1"/>
  <c r="A11" i="1"/>
  <c r="AS16" i="1" l="1"/>
  <c r="I17" i="16"/>
  <c r="L17" i="16" s="1"/>
  <c r="O17" i="1" s="1"/>
  <c r="V28" i="1"/>
  <c r="AF27" i="17"/>
  <c r="AG27" i="17" s="1"/>
  <c r="AF18" i="1"/>
  <c r="AJ19" i="1"/>
  <c r="AG18" i="1"/>
  <c r="AK18" i="1"/>
  <c r="AJ18" i="17"/>
  <c r="AL16" i="1"/>
  <c r="C17" i="16"/>
  <c r="F17" i="16" s="1"/>
  <c r="N17" i="1" s="1"/>
  <c r="AL47" i="1"/>
  <c r="C48" i="16"/>
  <c r="F48" i="16" s="1"/>
  <c r="N48" i="1" s="1"/>
  <c r="AL36" i="1"/>
  <c r="C37" i="16"/>
  <c r="F37" i="16" s="1"/>
  <c r="N37" i="1" s="1"/>
  <c r="AJ48" i="17"/>
  <c r="AJ49" i="1"/>
  <c r="AK48" i="1"/>
  <c r="AG48" i="1"/>
  <c r="AF48" i="1"/>
  <c r="AL44" i="1"/>
  <c r="D21" i="16"/>
  <c r="AF38" i="1"/>
  <c r="AJ39" i="1"/>
  <c r="AG38" i="1"/>
  <c r="AK38" i="1"/>
  <c r="AJ38" i="17"/>
  <c r="AS29" i="1"/>
  <c r="I30" i="16"/>
  <c r="L30" i="16" s="1"/>
  <c r="O30" i="1" s="1"/>
  <c r="AS36" i="1"/>
  <c r="I37" i="16"/>
  <c r="L37" i="16" s="1"/>
  <c r="O37" i="1" s="1"/>
  <c r="AS47" i="1"/>
  <c r="I48" i="16"/>
  <c r="L48" i="16" s="1"/>
  <c r="O48" i="1" s="1"/>
  <c r="AS44" i="1"/>
  <c r="J21" i="16"/>
  <c r="AF31" i="1"/>
  <c r="AK31" i="1"/>
  <c r="AJ31" i="17"/>
  <c r="AG31" i="1"/>
  <c r="AL29" i="1"/>
  <c r="C30" i="16"/>
  <c r="F30" i="16" s="1"/>
  <c r="N30" i="1" s="1"/>
  <c r="E42" i="17"/>
  <c r="H42" i="17" s="1"/>
  <c r="J42" i="17"/>
  <c r="E43" i="17"/>
  <c r="H43" i="17" s="1"/>
  <c r="AB42" i="1"/>
  <c r="U42" i="1"/>
  <c r="K27" i="17"/>
  <c r="N27" i="17" s="1"/>
  <c r="E27" i="20"/>
  <c r="F45" i="20"/>
  <c r="J50" i="17"/>
  <c r="F22" i="17" s="1"/>
  <c r="U50" i="1"/>
  <c r="AB50" i="1"/>
  <c r="P27" i="17"/>
  <c r="K28" i="17"/>
  <c r="N28" i="17" s="1"/>
  <c r="AD27" i="1"/>
  <c r="E50" i="17"/>
  <c r="H50" i="17" s="1"/>
  <c r="E45" i="17"/>
  <c r="H45" i="17" s="1"/>
  <c r="F50" i="20"/>
  <c r="F42" i="20"/>
  <c r="J32" i="17"/>
  <c r="E33" i="17"/>
  <c r="H33" i="17" s="1"/>
  <c r="AB32" i="1"/>
  <c r="U32" i="1"/>
  <c r="E32" i="17"/>
  <c r="H32" i="17" s="1"/>
  <c r="F34" i="20"/>
  <c r="E46" i="17"/>
  <c r="H46" i="17" s="1"/>
  <c r="J45" i="17"/>
  <c r="U45" i="1"/>
  <c r="AB45" i="1"/>
  <c r="J34" i="17"/>
  <c r="E35" i="17"/>
  <c r="H35" i="17" s="1"/>
  <c r="AB34" i="1"/>
  <c r="U34" i="1"/>
  <c r="F32" i="20"/>
  <c r="E34" i="17"/>
  <c r="H34" i="17" s="1"/>
  <c r="AB15" i="1"/>
  <c r="U15" i="1"/>
  <c r="K16" i="17" s="1"/>
  <c r="J15" i="17"/>
  <c r="F15" i="20"/>
  <c r="F15" i="31"/>
  <c r="F16" i="31"/>
  <c r="AH50" i="24"/>
  <c r="AC50" i="24"/>
  <c r="D50" i="24"/>
  <c r="C50" i="24"/>
  <c r="B50" i="24"/>
  <c r="A50" i="24"/>
  <c r="AF34" i="17" l="1"/>
  <c r="AG34" i="17" s="1"/>
  <c r="V35" i="1"/>
  <c r="AS37" i="1"/>
  <c r="I38" i="16"/>
  <c r="L38" i="16" s="1"/>
  <c r="O38" i="1" s="1"/>
  <c r="C27" i="18"/>
  <c r="D27" i="18" s="1"/>
  <c r="Q28" i="17"/>
  <c r="AL37" i="1"/>
  <c r="C38" i="16"/>
  <c r="F38" i="16" s="1"/>
  <c r="N38" i="1" s="1"/>
  <c r="AL17" i="1"/>
  <c r="C18" i="16"/>
  <c r="F18" i="16" s="1"/>
  <c r="N18" i="1" s="1"/>
  <c r="AA28" i="1"/>
  <c r="I28" i="17"/>
  <c r="T28" i="1"/>
  <c r="AX28" i="1"/>
  <c r="V33" i="1"/>
  <c r="AF32" i="17"/>
  <c r="AG32" i="17" s="1"/>
  <c r="AL30" i="1"/>
  <c r="C31" i="16"/>
  <c r="F31" i="16" s="1"/>
  <c r="N31" i="1" s="1"/>
  <c r="AS48" i="1"/>
  <c r="I49" i="16"/>
  <c r="L49" i="16" s="1"/>
  <c r="O49" i="1" s="1"/>
  <c r="AS30" i="1"/>
  <c r="I31" i="16"/>
  <c r="L31" i="16" s="1"/>
  <c r="O31" i="1" s="1"/>
  <c r="AJ20" i="1"/>
  <c r="AF19" i="1"/>
  <c r="AG19" i="1"/>
  <c r="AK19" i="1"/>
  <c r="AJ19" i="17"/>
  <c r="AS17" i="1"/>
  <c r="I18" i="16"/>
  <c r="L18" i="16" s="1"/>
  <c r="O18" i="1" s="1"/>
  <c r="V46" i="1"/>
  <c r="AF45" i="17"/>
  <c r="AG45" i="17" s="1"/>
  <c r="AF42" i="17"/>
  <c r="AG42" i="17" s="1"/>
  <c r="V43" i="1"/>
  <c r="AJ40" i="1"/>
  <c r="AF39" i="1"/>
  <c r="AK39" i="1"/>
  <c r="AJ39" i="17"/>
  <c r="AG39" i="1"/>
  <c r="AJ49" i="17"/>
  <c r="AK49" i="1"/>
  <c r="AF49" i="1"/>
  <c r="AG49" i="1"/>
  <c r="AL48" i="1"/>
  <c r="C49" i="16"/>
  <c r="F49" i="16" s="1"/>
  <c r="N49" i="1" s="1"/>
  <c r="E34" i="20"/>
  <c r="K50" i="17"/>
  <c r="N50" i="17" s="1"/>
  <c r="E50" i="20"/>
  <c r="K43" i="17"/>
  <c r="N43" i="17" s="1"/>
  <c r="P42" i="17"/>
  <c r="AD42" i="1"/>
  <c r="E45" i="20"/>
  <c r="P32" i="17"/>
  <c r="K33" i="17"/>
  <c r="N33" i="17" s="1"/>
  <c r="AD32" i="1"/>
  <c r="K45" i="17"/>
  <c r="N45" i="17" s="1"/>
  <c r="G27" i="20"/>
  <c r="AH27" i="1"/>
  <c r="P50" i="17"/>
  <c r="L22" i="17" s="1"/>
  <c r="AD50" i="1"/>
  <c r="E42" i="20"/>
  <c r="K34" i="17"/>
  <c r="N34" i="17" s="1"/>
  <c r="K46" i="17"/>
  <c r="N46" i="17" s="1"/>
  <c r="P45" i="17"/>
  <c r="AD45" i="1"/>
  <c r="K32" i="17"/>
  <c r="N32" i="17" s="1"/>
  <c r="E32" i="20"/>
  <c r="K42" i="17"/>
  <c r="N42" i="17" s="1"/>
  <c r="P34" i="17"/>
  <c r="K35" i="17"/>
  <c r="N35" i="17" s="1"/>
  <c r="AD34" i="1"/>
  <c r="AD15" i="1"/>
  <c r="P15" i="17"/>
  <c r="E15" i="20"/>
  <c r="B70" i="21"/>
  <c r="B71" i="21"/>
  <c r="B72" i="21"/>
  <c r="B73" i="21"/>
  <c r="B74" i="21"/>
  <c r="B75" i="21"/>
  <c r="B76" i="21"/>
  <c r="B77" i="21"/>
  <c r="B78" i="21"/>
  <c r="B79" i="21"/>
  <c r="B80" i="21"/>
  <c r="B81" i="21"/>
  <c r="B82" i="21"/>
  <c r="B69" i="21"/>
  <c r="C18" i="14"/>
  <c r="D70" i="21" s="1"/>
  <c r="D18" i="14"/>
  <c r="D76" i="21" s="1"/>
  <c r="E18" i="14"/>
  <c r="F18" i="14"/>
  <c r="G18" i="14"/>
  <c r="D69" i="21"/>
  <c r="D73" i="21"/>
  <c r="D77" i="21"/>
  <c r="D81" i="21"/>
  <c r="AN27" i="1"/>
  <c r="AI27" i="1"/>
  <c r="AM27" i="1"/>
  <c r="AQ27" i="1"/>
  <c r="AT27" i="1"/>
  <c r="AU27" i="1"/>
  <c r="AP27" i="1"/>
  <c r="AV27" i="1"/>
  <c r="AR27" i="1"/>
  <c r="C15" i="18" l="1"/>
  <c r="D15" i="18" s="1"/>
  <c r="Q16" i="17"/>
  <c r="C32" i="18"/>
  <c r="D32" i="18" s="1"/>
  <c r="Q33" i="17"/>
  <c r="AJ41" i="1"/>
  <c r="AF40" i="1"/>
  <c r="AJ40" i="17"/>
  <c r="AG40" i="1"/>
  <c r="AK40" i="1"/>
  <c r="I46" i="17"/>
  <c r="T46" i="1"/>
  <c r="AX46" i="1"/>
  <c r="AZ45" i="1" s="1"/>
  <c r="AA46" i="1"/>
  <c r="AF20" i="1"/>
  <c r="AJ21" i="1"/>
  <c r="AG20" i="1"/>
  <c r="AK20" i="1"/>
  <c r="AJ20" i="17"/>
  <c r="I33" i="17"/>
  <c r="T33" i="1"/>
  <c r="AA33" i="1"/>
  <c r="AX33" i="1"/>
  <c r="D28" i="20"/>
  <c r="U28" i="17" s="1"/>
  <c r="W28" i="1"/>
  <c r="C42" i="18"/>
  <c r="D42" i="18" s="1"/>
  <c r="Q43" i="17"/>
  <c r="C45" i="18"/>
  <c r="D45" i="18" s="1"/>
  <c r="Q46" i="17"/>
  <c r="T43" i="1"/>
  <c r="I43" i="17"/>
  <c r="AX43" i="1"/>
  <c r="AZ42" i="1" s="1"/>
  <c r="AA43" i="1"/>
  <c r="AS31" i="1"/>
  <c r="J24" i="16"/>
  <c r="AL31" i="1"/>
  <c r="D24" i="16"/>
  <c r="AZ27" i="1"/>
  <c r="AZ28" i="1"/>
  <c r="AL18" i="1"/>
  <c r="C19" i="16"/>
  <c r="F19" i="16" s="1"/>
  <c r="N19" i="1" s="1"/>
  <c r="T28" i="17"/>
  <c r="C34" i="18"/>
  <c r="D34" i="18" s="1"/>
  <c r="Q35" i="17"/>
  <c r="AL49" i="1"/>
  <c r="D40" i="16"/>
  <c r="AS18" i="1"/>
  <c r="I19" i="16"/>
  <c r="L19" i="16" s="1"/>
  <c r="O19" i="1" s="1"/>
  <c r="AC28" i="1"/>
  <c r="O28" i="17"/>
  <c r="AX35" i="1"/>
  <c r="AZ34" i="1" s="1"/>
  <c r="AA35" i="1"/>
  <c r="I35" i="17"/>
  <c r="T35" i="1"/>
  <c r="C50" i="18"/>
  <c r="D50" i="18" s="1"/>
  <c r="R22" i="17"/>
  <c r="AS49" i="1"/>
  <c r="J40" i="16"/>
  <c r="AL38" i="1"/>
  <c r="C39" i="16"/>
  <c r="F39" i="16" s="1"/>
  <c r="N39" i="1" s="1"/>
  <c r="AS38" i="1"/>
  <c r="I39" i="16"/>
  <c r="L39" i="16" s="1"/>
  <c r="O39" i="1" s="1"/>
  <c r="H27" i="20"/>
  <c r="AA27" i="17" s="1"/>
  <c r="I27" i="20"/>
  <c r="W28" i="17" s="1"/>
  <c r="AI27" i="17"/>
  <c r="AO27" i="1"/>
  <c r="G34" i="20"/>
  <c r="AH34" i="1"/>
  <c r="G45" i="20"/>
  <c r="AH45" i="1"/>
  <c r="G32" i="20"/>
  <c r="AH32" i="1"/>
  <c r="G50" i="20"/>
  <c r="AH50" i="1"/>
  <c r="G42" i="20"/>
  <c r="AH42" i="1"/>
  <c r="G15" i="20"/>
  <c r="AH15" i="1"/>
  <c r="D80" i="21"/>
  <c r="D79" i="21"/>
  <c r="D75" i="21"/>
  <c r="D71" i="21"/>
  <c r="D72" i="21"/>
  <c r="D82" i="21"/>
  <c r="D78" i="21"/>
  <c r="D74" i="21"/>
  <c r="AJ50" i="24"/>
  <c r="AG15" i="24"/>
  <c r="AE15" i="24"/>
  <c r="S15" i="24"/>
  <c r="M15" i="24"/>
  <c r="AQ45" i="1"/>
  <c r="AR45" i="1"/>
  <c r="AT45" i="1"/>
  <c r="AU45" i="1"/>
  <c r="AI45" i="1"/>
  <c r="AM45" i="1"/>
  <c r="AN45" i="1"/>
  <c r="AV45" i="1"/>
  <c r="AP45" i="1"/>
  <c r="AU50" i="1"/>
  <c r="AT50" i="1"/>
  <c r="AQ50" i="1"/>
  <c r="AR50" i="1"/>
  <c r="AI50" i="1"/>
  <c r="AM50" i="1"/>
  <c r="AN50" i="1"/>
  <c r="AP50" i="1"/>
  <c r="AV50" i="1"/>
  <c r="AU42" i="1"/>
  <c r="AT42" i="1"/>
  <c r="AM42" i="1"/>
  <c r="AI42" i="1"/>
  <c r="AN42" i="1"/>
  <c r="AQ42" i="1"/>
  <c r="AR42" i="1"/>
  <c r="AV42" i="1"/>
  <c r="AP42" i="1"/>
  <c r="AU34" i="1"/>
  <c r="AT34" i="1"/>
  <c r="AQ34" i="1"/>
  <c r="AR34" i="1"/>
  <c r="AI34" i="1"/>
  <c r="AM34" i="1"/>
  <c r="AN34" i="1"/>
  <c r="AV34" i="1"/>
  <c r="AP34" i="1"/>
  <c r="AU32" i="1"/>
  <c r="AT32" i="1"/>
  <c r="AQ32" i="1"/>
  <c r="AR32" i="1"/>
  <c r="AI32" i="1"/>
  <c r="AM32" i="1"/>
  <c r="AN32" i="1"/>
  <c r="AV32" i="1"/>
  <c r="AP32" i="1"/>
  <c r="AN15" i="1"/>
  <c r="AQ15" i="1"/>
  <c r="AM15" i="1"/>
  <c r="AI15" i="1"/>
  <c r="AR15" i="1"/>
  <c r="AP15" i="1"/>
  <c r="AT15" i="1"/>
  <c r="AU15" i="1"/>
  <c r="AV15" i="1"/>
  <c r="V28" i="17" l="1"/>
  <c r="D35" i="20"/>
  <c r="U35" i="17" s="1"/>
  <c r="W35" i="1"/>
  <c r="AS19" i="1"/>
  <c r="I20" i="16"/>
  <c r="L20" i="16" s="1"/>
  <c r="O20" i="1" s="1"/>
  <c r="V35" i="17"/>
  <c r="T35" i="17"/>
  <c r="AL19" i="1"/>
  <c r="C20" i="16"/>
  <c r="F20" i="16" s="1"/>
  <c r="N20" i="1" s="1"/>
  <c r="D43" i="20"/>
  <c r="U43" i="17" s="1"/>
  <c r="V43" i="17" s="1"/>
  <c r="W43" i="1"/>
  <c r="T46" i="17"/>
  <c r="J28" i="17"/>
  <c r="E29" i="17"/>
  <c r="H29" i="17" s="1"/>
  <c r="U28" i="1"/>
  <c r="AB28" i="1"/>
  <c r="O33" i="17"/>
  <c r="AC33" i="1"/>
  <c r="T33" i="17"/>
  <c r="AJ21" i="17"/>
  <c r="AK21" i="1"/>
  <c r="AG21" i="1"/>
  <c r="AJ22" i="1"/>
  <c r="AF21" i="1"/>
  <c r="AC46" i="1"/>
  <c r="O46" i="17"/>
  <c r="AS39" i="1"/>
  <c r="I40" i="16"/>
  <c r="L40" i="16" s="1"/>
  <c r="O40" i="1" s="1"/>
  <c r="O35" i="17"/>
  <c r="AC35" i="1"/>
  <c r="T43" i="17"/>
  <c r="AZ32" i="1"/>
  <c r="AZ33" i="1"/>
  <c r="Z28" i="17"/>
  <c r="AL39" i="1"/>
  <c r="C40" i="16"/>
  <c r="F40" i="16" s="1"/>
  <c r="N40" i="1" s="1"/>
  <c r="F28" i="20"/>
  <c r="O43" i="17"/>
  <c r="AC43" i="1"/>
  <c r="D33" i="20"/>
  <c r="U33" i="17" s="1"/>
  <c r="V33" i="17" s="1"/>
  <c r="W33" i="1"/>
  <c r="D46" i="20"/>
  <c r="U46" i="17" s="1"/>
  <c r="V46" i="17" s="1"/>
  <c r="W46" i="1"/>
  <c r="AF41" i="1"/>
  <c r="AG41" i="1"/>
  <c r="AK41" i="1"/>
  <c r="AJ41" i="17"/>
  <c r="AO32" i="1"/>
  <c r="H32" i="20"/>
  <c r="AA32" i="17" s="1"/>
  <c r="I32" i="20"/>
  <c r="W33" i="17" s="1"/>
  <c r="AI32" i="17"/>
  <c r="AK32" i="17" s="1"/>
  <c r="AO34" i="1"/>
  <c r="H34" i="20"/>
  <c r="AA34" i="17" s="1"/>
  <c r="I34" i="20"/>
  <c r="W35" i="17" s="1"/>
  <c r="AI34" i="17"/>
  <c r="AK34" i="17" s="1"/>
  <c r="AO42" i="1"/>
  <c r="AI42" i="17"/>
  <c r="H42" i="20"/>
  <c r="AA42" i="17" s="1"/>
  <c r="I42" i="20"/>
  <c r="W43" i="17" s="1"/>
  <c r="AO50" i="1"/>
  <c r="H50" i="20"/>
  <c r="AA50" i="17" s="1"/>
  <c r="I50" i="20"/>
  <c r="X22" i="17" s="1"/>
  <c r="AI50" i="17"/>
  <c r="AK50" i="17" s="1"/>
  <c r="AO45" i="1"/>
  <c r="H45" i="20"/>
  <c r="AA45" i="17" s="1"/>
  <c r="I45" i="20"/>
  <c r="W46" i="17" s="1"/>
  <c r="AI45" i="17"/>
  <c r="AK45" i="17" s="1"/>
  <c r="AI15" i="17"/>
  <c r="AK15" i="17" s="1"/>
  <c r="H15" i="20"/>
  <c r="AA15" i="17" s="1"/>
  <c r="I15" i="20"/>
  <c r="W16" i="17" s="1"/>
  <c r="AO15" i="1"/>
  <c r="BE15" i="1"/>
  <c r="AK15" i="24"/>
  <c r="AF15" i="24"/>
  <c r="V15" i="24"/>
  <c r="AL40" i="1" l="1"/>
  <c r="C41" i="16"/>
  <c r="F41" i="16" s="1"/>
  <c r="N41" i="1" s="1"/>
  <c r="Z43" i="17"/>
  <c r="J46" i="17"/>
  <c r="U46" i="1"/>
  <c r="E47" i="17"/>
  <c r="H47" i="17" s="1"/>
  <c r="AB46" i="1"/>
  <c r="F43" i="20"/>
  <c r="F46" i="20"/>
  <c r="AD28" i="1"/>
  <c r="P28" i="17"/>
  <c r="K29" i="17"/>
  <c r="N29" i="17" s="1"/>
  <c r="AL20" i="1"/>
  <c r="C21" i="16"/>
  <c r="F21" i="16" s="1"/>
  <c r="N21" i="1" s="1"/>
  <c r="AS20" i="1"/>
  <c r="I21" i="16"/>
  <c r="L21" i="16" s="1"/>
  <c r="O21" i="1" s="1"/>
  <c r="Z46" i="17"/>
  <c r="Z35" i="17"/>
  <c r="Z33" i="17"/>
  <c r="AS40" i="1"/>
  <c r="I41" i="16"/>
  <c r="L41" i="16" s="1"/>
  <c r="O41" i="1" s="1"/>
  <c r="F33" i="20"/>
  <c r="V29" i="1"/>
  <c r="AF28" i="17"/>
  <c r="AG28" i="17" s="1"/>
  <c r="AB43" i="1"/>
  <c r="U43" i="1"/>
  <c r="J43" i="17"/>
  <c r="E44" i="17"/>
  <c r="H44" i="17" s="1"/>
  <c r="AK42" i="17"/>
  <c r="J33" i="17"/>
  <c r="F16" i="17" s="1"/>
  <c r="H16" i="17" s="1"/>
  <c r="U33" i="1"/>
  <c r="AB33" i="1"/>
  <c r="F35" i="20"/>
  <c r="AJ22" i="17"/>
  <c r="AG22" i="1"/>
  <c r="AK22" i="1"/>
  <c r="AJ23" i="1"/>
  <c r="AF22" i="1"/>
  <c r="U35" i="1"/>
  <c r="E36" i="17"/>
  <c r="H36" i="17" s="1"/>
  <c r="AB35" i="1"/>
  <c r="J35" i="17"/>
  <c r="E28" i="20"/>
  <c r="AA15" i="24"/>
  <c r="W15" i="24" s="1"/>
  <c r="AX15" i="24"/>
  <c r="T15" i="24"/>
  <c r="AC15" i="24" s="1"/>
  <c r="B30" i="24"/>
  <c r="A30" i="24" s="1"/>
  <c r="C30" i="24"/>
  <c r="D30" i="24"/>
  <c r="E30" i="24"/>
  <c r="F30" i="24"/>
  <c r="G30" i="24"/>
  <c r="H30" i="24"/>
  <c r="I30" i="24"/>
  <c r="J30" i="24"/>
  <c r="M30" i="24"/>
  <c r="N30" i="24"/>
  <c r="W30" i="24"/>
  <c r="AK30" i="24"/>
  <c r="V44" i="1" l="1"/>
  <c r="AF43" i="17"/>
  <c r="AG43" i="17" s="1"/>
  <c r="V16" i="1"/>
  <c r="AF33" i="17"/>
  <c r="AG33" i="17" s="1"/>
  <c r="AF15" i="17"/>
  <c r="AG15" i="17" s="1"/>
  <c r="K44" i="17"/>
  <c r="N44" i="17" s="1"/>
  <c r="P43" i="17"/>
  <c r="AD43" i="1"/>
  <c r="V36" i="1"/>
  <c r="AF35" i="17"/>
  <c r="AG35" i="17" s="1"/>
  <c r="E43" i="20"/>
  <c r="E46" i="20"/>
  <c r="AS41" i="1"/>
  <c r="J26" i="16"/>
  <c r="AS21" i="1"/>
  <c r="I22" i="16"/>
  <c r="L22" i="16" s="1"/>
  <c r="O22" i="1" s="1"/>
  <c r="AF46" i="17"/>
  <c r="AG46" i="17" s="1"/>
  <c r="V47" i="1"/>
  <c r="K36" i="17"/>
  <c r="N36" i="17" s="1"/>
  <c r="P35" i="17"/>
  <c r="AD35" i="1"/>
  <c r="E33" i="20"/>
  <c r="P33" i="17"/>
  <c r="L16" i="17" s="1"/>
  <c r="N16" i="17" s="1"/>
  <c r="AD33" i="1"/>
  <c r="I29" i="17"/>
  <c r="T29" i="1"/>
  <c r="AX29" i="1"/>
  <c r="AA29" i="1"/>
  <c r="P46" i="17"/>
  <c r="AD46" i="1"/>
  <c r="K47" i="17"/>
  <c r="N47" i="17" s="1"/>
  <c r="AL41" i="1"/>
  <c r="D26" i="16"/>
  <c r="C28" i="18"/>
  <c r="D28" i="18" s="1"/>
  <c r="Q29" i="17"/>
  <c r="E35" i="20"/>
  <c r="AJ23" i="17"/>
  <c r="AK23" i="1"/>
  <c r="AG23" i="1"/>
  <c r="AJ24" i="1"/>
  <c r="AF23" i="1"/>
  <c r="AL21" i="1"/>
  <c r="C22" i="16"/>
  <c r="F22" i="16" s="1"/>
  <c r="N22" i="1" s="1"/>
  <c r="G28" i="20"/>
  <c r="AH28" i="1"/>
  <c r="U15" i="24"/>
  <c r="AD15" i="24" s="1"/>
  <c r="AH15" i="24" s="1"/>
  <c r="AB15" i="24"/>
  <c r="AR28" i="1"/>
  <c r="AV28" i="1"/>
  <c r="AP28" i="1"/>
  <c r="AU28" i="1"/>
  <c r="AT28" i="1"/>
  <c r="AI28" i="1"/>
  <c r="AM28" i="1"/>
  <c r="AQ28" i="1"/>
  <c r="AN28" i="1"/>
  <c r="AO28" i="1" l="1"/>
  <c r="H28" i="20"/>
  <c r="AA28" i="17" s="1"/>
  <c r="AB28" i="17" s="1"/>
  <c r="AD28" i="17" s="1"/>
  <c r="I28" i="20"/>
  <c r="W29" i="17" s="1"/>
  <c r="AI28" i="17"/>
  <c r="AK28" i="17" s="1"/>
  <c r="AL22" i="1"/>
  <c r="C23" i="16"/>
  <c r="F23" i="16" s="1"/>
  <c r="N23" i="1" s="1"/>
  <c r="C35" i="18"/>
  <c r="D35" i="18" s="1"/>
  <c r="Q36" i="17"/>
  <c r="D29" i="20"/>
  <c r="U29" i="17" s="1"/>
  <c r="W29" i="1"/>
  <c r="G33" i="20"/>
  <c r="AH33" i="1"/>
  <c r="C33" i="18"/>
  <c r="D33" i="18" s="1"/>
  <c r="R16" i="17"/>
  <c r="T16" i="17" s="1"/>
  <c r="AA47" i="1"/>
  <c r="AX47" i="1"/>
  <c r="AZ46" i="1" s="1"/>
  <c r="I47" i="17"/>
  <c r="T47" i="1"/>
  <c r="G43" i="20"/>
  <c r="AH43" i="1"/>
  <c r="T29" i="17"/>
  <c r="V29" i="17" s="1"/>
  <c r="G35" i="20"/>
  <c r="AH35" i="1"/>
  <c r="C43" i="18"/>
  <c r="D43" i="18" s="1"/>
  <c r="Q44" i="17"/>
  <c r="T16" i="1"/>
  <c r="AA16" i="1"/>
  <c r="AX16" i="1"/>
  <c r="I16" i="17"/>
  <c r="G46" i="20"/>
  <c r="AH46" i="1"/>
  <c r="AS22" i="1"/>
  <c r="I23" i="16"/>
  <c r="L23" i="16" s="1"/>
  <c r="O23" i="1" s="1"/>
  <c r="O29" i="17"/>
  <c r="AC29" i="1"/>
  <c r="AJ24" i="17"/>
  <c r="AK24" i="1"/>
  <c r="AG24" i="1"/>
  <c r="AJ25" i="1"/>
  <c r="AF24" i="1"/>
  <c r="C46" i="18"/>
  <c r="D46" i="18" s="1"/>
  <c r="Q47" i="17"/>
  <c r="AA36" i="1"/>
  <c r="AX36" i="1"/>
  <c r="AZ35" i="1" s="1"/>
  <c r="T36" i="1"/>
  <c r="I36" i="17"/>
  <c r="AX44" i="1"/>
  <c r="I44" i="17"/>
  <c r="AA44" i="1"/>
  <c r="T44" i="1"/>
  <c r="E50" i="24"/>
  <c r="AV33" i="1"/>
  <c r="AP33" i="1"/>
  <c r="AN33" i="1"/>
  <c r="AM33" i="1"/>
  <c r="AI33" i="1"/>
  <c r="AT33" i="1"/>
  <c r="AU33" i="1"/>
  <c r="AR33" i="1"/>
  <c r="AQ33" i="1"/>
  <c r="AP35" i="1"/>
  <c r="AV35" i="1"/>
  <c r="AR35" i="1"/>
  <c r="AQ35" i="1"/>
  <c r="AN35" i="1"/>
  <c r="AI35" i="1"/>
  <c r="AM35" i="1"/>
  <c r="AT35" i="1"/>
  <c r="AU35" i="1"/>
  <c r="AP46" i="1"/>
  <c r="AV46" i="1"/>
  <c r="AU46" i="1"/>
  <c r="AT46" i="1"/>
  <c r="AR46" i="1"/>
  <c r="AQ46" i="1"/>
  <c r="AN46" i="1"/>
  <c r="AM46" i="1"/>
  <c r="AI46" i="1"/>
  <c r="AP43" i="1"/>
  <c r="AV43" i="1"/>
  <c r="AR43" i="1"/>
  <c r="AQ43" i="1"/>
  <c r="AN43" i="1"/>
  <c r="AI43" i="1"/>
  <c r="AM43" i="1"/>
  <c r="AT43" i="1"/>
  <c r="AU43" i="1"/>
  <c r="H43" i="20" l="1"/>
  <c r="AA43" i="17" s="1"/>
  <c r="AB43" i="17" s="1"/>
  <c r="AD43" i="17" s="1"/>
  <c r="I43" i="20"/>
  <c r="W44" i="17" s="1"/>
  <c r="AI43" i="17"/>
  <c r="AK43" i="17" s="1"/>
  <c r="AO43" i="1"/>
  <c r="AI46" i="17"/>
  <c r="AK46" i="17" s="1"/>
  <c r="H46" i="20"/>
  <c r="AA46" i="17" s="1"/>
  <c r="AB46" i="17" s="1"/>
  <c r="AD46" i="17" s="1"/>
  <c r="I46" i="20"/>
  <c r="W47" i="17" s="1"/>
  <c r="AO46" i="1"/>
  <c r="H35" i="20"/>
  <c r="AA35" i="17" s="1"/>
  <c r="AB35" i="17" s="1"/>
  <c r="AD35" i="17" s="1"/>
  <c r="I35" i="20"/>
  <c r="W36" i="17" s="1"/>
  <c r="AI35" i="17"/>
  <c r="AK35" i="17" s="1"/>
  <c r="AO35" i="1"/>
  <c r="AI33" i="17"/>
  <c r="AK33" i="17" s="1"/>
  <c r="H33" i="20"/>
  <c r="AA33" i="17" s="1"/>
  <c r="AB33" i="17" s="1"/>
  <c r="AD33" i="17" s="1"/>
  <c r="I33" i="20"/>
  <c r="X16" i="17" s="1"/>
  <c r="Z16" i="17" s="1"/>
  <c r="AO33" i="1"/>
  <c r="AZ43" i="1"/>
  <c r="AZ44" i="1"/>
  <c r="T47" i="17"/>
  <c r="F29" i="20"/>
  <c r="W16" i="1"/>
  <c r="D16" i="20"/>
  <c r="U16" i="17" s="1"/>
  <c r="V16" i="17" s="1"/>
  <c r="D44" i="20"/>
  <c r="U44" i="17" s="1"/>
  <c r="V44" i="17" s="1"/>
  <c r="W44" i="1"/>
  <c r="O36" i="17"/>
  <c r="AC36" i="1"/>
  <c r="O16" i="17"/>
  <c r="AC16" i="1"/>
  <c r="D47" i="20"/>
  <c r="U47" i="17" s="1"/>
  <c r="V47" i="17" s="1"/>
  <c r="W47" i="1"/>
  <c r="T36" i="17"/>
  <c r="T44" i="17"/>
  <c r="O47" i="17"/>
  <c r="AC47" i="1"/>
  <c r="Z29" i="17"/>
  <c r="D36" i="20"/>
  <c r="U36" i="17" s="1"/>
  <c r="V36" i="17" s="1"/>
  <c r="W36" i="1"/>
  <c r="J29" i="17"/>
  <c r="E30" i="17"/>
  <c r="H30" i="17" s="1"/>
  <c r="U29" i="1"/>
  <c r="AB29" i="1"/>
  <c r="AL23" i="1"/>
  <c r="C24" i="16"/>
  <c r="F24" i="16" s="1"/>
  <c r="N24" i="1" s="1"/>
  <c r="AS23" i="1"/>
  <c r="I24" i="16"/>
  <c r="L24" i="16" s="1"/>
  <c r="O24" i="1" s="1"/>
  <c r="O44" i="17"/>
  <c r="AC44" i="1"/>
  <c r="AJ25" i="17"/>
  <c r="AG25" i="1"/>
  <c r="AJ26" i="1"/>
  <c r="AK25" i="1"/>
  <c r="AF25" i="1"/>
  <c r="K50" i="24"/>
  <c r="C60" i="24"/>
  <c r="B60" i="24"/>
  <c r="A60" i="24"/>
  <c r="P29" i="17" l="1"/>
  <c r="K30" i="17"/>
  <c r="N30" i="17" s="1"/>
  <c r="AD29" i="1"/>
  <c r="J47" i="17"/>
  <c r="U47" i="1"/>
  <c r="AB47" i="1"/>
  <c r="E48" i="17"/>
  <c r="H48" i="17" s="1"/>
  <c r="F36" i="20"/>
  <c r="AL24" i="1"/>
  <c r="C25" i="16"/>
  <c r="F25" i="16" s="1"/>
  <c r="N25" i="1" s="1"/>
  <c r="AB36" i="1"/>
  <c r="E37" i="17"/>
  <c r="H37" i="17" s="1"/>
  <c r="U36" i="1"/>
  <c r="J36" i="17"/>
  <c r="Z47" i="17"/>
  <c r="AJ26" i="17"/>
  <c r="AK27" i="17" s="1"/>
  <c r="AG26" i="1"/>
  <c r="AK26" i="1"/>
  <c r="AF26" i="1"/>
  <c r="F44" i="20"/>
  <c r="AF29" i="17"/>
  <c r="AG29" i="17" s="1"/>
  <c r="V30" i="1"/>
  <c r="F47" i="20"/>
  <c r="F16" i="20"/>
  <c r="Z36" i="17"/>
  <c r="Z44" i="17"/>
  <c r="AS24" i="1"/>
  <c r="I25" i="16"/>
  <c r="L25" i="16" s="1"/>
  <c r="O25" i="1" s="1"/>
  <c r="E29" i="20"/>
  <c r="J44" i="17"/>
  <c r="F21" i="17" s="1"/>
  <c r="AB44" i="1"/>
  <c r="U44" i="1"/>
  <c r="J16" i="17"/>
  <c r="U16" i="1"/>
  <c r="AB16" i="1"/>
  <c r="E17" i="17"/>
  <c r="H17" i="17" s="1"/>
  <c r="I50" i="24"/>
  <c r="Q50" i="24"/>
  <c r="E36" i="20" l="1"/>
  <c r="AS25" i="1"/>
  <c r="I26" i="16"/>
  <c r="L26" i="16" s="1"/>
  <c r="O26" i="1" s="1"/>
  <c r="AS26" i="1" s="1"/>
  <c r="AL25" i="1"/>
  <c r="C26" i="16"/>
  <c r="F26" i="16" s="1"/>
  <c r="N26" i="1" s="1"/>
  <c r="AL26" i="1" s="1"/>
  <c r="V48" i="1"/>
  <c r="AF47" i="17"/>
  <c r="AG47" i="17" s="1"/>
  <c r="G29" i="20"/>
  <c r="AH29" i="1"/>
  <c r="E44" i="20"/>
  <c r="K37" i="17"/>
  <c r="N37" i="17" s="1"/>
  <c r="AD36" i="1"/>
  <c r="P36" i="17"/>
  <c r="E47" i="20"/>
  <c r="E16" i="20"/>
  <c r="P16" i="17"/>
  <c r="AD16" i="1"/>
  <c r="K17" i="17"/>
  <c r="N17" i="17" s="1"/>
  <c r="V17" i="1"/>
  <c r="AF16" i="17"/>
  <c r="AG16" i="17" s="1"/>
  <c r="AD44" i="1"/>
  <c r="P44" i="17"/>
  <c r="L21" i="17" s="1"/>
  <c r="Q30" i="17"/>
  <c r="C29" i="18"/>
  <c r="D29" i="18" s="1"/>
  <c r="AX30" i="1"/>
  <c r="AZ29" i="1" s="1"/>
  <c r="AA30" i="1"/>
  <c r="I30" i="17"/>
  <c r="T30" i="1"/>
  <c r="V37" i="1"/>
  <c r="AF36" i="17"/>
  <c r="AG36" i="17" s="1"/>
  <c r="K48" i="17"/>
  <c r="N48" i="17" s="1"/>
  <c r="P47" i="17"/>
  <c r="AD47" i="1"/>
  <c r="O50" i="24"/>
  <c r="AR29" i="1"/>
  <c r="AP29" i="1"/>
  <c r="AV29" i="1"/>
  <c r="AT29" i="1"/>
  <c r="AU29" i="1"/>
  <c r="AQ29" i="1"/>
  <c r="AM29" i="1"/>
  <c r="AI29" i="1"/>
  <c r="AN29" i="1"/>
  <c r="AO29" i="1" l="1"/>
  <c r="AI29" i="17"/>
  <c r="AK29" i="17" s="1"/>
  <c r="H29" i="20"/>
  <c r="AA29" i="17" s="1"/>
  <c r="AB29" i="17" s="1"/>
  <c r="AD29" i="17" s="1"/>
  <c r="I29" i="20"/>
  <c r="W30" i="17" s="1"/>
  <c r="C47" i="18"/>
  <c r="D47" i="18" s="1"/>
  <c r="Q48" i="17"/>
  <c r="T30" i="17"/>
  <c r="T17" i="1"/>
  <c r="I17" i="17"/>
  <c r="AA17" i="1"/>
  <c r="AX17" i="1"/>
  <c r="AZ16" i="1" s="1"/>
  <c r="C44" i="18"/>
  <c r="D44" i="18" s="1"/>
  <c r="R21" i="17"/>
  <c r="AX48" i="1"/>
  <c r="AZ47" i="1" s="1"/>
  <c r="I48" i="17"/>
  <c r="AA48" i="1"/>
  <c r="T48" i="1"/>
  <c r="C16" i="18"/>
  <c r="D16" i="18" s="1"/>
  <c r="Q17" i="17"/>
  <c r="G36" i="20"/>
  <c r="AH36" i="1"/>
  <c r="AC30" i="1"/>
  <c r="O30" i="17"/>
  <c r="W30" i="1"/>
  <c r="D30" i="20"/>
  <c r="U30" i="17" s="1"/>
  <c r="V30" i="17" s="1"/>
  <c r="G47" i="20"/>
  <c r="AH47" i="1"/>
  <c r="T37" i="1"/>
  <c r="I37" i="17"/>
  <c r="AA37" i="1"/>
  <c r="AX37" i="1"/>
  <c r="AZ36" i="1" s="1"/>
  <c r="G44" i="20"/>
  <c r="AH44" i="1"/>
  <c r="G16" i="20"/>
  <c r="AH16" i="1"/>
  <c r="C36" i="18"/>
  <c r="D36" i="18" s="1"/>
  <c r="Q37" i="17"/>
  <c r="J50" i="24"/>
  <c r="U50" i="24"/>
  <c r="J4" i="14"/>
  <c r="AP47" i="1"/>
  <c r="AV47" i="1"/>
  <c r="AR47" i="1"/>
  <c r="AQ47" i="1"/>
  <c r="AT47" i="1"/>
  <c r="AU47" i="1"/>
  <c r="AN47" i="1"/>
  <c r="AM47" i="1"/>
  <c r="AI47" i="1"/>
  <c r="AV16" i="1"/>
  <c r="AP16" i="1"/>
  <c r="AN16" i="1"/>
  <c r="AM16" i="1"/>
  <c r="AI16" i="1"/>
  <c r="AT16" i="1"/>
  <c r="AU16" i="1"/>
  <c r="AR16" i="1"/>
  <c r="AQ16" i="1"/>
  <c r="AP36" i="1"/>
  <c r="AV36" i="1"/>
  <c r="AR36" i="1"/>
  <c r="AQ36" i="1"/>
  <c r="AN36" i="1"/>
  <c r="AI36" i="1"/>
  <c r="AM36" i="1"/>
  <c r="AT36" i="1"/>
  <c r="AU36" i="1"/>
  <c r="AP44" i="1"/>
  <c r="AV44" i="1"/>
  <c r="AR44" i="1"/>
  <c r="AQ44" i="1"/>
  <c r="AN44" i="1"/>
  <c r="AM44" i="1"/>
  <c r="AI44" i="1"/>
  <c r="AU44" i="1"/>
  <c r="AT44" i="1"/>
  <c r="AI44" i="17" l="1"/>
  <c r="AK44" i="17" s="1"/>
  <c r="H44" i="20"/>
  <c r="AA44" i="17" s="1"/>
  <c r="AB44" i="17" s="1"/>
  <c r="AD44" i="17" s="1"/>
  <c r="I44" i="20"/>
  <c r="X21" i="17" s="1"/>
  <c r="AO44" i="1"/>
  <c r="H36" i="20"/>
  <c r="AA36" i="17" s="1"/>
  <c r="AB36" i="17" s="1"/>
  <c r="AD36" i="17" s="1"/>
  <c r="I36" i="20"/>
  <c r="W37" i="17" s="1"/>
  <c r="AI36" i="17"/>
  <c r="AK36" i="17" s="1"/>
  <c r="AO36" i="1"/>
  <c r="AI16" i="17"/>
  <c r="AK16" i="17" s="1"/>
  <c r="H16" i="20"/>
  <c r="AA16" i="17" s="1"/>
  <c r="AB16" i="17" s="1"/>
  <c r="AD16" i="17" s="1"/>
  <c r="I16" i="20"/>
  <c r="W17" i="17" s="1"/>
  <c r="AO16" i="1"/>
  <c r="AI47" i="17"/>
  <c r="AK47" i="17" s="1"/>
  <c r="H47" i="20"/>
  <c r="AA47" i="17" s="1"/>
  <c r="AB47" i="17" s="1"/>
  <c r="AD47" i="17" s="1"/>
  <c r="I47" i="20"/>
  <c r="W48" i="17" s="1"/>
  <c r="AO47" i="1"/>
  <c r="E31" i="17"/>
  <c r="H31" i="17" s="1"/>
  <c r="AB30" i="1"/>
  <c r="J30" i="17"/>
  <c r="U30" i="1"/>
  <c r="T17" i="17"/>
  <c r="V17" i="17"/>
  <c r="F30" i="20"/>
  <c r="W17" i="1"/>
  <c r="D17" i="20"/>
  <c r="U17" i="17" s="1"/>
  <c r="Z30" i="17"/>
  <c r="D37" i="20"/>
  <c r="U37" i="17" s="1"/>
  <c r="V37" i="17" s="1"/>
  <c r="W37" i="1"/>
  <c r="T37" i="17"/>
  <c r="AC37" i="1"/>
  <c r="O37" i="17"/>
  <c r="AC48" i="1"/>
  <c r="O48" i="17"/>
  <c r="W48" i="1"/>
  <c r="D48" i="20"/>
  <c r="U48" i="17" s="1"/>
  <c r="O17" i="17"/>
  <c r="AC17" i="1"/>
  <c r="T48" i="17"/>
  <c r="P50" i="24"/>
  <c r="A4" i="45"/>
  <c r="E4" i="45" s="1"/>
  <c r="A5" i="45"/>
  <c r="E5" i="45" s="1"/>
  <c r="A6" i="45"/>
  <c r="H6" i="45" s="1"/>
  <c r="A7" i="45"/>
  <c r="N7" i="45" s="1"/>
  <c r="A8" i="45"/>
  <c r="E8" i="45" s="1"/>
  <c r="F4" i="45"/>
  <c r="F6" i="45"/>
  <c r="F8" i="45"/>
  <c r="G4" i="45"/>
  <c r="G5" i="45"/>
  <c r="G6" i="45"/>
  <c r="G8" i="45"/>
  <c r="H4" i="45"/>
  <c r="H8" i="45"/>
  <c r="I4" i="45"/>
  <c r="I8" i="45"/>
  <c r="J4" i="45"/>
  <c r="K4" i="45"/>
  <c r="K8" i="45"/>
  <c r="L4" i="45"/>
  <c r="L8" i="45"/>
  <c r="M4" i="45"/>
  <c r="M8" i="45"/>
  <c r="N4" i="45"/>
  <c r="N8" i="45"/>
  <c r="O4" i="45"/>
  <c r="O8" i="45"/>
  <c r="N2" i="45"/>
  <c r="M2" i="45"/>
  <c r="L2" i="45"/>
  <c r="K2" i="45"/>
  <c r="J2" i="45"/>
  <c r="I2" i="45"/>
  <c r="H2" i="45"/>
  <c r="G2" i="45"/>
  <c r="F2" i="45"/>
  <c r="E2" i="45"/>
  <c r="D2" i="45"/>
  <c r="C2" i="45"/>
  <c r="B2" i="45"/>
  <c r="D4" i="45"/>
  <c r="D6" i="45"/>
  <c r="D8" i="45"/>
  <c r="C4" i="45"/>
  <c r="C6" i="45"/>
  <c r="C8" i="45"/>
  <c r="B6" i="45"/>
  <c r="V48" i="17" l="1"/>
  <c r="F48" i="20"/>
  <c r="J37" i="17"/>
  <c r="E38" i="17"/>
  <c r="H38" i="17" s="1"/>
  <c r="AB37" i="1"/>
  <c r="U37" i="1"/>
  <c r="AD30" i="1"/>
  <c r="P30" i="17"/>
  <c r="K31" i="17"/>
  <c r="N31" i="17" s="1"/>
  <c r="AB17" i="1"/>
  <c r="E18" i="17"/>
  <c r="H18" i="17" s="1"/>
  <c r="J17" i="17"/>
  <c r="U17" i="1"/>
  <c r="Z48" i="17"/>
  <c r="Z17" i="17"/>
  <c r="U48" i="1"/>
  <c r="AB48" i="1"/>
  <c r="E49" i="17"/>
  <c r="H49" i="17" s="1"/>
  <c r="J48" i="17"/>
  <c r="E30" i="20"/>
  <c r="Z37" i="17"/>
  <c r="F17" i="20"/>
  <c r="F37" i="20"/>
  <c r="AF30" i="17"/>
  <c r="AG30" i="17" s="1"/>
  <c r="V31" i="1"/>
  <c r="O6" i="45"/>
  <c r="M6" i="45"/>
  <c r="K6" i="45"/>
  <c r="I6" i="45"/>
  <c r="D5" i="45"/>
  <c r="K5" i="45"/>
  <c r="M5" i="45"/>
  <c r="B8" i="45"/>
  <c r="B5" i="45"/>
  <c r="I5" i="45"/>
  <c r="O5" i="45"/>
  <c r="J8" i="45"/>
  <c r="C5" i="45"/>
  <c r="N6" i="45"/>
  <c r="N11" i="45" s="1" a="1"/>
  <c r="N11" i="45" s="1"/>
  <c r="J6" i="45"/>
  <c r="F5" i="45"/>
  <c r="N5" i="45"/>
  <c r="L5" i="45"/>
  <c r="J5" i="45"/>
  <c r="L6" i="45"/>
  <c r="H5" i="45"/>
  <c r="E6" i="45"/>
  <c r="L7" i="45"/>
  <c r="B7" i="45"/>
  <c r="D7" i="45"/>
  <c r="D11" i="45" s="1" a="1"/>
  <c r="D11" i="45" s="1"/>
  <c r="D10" i="45" s="1"/>
  <c r="E7" i="45"/>
  <c r="F7" i="45"/>
  <c r="F12" i="45" s="1" a="1"/>
  <c r="F12" i="45" s="1"/>
  <c r="I7" i="45"/>
  <c r="H7" i="45"/>
  <c r="H15" i="45" s="1" a="1"/>
  <c r="H15" i="45" s="1"/>
  <c r="K7" i="45"/>
  <c r="K12" i="45" s="1" a="1"/>
  <c r="K12" i="45" s="1"/>
  <c r="G7" i="45"/>
  <c r="G15" i="45" s="1" a="1"/>
  <c r="G15" i="45" s="1"/>
  <c r="J7" i="45"/>
  <c r="O7" i="45"/>
  <c r="O11" i="45" s="1" a="1"/>
  <c r="O11" i="45" s="1"/>
  <c r="C7" i="45"/>
  <c r="M7" i="45"/>
  <c r="B4" i="45"/>
  <c r="AF48" i="17" l="1"/>
  <c r="AG48" i="17" s="1"/>
  <c r="V49" i="1"/>
  <c r="AF37" i="17"/>
  <c r="AG37" i="17" s="1"/>
  <c r="V38" i="1"/>
  <c r="E48" i="20"/>
  <c r="V18" i="1"/>
  <c r="AF17" i="17"/>
  <c r="AG17" i="17" s="1"/>
  <c r="G30" i="20"/>
  <c r="AH30" i="1"/>
  <c r="C30" i="18"/>
  <c r="D30" i="18" s="1"/>
  <c r="Q31" i="17"/>
  <c r="P48" i="17"/>
  <c r="AD48" i="1"/>
  <c r="K49" i="17"/>
  <c r="N49" i="17" s="1"/>
  <c r="E17" i="20"/>
  <c r="P37" i="17"/>
  <c r="AD37" i="1"/>
  <c r="K38" i="17"/>
  <c r="N38" i="17" s="1"/>
  <c r="AA31" i="1"/>
  <c r="AX31" i="1"/>
  <c r="I31" i="17"/>
  <c r="T31" i="1"/>
  <c r="AD17" i="1"/>
  <c r="K18" i="17"/>
  <c r="N18" i="17" s="1"/>
  <c r="P17" i="17"/>
  <c r="E37" i="20"/>
  <c r="N10" i="45"/>
  <c r="L10" i="45"/>
  <c r="K14" i="45" a="1"/>
  <c r="K14" i="45" s="1"/>
  <c r="M14" i="45" a="1"/>
  <c r="M14" i="45" s="1"/>
  <c r="M10" i="45"/>
  <c r="O10" i="45"/>
  <c r="C12" i="45" a="1"/>
  <c r="C12" i="45" s="1"/>
  <c r="K15" i="45" a="1"/>
  <c r="K15" i="45" s="1"/>
  <c r="J14" i="45" a="1"/>
  <c r="J14" i="45" s="1"/>
  <c r="I11" i="45" a="1"/>
  <c r="I11" i="45" s="1"/>
  <c r="I10" i="45" s="1"/>
  <c r="L12" i="45" a="1"/>
  <c r="L12" i="45" s="1"/>
  <c r="J13" i="45" a="1"/>
  <c r="J13" i="45" s="1"/>
  <c r="J15" i="45" a="1"/>
  <c r="J15" i="45" s="1"/>
  <c r="N14" i="45" a="1"/>
  <c r="N14" i="45" s="1"/>
  <c r="F11" i="45" a="1"/>
  <c r="F11" i="45" s="1"/>
  <c r="F10" i="45" s="1"/>
  <c r="C15" i="45" a="1"/>
  <c r="C15" i="45" s="1"/>
  <c r="J11" i="45" a="1"/>
  <c r="J11" i="45" s="1"/>
  <c r="J10" i="45" s="1"/>
  <c r="C13" i="45" a="1"/>
  <c r="C13" i="45" s="1"/>
  <c r="E12" i="45" a="1"/>
  <c r="E12" i="45" s="1"/>
  <c r="N15" i="45" a="1"/>
  <c r="N15" i="45" s="1"/>
  <c r="F13" i="45" a="1"/>
  <c r="F13" i="45" s="1"/>
  <c r="F14" i="45" a="1"/>
  <c r="F14" i="45" s="1"/>
  <c r="M12" i="45" a="1"/>
  <c r="M12" i="45" s="1"/>
  <c r="M11" i="45" a="1"/>
  <c r="M11" i="45" s="1"/>
  <c r="J12" i="45" a="1"/>
  <c r="J12" i="45" s="1"/>
  <c r="H14" i="45" a="1"/>
  <c r="H14" i="45" s="1"/>
  <c r="I12" i="45" a="1"/>
  <c r="I12" i="45" s="1"/>
  <c r="O13" i="45" a="1"/>
  <c r="O13" i="45" s="1"/>
  <c r="L15" i="45" a="1"/>
  <c r="L15" i="45" s="1"/>
  <c r="N12" i="45" a="1"/>
  <c r="N12" i="45" s="1"/>
  <c r="M15" i="45" a="1"/>
  <c r="M15" i="45" s="1"/>
  <c r="K11" i="45" a="1"/>
  <c r="K11" i="45" s="1"/>
  <c r="K10" i="45" s="1"/>
  <c r="E14" i="45" a="1"/>
  <c r="E14" i="45" s="1"/>
  <c r="I14" i="45" a="1"/>
  <c r="I14" i="45" s="1"/>
  <c r="O15" i="45" a="1"/>
  <c r="O15" i="45" s="1"/>
  <c r="L14" i="45" a="1"/>
  <c r="L14" i="45" s="1"/>
  <c r="O14" i="45" a="1"/>
  <c r="O14" i="45" s="1"/>
  <c r="L11" i="45" a="1"/>
  <c r="L11" i="45" s="1"/>
  <c r="B14" i="45" a="1"/>
  <c r="B14" i="45" s="1"/>
  <c r="B12" i="45" a="1"/>
  <c r="B12" i="45" s="1"/>
  <c r="B10" i="45" s="1"/>
  <c r="B15" i="45" a="1"/>
  <c r="B15" i="45" s="1"/>
  <c r="B11" i="45" a="1"/>
  <c r="B11" i="45" s="1"/>
  <c r="B13" i="45" a="1"/>
  <c r="B13" i="45" s="1"/>
  <c r="H11" i="45" a="1"/>
  <c r="H11" i="45" s="1"/>
  <c r="H10" i="45" s="1"/>
  <c r="E15" i="45" a="1"/>
  <c r="E15" i="45" s="1"/>
  <c r="I15" i="45" a="1"/>
  <c r="I15" i="45" s="1"/>
  <c r="L13" i="45" a="1"/>
  <c r="L13" i="45" s="1"/>
  <c r="C14" i="45" a="1"/>
  <c r="C14" i="45" s="1"/>
  <c r="D12" i="45" a="1"/>
  <c r="D12" i="45" s="1"/>
  <c r="E11" i="45" a="1"/>
  <c r="E11" i="45" s="1"/>
  <c r="E10" i="45" s="1"/>
  <c r="I13" i="45" a="1"/>
  <c r="I13" i="45" s="1"/>
  <c r="D13" i="45" a="1"/>
  <c r="D13" i="45" s="1"/>
  <c r="E13" i="45" a="1"/>
  <c r="E13" i="45" s="1"/>
  <c r="G12" i="45" a="1"/>
  <c r="G12" i="45" s="1"/>
  <c r="G14" i="45" a="1"/>
  <c r="G14" i="45" s="1"/>
  <c r="H12" i="45" a="1"/>
  <c r="H12" i="45" s="1"/>
  <c r="H13" i="45" a="1"/>
  <c r="H13" i="45" s="1"/>
  <c r="N13" i="45" a="1"/>
  <c r="N13" i="45" s="1"/>
  <c r="M13" i="45" a="1"/>
  <c r="M13" i="45" s="1"/>
  <c r="F15" i="45" a="1"/>
  <c r="F15" i="45" s="1"/>
  <c r="C11" i="45" a="1"/>
  <c r="C11" i="45" s="1"/>
  <c r="C10" i="45" s="1"/>
  <c r="K13" i="45" a="1"/>
  <c r="K13" i="45" s="1"/>
  <c r="D15" i="45" a="1"/>
  <c r="D15" i="45" s="1"/>
  <c r="O12" i="45" a="1"/>
  <c r="O12" i="45" s="1"/>
  <c r="G13" i="45" a="1"/>
  <c r="G13" i="45" s="1"/>
  <c r="D14" i="45" a="1"/>
  <c r="D14" i="45" s="1"/>
  <c r="G11" i="45" a="1"/>
  <c r="G11" i="45" s="1"/>
  <c r="G10" i="45" s="1"/>
  <c r="AP30" i="1"/>
  <c r="AV30" i="1"/>
  <c r="AR30" i="1"/>
  <c r="AQ30" i="1"/>
  <c r="AN30" i="1"/>
  <c r="AM30" i="1"/>
  <c r="AI30" i="1"/>
  <c r="AT30" i="1"/>
  <c r="AU30" i="1"/>
  <c r="AI30" i="17" l="1"/>
  <c r="AK30" i="17" s="1"/>
  <c r="H30" i="20"/>
  <c r="AA30" i="17" s="1"/>
  <c r="AB30" i="17" s="1"/>
  <c r="AD30" i="17" s="1"/>
  <c r="I30" i="20"/>
  <c r="W31" i="17" s="1"/>
  <c r="AO30" i="1"/>
  <c r="AA38" i="1"/>
  <c r="T38" i="1"/>
  <c r="AX38" i="1"/>
  <c r="AZ37" i="1" s="1"/>
  <c r="I38" i="17"/>
  <c r="C37" i="18"/>
  <c r="D37" i="18" s="1"/>
  <c r="Q38" i="17"/>
  <c r="O31" i="17"/>
  <c r="AC31" i="1"/>
  <c r="C17" i="18"/>
  <c r="D17" i="18" s="1"/>
  <c r="Q18" i="17"/>
  <c r="G37" i="20"/>
  <c r="AH37" i="1"/>
  <c r="T18" i="1"/>
  <c r="I18" i="17"/>
  <c r="AA18" i="1"/>
  <c r="AX18" i="1"/>
  <c r="AZ17" i="1" s="1"/>
  <c r="AZ30" i="1"/>
  <c r="AZ31" i="1"/>
  <c r="G48" i="20"/>
  <c r="AH48" i="1"/>
  <c r="I49" i="17"/>
  <c r="T49" i="1"/>
  <c r="AX49" i="1"/>
  <c r="AA49" i="1"/>
  <c r="T31" i="17"/>
  <c r="G17" i="20"/>
  <c r="AH17" i="1"/>
  <c r="D31" i="20"/>
  <c r="U31" i="17" s="1"/>
  <c r="W31" i="1"/>
  <c r="C48" i="18"/>
  <c r="D48" i="18" s="1"/>
  <c r="Q49" i="17"/>
  <c r="C11" i="24"/>
  <c r="C10" i="24"/>
  <c r="C9" i="24"/>
  <c r="C8" i="24"/>
  <c r="C7" i="24"/>
  <c r="K6" i="24"/>
  <c r="K5" i="24"/>
  <c r="K4" i="24"/>
  <c r="K3" i="24"/>
  <c r="K2" i="24"/>
  <c r="AP48" i="1"/>
  <c r="AV48" i="1"/>
  <c r="AN48" i="1"/>
  <c r="AM48" i="1"/>
  <c r="AI48" i="1"/>
  <c r="AR48" i="1"/>
  <c r="AQ48" i="1"/>
  <c r="AT48" i="1"/>
  <c r="AU48" i="1"/>
  <c r="AP37" i="1"/>
  <c r="AV37" i="1"/>
  <c r="AN37" i="1"/>
  <c r="AI37" i="1"/>
  <c r="AM37" i="1"/>
  <c r="AR37" i="1"/>
  <c r="AQ37" i="1"/>
  <c r="AT37" i="1"/>
  <c r="AU37" i="1"/>
  <c r="AV17" i="1"/>
  <c r="AP17" i="1"/>
  <c r="AN17" i="1"/>
  <c r="AM17" i="1"/>
  <c r="AI17" i="1"/>
  <c r="AR17" i="1"/>
  <c r="AQ17" i="1"/>
  <c r="AT17" i="1"/>
  <c r="AU17" i="1"/>
  <c r="V31" i="17" l="1"/>
  <c r="AI17" i="17"/>
  <c r="AK17" i="17" s="1"/>
  <c r="H17" i="20"/>
  <c r="AA17" i="17" s="1"/>
  <c r="AB17" i="17" s="1"/>
  <c r="AD17" i="17" s="1"/>
  <c r="I17" i="20"/>
  <c r="W18" i="17" s="1"/>
  <c r="AO17" i="1"/>
  <c r="H37" i="20"/>
  <c r="AA37" i="17" s="1"/>
  <c r="AB37" i="17" s="1"/>
  <c r="AD37" i="17" s="1"/>
  <c r="I37" i="20"/>
  <c r="W38" i="17" s="1"/>
  <c r="AI37" i="17"/>
  <c r="AK37" i="17" s="1"/>
  <c r="AO37" i="1"/>
  <c r="AI48" i="17"/>
  <c r="AK48" i="17" s="1"/>
  <c r="H48" i="20"/>
  <c r="AA48" i="17" s="1"/>
  <c r="AB48" i="17" s="1"/>
  <c r="AD48" i="17" s="1"/>
  <c r="I48" i="20"/>
  <c r="W49" i="17" s="1"/>
  <c r="AO48" i="1"/>
  <c r="D38" i="20"/>
  <c r="U38" i="17" s="1"/>
  <c r="W38" i="1"/>
  <c r="AZ48" i="1"/>
  <c r="AZ49" i="1"/>
  <c r="D18" i="20"/>
  <c r="U18" i="17" s="1"/>
  <c r="W18" i="1"/>
  <c r="F31" i="20"/>
  <c r="Z31" i="17"/>
  <c r="J31" i="17"/>
  <c r="F24" i="17" s="1"/>
  <c r="U31" i="1"/>
  <c r="AB31" i="1"/>
  <c r="O49" i="17"/>
  <c r="AC49" i="1"/>
  <c r="T49" i="17"/>
  <c r="AC18" i="1"/>
  <c r="O18" i="17"/>
  <c r="T18" i="17"/>
  <c r="T38" i="17"/>
  <c r="O38" i="17"/>
  <c r="AC38" i="1"/>
  <c r="D49" i="20"/>
  <c r="U49" i="17" s="1"/>
  <c r="V49" i="17" s="1"/>
  <c r="W49" i="1"/>
  <c r="K40" i="24"/>
  <c r="J40" i="24"/>
  <c r="E40" i="24"/>
  <c r="D40" i="24"/>
  <c r="V38" i="17" l="1"/>
  <c r="V18" i="17"/>
  <c r="F49" i="20"/>
  <c r="J49" i="17"/>
  <c r="F40" i="17" s="1"/>
  <c r="U49" i="1"/>
  <c r="AB49" i="1"/>
  <c r="E31" i="20"/>
  <c r="F18" i="20"/>
  <c r="P31" i="17"/>
  <c r="L24" i="17" s="1"/>
  <c r="AD31" i="1"/>
  <c r="U18" i="1"/>
  <c r="AB18" i="1"/>
  <c r="E19" i="17"/>
  <c r="H19" i="17" s="1"/>
  <c r="J18" i="17"/>
  <c r="Z49" i="17"/>
  <c r="Z18" i="17"/>
  <c r="E39" i="17"/>
  <c r="H39" i="17" s="1"/>
  <c r="AB38" i="1"/>
  <c r="U38" i="1"/>
  <c r="J38" i="17"/>
  <c r="Z38" i="17"/>
  <c r="F38" i="20"/>
  <c r="A80" i="24"/>
  <c r="A90" i="24"/>
  <c r="K39" i="17" l="1"/>
  <c r="N39" i="17" s="1"/>
  <c r="P38" i="17"/>
  <c r="AD38" i="1"/>
  <c r="V39" i="1"/>
  <c r="AF38" i="17"/>
  <c r="AG38" i="17" s="1"/>
  <c r="AD18" i="1"/>
  <c r="K19" i="17"/>
  <c r="N19" i="17" s="1"/>
  <c r="P18" i="17"/>
  <c r="AD49" i="1"/>
  <c r="P49" i="17"/>
  <c r="L40" i="17" s="1"/>
  <c r="G31" i="20"/>
  <c r="AH31" i="1"/>
  <c r="C31" i="18"/>
  <c r="D31" i="18" s="1"/>
  <c r="R24" i="17"/>
  <c r="V19" i="1"/>
  <c r="AF18" i="17"/>
  <c r="AG18" i="17" s="1"/>
  <c r="E38" i="20"/>
  <c r="E18" i="20"/>
  <c r="E49" i="20"/>
  <c r="B40" i="24"/>
  <c r="A40" i="24"/>
  <c r="B70" i="24"/>
  <c r="A70" i="24"/>
  <c r="AV31" i="1"/>
  <c r="AP31" i="1"/>
  <c r="AR31" i="1"/>
  <c r="AQ31" i="1"/>
  <c r="AT31" i="1"/>
  <c r="AU31" i="1"/>
  <c r="AN31" i="1"/>
  <c r="AM31" i="1"/>
  <c r="AI31" i="1"/>
  <c r="AI31" i="17" l="1"/>
  <c r="AK31" i="17" s="1"/>
  <c r="H31" i="20"/>
  <c r="AA31" i="17" s="1"/>
  <c r="AB31" i="17" s="1"/>
  <c r="AD31" i="17" s="1"/>
  <c r="I31" i="20"/>
  <c r="X24" i="17" s="1"/>
  <c r="AO31" i="1"/>
  <c r="T39" i="1"/>
  <c r="I39" i="17"/>
  <c r="AX39" i="1"/>
  <c r="AZ38" i="1" s="1"/>
  <c r="AA39" i="1"/>
  <c r="C18" i="18"/>
  <c r="D18" i="18" s="1"/>
  <c r="Q19" i="17"/>
  <c r="T19" i="1"/>
  <c r="AA19" i="1"/>
  <c r="AX19" i="1"/>
  <c r="AZ18" i="1" s="1"/>
  <c r="I19" i="17"/>
  <c r="G38" i="20"/>
  <c r="AH38" i="1"/>
  <c r="C49" i="18"/>
  <c r="D49" i="18" s="1"/>
  <c r="R40" i="17"/>
  <c r="C38" i="18"/>
  <c r="D38" i="18" s="1"/>
  <c r="Q39" i="17"/>
  <c r="G49" i="20"/>
  <c r="AH49" i="1"/>
  <c r="G18" i="20"/>
  <c r="AH18" i="1"/>
  <c r="L50" i="24"/>
  <c r="R50" i="24"/>
  <c r="S50" i="24"/>
  <c r="M50" i="24"/>
  <c r="G50" i="24"/>
  <c r="X50" i="24"/>
  <c r="F50" i="24"/>
  <c r="Y50" i="24"/>
  <c r="N10" i="31"/>
  <c r="N9" i="31"/>
  <c r="N22" i="31"/>
  <c r="N21" i="31"/>
  <c r="N18" i="31"/>
  <c r="N17" i="31"/>
  <c r="L24" i="21"/>
  <c r="F32" i="21" s="1"/>
  <c r="AV18" i="1"/>
  <c r="AP18" i="1"/>
  <c r="AN18" i="1"/>
  <c r="AM18" i="1"/>
  <c r="AI18" i="1"/>
  <c r="AT18" i="1"/>
  <c r="AU18" i="1"/>
  <c r="AR18" i="1"/>
  <c r="AQ18" i="1"/>
  <c r="AP49" i="1"/>
  <c r="AV49" i="1"/>
  <c r="AN49" i="1"/>
  <c r="AM49" i="1"/>
  <c r="AI49" i="1"/>
  <c r="AR49" i="1"/>
  <c r="AQ49" i="1"/>
  <c r="AT49" i="1"/>
  <c r="AU49" i="1"/>
  <c r="AP38" i="1"/>
  <c r="AV38" i="1"/>
  <c r="AR38" i="1"/>
  <c r="AQ38" i="1"/>
  <c r="AN38" i="1"/>
  <c r="AI38" i="1"/>
  <c r="AM38" i="1"/>
  <c r="AT38" i="1"/>
  <c r="AU38" i="1"/>
  <c r="H38" i="20" l="1"/>
  <c r="AA38" i="17" s="1"/>
  <c r="AB38" i="17" s="1"/>
  <c r="AD38" i="17" s="1"/>
  <c r="I38" i="20"/>
  <c r="W39" i="17" s="1"/>
  <c r="AI38" i="17"/>
  <c r="AK38" i="17" s="1"/>
  <c r="AO38" i="1"/>
  <c r="AI49" i="17"/>
  <c r="AK49" i="17" s="1"/>
  <c r="H49" i="20"/>
  <c r="AA49" i="17" s="1"/>
  <c r="AB49" i="17" s="1"/>
  <c r="AD49" i="17" s="1"/>
  <c r="I49" i="20"/>
  <c r="X40" i="17" s="1"/>
  <c r="AO49" i="1"/>
  <c r="AI18" i="17"/>
  <c r="AK18" i="17" s="1"/>
  <c r="H18" i="20"/>
  <c r="AA18" i="17" s="1"/>
  <c r="AB18" i="17" s="1"/>
  <c r="AD18" i="17" s="1"/>
  <c r="I18" i="20"/>
  <c r="W19" i="17" s="1"/>
  <c r="AO18" i="1"/>
  <c r="T39" i="17"/>
  <c r="D19" i="20"/>
  <c r="U19" i="17" s="1"/>
  <c r="V19" i="17" s="1"/>
  <c r="W19" i="1"/>
  <c r="W39" i="1"/>
  <c r="D39" i="20"/>
  <c r="U39" i="17" s="1"/>
  <c r="V39" i="17" s="1"/>
  <c r="O19" i="17"/>
  <c r="AC19" i="1"/>
  <c r="T19" i="17"/>
  <c r="AC39" i="1"/>
  <c r="O39" i="17"/>
  <c r="H50" i="24"/>
  <c r="T50" i="24"/>
  <c r="V50" i="24" s="1"/>
  <c r="N50" i="24"/>
  <c r="M40" i="24"/>
  <c r="G40" i="24"/>
  <c r="N15" i="31"/>
  <c r="N16" i="31"/>
  <c r="E40" i="17" l="1"/>
  <c r="H40" i="17" s="1"/>
  <c r="AB39" i="1"/>
  <c r="U39" i="1"/>
  <c r="J39" i="17"/>
  <c r="J19" i="17"/>
  <c r="U19" i="1"/>
  <c r="AB19" i="1"/>
  <c r="E20" i="17"/>
  <c r="H20" i="17" s="1"/>
  <c r="Z19" i="17"/>
  <c r="F39" i="20"/>
  <c r="F19" i="20"/>
  <c r="Z39" i="17"/>
  <c r="L38" i="21"/>
  <c r="L40" i="21"/>
  <c r="V20" i="1" l="1"/>
  <c r="AF19" i="17"/>
  <c r="AG19" i="17" s="1"/>
  <c r="E19" i="20"/>
  <c r="K40" i="17"/>
  <c r="N40" i="17" s="1"/>
  <c r="P39" i="17"/>
  <c r="AD39" i="1"/>
  <c r="K20" i="17"/>
  <c r="N20" i="17" s="1"/>
  <c r="P19" i="17"/>
  <c r="AD19" i="1"/>
  <c r="E39" i="20"/>
  <c r="V40" i="1"/>
  <c r="AF49" i="17"/>
  <c r="AG49" i="17" s="1"/>
  <c r="AF39" i="17"/>
  <c r="AG39" i="17" s="1"/>
  <c r="N40" i="24"/>
  <c r="J40" i="21"/>
  <c r="G19" i="20" l="1"/>
  <c r="AH19" i="1"/>
  <c r="C39" i="18"/>
  <c r="D39" i="18" s="1"/>
  <c r="Q40" i="17"/>
  <c r="G39" i="20"/>
  <c r="AH39" i="1"/>
  <c r="C19" i="18"/>
  <c r="D19" i="18" s="1"/>
  <c r="Q20" i="17"/>
  <c r="AA40" i="1"/>
  <c r="T40" i="1"/>
  <c r="I40" i="17"/>
  <c r="AX40" i="1"/>
  <c r="AZ39" i="1" s="1"/>
  <c r="T20" i="1"/>
  <c r="AA20" i="1"/>
  <c r="AX20" i="1"/>
  <c r="I20" i="17"/>
  <c r="N15" i="24"/>
  <c r="AL15" i="24" s="1"/>
  <c r="BE15" i="24" s="1"/>
  <c r="O15" i="24"/>
  <c r="AS15" i="24" s="1"/>
  <c r="J38" i="21"/>
  <c r="AQ19" i="1"/>
  <c r="AI19" i="1"/>
  <c r="AM19" i="1"/>
  <c r="AN19" i="1"/>
  <c r="AU19" i="1"/>
  <c r="AT19" i="1"/>
  <c r="AV19" i="1"/>
  <c r="AP19" i="1"/>
  <c r="AR19" i="1"/>
  <c r="AM39" i="1"/>
  <c r="AI39" i="1"/>
  <c r="AN39" i="1"/>
  <c r="AQ39" i="1"/>
  <c r="AU39" i="1"/>
  <c r="AT39" i="1"/>
  <c r="AP39" i="1"/>
  <c r="AV39" i="1"/>
  <c r="AR39" i="1"/>
  <c r="AM15" i="24"/>
  <c r="AN15" i="24"/>
  <c r="AU15" i="24"/>
  <c r="AP15" i="24"/>
  <c r="AQ15" i="24"/>
  <c r="AV15" i="24"/>
  <c r="AT15" i="24"/>
  <c r="AI15" i="24"/>
  <c r="AR15" i="24"/>
  <c r="AO39" i="1" l="1"/>
  <c r="AI39" i="17"/>
  <c r="AK39" i="17" s="1"/>
  <c r="H39" i="20"/>
  <c r="AA39" i="17" s="1"/>
  <c r="AB39" i="17" s="1"/>
  <c r="AD39" i="17" s="1"/>
  <c r="I39" i="20"/>
  <c r="W40" i="17" s="1"/>
  <c r="AO19" i="1"/>
  <c r="H19" i="20"/>
  <c r="AA19" i="17" s="1"/>
  <c r="AB19" i="17" s="1"/>
  <c r="AD19" i="17" s="1"/>
  <c r="I19" i="20"/>
  <c r="W20" i="17" s="1"/>
  <c r="AI19" i="17"/>
  <c r="AK19" i="17" s="1"/>
  <c r="T20" i="17"/>
  <c r="T40" i="17"/>
  <c r="W20" i="1"/>
  <c r="D20" i="20"/>
  <c r="U20" i="17" s="1"/>
  <c r="V20" i="17" s="1"/>
  <c r="AC40" i="1"/>
  <c r="O40" i="17"/>
  <c r="AZ19" i="1"/>
  <c r="AZ20" i="1"/>
  <c r="O20" i="17"/>
  <c r="AC20" i="1"/>
  <c r="W40" i="1"/>
  <c r="D40" i="20"/>
  <c r="U40" i="17" s="1"/>
  <c r="V40" i="17" s="1"/>
  <c r="AO15" i="24"/>
  <c r="K40" i="21"/>
  <c r="K38" i="21"/>
  <c r="F20" i="20" l="1"/>
  <c r="J40" i="17"/>
  <c r="E41" i="17"/>
  <c r="H41" i="17" s="1"/>
  <c r="U40" i="1"/>
  <c r="AB40" i="1"/>
  <c r="Z40" i="17"/>
  <c r="Z20" i="17"/>
  <c r="AB20" i="1"/>
  <c r="U20" i="1"/>
  <c r="E21" i="17"/>
  <c r="H21" i="17" s="1"/>
  <c r="J20" i="17"/>
  <c r="F40" i="20"/>
  <c r="H40" i="24"/>
  <c r="V41" i="1" l="1"/>
  <c r="AF40" i="17"/>
  <c r="AG40" i="17" s="1"/>
  <c r="K21" i="17"/>
  <c r="N21" i="17" s="1"/>
  <c r="P20" i="17"/>
  <c r="AD20" i="1"/>
  <c r="E20" i="20"/>
  <c r="E40" i="20"/>
  <c r="V21" i="1"/>
  <c r="AF44" i="17"/>
  <c r="AG44" i="17" s="1"/>
  <c r="AF20" i="17"/>
  <c r="AG20" i="17" s="1"/>
  <c r="P40" i="17"/>
  <c r="AD40" i="1"/>
  <c r="K41" i="17"/>
  <c r="N41" i="17" s="1"/>
  <c r="AI50" i="24"/>
  <c r="AK50" i="24" s="1"/>
  <c r="W50" i="24"/>
  <c r="Z50" i="24" s="1"/>
  <c r="K24" i="21"/>
  <c r="F33" i="21" s="1"/>
  <c r="C40" i="18" l="1"/>
  <c r="D40" i="18" s="1"/>
  <c r="Q41" i="17"/>
  <c r="G40" i="20"/>
  <c r="AH40" i="1"/>
  <c r="AX21" i="1"/>
  <c r="I21" i="17"/>
  <c r="T21" i="1"/>
  <c r="AA21" i="1"/>
  <c r="C20" i="18"/>
  <c r="D20" i="18" s="1"/>
  <c r="Q21" i="17"/>
  <c r="G20" i="20"/>
  <c r="AH20" i="1"/>
  <c r="T41" i="1"/>
  <c r="I41" i="17"/>
  <c r="AX41" i="1"/>
  <c r="AA41" i="1"/>
  <c r="AA50" i="24"/>
  <c r="AB50" i="24" s="1"/>
  <c r="AD50" i="24" s="1"/>
  <c r="L90" i="24"/>
  <c r="M90" i="24"/>
  <c r="L26" i="21"/>
  <c r="AU40" i="1"/>
  <c r="AT40" i="1"/>
  <c r="AM40" i="1"/>
  <c r="AI40" i="1"/>
  <c r="AN40" i="1"/>
  <c r="AQ40" i="1"/>
  <c r="AP40" i="1"/>
  <c r="AV40" i="1"/>
  <c r="AR40" i="1"/>
  <c r="AQ20" i="1"/>
  <c r="AI20" i="1"/>
  <c r="AM20" i="1"/>
  <c r="AN20" i="1"/>
  <c r="AU20" i="1"/>
  <c r="AT20" i="1"/>
  <c r="AV20" i="1"/>
  <c r="AP20" i="1"/>
  <c r="AR20" i="1"/>
  <c r="AO20" i="1" l="1"/>
  <c r="H20" i="20"/>
  <c r="AA20" i="17" s="1"/>
  <c r="AB20" i="17" s="1"/>
  <c r="AD20" i="17" s="1"/>
  <c r="I20" i="20"/>
  <c r="W21" i="17" s="1"/>
  <c r="AI20" i="17"/>
  <c r="AK20" i="17" s="1"/>
  <c r="AO40" i="1"/>
  <c r="AI40" i="17"/>
  <c r="AK40" i="17" s="1"/>
  <c r="H40" i="20"/>
  <c r="AA40" i="17" s="1"/>
  <c r="AB40" i="17" s="1"/>
  <c r="AD40" i="17" s="1"/>
  <c r="I40" i="20"/>
  <c r="W41" i="17" s="1"/>
  <c r="W41" i="1"/>
  <c r="D41" i="20"/>
  <c r="U41" i="17" s="1"/>
  <c r="D21" i="20"/>
  <c r="U21" i="17" s="1"/>
  <c r="W21" i="1"/>
  <c r="O41" i="17"/>
  <c r="AC41" i="1"/>
  <c r="AZ40" i="1"/>
  <c r="AZ41" i="1"/>
  <c r="O21" i="17"/>
  <c r="AC21" i="1"/>
  <c r="T21" i="17"/>
  <c r="V41" i="17"/>
  <c r="T41" i="17"/>
  <c r="O90" i="24"/>
  <c r="N90" i="24"/>
  <c r="J26" i="21"/>
  <c r="I26" i="21" s="1"/>
  <c r="V21" i="17" l="1"/>
  <c r="AB41" i="1"/>
  <c r="U41" i="1"/>
  <c r="J41" i="17"/>
  <c r="F26" i="17" s="1"/>
  <c r="F21" i="20"/>
  <c r="F41" i="20"/>
  <c r="Z41" i="17"/>
  <c r="Z21" i="17"/>
  <c r="E22" i="17"/>
  <c r="H22" i="17" s="1"/>
  <c r="U21" i="1"/>
  <c r="J21" i="17"/>
  <c r="AB21" i="1"/>
  <c r="G90" i="24"/>
  <c r="H90" i="24"/>
  <c r="V22" i="1" l="1"/>
  <c r="AF50" i="17"/>
  <c r="AG50" i="17" s="1"/>
  <c r="AF21" i="17"/>
  <c r="AG21" i="17" s="1"/>
  <c r="P41" i="17"/>
  <c r="L26" i="17" s="1"/>
  <c r="AD41" i="1"/>
  <c r="E21" i="20"/>
  <c r="K22" i="17"/>
  <c r="N22" i="17" s="1"/>
  <c r="P21" i="17"/>
  <c r="AD21" i="1"/>
  <c r="E41" i="20"/>
  <c r="K90" i="24"/>
  <c r="C41" i="18" l="1"/>
  <c r="D41" i="18" s="1"/>
  <c r="R26" i="17"/>
  <c r="G21" i="20"/>
  <c r="AH21" i="1"/>
  <c r="C21" i="18"/>
  <c r="D21" i="18" s="1"/>
  <c r="Q22" i="17"/>
  <c r="G41" i="20"/>
  <c r="AH41" i="1"/>
  <c r="I22" i="17"/>
  <c r="T22" i="1"/>
  <c r="AA22" i="1"/>
  <c r="AX22" i="1"/>
  <c r="AZ21" i="1" s="1"/>
  <c r="C90" i="24"/>
  <c r="AN21" i="1"/>
  <c r="AM21" i="1"/>
  <c r="AI21" i="1"/>
  <c r="AQ21" i="1"/>
  <c r="AT21" i="1"/>
  <c r="AU21" i="1"/>
  <c r="AR21" i="1"/>
  <c r="AP21" i="1"/>
  <c r="AV21" i="1"/>
  <c r="AU41" i="1"/>
  <c r="AT41" i="1"/>
  <c r="AM41" i="1"/>
  <c r="AI41" i="1"/>
  <c r="AN41" i="1"/>
  <c r="AQ41" i="1"/>
  <c r="AR41" i="1"/>
  <c r="AP41" i="1"/>
  <c r="AV41" i="1"/>
  <c r="AO41" i="1" l="1"/>
  <c r="AI41" i="17"/>
  <c r="AK41" i="17" s="1"/>
  <c r="H41" i="20"/>
  <c r="AA41" i="17" s="1"/>
  <c r="AB41" i="17" s="1"/>
  <c r="AD41" i="17" s="1"/>
  <c r="I41" i="20"/>
  <c r="X26" i="17" s="1"/>
  <c r="AI21" i="17"/>
  <c r="AK21" i="17" s="1"/>
  <c r="H21" i="20"/>
  <c r="AA21" i="17" s="1"/>
  <c r="AB21" i="17" s="1"/>
  <c r="AD21" i="17" s="1"/>
  <c r="I21" i="20"/>
  <c r="W22" i="17" s="1"/>
  <c r="AO21" i="1"/>
  <c r="D22" i="20"/>
  <c r="U22" i="17" s="1"/>
  <c r="W22" i="1"/>
  <c r="O22" i="17"/>
  <c r="AC22" i="1"/>
  <c r="T22" i="17"/>
  <c r="B90" i="24"/>
  <c r="E90" i="24"/>
  <c r="V22" i="17" l="1"/>
  <c r="E23" i="17"/>
  <c r="H23" i="17" s="1"/>
  <c r="AB22" i="1"/>
  <c r="J22" i="17"/>
  <c r="U22" i="1"/>
  <c r="F22" i="20"/>
  <c r="Z22" i="17"/>
  <c r="D90" i="24"/>
  <c r="P22" i="17" l="1"/>
  <c r="K23" i="17"/>
  <c r="N23" i="17" s="1"/>
  <c r="AD22" i="1"/>
  <c r="E22" i="20"/>
  <c r="V23" i="1"/>
  <c r="AF22" i="17"/>
  <c r="AG22" i="17" s="1"/>
  <c r="Q90" i="24"/>
  <c r="S90" i="24"/>
  <c r="U90" i="24"/>
  <c r="X90" i="24"/>
  <c r="W90" i="24"/>
  <c r="P90" i="24"/>
  <c r="R90" i="24"/>
  <c r="T90" i="24"/>
  <c r="I90" i="24"/>
  <c r="J90" i="24"/>
  <c r="F90" i="24"/>
  <c r="C22" i="18" l="1"/>
  <c r="D22" i="18" s="1"/>
  <c r="Q23" i="17"/>
  <c r="G22" i="20"/>
  <c r="AH22" i="1"/>
  <c r="I23" i="17"/>
  <c r="AX23" i="1"/>
  <c r="AZ22" i="1" s="1"/>
  <c r="T23" i="1"/>
  <c r="AA23" i="1"/>
  <c r="C80" i="24"/>
  <c r="D80" i="24"/>
  <c r="AT22" i="1"/>
  <c r="AU22" i="1"/>
  <c r="AN22" i="1"/>
  <c r="AM22" i="1"/>
  <c r="AI22" i="1"/>
  <c r="AQ22" i="1"/>
  <c r="AR22" i="1"/>
  <c r="AV22" i="1"/>
  <c r="AP22" i="1"/>
  <c r="AI22" i="17" l="1"/>
  <c r="AK22" i="17" s="1"/>
  <c r="H22" i="20"/>
  <c r="AA22" i="17" s="1"/>
  <c r="AB22" i="17" s="1"/>
  <c r="AD22" i="17" s="1"/>
  <c r="I22" i="20"/>
  <c r="W23" i="17" s="1"/>
  <c r="AO22" i="1"/>
  <c r="D23" i="20"/>
  <c r="U23" i="17" s="1"/>
  <c r="W23" i="1"/>
  <c r="O23" i="17"/>
  <c r="AC23" i="1"/>
  <c r="T23" i="17"/>
  <c r="V23" i="17" s="1"/>
  <c r="G80" i="24"/>
  <c r="F80" i="24"/>
  <c r="B80" i="24"/>
  <c r="Z23" i="17" l="1"/>
  <c r="J23" i="17"/>
  <c r="U23" i="1"/>
  <c r="AB23" i="1"/>
  <c r="E24" i="17"/>
  <c r="H24" i="17" s="1"/>
  <c r="F23" i="20"/>
  <c r="C70" i="24"/>
  <c r="AD23" i="1" l="1"/>
  <c r="K24" i="17"/>
  <c r="N24" i="17" s="1"/>
  <c r="P23" i="17"/>
  <c r="V24" i="1"/>
  <c r="AF31" i="17"/>
  <c r="AG31" i="17" s="1"/>
  <c r="AF23" i="17"/>
  <c r="AG23" i="17" s="1"/>
  <c r="E23" i="20"/>
  <c r="L30" i="24"/>
  <c r="K30" i="24"/>
  <c r="D70" i="24"/>
  <c r="I24" i="17" l="1"/>
  <c r="AA24" i="1"/>
  <c r="T24" i="1"/>
  <c r="AX24" i="1"/>
  <c r="AZ23" i="1" s="1"/>
  <c r="C23" i="18"/>
  <c r="D23" i="18" s="1"/>
  <c r="Q24" i="17"/>
  <c r="G23" i="20"/>
  <c r="AH23" i="1"/>
  <c r="AF30" i="24"/>
  <c r="D60" i="24"/>
  <c r="AT23" i="1"/>
  <c r="AU23" i="1"/>
  <c r="AN23" i="1"/>
  <c r="AI23" i="1"/>
  <c r="AM23" i="1"/>
  <c r="AQ23" i="1"/>
  <c r="AR23" i="1"/>
  <c r="AV23" i="1"/>
  <c r="AP23" i="1"/>
  <c r="H23" i="20" l="1"/>
  <c r="AA23" i="17" s="1"/>
  <c r="AB23" i="17" s="1"/>
  <c r="AD23" i="17" s="1"/>
  <c r="I23" i="20"/>
  <c r="W24" i="17" s="1"/>
  <c r="AI23" i="17"/>
  <c r="AK23" i="17" s="1"/>
  <c r="AO23" i="1"/>
  <c r="AC24" i="1"/>
  <c r="O24" i="17"/>
  <c r="T24" i="17"/>
  <c r="D24" i="20"/>
  <c r="U24" i="17" s="1"/>
  <c r="W24" i="1"/>
  <c r="AA30" i="24"/>
  <c r="F60" i="24"/>
  <c r="V24" i="17" l="1"/>
  <c r="F24" i="20"/>
  <c r="E25" i="17"/>
  <c r="H25" i="17" s="1"/>
  <c r="J24" i="17"/>
  <c r="U24" i="1"/>
  <c r="AB24" i="1"/>
  <c r="Z24" i="17"/>
  <c r="E60" i="24"/>
  <c r="AZ15" i="24" s="1"/>
  <c r="V25" i="1" l="1"/>
  <c r="AF24" i="17"/>
  <c r="AG24" i="17" s="1"/>
  <c r="E24" i="20"/>
  <c r="AD24" i="1"/>
  <c r="K25" i="17"/>
  <c r="N25" i="17" s="1"/>
  <c r="P24" i="17"/>
  <c r="G60" i="24"/>
  <c r="C24" i="18" l="1"/>
  <c r="D24" i="18" s="1"/>
  <c r="Q25" i="17"/>
  <c r="G24" i="20"/>
  <c r="AH24" i="1"/>
  <c r="I25" i="17"/>
  <c r="AX25" i="1"/>
  <c r="AZ24" i="1" s="1"/>
  <c r="T25" i="1"/>
  <c r="AA25" i="1"/>
  <c r="H60" i="24"/>
  <c r="I60" i="24"/>
  <c r="AT24" i="1"/>
  <c r="AU24" i="1"/>
  <c r="AN24" i="1"/>
  <c r="AI24" i="1"/>
  <c r="AM24" i="1"/>
  <c r="AQ24" i="1"/>
  <c r="AR24" i="1"/>
  <c r="AV24" i="1"/>
  <c r="AP24" i="1"/>
  <c r="H24" i="20" l="1"/>
  <c r="AA24" i="17" s="1"/>
  <c r="AB24" i="17" s="1"/>
  <c r="AD24" i="17" s="1"/>
  <c r="I24" i="20"/>
  <c r="W25" i="17" s="1"/>
  <c r="AI24" i="17"/>
  <c r="AK24" i="17" s="1"/>
  <c r="AO24" i="1"/>
  <c r="D25" i="20"/>
  <c r="U25" i="17" s="1"/>
  <c r="V25" i="17" s="1"/>
  <c r="W25" i="1"/>
  <c r="O25" i="17"/>
  <c r="AC25" i="1"/>
  <c r="T25" i="17"/>
  <c r="Y30" i="24"/>
  <c r="E26" i="17" l="1"/>
  <c r="H26" i="17" s="1"/>
  <c r="J25" i="17"/>
  <c r="AB25" i="1"/>
  <c r="U25" i="1"/>
  <c r="Z25" i="17"/>
  <c r="F25" i="20"/>
  <c r="Z30" i="24"/>
  <c r="P25" i="17" l="1"/>
  <c r="K26" i="17"/>
  <c r="N26" i="17" s="1"/>
  <c r="AD25" i="1"/>
  <c r="E25" i="20"/>
  <c r="V26" i="1"/>
  <c r="AF41" i="17"/>
  <c r="AG41" i="17" s="1"/>
  <c r="AF25" i="17"/>
  <c r="AG25" i="17" s="1"/>
  <c r="C40" i="24"/>
  <c r="F40" i="24" s="1"/>
  <c r="I40" i="24"/>
  <c r="L40" i="24" s="1"/>
  <c r="AF50" i="24"/>
  <c r="AG50" i="24" s="1"/>
  <c r="C25" i="18" l="1"/>
  <c r="D25" i="18" s="1"/>
  <c r="Q26" i="17"/>
  <c r="G25" i="20"/>
  <c r="AH25" i="1"/>
  <c r="I26" i="17"/>
  <c r="AA26" i="1"/>
  <c r="T26" i="1"/>
  <c r="AX26" i="1"/>
  <c r="S30" i="24"/>
  <c r="AU25" i="1"/>
  <c r="AT25" i="1"/>
  <c r="AN25" i="1"/>
  <c r="AI25" i="1"/>
  <c r="AM25" i="1"/>
  <c r="AQ25" i="1"/>
  <c r="AR25" i="1"/>
  <c r="AV25" i="1"/>
  <c r="AP25" i="1"/>
  <c r="H25" i="20" l="1"/>
  <c r="AA25" i="17" s="1"/>
  <c r="AB25" i="17" s="1"/>
  <c r="AD25" i="17" s="1"/>
  <c r="I25" i="20"/>
  <c r="W26" i="17" s="1"/>
  <c r="AI25" i="17"/>
  <c r="AK25" i="17" s="1"/>
  <c r="AO25" i="1"/>
  <c r="AZ25" i="1"/>
  <c r="AZ26" i="1"/>
  <c r="W26" i="1"/>
  <c r="D26" i="20"/>
  <c r="U26" i="17" s="1"/>
  <c r="O26" i="17"/>
  <c r="AC26" i="1"/>
  <c r="T26" i="17"/>
  <c r="U30" i="24"/>
  <c r="AI30" i="24"/>
  <c r="O30" i="24"/>
  <c r="V26" i="17" l="1"/>
  <c r="F26" i="20"/>
  <c r="U26" i="1"/>
  <c r="AB26" i="1"/>
  <c r="J26" i="17"/>
  <c r="Z26" i="17"/>
  <c r="T30" i="24"/>
  <c r="Q30" i="24"/>
  <c r="E26" i="20" l="1"/>
  <c r="C26" i="18" s="1"/>
  <c r="D26" i="18" s="1"/>
  <c r="AD26" i="1"/>
  <c r="P26" i="17"/>
  <c r="P30" i="24"/>
  <c r="V30" i="24"/>
  <c r="G26" i="20" l="1"/>
  <c r="AH26" i="1"/>
  <c r="R30" i="24"/>
  <c r="AJ30" i="24"/>
  <c r="AT26" i="1"/>
  <c r="AU26" i="1"/>
  <c r="AN26" i="1"/>
  <c r="AM26" i="1"/>
  <c r="AI26" i="1"/>
  <c r="AQ26" i="1"/>
  <c r="AR26" i="1"/>
  <c r="AV26" i="1"/>
  <c r="AP26" i="1"/>
  <c r="AI26" i="17" l="1"/>
  <c r="AK26" i="17" s="1"/>
  <c r="H26" i="20"/>
  <c r="AA26" i="17" s="1"/>
  <c r="AB26" i="17" s="1"/>
  <c r="AD26" i="17" s="1"/>
  <c r="I26" i="20"/>
  <c r="AO26" i="1"/>
  <c r="AH30" i="24"/>
  <c r="AE30" i="24"/>
  <c r="AC30" i="24"/>
  <c r="AG30" i="24"/>
  <c r="AD30" i="24"/>
  <c r="AB30" i="24"/>
  <c r="X30" i="24"/>
  <c r="V13" i="17" l="1"/>
  <c r="P10" i="1" s="1"/>
  <c r="AB13" i="17" l="1"/>
  <c r="AE13" i="17" s="1"/>
  <c r="P8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B32" authorId="0" shapeId="0" xr:uid="{7215BCE0-D151-4958-9329-D1172B1D2A54}">
      <text>
        <r>
          <rPr>
            <b/>
            <sz val="8"/>
            <color indexed="81"/>
            <rFont val="Tahoma"/>
            <family val="2"/>
          </rPr>
          <t>Vazão equivalente à contribuição uma unidade unifamiliar de referência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67" authorId="0" shapeId="0" xr:uid="{00000000-0006-0000-0200-000002000000}">
      <text>
        <r>
          <rPr>
            <b/>
            <sz val="8"/>
            <color indexed="81"/>
            <rFont val="Tahoma"/>
            <family val="2"/>
          </rPr>
          <t>Selecionar o tipo de material para cada diâmetro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B17" authorId="0" shapeId="0" xr:uid="{457DECB1-3429-4BBA-81AF-2A0FE5DCE4C4}">
      <text>
        <r>
          <rPr>
            <b/>
            <sz val="8"/>
            <color indexed="81"/>
            <rFont val="Tahoma"/>
            <family val="2"/>
          </rPr>
          <t>Vazão equivalente à contribuição uma unidade unifamiliar de referência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17" authorId="0" shapeId="0" xr:uid="{E1A39C7C-0B7F-4BCC-8B8B-3A7679C041B9}">
      <text>
        <r>
          <rPr>
            <b/>
            <sz val="8"/>
            <color indexed="81"/>
            <rFont val="Tahoma"/>
            <family val="2"/>
          </rPr>
          <t>Vazão equivalente à contribuição uma unidade unifamiliar de referência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Export from QGIS" type="6" refreshedVersion="4" background="1" saveData="1">
    <textPr prompt="0" codePage="850" sourceFile="C:\Users\Leonardo\Desktop\Exercicio Gravata\Gravatá - Teste Planilha\Export from QGIS.csv" decimal="," thousands=".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" xr16:uid="{00000000-0015-0000-FFFF-FFFF01000000}" name="Export from QGIS1" type="6" refreshedVersion="4" background="1" saveData="1">
    <textPr prompt="0" codePage="850" sourceFile="C:\Users\Leonardo\Desktop\Exercicio Gravata\Gravatá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" xr16:uid="{00000000-0015-0000-FFFF-FFFF02000000}" name="Export from QGIS10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" xr16:uid="{00000000-0015-0000-FFFF-FFFF03000000}" name="Export from QGIS11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5" xr16:uid="{00000000-0015-0000-FFFF-FFFF04000000}" name="Export from QGIS12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" xr16:uid="{00000000-0015-0000-FFFF-FFFF05000000}" name="Export from QGIS2" type="6" refreshedVersion="4" background="1" saveData="1">
    <textPr prompt="0" codePage="850" sourceFile="C:\Users\Leonardo\Desktop\Exercicio Gravata\Gravatá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" xr16:uid="{00000000-0015-0000-FFFF-FFFF06000000}" name="Export from QGIS3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" xr16:uid="{00000000-0015-0000-FFFF-FFFF07000000}" name="Export from QGIS4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" xr16:uid="{00000000-0015-0000-FFFF-FFFF08000000}" name="Export from QGIS5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" xr16:uid="{00000000-0015-0000-FFFF-FFFF09000000}" name="Export from QGIS6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" xr16:uid="{00000000-0015-0000-FFFF-FFFF0A000000}" name="Export from QGIS7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2" xr16:uid="{00000000-0015-0000-FFFF-FFFF0B000000}" name="Export from QGIS8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3" xr16:uid="{00000000-0015-0000-FFFF-FFFF0C000000}" name="Export from QGIS9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" xr16:uid="{00000000-0015-0000-FFFF-FFFF0D000000}" name="Export_QGIS" type="6" refreshedVersion="4" background="1" saveData="1">
    <textPr prompt="0" codePage="850" sourceFile="C:\Users\Leonardo\Desktop\Apresentación RedBasica - BID2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5" xr16:uid="{00000000-0015-0000-FFFF-FFFF0E000000}" name="Export_QGIS1" type="6" refreshedVersion="4" background="1" saveData="1">
    <textPr prompt="0" codePage="850" sourceFile="C:\Users\Leonardo\Desktop\Apresentación RedBasica - BID2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6" xr16:uid="{00000000-0015-0000-FFFF-FFFF0F000000}" name="Export_QGIS2" type="6" refreshedVersion="4" background="1" saveData="1">
    <textPr prompt="0" codePage="850" sourceFile="C:\Users\Leonardo\Desktop\Apresentación RedBasica - BID2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7" xr16:uid="{79B091F6-1D37-499E-BD03-8FF1D8EAE9DB}" name="Export_QGIS3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8" xr16:uid="{22EB2997-5E33-4171-BBDD-D3680DE366B5}" name="Export_QGIS4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9" xr16:uid="{A67A5670-629C-4D8E-8F43-5F107650FC43}" name="Export_QGIS5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0" xr16:uid="{69F898B3-C801-4899-B88D-350CF437A545}" name="Export_QGIS6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1" xr16:uid="{2FF993F2-9A9E-4EAF-A477-5FBDA80BB836}" name="Export_QGIS7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2" xr16:uid="{8C4FCED6-9746-4421-A6AB-8DA84B5C9BB4}" name="Export_QGIS8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3" xr16:uid="{6B63BBEC-18A0-408E-91EF-DB524E29FD69}" name="Export_QGIS9" type="6" refreshedVersion="6" background="1" saveData="1">
    <textPr prompt="0" codePage="850" sourceFile="C:\Servicos\BID - Rep Dominicana\Curso\Dia 02 Ejercicios\Demonstación saniBID RedBasica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4" xr16:uid="{00000000-0015-0000-FFFF-FFFF10000000}" name="Export_teste" type="6" refreshedVersion="4" background="1" saveData="1">
    <textPr prompt="0" codePage="850" sourceFile="C:\Users\Leonardo\Desktop\Apresentación RedBasica - BID\Export_teste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5" xr16:uid="{00000000-0015-0000-FFFF-FFFF11000000}" name="Export2Excel_RB Gravata" type="6" refreshedVersion="4" background="1" saveData="1">
    <textPr prompt="0" codePage="850" sourceFile="C:\Users\Pery\Desktop\Exercicio 2 Dia\Export2Excel_RB Gravata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6" xr16:uid="{00000000-0015-0000-FFFF-FFFF12000000}" name="Export2Excel_RB Gravata1" type="6" refreshedVersion="4" background="1" saveData="1">
    <textPr prompt="0" codePage="850" sourceFile="C:\Users\Pery\Desktop\Exercicio 2 Dia\Export2Excel_RB Gravata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7" xr16:uid="{00000000-0015-0000-FFFF-FFFF13000000}" name="Exportacao QGIS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8" xr16:uid="{00000000-0015-0000-FFFF-FFFF14000000}" name="Exportacao QGIS1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9" xr16:uid="{00000000-0015-0000-FFFF-FFFF15000000}" name="Exportacao QGIS11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0" xr16:uid="{00000000-0015-0000-FFFF-FFFF16000000}" name="Exportacao QGIS2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1" xr16:uid="{00000000-0015-0000-FFFF-FFFF17000000}" name="Exportacao QGIS21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2" xr16:uid="{00000000-0015-0000-FFFF-FFFF18000000}" name="Exportacao QGIS211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3" xr16:uid="{00000000-0015-0000-FFFF-FFFF19000000}" name="Exportacao QGIS22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4" xr16:uid="{00000000-0015-0000-FFFF-FFFF1A000000}" name="Exportacao QGIS3" type="6" refreshedVersion="0" background="1">
    <textPr prompt="0" sourceFile="J:\Serviços\DIAGONAL\RedBasicaQGIS\RedBasica - Treinamento Condominium\Planilhas\Exportacao QGIS3.csv">
      <textFields>
        <textField/>
      </textFields>
    </textPr>
  </connection>
  <connection id="35" xr16:uid="{00000000-0015-0000-FFFF-FFFF1B000000}" name="Exportacao QGIS31" type="6" refreshedVersion="0" background="1">
    <textPr prompt="0" sourceFile="J:\Serviços\DIAGONAL\RedBasicaQGIS\RedBasica - Treinamento Condominium\Planilhas\Exportacao QGIS3.csv">
      <textFields>
        <textField/>
      </textFields>
    </textPr>
  </connection>
  <connection id="36" xr16:uid="{00000000-0015-0000-FFFF-FFFF1C000000}" name="Exportacao QGIS32" type="6" refreshedVersion="0" background="1">
    <textPr prompt="0" sourceFile="J:\Serviços\DIAGONAL\RedBasicaQGIS\RedBasica - Treinamento Condominium\Planilhas\Exportacao QGIS3.csv">
      <textFields>
        <textField/>
      </textFields>
    </textPr>
  </connection>
  <connection id="37" xr16:uid="{00000000-0015-0000-FFFF-FFFF1D000000}" name="Exportacao QGIS4" type="6" refreshedVersion="4" background="1" saveData="1">
    <textPr prompt="0" codePage="850" sourceFile="J:\Serviços\DIAGONAL\RedBasicaQGIS\RedBasica - Treinamento Condominium\Planilhas\Exportacao QGIS4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8" xr16:uid="{00000000-0015-0000-FFFF-FFFF1E000000}" name="Exportacao QGIS41" type="6" refreshedVersion="4" background="1" saveData="1">
    <textPr prompt="0" codePage="850" sourceFile="J:\Serviços\DIAGONAL\RedBasicaQGIS\RedBasica - Treinamento Condominium\Planilhas\Exportacao QGIS4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9" xr16:uid="{00000000-0015-0000-FFFF-FFFF1F000000}" name="Exportacao QGIS5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0" xr16:uid="{00000000-0015-0000-FFFF-FFFF20000000}" name="Exportacion_QGIS" type="6" refreshedVersion="4" background="1" saveData="1">
    <textPr prompt="0" codePage="850" sourceFile="C:\Users\Leonardo\Desktop\Taller - Eduardo\Colorado - Taller\Exportacion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1" xr16:uid="{00000000-0015-0000-FFFF-FFFF21000000}" name="Exportacion_QGIS1" type="6" refreshedVersion="4" background="1" saveData="1">
    <textPr prompt="0" codePage="850" sourceFile="C:\Users\Leonardo\Desktop\Taller - Eduardo\Colorado - Taller\Exportacion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2" xr16:uid="{00000000-0015-0000-FFFF-FFFF22000000}" name="ExportGIS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3" xr16:uid="{00000000-0015-0000-FFFF-FFFF23000000}" name="ExportGIS_2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4" xr16:uid="{00000000-0015-0000-FFFF-FFFF24000000}" name="ExportGIS_3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5" xr16:uid="{00000000-0015-0000-FFFF-FFFF25000000}" name="Exporto_QGIS_01" type="6" refreshedVersion="4" background="1" saveData="1">
    <textPr prompt="0" codePage="850" sourceFile="J:\Serviços\BID - MOPC Paraguay\Para Ing Pery_MOPC\Santa Rosa\Sta Rosa - QGIS\Exporto_QGIS_01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6" xr16:uid="{00000000-0015-0000-FFFF-FFFF26000000}" name="Exporto_QGIS_011" type="6" refreshedVersion="4" background="1" saveData="1">
    <textPr prompt="0" codePage="850" sourceFile="J:\Serviços\BID - MOPC Paraguay\Para Ing Pery_MOPC\Santa Rosa\Sta Rosa - QGIS\Sta_Rosa_OP01\Exporto_QGIS_01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7" xr16:uid="{00000000-0015-0000-FFFF-FFFF27000000}" name="Exporto_QGIS_02" type="6" refreshedVersion="4" background="1" saveData="1">
    <textPr prompt="0" codePage="850" sourceFile="J:\Serviços\BID - MOPC Paraguay\Para Ing Pery_MOPC\Santa Rosa\Sta Rosa - QGIS\Sta_Rosa_OP02\Exporto_QGIS_0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8" xr16:uid="{00000000-0015-0000-FFFF-FFFF28000000}" name="Falso" type="6" refreshedVersion="0" background="1">
    <textPr prompt="0" sourceFile="Falso">
      <textFields>
        <textField/>
      </textFields>
    </textPr>
  </connection>
  <connection id="49" xr16:uid="{00000000-0015-0000-FFFF-FFFF29000000}" name="Falso1" type="6" refreshedVersion="0" background="1">
    <textPr prompt="0" sourceFile="Falso">
      <textFields>
        <textField/>
      </textFields>
    </textPr>
  </connection>
  <connection id="50" xr16:uid="{00000000-0015-0000-FFFF-FFFF2A000000}" name="Falso10" type="6" refreshedVersion="0" background="1">
    <textPr prompt="0" sourceFile="Falso">
      <textFields>
        <textField/>
      </textFields>
    </textPr>
  </connection>
  <connection id="51" xr16:uid="{00000000-0015-0000-FFFF-FFFF2B000000}" name="Falso11" type="6" refreshedVersion="0" background="1">
    <textPr prompt="0" sourceFile="Falso">
      <textFields>
        <textField/>
      </textFields>
    </textPr>
  </connection>
  <connection id="52" xr16:uid="{00000000-0015-0000-FFFF-FFFF2C000000}" name="Falso12" type="6" refreshedVersion="0" background="1">
    <textPr prompt="0" sourceFile="Falso">
      <textFields>
        <textField/>
      </textFields>
    </textPr>
  </connection>
  <connection id="53" xr16:uid="{00000000-0015-0000-FFFF-FFFF2D000000}" name="Falso13" type="6" refreshedVersion="0" background="1">
    <textPr prompt="0" sourceFile="Falso">
      <textFields>
        <textField/>
      </textFields>
    </textPr>
  </connection>
  <connection id="54" xr16:uid="{00000000-0015-0000-FFFF-FFFF2E000000}" name="Falso14" type="6" refreshedVersion="0" background="1">
    <textPr prompt="0" sourceFile="Falso">
      <textFields>
        <textField/>
      </textFields>
    </textPr>
  </connection>
  <connection id="55" xr16:uid="{00000000-0015-0000-FFFF-FFFF2F000000}" name="Falso15" type="6" refreshedVersion="0" background="1">
    <textPr prompt="0" sourceFile="Falso">
      <textFields>
        <textField/>
      </textFields>
    </textPr>
  </connection>
  <connection id="56" xr16:uid="{00000000-0015-0000-FFFF-FFFF30000000}" name="Falso2" type="6" refreshedVersion="0" background="1">
    <textPr prompt="0" sourceFile="Falso">
      <textFields>
        <textField/>
      </textFields>
    </textPr>
  </connection>
  <connection id="57" xr16:uid="{00000000-0015-0000-FFFF-FFFF31000000}" name="Falso3" type="6" refreshedVersion="0" background="1">
    <textPr prompt="0" sourceFile="Falso">
      <textFields>
        <textField/>
      </textFields>
    </textPr>
  </connection>
  <connection id="58" xr16:uid="{00000000-0015-0000-FFFF-FFFF32000000}" name="Falso4" type="6" refreshedVersion="0" background="1">
    <textPr prompt="0" sourceFile="Falso">
      <textFields>
        <textField/>
      </textFields>
    </textPr>
  </connection>
  <connection id="59" xr16:uid="{00000000-0015-0000-FFFF-FFFF33000000}" name="Falso5" type="6" refreshedVersion="0" background="1">
    <textPr prompt="0" sourceFile="Falso">
      <textFields>
        <textField/>
      </textFields>
    </textPr>
  </connection>
  <connection id="60" xr16:uid="{00000000-0015-0000-FFFF-FFFF34000000}" name="Falso6" type="6" refreshedVersion="0" background="1">
    <textPr prompt="0" sourceFile="Falso">
      <textFields>
        <textField/>
      </textFields>
    </textPr>
  </connection>
  <connection id="61" xr16:uid="{00000000-0015-0000-FFFF-FFFF35000000}" name="Falso7" type="6" refreshedVersion="0" background="1">
    <textPr prompt="0" sourceFile="Falso">
      <textFields>
        <textField/>
      </textFields>
    </textPr>
  </connection>
  <connection id="62" xr16:uid="{00000000-0015-0000-FFFF-FFFF36000000}" name="Falso8" type="6" refreshedVersion="0" background="1">
    <textPr prompt="0" sourceFile="Falso">
      <textFields>
        <textField/>
      </textFields>
    </textPr>
  </connection>
  <connection id="63" xr16:uid="{00000000-0015-0000-FFFF-FFFF37000000}" name="Falso9" type="6" refreshedVersion="0" background="1">
    <textPr prompt="0" sourceFile="Falso">
      <textFields>
        <textField/>
      </textFields>
    </textPr>
  </connection>
  <connection id="64" xr16:uid="{00000000-0015-0000-FFFF-FFFF38000000}" name="QGIS_CuencaE_ayustes" type="6" refreshedVersion="4" background="1" saveData="1">
    <textPr prompt="0" codePage="850" sourceFile="J:\Serviços\BID - MOPC Paraguay\Para Ing Pery_MOPC\San Juan Bautista Misiones\Cuenca E\AprobacionParcial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5" xr16:uid="{00000000-0015-0000-FFFF-FFFF39000000}" name="QGIS_CuencaE_ayustes1" type="6" refreshedVersion="4" background="1" saveData="1">
    <textPr prompt="0" codePage="850" sourceFile="J:\Serviços\BID - MOPC Paraguay\Para Ing Pery_MOPC\San Juan Bautista Misiones\Cuenca E\Cuenca E_Atualizado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6" xr16:uid="{00000000-0015-0000-FFFF-FFFF3A000000}" name="QGIS_CuencaE_ayustes10" type="6" refreshedVersion="4" background="1" saveData="1">
    <textPr prompt="0" codePage="850" sourceFile="J:\Serviços\BID - MOPC Paraguay\Para Ing Pery_MOPC\San Juan Bautista Misiones\Cuenca E\Cuenca E continuando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7" xr16:uid="{00000000-0015-0000-FFFF-FFFF3B000000}" name="QGIS_CuencaE_ayustes2" type="6" refreshedVersion="4" background="1" saveData="1">
    <textPr prompt="0" codePage="850" sourceFile="J:\Serviços\BID - MOPC Paraguay\Para Ing Pery_MOPC\San Juan Bautista Misiones\Cuenca E\_Arquivos de Envio\Cuenca E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8" xr16:uid="{00000000-0015-0000-FFFF-FFFF3C000000}" name="QGIS_CuencaE_ayustes3" type="6" refreshedVersion="4" background="1" saveData="1">
    <textPr prompt="0" codePage="850" sourceFile="J:\Serviços\BID - MOPC Paraguay\Para Ing Pery_MOPC\San Juan Bautista Misiones\Cuenca E\_Arquivos de Envio\Cuenca E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9" xr16:uid="{00000000-0015-0000-FFFF-FFFF3D000000}" name="QGIS_CuencaE_ayustes4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0" xr16:uid="{00000000-0015-0000-FFFF-FFFF3E000000}" name="QGIS_CuencaE_ayustes5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1" xr16:uid="{00000000-0015-0000-FFFF-FFFF3F000000}" name="QGIS_CuencaE_ayustes6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2" xr16:uid="{00000000-0015-0000-FFFF-FFFF40000000}" name="QGIS_CuencaE_ayustes7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3" xr16:uid="{00000000-0015-0000-FFFF-FFFF41000000}" name="QGIS_CuencaE_ayustes8" type="6" refreshedVersion="5" background="1" saveData="1">
    <textPr prompt="0" codePage="850" sourceFile="C:\Users\David\Desktop\Leonardo\Cuenca E continuando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4" xr16:uid="{00000000-0015-0000-FFFF-FFFF42000000}" name="QGIS_CuencaE_ayustes9" type="6" refreshedVersion="5" background="1" saveData="1">
    <textPr prompt="0" codePage="850" sourceFile="C:\Users\David\Desktop\Leonardo\Cuenca E continuando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5" xr16:uid="{00000000-0015-0000-FFFF-FFFF43000000}" name="QgisCuencaE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6" xr16:uid="{00000000-0015-0000-FFFF-FFFF44000000}" name="QgisCuencaE1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7" xr16:uid="{00000000-0015-0000-FFFF-FFFF45000000}" name="QgisCuencaE2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8" xr16:uid="{00000000-0015-0000-FFFF-FFFF46000000}" name="QgisCuencaE3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9" xr16:uid="{00000000-0015-0000-FFFF-FFFF47000000}" name="teste2" type="6" refreshedVersion="4" background="1" saveData="1">
    <textPr prompt="0" codePage="850" sourceFile="C:\Users\Leonardo\Desktop\Apresentación RedBasica - BID2\teste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0" xr16:uid="{00000000-0015-0000-FFFF-FFFF48000000}" name="teste4" type="6" refreshedVersion="4" background="1" saveData="1">
    <textPr prompt="0" codePage="850" sourceFile="C:\Users\Leonardo\Desktop\Apresentación BID\teste4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</connections>
</file>

<file path=xl/sharedStrings.xml><?xml version="1.0" encoding="utf-8"?>
<sst xmlns="http://schemas.openxmlformats.org/spreadsheetml/2006/main" count="1193" uniqueCount="471">
  <si>
    <t>Pa</t>
  </si>
  <si>
    <t>DN mínimo</t>
  </si>
  <si>
    <t>mm</t>
  </si>
  <si>
    <t>Coef. Retorno C</t>
  </si>
  <si>
    <t>y/do</t>
  </si>
  <si>
    <t>l/s</t>
  </si>
  <si>
    <t>m</t>
  </si>
  <si>
    <t>n</t>
  </si>
  <si>
    <t>nº</t>
  </si>
  <si>
    <t>(m)</t>
  </si>
  <si>
    <t>(mm)</t>
  </si>
  <si>
    <t>K1 (coef. dia max consumo)</t>
  </si>
  <si>
    <t>K2 (coef. hora max consumo)</t>
  </si>
  <si>
    <t>l/hab.dia</t>
  </si>
  <si>
    <t>l/s.km</t>
  </si>
  <si>
    <t>Profundidades</t>
  </si>
  <si>
    <t>aux</t>
  </si>
  <si>
    <t>(l/s)</t>
  </si>
  <si>
    <t>(m/m)</t>
  </si>
  <si>
    <t>(%)</t>
  </si>
  <si>
    <t>(Pa)</t>
  </si>
  <si>
    <t>(m/s)</t>
  </si>
  <si>
    <t>Autor:</t>
  </si>
  <si>
    <t>m/m</t>
  </si>
  <si>
    <t>Profundidades mínimas</t>
  </si>
  <si>
    <t>Id</t>
  </si>
  <si>
    <t>Tubos</t>
  </si>
  <si>
    <t>Material</t>
  </si>
  <si>
    <r>
      <t xml:space="preserve">C.Manning </t>
    </r>
    <r>
      <rPr>
        <b/>
        <sz val="10"/>
        <rFont val="Tahoma"/>
        <family val="2"/>
      </rPr>
      <t>n</t>
    </r>
    <r>
      <rPr>
        <sz val="10"/>
        <rFont val="Tahoma"/>
        <family val="2"/>
      </rPr>
      <t xml:space="preserve"> 
sugerido</t>
    </r>
  </si>
  <si>
    <t>DN (mm)</t>
  </si>
  <si>
    <t>Concreto</t>
  </si>
  <si>
    <r>
      <t xml:space="preserve">Coeficiente de rugosidade de Manning 
</t>
    </r>
    <r>
      <rPr>
        <b/>
        <sz val="10"/>
        <rFont val="Arial"/>
        <family val="2"/>
      </rPr>
      <t>n</t>
    </r>
  </si>
  <si>
    <t>sim ou não</t>
  </si>
  <si>
    <t>Nº Coletor e Trecho</t>
  </si>
  <si>
    <t>Rua = 0
Passeio = 1</t>
  </si>
  <si>
    <t>Terreno (m/m)</t>
  </si>
  <si>
    <t>Vel. crítica 
Vc</t>
  </si>
  <si>
    <t>Veloc.
Vf</t>
  </si>
  <si>
    <t>Trecho de Montante
(m)</t>
  </si>
  <si>
    <t>Coletor m1
(m)</t>
  </si>
  <si>
    <t>Coletor m2
(m)</t>
  </si>
  <si>
    <t>PROFUNDIDADES</t>
  </si>
  <si>
    <t>Coef. de Manning</t>
  </si>
  <si>
    <t>TERRENO</t>
  </si>
  <si>
    <t>desde DN</t>
  </si>
  <si>
    <t>l/dia</t>
  </si>
  <si>
    <t>I min</t>
  </si>
  <si>
    <t>1 Familia =</t>
  </si>
  <si>
    <t>hab</t>
  </si>
  <si>
    <t>qe max</t>
  </si>
  <si>
    <t>qe med</t>
  </si>
  <si>
    <t xml:space="preserve"> 1 Qe =</t>
  </si>
  <si>
    <t>Qe final</t>
  </si>
  <si>
    <t>Qe inicial</t>
  </si>
  <si>
    <t>1 -</t>
  </si>
  <si>
    <t xml:space="preserve">2 - </t>
  </si>
  <si>
    <t xml:space="preserve">3 - </t>
  </si>
  <si>
    <t xml:space="preserve">4 - </t>
  </si>
  <si>
    <t xml:space="preserve">5 - </t>
  </si>
  <si>
    <t>Sugerido  (mm)</t>
  </si>
  <si>
    <t>aux_TRM_f</t>
  </si>
  <si>
    <t>Id_NODO_(n)</t>
  </si>
  <si>
    <t>ID_TRM_(N)</t>
  </si>
  <si>
    <t>Lista Nodos</t>
  </si>
  <si>
    <t>Nodo_tipo</t>
  </si>
  <si>
    <t>h_nodo_NT</t>
  </si>
  <si>
    <t>h_nodo_tp</t>
  </si>
  <si>
    <t>CF_nodo</t>
  </si>
  <si>
    <t>h_col_p2</t>
  </si>
  <si>
    <t>h_col_p1</t>
  </si>
  <si>
    <t>S</t>
  </si>
  <si>
    <t>DN</t>
  </si>
  <si>
    <t>Mat_col</t>
  </si>
  <si>
    <t>Caida_p2</t>
  </si>
  <si>
    <t>Caida_p2_h</t>
  </si>
  <si>
    <t>Qt_i</t>
  </si>
  <si>
    <t>Qt_f</t>
  </si>
  <si>
    <t>Q_i</t>
  </si>
  <si>
    <t>Q_f</t>
  </si>
  <si>
    <t>yn_i</t>
  </si>
  <si>
    <t>yn_f</t>
  </si>
  <si>
    <t>yrel_i</t>
  </si>
  <si>
    <t>yrel_f</t>
  </si>
  <si>
    <t>Trativa_i</t>
  </si>
  <si>
    <t>Trativa_f</t>
  </si>
  <si>
    <t>V_i</t>
  </si>
  <si>
    <t>V_f</t>
  </si>
  <si>
    <t>Vc</t>
  </si>
  <si>
    <t>RedBasica</t>
  </si>
  <si>
    <t>6 -</t>
  </si>
  <si>
    <t xml:space="preserve">7 - </t>
  </si>
  <si>
    <t xml:space="preserve">8 - </t>
  </si>
  <si>
    <t>RedBasica - Memoria de cálculo</t>
  </si>
  <si>
    <t>NA</t>
  </si>
  <si>
    <t>1-001</t>
  </si>
  <si>
    <t>1-002</t>
  </si>
  <si>
    <t>aux_TRM_i</t>
  </si>
  <si>
    <t>Tipo</t>
  </si>
  <si>
    <t>DN máximo (mm)
sugerido</t>
  </si>
  <si>
    <t>PV-0.80</t>
  </si>
  <si>
    <t>PV-1.20</t>
  </si>
  <si>
    <t>CI-0.60</t>
  </si>
  <si>
    <t>PV-1.00</t>
  </si>
  <si>
    <t>PV-1.50</t>
  </si>
  <si>
    <t>PV-2.00</t>
  </si>
  <si>
    <t>Prof. máxima (m)</t>
  </si>
  <si>
    <t>CItrd_nodo</t>
  </si>
  <si>
    <t>PEAD</t>
  </si>
  <si>
    <t>CI</t>
  </si>
  <si>
    <t>Tapadas</t>
  </si>
  <si>
    <t>No</t>
  </si>
  <si>
    <t>un</t>
  </si>
  <si>
    <t>hab/dom</t>
  </si>
  <si>
    <t>Memória</t>
  </si>
  <si>
    <t>h_tap_p2</t>
  </si>
  <si>
    <t>h_tap_p1</t>
  </si>
  <si>
    <t>PVC</t>
  </si>
  <si>
    <t>Tap_nodo</t>
  </si>
  <si>
    <t>Fecha:</t>
  </si>
  <si>
    <t>Manning 
(n)</t>
  </si>
  <si>
    <t>Taza de infiltración</t>
  </si>
  <si>
    <t>Fuerza trativa media - mínimo</t>
  </si>
  <si>
    <t>Caudal mín. Qmin</t>
  </si>
  <si>
    <t>Lámina máx. - DN  &lt; 150mm</t>
  </si>
  <si>
    <t>Lámina máx. - DN desde 150 mm</t>
  </si>
  <si>
    <t>Dispositivos de Inspeción</t>
  </si>
  <si>
    <t>Observación:</t>
  </si>
  <si>
    <t>Punto AGUAS ABAJO del tramo (COLECTOR)</t>
  </si>
  <si>
    <t>Punto AGUAS ARRIBA del tramo (DISPOSITIVO DE INSPECIÓN)</t>
  </si>
  <si>
    <t>aux 1</t>
  </si>
  <si>
    <t>Hierro</t>
  </si>
  <si>
    <t>Proyecto:</t>
  </si>
  <si>
    <t>ID_TRM</t>
  </si>
  <si>
    <t>L</t>
  </si>
  <si>
    <t>X_I</t>
  </si>
  <si>
    <t>Y_I</t>
  </si>
  <si>
    <t>X_F</t>
  </si>
  <si>
    <t>Y_F</t>
  </si>
  <si>
    <t>ID_COL</t>
  </si>
  <si>
    <t>AUX_POS</t>
  </si>
  <si>
    <t>AUX_PAV_1</t>
  </si>
  <si>
    <t>AUX_PAV_2</t>
  </si>
  <si>
    <t>AUX_PROF_I</t>
  </si>
  <si>
    <t>AUX_PROF_F</t>
  </si>
  <si>
    <t>AUX01</t>
  </si>
  <si>
    <t>AUX02</t>
  </si>
  <si>
    <t>AUX03</t>
  </si>
  <si>
    <t>AUX_TRM_I</t>
  </si>
  <si>
    <t>AUX_TRM_F</t>
  </si>
  <si>
    <t>TRM_(N-1)_A</t>
  </si>
  <si>
    <t>TRM_(N-1)_B</t>
  </si>
  <si>
    <t>TRM_(N-1)_C</t>
  </si>
  <si>
    <t>TRM_(N+1)</t>
  </si>
  <si>
    <t>ID_UC</t>
  </si>
  <si>
    <t>COTA_I</t>
  </si>
  <si>
    <t>NODO_I</t>
  </si>
  <si>
    <t>COTA_F</t>
  </si>
  <si>
    <t>NODO_F</t>
  </si>
  <si>
    <t>Otro</t>
  </si>
  <si>
    <t>material / DN (mm)</t>
  </si>
  <si>
    <t>=CORRESP(250;DN_lista;0)</t>
  </si>
  <si>
    <t>Caixa Selecao</t>
  </si>
  <si>
    <t>Material Utilizado</t>
  </si>
  <si>
    <t>Verif.</t>
  </si>
  <si>
    <t>Q05C</t>
  </si>
  <si>
    <t>Cidade:</t>
  </si>
  <si>
    <t>Área:</t>
  </si>
  <si>
    <t>Sub-Bacia:</t>
  </si>
  <si>
    <t>Data:</t>
  </si>
  <si>
    <t>Sistema de Esgoto - Rede Básica Condominial</t>
  </si>
  <si>
    <t>Nº
Coletor</t>
  </si>
  <si>
    <t>Trecho anterior - Coletor atual
Id</t>
  </si>
  <si>
    <t>Coletor m1
Id</t>
  </si>
  <si>
    <t>Coletor m2
Id</t>
  </si>
  <si>
    <t>Recobrimentos mínimas</t>
  </si>
  <si>
    <r>
      <t xml:space="preserve">C.Manning </t>
    </r>
    <r>
      <rPr>
        <b/>
        <sz val="10"/>
        <rFont val="Tahoma"/>
        <family val="2"/>
      </rPr>
      <t>n</t>
    </r>
    <r>
      <rPr>
        <sz val="10"/>
        <rFont val="Tahoma"/>
        <family val="2"/>
      </rPr>
      <t xml:space="preserve"> 
adotado</t>
    </r>
  </si>
  <si>
    <t>Col. b</t>
  </si>
  <si>
    <t>Col. c</t>
  </si>
  <si>
    <t>Recobrimento saída DISPOSITIVO DE INSPEÇÃO
(m)</t>
  </si>
  <si>
    <r>
      <t xml:space="preserve">NA </t>
    </r>
    <r>
      <rPr>
        <sz val="9"/>
        <rFont val="Tahoma"/>
        <family val="2"/>
      </rPr>
      <t>NOS TRECHOS DE MONTANTE QUE CHEGAM AO DISPOSITIVO DE INSPEÇÃO DO TRECHO ATUAL</t>
    </r>
  </si>
  <si>
    <r>
      <t xml:space="preserve">RECOBRIMENTO </t>
    </r>
    <r>
      <rPr>
        <sz val="9"/>
        <rFont val="Tahoma"/>
        <family val="2"/>
      </rPr>
      <t>DOS TRECHOS DE MONTANTE QUE DESCARREGAM NO DISPOSITIVO DE INSPEÇÃO DO TRECHO ATUAL</t>
    </r>
  </si>
  <si>
    <r>
      <t xml:space="preserve">PROFUNDIDADE </t>
    </r>
    <r>
      <rPr>
        <sz val="9"/>
        <rFont val="Tahoma"/>
        <family val="2"/>
      </rPr>
      <t>DOS TRECHOS DE MONTANTE QUE DESCARREGAM NO DISPOSITIVO DE INSPEÇÃO DO TRECHO ATUAL</t>
    </r>
  </si>
  <si>
    <t>NA mais prof (m)</t>
  </si>
  <si>
    <t>Cota NA Tub. saída DISPOSITIVO DE INSPEÇÃO
(m)</t>
  </si>
  <si>
    <t>aux ajuste prof</t>
  </si>
  <si>
    <t>FP</t>
  </si>
  <si>
    <t>Diferenca necessária (m)</t>
  </si>
  <si>
    <t>SE(J15="";0;(SE(N15-M15&gt;(RedBasica!$W$5*(-1));ARREDONDAR.PARA.CIMA(N15-M15+(RedBasica!$W$5);2);0)))</t>
  </si>
  <si>
    <r>
      <t>COTA DO COLETOR</t>
    </r>
    <r>
      <rPr>
        <sz val="9"/>
        <rFont val="Tahoma"/>
        <family val="2"/>
      </rPr>
      <t xml:space="preserve"> TRECHOS DE MONTANTE QUE CHEGAM AO DISPOSITIVO DE INSPEÇÃO DO TRECHO ATUAL</t>
    </r>
  </si>
  <si>
    <t>Menor Cota (m)</t>
  </si>
  <si>
    <t>Cota Tub. saída DISPOSITIVO DE INSPEÇÃO
(m)</t>
  </si>
  <si>
    <t>Maior Profundidade (m)</t>
  </si>
  <si>
    <t>Maior Recobrimento (m)</t>
  </si>
  <si>
    <t>H 
saída DISPOSITIVO DE INSPEÇÃO
(m)</t>
  </si>
  <si>
    <t>H 
extremidade de jusante
(m)</t>
  </si>
  <si>
    <t>Recobrimento
extremidade de jusante
(m)</t>
  </si>
  <si>
    <t>600 Qe =</t>
  </si>
  <si>
    <t>H imposicao Pt Jus - Min Desniv
(m)</t>
  </si>
  <si>
    <t>Aux ImpPt Jus - Min Desniv
(m)</t>
  </si>
  <si>
    <t>DN necessário estimado (mm)</t>
  </si>
  <si>
    <t>aux Ini</t>
  </si>
  <si>
    <t>DN adot (mm)</t>
  </si>
  <si>
    <t>H imposicao Pto M (NA)
(m)</t>
  </si>
  <si>
    <t>H calc Pto M
(m)</t>
  </si>
  <si>
    <t>DN calc max (mm)</t>
  </si>
  <si>
    <t>Nº Colector e Tramo Actual</t>
  </si>
  <si>
    <t>Extensión
 (m)</t>
  </si>
  <si>
    <t>CONTRIBUCIÓNES - IDENTIFICACIÓN</t>
  </si>
  <si>
    <t>TRAMOS DE AGUAS ARRIBA</t>
  </si>
  <si>
    <t xml:space="preserve">RAMALES CONDOMINIALES Y OTROS </t>
  </si>
  <si>
    <t>Manzanas y Otros
Id</t>
  </si>
  <si>
    <t>Cantidad
FINAL
 (QE)</t>
  </si>
  <si>
    <t>Cantidad
INICIAL
 (QE)</t>
  </si>
  <si>
    <t>Colector m1
Id</t>
  </si>
  <si>
    <t>Colector m2
Id</t>
  </si>
  <si>
    <t>Tramo anterior- Colector actual
Id</t>
  </si>
  <si>
    <t>CONTRIBUCIÓN EQUIVALENTE EN FAMILIAS</t>
  </si>
  <si>
    <t>CAUDALES</t>
  </si>
  <si>
    <t>INFILTRACIÓN en el tramo
(l/s)</t>
  </si>
  <si>
    <t>CAUDAL total
FINAL DE PLAN
(l/s)</t>
  </si>
  <si>
    <t>CAUDAL total
INICIO DE PLAN
(l/s)</t>
  </si>
  <si>
    <t>Ubicación del Tramo 
(Calzada=0 e Acera=1)</t>
  </si>
  <si>
    <t>Interferéncias                     (aux_Prof_i)</t>
  </si>
  <si>
    <t>FORZAR PROFUNDIDAD - punto AGUAS ARRIBA del tramo
(m)</t>
  </si>
  <si>
    <t>RECUBRIMIENTO</t>
  </si>
  <si>
    <t>Recubrimiento - punto ARRIBA del tramo
(m)</t>
  </si>
  <si>
    <t>Recubrimiento - punto ABAJO del tramo
(m)</t>
  </si>
  <si>
    <t>Profundidad - punto AGUAS ARRIBA del tramo
(m)</t>
  </si>
  <si>
    <t>Profundidad - punto AGUAS ABAJO del tramo
(m)</t>
  </si>
  <si>
    <t>FORZAR PROFUNDIDAD - punto AGUAS ABAJO del tramo
  (m)</t>
  </si>
  <si>
    <t>NIVEL DEL TERRENO</t>
  </si>
  <si>
    <t>NIVEL DEL COLECTOR</t>
  </si>
  <si>
    <t>En el punto AGUAS ARRIBA del tramo (m)</t>
  </si>
  <si>
    <t>En el punto AGUAS ABAJO del tramo (m)</t>
  </si>
  <si>
    <t>PENDIENTES</t>
  </si>
  <si>
    <t>S min ADMITIDO Colector (m/m)</t>
  </si>
  <si>
    <t>S
ADOPTADO colector (m/m)</t>
  </si>
  <si>
    <t>DN
ADOPTADO
(mm)</t>
  </si>
  <si>
    <t>DIÁMETRO</t>
  </si>
  <si>
    <t xml:space="preserve"> VERIFICACIÓN HIDRAULICA Y DE LAS CONDICIÓNES DE ESCURRIMIENTO</t>
  </si>
  <si>
    <t>FINAL DE PLAN</t>
  </si>
  <si>
    <t>INICIO DE PLAN</t>
  </si>
  <si>
    <t>Caudal de proyecto Qmax
 (l/s)</t>
  </si>
  <si>
    <t>Lámina Líquida 
y
 (m)</t>
  </si>
  <si>
    <t>Lámina Líquida
y/do 
(%)</t>
  </si>
  <si>
    <t>Fuerza Arraste
(Pa)</t>
  </si>
  <si>
    <t>Velocidad crítica 
Vc
(m/s)</t>
  </si>
  <si>
    <t>Velocidad (m/s)</t>
  </si>
  <si>
    <t>Caudal inicial
 Qi 
(l/s)</t>
  </si>
  <si>
    <t>Lámina Líquida  
 y         
 (m)</t>
  </si>
  <si>
    <t>ID - 
INSPECCIÓN DE AGUAS ARRIBA</t>
  </si>
  <si>
    <t>TIPO -
INSPECCIÓN DE AGUAS ARRIBA</t>
  </si>
  <si>
    <t>ID - 
 INSPECCIÓN DE AGUAS ABAJO</t>
  </si>
  <si>
    <t>TIPO -
 INSPECCIÓN DE AGUAS ABAJO</t>
  </si>
  <si>
    <t>ID - TRAMO  DE AGUAS ABAJO</t>
  </si>
  <si>
    <t>OBSERVACIONES</t>
  </si>
  <si>
    <t>Sistema de Alcantarillado - Red Basica Condominial</t>
  </si>
  <si>
    <t xml:space="preserve">CIUDAD:      </t>
  </si>
  <si>
    <t>PROYECTO :</t>
  </si>
  <si>
    <t>SUBCUENCA:</t>
  </si>
  <si>
    <t>AUTOR :</t>
  </si>
  <si>
    <t>FECHA :</t>
  </si>
  <si>
    <t>PARÁMETROS Y CRITERIOS BASICOS :</t>
  </si>
  <si>
    <t>Población y conexiones</t>
  </si>
  <si>
    <t>Pob. final de plan</t>
  </si>
  <si>
    <t>Pob. inicio de plan</t>
  </si>
  <si>
    <t>Taza de ocupación</t>
  </si>
  <si>
    <t>Cantidad de viviendas - final de plan</t>
  </si>
  <si>
    <t>Cantidad de viviendas - inicio de plan</t>
  </si>
  <si>
    <t>Cantidad de conexiones - final de plan</t>
  </si>
  <si>
    <t>Cantidad de conexiones - inicio de plan</t>
  </si>
  <si>
    <t>CAUDALES DE REFERENCIA</t>
  </si>
  <si>
    <t>Caudal de referencia del proyecto - Qe</t>
  </si>
  <si>
    <t>Caudal medio 
(l/dia)</t>
  </si>
  <si>
    <t>Caudal máx
(l/s)</t>
  </si>
  <si>
    <t xml:space="preserve">(*) Qe = Caudal equivalente a una unidad unifamiliar de referéncia </t>
  </si>
  <si>
    <t>Taza de contribución lineal</t>
  </si>
  <si>
    <t>Población
(hab)</t>
  </si>
  <si>
    <t>Extensión de la red
(m)</t>
  </si>
  <si>
    <t>Tz contr lineal 
(l/s.km)</t>
  </si>
  <si>
    <t xml:space="preserve">    Inicio de plan</t>
  </si>
  <si>
    <t xml:space="preserve">    Final de plan</t>
  </si>
  <si>
    <t>Contribuciones puntuais - Qe</t>
  </si>
  <si>
    <t>Cantidade Qe - final de plan</t>
  </si>
  <si>
    <t>Cantidade Qe - inicio de plan</t>
  </si>
  <si>
    <t>Qe - Caudal de referencia del proyeto</t>
  </si>
  <si>
    <t>Contribuciones distribuidas</t>
  </si>
  <si>
    <t>Contribuciones lineal de aguas residuales ?</t>
  </si>
  <si>
    <t>Taza de contribución lineal de AR - media (final)</t>
  </si>
  <si>
    <t>Taza de contribución lineal de AR - media (inicial)</t>
  </si>
  <si>
    <t>Parámetros - Cálculo Hidráulico</t>
  </si>
  <si>
    <t>Consumo per cápita de Agua</t>
  </si>
  <si>
    <t>Diámetros</t>
  </si>
  <si>
    <t>Pendientes mínimas</t>
  </si>
  <si>
    <t>hasta DN</t>
  </si>
  <si>
    <t>Tapada mín. (calzada)</t>
  </si>
  <si>
    <t>Tapada mín. (acera)</t>
  </si>
  <si>
    <t>Dispositivos de Inspeción y Limpieza</t>
  </si>
  <si>
    <t>Tipo preferido en el tramo inicial del colector</t>
  </si>
  <si>
    <t>Desnivel</t>
  </si>
  <si>
    <t>Desnivel máximo sin tubo de caida</t>
  </si>
  <si>
    <t>Desnivel mínimo</t>
  </si>
  <si>
    <t>Fondo de CI ou PV</t>
  </si>
  <si>
    <t>Por padrón</t>
  </si>
  <si>
    <t>Inspeción</t>
  </si>
  <si>
    <t>INICIO</t>
  </si>
  <si>
    <t>Navegación</t>
  </si>
  <si>
    <t>Limpiar hojas</t>
  </si>
  <si>
    <t>Importar datos del QGIS (csv)</t>
  </si>
  <si>
    <t>Ajustar Parámetros de diseño:</t>
  </si>
  <si>
    <t>Cargar hoja RedBasica</t>
  </si>
  <si>
    <t>Ajustar Hoja de Cálculos - hoja RedBasica</t>
  </si>
  <si>
    <t xml:space="preserve">Exportar resultados para el QGIS - Tramos (.csv) </t>
  </si>
  <si>
    <t xml:space="preserve">Exportar resultados para el QGIS - Nodos (.csv) </t>
  </si>
  <si>
    <t>Generar Impresión - Memória de Calculo de la Red Básica</t>
  </si>
  <si>
    <t xml:space="preserve">Ciudad:      </t>
  </si>
  <si>
    <t>Subcuenca:</t>
  </si>
  <si>
    <t>PARÁMETROS BÁSICOS :</t>
  </si>
  <si>
    <t>Pob. início de plan</t>
  </si>
  <si>
    <t>Consumo per capita de agua  (l/hab.dia)</t>
  </si>
  <si>
    <t>Taza de Ocupación (hab/familia)</t>
  </si>
  <si>
    <t>Taza de infiltración - Ti  (l/s.km)</t>
  </si>
  <si>
    <t>Lámina máxima (y /DN)</t>
  </si>
  <si>
    <t>Caudal mínima - Qmin  (l/s)</t>
  </si>
  <si>
    <t>Fuerza trativa mín - σ   (Pa)</t>
  </si>
  <si>
    <t>Diámetro mínimo - DN min  (mm)</t>
  </si>
  <si>
    <t>Caudales distribuidos</t>
  </si>
  <si>
    <t>Taza de contribuición lineal - final  (l/s.km)</t>
  </si>
  <si>
    <t>Taza de contribuición lineal - inicial  (l/s.km)</t>
  </si>
  <si>
    <t>Calzada  (m)</t>
  </si>
  <si>
    <t>Acera  (m)</t>
  </si>
  <si>
    <t>Pendientes mínimas admitidas</t>
  </si>
  <si>
    <t>hasta 150</t>
  </si>
  <si>
    <t>hasta 200</t>
  </si>
  <si>
    <t>desde 250</t>
  </si>
  <si>
    <t>S mín (m/m)</t>
  </si>
  <si>
    <t>Caudal
 máx
(l/s)</t>
  </si>
  <si>
    <t>Extensión</t>
  </si>
  <si>
    <t>Contribuiciónes - Identificación</t>
  </si>
  <si>
    <t>Tramos de AGUAS ARRIBAS</t>
  </si>
  <si>
    <t>Colector a atual</t>
  </si>
  <si>
    <t>Manzanas y Otros</t>
  </si>
  <si>
    <t>Ramales Condominiales y Outros</t>
  </si>
  <si>
    <t xml:space="preserve">Contribuición Equivalente
en cantidade de Unidades de Contribución de Referencia
</t>
  </si>
  <si>
    <t>Caudales</t>
  </si>
  <si>
    <t>Nivel del Terreno</t>
  </si>
  <si>
    <t>Nivel del Colector</t>
  </si>
  <si>
    <t>Nivel Intrados</t>
  </si>
  <si>
    <t>Pendientes</t>
  </si>
  <si>
    <t>Caudal de infiltración en el tramo</t>
  </si>
  <si>
    <t>CAUDAL total FINAL DE PLAN</t>
  </si>
  <si>
    <t>CAUDAL total INICIO DE PLAN</t>
  </si>
  <si>
    <t>En el punto AGUAS ARRIBA del tramo</t>
  </si>
  <si>
    <t>En el punto AGUAS ABAJO del tramo</t>
  </si>
  <si>
    <t>COLECTOR
S col</t>
  </si>
  <si>
    <t xml:space="preserve">Diámetro del Colector DN </t>
  </si>
  <si>
    <t xml:space="preserve"> Verificación Hidraulica y de las condiciónes de escurrimiento</t>
  </si>
  <si>
    <t>Final de Plan</t>
  </si>
  <si>
    <t>Inicio de Plan</t>
  </si>
  <si>
    <t>Caudal final 
Qf</t>
  </si>
  <si>
    <t>Lámina 
y/do</t>
  </si>
  <si>
    <t>Fuerza trativa
σ</t>
  </si>
  <si>
    <t>Caudal inicial 
Qi</t>
  </si>
  <si>
    <t>Lámina
y/do</t>
  </si>
  <si>
    <t xml:space="preserve">Tipo de Inspección de Aguas Arriba </t>
  </si>
  <si>
    <t xml:space="preserve">Tipo de Inspección de Aguas Abajo </t>
  </si>
  <si>
    <t>Observaciones</t>
  </si>
  <si>
    <t>NIVEL GS</t>
  </si>
  <si>
    <t>QUADRO DE CONTRIBUICIÓN</t>
  </si>
  <si>
    <t>CONTRIBUCIONES - FINAL DE PLAN</t>
  </si>
  <si>
    <t>CONTRIBUCIONES - INICIO DE PLAN</t>
  </si>
  <si>
    <t>Nº Colector e Tramo</t>
  </si>
  <si>
    <t>Tramo anterior - Colector atual
 (l/s)</t>
  </si>
  <si>
    <t>Colector m1
(l/s)</t>
  </si>
  <si>
    <t>Colector m2
(l/s)</t>
  </si>
  <si>
    <t>SUBTOTAL Trechos de Agua Arriba
(l/s)</t>
  </si>
  <si>
    <t>Ramales Condominiales y Otros 
(l/s)</t>
  </si>
  <si>
    <t>Contribución lineal em el tramo 
(l/s)</t>
  </si>
  <si>
    <t>No ponto de AGUAS ARRIBA del tramo (m)</t>
  </si>
  <si>
    <t>No ponto de AGUAS ABAJO del tramo (m)</t>
  </si>
  <si>
    <t>TRAMO ACTUAL
Id</t>
  </si>
  <si>
    <t>TRAMO Agua Abajo
Id</t>
  </si>
  <si>
    <t>Desnivel total
(m)</t>
  </si>
  <si>
    <t>Dispositivo de caída (tipo)</t>
  </si>
  <si>
    <t>QE_FP</t>
  </si>
  <si>
    <t>QE_IP</t>
  </si>
  <si>
    <t>MS_A_1</t>
  </si>
  <si>
    <t>MS_A_1-001</t>
  </si>
  <si>
    <t>64,65</t>
  </si>
  <si>
    <t>MS_A_1-002</t>
  </si>
  <si>
    <t>324321.249109, 2149792.996404</t>
  </si>
  <si>
    <t>MS_A_3-002</t>
  </si>
  <si>
    <t>62</t>
  </si>
  <si>
    <t>MS_A_1-003</t>
  </si>
  <si>
    <t>324335.351504, 2149849.405984</t>
  </si>
  <si>
    <t>66</t>
  </si>
  <si>
    <t>MS_A_1-004</t>
  </si>
  <si>
    <t>324344.417329, 2149894.231453</t>
  </si>
  <si>
    <t>MS_A_1-005</t>
  </si>
  <si>
    <t>324287.000436, 2149904.808249</t>
  </si>
  <si>
    <t>50c</t>
  </si>
  <si>
    <t>MS_A_1-006</t>
  </si>
  <si>
    <t>324264.335872, 2149937.545951</t>
  </si>
  <si>
    <t>MS_A_1-007</t>
  </si>
  <si>
    <t>324209.437264, 2150020.397521</t>
  </si>
  <si>
    <t>MS_A_5-003</t>
  </si>
  <si>
    <t>56</t>
  </si>
  <si>
    <t>MS_A_1-008</t>
  </si>
  <si>
    <t>324198.860468, 2150055.401680</t>
  </si>
  <si>
    <t>MS_A_7-001</t>
  </si>
  <si>
    <t>MS_A_1-009</t>
  </si>
  <si>
    <t>324178.714189, 2150127.928282</t>
  </si>
  <si>
    <t>MS_A_1-010</t>
  </si>
  <si>
    <t>324152.020371, 2150183.330547</t>
  </si>
  <si>
    <t>MS_A_2-005</t>
  </si>
  <si>
    <t>MS_A_1-011</t>
  </si>
  <si>
    <t>324138.925290, 2150232.688929</t>
  </si>
  <si>
    <t>MS_A_1-012</t>
  </si>
  <si>
    <t>324081.508396, 2150248.805952</t>
  </si>
  <si>
    <t>MS_A_4-008</t>
  </si>
  <si>
    <t>324012.003736, 2150272.477829</t>
  </si>
  <si>
    <t>MS_A_1-012-FINAL</t>
  </si>
  <si>
    <t>MS_A_2</t>
  </si>
  <si>
    <t>MS_A_2-001</t>
  </si>
  <si>
    <t>MS_A_2-002</t>
  </si>
  <si>
    <t>324384.206229, 2150264.922975</t>
  </si>
  <si>
    <t>MS_A_2-003</t>
  </si>
  <si>
    <t>324343.913672, 2150286.076567</t>
  </si>
  <si>
    <t>MS_A_2-004</t>
  </si>
  <si>
    <t>324295.562604, 2150273.988800</t>
  </si>
  <si>
    <t>324216.992118, 2150250.820580</t>
  </si>
  <si>
    <t>324161.589853, 2150233.696243</t>
  </si>
  <si>
    <t>MS_A_3</t>
  </si>
  <si>
    <t>MS_A_3-001</t>
  </si>
  <si>
    <t>324214.564284, 2149838.505293</t>
  </si>
  <si>
    <t>324255.012119, 2149867.031661</t>
  </si>
  <si>
    <t>MS_A_4</t>
  </si>
  <si>
    <t>MS_A_4-001</t>
  </si>
  <si>
    <t>MS_A_4-002</t>
  </si>
  <si>
    <t>323912.695704, 2149897.048213</t>
  </si>
  <si>
    <t>MS_A_4-003</t>
  </si>
  <si>
    <t>323875.228236, 2149930.258014</t>
  </si>
  <si>
    <t>MS_A_4-004</t>
  </si>
  <si>
    <t>323855.642968, 2149939.624881</t>
  </si>
  <si>
    <t>MS_A_4-005</t>
  </si>
  <si>
    <t>323889.704303, 2149983.904617</t>
  </si>
  <si>
    <t>MS_A_4-006</t>
  </si>
  <si>
    <t>323918.656438, 2150024.352452</t>
  </si>
  <si>
    <t>MS_A_4-007</t>
  </si>
  <si>
    <t>323944.202439, 2150078.850587</t>
  </si>
  <si>
    <t>MS_A_6-005</t>
  </si>
  <si>
    <t>323961.658873, 2150129.942590</t>
  </si>
  <si>
    <t>323980.818374, 2150183.589192</t>
  </si>
  <si>
    <t>MS_A_5</t>
  </si>
  <si>
    <t>MS_A_5-001</t>
  </si>
  <si>
    <t>MS_A_5-002</t>
  </si>
  <si>
    <t>324164.749582, 2149982.840200</t>
  </si>
  <si>
    <t>324144.951431, 2150014.985585</t>
  </si>
  <si>
    <t>324136.436097, 2150039.467169</t>
  </si>
  <si>
    <t>MS_A_6</t>
  </si>
  <si>
    <t>MS_A_6-001</t>
  </si>
  <si>
    <t>MS_A_6-002</t>
  </si>
  <si>
    <t>324014.879709, 2149909.821213</t>
  </si>
  <si>
    <t>MS_A_6-003</t>
  </si>
  <si>
    <t>323999.552108, 2149930.258014</t>
  </si>
  <si>
    <t>MS_A_6-004</t>
  </si>
  <si>
    <t>323991.036774, 2150004.341417</t>
  </si>
  <si>
    <t>323993.591374, 2150053.730353</t>
  </si>
  <si>
    <t>324017.434309, 2150110.783089</t>
  </si>
  <si>
    <t>MS_A_7</t>
  </si>
  <si>
    <t>324232.446485, 2150151.443807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</si>
</sst>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3">
    <numFmt numFmtId="164" formatCode="_(* #,##0.00_);_(* \(#,##0.00\);_(* &quot;-&quot;??_);_(@_)"/>
    <numFmt numFmtId="165" formatCode="_-* #,##0.00\ _€_-;\-* #,##0.00\ _€_-;_-* \-??\ _€_-;_-@_-"/>
    <numFmt numFmtId="166" formatCode="0.0"/>
    <numFmt numFmtId="167" formatCode="#,##0.0000"/>
    <numFmt numFmtId="168" formatCode="0.0000"/>
    <numFmt numFmtId="169" formatCode="#,##0.000;[Red]\-#,##0.000"/>
    <numFmt numFmtId="170" formatCode="#,##0.0000;[Red]\-#,##0.0000"/>
    <numFmt numFmtId="171" formatCode="0.000"/>
    <numFmt numFmtId="172" formatCode="_(* #,##0.00_);_(* \(#,##0.00\);_(* \-??_);_(@_)"/>
    <numFmt numFmtId="173" formatCode="#,##0.000"/>
    <numFmt numFmtId="174" formatCode="mmm\ &quot;/&quot;\ yyyy"/>
    <numFmt numFmtId="175" formatCode="#,##0.000_);[Red]\(#,##0.000\)"/>
    <numFmt numFmtId="176" formatCode="#.##000"/>
    <numFmt numFmtId="177" formatCode="&quot;$&quot;#,#00"/>
    <numFmt numFmtId="178" formatCode="#,#00"/>
    <numFmt numFmtId="179" formatCode="#,"/>
    <numFmt numFmtId="180" formatCode="_([$€]* #,##0.00_);_([$€]* \(#,##0.00\);_([$€]* &quot;-&quot;??_);_(@_)"/>
    <numFmt numFmtId="181" formatCode="0&quot; mm&quot;"/>
    <numFmt numFmtId="182" formatCode="#,##0.00000"/>
    <numFmt numFmtId="183" formatCode="_-* #,##0.00_-;\-* #,##0.00_-;_-* \-??_-;_-@_-"/>
    <numFmt numFmtId="184" formatCode="#,##0.00\ _€;[Red]\-#,##0.00\ _€"/>
    <numFmt numFmtId="185" formatCode="\ #,##0.0000&quot; l/s&quot;"/>
    <numFmt numFmtId="186" formatCode="\ #,##0.0&quot; l/s&quot;"/>
    <numFmt numFmtId="187" formatCode="0&quot; familias =&quot;"/>
    <numFmt numFmtId="188" formatCode="#,##0.00000;[Red]\-#,##0.00000"/>
    <numFmt numFmtId="189" formatCode="0_);\(0\)"/>
    <numFmt numFmtId="190" formatCode="000"/>
    <numFmt numFmtId="191" formatCode="\ #,##0&quot; l/dia&quot;"/>
    <numFmt numFmtId="192" formatCode="#,##0.0"/>
    <numFmt numFmtId="193" formatCode="#,##0;[Red]#,##0"/>
    <numFmt numFmtId="194" formatCode="#,##0.0000000000000000_ ;[Red]\-#,##0.0000000000000000\ "/>
    <numFmt numFmtId="195" formatCode="#,##0.00_ ;[Red]\-#,##0.00\ "/>
    <numFmt numFmtId="196" formatCode="#,##0_ ;[Red]\-#,##0\ "/>
  </numFmts>
  <fonts count="91" x14ac:knownFonts="1">
    <font>
      <sz val="10"/>
      <name val="Tahoma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name val="Arial"/>
      <family val="2"/>
    </font>
    <font>
      <sz val="7.5"/>
      <name val="MS Sans Serif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1"/>
      <color indexed="8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0"/>
      <name val="Tahoma"/>
      <family val="2"/>
    </font>
    <font>
      <sz val="7.5"/>
      <name val="Tahoma"/>
      <family val="2"/>
    </font>
    <font>
      <sz val="7.5"/>
      <color indexed="10"/>
      <name val="Tahoma"/>
      <family val="2"/>
    </font>
    <font>
      <b/>
      <sz val="18"/>
      <color indexed="9"/>
      <name val="Tahoma"/>
      <family val="2"/>
    </font>
    <font>
      <sz val="10"/>
      <color indexed="10"/>
      <name val="Tahoma"/>
      <family val="2"/>
    </font>
    <font>
      <b/>
      <sz val="12"/>
      <name val="Tahoma"/>
      <family val="2"/>
    </font>
    <font>
      <sz val="12"/>
      <name val="Tahoma"/>
      <family val="2"/>
    </font>
    <font>
      <b/>
      <u/>
      <sz val="12"/>
      <name val="Tahoma"/>
      <family val="2"/>
    </font>
    <font>
      <sz val="9"/>
      <name val="Tahoma"/>
      <family val="2"/>
    </font>
    <font>
      <sz val="8"/>
      <name val="Tahoma"/>
      <family val="2"/>
    </font>
    <font>
      <sz val="7"/>
      <name val="Tahoma"/>
      <family val="2"/>
    </font>
    <font>
      <sz val="7.25"/>
      <name val="Tahoma"/>
      <family val="2"/>
    </font>
    <font>
      <b/>
      <sz val="9"/>
      <name val="Tahoma"/>
      <family val="2"/>
    </font>
    <font>
      <b/>
      <sz val="8"/>
      <name val="Tahoma"/>
      <family val="2"/>
    </font>
    <font>
      <sz val="7.5"/>
      <color indexed="16"/>
      <name val="Tahoma"/>
      <family val="2"/>
    </font>
    <font>
      <sz val="7.5"/>
      <name val="MS Sans Serif"/>
      <family val="2"/>
    </font>
    <font>
      <sz val="7.5"/>
      <color indexed="12"/>
      <name val="Tahoma"/>
      <family val="2"/>
    </font>
    <font>
      <sz val="10"/>
      <name val="MS Sans Serif"/>
      <family val="2"/>
    </font>
    <font>
      <sz val="10"/>
      <name val="Tahoma"/>
      <family val="2"/>
    </font>
    <font>
      <sz val="10"/>
      <name val="Tahoma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sz val="11"/>
      <name val="Arial"/>
      <family val="2"/>
    </font>
    <font>
      <sz val="8"/>
      <name val="MS Sans Serif"/>
      <family val="2"/>
    </font>
    <font>
      <sz val="9"/>
      <color indexed="9"/>
      <name val="Tahoma"/>
      <family val="2"/>
    </font>
    <font>
      <b/>
      <sz val="14"/>
      <name val="Tahoma"/>
      <family val="2"/>
    </font>
    <font>
      <b/>
      <sz val="8"/>
      <name val="MS Sans Serif"/>
      <family val="2"/>
    </font>
    <font>
      <b/>
      <sz val="8"/>
      <color indexed="81"/>
      <name val="Tahoma"/>
      <family val="2"/>
    </font>
    <font>
      <b/>
      <sz val="10"/>
      <name val="Arial"/>
      <family val="2"/>
    </font>
    <font>
      <b/>
      <sz val="9"/>
      <color theme="8" tint="-0.499984740745262"/>
      <name val="Tahoma"/>
      <family val="2"/>
    </font>
    <font>
      <b/>
      <sz val="9"/>
      <color theme="5" tint="-0.249977111117893"/>
      <name val="Tahoma"/>
      <family val="2"/>
    </font>
    <font>
      <sz val="10"/>
      <color theme="5" tint="-0.249977111117893"/>
      <name val="Tahoma"/>
      <family val="2"/>
    </font>
    <font>
      <b/>
      <u/>
      <sz val="10"/>
      <name val="Tahoma"/>
      <family val="2"/>
    </font>
    <font>
      <sz val="10"/>
      <color theme="1"/>
      <name val="Tahoma"/>
      <family val="2"/>
    </font>
    <font>
      <b/>
      <sz val="9"/>
      <color theme="1"/>
      <name val="Tahoma"/>
      <family val="2"/>
    </font>
    <font>
      <b/>
      <sz val="8"/>
      <color theme="1"/>
      <name val="Tahoma"/>
      <family val="2"/>
    </font>
    <font>
      <sz val="7.5"/>
      <color rgb="FFFF0000"/>
      <name val="Tahoma"/>
      <family val="2"/>
    </font>
    <font>
      <b/>
      <sz val="16"/>
      <name val="Tahoma"/>
      <family val="2"/>
    </font>
    <font>
      <b/>
      <sz val="14"/>
      <name val="Arial"/>
      <family val="2"/>
    </font>
    <font>
      <sz val="10"/>
      <color rgb="FF000000"/>
      <name val="Tahoma"/>
      <family val="2"/>
    </font>
    <font>
      <sz val="8"/>
      <color indexed="81"/>
      <name val="Tahoma"/>
      <family val="2"/>
    </font>
    <font>
      <sz val="9"/>
      <color theme="0" tint="-4.9989318521683403E-2"/>
      <name val="Tahoma"/>
      <family val="2"/>
    </font>
    <font>
      <sz val="7.5"/>
      <color theme="0" tint="-4.9989318521683403E-2"/>
      <name val="Tahoma"/>
      <family val="2"/>
    </font>
    <font>
      <sz val="9"/>
      <color theme="1"/>
      <name val="Tahoma"/>
      <family val="2"/>
    </font>
    <font>
      <b/>
      <sz val="12"/>
      <color rgb="FF0070C0"/>
      <name val="Tahoma"/>
      <family val="2"/>
    </font>
    <font>
      <b/>
      <sz val="10"/>
      <color theme="0" tint="-4.9989318521683403E-2"/>
      <name val="Tahoma"/>
      <family val="2"/>
    </font>
    <font>
      <sz val="10"/>
      <color theme="0" tint="-4.9989318521683403E-2"/>
      <name val="Tahoma"/>
      <family val="2"/>
    </font>
    <font>
      <b/>
      <sz val="12"/>
      <name val="Arial"/>
      <family val="2"/>
    </font>
    <font>
      <sz val="10"/>
      <color rgb="FFFFFFFF"/>
      <name val="Arial"/>
      <family val="2"/>
    </font>
    <font>
      <b/>
      <sz val="18"/>
      <color rgb="FFFFFFFF"/>
      <name val="Calibri"/>
      <family val="2"/>
    </font>
    <font>
      <b/>
      <sz val="10"/>
      <color rgb="FFC0504D"/>
      <name val="Arial"/>
      <family val="2"/>
    </font>
    <font>
      <sz val="10"/>
      <color rgb="FF800000"/>
      <name val="Tahoma"/>
      <family val="2"/>
    </font>
    <font>
      <b/>
      <sz val="12"/>
      <color rgb="FFC00000"/>
      <name val="Tahoma"/>
      <family val="2"/>
    </font>
    <font>
      <sz val="10"/>
      <color rgb="FFFF0000"/>
      <name val="Tahoma"/>
      <family val="2"/>
    </font>
    <font>
      <sz val="7.5"/>
      <color theme="0"/>
      <name val="Tahoma"/>
      <family val="2"/>
    </font>
    <font>
      <b/>
      <sz val="12"/>
      <color theme="0"/>
      <name val="Tahoma"/>
      <family val="2"/>
    </font>
    <font>
      <b/>
      <u/>
      <sz val="10"/>
      <color theme="1"/>
      <name val="Tahoma"/>
      <family val="2"/>
    </font>
    <font>
      <b/>
      <sz val="10"/>
      <color theme="1"/>
      <name val="Tahoma"/>
      <family val="2"/>
    </font>
    <font>
      <sz val="11"/>
      <color rgb="FFFF0000"/>
      <name val="Tahoma"/>
      <family val="2"/>
    </font>
    <font>
      <sz val="9"/>
      <color theme="0"/>
      <name val="Tahoma"/>
      <family val="2"/>
    </font>
    <font>
      <sz val="9"/>
      <color theme="9" tint="-0.499984740745262"/>
      <name val="Tahoma"/>
      <family val="2"/>
    </font>
    <font>
      <sz val="9"/>
      <color rgb="FF000000"/>
      <name val="Tahoma"/>
      <family val="2"/>
    </font>
    <font>
      <b/>
      <sz val="10"/>
      <color theme="0"/>
      <name val="Tahoma"/>
      <family val="2"/>
    </font>
    <font>
      <b/>
      <sz val="11"/>
      <name val="Tahoma"/>
      <family val="2"/>
    </font>
    <font>
      <b/>
      <sz val="11"/>
      <color theme="1"/>
      <name val="Tahoma"/>
      <family val="2"/>
    </font>
  </fonts>
  <fills count="9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31"/>
        <bgColor indexed="24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45"/>
      </patternFill>
    </fill>
    <fill>
      <patternFill patternType="solid">
        <fgColor indexed="27"/>
        <bgColor indexed="42"/>
      </patternFill>
    </fill>
    <fill>
      <patternFill patternType="solid">
        <fgColor indexed="47"/>
        <bgColor indexed="25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19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34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57"/>
      </patternFill>
    </fill>
    <fill>
      <patternFill patternType="solid">
        <fgColor indexed="52"/>
        <bgColor indexed="19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22"/>
        <bgColor indexed="31"/>
      </patternFill>
    </fill>
    <fill>
      <patternFill patternType="solid">
        <fgColor indexed="55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43"/>
        <bgColor indexed="61"/>
      </patternFill>
    </fill>
    <fill>
      <patternFill patternType="solid">
        <fgColor indexed="26"/>
      </patternFill>
    </fill>
    <fill>
      <patternFill patternType="solid">
        <fgColor indexed="26"/>
        <bgColor indexed="35"/>
      </patternFill>
    </fill>
    <fill>
      <patternFill patternType="solid">
        <fgColor indexed="19"/>
        <bgColor indexed="29"/>
      </patternFill>
    </fill>
    <fill>
      <patternFill patternType="solid">
        <fgColor indexed="23"/>
        <bgColor indexed="55"/>
      </patternFill>
    </fill>
    <fill>
      <patternFill patternType="solid">
        <fgColor indexed="9"/>
        <bgColor indexed="15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15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1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41"/>
      </patternFill>
    </fill>
    <fill>
      <patternFill patternType="solid">
        <fgColor theme="0" tint="-0.14999847407452621"/>
        <bgColor indexed="41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0" tint="-4.9989318521683403E-2"/>
        <bgColor indexed="31"/>
      </patternFill>
    </fill>
    <fill>
      <patternFill patternType="solid">
        <fgColor theme="0" tint="-4.9989318521683403E-2"/>
        <bgColor indexed="54"/>
      </patternFill>
    </fill>
    <fill>
      <patternFill patternType="solid">
        <fgColor theme="0" tint="-0.14999847407452621"/>
        <bgColor indexed="61"/>
      </patternFill>
    </fill>
    <fill>
      <patternFill patternType="solid">
        <fgColor theme="0" tint="-4.9989318521683403E-2"/>
        <bgColor indexed="61"/>
      </patternFill>
    </fill>
    <fill>
      <patternFill patternType="solid">
        <fgColor theme="0" tint="-4.9989318521683403E-2"/>
        <bgColor indexed="40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55"/>
      </patternFill>
    </fill>
    <fill>
      <patternFill patternType="solid">
        <fgColor theme="0"/>
        <bgColor indexed="61"/>
      </patternFill>
    </fill>
    <fill>
      <patternFill patternType="solid">
        <fgColor theme="0" tint="-0.499984740745262"/>
        <bgColor indexed="1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indexed="61"/>
      </patternFill>
    </fill>
    <fill>
      <patternFill patternType="solid">
        <fgColor theme="1"/>
        <bgColor indexed="15"/>
      </patternFill>
    </fill>
    <fill>
      <patternFill patternType="solid">
        <fgColor rgb="FFA6A6A6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808080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0" tint="-0.14999847407452621"/>
        <bgColor indexed="40"/>
      </patternFill>
    </fill>
    <fill>
      <patternFill patternType="solid">
        <fgColor theme="1" tint="0.34998626667073579"/>
        <bgColor indexed="15"/>
      </patternFill>
    </fill>
    <fill>
      <patternFill patternType="solid">
        <fgColor theme="1" tint="0.34998626667073579"/>
        <bgColor indexed="40"/>
      </patternFill>
    </fill>
    <fill>
      <patternFill patternType="solid">
        <fgColor theme="0" tint="-0.249977111117893"/>
        <bgColor indexed="40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9.9978637043366805E-2"/>
        <bgColor indexed="41"/>
      </patternFill>
    </fill>
    <fill>
      <patternFill patternType="solid">
        <fgColor theme="6" tint="0.59999389629810485"/>
        <bgColor indexed="41"/>
      </patternFill>
    </fill>
    <fill>
      <patternFill patternType="solid">
        <fgColor rgb="FFFFFFD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40"/>
      </patternFill>
    </fill>
    <fill>
      <patternFill patternType="solid">
        <fgColor rgb="FFFFFF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43"/>
        <bgColor indexed="64"/>
      </patternFill>
    </fill>
  </fills>
  <borders count="6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/>
      <bottom style="thick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8"/>
      </bottom>
      <diagonal/>
    </border>
    <border>
      <left/>
      <right style="thin">
        <color indexed="8"/>
      </right>
      <top style="thin">
        <color indexed="64"/>
      </top>
      <bottom style="thin">
        <color indexed="8"/>
      </bottom>
      <diagonal/>
    </border>
    <border>
      <left style="thin">
        <color indexed="61"/>
      </left>
      <right style="thin">
        <color indexed="61"/>
      </right>
      <top style="thin">
        <color indexed="61"/>
      </top>
      <bottom style="thin">
        <color indexed="61"/>
      </bottom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/>
      <right/>
      <top style="thin">
        <color indexed="8"/>
      </top>
      <bottom style="thin">
        <color indexed="64"/>
      </bottom>
      <diagonal/>
    </border>
    <border>
      <left style="thin">
        <color indexed="64"/>
      </left>
      <right style="thin">
        <color indexed="8"/>
      </right>
      <top style="thin">
        <color indexed="64"/>
      </top>
      <bottom style="thin">
        <color indexed="8"/>
      </bottom>
      <diagonal/>
    </border>
    <border>
      <left style="thin">
        <color indexed="8"/>
      </left>
      <right style="thin">
        <color indexed="64"/>
      </right>
      <top style="thin">
        <color indexed="64"/>
      </top>
      <bottom style="thin">
        <color indexed="8"/>
      </bottom>
      <diagonal/>
    </border>
    <border>
      <left style="thin">
        <color indexed="64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8"/>
      </left>
      <right style="thin">
        <color indexed="64"/>
      </right>
      <top style="thin">
        <color indexed="8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64"/>
      </left>
      <right style="thin">
        <color indexed="8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8"/>
      </bottom>
      <diagonal/>
    </border>
    <border>
      <left style="thin">
        <color indexed="8"/>
      </left>
      <right/>
      <top style="thin">
        <color indexed="64"/>
      </top>
      <bottom style="thin">
        <color indexed="8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64"/>
      </bottom>
      <diagonal/>
    </border>
    <border>
      <left/>
      <right style="thin">
        <color indexed="8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/>
      <diagonal/>
    </border>
    <border>
      <left style="thin">
        <color indexed="8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8"/>
      </right>
      <top/>
      <bottom/>
      <diagonal/>
    </border>
    <border>
      <left style="thin">
        <color indexed="64"/>
      </left>
      <right style="thin">
        <color indexed="8"/>
      </right>
      <top/>
      <bottom style="thin">
        <color indexed="64"/>
      </bottom>
      <diagonal/>
    </border>
    <border>
      <left style="thin">
        <color indexed="8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64"/>
      </right>
      <top/>
      <bottom/>
      <diagonal/>
    </border>
    <border>
      <left style="thin">
        <color indexed="8"/>
      </left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 style="thin">
        <color indexed="8"/>
      </right>
      <top style="thin">
        <color theme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theme="1"/>
      </top>
      <bottom style="thin">
        <color indexed="8"/>
      </bottom>
      <diagonal/>
    </border>
    <border>
      <left style="thin">
        <color indexed="8"/>
      </left>
      <right/>
      <top style="thin">
        <color theme="1"/>
      </top>
      <bottom style="thin">
        <color indexed="8"/>
      </bottom>
      <diagonal/>
    </border>
    <border>
      <left style="thin">
        <color indexed="8"/>
      </left>
      <right style="thin">
        <color theme="1"/>
      </right>
      <top style="thin">
        <color theme="1"/>
      </top>
      <bottom style="thin">
        <color indexed="8"/>
      </bottom>
      <diagonal/>
    </border>
    <border>
      <left style="thin">
        <color theme="1"/>
      </left>
      <right style="thin">
        <color indexed="8"/>
      </right>
      <top style="thin">
        <color indexed="8"/>
      </top>
      <bottom style="thin">
        <color theme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theme="1"/>
      </bottom>
      <diagonal/>
    </border>
    <border>
      <left style="thin">
        <color indexed="8"/>
      </left>
      <right/>
      <top style="thin">
        <color indexed="8"/>
      </top>
      <bottom style="thin">
        <color theme="1"/>
      </bottom>
      <diagonal/>
    </border>
    <border>
      <left style="thin">
        <color indexed="8"/>
      </left>
      <right style="thin">
        <color theme="1"/>
      </right>
      <top style="thin">
        <color indexed="8"/>
      </top>
      <bottom style="thin">
        <color theme="1"/>
      </bottom>
      <diagonal/>
    </border>
    <border>
      <left/>
      <right style="thin">
        <color indexed="8"/>
      </right>
      <top/>
      <bottom/>
      <diagonal/>
    </border>
  </borders>
  <cellStyleXfs count="118">
    <xf numFmtId="0" fontId="0" fillId="0" borderId="0"/>
    <xf numFmtId="0" fontId="7" fillId="2" borderId="0" applyNumberFormat="0" applyBorder="0" applyAlignment="0" applyProtection="0"/>
    <xf numFmtId="0" fontId="7" fillId="3" borderId="0" applyNumberFormat="0" applyBorder="0" applyAlignment="0" applyProtection="0"/>
    <xf numFmtId="0" fontId="7" fillId="4" borderId="0" applyNumberFormat="0" applyBorder="0" applyAlignment="0" applyProtection="0"/>
    <xf numFmtId="0" fontId="7" fillId="5" borderId="0" applyNumberFormat="0" applyBorder="0" applyAlignment="0" applyProtection="0"/>
    <xf numFmtId="0" fontId="7" fillId="6" borderId="0" applyNumberFormat="0" applyBorder="0" applyAlignment="0" applyProtection="0"/>
    <xf numFmtId="0" fontId="7" fillId="7" borderId="0" applyNumberFormat="0" applyBorder="0" applyAlignment="0" applyProtection="0"/>
    <xf numFmtId="0" fontId="7" fillId="8" borderId="0" applyNumberFormat="0" applyBorder="0" applyAlignment="0" applyProtection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5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0" borderId="0" applyNumberFormat="0" applyBorder="0" applyAlignment="0" applyProtection="0"/>
    <xf numFmtId="0" fontId="7" fillId="11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33" borderId="0" applyNumberFormat="0" applyBorder="0" applyAlignment="0" applyProtection="0"/>
    <xf numFmtId="0" fontId="15" fillId="3" borderId="0" applyNumberFormat="0" applyBorder="0" applyAlignment="0" applyProtection="0"/>
    <xf numFmtId="0" fontId="9" fillId="10" borderId="0" applyNumberFormat="0" applyBorder="0" applyAlignment="0" applyProtection="0"/>
    <xf numFmtId="0" fontId="12" fillId="34" borderId="1" applyNumberFormat="0" applyAlignment="0" applyProtection="0"/>
    <xf numFmtId="0" fontId="12" fillId="35" borderId="1" applyNumberFormat="0" applyAlignment="0" applyProtection="0"/>
    <xf numFmtId="0" fontId="10" fillId="36" borderId="2" applyNumberFormat="0" applyAlignment="0" applyProtection="0"/>
    <xf numFmtId="0" fontId="11" fillId="0" borderId="3" applyNumberFormat="0" applyFill="0" applyAlignment="0" applyProtection="0"/>
    <xf numFmtId="0" fontId="10" fillId="36" borderId="2" applyNumberFormat="0" applyAlignment="0" applyProtection="0"/>
    <xf numFmtId="164" fontId="45" fillId="0" borderId="0" applyFont="0" applyFill="0" applyBorder="0" applyAlignment="0" applyProtection="0"/>
    <xf numFmtId="0" fontId="46" fillId="0" borderId="0">
      <protection locked="0"/>
    </xf>
    <xf numFmtId="179" fontId="47" fillId="0" borderId="0">
      <protection locked="0"/>
    </xf>
    <xf numFmtId="179" fontId="47" fillId="0" borderId="0">
      <protection locked="0"/>
    </xf>
    <xf numFmtId="0" fontId="8" fillId="37" borderId="0" applyNumberFormat="0" applyBorder="0" applyAlignment="0" applyProtection="0"/>
    <xf numFmtId="0" fontId="8" fillId="38" borderId="0" applyNumberFormat="0" applyBorder="0" applyAlignment="0" applyProtection="0"/>
    <xf numFmtId="0" fontId="8" fillId="39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40" borderId="0" applyNumberFormat="0" applyBorder="0" applyAlignment="0" applyProtection="0"/>
    <xf numFmtId="0" fontId="14" fillId="13" borderId="1" applyNumberFormat="0" applyAlignment="0" applyProtection="0"/>
    <xf numFmtId="180" fontId="48" fillId="0" borderId="0" applyFont="0" applyFill="0" applyBorder="0" applyAlignment="0" applyProtection="0"/>
    <xf numFmtId="0" fontId="21" fillId="0" borderId="0" applyNumberFormat="0" applyFill="0" applyBorder="0" applyAlignment="0" applyProtection="0"/>
    <xf numFmtId="178" fontId="46" fillId="0" borderId="0">
      <protection locked="0"/>
    </xf>
    <xf numFmtId="176" fontId="46" fillId="0" borderId="0">
      <protection locked="0"/>
    </xf>
    <xf numFmtId="0" fontId="9" fillId="4" borderId="0" applyNumberFormat="0" applyBorder="0" applyAlignment="0" applyProtection="0"/>
    <xf numFmtId="0" fontId="23" fillId="0" borderId="4" applyNumberFormat="0" applyFill="0" applyAlignment="0" applyProtection="0"/>
    <xf numFmtId="0" fontId="24" fillId="0" borderId="5" applyNumberFormat="0" applyFill="0" applyAlignment="0" applyProtection="0"/>
    <xf numFmtId="0" fontId="13" fillId="0" borderId="6" applyNumberFormat="0" applyFill="0" applyAlignment="0" applyProtection="0"/>
    <xf numFmtId="0" fontId="13" fillId="0" borderId="0" applyNumberFormat="0" applyFill="0" applyBorder="0" applyAlignment="0" applyProtection="0"/>
    <xf numFmtId="0" fontId="15" fillId="3" borderId="0" applyNumberFormat="0" applyBorder="0" applyAlignment="0" applyProtection="0"/>
    <xf numFmtId="0" fontId="14" fillId="7" borderId="1" applyNumberFormat="0" applyAlignment="0" applyProtection="0"/>
    <xf numFmtId="0" fontId="11" fillId="0" borderId="3" applyNumberFormat="0" applyFill="0" applyAlignment="0" applyProtection="0"/>
    <xf numFmtId="165" fontId="44" fillId="0" borderId="0" applyFill="0" applyBorder="0" applyAlignment="0" applyProtection="0"/>
    <xf numFmtId="177" fontId="46" fillId="0" borderId="0">
      <protection locked="0"/>
    </xf>
    <xf numFmtId="0" fontId="16" fillId="41" borderId="0" applyNumberFormat="0" applyBorder="0" applyAlignment="0" applyProtection="0"/>
    <xf numFmtId="0" fontId="17" fillId="0" borderId="0"/>
    <xf numFmtId="0" fontId="17" fillId="0" borderId="0"/>
    <xf numFmtId="0" fontId="6" fillId="0" borderId="0"/>
    <xf numFmtId="0" fontId="7" fillId="0" borderId="0"/>
    <xf numFmtId="0" fontId="41" fillId="0" borderId="0" applyBorder="0" applyAlignment="0">
      <alignment horizontal="left"/>
    </xf>
    <xf numFmtId="0" fontId="18" fillId="0" borderId="0" applyBorder="0" applyAlignment="0"/>
    <xf numFmtId="0" fontId="41" fillId="0" borderId="0" applyBorder="0" applyAlignment="0">
      <alignment horizontal="left"/>
    </xf>
    <xf numFmtId="0" fontId="44" fillId="43" borderId="7" applyNumberFormat="0" applyAlignment="0" applyProtection="0"/>
    <xf numFmtId="0" fontId="6" fillId="42" borderId="7" applyNumberFormat="0" applyFont="0" applyAlignment="0" applyProtection="0"/>
    <xf numFmtId="0" fontId="19" fillId="34" borderId="8" applyNumberFormat="0" applyAlignment="0" applyProtection="0"/>
    <xf numFmtId="9" fontId="44" fillId="0" borderId="0" applyFill="0" applyBorder="0" applyAlignment="0" applyProtection="0"/>
    <xf numFmtId="9" fontId="1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9" fillId="35" borderId="8" applyNumberFormat="0" applyAlignment="0" applyProtection="0"/>
    <xf numFmtId="0" fontId="26" fillId="44" borderId="0" applyNumberFormat="0" applyBorder="0" applyAlignment="0" applyProtection="0"/>
    <xf numFmtId="0" fontId="26" fillId="44" borderId="0" applyNumberFormat="0" applyBorder="0" applyAlignment="0" applyProtection="0"/>
    <xf numFmtId="0" fontId="26" fillId="44" borderId="0" applyNumberFormat="0" applyBorder="0" applyAlignment="0" applyProtection="0"/>
    <xf numFmtId="0" fontId="26" fillId="0" borderId="0" applyNumberFormat="0" applyFill="0" applyBorder="0" applyAlignment="0" applyProtection="0"/>
    <xf numFmtId="0" fontId="26" fillId="44" borderId="0" applyNumberFormat="0" applyBorder="0" applyAlignment="0" applyProtection="0"/>
    <xf numFmtId="0" fontId="26" fillId="44" borderId="0" applyNumberFormat="0" applyBorder="0" applyAlignment="0" applyProtection="0"/>
    <xf numFmtId="40" fontId="43" fillId="0" borderId="0" applyFont="0" applyFill="0" applyBorder="0" applyAlignment="0" applyProtection="0"/>
    <xf numFmtId="40" fontId="44" fillId="0" borderId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3" fillId="0" borderId="4" applyNumberFormat="0" applyFill="0" applyAlignment="0" applyProtection="0"/>
    <xf numFmtId="0" fontId="24" fillId="0" borderId="5" applyNumberFormat="0" applyFill="0" applyAlignment="0" applyProtection="0"/>
    <xf numFmtId="0" fontId="13" fillId="0" borderId="6" applyNumberFormat="0" applyFill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2" fillId="0" borderId="9" applyNumberFormat="0" applyFill="0" applyAlignment="0" applyProtection="0"/>
    <xf numFmtId="172" fontId="44" fillId="0" borderId="0" applyFill="0" applyBorder="0" applyAlignment="0" applyProtection="0"/>
    <xf numFmtId="183" fontId="17" fillId="0" borderId="0" applyFill="0" applyBorder="0" applyAlignment="0" applyProtection="0"/>
    <xf numFmtId="0" fontId="20" fillId="0" borderId="0" applyNumberFormat="0" applyFill="0" applyBorder="0" applyAlignment="0" applyProtection="0"/>
    <xf numFmtId="0" fontId="7" fillId="42" borderId="34" applyNumberFormat="0" applyFont="0" applyAlignment="0" applyProtection="0"/>
    <xf numFmtId="164" fontId="6" fillId="0" borderId="0" quotePrefix="1">
      <protection locked="0"/>
    </xf>
    <xf numFmtId="0" fontId="5" fillId="0" borderId="0"/>
    <xf numFmtId="0" fontId="4" fillId="0" borderId="0"/>
    <xf numFmtId="0" fontId="3" fillId="0" borderId="0"/>
  </cellStyleXfs>
  <cellXfs count="511">
    <xf numFmtId="0" fontId="0" fillId="0" borderId="0" xfId="0"/>
    <xf numFmtId="0" fontId="27" fillId="0" borderId="0" xfId="81" applyFont="1"/>
    <xf numFmtId="0" fontId="27" fillId="46" borderId="0" xfId="81" applyFont="1" applyFill="1"/>
    <xf numFmtId="0" fontId="0" fillId="46" borderId="0" xfId="81" applyFont="1" applyFill="1"/>
    <xf numFmtId="0" fontId="26" fillId="46" borderId="0" xfId="81" applyFont="1" applyFill="1" applyAlignment="1">
      <alignment horizontal="left"/>
    </xf>
    <xf numFmtId="0" fontId="28" fillId="46" borderId="0" xfId="81" applyFont="1" applyFill="1"/>
    <xf numFmtId="0" fontId="37" fillId="46" borderId="0" xfId="81" applyFont="1" applyFill="1" applyAlignment="1">
      <alignment horizontal="center"/>
    </xf>
    <xf numFmtId="0" fontId="27" fillId="46" borderId="0" xfId="81" applyFont="1" applyFill="1" applyAlignment="1">
      <alignment horizontal="center"/>
    </xf>
    <xf numFmtId="0" fontId="0" fillId="46" borderId="0" xfId="0" applyFill="1"/>
    <xf numFmtId="0" fontId="27" fillId="0" borderId="0" xfId="80" applyFont="1" applyAlignment="1"/>
    <xf numFmtId="0" fontId="29" fillId="48" borderId="0" xfId="80" applyFont="1" applyFill="1" applyAlignment="1">
      <alignment horizontal="center"/>
    </xf>
    <xf numFmtId="0" fontId="29" fillId="48" borderId="0" xfId="80" applyFont="1" applyFill="1">
      <alignment horizontal="left"/>
    </xf>
    <xf numFmtId="0" fontId="41" fillId="47" borderId="0" xfId="80" applyFill="1" applyAlignment="1"/>
    <xf numFmtId="0" fontId="27" fillId="47" borderId="0" xfId="80" applyFont="1" applyFill="1" applyAlignment="1"/>
    <xf numFmtId="0" fontId="27" fillId="47" borderId="0" xfId="80" applyFont="1" applyFill="1" applyAlignment="1" applyProtection="1">
      <protection locked="0"/>
    </xf>
    <xf numFmtId="0" fontId="27" fillId="0" borderId="0" xfId="80" applyFont="1" applyAlignment="1" applyProtection="1">
      <protection locked="0"/>
    </xf>
    <xf numFmtId="173" fontId="27" fillId="0" borderId="0" xfId="80" applyNumberFormat="1" applyFont="1" applyAlignment="1"/>
    <xf numFmtId="4" fontId="27" fillId="0" borderId="0" xfId="80" applyNumberFormat="1" applyFont="1" applyAlignment="1"/>
    <xf numFmtId="0" fontId="26" fillId="47" borderId="14" xfId="80" quotePrefix="1" applyFont="1" applyFill="1" applyBorder="1" applyAlignment="1">
      <alignment horizontal="left" vertical="center"/>
    </xf>
    <xf numFmtId="0" fontId="29" fillId="47" borderId="14" xfId="80" applyFont="1" applyFill="1" applyBorder="1" applyAlignment="1">
      <alignment horizontal="center"/>
    </xf>
    <xf numFmtId="0" fontId="27" fillId="0" borderId="14" xfId="80" applyFont="1" applyBorder="1" applyAlignment="1"/>
    <xf numFmtId="0" fontId="49" fillId="47" borderId="14" xfId="80" applyFont="1" applyFill="1" applyBorder="1" applyAlignment="1"/>
    <xf numFmtId="0" fontId="35" fillId="47" borderId="14" xfId="80" applyFont="1" applyFill="1" applyBorder="1" applyAlignment="1">
      <alignment horizontal="center" vertical="center" wrapText="1"/>
    </xf>
    <xf numFmtId="166" fontId="35" fillId="47" borderId="14" xfId="80" applyNumberFormat="1" applyFont="1" applyFill="1" applyBorder="1" applyAlignment="1" applyProtection="1">
      <alignment horizontal="center" vertical="center"/>
      <protection locked="0"/>
    </xf>
    <xf numFmtId="0" fontId="35" fillId="47" borderId="14" xfId="80" applyFont="1" applyFill="1" applyBorder="1" applyAlignment="1">
      <alignment horizontal="left" vertical="center" wrapText="1"/>
    </xf>
    <xf numFmtId="0" fontId="41" fillId="47" borderId="14" xfId="80" applyFill="1" applyBorder="1" applyAlignment="1"/>
    <xf numFmtId="2" fontId="35" fillId="0" borderId="15" xfId="80" applyNumberFormat="1" applyFont="1" applyBorder="1" applyAlignment="1" applyProtection="1">
      <alignment horizontal="center" vertical="center"/>
      <protection locked="0"/>
    </xf>
    <xf numFmtId="0" fontId="35" fillId="0" borderId="15" xfId="80" applyFont="1" applyBorder="1" applyAlignment="1">
      <alignment horizontal="left" vertical="center" wrapText="1"/>
    </xf>
    <xf numFmtId="166" fontId="35" fillId="0" borderId="15" xfId="80" applyNumberFormat="1" applyFont="1" applyBorder="1" applyAlignment="1" applyProtection="1">
      <alignment horizontal="center" vertical="center"/>
      <protection locked="0"/>
    </xf>
    <xf numFmtId="1" fontId="35" fillId="0" borderId="15" xfId="80" applyNumberFormat="1" applyFont="1" applyBorder="1" applyAlignment="1" applyProtection="1">
      <alignment horizontal="center" vertical="center"/>
      <protection locked="0"/>
    </xf>
    <xf numFmtId="0" fontId="35" fillId="0" borderId="15" xfId="80" applyFont="1" applyBorder="1" applyAlignment="1" applyProtection="1">
      <alignment horizontal="center" vertical="center"/>
      <protection locked="0"/>
    </xf>
    <xf numFmtId="168" fontId="35" fillId="0" borderId="16" xfId="80" applyNumberFormat="1" applyFont="1" applyBorder="1" applyAlignment="1" applyProtection="1">
      <alignment horizontal="center" vertical="center"/>
      <protection locked="0"/>
    </xf>
    <xf numFmtId="175" fontId="35" fillId="0" borderId="15" xfId="98" applyNumberFormat="1" applyFont="1" applyBorder="1" applyAlignment="1" applyProtection="1">
      <alignment horizontal="center" vertical="center"/>
      <protection locked="0"/>
    </xf>
    <xf numFmtId="9" fontId="35" fillId="0" borderId="15" xfId="88" applyFont="1" applyBorder="1" applyAlignment="1" applyProtection="1">
      <alignment horizontal="center" vertical="center"/>
      <protection locked="0"/>
    </xf>
    <xf numFmtId="0" fontId="41" fillId="0" borderId="0" xfId="80" applyAlignment="1"/>
    <xf numFmtId="0" fontId="34" fillId="0" borderId="0" xfId="80" applyFont="1" applyAlignment="1"/>
    <xf numFmtId="0" fontId="29" fillId="0" borderId="0" xfId="80" applyFont="1" applyAlignment="1">
      <alignment horizontal="center"/>
    </xf>
    <xf numFmtId="0" fontId="26" fillId="47" borderId="14" xfId="80" applyFont="1" applyFill="1" applyBorder="1" applyAlignment="1">
      <alignment horizontal="left" vertical="center"/>
    </xf>
    <xf numFmtId="0" fontId="34" fillId="0" borderId="24" xfId="80" applyFont="1" applyBorder="1" applyAlignment="1">
      <alignment horizontal="center" wrapText="1"/>
    </xf>
    <xf numFmtId="0" fontId="31" fillId="47" borderId="0" xfId="80" applyFont="1" applyFill="1" applyAlignment="1">
      <alignment horizontal="left" vertical="center"/>
    </xf>
    <xf numFmtId="189" fontId="44" fillId="0" borderId="15" xfId="110" applyNumberFormat="1" applyBorder="1" applyAlignment="1">
      <alignment horizontal="center" vertical="center"/>
    </xf>
    <xf numFmtId="171" fontId="6" fillId="49" borderId="15" xfId="78" applyNumberFormat="1" applyFill="1" applyBorder="1" applyAlignment="1">
      <alignment horizontal="center" vertical="center" wrapText="1"/>
    </xf>
    <xf numFmtId="0" fontId="0" fillId="50" borderId="0" xfId="81" applyFont="1" applyFill="1"/>
    <xf numFmtId="0" fontId="33" fillId="50" borderId="0" xfId="81" applyFont="1" applyFill="1"/>
    <xf numFmtId="0" fontId="27" fillId="51" borderId="0" xfId="81" applyFont="1" applyFill="1"/>
    <xf numFmtId="0" fontId="27" fillId="50" borderId="0" xfId="81" applyFont="1" applyFill="1"/>
    <xf numFmtId="2" fontId="34" fillId="52" borderId="0" xfId="81" applyNumberFormat="1" applyFont="1" applyFill="1" applyAlignment="1">
      <alignment horizontal="center" vertical="center"/>
    </xf>
    <xf numFmtId="0" fontId="35" fillId="0" borderId="15" xfId="80" applyFont="1" applyBorder="1" applyAlignment="1">
      <alignment horizontal="center" vertical="center" wrapText="1"/>
    </xf>
    <xf numFmtId="0" fontId="58" fillId="50" borderId="0" xfId="81" applyFont="1" applyFill="1" applyAlignment="1">
      <alignment vertical="center"/>
    </xf>
    <xf numFmtId="0" fontId="61" fillId="0" borderId="15" xfId="80" applyFont="1" applyBorder="1" applyAlignment="1">
      <alignment horizontal="center" vertical="center" wrapText="1"/>
    </xf>
    <xf numFmtId="174" fontId="32" fillId="47" borderId="26" xfId="80" applyNumberFormat="1" applyFont="1" applyFill="1" applyBorder="1">
      <alignment horizontal="left"/>
    </xf>
    <xf numFmtId="0" fontId="39" fillId="0" borderId="15" xfId="80" applyFont="1" applyBorder="1" applyAlignment="1">
      <alignment horizontal="center" vertical="center" wrapText="1"/>
    </xf>
    <xf numFmtId="0" fontId="26" fillId="50" borderId="0" xfId="81" applyFont="1" applyFill="1" applyAlignment="1">
      <alignment horizontal="left"/>
    </xf>
    <xf numFmtId="0" fontId="0" fillId="51" borderId="0" xfId="0" applyFill="1"/>
    <xf numFmtId="0" fontId="63" fillId="51" borderId="0" xfId="80" applyFont="1" applyFill="1" applyAlignment="1">
      <alignment horizontal="left" vertical="center"/>
    </xf>
    <xf numFmtId="0" fontId="27" fillId="51" borderId="0" xfId="80" applyFont="1" applyFill="1" applyAlignment="1" applyProtection="1">
      <protection locked="0"/>
    </xf>
    <xf numFmtId="0" fontId="27" fillId="51" borderId="0" xfId="80" applyFont="1" applyFill="1" applyAlignment="1"/>
    <xf numFmtId="0" fontId="28" fillId="50" borderId="0" xfId="81" applyFont="1" applyFill="1"/>
    <xf numFmtId="0" fontId="28" fillId="51" borderId="0" xfId="81" applyFont="1" applyFill="1"/>
    <xf numFmtId="190" fontId="29" fillId="45" borderId="0" xfId="81" applyNumberFormat="1" applyFont="1" applyFill="1" applyAlignment="1">
      <alignment horizontal="left"/>
    </xf>
    <xf numFmtId="190" fontId="27" fillId="51" borderId="0" xfId="81" applyNumberFormat="1" applyFont="1" applyFill="1"/>
    <xf numFmtId="0" fontId="0" fillId="50" borderId="0" xfId="81" applyFont="1" applyFill="1" applyAlignment="1">
      <alignment vertical="center"/>
    </xf>
    <xf numFmtId="0" fontId="0" fillId="0" borderId="15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6" fillId="0" borderId="17" xfId="0" applyFont="1" applyBorder="1" applyAlignment="1">
      <alignment horizontal="center" vertical="center"/>
    </xf>
    <xf numFmtId="0" fontId="0" fillId="46" borderId="0" xfId="81" applyFont="1" applyFill="1" applyAlignment="1">
      <alignment vertical="center"/>
    </xf>
    <xf numFmtId="1" fontId="34" fillId="0" borderId="15" xfId="81" applyNumberFormat="1" applyFont="1" applyBorder="1" applyAlignment="1" applyProtection="1">
      <alignment horizontal="center"/>
      <protection hidden="1"/>
    </xf>
    <xf numFmtId="184" fontId="34" fillId="0" borderId="15" xfId="99" applyNumberFormat="1" applyFont="1" applyBorder="1" applyAlignment="1" applyProtection="1">
      <alignment horizontal="right"/>
      <protection hidden="1"/>
    </xf>
    <xf numFmtId="167" fontId="34" fillId="0" borderId="15" xfId="81" applyNumberFormat="1" applyFont="1" applyBorder="1" applyProtection="1">
      <protection hidden="1"/>
    </xf>
    <xf numFmtId="40" fontId="34" fillId="52" borderId="15" xfId="99" applyFont="1" applyFill="1" applyBorder="1" applyAlignment="1" applyProtection="1">
      <alignment horizontal="center"/>
      <protection hidden="1"/>
    </xf>
    <xf numFmtId="0" fontId="0" fillId="0" borderId="15" xfId="0" applyBorder="1" applyAlignment="1" applyProtection="1">
      <alignment horizontal="center"/>
      <protection hidden="1"/>
    </xf>
    <xf numFmtId="2" fontId="34" fillId="0" borderId="15" xfId="81" applyNumberFormat="1" applyFont="1" applyBorder="1" applyAlignment="1" applyProtection="1">
      <alignment horizontal="center"/>
      <protection hidden="1"/>
    </xf>
    <xf numFmtId="40" fontId="34" fillId="0" borderId="15" xfId="99" applyFont="1" applyBorder="1" applyAlignment="1" applyProtection="1">
      <alignment horizontal="right"/>
      <protection hidden="1"/>
    </xf>
    <xf numFmtId="170" fontId="34" fillId="0" borderId="15" xfId="99" applyNumberFormat="1" applyFont="1" applyBorder="1" applyAlignment="1" applyProtection="1">
      <alignment horizontal="right"/>
      <protection hidden="1"/>
    </xf>
    <xf numFmtId="170" fontId="50" fillId="0" borderId="15" xfId="99" applyNumberFormat="1" applyFont="1" applyBorder="1" applyAlignment="1" applyProtection="1">
      <alignment horizontal="right"/>
      <protection hidden="1"/>
    </xf>
    <xf numFmtId="188" fontId="34" fillId="0" borderId="15" xfId="99" applyNumberFormat="1" applyFont="1" applyBorder="1" applyAlignment="1" applyProtection="1">
      <alignment horizontal="center"/>
      <protection hidden="1"/>
    </xf>
    <xf numFmtId="1" fontId="34" fillId="52" borderId="15" xfId="81" applyNumberFormat="1" applyFont="1" applyFill="1" applyBorder="1" applyAlignment="1" applyProtection="1">
      <alignment horizontal="center"/>
      <protection hidden="1"/>
    </xf>
    <xf numFmtId="40" fontId="34" fillId="0" borderId="15" xfId="99" applyFont="1" applyBorder="1" applyAlignment="1" applyProtection="1">
      <alignment horizontal="center"/>
      <protection hidden="1"/>
    </xf>
    <xf numFmtId="0" fontId="35" fillId="0" borderId="15" xfId="80" applyFont="1" applyBorder="1" applyAlignment="1" applyProtection="1">
      <alignment horizontal="center"/>
      <protection hidden="1"/>
    </xf>
    <xf numFmtId="2" fontId="35" fillId="0" borderId="15" xfId="80" applyNumberFormat="1" applyFont="1" applyBorder="1" applyAlignment="1" applyProtection="1">
      <alignment horizontal="right"/>
      <protection hidden="1"/>
    </xf>
    <xf numFmtId="4" fontId="35" fillId="0" borderId="15" xfId="80" applyNumberFormat="1" applyFont="1" applyBorder="1" applyAlignment="1" applyProtection="1">
      <alignment horizontal="right"/>
      <protection hidden="1"/>
    </xf>
    <xf numFmtId="40" fontId="35" fillId="0" borderId="15" xfId="98" applyFont="1" applyBorder="1" applyAlignment="1" applyProtection="1">
      <alignment horizontal="right"/>
      <protection hidden="1"/>
    </xf>
    <xf numFmtId="40" fontId="35" fillId="0" borderId="15" xfId="98" applyFont="1" applyBorder="1" applyProtection="1">
      <protection hidden="1"/>
    </xf>
    <xf numFmtId="170" fontId="35" fillId="0" borderId="15" xfId="98" applyNumberFormat="1" applyFont="1" applyBorder="1" applyAlignment="1" applyProtection="1">
      <alignment horizontal="right"/>
      <protection hidden="1"/>
    </xf>
    <xf numFmtId="1" fontId="35" fillId="0" borderId="15" xfId="80" applyNumberFormat="1" applyFont="1" applyBorder="1" applyAlignment="1" applyProtection="1">
      <protection hidden="1"/>
    </xf>
    <xf numFmtId="9" fontId="35" fillId="0" borderId="15" xfId="88" applyFont="1" applyBorder="1" applyProtection="1">
      <protection hidden="1"/>
    </xf>
    <xf numFmtId="38" fontId="0" fillId="0" borderId="15" xfId="0" applyNumberFormat="1" applyBorder="1" applyProtection="1">
      <protection hidden="1"/>
    </xf>
    <xf numFmtId="3" fontId="34" fillId="0" borderId="15" xfId="81" applyNumberFormat="1" applyFont="1" applyBorder="1" applyAlignment="1" applyProtection="1">
      <alignment horizontal="center"/>
      <protection hidden="1"/>
    </xf>
    <xf numFmtId="4" fontId="34" fillId="0" borderId="15" xfId="81" applyNumberFormat="1" applyFont="1" applyBorder="1" applyProtection="1">
      <protection hidden="1"/>
    </xf>
    <xf numFmtId="4" fontId="34" fillId="46" borderId="15" xfId="81" applyNumberFormat="1" applyFont="1" applyFill="1" applyBorder="1" applyProtection="1">
      <protection hidden="1"/>
    </xf>
    <xf numFmtId="1" fontId="0" fillId="0" borderId="15" xfId="0" applyNumberFormat="1" applyBorder="1" applyProtection="1">
      <protection hidden="1"/>
    </xf>
    <xf numFmtId="0" fontId="0" fillId="0" borderId="0" xfId="0" applyProtection="1">
      <protection hidden="1"/>
    </xf>
    <xf numFmtId="0" fontId="0" fillId="50" borderId="0" xfId="81" applyFont="1" applyFill="1" applyAlignment="1">
      <alignment horizontal="center" vertical="center"/>
    </xf>
    <xf numFmtId="0" fontId="27" fillId="50" borderId="25" xfId="81" applyFont="1" applyFill="1" applyBorder="1"/>
    <xf numFmtId="0" fontId="42" fillId="50" borderId="0" xfId="81" applyFont="1" applyFill="1" applyAlignment="1" applyProtection="1">
      <alignment horizontal="center"/>
      <protection hidden="1"/>
    </xf>
    <xf numFmtId="40" fontId="34" fillId="51" borderId="15" xfId="99" applyFont="1" applyFill="1" applyBorder="1" applyAlignment="1" applyProtection="1">
      <alignment horizontal="right"/>
      <protection hidden="1"/>
    </xf>
    <xf numFmtId="0" fontId="0" fillId="51" borderId="0" xfId="0" applyFill="1" applyProtection="1">
      <protection hidden="1"/>
    </xf>
    <xf numFmtId="1" fontId="34" fillId="51" borderId="0" xfId="81" applyNumberFormat="1" applyFont="1" applyFill="1" applyAlignment="1" applyProtection="1">
      <alignment horizontal="center"/>
      <protection locked="0"/>
    </xf>
    <xf numFmtId="0" fontId="27" fillId="51" borderId="0" xfId="81" applyFont="1" applyFill="1" applyProtection="1">
      <protection locked="0"/>
    </xf>
    <xf numFmtId="38" fontId="0" fillId="51" borderId="15" xfId="0" applyNumberFormat="1" applyFill="1" applyBorder="1" applyProtection="1">
      <protection hidden="1"/>
    </xf>
    <xf numFmtId="0" fontId="64" fillId="51" borderId="0" xfId="78" applyFont="1" applyFill="1"/>
    <xf numFmtId="0" fontId="6" fillId="51" borderId="0" xfId="78" applyFill="1"/>
    <xf numFmtId="0" fontId="27" fillId="0" borderId="0" xfId="80" applyFont="1" applyAlignment="1" applyProtection="1">
      <protection hidden="1"/>
    </xf>
    <xf numFmtId="173" fontId="27" fillId="0" borderId="0" xfId="80" applyNumberFormat="1" applyFont="1" applyAlignment="1" applyProtection="1">
      <protection hidden="1"/>
    </xf>
    <xf numFmtId="4" fontId="27" fillId="0" borderId="0" xfId="80" applyNumberFormat="1" applyFont="1" applyAlignment="1" applyProtection="1">
      <protection hidden="1"/>
    </xf>
    <xf numFmtId="1" fontId="40" fillId="0" borderId="0" xfId="0" applyNumberFormat="1" applyFont="1" applyAlignment="1" applyProtection="1">
      <alignment horizontal="right" vertical="center"/>
      <protection hidden="1"/>
    </xf>
    <xf numFmtId="2" fontId="27" fillId="0" borderId="0" xfId="0" applyNumberFormat="1" applyFont="1" applyAlignment="1" applyProtection="1">
      <alignment horizontal="center"/>
      <protection hidden="1"/>
    </xf>
    <xf numFmtId="1" fontId="27" fillId="0" borderId="0" xfId="0" applyNumberFormat="1" applyFont="1" applyAlignment="1" applyProtection="1">
      <alignment horizontal="center"/>
      <protection hidden="1"/>
    </xf>
    <xf numFmtId="168" fontId="27" fillId="0" borderId="0" xfId="0" applyNumberFormat="1" applyFont="1" applyAlignment="1" applyProtection="1">
      <alignment horizontal="center"/>
      <protection hidden="1"/>
    </xf>
    <xf numFmtId="0" fontId="27" fillId="0" borderId="0" xfId="0" applyFont="1" applyProtection="1">
      <protection hidden="1"/>
    </xf>
    <xf numFmtId="182" fontId="27" fillId="0" borderId="0" xfId="110" applyNumberFormat="1" applyFont="1" applyAlignment="1" applyProtection="1">
      <alignment horizontal="right"/>
      <protection hidden="1"/>
    </xf>
    <xf numFmtId="173" fontId="27" fillId="0" borderId="0" xfId="86" applyNumberFormat="1" applyFont="1" applyAlignment="1" applyProtection="1">
      <alignment horizontal="center"/>
      <protection hidden="1"/>
    </xf>
    <xf numFmtId="40" fontId="27" fillId="0" borderId="0" xfId="99" applyFont="1" applyAlignment="1" applyProtection="1">
      <alignment horizontal="right"/>
      <protection hidden="1"/>
    </xf>
    <xf numFmtId="1" fontId="56" fillId="52" borderId="0" xfId="81" applyNumberFormat="1" applyFont="1" applyFill="1" applyAlignment="1">
      <alignment horizontal="center" vertical="center"/>
    </xf>
    <xf numFmtId="0" fontId="27" fillId="51" borderId="25" xfId="81" applyFont="1" applyFill="1" applyBorder="1" applyAlignment="1">
      <alignment vertical="center"/>
    </xf>
    <xf numFmtId="0" fontId="27" fillId="51" borderId="0" xfId="81" applyFont="1" applyFill="1" applyAlignment="1">
      <alignment vertical="center"/>
    </xf>
    <xf numFmtId="0" fontId="27" fillId="51" borderId="23" xfId="81" applyFont="1" applyFill="1" applyBorder="1" applyAlignment="1">
      <alignment vertical="center"/>
    </xf>
    <xf numFmtId="0" fontId="27" fillId="51" borderId="25" xfId="81" applyFont="1" applyFill="1" applyBorder="1"/>
    <xf numFmtId="0" fontId="27" fillId="51" borderId="24" xfId="81" applyFont="1" applyFill="1" applyBorder="1" applyAlignment="1">
      <alignment vertical="center"/>
    </xf>
    <xf numFmtId="192" fontId="26" fillId="51" borderId="25" xfId="82" applyNumberFormat="1" applyFont="1" applyFill="1" applyBorder="1" applyAlignment="1">
      <alignment horizontal="center" vertical="center"/>
    </xf>
    <xf numFmtId="187" fontId="44" fillId="51" borderId="0" xfId="82" applyNumberFormat="1" applyFont="1" applyFill="1" applyAlignment="1">
      <alignment horizontal="right" vertical="center"/>
    </xf>
    <xf numFmtId="0" fontId="26" fillId="50" borderId="24" xfId="81" applyFont="1" applyFill="1" applyBorder="1" applyAlignment="1">
      <alignment horizontal="right" vertical="center"/>
    </xf>
    <xf numFmtId="1" fontId="0" fillId="50" borderId="24" xfId="81" applyNumberFormat="1" applyFont="1" applyFill="1" applyBorder="1" applyAlignment="1">
      <alignment horizontal="right" vertical="center"/>
    </xf>
    <xf numFmtId="167" fontId="26" fillId="51" borderId="25" xfId="82" applyNumberFormat="1" applyFont="1" applyFill="1" applyBorder="1" applyAlignment="1">
      <alignment horizontal="center" vertical="center"/>
    </xf>
    <xf numFmtId="187" fontId="0" fillId="51" borderId="0" xfId="82" applyNumberFormat="1" applyFont="1" applyFill="1" applyAlignment="1">
      <alignment horizontal="right" vertical="center"/>
    </xf>
    <xf numFmtId="0" fontId="0" fillId="51" borderId="25" xfId="0" applyFill="1" applyBorder="1"/>
    <xf numFmtId="0" fontId="0" fillId="51" borderId="24" xfId="0" applyFill="1" applyBorder="1"/>
    <xf numFmtId="0" fontId="0" fillId="50" borderId="0" xfId="81" applyFont="1" applyFill="1" applyAlignment="1">
      <alignment vertical="center" wrapText="1"/>
    </xf>
    <xf numFmtId="0" fontId="27" fillId="50" borderId="24" xfId="81" applyFont="1" applyFill="1" applyBorder="1" applyAlignment="1">
      <alignment vertical="center"/>
    </xf>
    <xf numFmtId="0" fontId="67" fillId="62" borderId="30" xfId="82" applyFont="1" applyFill="1" applyBorder="1" applyAlignment="1">
      <alignment horizontal="left" vertical="center" wrapText="1"/>
    </xf>
    <xf numFmtId="0" fontId="68" fillId="62" borderId="29" xfId="81" applyFont="1" applyFill="1" applyBorder="1"/>
    <xf numFmtId="0" fontId="68" fillId="65" borderId="29" xfId="81" applyFont="1" applyFill="1" applyBorder="1" applyAlignment="1">
      <alignment horizontal="left" vertical="center"/>
    </xf>
    <xf numFmtId="0" fontId="26" fillId="51" borderId="24" xfId="0" applyFont="1" applyFill="1" applyBorder="1" applyAlignment="1">
      <alignment horizontal="left"/>
    </xf>
    <xf numFmtId="171" fontId="26" fillId="51" borderId="25" xfId="82" applyNumberFormat="1" applyFont="1" applyFill="1" applyBorder="1" applyAlignment="1">
      <alignment horizontal="center" vertical="center"/>
    </xf>
    <xf numFmtId="0" fontId="0" fillId="51" borderId="0" xfId="0" applyFill="1" applyAlignment="1">
      <alignment vertical="center"/>
    </xf>
    <xf numFmtId="0" fontId="57" fillId="50" borderId="0" xfId="81" applyFont="1" applyFill="1" applyAlignment="1">
      <alignment vertical="center"/>
    </xf>
    <xf numFmtId="0" fontId="59" fillId="50" borderId="0" xfId="81" applyFont="1" applyFill="1" applyAlignment="1">
      <alignment vertical="center"/>
    </xf>
    <xf numFmtId="0" fontId="26" fillId="46" borderId="0" xfId="81" applyFont="1" applyFill="1" applyAlignment="1">
      <alignment vertical="center"/>
    </xf>
    <xf numFmtId="0" fontId="27" fillId="46" borderId="0" xfId="81" applyFont="1" applyFill="1" applyAlignment="1">
      <alignment vertical="center"/>
    </xf>
    <xf numFmtId="169" fontId="34" fillId="0" borderId="20" xfId="99" applyNumberFormat="1" applyFont="1" applyBorder="1" applyAlignment="1">
      <alignment horizontal="center" vertical="center"/>
    </xf>
    <xf numFmtId="40" fontId="35" fillId="0" borderId="15" xfId="98" applyFont="1" applyBorder="1" applyAlignment="1" applyProtection="1">
      <alignment horizontal="left"/>
      <protection hidden="1"/>
    </xf>
    <xf numFmtId="0" fontId="0" fillId="50" borderId="23" xfId="81" applyFont="1" applyFill="1" applyBorder="1" applyAlignment="1">
      <alignment vertical="center" wrapText="1"/>
    </xf>
    <xf numFmtId="0" fontId="0" fillId="50" borderId="26" xfId="81" applyFont="1" applyFill="1" applyBorder="1" applyAlignment="1">
      <alignment vertical="center" wrapText="1"/>
    </xf>
    <xf numFmtId="0" fontId="0" fillId="50" borderId="27" xfId="81" applyFont="1" applyFill="1" applyBorder="1" applyAlignment="1">
      <alignment vertical="center" wrapText="1"/>
    </xf>
    <xf numFmtId="1" fontId="34" fillId="64" borderId="15" xfId="81" applyNumberFormat="1" applyFont="1" applyFill="1" applyBorder="1" applyAlignment="1" applyProtection="1">
      <alignment horizontal="center"/>
      <protection hidden="1"/>
    </xf>
    <xf numFmtId="0" fontId="54" fillId="53" borderId="15" xfId="78" applyFont="1" applyFill="1" applyBorder="1" applyAlignment="1">
      <alignment horizontal="center"/>
    </xf>
    <xf numFmtId="0" fontId="0" fillId="49" borderId="15" xfId="0" applyFill="1" applyBorder="1" applyAlignment="1">
      <alignment horizontal="center" vertical="center"/>
    </xf>
    <xf numFmtId="169" fontId="34" fillId="52" borderId="12" xfId="81" applyNumberFormat="1" applyFont="1" applyFill="1" applyBorder="1" applyAlignment="1" applyProtection="1">
      <alignment horizontal="center" vertical="center"/>
      <protection locked="0"/>
    </xf>
    <xf numFmtId="0" fontId="44" fillId="50" borderId="0" xfId="81" applyFont="1" applyFill="1" applyAlignment="1">
      <alignment vertical="center"/>
    </xf>
    <xf numFmtId="0" fontId="44" fillId="51" borderId="0" xfId="0" applyFont="1" applyFill="1" applyAlignment="1">
      <alignment vertical="center"/>
    </xf>
    <xf numFmtId="0" fontId="44" fillId="51" borderId="0" xfId="81" applyFont="1" applyFill="1" applyAlignment="1">
      <alignment vertical="center"/>
    </xf>
    <xf numFmtId="0" fontId="6" fillId="53" borderId="15" xfId="78" applyFill="1" applyBorder="1" applyAlignment="1">
      <alignment horizontal="center" vertical="center" wrapText="1"/>
    </xf>
    <xf numFmtId="0" fontId="54" fillId="66" borderId="15" xfId="78" applyFont="1" applyFill="1" applyBorder="1" applyAlignment="1">
      <alignment horizontal="center"/>
    </xf>
    <xf numFmtId="188" fontId="34" fillId="49" borderId="15" xfId="99" applyNumberFormat="1" applyFont="1" applyFill="1" applyBorder="1" applyAlignment="1" applyProtection="1">
      <alignment horizontal="right"/>
      <protection hidden="1"/>
    </xf>
    <xf numFmtId="0" fontId="62" fillId="68" borderId="0" xfId="81" applyFont="1" applyFill="1" applyAlignment="1">
      <alignment wrapText="1"/>
    </xf>
    <xf numFmtId="171" fontId="34" fillId="51" borderId="15" xfId="81" applyNumberFormat="1" applyFont="1" applyFill="1" applyBorder="1" applyProtection="1">
      <protection hidden="1"/>
    </xf>
    <xf numFmtId="181" fontId="44" fillId="50" borderId="0" xfId="81" applyNumberFormat="1" applyFont="1" applyFill="1" applyAlignment="1">
      <alignment horizontal="center" vertical="center"/>
    </xf>
    <xf numFmtId="37" fontId="60" fillId="51" borderId="0" xfId="81" applyNumberFormat="1" applyFont="1" applyFill="1" applyAlignment="1">
      <alignment horizontal="center" vertical="center"/>
    </xf>
    <xf numFmtId="181" fontId="0" fillId="50" borderId="0" xfId="81" applyNumberFormat="1" applyFont="1" applyFill="1" applyAlignment="1">
      <alignment horizontal="center" vertical="center"/>
    </xf>
    <xf numFmtId="3" fontId="26" fillId="51" borderId="0" xfId="82" applyNumberFormat="1" applyFont="1" applyFill="1" applyAlignment="1">
      <alignment horizontal="center" vertical="center"/>
    </xf>
    <xf numFmtId="2" fontId="34" fillId="64" borderId="0" xfId="81" applyNumberFormat="1" applyFont="1" applyFill="1" applyAlignment="1">
      <alignment horizontal="center" vertical="center"/>
    </xf>
    <xf numFmtId="3" fontId="34" fillId="64" borderId="0" xfId="81" applyNumberFormat="1" applyFont="1" applyFill="1" applyAlignment="1">
      <alignment horizontal="center" vertical="center"/>
    </xf>
    <xf numFmtId="9" fontId="34" fillId="52" borderId="0" xfId="86" applyFont="1" applyFill="1" applyAlignment="1">
      <alignment horizontal="center" vertical="center"/>
    </xf>
    <xf numFmtId="0" fontId="38" fillId="50" borderId="0" xfId="81" applyFont="1" applyFill="1" applyAlignment="1">
      <alignment horizontal="center" vertical="center"/>
    </xf>
    <xf numFmtId="0" fontId="34" fillId="51" borderId="0" xfId="81" applyFont="1" applyFill="1"/>
    <xf numFmtId="0" fontId="34" fillId="52" borderId="0" xfId="81" applyFont="1" applyFill="1" applyAlignment="1">
      <alignment horizontal="center" vertical="center"/>
    </xf>
    <xf numFmtId="2" fontId="34" fillId="52" borderId="0" xfId="81" applyNumberFormat="1" applyFont="1" applyFill="1" applyAlignment="1">
      <alignment horizontal="center"/>
    </xf>
    <xf numFmtId="0" fontId="34" fillId="0" borderId="0" xfId="0" applyFont="1" applyAlignment="1">
      <alignment vertical="center"/>
    </xf>
    <xf numFmtId="171" fontId="34" fillId="64" borderId="0" xfId="81" applyNumberFormat="1" applyFont="1" applyFill="1" applyAlignment="1">
      <alignment horizontal="center" vertical="center"/>
    </xf>
    <xf numFmtId="173" fontId="69" fillId="64" borderId="0" xfId="86" applyNumberFormat="1" applyFont="1" applyFill="1" applyAlignment="1">
      <alignment horizontal="center" vertical="center"/>
    </xf>
    <xf numFmtId="3" fontId="34" fillId="64" borderId="0" xfId="81" applyNumberFormat="1" applyFont="1" applyFill="1" applyAlignment="1">
      <alignment horizontal="center"/>
    </xf>
    <xf numFmtId="9" fontId="34" fillId="64" borderId="0" xfId="86" applyFont="1" applyFill="1" applyAlignment="1">
      <alignment horizontal="center" vertical="center"/>
    </xf>
    <xf numFmtId="9" fontId="34" fillId="46" borderId="22" xfId="86" applyFont="1" applyFill="1" applyBorder="1" applyAlignment="1" applyProtection="1">
      <alignment horizontal="center"/>
      <protection hidden="1"/>
    </xf>
    <xf numFmtId="0" fontId="50" fillId="46" borderId="31" xfId="86" applyNumberFormat="1" applyFont="1" applyFill="1" applyBorder="1" applyAlignment="1" applyProtection="1">
      <alignment horizontal="center"/>
      <protection hidden="1"/>
    </xf>
    <xf numFmtId="0" fontId="74" fillId="69" borderId="0" xfId="0" applyFont="1" applyFill="1"/>
    <xf numFmtId="0" fontId="75" fillId="69" borderId="0" xfId="0" applyFont="1" applyFill="1" applyAlignment="1">
      <alignment vertical="center"/>
    </xf>
    <xf numFmtId="0" fontId="6" fillId="70" borderId="0" xfId="0" applyFont="1" applyFill="1"/>
    <xf numFmtId="0" fontId="6" fillId="71" borderId="0" xfId="0" applyFont="1" applyFill="1"/>
    <xf numFmtId="0" fontId="6" fillId="70" borderId="0" xfId="0" applyFont="1" applyFill="1" applyAlignment="1">
      <alignment vertical="center"/>
    </xf>
    <xf numFmtId="0" fontId="73" fillId="70" borderId="0" xfId="0" applyFont="1" applyFill="1" applyAlignment="1">
      <alignment vertical="center"/>
    </xf>
    <xf numFmtId="0" fontId="6" fillId="70" borderId="0" xfId="0" applyFont="1" applyFill="1" applyAlignment="1">
      <alignment horizontal="center" vertical="center"/>
    </xf>
    <xf numFmtId="0" fontId="6" fillId="71" borderId="0" xfId="0" applyFont="1" applyFill="1" applyAlignment="1">
      <alignment vertical="center"/>
    </xf>
    <xf numFmtId="0" fontId="6" fillId="70" borderId="0" xfId="0" applyFont="1" applyFill="1" applyAlignment="1">
      <alignment horizontal="center"/>
    </xf>
    <xf numFmtId="0" fontId="76" fillId="70" borderId="0" xfId="0" applyFont="1" applyFill="1" applyAlignment="1">
      <alignment horizontal="left" vertical="center"/>
    </xf>
    <xf numFmtId="0" fontId="54" fillId="70" borderId="0" xfId="0" applyFont="1" applyFill="1" applyAlignment="1">
      <alignment vertical="center" wrapText="1"/>
    </xf>
    <xf numFmtId="2" fontId="0" fillId="0" borderId="0" xfId="0" applyNumberFormat="1"/>
    <xf numFmtId="168" fontId="0" fillId="0" borderId="0" xfId="0" applyNumberFormat="1"/>
    <xf numFmtId="0" fontId="6" fillId="72" borderId="0" xfId="0" applyFont="1" applyFill="1"/>
    <xf numFmtId="0" fontId="38" fillId="59" borderId="35" xfId="81" applyFont="1" applyFill="1" applyBorder="1" applyAlignment="1">
      <alignment horizontal="center" vertical="center" wrapText="1"/>
    </xf>
    <xf numFmtId="0" fontId="38" fillId="56" borderId="51" xfId="81" applyFont="1" applyFill="1" applyBorder="1" applyAlignment="1">
      <alignment horizontal="center" vertical="center" wrapText="1"/>
    </xf>
    <xf numFmtId="0" fontId="78" fillId="46" borderId="0" xfId="81" applyFont="1" applyFill="1" applyAlignment="1">
      <alignment horizontal="center" vertical="center"/>
    </xf>
    <xf numFmtId="4" fontId="0" fillId="0" borderId="0" xfId="0" applyNumberFormat="1"/>
    <xf numFmtId="1" fontId="69" fillId="52" borderId="15" xfId="81" applyNumberFormat="1" applyFont="1" applyFill="1" applyBorder="1" applyAlignment="1" applyProtection="1">
      <alignment horizontal="center"/>
      <protection hidden="1"/>
    </xf>
    <xf numFmtId="1" fontId="2" fillId="0" borderId="0" xfId="117" applyNumberFormat="1" applyFont="1"/>
    <xf numFmtId="49" fontId="59" fillId="0" borderId="0" xfId="0" applyNumberFormat="1" applyFont="1"/>
    <xf numFmtId="2" fontId="59" fillId="0" borderId="0" xfId="0" applyNumberFormat="1" applyFont="1"/>
    <xf numFmtId="2" fontId="59" fillId="0" borderId="0" xfId="0" applyNumberFormat="1" applyFont="1" applyAlignment="1">
      <alignment vertical="center"/>
    </xf>
    <xf numFmtId="2" fontId="1" fillId="0" borderId="0" xfId="0" applyNumberFormat="1" applyFont="1" applyAlignment="1">
      <alignment vertical="center"/>
    </xf>
    <xf numFmtId="1" fontId="59" fillId="0" borderId="0" xfId="0" applyNumberFormat="1" applyFont="1"/>
    <xf numFmtId="49" fontId="0" fillId="0" borderId="0" xfId="0" applyNumberFormat="1"/>
    <xf numFmtId="2" fontId="0" fillId="0" borderId="0" xfId="0" applyNumberFormat="1" applyAlignment="1">
      <alignment horizontal="right"/>
    </xf>
    <xf numFmtId="0" fontId="0" fillId="0" borderId="0" xfId="0" applyAlignment="1" applyProtection="1">
      <alignment horizontal="right"/>
      <protection hidden="1"/>
    </xf>
    <xf numFmtId="49" fontId="29" fillId="45" borderId="0" xfId="81" applyNumberFormat="1" applyFont="1" applyFill="1" applyAlignment="1">
      <alignment horizontal="left"/>
    </xf>
    <xf numFmtId="49" fontId="0" fillId="50" borderId="0" xfId="81" applyNumberFormat="1" applyFont="1" applyFill="1" applyAlignment="1">
      <alignment horizontal="left"/>
    </xf>
    <xf numFmtId="49" fontId="63" fillId="51" borderId="0" xfId="80" applyNumberFormat="1" applyFont="1" applyFill="1" applyAlignment="1">
      <alignment horizontal="left" vertical="center"/>
    </xf>
    <xf numFmtId="49" fontId="27" fillId="51" borderId="0" xfId="80" applyNumberFormat="1" applyFont="1" applyFill="1" applyAlignment="1"/>
    <xf numFmtId="49" fontId="70" fillId="51" borderId="0" xfId="80" applyNumberFormat="1" applyFont="1" applyFill="1" applyAlignment="1">
      <alignment horizontal="left" vertical="center"/>
    </xf>
    <xf numFmtId="49" fontId="36" fillId="46" borderId="0" xfId="81" applyNumberFormat="1" applyFont="1" applyFill="1" applyAlignment="1">
      <alignment horizontal="center"/>
    </xf>
    <xf numFmtId="49" fontId="27" fillId="51" borderId="0" xfId="81" applyNumberFormat="1" applyFont="1" applyFill="1"/>
    <xf numFmtId="0" fontId="79" fillId="0" borderId="0" xfId="0" applyFont="1"/>
    <xf numFmtId="0" fontId="59" fillId="0" borderId="0" xfId="0" applyFont="1"/>
    <xf numFmtId="49" fontId="31" fillId="47" borderId="0" xfId="80" applyNumberFormat="1" applyFont="1" applyFill="1" applyAlignment="1">
      <alignment horizontal="left" vertical="center"/>
    </xf>
    <xf numFmtId="1" fontId="0" fillId="0" borderId="0" xfId="0" applyNumberFormat="1"/>
    <xf numFmtId="0" fontId="27" fillId="68" borderId="0" xfId="81" applyFont="1" applyFill="1" applyAlignment="1">
      <alignment horizontal="center"/>
    </xf>
    <xf numFmtId="1" fontId="26" fillId="50" borderId="24" xfId="81" applyNumberFormat="1" applyFont="1" applyFill="1" applyBorder="1" applyAlignment="1">
      <alignment horizontal="right" vertical="center"/>
    </xf>
    <xf numFmtId="0" fontId="38" fillId="61" borderId="27" xfId="81" applyFont="1" applyFill="1" applyBorder="1" applyAlignment="1">
      <alignment horizontal="center" vertical="center" wrapText="1"/>
    </xf>
    <xf numFmtId="0" fontId="27" fillId="74" borderId="17" xfId="81" applyFont="1" applyFill="1" applyBorder="1"/>
    <xf numFmtId="0" fontId="27" fillId="74" borderId="18" xfId="81" applyFont="1" applyFill="1" applyBorder="1"/>
    <xf numFmtId="0" fontId="27" fillId="74" borderId="16" xfId="81" applyFont="1" applyFill="1" applyBorder="1" applyAlignment="1">
      <alignment horizontal="center" vertical="center"/>
    </xf>
    <xf numFmtId="190" fontId="38" fillId="61" borderId="47" xfId="81" applyNumberFormat="1" applyFont="1" applyFill="1" applyBorder="1" applyAlignment="1">
      <alignment horizontal="center" vertical="center" wrapText="1"/>
    </xf>
    <xf numFmtId="190" fontId="38" fillId="76" borderId="47" xfId="81" applyNumberFormat="1" applyFont="1" applyFill="1" applyBorder="1" applyAlignment="1">
      <alignment horizontal="center" vertical="center" wrapText="1"/>
    </xf>
    <xf numFmtId="1" fontId="69" fillId="0" borderId="15" xfId="81" applyNumberFormat="1" applyFont="1" applyBorder="1" applyAlignment="1" applyProtection="1">
      <alignment horizontal="center"/>
      <protection hidden="1"/>
    </xf>
    <xf numFmtId="190" fontId="34" fillId="0" borderId="15" xfId="81" applyNumberFormat="1" applyFont="1" applyBorder="1" applyAlignment="1" applyProtection="1">
      <alignment horizontal="center"/>
      <protection hidden="1"/>
    </xf>
    <xf numFmtId="0" fontId="34" fillId="0" borderId="15" xfId="81" applyFont="1" applyBorder="1" applyAlignment="1" applyProtection="1">
      <alignment horizontal="center"/>
      <protection hidden="1"/>
    </xf>
    <xf numFmtId="2" fontId="69" fillId="0" borderId="15" xfId="81" applyNumberFormat="1" applyFont="1" applyBorder="1" applyProtection="1">
      <protection hidden="1"/>
    </xf>
    <xf numFmtId="2" fontId="29" fillId="48" borderId="0" xfId="80" applyNumberFormat="1" applyFont="1" applyFill="1" applyAlignment="1">
      <alignment horizontal="center"/>
    </xf>
    <xf numFmtId="2" fontId="0" fillId="50" borderId="0" xfId="81" applyNumberFormat="1" applyFont="1" applyFill="1"/>
    <xf numFmtId="2" fontId="27" fillId="51" borderId="0" xfId="80" applyNumberFormat="1" applyFont="1" applyFill="1" applyAlignment="1" applyProtection="1">
      <protection locked="0"/>
    </xf>
    <xf numFmtId="2" fontId="27" fillId="51" borderId="0" xfId="81" applyNumberFormat="1" applyFont="1" applyFill="1"/>
    <xf numFmtId="167" fontId="35" fillId="0" borderId="15" xfId="80" applyNumberFormat="1" applyFont="1" applyBorder="1" applyAlignment="1" applyProtection="1">
      <alignment horizontal="right"/>
      <protection hidden="1"/>
    </xf>
    <xf numFmtId="172" fontId="44" fillId="51" borderId="17" xfId="110" applyFill="1" applyBorder="1" applyAlignment="1" applyProtection="1">
      <alignment horizontal="center" vertical="center"/>
      <protection locked="0"/>
    </xf>
    <xf numFmtId="0" fontId="6" fillId="0" borderId="15" xfId="0" applyFont="1" applyBorder="1" applyAlignment="1">
      <alignment horizontal="center" vertical="center" wrapText="1"/>
    </xf>
    <xf numFmtId="0" fontId="0" fillId="51" borderId="15" xfId="0" applyFill="1" applyBorder="1" applyAlignment="1">
      <alignment horizontal="center"/>
    </xf>
    <xf numFmtId="2" fontId="0" fillId="49" borderId="15" xfId="0" applyNumberFormat="1" applyFill="1" applyBorder="1" applyAlignment="1">
      <alignment horizontal="center"/>
    </xf>
    <xf numFmtId="1" fontId="0" fillId="49" borderId="15" xfId="0" applyNumberFormat="1" applyFill="1" applyBorder="1" applyAlignment="1">
      <alignment horizontal="center"/>
    </xf>
    <xf numFmtId="3" fontId="44" fillId="51" borderId="17" xfId="110" applyNumberFormat="1" applyFill="1" applyBorder="1" applyAlignment="1" applyProtection="1">
      <alignment horizontal="center" vertical="center"/>
      <protection locked="0"/>
    </xf>
    <xf numFmtId="0" fontId="28" fillId="68" borderId="0" xfId="81" applyFont="1" applyFill="1" applyAlignment="1">
      <alignment horizontal="center"/>
    </xf>
    <xf numFmtId="0" fontId="0" fillId="68" borderId="0" xfId="0" applyFill="1"/>
    <xf numFmtId="0" fontId="27" fillId="79" borderId="24" xfId="80" applyFont="1" applyFill="1" applyBorder="1" applyAlignment="1"/>
    <xf numFmtId="166" fontId="39" fillId="79" borderId="0" xfId="82" applyNumberFormat="1" applyFont="1" applyFill="1" applyAlignment="1">
      <alignment horizontal="right" vertical="center"/>
    </xf>
    <xf numFmtId="191" fontId="39" fillId="79" borderId="0" xfId="82" applyNumberFormat="1" applyFont="1" applyFill="1" applyAlignment="1">
      <alignment horizontal="center" vertical="center"/>
    </xf>
    <xf numFmtId="185" fontId="39" fillId="79" borderId="25" xfId="82" applyNumberFormat="1" applyFont="1" applyFill="1" applyBorder="1" applyAlignment="1">
      <alignment horizontal="center" vertical="center"/>
    </xf>
    <xf numFmtId="0" fontId="27" fillId="53" borderId="24" xfId="80" applyFont="1" applyFill="1" applyBorder="1" applyAlignment="1"/>
    <xf numFmtId="0" fontId="80" fillId="53" borderId="24" xfId="80" applyFont="1" applyFill="1" applyBorder="1" applyAlignment="1"/>
    <xf numFmtId="0" fontId="80" fillId="53" borderId="0" xfId="80" applyFont="1" applyFill="1" applyAlignment="1" applyProtection="1">
      <protection locked="0"/>
    </xf>
    <xf numFmtId="0" fontId="71" fillId="74" borderId="28" xfId="81" applyFont="1" applyFill="1" applyBorder="1" applyAlignment="1">
      <alignment horizontal="left" vertical="center"/>
    </xf>
    <xf numFmtId="0" fontId="72" fillId="80" borderId="29" xfId="81" applyFont="1" applyFill="1" applyBorder="1"/>
    <xf numFmtId="0" fontId="72" fillId="80" borderId="30" xfId="82" applyFont="1" applyFill="1" applyBorder="1" applyAlignment="1">
      <alignment horizontal="left" vertical="center" wrapText="1"/>
    </xf>
    <xf numFmtId="0" fontId="72" fillId="74" borderId="29" xfId="81" applyFont="1" applyFill="1" applyBorder="1" applyAlignment="1">
      <alignment horizontal="left" vertical="center"/>
    </xf>
    <xf numFmtId="0" fontId="72" fillId="80" borderId="30" xfId="81" applyFont="1" applyFill="1" applyBorder="1"/>
    <xf numFmtId="187" fontId="39" fillId="53" borderId="0" xfId="82" applyNumberFormat="1" applyFont="1" applyFill="1" applyAlignment="1">
      <alignment horizontal="center" vertical="center"/>
    </xf>
    <xf numFmtId="0" fontId="38" fillId="53" borderId="0" xfId="82" applyFont="1" applyFill="1" applyAlignment="1">
      <alignment horizontal="center" vertical="center" wrapText="1"/>
    </xf>
    <xf numFmtId="187" fontId="38" fillId="53" borderId="0" xfId="82" applyNumberFormat="1" applyFont="1" applyFill="1" applyAlignment="1">
      <alignment horizontal="right" vertical="center"/>
    </xf>
    <xf numFmtId="186" fontId="38" fillId="53" borderId="25" xfId="82" applyNumberFormat="1" applyFont="1" applyFill="1" applyBorder="1" applyAlignment="1">
      <alignment horizontal="center" vertical="center"/>
    </xf>
    <xf numFmtId="0" fontId="41" fillId="78" borderId="0" xfId="80" applyFill="1" applyAlignment="1"/>
    <xf numFmtId="0" fontId="61" fillId="66" borderId="15" xfId="80" applyFont="1" applyFill="1" applyBorder="1" applyAlignment="1">
      <alignment horizontal="center" vertical="center" wrapText="1"/>
    </xf>
    <xf numFmtId="3" fontId="34" fillId="52" borderId="0" xfId="81" applyNumberFormat="1" applyFont="1" applyFill="1" applyAlignment="1">
      <alignment horizontal="center" vertical="center"/>
    </xf>
    <xf numFmtId="167" fontId="34" fillId="52" borderId="0" xfId="86" applyNumberFormat="1" applyFont="1" applyFill="1" applyAlignment="1">
      <alignment horizontal="center" vertical="center"/>
    </xf>
    <xf numFmtId="0" fontId="34" fillId="49" borderId="0" xfId="0" applyFont="1" applyFill="1" applyAlignment="1" applyProtection="1">
      <alignment horizontal="center"/>
      <protection hidden="1"/>
    </xf>
    <xf numFmtId="168" fontId="34" fillId="52" borderId="0" xfId="81" applyNumberFormat="1" applyFont="1" applyFill="1" applyAlignment="1">
      <alignment horizontal="center" vertical="center"/>
    </xf>
    <xf numFmtId="0" fontId="34" fillId="51" borderId="0" xfId="0" applyFont="1" applyFill="1" applyAlignment="1">
      <alignment horizontal="center" vertical="center"/>
    </xf>
    <xf numFmtId="193" fontId="35" fillId="0" borderId="15" xfId="98" applyNumberFormat="1" applyFont="1" applyBorder="1" applyAlignment="1" applyProtection="1">
      <alignment horizontal="center" vertical="center"/>
      <protection locked="0"/>
    </xf>
    <xf numFmtId="0" fontId="51" fillId="0" borderId="0" xfId="0" applyFont="1"/>
    <xf numFmtId="194" fontId="0" fillId="0" borderId="0" xfId="0" applyNumberFormat="1"/>
    <xf numFmtId="0" fontId="38" fillId="55" borderId="56" xfId="81" applyFont="1" applyFill="1" applyBorder="1" applyAlignment="1">
      <alignment horizontal="center" vertical="center" wrapText="1"/>
    </xf>
    <xf numFmtId="0" fontId="60" fillId="55" borderId="48" xfId="81" applyFont="1" applyFill="1" applyBorder="1" applyAlignment="1">
      <alignment horizontal="center" vertical="center" wrapText="1"/>
    </xf>
    <xf numFmtId="0" fontId="60" fillId="55" borderId="59" xfId="81" applyFont="1" applyFill="1" applyBorder="1" applyAlignment="1">
      <alignment horizontal="center" vertical="center" wrapText="1"/>
    </xf>
    <xf numFmtId="0" fontId="60" fillId="56" borderId="48" xfId="81" applyFont="1" applyFill="1" applyBorder="1" applyAlignment="1">
      <alignment horizontal="center" vertical="center" wrapText="1"/>
    </xf>
    <xf numFmtId="0" fontId="60" fillId="55" borderId="56" xfId="81" applyFont="1" applyFill="1" applyBorder="1" applyAlignment="1">
      <alignment horizontal="center" vertical="center" wrapText="1"/>
    </xf>
    <xf numFmtId="0" fontId="60" fillId="56" borderId="49" xfId="81" applyFont="1" applyFill="1" applyBorder="1" applyAlignment="1">
      <alignment horizontal="center" vertical="center" wrapText="1"/>
    </xf>
    <xf numFmtId="190" fontId="60" fillId="61" borderId="47" xfId="81" applyNumberFormat="1" applyFont="1" applyFill="1" applyBorder="1" applyAlignment="1">
      <alignment horizontal="center" vertical="center" wrapText="1"/>
    </xf>
    <xf numFmtId="0" fontId="81" fillId="65" borderId="28" xfId="81" applyFont="1" applyFill="1" applyBorder="1" applyAlignment="1">
      <alignment horizontal="left" vertical="center"/>
    </xf>
    <xf numFmtId="0" fontId="82" fillId="50" borderId="0" xfId="81" applyFont="1" applyFill="1" applyAlignment="1">
      <alignment vertical="center"/>
    </xf>
    <xf numFmtId="2" fontId="84" fillId="51" borderId="0" xfId="81" applyNumberFormat="1" applyFont="1" applyFill="1" applyAlignment="1">
      <alignment horizontal="center"/>
    </xf>
    <xf numFmtId="0" fontId="44" fillId="51" borderId="0" xfId="81" applyFont="1" applyFill="1" applyAlignment="1">
      <alignment horizontal="center"/>
    </xf>
    <xf numFmtId="0" fontId="28" fillId="68" borderId="0" xfId="81" applyFont="1" applyFill="1"/>
    <xf numFmtId="0" fontId="38" fillId="60" borderId="51" xfId="81" applyFont="1" applyFill="1" applyBorder="1" applyAlignment="1">
      <alignment horizontal="center" vertical="center" wrapText="1"/>
    </xf>
    <xf numFmtId="0" fontId="35" fillId="0" borderId="22" xfId="80" applyFont="1" applyBorder="1" applyAlignment="1">
      <alignment horizontal="left" vertical="center" wrapText="1"/>
    </xf>
    <xf numFmtId="0" fontId="39" fillId="0" borderId="17" xfId="80" applyFont="1" applyBorder="1" applyAlignment="1">
      <alignment horizontal="center" vertical="center" wrapText="1"/>
    </xf>
    <xf numFmtId="0" fontId="80" fillId="0" borderId="0" xfId="80" applyFont="1" applyAlignment="1"/>
    <xf numFmtId="0" fontId="85" fillId="0" borderId="0" xfId="80" applyFont="1" applyAlignment="1"/>
    <xf numFmtId="0" fontId="80" fillId="0" borderId="0" xfId="80" applyFont="1" applyAlignment="1" applyProtection="1">
      <protection hidden="1"/>
    </xf>
    <xf numFmtId="0" fontId="38" fillId="53" borderId="25" xfId="82" applyFont="1" applyFill="1" applyBorder="1" applyAlignment="1">
      <alignment horizontal="center" vertical="center" wrapText="1"/>
    </xf>
    <xf numFmtId="40" fontId="35" fillId="0" borderId="15" xfId="98" applyFont="1" applyBorder="1" applyAlignment="1" applyProtection="1">
      <alignment horizontal="center"/>
      <protection hidden="1"/>
    </xf>
    <xf numFmtId="0" fontId="54" fillId="66" borderId="15" xfId="78" applyFont="1" applyFill="1" applyBorder="1" applyAlignment="1">
      <alignment horizontal="center" vertical="center"/>
    </xf>
    <xf numFmtId="0" fontId="6" fillId="51" borderId="15" xfId="78" applyFill="1" applyBorder="1" applyAlignment="1">
      <alignment horizontal="center"/>
    </xf>
    <xf numFmtId="0" fontId="54" fillId="49" borderId="15" xfId="78" applyFont="1" applyFill="1" applyBorder="1" applyAlignment="1">
      <alignment horizontal="center" vertical="center"/>
    </xf>
    <xf numFmtId="0" fontId="6" fillId="83" borderId="15" xfId="78" applyFill="1" applyBorder="1" applyAlignment="1">
      <alignment horizontal="center"/>
    </xf>
    <xf numFmtId="0" fontId="54" fillId="83" borderId="15" xfId="78" applyFont="1" applyFill="1" applyBorder="1" applyAlignment="1">
      <alignment horizontal="center"/>
    </xf>
    <xf numFmtId="0" fontId="79" fillId="84" borderId="15" xfId="0" applyFont="1" applyFill="1" applyBorder="1" applyAlignment="1">
      <alignment horizontal="center"/>
    </xf>
    <xf numFmtId="0" fontId="0" fillId="85" borderId="0" xfId="0" applyFill="1"/>
    <xf numFmtId="0" fontId="54" fillId="84" borderId="15" xfId="78" applyFont="1" applyFill="1" applyBorder="1" applyAlignment="1">
      <alignment horizontal="center" vertical="center"/>
    </xf>
    <xf numFmtId="0" fontId="6" fillId="51" borderId="0" xfId="78" quotePrefix="1" applyFill="1"/>
    <xf numFmtId="0" fontId="0" fillId="80" borderId="15" xfId="0" applyFill="1" applyBorder="1"/>
    <xf numFmtId="0" fontId="6" fillId="86" borderId="15" xfId="78" applyFill="1" applyBorder="1" applyAlignment="1">
      <alignment horizontal="center"/>
    </xf>
    <xf numFmtId="0" fontId="0" fillId="51" borderId="0" xfId="0" applyFill="1" applyProtection="1">
      <protection locked="0"/>
    </xf>
    <xf numFmtId="0" fontId="27" fillId="63" borderId="0" xfId="81" applyFont="1" applyFill="1" applyProtection="1">
      <protection hidden="1"/>
    </xf>
    <xf numFmtId="0" fontId="0" fillId="50" borderId="0" xfId="81" applyFont="1" applyFill="1" applyProtection="1">
      <protection hidden="1"/>
    </xf>
    <xf numFmtId="0" fontId="27" fillId="51" borderId="0" xfId="81" applyFont="1" applyFill="1" applyProtection="1">
      <protection hidden="1"/>
    </xf>
    <xf numFmtId="0" fontId="27" fillId="50" borderId="0" xfId="81" applyFont="1" applyFill="1" applyProtection="1">
      <protection hidden="1"/>
    </xf>
    <xf numFmtId="0" fontId="27" fillId="50" borderId="0" xfId="81" applyFont="1" applyFill="1" applyAlignment="1" applyProtection="1">
      <alignment horizontal="center"/>
      <protection hidden="1"/>
    </xf>
    <xf numFmtId="0" fontId="38" fillId="54" borderId="17" xfId="81" applyFont="1" applyFill="1" applyBorder="1" applyAlignment="1" applyProtection="1">
      <alignment horizontal="center" vertical="center" wrapText="1"/>
      <protection hidden="1"/>
    </xf>
    <xf numFmtId="0" fontId="38" fillId="57" borderId="43" xfId="81" applyFont="1" applyFill="1" applyBorder="1" applyAlignment="1" applyProtection="1">
      <alignment horizontal="center" vertical="center" wrapText="1"/>
      <protection hidden="1"/>
    </xf>
    <xf numFmtId="0" fontId="38" fillId="57" borderId="41" xfId="81" applyFont="1" applyFill="1" applyBorder="1" applyAlignment="1" applyProtection="1">
      <alignment horizontal="center" vertical="center" wrapText="1"/>
      <protection hidden="1"/>
    </xf>
    <xf numFmtId="0" fontId="38" fillId="58" borderId="17" xfId="81" applyFont="1" applyFill="1" applyBorder="1" applyAlignment="1" applyProtection="1">
      <alignment horizontal="center" vertical="center" wrapText="1"/>
      <protection hidden="1"/>
    </xf>
    <xf numFmtId="0" fontId="30" fillId="50" borderId="0" xfId="81" applyFont="1" applyFill="1" applyProtection="1">
      <protection hidden="1"/>
    </xf>
    <xf numFmtId="0" fontId="28" fillId="50" borderId="0" xfId="81" applyFont="1" applyFill="1" applyAlignment="1" applyProtection="1">
      <alignment horizontal="center"/>
      <protection hidden="1"/>
    </xf>
    <xf numFmtId="0" fontId="38" fillId="60" borderId="19" xfId="81" applyFont="1" applyFill="1" applyBorder="1" applyAlignment="1" applyProtection="1">
      <alignment horizontal="center" vertical="center" wrapText="1"/>
      <protection hidden="1"/>
    </xf>
    <xf numFmtId="0" fontId="28" fillId="51" borderId="0" xfId="81" applyFont="1" applyFill="1" applyProtection="1">
      <protection hidden="1"/>
    </xf>
    <xf numFmtId="0" fontId="39" fillId="0" borderId="31" xfId="80" applyFont="1" applyBorder="1" applyAlignment="1">
      <alignment horizontal="center" vertical="center" wrapText="1"/>
    </xf>
    <xf numFmtId="0" fontId="27" fillId="46" borderId="0" xfId="81" applyFont="1" applyFill="1" applyAlignment="1">
      <alignment horizontal="center" wrapText="1"/>
    </xf>
    <xf numFmtId="0" fontId="51" fillId="0" borderId="0" xfId="80" applyFont="1" applyAlignment="1" applyProtection="1">
      <alignment vertical="center"/>
      <protection locked="0"/>
    </xf>
    <xf numFmtId="49" fontId="51" fillId="51" borderId="0" xfId="80" applyNumberFormat="1" applyFont="1" applyFill="1" applyAlignment="1">
      <alignment horizontal="right" vertical="center"/>
    </xf>
    <xf numFmtId="0" fontId="51" fillId="51" borderId="0" xfId="80" applyFont="1" applyFill="1" applyAlignment="1" applyProtection="1">
      <alignment horizontal="left" vertical="center"/>
      <protection locked="0"/>
    </xf>
    <xf numFmtId="0" fontId="51" fillId="51" borderId="25" xfId="80" applyFont="1" applyFill="1" applyBorder="1" applyAlignment="1" applyProtection="1">
      <alignment horizontal="left" vertical="center"/>
      <protection locked="0"/>
    </xf>
    <xf numFmtId="14" fontId="51" fillId="51" borderId="0" xfId="80" applyNumberFormat="1" applyFont="1" applyFill="1" applyAlignment="1" applyProtection="1">
      <alignment horizontal="left" vertical="center"/>
      <protection locked="0"/>
    </xf>
    <xf numFmtId="0" fontId="0" fillId="0" borderId="0" xfId="0" applyProtection="1">
      <protection locked="0"/>
    </xf>
    <xf numFmtId="0" fontId="38" fillId="0" borderId="43" xfId="81" applyFont="1" applyBorder="1" applyAlignment="1" applyProtection="1">
      <alignment horizontal="center" vertical="center" wrapText="1"/>
      <protection hidden="1"/>
    </xf>
    <xf numFmtId="0" fontId="38" fillId="0" borderId="41" xfId="81" applyFont="1" applyBorder="1" applyAlignment="1" applyProtection="1">
      <alignment horizontal="center" vertical="center" wrapText="1"/>
      <protection hidden="1"/>
    </xf>
    <xf numFmtId="0" fontId="38" fillId="0" borderId="17" xfId="81" applyFont="1" applyBorder="1" applyAlignment="1" applyProtection="1">
      <alignment horizontal="center" vertical="center" wrapText="1"/>
      <protection hidden="1"/>
    </xf>
    <xf numFmtId="195" fontId="0" fillId="0" borderId="15" xfId="0" applyNumberFormat="1" applyBorder="1"/>
    <xf numFmtId="0" fontId="38" fillId="57" borderId="29" xfId="81" applyFont="1" applyFill="1" applyBorder="1" applyAlignment="1" applyProtection="1">
      <alignment horizontal="center" vertical="center" wrapText="1"/>
      <protection hidden="1"/>
    </xf>
    <xf numFmtId="0" fontId="38" fillId="0" borderId="0" xfId="81" applyFont="1" applyAlignment="1" applyProtection="1">
      <alignment horizontal="center" vertical="center" wrapText="1"/>
      <protection hidden="1"/>
    </xf>
    <xf numFmtId="0" fontId="38" fillId="54" borderId="28" xfId="81" applyFont="1" applyFill="1" applyBorder="1" applyAlignment="1" applyProtection="1">
      <alignment horizontal="center" vertical="center" wrapText="1"/>
      <protection hidden="1"/>
    </xf>
    <xf numFmtId="1" fontId="40" fillId="88" borderId="0" xfId="0" applyNumberFormat="1" applyFont="1" applyFill="1" applyAlignment="1" applyProtection="1">
      <alignment horizontal="right" vertical="center"/>
      <protection hidden="1"/>
    </xf>
    <xf numFmtId="2" fontId="86" fillId="51" borderId="0" xfId="81" applyNumberFormat="1" applyFont="1" applyFill="1" applyAlignment="1">
      <alignment horizontal="center" vertical="center"/>
    </xf>
    <xf numFmtId="189" fontId="44" fillId="89" borderId="15" xfId="110" applyNumberFormat="1" applyFill="1" applyBorder="1" applyAlignment="1">
      <alignment horizontal="center" vertical="center"/>
    </xf>
    <xf numFmtId="0" fontId="6" fillId="89" borderId="17" xfId="0" applyFont="1" applyFill="1" applyBorder="1" applyAlignment="1">
      <alignment horizontal="center" vertical="center"/>
    </xf>
    <xf numFmtId="0" fontId="0" fillId="89" borderId="0" xfId="0" applyFill="1" applyAlignment="1">
      <alignment horizontal="center" vertical="center" wrapText="1"/>
    </xf>
    <xf numFmtId="0" fontId="0" fillId="83" borderId="15" xfId="0" applyFill="1" applyBorder="1" applyAlignment="1">
      <alignment horizontal="center"/>
    </xf>
    <xf numFmtId="0" fontId="79" fillId="50" borderId="0" xfId="81" applyFont="1" applyFill="1" applyAlignment="1">
      <alignment horizontal="right" vertical="center"/>
    </xf>
    <xf numFmtId="0" fontId="79" fillId="50" borderId="0" xfId="81" applyFont="1" applyFill="1" applyAlignment="1">
      <alignment horizontal="center" vertical="center"/>
    </xf>
    <xf numFmtId="0" fontId="38" fillId="0" borderId="15" xfId="81" applyFont="1" applyBorder="1" applyAlignment="1" applyProtection="1">
      <alignment horizontal="center" vertical="center" wrapText="1"/>
      <protection hidden="1"/>
    </xf>
    <xf numFmtId="196" fontId="0" fillId="0" borderId="15" xfId="0" applyNumberFormat="1" applyBorder="1"/>
    <xf numFmtId="0" fontId="38" fillId="90" borderId="15" xfId="81" applyFont="1" applyFill="1" applyBorder="1" applyAlignment="1" applyProtection="1">
      <alignment horizontal="center" vertical="center" wrapText="1"/>
      <protection hidden="1"/>
    </xf>
    <xf numFmtId="0" fontId="38" fillId="91" borderId="17" xfId="81" applyFont="1" applyFill="1" applyBorder="1" applyAlignment="1" applyProtection="1">
      <alignment horizontal="center" vertical="center" wrapText="1"/>
      <protection hidden="1"/>
    </xf>
    <xf numFmtId="0" fontId="38" fillId="91" borderId="15" xfId="81" applyFont="1" applyFill="1" applyBorder="1" applyAlignment="1" applyProtection="1">
      <alignment horizontal="center" vertical="center" wrapText="1"/>
      <protection hidden="1"/>
    </xf>
    <xf numFmtId="2" fontId="88" fillId="80" borderId="15" xfId="0" applyNumberFormat="1" applyFont="1" applyFill="1" applyBorder="1" applyAlignment="1" applyProtection="1">
      <alignment horizontal="center" vertical="center"/>
      <protection hidden="1"/>
    </xf>
    <xf numFmtId="2" fontId="0" fillId="92" borderId="15" xfId="0" applyNumberFormat="1" applyFill="1" applyBorder="1" applyAlignment="1" applyProtection="1">
      <alignment horizontal="center" vertical="center"/>
      <protection hidden="1"/>
    </xf>
    <xf numFmtId="0" fontId="0" fillId="0" borderId="15" xfId="0" applyBorder="1"/>
    <xf numFmtId="0" fontId="89" fillId="50" borderId="0" xfId="81" applyFont="1" applyFill="1" applyAlignment="1">
      <alignment horizontal="left"/>
    </xf>
    <xf numFmtId="0" fontId="41" fillId="51" borderId="0" xfId="80" applyFill="1" applyAlignment="1"/>
    <xf numFmtId="0" fontId="35" fillId="51" borderId="0" xfId="80" applyFont="1" applyFill="1" applyAlignment="1"/>
    <xf numFmtId="0" fontId="90" fillId="50" borderId="0" xfId="81" applyFont="1" applyFill="1" applyAlignment="1">
      <alignment horizontal="left" vertical="center"/>
    </xf>
    <xf numFmtId="0" fontId="27" fillId="51" borderId="0" xfId="80" applyFont="1" applyFill="1" applyAlignment="1">
      <alignment horizontal="left" vertical="center" indent="1"/>
    </xf>
    <xf numFmtId="0" fontId="27" fillId="51" borderId="0" xfId="80" applyFont="1" applyFill="1" applyAlignment="1">
      <alignment vertical="center"/>
    </xf>
    <xf numFmtId="0" fontId="89" fillId="50" borderId="0" xfId="81" applyFont="1" applyFill="1" applyAlignment="1">
      <alignment horizontal="left" vertical="center"/>
    </xf>
    <xf numFmtId="174" fontId="32" fillId="51" borderId="0" xfId="81" applyNumberFormat="1" applyFont="1" applyFill="1" applyAlignment="1">
      <alignment horizontal="left" vertical="center"/>
    </xf>
    <xf numFmtId="0" fontId="60" fillId="59" borderId="35" xfId="81" applyFont="1" applyFill="1" applyBorder="1" applyAlignment="1">
      <alignment horizontal="center" vertical="center" wrapText="1"/>
    </xf>
    <xf numFmtId="0" fontId="89" fillId="93" borderId="22" xfId="80" applyFont="1" applyFill="1" applyBorder="1" applyAlignment="1">
      <alignment horizontal="left" vertical="center" wrapText="1" indent="1"/>
    </xf>
    <xf numFmtId="0" fontId="89" fillId="93" borderId="21" xfId="80" applyFont="1" applyFill="1" applyBorder="1" applyAlignment="1">
      <alignment horizontal="left" vertical="center" wrapText="1" indent="1"/>
    </xf>
    <xf numFmtId="0" fontId="89" fillId="93" borderId="31" xfId="80" applyFont="1" applyFill="1" applyBorder="1" applyAlignment="1">
      <alignment horizontal="left" vertical="center" wrapText="1" indent="1"/>
    </xf>
    <xf numFmtId="14" fontId="89" fillId="93" borderId="22" xfId="80" applyNumberFormat="1" applyFont="1" applyFill="1" applyBorder="1" applyAlignment="1">
      <alignment horizontal="left" vertical="center" wrapText="1" indent="1"/>
    </xf>
    <xf numFmtId="0" fontId="59" fillId="50" borderId="24" xfId="81" applyFont="1" applyFill="1" applyBorder="1" applyAlignment="1">
      <alignment vertical="center" wrapText="1"/>
    </xf>
    <xf numFmtId="0" fontId="59" fillId="50" borderId="0" xfId="81" applyFont="1" applyFill="1" applyAlignment="1">
      <alignment vertical="center" wrapText="1"/>
    </xf>
    <xf numFmtId="0" fontId="59" fillId="50" borderId="25" xfId="81" applyFont="1" applyFill="1" applyBorder="1" applyAlignment="1">
      <alignment vertical="center" wrapText="1"/>
    </xf>
    <xf numFmtId="0" fontId="59" fillId="50" borderId="23" xfId="81" applyFont="1" applyFill="1" applyBorder="1" applyAlignment="1">
      <alignment vertical="center" wrapText="1"/>
    </xf>
    <xf numFmtId="0" fontId="59" fillId="50" borderId="26" xfId="81" applyFont="1" applyFill="1" applyBorder="1" applyAlignment="1">
      <alignment vertical="center" wrapText="1"/>
    </xf>
    <xf numFmtId="0" fontId="59" fillId="50" borderId="27" xfId="81" applyFont="1" applyFill="1" applyBorder="1" applyAlignment="1">
      <alignment vertical="center" wrapText="1"/>
    </xf>
    <xf numFmtId="0" fontId="38" fillId="51" borderId="0" xfId="82" applyFont="1" applyFill="1" applyAlignment="1">
      <alignment horizontal="center" vertical="center" wrapText="1"/>
    </xf>
    <xf numFmtId="0" fontId="38" fillId="51" borderId="26" xfId="82" applyFont="1" applyFill="1" applyBorder="1" applyAlignment="1">
      <alignment horizontal="center" vertical="center" wrapText="1"/>
    </xf>
    <xf numFmtId="0" fontId="38" fillId="51" borderId="25" xfId="82" applyFont="1" applyFill="1" applyBorder="1" applyAlignment="1">
      <alignment horizontal="center" vertical="center" wrapText="1"/>
    </xf>
    <xf numFmtId="0" fontId="38" fillId="51" borderId="27" xfId="82" applyFont="1" applyFill="1" applyBorder="1" applyAlignment="1">
      <alignment horizontal="center" vertical="center" wrapText="1"/>
    </xf>
    <xf numFmtId="0" fontId="26" fillId="51" borderId="0" xfId="0" applyFont="1" applyFill="1" applyAlignment="1">
      <alignment horizontal="center" vertical="center" wrapText="1"/>
    </xf>
    <xf numFmtId="0" fontId="26" fillId="51" borderId="26" xfId="0" applyFont="1" applyFill="1" applyBorder="1" applyAlignment="1">
      <alignment horizontal="center" vertical="center" wrapText="1"/>
    </xf>
    <xf numFmtId="0" fontId="83" fillId="51" borderId="25" xfId="0" applyFont="1" applyFill="1" applyBorder="1" applyAlignment="1">
      <alignment horizontal="center" vertical="center" wrapText="1"/>
    </xf>
    <xf numFmtId="0" fontId="83" fillId="51" borderId="27" xfId="0" applyFont="1" applyFill="1" applyBorder="1" applyAlignment="1">
      <alignment horizontal="center" vertical="center" wrapText="1"/>
    </xf>
    <xf numFmtId="0" fontId="51" fillId="51" borderId="0" xfId="80" applyFont="1" applyFill="1" applyAlignment="1" applyProtection="1">
      <alignment horizontal="left" vertical="center"/>
      <protection locked="0"/>
    </xf>
    <xf numFmtId="14" fontId="51" fillId="51" borderId="0" xfId="80" applyNumberFormat="1" applyFont="1" applyFill="1" applyAlignment="1" applyProtection="1">
      <alignment horizontal="left" vertical="center"/>
      <protection locked="0"/>
    </xf>
    <xf numFmtId="190" fontId="83" fillId="61" borderId="41" xfId="81" applyNumberFormat="1" applyFont="1" applyFill="1" applyBorder="1" applyAlignment="1">
      <alignment horizontal="center" textRotation="90" wrapText="1"/>
    </xf>
    <xf numFmtId="190" fontId="83" fillId="61" borderId="68" xfId="81" applyNumberFormat="1" applyFont="1" applyFill="1" applyBorder="1" applyAlignment="1">
      <alignment horizontal="center" textRotation="90" wrapText="1"/>
    </xf>
    <xf numFmtId="190" fontId="83" fillId="61" borderId="49" xfId="81" applyNumberFormat="1" applyFont="1" applyFill="1" applyBorder="1" applyAlignment="1">
      <alignment horizontal="center" textRotation="90" wrapText="1"/>
    </xf>
    <xf numFmtId="190" fontId="83" fillId="87" borderId="41" xfId="81" applyNumberFormat="1" applyFont="1" applyFill="1" applyBorder="1" applyAlignment="1">
      <alignment horizontal="center" vertical="center" textRotation="90" wrapText="1"/>
    </xf>
    <xf numFmtId="190" fontId="83" fillId="87" borderId="68" xfId="81" applyNumberFormat="1" applyFont="1" applyFill="1" applyBorder="1" applyAlignment="1">
      <alignment horizontal="center" vertical="center" textRotation="90" wrapText="1"/>
    </xf>
    <xf numFmtId="190" fontId="83" fillId="87" borderId="49" xfId="81" applyNumberFormat="1" applyFont="1" applyFill="1" applyBorder="1" applyAlignment="1">
      <alignment horizontal="center" vertical="center" textRotation="90" wrapText="1"/>
    </xf>
    <xf numFmtId="0" fontId="38" fillId="58" borderId="17" xfId="81" applyFont="1" applyFill="1" applyBorder="1" applyAlignment="1">
      <alignment horizontal="center" vertical="center" wrapText="1"/>
    </xf>
    <xf numFmtId="0" fontId="38" fillId="58" borderId="16" xfId="81" applyFont="1" applyFill="1" applyBorder="1" applyAlignment="1">
      <alignment horizontal="center" vertical="center" wrapText="1"/>
    </xf>
    <xf numFmtId="0" fontId="60" fillId="58" borderId="17" xfId="81" applyFont="1" applyFill="1" applyBorder="1" applyAlignment="1">
      <alignment horizontal="center" vertical="center" wrapText="1"/>
    </xf>
    <xf numFmtId="0" fontId="60" fillId="58" borderId="16" xfId="81" applyFont="1" applyFill="1" applyBorder="1" applyAlignment="1">
      <alignment horizontal="center" vertical="center" wrapText="1"/>
    </xf>
    <xf numFmtId="0" fontId="60" fillId="59" borderId="44" xfId="81" applyFont="1" applyFill="1" applyBorder="1" applyAlignment="1">
      <alignment horizontal="center" vertical="center" wrapText="1"/>
    </xf>
    <xf numFmtId="0" fontId="60" fillId="59" borderId="45" xfId="81" applyFont="1" applyFill="1" applyBorder="1" applyAlignment="1">
      <alignment horizontal="center" vertical="center" wrapText="1"/>
    </xf>
    <xf numFmtId="0" fontId="60" fillId="59" borderId="10" xfId="81" applyFont="1" applyFill="1" applyBorder="1" applyAlignment="1">
      <alignment horizontal="center" vertical="center" wrapText="1"/>
    </xf>
    <xf numFmtId="0" fontId="60" fillId="59" borderId="13" xfId="81" applyFont="1" applyFill="1" applyBorder="1" applyAlignment="1">
      <alignment horizontal="center" vertical="center" wrapText="1"/>
    </xf>
    <xf numFmtId="0" fontId="69" fillId="82" borderId="43" xfId="81" applyFont="1" applyFill="1" applyBorder="1" applyAlignment="1">
      <alignment horizontal="center" vertical="center" wrapText="1"/>
    </xf>
    <xf numFmtId="0" fontId="69" fillId="82" borderId="55" xfId="81" applyFont="1" applyFill="1" applyBorder="1" applyAlignment="1">
      <alignment horizontal="center" vertical="center" wrapText="1"/>
    </xf>
    <xf numFmtId="0" fontId="69" fillId="82" borderId="56" xfId="81" applyFont="1" applyFill="1" applyBorder="1" applyAlignment="1">
      <alignment horizontal="center" vertical="center" wrapText="1"/>
    </xf>
    <xf numFmtId="0" fontId="69" fillId="81" borderId="17" xfId="81" applyFont="1" applyFill="1" applyBorder="1" applyAlignment="1">
      <alignment horizontal="center" vertical="center" wrapText="1"/>
    </xf>
    <xf numFmtId="0" fontId="69" fillId="81" borderId="18" xfId="81" applyFont="1" applyFill="1" applyBorder="1" applyAlignment="1">
      <alignment horizontal="center" vertical="center" wrapText="1"/>
    </xf>
    <xf numFmtId="0" fontId="69" fillId="81" borderId="16" xfId="81" applyFont="1" applyFill="1" applyBorder="1" applyAlignment="1">
      <alignment horizontal="center" vertical="center" wrapText="1"/>
    </xf>
    <xf numFmtId="0" fontId="60" fillId="56" borderId="50" xfId="81" applyFont="1" applyFill="1" applyBorder="1" applyAlignment="1">
      <alignment horizontal="center" vertical="center" wrapText="1"/>
    </xf>
    <xf numFmtId="0" fontId="38" fillId="67" borderId="33" xfId="81" applyFont="1" applyFill="1" applyBorder="1" applyAlignment="1">
      <alignment horizontal="center" vertical="center" wrapText="1"/>
    </xf>
    <xf numFmtId="0" fontId="38" fillId="67" borderId="44" xfId="81" applyFont="1" applyFill="1" applyBorder="1" applyAlignment="1">
      <alignment horizontal="center" vertical="center" wrapText="1"/>
    </xf>
    <xf numFmtId="0" fontId="38" fillId="67" borderId="54" xfId="81" applyFont="1" applyFill="1" applyBorder="1" applyAlignment="1">
      <alignment horizontal="center" vertical="center" wrapText="1"/>
    </xf>
    <xf numFmtId="0" fontId="38" fillId="67" borderId="10" xfId="81" applyFont="1" applyFill="1" applyBorder="1" applyAlignment="1">
      <alignment horizontal="center" vertical="center" wrapText="1"/>
    </xf>
    <xf numFmtId="0" fontId="38" fillId="59" borderId="44" xfId="81" applyFont="1" applyFill="1" applyBorder="1" applyAlignment="1">
      <alignment horizontal="center" vertical="center" wrapText="1"/>
    </xf>
    <xf numFmtId="0" fontId="38" fillId="59" borderId="10" xfId="81" applyFont="1" applyFill="1" applyBorder="1" applyAlignment="1">
      <alignment horizontal="center" vertical="center" wrapText="1"/>
    </xf>
    <xf numFmtId="0" fontId="38" fillId="60" borderId="60" xfId="81" applyFont="1" applyFill="1" applyBorder="1" applyAlignment="1">
      <alignment horizontal="center" vertical="center" wrapText="1"/>
    </xf>
    <xf numFmtId="0" fontId="38" fillId="60" borderId="61" xfId="81" applyFont="1" applyFill="1" applyBorder="1" applyAlignment="1">
      <alignment horizontal="center" vertical="center" wrapText="1"/>
    </xf>
    <xf numFmtId="0" fontId="38" fillId="60" borderId="62" xfId="81" applyFont="1" applyFill="1" applyBorder="1" applyAlignment="1">
      <alignment horizontal="center" vertical="center" wrapText="1"/>
    </xf>
    <xf numFmtId="0" fontId="38" fillId="60" borderId="63" xfId="81" applyFont="1" applyFill="1" applyBorder="1" applyAlignment="1">
      <alignment horizontal="center" vertical="center" wrapText="1"/>
    </xf>
    <xf numFmtId="0" fontId="38" fillId="60" borderId="64" xfId="81" applyFont="1" applyFill="1" applyBorder="1" applyAlignment="1">
      <alignment horizontal="center" vertical="center" wrapText="1"/>
    </xf>
    <xf numFmtId="0" fontId="38" fillId="60" borderId="65" xfId="81" applyFont="1" applyFill="1" applyBorder="1" applyAlignment="1">
      <alignment horizontal="center" vertical="center" wrapText="1"/>
    </xf>
    <xf numFmtId="0" fontId="38" fillId="60" borderId="66" xfId="81" applyFont="1" applyFill="1" applyBorder="1" applyAlignment="1">
      <alignment horizontal="center" vertical="center" wrapText="1"/>
    </xf>
    <xf numFmtId="0" fontId="38" fillId="60" borderId="67" xfId="81" applyFont="1" applyFill="1" applyBorder="1" applyAlignment="1">
      <alignment horizontal="center" vertical="center" wrapText="1"/>
    </xf>
    <xf numFmtId="0" fontId="38" fillId="56" borderId="32" xfId="81" applyFont="1" applyFill="1" applyBorder="1" applyAlignment="1">
      <alignment horizontal="center" vertical="center" wrapText="1"/>
    </xf>
    <xf numFmtId="0" fontId="38" fillId="56" borderId="33" xfId="81" applyFont="1" applyFill="1" applyBorder="1" applyAlignment="1">
      <alignment horizontal="center" vertical="center" wrapText="1"/>
    </xf>
    <xf numFmtId="0" fontId="38" fillId="53" borderId="29" xfId="81" applyFont="1" applyFill="1" applyBorder="1" applyAlignment="1">
      <alignment horizontal="center" vertical="center" wrapText="1"/>
    </xf>
    <xf numFmtId="0" fontId="38" fillId="53" borderId="26" xfId="81" applyFont="1" applyFill="1" applyBorder="1" applyAlignment="1">
      <alignment horizontal="center" vertical="center" wrapText="1"/>
    </xf>
    <xf numFmtId="0" fontId="26" fillId="55" borderId="30" xfId="81" applyFont="1" applyFill="1" applyBorder="1" applyAlignment="1">
      <alignment horizontal="center" vertical="center" textRotation="90" wrapText="1"/>
    </xf>
    <xf numFmtId="0" fontId="26" fillId="55" borderId="27" xfId="81" applyFont="1" applyFill="1" applyBorder="1" applyAlignment="1">
      <alignment horizontal="center" vertical="center" textRotation="90" wrapText="1"/>
    </xf>
    <xf numFmtId="190" fontId="38" fillId="75" borderId="52" xfId="81" applyNumberFormat="1" applyFont="1" applyFill="1" applyBorder="1" applyAlignment="1">
      <alignment horizontal="center" vertical="center" wrapText="1"/>
    </xf>
    <xf numFmtId="190" fontId="38" fillId="75" borderId="11" xfId="81" applyNumberFormat="1" applyFont="1" applyFill="1" applyBorder="1" applyAlignment="1">
      <alignment horizontal="center" vertical="center" wrapText="1"/>
    </xf>
    <xf numFmtId="190" fontId="38" fillId="75" borderId="48" xfId="81" applyNumberFormat="1" applyFont="1" applyFill="1" applyBorder="1" applyAlignment="1">
      <alignment horizontal="center" vertical="center" wrapText="1"/>
    </xf>
    <xf numFmtId="2" fontId="38" fillId="73" borderId="53" xfId="81" applyNumberFormat="1" applyFont="1" applyFill="1" applyBorder="1" applyAlignment="1">
      <alignment horizontal="center" vertical="center" wrapText="1"/>
    </xf>
    <xf numFmtId="2" fontId="38" fillId="73" borderId="42" xfId="81" applyNumberFormat="1" applyFont="1" applyFill="1" applyBorder="1" applyAlignment="1">
      <alignment horizontal="center" vertical="center" wrapText="1"/>
    </xf>
    <xf numFmtId="2" fontId="38" fillId="73" borderId="51" xfId="81" applyNumberFormat="1" applyFont="1" applyFill="1" applyBorder="1" applyAlignment="1">
      <alignment horizontal="center" vertical="center" wrapText="1"/>
    </xf>
    <xf numFmtId="0" fontId="60" fillId="55" borderId="17" xfId="81" applyFont="1" applyFill="1" applyBorder="1" applyAlignment="1">
      <alignment horizontal="center" vertical="center" wrapText="1"/>
    </xf>
    <xf numFmtId="0" fontId="60" fillId="55" borderId="16" xfId="81" applyFont="1" applyFill="1" applyBorder="1" applyAlignment="1">
      <alignment horizontal="center" vertical="center" wrapText="1"/>
    </xf>
    <xf numFmtId="0" fontId="38" fillId="55" borderId="22" xfId="81" applyFont="1" applyFill="1" applyBorder="1" applyAlignment="1">
      <alignment horizontal="center" vertical="center" wrapText="1"/>
    </xf>
    <xf numFmtId="0" fontId="38" fillId="55" borderId="21" xfId="81" applyFont="1" applyFill="1" applyBorder="1" applyAlignment="1">
      <alignment horizontal="center" vertical="center" wrapText="1"/>
    </xf>
    <xf numFmtId="0" fontId="38" fillId="55" borderId="46" xfId="81" applyFont="1" applyFill="1" applyBorder="1" applyAlignment="1">
      <alignment horizontal="center" vertical="center" wrapText="1"/>
    </xf>
    <xf numFmtId="0" fontId="60" fillId="61" borderId="22" xfId="81" applyFont="1" applyFill="1" applyBorder="1" applyAlignment="1">
      <alignment horizontal="center" vertical="center" wrapText="1"/>
    </xf>
    <xf numFmtId="0" fontId="60" fillId="61" borderId="21" xfId="81" applyFont="1" applyFill="1" applyBorder="1" applyAlignment="1">
      <alignment horizontal="center" vertical="center" wrapText="1"/>
    </xf>
    <xf numFmtId="0" fontId="60" fillId="61" borderId="31" xfId="81" applyFont="1" applyFill="1" applyBorder="1" applyAlignment="1">
      <alignment horizontal="center" vertical="center" wrapText="1"/>
    </xf>
    <xf numFmtId="0" fontId="38" fillId="61" borderId="22" xfId="81" applyFont="1" applyFill="1" applyBorder="1" applyAlignment="1">
      <alignment horizontal="center" vertical="center" wrapText="1"/>
    </xf>
    <xf numFmtId="0" fontId="38" fillId="61" borderId="21" xfId="81" applyFont="1" applyFill="1" applyBorder="1" applyAlignment="1">
      <alignment horizontal="center" vertical="center" wrapText="1"/>
    </xf>
    <xf numFmtId="0" fontId="38" fillId="61" borderId="31" xfId="81" applyFont="1" applyFill="1" applyBorder="1" applyAlignment="1">
      <alignment horizontal="center" vertical="center" wrapText="1"/>
    </xf>
    <xf numFmtId="0" fontId="60" fillId="54" borderId="22" xfId="81" applyFont="1" applyFill="1" applyBorder="1" applyAlignment="1">
      <alignment horizontal="center" vertical="center" wrapText="1"/>
    </xf>
    <xf numFmtId="0" fontId="60" fillId="54" borderId="31" xfId="81" applyFont="1" applyFill="1" applyBorder="1" applyAlignment="1">
      <alignment horizontal="center" vertical="center" wrapText="1"/>
    </xf>
    <xf numFmtId="0" fontId="38" fillId="75" borderId="53" xfId="81" applyFont="1" applyFill="1" applyBorder="1" applyAlignment="1">
      <alignment horizontal="center" vertical="center" wrapText="1"/>
    </xf>
    <xf numFmtId="0" fontId="38" fillId="75" borderId="42" xfId="81" applyFont="1" applyFill="1" applyBorder="1" applyAlignment="1">
      <alignment horizontal="center" vertical="center" wrapText="1"/>
    </xf>
    <xf numFmtId="0" fontId="38" fillId="75" borderId="51" xfId="81" applyFont="1" applyFill="1" applyBorder="1" applyAlignment="1">
      <alignment horizontal="center" vertical="center" wrapText="1"/>
    </xf>
    <xf numFmtId="49" fontId="60" fillId="73" borderId="57" xfId="81" applyNumberFormat="1" applyFont="1" applyFill="1" applyBorder="1" applyAlignment="1">
      <alignment horizontal="center" vertical="center" wrapText="1"/>
    </xf>
    <xf numFmtId="49" fontId="60" fillId="73" borderId="58" xfId="81" applyNumberFormat="1" applyFont="1" applyFill="1" applyBorder="1" applyAlignment="1">
      <alignment horizontal="center" vertical="center" wrapText="1"/>
    </xf>
    <xf numFmtId="49" fontId="60" fillId="73" borderId="59" xfId="81" applyNumberFormat="1" applyFont="1" applyFill="1" applyBorder="1" applyAlignment="1">
      <alignment horizontal="center" vertical="center" wrapText="1"/>
    </xf>
    <xf numFmtId="0" fontId="34" fillId="54" borderId="17" xfId="81" applyFont="1" applyFill="1" applyBorder="1" applyAlignment="1">
      <alignment horizontal="center" vertical="center" wrapText="1"/>
    </xf>
    <xf numFmtId="0" fontId="34" fillId="54" borderId="18" xfId="81" applyFont="1" applyFill="1" applyBorder="1" applyAlignment="1">
      <alignment horizontal="center" vertical="center" wrapText="1"/>
    </xf>
    <xf numFmtId="0" fontId="34" fillId="54" borderId="16" xfId="81" applyFont="1" applyFill="1" applyBorder="1" applyAlignment="1">
      <alignment horizontal="center" vertical="center" wrapText="1"/>
    </xf>
    <xf numFmtId="190" fontId="83" fillId="61" borderId="17" xfId="81" applyNumberFormat="1" applyFont="1" applyFill="1" applyBorder="1" applyAlignment="1">
      <alignment horizontal="center" vertical="center" textRotation="90" wrapText="1"/>
    </xf>
    <xf numFmtId="190" fontId="83" fillId="61" borderId="18" xfId="81" applyNumberFormat="1" applyFont="1" applyFill="1" applyBorder="1" applyAlignment="1">
      <alignment horizontal="center" vertical="center" textRotation="90" wrapText="1"/>
    </xf>
    <xf numFmtId="190" fontId="83" fillId="61" borderId="16" xfId="81" applyNumberFormat="1" applyFont="1" applyFill="1" applyBorder="1" applyAlignment="1">
      <alignment horizontal="center" vertical="center" textRotation="90" wrapText="1"/>
    </xf>
    <xf numFmtId="0" fontId="38" fillId="55" borderId="47" xfId="81" applyFont="1" applyFill="1" applyBorder="1" applyAlignment="1">
      <alignment horizontal="center" vertical="center" wrapText="1"/>
    </xf>
    <xf numFmtId="0" fontId="38" fillId="56" borderId="21" xfId="81" applyFont="1" applyFill="1" applyBorder="1" applyAlignment="1">
      <alignment horizontal="center" vertical="center" wrapText="1"/>
    </xf>
    <xf numFmtId="0" fontId="38" fillId="56" borderId="31" xfId="81" applyFont="1" applyFill="1" applyBorder="1" applyAlignment="1">
      <alignment horizontal="center" vertical="center" wrapText="1"/>
    </xf>
    <xf numFmtId="0" fontId="69" fillId="82" borderId="17" xfId="81" applyFont="1" applyFill="1" applyBorder="1" applyAlignment="1">
      <alignment horizontal="center" vertical="center" wrapText="1"/>
    </xf>
    <xf numFmtId="0" fontId="69" fillId="82" borderId="18" xfId="81" applyFont="1" applyFill="1" applyBorder="1" applyAlignment="1">
      <alignment horizontal="center" vertical="center" wrapText="1"/>
    </xf>
    <xf numFmtId="0" fontId="69" fillId="82" borderId="16" xfId="81" applyFont="1" applyFill="1" applyBorder="1" applyAlignment="1">
      <alignment horizontal="center" vertical="center" wrapText="1"/>
    </xf>
    <xf numFmtId="190" fontId="83" fillId="61" borderId="41" xfId="81" applyNumberFormat="1" applyFont="1" applyFill="1" applyBorder="1" applyAlignment="1">
      <alignment horizontal="center" vertical="center" textRotation="90" wrapText="1"/>
    </xf>
    <xf numFmtId="190" fontId="83" fillId="61" borderId="68" xfId="81" applyNumberFormat="1" applyFont="1" applyFill="1" applyBorder="1" applyAlignment="1">
      <alignment horizontal="center" vertical="center" textRotation="90" wrapText="1"/>
    </xf>
    <xf numFmtId="190" fontId="83" fillId="61" borderId="49" xfId="81" applyNumberFormat="1" applyFont="1" applyFill="1" applyBorder="1" applyAlignment="1">
      <alignment horizontal="center" vertical="center" textRotation="90" wrapText="1"/>
    </xf>
    <xf numFmtId="0" fontId="69" fillId="81" borderId="30" xfId="81" applyFont="1" applyFill="1" applyBorder="1" applyAlignment="1">
      <alignment horizontal="center" vertical="center" wrapText="1"/>
    </xf>
    <xf numFmtId="0" fontId="69" fillId="81" borderId="25" xfId="81" applyFont="1" applyFill="1" applyBorder="1" applyAlignment="1">
      <alignment horizontal="center" vertical="center" wrapText="1"/>
    </xf>
    <xf numFmtId="0" fontId="69" fillId="81" borderId="27" xfId="81" applyFont="1" applyFill="1" applyBorder="1" applyAlignment="1">
      <alignment horizontal="center" vertical="center" wrapText="1"/>
    </xf>
    <xf numFmtId="49" fontId="38" fillId="73" borderId="52" xfId="81" applyNumberFormat="1" applyFont="1" applyFill="1" applyBorder="1" applyAlignment="1">
      <alignment horizontal="center" vertical="center" wrapText="1"/>
    </xf>
    <xf numFmtId="49" fontId="38" fillId="73" borderId="11" xfId="81" applyNumberFormat="1" applyFont="1" applyFill="1" applyBorder="1" applyAlignment="1">
      <alignment horizontal="center" vertical="center" wrapText="1"/>
    </xf>
    <xf numFmtId="49" fontId="38" fillId="73" borderId="48" xfId="81" applyNumberFormat="1" applyFont="1" applyFill="1" applyBorder="1" applyAlignment="1">
      <alignment horizontal="center" vertical="center" wrapText="1"/>
    </xf>
    <xf numFmtId="0" fontId="38" fillId="60" borderId="51" xfId="81" applyFont="1" applyFill="1" applyBorder="1" applyAlignment="1">
      <alignment horizontal="center" vertical="center" wrapText="1"/>
    </xf>
    <xf numFmtId="0" fontId="38" fillId="60" borderId="49" xfId="81" applyFont="1" applyFill="1" applyBorder="1" applyAlignment="1">
      <alignment horizontal="center" vertical="center" wrapText="1"/>
    </xf>
    <xf numFmtId="0" fontId="60" fillId="55" borderId="22" xfId="81" applyFont="1" applyFill="1" applyBorder="1" applyAlignment="1">
      <alignment horizontal="center" vertical="center" wrapText="1"/>
    </xf>
    <xf numFmtId="0" fontId="60" fillId="55" borderId="21" xfId="81" applyFont="1" applyFill="1" applyBorder="1" applyAlignment="1">
      <alignment horizontal="center" vertical="center" wrapText="1"/>
    </xf>
    <xf numFmtId="0" fontId="38" fillId="58" borderId="22" xfId="81" applyFont="1" applyFill="1" applyBorder="1" applyAlignment="1">
      <alignment horizontal="center" vertical="center" wrapText="1"/>
    </xf>
    <xf numFmtId="0" fontId="38" fillId="58" borderId="31" xfId="81" applyFont="1" applyFill="1" applyBorder="1" applyAlignment="1">
      <alignment horizontal="center" vertical="center" wrapText="1"/>
    </xf>
    <xf numFmtId="0" fontId="39" fillId="0" borderId="17" xfId="80" applyFont="1" applyBorder="1" applyAlignment="1">
      <alignment horizontal="center" vertical="center" wrapText="1"/>
    </xf>
    <xf numFmtId="0" fontId="39" fillId="0" borderId="18" xfId="80" applyFont="1" applyBorder="1" applyAlignment="1">
      <alignment horizontal="center" vertical="center" wrapText="1"/>
    </xf>
    <xf numFmtId="0" fontId="39" fillId="0" borderId="16" xfId="80" applyFont="1" applyBorder="1" applyAlignment="1">
      <alignment horizontal="center" vertical="center" wrapText="1"/>
    </xf>
    <xf numFmtId="0" fontId="39" fillId="0" borderId="22" xfId="80" applyFont="1" applyBorder="1" applyAlignment="1">
      <alignment horizontal="center" vertical="center" wrapText="1"/>
    </xf>
    <xf numFmtId="0" fontId="39" fillId="0" borderId="21" xfId="80" applyFont="1" applyBorder="1" applyAlignment="1">
      <alignment horizontal="center" vertical="center" wrapText="1"/>
    </xf>
    <xf numFmtId="0" fontId="39" fillId="0" borderId="31" xfId="80" applyFont="1" applyBorder="1" applyAlignment="1">
      <alignment horizontal="center" vertical="center" wrapText="1"/>
    </xf>
    <xf numFmtId="0" fontId="35" fillId="0" borderId="22" xfId="80" applyFont="1" applyBorder="1" applyAlignment="1">
      <alignment horizontal="left" vertical="center" wrapText="1"/>
    </xf>
    <xf numFmtId="0" fontId="35" fillId="0" borderId="31" xfId="80" applyFont="1" applyBorder="1" applyAlignment="1">
      <alignment horizontal="left" vertical="center" wrapText="1"/>
    </xf>
    <xf numFmtId="0" fontId="39" fillId="0" borderId="28" xfId="80" applyFont="1" applyBorder="1" applyAlignment="1">
      <alignment horizontal="center" vertical="center" wrapText="1"/>
    </xf>
    <xf numFmtId="0" fontId="39" fillId="0" borderId="30" xfId="80" applyFont="1" applyBorder="1" applyAlignment="1">
      <alignment horizontal="center" vertical="center" wrapText="1"/>
    </xf>
    <xf numFmtId="0" fontId="39" fillId="0" borderId="23" xfId="80" applyFont="1" applyBorder="1" applyAlignment="1">
      <alignment horizontal="center" vertical="center" wrapText="1"/>
    </xf>
    <xf numFmtId="0" fontId="39" fillId="0" borderId="27" xfId="80" applyFont="1" applyBorder="1" applyAlignment="1">
      <alignment horizontal="center" vertical="center" wrapText="1"/>
    </xf>
    <xf numFmtId="0" fontId="39" fillId="0" borderId="17" xfId="80" applyFont="1" applyBorder="1" applyAlignment="1">
      <alignment horizontal="center" vertical="center"/>
    </xf>
    <xf numFmtId="0" fontId="39" fillId="0" borderId="18" xfId="80" applyFont="1" applyBorder="1" applyAlignment="1">
      <alignment horizontal="center" vertical="center"/>
    </xf>
    <xf numFmtId="0" fontId="39" fillId="0" borderId="16" xfId="80" applyFont="1" applyBorder="1" applyAlignment="1">
      <alignment horizontal="center" vertical="center"/>
    </xf>
    <xf numFmtId="0" fontId="51" fillId="51" borderId="25" xfId="80" applyFont="1" applyFill="1" applyBorder="1" applyAlignment="1" applyProtection="1">
      <alignment horizontal="left" vertical="center"/>
      <protection locked="0"/>
    </xf>
    <xf numFmtId="0" fontId="52" fillId="0" borderId="17" xfId="80" applyFont="1" applyBorder="1" applyAlignment="1">
      <alignment horizontal="center" vertical="center" wrapText="1"/>
    </xf>
    <xf numFmtId="0" fontId="52" fillId="0" borderId="18" xfId="80" applyFont="1" applyBorder="1" applyAlignment="1">
      <alignment horizontal="center" vertical="center" wrapText="1"/>
    </xf>
    <xf numFmtId="0" fontId="52" fillId="0" borderId="16" xfId="80" applyFont="1" applyBorder="1" applyAlignment="1">
      <alignment horizontal="center" vertical="center" wrapText="1"/>
    </xf>
    <xf numFmtId="0" fontId="39" fillId="51" borderId="17" xfId="80" applyFont="1" applyFill="1" applyBorder="1" applyAlignment="1">
      <alignment horizontal="center" vertical="center" wrapText="1"/>
    </xf>
    <xf numFmtId="0" fontId="39" fillId="51" borderId="18" xfId="80" applyFont="1" applyFill="1" applyBorder="1" applyAlignment="1">
      <alignment horizontal="center" vertical="center" wrapText="1"/>
    </xf>
    <xf numFmtId="0" fontId="39" fillId="51" borderId="16" xfId="80" applyFont="1" applyFill="1" applyBorder="1" applyAlignment="1">
      <alignment horizontal="center" vertical="center" wrapText="1"/>
    </xf>
    <xf numFmtId="0" fontId="39" fillId="77" borderId="22" xfId="80" applyFont="1" applyFill="1" applyBorder="1" applyAlignment="1">
      <alignment horizontal="center" vertical="center" wrapText="1"/>
    </xf>
    <xf numFmtId="0" fontId="39" fillId="77" borderId="31" xfId="80" applyFont="1" applyFill="1" applyBorder="1" applyAlignment="1">
      <alignment horizontal="center" vertical="center" wrapText="1"/>
    </xf>
    <xf numFmtId="0" fontId="34" fillId="79" borderId="23" xfId="82" applyFont="1" applyFill="1" applyBorder="1" applyAlignment="1">
      <alignment horizontal="left" vertical="center" wrapText="1"/>
    </xf>
    <xf numFmtId="0" fontId="34" fillId="79" borderId="26" xfId="82" applyFont="1" applyFill="1" applyBorder="1" applyAlignment="1">
      <alignment horizontal="left" vertical="center" wrapText="1"/>
    </xf>
    <xf numFmtId="0" fontId="34" fillId="79" borderId="27" xfId="82" applyFont="1" applyFill="1" applyBorder="1" applyAlignment="1">
      <alignment horizontal="left" vertical="center" wrapText="1"/>
    </xf>
    <xf numFmtId="166" fontId="39" fillId="79" borderId="0" xfId="82" applyNumberFormat="1" applyFont="1" applyFill="1" applyAlignment="1">
      <alignment horizontal="center" vertical="center"/>
    </xf>
    <xf numFmtId="187" fontId="38" fillId="53" borderId="0" xfId="82" applyNumberFormat="1" applyFont="1" applyFill="1" applyAlignment="1">
      <alignment horizontal="center" vertical="center"/>
    </xf>
    <xf numFmtId="0" fontId="35" fillId="0" borderId="22" xfId="80" applyFont="1" applyBorder="1" applyAlignment="1">
      <alignment horizontal="center" vertical="center" wrapText="1"/>
    </xf>
    <xf numFmtId="0" fontId="35" fillId="0" borderId="31" xfId="80" applyFont="1" applyBorder="1" applyAlignment="1">
      <alignment horizontal="center" vertical="center" wrapText="1"/>
    </xf>
    <xf numFmtId="0" fontId="35" fillId="0" borderId="22" xfId="80" applyFont="1" applyBorder="1" applyAlignment="1">
      <alignment horizontal="center" vertical="center"/>
    </xf>
    <xf numFmtId="0" fontId="35" fillId="0" borderId="31" xfId="80" applyFont="1" applyBorder="1" applyAlignment="1">
      <alignment horizontal="center" vertical="center"/>
    </xf>
    <xf numFmtId="0" fontId="26" fillId="54" borderId="28" xfId="81" applyFont="1" applyFill="1" applyBorder="1" applyAlignment="1" applyProtection="1">
      <alignment horizontal="center" vertical="center" wrapText="1"/>
      <protection hidden="1"/>
    </xf>
    <xf numFmtId="0" fontId="26" fillId="54" borderId="29" xfId="81" applyFont="1" applyFill="1" applyBorder="1" applyAlignment="1" applyProtection="1">
      <alignment horizontal="center" vertical="center" wrapText="1"/>
      <protection hidden="1"/>
    </xf>
    <xf numFmtId="0" fontId="26" fillId="54" borderId="30" xfId="81" applyFont="1" applyFill="1" applyBorder="1" applyAlignment="1" applyProtection="1">
      <alignment horizontal="center" vertical="center" wrapText="1"/>
      <protection hidden="1"/>
    </xf>
    <xf numFmtId="0" fontId="38" fillId="54" borderId="22" xfId="81" applyFont="1" applyFill="1" applyBorder="1" applyAlignment="1" applyProtection="1">
      <alignment horizontal="center" vertical="center" wrapText="1"/>
      <protection hidden="1"/>
    </xf>
    <xf numFmtId="0" fontId="38" fillId="54" borderId="21" xfId="81" applyFont="1" applyFill="1" applyBorder="1" applyAlignment="1" applyProtection="1">
      <alignment horizontal="center" vertical="center" wrapText="1"/>
      <protection hidden="1"/>
    </xf>
    <xf numFmtId="0" fontId="38" fillId="54" borderId="31" xfId="81" applyFont="1" applyFill="1" applyBorder="1" applyAlignment="1" applyProtection="1">
      <alignment horizontal="center" vertical="center" wrapText="1"/>
      <protection hidden="1"/>
    </xf>
    <xf numFmtId="0" fontId="55" fillId="54" borderId="17" xfId="81" applyFont="1" applyFill="1" applyBorder="1" applyAlignment="1" applyProtection="1">
      <alignment horizontal="center" vertical="center" wrapText="1"/>
      <protection hidden="1"/>
    </xf>
    <xf numFmtId="0" fontId="55" fillId="54" borderId="18" xfId="81" applyFont="1" applyFill="1" applyBorder="1" applyAlignment="1" applyProtection="1">
      <alignment horizontal="center" vertical="center" wrapText="1"/>
      <protection hidden="1"/>
    </xf>
    <xf numFmtId="0" fontId="38" fillId="0" borderId="35" xfId="81" applyFont="1" applyBorder="1" applyAlignment="1" applyProtection="1">
      <alignment horizontal="center" vertical="center" wrapText="1"/>
      <protection hidden="1"/>
    </xf>
    <xf numFmtId="0" fontId="38" fillId="0" borderId="36" xfId="81" applyFont="1" applyBorder="1" applyAlignment="1" applyProtection="1">
      <alignment horizontal="center" vertical="center" wrapText="1"/>
      <protection hidden="1"/>
    </xf>
    <xf numFmtId="0" fontId="38" fillId="60" borderId="10" xfId="81" applyFont="1" applyFill="1" applyBorder="1" applyAlignment="1" applyProtection="1">
      <alignment horizontal="center" vertical="center" wrapText="1"/>
      <protection hidden="1"/>
    </xf>
    <xf numFmtId="0" fontId="38" fillId="60" borderId="13" xfId="81" applyFont="1" applyFill="1" applyBorder="1" applyAlignment="1" applyProtection="1">
      <alignment horizontal="center" vertical="center" wrapText="1"/>
      <protection hidden="1"/>
    </xf>
    <xf numFmtId="0" fontId="38" fillId="60" borderId="37" xfId="81" applyFont="1" applyFill="1" applyBorder="1" applyAlignment="1" applyProtection="1">
      <alignment horizontal="center" vertical="center" wrapText="1"/>
      <protection hidden="1"/>
    </xf>
    <xf numFmtId="0" fontId="38" fillId="60" borderId="38" xfId="81" applyFont="1" applyFill="1" applyBorder="1" applyAlignment="1" applyProtection="1">
      <alignment horizontal="center" vertical="center" wrapText="1"/>
      <protection hidden="1"/>
    </xf>
    <xf numFmtId="0" fontId="38" fillId="60" borderId="39" xfId="81" applyFont="1" applyFill="1" applyBorder="1" applyAlignment="1" applyProtection="1">
      <alignment horizontal="center" vertical="center" wrapText="1"/>
      <protection hidden="1"/>
    </xf>
    <xf numFmtId="0" fontId="38" fillId="60" borderId="40" xfId="81" applyFont="1" applyFill="1" applyBorder="1" applyAlignment="1" applyProtection="1">
      <alignment horizontal="center" vertical="center" wrapText="1"/>
      <protection hidden="1"/>
    </xf>
  </cellXfs>
  <cellStyles count="118">
    <cellStyle name="20% - Accent1" xfId="1" xr:uid="{00000000-0005-0000-0000-000000000000}"/>
    <cellStyle name="20% - Accent2" xfId="2" xr:uid="{00000000-0005-0000-0000-000001000000}"/>
    <cellStyle name="20% - Accent3" xfId="3" xr:uid="{00000000-0005-0000-0000-000002000000}"/>
    <cellStyle name="20% - Accent4" xfId="4" xr:uid="{00000000-0005-0000-0000-000003000000}"/>
    <cellStyle name="20% - Accent5" xfId="5" xr:uid="{00000000-0005-0000-0000-000004000000}"/>
    <cellStyle name="20% - Accent6" xfId="6" xr:uid="{00000000-0005-0000-0000-000005000000}"/>
    <cellStyle name="20% - Ênfase1" xfId="7" builtinId="30" customBuiltin="1"/>
    <cellStyle name="20% - Ênfase2" xfId="8" builtinId="34" customBuiltin="1"/>
    <cellStyle name="20% - Ênfase3" xfId="9" builtinId="38" customBuiltin="1"/>
    <cellStyle name="20% - Ênfase4" xfId="10" builtinId="42" customBuiltin="1"/>
    <cellStyle name="20% - Ênfase5" xfId="11" builtinId="46" customBuiltin="1"/>
    <cellStyle name="20% - Ênfase6" xfId="12" builtinId="50" customBuiltin="1"/>
    <cellStyle name="40% - Accent1" xfId="13" xr:uid="{00000000-0005-0000-0000-00000C000000}"/>
    <cellStyle name="40% - Accent2" xfId="14" xr:uid="{00000000-0005-0000-0000-00000D000000}"/>
    <cellStyle name="40% - Accent3" xfId="15" xr:uid="{00000000-0005-0000-0000-00000E000000}"/>
    <cellStyle name="40% - Accent4" xfId="16" xr:uid="{00000000-0005-0000-0000-00000F000000}"/>
    <cellStyle name="40% - Accent5" xfId="17" xr:uid="{00000000-0005-0000-0000-000010000000}"/>
    <cellStyle name="40% - Accent6" xfId="18" xr:uid="{00000000-0005-0000-0000-000011000000}"/>
    <cellStyle name="40% - Ênfase1" xfId="19" builtinId="31" customBuiltin="1"/>
    <cellStyle name="40% - Ênfase2" xfId="20" builtinId="35" customBuiltin="1"/>
    <cellStyle name="40% - Ênfase3" xfId="21" builtinId="39" customBuiltin="1"/>
    <cellStyle name="40% - Ênfase4" xfId="22" builtinId="43" customBuiltin="1"/>
    <cellStyle name="40% - Ênfase5" xfId="23" builtinId="47" customBuiltin="1"/>
    <cellStyle name="40% - Ênfase6" xfId="24" builtinId="51" customBuiltin="1"/>
    <cellStyle name="60% - Accent1" xfId="25" xr:uid="{00000000-0005-0000-0000-000018000000}"/>
    <cellStyle name="60% - Accent2" xfId="26" xr:uid="{00000000-0005-0000-0000-000019000000}"/>
    <cellStyle name="60% - Accent3" xfId="27" xr:uid="{00000000-0005-0000-0000-00001A000000}"/>
    <cellStyle name="60% - Accent4" xfId="28" xr:uid="{00000000-0005-0000-0000-00001B000000}"/>
    <cellStyle name="60% - Accent5" xfId="29" xr:uid="{00000000-0005-0000-0000-00001C000000}"/>
    <cellStyle name="60% - Accent6" xfId="30" xr:uid="{00000000-0005-0000-0000-00001D000000}"/>
    <cellStyle name="60% - Ênfase1" xfId="31" builtinId="32" customBuiltin="1"/>
    <cellStyle name="60% - Ênfase2" xfId="32" builtinId="36" customBuiltin="1"/>
    <cellStyle name="60% - Ênfase3" xfId="33" builtinId="40" customBuiltin="1"/>
    <cellStyle name="60% - Ênfase4" xfId="34" builtinId="44" customBuiltin="1"/>
    <cellStyle name="60% - Ênfase5" xfId="35" builtinId="48" customBuiltin="1"/>
    <cellStyle name="60% - Ênfase6" xfId="36" builtinId="52" customBuiltin="1"/>
    <cellStyle name="Accent1" xfId="37" xr:uid="{00000000-0005-0000-0000-000024000000}"/>
    <cellStyle name="Accent2" xfId="38" xr:uid="{00000000-0005-0000-0000-000025000000}"/>
    <cellStyle name="Accent3" xfId="39" xr:uid="{00000000-0005-0000-0000-000026000000}"/>
    <cellStyle name="Accent4" xfId="40" xr:uid="{00000000-0005-0000-0000-000027000000}"/>
    <cellStyle name="Accent5" xfId="41" xr:uid="{00000000-0005-0000-0000-000028000000}"/>
    <cellStyle name="Accent6" xfId="42" xr:uid="{00000000-0005-0000-0000-000029000000}"/>
    <cellStyle name="Bad" xfId="43" xr:uid="{00000000-0005-0000-0000-00002A000000}"/>
    <cellStyle name="Bom" xfId="44" builtinId="26" customBuiltin="1"/>
    <cellStyle name="Calculation" xfId="45" xr:uid="{00000000-0005-0000-0000-00002C000000}"/>
    <cellStyle name="Cálculo" xfId="46" builtinId="22" customBuiltin="1"/>
    <cellStyle name="Celda de comprobación" xfId="47" xr:uid="{00000000-0005-0000-0000-00002E000000}"/>
    <cellStyle name="Celda vinculada" xfId="48" xr:uid="{00000000-0005-0000-0000-00002F000000}"/>
    <cellStyle name="Check Cell" xfId="49" xr:uid="{00000000-0005-0000-0000-000030000000}"/>
    <cellStyle name="Comma" xfId="50" xr:uid="{00000000-0005-0000-0000-000031000000}"/>
    <cellStyle name="Dia" xfId="51" xr:uid="{00000000-0005-0000-0000-000032000000}"/>
    <cellStyle name="Encabez1" xfId="52" xr:uid="{00000000-0005-0000-0000-000033000000}"/>
    <cellStyle name="Encabez2" xfId="53" xr:uid="{00000000-0005-0000-0000-000034000000}"/>
    <cellStyle name="Encabezado 4" xfId="107" xr:uid="{00000000-0005-0000-0000-000035000000}"/>
    <cellStyle name="Ênfase1" xfId="54" builtinId="29" customBuiltin="1"/>
    <cellStyle name="Ênfase2" xfId="55" builtinId="33" customBuiltin="1"/>
    <cellStyle name="Ênfase3" xfId="56" builtinId="37" customBuiltin="1"/>
    <cellStyle name="Ênfase4" xfId="57" builtinId="41" customBuiltin="1"/>
    <cellStyle name="Ênfase5" xfId="58" builtinId="45" customBuiltin="1"/>
    <cellStyle name="Ênfase6" xfId="59" builtinId="49" customBuiltin="1"/>
    <cellStyle name="Entrada" xfId="60" builtinId="20" customBuiltin="1"/>
    <cellStyle name="Euro" xfId="61" xr:uid="{00000000-0005-0000-0000-00003D000000}"/>
    <cellStyle name="Explanatory Text" xfId="62" xr:uid="{00000000-0005-0000-0000-00003E000000}"/>
    <cellStyle name="Fijo" xfId="63" xr:uid="{00000000-0005-0000-0000-00003F000000}"/>
    <cellStyle name="Financiero" xfId="64" xr:uid="{00000000-0005-0000-0000-000040000000}"/>
    <cellStyle name="Good" xfId="65" xr:uid="{00000000-0005-0000-0000-000041000000}"/>
    <cellStyle name="Heading 1" xfId="66" xr:uid="{00000000-0005-0000-0000-000042000000}"/>
    <cellStyle name="Heading 2" xfId="67" xr:uid="{00000000-0005-0000-0000-000043000000}"/>
    <cellStyle name="Heading 3" xfId="68" xr:uid="{00000000-0005-0000-0000-000044000000}"/>
    <cellStyle name="Heading 4" xfId="69" xr:uid="{00000000-0005-0000-0000-000045000000}"/>
    <cellStyle name="Incorrecto" xfId="70" xr:uid="{00000000-0005-0000-0000-000046000000}"/>
    <cellStyle name="Input" xfId="71" xr:uid="{00000000-0005-0000-0000-000047000000}"/>
    <cellStyle name="Linked Cell" xfId="72" xr:uid="{00000000-0005-0000-0000-000048000000}"/>
    <cellStyle name="Millares 2" xfId="73" xr:uid="{00000000-0005-0000-0000-000049000000}"/>
    <cellStyle name="Monetario" xfId="74" xr:uid="{00000000-0005-0000-0000-00004A000000}"/>
    <cellStyle name="Neutro" xfId="75" builtinId="28" customBuiltin="1"/>
    <cellStyle name="Normal" xfId="0" builtinId="0"/>
    <cellStyle name="Normal 2" xfId="76" xr:uid="{00000000-0005-0000-0000-00004D000000}"/>
    <cellStyle name="Normal 2 3" xfId="77" xr:uid="{00000000-0005-0000-0000-00004E000000}"/>
    <cellStyle name="Normal 2_Memoria Calculo+Cantidades - Alcantarillado Condominial SanJuan_Set.2012" xfId="78" xr:uid="{00000000-0005-0000-0000-00004F000000}"/>
    <cellStyle name="Normal 3" xfId="115" xr:uid="{00000000-0005-0000-0000-000050000000}"/>
    <cellStyle name="Normal 3 2" xfId="116" xr:uid="{00000000-0005-0000-0000-000051000000}"/>
    <cellStyle name="Normal 4" xfId="117" xr:uid="{00000000-0005-0000-0000-000052000000}"/>
    <cellStyle name="Normal 6" xfId="79" xr:uid="{00000000-0005-0000-0000-000053000000}"/>
    <cellStyle name="Normal_RedeBasica_CT-C1b" xfId="80" xr:uid="{00000000-0005-0000-0000-000054000000}"/>
    <cellStyle name="Normal_RedeBasicaP10beta" xfId="81" xr:uid="{00000000-0005-0000-0000-000055000000}"/>
    <cellStyle name="Normal_RedeBasicaP10beta_Memoria Calculo+Cantidades - Alcantarillado Condominial SanJuan_Set.2012" xfId="82" xr:uid="{00000000-0005-0000-0000-000056000000}"/>
    <cellStyle name="Nota" xfId="83" builtinId="10" customBuiltin="1"/>
    <cellStyle name="Nota 2" xfId="113" xr:uid="{00000000-0005-0000-0000-000058000000}"/>
    <cellStyle name="Note" xfId="84" xr:uid="{00000000-0005-0000-0000-000059000000}"/>
    <cellStyle name="Output" xfId="85" xr:uid="{00000000-0005-0000-0000-00005A000000}"/>
    <cellStyle name="Porcentagem" xfId="86" builtinId="5"/>
    <cellStyle name="Porcentagem 2" xfId="87" xr:uid="{00000000-0005-0000-0000-00005C000000}"/>
    <cellStyle name="Porcentagem_Memoria Calculo+Cantidades - Alcantarillado Condominial SanJuan_Set.2012" xfId="88" xr:uid="{00000000-0005-0000-0000-00005D000000}"/>
    <cellStyle name="Porcentual 2 2" xfId="89" xr:uid="{00000000-0005-0000-0000-00005E000000}"/>
    <cellStyle name="Porcentual 3" xfId="90" xr:uid="{00000000-0005-0000-0000-00005F000000}"/>
    <cellStyle name="Saída" xfId="91" builtinId="21" customBuiltin="1"/>
    <cellStyle name="Sem título1" xfId="92" xr:uid="{00000000-0005-0000-0000-000061000000}"/>
    <cellStyle name="Sem título2" xfId="93" xr:uid="{00000000-0005-0000-0000-000062000000}"/>
    <cellStyle name="Sem título3" xfId="94" xr:uid="{00000000-0005-0000-0000-000063000000}"/>
    <cellStyle name="Sem título4" xfId="95" xr:uid="{00000000-0005-0000-0000-000064000000}"/>
    <cellStyle name="Sem título5" xfId="96" xr:uid="{00000000-0005-0000-0000-000065000000}"/>
    <cellStyle name="Sem título6" xfId="97" xr:uid="{00000000-0005-0000-0000-000066000000}"/>
    <cellStyle name="Separador de milhares 2" xfId="114" xr:uid="{00000000-0005-0000-0000-000067000000}"/>
    <cellStyle name="Separador de milhares_RedeBasica_CT-C1b" xfId="98" xr:uid="{00000000-0005-0000-0000-000068000000}"/>
    <cellStyle name="Separador de milhares_RedeBasicaP10beta" xfId="99" xr:uid="{00000000-0005-0000-0000-000069000000}"/>
    <cellStyle name="Texto de advertencia" xfId="100" xr:uid="{00000000-0005-0000-0000-00006A000000}"/>
    <cellStyle name="Texto explicativo" xfId="101" xr:uid="{00000000-0005-0000-0000-00006B000000}"/>
    <cellStyle name="Title" xfId="102" xr:uid="{00000000-0005-0000-0000-00006C000000}"/>
    <cellStyle name="Título" xfId="103" builtinId="15" customBuiltin="1"/>
    <cellStyle name="Título 1" xfId="104" builtinId="16" customBuiltin="1"/>
    <cellStyle name="Título 2" xfId="105" builtinId="17" customBuiltin="1"/>
    <cellStyle name="Título 3" xfId="106" builtinId="18" customBuiltin="1"/>
    <cellStyle name="Título 5" xfId="108" xr:uid="{00000000-0005-0000-0000-000071000000}"/>
    <cellStyle name="Total" xfId="109" builtinId="25" customBuiltin="1"/>
    <cellStyle name="Vírgula" xfId="110" builtinId="3"/>
    <cellStyle name="Vírgula 2" xfId="111" xr:uid="{00000000-0005-0000-0000-000074000000}"/>
    <cellStyle name="Warning Text" xfId="112" xr:uid="{00000000-0005-0000-0000-000075000000}"/>
  </cellStyles>
  <dxfs count="177"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none">
          <fgColor indexed="64"/>
          <bgColor indexed="65"/>
        </patternFill>
      </fill>
    </dxf>
    <dxf>
      <font>
        <b val="0"/>
        <condense val="0"/>
        <extend val="0"/>
        <color indexed="9"/>
      </font>
      <fill>
        <patternFill patternType="solid">
          <fgColor indexed="29"/>
          <bgColor indexed="45"/>
        </patternFill>
      </fill>
    </dxf>
    <dxf>
      <fill>
        <patternFill patternType="solid">
          <fgColor indexed="29"/>
          <bgColor indexed="45"/>
        </patternFill>
      </fill>
    </dxf>
    <dxf>
      <font>
        <b val="0"/>
        <condense val="0"/>
        <extend val="0"/>
        <color indexed="9"/>
      </font>
      <fill>
        <patternFill patternType="solid">
          <fgColor indexed="29"/>
          <bgColor indexed="45"/>
        </patternFill>
      </fill>
    </dxf>
    <dxf>
      <font>
        <condense val="0"/>
        <extend val="0"/>
        <color auto="1"/>
      </font>
      <fill>
        <patternFill>
          <bgColor indexed="45"/>
        </patternFill>
      </fill>
    </dxf>
    <dxf>
      <fill>
        <patternFill patternType="solid">
          <fgColor indexed="29"/>
          <bgColor indexed="45"/>
        </patternFill>
      </fill>
    </dxf>
    <dxf>
      <fill>
        <patternFill>
          <bgColor indexed="47"/>
        </patternFill>
      </fill>
    </dxf>
    <dxf>
      <font>
        <b/>
        <i val="0"/>
        <color rgb="FFFF0000"/>
      </font>
    </dxf>
    <dxf>
      <fill>
        <patternFill>
          <bgColor theme="9" tint="0.39994506668294322"/>
        </patternFill>
      </fill>
    </dxf>
    <dxf>
      <font>
        <color theme="0"/>
      </font>
    </dxf>
    <dxf>
      <fill>
        <patternFill>
          <bgColor indexed="19"/>
        </patternFill>
      </fill>
    </dxf>
    <dxf>
      <font>
        <b val="0"/>
        <i val="0"/>
        <condense val="0"/>
        <extend val="0"/>
      </font>
      <fill>
        <patternFill patternType="solid">
          <fgColor indexed="29"/>
          <bgColor indexed="19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ont>
        <b val="0"/>
        <i val="0"/>
        <condense val="0"/>
        <extend val="0"/>
      </font>
      <fill>
        <patternFill patternType="solid">
          <fgColor indexed="29"/>
          <bgColor indexed="19"/>
        </patternFill>
      </fill>
    </dxf>
    <dxf>
      <fill>
        <patternFill>
          <bgColor rgb="FFFF9966"/>
        </patternFill>
      </fill>
    </dxf>
    <dxf>
      <fill>
        <patternFill>
          <bgColor theme="9" tint="0.39994506668294322"/>
        </patternFill>
      </fill>
    </dxf>
    <dxf>
      <font>
        <color theme="0"/>
      </font>
    </dxf>
    <dxf>
      <font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condense val="0"/>
        <extend val="0"/>
        <color indexed="9"/>
      </font>
    </dxf>
    <dxf>
      <fill>
        <patternFill>
          <bgColor theme="9" tint="0.39994506668294322"/>
        </patternFill>
      </fill>
    </dxf>
    <dxf>
      <font>
        <condense val="0"/>
        <extend val="0"/>
        <color indexed="9"/>
      </font>
      <fill>
        <patternFill>
          <bgColor indexed="35"/>
        </patternFill>
      </fill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45"/>
      </font>
      <fill>
        <patternFill patternType="solid">
          <fgColor indexed="29"/>
          <bgColor indexed="45"/>
        </patternFill>
      </fill>
    </dxf>
    <dxf>
      <font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auto="1"/>
      </font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19"/>
        </patternFill>
      </fill>
    </dxf>
    <dxf>
      <font>
        <b val="0"/>
        <condense val="0"/>
        <extend val="0"/>
        <color indexed="45"/>
      </font>
      <fill>
        <patternFill patternType="solid">
          <fgColor indexed="29"/>
          <bgColor indexed="45"/>
        </patternFill>
      </fill>
    </dxf>
    <dxf>
      <font>
        <condense val="0"/>
        <extend val="0"/>
        <color indexed="9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 val="0"/>
        <condense val="0"/>
        <extend val="0"/>
        <color indexed="9"/>
      </font>
      <fill>
        <patternFill patternType="solid">
          <fgColor indexed="29"/>
          <bgColor indexed="45"/>
        </patternFill>
      </fill>
    </dxf>
    <dxf>
      <fill>
        <patternFill patternType="solid">
          <fgColor indexed="29"/>
          <bgColor indexed="45"/>
        </patternFill>
      </fill>
    </dxf>
    <dxf>
      <font>
        <b val="0"/>
        <condense val="0"/>
        <extend val="0"/>
        <color indexed="9"/>
      </font>
      <fill>
        <patternFill patternType="solid">
          <fgColor indexed="29"/>
          <bgColor indexed="45"/>
        </patternFill>
      </fill>
    </dxf>
    <dxf>
      <font>
        <condense val="0"/>
        <extend val="0"/>
        <color auto="1"/>
      </font>
      <fill>
        <patternFill>
          <bgColor indexed="45"/>
        </patternFill>
      </fill>
    </dxf>
    <dxf>
      <fill>
        <patternFill patternType="solid">
          <fgColor indexed="29"/>
          <bgColor indexed="45"/>
        </patternFill>
      </fill>
    </dxf>
    <dxf>
      <fill>
        <patternFill>
          <bgColor indexed="47"/>
        </patternFill>
      </fill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/>
        <i val="0"/>
        <color rgb="FFFF0000"/>
      </font>
    </dxf>
    <dxf>
      <fill>
        <patternFill>
          <bgColor theme="9" tint="0.39994506668294322"/>
        </patternFill>
      </fill>
    </dxf>
    <dxf>
      <font>
        <color theme="0"/>
      </font>
    </dxf>
    <dxf>
      <fill>
        <patternFill>
          <bgColor indexed="19"/>
        </patternFill>
      </fill>
    </dxf>
    <dxf>
      <font>
        <b val="0"/>
        <i val="0"/>
        <condense val="0"/>
        <extend val="0"/>
      </font>
      <fill>
        <patternFill patternType="solid">
          <fgColor indexed="29"/>
          <bgColor indexed="19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ont>
        <b val="0"/>
        <i val="0"/>
        <condense val="0"/>
        <extend val="0"/>
      </font>
      <fill>
        <patternFill patternType="solid">
          <fgColor indexed="29"/>
          <bgColor indexed="19"/>
        </patternFill>
      </fill>
    </dxf>
    <dxf>
      <fill>
        <patternFill>
          <bgColor rgb="FFFF9966"/>
        </patternFill>
      </fill>
    </dxf>
    <dxf>
      <fill>
        <patternFill>
          <bgColor theme="9" tint="0.39994506668294322"/>
        </patternFill>
      </fill>
    </dxf>
    <dxf>
      <font>
        <color theme="0"/>
      </font>
    </dxf>
    <dxf>
      <font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condense val="0"/>
        <extend val="0"/>
        <color indexed="9"/>
      </font>
    </dxf>
    <dxf>
      <fill>
        <patternFill>
          <bgColor theme="9" tint="0.39994506668294322"/>
        </patternFill>
      </fill>
    </dxf>
    <dxf>
      <font>
        <condense val="0"/>
        <extend val="0"/>
        <color indexed="9"/>
      </font>
      <fill>
        <patternFill>
          <bgColor indexed="35"/>
        </patternFill>
      </fill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45"/>
      </font>
      <fill>
        <patternFill patternType="solid">
          <fgColor indexed="29"/>
          <bgColor indexed="45"/>
        </patternFill>
      </fill>
    </dxf>
    <dxf>
      <font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auto="1"/>
      </font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19"/>
        </patternFill>
      </fill>
    </dxf>
    <dxf>
      <font>
        <b val="0"/>
        <condense val="0"/>
        <extend val="0"/>
        <color indexed="45"/>
      </font>
      <fill>
        <patternFill patternType="solid">
          <fgColor indexed="29"/>
          <bgColor indexed="45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8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none">
          <fgColor indexed="64"/>
          <bgColor indexed="65"/>
        </patternFill>
      </fill>
    </dxf>
    <dxf>
      <font>
        <b val="0"/>
        <condense val="0"/>
        <extend val="0"/>
        <color indexed="9"/>
      </font>
    </dxf>
    <dxf>
      <font>
        <color theme="0"/>
      </font>
    </dxf>
    <dxf>
      <font>
        <color theme="0"/>
      </font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color theme="0"/>
      </font>
    </dxf>
    <dxf>
      <font>
        <color theme="0"/>
      </font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F8FFFF"/>
      <rgbColor rgb="00800000"/>
      <rgbColor rgb="00008000"/>
      <rgbColor rgb="00000080"/>
      <rgbColor rgb="00FF9966"/>
      <rgbColor rgb="00800080"/>
      <rgbColor rgb="00008080"/>
      <rgbColor rgb="00C0C0C0"/>
      <rgbColor rgb="00808080"/>
      <rgbColor rgb="00CCD8FF"/>
      <rgbColor rgb="00FFE5BF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D320"/>
      <rgbColor rgb="00FFF8DF"/>
      <rgbColor rgb="00800080"/>
      <rgbColor rgb="00800000"/>
      <rgbColor rgb="00008080"/>
      <rgbColor rgb="000000FF"/>
      <rgbColor rgb="00FFDFFF"/>
      <rgbColor rgb="00E5F2FF"/>
      <rgbColor rgb="00CCFFCC"/>
      <rgbColor rgb="00FFFF99"/>
      <rgbColor rgb="0099CCFF"/>
      <rgbColor rgb="00FF99CC"/>
      <rgbColor rgb="00CC99FF"/>
      <rgbColor rgb="00FFCC99"/>
      <rgbColor rgb="00FFE5F2"/>
      <rgbColor rgb="0033CCCC"/>
      <rgbColor rgb="0099CC00"/>
      <rgbColor rgb="00FFCC00"/>
      <rgbColor rgb="00FF9900"/>
      <rgbColor rgb="00FF6600"/>
      <rgbColor rgb="00E4E4E4"/>
      <rgbColor rgb="00969696"/>
      <rgbColor rgb="00003366"/>
      <rgbColor rgb="00339966"/>
      <rgbColor rgb="00003300"/>
      <rgbColor rgb="00333300"/>
      <rgbColor rgb="00993300"/>
      <rgbColor rgb="00FFF2BF"/>
      <rgbColor rgb="00333399"/>
      <rgbColor rgb="00333333"/>
    </indexedColors>
    <mruColors>
      <color rgb="FFFFFFD5"/>
      <color rgb="FFFFFFCC"/>
      <color rgb="FFFFFFE1"/>
      <color rgb="FFFFFFB9"/>
      <color rgb="FFFFFFD9"/>
      <color rgb="FFFFFFEB"/>
      <color rgb="FFFFFFCD"/>
      <color rgb="FF669900"/>
      <color rgb="FFFF9966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19050</xdr:rowOff>
        </xdr:from>
        <xdr:to>
          <xdr:col>2</xdr:col>
          <xdr:colOff>809625</xdr:colOff>
          <xdr:row>3</xdr:row>
          <xdr:rowOff>314325</xdr:rowOff>
        </xdr:to>
        <xdr:sp macro="" textlink="">
          <xdr:nvSpPr>
            <xdr:cNvPr id="23556" name="Button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0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</xdr:row>
          <xdr:rowOff>161925</xdr:rowOff>
        </xdr:from>
        <xdr:to>
          <xdr:col>2</xdr:col>
          <xdr:colOff>809625</xdr:colOff>
          <xdr:row>6</xdr:row>
          <xdr:rowOff>38100</xdr:rowOff>
        </xdr:to>
        <xdr:sp macro="" textlink="">
          <xdr:nvSpPr>
            <xdr:cNvPr id="23559" name="Button 7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0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Importar datos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2419350</xdr:colOff>
          <xdr:row>12</xdr:row>
          <xdr:rowOff>95250</xdr:rowOff>
        </xdr:from>
        <xdr:to>
          <xdr:col>2</xdr:col>
          <xdr:colOff>800100</xdr:colOff>
          <xdr:row>14</xdr:row>
          <xdr:rowOff>28575</xdr:rowOff>
        </xdr:to>
        <xdr:sp macro="" textlink="">
          <xdr:nvSpPr>
            <xdr:cNvPr id="23563" name="Button 11" descr="Exportar Tramos " hidden="1">
              <a:extLst>
                <a:ext uri="{63B3BB69-23CF-44E3-9099-C40C66FF867C}">
                  <a14:compatExt spid="_x0000_s23563"/>
                </a:ext>
                <a:ext uri="{FF2B5EF4-FFF2-40B4-BE49-F238E27FC236}">
                  <a16:creationId xmlns:a16="http://schemas.microsoft.com/office/drawing/2014/main" id="{00000000-0008-0000-0000-00000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Exportar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Tramos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19050</xdr:rowOff>
        </xdr:from>
        <xdr:to>
          <xdr:col>2</xdr:col>
          <xdr:colOff>809625</xdr:colOff>
          <xdr:row>8</xdr:row>
          <xdr:rowOff>57150</xdr:rowOff>
        </xdr:to>
        <xdr:sp macro="" textlink="">
          <xdr:nvSpPr>
            <xdr:cNvPr id="23564" name="Button 12" hidden="1">
              <a:extLst>
                <a:ext uri="{63B3BB69-23CF-44E3-9099-C40C66FF867C}">
                  <a14:compatExt spid="_x0000_s23564"/>
                </a:ext>
                <a:ext uri="{FF2B5EF4-FFF2-40B4-BE49-F238E27FC236}">
                  <a16:creationId xmlns:a16="http://schemas.microsoft.com/office/drawing/2014/main" id="{00000000-0008-0000-0000-00000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Parametros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2419350</xdr:colOff>
          <xdr:row>11</xdr:row>
          <xdr:rowOff>9525</xdr:rowOff>
        </xdr:from>
        <xdr:to>
          <xdr:col>2</xdr:col>
          <xdr:colOff>800100</xdr:colOff>
          <xdr:row>11</xdr:row>
          <xdr:rowOff>371475</xdr:rowOff>
        </xdr:to>
        <xdr:sp macro="" textlink="">
          <xdr:nvSpPr>
            <xdr:cNvPr id="23565" name="Button 13" descr="Aba RB" hidden="1">
              <a:extLst>
                <a:ext uri="{63B3BB69-23CF-44E3-9099-C40C66FF867C}">
                  <a14:compatExt spid="_x0000_s23565"/>
                </a:ext>
                <a:ext uri="{FF2B5EF4-FFF2-40B4-BE49-F238E27FC236}">
                  <a16:creationId xmlns:a16="http://schemas.microsoft.com/office/drawing/2014/main" id="{00000000-0008-0000-0000-00000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 RedeBasica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2343150</xdr:colOff>
          <xdr:row>26</xdr:row>
          <xdr:rowOff>104775</xdr:rowOff>
        </xdr:from>
        <xdr:to>
          <xdr:col>2</xdr:col>
          <xdr:colOff>781050</xdr:colOff>
          <xdr:row>28</xdr:row>
          <xdr:rowOff>142875</xdr:rowOff>
        </xdr:to>
        <xdr:sp macro="" textlink="">
          <xdr:nvSpPr>
            <xdr:cNvPr id="23566" name="Button 14" hidden="1">
              <a:extLst>
                <a:ext uri="{63B3BB69-23CF-44E3-9099-C40C66FF867C}">
                  <a14:compatExt spid="_x0000_s23566"/>
                </a:ext>
                <a:ext uri="{FF2B5EF4-FFF2-40B4-BE49-F238E27FC236}">
                  <a16:creationId xmlns:a16="http://schemas.microsoft.com/office/drawing/2014/main" id="{00000000-0008-0000-0000-00000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 ExportTramos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2352675</xdr:colOff>
          <xdr:row>23</xdr:row>
          <xdr:rowOff>152400</xdr:rowOff>
        </xdr:from>
        <xdr:to>
          <xdr:col>2</xdr:col>
          <xdr:colOff>790575</xdr:colOff>
          <xdr:row>26</xdr:row>
          <xdr:rowOff>28575</xdr:rowOff>
        </xdr:to>
        <xdr:sp macro="" textlink="">
          <xdr:nvSpPr>
            <xdr:cNvPr id="23567" name="Button 15" descr="Aba ImportQGIS" hidden="1">
              <a:extLst>
                <a:ext uri="{63B3BB69-23CF-44E3-9099-C40C66FF867C}">
                  <a14:compatExt spid="_x0000_s23567"/>
                </a:ext>
                <a:ext uri="{FF2B5EF4-FFF2-40B4-BE49-F238E27FC236}">
                  <a16:creationId xmlns:a16="http://schemas.microsoft.com/office/drawing/2014/main" id="{00000000-0008-0000-0000-00000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ImportQGIS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2333625</xdr:colOff>
          <xdr:row>29</xdr:row>
          <xdr:rowOff>66675</xdr:rowOff>
        </xdr:from>
        <xdr:to>
          <xdr:col>2</xdr:col>
          <xdr:colOff>781050</xdr:colOff>
          <xdr:row>31</xdr:row>
          <xdr:rowOff>104775</xdr:rowOff>
        </xdr:to>
        <xdr:sp macro="" textlink="">
          <xdr:nvSpPr>
            <xdr:cNvPr id="23568" name="Button 16" descr="Aba ExportNodos" hidden="1">
              <a:extLst>
                <a:ext uri="{63B3BB69-23CF-44E3-9099-C40C66FF867C}">
                  <a14:compatExt spid="_x0000_s23568"/>
                </a:ext>
                <a:ext uri="{FF2B5EF4-FFF2-40B4-BE49-F238E27FC236}">
                  <a16:creationId xmlns:a16="http://schemas.microsoft.com/office/drawing/2014/main" id="{00000000-0008-0000-0000-00001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 ExportNodos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2409825</xdr:colOff>
          <xdr:row>9</xdr:row>
          <xdr:rowOff>28575</xdr:rowOff>
        </xdr:from>
        <xdr:to>
          <xdr:col>2</xdr:col>
          <xdr:colOff>790575</xdr:colOff>
          <xdr:row>10</xdr:row>
          <xdr:rowOff>0</xdr:rowOff>
        </xdr:to>
        <xdr:sp macro="" textlink="">
          <xdr:nvSpPr>
            <xdr:cNvPr id="23570" name="Button 18" descr="Carregar RedBasica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0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Cargar RB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2419350</xdr:colOff>
          <xdr:row>14</xdr:row>
          <xdr:rowOff>133350</xdr:rowOff>
        </xdr:from>
        <xdr:to>
          <xdr:col>2</xdr:col>
          <xdr:colOff>800100</xdr:colOff>
          <xdr:row>16</xdr:row>
          <xdr:rowOff>66675</xdr:rowOff>
        </xdr:to>
        <xdr:sp macro="" textlink="">
          <xdr:nvSpPr>
            <xdr:cNvPr id="23571" name="Button 19" descr="Exportar Nodos 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0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Exportar 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2419350</xdr:colOff>
          <xdr:row>17</xdr:row>
          <xdr:rowOff>85725</xdr:rowOff>
        </xdr:from>
        <xdr:to>
          <xdr:col>2</xdr:col>
          <xdr:colOff>800100</xdr:colOff>
          <xdr:row>19</xdr:row>
          <xdr:rowOff>19050</xdr:rowOff>
        </xdr:to>
        <xdr:sp macro="" textlink="">
          <xdr:nvSpPr>
            <xdr:cNvPr id="23572" name="Button 20" descr="Gerar Planilha de Impressão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0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Generar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Impresión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133350</xdr:colOff>
          <xdr:row>5</xdr:row>
          <xdr:rowOff>123825</xdr:rowOff>
        </xdr:from>
        <xdr:to>
          <xdr:col>7</xdr:col>
          <xdr:colOff>104775</xdr:colOff>
          <xdr:row>7</xdr:row>
          <xdr:rowOff>123825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2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 INICIO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123825</xdr:colOff>
          <xdr:row>8</xdr:row>
          <xdr:rowOff>95250</xdr:rowOff>
        </xdr:from>
        <xdr:to>
          <xdr:col>7</xdr:col>
          <xdr:colOff>95250</xdr:colOff>
          <xdr:row>10</xdr:row>
          <xdr:rowOff>95250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2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 RB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85725</xdr:colOff>
          <xdr:row>5</xdr:row>
          <xdr:rowOff>114300</xdr:rowOff>
        </xdr:from>
        <xdr:to>
          <xdr:col>8</xdr:col>
          <xdr:colOff>942975</xdr:colOff>
          <xdr:row>7</xdr:row>
          <xdr:rowOff>152400</xdr:rowOff>
        </xdr:to>
        <xdr:sp macro="" textlink="">
          <xdr:nvSpPr>
            <xdr:cNvPr id="12547" name="Button 259" hidden="1">
              <a:extLst>
                <a:ext uri="{63B3BB69-23CF-44E3-9099-C40C66FF867C}">
                  <a14:compatExt spid="_x0000_s12547"/>
                </a:ext>
                <a:ext uri="{FF2B5EF4-FFF2-40B4-BE49-F238E27FC236}">
                  <a16:creationId xmlns:a16="http://schemas.microsoft.com/office/drawing/2014/main" id="{00000000-0008-0000-0200-000003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Salvar Parámetros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8</xdr:row>
          <xdr:rowOff>66675</xdr:rowOff>
        </xdr:from>
        <xdr:to>
          <xdr:col>8</xdr:col>
          <xdr:colOff>952500</xdr:colOff>
          <xdr:row>10</xdr:row>
          <xdr:rowOff>85725</xdr:rowOff>
        </xdr:to>
        <xdr:sp macro="" textlink="">
          <xdr:nvSpPr>
            <xdr:cNvPr id="12550" name="Button 262" hidden="1">
              <a:extLst>
                <a:ext uri="{63B3BB69-23CF-44E3-9099-C40C66FF867C}">
                  <a14:compatExt spid="_x0000_s12550"/>
                </a:ext>
                <a:ext uri="{FF2B5EF4-FFF2-40B4-BE49-F238E27FC236}">
                  <a16:creationId xmlns:a16="http://schemas.microsoft.com/office/drawing/2014/main" id="{00000000-0008-0000-0200-000006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Recargar Parámetro</a:t>
              </a: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11</xdr:row>
          <xdr:rowOff>28575</xdr:rowOff>
        </xdr:from>
        <xdr:to>
          <xdr:col>8</xdr:col>
          <xdr:colOff>962025</xdr:colOff>
          <xdr:row>13</xdr:row>
          <xdr:rowOff>95250</xdr:rowOff>
        </xdr:to>
        <xdr:sp macro="" textlink="">
          <xdr:nvSpPr>
            <xdr:cNvPr id="12552" name="Button 264" hidden="1">
              <a:extLst>
                <a:ext uri="{63B3BB69-23CF-44E3-9099-C40C66FF867C}">
                  <a14:compatExt spid="_x0000_s12552"/>
                </a:ext>
                <a:ext uri="{FF2B5EF4-FFF2-40B4-BE49-F238E27FC236}">
                  <a16:creationId xmlns:a16="http://schemas.microsoft.com/office/drawing/2014/main" id="{00000000-0008-0000-0200-000008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Parámetros default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9</xdr:row>
          <xdr:rowOff>38100</xdr:rowOff>
        </xdr:from>
        <xdr:to>
          <xdr:col>7</xdr:col>
          <xdr:colOff>57150</xdr:colOff>
          <xdr:row>10</xdr:row>
          <xdr:rowOff>133350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3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 INÍCIO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371475</xdr:colOff>
          <xdr:row>3</xdr:row>
          <xdr:rowOff>190500</xdr:rowOff>
        </xdr:from>
        <xdr:to>
          <xdr:col>12</xdr:col>
          <xdr:colOff>190500</xdr:colOff>
          <xdr:row>5</xdr:row>
          <xdr:rowOff>66675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3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Recargar RedBasica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9</xdr:row>
          <xdr:rowOff>28575</xdr:rowOff>
        </xdr:from>
        <xdr:to>
          <xdr:col>9</xdr:col>
          <xdr:colOff>47625</xdr:colOff>
          <xdr:row>10</xdr:row>
          <xdr:rowOff>114300</xdr:rowOff>
        </xdr:to>
        <xdr:sp macro="" textlink="">
          <xdr:nvSpPr>
            <xdr:cNvPr id="13326" name="Button 14" hidden="1">
              <a:extLst>
                <a:ext uri="{63B3BB69-23CF-44E3-9099-C40C66FF867C}">
                  <a14:compatExt spid="_x0000_s13326"/>
                </a:ext>
                <a:ext uri="{FF2B5EF4-FFF2-40B4-BE49-F238E27FC236}">
                  <a16:creationId xmlns:a16="http://schemas.microsoft.com/office/drawing/2014/main" id="{00000000-0008-0000-0300-00000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 Parâmetros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8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9</xdr:row>
          <xdr:rowOff>28575</xdr:rowOff>
        </xdr:from>
        <xdr:to>
          <xdr:col>8</xdr:col>
          <xdr:colOff>57150</xdr:colOff>
          <xdr:row>10</xdr:row>
          <xdr:rowOff>123825</xdr:rowOff>
        </xdr:to>
        <xdr:sp macro="" textlink="">
          <xdr:nvSpPr>
            <xdr:cNvPr id="13329" name="Button 17" descr="Aba ImportQGIS" hidden="1">
              <a:extLst>
                <a:ext uri="{63B3BB69-23CF-44E3-9099-C40C66FF867C}">
                  <a14:compatExt spid="_x0000_s13329"/>
                </a:ext>
                <a:ext uri="{FF2B5EF4-FFF2-40B4-BE49-F238E27FC236}">
                  <a16:creationId xmlns:a16="http://schemas.microsoft.com/office/drawing/2014/main" id="{00000000-0008-0000-0300-00001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 ImportQGIS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200025</xdr:colOff>
          <xdr:row>6</xdr:row>
          <xdr:rowOff>95250</xdr:rowOff>
        </xdr:from>
        <xdr:to>
          <xdr:col>9</xdr:col>
          <xdr:colOff>1057275</xdr:colOff>
          <xdr:row>8</xdr:row>
          <xdr:rowOff>66675</xdr:rowOff>
        </xdr:to>
        <xdr:sp macro="" textlink="">
          <xdr:nvSpPr>
            <xdr:cNvPr id="13331" name="Button 19" hidden="1">
              <a:extLst>
                <a:ext uri="{63B3BB69-23CF-44E3-9099-C40C66FF867C}">
                  <a14:compatExt spid="_x0000_s13331"/>
                </a:ext>
                <a:ext uri="{FF2B5EF4-FFF2-40B4-BE49-F238E27FC236}">
                  <a16:creationId xmlns:a16="http://schemas.microsoft.com/office/drawing/2014/main" id="{00000000-0008-0000-0300-00001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 ExportTramos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8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9</xdr:row>
          <xdr:rowOff>9525</xdr:rowOff>
        </xdr:from>
        <xdr:to>
          <xdr:col>9</xdr:col>
          <xdr:colOff>1066800</xdr:colOff>
          <xdr:row>10</xdr:row>
          <xdr:rowOff>104775</xdr:rowOff>
        </xdr:to>
        <xdr:sp macro="" textlink="">
          <xdr:nvSpPr>
            <xdr:cNvPr id="13332" name="Button 20" descr="Aba ExportNodos" hidden="1">
              <a:extLst>
                <a:ext uri="{63B3BB69-23CF-44E3-9099-C40C66FF867C}">
                  <a14:compatExt spid="_x0000_s13332"/>
                </a:ext>
                <a:ext uri="{FF2B5EF4-FFF2-40B4-BE49-F238E27FC236}">
                  <a16:creationId xmlns:a16="http://schemas.microsoft.com/office/drawing/2014/main" id="{00000000-0008-0000-0300-00001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 ExportNodos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8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352425</xdr:colOff>
          <xdr:row>1</xdr:row>
          <xdr:rowOff>104775</xdr:rowOff>
        </xdr:from>
        <xdr:to>
          <xdr:col>13</xdr:col>
          <xdr:colOff>704850</xdr:colOff>
          <xdr:row>3</xdr:row>
          <xdr:rowOff>104775</xdr:rowOff>
        </xdr:to>
        <xdr:sp macro="" textlink="">
          <xdr:nvSpPr>
            <xdr:cNvPr id="13334" name="Button 22" descr="Exportar Tramos " hidden="1">
              <a:extLst>
                <a:ext uri="{63B3BB69-23CF-44E3-9099-C40C66FF867C}">
                  <a14:compatExt spid="_x0000_s13334"/>
                </a:ext>
                <a:ext uri="{FF2B5EF4-FFF2-40B4-BE49-F238E27FC236}">
                  <a16:creationId xmlns:a16="http://schemas.microsoft.com/office/drawing/2014/main" id="{00000000-0008-0000-0300-00001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Exportar Tramos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333375</xdr:colOff>
          <xdr:row>3</xdr:row>
          <xdr:rowOff>200025</xdr:rowOff>
        </xdr:from>
        <xdr:to>
          <xdr:col>13</xdr:col>
          <xdr:colOff>704850</xdr:colOff>
          <xdr:row>5</xdr:row>
          <xdr:rowOff>95250</xdr:rowOff>
        </xdr:to>
        <xdr:sp macro="" textlink="">
          <xdr:nvSpPr>
            <xdr:cNvPr id="13336" name="Button 24" descr="Exportar Nodos " hidden="1">
              <a:extLst>
                <a:ext uri="{63B3BB69-23CF-44E3-9099-C40C66FF867C}">
                  <a14:compatExt spid="_x0000_s13336"/>
                </a:ext>
                <a:ext uri="{FF2B5EF4-FFF2-40B4-BE49-F238E27FC236}">
                  <a16:creationId xmlns:a16="http://schemas.microsoft.com/office/drawing/2014/main" id="{00000000-0008-0000-0300-00001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Exportar Nodos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285750</xdr:colOff>
          <xdr:row>6</xdr:row>
          <xdr:rowOff>85725</xdr:rowOff>
        </xdr:from>
        <xdr:to>
          <xdr:col>13</xdr:col>
          <xdr:colOff>676275</xdr:colOff>
          <xdr:row>8</xdr:row>
          <xdr:rowOff>114300</xdr:rowOff>
        </xdr:to>
        <xdr:sp macro="" textlink="">
          <xdr:nvSpPr>
            <xdr:cNvPr id="13338" name="Button 26" descr="Gerar Planilha de Impressão" hidden="1">
              <a:extLst>
                <a:ext uri="{63B3BB69-23CF-44E3-9099-C40C66FF867C}">
                  <a14:compatExt spid="_x0000_s13338"/>
                </a:ext>
                <a:ext uri="{FF2B5EF4-FFF2-40B4-BE49-F238E27FC236}">
                  <a16:creationId xmlns:a16="http://schemas.microsoft.com/office/drawing/2014/main" id="{00000000-0008-0000-0300-00001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Generar Hoja de Impressión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361950</xdr:colOff>
          <xdr:row>5</xdr:row>
          <xdr:rowOff>171450</xdr:rowOff>
        </xdr:from>
        <xdr:to>
          <xdr:col>18</xdr:col>
          <xdr:colOff>28575</xdr:colOff>
          <xdr:row>8</xdr:row>
          <xdr:rowOff>123825</xdr:rowOff>
        </xdr:to>
        <xdr:sp macro="" textlink="">
          <xdr:nvSpPr>
            <xdr:cNvPr id="13339" name="Button 27" hidden="1">
              <a:extLst>
                <a:ext uri="{63B3BB69-23CF-44E3-9099-C40C66FF867C}">
                  <a14:compatExt spid="_x0000_s13339"/>
                </a:ext>
                <a:ext uri="{FF2B5EF4-FFF2-40B4-BE49-F238E27FC236}">
                  <a16:creationId xmlns:a16="http://schemas.microsoft.com/office/drawing/2014/main" id="{00000000-0008-0000-0300-00001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Ayuste 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352425</xdr:colOff>
          <xdr:row>1</xdr:row>
          <xdr:rowOff>114300</xdr:rowOff>
        </xdr:from>
        <xdr:to>
          <xdr:col>12</xdr:col>
          <xdr:colOff>180975</xdr:colOff>
          <xdr:row>3</xdr:row>
          <xdr:rowOff>123825</xdr:rowOff>
        </xdr:to>
        <xdr:sp macro="" textlink="">
          <xdr:nvSpPr>
            <xdr:cNvPr id="13340" name="Button 28" hidden="1">
              <a:extLst>
                <a:ext uri="{63B3BB69-23CF-44E3-9099-C40C66FF867C}">
                  <a14:compatExt spid="_x0000_s13340"/>
                </a:ext>
                <a:ext uri="{FF2B5EF4-FFF2-40B4-BE49-F238E27FC236}">
                  <a16:creationId xmlns:a16="http://schemas.microsoft.com/office/drawing/2014/main" id="{00000000-0008-0000-0300-00001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Importar Datos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361950</xdr:colOff>
          <xdr:row>8</xdr:row>
          <xdr:rowOff>171450</xdr:rowOff>
        </xdr:from>
        <xdr:to>
          <xdr:col>18</xdr:col>
          <xdr:colOff>9525</xdr:colOff>
          <xdr:row>10</xdr:row>
          <xdr:rowOff>76200</xdr:rowOff>
        </xdr:to>
        <xdr:sp macro="" textlink="">
          <xdr:nvSpPr>
            <xdr:cNvPr id="13341" name="Button 29" hidden="1">
              <a:extLst>
                <a:ext uri="{63B3BB69-23CF-44E3-9099-C40C66FF867C}">
                  <a14:compatExt spid="_x0000_s13341"/>
                </a:ext>
                <a:ext uri="{FF2B5EF4-FFF2-40B4-BE49-F238E27FC236}">
                  <a16:creationId xmlns:a16="http://schemas.microsoft.com/office/drawing/2014/main" id="{00000000-0008-0000-0300-00001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Limpiar ayuste 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352425</xdr:colOff>
          <xdr:row>3</xdr:row>
          <xdr:rowOff>76200</xdr:rowOff>
        </xdr:from>
        <xdr:to>
          <xdr:col>18</xdr:col>
          <xdr:colOff>28575</xdr:colOff>
          <xdr:row>4</xdr:row>
          <xdr:rowOff>200025</xdr:rowOff>
        </xdr:to>
        <xdr:sp macro="" textlink="">
          <xdr:nvSpPr>
            <xdr:cNvPr id="13345" name="Button 33" hidden="1">
              <a:extLst>
                <a:ext uri="{63B3BB69-23CF-44E3-9099-C40C66FF867C}">
                  <a14:compatExt spid="_x0000_s13345"/>
                </a:ext>
                <a:ext uri="{FF2B5EF4-FFF2-40B4-BE49-F238E27FC236}">
                  <a16:creationId xmlns:a16="http://schemas.microsoft.com/office/drawing/2014/main" id="{00000000-0008-0000-0300-00002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Min Desnivel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352425</xdr:colOff>
          <xdr:row>1</xdr:row>
          <xdr:rowOff>57150</xdr:rowOff>
        </xdr:from>
        <xdr:to>
          <xdr:col>18</xdr:col>
          <xdr:colOff>28575</xdr:colOff>
          <xdr:row>3</xdr:row>
          <xdr:rowOff>47625</xdr:rowOff>
        </xdr:to>
        <xdr:sp macro="" textlink="">
          <xdr:nvSpPr>
            <xdr:cNvPr id="13346" name="Button 34" hidden="1">
              <a:extLst>
                <a:ext uri="{63B3BB69-23CF-44E3-9099-C40C66FF867C}">
                  <a14:compatExt spid="_x0000_s13346"/>
                </a:ext>
                <a:ext uri="{FF2B5EF4-FFF2-40B4-BE49-F238E27FC236}">
                  <a16:creationId xmlns:a16="http://schemas.microsoft.com/office/drawing/2014/main" id="{00000000-0008-0000-0300-00002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Min Escav.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38100</xdr:colOff>
          <xdr:row>4</xdr:row>
          <xdr:rowOff>228600</xdr:rowOff>
        </xdr:from>
        <xdr:to>
          <xdr:col>36</xdr:col>
          <xdr:colOff>9525</xdr:colOff>
          <xdr:row>7</xdr:row>
          <xdr:rowOff>28575</xdr:rowOff>
        </xdr:to>
        <xdr:sp macro="" textlink="">
          <xdr:nvSpPr>
            <xdr:cNvPr id="13347" name="Button 35" hidden="1">
              <a:extLst>
                <a:ext uri="{63B3BB69-23CF-44E3-9099-C40C66FF867C}">
                  <a14:compatExt spid="_x0000_s13347"/>
                </a:ext>
                <a:ext uri="{FF2B5EF4-FFF2-40B4-BE49-F238E27FC236}">
                  <a16:creationId xmlns:a16="http://schemas.microsoft.com/office/drawing/2014/main" id="{00000000-0008-0000-0300-00002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Admitir DN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sugerido (min)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19050</xdr:colOff>
          <xdr:row>7</xdr:row>
          <xdr:rowOff>104775</xdr:rowOff>
        </xdr:from>
        <xdr:to>
          <xdr:col>35</xdr:col>
          <xdr:colOff>857250</xdr:colOff>
          <xdr:row>9</xdr:row>
          <xdr:rowOff>28575</xdr:rowOff>
        </xdr:to>
        <xdr:sp macro="" textlink="">
          <xdr:nvSpPr>
            <xdr:cNvPr id="13348" name="Button 36" hidden="1">
              <a:extLst>
                <a:ext uri="{63B3BB69-23CF-44E3-9099-C40C66FF867C}">
                  <a14:compatExt spid="_x0000_s13348"/>
                </a:ext>
                <a:ext uri="{FF2B5EF4-FFF2-40B4-BE49-F238E27FC236}">
                  <a16:creationId xmlns:a16="http://schemas.microsoft.com/office/drawing/2014/main" id="{00000000-0008-0000-0300-00002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Resetear DN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38100</xdr:colOff>
          <xdr:row>2</xdr:row>
          <xdr:rowOff>238125</xdr:rowOff>
        </xdr:from>
        <xdr:to>
          <xdr:col>36</xdr:col>
          <xdr:colOff>19050</xdr:colOff>
          <xdr:row>4</xdr:row>
          <xdr:rowOff>142875</xdr:rowOff>
        </xdr:to>
        <xdr:sp macro="" textlink="">
          <xdr:nvSpPr>
            <xdr:cNvPr id="13349" name="Button 37" hidden="1">
              <a:extLst>
                <a:ext uri="{63B3BB69-23CF-44E3-9099-C40C66FF867C}">
                  <a14:compatExt spid="_x0000_s13349"/>
                </a:ext>
                <a:ext uri="{FF2B5EF4-FFF2-40B4-BE49-F238E27FC236}">
                  <a16:creationId xmlns:a16="http://schemas.microsoft.com/office/drawing/2014/main" id="{00000000-0008-0000-0300-00002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Admitir DN cresciente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21</xdr:col>
      <xdr:colOff>153080</xdr:colOff>
      <xdr:row>0</xdr:row>
      <xdr:rowOff>267240</xdr:rowOff>
    </xdr:from>
    <xdr:to>
      <xdr:col>31</xdr:col>
      <xdr:colOff>357399</xdr:colOff>
      <xdr:row>10</xdr:row>
      <xdr:rowOff>126559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71486" y="267240"/>
          <a:ext cx="4359600" cy="21096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209550</xdr:colOff>
          <xdr:row>7</xdr:row>
          <xdr:rowOff>123825</xdr:rowOff>
        </xdr:from>
        <xdr:to>
          <xdr:col>6</xdr:col>
          <xdr:colOff>800100</xdr:colOff>
          <xdr:row>9</xdr:row>
          <xdr:rowOff>9525</xdr:rowOff>
        </xdr:to>
        <xdr:sp macro="" textlink="">
          <xdr:nvSpPr>
            <xdr:cNvPr id="26627" name="Button 3" descr="Limpar RB_print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4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Limipar hoja de impresión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238125</xdr:colOff>
          <xdr:row>5</xdr:row>
          <xdr:rowOff>419100</xdr:rowOff>
        </xdr:from>
        <xdr:to>
          <xdr:col>6</xdr:col>
          <xdr:colOff>809625</xdr:colOff>
          <xdr:row>7</xdr:row>
          <xdr:rowOff>57150</xdr:rowOff>
        </xdr:to>
        <xdr:sp macro="" textlink="">
          <xdr:nvSpPr>
            <xdr:cNvPr id="26628" name="Button 4" descr="Gerar Planilha de Impressão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4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Atualizar hoja de impresión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9" connectionId="23" xr16:uid="{238DA5FB-8785-40FD-857E-D3A7F6C5366A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" connectionId="21" xr16:uid="{7577B8AF-5D56-47F1-84E5-7894C6213623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" connectionId="20" xr16:uid="{91B04ADF-E3B6-4026-ADF2-677A7F71B6BD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" connectionId="18" xr16:uid="{755ACC67-F97C-48B9-B8C3-5BC35261B67E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" connectionId="42" xr16:uid="{00000000-0016-0000-0100-00000100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" connectionId="17" xr16:uid="{BB79558F-D955-4AC9-825C-A091B9A73388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" connectionId="44" xr16:uid="{00000000-0016-0000-0100-000000000000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" connectionId="22" xr16:uid="{A3478BCB-5E98-4648-BE26-C4FF38B663B7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" connectionId="19" xr16:uid="{41D7F6BC-0B00-4113-844C-C8E4B02C5118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" connectionId="43" xr16:uid="{00000000-0016-0000-0100-000002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3" Type="http://schemas.openxmlformats.org/officeDocument/2006/relationships/queryTable" Target="../queryTables/queryTable3.xml"/><Relationship Id="rId7" Type="http://schemas.openxmlformats.org/officeDocument/2006/relationships/queryTable" Target="../queryTables/queryTable7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5" Type="http://schemas.openxmlformats.org/officeDocument/2006/relationships/queryTable" Target="../queryTables/queryTable5.xml"/><Relationship Id="rId10" Type="http://schemas.openxmlformats.org/officeDocument/2006/relationships/queryTable" Target="../queryTables/queryTable10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Relationship Id="rId9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ctrlProp" Target="../ctrlProps/ctrlProp26.xml"/><Relationship Id="rId18" Type="http://schemas.openxmlformats.org/officeDocument/2006/relationships/ctrlProp" Target="../ctrlProps/ctrlProp3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0.xml"/><Relationship Id="rId12" Type="http://schemas.openxmlformats.org/officeDocument/2006/relationships/ctrlProp" Target="../ctrlProps/ctrlProp25.xml"/><Relationship Id="rId17" Type="http://schemas.openxmlformats.org/officeDocument/2006/relationships/ctrlProp" Target="../ctrlProps/ctrlProp30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29.xml"/><Relationship Id="rId20" Type="http://schemas.openxmlformats.org/officeDocument/2006/relationships/ctrlProp" Target="../ctrlProps/ctrlProp3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5" Type="http://schemas.openxmlformats.org/officeDocument/2006/relationships/ctrlProp" Target="../ctrlProps/ctrlProp18.xml"/><Relationship Id="rId15" Type="http://schemas.openxmlformats.org/officeDocument/2006/relationships/ctrlProp" Target="../ctrlProps/ctrlProp28.xml"/><Relationship Id="rId10" Type="http://schemas.openxmlformats.org/officeDocument/2006/relationships/ctrlProp" Target="../ctrlProps/ctrlProp23.xml"/><Relationship Id="rId19" Type="http://schemas.openxmlformats.org/officeDocument/2006/relationships/ctrlProp" Target="../ctrlProps/ctrlProp32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Relationship Id="rId14" Type="http://schemas.openxmlformats.org/officeDocument/2006/relationships/ctrlProp" Target="../ctrlProps/ctrlProp2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5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4"/>
  <dimension ref="A1:D39"/>
  <sheetViews>
    <sheetView workbookViewId="0">
      <selection activeCell="D10" sqref="D10"/>
    </sheetView>
  </sheetViews>
  <sheetFormatPr defaultColWidth="8.85546875" defaultRowHeight="12.75" x14ac:dyDescent="0.2"/>
  <cols>
    <col min="2" max="2" width="36.42578125" customWidth="1"/>
    <col min="3" max="3" width="13.140625" customWidth="1"/>
  </cols>
  <sheetData>
    <row r="1" spans="1:4" ht="23.25" x14ac:dyDescent="0.2">
      <c r="A1" s="174"/>
      <c r="B1" s="175" t="s">
        <v>305</v>
      </c>
      <c r="C1" s="174"/>
      <c r="D1" s="176"/>
    </row>
    <row r="2" spans="1:4" x14ac:dyDescent="0.2">
      <c r="A2" s="177"/>
      <c r="B2" s="177"/>
      <c r="C2" s="177"/>
      <c r="D2" s="176"/>
    </row>
    <row r="3" spans="1:4" ht="15.75" x14ac:dyDescent="0.2">
      <c r="A3" s="178"/>
      <c r="B3" s="179"/>
      <c r="C3" s="176"/>
      <c r="D3" s="176"/>
    </row>
    <row r="4" spans="1:4" ht="25.5" customHeight="1" x14ac:dyDescent="0.2">
      <c r="A4" s="180" t="s">
        <v>54</v>
      </c>
      <c r="B4" s="184" t="s">
        <v>307</v>
      </c>
      <c r="C4" s="176"/>
      <c r="D4" s="176"/>
    </row>
    <row r="5" spans="1:4" ht="15.75" x14ac:dyDescent="0.2">
      <c r="A5" s="178"/>
      <c r="B5" s="179"/>
      <c r="C5" s="176"/>
      <c r="D5" s="176"/>
    </row>
    <row r="6" spans="1:4" ht="25.5" customHeight="1" x14ac:dyDescent="0.2">
      <c r="A6" s="180" t="s">
        <v>55</v>
      </c>
      <c r="B6" s="184" t="s">
        <v>308</v>
      </c>
      <c r="C6" s="176"/>
      <c r="D6" s="176"/>
    </row>
    <row r="7" spans="1:4" x14ac:dyDescent="0.2">
      <c r="A7" s="178"/>
      <c r="B7" s="178"/>
      <c r="C7" s="176"/>
      <c r="D7" s="176"/>
    </row>
    <row r="8" spans="1:4" ht="25.5" customHeight="1" x14ac:dyDescent="0.2">
      <c r="A8" s="180" t="s">
        <v>56</v>
      </c>
      <c r="B8" s="184" t="s">
        <v>309</v>
      </c>
      <c r="C8" s="187"/>
      <c r="D8" s="176"/>
    </row>
    <row r="9" spans="1:4" x14ac:dyDescent="0.2">
      <c r="A9" s="178"/>
      <c r="B9" s="178"/>
      <c r="C9" s="176"/>
      <c r="D9" s="176"/>
    </row>
    <row r="10" spans="1:4" ht="25.5" customHeight="1" x14ac:dyDescent="0.2">
      <c r="A10" s="180" t="s">
        <v>57</v>
      </c>
      <c r="B10" s="184" t="s">
        <v>310</v>
      </c>
      <c r="C10" s="187"/>
      <c r="D10" s="176"/>
    </row>
    <row r="11" spans="1:4" x14ac:dyDescent="0.2">
      <c r="A11" s="178"/>
      <c r="B11" s="178"/>
      <c r="C11" s="176"/>
      <c r="D11" s="176"/>
    </row>
    <row r="12" spans="1:4" ht="30" customHeight="1" x14ac:dyDescent="0.2">
      <c r="A12" s="180" t="s">
        <v>58</v>
      </c>
      <c r="B12" s="184" t="s">
        <v>311</v>
      </c>
      <c r="C12" s="176"/>
      <c r="D12" s="176"/>
    </row>
    <row r="13" spans="1:4" ht="12.75" customHeight="1" x14ac:dyDescent="0.2">
      <c r="A13" s="178"/>
      <c r="B13" s="184"/>
      <c r="C13" s="176"/>
      <c r="D13" s="176"/>
    </row>
    <row r="14" spans="1:4" ht="25.5" customHeight="1" x14ac:dyDescent="0.2">
      <c r="A14" s="180" t="s">
        <v>89</v>
      </c>
      <c r="B14" s="184" t="s">
        <v>312</v>
      </c>
      <c r="C14" s="176"/>
      <c r="D14" s="176"/>
    </row>
    <row r="15" spans="1:4" x14ac:dyDescent="0.2">
      <c r="A15" s="178"/>
      <c r="B15" s="178"/>
      <c r="C15" s="176"/>
      <c r="D15" s="176"/>
    </row>
    <row r="16" spans="1:4" ht="25.5" customHeight="1" x14ac:dyDescent="0.2">
      <c r="A16" s="180" t="s">
        <v>90</v>
      </c>
      <c r="B16" s="184" t="s">
        <v>313</v>
      </c>
      <c r="C16" s="176"/>
      <c r="D16" s="176"/>
    </row>
    <row r="17" spans="1:4" x14ac:dyDescent="0.2">
      <c r="A17" s="180"/>
      <c r="B17" s="178"/>
      <c r="C17" s="176"/>
      <c r="D17" s="176"/>
    </row>
    <row r="18" spans="1:4" x14ac:dyDescent="0.2">
      <c r="A18" s="180"/>
      <c r="B18" s="178"/>
      <c r="C18" s="176"/>
      <c r="D18" s="176"/>
    </row>
    <row r="19" spans="1:4" ht="25.5" customHeight="1" x14ac:dyDescent="0.2">
      <c r="A19" s="180" t="s">
        <v>91</v>
      </c>
      <c r="B19" s="184" t="s">
        <v>314</v>
      </c>
      <c r="C19" s="176"/>
      <c r="D19" s="176"/>
    </row>
    <row r="20" spans="1:4" x14ac:dyDescent="0.2">
      <c r="A20" s="178"/>
      <c r="B20" s="178"/>
      <c r="C20" s="176"/>
      <c r="D20" s="176"/>
    </row>
    <row r="21" spans="1:4" x14ac:dyDescent="0.2">
      <c r="A21" s="181"/>
      <c r="B21" s="181"/>
      <c r="C21" s="177"/>
      <c r="D21" s="176"/>
    </row>
    <row r="22" spans="1:4" x14ac:dyDescent="0.2">
      <c r="A22" s="178"/>
      <c r="B22" s="178"/>
      <c r="C22" s="182"/>
      <c r="D22" s="176"/>
    </row>
    <row r="23" spans="1:4" ht="15.75" x14ac:dyDescent="0.2">
      <c r="A23" s="178"/>
      <c r="B23" s="179" t="s">
        <v>306</v>
      </c>
      <c r="C23" s="183"/>
      <c r="D23" s="176"/>
    </row>
    <row r="24" spans="1:4" x14ac:dyDescent="0.2">
      <c r="A24" s="178"/>
      <c r="B24" s="178"/>
      <c r="C24" s="182"/>
      <c r="D24" s="176"/>
    </row>
    <row r="25" spans="1:4" x14ac:dyDescent="0.2">
      <c r="A25" s="178"/>
      <c r="B25" s="178"/>
      <c r="C25" s="182"/>
      <c r="D25" s="176"/>
    </row>
    <row r="26" spans="1:4" x14ac:dyDescent="0.2">
      <c r="A26" s="178"/>
      <c r="B26" s="178"/>
      <c r="C26" s="182"/>
      <c r="D26" s="176"/>
    </row>
    <row r="27" spans="1:4" x14ac:dyDescent="0.2">
      <c r="A27" s="178"/>
      <c r="B27" s="178"/>
      <c r="C27" s="182"/>
      <c r="D27" s="176"/>
    </row>
    <row r="28" spans="1:4" x14ac:dyDescent="0.2">
      <c r="A28" s="178"/>
      <c r="B28" s="178"/>
      <c r="C28" s="182"/>
      <c r="D28" s="176"/>
    </row>
    <row r="29" spans="1:4" x14ac:dyDescent="0.2">
      <c r="A29" s="178"/>
      <c r="B29" s="178"/>
      <c r="C29" s="182"/>
      <c r="D29" s="176"/>
    </row>
    <row r="30" spans="1:4" x14ac:dyDescent="0.2">
      <c r="A30" s="178"/>
      <c r="B30" s="178"/>
      <c r="C30" s="182"/>
      <c r="D30" s="176"/>
    </row>
    <row r="31" spans="1:4" x14ac:dyDescent="0.2">
      <c r="A31" s="178"/>
      <c r="B31" s="178"/>
      <c r="C31" s="182"/>
      <c r="D31" s="176"/>
    </row>
    <row r="32" spans="1:4" x14ac:dyDescent="0.2">
      <c r="A32" s="178"/>
      <c r="B32" s="178"/>
      <c r="C32" s="182"/>
      <c r="D32" s="176"/>
    </row>
    <row r="33" spans="1:4" x14ac:dyDescent="0.2">
      <c r="A33" s="181"/>
      <c r="B33" s="181"/>
      <c r="C33" s="177"/>
      <c r="D33" s="176"/>
    </row>
    <row r="34" spans="1:4" x14ac:dyDescent="0.2">
      <c r="A34" s="176"/>
      <c r="B34" s="176"/>
      <c r="C34" s="176"/>
      <c r="D34" s="176"/>
    </row>
    <row r="35" spans="1:4" x14ac:dyDescent="0.2">
      <c r="A35" s="176"/>
      <c r="B35" s="176"/>
      <c r="C35" s="176"/>
      <c r="D35" s="176"/>
    </row>
    <row r="36" spans="1:4" x14ac:dyDescent="0.2">
      <c r="A36" s="176"/>
      <c r="B36" s="176"/>
      <c r="C36" s="176"/>
      <c r="D36" s="176"/>
    </row>
    <row r="37" spans="1:4" x14ac:dyDescent="0.2">
      <c r="A37" s="176"/>
      <c r="B37" s="176"/>
      <c r="C37" s="176"/>
      <c r="D37" s="176"/>
    </row>
    <row r="38" spans="1:4" x14ac:dyDescent="0.2">
      <c r="A38" s="176"/>
      <c r="B38" s="176"/>
      <c r="C38" s="176"/>
      <c r="D38" s="176"/>
    </row>
    <row r="39" spans="1:4" x14ac:dyDescent="0.2">
      <c r="A39" s="176"/>
      <c r="B39" s="176"/>
      <c r="C39" s="176"/>
      <c r="D39" s="176"/>
    </row>
  </sheetData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6" r:id="rId4" name="Button 4">
              <controlPr defaultSize="0" autoFill="0" autoPict="0" macro="[0]!Limpa_Planilha">
                <anchor moveWithCells="1">
                  <from>
                    <xdr:col>2</xdr:col>
                    <xdr:colOff>0</xdr:colOff>
                    <xdr:row>3</xdr:row>
                    <xdr:rowOff>19050</xdr:rowOff>
                  </from>
                  <to>
                    <xdr:col>2</xdr:col>
                    <xdr:colOff>809625</xdr:colOff>
                    <xdr:row>3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r:id="rId5" name="Button 7">
              <controlPr defaultSize="0" autoFill="0" autoPict="0" macro="[0]!Import_from_QGIS">
                <anchor moveWithCells="1">
                  <from>
                    <xdr:col>2</xdr:col>
                    <xdr:colOff>0</xdr:colOff>
                    <xdr:row>4</xdr:row>
                    <xdr:rowOff>161925</xdr:rowOff>
                  </from>
                  <to>
                    <xdr:col>2</xdr:col>
                    <xdr:colOff>809625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3" r:id="rId6" name="Button 11">
              <controlPr defaultSize="0" autoFill="0" autoPict="0" macro="[0]!ExportTramos_csv" altText="Exportar Tramos ">
                <anchor moveWithCells="1">
                  <from>
                    <xdr:col>1</xdr:col>
                    <xdr:colOff>2419350</xdr:colOff>
                    <xdr:row>12</xdr:row>
                    <xdr:rowOff>95250</xdr:rowOff>
                  </from>
                  <to>
                    <xdr:col>2</xdr:col>
                    <xdr:colOff>800100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4" r:id="rId7" name="Button 12">
              <controlPr defaultSize="0" autoFill="0" autoPict="0" macro="[0]!Para_AbaParametros">
                <anchor moveWithCells="1">
                  <from>
                    <xdr:col>2</xdr:col>
                    <xdr:colOff>0</xdr:colOff>
                    <xdr:row>7</xdr:row>
                    <xdr:rowOff>19050</xdr:rowOff>
                  </from>
                  <to>
                    <xdr:col>2</xdr:col>
                    <xdr:colOff>809625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5" r:id="rId8" name="Button 13">
              <controlPr defaultSize="0" autoFill="0" autoPict="0" macro="[0]!Para_AbaRedBasica" altText="Aba RB">
                <anchor moveWithCells="1">
                  <from>
                    <xdr:col>1</xdr:col>
                    <xdr:colOff>2419350</xdr:colOff>
                    <xdr:row>11</xdr:row>
                    <xdr:rowOff>9525</xdr:rowOff>
                  </from>
                  <to>
                    <xdr:col>2</xdr:col>
                    <xdr:colOff>800100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6" r:id="rId9" name="Button 14">
              <controlPr defaultSize="0" autoFill="0" autoPict="0" macro="[0]!Para_AbaExportTramos">
                <anchor moveWithCells="1">
                  <from>
                    <xdr:col>1</xdr:col>
                    <xdr:colOff>2343150</xdr:colOff>
                    <xdr:row>26</xdr:row>
                    <xdr:rowOff>104775</xdr:rowOff>
                  </from>
                  <to>
                    <xdr:col>2</xdr:col>
                    <xdr:colOff>781050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7" r:id="rId10" name="Button 15">
              <controlPr defaultSize="0" autoFill="0" autoPict="0" macro="[0]!Para_AbaImportQGIS" altText="Aba ImportQGIS">
                <anchor moveWithCells="1">
                  <from>
                    <xdr:col>1</xdr:col>
                    <xdr:colOff>2352675</xdr:colOff>
                    <xdr:row>23</xdr:row>
                    <xdr:rowOff>152400</xdr:rowOff>
                  </from>
                  <to>
                    <xdr:col>2</xdr:col>
                    <xdr:colOff>790575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8" r:id="rId11" name="Button 16">
              <controlPr defaultSize="0" autoFill="0" autoPict="0" macro="[0]!Para_AbaExportNodos" altText="Aba ExportNodos">
                <anchor moveWithCells="1">
                  <from>
                    <xdr:col>1</xdr:col>
                    <xdr:colOff>2333625</xdr:colOff>
                    <xdr:row>29</xdr:row>
                    <xdr:rowOff>66675</xdr:rowOff>
                  </from>
                  <to>
                    <xdr:col>2</xdr:col>
                    <xdr:colOff>781050</xdr:colOff>
                    <xdr:row>31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0" r:id="rId12" name="Button 18">
              <controlPr defaultSize="0" autoFill="0" autoPict="0" macro="[0]!Carregar_RB" altText="Carregar RedBasica">
                <anchor moveWithCells="1">
                  <from>
                    <xdr:col>1</xdr:col>
                    <xdr:colOff>2409825</xdr:colOff>
                    <xdr:row>9</xdr:row>
                    <xdr:rowOff>28575</xdr:rowOff>
                  </from>
                  <to>
                    <xdr:col>2</xdr:col>
                    <xdr:colOff>790575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1" r:id="rId13" name="Button 19">
              <controlPr defaultSize="0" autoFill="0" autoPict="0" macro="[0]!ExportNodos_csv" altText="Exportar Nodos ">
                <anchor moveWithCells="1">
                  <from>
                    <xdr:col>1</xdr:col>
                    <xdr:colOff>2419350</xdr:colOff>
                    <xdr:row>14</xdr:row>
                    <xdr:rowOff>133350</xdr:rowOff>
                  </from>
                  <to>
                    <xdr:col>2</xdr:col>
                    <xdr:colOff>800100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2" r:id="rId14" name="Button 20">
              <controlPr defaultSize="0" autoFill="0" autoPict="0" macro="[0]!Gerar_RB_Print" altText="Gerar Planilha de Impressão">
                <anchor moveWithCells="1">
                  <from>
                    <xdr:col>1</xdr:col>
                    <xdr:colOff>2419350</xdr:colOff>
                    <xdr:row>17</xdr:row>
                    <xdr:rowOff>85725</xdr:rowOff>
                  </from>
                  <to>
                    <xdr:col>2</xdr:col>
                    <xdr:colOff>800100</xdr:colOff>
                    <xdr:row>19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6"/>
  <dimension ref="A1:JV1035"/>
  <sheetViews>
    <sheetView zoomScale="80" zoomScaleNormal="80" workbookViewId="0">
      <selection activeCell="AC2" sqref="AC2:AC37"/>
    </sheetView>
  </sheetViews>
  <sheetFormatPr defaultColWidth="10.7109375" defaultRowHeight="12.75" x14ac:dyDescent="0.2"/>
  <cols>
    <col min="1" max="1" width="11.42578125" style="198" bestFit="1" customWidth="1"/>
    <col min="2" max="2" width="11.7109375" style="195" bestFit="1" customWidth="1"/>
    <col min="3" max="3" width="8.140625" style="194" bestFit="1" customWidth="1"/>
    <col min="4" max="4" width="12.140625" style="195" bestFit="1" customWidth="1"/>
    <col min="5" max="5" width="6.28515625" style="195" bestFit="1" customWidth="1"/>
    <col min="6" max="6" width="12.85546875" style="195" bestFit="1" customWidth="1"/>
    <col min="7" max="7" width="12.7109375" style="195" bestFit="1" customWidth="1"/>
    <col min="8" max="8" width="12.85546875" style="195" bestFit="1" customWidth="1"/>
    <col min="9" max="9" width="6.7109375" style="195" bestFit="1" customWidth="1"/>
    <col min="10" max="10" width="7" style="195" bestFit="1" customWidth="1"/>
    <col min="11" max="11" width="6.5703125" style="195" bestFit="1" customWidth="1"/>
    <col min="12" max="12" width="12.42578125" style="195" bestFit="1" customWidth="1"/>
    <col min="13" max="13" width="9.42578125" style="195" bestFit="1" customWidth="1"/>
    <col min="14" max="14" width="12.85546875" style="195" bestFit="1" customWidth="1"/>
    <col min="15" max="15" width="8" style="195" bestFit="1" customWidth="1"/>
    <col min="16" max="16" width="8.42578125" style="195" bestFit="1" customWidth="1"/>
    <col min="17" max="17" width="12.140625" style="195" bestFit="1" customWidth="1"/>
    <col min="18" max="18" width="31.42578125" style="195" bestFit="1" customWidth="1"/>
    <col min="19" max="21" width="12.7109375" style="199" bestFit="1" customWidth="1"/>
    <col min="22" max="22" width="11.5703125" style="199" bestFit="1" customWidth="1"/>
    <col min="23" max="24" width="11.42578125" style="195" bestFit="1" customWidth="1"/>
    <col min="25" max="27" width="7" style="195" bestFit="1" customWidth="1"/>
    <col min="28" max="28" width="12.140625" bestFit="1" customWidth="1"/>
    <col min="29" max="29" width="18.140625" bestFit="1" customWidth="1"/>
    <col min="30" max="30" width="11.42578125" bestFit="1" customWidth="1"/>
    <col min="31" max="31" width="11.7109375" style="185" bestFit="1" customWidth="1"/>
    <col min="32" max="32" width="7.85546875" style="199" bestFit="1" customWidth="1"/>
    <col min="33" max="33" width="11.7109375" style="199" bestFit="1" customWidth="1"/>
    <col min="34" max="34" width="6.28515625" style="199" bestFit="1" customWidth="1"/>
    <col min="35" max="35" width="12.85546875" style="199" bestFit="1" customWidth="1"/>
    <col min="36" max="36" width="12.7109375" style="199" bestFit="1" customWidth="1"/>
    <col min="37" max="37" width="12.85546875" style="199" bestFit="1" customWidth="1"/>
    <col min="38" max="38" width="14.85546875" bestFit="1" customWidth="1"/>
    <col min="39" max="39" width="6.5703125" bestFit="1" customWidth="1"/>
    <col min="40" max="40" width="5.5703125" bestFit="1" customWidth="1"/>
    <col min="41" max="41" width="12.42578125" customWidth="1"/>
    <col min="42" max="42" width="9.42578125" bestFit="1" customWidth="1"/>
    <col min="43" max="43" width="12.85546875" bestFit="1" customWidth="1"/>
    <col min="44" max="44" width="8" bestFit="1" customWidth="1"/>
    <col min="45" max="45" width="8.42578125" bestFit="1" customWidth="1"/>
    <col min="46" max="46" width="11.28515625" style="212" bestFit="1" customWidth="1"/>
    <col min="47" max="47" width="31.42578125" style="212" bestFit="1" customWidth="1"/>
    <col min="48" max="48" width="12.7109375" bestFit="1" customWidth="1"/>
    <col min="49" max="49" width="12.7109375" customWidth="1"/>
    <col min="50" max="51" width="12.7109375" bestFit="1" customWidth="1"/>
    <col min="52" max="53" width="11.42578125" bestFit="1" customWidth="1"/>
    <col min="54" max="54" width="7" customWidth="1"/>
    <col min="55" max="56" width="7" style="185" bestFit="1" customWidth="1"/>
    <col min="57" max="57" width="10.85546875" style="185" bestFit="1" customWidth="1"/>
    <col min="58" max="58" width="15.85546875" bestFit="1" customWidth="1"/>
    <col min="59" max="59" width="27.28515625" style="195" bestFit="1" customWidth="1"/>
    <col min="60" max="60" width="6.5703125" style="195" bestFit="1" customWidth="1"/>
    <col min="61" max="61" width="9.5703125" style="195" bestFit="1" customWidth="1"/>
    <col min="62" max="64" width="11.5703125" style="195" bestFit="1" customWidth="1"/>
    <col min="65" max="65" width="7" style="195" bestFit="1" customWidth="1"/>
    <col min="66" max="66" width="11" style="195" bestFit="1" customWidth="1"/>
    <col min="67" max="67" width="8.85546875" style="195" bestFit="1" customWidth="1"/>
    <col min="68" max="69" width="10.7109375" style="195" bestFit="1" customWidth="1"/>
    <col min="70" max="70" width="11.42578125" style="195" bestFit="1" customWidth="1"/>
    <col min="71" max="71" width="11.85546875" style="195" bestFit="1" customWidth="1"/>
    <col min="72" max="72" width="6.42578125" style="195" bestFit="1" customWidth="1"/>
    <col min="73" max="73" width="6.42578125" style="198" bestFit="1" customWidth="1"/>
    <col min="74" max="74" width="6.42578125" style="195" bestFit="1" customWidth="1"/>
    <col min="75" max="75" width="10.7109375" style="195" bestFit="1" customWidth="1"/>
    <col min="76" max="76" width="11.140625" style="198" bestFit="1" customWidth="1"/>
    <col min="77" max="77" width="12.140625" style="198" bestFit="1" customWidth="1"/>
    <col min="78" max="78" width="12" style="195" bestFit="1" customWidth="1"/>
    <col min="79" max="79" width="12.140625" style="195" bestFit="1" customWidth="1"/>
    <col min="80" max="80" width="10.42578125" style="195" bestFit="1" customWidth="1"/>
    <col min="81" max="81" width="6" style="195" bestFit="1" customWidth="1"/>
    <col min="82" max="82" width="5.85546875" style="195" bestFit="1" customWidth="1"/>
    <col min="83" max="83" width="6.28515625" style="195" bestFit="1" customWidth="1"/>
    <col min="84" max="84" width="7.28515625" style="195" bestFit="1" customWidth="1"/>
    <col min="85" max="85" width="8.7109375" style="195" bestFit="1" customWidth="1"/>
    <col min="86" max="86" width="7.7109375" style="195" bestFit="1" customWidth="1"/>
    <col min="87" max="87" width="14.28515625" style="195" bestFit="1" customWidth="1"/>
    <col min="88" max="88" width="10.42578125" style="195" bestFit="1" customWidth="1"/>
    <col min="89" max="89" width="27.28515625" style="195" bestFit="1" customWidth="1"/>
    <col min="90" max="90" width="11.5703125" style="195" bestFit="1" customWidth="1"/>
    <col min="91" max="91" width="11.5703125" style="198" bestFit="1" customWidth="1"/>
    <col min="92" max="93" width="11.5703125" style="195" bestFit="1" customWidth="1"/>
    <col min="94" max="95" width="10.7109375" style="195" bestFit="1" customWidth="1"/>
    <col min="96" max="98" width="6.42578125" style="195" bestFit="1" customWidth="1"/>
    <col min="99" max="99" width="8.7109375" style="195" bestFit="1" customWidth="1"/>
    <col min="100" max="100" width="14.28515625" style="195" bestFit="1" customWidth="1"/>
    <col min="101" max="101" width="10.7109375" style="195"/>
    <col min="102" max="102" width="11.140625" style="195" bestFit="1" customWidth="1"/>
    <col min="103" max="103" width="7" style="195" bestFit="1" customWidth="1"/>
    <col min="104" max="104" width="11" style="195" bestFit="1" customWidth="1"/>
    <col min="105" max="105" width="7" style="195" bestFit="1" customWidth="1"/>
    <col min="106" max="106" width="12.140625" style="195" bestFit="1" customWidth="1"/>
    <col min="107" max="107" width="12" style="195" bestFit="1" customWidth="1"/>
    <col min="108" max="108" width="12.140625" style="195" bestFit="1" customWidth="1"/>
    <col min="109" max="109" width="6" style="195" bestFit="1" customWidth="1"/>
    <col min="110" max="110" width="5.85546875" style="195" bestFit="1" customWidth="1"/>
    <col min="111" max="111" width="6.28515625" style="195" bestFit="1" customWidth="1"/>
    <col min="112" max="112" width="11.42578125" style="195" bestFit="1" customWidth="1"/>
    <col min="113" max="113" width="8.85546875" style="195" bestFit="1" customWidth="1"/>
    <col min="114" max="114" width="11.85546875" style="195" bestFit="1" customWidth="1"/>
    <col min="115" max="115" width="7.28515625" style="195" bestFit="1" customWidth="1"/>
    <col min="116" max="116" width="7.7109375" style="195" bestFit="1" customWidth="1"/>
    <col min="117" max="117" width="10.42578125" style="195" bestFit="1" customWidth="1"/>
    <col min="118" max="118" width="27.28515625" style="195" bestFit="1" customWidth="1"/>
    <col min="119" max="122" width="12" style="195" bestFit="1" customWidth="1"/>
    <col min="123" max="124" width="10.7109375" style="195"/>
    <col min="125" max="127" width="6.42578125" style="195" bestFit="1" customWidth="1"/>
    <col min="128" max="128" width="8.7109375" style="195" bestFit="1" customWidth="1"/>
    <col min="129" max="129" width="14.28515625" style="195" bestFit="1" customWidth="1"/>
    <col min="130" max="130" width="10.7109375" style="195"/>
    <col min="131" max="131" width="11.140625" style="195" bestFit="1" customWidth="1"/>
    <col min="132" max="132" width="7" style="195" bestFit="1" customWidth="1"/>
    <col min="133" max="133" width="11" style="195" bestFit="1" customWidth="1"/>
    <col min="134" max="134" width="7" style="195" bestFit="1" customWidth="1"/>
    <col min="135" max="135" width="12.140625" style="195" bestFit="1" customWidth="1"/>
    <col min="136" max="136" width="12" style="195" bestFit="1" customWidth="1"/>
    <col min="137" max="137" width="12.140625" style="195" bestFit="1" customWidth="1"/>
    <col min="138" max="138" width="6" style="195" bestFit="1" customWidth="1"/>
    <col min="139" max="139" width="5.85546875" style="195" bestFit="1" customWidth="1"/>
    <col min="140" max="140" width="6.28515625" style="195" bestFit="1" customWidth="1"/>
    <col min="141" max="141" width="11.42578125" style="195" bestFit="1" customWidth="1"/>
    <col min="142" max="142" width="8.85546875" style="195" bestFit="1" customWidth="1"/>
    <col min="143" max="143" width="11.85546875" style="195" bestFit="1" customWidth="1"/>
    <col min="144" max="144" width="7.28515625" style="195" bestFit="1" customWidth="1"/>
    <col min="145" max="145" width="7.7109375" style="195" bestFit="1" customWidth="1"/>
    <col min="146" max="146" width="10.42578125" style="195" bestFit="1" customWidth="1"/>
    <col min="147" max="147" width="27.28515625" style="195" bestFit="1" customWidth="1"/>
    <col min="148" max="151" width="12" style="195" bestFit="1" customWidth="1"/>
    <col min="152" max="153" width="10.7109375" style="195"/>
    <col min="154" max="156" width="6.42578125" style="195" bestFit="1" customWidth="1"/>
    <col min="157" max="157" width="8.7109375" style="195" bestFit="1" customWidth="1"/>
    <col min="158" max="158" width="14.28515625" style="195" bestFit="1" customWidth="1"/>
    <col min="159" max="159" width="10.7109375" style="195"/>
    <col min="160" max="160" width="11.140625" style="195" bestFit="1" customWidth="1"/>
    <col min="161" max="161" width="7" style="195" bestFit="1" customWidth="1"/>
    <col min="162" max="162" width="11" style="195" bestFit="1" customWidth="1"/>
    <col min="163" max="163" width="7" style="195" bestFit="1" customWidth="1"/>
    <col min="164" max="164" width="12.140625" style="195" bestFit="1" customWidth="1"/>
    <col min="165" max="165" width="12" style="195" bestFit="1" customWidth="1"/>
    <col min="166" max="166" width="12.140625" style="195" bestFit="1" customWidth="1"/>
    <col min="167" max="167" width="6" style="195" bestFit="1" customWidth="1"/>
    <col min="168" max="168" width="5.85546875" style="195" bestFit="1" customWidth="1"/>
    <col min="169" max="169" width="6.28515625" style="195" bestFit="1" customWidth="1"/>
    <col min="170" max="170" width="11.42578125" style="195" bestFit="1" customWidth="1"/>
    <col min="171" max="171" width="8.85546875" style="195" bestFit="1" customWidth="1"/>
    <col min="172" max="172" width="11.85546875" style="195" bestFit="1" customWidth="1"/>
    <col min="173" max="173" width="7.28515625" style="195" bestFit="1" customWidth="1"/>
    <col min="174" max="174" width="7.7109375" style="195" bestFit="1" customWidth="1"/>
    <col min="175" max="175" width="10.42578125" style="195" bestFit="1" customWidth="1"/>
    <col min="176" max="176" width="27.28515625" style="195" bestFit="1" customWidth="1"/>
    <col min="177" max="180" width="12" style="195" bestFit="1" customWidth="1"/>
    <col min="181" max="182" width="10.7109375" style="195"/>
    <col min="183" max="185" width="6.42578125" style="195" bestFit="1" customWidth="1"/>
    <col min="186" max="186" width="7.42578125" style="195" bestFit="1" customWidth="1"/>
    <col min="187" max="187" width="11.140625" style="195" bestFit="1" customWidth="1"/>
    <col min="188" max="188" width="10.7109375" style="195"/>
    <col min="189" max="189" width="11.140625" style="195" bestFit="1" customWidth="1"/>
    <col min="190" max="190" width="7" style="195" bestFit="1" customWidth="1"/>
    <col min="191" max="191" width="11" style="195" bestFit="1" customWidth="1"/>
    <col min="192" max="192" width="7" style="195" bestFit="1" customWidth="1"/>
    <col min="193" max="193" width="12.140625" style="195" bestFit="1" customWidth="1"/>
    <col min="194" max="194" width="12" style="195" bestFit="1" customWidth="1"/>
    <col min="195" max="195" width="12.140625" style="195" bestFit="1" customWidth="1"/>
    <col min="196" max="196" width="6" style="195" bestFit="1" customWidth="1"/>
    <col min="197" max="197" width="5.85546875" style="195" bestFit="1" customWidth="1"/>
    <col min="198" max="198" width="6.28515625" style="195" bestFit="1" customWidth="1"/>
    <col min="199" max="199" width="11.42578125" style="195" bestFit="1" customWidth="1"/>
    <col min="200" max="200" width="8.85546875" style="195" bestFit="1" customWidth="1"/>
    <col min="201" max="201" width="11.85546875" style="195" bestFit="1" customWidth="1"/>
    <col min="202" max="202" width="7.28515625" style="195" bestFit="1" customWidth="1"/>
    <col min="203" max="203" width="7.7109375" style="195" bestFit="1" customWidth="1"/>
    <col min="204" max="204" width="10.42578125" style="195" bestFit="1" customWidth="1"/>
    <col min="205" max="205" width="27.28515625" style="195" bestFit="1" customWidth="1"/>
    <col min="206" max="209" width="12" style="195" bestFit="1" customWidth="1"/>
    <col min="210" max="211" width="10.7109375" style="195"/>
    <col min="212" max="214" width="6.42578125" style="195" bestFit="1" customWidth="1"/>
    <col min="215" max="215" width="7.42578125" style="195" bestFit="1" customWidth="1"/>
    <col min="216" max="216" width="11.140625" style="195" bestFit="1" customWidth="1"/>
    <col min="217" max="217" width="27.28515625" style="195" bestFit="1" customWidth="1"/>
    <col min="218" max="218" width="7" style="195" customWidth="1"/>
    <col min="219" max="222" width="12" style="195" bestFit="1" customWidth="1"/>
    <col min="223" max="223" width="7" style="195" customWidth="1"/>
    <col min="224" max="224" width="11" style="195" bestFit="1" customWidth="1"/>
    <col min="225" max="225" width="8.85546875" style="195" customWidth="1"/>
    <col min="226" max="227" width="10.7109375" style="195"/>
    <col min="228" max="228" width="11.42578125" style="195" bestFit="1" customWidth="1"/>
    <col min="229" max="229" width="11.85546875" style="195" bestFit="1" customWidth="1"/>
    <col min="230" max="232" width="6.42578125" style="195" customWidth="1"/>
    <col min="233" max="233" width="10.7109375" style="195"/>
    <col min="234" max="234" width="11.140625" style="195" bestFit="1" customWidth="1"/>
    <col min="235" max="235" width="12.140625" style="195" bestFit="1" customWidth="1"/>
    <col min="236" max="236" width="12" style="195" bestFit="1" customWidth="1"/>
    <col min="237" max="237" width="12.140625" style="195" bestFit="1" customWidth="1"/>
    <col min="238" max="238" width="10.42578125" style="195" customWidth="1"/>
    <col min="239" max="239" width="6" style="195" customWidth="1"/>
    <col min="240" max="240" width="5.85546875" style="195" customWidth="1"/>
    <col min="241" max="241" width="6.28515625" style="195" customWidth="1"/>
    <col min="242" max="242" width="7.28515625" style="195" customWidth="1"/>
    <col min="243" max="243" width="7.42578125" style="195" customWidth="1"/>
    <col min="244" max="244" width="7.7109375" style="195" customWidth="1"/>
    <col min="245" max="245" width="11.140625" style="195" bestFit="1" customWidth="1"/>
    <col min="246" max="246" width="11.7109375" style="195" bestFit="1" customWidth="1"/>
    <col min="247" max="247" width="11.85546875" style="195" bestFit="1" customWidth="1"/>
    <col min="248" max="248" width="7.5703125" style="195" bestFit="1" customWidth="1"/>
    <col min="249" max="249" width="12" style="195" bestFit="1" customWidth="1"/>
    <col min="250" max="250" width="7" style="195" bestFit="1" customWidth="1"/>
    <col min="251" max="251" width="12.85546875" style="195" bestFit="1" customWidth="1"/>
    <col min="252" max="253" width="13.28515625" style="195" bestFit="1" customWidth="1"/>
    <col min="254" max="254" width="6.42578125" style="195" bestFit="1" customWidth="1"/>
    <col min="255" max="255" width="6.28515625" style="195" bestFit="1" customWidth="1"/>
    <col min="256" max="256" width="6.42578125" style="195" bestFit="1" customWidth="1"/>
    <col min="257" max="257" width="12.140625" style="195" bestFit="1" customWidth="1"/>
    <col min="258" max="258" width="9.5703125" style="195" bestFit="1" customWidth="1"/>
    <col min="259" max="259" width="12.5703125" style="195" bestFit="1" customWidth="1"/>
    <col min="260" max="260" width="7.7109375" style="195" bestFit="1" customWidth="1"/>
    <col min="261" max="261" width="7.85546875" style="195" bestFit="1" customWidth="1"/>
    <col min="262" max="262" width="11.5703125" style="195" bestFit="1" customWidth="1"/>
    <col min="263" max="263" width="27.28515625" style="195" bestFit="1" customWidth="1"/>
    <col min="264" max="267" width="12" style="195" bestFit="1" customWidth="1"/>
    <col min="268" max="268" width="12.140625" style="195" bestFit="1" customWidth="1"/>
    <col min="269" max="269" width="11.5703125" style="195" bestFit="1" customWidth="1"/>
    <col min="270" max="272" width="7.140625" style="195" bestFit="1" customWidth="1"/>
    <col min="273" max="273" width="7.85546875" style="195" bestFit="1" customWidth="1"/>
    <col min="274" max="274" width="11.140625" style="195" bestFit="1" customWidth="1"/>
    <col min="275" max="276" width="10.7109375" style="195"/>
    <col min="277" max="277" width="14.140625" style="195" bestFit="1" customWidth="1"/>
    <col min="278" max="278" width="12.28515625" style="195" bestFit="1" customWidth="1"/>
    <col min="279" max="279" width="10.7109375" style="195"/>
    <col min="280" max="280" width="10.28515625" style="195" customWidth="1"/>
    <col min="281" max="16384" width="10.7109375" style="195"/>
  </cols>
  <sheetData>
    <row r="1" spans="1:282" ht="15" x14ac:dyDescent="0.2">
      <c r="A1" s="212" t="s">
        <v>147</v>
      </c>
      <c r="B1" s="212" t="s">
        <v>148</v>
      </c>
      <c r="C1" s="199" t="s">
        <v>138</v>
      </c>
      <c r="D1" s="199" t="s">
        <v>62</v>
      </c>
      <c r="E1" s="185" t="s">
        <v>133</v>
      </c>
      <c r="F1" s="199" t="s">
        <v>149</v>
      </c>
      <c r="G1" s="199" t="s">
        <v>150</v>
      </c>
      <c r="H1" s="199" t="s">
        <v>151</v>
      </c>
      <c r="I1" s="199" t="s">
        <v>153</v>
      </c>
      <c r="J1" s="199" t="s">
        <v>384</v>
      </c>
      <c r="K1" s="199" t="s">
        <v>385</v>
      </c>
      <c r="L1" s="199" t="s">
        <v>142</v>
      </c>
      <c r="M1" s="199" t="s">
        <v>139</v>
      </c>
      <c r="N1" s="199" t="s">
        <v>143</v>
      </c>
      <c r="O1" s="185" t="s">
        <v>154</v>
      </c>
      <c r="P1" s="185" t="s">
        <v>156</v>
      </c>
      <c r="Q1" s="199" t="s">
        <v>152</v>
      </c>
      <c r="R1" s="199" t="s">
        <v>132</v>
      </c>
      <c r="S1" s="199" t="s">
        <v>134</v>
      </c>
      <c r="T1" s="199" t="s">
        <v>135</v>
      </c>
      <c r="U1" s="199" t="s">
        <v>136</v>
      </c>
      <c r="V1" s="199" t="s">
        <v>137</v>
      </c>
      <c r="W1" s="199" t="s">
        <v>140</v>
      </c>
      <c r="X1" s="199" t="s">
        <v>141</v>
      </c>
      <c r="Y1" s="199" t="s">
        <v>144</v>
      </c>
      <c r="Z1" s="199" t="s">
        <v>145</v>
      </c>
      <c r="AA1" s="199" t="s">
        <v>146</v>
      </c>
      <c r="AB1" s="199" t="s">
        <v>155</v>
      </c>
      <c r="AC1" s="199" t="s">
        <v>157</v>
      </c>
      <c r="AD1" s="199"/>
      <c r="AL1" s="199"/>
      <c r="AM1" s="199"/>
      <c r="AN1" s="199"/>
      <c r="AO1" s="199"/>
      <c r="AP1" s="199"/>
      <c r="AQ1" s="199"/>
      <c r="AR1" s="199"/>
      <c r="AS1" s="199"/>
      <c r="AV1" s="199"/>
      <c r="AW1" s="199"/>
      <c r="AX1" s="199"/>
      <c r="AY1" s="199"/>
      <c r="AZ1" s="199"/>
      <c r="BA1" s="199"/>
      <c r="BB1" s="199"/>
      <c r="BD1" s="199"/>
      <c r="BF1" s="199"/>
      <c r="BG1" s="194"/>
      <c r="BH1" s="194"/>
      <c r="BI1" s="194"/>
      <c r="BJ1" s="194"/>
      <c r="BK1" s="194"/>
      <c r="BL1" s="194"/>
      <c r="BM1" s="194"/>
      <c r="BN1" s="194"/>
      <c r="BO1" s="194"/>
      <c r="BP1" s="194"/>
      <c r="BQ1" s="194"/>
      <c r="BR1" s="194"/>
      <c r="BS1" s="194"/>
      <c r="BT1" s="194"/>
      <c r="BU1" s="194"/>
      <c r="BV1" s="194"/>
      <c r="BW1" s="194"/>
      <c r="BX1" s="194"/>
      <c r="BY1" s="194"/>
      <c r="BZ1" s="194"/>
      <c r="CA1" s="194"/>
      <c r="CB1" s="194"/>
      <c r="CC1" s="194"/>
      <c r="CD1" s="194"/>
      <c r="CE1" s="194"/>
      <c r="CF1" s="194"/>
      <c r="CG1" s="194"/>
      <c r="CH1" s="194"/>
      <c r="CI1" s="194"/>
      <c r="CJ1" s="194"/>
      <c r="CK1" s="194"/>
      <c r="CL1" s="194"/>
      <c r="CM1" s="194"/>
      <c r="CN1" s="194"/>
      <c r="CO1" s="194"/>
      <c r="CP1" s="194"/>
      <c r="CQ1" s="194"/>
      <c r="CR1" s="194"/>
      <c r="CS1" s="194"/>
      <c r="CT1" s="194"/>
      <c r="CU1" s="194"/>
      <c r="CV1" s="194"/>
      <c r="IL1" s="196"/>
      <c r="IM1" s="196"/>
      <c r="IP1" s="197"/>
      <c r="IQ1" s="197"/>
      <c r="IR1" s="196"/>
      <c r="IS1" s="196"/>
      <c r="IT1" s="196"/>
      <c r="IW1" s="197"/>
      <c r="IY1" s="197"/>
      <c r="JB1" s="196"/>
      <c r="JC1" s="196"/>
      <c r="JD1" s="196"/>
      <c r="JE1" s="196"/>
      <c r="JF1" s="197"/>
      <c r="JG1" s="197"/>
      <c r="JI1" s="197"/>
      <c r="JJ1" s="196"/>
      <c r="JK1" s="196"/>
      <c r="JL1" s="196"/>
      <c r="JN1" s="196"/>
      <c r="JQ1" s="196"/>
      <c r="JR1" s="196"/>
      <c r="JV1" s="196"/>
    </row>
    <row r="2" spans="1:282" x14ac:dyDescent="0.2">
      <c r="A2" s="212">
        <v>1</v>
      </c>
      <c r="B2" s="212">
        <v>0</v>
      </c>
      <c r="C2" s="199" t="s">
        <v>386</v>
      </c>
      <c r="D2" s="199" t="s">
        <v>387</v>
      </c>
      <c r="E2" s="185">
        <v>58.15</v>
      </c>
      <c r="F2" s="199"/>
      <c r="G2" s="199"/>
      <c r="H2" s="199"/>
      <c r="I2" s="199" t="s">
        <v>388</v>
      </c>
      <c r="J2">
        <v>32</v>
      </c>
      <c r="K2">
        <v>28</v>
      </c>
      <c r="L2" s="199"/>
      <c r="M2" s="199"/>
      <c r="N2" s="199"/>
      <c r="O2" s="185">
        <v>189.2</v>
      </c>
      <c r="P2" s="185">
        <v>187.53</v>
      </c>
      <c r="Q2" s="199" t="s">
        <v>389</v>
      </c>
      <c r="R2" s="199" t="s">
        <v>390</v>
      </c>
      <c r="S2" s="199">
        <v>324321.24910000002</v>
      </c>
      <c r="T2" s="199">
        <v>2149792.9959999998</v>
      </c>
      <c r="U2" s="199">
        <v>324335.35149999999</v>
      </c>
      <c r="V2" s="199">
        <v>2149849.4049999998</v>
      </c>
      <c r="W2" s="199"/>
      <c r="X2" s="199"/>
      <c r="Y2" s="199"/>
      <c r="Z2" s="199"/>
      <c r="AA2" s="199"/>
      <c r="AB2" s="199" t="s">
        <v>387</v>
      </c>
      <c r="AC2" s="199" t="s">
        <v>389</v>
      </c>
      <c r="AD2" s="199"/>
      <c r="AL2" s="199"/>
      <c r="AM2" s="199"/>
      <c r="AN2" s="199"/>
      <c r="AO2" s="199"/>
      <c r="AP2" s="199"/>
      <c r="AQ2" s="199"/>
      <c r="AR2" s="199"/>
      <c r="AS2" s="199"/>
      <c r="AV2" s="199"/>
      <c r="AW2" s="199"/>
      <c r="AX2" s="199"/>
      <c r="AY2" s="199"/>
      <c r="AZ2" s="199"/>
      <c r="BD2" s="199"/>
      <c r="BF2" s="199"/>
    </row>
    <row r="3" spans="1:282" x14ac:dyDescent="0.2">
      <c r="A3" s="212">
        <v>0</v>
      </c>
      <c r="B3" s="212">
        <v>0</v>
      </c>
      <c r="C3" s="199" t="s">
        <v>386</v>
      </c>
      <c r="D3" s="199" t="s">
        <v>389</v>
      </c>
      <c r="E3" s="185">
        <v>45.73</v>
      </c>
      <c r="F3" s="199" t="s">
        <v>387</v>
      </c>
      <c r="G3" s="199" t="s">
        <v>391</v>
      </c>
      <c r="H3" s="199"/>
      <c r="I3" s="199" t="s">
        <v>392</v>
      </c>
      <c r="J3" s="199">
        <v>25</v>
      </c>
      <c r="K3" s="199">
        <v>20</v>
      </c>
      <c r="L3" s="199"/>
      <c r="M3" s="199"/>
      <c r="N3" s="199"/>
      <c r="O3" s="185">
        <v>187.53</v>
      </c>
      <c r="P3" s="185">
        <v>186.74</v>
      </c>
      <c r="Q3" s="199" t="s">
        <v>393</v>
      </c>
      <c r="R3" s="199" t="s">
        <v>394</v>
      </c>
      <c r="S3" s="199">
        <v>324335.35149999999</v>
      </c>
      <c r="T3" s="199">
        <v>2149849.4049999998</v>
      </c>
      <c r="U3" s="199">
        <v>324344.41729999997</v>
      </c>
      <c r="V3" s="199">
        <v>2149894.2310000001</v>
      </c>
      <c r="W3" s="199"/>
      <c r="X3" s="199"/>
      <c r="Y3" s="199"/>
      <c r="Z3" s="199"/>
      <c r="AA3" s="199"/>
      <c r="AB3" s="199" t="s">
        <v>389</v>
      </c>
      <c r="AC3" s="199" t="s">
        <v>393</v>
      </c>
      <c r="AD3" s="199"/>
      <c r="AL3" s="199"/>
      <c r="AM3" s="199"/>
      <c r="AN3" s="199"/>
      <c r="AO3" s="199"/>
      <c r="AP3" s="199"/>
      <c r="AQ3" s="199"/>
      <c r="AR3" s="199"/>
      <c r="AS3" s="199"/>
      <c r="AV3" s="199"/>
      <c r="AW3" s="199"/>
      <c r="AX3" s="199"/>
      <c r="AY3" s="199"/>
      <c r="AZ3" s="199"/>
      <c r="BA3" s="199"/>
      <c r="BB3" s="199"/>
      <c r="BD3" s="199"/>
      <c r="BF3" s="199"/>
      <c r="BG3" s="194"/>
      <c r="BJ3" s="194"/>
      <c r="BK3" s="194"/>
      <c r="BL3" s="194"/>
      <c r="BM3" s="194"/>
      <c r="BN3" s="194"/>
      <c r="BO3" s="194"/>
      <c r="BP3" s="194"/>
      <c r="BQ3" s="194"/>
      <c r="BR3" s="194"/>
      <c r="BS3" s="194"/>
      <c r="BT3" s="194"/>
      <c r="BU3" s="194"/>
      <c r="BV3" s="194"/>
      <c r="BW3" s="194"/>
      <c r="BX3" s="194"/>
      <c r="BY3" s="194"/>
      <c r="BZ3" s="194"/>
      <c r="CA3" s="194"/>
      <c r="CB3" s="194"/>
      <c r="CC3" s="194"/>
      <c r="CD3" s="194"/>
      <c r="CE3" s="194"/>
      <c r="CF3" s="194"/>
      <c r="CG3" s="194"/>
      <c r="CH3" s="194"/>
      <c r="CI3" s="194"/>
      <c r="CJ3" s="194"/>
      <c r="CK3" s="194"/>
      <c r="CL3" s="194"/>
      <c r="CM3" s="194"/>
      <c r="CN3" s="194"/>
      <c r="CO3" s="194"/>
      <c r="CP3" s="194"/>
      <c r="CQ3" s="194"/>
      <c r="CR3" s="194"/>
      <c r="CS3" s="194"/>
      <c r="CT3" s="194"/>
      <c r="CU3" s="194"/>
      <c r="CV3" s="194"/>
    </row>
    <row r="4" spans="1:282" x14ac:dyDescent="0.2">
      <c r="A4" s="212">
        <v>0</v>
      </c>
      <c r="B4" s="212">
        <v>0</v>
      </c>
      <c r="C4" s="199" t="s">
        <v>386</v>
      </c>
      <c r="D4" s="199" t="s">
        <v>393</v>
      </c>
      <c r="E4" s="185">
        <v>58.38</v>
      </c>
      <c r="F4" s="199" t="s">
        <v>389</v>
      </c>
      <c r="G4" s="199"/>
      <c r="H4" s="199"/>
      <c r="I4" s="199" t="s">
        <v>395</v>
      </c>
      <c r="J4">
        <v>10</v>
      </c>
      <c r="K4">
        <v>10</v>
      </c>
      <c r="L4" s="199"/>
      <c r="M4" s="199"/>
      <c r="N4" s="199"/>
      <c r="O4" s="185">
        <v>186.74</v>
      </c>
      <c r="P4" s="185">
        <v>185.96</v>
      </c>
      <c r="Q4" s="199" t="s">
        <v>396</v>
      </c>
      <c r="R4" s="199" t="s">
        <v>397</v>
      </c>
      <c r="S4" s="199">
        <v>324344.41729999997</v>
      </c>
      <c r="T4" s="199">
        <v>2149894.2310000001</v>
      </c>
      <c r="U4" s="199">
        <v>324287.00040000002</v>
      </c>
      <c r="V4" s="199">
        <v>2149904.8080000002</v>
      </c>
      <c r="W4" s="199"/>
      <c r="X4" s="199"/>
      <c r="Y4" s="199"/>
      <c r="Z4" s="199"/>
      <c r="AA4" s="199"/>
      <c r="AB4" s="199" t="s">
        <v>393</v>
      </c>
      <c r="AC4" s="199" t="s">
        <v>396</v>
      </c>
      <c r="AD4" s="199"/>
      <c r="AL4" s="199"/>
      <c r="AM4" s="199"/>
      <c r="AN4" s="199"/>
      <c r="AO4" s="199"/>
      <c r="AP4" s="199"/>
      <c r="AQ4" s="199"/>
      <c r="AR4" s="199"/>
      <c r="AS4" s="199"/>
      <c r="AV4" s="199"/>
      <c r="AW4" s="199"/>
      <c r="AX4" s="199"/>
      <c r="AY4" s="199"/>
      <c r="AZ4" s="199"/>
      <c r="BD4" s="199"/>
      <c r="BF4" s="199"/>
    </row>
    <row r="5" spans="1:282" x14ac:dyDescent="0.2">
      <c r="A5" s="212">
        <v>0</v>
      </c>
      <c r="B5" s="212">
        <v>0</v>
      </c>
      <c r="C5" s="199" t="s">
        <v>386</v>
      </c>
      <c r="D5" s="199" t="s">
        <v>396</v>
      </c>
      <c r="E5" s="185">
        <v>39.82</v>
      </c>
      <c r="F5" s="199" t="s">
        <v>393</v>
      </c>
      <c r="G5" s="199"/>
      <c r="H5" s="199"/>
      <c r="I5" s="199"/>
      <c r="J5"/>
      <c r="K5"/>
      <c r="L5" s="199"/>
      <c r="M5" s="199"/>
      <c r="N5" s="199"/>
      <c r="O5" s="185">
        <v>185.96</v>
      </c>
      <c r="P5" s="185">
        <v>184.51</v>
      </c>
      <c r="Q5" s="199" t="s">
        <v>398</v>
      </c>
      <c r="R5" s="199" t="s">
        <v>399</v>
      </c>
      <c r="S5" s="199">
        <v>324287.00040000002</v>
      </c>
      <c r="T5" s="199">
        <v>2149904.8080000002</v>
      </c>
      <c r="U5" s="199">
        <v>324264.3358</v>
      </c>
      <c r="V5" s="199">
        <v>2149937.5449999999</v>
      </c>
      <c r="W5" s="199"/>
      <c r="X5" s="199"/>
      <c r="Y5" s="199"/>
      <c r="Z5" s="199"/>
      <c r="AA5" s="199"/>
      <c r="AB5" s="199" t="s">
        <v>396</v>
      </c>
      <c r="AC5" s="199" t="s">
        <v>398</v>
      </c>
      <c r="AD5" s="199"/>
      <c r="AL5" s="199"/>
      <c r="AM5" s="199"/>
      <c r="AN5" s="199"/>
      <c r="AO5" s="199"/>
      <c r="AP5" s="199"/>
      <c r="AQ5" s="199"/>
      <c r="AR5" s="199"/>
      <c r="AS5" s="199"/>
      <c r="AV5" s="199"/>
      <c r="AW5" s="199"/>
      <c r="AX5" s="199"/>
      <c r="AY5" s="199"/>
      <c r="AZ5" s="199"/>
      <c r="BD5" s="199"/>
      <c r="BF5" s="199"/>
    </row>
    <row r="6" spans="1:282" x14ac:dyDescent="0.2">
      <c r="A6" s="212">
        <v>0</v>
      </c>
      <c r="B6" s="212">
        <v>0</v>
      </c>
      <c r="C6" s="199" t="s">
        <v>386</v>
      </c>
      <c r="D6" s="199" t="s">
        <v>398</v>
      </c>
      <c r="E6" s="185">
        <v>99.39</v>
      </c>
      <c r="F6" s="199" t="s">
        <v>396</v>
      </c>
      <c r="G6" s="199"/>
      <c r="H6" s="199"/>
      <c r="I6" s="199" t="s">
        <v>400</v>
      </c>
      <c r="J6">
        <v>150</v>
      </c>
      <c r="K6">
        <v>100</v>
      </c>
      <c r="L6" s="199"/>
      <c r="M6" s="199"/>
      <c r="N6" s="199"/>
      <c r="O6" s="185">
        <v>184.51</v>
      </c>
      <c r="P6" s="185">
        <v>182</v>
      </c>
      <c r="Q6" s="199" t="s">
        <v>401</v>
      </c>
      <c r="R6" s="199" t="s">
        <v>402</v>
      </c>
      <c r="S6" s="199">
        <v>324264.3358</v>
      </c>
      <c r="T6" s="199">
        <v>2149937.5449999999</v>
      </c>
      <c r="U6" s="199">
        <v>324209.43719999999</v>
      </c>
      <c r="V6" s="199">
        <v>2150020.3969999999</v>
      </c>
      <c r="W6" s="199"/>
      <c r="X6" s="199"/>
      <c r="Y6" s="199"/>
      <c r="Z6" s="199"/>
      <c r="AA6" s="199"/>
      <c r="AB6" s="199" t="s">
        <v>398</v>
      </c>
      <c r="AC6" s="199" t="s">
        <v>401</v>
      </c>
      <c r="AD6" s="199"/>
      <c r="AL6" s="199"/>
      <c r="AM6" s="199"/>
      <c r="AN6" s="199"/>
      <c r="AO6" s="199"/>
      <c r="AP6" s="199"/>
      <c r="AQ6" s="199"/>
      <c r="AR6" s="199"/>
      <c r="AS6" s="199"/>
      <c r="AV6" s="199"/>
      <c r="AW6" s="199"/>
      <c r="AX6" s="199"/>
      <c r="AY6" s="199"/>
      <c r="AZ6" s="199"/>
      <c r="BD6" s="199"/>
      <c r="BF6" s="199"/>
    </row>
    <row r="7" spans="1:282" x14ac:dyDescent="0.2">
      <c r="A7" s="212">
        <v>0</v>
      </c>
      <c r="B7" s="212">
        <v>0</v>
      </c>
      <c r="C7" s="199" t="s">
        <v>386</v>
      </c>
      <c r="D7" s="199" t="s">
        <v>401</v>
      </c>
      <c r="E7" s="185">
        <v>36.57</v>
      </c>
      <c r="F7" s="199" t="s">
        <v>398</v>
      </c>
      <c r="G7" s="199"/>
      <c r="H7" s="199"/>
      <c r="I7" s="199"/>
      <c r="J7"/>
      <c r="K7"/>
      <c r="L7" s="199"/>
      <c r="M7" s="199"/>
      <c r="N7" s="199"/>
      <c r="O7" s="185">
        <v>182</v>
      </c>
      <c r="P7" s="185">
        <v>181.64</v>
      </c>
      <c r="Q7" s="199" t="s">
        <v>403</v>
      </c>
      <c r="R7" s="199" t="s">
        <v>404</v>
      </c>
      <c r="S7" s="199">
        <v>324209.43719999999</v>
      </c>
      <c r="T7" s="199">
        <v>2150020.3969999999</v>
      </c>
      <c r="U7" s="199">
        <v>324198.86040000001</v>
      </c>
      <c r="V7" s="199">
        <v>2150055.4010000001</v>
      </c>
      <c r="W7" s="199"/>
      <c r="X7" s="199"/>
      <c r="Y7" s="199"/>
      <c r="Z7" s="199"/>
      <c r="AA7" s="199"/>
      <c r="AB7" s="199" t="s">
        <v>401</v>
      </c>
      <c r="AC7" s="199" t="s">
        <v>403</v>
      </c>
      <c r="AD7" s="199"/>
      <c r="AL7" s="199"/>
      <c r="AM7" s="199"/>
      <c r="AN7" s="199"/>
      <c r="AO7" s="199"/>
      <c r="AP7" s="199"/>
      <c r="AQ7" s="199"/>
      <c r="AR7" s="199"/>
      <c r="AS7" s="199"/>
      <c r="AV7" s="199"/>
      <c r="AW7" s="199"/>
      <c r="AX7" s="199"/>
      <c r="AY7" s="199"/>
      <c r="AZ7" s="199"/>
      <c r="BD7" s="199"/>
      <c r="BF7" s="199"/>
    </row>
    <row r="8" spans="1:282" x14ac:dyDescent="0.2">
      <c r="A8" s="212">
        <v>0</v>
      </c>
      <c r="B8" s="212">
        <v>0</v>
      </c>
      <c r="C8" s="199" t="s">
        <v>386</v>
      </c>
      <c r="D8" s="199" t="s">
        <v>403</v>
      </c>
      <c r="E8" s="185">
        <v>75.27</v>
      </c>
      <c r="F8" s="199" t="s">
        <v>401</v>
      </c>
      <c r="G8" s="199" t="s">
        <v>405</v>
      </c>
      <c r="H8" s="199"/>
      <c r="I8" s="199" t="s">
        <v>406</v>
      </c>
      <c r="J8">
        <v>40</v>
      </c>
      <c r="K8">
        <v>30</v>
      </c>
      <c r="L8" s="199"/>
      <c r="M8" s="199"/>
      <c r="N8" s="199"/>
      <c r="O8" s="185">
        <v>181.64</v>
      </c>
      <c r="P8" s="185">
        <v>180.98</v>
      </c>
      <c r="Q8" s="199" t="s">
        <v>407</v>
      </c>
      <c r="R8" s="199" t="s">
        <v>408</v>
      </c>
      <c r="S8" s="199">
        <v>324198.86040000001</v>
      </c>
      <c r="T8" s="199">
        <v>2150055.4010000001</v>
      </c>
      <c r="U8" s="199">
        <v>324178.71409999998</v>
      </c>
      <c r="V8" s="199">
        <v>2150127.9279999998</v>
      </c>
      <c r="W8" s="199"/>
      <c r="X8" s="199"/>
      <c r="Y8" s="199"/>
      <c r="Z8" s="199"/>
      <c r="AA8" s="199"/>
      <c r="AB8" s="199" t="s">
        <v>403</v>
      </c>
      <c r="AC8" s="199" t="s">
        <v>407</v>
      </c>
      <c r="AD8" s="199"/>
      <c r="AL8" s="199"/>
      <c r="AM8" s="199"/>
      <c r="AN8" s="199"/>
      <c r="AO8" s="199"/>
      <c r="AP8" s="199"/>
      <c r="AQ8" s="199"/>
      <c r="AR8" s="199"/>
      <c r="AS8" s="199"/>
      <c r="AV8" s="199"/>
      <c r="AW8" s="199"/>
      <c r="AX8" s="199"/>
      <c r="AY8" s="199"/>
      <c r="AZ8" s="199"/>
      <c r="BD8" s="199"/>
      <c r="BF8" s="199"/>
    </row>
    <row r="9" spans="1:282" x14ac:dyDescent="0.2">
      <c r="A9" s="212">
        <v>0</v>
      </c>
      <c r="B9" s="212">
        <v>0</v>
      </c>
      <c r="C9" s="199" t="s">
        <v>386</v>
      </c>
      <c r="D9" s="199" t="s">
        <v>407</v>
      </c>
      <c r="E9" s="185">
        <v>61.5</v>
      </c>
      <c r="F9" s="199" t="s">
        <v>403</v>
      </c>
      <c r="G9" s="199" t="s">
        <v>409</v>
      </c>
      <c r="H9" s="199"/>
      <c r="I9" s="199"/>
      <c r="J9"/>
      <c r="K9"/>
      <c r="L9" s="199"/>
      <c r="M9" s="199"/>
      <c r="N9" s="199"/>
      <c r="O9" s="185">
        <v>180.98</v>
      </c>
      <c r="P9" s="185">
        <v>180.99</v>
      </c>
      <c r="Q9" s="199" t="s">
        <v>410</v>
      </c>
      <c r="R9" s="199" t="s">
        <v>411</v>
      </c>
      <c r="S9" s="199">
        <v>324178.71409999998</v>
      </c>
      <c r="T9" s="199">
        <v>2150127.9279999998</v>
      </c>
      <c r="U9" s="199">
        <v>324152.02029999997</v>
      </c>
      <c r="V9" s="199">
        <v>2150183.33</v>
      </c>
      <c r="W9" s="199"/>
      <c r="X9" s="199"/>
      <c r="Y9" s="199"/>
      <c r="Z9" s="199"/>
      <c r="AA9" s="199"/>
      <c r="AB9" s="199" t="s">
        <v>407</v>
      </c>
      <c r="AC9" s="199" t="s">
        <v>410</v>
      </c>
      <c r="AD9" s="199"/>
      <c r="AL9" s="199"/>
      <c r="AM9" s="199"/>
      <c r="AN9" s="199"/>
      <c r="AO9" s="199"/>
      <c r="AP9" s="199"/>
      <c r="AQ9" s="199"/>
      <c r="AR9" s="199"/>
      <c r="AS9" s="199"/>
      <c r="AV9" s="199"/>
      <c r="AW9" s="199"/>
      <c r="AX9" s="199"/>
      <c r="AY9" s="199"/>
      <c r="AZ9" s="199"/>
      <c r="BD9" s="199"/>
      <c r="BF9" s="199"/>
    </row>
    <row r="10" spans="1:282" x14ac:dyDescent="0.2">
      <c r="A10" s="212">
        <v>0</v>
      </c>
      <c r="B10" s="212">
        <v>0</v>
      </c>
      <c r="C10" s="199" t="s">
        <v>386</v>
      </c>
      <c r="D10" s="199" t="s">
        <v>410</v>
      </c>
      <c r="E10" s="185">
        <v>51.07</v>
      </c>
      <c r="F10" s="199" t="s">
        <v>407</v>
      </c>
      <c r="G10" s="199"/>
      <c r="H10" s="199"/>
      <c r="I10" s="199"/>
      <c r="J10"/>
      <c r="K10"/>
      <c r="L10" s="199"/>
      <c r="M10" s="199"/>
      <c r="N10" s="199"/>
      <c r="O10" s="185">
        <v>180.99</v>
      </c>
      <c r="P10" s="185">
        <v>180.78</v>
      </c>
      <c r="Q10" s="199" t="s">
        <v>412</v>
      </c>
      <c r="R10" s="199" t="s">
        <v>413</v>
      </c>
      <c r="S10" s="199">
        <v>324152.02029999997</v>
      </c>
      <c r="T10" s="199">
        <v>2150183.33</v>
      </c>
      <c r="U10" s="199">
        <v>324138.9252</v>
      </c>
      <c r="V10" s="199">
        <v>2150232.6880000001</v>
      </c>
      <c r="W10" s="199"/>
      <c r="X10" s="199"/>
      <c r="Y10" s="199"/>
      <c r="Z10" s="199"/>
      <c r="AA10" s="199"/>
      <c r="AB10" s="199" t="s">
        <v>410</v>
      </c>
      <c r="AC10" s="199" t="s">
        <v>412</v>
      </c>
      <c r="AD10" s="199"/>
      <c r="AL10" s="199"/>
      <c r="AM10" s="199"/>
      <c r="AN10" s="199"/>
      <c r="AO10" s="199"/>
      <c r="AP10" s="199"/>
      <c r="AQ10" s="199"/>
      <c r="AR10" s="199"/>
      <c r="AS10" s="199"/>
      <c r="AV10" s="199"/>
      <c r="AW10" s="199"/>
      <c r="AX10" s="199"/>
      <c r="AY10" s="199"/>
      <c r="AZ10" s="199"/>
      <c r="BD10" s="199"/>
      <c r="BF10" s="199"/>
    </row>
    <row r="11" spans="1:282" x14ac:dyDescent="0.2">
      <c r="A11" s="212">
        <v>0</v>
      </c>
      <c r="B11" s="212">
        <v>0</v>
      </c>
      <c r="C11" s="199" t="s">
        <v>386</v>
      </c>
      <c r="D11" s="199" t="s">
        <v>412</v>
      </c>
      <c r="E11" s="185">
        <v>59.64</v>
      </c>
      <c r="F11" s="199" t="s">
        <v>410</v>
      </c>
      <c r="G11" s="199" t="s">
        <v>414</v>
      </c>
      <c r="H11" s="199"/>
      <c r="I11" s="199"/>
      <c r="J11"/>
      <c r="K11"/>
      <c r="L11" s="199"/>
      <c r="M11" s="199"/>
      <c r="N11" s="199"/>
      <c r="O11" s="185">
        <v>180.78</v>
      </c>
      <c r="P11" s="185">
        <v>180.99</v>
      </c>
      <c r="Q11" s="199" t="s">
        <v>415</v>
      </c>
      <c r="R11" s="199" t="s">
        <v>416</v>
      </c>
      <c r="S11" s="199">
        <v>324138.9252</v>
      </c>
      <c r="T11" s="199">
        <v>2150232.6880000001</v>
      </c>
      <c r="U11" s="199">
        <v>324081.50829999999</v>
      </c>
      <c r="V11" s="199">
        <v>2150248.8050000002</v>
      </c>
      <c r="W11" s="199"/>
      <c r="X11" s="199"/>
      <c r="Y11" s="199"/>
      <c r="Z11" s="199"/>
      <c r="AA11" s="199"/>
      <c r="AB11" s="199" t="s">
        <v>412</v>
      </c>
      <c r="AC11" s="199" t="s">
        <v>415</v>
      </c>
      <c r="AD11" s="199"/>
      <c r="AL11" s="199"/>
      <c r="AM11" s="199"/>
      <c r="AN11" s="199"/>
      <c r="AO11" s="199"/>
      <c r="AP11" s="199"/>
      <c r="AQ11" s="199"/>
      <c r="AR11" s="199"/>
      <c r="AS11" s="199"/>
      <c r="AV11" s="199"/>
      <c r="AW11" s="199"/>
      <c r="AX11" s="199"/>
      <c r="AY11" s="199"/>
      <c r="AZ11" s="199"/>
      <c r="BD11" s="199"/>
      <c r="BF11" s="199"/>
    </row>
    <row r="12" spans="1:282" x14ac:dyDescent="0.2">
      <c r="A12" s="212">
        <v>0</v>
      </c>
      <c r="B12" s="212">
        <v>0</v>
      </c>
      <c r="C12" s="199" t="s">
        <v>386</v>
      </c>
      <c r="D12" s="199" t="s">
        <v>415</v>
      </c>
      <c r="E12" s="185">
        <v>73.430000000000007</v>
      </c>
      <c r="F12" s="199" t="s">
        <v>412</v>
      </c>
      <c r="G12" s="199"/>
      <c r="H12" s="199"/>
      <c r="I12" s="199"/>
      <c r="J12"/>
      <c r="K12"/>
      <c r="L12" s="199"/>
      <c r="M12" s="199"/>
      <c r="N12" s="199"/>
      <c r="O12" s="185">
        <v>180.99</v>
      </c>
      <c r="P12" s="185">
        <v>180.44</v>
      </c>
      <c r="Q12" s="199" t="s">
        <v>417</v>
      </c>
      <c r="R12" s="199" t="s">
        <v>418</v>
      </c>
      <c r="S12" s="199">
        <v>324081.50829999999</v>
      </c>
      <c r="T12" s="199">
        <v>2150248.8050000002</v>
      </c>
      <c r="U12" s="199">
        <v>324012.0037</v>
      </c>
      <c r="V12" s="199">
        <v>2150272.477</v>
      </c>
      <c r="W12" s="199"/>
      <c r="X12" s="199"/>
      <c r="Y12" s="199"/>
      <c r="Z12" s="199"/>
      <c r="AA12" s="199"/>
      <c r="AB12" s="199" t="s">
        <v>415</v>
      </c>
      <c r="AC12" s="199" t="s">
        <v>417</v>
      </c>
      <c r="AD12" s="199"/>
      <c r="AL12" s="199"/>
      <c r="AM12" s="199"/>
      <c r="AN12" s="199"/>
      <c r="AO12" s="199"/>
      <c r="AP12" s="199"/>
      <c r="AQ12" s="199"/>
      <c r="AR12" s="199"/>
      <c r="AS12" s="199"/>
      <c r="AV12" s="199"/>
      <c r="AW12" s="199"/>
      <c r="AX12" s="199"/>
      <c r="AY12" s="199"/>
      <c r="AZ12" s="199"/>
      <c r="BD12" s="199"/>
      <c r="BF12" s="199"/>
    </row>
    <row r="13" spans="1:282" x14ac:dyDescent="0.2">
      <c r="A13" s="212">
        <v>0</v>
      </c>
      <c r="B13" s="212">
        <v>1</v>
      </c>
      <c r="C13" s="199" t="s">
        <v>386</v>
      </c>
      <c r="D13" s="199" t="s">
        <v>417</v>
      </c>
      <c r="E13" s="185">
        <v>70.400000000000006</v>
      </c>
      <c r="F13" s="199" t="s">
        <v>415</v>
      </c>
      <c r="G13" s="199" t="s">
        <v>419</v>
      </c>
      <c r="H13" s="199"/>
      <c r="I13" s="199"/>
      <c r="J13"/>
      <c r="K13"/>
      <c r="L13" s="199"/>
      <c r="M13" s="199"/>
      <c r="N13" s="199"/>
      <c r="O13" s="185">
        <v>180.44</v>
      </c>
      <c r="P13" s="185">
        <v>179.94</v>
      </c>
      <c r="Q13" s="199"/>
      <c r="R13" s="199" t="s">
        <v>420</v>
      </c>
      <c r="S13" s="199">
        <v>324012.0037</v>
      </c>
      <c r="T13" s="199">
        <v>2150272.477</v>
      </c>
      <c r="U13" s="199">
        <v>324035.17190000002</v>
      </c>
      <c r="V13" s="199">
        <v>2150338.96</v>
      </c>
      <c r="W13" s="199"/>
      <c r="X13" s="199"/>
      <c r="Y13" s="199"/>
      <c r="Z13" s="199"/>
      <c r="AA13" s="199"/>
      <c r="AB13" s="199" t="s">
        <v>417</v>
      </c>
      <c r="AC13" s="199" t="s">
        <v>421</v>
      </c>
      <c r="AD13" s="199"/>
      <c r="AL13" s="199"/>
      <c r="AM13" s="199"/>
      <c r="AN13" s="199"/>
      <c r="AO13" s="199"/>
      <c r="AP13" s="199"/>
      <c r="AQ13" s="199"/>
      <c r="AR13" s="199"/>
      <c r="AS13" s="199"/>
      <c r="AV13" s="199"/>
      <c r="AW13" s="199"/>
      <c r="AX13" s="199"/>
      <c r="AY13" s="199"/>
      <c r="AZ13" s="199"/>
      <c r="BD13" s="199"/>
      <c r="BF13" s="199"/>
    </row>
    <row r="14" spans="1:282" x14ac:dyDescent="0.2">
      <c r="A14" s="212">
        <v>1</v>
      </c>
      <c r="B14" s="212">
        <v>0</v>
      </c>
      <c r="C14" s="199" t="s">
        <v>422</v>
      </c>
      <c r="D14" s="199" t="s">
        <v>423</v>
      </c>
      <c r="E14" s="185">
        <v>45.51</v>
      </c>
      <c r="F14" s="199"/>
      <c r="G14" s="199"/>
      <c r="H14" s="199"/>
      <c r="I14" s="199"/>
      <c r="J14"/>
      <c r="K14"/>
      <c r="L14" s="199"/>
      <c r="M14" s="199"/>
      <c r="N14" s="199"/>
      <c r="O14" s="185">
        <v>182.69</v>
      </c>
      <c r="P14" s="185">
        <v>182.76</v>
      </c>
      <c r="Q14" s="199" t="s">
        <v>424</v>
      </c>
      <c r="R14" s="199" t="s">
        <v>425</v>
      </c>
      <c r="S14" s="199">
        <v>324384.20620000002</v>
      </c>
      <c r="T14" s="199">
        <v>2150264.9219999998</v>
      </c>
      <c r="U14" s="199">
        <v>324343.91360000003</v>
      </c>
      <c r="V14" s="199">
        <v>2150286.0759999999</v>
      </c>
      <c r="W14" s="199"/>
      <c r="X14" s="199"/>
      <c r="Y14" s="199"/>
      <c r="Z14" s="199"/>
      <c r="AA14" s="199"/>
      <c r="AB14" s="199" t="s">
        <v>423</v>
      </c>
      <c r="AC14" s="199" t="s">
        <v>424</v>
      </c>
      <c r="AD14" s="199"/>
      <c r="AL14" s="199"/>
      <c r="AM14" s="199"/>
      <c r="AN14" s="199"/>
      <c r="AO14" s="199"/>
      <c r="AP14" s="199"/>
      <c r="AQ14" s="199"/>
      <c r="AR14" s="199"/>
      <c r="AS14" s="199"/>
      <c r="AV14" s="199"/>
      <c r="AW14" s="199"/>
      <c r="AX14" s="199"/>
      <c r="AY14" s="199"/>
      <c r="AZ14" s="199"/>
      <c r="BD14" s="199"/>
      <c r="BF14" s="199"/>
    </row>
    <row r="15" spans="1:282" x14ac:dyDescent="0.2">
      <c r="A15" s="212">
        <v>0</v>
      </c>
      <c r="B15" s="212">
        <v>0</v>
      </c>
      <c r="C15" s="199" t="s">
        <v>422</v>
      </c>
      <c r="D15" s="199" t="s">
        <v>424</v>
      </c>
      <c r="E15" s="185">
        <v>49.84</v>
      </c>
      <c r="F15" s="199" t="s">
        <v>423</v>
      </c>
      <c r="G15" s="199"/>
      <c r="H15" s="199"/>
      <c r="I15" s="199"/>
      <c r="J15" s="199"/>
      <c r="K15" s="199"/>
      <c r="L15" s="199"/>
      <c r="M15" s="199"/>
      <c r="N15" s="199"/>
      <c r="O15" s="185">
        <v>182.76</v>
      </c>
      <c r="P15" s="185">
        <v>182.16</v>
      </c>
      <c r="Q15" s="199" t="s">
        <v>426</v>
      </c>
      <c r="R15" s="199" t="s">
        <v>427</v>
      </c>
      <c r="S15" s="199">
        <v>324343.91360000003</v>
      </c>
      <c r="T15" s="199">
        <v>2150286.0759999999</v>
      </c>
      <c r="U15" s="199">
        <v>324295.5626</v>
      </c>
      <c r="V15" s="199">
        <v>2150273.9879999999</v>
      </c>
      <c r="W15" s="199"/>
      <c r="X15" s="199"/>
      <c r="Y15" s="199"/>
      <c r="Z15" s="199"/>
      <c r="AA15" s="199"/>
      <c r="AB15" s="199" t="s">
        <v>424</v>
      </c>
      <c r="AC15" s="199" t="s">
        <v>426</v>
      </c>
      <c r="AD15" s="199"/>
      <c r="AL15" s="199"/>
      <c r="AM15" s="199"/>
      <c r="AN15" s="199"/>
      <c r="AO15" s="199"/>
      <c r="AP15" s="199"/>
      <c r="AQ15" s="199"/>
      <c r="AR15" s="199"/>
      <c r="AS15" s="199"/>
      <c r="AV15" s="199"/>
      <c r="AW15" s="199"/>
      <c r="AX15" s="199"/>
      <c r="AY15" s="199"/>
      <c r="AZ15" s="199"/>
      <c r="BA15" s="199"/>
      <c r="BB15" s="199"/>
      <c r="BD15" s="199"/>
      <c r="BF15" s="199"/>
      <c r="BG15" s="194"/>
      <c r="BH15" s="194"/>
      <c r="BJ15" s="194"/>
      <c r="BK15" s="194"/>
      <c r="BL15" s="194"/>
      <c r="BM15" s="194"/>
      <c r="BN15" s="194"/>
      <c r="BO15" s="194"/>
      <c r="BP15" s="194"/>
      <c r="BQ15" s="194"/>
      <c r="BR15" s="194"/>
      <c r="BS15" s="194"/>
      <c r="BT15" s="194"/>
      <c r="BU15" s="194"/>
      <c r="BV15" s="194"/>
      <c r="BW15" s="194"/>
      <c r="BX15" s="194"/>
      <c r="BY15" s="194"/>
      <c r="BZ15" s="194"/>
      <c r="CA15" s="194"/>
      <c r="CB15" s="194"/>
      <c r="CC15" s="194"/>
      <c r="CD15" s="194"/>
      <c r="CE15" s="194"/>
      <c r="CF15" s="194"/>
      <c r="CG15" s="194"/>
      <c r="CH15" s="194"/>
      <c r="CI15" s="194"/>
      <c r="CJ15" s="194"/>
      <c r="CK15" s="194"/>
      <c r="CL15" s="194"/>
      <c r="CM15" s="194"/>
      <c r="CN15" s="194"/>
      <c r="CO15" s="194"/>
      <c r="CP15" s="194"/>
      <c r="CQ15" s="194"/>
      <c r="CR15" s="194"/>
      <c r="CS15" s="194"/>
      <c r="CT15" s="194"/>
      <c r="CU15" s="194"/>
      <c r="CV15" s="194"/>
    </row>
    <row r="16" spans="1:282" x14ac:dyDescent="0.2">
      <c r="A16" s="212">
        <v>0</v>
      </c>
      <c r="B16" s="212">
        <v>0</v>
      </c>
      <c r="C16" s="199" t="s">
        <v>422</v>
      </c>
      <c r="D16" s="199" t="s">
        <v>426</v>
      </c>
      <c r="E16" s="185">
        <v>81.92</v>
      </c>
      <c r="F16" s="199" t="s">
        <v>424</v>
      </c>
      <c r="G16" s="199"/>
      <c r="H16" s="199"/>
      <c r="I16" s="199"/>
      <c r="J16"/>
      <c r="K16"/>
      <c r="L16" s="199"/>
      <c r="M16" s="199"/>
      <c r="N16" s="199"/>
      <c r="O16" s="185">
        <v>182.16</v>
      </c>
      <c r="P16" s="185">
        <v>180.91</v>
      </c>
      <c r="Q16" s="199" t="s">
        <v>428</v>
      </c>
      <c r="R16" s="199" t="s">
        <v>429</v>
      </c>
      <c r="S16" s="199">
        <v>324295.5626</v>
      </c>
      <c r="T16" s="199">
        <v>2150273.9879999999</v>
      </c>
      <c r="U16" s="199">
        <v>324216.99209999997</v>
      </c>
      <c r="V16" s="199">
        <v>2150250.8199999998</v>
      </c>
      <c r="W16" s="199"/>
      <c r="X16" s="199"/>
      <c r="Y16" s="199"/>
      <c r="Z16" s="199"/>
      <c r="AA16" s="199"/>
      <c r="AB16" s="199" t="s">
        <v>426</v>
      </c>
      <c r="AC16" s="199" t="s">
        <v>428</v>
      </c>
      <c r="AD16" s="199"/>
      <c r="AL16" s="199"/>
      <c r="AM16" s="199"/>
      <c r="AN16" s="199"/>
      <c r="AO16" s="199"/>
      <c r="AP16" s="199"/>
      <c r="AQ16" s="199"/>
      <c r="AR16" s="199"/>
      <c r="AS16" s="199"/>
      <c r="AV16" s="199"/>
      <c r="AW16" s="199"/>
      <c r="AX16" s="199"/>
      <c r="AY16" s="199"/>
      <c r="AZ16" s="199"/>
      <c r="BD16" s="199"/>
      <c r="BF16" s="199"/>
    </row>
    <row r="17" spans="1:100" x14ac:dyDescent="0.2">
      <c r="A17" s="212">
        <v>0</v>
      </c>
      <c r="B17" s="212">
        <v>0</v>
      </c>
      <c r="C17" s="199" t="s">
        <v>422</v>
      </c>
      <c r="D17" s="199" t="s">
        <v>428</v>
      </c>
      <c r="E17" s="185">
        <v>57.99</v>
      </c>
      <c r="F17" s="199" t="s">
        <v>426</v>
      </c>
      <c r="G17" s="199"/>
      <c r="H17" s="199"/>
      <c r="I17" s="199"/>
      <c r="J17"/>
      <c r="K17"/>
      <c r="L17" s="199"/>
      <c r="M17" s="199"/>
      <c r="N17" s="199"/>
      <c r="O17" s="185">
        <v>180.91</v>
      </c>
      <c r="P17" s="185">
        <v>180.31</v>
      </c>
      <c r="Q17" s="199" t="s">
        <v>414</v>
      </c>
      <c r="R17" s="199" t="s">
        <v>430</v>
      </c>
      <c r="S17" s="199">
        <v>324216.99209999997</v>
      </c>
      <c r="T17" s="199">
        <v>2150250.8199999998</v>
      </c>
      <c r="U17" s="199">
        <v>324161.58980000002</v>
      </c>
      <c r="V17" s="199">
        <v>2150233.696</v>
      </c>
      <c r="W17" s="199"/>
      <c r="X17" s="199"/>
      <c r="Y17" s="199"/>
      <c r="Z17" s="199"/>
      <c r="AA17" s="199"/>
      <c r="AB17" s="199" t="s">
        <v>428</v>
      </c>
      <c r="AC17" s="199" t="s">
        <v>414</v>
      </c>
      <c r="AD17" s="199"/>
      <c r="AL17" s="199"/>
      <c r="AM17" s="199"/>
      <c r="AN17" s="199"/>
      <c r="AO17" s="199"/>
      <c r="AP17" s="199"/>
      <c r="AQ17" s="199"/>
      <c r="AR17" s="199"/>
      <c r="AS17" s="199"/>
      <c r="AV17" s="199"/>
      <c r="AW17" s="199"/>
      <c r="AX17" s="199"/>
      <c r="AY17" s="199"/>
      <c r="AZ17" s="199"/>
      <c r="BD17" s="199"/>
      <c r="BF17" s="199"/>
    </row>
    <row r="18" spans="1:100" x14ac:dyDescent="0.2">
      <c r="A18" s="212">
        <v>0</v>
      </c>
      <c r="B18" s="212">
        <v>1</v>
      </c>
      <c r="C18" s="199" t="s">
        <v>422</v>
      </c>
      <c r="D18" s="199" t="s">
        <v>414</v>
      </c>
      <c r="E18" s="185">
        <v>22.69</v>
      </c>
      <c r="F18" s="199" t="s">
        <v>428</v>
      </c>
      <c r="G18" s="199"/>
      <c r="H18" s="199"/>
      <c r="I18" s="199"/>
      <c r="J18"/>
      <c r="K18"/>
      <c r="L18" s="199"/>
      <c r="M18" s="199"/>
      <c r="N18" s="199"/>
      <c r="O18" s="185">
        <v>180.31</v>
      </c>
      <c r="P18" s="185">
        <v>180.78</v>
      </c>
      <c r="Q18" s="199" t="s">
        <v>412</v>
      </c>
      <c r="R18" s="199" t="s">
        <v>431</v>
      </c>
      <c r="S18" s="199">
        <v>324161.58980000002</v>
      </c>
      <c r="T18" s="199">
        <v>2150233.696</v>
      </c>
      <c r="U18" s="199">
        <v>324138.9252</v>
      </c>
      <c r="V18" s="199">
        <v>2150232.6880000001</v>
      </c>
      <c r="W18" s="199"/>
      <c r="X18" s="199"/>
      <c r="Y18" s="199"/>
      <c r="Z18" s="199"/>
      <c r="AA18" s="199"/>
      <c r="AB18" s="199" t="s">
        <v>414</v>
      </c>
      <c r="AC18" s="199" t="s">
        <v>412</v>
      </c>
      <c r="AD18" s="199"/>
      <c r="AL18" s="199"/>
      <c r="AM18" s="199"/>
      <c r="AN18" s="199"/>
      <c r="AO18" s="199"/>
      <c r="AP18" s="199"/>
      <c r="AQ18" s="199"/>
      <c r="AR18" s="199"/>
      <c r="AS18" s="199"/>
      <c r="AV18" s="199"/>
      <c r="AW18" s="199"/>
      <c r="AX18" s="199"/>
      <c r="AY18" s="199"/>
      <c r="AZ18" s="199"/>
      <c r="BD18" s="199"/>
      <c r="BF18" s="199"/>
    </row>
    <row r="19" spans="1:100" x14ac:dyDescent="0.2">
      <c r="A19" s="212">
        <v>1</v>
      </c>
      <c r="B19" s="212">
        <v>0</v>
      </c>
      <c r="C19" s="199" t="s">
        <v>432</v>
      </c>
      <c r="D19" s="199" t="s">
        <v>433</v>
      </c>
      <c r="E19" s="185">
        <v>49.5</v>
      </c>
      <c r="F19" s="199"/>
      <c r="G19" s="199"/>
      <c r="H19" s="199"/>
      <c r="I19" s="199"/>
      <c r="J19"/>
      <c r="K19"/>
      <c r="L19" s="199"/>
      <c r="M19" s="199"/>
      <c r="N19" s="199"/>
      <c r="O19" s="185">
        <v>189.18</v>
      </c>
      <c r="P19" s="185">
        <v>187.3</v>
      </c>
      <c r="Q19" s="199" t="s">
        <v>391</v>
      </c>
      <c r="R19" s="199" t="s">
        <v>434</v>
      </c>
      <c r="S19" s="199">
        <v>324214.56420000002</v>
      </c>
      <c r="T19" s="199">
        <v>2149838.5049999999</v>
      </c>
      <c r="U19" s="199">
        <v>324255.01209999999</v>
      </c>
      <c r="V19" s="199">
        <v>2149867.031</v>
      </c>
      <c r="W19" s="199"/>
      <c r="X19" s="199"/>
      <c r="Y19" s="199"/>
      <c r="Z19" s="199"/>
      <c r="AA19" s="199"/>
      <c r="AB19" s="199" t="s">
        <v>433</v>
      </c>
      <c r="AC19" s="199" t="s">
        <v>391</v>
      </c>
      <c r="AD19" s="199"/>
      <c r="AL19" s="199"/>
      <c r="AM19" s="199"/>
      <c r="AN19" s="199"/>
      <c r="AO19" s="199"/>
      <c r="AP19" s="199"/>
      <c r="AQ19" s="199"/>
      <c r="AR19" s="199"/>
      <c r="AS19" s="199"/>
      <c r="AV19" s="199"/>
      <c r="AW19" s="199"/>
      <c r="AX19" s="199"/>
      <c r="AY19" s="199"/>
      <c r="AZ19" s="199"/>
      <c r="BD19" s="199"/>
      <c r="BF19" s="199"/>
    </row>
    <row r="20" spans="1:100" x14ac:dyDescent="0.2">
      <c r="A20" s="212">
        <v>0</v>
      </c>
      <c r="B20" s="212">
        <v>1</v>
      </c>
      <c r="C20" s="199" t="s">
        <v>432</v>
      </c>
      <c r="D20" s="199" t="s">
        <v>391</v>
      </c>
      <c r="E20" s="185">
        <v>82.25</v>
      </c>
      <c r="F20" s="199" t="s">
        <v>433</v>
      </c>
      <c r="G20" s="199"/>
      <c r="H20" s="199"/>
      <c r="I20" s="199"/>
      <c r="J20"/>
      <c r="K20"/>
      <c r="L20" s="199"/>
      <c r="M20" s="199"/>
      <c r="N20" s="199"/>
      <c r="O20" s="185">
        <v>187.3</v>
      </c>
      <c r="P20" s="185">
        <v>187.53</v>
      </c>
      <c r="Q20" s="199" t="s">
        <v>389</v>
      </c>
      <c r="R20" s="199" t="s">
        <v>435</v>
      </c>
      <c r="S20" s="199">
        <v>324255.01209999999</v>
      </c>
      <c r="T20" s="199">
        <v>2149867.031</v>
      </c>
      <c r="U20" s="199">
        <v>324335.35149999999</v>
      </c>
      <c r="V20" s="199">
        <v>2149849.4049999998</v>
      </c>
      <c r="W20" s="199"/>
      <c r="X20" s="199"/>
      <c r="Y20" s="199"/>
      <c r="Z20" s="199"/>
      <c r="AA20" s="199"/>
      <c r="AB20" s="199" t="s">
        <v>391</v>
      </c>
      <c r="AC20" s="199" t="s">
        <v>389</v>
      </c>
      <c r="AD20" s="199"/>
      <c r="AL20" s="199"/>
      <c r="AM20" s="199"/>
      <c r="AN20" s="199"/>
      <c r="AO20" s="199"/>
      <c r="AP20" s="199"/>
      <c r="AQ20" s="199"/>
      <c r="AR20" s="199"/>
      <c r="AS20" s="199"/>
      <c r="AV20" s="199"/>
      <c r="AW20" s="199"/>
      <c r="AX20" s="199"/>
      <c r="AY20" s="199"/>
      <c r="AZ20" s="199"/>
      <c r="BD20" s="199"/>
      <c r="BF20" s="199"/>
    </row>
    <row r="21" spans="1:100" x14ac:dyDescent="0.2">
      <c r="A21" s="212">
        <v>1</v>
      </c>
      <c r="B21" s="212">
        <v>0</v>
      </c>
      <c r="C21" s="199" t="s">
        <v>436</v>
      </c>
      <c r="D21" s="199" t="s">
        <v>437</v>
      </c>
      <c r="E21" s="185">
        <v>50.07</v>
      </c>
      <c r="F21" s="199"/>
      <c r="G21" s="199"/>
      <c r="H21" s="199"/>
      <c r="I21" s="199"/>
      <c r="J21"/>
      <c r="K21"/>
      <c r="L21" s="199"/>
      <c r="M21" s="199"/>
      <c r="N21" s="199"/>
      <c r="O21" s="185">
        <v>189.66</v>
      </c>
      <c r="P21" s="185">
        <v>189.67</v>
      </c>
      <c r="Q21" s="199" t="s">
        <v>438</v>
      </c>
      <c r="R21" s="199" t="s">
        <v>439</v>
      </c>
      <c r="S21" s="199">
        <v>323912.69569999998</v>
      </c>
      <c r="T21" s="199">
        <v>2149897.048</v>
      </c>
      <c r="U21" s="199">
        <v>323875.22820000001</v>
      </c>
      <c r="V21" s="199">
        <v>2149930.2579999999</v>
      </c>
      <c r="W21" s="199"/>
      <c r="X21" s="199"/>
      <c r="Y21" s="199"/>
      <c r="Z21" s="199"/>
      <c r="AA21" s="199"/>
      <c r="AB21" s="199" t="s">
        <v>437</v>
      </c>
      <c r="AC21" s="199" t="s">
        <v>438</v>
      </c>
      <c r="AD21" s="199"/>
      <c r="AL21" s="199"/>
      <c r="AM21" s="199"/>
      <c r="AN21" s="199"/>
      <c r="AO21" s="199"/>
      <c r="AP21" s="199"/>
      <c r="AQ21" s="199"/>
      <c r="AR21" s="199"/>
      <c r="AS21" s="199"/>
      <c r="AV21" s="199"/>
      <c r="AW21" s="199"/>
      <c r="AX21" s="199"/>
      <c r="AY21" s="199"/>
      <c r="AZ21" s="199"/>
      <c r="BD21" s="199"/>
      <c r="BF21" s="199"/>
    </row>
    <row r="22" spans="1:100" x14ac:dyDescent="0.2">
      <c r="A22" s="212">
        <v>0</v>
      </c>
      <c r="B22" s="212">
        <v>0</v>
      </c>
      <c r="C22" s="199" t="s">
        <v>436</v>
      </c>
      <c r="D22" s="199" t="s">
        <v>438</v>
      </c>
      <c r="E22" s="185">
        <v>21.71</v>
      </c>
      <c r="F22" s="199" t="s">
        <v>437</v>
      </c>
      <c r="G22" s="199"/>
      <c r="H22" s="199"/>
      <c r="I22" s="199"/>
      <c r="J22" s="199"/>
      <c r="K22" s="199"/>
      <c r="L22" s="199"/>
      <c r="M22" s="199"/>
      <c r="N22" s="199"/>
      <c r="O22" s="185">
        <v>189.67</v>
      </c>
      <c r="P22" s="185">
        <v>189.51</v>
      </c>
      <c r="Q22" s="199" t="s">
        <v>440</v>
      </c>
      <c r="R22" s="199" t="s">
        <v>441</v>
      </c>
      <c r="S22" s="199">
        <v>323875.22820000001</v>
      </c>
      <c r="T22" s="199">
        <v>2149930.2579999999</v>
      </c>
      <c r="U22" s="199">
        <v>323855.64289999998</v>
      </c>
      <c r="V22" s="199">
        <v>2149939.6239999998</v>
      </c>
      <c r="W22" s="199"/>
      <c r="X22" s="199"/>
      <c r="Y22" s="199"/>
      <c r="Z22" s="199"/>
      <c r="AA22" s="199"/>
      <c r="AB22" s="199" t="s">
        <v>438</v>
      </c>
      <c r="AC22" s="199" t="s">
        <v>440</v>
      </c>
      <c r="AD22" s="199"/>
      <c r="AL22" s="199"/>
      <c r="AM22" s="199"/>
      <c r="AN22" s="199"/>
      <c r="AO22" s="199"/>
      <c r="AP22" s="199"/>
      <c r="AQ22" s="199"/>
      <c r="AR22" s="199"/>
      <c r="AS22" s="199"/>
      <c r="AV22" s="199"/>
      <c r="AW22" s="199"/>
      <c r="AX22" s="199"/>
      <c r="AY22" s="199"/>
      <c r="AZ22" s="199"/>
      <c r="BA22" s="199"/>
      <c r="BB22" s="199"/>
      <c r="BD22" s="199"/>
      <c r="BF22" s="199"/>
      <c r="BG22" s="194"/>
      <c r="BJ22" s="194"/>
      <c r="BK22" s="194"/>
      <c r="BL22" s="194"/>
      <c r="BM22" s="194"/>
      <c r="BN22" s="194"/>
      <c r="BO22" s="194"/>
      <c r="BP22" s="194"/>
      <c r="BQ22" s="194"/>
      <c r="BR22" s="194"/>
      <c r="BS22" s="194"/>
      <c r="BT22" s="194"/>
      <c r="BU22" s="194"/>
      <c r="BV22" s="194"/>
      <c r="BW22" s="194"/>
      <c r="BX22" s="194"/>
      <c r="BY22" s="194"/>
      <c r="BZ22" s="194"/>
      <c r="CA22" s="194"/>
      <c r="CB22" s="194"/>
      <c r="CC22" s="194"/>
      <c r="CD22" s="194"/>
      <c r="CE22" s="194"/>
      <c r="CF22" s="194"/>
      <c r="CG22" s="194"/>
      <c r="CH22" s="194"/>
      <c r="CI22" s="194"/>
      <c r="CJ22" s="194"/>
      <c r="CK22" s="194"/>
      <c r="CL22" s="194"/>
      <c r="CM22" s="194"/>
      <c r="CN22" s="194"/>
      <c r="CO22" s="194"/>
      <c r="CP22" s="194"/>
      <c r="CQ22" s="194"/>
      <c r="CR22" s="194"/>
      <c r="CS22" s="194"/>
      <c r="CT22" s="194"/>
      <c r="CU22" s="194"/>
      <c r="CV22" s="194"/>
    </row>
    <row r="23" spans="1:100" x14ac:dyDescent="0.2">
      <c r="A23" s="212">
        <v>0</v>
      </c>
      <c r="B23" s="212">
        <v>0</v>
      </c>
      <c r="C23" s="199" t="s">
        <v>436</v>
      </c>
      <c r="D23" s="199" t="s">
        <v>440</v>
      </c>
      <c r="E23" s="185">
        <v>55.86</v>
      </c>
      <c r="F23" s="199" t="s">
        <v>438</v>
      </c>
      <c r="G23" s="199"/>
      <c r="H23" s="199"/>
      <c r="I23" s="199"/>
      <c r="J23"/>
      <c r="K23"/>
      <c r="L23" s="199"/>
      <c r="M23" s="199"/>
      <c r="N23" s="199"/>
      <c r="O23" s="185">
        <v>189.51</v>
      </c>
      <c r="P23" s="185">
        <v>189.44</v>
      </c>
      <c r="Q23" s="199" t="s">
        <v>442</v>
      </c>
      <c r="R23" s="199" t="s">
        <v>443</v>
      </c>
      <c r="S23" s="199">
        <v>323855.64289999998</v>
      </c>
      <c r="T23" s="199">
        <v>2149939.6239999998</v>
      </c>
      <c r="U23" s="199">
        <v>323889.70429999998</v>
      </c>
      <c r="V23" s="199">
        <v>2149983.9040000001</v>
      </c>
      <c r="W23" s="199"/>
      <c r="X23" s="199"/>
      <c r="Y23" s="199"/>
      <c r="Z23" s="199"/>
      <c r="AA23" s="199"/>
      <c r="AB23" s="199" t="s">
        <v>440</v>
      </c>
      <c r="AC23" s="199" t="s">
        <v>442</v>
      </c>
      <c r="AD23" s="199"/>
      <c r="AL23" s="199"/>
      <c r="AM23" s="199"/>
      <c r="AN23" s="199"/>
      <c r="AO23" s="199"/>
      <c r="AP23" s="199"/>
      <c r="AQ23" s="199"/>
      <c r="AR23" s="199"/>
      <c r="AS23" s="199"/>
      <c r="AV23" s="199"/>
      <c r="AW23" s="199"/>
      <c r="AX23" s="199"/>
      <c r="AY23" s="199"/>
      <c r="AZ23" s="199"/>
      <c r="BD23" s="199"/>
      <c r="BF23" s="199"/>
    </row>
    <row r="24" spans="1:100" x14ac:dyDescent="0.2">
      <c r="A24" s="212">
        <v>0</v>
      </c>
      <c r="B24" s="212">
        <v>0</v>
      </c>
      <c r="C24" s="199" t="s">
        <v>436</v>
      </c>
      <c r="D24" s="199" t="s">
        <v>442</v>
      </c>
      <c r="E24" s="185">
        <v>49.74</v>
      </c>
      <c r="F24" s="199" t="s">
        <v>440</v>
      </c>
      <c r="G24" s="199"/>
      <c r="H24" s="199"/>
      <c r="I24" s="199"/>
      <c r="J24"/>
      <c r="K24"/>
      <c r="L24" s="199"/>
      <c r="M24" s="199"/>
      <c r="N24" s="199"/>
      <c r="O24" s="185">
        <v>189.44</v>
      </c>
      <c r="P24" s="185">
        <v>189.06</v>
      </c>
      <c r="Q24" s="199" t="s">
        <v>444</v>
      </c>
      <c r="R24" s="199" t="s">
        <v>445</v>
      </c>
      <c r="S24" s="199">
        <v>323889.70429999998</v>
      </c>
      <c r="T24" s="199">
        <v>2149983.9040000001</v>
      </c>
      <c r="U24" s="199">
        <v>323918.65639999998</v>
      </c>
      <c r="V24" s="199">
        <v>2150024.352</v>
      </c>
      <c r="W24" s="199"/>
      <c r="X24" s="199"/>
      <c r="Y24" s="199"/>
      <c r="Z24" s="199"/>
      <c r="AA24" s="199"/>
      <c r="AB24" s="199" t="s">
        <v>442</v>
      </c>
      <c r="AC24" s="199" t="s">
        <v>444</v>
      </c>
      <c r="AD24" s="199"/>
      <c r="AL24" s="199"/>
      <c r="AM24" s="199"/>
      <c r="AN24" s="199"/>
      <c r="AO24" s="199"/>
      <c r="AP24" s="199"/>
      <c r="AQ24" s="199"/>
      <c r="AR24" s="199"/>
      <c r="AS24" s="199"/>
      <c r="AV24" s="199"/>
      <c r="AW24" s="199"/>
      <c r="AX24" s="199"/>
      <c r="AY24" s="199"/>
      <c r="AZ24" s="199"/>
      <c r="BD24" s="199"/>
      <c r="BF24" s="199"/>
    </row>
    <row r="25" spans="1:100" x14ac:dyDescent="0.2">
      <c r="A25" s="212">
        <v>0</v>
      </c>
      <c r="B25" s="212">
        <v>0</v>
      </c>
      <c r="C25" s="199" t="s">
        <v>436</v>
      </c>
      <c r="D25" s="199" t="s">
        <v>444</v>
      </c>
      <c r="E25" s="185">
        <v>60.19</v>
      </c>
      <c r="F25" s="199" t="s">
        <v>442</v>
      </c>
      <c r="G25" s="199"/>
      <c r="H25" s="199"/>
      <c r="I25" s="199"/>
      <c r="J25"/>
      <c r="K25"/>
      <c r="L25" s="199"/>
      <c r="M25" s="199"/>
      <c r="N25" s="199"/>
      <c r="O25" s="185">
        <v>189.06</v>
      </c>
      <c r="P25" s="185">
        <v>189</v>
      </c>
      <c r="Q25" s="199" t="s">
        <v>446</v>
      </c>
      <c r="R25" s="199" t="s">
        <v>447</v>
      </c>
      <c r="S25" s="199">
        <v>323918.65639999998</v>
      </c>
      <c r="T25" s="199">
        <v>2150024.352</v>
      </c>
      <c r="U25" s="199">
        <v>323944.20240000001</v>
      </c>
      <c r="V25" s="199">
        <v>2150078.85</v>
      </c>
      <c r="W25" s="199"/>
      <c r="X25" s="199"/>
      <c r="Y25" s="199"/>
      <c r="Z25" s="199"/>
      <c r="AA25" s="199"/>
      <c r="AB25" s="199" t="s">
        <v>444</v>
      </c>
      <c r="AC25" s="199" t="s">
        <v>446</v>
      </c>
      <c r="AD25" s="199"/>
      <c r="AL25" s="199"/>
      <c r="AM25" s="199"/>
      <c r="AN25" s="199"/>
      <c r="AO25" s="199"/>
      <c r="AP25" s="199"/>
      <c r="AQ25" s="199"/>
      <c r="AR25" s="199"/>
      <c r="AS25" s="199"/>
      <c r="AV25" s="199"/>
      <c r="AW25" s="199"/>
      <c r="AX25" s="199"/>
      <c r="AY25" s="199"/>
      <c r="AZ25" s="199"/>
      <c r="BD25" s="199"/>
      <c r="BF25" s="199"/>
    </row>
    <row r="26" spans="1:100" x14ac:dyDescent="0.2">
      <c r="A26" s="212">
        <v>0</v>
      </c>
      <c r="B26" s="212">
        <v>0</v>
      </c>
      <c r="C26" s="199" t="s">
        <v>436</v>
      </c>
      <c r="D26" s="199" t="s">
        <v>446</v>
      </c>
      <c r="E26" s="185">
        <v>53.99</v>
      </c>
      <c r="F26" s="199" t="s">
        <v>444</v>
      </c>
      <c r="G26" s="199"/>
      <c r="H26" s="199"/>
      <c r="I26" s="199"/>
      <c r="J26"/>
      <c r="K26"/>
      <c r="L26" s="199"/>
      <c r="M26" s="199"/>
      <c r="N26" s="199"/>
      <c r="O26" s="185">
        <v>189</v>
      </c>
      <c r="P26" s="185">
        <v>188.24</v>
      </c>
      <c r="Q26" s="199" t="s">
        <v>448</v>
      </c>
      <c r="R26" s="199" t="s">
        <v>449</v>
      </c>
      <c r="S26" s="199">
        <v>323944.20240000001</v>
      </c>
      <c r="T26" s="199">
        <v>2150078.85</v>
      </c>
      <c r="U26" s="199">
        <v>323961.65879999998</v>
      </c>
      <c r="V26" s="199">
        <v>2150129.9419999998</v>
      </c>
      <c r="W26" s="199"/>
      <c r="X26" s="199"/>
      <c r="Y26" s="199"/>
      <c r="Z26" s="199"/>
      <c r="AA26" s="199"/>
      <c r="AB26" s="199" t="s">
        <v>446</v>
      </c>
      <c r="AC26" s="199" t="s">
        <v>448</v>
      </c>
      <c r="AD26" s="199"/>
      <c r="AL26" s="199"/>
      <c r="AM26" s="199"/>
      <c r="AN26" s="199"/>
      <c r="AO26" s="199"/>
      <c r="AP26" s="199"/>
      <c r="AQ26" s="199"/>
      <c r="AR26" s="199"/>
      <c r="AS26" s="199"/>
      <c r="AV26" s="199"/>
      <c r="AW26" s="199"/>
      <c r="AX26" s="199"/>
      <c r="AY26" s="199"/>
      <c r="AZ26" s="199"/>
      <c r="BD26" s="199"/>
      <c r="BF26" s="199"/>
    </row>
    <row r="27" spans="1:100" x14ac:dyDescent="0.2">
      <c r="A27" s="212">
        <v>0</v>
      </c>
      <c r="B27" s="212">
        <v>0</v>
      </c>
      <c r="C27" s="199" t="s">
        <v>436</v>
      </c>
      <c r="D27" s="199" t="s">
        <v>448</v>
      </c>
      <c r="E27" s="185">
        <v>56.97</v>
      </c>
      <c r="F27" s="199" t="s">
        <v>446</v>
      </c>
      <c r="G27" s="199" t="s">
        <v>450</v>
      </c>
      <c r="H27" s="199"/>
      <c r="I27" s="199"/>
      <c r="J27"/>
      <c r="K27"/>
      <c r="L27" s="199"/>
      <c r="M27" s="199"/>
      <c r="N27" s="199"/>
      <c r="O27" s="185">
        <v>188.24</v>
      </c>
      <c r="P27" s="185">
        <v>184.83</v>
      </c>
      <c r="Q27" s="199" t="s">
        <v>419</v>
      </c>
      <c r="R27" s="199" t="s">
        <v>451</v>
      </c>
      <c r="S27" s="199">
        <v>323961.65879999998</v>
      </c>
      <c r="T27" s="199">
        <v>2150129.9419999998</v>
      </c>
      <c r="U27" s="199">
        <v>323980.81829999998</v>
      </c>
      <c r="V27" s="199">
        <v>2150183.5890000002</v>
      </c>
      <c r="W27" s="199"/>
      <c r="X27" s="199"/>
      <c r="Y27" s="199"/>
      <c r="Z27" s="199"/>
      <c r="AA27" s="199"/>
      <c r="AB27" s="199" t="s">
        <v>448</v>
      </c>
      <c r="AC27" s="199" t="s">
        <v>419</v>
      </c>
      <c r="AD27" s="199"/>
      <c r="AL27" s="199"/>
      <c r="AM27" s="199"/>
      <c r="AN27" s="199"/>
      <c r="AO27" s="199"/>
      <c r="AP27" s="199"/>
      <c r="AQ27" s="199"/>
      <c r="AR27" s="199"/>
      <c r="AS27" s="199"/>
      <c r="AV27" s="199"/>
      <c r="AW27" s="199"/>
      <c r="AX27" s="199"/>
      <c r="AY27" s="199"/>
      <c r="AZ27" s="199"/>
      <c r="BD27" s="199"/>
      <c r="BF27" s="199"/>
    </row>
    <row r="28" spans="1:100" x14ac:dyDescent="0.2">
      <c r="A28" s="212">
        <v>0</v>
      </c>
      <c r="B28" s="212">
        <v>1</v>
      </c>
      <c r="C28" s="199" t="s">
        <v>436</v>
      </c>
      <c r="D28" s="199" t="s">
        <v>419</v>
      </c>
      <c r="E28" s="185">
        <v>94.2</v>
      </c>
      <c r="F28" s="199" t="s">
        <v>448</v>
      </c>
      <c r="G28" s="199"/>
      <c r="H28" s="199"/>
      <c r="I28" s="199"/>
      <c r="J28"/>
      <c r="K28"/>
      <c r="L28" s="199"/>
      <c r="M28" s="199"/>
      <c r="N28" s="199"/>
      <c r="O28" s="185">
        <v>184.83</v>
      </c>
      <c r="P28" s="185">
        <v>180.44</v>
      </c>
      <c r="Q28" s="199" t="s">
        <v>417</v>
      </c>
      <c r="R28" s="199" t="s">
        <v>452</v>
      </c>
      <c r="S28" s="199">
        <v>323980.81829999998</v>
      </c>
      <c r="T28" s="199">
        <v>2150183.5890000002</v>
      </c>
      <c r="U28" s="199">
        <v>324012.0037</v>
      </c>
      <c r="V28" s="199">
        <v>2150272.477</v>
      </c>
      <c r="W28" s="199"/>
      <c r="X28" s="199"/>
      <c r="Y28" s="199"/>
      <c r="Z28" s="199"/>
      <c r="AA28" s="199"/>
      <c r="AB28" s="199" t="s">
        <v>419</v>
      </c>
      <c r="AC28" s="199" t="s">
        <v>417</v>
      </c>
      <c r="AD28" s="199"/>
      <c r="AL28" s="199"/>
      <c r="AM28" s="199"/>
      <c r="AN28" s="199"/>
      <c r="AO28" s="199"/>
      <c r="AP28" s="199"/>
      <c r="AQ28" s="199"/>
      <c r="AR28" s="199"/>
      <c r="AS28" s="199"/>
      <c r="AV28" s="199"/>
      <c r="AW28" s="199"/>
      <c r="AX28" s="199"/>
      <c r="AY28" s="199"/>
      <c r="AZ28" s="199"/>
      <c r="BD28" s="199"/>
      <c r="BF28" s="199"/>
    </row>
    <row r="29" spans="1:100" x14ac:dyDescent="0.2">
      <c r="A29" s="212">
        <v>1</v>
      </c>
      <c r="B29" s="212">
        <v>0</v>
      </c>
      <c r="C29" s="199" t="s">
        <v>453</v>
      </c>
      <c r="D29" s="199" t="s">
        <v>454</v>
      </c>
      <c r="E29" s="185">
        <v>37.75</v>
      </c>
      <c r="F29" s="199"/>
      <c r="G29" s="199"/>
      <c r="H29" s="199"/>
      <c r="I29" s="199"/>
      <c r="J29" s="199"/>
      <c r="K29" s="199"/>
      <c r="L29" s="199"/>
      <c r="M29" s="199"/>
      <c r="N29" s="199"/>
      <c r="O29" s="185">
        <v>183.67</v>
      </c>
      <c r="P29" s="185">
        <v>183.47</v>
      </c>
      <c r="Q29" s="199" t="s">
        <v>455</v>
      </c>
      <c r="R29" s="199" t="s">
        <v>456</v>
      </c>
      <c r="S29" s="199">
        <v>324164.74949999998</v>
      </c>
      <c r="T29" s="199">
        <v>2149982.84</v>
      </c>
      <c r="U29" s="199">
        <v>324144.95140000002</v>
      </c>
      <c r="V29" s="199">
        <v>2150014.9849999999</v>
      </c>
      <c r="W29" s="199"/>
      <c r="X29" s="199"/>
      <c r="Y29" s="199"/>
      <c r="Z29" s="199"/>
      <c r="AA29" s="199"/>
      <c r="AB29" s="199" t="s">
        <v>454</v>
      </c>
      <c r="AC29" s="199" t="s">
        <v>455</v>
      </c>
      <c r="AD29" s="199"/>
      <c r="AL29" s="199"/>
      <c r="AM29" s="199"/>
      <c r="AN29" s="199"/>
      <c r="AO29" s="199"/>
      <c r="AP29" s="199"/>
      <c r="AQ29" s="199"/>
      <c r="AR29" s="199"/>
      <c r="AS29" s="199"/>
      <c r="AV29" s="199"/>
      <c r="AW29" s="199"/>
      <c r="AX29" s="199"/>
      <c r="AY29" s="199"/>
      <c r="AZ29" s="199"/>
      <c r="BA29" s="199"/>
      <c r="BB29" s="199"/>
      <c r="BD29" s="199"/>
      <c r="BF29" s="199"/>
      <c r="BG29" s="194"/>
      <c r="BJ29" s="194"/>
      <c r="BK29" s="194"/>
      <c r="BL29" s="194"/>
      <c r="BM29" s="194"/>
      <c r="BN29" s="194"/>
      <c r="BO29" s="194"/>
      <c r="BP29" s="194"/>
      <c r="BQ29" s="194"/>
      <c r="BR29" s="194"/>
      <c r="BS29" s="194"/>
      <c r="BT29" s="194"/>
      <c r="BU29" s="194"/>
      <c r="BV29" s="194"/>
      <c r="BW29" s="194"/>
      <c r="BX29" s="194"/>
      <c r="BY29" s="194"/>
      <c r="BZ29" s="194"/>
      <c r="CA29" s="194"/>
      <c r="CB29" s="194"/>
      <c r="CC29" s="194"/>
      <c r="CD29" s="194"/>
      <c r="CE29" s="194"/>
      <c r="CF29" s="194"/>
      <c r="CG29" s="194"/>
      <c r="CH29" s="194"/>
      <c r="CI29" s="194"/>
      <c r="CJ29" s="194"/>
      <c r="CK29" s="194"/>
      <c r="CL29" s="194"/>
      <c r="CM29" s="194"/>
      <c r="CN29" s="194"/>
      <c r="CO29" s="194"/>
      <c r="CP29" s="194"/>
      <c r="CQ29" s="194"/>
      <c r="CR29" s="194"/>
      <c r="CS29" s="194"/>
      <c r="CT29" s="194"/>
      <c r="CU29" s="194"/>
      <c r="CV29" s="194"/>
    </row>
    <row r="30" spans="1:100" x14ac:dyDescent="0.2">
      <c r="A30" s="212">
        <v>0</v>
      </c>
      <c r="B30" s="212">
        <v>0</v>
      </c>
      <c r="C30" s="199" t="s">
        <v>453</v>
      </c>
      <c r="D30" s="199" t="s">
        <v>455</v>
      </c>
      <c r="E30" s="185">
        <v>25.92</v>
      </c>
      <c r="F30" s="199" t="s">
        <v>454</v>
      </c>
      <c r="G30" s="199"/>
      <c r="H30" s="199"/>
      <c r="I30" s="199"/>
      <c r="J30" s="199"/>
      <c r="K30" s="199"/>
      <c r="L30" s="199"/>
      <c r="M30" s="199"/>
      <c r="N30" s="199"/>
      <c r="O30" s="185">
        <v>183.47</v>
      </c>
      <c r="P30" s="185">
        <v>183.43</v>
      </c>
      <c r="Q30" s="199" t="s">
        <v>405</v>
      </c>
      <c r="R30" s="199" t="s">
        <v>457</v>
      </c>
      <c r="S30" s="199">
        <v>324144.95140000002</v>
      </c>
      <c r="T30" s="199">
        <v>2150014.9849999999</v>
      </c>
      <c r="U30" s="199">
        <v>324136.43599999999</v>
      </c>
      <c r="V30" s="199">
        <v>2150039.4670000002</v>
      </c>
      <c r="W30" s="199"/>
      <c r="X30" s="199"/>
      <c r="Y30" s="199"/>
      <c r="Z30" s="199"/>
      <c r="AA30" s="199"/>
      <c r="AB30" s="199" t="s">
        <v>455</v>
      </c>
      <c r="AC30" s="199" t="s">
        <v>405</v>
      </c>
      <c r="AD30" s="199"/>
      <c r="AL30" s="199"/>
      <c r="AM30" s="199"/>
      <c r="AN30" s="199"/>
      <c r="AO30" s="199"/>
      <c r="AP30" s="199"/>
      <c r="AQ30" s="199"/>
      <c r="AR30" s="199"/>
      <c r="AS30" s="199"/>
      <c r="AV30" s="199"/>
      <c r="AW30" s="199"/>
      <c r="AX30" s="199"/>
      <c r="AY30" s="199"/>
      <c r="AZ30" s="199"/>
      <c r="BA30" s="199"/>
      <c r="BB30" s="199"/>
      <c r="BD30" s="199"/>
      <c r="BF30" s="199"/>
      <c r="BG30" s="194"/>
      <c r="BJ30" s="194"/>
      <c r="BK30" s="194"/>
      <c r="BL30" s="194"/>
      <c r="BM30" s="194"/>
      <c r="BN30" s="194"/>
      <c r="BO30" s="194"/>
      <c r="BP30" s="194"/>
      <c r="BQ30" s="194"/>
      <c r="BR30" s="194"/>
      <c r="BS30" s="194"/>
      <c r="BT30" s="194"/>
      <c r="BU30" s="194"/>
      <c r="BV30" s="194"/>
      <c r="BW30" s="194"/>
      <c r="BX30" s="194"/>
      <c r="BY30" s="194"/>
      <c r="BZ30" s="194"/>
      <c r="CA30" s="194"/>
      <c r="CB30" s="194"/>
      <c r="CC30" s="194"/>
      <c r="CD30" s="194"/>
      <c r="CE30" s="194"/>
      <c r="CF30" s="194"/>
      <c r="CG30" s="194"/>
      <c r="CH30" s="194"/>
      <c r="CI30" s="194"/>
      <c r="CJ30" s="194"/>
      <c r="CK30" s="194"/>
      <c r="CL30" s="194"/>
      <c r="CM30" s="194"/>
      <c r="CN30" s="194"/>
      <c r="CO30" s="194"/>
      <c r="CP30" s="194"/>
      <c r="CQ30" s="194"/>
      <c r="CR30" s="194"/>
      <c r="CS30" s="194"/>
      <c r="CT30" s="194"/>
      <c r="CU30" s="194"/>
      <c r="CV30" s="194"/>
    </row>
    <row r="31" spans="1:100" x14ac:dyDescent="0.2">
      <c r="A31" s="212">
        <v>0</v>
      </c>
      <c r="B31" s="212">
        <v>1</v>
      </c>
      <c r="C31" s="199" t="s">
        <v>453</v>
      </c>
      <c r="D31" s="199" t="s">
        <v>405</v>
      </c>
      <c r="E31" s="185">
        <v>64.430000000000007</v>
      </c>
      <c r="F31" s="199" t="s">
        <v>455</v>
      </c>
      <c r="G31" s="199"/>
      <c r="H31" s="199"/>
      <c r="I31" s="199"/>
      <c r="J31"/>
      <c r="K31"/>
      <c r="L31" s="199"/>
      <c r="M31" s="199"/>
      <c r="N31" s="199"/>
      <c r="O31" s="185">
        <v>183.43</v>
      </c>
      <c r="P31" s="185">
        <v>181.64</v>
      </c>
      <c r="Q31" s="199" t="s">
        <v>403</v>
      </c>
      <c r="R31" s="199" t="s">
        <v>458</v>
      </c>
      <c r="S31" s="199">
        <v>324136.43599999999</v>
      </c>
      <c r="T31" s="199">
        <v>2150039.4670000002</v>
      </c>
      <c r="U31" s="199">
        <v>324198.86040000001</v>
      </c>
      <c r="V31" s="199">
        <v>2150055.4010000001</v>
      </c>
      <c r="W31" s="199"/>
      <c r="X31" s="199"/>
      <c r="Y31" s="199"/>
      <c r="Z31" s="199"/>
      <c r="AA31" s="199"/>
      <c r="AB31" s="199" t="s">
        <v>405</v>
      </c>
      <c r="AC31" s="199" t="s">
        <v>403</v>
      </c>
      <c r="AD31" s="199"/>
      <c r="AL31" s="199"/>
      <c r="AM31" s="199"/>
      <c r="AN31" s="199"/>
      <c r="AO31" s="199"/>
      <c r="AP31" s="199"/>
      <c r="AQ31" s="199"/>
      <c r="AR31" s="199"/>
      <c r="AS31" s="199"/>
      <c r="AV31" s="199"/>
      <c r="AW31" s="199"/>
      <c r="AX31" s="199"/>
      <c r="AY31" s="199"/>
      <c r="AZ31" s="199"/>
      <c r="BD31" s="199"/>
      <c r="BF31" s="199"/>
    </row>
    <row r="32" spans="1:100" x14ac:dyDescent="0.2">
      <c r="A32" s="212">
        <v>1</v>
      </c>
      <c r="B32" s="212">
        <v>0</v>
      </c>
      <c r="C32" s="199" t="s">
        <v>459</v>
      </c>
      <c r="D32" s="199" t="s">
        <v>460</v>
      </c>
      <c r="E32" s="185">
        <v>25.55</v>
      </c>
      <c r="F32" s="199"/>
      <c r="G32" s="199"/>
      <c r="H32" s="199"/>
      <c r="I32" s="199"/>
      <c r="J32"/>
      <c r="K32"/>
      <c r="L32" s="199"/>
      <c r="M32" s="199"/>
      <c r="N32" s="199"/>
      <c r="O32" s="185">
        <v>189.2</v>
      </c>
      <c r="P32" s="185">
        <v>189.29</v>
      </c>
      <c r="Q32" s="199" t="s">
        <v>461</v>
      </c>
      <c r="R32" s="199" t="s">
        <v>462</v>
      </c>
      <c r="S32" s="199">
        <v>324014.87969999999</v>
      </c>
      <c r="T32" s="199">
        <v>2149909.821</v>
      </c>
      <c r="U32" s="199">
        <v>323999.55209999997</v>
      </c>
      <c r="V32" s="199">
        <v>2149930.2579999999</v>
      </c>
      <c r="W32" s="199"/>
      <c r="X32" s="199"/>
      <c r="Y32" s="199"/>
      <c r="Z32" s="199"/>
      <c r="AA32" s="199"/>
      <c r="AB32" s="199" t="s">
        <v>460</v>
      </c>
      <c r="AC32" s="199" t="s">
        <v>461</v>
      </c>
      <c r="AD32" s="199"/>
      <c r="AL32" s="199"/>
      <c r="AM32" s="199"/>
      <c r="AN32" s="199"/>
      <c r="AO32" s="199"/>
      <c r="AP32" s="199"/>
      <c r="AQ32" s="199"/>
      <c r="AR32" s="199"/>
      <c r="AS32" s="199"/>
      <c r="AV32" s="199"/>
      <c r="AW32" s="199"/>
      <c r="AX32" s="199"/>
      <c r="AY32" s="199"/>
      <c r="AZ32" s="199"/>
      <c r="BD32" s="199"/>
      <c r="BF32" s="199"/>
    </row>
    <row r="33" spans="1:100" x14ac:dyDescent="0.2">
      <c r="A33" s="212">
        <v>0</v>
      </c>
      <c r="B33" s="212">
        <v>0</v>
      </c>
      <c r="C33" s="199" t="s">
        <v>459</v>
      </c>
      <c r="D33" s="199" t="s">
        <v>461</v>
      </c>
      <c r="E33" s="185">
        <v>74.569999999999993</v>
      </c>
      <c r="F33" s="199" t="s">
        <v>460</v>
      </c>
      <c r="G33" s="199"/>
      <c r="H33" s="199"/>
      <c r="I33" s="199"/>
      <c r="J33"/>
      <c r="K33"/>
      <c r="L33" s="199"/>
      <c r="M33" s="199"/>
      <c r="N33" s="199"/>
      <c r="O33" s="185">
        <v>189.29</v>
      </c>
      <c r="P33" s="185">
        <v>189.16</v>
      </c>
      <c r="Q33" s="199" t="s">
        <v>463</v>
      </c>
      <c r="R33" s="199" t="s">
        <v>464</v>
      </c>
      <c r="S33" s="199">
        <v>323999.55209999997</v>
      </c>
      <c r="T33" s="199">
        <v>2149930.2579999999</v>
      </c>
      <c r="U33" s="199">
        <v>323991.0367</v>
      </c>
      <c r="V33" s="199">
        <v>2150004.341</v>
      </c>
      <c r="W33" s="199"/>
      <c r="X33" s="199"/>
      <c r="Y33" s="199"/>
      <c r="Z33" s="199"/>
      <c r="AA33" s="199"/>
      <c r="AB33" s="199" t="s">
        <v>461</v>
      </c>
      <c r="AC33" s="199" t="s">
        <v>463</v>
      </c>
      <c r="AD33" s="199"/>
      <c r="AL33" s="199"/>
      <c r="AM33" s="199"/>
      <c r="AN33" s="199"/>
      <c r="AO33" s="199"/>
      <c r="AP33" s="199"/>
      <c r="AQ33" s="199"/>
      <c r="AR33" s="199"/>
      <c r="AS33" s="199"/>
      <c r="AV33" s="199"/>
      <c r="AW33" s="199"/>
      <c r="AX33" s="199"/>
      <c r="AY33" s="199"/>
      <c r="AZ33" s="199"/>
      <c r="BD33" s="199"/>
      <c r="BF33" s="199"/>
    </row>
    <row r="34" spans="1:100" x14ac:dyDescent="0.2">
      <c r="A34" s="212">
        <v>0</v>
      </c>
      <c r="B34" s="212">
        <v>0</v>
      </c>
      <c r="C34" s="199" t="s">
        <v>459</v>
      </c>
      <c r="D34" s="199" t="s">
        <v>463</v>
      </c>
      <c r="E34" s="185">
        <v>49.45</v>
      </c>
      <c r="F34" s="199" t="s">
        <v>461</v>
      </c>
      <c r="G34" s="199"/>
      <c r="H34" s="199"/>
      <c r="I34" s="199"/>
      <c r="J34"/>
      <c r="K34"/>
      <c r="L34" s="199"/>
      <c r="M34" s="199"/>
      <c r="N34" s="199"/>
      <c r="O34" s="185">
        <v>189.16</v>
      </c>
      <c r="P34" s="185">
        <v>188.9</v>
      </c>
      <c r="Q34" s="199" t="s">
        <v>465</v>
      </c>
      <c r="R34" s="199" t="s">
        <v>466</v>
      </c>
      <c r="S34" s="199">
        <v>323991.0367</v>
      </c>
      <c r="T34" s="199">
        <v>2150004.341</v>
      </c>
      <c r="U34" s="199">
        <v>323993.59129999997</v>
      </c>
      <c r="V34" s="199">
        <v>2150053.73</v>
      </c>
      <c r="W34" s="199"/>
      <c r="X34" s="199"/>
      <c r="Y34" s="199"/>
      <c r="Z34" s="199"/>
      <c r="AA34" s="199"/>
      <c r="AB34" s="199" t="s">
        <v>463</v>
      </c>
      <c r="AC34" s="199" t="s">
        <v>465</v>
      </c>
      <c r="AD34" s="199"/>
      <c r="AL34" s="199"/>
      <c r="AM34" s="199"/>
      <c r="AN34" s="199"/>
      <c r="AO34" s="199"/>
      <c r="AP34" s="199"/>
      <c r="AQ34" s="199"/>
      <c r="AR34" s="199"/>
      <c r="AS34" s="199"/>
      <c r="AV34" s="199"/>
      <c r="AW34" s="199"/>
      <c r="AX34" s="199"/>
      <c r="AY34" s="199"/>
      <c r="AZ34" s="199"/>
      <c r="BD34" s="199"/>
      <c r="BF34" s="199"/>
    </row>
    <row r="35" spans="1:100" x14ac:dyDescent="0.2">
      <c r="A35" s="212">
        <v>0</v>
      </c>
      <c r="B35" s="212">
        <v>0</v>
      </c>
      <c r="C35" s="199" t="s">
        <v>459</v>
      </c>
      <c r="D35" s="199" t="s">
        <v>465</v>
      </c>
      <c r="E35" s="185">
        <v>61.83</v>
      </c>
      <c r="F35" s="199" t="s">
        <v>463</v>
      </c>
      <c r="G35" s="199"/>
      <c r="H35" s="199"/>
      <c r="I35" s="199"/>
      <c r="J35"/>
      <c r="K35"/>
      <c r="L35" s="199"/>
      <c r="M35" s="199"/>
      <c r="N35" s="199"/>
      <c r="O35" s="185">
        <v>188.9</v>
      </c>
      <c r="P35" s="185">
        <v>187.71</v>
      </c>
      <c r="Q35" s="199" t="s">
        <v>450</v>
      </c>
      <c r="R35" s="199" t="s">
        <v>467</v>
      </c>
      <c r="S35" s="199">
        <v>323993.59129999997</v>
      </c>
      <c r="T35" s="199">
        <v>2150053.73</v>
      </c>
      <c r="U35" s="199">
        <v>324017.43430000002</v>
      </c>
      <c r="V35" s="199">
        <v>2150110.7829999998</v>
      </c>
      <c r="W35" s="199"/>
      <c r="X35" s="199"/>
      <c r="Y35" s="199"/>
      <c r="Z35" s="199"/>
      <c r="AA35" s="199"/>
      <c r="AB35" s="199" t="s">
        <v>465</v>
      </c>
      <c r="AC35" s="199" t="s">
        <v>450</v>
      </c>
      <c r="AD35" s="199"/>
      <c r="AL35" s="199"/>
      <c r="AM35" s="199"/>
      <c r="AN35" s="199"/>
      <c r="AO35" s="199"/>
      <c r="AP35" s="199"/>
      <c r="AQ35" s="199"/>
      <c r="AR35" s="199"/>
      <c r="AS35" s="199"/>
      <c r="AV35" s="199"/>
      <c r="AW35" s="199"/>
      <c r="AX35" s="199"/>
      <c r="AY35" s="199"/>
      <c r="AZ35" s="199"/>
      <c r="BD35" s="199"/>
      <c r="BF35" s="199"/>
    </row>
    <row r="36" spans="1:100" x14ac:dyDescent="0.2">
      <c r="A36" s="212">
        <v>0</v>
      </c>
      <c r="B36" s="212">
        <v>1</v>
      </c>
      <c r="C36" s="199" t="s">
        <v>459</v>
      </c>
      <c r="D36" s="199" t="s">
        <v>450</v>
      </c>
      <c r="E36" s="185">
        <v>58.97</v>
      </c>
      <c r="F36" s="199" t="s">
        <v>465</v>
      </c>
      <c r="G36" s="199"/>
      <c r="H36" s="199"/>
      <c r="I36" s="199"/>
      <c r="J36"/>
      <c r="K36"/>
      <c r="L36" s="199"/>
      <c r="M36" s="199"/>
      <c r="N36" s="199"/>
      <c r="O36" s="185">
        <v>187.71</v>
      </c>
      <c r="P36" s="185">
        <v>188.24</v>
      </c>
      <c r="Q36" s="199" t="s">
        <v>448</v>
      </c>
      <c r="R36" s="199" t="s">
        <v>468</v>
      </c>
      <c r="S36" s="199">
        <v>324017.43430000002</v>
      </c>
      <c r="T36" s="199">
        <v>2150110.7829999998</v>
      </c>
      <c r="U36" s="199">
        <v>323961.65879999998</v>
      </c>
      <c r="V36" s="199">
        <v>2150129.9419999998</v>
      </c>
      <c r="W36" s="199"/>
      <c r="X36" s="199"/>
      <c r="Y36" s="199"/>
      <c r="Z36" s="199"/>
      <c r="AA36" s="199"/>
      <c r="AB36" s="199" t="s">
        <v>450</v>
      </c>
      <c r="AC36" s="199" t="s">
        <v>448</v>
      </c>
      <c r="AD36" s="199"/>
      <c r="AL36" s="199"/>
      <c r="AM36" s="199"/>
      <c r="AN36" s="199"/>
      <c r="AO36" s="199"/>
      <c r="AP36" s="199"/>
      <c r="AQ36" s="199"/>
      <c r="AR36" s="199"/>
      <c r="AS36" s="199"/>
      <c r="AV36" s="199"/>
      <c r="AW36" s="199"/>
      <c r="AX36" s="199"/>
      <c r="AY36" s="199"/>
      <c r="AZ36" s="199"/>
      <c r="BD36" s="199"/>
      <c r="BF36" s="199"/>
    </row>
    <row r="37" spans="1:100" x14ac:dyDescent="0.2">
      <c r="A37" s="212">
        <v>1</v>
      </c>
      <c r="B37" s="212">
        <v>1</v>
      </c>
      <c r="C37" s="199" t="s">
        <v>469</v>
      </c>
      <c r="D37" s="199" t="s">
        <v>409</v>
      </c>
      <c r="E37" s="185">
        <v>58.65</v>
      </c>
      <c r="F37" s="199"/>
      <c r="G37" s="199"/>
      <c r="H37" s="199"/>
      <c r="I37" s="199"/>
      <c r="J37"/>
      <c r="K37"/>
      <c r="L37" s="199"/>
      <c r="M37" s="199"/>
      <c r="N37" s="199"/>
      <c r="O37" s="185">
        <v>181.18</v>
      </c>
      <c r="P37" s="185">
        <v>180.98</v>
      </c>
      <c r="Q37" s="199" t="s">
        <v>407</v>
      </c>
      <c r="R37" s="199" t="s">
        <v>470</v>
      </c>
      <c r="S37" s="199">
        <v>324232.44640000002</v>
      </c>
      <c r="T37" s="199">
        <v>2150151.443</v>
      </c>
      <c r="U37" s="199">
        <v>324178.71409999998</v>
      </c>
      <c r="V37" s="199">
        <v>2150127.9279999998</v>
      </c>
      <c r="W37" s="199"/>
      <c r="X37" s="199"/>
      <c r="Y37" s="199"/>
      <c r="Z37" s="199"/>
      <c r="AA37" s="199"/>
      <c r="AB37" s="199" t="s">
        <v>409</v>
      </c>
      <c r="AC37" s="199" t="s">
        <v>407</v>
      </c>
      <c r="AD37" s="199"/>
      <c r="AL37" s="199"/>
      <c r="AM37" s="199"/>
      <c r="AN37" s="199"/>
      <c r="AO37" s="199"/>
      <c r="AP37" s="199"/>
      <c r="AQ37" s="199"/>
      <c r="AR37" s="199"/>
      <c r="AS37" s="199"/>
      <c r="AV37" s="199"/>
      <c r="AW37" s="199"/>
      <c r="AX37" s="199"/>
      <c r="AY37" s="199"/>
      <c r="AZ37" s="199"/>
      <c r="BD37" s="199"/>
      <c r="BF37" s="199"/>
    </row>
    <row r="38" spans="1:100" x14ac:dyDescent="0.2">
      <c r="A38" s="212"/>
      <c r="B38" s="212"/>
      <c r="C38" s="199"/>
      <c r="D38" s="199"/>
      <c r="E38" s="185"/>
      <c r="F38" s="199"/>
      <c r="G38" s="199"/>
      <c r="H38" s="199"/>
      <c r="I38" s="199"/>
      <c r="J38"/>
      <c r="K38"/>
      <c r="L38" s="199"/>
      <c r="M38" s="199"/>
      <c r="N38" s="199"/>
      <c r="O38" s="185"/>
      <c r="P38" s="185"/>
      <c r="Q38" s="199"/>
      <c r="R38" s="199"/>
      <c r="W38" s="199"/>
      <c r="X38" s="199"/>
      <c r="Y38" s="199"/>
      <c r="Z38" s="199"/>
      <c r="AA38" s="199"/>
      <c r="AB38" s="199"/>
      <c r="AC38" s="199"/>
      <c r="AD38" s="199"/>
      <c r="AL38" s="199"/>
      <c r="AM38" s="199"/>
      <c r="AN38" s="199"/>
      <c r="AO38" s="199"/>
      <c r="AP38" s="199"/>
      <c r="AQ38" s="199"/>
      <c r="AR38" s="199"/>
      <c r="AS38" s="199"/>
      <c r="AV38" s="199"/>
      <c r="AW38" s="199"/>
      <c r="AX38" s="199"/>
      <c r="AY38" s="199"/>
      <c r="AZ38" s="199"/>
      <c r="BD38" s="199"/>
      <c r="BF38" s="199"/>
    </row>
    <row r="39" spans="1:100" x14ac:dyDescent="0.2">
      <c r="A39" s="212"/>
      <c r="B39" s="212"/>
      <c r="C39" s="199"/>
      <c r="D39" s="199"/>
      <c r="E39" s="185"/>
      <c r="F39" s="199"/>
      <c r="G39" s="199"/>
      <c r="H39" s="199"/>
      <c r="I39" s="199"/>
      <c r="J39"/>
      <c r="K39"/>
      <c r="L39" s="199"/>
      <c r="M39" s="199"/>
      <c r="N39" s="199"/>
      <c r="O39" s="185"/>
      <c r="P39" s="185"/>
      <c r="Q39" s="199"/>
      <c r="R39" s="199"/>
      <c r="W39" s="199"/>
      <c r="X39" s="199"/>
      <c r="Y39" s="199"/>
      <c r="Z39" s="199"/>
      <c r="AA39" s="199"/>
      <c r="AB39" s="199"/>
      <c r="AC39" s="199"/>
      <c r="AD39" s="199"/>
      <c r="AL39" s="199"/>
      <c r="AM39" s="199"/>
      <c r="AN39" s="199"/>
      <c r="AO39" s="199"/>
      <c r="AP39" s="199"/>
      <c r="AQ39" s="199"/>
      <c r="AR39" s="199"/>
      <c r="AS39" s="199"/>
      <c r="AV39" s="199"/>
      <c r="AW39" s="199"/>
      <c r="AX39" s="199"/>
      <c r="AY39" s="199"/>
      <c r="AZ39" s="199"/>
      <c r="BD39" s="199"/>
      <c r="BF39" s="199"/>
    </row>
    <row r="40" spans="1:100" x14ac:dyDescent="0.2">
      <c r="A40" s="212"/>
      <c r="B40" s="212"/>
      <c r="C40" s="199"/>
      <c r="D40" s="199"/>
      <c r="E40" s="185"/>
      <c r="F40" s="199"/>
      <c r="G40" s="199"/>
      <c r="H40" s="199"/>
      <c r="I40" s="199"/>
      <c r="J40"/>
      <c r="K40"/>
      <c r="L40" s="199"/>
      <c r="M40" s="199"/>
      <c r="N40" s="199"/>
      <c r="O40" s="185"/>
      <c r="P40" s="185"/>
      <c r="Q40" s="199"/>
      <c r="R40" s="199"/>
      <c r="W40" s="199"/>
      <c r="X40" s="199"/>
      <c r="Y40" s="199"/>
      <c r="Z40" s="199"/>
      <c r="AA40" s="199"/>
      <c r="AB40" s="199"/>
      <c r="AC40" s="199"/>
      <c r="AD40" s="199"/>
      <c r="AL40" s="199"/>
      <c r="AM40" s="199"/>
      <c r="AN40" s="199"/>
      <c r="AO40" s="199"/>
      <c r="AP40" s="199"/>
      <c r="AQ40" s="199"/>
      <c r="AR40" s="199"/>
      <c r="AS40" s="199"/>
      <c r="AV40" s="199"/>
      <c r="AW40" s="199"/>
      <c r="AX40" s="199"/>
      <c r="AY40" s="199"/>
      <c r="AZ40" s="199"/>
      <c r="BD40" s="199"/>
      <c r="BF40" s="199"/>
    </row>
    <row r="41" spans="1:100" x14ac:dyDescent="0.2">
      <c r="A41" s="212"/>
      <c r="B41" s="212"/>
      <c r="C41" s="199"/>
      <c r="D41" s="199"/>
      <c r="E41" s="185"/>
      <c r="F41" s="199"/>
      <c r="G41" s="199"/>
      <c r="H41" s="199"/>
      <c r="I41" s="199"/>
      <c r="J41"/>
      <c r="K41"/>
      <c r="L41" s="199"/>
      <c r="M41" s="199"/>
      <c r="N41" s="199"/>
      <c r="O41" s="185"/>
      <c r="P41" s="185"/>
      <c r="Q41" s="199"/>
      <c r="R41" s="199"/>
      <c r="W41" s="199"/>
      <c r="X41" s="199"/>
      <c r="Y41" s="199"/>
      <c r="Z41" s="199"/>
      <c r="AA41" s="199"/>
      <c r="AB41" s="199"/>
      <c r="AC41" s="199"/>
      <c r="AD41" s="199"/>
      <c r="AL41" s="199"/>
      <c r="AM41" s="199"/>
      <c r="AN41" s="199"/>
      <c r="AO41" s="199"/>
      <c r="AP41" s="199"/>
      <c r="AQ41" s="199"/>
      <c r="AR41" s="199"/>
      <c r="AS41" s="199"/>
      <c r="AV41" s="199"/>
      <c r="AW41" s="199"/>
      <c r="AX41" s="199"/>
      <c r="AY41" s="199"/>
      <c r="AZ41" s="199"/>
      <c r="BD41" s="199"/>
      <c r="BF41" s="199"/>
    </row>
    <row r="42" spans="1:100" x14ac:dyDescent="0.2">
      <c r="A42" s="212"/>
      <c r="B42" s="212"/>
      <c r="C42" s="199"/>
      <c r="D42" s="199"/>
      <c r="E42" s="185"/>
      <c r="F42" s="199"/>
      <c r="G42" s="199"/>
      <c r="H42" s="199"/>
      <c r="I42" s="199"/>
      <c r="J42"/>
      <c r="K42"/>
      <c r="L42" s="199"/>
      <c r="M42" s="199"/>
      <c r="N42" s="199"/>
      <c r="O42" s="185"/>
      <c r="P42" s="185"/>
      <c r="Q42" s="199"/>
      <c r="R42" s="199"/>
      <c r="W42" s="199"/>
      <c r="X42" s="199"/>
      <c r="Y42" s="199"/>
      <c r="Z42" s="199"/>
      <c r="AA42" s="199"/>
      <c r="AB42" s="199"/>
      <c r="AC42" s="199"/>
      <c r="AD42" s="199"/>
      <c r="AL42" s="199"/>
      <c r="AM42" s="199"/>
      <c r="AN42" s="199"/>
      <c r="AO42" s="199"/>
      <c r="AP42" s="199"/>
      <c r="AQ42" s="199"/>
      <c r="AR42" s="199"/>
      <c r="AS42" s="199"/>
      <c r="AV42" s="199"/>
      <c r="AW42" s="199"/>
      <c r="AX42" s="199"/>
      <c r="AY42" s="199"/>
      <c r="AZ42" s="199"/>
      <c r="BD42" s="199"/>
      <c r="BF42" s="199"/>
    </row>
    <row r="43" spans="1:100" x14ac:dyDescent="0.2">
      <c r="A43" s="212"/>
      <c r="B43" s="212"/>
      <c r="C43" s="199"/>
      <c r="D43" s="199"/>
      <c r="E43" s="185"/>
      <c r="F43" s="199"/>
      <c r="G43" s="199"/>
      <c r="H43" s="199"/>
      <c r="I43" s="199"/>
      <c r="J43"/>
      <c r="K43"/>
      <c r="L43" s="199"/>
      <c r="M43" s="199"/>
      <c r="N43" s="199"/>
      <c r="O43" s="185"/>
      <c r="P43" s="185"/>
      <c r="Q43" s="199"/>
      <c r="R43" s="199"/>
      <c r="W43" s="199"/>
      <c r="X43" s="199"/>
      <c r="Y43" s="199"/>
      <c r="Z43" s="199"/>
      <c r="AA43" s="199"/>
      <c r="AB43" s="199"/>
      <c r="AC43" s="199"/>
      <c r="AD43" s="199"/>
      <c r="AL43" s="199"/>
      <c r="AM43" s="199"/>
      <c r="AN43" s="199"/>
      <c r="AO43" s="199"/>
      <c r="AP43" s="199"/>
      <c r="AQ43" s="199"/>
      <c r="AR43" s="199"/>
      <c r="AS43" s="199"/>
      <c r="AV43" s="199"/>
      <c r="AW43" s="199"/>
      <c r="AX43" s="199"/>
      <c r="AY43" s="199"/>
      <c r="AZ43" s="199"/>
      <c r="BD43" s="199"/>
      <c r="BF43" s="199"/>
    </row>
    <row r="44" spans="1:100" x14ac:dyDescent="0.2">
      <c r="A44" s="212"/>
      <c r="B44" s="212"/>
      <c r="C44" s="199"/>
      <c r="D44" s="199"/>
      <c r="E44" s="185"/>
      <c r="F44" s="199"/>
      <c r="G44" s="199"/>
      <c r="H44" s="199"/>
      <c r="I44" s="199"/>
      <c r="J44"/>
      <c r="K44"/>
      <c r="L44" s="199"/>
      <c r="M44" s="199"/>
      <c r="N44" s="199"/>
      <c r="O44" s="185"/>
      <c r="P44" s="185"/>
      <c r="Q44" s="199"/>
      <c r="R44" s="199"/>
      <c r="W44" s="199"/>
      <c r="X44" s="199"/>
      <c r="Y44" s="199"/>
      <c r="Z44" s="199"/>
      <c r="AA44" s="199"/>
      <c r="AB44" s="199"/>
      <c r="AC44" s="199"/>
      <c r="AD44" s="199"/>
      <c r="AL44" s="199"/>
      <c r="AM44" s="199"/>
      <c r="AN44" s="199"/>
      <c r="AO44" s="199"/>
      <c r="AP44" s="199"/>
      <c r="AQ44" s="199"/>
      <c r="AR44" s="199"/>
      <c r="AS44" s="199"/>
      <c r="AV44" s="199"/>
      <c r="AW44" s="199"/>
      <c r="AX44" s="199"/>
      <c r="AY44" s="199"/>
      <c r="AZ44" s="199"/>
      <c r="BD44" s="199"/>
      <c r="BF44" s="199"/>
    </row>
    <row r="45" spans="1:100" x14ac:dyDescent="0.2">
      <c r="A45" s="212"/>
      <c r="B45" s="212"/>
      <c r="C45" s="199"/>
      <c r="D45" s="199"/>
      <c r="E45" s="185"/>
      <c r="F45" s="199"/>
      <c r="G45" s="199"/>
      <c r="H45" s="199"/>
      <c r="I45" s="199"/>
      <c r="J45"/>
      <c r="K45"/>
      <c r="L45" s="199"/>
      <c r="M45" s="199"/>
      <c r="N45" s="199"/>
      <c r="O45" s="185"/>
      <c r="P45" s="185"/>
      <c r="Q45" s="199"/>
      <c r="R45" s="199"/>
      <c r="W45" s="199"/>
      <c r="X45" s="199"/>
      <c r="Y45" s="199"/>
      <c r="Z45" s="199"/>
      <c r="AA45" s="199"/>
      <c r="AB45" s="199"/>
      <c r="AC45" s="199"/>
      <c r="AD45" s="199"/>
      <c r="AL45" s="199"/>
      <c r="AM45" s="199"/>
      <c r="AN45" s="199"/>
      <c r="AO45" s="199"/>
      <c r="AP45" s="199"/>
      <c r="AQ45" s="199"/>
      <c r="AR45" s="199"/>
      <c r="AS45" s="199"/>
      <c r="AV45" s="199"/>
      <c r="AW45" s="199"/>
      <c r="AX45" s="199"/>
      <c r="AY45" s="199"/>
      <c r="AZ45" s="199"/>
      <c r="BD45" s="199"/>
      <c r="BF45" s="199"/>
    </row>
    <row r="46" spans="1:100" x14ac:dyDescent="0.2">
      <c r="A46" s="212"/>
      <c r="B46" s="212"/>
      <c r="C46" s="199"/>
      <c r="D46" s="199"/>
      <c r="E46" s="185"/>
      <c r="F46" s="199"/>
      <c r="G46" s="199"/>
      <c r="H46" s="199"/>
      <c r="I46" s="199"/>
      <c r="J46" s="199"/>
      <c r="K46" s="199"/>
      <c r="L46" s="199"/>
      <c r="M46" s="199"/>
      <c r="N46" s="199"/>
      <c r="O46" s="185"/>
      <c r="P46" s="185"/>
      <c r="Q46" s="199"/>
      <c r="R46" s="199"/>
      <c r="W46" s="199"/>
      <c r="X46" s="199"/>
      <c r="Y46" s="199"/>
      <c r="Z46" s="199"/>
      <c r="AA46" s="199"/>
      <c r="AB46" s="199"/>
      <c r="AC46" s="199"/>
      <c r="AD46" s="199"/>
      <c r="AL46" s="199"/>
      <c r="AM46" s="199"/>
      <c r="AN46" s="199"/>
      <c r="AO46" s="199"/>
      <c r="AP46" s="199"/>
      <c r="AQ46" s="199"/>
      <c r="AR46" s="199"/>
      <c r="AS46" s="199"/>
      <c r="AV46" s="199"/>
      <c r="AW46" s="199"/>
      <c r="AX46" s="199"/>
      <c r="AY46" s="199"/>
      <c r="AZ46" s="199"/>
      <c r="BA46" s="199"/>
      <c r="BB46" s="199"/>
      <c r="BD46" s="199"/>
      <c r="BF46" s="199"/>
      <c r="BG46" s="194"/>
      <c r="BK46" s="194"/>
      <c r="BL46" s="194"/>
      <c r="BM46" s="194"/>
      <c r="BN46" s="194"/>
      <c r="BO46" s="194"/>
      <c r="BP46" s="194"/>
      <c r="BQ46" s="194"/>
      <c r="BR46" s="194"/>
      <c r="BS46" s="194"/>
      <c r="BT46" s="194"/>
      <c r="BU46" s="194"/>
      <c r="BV46" s="194"/>
      <c r="BW46" s="194"/>
      <c r="BX46" s="194"/>
      <c r="BY46" s="194"/>
      <c r="BZ46" s="194"/>
      <c r="CA46" s="194"/>
      <c r="CB46" s="194"/>
      <c r="CC46" s="194"/>
      <c r="CD46" s="194"/>
      <c r="CE46" s="194"/>
      <c r="CF46" s="194"/>
      <c r="CG46" s="194"/>
      <c r="CH46" s="194"/>
      <c r="CI46" s="194"/>
      <c r="CJ46" s="194"/>
      <c r="CK46" s="194"/>
      <c r="CL46" s="194"/>
      <c r="CM46" s="194"/>
      <c r="CN46" s="194"/>
      <c r="CO46" s="194"/>
      <c r="CP46" s="194"/>
      <c r="CQ46" s="194"/>
      <c r="CR46" s="194"/>
      <c r="CS46" s="194"/>
      <c r="CT46" s="194"/>
      <c r="CU46" s="194"/>
      <c r="CV46" s="194"/>
    </row>
    <row r="47" spans="1:100" x14ac:dyDescent="0.2">
      <c r="A47" s="212"/>
      <c r="B47" s="212"/>
      <c r="C47" s="199"/>
      <c r="D47" s="199"/>
      <c r="E47" s="185"/>
      <c r="F47" s="199"/>
      <c r="G47" s="199"/>
      <c r="H47" s="199"/>
      <c r="I47" s="199"/>
      <c r="J47" s="199"/>
      <c r="K47" s="199"/>
      <c r="L47" s="199"/>
      <c r="M47" s="199"/>
      <c r="N47" s="199"/>
      <c r="O47" s="185"/>
      <c r="P47" s="185"/>
      <c r="Q47" s="199"/>
      <c r="R47" s="199"/>
      <c r="W47" s="199"/>
      <c r="X47" s="199"/>
      <c r="Y47" s="199"/>
      <c r="Z47" s="199"/>
      <c r="AA47" s="199"/>
      <c r="AB47" s="199"/>
      <c r="AC47" s="199"/>
      <c r="AD47" s="199"/>
      <c r="AL47" s="199"/>
      <c r="AM47" s="199"/>
      <c r="AN47" s="199"/>
      <c r="AO47" s="199"/>
      <c r="AP47" s="199"/>
      <c r="AQ47" s="199"/>
      <c r="AR47" s="199"/>
      <c r="AS47" s="199"/>
      <c r="AV47" s="199"/>
      <c r="AW47" s="199"/>
      <c r="AX47" s="199"/>
      <c r="AY47" s="199"/>
      <c r="AZ47" s="199"/>
      <c r="BA47" s="199"/>
      <c r="BB47" s="199"/>
      <c r="BD47" s="199"/>
      <c r="BF47" s="199"/>
      <c r="BG47" s="194"/>
      <c r="BJ47" s="194"/>
      <c r="BK47" s="194"/>
      <c r="BL47" s="194"/>
      <c r="BM47" s="194"/>
      <c r="BN47" s="194"/>
      <c r="BO47" s="194"/>
      <c r="BP47" s="194"/>
      <c r="BQ47" s="194"/>
      <c r="BR47" s="194"/>
      <c r="BS47" s="194"/>
      <c r="BT47" s="194"/>
      <c r="BU47" s="194"/>
      <c r="BV47" s="194"/>
      <c r="BW47" s="194"/>
      <c r="BX47" s="194"/>
      <c r="BY47" s="194"/>
      <c r="BZ47" s="194"/>
      <c r="CA47" s="194"/>
      <c r="CB47" s="194"/>
      <c r="CC47" s="194"/>
      <c r="CD47" s="194"/>
      <c r="CE47" s="194"/>
      <c r="CF47" s="194"/>
      <c r="CG47" s="194"/>
      <c r="CH47" s="194"/>
      <c r="CI47" s="194"/>
      <c r="CJ47" s="194"/>
      <c r="CK47" s="194"/>
      <c r="CL47" s="194"/>
      <c r="CM47" s="194"/>
      <c r="CN47" s="194"/>
      <c r="CO47" s="194"/>
      <c r="CP47" s="194"/>
      <c r="CQ47" s="194"/>
      <c r="CR47" s="194"/>
      <c r="CS47" s="194"/>
      <c r="CT47" s="194"/>
      <c r="CU47" s="194"/>
      <c r="CV47" s="194"/>
    </row>
    <row r="48" spans="1:100" x14ac:dyDescent="0.2">
      <c r="A48" s="212"/>
      <c r="B48" s="212"/>
      <c r="C48" s="199"/>
      <c r="D48" s="199"/>
      <c r="E48" s="185"/>
      <c r="F48" s="199"/>
      <c r="G48" s="199"/>
      <c r="H48" s="199"/>
      <c r="I48" s="199"/>
      <c r="J48"/>
      <c r="K48"/>
      <c r="L48" s="199"/>
      <c r="M48" s="199"/>
      <c r="N48" s="199"/>
      <c r="O48" s="185"/>
      <c r="P48" s="185"/>
      <c r="Q48" s="199"/>
      <c r="R48" s="199"/>
      <c r="W48" s="199"/>
      <c r="X48" s="199"/>
      <c r="Y48" s="199"/>
      <c r="Z48" s="199"/>
      <c r="AA48" s="199"/>
      <c r="AB48" s="199"/>
      <c r="AC48" s="199"/>
      <c r="AD48" s="199"/>
      <c r="AL48" s="199"/>
      <c r="AM48" s="199"/>
      <c r="AN48" s="199"/>
      <c r="AO48" s="199"/>
      <c r="AP48" s="199"/>
      <c r="AQ48" s="199"/>
      <c r="AR48" s="199"/>
      <c r="AS48" s="199"/>
      <c r="AV48" s="199"/>
      <c r="AW48" s="199"/>
      <c r="AX48" s="199"/>
      <c r="AY48" s="199"/>
      <c r="AZ48" s="199"/>
      <c r="BD48" s="199"/>
      <c r="BF48" s="199"/>
    </row>
    <row r="49" spans="1:100" x14ac:dyDescent="0.2">
      <c r="A49" s="212"/>
      <c r="B49" s="212"/>
      <c r="C49" s="199"/>
      <c r="D49" s="199"/>
      <c r="E49" s="185"/>
      <c r="F49" s="199"/>
      <c r="G49" s="199"/>
      <c r="H49" s="199"/>
      <c r="I49" s="199"/>
      <c r="J49"/>
      <c r="K49"/>
      <c r="L49" s="199"/>
      <c r="M49" s="199"/>
      <c r="N49" s="199"/>
      <c r="O49" s="185"/>
      <c r="P49" s="185"/>
      <c r="Q49" s="199"/>
      <c r="R49" s="199"/>
      <c r="W49" s="199"/>
      <c r="X49" s="199"/>
      <c r="Y49" s="199"/>
      <c r="Z49" s="199"/>
      <c r="AA49" s="199"/>
      <c r="AB49" s="199"/>
      <c r="AC49" s="199"/>
      <c r="AD49" s="199"/>
      <c r="AL49" s="199"/>
      <c r="AM49" s="199"/>
      <c r="AN49" s="199"/>
      <c r="AO49" s="199"/>
      <c r="AP49" s="199"/>
      <c r="AQ49" s="199"/>
      <c r="AR49" s="199"/>
      <c r="AS49" s="199"/>
      <c r="AV49" s="199"/>
      <c r="AW49" s="199"/>
      <c r="AX49" s="199"/>
      <c r="AY49" s="199"/>
      <c r="AZ49" s="199"/>
      <c r="BD49" s="199"/>
      <c r="BF49" s="199"/>
    </row>
    <row r="50" spans="1:100" x14ac:dyDescent="0.2">
      <c r="A50" s="212"/>
      <c r="B50" s="212"/>
      <c r="C50" s="199"/>
      <c r="D50" s="199"/>
      <c r="E50" s="185"/>
      <c r="F50" s="199"/>
      <c r="G50" s="199"/>
      <c r="H50" s="199"/>
      <c r="I50" s="199"/>
      <c r="J50"/>
      <c r="K50"/>
      <c r="L50" s="199"/>
      <c r="M50" s="199"/>
      <c r="N50" s="199"/>
      <c r="O50" s="185"/>
      <c r="P50" s="185"/>
      <c r="Q50" s="199"/>
      <c r="R50" s="199"/>
      <c r="W50" s="199"/>
      <c r="X50" s="199"/>
      <c r="Y50" s="199"/>
      <c r="Z50" s="199"/>
      <c r="AA50" s="199"/>
      <c r="AB50" s="199"/>
      <c r="AC50" s="199"/>
      <c r="AD50" s="199"/>
      <c r="AL50" s="199"/>
      <c r="AM50" s="199"/>
      <c r="AN50" s="199"/>
      <c r="AO50" s="199"/>
      <c r="AP50" s="199"/>
      <c r="AQ50" s="199"/>
      <c r="AR50" s="199"/>
      <c r="AS50" s="199"/>
      <c r="AV50" s="199"/>
      <c r="AW50" s="199"/>
      <c r="AX50" s="199"/>
      <c r="AY50" s="199"/>
      <c r="AZ50" s="199"/>
      <c r="BD50" s="199"/>
      <c r="BF50" s="199"/>
    </row>
    <row r="51" spans="1:100" x14ac:dyDescent="0.2">
      <c r="A51" s="212"/>
      <c r="B51" s="212"/>
      <c r="C51" s="199"/>
      <c r="D51" s="199"/>
      <c r="E51" s="185"/>
      <c r="F51" s="199"/>
      <c r="G51" s="199"/>
      <c r="H51" s="199"/>
      <c r="I51" s="199"/>
      <c r="J51"/>
      <c r="K51"/>
      <c r="L51" s="199"/>
      <c r="M51" s="199"/>
      <c r="N51" s="199"/>
      <c r="O51" s="185"/>
      <c r="P51" s="185"/>
      <c r="Q51" s="199"/>
      <c r="R51" s="199"/>
      <c r="W51" s="199"/>
      <c r="X51" s="199"/>
      <c r="Y51" s="199"/>
      <c r="Z51" s="199"/>
      <c r="AA51" s="199"/>
      <c r="AB51" s="199"/>
      <c r="AC51" s="199"/>
      <c r="AD51" s="199"/>
      <c r="AL51" s="199"/>
      <c r="AM51" s="199"/>
      <c r="AN51" s="199"/>
      <c r="AO51" s="199"/>
      <c r="AP51" s="199"/>
      <c r="AQ51" s="199"/>
      <c r="AR51" s="199"/>
      <c r="AS51" s="199"/>
      <c r="AV51" s="199"/>
      <c r="AW51" s="199"/>
      <c r="AX51" s="199"/>
      <c r="AY51" s="199"/>
      <c r="AZ51" s="199"/>
      <c r="BD51" s="199"/>
      <c r="BF51" s="199"/>
    </row>
    <row r="52" spans="1:100" x14ac:dyDescent="0.2">
      <c r="A52" s="212"/>
      <c r="B52" s="212"/>
      <c r="C52" s="199"/>
      <c r="D52" s="199"/>
      <c r="E52" s="185"/>
      <c r="F52" s="199"/>
      <c r="G52" s="199"/>
      <c r="H52" s="199"/>
      <c r="I52" s="199"/>
      <c r="J52"/>
      <c r="K52"/>
      <c r="L52" s="199"/>
      <c r="M52" s="199"/>
      <c r="N52" s="199"/>
      <c r="O52" s="185"/>
      <c r="P52" s="185"/>
      <c r="Q52" s="199"/>
      <c r="R52" s="199"/>
      <c r="W52" s="199"/>
      <c r="X52" s="199"/>
      <c r="Y52" s="199"/>
      <c r="Z52" s="199"/>
      <c r="AA52" s="199"/>
      <c r="AB52" s="199"/>
      <c r="AC52" s="199"/>
      <c r="AD52" s="199"/>
      <c r="AL52" s="199"/>
      <c r="AM52" s="199"/>
      <c r="AN52" s="199"/>
      <c r="AO52" s="199"/>
      <c r="AP52" s="199"/>
      <c r="AQ52" s="199"/>
      <c r="AR52" s="199"/>
      <c r="AS52" s="199"/>
      <c r="AV52" s="199"/>
      <c r="AW52" s="199"/>
      <c r="AX52" s="199"/>
      <c r="AY52" s="199"/>
      <c r="AZ52" s="199"/>
      <c r="BD52" s="199"/>
      <c r="BF52" s="199"/>
    </row>
    <row r="53" spans="1:100" x14ac:dyDescent="0.2">
      <c r="A53" s="212"/>
      <c r="B53" s="212"/>
      <c r="C53" s="199"/>
      <c r="D53" s="199"/>
      <c r="E53" s="185"/>
      <c r="F53" s="199"/>
      <c r="G53" s="199"/>
      <c r="H53" s="199"/>
      <c r="I53" s="199"/>
      <c r="J53" s="199"/>
      <c r="K53" s="199"/>
      <c r="L53" s="199"/>
      <c r="M53" s="199"/>
      <c r="N53" s="199"/>
      <c r="O53" s="185"/>
      <c r="P53" s="185"/>
      <c r="Q53" s="199"/>
      <c r="R53" s="199"/>
      <c r="W53" s="199"/>
      <c r="X53" s="199"/>
      <c r="Y53" s="199"/>
      <c r="Z53" s="199"/>
      <c r="AA53" s="199"/>
      <c r="AB53" s="199"/>
      <c r="AC53" s="199"/>
      <c r="AD53" s="199"/>
      <c r="AL53" s="199"/>
      <c r="AM53" s="199"/>
      <c r="AN53" s="199"/>
      <c r="AO53" s="199"/>
      <c r="AP53" s="199"/>
      <c r="AQ53" s="199"/>
      <c r="AR53" s="199"/>
      <c r="AS53" s="199"/>
      <c r="AV53" s="199"/>
      <c r="AW53" s="199"/>
      <c r="AX53" s="199"/>
      <c r="AY53" s="199"/>
      <c r="AZ53" s="199"/>
      <c r="BA53" s="199"/>
      <c r="BB53" s="199"/>
      <c r="BD53" s="199"/>
      <c r="BF53" s="199"/>
      <c r="BG53" s="194"/>
      <c r="BJ53" s="194"/>
      <c r="BK53" s="194"/>
      <c r="BL53" s="194"/>
      <c r="BM53" s="194"/>
      <c r="BN53" s="194"/>
      <c r="BO53" s="194"/>
      <c r="BP53" s="194"/>
      <c r="BQ53" s="194"/>
      <c r="BR53" s="194"/>
      <c r="BS53" s="194"/>
      <c r="BT53" s="194"/>
      <c r="BU53" s="194"/>
      <c r="BV53" s="194"/>
      <c r="BW53" s="194"/>
      <c r="BX53" s="194"/>
      <c r="BY53" s="194"/>
      <c r="BZ53" s="194"/>
      <c r="CA53" s="194"/>
      <c r="CB53" s="194"/>
      <c r="CC53" s="194"/>
      <c r="CD53" s="194"/>
      <c r="CE53" s="194"/>
      <c r="CF53" s="194"/>
      <c r="CG53" s="194"/>
      <c r="CH53" s="194"/>
      <c r="CI53" s="194"/>
      <c r="CJ53" s="194"/>
      <c r="CK53" s="194"/>
      <c r="CL53" s="194"/>
      <c r="CM53" s="194"/>
      <c r="CN53" s="194"/>
      <c r="CO53" s="194"/>
      <c r="CP53" s="194"/>
      <c r="CQ53" s="194"/>
      <c r="CR53" s="194"/>
      <c r="CS53" s="194"/>
      <c r="CT53" s="194"/>
      <c r="CU53" s="194"/>
      <c r="CV53" s="194"/>
    </row>
    <row r="54" spans="1:100" x14ac:dyDescent="0.2">
      <c r="A54" s="212"/>
      <c r="B54" s="212"/>
      <c r="C54" s="199"/>
      <c r="D54" s="199"/>
      <c r="E54" s="185"/>
      <c r="F54" s="199"/>
      <c r="G54" s="199"/>
      <c r="H54" s="199"/>
      <c r="I54" s="199"/>
      <c r="J54"/>
      <c r="K54"/>
      <c r="L54" s="199"/>
      <c r="M54" s="199"/>
      <c r="N54" s="199"/>
      <c r="O54" s="185"/>
      <c r="P54" s="185"/>
      <c r="Q54" s="199"/>
      <c r="R54" s="199"/>
      <c r="W54" s="199"/>
      <c r="X54" s="199"/>
      <c r="Y54" s="199"/>
      <c r="Z54" s="199"/>
      <c r="AA54" s="199"/>
      <c r="AB54" s="199"/>
      <c r="AC54" s="199"/>
      <c r="AD54" s="199"/>
      <c r="AL54" s="199"/>
      <c r="AM54" s="199"/>
      <c r="AN54" s="199"/>
      <c r="AO54" s="199"/>
      <c r="AP54" s="199"/>
      <c r="AQ54" s="199"/>
      <c r="AR54" s="199"/>
      <c r="AS54" s="199"/>
      <c r="AV54" s="199"/>
      <c r="AW54" s="199"/>
      <c r="AX54" s="199"/>
      <c r="AY54" s="199"/>
      <c r="AZ54" s="199"/>
      <c r="BD54" s="199"/>
      <c r="BF54" s="199"/>
    </row>
    <row r="55" spans="1:100" x14ac:dyDescent="0.2">
      <c r="A55" s="212"/>
      <c r="B55" s="212"/>
      <c r="C55" s="199"/>
      <c r="D55" s="199"/>
      <c r="E55" s="185"/>
      <c r="F55" s="199"/>
      <c r="G55" s="199"/>
      <c r="H55" s="199"/>
      <c r="I55" s="199"/>
      <c r="J55"/>
      <c r="K55"/>
      <c r="L55" s="199"/>
      <c r="M55" s="199"/>
      <c r="N55" s="199"/>
      <c r="O55" s="185"/>
      <c r="P55" s="185"/>
      <c r="Q55" s="199"/>
      <c r="R55" s="199"/>
      <c r="W55" s="199"/>
      <c r="X55" s="199"/>
      <c r="Y55" s="199"/>
      <c r="Z55" s="199"/>
      <c r="AA55" s="199"/>
      <c r="AB55" s="199"/>
      <c r="AC55" s="199"/>
      <c r="AD55" s="199"/>
      <c r="AL55" s="199"/>
      <c r="AM55" s="199"/>
      <c r="AN55" s="199"/>
      <c r="AO55" s="199"/>
      <c r="AP55" s="199"/>
      <c r="AQ55" s="199"/>
      <c r="AR55" s="199"/>
      <c r="AS55" s="199"/>
      <c r="AV55" s="199"/>
      <c r="AW55" s="199"/>
      <c r="AX55" s="199"/>
      <c r="AY55" s="199"/>
      <c r="AZ55" s="199"/>
      <c r="BD55" s="199"/>
      <c r="BF55" s="199"/>
    </row>
    <row r="56" spans="1:100" x14ac:dyDescent="0.2">
      <c r="A56" s="212"/>
      <c r="B56" s="212"/>
      <c r="C56" s="199"/>
      <c r="D56" s="199"/>
      <c r="E56" s="185"/>
      <c r="F56" s="199"/>
      <c r="G56" s="199"/>
      <c r="H56" s="199"/>
      <c r="I56" s="199"/>
      <c r="J56"/>
      <c r="K56"/>
      <c r="L56" s="199"/>
      <c r="M56" s="199"/>
      <c r="N56" s="199"/>
      <c r="O56" s="185"/>
      <c r="P56" s="185"/>
      <c r="Q56" s="199"/>
      <c r="R56" s="199"/>
      <c r="W56" s="199"/>
      <c r="X56" s="199"/>
      <c r="Y56" s="199"/>
      <c r="Z56" s="199"/>
      <c r="AA56" s="199"/>
      <c r="AB56" s="199"/>
      <c r="AC56" s="199"/>
      <c r="AD56" s="199"/>
      <c r="AL56" s="199"/>
      <c r="AM56" s="199"/>
      <c r="AN56" s="199"/>
      <c r="AO56" s="199"/>
      <c r="AP56" s="199"/>
      <c r="AQ56" s="199"/>
      <c r="AR56" s="199"/>
      <c r="AS56" s="199"/>
      <c r="AV56" s="199"/>
      <c r="AW56" s="199"/>
      <c r="AX56" s="199"/>
      <c r="AY56" s="199"/>
      <c r="AZ56" s="199"/>
      <c r="BD56" s="199"/>
      <c r="BF56" s="199"/>
    </row>
    <row r="57" spans="1:100" x14ac:dyDescent="0.2">
      <c r="A57" s="212"/>
      <c r="B57" s="212"/>
      <c r="C57" s="199"/>
      <c r="D57" s="199"/>
      <c r="E57" s="185"/>
      <c r="F57" s="199"/>
      <c r="G57" s="199"/>
      <c r="H57" s="199"/>
      <c r="I57" s="199"/>
      <c r="J57" s="199"/>
      <c r="K57" s="199"/>
      <c r="L57" s="199"/>
      <c r="M57" s="199"/>
      <c r="N57" s="199"/>
      <c r="O57" s="185"/>
      <c r="P57" s="185"/>
      <c r="Q57" s="199"/>
      <c r="R57" s="199"/>
      <c r="W57" s="199"/>
      <c r="X57" s="199"/>
      <c r="Y57" s="199"/>
      <c r="Z57" s="199"/>
      <c r="AA57" s="199"/>
      <c r="AB57" s="199"/>
      <c r="AC57" s="199"/>
      <c r="AD57" s="199"/>
      <c r="AL57" s="199"/>
      <c r="AM57" s="199"/>
      <c r="AN57" s="199"/>
      <c r="AO57" s="199"/>
      <c r="AP57" s="199"/>
      <c r="AQ57" s="199"/>
      <c r="AR57" s="199"/>
      <c r="AS57" s="199"/>
      <c r="AV57" s="199"/>
      <c r="AW57" s="199"/>
      <c r="AX57" s="199"/>
      <c r="AY57" s="199"/>
      <c r="AZ57" s="199"/>
      <c r="BA57" s="199"/>
      <c r="BB57" s="199"/>
      <c r="BD57" s="199"/>
      <c r="BF57" s="199"/>
      <c r="BG57" s="194"/>
      <c r="BH57" s="194"/>
      <c r="BJ57" s="194"/>
      <c r="BK57" s="194"/>
      <c r="BL57" s="194"/>
      <c r="BM57" s="194"/>
      <c r="BN57" s="194"/>
      <c r="BO57" s="194"/>
      <c r="BP57" s="194"/>
      <c r="BQ57" s="194"/>
      <c r="BR57" s="194"/>
      <c r="BS57" s="194"/>
      <c r="BT57" s="194"/>
      <c r="BU57" s="194"/>
      <c r="BV57" s="194"/>
      <c r="BW57" s="194"/>
      <c r="BX57" s="194"/>
      <c r="BY57" s="194"/>
      <c r="BZ57" s="194"/>
      <c r="CA57" s="194"/>
      <c r="CB57" s="194"/>
      <c r="CC57" s="194"/>
      <c r="CD57" s="194"/>
      <c r="CE57" s="194"/>
      <c r="CF57" s="194"/>
      <c r="CG57" s="194"/>
      <c r="CH57" s="194"/>
      <c r="CI57" s="194"/>
      <c r="CJ57" s="194"/>
      <c r="CK57" s="194"/>
      <c r="CL57" s="194"/>
      <c r="CM57" s="194"/>
      <c r="CN57" s="194"/>
      <c r="CO57" s="194"/>
      <c r="CP57" s="194"/>
      <c r="CQ57" s="194"/>
      <c r="CR57" s="194"/>
      <c r="CS57" s="194"/>
      <c r="CT57" s="194"/>
      <c r="CU57" s="194"/>
      <c r="CV57" s="194"/>
    </row>
    <row r="58" spans="1:100" x14ac:dyDescent="0.2">
      <c r="A58" s="212"/>
      <c r="B58" s="212"/>
      <c r="C58" s="199"/>
      <c r="D58" s="199"/>
      <c r="E58" s="185"/>
      <c r="F58" s="199"/>
      <c r="G58" s="199"/>
      <c r="H58" s="199"/>
      <c r="I58" s="199"/>
      <c r="J58"/>
      <c r="K58"/>
      <c r="L58" s="199"/>
      <c r="M58" s="199"/>
      <c r="N58" s="199"/>
      <c r="O58" s="185"/>
      <c r="P58" s="185"/>
      <c r="Q58" s="199"/>
      <c r="R58" s="199"/>
      <c r="W58" s="199"/>
      <c r="X58" s="199"/>
      <c r="Y58" s="199"/>
      <c r="Z58" s="199"/>
      <c r="AA58" s="199"/>
      <c r="AB58" s="199"/>
      <c r="AC58" s="199"/>
      <c r="AD58" s="199"/>
      <c r="AL58" s="199"/>
      <c r="AM58" s="199"/>
      <c r="AN58" s="199"/>
      <c r="AO58" s="199"/>
      <c r="AP58" s="199"/>
      <c r="AQ58" s="199"/>
      <c r="AR58" s="199"/>
      <c r="AS58" s="199"/>
      <c r="AV58" s="199"/>
      <c r="AW58" s="199"/>
      <c r="AX58" s="199"/>
      <c r="AY58" s="199"/>
      <c r="AZ58" s="199"/>
      <c r="BD58" s="199"/>
      <c r="BF58" s="199"/>
    </row>
    <row r="59" spans="1:100" x14ac:dyDescent="0.2">
      <c r="A59" s="212"/>
      <c r="B59" s="212"/>
      <c r="C59" s="199"/>
      <c r="D59" s="199"/>
      <c r="E59" s="185"/>
      <c r="F59" s="199"/>
      <c r="G59" s="199"/>
      <c r="H59" s="199"/>
      <c r="I59" s="199"/>
      <c r="J59"/>
      <c r="K59"/>
      <c r="L59" s="199"/>
      <c r="M59" s="199"/>
      <c r="N59" s="199"/>
      <c r="O59" s="185"/>
      <c r="P59" s="185"/>
      <c r="Q59" s="199"/>
      <c r="R59" s="199"/>
      <c r="W59" s="199"/>
      <c r="X59" s="199"/>
      <c r="Y59" s="199"/>
      <c r="Z59" s="199"/>
      <c r="AA59" s="199"/>
      <c r="AB59" s="199"/>
      <c r="AC59" s="199"/>
      <c r="AD59" s="199"/>
      <c r="AL59" s="199"/>
      <c r="AM59" s="199"/>
      <c r="AN59" s="199"/>
      <c r="AO59" s="199"/>
      <c r="AP59" s="199"/>
      <c r="AQ59" s="199"/>
      <c r="AR59" s="199"/>
      <c r="AS59" s="199"/>
      <c r="AV59" s="199"/>
      <c r="AW59" s="199"/>
      <c r="AX59" s="199"/>
      <c r="AY59" s="199"/>
      <c r="AZ59" s="199"/>
      <c r="BD59" s="199"/>
      <c r="BF59" s="199"/>
    </row>
    <row r="60" spans="1:100" x14ac:dyDescent="0.2">
      <c r="A60" s="212"/>
      <c r="B60" s="212"/>
      <c r="C60" s="199"/>
      <c r="D60" s="199"/>
      <c r="E60" s="185"/>
      <c r="F60" s="199"/>
      <c r="G60" s="199"/>
      <c r="H60" s="199"/>
      <c r="I60" s="199"/>
      <c r="J60" s="199"/>
      <c r="K60" s="199"/>
      <c r="L60" s="199"/>
      <c r="M60" s="199"/>
      <c r="N60" s="199"/>
      <c r="O60" s="185"/>
      <c r="P60" s="185"/>
      <c r="Q60" s="199"/>
      <c r="R60" s="199"/>
      <c r="W60" s="199"/>
      <c r="X60" s="199"/>
      <c r="Y60" s="199"/>
      <c r="Z60" s="199"/>
      <c r="AA60" s="199"/>
      <c r="AB60" s="199"/>
      <c r="AC60" s="199"/>
      <c r="AD60" s="199"/>
      <c r="AL60" s="199"/>
      <c r="AM60" s="199"/>
      <c r="AN60" s="199"/>
      <c r="AO60" s="199"/>
      <c r="AP60" s="199"/>
      <c r="AQ60" s="199"/>
      <c r="AR60" s="199"/>
      <c r="AS60" s="199"/>
      <c r="AV60" s="199"/>
      <c r="AW60" s="199"/>
      <c r="AX60" s="199"/>
      <c r="AY60" s="199"/>
      <c r="AZ60" s="199"/>
      <c r="BA60" s="199"/>
      <c r="BB60" s="199"/>
      <c r="BD60" s="199"/>
      <c r="BF60" s="199"/>
      <c r="BG60" s="194"/>
      <c r="BJ60" s="194"/>
      <c r="BK60" s="194"/>
      <c r="BL60" s="194"/>
      <c r="BM60" s="194"/>
      <c r="BN60" s="194"/>
      <c r="BO60" s="194"/>
      <c r="BP60" s="194"/>
      <c r="BQ60" s="194"/>
      <c r="BR60" s="194"/>
      <c r="BS60" s="194"/>
      <c r="BT60" s="194"/>
      <c r="BU60" s="194"/>
      <c r="BV60" s="194"/>
      <c r="BW60" s="194"/>
      <c r="BX60" s="194"/>
      <c r="BY60" s="194"/>
      <c r="BZ60" s="194"/>
      <c r="CA60" s="194"/>
      <c r="CB60" s="194"/>
      <c r="CC60" s="194"/>
      <c r="CD60" s="194"/>
      <c r="CE60" s="194"/>
      <c r="CF60" s="194"/>
      <c r="CG60" s="194"/>
      <c r="CH60" s="194"/>
      <c r="CI60" s="194"/>
      <c r="CJ60" s="194"/>
      <c r="CK60" s="194"/>
      <c r="CL60" s="194"/>
      <c r="CM60" s="194"/>
      <c r="CN60" s="194"/>
      <c r="CO60" s="194"/>
      <c r="CP60" s="194"/>
      <c r="CQ60" s="194"/>
      <c r="CR60" s="194"/>
      <c r="CS60" s="194"/>
      <c r="CT60" s="194"/>
      <c r="CU60" s="194"/>
      <c r="CV60" s="194"/>
    </row>
    <row r="61" spans="1:100" x14ac:dyDescent="0.2">
      <c r="A61" s="212"/>
      <c r="B61" s="212"/>
      <c r="C61" s="199"/>
      <c r="D61" s="199"/>
      <c r="E61" s="185"/>
      <c r="F61" s="199"/>
      <c r="G61" s="199"/>
      <c r="H61" s="199"/>
      <c r="I61" s="199"/>
      <c r="J61" s="199"/>
      <c r="K61" s="199"/>
      <c r="L61" s="199"/>
      <c r="M61" s="199"/>
      <c r="N61" s="199"/>
      <c r="O61" s="185"/>
      <c r="P61" s="185"/>
      <c r="Q61" s="199"/>
      <c r="R61" s="199"/>
      <c r="W61" s="199"/>
      <c r="X61" s="199"/>
      <c r="Y61" s="199"/>
      <c r="Z61" s="199"/>
      <c r="AA61" s="199"/>
      <c r="AB61" s="199"/>
      <c r="AC61" s="199"/>
      <c r="AD61" s="199"/>
      <c r="AL61" s="199"/>
      <c r="AM61" s="199"/>
      <c r="AN61" s="199"/>
      <c r="AO61" s="199"/>
      <c r="AP61" s="199"/>
      <c r="AQ61" s="199"/>
      <c r="AR61" s="199"/>
      <c r="AS61" s="199"/>
      <c r="AV61" s="199"/>
      <c r="AW61" s="199"/>
      <c r="AX61" s="199"/>
      <c r="AY61" s="199"/>
      <c r="AZ61" s="199"/>
      <c r="BA61" s="199"/>
      <c r="BB61" s="199"/>
      <c r="BD61" s="199"/>
      <c r="BF61" s="199"/>
      <c r="BG61" s="194"/>
      <c r="BK61" s="194"/>
      <c r="BL61" s="194"/>
      <c r="BM61" s="194"/>
      <c r="BN61" s="194"/>
      <c r="BO61" s="194"/>
      <c r="BP61" s="194"/>
      <c r="BQ61" s="194"/>
      <c r="BR61" s="194"/>
      <c r="BS61" s="194"/>
      <c r="BT61" s="194"/>
      <c r="BU61" s="194"/>
      <c r="BV61" s="194"/>
      <c r="BW61" s="194"/>
      <c r="BX61" s="194"/>
      <c r="BY61" s="194"/>
      <c r="BZ61" s="194"/>
      <c r="CA61" s="194"/>
      <c r="CB61" s="194"/>
      <c r="CC61" s="194"/>
      <c r="CD61" s="194"/>
      <c r="CE61" s="194"/>
      <c r="CF61" s="194"/>
      <c r="CG61" s="194"/>
      <c r="CH61" s="194"/>
      <c r="CI61" s="194"/>
      <c r="CJ61" s="194"/>
      <c r="CK61" s="194"/>
      <c r="CL61" s="194"/>
      <c r="CM61" s="194"/>
      <c r="CN61" s="194"/>
      <c r="CO61" s="194"/>
      <c r="CP61" s="194"/>
      <c r="CQ61" s="194"/>
      <c r="CR61" s="194"/>
      <c r="CS61" s="194"/>
      <c r="CT61" s="194"/>
      <c r="CU61" s="194"/>
      <c r="CV61" s="194"/>
    </row>
    <row r="62" spans="1:100" x14ac:dyDescent="0.2">
      <c r="A62" s="212"/>
      <c r="B62" s="212"/>
      <c r="C62" s="199"/>
      <c r="D62" s="199"/>
      <c r="E62" s="185"/>
      <c r="F62" s="199"/>
      <c r="G62" s="199"/>
      <c r="H62" s="199"/>
      <c r="I62" s="199"/>
      <c r="J62"/>
      <c r="K62"/>
      <c r="L62" s="199"/>
      <c r="M62" s="199"/>
      <c r="N62" s="199"/>
      <c r="O62" s="185"/>
      <c r="P62" s="185"/>
      <c r="Q62" s="199"/>
      <c r="R62" s="199"/>
      <c r="W62" s="199"/>
      <c r="X62" s="199"/>
      <c r="Y62" s="199"/>
      <c r="Z62" s="199"/>
      <c r="AA62" s="199"/>
      <c r="AB62" s="199"/>
      <c r="AC62" s="199"/>
      <c r="AD62" s="199"/>
      <c r="AL62" s="199"/>
      <c r="AM62" s="199"/>
      <c r="AN62" s="199"/>
      <c r="AO62" s="199"/>
      <c r="AP62" s="199"/>
      <c r="AQ62" s="199"/>
      <c r="AR62" s="199"/>
      <c r="AS62" s="199"/>
      <c r="AV62" s="199"/>
      <c r="AW62" s="199"/>
      <c r="AX62" s="199"/>
      <c r="AY62" s="199"/>
      <c r="AZ62" s="199"/>
      <c r="BD62" s="199"/>
      <c r="BF62" s="199"/>
    </row>
    <row r="63" spans="1:100" x14ac:dyDescent="0.2">
      <c r="A63" s="212"/>
      <c r="B63" s="212"/>
      <c r="C63" s="199"/>
      <c r="D63" s="199"/>
      <c r="E63" s="185"/>
      <c r="F63" s="199"/>
      <c r="G63" s="199"/>
      <c r="H63" s="199"/>
      <c r="I63" s="199"/>
      <c r="J63"/>
      <c r="K63"/>
      <c r="L63" s="199"/>
      <c r="M63" s="199"/>
      <c r="N63" s="199"/>
      <c r="O63" s="185"/>
      <c r="P63" s="185"/>
      <c r="Q63" s="199"/>
      <c r="R63" s="199"/>
      <c r="W63" s="199"/>
      <c r="X63" s="199"/>
      <c r="Y63" s="199"/>
      <c r="Z63" s="199"/>
      <c r="AA63" s="199"/>
      <c r="AB63" s="199"/>
      <c r="AC63" s="199"/>
      <c r="AD63" s="199"/>
      <c r="AL63" s="199"/>
      <c r="AM63" s="199"/>
      <c r="AN63" s="199"/>
      <c r="AO63" s="199"/>
      <c r="AP63" s="199"/>
      <c r="AQ63" s="199"/>
      <c r="AR63" s="199"/>
      <c r="AS63" s="199"/>
      <c r="AV63" s="199"/>
      <c r="AW63" s="199"/>
      <c r="AX63" s="199"/>
      <c r="AY63" s="199"/>
      <c r="AZ63" s="199"/>
      <c r="BD63" s="199"/>
      <c r="BF63" s="199"/>
    </row>
    <row r="64" spans="1:100" x14ac:dyDescent="0.2">
      <c r="A64" s="212"/>
      <c r="B64" s="212"/>
      <c r="C64" s="199"/>
      <c r="D64" s="199"/>
      <c r="E64" s="185"/>
      <c r="F64" s="199"/>
      <c r="G64" s="199"/>
      <c r="H64" s="199"/>
      <c r="I64" s="199"/>
      <c r="J64"/>
      <c r="K64"/>
      <c r="L64" s="199"/>
      <c r="M64" s="199"/>
      <c r="N64" s="199"/>
      <c r="O64" s="185"/>
      <c r="P64" s="185"/>
      <c r="Q64" s="199"/>
      <c r="R64" s="199"/>
      <c r="W64" s="199"/>
      <c r="X64" s="199"/>
      <c r="Y64" s="199"/>
      <c r="Z64" s="199"/>
      <c r="AA64" s="199"/>
      <c r="AB64" s="199"/>
      <c r="AC64" s="199"/>
      <c r="AD64" s="199"/>
      <c r="AL64" s="199"/>
      <c r="AM64" s="199"/>
      <c r="AN64" s="199"/>
      <c r="AO64" s="199"/>
      <c r="AP64" s="199"/>
      <c r="AQ64" s="199"/>
      <c r="AR64" s="199"/>
      <c r="AS64" s="199"/>
      <c r="AV64" s="199"/>
      <c r="AW64" s="199"/>
      <c r="AX64" s="199"/>
      <c r="AY64" s="199"/>
      <c r="AZ64" s="199"/>
      <c r="BD64" s="199"/>
      <c r="BF64" s="199"/>
    </row>
    <row r="65" spans="1:100" x14ac:dyDescent="0.2">
      <c r="A65" s="212"/>
      <c r="B65" s="212"/>
      <c r="C65" s="199"/>
      <c r="D65" s="199"/>
      <c r="E65" s="185"/>
      <c r="F65" s="199"/>
      <c r="G65" s="199"/>
      <c r="H65" s="199"/>
      <c r="I65" s="199"/>
      <c r="J65"/>
      <c r="K65"/>
      <c r="L65" s="199"/>
      <c r="M65" s="199"/>
      <c r="N65" s="199"/>
      <c r="O65" s="185"/>
      <c r="P65" s="185"/>
      <c r="Q65" s="199"/>
      <c r="R65" s="199"/>
      <c r="W65" s="199"/>
      <c r="X65" s="199"/>
      <c r="Y65" s="199"/>
      <c r="Z65" s="199"/>
      <c r="AA65" s="199"/>
      <c r="AB65" s="199"/>
      <c r="AC65" s="199"/>
      <c r="AD65" s="199"/>
      <c r="AL65" s="199"/>
      <c r="AM65" s="199"/>
      <c r="AN65" s="199"/>
      <c r="AO65" s="199"/>
      <c r="AP65" s="199"/>
      <c r="AQ65" s="199"/>
      <c r="AR65" s="199"/>
      <c r="AS65" s="199"/>
      <c r="AV65" s="199"/>
      <c r="AW65" s="199"/>
      <c r="AX65" s="199"/>
      <c r="AY65" s="199"/>
      <c r="AZ65" s="199"/>
      <c r="BD65" s="199"/>
      <c r="BF65" s="199"/>
    </row>
    <row r="66" spans="1:100" x14ac:dyDescent="0.2">
      <c r="A66" s="212"/>
      <c r="B66" s="212"/>
      <c r="C66" s="199"/>
      <c r="D66" s="199"/>
      <c r="E66" s="185"/>
      <c r="F66" s="199"/>
      <c r="G66" s="199"/>
      <c r="H66" s="199"/>
      <c r="I66" s="199"/>
      <c r="J66"/>
      <c r="K66"/>
      <c r="L66" s="199"/>
      <c r="M66" s="199"/>
      <c r="N66" s="199"/>
      <c r="O66" s="185"/>
      <c r="P66" s="185"/>
      <c r="Q66" s="199"/>
      <c r="R66" s="199"/>
      <c r="W66" s="199"/>
      <c r="X66" s="199"/>
      <c r="Y66" s="199"/>
      <c r="Z66" s="199"/>
      <c r="AA66" s="199"/>
      <c r="AB66" s="199"/>
      <c r="AC66" s="199"/>
      <c r="AD66" s="199"/>
      <c r="AL66" s="199"/>
      <c r="AM66" s="199"/>
      <c r="AN66" s="199"/>
      <c r="AO66" s="199"/>
      <c r="AP66" s="199"/>
      <c r="AQ66" s="199"/>
      <c r="AR66" s="199"/>
      <c r="AS66" s="199"/>
      <c r="AV66" s="199"/>
      <c r="AW66" s="199"/>
      <c r="AX66" s="199"/>
      <c r="AY66" s="199"/>
      <c r="AZ66" s="199"/>
      <c r="BD66" s="199"/>
      <c r="BF66" s="199"/>
    </row>
    <row r="67" spans="1:100" x14ac:dyDescent="0.2">
      <c r="A67" s="212"/>
      <c r="B67" s="212"/>
      <c r="C67" s="199"/>
      <c r="D67" s="199"/>
      <c r="E67" s="185"/>
      <c r="F67" s="199"/>
      <c r="G67" s="199"/>
      <c r="H67" s="199"/>
      <c r="I67" s="199"/>
      <c r="J67"/>
      <c r="K67"/>
      <c r="L67" s="199"/>
      <c r="M67" s="199"/>
      <c r="N67" s="199"/>
      <c r="O67" s="185"/>
      <c r="P67" s="185"/>
      <c r="Q67" s="199"/>
      <c r="R67" s="199"/>
      <c r="W67" s="199"/>
      <c r="X67" s="199"/>
      <c r="Y67" s="199"/>
      <c r="Z67" s="199"/>
      <c r="AA67" s="199"/>
      <c r="AB67" s="199"/>
      <c r="AC67" s="199"/>
      <c r="AD67" s="199"/>
      <c r="AL67" s="199"/>
      <c r="AM67" s="199"/>
      <c r="AN67" s="199"/>
      <c r="AO67" s="199"/>
      <c r="AP67" s="199"/>
      <c r="AQ67" s="199"/>
      <c r="AR67" s="199"/>
      <c r="AS67" s="199"/>
      <c r="AV67" s="199"/>
      <c r="AW67" s="199"/>
      <c r="AX67" s="199"/>
      <c r="AY67" s="199"/>
      <c r="AZ67" s="199"/>
      <c r="BD67" s="199"/>
      <c r="BF67" s="199"/>
    </row>
    <row r="68" spans="1:100" x14ac:dyDescent="0.2">
      <c r="A68" s="212"/>
      <c r="B68" s="212"/>
      <c r="C68" s="199"/>
      <c r="D68" s="199"/>
      <c r="E68" s="185"/>
      <c r="F68" s="199"/>
      <c r="G68" s="199"/>
      <c r="H68" s="199"/>
      <c r="I68" s="199"/>
      <c r="J68"/>
      <c r="K68"/>
      <c r="L68" s="199"/>
      <c r="M68" s="199"/>
      <c r="N68" s="199"/>
      <c r="O68" s="185"/>
      <c r="P68" s="185"/>
      <c r="Q68" s="199"/>
      <c r="R68" s="199"/>
      <c r="W68" s="199"/>
      <c r="X68" s="199"/>
      <c r="Y68" s="199"/>
      <c r="Z68" s="199"/>
      <c r="AA68" s="199"/>
      <c r="AB68" s="199"/>
      <c r="AC68" s="199"/>
      <c r="AD68" s="199"/>
      <c r="AL68" s="199"/>
      <c r="AM68" s="199"/>
      <c r="AN68" s="199"/>
      <c r="AO68" s="199"/>
      <c r="AP68" s="199"/>
      <c r="AQ68" s="199"/>
      <c r="AR68" s="199"/>
      <c r="AS68" s="199"/>
      <c r="AV68" s="199"/>
      <c r="AW68" s="199"/>
      <c r="AX68" s="199"/>
      <c r="AY68" s="199"/>
      <c r="AZ68" s="199"/>
      <c r="BD68" s="199"/>
      <c r="BF68" s="199"/>
    </row>
    <row r="69" spans="1:100" x14ac:dyDescent="0.2">
      <c r="A69" s="212"/>
      <c r="B69" s="212"/>
      <c r="C69" s="199"/>
      <c r="D69" s="199"/>
      <c r="E69" s="185"/>
      <c r="F69" s="199"/>
      <c r="G69" s="199"/>
      <c r="H69" s="199"/>
      <c r="I69" s="199"/>
      <c r="J69"/>
      <c r="K69"/>
      <c r="L69" s="199"/>
      <c r="M69" s="199"/>
      <c r="N69" s="199"/>
      <c r="O69" s="185"/>
      <c r="P69" s="185"/>
      <c r="Q69" s="199"/>
      <c r="R69" s="199"/>
      <c r="W69" s="199"/>
      <c r="X69" s="199"/>
      <c r="Y69" s="199"/>
      <c r="Z69" s="199"/>
      <c r="AA69" s="199"/>
      <c r="AB69" s="199"/>
      <c r="AC69" s="199"/>
      <c r="AD69" s="199"/>
      <c r="AL69" s="199"/>
      <c r="AM69" s="199"/>
      <c r="AN69" s="199"/>
      <c r="AO69" s="199"/>
      <c r="AP69" s="199"/>
      <c r="AQ69" s="199"/>
      <c r="AR69" s="199"/>
      <c r="AS69" s="199"/>
      <c r="AV69" s="199"/>
      <c r="AW69" s="199"/>
      <c r="AX69" s="199"/>
      <c r="AY69" s="199"/>
      <c r="AZ69" s="199"/>
      <c r="BD69" s="199"/>
      <c r="BF69" s="199"/>
    </row>
    <row r="70" spans="1:100" x14ac:dyDescent="0.2">
      <c r="A70" s="212"/>
      <c r="B70" s="212"/>
      <c r="C70" s="199"/>
      <c r="D70" s="199"/>
      <c r="E70" s="185"/>
      <c r="F70" s="199"/>
      <c r="G70" s="199"/>
      <c r="H70" s="199"/>
      <c r="I70" s="199"/>
      <c r="J70" s="199"/>
      <c r="K70" s="199"/>
      <c r="L70" s="199"/>
      <c r="M70" s="199"/>
      <c r="N70" s="199"/>
      <c r="O70" s="185"/>
      <c r="P70" s="185"/>
      <c r="Q70" s="199"/>
      <c r="R70" s="199"/>
      <c r="W70" s="199"/>
      <c r="X70" s="199"/>
      <c r="Y70" s="199"/>
      <c r="Z70" s="199"/>
      <c r="AA70" s="199"/>
      <c r="AB70" s="199"/>
      <c r="AC70" s="199"/>
      <c r="AD70" s="199"/>
      <c r="AL70" s="199"/>
      <c r="AM70" s="199"/>
      <c r="AN70" s="199"/>
      <c r="AO70" s="199"/>
      <c r="AP70" s="199"/>
      <c r="AQ70" s="199"/>
      <c r="AR70" s="199"/>
      <c r="AS70" s="199"/>
      <c r="AV70" s="199"/>
      <c r="AW70" s="199"/>
      <c r="AX70" s="199"/>
      <c r="AY70" s="199"/>
      <c r="AZ70" s="199"/>
      <c r="BA70" s="199"/>
      <c r="BB70" s="199"/>
      <c r="BD70" s="199"/>
      <c r="BF70" s="199"/>
      <c r="BG70" s="194"/>
      <c r="BK70" s="194"/>
      <c r="BL70" s="194"/>
      <c r="BM70" s="194"/>
      <c r="BN70" s="194"/>
      <c r="BO70" s="194"/>
      <c r="BP70" s="194"/>
      <c r="BQ70" s="194"/>
      <c r="BR70" s="194"/>
      <c r="BS70" s="194"/>
      <c r="BT70" s="194"/>
      <c r="BU70" s="194"/>
      <c r="BV70" s="194"/>
      <c r="BW70" s="194"/>
      <c r="BX70" s="194"/>
      <c r="BY70" s="194"/>
      <c r="BZ70" s="194"/>
      <c r="CA70" s="194"/>
      <c r="CB70" s="194"/>
      <c r="CC70" s="194"/>
      <c r="CD70" s="194"/>
      <c r="CE70" s="194"/>
      <c r="CF70" s="194"/>
      <c r="CG70" s="194"/>
      <c r="CH70" s="194"/>
      <c r="CI70" s="194"/>
      <c r="CJ70" s="194"/>
      <c r="CK70" s="194"/>
      <c r="CL70" s="194"/>
      <c r="CM70" s="194"/>
      <c r="CN70" s="194"/>
      <c r="CO70" s="194"/>
      <c r="CP70" s="194"/>
      <c r="CQ70" s="194"/>
      <c r="CR70" s="194"/>
      <c r="CS70" s="194"/>
      <c r="CT70" s="194"/>
      <c r="CU70" s="194"/>
      <c r="CV70" s="194"/>
    </row>
    <row r="71" spans="1:100" x14ac:dyDescent="0.2">
      <c r="A71" s="212"/>
      <c r="B71" s="212"/>
      <c r="C71" s="199"/>
      <c r="D71" s="199"/>
      <c r="E71" s="185"/>
      <c r="F71" s="199"/>
      <c r="G71" s="199"/>
      <c r="H71" s="199"/>
      <c r="I71" s="199"/>
      <c r="J71" s="199"/>
      <c r="K71" s="199"/>
      <c r="L71" s="199"/>
      <c r="M71" s="199"/>
      <c r="N71" s="199"/>
      <c r="O71" s="185"/>
      <c r="P71" s="185"/>
      <c r="Q71" s="199"/>
      <c r="R71" s="199"/>
      <c r="W71" s="199"/>
      <c r="X71" s="199"/>
      <c r="Y71" s="199"/>
      <c r="Z71" s="199"/>
      <c r="AA71" s="199"/>
      <c r="AB71" s="199"/>
      <c r="AC71" s="199"/>
      <c r="AD71" s="199"/>
      <c r="AL71" s="199"/>
      <c r="AM71" s="199"/>
      <c r="AN71" s="199"/>
      <c r="AO71" s="199"/>
      <c r="AP71" s="199"/>
      <c r="AQ71" s="199"/>
      <c r="AR71" s="199"/>
      <c r="AS71" s="199"/>
      <c r="AV71" s="199"/>
      <c r="AW71" s="199"/>
      <c r="AX71" s="199"/>
      <c r="AY71" s="199"/>
      <c r="AZ71" s="199"/>
      <c r="BA71" s="199"/>
      <c r="BB71" s="199"/>
      <c r="BD71" s="199"/>
      <c r="BF71" s="199"/>
      <c r="BG71" s="194"/>
      <c r="BJ71" s="194"/>
      <c r="BK71" s="194"/>
      <c r="BL71" s="194"/>
      <c r="BM71" s="194"/>
      <c r="BN71" s="194"/>
      <c r="BO71" s="194"/>
      <c r="BP71" s="194"/>
      <c r="BQ71" s="194"/>
      <c r="BR71" s="194"/>
      <c r="BS71" s="194"/>
      <c r="BT71" s="194"/>
      <c r="BU71" s="194"/>
      <c r="BV71" s="194"/>
      <c r="BW71" s="194"/>
      <c r="BX71" s="194"/>
      <c r="BY71" s="194"/>
      <c r="BZ71" s="194"/>
      <c r="CA71" s="194"/>
      <c r="CB71" s="194"/>
      <c r="CC71" s="194"/>
      <c r="CD71" s="194"/>
      <c r="CE71" s="194"/>
      <c r="CF71" s="194"/>
      <c r="CG71" s="194"/>
      <c r="CH71" s="194"/>
      <c r="CI71" s="194"/>
      <c r="CJ71" s="194"/>
      <c r="CK71" s="194"/>
      <c r="CL71" s="194"/>
      <c r="CM71" s="194"/>
      <c r="CN71" s="194"/>
      <c r="CO71" s="194"/>
      <c r="CP71" s="194"/>
      <c r="CQ71" s="194"/>
      <c r="CR71" s="194"/>
      <c r="CS71" s="194"/>
      <c r="CT71" s="194"/>
      <c r="CU71" s="194"/>
      <c r="CV71" s="194"/>
    </row>
    <row r="72" spans="1:100" x14ac:dyDescent="0.2">
      <c r="A72" s="212"/>
      <c r="B72" s="212"/>
      <c r="C72" s="199"/>
      <c r="D72" s="199"/>
      <c r="E72" s="185"/>
      <c r="F72" s="199"/>
      <c r="G72" s="199"/>
      <c r="H72" s="199"/>
      <c r="I72" s="199"/>
      <c r="J72" s="199"/>
      <c r="K72" s="199"/>
      <c r="L72" s="199"/>
      <c r="M72" s="199"/>
      <c r="N72" s="199"/>
      <c r="O72" s="185"/>
      <c r="P72" s="185"/>
      <c r="Q72" s="199"/>
      <c r="R72" s="199"/>
      <c r="W72" s="199"/>
      <c r="X72" s="199"/>
      <c r="Y72" s="199"/>
      <c r="Z72" s="199"/>
      <c r="AA72" s="199"/>
      <c r="AB72" s="199"/>
      <c r="AC72" s="199"/>
      <c r="AD72" s="199"/>
      <c r="AL72" s="199"/>
      <c r="AM72" s="199"/>
      <c r="AN72" s="199"/>
      <c r="AO72" s="199"/>
      <c r="AP72" s="199"/>
      <c r="AQ72" s="199"/>
      <c r="AR72" s="199"/>
      <c r="AS72" s="199"/>
      <c r="AV72" s="199"/>
      <c r="AW72" s="199"/>
      <c r="AX72" s="199"/>
      <c r="AY72" s="199"/>
      <c r="AZ72" s="199"/>
      <c r="BA72" s="199"/>
      <c r="BB72" s="199"/>
      <c r="BD72" s="199"/>
      <c r="BF72" s="199"/>
      <c r="BG72" s="194"/>
      <c r="BJ72" s="194"/>
      <c r="BK72" s="194"/>
      <c r="BL72" s="194"/>
      <c r="BM72" s="194"/>
      <c r="BN72" s="194"/>
      <c r="BO72" s="194"/>
      <c r="BP72" s="194"/>
      <c r="BQ72" s="194"/>
      <c r="BR72" s="194"/>
      <c r="BS72" s="194"/>
      <c r="BT72" s="194"/>
      <c r="BU72" s="194"/>
      <c r="BV72" s="194"/>
      <c r="BW72" s="194"/>
      <c r="BX72" s="194"/>
      <c r="BY72" s="194"/>
      <c r="BZ72" s="194"/>
      <c r="CA72" s="194"/>
      <c r="CB72" s="194"/>
      <c r="CC72" s="194"/>
      <c r="CD72" s="194"/>
      <c r="CE72" s="194"/>
      <c r="CF72" s="194"/>
      <c r="CG72" s="194"/>
      <c r="CH72" s="194"/>
      <c r="CI72" s="194"/>
      <c r="CJ72" s="194"/>
      <c r="CK72" s="194"/>
      <c r="CL72" s="194"/>
      <c r="CM72" s="194"/>
      <c r="CN72" s="194"/>
      <c r="CP72" s="194"/>
      <c r="CQ72" s="194"/>
      <c r="CR72" s="194"/>
      <c r="CS72" s="194"/>
      <c r="CT72" s="194"/>
      <c r="CU72" s="194"/>
      <c r="CV72" s="194"/>
    </row>
    <row r="73" spans="1:100" x14ac:dyDescent="0.2">
      <c r="A73" s="212"/>
      <c r="B73" s="212"/>
      <c r="C73" s="199"/>
      <c r="D73" s="199"/>
      <c r="E73" s="185"/>
      <c r="F73" s="199"/>
      <c r="G73" s="199"/>
      <c r="H73" s="199"/>
      <c r="I73" s="199"/>
      <c r="J73"/>
      <c r="K73"/>
      <c r="L73" s="199"/>
      <c r="M73" s="199"/>
      <c r="N73" s="199"/>
      <c r="O73" s="185"/>
      <c r="P73" s="185"/>
      <c r="Q73" s="199"/>
      <c r="R73" s="199"/>
      <c r="W73" s="199"/>
      <c r="X73" s="199"/>
      <c r="Y73" s="199"/>
      <c r="Z73" s="199"/>
      <c r="AA73" s="199"/>
      <c r="AB73" s="199"/>
      <c r="AC73" s="199"/>
      <c r="AD73" s="199"/>
      <c r="AL73" s="199"/>
      <c r="AM73" s="199"/>
      <c r="AN73" s="199"/>
      <c r="AO73" s="199"/>
      <c r="AP73" s="199"/>
      <c r="AQ73" s="199"/>
      <c r="AR73" s="199"/>
      <c r="AS73" s="199"/>
      <c r="AV73" s="199"/>
      <c r="AW73" s="199"/>
      <c r="AX73" s="199"/>
      <c r="AY73" s="199"/>
      <c r="AZ73" s="199"/>
      <c r="BD73" s="199"/>
      <c r="BF73" s="199"/>
    </row>
    <row r="74" spans="1:100" x14ac:dyDescent="0.2">
      <c r="A74" s="212"/>
      <c r="B74" s="212"/>
      <c r="C74" s="199"/>
      <c r="D74" s="199"/>
      <c r="E74" s="185"/>
      <c r="F74" s="199"/>
      <c r="G74" s="199"/>
      <c r="H74" s="199"/>
      <c r="I74" s="199"/>
      <c r="J74"/>
      <c r="K74"/>
      <c r="L74" s="199"/>
      <c r="M74" s="199"/>
      <c r="N74" s="199"/>
      <c r="O74" s="185"/>
      <c r="P74" s="185"/>
      <c r="Q74" s="199"/>
      <c r="R74" s="199"/>
      <c r="W74" s="199"/>
      <c r="X74" s="199"/>
      <c r="Y74" s="199"/>
      <c r="Z74" s="199"/>
      <c r="AA74" s="199"/>
      <c r="AB74" s="199"/>
      <c r="AC74" s="199"/>
      <c r="AD74" s="199"/>
      <c r="AL74" s="199"/>
      <c r="AM74" s="199"/>
      <c r="AN74" s="199"/>
      <c r="AO74" s="199"/>
      <c r="AP74" s="199"/>
      <c r="AQ74" s="199"/>
      <c r="AR74" s="199"/>
      <c r="AS74" s="199"/>
      <c r="AV74" s="199"/>
      <c r="AW74" s="199"/>
      <c r="AX74" s="199"/>
      <c r="AY74" s="199"/>
      <c r="AZ74" s="199"/>
      <c r="BD74" s="199"/>
      <c r="BF74" s="199"/>
    </row>
    <row r="75" spans="1:100" x14ac:dyDescent="0.2">
      <c r="A75" s="212"/>
      <c r="B75" s="212"/>
      <c r="C75" s="199"/>
      <c r="D75" s="199"/>
      <c r="E75" s="185"/>
      <c r="F75" s="199"/>
      <c r="G75" s="199"/>
      <c r="H75" s="199"/>
      <c r="I75" s="199"/>
      <c r="J75"/>
      <c r="K75"/>
      <c r="L75" s="199"/>
      <c r="M75" s="199"/>
      <c r="N75" s="199"/>
      <c r="O75" s="185"/>
      <c r="P75" s="185"/>
      <c r="Q75" s="199"/>
      <c r="R75" s="199"/>
      <c r="W75" s="199"/>
      <c r="X75" s="199"/>
      <c r="Y75" s="199"/>
      <c r="Z75" s="199"/>
      <c r="AA75" s="199"/>
      <c r="AB75" s="199"/>
      <c r="AC75" s="199"/>
      <c r="AD75" s="199"/>
      <c r="AL75" s="199"/>
      <c r="AM75" s="199"/>
      <c r="AN75" s="199"/>
      <c r="AO75" s="199"/>
      <c r="AP75" s="199"/>
      <c r="AQ75" s="199"/>
      <c r="AR75" s="199"/>
      <c r="AS75" s="199"/>
      <c r="AV75" s="199"/>
      <c r="AW75" s="199"/>
      <c r="AX75" s="199"/>
      <c r="AY75" s="199"/>
      <c r="AZ75" s="199"/>
      <c r="BD75" s="199"/>
      <c r="BF75" s="199"/>
    </row>
    <row r="76" spans="1:100" x14ac:dyDescent="0.2">
      <c r="A76" s="212"/>
      <c r="B76" s="212"/>
      <c r="C76" s="199"/>
      <c r="D76" s="199"/>
      <c r="E76" s="185"/>
      <c r="F76" s="199"/>
      <c r="G76" s="199"/>
      <c r="H76" s="199"/>
      <c r="I76" s="199"/>
      <c r="J76"/>
      <c r="K76"/>
      <c r="L76" s="199"/>
      <c r="M76" s="199"/>
      <c r="N76" s="199"/>
      <c r="O76" s="185"/>
      <c r="P76" s="185"/>
      <c r="Q76" s="199"/>
      <c r="R76" s="199"/>
      <c r="W76" s="199"/>
      <c r="X76" s="199"/>
      <c r="Y76" s="199"/>
      <c r="Z76" s="199"/>
      <c r="AA76" s="199"/>
      <c r="AB76" s="199"/>
      <c r="AC76" s="199"/>
      <c r="AD76" s="199"/>
      <c r="AL76" s="199"/>
      <c r="AM76" s="199"/>
      <c r="AN76" s="199"/>
      <c r="AO76" s="199"/>
      <c r="AP76" s="199"/>
      <c r="AQ76" s="199"/>
      <c r="AR76" s="199"/>
      <c r="AS76" s="199"/>
      <c r="AV76" s="199"/>
      <c r="AW76" s="199"/>
      <c r="AX76" s="199"/>
      <c r="AY76" s="199"/>
      <c r="AZ76" s="199"/>
      <c r="BD76" s="199"/>
      <c r="BF76" s="199"/>
    </row>
    <row r="77" spans="1:100" x14ac:dyDescent="0.2">
      <c r="A77" s="212"/>
      <c r="B77" s="212"/>
      <c r="C77" s="199"/>
      <c r="D77" s="199"/>
      <c r="E77" s="185"/>
      <c r="F77" s="199"/>
      <c r="G77" s="199"/>
      <c r="H77" s="199"/>
      <c r="I77" s="199"/>
      <c r="J77"/>
      <c r="K77"/>
      <c r="L77" s="199"/>
      <c r="M77" s="199"/>
      <c r="N77" s="199"/>
      <c r="O77" s="185"/>
      <c r="P77" s="185"/>
      <c r="Q77" s="199"/>
      <c r="R77" s="199"/>
      <c r="W77" s="199"/>
      <c r="X77" s="199"/>
      <c r="Y77" s="199"/>
      <c r="Z77" s="199"/>
      <c r="AA77" s="199"/>
      <c r="AB77" s="199"/>
      <c r="AC77" s="199"/>
      <c r="AD77" s="199"/>
      <c r="AL77" s="199"/>
      <c r="AM77" s="199"/>
      <c r="AN77" s="199"/>
      <c r="AO77" s="199"/>
      <c r="AP77" s="199"/>
      <c r="AQ77" s="199"/>
      <c r="AR77" s="199"/>
      <c r="AS77" s="199"/>
      <c r="AV77" s="199"/>
      <c r="AW77" s="199"/>
      <c r="AX77" s="199"/>
      <c r="AY77" s="199"/>
      <c r="AZ77" s="199"/>
      <c r="BD77" s="199"/>
      <c r="BF77" s="199"/>
    </row>
    <row r="78" spans="1:100" x14ac:dyDescent="0.2">
      <c r="A78" s="212"/>
      <c r="B78" s="212"/>
      <c r="C78" s="199"/>
      <c r="D78" s="199"/>
      <c r="E78" s="185"/>
      <c r="F78" s="199"/>
      <c r="G78" s="199"/>
      <c r="H78" s="199"/>
      <c r="I78" s="199"/>
      <c r="J78"/>
      <c r="K78"/>
      <c r="L78" s="199"/>
      <c r="M78" s="199"/>
      <c r="N78" s="199"/>
      <c r="O78" s="185"/>
      <c r="P78" s="185"/>
      <c r="Q78" s="199"/>
      <c r="R78" s="199"/>
      <c r="W78" s="199"/>
      <c r="X78" s="199"/>
      <c r="Y78" s="199"/>
      <c r="Z78" s="199"/>
      <c r="AA78" s="199"/>
      <c r="AB78" s="199"/>
      <c r="AC78" s="199"/>
      <c r="AD78" s="199"/>
      <c r="AL78" s="199"/>
      <c r="AM78" s="199"/>
      <c r="AN78" s="199"/>
      <c r="AO78" s="199"/>
      <c r="AP78" s="199"/>
      <c r="AQ78" s="199"/>
      <c r="AR78" s="199"/>
      <c r="AS78" s="199"/>
      <c r="AV78" s="199"/>
      <c r="AW78" s="199"/>
      <c r="AX78" s="199"/>
      <c r="AY78" s="199"/>
      <c r="AZ78" s="199"/>
      <c r="BD78" s="199"/>
      <c r="BF78" s="199"/>
    </row>
    <row r="79" spans="1:100" x14ac:dyDescent="0.2">
      <c r="A79" s="212"/>
      <c r="B79" s="212"/>
      <c r="C79" s="199"/>
      <c r="D79" s="199"/>
      <c r="E79" s="185"/>
      <c r="F79" s="199"/>
      <c r="G79" s="199"/>
      <c r="H79" s="199"/>
      <c r="I79" s="199"/>
      <c r="J79"/>
      <c r="K79"/>
      <c r="L79" s="199"/>
      <c r="M79" s="199"/>
      <c r="N79" s="199"/>
      <c r="O79" s="185"/>
      <c r="P79" s="185"/>
      <c r="Q79" s="199"/>
      <c r="R79" s="199"/>
      <c r="W79" s="199"/>
      <c r="X79" s="199"/>
      <c r="Y79" s="199"/>
      <c r="Z79" s="199"/>
      <c r="AA79" s="199"/>
      <c r="AB79" s="199"/>
      <c r="AC79" s="199"/>
      <c r="AD79" s="199"/>
      <c r="AL79" s="199"/>
      <c r="AM79" s="199"/>
      <c r="AN79" s="199"/>
      <c r="AO79" s="199"/>
      <c r="AP79" s="199"/>
      <c r="AQ79" s="199"/>
      <c r="AR79" s="199"/>
      <c r="AS79" s="199"/>
      <c r="AV79" s="199"/>
      <c r="AW79" s="199"/>
      <c r="AX79" s="199"/>
      <c r="AY79" s="199"/>
      <c r="AZ79" s="199"/>
      <c r="BD79" s="199"/>
      <c r="BF79" s="199"/>
    </row>
    <row r="80" spans="1:100" x14ac:dyDescent="0.2">
      <c r="A80" s="212"/>
      <c r="B80" s="212"/>
      <c r="C80" s="199"/>
      <c r="D80" s="199"/>
      <c r="E80" s="185"/>
      <c r="F80" s="199"/>
      <c r="G80" s="199"/>
      <c r="H80" s="199"/>
      <c r="I80" s="199"/>
      <c r="J80"/>
      <c r="K80"/>
      <c r="L80" s="199"/>
      <c r="M80" s="199"/>
      <c r="N80" s="199"/>
      <c r="O80" s="185"/>
      <c r="P80" s="185"/>
      <c r="Q80" s="199"/>
      <c r="R80" s="199"/>
      <c r="W80" s="199"/>
      <c r="X80" s="199"/>
      <c r="Y80" s="199"/>
      <c r="Z80" s="199"/>
      <c r="AA80" s="199"/>
      <c r="AB80" s="199"/>
      <c r="AC80" s="199"/>
      <c r="AD80" s="199"/>
      <c r="AL80" s="199"/>
      <c r="AM80" s="199"/>
      <c r="AN80" s="199"/>
      <c r="AO80" s="199"/>
      <c r="AP80" s="199"/>
      <c r="AQ80" s="199"/>
      <c r="AR80" s="199"/>
      <c r="AS80" s="199"/>
      <c r="AV80" s="199"/>
      <c r="AW80" s="199"/>
      <c r="AX80" s="199"/>
      <c r="AY80" s="199"/>
      <c r="AZ80" s="199"/>
      <c r="BD80" s="199"/>
      <c r="BF80" s="199"/>
    </row>
    <row r="81" spans="1:100" x14ac:dyDescent="0.2">
      <c r="A81" s="212"/>
      <c r="B81" s="212"/>
      <c r="C81" s="199"/>
      <c r="D81" s="199"/>
      <c r="E81" s="185"/>
      <c r="F81" s="199"/>
      <c r="G81" s="199"/>
      <c r="H81" s="199"/>
      <c r="I81" s="199"/>
      <c r="J81"/>
      <c r="K81"/>
      <c r="L81" s="199"/>
      <c r="M81" s="199"/>
      <c r="N81" s="199"/>
      <c r="O81" s="185"/>
      <c r="P81" s="185"/>
      <c r="Q81" s="199"/>
      <c r="R81" s="199"/>
      <c r="W81" s="199"/>
      <c r="X81" s="199"/>
      <c r="Y81" s="199"/>
      <c r="Z81" s="199"/>
      <c r="AA81" s="199"/>
      <c r="AB81" s="199"/>
      <c r="AC81" s="199"/>
      <c r="AD81" s="199"/>
      <c r="AL81" s="199"/>
      <c r="AM81" s="199"/>
      <c r="AN81" s="199"/>
      <c r="AO81" s="199"/>
      <c r="AP81" s="199"/>
      <c r="AQ81" s="199"/>
      <c r="AR81" s="199"/>
      <c r="AS81" s="199"/>
      <c r="AV81" s="199"/>
      <c r="AW81" s="199"/>
      <c r="AX81" s="199"/>
      <c r="AY81" s="199"/>
      <c r="AZ81" s="199"/>
      <c r="BD81" s="199"/>
      <c r="BF81" s="199"/>
    </row>
    <row r="82" spans="1:100" x14ac:dyDescent="0.2">
      <c r="A82" s="212"/>
      <c r="B82" s="212"/>
      <c r="C82" s="199"/>
      <c r="D82" s="199"/>
      <c r="E82" s="185"/>
      <c r="F82" s="199"/>
      <c r="G82" s="199"/>
      <c r="H82" s="199"/>
      <c r="I82" s="199"/>
      <c r="J82"/>
      <c r="K82"/>
      <c r="L82" s="199"/>
      <c r="M82" s="199"/>
      <c r="N82" s="199"/>
      <c r="O82" s="185"/>
      <c r="P82" s="185"/>
      <c r="Q82" s="199"/>
      <c r="R82" s="199"/>
      <c r="W82" s="199"/>
      <c r="X82" s="199"/>
      <c r="Y82" s="199"/>
      <c r="Z82" s="199"/>
      <c r="AA82" s="199"/>
      <c r="AB82" s="199"/>
      <c r="AC82" s="199"/>
      <c r="AD82" s="199"/>
      <c r="AL82" s="199"/>
      <c r="AM82" s="199"/>
      <c r="AN82" s="199"/>
      <c r="AO82" s="199"/>
      <c r="AP82" s="199"/>
      <c r="AQ82" s="199"/>
      <c r="AR82" s="199"/>
      <c r="AS82" s="199"/>
      <c r="AV82" s="199"/>
      <c r="AW82" s="199"/>
      <c r="AX82" s="199"/>
      <c r="AY82" s="199"/>
      <c r="AZ82" s="199"/>
      <c r="BD82" s="199"/>
      <c r="BF82" s="199"/>
    </row>
    <row r="83" spans="1:100" x14ac:dyDescent="0.2">
      <c r="A83" s="212"/>
      <c r="B83" s="212"/>
      <c r="C83" s="199"/>
      <c r="D83" s="199"/>
      <c r="E83" s="185"/>
      <c r="F83" s="199"/>
      <c r="G83" s="199"/>
      <c r="H83" s="199"/>
      <c r="I83" s="199"/>
      <c r="J83"/>
      <c r="K83"/>
      <c r="L83" s="199"/>
      <c r="M83" s="199"/>
      <c r="N83" s="199"/>
      <c r="O83" s="185"/>
      <c r="P83" s="185"/>
      <c r="Q83" s="199"/>
      <c r="R83" s="199"/>
      <c r="W83" s="199"/>
      <c r="X83" s="199"/>
      <c r="Y83" s="199"/>
      <c r="Z83" s="199"/>
      <c r="AA83" s="199"/>
      <c r="AB83" s="199"/>
      <c r="AC83" s="199"/>
      <c r="AD83" s="199"/>
      <c r="AL83" s="199"/>
      <c r="AM83" s="199"/>
      <c r="AN83" s="199"/>
      <c r="AO83" s="199"/>
      <c r="AP83" s="199"/>
      <c r="AQ83" s="199"/>
      <c r="AR83" s="199"/>
      <c r="AS83" s="199"/>
      <c r="AV83" s="199"/>
      <c r="AW83" s="199"/>
      <c r="AX83" s="199"/>
      <c r="AY83" s="199"/>
      <c r="AZ83" s="199"/>
      <c r="BD83" s="199"/>
      <c r="BF83" s="199"/>
    </row>
    <row r="84" spans="1:100" x14ac:dyDescent="0.2">
      <c r="A84" s="212"/>
      <c r="B84" s="212"/>
      <c r="C84" s="199"/>
      <c r="D84" s="199"/>
      <c r="E84" s="185"/>
      <c r="F84" s="199"/>
      <c r="G84" s="199"/>
      <c r="H84" s="199"/>
      <c r="I84" s="199"/>
      <c r="J84"/>
      <c r="K84"/>
      <c r="L84" s="199"/>
      <c r="M84" s="199"/>
      <c r="N84" s="199"/>
      <c r="O84" s="185"/>
      <c r="P84" s="185"/>
      <c r="Q84" s="199"/>
      <c r="R84" s="199"/>
      <c r="W84" s="199"/>
      <c r="X84" s="199"/>
      <c r="Y84" s="199"/>
      <c r="Z84" s="199"/>
      <c r="AA84" s="199"/>
      <c r="AB84" s="199"/>
      <c r="AC84" s="199"/>
      <c r="AD84" s="199"/>
      <c r="AL84" s="199"/>
      <c r="AM84" s="199"/>
      <c r="AN84" s="199"/>
      <c r="AO84" s="199"/>
      <c r="AP84" s="199"/>
      <c r="AQ84" s="199"/>
      <c r="AR84" s="199"/>
      <c r="AS84" s="199"/>
      <c r="AV84" s="199"/>
      <c r="AW84" s="199"/>
      <c r="AX84" s="199"/>
      <c r="AY84" s="199"/>
      <c r="AZ84" s="199"/>
      <c r="BD84" s="199"/>
      <c r="BF84" s="199"/>
    </row>
    <row r="85" spans="1:100" x14ac:dyDescent="0.2">
      <c r="A85" s="212"/>
      <c r="B85" s="212"/>
      <c r="C85" s="199"/>
      <c r="D85" s="199"/>
      <c r="E85" s="185"/>
      <c r="F85" s="199"/>
      <c r="G85" s="199"/>
      <c r="H85" s="199"/>
      <c r="I85" s="199"/>
      <c r="J85"/>
      <c r="K85"/>
      <c r="L85" s="199"/>
      <c r="M85" s="199"/>
      <c r="N85" s="199"/>
      <c r="O85" s="185"/>
      <c r="P85" s="185"/>
      <c r="Q85" s="199"/>
      <c r="R85" s="199"/>
      <c r="W85" s="199"/>
      <c r="X85" s="199"/>
      <c r="Y85" s="199"/>
      <c r="Z85" s="199"/>
      <c r="AA85" s="199"/>
      <c r="AB85" s="199"/>
      <c r="AC85" s="199"/>
      <c r="AD85" s="199"/>
      <c r="AL85" s="199"/>
      <c r="AM85" s="199"/>
      <c r="AN85" s="199"/>
      <c r="AO85" s="199"/>
      <c r="AP85" s="199"/>
      <c r="AQ85" s="199"/>
      <c r="AR85" s="199"/>
      <c r="AS85" s="199"/>
      <c r="AV85" s="199"/>
      <c r="AW85" s="199"/>
      <c r="AX85" s="199"/>
      <c r="AY85" s="199"/>
      <c r="AZ85" s="199"/>
      <c r="BD85" s="199"/>
      <c r="BF85" s="199"/>
    </row>
    <row r="86" spans="1:100" x14ac:dyDescent="0.2">
      <c r="A86" s="212"/>
      <c r="B86" s="212"/>
      <c r="C86" s="199"/>
      <c r="D86" s="199"/>
      <c r="E86" s="185"/>
      <c r="F86" s="199"/>
      <c r="G86" s="199"/>
      <c r="H86" s="199"/>
      <c r="I86" s="199"/>
      <c r="J86"/>
      <c r="K86"/>
      <c r="L86" s="199"/>
      <c r="M86" s="199"/>
      <c r="N86" s="199"/>
      <c r="O86" s="185"/>
      <c r="P86" s="185"/>
      <c r="Q86" s="199"/>
      <c r="R86" s="199"/>
      <c r="W86" s="199"/>
      <c r="X86" s="199"/>
      <c r="Y86" s="199"/>
      <c r="Z86" s="199"/>
      <c r="AA86" s="199"/>
      <c r="AB86" s="199"/>
      <c r="AC86" s="199"/>
      <c r="AD86" s="199"/>
      <c r="AL86" s="199"/>
      <c r="AM86" s="199"/>
      <c r="AN86" s="199"/>
      <c r="AO86" s="199"/>
      <c r="AP86" s="199"/>
      <c r="AQ86" s="199"/>
      <c r="AR86" s="199"/>
      <c r="AS86" s="199"/>
      <c r="AV86" s="199"/>
      <c r="AW86" s="199"/>
      <c r="AX86" s="199"/>
      <c r="AY86" s="199"/>
      <c r="AZ86" s="199"/>
      <c r="BD86" s="199"/>
      <c r="BF86" s="199"/>
    </row>
    <row r="87" spans="1:100" x14ac:dyDescent="0.2">
      <c r="A87" s="212"/>
      <c r="B87" s="212"/>
      <c r="C87" s="199"/>
      <c r="D87" s="199"/>
      <c r="E87" s="185"/>
      <c r="F87" s="199"/>
      <c r="G87" s="199"/>
      <c r="H87" s="199"/>
      <c r="I87" s="199"/>
      <c r="J87"/>
      <c r="K87"/>
      <c r="L87" s="199"/>
      <c r="M87" s="199"/>
      <c r="N87" s="199"/>
      <c r="O87" s="185"/>
      <c r="P87" s="185"/>
      <c r="Q87" s="199"/>
      <c r="R87" s="199"/>
      <c r="W87" s="199"/>
      <c r="X87" s="199"/>
      <c r="Y87" s="199"/>
      <c r="Z87" s="199"/>
      <c r="AA87" s="199"/>
      <c r="AB87" s="199"/>
      <c r="AC87" s="199"/>
      <c r="AD87" s="199"/>
      <c r="AL87" s="199"/>
      <c r="AM87" s="199"/>
      <c r="AN87" s="199"/>
      <c r="AO87" s="199"/>
      <c r="AP87" s="199"/>
      <c r="AQ87" s="199"/>
      <c r="AR87" s="199"/>
      <c r="AS87" s="199"/>
      <c r="AV87" s="199"/>
      <c r="AW87" s="199"/>
      <c r="AX87" s="199"/>
      <c r="AY87" s="199"/>
      <c r="AZ87" s="199"/>
      <c r="BD87" s="199"/>
      <c r="BF87" s="199"/>
    </row>
    <row r="88" spans="1:100" x14ac:dyDescent="0.2">
      <c r="A88" s="212"/>
      <c r="B88" s="212"/>
      <c r="C88" s="199"/>
      <c r="D88" s="199"/>
      <c r="E88" s="185"/>
      <c r="F88" s="199"/>
      <c r="G88" s="199"/>
      <c r="H88" s="199"/>
      <c r="I88" s="199"/>
      <c r="J88"/>
      <c r="K88"/>
      <c r="L88" s="199"/>
      <c r="M88" s="199"/>
      <c r="N88" s="199"/>
      <c r="O88" s="185"/>
      <c r="P88" s="185"/>
      <c r="Q88" s="199"/>
      <c r="R88" s="199"/>
      <c r="W88" s="199"/>
      <c r="X88" s="199"/>
      <c r="Y88" s="199"/>
      <c r="Z88" s="199"/>
      <c r="AA88" s="199"/>
      <c r="AB88" s="199"/>
      <c r="AC88" s="199"/>
      <c r="AD88" s="199"/>
      <c r="AL88" s="199"/>
      <c r="AM88" s="199"/>
      <c r="AN88" s="199"/>
      <c r="AO88" s="199"/>
      <c r="AP88" s="199"/>
      <c r="AQ88" s="199"/>
      <c r="AR88" s="199"/>
      <c r="AS88" s="199"/>
      <c r="AV88" s="199"/>
      <c r="AW88" s="199"/>
      <c r="AX88" s="199"/>
      <c r="AY88" s="199"/>
      <c r="AZ88" s="199"/>
      <c r="BD88" s="199"/>
      <c r="BF88" s="199"/>
    </row>
    <row r="89" spans="1:100" x14ac:dyDescent="0.2">
      <c r="A89" s="212"/>
      <c r="B89" s="212"/>
      <c r="C89" s="199"/>
      <c r="D89" s="199"/>
      <c r="E89" s="185"/>
      <c r="F89" s="199"/>
      <c r="G89" s="199"/>
      <c r="H89" s="199"/>
      <c r="I89" s="199"/>
      <c r="J89"/>
      <c r="K89"/>
      <c r="L89" s="199"/>
      <c r="M89" s="199"/>
      <c r="N89" s="199"/>
      <c r="O89" s="185"/>
      <c r="P89" s="185"/>
      <c r="Q89" s="199"/>
      <c r="R89" s="199"/>
      <c r="W89" s="199"/>
      <c r="X89" s="199"/>
      <c r="Y89" s="199"/>
      <c r="Z89" s="199"/>
      <c r="AA89" s="199"/>
      <c r="AB89" s="199"/>
      <c r="AC89" s="199"/>
      <c r="AD89" s="199"/>
      <c r="AL89" s="199"/>
      <c r="AM89" s="199"/>
      <c r="AN89" s="199"/>
      <c r="AO89" s="199"/>
      <c r="AP89" s="199"/>
      <c r="AQ89" s="199"/>
      <c r="AR89" s="199"/>
      <c r="AS89" s="199"/>
      <c r="AV89" s="199"/>
      <c r="AW89" s="199"/>
      <c r="AX89" s="199"/>
      <c r="AY89" s="199"/>
      <c r="AZ89" s="199"/>
      <c r="BD89" s="199"/>
      <c r="BF89" s="199"/>
    </row>
    <row r="90" spans="1:100" x14ac:dyDescent="0.2">
      <c r="A90" s="212"/>
      <c r="B90" s="212"/>
      <c r="C90" s="199"/>
      <c r="D90" s="199"/>
      <c r="E90" s="185"/>
      <c r="F90" s="199"/>
      <c r="G90" s="199"/>
      <c r="H90" s="199"/>
      <c r="I90" s="199"/>
      <c r="J90" s="199"/>
      <c r="K90" s="199"/>
      <c r="L90" s="199"/>
      <c r="M90" s="199"/>
      <c r="N90" s="199"/>
      <c r="O90" s="185"/>
      <c r="P90" s="185"/>
      <c r="Q90" s="199"/>
      <c r="R90" s="199"/>
      <c r="W90" s="199"/>
      <c r="X90" s="199"/>
      <c r="Y90" s="199"/>
      <c r="Z90" s="199"/>
      <c r="AA90" s="199"/>
      <c r="AB90" s="199"/>
      <c r="AC90" s="199"/>
      <c r="AD90" s="199"/>
      <c r="AL90" s="199"/>
      <c r="AM90" s="199"/>
      <c r="AN90" s="199"/>
      <c r="AO90" s="199"/>
      <c r="AP90" s="199"/>
      <c r="AQ90" s="199"/>
      <c r="AR90" s="199"/>
      <c r="AS90" s="199"/>
      <c r="AV90" s="199"/>
      <c r="AW90" s="199"/>
      <c r="AX90" s="199"/>
      <c r="AY90" s="199"/>
      <c r="AZ90" s="199"/>
      <c r="BA90" s="199"/>
      <c r="BB90" s="199"/>
      <c r="BD90" s="199"/>
      <c r="BF90" s="199"/>
      <c r="BG90" s="194"/>
      <c r="BJ90" s="194"/>
      <c r="BK90" s="194"/>
      <c r="BL90" s="194"/>
      <c r="BM90" s="194"/>
      <c r="BN90" s="194"/>
      <c r="BO90" s="194"/>
      <c r="BP90" s="194"/>
      <c r="BQ90" s="194"/>
      <c r="BR90" s="194"/>
      <c r="BS90" s="194"/>
      <c r="BT90" s="194"/>
      <c r="BU90" s="194"/>
      <c r="BV90" s="194"/>
      <c r="BW90" s="194"/>
      <c r="BX90" s="194"/>
      <c r="BY90" s="194"/>
      <c r="BZ90" s="194"/>
      <c r="CA90" s="194"/>
      <c r="CB90" s="194"/>
      <c r="CC90" s="194"/>
      <c r="CD90" s="194"/>
      <c r="CE90" s="194"/>
      <c r="CF90" s="194"/>
      <c r="CG90" s="194"/>
      <c r="CH90" s="194"/>
      <c r="CI90" s="194"/>
      <c r="CJ90" s="194"/>
      <c r="CK90" s="194"/>
      <c r="CL90" s="194"/>
      <c r="CM90" s="194"/>
      <c r="CN90" s="194"/>
      <c r="CO90" s="194"/>
      <c r="CP90" s="194"/>
      <c r="CQ90" s="194"/>
      <c r="CR90" s="194"/>
      <c r="CS90" s="194"/>
      <c r="CT90" s="194"/>
      <c r="CU90" s="194"/>
      <c r="CV90" s="194"/>
    </row>
    <row r="91" spans="1:100" x14ac:dyDescent="0.2">
      <c r="A91" s="212"/>
      <c r="B91" s="212"/>
      <c r="C91" s="199"/>
      <c r="D91" s="199"/>
      <c r="E91" s="185"/>
      <c r="F91" s="199"/>
      <c r="G91" s="199"/>
      <c r="H91" s="199"/>
      <c r="I91" s="199"/>
      <c r="J91" s="199"/>
      <c r="K91" s="199"/>
      <c r="L91" s="199"/>
      <c r="M91" s="199"/>
      <c r="N91" s="199"/>
      <c r="O91" s="185"/>
      <c r="P91" s="185"/>
      <c r="Q91" s="199"/>
      <c r="R91" s="199"/>
      <c r="W91" s="199"/>
      <c r="X91" s="199"/>
      <c r="Y91" s="199"/>
      <c r="Z91" s="199"/>
      <c r="AA91" s="199"/>
      <c r="AB91" s="199"/>
      <c r="AC91" s="199"/>
      <c r="AD91" s="199"/>
      <c r="AL91" s="199"/>
      <c r="AM91" s="199"/>
      <c r="AN91" s="199"/>
      <c r="AO91" s="199"/>
      <c r="AP91" s="199"/>
      <c r="AQ91" s="199"/>
      <c r="AR91" s="199"/>
      <c r="AS91" s="199"/>
      <c r="AV91" s="199"/>
      <c r="AW91" s="199"/>
      <c r="AX91" s="199"/>
      <c r="AY91" s="199"/>
      <c r="AZ91" s="199"/>
      <c r="BA91" s="199"/>
      <c r="BB91" s="199"/>
      <c r="BD91" s="199"/>
      <c r="BF91" s="199"/>
      <c r="BG91" s="194"/>
      <c r="BJ91" s="194"/>
      <c r="BK91" s="194"/>
      <c r="BL91" s="194"/>
      <c r="BM91" s="194"/>
      <c r="BN91" s="194"/>
      <c r="BO91" s="194"/>
      <c r="BP91" s="194"/>
      <c r="BQ91" s="194"/>
      <c r="BR91" s="194"/>
      <c r="BS91" s="194"/>
      <c r="BT91" s="194"/>
      <c r="BU91" s="194"/>
      <c r="BV91" s="194"/>
      <c r="BW91" s="194"/>
      <c r="BX91" s="194"/>
      <c r="BY91" s="194"/>
      <c r="BZ91" s="194"/>
      <c r="CA91" s="194"/>
      <c r="CB91" s="194"/>
      <c r="CC91" s="194"/>
      <c r="CD91" s="194"/>
      <c r="CE91" s="194"/>
      <c r="CF91" s="194"/>
      <c r="CG91" s="194"/>
      <c r="CH91" s="194"/>
      <c r="CI91" s="194"/>
      <c r="CJ91" s="194"/>
      <c r="CK91" s="194"/>
      <c r="CL91" s="194"/>
      <c r="CM91" s="194"/>
      <c r="CN91" s="194"/>
      <c r="CO91" s="194"/>
      <c r="CP91" s="194"/>
      <c r="CQ91" s="194"/>
      <c r="CR91" s="194"/>
      <c r="CS91" s="194"/>
      <c r="CT91" s="194"/>
      <c r="CU91" s="194"/>
      <c r="CV91" s="194"/>
    </row>
    <row r="92" spans="1:100" x14ac:dyDescent="0.2">
      <c r="A92" s="212"/>
      <c r="B92" s="212"/>
      <c r="C92" s="199"/>
      <c r="D92" s="199"/>
      <c r="E92" s="185"/>
      <c r="F92" s="199"/>
      <c r="G92" s="199"/>
      <c r="H92" s="199"/>
      <c r="I92" s="199"/>
      <c r="J92"/>
      <c r="K92"/>
      <c r="L92" s="199"/>
      <c r="M92" s="199"/>
      <c r="N92" s="199"/>
      <c r="O92" s="185"/>
      <c r="P92" s="185"/>
      <c r="Q92" s="199"/>
      <c r="R92" s="199"/>
      <c r="W92" s="199"/>
      <c r="X92" s="199"/>
      <c r="Y92" s="199"/>
      <c r="Z92" s="199"/>
      <c r="AA92" s="199"/>
      <c r="AB92" s="199"/>
      <c r="AC92" s="199"/>
      <c r="AD92" s="199"/>
      <c r="AL92" s="199"/>
      <c r="AM92" s="199"/>
      <c r="AN92" s="199"/>
      <c r="AO92" s="199"/>
      <c r="AP92" s="199"/>
      <c r="AQ92" s="199"/>
      <c r="AR92" s="199"/>
      <c r="AS92" s="199"/>
      <c r="AV92" s="199"/>
      <c r="AW92" s="199"/>
      <c r="AX92" s="199"/>
      <c r="AY92" s="199"/>
      <c r="AZ92" s="199"/>
      <c r="BD92" s="199"/>
      <c r="BF92" s="199"/>
    </row>
    <row r="93" spans="1:100" x14ac:dyDescent="0.2">
      <c r="A93" s="212"/>
      <c r="B93" s="212"/>
      <c r="C93" s="199"/>
      <c r="D93" s="199"/>
      <c r="E93" s="185"/>
      <c r="F93" s="199"/>
      <c r="G93" s="199"/>
      <c r="H93" s="199"/>
      <c r="I93" s="199"/>
      <c r="J93"/>
      <c r="K93"/>
      <c r="L93" s="199"/>
      <c r="M93" s="199"/>
      <c r="N93" s="199"/>
      <c r="O93" s="185"/>
      <c r="P93" s="185"/>
      <c r="Q93" s="199"/>
      <c r="R93" s="199"/>
      <c r="W93" s="199"/>
      <c r="X93" s="199"/>
      <c r="Y93" s="199"/>
      <c r="Z93" s="199"/>
      <c r="AA93" s="199"/>
      <c r="AB93" s="199"/>
      <c r="AC93" s="199"/>
      <c r="AD93" s="199"/>
      <c r="AL93" s="199"/>
      <c r="AM93" s="199"/>
      <c r="AN93" s="199"/>
      <c r="AO93" s="199"/>
      <c r="AP93" s="199"/>
      <c r="AQ93" s="199"/>
      <c r="AR93" s="199"/>
      <c r="AS93" s="199"/>
      <c r="AV93" s="199"/>
      <c r="AW93" s="199"/>
      <c r="AX93" s="199"/>
      <c r="AY93" s="199"/>
      <c r="AZ93" s="199"/>
      <c r="BD93" s="199"/>
      <c r="BF93" s="199"/>
    </row>
    <row r="94" spans="1:100" x14ac:dyDescent="0.2">
      <c r="A94" s="212"/>
      <c r="B94" s="212"/>
      <c r="C94" s="199"/>
      <c r="D94" s="199"/>
      <c r="E94" s="185"/>
      <c r="F94" s="199"/>
      <c r="G94" s="199"/>
      <c r="H94" s="199"/>
      <c r="I94" s="199"/>
      <c r="J94" s="199"/>
      <c r="K94" s="199"/>
      <c r="L94" s="199"/>
      <c r="M94" s="199"/>
      <c r="N94" s="199"/>
      <c r="O94" s="185"/>
      <c r="P94" s="185"/>
      <c r="Q94" s="199"/>
      <c r="R94" s="199"/>
      <c r="W94" s="199"/>
      <c r="X94" s="199"/>
      <c r="Y94" s="199"/>
      <c r="Z94" s="199"/>
      <c r="AA94" s="199"/>
      <c r="AB94" s="199"/>
      <c r="AC94" s="199"/>
      <c r="AD94" s="199"/>
      <c r="AL94" s="199"/>
      <c r="AM94" s="199"/>
      <c r="AN94" s="199"/>
      <c r="AO94" s="199"/>
      <c r="AP94" s="199"/>
      <c r="AQ94" s="199"/>
      <c r="AR94" s="199"/>
      <c r="AS94" s="199"/>
      <c r="AV94" s="199"/>
      <c r="AW94" s="199"/>
      <c r="AX94" s="199"/>
      <c r="AY94" s="199"/>
      <c r="AZ94" s="199"/>
      <c r="BA94" s="199"/>
      <c r="BB94" s="199"/>
      <c r="BD94" s="199"/>
      <c r="BF94" s="199"/>
      <c r="BG94" s="194"/>
      <c r="BK94" s="194"/>
      <c r="BL94" s="194"/>
      <c r="BM94" s="194"/>
      <c r="BN94" s="194"/>
      <c r="BO94" s="194"/>
      <c r="BP94" s="194"/>
      <c r="BQ94" s="194"/>
      <c r="BR94" s="194"/>
      <c r="BS94" s="194"/>
      <c r="BT94" s="194"/>
      <c r="BU94" s="194"/>
      <c r="BV94" s="194"/>
      <c r="BW94" s="194"/>
      <c r="BX94" s="194"/>
      <c r="BY94" s="194"/>
      <c r="BZ94" s="194"/>
      <c r="CA94" s="194"/>
      <c r="CB94" s="194"/>
      <c r="CC94" s="194"/>
      <c r="CD94" s="194"/>
      <c r="CE94" s="194"/>
      <c r="CF94" s="194"/>
      <c r="CG94" s="194"/>
      <c r="CH94" s="194"/>
      <c r="CI94" s="194"/>
      <c r="CJ94" s="194"/>
      <c r="CK94" s="194"/>
      <c r="CL94" s="194"/>
      <c r="CM94" s="194"/>
      <c r="CN94" s="194"/>
      <c r="CO94" s="194"/>
      <c r="CP94" s="194"/>
      <c r="CQ94" s="194"/>
      <c r="CR94" s="194"/>
      <c r="CS94" s="194"/>
      <c r="CT94" s="194"/>
      <c r="CU94" s="194"/>
      <c r="CV94" s="194"/>
    </row>
    <row r="95" spans="1:100" x14ac:dyDescent="0.2">
      <c r="A95" s="212"/>
      <c r="B95" s="212"/>
      <c r="C95" s="199"/>
      <c r="D95" s="199"/>
      <c r="E95" s="185"/>
      <c r="F95" s="199"/>
      <c r="G95" s="199"/>
      <c r="H95" s="199"/>
      <c r="I95" s="199"/>
      <c r="J95"/>
      <c r="K95"/>
      <c r="L95" s="199"/>
      <c r="M95" s="199"/>
      <c r="N95" s="199"/>
      <c r="O95" s="185"/>
      <c r="P95" s="185"/>
      <c r="Q95" s="199"/>
      <c r="R95" s="199"/>
      <c r="W95" s="199"/>
      <c r="X95" s="199"/>
      <c r="Y95" s="199"/>
      <c r="Z95" s="199"/>
      <c r="AA95" s="199"/>
      <c r="AB95" s="199"/>
      <c r="AC95" s="199"/>
      <c r="AD95" s="199"/>
      <c r="AL95" s="199"/>
      <c r="AM95" s="199"/>
      <c r="AN95" s="199"/>
      <c r="AO95" s="199"/>
      <c r="AP95" s="199"/>
      <c r="AQ95" s="199"/>
      <c r="AR95" s="199"/>
      <c r="AS95" s="199"/>
      <c r="AV95" s="199"/>
      <c r="AW95" s="199"/>
      <c r="AX95" s="199"/>
      <c r="AY95" s="199"/>
      <c r="AZ95" s="199"/>
      <c r="BD95" s="199"/>
      <c r="BF95" s="199"/>
    </row>
    <row r="96" spans="1:100" x14ac:dyDescent="0.2">
      <c r="A96" s="212"/>
      <c r="B96" s="212"/>
      <c r="C96" s="199"/>
      <c r="D96" s="199"/>
      <c r="E96" s="185"/>
      <c r="F96" s="199"/>
      <c r="G96" s="199"/>
      <c r="H96" s="199"/>
      <c r="I96" s="199"/>
      <c r="J96"/>
      <c r="K96"/>
      <c r="L96" s="199"/>
      <c r="M96" s="199"/>
      <c r="N96" s="199"/>
      <c r="O96" s="185"/>
      <c r="P96" s="185"/>
      <c r="Q96" s="199"/>
      <c r="R96" s="199"/>
      <c r="W96" s="199"/>
      <c r="X96" s="199"/>
      <c r="Y96" s="199"/>
      <c r="Z96" s="199"/>
      <c r="AA96" s="199"/>
      <c r="AB96" s="199"/>
      <c r="AC96" s="199"/>
      <c r="AD96" s="199"/>
      <c r="AL96" s="199"/>
      <c r="AM96" s="199"/>
      <c r="AN96" s="199"/>
      <c r="AO96" s="199"/>
      <c r="AP96" s="199"/>
      <c r="AQ96" s="199"/>
      <c r="AR96" s="199"/>
      <c r="AS96" s="199"/>
      <c r="AV96" s="199"/>
      <c r="AW96" s="199"/>
      <c r="AX96" s="199"/>
      <c r="AY96" s="199"/>
      <c r="AZ96" s="199"/>
      <c r="BD96" s="199"/>
      <c r="BF96" s="199"/>
    </row>
    <row r="97" spans="1:100" x14ac:dyDescent="0.2">
      <c r="A97" s="212"/>
      <c r="B97" s="212"/>
      <c r="C97" s="199"/>
      <c r="D97" s="199"/>
      <c r="E97" s="185"/>
      <c r="F97" s="199"/>
      <c r="G97" s="199"/>
      <c r="H97" s="199"/>
      <c r="I97" s="199"/>
      <c r="J97"/>
      <c r="K97"/>
      <c r="L97" s="199"/>
      <c r="M97" s="199"/>
      <c r="N97" s="199"/>
      <c r="O97" s="185"/>
      <c r="P97" s="185"/>
      <c r="Q97" s="199"/>
      <c r="R97" s="199"/>
      <c r="W97" s="199"/>
      <c r="X97" s="199"/>
      <c r="Y97" s="199"/>
      <c r="Z97" s="199"/>
      <c r="AA97" s="199"/>
      <c r="AB97" s="199"/>
      <c r="AC97" s="199"/>
      <c r="AD97" s="199"/>
      <c r="AL97" s="199"/>
      <c r="AM97" s="199"/>
      <c r="AN97" s="199"/>
      <c r="AO97" s="199"/>
      <c r="AP97" s="199"/>
      <c r="AQ97" s="199"/>
      <c r="AR97" s="199"/>
      <c r="AS97" s="199"/>
      <c r="AV97" s="199"/>
      <c r="AW97" s="199"/>
      <c r="AX97" s="199"/>
      <c r="AY97" s="199"/>
      <c r="AZ97" s="199"/>
      <c r="BD97" s="199"/>
      <c r="BF97" s="199"/>
    </row>
    <row r="98" spans="1:100" x14ac:dyDescent="0.2">
      <c r="A98" s="212"/>
      <c r="B98" s="212"/>
      <c r="C98" s="199"/>
      <c r="D98" s="199"/>
      <c r="E98" s="185"/>
      <c r="F98" s="199"/>
      <c r="G98" s="199"/>
      <c r="H98" s="199"/>
      <c r="I98" s="199"/>
      <c r="J98"/>
      <c r="K98"/>
      <c r="L98" s="199"/>
      <c r="M98" s="199"/>
      <c r="N98" s="199"/>
      <c r="O98" s="185"/>
      <c r="P98" s="185"/>
      <c r="Q98" s="199"/>
      <c r="R98" s="199"/>
      <c r="W98" s="199"/>
      <c r="X98" s="199"/>
      <c r="Y98" s="199"/>
      <c r="Z98" s="199"/>
      <c r="AA98" s="199"/>
      <c r="AB98" s="199"/>
      <c r="AC98" s="199"/>
      <c r="AD98" s="199"/>
      <c r="AL98" s="199"/>
      <c r="AM98" s="199"/>
      <c r="AN98" s="199"/>
      <c r="AO98" s="199"/>
      <c r="AP98" s="199"/>
      <c r="AQ98" s="199"/>
      <c r="AR98" s="199"/>
      <c r="AS98" s="199"/>
      <c r="AV98" s="199"/>
      <c r="AW98" s="199"/>
      <c r="AX98" s="199"/>
      <c r="AY98" s="199"/>
      <c r="AZ98" s="199"/>
      <c r="BD98" s="199"/>
      <c r="BF98" s="199"/>
    </row>
    <row r="99" spans="1:100" x14ac:dyDescent="0.2">
      <c r="A99" s="212"/>
      <c r="B99" s="212"/>
      <c r="C99" s="199"/>
      <c r="D99" s="199"/>
      <c r="E99" s="185"/>
      <c r="F99" s="199"/>
      <c r="G99" s="199"/>
      <c r="H99" s="199"/>
      <c r="I99" s="199"/>
      <c r="J99" s="199"/>
      <c r="K99" s="199"/>
      <c r="L99" s="199"/>
      <c r="M99" s="199"/>
      <c r="N99" s="199"/>
      <c r="O99" s="185"/>
      <c r="P99" s="185"/>
      <c r="Q99" s="199"/>
      <c r="R99" s="199"/>
      <c r="W99" s="199"/>
      <c r="X99" s="199"/>
      <c r="Y99" s="199"/>
      <c r="Z99" s="199"/>
      <c r="AA99" s="199"/>
      <c r="AB99" s="199"/>
      <c r="AC99" s="199"/>
      <c r="AD99" s="199"/>
      <c r="AL99" s="199"/>
      <c r="AM99" s="199"/>
      <c r="AN99" s="199"/>
      <c r="AO99" s="199"/>
      <c r="AP99" s="199"/>
      <c r="AQ99" s="199"/>
      <c r="AR99" s="199"/>
      <c r="AS99" s="199"/>
      <c r="AV99" s="199"/>
      <c r="AW99" s="199"/>
      <c r="AX99" s="199"/>
      <c r="AY99" s="199"/>
      <c r="AZ99" s="199"/>
      <c r="BA99" s="199"/>
      <c r="BB99" s="199"/>
      <c r="BD99" s="199"/>
      <c r="BF99" s="199"/>
      <c r="BG99" s="194"/>
      <c r="BH99" s="194"/>
      <c r="BJ99" s="194"/>
      <c r="BK99" s="194"/>
      <c r="BL99" s="194"/>
      <c r="BM99" s="194"/>
      <c r="BN99" s="194"/>
      <c r="BO99" s="194"/>
      <c r="BP99" s="194"/>
      <c r="BQ99" s="194"/>
      <c r="BR99" s="194"/>
      <c r="BS99" s="194"/>
      <c r="BT99" s="194"/>
      <c r="BU99" s="194"/>
      <c r="BV99" s="194"/>
      <c r="BW99" s="194"/>
      <c r="BX99" s="194"/>
      <c r="BY99" s="194"/>
      <c r="BZ99" s="194"/>
      <c r="CA99" s="194"/>
      <c r="CB99" s="194"/>
      <c r="CC99" s="194"/>
      <c r="CD99" s="194"/>
      <c r="CE99" s="194"/>
      <c r="CF99" s="194"/>
      <c r="CG99" s="194"/>
      <c r="CH99" s="194"/>
      <c r="CI99" s="194"/>
      <c r="CJ99" s="194"/>
      <c r="CK99" s="194"/>
      <c r="CL99" s="194"/>
      <c r="CM99" s="194"/>
      <c r="CN99" s="194"/>
      <c r="CO99" s="194"/>
      <c r="CP99" s="194"/>
      <c r="CQ99" s="194"/>
      <c r="CR99" s="194"/>
      <c r="CS99" s="194"/>
      <c r="CT99" s="194"/>
      <c r="CU99" s="194"/>
      <c r="CV99" s="194"/>
    </row>
    <row r="100" spans="1:100" x14ac:dyDescent="0.2">
      <c r="A100" s="212"/>
      <c r="B100" s="212"/>
      <c r="C100" s="199"/>
      <c r="D100" s="199"/>
      <c r="E100" s="185"/>
      <c r="F100" s="199"/>
      <c r="G100" s="199"/>
      <c r="H100" s="199"/>
      <c r="I100" s="199"/>
      <c r="J100"/>
      <c r="K100"/>
      <c r="L100" s="199"/>
      <c r="M100" s="199"/>
      <c r="N100" s="199"/>
      <c r="O100" s="185"/>
      <c r="P100" s="185"/>
      <c r="Q100" s="199"/>
      <c r="R100" s="199"/>
      <c r="W100" s="199"/>
      <c r="X100" s="199"/>
      <c r="Y100" s="199"/>
      <c r="Z100" s="199"/>
      <c r="AA100" s="199"/>
      <c r="AB100" s="199"/>
      <c r="AC100" s="199"/>
      <c r="AD100" s="199"/>
      <c r="AL100" s="199"/>
      <c r="AM100" s="199"/>
      <c r="AN100" s="199"/>
      <c r="AO100" s="199"/>
      <c r="AP100" s="199"/>
      <c r="AQ100" s="199"/>
      <c r="AR100" s="199"/>
      <c r="AS100" s="199"/>
      <c r="AV100" s="199"/>
      <c r="AW100" s="199"/>
      <c r="AX100" s="199"/>
      <c r="AY100" s="199"/>
      <c r="AZ100" s="199"/>
      <c r="BD100" s="199"/>
      <c r="BF100" s="199"/>
    </row>
    <row r="101" spans="1:100" x14ac:dyDescent="0.2">
      <c r="A101" s="212"/>
      <c r="B101" s="212"/>
      <c r="C101" s="199"/>
      <c r="D101" s="199"/>
      <c r="E101" s="185"/>
      <c r="F101" s="199"/>
      <c r="G101" s="199"/>
      <c r="H101" s="199"/>
      <c r="I101" s="199"/>
      <c r="J101"/>
      <c r="K101"/>
      <c r="L101" s="199"/>
      <c r="M101" s="199"/>
      <c r="N101" s="199"/>
      <c r="O101" s="185"/>
      <c r="P101" s="185"/>
      <c r="Q101" s="199"/>
      <c r="R101" s="199"/>
      <c r="W101" s="199"/>
      <c r="X101" s="199"/>
      <c r="Y101" s="199"/>
      <c r="Z101" s="199"/>
      <c r="AA101" s="199"/>
      <c r="AB101" s="199"/>
      <c r="AC101" s="199"/>
      <c r="AD101" s="199"/>
      <c r="AL101" s="199"/>
      <c r="AM101" s="199"/>
      <c r="AN101" s="199"/>
      <c r="AO101" s="199"/>
      <c r="AP101" s="199"/>
      <c r="AQ101" s="199"/>
      <c r="AR101" s="199"/>
      <c r="AS101" s="199"/>
      <c r="AV101" s="199"/>
      <c r="AW101" s="199"/>
      <c r="AX101" s="199"/>
      <c r="AY101" s="199"/>
      <c r="AZ101" s="199"/>
      <c r="BD101" s="199"/>
      <c r="BF101" s="199"/>
    </row>
    <row r="102" spans="1:100" x14ac:dyDescent="0.2">
      <c r="A102" s="212"/>
      <c r="B102" s="212"/>
      <c r="C102" s="199"/>
      <c r="D102" s="199"/>
      <c r="E102" s="185"/>
      <c r="F102" s="199"/>
      <c r="G102" s="199"/>
      <c r="H102" s="199"/>
      <c r="I102" s="199"/>
      <c r="J102"/>
      <c r="K102"/>
      <c r="L102" s="199"/>
      <c r="M102" s="199"/>
      <c r="N102" s="199"/>
      <c r="O102" s="185"/>
      <c r="P102" s="185"/>
      <c r="Q102" s="199"/>
      <c r="R102" s="199"/>
      <c r="W102" s="199"/>
      <c r="X102" s="199"/>
      <c r="Y102" s="199"/>
      <c r="Z102" s="199"/>
      <c r="AA102" s="199"/>
      <c r="AB102" s="199"/>
      <c r="AC102" s="199"/>
      <c r="AD102" s="199"/>
      <c r="AL102" s="199"/>
      <c r="AM102" s="199"/>
      <c r="AN102" s="199"/>
      <c r="AO102" s="199"/>
      <c r="AP102" s="199"/>
      <c r="AQ102" s="199"/>
      <c r="AR102" s="199"/>
      <c r="AS102" s="199"/>
      <c r="AV102" s="199"/>
      <c r="AW102" s="199"/>
      <c r="AX102" s="199"/>
      <c r="AY102" s="199"/>
      <c r="AZ102" s="199"/>
      <c r="BD102" s="199"/>
      <c r="BF102" s="199"/>
    </row>
    <row r="103" spans="1:100" x14ac:dyDescent="0.2">
      <c r="A103" s="212"/>
      <c r="B103" s="212"/>
      <c r="C103" s="199"/>
      <c r="D103" s="199"/>
      <c r="E103" s="185"/>
      <c r="F103" s="199"/>
      <c r="G103" s="199"/>
      <c r="H103" s="199"/>
      <c r="I103" s="199"/>
      <c r="J103"/>
      <c r="K103"/>
      <c r="L103" s="199"/>
      <c r="M103" s="199"/>
      <c r="N103" s="199"/>
      <c r="O103" s="185"/>
      <c r="P103" s="185"/>
      <c r="Q103" s="199"/>
      <c r="R103" s="199"/>
      <c r="W103" s="199"/>
      <c r="X103" s="199"/>
      <c r="Y103" s="199"/>
      <c r="Z103" s="199"/>
      <c r="AA103" s="199"/>
      <c r="AB103" s="199"/>
      <c r="AC103" s="199"/>
      <c r="AD103" s="199"/>
      <c r="AL103" s="199"/>
      <c r="AM103" s="199"/>
      <c r="AN103" s="199"/>
      <c r="AO103" s="199"/>
      <c r="AP103" s="199"/>
      <c r="AQ103" s="199"/>
      <c r="AR103" s="199"/>
      <c r="AS103" s="199"/>
      <c r="AV103" s="199"/>
      <c r="AW103" s="199"/>
      <c r="AX103" s="199"/>
      <c r="AY103" s="199"/>
      <c r="AZ103" s="199"/>
      <c r="BD103" s="199"/>
      <c r="BF103" s="199"/>
    </row>
    <row r="104" spans="1:100" x14ac:dyDescent="0.2">
      <c r="A104" s="212"/>
      <c r="B104" s="212"/>
      <c r="C104" s="199"/>
      <c r="D104" s="199"/>
      <c r="E104" s="185"/>
      <c r="F104" s="199"/>
      <c r="G104" s="199"/>
      <c r="H104" s="199"/>
      <c r="I104" s="199"/>
      <c r="J104"/>
      <c r="K104"/>
      <c r="L104" s="199"/>
      <c r="M104" s="199"/>
      <c r="N104" s="199"/>
      <c r="O104" s="185"/>
      <c r="P104" s="185"/>
      <c r="Q104" s="199"/>
      <c r="R104" s="199"/>
      <c r="W104" s="199"/>
      <c r="X104" s="199"/>
      <c r="Y104" s="199"/>
      <c r="Z104" s="199"/>
      <c r="AA104" s="199"/>
      <c r="AB104" s="199"/>
      <c r="AC104" s="199"/>
      <c r="AD104" s="199"/>
      <c r="AL104" s="199"/>
      <c r="AM104" s="199"/>
      <c r="AN104" s="199"/>
      <c r="AO104" s="199"/>
      <c r="AP104" s="199"/>
      <c r="AQ104" s="199"/>
      <c r="AR104" s="199"/>
      <c r="AS104" s="199"/>
      <c r="AV104" s="199"/>
      <c r="AW104" s="199"/>
      <c r="AX104" s="199"/>
      <c r="AY104" s="199"/>
      <c r="AZ104" s="199"/>
      <c r="BD104" s="199"/>
      <c r="BF104" s="199"/>
    </row>
    <row r="105" spans="1:100" x14ac:dyDescent="0.2">
      <c r="A105" s="212"/>
      <c r="B105" s="212"/>
      <c r="C105" s="199"/>
      <c r="D105" s="199"/>
      <c r="E105" s="185"/>
      <c r="F105" s="199"/>
      <c r="G105" s="199"/>
      <c r="H105" s="199"/>
      <c r="I105" s="199"/>
      <c r="J105"/>
      <c r="K105"/>
      <c r="L105" s="199"/>
      <c r="M105" s="199"/>
      <c r="N105" s="199"/>
      <c r="O105" s="185"/>
      <c r="P105" s="185"/>
      <c r="Q105" s="199"/>
      <c r="R105" s="199"/>
      <c r="W105" s="199"/>
      <c r="X105" s="199"/>
      <c r="Y105" s="199"/>
      <c r="Z105" s="199"/>
      <c r="AA105" s="199"/>
      <c r="AB105" s="199"/>
      <c r="AC105" s="199"/>
      <c r="AD105" s="199"/>
      <c r="AL105" s="199"/>
      <c r="AM105" s="199"/>
      <c r="AN105" s="199"/>
      <c r="AO105" s="199"/>
      <c r="AP105" s="199"/>
      <c r="AQ105" s="199"/>
      <c r="AR105" s="199"/>
      <c r="AS105" s="199"/>
      <c r="AV105" s="199"/>
      <c r="AW105" s="199"/>
      <c r="AX105" s="199"/>
      <c r="AY105" s="199"/>
      <c r="AZ105" s="199"/>
      <c r="BD105" s="199"/>
      <c r="BF105" s="199"/>
    </row>
    <row r="106" spans="1:100" x14ac:dyDescent="0.2">
      <c r="A106" s="212"/>
      <c r="B106" s="212"/>
      <c r="C106" s="199"/>
      <c r="D106" s="199"/>
      <c r="E106" s="185"/>
      <c r="F106" s="199"/>
      <c r="G106" s="199"/>
      <c r="H106" s="199"/>
      <c r="I106" s="199"/>
      <c r="J106"/>
      <c r="K106"/>
      <c r="L106" s="199"/>
      <c r="M106" s="199"/>
      <c r="N106" s="199"/>
      <c r="O106" s="185"/>
      <c r="P106" s="185"/>
      <c r="Q106" s="199"/>
      <c r="R106" s="199"/>
      <c r="W106" s="199"/>
      <c r="X106" s="199"/>
      <c r="Y106" s="199"/>
      <c r="Z106" s="199"/>
      <c r="AA106" s="199"/>
      <c r="AB106" s="199"/>
      <c r="AC106" s="199"/>
      <c r="AD106" s="199"/>
      <c r="AL106" s="199"/>
      <c r="AM106" s="199"/>
      <c r="AN106" s="199"/>
      <c r="AO106" s="199"/>
      <c r="AP106" s="199"/>
      <c r="AQ106" s="199"/>
      <c r="AR106" s="199"/>
      <c r="AS106" s="199"/>
      <c r="AV106" s="199"/>
      <c r="AW106" s="199"/>
      <c r="AX106" s="199"/>
      <c r="AY106" s="199"/>
      <c r="AZ106" s="199"/>
      <c r="BD106" s="199"/>
      <c r="BF106" s="199"/>
    </row>
    <row r="107" spans="1:100" x14ac:dyDescent="0.2">
      <c r="A107" s="212"/>
      <c r="B107" s="212"/>
      <c r="C107" s="199"/>
      <c r="D107" s="199"/>
      <c r="E107" s="185"/>
      <c r="F107" s="199"/>
      <c r="G107" s="199"/>
      <c r="H107" s="199"/>
      <c r="I107" s="199"/>
      <c r="J107"/>
      <c r="K107"/>
      <c r="L107" s="199"/>
      <c r="M107" s="199"/>
      <c r="N107" s="199"/>
      <c r="O107" s="185"/>
      <c r="P107" s="185"/>
      <c r="Q107" s="199"/>
      <c r="R107" s="199"/>
      <c r="W107" s="199"/>
      <c r="X107" s="199"/>
      <c r="Y107" s="199"/>
      <c r="Z107" s="199"/>
      <c r="AA107" s="199"/>
      <c r="AB107" s="199"/>
      <c r="AC107" s="199"/>
      <c r="AD107" s="199"/>
      <c r="AL107" s="199"/>
      <c r="AM107" s="199"/>
      <c r="AN107" s="199"/>
      <c r="AO107" s="199"/>
      <c r="AP107" s="199"/>
      <c r="AQ107" s="199"/>
      <c r="AR107" s="199"/>
      <c r="AS107" s="199"/>
      <c r="AV107" s="199"/>
      <c r="AW107" s="199"/>
      <c r="AX107" s="199"/>
      <c r="AY107" s="199"/>
      <c r="AZ107" s="199"/>
      <c r="BD107" s="199"/>
      <c r="BF107" s="199"/>
    </row>
    <row r="108" spans="1:100" x14ac:dyDescent="0.2">
      <c r="A108" s="212"/>
      <c r="B108" s="212"/>
      <c r="C108" s="199"/>
      <c r="D108" s="199"/>
      <c r="E108" s="185"/>
      <c r="F108" s="199"/>
      <c r="G108" s="199"/>
      <c r="H108" s="199"/>
      <c r="I108" s="199"/>
      <c r="J108" s="199"/>
      <c r="K108" s="199"/>
      <c r="L108" s="199"/>
      <c r="M108" s="199"/>
      <c r="N108" s="199"/>
      <c r="O108" s="185"/>
      <c r="P108" s="185"/>
      <c r="Q108" s="199"/>
      <c r="R108" s="199"/>
      <c r="W108" s="199"/>
      <c r="X108" s="199"/>
      <c r="Y108" s="199"/>
      <c r="Z108" s="199"/>
      <c r="AA108" s="199"/>
      <c r="AB108" s="199"/>
      <c r="AC108" s="199"/>
      <c r="AD108" s="199"/>
      <c r="AL108" s="199"/>
      <c r="AM108" s="199"/>
      <c r="AN108" s="199"/>
      <c r="AO108" s="199"/>
      <c r="AP108" s="199"/>
      <c r="AQ108" s="199"/>
      <c r="AR108" s="199"/>
      <c r="AS108" s="199"/>
      <c r="AV108" s="199"/>
      <c r="AW108" s="199"/>
      <c r="AX108" s="199"/>
      <c r="AY108" s="199"/>
      <c r="AZ108" s="199"/>
      <c r="BA108" s="199"/>
      <c r="BB108" s="199"/>
      <c r="BD108" s="199"/>
      <c r="BF108" s="199"/>
      <c r="BG108" s="194"/>
      <c r="BJ108" s="194"/>
      <c r="BK108" s="194"/>
      <c r="BL108" s="194"/>
      <c r="BM108" s="194"/>
      <c r="BN108" s="194"/>
      <c r="BO108" s="194"/>
      <c r="BP108" s="194"/>
      <c r="BQ108" s="194"/>
      <c r="BR108" s="194"/>
      <c r="BS108" s="194"/>
      <c r="BT108" s="194"/>
      <c r="BU108" s="194"/>
      <c r="BV108" s="194"/>
      <c r="BW108" s="194"/>
      <c r="BX108" s="194"/>
      <c r="BY108" s="194"/>
      <c r="BZ108" s="194"/>
      <c r="CA108" s="194"/>
      <c r="CB108" s="194"/>
      <c r="CC108" s="194"/>
      <c r="CD108" s="194"/>
      <c r="CE108" s="194"/>
      <c r="CF108" s="194"/>
      <c r="CG108" s="194"/>
      <c r="CH108" s="194"/>
      <c r="CI108" s="194"/>
      <c r="CJ108" s="194"/>
      <c r="CK108" s="194"/>
      <c r="CL108" s="194"/>
      <c r="CM108" s="194"/>
      <c r="CN108" s="194"/>
      <c r="CO108" s="194"/>
      <c r="CP108" s="194"/>
      <c r="CQ108" s="194"/>
      <c r="CR108" s="194"/>
      <c r="CS108" s="194"/>
      <c r="CT108" s="194"/>
      <c r="CU108" s="194"/>
      <c r="CV108" s="194"/>
    </row>
    <row r="109" spans="1:100" x14ac:dyDescent="0.2">
      <c r="A109" s="212"/>
      <c r="B109" s="212"/>
      <c r="C109" s="199"/>
      <c r="D109" s="199"/>
      <c r="E109" s="185"/>
      <c r="F109" s="199"/>
      <c r="G109" s="199"/>
      <c r="H109" s="199"/>
      <c r="I109" s="199"/>
      <c r="J109"/>
      <c r="K109"/>
      <c r="L109" s="199"/>
      <c r="M109" s="199"/>
      <c r="N109" s="199"/>
      <c r="O109" s="185"/>
      <c r="P109" s="185"/>
      <c r="Q109" s="199"/>
      <c r="R109" s="199"/>
      <c r="W109" s="199"/>
      <c r="X109" s="199"/>
      <c r="Y109" s="199"/>
      <c r="Z109" s="199"/>
      <c r="AA109" s="199"/>
      <c r="AB109" s="199"/>
      <c r="AC109" s="199"/>
      <c r="AD109" s="199"/>
      <c r="AL109" s="199"/>
      <c r="AM109" s="199"/>
      <c r="AN109" s="199"/>
      <c r="AO109" s="199"/>
      <c r="AP109" s="199"/>
      <c r="AQ109" s="199"/>
      <c r="AR109" s="199"/>
      <c r="AS109" s="199"/>
      <c r="AV109" s="199"/>
      <c r="AW109" s="199"/>
      <c r="AX109" s="199"/>
      <c r="AY109" s="199"/>
      <c r="AZ109" s="199"/>
      <c r="BD109" s="199"/>
      <c r="BF109" s="199"/>
    </row>
    <row r="110" spans="1:100" x14ac:dyDescent="0.2">
      <c r="A110" s="212"/>
      <c r="B110" s="212"/>
      <c r="C110" s="199"/>
      <c r="D110" s="199"/>
      <c r="E110" s="185"/>
      <c r="F110" s="199"/>
      <c r="G110" s="199"/>
      <c r="H110" s="199"/>
      <c r="I110" s="199"/>
      <c r="J110"/>
      <c r="K110"/>
      <c r="L110" s="199"/>
      <c r="M110" s="199"/>
      <c r="N110" s="199"/>
      <c r="O110" s="185"/>
      <c r="P110" s="185"/>
      <c r="Q110" s="199"/>
      <c r="R110" s="199"/>
      <c r="W110" s="199"/>
      <c r="X110" s="199"/>
      <c r="Y110" s="199"/>
      <c r="Z110" s="199"/>
      <c r="AA110" s="199"/>
      <c r="AB110" s="199"/>
      <c r="AC110" s="199"/>
      <c r="AD110" s="199"/>
      <c r="AL110" s="199"/>
      <c r="AM110" s="199"/>
      <c r="AN110" s="199"/>
      <c r="AO110" s="199"/>
      <c r="AP110" s="199"/>
      <c r="AQ110" s="199"/>
      <c r="AR110" s="199"/>
      <c r="AS110" s="199"/>
      <c r="AV110" s="199"/>
      <c r="AW110" s="199"/>
      <c r="AX110" s="199"/>
      <c r="AY110" s="199"/>
      <c r="AZ110" s="199"/>
      <c r="BD110" s="199"/>
      <c r="BF110" s="199"/>
    </row>
    <row r="111" spans="1:100" x14ac:dyDescent="0.2">
      <c r="A111" s="212"/>
      <c r="B111" s="212"/>
      <c r="C111" s="199"/>
      <c r="D111" s="199"/>
      <c r="E111" s="185"/>
      <c r="F111" s="199"/>
      <c r="G111" s="199"/>
      <c r="H111" s="199"/>
      <c r="I111" s="199"/>
      <c r="J111"/>
      <c r="K111"/>
      <c r="L111" s="199"/>
      <c r="M111" s="199"/>
      <c r="N111" s="199"/>
      <c r="O111" s="185"/>
      <c r="P111" s="185"/>
      <c r="Q111" s="199"/>
      <c r="R111" s="199"/>
      <c r="W111" s="199"/>
      <c r="X111" s="199"/>
      <c r="Y111" s="199"/>
      <c r="Z111" s="199"/>
      <c r="AA111" s="199"/>
      <c r="AB111" s="199"/>
      <c r="AC111" s="199"/>
      <c r="AD111" s="199"/>
      <c r="AL111" s="199"/>
      <c r="AM111" s="199"/>
      <c r="AN111" s="199"/>
      <c r="AO111" s="199"/>
      <c r="AP111" s="199"/>
      <c r="AQ111" s="199"/>
      <c r="AR111" s="199"/>
      <c r="AS111" s="199"/>
      <c r="AV111" s="199"/>
      <c r="AW111" s="199"/>
      <c r="AX111" s="199"/>
      <c r="AY111" s="199"/>
      <c r="AZ111" s="199"/>
      <c r="BD111" s="199"/>
      <c r="BF111" s="199"/>
    </row>
    <row r="112" spans="1:100" x14ac:dyDescent="0.2">
      <c r="A112" s="212"/>
      <c r="B112" s="212"/>
      <c r="C112" s="199"/>
      <c r="D112" s="199"/>
      <c r="E112" s="185"/>
      <c r="F112" s="199"/>
      <c r="G112" s="199"/>
      <c r="H112" s="199"/>
      <c r="I112" s="199"/>
      <c r="J112"/>
      <c r="K112"/>
      <c r="L112" s="199"/>
      <c r="M112" s="199"/>
      <c r="N112" s="199"/>
      <c r="O112" s="185"/>
      <c r="P112" s="185"/>
      <c r="Q112" s="199"/>
      <c r="R112" s="199"/>
      <c r="W112" s="199"/>
      <c r="X112" s="199"/>
      <c r="Y112" s="199"/>
      <c r="Z112" s="199"/>
      <c r="AA112" s="199"/>
      <c r="AB112" s="199"/>
      <c r="AC112" s="199"/>
      <c r="AD112" s="199"/>
      <c r="AL112" s="199"/>
      <c r="AM112" s="199"/>
      <c r="AN112" s="199"/>
      <c r="AO112" s="199"/>
      <c r="AP112" s="199"/>
      <c r="AQ112" s="199"/>
      <c r="AR112" s="199"/>
      <c r="AS112" s="199"/>
      <c r="AV112" s="199"/>
      <c r="AW112" s="199"/>
      <c r="AX112" s="199"/>
      <c r="AY112" s="199"/>
      <c r="AZ112" s="199"/>
      <c r="BD112" s="199"/>
      <c r="BF112" s="199"/>
    </row>
    <row r="113" spans="1:100" x14ac:dyDescent="0.2">
      <c r="A113" s="212"/>
      <c r="B113" s="212"/>
      <c r="C113" s="199"/>
      <c r="D113" s="199"/>
      <c r="E113" s="185"/>
      <c r="F113" s="199"/>
      <c r="G113" s="199"/>
      <c r="H113" s="199"/>
      <c r="I113" s="199"/>
      <c r="J113"/>
      <c r="K113"/>
      <c r="L113" s="199"/>
      <c r="M113" s="199"/>
      <c r="N113" s="199"/>
      <c r="O113" s="185"/>
      <c r="P113" s="185"/>
      <c r="Q113" s="199"/>
      <c r="R113" s="199"/>
      <c r="W113" s="199"/>
      <c r="X113" s="199"/>
      <c r="Y113" s="199"/>
      <c r="Z113" s="199"/>
      <c r="AA113" s="199"/>
      <c r="AB113" s="199"/>
      <c r="AC113" s="199"/>
      <c r="AD113" s="199"/>
      <c r="AL113" s="199"/>
      <c r="AM113" s="199"/>
      <c r="AN113" s="199"/>
      <c r="AO113" s="199"/>
      <c r="AP113" s="199"/>
      <c r="AQ113" s="199"/>
      <c r="AR113" s="199"/>
      <c r="AS113" s="199"/>
      <c r="AV113" s="199"/>
      <c r="AW113" s="199"/>
      <c r="AX113" s="199"/>
      <c r="AY113" s="199"/>
      <c r="AZ113" s="199"/>
      <c r="BD113" s="199"/>
      <c r="BF113" s="199"/>
    </row>
    <row r="114" spans="1:100" x14ac:dyDescent="0.2">
      <c r="A114" s="212"/>
      <c r="B114" s="212"/>
      <c r="C114" s="199"/>
      <c r="D114" s="199"/>
      <c r="E114" s="185"/>
      <c r="F114" s="199"/>
      <c r="G114" s="199"/>
      <c r="H114" s="199"/>
      <c r="I114" s="199"/>
      <c r="J114"/>
      <c r="K114"/>
      <c r="L114" s="199"/>
      <c r="M114" s="199"/>
      <c r="N114" s="199"/>
      <c r="O114" s="185"/>
      <c r="P114" s="185"/>
      <c r="Q114" s="199"/>
      <c r="R114" s="199"/>
      <c r="W114" s="199"/>
      <c r="X114" s="199"/>
      <c r="Y114" s="199"/>
      <c r="Z114" s="199"/>
      <c r="AA114" s="199"/>
      <c r="AB114" s="199"/>
      <c r="AC114" s="199"/>
      <c r="AD114" s="199"/>
      <c r="AL114" s="199"/>
      <c r="AM114" s="199"/>
      <c r="AN114" s="199"/>
      <c r="AO114" s="199"/>
      <c r="AP114" s="199"/>
      <c r="AQ114" s="199"/>
      <c r="AR114" s="199"/>
      <c r="AS114" s="199"/>
      <c r="AV114" s="199"/>
      <c r="AW114" s="199"/>
      <c r="AX114" s="199"/>
      <c r="AY114" s="199"/>
      <c r="AZ114" s="199"/>
      <c r="BD114" s="199"/>
      <c r="BF114" s="199"/>
    </row>
    <row r="115" spans="1:100" x14ac:dyDescent="0.2">
      <c r="A115" s="212"/>
      <c r="B115" s="212"/>
      <c r="C115" s="199"/>
      <c r="D115" s="199"/>
      <c r="E115" s="185"/>
      <c r="F115" s="199"/>
      <c r="G115" s="199"/>
      <c r="H115" s="199"/>
      <c r="I115" s="199"/>
      <c r="J115"/>
      <c r="K115"/>
      <c r="L115" s="199"/>
      <c r="M115" s="199"/>
      <c r="N115" s="199"/>
      <c r="O115" s="185"/>
      <c r="P115" s="185"/>
      <c r="Q115" s="199"/>
      <c r="R115" s="199"/>
      <c r="W115" s="199"/>
      <c r="X115" s="199"/>
      <c r="Y115" s="199"/>
      <c r="Z115" s="199"/>
      <c r="AA115" s="199"/>
      <c r="AB115" s="199"/>
      <c r="AC115" s="199"/>
      <c r="AD115" s="199"/>
      <c r="AL115" s="199"/>
      <c r="AM115" s="199"/>
      <c r="AN115" s="199"/>
      <c r="AO115" s="199"/>
      <c r="AP115" s="199"/>
      <c r="AQ115" s="199"/>
      <c r="AR115" s="199"/>
      <c r="AS115" s="199"/>
      <c r="AV115" s="199"/>
      <c r="AW115" s="199"/>
      <c r="AX115" s="199"/>
      <c r="AY115" s="199"/>
      <c r="AZ115" s="199"/>
      <c r="BD115" s="199"/>
      <c r="BF115" s="199"/>
    </row>
    <row r="116" spans="1:100" x14ac:dyDescent="0.2">
      <c r="A116" s="212"/>
      <c r="B116" s="212"/>
      <c r="C116" s="199"/>
      <c r="D116" s="199"/>
      <c r="E116" s="185"/>
      <c r="F116" s="199"/>
      <c r="G116" s="199"/>
      <c r="H116" s="199"/>
      <c r="I116" s="199"/>
      <c r="J116"/>
      <c r="K116"/>
      <c r="L116" s="199"/>
      <c r="M116" s="199"/>
      <c r="N116" s="199"/>
      <c r="O116" s="185"/>
      <c r="P116" s="185"/>
      <c r="Q116" s="199"/>
      <c r="R116" s="199"/>
      <c r="W116" s="199"/>
      <c r="X116" s="199"/>
      <c r="Y116" s="199"/>
      <c r="Z116" s="199"/>
      <c r="AA116" s="199"/>
      <c r="AB116" s="199"/>
      <c r="AC116" s="199"/>
      <c r="AD116" s="199"/>
      <c r="AL116" s="199"/>
      <c r="AM116" s="199"/>
      <c r="AN116" s="199"/>
      <c r="AO116" s="199"/>
      <c r="AP116" s="199"/>
      <c r="AQ116" s="199"/>
      <c r="AR116" s="199"/>
      <c r="AS116" s="199"/>
      <c r="AV116" s="199"/>
      <c r="AW116" s="199"/>
      <c r="AX116" s="199"/>
      <c r="AY116" s="199"/>
      <c r="AZ116" s="199"/>
      <c r="BD116" s="199"/>
      <c r="BF116" s="199"/>
    </row>
    <row r="117" spans="1:100" x14ac:dyDescent="0.2">
      <c r="A117" s="212"/>
      <c r="B117" s="212"/>
      <c r="C117" s="199"/>
      <c r="D117" s="199"/>
      <c r="E117" s="185"/>
      <c r="F117" s="199"/>
      <c r="G117" s="199"/>
      <c r="H117" s="199"/>
      <c r="I117" s="199"/>
      <c r="J117"/>
      <c r="K117"/>
      <c r="L117" s="199"/>
      <c r="M117" s="199"/>
      <c r="N117" s="199"/>
      <c r="O117" s="185"/>
      <c r="P117" s="185"/>
      <c r="Q117" s="199"/>
      <c r="R117" s="199"/>
      <c r="W117" s="199"/>
      <c r="X117" s="199"/>
      <c r="Y117" s="199"/>
      <c r="Z117" s="199"/>
      <c r="AA117" s="199"/>
      <c r="AB117" s="199"/>
      <c r="AC117" s="199"/>
      <c r="AD117" s="199"/>
      <c r="AL117" s="199"/>
      <c r="AM117" s="199"/>
      <c r="AN117" s="199"/>
      <c r="AO117" s="199"/>
      <c r="AP117" s="199"/>
      <c r="AQ117" s="199"/>
      <c r="AR117" s="199"/>
      <c r="AS117" s="199"/>
      <c r="AV117" s="199"/>
      <c r="AW117" s="199"/>
      <c r="AX117" s="199"/>
      <c r="AY117" s="199"/>
      <c r="AZ117" s="199"/>
      <c r="BD117" s="199"/>
      <c r="BF117" s="199"/>
    </row>
    <row r="118" spans="1:100" x14ac:dyDescent="0.2">
      <c r="A118" s="212"/>
      <c r="B118" s="212"/>
      <c r="C118" s="199"/>
      <c r="D118" s="199"/>
      <c r="E118" s="185"/>
      <c r="F118" s="199"/>
      <c r="G118" s="199"/>
      <c r="H118" s="199"/>
      <c r="I118" s="199"/>
      <c r="J118"/>
      <c r="K118"/>
      <c r="L118" s="199"/>
      <c r="M118" s="199"/>
      <c r="N118" s="199"/>
      <c r="O118" s="185"/>
      <c r="P118" s="185"/>
      <c r="Q118" s="199"/>
      <c r="R118" s="199"/>
      <c r="W118" s="199"/>
      <c r="X118" s="199"/>
      <c r="Y118" s="199"/>
      <c r="Z118" s="199"/>
      <c r="AA118" s="199"/>
      <c r="AB118" s="199"/>
      <c r="AC118" s="199"/>
      <c r="AD118" s="199"/>
      <c r="AL118" s="199"/>
      <c r="AM118" s="199"/>
      <c r="AN118" s="199"/>
      <c r="AO118" s="199"/>
      <c r="AP118" s="199"/>
      <c r="AQ118" s="199"/>
      <c r="AR118" s="199"/>
      <c r="AS118" s="199"/>
      <c r="AV118" s="199"/>
      <c r="AW118" s="199"/>
      <c r="AX118" s="199"/>
      <c r="AY118" s="199"/>
      <c r="AZ118" s="199"/>
      <c r="BD118" s="199"/>
      <c r="BF118" s="199"/>
    </row>
    <row r="119" spans="1:100" x14ac:dyDescent="0.2">
      <c r="A119" s="212"/>
      <c r="B119" s="212"/>
      <c r="C119" s="199"/>
      <c r="D119" s="199"/>
      <c r="E119" s="185"/>
      <c r="F119" s="199"/>
      <c r="G119" s="199"/>
      <c r="H119" s="199"/>
      <c r="I119" s="199"/>
      <c r="J119"/>
      <c r="K119"/>
      <c r="L119" s="199"/>
      <c r="M119" s="199"/>
      <c r="N119" s="199"/>
      <c r="O119" s="185"/>
      <c r="P119" s="185"/>
      <c r="Q119" s="199"/>
      <c r="R119" s="199"/>
      <c r="W119" s="199"/>
      <c r="X119" s="199"/>
      <c r="Y119" s="199"/>
      <c r="Z119" s="199"/>
      <c r="AA119" s="199"/>
      <c r="AB119" s="199"/>
      <c r="AC119" s="199"/>
      <c r="AD119" s="199"/>
      <c r="AL119" s="199"/>
      <c r="AM119" s="199"/>
      <c r="AN119" s="199"/>
      <c r="AO119" s="199"/>
      <c r="AP119" s="199"/>
      <c r="AQ119" s="199"/>
      <c r="AR119" s="199"/>
      <c r="AS119" s="199"/>
      <c r="AV119" s="199"/>
      <c r="AW119" s="199"/>
      <c r="AX119" s="199"/>
      <c r="AY119" s="199"/>
      <c r="AZ119" s="199"/>
      <c r="BD119" s="199"/>
      <c r="BF119" s="199"/>
    </row>
    <row r="120" spans="1:100" x14ac:dyDescent="0.2">
      <c r="A120" s="212"/>
      <c r="B120" s="212"/>
      <c r="C120" s="199"/>
      <c r="D120" s="199"/>
      <c r="E120" s="185"/>
      <c r="F120" s="199"/>
      <c r="G120" s="199"/>
      <c r="H120" s="199"/>
      <c r="I120" s="199"/>
      <c r="J120"/>
      <c r="K120"/>
      <c r="L120" s="199"/>
      <c r="M120" s="199"/>
      <c r="N120" s="199"/>
      <c r="O120" s="185"/>
      <c r="P120" s="185"/>
      <c r="Q120" s="199"/>
      <c r="R120" s="199"/>
      <c r="W120" s="199"/>
      <c r="X120" s="199"/>
      <c r="Y120" s="199"/>
      <c r="Z120" s="199"/>
      <c r="AA120" s="199"/>
      <c r="AB120" s="199"/>
      <c r="AC120" s="199"/>
      <c r="AD120" s="199"/>
      <c r="AL120" s="199"/>
      <c r="AM120" s="199"/>
      <c r="AN120" s="199"/>
      <c r="AO120" s="199"/>
      <c r="AP120" s="199"/>
      <c r="AQ120" s="199"/>
      <c r="AR120" s="199"/>
      <c r="AS120" s="199"/>
      <c r="AV120" s="199"/>
      <c r="AW120" s="199"/>
      <c r="AX120" s="199"/>
      <c r="AY120" s="199"/>
      <c r="AZ120" s="199"/>
      <c r="BD120" s="199"/>
      <c r="BF120" s="199"/>
    </row>
    <row r="121" spans="1:100" x14ac:dyDescent="0.2">
      <c r="A121" s="212"/>
      <c r="B121" s="212"/>
      <c r="C121" s="199"/>
      <c r="D121" s="199"/>
      <c r="E121" s="185"/>
      <c r="F121" s="199"/>
      <c r="G121" s="199"/>
      <c r="H121" s="199"/>
      <c r="I121" s="199"/>
      <c r="J121" s="199"/>
      <c r="K121" s="199"/>
      <c r="L121" s="199"/>
      <c r="M121" s="199"/>
      <c r="N121" s="199"/>
      <c r="O121" s="185"/>
      <c r="P121" s="185"/>
      <c r="Q121" s="199"/>
      <c r="R121" s="199"/>
      <c r="W121" s="199"/>
      <c r="X121" s="199"/>
      <c r="Y121" s="199"/>
      <c r="Z121" s="199"/>
      <c r="AA121" s="199"/>
      <c r="AB121" s="199"/>
      <c r="AC121" s="199"/>
      <c r="AD121" s="199"/>
      <c r="AL121" s="199"/>
      <c r="AM121" s="199"/>
      <c r="AN121" s="199"/>
      <c r="AO121" s="199"/>
      <c r="AP121" s="199"/>
      <c r="AQ121" s="199"/>
      <c r="AR121" s="199"/>
      <c r="AS121" s="199"/>
      <c r="AV121" s="199"/>
      <c r="AW121" s="199"/>
      <c r="AX121" s="199"/>
      <c r="AY121" s="199"/>
      <c r="AZ121" s="199"/>
      <c r="BA121" s="199"/>
      <c r="BB121" s="199"/>
      <c r="BD121" s="199"/>
      <c r="BF121" s="199"/>
      <c r="BG121" s="194"/>
      <c r="BJ121" s="194"/>
      <c r="BK121" s="194"/>
      <c r="BL121" s="194"/>
      <c r="BM121" s="194"/>
      <c r="BN121" s="194"/>
      <c r="BO121" s="194"/>
      <c r="BP121" s="194"/>
      <c r="BQ121" s="194"/>
      <c r="BR121" s="194"/>
      <c r="BS121" s="194"/>
      <c r="BT121" s="194"/>
      <c r="BU121" s="194"/>
      <c r="BV121" s="194"/>
      <c r="BW121" s="194"/>
      <c r="BX121" s="194"/>
      <c r="BY121" s="194"/>
      <c r="BZ121" s="194"/>
      <c r="CA121" s="194"/>
      <c r="CB121" s="194"/>
      <c r="CC121" s="194"/>
      <c r="CD121" s="194"/>
      <c r="CE121" s="194"/>
      <c r="CF121" s="194"/>
      <c r="CG121" s="194"/>
      <c r="CH121" s="194"/>
      <c r="CI121" s="194"/>
      <c r="CJ121" s="194"/>
      <c r="CK121" s="194"/>
      <c r="CL121" s="194"/>
      <c r="CM121" s="194"/>
      <c r="CN121" s="194"/>
      <c r="CO121" s="194"/>
      <c r="CP121" s="194"/>
      <c r="CQ121" s="194"/>
      <c r="CR121" s="194"/>
      <c r="CS121" s="194"/>
      <c r="CT121" s="194"/>
      <c r="CU121" s="194"/>
      <c r="CV121" s="194"/>
    </row>
    <row r="122" spans="1:100" x14ac:dyDescent="0.2">
      <c r="A122" s="212"/>
      <c r="B122" s="212"/>
      <c r="C122" s="199"/>
      <c r="D122" s="199"/>
      <c r="E122" s="185"/>
      <c r="F122" s="199"/>
      <c r="G122" s="199"/>
      <c r="H122" s="199"/>
      <c r="I122" s="199"/>
      <c r="J122"/>
      <c r="K122"/>
      <c r="L122" s="199"/>
      <c r="M122" s="199"/>
      <c r="N122" s="199"/>
      <c r="O122" s="185"/>
      <c r="P122" s="185"/>
      <c r="Q122" s="199"/>
      <c r="R122" s="199"/>
      <c r="W122" s="199"/>
      <c r="X122" s="199"/>
      <c r="Y122" s="199"/>
      <c r="Z122" s="199"/>
      <c r="AA122" s="199"/>
      <c r="AB122" s="199"/>
      <c r="AC122" s="199"/>
      <c r="AD122" s="199"/>
      <c r="AL122" s="199"/>
      <c r="AM122" s="199"/>
      <c r="AN122" s="199"/>
      <c r="AO122" s="199"/>
      <c r="AP122" s="199"/>
      <c r="AQ122" s="199"/>
      <c r="AR122" s="199"/>
      <c r="AS122" s="199"/>
      <c r="AV122" s="199"/>
      <c r="AW122" s="199"/>
      <c r="AX122" s="199"/>
      <c r="AY122" s="199"/>
      <c r="AZ122" s="199"/>
      <c r="BD122" s="199"/>
      <c r="BF122" s="199"/>
    </row>
    <row r="123" spans="1:100" x14ac:dyDescent="0.2">
      <c r="A123" s="212"/>
      <c r="B123" s="212"/>
      <c r="C123" s="199"/>
      <c r="D123" s="199"/>
      <c r="E123" s="185"/>
      <c r="F123" s="199"/>
      <c r="G123" s="199"/>
      <c r="H123" s="199"/>
      <c r="I123" s="199"/>
      <c r="J123"/>
      <c r="K123"/>
      <c r="L123" s="199"/>
      <c r="M123" s="199"/>
      <c r="N123" s="199"/>
      <c r="O123" s="185"/>
      <c r="P123" s="185"/>
      <c r="Q123" s="199"/>
      <c r="R123" s="199"/>
      <c r="W123" s="199"/>
      <c r="X123" s="199"/>
      <c r="Y123" s="199"/>
      <c r="Z123" s="199"/>
      <c r="AA123" s="199"/>
      <c r="AB123" s="199"/>
      <c r="AC123" s="199"/>
      <c r="AD123" s="199"/>
      <c r="AL123" s="199"/>
      <c r="AM123" s="199"/>
      <c r="AN123" s="199"/>
      <c r="AO123" s="199"/>
      <c r="AP123" s="199"/>
      <c r="AQ123" s="199"/>
      <c r="AR123" s="199"/>
      <c r="AS123" s="199"/>
      <c r="AV123" s="199"/>
      <c r="AW123" s="199"/>
      <c r="AX123" s="199"/>
      <c r="AY123" s="199"/>
      <c r="AZ123" s="199"/>
      <c r="BD123" s="199"/>
      <c r="BF123" s="199"/>
    </row>
    <row r="124" spans="1:100" x14ac:dyDescent="0.2">
      <c r="A124" s="212"/>
      <c r="B124" s="212"/>
      <c r="C124" s="199"/>
      <c r="D124" s="199"/>
      <c r="E124" s="185"/>
      <c r="F124" s="199"/>
      <c r="G124" s="199"/>
      <c r="H124" s="199"/>
      <c r="I124" s="199"/>
      <c r="J124"/>
      <c r="K124"/>
      <c r="L124" s="199"/>
      <c r="M124" s="199"/>
      <c r="N124" s="199"/>
      <c r="O124" s="185"/>
      <c r="P124" s="185"/>
      <c r="Q124" s="199"/>
      <c r="R124" s="199"/>
      <c r="W124" s="199"/>
      <c r="X124" s="199"/>
      <c r="Y124" s="199"/>
      <c r="Z124" s="199"/>
      <c r="AA124" s="199"/>
      <c r="AB124" s="199"/>
      <c r="AC124" s="199"/>
      <c r="AD124" s="199"/>
      <c r="AL124" s="199"/>
      <c r="AM124" s="199"/>
      <c r="AN124" s="199"/>
      <c r="AO124" s="199"/>
      <c r="AP124" s="199"/>
      <c r="AQ124" s="199"/>
      <c r="AR124" s="199"/>
      <c r="AS124" s="199"/>
      <c r="AV124" s="199"/>
      <c r="AW124" s="199"/>
      <c r="AX124" s="199"/>
      <c r="AY124" s="199"/>
      <c r="AZ124" s="199"/>
      <c r="BD124" s="199"/>
      <c r="BF124" s="199"/>
    </row>
    <row r="125" spans="1:100" x14ac:dyDescent="0.2">
      <c r="A125" s="212"/>
      <c r="B125" s="212"/>
      <c r="C125" s="199"/>
      <c r="D125" s="199"/>
      <c r="E125" s="185"/>
      <c r="F125" s="199"/>
      <c r="G125" s="199"/>
      <c r="H125" s="199"/>
      <c r="I125" s="199"/>
      <c r="J125"/>
      <c r="K125"/>
      <c r="L125" s="199"/>
      <c r="M125" s="199"/>
      <c r="N125" s="199"/>
      <c r="O125" s="185"/>
      <c r="P125" s="185"/>
      <c r="Q125" s="199"/>
      <c r="R125" s="199"/>
      <c r="W125" s="199"/>
      <c r="X125" s="199"/>
      <c r="Y125" s="199"/>
      <c r="Z125" s="199"/>
      <c r="AA125" s="199"/>
      <c r="AB125" s="199"/>
      <c r="AC125" s="199"/>
      <c r="AD125" s="199"/>
      <c r="AL125" s="199"/>
      <c r="AM125" s="199"/>
      <c r="AN125" s="199"/>
      <c r="AO125" s="199"/>
      <c r="AP125" s="199"/>
      <c r="AQ125" s="199"/>
      <c r="AR125" s="199"/>
      <c r="AS125" s="199"/>
      <c r="AV125" s="199"/>
      <c r="AW125" s="199"/>
      <c r="AX125" s="199"/>
      <c r="AY125" s="199"/>
      <c r="AZ125" s="199"/>
      <c r="BD125" s="199"/>
      <c r="BF125" s="199"/>
    </row>
    <row r="126" spans="1:100" x14ac:dyDescent="0.2">
      <c r="A126" s="212"/>
      <c r="B126" s="212"/>
      <c r="C126" s="199"/>
      <c r="D126" s="199"/>
      <c r="E126" s="185"/>
      <c r="F126" s="199"/>
      <c r="G126" s="199"/>
      <c r="H126" s="199"/>
      <c r="I126" s="199"/>
      <c r="J126"/>
      <c r="K126"/>
      <c r="L126" s="199"/>
      <c r="M126" s="199"/>
      <c r="N126" s="199"/>
      <c r="O126" s="185"/>
      <c r="P126" s="185"/>
      <c r="Q126" s="199"/>
      <c r="R126" s="199"/>
      <c r="W126" s="199"/>
      <c r="X126" s="199"/>
      <c r="Y126" s="199"/>
      <c r="Z126" s="199"/>
      <c r="AA126" s="199"/>
      <c r="AB126" s="199"/>
      <c r="AC126" s="199"/>
      <c r="AD126" s="199"/>
      <c r="AL126" s="199"/>
      <c r="AM126" s="199"/>
      <c r="AN126" s="199"/>
      <c r="AO126" s="199"/>
      <c r="AP126" s="199"/>
      <c r="AQ126" s="199"/>
      <c r="AR126" s="199"/>
      <c r="AS126" s="199"/>
      <c r="AV126" s="199"/>
      <c r="AW126" s="199"/>
      <c r="AX126" s="199"/>
      <c r="AY126" s="199"/>
      <c r="AZ126" s="199"/>
      <c r="BD126" s="199"/>
      <c r="BF126" s="199"/>
    </row>
    <row r="127" spans="1:100" x14ac:dyDescent="0.2">
      <c r="A127" s="212"/>
      <c r="B127" s="212"/>
      <c r="C127" s="199"/>
      <c r="D127" s="199"/>
      <c r="E127" s="185"/>
      <c r="F127" s="199"/>
      <c r="G127" s="199"/>
      <c r="H127" s="199"/>
      <c r="I127" s="199"/>
      <c r="J127"/>
      <c r="K127"/>
      <c r="L127" s="199"/>
      <c r="M127" s="199"/>
      <c r="N127" s="199"/>
      <c r="O127" s="185"/>
      <c r="P127" s="185"/>
      <c r="Q127" s="199"/>
      <c r="R127" s="199"/>
      <c r="W127" s="199"/>
      <c r="X127" s="199"/>
      <c r="Y127" s="199"/>
      <c r="Z127" s="199"/>
      <c r="AA127" s="199"/>
      <c r="AB127" s="199"/>
      <c r="AC127" s="199"/>
      <c r="AD127" s="199"/>
      <c r="AL127" s="199"/>
      <c r="AM127" s="199"/>
      <c r="AN127" s="199"/>
      <c r="AO127" s="199"/>
      <c r="AP127" s="199"/>
      <c r="AQ127" s="199"/>
      <c r="AR127" s="199"/>
      <c r="AS127" s="199"/>
      <c r="AV127" s="199"/>
      <c r="AW127" s="199"/>
      <c r="AX127" s="199"/>
      <c r="AY127" s="199"/>
      <c r="AZ127" s="199"/>
      <c r="BD127" s="199"/>
      <c r="BF127" s="199"/>
    </row>
    <row r="128" spans="1:100" x14ac:dyDescent="0.2">
      <c r="A128" s="212"/>
      <c r="B128" s="212"/>
      <c r="C128" s="199"/>
      <c r="D128" s="199"/>
      <c r="E128" s="185"/>
      <c r="F128" s="199"/>
      <c r="G128" s="199"/>
      <c r="H128" s="199"/>
      <c r="I128" s="199"/>
      <c r="J128" s="199"/>
      <c r="K128" s="199"/>
      <c r="L128" s="199"/>
      <c r="M128" s="199"/>
      <c r="N128" s="199"/>
      <c r="O128" s="185"/>
      <c r="P128" s="185"/>
      <c r="Q128" s="199"/>
      <c r="R128" s="199"/>
      <c r="W128" s="199"/>
      <c r="X128" s="199"/>
      <c r="Y128" s="199"/>
      <c r="Z128" s="199"/>
      <c r="AA128" s="199"/>
      <c r="AB128" s="199"/>
      <c r="AC128" s="199"/>
      <c r="AD128" s="199"/>
      <c r="AL128" s="199"/>
      <c r="AM128" s="199"/>
      <c r="AN128" s="199"/>
      <c r="AO128" s="199"/>
      <c r="AP128" s="199"/>
      <c r="AQ128" s="199"/>
      <c r="AR128" s="199"/>
      <c r="AS128" s="199"/>
      <c r="AV128" s="199"/>
      <c r="AW128" s="199"/>
      <c r="AX128" s="199"/>
      <c r="AY128" s="199"/>
      <c r="AZ128" s="199"/>
      <c r="BA128" s="199"/>
      <c r="BB128" s="199"/>
      <c r="BD128" s="199"/>
      <c r="BF128" s="199"/>
      <c r="BG128" s="194"/>
      <c r="BJ128" s="194"/>
      <c r="BK128" s="194"/>
      <c r="BL128" s="194"/>
      <c r="BM128" s="194"/>
      <c r="BN128" s="194"/>
      <c r="BO128" s="194"/>
      <c r="BP128" s="194"/>
      <c r="BQ128" s="194"/>
      <c r="BR128" s="194"/>
      <c r="BS128" s="194"/>
      <c r="BT128" s="194"/>
      <c r="BU128" s="194"/>
      <c r="BV128" s="194"/>
      <c r="BW128" s="194"/>
      <c r="BX128" s="194"/>
      <c r="BY128" s="194"/>
      <c r="BZ128" s="194"/>
      <c r="CA128" s="194"/>
      <c r="CB128" s="194"/>
      <c r="CC128" s="194"/>
      <c r="CD128" s="194"/>
      <c r="CE128" s="194"/>
      <c r="CF128" s="194"/>
      <c r="CG128" s="194"/>
      <c r="CH128" s="194"/>
      <c r="CI128" s="194"/>
      <c r="CJ128" s="194"/>
      <c r="CK128" s="194"/>
      <c r="CL128" s="194"/>
      <c r="CM128" s="194"/>
      <c r="CN128" s="194"/>
      <c r="CP128" s="194"/>
      <c r="CQ128" s="194"/>
      <c r="CR128" s="194"/>
      <c r="CS128" s="194"/>
      <c r="CT128" s="194"/>
      <c r="CU128" s="194"/>
      <c r="CV128" s="194"/>
    </row>
    <row r="129" spans="1:100" x14ac:dyDescent="0.2">
      <c r="A129" s="212"/>
      <c r="B129" s="212"/>
      <c r="C129" s="199"/>
      <c r="D129" s="199"/>
      <c r="E129" s="185"/>
      <c r="F129" s="199"/>
      <c r="G129" s="199"/>
      <c r="H129" s="199"/>
      <c r="I129" s="199"/>
      <c r="J129" s="199"/>
      <c r="K129" s="199"/>
      <c r="L129" s="199"/>
      <c r="M129" s="199"/>
      <c r="N129" s="199"/>
      <c r="O129" s="185"/>
      <c r="P129" s="185"/>
      <c r="Q129" s="199"/>
      <c r="R129" s="199"/>
      <c r="W129" s="199"/>
      <c r="X129" s="199"/>
      <c r="Y129" s="199"/>
      <c r="Z129" s="199"/>
      <c r="AA129" s="199"/>
      <c r="AB129" s="199"/>
      <c r="AC129" s="199"/>
      <c r="AD129" s="199"/>
      <c r="AL129" s="199"/>
      <c r="AM129" s="199"/>
      <c r="AN129" s="199"/>
      <c r="AO129" s="199"/>
      <c r="AP129" s="199"/>
      <c r="AQ129" s="199"/>
      <c r="AR129" s="199"/>
      <c r="AS129" s="199"/>
      <c r="AV129" s="199"/>
      <c r="AW129" s="199"/>
      <c r="AX129" s="199"/>
      <c r="AY129" s="199"/>
      <c r="AZ129" s="199"/>
      <c r="BA129" s="199"/>
      <c r="BB129" s="199"/>
      <c r="BD129" s="199"/>
      <c r="BF129" s="199"/>
      <c r="BG129" s="194"/>
      <c r="BJ129" s="194"/>
      <c r="BK129" s="194"/>
      <c r="BL129" s="194"/>
      <c r="BM129" s="194"/>
      <c r="BN129" s="194"/>
      <c r="BO129" s="194"/>
      <c r="BP129" s="194"/>
      <c r="BQ129" s="194"/>
      <c r="BR129" s="194"/>
      <c r="BS129" s="194"/>
      <c r="BT129" s="194"/>
      <c r="BU129" s="194"/>
      <c r="BV129" s="194"/>
      <c r="BW129" s="194"/>
      <c r="BX129" s="194"/>
      <c r="BY129" s="194"/>
      <c r="BZ129" s="194"/>
      <c r="CA129" s="194"/>
      <c r="CB129" s="194"/>
      <c r="CC129" s="194"/>
      <c r="CD129" s="194"/>
      <c r="CE129" s="194"/>
      <c r="CF129" s="194"/>
      <c r="CG129" s="194"/>
      <c r="CH129" s="194"/>
      <c r="CI129" s="194"/>
      <c r="CJ129" s="194"/>
      <c r="CK129" s="194"/>
      <c r="CL129" s="194"/>
      <c r="CM129" s="194"/>
      <c r="CN129" s="194"/>
      <c r="CP129" s="194"/>
      <c r="CQ129" s="194"/>
      <c r="CR129" s="194"/>
      <c r="CS129" s="194"/>
      <c r="CT129" s="194"/>
      <c r="CU129" s="194"/>
      <c r="CV129" s="194"/>
    </row>
    <row r="130" spans="1:100" x14ac:dyDescent="0.2">
      <c r="A130" s="212"/>
      <c r="B130" s="212"/>
      <c r="C130" s="199"/>
      <c r="D130" s="199"/>
      <c r="E130" s="185"/>
      <c r="F130" s="199"/>
      <c r="G130" s="199"/>
      <c r="H130" s="199"/>
      <c r="I130" s="199"/>
      <c r="J130"/>
      <c r="K130"/>
      <c r="L130" s="199"/>
      <c r="M130" s="199"/>
      <c r="N130" s="199"/>
      <c r="O130" s="185"/>
      <c r="P130" s="185"/>
      <c r="Q130" s="199"/>
      <c r="R130" s="199"/>
      <c r="W130" s="199"/>
      <c r="X130" s="199"/>
      <c r="Y130" s="199"/>
      <c r="Z130" s="199"/>
      <c r="AA130" s="199"/>
      <c r="AB130" s="199"/>
      <c r="AC130" s="199"/>
      <c r="AD130" s="199"/>
      <c r="AL130" s="199"/>
      <c r="AM130" s="199"/>
      <c r="AN130" s="199"/>
      <c r="AO130" s="199"/>
      <c r="AP130" s="199"/>
      <c r="AQ130" s="199"/>
      <c r="AR130" s="199"/>
      <c r="AS130" s="199"/>
      <c r="AV130" s="199"/>
      <c r="AW130" s="199"/>
      <c r="AX130" s="199"/>
      <c r="AY130" s="199"/>
      <c r="AZ130" s="199"/>
      <c r="BD130" s="199"/>
      <c r="BF130" s="199"/>
    </row>
    <row r="131" spans="1:100" x14ac:dyDescent="0.2">
      <c r="A131" s="212"/>
      <c r="B131" s="212"/>
      <c r="C131" s="199"/>
      <c r="D131" s="199"/>
      <c r="E131" s="185"/>
      <c r="F131" s="199"/>
      <c r="G131" s="199"/>
      <c r="H131" s="199"/>
      <c r="I131" s="199"/>
      <c r="J131"/>
      <c r="K131"/>
      <c r="L131" s="199"/>
      <c r="M131" s="199"/>
      <c r="N131" s="199"/>
      <c r="O131" s="185"/>
      <c r="P131" s="185"/>
      <c r="Q131" s="199"/>
      <c r="R131" s="199"/>
      <c r="W131" s="199"/>
      <c r="X131" s="199"/>
      <c r="Y131" s="199"/>
      <c r="Z131" s="199"/>
      <c r="AA131" s="199"/>
      <c r="AB131" s="199"/>
      <c r="AC131" s="199"/>
      <c r="AD131" s="199"/>
      <c r="AL131" s="199"/>
      <c r="AM131" s="199"/>
      <c r="AN131" s="199"/>
      <c r="AO131" s="199"/>
      <c r="AP131" s="199"/>
      <c r="AQ131" s="199"/>
      <c r="AR131" s="199"/>
      <c r="AS131" s="199"/>
      <c r="AV131" s="199"/>
      <c r="AW131" s="199"/>
      <c r="AX131" s="199"/>
      <c r="AY131" s="199"/>
      <c r="AZ131" s="199"/>
      <c r="BD131" s="199"/>
      <c r="BF131" s="199"/>
    </row>
    <row r="132" spans="1:100" x14ac:dyDescent="0.2">
      <c r="A132" s="212"/>
      <c r="B132" s="212"/>
      <c r="C132" s="199"/>
      <c r="D132" s="199"/>
      <c r="E132" s="185"/>
      <c r="F132" s="199"/>
      <c r="G132" s="199"/>
      <c r="H132" s="199"/>
      <c r="I132" s="199"/>
      <c r="J132" s="199"/>
      <c r="K132" s="199"/>
      <c r="L132" s="199"/>
      <c r="M132" s="199"/>
      <c r="N132" s="199"/>
      <c r="O132" s="185"/>
      <c r="P132" s="185"/>
      <c r="Q132" s="199"/>
      <c r="R132" s="199"/>
      <c r="W132" s="199"/>
      <c r="X132" s="199"/>
      <c r="Y132" s="199"/>
      <c r="Z132" s="199"/>
      <c r="AA132" s="199"/>
      <c r="AB132" s="199"/>
      <c r="AC132" s="199"/>
      <c r="AD132" s="199"/>
      <c r="AL132" s="199"/>
      <c r="AM132" s="199"/>
      <c r="AN132" s="199"/>
      <c r="AO132" s="199"/>
      <c r="AP132" s="199"/>
      <c r="AQ132" s="199"/>
      <c r="AR132" s="199"/>
      <c r="AS132" s="199"/>
      <c r="AV132" s="199"/>
      <c r="AW132" s="199"/>
      <c r="AX132" s="199"/>
      <c r="AY132" s="199"/>
      <c r="AZ132" s="199"/>
      <c r="BA132" s="199"/>
      <c r="BB132" s="199"/>
      <c r="BD132" s="199"/>
      <c r="BF132" s="199"/>
      <c r="BG132" s="194"/>
      <c r="BH132" s="194"/>
      <c r="BJ132" s="194"/>
      <c r="BK132" s="194"/>
      <c r="BL132" s="194"/>
      <c r="BM132" s="194"/>
      <c r="BN132" s="194"/>
      <c r="BO132" s="194"/>
      <c r="BP132" s="194"/>
      <c r="BQ132" s="194"/>
      <c r="BR132" s="194"/>
      <c r="BS132" s="194"/>
      <c r="BT132" s="194"/>
      <c r="BU132" s="194"/>
      <c r="BV132" s="194"/>
      <c r="BW132" s="194"/>
      <c r="BX132" s="194"/>
      <c r="BY132" s="194"/>
      <c r="BZ132" s="194"/>
      <c r="CA132" s="194"/>
      <c r="CB132" s="194"/>
      <c r="CC132" s="194"/>
      <c r="CD132" s="194"/>
      <c r="CE132" s="194"/>
      <c r="CF132" s="194"/>
      <c r="CG132" s="194"/>
      <c r="CH132" s="194"/>
      <c r="CI132" s="194"/>
      <c r="CJ132" s="194"/>
      <c r="CK132" s="194"/>
      <c r="CL132" s="194"/>
      <c r="CM132" s="194"/>
      <c r="CN132" s="194"/>
      <c r="CO132" s="194"/>
      <c r="CP132" s="194"/>
      <c r="CQ132" s="194"/>
      <c r="CR132" s="194"/>
      <c r="CS132" s="194"/>
      <c r="CT132" s="194"/>
      <c r="CU132" s="194"/>
      <c r="CV132" s="194"/>
    </row>
    <row r="133" spans="1:100" x14ac:dyDescent="0.2">
      <c r="A133" s="212"/>
      <c r="B133" s="212"/>
      <c r="C133" s="199"/>
      <c r="D133" s="199"/>
      <c r="E133" s="185"/>
      <c r="F133" s="199"/>
      <c r="G133" s="199"/>
      <c r="H133" s="199"/>
      <c r="I133" s="199"/>
      <c r="J133" s="199"/>
      <c r="K133" s="199"/>
      <c r="L133" s="199"/>
      <c r="M133" s="199"/>
      <c r="N133" s="199"/>
      <c r="O133" s="185"/>
      <c r="P133" s="185"/>
      <c r="Q133" s="199"/>
      <c r="R133" s="199"/>
      <c r="W133" s="199"/>
      <c r="X133" s="199"/>
      <c r="Y133" s="199"/>
      <c r="Z133" s="199"/>
      <c r="AA133" s="199"/>
      <c r="AB133" s="199"/>
      <c r="AC133" s="199"/>
      <c r="AD133" s="199"/>
      <c r="AL133" s="199"/>
      <c r="AM133" s="199"/>
      <c r="AN133" s="199"/>
      <c r="AO133" s="199"/>
      <c r="AP133" s="199"/>
      <c r="AQ133" s="199"/>
      <c r="AR133" s="199"/>
      <c r="AS133" s="199"/>
      <c r="AV133" s="199"/>
      <c r="AW133" s="199"/>
      <c r="AX133" s="199"/>
      <c r="AY133" s="199"/>
      <c r="AZ133" s="199"/>
      <c r="BA133" s="199"/>
      <c r="BB133" s="199"/>
      <c r="BD133" s="199"/>
      <c r="BF133" s="199"/>
      <c r="BG133" s="194"/>
      <c r="BJ133" s="194"/>
      <c r="BK133" s="194"/>
      <c r="BL133" s="194"/>
      <c r="BM133" s="194"/>
      <c r="BN133" s="194"/>
      <c r="BO133" s="194"/>
      <c r="BP133" s="194"/>
      <c r="BQ133" s="194"/>
      <c r="BR133" s="194"/>
      <c r="BS133" s="194"/>
      <c r="BT133" s="194"/>
      <c r="BU133" s="194"/>
      <c r="BV133" s="194"/>
      <c r="BW133" s="194"/>
      <c r="BX133" s="194"/>
      <c r="BY133" s="194"/>
      <c r="BZ133" s="194"/>
      <c r="CA133" s="194"/>
      <c r="CB133" s="194"/>
      <c r="CC133" s="194"/>
      <c r="CD133" s="194"/>
      <c r="CE133" s="194"/>
      <c r="CF133" s="194"/>
      <c r="CG133" s="194"/>
      <c r="CH133" s="194"/>
      <c r="CI133" s="194"/>
      <c r="CJ133" s="194"/>
      <c r="CK133" s="194"/>
      <c r="CL133" s="194"/>
      <c r="CM133" s="194"/>
      <c r="CN133" s="194"/>
      <c r="CO133" s="194"/>
      <c r="CP133" s="194"/>
      <c r="CQ133" s="194"/>
      <c r="CR133" s="194"/>
      <c r="CS133" s="194"/>
      <c r="CT133" s="194"/>
      <c r="CU133" s="194"/>
      <c r="CV133" s="194"/>
    </row>
    <row r="134" spans="1:100" x14ac:dyDescent="0.2">
      <c r="A134" s="212"/>
      <c r="B134" s="212"/>
      <c r="C134" s="199"/>
      <c r="D134" s="199"/>
      <c r="E134" s="185"/>
      <c r="F134" s="199"/>
      <c r="G134" s="199"/>
      <c r="H134" s="199"/>
      <c r="I134" s="199"/>
      <c r="J134"/>
      <c r="K134"/>
      <c r="L134" s="199"/>
      <c r="M134" s="199"/>
      <c r="N134" s="199"/>
      <c r="O134" s="185"/>
      <c r="P134" s="185"/>
      <c r="Q134" s="199"/>
      <c r="R134" s="199"/>
      <c r="W134" s="199"/>
      <c r="X134" s="199"/>
      <c r="Y134" s="199"/>
      <c r="Z134" s="199"/>
      <c r="AA134" s="199"/>
      <c r="AB134" s="199"/>
      <c r="AC134" s="199"/>
      <c r="AD134" s="199"/>
      <c r="AL134" s="199"/>
      <c r="AM134" s="199"/>
      <c r="AN134" s="199"/>
      <c r="AO134" s="199"/>
      <c r="AP134" s="199"/>
      <c r="AQ134" s="199"/>
      <c r="AR134" s="199"/>
      <c r="AS134" s="199"/>
      <c r="AV134" s="199"/>
      <c r="AW134" s="199"/>
      <c r="AX134" s="199"/>
      <c r="AY134" s="199"/>
      <c r="AZ134" s="199"/>
      <c r="BD134" s="199"/>
      <c r="BF134" s="199"/>
    </row>
    <row r="135" spans="1:100" x14ac:dyDescent="0.2">
      <c r="A135" s="212"/>
      <c r="B135" s="212"/>
      <c r="C135" s="199"/>
      <c r="D135" s="199"/>
      <c r="E135" s="185"/>
      <c r="F135" s="199"/>
      <c r="G135" s="199"/>
      <c r="H135" s="199"/>
      <c r="I135" s="199"/>
      <c r="J135" s="199"/>
      <c r="K135" s="199"/>
      <c r="L135" s="199"/>
      <c r="M135" s="199"/>
      <c r="N135" s="199"/>
      <c r="O135" s="185"/>
      <c r="P135" s="185"/>
      <c r="Q135" s="199"/>
      <c r="R135" s="199"/>
      <c r="W135" s="199"/>
      <c r="X135" s="199"/>
      <c r="Y135" s="199"/>
      <c r="Z135" s="199"/>
      <c r="AA135" s="199"/>
      <c r="AB135" s="199"/>
      <c r="AC135" s="199"/>
      <c r="AD135" s="199"/>
      <c r="AL135" s="199"/>
      <c r="AM135" s="199"/>
      <c r="AN135" s="199"/>
      <c r="AO135" s="199"/>
      <c r="AP135" s="199"/>
      <c r="AQ135" s="199"/>
      <c r="AR135" s="199"/>
      <c r="AS135" s="199"/>
      <c r="AV135" s="199"/>
      <c r="AW135" s="199"/>
      <c r="AX135" s="199"/>
      <c r="AY135" s="199"/>
      <c r="AZ135" s="199"/>
      <c r="BA135" s="199"/>
      <c r="BB135" s="199"/>
      <c r="BD135" s="199"/>
      <c r="BF135" s="199"/>
      <c r="BG135" s="194"/>
      <c r="BJ135" s="194"/>
      <c r="BK135" s="194"/>
      <c r="BL135" s="194"/>
      <c r="BM135" s="194"/>
      <c r="BN135" s="194"/>
      <c r="BO135" s="194"/>
      <c r="BP135" s="194"/>
      <c r="BQ135" s="194"/>
      <c r="BR135" s="194"/>
      <c r="BS135" s="194"/>
      <c r="BT135" s="194"/>
      <c r="BU135" s="194"/>
      <c r="BV135" s="194"/>
      <c r="BW135" s="194"/>
      <c r="BX135" s="194"/>
      <c r="BY135" s="194"/>
      <c r="BZ135" s="194"/>
      <c r="CA135" s="194"/>
      <c r="CB135" s="194"/>
      <c r="CC135" s="194"/>
      <c r="CD135" s="194"/>
      <c r="CE135" s="194"/>
      <c r="CF135" s="194"/>
      <c r="CG135" s="194"/>
      <c r="CH135" s="194"/>
      <c r="CI135" s="194"/>
      <c r="CJ135" s="194"/>
      <c r="CK135" s="194"/>
      <c r="CL135" s="194"/>
      <c r="CM135" s="194"/>
      <c r="CN135" s="194"/>
      <c r="CO135" s="194"/>
      <c r="CP135" s="194"/>
      <c r="CQ135" s="194"/>
      <c r="CR135" s="194"/>
      <c r="CS135" s="194"/>
      <c r="CT135" s="194"/>
      <c r="CU135" s="194"/>
      <c r="CV135" s="194"/>
    </row>
    <row r="136" spans="1:100" x14ac:dyDescent="0.2">
      <c r="A136" s="212"/>
      <c r="B136" s="212"/>
      <c r="C136" s="199"/>
      <c r="D136" s="199"/>
      <c r="E136" s="185"/>
      <c r="F136" s="199"/>
      <c r="G136" s="199"/>
      <c r="H136" s="199"/>
      <c r="I136" s="199"/>
      <c r="J136"/>
      <c r="K136"/>
      <c r="L136" s="199"/>
      <c r="M136" s="199"/>
      <c r="N136" s="199"/>
      <c r="O136" s="185"/>
      <c r="P136" s="185"/>
      <c r="Q136" s="199"/>
      <c r="R136" s="199"/>
      <c r="W136" s="199"/>
      <c r="X136" s="199"/>
      <c r="Y136" s="199"/>
      <c r="Z136" s="199"/>
      <c r="AA136" s="199"/>
      <c r="AB136" s="199"/>
      <c r="AC136" s="199"/>
      <c r="AD136" s="199"/>
      <c r="AL136" s="199"/>
      <c r="AM136" s="199"/>
      <c r="AN136" s="199"/>
      <c r="AO136" s="199"/>
      <c r="AP136" s="199"/>
      <c r="AQ136" s="199"/>
      <c r="AR136" s="199"/>
      <c r="AS136" s="199"/>
      <c r="AV136" s="199"/>
      <c r="AW136" s="199"/>
      <c r="AX136" s="199"/>
      <c r="AY136" s="199"/>
      <c r="AZ136" s="199"/>
      <c r="BD136" s="199"/>
      <c r="BF136" s="199"/>
    </row>
    <row r="137" spans="1:100" x14ac:dyDescent="0.2">
      <c r="A137" s="212"/>
      <c r="B137" s="212"/>
      <c r="C137" s="199"/>
      <c r="D137" s="199"/>
      <c r="E137" s="185"/>
      <c r="F137" s="199"/>
      <c r="G137" s="199"/>
      <c r="H137" s="199"/>
      <c r="I137" s="199"/>
      <c r="J137"/>
      <c r="K137"/>
      <c r="L137" s="199"/>
      <c r="M137" s="199"/>
      <c r="N137" s="199"/>
      <c r="O137" s="185"/>
      <c r="P137" s="185"/>
      <c r="Q137" s="199"/>
      <c r="R137" s="199"/>
      <c r="W137" s="199"/>
      <c r="X137" s="199"/>
      <c r="Y137" s="199"/>
      <c r="Z137" s="199"/>
      <c r="AA137" s="199"/>
      <c r="AB137" s="199"/>
      <c r="AC137" s="199"/>
      <c r="AD137" s="199"/>
      <c r="AL137" s="199"/>
      <c r="AM137" s="199"/>
      <c r="AN137" s="199"/>
      <c r="AO137" s="199"/>
      <c r="AP137" s="199"/>
      <c r="AQ137" s="199"/>
      <c r="AR137" s="199"/>
      <c r="AS137" s="199"/>
      <c r="AV137" s="199"/>
      <c r="AW137" s="199"/>
      <c r="AX137" s="199"/>
      <c r="AY137" s="199"/>
      <c r="AZ137" s="199"/>
      <c r="BD137" s="199"/>
      <c r="BF137" s="199"/>
    </row>
    <row r="138" spans="1:100" x14ac:dyDescent="0.2">
      <c r="A138" s="212"/>
      <c r="B138" s="212"/>
      <c r="C138" s="199"/>
      <c r="D138" s="199"/>
      <c r="E138" s="185"/>
      <c r="F138" s="199"/>
      <c r="G138" s="199"/>
      <c r="H138" s="199"/>
      <c r="I138" s="199"/>
      <c r="J138"/>
      <c r="K138"/>
      <c r="L138" s="199"/>
      <c r="M138" s="199"/>
      <c r="N138" s="199"/>
      <c r="O138" s="185"/>
      <c r="P138" s="185"/>
      <c r="Q138" s="199"/>
      <c r="R138" s="199"/>
      <c r="W138" s="199"/>
      <c r="X138" s="199"/>
      <c r="Y138" s="199"/>
      <c r="Z138" s="199"/>
      <c r="AA138" s="199"/>
      <c r="AB138" s="199"/>
      <c r="AC138" s="199"/>
      <c r="AD138" s="199"/>
      <c r="AL138" s="199"/>
      <c r="AM138" s="199"/>
      <c r="AN138" s="199"/>
      <c r="AO138" s="199"/>
      <c r="AP138" s="199"/>
      <c r="AQ138" s="199"/>
      <c r="AR138" s="199"/>
      <c r="AS138" s="199"/>
      <c r="AV138" s="199"/>
      <c r="AW138" s="199"/>
      <c r="AX138" s="199"/>
      <c r="AY138" s="199"/>
      <c r="AZ138" s="199"/>
      <c r="BD138" s="199"/>
      <c r="BF138" s="199"/>
    </row>
    <row r="139" spans="1:100" x14ac:dyDescent="0.2">
      <c r="A139" s="212"/>
      <c r="B139" s="212"/>
      <c r="C139" s="199"/>
      <c r="D139" s="199"/>
      <c r="E139" s="185"/>
      <c r="F139" s="199"/>
      <c r="G139" s="199"/>
      <c r="H139" s="199"/>
      <c r="I139" s="199"/>
      <c r="J139"/>
      <c r="K139"/>
      <c r="L139" s="199"/>
      <c r="M139" s="199"/>
      <c r="N139" s="199"/>
      <c r="O139" s="185"/>
      <c r="P139" s="185"/>
      <c r="Q139" s="199"/>
      <c r="R139" s="199"/>
      <c r="W139" s="199"/>
      <c r="X139" s="199"/>
      <c r="Y139" s="199"/>
      <c r="Z139" s="199"/>
      <c r="AA139" s="199"/>
      <c r="AB139" s="199"/>
      <c r="AC139" s="199"/>
      <c r="AD139" s="199"/>
      <c r="AL139" s="199"/>
      <c r="AM139" s="199"/>
      <c r="AN139" s="199"/>
      <c r="AO139" s="199"/>
      <c r="AP139" s="199"/>
      <c r="AQ139" s="199"/>
      <c r="AR139" s="199"/>
      <c r="AS139" s="199"/>
      <c r="AV139" s="199"/>
      <c r="AW139" s="199"/>
      <c r="AX139" s="199"/>
      <c r="AY139" s="199"/>
      <c r="AZ139" s="199"/>
      <c r="BD139" s="199"/>
      <c r="BF139" s="199"/>
    </row>
    <row r="140" spans="1:100" x14ac:dyDescent="0.2">
      <c r="A140" s="212"/>
      <c r="B140" s="212"/>
      <c r="C140" s="199"/>
      <c r="D140" s="199"/>
      <c r="E140" s="185"/>
      <c r="F140" s="199"/>
      <c r="G140" s="199"/>
      <c r="H140" s="199"/>
      <c r="I140" s="199"/>
      <c r="J140" s="199"/>
      <c r="K140" s="199"/>
      <c r="L140" s="199"/>
      <c r="M140" s="199"/>
      <c r="N140" s="199"/>
      <c r="O140" s="185"/>
      <c r="P140" s="185"/>
      <c r="Q140" s="199"/>
      <c r="R140" s="199"/>
      <c r="W140" s="199"/>
      <c r="X140" s="199"/>
      <c r="Y140" s="199"/>
      <c r="Z140" s="199"/>
      <c r="AA140" s="199"/>
      <c r="AB140" s="199"/>
      <c r="AC140" s="199"/>
      <c r="AD140" s="199"/>
      <c r="AL140" s="199"/>
      <c r="AM140" s="199"/>
      <c r="AN140" s="199"/>
      <c r="AO140" s="199"/>
      <c r="AP140" s="199"/>
      <c r="AQ140" s="199"/>
      <c r="AR140" s="199"/>
      <c r="AS140" s="199"/>
      <c r="AV140" s="199"/>
      <c r="AW140" s="199"/>
      <c r="AX140" s="199"/>
      <c r="AY140" s="199"/>
      <c r="AZ140" s="199"/>
      <c r="BA140" s="199"/>
      <c r="BB140" s="199"/>
      <c r="BD140" s="199"/>
      <c r="BF140" s="199"/>
      <c r="BG140" s="194"/>
      <c r="BJ140" s="194"/>
      <c r="BK140" s="194"/>
      <c r="BL140" s="194"/>
      <c r="BM140" s="194"/>
      <c r="BN140" s="194"/>
      <c r="BO140" s="194"/>
      <c r="BP140" s="194"/>
      <c r="BQ140" s="194"/>
      <c r="BR140" s="194"/>
      <c r="BS140" s="194"/>
      <c r="BT140" s="194"/>
      <c r="BU140" s="194"/>
      <c r="BV140" s="194"/>
      <c r="BW140" s="194"/>
      <c r="BX140" s="194"/>
      <c r="BY140" s="194"/>
      <c r="BZ140" s="194"/>
      <c r="CA140" s="194"/>
      <c r="CB140" s="194"/>
      <c r="CC140" s="194"/>
      <c r="CD140" s="194"/>
      <c r="CE140" s="194"/>
      <c r="CF140" s="194"/>
      <c r="CG140" s="194"/>
      <c r="CH140" s="194"/>
      <c r="CI140" s="194"/>
      <c r="CJ140" s="194"/>
      <c r="CK140" s="194"/>
      <c r="CL140" s="194"/>
      <c r="CM140" s="194"/>
      <c r="CN140" s="194"/>
      <c r="CO140" s="194"/>
      <c r="CP140" s="194"/>
      <c r="CQ140" s="194"/>
      <c r="CR140" s="194"/>
      <c r="CS140" s="194"/>
      <c r="CT140" s="194"/>
      <c r="CU140" s="194"/>
      <c r="CV140" s="194"/>
    </row>
    <row r="141" spans="1:100" x14ac:dyDescent="0.2">
      <c r="A141" s="212"/>
      <c r="B141" s="212"/>
      <c r="C141" s="199"/>
      <c r="D141" s="199"/>
      <c r="E141" s="185"/>
      <c r="F141" s="199"/>
      <c r="G141" s="199"/>
      <c r="H141" s="199"/>
      <c r="I141" s="199"/>
      <c r="J141" s="199"/>
      <c r="K141" s="199"/>
      <c r="L141" s="199"/>
      <c r="M141" s="199"/>
      <c r="N141" s="199"/>
      <c r="O141" s="185"/>
      <c r="P141" s="185"/>
      <c r="Q141" s="199"/>
      <c r="R141" s="199"/>
      <c r="W141" s="199"/>
      <c r="X141" s="199"/>
      <c r="Y141" s="199"/>
      <c r="Z141" s="199"/>
      <c r="AA141" s="199"/>
      <c r="AB141" s="199"/>
      <c r="AC141" s="199"/>
      <c r="AD141" s="199"/>
      <c r="AL141" s="199"/>
      <c r="AM141" s="199"/>
      <c r="AN141" s="199"/>
      <c r="AO141" s="199"/>
      <c r="AP141" s="199"/>
      <c r="AQ141" s="199"/>
      <c r="AR141" s="199"/>
      <c r="AS141" s="199"/>
      <c r="AV141" s="199"/>
      <c r="AW141" s="199"/>
      <c r="AX141" s="199"/>
      <c r="AY141" s="199"/>
      <c r="AZ141" s="199"/>
      <c r="BA141" s="199"/>
      <c r="BB141" s="199"/>
      <c r="BD141" s="199"/>
      <c r="BF141" s="199"/>
      <c r="BG141" s="194"/>
      <c r="BJ141" s="194"/>
      <c r="BK141" s="194"/>
      <c r="BL141" s="194"/>
      <c r="BM141" s="194"/>
      <c r="BN141" s="194"/>
      <c r="BO141" s="194"/>
      <c r="BP141" s="194"/>
      <c r="BQ141" s="194"/>
      <c r="BR141" s="194"/>
      <c r="BS141" s="194"/>
      <c r="BT141" s="194"/>
      <c r="BU141" s="194"/>
      <c r="BV141" s="194"/>
      <c r="BW141" s="194"/>
      <c r="BX141" s="194"/>
      <c r="BY141" s="194"/>
      <c r="BZ141" s="194"/>
      <c r="CA141" s="194"/>
      <c r="CB141" s="194"/>
      <c r="CC141" s="194"/>
      <c r="CD141" s="194"/>
      <c r="CE141" s="194"/>
      <c r="CF141" s="194"/>
      <c r="CG141" s="194"/>
      <c r="CH141" s="194"/>
      <c r="CI141" s="194"/>
      <c r="CJ141" s="194"/>
      <c r="CK141" s="194"/>
      <c r="CL141" s="194"/>
      <c r="CM141" s="194"/>
      <c r="CN141" s="194"/>
      <c r="CO141" s="194"/>
      <c r="CP141" s="194"/>
      <c r="CQ141" s="194"/>
      <c r="CR141" s="194"/>
      <c r="CS141" s="194"/>
      <c r="CT141" s="194"/>
      <c r="CU141" s="194"/>
      <c r="CV141" s="194"/>
    </row>
    <row r="142" spans="1:100" x14ac:dyDescent="0.2">
      <c r="A142" s="212"/>
      <c r="B142" s="212"/>
      <c r="C142" s="199"/>
      <c r="D142" s="199"/>
      <c r="E142" s="185"/>
      <c r="F142" s="199"/>
      <c r="G142" s="199"/>
      <c r="H142" s="199"/>
      <c r="I142" s="199"/>
      <c r="J142"/>
      <c r="K142"/>
      <c r="L142" s="199"/>
      <c r="M142" s="199"/>
      <c r="N142" s="199"/>
      <c r="O142" s="185"/>
      <c r="P142" s="185"/>
      <c r="Q142" s="199"/>
      <c r="R142" s="199"/>
      <c r="W142" s="199"/>
      <c r="X142" s="199"/>
      <c r="Y142" s="199"/>
      <c r="Z142" s="199"/>
      <c r="AA142" s="199"/>
      <c r="AB142" s="199"/>
      <c r="AC142" s="199"/>
      <c r="AD142" s="199"/>
      <c r="AL142" s="199"/>
      <c r="AM142" s="199"/>
      <c r="AN142" s="199"/>
      <c r="AO142" s="199"/>
      <c r="AP142" s="199"/>
      <c r="AQ142" s="199"/>
      <c r="AR142" s="199"/>
      <c r="AS142" s="199"/>
      <c r="AV142" s="199"/>
      <c r="AW142" s="199"/>
      <c r="AX142" s="199"/>
      <c r="AY142" s="199"/>
      <c r="AZ142" s="199"/>
      <c r="BD142" s="199"/>
      <c r="BF142" s="199"/>
    </row>
    <row r="143" spans="1:100" x14ac:dyDescent="0.2">
      <c r="A143" s="212"/>
      <c r="B143" s="212"/>
      <c r="C143" s="199"/>
      <c r="D143" s="199"/>
      <c r="E143" s="185"/>
      <c r="F143" s="199"/>
      <c r="G143" s="199"/>
      <c r="H143" s="199"/>
      <c r="I143" s="199"/>
      <c r="J143"/>
      <c r="K143"/>
      <c r="L143" s="199"/>
      <c r="M143" s="199"/>
      <c r="N143" s="199"/>
      <c r="O143" s="185"/>
      <c r="P143" s="185"/>
      <c r="Q143" s="199"/>
      <c r="R143" s="199"/>
      <c r="W143" s="199"/>
      <c r="X143" s="199"/>
      <c r="Y143" s="199"/>
      <c r="Z143" s="199"/>
      <c r="AA143" s="199"/>
      <c r="AB143" s="199"/>
      <c r="AC143" s="199"/>
      <c r="AD143" s="199"/>
      <c r="AL143" s="199"/>
      <c r="AM143" s="199"/>
      <c r="AN143" s="199"/>
      <c r="AO143" s="199"/>
      <c r="AP143" s="199"/>
      <c r="AQ143" s="199"/>
      <c r="AR143" s="199"/>
      <c r="AS143" s="199"/>
      <c r="AV143" s="199"/>
      <c r="AW143" s="199"/>
      <c r="AX143" s="199"/>
      <c r="AY143" s="199"/>
      <c r="AZ143" s="199"/>
      <c r="BD143" s="199"/>
      <c r="BF143" s="199"/>
    </row>
    <row r="144" spans="1:100" x14ac:dyDescent="0.2">
      <c r="A144" s="212"/>
      <c r="B144" s="212"/>
      <c r="C144" s="199"/>
      <c r="D144" s="199"/>
      <c r="E144" s="185"/>
      <c r="F144" s="199"/>
      <c r="G144" s="199"/>
      <c r="H144" s="199"/>
      <c r="I144" s="199"/>
      <c r="J144" s="199"/>
      <c r="K144" s="199"/>
      <c r="L144" s="199"/>
      <c r="M144" s="199"/>
      <c r="N144" s="199"/>
      <c r="O144" s="185"/>
      <c r="P144" s="185"/>
      <c r="Q144" s="199"/>
      <c r="R144" s="199"/>
      <c r="W144" s="199"/>
      <c r="X144" s="199"/>
      <c r="Y144" s="199"/>
      <c r="Z144" s="199"/>
      <c r="AA144" s="199"/>
      <c r="AB144" s="199"/>
      <c r="AC144" s="199"/>
      <c r="AD144" s="199"/>
      <c r="AL144" s="199"/>
      <c r="AM144" s="199"/>
      <c r="AN144" s="199"/>
      <c r="AO144" s="199"/>
      <c r="AP144" s="199"/>
      <c r="AQ144" s="199"/>
      <c r="AR144" s="199"/>
      <c r="AS144" s="199"/>
      <c r="AV144" s="199"/>
      <c r="AW144" s="199"/>
      <c r="AX144" s="199"/>
      <c r="AY144" s="199"/>
      <c r="AZ144" s="199"/>
      <c r="BA144" s="199"/>
      <c r="BB144" s="199"/>
      <c r="BD144" s="199"/>
      <c r="BF144" s="199"/>
      <c r="BG144" s="194"/>
      <c r="BJ144" s="194"/>
      <c r="BK144" s="194"/>
      <c r="BL144" s="194"/>
      <c r="BM144" s="194"/>
      <c r="BN144" s="194"/>
      <c r="BO144" s="194"/>
      <c r="BP144" s="194"/>
      <c r="BQ144" s="194"/>
      <c r="BR144" s="194"/>
      <c r="BS144" s="194"/>
      <c r="BT144" s="194"/>
      <c r="BU144" s="194"/>
      <c r="BV144" s="194"/>
      <c r="BW144" s="194"/>
      <c r="BX144" s="194"/>
      <c r="BY144" s="194"/>
      <c r="BZ144" s="194"/>
      <c r="CA144" s="194"/>
      <c r="CB144" s="194"/>
      <c r="CC144" s="194"/>
      <c r="CD144" s="194"/>
      <c r="CE144" s="194"/>
      <c r="CF144" s="194"/>
      <c r="CG144" s="194"/>
      <c r="CH144" s="194"/>
      <c r="CI144" s="194"/>
      <c r="CJ144" s="194"/>
      <c r="CK144" s="194"/>
      <c r="CL144" s="194"/>
      <c r="CM144" s="194"/>
      <c r="CN144" s="194"/>
      <c r="CO144" s="194"/>
      <c r="CP144" s="194"/>
      <c r="CQ144" s="194"/>
      <c r="CR144" s="194"/>
      <c r="CS144" s="194"/>
      <c r="CT144" s="194"/>
      <c r="CU144" s="194"/>
      <c r="CV144" s="194"/>
    </row>
    <row r="145" spans="1:100" x14ac:dyDescent="0.2">
      <c r="A145" s="212"/>
      <c r="B145" s="212"/>
      <c r="C145" s="199"/>
      <c r="D145" s="199"/>
      <c r="E145" s="185"/>
      <c r="F145" s="199"/>
      <c r="G145" s="199"/>
      <c r="H145" s="199"/>
      <c r="I145" s="199"/>
      <c r="J145"/>
      <c r="K145"/>
      <c r="L145" s="199"/>
      <c r="M145" s="199"/>
      <c r="N145" s="199"/>
      <c r="O145" s="185"/>
      <c r="P145" s="185"/>
      <c r="Q145" s="199"/>
      <c r="R145" s="199"/>
      <c r="W145" s="199"/>
      <c r="X145" s="199"/>
      <c r="Y145" s="199"/>
      <c r="Z145" s="199"/>
      <c r="AA145" s="199"/>
      <c r="AB145" s="199"/>
      <c r="AC145" s="199"/>
      <c r="AD145" s="199"/>
      <c r="AL145" s="199"/>
      <c r="AM145" s="199"/>
      <c r="AN145" s="199"/>
      <c r="AO145" s="199"/>
      <c r="AP145" s="199"/>
      <c r="AQ145" s="199"/>
      <c r="AR145" s="199"/>
      <c r="AS145" s="199"/>
      <c r="AV145" s="199"/>
      <c r="AW145" s="199"/>
      <c r="AX145" s="199"/>
      <c r="AY145" s="199"/>
      <c r="AZ145" s="199"/>
      <c r="BD145" s="199"/>
      <c r="BF145" s="199"/>
    </row>
    <row r="146" spans="1:100" x14ac:dyDescent="0.2">
      <c r="A146" s="212"/>
      <c r="B146" s="212"/>
      <c r="C146" s="199"/>
      <c r="D146" s="199"/>
      <c r="E146" s="185"/>
      <c r="F146" s="199"/>
      <c r="G146" s="199"/>
      <c r="H146" s="199"/>
      <c r="I146" s="199"/>
      <c r="J146" s="199"/>
      <c r="K146" s="199"/>
      <c r="L146" s="199"/>
      <c r="M146" s="199"/>
      <c r="N146" s="199"/>
      <c r="O146" s="185"/>
      <c r="P146" s="185"/>
      <c r="Q146" s="199"/>
      <c r="R146" s="199"/>
      <c r="W146" s="199"/>
      <c r="X146" s="199"/>
      <c r="Y146" s="199"/>
      <c r="Z146" s="199"/>
      <c r="AA146" s="199"/>
      <c r="AB146" s="199"/>
      <c r="AC146" s="199"/>
      <c r="AD146" s="199"/>
      <c r="AL146" s="199"/>
      <c r="AM146" s="199"/>
      <c r="AN146" s="199"/>
      <c r="AO146" s="199"/>
      <c r="AP146" s="199"/>
      <c r="AQ146" s="199"/>
      <c r="AR146" s="199"/>
      <c r="AS146" s="199"/>
      <c r="AV146" s="199"/>
      <c r="AW146" s="199"/>
      <c r="AX146" s="199"/>
      <c r="AY146" s="199"/>
      <c r="AZ146" s="199"/>
      <c r="BA146" s="199"/>
      <c r="BB146" s="199"/>
      <c r="BD146" s="199"/>
      <c r="BF146" s="199"/>
      <c r="BG146" s="194"/>
      <c r="BJ146" s="194"/>
      <c r="BK146" s="194"/>
      <c r="BL146" s="194"/>
      <c r="BM146" s="194"/>
      <c r="BN146" s="194"/>
      <c r="BO146" s="194"/>
      <c r="BP146" s="194"/>
      <c r="BQ146" s="194"/>
      <c r="BR146" s="194"/>
      <c r="BS146" s="194"/>
      <c r="BT146" s="194"/>
      <c r="BU146" s="194"/>
      <c r="BV146" s="194"/>
      <c r="BW146" s="194"/>
      <c r="BX146" s="194"/>
      <c r="BY146" s="194"/>
      <c r="BZ146" s="194"/>
      <c r="CA146" s="194"/>
      <c r="CB146" s="194"/>
      <c r="CC146" s="194"/>
      <c r="CD146" s="194"/>
      <c r="CE146" s="194"/>
      <c r="CF146" s="194"/>
      <c r="CG146" s="194"/>
      <c r="CH146" s="194"/>
      <c r="CI146" s="194"/>
      <c r="CJ146" s="194"/>
      <c r="CK146" s="194"/>
      <c r="CL146" s="194"/>
      <c r="CM146" s="194"/>
      <c r="CN146" s="194"/>
      <c r="CO146" s="194"/>
      <c r="CP146" s="194"/>
      <c r="CQ146" s="194"/>
      <c r="CR146" s="194"/>
      <c r="CS146" s="194"/>
      <c r="CT146" s="194"/>
      <c r="CU146" s="194"/>
      <c r="CV146" s="194"/>
    </row>
    <row r="147" spans="1:100" x14ac:dyDescent="0.2">
      <c r="A147" s="212"/>
      <c r="B147" s="212"/>
      <c r="C147" s="199"/>
      <c r="D147" s="199"/>
      <c r="E147" s="185"/>
      <c r="F147" s="199"/>
      <c r="G147" s="199"/>
      <c r="H147" s="199"/>
      <c r="I147" s="199"/>
      <c r="J147" s="199"/>
      <c r="K147" s="199"/>
      <c r="L147" s="199"/>
      <c r="M147" s="199"/>
      <c r="N147" s="199"/>
      <c r="O147" s="185"/>
      <c r="P147" s="185"/>
      <c r="Q147" s="199"/>
      <c r="R147" s="199"/>
      <c r="W147" s="199"/>
      <c r="X147" s="199"/>
      <c r="Y147" s="199"/>
      <c r="Z147" s="199"/>
      <c r="AA147" s="199"/>
      <c r="AB147" s="199"/>
      <c r="AC147" s="199"/>
      <c r="AD147" s="199"/>
      <c r="AL147" s="199"/>
      <c r="AM147" s="199"/>
      <c r="AN147" s="199"/>
      <c r="AO147" s="199"/>
      <c r="AP147" s="199"/>
      <c r="AQ147" s="199"/>
      <c r="AR147" s="199"/>
      <c r="AS147" s="199"/>
      <c r="AV147" s="199"/>
      <c r="AW147" s="199"/>
      <c r="AX147" s="199"/>
      <c r="AY147" s="199"/>
      <c r="AZ147" s="199"/>
      <c r="BA147" s="199"/>
      <c r="BB147" s="199"/>
      <c r="BD147" s="199"/>
      <c r="BF147" s="199"/>
      <c r="BG147" s="194"/>
      <c r="BJ147" s="194"/>
      <c r="BK147" s="194"/>
      <c r="BL147" s="194"/>
      <c r="BM147" s="194"/>
      <c r="BN147" s="194"/>
      <c r="BO147" s="194"/>
      <c r="BP147" s="194"/>
      <c r="BQ147" s="194"/>
      <c r="BR147" s="194"/>
      <c r="BS147" s="194"/>
      <c r="BT147" s="194"/>
      <c r="BU147" s="194"/>
      <c r="BV147" s="194"/>
      <c r="BW147" s="194"/>
      <c r="BX147" s="194"/>
      <c r="BY147" s="194"/>
      <c r="BZ147" s="194"/>
      <c r="CA147" s="194"/>
      <c r="CB147" s="194"/>
      <c r="CC147" s="194"/>
      <c r="CD147" s="194"/>
      <c r="CE147" s="194"/>
      <c r="CF147" s="194"/>
      <c r="CG147" s="194"/>
      <c r="CH147" s="194"/>
      <c r="CI147" s="194"/>
      <c r="CJ147" s="194"/>
      <c r="CK147" s="194"/>
      <c r="CL147" s="194"/>
      <c r="CM147" s="194"/>
      <c r="CN147" s="194"/>
      <c r="CO147" s="194"/>
      <c r="CP147" s="194"/>
      <c r="CQ147" s="194"/>
      <c r="CR147" s="194"/>
      <c r="CS147" s="194"/>
      <c r="CT147" s="194"/>
      <c r="CU147" s="194"/>
      <c r="CV147" s="194"/>
    </row>
    <row r="148" spans="1:100" x14ac:dyDescent="0.2">
      <c r="A148" s="212"/>
      <c r="B148" s="212"/>
      <c r="C148" s="199"/>
      <c r="D148" s="199"/>
      <c r="E148" s="185"/>
      <c r="F148" s="199"/>
      <c r="G148" s="199"/>
      <c r="H148" s="199"/>
      <c r="I148" s="199"/>
      <c r="J148" s="199"/>
      <c r="K148" s="199"/>
      <c r="L148" s="199"/>
      <c r="M148" s="199"/>
      <c r="N148" s="199"/>
      <c r="O148" s="185"/>
      <c r="P148" s="185"/>
      <c r="Q148" s="199"/>
      <c r="R148" s="199"/>
      <c r="W148" s="199"/>
      <c r="X148" s="199"/>
      <c r="Y148" s="199"/>
      <c r="Z148" s="199"/>
      <c r="AA148" s="199"/>
      <c r="AB148" s="199"/>
      <c r="AC148" s="199"/>
      <c r="AD148" s="199"/>
      <c r="AL148" s="199"/>
      <c r="AM148" s="199"/>
      <c r="AN148" s="199"/>
      <c r="AO148" s="199"/>
      <c r="AP148" s="199"/>
      <c r="AQ148" s="199"/>
      <c r="AR148" s="199"/>
      <c r="AS148" s="199"/>
      <c r="AV148" s="199"/>
      <c r="AW148" s="199"/>
      <c r="AX148" s="199"/>
      <c r="AY148" s="199"/>
      <c r="AZ148" s="199"/>
      <c r="BA148" s="199"/>
      <c r="BB148" s="199"/>
      <c r="BD148" s="199"/>
      <c r="BF148" s="199"/>
      <c r="BG148" s="194"/>
      <c r="BJ148" s="194"/>
      <c r="BK148" s="194"/>
      <c r="BL148" s="194"/>
      <c r="BM148" s="194"/>
      <c r="BN148" s="194"/>
      <c r="BO148" s="194"/>
      <c r="BP148" s="194"/>
      <c r="BQ148" s="194"/>
      <c r="BR148" s="194"/>
      <c r="BS148" s="194"/>
      <c r="BT148" s="194"/>
      <c r="BU148" s="194"/>
      <c r="BV148" s="194"/>
      <c r="BW148" s="194"/>
      <c r="BX148" s="194"/>
      <c r="BY148" s="194"/>
      <c r="BZ148" s="194"/>
      <c r="CA148" s="194"/>
      <c r="CB148" s="194"/>
      <c r="CC148" s="194"/>
      <c r="CD148" s="194"/>
      <c r="CE148" s="194"/>
      <c r="CF148" s="194"/>
      <c r="CG148" s="194"/>
      <c r="CH148" s="194"/>
      <c r="CI148" s="194"/>
      <c r="CJ148" s="194"/>
      <c r="CK148" s="194"/>
      <c r="CL148" s="194"/>
      <c r="CM148" s="194"/>
      <c r="CN148" s="194"/>
      <c r="CO148" s="194"/>
      <c r="CP148" s="194"/>
      <c r="CQ148" s="194"/>
      <c r="CR148" s="194"/>
      <c r="CS148" s="194"/>
      <c r="CT148" s="194"/>
      <c r="CU148" s="194"/>
      <c r="CV148" s="194"/>
    </row>
    <row r="149" spans="1:100" x14ac:dyDescent="0.2">
      <c r="A149" s="212"/>
      <c r="B149" s="212"/>
      <c r="C149" s="199"/>
      <c r="D149" s="199"/>
      <c r="E149" s="185"/>
      <c r="F149" s="199"/>
      <c r="G149" s="199"/>
      <c r="H149" s="199"/>
      <c r="I149" s="199"/>
      <c r="J149" s="199"/>
      <c r="K149" s="199"/>
      <c r="L149" s="199"/>
      <c r="M149" s="199"/>
      <c r="N149" s="199"/>
      <c r="O149" s="185"/>
      <c r="P149" s="185"/>
      <c r="Q149" s="199"/>
      <c r="R149" s="199"/>
      <c r="W149" s="199"/>
      <c r="X149" s="199"/>
      <c r="Y149" s="199"/>
      <c r="Z149" s="199"/>
      <c r="AA149" s="199"/>
      <c r="AB149" s="199"/>
      <c r="AC149" s="199"/>
      <c r="AD149" s="199"/>
      <c r="AL149" s="199"/>
      <c r="AM149" s="199"/>
      <c r="AN149" s="199"/>
      <c r="AO149" s="199"/>
      <c r="AP149" s="199"/>
      <c r="AQ149" s="199"/>
      <c r="AR149" s="199"/>
      <c r="AS149" s="199"/>
      <c r="AV149" s="199"/>
      <c r="AW149" s="199"/>
      <c r="AX149" s="199"/>
      <c r="AY149" s="199"/>
      <c r="AZ149" s="199"/>
      <c r="BA149" s="199"/>
      <c r="BB149" s="199"/>
      <c r="BD149" s="199"/>
      <c r="BF149" s="199"/>
      <c r="BG149" s="194"/>
      <c r="BH149" s="194"/>
      <c r="BJ149" s="194"/>
      <c r="BK149" s="194"/>
      <c r="BL149" s="194"/>
      <c r="BM149" s="194"/>
      <c r="BN149" s="194"/>
      <c r="BO149" s="194"/>
      <c r="BP149" s="194"/>
      <c r="BQ149" s="194"/>
      <c r="BR149" s="194"/>
      <c r="BS149" s="194"/>
      <c r="BT149" s="194"/>
      <c r="BU149" s="194"/>
      <c r="BV149" s="194"/>
      <c r="BW149" s="194"/>
      <c r="BX149" s="194"/>
      <c r="BY149" s="194"/>
      <c r="BZ149" s="194"/>
      <c r="CA149" s="194"/>
      <c r="CB149" s="194"/>
      <c r="CC149" s="194"/>
      <c r="CD149" s="194"/>
      <c r="CE149" s="194"/>
      <c r="CF149" s="194"/>
      <c r="CG149" s="194"/>
      <c r="CH149" s="194"/>
      <c r="CI149" s="194"/>
      <c r="CJ149" s="194"/>
      <c r="CK149" s="194"/>
      <c r="CL149" s="194"/>
      <c r="CM149" s="194"/>
      <c r="CN149" s="194"/>
      <c r="CO149" s="194"/>
      <c r="CP149" s="194"/>
      <c r="CQ149" s="194"/>
      <c r="CR149" s="194"/>
      <c r="CS149" s="194"/>
      <c r="CT149" s="194"/>
      <c r="CU149" s="194"/>
      <c r="CV149" s="194"/>
    </row>
    <row r="150" spans="1:100" x14ac:dyDescent="0.2">
      <c r="A150" s="212"/>
      <c r="B150" s="212"/>
      <c r="C150" s="199"/>
      <c r="D150" s="199"/>
      <c r="E150" s="185"/>
      <c r="F150" s="199"/>
      <c r="G150" s="199"/>
      <c r="H150" s="199"/>
      <c r="I150" s="199"/>
      <c r="J150"/>
      <c r="K150"/>
      <c r="L150" s="199"/>
      <c r="M150" s="199"/>
      <c r="N150" s="199"/>
      <c r="O150" s="185"/>
      <c r="P150" s="185"/>
      <c r="Q150" s="199"/>
      <c r="R150" s="199"/>
      <c r="W150" s="199"/>
      <c r="X150" s="199"/>
      <c r="Y150" s="199"/>
      <c r="Z150" s="199"/>
      <c r="AA150" s="199"/>
      <c r="AB150" s="199"/>
      <c r="AC150" s="199"/>
      <c r="AD150" s="199"/>
      <c r="AL150" s="199"/>
      <c r="AM150" s="199"/>
      <c r="AN150" s="199"/>
      <c r="AO150" s="199"/>
      <c r="AP150" s="199"/>
      <c r="AQ150" s="199"/>
      <c r="AR150" s="199"/>
      <c r="AS150" s="199"/>
      <c r="AV150" s="199"/>
      <c r="AW150" s="199"/>
      <c r="AX150" s="199"/>
      <c r="AY150" s="199"/>
      <c r="AZ150" s="199"/>
      <c r="BD150" s="199"/>
      <c r="BF150" s="199"/>
    </row>
    <row r="151" spans="1:100" x14ac:dyDescent="0.2">
      <c r="A151" s="212"/>
      <c r="B151" s="212"/>
      <c r="C151" s="199"/>
      <c r="D151" s="199"/>
      <c r="E151" s="185"/>
      <c r="F151" s="199"/>
      <c r="G151" s="199"/>
      <c r="H151" s="199"/>
      <c r="I151" s="199"/>
      <c r="J151"/>
      <c r="K151"/>
      <c r="L151" s="199"/>
      <c r="M151" s="199"/>
      <c r="N151" s="199"/>
      <c r="O151" s="185"/>
      <c r="P151" s="185"/>
      <c r="Q151" s="199"/>
      <c r="R151" s="199"/>
      <c r="W151" s="199"/>
      <c r="X151" s="199"/>
      <c r="Y151" s="199"/>
      <c r="Z151" s="199"/>
      <c r="AA151" s="199"/>
      <c r="AB151" s="199"/>
      <c r="AC151" s="199"/>
      <c r="AD151" s="199"/>
      <c r="AL151" s="199"/>
      <c r="AM151" s="199"/>
      <c r="AN151" s="199"/>
      <c r="AO151" s="199"/>
      <c r="AP151" s="199"/>
      <c r="AQ151" s="199"/>
      <c r="AR151" s="199"/>
      <c r="AS151" s="199"/>
      <c r="AV151" s="199"/>
      <c r="AW151" s="199"/>
      <c r="AX151" s="199"/>
      <c r="AY151" s="199"/>
      <c r="AZ151" s="199"/>
      <c r="BD151" s="199"/>
      <c r="BF151" s="199"/>
    </row>
    <row r="152" spans="1:100" x14ac:dyDescent="0.2">
      <c r="A152" s="212"/>
      <c r="B152" s="212"/>
      <c r="C152" s="199"/>
      <c r="D152" s="199"/>
      <c r="E152" s="185"/>
      <c r="F152" s="199"/>
      <c r="G152" s="199"/>
      <c r="H152" s="199"/>
      <c r="I152" s="199"/>
      <c r="J152"/>
      <c r="K152"/>
      <c r="L152" s="199"/>
      <c r="M152" s="199"/>
      <c r="N152" s="199"/>
      <c r="O152" s="185"/>
      <c r="P152" s="185"/>
      <c r="Q152" s="199"/>
      <c r="R152" s="199"/>
      <c r="W152" s="199"/>
      <c r="X152" s="199"/>
      <c r="Y152" s="199"/>
      <c r="Z152" s="199"/>
      <c r="AA152" s="199"/>
      <c r="AB152" s="199"/>
      <c r="AC152" s="199"/>
      <c r="AD152" s="199"/>
      <c r="AL152" s="199"/>
      <c r="AM152" s="199"/>
      <c r="AN152" s="199"/>
      <c r="AO152" s="199"/>
      <c r="AP152" s="199"/>
      <c r="AQ152" s="199"/>
      <c r="AR152" s="199"/>
      <c r="AS152" s="199"/>
      <c r="AV152" s="199"/>
      <c r="AW152" s="199"/>
      <c r="AX152" s="199"/>
      <c r="AY152" s="199"/>
      <c r="AZ152" s="199"/>
      <c r="BD152" s="199"/>
      <c r="BF152" s="199"/>
    </row>
    <row r="153" spans="1:100" x14ac:dyDescent="0.2">
      <c r="A153" s="212"/>
      <c r="B153" s="212"/>
      <c r="C153" s="199"/>
      <c r="D153" s="199"/>
      <c r="E153" s="185"/>
      <c r="F153" s="199"/>
      <c r="G153" s="199"/>
      <c r="H153" s="199"/>
      <c r="I153" s="199"/>
      <c r="J153"/>
      <c r="K153"/>
      <c r="L153" s="199"/>
      <c r="M153" s="199"/>
      <c r="N153" s="199"/>
      <c r="O153" s="185"/>
      <c r="P153" s="185"/>
      <c r="Q153" s="199"/>
      <c r="R153" s="199"/>
      <c r="W153" s="199"/>
      <c r="X153" s="199"/>
      <c r="Y153" s="199"/>
      <c r="Z153" s="199"/>
      <c r="AA153" s="199"/>
      <c r="AB153" s="199"/>
      <c r="AC153" s="199"/>
      <c r="AD153" s="199"/>
      <c r="AL153" s="199"/>
      <c r="AM153" s="199"/>
      <c r="AN153" s="199"/>
      <c r="AO153" s="199"/>
      <c r="AP153" s="199"/>
      <c r="AQ153" s="199"/>
      <c r="AR153" s="199"/>
      <c r="AS153" s="199"/>
      <c r="AV153" s="199"/>
      <c r="AW153" s="199"/>
      <c r="AX153" s="199"/>
      <c r="AY153" s="199"/>
      <c r="AZ153" s="199"/>
      <c r="BD153" s="199"/>
      <c r="BF153" s="199"/>
    </row>
    <row r="154" spans="1:100" x14ac:dyDescent="0.2">
      <c r="A154" s="212"/>
      <c r="B154" s="212"/>
      <c r="C154" s="199"/>
      <c r="D154" s="199"/>
      <c r="E154" s="185"/>
      <c r="F154" s="199"/>
      <c r="G154" s="199"/>
      <c r="H154" s="199"/>
      <c r="I154" s="199"/>
      <c r="J154"/>
      <c r="K154"/>
      <c r="L154" s="199"/>
      <c r="M154" s="199"/>
      <c r="N154" s="199"/>
      <c r="O154" s="185"/>
      <c r="P154" s="185"/>
      <c r="Q154" s="199"/>
      <c r="R154" s="199"/>
      <c r="W154" s="199"/>
      <c r="X154" s="199"/>
      <c r="Y154" s="199"/>
      <c r="Z154" s="199"/>
      <c r="AA154" s="199"/>
      <c r="AB154" s="199"/>
      <c r="AC154" s="199"/>
      <c r="AD154" s="199"/>
      <c r="AL154" s="199"/>
      <c r="AM154" s="199"/>
      <c r="AN154" s="199"/>
      <c r="AO154" s="199"/>
      <c r="AP154" s="199"/>
      <c r="AQ154" s="199"/>
      <c r="AR154" s="199"/>
      <c r="AS154" s="199"/>
      <c r="AV154" s="199"/>
      <c r="AW154" s="199"/>
      <c r="AX154" s="199"/>
      <c r="AY154" s="199"/>
      <c r="AZ154" s="199"/>
      <c r="BD154" s="199"/>
      <c r="BF154" s="199"/>
    </row>
    <row r="155" spans="1:100" x14ac:dyDescent="0.2">
      <c r="A155" s="212"/>
      <c r="B155" s="212"/>
      <c r="C155" s="199"/>
      <c r="D155" s="199"/>
      <c r="E155" s="185"/>
      <c r="F155" s="199"/>
      <c r="G155" s="199"/>
      <c r="H155" s="199"/>
      <c r="I155" s="199"/>
      <c r="J155" s="199"/>
      <c r="K155" s="199"/>
      <c r="L155" s="199"/>
      <c r="M155" s="199"/>
      <c r="N155" s="199"/>
      <c r="O155" s="185"/>
      <c r="P155" s="185"/>
      <c r="Q155" s="199"/>
      <c r="R155" s="199"/>
      <c r="W155" s="199"/>
      <c r="X155" s="199"/>
      <c r="Y155" s="199"/>
      <c r="Z155" s="199"/>
      <c r="AA155" s="199"/>
      <c r="AB155" s="199"/>
      <c r="AC155" s="199"/>
      <c r="AD155" s="199"/>
      <c r="AL155" s="199"/>
      <c r="AM155" s="199"/>
      <c r="AN155" s="199"/>
      <c r="AO155" s="199"/>
      <c r="AP155" s="199"/>
      <c r="AQ155" s="199"/>
      <c r="AR155" s="199"/>
      <c r="AS155" s="199"/>
      <c r="AV155" s="199"/>
      <c r="AW155" s="199"/>
      <c r="AX155" s="199"/>
      <c r="AY155" s="199"/>
      <c r="AZ155" s="199"/>
      <c r="BA155" s="199"/>
      <c r="BB155" s="199"/>
      <c r="BD155" s="199"/>
      <c r="BF155" s="199"/>
      <c r="BG155" s="194"/>
      <c r="BJ155" s="194"/>
      <c r="BK155" s="194"/>
      <c r="BL155" s="194"/>
      <c r="BM155" s="194"/>
      <c r="BN155" s="194"/>
      <c r="BO155" s="194"/>
      <c r="BP155" s="194"/>
      <c r="BQ155" s="194"/>
      <c r="BR155" s="194"/>
      <c r="BS155" s="194"/>
      <c r="BT155" s="194"/>
      <c r="BU155" s="194"/>
      <c r="BV155" s="194"/>
      <c r="BW155" s="194"/>
      <c r="BX155" s="194"/>
      <c r="BY155" s="194"/>
      <c r="BZ155" s="194"/>
      <c r="CA155" s="194"/>
      <c r="CB155" s="194"/>
      <c r="CC155" s="194"/>
      <c r="CD155" s="194"/>
      <c r="CE155" s="194"/>
      <c r="CF155" s="194"/>
      <c r="CG155" s="194"/>
      <c r="CH155" s="194"/>
      <c r="CI155" s="194"/>
      <c r="CJ155" s="194"/>
      <c r="CK155" s="194"/>
      <c r="CL155" s="194"/>
      <c r="CM155" s="194"/>
      <c r="CN155" s="194"/>
      <c r="CO155" s="194"/>
      <c r="CP155" s="194"/>
      <c r="CQ155" s="194"/>
      <c r="CR155" s="194"/>
      <c r="CS155" s="194"/>
      <c r="CT155" s="194"/>
      <c r="CU155" s="194"/>
      <c r="CV155" s="194"/>
    </row>
    <row r="156" spans="1:100" x14ac:dyDescent="0.2">
      <c r="A156" s="212"/>
      <c r="B156" s="212"/>
      <c r="C156" s="199"/>
      <c r="D156" s="199"/>
      <c r="E156" s="185"/>
      <c r="F156" s="199"/>
      <c r="G156" s="199"/>
      <c r="H156" s="199"/>
      <c r="I156" s="199"/>
      <c r="J156" s="199"/>
      <c r="K156" s="199"/>
      <c r="L156" s="199"/>
      <c r="M156" s="199"/>
      <c r="N156" s="199"/>
      <c r="O156" s="185"/>
      <c r="P156" s="185"/>
      <c r="Q156" s="199"/>
      <c r="R156" s="199"/>
      <c r="W156" s="199"/>
      <c r="X156" s="199"/>
      <c r="Y156" s="199"/>
      <c r="Z156" s="199"/>
      <c r="AA156" s="199"/>
      <c r="AB156" s="199"/>
      <c r="AC156" s="199"/>
      <c r="AD156" s="199"/>
      <c r="AL156" s="199"/>
      <c r="AM156" s="199"/>
      <c r="AN156" s="199"/>
      <c r="AO156" s="199"/>
      <c r="AP156" s="199"/>
      <c r="AQ156" s="199"/>
      <c r="AR156" s="199"/>
      <c r="AS156" s="199"/>
      <c r="AV156" s="199"/>
      <c r="AW156" s="199"/>
      <c r="AX156" s="199"/>
      <c r="AY156" s="199"/>
      <c r="AZ156" s="199"/>
      <c r="BA156" s="199"/>
      <c r="BB156" s="199"/>
      <c r="BD156" s="199"/>
      <c r="BF156" s="199"/>
      <c r="BG156" s="194"/>
      <c r="BK156" s="194"/>
      <c r="BL156" s="194"/>
      <c r="BM156" s="194"/>
      <c r="BN156" s="194"/>
      <c r="BO156" s="194"/>
      <c r="BP156" s="194"/>
      <c r="BQ156" s="194"/>
      <c r="BR156" s="194"/>
      <c r="BS156" s="194"/>
      <c r="BT156" s="194"/>
      <c r="BU156" s="194"/>
      <c r="BV156" s="194"/>
      <c r="BW156" s="194"/>
      <c r="BX156" s="194"/>
      <c r="BY156" s="194"/>
      <c r="BZ156" s="194"/>
      <c r="CA156" s="194"/>
      <c r="CB156" s="194"/>
      <c r="CC156" s="194"/>
      <c r="CD156" s="194"/>
      <c r="CE156" s="194"/>
      <c r="CF156" s="194"/>
      <c r="CG156" s="194"/>
      <c r="CH156" s="194"/>
      <c r="CI156" s="194"/>
      <c r="CJ156" s="194"/>
      <c r="CK156" s="194"/>
      <c r="CL156" s="194"/>
      <c r="CM156" s="194"/>
      <c r="CN156" s="194"/>
      <c r="CP156" s="194"/>
      <c r="CQ156" s="194"/>
      <c r="CR156" s="194"/>
      <c r="CS156" s="194"/>
      <c r="CT156" s="194"/>
      <c r="CU156" s="194"/>
      <c r="CV156" s="194"/>
    </row>
    <row r="157" spans="1:100" x14ac:dyDescent="0.2">
      <c r="A157" s="212"/>
      <c r="B157" s="212"/>
      <c r="C157" s="199"/>
      <c r="D157" s="199"/>
      <c r="E157" s="185"/>
      <c r="F157" s="199"/>
      <c r="G157" s="199"/>
      <c r="H157" s="199"/>
      <c r="I157" s="199"/>
      <c r="J157"/>
      <c r="K157"/>
      <c r="L157" s="199"/>
      <c r="M157" s="199"/>
      <c r="N157" s="199"/>
      <c r="O157" s="185"/>
      <c r="P157" s="185"/>
      <c r="Q157" s="199"/>
      <c r="R157" s="199"/>
      <c r="W157" s="199"/>
      <c r="X157" s="199"/>
      <c r="Y157" s="199"/>
      <c r="Z157" s="199"/>
      <c r="AA157" s="199"/>
      <c r="AB157" s="199"/>
      <c r="AC157" s="199"/>
      <c r="AD157" s="199"/>
      <c r="AL157" s="199"/>
      <c r="AM157" s="199"/>
      <c r="AN157" s="199"/>
      <c r="AO157" s="199"/>
      <c r="AP157" s="199"/>
      <c r="AQ157" s="199"/>
      <c r="AR157" s="199"/>
      <c r="AS157" s="199"/>
      <c r="AV157" s="199"/>
      <c r="AW157" s="199"/>
      <c r="AX157" s="199"/>
      <c r="AY157" s="199"/>
      <c r="AZ157" s="199"/>
      <c r="BD157" s="199"/>
      <c r="BF157" s="199"/>
    </row>
    <row r="158" spans="1:100" x14ac:dyDescent="0.2">
      <c r="A158" s="212"/>
      <c r="B158" s="212"/>
      <c r="C158" s="199"/>
      <c r="D158" s="199"/>
      <c r="E158" s="185"/>
      <c r="F158" s="199"/>
      <c r="G158" s="199"/>
      <c r="H158" s="199"/>
      <c r="I158" s="199"/>
      <c r="J158"/>
      <c r="K158"/>
      <c r="L158" s="199"/>
      <c r="M158" s="199"/>
      <c r="N158" s="199"/>
      <c r="O158" s="185"/>
      <c r="P158" s="185"/>
      <c r="Q158" s="199"/>
      <c r="R158" s="199"/>
      <c r="W158" s="199"/>
      <c r="X158" s="199"/>
      <c r="Y158" s="199"/>
      <c r="Z158" s="199"/>
      <c r="AA158" s="199"/>
      <c r="AB158" s="199"/>
      <c r="AC158" s="199"/>
      <c r="AD158" s="199"/>
      <c r="AL158" s="199"/>
      <c r="AM158" s="199"/>
      <c r="AN158" s="199"/>
      <c r="AO158" s="199"/>
      <c r="AP158" s="199"/>
      <c r="AQ158" s="199"/>
      <c r="AR158" s="199"/>
      <c r="AS158" s="199"/>
      <c r="AV158" s="199"/>
      <c r="AW158" s="199"/>
      <c r="AX158" s="199"/>
      <c r="AY158" s="199"/>
      <c r="AZ158" s="199"/>
      <c r="BD158" s="199"/>
      <c r="BF158" s="199"/>
    </row>
    <row r="159" spans="1:100" x14ac:dyDescent="0.2">
      <c r="A159" s="212"/>
      <c r="B159" s="212"/>
      <c r="C159" s="199"/>
      <c r="D159" s="199"/>
      <c r="E159" s="185"/>
      <c r="F159" s="199"/>
      <c r="G159" s="199"/>
      <c r="H159" s="199"/>
      <c r="I159" s="199"/>
      <c r="J159"/>
      <c r="K159"/>
      <c r="L159" s="199"/>
      <c r="M159" s="199"/>
      <c r="N159" s="199"/>
      <c r="O159" s="185"/>
      <c r="P159" s="185"/>
      <c r="Q159" s="199"/>
      <c r="R159" s="199"/>
      <c r="W159" s="199"/>
      <c r="X159" s="199"/>
      <c r="Y159" s="199"/>
      <c r="Z159" s="199"/>
      <c r="AA159" s="199"/>
      <c r="AB159" s="199"/>
      <c r="AC159" s="199"/>
      <c r="AD159" s="199"/>
      <c r="AL159" s="199"/>
      <c r="AM159" s="199"/>
      <c r="AN159" s="199"/>
      <c r="AO159" s="199"/>
      <c r="AP159" s="199"/>
      <c r="AQ159" s="199"/>
      <c r="AR159" s="199"/>
      <c r="AS159" s="199"/>
      <c r="AV159" s="199"/>
      <c r="AW159" s="199"/>
      <c r="AX159" s="199"/>
      <c r="AY159" s="199"/>
      <c r="AZ159" s="199"/>
      <c r="BD159" s="199"/>
      <c r="BF159" s="199"/>
    </row>
    <row r="160" spans="1:100" x14ac:dyDescent="0.2">
      <c r="A160" s="212"/>
      <c r="B160" s="212"/>
      <c r="C160" s="199"/>
      <c r="D160" s="199"/>
      <c r="E160" s="185"/>
      <c r="F160" s="199"/>
      <c r="G160" s="199"/>
      <c r="H160" s="199"/>
      <c r="I160" s="199"/>
      <c r="J160"/>
      <c r="K160"/>
      <c r="L160" s="199"/>
      <c r="M160" s="199"/>
      <c r="N160" s="199"/>
      <c r="O160" s="185"/>
      <c r="P160" s="185"/>
      <c r="Q160" s="199"/>
      <c r="R160" s="199"/>
      <c r="W160" s="199"/>
      <c r="X160" s="199"/>
      <c r="Y160" s="199"/>
      <c r="Z160" s="199"/>
      <c r="AA160" s="199"/>
      <c r="AB160" s="199"/>
      <c r="AC160" s="199"/>
      <c r="AD160" s="199"/>
      <c r="AL160" s="199"/>
      <c r="AM160" s="199"/>
      <c r="AN160" s="199"/>
      <c r="AO160" s="199"/>
      <c r="AP160" s="199"/>
      <c r="AQ160" s="199"/>
      <c r="AR160" s="199"/>
      <c r="AS160" s="199"/>
      <c r="AV160" s="199"/>
      <c r="AW160" s="199"/>
      <c r="AX160" s="199"/>
      <c r="AY160" s="199"/>
      <c r="AZ160" s="199"/>
      <c r="BD160" s="199"/>
      <c r="BF160" s="199"/>
    </row>
    <row r="161" spans="1:100" x14ac:dyDescent="0.2">
      <c r="A161" s="212"/>
      <c r="B161" s="212"/>
      <c r="C161" s="199"/>
      <c r="D161" s="199"/>
      <c r="E161" s="185"/>
      <c r="F161" s="199"/>
      <c r="G161" s="199"/>
      <c r="H161" s="199"/>
      <c r="I161" s="199"/>
      <c r="J161"/>
      <c r="K161"/>
      <c r="L161" s="199"/>
      <c r="M161" s="199"/>
      <c r="N161" s="199"/>
      <c r="O161" s="185"/>
      <c r="P161" s="185"/>
      <c r="Q161" s="199"/>
      <c r="R161" s="199"/>
      <c r="W161" s="199"/>
      <c r="X161" s="199"/>
      <c r="Y161" s="199"/>
      <c r="Z161" s="199"/>
      <c r="AA161" s="199"/>
      <c r="AB161" s="199"/>
      <c r="AC161" s="199"/>
      <c r="AD161" s="199"/>
      <c r="AL161" s="199"/>
      <c r="AM161" s="199"/>
      <c r="AN161" s="199"/>
      <c r="AO161" s="199"/>
      <c r="AP161" s="199"/>
      <c r="AQ161" s="199"/>
      <c r="AR161" s="199"/>
      <c r="AS161" s="199"/>
      <c r="AV161" s="199"/>
      <c r="AW161" s="199"/>
      <c r="AX161" s="199"/>
      <c r="AY161" s="199"/>
      <c r="AZ161" s="199"/>
      <c r="BD161" s="199"/>
      <c r="BF161" s="199"/>
    </row>
    <row r="162" spans="1:100" x14ac:dyDescent="0.2">
      <c r="A162" s="212"/>
      <c r="B162" s="212"/>
      <c r="C162" s="199"/>
      <c r="D162" s="199"/>
      <c r="E162" s="185"/>
      <c r="F162" s="199"/>
      <c r="G162" s="199"/>
      <c r="H162" s="199"/>
      <c r="I162" s="199"/>
      <c r="J162"/>
      <c r="K162"/>
      <c r="L162" s="199"/>
      <c r="M162" s="199"/>
      <c r="N162" s="199"/>
      <c r="O162" s="185"/>
      <c r="P162" s="185"/>
      <c r="Q162" s="199"/>
      <c r="R162" s="199"/>
      <c r="W162" s="199"/>
      <c r="X162" s="199"/>
      <c r="Y162" s="199"/>
      <c r="Z162" s="199"/>
      <c r="AA162" s="199"/>
      <c r="AB162" s="199"/>
      <c r="AC162" s="199"/>
      <c r="AD162" s="199"/>
      <c r="AL162" s="199"/>
      <c r="AM162" s="199"/>
      <c r="AN162" s="199"/>
      <c r="AO162" s="199"/>
      <c r="AP162" s="199"/>
      <c r="AQ162" s="199"/>
      <c r="AR162" s="199"/>
      <c r="AS162" s="199"/>
      <c r="AV162" s="199"/>
      <c r="AW162" s="199"/>
      <c r="AX162" s="199"/>
      <c r="AY162" s="199"/>
      <c r="AZ162" s="199"/>
      <c r="BD162" s="199"/>
      <c r="BF162" s="199"/>
    </row>
    <row r="163" spans="1:100" x14ac:dyDescent="0.2">
      <c r="A163" s="212"/>
      <c r="B163" s="212"/>
      <c r="C163" s="199"/>
      <c r="D163" s="199"/>
      <c r="E163" s="185"/>
      <c r="F163" s="199"/>
      <c r="G163" s="199"/>
      <c r="H163" s="199"/>
      <c r="I163" s="199"/>
      <c r="J163"/>
      <c r="K163"/>
      <c r="L163" s="199"/>
      <c r="M163" s="199"/>
      <c r="N163" s="199"/>
      <c r="O163" s="185"/>
      <c r="P163" s="185"/>
      <c r="Q163" s="199"/>
      <c r="R163" s="199"/>
      <c r="W163" s="199"/>
      <c r="X163" s="199"/>
      <c r="Y163" s="199"/>
      <c r="Z163" s="199"/>
      <c r="AA163" s="199"/>
      <c r="AB163" s="199"/>
      <c r="AC163" s="199"/>
      <c r="AD163" s="199"/>
      <c r="AL163" s="199"/>
      <c r="AM163" s="199"/>
      <c r="AN163" s="199"/>
      <c r="AO163" s="199"/>
      <c r="AP163" s="199"/>
      <c r="AQ163" s="199"/>
      <c r="AR163" s="199"/>
      <c r="AS163" s="199"/>
      <c r="AV163" s="199"/>
      <c r="AW163" s="199"/>
      <c r="AX163" s="199"/>
      <c r="AY163" s="199"/>
      <c r="AZ163" s="199"/>
      <c r="BD163" s="199"/>
      <c r="BF163" s="199"/>
    </row>
    <row r="164" spans="1:100" x14ac:dyDescent="0.2">
      <c r="A164" s="212"/>
      <c r="B164" s="212"/>
      <c r="C164" s="199"/>
      <c r="D164" s="199"/>
      <c r="E164" s="185"/>
      <c r="F164" s="199"/>
      <c r="G164" s="199"/>
      <c r="H164" s="199"/>
      <c r="I164" s="199"/>
      <c r="J164"/>
      <c r="K164"/>
      <c r="L164" s="199"/>
      <c r="M164" s="199"/>
      <c r="N164" s="199"/>
      <c r="O164" s="185"/>
      <c r="P164" s="185"/>
      <c r="Q164" s="199"/>
      <c r="R164" s="199"/>
      <c r="W164" s="199"/>
      <c r="X164" s="199"/>
      <c r="Y164" s="199"/>
      <c r="Z164" s="199"/>
      <c r="AA164" s="199"/>
      <c r="AB164" s="199"/>
      <c r="AC164" s="199"/>
      <c r="AD164" s="199"/>
      <c r="AL164" s="199"/>
      <c r="AM164" s="199"/>
      <c r="AN164" s="199"/>
      <c r="AO164" s="199"/>
      <c r="AP164" s="199"/>
      <c r="AQ164" s="199"/>
      <c r="AR164" s="199"/>
      <c r="AS164" s="199"/>
      <c r="AV164" s="199"/>
      <c r="AW164" s="199"/>
      <c r="AX164" s="199"/>
      <c r="AY164" s="199"/>
      <c r="AZ164" s="199"/>
      <c r="BD164" s="199"/>
      <c r="BF164" s="199"/>
    </row>
    <row r="165" spans="1:100" x14ac:dyDescent="0.2">
      <c r="A165" s="212"/>
      <c r="B165" s="212"/>
      <c r="C165" s="199"/>
      <c r="D165" s="199"/>
      <c r="E165" s="185"/>
      <c r="F165" s="199"/>
      <c r="G165" s="199"/>
      <c r="H165" s="199"/>
      <c r="I165" s="199"/>
      <c r="J165" s="199"/>
      <c r="K165" s="199"/>
      <c r="L165" s="199"/>
      <c r="M165" s="199"/>
      <c r="N165" s="199"/>
      <c r="O165" s="185"/>
      <c r="P165" s="185"/>
      <c r="Q165" s="199"/>
      <c r="R165" s="199"/>
      <c r="W165" s="199"/>
      <c r="X165" s="199"/>
      <c r="Y165" s="199"/>
      <c r="Z165" s="199"/>
      <c r="AA165" s="199"/>
      <c r="AB165" s="199"/>
      <c r="AC165" s="199"/>
      <c r="AD165" s="199"/>
      <c r="AL165" s="199"/>
      <c r="AM165" s="199"/>
      <c r="AN165" s="199"/>
      <c r="AO165" s="199"/>
      <c r="AP165" s="199"/>
      <c r="AQ165" s="199"/>
      <c r="AR165" s="199"/>
      <c r="AS165" s="199"/>
      <c r="AV165" s="199"/>
      <c r="AW165" s="199"/>
      <c r="AX165" s="199"/>
      <c r="AY165" s="199"/>
      <c r="AZ165" s="199"/>
      <c r="BA165" s="199"/>
      <c r="BB165" s="199"/>
      <c r="BD165" s="199"/>
      <c r="BF165" s="199"/>
      <c r="BG165" s="194"/>
      <c r="BH165" s="194"/>
      <c r="BK165" s="194"/>
      <c r="BL165" s="194"/>
      <c r="BM165" s="194"/>
      <c r="BN165" s="194"/>
      <c r="BO165" s="194"/>
      <c r="BP165" s="194"/>
      <c r="BQ165" s="194"/>
      <c r="BR165" s="194"/>
      <c r="BS165" s="194"/>
      <c r="BT165" s="194"/>
      <c r="BU165" s="194"/>
      <c r="BV165" s="194"/>
      <c r="BW165" s="194"/>
      <c r="BX165" s="194"/>
      <c r="BY165" s="194"/>
      <c r="BZ165" s="194"/>
      <c r="CA165" s="194"/>
      <c r="CB165" s="194"/>
      <c r="CC165" s="194"/>
      <c r="CD165" s="194"/>
      <c r="CE165" s="194"/>
      <c r="CF165" s="194"/>
      <c r="CG165" s="194"/>
      <c r="CH165" s="194"/>
      <c r="CI165" s="194"/>
      <c r="CJ165" s="194"/>
      <c r="CK165" s="194"/>
      <c r="CL165" s="194"/>
      <c r="CM165" s="194"/>
      <c r="CN165" s="194"/>
      <c r="CO165" s="194"/>
      <c r="CP165" s="194"/>
      <c r="CQ165" s="194"/>
      <c r="CR165" s="194"/>
      <c r="CS165" s="194"/>
      <c r="CT165" s="194"/>
      <c r="CU165" s="194"/>
      <c r="CV165" s="194"/>
    </row>
    <row r="166" spans="1:100" x14ac:dyDescent="0.2">
      <c r="A166" s="212"/>
      <c r="B166" s="212"/>
      <c r="C166" s="199"/>
      <c r="D166" s="199"/>
      <c r="E166" s="185"/>
      <c r="F166" s="199"/>
      <c r="G166" s="199"/>
      <c r="H166" s="199"/>
      <c r="I166" s="199"/>
      <c r="J166"/>
      <c r="K166"/>
      <c r="L166" s="199"/>
      <c r="M166" s="199"/>
      <c r="N166" s="199"/>
      <c r="O166" s="185"/>
      <c r="P166" s="185"/>
      <c r="Q166" s="199"/>
      <c r="R166" s="199"/>
      <c r="W166" s="199"/>
      <c r="X166" s="199"/>
      <c r="Y166" s="199"/>
      <c r="Z166" s="199"/>
      <c r="AA166" s="199"/>
      <c r="AB166" s="199"/>
      <c r="AC166" s="199"/>
      <c r="AD166" s="199"/>
      <c r="AL166" s="199"/>
      <c r="AM166" s="199"/>
      <c r="AN166" s="199"/>
      <c r="AO166" s="199"/>
      <c r="AP166" s="199"/>
      <c r="AQ166" s="199"/>
      <c r="AR166" s="199"/>
      <c r="AS166" s="199"/>
      <c r="AV166" s="199"/>
      <c r="AW166" s="199"/>
      <c r="AX166" s="199"/>
      <c r="AY166" s="199"/>
      <c r="AZ166" s="199"/>
      <c r="BD166" s="199"/>
      <c r="BF166" s="199"/>
    </row>
    <row r="167" spans="1:100" x14ac:dyDescent="0.2">
      <c r="A167" s="212"/>
      <c r="B167" s="212"/>
      <c r="C167" s="199"/>
      <c r="D167" s="199"/>
      <c r="E167" s="185"/>
      <c r="F167" s="199"/>
      <c r="G167" s="199"/>
      <c r="H167" s="199"/>
      <c r="I167" s="199"/>
      <c r="J167"/>
      <c r="K167"/>
      <c r="L167" s="199"/>
      <c r="M167" s="199"/>
      <c r="N167" s="199"/>
      <c r="O167" s="185"/>
      <c r="P167" s="185"/>
      <c r="Q167" s="199"/>
      <c r="R167" s="199"/>
      <c r="W167" s="199"/>
      <c r="X167" s="199"/>
      <c r="Y167" s="199"/>
      <c r="Z167" s="199"/>
      <c r="AA167" s="199"/>
      <c r="AB167" s="199"/>
      <c r="AC167" s="199"/>
      <c r="AD167" s="199"/>
      <c r="AL167" s="199"/>
      <c r="AM167" s="199"/>
      <c r="AN167" s="199"/>
      <c r="AO167" s="199"/>
      <c r="AP167" s="199"/>
      <c r="AQ167" s="199"/>
      <c r="AR167" s="199"/>
      <c r="AS167" s="199"/>
      <c r="AV167" s="199"/>
      <c r="AW167" s="199"/>
      <c r="AX167" s="199"/>
      <c r="AY167" s="199"/>
      <c r="AZ167" s="199"/>
      <c r="BD167" s="199"/>
      <c r="BF167" s="199"/>
    </row>
    <row r="168" spans="1:100" x14ac:dyDescent="0.2">
      <c r="A168" s="212"/>
      <c r="B168" s="212"/>
      <c r="C168" s="199"/>
      <c r="D168" s="199"/>
      <c r="E168" s="185"/>
      <c r="F168" s="199"/>
      <c r="G168" s="199"/>
      <c r="H168" s="199"/>
      <c r="I168" s="199"/>
      <c r="J168"/>
      <c r="K168"/>
      <c r="L168" s="199"/>
      <c r="M168" s="199"/>
      <c r="N168" s="199"/>
      <c r="O168" s="185"/>
      <c r="P168" s="185"/>
      <c r="Q168" s="199"/>
      <c r="R168" s="199"/>
      <c r="W168" s="199"/>
      <c r="X168" s="199"/>
      <c r="Y168" s="199"/>
      <c r="Z168" s="199"/>
      <c r="AA168" s="199"/>
      <c r="AB168" s="199"/>
      <c r="AC168" s="199"/>
      <c r="AD168" s="199"/>
      <c r="AL168" s="199"/>
      <c r="AM168" s="199"/>
      <c r="AN168" s="199"/>
      <c r="AO168" s="199"/>
      <c r="AP168" s="199"/>
      <c r="AQ168" s="199"/>
      <c r="AR168" s="199"/>
      <c r="AS168" s="199"/>
      <c r="AV168" s="199"/>
      <c r="AW168" s="199"/>
      <c r="AX168" s="199"/>
      <c r="AY168" s="199"/>
      <c r="AZ168" s="199"/>
      <c r="BD168" s="199"/>
      <c r="BF168" s="199"/>
    </row>
    <row r="169" spans="1:100" x14ac:dyDescent="0.2">
      <c r="A169" s="212"/>
      <c r="B169" s="212"/>
      <c r="C169" s="199"/>
      <c r="D169" s="199"/>
      <c r="E169" s="185"/>
      <c r="F169" s="199"/>
      <c r="G169" s="199"/>
      <c r="H169" s="199"/>
      <c r="I169" s="199"/>
      <c r="J169"/>
      <c r="K169"/>
      <c r="L169" s="199"/>
      <c r="M169" s="199"/>
      <c r="N169" s="199"/>
      <c r="O169" s="185"/>
      <c r="P169" s="185"/>
      <c r="Q169" s="199"/>
      <c r="R169" s="199"/>
      <c r="W169" s="199"/>
      <c r="X169" s="199"/>
      <c r="Y169" s="199"/>
      <c r="Z169" s="199"/>
      <c r="AA169" s="199"/>
      <c r="AB169" s="199"/>
      <c r="AC169" s="199"/>
      <c r="AD169" s="199"/>
      <c r="AL169" s="199"/>
      <c r="AM169" s="199"/>
      <c r="AN169" s="199"/>
      <c r="AO169" s="199"/>
      <c r="AP169" s="199"/>
      <c r="AQ169" s="199"/>
      <c r="AR169" s="199"/>
      <c r="AS169" s="199"/>
      <c r="AV169" s="199"/>
      <c r="AW169" s="199"/>
      <c r="AX169" s="199"/>
      <c r="AY169" s="199"/>
      <c r="AZ169" s="199"/>
      <c r="BD169" s="199"/>
      <c r="BF169" s="199"/>
    </row>
    <row r="170" spans="1:100" x14ac:dyDescent="0.2">
      <c r="A170" s="212"/>
      <c r="B170" s="212"/>
      <c r="C170" s="199"/>
      <c r="D170" s="199"/>
      <c r="E170" s="185"/>
      <c r="F170" s="199"/>
      <c r="G170" s="199"/>
      <c r="H170" s="199"/>
      <c r="I170" s="199"/>
      <c r="J170" s="199"/>
      <c r="K170" s="199"/>
      <c r="L170" s="199"/>
      <c r="M170" s="199"/>
      <c r="N170" s="199"/>
      <c r="O170" s="185"/>
      <c r="P170" s="185"/>
      <c r="Q170" s="199"/>
      <c r="R170" s="199"/>
      <c r="W170" s="199"/>
      <c r="X170" s="199"/>
      <c r="Y170" s="199"/>
      <c r="Z170" s="199"/>
      <c r="AA170" s="199"/>
      <c r="AB170" s="199"/>
      <c r="AC170" s="199"/>
      <c r="AD170" s="199"/>
      <c r="AL170" s="199"/>
      <c r="AM170" s="199"/>
      <c r="AN170" s="199"/>
      <c r="AO170" s="199"/>
      <c r="AP170" s="199"/>
      <c r="AQ170" s="199"/>
      <c r="AR170" s="199"/>
      <c r="AS170" s="199"/>
      <c r="AV170" s="199"/>
      <c r="AW170" s="199"/>
      <c r="AX170" s="199"/>
      <c r="AY170" s="199"/>
      <c r="AZ170" s="199"/>
      <c r="BA170" s="199"/>
      <c r="BB170" s="199"/>
      <c r="BD170" s="199"/>
      <c r="BF170" s="199"/>
      <c r="BG170" s="194"/>
      <c r="BK170" s="194"/>
      <c r="BL170" s="194"/>
      <c r="BM170" s="194"/>
      <c r="BN170" s="194"/>
      <c r="BO170" s="194"/>
      <c r="BP170" s="194"/>
      <c r="BQ170" s="194"/>
      <c r="BR170" s="194"/>
      <c r="BS170" s="194"/>
      <c r="BT170" s="194"/>
      <c r="BU170" s="194"/>
      <c r="BV170" s="194"/>
      <c r="BW170" s="194"/>
      <c r="BX170" s="194"/>
      <c r="BY170" s="194"/>
      <c r="BZ170" s="194"/>
      <c r="CA170" s="194"/>
      <c r="CB170" s="194"/>
      <c r="CC170" s="194"/>
      <c r="CD170" s="194"/>
      <c r="CE170" s="194"/>
      <c r="CF170" s="194"/>
      <c r="CG170" s="194"/>
      <c r="CH170" s="194"/>
      <c r="CI170" s="194"/>
      <c r="CJ170" s="194"/>
      <c r="CK170" s="194"/>
      <c r="CL170" s="194"/>
      <c r="CM170" s="194"/>
      <c r="CN170" s="194"/>
      <c r="CO170" s="194"/>
      <c r="CP170" s="194"/>
      <c r="CQ170" s="194"/>
      <c r="CR170" s="194"/>
      <c r="CS170" s="194"/>
      <c r="CT170" s="194"/>
      <c r="CU170" s="194"/>
      <c r="CV170" s="194"/>
    </row>
    <row r="171" spans="1:100" x14ac:dyDescent="0.2">
      <c r="A171" s="212"/>
      <c r="B171" s="212"/>
      <c r="C171" s="199"/>
      <c r="D171" s="199"/>
      <c r="E171" s="185"/>
      <c r="F171" s="199"/>
      <c r="G171" s="199"/>
      <c r="H171" s="199"/>
      <c r="I171" s="199"/>
      <c r="J171"/>
      <c r="K171"/>
      <c r="L171" s="199"/>
      <c r="M171" s="199"/>
      <c r="N171" s="199"/>
      <c r="O171" s="185"/>
      <c r="P171" s="185"/>
      <c r="Q171" s="199"/>
      <c r="R171" s="199"/>
      <c r="W171" s="199"/>
      <c r="X171" s="199"/>
      <c r="Y171" s="199"/>
      <c r="Z171" s="199"/>
      <c r="AA171" s="199"/>
      <c r="AB171" s="199"/>
      <c r="AC171" s="199"/>
      <c r="AD171" s="199"/>
      <c r="AL171" s="199"/>
      <c r="AM171" s="199"/>
      <c r="AN171" s="199"/>
      <c r="AO171" s="199"/>
      <c r="AP171" s="199"/>
      <c r="AQ171" s="199"/>
      <c r="AR171" s="199"/>
      <c r="AS171" s="199"/>
      <c r="AV171" s="199"/>
      <c r="AW171" s="199"/>
      <c r="AX171" s="199"/>
      <c r="AY171" s="199"/>
      <c r="AZ171" s="199"/>
      <c r="BD171" s="199"/>
      <c r="BF171" s="199"/>
    </row>
    <row r="172" spans="1:100" x14ac:dyDescent="0.2">
      <c r="A172" s="212"/>
      <c r="B172" s="212"/>
      <c r="C172" s="199"/>
      <c r="D172" s="199"/>
      <c r="E172" s="185"/>
      <c r="F172" s="199"/>
      <c r="G172" s="199"/>
      <c r="H172" s="199"/>
      <c r="I172" s="199"/>
      <c r="J172"/>
      <c r="K172"/>
      <c r="L172" s="199"/>
      <c r="M172" s="199"/>
      <c r="N172" s="199"/>
      <c r="O172" s="185"/>
      <c r="P172" s="185"/>
      <c r="Q172" s="199"/>
      <c r="R172" s="199"/>
      <c r="W172" s="199"/>
      <c r="X172" s="199"/>
      <c r="Y172" s="199"/>
      <c r="Z172" s="199"/>
      <c r="AA172" s="199"/>
      <c r="AB172" s="199"/>
      <c r="AC172" s="199"/>
      <c r="AD172" s="199"/>
      <c r="AL172" s="199"/>
      <c r="AM172" s="199"/>
      <c r="AN172" s="199"/>
      <c r="AO172" s="199"/>
      <c r="AP172" s="199"/>
      <c r="AQ172" s="199"/>
      <c r="AR172" s="199"/>
      <c r="AS172" s="199"/>
      <c r="AV172" s="199"/>
      <c r="AW172" s="199"/>
      <c r="AX172" s="199"/>
      <c r="AY172" s="199"/>
      <c r="AZ172" s="199"/>
      <c r="BD172" s="199"/>
      <c r="BF172" s="199"/>
    </row>
    <row r="173" spans="1:100" x14ac:dyDescent="0.2">
      <c r="A173" s="212"/>
      <c r="B173" s="212"/>
      <c r="C173" s="199"/>
      <c r="D173" s="199"/>
      <c r="E173" s="185"/>
      <c r="F173" s="199"/>
      <c r="G173" s="199"/>
      <c r="H173" s="199"/>
      <c r="I173" s="199"/>
      <c r="J173"/>
      <c r="K173"/>
      <c r="L173" s="199"/>
      <c r="M173" s="199"/>
      <c r="N173" s="199"/>
      <c r="O173" s="185"/>
      <c r="P173" s="185"/>
      <c r="Q173" s="199"/>
      <c r="R173" s="199"/>
      <c r="W173" s="199"/>
      <c r="X173" s="199"/>
      <c r="Y173" s="199"/>
      <c r="Z173" s="199"/>
      <c r="AA173" s="199"/>
      <c r="AB173" s="199"/>
      <c r="AC173" s="199"/>
      <c r="AD173" s="199"/>
      <c r="AL173" s="199"/>
      <c r="AM173" s="199"/>
      <c r="AN173" s="199"/>
      <c r="AO173" s="199"/>
      <c r="AP173" s="199"/>
      <c r="AQ173" s="199"/>
      <c r="AR173" s="199"/>
      <c r="AS173" s="199"/>
      <c r="AV173" s="199"/>
      <c r="AW173" s="199"/>
      <c r="AX173" s="199"/>
      <c r="AY173" s="199"/>
      <c r="AZ173" s="199"/>
      <c r="BD173" s="199"/>
      <c r="BF173" s="199"/>
    </row>
    <row r="174" spans="1:100" x14ac:dyDescent="0.2">
      <c r="A174" s="212"/>
      <c r="B174" s="212"/>
      <c r="C174" s="199"/>
      <c r="D174" s="199"/>
      <c r="E174" s="185"/>
      <c r="F174" s="199"/>
      <c r="G174" s="199"/>
      <c r="H174" s="199"/>
      <c r="I174" s="199"/>
      <c r="J174"/>
      <c r="K174"/>
      <c r="L174" s="199"/>
      <c r="M174" s="199"/>
      <c r="N174" s="199"/>
      <c r="O174" s="185"/>
      <c r="P174" s="185"/>
      <c r="Q174" s="199"/>
      <c r="R174" s="199"/>
      <c r="W174" s="199"/>
      <c r="X174" s="199"/>
      <c r="Y174" s="199"/>
      <c r="Z174" s="199"/>
      <c r="AA174" s="199"/>
      <c r="AB174" s="199"/>
      <c r="AC174" s="199"/>
      <c r="AD174" s="199"/>
      <c r="AL174" s="199"/>
      <c r="AM174" s="199"/>
      <c r="AN174" s="199"/>
      <c r="AO174" s="199"/>
      <c r="AP174" s="199"/>
      <c r="AQ174" s="199"/>
      <c r="AR174" s="199"/>
      <c r="AS174" s="199"/>
      <c r="AV174" s="199"/>
      <c r="AW174" s="199"/>
      <c r="AX174" s="199"/>
      <c r="AY174" s="199"/>
      <c r="AZ174" s="199"/>
      <c r="BD174" s="199"/>
      <c r="BF174" s="199"/>
    </row>
    <row r="175" spans="1:100" x14ac:dyDescent="0.2">
      <c r="A175" s="212"/>
      <c r="B175" s="212"/>
      <c r="C175" s="199"/>
      <c r="D175" s="199"/>
      <c r="E175" s="185"/>
      <c r="F175" s="199"/>
      <c r="G175" s="199"/>
      <c r="H175" s="199"/>
      <c r="I175" s="199"/>
      <c r="J175"/>
      <c r="K175"/>
      <c r="L175" s="199"/>
      <c r="M175" s="199"/>
      <c r="N175" s="199"/>
      <c r="O175" s="185"/>
      <c r="P175" s="185"/>
      <c r="Q175" s="199"/>
      <c r="R175" s="199"/>
      <c r="W175" s="199"/>
      <c r="X175" s="199"/>
      <c r="Y175" s="199"/>
      <c r="Z175" s="199"/>
      <c r="AA175" s="199"/>
      <c r="AB175" s="199"/>
      <c r="AC175" s="199"/>
      <c r="AD175" s="199"/>
      <c r="AL175" s="199"/>
      <c r="AM175" s="199"/>
      <c r="AN175" s="199"/>
      <c r="AO175" s="199"/>
      <c r="AP175" s="199"/>
      <c r="AQ175" s="199"/>
      <c r="AR175" s="199"/>
      <c r="AS175" s="199"/>
      <c r="AV175" s="199"/>
      <c r="AW175" s="199"/>
      <c r="AX175" s="199"/>
      <c r="AY175" s="199"/>
      <c r="AZ175" s="199"/>
      <c r="BD175" s="199"/>
      <c r="BF175" s="199"/>
    </row>
    <row r="176" spans="1:100" x14ac:dyDescent="0.2">
      <c r="A176" s="212"/>
      <c r="B176" s="212"/>
      <c r="C176" s="199"/>
      <c r="D176" s="199"/>
      <c r="E176" s="185"/>
      <c r="F176" s="199"/>
      <c r="G176" s="199"/>
      <c r="H176" s="199"/>
      <c r="I176" s="199"/>
      <c r="J176" s="199"/>
      <c r="K176" s="199"/>
      <c r="L176" s="199"/>
      <c r="M176" s="199"/>
      <c r="N176" s="199"/>
      <c r="O176" s="185"/>
      <c r="P176" s="185"/>
      <c r="Q176" s="199"/>
      <c r="R176" s="199"/>
      <c r="W176" s="199"/>
      <c r="X176" s="199"/>
      <c r="Y176" s="199"/>
      <c r="Z176" s="199"/>
      <c r="AA176" s="199"/>
      <c r="AB176" s="199"/>
      <c r="AC176" s="199"/>
      <c r="AD176" s="199"/>
      <c r="AL176" s="199"/>
      <c r="AM176" s="199"/>
      <c r="AN176" s="199"/>
      <c r="AO176" s="199"/>
      <c r="AP176" s="199"/>
      <c r="AQ176" s="199"/>
      <c r="AR176" s="199"/>
      <c r="AS176" s="199"/>
      <c r="AV176" s="199"/>
      <c r="AW176" s="199"/>
      <c r="AX176" s="199"/>
      <c r="AY176" s="199"/>
      <c r="AZ176" s="199"/>
      <c r="BA176" s="199"/>
      <c r="BB176" s="199"/>
      <c r="BD176" s="199"/>
      <c r="BF176" s="199"/>
      <c r="BG176" s="194"/>
      <c r="BK176" s="194"/>
      <c r="BL176" s="194"/>
      <c r="BM176" s="194"/>
      <c r="BN176" s="194"/>
      <c r="BO176" s="194"/>
      <c r="BP176" s="194"/>
      <c r="BQ176" s="194"/>
      <c r="BR176" s="194"/>
      <c r="BS176" s="194"/>
      <c r="BT176" s="194"/>
      <c r="BU176" s="194"/>
      <c r="BV176" s="194"/>
      <c r="BW176" s="194"/>
      <c r="BX176" s="194"/>
      <c r="BY176" s="194"/>
      <c r="BZ176" s="194"/>
      <c r="CA176" s="194"/>
      <c r="CB176" s="194"/>
      <c r="CC176" s="194"/>
      <c r="CD176" s="194"/>
      <c r="CE176" s="194"/>
      <c r="CF176" s="194"/>
      <c r="CG176" s="194"/>
      <c r="CH176" s="194"/>
      <c r="CI176" s="194"/>
      <c r="CJ176" s="194"/>
      <c r="CK176" s="194"/>
      <c r="CL176" s="194"/>
      <c r="CM176" s="194"/>
      <c r="CN176" s="194"/>
      <c r="CO176" s="194"/>
      <c r="CP176" s="194"/>
      <c r="CQ176" s="194"/>
      <c r="CR176" s="194"/>
      <c r="CS176" s="194"/>
      <c r="CT176" s="194"/>
      <c r="CU176" s="194"/>
      <c r="CV176" s="194"/>
    </row>
    <row r="177" spans="1:100" x14ac:dyDescent="0.2">
      <c r="A177" s="212"/>
      <c r="B177" s="212"/>
      <c r="C177" s="199"/>
      <c r="D177" s="199"/>
      <c r="E177" s="185"/>
      <c r="F177" s="199"/>
      <c r="G177" s="199"/>
      <c r="H177" s="199"/>
      <c r="I177" s="199"/>
      <c r="J177"/>
      <c r="K177"/>
      <c r="L177" s="199"/>
      <c r="M177" s="199"/>
      <c r="N177" s="199"/>
      <c r="O177" s="185"/>
      <c r="P177" s="185"/>
      <c r="Q177" s="199"/>
      <c r="R177" s="199"/>
      <c r="W177" s="199"/>
      <c r="X177" s="199"/>
      <c r="Y177" s="199"/>
      <c r="Z177" s="199"/>
      <c r="AA177" s="199"/>
      <c r="AB177" s="199"/>
      <c r="AC177" s="199"/>
      <c r="AD177" s="199"/>
      <c r="AL177" s="199"/>
      <c r="AM177" s="199"/>
      <c r="AN177" s="199"/>
      <c r="AO177" s="199"/>
      <c r="AP177" s="199"/>
      <c r="AQ177" s="199"/>
      <c r="AR177" s="199"/>
      <c r="AS177" s="199"/>
      <c r="AV177" s="199"/>
      <c r="AW177" s="199"/>
      <c r="AX177" s="199"/>
      <c r="AY177" s="199"/>
      <c r="AZ177" s="199"/>
      <c r="BD177" s="199"/>
      <c r="BF177" s="199"/>
    </row>
    <row r="178" spans="1:100" x14ac:dyDescent="0.2">
      <c r="A178" s="212"/>
      <c r="B178" s="212"/>
      <c r="C178" s="199"/>
      <c r="D178" s="199"/>
      <c r="E178" s="185"/>
      <c r="F178" s="199"/>
      <c r="G178" s="199"/>
      <c r="H178" s="199"/>
      <c r="I178" s="199"/>
      <c r="J178" s="199"/>
      <c r="K178" s="199"/>
      <c r="L178" s="199"/>
      <c r="M178" s="199"/>
      <c r="N178" s="199"/>
      <c r="O178" s="185"/>
      <c r="P178" s="185"/>
      <c r="Q178" s="199"/>
      <c r="R178" s="199"/>
      <c r="W178" s="199"/>
      <c r="X178" s="199"/>
      <c r="Y178" s="199"/>
      <c r="Z178" s="199"/>
      <c r="AA178" s="199"/>
      <c r="AB178" s="199"/>
      <c r="AC178" s="199"/>
      <c r="AD178" s="199"/>
      <c r="AL178" s="199"/>
      <c r="AM178" s="199"/>
      <c r="AN178" s="199"/>
      <c r="AO178" s="199"/>
      <c r="AP178" s="199"/>
      <c r="AQ178" s="199"/>
      <c r="AR178" s="199"/>
      <c r="AS178" s="199"/>
      <c r="AV178" s="199"/>
      <c r="AW178" s="199"/>
      <c r="AX178" s="199"/>
      <c r="AY178" s="199"/>
      <c r="AZ178" s="199"/>
      <c r="BA178" s="199"/>
      <c r="BB178" s="199"/>
      <c r="BD178" s="199"/>
      <c r="BF178" s="199"/>
      <c r="BG178" s="194"/>
      <c r="BK178" s="194"/>
      <c r="BL178" s="194"/>
      <c r="BM178" s="194"/>
      <c r="BN178" s="194"/>
      <c r="BO178" s="194"/>
      <c r="BP178" s="194"/>
      <c r="BQ178" s="194"/>
      <c r="BR178" s="194"/>
      <c r="BS178" s="194"/>
      <c r="BT178" s="194"/>
      <c r="BU178" s="194"/>
      <c r="BV178" s="194"/>
      <c r="BW178" s="194"/>
      <c r="BX178" s="194"/>
      <c r="BY178" s="194"/>
      <c r="BZ178" s="194"/>
      <c r="CA178" s="194"/>
      <c r="CB178" s="194"/>
      <c r="CC178" s="194"/>
      <c r="CD178" s="194"/>
      <c r="CE178" s="194"/>
      <c r="CF178" s="194"/>
      <c r="CG178" s="194"/>
      <c r="CH178" s="194"/>
      <c r="CI178" s="194"/>
      <c r="CJ178" s="194"/>
      <c r="CK178" s="194"/>
      <c r="CL178" s="194"/>
      <c r="CM178" s="194"/>
      <c r="CN178" s="194"/>
      <c r="CO178" s="194"/>
      <c r="CP178" s="194"/>
      <c r="CQ178" s="194"/>
      <c r="CR178" s="194"/>
      <c r="CS178" s="194"/>
      <c r="CT178" s="194"/>
      <c r="CU178" s="194"/>
      <c r="CV178" s="194"/>
    </row>
    <row r="179" spans="1:100" x14ac:dyDescent="0.2">
      <c r="A179" s="212"/>
      <c r="B179" s="212"/>
      <c r="C179" s="199"/>
      <c r="D179" s="199"/>
      <c r="E179" s="185"/>
      <c r="F179" s="199"/>
      <c r="G179" s="199"/>
      <c r="H179" s="199"/>
      <c r="I179" s="199"/>
      <c r="J179"/>
      <c r="K179"/>
      <c r="L179" s="199"/>
      <c r="M179" s="199"/>
      <c r="N179" s="199"/>
      <c r="O179" s="185"/>
      <c r="P179" s="185"/>
      <c r="Q179" s="199"/>
      <c r="R179" s="199"/>
      <c r="W179" s="199"/>
      <c r="X179" s="199"/>
      <c r="Y179" s="199"/>
      <c r="Z179" s="199"/>
      <c r="AA179" s="199"/>
      <c r="AB179" s="199"/>
      <c r="AC179" s="199"/>
      <c r="AD179" s="199"/>
      <c r="AL179" s="199"/>
      <c r="AM179" s="199"/>
      <c r="AN179" s="199"/>
      <c r="AO179" s="199"/>
      <c r="AP179" s="199"/>
      <c r="AQ179" s="199"/>
      <c r="AR179" s="199"/>
      <c r="AS179" s="199"/>
      <c r="AV179" s="199"/>
      <c r="AW179" s="199"/>
      <c r="AX179" s="199"/>
      <c r="AY179" s="199"/>
      <c r="AZ179" s="199"/>
      <c r="BD179" s="199"/>
      <c r="BF179" s="199"/>
    </row>
    <row r="180" spans="1:100" x14ac:dyDescent="0.2">
      <c r="A180" s="212"/>
      <c r="B180" s="212"/>
      <c r="C180" s="199"/>
      <c r="D180" s="199"/>
      <c r="E180" s="185"/>
      <c r="F180" s="199"/>
      <c r="G180" s="199"/>
      <c r="H180" s="199"/>
      <c r="I180" s="199"/>
      <c r="J180"/>
      <c r="K180"/>
      <c r="L180" s="199"/>
      <c r="M180" s="199"/>
      <c r="N180" s="199"/>
      <c r="O180" s="185"/>
      <c r="P180" s="185"/>
      <c r="Q180" s="199"/>
      <c r="R180" s="199"/>
      <c r="W180" s="199"/>
      <c r="X180" s="199"/>
      <c r="Y180" s="199"/>
      <c r="Z180" s="199"/>
      <c r="AA180" s="199"/>
      <c r="AB180" s="199"/>
      <c r="AC180" s="199"/>
      <c r="AD180" s="199"/>
      <c r="AL180" s="199"/>
      <c r="AM180" s="199"/>
      <c r="AN180" s="199"/>
      <c r="AO180" s="199"/>
      <c r="AP180" s="199"/>
      <c r="AQ180" s="199"/>
      <c r="AR180" s="199"/>
      <c r="AS180" s="199"/>
      <c r="AV180" s="199"/>
      <c r="AW180" s="199"/>
      <c r="AX180" s="199"/>
      <c r="AY180" s="199"/>
      <c r="AZ180" s="199"/>
      <c r="BD180" s="199"/>
      <c r="BF180" s="199"/>
    </row>
    <row r="181" spans="1:100" x14ac:dyDescent="0.2">
      <c r="A181" s="212"/>
      <c r="B181" s="212"/>
      <c r="C181" s="199"/>
      <c r="D181" s="199"/>
      <c r="E181" s="185"/>
      <c r="F181" s="199"/>
      <c r="G181" s="199"/>
      <c r="H181" s="199"/>
      <c r="I181" s="199"/>
      <c r="J181" s="199"/>
      <c r="K181" s="199"/>
      <c r="L181" s="199"/>
      <c r="M181" s="199"/>
      <c r="N181" s="199"/>
      <c r="O181" s="185"/>
      <c r="P181" s="185"/>
      <c r="Q181" s="199"/>
      <c r="R181" s="199"/>
      <c r="W181" s="199"/>
      <c r="X181" s="199"/>
      <c r="Y181" s="199"/>
      <c r="Z181" s="199"/>
      <c r="AA181" s="199"/>
      <c r="AB181" s="199"/>
      <c r="AC181" s="199"/>
      <c r="AD181" s="199"/>
      <c r="AL181" s="199"/>
      <c r="AM181" s="199"/>
      <c r="AN181" s="199"/>
      <c r="AO181" s="199"/>
      <c r="AP181" s="199"/>
      <c r="AQ181" s="199"/>
      <c r="AR181" s="199"/>
      <c r="AS181" s="199"/>
      <c r="AV181" s="199"/>
      <c r="AW181" s="199"/>
      <c r="AX181" s="199"/>
      <c r="AY181" s="199"/>
      <c r="AZ181" s="199"/>
      <c r="BA181" s="199"/>
      <c r="BB181" s="199"/>
      <c r="BD181" s="199"/>
      <c r="BF181" s="199"/>
      <c r="BG181" s="194"/>
      <c r="BJ181" s="194"/>
      <c r="BK181" s="194"/>
      <c r="BL181" s="194"/>
      <c r="BM181" s="194"/>
      <c r="BN181" s="194"/>
      <c r="BO181" s="194"/>
      <c r="BP181" s="194"/>
      <c r="BQ181" s="194"/>
      <c r="BR181" s="194"/>
      <c r="BS181" s="194"/>
      <c r="BT181" s="194"/>
      <c r="BU181" s="194"/>
      <c r="BV181" s="194"/>
      <c r="BW181" s="194"/>
      <c r="BX181" s="194"/>
      <c r="BY181" s="194"/>
      <c r="BZ181" s="194"/>
      <c r="CA181" s="194"/>
      <c r="CB181" s="194"/>
      <c r="CC181" s="194"/>
      <c r="CD181" s="194"/>
      <c r="CE181" s="194"/>
      <c r="CF181" s="194"/>
      <c r="CG181" s="194"/>
      <c r="CH181" s="194"/>
      <c r="CI181" s="194"/>
      <c r="CJ181" s="194"/>
      <c r="CK181" s="194"/>
      <c r="CL181" s="194"/>
      <c r="CM181" s="194"/>
      <c r="CN181" s="194"/>
      <c r="CO181" s="194"/>
      <c r="CP181" s="194"/>
      <c r="CQ181" s="194"/>
      <c r="CR181" s="194"/>
      <c r="CS181" s="194"/>
      <c r="CT181" s="194"/>
      <c r="CU181" s="194"/>
      <c r="CV181" s="194"/>
    </row>
    <row r="182" spans="1:100" x14ac:dyDescent="0.2">
      <c r="A182" s="212"/>
      <c r="B182" s="212"/>
      <c r="C182" s="199"/>
      <c r="D182" s="199"/>
      <c r="E182" s="185"/>
      <c r="F182" s="199"/>
      <c r="G182" s="199"/>
      <c r="H182" s="199"/>
      <c r="I182" s="199"/>
      <c r="J182" s="199"/>
      <c r="K182" s="199"/>
      <c r="L182" s="199"/>
      <c r="M182" s="199"/>
      <c r="N182" s="199"/>
      <c r="O182" s="185"/>
      <c r="P182" s="185"/>
      <c r="Q182" s="199"/>
      <c r="R182" s="199"/>
      <c r="W182" s="199"/>
      <c r="X182" s="199"/>
      <c r="Y182" s="199"/>
      <c r="Z182" s="199"/>
      <c r="AA182" s="199"/>
      <c r="AB182" s="199"/>
      <c r="AC182" s="199"/>
      <c r="AD182" s="199"/>
      <c r="AL182" s="199"/>
      <c r="AM182" s="199"/>
      <c r="AN182" s="199"/>
      <c r="AO182" s="199"/>
      <c r="AP182" s="199"/>
      <c r="AQ182" s="199"/>
      <c r="AR182" s="199"/>
      <c r="AS182" s="199"/>
      <c r="AV182" s="199"/>
      <c r="AW182" s="199"/>
      <c r="AX182" s="199"/>
      <c r="AY182" s="199"/>
      <c r="AZ182" s="199"/>
      <c r="BA182" s="199"/>
      <c r="BB182" s="199"/>
      <c r="BD182" s="199"/>
      <c r="BF182" s="199"/>
      <c r="BG182" s="194"/>
      <c r="BJ182" s="194"/>
      <c r="BK182" s="194"/>
      <c r="BL182" s="194"/>
      <c r="BM182" s="194"/>
      <c r="BN182" s="194"/>
      <c r="BO182" s="194"/>
      <c r="BP182" s="194"/>
      <c r="BQ182" s="194"/>
      <c r="BR182" s="194"/>
      <c r="BS182" s="194"/>
      <c r="BT182" s="194"/>
      <c r="BU182" s="194"/>
      <c r="BV182" s="194"/>
      <c r="BW182" s="194"/>
      <c r="BX182" s="194"/>
      <c r="BY182" s="194"/>
      <c r="BZ182" s="194"/>
      <c r="CA182" s="194"/>
      <c r="CB182" s="194"/>
      <c r="CC182" s="194"/>
      <c r="CD182" s="194"/>
      <c r="CE182" s="194"/>
      <c r="CF182" s="194"/>
      <c r="CG182" s="194"/>
      <c r="CH182" s="194"/>
      <c r="CI182" s="194"/>
      <c r="CJ182" s="194"/>
      <c r="CK182" s="194"/>
      <c r="CL182" s="194"/>
      <c r="CM182" s="194"/>
      <c r="CN182" s="194"/>
      <c r="CO182" s="194"/>
      <c r="CP182" s="194"/>
      <c r="CQ182" s="194"/>
      <c r="CR182" s="194"/>
      <c r="CS182" s="194"/>
      <c r="CT182" s="194"/>
      <c r="CU182" s="194"/>
      <c r="CV182" s="194"/>
    </row>
    <row r="183" spans="1:100" x14ac:dyDescent="0.2">
      <c r="A183" s="212"/>
      <c r="B183" s="212"/>
      <c r="C183" s="199"/>
      <c r="D183" s="199"/>
      <c r="E183" s="185"/>
      <c r="F183" s="199"/>
      <c r="G183" s="199"/>
      <c r="H183" s="199"/>
      <c r="I183" s="199"/>
      <c r="J183"/>
      <c r="K183"/>
      <c r="L183" s="199"/>
      <c r="M183" s="199"/>
      <c r="N183" s="199"/>
      <c r="O183" s="185"/>
      <c r="P183" s="185"/>
      <c r="Q183" s="199"/>
      <c r="R183" s="199"/>
      <c r="W183" s="199"/>
      <c r="X183" s="199"/>
      <c r="Y183" s="199"/>
      <c r="Z183" s="199"/>
      <c r="AA183" s="199"/>
      <c r="AB183" s="199"/>
      <c r="AC183" s="199"/>
      <c r="AD183" s="199"/>
      <c r="AL183" s="199"/>
      <c r="AM183" s="199"/>
      <c r="AN183" s="199"/>
      <c r="AO183" s="199"/>
      <c r="AP183" s="199"/>
      <c r="AQ183" s="199"/>
      <c r="AR183" s="199"/>
      <c r="AS183" s="199"/>
      <c r="AV183" s="199"/>
      <c r="AW183" s="199"/>
      <c r="AX183" s="199"/>
      <c r="AY183" s="199"/>
      <c r="AZ183" s="199"/>
      <c r="BD183" s="199"/>
      <c r="BF183" s="199"/>
    </row>
    <row r="184" spans="1:100" x14ac:dyDescent="0.2">
      <c r="A184" s="212"/>
      <c r="B184" s="212"/>
      <c r="C184" s="199"/>
      <c r="D184" s="199"/>
      <c r="E184" s="185"/>
      <c r="F184" s="199"/>
      <c r="G184" s="199"/>
      <c r="H184" s="199"/>
      <c r="I184" s="199"/>
      <c r="J184" s="199"/>
      <c r="K184" s="199"/>
      <c r="L184" s="199"/>
      <c r="M184" s="199"/>
      <c r="N184" s="199"/>
      <c r="O184" s="185"/>
      <c r="P184" s="185"/>
      <c r="Q184" s="199"/>
      <c r="R184" s="199"/>
      <c r="W184" s="199"/>
      <c r="X184" s="199"/>
      <c r="Y184" s="199"/>
      <c r="Z184" s="199"/>
      <c r="AA184" s="199"/>
      <c r="AB184" s="199"/>
      <c r="AC184" s="199"/>
      <c r="AD184" s="199"/>
      <c r="AL184" s="199"/>
      <c r="AM184" s="199"/>
      <c r="AN184" s="199"/>
      <c r="AO184" s="199"/>
      <c r="AP184" s="199"/>
      <c r="AQ184" s="199"/>
      <c r="AR184" s="199"/>
      <c r="AS184" s="199"/>
      <c r="AV184" s="199"/>
      <c r="AW184" s="199"/>
      <c r="AX184" s="199"/>
      <c r="AY184" s="199"/>
      <c r="AZ184" s="199"/>
      <c r="BA184" s="199"/>
      <c r="BB184" s="199"/>
      <c r="BD184" s="199"/>
      <c r="BF184" s="199"/>
      <c r="BG184" s="194"/>
      <c r="BJ184" s="194"/>
      <c r="BK184" s="194"/>
      <c r="BL184" s="194"/>
      <c r="BM184" s="194"/>
      <c r="BN184" s="194"/>
      <c r="BO184" s="194"/>
      <c r="BP184" s="194"/>
      <c r="BQ184" s="194"/>
      <c r="BR184" s="194"/>
      <c r="BS184" s="194"/>
      <c r="BT184" s="194"/>
      <c r="BU184" s="194"/>
      <c r="BV184" s="194"/>
      <c r="BW184" s="194"/>
      <c r="BX184" s="194"/>
      <c r="BY184" s="194"/>
      <c r="BZ184" s="194"/>
      <c r="CA184" s="194"/>
      <c r="CB184" s="194"/>
      <c r="CC184" s="194"/>
      <c r="CD184" s="194"/>
      <c r="CE184" s="194"/>
      <c r="CF184" s="194"/>
      <c r="CG184" s="194"/>
      <c r="CH184" s="194"/>
      <c r="CI184" s="194"/>
      <c r="CJ184" s="194"/>
      <c r="CK184" s="194"/>
      <c r="CL184" s="194"/>
      <c r="CM184" s="194"/>
      <c r="CN184" s="194"/>
      <c r="CO184" s="194"/>
      <c r="CP184" s="194"/>
      <c r="CQ184" s="194"/>
      <c r="CR184" s="194"/>
      <c r="CS184" s="194"/>
      <c r="CT184" s="194"/>
      <c r="CU184" s="194"/>
      <c r="CV184" s="194"/>
    </row>
    <row r="185" spans="1:100" x14ac:dyDescent="0.2">
      <c r="A185" s="212"/>
      <c r="B185" s="212"/>
      <c r="C185" s="199"/>
      <c r="D185" s="199"/>
      <c r="E185" s="185"/>
      <c r="F185" s="199"/>
      <c r="G185" s="199"/>
      <c r="H185" s="199"/>
      <c r="I185" s="199"/>
      <c r="J185"/>
      <c r="K185"/>
      <c r="L185" s="199"/>
      <c r="M185" s="199"/>
      <c r="N185" s="199"/>
      <c r="O185" s="185"/>
      <c r="P185" s="185"/>
      <c r="Q185" s="199"/>
      <c r="R185" s="199"/>
      <c r="W185" s="199"/>
      <c r="X185" s="199"/>
      <c r="Y185" s="199"/>
      <c r="Z185" s="199"/>
      <c r="AA185" s="199"/>
      <c r="AB185" s="199"/>
      <c r="AC185" s="199"/>
      <c r="AD185" s="199"/>
      <c r="AL185" s="199"/>
      <c r="AM185" s="199"/>
      <c r="AN185" s="199"/>
      <c r="AO185" s="199"/>
      <c r="AP185" s="199"/>
      <c r="AQ185" s="199"/>
      <c r="AR185" s="199"/>
      <c r="AS185" s="199"/>
      <c r="AV185" s="199"/>
      <c r="AW185" s="199"/>
      <c r="AX185" s="199"/>
      <c r="AY185" s="199"/>
      <c r="AZ185" s="199"/>
      <c r="BD185" s="199"/>
      <c r="BF185" s="199"/>
    </row>
    <row r="186" spans="1:100" x14ac:dyDescent="0.2">
      <c r="A186" s="212"/>
      <c r="B186" s="212"/>
      <c r="C186" s="199"/>
      <c r="D186" s="199"/>
      <c r="E186" s="185"/>
      <c r="F186" s="199"/>
      <c r="G186" s="199"/>
      <c r="H186" s="199"/>
      <c r="I186" s="199"/>
      <c r="J186"/>
      <c r="K186"/>
      <c r="L186" s="199"/>
      <c r="M186" s="199"/>
      <c r="N186" s="199"/>
      <c r="O186" s="185"/>
      <c r="P186" s="185"/>
      <c r="Q186" s="199"/>
      <c r="R186" s="199"/>
      <c r="W186" s="199"/>
      <c r="X186" s="199"/>
      <c r="Y186" s="199"/>
      <c r="Z186" s="199"/>
      <c r="AA186" s="199"/>
      <c r="AB186" s="199"/>
      <c r="AC186" s="199"/>
      <c r="AD186" s="199"/>
      <c r="AL186" s="199"/>
      <c r="AM186" s="199"/>
      <c r="AN186" s="199"/>
      <c r="AO186" s="199"/>
      <c r="AP186" s="199"/>
      <c r="AQ186" s="199"/>
      <c r="AR186" s="199"/>
      <c r="AS186" s="199"/>
      <c r="AV186" s="199"/>
      <c r="AW186" s="199"/>
      <c r="AX186" s="199"/>
      <c r="AY186" s="199"/>
      <c r="AZ186" s="199"/>
      <c r="BD186" s="199"/>
      <c r="BF186" s="199"/>
    </row>
    <row r="187" spans="1:100" x14ac:dyDescent="0.2">
      <c r="A187" s="212"/>
      <c r="B187" s="212"/>
      <c r="C187" s="199"/>
      <c r="D187" s="199"/>
      <c r="E187" s="185"/>
      <c r="F187" s="199"/>
      <c r="G187" s="199"/>
      <c r="H187" s="199"/>
      <c r="I187" s="199"/>
      <c r="J187"/>
      <c r="K187"/>
      <c r="L187" s="199"/>
      <c r="M187" s="199"/>
      <c r="N187" s="199"/>
      <c r="O187" s="185"/>
      <c r="P187" s="185"/>
      <c r="Q187" s="199"/>
      <c r="R187" s="199"/>
      <c r="W187" s="199"/>
      <c r="X187" s="199"/>
      <c r="Y187" s="199"/>
      <c r="Z187" s="199"/>
      <c r="AA187" s="199"/>
      <c r="AB187" s="199"/>
      <c r="AC187" s="199"/>
      <c r="AD187" s="199"/>
      <c r="AL187" s="199"/>
      <c r="AM187" s="199"/>
      <c r="AN187" s="199"/>
      <c r="AO187" s="199"/>
      <c r="AP187" s="199"/>
      <c r="AQ187" s="199"/>
      <c r="AR187" s="199"/>
      <c r="AS187" s="199"/>
      <c r="AV187" s="199"/>
      <c r="AW187" s="199"/>
      <c r="AX187" s="199"/>
      <c r="AY187" s="199"/>
      <c r="AZ187" s="199"/>
      <c r="BD187" s="199"/>
      <c r="BF187" s="199"/>
    </row>
    <row r="188" spans="1:100" x14ac:dyDescent="0.2">
      <c r="A188" s="212"/>
      <c r="B188" s="212"/>
      <c r="C188" s="199"/>
      <c r="D188" s="199"/>
      <c r="E188" s="185"/>
      <c r="F188" s="199"/>
      <c r="G188" s="199"/>
      <c r="H188" s="199"/>
      <c r="I188" s="199"/>
      <c r="J188"/>
      <c r="K188"/>
      <c r="L188" s="199"/>
      <c r="M188" s="199"/>
      <c r="N188" s="199"/>
      <c r="O188" s="185"/>
      <c r="P188" s="185"/>
      <c r="Q188" s="199"/>
      <c r="R188" s="199"/>
      <c r="W188" s="199"/>
      <c r="X188" s="199"/>
      <c r="Y188" s="199"/>
      <c r="Z188" s="199"/>
      <c r="AA188" s="199"/>
      <c r="AB188" s="199"/>
      <c r="AC188" s="199"/>
      <c r="AD188" s="199"/>
      <c r="AL188" s="199"/>
      <c r="AM188" s="199"/>
      <c r="AN188" s="199"/>
      <c r="AO188" s="199"/>
      <c r="AP188" s="199"/>
      <c r="AQ188" s="199"/>
      <c r="AR188" s="199"/>
      <c r="AS188" s="199"/>
      <c r="AV188" s="199"/>
      <c r="AW188" s="199"/>
      <c r="AX188" s="199"/>
      <c r="AY188" s="199"/>
      <c r="AZ188" s="199"/>
      <c r="BD188" s="199"/>
      <c r="BF188" s="199"/>
    </row>
    <row r="189" spans="1:100" x14ac:dyDescent="0.2">
      <c r="A189" s="212"/>
      <c r="B189" s="212"/>
      <c r="C189" s="199"/>
      <c r="D189" s="199"/>
      <c r="E189" s="185"/>
      <c r="F189" s="199"/>
      <c r="G189" s="199"/>
      <c r="H189" s="199"/>
      <c r="I189" s="199"/>
      <c r="J189"/>
      <c r="K189"/>
      <c r="L189" s="199"/>
      <c r="M189" s="199"/>
      <c r="N189" s="199"/>
      <c r="O189" s="185"/>
      <c r="P189" s="185"/>
      <c r="Q189" s="199"/>
      <c r="R189" s="199"/>
      <c r="W189" s="199"/>
      <c r="X189" s="199"/>
      <c r="Y189" s="199"/>
      <c r="Z189" s="199"/>
      <c r="AA189" s="199"/>
      <c r="AB189" s="199"/>
      <c r="AC189" s="199"/>
      <c r="AD189" s="199"/>
      <c r="AL189" s="199"/>
      <c r="AM189" s="199"/>
      <c r="AN189" s="199"/>
      <c r="AO189" s="199"/>
      <c r="AP189" s="199"/>
      <c r="AQ189" s="199"/>
      <c r="AR189" s="199"/>
      <c r="AS189" s="199"/>
      <c r="AV189" s="199"/>
      <c r="AW189" s="199"/>
      <c r="AX189" s="199"/>
      <c r="AY189" s="199"/>
      <c r="AZ189" s="199"/>
      <c r="BD189" s="199"/>
      <c r="BF189" s="199"/>
    </row>
    <row r="190" spans="1:100" x14ac:dyDescent="0.2">
      <c r="A190" s="212"/>
      <c r="B190" s="212"/>
      <c r="C190" s="199"/>
      <c r="D190" s="199"/>
      <c r="E190" s="185"/>
      <c r="F190" s="199"/>
      <c r="G190" s="199"/>
      <c r="H190" s="199"/>
      <c r="I190" s="199"/>
      <c r="J190"/>
      <c r="K190"/>
      <c r="L190" s="199"/>
      <c r="M190" s="199"/>
      <c r="N190" s="199"/>
      <c r="O190" s="185"/>
      <c r="P190" s="185"/>
      <c r="Q190" s="199"/>
      <c r="R190" s="199"/>
      <c r="W190" s="199"/>
      <c r="X190" s="199"/>
      <c r="Y190" s="199"/>
      <c r="Z190" s="199"/>
      <c r="AA190" s="199"/>
      <c r="AB190" s="199"/>
      <c r="AC190" s="199"/>
      <c r="AD190" s="199"/>
      <c r="AL190" s="199"/>
      <c r="AM190" s="199"/>
      <c r="AN190" s="199"/>
      <c r="AO190" s="199"/>
      <c r="AP190" s="199"/>
      <c r="AQ190" s="199"/>
      <c r="AR190" s="199"/>
      <c r="AS190" s="199"/>
      <c r="AV190" s="199"/>
      <c r="AW190" s="199"/>
      <c r="AX190" s="199"/>
      <c r="AY190" s="199"/>
      <c r="AZ190" s="199"/>
      <c r="BD190" s="199"/>
      <c r="BF190" s="199"/>
    </row>
    <row r="191" spans="1:100" x14ac:dyDescent="0.2">
      <c r="A191" s="212"/>
      <c r="B191" s="212"/>
      <c r="C191" s="199"/>
      <c r="D191" s="199"/>
      <c r="E191" s="185"/>
      <c r="F191" s="199"/>
      <c r="G191" s="199"/>
      <c r="H191" s="199"/>
      <c r="I191" s="199"/>
      <c r="J191"/>
      <c r="K191"/>
      <c r="L191" s="199"/>
      <c r="M191" s="199"/>
      <c r="N191" s="199"/>
      <c r="O191" s="185"/>
      <c r="P191" s="185"/>
      <c r="Q191" s="199"/>
      <c r="R191" s="199"/>
      <c r="W191" s="199"/>
      <c r="X191" s="199"/>
      <c r="Y191" s="199"/>
      <c r="Z191" s="199"/>
      <c r="AA191" s="199"/>
      <c r="AB191" s="199"/>
      <c r="AC191" s="199"/>
      <c r="AD191" s="199"/>
      <c r="AL191" s="199"/>
      <c r="AM191" s="199"/>
      <c r="AN191" s="199"/>
      <c r="AO191" s="199"/>
      <c r="AP191" s="199"/>
      <c r="AQ191" s="199"/>
      <c r="AR191" s="199"/>
      <c r="AS191" s="199"/>
      <c r="AV191" s="199"/>
      <c r="AW191" s="199"/>
      <c r="AX191" s="199"/>
      <c r="AY191" s="199"/>
      <c r="AZ191" s="199"/>
      <c r="BD191" s="199"/>
      <c r="BF191" s="199"/>
    </row>
    <row r="192" spans="1:100" x14ac:dyDescent="0.2">
      <c r="A192" s="212"/>
      <c r="B192" s="212"/>
      <c r="C192" s="199"/>
      <c r="D192" s="199"/>
      <c r="E192" s="185"/>
      <c r="F192" s="199"/>
      <c r="G192" s="199"/>
      <c r="H192" s="199"/>
      <c r="I192" s="199"/>
      <c r="J192"/>
      <c r="K192"/>
      <c r="L192" s="199"/>
      <c r="M192" s="199"/>
      <c r="N192" s="199"/>
      <c r="O192" s="185"/>
      <c r="P192" s="185"/>
      <c r="Q192" s="199"/>
      <c r="R192" s="199"/>
      <c r="W192" s="199"/>
      <c r="X192" s="199"/>
      <c r="Y192" s="199"/>
      <c r="Z192" s="199"/>
      <c r="AA192" s="199"/>
      <c r="AB192" s="199"/>
      <c r="AC192" s="199"/>
      <c r="AD192" s="199"/>
      <c r="AL192" s="199"/>
      <c r="AM192" s="199"/>
      <c r="AN192" s="199"/>
      <c r="AO192" s="199"/>
      <c r="AP192" s="199"/>
      <c r="AQ192" s="199"/>
      <c r="AR192" s="199"/>
      <c r="AS192" s="199"/>
      <c r="AV192" s="199"/>
      <c r="AW192" s="199"/>
      <c r="AX192" s="199"/>
      <c r="AY192" s="199"/>
      <c r="AZ192" s="199"/>
      <c r="BD192" s="199"/>
      <c r="BF192" s="199"/>
    </row>
    <row r="193" spans="1:100" x14ac:dyDescent="0.2">
      <c r="A193" s="212"/>
      <c r="B193" s="212"/>
      <c r="C193" s="199"/>
      <c r="D193" s="199"/>
      <c r="E193" s="185"/>
      <c r="F193" s="199"/>
      <c r="G193" s="199"/>
      <c r="H193" s="199"/>
      <c r="I193" s="199"/>
      <c r="J193"/>
      <c r="K193"/>
      <c r="L193" s="199"/>
      <c r="M193" s="199"/>
      <c r="N193" s="199"/>
      <c r="O193" s="185"/>
      <c r="P193" s="185"/>
      <c r="Q193" s="199"/>
      <c r="R193" s="199"/>
      <c r="W193" s="199"/>
      <c r="X193" s="199"/>
      <c r="Y193" s="199"/>
      <c r="Z193" s="199"/>
      <c r="AA193" s="199"/>
      <c r="AB193" s="199"/>
      <c r="AC193" s="199"/>
      <c r="AD193" s="199"/>
      <c r="AL193" s="199"/>
      <c r="AM193" s="199"/>
      <c r="AN193" s="199"/>
      <c r="AO193" s="199"/>
      <c r="AP193" s="199"/>
      <c r="AQ193" s="199"/>
      <c r="AR193" s="199"/>
      <c r="AS193" s="199"/>
      <c r="AV193" s="199"/>
      <c r="AW193" s="199"/>
      <c r="AX193" s="199"/>
      <c r="AY193" s="199"/>
      <c r="AZ193" s="199"/>
      <c r="BD193" s="199"/>
      <c r="BF193" s="199"/>
    </row>
    <row r="194" spans="1:100" x14ac:dyDescent="0.2">
      <c r="A194" s="212"/>
      <c r="B194" s="212"/>
      <c r="C194" s="199"/>
      <c r="D194" s="199"/>
      <c r="E194" s="185"/>
      <c r="F194" s="199"/>
      <c r="G194" s="199"/>
      <c r="H194" s="199"/>
      <c r="I194" s="199"/>
      <c r="J194"/>
      <c r="K194"/>
      <c r="L194" s="199"/>
      <c r="M194" s="199"/>
      <c r="N194" s="199"/>
      <c r="O194" s="185"/>
      <c r="P194" s="185"/>
      <c r="Q194" s="199"/>
      <c r="R194" s="199"/>
      <c r="W194" s="199"/>
      <c r="X194" s="199"/>
      <c r="Y194" s="199"/>
      <c r="Z194" s="199"/>
      <c r="AA194" s="199"/>
      <c r="AB194" s="199"/>
      <c r="AC194" s="199"/>
      <c r="AD194" s="199"/>
      <c r="AL194" s="199"/>
      <c r="AM194" s="199"/>
      <c r="AN194" s="199"/>
      <c r="AO194" s="199"/>
      <c r="AP194" s="199"/>
      <c r="AQ194" s="199"/>
      <c r="AR194" s="199"/>
      <c r="AS194" s="199"/>
      <c r="AV194" s="199"/>
      <c r="AW194" s="199"/>
      <c r="AX194" s="199"/>
      <c r="AY194" s="199"/>
      <c r="AZ194" s="199"/>
      <c r="BD194" s="199"/>
      <c r="BF194" s="199"/>
    </row>
    <row r="195" spans="1:100" x14ac:dyDescent="0.2">
      <c r="A195" s="212"/>
      <c r="B195" s="212"/>
      <c r="C195" s="199"/>
      <c r="D195" s="199"/>
      <c r="E195" s="185"/>
      <c r="F195" s="199"/>
      <c r="G195" s="199"/>
      <c r="H195" s="199"/>
      <c r="I195" s="199"/>
      <c r="J195"/>
      <c r="K195"/>
      <c r="L195" s="199"/>
      <c r="M195" s="199"/>
      <c r="N195" s="199"/>
      <c r="O195" s="185"/>
      <c r="P195" s="185"/>
      <c r="Q195" s="199"/>
      <c r="R195" s="199"/>
      <c r="W195" s="199"/>
      <c r="X195" s="199"/>
      <c r="Y195" s="199"/>
      <c r="Z195" s="199"/>
      <c r="AA195" s="199"/>
      <c r="AB195" s="199"/>
      <c r="AC195" s="199"/>
      <c r="AD195" s="199"/>
      <c r="AL195" s="199"/>
      <c r="AM195" s="199"/>
      <c r="AN195" s="199"/>
      <c r="AO195" s="199"/>
      <c r="AP195" s="199"/>
      <c r="AQ195" s="199"/>
      <c r="AR195" s="199"/>
      <c r="AS195" s="199"/>
      <c r="AV195" s="199"/>
      <c r="AW195" s="199"/>
      <c r="AX195" s="199"/>
      <c r="AY195" s="199"/>
      <c r="AZ195" s="199"/>
      <c r="BD195" s="199"/>
      <c r="BF195" s="199"/>
    </row>
    <row r="196" spans="1:100" x14ac:dyDescent="0.2">
      <c r="A196" s="212"/>
      <c r="B196" s="212"/>
      <c r="C196" s="199"/>
      <c r="D196" s="199"/>
      <c r="E196" s="185"/>
      <c r="F196" s="199"/>
      <c r="G196" s="199"/>
      <c r="H196" s="199"/>
      <c r="I196" s="199"/>
      <c r="J196"/>
      <c r="K196"/>
      <c r="L196" s="199"/>
      <c r="M196" s="199"/>
      <c r="N196" s="199"/>
      <c r="O196" s="185"/>
      <c r="P196" s="185"/>
      <c r="Q196" s="199"/>
      <c r="R196" s="199"/>
      <c r="W196" s="199"/>
      <c r="X196" s="199"/>
      <c r="Y196" s="199"/>
      <c r="Z196" s="199"/>
      <c r="AA196" s="199"/>
      <c r="AB196" s="199"/>
      <c r="AC196" s="199"/>
      <c r="AD196" s="199"/>
      <c r="AL196" s="199"/>
      <c r="AM196" s="199"/>
      <c r="AN196" s="199"/>
      <c r="AO196" s="199"/>
      <c r="AP196" s="199"/>
      <c r="AQ196" s="199"/>
      <c r="AR196" s="199"/>
      <c r="AS196" s="199"/>
      <c r="AV196" s="199"/>
      <c r="AW196" s="199"/>
      <c r="AX196" s="199"/>
      <c r="AY196" s="199"/>
      <c r="AZ196" s="199"/>
      <c r="BD196" s="199"/>
      <c r="BF196" s="199"/>
    </row>
    <row r="197" spans="1:100" x14ac:dyDescent="0.2">
      <c r="A197" s="212"/>
      <c r="B197" s="212"/>
      <c r="C197" s="199"/>
      <c r="D197" s="199"/>
      <c r="E197" s="185"/>
      <c r="F197" s="199"/>
      <c r="G197" s="199"/>
      <c r="H197" s="199"/>
      <c r="I197" s="199"/>
      <c r="J197" s="199"/>
      <c r="K197" s="199"/>
      <c r="L197" s="199"/>
      <c r="M197" s="199"/>
      <c r="N197" s="199"/>
      <c r="O197" s="185"/>
      <c r="P197" s="185"/>
      <c r="Q197" s="199"/>
      <c r="R197" s="199"/>
      <c r="W197" s="199"/>
      <c r="X197" s="199"/>
      <c r="Y197" s="199"/>
      <c r="Z197" s="199"/>
      <c r="AA197" s="199"/>
      <c r="AB197" s="199"/>
      <c r="AC197" s="199"/>
      <c r="AD197" s="199"/>
      <c r="AL197" s="199"/>
      <c r="AM197" s="199"/>
      <c r="AN197" s="199"/>
      <c r="AO197" s="199"/>
      <c r="AP197" s="199"/>
      <c r="AQ197" s="199"/>
      <c r="AR197" s="199"/>
      <c r="AS197" s="199"/>
      <c r="AV197" s="199"/>
      <c r="AW197" s="199"/>
      <c r="AX197" s="199"/>
      <c r="AY197" s="199"/>
      <c r="AZ197" s="199"/>
      <c r="BA197" s="199"/>
      <c r="BB197" s="199"/>
      <c r="BD197" s="199"/>
      <c r="BF197" s="199"/>
      <c r="BG197" s="194"/>
      <c r="BH197" s="194"/>
      <c r="BJ197" s="194"/>
      <c r="BK197" s="194"/>
      <c r="BL197" s="194"/>
      <c r="BM197" s="194"/>
      <c r="BN197" s="194"/>
      <c r="BO197" s="194"/>
      <c r="BP197" s="194"/>
      <c r="BQ197" s="194"/>
      <c r="BR197" s="194"/>
      <c r="BS197" s="194"/>
      <c r="BT197" s="194"/>
      <c r="BU197" s="194"/>
      <c r="BV197" s="194"/>
      <c r="BW197" s="194"/>
      <c r="BX197" s="194"/>
      <c r="BY197" s="194"/>
      <c r="BZ197" s="194"/>
      <c r="CA197" s="194"/>
      <c r="CB197" s="194"/>
      <c r="CC197" s="194"/>
      <c r="CD197" s="194"/>
      <c r="CE197" s="194"/>
      <c r="CF197" s="194"/>
      <c r="CG197" s="194"/>
      <c r="CH197" s="194"/>
      <c r="CI197" s="194"/>
      <c r="CJ197" s="194"/>
      <c r="CK197" s="194"/>
      <c r="CL197" s="194"/>
      <c r="CM197" s="194"/>
      <c r="CN197" s="194"/>
      <c r="CO197" s="194"/>
      <c r="CP197" s="194"/>
      <c r="CQ197" s="194"/>
      <c r="CR197" s="194"/>
      <c r="CS197" s="194"/>
      <c r="CT197" s="194"/>
      <c r="CU197" s="194"/>
      <c r="CV197" s="194"/>
    </row>
    <row r="198" spans="1:100" x14ac:dyDescent="0.2">
      <c r="A198" s="212"/>
      <c r="B198" s="212"/>
      <c r="C198" s="199"/>
      <c r="D198" s="199"/>
      <c r="E198" s="185"/>
      <c r="F198" s="199"/>
      <c r="G198" s="199"/>
      <c r="H198" s="199"/>
      <c r="I198" s="199"/>
      <c r="J198"/>
      <c r="K198"/>
      <c r="L198" s="199"/>
      <c r="M198" s="199"/>
      <c r="N198" s="199"/>
      <c r="O198" s="185"/>
      <c r="P198" s="185"/>
      <c r="Q198" s="199"/>
      <c r="R198" s="199"/>
      <c r="W198" s="199"/>
      <c r="X198" s="199"/>
      <c r="Y198" s="199"/>
      <c r="Z198" s="199"/>
      <c r="AA198" s="199"/>
      <c r="AB198" s="199"/>
      <c r="AC198" s="199"/>
      <c r="AD198" s="199"/>
      <c r="AL198" s="199"/>
      <c r="AM198" s="199"/>
      <c r="AN198" s="199"/>
      <c r="AO198" s="199"/>
      <c r="AP198" s="199"/>
      <c r="AQ198" s="199"/>
      <c r="AR198" s="199"/>
      <c r="AS198" s="199"/>
      <c r="AV198" s="199"/>
      <c r="AW198" s="199"/>
      <c r="AX198" s="199"/>
      <c r="AY198" s="199"/>
      <c r="AZ198" s="199"/>
      <c r="BD198" s="199"/>
      <c r="BF198" s="199"/>
    </row>
    <row r="199" spans="1:100" x14ac:dyDescent="0.2">
      <c r="A199" s="212"/>
      <c r="B199" s="212"/>
      <c r="C199" s="199"/>
      <c r="D199" s="199"/>
      <c r="E199" s="185"/>
      <c r="F199" s="199"/>
      <c r="G199" s="199"/>
      <c r="H199" s="199"/>
      <c r="I199" s="199"/>
      <c r="J199"/>
      <c r="K199"/>
      <c r="L199" s="199"/>
      <c r="M199" s="199"/>
      <c r="N199" s="199"/>
      <c r="O199" s="185"/>
      <c r="P199" s="185"/>
      <c r="Q199" s="199"/>
      <c r="R199" s="199"/>
      <c r="W199" s="199"/>
      <c r="X199" s="199"/>
      <c r="Y199" s="199"/>
      <c r="Z199" s="199"/>
      <c r="AA199" s="199"/>
      <c r="AB199" s="199"/>
      <c r="AC199" s="199"/>
      <c r="AD199" s="199"/>
      <c r="AL199" s="199"/>
      <c r="AM199" s="199"/>
      <c r="AN199" s="199"/>
      <c r="AO199" s="199"/>
      <c r="AP199" s="199"/>
      <c r="AQ199" s="199"/>
      <c r="AR199" s="199"/>
      <c r="AS199" s="199"/>
      <c r="AV199" s="199"/>
      <c r="AW199" s="199"/>
      <c r="AX199" s="199"/>
      <c r="AY199" s="199"/>
      <c r="AZ199" s="199"/>
      <c r="BD199" s="199"/>
      <c r="BF199" s="199"/>
    </row>
    <row r="200" spans="1:100" x14ac:dyDescent="0.2">
      <c r="A200" s="212"/>
      <c r="B200" s="212"/>
      <c r="C200" s="199"/>
      <c r="D200" s="199"/>
      <c r="E200" s="185"/>
      <c r="F200" s="199"/>
      <c r="G200" s="199"/>
      <c r="H200" s="199"/>
      <c r="I200" s="199"/>
      <c r="J200"/>
      <c r="K200"/>
      <c r="L200" s="199"/>
      <c r="M200" s="199"/>
      <c r="N200" s="199"/>
      <c r="O200" s="185"/>
      <c r="P200" s="185"/>
      <c r="Q200" s="199"/>
      <c r="R200" s="199"/>
      <c r="W200" s="199"/>
      <c r="X200" s="199"/>
      <c r="Y200" s="199"/>
      <c r="Z200" s="199"/>
      <c r="AA200" s="199"/>
      <c r="AB200" s="199"/>
      <c r="AC200" s="199"/>
      <c r="AD200" s="199"/>
      <c r="AL200" s="199"/>
      <c r="AM200" s="199"/>
      <c r="AN200" s="199"/>
      <c r="AO200" s="199"/>
      <c r="AP200" s="199"/>
      <c r="AQ200" s="199"/>
      <c r="AR200" s="199"/>
      <c r="AS200" s="199"/>
      <c r="AV200" s="199"/>
      <c r="AW200" s="199"/>
      <c r="AX200" s="199"/>
      <c r="AY200" s="199"/>
      <c r="AZ200" s="199"/>
      <c r="BD200" s="199"/>
      <c r="BF200" s="199"/>
    </row>
    <row r="201" spans="1:100" x14ac:dyDescent="0.2">
      <c r="A201" s="212"/>
      <c r="B201" s="212"/>
      <c r="C201" s="199"/>
      <c r="D201" s="199"/>
      <c r="E201" s="185"/>
      <c r="F201" s="199"/>
      <c r="G201" s="199"/>
      <c r="H201" s="199"/>
      <c r="I201" s="199"/>
      <c r="J201"/>
      <c r="K201"/>
      <c r="L201" s="199"/>
      <c r="M201" s="199"/>
      <c r="N201" s="199"/>
      <c r="O201" s="185"/>
      <c r="P201" s="185"/>
      <c r="Q201" s="199"/>
      <c r="R201" s="199"/>
      <c r="W201" s="199"/>
      <c r="X201" s="199"/>
      <c r="Y201" s="199"/>
      <c r="Z201" s="199"/>
      <c r="AA201" s="199"/>
      <c r="AB201" s="199"/>
      <c r="AC201" s="199"/>
      <c r="AD201" s="199"/>
      <c r="AL201" s="199"/>
      <c r="AM201" s="199"/>
      <c r="AN201" s="199"/>
      <c r="AO201" s="199"/>
      <c r="AP201" s="199"/>
      <c r="AQ201" s="199"/>
      <c r="AR201" s="199"/>
      <c r="AS201" s="199"/>
      <c r="AV201" s="199"/>
      <c r="AW201" s="199"/>
      <c r="AX201" s="199"/>
      <c r="AY201" s="199"/>
      <c r="AZ201" s="199"/>
      <c r="BD201" s="199"/>
      <c r="BF201" s="199"/>
    </row>
    <row r="202" spans="1:100" x14ac:dyDescent="0.2">
      <c r="A202" s="212"/>
      <c r="B202" s="212"/>
      <c r="C202" s="199"/>
      <c r="D202" s="199"/>
      <c r="E202" s="185"/>
      <c r="F202" s="199"/>
      <c r="G202" s="199"/>
      <c r="H202" s="199"/>
      <c r="I202" s="199"/>
      <c r="J202"/>
      <c r="K202"/>
      <c r="L202" s="199"/>
      <c r="M202" s="199"/>
      <c r="N202" s="199"/>
      <c r="O202" s="185"/>
      <c r="P202" s="185"/>
      <c r="Q202" s="199"/>
      <c r="R202" s="199"/>
      <c r="W202" s="199"/>
      <c r="X202" s="199"/>
      <c r="Y202" s="199"/>
      <c r="Z202" s="199"/>
      <c r="AA202" s="199"/>
      <c r="AB202" s="199"/>
      <c r="AC202" s="199"/>
      <c r="AD202" s="199"/>
      <c r="AL202" s="199"/>
      <c r="AM202" s="199"/>
      <c r="AN202" s="199"/>
      <c r="AO202" s="199"/>
      <c r="AP202" s="199"/>
      <c r="AQ202" s="199"/>
      <c r="AR202" s="199"/>
      <c r="AS202" s="199"/>
      <c r="AV202" s="199"/>
      <c r="AW202" s="199"/>
      <c r="AX202" s="199"/>
      <c r="AY202" s="199"/>
      <c r="AZ202" s="199"/>
      <c r="BD202" s="199"/>
      <c r="BF202" s="199"/>
    </row>
    <row r="203" spans="1:100" x14ac:dyDescent="0.2">
      <c r="A203" s="212"/>
      <c r="B203" s="212"/>
      <c r="C203" s="199"/>
      <c r="D203" s="199"/>
      <c r="E203" s="185"/>
      <c r="F203" s="199"/>
      <c r="G203" s="199"/>
      <c r="H203" s="199"/>
      <c r="I203" s="199"/>
      <c r="J203"/>
      <c r="K203"/>
      <c r="L203" s="199"/>
      <c r="M203" s="199"/>
      <c r="N203" s="199"/>
      <c r="O203" s="185"/>
      <c r="P203" s="185"/>
      <c r="Q203" s="199"/>
      <c r="R203" s="199"/>
      <c r="W203" s="199"/>
      <c r="X203" s="199"/>
      <c r="Y203" s="199"/>
      <c r="Z203" s="199"/>
      <c r="AA203" s="199"/>
      <c r="AB203" s="199"/>
      <c r="AC203" s="199"/>
      <c r="AD203" s="199"/>
      <c r="AL203" s="199"/>
      <c r="AM203" s="199"/>
      <c r="AN203" s="199"/>
      <c r="AO203" s="199"/>
      <c r="AP203" s="199"/>
      <c r="AQ203" s="199"/>
      <c r="AR203" s="199"/>
      <c r="AS203" s="199"/>
      <c r="AV203" s="199"/>
      <c r="AW203" s="199"/>
      <c r="AX203" s="199"/>
      <c r="AY203" s="199"/>
      <c r="AZ203" s="199"/>
      <c r="BD203" s="199"/>
      <c r="BF203" s="199"/>
    </row>
    <row r="204" spans="1:100" x14ac:dyDescent="0.2">
      <c r="A204" s="212"/>
      <c r="B204" s="212"/>
      <c r="C204" s="199"/>
      <c r="D204" s="199"/>
      <c r="E204" s="185"/>
      <c r="F204" s="199"/>
      <c r="G204" s="199"/>
      <c r="H204" s="199"/>
      <c r="I204" s="199"/>
      <c r="J204"/>
      <c r="K204"/>
      <c r="L204" s="199"/>
      <c r="M204" s="199"/>
      <c r="N204" s="199"/>
      <c r="O204" s="185"/>
      <c r="P204" s="185"/>
      <c r="Q204" s="199"/>
      <c r="R204" s="199"/>
      <c r="W204" s="199"/>
      <c r="X204" s="199"/>
      <c r="Y204" s="199"/>
      <c r="Z204" s="199"/>
      <c r="AA204" s="199"/>
      <c r="AB204" s="199"/>
      <c r="AC204" s="199"/>
      <c r="AD204" s="199"/>
      <c r="AL204" s="199"/>
      <c r="AM204" s="199"/>
      <c r="AN204" s="199"/>
      <c r="AO204" s="199"/>
      <c r="AP204" s="199"/>
      <c r="AQ204" s="199"/>
      <c r="AR204" s="199"/>
      <c r="AS204" s="199"/>
      <c r="AV204" s="199"/>
      <c r="AW204" s="199"/>
      <c r="AX204" s="199"/>
      <c r="AY204" s="199"/>
      <c r="AZ204" s="199"/>
      <c r="BD204" s="199"/>
      <c r="BF204" s="199"/>
    </row>
    <row r="205" spans="1:100" x14ac:dyDescent="0.2">
      <c r="A205" s="212"/>
      <c r="B205" s="212"/>
      <c r="C205" s="199"/>
      <c r="D205" s="199"/>
      <c r="E205" s="185"/>
      <c r="F205" s="199"/>
      <c r="G205" s="199"/>
      <c r="H205" s="199"/>
      <c r="I205" s="199"/>
      <c r="J205"/>
      <c r="K205"/>
      <c r="L205" s="199"/>
      <c r="M205" s="199"/>
      <c r="N205" s="199"/>
      <c r="O205" s="185"/>
      <c r="P205" s="185"/>
      <c r="Q205" s="199"/>
      <c r="R205" s="199"/>
      <c r="W205" s="199"/>
      <c r="X205" s="199"/>
      <c r="Y205" s="199"/>
      <c r="Z205" s="199"/>
      <c r="AA205" s="199"/>
      <c r="AB205" s="199"/>
      <c r="AC205" s="199"/>
      <c r="AD205" s="199"/>
      <c r="AL205" s="199"/>
      <c r="AM205" s="199"/>
      <c r="AN205" s="199"/>
      <c r="AO205" s="199"/>
      <c r="AP205" s="199"/>
      <c r="AQ205" s="199"/>
      <c r="AR205" s="199"/>
      <c r="AS205" s="199"/>
      <c r="AV205" s="199"/>
      <c r="AW205" s="199"/>
      <c r="AX205" s="199"/>
      <c r="AY205" s="199"/>
      <c r="AZ205" s="199"/>
      <c r="BD205" s="199"/>
      <c r="BF205" s="199"/>
    </row>
    <row r="206" spans="1:100" x14ac:dyDescent="0.2">
      <c r="A206" s="212"/>
      <c r="B206" s="212"/>
      <c r="C206" s="199"/>
      <c r="D206" s="199"/>
      <c r="E206" s="185"/>
      <c r="F206" s="199"/>
      <c r="G206" s="199"/>
      <c r="H206" s="199"/>
      <c r="I206" s="199"/>
      <c r="J206"/>
      <c r="K206"/>
      <c r="L206" s="199"/>
      <c r="M206" s="199"/>
      <c r="N206" s="199"/>
      <c r="O206" s="185"/>
      <c r="P206" s="185"/>
      <c r="Q206" s="199"/>
      <c r="R206" s="199"/>
      <c r="W206" s="199"/>
      <c r="X206" s="199"/>
      <c r="Y206" s="199"/>
      <c r="Z206" s="199"/>
      <c r="AA206" s="199"/>
      <c r="AB206" s="199"/>
      <c r="AC206" s="199"/>
      <c r="AD206" s="199"/>
      <c r="AL206" s="199"/>
      <c r="AM206" s="199"/>
      <c r="AN206" s="199"/>
      <c r="AO206" s="199"/>
      <c r="AP206" s="199"/>
      <c r="AQ206" s="199"/>
      <c r="AR206" s="199"/>
      <c r="AS206" s="199"/>
      <c r="AV206" s="199"/>
      <c r="AW206" s="199"/>
      <c r="AX206" s="199"/>
      <c r="AY206" s="199"/>
      <c r="AZ206" s="199"/>
      <c r="BD206" s="199"/>
      <c r="BF206" s="199"/>
    </row>
    <row r="207" spans="1:100" x14ac:dyDescent="0.2">
      <c r="A207" s="212"/>
      <c r="B207" s="212"/>
      <c r="C207" s="199"/>
      <c r="D207" s="199"/>
      <c r="E207" s="185"/>
      <c r="F207" s="199"/>
      <c r="G207" s="199"/>
      <c r="H207" s="199"/>
      <c r="I207" s="199"/>
      <c r="J207"/>
      <c r="K207"/>
      <c r="L207" s="199"/>
      <c r="M207" s="199"/>
      <c r="N207" s="199"/>
      <c r="O207" s="185"/>
      <c r="P207" s="185"/>
      <c r="Q207" s="199"/>
      <c r="R207" s="199"/>
      <c r="W207" s="199"/>
      <c r="X207" s="199"/>
      <c r="Y207" s="199"/>
      <c r="Z207" s="199"/>
      <c r="AA207" s="199"/>
      <c r="AB207" s="199"/>
      <c r="AC207" s="199"/>
      <c r="AD207" s="199"/>
      <c r="AL207" s="199"/>
      <c r="AM207" s="199"/>
      <c r="AN207" s="199"/>
      <c r="AO207" s="199"/>
      <c r="AP207" s="199"/>
      <c r="AQ207" s="199"/>
      <c r="AR207" s="199"/>
      <c r="AS207" s="199"/>
      <c r="AV207" s="199"/>
      <c r="AW207" s="199"/>
      <c r="AX207" s="199"/>
      <c r="AY207" s="199"/>
      <c r="AZ207" s="199"/>
      <c r="BD207" s="199"/>
      <c r="BF207" s="199"/>
    </row>
    <row r="208" spans="1:100" x14ac:dyDescent="0.2">
      <c r="A208" s="212"/>
      <c r="B208" s="212"/>
      <c r="C208" s="199"/>
      <c r="D208" s="199"/>
      <c r="E208" s="185"/>
      <c r="F208" s="199"/>
      <c r="G208" s="199"/>
      <c r="H208" s="199"/>
      <c r="I208" s="199"/>
      <c r="J208"/>
      <c r="K208"/>
      <c r="L208" s="199"/>
      <c r="M208" s="199"/>
      <c r="N208" s="199"/>
      <c r="O208" s="185"/>
      <c r="P208" s="185"/>
      <c r="Q208" s="199"/>
      <c r="R208" s="199"/>
      <c r="W208" s="199"/>
      <c r="X208" s="199"/>
      <c r="Y208" s="199"/>
      <c r="Z208" s="199"/>
      <c r="AA208" s="199"/>
      <c r="AB208" s="199"/>
      <c r="AC208" s="199"/>
      <c r="AD208" s="199"/>
      <c r="AL208" s="199"/>
      <c r="AM208" s="199"/>
      <c r="AN208" s="199"/>
      <c r="AO208" s="199"/>
      <c r="AP208" s="199"/>
      <c r="AQ208" s="199"/>
      <c r="AR208" s="199"/>
      <c r="AS208" s="199"/>
      <c r="AV208" s="199"/>
      <c r="AW208" s="199"/>
      <c r="AX208" s="199"/>
      <c r="AY208" s="199"/>
      <c r="AZ208" s="199"/>
      <c r="BD208" s="199"/>
      <c r="BF208" s="199"/>
    </row>
    <row r="209" spans="1:100" x14ac:dyDescent="0.2">
      <c r="A209" s="212"/>
      <c r="B209" s="212"/>
      <c r="C209" s="199"/>
      <c r="D209" s="199"/>
      <c r="E209" s="185"/>
      <c r="F209" s="199"/>
      <c r="G209" s="199"/>
      <c r="H209" s="199"/>
      <c r="I209" s="199"/>
      <c r="J209"/>
      <c r="K209"/>
      <c r="L209" s="199"/>
      <c r="M209" s="199"/>
      <c r="N209" s="199"/>
      <c r="O209" s="185"/>
      <c r="P209" s="185"/>
      <c r="Q209" s="199"/>
      <c r="R209" s="199"/>
      <c r="W209" s="199"/>
      <c r="X209" s="199"/>
      <c r="Y209" s="199"/>
      <c r="Z209" s="199"/>
      <c r="AA209" s="199"/>
      <c r="AB209" s="199"/>
      <c r="AC209" s="199"/>
      <c r="AD209" s="199"/>
      <c r="AL209" s="199"/>
      <c r="AM209" s="199"/>
      <c r="AN209" s="199"/>
      <c r="AO209" s="199"/>
      <c r="AP209" s="199"/>
      <c r="AQ209" s="199"/>
      <c r="AR209" s="199"/>
      <c r="AS209" s="199"/>
      <c r="AV209" s="199"/>
      <c r="AW209" s="199"/>
      <c r="AX209" s="199"/>
      <c r="AY209" s="199"/>
      <c r="AZ209" s="199"/>
      <c r="BD209" s="199"/>
      <c r="BF209" s="199"/>
    </row>
    <row r="210" spans="1:100" x14ac:dyDescent="0.2">
      <c r="A210" s="212"/>
      <c r="B210" s="212"/>
      <c r="C210" s="199"/>
      <c r="D210" s="199"/>
      <c r="E210" s="185"/>
      <c r="F210" s="199"/>
      <c r="G210" s="199"/>
      <c r="H210" s="199"/>
      <c r="I210" s="199"/>
      <c r="J210"/>
      <c r="K210"/>
      <c r="L210" s="199"/>
      <c r="M210" s="199"/>
      <c r="N210" s="199"/>
      <c r="O210" s="185"/>
      <c r="P210" s="185"/>
      <c r="Q210" s="199"/>
      <c r="R210" s="199"/>
      <c r="W210" s="199"/>
      <c r="X210" s="199"/>
      <c r="Y210" s="199"/>
      <c r="Z210" s="199"/>
      <c r="AA210" s="199"/>
      <c r="AB210" s="199"/>
      <c r="AC210" s="199"/>
      <c r="AD210" s="199"/>
      <c r="AL210" s="199"/>
      <c r="AM210" s="199"/>
      <c r="AN210" s="199"/>
      <c r="AO210" s="199"/>
      <c r="AP210" s="199"/>
      <c r="AQ210" s="199"/>
      <c r="AR210" s="199"/>
      <c r="AS210" s="199"/>
      <c r="AV210" s="199"/>
      <c r="AW210" s="199"/>
      <c r="AX210" s="199"/>
      <c r="AY210" s="199"/>
      <c r="AZ210" s="199"/>
      <c r="BD210" s="199"/>
      <c r="BF210" s="199"/>
    </row>
    <row r="211" spans="1:100" x14ac:dyDescent="0.2">
      <c r="A211" s="212"/>
      <c r="B211" s="212"/>
      <c r="C211" s="199"/>
      <c r="D211" s="199"/>
      <c r="E211" s="185"/>
      <c r="F211" s="199"/>
      <c r="G211" s="199"/>
      <c r="H211" s="199"/>
      <c r="I211" s="199"/>
      <c r="J211" s="199"/>
      <c r="K211" s="199"/>
      <c r="L211" s="199"/>
      <c r="M211" s="199"/>
      <c r="N211" s="199"/>
      <c r="O211" s="185"/>
      <c r="P211" s="185"/>
      <c r="Q211" s="199"/>
      <c r="R211" s="199"/>
      <c r="W211" s="199"/>
      <c r="X211" s="199"/>
      <c r="Y211" s="199"/>
      <c r="Z211" s="199"/>
      <c r="AA211" s="199"/>
      <c r="AB211" s="199"/>
      <c r="AC211" s="199"/>
      <c r="AD211" s="199"/>
      <c r="AL211" s="199"/>
      <c r="AM211" s="199"/>
      <c r="AN211" s="199"/>
      <c r="AO211" s="199"/>
      <c r="AP211" s="199"/>
      <c r="AQ211" s="199"/>
      <c r="AR211" s="199"/>
      <c r="AS211" s="199"/>
      <c r="AV211" s="199"/>
      <c r="AW211" s="199"/>
      <c r="AX211" s="199"/>
      <c r="AY211" s="199"/>
      <c r="AZ211" s="199"/>
      <c r="BA211" s="199"/>
      <c r="BB211" s="199"/>
      <c r="BD211" s="199"/>
      <c r="BF211" s="199"/>
      <c r="BG211" s="194"/>
      <c r="BJ211" s="194"/>
      <c r="BK211" s="194"/>
      <c r="BL211" s="194"/>
      <c r="BM211" s="194"/>
      <c r="BN211" s="194"/>
      <c r="BO211" s="194"/>
      <c r="BP211" s="194"/>
      <c r="BQ211" s="194"/>
      <c r="BR211" s="194"/>
      <c r="BS211" s="194"/>
      <c r="BT211" s="194"/>
      <c r="BU211" s="194"/>
      <c r="BV211" s="194"/>
      <c r="BW211" s="194"/>
      <c r="BX211" s="194"/>
      <c r="BY211" s="194"/>
      <c r="BZ211" s="194"/>
      <c r="CA211" s="194"/>
      <c r="CB211" s="194"/>
      <c r="CC211" s="194"/>
      <c r="CD211" s="194"/>
      <c r="CE211" s="194"/>
      <c r="CF211" s="194"/>
      <c r="CG211" s="194"/>
      <c r="CH211" s="194"/>
      <c r="CI211" s="194"/>
      <c r="CJ211" s="194"/>
      <c r="CK211" s="194"/>
      <c r="CL211" s="194"/>
      <c r="CM211" s="194"/>
      <c r="CN211" s="194"/>
      <c r="CO211" s="194"/>
      <c r="CP211" s="194"/>
      <c r="CQ211" s="194"/>
      <c r="CR211" s="194"/>
      <c r="CS211" s="194"/>
      <c r="CT211" s="194"/>
      <c r="CU211" s="194"/>
      <c r="CV211" s="194"/>
    </row>
    <row r="212" spans="1:100" x14ac:dyDescent="0.2">
      <c r="A212" s="212"/>
      <c r="B212" s="212"/>
      <c r="C212" s="199"/>
      <c r="D212" s="199"/>
      <c r="E212" s="185"/>
      <c r="F212" s="199"/>
      <c r="G212" s="199"/>
      <c r="H212" s="199"/>
      <c r="I212" s="199"/>
      <c r="J212"/>
      <c r="K212"/>
      <c r="L212" s="199"/>
      <c r="M212" s="199"/>
      <c r="N212" s="199"/>
      <c r="O212" s="185"/>
      <c r="P212" s="185"/>
      <c r="Q212" s="199"/>
      <c r="R212" s="199"/>
      <c r="W212" s="199"/>
      <c r="X212" s="199"/>
      <c r="Y212" s="199"/>
      <c r="Z212" s="199"/>
      <c r="AA212" s="199"/>
      <c r="AB212" s="199"/>
      <c r="AC212" s="199"/>
      <c r="AD212" s="199"/>
      <c r="AL212" s="199"/>
      <c r="AM212" s="199"/>
      <c r="AN212" s="199"/>
      <c r="AO212" s="199"/>
      <c r="AP212" s="199"/>
      <c r="AQ212" s="199"/>
      <c r="AR212" s="199"/>
      <c r="AS212" s="199"/>
      <c r="AV212" s="199"/>
      <c r="AW212" s="199"/>
      <c r="AX212" s="199"/>
      <c r="AY212" s="199"/>
      <c r="AZ212" s="199"/>
      <c r="BD212" s="199"/>
      <c r="BF212" s="199"/>
    </row>
    <row r="213" spans="1:100" x14ac:dyDescent="0.2">
      <c r="A213" s="212"/>
      <c r="B213" s="212"/>
      <c r="C213" s="199"/>
      <c r="D213" s="199"/>
      <c r="E213" s="185"/>
      <c r="F213" s="199"/>
      <c r="G213" s="199"/>
      <c r="H213" s="199"/>
      <c r="I213" s="199"/>
      <c r="J213"/>
      <c r="K213"/>
      <c r="L213" s="199"/>
      <c r="M213" s="199"/>
      <c r="N213" s="199"/>
      <c r="O213" s="185"/>
      <c r="P213" s="185"/>
      <c r="Q213" s="199"/>
      <c r="R213" s="199"/>
      <c r="W213" s="199"/>
      <c r="X213" s="199"/>
      <c r="Y213" s="199"/>
      <c r="Z213" s="199"/>
      <c r="AA213" s="199"/>
      <c r="AB213" s="199"/>
      <c r="AC213" s="199"/>
      <c r="AD213" s="199"/>
      <c r="AL213" s="199"/>
      <c r="AM213" s="199"/>
      <c r="AN213" s="199"/>
      <c r="AO213" s="199"/>
      <c r="AP213" s="199"/>
      <c r="AQ213" s="199"/>
      <c r="AR213" s="199"/>
      <c r="AS213" s="199"/>
      <c r="AV213" s="199"/>
      <c r="AW213" s="199"/>
      <c r="AX213" s="199"/>
      <c r="AY213" s="199"/>
      <c r="AZ213" s="199"/>
      <c r="BD213" s="199"/>
      <c r="BF213" s="199"/>
    </row>
    <row r="214" spans="1:100" x14ac:dyDescent="0.2">
      <c r="A214" s="212"/>
      <c r="B214" s="212"/>
      <c r="C214" s="199"/>
      <c r="D214" s="199"/>
      <c r="E214" s="185"/>
      <c r="F214" s="199"/>
      <c r="G214" s="199"/>
      <c r="H214" s="199"/>
      <c r="I214" s="199"/>
      <c r="J214"/>
      <c r="K214"/>
      <c r="L214" s="199"/>
      <c r="M214" s="199"/>
      <c r="N214" s="199"/>
      <c r="O214" s="185"/>
      <c r="P214" s="185"/>
      <c r="Q214" s="199"/>
      <c r="R214" s="199"/>
      <c r="W214" s="199"/>
      <c r="X214" s="199"/>
      <c r="Y214" s="199"/>
      <c r="Z214" s="199"/>
      <c r="AA214" s="199"/>
      <c r="AB214" s="199"/>
      <c r="AC214" s="199"/>
      <c r="AD214" s="199"/>
      <c r="AL214" s="199"/>
      <c r="AM214" s="199"/>
      <c r="AN214" s="199"/>
      <c r="AO214" s="199"/>
      <c r="AP214" s="199"/>
      <c r="AQ214" s="199"/>
      <c r="AR214" s="199"/>
      <c r="AS214" s="199"/>
      <c r="AV214" s="199"/>
      <c r="AW214" s="199"/>
      <c r="AX214" s="199"/>
      <c r="AY214" s="199"/>
      <c r="AZ214" s="199"/>
      <c r="BD214" s="199"/>
      <c r="BF214" s="199"/>
    </row>
    <row r="215" spans="1:100" x14ac:dyDescent="0.2">
      <c r="A215" s="212"/>
      <c r="B215" s="212"/>
      <c r="C215" s="199"/>
      <c r="D215" s="199"/>
      <c r="E215" s="185"/>
      <c r="F215" s="199"/>
      <c r="G215" s="199"/>
      <c r="H215" s="199"/>
      <c r="I215" s="199"/>
      <c r="J215"/>
      <c r="K215"/>
      <c r="L215" s="199"/>
      <c r="M215" s="199"/>
      <c r="N215" s="199"/>
      <c r="O215" s="185"/>
      <c r="P215" s="185"/>
      <c r="Q215" s="199"/>
      <c r="R215" s="199"/>
      <c r="W215" s="199"/>
      <c r="X215" s="199"/>
      <c r="Y215" s="199"/>
      <c r="Z215" s="199"/>
      <c r="AA215" s="199"/>
      <c r="AB215" s="199"/>
      <c r="AC215" s="199"/>
      <c r="AD215" s="199"/>
      <c r="AL215" s="199"/>
      <c r="AM215" s="199"/>
      <c r="AN215" s="199"/>
      <c r="AO215" s="199"/>
      <c r="AP215" s="199"/>
      <c r="AQ215" s="199"/>
      <c r="AR215" s="199"/>
      <c r="AS215" s="199"/>
      <c r="AV215" s="199"/>
      <c r="AW215" s="199"/>
      <c r="AX215" s="199"/>
      <c r="AY215" s="199"/>
      <c r="AZ215" s="199"/>
      <c r="BD215" s="199"/>
      <c r="BF215" s="199"/>
    </row>
    <row r="216" spans="1:100" x14ac:dyDescent="0.2">
      <c r="A216" s="212"/>
      <c r="B216" s="212"/>
      <c r="C216" s="199"/>
      <c r="D216" s="199"/>
      <c r="E216" s="185"/>
      <c r="F216" s="199"/>
      <c r="G216" s="199"/>
      <c r="H216" s="199"/>
      <c r="I216" s="199"/>
      <c r="J216"/>
      <c r="K216"/>
      <c r="L216" s="199"/>
      <c r="M216" s="199"/>
      <c r="N216" s="199"/>
      <c r="O216" s="185"/>
      <c r="P216" s="185"/>
      <c r="Q216" s="199"/>
      <c r="R216" s="199"/>
      <c r="W216" s="199"/>
      <c r="X216" s="199"/>
      <c r="Y216" s="199"/>
      <c r="Z216" s="199"/>
      <c r="AA216" s="199"/>
      <c r="AB216" s="199"/>
      <c r="AC216" s="199"/>
      <c r="AD216" s="199"/>
      <c r="AL216" s="199"/>
      <c r="AM216" s="199"/>
      <c r="AN216" s="199"/>
      <c r="AO216" s="199"/>
      <c r="AP216" s="199"/>
      <c r="AQ216" s="199"/>
      <c r="AR216" s="199"/>
      <c r="AS216" s="199"/>
      <c r="AV216" s="199"/>
      <c r="AW216" s="199"/>
      <c r="AX216" s="199"/>
      <c r="AY216" s="199"/>
      <c r="AZ216" s="199"/>
      <c r="BD216" s="199"/>
      <c r="BF216" s="199"/>
    </row>
    <row r="217" spans="1:100" x14ac:dyDescent="0.2">
      <c r="A217" s="212"/>
      <c r="B217" s="212"/>
      <c r="C217" s="199"/>
      <c r="D217" s="199"/>
      <c r="E217" s="185"/>
      <c r="F217" s="199"/>
      <c r="G217" s="199"/>
      <c r="H217" s="199"/>
      <c r="I217" s="199"/>
      <c r="J217"/>
      <c r="K217"/>
      <c r="L217" s="199"/>
      <c r="M217" s="199"/>
      <c r="N217" s="199"/>
      <c r="O217" s="185"/>
      <c r="P217" s="185"/>
      <c r="Q217" s="199"/>
      <c r="R217" s="199"/>
      <c r="W217" s="199"/>
      <c r="X217" s="199"/>
      <c r="Y217" s="199"/>
      <c r="Z217" s="199"/>
      <c r="AA217" s="199"/>
      <c r="AB217" s="199"/>
      <c r="AC217" s="199"/>
      <c r="AD217" s="199"/>
      <c r="AL217" s="199"/>
      <c r="AM217" s="199"/>
      <c r="AN217" s="199"/>
      <c r="AO217" s="199"/>
      <c r="AP217" s="199"/>
      <c r="AQ217" s="199"/>
      <c r="AR217" s="199"/>
      <c r="AS217" s="199"/>
      <c r="AV217" s="199"/>
      <c r="AW217" s="199"/>
      <c r="AX217" s="199"/>
      <c r="AY217" s="199"/>
      <c r="AZ217" s="199"/>
      <c r="BD217" s="199"/>
      <c r="BF217" s="199"/>
    </row>
    <row r="218" spans="1:100" x14ac:dyDescent="0.2">
      <c r="A218" s="212"/>
      <c r="B218" s="212"/>
      <c r="C218" s="199"/>
      <c r="D218" s="199"/>
      <c r="E218" s="185"/>
      <c r="F218" s="199"/>
      <c r="G218" s="199"/>
      <c r="H218" s="199"/>
      <c r="I218" s="199"/>
      <c r="J218"/>
      <c r="K218"/>
      <c r="L218" s="199"/>
      <c r="M218" s="199"/>
      <c r="N218" s="199"/>
      <c r="O218" s="185"/>
      <c r="P218" s="185"/>
      <c r="Q218" s="199"/>
      <c r="R218" s="199"/>
      <c r="W218" s="199"/>
      <c r="X218" s="199"/>
      <c r="Y218" s="199"/>
      <c r="Z218" s="199"/>
      <c r="AA218" s="199"/>
      <c r="AB218" s="199"/>
      <c r="AC218" s="199"/>
      <c r="AD218" s="199"/>
      <c r="AL218" s="199"/>
      <c r="AM218" s="199"/>
      <c r="AN218" s="199"/>
      <c r="AO218" s="199"/>
      <c r="AP218" s="199"/>
      <c r="AQ218" s="199"/>
      <c r="AR218" s="199"/>
      <c r="AS218" s="199"/>
      <c r="AV218" s="199"/>
      <c r="AW218" s="199"/>
      <c r="AX218" s="199"/>
      <c r="AY218" s="199"/>
      <c r="AZ218" s="199"/>
      <c r="BD218" s="199"/>
      <c r="BF218" s="199"/>
    </row>
    <row r="219" spans="1:100" x14ac:dyDescent="0.2">
      <c r="A219" s="212"/>
      <c r="B219" s="212"/>
      <c r="C219" s="199"/>
      <c r="D219" s="199"/>
      <c r="E219" s="185"/>
      <c r="F219" s="199"/>
      <c r="G219" s="199"/>
      <c r="H219" s="199"/>
      <c r="I219" s="199"/>
      <c r="J219"/>
      <c r="K219"/>
      <c r="L219" s="199"/>
      <c r="M219" s="199"/>
      <c r="N219" s="199"/>
      <c r="O219" s="185"/>
      <c r="P219" s="185"/>
      <c r="Q219" s="199"/>
      <c r="R219" s="199"/>
      <c r="W219" s="199"/>
      <c r="X219" s="199"/>
      <c r="Y219" s="199"/>
      <c r="Z219" s="199"/>
      <c r="AA219" s="199"/>
      <c r="AB219" s="199"/>
      <c r="AC219" s="199"/>
      <c r="AD219" s="199"/>
      <c r="AL219" s="199"/>
      <c r="AM219" s="199"/>
      <c r="AN219" s="199"/>
      <c r="AO219" s="199"/>
      <c r="AP219" s="199"/>
      <c r="AQ219" s="199"/>
      <c r="AR219" s="199"/>
      <c r="AS219" s="199"/>
      <c r="AV219" s="199"/>
      <c r="AW219" s="199"/>
      <c r="AX219" s="199"/>
      <c r="AY219" s="199"/>
      <c r="AZ219" s="199"/>
      <c r="BD219" s="199"/>
      <c r="BF219" s="199"/>
    </row>
    <row r="220" spans="1:100" x14ac:dyDescent="0.2">
      <c r="A220" s="212"/>
      <c r="B220" s="212"/>
      <c r="C220" s="199"/>
      <c r="D220" s="199"/>
      <c r="E220" s="185"/>
      <c r="F220" s="199"/>
      <c r="G220" s="199"/>
      <c r="H220" s="199"/>
      <c r="I220" s="199"/>
      <c r="J220"/>
      <c r="K220"/>
      <c r="L220" s="199"/>
      <c r="M220" s="199"/>
      <c r="N220" s="199"/>
      <c r="O220" s="185"/>
      <c r="P220" s="185"/>
      <c r="Q220" s="199"/>
      <c r="R220" s="199"/>
      <c r="W220" s="199"/>
      <c r="X220" s="199"/>
      <c r="Y220" s="199"/>
      <c r="Z220" s="199"/>
      <c r="AA220" s="199"/>
      <c r="AB220" s="199"/>
      <c r="AC220" s="199"/>
      <c r="AD220" s="199"/>
      <c r="AL220" s="199"/>
      <c r="AM220" s="199"/>
      <c r="AN220" s="199"/>
      <c r="AO220" s="199"/>
      <c r="AP220" s="199"/>
      <c r="AQ220" s="199"/>
      <c r="AR220" s="199"/>
      <c r="AS220" s="199"/>
      <c r="AV220" s="199"/>
      <c r="AW220" s="199"/>
      <c r="AX220" s="199"/>
      <c r="AY220" s="199"/>
      <c r="AZ220" s="199"/>
      <c r="BD220" s="199"/>
      <c r="BF220" s="199"/>
    </row>
    <row r="221" spans="1:100" x14ac:dyDescent="0.2">
      <c r="A221" s="212"/>
      <c r="B221" s="212"/>
      <c r="C221" s="199"/>
      <c r="D221" s="199"/>
      <c r="E221" s="185"/>
      <c r="F221" s="199"/>
      <c r="G221" s="199"/>
      <c r="H221" s="199"/>
      <c r="I221" s="199"/>
      <c r="J221"/>
      <c r="K221"/>
      <c r="L221" s="199"/>
      <c r="M221" s="199"/>
      <c r="N221" s="199"/>
      <c r="O221" s="185"/>
      <c r="P221" s="185"/>
      <c r="Q221" s="199"/>
      <c r="R221" s="199"/>
      <c r="W221" s="199"/>
      <c r="X221" s="199"/>
      <c r="Y221" s="199"/>
      <c r="Z221" s="199"/>
      <c r="AA221" s="199"/>
      <c r="AB221" s="199"/>
      <c r="AC221" s="199"/>
      <c r="AD221" s="199"/>
      <c r="AL221" s="199"/>
      <c r="AM221" s="199"/>
      <c r="AN221" s="199"/>
      <c r="AO221" s="199"/>
      <c r="AP221" s="199"/>
      <c r="AQ221" s="199"/>
      <c r="AR221" s="199"/>
      <c r="AS221" s="199"/>
      <c r="AV221" s="199"/>
      <c r="AW221" s="199"/>
      <c r="AX221" s="199"/>
      <c r="AY221" s="199"/>
      <c r="AZ221" s="199"/>
      <c r="BD221" s="199"/>
      <c r="BF221" s="199"/>
    </row>
    <row r="222" spans="1:100" x14ac:dyDescent="0.2">
      <c r="A222" s="212"/>
      <c r="B222" s="212"/>
      <c r="C222" s="199"/>
      <c r="D222" s="199"/>
      <c r="E222" s="185"/>
      <c r="F222" s="199"/>
      <c r="G222" s="199"/>
      <c r="H222" s="199"/>
      <c r="I222" s="199"/>
      <c r="J222"/>
      <c r="K222"/>
      <c r="L222" s="199"/>
      <c r="M222" s="199"/>
      <c r="N222" s="199"/>
      <c r="O222" s="185"/>
      <c r="P222" s="185"/>
      <c r="Q222" s="199"/>
      <c r="R222" s="199"/>
      <c r="W222" s="199"/>
      <c r="X222" s="199"/>
      <c r="Y222" s="199"/>
      <c r="Z222" s="199"/>
      <c r="AA222" s="199"/>
      <c r="AB222" s="199"/>
      <c r="AC222" s="199"/>
      <c r="AD222" s="199"/>
      <c r="AL222" s="199"/>
      <c r="AM222" s="199"/>
      <c r="AN222" s="199"/>
      <c r="AO222" s="199"/>
      <c r="AP222" s="199"/>
      <c r="AQ222" s="199"/>
      <c r="AR222" s="199"/>
      <c r="AS222" s="199"/>
      <c r="AV222" s="199"/>
      <c r="AW222" s="199"/>
      <c r="AX222" s="199"/>
      <c r="AY222" s="199"/>
      <c r="AZ222" s="199"/>
      <c r="BD222" s="199"/>
      <c r="BF222" s="199"/>
    </row>
    <row r="223" spans="1:100" x14ac:dyDescent="0.2">
      <c r="A223" s="212"/>
      <c r="B223" s="212"/>
      <c r="C223" s="199"/>
      <c r="D223" s="199"/>
      <c r="E223" s="185"/>
      <c r="F223" s="199"/>
      <c r="G223" s="199"/>
      <c r="H223" s="199"/>
      <c r="I223" s="199"/>
      <c r="J223"/>
      <c r="K223"/>
      <c r="L223" s="199"/>
      <c r="M223" s="199"/>
      <c r="N223" s="199"/>
      <c r="O223" s="185"/>
      <c r="P223" s="185"/>
      <c r="Q223" s="199"/>
      <c r="R223" s="199"/>
      <c r="W223" s="199"/>
      <c r="X223" s="199"/>
      <c r="Y223" s="199"/>
      <c r="Z223" s="199"/>
      <c r="AA223" s="199"/>
      <c r="AB223" s="199"/>
      <c r="AC223" s="199"/>
      <c r="AD223" s="199"/>
      <c r="AL223" s="199"/>
      <c r="AM223" s="199"/>
      <c r="AN223" s="199"/>
      <c r="AO223" s="199"/>
      <c r="AP223" s="199"/>
      <c r="AQ223" s="199"/>
      <c r="AR223" s="199"/>
      <c r="AS223" s="199"/>
      <c r="AV223" s="199"/>
      <c r="AW223" s="199"/>
      <c r="AX223" s="199"/>
      <c r="AY223" s="199"/>
      <c r="AZ223" s="199"/>
      <c r="BD223" s="199"/>
      <c r="BF223" s="199"/>
    </row>
    <row r="224" spans="1:100" x14ac:dyDescent="0.2">
      <c r="A224" s="212"/>
      <c r="B224" s="212"/>
      <c r="C224" s="199"/>
      <c r="D224" s="199"/>
      <c r="E224" s="185"/>
      <c r="F224" s="199"/>
      <c r="G224" s="199"/>
      <c r="H224" s="199"/>
      <c r="I224" s="199"/>
      <c r="J224"/>
      <c r="K224"/>
      <c r="L224" s="199"/>
      <c r="M224" s="199"/>
      <c r="N224" s="199"/>
      <c r="O224" s="185"/>
      <c r="P224" s="185"/>
      <c r="Q224" s="199"/>
      <c r="R224" s="199"/>
      <c r="W224" s="199"/>
      <c r="X224" s="199"/>
      <c r="Y224" s="199"/>
      <c r="Z224" s="199"/>
      <c r="AA224" s="199"/>
      <c r="AB224" s="199"/>
      <c r="AC224" s="199"/>
      <c r="AD224" s="199"/>
      <c r="AL224" s="199"/>
      <c r="AM224" s="199"/>
      <c r="AN224" s="199"/>
      <c r="AO224" s="199"/>
      <c r="AP224" s="199"/>
      <c r="AQ224" s="199"/>
      <c r="AR224" s="199"/>
      <c r="AS224" s="199"/>
      <c r="AV224" s="199"/>
      <c r="AW224" s="199"/>
      <c r="AX224" s="199"/>
      <c r="AY224" s="199"/>
      <c r="AZ224" s="199"/>
      <c r="BD224" s="199"/>
      <c r="BF224" s="199"/>
    </row>
    <row r="225" spans="1:100" x14ac:dyDescent="0.2">
      <c r="A225" s="212"/>
      <c r="B225" s="212"/>
      <c r="C225" s="199"/>
      <c r="D225" s="199"/>
      <c r="E225" s="185"/>
      <c r="F225" s="199"/>
      <c r="G225" s="199"/>
      <c r="H225" s="199"/>
      <c r="I225" s="199"/>
      <c r="J225"/>
      <c r="K225"/>
      <c r="L225" s="199"/>
      <c r="M225" s="199"/>
      <c r="N225" s="199"/>
      <c r="O225" s="185"/>
      <c r="P225" s="185"/>
      <c r="Q225" s="199"/>
      <c r="R225" s="199"/>
      <c r="W225" s="199"/>
      <c r="X225" s="199"/>
      <c r="Y225" s="199"/>
      <c r="Z225" s="199"/>
      <c r="AA225" s="199"/>
      <c r="AB225" s="199"/>
      <c r="AC225" s="199"/>
      <c r="AD225" s="199"/>
      <c r="AL225" s="199"/>
      <c r="AM225" s="199"/>
      <c r="AN225" s="199"/>
      <c r="AO225" s="199"/>
      <c r="AP225" s="199"/>
      <c r="AQ225" s="199"/>
      <c r="AR225" s="199"/>
      <c r="AS225" s="199"/>
      <c r="AV225" s="199"/>
      <c r="AW225" s="199"/>
      <c r="AX225" s="199"/>
      <c r="AY225" s="199"/>
      <c r="AZ225" s="199"/>
      <c r="BD225" s="199"/>
      <c r="BF225" s="199"/>
    </row>
    <row r="226" spans="1:100" x14ac:dyDescent="0.2">
      <c r="A226" s="212"/>
      <c r="B226" s="212"/>
      <c r="C226" s="199"/>
      <c r="D226" s="199"/>
      <c r="E226" s="185"/>
      <c r="F226" s="199"/>
      <c r="G226" s="199"/>
      <c r="H226" s="199"/>
      <c r="I226" s="199"/>
      <c r="J226"/>
      <c r="K226"/>
      <c r="L226" s="199"/>
      <c r="M226" s="199"/>
      <c r="N226" s="199"/>
      <c r="O226" s="185"/>
      <c r="P226" s="185"/>
      <c r="Q226" s="199"/>
      <c r="R226" s="199"/>
      <c r="W226" s="199"/>
      <c r="X226" s="199"/>
      <c r="Y226" s="199"/>
      <c r="Z226" s="199"/>
      <c r="AA226" s="199"/>
      <c r="AB226" s="199"/>
      <c r="AC226" s="199"/>
      <c r="AD226" s="199"/>
      <c r="AL226" s="199"/>
      <c r="AM226" s="199"/>
      <c r="AN226" s="199"/>
      <c r="AO226" s="199"/>
      <c r="AP226" s="199"/>
      <c r="AQ226" s="199"/>
      <c r="AR226" s="199"/>
      <c r="AS226" s="199"/>
      <c r="AV226" s="199"/>
      <c r="AW226" s="199"/>
      <c r="AX226" s="199"/>
      <c r="AY226" s="199"/>
      <c r="AZ226" s="199"/>
      <c r="BD226" s="199"/>
      <c r="BF226" s="199"/>
    </row>
    <row r="227" spans="1:100" x14ac:dyDescent="0.2">
      <c r="A227" s="212"/>
      <c r="B227" s="212"/>
      <c r="C227" s="199"/>
      <c r="D227" s="199"/>
      <c r="E227" s="185"/>
      <c r="F227" s="199"/>
      <c r="G227" s="199"/>
      <c r="H227" s="199"/>
      <c r="I227" s="199"/>
      <c r="J227"/>
      <c r="K227"/>
      <c r="L227" s="199"/>
      <c r="M227" s="199"/>
      <c r="N227" s="199"/>
      <c r="O227" s="185"/>
      <c r="P227" s="185"/>
      <c r="Q227" s="199"/>
      <c r="R227" s="199"/>
      <c r="W227" s="199"/>
      <c r="X227" s="199"/>
      <c r="Y227" s="199"/>
      <c r="Z227" s="199"/>
      <c r="AA227" s="199"/>
      <c r="AB227" s="199"/>
      <c r="AC227" s="199"/>
      <c r="AD227" s="199"/>
      <c r="AL227" s="199"/>
      <c r="AM227" s="199"/>
      <c r="AN227" s="199"/>
      <c r="AO227" s="199"/>
      <c r="AP227" s="199"/>
      <c r="AQ227" s="199"/>
      <c r="AR227" s="199"/>
      <c r="AS227" s="199"/>
      <c r="AV227" s="199"/>
      <c r="AW227" s="199"/>
      <c r="AX227" s="199"/>
      <c r="AY227" s="199"/>
      <c r="AZ227" s="199"/>
      <c r="BD227" s="199"/>
      <c r="BF227" s="199"/>
    </row>
    <row r="228" spans="1:100" x14ac:dyDescent="0.2">
      <c r="A228" s="212"/>
      <c r="B228" s="212"/>
      <c r="C228" s="199"/>
      <c r="D228" s="199"/>
      <c r="E228" s="185"/>
      <c r="F228" s="199"/>
      <c r="G228" s="199"/>
      <c r="H228" s="199"/>
      <c r="I228" s="199"/>
      <c r="J228"/>
      <c r="K228"/>
      <c r="L228" s="199"/>
      <c r="M228" s="199"/>
      <c r="N228" s="199"/>
      <c r="O228" s="185"/>
      <c r="P228" s="185"/>
      <c r="Q228" s="199"/>
      <c r="R228" s="199"/>
      <c r="W228" s="199"/>
      <c r="X228" s="199"/>
      <c r="Y228" s="199"/>
      <c r="Z228" s="199"/>
      <c r="AA228" s="199"/>
      <c r="AB228" s="199"/>
      <c r="AC228" s="199"/>
      <c r="AD228" s="199"/>
      <c r="AL228" s="199"/>
      <c r="AM228" s="199"/>
      <c r="AN228" s="199"/>
      <c r="AO228" s="199"/>
      <c r="AP228" s="199"/>
      <c r="AQ228" s="199"/>
      <c r="AR228" s="199"/>
      <c r="AS228" s="199"/>
      <c r="AV228" s="199"/>
      <c r="AW228" s="199"/>
      <c r="AX228" s="199"/>
      <c r="AY228" s="199"/>
      <c r="AZ228" s="199"/>
      <c r="BD228" s="199"/>
      <c r="BF228" s="199"/>
    </row>
    <row r="229" spans="1:100" x14ac:dyDescent="0.2">
      <c r="A229" s="212"/>
      <c r="B229" s="212"/>
      <c r="C229" s="199"/>
      <c r="D229" s="199"/>
      <c r="E229" s="185"/>
      <c r="F229" s="199"/>
      <c r="G229" s="199"/>
      <c r="H229" s="199"/>
      <c r="I229" s="199"/>
      <c r="J229" s="199"/>
      <c r="K229" s="199"/>
      <c r="L229" s="199"/>
      <c r="M229" s="199"/>
      <c r="N229" s="199"/>
      <c r="O229" s="185"/>
      <c r="P229" s="185"/>
      <c r="Q229" s="199"/>
      <c r="R229" s="199"/>
      <c r="W229" s="199"/>
      <c r="X229" s="199"/>
      <c r="Y229" s="199"/>
      <c r="Z229" s="199"/>
      <c r="AA229" s="199"/>
      <c r="AB229" s="199"/>
      <c r="AC229" s="199"/>
      <c r="AD229" s="199"/>
      <c r="AL229" s="199"/>
      <c r="AM229" s="199"/>
      <c r="AN229" s="199"/>
      <c r="AO229" s="199"/>
      <c r="AP229" s="199"/>
      <c r="AQ229" s="199"/>
      <c r="AR229" s="199"/>
      <c r="AS229" s="199"/>
      <c r="AV229" s="199"/>
      <c r="AW229" s="199"/>
      <c r="AX229" s="199"/>
      <c r="AY229" s="199"/>
      <c r="AZ229" s="199"/>
      <c r="BA229" s="199"/>
      <c r="BB229" s="199"/>
      <c r="BD229" s="199"/>
      <c r="BF229" s="199"/>
      <c r="BG229" s="194"/>
      <c r="BJ229" s="194"/>
      <c r="BK229" s="194"/>
      <c r="BL229" s="194"/>
      <c r="BM229" s="194"/>
      <c r="BN229" s="194"/>
      <c r="BO229" s="194"/>
      <c r="BP229" s="194"/>
      <c r="BQ229" s="194"/>
      <c r="BR229" s="194"/>
      <c r="BS229" s="194"/>
      <c r="BT229" s="194"/>
      <c r="BU229" s="194"/>
      <c r="BV229" s="194"/>
      <c r="BW229" s="194"/>
      <c r="BX229" s="194"/>
      <c r="BY229" s="194"/>
      <c r="BZ229" s="194"/>
      <c r="CA229" s="194"/>
      <c r="CB229" s="194"/>
      <c r="CC229" s="194"/>
      <c r="CD229" s="194"/>
      <c r="CE229" s="194"/>
      <c r="CF229" s="194"/>
      <c r="CG229" s="194"/>
      <c r="CH229" s="194"/>
      <c r="CI229" s="194"/>
      <c r="CK229" s="194"/>
      <c r="CL229" s="194"/>
      <c r="CM229" s="194"/>
      <c r="CN229" s="194"/>
      <c r="CO229" s="194"/>
      <c r="CP229" s="194"/>
      <c r="CQ229" s="194"/>
      <c r="CR229" s="194"/>
      <c r="CS229" s="194"/>
      <c r="CT229" s="194"/>
      <c r="CU229" s="194"/>
      <c r="CV229" s="194"/>
    </row>
    <row r="230" spans="1:100" x14ac:dyDescent="0.2">
      <c r="A230" s="212"/>
      <c r="B230" s="212"/>
      <c r="C230" s="199"/>
      <c r="D230" s="199"/>
      <c r="E230" s="185"/>
      <c r="F230" s="199"/>
      <c r="G230" s="199"/>
      <c r="H230" s="199"/>
      <c r="I230" s="199"/>
      <c r="J230"/>
      <c r="K230"/>
      <c r="L230" s="199"/>
      <c r="M230" s="199"/>
      <c r="N230" s="199"/>
      <c r="O230" s="185"/>
      <c r="P230" s="185"/>
      <c r="Q230" s="199"/>
      <c r="R230" s="199"/>
      <c r="W230" s="199"/>
      <c r="X230" s="199"/>
      <c r="Y230" s="199"/>
      <c r="Z230" s="199"/>
      <c r="AA230" s="199"/>
      <c r="AB230" s="199"/>
      <c r="AC230" s="199"/>
      <c r="AD230" s="199"/>
      <c r="AL230" s="199"/>
      <c r="AM230" s="199"/>
      <c r="AN230" s="199"/>
      <c r="AO230" s="199"/>
      <c r="AP230" s="199"/>
      <c r="AQ230" s="199"/>
      <c r="AR230" s="199"/>
      <c r="AS230" s="199"/>
      <c r="AV230" s="199"/>
      <c r="AW230" s="199"/>
      <c r="AX230" s="199"/>
      <c r="AY230" s="199"/>
      <c r="AZ230" s="199"/>
      <c r="BD230" s="199"/>
      <c r="BF230" s="199"/>
    </row>
    <row r="231" spans="1:100" x14ac:dyDescent="0.2">
      <c r="A231" s="212"/>
      <c r="B231" s="212"/>
      <c r="C231" s="199"/>
      <c r="D231" s="199"/>
      <c r="E231" s="185"/>
      <c r="F231" s="199"/>
      <c r="G231" s="199"/>
      <c r="H231" s="199"/>
      <c r="I231" s="199"/>
      <c r="J231"/>
      <c r="K231"/>
      <c r="L231" s="199"/>
      <c r="M231" s="199"/>
      <c r="N231" s="199"/>
      <c r="O231" s="185"/>
      <c r="P231" s="185"/>
      <c r="Q231" s="199"/>
      <c r="R231" s="199"/>
      <c r="W231" s="199"/>
      <c r="X231" s="199"/>
      <c r="Y231" s="199"/>
      <c r="Z231" s="199"/>
      <c r="AA231" s="199"/>
      <c r="AB231" s="199"/>
      <c r="AC231" s="199"/>
      <c r="AD231" s="199"/>
      <c r="AL231" s="199"/>
      <c r="AM231" s="199"/>
      <c r="AN231" s="199"/>
      <c r="AO231" s="199"/>
      <c r="AP231" s="199"/>
      <c r="AQ231" s="199"/>
      <c r="AR231" s="199"/>
      <c r="AS231" s="199"/>
      <c r="AV231" s="199"/>
      <c r="AW231" s="199"/>
      <c r="AX231" s="199"/>
      <c r="AY231" s="199"/>
      <c r="AZ231" s="199"/>
      <c r="BD231" s="199"/>
      <c r="BF231" s="199"/>
    </row>
    <row r="232" spans="1:100" x14ac:dyDescent="0.2">
      <c r="A232" s="212"/>
      <c r="B232" s="212"/>
      <c r="C232" s="199"/>
      <c r="D232" s="199"/>
      <c r="E232" s="185"/>
      <c r="F232" s="199"/>
      <c r="G232" s="199"/>
      <c r="H232" s="199"/>
      <c r="I232" s="199"/>
      <c r="J232"/>
      <c r="K232"/>
      <c r="L232" s="199"/>
      <c r="M232" s="199"/>
      <c r="N232" s="199"/>
      <c r="O232" s="185"/>
      <c r="P232" s="185"/>
      <c r="Q232" s="199"/>
      <c r="R232" s="199"/>
      <c r="W232" s="199"/>
      <c r="X232" s="199"/>
      <c r="Y232" s="199"/>
      <c r="Z232" s="199"/>
      <c r="AA232" s="199"/>
      <c r="AB232" s="199"/>
      <c r="AC232" s="199"/>
      <c r="AD232" s="199"/>
      <c r="AL232" s="199"/>
      <c r="AM232" s="199"/>
      <c r="AN232" s="199"/>
      <c r="AO232" s="199"/>
      <c r="AP232" s="199"/>
      <c r="AQ232" s="199"/>
      <c r="AR232" s="199"/>
      <c r="AS232" s="199"/>
      <c r="AV232" s="199"/>
      <c r="AW232" s="199"/>
      <c r="AX232" s="199"/>
      <c r="AY232" s="199"/>
      <c r="AZ232" s="199"/>
      <c r="BD232" s="199"/>
      <c r="BF232" s="199"/>
    </row>
    <row r="233" spans="1:100" x14ac:dyDescent="0.2">
      <c r="A233" s="212"/>
      <c r="B233" s="212"/>
      <c r="C233" s="199"/>
      <c r="D233" s="199"/>
      <c r="E233" s="185"/>
      <c r="F233" s="199"/>
      <c r="G233" s="199"/>
      <c r="H233" s="199"/>
      <c r="I233" s="199"/>
      <c r="J233"/>
      <c r="K233"/>
      <c r="L233" s="199"/>
      <c r="M233" s="199"/>
      <c r="N233" s="199"/>
      <c r="O233" s="185"/>
      <c r="P233" s="185"/>
      <c r="Q233" s="199"/>
      <c r="R233" s="199"/>
      <c r="W233" s="199"/>
      <c r="X233" s="199"/>
      <c r="Y233" s="199"/>
      <c r="Z233" s="199"/>
      <c r="AA233" s="199"/>
      <c r="AB233" s="199"/>
      <c r="AC233" s="199"/>
      <c r="AD233" s="199"/>
      <c r="AL233" s="199"/>
      <c r="AM233" s="199"/>
      <c r="AN233" s="199"/>
      <c r="AO233" s="199"/>
      <c r="AP233" s="199"/>
      <c r="AQ233" s="199"/>
      <c r="AR233" s="199"/>
      <c r="AS233" s="199"/>
      <c r="AV233" s="199"/>
      <c r="AW233" s="199"/>
      <c r="AX233" s="199"/>
      <c r="AY233" s="199"/>
      <c r="AZ233" s="199"/>
      <c r="BD233" s="199"/>
      <c r="BF233" s="199"/>
    </row>
    <row r="234" spans="1:100" x14ac:dyDescent="0.2">
      <c r="A234" s="212"/>
      <c r="B234" s="212"/>
      <c r="C234" s="199"/>
      <c r="D234" s="199"/>
      <c r="E234" s="185"/>
      <c r="F234" s="199"/>
      <c r="G234" s="199"/>
      <c r="H234" s="199"/>
      <c r="I234" s="199"/>
      <c r="J234"/>
      <c r="K234"/>
      <c r="L234" s="199"/>
      <c r="M234" s="199"/>
      <c r="N234" s="199"/>
      <c r="O234" s="185"/>
      <c r="P234" s="185"/>
      <c r="Q234" s="199"/>
      <c r="R234" s="199"/>
      <c r="W234" s="199"/>
      <c r="X234" s="199"/>
      <c r="Y234" s="199"/>
      <c r="Z234" s="199"/>
      <c r="AA234" s="199"/>
      <c r="AB234" s="199"/>
      <c r="AC234" s="199"/>
      <c r="AD234" s="199"/>
      <c r="AL234" s="199"/>
      <c r="AM234" s="199"/>
      <c r="AN234" s="199"/>
      <c r="AO234" s="199"/>
      <c r="AP234" s="199"/>
      <c r="AQ234" s="199"/>
      <c r="AR234" s="199"/>
      <c r="AS234" s="199"/>
      <c r="AV234" s="199"/>
      <c r="AW234" s="199"/>
      <c r="AX234" s="199"/>
      <c r="AY234" s="199"/>
      <c r="AZ234" s="199"/>
      <c r="BD234" s="199"/>
      <c r="BF234" s="199"/>
    </row>
    <row r="235" spans="1:100" x14ac:dyDescent="0.2">
      <c r="A235" s="212"/>
      <c r="B235" s="212"/>
      <c r="C235" s="199"/>
      <c r="D235" s="199"/>
      <c r="E235" s="185"/>
      <c r="F235" s="199"/>
      <c r="G235" s="199"/>
      <c r="H235" s="199"/>
      <c r="I235" s="199"/>
      <c r="J235"/>
      <c r="K235"/>
      <c r="L235" s="199"/>
      <c r="M235" s="199"/>
      <c r="N235" s="199"/>
      <c r="O235" s="185"/>
      <c r="P235" s="185"/>
      <c r="Q235" s="199"/>
      <c r="R235" s="199"/>
      <c r="W235" s="199"/>
      <c r="X235" s="199"/>
      <c r="Y235" s="199"/>
      <c r="Z235" s="199"/>
      <c r="AA235" s="199"/>
      <c r="AB235" s="199"/>
      <c r="AC235" s="199"/>
      <c r="AD235" s="199"/>
      <c r="AL235" s="199"/>
      <c r="AM235" s="199"/>
      <c r="AN235" s="199"/>
      <c r="AO235" s="199"/>
      <c r="AP235" s="199"/>
      <c r="AQ235" s="199"/>
      <c r="AR235" s="199"/>
      <c r="AS235" s="199"/>
      <c r="AV235" s="199"/>
      <c r="AW235" s="199"/>
      <c r="AX235" s="199"/>
      <c r="AY235" s="199"/>
      <c r="AZ235" s="199"/>
      <c r="BD235" s="199"/>
      <c r="BF235" s="199"/>
    </row>
    <row r="236" spans="1:100" x14ac:dyDescent="0.2">
      <c r="A236" s="212"/>
      <c r="B236" s="212"/>
      <c r="C236" s="199"/>
      <c r="D236" s="199"/>
      <c r="E236" s="185"/>
      <c r="F236" s="199"/>
      <c r="G236" s="199"/>
      <c r="H236" s="199"/>
      <c r="I236" s="199"/>
      <c r="J236"/>
      <c r="K236"/>
      <c r="L236" s="199"/>
      <c r="M236" s="199"/>
      <c r="N236" s="199"/>
      <c r="O236" s="185"/>
      <c r="P236" s="185"/>
      <c r="Q236" s="199"/>
      <c r="R236" s="199"/>
      <c r="W236" s="199"/>
      <c r="X236" s="199"/>
      <c r="Y236" s="199"/>
      <c r="Z236" s="199"/>
      <c r="AA236" s="199"/>
      <c r="AB236" s="199"/>
      <c r="AC236" s="199"/>
      <c r="AD236" s="199"/>
      <c r="AL236" s="199"/>
      <c r="AM236" s="199"/>
      <c r="AN236" s="199"/>
      <c r="AO236" s="199"/>
      <c r="AP236" s="199"/>
      <c r="AQ236" s="199"/>
      <c r="AR236" s="199"/>
      <c r="AS236" s="199"/>
      <c r="AV236" s="199"/>
      <c r="AW236" s="199"/>
      <c r="AX236" s="199"/>
      <c r="AY236" s="199"/>
      <c r="AZ236" s="199"/>
      <c r="BD236" s="199"/>
      <c r="BF236" s="199"/>
    </row>
    <row r="237" spans="1:100" x14ac:dyDescent="0.2">
      <c r="A237" s="212"/>
      <c r="B237" s="212"/>
      <c r="C237" s="199"/>
      <c r="D237" s="199"/>
      <c r="E237" s="185"/>
      <c r="F237" s="199"/>
      <c r="G237" s="199"/>
      <c r="H237" s="199"/>
      <c r="I237" s="199"/>
      <c r="J237" s="199"/>
      <c r="K237" s="199"/>
      <c r="L237" s="199"/>
      <c r="M237" s="199"/>
      <c r="N237" s="199"/>
      <c r="O237" s="185"/>
      <c r="P237" s="185"/>
      <c r="Q237" s="199"/>
      <c r="R237" s="199"/>
      <c r="W237" s="199"/>
      <c r="X237" s="199"/>
      <c r="Y237" s="199"/>
      <c r="Z237" s="199"/>
      <c r="AA237" s="199"/>
      <c r="AB237" s="199"/>
      <c r="AC237" s="199"/>
      <c r="AD237" s="199"/>
      <c r="AL237" s="199"/>
      <c r="AM237" s="199"/>
      <c r="AN237" s="199"/>
      <c r="AO237" s="199"/>
      <c r="AP237" s="199"/>
      <c r="AQ237" s="199"/>
      <c r="AR237" s="199"/>
      <c r="AS237" s="199"/>
      <c r="AV237" s="199"/>
      <c r="AW237" s="199"/>
      <c r="AX237" s="199"/>
      <c r="AY237" s="199"/>
      <c r="AZ237" s="199"/>
      <c r="BA237" s="199"/>
      <c r="BB237" s="199"/>
      <c r="BD237" s="199"/>
      <c r="BF237" s="199"/>
      <c r="BG237" s="194"/>
      <c r="BJ237" s="194"/>
      <c r="BK237" s="194"/>
      <c r="BL237" s="194"/>
      <c r="BM237" s="194"/>
      <c r="BN237" s="194"/>
      <c r="BO237" s="194"/>
      <c r="BP237" s="194"/>
      <c r="BQ237" s="194"/>
      <c r="BR237" s="194"/>
      <c r="BS237" s="194"/>
      <c r="BT237" s="194"/>
      <c r="BU237" s="194"/>
      <c r="BV237" s="194"/>
      <c r="BW237" s="194"/>
      <c r="BX237" s="194"/>
      <c r="BY237" s="194"/>
      <c r="BZ237" s="194"/>
      <c r="CA237" s="194"/>
      <c r="CB237" s="194"/>
      <c r="CC237" s="194"/>
      <c r="CD237" s="194"/>
      <c r="CE237" s="194"/>
      <c r="CF237" s="194"/>
      <c r="CG237" s="194"/>
      <c r="CH237" s="194"/>
      <c r="CI237" s="194"/>
      <c r="CJ237" s="194"/>
      <c r="CK237" s="194"/>
      <c r="CL237" s="194"/>
      <c r="CM237" s="194"/>
      <c r="CN237" s="194"/>
      <c r="CO237" s="194"/>
      <c r="CP237" s="194"/>
      <c r="CQ237" s="194"/>
      <c r="CR237" s="194"/>
      <c r="CS237" s="194"/>
      <c r="CT237" s="194"/>
      <c r="CU237" s="194"/>
      <c r="CV237" s="194"/>
    </row>
    <row r="238" spans="1:100" x14ac:dyDescent="0.2">
      <c r="A238" s="212"/>
      <c r="B238" s="212"/>
      <c r="C238" s="199"/>
      <c r="D238" s="199"/>
      <c r="E238" s="185"/>
      <c r="F238" s="199"/>
      <c r="G238" s="199"/>
      <c r="H238" s="199"/>
      <c r="I238" s="199"/>
      <c r="J238"/>
      <c r="K238"/>
      <c r="L238" s="199"/>
      <c r="M238" s="199"/>
      <c r="N238" s="199"/>
      <c r="O238" s="185"/>
      <c r="P238" s="185"/>
      <c r="Q238" s="199"/>
      <c r="R238" s="199"/>
      <c r="W238" s="199"/>
      <c r="X238" s="199"/>
      <c r="Y238" s="199"/>
      <c r="Z238" s="199"/>
      <c r="AA238" s="199"/>
      <c r="AB238" s="199"/>
      <c r="AC238" s="199"/>
      <c r="AD238" s="199"/>
      <c r="AL238" s="199"/>
      <c r="AM238" s="199"/>
      <c r="AN238" s="199"/>
      <c r="AO238" s="199"/>
      <c r="AP238" s="199"/>
      <c r="AQ238" s="199"/>
      <c r="AR238" s="199"/>
      <c r="AS238" s="199"/>
      <c r="AV238" s="199"/>
      <c r="AW238" s="199"/>
      <c r="AX238" s="199"/>
      <c r="AY238" s="199"/>
      <c r="AZ238" s="199"/>
      <c r="BD238" s="199"/>
      <c r="BF238" s="199"/>
    </row>
    <row r="239" spans="1:100" x14ac:dyDescent="0.2">
      <c r="A239" s="212"/>
      <c r="B239" s="212"/>
      <c r="C239" s="199"/>
      <c r="D239" s="199"/>
      <c r="E239" s="185"/>
      <c r="F239" s="199"/>
      <c r="G239" s="199"/>
      <c r="H239" s="199"/>
      <c r="I239" s="199"/>
      <c r="J239"/>
      <c r="K239"/>
      <c r="L239" s="199"/>
      <c r="M239" s="199"/>
      <c r="N239" s="199"/>
      <c r="O239" s="185"/>
      <c r="P239" s="185"/>
      <c r="Q239" s="199"/>
      <c r="R239" s="199"/>
      <c r="W239" s="199"/>
      <c r="X239" s="199"/>
      <c r="Y239" s="199"/>
      <c r="Z239" s="199"/>
      <c r="AA239" s="199"/>
      <c r="AB239" s="199"/>
      <c r="AC239" s="199"/>
      <c r="AD239" s="199"/>
      <c r="AL239" s="199"/>
      <c r="AM239" s="199"/>
      <c r="AN239" s="199"/>
      <c r="AO239" s="199"/>
      <c r="AP239" s="199"/>
      <c r="AQ239" s="199"/>
      <c r="AR239" s="199"/>
      <c r="AS239" s="199"/>
      <c r="AV239" s="199"/>
      <c r="AW239" s="199"/>
      <c r="AX239" s="199"/>
      <c r="AY239" s="199"/>
      <c r="AZ239" s="199"/>
      <c r="BD239" s="199"/>
      <c r="BF239" s="199"/>
    </row>
    <row r="240" spans="1:100" x14ac:dyDescent="0.2">
      <c r="A240" s="212"/>
      <c r="B240" s="212"/>
      <c r="C240" s="199"/>
      <c r="D240" s="199"/>
      <c r="E240" s="185"/>
      <c r="F240" s="199"/>
      <c r="G240" s="199"/>
      <c r="H240" s="199"/>
      <c r="I240" s="199"/>
      <c r="J240"/>
      <c r="K240"/>
      <c r="L240" s="199"/>
      <c r="M240" s="199"/>
      <c r="N240" s="199"/>
      <c r="O240" s="185"/>
      <c r="P240" s="185"/>
      <c r="Q240" s="199"/>
      <c r="R240" s="199"/>
      <c r="W240" s="199"/>
      <c r="X240" s="199"/>
      <c r="Y240" s="199"/>
      <c r="Z240" s="199"/>
      <c r="AA240" s="199"/>
      <c r="AB240" s="199"/>
      <c r="AC240" s="199"/>
      <c r="AD240" s="199"/>
      <c r="AL240" s="199"/>
      <c r="AM240" s="199"/>
      <c r="AN240" s="199"/>
      <c r="AO240" s="199"/>
      <c r="AP240" s="199"/>
      <c r="AQ240" s="199"/>
      <c r="AR240" s="199"/>
      <c r="AS240" s="199"/>
      <c r="AV240" s="199"/>
      <c r="AW240" s="199"/>
      <c r="AX240" s="199"/>
      <c r="AY240" s="199"/>
      <c r="AZ240" s="199"/>
      <c r="BD240" s="199"/>
      <c r="BF240" s="199"/>
    </row>
    <row r="241" spans="1:100" x14ac:dyDescent="0.2">
      <c r="A241" s="212"/>
      <c r="B241" s="212"/>
      <c r="C241" s="199"/>
      <c r="D241" s="199"/>
      <c r="E241" s="185"/>
      <c r="F241" s="199"/>
      <c r="G241" s="199"/>
      <c r="H241" s="199"/>
      <c r="I241" s="199"/>
      <c r="J241"/>
      <c r="K241"/>
      <c r="L241" s="199"/>
      <c r="M241" s="199"/>
      <c r="N241" s="199"/>
      <c r="O241" s="185"/>
      <c r="P241" s="185"/>
      <c r="Q241" s="199"/>
      <c r="R241" s="199"/>
      <c r="W241" s="199"/>
      <c r="X241" s="199"/>
      <c r="Y241" s="199"/>
      <c r="Z241" s="199"/>
      <c r="AA241" s="199"/>
      <c r="AB241" s="199"/>
      <c r="AC241" s="199"/>
      <c r="AD241" s="199"/>
      <c r="AL241" s="199"/>
      <c r="AM241" s="199"/>
      <c r="AN241" s="199"/>
      <c r="AO241" s="199"/>
      <c r="AP241" s="199"/>
      <c r="AQ241" s="199"/>
      <c r="AR241" s="199"/>
      <c r="AS241" s="199"/>
      <c r="AV241" s="199"/>
      <c r="AW241" s="199"/>
      <c r="AX241" s="199"/>
      <c r="AY241" s="199"/>
      <c r="AZ241" s="199"/>
      <c r="BD241" s="199"/>
      <c r="BF241" s="199"/>
    </row>
    <row r="242" spans="1:100" x14ac:dyDescent="0.2">
      <c r="A242" s="212"/>
      <c r="B242" s="212"/>
      <c r="C242" s="199"/>
      <c r="D242" s="199"/>
      <c r="E242" s="185"/>
      <c r="F242" s="199"/>
      <c r="G242" s="199"/>
      <c r="H242" s="199"/>
      <c r="I242" s="199"/>
      <c r="J242"/>
      <c r="K242"/>
      <c r="L242" s="199"/>
      <c r="M242" s="199"/>
      <c r="N242" s="199"/>
      <c r="O242" s="185"/>
      <c r="P242" s="185"/>
      <c r="Q242" s="199"/>
      <c r="R242" s="199"/>
      <c r="W242" s="199"/>
      <c r="X242" s="199"/>
      <c r="Y242" s="199"/>
      <c r="Z242" s="199"/>
      <c r="AA242" s="199"/>
      <c r="AB242" s="199"/>
      <c r="AC242" s="199"/>
      <c r="AD242" s="199"/>
      <c r="AL242" s="199"/>
      <c r="AM242" s="199"/>
      <c r="AN242" s="199"/>
      <c r="AO242" s="199"/>
      <c r="AP242" s="199"/>
      <c r="AQ242" s="199"/>
      <c r="AR242" s="199"/>
      <c r="AS242" s="199"/>
      <c r="AV242" s="199"/>
      <c r="AW242" s="199"/>
      <c r="AX242" s="199"/>
      <c r="AY242" s="199"/>
      <c r="AZ242" s="199"/>
      <c r="BD242" s="199"/>
      <c r="BF242" s="199"/>
    </row>
    <row r="243" spans="1:100" x14ac:dyDescent="0.2">
      <c r="A243" s="212"/>
      <c r="B243" s="212"/>
      <c r="C243" s="199"/>
      <c r="D243" s="199"/>
      <c r="E243" s="185"/>
      <c r="F243" s="199"/>
      <c r="G243" s="199"/>
      <c r="H243" s="199"/>
      <c r="I243" s="199"/>
      <c r="J243"/>
      <c r="K243"/>
      <c r="L243" s="199"/>
      <c r="M243" s="199"/>
      <c r="N243" s="199"/>
      <c r="O243" s="185"/>
      <c r="P243" s="185"/>
      <c r="Q243" s="199"/>
      <c r="R243" s="199"/>
      <c r="W243" s="199"/>
      <c r="X243" s="199"/>
      <c r="Y243" s="199"/>
      <c r="Z243" s="199"/>
      <c r="AA243" s="199"/>
      <c r="AB243" s="199"/>
      <c r="AC243" s="199"/>
      <c r="AD243" s="199"/>
      <c r="AL243" s="199"/>
      <c r="AM243" s="199"/>
      <c r="AN243" s="199"/>
      <c r="AO243" s="199"/>
      <c r="AP243" s="199"/>
      <c r="AQ243" s="199"/>
      <c r="AR243" s="199"/>
      <c r="AS243" s="199"/>
      <c r="AV243" s="199"/>
      <c r="AW243" s="199"/>
      <c r="AX243" s="199"/>
      <c r="AY243" s="199"/>
      <c r="AZ243" s="199"/>
      <c r="BD243" s="199"/>
      <c r="BF243" s="199"/>
    </row>
    <row r="244" spans="1:100" x14ac:dyDescent="0.2">
      <c r="A244" s="212"/>
      <c r="B244" s="212"/>
      <c r="C244" s="199"/>
      <c r="D244" s="199"/>
      <c r="E244" s="185"/>
      <c r="F244" s="199"/>
      <c r="G244" s="199"/>
      <c r="H244" s="199"/>
      <c r="I244" s="199"/>
      <c r="J244"/>
      <c r="K244"/>
      <c r="L244" s="199"/>
      <c r="M244" s="199"/>
      <c r="N244" s="199"/>
      <c r="O244" s="185"/>
      <c r="P244" s="185"/>
      <c r="Q244" s="199"/>
      <c r="R244" s="199"/>
      <c r="W244" s="199"/>
      <c r="X244" s="199"/>
      <c r="Y244" s="199"/>
      <c r="Z244" s="199"/>
      <c r="AA244" s="199"/>
      <c r="AB244" s="199"/>
      <c r="AC244" s="199"/>
      <c r="AD244" s="199"/>
      <c r="AL244" s="199"/>
      <c r="AM244" s="199"/>
      <c r="AN244" s="199"/>
      <c r="AO244" s="199"/>
      <c r="AP244" s="199"/>
      <c r="AQ244" s="199"/>
      <c r="AR244" s="199"/>
      <c r="AS244" s="199"/>
      <c r="AV244" s="199"/>
      <c r="AW244" s="199"/>
      <c r="AX244" s="199"/>
      <c r="AY244" s="199"/>
      <c r="AZ244" s="199"/>
      <c r="BD244" s="199"/>
      <c r="BF244" s="199"/>
    </row>
    <row r="245" spans="1:100" x14ac:dyDescent="0.2">
      <c r="A245" s="212"/>
      <c r="B245" s="212"/>
      <c r="C245" s="199"/>
      <c r="D245" s="199"/>
      <c r="E245" s="185"/>
      <c r="F245" s="199"/>
      <c r="G245" s="199"/>
      <c r="H245" s="199"/>
      <c r="I245" s="199"/>
      <c r="J245"/>
      <c r="K245"/>
      <c r="L245" s="199"/>
      <c r="M245" s="199"/>
      <c r="N245" s="199"/>
      <c r="O245" s="185"/>
      <c r="P245" s="185"/>
      <c r="Q245" s="199"/>
      <c r="R245" s="199"/>
      <c r="W245" s="199"/>
      <c r="X245" s="199"/>
      <c r="Y245" s="199"/>
      <c r="Z245" s="199"/>
      <c r="AA245" s="199"/>
      <c r="AB245" s="199"/>
      <c r="AC245" s="199"/>
      <c r="AD245" s="199"/>
      <c r="AL245" s="199"/>
      <c r="AM245" s="199"/>
      <c r="AN245" s="199"/>
      <c r="AO245" s="199"/>
      <c r="AP245" s="199"/>
      <c r="AQ245" s="199"/>
      <c r="AR245" s="199"/>
      <c r="AS245" s="199"/>
      <c r="AV245" s="199"/>
      <c r="AW245" s="199"/>
      <c r="AX245" s="199"/>
      <c r="AY245" s="199"/>
      <c r="AZ245" s="199"/>
      <c r="BD245" s="199"/>
      <c r="BF245" s="199"/>
    </row>
    <row r="246" spans="1:100" x14ac:dyDescent="0.2">
      <c r="A246" s="212"/>
      <c r="B246" s="212"/>
      <c r="C246" s="199"/>
      <c r="D246" s="199"/>
      <c r="E246" s="185"/>
      <c r="F246" s="199"/>
      <c r="G246" s="199"/>
      <c r="H246" s="199"/>
      <c r="I246" s="199"/>
      <c r="J246"/>
      <c r="K246"/>
      <c r="L246" s="199"/>
      <c r="M246" s="199"/>
      <c r="N246" s="199"/>
      <c r="O246" s="185"/>
      <c r="P246" s="185"/>
      <c r="Q246" s="199"/>
      <c r="R246" s="199"/>
      <c r="W246" s="199"/>
      <c r="X246" s="199"/>
      <c r="Y246" s="199"/>
      <c r="Z246" s="199"/>
      <c r="AA246" s="199"/>
      <c r="AB246" s="199"/>
      <c r="AC246" s="199"/>
      <c r="AD246" s="199"/>
      <c r="AL246" s="199"/>
      <c r="AM246" s="199"/>
      <c r="AN246" s="199"/>
      <c r="AO246" s="199"/>
      <c r="AP246" s="199"/>
      <c r="AQ246" s="199"/>
      <c r="AR246" s="199"/>
      <c r="AS246" s="199"/>
      <c r="AV246" s="199"/>
      <c r="AW246" s="199"/>
      <c r="AX246" s="199"/>
      <c r="AY246" s="199"/>
      <c r="AZ246" s="199"/>
      <c r="BD246" s="199"/>
      <c r="BF246" s="199"/>
    </row>
    <row r="247" spans="1:100" x14ac:dyDescent="0.2">
      <c r="A247" s="212"/>
      <c r="B247" s="212"/>
      <c r="C247" s="199"/>
      <c r="D247" s="199"/>
      <c r="E247" s="185"/>
      <c r="F247" s="199"/>
      <c r="G247" s="199"/>
      <c r="H247" s="199"/>
      <c r="I247" s="199"/>
      <c r="J247" s="199"/>
      <c r="K247" s="199"/>
      <c r="L247" s="199"/>
      <c r="M247" s="199"/>
      <c r="N247" s="199"/>
      <c r="O247" s="185"/>
      <c r="P247" s="185"/>
      <c r="Q247" s="199"/>
      <c r="R247" s="199"/>
      <c r="W247" s="199"/>
      <c r="X247" s="199"/>
      <c r="Y247" s="199"/>
      <c r="Z247" s="199"/>
      <c r="AA247" s="199"/>
      <c r="AB247" s="199"/>
      <c r="AC247" s="199"/>
      <c r="AD247" s="199"/>
      <c r="AL247" s="199"/>
      <c r="AM247" s="199"/>
      <c r="AN247" s="199"/>
      <c r="AO247" s="199"/>
      <c r="AP247" s="199"/>
      <c r="AQ247" s="199"/>
      <c r="AR247" s="199"/>
      <c r="AS247" s="199"/>
      <c r="AV247" s="199"/>
      <c r="AW247" s="199"/>
      <c r="AX247" s="199"/>
      <c r="AY247" s="199"/>
      <c r="AZ247" s="199"/>
      <c r="BA247" s="199"/>
      <c r="BB247" s="199"/>
      <c r="BD247" s="199"/>
      <c r="BF247" s="199"/>
      <c r="BG247" s="194"/>
      <c r="BH247" s="194"/>
      <c r="BJ247" s="194"/>
      <c r="BK247" s="194"/>
      <c r="BL247" s="194"/>
      <c r="BM247" s="194"/>
      <c r="BN247" s="194"/>
      <c r="BO247" s="194"/>
      <c r="BP247" s="194"/>
      <c r="BQ247" s="194"/>
      <c r="BR247" s="194"/>
      <c r="BS247" s="194"/>
      <c r="BT247" s="194"/>
      <c r="BU247" s="194"/>
      <c r="BV247" s="194"/>
      <c r="BW247" s="194"/>
      <c r="BX247" s="194"/>
      <c r="BY247" s="194"/>
      <c r="BZ247" s="194"/>
      <c r="CA247" s="194"/>
      <c r="CB247" s="194"/>
      <c r="CC247" s="194"/>
      <c r="CD247" s="194"/>
      <c r="CE247" s="194"/>
      <c r="CF247" s="194"/>
      <c r="CG247" s="194"/>
      <c r="CH247" s="194"/>
      <c r="CI247" s="194"/>
      <c r="CJ247" s="194"/>
      <c r="CK247" s="194"/>
      <c r="CL247" s="194"/>
      <c r="CM247" s="194"/>
      <c r="CN247" s="194"/>
      <c r="CO247" s="194"/>
      <c r="CP247" s="194"/>
      <c r="CQ247" s="194"/>
      <c r="CR247" s="194"/>
      <c r="CS247" s="194"/>
      <c r="CT247" s="194"/>
      <c r="CU247" s="194"/>
      <c r="CV247" s="194"/>
    </row>
    <row r="248" spans="1:100" x14ac:dyDescent="0.2">
      <c r="A248" s="212"/>
      <c r="B248" s="212"/>
      <c r="C248" s="199"/>
      <c r="D248" s="199"/>
      <c r="E248" s="185"/>
      <c r="F248" s="199"/>
      <c r="G248" s="199"/>
      <c r="H248" s="199"/>
      <c r="I248" s="199"/>
      <c r="J248"/>
      <c r="K248"/>
      <c r="L248" s="199"/>
      <c r="M248" s="199"/>
      <c r="N248" s="199"/>
      <c r="O248" s="185"/>
      <c r="P248" s="185"/>
      <c r="Q248" s="199"/>
      <c r="R248" s="199"/>
      <c r="W248" s="199"/>
      <c r="X248" s="199"/>
      <c r="Y248" s="199"/>
      <c r="Z248" s="199"/>
      <c r="AA248" s="199"/>
      <c r="AB248" s="199"/>
      <c r="AC248" s="199"/>
      <c r="AD248" s="199"/>
      <c r="AL248" s="199"/>
      <c r="AM248" s="199"/>
      <c r="AN248" s="199"/>
      <c r="AO248" s="199"/>
      <c r="AP248" s="199"/>
      <c r="AQ248" s="199"/>
      <c r="AR248" s="199"/>
      <c r="AS248" s="199"/>
      <c r="AV248" s="199"/>
      <c r="AW248" s="199"/>
      <c r="AX248" s="199"/>
      <c r="AY248" s="199"/>
      <c r="AZ248" s="199"/>
      <c r="BD248" s="199"/>
      <c r="BF248" s="199"/>
    </row>
    <row r="249" spans="1:100" x14ac:dyDescent="0.2">
      <c r="A249" s="212"/>
      <c r="B249" s="212"/>
      <c r="C249" s="199"/>
      <c r="D249" s="199"/>
      <c r="E249" s="185"/>
      <c r="F249" s="199"/>
      <c r="G249" s="199"/>
      <c r="H249" s="199"/>
      <c r="I249" s="199"/>
      <c r="J249"/>
      <c r="K249"/>
      <c r="L249" s="199"/>
      <c r="M249" s="199"/>
      <c r="N249" s="199"/>
      <c r="O249" s="185"/>
      <c r="P249" s="185"/>
      <c r="Q249" s="199"/>
      <c r="R249" s="199"/>
      <c r="W249" s="199"/>
      <c r="X249" s="199"/>
      <c r="Y249" s="199"/>
      <c r="Z249" s="199"/>
      <c r="AA249" s="199"/>
      <c r="AB249" s="199"/>
      <c r="AC249" s="199"/>
      <c r="AD249" s="199"/>
      <c r="AL249" s="199"/>
      <c r="AM249" s="199"/>
      <c r="AN249" s="199"/>
      <c r="AO249" s="199"/>
      <c r="AP249" s="199"/>
      <c r="AQ249" s="199"/>
      <c r="AR249" s="199"/>
      <c r="AS249" s="199"/>
      <c r="AV249" s="199"/>
      <c r="AW249" s="199"/>
      <c r="AX249" s="199"/>
      <c r="AY249" s="199"/>
      <c r="AZ249" s="199"/>
      <c r="BD249" s="199"/>
      <c r="BF249" s="199"/>
    </row>
    <row r="250" spans="1:100" x14ac:dyDescent="0.2">
      <c r="A250" s="212"/>
      <c r="B250" s="212"/>
      <c r="C250" s="199"/>
      <c r="D250" s="199"/>
      <c r="E250" s="185"/>
      <c r="F250" s="199"/>
      <c r="G250" s="199"/>
      <c r="H250" s="199"/>
      <c r="I250" s="199"/>
      <c r="J250"/>
      <c r="K250"/>
      <c r="L250" s="199"/>
      <c r="M250" s="199"/>
      <c r="N250" s="199"/>
      <c r="O250" s="185"/>
      <c r="P250" s="185"/>
      <c r="Q250" s="199"/>
      <c r="R250" s="199"/>
      <c r="W250" s="199"/>
      <c r="X250" s="199"/>
      <c r="Y250" s="199"/>
      <c r="Z250" s="199"/>
      <c r="AA250" s="199"/>
      <c r="AB250" s="199"/>
      <c r="AC250" s="199"/>
      <c r="AD250" s="199"/>
      <c r="AL250" s="199"/>
      <c r="AM250" s="199"/>
      <c r="AN250" s="199"/>
      <c r="AO250" s="199"/>
      <c r="AP250" s="199"/>
      <c r="AQ250" s="199"/>
      <c r="AR250" s="199"/>
      <c r="AS250" s="199"/>
      <c r="AV250" s="199"/>
      <c r="AW250" s="199"/>
      <c r="AX250" s="199"/>
      <c r="AY250" s="199"/>
      <c r="AZ250" s="199"/>
      <c r="BD250" s="199"/>
      <c r="BF250" s="199"/>
    </row>
    <row r="251" spans="1:100" x14ac:dyDescent="0.2">
      <c r="A251" s="212"/>
      <c r="B251" s="212"/>
      <c r="C251" s="199"/>
      <c r="D251" s="199"/>
      <c r="E251" s="185"/>
      <c r="F251" s="199"/>
      <c r="G251" s="199"/>
      <c r="H251" s="199"/>
      <c r="I251" s="199"/>
      <c r="J251"/>
      <c r="K251"/>
      <c r="L251" s="199"/>
      <c r="M251" s="199"/>
      <c r="N251" s="199"/>
      <c r="O251" s="185"/>
      <c r="P251" s="185"/>
      <c r="Q251" s="199"/>
      <c r="R251" s="199"/>
      <c r="W251" s="199"/>
      <c r="X251" s="199"/>
      <c r="Y251" s="199"/>
      <c r="Z251" s="199"/>
      <c r="AA251" s="199"/>
      <c r="AB251" s="199"/>
      <c r="AC251" s="199"/>
      <c r="AD251" s="199"/>
      <c r="AL251" s="199"/>
      <c r="AM251" s="199"/>
      <c r="AN251" s="199"/>
      <c r="AO251" s="199"/>
      <c r="AP251" s="199"/>
      <c r="AQ251" s="199"/>
      <c r="AR251" s="199"/>
      <c r="AS251" s="199"/>
      <c r="AV251" s="199"/>
      <c r="AW251" s="199"/>
      <c r="AX251" s="199"/>
      <c r="AY251" s="199"/>
      <c r="AZ251" s="199"/>
      <c r="BD251" s="199"/>
      <c r="BF251" s="199"/>
    </row>
    <row r="252" spans="1:100" x14ac:dyDescent="0.2">
      <c r="A252" s="212"/>
      <c r="B252" s="212"/>
      <c r="C252" s="199"/>
      <c r="D252" s="199"/>
      <c r="E252" s="185"/>
      <c r="F252" s="199"/>
      <c r="G252" s="199"/>
      <c r="H252" s="199"/>
      <c r="I252" s="199"/>
      <c r="J252"/>
      <c r="K252"/>
      <c r="L252" s="199"/>
      <c r="M252" s="199"/>
      <c r="N252" s="199"/>
      <c r="O252" s="185"/>
      <c r="P252" s="185"/>
      <c r="Q252" s="199"/>
      <c r="R252" s="199"/>
      <c r="W252" s="199"/>
      <c r="X252" s="199"/>
      <c r="Y252" s="199"/>
      <c r="Z252" s="199"/>
      <c r="AA252" s="199"/>
      <c r="AB252" s="199"/>
      <c r="AC252" s="199"/>
      <c r="AD252" s="199"/>
      <c r="AL252" s="199"/>
      <c r="AM252" s="199"/>
      <c r="AN252" s="199"/>
      <c r="AO252" s="199"/>
      <c r="AP252" s="199"/>
      <c r="AQ252" s="199"/>
      <c r="AR252" s="199"/>
      <c r="AS252" s="199"/>
      <c r="AV252" s="199"/>
      <c r="AW252" s="199"/>
      <c r="AX252" s="199"/>
      <c r="AY252" s="199"/>
      <c r="AZ252" s="199"/>
      <c r="BD252" s="199"/>
      <c r="BF252" s="199"/>
    </row>
    <row r="253" spans="1:100" x14ac:dyDescent="0.2">
      <c r="A253" s="212"/>
      <c r="B253" s="212"/>
      <c r="C253" s="199"/>
      <c r="D253" s="199"/>
      <c r="E253" s="185"/>
      <c r="F253" s="199"/>
      <c r="G253" s="199"/>
      <c r="H253" s="199"/>
      <c r="I253" s="199"/>
      <c r="J253"/>
      <c r="K253"/>
      <c r="L253" s="199"/>
      <c r="M253" s="199"/>
      <c r="N253" s="199"/>
      <c r="O253" s="185"/>
      <c r="P253" s="185"/>
      <c r="Q253" s="199"/>
      <c r="R253" s="199"/>
      <c r="W253" s="199"/>
      <c r="X253" s="199"/>
      <c r="Y253" s="199"/>
      <c r="Z253" s="199"/>
      <c r="AA253" s="199"/>
      <c r="AB253" s="199"/>
      <c r="AC253" s="199"/>
      <c r="AD253" s="199"/>
      <c r="AL253" s="199"/>
      <c r="AM253" s="199"/>
      <c r="AN253" s="199"/>
      <c r="AO253" s="199"/>
      <c r="AP253" s="199"/>
      <c r="AQ253" s="199"/>
      <c r="AR253" s="199"/>
      <c r="AS253" s="199"/>
      <c r="AV253" s="199"/>
      <c r="AW253" s="199"/>
      <c r="AX253" s="199"/>
      <c r="AY253" s="199"/>
      <c r="AZ253" s="199"/>
      <c r="BD253" s="199"/>
      <c r="BF253" s="199"/>
    </row>
    <row r="254" spans="1:100" x14ac:dyDescent="0.2">
      <c r="A254" s="212"/>
      <c r="B254" s="212"/>
      <c r="C254" s="199"/>
      <c r="D254" s="199"/>
      <c r="E254" s="185"/>
      <c r="F254" s="199"/>
      <c r="G254" s="199"/>
      <c r="H254" s="199"/>
      <c r="I254" s="199"/>
      <c r="J254" s="199"/>
      <c r="K254" s="199"/>
      <c r="L254" s="199"/>
      <c r="M254" s="199"/>
      <c r="N254" s="199"/>
      <c r="O254" s="185"/>
      <c r="P254" s="185"/>
      <c r="Q254" s="199"/>
      <c r="R254" s="199"/>
      <c r="W254" s="199"/>
      <c r="X254" s="199"/>
      <c r="Y254" s="199"/>
      <c r="Z254" s="199"/>
      <c r="AA254" s="199"/>
      <c r="AB254" s="199"/>
      <c r="AC254" s="199"/>
      <c r="AD254" s="199"/>
      <c r="AL254" s="199"/>
      <c r="AM254" s="199"/>
      <c r="AN254" s="199"/>
      <c r="AO254" s="199"/>
      <c r="AP254" s="199"/>
      <c r="AQ254" s="199"/>
      <c r="AR254" s="199"/>
      <c r="AS254" s="199"/>
      <c r="AV254" s="199"/>
      <c r="AW254" s="199"/>
      <c r="AX254" s="199"/>
      <c r="AY254" s="199"/>
      <c r="AZ254" s="199"/>
      <c r="BA254" s="199"/>
      <c r="BB254" s="199"/>
      <c r="BD254" s="199"/>
      <c r="BF254" s="199"/>
      <c r="BG254" s="194"/>
      <c r="BJ254" s="194"/>
      <c r="BK254" s="194"/>
      <c r="BL254" s="194"/>
      <c r="BM254" s="194"/>
      <c r="BN254" s="194"/>
      <c r="BO254" s="194"/>
      <c r="BP254" s="194"/>
      <c r="BQ254" s="194"/>
      <c r="BR254" s="194"/>
      <c r="BS254" s="194"/>
      <c r="BT254" s="194"/>
      <c r="BU254" s="194"/>
      <c r="BV254" s="194"/>
      <c r="BW254" s="194"/>
      <c r="BX254" s="194"/>
      <c r="BY254" s="194"/>
      <c r="BZ254" s="194"/>
      <c r="CA254" s="194"/>
      <c r="CB254" s="194"/>
      <c r="CC254" s="194"/>
      <c r="CD254" s="194"/>
      <c r="CE254" s="194"/>
      <c r="CF254" s="194"/>
      <c r="CG254" s="194"/>
      <c r="CH254" s="194"/>
      <c r="CI254" s="194"/>
      <c r="CJ254" s="194"/>
      <c r="CK254" s="194"/>
      <c r="CL254" s="194"/>
      <c r="CM254" s="194"/>
      <c r="CN254" s="194"/>
      <c r="CP254" s="194"/>
      <c r="CQ254" s="194"/>
      <c r="CR254" s="194"/>
      <c r="CS254" s="194"/>
      <c r="CT254" s="194"/>
      <c r="CU254" s="194"/>
      <c r="CV254" s="194"/>
    </row>
    <row r="255" spans="1:100" x14ac:dyDescent="0.2">
      <c r="A255" s="212"/>
      <c r="B255" s="212"/>
      <c r="C255" s="199"/>
      <c r="D255" s="199"/>
      <c r="E255" s="185"/>
      <c r="F255" s="199"/>
      <c r="G255" s="199"/>
      <c r="H255" s="199"/>
      <c r="I255" s="199"/>
      <c r="J255"/>
      <c r="K255"/>
      <c r="L255" s="199"/>
      <c r="M255" s="199"/>
      <c r="N255" s="199"/>
      <c r="O255" s="185"/>
      <c r="P255" s="185"/>
      <c r="Q255" s="199"/>
      <c r="R255" s="199"/>
      <c r="W255" s="199"/>
      <c r="X255" s="199"/>
      <c r="Y255" s="199"/>
      <c r="Z255" s="199"/>
      <c r="AA255" s="199"/>
      <c r="AB255" s="199"/>
      <c r="AC255" s="199"/>
      <c r="AD255" s="199"/>
      <c r="AL255" s="199"/>
      <c r="AM255" s="199"/>
      <c r="AN255" s="199"/>
      <c r="AO255" s="199"/>
      <c r="AP255" s="199"/>
      <c r="AQ255" s="199"/>
      <c r="AR255" s="199"/>
      <c r="AS255" s="199"/>
      <c r="AV255" s="199"/>
      <c r="AW255" s="199"/>
      <c r="AX255" s="199"/>
      <c r="AY255" s="199"/>
      <c r="AZ255" s="199"/>
      <c r="BD255" s="199"/>
      <c r="BF255" s="199"/>
    </row>
    <row r="256" spans="1:100" x14ac:dyDescent="0.2">
      <c r="A256" s="212"/>
      <c r="B256" s="212"/>
      <c r="C256" s="199"/>
      <c r="D256" s="199"/>
      <c r="E256" s="185"/>
      <c r="F256" s="199"/>
      <c r="G256" s="199"/>
      <c r="H256" s="199"/>
      <c r="I256" s="199"/>
      <c r="J256"/>
      <c r="K256"/>
      <c r="L256" s="199"/>
      <c r="M256" s="199"/>
      <c r="N256" s="199"/>
      <c r="O256" s="185"/>
      <c r="P256" s="185"/>
      <c r="Q256" s="199"/>
      <c r="R256" s="199"/>
      <c r="W256" s="199"/>
      <c r="X256" s="199"/>
      <c r="Y256" s="199"/>
      <c r="Z256" s="199"/>
      <c r="AA256" s="199"/>
      <c r="AB256" s="199"/>
      <c r="AC256" s="199"/>
      <c r="AD256" s="199"/>
      <c r="AL256" s="199"/>
      <c r="AM256" s="199"/>
      <c r="AN256" s="199"/>
      <c r="AO256" s="199"/>
      <c r="AP256" s="199"/>
      <c r="AQ256" s="199"/>
      <c r="AR256" s="199"/>
      <c r="AS256" s="199"/>
      <c r="AV256" s="199"/>
      <c r="AW256" s="199"/>
      <c r="AX256" s="199"/>
      <c r="AY256" s="199"/>
      <c r="AZ256" s="199"/>
      <c r="BD256" s="199"/>
      <c r="BF256" s="199"/>
    </row>
    <row r="257" spans="1:58" x14ac:dyDescent="0.2">
      <c r="A257" s="212"/>
      <c r="B257" s="212"/>
      <c r="C257" s="199"/>
      <c r="D257" s="199"/>
      <c r="E257" s="185"/>
      <c r="F257" s="199"/>
      <c r="G257" s="199"/>
      <c r="H257" s="199"/>
      <c r="I257" s="199"/>
      <c r="J257"/>
      <c r="K257"/>
      <c r="L257" s="199"/>
      <c r="M257" s="199"/>
      <c r="N257" s="199"/>
      <c r="O257" s="185"/>
      <c r="P257" s="185"/>
      <c r="Q257" s="199"/>
      <c r="R257" s="199"/>
      <c r="W257" s="199"/>
      <c r="X257" s="199"/>
      <c r="Y257" s="199"/>
      <c r="Z257" s="199"/>
      <c r="AA257" s="199"/>
      <c r="AB257" s="199"/>
      <c r="AC257" s="199"/>
      <c r="AD257" s="199"/>
      <c r="AL257" s="199"/>
      <c r="AM257" s="199"/>
      <c r="AN257" s="199"/>
      <c r="AO257" s="199"/>
      <c r="AP257" s="199"/>
      <c r="AQ257" s="199"/>
      <c r="AR257" s="199"/>
      <c r="AS257" s="199"/>
      <c r="AV257" s="199"/>
      <c r="AW257" s="199"/>
      <c r="AX257" s="199"/>
      <c r="AY257" s="199"/>
      <c r="AZ257" s="199"/>
      <c r="BD257" s="199"/>
      <c r="BF257" s="199"/>
    </row>
    <row r="258" spans="1:58" x14ac:dyDescent="0.2">
      <c r="A258" s="212"/>
      <c r="B258" s="212"/>
      <c r="C258" s="199"/>
      <c r="D258" s="199"/>
      <c r="E258" s="185"/>
      <c r="F258" s="199"/>
      <c r="G258" s="199"/>
      <c r="H258" s="199"/>
      <c r="I258" s="199"/>
      <c r="J258"/>
      <c r="K258"/>
      <c r="L258" s="199"/>
      <c r="M258" s="199"/>
      <c r="N258" s="199"/>
      <c r="O258" s="185"/>
      <c r="P258" s="185"/>
      <c r="Q258" s="199"/>
      <c r="R258" s="199"/>
      <c r="W258" s="199"/>
      <c r="X258" s="199"/>
      <c r="Y258" s="199"/>
      <c r="Z258" s="199"/>
      <c r="AA258" s="199"/>
      <c r="AB258" s="199"/>
      <c r="AC258" s="199"/>
      <c r="AD258" s="199"/>
      <c r="AL258" s="199"/>
      <c r="AM258" s="199"/>
      <c r="AN258" s="199"/>
      <c r="AO258" s="199"/>
      <c r="AP258" s="199"/>
      <c r="AQ258" s="199"/>
      <c r="AR258" s="199"/>
      <c r="AS258" s="199"/>
      <c r="AV258" s="199"/>
      <c r="AW258" s="199"/>
      <c r="AX258" s="199"/>
      <c r="AY258" s="199"/>
      <c r="AZ258" s="199"/>
      <c r="BD258" s="199"/>
      <c r="BF258" s="199"/>
    </row>
    <row r="259" spans="1:58" x14ac:dyDescent="0.2">
      <c r="A259" s="212"/>
      <c r="B259" s="212"/>
      <c r="C259" s="199"/>
      <c r="D259" s="199"/>
      <c r="E259" s="185"/>
      <c r="F259" s="199"/>
      <c r="G259" s="199"/>
      <c r="H259" s="199"/>
      <c r="I259" s="199"/>
      <c r="J259"/>
      <c r="K259"/>
      <c r="L259" s="199"/>
      <c r="M259" s="199"/>
      <c r="N259" s="199"/>
      <c r="O259" s="185"/>
      <c r="P259" s="185"/>
      <c r="Q259" s="199"/>
      <c r="R259" s="199"/>
      <c r="W259" s="199"/>
      <c r="X259" s="199"/>
      <c r="Y259" s="199"/>
      <c r="Z259" s="199"/>
      <c r="AA259" s="199"/>
      <c r="AB259" s="199"/>
      <c r="AC259" s="199"/>
      <c r="AD259" s="199"/>
      <c r="AL259" s="199"/>
      <c r="AM259" s="199"/>
      <c r="AN259" s="199"/>
      <c r="AO259" s="199"/>
      <c r="AP259" s="199"/>
      <c r="AQ259" s="199"/>
      <c r="AR259" s="199"/>
      <c r="AS259" s="199"/>
      <c r="AV259" s="199"/>
      <c r="AW259" s="199"/>
      <c r="AX259" s="199"/>
      <c r="AY259" s="199"/>
      <c r="AZ259" s="199"/>
      <c r="BD259" s="199"/>
      <c r="BF259" s="199"/>
    </row>
    <row r="260" spans="1:58" x14ac:dyDescent="0.2">
      <c r="A260" s="212"/>
      <c r="B260" s="212"/>
      <c r="C260" s="199"/>
      <c r="D260" s="199"/>
      <c r="E260" s="185"/>
      <c r="F260" s="199"/>
      <c r="G260" s="199"/>
      <c r="H260" s="199"/>
      <c r="I260" s="199"/>
      <c r="J260"/>
      <c r="K260"/>
      <c r="L260" s="199"/>
      <c r="M260" s="199"/>
      <c r="N260" s="199"/>
      <c r="O260" s="185"/>
      <c r="P260" s="185"/>
      <c r="Q260" s="199"/>
      <c r="R260" s="199"/>
      <c r="W260" s="199"/>
      <c r="X260" s="199"/>
      <c r="Y260" s="199"/>
      <c r="Z260" s="199"/>
      <c r="AA260" s="199"/>
      <c r="AB260" s="199"/>
      <c r="AC260" s="199"/>
      <c r="AD260" s="199"/>
      <c r="AL260" s="199"/>
      <c r="AM260" s="199"/>
      <c r="AN260" s="199"/>
      <c r="AO260" s="199"/>
      <c r="AP260" s="199"/>
      <c r="AQ260" s="199"/>
      <c r="AR260" s="199"/>
      <c r="AS260" s="199"/>
      <c r="AV260" s="199"/>
      <c r="AW260" s="199"/>
      <c r="AX260" s="199"/>
      <c r="AY260" s="199"/>
      <c r="AZ260" s="199"/>
      <c r="BD260" s="199"/>
      <c r="BF260" s="199"/>
    </row>
    <row r="261" spans="1:58" x14ac:dyDescent="0.2">
      <c r="A261" s="212"/>
      <c r="B261" s="212"/>
      <c r="C261" s="199"/>
      <c r="D261" s="199"/>
      <c r="E261" s="185"/>
      <c r="F261" s="199"/>
      <c r="G261" s="199"/>
      <c r="H261" s="199"/>
      <c r="I261" s="199"/>
      <c r="J261"/>
      <c r="K261"/>
      <c r="L261" s="199"/>
      <c r="M261" s="199"/>
      <c r="N261" s="199"/>
      <c r="O261" s="185"/>
      <c r="P261" s="185"/>
      <c r="Q261" s="199"/>
      <c r="R261" s="199"/>
      <c r="W261" s="199"/>
      <c r="X261" s="199"/>
      <c r="Y261" s="199"/>
      <c r="Z261" s="199"/>
      <c r="AA261" s="199"/>
      <c r="AB261" s="199"/>
      <c r="AC261" s="199"/>
      <c r="AD261" s="199"/>
      <c r="AL261" s="199"/>
      <c r="AM261" s="199"/>
      <c r="AN261" s="199"/>
      <c r="AO261" s="199"/>
      <c r="AP261" s="199"/>
      <c r="AQ261" s="199"/>
      <c r="AR261" s="199"/>
      <c r="AS261" s="199"/>
      <c r="AV261" s="199"/>
      <c r="AW261" s="199"/>
      <c r="AX261" s="199"/>
      <c r="AY261" s="199"/>
      <c r="AZ261" s="199"/>
      <c r="BD261" s="199"/>
      <c r="BF261" s="199"/>
    </row>
    <row r="262" spans="1:58" x14ac:dyDescent="0.2">
      <c r="A262" s="212"/>
      <c r="B262" s="212"/>
      <c r="C262" s="199"/>
      <c r="D262" s="199"/>
      <c r="E262" s="185"/>
      <c r="F262" s="199"/>
      <c r="G262" s="199"/>
      <c r="H262" s="199"/>
      <c r="I262" s="199"/>
      <c r="J262"/>
      <c r="K262"/>
      <c r="L262" s="199"/>
      <c r="M262" s="199"/>
      <c r="N262" s="199"/>
      <c r="O262" s="185"/>
      <c r="P262" s="185"/>
      <c r="Q262" s="199"/>
      <c r="R262" s="199"/>
      <c r="W262" s="199"/>
      <c r="X262" s="199"/>
      <c r="Y262" s="199"/>
      <c r="Z262" s="199"/>
      <c r="AA262" s="199"/>
      <c r="AB262" s="199"/>
      <c r="AC262" s="199"/>
      <c r="AD262" s="199"/>
      <c r="AL262" s="199"/>
      <c r="AM262" s="199"/>
      <c r="AN262" s="199"/>
      <c r="AO262" s="199"/>
      <c r="AP262" s="199"/>
      <c r="AQ262" s="199"/>
      <c r="AR262" s="199"/>
      <c r="AS262" s="199"/>
      <c r="AV262" s="199"/>
      <c r="AW262" s="199"/>
      <c r="AX262" s="199"/>
      <c r="AY262" s="199"/>
      <c r="AZ262" s="199"/>
      <c r="BD262" s="199"/>
      <c r="BF262" s="199"/>
    </row>
    <row r="263" spans="1:58" x14ac:dyDescent="0.2">
      <c r="A263" s="212"/>
      <c r="B263" s="212"/>
      <c r="C263" s="199"/>
      <c r="D263" s="199"/>
      <c r="E263" s="185"/>
      <c r="F263" s="199"/>
      <c r="G263" s="199"/>
      <c r="H263" s="199"/>
      <c r="I263" s="199"/>
      <c r="J263"/>
      <c r="K263"/>
      <c r="L263" s="199"/>
      <c r="M263" s="199"/>
      <c r="N263" s="199"/>
      <c r="O263" s="185"/>
      <c r="P263" s="185"/>
      <c r="Q263" s="199"/>
      <c r="R263" s="199"/>
      <c r="W263" s="199"/>
      <c r="X263" s="199"/>
      <c r="Y263" s="199"/>
      <c r="Z263" s="199"/>
      <c r="AA263" s="199"/>
      <c r="AB263" s="199"/>
      <c r="AC263" s="199"/>
      <c r="AD263" s="199"/>
      <c r="AL263" s="199"/>
      <c r="AM263" s="199"/>
      <c r="AN263" s="199"/>
      <c r="AO263" s="199"/>
      <c r="AP263" s="199"/>
      <c r="AQ263" s="199"/>
      <c r="AR263" s="199"/>
      <c r="AS263" s="199"/>
      <c r="AV263" s="199"/>
      <c r="AW263" s="199"/>
      <c r="AX263" s="199"/>
      <c r="AY263" s="199"/>
      <c r="AZ263" s="199"/>
      <c r="BD263" s="199"/>
      <c r="BF263" s="199"/>
    </row>
    <row r="264" spans="1:58" x14ac:dyDescent="0.2">
      <c r="A264" s="212"/>
      <c r="B264" s="212"/>
      <c r="C264" s="199"/>
      <c r="D264" s="199"/>
      <c r="E264" s="185"/>
      <c r="F264" s="199"/>
      <c r="G264" s="199"/>
      <c r="H264" s="199"/>
      <c r="I264" s="199"/>
      <c r="J264"/>
      <c r="K264"/>
      <c r="L264" s="199"/>
      <c r="M264" s="199"/>
      <c r="N264" s="199"/>
      <c r="O264" s="185"/>
      <c r="P264" s="185"/>
      <c r="Q264" s="199"/>
      <c r="R264" s="199"/>
      <c r="W264" s="199"/>
      <c r="X264" s="199"/>
      <c r="Y264" s="199"/>
      <c r="Z264" s="199"/>
      <c r="AA264" s="199"/>
      <c r="AB264" s="199"/>
      <c r="AC264" s="199"/>
      <c r="AD264" s="199"/>
      <c r="AL264" s="199"/>
      <c r="AM264" s="199"/>
      <c r="AN264" s="199"/>
      <c r="AO264" s="199"/>
      <c r="AP264" s="199"/>
      <c r="AQ264" s="199"/>
      <c r="AR264" s="199"/>
      <c r="AS264" s="199"/>
      <c r="AV264" s="199"/>
      <c r="AW264" s="199"/>
      <c r="AX264" s="199"/>
      <c r="AY264" s="199"/>
      <c r="AZ264" s="199"/>
      <c r="BD264" s="199"/>
      <c r="BF264" s="199"/>
    </row>
    <row r="265" spans="1:58" x14ac:dyDescent="0.2">
      <c r="A265" s="212"/>
      <c r="B265" s="212"/>
      <c r="C265" s="199"/>
      <c r="D265" s="199"/>
      <c r="E265" s="185"/>
      <c r="F265" s="199"/>
      <c r="G265" s="199"/>
      <c r="H265" s="199"/>
      <c r="I265" s="199"/>
      <c r="J265"/>
      <c r="K265"/>
      <c r="L265" s="199"/>
      <c r="M265" s="199"/>
      <c r="N265" s="199"/>
      <c r="O265" s="185"/>
      <c r="P265" s="185"/>
      <c r="Q265" s="199"/>
      <c r="R265" s="199"/>
      <c r="W265" s="199"/>
      <c r="X265" s="199"/>
      <c r="Y265" s="199"/>
      <c r="Z265" s="199"/>
      <c r="AA265" s="199"/>
      <c r="AB265" s="199"/>
      <c r="AC265" s="199"/>
      <c r="AD265" s="199"/>
      <c r="AL265" s="199"/>
      <c r="AM265" s="199"/>
      <c r="AN265" s="199"/>
      <c r="AO265" s="199"/>
      <c r="AP265" s="199"/>
      <c r="AQ265" s="199"/>
      <c r="AR265" s="199"/>
      <c r="AS265" s="199"/>
      <c r="AV265" s="199"/>
      <c r="AW265" s="199"/>
      <c r="AX265" s="199"/>
      <c r="AY265" s="199"/>
      <c r="AZ265" s="199"/>
      <c r="BD265" s="199"/>
      <c r="BF265" s="199"/>
    </row>
    <row r="266" spans="1:58" x14ac:dyDescent="0.2">
      <c r="A266" s="212"/>
      <c r="B266" s="212"/>
      <c r="C266" s="199"/>
      <c r="D266" s="199"/>
      <c r="E266" s="185"/>
      <c r="F266" s="199"/>
      <c r="G266" s="199"/>
      <c r="H266" s="199"/>
      <c r="I266" s="199"/>
      <c r="J266"/>
      <c r="K266"/>
      <c r="L266" s="199"/>
      <c r="M266" s="199"/>
      <c r="N266" s="199"/>
      <c r="O266" s="185"/>
      <c r="P266" s="185"/>
      <c r="Q266" s="199"/>
      <c r="R266" s="199"/>
      <c r="W266" s="199"/>
      <c r="X266" s="199"/>
      <c r="Y266" s="199"/>
      <c r="Z266" s="199"/>
      <c r="AA266" s="199"/>
      <c r="AB266" s="199"/>
      <c r="AC266" s="199"/>
      <c r="AD266" s="199"/>
      <c r="AL266" s="199"/>
      <c r="AM266" s="199"/>
      <c r="AN266" s="199"/>
      <c r="AO266" s="199"/>
      <c r="AP266" s="199"/>
      <c r="AQ266" s="199"/>
      <c r="AR266" s="199"/>
      <c r="AS266" s="199"/>
      <c r="AV266" s="199"/>
      <c r="AW266" s="199"/>
      <c r="AX266" s="199"/>
      <c r="AY266" s="199"/>
      <c r="AZ266" s="199"/>
      <c r="BD266" s="199"/>
      <c r="BF266" s="199"/>
    </row>
    <row r="267" spans="1:58" x14ac:dyDescent="0.2">
      <c r="A267" s="212"/>
      <c r="B267" s="212"/>
      <c r="C267" s="199"/>
      <c r="D267" s="199"/>
      <c r="E267" s="185"/>
      <c r="F267" s="199"/>
      <c r="G267" s="199"/>
      <c r="H267" s="199"/>
      <c r="I267" s="199"/>
      <c r="J267"/>
      <c r="K267"/>
      <c r="L267" s="199"/>
      <c r="M267" s="199"/>
      <c r="N267" s="199"/>
      <c r="O267" s="185"/>
      <c r="P267" s="185"/>
      <c r="Q267" s="199"/>
      <c r="R267" s="199"/>
      <c r="W267" s="199"/>
      <c r="X267" s="199"/>
      <c r="Y267" s="199"/>
      <c r="Z267" s="199"/>
      <c r="AA267" s="199"/>
      <c r="AB267" s="199"/>
      <c r="AC267" s="199"/>
      <c r="AD267" s="199"/>
      <c r="AL267" s="199"/>
      <c r="AM267" s="199"/>
      <c r="AN267" s="199"/>
      <c r="AO267" s="199"/>
      <c r="AP267" s="199"/>
      <c r="AQ267" s="199"/>
      <c r="AR267" s="199"/>
      <c r="AS267" s="199"/>
      <c r="AV267" s="199"/>
      <c r="AW267" s="199"/>
      <c r="AX267" s="199"/>
      <c r="AY267" s="199"/>
      <c r="AZ267" s="199"/>
      <c r="BD267" s="199"/>
      <c r="BF267" s="199"/>
    </row>
    <row r="268" spans="1:58" x14ac:dyDescent="0.2">
      <c r="A268" s="212"/>
      <c r="B268" s="212"/>
      <c r="C268" s="199"/>
      <c r="D268" s="199"/>
      <c r="E268" s="185"/>
      <c r="F268" s="199"/>
      <c r="G268" s="199"/>
      <c r="H268" s="199"/>
      <c r="I268" s="199"/>
      <c r="J268"/>
      <c r="K268"/>
      <c r="L268" s="199"/>
      <c r="M268" s="199"/>
      <c r="N268" s="199"/>
      <c r="O268" s="185"/>
      <c r="P268" s="185"/>
      <c r="Q268" s="199"/>
      <c r="R268" s="199"/>
      <c r="W268" s="199"/>
      <c r="X268" s="199"/>
      <c r="Y268" s="199"/>
      <c r="Z268" s="199"/>
      <c r="AA268" s="199"/>
      <c r="AB268" s="199"/>
      <c r="AC268" s="199"/>
      <c r="AD268" s="199"/>
      <c r="AL268" s="199"/>
      <c r="AM268" s="199"/>
      <c r="AN268" s="199"/>
      <c r="AO268" s="199"/>
      <c r="AP268" s="199"/>
      <c r="AQ268" s="199"/>
      <c r="AR268" s="199"/>
      <c r="AS268" s="199"/>
      <c r="AV268" s="199"/>
      <c r="AW268" s="199"/>
      <c r="AX268" s="199"/>
      <c r="AY268" s="199"/>
      <c r="AZ268" s="199"/>
      <c r="BD268" s="199"/>
      <c r="BF268" s="199"/>
    </row>
    <row r="269" spans="1:58" x14ac:dyDescent="0.2">
      <c r="A269" s="212"/>
      <c r="B269" s="212"/>
      <c r="C269" s="199"/>
      <c r="D269" s="199"/>
      <c r="E269" s="185"/>
      <c r="F269" s="199"/>
      <c r="G269" s="199"/>
      <c r="H269" s="199"/>
      <c r="I269" s="199"/>
      <c r="J269"/>
      <c r="K269"/>
      <c r="L269" s="199"/>
      <c r="M269" s="199"/>
      <c r="N269" s="199"/>
      <c r="O269" s="185"/>
      <c r="P269" s="185"/>
      <c r="Q269" s="199"/>
      <c r="R269" s="199"/>
      <c r="W269" s="199"/>
      <c r="X269" s="199"/>
      <c r="Y269" s="199"/>
      <c r="Z269" s="199"/>
      <c r="AA269" s="199"/>
      <c r="AB269" s="199"/>
      <c r="AC269" s="199"/>
      <c r="AD269" s="199"/>
      <c r="AL269" s="199"/>
      <c r="AM269" s="199"/>
      <c r="AN269" s="199"/>
      <c r="AO269" s="199"/>
      <c r="AP269" s="199"/>
      <c r="AQ269" s="199"/>
      <c r="AR269" s="199"/>
      <c r="AS269" s="199"/>
      <c r="AV269" s="199"/>
      <c r="AW269" s="199"/>
      <c r="AX269" s="199"/>
      <c r="AY269" s="199"/>
      <c r="AZ269" s="199"/>
      <c r="BD269" s="199"/>
      <c r="BF269" s="199"/>
    </row>
    <row r="270" spans="1:58" x14ac:dyDescent="0.2">
      <c r="A270" s="212"/>
      <c r="B270" s="212"/>
      <c r="C270" s="199"/>
      <c r="D270" s="199"/>
      <c r="E270" s="185"/>
      <c r="F270" s="199"/>
      <c r="G270" s="199"/>
      <c r="H270" s="199"/>
      <c r="I270" s="199"/>
      <c r="J270"/>
      <c r="K270"/>
      <c r="L270" s="199"/>
      <c r="M270" s="199"/>
      <c r="N270" s="199"/>
      <c r="O270" s="185"/>
      <c r="P270" s="185"/>
      <c r="Q270" s="199"/>
      <c r="R270" s="199"/>
      <c r="W270" s="199"/>
      <c r="X270" s="199"/>
      <c r="Y270" s="199"/>
      <c r="Z270" s="199"/>
      <c r="AA270" s="199"/>
      <c r="AB270" s="199"/>
      <c r="AC270" s="199"/>
      <c r="AD270" s="199"/>
      <c r="AL270" s="199"/>
      <c r="AM270" s="199"/>
      <c r="AN270" s="199"/>
      <c r="AO270" s="199"/>
      <c r="AP270" s="199"/>
      <c r="AQ270" s="199"/>
      <c r="AR270" s="199"/>
      <c r="AS270" s="199"/>
      <c r="AV270" s="199"/>
      <c r="AW270" s="199"/>
      <c r="AX270" s="199"/>
      <c r="AY270" s="199"/>
      <c r="AZ270" s="199"/>
      <c r="BD270" s="199"/>
      <c r="BF270" s="199"/>
    </row>
    <row r="271" spans="1:58" x14ac:dyDescent="0.2">
      <c r="A271" s="212"/>
      <c r="B271" s="212"/>
      <c r="C271" s="199"/>
      <c r="D271" s="199"/>
      <c r="E271" s="185"/>
      <c r="F271" s="199"/>
      <c r="G271" s="199"/>
      <c r="H271" s="199"/>
      <c r="I271" s="199"/>
      <c r="J271"/>
      <c r="K271"/>
      <c r="L271" s="199"/>
      <c r="M271" s="199"/>
      <c r="N271" s="199"/>
      <c r="O271" s="185"/>
      <c r="P271" s="185"/>
      <c r="Q271" s="199"/>
      <c r="R271" s="199"/>
      <c r="W271" s="199"/>
      <c r="X271" s="199"/>
      <c r="Y271" s="199"/>
      <c r="Z271" s="199"/>
      <c r="AA271" s="199"/>
      <c r="AB271" s="199"/>
      <c r="AC271" s="199"/>
      <c r="AD271" s="199"/>
      <c r="AL271" s="199"/>
      <c r="AM271" s="199"/>
      <c r="AN271" s="199"/>
      <c r="AO271" s="199"/>
      <c r="AP271" s="199"/>
      <c r="AQ271" s="199"/>
      <c r="AR271" s="199"/>
      <c r="AS271" s="199"/>
      <c r="AV271" s="199"/>
      <c r="AW271" s="199"/>
      <c r="AX271" s="199"/>
      <c r="AY271" s="199"/>
      <c r="AZ271" s="199"/>
      <c r="BD271" s="199"/>
      <c r="BF271" s="199"/>
    </row>
    <row r="272" spans="1:58" x14ac:dyDescent="0.2">
      <c r="A272" s="212"/>
      <c r="B272" s="212"/>
      <c r="C272" s="199"/>
      <c r="D272" s="199"/>
      <c r="E272" s="185"/>
      <c r="F272" s="199"/>
      <c r="G272" s="199"/>
      <c r="H272" s="199"/>
      <c r="I272" s="199"/>
      <c r="J272"/>
      <c r="K272"/>
      <c r="L272" s="199"/>
      <c r="M272" s="199"/>
      <c r="N272" s="199"/>
      <c r="O272" s="185"/>
      <c r="P272" s="185"/>
      <c r="Q272" s="199"/>
      <c r="R272" s="199"/>
      <c r="W272" s="199"/>
      <c r="X272" s="199"/>
      <c r="Y272" s="199"/>
      <c r="Z272" s="199"/>
      <c r="AA272" s="199"/>
      <c r="AB272" s="199"/>
      <c r="AC272" s="199"/>
      <c r="AD272" s="199"/>
      <c r="AL272" s="199"/>
      <c r="AM272" s="199"/>
      <c r="AN272" s="199"/>
      <c r="AO272" s="199"/>
      <c r="AP272" s="199"/>
      <c r="AQ272" s="199"/>
      <c r="AR272" s="199"/>
      <c r="AS272" s="199"/>
      <c r="AV272" s="199"/>
      <c r="AW272" s="199"/>
      <c r="AX272" s="199"/>
      <c r="AY272" s="199"/>
      <c r="AZ272" s="199"/>
      <c r="BD272" s="199"/>
      <c r="BF272" s="199"/>
    </row>
    <row r="273" spans="1:100" x14ac:dyDescent="0.2">
      <c r="A273" s="212"/>
      <c r="B273" s="212"/>
      <c r="C273" s="199"/>
      <c r="D273" s="199"/>
      <c r="E273" s="185"/>
      <c r="F273" s="199"/>
      <c r="G273" s="199"/>
      <c r="H273" s="199"/>
      <c r="I273" s="199"/>
      <c r="J273"/>
      <c r="K273"/>
      <c r="L273" s="199"/>
      <c r="M273" s="199"/>
      <c r="N273" s="199"/>
      <c r="O273" s="185"/>
      <c r="P273" s="185"/>
      <c r="Q273" s="199"/>
      <c r="R273" s="199"/>
      <c r="W273" s="199"/>
      <c r="X273" s="199"/>
      <c r="Y273" s="199"/>
      <c r="Z273" s="199"/>
      <c r="AA273" s="199"/>
      <c r="AB273" s="199"/>
      <c r="AC273" s="199"/>
      <c r="AD273" s="199"/>
      <c r="AL273" s="199"/>
      <c r="AM273" s="199"/>
      <c r="AN273" s="199"/>
      <c r="AO273" s="199"/>
      <c r="AP273" s="199"/>
      <c r="AQ273" s="199"/>
      <c r="AR273" s="199"/>
      <c r="AS273" s="199"/>
      <c r="AV273" s="199"/>
      <c r="AW273" s="199"/>
      <c r="AX273" s="199"/>
      <c r="AY273" s="199"/>
      <c r="AZ273" s="199"/>
      <c r="BD273" s="199"/>
      <c r="BF273" s="199"/>
    </row>
    <row r="274" spans="1:100" x14ac:dyDescent="0.2">
      <c r="A274" s="212"/>
      <c r="B274" s="212"/>
      <c r="C274" s="199"/>
      <c r="D274" s="199"/>
      <c r="E274" s="185"/>
      <c r="F274" s="199"/>
      <c r="G274" s="199"/>
      <c r="H274" s="199"/>
      <c r="I274" s="199"/>
      <c r="J274"/>
      <c r="K274"/>
      <c r="L274" s="199"/>
      <c r="M274" s="199"/>
      <c r="N274" s="199"/>
      <c r="O274" s="185"/>
      <c r="P274" s="185"/>
      <c r="Q274" s="199"/>
      <c r="R274" s="199"/>
      <c r="W274" s="199"/>
      <c r="X274" s="199"/>
      <c r="Y274" s="199"/>
      <c r="Z274" s="199"/>
      <c r="AA274" s="199"/>
      <c r="AB274" s="199"/>
      <c r="AC274" s="199"/>
      <c r="AD274" s="199"/>
      <c r="AL274" s="199"/>
      <c r="AM274" s="199"/>
      <c r="AN274" s="199"/>
      <c r="AO274" s="199"/>
      <c r="AP274" s="199"/>
      <c r="AQ274" s="199"/>
      <c r="AR274" s="199"/>
      <c r="AS274" s="199"/>
      <c r="AV274" s="199"/>
      <c r="AW274" s="199"/>
      <c r="AX274" s="199"/>
      <c r="AY274" s="199"/>
      <c r="AZ274" s="199"/>
      <c r="BD274" s="199"/>
      <c r="BF274" s="199"/>
    </row>
    <row r="275" spans="1:100" x14ac:dyDescent="0.2">
      <c r="A275" s="212"/>
      <c r="B275" s="212"/>
      <c r="C275" s="199"/>
      <c r="D275" s="199"/>
      <c r="E275" s="185"/>
      <c r="F275" s="199"/>
      <c r="G275" s="199"/>
      <c r="H275" s="199"/>
      <c r="I275" s="199"/>
      <c r="J275"/>
      <c r="K275"/>
      <c r="L275" s="199"/>
      <c r="M275" s="199"/>
      <c r="N275" s="199"/>
      <c r="O275" s="185"/>
      <c r="P275" s="185"/>
      <c r="Q275" s="199"/>
      <c r="R275" s="199"/>
      <c r="W275" s="199"/>
      <c r="X275" s="199"/>
      <c r="Y275" s="199"/>
      <c r="Z275" s="199"/>
      <c r="AA275" s="199"/>
      <c r="AB275" s="199"/>
      <c r="AC275" s="199"/>
      <c r="AD275" s="199"/>
      <c r="AL275" s="199"/>
      <c r="AM275" s="199"/>
      <c r="AN275" s="199"/>
      <c r="AO275" s="199"/>
      <c r="AP275" s="199"/>
      <c r="AQ275" s="199"/>
      <c r="AR275" s="199"/>
      <c r="AS275" s="199"/>
      <c r="AV275" s="199"/>
      <c r="AW275" s="199"/>
      <c r="AX275" s="199"/>
      <c r="AY275" s="199"/>
      <c r="AZ275" s="199"/>
      <c r="BD275" s="199"/>
      <c r="BF275" s="199"/>
    </row>
    <row r="276" spans="1:100" x14ac:dyDescent="0.2">
      <c r="A276" s="212"/>
      <c r="B276" s="212"/>
      <c r="C276" s="199"/>
      <c r="D276" s="199"/>
      <c r="E276" s="185"/>
      <c r="F276" s="199"/>
      <c r="G276" s="199"/>
      <c r="H276" s="199"/>
      <c r="I276" s="199"/>
      <c r="J276"/>
      <c r="K276"/>
      <c r="L276" s="199"/>
      <c r="M276" s="199"/>
      <c r="N276" s="199"/>
      <c r="O276" s="185"/>
      <c r="P276" s="185"/>
      <c r="Q276" s="199"/>
      <c r="R276" s="199"/>
      <c r="W276" s="199"/>
      <c r="X276" s="199"/>
      <c r="Y276" s="199"/>
      <c r="Z276" s="199"/>
      <c r="AA276" s="199"/>
      <c r="AB276" s="199"/>
      <c r="AC276" s="199"/>
      <c r="AD276" s="199"/>
      <c r="AL276" s="199"/>
      <c r="AM276" s="199"/>
      <c r="AN276" s="199"/>
      <c r="AO276" s="199"/>
      <c r="AP276" s="199"/>
      <c r="AQ276" s="199"/>
      <c r="AR276" s="199"/>
      <c r="AS276" s="199"/>
      <c r="AV276" s="199"/>
      <c r="AW276" s="199"/>
      <c r="AX276" s="199"/>
      <c r="AY276" s="199"/>
      <c r="AZ276" s="199"/>
      <c r="BD276" s="199"/>
      <c r="BF276" s="199"/>
    </row>
    <row r="277" spans="1:100" x14ac:dyDescent="0.2">
      <c r="A277" s="212"/>
      <c r="B277" s="212"/>
      <c r="C277" s="199"/>
      <c r="D277" s="199"/>
      <c r="E277" s="185"/>
      <c r="F277" s="199"/>
      <c r="G277" s="199"/>
      <c r="H277" s="199"/>
      <c r="I277" s="199"/>
      <c r="J277"/>
      <c r="K277"/>
      <c r="L277" s="199"/>
      <c r="M277" s="199"/>
      <c r="N277" s="199"/>
      <c r="O277" s="185"/>
      <c r="P277" s="185"/>
      <c r="Q277" s="199"/>
      <c r="R277" s="199"/>
      <c r="W277" s="199"/>
      <c r="X277" s="199"/>
      <c r="Y277" s="199"/>
      <c r="Z277" s="199"/>
      <c r="AA277" s="199"/>
      <c r="AB277" s="199"/>
      <c r="AC277" s="199"/>
      <c r="AD277" s="199"/>
      <c r="AL277" s="199"/>
      <c r="AM277" s="199"/>
      <c r="AN277" s="199"/>
      <c r="AO277" s="199"/>
      <c r="AP277" s="199"/>
      <c r="AQ277" s="199"/>
      <c r="AR277" s="199"/>
      <c r="AS277" s="199"/>
      <c r="AV277" s="199"/>
      <c r="AW277" s="199"/>
      <c r="AX277" s="199"/>
      <c r="AY277" s="199"/>
      <c r="AZ277" s="199"/>
      <c r="BD277" s="199"/>
      <c r="BF277" s="199"/>
    </row>
    <row r="278" spans="1:100" x14ac:dyDescent="0.2">
      <c r="A278" s="212"/>
      <c r="B278" s="212"/>
      <c r="C278" s="199"/>
      <c r="D278" s="199"/>
      <c r="E278" s="185"/>
      <c r="F278" s="199"/>
      <c r="G278" s="199"/>
      <c r="H278" s="199"/>
      <c r="I278" s="199"/>
      <c r="J278"/>
      <c r="K278"/>
      <c r="L278" s="199"/>
      <c r="M278" s="199"/>
      <c r="N278" s="199"/>
      <c r="O278" s="185"/>
      <c r="P278" s="185"/>
      <c r="Q278" s="199"/>
      <c r="R278" s="199"/>
      <c r="W278" s="199"/>
      <c r="X278" s="199"/>
      <c r="Y278" s="199"/>
      <c r="Z278" s="199"/>
      <c r="AA278" s="199"/>
      <c r="AB278" s="199"/>
      <c r="AC278" s="199"/>
      <c r="AD278" s="199"/>
      <c r="AL278" s="199"/>
      <c r="AM278" s="199"/>
      <c r="AN278" s="199"/>
      <c r="AO278" s="199"/>
      <c r="AP278" s="199"/>
      <c r="AQ278" s="199"/>
      <c r="AR278" s="199"/>
      <c r="AS278" s="199"/>
      <c r="AV278" s="199"/>
      <c r="AW278" s="199"/>
      <c r="AX278" s="199"/>
      <c r="AY278" s="199"/>
      <c r="AZ278" s="199"/>
      <c r="BD278" s="199"/>
      <c r="BF278" s="199"/>
    </row>
    <row r="279" spans="1:100" x14ac:dyDescent="0.2">
      <c r="A279" s="212"/>
      <c r="B279" s="212"/>
      <c r="C279" s="199"/>
      <c r="D279" s="199"/>
      <c r="E279" s="185"/>
      <c r="F279" s="199"/>
      <c r="G279" s="199"/>
      <c r="H279" s="199"/>
      <c r="I279" s="199"/>
      <c r="J279" s="199"/>
      <c r="K279" s="199"/>
      <c r="L279" s="199"/>
      <c r="M279" s="199"/>
      <c r="N279" s="199"/>
      <c r="O279" s="185"/>
      <c r="P279" s="185"/>
      <c r="Q279" s="199"/>
      <c r="R279" s="199"/>
      <c r="W279" s="199"/>
      <c r="X279" s="199"/>
      <c r="Y279" s="199"/>
      <c r="Z279" s="199"/>
      <c r="AA279" s="199"/>
      <c r="AB279" s="199"/>
      <c r="AC279" s="199"/>
      <c r="AD279" s="199"/>
      <c r="AL279" s="199"/>
      <c r="AM279" s="199"/>
      <c r="AN279" s="199"/>
      <c r="AO279" s="199"/>
      <c r="AP279" s="199"/>
      <c r="AQ279" s="199"/>
      <c r="AR279" s="199"/>
      <c r="AS279" s="199"/>
      <c r="AV279" s="199"/>
      <c r="AW279" s="199"/>
      <c r="AX279" s="199"/>
      <c r="AY279" s="199"/>
      <c r="AZ279" s="199"/>
      <c r="BA279" s="199"/>
      <c r="BB279" s="199"/>
      <c r="BD279" s="199"/>
      <c r="BF279" s="199"/>
      <c r="BG279" s="194"/>
      <c r="BK279" s="194"/>
      <c r="BL279" s="194"/>
      <c r="BM279" s="194"/>
      <c r="BN279" s="194"/>
      <c r="BO279" s="194"/>
      <c r="BP279" s="194"/>
      <c r="BQ279" s="194"/>
      <c r="BR279" s="194"/>
      <c r="BS279" s="194"/>
      <c r="BT279" s="194"/>
      <c r="BU279" s="194"/>
      <c r="BV279" s="194"/>
      <c r="BW279" s="194"/>
      <c r="BX279" s="194"/>
      <c r="BY279" s="194"/>
      <c r="BZ279" s="194"/>
      <c r="CA279" s="194"/>
      <c r="CB279" s="194"/>
      <c r="CC279" s="194"/>
      <c r="CD279" s="194"/>
      <c r="CE279" s="194"/>
      <c r="CF279" s="194"/>
      <c r="CG279" s="194"/>
      <c r="CH279" s="194"/>
      <c r="CI279" s="194"/>
      <c r="CJ279" s="194"/>
      <c r="CK279" s="194"/>
      <c r="CL279" s="194"/>
      <c r="CM279" s="194"/>
      <c r="CN279" s="194"/>
      <c r="CO279" s="194"/>
      <c r="CP279" s="194"/>
      <c r="CQ279" s="194"/>
      <c r="CR279" s="194"/>
      <c r="CS279" s="194"/>
      <c r="CT279" s="194"/>
      <c r="CU279" s="194"/>
      <c r="CV279" s="194"/>
    </row>
    <row r="280" spans="1:100" x14ac:dyDescent="0.2">
      <c r="A280" s="212"/>
      <c r="B280" s="212"/>
      <c r="C280" s="199"/>
      <c r="D280" s="199"/>
      <c r="E280" s="185"/>
      <c r="F280" s="199"/>
      <c r="G280" s="199"/>
      <c r="H280" s="199"/>
      <c r="I280" s="199"/>
      <c r="J280"/>
      <c r="K280"/>
      <c r="L280" s="199"/>
      <c r="M280" s="199"/>
      <c r="N280" s="199"/>
      <c r="O280" s="185"/>
      <c r="P280" s="185"/>
      <c r="Q280" s="199"/>
      <c r="R280" s="199"/>
      <c r="W280" s="199"/>
      <c r="X280" s="199"/>
      <c r="Y280" s="199"/>
      <c r="Z280" s="199"/>
      <c r="AA280" s="199"/>
      <c r="AB280" s="199"/>
      <c r="AC280" s="199"/>
      <c r="AD280" s="199"/>
      <c r="AL280" s="199"/>
      <c r="AM280" s="199"/>
      <c r="AN280" s="199"/>
      <c r="AO280" s="199"/>
      <c r="AP280" s="199"/>
      <c r="AQ280" s="199"/>
      <c r="AR280" s="199"/>
      <c r="AS280" s="199"/>
      <c r="AV280" s="199"/>
      <c r="AW280" s="199"/>
      <c r="AX280" s="199"/>
      <c r="AY280" s="199"/>
      <c r="AZ280" s="199"/>
      <c r="BD280" s="199"/>
      <c r="BF280" s="199"/>
    </row>
    <row r="281" spans="1:100" x14ac:dyDescent="0.2">
      <c r="A281" s="212"/>
      <c r="B281" s="212"/>
      <c r="C281" s="199"/>
      <c r="D281" s="199"/>
      <c r="E281" s="185"/>
      <c r="F281" s="199"/>
      <c r="G281" s="199"/>
      <c r="H281" s="199"/>
      <c r="I281" s="199"/>
      <c r="J281"/>
      <c r="K281"/>
      <c r="L281" s="199"/>
      <c r="M281" s="199"/>
      <c r="N281" s="199"/>
      <c r="O281" s="185"/>
      <c r="P281" s="185"/>
      <c r="Q281" s="199"/>
      <c r="R281" s="199"/>
      <c r="W281" s="199"/>
      <c r="X281" s="199"/>
      <c r="Y281" s="199"/>
      <c r="Z281" s="199"/>
      <c r="AA281" s="199"/>
      <c r="AB281" s="199"/>
      <c r="AC281" s="199"/>
      <c r="AD281" s="199"/>
      <c r="AL281" s="199"/>
      <c r="AM281" s="199"/>
      <c r="AN281" s="199"/>
      <c r="AO281" s="199"/>
      <c r="AP281" s="199"/>
      <c r="AQ281" s="199"/>
      <c r="AR281" s="199"/>
      <c r="AS281" s="199"/>
      <c r="AV281" s="199"/>
      <c r="AW281" s="199"/>
      <c r="AX281" s="199"/>
      <c r="AY281" s="199"/>
      <c r="AZ281" s="199"/>
      <c r="BD281" s="199"/>
      <c r="BF281" s="199"/>
    </row>
    <row r="282" spans="1:100" x14ac:dyDescent="0.2">
      <c r="A282" s="212"/>
      <c r="B282" s="212"/>
      <c r="C282" s="199"/>
      <c r="D282" s="199"/>
      <c r="E282" s="185"/>
      <c r="F282" s="199"/>
      <c r="G282" s="199"/>
      <c r="H282" s="199"/>
      <c r="I282" s="199"/>
      <c r="J282"/>
      <c r="K282"/>
      <c r="L282" s="199"/>
      <c r="M282" s="199"/>
      <c r="N282" s="199"/>
      <c r="O282" s="185"/>
      <c r="P282" s="185"/>
      <c r="Q282" s="199"/>
      <c r="R282" s="199"/>
      <c r="W282" s="199"/>
      <c r="X282" s="199"/>
      <c r="Y282" s="199"/>
      <c r="Z282" s="199"/>
      <c r="AA282" s="199"/>
      <c r="AB282" s="199"/>
      <c r="AC282" s="199"/>
      <c r="AD282" s="199"/>
      <c r="AL282" s="199"/>
      <c r="AM282" s="199"/>
      <c r="AN282" s="199"/>
      <c r="AO282" s="199"/>
      <c r="AP282" s="199"/>
      <c r="AQ282" s="199"/>
      <c r="AR282" s="199"/>
      <c r="AS282" s="199"/>
      <c r="AV282" s="199"/>
      <c r="AW282" s="199"/>
      <c r="AX282" s="199"/>
      <c r="AY282" s="199"/>
      <c r="AZ282" s="199"/>
      <c r="BD282" s="199"/>
      <c r="BF282" s="199"/>
    </row>
    <row r="283" spans="1:100" x14ac:dyDescent="0.2">
      <c r="A283" s="212"/>
      <c r="B283" s="212"/>
      <c r="C283" s="199"/>
      <c r="D283" s="199"/>
      <c r="E283" s="185"/>
      <c r="F283" s="199"/>
      <c r="G283" s="199"/>
      <c r="H283" s="199"/>
      <c r="I283" s="199"/>
      <c r="J283"/>
      <c r="K283"/>
      <c r="L283" s="199"/>
      <c r="M283" s="199"/>
      <c r="N283" s="199"/>
      <c r="O283" s="185"/>
      <c r="P283" s="185"/>
      <c r="Q283" s="199"/>
      <c r="R283" s="199"/>
      <c r="W283" s="199"/>
      <c r="X283" s="199"/>
      <c r="Y283" s="199"/>
      <c r="Z283" s="199"/>
      <c r="AA283" s="199"/>
      <c r="AB283" s="199"/>
      <c r="AC283" s="199"/>
      <c r="AD283" s="199"/>
      <c r="AL283" s="199"/>
      <c r="AM283" s="199"/>
      <c r="AN283" s="199"/>
      <c r="AO283" s="199"/>
      <c r="AP283" s="199"/>
      <c r="AQ283" s="199"/>
      <c r="AR283" s="199"/>
      <c r="AS283" s="199"/>
      <c r="AV283" s="199"/>
      <c r="AW283" s="199"/>
      <c r="AX283" s="199"/>
      <c r="AY283" s="199"/>
      <c r="AZ283" s="199"/>
      <c r="BD283" s="199"/>
      <c r="BF283" s="199"/>
    </row>
    <row r="284" spans="1:100" x14ac:dyDescent="0.2">
      <c r="A284" s="212"/>
      <c r="B284" s="212"/>
      <c r="C284" s="199"/>
      <c r="D284" s="199"/>
      <c r="E284" s="185"/>
      <c r="F284" s="199"/>
      <c r="G284" s="199"/>
      <c r="H284" s="199"/>
      <c r="I284" s="199"/>
      <c r="J284"/>
      <c r="K284"/>
      <c r="L284" s="199"/>
      <c r="M284" s="199"/>
      <c r="N284" s="199"/>
      <c r="O284" s="185"/>
      <c r="P284" s="185"/>
      <c r="Q284" s="199"/>
      <c r="R284" s="199"/>
      <c r="W284" s="199"/>
      <c r="X284" s="199"/>
      <c r="Y284" s="199"/>
      <c r="Z284" s="199"/>
      <c r="AA284" s="199"/>
      <c r="AB284" s="199"/>
      <c r="AC284" s="199"/>
      <c r="AD284" s="199"/>
      <c r="AL284" s="199"/>
      <c r="AM284" s="199"/>
      <c r="AN284" s="199"/>
      <c r="AO284" s="199"/>
      <c r="AP284" s="199"/>
      <c r="AQ284" s="199"/>
      <c r="AR284" s="199"/>
      <c r="AS284" s="199"/>
      <c r="AV284" s="199"/>
      <c r="AW284" s="199"/>
      <c r="AX284" s="199"/>
      <c r="AY284" s="199"/>
      <c r="AZ284" s="199"/>
      <c r="BD284" s="199"/>
      <c r="BF284" s="199"/>
    </row>
    <row r="285" spans="1:100" x14ac:dyDescent="0.2">
      <c r="A285" s="212"/>
      <c r="B285" s="212"/>
      <c r="C285" s="199"/>
      <c r="D285" s="199"/>
      <c r="E285" s="185"/>
      <c r="F285" s="199"/>
      <c r="G285" s="199"/>
      <c r="H285" s="199"/>
      <c r="I285" s="199"/>
      <c r="J285"/>
      <c r="K285"/>
      <c r="L285" s="199"/>
      <c r="M285" s="199"/>
      <c r="N285" s="199"/>
      <c r="O285" s="185"/>
      <c r="P285" s="185"/>
      <c r="Q285" s="199"/>
      <c r="R285" s="199"/>
      <c r="W285" s="199"/>
      <c r="X285" s="199"/>
      <c r="Y285" s="199"/>
      <c r="Z285" s="199"/>
      <c r="AA285" s="199"/>
      <c r="AB285" s="199"/>
      <c r="AC285" s="199"/>
      <c r="AD285" s="199"/>
      <c r="AL285" s="199"/>
      <c r="AM285" s="199"/>
      <c r="AN285" s="199"/>
      <c r="AO285" s="199"/>
      <c r="AP285" s="199"/>
      <c r="AQ285" s="199"/>
      <c r="AR285" s="199"/>
      <c r="AS285" s="199"/>
      <c r="AV285" s="199"/>
      <c r="AW285" s="199"/>
      <c r="AX285" s="199"/>
      <c r="AY285" s="199"/>
      <c r="AZ285" s="199"/>
      <c r="BD285" s="199"/>
      <c r="BF285" s="199"/>
    </row>
    <row r="286" spans="1:100" x14ac:dyDescent="0.2">
      <c r="A286" s="212"/>
      <c r="B286" s="212"/>
      <c r="C286" s="199"/>
      <c r="D286" s="199"/>
      <c r="E286" s="185"/>
      <c r="F286" s="199"/>
      <c r="G286" s="199"/>
      <c r="H286" s="199"/>
      <c r="I286" s="199"/>
      <c r="J286"/>
      <c r="K286"/>
      <c r="L286" s="199"/>
      <c r="M286" s="199"/>
      <c r="N286" s="199"/>
      <c r="O286" s="185"/>
      <c r="P286" s="185"/>
      <c r="Q286" s="199"/>
      <c r="R286" s="199"/>
      <c r="W286" s="199"/>
      <c r="X286" s="199"/>
      <c r="Y286" s="199"/>
      <c r="Z286" s="199"/>
      <c r="AA286" s="199"/>
      <c r="AB286" s="199"/>
      <c r="AC286" s="199"/>
      <c r="AD286" s="199"/>
      <c r="AL286" s="199"/>
      <c r="AM286" s="199"/>
      <c r="AN286" s="199"/>
      <c r="AO286" s="199"/>
      <c r="AP286" s="199"/>
      <c r="AQ286" s="199"/>
      <c r="AR286" s="199"/>
      <c r="AS286" s="199"/>
      <c r="AV286" s="199"/>
      <c r="AW286" s="199"/>
      <c r="AX286" s="199"/>
      <c r="AY286" s="199"/>
      <c r="AZ286" s="199"/>
      <c r="BD286" s="199"/>
      <c r="BF286" s="199"/>
    </row>
    <row r="287" spans="1:100" x14ac:dyDescent="0.2">
      <c r="A287" s="212"/>
      <c r="B287" s="212"/>
      <c r="C287" s="199"/>
      <c r="D287" s="199"/>
      <c r="E287" s="185"/>
      <c r="F287" s="199"/>
      <c r="G287" s="199"/>
      <c r="H287" s="199"/>
      <c r="I287" s="199"/>
      <c r="J287"/>
      <c r="K287"/>
      <c r="L287" s="199"/>
      <c r="M287" s="199"/>
      <c r="N287" s="199"/>
      <c r="O287" s="185"/>
      <c r="P287" s="185"/>
      <c r="Q287" s="199"/>
      <c r="R287" s="199"/>
      <c r="W287" s="199"/>
      <c r="X287" s="199"/>
      <c r="Y287" s="199"/>
      <c r="Z287" s="199"/>
      <c r="AA287" s="199"/>
      <c r="AB287" s="199"/>
      <c r="AC287" s="199"/>
      <c r="AD287" s="199"/>
      <c r="AL287" s="199"/>
      <c r="AM287" s="199"/>
      <c r="AN287" s="199"/>
      <c r="AO287" s="199"/>
      <c r="AP287" s="199"/>
      <c r="AQ287" s="199"/>
      <c r="AR287" s="199"/>
      <c r="AS287" s="199"/>
      <c r="AV287" s="199"/>
      <c r="AW287" s="199"/>
      <c r="AX287" s="199"/>
      <c r="AY287" s="199"/>
      <c r="AZ287" s="199"/>
      <c r="BD287" s="199"/>
      <c r="BF287" s="199"/>
    </row>
    <row r="288" spans="1:100" x14ac:dyDescent="0.2">
      <c r="A288" s="212"/>
      <c r="B288" s="212"/>
      <c r="C288" s="199"/>
      <c r="D288" s="199"/>
      <c r="E288" s="185"/>
      <c r="F288" s="199"/>
      <c r="G288" s="199"/>
      <c r="H288" s="199"/>
      <c r="I288" s="199"/>
      <c r="J288"/>
      <c r="K288"/>
      <c r="L288" s="199"/>
      <c r="M288" s="199"/>
      <c r="N288" s="199"/>
      <c r="O288" s="185"/>
      <c r="P288" s="185"/>
      <c r="Q288" s="199"/>
      <c r="R288" s="199"/>
      <c r="W288" s="199"/>
      <c r="X288" s="199"/>
      <c r="Y288" s="199"/>
      <c r="Z288" s="199"/>
      <c r="AA288" s="199"/>
      <c r="AB288" s="199"/>
      <c r="AC288" s="199"/>
      <c r="AD288" s="199"/>
      <c r="AL288" s="199"/>
      <c r="AM288" s="199"/>
      <c r="AN288" s="199"/>
      <c r="AO288" s="199"/>
      <c r="AP288" s="199"/>
      <c r="AQ288" s="199"/>
      <c r="AR288" s="199"/>
      <c r="AS288" s="199"/>
      <c r="AV288" s="199"/>
      <c r="AW288" s="199"/>
      <c r="AX288" s="199"/>
      <c r="AY288" s="199"/>
      <c r="AZ288" s="199"/>
      <c r="BD288" s="199"/>
      <c r="BF288" s="199"/>
    </row>
    <row r="289" spans="1:58" x14ac:dyDescent="0.2">
      <c r="A289" s="212"/>
      <c r="B289" s="212"/>
      <c r="C289" s="199"/>
      <c r="D289" s="199"/>
      <c r="E289" s="185"/>
      <c r="F289" s="199"/>
      <c r="G289" s="199"/>
      <c r="H289" s="199"/>
      <c r="I289" s="199"/>
      <c r="J289"/>
      <c r="K289"/>
      <c r="L289" s="199"/>
      <c r="M289" s="199"/>
      <c r="N289" s="199"/>
      <c r="O289" s="185"/>
      <c r="P289" s="185"/>
      <c r="Q289" s="199"/>
      <c r="R289" s="199"/>
      <c r="W289" s="199"/>
      <c r="X289" s="199"/>
      <c r="Y289" s="199"/>
      <c r="Z289" s="199"/>
      <c r="AA289" s="199"/>
      <c r="AB289" s="199"/>
      <c r="AC289" s="199"/>
      <c r="AD289" s="199"/>
      <c r="AL289" s="199"/>
      <c r="AM289" s="199"/>
      <c r="AN289" s="199"/>
      <c r="AO289" s="199"/>
      <c r="AP289" s="199"/>
      <c r="AQ289" s="199"/>
      <c r="AR289" s="199"/>
      <c r="AS289" s="199"/>
      <c r="AV289" s="199"/>
      <c r="AW289" s="199"/>
      <c r="AX289" s="199"/>
      <c r="AY289" s="199"/>
      <c r="AZ289" s="199"/>
      <c r="BD289" s="199"/>
      <c r="BF289" s="199"/>
    </row>
    <row r="290" spans="1:58" x14ac:dyDescent="0.2">
      <c r="A290" s="212"/>
      <c r="B290" s="212"/>
      <c r="C290" s="199"/>
      <c r="D290" s="199"/>
      <c r="E290" s="185"/>
      <c r="F290" s="199"/>
      <c r="G290" s="199"/>
      <c r="H290" s="199"/>
      <c r="I290" s="199"/>
      <c r="J290"/>
      <c r="K290"/>
      <c r="L290" s="199"/>
      <c r="M290" s="199"/>
      <c r="N290" s="199"/>
      <c r="O290" s="185"/>
      <c r="P290" s="185"/>
      <c r="Q290" s="199"/>
      <c r="R290" s="199"/>
      <c r="W290" s="199"/>
      <c r="X290" s="199"/>
      <c r="Y290" s="199"/>
      <c r="Z290" s="199"/>
      <c r="AA290" s="199"/>
      <c r="AB290" s="199"/>
      <c r="AC290" s="199"/>
      <c r="AD290" s="199"/>
      <c r="AL290" s="199"/>
      <c r="AM290" s="199"/>
      <c r="AN290" s="199"/>
      <c r="AO290" s="199"/>
      <c r="AP290" s="199"/>
      <c r="AQ290" s="199"/>
      <c r="AR290" s="199"/>
      <c r="AS290" s="199"/>
      <c r="AV290" s="199"/>
      <c r="AW290" s="199"/>
      <c r="AX290" s="199"/>
      <c r="AY290" s="199"/>
      <c r="AZ290" s="199"/>
      <c r="BD290" s="199"/>
      <c r="BF290" s="199"/>
    </row>
    <row r="291" spans="1:58" x14ac:dyDescent="0.2">
      <c r="A291" s="212"/>
      <c r="B291" s="212"/>
      <c r="C291" s="199"/>
      <c r="D291" s="199"/>
      <c r="E291" s="185"/>
      <c r="F291" s="199"/>
      <c r="G291" s="199"/>
      <c r="H291" s="199"/>
      <c r="I291" s="199"/>
      <c r="J291"/>
      <c r="K291"/>
      <c r="L291" s="199"/>
      <c r="M291" s="199"/>
      <c r="N291" s="199"/>
      <c r="O291" s="185"/>
      <c r="P291" s="185"/>
      <c r="Q291" s="199"/>
      <c r="R291" s="199"/>
      <c r="W291" s="199"/>
      <c r="X291" s="199"/>
      <c r="Y291" s="199"/>
      <c r="Z291" s="199"/>
      <c r="AA291" s="199"/>
      <c r="AB291" s="199"/>
      <c r="AC291" s="199"/>
      <c r="AD291" s="199"/>
      <c r="AL291" s="199"/>
      <c r="AM291" s="199"/>
      <c r="AN291" s="199"/>
      <c r="AO291" s="199"/>
      <c r="AP291" s="199"/>
      <c r="AQ291" s="199"/>
      <c r="AR291" s="199"/>
      <c r="AS291" s="199"/>
      <c r="AV291" s="199"/>
      <c r="AW291" s="199"/>
      <c r="AX291" s="199"/>
      <c r="AY291" s="199"/>
      <c r="AZ291" s="199"/>
      <c r="BD291" s="199"/>
      <c r="BF291" s="199"/>
    </row>
    <row r="292" spans="1:58" x14ac:dyDescent="0.2">
      <c r="A292" s="212"/>
      <c r="B292" s="212"/>
      <c r="C292" s="199"/>
      <c r="D292" s="199"/>
      <c r="E292" s="185"/>
      <c r="F292" s="199"/>
      <c r="G292" s="199"/>
      <c r="H292" s="199"/>
      <c r="I292" s="199"/>
      <c r="J292"/>
      <c r="K292"/>
      <c r="L292" s="199"/>
      <c r="M292" s="199"/>
      <c r="N292" s="199"/>
      <c r="O292" s="185"/>
      <c r="P292" s="185"/>
      <c r="Q292" s="199"/>
      <c r="R292" s="199"/>
      <c r="W292" s="199"/>
      <c r="X292" s="199"/>
      <c r="Y292" s="199"/>
      <c r="Z292" s="199"/>
      <c r="AA292" s="199"/>
      <c r="AB292" s="199"/>
      <c r="AC292" s="199"/>
      <c r="AD292" s="199"/>
      <c r="AL292" s="199"/>
      <c r="AM292" s="199"/>
      <c r="AN292" s="199"/>
      <c r="AO292" s="199"/>
      <c r="AP292" s="199"/>
      <c r="AQ292" s="199"/>
      <c r="AR292" s="199"/>
      <c r="AS292" s="199"/>
      <c r="AV292" s="199"/>
      <c r="AW292" s="199"/>
      <c r="AX292" s="199"/>
      <c r="AY292" s="199"/>
      <c r="AZ292" s="199"/>
      <c r="BD292" s="199"/>
      <c r="BF292" s="199"/>
    </row>
    <row r="293" spans="1:58" x14ac:dyDescent="0.2">
      <c r="A293" s="212"/>
      <c r="B293" s="212"/>
      <c r="C293" s="199"/>
      <c r="D293" s="199"/>
      <c r="E293" s="185"/>
      <c r="F293" s="199"/>
      <c r="G293" s="199"/>
      <c r="H293" s="199"/>
      <c r="I293" s="199"/>
      <c r="J293"/>
      <c r="K293"/>
      <c r="L293" s="199"/>
      <c r="M293" s="199"/>
      <c r="N293" s="199"/>
      <c r="O293" s="185"/>
      <c r="P293" s="185"/>
      <c r="Q293" s="199"/>
      <c r="R293" s="199"/>
      <c r="W293" s="199"/>
      <c r="X293" s="199"/>
      <c r="Y293" s="199"/>
      <c r="Z293" s="199"/>
      <c r="AA293" s="199"/>
      <c r="AB293" s="199"/>
      <c r="AC293" s="199"/>
      <c r="AD293" s="199"/>
      <c r="AL293" s="199"/>
      <c r="AM293" s="199"/>
      <c r="AN293" s="199"/>
      <c r="AO293" s="199"/>
      <c r="AP293" s="199"/>
      <c r="AQ293" s="199"/>
      <c r="AR293" s="199"/>
      <c r="AS293" s="199"/>
      <c r="AV293" s="199"/>
      <c r="AW293" s="199"/>
      <c r="AX293" s="199"/>
      <c r="AY293" s="199"/>
      <c r="AZ293" s="199"/>
      <c r="BD293" s="199"/>
      <c r="BF293" s="199"/>
    </row>
    <row r="294" spans="1:58" x14ac:dyDescent="0.2">
      <c r="A294" s="212"/>
      <c r="B294" s="212"/>
      <c r="C294" s="199"/>
      <c r="D294" s="199"/>
      <c r="E294" s="185"/>
      <c r="F294" s="199"/>
      <c r="G294" s="199"/>
      <c r="H294" s="199"/>
      <c r="I294" s="199"/>
      <c r="J294"/>
      <c r="K294"/>
      <c r="L294" s="199"/>
      <c r="M294" s="199"/>
      <c r="N294" s="199"/>
      <c r="O294" s="185"/>
      <c r="P294" s="185"/>
      <c r="Q294" s="199"/>
      <c r="R294" s="199"/>
      <c r="W294" s="199"/>
      <c r="X294" s="199"/>
      <c r="Y294" s="199"/>
      <c r="Z294" s="199"/>
      <c r="AA294" s="199"/>
      <c r="AB294" s="199"/>
      <c r="AC294" s="199"/>
      <c r="AD294" s="199"/>
      <c r="AL294" s="199"/>
      <c r="AM294" s="199"/>
      <c r="AN294" s="199"/>
      <c r="AO294" s="199"/>
      <c r="AP294" s="199"/>
      <c r="AQ294" s="199"/>
      <c r="AR294" s="199"/>
      <c r="AS294" s="199"/>
      <c r="AV294" s="199"/>
      <c r="AW294" s="199"/>
      <c r="AX294" s="199"/>
      <c r="AY294" s="199"/>
      <c r="AZ294" s="199"/>
      <c r="BD294" s="199"/>
      <c r="BF294" s="199"/>
    </row>
    <row r="295" spans="1:58" x14ac:dyDescent="0.2">
      <c r="A295" s="212"/>
      <c r="B295" s="212"/>
      <c r="C295" s="199"/>
      <c r="D295" s="199"/>
      <c r="E295" s="185"/>
      <c r="F295" s="199"/>
      <c r="G295" s="199"/>
      <c r="H295" s="199"/>
      <c r="I295" s="199"/>
      <c r="J295"/>
      <c r="K295"/>
      <c r="L295" s="199"/>
      <c r="M295" s="199"/>
      <c r="N295" s="199"/>
      <c r="O295" s="185"/>
      <c r="P295" s="185"/>
      <c r="Q295" s="199"/>
      <c r="R295" s="199"/>
      <c r="W295" s="199"/>
      <c r="X295" s="199"/>
      <c r="Y295" s="199"/>
      <c r="Z295" s="199"/>
      <c r="AA295" s="199"/>
      <c r="AB295" s="199"/>
      <c r="AC295" s="199"/>
      <c r="AD295" s="199"/>
      <c r="AL295" s="199"/>
      <c r="AM295" s="199"/>
      <c r="AN295" s="199"/>
      <c r="AO295" s="199"/>
      <c r="AP295" s="199"/>
      <c r="AQ295" s="199"/>
      <c r="AR295" s="199"/>
      <c r="AS295" s="199"/>
      <c r="AV295" s="199"/>
      <c r="AW295" s="199"/>
      <c r="AX295" s="199"/>
      <c r="AY295" s="199"/>
      <c r="AZ295" s="199"/>
      <c r="BD295" s="199"/>
      <c r="BF295" s="199"/>
    </row>
    <row r="296" spans="1:58" x14ac:dyDescent="0.2">
      <c r="A296" s="212"/>
      <c r="B296" s="212"/>
      <c r="C296" s="199"/>
      <c r="D296" s="199"/>
      <c r="E296" s="185"/>
      <c r="F296" s="199"/>
      <c r="G296" s="199"/>
      <c r="H296" s="199"/>
      <c r="I296" s="199"/>
      <c r="J296"/>
      <c r="K296"/>
      <c r="L296" s="199"/>
      <c r="M296" s="199"/>
      <c r="N296" s="199"/>
      <c r="O296" s="185"/>
      <c r="P296" s="185"/>
      <c r="Q296" s="199"/>
      <c r="R296" s="199"/>
      <c r="W296" s="199"/>
      <c r="X296" s="199"/>
      <c r="Y296" s="199"/>
      <c r="Z296" s="199"/>
      <c r="AA296" s="199"/>
      <c r="AB296" s="199"/>
      <c r="AC296" s="199"/>
      <c r="AD296" s="199"/>
      <c r="AL296" s="199"/>
      <c r="AM296" s="199"/>
      <c r="AN296" s="199"/>
      <c r="AO296" s="199"/>
      <c r="AP296" s="199"/>
      <c r="AQ296" s="199"/>
      <c r="AR296" s="199"/>
      <c r="AS296" s="199"/>
      <c r="AV296" s="199"/>
      <c r="AW296" s="199"/>
      <c r="AX296" s="199"/>
      <c r="AY296" s="199"/>
      <c r="AZ296" s="199"/>
      <c r="BD296" s="199"/>
      <c r="BF296" s="199"/>
    </row>
    <row r="297" spans="1:58" x14ac:dyDescent="0.2">
      <c r="A297" s="212"/>
      <c r="B297" s="212"/>
      <c r="C297" s="199"/>
      <c r="D297" s="199"/>
      <c r="E297" s="185"/>
      <c r="F297" s="199"/>
      <c r="G297" s="199"/>
      <c r="H297" s="199"/>
      <c r="I297" s="199"/>
      <c r="J297"/>
      <c r="K297"/>
      <c r="L297" s="199"/>
      <c r="M297" s="199"/>
      <c r="N297" s="199"/>
      <c r="O297" s="185"/>
      <c r="P297" s="185"/>
      <c r="Q297" s="199"/>
      <c r="R297" s="199"/>
      <c r="W297" s="199"/>
      <c r="X297" s="199"/>
      <c r="Y297" s="199"/>
      <c r="Z297" s="199"/>
      <c r="AA297" s="199"/>
      <c r="AB297" s="199"/>
      <c r="AC297" s="199"/>
      <c r="AD297" s="199"/>
      <c r="AL297" s="199"/>
      <c r="AM297" s="199"/>
      <c r="AN297" s="199"/>
      <c r="AO297" s="199"/>
      <c r="AP297" s="199"/>
      <c r="AQ297" s="199"/>
      <c r="AR297" s="199"/>
      <c r="AS297" s="199"/>
      <c r="AV297" s="199"/>
      <c r="AW297" s="199"/>
      <c r="AX297" s="199"/>
      <c r="AY297" s="199"/>
      <c r="AZ297" s="199"/>
      <c r="BD297" s="199"/>
      <c r="BF297" s="199"/>
    </row>
    <row r="298" spans="1:58" x14ac:dyDescent="0.2">
      <c r="A298" s="212"/>
      <c r="B298" s="212"/>
      <c r="C298" s="199"/>
      <c r="D298" s="199"/>
      <c r="E298" s="185"/>
      <c r="F298" s="199"/>
      <c r="G298" s="199"/>
      <c r="H298" s="199"/>
      <c r="I298" s="199"/>
      <c r="J298"/>
      <c r="K298"/>
      <c r="L298" s="199"/>
      <c r="M298" s="199"/>
      <c r="N298" s="199"/>
      <c r="O298" s="185"/>
      <c r="P298" s="185"/>
      <c r="Q298" s="199"/>
      <c r="R298" s="199"/>
      <c r="W298" s="199"/>
      <c r="X298" s="199"/>
      <c r="Y298" s="199"/>
      <c r="Z298" s="199"/>
      <c r="AA298" s="199"/>
      <c r="AB298" s="199"/>
      <c r="AC298" s="199"/>
      <c r="AD298" s="199"/>
      <c r="AL298" s="199"/>
      <c r="AM298" s="199"/>
      <c r="AN298" s="199"/>
      <c r="AO298" s="199"/>
      <c r="AP298" s="199"/>
      <c r="AQ298" s="199"/>
      <c r="AR298" s="199"/>
      <c r="AS298" s="199"/>
      <c r="AV298" s="199"/>
      <c r="AW298" s="199"/>
      <c r="AX298" s="199"/>
      <c r="AY298" s="199"/>
      <c r="AZ298" s="199"/>
      <c r="BD298" s="199"/>
      <c r="BF298" s="199"/>
    </row>
    <row r="299" spans="1:58" x14ac:dyDescent="0.2">
      <c r="A299" s="212"/>
      <c r="B299" s="212"/>
      <c r="C299" s="199"/>
      <c r="D299" s="199"/>
      <c r="E299" s="185"/>
      <c r="F299" s="199"/>
      <c r="G299" s="199"/>
      <c r="H299" s="199"/>
      <c r="I299" s="199"/>
      <c r="J299"/>
      <c r="K299"/>
      <c r="L299" s="199"/>
      <c r="M299" s="199"/>
      <c r="N299" s="199"/>
      <c r="O299" s="185"/>
      <c r="P299" s="185"/>
      <c r="Q299" s="199"/>
      <c r="R299" s="199"/>
      <c r="W299" s="199"/>
      <c r="X299" s="199"/>
      <c r="Y299" s="199"/>
      <c r="Z299" s="199"/>
      <c r="AA299" s="199"/>
      <c r="AB299" s="199"/>
      <c r="AC299" s="199"/>
      <c r="AD299" s="199"/>
      <c r="AL299" s="199"/>
      <c r="AM299" s="199"/>
      <c r="AN299" s="199"/>
      <c r="AO299" s="199"/>
      <c r="AP299" s="199"/>
      <c r="AQ299" s="199"/>
      <c r="AR299" s="199"/>
      <c r="AS299" s="199"/>
      <c r="AV299" s="199"/>
      <c r="AW299" s="199"/>
      <c r="AX299" s="199"/>
      <c r="AY299" s="199"/>
      <c r="AZ299" s="199"/>
      <c r="BD299" s="199"/>
      <c r="BF299" s="199"/>
    </row>
    <row r="300" spans="1:58" x14ac:dyDescent="0.2">
      <c r="A300" s="212"/>
      <c r="B300" s="212"/>
      <c r="C300" s="199"/>
      <c r="D300" s="199"/>
      <c r="E300" s="185"/>
      <c r="F300" s="199"/>
      <c r="G300" s="199"/>
      <c r="H300" s="199"/>
      <c r="I300" s="199"/>
      <c r="J300"/>
      <c r="K300"/>
      <c r="L300" s="199"/>
      <c r="M300" s="199"/>
      <c r="N300" s="199"/>
      <c r="O300" s="185"/>
      <c r="P300" s="185"/>
      <c r="Q300" s="199"/>
      <c r="R300" s="199"/>
      <c r="W300" s="199"/>
      <c r="X300" s="199"/>
      <c r="Y300" s="199"/>
      <c r="Z300" s="199"/>
      <c r="AA300" s="199"/>
      <c r="AB300" s="199"/>
      <c r="AC300" s="199"/>
      <c r="AD300" s="199"/>
      <c r="AL300" s="199"/>
      <c r="AM300" s="199"/>
      <c r="AN300" s="199"/>
      <c r="AO300" s="199"/>
      <c r="AP300" s="199"/>
      <c r="AQ300" s="199"/>
      <c r="AR300" s="199"/>
      <c r="AS300" s="199"/>
      <c r="AV300" s="199"/>
      <c r="AW300" s="199"/>
      <c r="AX300" s="199"/>
      <c r="AY300" s="199"/>
      <c r="AZ300" s="199"/>
      <c r="BD300" s="199"/>
      <c r="BF300" s="199"/>
    </row>
    <row r="301" spans="1:58" x14ac:dyDescent="0.2">
      <c r="A301" s="212"/>
      <c r="B301" s="212"/>
      <c r="C301" s="199"/>
      <c r="D301" s="199"/>
      <c r="E301" s="185"/>
      <c r="F301" s="199"/>
      <c r="G301" s="199"/>
      <c r="H301" s="199"/>
      <c r="I301" s="199"/>
      <c r="J301"/>
      <c r="K301"/>
      <c r="L301" s="199"/>
      <c r="M301" s="199"/>
      <c r="N301" s="199"/>
      <c r="O301" s="185"/>
      <c r="P301" s="185"/>
      <c r="Q301" s="199"/>
      <c r="R301" s="199"/>
      <c r="W301" s="199"/>
      <c r="X301" s="199"/>
      <c r="Y301" s="199"/>
      <c r="Z301" s="199"/>
      <c r="AA301" s="199"/>
      <c r="AB301" s="199"/>
      <c r="AC301" s="199"/>
      <c r="AD301" s="199"/>
      <c r="AL301" s="199"/>
      <c r="AM301" s="199"/>
      <c r="AN301" s="199"/>
      <c r="AO301" s="199"/>
      <c r="AP301" s="199"/>
      <c r="AQ301" s="199"/>
      <c r="AR301" s="199"/>
      <c r="AS301" s="199"/>
      <c r="AV301" s="199"/>
      <c r="AW301" s="199"/>
      <c r="AX301" s="199"/>
      <c r="AY301" s="199"/>
      <c r="AZ301" s="199"/>
      <c r="BD301" s="199"/>
      <c r="BF301" s="199"/>
    </row>
    <row r="302" spans="1:58" x14ac:dyDescent="0.2">
      <c r="A302" s="212"/>
      <c r="B302" s="212"/>
      <c r="C302" s="199"/>
      <c r="D302" s="199"/>
      <c r="E302" s="185"/>
      <c r="F302" s="199"/>
      <c r="G302" s="199"/>
      <c r="H302" s="199"/>
      <c r="I302" s="199"/>
      <c r="J302"/>
      <c r="K302"/>
      <c r="L302" s="199"/>
      <c r="M302" s="199"/>
      <c r="N302" s="199"/>
      <c r="O302" s="185"/>
      <c r="P302" s="185"/>
      <c r="Q302" s="199"/>
      <c r="R302" s="199"/>
      <c r="W302" s="199"/>
      <c r="X302" s="199"/>
      <c r="Y302" s="199"/>
      <c r="Z302" s="199"/>
      <c r="AA302" s="199"/>
      <c r="AB302" s="199"/>
      <c r="AC302" s="199"/>
      <c r="AD302" s="199"/>
      <c r="AL302" s="199"/>
      <c r="AM302" s="199"/>
      <c r="AN302" s="199"/>
      <c r="AO302" s="199"/>
      <c r="AP302" s="199"/>
      <c r="AQ302" s="199"/>
      <c r="AR302" s="199"/>
      <c r="AS302" s="199"/>
      <c r="AV302" s="199"/>
      <c r="AW302" s="199"/>
      <c r="AX302" s="199"/>
      <c r="AY302" s="199"/>
      <c r="AZ302" s="199"/>
      <c r="BD302" s="199"/>
      <c r="BF302" s="199"/>
    </row>
    <row r="303" spans="1:58" x14ac:dyDescent="0.2">
      <c r="A303" s="212"/>
      <c r="B303" s="212"/>
      <c r="C303" s="199"/>
      <c r="D303" s="199"/>
      <c r="E303" s="185"/>
      <c r="F303" s="199"/>
      <c r="G303" s="199"/>
      <c r="H303" s="199"/>
      <c r="I303" s="199"/>
      <c r="J303"/>
      <c r="K303"/>
      <c r="L303" s="199"/>
      <c r="M303" s="199"/>
      <c r="N303" s="199"/>
      <c r="O303" s="185"/>
      <c r="P303" s="185"/>
      <c r="Q303" s="199"/>
      <c r="R303" s="199"/>
      <c r="W303" s="199"/>
      <c r="X303" s="199"/>
      <c r="Y303" s="199"/>
      <c r="Z303" s="199"/>
      <c r="AA303" s="199"/>
      <c r="AB303" s="199"/>
      <c r="AC303" s="199"/>
      <c r="AD303" s="199"/>
      <c r="AL303" s="199"/>
      <c r="AM303" s="199"/>
      <c r="AN303" s="199"/>
      <c r="AO303" s="199"/>
      <c r="AP303" s="199"/>
      <c r="AQ303" s="199"/>
      <c r="AR303" s="199"/>
      <c r="AS303" s="199"/>
      <c r="AV303" s="199"/>
      <c r="AW303" s="199"/>
      <c r="AX303" s="199"/>
      <c r="AY303" s="199"/>
      <c r="AZ303" s="199"/>
      <c r="BD303" s="199"/>
      <c r="BF303" s="199"/>
    </row>
    <row r="304" spans="1:58" x14ac:dyDescent="0.2">
      <c r="A304" s="212"/>
      <c r="B304" s="212"/>
      <c r="C304" s="199"/>
      <c r="D304" s="199"/>
      <c r="E304" s="185"/>
      <c r="F304" s="199"/>
      <c r="G304" s="199"/>
      <c r="H304" s="199"/>
      <c r="I304" s="199"/>
      <c r="J304"/>
      <c r="K304"/>
      <c r="L304" s="199"/>
      <c r="M304" s="199"/>
      <c r="N304" s="199"/>
      <c r="O304" s="185"/>
      <c r="P304" s="185"/>
      <c r="Q304" s="199"/>
      <c r="R304" s="199"/>
      <c r="W304" s="199"/>
      <c r="X304" s="199"/>
      <c r="Y304" s="199"/>
      <c r="Z304" s="199"/>
      <c r="AA304" s="199"/>
      <c r="AB304" s="199"/>
      <c r="AC304" s="199"/>
      <c r="AD304" s="199"/>
      <c r="AL304" s="199"/>
      <c r="AM304" s="199"/>
      <c r="AN304" s="199"/>
      <c r="AO304" s="199"/>
      <c r="AP304" s="199"/>
      <c r="AQ304" s="199"/>
      <c r="AR304" s="199"/>
      <c r="AS304" s="199"/>
      <c r="AV304" s="199"/>
      <c r="AW304" s="199"/>
      <c r="AX304" s="199"/>
      <c r="AY304" s="199"/>
      <c r="AZ304" s="199"/>
      <c r="BD304" s="199"/>
      <c r="BF304" s="199"/>
    </row>
    <row r="305" spans="1:100" x14ac:dyDescent="0.2">
      <c r="A305" s="212"/>
      <c r="B305" s="212"/>
      <c r="C305" s="199"/>
      <c r="D305" s="199"/>
      <c r="E305" s="185"/>
      <c r="F305" s="199"/>
      <c r="G305" s="199"/>
      <c r="H305" s="199"/>
      <c r="I305" s="199"/>
      <c r="J305"/>
      <c r="K305"/>
      <c r="L305" s="199"/>
      <c r="M305" s="199"/>
      <c r="N305" s="199"/>
      <c r="O305" s="185"/>
      <c r="P305" s="185"/>
      <c r="Q305" s="199"/>
      <c r="R305" s="199"/>
      <c r="W305" s="199"/>
      <c r="X305" s="199"/>
      <c r="Y305" s="199"/>
      <c r="Z305" s="199"/>
      <c r="AA305" s="199"/>
      <c r="AB305" s="199"/>
      <c r="AC305" s="199"/>
      <c r="AD305" s="199"/>
      <c r="AL305" s="199"/>
      <c r="AM305" s="199"/>
      <c r="AN305" s="199"/>
      <c r="AO305" s="199"/>
      <c r="AP305" s="199"/>
      <c r="AQ305" s="199"/>
      <c r="AR305" s="199"/>
      <c r="AS305" s="199"/>
      <c r="AV305" s="199"/>
      <c r="AW305" s="199"/>
      <c r="AX305" s="199"/>
      <c r="AY305" s="199"/>
      <c r="AZ305" s="199"/>
      <c r="BD305" s="199"/>
      <c r="BF305" s="199"/>
    </row>
    <row r="306" spans="1:100" x14ac:dyDescent="0.2">
      <c r="A306" s="212"/>
      <c r="B306" s="212"/>
      <c r="C306" s="199"/>
      <c r="D306" s="199"/>
      <c r="E306" s="185"/>
      <c r="F306" s="199"/>
      <c r="G306" s="199"/>
      <c r="H306" s="199"/>
      <c r="I306" s="199"/>
      <c r="J306"/>
      <c r="K306"/>
      <c r="L306" s="199"/>
      <c r="M306" s="199"/>
      <c r="N306" s="199"/>
      <c r="O306" s="185"/>
      <c r="P306" s="185"/>
      <c r="Q306" s="199"/>
      <c r="R306" s="199"/>
      <c r="W306" s="199"/>
      <c r="X306" s="199"/>
      <c r="Y306" s="199"/>
      <c r="Z306" s="199"/>
      <c r="AA306" s="199"/>
      <c r="AB306" s="199"/>
      <c r="AC306" s="199"/>
      <c r="AD306" s="199"/>
      <c r="AL306" s="199"/>
      <c r="AM306" s="199"/>
      <c r="AN306" s="199"/>
      <c r="AO306" s="199"/>
      <c r="AP306" s="199"/>
      <c r="AQ306" s="199"/>
      <c r="AR306" s="199"/>
      <c r="AS306" s="199"/>
      <c r="AV306" s="199"/>
      <c r="AW306" s="199"/>
      <c r="AX306" s="199"/>
      <c r="AY306" s="199"/>
      <c r="AZ306" s="199"/>
      <c r="BD306" s="199"/>
      <c r="BF306" s="199"/>
    </row>
    <row r="307" spans="1:100" x14ac:dyDescent="0.2">
      <c r="A307" s="212"/>
      <c r="B307" s="212"/>
      <c r="C307" s="199"/>
      <c r="D307" s="199"/>
      <c r="E307" s="185"/>
      <c r="F307" s="199"/>
      <c r="G307" s="199"/>
      <c r="H307" s="199"/>
      <c r="I307" s="199"/>
      <c r="J307"/>
      <c r="K307"/>
      <c r="L307" s="199"/>
      <c r="M307" s="199"/>
      <c r="N307" s="199"/>
      <c r="O307" s="185"/>
      <c r="P307" s="185"/>
      <c r="Q307" s="199"/>
      <c r="R307" s="199"/>
      <c r="W307" s="199"/>
      <c r="X307" s="199"/>
      <c r="Y307" s="199"/>
      <c r="Z307" s="199"/>
      <c r="AA307" s="199"/>
      <c r="AB307" s="199"/>
      <c r="AC307" s="199"/>
      <c r="AD307" s="199"/>
      <c r="AL307" s="199"/>
      <c r="AM307" s="199"/>
      <c r="AN307" s="199"/>
      <c r="AO307" s="199"/>
      <c r="AP307" s="199"/>
      <c r="AQ307" s="199"/>
      <c r="AR307" s="199"/>
      <c r="AS307" s="199"/>
      <c r="AV307" s="199"/>
      <c r="AW307" s="199"/>
      <c r="AX307" s="199"/>
      <c r="AY307" s="199"/>
      <c r="AZ307" s="199"/>
      <c r="BD307" s="199"/>
      <c r="BF307" s="199"/>
    </row>
    <row r="308" spans="1:100" x14ac:dyDescent="0.2">
      <c r="A308" s="212"/>
      <c r="B308" s="212"/>
      <c r="C308" s="199"/>
      <c r="D308" s="199"/>
      <c r="E308" s="185"/>
      <c r="F308" s="199"/>
      <c r="G308" s="199"/>
      <c r="H308" s="199"/>
      <c r="I308" s="199"/>
      <c r="J308" s="199"/>
      <c r="K308" s="199"/>
      <c r="L308" s="199"/>
      <c r="M308" s="199"/>
      <c r="N308" s="199"/>
      <c r="O308" s="185"/>
      <c r="P308" s="185"/>
      <c r="Q308" s="199"/>
      <c r="R308" s="199"/>
      <c r="W308" s="199"/>
      <c r="X308" s="199"/>
      <c r="Y308" s="199"/>
      <c r="Z308" s="199"/>
      <c r="AA308" s="199"/>
      <c r="AB308" s="199"/>
      <c r="AC308" s="199"/>
      <c r="AD308" s="199"/>
      <c r="AL308" s="199"/>
      <c r="AM308" s="199"/>
      <c r="AN308" s="199"/>
      <c r="AO308" s="199"/>
      <c r="AP308" s="199"/>
      <c r="AQ308" s="199"/>
      <c r="AR308" s="199"/>
      <c r="AS308" s="199"/>
      <c r="AV308" s="199"/>
      <c r="AW308" s="199"/>
      <c r="AX308" s="199"/>
      <c r="AY308" s="199"/>
      <c r="AZ308" s="199"/>
      <c r="BA308" s="199"/>
      <c r="BB308" s="199"/>
      <c r="BD308" s="199"/>
      <c r="BF308" s="199"/>
      <c r="BG308" s="194"/>
      <c r="BJ308" s="194"/>
      <c r="BK308" s="194"/>
      <c r="BL308" s="194"/>
      <c r="BM308" s="194"/>
      <c r="BN308" s="194"/>
      <c r="BO308" s="194"/>
      <c r="BP308" s="194"/>
      <c r="BQ308" s="194"/>
      <c r="BR308" s="194"/>
      <c r="BS308" s="194"/>
      <c r="BT308" s="194"/>
      <c r="BU308" s="194"/>
      <c r="BV308" s="194"/>
      <c r="BW308" s="194"/>
      <c r="BX308" s="194"/>
      <c r="BY308" s="194"/>
      <c r="BZ308" s="194"/>
      <c r="CA308" s="194"/>
      <c r="CB308" s="194"/>
      <c r="CC308" s="194"/>
      <c r="CD308" s="194"/>
      <c r="CE308" s="194"/>
      <c r="CF308" s="194"/>
      <c r="CG308" s="194"/>
      <c r="CH308" s="194"/>
      <c r="CI308" s="194"/>
      <c r="CJ308" s="194"/>
      <c r="CK308" s="194"/>
      <c r="CL308" s="194"/>
      <c r="CM308" s="194"/>
      <c r="CN308" s="194"/>
      <c r="CO308" s="194"/>
      <c r="CP308" s="194"/>
      <c r="CQ308" s="194"/>
      <c r="CR308" s="194"/>
      <c r="CS308" s="194"/>
      <c r="CT308" s="194"/>
      <c r="CU308" s="194"/>
      <c r="CV308" s="194"/>
    </row>
    <row r="309" spans="1:100" x14ac:dyDescent="0.2">
      <c r="A309" s="212"/>
      <c r="B309" s="212"/>
      <c r="C309" s="199"/>
      <c r="D309" s="199"/>
      <c r="E309" s="185"/>
      <c r="F309" s="199"/>
      <c r="G309" s="199"/>
      <c r="H309" s="199"/>
      <c r="I309" s="199"/>
      <c r="J309"/>
      <c r="K309"/>
      <c r="L309" s="199"/>
      <c r="M309" s="199"/>
      <c r="N309" s="199"/>
      <c r="O309" s="185"/>
      <c r="P309" s="185"/>
      <c r="Q309" s="199"/>
      <c r="R309" s="199"/>
      <c r="W309" s="199"/>
      <c r="X309" s="199"/>
      <c r="Y309" s="199"/>
      <c r="Z309" s="199"/>
      <c r="AA309" s="199"/>
      <c r="AB309" s="199"/>
      <c r="AC309" s="199"/>
      <c r="AD309" s="199"/>
      <c r="AL309" s="199"/>
      <c r="AM309" s="199"/>
      <c r="AN309" s="199"/>
      <c r="AO309" s="199"/>
      <c r="AP309" s="199"/>
      <c r="AQ309" s="199"/>
      <c r="AR309" s="199"/>
      <c r="AS309" s="199"/>
      <c r="AV309" s="199"/>
      <c r="AW309" s="199"/>
      <c r="AX309" s="199"/>
      <c r="AY309" s="199"/>
      <c r="AZ309" s="199"/>
      <c r="BD309" s="199"/>
      <c r="BF309" s="199"/>
    </row>
    <row r="310" spans="1:100" x14ac:dyDescent="0.2">
      <c r="A310" s="212"/>
      <c r="B310" s="212"/>
      <c r="C310" s="199"/>
      <c r="D310" s="199"/>
      <c r="E310" s="185"/>
      <c r="F310" s="199"/>
      <c r="G310" s="199"/>
      <c r="H310" s="199"/>
      <c r="I310" s="199"/>
      <c r="J310"/>
      <c r="K310"/>
      <c r="L310" s="199"/>
      <c r="M310" s="199"/>
      <c r="N310" s="199"/>
      <c r="O310" s="185"/>
      <c r="P310" s="185"/>
      <c r="Q310" s="199"/>
      <c r="R310" s="199"/>
      <c r="W310" s="199"/>
      <c r="X310" s="199"/>
      <c r="Y310" s="199"/>
      <c r="Z310" s="199"/>
      <c r="AA310" s="199"/>
      <c r="AB310" s="199"/>
      <c r="AC310" s="199"/>
      <c r="AD310" s="199"/>
      <c r="AL310" s="199"/>
      <c r="AM310" s="199"/>
      <c r="AN310" s="199"/>
      <c r="AO310" s="199"/>
      <c r="AP310" s="199"/>
      <c r="AQ310" s="199"/>
      <c r="AR310" s="199"/>
      <c r="AS310" s="199"/>
      <c r="AV310" s="199"/>
      <c r="AW310" s="199"/>
      <c r="AX310" s="199"/>
      <c r="AY310" s="199"/>
      <c r="AZ310" s="199"/>
      <c r="BD310" s="199"/>
      <c r="BF310" s="199"/>
    </row>
    <row r="311" spans="1:100" x14ac:dyDescent="0.2">
      <c r="A311" s="212"/>
      <c r="B311" s="212"/>
      <c r="C311" s="199"/>
      <c r="D311" s="199"/>
      <c r="E311" s="185"/>
      <c r="F311" s="199"/>
      <c r="G311" s="199"/>
      <c r="H311" s="199"/>
      <c r="I311" s="199"/>
      <c r="J311"/>
      <c r="K311"/>
      <c r="L311" s="199"/>
      <c r="M311" s="199"/>
      <c r="N311" s="199"/>
      <c r="O311" s="185"/>
      <c r="P311" s="185"/>
      <c r="Q311" s="199"/>
      <c r="R311" s="199"/>
      <c r="W311" s="199"/>
      <c r="X311" s="199"/>
      <c r="Y311" s="199"/>
      <c r="Z311" s="199"/>
      <c r="AA311" s="199"/>
      <c r="AB311" s="199"/>
      <c r="AC311" s="199"/>
      <c r="AD311" s="199"/>
      <c r="AL311" s="199"/>
      <c r="AM311" s="199"/>
      <c r="AN311" s="199"/>
      <c r="AO311" s="199"/>
      <c r="AP311" s="199"/>
      <c r="AQ311" s="199"/>
      <c r="AR311" s="199"/>
      <c r="AS311" s="199"/>
      <c r="AV311" s="199"/>
      <c r="AW311" s="199"/>
      <c r="AX311" s="199"/>
      <c r="AY311" s="199"/>
      <c r="AZ311" s="199"/>
      <c r="BD311" s="199"/>
      <c r="BF311" s="199"/>
    </row>
    <row r="312" spans="1:100" x14ac:dyDescent="0.2">
      <c r="A312" s="212"/>
      <c r="B312" s="212"/>
      <c r="C312" s="199"/>
      <c r="D312" s="199"/>
      <c r="E312" s="185"/>
      <c r="F312" s="199"/>
      <c r="G312" s="199"/>
      <c r="H312" s="199"/>
      <c r="I312" s="199"/>
      <c r="J312" s="199"/>
      <c r="K312" s="199"/>
      <c r="L312" s="199"/>
      <c r="M312" s="199"/>
      <c r="N312" s="199"/>
      <c r="O312" s="185"/>
      <c r="P312" s="185"/>
      <c r="Q312" s="199"/>
      <c r="R312" s="199"/>
      <c r="W312" s="199"/>
      <c r="X312" s="199"/>
      <c r="Y312" s="199"/>
      <c r="Z312" s="199"/>
      <c r="AA312" s="199"/>
      <c r="AB312" s="199"/>
      <c r="AC312" s="199"/>
      <c r="AD312" s="199"/>
      <c r="AL312" s="199"/>
      <c r="AM312" s="199"/>
      <c r="AN312" s="199"/>
      <c r="AO312" s="199"/>
      <c r="AP312" s="199"/>
      <c r="AQ312" s="199"/>
      <c r="AR312" s="199"/>
      <c r="AS312" s="199"/>
      <c r="AV312" s="199"/>
      <c r="AW312" s="199"/>
      <c r="AX312" s="199"/>
      <c r="AY312" s="199"/>
      <c r="AZ312" s="199"/>
      <c r="BA312" s="199"/>
      <c r="BB312" s="199"/>
      <c r="BD312" s="199"/>
      <c r="BF312" s="199"/>
      <c r="BG312" s="194"/>
      <c r="BH312" s="194"/>
      <c r="BJ312" s="194"/>
      <c r="BK312" s="194"/>
      <c r="BL312" s="194"/>
      <c r="BM312" s="194"/>
      <c r="BN312" s="194"/>
      <c r="BO312" s="194"/>
      <c r="BP312" s="194"/>
      <c r="BQ312" s="194"/>
      <c r="BR312" s="194"/>
      <c r="BS312" s="194"/>
      <c r="BT312" s="194"/>
      <c r="BU312" s="194"/>
      <c r="BV312" s="194"/>
      <c r="BW312" s="194"/>
      <c r="BX312" s="194"/>
      <c r="BY312" s="194"/>
      <c r="BZ312" s="194"/>
      <c r="CA312" s="194"/>
      <c r="CB312" s="194"/>
      <c r="CC312" s="194"/>
      <c r="CD312" s="194"/>
      <c r="CE312" s="194"/>
      <c r="CF312" s="194"/>
      <c r="CG312" s="194"/>
      <c r="CH312" s="194"/>
      <c r="CI312" s="194"/>
      <c r="CJ312" s="194"/>
      <c r="CK312" s="194"/>
      <c r="CL312" s="194"/>
      <c r="CM312" s="194"/>
      <c r="CN312" s="194"/>
      <c r="CO312" s="194"/>
      <c r="CP312" s="194"/>
      <c r="CQ312" s="194"/>
      <c r="CR312" s="194"/>
      <c r="CS312" s="194"/>
      <c r="CT312" s="194"/>
      <c r="CU312" s="194"/>
      <c r="CV312" s="194"/>
    </row>
    <row r="313" spans="1:100" x14ac:dyDescent="0.2">
      <c r="A313" s="212"/>
      <c r="B313" s="212"/>
      <c r="C313" s="199"/>
      <c r="D313" s="199"/>
      <c r="E313" s="185"/>
      <c r="F313" s="199"/>
      <c r="G313" s="199"/>
      <c r="H313"/>
      <c r="I313" s="199"/>
      <c r="J313"/>
      <c r="K313"/>
      <c r="L313" s="199"/>
      <c r="M313" s="185"/>
      <c r="N313" s="199"/>
      <c r="O313" s="185"/>
      <c r="P313" s="185"/>
      <c r="Q313" s="199"/>
      <c r="R313" s="199"/>
      <c r="W313" s="199"/>
      <c r="X313" s="199"/>
      <c r="Y313" s="199"/>
      <c r="Z313" s="199"/>
      <c r="AA313" s="199"/>
      <c r="AB313" s="199"/>
      <c r="AC313" s="199"/>
      <c r="AD313" s="199"/>
      <c r="AL313" s="199"/>
      <c r="AM313" s="199"/>
      <c r="AN313" s="199"/>
      <c r="AO313" s="199"/>
      <c r="AP313" s="199"/>
      <c r="AQ313" s="199"/>
      <c r="AR313" s="199"/>
      <c r="AS313" s="199"/>
      <c r="AV313" s="199"/>
      <c r="AW313" s="199"/>
      <c r="AY313" s="199"/>
      <c r="AZ313" s="199"/>
      <c r="BD313" s="199"/>
      <c r="BF313" s="199"/>
    </row>
    <row r="314" spans="1:100" x14ac:dyDescent="0.2">
      <c r="A314" s="212"/>
      <c r="B314" s="212"/>
      <c r="C314" s="199"/>
      <c r="D314" s="199"/>
      <c r="E314" s="185"/>
      <c r="F314" s="199"/>
      <c r="G314"/>
      <c r="H314"/>
      <c r="I314" s="199"/>
      <c r="J314"/>
      <c r="K314"/>
      <c r="L314" s="199"/>
      <c r="M314" s="185"/>
      <c r="N314" s="199"/>
      <c r="O314" s="185"/>
      <c r="P314" s="185"/>
      <c r="Q314" s="199"/>
      <c r="R314" s="199"/>
      <c r="W314" s="199"/>
      <c r="X314" s="199"/>
      <c r="Y314" s="199"/>
      <c r="Z314" s="199"/>
      <c r="AA314" s="199"/>
      <c r="AB314" s="199"/>
      <c r="AC314" s="199"/>
      <c r="AD314" s="199"/>
      <c r="AL314" s="199"/>
      <c r="AM314" s="199"/>
      <c r="AN314" s="199"/>
      <c r="AO314" s="199"/>
      <c r="AP314" s="199"/>
      <c r="AQ314" s="199"/>
      <c r="AR314" s="199"/>
      <c r="AS314" s="199"/>
      <c r="AV314" s="199"/>
      <c r="AY314" s="199"/>
      <c r="AZ314" s="199"/>
      <c r="BD314" s="199"/>
      <c r="BF314" s="199"/>
    </row>
    <row r="315" spans="1:100" x14ac:dyDescent="0.2">
      <c r="A315" s="212"/>
      <c r="B315" s="212"/>
      <c r="C315" s="199"/>
      <c r="D315" s="199"/>
      <c r="E315" s="185"/>
      <c r="F315" s="199"/>
      <c r="G315" s="199"/>
      <c r="H315"/>
      <c r="I315" s="199"/>
      <c r="J315"/>
      <c r="K315"/>
      <c r="L315" s="199"/>
      <c r="M315" s="185"/>
      <c r="N315" s="199"/>
      <c r="O315" s="185"/>
      <c r="P315" s="185"/>
      <c r="Q315" s="199"/>
      <c r="R315" s="199"/>
      <c r="W315" s="199"/>
      <c r="X315" s="199"/>
      <c r="Y315" s="199"/>
      <c r="Z315" s="199"/>
      <c r="AA315" s="199"/>
      <c r="AB315" s="199"/>
      <c r="AC315" s="199"/>
      <c r="AD315" s="199"/>
      <c r="AL315" s="199"/>
      <c r="AM315" s="199"/>
      <c r="AN315" s="199"/>
      <c r="AO315" s="199"/>
      <c r="AP315" s="199"/>
      <c r="AQ315" s="199"/>
      <c r="AR315" s="199"/>
      <c r="AS315" s="199"/>
      <c r="AV315" s="199"/>
      <c r="AW315" s="199"/>
      <c r="AY315" s="199"/>
      <c r="AZ315" s="199"/>
      <c r="BD315" s="199"/>
      <c r="BF315" s="199"/>
    </row>
    <row r="316" spans="1:100" x14ac:dyDescent="0.2">
      <c r="A316" s="212"/>
      <c r="B316" s="212"/>
      <c r="C316" s="199"/>
      <c r="D316" s="199"/>
      <c r="E316" s="185"/>
      <c r="F316" s="199"/>
      <c r="G316" s="199"/>
      <c r="H316"/>
      <c r="I316" s="199"/>
      <c r="J316"/>
      <c r="K316"/>
      <c r="L316" s="199"/>
      <c r="M316" s="185"/>
      <c r="N316" s="199"/>
      <c r="O316" s="185"/>
      <c r="P316" s="185"/>
      <c r="Q316" s="199"/>
      <c r="R316" s="199"/>
      <c r="W316" s="199"/>
      <c r="X316" s="199"/>
      <c r="Y316" s="199"/>
      <c r="Z316" s="199"/>
      <c r="AA316" s="199"/>
      <c r="AB316" s="199"/>
      <c r="AC316" s="199"/>
      <c r="AD316" s="199"/>
      <c r="AL316" s="199"/>
      <c r="AM316" s="199"/>
      <c r="AN316" s="199"/>
      <c r="AO316" s="199"/>
      <c r="AP316" s="199"/>
      <c r="AQ316" s="199"/>
      <c r="AR316" s="199"/>
      <c r="AS316" s="199"/>
      <c r="AV316" s="199"/>
      <c r="AW316" s="199"/>
      <c r="AY316" s="199"/>
      <c r="AZ316" s="199"/>
      <c r="BD316" s="199"/>
      <c r="BF316" s="199"/>
    </row>
    <row r="317" spans="1:100" x14ac:dyDescent="0.2">
      <c r="A317" s="212"/>
      <c r="B317" s="212"/>
      <c r="C317" s="199"/>
      <c r="D317" s="199"/>
      <c r="E317" s="185"/>
      <c r="F317" s="199"/>
      <c r="G317" s="199"/>
      <c r="H317"/>
      <c r="I317" s="199"/>
      <c r="J317"/>
      <c r="K317"/>
      <c r="L317" s="199"/>
      <c r="M317" s="185"/>
      <c r="N317" s="199"/>
      <c r="O317" s="185"/>
      <c r="P317" s="185"/>
      <c r="Q317" s="199"/>
      <c r="R317" s="199"/>
      <c r="W317" s="199"/>
      <c r="X317" s="199"/>
      <c r="Y317" s="199"/>
      <c r="Z317" s="199"/>
      <c r="AA317" s="199"/>
      <c r="AB317" s="199"/>
      <c r="AC317" s="199"/>
      <c r="AD317" s="199"/>
      <c r="AL317" s="199"/>
      <c r="AM317" s="199"/>
      <c r="AN317" s="199"/>
      <c r="AO317" s="199"/>
      <c r="AP317" s="199"/>
      <c r="AQ317" s="199"/>
      <c r="AR317" s="199"/>
      <c r="AS317" s="199"/>
      <c r="AV317" s="199"/>
      <c r="AW317" s="199"/>
      <c r="AY317" s="199"/>
      <c r="AZ317" s="199"/>
      <c r="BD317" s="199"/>
      <c r="BF317" s="199"/>
    </row>
    <row r="318" spans="1:100" x14ac:dyDescent="0.2">
      <c r="A318" s="212"/>
      <c r="B318" s="212"/>
      <c r="C318" s="199"/>
      <c r="D318" s="199"/>
      <c r="E318" s="185"/>
      <c r="F318" s="199"/>
      <c r="G318" s="199"/>
      <c r="H318" s="199"/>
      <c r="I318" s="199"/>
      <c r="J318" s="199"/>
      <c r="K318" s="199"/>
      <c r="L318" s="199"/>
      <c r="M318" s="185"/>
      <c r="N318" s="199"/>
      <c r="O318" s="185"/>
      <c r="P318" s="185"/>
      <c r="Q318" s="199"/>
      <c r="R318" s="199"/>
      <c r="W318" s="199"/>
      <c r="X318" s="199"/>
      <c r="Y318" s="199"/>
      <c r="Z318" s="199"/>
      <c r="AA318" s="199"/>
      <c r="AB318" s="199"/>
      <c r="AC318" s="199"/>
      <c r="AD318" s="199"/>
      <c r="AL318" s="199"/>
      <c r="AM318" s="199"/>
      <c r="AN318" s="199"/>
      <c r="AO318" s="199"/>
      <c r="AP318" s="199"/>
      <c r="AQ318" s="199"/>
      <c r="AR318" s="199"/>
      <c r="AS318" s="199"/>
      <c r="AV318" s="199"/>
      <c r="AW318" s="199"/>
      <c r="AX318" s="199"/>
      <c r="AY318" s="199"/>
      <c r="AZ318" s="199"/>
      <c r="BA318" s="199"/>
      <c r="BB318" s="199"/>
      <c r="BD318" s="199"/>
      <c r="BF318" s="199"/>
      <c r="BG318" s="194"/>
      <c r="BJ318" s="194"/>
      <c r="BK318" s="194"/>
      <c r="BL318" s="194"/>
      <c r="BM318" s="194"/>
      <c r="BN318" s="194"/>
      <c r="BO318" s="194"/>
      <c r="BP318" s="194"/>
      <c r="BQ318" s="194"/>
      <c r="BR318" s="194"/>
      <c r="BS318" s="194"/>
      <c r="BT318" s="194"/>
      <c r="BU318" s="194"/>
      <c r="BV318" s="194"/>
      <c r="BW318" s="194"/>
      <c r="BX318" s="194"/>
      <c r="BY318" s="194"/>
      <c r="BZ318" s="194"/>
      <c r="CA318" s="194"/>
      <c r="CB318" s="194"/>
      <c r="CC318" s="194"/>
      <c r="CD318" s="194"/>
      <c r="CE318" s="194"/>
      <c r="CF318" s="194"/>
      <c r="CG318" s="194"/>
      <c r="CH318" s="194"/>
      <c r="CI318" s="194"/>
      <c r="CJ318" s="194"/>
      <c r="CK318" s="194"/>
      <c r="CL318" s="194"/>
      <c r="CM318" s="194"/>
      <c r="CN318" s="194"/>
      <c r="CO318" s="194"/>
      <c r="CP318" s="194"/>
      <c r="CQ318" s="194"/>
      <c r="CR318" s="194"/>
      <c r="CS318" s="194"/>
      <c r="CT318" s="194"/>
      <c r="CU318" s="194"/>
      <c r="CV318" s="194"/>
    </row>
    <row r="319" spans="1:100" x14ac:dyDescent="0.2">
      <c r="A319" s="212"/>
      <c r="B319" s="212"/>
      <c r="C319" s="199"/>
      <c r="D319" s="199"/>
      <c r="E319" s="185"/>
      <c r="F319" s="199"/>
      <c r="G319" s="199"/>
      <c r="H319"/>
      <c r="I319" s="199"/>
      <c r="J319"/>
      <c r="K319"/>
      <c r="L319" s="199"/>
      <c r="M319" s="185"/>
      <c r="N319" s="199"/>
      <c r="O319" s="185"/>
      <c r="P319" s="185"/>
      <c r="Q319" s="199"/>
      <c r="R319" s="199"/>
      <c r="W319" s="199"/>
      <c r="X319" s="199"/>
      <c r="Y319" s="199"/>
      <c r="Z319" s="199"/>
      <c r="AA319" s="199"/>
      <c r="AB319" s="199"/>
      <c r="AC319" s="199"/>
      <c r="AD319" s="199"/>
      <c r="AL319" s="199"/>
      <c r="AM319" s="199"/>
      <c r="AN319" s="199"/>
      <c r="AO319" s="199"/>
      <c r="AP319" s="199"/>
      <c r="AQ319" s="199"/>
      <c r="AR319" s="199"/>
      <c r="AS319" s="199"/>
      <c r="AV319" s="199"/>
      <c r="AW319" s="199"/>
      <c r="AY319" s="199"/>
      <c r="AZ319" s="199"/>
      <c r="BD319" s="199"/>
      <c r="BF319" s="199"/>
    </row>
    <row r="320" spans="1:100" x14ac:dyDescent="0.2">
      <c r="A320" s="212"/>
      <c r="B320" s="212"/>
      <c r="C320" s="199"/>
      <c r="D320" s="199"/>
      <c r="E320" s="185"/>
      <c r="F320" s="199"/>
      <c r="G320" s="199"/>
      <c r="H320"/>
      <c r="I320" s="199"/>
      <c r="J320"/>
      <c r="K320"/>
      <c r="L320" s="199"/>
      <c r="M320" s="185"/>
      <c r="N320" s="199"/>
      <c r="O320" s="185"/>
      <c r="P320" s="185"/>
      <c r="Q320" s="199"/>
      <c r="R320" s="199"/>
      <c r="W320" s="199"/>
      <c r="X320" s="199"/>
      <c r="Y320" s="199"/>
      <c r="Z320" s="199"/>
      <c r="AA320" s="199"/>
      <c r="AB320" s="199"/>
      <c r="AC320" s="199"/>
      <c r="AD320" s="199"/>
      <c r="AL320" s="199"/>
      <c r="AM320" s="199"/>
      <c r="AN320" s="199"/>
      <c r="AO320" s="199"/>
      <c r="AP320" s="199"/>
      <c r="AQ320" s="199"/>
      <c r="AR320" s="199"/>
      <c r="AS320" s="199"/>
      <c r="AV320" s="199"/>
      <c r="AW320" s="199"/>
      <c r="AY320" s="199"/>
      <c r="AZ320" s="199"/>
      <c r="BD320" s="199"/>
      <c r="BF320" s="199"/>
    </row>
    <row r="321" spans="1:100" x14ac:dyDescent="0.2">
      <c r="A321" s="212"/>
      <c r="B321" s="212"/>
      <c r="C321" s="199"/>
      <c r="D321" s="199"/>
      <c r="E321" s="185"/>
      <c r="F321" s="199"/>
      <c r="G321" s="199"/>
      <c r="H321"/>
      <c r="I321" s="199"/>
      <c r="J321"/>
      <c r="K321"/>
      <c r="L321" s="199"/>
      <c r="M321" s="185"/>
      <c r="N321" s="199"/>
      <c r="O321" s="185"/>
      <c r="P321" s="185"/>
      <c r="Q321" s="199"/>
      <c r="R321" s="199"/>
      <c r="W321" s="199"/>
      <c r="X321" s="199"/>
      <c r="Y321" s="199"/>
      <c r="Z321" s="199"/>
      <c r="AA321" s="199"/>
      <c r="AB321" s="199"/>
      <c r="AC321" s="199"/>
      <c r="AD321" s="199"/>
      <c r="AL321" s="199"/>
      <c r="AM321" s="199"/>
      <c r="AN321" s="199"/>
      <c r="AO321" s="199"/>
      <c r="AP321" s="199"/>
      <c r="AQ321" s="199"/>
      <c r="AR321" s="199"/>
      <c r="AS321" s="199"/>
      <c r="AV321" s="199"/>
      <c r="AW321" s="199"/>
      <c r="AY321" s="199"/>
      <c r="AZ321" s="199"/>
      <c r="BD321" s="199"/>
      <c r="BF321" s="199"/>
    </row>
    <row r="322" spans="1:100" x14ac:dyDescent="0.2">
      <c r="A322" s="212"/>
      <c r="B322" s="212"/>
      <c r="C322" s="199"/>
      <c r="D322" s="199"/>
      <c r="E322" s="185"/>
      <c r="F322" s="199"/>
      <c r="G322" s="199"/>
      <c r="H322"/>
      <c r="I322" s="199"/>
      <c r="J322"/>
      <c r="K322"/>
      <c r="L322" s="199"/>
      <c r="M322" s="185"/>
      <c r="N322" s="199"/>
      <c r="O322" s="185"/>
      <c r="P322" s="185"/>
      <c r="Q322" s="199"/>
      <c r="R322" s="199"/>
      <c r="W322" s="199"/>
      <c r="X322" s="199"/>
      <c r="Y322" s="199"/>
      <c r="Z322" s="199"/>
      <c r="AA322" s="199"/>
      <c r="AB322" s="199"/>
      <c r="AC322" s="199"/>
      <c r="AD322" s="199"/>
      <c r="AL322" s="199"/>
      <c r="AM322" s="199"/>
      <c r="AN322" s="199"/>
      <c r="AO322" s="199"/>
      <c r="AP322" s="199"/>
      <c r="AQ322" s="199"/>
      <c r="AR322" s="199"/>
      <c r="AS322" s="199"/>
      <c r="AV322" s="199"/>
      <c r="AW322" s="199"/>
      <c r="AY322" s="199"/>
      <c r="AZ322" s="199"/>
      <c r="BD322" s="199"/>
      <c r="BF322" s="199"/>
    </row>
    <row r="323" spans="1:100" x14ac:dyDescent="0.2">
      <c r="A323" s="212"/>
      <c r="B323" s="212"/>
      <c r="C323" s="199"/>
      <c r="D323" s="199"/>
      <c r="E323" s="185"/>
      <c r="F323" s="199"/>
      <c r="G323" s="199"/>
      <c r="H323" s="199"/>
      <c r="I323" s="199"/>
      <c r="J323" s="199"/>
      <c r="K323" s="199"/>
      <c r="L323" s="199"/>
      <c r="M323" s="185"/>
      <c r="N323" s="199"/>
      <c r="O323" s="185"/>
      <c r="P323" s="185"/>
      <c r="Q323" s="199"/>
      <c r="R323" s="199"/>
      <c r="W323" s="199"/>
      <c r="X323" s="199"/>
      <c r="Y323" s="199"/>
      <c r="Z323" s="199"/>
      <c r="AA323" s="199"/>
      <c r="AB323" s="199"/>
      <c r="AC323" s="199"/>
      <c r="AD323" s="199"/>
      <c r="AL323" s="199"/>
      <c r="AM323" s="199"/>
      <c r="AN323" s="199"/>
      <c r="AO323" s="199"/>
      <c r="AP323" s="199"/>
      <c r="AQ323" s="199"/>
      <c r="AR323" s="199"/>
      <c r="AS323" s="199"/>
      <c r="AV323" s="199"/>
      <c r="AW323" s="199"/>
      <c r="AX323" s="199"/>
      <c r="AY323" s="199"/>
      <c r="AZ323" s="199"/>
      <c r="BA323" s="199"/>
      <c r="BB323" s="199"/>
      <c r="BD323" s="199"/>
      <c r="BF323" s="199"/>
      <c r="BG323" s="194"/>
      <c r="BK323" s="194"/>
      <c r="BL323" s="194"/>
      <c r="BM323" s="194"/>
      <c r="BN323" s="194"/>
      <c r="BO323" s="194"/>
      <c r="BP323" s="194"/>
      <c r="BQ323" s="194"/>
      <c r="BR323" s="194"/>
      <c r="BS323" s="194"/>
      <c r="BT323" s="194"/>
      <c r="BU323" s="194"/>
      <c r="BV323" s="194"/>
      <c r="BW323" s="194"/>
      <c r="BX323" s="194"/>
      <c r="BY323" s="194"/>
      <c r="BZ323" s="194"/>
      <c r="CA323" s="194"/>
      <c r="CB323" s="194"/>
      <c r="CC323" s="194"/>
      <c r="CD323" s="194"/>
      <c r="CE323" s="194"/>
      <c r="CF323" s="194"/>
      <c r="CG323" s="194"/>
      <c r="CH323" s="194"/>
      <c r="CI323" s="194"/>
      <c r="CJ323" s="194"/>
      <c r="CK323" s="194"/>
      <c r="CL323" s="194"/>
      <c r="CM323" s="194"/>
      <c r="CN323" s="194"/>
      <c r="CO323" s="194"/>
      <c r="CP323" s="194"/>
      <c r="CQ323" s="194"/>
      <c r="CR323" s="194"/>
      <c r="CS323" s="194"/>
      <c r="CT323" s="194"/>
      <c r="CU323" s="194"/>
      <c r="CV323" s="194"/>
    </row>
    <row r="324" spans="1:100" x14ac:dyDescent="0.2">
      <c r="A324" s="212"/>
      <c r="B324" s="212"/>
      <c r="C324" s="199"/>
      <c r="D324" s="199"/>
      <c r="E324" s="185"/>
      <c r="F324" s="199"/>
      <c r="G324" s="199"/>
      <c r="H324" s="199"/>
      <c r="I324" s="199"/>
      <c r="J324" s="199"/>
      <c r="K324" s="199"/>
      <c r="L324" s="199"/>
      <c r="M324" s="185"/>
      <c r="N324" s="199"/>
      <c r="O324" s="185"/>
      <c r="P324" s="185"/>
      <c r="Q324" s="199"/>
      <c r="R324" s="199"/>
      <c r="W324" s="199"/>
      <c r="X324" s="199"/>
      <c r="Y324" s="199"/>
      <c r="Z324" s="199"/>
      <c r="AA324" s="199"/>
      <c r="AB324" s="199"/>
      <c r="AC324" s="199"/>
      <c r="AD324" s="199"/>
      <c r="AL324" s="199"/>
      <c r="AM324" s="199"/>
      <c r="AN324" s="199"/>
      <c r="AO324" s="199"/>
      <c r="AP324" s="199"/>
      <c r="AQ324" s="199"/>
      <c r="AR324" s="199"/>
      <c r="AS324" s="199"/>
      <c r="AV324" s="199"/>
      <c r="AW324" s="199"/>
      <c r="AX324" s="199"/>
      <c r="AY324" s="199"/>
      <c r="AZ324" s="199"/>
      <c r="BA324" s="199"/>
      <c r="BB324" s="199"/>
      <c r="BD324" s="199"/>
      <c r="BF324" s="199"/>
      <c r="BG324" s="194"/>
      <c r="BJ324" s="194"/>
      <c r="BK324" s="194"/>
      <c r="BL324" s="194"/>
      <c r="BM324" s="194"/>
      <c r="BN324" s="194"/>
      <c r="BO324" s="194"/>
      <c r="BP324" s="194"/>
      <c r="BQ324" s="194"/>
      <c r="BR324" s="194"/>
      <c r="BS324" s="194"/>
      <c r="BT324" s="194"/>
      <c r="BU324" s="194"/>
      <c r="BV324" s="194"/>
      <c r="BW324" s="194"/>
      <c r="BX324" s="194"/>
      <c r="BY324" s="194"/>
      <c r="BZ324" s="194"/>
      <c r="CA324" s="194"/>
      <c r="CB324" s="194"/>
      <c r="CC324" s="194"/>
      <c r="CD324" s="194"/>
      <c r="CE324" s="194"/>
      <c r="CF324" s="194"/>
      <c r="CG324" s="194"/>
      <c r="CH324" s="194"/>
      <c r="CI324" s="194"/>
      <c r="CJ324" s="194"/>
      <c r="CK324" s="194"/>
      <c r="CL324" s="194"/>
      <c r="CM324" s="194"/>
      <c r="CN324" s="194"/>
      <c r="CO324" s="194"/>
      <c r="CP324" s="194"/>
      <c r="CQ324" s="194"/>
      <c r="CR324" s="194"/>
      <c r="CS324" s="194"/>
      <c r="CT324" s="194"/>
      <c r="CU324" s="194"/>
      <c r="CV324" s="194"/>
    </row>
    <row r="325" spans="1:100" x14ac:dyDescent="0.2">
      <c r="A325" s="212"/>
      <c r="B325" s="212"/>
      <c r="C325" s="199"/>
      <c r="D325" s="199"/>
      <c r="E325" s="185"/>
      <c r="F325" s="199"/>
      <c r="G325" s="199"/>
      <c r="H325" s="199"/>
      <c r="I325" s="199"/>
      <c r="J325" s="199"/>
      <c r="K325" s="199"/>
      <c r="L325" s="199"/>
      <c r="M325" s="185"/>
      <c r="N325" s="199"/>
      <c r="O325" s="185"/>
      <c r="P325" s="185"/>
      <c r="Q325" s="199"/>
      <c r="R325" s="199"/>
      <c r="W325" s="199"/>
      <c r="X325" s="199"/>
      <c r="Y325" s="199"/>
      <c r="Z325" s="199"/>
      <c r="AA325" s="199"/>
      <c r="AB325" s="199"/>
      <c r="AC325" s="199"/>
      <c r="AD325" s="199"/>
      <c r="AL325" s="199"/>
      <c r="AM325" s="199"/>
      <c r="AN325" s="199"/>
      <c r="AO325" s="199"/>
      <c r="AP325" s="199"/>
      <c r="AQ325" s="199"/>
      <c r="AR325" s="199"/>
      <c r="AS325" s="199"/>
      <c r="AV325" s="199"/>
      <c r="AW325" s="199"/>
      <c r="AX325" s="199"/>
      <c r="AY325" s="199"/>
      <c r="AZ325" s="199"/>
      <c r="BA325" s="199"/>
      <c r="BB325" s="199"/>
      <c r="BD325" s="199"/>
      <c r="BF325" s="199"/>
      <c r="BG325" s="194"/>
      <c r="BJ325" s="194"/>
      <c r="BK325" s="194"/>
      <c r="BL325" s="194"/>
      <c r="BM325" s="194"/>
      <c r="BN325" s="194"/>
      <c r="BO325" s="194"/>
      <c r="BP325" s="194"/>
      <c r="BQ325" s="194"/>
      <c r="BR325" s="194"/>
      <c r="BS325" s="194"/>
      <c r="BT325" s="194"/>
      <c r="BU325" s="194"/>
      <c r="BV325" s="194"/>
      <c r="BW325" s="194"/>
      <c r="BX325" s="194"/>
      <c r="BY325" s="194"/>
      <c r="BZ325" s="194"/>
      <c r="CA325" s="194"/>
      <c r="CB325" s="194"/>
      <c r="CC325" s="194"/>
      <c r="CD325" s="194"/>
      <c r="CE325" s="194"/>
      <c r="CF325" s="194"/>
      <c r="CG325" s="194"/>
      <c r="CH325" s="194"/>
      <c r="CI325" s="194"/>
      <c r="CJ325" s="194"/>
      <c r="CK325" s="194"/>
      <c r="CL325" s="194"/>
      <c r="CM325" s="194"/>
      <c r="CN325" s="194"/>
      <c r="CP325" s="194"/>
      <c r="CQ325" s="194"/>
      <c r="CR325" s="194"/>
      <c r="CS325" s="194"/>
      <c r="CT325" s="194"/>
      <c r="CU325" s="194"/>
      <c r="CV325" s="194"/>
    </row>
    <row r="326" spans="1:100" x14ac:dyDescent="0.2">
      <c r="A326" s="212"/>
      <c r="B326" s="212"/>
      <c r="C326" s="199"/>
      <c r="D326" s="199"/>
      <c r="E326" s="185"/>
      <c r="F326" s="199"/>
      <c r="G326" s="199"/>
      <c r="H326"/>
      <c r="I326" s="199"/>
      <c r="J326"/>
      <c r="K326"/>
      <c r="L326" s="199"/>
      <c r="M326" s="185"/>
      <c r="N326" s="199"/>
      <c r="O326" s="185"/>
      <c r="P326" s="185"/>
      <c r="Q326" s="199"/>
      <c r="R326" s="199"/>
      <c r="W326" s="199"/>
      <c r="X326" s="199"/>
      <c r="Y326" s="199"/>
      <c r="Z326" s="199"/>
      <c r="AA326" s="199"/>
      <c r="AB326" s="199"/>
      <c r="AC326" s="199"/>
      <c r="AD326" s="199"/>
      <c r="AL326" s="199"/>
      <c r="AM326" s="199"/>
      <c r="AN326" s="199"/>
      <c r="AO326" s="199"/>
      <c r="AP326" s="199"/>
      <c r="AQ326" s="199"/>
      <c r="AR326" s="199"/>
      <c r="AS326" s="199"/>
      <c r="AV326" s="199"/>
      <c r="AW326" s="199"/>
      <c r="AY326" s="199"/>
      <c r="AZ326" s="199"/>
      <c r="BD326" s="199"/>
      <c r="BF326" s="199"/>
    </row>
    <row r="327" spans="1:100" x14ac:dyDescent="0.2">
      <c r="A327" s="212"/>
      <c r="B327" s="212"/>
      <c r="C327" s="199"/>
      <c r="D327" s="199"/>
      <c r="E327" s="185"/>
      <c r="F327" s="199"/>
      <c r="G327" s="199"/>
      <c r="H327" s="199"/>
      <c r="I327" s="199"/>
      <c r="J327" s="199"/>
      <c r="K327" s="199"/>
      <c r="L327" s="199"/>
      <c r="M327" s="185"/>
      <c r="N327" s="199"/>
      <c r="O327" s="185"/>
      <c r="P327" s="185"/>
      <c r="Q327" s="199"/>
      <c r="R327" s="199"/>
      <c r="W327" s="199"/>
      <c r="X327" s="199"/>
      <c r="Y327" s="199"/>
      <c r="Z327" s="199"/>
      <c r="AA327" s="199"/>
      <c r="AB327" s="199"/>
      <c r="AC327" s="199"/>
      <c r="AD327" s="199"/>
      <c r="AL327" s="199"/>
      <c r="AM327" s="199"/>
      <c r="AN327" s="199"/>
      <c r="AO327" s="199"/>
      <c r="AP327" s="199"/>
      <c r="AQ327" s="199"/>
      <c r="AR327" s="199"/>
      <c r="AS327" s="199"/>
      <c r="AV327" s="199"/>
      <c r="AW327" s="199"/>
      <c r="AX327" s="199"/>
      <c r="AY327" s="199"/>
      <c r="AZ327" s="199"/>
      <c r="BA327" s="199"/>
      <c r="BB327" s="199"/>
      <c r="BD327" s="199"/>
      <c r="BF327" s="199"/>
      <c r="BG327" s="194"/>
      <c r="BJ327" s="194"/>
      <c r="BK327" s="194"/>
      <c r="BL327" s="194"/>
      <c r="BM327" s="194"/>
      <c r="BN327" s="194"/>
      <c r="BO327" s="194"/>
      <c r="BP327" s="194"/>
      <c r="BQ327" s="194"/>
      <c r="BR327" s="194"/>
      <c r="BS327" s="194"/>
      <c r="BT327" s="194"/>
      <c r="BU327" s="194"/>
      <c r="BV327" s="194"/>
      <c r="BW327" s="194"/>
      <c r="BX327" s="194"/>
      <c r="BY327" s="194"/>
      <c r="BZ327" s="194"/>
      <c r="CA327" s="194"/>
      <c r="CB327" s="194"/>
      <c r="CC327" s="194"/>
      <c r="CD327" s="194"/>
      <c r="CE327" s="194"/>
      <c r="CF327" s="194"/>
      <c r="CG327" s="194"/>
      <c r="CH327" s="194"/>
      <c r="CI327" s="194"/>
      <c r="CJ327" s="194"/>
      <c r="CK327" s="194"/>
      <c r="CL327" s="194"/>
      <c r="CM327" s="194"/>
      <c r="CN327" s="194"/>
      <c r="CO327" s="194"/>
      <c r="CP327" s="194"/>
      <c r="CQ327" s="194"/>
      <c r="CR327" s="194"/>
      <c r="CS327" s="194"/>
      <c r="CT327" s="194"/>
      <c r="CU327" s="194"/>
      <c r="CV327" s="194"/>
    </row>
    <row r="328" spans="1:100" x14ac:dyDescent="0.2">
      <c r="A328" s="212"/>
      <c r="B328" s="212"/>
      <c r="C328" s="199"/>
      <c r="D328" s="199"/>
      <c r="E328" s="185"/>
      <c r="F328" s="199"/>
      <c r="G328" s="199"/>
      <c r="H328"/>
      <c r="I328" s="199"/>
      <c r="J328"/>
      <c r="K328"/>
      <c r="L328" s="199"/>
      <c r="M328" s="185"/>
      <c r="N328" s="199"/>
      <c r="O328" s="185"/>
      <c r="P328" s="185"/>
      <c r="Q328" s="199"/>
      <c r="R328" s="199"/>
      <c r="W328" s="199"/>
      <c r="X328" s="199"/>
      <c r="Y328" s="199"/>
      <c r="Z328" s="199"/>
      <c r="AA328" s="199"/>
      <c r="AB328" s="199"/>
      <c r="AC328" s="199"/>
      <c r="AD328" s="199"/>
      <c r="AL328" s="199"/>
      <c r="AM328" s="199"/>
      <c r="AN328" s="199"/>
      <c r="AO328" s="199"/>
      <c r="AP328" s="199"/>
      <c r="AQ328" s="199"/>
      <c r="AR328" s="199"/>
      <c r="AS328" s="199"/>
      <c r="AV328" s="199"/>
      <c r="AW328" s="199"/>
      <c r="AY328" s="199"/>
      <c r="AZ328" s="199"/>
      <c r="BD328" s="199"/>
      <c r="BF328" s="199"/>
    </row>
    <row r="329" spans="1:100" x14ac:dyDescent="0.2">
      <c r="A329" s="212"/>
      <c r="B329" s="212"/>
      <c r="C329" s="199"/>
      <c r="D329" s="199"/>
      <c r="E329" s="185"/>
      <c r="F329" s="199"/>
      <c r="G329" s="199"/>
      <c r="H329"/>
      <c r="I329" s="199"/>
      <c r="J329"/>
      <c r="K329"/>
      <c r="L329" s="199"/>
      <c r="M329" s="185"/>
      <c r="N329" s="199"/>
      <c r="O329" s="185"/>
      <c r="P329" s="185"/>
      <c r="Q329" s="199"/>
      <c r="R329" s="199"/>
      <c r="W329" s="199"/>
      <c r="X329" s="199"/>
      <c r="Y329" s="199"/>
      <c r="Z329" s="199"/>
      <c r="AA329" s="199"/>
      <c r="AB329" s="199"/>
      <c r="AC329" s="199"/>
      <c r="AD329" s="199"/>
      <c r="AL329" s="199"/>
      <c r="AM329" s="199"/>
      <c r="AN329" s="199"/>
      <c r="AO329" s="199"/>
      <c r="AP329" s="199"/>
      <c r="AQ329" s="199"/>
      <c r="AR329" s="199"/>
      <c r="AS329" s="199"/>
      <c r="AV329" s="199"/>
      <c r="AW329" s="199"/>
      <c r="AY329" s="199"/>
      <c r="AZ329" s="199"/>
      <c r="BD329" s="199"/>
      <c r="BF329" s="199"/>
    </row>
    <row r="330" spans="1:100" x14ac:dyDescent="0.2">
      <c r="A330" s="212"/>
      <c r="B330" s="212"/>
      <c r="C330" s="199"/>
      <c r="D330" s="199"/>
      <c r="E330" s="185"/>
      <c r="F330" s="199"/>
      <c r="G330" s="199"/>
      <c r="H330"/>
      <c r="I330" s="199"/>
      <c r="J330"/>
      <c r="K330"/>
      <c r="L330" s="199"/>
      <c r="M330" s="185"/>
      <c r="N330" s="199"/>
      <c r="O330" s="185"/>
      <c r="P330" s="185"/>
      <c r="Q330" s="199"/>
      <c r="R330" s="199"/>
      <c r="W330" s="199"/>
      <c r="X330" s="199"/>
      <c r="Y330" s="199"/>
      <c r="Z330" s="199"/>
      <c r="AA330" s="199"/>
      <c r="AB330" s="199"/>
      <c r="AC330" s="199"/>
      <c r="AD330" s="199"/>
      <c r="AL330" s="199"/>
      <c r="AM330" s="199"/>
      <c r="AN330" s="199"/>
      <c r="AO330" s="199"/>
      <c r="AP330" s="199"/>
      <c r="AQ330" s="199"/>
      <c r="AR330" s="199"/>
      <c r="AS330" s="199"/>
      <c r="AV330" s="199"/>
      <c r="AW330" s="199"/>
      <c r="AY330" s="199"/>
      <c r="AZ330" s="199"/>
      <c r="BD330" s="199"/>
      <c r="BF330" s="199"/>
    </row>
    <row r="331" spans="1:100" x14ac:dyDescent="0.2">
      <c r="A331" s="212"/>
      <c r="B331" s="212"/>
      <c r="C331" s="199"/>
      <c r="D331" s="199"/>
      <c r="E331" s="185"/>
      <c r="F331" s="199"/>
      <c r="G331" s="199"/>
      <c r="H331" s="199"/>
      <c r="I331" s="199"/>
      <c r="J331"/>
      <c r="K331"/>
      <c r="L331" s="199"/>
      <c r="M331" s="185"/>
      <c r="N331" s="199"/>
      <c r="O331" s="185"/>
      <c r="P331" s="185"/>
      <c r="Q331" s="199"/>
      <c r="R331" s="199"/>
      <c r="W331" s="199"/>
      <c r="X331" s="199"/>
      <c r="Y331" s="199"/>
      <c r="Z331" s="199"/>
      <c r="AA331" s="199"/>
      <c r="AB331" s="199"/>
      <c r="AC331" s="199"/>
      <c r="AD331" s="199"/>
      <c r="AL331" s="199"/>
      <c r="AM331" s="199"/>
      <c r="AN331" s="199"/>
      <c r="AO331" s="199"/>
      <c r="AP331" s="199"/>
      <c r="AQ331" s="199"/>
      <c r="AR331" s="199"/>
      <c r="AS331" s="199"/>
      <c r="AV331" s="199"/>
      <c r="AW331" s="199"/>
      <c r="AX331" s="199"/>
      <c r="AY331" s="199"/>
      <c r="AZ331" s="199"/>
      <c r="BD331" s="199"/>
      <c r="BF331" s="199"/>
    </row>
    <row r="332" spans="1:100" x14ac:dyDescent="0.2">
      <c r="A332" s="212"/>
      <c r="B332" s="212"/>
      <c r="C332" s="199"/>
      <c r="D332" s="199"/>
      <c r="E332" s="185"/>
      <c r="F332" s="199"/>
      <c r="G332" s="199"/>
      <c r="H332"/>
      <c r="I332" s="199"/>
      <c r="J332"/>
      <c r="K332"/>
      <c r="L332" s="199"/>
      <c r="M332" s="185"/>
      <c r="N332" s="199"/>
      <c r="O332" s="185"/>
      <c r="P332" s="185"/>
      <c r="Q332" s="199"/>
      <c r="R332" s="199"/>
      <c r="W332" s="199"/>
      <c r="X332" s="199"/>
      <c r="Y332" s="199"/>
      <c r="Z332" s="199"/>
      <c r="AA332" s="199"/>
      <c r="AB332" s="199"/>
      <c r="AC332" s="199"/>
      <c r="AD332" s="199"/>
      <c r="AL332" s="199"/>
      <c r="AM332" s="199"/>
      <c r="AN332" s="199"/>
      <c r="AO332" s="199"/>
      <c r="AP332" s="199"/>
      <c r="AQ332" s="199"/>
      <c r="AR332" s="199"/>
      <c r="AS332" s="199"/>
      <c r="AV332" s="199"/>
      <c r="AW332" s="199"/>
      <c r="AY332" s="199"/>
      <c r="AZ332" s="199"/>
      <c r="BD332" s="199"/>
      <c r="BF332" s="199"/>
    </row>
    <row r="333" spans="1:100" x14ac:dyDescent="0.2">
      <c r="A333" s="212"/>
      <c r="B333" s="212"/>
      <c r="C333" s="199"/>
      <c r="D333" s="199"/>
      <c r="E333" s="185"/>
      <c r="F333" s="199"/>
      <c r="G333" s="199"/>
      <c r="H333"/>
      <c r="I333" s="199"/>
      <c r="J333"/>
      <c r="K333"/>
      <c r="L333" s="199"/>
      <c r="M333" s="185"/>
      <c r="N333" s="199"/>
      <c r="O333" s="185"/>
      <c r="P333" s="185"/>
      <c r="Q333" s="199"/>
      <c r="R333" s="199"/>
      <c r="W333" s="199"/>
      <c r="X333" s="199"/>
      <c r="Y333" s="199"/>
      <c r="Z333" s="199"/>
      <c r="AA333" s="199"/>
      <c r="AB333" s="199"/>
      <c r="AC333" s="199"/>
      <c r="AD333" s="199"/>
      <c r="AL333" s="199"/>
      <c r="AM333" s="199"/>
      <c r="AN333" s="199"/>
      <c r="AO333" s="199"/>
      <c r="AP333" s="199"/>
      <c r="AQ333" s="199"/>
      <c r="AR333" s="199"/>
      <c r="AS333" s="199"/>
      <c r="AV333" s="199"/>
      <c r="AW333" s="199"/>
      <c r="AY333" s="199"/>
      <c r="AZ333" s="199"/>
      <c r="BD333" s="199"/>
      <c r="BF333" s="199"/>
    </row>
    <row r="334" spans="1:100" x14ac:dyDescent="0.2">
      <c r="A334" s="212"/>
      <c r="B334" s="212"/>
      <c r="C334" s="199"/>
      <c r="D334" s="199"/>
      <c r="E334" s="185"/>
      <c r="F334" s="199"/>
      <c r="G334" s="199"/>
      <c r="H334"/>
      <c r="I334" s="199"/>
      <c r="J334"/>
      <c r="K334"/>
      <c r="L334" s="199"/>
      <c r="M334" s="185"/>
      <c r="N334" s="199"/>
      <c r="O334" s="185"/>
      <c r="P334" s="185"/>
      <c r="Q334" s="199"/>
      <c r="R334" s="199"/>
      <c r="W334" s="199"/>
      <c r="X334" s="199"/>
      <c r="Y334" s="199"/>
      <c r="Z334" s="199"/>
      <c r="AA334" s="199"/>
      <c r="AB334" s="199"/>
      <c r="AC334" s="199"/>
      <c r="AD334" s="199"/>
      <c r="AL334" s="199"/>
      <c r="AM334" s="199"/>
      <c r="AN334" s="199"/>
      <c r="AO334" s="199"/>
      <c r="AP334" s="199"/>
      <c r="AQ334" s="199"/>
      <c r="AR334" s="199"/>
      <c r="AS334" s="199"/>
      <c r="AV334" s="199"/>
      <c r="AW334" s="199"/>
      <c r="AY334" s="199"/>
      <c r="AZ334" s="199"/>
      <c r="BD334" s="199"/>
      <c r="BF334" s="199"/>
    </row>
    <row r="335" spans="1:100" x14ac:dyDescent="0.2">
      <c r="A335" s="212"/>
      <c r="B335" s="212"/>
      <c r="C335" s="199"/>
      <c r="D335" s="199"/>
      <c r="E335" s="185"/>
      <c r="F335" s="199"/>
      <c r="G335" s="199"/>
      <c r="H335"/>
      <c r="I335" s="199"/>
      <c r="J335"/>
      <c r="K335"/>
      <c r="L335" s="199"/>
      <c r="M335" s="185"/>
      <c r="N335" s="199"/>
      <c r="O335" s="185"/>
      <c r="P335" s="185"/>
      <c r="Q335" s="199"/>
      <c r="R335" s="199"/>
      <c r="W335" s="199"/>
      <c r="X335" s="199"/>
      <c r="Y335" s="199"/>
      <c r="Z335" s="199"/>
      <c r="AA335" s="199"/>
      <c r="AB335" s="199"/>
      <c r="AC335" s="199"/>
      <c r="AD335" s="199"/>
      <c r="AL335" s="199"/>
      <c r="AM335" s="199"/>
      <c r="AN335" s="199"/>
      <c r="AO335" s="199"/>
      <c r="AP335" s="199"/>
      <c r="AQ335" s="199"/>
      <c r="AR335" s="199"/>
      <c r="AS335" s="199"/>
      <c r="AV335" s="199"/>
      <c r="AW335" s="199"/>
      <c r="AY335" s="199"/>
      <c r="AZ335" s="199"/>
      <c r="BD335" s="199"/>
      <c r="BF335" s="199"/>
    </row>
    <row r="336" spans="1:100" x14ac:dyDescent="0.2">
      <c r="A336" s="212"/>
      <c r="B336" s="212"/>
      <c r="C336" s="199"/>
      <c r="D336" s="199"/>
      <c r="E336" s="185"/>
      <c r="F336" s="199"/>
      <c r="G336" s="199"/>
      <c r="H336"/>
      <c r="I336" s="199"/>
      <c r="J336"/>
      <c r="K336"/>
      <c r="L336" s="199"/>
      <c r="M336" s="185"/>
      <c r="N336" s="199"/>
      <c r="O336" s="185"/>
      <c r="P336" s="185"/>
      <c r="Q336" s="199"/>
      <c r="R336" s="199"/>
      <c r="W336" s="199"/>
      <c r="X336" s="199"/>
      <c r="Y336" s="199"/>
      <c r="Z336" s="199"/>
      <c r="AA336" s="199"/>
      <c r="AB336" s="199"/>
      <c r="AC336" s="199"/>
      <c r="AD336" s="199"/>
      <c r="AL336" s="199"/>
      <c r="AM336" s="199"/>
      <c r="AN336" s="199"/>
      <c r="AO336" s="199"/>
      <c r="AP336" s="199"/>
      <c r="AQ336" s="199"/>
      <c r="AR336" s="199"/>
      <c r="AS336" s="199"/>
      <c r="AV336" s="199"/>
      <c r="AW336" s="199"/>
      <c r="AY336" s="199"/>
      <c r="AZ336" s="199"/>
      <c r="BD336" s="199"/>
      <c r="BF336" s="199"/>
    </row>
    <row r="337" spans="1:100" x14ac:dyDescent="0.2">
      <c r="A337" s="212"/>
      <c r="B337" s="212"/>
      <c r="C337" s="199"/>
      <c r="D337" s="199"/>
      <c r="E337" s="185"/>
      <c r="F337" s="199"/>
      <c r="G337" s="199"/>
      <c r="H337" s="199"/>
      <c r="I337" s="199"/>
      <c r="J337" s="199"/>
      <c r="K337" s="199"/>
      <c r="L337" s="199"/>
      <c r="M337" s="185"/>
      <c r="N337" s="199"/>
      <c r="O337" s="185"/>
      <c r="P337" s="185"/>
      <c r="Q337" s="199"/>
      <c r="R337" s="199"/>
      <c r="W337" s="199"/>
      <c r="X337" s="199"/>
      <c r="Y337" s="199"/>
      <c r="Z337" s="199"/>
      <c r="AA337" s="199"/>
      <c r="AB337" s="199"/>
      <c r="AC337" s="199"/>
      <c r="AD337" s="199"/>
      <c r="AL337" s="199"/>
      <c r="AM337" s="199"/>
      <c r="AN337" s="199"/>
      <c r="AO337" s="199"/>
      <c r="AP337" s="199"/>
      <c r="AQ337" s="199"/>
      <c r="AR337" s="199"/>
      <c r="AS337" s="199"/>
      <c r="AV337" s="199"/>
      <c r="AW337" s="199"/>
      <c r="AX337" s="199"/>
      <c r="AY337" s="199"/>
      <c r="AZ337" s="199"/>
      <c r="BA337" s="199"/>
      <c r="BB337" s="199"/>
      <c r="BD337" s="199"/>
      <c r="BF337" s="199"/>
      <c r="BG337" s="194"/>
      <c r="BJ337" s="194"/>
      <c r="BK337" s="194"/>
      <c r="BL337" s="194"/>
      <c r="BM337" s="194"/>
      <c r="BN337" s="194"/>
      <c r="BO337" s="194"/>
      <c r="BP337" s="194"/>
      <c r="BQ337" s="194"/>
      <c r="BR337" s="194"/>
      <c r="BS337" s="194"/>
      <c r="BT337" s="194"/>
      <c r="BU337" s="194"/>
      <c r="BV337" s="194"/>
      <c r="BW337" s="194"/>
      <c r="BX337" s="194"/>
      <c r="BY337" s="194"/>
      <c r="BZ337" s="194"/>
      <c r="CA337" s="194"/>
      <c r="CB337" s="194"/>
      <c r="CC337" s="194"/>
      <c r="CD337" s="194"/>
      <c r="CE337" s="194"/>
      <c r="CF337" s="194"/>
      <c r="CG337" s="194"/>
      <c r="CH337" s="194"/>
      <c r="CI337" s="194"/>
      <c r="CJ337" s="194"/>
      <c r="CK337" s="194"/>
      <c r="CL337" s="194"/>
      <c r="CM337" s="194"/>
      <c r="CN337" s="194"/>
      <c r="CO337" s="194"/>
      <c r="CP337" s="194"/>
      <c r="CQ337" s="194"/>
      <c r="CR337" s="194"/>
      <c r="CS337" s="194"/>
      <c r="CT337" s="194"/>
      <c r="CU337" s="194"/>
      <c r="CV337" s="194"/>
    </row>
    <row r="338" spans="1:100" x14ac:dyDescent="0.2">
      <c r="A338" s="212"/>
      <c r="B338" s="212"/>
      <c r="C338" s="199"/>
      <c r="D338" s="199"/>
      <c r="E338" s="185"/>
      <c r="F338" s="199"/>
      <c r="G338" s="199"/>
      <c r="H338"/>
      <c r="I338" s="199"/>
      <c r="J338"/>
      <c r="K338"/>
      <c r="L338" s="199"/>
      <c r="M338" s="185"/>
      <c r="N338" s="199"/>
      <c r="O338" s="185"/>
      <c r="P338" s="185"/>
      <c r="Q338" s="199"/>
      <c r="R338" s="199"/>
      <c r="W338" s="199"/>
      <c r="X338" s="199"/>
      <c r="Y338" s="199"/>
      <c r="Z338" s="199"/>
      <c r="AA338" s="199"/>
      <c r="AB338" s="199"/>
      <c r="AC338" s="199"/>
      <c r="AD338" s="199"/>
      <c r="AL338" s="199"/>
      <c r="AM338" s="199"/>
      <c r="AN338" s="199"/>
      <c r="AO338" s="199"/>
      <c r="AP338" s="199"/>
      <c r="AQ338" s="199"/>
      <c r="AR338" s="199"/>
      <c r="AS338" s="199"/>
      <c r="AV338" s="199"/>
      <c r="AW338" s="199"/>
      <c r="AY338" s="199"/>
      <c r="AZ338" s="199"/>
      <c r="BD338" s="199"/>
      <c r="BF338" s="199"/>
    </row>
    <row r="339" spans="1:100" x14ac:dyDescent="0.2">
      <c r="A339" s="212"/>
      <c r="B339" s="212"/>
      <c r="C339" s="199"/>
      <c r="D339" s="199"/>
      <c r="E339" s="185"/>
      <c r="F339" s="199"/>
      <c r="G339" s="199"/>
      <c r="H339"/>
      <c r="I339" s="199"/>
      <c r="J339"/>
      <c r="K339"/>
      <c r="L339" s="199"/>
      <c r="M339" s="185"/>
      <c r="N339" s="199"/>
      <c r="O339" s="185"/>
      <c r="P339" s="185"/>
      <c r="Q339" s="199"/>
      <c r="R339" s="199"/>
      <c r="W339" s="199"/>
      <c r="X339" s="199"/>
      <c r="Y339" s="199"/>
      <c r="Z339" s="199"/>
      <c r="AA339" s="199"/>
      <c r="AB339" s="199"/>
      <c r="AC339" s="199"/>
      <c r="AD339" s="199"/>
      <c r="AL339" s="199"/>
      <c r="AM339" s="199"/>
      <c r="AN339" s="199"/>
      <c r="AO339" s="199"/>
      <c r="AP339" s="199"/>
      <c r="AQ339" s="199"/>
      <c r="AR339" s="199"/>
      <c r="AS339" s="199"/>
      <c r="AV339" s="199"/>
      <c r="AW339" s="199"/>
      <c r="AY339" s="199"/>
      <c r="AZ339" s="199"/>
      <c r="BD339" s="199"/>
      <c r="BF339" s="199"/>
    </row>
    <row r="340" spans="1:100" x14ac:dyDescent="0.2">
      <c r="A340" s="212"/>
      <c r="B340" s="212"/>
      <c r="C340" s="199"/>
      <c r="D340" s="199"/>
      <c r="E340" s="185"/>
      <c r="F340" s="199"/>
      <c r="G340" s="199"/>
      <c r="H340"/>
      <c r="I340" s="199"/>
      <c r="J340"/>
      <c r="K340"/>
      <c r="L340" s="199"/>
      <c r="M340" s="185"/>
      <c r="N340" s="199"/>
      <c r="O340" s="185"/>
      <c r="P340" s="185"/>
      <c r="Q340" s="199"/>
      <c r="R340" s="199"/>
      <c r="W340" s="199"/>
      <c r="X340" s="199"/>
      <c r="Y340" s="199"/>
      <c r="Z340" s="199"/>
      <c r="AA340" s="199"/>
      <c r="AB340" s="199"/>
      <c r="AC340" s="199"/>
      <c r="AD340" s="199"/>
      <c r="AL340" s="199"/>
      <c r="AM340" s="199"/>
      <c r="AN340" s="199"/>
      <c r="AO340" s="199"/>
      <c r="AP340" s="199"/>
      <c r="AQ340" s="199"/>
      <c r="AR340" s="199"/>
      <c r="AS340" s="199"/>
      <c r="AV340" s="199"/>
      <c r="AW340" s="199"/>
      <c r="AY340" s="199"/>
      <c r="AZ340" s="199"/>
      <c r="BD340" s="199"/>
      <c r="BF340" s="199"/>
    </row>
    <row r="341" spans="1:100" x14ac:dyDescent="0.2">
      <c r="A341" s="212"/>
      <c r="B341" s="212"/>
      <c r="C341" s="199"/>
      <c r="D341" s="199"/>
      <c r="E341" s="185"/>
      <c r="F341" s="199"/>
      <c r="G341" s="199"/>
      <c r="H341"/>
      <c r="I341" s="199"/>
      <c r="J341"/>
      <c r="K341"/>
      <c r="L341" s="199"/>
      <c r="M341" s="185"/>
      <c r="N341" s="199"/>
      <c r="O341" s="185"/>
      <c r="P341" s="185"/>
      <c r="Q341" s="199"/>
      <c r="R341" s="199"/>
      <c r="W341" s="199"/>
      <c r="X341" s="199"/>
      <c r="Y341" s="199"/>
      <c r="Z341" s="199"/>
      <c r="AA341" s="199"/>
      <c r="AB341" s="199"/>
      <c r="AC341" s="199"/>
      <c r="AD341" s="199"/>
      <c r="AL341" s="199"/>
      <c r="AM341" s="199"/>
      <c r="AN341" s="199"/>
      <c r="AO341" s="199"/>
      <c r="AP341" s="199"/>
      <c r="AQ341" s="199"/>
      <c r="AR341" s="199"/>
      <c r="AS341" s="199"/>
      <c r="AV341" s="199"/>
      <c r="AW341" s="199"/>
      <c r="AY341" s="199"/>
      <c r="AZ341" s="199"/>
      <c r="BD341" s="199"/>
      <c r="BF341" s="199"/>
    </row>
    <row r="342" spans="1:100" x14ac:dyDescent="0.2">
      <c r="A342" s="212"/>
      <c r="B342" s="212"/>
      <c r="C342" s="199"/>
      <c r="D342" s="199"/>
      <c r="E342" s="185"/>
      <c r="F342" s="199"/>
      <c r="G342" s="199"/>
      <c r="H342" s="199"/>
      <c r="I342" s="199"/>
      <c r="J342" s="199"/>
      <c r="K342" s="199"/>
      <c r="L342" s="199"/>
      <c r="M342" s="185"/>
      <c r="N342" s="199"/>
      <c r="O342" s="185"/>
      <c r="P342" s="185"/>
      <c r="Q342" s="199"/>
      <c r="R342" s="199"/>
      <c r="W342" s="199"/>
      <c r="X342" s="199"/>
      <c r="Y342" s="199"/>
      <c r="Z342" s="199"/>
      <c r="AA342" s="199"/>
      <c r="AB342" s="199"/>
      <c r="AC342" s="199"/>
      <c r="AD342" s="199"/>
      <c r="AL342" s="199"/>
      <c r="AM342" s="199"/>
      <c r="AN342" s="199"/>
      <c r="AO342" s="199"/>
      <c r="AP342" s="199"/>
      <c r="AQ342" s="199"/>
      <c r="AR342" s="199"/>
      <c r="AS342" s="199"/>
      <c r="AV342" s="199"/>
      <c r="AW342" s="199"/>
      <c r="AX342" s="199"/>
      <c r="AY342" s="199"/>
      <c r="AZ342" s="199"/>
      <c r="BA342" s="199"/>
      <c r="BB342" s="199"/>
      <c r="BD342" s="199"/>
      <c r="BF342" s="199"/>
      <c r="BG342" s="194"/>
      <c r="BJ342" s="194"/>
      <c r="BK342" s="194"/>
      <c r="BL342" s="194"/>
      <c r="BM342" s="194"/>
      <c r="BN342" s="194"/>
      <c r="BO342" s="194"/>
      <c r="BP342" s="194"/>
      <c r="BQ342" s="194"/>
      <c r="BR342" s="194"/>
      <c r="BS342" s="194"/>
      <c r="BT342" s="194"/>
      <c r="BU342" s="194"/>
      <c r="BV342" s="194"/>
      <c r="BW342" s="194"/>
      <c r="BX342" s="194"/>
      <c r="BY342" s="194"/>
      <c r="BZ342" s="194"/>
      <c r="CA342" s="194"/>
      <c r="CB342" s="194"/>
      <c r="CC342" s="194"/>
      <c r="CD342" s="194"/>
      <c r="CE342" s="194"/>
      <c r="CF342" s="194"/>
      <c r="CG342" s="194"/>
      <c r="CH342" s="194"/>
      <c r="CI342" s="194"/>
      <c r="CJ342" s="194"/>
      <c r="CK342" s="194"/>
      <c r="CL342" s="194"/>
      <c r="CM342" s="194"/>
      <c r="CN342" s="194"/>
      <c r="CO342" s="194"/>
      <c r="CP342" s="194"/>
      <c r="CQ342" s="194"/>
      <c r="CR342" s="194"/>
      <c r="CS342" s="194"/>
      <c r="CT342" s="194"/>
      <c r="CU342" s="194"/>
      <c r="CV342" s="194"/>
    </row>
    <row r="343" spans="1:100" x14ac:dyDescent="0.2">
      <c r="A343" s="212"/>
      <c r="B343" s="212"/>
      <c r="C343" s="199"/>
      <c r="D343" s="199"/>
      <c r="E343" s="185"/>
      <c r="F343" s="199"/>
      <c r="G343"/>
      <c r="H343"/>
      <c r="I343" s="199"/>
      <c r="J343"/>
      <c r="K343"/>
      <c r="L343" s="199"/>
      <c r="M343" s="185"/>
      <c r="N343" s="199"/>
      <c r="O343" s="185"/>
      <c r="P343" s="185"/>
      <c r="Q343" s="199"/>
      <c r="R343" s="199"/>
      <c r="W343" s="199"/>
      <c r="X343" s="199"/>
      <c r="Y343" s="199"/>
      <c r="Z343" s="199"/>
      <c r="AA343" s="199"/>
      <c r="AB343" s="199"/>
      <c r="AC343" s="199"/>
      <c r="AD343" s="199"/>
      <c r="AL343" s="199"/>
      <c r="AM343" s="199"/>
      <c r="AN343" s="199"/>
      <c r="AO343" s="199"/>
      <c r="AP343" s="199"/>
      <c r="AQ343" s="199"/>
      <c r="AR343" s="199"/>
      <c r="AS343" s="199"/>
      <c r="AV343" s="199"/>
      <c r="AY343" s="199"/>
      <c r="AZ343" s="199"/>
      <c r="BD343" s="199"/>
      <c r="BF343" s="199"/>
    </row>
    <row r="344" spans="1:100" x14ac:dyDescent="0.2">
      <c r="A344" s="212"/>
      <c r="B344" s="212"/>
      <c r="C344" s="199"/>
      <c r="D344" s="199"/>
      <c r="E344" s="185"/>
      <c r="F344" s="199"/>
      <c r="G344" s="199"/>
      <c r="H344"/>
      <c r="I344" s="199"/>
      <c r="J344"/>
      <c r="K344"/>
      <c r="L344" s="199"/>
      <c r="M344" s="185"/>
      <c r="N344" s="199"/>
      <c r="O344" s="185"/>
      <c r="P344" s="185"/>
      <c r="Q344" s="199"/>
      <c r="R344" s="199"/>
      <c r="W344" s="199"/>
      <c r="X344" s="199"/>
      <c r="Y344" s="199"/>
      <c r="Z344" s="199"/>
      <c r="AA344" s="199"/>
      <c r="AB344" s="199"/>
      <c r="AC344" s="199"/>
      <c r="AD344" s="199"/>
      <c r="AL344" s="199"/>
      <c r="AM344" s="199"/>
      <c r="AN344" s="199"/>
      <c r="AO344" s="199"/>
      <c r="AP344" s="199"/>
      <c r="AQ344" s="199"/>
      <c r="AR344" s="199"/>
      <c r="AS344" s="199"/>
      <c r="AV344" s="199"/>
      <c r="AW344" s="199"/>
      <c r="AY344" s="199"/>
      <c r="AZ344" s="199"/>
      <c r="BD344" s="199"/>
      <c r="BF344" s="199"/>
    </row>
    <row r="345" spans="1:100" x14ac:dyDescent="0.2">
      <c r="A345" s="212"/>
      <c r="B345" s="212"/>
      <c r="C345" s="199"/>
      <c r="D345" s="199"/>
      <c r="E345" s="185"/>
      <c r="F345" s="199"/>
      <c r="G345" s="199"/>
      <c r="H345"/>
      <c r="I345" s="199"/>
      <c r="J345"/>
      <c r="K345"/>
      <c r="L345" s="199"/>
      <c r="M345" s="185"/>
      <c r="N345" s="199"/>
      <c r="O345" s="185"/>
      <c r="P345" s="185"/>
      <c r="Q345" s="199"/>
      <c r="R345" s="199"/>
      <c r="W345" s="199"/>
      <c r="X345" s="199"/>
      <c r="Y345" s="199"/>
      <c r="Z345" s="199"/>
      <c r="AA345" s="199"/>
      <c r="AB345" s="199"/>
      <c r="AC345" s="199"/>
      <c r="AD345" s="199"/>
      <c r="AL345" s="199"/>
      <c r="AM345" s="199"/>
      <c r="AN345" s="199"/>
      <c r="AO345" s="199"/>
      <c r="AP345" s="199"/>
      <c r="AQ345" s="199"/>
      <c r="AR345" s="199"/>
      <c r="AS345" s="199"/>
      <c r="AV345" s="199"/>
      <c r="AW345" s="199"/>
      <c r="AY345" s="199"/>
      <c r="AZ345" s="199"/>
      <c r="BD345" s="199"/>
      <c r="BF345" s="199"/>
    </row>
    <row r="346" spans="1:100" x14ac:dyDescent="0.2">
      <c r="A346" s="212"/>
      <c r="B346" s="212"/>
      <c r="C346" s="199"/>
      <c r="D346" s="199"/>
      <c r="E346" s="185"/>
      <c r="F346" s="199"/>
      <c r="G346" s="199"/>
      <c r="H346"/>
      <c r="I346" s="199"/>
      <c r="J346"/>
      <c r="K346"/>
      <c r="L346" s="199"/>
      <c r="M346" s="185"/>
      <c r="N346" s="199"/>
      <c r="O346" s="185"/>
      <c r="P346" s="185"/>
      <c r="Q346" s="199"/>
      <c r="R346" s="199"/>
      <c r="W346" s="199"/>
      <c r="X346" s="199"/>
      <c r="Y346" s="199"/>
      <c r="Z346" s="199"/>
      <c r="AA346" s="199"/>
      <c r="AB346" s="199"/>
      <c r="AC346" s="199"/>
      <c r="AD346" s="199"/>
      <c r="AL346" s="199"/>
      <c r="AM346" s="199"/>
      <c r="AN346" s="199"/>
      <c r="AO346" s="199"/>
      <c r="AP346" s="199"/>
      <c r="AQ346" s="199"/>
      <c r="AR346" s="199"/>
      <c r="AS346" s="199"/>
      <c r="AV346" s="199"/>
      <c r="AW346" s="199"/>
      <c r="AY346" s="199"/>
      <c r="AZ346" s="199"/>
      <c r="BD346" s="199"/>
      <c r="BF346" s="199"/>
    </row>
    <row r="347" spans="1:100" x14ac:dyDescent="0.2">
      <c r="A347" s="212"/>
      <c r="B347" s="212"/>
      <c r="C347" s="199"/>
      <c r="D347" s="199"/>
      <c r="E347" s="185"/>
      <c r="F347" s="199"/>
      <c r="G347" s="199"/>
      <c r="H347"/>
      <c r="I347" s="199"/>
      <c r="J347"/>
      <c r="K347"/>
      <c r="L347" s="199"/>
      <c r="M347" s="185"/>
      <c r="N347" s="199"/>
      <c r="O347" s="185"/>
      <c r="P347" s="185"/>
      <c r="Q347" s="199"/>
      <c r="R347" s="199"/>
      <c r="W347" s="199"/>
      <c r="X347" s="199"/>
      <c r="Y347" s="199"/>
      <c r="Z347" s="199"/>
      <c r="AA347" s="199"/>
      <c r="AB347" s="199"/>
      <c r="AC347" s="199"/>
      <c r="AD347" s="199"/>
      <c r="AL347" s="199"/>
      <c r="AM347" s="199"/>
      <c r="AN347" s="199"/>
      <c r="AO347" s="199"/>
      <c r="AP347" s="199"/>
      <c r="AQ347" s="199"/>
      <c r="AR347" s="199"/>
      <c r="AS347" s="199"/>
      <c r="AV347" s="199"/>
      <c r="AW347" s="199"/>
      <c r="AY347" s="199"/>
      <c r="AZ347" s="199"/>
      <c r="BD347" s="199"/>
      <c r="BF347" s="199"/>
    </row>
    <row r="348" spans="1:100" x14ac:dyDescent="0.2">
      <c r="A348" s="212"/>
      <c r="B348" s="212"/>
      <c r="C348" s="199"/>
      <c r="D348" s="199"/>
      <c r="E348" s="185"/>
      <c r="F348" s="199"/>
      <c r="G348" s="199"/>
      <c r="H348"/>
      <c r="I348" s="199"/>
      <c r="J348"/>
      <c r="K348"/>
      <c r="L348" s="199"/>
      <c r="M348" s="185"/>
      <c r="N348" s="199"/>
      <c r="O348" s="185"/>
      <c r="P348" s="185"/>
      <c r="Q348" s="199"/>
      <c r="R348" s="199"/>
      <c r="W348" s="199"/>
      <c r="X348" s="199"/>
      <c r="Y348" s="199"/>
      <c r="Z348" s="199"/>
      <c r="AA348" s="199"/>
      <c r="AB348" s="199"/>
      <c r="AC348" s="199"/>
      <c r="AD348" s="199"/>
      <c r="AL348" s="199"/>
      <c r="AM348" s="199"/>
      <c r="AN348" s="199"/>
      <c r="AO348" s="199"/>
      <c r="AP348" s="199"/>
      <c r="AQ348" s="199"/>
      <c r="AR348" s="199"/>
      <c r="AS348" s="199"/>
      <c r="AV348" s="199"/>
      <c r="AW348" s="199"/>
      <c r="AY348" s="199"/>
      <c r="AZ348" s="199"/>
      <c r="BD348" s="199"/>
      <c r="BF348" s="199"/>
    </row>
    <row r="349" spans="1:100" x14ac:dyDescent="0.2">
      <c r="A349" s="212"/>
      <c r="B349" s="212"/>
      <c r="C349" s="199"/>
      <c r="D349" s="199"/>
      <c r="E349" s="185"/>
      <c r="F349" s="199"/>
      <c r="G349" s="199"/>
      <c r="H349"/>
      <c r="I349" s="199"/>
      <c r="J349"/>
      <c r="K349"/>
      <c r="L349" s="199"/>
      <c r="M349" s="185"/>
      <c r="N349" s="199"/>
      <c r="O349" s="185"/>
      <c r="P349" s="185"/>
      <c r="Q349" s="199"/>
      <c r="R349" s="199"/>
      <c r="W349" s="199"/>
      <c r="X349" s="199"/>
      <c r="Y349" s="199"/>
      <c r="Z349" s="199"/>
      <c r="AA349" s="199"/>
      <c r="AB349" s="199"/>
      <c r="AC349" s="199"/>
      <c r="AD349" s="199"/>
      <c r="AL349" s="199"/>
      <c r="AM349" s="199"/>
      <c r="AN349" s="199"/>
      <c r="AO349" s="199"/>
      <c r="AP349" s="199"/>
      <c r="AQ349" s="199"/>
      <c r="AR349" s="199"/>
      <c r="AS349" s="199"/>
      <c r="AV349" s="199"/>
      <c r="AW349" s="199"/>
      <c r="AY349" s="199"/>
      <c r="AZ349" s="199"/>
      <c r="BD349" s="199"/>
      <c r="BF349" s="199"/>
    </row>
    <row r="350" spans="1:100" x14ac:dyDescent="0.2">
      <c r="A350" s="212"/>
      <c r="B350" s="212"/>
      <c r="C350" s="199"/>
      <c r="D350" s="199"/>
      <c r="E350" s="185"/>
      <c r="F350" s="199"/>
      <c r="G350" s="199"/>
      <c r="H350"/>
      <c r="I350" s="199"/>
      <c r="J350"/>
      <c r="K350"/>
      <c r="L350" s="199"/>
      <c r="M350" s="185"/>
      <c r="N350" s="199"/>
      <c r="O350" s="185"/>
      <c r="P350" s="185"/>
      <c r="Q350" s="199"/>
      <c r="R350" s="199"/>
      <c r="W350" s="199"/>
      <c r="X350" s="199"/>
      <c r="Y350" s="199"/>
      <c r="Z350" s="199"/>
      <c r="AA350" s="199"/>
      <c r="AB350" s="199"/>
      <c r="AC350" s="199"/>
      <c r="AD350" s="199"/>
      <c r="AL350" s="199"/>
      <c r="AM350" s="199"/>
      <c r="AN350" s="199"/>
      <c r="AO350" s="199"/>
      <c r="AP350" s="199"/>
      <c r="AQ350" s="199"/>
      <c r="AR350" s="199"/>
      <c r="AS350" s="199"/>
      <c r="AV350" s="199"/>
      <c r="AW350" s="199"/>
      <c r="AY350" s="199"/>
      <c r="AZ350" s="199"/>
      <c r="BD350" s="199"/>
      <c r="BF350" s="199"/>
    </row>
    <row r="351" spans="1:100" x14ac:dyDescent="0.2">
      <c r="A351" s="212"/>
      <c r="B351" s="212"/>
      <c r="C351" s="199"/>
      <c r="D351" s="199"/>
      <c r="E351" s="185"/>
      <c r="F351" s="199"/>
      <c r="G351" s="199"/>
      <c r="H351"/>
      <c r="I351" s="199"/>
      <c r="J351"/>
      <c r="K351"/>
      <c r="L351" s="199"/>
      <c r="M351" s="185"/>
      <c r="N351" s="199"/>
      <c r="O351" s="185"/>
      <c r="P351" s="185"/>
      <c r="Q351" s="199"/>
      <c r="R351" s="199"/>
      <c r="W351" s="199"/>
      <c r="X351" s="199"/>
      <c r="Y351" s="199"/>
      <c r="Z351" s="199"/>
      <c r="AA351" s="199"/>
      <c r="AB351" s="199"/>
      <c r="AC351" s="199"/>
      <c r="AD351" s="199"/>
      <c r="AL351" s="199"/>
      <c r="AM351" s="199"/>
      <c r="AN351" s="199"/>
      <c r="AO351" s="199"/>
      <c r="AP351" s="199"/>
      <c r="AQ351" s="199"/>
      <c r="AR351" s="199"/>
      <c r="AS351" s="199"/>
      <c r="AV351" s="199"/>
      <c r="AW351" s="199"/>
      <c r="AY351" s="199"/>
      <c r="AZ351" s="199"/>
      <c r="BD351" s="199"/>
      <c r="BF351" s="199"/>
    </row>
    <row r="352" spans="1:100" x14ac:dyDescent="0.2">
      <c r="A352" s="212"/>
      <c r="B352" s="212"/>
      <c r="C352" s="199"/>
      <c r="D352" s="199"/>
      <c r="E352" s="185"/>
      <c r="F352" s="199"/>
      <c r="G352" s="199"/>
      <c r="H352"/>
      <c r="I352" s="199"/>
      <c r="J352"/>
      <c r="K352"/>
      <c r="L352" s="199"/>
      <c r="M352" s="185"/>
      <c r="N352" s="199"/>
      <c r="O352" s="185"/>
      <c r="P352" s="185"/>
      <c r="Q352" s="199"/>
      <c r="R352" s="199"/>
      <c r="W352" s="199"/>
      <c r="X352" s="199"/>
      <c r="Y352" s="199"/>
      <c r="Z352" s="199"/>
      <c r="AA352" s="199"/>
      <c r="AB352" s="199"/>
      <c r="AC352" s="199"/>
      <c r="AD352" s="199"/>
      <c r="AL352" s="199"/>
      <c r="AM352" s="199"/>
      <c r="AN352" s="199"/>
      <c r="AO352" s="199"/>
      <c r="AP352" s="199"/>
      <c r="AQ352" s="199"/>
      <c r="AR352" s="199"/>
      <c r="AS352" s="199"/>
      <c r="AV352" s="199"/>
      <c r="AW352" s="199"/>
      <c r="AY352" s="199"/>
      <c r="AZ352" s="199"/>
      <c r="BD352" s="199"/>
      <c r="BF352" s="199"/>
    </row>
    <row r="353" spans="1:58" x14ac:dyDescent="0.2">
      <c r="A353" s="212"/>
      <c r="B353" s="212"/>
      <c r="C353" s="199"/>
      <c r="D353" s="199"/>
      <c r="E353" s="185"/>
      <c r="F353" s="199"/>
      <c r="G353" s="199"/>
      <c r="H353"/>
      <c r="I353" s="199"/>
      <c r="J353"/>
      <c r="K353"/>
      <c r="L353" s="199"/>
      <c r="M353" s="185"/>
      <c r="N353" s="199"/>
      <c r="O353" s="185"/>
      <c r="P353" s="185"/>
      <c r="Q353" s="199"/>
      <c r="R353" s="199"/>
      <c r="W353" s="199"/>
      <c r="X353" s="199"/>
      <c r="Y353" s="199"/>
      <c r="Z353" s="199"/>
      <c r="AA353" s="199"/>
      <c r="AB353" s="199"/>
      <c r="AC353" s="199"/>
      <c r="AD353" s="199"/>
      <c r="AL353" s="199"/>
      <c r="AM353" s="199"/>
      <c r="AN353" s="199"/>
      <c r="AO353" s="199"/>
      <c r="AP353" s="199"/>
      <c r="AQ353" s="199"/>
      <c r="AR353" s="199"/>
      <c r="AS353" s="199"/>
      <c r="AV353" s="199"/>
      <c r="AW353" s="199"/>
      <c r="AY353" s="199"/>
      <c r="AZ353" s="199"/>
      <c r="BD353" s="199"/>
      <c r="BF353" s="199"/>
    </row>
    <row r="354" spans="1:58" x14ac:dyDescent="0.2">
      <c r="A354" s="212"/>
      <c r="B354" s="212"/>
      <c r="C354" s="199"/>
      <c r="D354" s="199"/>
      <c r="E354" s="185"/>
      <c r="F354" s="199"/>
      <c r="G354" s="199"/>
      <c r="H354"/>
      <c r="I354" s="199"/>
      <c r="J354"/>
      <c r="K354"/>
      <c r="L354" s="199"/>
      <c r="M354" s="185"/>
      <c r="N354" s="199"/>
      <c r="O354" s="185"/>
      <c r="P354" s="185"/>
      <c r="Q354" s="199"/>
      <c r="R354" s="199"/>
      <c r="W354" s="199"/>
      <c r="X354" s="199"/>
      <c r="Y354" s="199"/>
      <c r="Z354" s="199"/>
      <c r="AA354" s="199"/>
      <c r="AB354" s="199"/>
      <c r="AC354" s="199"/>
      <c r="AD354" s="199"/>
      <c r="AL354" s="199"/>
      <c r="AM354" s="199"/>
      <c r="AN354" s="199"/>
      <c r="AO354" s="199"/>
      <c r="AP354" s="199"/>
      <c r="AQ354" s="199"/>
      <c r="AR354" s="199"/>
      <c r="AS354" s="199"/>
      <c r="AV354" s="199"/>
      <c r="AW354" s="199"/>
      <c r="AY354" s="199"/>
      <c r="AZ354" s="199"/>
      <c r="BD354" s="199"/>
      <c r="BF354" s="199"/>
    </row>
    <row r="355" spans="1:58" x14ac:dyDescent="0.2">
      <c r="A355" s="212"/>
      <c r="B355" s="212"/>
      <c r="C355" s="199"/>
      <c r="D355" s="199"/>
      <c r="E355" s="185"/>
      <c r="F355" s="199"/>
      <c r="G355" s="199"/>
      <c r="H355"/>
      <c r="I355" s="199"/>
      <c r="J355"/>
      <c r="K355"/>
      <c r="L355" s="199"/>
      <c r="M355" s="185"/>
      <c r="N355" s="199"/>
      <c r="O355" s="185"/>
      <c r="P355" s="185"/>
      <c r="Q355" s="199"/>
      <c r="R355" s="199"/>
      <c r="W355" s="199"/>
      <c r="X355" s="199"/>
      <c r="Y355" s="199"/>
      <c r="Z355" s="199"/>
      <c r="AA355" s="199"/>
      <c r="AB355" s="199"/>
      <c r="AC355" s="199"/>
      <c r="AD355" s="199"/>
      <c r="AL355" s="199"/>
      <c r="AM355" s="199"/>
      <c r="AN355" s="199"/>
      <c r="AO355" s="199"/>
      <c r="AP355" s="199"/>
      <c r="AQ355" s="199"/>
      <c r="AR355" s="199"/>
      <c r="AS355" s="199"/>
      <c r="AV355" s="199"/>
      <c r="AW355" s="199"/>
      <c r="AY355" s="199"/>
      <c r="AZ355" s="199"/>
      <c r="BD355" s="199"/>
      <c r="BF355" s="199"/>
    </row>
    <row r="356" spans="1:58" x14ac:dyDescent="0.2">
      <c r="A356" s="212"/>
      <c r="B356" s="212"/>
      <c r="C356" s="199"/>
      <c r="D356" s="199"/>
      <c r="E356" s="185"/>
      <c r="F356" s="199"/>
      <c r="G356" s="199"/>
      <c r="H356"/>
      <c r="I356" s="199"/>
      <c r="J356"/>
      <c r="K356"/>
      <c r="L356" s="199"/>
      <c r="M356" s="185"/>
      <c r="N356" s="199"/>
      <c r="O356" s="185"/>
      <c r="P356" s="185"/>
      <c r="Q356" s="199"/>
      <c r="R356" s="199"/>
      <c r="W356" s="199"/>
      <c r="X356" s="199"/>
      <c r="Y356" s="199"/>
      <c r="Z356" s="199"/>
      <c r="AA356" s="199"/>
      <c r="AB356" s="199"/>
      <c r="AC356" s="199"/>
      <c r="AD356" s="199"/>
      <c r="AL356" s="199"/>
      <c r="AM356" s="199"/>
      <c r="AN356" s="199"/>
      <c r="AO356" s="199"/>
      <c r="AP356" s="199"/>
      <c r="AQ356" s="199"/>
      <c r="AR356" s="199"/>
      <c r="AS356" s="199"/>
      <c r="AV356" s="199"/>
      <c r="AW356" s="199"/>
      <c r="AY356" s="199"/>
      <c r="AZ356" s="199"/>
      <c r="BD356" s="199"/>
      <c r="BF356" s="199"/>
    </row>
    <row r="357" spans="1:58" x14ac:dyDescent="0.2">
      <c r="A357" s="212"/>
      <c r="B357" s="212"/>
      <c r="C357" s="199"/>
      <c r="D357" s="199"/>
      <c r="E357" s="185"/>
      <c r="F357" s="199"/>
      <c r="G357" s="199"/>
      <c r="H357"/>
      <c r="I357" s="199"/>
      <c r="J357"/>
      <c r="K357"/>
      <c r="L357" s="199"/>
      <c r="M357" s="185"/>
      <c r="N357" s="199"/>
      <c r="O357" s="185"/>
      <c r="P357" s="185"/>
      <c r="Q357" s="199"/>
      <c r="R357" s="199"/>
      <c r="W357" s="199"/>
      <c r="X357" s="199"/>
      <c r="Y357" s="199"/>
      <c r="Z357" s="199"/>
      <c r="AA357" s="199"/>
      <c r="AB357" s="199"/>
      <c r="AC357" s="199"/>
      <c r="AD357" s="199"/>
      <c r="AL357" s="199"/>
      <c r="AM357" s="199"/>
      <c r="AN357" s="199"/>
      <c r="AO357" s="199"/>
      <c r="AP357" s="199"/>
      <c r="AQ357" s="199"/>
      <c r="AR357" s="199"/>
      <c r="AS357" s="199"/>
      <c r="AV357" s="199"/>
      <c r="AW357" s="199"/>
      <c r="AY357" s="199"/>
      <c r="AZ357" s="199"/>
      <c r="BD357" s="199"/>
      <c r="BF357" s="199"/>
    </row>
    <row r="358" spans="1:58" x14ac:dyDescent="0.2">
      <c r="A358" s="212"/>
      <c r="B358" s="212"/>
      <c r="C358" s="199"/>
      <c r="D358" s="199"/>
      <c r="E358" s="185"/>
      <c r="F358" s="199"/>
      <c r="G358" s="199"/>
      <c r="H358"/>
      <c r="I358" s="199"/>
      <c r="J358"/>
      <c r="K358"/>
      <c r="L358" s="199"/>
      <c r="M358" s="185"/>
      <c r="N358" s="199"/>
      <c r="O358" s="185"/>
      <c r="P358" s="185"/>
      <c r="Q358" s="199"/>
      <c r="R358" s="199"/>
      <c r="W358" s="199"/>
      <c r="X358" s="199"/>
      <c r="Y358" s="199"/>
      <c r="Z358" s="199"/>
      <c r="AA358" s="199"/>
      <c r="AB358" s="199"/>
      <c r="AC358" s="199"/>
      <c r="AD358" s="199"/>
      <c r="AL358" s="199"/>
      <c r="AM358" s="199"/>
      <c r="AN358" s="199"/>
      <c r="AO358" s="199"/>
      <c r="AP358" s="199"/>
      <c r="AQ358" s="199"/>
      <c r="AR358" s="199"/>
      <c r="AS358" s="199"/>
      <c r="AV358" s="199"/>
      <c r="AW358" s="199"/>
      <c r="AY358" s="199"/>
      <c r="AZ358" s="199"/>
      <c r="BD358" s="199"/>
      <c r="BF358" s="199"/>
    </row>
    <row r="359" spans="1:58" x14ac:dyDescent="0.2">
      <c r="A359" s="212"/>
      <c r="B359" s="212"/>
      <c r="C359" s="199"/>
      <c r="D359" s="199"/>
      <c r="E359" s="185"/>
      <c r="F359" s="199"/>
      <c r="G359" s="199"/>
      <c r="H359"/>
      <c r="I359" s="199"/>
      <c r="J359"/>
      <c r="K359"/>
      <c r="L359" s="199"/>
      <c r="M359" s="185"/>
      <c r="N359" s="199"/>
      <c r="O359" s="185"/>
      <c r="P359" s="185"/>
      <c r="Q359" s="199"/>
      <c r="R359" s="199"/>
      <c r="W359" s="199"/>
      <c r="X359" s="199"/>
      <c r="Y359" s="199"/>
      <c r="Z359" s="199"/>
      <c r="AA359" s="199"/>
      <c r="AB359" s="199"/>
      <c r="AC359" s="199"/>
      <c r="AD359" s="199"/>
      <c r="AL359" s="199"/>
      <c r="AM359" s="199"/>
      <c r="AN359" s="199"/>
      <c r="AO359" s="199"/>
      <c r="AP359" s="199"/>
      <c r="AQ359" s="199"/>
      <c r="AR359" s="199"/>
      <c r="AS359" s="199"/>
      <c r="AV359" s="199"/>
      <c r="AW359" s="199"/>
      <c r="AY359" s="199"/>
      <c r="AZ359" s="199"/>
      <c r="BD359" s="199"/>
      <c r="BF359" s="199"/>
    </row>
    <row r="360" spans="1:58" x14ac:dyDescent="0.2">
      <c r="A360" s="212"/>
      <c r="B360" s="212"/>
      <c r="C360" s="199"/>
      <c r="D360" s="199"/>
      <c r="E360" s="185"/>
      <c r="F360" s="199"/>
      <c r="G360"/>
      <c r="H360"/>
      <c r="I360" s="199"/>
      <c r="J360"/>
      <c r="K360"/>
      <c r="L360" s="199"/>
      <c r="M360" s="185"/>
      <c r="N360" s="199"/>
      <c r="O360" s="185"/>
      <c r="P360" s="185"/>
      <c r="Q360" s="199"/>
      <c r="R360" s="199"/>
      <c r="W360" s="199"/>
      <c r="X360" s="199"/>
      <c r="Y360" s="199"/>
      <c r="Z360" s="199"/>
      <c r="AA360" s="199"/>
      <c r="AB360" s="199"/>
      <c r="AC360" s="199"/>
      <c r="AD360" s="199"/>
      <c r="AL360" s="199"/>
      <c r="AM360" s="199"/>
      <c r="AN360" s="199"/>
      <c r="AO360" s="199"/>
      <c r="AP360" s="199"/>
      <c r="AQ360" s="199"/>
      <c r="AR360" s="199"/>
      <c r="AS360" s="199"/>
      <c r="AV360" s="199"/>
      <c r="AY360" s="199"/>
      <c r="AZ360" s="199"/>
      <c r="BD360" s="199"/>
      <c r="BF360" s="199"/>
    </row>
    <row r="361" spans="1:58" x14ac:dyDescent="0.2">
      <c r="A361" s="212"/>
      <c r="B361" s="212"/>
      <c r="C361" s="199"/>
      <c r="D361" s="199"/>
      <c r="E361" s="185"/>
      <c r="F361" s="199"/>
      <c r="G361" s="199"/>
      <c r="H361"/>
      <c r="I361" s="199"/>
      <c r="J361"/>
      <c r="K361"/>
      <c r="L361" s="199"/>
      <c r="M361" s="185"/>
      <c r="N361" s="199"/>
      <c r="O361" s="185"/>
      <c r="P361" s="185"/>
      <c r="Q361" s="199"/>
      <c r="R361" s="199"/>
      <c r="W361" s="199"/>
      <c r="X361" s="199"/>
      <c r="Y361" s="199"/>
      <c r="Z361" s="199"/>
      <c r="AA361" s="199"/>
      <c r="AB361" s="199"/>
      <c r="AC361" s="199"/>
      <c r="AD361" s="199"/>
      <c r="AL361" s="199"/>
      <c r="AM361" s="199"/>
      <c r="AN361" s="199"/>
      <c r="AO361" s="199"/>
      <c r="AP361" s="199"/>
      <c r="AQ361" s="199"/>
      <c r="AR361" s="199"/>
      <c r="AS361" s="199"/>
      <c r="AV361" s="199"/>
      <c r="AW361" s="199"/>
      <c r="AY361" s="199"/>
      <c r="AZ361" s="199"/>
      <c r="BD361" s="199"/>
      <c r="BF361" s="199"/>
    </row>
    <row r="362" spans="1:58" x14ac:dyDescent="0.2">
      <c r="A362" s="212"/>
      <c r="B362" s="212"/>
      <c r="C362" s="199"/>
      <c r="D362" s="199"/>
      <c r="E362" s="185"/>
      <c r="F362" s="199"/>
      <c r="G362" s="199"/>
      <c r="H362"/>
      <c r="I362" s="199"/>
      <c r="J362"/>
      <c r="K362"/>
      <c r="L362" s="199"/>
      <c r="M362" s="185"/>
      <c r="N362" s="199"/>
      <c r="O362" s="185"/>
      <c r="P362" s="185"/>
      <c r="Q362" s="199"/>
      <c r="R362" s="199"/>
      <c r="W362" s="199"/>
      <c r="X362" s="199"/>
      <c r="Y362" s="199"/>
      <c r="Z362" s="199"/>
      <c r="AA362" s="199"/>
      <c r="AB362" s="199"/>
      <c r="AC362" s="199"/>
      <c r="AD362" s="199"/>
      <c r="AL362" s="199"/>
      <c r="AM362" s="199"/>
      <c r="AN362" s="199"/>
      <c r="AO362" s="199"/>
      <c r="AP362" s="199"/>
      <c r="AQ362" s="199"/>
      <c r="AR362" s="199"/>
      <c r="AS362" s="199"/>
      <c r="AV362" s="199"/>
      <c r="AW362" s="199"/>
      <c r="AY362" s="199"/>
      <c r="AZ362" s="199"/>
      <c r="BD362" s="199"/>
      <c r="BF362" s="199"/>
    </row>
    <row r="363" spans="1:58" x14ac:dyDescent="0.2">
      <c r="A363" s="212"/>
      <c r="B363" s="212"/>
      <c r="C363" s="199"/>
      <c r="D363" s="199"/>
      <c r="E363" s="185"/>
      <c r="F363" s="199"/>
      <c r="G363" s="199"/>
      <c r="H363"/>
      <c r="I363" s="199"/>
      <c r="J363"/>
      <c r="K363"/>
      <c r="L363" s="199"/>
      <c r="M363" s="185"/>
      <c r="N363" s="199"/>
      <c r="O363" s="185"/>
      <c r="P363" s="185"/>
      <c r="Q363" s="199"/>
      <c r="R363" s="199"/>
      <c r="W363" s="199"/>
      <c r="X363" s="199"/>
      <c r="Y363" s="199"/>
      <c r="Z363" s="199"/>
      <c r="AA363" s="199"/>
      <c r="AB363" s="199"/>
      <c r="AC363" s="199"/>
      <c r="AD363" s="199"/>
      <c r="AL363" s="199"/>
      <c r="AM363" s="199"/>
      <c r="AN363" s="199"/>
      <c r="AO363" s="199"/>
      <c r="AP363" s="199"/>
      <c r="AQ363" s="199"/>
      <c r="AR363" s="199"/>
      <c r="AS363" s="199"/>
      <c r="AV363" s="199"/>
      <c r="AW363" s="199"/>
      <c r="AY363" s="199"/>
      <c r="AZ363" s="199"/>
      <c r="BD363" s="199"/>
      <c r="BF363" s="199"/>
    </row>
    <row r="364" spans="1:58" x14ac:dyDescent="0.2">
      <c r="A364" s="212"/>
      <c r="B364" s="212"/>
      <c r="C364" s="199"/>
      <c r="D364" s="199"/>
      <c r="E364" s="185"/>
      <c r="F364" s="199"/>
      <c r="G364" s="199"/>
      <c r="H364"/>
      <c r="I364" s="199"/>
      <c r="J364"/>
      <c r="K364"/>
      <c r="L364" s="199"/>
      <c r="M364" s="185"/>
      <c r="N364" s="199"/>
      <c r="O364" s="185"/>
      <c r="P364" s="185"/>
      <c r="Q364" s="199"/>
      <c r="R364" s="199"/>
      <c r="W364" s="199"/>
      <c r="X364" s="199"/>
      <c r="Y364" s="199"/>
      <c r="Z364" s="199"/>
      <c r="AA364" s="199"/>
      <c r="AB364" s="199"/>
      <c r="AC364" s="199"/>
      <c r="AD364" s="199"/>
      <c r="AL364" s="199"/>
      <c r="AM364" s="199"/>
      <c r="AN364" s="199"/>
      <c r="AO364" s="199"/>
      <c r="AP364" s="199"/>
      <c r="AQ364" s="199"/>
      <c r="AR364" s="199"/>
      <c r="AS364" s="199"/>
      <c r="AV364" s="199"/>
      <c r="AW364" s="199"/>
      <c r="AY364" s="199"/>
      <c r="AZ364" s="199"/>
      <c r="BD364" s="199"/>
      <c r="BF364" s="199"/>
    </row>
    <row r="365" spans="1:58" x14ac:dyDescent="0.2">
      <c r="A365" s="212"/>
      <c r="B365" s="212"/>
      <c r="C365" s="199"/>
      <c r="D365" s="199"/>
      <c r="E365" s="185"/>
      <c r="F365" s="199"/>
      <c r="G365" s="199"/>
      <c r="H365"/>
      <c r="I365" s="199"/>
      <c r="J365"/>
      <c r="K365"/>
      <c r="L365" s="199"/>
      <c r="M365" s="185"/>
      <c r="N365" s="199"/>
      <c r="O365" s="185"/>
      <c r="P365" s="185"/>
      <c r="Q365" s="199"/>
      <c r="R365" s="199"/>
      <c r="W365" s="199"/>
      <c r="X365" s="199"/>
      <c r="Y365" s="199"/>
      <c r="Z365" s="199"/>
      <c r="AA365" s="199"/>
      <c r="AB365" s="199"/>
      <c r="AC365" s="199"/>
      <c r="AD365" s="199"/>
      <c r="AL365" s="199"/>
      <c r="AM365" s="199"/>
      <c r="AN365" s="199"/>
      <c r="AO365" s="199"/>
      <c r="AP365" s="199"/>
      <c r="AQ365" s="199"/>
      <c r="AR365" s="199"/>
      <c r="AS365" s="199"/>
      <c r="AV365" s="199"/>
      <c r="AW365" s="199"/>
      <c r="AY365" s="199"/>
      <c r="AZ365" s="199"/>
      <c r="BD365" s="199"/>
      <c r="BF365" s="199"/>
    </row>
    <row r="366" spans="1:58" x14ac:dyDescent="0.2">
      <c r="A366" s="212"/>
      <c r="B366" s="212"/>
      <c r="C366" s="199"/>
      <c r="D366" s="199"/>
      <c r="E366" s="185"/>
      <c r="F366" s="199"/>
      <c r="G366" s="199"/>
      <c r="H366"/>
      <c r="I366" s="199"/>
      <c r="J366"/>
      <c r="K366"/>
      <c r="L366" s="199"/>
      <c r="M366" s="185"/>
      <c r="N366" s="199"/>
      <c r="O366" s="185"/>
      <c r="P366" s="185"/>
      <c r="Q366" s="199"/>
      <c r="R366" s="199"/>
      <c r="W366" s="199"/>
      <c r="X366" s="199"/>
      <c r="Y366" s="199"/>
      <c r="Z366" s="199"/>
      <c r="AA366" s="199"/>
      <c r="AB366" s="199"/>
      <c r="AC366" s="199"/>
      <c r="AD366" s="199"/>
      <c r="AL366" s="199"/>
      <c r="AM366" s="199"/>
      <c r="AN366" s="199"/>
      <c r="AO366" s="199"/>
      <c r="AP366" s="199"/>
      <c r="AQ366" s="199"/>
      <c r="AR366" s="199"/>
      <c r="AS366" s="199"/>
      <c r="AV366" s="199"/>
      <c r="AW366" s="199"/>
      <c r="AY366" s="199"/>
      <c r="AZ366" s="199"/>
      <c r="BD366" s="199"/>
      <c r="BF366" s="199"/>
    </row>
    <row r="367" spans="1:58" x14ac:dyDescent="0.2">
      <c r="A367" s="212"/>
      <c r="B367" s="212"/>
      <c r="C367" s="199"/>
      <c r="D367" s="199"/>
      <c r="E367" s="185"/>
      <c r="F367" s="199"/>
      <c r="G367" s="199"/>
      <c r="H367"/>
      <c r="I367" s="199"/>
      <c r="J367"/>
      <c r="K367"/>
      <c r="L367" s="199"/>
      <c r="M367" s="185"/>
      <c r="N367" s="199"/>
      <c r="O367" s="185"/>
      <c r="P367" s="185"/>
      <c r="Q367" s="199"/>
      <c r="R367" s="199"/>
      <c r="W367" s="199"/>
      <c r="X367" s="199"/>
      <c r="Y367" s="199"/>
      <c r="Z367" s="199"/>
      <c r="AA367" s="199"/>
      <c r="AB367" s="199"/>
      <c r="AC367" s="199"/>
      <c r="AD367" s="199"/>
      <c r="AL367" s="199"/>
      <c r="AM367" s="199"/>
      <c r="AN367" s="199"/>
      <c r="AO367" s="199"/>
      <c r="AP367" s="199"/>
      <c r="AQ367" s="199"/>
      <c r="AR367" s="199"/>
      <c r="AS367" s="199"/>
      <c r="AV367" s="199"/>
      <c r="AW367" s="199"/>
      <c r="AY367" s="199"/>
      <c r="AZ367" s="199"/>
      <c r="BD367" s="199"/>
      <c r="BF367" s="199"/>
    </row>
    <row r="368" spans="1:58" x14ac:dyDescent="0.2">
      <c r="A368" s="212"/>
      <c r="B368" s="212"/>
      <c r="C368" s="199"/>
      <c r="D368" s="199"/>
      <c r="E368" s="185"/>
      <c r="F368" s="199"/>
      <c r="G368"/>
      <c r="H368"/>
      <c r="I368" s="199"/>
      <c r="J368"/>
      <c r="K368"/>
      <c r="L368" s="199"/>
      <c r="M368" s="185"/>
      <c r="N368" s="199"/>
      <c r="O368" s="185"/>
      <c r="P368" s="185"/>
      <c r="Q368" s="199"/>
      <c r="R368" s="199"/>
      <c r="W368" s="199"/>
      <c r="X368" s="199"/>
      <c r="Y368" s="199"/>
      <c r="Z368" s="199"/>
      <c r="AA368" s="199"/>
      <c r="AB368" s="199"/>
      <c r="AC368" s="199"/>
      <c r="AD368" s="199"/>
      <c r="AL368" s="199"/>
      <c r="AM368" s="199"/>
      <c r="AN368" s="199"/>
      <c r="AO368" s="199"/>
      <c r="AP368" s="199"/>
      <c r="AQ368" s="199"/>
      <c r="AR368" s="199"/>
      <c r="AS368" s="199"/>
      <c r="AV368" s="199"/>
      <c r="AY368" s="199"/>
      <c r="AZ368" s="199"/>
      <c r="BD368" s="199"/>
      <c r="BF368" s="199"/>
    </row>
    <row r="369" spans="1:58" x14ac:dyDescent="0.2">
      <c r="A369" s="212"/>
      <c r="B369" s="212"/>
      <c r="C369" s="199"/>
      <c r="D369" s="199"/>
      <c r="E369" s="185"/>
      <c r="F369" s="199"/>
      <c r="G369" s="199"/>
      <c r="H369"/>
      <c r="I369" s="199"/>
      <c r="J369"/>
      <c r="K369"/>
      <c r="L369" s="199"/>
      <c r="M369" s="185"/>
      <c r="N369" s="199"/>
      <c r="O369" s="185"/>
      <c r="P369" s="185"/>
      <c r="Q369" s="199"/>
      <c r="R369" s="199"/>
      <c r="W369" s="199"/>
      <c r="X369" s="199"/>
      <c r="Y369" s="199"/>
      <c r="Z369" s="199"/>
      <c r="AA369" s="199"/>
      <c r="AB369" s="199"/>
      <c r="AC369" s="199"/>
      <c r="AD369" s="199"/>
      <c r="AL369" s="199"/>
      <c r="AM369" s="199"/>
      <c r="AN369" s="199"/>
      <c r="AO369" s="199"/>
      <c r="AP369" s="199"/>
      <c r="AQ369" s="199"/>
      <c r="AR369" s="199"/>
      <c r="AS369" s="199"/>
      <c r="AV369" s="199"/>
      <c r="AW369" s="199"/>
      <c r="AY369" s="199"/>
      <c r="AZ369" s="199"/>
      <c r="BD369" s="199"/>
      <c r="BF369" s="199"/>
    </row>
    <row r="370" spans="1:58" x14ac:dyDescent="0.2">
      <c r="A370" s="212"/>
      <c r="B370" s="212"/>
      <c r="C370" s="199"/>
      <c r="D370" s="199"/>
      <c r="E370" s="185"/>
      <c r="F370" s="199"/>
      <c r="G370" s="199"/>
      <c r="H370"/>
      <c r="I370" s="199"/>
      <c r="J370"/>
      <c r="K370"/>
      <c r="L370" s="199"/>
      <c r="M370" s="185"/>
      <c r="N370" s="199"/>
      <c r="O370" s="185"/>
      <c r="P370" s="185"/>
      <c r="Q370" s="199"/>
      <c r="R370" s="199"/>
      <c r="W370" s="199"/>
      <c r="X370" s="199"/>
      <c r="Y370" s="199"/>
      <c r="Z370" s="199"/>
      <c r="AA370" s="199"/>
      <c r="AB370" s="199"/>
      <c r="AC370" s="199"/>
      <c r="AD370" s="199"/>
      <c r="AL370" s="199"/>
      <c r="AM370" s="199"/>
      <c r="AN370" s="199"/>
      <c r="AO370" s="199"/>
      <c r="AP370" s="199"/>
      <c r="AQ370" s="199"/>
      <c r="AR370" s="199"/>
      <c r="AS370" s="199"/>
      <c r="AV370" s="199"/>
      <c r="AW370" s="199"/>
      <c r="AY370" s="199"/>
      <c r="AZ370" s="199"/>
      <c r="BD370" s="199"/>
      <c r="BF370" s="199"/>
    </row>
    <row r="371" spans="1:58" x14ac:dyDescent="0.2">
      <c r="A371" s="212"/>
      <c r="B371" s="212"/>
      <c r="C371" s="199"/>
      <c r="D371" s="199"/>
      <c r="E371" s="185"/>
      <c r="F371" s="199"/>
      <c r="G371" s="199"/>
      <c r="H371"/>
      <c r="I371" s="199"/>
      <c r="J371"/>
      <c r="K371"/>
      <c r="L371" s="199"/>
      <c r="M371" s="185"/>
      <c r="N371" s="199"/>
      <c r="O371" s="185"/>
      <c r="P371" s="185"/>
      <c r="Q371" s="199"/>
      <c r="R371" s="199"/>
      <c r="W371" s="199"/>
      <c r="X371" s="199"/>
      <c r="Y371" s="199"/>
      <c r="Z371" s="199"/>
      <c r="AA371" s="199"/>
      <c r="AB371" s="199"/>
      <c r="AC371" s="199"/>
      <c r="AD371" s="199"/>
      <c r="AL371" s="199"/>
      <c r="AM371" s="199"/>
      <c r="AN371" s="199"/>
      <c r="AO371" s="199"/>
      <c r="AP371" s="199"/>
      <c r="AQ371" s="199"/>
      <c r="AR371" s="199"/>
      <c r="AS371" s="199"/>
      <c r="AV371" s="199"/>
      <c r="AW371" s="199"/>
      <c r="AY371" s="199"/>
      <c r="AZ371" s="199"/>
      <c r="BD371" s="199"/>
      <c r="BF371" s="199"/>
    </row>
    <row r="372" spans="1:58" x14ac:dyDescent="0.2">
      <c r="A372" s="212"/>
      <c r="B372" s="212"/>
      <c r="C372" s="199"/>
      <c r="D372" s="199"/>
      <c r="E372" s="185"/>
      <c r="F372" s="199"/>
      <c r="G372"/>
      <c r="H372"/>
      <c r="I372" s="199"/>
      <c r="J372"/>
      <c r="K372"/>
      <c r="L372" s="199"/>
      <c r="M372" s="185"/>
      <c r="N372" s="199"/>
      <c r="O372" s="185"/>
      <c r="P372" s="185"/>
      <c r="Q372" s="199"/>
      <c r="R372" s="199"/>
      <c r="W372" s="199"/>
      <c r="X372" s="199"/>
      <c r="Y372" s="199"/>
      <c r="Z372" s="199"/>
      <c r="AA372" s="199"/>
      <c r="AB372" s="199"/>
      <c r="AC372" s="199"/>
      <c r="AD372" s="199"/>
      <c r="AL372" s="199"/>
      <c r="AM372" s="199"/>
      <c r="AN372" s="199"/>
      <c r="AO372" s="199"/>
      <c r="AP372" s="199"/>
      <c r="AQ372" s="199"/>
      <c r="AR372" s="199"/>
      <c r="AS372" s="199"/>
      <c r="AV372" s="199"/>
      <c r="AY372" s="199"/>
      <c r="AZ372" s="199"/>
      <c r="BD372" s="199"/>
      <c r="BF372" s="199"/>
    </row>
    <row r="373" spans="1:58" x14ac:dyDescent="0.2">
      <c r="A373" s="212"/>
      <c r="B373" s="212"/>
      <c r="C373" s="199"/>
      <c r="D373" s="199"/>
      <c r="E373" s="185"/>
      <c r="F373" s="199"/>
      <c r="G373" s="199"/>
      <c r="H373"/>
      <c r="I373" s="199"/>
      <c r="J373"/>
      <c r="K373"/>
      <c r="L373" s="199"/>
      <c r="M373" s="185"/>
      <c r="N373" s="199"/>
      <c r="O373" s="185"/>
      <c r="P373" s="185"/>
      <c r="Q373" s="199"/>
      <c r="R373" s="199"/>
      <c r="W373" s="199"/>
      <c r="X373" s="199"/>
      <c r="Y373" s="199"/>
      <c r="Z373" s="199"/>
      <c r="AA373" s="199"/>
      <c r="AB373" s="199"/>
      <c r="AC373" s="199"/>
      <c r="AD373" s="199"/>
      <c r="AL373" s="199"/>
      <c r="AM373" s="199"/>
      <c r="AN373" s="199"/>
      <c r="AO373" s="199"/>
      <c r="AP373" s="199"/>
      <c r="AQ373" s="199"/>
      <c r="AR373" s="199"/>
      <c r="AS373" s="199"/>
      <c r="AV373" s="199"/>
      <c r="AW373" s="199"/>
      <c r="AY373" s="199"/>
      <c r="AZ373" s="199"/>
      <c r="BD373" s="199"/>
      <c r="BF373" s="199"/>
    </row>
    <row r="374" spans="1:58" x14ac:dyDescent="0.2">
      <c r="A374" s="212"/>
      <c r="B374" s="212"/>
      <c r="C374" s="199"/>
      <c r="D374" s="199"/>
      <c r="E374" s="185"/>
      <c r="F374" s="199"/>
      <c r="G374" s="199"/>
      <c r="H374"/>
      <c r="I374" s="199"/>
      <c r="J374"/>
      <c r="K374"/>
      <c r="L374" s="199"/>
      <c r="M374" s="185"/>
      <c r="N374" s="199"/>
      <c r="O374" s="185"/>
      <c r="P374" s="185"/>
      <c r="Q374" s="199"/>
      <c r="R374" s="199"/>
      <c r="W374" s="199"/>
      <c r="X374" s="199"/>
      <c r="Y374" s="199"/>
      <c r="Z374" s="199"/>
      <c r="AA374" s="199"/>
      <c r="AB374" s="199"/>
      <c r="AC374" s="199"/>
      <c r="AD374" s="199"/>
      <c r="AL374" s="199"/>
      <c r="AM374" s="199"/>
      <c r="AN374" s="199"/>
      <c r="AO374" s="199"/>
      <c r="AP374" s="199"/>
      <c r="AQ374" s="199"/>
      <c r="AR374" s="199"/>
      <c r="AS374" s="199"/>
      <c r="AV374" s="199"/>
      <c r="AW374" s="199"/>
      <c r="AY374" s="199"/>
      <c r="AZ374" s="199"/>
      <c r="BD374" s="199"/>
      <c r="BF374" s="199"/>
    </row>
    <row r="375" spans="1:58" x14ac:dyDescent="0.2">
      <c r="A375" s="212"/>
      <c r="B375" s="212"/>
      <c r="C375" s="199"/>
      <c r="D375" s="199"/>
      <c r="E375" s="185"/>
      <c r="F375" s="199"/>
      <c r="G375" s="199"/>
      <c r="H375"/>
      <c r="I375" s="199"/>
      <c r="J375"/>
      <c r="K375"/>
      <c r="L375" s="199"/>
      <c r="M375" s="185"/>
      <c r="N375" s="199"/>
      <c r="O375" s="185"/>
      <c r="P375" s="185"/>
      <c r="Q375" s="199"/>
      <c r="R375" s="199"/>
      <c r="W375" s="199"/>
      <c r="X375" s="199"/>
      <c r="Y375" s="199"/>
      <c r="Z375" s="199"/>
      <c r="AA375" s="199"/>
      <c r="AB375" s="199"/>
      <c r="AC375" s="199"/>
      <c r="AD375" s="199"/>
      <c r="AL375" s="199"/>
      <c r="AM375" s="199"/>
      <c r="AN375" s="199"/>
      <c r="AO375" s="199"/>
      <c r="AP375" s="199"/>
      <c r="AQ375" s="199"/>
      <c r="AR375" s="199"/>
      <c r="AS375" s="199"/>
      <c r="AV375" s="199"/>
      <c r="AW375" s="199"/>
      <c r="AY375" s="199"/>
      <c r="AZ375" s="199"/>
      <c r="BD375" s="199"/>
      <c r="BF375" s="199"/>
    </row>
    <row r="376" spans="1:58" x14ac:dyDescent="0.2">
      <c r="A376" s="212"/>
      <c r="B376" s="212"/>
      <c r="C376" s="199"/>
      <c r="D376" s="199"/>
      <c r="E376" s="185"/>
      <c r="F376" s="199"/>
      <c r="G376" s="199"/>
      <c r="H376"/>
      <c r="I376" s="199"/>
      <c r="J376"/>
      <c r="K376"/>
      <c r="L376" s="199"/>
      <c r="M376" s="185"/>
      <c r="N376" s="199"/>
      <c r="O376" s="185"/>
      <c r="P376" s="185"/>
      <c r="Q376" s="199"/>
      <c r="R376" s="199"/>
      <c r="W376" s="199"/>
      <c r="X376" s="199"/>
      <c r="Y376" s="199"/>
      <c r="Z376" s="199"/>
      <c r="AA376" s="199"/>
      <c r="AB376" s="199"/>
      <c r="AC376" s="199"/>
      <c r="AD376" s="199"/>
      <c r="AL376" s="199"/>
      <c r="AM376" s="199"/>
      <c r="AN376" s="199"/>
      <c r="AO376" s="199"/>
      <c r="AP376" s="199"/>
      <c r="AQ376" s="199"/>
      <c r="AR376" s="199"/>
      <c r="AS376" s="199"/>
      <c r="AV376" s="199"/>
      <c r="AW376" s="199"/>
      <c r="AY376" s="199"/>
      <c r="AZ376" s="199"/>
      <c r="BD376" s="199"/>
      <c r="BF376" s="199"/>
    </row>
    <row r="377" spans="1:58" x14ac:dyDescent="0.2">
      <c r="A377" s="212"/>
      <c r="B377" s="212"/>
      <c r="C377" s="199"/>
      <c r="D377" s="199"/>
      <c r="E377" s="185"/>
      <c r="F377" s="199"/>
      <c r="G377" s="199"/>
      <c r="H377"/>
      <c r="I377" s="199"/>
      <c r="J377"/>
      <c r="K377"/>
      <c r="L377" s="199"/>
      <c r="M377" s="185"/>
      <c r="N377" s="199"/>
      <c r="O377" s="185"/>
      <c r="P377" s="185"/>
      <c r="Q377" s="199"/>
      <c r="R377" s="199"/>
      <c r="W377" s="199"/>
      <c r="X377" s="199"/>
      <c r="Y377" s="199"/>
      <c r="Z377" s="199"/>
      <c r="AA377" s="199"/>
      <c r="AB377" s="199"/>
      <c r="AC377" s="199"/>
      <c r="AD377" s="199"/>
      <c r="AL377" s="199"/>
      <c r="AM377" s="199"/>
      <c r="AN377" s="199"/>
      <c r="AO377" s="199"/>
      <c r="AP377" s="199"/>
      <c r="AQ377" s="199"/>
      <c r="AR377" s="199"/>
      <c r="AS377" s="199"/>
      <c r="AV377" s="199"/>
      <c r="AW377" s="199"/>
      <c r="AY377" s="199"/>
      <c r="AZ377" s="199"/>
      <c r="BD377" s="199"/>
      <c r="BF377" s="199"/>
    </row>
    <row r="378" spans="1:58" x14ac:dyDescent="0.2">
      <c r="A378" s="212"/>
      <c r="B378" s="212"/>
      <c r="C378" s="199"/>
      <c r="D378" s="199"/>
      <c r="E378" s="185"/>
      <c r="F378" s="199"/>
      <c r="G378" s="199"/>
      <c r="H378"/>
      <c r="I378" s="199"/>
      <c r="J378"/>
      <c r="K378"/>
      <c r="L378" s="199"/>
      <c r="M378" s="185"/>
      <c r="N378" s="199"/>
      <c r="O378" s="185"/>
      <c r="P378" s="185"/>
      <c r="Q378" s="199"/>
      <c r="R378" s="199"/>
      <c r="W378" s="199"/>
      <c r="X378" s="199"/>
      <c r="Y378" s="199"/>
      <c r="Z378" s="199"/>
      <c r="AA378" s="199"/>
      <c r="AB378" s="199"/>
      <c r="AC378" s="199"/>
      <c r="AD378" s="199"/>
      <c r="AL378" s="199"/>
      <c r="AM378" s="199"/>
      <c r="AN378" s="199"/>
      <c r="AO378" s="199"/>
      <c r="AP378" s="199"/>
      <c r="AQ378" s="199"/>
      <c r="AR378" s="199"/>
      <c r="AS378" s="199"/>
      <c r="AV378" s="199"/>
      <c r="AW378" s="199"/>
      <c r="AY378" s="199"/>
      <c r="AZ378" s="199"/>
      <c r="BD378" s="199"/>
      <c r="BF378" s="199"/>
    </row>
    <row r="379" spans="1:58" x14ac:dyDescent="0.2">
      <c r="A379" s="212"/>
      <c r="B379" s="212"/>
      <c r="C379" s="199"/>
      <c r="D379" s="199"/>
      <c r="E379" s="185"/>
      <c r="F379" s="199"/>
      <c r="G379" s="199"/>
      <c r="H379" s="199"/>
      <c r="I379" s="199"/>
      <c r="J379"/>
      <c r="K379"/>
      <c r="L379" s="199"/>
      <c r="M379" s="185"/>
      <c r="N379" s="199"/>
      <c r="O379" s="185"/>
      <c r="P379" s="185"/>
      <c r="Q379" s="199"/>
      <c r="R379" s="199"/>
      <c r="W379" s="199"/>
      <c r="X379" s="199"/>
      <c r="Y379" s="199"/>
      <c r="Z379" s="199"/>
      <c r="AA379" s="199"/>
      <c r="AB379" s="199"/>
      <c r="AC379" s="199"/>
      <c r="AD379" s="199"/>
      <c r="AL379" s="199"/>
      <c r="AM379" s="199"/>
      <c r="AN379" s="199"/>
      <c r="AO379" s="199"/>
      <c r="AP379" s="199"/>
      <c r="AQ379" s="199"/>
      <c r="AR379" s="199"/>
      <c r="AS379" s="199"/>
      <c r="AV379" s="199"/>
      <c r="AW379" s="199"/>
      <c r="AX379" s="199"/>
      <c r="AY379" s="199"/>
      <c r="AZ379" s="199"/>
      <c r="BD379" s="199"/>
      <c r="BF379" s="199"/>
    </row>
    <row r="380" spans="1:58" x14ac:dyDescent="0.2">
      <c r="A380" s="212"/>
      <c r="B380" s="212"/>
      <c r="C380" s="199"/>
      <c r="D380" s="199"/>
      <c r="E380" s="185"/>
      <c r="F380" s="199"/>
      <c r="G380" s="199"/>
      <c r="H380"/>
      <c r="I380" s="199"/>
      <c r="J380"/>
      <c r="K380"/>
      <c r="L380" s="199"/>
      <c r="M380" s="185"/>
      <c r="N380" s="199"/>
      <c r="O380" s="185"/>
      <c r="P380" s="185"/>
      <c r="Q380" s="199"/>
      <c r="R380" s="199"/>
      <c r="W380" s="199"/>
      <c r="X380" s="199"/>
      <c r="Y380" s="199"/>
      <c r="Z380" s="199"/>
      <c r="AA380" s="199"/>
      <c r="AB380" s="199"/>
      <c r="AC380" s="199"/>
      <c r="AD380" s="199"/>
      <c r="AL380" s="199"/>
      <c r="AM380" s="199"/>
      <c r="AN380" s="199"/>
      <c r="AO380" s="199"/>
      <c r="AP380" s="199"/>
      <c r="AQ380" s="199"/>
      <c r="AR380" s="199"/>
      <c r="AS380" s="199"/>
      <c r="AV380" s="199"/>
      <c r="AW380" s="199"/>
      <c r="AY380" s="199"/>
      <c r="AZ380" s="199"/>
      <c r="BD380" s="199"/>
      <c r="BF380" s="199"/>
    </row>
    <row r="381" spans="1:58" x14ac:dyDescent="0.2">
      <c r="A381" s="212"/>
      <c r="B381" s="212"/>
      <c r="C381" s="199"/>
      <c r="D381" s="199"/>
      <c r="E381" s="185"/>
      <c r="F381" s="199"/>
      <c r="G381" s="199"/>
      <c r="H381" s="199"/>
      <c r="I381" s="199"/>
      <c r="J381"/>
      <c r="K381"/>
      <c r="L381" s="199"/>
      <c r="M381" s="185"/>
      <c r="N381" s="199"/>
      <c r="O381" s="185"/>
      <c r="P381" s="185"/>
      <c r="Q381" s="199"/>
      <c r="R381" s="199"/>
      <c r="W381" s="199"/>
      <c r="X381" s="199"/>
      <c r="Y381" s="199"/>
      <c r="Z381" s="199"/>
      <c r="AA381" s="199"/>
      <c r="AB381" s="199"/>
      <c r="AC381" s="199"/>
      <c r="AD381" s="199"/>
      <c r="AL381" s="199"/>
      <c r="AM381" s="199"/>
      <c r="AN381" s="199"/>
      <c r="AO381" s="199"/>
      <c r="AP381" s="199"/>
      <c r="AQ381" s="199"/>
      <c r="AR381" s="199"/>
      <c r="AS381" s="199"/>
      <c r="AV381" s="199"/>
      <c r="AW381" s="199"/>
      <c r="AX381" s="199"/>
      <c r="AY381" s="199"/>
      <c r="AZ381" s="199"/>
      <c r="BD381" s="199"/>
      <c r="BF381" s="199"/>
    </row>
    <row r="382" spans="1:58" x14ac:dyDescent="0.2">
      <c r="A382" s="212"/>
      <c r="B382" s="212"/>
      <c r="C382" s="199"/>
      <c r="D382" s="199"/>
      <c r="E382" s="185"/>
      <c r="F382" s="199"/>
      <c r="G382"/>
      <c r="H382"/>
      <c r="I382" s="199"/>
      <c r="J382"/>
      <c r="K382"/>
      <c r="L382" s="199"/>
      <c r="M382" s="185"/>
      <c r="N382" s="199"/>
      <c r="O382" s="185"/>
      <c r="P382" s="185"/>
      <c r="Q382" s="199"/>
      <c r="R382" s="199"/>
      <c r="W382" s="199"/>
      <c r="X382" s="199"/>
      <c r="Y382" s="199"/>
      <c r="Z382" s="199"/>
      <c r="AA382" s="199"/>
      <c r="AB382" s="199"/>
      <c r="AC382" s="199"/>
      <c r="AD382" s="199"/>
      <c r="AL382" s="199"/>
      <c r="AM382" s="199"/>
      <c r="AN382" s="199"/>
      <c r="AO382" s="199"/>
      <c r="AP382" s="199"/>
      <c r="AQ382" s="199"/>
      <c r="AR382" s="199"/>
      <c r="AS382" s="199"/>
      <c r="AV382" s="199"/>
      <c r="AY382" s="199"/>
      <c r="AZ382" s="199"/>
      <c r="BD382" s="199"/>
      <c r="BF382" s="199"/>
    </row>
    <row r="383" spans="1:58" x14ac:dyDescent="0.2">
      <c r="A383" s="212"/>
      <c r="B383" s="212"/>
      <c r="C383" s="199"/>
      <c r="D383" s="199"/>
      <c r="E383" s="185"/>
      <c r="F383" s="199"/>
      <c r="G383"/>
      <c r="H383"/>
      <c r="I383" s="199"/>
      <c r="J383"/>
      <c r="K383"/>
      <c r="L383" s="199"/>
      <c r="M383" s="185"/>
      <c r="N383" s="199"/>
      <c r="O383" s="185"/>
      <c r="P383" s="185"/>
      <c r="Q383" s="199"/>
      <c r="R383" s="199"/>
      <c r="W383" s="199"/>
      <c r="X383" s="199"/>
      <c r="Y383" s="199"/>
      <c r="Z383" s="199"/>
      <c r="AA383" s="199"/>
      <c r="AB383" s="199"/>
      <c r="AC383" s="199"/>
      <c r="AD383" s="199"/>
      <c r="AL383" s="199"/>
      <c r="AM383" s="199"/>
      <c r="AN383" s="199"/>
      <c r="AO383" s="199"/>
      <c r="AP383" s="199"/>
      <c r="AQ383" s="199"/>
      <c r="AR383" s="199"/>
      <c r="AS383" s="199"/>
      <c r="AV383" s="199"/>
      <c r="AY383" s="199"/>
      <c r="AZ383" s="199"/>
      <c r="BD383" s="199"/>
      <c r="BF383" s="199"/>
    </row>
    <row r="384" spans="1:58" x14ac:dyDescent="0.2">
      <c r="A384" s="212"/>
      <c r="B384" s="212"/>
      <c r="C384" s="199"/>
      <c r="D384" s="199"/>
      <c r="E384" s="185"/>
      <c r="F384" s="199"/>
      <c r="G384" s="199"/>
      <c r="H384"/>
      <c r="I384" s="199"/>
      <c r="J384"/>
      <c r="K384"/>
      <c r="L384" s="199"/>
      <c r="M384" s="185"/>
      <c r="N384" s="199"/>
      <c r="O384" s="185"/>
      <c r="P384" s="185"/>
      <c r="Q384" s="199"/>
      <c r="R384" s="199"/>
      <c r="W384" s="199"/>
      <c r="X384" s="199"/>
      <c r="Y384" s="199"/>
      <c r="Z384" s="199"/>
      <c r="AA384" s="199"/>
      <c r="AB384" s="199"/>
      <c r="AC384" s="199"/>
      <c r="AD384" s="199"/>
      <c r="AL384" s="199"/>
      <c r="AM384" s="199"/>
      <c r="AN384" s="199"/>
      <c r="AO384" s="199"/>
      <c r="AP384" s="199"/>
      <c r="AQ384" s="199"/>
      <c r="AR384" s="199"/>
      <c r="AS384" s="199"/>
      <c r="AV384" s="199"/>
      <c r="AW384" s="199"/>
      <c r="AY384" s="199"/>
      <c r="AZ384" s="199"/>
      <c r="BD384" s="199"/>
      <c r="BF384" s="199"/>
    </row>
    <row r="385" spans="1:100" x14ac:dyDescent="0.2">
      <c r="A385" s="212"/>
      <c r="B385" s="212"/>
      <c r="C385" s="199"/>
      <c r="D385" s="199"/>
      <c r="E385" s="185"/>
      <c r="F385" s="199"/>
      <c r="G385" s="199"/>
      <c r="H385" s="199"/>
      <c r="I385" s="199"/>
      <c r="J385" s="199"/>
      <c r="K385" s="199"/>
      <c r="L385" s="199"/>
      <c r="M385" s="185"/>
      <c r="N385" s="199"/>
      <c r="O385" s="185"/>
      <c r="P385" s="185"/>
      <c r="Q385" s="199"/>
      <c r="R385" s="199"/>
      <c r="W385" s="199"/>
      <c r="X385" s="199"/>
      <c r="Y385" s="199"/>
      <c r="Z385" s="199"/>
      <c r="AA385" s="199"/>
      <c r="AB385" s="199"/>
      <c r="AC385" s="199"/>
      <c r="AD385" s="199"/>
      <c r="AL385" s="199"/>
      <c r="AM385" s="199"/>
      <c r="AN385" s="199"/>
      <c r="AO385" s="199"/>
      <c r="AP385" s="199"/>
      <c r="AQ385" s="199"/>
      <c r="AR385" s="199"/>
      <c r="AS385" s="199"/>
      <c r="AV385" s="199"/>
      <c r="AW385" s="199"/>
      <c r="AX385" s="199"/>
      <c r="AY385" s="199"/>
      <c r="AZ385" s="199"/>
      <c r="BA385" s="199"/>
      <c r="BB385" s="199"/>
      <c r="BD385" s="199"/>
      <c r="BF385" s="199"/>
      <c r="BG385" s="194"/>
      <c r="BJ385" s="194"/>
      <c r="BK385" s="194"/>
      <c r="BL385" s="194"/>
      <c r="BM385" s="194"/>
      <c r="BN385" s="194"/>
      <c r="BO385" s="194"/>
      <c r="BP385" s="194"/>
      <c r="BQ385" s="194"/>
      <c r="BR385" s="194"/>
      <c r="BS385" s="194"/>
      <c r="BT385" s="194"/>
      <c r="BU385" s="194"/>
      <c r="BV385" s="194"/>
      <c r="BW385" s="194"/>
      <c r="BX385" s="194"/>
      <c r="BY385" s="194"/>
      <c r="BZ385" s="194"/>
      <c r="CA385" s="194"/>
      <c r="CB385" s="194"/>
      <c r="CC385" s="194"/>
      <c r="CD385" s="194"/>
      <c r="CE385" s="194"/>
      <c r="CF385" s="194"/>
      <c r="CG385" s="194"/>
      <c r="CH385" s="194"/>
      <c r="CI385" s="194"/>
      <c r="CJ385" s="194"/>
      <c r="CK385" s="194"/>
      <c r="CL385" s="194"/>
      <c r="CM385" s="194"/>
      <c r="CN385" s="194"/>
      <c r="CP385" s="194"/>
      <c r="CQ385" s="194"/>
      <c r="CR385" s="194"/>
      <c r="CS385" s="194"/>
      <c r="CT385" s="194"/>
      <c r="CU385" s="194"/>
      <c r="CV385" s="194"/>
    </row>
    <row r="386" spans="1:100" x14ac:dyDescent="0.2">
      <c r="A386" s="212"/>
      <c r="B386" s="212"/>
      <c r="C386" s="199"/>
      <c r="D386" s="199"/>
      <c r="E386" s="185"/>
      <c r="F386"/>
      <c r="G386"/>
      <c r="H386"/>
      <c r="I386" s="199"/>
      <c r="J386"/>
      <c r="K386"/>
      <c r="L386" s="199"/>
      <c r="M386" s="185"/>
      <c r="N386" s="199"/>
      <c r="O386" s="185"/>
      <c r="P386" s="185"/>
      <c r="Q386" s="199"/>
      <c r="R386" s="199"/>
      <c r="W386" s="199"/>
      <c r="X386" s="199"/>
      <c r="Y386" s="199"/>
      <c r="Z386" s="199"/>
      <c r="AA386" s="199"/>
      <c r="AB386" s="199"/>
      <c r="AC386" s="199"/>
      <c r="AD386" s="199"/>
      <c r="AL386" s="199"/>
      <c r="AM386" s="199"/>
      <c r="AN386" s="199"/>
      <c r="AO386" s="199"/>
      <c r="AP386" s="199"/>
      <c r="AQ386" s="199"/>
      <c r="AR386" s="199"/>
      <c r="AS386" s="199"/>
      <c r="AY386" s="199"/>
      <c r="AZ386" s="199"/>
      <c r="BD386" s="199"/>
      <c r="BF386" s="199"/>
    </row>
    <row r="387" spans="1:100" x14ac:dyDescent="0.2">
      <c r="A387" s="212"/>
      <c r="B387" s="212"/>
      <c r="C387" s="199"/>
      <c r="D387" s="199"/>
      <c r="E387" s="185"/>
      <c r="F387" s="199"/>
      <c r="G387"/>
      <c r="H387"/>
      <c r="I387" s="199"/>
      <c r="J387"/>
      <c r="K387"/>
      <c r="L387" s="199"/>
      <c r="M387" s="185"/>
      <c r="N387" s="199"/>
      <c r="O387" s="185"/>
      <c r="P387" s="185"/>
      <c r="Q387" s="199"/>
      <c r="R387" s="199"/>
      <c r="W387" s="199"/>
      <c r="X387" s="199"/>
      <c r="Y387" s="199"/>
      <c r="Z387" s="199"/>
      <c r="AA387" s="199"/>
      <c r="AB387" s="199"/>
      <c r="AC387" s="199"/>
      <c r="AD387" s="199"/>
      <c r="AL387" s="199"/>
      <c r="AM387" s="199"/>
      <c r="AN387" s="199"/>
      <c r="AO387" s="199"/>
      <c r="AP387" s="199"/>
      <c r="AQ387" s="199"/>
      <c r="AR387" s="199"/>
      <c r="AS387" s="199"/>
      <c r="AV387" s="199"/>
      <c r="AY387" s="199"/>
      <c r="AZ387" s="199"/>
      <c r="BD387" s="199"/>
      <c r="BF387" s="199"/>
    </row>
    <row r="388" spans="1:100" x14ac:dyDescent="0.2">
      <c r="A388" s="212"/>
      <c r="B388" s="212"/>
      <c r="C388" s="199"/>
      <c r="D388" s="199"/>
      <c r="E388" s="185"/>
      <c r="F388" s="199"/>
      <c r="G388"/>
      <c r="H388"/>
      <c r="I388" s="199"/>
      <c r="J388"/>
      <c r="K388"/>
      <c r="L388" s="199"/>
      <c r="M388" s="185"/>
      <c r="N388" s="199"/>
      <c r="O388" s="185"/>
      <c r="P388" s="185"/>
      <c r="Q388" s="199"/>
      <c r="R388" s="199"/>
      <c r="W388" s="199"/>
      <c r="X388" s="199"/>
      <c r="Y388" s="199"/>
      <c r="Z388" s="199"/>
      <c r="AA388" s="199"/>
      <c r="AB388" s="199"/>
      <c r="AC388" s="199"/>
      <c r="AD388" s="199"/>
      <c r="AL388" s="199"/>
      <c r="AM388" s="199"/>
      <c r="AN388" s="199"/>
      <c r="AO388" s="199"/>
      <c r="AP388" s="199"/>
      <c r="AQ388" s="199"/>
      <c r="AR388" s="199"/>
      <c r="AS388" s="199"/>
      <c r="AV388" s="199"/>
      <c r="AY388" s="199"/>
      <c r="AZ388" s="199"/>
      <c r="BD388" s="199"/>
      <c r="BF388" s="199"/>
    </row>
    <row r="389" spans="1:100" x14ac:dyDescent="0.2">
      <c r="A389" s="212"/>
      <c r="B389" s="212"/>
      <c r="C389" s="199"/>
      <c r="D389" s="199"/>
      <c r="E389" s="185"/>
      <c r="F389" s="199"/>
      <c r="G389"/>
      <c r="H389"/>
      <c r="I389" s="199"/>
      <c r="J389"/>
      <c r="K389"/>
      <c r="L389" s="199"/>
      <c r="M389" s="185"/>
      <c r="N389" s="199"/>
      <c r="O389" s="185"/>
      <c r="P389" s="185"/>
      <c r="Q389" s="199"/>
      <c r="R389" s="199"/>
      <c r="W389" s="199"/>
      <c r="X389" s="199"/>
      <c r="Y389" s="199"/>
      <c r="Z389" s="199"/>
      <c r="AA389" s="199"/>
      <c r="AB389" s="199"/>
      <c r="AC389" s="199"/>
      <c r="AD389" s="199"/>
      <c r="AL389" s="199"/>
      <c r="AM389" s="199"/>
      <c r="AN389" s="199"/>
      <c r="AO389" s="199"/>
      <c r="AP389" s="199"/>
      <c r="AQ389" s="199"/>
      <c r="AR389" s="199"/>
      <c r="AS389" s="199"/>
      <c r="AV389" s="199"/>
      <c r="AY389" s="199"/>
      <c r="AZ389" s="199"/>
      <c r="BD389" s="199"/>
      <c r="BF389" s="199"/>
    </row>
    <row r="390" spans="1:100" x14ac:dyDescent="0.2">
      <c r="A390" s="212"/>
      <c r="B390" s="212"/>
      <c r="C390" s="199"/>
      <c r="D390" s="199"/>
      <c r="E390" s="185"/>
      <c r="F390" s="199"/>
      <c r="G390" s="199"/>
      <c r="H390"/>
      <c r="I390" s="199"/>
      <c r="J390"/>
      <c r="K390"/>
      <c r="L390" s="199"/>
      <c r="M390" s="185"/>
      <c r="N390" s="199"/>
      <c r="O390" s="185"/>
      <c r="P390" s="185"/>
      <c r="Q390" s="199"/>
      <c r="R390" s="199"/>
      <c r="W390" s="199"/>
      <c r="X390" s="199"/>
      <c r="Y390" s="199"/>
      <c r="Z390" s="199"/>
      <c r="AA390" s="199"/>
      <c r="AB390" s="199"/>
      <c r="AC390" s="199"/>
      <c r="AD390" s="199"/>
      <c r="AL390" s="199"/>
      <c r="AM390" s="199"/>
      <c r="AN390" s="199"/>
      <c r="AO390" s="199"/>
      <c r="AP390" s="199"/>
      <c r="AQ390" s="199"/>
      <c r="AR390" s="199"/>
      <c r="AS390" s="199"/>
      <c r="AV390" s="199"/>
      <c r="AW390" s="199"/>
      <c r="AY390" s="199"/>
      <c r="AZ390" s="199"/>
      <c r="BD390" s="199"/>
      <c r="BF390" s="199"/>
    </row>
    <row r="391" spans="1:100" x14ac:dyDescent="0.2">
      <c r="A391" s="212"/>
      <c r="B391" s="212"/>
      <c r="C391" s="199"/>
      <c r="D391" s="199"/>
      <c r="E391" s="185"/>
      <c r="F391" s="199"/>
      <c r="G391" s="199"/>
      <c r="H391"/>
      <c r="I391" s="199"/>
      <c r="J391"/>
      <c r="K391"/>
      <c r="L391" s="199"/>
      <c r="M391" s="185"/>
      <c r="N391" s="199"/>
      <c r="O391" s="185"/>
      <c r="P391" s="185"/>
      <c r="Q391" s="199"/>
      <c r="R391" s="199"/>
      <c r="W391" s="199"/>
      <c r="X391" s="199"/>
      <c r="Y391" s="199"/>
      <c r="Z391" s="199"/>
      <c r="AA391" s="199"/>
      <c r="AB391" s="199"/>
      <c r="AC391" s="199"/>
      <c r="AD391" s="199"/>
      <c r="AL391" s="199"/>
      <c r="AM391" s="199"/>
      <c r="AN391" s="199"/>
      <c r="AO391" s="199"/>
      <c r="AP391" s="199"/>
      <c r="AQ391" s="199"/>
      <c r="AR391" s="199"/>
      <c r="AS391" s="199"/>
      <c r="AV391" s="199"/>
      <c r="AW391" s="199"/>
      <c r="AY391" s="199"/>
      <c r="AZ391" s="199"/>
      <c r="BD391" s="199"/>
      <c r="BF391" s="199"/>
    </row>
    <row r="392" spans="1:100" x14ac:dyDescent="0.2">
      <c r="A392" s="212"/>
      <c r="B392" s="212"/>
      <c r="C392" s="199"/>
      <c r="D392" s="199"/>
      <c r="E392" s="185"/>
      <c r="F392" s="199"/>
      <c r="G392" s="199"/>
      <c r="H392"/>
      <c r="I392" s="199"/>
      <c r="J392"/>
      <c r="K392"/>
      <c r="L392" s="199"/>
      <c r="M392" s="185"/>
      <c r="N392" s="199"/>
      <c r="O392" s="185"/>
      <c r="P392" s="185"/>
      <c r="Q392" s="199"/>
      <c r="R392" s="199"/>
      <c r="W392" s="199"/>
      <c r="X392" s="199"/>
      <c r="Y392" s="199"/>
      <c r="Z392" s="199"/>
      <c r="AA392" s="199"/>
      <c r="AB392" s="199"/>
      <c r="AC392" s="199"/>
      <c r="AD392" s="199"/>
      <c r="AL392" s="199"/>
      <c r="AM392" s="199"/>
      <c r="AN392" s="199"/>
      <c r="AO392" s="199"/>
      <c r="AP392" s="199"/>
      <c r="AQ392" s="199"/>
      <c r="AR392" s="199"/>
      <c r="AS392" s="199"/>
      <c r="AV392" s="199"/>
      <c r="AW392" s="199"/>
      <c r="AY392" s="199"/>
      <c r="AZ392" s="199"/>
      <c r="BD392" s="199"/>
      <c r="BF392" s="199"/>
    </row>
    <row r="393" spans="1:100" x14ac:dyDescent="0.2">
      <c r="A393" s="212"/>
      <c r="B393" s="212"/>
      <c r="C393" s="199"/>
      <c r="D393" s="199"/>
      <c r="E393" s="185"/>
      <c r="F393" s="199"/>
      <c r="G393" s="199"/>
      <c r="H393"/>
      <c r="I393" s="199"/>
      <c r="J393"/>
      <c r="K393"/>
      <c r="L393" s="199"/>
      <c r="M393" s="185"/>
      <c r="N393" s="199"/>
      <c r="O393" s="185"/>
      <c r="P393" s="185"/>
      <c r="Q393" s="199"/>
      <c r="R393" s="199"/>
      <c r="W393" s="199"/>
      <c r="X393" s="199"/>
      <c r="Y393" s="199"/>
      <c r="Z393" s="199"/>
      <c r="AA393" s="199"/>
      <c r="AB393" s="199"/>
      <c r="AC393" s="199"/>
      <c r="AD393" s="199"/>
      <c r="AL393" s="199"/>
      <c r="AM393" s="199"/>
      <c r="AN393" s="199"/>
      <c r="AO393" s="199"/>
      <c r="AP393" s="199"/>
      <c r="AQ393" s="199"/>
      <c r="AR393" s="199"/>
      <c r="AS393" s="199"/>
      <c r="AV393" s="199"/>
      <c r="AW393" s="199"/>
      <c r="AY393" s="199"/>
      <c r="AZ393" s="199"/>
      <c r="BD393" s="199"/>
      <c r="BF393" s="199"/>
    </row>
    <row r="394" spans="1:100" x14ac:dyDescent="0.2">
      <c r="A394" s="212"/>
      <c r="B394" s="212"/>
      <c r="C394" s="199"/>
      <c r="D394" s="199"/>
      <c r="E394" s="185"/>
      <c r="F394" s="199"/>
      <c r="G394" s="199"/>
      <c r="H394"/>
      <c r="I394" s="199"/>
      <c r="J394"/>
      <c r="K394"/>
      <c r="L394" s="199"/>
      <c r="M394" s="185"/>
      <c r="N394" s="199"/>
      <c r="O394" s="185"/>
      <c r="P394" s="185"/>
      <c r="Q394" s="199"/>
      <c r="R394" s="199"/>
      <c r="W394" s="199"/>
      <c r="X394" s="199"/>
      <c r="Y394" s="199"/>
      <c r="Z394" s="199"/>
      <c r="AA394" s="199"/>
      <c r="AB394" s="199"/>
      <c r="AC394" s="199"/>
      <c r="AD394" s="199"/>
      <c r="AL394" s="199"/>
      <c r="AM394" s="199"/>
      <c r="AN394" s="199"/>
      <c r="AO394" s="199"/>
      <c r="AP394" s="199"/>
      <c r="AQ394" s="199"/>
      <c r="AR394" s="199"/>
      <c r="AS394" s="199"/>
      <c r="AV394" s="199"/>
      <c r="AW394" s="199"/>
      <c r="AY394" s="199"/>
      <c r="AZ394" s="199"/>
      <c r="BD394" s="199"/>
      <c r="BF394" s="199"/>
    </row>
    <row r="395" spans="1:100" x14ac:dyDescent="0.2">
      <c r="A395" s="212"/>
      <c r="B395" s="212"/>
      <c r="C395" s="199"/>
      <c r="D395" s="199"/>
      <c r="E395" s="185"/>
      <c r="F395" s="199"/>
      <c r="G395" s="199"/>
      <c r="H395"/>
      <c r="I395" s="199"/>
      <c r="J395"/>
      <c r="K395"/>
      <c r="L395" s="199"/>
      <c r="M395" s="185"/>
      <c r="N395" s="199"/>
      <c r="O395" s="185"/>
      <c r="P395" s="185"/>
      <c r="Q395" s="199"/>
      <c r="R395" s="199"/>
      <c r="W395" s="199"/>
      <c r="X395" s="199"/>
      <c r="Y395" s="199"/>
      <c r="Z395" s="199"/>
      <c r="AA395" s="199"/>
      <c r="AB395" s="199"/>
      <c r="AC395" s="199"/>
      <c r="AD395" s="199"/>
      <c r="AL395" s="199"/>
      <c r="AM395" s="199"/>
      <c r="AN395" s="199"/>
      <c r="AO395" s="199"/>
      <c r="AP395" s="199"/>
      <c r="AQ395" s="199"/>
      <c r="AR395" s="199"/>
      <c r="AS395" s="199"/>
      <c r="AV395" s="199"/>
      <c r="AW395" s="199"/>
      <c r="AY395" s="199"/>
      <c r="AZ395" s="199"/>
      <c r="BD395" s="199"/>
      <c r="BF395" s="199"/>
    </row>
    <row r="396" spans="1:100" x14ac:dyDescent="0.2">
      <c r="A396" s="212"/>
      <c r="B396" s="212"/>
      <c r="C396" s="199"/>
      <c r="D396" s="199"/>
      <c r="E396" s="185"/>
      <c r="F396" s="199"/>
      <c r="G396" s="199"/>
      <c r="H396"/>
      <c r="I396" s="199"/>
      <c r="J396"/>
      <c r="K396"/>
      <c r="L396" s="199"/>
      <c r="M396" s="185"/>
      <c r="N396" s="199"/>
      <c r="O396" s="185"/>
      <c r="P396" s="185"/>
      <c r="Q396" s="199"/>
      <c r="R396" s="199"/>
      <c r="W396" s="199"/>
      <c r="X396" s="199"/>
      <c r="Y396" s="199"/>
      <c r="Z396" s="199"/>
      <c r="AA396" s="199"/>
      <c r="AB396" s="199"/>
      <c r="AC396" s="199"/>
      <c r="AD396" s="199"/>
      <c r="AL396" s="199"/>
      <c r="AM396" s="199"/>
      <c r="AN396" s="199"/>
      <c r="AO396" s="199"/>
      <c r="AP396" s="199"/>
      <c r="AQ396" s="199"/>
      <c r="AR396" s="199"/>
      <c r="AS396" s="199"/>
      <c r="AV396" s="199"/>
      <c r="AW396" s="199"/>
      <c r="AY396" s="199"/>
      <c r="AZ396" s="199"/>
      <c r="BD396" s="199"/>
      <c r="BF396" s="199"/>
    </row>
    <row r="397" spans="1:100" x14ac:dyDescent="0.2">
      <c r="A397" s="212"/>
      <c r="B397" s="212"/>
      <c r="C397" s="199"/>
      <c r="D397" s="199"/>
      <c r="E397" s="185"/>
      <c r="F397" s="199"/>
      <c r="G397" s="199"/>
      <c r="H397"/>
      <c r="I397" s="199"/>
      <c r="J397"/>
      <c r="K397"/>
      <c r="L397" s="199"/>
      <c r="M397" s="185"/>
      <c r="N397" s="199"/>
      <c r="O397" s="185"/>
      <c r="P397" s="185"/>
      <c r="Q397" s="199"/>
      <c r="R397" s="199"/>
      <c r="W397" s="199"/>
      <c r="X397" s="199"/>
      <c r="Y397" s="199"/>
      <c r="Z397" s="199"/>
      <c r="AA397" s="199"/>
      <c r="AB397" s="199"/>
      <c r="AC397" s="199"/>
      <c r="AD397" s="199"/>
      <c r="AL397" s="199"/>
      <c r="AM397" s="199"/>
      <c r="AN397" s="199"/>
      <c r="AO397" s="199"/>
      <c r="AP397" s="199"/>
      <c r="AQ397" s="199"/>
      <c r="AR397" s="199"/>
      <c r="AS397" s="199"/>
      <c r="AV397" s="199"/>
      <c r="AW397" s="199"/>
      <c r="AY397" s="199"/>
      <c r="AZ397" s="199"/>
      <c r="BD397" s="199"/>
      <c r="BF397" s="199"/>
    </row>
    <row r="398" spans="1:100" x14ac:dyDescent="0.2">
      <c r="A398" s="212"/>
      <c r="B398" s="212"/>
      <c r="C398" s="199"/>
      <c r="D398" s="199"/>
      <c r="E398" s="185"/>
      <c r="F398" s="199"/>
      <c r="G398" s="199"/>
      <c r="H398"/>
      <c r="I398" s="199"/>
      <c r="J398"/>
      <c r="K398"/>
      <c r="L398" s="199"/>
      <c r="M398" s="185"/>
      <c r="N398" s="199"/>
      <c r="O398" s="185"/>
      <c r="P398" s="185"/>
      <c r="Q398" s="199"/>
      <c r="R398" s="199"/>
      <c r="W398" s="199"/>
      <c r="X398" s="199"/>
      <c r="Y398" s="199"/>
      <c r="Z398" s="199"/>
      <c r="AA398" s="199"/>
      <c r="AB398" s="199"/>
      <c r="AC398" s="199"/>
      <c r="AD398" s="199"/>
      <c r="AL398" s="199"/>
      <c r="AM398" s="199"/>
      <c r="AN398" s="199"/>
      <c r="AO398" s="199"/>
      <c r="AP398" s="199"/>
      <c r="AQ398" s="199"/>
      <c r="AR398" s="199"/>
      <c r="AS398" s="199"/>
      <c r="AV398" s="199"/>
      <c r="AW398" s="199"/>
      <c r="AY398" s="199"/>
      <c r="AZ398" s="199"/>
      <c r="BD398" s="199"/>
      <c r="BF398" s="199"/>
    </row>
    <row r="399" spans="1:100" x14ac:dyDescent="0.2">
      <c r="A399" s="212"/>
      <c r="B399" s="212"/>
      <c r="C399" s="199"/>
      <c r="D399" s="199"/>
      <c r="E399" s="185"/>
      <c r="F399" s="199"/>
      <c r="G399" s="199"/>
      <c r="H399"/>
      <c r="I399" s="199"/>
      <c r="J399"/>
      <c r="K399"/>
      <c r="L399" s="199"/>
      <c r="M399" s="185"/>
      <c r="N399" s="199"/>
      <c r="O399" s="185"/>
      <c r="P399" s="185"/>
      <c r="Q399" s="199"/>
      <c r="R399" s="199"/>
      <c r="W399" s="199"/>
      <c r="X399" s="199"/>
      <c r="Y399" s="199"/>
      <c r="Z399" s="199"/>
      <c r="AA399" s="199"/>
      <c r="AB399" s="199"/>
      <c r="AC399" s="199"/>
      <c r="AD399" s="199"/>
      <c r="AL399" s="199"/>
      <c r="AM399" s="199"/>
      <c r="AN399" s="199"/>
      <c r="AO399" s="199"/>
      <c r="AP399" s="199"/>
      <c r="AQ399" s="199"/>
      <c r="AR399" s="199"/>
      <c r="AS399" s="199"/>
      <c r="AV399" s="199"/>
      <c r="AW399" s="199"/>
      <c r="AY399" s="199"/>
      <c r="AZ399" s="199"/>
      <c r="BD399" s="199"/>
      <c r="BF399" s="199"/>
    </row>
    <row r="400" spans="1:100" x14ac:dyDescent="0.2">
      <c r="A400" s="212"/>
      <c r="B400" s="212"/>
      <c r="C400" s="199"/>
      <c r="D400" s="199"/>
      <c r="E400" s="185"/>
      <c r="F400" s="199"/>
      <c r="G400"/>
      <c r="H400"/>
      <c r="I400" s="199"/>
      <c r="J400"/>
      <c r="K400"/>
      <c r="L400" s="199"/>
      <c r="M400" s="185"/>
      <c r="N400" s="199"/>
      <c r="O400" s="185"/>
      <c r="P400" s="185"/>
      <c r="Q400" s="199"/>
      <c r="R400" s="199"/>
      <c r="W400" s="199"/>
      <c r="X400" s="199"/>
      <c r="Y400" s="199"/>
      <c r="Z400" s="199"/>
      <c r="AA400" s="199"/>
      <c r="AB400" s="199"/>
      <c r="AC400" s="199"/>
      <c r="AD400" s="199"/>
      <c r="AL400" s="199"/>
      <c r="AM400" s="199"/>
      <c r="AN400" s="199"/>
      <c r="AO400" s="199"/>
      <c r="AP400" s="199"/>
      <c r="AQ400" s="199"/>
      <c r="AR400" s="199"/>
      <c r="AS400" s="199"/>
      <c r="AV400" s="199"/>
      <c r="AY400" s="199"/>
      <c r="AZ400" s="199"/>
      <c r="BD400" s="199"/>
      <c r="BF400" s="199"/>
    </row>
    <row r="401" spans="1:100" x14ac:dyDescent="0.2">
      <c r="A401" s="212"/>
      <c r="B401" s="212"/>
      <c r="C401" s="199"/>
      <c r="D401" s="199"/>
      <c r="E401" s="185"/>
      <c r="F401" s="199"/>
      <c r="G401" s="199"/>
      <c r="H401"/>
      <c r="I401" s="199"/>
      <c r="J401"/>
      <c r="K401"/>
      <c r="L401" s="199"/>
      <c r="M401" s="185"/>
      <c r="N401" s="199"/>
      <c r="O401" s="185"/>
      <c r="P401" s="185"/>
      <c r="Q401" s="199"/>
      <c r="R401" s="199"/>
      <c r="W401" s="199"/>
      <c r="X401" s="199"/>
      <c r="Y401" s="199"/>
      <c r="Z401" s="199"/>
      <c r="AA401" s="199"/>
      <c r="AB401" s="199"/>
      <c r="AC401" s="199"/>
      <c r="AD401" s="199"/>
      <c r="AL401" s="199"/>
      <c r="AM401" s="199"/>
      <c r="AN401" s="199"/>
      <c r="AO401" s="199"/>
      <c r="AP401" s="199"/>
      <c r="AQ401" s="199"/>
      <c r="AR401" s="199"/>
      <c r="AS401" s="199"/>
      <c r="AV401" s="199"/>
      <c r="AW401" s="199"/>
      <c r="AY401" s="199"/>
      <c r="AZ401" s="199"/>
      <c r="BD401" s="199"/>
      <c r="BF401" s="199"/>
    </row>
    <row r="402" spans="1:100" x14ac:dyDescent="0.2">
      <c r="A402" s="212"/>
      <c r="B402" s="212"/>
      <c r="C402" s="199"/>
      <c r="D402" s="199"/>
      <c r="E402" s="185"/>
      <c r="F402" s="199"/>
      <c r="G402" s="199"/>
      <c r="H402"/>
      <c r="I402" s="199"/>
      <c r="J402"/>
      <c r="K402"/>
      <c r="L402" s="199"/>
      <c r="M402" s="185"/>
      <c r="N402" s="199"/>
      <c r="O402" s="185"/>
      <c r="P402" s="185"/>
      <c r="Q402" s="199"/>
      <c r="R402" s="199"/>
      <c r="W402" s="199"/>
      <c r="X402" s="199"/>
      <c r="Y402" s="199"/>
      <c r="Z402" s="199"/>
      <c r="AA402" s="199"/>
      <c r="AB402" s="199"/>
      <c r="AC402" s="199"/>
      <c r="AD402" s="199"/>
      <c r="AL402" s="199"/>
      <c r="AM402" s="199"/>
      <c r="AN402" s="199"/>
      <c r="AO402" s="199"/>
      <c r="AP402" s="199"/>
      <c r="AQ402" s="199"/>
      <c r="AR402" s="199"/>
      <c r="AS402" s="199"/>
      <c r="AV402" s="199"/>
      <c r="AW402" s="199"/>
      <c r="AY402" s="199"/>
      <c r="AZ402" s="199"/>
      <c r="BD402" s="199"/>
      <c r="BF402" s="199"/>
    </row>
    <row r="403" spans="1:100" x14ac:dyDescent="0.2">
      <c r="A403" s="212"/>
      <c r="B403" s="212"/>
      <c r="C403" s="199"/>
      <c r="D403" s="199"/>
      <c r="E403" s="185"/>
      <c r="F403" s="199"/>
      <c r="G403" s="199"/>
      <c r="H403"/>
      <c r="I403" s="199"/>
      <c r="J403"/>
      <c r="K403"/>
      <c r="L403" s="199"/>
      <c r="M403" s="185"/>
      <c r="N403" s="199"/>
      <c r="O403" s="185"/>
      <c r="P403" s="185"/>
      <c r="Q403" s="199"/>
      <c r="R403" s="199"/>
      <c r="W403" s="199"/>
      <c r="X403" s="199"/>
      <c r="Y403" s="199"/>
      <c r="Z403" s="199"/>
      <c r="AA403" s="199"/>
      <c r="AB403" s="199"/>
      <c r="AC403" s="199"/>
      <c r="AD403" s="199"/>
      <c r="AL403" s="199"/>
      <c r="AM403" s="199"/>
      <c r="AN403" s="199"/>
      <c r="AO403" s="199"/>
      <c r="AP403" s="199"/>
      <c r="AQ403" s="199"/>
      <c r="AR403" s="199"/>
      <c r="AS403" s="199"/>
      <c r="AV403" s="199"/>
      <c r="AW403" s="199"/>
      <c r="AY403" s="199"/>
      <c r="AZ403" s="199"/>
      <c r="BD403" s="199"/>
      <c r="BF403" s="199"/>
    </row>
    <row r="404" spans="1:100" x14ac:dyDescent="0.2">
      <c r="A404" s="212"/>
      <c r="B404" s="212"/>
      <c r="C404" s="199"/>
      <c r="D404" s="199"/>
      <c r="E404" s="185"/>
      <c r="F404" s="199"/>
      <c r="G404" s="199"/>
      <c r="H404"/>
      <c r="I404" s="199"/>
      <c r="J404"/>
      <c r="K404"/>
      <c r="L404" s="199"/>
      <c r="M404" s="185"/>
      <c r="N404" s="199"/>
      <c r="O404" s="185"/>
      <c r="P404" s="185"/>
      <c r="Q404" s="199"/>
      <c r="R404" s="199"/>
      <c r="W404" s="199"/>
      <c r="X404" s="199"/>
      <c r="Y404" s="199"/>
      <c r="Z404" s="199"/>
      <c r="AA404" s="199"/>
      <c r="AB404" s="199"/>
      <c r="AC404" s="199"/>
      <c r="AD404" s="199"/>
      <c r="AL404" s="199"/>
      <c r="AM404" s="199"/>
      <c r="AN404" s="199"/>
      <c r="AO404" s="199"/>
      <c r="AP404" s="199"/>
      <c r="AQ404" s="199"/>
      <c r="AR404" s="199"/>
      <c r="AS404" s="199"/>
      <c r="AV404" s="199"/>
      <c r="AW404" s="199"/>
      <c r="AY404" s="199"/>
      <c r="AZ404" s="199"/>
      <c r="BD404" s="199"/>
      <c r="BF404" s="199"/>
    </row>
    <row r="405" spans="1:100" x14ac:dyDescent="0.2">
      <c r="A405" s="212"/>
      <c r="B405" s="212"/>
      <c r="C405" s="199"/>
      <c r="D405" s="199"/>
      <c r="E405" s="185"/>
      <c r="F405" s="199"/>
      <c r="G405" s="199"/>
      <c r="H405"/>
      <c r="I405" s="199"/>
      <c r="J405"/>
      <c r="K405"/>
      <c r="L405" s="199"/>
      <c r="M405" s="185"/>
      <c r="N405" s="199"/>
      <c r="O405" s="185"/>
      <c r="P405" s="185"/>
      <c r="Q405" s="199"/>
      <c r="R405" s="199"/>
      <c r="W405" s="199"/>
      <c r="X405" s="199"/>
      <c r="Y405" s="199"/>
      <c r="Z405" s="199"/>
      <c r="AA405" s="199"/>
      <c r="AB405" s="199"/>
      <c r="AC405" s="199"/>
      <c r="AD405" s="199"/>
      <c r="AL405" s="199"/>
      <c r="AM405" s="199"/>
      <c r="AN405" s="199"/>
      <c r="AO405" s="199"/>
      <c r="AP405" s="199"/>
      <c r="AQ405" s="199"/>
      <c r="AR405" s="199"/>
      <c r="AS405" s="199"/>
      <c r="AV405" s="199"/>
      <c r="AW405" s="199"/>
      <c r="AY405" s="199"/>
      <c r="AZ405" s="199"/>
      <c r="BD405" s="199"/>
      <c r="BF405" s="199"/>
    </row>
    <row r="406" spans="1:100" x14ac:dyDescent="0.2">
      <c r="A406" s="212"/>
      <c r="B406" s="212"/>
      <c r="C406" s="199"/>
      <c r="D406" s="199"/>
      <c r="E406" s="185"/>
      <c r="F406" s="199"/>
      <c r="G406" s="199"/>
      <c r="H406"/>
      <c r="I406" s="199"/>
      <c r="J406"/>
      <c r="K406"/>
      <c r="L406" s="199"/>
      <c r="M406" s="185"/>
      <c r="N406" s="199"/>
      <c r="O406" s="185"/>
      <c r="P406" s="185"/>
      <c r="Q406" s="199"/>
      <c r="R406" s="199"/>
      <c r="W406" s="199"/>
      <c r="X406" s="199"/>
      <c r="Y406" s="199"/>
      <c r="Z406" s="199"/>
      <c r="AA406" s="199"/>
      <c r="AB406" s="199"/>
      <c r="AC406" s="199"/>
      <c r="AD406" s="199"/>
      <c r="AL406" s="199"/>
      <c r="AM406" s="199"/>
      <c r="AN406" s="199"/>
      <c r="AO406" s="199"/>
      <c r="AP406" s="199"/>
      <c r="AQ406" s="199"/>
      <c r="AR406" s="199"/>
      <c r="AS406" s="199"/>
      <c r="AV406" s="199"/>
      <c r="AW406" s="199"/>
      <c r="AY406" s="199"/>
      <c r="AZ406" s="199"/>
      <c r="BD406" s="199"/>
      <c r="BF406" s="199"/>
    </row>
    <row r="407" spans="1:100" x14ac:dyDescent="0.2">
      <c r="A407" s="212"/>
      <c r="B407" s="212"/>
      <c r="C407" s="199"/>
      <c r="D407" s="199"/>
      <c r="E407" s="185"/>
      <c r="F407" s="199"/>
      <c r="G407" s="199"/>
      <c r="H407" s="199"/>
      <c r="I407" s="199"/>
      <c r="J407" s="199"/>
      <c r="K407" s="199"/>
      <c r="L407" s="199"/>
      <c r="M407" s="185"/>
      <c r="N407" s="199"/>
      <c r="O407" s="185"/>
      <c r="P407" s="185"/>
      <c r="Q407" s="199"/>
      <c r="R407" s="199"/>
      <c r="W407" s="199"/>
      <c r="X407" s="199"/>
      <c r="Y407" s="199"/>
      <c r="Z407" s="199"/>
      <c r="AA407" s="199"/>
      <c r="AB407" s="199"/>
      <c r="AC407" s="199"/>
      <c r="AD407" s="199"/>
      <c r="AL407" s="199"/>
      <c r="AM407" s="199"/>
      <c r="AN407" s="199"/>
      <c r="AO407" s="199"/>
      <c r="AP407" s="199"/>
      <c r="AQ407" s="199"/>
      <c r="AR407" s="199"/>
      <c r="AS407" s="199"/>
      <c r="AV407" s="199"/>
      <c r="AW407" s="199"/>
      <c r="AX407" s="199"/>
      <c r="AY407" s="199"/>
      <c r="AZ407" s="199"/>
      <c r="BA407" s="199"/>
      <c r="BB407" s="199"/>
      <c r="BD407" s="199"/>
      <c r="BF407" s="199"/>
      <c r="BG407" s="194"/>
      <c r="BJ407" s="194"/>
      <c r="BK407" s="194"/>
      <c r="BL407" s="194"/>
      <c r="BM407" s="194"/>
      <c r="BN407" s="194"/>
      <c r="BO407" s="194"/>
      <c r="BP407" s="194"/>
      <c r="BQ407" s="194"/>
      <c r="BR407" s="194"/>
      <c r="BS407" s="194"/>
      <c r="BT407" s="194"/>
      <c r="BU407" s="194"/>
      <c r="BV407" s="194"/>
      <c r="BW407" s="194"/>
      <c r="BX407" s="194"/>
      <c r="BY407" s="194"/>
      <c r="BZ407" s="194"/>
      <c r="CA407" s="194"/>
      <c r="CB407" s="194"/>
      <c r="CC407" s="194"/>
      <c r="CD407" s="194"/>
      <c r="CE407" s="194"/>
      <c r="CF407" s="194"/>
      <c r="CG407" s="194"/>
      <c r="CH407" s="194"/>
      <c r="CI407" s="194"/>
      <c r="CJ407" s="194"/>
      <c r="CK407" s="194"/>
      <c r="CL407" s="194"/>
      <c r="CM407" s="194"/>
      <c r="CN407" s="194"/>
      <c r="CO407" s="194"/>
      <c r="CP407" s="194"/>
      <c r="CQ407" s="194"/>
      <c r="CR407" s="194"/>
      <c r="CS407" s="194"/>
      <c r="CT407" s="194"/>
      <c r="CU407" s="194"/>
      <c r="CV407" s="194"/>
    </row>
    <row r="408" spans="1:100" x14ac:dyDescent="0.2">
      <c r="A408" s="212"/>
      <c r="B408" s="212"/>
      <c r="C408" s="199"/>
      <c r="D408" s="199"/>
      <c r="E408" s="185"/>
      <c r="F408" s="199"/>
      <c r="G408" s="199"/>
      <c r="H408"/>
      <c r="I408" s="199"/>
      <c r="J408"/>
      <c r="K408"/>
      <c r="L408" s="199"/>
      <c r="M408" s="185"/>
      <c r="N408" s="199"/>
      <c r="O408" s="185"/>
      <c r="P408" s="185"/>
      <c r="Q408" s="199"/>
      <c r="R408" s="199"/>
      <c r="W408" s="199"/>
      <c r="X408" s="199"/>
      <c r="Y408" s="199"/>
      <c r="Z408" s="199"/>
      <c r="AA408" s="199"/>
      <c r="AB408" s="199"/>
      <c r="AC408" s="199"/>
      <c r="AD408" s="199"/>
      <c r="AL408" s="199"/>
      <c r="AM408" s="199"/>
      <c r="AN408" s="199"/>
      <c r="AO408" s="199"/>
      <c r="AP408" s="199"/>
      <c r="AQ408" s="199"/>
      <c r="AR408" s="199"/>
      <c r="AS408" s="199"/>
      <c r="AV408" s="199"/>
      <c r="AW408" s="199"/>
      <c r="AY408" s="199"/>
      <c r="AZ408" s="199"/>
      <c r="BD408" s="199"/>
      <c r="BF408" s="199"/>
    </row>
    <row r="409" spans="1:100" x14ac:dyDescent="0.2">
      <c r="A409" s="212"/>
      <c r="B409" s="212"/>
      <c r="C409" s="199"/>
      <c r="D409" s="199"/>
      <c r="E409" s="185"/>
      <c r="F409" s="199"/>
      <c r="G409" s="199"/>
      <c r="H409"/>
      <c r="I409" s="199"/>
      <c r="J409"/>
      <c r="K409"/>
      <c r="L409" s="199"/>
      <c r="M409" s="185"/>
      <c r="N409" s="199"/>
      <c r="O409" s="185"/>
      <c r="P409" s="185"/>
      <c r="Q409" s="199"/>
      <c r="R409" s="199"/>
      <c r="W409" s="199"/>
      <c r="X409" s="199"/>
      <c r="Y409" s="199"/>
      <c r="Z409" s="199"/>
      <c r="AA409" s="199"/>
      <c r="AB409" s="199"/>
      <c r="AC409" s="199"/>
      <c r="AD409" s="199"/>
      <c r="AL409" s="199"/>
      <c r="AM409" s="199"/>
      <c r="AN409" s="199"/>
      <c r="AO409" s="199"/>
      <c r="AP409" s="199"/>
      <c r="AQ409" s="199"/>
      <c r="AR409" s="199"/>
      <c r="AS409" s="199"/>
      <c r="AV409" s="199"/>
      <c r="AW409" s="199"/>
      <c r="AY409" s="199"/>
      <c r="AZ409" s="199"/>
      <c r="BD409" s="199"/>
      <c r="BF409" s="199"/>
    </row>
    <row r="410" spans="1:100" x14ac:dyDescent="0.2">
      <c r="A410" s="212"/>
      <c r="B410" s="212"/>
      <c r="C410" s="199"/>
      <c r="D410" s="199"/>
      <c r="E410" s="185"/>
      <c r="F410" s="199"/>
      <c r="G410" s="199"/>
      <c r="H410"/>
      <c r="I410" s="199"/>
      <c r="J410"/>
      <c r="K410"/>
      <c r="L410" s="199"/>
      <c r="M410" s="185"/>
      <c r="N410" s="199"/>
      <c r="O410" s="185"/>
      <c r="P410" s="185"/>
      <c r="Q410" s="199"/>
      <c r="R410" s="199"/>
      <c r="W410" s="199"/>
      <c r="X410" s="199"/>
      <c r="Y410" s="199"/>
      <c r="Z410" s="199"/>
      <c r="AA410" s="199"/>
      <c r="AB410" s="199"/>
      <c r="AC410" s="199"/>
      <c r="AD410" s="199"/>
      <c r="AL410" s="199"/>
      <c r="AM410" s="199"/>
      <c r="AN410" s="199"/>
      <c r="AO410" s="199"/>
      <c r="AP410" s="199"/>
      <c r="AQ410" s="199"/>
      <c r="AR410" s="199"/>
      <c r="AS410" s="199"/>
      <c r="AV410" s="199"/>
      <c r="AW410" s="199"/>
      <c r="AY410" s="199"/>
      <c r="AZ410" s="199"/>
      <c r="BD410" s="199"/>
      <c r="BF410" s="199"/>
    </row>
    <row r="411" spans="1:100" x14ac:dyDescent="0.2">
      <c r="A411" s="212"/>
      <c r="B411" s="212"/>
      <c r="C411" s="199"/>
      <c r="D411" s="199"/>
      <c r="E411" s="185"/>
      <c r="F411" s="199"/>
      <c r="G411" s="199"/>
      <c r="H411" s="199"/>
      <c r="I411" s="199"/>
      <c r="J411"/>
      <c r="K411"/>
      <c r="L411" s="199"/>
      <c r="M411" s="185"/>
      <c r="N411" s="199"/>
      <c r="O411" s="185"/>
      <c r="P411" s="185"/>
      <c r="Q411" s="199"/>
      <c r="R411" s="199"/>
      <c r="W411" s="199"/>
      <c r="X411" s="199"/>
      <c r="Y411" s="199"/>
      <c r="Z411" s="199"/>
      <c r="AA411" s="199"/>
      <c r="AB411" s="199"/>
      <c r="AC411" s="199"/>
      <c r="AD411" s="199"/>
      <c r="AL411" s="199"/>
      <c r="AM411" s="199"/>
      <c r="AN411" s="199"/>
      <c r="AO411" s="199"/>
      <c r="AP411" s="199"/>
      <c r="AQ411" s="199"/>
      <c r="AR411" s="199"/>
      <c r="AS411" s="199"/>
      <c r="AV411" s="199"/>
      <c r="AW411" s="199"/>
      <c r="AX411" s="199"/>
      <c r="AY411" s="199"/>
      <c r="AZ411" s="199"/>
      <c r="BD411" s="199"/>
      <c r="BF411" s="199"/>
    </row>
    <row r="412" spans="1:100" x14ac:dyDescent="0.2">
      <c r="A412" s="212"/>
      <c r="B412" s="212"/>
      <c r="C412" s="199"/>
      <c r="D412" s="199"/>
      <c r="E412" s="185"/>
      <c r="F412" s="199"/>
      <c r="G412" s="199"/>
      <c r="H412"/>
      <c r="I412" s="199"/>
      <c r="J412"/>
      <c r="K412"/>
      <c r="L412" s="199"/>
      <c r="M412" s="185"/>
      <c r="N412" s="199"/>
      <c r="O412" s="185"/>
      <c r="P412" s="185"/>
      <c r="Q412" s="199"/>
      <c r="R412" s="199"/>
      <c r="W412" s="199"/>
      <c r="X412" s="199"/>
      <c r="Y412" s="199"/>
      <c r="Z412" s="199"/>
      <c r="AA412" s="199"/>
      <c r="AB412" s="199"/>
      <c r="AC412" s="199"/>
      <c r="AD412" s="199"/>
      <c r="AL412" s="199"/>
      <c r="AM412" s="199"/>
      <c r="AN412" s="199"/>
      <c r="AO412" s="199"/>
      <c r="AP412" s="199"/>
      <c r="AQ412" s="199"/>
      <c r="AR412" s="199"/>
      <c r="AS412" s="199"/>
      <c r="AV412" s="199"/>
      <c r="AW412" s="199"/>
      <c r="AY412" s="199"/>
      <c r="AZ412" s="199"/>
      <c r="BD412" s="199"/>
      <c r="BF412" s="199"/>
    </row>
    <row r="413" spans="1:100" x14ac:dyDescent="0.2">
      <c r="A413" s="212"/>
      <c r="B413" s="212"/>
      <c r="C413" s="199"/>
      <c r="D413" s="199"/>
      <c r="E413" s="185"/>
      <c r="F413" s="199"/>
      <c r="G413" s="199"/>
      <c r="H413" s="199"/>
      <c r="I413" s="199"/>
      <c r="J413" s="199"/>
      <c r="K413" s="199"/>
      <c r="L413" s="199"/>
      <c r="M413" s="185"/>
      <c r="N413" s="199"/>
      <c r="O413" s="185"/>
      <c r="P413" s="185"/>
      <c r="Q413" s="199"/>
      <c r="R413" s="199"/>
      <c r="W413" s="199"/>
      <c r="X413" s="199"/>
      <c r="Y413" s="199"/>
      <c r="Z413" s="199"/>
      <c r="AA413" s="199"/>
      <c r="AB413" s="199"/>
      <c r="AC413" s="199"/>
      <c r="AD413" s="199"/>
      <c r="AL413" s="199"/>
      <c r="AM413" s="199"/>
      <c r="AN413" s="199"/>
      <c r="AO413" s="199"/>
      <c r="AP413" s="199"/>
      <c r="AQ413" s="199"/>
      <c r="AR413" s="199"/>
      <c r="AS413" s="199"/>
      <c r="AV413" s="199"/>
      <c r="AW413" s="199"/>
      <c r="AX413" s="199"/>
      <c r="AY413" s="199"/>
      <c r="AZ413" s="199"/>
      <c r="BA413" s="199"/>
      <c r="BB413" s="199"/>
      <c r="BD413" s="199"/>
      <c r="BF413" s="199"/>
      <c r="BG413" s="194"/>
      <c r="BJ413" s="194"/>
      <c r="BK413" s="194"/>
      <c r="BL413" s="194"/>
      <c r="BM413" s="194"/>
      <c r="BN413" s="194"/>
      <c r="BO413" s="194"/>
      <c r="BP413" s="194"/>
      <c r="BQ413" s="194"/>
      <c r="BR413" s="194"/>
      <c r="BS413" s="194"/>
      <c r="BT413" s="194"/>
      <c r="BU413" s="194"/>
      <c r="BV413" s="194"/>
      <c r="BW413" s="194"/>
      <c r="BX413" s="194"/>
      <c r="BY413" s="194"/>
      <c r="BZ413" s="194"/>
      <c r="CA413" s="194"/>
      <c r="CB413" s="194"/>
      <c r="CC413" s="194"/>
      <c r="CD413" s="194"/>
      <c r="CE413" s="194"/>
      <c r="CF413" s="194"/>
      <c r="CG413" s="194"/>
      <c r="CH413" s="194"/>
      <c r="CI413" s="194"/>
      <c r="CJ413" s="194"/>
      <c r="CK413" s="194"/>
      <c r="CL413" s="194"/>
      <c r="CM413" s="194"/>
      <c r="CN413" s="194"/>
      <c r="CO413" s="194"/>
      <c r="CP413" s="194"/>
      <c r="CQ413" s="194"/>
      <c r="CR413" s="194"/>
      <c r="CS413" s="194"/>
      <c r="CT413" s="194"/>
      <c r="CU413" s="194"/>
      <c r="CV413" s="194"/>
    </row>
    <row r="414" spans="1:100" x14ac:dyDescent="0.2">
      <c r="A414" s="212"/>
      <c r="B414" s="212"/>
      <c r="C414" s="199"/>
      <c r="D414" s="199"/>
      <c r="E414" s="185"/>
      <c r="F414" s="199"/>
      <c r="G414" s="199"/>
      <c r="H414"/>
      <c r="I414" s="199"/>
      <c r="J414"/>
      <c r="K414"/>
      <c r="L414" s="199"/>
      <c r="M414" s="185"/>
      <c r="N414" s="199"/>
      <c r="O414" s="185"/>
      <c r="P414" s="185"/>
      <c r="Q414" s="199"/>
      <c r="R414" s="199"/>
      <c r="W414" s="199"/>
      <c r="X414" s="199"/>
      <c r="Y414" s="199"/>
      <c r="Z414" s="199"/>
      <c r="AA414" s="199"/>
      <c r="AB414" s="199"/>
      <c r="AC414" s="199"/>
      <c r="AD414" s="199"/>
      <c r="AL414" s="199"/>
      <c r="AM414" s="199"/>
      <c r="AN414" s="199"/>
      <c r="AO414" s="199"/>
      <c r="AP414" s="199"/>
      <c r="AQ414" s="199"/>
      <c r="AR414" s="199"/>
      <c r="AS414" s="199"/>
      <c r="AV414" s="199"/>
      <c r="AW414" s="199"/>
      <c r="AY414" s="199"/>
      <c r="AZ414" s="199"/>
      <c r="BD414" s="199"/>
      <c r="BF414" s="199"/>
    </row>
    <row r="415" spans="1:100" x14ac:dyDescent="0.2">
      <c r="A415" s="212"/>
      <c r="B415" s="212"/>
      <c r="C415" s="199"/>
      <c r="D415" s="199"/>
      <c r="E415" s="185"/>
      <c r="F415" s="199"/>
      <c r="G415" s="199"/>
      <c r="H415"/>
      <c r="I415" s="199"/>
      <c r="J415"/>
      <c r="K415"/>
      <c r="L415" s="199"/>
      <c r="M415" s="185"/>
      <c r="N415" s="199"/>
      <c r="O415" s="185"/>
      <c r="P415" s="185"/>
      <c r="Q415" s="199"/>
      <c r="R415" s="199"/>
      <c r="W415" s="199"/>
      <c r="X415" s="199"/>
      <c r="Y415" s="199"/>
      <c r="Z415" s="199"/>
      <c r="AA415" s="199"/>
      <c r="AB415" s="199"/>
      <c r="AC415" s="199"/>
      <c r="AD415" s="199"/>
      <c r="AL415" s="199"/>
      <c r="AM415" s="199"/>
      <c r="AN415" s="199"/>
      <c r="AO415" s="199"/>
      <c r="AP415" s="199"/>
      <c r="AQ415" s="199"/>
      <c r="AR415" s="199"/>
      <c r="AS415" s="199"/>
      <c r="AV415" s="199"/>
      <c r="AW415" s="199"/>
      <c r="AY415" s="199"/>
      <c r="AZ415" s="199"/>
      <c r="BD415" s="199"/>
      <c r="BF415" s="199"/>
    </row>
    <row r="416" spans="1:100" x14ac:dyDescent="0.2">
      <c r="A416" s="212"/>
      <c r="B416" s="212"/>
      <c r="C416" s="199"/>
      <c r="D416" s="199"/>
      <c r="E416" s="185"/>
      <c r="F416" s="199"/>
      <c r="G416" s="199"/>
      <c r="H416" s="199"/>
      <c r="I416" s="199"/>
      <c r="J416"/>
      <c r="K416"/>
      <c r="L416" s="199"/>
      <c r="M416" s="185"/>
      <c r="N416" s="199"/>
      <c r="O416" s="185"/>
      <c r="P416" s="185"/>
      <c r="Q416" s="199"/>
      <c r="R416" s="199"/>
      <c r="W416" s="199"/>
      <c r="X416" s="199"/>
      <c r="Y416" s="199"/>
      <c r="Z416" s="199"/>
      <c r="AA416" s="199"/>
      <c r="AB416" s="199"/>
      <c r="AC416" s="199"/>
      <c r="AD416" s="199"/>
      <c r="AL416" s="199"/>
      <c r="AM416" s="199"/>
      <c r="AN416" s="199"/>
      <c r="AO416" s="199"/>
      <c r="AP416" s="199"/>
      <c r="AQ416" s="199"/>
      <c r="AR416" s="199"/>
      <c r="AS416" s="199"/>
      <c r="AV416" s="199"/>
      <c r="AW416" s="199"/>
      <c r="AX416" s="199"/>
      <c r="AY416" s="199"/>
      <c r="AZ416" s="199"/>
      <c r="BD416" s="199"/>
      <c r="BF416" s="199"/>
    </row>
    <row r="417" spans="1:100" x14ac:dyDescent="0.2">
      <c r="A417" s="212"/>
      <c r="B417" s="212"/>
      <c r="C417" s="199"/>
      <c r="D417" s="199"/>
      <c r="E417" s="185"/>
      <c r="F417" s="199"/>
      <c r="G417" s="199"/>
      <c r="H417"/>
      <c r="I417" s="199"/>
      <c r="J417"/>
      <c r="K417"/>
      <c r="L417" s="199"/>
      <c r="M417" s="185"/>
      <c r="N417" s="199"/>
      <c r="O417" s="185"/>
      <c r="P417" s="185"/>
      <c r="Q417" s="199"/>
      <c r="R417" s="199"/>
      <c r="W417" s="199"/>
      <c r="X417" s="199"/>
      <c r="Y417" s="199"/>
      <c r="Z417" s="199"/>
      <c r="AA417" s="199"/>
      <c r="AB417" s="199"/>
      <c r="AC417" s="199"/>
      <c r="AD417" s="199"/>
      <c r="AL417" s="199"/>
      <c r="AM417" s="199"/>
      <c r="AN417" s="199"/>
      <c r="AO417" s="199"/>
      <c r="AP417" s="199"/>
      <c r="AQ417" s="199"/>
      <c r="AR417" s="199"/>
      <c r="AS417" s="199"/>
      <c r="AV417" s="199"/>
      <c r="AW417" s="199"/>
      <c r="AY417" s="199"/>
      <c r="AZ417" s="199"/>
      <c r="BD417" s="199"/>
      <c r="BF417" s="199"/>
    </row>
    <row r="418" spans="1:100" x14ac:dyDescent="0.2">
      <c r="A418" s="212"/>
      <c r="B418" s="212"/>
      <c r="C418" s="199"/>
      <c r="D418" s="199"/>
      <c r="E418" s="185"/>
      <c r="F418" s="199"/>
      <c r="G418" s="199"/>
      <c r="H418"/>
      <c r="I418" s="199"/>
      <c r="J418"/>
      <c r="K418"/>
      <c r="L418" s="199"/>
      <c r="M418" s="185"/>
      <c r="N418" s="199"/>
      <c r="O418" s="185"/>
      <c r="P418" s="185"/>
      <c r="Q418" s="199"/>
      <c r="R418" s="199"/>
      <c r="W418" s="199"/>
      <c r="X418" s="199"/>
      <c r="Y418" s="199"/>
      <c r="Z418" s="199"/>
      <c r="AA418" s="199"/>
      <c r="AB418" s="199"/>
      <c r="AC418" s="199"/>
      <c r="AD418" s="199"/>
      <c r="AL418" s="199"/>
      <c r="AM418" s="199"/>
      <c r="AN418" s="199"/>
      <c r="AO418" s="199"/>
      <c r="AP418" s="199"/>
      <c r="AQ418" s="199"/>
      <c r="AR418" s="199"/>
      <c r="AS418" s="199"/>
      <c r="AV418" s="199"/>
      <c r="AW418" s="199"/>
      <c r="AY418" s="199"/>
      <c r="AZ418" s="199"/>
      <c r="BD418" s="199"/>
      <c r="BF418" s="199"/>
    </row>
    <row r="419" spans="1:100" x14ac:dyDescent="0.2">
      <c r="A419" s="212"/>
      <c r="B419" s="212"/>
      <c r="C419" s="199"/>
      <c r="D419" s="199"/>
      <c r="E419" s="185"/>
      <c r="F419" s="199"/>
      <c r="G419" s="199"/>
      <c r="H419" s="199"/>
      <c r="I419" s="199"/>
      <c r="J419"/>
      <c r="K419"/>
      <c r="L419" s="199"/>
      <c r="M419" s="185"/>
      <c r="N419" s="199"/>
      <c r="O419" s="185"/>
      <c r="P419" s="185"/>
      <c r="Q419" s="199"/>
      <c r="R419" s="199"/>
      <c r="W419" s="199"/>
      <c r="X419" s="199"/>
      <c r="Y419" s="199"/>
      <c r="Z419" s="199"/>
      <c r="AA419" s="199"/>
      <c r="AB419" s="199"/>
      <c r="AC419" s="199"/>
      <c r="AD419" s="199"/>
      <c r="AL419" s="199"/>
      <c r="AM419" s="199"/>
      <c r="AN419" s="199"/>
      <c r="AO419" s="199"/>
      <c r="AP419" s="199"/>
      <c r="AQ419" s="199"/>
      <c r="AR419" s="199"/>
      <c r="AS419" s="199"/>
      <c r="AV419" s="199"/>
      <c r="AW419" s="199"/>
      <c r="AX419" s="199"/>
      <c r="AY419" s="199"/>
      <c r="AZ419" s="199"/>
      <c r="BD419" s="199"/>
      <c r="BF419" s="199"/>
    </row>
    <row r="420" spans="1:100" x14ac:dyDescent="0.2">
      <c r="A420" s="212"/>
      <c r="B420" s="212"/>
      <c r="C420" s="199"/>
      <c r="D420" s="199"/>
      <c r="E420" s="185"/>
      <c r="F420" s="199"/>
      <c r="G420" s="199"/>
      <c r="H420"/>
      <c r="I420" s="199"/>
      <c r="J420"/>
      <c r="K420"/>
      <c r="L420" s="199"/>
      <c r="M420" s="185"/>
      <c r="N420" s="199"/>
      <c r="O420" s="185"/>
      <c r="P420" s="185"/>
      <c r="Q420" s="199"/>
      <c r="R420" s="199"/>
      <c r="W420" s="199"/>
      <c r="X420" s="199"/>
      <c r="Y420" s="199"/>
      <c r="Z420" s="199"/>
      <c r="AA420" s="199"/>
      <c r="AB420" s="199"/>
      <c r="AC420" s="199"/>
      <c r="AD420" s="199"/>
      <c r="AL420" s="199"/>
      <c r="AM420" s="199"/>
      <c r="AN420" s="199"/>
      <c r="AO420" s="199"/>
      <c r="AP420" s="199"/>
      <c r="AQ420" s="199"/>
      <c r="AR420" s="199"/>
      <c r="AS420" s="199"/>
      <c r="AV420" s="199"/>
      <c r="AW420" s="199"/>
      <c r="AY420" s="199"/>
      <c r="AZ420" s="199"/>
      <c r="BD420" s="199"/>
      <c r="BF420" s="199"/>
    </row>
    <row r="421" spans="1:100" x14ac:dyDescent="0.2">
      <c r="A421" s="212"/>
      <c r="B421" s="212"/>
      <c r="C421" s="199"/>
      <c r="D421" s="199"/>
      <c r="E421" s="185"/>
      <c r="F421" s="199"/>
      <c r="G421" s="199"/>
      <c r="H421" s="199"/>
      <c r="I421" s="199"/>
      <c r="J421"/>
      <c r="K421"/>
      <c r="L421" s="199"/>
      <c r="M421" s="185"/>
      <c r="N421" s="199"/>
      <c r="O421" s="185"/>
      <c r="P421" s="185"/>
      <c r="Q421" s="199"/>
      <c r="R421" s="199"/>
      <c r="W421" s="199"/>
      <c r="X421" s="199"/>
      <c r="Y421" s="199"/>
      <c r="Z421" s="199"/>
      <c r="AA421" s="199"/>
      <c r="AB421" s="199"/>
      <c r="AC421" s="199"/>
      <c r="AD421" s="199"/>
      <c r="AL421" s="199"/>
      <c r="AM421" s="199"/>
      <c r="AN421" s="199"/>
      <c r="AO421" s="199"/>
      <c r="AP421" s="199"/>
      <c r="AQ421" s="199"/>
      <c r="AR421" s="199"/>
      <c r="AS421" s="199"/>
      <c r="AV421" s="199"/>
      <c r="AW421" s="199"/>
      <c r="AX421" s="199"/>
      <c r="AY421" s="199"/>
      <c r="AZ421" s="199"/>
      <c r="BD421" s="199"/>
      <c r="BF421" s="199"/>
    </row>
    <row r="422" spans="1:100" x14ac:dyDescent="0.2">
      <c r="A422" s="212"/>
      <c r="B422" s="212"/>
      <c r="C422" s="199"/>
      <c r="D422" s="199"/>
      <c r="E422" s="185"/>
      <c r="F422" s="199"/>
      <c r="G422" s="199"/>
      <c r="H422"/>
      <c r="I422" s="199"/>
      <c r="J422"/>
      <c r="K422"/>
      <c r="L422" s="199"/>
      <c r="M422" s="185"/>
      <c r="N422" s="199"/>
      <c r="O422" s="185"/>
      <c r="P422" s="185"/>
      <c r="Q422" s="199"/>
      <c r="R422" s="199"/>
      <c r="W422" s="199"/>
      <c r="X422" s="199"/>
      <c r="Y422" s="199"/>
      <c r="Z422" s="199"/>
      <c r="AA422" s="199"/>
      <c r="AB422" s="199"/>
      <c r="AC422" s="199"/>
      <c r="AD422" s="199"/>
      <c r="AL422" s="199"/>
      <c r="AM422" s="199"/>
      <c r="AN422" s="199"/>
      <c r="AO422" s="199"/>
      <c r="AP422" s="199"/>
      <c r="AQ422" s="199"/>
      <c r="AR422" s="199"/>
      <c r="AS422" s="199"/>
      <c r="AV422" s="199"/>
      <c r="AW422" s="199"/>
      <c r="AY422" s="199"/>
      <c r="AZ422" s="199"/>
      <c r="BD422" s="199"/>
      <c r="BF422" s="199"/>
    </row>
    <row r="423" spans="1:100" x14ac:dyDescent="0.2">
      <c r="A423" s="212"/>
      <c r="B423" s="212"/>
      <c r="C423" s="199"/>
      <c r="D423" s="199"/>
      <c r="E423" s="185"/>
      <c r="F423" s="199"/>
      <c r="G423"/>
      <c r="H423"/>
      <c r="I423" s="199"/>
      <c r="J423"/>
      <c r="K423"/>
      <c r="L423" s="199"/>
      <c r="M423" s="185"/>
      <c r="N423" s="199"/>
      <c r="O423" s="185"/>
      <c r="P423" s="185"/>
      <c r="Q423" s="199"/>
      <c r="R423" s="199"/>
      <c r="W423" s="199"/>
      <c r="X423" s="199"/>
      <c r="Y423" s="199"/>
      <c r="Z423" s="199"/>
      <c r="AA423" s="199"/>
      <c r="AB423" s="199"/>
      <c r="AC423" s="199"/>
      <c r="AD423" s="199"/>
      <c r="AL423" s="199"/>
      <c r="AM423" s="199"/>
      <c r="AN423" s="199"/>
      <c r="AO423" s="199"/>
      <c r="AP423" s="199"/>
      <c r="AQ423" s="199"/>
      <c r="AR423" s="199"/>
      <c r="AS423" s="199"/>
      <c r="AV423" s="199"/>
      <c r="AY423" s="199"/>
      <c r="AZ423" s="199"/>
      <c r="BD423" s="199"/>
      <c r="BF423" s="199"/>
    </row>
    <row r="424" spans="1:100" x14ac:dyDescent="0.2">
      <c r="A424" s="212"/>
      <c r="B424" s="212"/>
      <c r="C424" s="199"/>
      <c r="D424" s="199"/>
      <c r="E424" s="185"/>
      <c r="F424" s="199"/>
      <c r="G424" s="199"/>
      <c r="H424"/>
      <c r="I424" s="199"/>
      <c r="J424"/>
      <c r="K424"/>
      <c r="L424" s="199"/>
      <c r="M424" s="185"/>
      <c r="N424" s="199"/>
      <c r="O424" s="185"/>
      <c r="P424" s="185"/>
      <c r="Q424" s="199"/>
      <c r="R424" s="199"/>
      <c r="W424" s="199"/>
      <c r="X424" s="199"/>
      <c r="Y424" s="199"/>
      <c r="Z424" s="199"/>
      <c r="AA424" s="199"/>
      <c r="AB424" s="199"/>
      <c r="AC424" s="199"/>
      <c r="AD424" s="199"/>
      <c r="AL424" s="199"/>
      <c r="AM424" s="199"/>
      <c r="AN424" s="199"/>
      <c r="AO424" s="199"/>
      <c r="AP424" s="199"/>
      <c r="AQ424" s="199"/>
      <c r="AR424" s="199"/>
      <c r="AS424" s="199"/>
      <c r="AV424" s="199"/>
      <c r="AW424" s="199"/>
      <c r="AY424" s="199"/>
      <c r="AZ424" s="199"/>
      <c r="BD424" s="199"/>
      <c r="BF424" s="199"/>
    </row>
    <row r="425" spans="1:100" x14ac:dyDescent="0.2">
      <c r="A425" s="212"/>
      <c r="B425" s="212"/>
      <c r="C425" s="199"/>
      <c r="D425" s="199"/>
      <c r="E425" s="185"/>
      <c r="F425" s="199"/>
      <c r="G425" s="199"/>
      <c r="H425"/>
      <c r="I425" s="199"/>
      <c r="J425"/>
      <c r="K425"/>
      <c r="L425" s="199"/>
      <c r="M425" s="185"/>
      <c r="N425" s="199"/>
      <c r="O425" s="185"/>
      <c r="P425" s="185"/>
      <c r="Q425" s="199"/>
      <c r="R425" s="199"/>
      <c r="W425" s="199"/>
      <c r="X425" s="199"/>
      <c r="Y425" s="199"/>
      <c r="Z425" s="199"/>
      <c r="AA425" s="199"/>
      <c r="AB425" s="199"/>
      <c r="AC425" s="199"/>
      <c r="AD425" s="199"/>
      <c r="AL425" s="199"/>
      <c r="AM425" s="199"/>
      <c r="AN425" s="199"/>
      <c r="AO425" s="199"/>
      <c r="AP425" s="199"/>
      <c r="AQ425" s="199"/>
      <c r="AR425" s="199"/>
      <c r="AS425" s="199"/>
      <c r="AV425" s="199"/>
      <c r="AW425" s="199"/>
      <c r="AY425" s="199"/>
      <c r="AZ425" s="199"/>
      <c r="BD425" s="199"/>
      <c r="BF425" s="199"/>
    </row>
    <row r="426" spans="1:100" x14ac:dyDescent="0.2">
      <c r="A426" s="212"/>
      <c r="B426" s="212"/>
      <c r="C426" s="199"/>
      <c r="D426" s="199"/>
      <c r="E426" s="185"/>
      <c r="F426" s="199"/>
      <c r="G426" s="199"/>
      <c r="H426"/>
      <c r="I426" s="199"/>
      <c r="J426"/>
      <c r="K426"/>
      <c r="L426" s="199"/>
      <c r="M426" s="185"/>
      <c r="N426" s="199"/>
      <c r="O426" s="185"/>
      <c r="P426" s="185"/>
      <c r="Q426" s="199"/>
      <c r="R426" s="199"/>
      <c r="W426" s="199"/>
      <c r="X426" s="199"/>
      <c r="Y426" s="199"/>
      <c r="Z426" s="199"/>
      <c r="AA426" s="199"/>
      <c r="AB426" s="199"/>
      <c r="AC426" s="199"/>
      <c r="AD426" s="199"/>
      <c r="AL426" s="199"/>
      <c r="AM426" s="199"/>
      <c r="AN426" s="199"/>
      <c r="AO426" s="199"/>
      <c r="AP426" s="199"/>
      <c r="AQ426" s="199"/>
      <c r="AR426" s="199"/>
      <c r="AS426" s="199"/>
      <c r="AV426" s="199"/>
      <c r="AW426" s="199"/>
      <c r="AY426" s="199"/>
      <c r="AZ426" s="199"/>
      <c r="BD426" s="199"/>
      <c r="BF426" s="199"/>
    </row>
    <row r="427" spans="1:100" x14ac:dyDescent="0.2">
      <c r="A427" s="212"/>
      <c r="B427" s="212"/>
      <c r="C427" s="199"/>
      <c r="D427" s="199"/>
      <c r="E427" s="185"/>
      <c r="F427" s="199"/>
      <c r="G427" s="199"/>
      <c r="H427"/>
      <c r="I427" s="199"/>
      <c r="J427"/>
      <c r="K427"/>
      <c r="L427" s="199"/>
      <c r="M427" s="185"/>
      <c r="N427" s="199"/>
      <c r="O427" s="185"/>
      <c r="P427" s="185"/>
      <c r="Q427" s="199"/>
      <c r="R427" s="199"/>
      <c r="W427" s="199"/>
      <c r="X427" s="199"/>
      <c r="Y427" s="199"/>
      <c r="Z427" s="199"/>
      <c r="AA427" s="199"/>
      <c r="AB427" s="199"/>
      <c r="AC427" s="199"/>
      <c r="AD427" s="199"/>
      <c r="AL427" s="199"/>
      <c r="AM427" s="199"/>
      <c r="AN427" s="199"/>
      <c r="AO427" s="199"/>
      <c r="AP427" s="199"/>
      <c r="AQ427" s="199"/>
      <c r="AR427" s="199"/>
      <c r="AS427" s="199"/>
      <c r="AV427" s="199"/>
      <c r="AW427" s="199"/>
      <c r="AY427" s="199"/>
      <c r="AZ427" s="199"/>
      <c r="BD427" s="199"/>
      <c r="BF427" s="199"/>
    </row>
    <row r="428" spans="1:100" x14ac:dyDescent="0.2">
      <c r="A428" s="212"/>
      <c r="B428" s="212"/>
      <c r="C428" s="199"/>
      <c r="D428" s="199"/>
      <c r="E428" s="185"/>
      <c r="F428" s="199"/>
      <c r="G428" s="199"/>
      <c r="H428"/>
      <c r="I428" s="199"/>
      <c r="J428"/>
      <c r="K428"/>
      <c r="L428" s="199"/>
      <c r="M428" s="185"/>
      <c r="N428" s="199"/>
      <c r="O428" s="185"/>
      <c r="P428" s="185"/>
      <c r="Q428" s="199"/>
      <c r="R428" s="199"/>
      <c r="W428" s="199"/>
      <c r="X428" s="199"/>
      <c r="Y428" s="199"/>
      <c r="Z428" s="199"/>
      <c r="AA428" s="199"/>
      <c r="AB428" s="199"/>
      <c r="AC428" s="199"/>
      <c r="AD428" s="199"/>
      <c r="AL428" s="199"/>
      <c r="AM428" s="199"/>
      <c r="AN428" s="199"/>
      <c r="AO428" s="199"/>
      <c r="AP428" s="199"/>
      <c r="AQ428" s="199"/>
      <c r="AR428" s="199"/>
      <c r="AS428" s="199"/>
      <c r="AV428" s="199"/>
      <c r="AW428" s="199"/>
      <c r="AY428" s="199"/>
      <c r="AZ428" s="199"/>
      <c r="BD428" s="199"/>
      <c r="BF428" s="199"/>
    </row>
    <row r="429" spans="1:100" x14ac:dyDescent="0.2">
      <c r="A429" s="212"/>
      <c r="B429" s="212"/>
      <c r="C429" s="199"/>
      <c r="D429" s="199"/>
      <c r="E429" s="185"/>
      <c r="F429" s="199"/>
      <c r="G429" s="199"/>
      <c r="H429"/>
      <c r="I429" s="199"/>
      <c r="J429"/>
      <c r="K429"/>
      <c r="L429" s="199"/>
      <c r="M429" s="185"/>
      <c r="N429" s="199"/>
      <c r="O429" s="185"/>
      <c r="P429" s="185"/>
      <c r="Q429" s="199"/>
      <c r="R429" s="199"/>
      <c r="W429" s="199"/>
      <c r="X429" s="199"/>
      <c r="Y429" s="199"/>
      <c r="Z429" s="199"/>
      <c r="AA429" s="199"/>
      <c r="AB429" s="199"/>
      <c r="AC429" s="199"/>
      <c r="AD429" s="199"/>
      <c r="AL429" s="199"/>
      <c r="AM429" s="199"/>
      <c r="AN429" s="199"/>
      <c r="AO429" s="199"/>
      <c r="AP429" s="199"/>
      <c r="AQ429" s="199"/>
      <c r="AR429" s="199"/>
      <c r="AS429" s="199"/>
      <c r="AV429" s="199"/>
      <c r="AW429" s="199"/>
      <c r="AY429" s="199"/>
      <c r="AZ429" s="199"/>
      <c r="BD429" s="199"/>
      <c r="BF429" s="199"/>
    </row>
    <row r="430" spans="1:100" x14ac:dyDescent="0.2">
      <c r="A430" s="212"/>
      <c r="B430" s="212"/>
      <c r="C430" s="199"/>
      <c r="D430" s="199"/>
      <c r="E430" s="185"/>
      <c r="F430" s="199"/>
      <c r="G430" s="199"/>
      <c r="H430"/>
      <c r="I430" s="199"/>
      <c r="J430"/>
      <c r="K430"/>
      <c r="L430" s="199"/>
      <c r="M430" s="185"/>
      <c r="N430" s="199"/>
      <c r="O430" s="185"/>
      <c r="P430" s="185"/>
      <c r="Q430" s="199"/>
      <c r="R430" s="199"/>
      <c r="W430" s="199"/>
      <c r="X430" s="199"/>
      <c r="Y430" s="199"/>
      <c r="Z430" s="199"/>
      <c r="AA430" s="199"/>
      <c r="AB430" s="199"/>
      <c r="AC430" s="199"/>
      <c r="AD430" s="199"/>
      <c r="AL430" s="199"/>
      <c r="AM430" s="199"/>
      <c r="AN430" s="199"/>
      <c r="AO430" s="199"/>
      <c r="AP430" s="199"/>
      <c r="AQ430" s="199"/>
      <c r="AR430" s="199"/>
      <c r="AS430" s="199"/>
      <c r="AV430" s="199"/>
      <c r="AW430" s="199"/>
      <c r="AY430" s="199"/>
      <c r="AZ430" s="199"/>
      <c r="BD430" s="199"/>
      <c r="BF430" s="199"/>
    </row>
    <row r="431" spans="1:100" x14ac:dyDescent="0.2">
      <c r="A431" s="212"/>
      <c r="B431" s="212"/>
      <c r="C431" s="199"/>
      <c r="D431" s="199"/>
      <c r="E431" s="185"/>
      <c r="F431" s="199"/>
      <c r="G431" s="199"/>
      <c r="H431"/>
      <c r="I431" s="199"/>
      <c r="J431"/>
      <c r="K431"/>
      <c r="L431" s="199"/>
      <c r="M431" s="185"/>
      <c r="N431" s="199"/>
      <c r="O431" s="185"/>
      <c r="P431" s="185"/>
      <c r="Q431" s="199"/>
      <c r="R431" s="199"/>
      <c r="W431" s="199"/>
      <c r="X431" s="199"/>
      <c r="Y431" s="199"/>
      <c r="Z431" s="199"/>
      <c r="AA431" s="199"/>
      <c r="AB431" s="199"/>
      <c r="AC431" s="199"/>
      <c r="AD431" s="199"/>
      <c r="AL431" s="199"/>
      <c r="AM431" s="199"/>
      <c r="AN431" s="199"/>
      <c r="AO431" s="199"/>
      <c r="AP431" s="199"/>
      <c r="AQ431" s="199"/>
      <c r="AR431" s="199"/>
      <c r="AS431" s="199"/>
      <c r="AV431" s="199"/>
      <c r="AW431" s="199"/>
      <c r="AY431" s="199"/>
      <c r="AZ431" s="199"/>
      <c r="BD431" s="199"/>
      <c r="BF431" s="199"/>
    </row>
    <row r="432" spans="1:100" x14ac:dyDescent="0.2">
      <c r="A432" s="212"/>
      <c r="B432" s="212"/>
      <c r="C432" s="199"/>
      <c r="D432" s="199"/>
      <c r="E432" s="185"/>
      <c r="F432" s="199"/>
      <c r="G432" s="199"/>
      <c r="H432" s="199"/>
      <c r="I432" s="199"/>
      <c r="J432" s="199"/>
      <c r="K432" s="199"/>
      <c r="L432" s="199"/>
      <c r="M432" s="185"/>
      <c r="N432" s="199"/>
      <c r="O432" s="185"/>
      <c r="P432" s="185"/>
      <c r="Q432" s="199"/>
      <c r="R432" s="199"/>
      <c r="W432" s="199"/>
      <c r="X432" s="199"/>
      <c r="Y432" s="199"/>
      <c r="Z432" s="199"/>
      <c r="AA432" s="199"/>
      <c r="AB432" s="199"/>
      <c r="AC432" s="199"/>
      <c r="AD432" s="199"/>
      <c r="AL432" s="199"/>
      <c r="AM432" s="199"/>
      <c r="AN432" s="199"/>
      <c r="AO432" s="199"/>
      <c r="AP432" s="199"/>
      <c r="AQ432" s="199"/>
      <c r="AR432" s="199"/>
      <c r="AS432" s="199"/>
      <c r="AV432" s="199"/>
      <c r="AW432" s="199"/>
      <c r="AX432" s="199"/>
      <c r="AY432" s="199"/>
      <c r="AZ432" s="199"/>
      <c r="BA432" s="199"/>
      <c r="BB432" s="199"/>
      <c r="BD432" s="199"/>
      <c r="BF432" s="199"/>
      <c r="BG432" s="194"/>
      <c r="BJ432" s="194"/>
      <c r="BK432" s="194"/>
      <c r="BL432" s="194"/>
      <c r="BM432" s="194"/>
      <c r="BN432" s="194"/>
      <c r="BO432" s="194"/>
      <c r="BP432" s="194"/>
      <c r="BQ432" s="194"/>
      <c r="BR432" s="194"/>
      <c r="BS432" s="194"/>
      <c r="BT432" s="194"/>
      <c r="BU432" s="194"/>
      <c r="BV432" s="194"/>
      <c r="BW432" s="194"/>
      <c r="BX432" s="194"/>
      <c r="BY432" s="194"/>
      <c r="BZ432" s="194"/>
      <c r="CA432" s="194"/>
      <c r="CB432" s="194"/>
      <c r="CC432" s="194"/>
      <c r="CD432" s="194"/>
      <c r="CE432" s="194"/>
      <c r="CF432" s="194"/>
      <c r="CG432" s="194"/>
      <c r="CH432" s="194"/>
      <c r="CI432" s="194"/>
      <c r="CJ432" s="194"/>
      <c r="CK432" s="194"/>
      <c r="CL432" s="194"/>
      <c r="CM432" s="194"/>
      <c r="CN432" s="194"/>
      <c r="CO432" s="194"/>
      <c r="CP432" s="194"/>
      <c r="CQ432" s="194"/>
      <c r="CR432" s="194"/>
      <c r="CS432" s="194"/>
      <c r="CT432" s="194"/>
      <c r="CU432" s="194"/>
      <c r="CV432" s="194"/>
    </row>
    <row r="433" spans="1:58" x14ac:dyDescent="0.2">
      <c r="A433" s="212"/>
      <c r="B433" s="212"/>
      <c r="C433" s="199"/>
      <c r="D433" s="199"/>
      <c r="E433" s="185"/>
      <c r="F433" s="199"/>
      <c r="G433" s="199"/>
      <c r="H433"/>
      <c r="I433" s="199"/>
      <c r="J433"/>
      <c r="K433"/>
      <c r="L433" s="199"/>
      <c r="M433" s="185"/>
      <c r="N433" s="199"/>
      <c r="O433" s="185"/>
      <c r="P433" s="185"/>
      <c r="Q433" s="199"/>
      <c r="R433" s="199"/>
      <c r="W433" s="199"/>
      <c r="X433" s="199"/>
      <c r="Y433" s="199"/>
      <c r="Z433" s="199"/>
      <c r="AA433" s="199"/>
      <c r="AB433" s="199"/>
      <c r="AC433" s="199"/>
      <c r="AD433" s="199"/>
      <c r="AL433" s="199"/>
      <c r="AM433" s="199"/>
      <c r="AN433" s="199"/>
      <c r="AO433" s="199"/>
      <c r="AP433" s="199"/>
      <c r="AQ433" s="199"/>
      <c r="AR433" s="199"/>
      <c r="AS433" s="199"/>
      <c r="AV433" s="199"/>
      <c r="AW433" s="199"/>
      <c r="AY433" s="199"/>
      <c r="AZ433" s="199"/>
      <c r="BD433" s="199"/>
      <c r="BF433" s="199"/>
    </row>
    <row r="434" spans="1:58" x14ac:dyDescent="0.2">
      <c r="A434" s="212"/>
      <c r="B434" s="212"/>
      <c r="C434" s="199"/>
      <c r="D434" s="199"/>
      <c r="E434" s="185"/>
      <c r="F434" s="199"/>
      <c r="G434" s="199"/>
      <c r="H434"/>
      <c r="I434" s="199"/>
      <c r="J434"/>
      <c r="K434"/>
      <c r="L434" s="199"/>
      <c r="M434" s="185"/>
      <c r="N434" s="199"/>
      <c r="O434" s="185"/>
      <c r="P434" s="185"/>
      <c r="Q434" s="199"/>
      <c r="R434" s="199"/>
      <c r="W434" s="199"/>
      <c r="X434" s="199"/>
      <c r="Y434" s="199"/>
      <c r="Z434" s="199"/>
      <c r="AA434" s="199"/>
      <c r="AB434" s="199"/>
      <c r="AC434" s="199"/>
      <c r="AD434" s="199"/>
      <c r="AL434" s="199"/>
      <c r="AM434" s="199"/>
      <c r="AN434" s="199"/>
      <c r="AO434" s="199"/>
      <c r="AP434" s="199"/>
      <c r="AQ434" s="199"/>
      <c r="AR434" s="199"/>
      <c r="AS434" s="199"/>
      <c r="AV434" s="199"/>
      <c r="AW434" s="199"/>
      <c r="AY434" s="199"/>
      <c r="AZ434" s="199"/>
      <c r="BD434" s="199"/>
      <c r="BF434" s="199"/>
    </row>
    <row r="435" spans="1:58" x14ac:dyDescent="0.2">
      <c r="A435" s="212"/>
      <c r="B435" s="212"/>
      <c r="C435" s="199"/>
      <c r="D435" s="199"/>
      <c r="E435" s="185"/>
      <c r="F435" s="199"/>
      <c r="G435" s="199"/>
      <c r="H435"/>
      <c r="I435" s="199"/>
      <c r="J435"/>
      <c r="K435"/>
      <c r="L435" s="199"/>
      <c r="M435" s="185"/>
      <c r="N435" s="199"/>
      <c r="O435" s="185"/>
      <c r="P435" s="185"/>
      <c r="Q435" s="199"/>
      <c r="R435" s="199"/>
      <c r="W435" s="199"/>
      <c r="X435" s="199"/>
      <c r="Y435" s="199"/>
      <c r="Z435" s="199"/>
      <c r="AA435" s="199"/>
      <c r="AB435" s="199"/>
      <c r="AC435" s="199"/>
      <c r="AD435" s="199"/>
      <c r="AL435" s="199"/>
      <c r="AM435" s="199"/>
      <c r="AN435" s="199"/>
      <c r="AO435" s="199"/>
      <c r="AP435" s="199"/>
      <c r="AQ435" s="199"/>
      <c r="AR435" s="199"/>
      <c r="AS435" s="199"/>
      <c r="AV435" s="199"/>
      <c r="AW435" s="199"/>
      <c r="AY435" s="199"/>
      <c r="AZ435" s="199"/>
      <c r="BD435" s="199"/>
      <c r="BF435" s="199"/>
    </row>
    <row r="436" spans="1:58" x14ac:dyDescent="0.2">
      <c r="A436" s="212"/>
      <c r="B436" s="212"/>
      <c r="C436" s="199"/>
      <c r="D436" s="199"/>
      <c r="E436" s="185"/>
      <c r="F436" s="199"/>
      <c r="G436" s="199"/>
      <c r="H436"/>
      <c r="I436" s="199"/>
      <c r="J436"/>
      <c r="K436"/>
      <c r="L436" s="199"/>
      <c r="M436" s="185"/>
      <c r="N436" s="199"/>
      <c r="O436" s="185"/>
      <c r="P436" s="185"/>
      <c r="Q436" s="199"/>
      <c r="R436" s="199"/>
      <c r="W436" s="199"/>
      <c r="X436" s="199"/>
      <c r="Y436" s="199"/>
      <c r="Z436" s="199"/>
      <c r="AA436" s="199"/>
      <c r="AB436" s="199"/>
      <c r="AC436" s="199"/>
      <c r="AD436" s="199"/>
      <c r="AL436" s="199"/>
      <c r="AM436" s="199"/>
      <c r="AN436" s="199"/>
      <c r="AO436" s="199"/>
      <c r="AP436" s="199"/>
      <c r="AQ436" s="199"/>
      <c r="AR436" s="199"/>
      <c r="AS436" s="199"/>
      <c r="AV436" s="199"/>
      <c r="AW436" s="199"/>
      <c r="AY436" s="199"/>
      <c r="AZ436" s="199"/>
      <c r="BD436" s="199"/>
      <c r="BF436" s="199"/>
    </row>
    <row r="437" spans="1:58" x14ac:dyDescent="0.2">
      <c r="A437" s="212"/>
      <c r="B437" s="212"/>
      <c r="C437" s="199"/>
      <c r="D437" s="199"/>
      <c r="E437" s="185"/>
      <c r="F437" s="199"/>
      <c r="G437" s="199"/>
      <c r="H437"/>
      <c r="I437" s="199"/>
      <c r="J437"/>
      <c r="K437"/>
      <c r="L437" s="199"/>
      <c r="M437" s="185"/>
      <c r="N437" s="199"/>
      <c r="O437" s="185"/>
      <c r="P437" s="185"/>
      <c r="Q437" s="199"/>
      <c r="R437" s="199"/>
      <c r="W437" s="199"/>
      <c r="X437" s="199"/>
      <c r="Y437" s="199"/>
      <c r="Z437" s="199"/>
      <c r="AA437" s="199"/>
      <c r="AB437" s="199"/>
      <c r="AC437" s="199"/>
      <c r="AD437" s="199"/>
      <c r="AL437" s="199"/>
      <c r="AM437" s="199"/>
      <c r="AN437" s="199"/>
      <c r="AO437" s="199"/>
      <c r="AP437" s="199"/>
      <c r="AQ437" s="199"/>
      <c r="AR437" s="199"/>
      <c r="AS437" s="199"/>
      <c r="AV437" s="199"/>
      <c r="AW437" s="199"/>
      <c r="AY437" s="199"/>
      <c r="AZ437" s="199"/>
      <c r="BD437" s="199"/>
      <c r="BF437" s="199"/>
    </row>
    <row r="438" spans="1:58" x14ac:dyDescent="0.2">
      <c r="A438" s="212"/>
      <c r="B438" s="212"/>
      <c r="C438" s="199"/>
      <c r="D438" s="199"/>
      <c r="E438" s="185"/>
      <c r="F438" s="199"/>
      <c r="G438" s="199"/>
      <c r="H438"/>
      <c r="I438" s="199"/>
      <c r="J438"/>
      <c r="K438"/>
      <c r="L438" s="199"/>
      <c r="M438" s="185"/>
      <c r="N438" s="199"/>
      <c r="O438" s="185"/>
      <c r="P438" s="185"/>
      <c r="Q438" s="199"/>
      <c r="R438" s="199"/>
      <c r="W438" s="199"/>
      <c r="X438" s="199"/>
      <c r="Y438" s="199"/>
      <c r="Z438" s="199"/>
      <c r="AA438" s="199"/>
      <c r="AB438" s="199"/>
      <c r="AC438" s="199"/>
      <c r="AD438" s="199"/>
      <c r="AL438" s="199"/>
      <c r="AM438" s="199"/>
      <c r="AN438" s="199"/>
      <c r="AO438" s="199"/>
      <c r="AP438" s="199"/>
      <c r="AQ438" s="199"/>
      <c r="AR438" s="199"/>
      <c r="AS438" s="199"/>
      <c r="AV438" s="199"/>
      <c r="AW438" s="199"/>
      <c r="AY438" s="199"/>
      <c r="AZ438" s="199"/>
      <c r="BD438" s="199"/>
      <c r="BF438" s="199"/>
    </row>
    <row r="439" spans="1:58" x14ac:dyDescent="0.2">
      <c r="A439" s="212"/>
      <c r="B439" s="212"/>
      <c r="C439" s="199"/>
      <c r="D439" s="199"/>
      <c r="E439" s="185"/>
      <c r="F439" s="199"/>
      <c r="G439"/>
      <c r="H439"/>
      <c r="I439" s="199"/>
      <c r="J439"/>
      <c r="K439"/>
      <c r="L439" s="199"/>
      <c r="M439" s="185"/>
      <c r="N439" s="199"/>
      <c r="O439" s="185"/>
      <c r="P439" s="185"/>
      <c r="Q439" s="199"/>
      <c r="R439" s="199"/>
      <c r="W439" s="199"/>
      <c r="X439" s="199"/>
      <c r="Y439" s="199"/>
      <c r="Z439" s="199"/>
      <c r="AA439" s="199"/>
      <c r="AB439" s="199"/>
      <c r="AC439" s="199"/>
      <c r="AD439" s="199"/>
      <c r="AL439" s="199"/>
      <c r="AM439" s="199"/>
      <c r="AN439" s="199"/>
      <c r="AO439" s="199"/>
      <c r="AP439" s="199"/>
      <c r="AQ439" s="199"/>
      <c r="AR439" s="199"/>
      <c r="AS439" s="199"/>
      <c r="AV439" s="199"/>
      <c r="AY439" s="199"/>
      <c r="AZ439" s="199"/>
      <c r="BD439" s="199"/>
      <c r="BF439" s="199"/>
    </row>
    <row r="440" spans="1:58" x14ac:dyDescent="0.2">
      <c r="A440" s="212"/>
      <c r="B440" s="212"/>
      <c r="C440" s="199"/>
      <c r="D440" s="199"/>
      <c r="E440" s="185"/>
      <c r="F440" s="199"/>
      <c r="G440" s="199"/>
      <c r="H440"/>
      <c r="I440" s="199"/>
      <c r="J440"/>
      <c r="K440"/>
      <c r="L440" s="199"/>
      <c r="M440" s="185"/>
      <c r="N440" s="199"/>
      <c r="O440" s="185"/>
      <c r="P440" s="185"/>
      <c r="Q440" s="199"/>
      <c r="R440" s="199"/>
      <c r="W440" s="199"/>
      <c r="X440" s="199"/>
      <c r="Y440" s="199"/>
      <c r="Z440" s="199"/>
      <c r="AA440" s="199"/>
      <c r="AB440" s="199"/>
      <c r="AC440" s="199"/>
      <c r="AD440" s="199"/>
      <c r="AL440" s="199"/>
      <c r="AM440" s="199"/>
      <c r="AN440" s="199"/>
      <c r="AO440" s="199"/>
      <c r="AP440" s="199"/>
      <c r="AQ440" s="199"/>
      <c r="AR440" s="199"/>
      <c r="AS440" s="199"/>
      <c r="AV440" s="199"/>
      <c r="AW440" s="199"/>
      <c r="AY440" s="199"/>
      <c r="AZ440" s="199"/>
      <c r="BD440" s="199"/>
      <c r="BF440" s="199"/>
    </row>
    <row r="441" spans="1:58" x14ac:dyDescent="0.2">
      <c r="A441" s="212"/>
      <c r="B441" s="212"/>
      <c r="C441" s="199"/>
      <c r="D441" s="199"/>
      <c r="E441" s="185"/>
      <c r="F441" s="199"/>
      <c r="G441" s="199"/>
      <c r="H441"/>
      <c r="I441" s="199"/>
      <c r="J441"/>
      <c r="K441"/>
      <c r="L441" s="199"/>
      <c r="M441" s="185"/>
      <c r="N441" s="199"/>
      <c r="O441" s="185"/>
      <c r="P441" s="185"/>
      <c r="Q441" s="199"/>
      <c r="R441" s="199"/>
      <c r="W441" s="199"/>
      <c r="X441" s="199"/>
      <c r="Y441" s="199"/>
      <c r="Z441" s="199"/>
      <c r="AA441" s="199"/>
      <c r="AB441" s="199"/>
      <c r="AC441" s="199"/>
      <c r="AD441" s="199"/>
      <c r="AL441" s="199"/>
      <c r="AM441" s="199"/>
      <c r="AN441" s="199"/>
      <c r="AO441" s="199"/>
      <c r="AP441" s="199"/>
      <c r="AQ441" s="199"/>
      <c r="AR441" s="199"/>
      <c r="AS441" s="199"/>
      <c r="AV441" s="199"/>
      <c r="AW441" s="199"/>
      <c r="AY441" s="199"/>
      <c r="AZ441" s="199"/>
      <c r="BD441" s="199"/>
      <c r="BF441" s="199"/>
    </row>
    <row r="442" spans="1:58" x14ac:dyDescent="0.2">
      <c r="A442" s="212"/>
      <c r="B442" s="212"/>
      <c r="C442" s="199"/>
      <c r="D442" s="199"/>
      <c r="E442" s="185"/>
      <c r="F442" s="199"/>
      <c r="G442" s="199"/>
      <c r="H442"/>
      <c r="I442" s="199"/>
      <c r="J442"/>
      <c r="K442"/>
      <c r="L442" s="199"/>
      <c r="M442" s="185"/>
      <c r="N442" s="199"/>
      <c r="O442" s="185"/>
      <c r="P442" s="185"/>
      <c r="Q442" s="199"/>
      <c r="R442" s="199"/>
      <c r="W442" s="199"/>
      <c r="X442" s="199"/>
      <c r="Y442" s="199"/>
      <c r="Z442" s="199"/>
      <c r="AA442" s="199"/>
      <c r="AB442" s="199"/>
      <c r="AC442" s="199"/>
      <c r="AD442" s="199"/>
      <c r="AL442" s="199"/>
      <c r="AM442" s="199"/>
      <c r="AN442" s="199"/>
      <c r="AO442" s="199"/>
      <c r="AP442" s="199"/>
      <c r="AQ442" s="199"/>
      <c r="AR442" s="199"/>
      <c r="AS442" s="199"/>
      <c r="AV442" s="199"/>
      <c r="AW442" s="199"/>
      <c r="AY442" s="199"/>
      <c r="AZ442" s="199"/>
      <c r="BD442" s="199"/>
      <c r="BF442" s="199"/>
    </row>
    <row r="443" spans="1:58" x14ac:dyDescent="0.2">
      <c r="A443" s="212"/>
      <c r="B443" s="212"/>
      <c r="C443" s="199"/>
      <c r="D443" s="199"/>
      <c r="E443" s="185"/>
      <c r="F443" s="199"/>
      <c r="G443" s="199"/>
      <c r="H443"/>
      <c r="I443" s="199"/>
      <c r="J443"/>
      <c r="K443"/>
      <c r="L443" s="199"/>
      <c r="M443" s="185"/>
      <c r="N443" s="199"/>
      <c r="O443" s="185"/>
      <c r="P443" s="185"/>
      <c r="Q443" s="199"/>
      <c r="R443" s="199"/>
      <c r="W443" s="199"/>
      <c r="X443" s="199"/>
      <c r="Y443" s="199"/>
      <c r="Z443" s="199"/>
      <c r="AA443" s="199"/>
      <c r="AB443" s="199"/>
      <c r="AC443" s="199"/>
      <c r="AD443" s="199"/>
      <c r="AL443" s="199"/>
      <c r="AM443" s="199"/>
      <c r="AN443" s="199"/>
      <c r="AO443" s="199"/>
      <c r="AP443" s="199"/>
      <c r="AQ443" s="199"/>
      <c r="AR443" s="199"/>
      <c r="AS443" s="199"/>
      <c r="AV443" s="199"/>
      <c r="AW443" s="199"/>
      <c r="AY443" s="199"/>
      <c r="AZ443" s="199"/>
      <c r="BD443" s="199"/>
      <c r="BF443" s="199"/>
    </row>
    <row r="444" spans="1:58" x14ac:dyDescent="0.2">
      <c r="A444" s="212"/>
      <c r="B444" s="212"/>
      <c r="C444" s="199"/>
      <c r="D444" s="199"/>
      <c r="E444" s="185"/>
      <c r="F444" s="199"/>
      <c r="G444" s="199"/>
      <c r="H444"/>
      <c r="I444" s="199"/>
      <c r="J444"/>
      <c r="K444"/>
      <c r="L444" s="199"/>
      <c r="M444" s="185"/>
      <c r="N444" s="199"/>
      <c r="O444" s="185"/>
      <c r="P444" s="185"/>
      <c r="Q444" s="199"/>
      <c r="R444" s="199"/>
      <c r="W444" s="199"/>
      <c r="X444" s="199"/>
      <c r="Y444" s="199"/>
      <c r="Z444" s="199"/>
      <c r="AA444" s="199"/>
      <c r="AB444" s="199"/>
      <c r="AC444" s="199"/>
      <c r="AD444" s="199"/>
      <c r="AL444" s="199"/>
      <c r="AM444" s="199"/>
      <c r="AN444" s="199"/>
      <c r="AO444" s="199"/>
      <c r="AP444" s="199"/>
      <c r="AQ444" s="199"/>
      <c r="AR444" s="199"/>
      <c r="AS444" s="199"/>
      <c r="AV444" s="199"/>
      <c r="AW444" s="199"/>
      <c r="AY444" s="199"/>
      <c r="AZ444" s="199"/>
      <c r="BD444" s="199"/>
      <c r="BF444" s="199"/>
    </row>
    <row r="445" spans="1:58" x14ac:dyDescent="0.2">
      <c r="A445" s="212"/>
      <c r="B445" s="212"/>
      <c r="C445" s="199"/>
      <c r="D445" s="199"/>
      <c r="E445" s="185"/>
      <c r="F445" s="199"/>
      <c r="G445" s="199"/>
      <c r="H445"/>
      <c r="I445" s="199"/>
      <c r="J445"/>
      <c r="K445"/>
      <c r="L445" s="199"/>
      <c r="M445" s="185"/>
      <c r="N445" s="199"/>
      <c r="O445" s="185"/>
      <c r="P445" s="185"/>
      <c r="Q445" s="199"/>
      <c r="R445" s="199"/>
      <c r="W445" s="199"/>
      <c r="X445" s="199"/>
      <c r="Y445" s="199"/>
      <c r="Z445" s="199"/>
      <c r="AA445" s="199"/>
      <c r="AB445" s="199"/>
      <c r="AC445" s="199"/>
      <c r="AD445" s="199"/>
      <c r="AL445" s="199"/>
      <c r="AM445" s="199"/>
      <c r="AN445" s="199"/>
      <c r="AO445" s="199"/>
      <c r="AP445" s="199"/>
      <c r="AQ445" s="199"/>
      <c r="AR445" s="199"/>
      <c r="AS445" s="199"/>
      <c r="AV445" s="199"/>
      <c r="AW445" s="199"/>
      <c r="AY445" s="199"/>
      <c r="AZ445" s="199"/>
      <c r="BD445" s="199"/>
      <c r="BF445" s="199"/>
    </row>
    <row r="446" spans="1:58" x14ac:dyDescent="0.2">
      <c r="A446" s="212"/>
      <c r="B446" s="212"/>
      <c r="C446" s="199"/>
      <c r="D446" s="199"/>
      <c r="E446" s="185"/>
      <c r="F446" s="199"/>
      <c r="G446" s="199"/>
      <c r="H446"/>
      <c r="I446" s="199"/>
      <c r="J446"/>
      <c r="K446"/>
      <c r="L446" s="199"/>
      <c r="M446" s="185"/>
      <c r="N446" s="199"/>
      <c r="O446" s="185"/>
      <c r="P446" s="185"/>
      <c r="Q446" s="199"/>
      <c r="R446" s="199"/>
      <c r="W446" s="199"/>
      <c r="X446" s="199"/>
      <c r="Y446" s="199"/>
      <c r="Z446" s="199"/>
      <c r="AA446" s="199"/>
      <c r="AB446" s="199"/>
      <c r="AC446" s="199"/>
      <c r="AD446" s="199"/>
      <c r="AL446" s="199"/>
      <c r="AM446" s="199"/>
      <c r="AN446" s="199"/>
      <c r="AO446" s="199"/>
      <c r="AP446" s="199"/>
      <c r="AQ446" s="199"/>
      <c r="AR446" s="199"/>
      <c r="AS446" s="199"/>
      <c r="AV446" s="199"/>
      <c r="AW446" s="199"/>
      <c r="AY446" s="199"/>
      <c r="AZ446" s="199"/>
      <c r="BD446" s="199"/>
      <c r="BF446" s="199"/>
    </row>
    <row r="447" spans="1:58" x14ac:dyDescent="0.2">
      <c r="A447" s="212"/>
      <c r="B447" s="212"/>
      <c r="C447" s="199"/>
      <c r="D447" s="199"/>
      <c r="E447" s="185"/>
      <c r="F447" s="199"/>
      <c r="G447" s="199"/>
      <c r="H447"/>
      <c r="I447" s="199"/>
      <c r="J447"/>
      <c r="K447"/>
      <c r="L447" s="199"/>
      <c r="M447" s="185"/>
      <c r="N447" s="199"/>
      <c r="O447" s="185"/>
      <c r="P447" s="185"/>
      <c r="Q447" s="199"/>
      <c r="R447" s="199"/>
      <c r="W447" s="199"/>
      <c r="X447" s="199"/>
      <c r="Y447" s="199"/>
      <c r="Z447" s="199"/>
      <c r="AA447" s="199"/>
      <c r="AB447" s="199"/>
      <c r="AC447" s="199"/>
      <c r="AD447" s="199"/>
      <c r="AL447" s="199"/>
      <c r="AM447" s="199"/>
      <c r="AN447" s="199"/>
      <c r="AO447" s="199"/>
      <c r="AP447" s="199"/>
      <c r="AQ447" s="199"/>
      <c r="AR447" s="199"/>
      <c r="AS447" s="199"/>
      <c r="AV447" s="199"/>
      <c r="AW447" s="199"/>
      <c r="AY447" s="199"/>
      <c r="AZ447" s="199"/>
      <c r="BD447" s="199"/>
      <c r="BF447" s="199"/>
    </row>
    <row r="448" spans="1:58" x14ac:dyDescent="0.2">
      <c r="A448" s="212"/>
      <c r="B448" s="212"/>
      <c r="C448" s="199"/>
      <c r="D448" s="199"/>
      <c r="E448" s="185"/>
      <c r="F448" s="199"/>
      <c r="G448" s="199"/>
      <c r="H448"/>
      <c r="I448" s="199"/>
      <c r="J448"/>
      <c r="K448"/>
      <c r="L448" s="199"/>
      <c r="M448" s="185"/>
      <c r="N448" s="199"/>
      <c r="O448" s="185"/>
      <c r="P448" s="185"/>
      <c r="Q448" s="199"/>
      <c r="R448" s="199"/>
      <c r="W448" s="199"/>
      <c r="X448" s="199"/>
      <c r="Y448" s="199"/>
      <c r="Z448" s="199"/>
      <c r="AA448" s="199"/>
      <c r="AB448" s="199"/>
      <c r="AC448" s="199"/>
      <c r="AD448" s="199"/>
      <c r="AL448" s="199"/>
      <c r="AM448" s="199"/>
      <c r="AN448" s="199"/>
      <c r="AO448" s="199"/>
      <c r="AP448" s="199"/>
      <c r="AQ448" s="199"/>
      <c r="AR448" s="199"/>
      <c r="AS448" s="199"/>
      <c r="AV448" s="199"/>
      <c r="AW448" s="199"/>
      <c r="AY448" s="199"/>
      <c r="AZ448" s="199"/>
      <c r="BD448" s="199"/>
      <c r="BF448" s="199"/>
    </row>
    <row r="449" spans="1:100" x14ac:dyDescent="0.2">
      <c r="A449" s="212"/>
      <c r="B449" s="212"/>
      <c r="C449" s="199"/>
      <c r="D449" s="199"/>
      <c r="E449" s="185"/>
      <c r="F449" s="199"/>
      <c r="G449" s="199"/>
      <c r="H449"/>
      <c r="I449" s="199"/>
      <c r="J449"/>
      <c r="K449"/>
      <c r="L449" s="199"/>
      <c r="M449" s="185"/>
      <c r="N449" s="199"/>
      <c r="O449" s="185"/>
      <c r="P449" s="185"/>
      <c r="Q449" s="199"/>
      <c r="R449" s="199"/>
      <c r="W449" s="199"/>
      <c r="X449" s="199"/>
      <c r="Y449" s="199"/>
      <c r="Z449" s="199"/>
      <c r="AA449" s="199"/>
      <c r="AB449" s="199"/>
      <c r="AC449" s="199"/>
      <c r="AD449" s="199"/>
      <c r="AL449" s="199"/>
      <c r="AM449" s="199"/>
      <c r="AN449" s="199"/>
      <c r="AO449" s="199"/>
      <c r="AP449" s="199"/>
      <c r="AQ449" s="199"/>
      <c r="AR449" s="199"/>
      <c r="AS449" s="199"/>
      <c r="AV449" s="199"/>
      <c r="AW449" s="199"/>
      <c r="AY449" s="199"/>
      <c r="AZ449" s="199"/>
      <c r="BD449" s="199"/>
      <c r="BF449" s="199"/>
    </row>
    <row r="450" spans="1:100" x14ac:dyDescent="0.2">
      <c r="A450" s="212"/>
      <c r="B450" s="212"/>
      <c r="C450" s="199"/>
      <c r="D450" s="199"/>
      <c r="E450" s="185"/>
      <c r="F450" s="199"/>
      <c r="G450"/>
      <c r="H450"/>
      <c r="I450" s="199"/>
      <c r="J450"/>
      <c r="K450"/>
      <c r="L450" s="199"/>
      <c r="M450" s="185"/>
      <c r="N450" s="199"/>
      <c r="O450" s="185"/>
      <c r="P450" s="185"/>
      <c r="Q450" s="199"/>
      <c r="R450" s="199"/>
      <c r="W450" s="199"/>
      <c r="X450" s="199"/>
      <c r="Y450" s="199"/>
      <c r="Z450" s="199"/>
      <c r="AA450" s="199"/>
      <c r="AB450" s="199"/>
      <c r="AC450" s="199"/>
      <c r="AD450" s="199"/>
      <c r="AL450" s="199"/>
      <c r="AM450" s="199"/>
      <c r="AN450" s="199"/>
      <c r="AO450" s="199"/>
      <c r="AP450" s="199"/>
      <c r="AQ450" s="199"/>
      <c r="AR450" s="199"/>
      <c r="AS450" s="199"/>
      <c r="AV450" s="199"/>
      <c r="AY450" s="199"/>
      <c r="AZ450" s="199"/>
      <c r="BD450" s="199"/>
      <c r="BF450" s="199"/>
    </row>
    <row r="451" spans="1:100" x14ac:dyDescent="0.2">
      <c r="A451" s="212"/>
      <c r="B451" s="212"/>
      <c r="C451" s="199"/>
      <c r="D451" s="199"/>
      <c r="E451" s="185"/>
      <c r="F451" s="199"/>
      <c r="G451" s="199"/>
      <c r="H451" s="199"/>
      <c r="I451" s="199"/>
      <c r="J451"/>
      <c r="K451"/>
      <c r="L451" s="199"/>
      <c r="M451" s="185"/>
      <c r="N451" s="199"/>
      <c r="O451" s="185"/>
      <c r="P451" s="185"/>
      <c r="Q451" s="199"/>
      <c r="R451" s="199"/>
      <c r="W451" s="199"/>
      <c r="X451" s="199"/>
      <c r="Y451" s="199"/>
      <c r="Z451" s="199"/>
      <c r="AA451" s="199"/>
      <c r="AB451" s="199"/>
      <c r="AC451" s="199"/>
      <c r="AD451" s="199"/>
      <c r="AL451" s="199"/>
      <c r="AM451" s="199"/>
      <c r="AN451" s="199"/>
      <c r="AO451" s="199"/>
      <c r="AP451" s="199"/>
      <c r="AQ451" s="199"/>
      <c r="AR451" s="199"/>
      <c r="AS451" s="199"/>
      <c r="AV451" s="199"/>
      <c r="AW451" s="199"/>
      <c r="AX451" s="199"/>
      <c r="AY451" s="199"/>
      <c r="AZ451" s="199"/>
      <c r="BD451" s="199"/>
      <c r="BF451" s="199"/>
    </row>
    <row r="452" spans="1:100" x14ac:dyDescent="0.2">
      <c r="A452" s="212"/>
      <c r="B452" s="212"/>
      <c r="C452" s="199"/>
      <c r="D452" s="199"/>
      <c r="E452" s="185"/>
      <c r="F452" s="199"/>
      <c r="G452" s="199"/>
      <c r="H452"/>
      <c r="I452" s="199"/>
      <c r="J452"/>
      <c r="K452"/>
      <c r="L452" s="199"/>
      <c r="M452" s="185"/>
      <c r="N452" s="199"/>
      <c r="O452" s="185"/>
      <c r="P452" s="185"/>
      <c r="Q452" s="199"/>
      <c r="R452" s="199"/>
      <c r="W452" s="199"/>
      <c r="X452" s="199"/>
      <c r="Y452" s="199"/>
      <c r="Z452" s="199"/>
      <c r="AA452" s="199"/>
      <c r="AB452" s="199"/>
      <c r="AC452" s="199"/>
      <c r="AD452" s="199"/>
      <c r="AL452" s="199"/>
      <c r="AM452" s="199"/>
      <c r="AN452" s="199"/>
      <c r="AO452" s="199"/>
      <c r="AP452" s="199"/>
      <c r="AQ452" s="199"/>
      <c r="AR452" s="199"/>
      <c r="AS452" s="199"/>
      <c r="AV452" s="199"/>
      <c r="AW452" s="199"/>
      <c r="AY452" s="199"/>
      <c r="AZ452" s="199"/>
      <c r="BD452" s="199"/>
      <c r="BF452" s="199"/>
    </row>
    <row r="453" spans="1:100" x14ac:dyDescent="0.2">
      <c r="A453" s="212"/>
      <c r="B453" s="212"/>
      <c r="C453" s="199"/>
      <c r="D453" s="199"/>
      <c r="E453" s="185"/>
      <c r="F453" s="199"/>
      <c r="G453" s="199"/>
      <c r="H453"/>
      <c r="I453" s="199"/>
      <c r="J453"/>
      <c r="K453"/>
      <c r="L453" s="199"/>
      <c r="M453" s="185"/>
      <c r="N453" s="199"/>
      <c r="O453" s="185"/>
      <c r="P453" s="185"/>
      <c r="Q453" s="199"/>
      <c r="R453" s="199"/>
      <c r="W453" s="199"/>
      <c r="X453" s="199"/>
      <c r="Y453" s="199"/>
      <c r="Z453" s="199"/>
      <c r="AA453" s="199"/>
      <c r="AB453" s="199"/>
      <c r="AC453" s="199"/>
      <c r="AD453" s="199"/>
      <c r="AL453" s="199"/>
      <c r="AM453" s="199"/>
      <c r="AN453" s="199"/>
      <c r="AO453" s="199"/>
      <c r="AP453" s="199"/>
      <c r="AQ453" s="199"/>
      <c r="AR453" s="199"/>
      <c r="AS453" s="199"/>
      <c r="AV453" s="199"/>
      <c r="AW453" s="199"/>
      <c r="AY453" s="199"/>
      <c r="AZ453" s="199"/>
      <c r="BD453" s="199"/>
      <c r="BF453" s="199"/>
    </row>
    <row r="454" spans="1:100" x14ac:dyDescent="0.2">
      <c r="A454" s="212"/>
      <c r="B454" s="212"/>
      <c r="C454" s="199"/>
      <c r="D454" s="199"/>
      <c r="E454" s="185"/>
      <c r="F454" s="199"/>
      <c r="G454" s="199"/>
      <c r="H454"/>
      <c r="I454" s="199"/>
      <c r="J454"/>
      <c r="K454"/>
      <c r="L454" s="199"/>
      <c r="M454" s="185"/>
      <c r="N454" s="199"/>
      <c r="O454" s="185"/>
      <c r="P454" s="185"/>
      <c r="Q454" s="199"/>
      <c r="R454" s="199"/>
      <c r="W454" s="199"/>
      <c r="X454" s="199"/>
      <c r="Y454" s="199"/>
      <c r="Z454" s="199"/>
      <c r="AA454" s="199"/>
      <c r="AB454" s="199"/>
      <c r="AC454" s="199"/>
      <c r="AD454" s="199"/>
      <c r="AL454" s="199"/>
      <c r="AM454" s="199"/>
      <c r="AN454" s="199"/>
      <c r="AO454" s="199"/>
      <c r="AP454" s="199"/>
      <c r="AQ454" s="199"/>
      <c r="AR454" s="199"/>
      <c r="AS454" s="199"/>
      <c r="AV454" s="199"/>
      <c r="AW454" s="199"/>
      <c r="AY454" s="199"/>
      <c r="AZ454" s="199"/>
      <c r="BD454" s="199"/>
      <c r="BF454" s="199"/>
    </row>
    <row r="455" spans="1:100" x14ac:dyDescent="0.2">
      <c r="A455" s="212"/>
      <c r="B455" s="212"/>
      <c r="C455" s="199"/>
      <c r="D455" s="199"/>
      <c r="E455" s="185"/>
      <c r="F455" s="199"/>
      <c r="G455" s="199"/>
      <c r="H455" s="199"/>
      <c r="I455" s="199"/>
      <c r="J455" s="199"/>
      <c r="K455" s="199"/>
      <c r="L455" s="199"/>
      <c r="M455" s="185"/>
      <c r="N455" s="199"/>
      <c r="O455" s="185"/>
      <c r="P455" s="185"/>
      <c r="Q455" s="199"/>
      <c r="R455" s="199"/>
      <c r="W455" s="199"/>
      <c r="X455" s="199"/>
      <c r="Y455" s="199"/>
      <c r="Z455" s="199"/>
      <c r="AA455" s="199"/>
      <c r="AB455" s="199"/>
      <c r="AC455" s="199"/>
      <c r="AD455" s="199"/>
      <c r="AL455" s="199"/>
      <c r="AM455" s="199"/>
      <c r="AN455" s="199"/>
      <c r="AO455" s="199"/>
      <c r="AP455" s="199"/>
      <c r="AQ455" s="199"/>
      <c r="AR455" s="199"/>
      <c r="AS455" s="199"/>
      <c r="AV455" s="199"/>
      <c r="AW455" s="199"/>
      <c r="AX455" s="199"/>
      <c r="AY455" s="199"/>
      <c r="AZ455" s="199"/>
      <c r="BA455" s="199"/>
      <c r="BB455" s="199"/>
      <c r="BD455" s="199"/>
      <c r="BF455" s="199"/>
      <c r="BG455" s="194"/>
      <c r="BJ455" s="194"/>
      <c r="BK455" s="194"/>
      <c r="BL455" s="194"/>
      <c r="BM455" s="194"/>
      <c r="BN455" s="194"/>
      <c r="BO455" s="194"/>
      <c r="BP455" s="194"/>
      <c r="BQ455" s="194"/>
      <c r="BR455" s="194"/>
      <c r="BS455" s="194"/>
      <c r="BT455" s="194"/>
      <c r="BU455" s="194"/>
      <c r="BV455" s="194"/>
      <c r="BW455" s="194"/>
      <c r="BX455" s="194"/>
      <c r="BY455" s="194"/>
      <c r="BZ455" s="194"/>
      <c r="CA455" s="194"/>
      <c r="CB455" s="194"/>
      <c r="CC455" s="194"/>
      <c r="CD455" s="194"/>
      <c r="CE455" s="194"/>
      <c r="CF455" s="194"/>
      <c r="CG455" s="194"/>
      <c r="CH455" s="194"/>
      <c r="CI455" s="194"/>
      <c r="CJ455" s="194"/>
      <c r="CK455" s="194"/>
      <c r="CL455" s="194"/>
      <c r="CM455" s="194"/>
      <c r="CN455" s="194"/>
      <c r="CO455" s="194"/>
      <c r="CP455" s="194"/>
      <c r="CQ455" s="194"/>
      <c r="CR455" s="194"/>
      <c r="CS455" s="194"/>
      <c r="CT455" s="194"/>
      <c r="CU455" s="194"/>
      <c r="CV455" s="194"/>
    </row>
    <row r="456" spans="1:100" x14ac:dyDescent="0.2">
      <c r="A456" s="212"/>
      <c r="B456" s="212"/>
      <c r="C456" s="199"/>
      <c r="D456" s="199"/>
      <c r="E456" s="185"/>
      <c r="F456" s="199"/>
      <c r="G456" s="199"/>
      <c r="H456"/>
      <c r="I456" s="199"/>
      <c r="J456"/>
      <c r="K456"/>
      <c r="L456" s="199"/>
      <c r="M456" s="185"/>
      <c r="N456" s="199"/>
      <c r="O456" s="185"/>
      <c r="P456" s="185"/>
      <c r="Q456" s="199"/>
      <c r="R456" s="199"/>
      <c r="W456" s="199"/>
      <c r="X456" s="199"/>
      <c r="Y456" s="199"/>
      <c r="Z456" s="199"/>
      <c r="AA456" s="199"/>
      <c r="AB456" s="199"/>
      <c r="AC456" s="199"/>
      <c r="AD456" s="199"/>
      <c r="AL456" s="199"/>
      <c r="AM456" s="199"/>
      <c r="AN456" s="199"/>
      <c r="AO456" s="199"/>
      <c r="AP456" s="199"/>
      <c r="AQ456" s="199"/>
      <c r="AR456" s="199"/>
      <c r="AS456" s="199"/>
      <c r="AV456" s="199"/>
      <c r="AW456" s="199"/>
      <c r="AY456" s="199"/>
      <c r="AZ456" s="199"/>
      <c r="BD456" s="199"/>
      <c r="BF456" s="199"/>
    </row>
    <row r="457" spans="1:100" x14ac:dyDescent="0.2">
      <c r="A457" s="212"/>
      <c r="B457" s="212"/>
      <c r="C457" s="199"/>
      <c r="D457" s="199"/>
      <c r="E457" s="185"/>
      <c r="F457" s="199"/>
      <c r="G457" s="199"/>
      <c r="H457"/>
      <c r="I457" s="199"/>
      <c r="J457"/>
      <c r="K457"/>
      <c r="L457" s="199"/>
      <c r="M457" s="185"/>
      <c r="N457" s="199"/>
      <c r="O457" s="185"/>
      <c r="P457" s="185"/>
      <c r="Q457" s="199"/>
      <c r="R457" s="199"/>
      <c r="W457" s="199"/>
      <c r="X457" s="199"/>
      <c r="Y457" s="199"/>
      <c r="Z457" s="199"/>
      <c r="AA457" s="199"/>
      <c r="AB457" s="199"/>
      <c r="AC457" s="199"/>
      <c r="AD457" s="199"/>
      <c r="AL457" s="199"/>
      <c r="AM457" s="199"/>
      <c r="AN457" s="199"/>
      <c r="AO457" s="199"/>
      <c r="AP457" s="199"/>
      <c r="AQ457" s="199"/>
      <c r="AR457" s="199"/>
      <c r="AS457" s="199"/>
      <c r="AV457" s="199"/>
      <c r="AW457" s="199"/>
      <c r="AY457" s="199"/>
      <c r="AZ457" s="199"/>
      <c r="BD457" s="199"/>
      <c r="BF457" s="199"/>
    </row>
    <row r="458" spans="1:100" x14ac:dyDescent="0.2">
      <c r="A458" s="212"/>
      <c r="B458" s="212"/>
      <c r="C458" s="199"/>
      <c r="D458" s="199"/>
      <c r="E458" s="185"/>
      <c r="F458" s="199"/>
      <c r="G458" s="199"/>
      <c r="H458"/>
      <c r="I458" s="199"/>
      <c r="J458"/>
      <c r="K458"/>
      <c r="L458" s="199"/>
      <c r="M458" s="185"/>
      <c r="N458" s="199"/>
      <c r="O458" s="185"/>
      <c r="P458" s="185"/>
      <c r="Q458" s="199"/>
      <c r="R458" s="199"/>
      <c r="W458" s="199"/>
      <c r="X458" s="199"/>
      <c r="Y458" s="199"/>
      <c r="Z458" s="199"/>
      <c r="AA458" s="199"/>
      <c r="AB458" s="199"/>
      <c r="AC458" s="199"/>
      <c r="AD458" s="199"/>
      <c r="AL458" s="199"/>
      <c r="AM458" s="199"/>
      <c r="AN458" s="199"/>
      <c r="AO458" s="199"/>
      <c r="AP458" s="199"/>
      <c r="AQ458" s="199"/>
      <c r="AR458" s="199"/>
      <c r="AS458" s="199"/>
      <c r="AV458" s="199"/>
      <c r="AW458" s="199"/>
      <c r="AY458" s="199"/>
      <c r="AZ458" s="199"/>
      <c r="BD458" s="199"/>
      <c r="BF458" s="199"/>
    </row>
    <row r="459" spans="1:100" x14ac:dyDescent="0.2">
      <c r="A459" s="212"/>
      <c r="B459" s="212"/>
      <c r="C459" s="199"/>
      <c r="D459" s="199"/>
      <c r="E459" s="185"/>
      <c r="F459" s="199"/>
      <c r="G459" s="199"/>
      <c r="H459"/>
      <c r="I459" s="199"/>
      <c r="J459"/>
      <c r="K459"/>
      <c r="L459" s="199"/>
      <c r="M459" s="185"/>
      <c r="N459" s="199"/>
      <c r="O459" s="185"/>
      <c r="P459" s="185"/>
      <c r="Q459" s="199"/>
      <c r="R459" s="199"/>
      <c r="W459" s="199"/>
      <c r="X459" s="199"/>
      <c r="Y459" s="199"/>
      <c r="Z459" s="199"/>
      <c r="AA459" s="199"/>
      <c r="AB459" s="199"/>
      <c r="AC459" s="199"/>
      <c r="AD459" s="199"/>
      <c r="AL459" s="199"/>
      <c r="AM459" s="199"/>
      <c r="AN459" s="199"/>
      <c r="AO459" s="199"/>
      <c r="AP459" s="199"/>
      <c r="AQ459" s="199"/>
      <c r="AR459" s="199"/>
      <c r="AS459" s="199"/>
      <c r="AV459" s="199"/>
      <c r="AW459" s="199"/>
      <c r="AY459" s="199"/>
      <c r="AZ459" s="199"/>
      <c r="BD459" s="199"/>
      <c r="BF459" s="199"/>
    </row>
    <row r="460" spans="1:100" x14ac:dyDescent="0.2">
      <c r="A460" s="212"/>
      <c r="B460" s="212"/>
      <c r="C460" s="199"/>
      <c r="D460" s="199"/>
      <c r="E460" s="185"/>
      <c r="F460" s="199"/>
      <c r="G460" s="199"/>
      <c r="H460"/>
      <c r="I460" s="199"/>
      <c r="J460"/>
      <c r="K460"/>
      <c r="L460" s="199"/>
      <c r="M460" s="185"/>
      <c r="N460" s="199"/>
      <c r="O460" s="185"/>
      <c r="P460" s="185"/>
      <c r="Q460" s="199"/>
      <c r="R460" s="199"/>
      <c r="W460" s="199"/>
      <c r="X460" s="199"/>
      <c r="Y460" s="199"/>
      <c r="Z460" s="199"/>
      <c r="AA460" s="199"/>
      <c r="AB460" s="199"/>
      <c r="AC460" s="199"/>
      <c r="AD460" s="199"/>
      <c r="AL460" s="199"/>
      <c r="AM460" s="199"/>
      <c r="AN460" s="199"/>
      <c r="AO460" s="199"/>
      <c r="AP460" s="199"/>
      <c r="AQ460" s="199"/>
      <c r="AR460" s="199"/>
      <c r="AS460" s="199"/>
      <c r="AV460" s="199"/>
      <c r="AW460" s="199"/>
      <c r="AY460" s="199"/>
      <c r="AZ460" s="199"/>
      <c r="BD460" s="199"/>
      <c r="BF460" s="199"/>
    </row>
    <row r="461" spans="1:100" x14ac:dyDescent="0.2">
      <c r="A461" s="212"/>
      <c r="B461" s="212"/>
      <c r="C461" s="199"/>
      <c r="D461" s="199"/>
      <c r="E461" s="185"/>
      <c r="F461" s="199"/>
      <c r="G461"/>
      <c r="H461"/>
      <c r="I461" s="199"/>
      <c r="J461"/>
      <c r="K461"/>
      <c r="L461" s="199"/>
      <c r="M461" s="185"/>
      <c r="N461" s="199"/>
      <c r="O461" s="185"/>
      <c r="P461" s="185"/>
      <c r="Q461" s="199"/>
      <c r="R461" s="199"/>
      <c r="W461" s="199"/>
      <c r="X461" s="199"/>
      <c r="Y461" s="199"/>
      <c r="Z461" s="199"/>
      <c r="AA461" s="199"/>
      <c r="AB461" s="199"/>
      <c r="AC461" s="199"/>
      <c r="AD461" s="199"/>
      <c r="AL461" s="199"/>
      <c r="AM461" s="199"/>
      <c r="AN461" s="199"/>
      <c r="AO461" s="199"/>
      <c r="AP461" s="199"/>
      <c r="AQ461" s="199"/>
      <c r="AR461" s="199"/>
      <c r="AS461" s="199"/>
      <c r="AV461" s="199"/>
      <c r="AY461" s="199"/>
      <c r="AZ461" s="199"/>
      <c r="BD461" s="199"/>
      <c r="BF461" s="199"/>
    </row>
    <row r="462" spans="1:100" x14ac:dyDescent="0.2">
      <c r="A462" s="212"/>
      <c r="B462" s="212"/>
      <c r="C462" s="199"/>
      <c r="D462" s="199"/>
      <c r="E462" s="185"/>
      <c r="F462" s="199"/>
      <c r="G462" s="199"/>
      <c r="H462"/>
      <c r="I462" s="199"/>
      <c r="J462"/>
      <c r="K462"/>
      <c r="L462" s="199"/>
      <c r="M462" s="185"/>
      <c r="N462" s="199"/>
      <c r="O462" s="185"/>
      <c r="P462" s="185"/>
      <c r="Q462" s="199"/>
      <c r="R462" s="199"/>
      <c r="W462" s="199"/>
      <c r="X462" s="199"/>
      <c r="Y462" s="199"/>
      <c r="Z462" s="199"/>
      <c r="AA462" s="199"/>
      <c r="AB462" s="199"/>
      <c r="AC462" s="199"/>
      <c r="AD462" s="199"/>
      <c r="AL462" s="199"/>
      <c r="AM462" s="199"/>
      <c r="AN462" s="199"/>
      <c r="AO462" s="199"/>
      <c r="AP462" s="199"/>
      <c r="AQ462" s="199"/>
      <c r="AR462" s="199"/>
      <c r="AS462" s="199"/>
      <c r="AV462" s="199"/>
      <c r="AW462" s="199"/>
      <c r="AY462" s="199"/>
      <c r="AZ462" s="199"/>
      <c r="BD462" s="199"/>
      <c r="BF462" s="199"/>
    </row>
    <row r="463" spans="1:100" x14ac:dyDescent="0.2">
      <c r="A463" s="212"/>
      <c r="B463" s="212"/>
      <c r="C463" s="199"/>
      <c r="D463" s="199"/>
      <c r="E463" s="185"/>
      <c r="F463" s="199"/>
      <c r="G463"/>
      <c r="H463"/>
      <c r="I463" s="199"/>
      <c r="J463"/>
      <c r="K463"/>
      <c r="L463" s="199"/>
      <c r="M463" s="185"/>
      <c r="N463" s="199"/>
      <c r="O463" s="185"/>
      <c r="P463" s="185"/>
      <c r="Q463" s="199"/>
      <c r="R463" s="199"/>
      <c r="W463" s="199"/>
      <c r="X463" s="199"/>
      <c r="Y463" s="199"/>
      <c r="Z463" s="199"/>
      <c r="AA463" s="199"/>
      <c r="AB463" s="199"/>
      <c r="AC463" s="199"/>
      <c r="AD463" s="199"/>
      <c r="AL463" s="199"/>
      <c r="AM463" s="199"/>
      <c r="AN463" s="199"/>
      <c r="AO463" s="199"/>
      <c r="AP463" s="199"/>
      <c r="AQ463" s="199"/>
      <c r="AR463" s="199"/>
      <c r="AS463" s="199"/>
      <c r="AV463" s="199"/>
      <c r="AY463" s="199"/>
      <c r="AZ463" s="199"/>
      <c r="BD463" s="199"/>
      <c r="BF463" s="199"/>
    </row>
    <row r="464" spans="1:100" x14ac:dyDescent="0.2">
      <c r="A464" s="212"/>
      <c r="B464" s="212"/>
      <c r="C464" s="199"/>
      <c r="D464" s="199"/>
      <c r="E464" s="185"/>
      <c r="F464" s="199"/>
      <c r="G464" s="199"/>
      <c r="H464"/>
      <c r="I464" s="199"/>
      <c r="J464"/>
      <c r="K464"/>
      <c r="L464" s="199"/>
      <c r="M464" s="185"/>
      <c r="N464" s="199"/>
      <c r="O464" s="185"/>
      <c r="P464" s="185"/>
      <c r="Q464" s="199"/>
      <c r="R464" s="199"/>
      <c r="W464" s="199"/>
      <c r="X464" s="199"/>
      <c r="Y464" s="199"/>
      <c r="Z464" s="199"/>
      <c r="AA464" s="199"/>
      <c r="AB464" s="199"/>
      <c r="AC464" s="199"/>
      <c r="AD464" s="199"/>
      <c r="AL464" s="199"/>
      <c r="AM464" s="199"/>
      <c r="AN464" s="199"/>
      <c r="AO464" s="199"/>
      <c r="AP464" s="199"/>
      <c r="AQ464" s="199"/>
      <c r="AR464" s="199"/>
      <c r="AS464" s="199"/>
      <c r="AV464" s="199"/>
      <c r="AW464" s="199"/>
      <c r="AY464" s="199"/>
      <c r="AZ464" s="199"/>
      <c r="BD464" s="199"/>
      <c r="BF464" s="199"/>
    </row>
    <row r="465" spans="1:100" x14ac:dyDescent="0.2">
      <c r="A465" s="212"/>
      <c r="B465" s="212"/>
      <c r="C465" s="199"/>
      <c r="D465" s="199"/>
      <c r="E465" s="185"/>
      <c r="F465" s="199"/>
      <c r="G465" s="199"/>
      <c r="H465"/>
      <c r="I465" s="199"/>
      <c r="J465"/>
      <c r="K465"/>
      <c r="L465" s="199"/>
      <c r="M465" s="185"/>
      <c r="N465" s="199"/>
      <c r="O465" s="185"/>
      <c r="P465" s="185"/>
      <c r="Q465" s="199"/>
      <c r="R465" s="199"/>
      <c r="W465" s="199"/>
      <c r="X465" s="199"/>
      <c r="Y465" s="199"/>
      <c r="Z465" s="199"/>
      <c r="AA465" s="199"/>
      <c r="AB465" s="199"/>
      <c r="AC465" s="199"/>
      <c r="AD465" s="199"/>
      <c r="AL465" s="199"/>
      <c r="AM465" s="199"/>
      <c r="AN465" s="199"/>
      <c r="AO465" s="199"/>
      <c r="AP465" s="199"/>
      <c r="AQ465" s="199"/>
      <c r="AR465" s="199"/>
      <c r="AS465" s="199"/>
      <c r="AV465" s="199"/>
      <c r="AW465" s="199"/>
      <c r="AY465" s="199"/>
      <c r="AZ465" s="199"/>
      <c r="BD465" s="199"/>
      <c r="BF465" s="199"/>
    </row>
    <row r="466" spans="1:100" x14ac:dyDescent="0.2">
      <c r="A466" s="212"/>
      <c r="B466" s="212"/>
      <c r="C466" s="199"/>
      <c r="D466" s="199"/>
      <c r="E466" s="185"/>
      <c r="F466" s="199"/>
      <c r="G466" s="199"/>
      <c r="H466"/>
      <c r="I466" s="199"/>
      <c r="J466"/>
      <c r="K466"/>
      <c r="L466" s="199"/>
      <c r="M466" s="185"/>
      <c r="N466" s="199"/>
      <c r="O466" s="185"/>
      <c r="P466" s="185"/>
      <c r="Q466" s="199"/>
      <c r="R466" s="199"/>
      <c r="W466" s="199"/>
      <c r="X466" s="199"/>
      <c r="Y466" s="199"/>
      <c r="Z466" s="199"/>
      <c r="AA466" s="199"/>
      <c r="AB466" s="199"/>
      <c r="AC466" s="199"/>
      <c r="AD466" s="199"/>
      <c r="AL466" s="199"/>
      <c r="AM466" s="199"/>
      <c r="AN466" s="199"/>
      <c r="AO466" s="199"/>
      <c r="AP466" s="199"/>
      <c r="AQ466" s="199"/>
      <c r="AR466" s="199"/>
      <c r="AS466" s="199"/>
      <c r="AV466" s="199"/>
      <c r="AW466" s="199"/>
      <c r="AY466" s="199"/>
      <c r="AZ466" s="199"/>
      <c r="BD466" s="199"/>
      <c r="BF466" s="199"/>
    </row>
    <row r="467" spans="1:100" x14ac:dyDescent="0.2">
      <c r="A467" s="212"/>
      <c r="B467" s="212"/>
      <c r="C467" s="199"/>
      <c r="D467" s="199"/>
      <c r="E467" s="185"/>
      <c r="F467" s="199"/>
      <c r="G467" s="199"/>
      <c r="H467" s="199"/>
      <c r="I467" s="199"/>
      <c r="J467"/>
      <c r="K467"/>
      <c r="L467" s="199"/>
      <c r="M467" s="185"/>
      <c r="N467" s="199"/>
      <c r="O467" s="185"/>
      <c r="P467" s="185"/>
      <c r="Q467" s="199"/>
      <c r="R467" s="199"/>
      <c r="W467" s="199"/>
      <c r="X467" s="199"/>
      <c r="Y467" s="199"/>
      <c r="Z467" s="199"/>
      <c r="AA467" s="199"/>
      <c r="AB467" s="199"/>
      <c r="AC467" s="199"/>
      <c r="AD467" s="199"/>
      <c r="AL467" s="199"/>
      <c r="AM467" s="199"/>
      <c r="AN467" s="199"/>
      <c r="AO467" s="199"/>
      <c r="AP467" s="199"/>
      <c r="AQ467" s="199"/>
      <c r="AR467" s="199"/>
      <c r="AS467" s="199"/>
      <c r="AV467" s="199"/>
      <c r="AW467" s="199"/>
      <c r="AX467" s="199"/>
      <c r="AY467" s="199"/>
      <c r="AZ467" s="199"/>
      <c r="BD467" s="199"/>
      <c r="BF467" s="199"/>
    </row>
    <row r="468" spans="1:100" x14ac:dyDescent="0.2">
      <c r="A468" s="212"/>
      <c r="B468" s="212"/>
      <c r="C468" s="199"/>
      <c r="D468" s="199"/>
      <c r="E468" s="185"/>
      <c r="F468" s="199"/>
      <c r="G468" s="199"/>
      <c r="H468"/>
      <c r="I468" s="199"/>
      <c r="J468"/>
      <c r="K468"/>
      <c r="L468" s="199"/>
      <c r="M468" s="185"/>
      <c r="N468" s="199"/>
      <c r="O468" s="185"/>
      <c r="P468" s="185"/>
      <c r="Q468" s="199"/>
      <c r="R468" s="199"/>
      <c r="W468" s="199"/>
      <c r="X468" s="199"/>
      <c r="Y468" s="199"/>
      <c r="Z468" s="199"/>
      <c r="AA468" s="199"/>
      <c r="AB468" s="199"/>
      <c r="AC468" s="199"/>
      <c r="AD468" s="199"/>
      <c r="AL468" s="199"/>
      <c r="AM468" s="199"/>
      <c r="AN468" s="199"/>
      <c r="AO468" s="199"/>
      <c r="AP468" s="199"/>
      <c r="AQ468" s="199"/>
      <c r="AR468" s="199"/>
      <c r="AS468" s="199"/>
      <c r="AV468" s="199"/>
      <c r="AW468" s="199"/>
      <c r="AY468" s="199"/>
      <c r="AZ468" s="199"/>
      <c r="BD468" s="199"/>
      <c r="BF468" s="199"/>
    </row>
    <row r="469" spans="1:100" x14ac:dyDescent="0.2">
      <c r="A469" s="212"/>
      <c r="B469" s="212"/>
      <c r="C469" s="199"/>
      <c r="D469" s="199"/>
      <c r="E469" s="185"/>
      <c r="F469" s="199"/>
      <c r="G469" s="199"/>
      <c r="H469"/>
      <c r="I469" s="199"/>
      <c r="J469"/>
      <c r="K469"/>
      <c r="L469" s="199"/>
      <c r="M469" s="185"/>
      <c r="N469" s="199"/>
      <c r="O469" s="185"/>
      <c r="P469" s="185"/>
      <c r="Q469" s="199"/>
      <c r="R469" s="199"/>
      <c r="W469" s="199"/>
      <c r="X469" s="199"/>
      <c r="Y469" s="199"/>
      <c r="Z469" s="199"/>
      <c r="AA469" s="199"/>
      <c r="AB469" s="199"/>
      <c r="AC469" s="199"/>
      <c r="AD469" s="199"/>
      <c r="AL469" s="199"/>
      <c r="AM469" s="199"/>
      <c r="AN469" s="199"/>
      <c r="AO469" s="199"/>
      <c r="AP469" s="199"/>
      <c r="AQ469" s="199"/>
      <c r="AR469" s="199"/>
      <c r="AS469" s="199"/>
      <c r="AV469" s="199"/>
      <c r="AW469" s="199"/>
      <c r="AY469" s="199"/>
      <c r="AZ469" s="199"/>
      <c r="BD469" s="199"/>
      <c r="BF469" s="199"/>
    </row>
    <row r="470" spans="1:100" x14ac:dyDescent="0.2">
      <c r="A470" s="212"/>
      <c r="B470" s="212"/>
      <c r="C470" s="199"/>
      <c r="D470" s="199"/>
      <c r="E470" s="185"/>
      <c r="F470" s="199"/>
      <c r="G470" s="199"/>
      <c r="H470"/>
      <c r="I470" s="199"/>
      <c r="J470"/>
      <c r="K470"/>
      <c r="L470" s="199"/>
      <c r="M470" s="185"/>
      <c r="N470" s="199"/>
      <c r="O470" s="185"/>
      <c r="P470" s="185"/>
      <c r="Q470" s="199"/>
      <c r="R470" s="199"/>
      <c r="W470" s="199"/>
      <c r="X470" s="199"/>
      <c r="Y470" s="199"/>
      <c r="Z470" s="199"/>
      <c r="AA470" s="199"/>
      <c r="AB470" s="199"/>
      <c r="AC470" s="199"/>
      <c r="AD470" s="199"/>
      <c r="AL470" s="199"/>
      <c r="AM470" s="199"/>
      <c r="AN470" s="199"/>
      <c r="AO470" s="199"/>
      <c r="AP470" s="199"/>
      <c r="AQ470" s="199"/>
      <c r="AR470" s="199"/>
      <c r="AS470" s="199"/>
      <c r="AV470" s="199"/>
      <c r="AW470" s="199"/>
      <c r="AY470" s="199"/>
      <c r="AZ470" s="199"/>
      <c r="BD470" s="199"/>
      <c r="BF470" s="199"/>
    </row>
    <row r="471" spans="1:100" x14ac:dyDescent="0.2">
      <c r="A471" s="212"/>
      <c r="B471" s="212"/>
      <c r="C471" s="199"/>
      <c r="D471" s="199"/>
      <c r="E471" s="185"/>
      <c r="F471" s="199"/>
      <c r="G471" s="199"/>
      <c r="H471"/>
      <c r="I471" s="199"/>
      <c r="J471"/>
      <c r="K471"/>
      <c r="L471" s="199"/>
      <c r="M471" s="185"/>
      <c r="N471" s="199"/>
      <c r="O471" s="185"/>
      <c r="P471" s="185"/>
      <c r="Q471" s="199"/>
      <c r="R471" s="199"/>
      <c r="W471" s="199"/>
      <c r="X471" s="199"/>
      <c r="Y471" s="199"/>
      <c r="Z471" s="199"/>
      <c r="AA471" s="199"/>
      <c r="AB471" s="199"/>
      <c r="AC471" s="199"/>
      <c r="AD471" s="199"/>
      <c r="AL471" s="199"/>
      <c r="AM471" s="199"/>
      <c r="AN471" s="199"/>
      <c r="AO471" s="199"/>
      <c r="AP471" s="199"/>
      <c r="AQ471" s="199"/>
      <c r="AR471" s="199"/>
      <c r="AS471" s="199"/>
      <c r="AV471" s="199"/>
      <c r="AW471" s="199"/>
      <c r="AY471" s="199"/>
      <c r="AZ471" s="199"/>
      <c r="BD471" s="199"/>
      <c r="BF471" s="199"/>
    </row>
    <row r="472" spans="1:100" x14ac:dyDescent="0.2">
      <c r="A472" s="212"/>
      <c r="B472" s="212"/>
      <c r="C472" s="199"/>
      <c r="D472" s="199"/>
      <c r="E472" s="185"/>
      <c r="F472" s="199"/>
      <c r="G472" s="199"/>
      <c r="H472"/>
      <c r="I472" s="199"/>
      <c r="J472"/>
      <c r="K472"/>
      <c r="L472" s="199"/>
      <c r="M472" s="185"/>
      <c r="N472" s="199"/>
      <c r="O472" s="185"/>
      <c r="P472" s="185"/>
      <c r="Q472" s="199"/>
      <c r="R472" s="199"/>
      <c r="W472" s="199"/>
      <c r="X472" s="199"/>
      <c r="Y472" s="199"/>
      <c r="Z472" s="199"/>
      <c r="AA472" s="199"/>
      <c r="AB472" s="199"/>
      <c r="AC472" s="199"/>
      <c r="AD472" s="199"/>
      <c r="AL472" s="199"/>
      <c r="AM472" s="199"/>
      <c r="AN472" s="199"/>
      <c r="AO472" s="199"/>
      <c r="AP472" s="199"/>
      <c r="AQ472" s="199"/>
      <c r="AR472" s="199"/>
      <c r="AS472" s="199"/>
      <c r="AV472" s="199"/>
      <c r="AW472" s="199"/>
      <c r="AY472" s="199"/>
      <c r="AZ472" s="199"/>
      <c r="BD472" s="199"/>
      <c r="BF472" s="199"/>
    </row>
    <row r="473" spans="1:100" x14ac:dyDescent="0.2">
      <c r="A473" s="212"/>
      <c r="B473" s="212"/>
      <c r="C473" s="199"/>
      <c r="D473" s="199"/>
      <c r="E473" s="185"/>
      <c r="F473" s="199"/>
      <c r="G473" s="199"/>
      <c r="H473" s="199"/>
      <c r="I473" s="199"/>
      <c r="J473" s="199"/>
      <c r="K473" s="199"/>
      <c r="L473" s="199"/>
      <c r="M473" s="185"/>
      <c r="N473" s="199"/>
      <c r="O473" s="185"/>
      <c r="P473" s="185"/>
      <c r="Q473" s="199"/>
      <c r="R473" s="199"/>
      <c r="W473" s="199"/>
      <c r="X473" s="199"/>
      <c r="Y473" s="199"/>
      <c r="Z473" s="199"/>
      <c r="AA473" s="199"/>
      <c r="AB473" s="199"/>
      <c r="AC473" s="199"/>
      <c r="AD473" s="199"/>
      <c r="AL473" s="199"/>
      <c r="AM473" s="199"/>
      <c r="AN473" s="199"/>
      <c r="AO473" s="199"/>
      <c r="AP473" s="199"/>
      <c r="AQ473" s="199"/>
      <c r="AR473" s="199"/>
      <c r="AS473" s="199"/>
      <c r="AV473" s="199"/>
      <c r="AW473" s="199"/>
      <c r="AX473" s="199"/>
      <c r="AY473" s="199"/>
      <c r="AZ473" s="199"/>
      <c r="BA473" s="199"/>
      <c r="BB473" s="199"/>
      <c r="BD473" s="199"/>
      <c r="BF473" s="199"/>
      <c r="BG473" s="194"/>
      <c r="BH473" s="194"/>
      <c r="BJ473" s="194"/>
      <c r="BK473" s="194"/>
      <c r="BL473" s="194"/>
      <c r="BM473" s="194"/>
      <c r="BN473" s="194"/>
      <c r="BO473" s="194"/>
      <c r="BP473" s="194"/>
      <c r="BQ473" s="194"/>
      <c r="BR473" s="194"/>
      <c r="BS473" s="194"/>
      <c r="BT473" s="194"/>
      <c r="BU473" s="194"/>
      <c r="BV473" s="194"/>
      <c r="BW473" s="194"/>
      <c r="BX473" s="194"/>
      <c r="BY473" s="194"/>
      <c r="BZ473" s="194"/>
      <c r="CA473" s="194"/>
      <c r="CB473" s="194"/>
      <c r="CC473" s="194"/>
      <c r="CD473" s="194"/>
      <c r="CE473" s="194"/>
      <c r="CF473" s="194"/>
      <c r="CG473" s="194"/>
      <c r="CH473" s="194"/>
      <c r="CI473" s="194"/>
      <c r="CJ473" s="194"/>
      <c r="CK473" s="194"/>
      <c r="CL473" s="194"/>
      <c r="CM473" s="194"/>
      <c r="CN473" s="194"/>
      <c r="CO473" s="194"/>
      <c r="CP473" s="194"/>
      <c r="CQ473" s="194"/>
      <c r="CR473" s="194"/>
      <c r="CS473" s="194"/>
      <c r="CT473" s="194"/>
      <c r="CU473" s="194"/>
      <c r="CV473" s="194"/>
    </row>
    <row r="474" spans="1:100" x14ac:dyDescent="0.2">
      <c r="A474" s="212"/>
      <c r="B474" s="212"/>
      <c r="C474" s="199"/>
      <c r="D474" s="199"/>
      <c r="E474" s="185"/>
      <c r="F474" s="199"/>
      <c r="G474"/>
      <c r="H474"/>
      <c r="I474" s="199"/>
      <c r="J474"/>
      <c r="K474"/>
      <c r="L474" s="199"/>
      <c r="M474" s="185"/>
      <c r="N474" s="199"/>
      <c r="O474" s="185"/>
      <c r="P474" s="185"/>
      <c r="Q474" s="199"/>
      <c r="R474" s="199"/>
      <c r="W474" s="199"/>
      <c r="X474" s="199"/>
      <c r="Y474" s="199"/>
      <c r="Z474" s="199"/>
      <c r="AA474" s="199"/>
      <c r="AB474" s="199"/>
      <c r="AC474" s="199"/>
      <c r="AD474" s="199"/>
      <c r="AL474" s="199"/>
      <c r="AM474" s="199"/>
      <c r="AN474" s="199"/>
      <c r="AO474" s="199"/>
      <c r="AP474" s="199"/>
      <c r="AQ474" s="199"/>
      <c r="AR474" s="199"/>
      <c r="AS474" s="199"/>
      <c r="AV474" s="199"/>
      <c r="AY474" s="199"/>
      <c r="AZ474" s="199"/>
      <c r="BD474" s="199"/>
      <c r="BF474" s="199"/>
    </row>
    <row r="475" spans="1:100" x14ac:dyDescent="0.2">
      <c r="A475" s="212"/>
      <c r="B475" s="212"/>
      <c r="C475" s="199"/>
      <c r="D475" s="199"/>
      <c r="E475" s="185"/>
      <c r="F475" s="199"/>
      <c r="G475" s="199"/>
      <c r="H475"/>
      <c r="I475" s="199"/>
      <c r="J475"/>
      <c r="K475"/>
      <c r="L475" s="199"/>
      <c r="M475" s="185"/>
      <c r="N475" s="199"/>
      <c r="O475" s="185"/>
      <c r="P475" s="185"/>
      <c r="Q475" s="199"/>
      <c r="R475" s="199"/>
      <c r="W475" s="199"/>
      <c r="X475" s="199"/>
      <c r="Y475" s="199"/>
      <c r="Z475" s="199"/>
      <c r="AA475" s="199"/>
      <c r="AB475" s="199"/>
      <c r="AC475" s="199"/>
      <c r="AD475" s="199"/>
      <c r="AL475" s="199"/>
      <c r="AM475" s="199"/>
      <c r="AN475" s="199"/>
      <c r="AO475" s="199"/>
      <c r="AP475" s="199"/>
      <c r="AQ475" s="199"/>
      <c r="AR475" s="199"/>
      <c r="AS475" s="199"/>
      <c r="AV475" s="199"/>
      <c r="AW475" s="199"/>
      <c r="AY475" s="199"/>
      <c r="AZ475" s="199"/>
      <c r="BD475" s="199"/>
      <c r="BF475" s="199"/>
    </row>
    <row r="476" spans="1:100" x14ac:dyDescent="0.2">
      <c r="A476" s="212"/>
      <c r="B476" s="212"/>
      <c r="C476" s="199"/>
      <c r="D476" s="199"/>
      <c r="E476" s="185"/>
      <c r="F476" s="199"/>
      <c r="G476" s="199"/>
      <c r="H476"/>
      <c r="I476" s="199"/>
      <c r="J476"/>
      <c r="K476"/>
      <c r="L476" s="199"/>
      <c r="M476" s="185"/>
      <c r="N476" s="199"/>
      <c r="O476" s="185"/>
      <c r="P476" s="185"/>
      <c r="Q476" s="199"/>
      <c r="R476" s="199"/>
      <c r="W476" s="199"/>
      <c r="X476" s="199"/>
      <c r="Y476" s="199"/>
      <c r="Z476" s="199"/>
      <c r="AA476" s="199"/>
      <c r="AB476" s="199"/>
      <c r="AC476" s="199"/>
      <c r="AD476" s="199"/>
      <c r="AL476" s="199"/>
      <c r="AM476" s="199"/>
      <c r="AN476" s="199"/>
      <c r="AO476" s="199"/>
      <c r="AP476" s="199"/>
      <c r="AQ476" s="199"/>
      <c r="AR476" s="199"/>
      <c r="AS476" s="199"/>
      <c r="AV476" s="199"/>
      <c r="AW476" s="199"/>
      <c r="AY476" s="199"/>
      <c r="AZ476" s="199"/>
      <c r="BD476" s="199"/>
      <c r="BF476" s="199"/>
    </row>
    <row r="477" spans="1:100" x14ac:dyDescent="0.2">
      <c r="A477" s="212"/>
      <c r="B477" s="212"/>
      <c r="C477" s="199"/>
      <c r="D477" s="199"/>
      <c r="E477" s="185"/>
      <c r="F477" s="199"/>
      <c r="G477" s="199"/>
      <c r="H477"/>
      <c r="I477" s="199"/>
      <c r="J477"/>
      <c r="K477"/>
      <c r="L477" s="199"/>
      <c r="M477" s="185"/>
      <c r="N477" s="199"/>
      <c r="O477" s="185"/>
      <c r="P477" s="185"/>
      <c r="Q477" s="199"/>
      <c r="R477" s="199"/>
      <c r="W477" s="199"/>
      <c r="X477" s="199"/>
      <c r="Y477" s="199"/>
      <c r="Z477" s="199"/>
      <c r="AA477" s="199"/>
      <c r="AB477" s="199"/>
      <c r="AC477" s="199"/>
      <c r="AD477" s="199"/>
      <c r="AL477" s="199"/>
      <c r="AM477" s="199"/>
      <c r="AN477" s="199"/>
      <c r="AO477" s="199"/>
      <c r="AP477" s="199"/>
      <c r="AQ477" s="199"/>
      <c r="AR477" s="199"/>
      <c r="AS477" s="199"/>
      <c r="AV477" s="199"/>
      <c r="AW477" s="199"/>
      <c r="AY477" s="199"/>
      <c r="AZ477" s="199"/>
      <c r="BD477" s="199"/>
      <c r="BF477" s="199"/>
    </row>
    <row r="478" spans="1:100" x14ac:dyDescent="0.2">
      <c r="A478" s="212"/>
      <c r="B478" s="212"/>
      <c r="C478" s="199"/>
      <c r="D478" s="199"/>
      <c r="E478" s="185"/>
      <c r="F478" s="199"/>
      <c r="G478" s="199"/>
      <c r="H478"/>
      <c r="I478" s="199"/>
      <c r="J478"/>
      <c r="K478"/>
      <c r="L478" s="199"/>
      <c r="M478" s="185"/>
      <c r="N478" s="199"/>
      <c r="O478" s="185"/>
      <c r="P478" s="185"/>
      <c r="Q478" s="199"/>
      <c r="R478" s="199"/>
      <c r="W478" s="199"/>
      <c r="X478" s="199"/>
      <c r="Y478" s="199"/>
      <c r="Z478" s="199"/>
      <c r="AA478" s="199"/>
      <c r="AB478" s="199"/>
      <c r="AC478" s="199"/>
      <c r="AD478" s="199"/>
      <c r="AL478" s="199"/>
      <c r="AM478" s="199"/>
      <c r="AN478" s="199"/>
      <c r="AO478" s="199"/>
      <c r="AP478" s="199"/>
      <c r="AQ478" s="199"/>
      <c r="AR478" s="199"/>
      <c r="AS478" s="199"/>
      <c r="AV478" s="199"/>
      <c r="AW478" s="199"/>
      <c r="AY478" s="199"/>
      <c r="AZ478" s="199"/>
      <c r="BD478" s="199"/>
      <c r="BF478" s="199"/>
    </row>
    <row r="479" spans="1:100" x14ac:dyDescent="0.2">
      <c r="A479" s="212"/>
      <c r="B479" s="212"/>
      <c r="C479" s="199"/>
      <c r="D479" s="199"/>
      <c r="E479" s="185"/>
      <c r="F479" s="199"/>
      <c r="G479"/>
      <c r="H479"/>
      <c r="I479" s="199"/>
      <c r="J479"/>
      <c r="K479"/>
      <c r="L479" s="199"/>
      <c r="M479" s="185"/>
      <c r="N479" s="199"/>
      <c r="O479" s="185"/>
      <c r="P479" s="185"/>
      <c r="Q479" s="199"/>
      <c r="R479" s="199"/>
      <c r="W479" s="199"/>
      <c r="X479" s="199"/>
      <c r="Y479" s="199"/>
      <c r="Z479" s="199"/>
      <c r="AA479" s="199"/>
      <c r="AB479" s="199"/>
      <c r="AC479" s="199"/>
      <c r="AD479" s="199"/>
      <c r="AL479" s="199"/>
      <c r="AM479" s="199"/>
      <c r="AN479" s="199"/>
      <c r="AO479" s="199"/>
      <c r="AP479" s="199"/>
      <c r="AQ479" s="199"/>
      <c r="AR479" s="199"/>
      <c r="AS479" s="199"/>
      <c r="AV479" s="199"/>
      <c r="AY479" s="199"/>
      <c r="AZ479" s="199"/>
      <c r="BD479" s="199"/>
      <c r="BF479" s="199"/>
    </row>
    <row r="480" spans="1:100" x14ac:dyDescent="0.2">
      <c r="A480" s="212"/>
      <c r="B480" s="212"/>
      <c r="C480" s="199"/>
      <c r="D480" s="199"/>
      <c r="E480" s="185"/>
      <c r="F480" s="199"/>
      <c r="G480" s="199"/>
      <c r="H480"/>
      <c r="I480" s="199"/>
      <c r="J480"/>
      <c r="K480"/>
      <c r="L480" s="199"/>
      <c r="M480" s="185"/>
      <c r="N480" s="199"/>
      <c r="O480" s="185"/>
      <c r="P480" s="185"/>
      <c r="Q480" s="199"/>
      <c r="R480" s="199"/>
      <c r="W480" s="199"/>
      <c r="X480" s="199"/>
      <c r="Y480" s="199"/>
      <c r="Z480" s="199"/>
      <c r="AA480" s="199"/>
      <c r="AB480" s="199"/>
      <c r="AC480" s="199"/>
      <c r="AD480" s="199"/>
      <c r="AL480" s="199"/>
      <c r="AM480" s="199"/>
      <c r="AN480" s="199"/>
      <c r="AO480" s="199"/>
      <c r="AP480" s="199"/>
      <c r="AQ480" s="199"/>
      <c r="AR480" s="199"/>
      <c r="AS480" s="199"/>
      <c r="AV480" s="199"/>
      <c r="AW480" s="199"/>
      <c r="AY480" s="199"/>
      <c r="AZ480" s="199"/>
      <c r="BD480" s="199"/>
      <c r="BF480" s="199"/>
    </row>
    <row r="481" spans="1:100" x14ac:dyDescent="0.2">
      <c r="A481" s="212"/>
      <c r="B481" s="212"/>
      <c r="C481" s="199"/>
      <c r="D481" s="199"/>
      <c r="E481" s="185"/>
      <c r="F481" s="199"/>
      <c r="G481" s="199"/>
      <c r="H481"/>
      <c r="I481" s="199"/>
      <c r="J481"/>
      <c r="K481"/>
      <c r="L481" s="199"/>
      <c r="M481" s="185"/>
      <c r="N481" s="199"/>
      <c r="O481" s="185"/>
      <c r="P481" s="185"/>
      <c r="Q481" s="199"/>
      <c r="R481" s="199"/>
      <c r="W481" s="199"/>
      <c r="X481" s="199"/>
      <c r="Y481" s="199"/>
      <c r="Z481" s="199"/>
      <c r="AA481" s="199"/>
      <c r="AB481" s="199"/>
      <c r="AC481" s="199"/>
      <c r="AD481" s="199"/>
      <c r="AL481" s="199"/>
      <c r="AM481" s="199"/>
      <c r="AN481" s="199"/>
      <c r="AO481" s="199"/>
      <c r="AP481" s="199"/>
      <c r="AQ481" s="199"/>
      <c r="AR481" s="199"/>
      <c r="AS481" s="199"/>
      <c r="AV481" s="199"/>
      <c r="AW481" s="199"/>
      <c r="AY481" s="199"/>
      <c r="AZ481" s="199"/>
      <c r="BD481" s="199"/>
      <c r="BF481" s="199"/>
    </row>
    <row r="482" spans="1:100" x14ac:dyDescent="0.2">
      <c r="A482" s="212"/>
      <c r="B482" s="212"/>
      <c r="C482" s="199"/>
      <c r="D482" s="199"/>
      <c r="E482" s="185"/>
      <c r="F482" s="199"/>
      <c r="G482" s="199"/>
      <c r="H482"/>
      <c r="I482" s="199"/>
      <c r="J482"/>
      <c r="K482"/>
      <c r="L482" s="199"/>
      <c r="M482" s="185"/>
      <c r="N482" s="199"/>
      <c r="O482" s="185"/>
      <c r="P482" s="185"/>
      <c r="Q482" s="199"/>
      <c r="R482" s="199"/>
      <c r="W482" s="199"/>
      <c r="X482" s="199"/>
      <c r="Y482" s="199"/>
      <c r="Z482" s="199"/>
      <c r="AA482" s="199"/>
      <c r="AB482" s="199"/>
      <c r="AC482" s="199"/>
      <c r="AD482" s="199"/>
      <c r="AL482" s="199"/>
      <c r="AM482" s="199"/>
      <c r="AN482" s="199"/>
      <c r="AO482" s="199"/>
      <c r="AP482" s="199"/>
      <c r="AQ482" s="199"/>
      <c r="AR482" s="199"/>
      <c r="AS482" s="199"/>
      <c r="AV482" s="199"/>
      <c r="AW482" s="199"/>
      <c r="AY482" s="199"/>
      <c r="AZ482" s="199"/>
      <c r="BD482" s="199"/>
      <c r="BF482" s="199"/>
    </row>
    <row r="483" spans="1:100" x14ac:dyDescent="0.2">
      <c r="A483" s="212"/>
      <c r="B483" s="212"/>
      <c r="C483" s="199"/>
      <c r="D483" s="199"/>
      <c r="E483" s="185"/>
      <c r="F483" s="199"/>
      <c r="G483" s="199"/>
      <c r="H483"/>
      <c r="I483" s="199"/>
      <c r="J483"/>
      <c r="K483"/>
      <c r="L483" s="199"/>
      <c r="M483" s="185"/>
      <c r="N483" s="199"/>
      <c r="O483" s="185"/>
      <c r="P483" s="185"/>
      <c r="Q483" s="199"/>
      <c r="R483" s="199"/>
      <c r="W483" s="199"/>
      <c r="X483" s="199"/>
      <c r="Y483" s="199"/>
      <c r="Z483" s="199"/>
      <c r="AA483" s="199"/>
      <c r="AB483" s="199"/>
      <c r="AC483" s="199"/>
      <c r="AD483" s="199"/>
      <c r="AL483" s="199"/>
      <c r="AM483" s="199"/>
      <c r="AN483" s="199"/>
      <c r="AO483" s="199"/>
      <c r="AP483" s="199"/>
      <c r="AQ483" s="199"/>
      <c r="AR483" s="199"/>
      <c r="AS483" s="199"/>
      <c r="AV483" s="199"/>
      <c r="AW483" s="199"/>
      <c r="AY483" s="199"/>
      <c r="AZ483" s="199"/>
      <c r="BD483" s="199"/>
      <c r="BF483" s="199"/>
    </row>
    <row r="484" spans="1:100" x14ac:dyDescent="0.2">
      <c r="A484" s="212"/>
      <c r="B484" s="212"/>
      <c r="C484" s="199"/>
      <c r="D484" s="199"/>
      <c r="E484" s="185"/>
      <c r="F484" s="199"/>
      <c r="G484" s="199"/>
      <c r="H484" s="199"/>
      <c r="I484" s="199"/>
      <c r="J484"/>
      <c r="K484"/>
      <c r="L484" s="199"/>
      <c r="M484" s="185"/>
      <c r="N484" s="199"/>
      <c r="O484" s="185"/>
      <c r="P484" s="185"/>
      <c r="Q484" s="199"/>
      <c r="R484" s="199"/>
      <c r="W484" s="199"/>
      <c r="X484" s="199"/>
      <c r="Y484" s="199"/>
      <c r="Z484" s="199"/>
      <c r="AA484" s="199"/>
      <c r="AB484" s="199"/>
      <c r="AC484" s="199"/>
      <c r="AD484" s="199"/>
      <c r="AL484" s="199"/>
      <c r="AM484" s="199"/>
      <c r="AN484" s="199"/>
      <c r="AO484" s="199"/>
      <c r="AP484" s="199"/>
      <c r="AQ484" s="199"/>
      <c r="AR484" s="199"/>
      <c r="AS484" s="199"/>
      <c r="AV484" s="199"/>
      <c r="AW484" s="199"/>
      <c r="AX484" s="199"/>
      <c r="AY484" s="199"/>
      <c r="AZ484" s="199"/>
      <c r="BD484" s="199"/>
      <c r="BF484" s="199"/>
    </row>
    <row r="485" spans="1:100" x14ac:dyDescent="0.2">
      <c r="A485" s="212"/>
      <c r="B485" s="212"/>
      <c r="C485" s="199"/>
      <c r="D485" s="199"/>
      <c r="E485" s="185"/>
      <c r="F485" s="199"/>
      <c r="G485" s="199"/>
      <c r="H485"/>
      <c r="I485" s="199"/>
      <c r="J485"/>
      <c r="K485"/>
      <c r="L485" s="199"/>
      <c r="M485" s="185"/>
      <c r="N485" s="199"/>
      <c r="O485" s="185"/>
      <c r="P485" s="185"/>
      <c r="Q485" s="199"/>
      <c r="R485" s="199"/>
      <c r="W485" s="199"/>
      <c r="X485" s="199"/>
      <c r="Y485" s="199"/>
      <c r="Z485" s="199"/>
      <c r="AA485" s="199"/>
      <c r="AB485" s="199"/>
      <c r="AC485" s="199"/>
      <c r="AD485" s="199"/>
      <c r="AL485" s="199"/>
      <c r="AM485" s="199"/>
      <c r="AN485" s="199"/>
      <c r="AO485" s="199"/>
      <c r="AP485" s="199"/>
      <c r="AQ485" s="199"/>
      <c r="AR485" s="199"/>
      <c r="AS485" s="199"/>
      <c r="AV485" s="199"/>
      <c r="AW485" s="199"/>
      <c r="AY485" s="199"/>
      <c r="AZ485" s="199"/>
      <c r="BD485" s="199"/>
      <c r="BF485" s="199"/>
    </row>
    <row r="486" spans="1:100" x14ac:dyDescent="0.2">
      <c r="A486" s="212"/>
      <c r="B486" s="212"/>
      <c r="C486" s="199"/>
      <c r="D486" s="199"/>
      <c r="E486" s="185"/>
      <c r="F486" s="199"/>
      <c r="G486" s="199"/>
      <c r="H486"/>
      <c r="I486" s="199"/>
      <c r="J486"/>
      <c r="K486"/>
      <c r="L486" s="199"/>
      <c r="M486" s="185"/>
      <c r="N486" s="199"/>
      <c r="O486" s="185"/>
      <c r="P486" s="185"/>
      <c r="Q486" s="199"/>
      <c r="R486" s="199"/>
      <c r="W486" s="199"/>
      <c r="X486" s="199"/>
      <c r="Y486" s="199"/>
      <c r="Z486" s="199"/>
      <c r="AA486" s="199"/>
      <c r="AB486" s="199"/>
      <c r="AC486" s="199"/>
      <c r="AD486" s="199"/>
      <c r="AL486" s="199"/>
      <c r="AM486" s="199"/>
      <c r="AN486" s="199"/>
      <c r="AO486" s="199"/>
      <c r="AP486" s="199"/>
      <c r="AQ486" s="199"/>
      <c r="AR486" s="199"/>
      <c r="AS486" s="199"/>
      <c r="AV486" s="199"/>
      <c r="AW486" s="199"/>
      <c r="AY486" s="199"/>
      <c r="AZ486" s="199"/>
      <c r="BD486" s="199"/>
      <c r="BF486" s="199"/>
    </row>
    <row r="487" spans="1:100" x14ac:dyDescent="0.2">
      <c r="A487" s="212"/>
      <c r="B487" s="212"/>
      <c r="C487" s="199"/>
      <c r="D487" s="199"/>
      <c r="E487" s="185"/>
      <c r="F487" s="199"/>
      <c r="G487" s="199"/>
      <c r="H487"/>
      <c r="I487" s="199"/>
      <c r="J487"/>
      <c r="K487"/>
      <c r="L487" s="199"/>
      <c r="M487" s="185"/>
      <c r="N487" s="199"/>
      <c r="O487" s="185"/>
      <c r="P487" s="185"/>
      <c r="Q487" s="199"/>
      <c r="R487" s="199"/>
      <c r="W487" s="199"/>
      <c r="X487" s="199"/>
      <c r="Y487" s="199"/>
      <c r="Z487" s="199"/>
      <c r="AA487" s="199"/>
      <c r="AB487" s="199"/>
      <c r="AC487" s="199"/>
      <c r="AD487" s="199"/>
      <c r="AL487" s="199"/>
      <c r="AM487" s="199"/>
      <c r="AN487" s="199"/>
      <c r="AO487" s="199"/>
      <c r="AP487" s="199"/>
      <c r="AQ487" s="199"/>
      <c r="AR487" s="199"/>
      <c r="AS487" s="199"/>
      <c r="AV487" s="199"/>
      <c r="AW487" s="199"/>
      <c r="AY487" s="199"/>
      <c r="AZ487" s="199"/>
      <c r="BD487" s="199"/>
      <c r="BF487" s="199"/>
    </row>
    <row r="488" spans="1:100" x14ac:dyDescent="0.2">
      <c r="A488" s="212"/>
      <c r="B488" s="212"/>
      <c r="C488" s="199"/>
      <c r="D488" s="199"/>
      <c r="E488" s="185"/>
      <c r="F488" s="199"/>
      <c r="G488" s="199"/>
      <c r="H488"/>
      <c r="I488" s="199"/>
      <c r="J488"/>
      <c r="K488"/>
      <c r="L488" s="199"/>
      <c r="M488" s="185"/>
      <c r="N488" s="199"/>
      <c r="O488" s="185"/>
      <c r="P488" s="185"/>
      <c r="Q488" s="199"/>
      <c r="R488" s="199"/>
      <c r="W488" s="199"/>
      <c r="X488" s="199"/>
      <c r="Y488" s="199"/>
      <c r="Z488" s="199"/>
      <c r="AA488" s="199"/>
      <c r="AB488" s="199"/>
      <c r="AC488" s="199"/>
      <c r="AD488" s="199"/>
      <c r="AL488" s="199"/>
      <c r="AM488" s="199"/>
      <c r="AN488" s="199"/>
      <c r="AO488" s="199"/>
      <c r="AP488" s="199"/>
      <c r="AQ488" s="199"/>
      <c r="AR488" s="199"/>
      <c r="AS488" s="199"/>
      <c r="AV488" s="199"/>
      <c r="AW488" s="199"/>
      <c r="AY488" s="199"/>
      <c r="AZ488" s="199"/>
      <c r="BD488" s="199"/>
      <c r="BF488" s="199"/>
    </row>
    <row r="489" spans="1:100" x14ac:dyDescent="0.2">
      <c r="A489" s="212"/>
      <c r="B489" s="212"/>
      <c r="C489" s="199"/>
      <c r="D489" s="199"/>
      <c r="E489" s="185"/>
      <c r="F489" s="199"/>
      <c r="G489" s="199"/>
      <c r="H489" s="199"/>
      <c r="I489" s="199"/>
      <c r="J489" s="199"/>
      <c r="K489" s="199"/>
      <c r="L489" s="199"/>
      <c r="M489" s="185"/>
      <c r="N489" s="199"/>
      <c r="O489" s="185"/>
      <c r="P489" s="185"/>
      <c r="Q489" s="199"/>
      <c r="R489" s="199"/>
      <c r="W489" s="199"/>
      <c r="X489" s="199"/>
      <c r="Y489" s="199"/>
      <c r="Z489" s="199"/>
      <c r="AA489" s="199"/>
      <c r="AB489" s="199"/>
      <c r="AC489" s="199"/>
      <c r="AD489" s="199"/>
      <c r="AL489" s="199"/>
      <c r="AM489" s="199"/>
      <c r="AN489" s="199"/>
      <c r="AO489" s="199"/>
      <c r="AP489" s="199"/>
      <c r="AQ489" s="199"/>
      <c r="AR489" s="199"/>
      <c r="AS489" s="199"/>
      <c r="AV489" s="199"/>
      <c r="AW489" s="199"/>
      <c r="AX489" s="199"/>
      <c r="AY489" s="199"/>
      <c r="AZ489" s="199"/>
      <c r="BA489" s="199"/>
      <c r="BB489" s="199"/>
      <c r="BD489" s="199"/>
      <c r="BF489" s="199"/>
      <c r="BG489" s="194"/>
      <c r="BJ489" s="194"/>
      <c r="BK489" s="194"/>
      <c r="BL489" s="194"/>
      <c r="BM489" s="194"/>
      <c r="BN489" s="194"/>
      <c r="BO489" s="194"/>
      <c r="BP489" s="194"/>
      <c r="BQ489" s="194"/>
      <c r="BR489" s="194"/>
      <c r="BS489" s="194"/>
      <c r="BT489" s="194"/>
      <c r="BU489" s="194"/>
      <c r="BV489" s="194"/>
      <c r="BW489" s="194"/>
      <c r="BX489" s="194"/>
      <c r="BY489" s="194"/>
      <c r="BZ489" s="194"/>
      <c r="CA489" s="194"/>
      <c r="CB489" s="194"/>
      <c r="CC489" s="194"/>
      <c r="CD489" s="194"/>
      <c r="CE489" s="194"/>
      <c r="CF489" s="194"/>
      <c r="CG489" s="194"/>
      <c r="CH489" s="194"/>
      <c r="CI489" s="194"/>
      <c r="CJ489" s="194"/>
      <c r="CK489" s="194"/>
      <c r="CL489" s="194"/>
      <c r="CM489" s="194"/>
      <c r="CN489" s="194"/>
      <c r="CO489" s="194"/>
      <c r="CP489" s="194"/>
      <c r="CQ489" s="194"/>
      <c r="CR489" s="194"/>
      <c r="CS489" s="194"/>
      <c r="CT489" s="194"/>
      <c r="CU489" s="194"/>
      <c r="CV489" s="194"/>
    </row>
    <row r="490" spans="1:100" x14ac:dyDescent="0.2">
      <c r="A490" s="212"/>
      <c r="B490" s="212"/>
      <c r="C490" s="199"/>
      <c r="D490" s="199"/>
      <c r="E490" s="185"/>
      <c r="F490" s="199"/>
      <c r="G490" s="199"/>
      <c r="H490" s="199"/>
      <c r="I490" s="199"/>
      <c r="J490" s="199"/>
      <c r="K490" s="199"/>
      <c r="L490" s="199"/>
      <c r="M490" s="185"/>
      <c r="N490" s="199"/>
      <c r="O490" s="185"/>
      <c r="P490" s="185"/>
      <c r="Q490" s="199"/>
      <c r="R490" s="199"/>
      <c r="W490" s="199"/>
      <c r="X490" s="199"/>
      <c r="Y490" s="199"/>
      <c r="Z490" s="199"/>
      <c r="AA490" s="199"/>
      <c r="AB490" s="199"/>
      <c r="AC490" s="199"/>
      <c r="AD490" s="199"/>
      <c r="AL490" s="199"/>
      <c r="AM490" s="199"/>
      <c r="AN490" s="199"/>
      <c r="AO490" s="199"/>
      <c r="AP490" s="199"/>
      <c r="AQ490" s="199"/>
      <c r="AR490" s="199"/>
      <c r="AS490" s="199"/>
      <c r="AV490" s="199"/>
      <c r="AW490" s="199"/>
      <c r="AX490" s="199"/>
      <c r="AY490" s="199"/>
      <c r="AZ490" s="199"/>
      <c r="BA490" s="199"/>
      <c r="BB490" s="199"/>
      <c r="BD490" s="199"/>
      <c r="BF490" s="199"/>
      <c r="BG490" s="194"/>
      <c r="BJ490" s="194"/>
      <c r="BK490" s="194"/>
      <c r="BL490" s="194"/>
      <c r="BM490" s="194"/>
      <c r="BN490" s="194"/>
      <c r="BO490" s="194"/>
      <c r="BP490" s="194"/>
      <c r="BQ490" s="194"/>
      <c r="BR490" s="194"/>
      <c r="BS490" s="194"/>
      <c r="BT490" s="194"/>
      <c r="BU490" s="194"/>
      <c r="BV490" s="194"/>
      <c r="BW490" s="194"/>
      <c r="BX490" s="194"/>
      <c r="BY490" s="194"/>
      <c r="BZ490" s="194"/>
      <c r="CA490" s="194"/>
      <c r="CB490" s="194"/>
      <c r="CC490" s="194"/>
      <c r="CD490" s="194"/>
      <c r="CE490" s="194"/>
      <c r="CF490" s="194"/>
      <c r="CG490" s="194"/>
      <c r="CH490" s="194"/>
      <c r="CI490" s="194"/>
      <c r="CJ490" s="194"/>
      <c r="CK490" s="194"/>
      <c r="CL490" s="194"/>
      <c r="CM490" s="194"/>
      <c r="CN490" s="194"/>
      <c r="CO490" s="194"/>
      <c r="CP490" s="194"/>
      <c r="CQ490" s="194"/>
      <c r="CR490" s="194"/>
      <c r="CS490" s="194"/>
      <c r="CT490" s="194"/>
      <c r="CU490" s="194"/>
      <c r="CV490" s="194"/>
    </row>
    <row r="491" spans="1:100" x14ac:dyDescent="0.2">
      <c r="A491" s="212"/>
      <c r="B491" s="212"/>
      <c r="C491" s="199"/>
      <c r="D491" s="199"/>
      <c r="E491" s="185"/>
      <c r="F491" s="199"/>
      <c r="G491" s="199"/>
      <c r="H491"/>
      <c r="I491" s="199"/>
      <c r="J491"/>
      <c r="K491"/>
      <c r="L491" s="199"/>
      <c r="M491" s="185"/>
      <c r="N491" s="199"/>
      <c r="O491" s="185"/>
      <c r="P491" s="185"/>
      <c r="Q491" s="199"/>
      <c r="R491" s="199"/>
      <c r="W491" s="199"/>
      <c r="X491" s="199"/>
      <c r="Y491" s="199"/>
      <c r="Z491" s="199"/>
      <c r="AA491" s="199"/>
      <c r="AB491" s="199"/>
      <c r="AC491" s="199"/>
      <c r="AD491" s="199"/>
      <c r="AL491" s="199"/>
      <c r="AM491" s="199"/>
      <c r="AN491" s="199"/>
      <c r="AO491" s="199"/>
      <c r="AP491" s="199"/>
      <c r="AQ491" s="199"/>
      <c r="AR491" s="199"/>
      <c r="AS491" s="199"/>
      <c r="AV491" s="199"/>
      <c r="AW491" s="199"/>
      <c r="AY491" s="199"/>
      <c r="AZ491" s="199"/>
      <c r="BD491" s="199"/>
      <c r="BF491" s="199"/>
    </row>
    <row r="492" spans="1:100" x14ac:dyDescent="0.2">
      <c r="A492" s="212"/>
      <c r="B492" s="212"/>
      <c r="C492" s="199"/>
      <c r="D492" s="199"/>
      <c r="E492" s="185"/>
      <c r="F492" s="199"/>
      <c r="G492" s="199"/>
      <c r="H492"/>
      <c r="I492" s="199"/>
      <c r="J492"/>
      <c r="K492"/>
      <c r="L492" s="199"/>
      <c r="M492" s="185"/>
      <c r="N492" s="199"/>
      <c r="O492" s="185"/>
      <c r="P492" s="185"/>
      <c r="Q492" s="199"/>
      <c r="R492" s="199"/>
      <c r="W492" s="199"/>
      <c r="X492" s="199"/>
      <c r="Y492" s="199"/>
      <c r="Z492" s="199"/>
      <c r="AA492" s="199"/>
      <c r="AB492" s="199"/>
      <c r="AC492" s="199"/>
      <c r="AD492" s="199"/>
      <c r="AL492" s="199"/>
      <c r="AM492" s="199"/>
      <c r="AN492" s="199"/>
      <c r="AO492" s="199"/>
      <c r="AP492" s="199"/>
      <c r="AQ492" s="199"/>
      <c r="AR492" s="199"/>
      <c r="AS492" s="199"/>
      <c r="AV492" s="199"/>
      <c r="AW492" s="199"/>
      <c r="AY492" s="199"/>
      <c r="AZ492" s="199"/>
      <c r="BD492" s="199"/>
      <c r="BF492" s="199"/>
    </row>
    <row r="493" spans="1:100" x14ac:dyDescent="0.2">
      <c r="A493" s="212"/>
      <c r="B493" s="212"/>
      <c r="C493" s="199"/>
      <c r="D493" s="199"/>
      <c r="E493" s="185"/>
      <c r="F493" s="199"/>
      <c r="G493" s="199"/>
      <c r="H493"/>
      <c r="I493" s="199"/>
      <c r="J493"/>
      <c r="K493"/>
      <c r="L493" s="199"/>
      <c r="M493" s="185"/>
      <c r="N493" s="199"/>
      <c r="O493" s="185"/>
      <c r="P493" s="185"/>
      <c r="Q493" s="199"/>
      <c r="R493" s="199"/>
      <c r="W493" s="199"/>
      <c r="X493" s="199"/>
      <c r="Y493" s="199"/>
      <c r="Z493" s="199"/>
      <c r="AA493" s="199"/>
      <c r="AB493" s="199"/>
      <c r="AC493" s="199"/>
      <c r="AD493" s="199"/>
      <c r="AL493" s="199"/>
      <c r="AM493" s="199"/>
      <c r="AN493" s="199"/>
      <c r="AO493" s="199"/>
      <c r="AP493" s="199"/>
      <c r="AQ493" s="199"/>
      <c r="AR493" s="199"/>
      <c r="AS493" s="199"/>
      <c r="AV493" s="199"/>
      <c r="AW493" s="199"/>
      <c r="AY493" s="199"/>
      <c r="AZ493" s="199"/>
      <c r="BD493" s="199"/>
      <c r="BF493" s="199"/>
    </row>
    <row r="494" spans="1:100" x14ac:dyDescent="0.2">
      <c r="A494" s="212"/>
      <c r="B494" s="212"/>
      <c r="C494" s="199"/>
      <c r="D494" s="199"/>
      <c r="E494" s="185"/>
      <c r="F494" s="199"/>
      <c r="G494" s="199"/>
      <c r="H494"/>
      <c r="I494" s="199"/>
      <c r="J494"/>
      <c r="K494"/>
      <c r="L494" s="199"/>
      <c r="M494" s="185"/>
      <c r="N494" s="199"/>
      <c r="O494" s="185"/>
      <c r="P494" s="185"/>
      <c r="Q494" s="199"/>
      <c r="R494" s="199"/>
      <c r="W494" s="199"/>
      <c r="X494" s="199"/>
      <c r="Y494" s="199"/>
      <c r="Z494" s="199"/>
      <c r="AA494" s="199"/>
      <c r="AB494" s="199"/>
      <c r="AC494" s="199"/>
      <c r="AD494" s="199"/>
      <c r="AL494" s="199"/>
      <c r="AM494" s="199"/>
      <c r="AN494" s="199"/>
      <c r="AO494" s="199"/>
      <c r="AP494" s="199"/>
      <c r="AQ494" s="199"/>
      <c r="AR494" s="199"/>
      <c r="AS494" s="199"/>
      <c r="AV494" s="199"/>
      <c r="AW494" s="199"/>
      <c r="AY494" s="199"/>
      <c r="AZ494" s="199"/>
      <c r="BD494" s="199"/>
      <c r="BF494" s="199"/>
    </row>
    <row r="495" spans="1:100" x14ac:dyDescent="0.2">
      <c r="A495" s="212"/>
      <c r="B495" s="212"/>
      <c r="C495" s="199"/>
      <c r="D495" s="199"/>
      <c r="E495" s="185"/>
      <c r="F495" s="199"/>
      <c r="G495" s="199"/>
      <c r="H495" s="199"/>
      <c r="I495" s="199"/>
      <c r="J495"/>
      <c r="K495"/>
      <c r="L495" s="199"/>
      <c r="M495" s="185"/>
      <c r="N495" s="199"/>
      <c r="O495" s="185"/>
      <c r="P495" s="185"/>
      <c r="Q495" s="199"/>
      <c r="R495" s="199"/>
      <c r="W495" s="199"/>
      <c r="X495" s="199"/>
      <c r="Y495" s="199"/>
      <c r="Z495" s="199"/>
      <c r="AA495" s="199"/>
      <c r="AB495" s="199"/>
      <c r="AC495" s="199"/>
      <c r="AD495" s="199"/>
      <c r="AL495" s="199"/>
      <c r="AM495" s="199"/>
      <c r="AN495" s="199"/>
      <c r="AO495" s="199"/>
      <c r="AP495" s="199"/>
      <c r="AQ495" s="199"/>
      <c r="AR495" s="199"/>
      <c r="AS495" s="199"/>
      <c r="AV495" s="199"/>
      <c r="AW495" s="199"/>
      <c r="AX495" s="199"/>
      <c r="AY495" s="199"/>
      <c r="AZ495" s="199"/>
      <c r="BD495" s="199"/>
      <c r="BF495" s="199"/>
    </row>
    <row r="496" spans="1:100" x14ac:dyDescent="0.2">
      <c r="A496" s="212"/>
      <c r="B496" s="212"/>
      <c r="C496" s="199"/>
      <c r="D496" s="199"/>
      <c r="E496" s="185"/>
      <c r="F496" s="199"/>
      <c r="G496" s="199"/>
      <c r="H496"/>
      <c r="I496" s="199"/>
      <c r="J496"/>
      <c r="K496"/>
      <c r="L496" s="199"/>
      <c r="M496" s="185"/>
      <c r="N496" s="199"/>
      <c r="O496" s="185"/>
      <c r="P496" s="185"/>
      <c r="Q496" s="199"/>
      <c r="R496" s="199"/>
      <c r="W496" s="199"/>
      <c r="X496" s="199"/>
      <c r="Y496" s="199"/>
      <c r="Z496" s="199"/>
      <c r="AA496" s="199"/>
      <c r="AB496" s="199"/>
      <c r="AC496" s="199"/>
      <c r="AD496" s="199"/>
      <c r="AL496" s="199"/>
      <c r="AM496" s="199"/>
      <c r="AN496" s="199"/>
      <c r="AO496" s="199"/>
      <c r="AP496" s="199"/>
      <c r="AQ496" s="199"/>
      <c r="AR496" s="199"/>
      <c r="AS496" s="199"/>
      <c r="AV496" s="199"/>
      <c r="AW496" s="199"/>
      <c r="AY496" s="199"/>
      <c r="AZ496" s="199"/>
      <c r="BD496" s="199"/>
      <c r="BF496" s="199"/>
    </row>
    <row r="497" spans="1:100" x14ac:dyDescent="0.2">
      <c r="A497" s="212"/>
      <c r="B497" s="212"/>
      <c r="C497" s="199"/>
      <c r="D497" s="199"/>
      <c r="E497" s="185"/>
      <c r="F497" s="199"/>
      <c r="G497" s="199"/>
      <c r="H497"/>
      <c r="I497" s="199"/>
      <c r="J497"/>
      <c r="K497"/>
      <c r="L497" s="199"/>
      <c r="M497" s="185"/>
      <c r="N497" s="199"/>
      <c r="O497" s="185"/>
      <c r="P497" s="185"/>
      <c r="Q497" s="199"/>
      <c r="R497" s="199"/>
      <c r="W497" s="199"/>
      <c r="X497" s="199"/>
      <c r="Y497" s="199"/>
      <c r="Z497" s="199"/>
      <c r="AA497" s="199"/>
      <c r="AB497" s="199"/>
      <c r="AC497" s="199"/>
      <c r="AD497" s="199"/>
      <c r="AL497" s="199"/>
      <c r="AM497" s="199"/>
      <c r="AN497" s="199"/>
      <c r="AO497" s="199"/>
      <c r="AP497" s="199"/>
      <c r="AQ497" s="199"/>
      <c r="AR497" s="199"/>
      <c r="AS497" s="199"/>
      <c r="AV497" s="199"/>
      <c r="AW497" s="199"/>
      <c r="AY497" s="199"/>
      <c r="AZ497" s="199"/>
      <c r="BD497" s="199"/>
      <c r="BF497" s="199"/>
    </row>
    <row r="498" spans="1:100" x14ac:dyDescent="0.2">
      <c r="A498" s="212"/>
      <c r="B498" s="212"/>
      <c r="C498" s="199"/>
      <c r="D498" s="199"/>
      <c r="E498" s="185"/>
      <c r="F498" s="199"/>
      <c r="G498" s="199"/>
      <c r="H498"/>
      <c r="I498" s="199"/>
      <c r="J498"/>
      <c r="K498"/>
      <c r="L498" s="199"/>
      <c r="M498" s="185"/>
      <c r="N498" s="199"/>
      <c r="O498" s="185"/>
      <c r="P498" s="185"/>
      <c r="Q498" s="199"/>
      <c r="R498" s="199"/>
      <c r="W498" s="199"/>
      <c r="X498" s="199"/>
      <c r="Y498" s="199"/>
      <c r="Z498" s="199"/>
      <c r="AA498" s="199"/>
      <c r="AB498" s="199"/>
      <c r="AC498" s="199"/>
      <c r="AD498" s="199"/>
      <c r="AL498" s="199"/>
      <c r="AM498" s="199"/>
      <c r="AN498" s="199"/>
      <c r="AO498" s="199"/>
      <c r="AP498" s="199"/>
      <c r="AQ498" s="199"/>
      <c r="AR498" s="199"/>
      <c r="AS498" s="199"/>
      <c r="AV498" s="199"/>
      <c r="AW498" s="199"/>
      <c r="AY498" s="199"/>
      <c r="AZ498" s="199"/>
      <c r="BD498" s="199"/>
      <c r="BF498" s="199"/>
    </row>
    <row r="499" spans="1:100" x14ac:dyDescent="0.2">
      <c r="A499" s="212"/>
      <c r="B499" s="212"/>
      <c r="C499" s="199"/>
      <c r="D499" s="199"/>
      <c r="E499" s="185"/>
      <c r="F499" s="199"/>
      <c r="G499" s="199"/>
      <c r="H499"/>
      <c r="I499" s="199"/>
      <c r="J499"/>
      <c r="K499"/>
      <c r="L499" s="199"/>
      <c r="M499" s="185"/>
      <c r="N499" s="199"/>
      <c r="O499" s="185"/>
      <c r="P499" s="185"/>
      <c r="Q499" s="199"/>
      <c r="R499" s="199"/>
      <c r="W499" s="199"/>
      <c r="X499" s="199"/>
      <c r="Y499" s="199"/>
      <c r="Z499" s="199"/>
      <c r="AA499" s="199"/>
      <c r="AB499" s="199"/>
      <c r="AC499" s="199"/>
      <c r="AD499" s="199"/>
      <c r="AL499" s="199"/>
      <c r="AM499" s="199"/>
      <c r="AN499" s="199"/>
      <c r="AO499" s="199"/>
      <c r="AP499" s="199"/>
      <c r="AQ499" s="199"/>
      <c r="AR499" s="199"/>
      <c r="AS499" s="199"/>
      <c r="AV499" s="199"/>
      <c r="AW499" s="199"/>
      <c r="AY499" s="199"/>
      <c r="AZ499" s="199"/>
      <c r="BD499" s="199"/>
      <c r="BF499" s="199"/>
    </row>
    <row r="500" spans="1:100" x14ac:dyDescent="0.2">
      <c r="A500" s="212"/>
      <c r="B500" s="212"/>
      <c r="C500" s="199"/>
      <c r="D500" s="199"/>
      <c r="E500" s="185"/>
      <c r="F500" s="199"/>
      <c r="G500" s="199"/>
      <c r="H500"/>
      <c r="I500" s="199"/>
      <c r="J500"/>
      <c r="K500"/>
      <c r="L500" s="199"/>
      <c r="M500" s="185"/>
      <c r="N500" s="199"/>
      <c r="O500" s="185"/>
      <c r="P500" s="185"/>
      <c r="Q500" s="199"/>
      <c r="R500" s="199"/>
      <c r="W500" s="199"/>
      <c r="X500" s="199"/>
      <c r="Y500" s="199"/>
      <c r="Z500" s="199"/>
      <c r="AA500" s="199"/>
      <c r="AB500" s="199"/>
      <c r="AC500" s="199"/>
      <c r="AD500" s="199"/>
      <c r="AL500" s="199"/>
      <c r="AM500" s="199"/>
      <c r="AN500" s="199"/>
      <c r="AO500" s="199"/>
      <c r="AP500" s="199"/>
      <c r="AQ500" s="199"/>
      <c r="AR500" s="199"/>
      <c r="AS500" s="199"/>
      <c r="AV500" s="199"/>
      <c r="AW500" s="199"/>
      <c r="AY500" s="199"/>
      <c r="AZ500" s="199"/>
      <c r="BD500" s="199"/>
      <c r="BF500" s="199"/>
    </row>
    <row r="501" spans="1:100" x14ac:dyDescent="0.2">
      <c r="A501" s="212"/>
      <c r="B501" s="212"/>
      <c r="C501" s="199"/>
      <c r="D501" s="199"/>
      <c r="E501" s="185"/>
      <c r="F501" s="199"/>
      <c r="G501" s="199"/>
      <c r="H501"/>
      <c r="I501" s="199"/>
      <c r="J501"/>
      <c r="K501"/>
      <c r="L501" s="199"/>
      <c r="M501" s="185"/>
      <c r="N501" s="199"/>
      <c r="O501" s="185"/>
      <c r="P501" s="185"/>
      <c r="Q501" s="199"/>
      <c r="R501" s="199"/>
      <c r="W501" s="199"/>
      <c r="X501" s="199"/>
      <c r="Y501" s="199"/>
      <c r="Z501" s="199"/>
      <c r="AA501" s="199"/>
      <c r="AB501" s="199"/>
      <c r="AC501" s="199"/>
      <c r="AD501" s="199"/>
      <c r="AL501" s="199"/>
      <c r="AM501" s="199"/>
      <c r="AN501" s="199"/>
      <c r="AO501" s="199"/>
      <c r="AP501" s="199"/>
      <c r="AQ501" s="199"/>
      <c r="AR501" s="199"/>
      <c r="AS501" s="199"/>
      <c r="AV501" s="199"/>
      <c r="AW501" s="199"/>
      <c r="AY501" s="199"/>
      <c r="AZ501" s="199"/>
      <c r="BD501" s="199"/>
      <c r="BF501" s="199"/>
    </row>
    <row r="502" spans="1:100" x14ac:dyDescent="0.2">
      <c r="A502" s="212"/>
      <c r="B502" s="212"/>
      <c r="C502" s="199"/>
      <c r="D502" s="199"/>
      <c r="E502" s="185"/>
      <c r="F502" s="199"/>
      <c r="G502" s="199"/>
      <c r="H502"/>
      <c r="I502" s="199"/>
      <c r="J502"/>
      <c r="K502"/>
      <c r="L502" s="199"/>
      <c r="M502" s="185"/>
      <c r="N502" s="199"/>
      <c r="O502" s="185"/>
      <c r="P502" s="185"/>
      <c r="Q502" s="199"/>
      <c r="R502" s="199"/>
      <c r="W502" s="199"/>
      <c r="X502" s="199"/>
      <c r="Y502" s="199"/>
      <c r="Z502" s="199"/>
      <c r="AA502" s="199"/>
      <c r="AB502" s="199"/>
      <c r="AC502" s="199"/>
      <c r="AD502" s="199"/>
      <c r="AL502" s="199"/>
      <c r="AM502" s="199"/>
      <c r="AN502" s="199"/>
      <c r="AO502" s="199"/>
      <c r="AP502" s="199"/>
      <c r="AQ502" s="199"/>
      <c r="AR502" s="199"/>
      <c r="AS502" s="199"/>
      <c r="AV502" s="199"/>
      <c r="AW502" s="199"/>
      <c r="AY502" s="199"/>
      <c r="AZ502" s="199"/>
      <c r="BD502" s="199"/>
      <c r="BF502" s="199"/>
    </row>
    <row r="503" spans="1:100" x14ac:dyDescent="0.2">
      <c r="A503" s="212"/>
      <c r="B503" s="212"/>
      <c r="C503" s="199"/>
      <c r="D503" s="199"/>
      <c r="E503" s="185"/>
      <c r="F503" s="199"/>
      <c r="G503" s="199"/>
      <c r="H503"/>
      <c r="I503" s="199"/>
      <c r="J503"/>
      <c r="K503"/>
      <c r="L503" s="199"/>
      <c r="M503" s="185"/>
      <c r="N503" s="199"/>
      <c r="O503" s="185"/>
      <c r="P503" s="185"/>
      <c r="Q503" s="199"/>
      <c r="R503" s="199"/>
      <c r="W503" s="199"/>
      <c r="X503" s="199"/>
      <c r="Y503" s="199"/>
      <c r="Z503" s="199"/>
      <c r="AA503" s="199"/>
      <c r="AB503" s="199"/>
      <c r="AC503" s="199"/>
      <c r="AD503" s="199"/>
      <c r="AL503" s="199"/>
      <c r="AM503" s="199"/>
      <c r="AN503" s="199"/>
      <c r="AO503" s="199"/>
      <c r="AP503" s="199"/>
      <c r="AQ503" s="199"/>
      <c r="AR503" s="199"/>
      <c r="AS503" s="199"/>
      <c r="AV503" s="199"/>
      <c r="AW503" s="199"/>
      <c r="AY503" s="199"/>
      <c r="AZ503" s="199"/>
      <c r="BD503" s="199"/>
      <c r="BF503" s="199"/>
    </row>
    <row r="504" spans="1:100" x14ac:dyDescent="0.2">
      <c r="A504" s="212"/>
      <c r="B504" s="212"/>
      <c r="C504" s="199"/>
      <c r="D504" s="199"/>
      <c r="E504" s="185"/>
      <c r="F504" s="199"/>
      <c r="G504" s="199"/>
      <c r="H504"/>
      <c r="I504" s="199"/>
      <c r="J504"/>
      <c r="K504"/>
      <c r="L504" s="199"/>
      <c r="M504" s="185"/>
      <c r="N504" s="199"/>
      <c r="O504" s="185"/>
      <c r="P504" s="185"/>
      <c r="Q504" s="199"/>
      <c r="R504" s="199"/>
      <c r="W504" s="199"/>
      <c r="X504" s="199"/>
      <c r="Y504" s="199"/>
      <c r="Z504" s="199"/>
      <c r="AA504" s="199"/>
      <c r="AB504" s="199"/>
      <c r="AC504" s="199"/>
      <c r="AD504" s="199"/>
      <c r="AL504" s="199"/>
      <c r="AM504" s="199"/>
      <c r="AN504" s="199"/>
      <c r="AO504" s="199"/>
      <c r="AP504" s="199"/>
      <c r="AQ504" s="199"/>
      <c r="AR504" s="199"/>
      <c r="AS504" s="199"/>
      <c r="AV504" s="199"/>
      <c r="AW504" s="199"/>
      <c r="AY504" s="199"/>
      <c r="AZ504" s="199"/>
      <c r="BD504" s="199"/>
      <c r="BF504" s="199"/>
    </row>
    <row r="505" spans="1:100" x14ac:dyDescent="0.2">
      <c r="A505" s="212"/>
      <c r="B505" s="212"/>
      <c r="C505" s="199"/>
      <c r="D505" s="199"/>
      <c r="E505" s="185"/>
      <c r="F505" s="199"/>
      <c r="G505" s="199"/>
      <c r="H505"/>
      <c r="I505" s="199"/>
      <c r="J505"/>
      <c r="K505"/>
      <c r="L505" s="199"/>
      <c r="M505" s="185"/>
      <c r="N505" s="199"/>
      <c r="O505" s="185"/>
      <c r="P505" s="185"/>
      <c r="Q505" s="199"/>
      <c r="R505" s="199"/>
      <c r="W505" s="199"/>
      <c r="X505" s="199"/>
      <c r="Y505" s="199"/>
      <c r="Z505" s="199"/>
      <c r="AA505" s="199"/>
      <c r="AB505" s="199"/>
      <c r="AC505" s="199"/>
      <c r="AD505" s="199"/>
      <c r="AL505" s="199"/>
      <c r="AM505" s="199"/>
      <c r="AN505" s="199"/>
      <c r="AO505" s="199"/>
      <c r="AP505" s="199"/>
      <c r="AQ505" s="199"/>
      <c r="AR505" s="199"/>
      <c r="AS505" s="199"/>
      <c r="AV505" s="199"/>
      <c r="AW505" s="199"/>
      <c r="AY505" s="199"/>
      <c r="AZ505" s="199"/>
      <c r="BD505" s="199"/>
      <c r="BF505" s="199"/>
    </row>
    <row r="506" spans="1:100" x14ac:dyDescent="0.2">
      <c r="A506" s="212"/>
      <c r="B506" s="212"/>
      <c r="C506" s="199"/>
      <c r="D506" s="199"/>
      <c r="E506" s="185"/>
      <c r="F506" s="199"/>
      <c r="G506" s="199"/>
      <c r="H506"/>
      <c r="I506" s="199"/>
      <c r="J506"/>
      <c r="K506"/>
      <c r="L506" s="199"/>
      <c r="M506" s="185"/>
      <c r="N506" s="199"/>
      <c r="O506" s="185"/>
      <c r="P506" s="185"/>
      <c r="Q506" s="199"/>
      <c r="R506" s="199"/>
      <c r="W506" s="199"/>
      <c r="X506" s="199"/>
      <c r="Y506" s="199"/>
      <c r="Z506" s="199"/>
      <c r="AA506" s="199"/>
      <c r="AB506" s="199"/>
      <c r="AC506" s="199"/>
      <c r="AD506" s="199"/>
      <c r="AL506" s="199"/>
      <c r="AM506" s="199"/>
      <c r="AN506" s="199"/>
      <c r="AO506" s="199"/>
      <c r="AP506" s="199"/>
      <c r="AQ506" s="199"/>
      <c r="AR506" s="199"/>
      <c r="AS506" s="199"/>
      <c r="AV506" s="199"/>
      <c r="AW506" s="199"/>
      <c r="AY506" s="199"/>
      <c r="AZ506" s="199"/>
      <c r="BD506" s="199"/>
      <c r="BF506" s="199"/>
    </row>
    <row r="507" spans="1:100" x14ac:dyDescent="0.2">
      <c r="A507" s="212"/>
      <c r="B507" s="212"/>
      <c r="C507" s="199"/>
      <c r="D507" s="199"/>
      <c r="E507" s="185"/>
      <c r="F507" s="199"/>
      <c r="G507" s="199"/>
      <c r="H507" s="199"/>
      <c r="I507" s="199"/>
      <c r="J507"/>
      <c r="K507"/>
      <c r="L507" s="199"/>
      <c r="M507" s="185"/>
      <c r="N507" s="199"/>
      <c r="O507" s="185"/>
      <c r="P507" s="185"/>
      <c r="Q507" s="199"/>
      <c r="R507" s="199"/>
      <c r="W507" s="199"/>
      <c r="X507" s="199"/>
      <c r="Y507" s="199"/>
      <c r="Z507" s="199"/>
      <c r="AA507" s="199"/>
      <c r="AB507" s="199"/>
      <c r="AC507" s="199"/>
      <c r="AD507" s="199"/>
      <c r="AL507" s="199"/>
      <c r="AM507" s="199"/>
      <c r="AN507" s="199"/>
      <c r="AO507" s="199"/>
      <c r="AP507" s="199"/>
      <c r="AQ507" s="199"/>
      <c r="AR507" s="199"/>
      <c r="AS507" s="199"/>
      <c r="AV507" s="199"/>
      <c r="AW507" s="199"/>
      <c r="AX507" s="199"/>
      <c r="AY507" s="199"/>
      <c r="AZ507" s="199"/>
      <c r="BD507" s="199"/>
      <c r="BF507" s="199"/>
    </row>
    <row r="508" spans="1:100" x14ac:dyDescent="0.2">
      <c r="A508" s="212"/>
      <c r="B508" s="212"/>
      <c r="C508" s="199"/>
      <c r="D508" s="199"/>
      <c r="E508" s="185"/>
      <c r="F508" s="199"/>
      <c r="G508" s="199"/>
      <c r="H508"/>
      <c r="I508" s="199"/>
      <c r="J508"/>
      <c r="K508"/>
      <c r="L508" s="199"/>
      <c r="M508" s="185"/>
      <c r="N508" s="199"/>
      <c r="O508" s="185"/>
      <c r="P508" s="185"/>
      <c r="Q508" s="199"/>
      <c r="R508" s="199"/>
      <c r="W508" s="199"/>
      <c r="X508" s="199"/>
      <c r="Y508" s="199"/>
      <c r="Z508" s="199"/>
      <c r="AA508" s="199"/>
      <c r="AB508" s="199"/>
      <c r="AC508" s="199"/>
      <c r="AD508" s="199"/>
      <c r="AL508" s="199"/>
      <c r="AM508" s="199"/>
      <c r="AN508" s="199"/>
      <c r="AO508" s="199"/>
      <c r="AP508" s="199"/>
      <c r="AQ508" s="199"/>
      <c r="AR508" s="199"/>
      <c r="AS508" s="199"/>
      <c r="AV508" s="199"/>
      <c r="AW508" s="199"/>
      <c r="AY508" s="199"/>
      <c r="AZ508" s="199"/>
      <c r="BD508" s="199"/>
      <c r="BF508" s="199"/>
    </row>
    <row r="509" spans="1:100" x14ac:dyDescent="0.2">
      <c r="A509" s="212"/>
      <c r="B509" s="212"/>
      <c r="C509" s="199"/>
      <c r="D509" s="199"/>
      <c r="E509" s="185"/>
      <c r="F509" s="199"/>
      <c r="G509" s="199"/>
      <c r="H509" s="199"/>
      <c r="I509" s="199"/>
      <c r="J509"/>
      <c r="K509"/>
      <c r="L509" s="199"/>
      <c r="M509" s="185"/>
      <c r="N509" s="199"/>
      <c r="O509" s="185"/>
      <c r="P509" s="185"/>
      <c r="Q509" s="199"/>
      <c r="R509" s="199"/>
      <c r="W509" s="199"/>
      <c r="X509" s="199"/>
      <c r="Y509" s="199"/>
      <c r="Z509" s="199"/>
      <c r="AA509" s="199"/>
      <c r="AB509" s="199"/>
      <c r="AC509" s="199"/>
      <c r="AD509" s="199"/>
      <c r="AL509" s="199"/>
      <c r="AM509" s="199"/>
      <c r="AN509" s="199"/>
      <c r="AO509" s="199"/>
      <c r="AP509" s="199"/>
      <c r="AQ509" s="199"/>
      <c r="AR509" s="199"/>
      <c r="AS509" s="199"/>
      <c r="AV509" s="199"/>
      <c r="AW509" s="199"/>
      <c r="AX509" s="199"/>
      <c r="AY509" s="199"/>
      <c r="AZ509" s="199"/>
      <c r="BD509" s="199"/>
      <c r="BF509" s="199"/>
    </row>
    <row r="510" spans="1:100" x14ac:dyDescent="0.2">
      <c r="A510" s="212"/>
      <c r="B510" s="212"/>
      <c r="C510" s="199"/>
      <c r="D510" s="199"/>
      <c r="E510" s="185"/>
      <c r="F510" s="199"/>
      <c r="G510" s="199"/>
      <c r="H510"/>
      <c r="I510" s="199"/>
      <c r="J510"/>
      <c r="K510"/>
      <c r="L510" s="199"/>
      <c r="M510" s="185"/>
      <c r="N510" s="199"/>
      <c r="O510" s="185"/>
      <c r="P510" s="185"/>
      <c r="Q510" s="199"/>
      <c r="R510" s="199"/>
      <c r="W510" s="199"/>
      <c r="X510" s="199"/>
      <c r="Y510" s="199"/>
      <c r="Z510" s="199"/>
      <c r="AA510" s="199"/>
      <c r="AB510" s="199"/>
      <c r="AC510" s="199"/>
      <c r="AD510" s="199"/>
      <c r="AL510" s="199"/>
      <c r="AM510" s="199"/>
      <c r="AN510" s="199"/>
      <c r="AO510" s="199"/>
      <c r="AP510" s="199"/>
      <c r="AQ510" s="199"/>
      <c r="AR510" s="199"/>
      <c r="AS510" s="199"/>
      <c r="AV510" s="199"/>
      <c r="AW510" s="199"/>
      <c r="AY510" s="199"/>
      <c r="AZ510" s="199"/>
      <c r="BD510" s="199"/>
      <c r="BF510" s="199"/>
    </row>
    <row r="511" spans="1:100" x14ac:dyDescent="0.2">
      <c r="A511" s="212"/>
      <c r="B511" s="212"/>
      <c r="C511" s="199"/>
      <c r="D511" s="199"/>
      <c r="E511" s="185"/>
      <c r="F511" s="199"/>
      <c r="G511" s="199"/>
      <c r="H511" s="199"/>
      <c r="I511" s="199"/>
      <c r="J511" s="199"/>
      <c r="K511" s="199"/>
      <c r="L511" s="199"/>
      <c r="M511" s="185"/>
      <c r="N511" s="199"/>
      <c r="O511" s="185"/>
      <c r="P511" s="185"/>
      <c r="Q511" s="199"/>
      <c r="R511" s="199"/>
      <c r="W511" s="199"/>
      <c r="X511" s="199"/>
      <c r="Y511" s="199"/>
      <c r="Z511" s="199"/>
      <c r="AA511" s="199"/>
      <c r="AB511" s="199"/>
      <c r="AC511" s="199"/>
      <c r="AD511" s="199"/>
      <c r="AL511" s="199"/>
      <c r="AM511" s="199"/>
      <c r="AN511" s="199"/>
      <c r="AO511" s="199"/>
      <c r="AP511" s="199"/>
      <c r="AQ511" s="199"/>
      <c r="AR511" s="199"/>
      <c r="AS511" s="199"/>
      <c r="AV511" s="199"/>
      <c r="AW511" s="199"/>
      <c r="AX511" s="199"/>
      <c r="AY511" s="199"/>
      <c r="AZ511" s="199"/>
      <c r="BA511" s="199"/>
      <c r="BB511" s="199"/>
      <c r="BD511" s="199"/>
      <c r="BF511" s="199"/>
      <c r="BG511" s="194"/>
      <c r="BJ511" s="194"/>
      <c r="BK511" s="194"/>
      <c r="BL511" s="194"/>
      <c r="BM511" s="194"/>
      <c r="BN511" s="194"/>
      <c r="BO511" s="194"/>
      <c r="BP511" s="194"/>
      <c r="BQ511" s="194"/>
      <c r="BR511" s="194"/>
      <c r="BS511" s="194"/>
      <c r="BT511" s="194"/>
      <c r="BU511" s="194"/>
      <c r="BV511" s="194"/>
      <c r="BW511" s="194"/>
      <c r="BX511" s="194"/>
      <c r="BY511" s="194"/>
      <c r="BZ511" s="194"/>
      <c r="CA511" s="194"/>
      <c r="CB511" s="194"/>
      <c r="CC511" s="194"/>
      <c r="CD511" s="194"/>
      <c r="CE511" s="194"/>
      <c r="CF511" s="194"/>
      <c r="CG511" s="194"/>
      <c r="CH511" s="194"/>
      <c r="CI511" s="194"/>
      <c r="CJ511" s="194"/>
      <c r="CK511" s="194"/>
      <c r="CL511" s="194"/>
      <c r="CM511" s="194"/>
      <c r="CN511" s="194"/>
      <c r="CP511" s="194"/>
      <c r="CQ511" s="194"/>
      <c r="CR511" s="194"/>
      <c r="CS511" s="194"/>
      <c r="CT511" s="194"/>
      <c r="CU511" s="194"/>
      <c r="CV511" s="194"/>
    </row>
    <row r="512" spans="1:100" x14ac:dyDescent="0.2">
      <c r="A512" s="212"/>
      <c r="B512" s="212"/>
      <c r="C512" s="199"/>
      <c r="D512" s="199"/>
      <c r="E512" s="185"/>
      <c r="F512" s="199"/>
      <c r="G512" s="199"/>
      <c r="H512"/>
      <c r="I512" s="199"/>
      <c r="J512"/>
      <c r="K512"/>
      <c r="L512" s="199"/>
      <c r="M512" s="185"/>
      <c r="N512" s="199"/>
      <c r="O512" s="185"/>
      <c r="P512" s="185"/>
      <c r="Q512" s="199"/>
      <c r="R512" s="199"/>
      <c r="W512" s="199"/>
      <c r="X512" s="199"/>
      <c r="Y512" s="199"/>
      <c r="Z512" s="199"/>
      <c r="AA512" s="199"/>
      <c r="AB512" s="199"/>
      <c r="AC512" s="199"/>
      <c r="AD512" s="199"/>
      <c r="AL512" s="199"/>
      <c r="AM512" s="199"/>
      <c r="AN512" s="199"/>
      <c r="AO512" s="199"/>
      <c r="AP512" s="199"/>
      <c r="AQ512" s="199"/>
      <c r="AR512" s="199"/>
      <c r="AS512" s="199"/>
      <c r="AV512" s="199"/>
      <c r="AW512" s="199"/>
      <c r="AY512" s="199"/>
      <c r="AZ512" s="199"/>
      <c r="BD512" s="199"/>
      <c r="BF512" s="199"/>
    </row>
    <row r="513" spans="1:58" x14ac:dyDescent="0.2">
      <c r="A513" s="212"/>
      <c r="B513" s="212"/>
      <c r="C513" s="199"/>
      <c r="D513" s="199"/>
      <c r="E513" s="185"/>
      <c r="F513" s="199"/>
      <c r="G513" s="199"/>
      <c r="H513"/>
      <c r="I513" s="199"/>
      <c r="J513"/>
      <c r="K513"/>
      <c r="L513" s="199"/>
      <c r="M513" s="185"/>
      <c r="N513" s="199"/>
      <c r="O513" s="185"/>
      <c r="P513" s="185"/>
      <c r="Q513" s="199"/>
      <c r="R513" s="199"/>
      <c r="W513" s="199"/>
      <c r="X513" s="199"/>
      <c r="Y513" s="199"/>
      <c r="Z513" s="199"/>
      <c r="AA513" s="199"/>
      <c r="AB513" s="199"/>
      <c r="AC513" s="199"/>
      <c r="AD513" s="199"/>
      <c r="AL513" s="199"/>
      <c r="AM513" s="199"/>
      <c r="AN513" s="199"/>
      <c r="AO513" s="199"/>
      <c r="AP513" s="199"/>
      <c r="AQ513" s="199"/>
      <c r="AR513" s="199"/>
      <c r="AS513" s="199"/>
      <c r="AV513" s="199"/>
      <c r="AW513" s="199"/>
      <c r="AY513" s="199"/>
      <c r="AZ513" s="199"/>
      <c r="BD513" s="199"/>
      <c r="BF513" s="199"/>
    </row>
    <row r="514" spans="1:58" x14ac:dyDescent="0.2">
      <c r="A514" s="212"/>
      <c r="B514" s="212"/>
      <c r="C514" s="199"/>
      <c r="D514" s="199"/>
      <c r="E514" s="185"/>
      <c r="F514" s="199"/>
      <c r="G514" s="199"/>
      <c r="H514"/>
      <c r="I514" s="199"/>
      <c r="J514"/>
      <c r="K514"/>
      <c r="L514" s="199"/>
      <c r="M514" s="185"/>
      <c r="N514" s="199"/>
      <c r="O514" s="185"/>
      <c r="P514" s="185"/>
      <c r="Q514" s="199"/>
      <c r="R514" s="199"/>
      <c r="W514" s="199"/>
      <c r="X514" s="199"/>
      <c r="Y514" s="199"/>
      <c r="Z514" s="199"/>
      <c r="AA514" s="199"/>
      <c r="AB514" s="199"/>
      <c r="AC514" s="199"/>
      <c r="AD514" s="199"/>
      <c r="AL514" s="199"/>
      <c r="AM514" s="199"/>
      <c r="AN514" s="199"/>
      <c r="AO514" s="199"/>
      <c r="AP514" s="199"/>
      <c r="AQ514" s="199"/>
      <c r="AR514" s="199"/>
      <c r="AS514" s="199"/>
      <c r="AV514" s="199"/>
      <c r="AW514" s="199"/>
      <c r="AY514" s="199"/>
      <c r="AZ514" s="199"/>
      <c r="BD514" s="199"/>
      <c r="BF514" s="199"/>
    </row>
    <row r="515" spans="1:58" x14ac:dyDescent="0.2">
      <c r="A515" s="212"/>
      <c r="B515" s="212"/>
      <c r="C515" s="199"/>
      <c r="D515" s="199"/>
      <c r="E515" s="185"/>
      <c r="F515" s="199"/>
      <c r="G515" s="199"/>
      <c r="H515"/>
      <c r="I515" s="199"/>
      <c r="J515"/>
      <c r="K515"/>
      <c r="L515" s="199"/>
      <c r="M515" s="185"/>
      <c r="N515" s="199"/>
      <c r="O515" s="185"/>
      <c r="P515" s="185"/>
      <c r="Q515" s="199"/>
      <c r="R515" s="199"/>
      <c r="W515" s="199"/>
      <c r="X515" s="199"/>
      <c r="Y515" s="199"/>
      <c r="Z515" s="199"/>
      <c r="AA515" s="199"/>
      <c r="AB515" s="199"/>
      <c r="AC515" s="199"/>
      <c r="AD515" s="199"/>
      <c r="AL515" s="199"/>
      <c r="AM515" s="199"/>
      <c r="AN515" s="199"/>
      <c r="AO515" s="199"/>
      <c r="AP515" s="199"/>
      <c r="AQ515" s="199"/>
      <c r="AR515" s="199"/>
      <c r="AS515" s="199"/>
      <c r="AV515" s="199"/>
      <c r="AW515" s="199"/>
      <c r="AY515" s="199"/>
      <c r="AZ515" s="199"/>
      <c r="BD515" s="199"/>
      <c r="BF515" s="199"/>
    </row>
    <row r="516" spans="1:58" x14ac:dyDescent="0.2">
      <c r="A516" s="212"/>
      <c r="B516" s="212"/>
      <c r="C516" s="199"/>
      <c r="D516" s="199"/>
      <c r="E516" s="185"/>
      <c r="F516" s="199"/>
      <c r="G516" s="199"/>
      <c r="H516"/>
      <c r="I516" s="199"/>
      <c r="J516"/>
      <c r="K516"/>
      <c r="L516" s="199"/>
      <c r="M516" s="185"/>
      <c r="N516" s="199"/>
      <c r="O516" s="185"/>
      <c r="P516" s="185"/>
      <c r="Q516" s="199"/>
      <c r="R516" s="199"/>
      <c r="W516" s="199"/>
      <c r="X516" s="199"/>
      <c r="Y516" s="199"/>
      <c r="Z516" s="199"/>
      <c r="AA516" s="199"/>
      <c r="AB516" s="199"/>
      <c r="AC516" s="199"/>
      <c r="AD516" s="199"/>
      <c r="AL516" s="199"/>
      <c r="AM516" s="199"/>
      <c r="AN516" s="199"/>
      <c r="AO516" s="199"/>
      <c r="AP516" s="199"/>
      <c r="AQ516" s="199"/>
      <c r="AR516" s="199"/>
      <c r="AS516" s="199"/>
      <c r="AV516" s="199"/>
      <c r="AW516" s="199"/>
      <c r="AY516" s="199"/>
      <c r="AZ516" s="199"/>
      <c r="BD516" s="199"/>
      <c r="BF516" s="199"/>
    </row>
    <row r="517" spans="1:58" x14ac:dyDescent="0.2">
      <c r="A517" s="212"/>
      <c r="B517" s="212"/>
      <c r="C517" s="199"/>
      <c r="D517" s="199"/>
      <c r="E517" s="185"/>
      <c r="F517" s="199"/>
      <c r="G517" s="199"/>
      <c r="H517"/>
      <c r="I517" s="199"/>
      <c r="J517"/>
      <c r="K517"/>
      <c r="L517" s="199"/>
      <c r="M517" s="185"/>
      <c r="N517" s="199"/>
      <c r="O517" s="185"/>
      <c r="P517" s="185"/>
      <c r="Q517" s="199"/>
      <c r="R517" s="199"/>
      <c r="W517" s="199"/>
      <c r="X517" s="199"/>
      <c r="Y517" s="199"/>
      <c r="Z517" s="199"/>
      <c r="AA517" s="199"/>
      <c r="AB517" s="199"/>
      <c r="AC517" s="199"/>
      <c r="AD517" s="199"/>
      <c r="AL517" s="199"/>
      <c r="AM517" s="199"/>
      <c r="AN517" s="199"/>
      <c r="AO517" s="199"/>
      <c r="AP517" s="199"/>
      <c r="AQ517" s="199"/>
      <c r="AR517" s="199"/>
      <c r="AS517" s="199"/>
      <c r="AV517" s="199"/>
      <c r="AW517" s="199"/>
      <c r="AY517" s="199"/>
      <c r="AZ517" s="199"/>
      <c r="BD517" s="199"/>
      <c r="BF517" s="199"/>
    </row>
    <row r="518" spans="1:58" x14ac:dyDescent="0.2">
      <c r="A518" s="212"/>
      <c r="B518" s="212"/>
      <c r="C518" s="199"/>
      <c r="D518" s="199"/>
      <c r="E518" s="185"/>
      <c r="F518" s="199"/>
      <c r="G518" s="199"/>
      <c r="H518"/>
      <c r="I518" s="199"/>
      <c r="J518"/>
      <c r="K518"/>
      <c r="L518" s="199"/>
      <c r="M518" s="185"/>
      <c r="N518" s="199"/>
      <c r="O518" s="185"/>
      <c r="P518" s="185"/>
      <c r="Q518" s="199"/>
      <c r="R518" s="199"/>
      <c r="W518" s="199"/>
      <c r="X518" s="199"/>
      <c r="Y518" s="199"/>
      <c r="Z518" s="199"/>
      <c r="AA518" s="199"/>
      <c r="AB518" s="199"/>
      <c r="AC518" s="199"/>
      <c r="AD518" s="199"/>
      <c r="AL518" s="199"/>
      <c r="AM518" s="199"/>
      <c r="AN518" s="199"/>
      <c r="AO518" s="199"/>
      <c r="AP518" s="199"/>
      <c r="AQ518" s="199"/>
      <c r="AR518" s="199"/>
      <c r="AS518" s="199"/>
      <c r="AV518" s="199"/>
      <c r="AW518" s="199"/>
      <c r="AY518" s="199"/>
      <c r="AZ518" s="199"/>
      <c r="BD518" s="199"/>
      <c r="BF518" s="199"/>
    </row>
    <row r="519" spans="1:58" x14ac:dyDescent="0.2">
      <c r="A519" s="212"/>
      <c r="B519" s="212"/>
      <c r="C519" s="199"/>
      <c r="D519" s="199"/>
      <c r="E519" s="185"/>
      <c r="F519" s="199"/>
      <c r="G519" s="199"/>
      <c r="H519" s="199"/>
      <c r="O519" s="185"/>
      <c r="P519" s="185"/>
      <c r="Q519" s="199"/>
      <c r="AB519" s="199"/>
      <c r="AC519" s="199"/>
      <c r="AE519"/>
    </row>
    <row r="520" spans="1:58" x14ac:dyDescent="0.2">
      <c r="A520" s="212"/>
      <c r="B520" s="212"/>
      <c r="C520" s="199"/>
      <c r="D520" s="199"/>
      <c r="E520" s="185"/>
      <c r="F520" s="199"/>
      <c r="G520" s="199"/>
      <c r="H520" s="199"/>
      <c r="O520" s="185"/>
      <c r="P520" s="185"/>
      <c r="Q520" s="199"/>
      <c r="AB520" s="199"/>
      <c r="AC520" s="199"/>
      <c r="AE520"/>
    </row>
    <row r="521" spans="1:58" x14ac:dyDescent="0.2">
      <c r="A521" s="212"/>
      <c r="B521" s="212"/>
      <c r="C521" s="199"/>
      <c r="D521" s="199"/>
      <c r="E521" s="185"/>
      <c r="F521" s="199"/>
      <c r="G521" s="199"/>
      <c r="H521" s="199"/>
      <c r="O521" s="185"/>
      <c r="P521" s="185"/>
      <c r="Q521" s="199"/>
      <c r="AB521" s="199"/>
      <c r="AC521" s="199"/>
      <c r="AE521"/>
    </row>
    <row r="522" spans="1:58" x14ac:dyDescent="0.2">
      <c r="A522" s="212"/>
      <c r="B522" s="212"/>
      <c r="C522" s="199"/>
      <c r="D522" s="199"/>
      <c r="E522" s="185"/>
      <c r="F522" s="199"/>
      <c r="G522" s="199"/>
      <c r="H522" s="199"/>
      <c r="O522" s="185"/>
      <c r="P522" s="185"/>
      <c r="Q522" s="199"/>
      <c r="AB522" s="199"/>
      <c r="AC522" s="199"/>
      <c r="AE522"/>
    </row>
    <row r="523" spans="1:58" x14ac:dyDescent="0.2">
      <c r="A523" s="212"/>
      <c r="B523" s="212"/>
      <c r="C523" s="199"/>
      <c r="D523" s="199"/>
      <c r="E523" s="185"/>
      <c r="F523" s="199"/>
      <c r="G523" s="199"/>
      <c r="H523" s="199"/>
      <c r="O523" s="185"/>
      <c r="P523" s="185"/>
      <c r="Q523" s="199"/>
      <c r="AB523" s="199"/>
      <c r="AC523" s="199"/>
      <c r="AE523"/>
    </row>
    <row r="524" spans="1:58" x14ac:dyDescent="0.2">
      <c r="A524" s="212"/>
      <c r="B524" s="212"/>
      <c r="C524" s="199"/>
      <c r="D524" s="199"/>
      <c r="E524" s="185"/>
      <c r="F524" s="199"/>
      <c r="G524" s="199"/>
      <c r="H524" s="199"/>
      <c r="O524" s="185"/>
      <c r="P524" s="185"/>
      <c r="Q524" s="199"/>
      <c r="AB524" s="199"/>
      <c r="AC524" s="199"/>
      <c r="AE524"/>
    </row>
    <row r="525" spans="1:58" x14ac:dyDescent="0.2">
      <c r="A525" s="212"/>
      <c r="B525" s="212"/>
      <c r="C525" s="199"/>
      <c r="D525" s="199"/>
      <c r="E525" s="185"/>
      <c r="F525" s="199"/>
      <c r="G525" s="199"/>
      <c r="H525" s="199"/>
      <c r="O525" s="185"/>
      <c r="P525" s="185"/>
      <c r="Q525" s="199"/>
      <c r="AB525" s="199"/>
      <c r="AC525" s="199"/>
      <c r="AE525"/>
    </row>
    <row r="526" spans="1:58" x14ac:dyDescent="0.2">
      <c r="A526" s="212"/>
      <c r="B526" s="212"/>
      <c r="C526" s="199"/>
      <c r="D526" s="199"/>
      <c r="E526" s="185"/>
      <c r="F526" s="199"/>
      <c r="G526" s="199"/>
      <c r="H526" s="199"/>
      <c r="O526" s="185"/>
      <c r="P526" s="185"/>
      <c r="Q526" s="199"/>
      <c r="AB526" s="199"/>
      <c r="AC526" s="199"/>
      <c r="AE526"/>
    </row>
    <row r="527" spans="1:58" x14ac:dyDescent="0.2">
      <c r="A527" s="212"/>
      <c r="B527" s="212"/>
      <c r="C527" s="199"/>
      <c r="D527" s="199"/>
      <c r="E527" s="185"/>
      <c r="F527" s="199"/>
      <c r="G527" s="199"/>
      <c r="H527" s="199"/>
      <c r="O527" s="185"/>
      <c r="P527" s="185"/>
      <c r="Q527" s="199"/>
      <c r="AB527" s="199"/>
      <c r="AC527" s="199"/>
      <c r="AE527"/>
    </row>
    <row r="528" spans="1:58" x14ac:dyDescent="0.2">
      <c r="A528" s="212"/>
      <c r="B528" s="212"/>
      <c r="C528" s="199"/>
      <c r="D528" s="199"/>
      <c r="E528" s="185"/>
      <c r="F528" s="199"/>
      <c r="G528" s="199"/>
      <c r="H528" s="199"/>
      <c r="O528" s="185"/>
      <c r="P528" s="185"/>
      <c r="Q528" s="199"/>
      <c r="AB528" s="199"/>
      <c r="AC528" s="199"/>
      <c r="AE528"/>
    </row>
    <row r="529" spans="1:31" x14ac:dyDescent="0.2">
      <c r="A529" s="212"/>
      <c r="B529" s="212"/>
      <c r="C529" s="199"/>
      <c r="D529" s="199"/>
      <c r="E529" s="185"/>
      <c r="F529" s="199"/>
      <c r="G529" s="199"/>
      <c r="H529" s="199"/>
      <c r="O529" s="185"/>
      <c r="P529" s="185"/>
      <c r="Q529" s="199"/>
      <c r="AB529" s="199"/>
      <c r="AC529" s="199"/>
      <c r="AE529"/>
    </row>
    <row r="530" spans="1:31" x14ac:dyDescent="0.2">
      <c r="A530" s="212"/>
      <c r="B530" s="212"/>
      <c r="C530" s="199"/>
      <c r="D530" s="199"/>
      <c r="E530" s="185"/>
      <c r="F530" s="199"/>
      <c r="G530" s="199"/>
      <c r="H530" s="199"/>
      <c r="O530" s="185"/>
      <c r="P530" s="185"/>
      <c r="Q530" s="199"/>
      <c r="AB530" s="199"/>
      <c r="AC530" s="199"/>
      <c r="AE530"/>
    </row>
    <row r="531" spans="1:31" x14ac:dyDescent="0.2">
      <c r="A531" s="212"/>
      <c r="B531" s="212"/>
      <c r="C531" s="199"/>
      <c r="D531" s="199"/>
      <c r="E531" s="185"/>
      <c r="F531" s="199"/>
      <c r="G531" s="199"/>
      <c r="H531" s="199"/>
      <c r="O531" s="185"/>
      <c r="P531" s="185"/>
      <c r="Q531" s="199"/>
      <c r="AB531" s="199"/>
      <c r="AC531" s="199"/>
      <c r="AE531"/>
    </row>
    <row r="532" spans="1:31" x14ac:dyDescent="0.2">
      <c r="A532" s="212"/>
      <c r="B532" s="212"/>
      <c r="C532" s="199"/>
      <c r="D532" s="199"/>
      <c r="E532" s="185"/>
      <c r="F532" s="199"/>
      <c r="G532" s="199"/>
      <c r="H532" s="199"/>
      <c r="O532" s="185"/>
      <c r="P532" s="185"/>
      <c r="Q532" s="199"/>
      <c r="AB532" s="199"/>
      <c r="AC532" s="199"/>
      <c r="AE532"/>
    </row>
    <row r="533" spans="1:31" x14ac:dyDescent="0.2">
      <c r="A533" s="212"/>
      <c r="B533" s="212"/>
      <c r="C533" s="199"/>
      <c r="D533" s="199"/>
      <c r="E533" s="185"/>
      <c r="F533" s="199"/>
      <c r="G533" s="199"/>
      <c r="H533" s="199"/>
      <c r="O533" s="185"/>
      <c r="P533" s="185"/>
      <c r="Q533" s="199"/>
      <c r="AB533" s="199"/>
      <c r="AC533" s="199"/>
      <c r="AE533"/>
    </row>
    <row r="534" spans="1:31" x14ac:dyDescent="0.2">
      <c r="A534" s="212"/>
      <c r="B534" s="212"/>
      <c r="C534" s="199"/>
      <c r="D534" s="199"/>
      <c r="E534" s="185"/>
      <c r="F534" s="199"/>
      <c r="G534" s="199"/>
      <c r="H534" s="199"/>
      <c r="O534" s="185"/>
      <c r="P534" s="185"/>
      <c r="Q534" s="199"/>
      <c r="AB534" s="199"/>
      <c r="AC534" s="199"/>
      <c r="AE534"/>
    </row>
    <row r="535" spans="1:31" x14ac:dyDescent="0.2">
      <c r="A535" s="212"/>
      <c r="B535" s="212"/>
      <c r="C535" s="199"/>
      <c r="D535" s="199"/>
      <c r="E535" s="185"/>
      <c r="F535" s="199"/>
      <c r="G535" s="199"/>
      <c r="H535" s="199"/>
      <c r="O535" s="185"/>
      <c r="P535" s="185"/>
      <c r="Q535" s="199"/>
      <c r="AB535" s="199"/>
      <c r="AC535" s="199"/>
      <c r="AE535"/>
    </row>
    <row r="536" spans="1:31" x14ac:dyDescent="0.2">
      <c r="A536" s="212"/>
      <c r="B536" s="212"/>
      <c r="C536" s="199"/>
      <c r="D536" s="199"/>
      <c r="E536" s="185"/>
      <c r="F536" s="199"/>
      <c r="G536" s="199"/>
      <c r="H536" s="199"/>
      <c r="O536" s="185"/>
      <c r="P536" s="185"/>
      <c r="Q536" s="199"/>
      <c r="AB536" s="199"/>
      <c r="AC536" s="199"/>
      <c r="AE536"/>
    </row>
    <row r="537" spans="1:31" x14ac:dyDescent="0.2">
      <c r="A537" s="212"/>
      <c r="B537" s="212"/>
      <c r="C537" s="199"/>
      <c r="D537" s="199"/>
      <c r="E537" s="185"/>
      <c r="F537" s="199"/>
      <c r="G537" s="199"/>
      <c r="H537" s="199"/>
      <c r="O537" s="185"/>
      <c r="P537" s="185"/>
      <c r="Q537" s="199"/>
      <c r="AB537" s="199"/>
      <c r="AC537" s="199"/>
      <c r="AE537"/>
    </row>
    <row r="538" spans="1:31" x14ac:dyDescent="0.2">
      <c r="A538" s="212"/>
      <c r="B538" s="212"/>
      <c r="C538" s="199"/>
      <c r="D538" s="199"/>
      <c r="E538" s="185"/>
      <c r="F538" s="199"/>
      <c r="G538" s="199"/>
      <c r="H538" s="199"/>
      <c r="O538" s="185"/>
      <c r="P538" s="185"/>
      <c r="Q538" s="199"/>
      <c r="AB538" s="199"/>
      <c r="AC538" s="199"/>
      <c r="AE538"/>
    </row>
    <row r="539" spans="1:31" x14ac:dyDescent="0.2">
      <c r="A539" s="212"/>
      <c r="B539" s="212"/>
      <c r="C539" s="199"/>
      <c r="D539" s="199"/>
      <c r="E539" s="185"/>
      <c r="F539" s="199"/>
      <c r="G539" s="199"/>
      <c r="H539" s="199"/>
      <c r="O539" s="185"/>
      <c r="P539" s="185"/>
      <c r="Q539" s="199"/>
      <c r="AB539" s="199"/>
      <c r="AC539" s="199"/>
      <c r="AE539"/>
    </row>
    <row r="540" spans="1:31" x14ac:dyDescent="0.2">
      <c r="A540" s="212"/>
      <c r="B540" s="212"/>
      <c r="C540" s="199"/>
      <c r="D540" s="199"/>
      <c r="E540" s="185"/>
      <c r="F540" s="199"/>
      <c r="G540" s="199"/>
      <c r="H540" s="199"/>
      <c r="O540" s="185"/>
      <c r="P540" s="185"/>
      <c r="Q540" s="199"/>
      <c r="AB540" s="199"/>
      <c r="AC540" s="199"/>
      <c r="AE540"/>
    </row>
    <row r="541" spans="1:31" x14ac:dyDescent="0.2">
      <c r="A541" s="212"/>
      <c r="B541" s="212"/>
      <c r="C541" s="199"/>
      <c r="D541" s="199"/>
      <c r="E541" s="185"/>
      <c r="F541" s="199"/>
      <c r="G541" s="199"/>
      <c r="H541" s="199"/>
      <c r="O541" s="185"/>
      <c r="P541" s="185"/>
      <c r="Q541" s="199"/>
      <c r="AB541" s="199"/>
      <c r="AC541" s="199"/>
      <c r="AE541"/>
    </row>
    <row r="542" spans="1:31" x14ac:dyDescent="0.2">
      <c r="A542" s="212"/>
      <c r="B542" s="212"/>
      <c r="C542" s="199"/>
      <c r="D542" s="199"/>
      <c r="E542" s="185"/>
      <c r="F542" s="199"/>
      <c r="G542" s="199"/>
      <c r="H542" s="199"/>
      <c r="O542" s="185"/>
      <c r="P542" s="185"/>
      <c r="Q542" s="199"/>
      <c r="AB542" s="199"/>
      <c r="AC542" s="199"/>
      <c r="AE542"/>
    </row>
    <row r="543" spans="1:31" x14ac:dyDescent="0.2">
      <c r="A543" s="212"/>
      <c r="B543" s="212"/>
      <c r="C543" s="199"/>
      <c r="D543" s="199"/>
      <c r="E543" s="185"/>
      <c r="F543" s="199"/>
      <c r="G543" s="199"/>
      <c r="H543" s="199"/>
      <c r="O543" s="185"/>
      <c r="P543" s="185"/>
      <c r="Q543" s="199"/>
      <c r="AB543" s="199"/>
      <c r="AC543" s="199"/>
      <c r="AE543"/>
    </row>
    <row r="544" spans="1:31" x14ac:dyDescent="0.2">
      <c r="A544" s="212"/>
      <c r="B544" s="212"/>
      <c r="C544" s="199"/>
      <c r="D544" s="199"/>
      <c r="E544" s="185"/>
      <c r="F544" s="199"/>
      <c r="G544" s="199"/>
      <c r="H544" s="199"/>
      <c r="O544" s="185"/>
      <c r="P544" s="185"/>
      <c r="Q544" s="199"/>
      <c r="AB544" s="199"/>
      <c r="AC544" s="199"/>
      <c r="AE544"/>
    </row>
    <row r="545" spans="1:31" x14ac:dyDescent="0.2">
      <c r="A545" s="212"/>
      <c r="B545" s="212"/>
      <c r="C545" s="199"/>
      <c r="D545" s="199"/>
      <c r="E545" s="185"/>
      <c r="F545" s="199"/>
      <c r="G545" s="199"/>
      <c r="H545" s="199"/>
      <c r="O545" s="185"/>
      <c r="P545" s="185"/>
      <c r="Q545" s="199"/>
      <c r="AB545" s="199"/>
      <c r="AC545" s="199"/>
      <c r="AE545"/>
    </row>
    <row r="546" spans="1:31" x14ac:dyDescent="0.2">
      <c r="A546" s="212"/>
      <c r="B546" s="212"/>
      <c r="C546" s="199"/>
      <c r="D546" s="199"/>
      <c r="E546" s="185"/>
      <c r="F546" s="199"/>
      <c r="G546" s="199"/>
      <c r="H546" s="199"/>
      <c r="O546" s="185"/>
      <c r="P546" s="185"/>
      <c r="Q546" s="199"/>
      <c r="AB546" s="199"/>
      <c r="AC546" s="199"/>
      <c r="AE546"/>
    </row>
    <row r="547" spans="1:31" x14ac:dyDescent="0.2">
      <c r="A547" s="212"/>
      <c r="B547" s="212"/>
      <c r="C547" s="199"/>
      <c r="D547" s="199"/>
      <c r="E547" s="185"/>
      <c r="F547" s="199"/>
      <c r="G547" s="199"/>
      <c r="H547" s="199"/>
      <c r="O547" s="185"/>
      <c r="P547" s="185"/>
      <c r="Q547" s="199"/>
      <c r="AB547" s="199"/>
      <c r="AC547" s="199"/>
      <c r="AE547"/>
    </row>
    <row r="548" spans="1:31" x14ac:dyDescent="0.2">
      <c r="A548" s="212"/>
      <c r="B548" s="212"/>
      <c r="C548" s="199"/>
      <c r="D548" s="199"/>
      <c r="E548" s="185"/>
      <c r="F548" s="199"/>
      <c r="G548" s="199"/>
      <c r="H548" s="199"/>
      <c r="O548" s="185"/>
      <c r="P548" s="185"/>
      <c r="Q548" s="199"/>
      <c r="AB548" s="199"/>
      <c r="AC548" s="199"/>
      <c r="AE548"/>
    </row>
    <row r="549" spans="1:31" x14ac:dyDescent="0.2">
      <c r="A549" s="212"/>
      <c r="B549" s="212"/>
      <c r="C549" s="199"/>
      <c r="D549" s="199"/>
      <c r="E549" s="185"/>
      <c r="F549" s="199"/>
      <c r="G549" s="199"/>
      <c r="H549" s="199"/>
      <c r="O549" s="185"/>
      <c r="P549" s="185"/>
      <c r="Q549" s="199"/>
      <c r="AB549" s="199"/>
      <c r="AC549" s="199"/>
      <c r="AE549"/>
    </row>
    <row r="550" spans="1:31" x14ac:dyDescent="0.2">
      <c r="A550" s="212"/>
      <c r="B550" s="212"/>
      <c r="C550" s="199"/>
      <c r="D550" s="199"/>
      <c r="E550" s="185"/>
      <c r="F550" s="199"/>
      <c r="G550" s="199"/>
      <c r="H550"/>
      <c r="O550" s="185"/>
      <c r="P550" s="185"/>
      <c r="Q550" s="199"/>
      <c r="AB550" s="199"/>
      <c r="AC550" s="199"/>
      <c r="AE550"/>
    </row>
    <row r="551" spans="1:31" x14ac:dyDescent="0.2">
      <c r="A551" s="212"/>
      <c r="B551" s="212"/>
      <c r="C551" s="199"/>
      <c r="D551" s="199"/>
      <c r="E551" s="185"/>
      <c r="F551" s="199"/>
      <c r="G551" s="199"/>
      <c r="H551" s="199"/>
      <c r="O551" s="185"/>
      <c r="P551" s="185"/>
      <c r="Q551" s="199"/>
      <c r="AB551" s="199"/>
      <c r="AC551" s="199"/>
      <c r="AE551"/>
    </row>
    <row r="552" spans="1:31" x14ac:dyDescent="0.2">
      <c r="A552" s="212"/>
      <c r="B552" s="212"/>
      <c r="C552" s="199"/>
      <c r="D552" s="199"/>
      <c r="E552" s="185"/>
      <c r="F552" s="199"/>
      <c r="G552" s="199"/>
      <c r="H552"/>
      <c r="O552" s="185"/>
      <c r="P552" s="185"/>
      <c r="Q552" s="199"/>
      <c r="AB552" s="199"/>
      <c r="AC552" s="199"/>
      <c r="AE552"/>
    </row>
    <row r="553" spans="1:31" x14ac:dyDescent="0.2">
      <c r="A553" s="212"/>
      <c r="B553" s="212"/>
      <c r="C553" s="199"/>
      <c r="D553" s="199"/>
      <c r="E553" s="185"/>
      <c r="F553" s="199"/>
      <c r="G553" s="199"/>
      <c r="H553"/>
      <c r="O553" s="185"/>
      <c r="P553" s="185"/>
      <c r="Q553" s="199"/>
      <c r="AB553" s="199"/>
      <c r="AC553" s="199"/>
      <c r="AE553"/>
    </row>
    <row r="554" spans="1:31" x14ac:dyDescent="0.2">
      <c r="A554" s="212"/>
      <c r="B554" s="212"/>
      <c r="C554" s="199"/>
      <c r="D554" s="199"/>
      <c r="E554" s="185"/>
      <c r="F554" s="199"/>
      <c r="G554"/>
      <c r="H554"/>
      <c r="O554" s="185"/>
      <c r="P554" s="185"/>
      <c r="Q554" s="199"/>
      <c r="AB554" s="199"/>
      <c r="AC554" s="199"/>
      <c r="AE554"/>
    </row>
    <row r="555" spans="1:31" x14ac:dyDescent="0.2">
      <c r="A555" s="212"/>
      <c r="B555" s="212"/>
      <c r="C555" s="199"/>
      <c r="D555" s="199"/>
      <c r="E555" s="185"/>
      <c r="F555" s="199"/>
      <c r="G555"/>
      <c r="H555"/>
      <c r="O555" s="185"/>
      <c r="P555" s="185"/>
      <c r="Q555" s="199"/>
      <c r="AB555" s="199"/>
      <c r="AC555" s="199"/>
      <c r="AE555"/>
    </row>
    <row r="556" spans="1:31" x14ac:dyDescent="0.2">
      <c r="A556" s="212"/>
      <c r="B556" s="212"/>
      <c r="C556" s="199"/>
      <c r="D556" s="199"/>
      <c r="E556" s="185"/>
      <c r="F556" s="199"/>
      <c r="G556" s="199"/>
      <c r="H556" s="199"/>
      <c r="O556" s="185"/>
      <c r="P556" s="185"/>
      <c r="Q556" s="199"/>
      <c r="AB556" s="199"/>
      <c r="AC556" s="199"/>
      <c r="AE556"/>
    </row>
    <row r="557" spans="1:31" x14ac:dyDescent="0.2">
      <c r="A557" s="212"/>
      <c r="B557" s="212"/>
      <c r="C557" s="199"/>
      <c r="D557" s="199"/>
      <c r="E557" s="185"/>
      <c r="F557" s="199"/>
      <c r="G557"/>
      <c r="H557"/>
      <c r="O557" s="185"/>
      <c r="P557" s="185"/>
      <c r="Q557" s="199"/>
      <c r="AB557" s="199"/>
      <c r="AC557" s="199"/>
      <c r="AE557"/>
    </row>
    <row r="558" spans="1:31" x14ac:dyDescent="0.2">
      <c r="A558" s="212"/>
      <c r="B558" s="212"/>
      <c r="C558" s="199"/>
      <c r="D558" s="199"/>
      <c r="E558" s="185"/>
      <c r="F558" s="199"/>
      <c r="G558" s="199"/>
      <c r="H558"/>
      <c r="O558" s="185"/>
      <c r="P558" s="185"/>
      <c r="Q558" s="199"/>
      <c r="AB558" s="199"/>
      <c r="AC558" s="199"/>
      <c r="AE558"/>
    </row>
    <row r="559" spans="1:31" x14ac:dyDescent="0.2">
      <c r="A559" s="212"/>
      <c r="B559" s="212"/>
      <c r="C559" s="199"/>
      <c r="D559" s="199"/>
      <c r="E559" s="185"/>
      <c r="F559" s="199"/>
      <c r="G559" s="199"/>
      <c r="H559"/>
      <c r="O559" s="185"/>
      <c r="P559" s="185"/>
      <c r="Q559" s="199"/>
      <c r="AB559" s="199"/>
      <c r="AC559" s="199"/>
      <c r="AE559"/>
    </row>
    <row r="560" spans="1:31" x14ac:dyDescent="0.2">
      <c r="A560" s="212"/>
      <c r="B560" s="212"/>
      <c r="C560" s="199"/>
      <c r="D560" s="199"/>
      <c r="E560" s="185"/>
      <c r="F560" s="199"/>
      <c r="G560" s="199"/>
      <c r="H560"/>
      <c r="O560" s="185"/>
      <c r="P560" s="185"/>
      <c r="Q560" s="199"/>
      <c r="AB560" s="199"/>
      <c r="AC560" s="199"/>
      <c r="AE560"/>
    </row>
    <row r="561" spans="1:31" x14ac:dyDescent="0.2">
      <c r="A561" s="212"/>
      <c r="B561" s="212"/>
      <c r="C561" s="199"/>
      <c r="D561" s="199"/>
      <c r="E561" s="185"/>
      <c r="F561" s="199"/>
      <c r="G561" s="199"/>
      <c r="H561"/>
      <c r="O561" s="185"/>
      <c r="P561" s="185"/>
      <c r="Q561" s="199"/>
      <c r="AB561" s="199"/>
      <c r="AC561" s="199"/>
      <c r="AE561"/>
    </row>
    <row r="562" spans="1:31" x14ac:dyDescent="0.2">
      <c r="A562" s="212"/>
      <c r="B562" s="212"/>
      <c r="C562" s="199"/>
      <c r="D562" s="199"/>
      <c r="E562" s="185"/>
      <c r="F562" s="199"/>
      <c r="G562"/>
      <c r="H562"/>
      <c r="O562" s="185"/>
      <c r="P562" s="185"/>
      <c r="Q562" s="199"/>
      <c r="AB562" s="199"/>
      <c r="AC562" s="199"/>
      <c r="AE562"/>
    </row>
    <row r="563" spans="1:31" x14ac:dyDescent="0.2">
      <c r="A563" s="212"/>
      <c r="B563" s="212"/>
      <c r="C563" s="199"/>
      <c r="D563" s="199"/>
      <c r="E563" s="185"/>
      <c r="F563" s="199"/>
      <c r="G563" s="199"/>
      <c r="H563"/>
      <c r="O563" s="185"/>
      <c r="P563" s="185"/>
      <c r="Q563" s="199"/>
      <c r="AB563" s="199"/>
      <c r="AC563" s="199"/>
      <c r="AE563"/>
    </row>
    <row r="564" spans="1:31" x14ac:dyDescent="0.2">
      <c r="A564" s="212"/>
      <c r="B564" s="212"/>
      <c r="C564" s="199"/>
      <c r="D564" s="199"/>
      <c r="E564" s="185"/>
      <c r="F564" s="199"/>
      <c r="G564" s="199"/>
      <c r="H564"/>
      <c r="O564" s="185"/>
      <c r="P564" s="185"/>
      <c r="Q564" s="199"/>
      <c r="AB564" s="199"/>
      <c r="AC564" s="199"/>
      <c r="AE564"/>
    </row>
    <row r="565" spans="1:31" x14ac:dyDescent="0.2">
      <c r="A565" s="212"/>
      <c r="B565" s="212"/>
      <c r="C565" s="199"/>
      <c r="D565" s="199"/>
      <c r="E565" s="185"/>
      <c r="F565" s="199"/>
      <c r="G565" s="199"/>
      <c r="H565"/>
      <c r="O565" s="185"/>
      <c r="P565" s="185"/>
      <c r="Q565" s="199"/>
      <c r="AB565" s="199"/>
      <c r="AC565" s="199"/>
      <c r="AE565"/>
    </row>
    <row r="566" spans="1:31" x14ac:dyDescent="0.2">
      <c r="A566" s="212"/>
      <c r="B566" s="212"/>
      <c r="C566" s="199"/>
      <c r="D566" s="199"/>
      <c r="E566" s="185"/>
      <c r="F566" s="199"/>
      <c r="G566" s="199"/>
      <c r="H566" s="199"/>
      <c r="O566" s="185"/>
      <c r="P566" s="185"/>
      <c r="Q566" s="199"/>
      <c r="AB566" s="199"/>
      <c r="AC566" s="199"/>
      <c r="AE566"/>
    </row>
    <row r="567" spans="1:31" x14ac:dyDescent="0.2">
      <c r="A567" s="212"/>
      <c r="B567" s="212"/>
      <c r="C567" s="199"/>
      <c r="D567" s="199"/>
      <c r="E567" s="185"/>
      <c r="F567" s="199"/>
      <c r="G567" s="199"/>
      <c r="H567"/>
      <c r="O567" s="185"/>
      <c r="P567" s="185"/>
      <c r="Q567" s="199"/>
      <c r="AB567" s="199"/>
      <c r="AC567" s="199"/>
      <c r="AE567"/>
    </row>
    <row r="568" spans="1:31" x14ac:dyDescent="0.2">
      <c r="A568" s="212"/>
      <c r="B568" s="212"/>
      <c r="C568" s="199"/>
      <c r="D568" s="199"/>
      <c r="E568" s="185"/>
      <c r="F568" s="199"/>
      <c r="G568" s="199"/>
      <c r="H568"/>
      <c r="O568" s="185"/>
      <c r="P568" s="185"/>
      <c r="Q568" s="199"/>
      <c r="AB568" s="199"/>
      <c r="AC568" s="199"/>
      <c r="AE568"/>
    </row>
    <row r="569" spans="1:31" x14ac:dyDescent="0.2">
      <c r="A569" s="212"/>
      <c r="B569" s="212"/>
      <c r="C569" s="199"/>
      <c r="D569" s="199"/>
      <c r="E569" s="185"/>
      <c r="F569" s="199"/>
      <c r="G569" s="199"/>
      <c r="H569"/>
      <c r="O569" s="185"/>
      <c r="P569" s="185"/>
      <c r="Q569" s="199"/>
      <c r="AB569" s="199"/>
      <c r="AC569" s="199"/>
      <c r="AE569"/>
    </row>
    <row r="570" spans="1:31" x14ac:dyDescent="0.2">
      <c r="A570" s="212"/>
      <c r="B570" s="212"/>
      <c r="C570" s="199"/>
      <c r="D570" s="199"/>
      <c r="E570" s="185"/>
      <c r="F570" s="199"/>
      <c r="G570" s="199"/>
      <c r="H570"/>
      <c r="O570" s="185"/>
      <c r="P570" s="185"/>
      <c r="Q570" s="199"/>
      <c r="AB570" s="199"/>
      <c r="AC570" s="199"/>
      <c r="AE570"/>
    </row>
    <row r="571" spans="1:31" x14ac:dyDescent="0.2">
      <c r="A571" s="212"/>
      <c r="B571" s="212"/>
      <c r="C571" s="199"/>
      <c r="D571" s="199"/>
      <c r="E571" s="185"/>
      <c r="F571" s="199"/>
      <c r="G571" s="199"/>
      <c r="H571" s="199"/>
      <c r="O571" s="185"/>
      <c r="P571" s="185"/>
      <c r="Q571" s="199"/>
      <c r="AB571" s="199"/>
      <c r="AC571" s="199"/>
      <c r="AE571"/>
    </row>
    <row r="572" spans="1:31" x14ac:dyDescent="0.2">
      <c r="A572" s="212"/>
      <c r="B572" s="212"/>
      <c r="C572" s="199"/>
      <c r="D572" s="199"/>
      <c r="E572" s="185"/>
      <c r="F572" s="199"/>
      <c r="G572" s="199"/>
      <c r="H572"/>
      <c r="O572" s="185"/>
      <c r="P572" s="185"/>
      <c r="Q572" s="199"/>
      <c r="AB572" s="199"/>
      <c r="AC572" s="199"/>
      <c r="AE572"/>
    </row>
    <row r="573" spans="1:31" x14ac:dyDescent="0.2">
      <c r="A573" s="212"/>
      <c r="B573" s="212"/>
      <c r="C573" s="199"/>
      <c r="D573" s="199"/>
      <c r="E573" s="185"/>
      <c r="F573" s="199"/>
      <c r="G573" s="199"/>
      <c r="H573"/>
      <c r="O573" s="185"/>
      <c r="P573" s="185"/>
      <c r="Q573" s="199"/>
      <c r="AB573" s="199"/>
      <c r="AC573" s="199"/>
      <c r="AE573"/>
    </row>
    <row r="574" spans="1:31" x14ac:dyDescent="0.2">
      <c r="A574" s="212"/>
      <c r="B574" s="212"/>
      <c r="C574" s="199"/>
      <c r="D574" s="199"/>
      <c r="E574" s="185"/>
      <c r="F574" s="199"/>
      <c r="G574"/>
      <c r="H574"/>
      <c r="O574" s="185"/>
      <c r="P574" s="185"/>
      <c r="Q574" s="199"/>
      <c r="AB574" s="199"/>
      <c r="AC574" s="199"/>
      <c r="AE574"/>
    </row>
    <row r="575" spans="1:31" x14ac:dyDescent="0.2">
      <c r="A575" s="212"/>
      <c r="B575" s="212"/>
      <c r="C575" s="199"/>
      <c r="D575" s="199"/>
      <c r="E575" s="185"/>
      <c r="F575" s="199"/>
      <c r="G575"/>
      <c r="H575"/>
      <c r="O575" s="185"/>
      <c r="P575" s="185"/>
      <c r="Q575" s="199"/>
      <c r="AB575" s="199"/>
      <c r="AC575" s="199"/>
      <c r="AE575"/>
    </row>
    <row r="576" spans="1:31" x14ac:dyDescent="0.2">
      <c r="A576" s="212"/>
      <c r="B576" s="212"/>
      <c r="C576" s="199"/>
      <c r="D576" s="199"/>
      <c r="E576" s="185"/>
      <c r="F576" s="199"/>
      <c r="G576" s="199"/>
      <c r="H576"/>
      <c r="O576" s="185"/>
      <c r="P576" s="185"/>
      <c r="Q576" s="199"/>
      <c r="AB576" s="199"/>
      <c r="AC576" s="199"/>
      <c r="AE576"/>
    </row>
    <row r="577" spans="1:31" x14ac:dyDescent="0.2">
      <c r="A577" s="212"/>
      <c r="B577" s="212"/>
      <c r="C577" s="199"/>
      <c r="D577" s="199"/>
      <c r="E577" s="185"/>
      <c r="F577" s="199"/>
      <c r="G577"/>
      <c r="H577"/>
      <c r="O577" s="185"/>
      <c r="P577" s="185"/>
      <c r="Q577" s="199"/>
      <c r="AB577" s="199"/>
      <c r="AC577" s="199"/>
      <c r="AE577"/>
    </row>
    <row r="578" spans="1:31" x14ac:dyDescent="0.2">
      <c r="A578" s="212"/>
      <c r="B578" s="212"/>
      <c r="C578" s="199"/>
      <c r="D578" s="199"/>
      <c r="E578" s="185"/>
      <c r="F578" s="199"/>
      <c r="G578" s="199"/>
      <c r="H578"/>
      <c r="O578" s="185"/>
      <c r="P578" s="185"/>
      <c r="Q578" s="199"/>
      <c r="AB578" s="199"/>
      <c r="AC578" s="199"/>
      <c r="AE578"/>
    </row>
    <row r="579" spans="1:31" x14ac:dyDescent="0.2">
      <c r="A579" s="212"/>
      <c r="B579" s="212"/>
      <c r="C579" s="199"/>
      <c r="D579" s="199"/>
      <c r="E579" s="185"/>
      <c r="F579" s="199"/>
      <c r="G579" s="199"/>
      <c r="H579"/>
      <c r="O579" s="185"/>
      <c r="P579" s="185"/>
      <c r="Q579" s="199"/>
      <c r="AB579" s="199"/>
      <c r="AC579" s="199"/>
      <c r="AE579"/>
    </row>
    <row r="580" spans="1:31" x14ac:dyDescent="0.2">
      <c r="A580" s="212"/>
      <c r="B580" s="212"/>
      <c r="C580" s="199"/>
      <c r="D580" s="199"/>
      <c r="E580" s="185"/>
      <c r="F580" s="199"/>
      <c r="G580" s="199"/>
      <c r="H580"/>
      <c r="O580" s="185"/>
      <c r="P580" s="185"/>
      <c r="Q580" s="199"/>
      <c r="AB580" s="199"/>
      <c r="AC580" s="199"/>
      <c r="AE580"/>
    </row>
    <row r="581" spans="1:31" x14ac:dyDescent="0.2">
      <c r="A581" s="212"/>
      <c r="B581" s="212"/>
      <c r="C581" s="199"/>
      <c r="D581" s="199"/>
      <c r="E581" s="185"/>
      <c r="F581" s="199"/>
      <c r="G581" s="199"/>
      <c r="H581"/>
      <c r="O581" s="185"/>
      <c r="P581" s="185"/>
      <c r="Q581" s="199"/>
      <c r="AB581" s="199"/>
      <c r="AC581" s="199"/>
      <c r="AE581"/>
    </row>
    <row r="582" spans="1:31" x14ac:dyDescent="0.2">
      <c r="A582" s="212"/>
      <c r="B582" s="212"/>
      <c r="C582" s="199"/>
      <c r="D582" s="199"/>
      <c r="E582" s="185"/>
      <c r="F582" s="199"/>
      <c r="G582"/>
      <c r="H582"/>
      <c r="O582" s="185"/>
      <c r="P582" s="185"/>
      <c r="Q582" s="199"/>
      <c r="AB582" s="199"/>
      <c r="AC582" s="199"/>
      <c r="AE582"/>
    </row>
    <row r="583" spans="1:31" x14ac:dyDescent="0.2">
      <c r="A583" s="212"/>
      <c r="B583" s="212"/>
      <c r="C583" s="199"/>
      <c r="D583" s="199"/>
      <c r="E583" s="185"/>
      <c r="F583" s="199"/>
      <c r="G583" s="199"/>
      <c r="H583"/>
      <c r="O583" s="185"/>
      <c r="P583" s="185"/>
      <c r="Q583" s="199"/>
      <c r="AB583" s="199"/>
      <c r="AC583" s="199"/>
      <c r="AE583"/>
    </row>
    <row r="584" spans="1:31" x14ac:dyDescent="0.2">
      <c r="A584" s="212"/>
      <c r="B584" s="212"/>
      <c r="C584" s="199"/>
      <c r="D584" s="199"/>
      <c r="E584" s="185"/>
      <c r="F584" s="199"/>
      <c r="G584" s="199"/>
      <c r="H584"/>
      <c r="O584" s="185"/>
      <c r="P584" s="185"/>
      <c r="Q584" s="199"/>
      <c r="AB584" s="199"/>
      <c r="AC584" s="199"/>
      <c r="AE584"/>
    </row>
    <row r="585" spans="1:31" x14ac:dyDescent="0.2">
      <c r="A585" s="212"/>
      <c r="B585" s="212"/>
      <c r="C585" s="199"/>
      <c r="D585" s="199"/>
      <c r="E585" s="185"/>
      <c r="F585" s="199"/>
      <c r="G585" s="199"/>
      <c r="H585"/>
      <c r="O585" s="185"/>
      <c r="P585" s="185"/>
      <c r="Q585" s="199"/>
      <c r="AB585" s="199"/>
      <c r="AC585" s="199"/>
      <c r="AE585"/>
    </row>
    <row r="586" spans="1:31" x14ac:dyDescent="0.2">
      <c r="A586" s="212"/>
      <c r="B586" s="212"/>
      <c r="C586" s="199"/>
      <c r="D586" s="199"/>
      <c r="E586" s="185"/>
      <c r="F586" s="199"/>
      <c r="G586" s="199"/>
      <c r="H586" s="199"/>
      <c r="O586" s="185"/>
      <c r="P586" s="185"/>
      <c r="Q586" s="199"/>
      <c r="AB586" s="199"/>
      <c r="AC586" s="199"/>
      <c r="AE586"/>
    </row>
    <row r="587" spans="1:31" x14ac:dyDescent="0.2">
      <c r="A587" s="212"/>
      <c r="B587" s="212"/>
      <c r="C587" s="199"/>
      <c r="D587" s="199"/>
      <c r="E587" s="185"/>
      <c r="F587" s="199"/>
      <c r="G587" s="199"/>
      <c r="H587"/>
      <c r="O587" s="185"/>
      <c r="P587" s="185"/>
      <c r="Q587" s="199"/>
      <c r="AB587" s="199"/>
      <c r="AC587" s="199"/>
      <c r="AE587"/>
    </row>
    <row r="588" spans="1:31" x14ac:dyDescent="0.2">
      <c r="A588" s="212"/>
      <c r="B588" s="212"/>
      <c r="C588" s="199"/>
      <c r="D588" s="199"/>
      <c r="E588" s="185"/>
      <c r="F588" s="199"/>
      <c r="G588" s="199"/>
      <c r="H588"/>
      <c r="O588" s="185"/>
      <c r="P588" s="185"/>
      <c r="Q588" s="199"/>
      <c r="AB588" s="199"/>
      <c r="AC588" s="199"/>
      <c r="AE588"/>
    </row>
    <row r="589" spans="1:31" x14ac:dyDescent="0.2">
      <c r="A589" s="212"/>
      <c r="B589" s="212"/>
      <c r="C589" s="199"/>
      <c r="D589" s="199"/>
      <c r="E589" s="185"/>
      <c r="F589" s="199"/>
      <c r="G589" s="199"/>
      <c r="H589"/>
      <c r="O589" s="185"/>
      <c r="P589" s="185"/>
      <c r="Q589" s="199"/>
      <c r="AB589" s="199"/>
      <c r="AC589" s="199"/>
      <c r="AE589"/>
    </row>
    <row r="590" spans="1:31" x14ac:dyDescent="0.2">
      <c r="A590" s="212"/>
      <c r="B590" s="212"/>
      <c r="C590" s="199"/>
      <c r="D590" s="199"/>
      <c r="E590" s="185"/>
      <c r="F590" s="199"/>
      <c r="G590" s="199"/>
      <c r="H590"/>
      <c r="O590" s="185"/>
      <c r="P590" s="185"/>
      <c r="Q590" s="199"/>
      <c r="AB590" s="199"/>
      <c r="AC590" s="199"/>
      <c r="AE590"/>
    </row>
    <row r="591" spans="1:31" x14ac:dyDescent="0.2">
      <c r="A591" s="212"/>
      <c r="B591" s="212"/>
      <c r="C591" s="199"/>
      <c r="D591" s="199"/>
      <c r="E591" s="185"/>
      <c r="F591" s="199"/>
      <c r="G591" s="199"/>
      <c r="H591" s="199"/>
      <c r="O591" s="185"/>
      <c r="P591" s="185"/>
      <c r="Q591" s="199"/>
      <c r="AB591" s="199"/>
      <c r="AC591" s="199"/>
      <c r="AE591"/>
    </row>
    <row r="592" spans="1:31" x14ac:dyDescent="0.2">
      <c r="A592" s="212"/>
      <c r="B592" s="212"/>
      <c r="C592" s="199"/>
      <c r="D592" s="199"/>
      <c r="E592" s="185"/>
      <c r="F592" s="199"/>
      <c r="G592"/>
      <c r="H592"/>
      <c r="O592" s="185"/>
      <c r="P592" s="185"/>
      <c r="Q592" s="199"/>
      <c r="AB592" s="199"/>
      <c r="AC592" s="199"/>
      <c r="AE592"/>
    </row>
    <row r="593" spans="1:31" x14ac:dyDescent="0.2">
      <c r="A593" s="212"/>
      <c r="B593" s="212"/>
      <c r="C593" s="199"/>
      <c r="D593" s="199"/>
      <c r="E593" s="185"/>
      <c r="F593" s="199"/>
      <c r="G593" s="199"/>
      <c r="H593"/>
      <c r="O593" s="185"/>
      <c r="P593" s="185"/>
      <c r="Q593" s="199"/>
      <c r="AB593" s="199"/>
      <c r="AC593" s="199"/>
      <c r="AE593"/>
    </row>
    <row r="594" spans="1:31" x14ac:dyDescent="0.2">
      <c r="A594" s="212"/>
      <c r="B594" s="212"/>
      <c r="C594" s="199"/>
      <c r="D594" s="199"/>
      <c r="E594" s="185"/>
      <c r="F594" s="199"/>
      <c r="G594" s="199"/>
      <c r="H594"/>
      <c r="O594" s="185"/>
      <c r="P594" s="185"/>
      <c r="Q594" s="199"/>
      <c r="AB594" s="199"/>
      <c r="AC594" s="199"/>
      <c r="AE594"/>
    </row>
    <row r="595" spans="1:31" x14ac:dyDescent="0.2">
      <c r="A595" s="212"/>
      <c r="B595" s="212"/>
      <c r="C595" s="199"/>
      <c r="D595" s="199"/>
      <c r="E595" s="185"/>
      <c r="F595" s="199"/>
      <c r="G595" s="199"/>
      <c r="H595"/>
      <c r="O595" s="185"/>
      <c r="P595" s="185"/>
      <c r="Q595" s="199"/>
      <c r="AB595" s="199"/>
      <c r="AC595" s="199"/>
      <c r="AE595"/>
    </row>
    <row r="596" spans="1:31" x14ac:dyDescent="0.2">
      <c r="A596" s="212"/>
      <c r="B596" s="212"/>
      <c r="C596" s="199"/>
      <c r="D596" s="199"/>
      <c r="E596" s="185"/>
      <c r="F596" s="199"/>
      <c r="G596" s="199"/>
      <c r="H596"/>
      <c r="O596" s="185"/>
      <c r="P596" s="185"/>
      <c r="Q596" s="199"/>
      <c r="AB596" s="199"/>
      <c r="AC596" s="199"/>
      <c r="AE596"/>
    </row>
    <row r="597" spans="1:31" x14ac:dyDescent="0.2">
      <c r="A597" s="212"/>
      <c r="B597" s="212"/>
      <c r="C597" s="199"/>
      <c r="D597" s="199"/>
      <c r="E597" s="185"/>
      <c r="F597" s="199"/>
      <c r="G597"/>
      <c r="H597"/>
      <c r="O597" s="185"/>
      <c r="P597" s="185"/>
      <c r="Q597" s="199"/>
      <c r="AB597" s="199"/>
      <c r="AC597" s="199"/>
      <c r="AE597"/>
    </row>
    <row r="598" spans="1:31" x14ac:dyDescent="0.2">
      <c r="A598" s="212"/>
      <c r="B598" s="212"/>
      <c r="C598" s="199"/>
      <c r="D598" s="199"/>
      <c r="E598" s="185"/>
      <c r="F598" s="199"/>
      <c r="G598" s="199"/>
      <c r="H598"/>
      <c r="O598" s="185"/>
      <c r="P598" s="185"/>
      <c r="Q598" s="199"/>
      <c r="AB598" s="199"/>
      <c r="AC598" s="199"/>
      <c r="AE598"/>
    </row>
    <row r="599" spans="1:31" x14ac:dyDescent="0.2">
      <c r="A599" s="212"/>
      <c r="B599" s="212"/>
      <c r="C599" s="199"/>
      <c r="D599" s="199"/>
      <c r="E599" s="185"/>
      <c r="F599" s="199"/>
      <c r="G599"/>
      <c r="H599"/>
      <c r="O599" s="185"/>
      <c r="P599" s="185"/>
      <c r="Q599" s="199"/>
      <c r="AB599" s="199"/>
      <c r="AC599" s="199"/>
      <c r="AE599"/>
    </row>
    <row r="600" spans="1:31" x14ac:dyDescent="0.2">
      <c r="A600" s="212"/>
      <c r="B600" s="212"/>
      <c r="C600" s="199"/>
      <c r="D600" s="199"/>
      <c r="E600" s="185"/>
      <c r="F600" s="199"/>
      <c r="G600" s="199"/>
      <c r="H600"/>
      <c r="O600" s="185"/>
      <c r="P600" s="185"/>
      <c r="Q600" s="199"/>
      <c r="AB600" s="199"/>
      <c r="AC600" s="199"/>
      <c r="AE600"/>
    </row>
    <row r="601" spans="1:31" x14ac:dyDescent="0.2">
      <c r="A601" s="212"/>
      <c r="B601" s="212"/>
      <c r="C601" s="199"/>
      <c r="D601" s="199"/>
      <c r="E601" s="185"/>
      <c r="F601" s="199"/>
      <c r="G601" s="199"/>
      <c r="H601"/>
      <c r="O601" s="185"/>
      <c r="P601" s="185"/>
      <c r="Q601" s="199"/>
      <c r="AB601" s="199"/>
      <c r="AC601" s="199"/>
      <c r="AE601"/>
    </row>
    <row r="602" spans="1:31" x14ac:dyDescent="0.2">
      <c r="A602" s="212"/>
      <c r="B602" s="212"/>
      <c r="C602" s="199"/>
      <c r="D602" s="199"/>
      <c r="E602" s="185"/>
      <c r="F602" s="199"/>
      <c r="G602" s="199"/>
      <c r="H602"/>
      <c r="O602" s="185"/>
      <c r="P602" s="185"/>
      <c r="Q602" s="199"/>
      <c r="AB602" s="199"/>
      <c r="AC602" s="199"/>
      <c r="AE602"/>
    </row>
    <row r="603" spans="1:31" x14ac:dyDescent="0.2">
      <c r="A603" s="212"/>
      <c r="B603" s="212"/>
      <c r="C603" s="199"/>
      <c r="D603" s="199"/>
      <c r="E603" s="185"/>
      <c r="F603" s="199"/>
      <c r="G603" s="199"/>
      <c r="H603"/>
      <c r="O603" s="185"/>
      <c r="P603" s="185"/>
      <c r="Q603" s="199"/>
      <c r="AB603" s="199"/>
      <c r="AC603" s="199"/>
      <c r="AE603"/>
    </row>
    <row r="604" spans="1:31" x14ac:dyDescent="0.2">
      <c r="A604" s="212"/>
      <c r="B604" s="212"/>
      <c r="C604" s="199"/>
      <c r="D604" s="199"/>
      <c r="E604" s="185"/>
      <c r="F604" s="199"/>
      <c r="G604" s="199"/>
      <c r="H604"/>
      <c r="O604" s="185"/>
      <c r="P604" s="185"/>
      <c r="Q604" s="199"/>
      <c r="AB604" s="199"/>
      <c r="AC604" s="199"/>
      <c r="AE604"/>
    </row>
    <row r="605" spans="1:31" x14ac:dyDescent="0.2">
      <c r="A605" s="212"/>
      <c r="B605" s="212"/>
      <c r="C605" s="199"/>
      <c r="D605" s="199"/>
      <c r="E605" s="185"/>
      <c r="F605" s="199"/>
      <c r="G605" s="199"/>
      <c r="H605"/>
      <c r="O605" s="185"/>
      <c r="P605" s="185"/>
      <c r="Q605" s="199"/>
      <c r="AB605" s="199"/>
      <c r="AC605" s="199"/>
      <c r="AE605"/>
    </row>
    <row r="606" spans="1:31" x14ac:dyDescent="0.2">
      <c r="A606" s="212"/>
      <c r="B606" s="212"/>
      <c r="C606" s="199"/>
      <c r="D606" s="199"/>
      <c r="E606" s="185"/>
      <c r="F606" s="199"/>
      <c r="G606" s="199"/>
      <c r="H606" s="199"/>
      <c r="O606" s="185"/>
      <c r="P606" s="185"/>
      <c r="Q606" s="199"/>
      <c r="AB606" s="199"/>
      <c r="AC606" s="199"/>
      <c r="AE606"/>
    </row>
    <row r="607" spans="1:31" x14ac:dyDescent="0.2">
      <c r="A607" s="212"/>
      <c r="B607" s="212"/>
      <c r="C607" s="199"/>
      <c r="D607" s="199"/>
      <c r="E607" s="185"/>
      <c r="F607" s="199"/>
      <c r="G607" s="199"/>
      <c r="H607"/>
      <c r="O607" s="185"/>
      <c r="P607" s="185"/>
      <c r="Q607" s="199"/>
      <c r="AB607" s="199"/>
      <c r="AC607" s="199"/>
      <c r="AE607"/>
    </row>
    <row r="608" spans="1:31" x14ac:dyDescent="0.2">
      <c r="A608" s="212"/>
      <c r="B608" s="212"/>
      <c r="C608" s="199"/>
      <c r="D608" s="199"/>
      <c r="E608" s="185"/>
      <c r="F608" s="199"/>
      <c r="G608" s="199"/>
      <c r="H608" s="199"/>
      <c r="O608" s="185"/>
      <c r="P608" s="185"/>
      <c r="Q608" s="199"/>
      <c r="AB608" s="199"/>
      <c r="AC608" s="199"/>
      <c r="AE608"/>
    </row>
    <row r="609" spans="1:31" x14ac:dyDescent="0.2">
      <c r="A609" s="212"/>
      <c r="B609" s="212"/>
      <c r="C609" s="199"/>
      <c r="D609" s="199"/>
      <c r="E609" s="185"/>
      <c r="F609" s="199"/>
      <c r="G609" s="199"/>
      <c r="H609"/>
      <c r="O609" s="185"/>
      <c r="P609" s="185"/>
      <c r="Q609" s="199"/>
      <c r="AB609" s="199"/>
      <c r="AC609" s="199"/>
      <c r="AE609"/>
    </row>
    <row r="610" spans="1:31" x14ac:dyDescent="0.2">
      <c r="A610" s="212"/>
      <c r="B610" s="212"/>
      <c r="C610" s="199"/>
      <c r="D610" s="199"/>
      <c r="E610" s="185"/>
      <c r="F610" s="199"/>
      <c r="G610" s="199"/>
      <c r="H610"/>
      <c r="O610" s="185"/>
      <c r="P610" s="185"/>
      <c r="Q610" s="199"/>
      <c r="AB610" s="199"/>
      <c r="AC610" s="199"/>
      <c r="AE610"/>
    </row>
    <row r="611" spans="1:31" x14ac:dyDescent="0.2">
      <c r="A611" s="212"/>
      <c r="B611" s="212"/>
      <c r="C611" s="199"/>
      <c r="D611" s="199"/>
      <c r="E611" s="185"/>
      <c r="F611" s="199"/>
      <c r="G611" s="199"/>
      <c r="H611" s="199"/>
      <c r="O611" s="185"/>
      <c r="P611" s="185"/>
      <c r="Q611" s="199"/>
      <c r="AB611" s="199"/>
      <c r="AC611" s="199"/>
      <c r="AE611"/>
    </row>
    <row r="612" spans="1:31" x14ac:dyDescent="0.2">
      <c r="A612" s="212"/>
      <c r="B612" s="212"/>
      <c r="C612" s="199"/>
      <c r="D612" s="199"/>
      <c r="E612" s="185"/>
      <c r="F612" s="199"/>
      <c r="G612" s="199"/>
      <c r="H612"/>
      <c r="O612" s="185"/>
      <c r="P612" s="185"/>
      <c r="Q612" s="199"/>
      <c r="AB612" s="199"/>
      <c r="AC612" s="199"/>
      <c r="AE612"/>
    </row>
    <row r="613" spans="1:31" x14ac:dyDescent="0.2">
      <c r="A613" s="212"/>
      <c r="B613" s="212"/>
      <c r="C613" s="199"/>
      <c r="D613" s="199"/>
      <c r="E613" s="185"/>
      <c r="F613" s="199"/>
      <c r="G613" s="199"/>
      <c r="H613"/>
      <c r="O613" s="185"/>
      <c r="P613" s="185"/>
      <c r="Q613" s="199"/>
      <c r="AB613" s="199"/>
      <c r="AC613" s="199"/>
      <c r="AE613"/>
    </row>
    <row r="614" spans="1:31" x14ac:dyDescent="0.2">
      <c r="A614" s="212"/>
      <c r="B614" s="212"/>
      <c r="C614" s="199"/>
      <c r="D614" s="199"/>
      <c r="E614" s="185"/>
      <c r="F614" s="199"/>
      <c r="G614" s="199"/>
      <c r="H614"/>
      <c r="O614" s="185"/>
      <c r="P614" s="185"/>
      <c r="Q614" s="199"/>
      <c r="AB614" s="199"/>
      <c r="AC614" s="199"/>
      <c r="AE614"/>
    </row>
    <row r="615" spans="1:31" x14ac:dyDescent="0.2">
      <c r="A615" s="212"/>
      <c r="B615" s="212"/>
      <c r="C615" s="199"/>
      <c r="D615" s="199"/>
      <c r="E615" s="185"/>
      <c r="F615" s="199"/>
      <c r="G615" s="199"/>
      <c r="H615"/>
      <c r="O615" s="185"/>
      <c r="P615" s="185"/>
      <c r="Q615" s="199"/>
      <c r="AB615" s="199"/>
      <c r="AC615" s="199"/>
      <c r="AE615"/>
    </row>
    <row r="616" spans="1:31" x14ac:dyDescent="0.2">
      <c r="A616" s="212"/>
      <c r="B616" s="212"/>
      <c r="C616" s="199"/>
      <c r="D616" s="199"/>
      <c r="E616" s="185"/>
      <c r="F616" s="199"/>
      <c r="G616"/>
      <c r="H616"/>
      <c r="O616" s="185"/>
      <c r="P616" s="185"/>
      <c r="Q616" s="199"/>
      <c r="AB616" s="199"/>
      <c r="AC616" s="199"/>
      <c r="AE616"/>
    </row>
    <row r="617" spans="1:31" x14ac:dyDescent="0.2">
      <c r="A617" s="212"/>
      <c r="B617" s="212"/>
      <c r="C617" s="199"/>
      <c r="D617" s="199"/>
      <c r="E617" s="185"/>
      <c r="F617" s="199"/>
      <c r="G617" s="199"/>
      <c r="H617"/>
      <c r="O617" s="185"/>
      <c r="P617" s="185"/>
      <c r="Q617" s="199"/>
      <c r="AB617" s="199"/>
      <c r="AC617" s="199"/>
      <c r="AE617"/>
    </row>
    <row r="618" spans="1:31" x14ac:dyDescent="0.2">
      <c r="A618" s="212"/>
      <c r="B618" s="212"/>
      <c r="C618" s="199"/>
      <c r="D618" s="199"/>
      <c r="E618" s="185"/>
      <c r="F618" s="199"/>
      <c r="G618"/>
      <c r="H618"/>
      <c r="O618" s="185"/>
      <c r="P618" s="185"/>
      <c r="Q618" s="199"/>
      <c r="AB618" s="199"/>
      <c r="AC618" s="199"/>
      <c r="AE618"/>
    </row>
    <row r="619" spans="1:31" x14ac:dyDescent="0.2">
      <c r="A619" s="212"/>
      <c r="B619" s="212"/>
      <c r="C619" s="199"/>
      <c r="D619" s="199"/>
      <c r="E619" s="185"/>
      <c r="F619" s="199"/>
      <c r="G619" s="199"/>
      <c r="H619"/>
      <c r="O619" s="185"/>
      <c r="P619" s="185"/>
      <c r="Q619" s="199"/>
      <c r="AB619" s="199"/>
      <c r="AC619" s="199"/>
      <c r="AE619"/>
    </row>
    <row r="620" spans="1:31" x14ac:dyDescent="0.2">
      <c r="A620" s="212"/>
      <c r="B620" s="212"/>
      <c r="C620" s="199"/>
      <c r="D620" s="199"/>
      <c r="E620" s="185"/>
      <c r="F620" s="199"/>
      <c r="G620" s="199"/>
      <c r="H620"/>
      <c r="O620" s="185"/>
      <c r="P620" s="185"/>
      <c r="Q620" s="199"/>
      <c r="AB620" s="199"/>
      <c r="AC620" s="199"/>
      <c r="AE620"/>
    </row>
    <row r="621" spans="1:31" x14ac:dyDescent="0.2">
      <c r="A621" s="212"/>
      <c r="B621" s="212"/>
      <c r="C621" s="199"/>
      <c r="D621" s="199"/>
      <c r="E621" s="185"/>
      <c r="F621" s="199"/>
      <c r="G621"/>
      <c r="H621"/>
      <c r="O621" s="185"/>
      <c r="P621" s="185"/>
      <c r="Q621" s="199"/>
      <c r="AB621" s="199"/>
      <c r="AC621" s="199"/>
      <c r="AE621"/>
    </row>
    <row r="622" spans="1:31" x14ac:dyDescent="0.2">
      <c r="A622" s="212"/>
      <c r="B622" s="212"/>
      <c r="C622" s="199"/>
      <c r="D622" s="199"/>
      <c r="E622" s="185"/>
      <c r="F622" s="199"/>
      <c r="G622" s="199"/>
      <c r="H622"/>
      <c r="O622" s="185"/>
      <c r="P622" s="185"/>
      <c r="Q622" s="199"/>
      <c r="AB622" s="199"/>
      <c r="AC622" s="199"/>
      <c r="AE622"/>
    </row>
    <row r="623" spans="1:31" x14ac:dyDescent="0.2">
      <c r="A623" s="212"/>
      <c r="B623" s="212"/>
      <c r="C623" s="199"/>
      <c r="D623" s="199"/>
      <c r="E623" s="185"/>
      <c r="F623" s="199"/>
      <c r="G623" s="199"/>
      <c r="H623"/>
      <c r="O623" s="185"/>
      <c r="P623" s="185"/>
      <c r="Q623" s="199"/>
      <c r="AB623" s="199"/>
      <c r="AC623" s="199"/>
      <c r="AE623"/>
    </row>
    <row r="624" spans="1:31" x14ac:dyDescent="0.2">
      <c r="A624" s="212"/>
      <c r="B624" s="212"/>
      <c r="C624" s="199"/>
      <c r="D624" s="199"/>
      <c r="E624" s="185"/>
      <c r="F624" s="199"/>
      <c r="G624" s="199"/>
      <c r="H624"/>
      <c r="O624" s="185"/>
      <c r="P624" s="185"/>
      <c r="Q624" s="199"/>
      <c r="AB624" s="199"/>
      <c r="AC624" s="199"/>
      <c r="AE624"/>
    </row>
    <row r="625" spans="1:31" x14ac:dyDescent="0.2">
      <c r="A625" s="212"/>
      <c r="B625" s="212"/>
      <c r="C625" s="199"/>
      <c r="D625" s="199"/>
      <c r="E625" s="185"/>
      <c r="F625" s="199"/>
      <c r="G625" s="199"/>
      <c r="H625"/>
      <c r="O625" s="185"/>
      <c r="P625" s="185"/>
      <c r="Q625" s="199"/>
      <c r="AB625" s="199"/>
      <c r="AC625" s="199"/>
      <c r="AE625"/>
    </row>
    <row r="626" spans="1:31" x14ac:dyDescent="0.2">
      <c r="A626" s="212"/>
      <c r="B626" s="212"/>
      <c r="C626" s="199"/>
      <c r="D626" s="199"/>
      <c r="E626" s="185"/>
      <c r="F626" s="199"/>
      <c r="G626" s="199"/>
      <c r="H626"/>
      <c r="O626" s="185"/>
      <c r="P626" s="185"/>
      <c r="Q626" s="199"/>
      <c r="AB626" s="199"/>
      <c r="AC626" s="199"/>
      <c r="AE626"/>
    </row>
    <row r="627" spans="1:31" x14ac:dyDescent="0.2">
      <c r="A627" s="212"/>
      <c r="B627" s="212"/>
      <c r="C627" s="199"/>
      <c r="D627" s="199"/>
      <c r="E627" s="185"/>
      <c r="F627" s="199"/>
      <c r="G627" s="199"/>
      <c r="H627" s="199"/>
      <c r="O627" s="185"/>
      <c r="P627" s="185"/>
      <c r="Q627" s="199"/>
      <c r="AB627" s="199"/>
      <c r="AC627" s="199"/>
      <c r="AE627"/>
    </row>
    <row r="628" spans="1:31" x14ac:dyDescent="0.2">
      <c r="A628" s="212"/>
      <c r="B628" s="212"/>
      <c r="C628" s="199"/>
      <c r="D628" s="199"/>
      <c r="E628" s="185"/>
      <c r="F628" s="199"/>
      <c r="G628" s="199"/>
      <c r="H628"/>
      <c r="O628" s="185"/>
      <c r="P628" s="185"/>
      <c r="Q628" s="199"/>
      <c r="AB628" s="199"/>
      <c r="AC628" s="199"/>
      <c r="AE628"/>
    </row>
    <row r="629" spans="1:31" x14ac:dyDescent="0.2">
      <c r="A629" s="212"/>
      <c r="B629" s="212"/>
      <c r="C629" s="199"/>
      <c r="D629" s="199"/>
      <c r="E629" s="185"/>
      <c r="F629" s="199"/>
      <c r="G629" s="199"/>
      <c r="H629"/>
      <c r="O629" s="185"/>
      <c r="P629" s="185"/>
      <c r="Q629" s="199"/>
      <c r="AB629" s="199"/>
      <c r="AC629" s="199"/>
      <c r="AE629"/>
    </row>
    <row r="630" spans="1:31" x14ac:dyDescent="0.2">
      <c r="A630" s="212"/>
      <c r="B630" s="212"/>
      <c r="C630" s="199"/>
      <c r="D630" s="199"/>
      <c r="E630" s="185"/>
      <c r="F630" s="199"/>
      <c r="G630" s="199"/>
      <c r="H630"/>
      <c r="O630" s="185"/>
      <c r="P630" s="185"/>
      <c r="Q630" s="199"/>
      <c r="AB630" s="199"/>
      <c r="AC630" s="199"/>
      <c r="AE630"/>
    </row>
    <row r="631" spans="1:31" x14ac:dyDescent="0.2">
      <c r="A631" s="212"/>
      <c r="B631" s="212"/>
      <c r="C631" s="199"/>
      <c r="D631" s="199"/>
      <c r="E631" s="185"/>
      <c r="F631" s="199"/>
      <c r="G631" s="199"/>
      <c r="H631"/>
      <c r="O631" s="185"/>
      <c r="P631" s="185"/>
      <c r="Q631" s="199"/>
      <c r="AB631" s="199"/>
      <c r="AC631" s="199"/>
      <c r="AE631"/>
    </row>
    <row r="632" spans="1:31" x14ac:dyDescent="0.2">
      <c r="A632" s="212"/>
      <c r="B632" s="212"/>
      <c r="C632" s="199"/>
      <c r="D632" s="199"/>
      <c r="E632" s="185"/>
      <c r="F632" s="199"/>
      <c r="G632" s="199"/>
      <c r="H632"/>
      <c r="O632" s="185"/>
      <c r="P632" s="185"/>
      <c r="Q632" s="199"/>
      <c r="AB632" s="199"/>
      <c r="AC632" s="199"/>
      <c r="AE632"/>
    </row>
    <row r="633" spans="1:31" x14ac:dyDescent="0.2">
      <c r="A633" s="212"/>
      <c r="B633" s="212"/>
      <c r="C633" s="199"/>
      <c r="D633" s="199"/>
      <c r="E633" s="185"/>
      <c r="F633" s="199"/>
      <c r="G633" s="199"/>
      <c r="H633"/>
      <c r="O633" s="185"/>
      <c r="P633" s="185"/>
      <c r="Q633" s="199"/>
      <c r="AB633" s="199"/>
      <c r="AC633" s="199"/>
      <c r="AE633"/>
    </row>
    <row r="634" spans="1:31" x14ac:dyDescent="0.2">
      <c r="A634" s="212"/>
      <c r="B634" s="212"/>
      <c r="C634" s="199"/>
      <c r="D634" s="199"/>
      <c r="E634" s="185"/>
      <c r="F634" s="199"/>
      <c r="G634" s="199"/>
      <c r="H634"/>
      <c r="O634" s="185"/>
      <c r="P634" s="185"/>
      <c r="Q634" s="199"/>
      <c r="AB634" s="199"/>
      <c r="AC634" s="199"/>
      <c r="AE634"/>
    </row>
    <row r="635" spans="1:31" x14ac:dyDescent="0.2">
      <c r="A635" s="212"/>
      <c r="B635" s="212"/>
      <c r="C635" s="199"/>
      <c r="D635" s="199"/>
      <c r="E635" s="185"/>
      <c r="F635" s="199"/>
      <c r="G635" s="199"/>
      <c r="H635"/>
      <c r="O635" s="185"/>
      <c r="P635" s="185"/>
      <c r="Q635" s="199"/>
      <c r="AB635" s="199"/>
      <c r="AC635" s="199"/>
      <c r="AE635"/>
    </row>
    <row r="636" spans="1:31" x14ac:dyDescent="0.2">
      <c r="A636" s="212"/>
      <c r="B636" s="212"/>
      <c r="C636" s="199"/>
      <c r="D636" s="199"/>
      <c r="E636" s="185"/>
      <c r="F636" s="199"/>
      <c r="G636" s="199"/>
      <c r="H636"/>
      <c r="O636" s="185"/>
      <c r="P636" s="185"/>
      <c r="Q636" s="199"/>
      <c r="AB636" s="199"/>
      <c r="AC636" s="199"/>
      <c r="AE636"/>
    </row>
    <row r="637" spans="1:31" x14ac:dyDescent="0.2">
      <c r="A637" s="212"/>
      <c r="B637" s="212"/>
      <c r="C637" s="199"/>
      <c r="D637" s="199"/>
      <c r="E637" s="185"/>
      <c r="F637" s="199"/>
      <c r="G637" s="199"/>
      <c r="H637"/>
      <c r="O637" s="185"/>
      <c r="P637" s="185"/>
      <c r="Q637" s="199"/>
      <c r="AB637" s="199"/>
      <c r="AC637" s="199"/>
      <c r="AE637"/>
    </row>
    <row r="638" spans="1:31" x14ac:dyDescent="0.2">
      <c r="A638" s="212"/>
      <c r="B638" s="212"/>
      <c r="C638" s="199"/>
      <c r="D638" s="199"/>
      <c r="E638" s="185"/>
      <c r="F638" s="199"/>
      <c r="G638" s="199"/>
      <c r="H638"/>
      <c r="O638" s="185"/>
      <c r="P638" s="185"/>
      <c r="Q638" s="199"/>
      <c r="AB638" s="199"/>
      <c r="AC638" s="199"/>
      <c r="AE638"/>
    </row>
    <row r="639" spans="1:31" x14ac:dyDescent="0.2">
      <c r="A639" s="212"/>
      <c r="B639" s="212"/>
      <c r="C639" s="199"/>
      <c r="D639" s="199"/>
      <c r="E639" s="185"/>
      <c r="F639" s="199"/>
      <c r="G639" s="199"/>
      <c r="H639"/>
      <c r="O639" s="185"/>
      <c r="P639" s="185"/>
      <c r="Q639" s="199"/>
      <c r="AB639" s="199"/>
      <c r="AC639" s="199"/>
      <c r="AE639"/>
    </row>
    <row r="640" spans="1:31" x14ac:dyDescent="0.2">
      <c r="A640" s="212"/>
      <c r="B640" s="212"/>
      <c r="C640" s="199"/>
      <c r="D640" s="199"/>
      <c r="E640" s="185"/>
      <c r="F640" s="199"/>
      <c r="G640" s="199"/>
      <c r="H640"/>
      <c r="O640" s="185"/>
      <c r="P640" s="185"/>
      <c r="Q640" s="199"/>
      <c r="AB640" s="199"/>
      <c r="AC640" s="199"/>
      <c r="AE640"/>
    </row>
    <row r="641" spans="1:31" x14ac:dyDescent="0.2">
      <c r="A641" s="212"/>
      <c r="B641" s="212"/>
      <c r="C641" s="199"/>
      <c r="D641" s="199"/>
      <c r="E641" s="185"/>
      <c r="F641" s="199"/>
      <c r="G641" s="199"/>
      <c r="H641"/>
      <c r="O641" s="185"/>
      <c r="P641" s="185"/>
      <c r="Q641" s="199"/>
      <c r="AB641" s="199"/>
      <c r="AC641" s="199"/>
      <c r="AE641"/>
    </row>
    <row r="642" spans="1:31" x14ac:dyDescent="0.2">
      <c r="A642" s="212"/>
      <c r="B642" s="212"/>
      <c r="C642" s="199"/>
      <c r="D642" s="199"/>
      <c r="E642" s="185"/>
      <c r="F642" s="199"/>
      <c r="G642" s="199"/>
      <c r="H642"/>
      <c r="O642" s="185"/>
      <c r="P642" s="185"/>
      <c r="Q642" s="199"/>
      <c r="AB642" s="199"/>
      <c r="AC642" s="199"/>
      <c r="AE642"/>
    </row>
    <row r="643" spans="1:31" x14ac:dyDescent="0.2">
      <c r="A643" s="212"/>
      <c r="B643" s="212"/>
      <c r="C643" s="199"/>
      <c r="D643" s="199"/>
      <c r="E643" s="185"/>
      <c r="F643" s="199"/>
      <c r="G643" s="199"/>
      <c r="H643"/>
      <c r="O643" s="185"/>
      <c r="P643" s="185"/>
      <c r="Q643" s="199"/>
      <c r="AB643" s="199"/>
      <c r="AC643" s="199"/>
      <c r="AE643"/>
    </row>
    <row r="644" spans="1:31" x14ac:dyDescent="0.2">
      <c r="A644" s="212"/>
      <c r="B644" s="212"/>
      <c r="C644" s="199"/>
      <c r="D644" s="199"/>
      <c r="E644" s="185"/>
      <c r="F644" s="199"/>
      <c r="G644" s="199"/>
      <c r="H644"/>
      <c r="O644" s="185"/>
      <c r="P644" s="185"/>
      <c r="Q644" s="199"/>
      <c r="AB644" s="199"/>
      <c r="AC644" s="199"/>
      <c r="AE644"/>
    </row>
    <row r="645" spans="1:31" x14ac:dyDescent="0.2">
      <c r="A645" s="212"/>
      <c r="B645" s="212"/>
      <c r="C645" s="199"/>
      <c r="D645" s="199"/>
      <c r="E645" s="185"/>
      <c r="F645" s="199"/>
      <c r="G645" s="199"/>
      <c r="H645"/>
      <c r="O645" s="185"/>
      <c r="P645" s="185"/>
      <c r="Q645" s="199"/>
      <c r="AB645" s="199"/>
      <c r="AC645" s="199"/>
      <c r="AE645"/>
    </row>
    <row r="646" spans="1:31" x14ac:dyDescent="0.2">
      <c r="A646" s="212"/>
      <c r="B646" s="212"/>
      <c r="C646" s="199"/>
      <c r="D646" s="199"/>
      <c r="E646" s="185"/>
      <c r="F646" s="199"/>
      <c r="G646" s="199"/>
      <c r="H646"/>
      <c r="O646" s="185"/>
      <c r="P646" s="185"/>
      <c r="Q646" s="199"/>
      <c r="AB646" s="199"/>
      <c r="AC646" s="199"/>
      <c r="AE646"/>
    </row>
    <row r="647" spans="1:31" x14ac:dyDescent="0.2">
      <c r="A647" s="212"/>
      <c r="B647" s="212"/>
      <c r="C647" s="199"/>
      <c r="D647" s="199"/>
      <c r="E647" s="185"/>
      <c r="F647" s="199"/>
      <c r="G647" s="199"/>
      <c r="H647"/>
      <c r="O647" s="185"/>
      <c r="P647" s="185"/>
      <c r="Q647" s="199"/>
      <c r="AB647" s="199"/>
      <c r="AC647" s="199"/>
      <c r="AE647"/>
    </row>
    <row r="648" spans="1:31" x14ac:dyDescent="0.2">
      <c r="A648" s="212"/>
      <c r="B648" s="212"/>
      <c r="C648" s="199"/>
      <c r="D648" s="199"/>
      <c r="E648" s="185"/>
      <c r="F648" s="199"/>
      <c r="G648" s="199"/>
      <c r="H648"/>
      <c r="O648" s="185"/>
      <c r="P648" s="185"/>
      <c r="Q648" s="199"/>
      <c r="AB648" s="199"/>
      <c r="AC648" s="199"/>
      <c r="AE648"/>
    </row>
    <row r="649" spans="1:31" x14ac:dyDescent="0.2">
      <c r="A649" s="212"/>
      <c r="B649" s="212"/>
      <c r="C649" s="199"/>
      <c r="D649" s="199"/>
      <c r="E649" s="185"/>
      <c r="F649" s="199"/>
      <c r="G649" s="199"/>
      <c r="H649" s="199"/>
      <c r="O649" s="185"/>
      <c r="P649" s="185"/>
      <c r="Q649" s="199"/>
      <c r="AB649" s="199"/>
      <c r="AC649" s="199"/>
      <c r="AE649"/>
    </row>
    <row r="650" spans="1:31" x14ac:dyDescent="0.2">
      <c r="A650" s="212"/>
      <c r="B650" s="212"/>
      <c r="C650" s="199"/>
      <c r="D650" s="199"/>
      <c r="E650" s="185"/>
      <c r="F650" s="199"/>
      <c r="G650" s="199"/>
      <c r="H650" s="199"/>
      <c r="O650" s="185"/>
      <c r="P650" s="185"/>
      <c r="Q650" s="199"/>
      <c r="AB650" s="199"/>
      <c r="AC650" s="199"/>
      <c r="AE650"/>
    </row>
    <row r="651" spans="1:31" x14ac:dyDescent="0.2">
      <c r="A651" s="212"/>
      <c r="B651" s="212"/>
      <c r="C651" s="199"/>
      <c r="D651" s="199"/>
      <c r="E651" s="185"/>
      <c r="F651" s="199"/>
      <c r="G651" s="199"/>
      <c r="H651" s="199"/>
      <c r="O651" s="185"/>
      <c r="P651" s="185"/>
      <c r="Q651" s="199"/>
      <c r="AB651" s="199"/>
      <c r="AC651" s="199"/>
      <c r="AE651"/>
    </row>
    <row r="652" spans="1:31" x14ac:dyDescent="0.2">
      <c r="A652" s="212"/>
      <c r="B652" s="212"/>
      <c r="C652" s="199"/>
      <c r="D652" s="199"/>
      <c r="E652" s="185"/>
      <c r="F652" s="199"/>
      <c r="G652" s="199"/>
      <c r="H652"/>
      <c r="O652" s="185"/>
      <c r="P652" s="185"/>
      <c r="Q652" s="199"/>
      <c r="AB652" s="199"/>
      <c r="AC652" s="199"/>
      <c r="AE652"/>
    </row>
    <row r="653" spans="1:31" x14ac:dyDescent="0.2">
      <c r="A653" s="212"/>
      <c r="B653" s="212"/>
      <c r="C653" s="199"/>
      <c r="D653" s="199"/>
      <c r="E653" s="185"/>
      <c r="F653" s="199"/>
      <c r="G653" s="199"/>
      <c r="H653"/>
      <c r="O653" s="185"/>
      <c r="P653" s="185"/>
      <c r="Q653" s="199"/>
      <c r="AB653" s="199"/>
      <c r="AC653" s="199"/>
      <c r="AE653"/>
    </row>
    <row r="654" spans="1:31" x14ac:dyDescent="0.2">
      <c r="A654" s="212"/>
      <c r="B654" s="212"/>
      <c r="C654" s="199"/>
      <c r="D654" s="199"/>
      <c r="E654" s="185"/>
      <c r="F654" s="199"/>
      <c r="G654" s="199"/>
      <c r="H654" s="199"/>
      <c r="O654" s="185"/>
      <c r="P654" s="185"/>
      <c r="Q654" s="199"/>
      <c r="AB654" s="199"/>
      <c r="AC654" s="199"/>
      <c r="AE654"/>
    </row>
    <row r="655" spans="1:31" x14ac:dyDescent="0.2">
      <c r="A655" s="212"/>
      <c r="B655" s="212"/>
      <c r="C655" s="199"/>
      <c r="D655" s="199"/>
      <c r="E655" s="185"/>
      <c r="F655" s="199"/>
      <c r="G655"/>
      <c r="H655"/>
      <c r="O655" s="185"/>
      <c r="P655" s="185"/>
      <c r="Q655" s="199"/>
      <c r="AB655" s="199"/>
      <c r="AC655" s="199"/>
      <c r="AE655"/>
    </row>
    <row r="656" spans="1:31" x14ac:dyDescent="0.2">
      <c r="A656" s="212"/>
      <c r="B656" s="212"/>
      <c r="C656" s="199"/>
      <c r="D656" s="199"/>
      <c r="E656" s="185"/>
      <c r="F656" s="199"/>
      <c r="G656" s="199"/>
      <c r="H656"/>
      <c r="O656" s="185"/>
      <c r="P656" s="185"/>
      <c r="Q656" s="199"/>
      <c r="AB656" s="199"/>
      <c r="AC656" s="199"/>
      <c r="AE656"/>
    </row>
    <row r="657" spans="1:31" x14ac:dyDescent="0.2">
      <c r="A657" s="212"/>
      <c r="B657" s="212"/>
      <c r="C657" s="199"/>
      <c r="D657" s="199"/>
      <c r="E657" s="185"/>
      <c r="F657" s="199"/>
      <c r="G657" s="199"/>
      <c r="H657"/>
      <c r="O657" s="185"/>
      <c r="P657" s="185"/>
      <c r="Q657" s="199"/>
      <c r="AB657" s="199"/>
      <c r="AC657" s="199"/>
      <c r="AE657"/>
    </row>
    <row r="658" spans="1:31" x14ac:dyDescent="0.2">
      <c r="A658" s="212"/>
      <c r="B658" s="212"/>
      <c r="C658" s="199"/>
      <c r="D658" s="199"/>
      <c r="E658" s="185"/>
      <c r="F658" s="199"/>
      <c r="G658" s="199"/>
      <c r="H658"/>
      <c r="O658" s="185"/>
      <c r="P658" s="185"/>
      <c r="Q658" s="199"/>
      <c r="AB658" s="199"/>
      <c r="AC658" s="199"/>
      <c r="AE658"/>
    </row>
    <row r="659" spans="1:31" x14ac:dyDescent="0.2">
      <c r="A659" s="212"/>
      <c r="B659" s="212"/>
      <c r="C659" s="199"/>
      <c r="D659" s="199"/>
      <c r="E659" s="185"/>
      <c r="F659" s="199"/>
      <c r="G659"/>
      <c r="H659"/>
      <c r="O659" s="185"/>
      <c r="P659" s="185"/>
      <c r="Q659" s="199"/>
      <c r="AB659" s="199"/>
      <c r="AC659" s="199"/>
      <c r="AE659"/>
    </row>
    <row r="660" spans="1:31" x14ac:dyDescent="0.2">
      <c r="A660" s="212"/>
      <c r="B660" s="212"/>
      <c r="C660" s="199"/>
      <c r="D660" s="199"/>
      <c r="E660" s="185"/>
      <c r="F660" s="199"/>
      <c r="G660" s="199"/>
      <c r="H660"/>
      <c r="O660" s="185"/>
      <c r="P660" s="185"/>
      <c r="Q660" s="199"/>
      <c r="AB660" s="199"/>
      <c r="AC660" s="199"/>
      <c r="AE660"/>
    </row>
    <row r="661" spans="1:31" x14ac:dyDescent="0.2">
      <c r="A661" s="212"/>
      <c r="B661" s="212"/>
      <c r="C661" s="199"/>
      <c r="D661" s="199"/>
      <c r="E661" s="185"/>
      <c r="F661" s="199"/>
      <c r="G661" s="199"/>
      <c r="H661"/>
      <c r="O661" s="185"/>
      <c r="P661" s="185"/>
      <c r="Q661" s="199"/>
      <c r="AB661" s="199"/>
      <c r="AC661" s="199"/>
      <c r="AE661"/>
    </row>
    <row r="662" spans="1:31" x14ac:dyDescent="0.2">
      <c r="A662" s="212"/>
      <c r="B662" s="212"/>
      <c r="C662" s="199"/>
      <c r="D662" s="199"/>
      <c r="E662" s="185"/>
      <c r="F662" s="199"/>
      <c r="G662" s="199"/>
      <c r="H662"/>
      <c r="O662" s="185"/>
      <c r="P662" s="185"/>
      <c r="Q662" s="199"/>
      <c r="AB662" s="199"/>
      <c r="AC662" s="199"/>
      <c r="AE662"/>
    </row>
    <row r="663" spans="1:31" x14ac:dyDescent="0.2">
      <c r="A663" s="212"/>
      <c r="B663" s="212"/>
      <c r="C663" s="199"/>
      <c r="D663" s="199"/>
      <c r="E663" s="185"/>
      <c r="F663" s="199"/>
      <c r="G663" s="199"/>
      <c r="H663"/>
      <c r="O663" s="185"/>
      <c r="P663" s="185"/>
      <c r="Q663" s="199"/>
      <c r="AB663" s="199"/>
      <c r="AC663" s="199"/>
      <c r="AE663"/>
    </row>
    <row r="664" spans="1:31" x14ac:dyDescent="0.2">
      <c r="A664" s="212"/>
      <c r="B664" s="212"/>
      <c r="C664" s="199"/>
      <c r="D664" s="199"/>
      <c r="E664" s="185"/>
      <c r="F664" s="199"/>
      <c r="G664"/>
      <c r="H664"/>
      <c r="O664" s="185"/>
      <c r="P664" s="185"/>
      <c r="Q664" s="199"/>
      <c r="AB664" s="199"/>
      <c r="AC664" s="199"/>
      <c r="AE664"/>
    </row>
    <row r="665" spans="1:31" x14ac:dyDescent="0.2">
      <c r="A665" s="212"/>
      <c r="B665" s="212"/>
      <c r="C665" s="199"/>
      <c r="D665" s="199"/>
      <c r="E665" s="185"/>
      <c r="F665" s="199"/>
      <c r="G665" s="199"/>
      <c r="H665"/>
      <c r="O665" s="185"/>
      <c r="P665" s="185"/>
      <c r="Q665" s="199"/>
      <c r="AB665" s="199"/>
      <c r="AC665" s="199"/>
      <c r="AE665"/>
    </row>
    <row r="666" spans="1:31" x14ac:dyDescent="0.2">
      <c r="A666" s="212"/>
      <c r="B666" s="212"/>
      <c r="C666" s="199"/>
      <c r="D666" s="199"/>
      <c r="E666" s="185"/>
      <c r="F666" s="199"/>
      <c r="G666"/>
      <c r="H666"/>
      <c r="O666" s="185"/>
      <c r="P666" s="185"/>
      <c r="Q666" s="199"/>
      <c r="AB666" s="199"/>
      <c r="AC666" s="199"/>
      <c r="AE666"/>
    </row>
    <row r="667" spans="1:31" x14ac:dyDescent="0.2">
      <c r="A667" s="212"/>
      <c r="B667" s="212"/>
      <c r="C667" s="199"/>
      <c r="D667" s="199"/>
      <c r="E667" s="185"/>
      <c r="F667" s="199"/>
      <c r="G667"/>
      <c r="H667"/>
      <c r="O667" s="185"/>
      <c r="P667" s="185"/>
      <c r="Q667" s="199"/>
      <c r="AB667" s="199"/>
      <c r="AC667" s="199"/>
      <c r="AE667"/>
    </row>
    <row r="668" spans="1:31" x14ac:dyDescent="0.2">
      <c r="A668" s="212"/>
      <c r="B668" s="212"/>
      <c r="C668" s="199"/>
      <c r="D668" s="199"/>
      <c r="E668" s="185"/>
      <c r="F668" s="199"/>
      <c r="G668" s="199"/>
      <c r="H668"/>
      <c r="O668" s="185"/>
      <c r="P668" s="185"/>
      <c r="Q668" s="199"/>
      <c r="AB668" s="199"/>
      <c r="AC668" s="199"/>
      <c r="AE668"/>
    </row>
    <row r="669" spans="1:31" x14ac:dyDescent="0.2">
      <c r="A669" s="212"/>
      <c r="B669" s="212"/>
      <c r="C669" s="199"/>
      <c r="D669" s="199"/>
      <c r="E669" s="185"/>
      <c r="F669" s="199"/>
      <c r="G669" s="199"/>
      <c r="H669"/>
      <c r="O669" s="185"/>
      <c r="P669" s="185"/>
      <c r="Q669" s="199"/>
      <c r="AB669" s="199"/>
      <c r="AC669" s="199"/>
      <c r="AE669"/>
    </row>
    <row r="670" spans="1:31" x14ac:dyDescent="0.2">
      <c r="A670" s="212"/>
      <c r="B670" s="212"/>
      <c r="C670" s="199"/>
      <c r="D670" s="199"/>
      <c r="E670" s="185"/>
      <c r="F670" s="199"/>
      <c r="G670" s="199"/>
      <c r="H670"/>
      <c r="O670" s="185"/>
      <c r="P670" s="185"/>
      <c r="Q670" s="199"/>
      <c r="AB670" s="199"/>
      <c r="AC670" s="199"/>
      <c r="AE670"/>
    </row>
    <row r="671" spans="1:31" x14ac:dyDescent="0.2">
      <c r="A671" s="212"/>
      <c r="B671" s="212"/>
      <c r="C671" s="199"/>
      <c r="D671" s="199"/>
      <c r="E671" s="185"/>
      <c r="F671" s="199"/>
      <c r="G671"/>
      <c r="H671"/>
      <c r="O671" s="185"/>
      <c r="P671" s="185"/>
      <c r="Q671" s="199"/>
      <c r="AB671" s="199"/>
      <c r="AC671" s="199"/>
      <c r="AE671"/>
    </row>
    <row r="672" spans="1:31" x14ac:dyDescent="0.2">
      <c r="A672" s="212"/>
      <c r="B672" s="212"/>
      <c r="C672" s="199"/>
      <c r="D672" s="199"/>
      <c r="E672" s="185"/>
      <c r="F672" s="199"/>
      <c r="G672" s="199"/>
      <c r="H672" s="199"/>
      <c r="O672" s="185"/>
      <c r="P672" s="185"/>
      <c r="Q672" s="199"/>
      <c r="AB672" s="199"/>
      <c r="AC672" s="199"/>
      <c r="AE672"/>
    </row>
    <row r="673" spans="1:31" x14ac:dyDescent="0.2">
      <c r="A673" s="212"/>
      <c r="B673" s="212"/>
      <c r="C673" s="199"/>
      <c r="D673" s="199"/>
      <c r="E673" s="185"/>
      <c r="F673" s="199"/>
      <c r="G673"/>
      <c r="H673"/>
      <c r="O673" s="185"/>
      <c r="P673" s="185"/>
      <c r="Q673" s="199"/>
      <c r="AB673" s="199"/>
      <c r="AC673" s="199"/>
      <c r="AE673"/>
    </row>
    <row r="674" spans="1:31" x14ac:dyDescent="0.2">
      <c r="A674" s="212"/>
      <c r="B674" s="212"/>
      <c r="C674" s="199"/>
      <c r="D674" s="199"/>
      <c r="E674" s="185"/>
      <c r="F674" s="199"/>
      <c r="G674"/>
      <c r="H674"/>
      <c r="O674" s="185"/>
      <c r="P674" s="185"/>
      <c r="Q674" s="199"/>
      <c r="AB674" s="199"/>
      <c r="AC674" s="199"/>
      <c r="AE674"/>
    </row>
    <row r="675" spans="1:31" x14ac:dyDescent="0.2">
      <c r="A675" s="212"/>
      <c r="B675" s="212"/>
      <c r="C675" s="199"/>
      <c r="D675" s="199"/>
      <c r="E675" s="185"/>
      <c r="F675" s="199"/>
      <c r="G675"/>
      <c r="H675"/>
      <c r="O675" s="185"/>
      <c r="P675" s="185"/>
      <c r="Q675" s="199"/>
      <c r="AB675" s="199"/>
      <c r="AC675" s="199"/>
      <c r="AE675"/>
    </row>
    <row r="676" spans="1:31" x14ac:dyDescent="0.2">
      <c r="A676" s="212"/>
      <c r="B676" s="212"/>
      <c r="C676" s="199"/>
      <c r="D676" s="199"/>
      <c r="E676" s="185"/>
      <c r="F676" s="199"/>
      <c r="G676" s="199"/>
      <c r="H676" s="199"/>
      <c r="O676" s="185"/>
      <c r="P676" s="185"/>
      <c r="Q676" s="199"/>
      <c r="AB676" s="199"/>
      <c r="AC676" s="199"/>
      <c r="AE676"/>
    </row>
    <row r="677" spans="1:31" x14ac:dyDescent="0.2">
      <c r="A677" s="212"/>
      <c r="B677" s="212"/>
      <c r="C677" s="199"/>
      <c r="D677" s="199"/>
      <c r="E677" s="185"/>
      <c r="F677" s="199"/>
      <c r="G677" s="199"/>
      <c r="H677"/>
      <c r="O677" s="185"/>
      <c r="P677" s="185"/>
      <c r="Q677" s="199"/>
      <c r="AB677" s="199"/>
      <c r="AC677" s="199"/>
      <c r="AE677"/>
    </row>
    <row r="678" spans="1:31" x14ac:dyDescent="0.2">
      <c r="A678" s="212"/>
      <c r="B678" s="212"/>
      <c r="C678" s="199"/>
      <c r="D678" s="199"/>
      <c r="E678" s="185"/>
      <c r="F678" s="199"/>
      <c r="G678" s="199"/>
      <c r="H678"/>
      <c r="O678" s="185"/>
      <c r="P678" s="185"/>
      <c r="Q678" s="199"/>
      <c r="AB678" s="199"/>
      <c r="AC678" s="199"/>
      <c r="AE678"/>
    </row>
    <row r="679" spans="1:31" x14ac:dyDescent="0.2">
      <c r="A679" s="212"/>
      <c r="B679" s="212"/>
      <c r="C679" s="199"/>
      <c r="D679" s="199"/>
      <c r="E679" s="185"/>
      <c r="F679" s="199"/>
      <c r="G679"/>
      <c r="H679"/>
      <c r="O679" s="185"/>
      <c r="P679" s="185"/>
      <c r="Q679" s="199"/>
      <c r="AB679" s="199"/>
      <c r="AC679" s="199"/>
      <c r="AE679"/>
    </row>
    <row r="680" spans="1:31" x14ac:dyDescent="0.2">
      <c r="A680" s="212"/>
      <c r="B680" s="212"/>
      <c r="C680" s="199"/>
      <c r="D680" s="199"/>
      <c r="E680" s="185"/>
      <c r="F680" s="199"/>
      <c r="G680" s="199"/>
      <c r="H680"/>
      <c r="O680" s="185"/>
      <c r="P680" s="185"/>
      <c r="Q680" s="199"/>
      <c r="AB680" s="199"/>
      <c r="AC680" s="199"/>
      <c r="AE680"/>
    </row>
    <row r="681" spans="1:31" x14ac:dyDescent="0.2">
      <c r="A681" s="212"/>
      <c r="B681" s="212"/>
      <c r="C681" s="199"/>
      <c r="D681" s="199"/>
      <c r="E681" s="185"/>
      <c r="F681" s="199"/>
      <c r="G681" s="199"/>
      <c r="H681"/>
      <c r="O681" s="185"/>
      <c r="P681" s="185"/>
      <c r="Q681" s="199"/>
      <c r="AB681" s="199"/>
      <c r="AC681" s="199"/>
      <c r="AE681"/>
    </row>
    <row r="682" spans="1:31" x14ac:dyDescent="0.2">
      <c r="A682" s="212"/>
      <c r="B682" s="212"/>
      <c r="C682" s="199"/>
      <c r="D682" s="199"/>
      <c r="E682" s="185"/>
      <c r="F682" s="199"/>
      <c r="G682" s="199"/>
      <c r="H682" s="199"/>
      <c r="O682" s="185"/>
      <c r="P682" s="185"/>
      <c r="Q682" s="199"/>
      <c r="AB682" s="199"/>
      <c r="AC682" s="199"/>
      <c r="AE682"/>
    </row>
    <row r="683" spans="1:31" x14ac:dyDescent="0.2">
      <c r="A683" s="212"/>
      <c r="B683" s="212"/>
      <c r="C683" s="199"/>
      <c r="D683" s="199"/>
      <c r="E683" s="185"/>
      <c r="F683" s="199"/>
      <c r="G683"/>
      <c r="H683"/>
      <c r="O683" s="185"/>
      <c r="P683" s="185"/>
      <c r="Q683" s="199"/>
      <c r="AB683" s="199"/>
      <c r="AC683" s="199"/>
      <c r="AE683"/>
    </row>
    <row r="684" spans="1:31" x14ac:dyDescent="0.2">
      <c r="A684" s="212"/>
      <c r="B684" s="212"/>
      <c r="C684" s="199"/>
      <c r="D684" s="199"/>
      <c r="E684" s="185"/>
      <c r="F684" s="199"/>
      <c r="G684"/>
      <c r="H684"/>
      <c r="O684" s="185"/>
      <c r="P684" s="185"/>
      <c r="Q684" s="199"/>
      <c r="AB684" s="199"/>
      <c r="AC684" s="199"/>
      <c r="AE684"/>
    </row>
    <row r="685" spans="1:31" x14ac:dyDescent="0.2">
      <c r="A685" s="212"/>
      <c r="B685" s="212"/>
      <c r="C685" s="199"/>
      <c r="D685" s="199"/>
      <c r="E685" s="185"/>
      <c r="F685" s="199"/>
      <c r="G685" s="199"/>
      <c r="H685" s="199"/>
      <c r="O685" s="185"/>
      <c r="P685" s="185"/>
      <c r="Q685" s="199"/>
      <c r="AB685" s="199"/>
      <c r="AC685" s="199"/>
      <c r="AE685"/>
    </row>
    <row r="686" spans="1:31" x14ac:dyDescent="0.2">
      <c r="A686" s="212"/>
      <c r="B686" s="212"/>
      <c r="C686" s="199"/>
      <c r="D686" s="199"/>
      <c r="E686" s="185"/>
      <c r="F686" s="199"/>
      <c r="G686" s="199"/>
      <c r="H686"/>
      <c r="O686" s="185"/>
      <c r="P686" s="185"/>
      <c r="Q686" s="199"/>
      <c r="AB686" s="199"/>
      <c r="AC686" s="199"/>
      <c r="AE686"/>
    </row>
    <row r="687" spans="1:31" x14ac:dyDescent="0.2">
      <c r="A687" s="212"/>
      <c r="B687" s="212"/>
      <c r="C687" s="199"/>
      <c r="D687" s="199"/>
      <c r="E687" s="185"/>
      <c r="F687" s="199"/>
      <c r="G687"/>
      <c r="H687"/>
      <c r="O687" s="185"/>
      <c r="P687" s="185"/>
      <c r="Q687" s="199"/>
      <c r="AB687" s="199"/>
      <c r="AC687" s="199"/>
      <c r="AE687"/>
    </row>
    <row r="688" spans="1:31" x14ac:dyDescent="0.2">
      <c r="A688" s="212"/>
      <c r="B688" s="212"/>
      <c r="C688" s="199"/>
      <c r="D688" s="199"/>
      <c r="E688" s="185"/>
      <c r="F688" s="199"/>
      <c r="G688"/>
      <c r="H688"/>
      <c r="O688" s="185"/>
      <c r="P688" s="185"/>
      <c r="Q688" s="199"/>
      <c r="AB688" s="199"/>
      <c r="AC688" s="199"/>
      <c r="AE688"/>
    </row>
    <row r="689" spans="1:31" x14ac:dyDescent="0.2">
      <c r="A689" s="212"/>
      <c r="B689" s="212"/>
      <c r="C689" s="199"/>
      <c r="D689" s="199"/>
      <c r="E689" s="185"/>
      <c r="F689" s="199"/>
      <c r="G689" s="199"/>
      <c r="H689"/>
      <c r="O689" s="185"/>
      <c r="P689" s="185"/>
      <c r="Q689" s="199"/>
      <c r="AB689" s="199"/>
      <c r="AC689" s="199"/>
      <c r="AE689"/>
    </row>
    <row r="690" spans="1:31" x14ac:dyDescent="0.2">
      <c r="A690" s="212"/>
      <c r="B690" s="212"/>
      <c r="C690" s="199"/>
      <c r="D690" s="199"/>
      <c r="E690" s="185"/>
      <c r="F690" s="199"/>
      <c r="G690" s="199"/>
      <c r="H690"/>
      <c r="O690" s="185"/>
      <c r="P690" s="185"/>
      <c r="Q690" s="199"/>
      <c r="AB690" s="199"/>
      <c r="AC690" s="199"/>
      <c r="AE690"/>
    </row>
    <row r="691" spans="1:31" x14ac:dyDescent="0.2">
      <c r="A691" s="212"/>
      <c r="B691" s="212"/>
      <c r="C691" s="199"/>
      <c r="D691" s="199"/>
      <c r="E691" s="185"/>
      <c r="F691" s="199"/>
      <c r="G691" s="199"/>
      <c r="H691" s="199"/>
      <c r="O691" s="185"/>
      <c r="P691" s="185"/>
      <c r="Q691" s="199"/>
      <c r="AB691" s="199"/>
      <c r="AC691" s="199"/>
      <c r="AE691"/>
    </row>
    <row r="692" spans="1:31" x14ac:dyDescent="0.2">
      <c r="A692" s="212"/>
      <c r="B692" s="212"/>
      <c r="C692" s="199"/>
      <c r="D692" s="199"/>
      <c r="E692" s="185"/>
      <c r="F692" s="199"/>
      <c r="G692" s="199"/>
      <c r="H692"/>
      <c r="O692" s="185"/>
      <c r="P692" s="185"/>
      <c r="Q692" s="199"/>
      <c r="AB692" s="199"/>
      <c r="AC692" s="199"/>
      <c r="AE692"/>
    </row>
    <row r="693" spans="1:31" x14ac:dyDescent="0.2">
      <c r="A693" s="212"/>
      <c r="B693" s="212"/>
      <c r="C693" s="199"/>
      <c r="D693" s="199"/>
      <c r="E693" s="185"/>
      <c r="F693" s="199"/>
      <c r="G693" s="199"/>
      <c r="H693" s="199"/>
      <c r="O693" s="185"/>
      <c r="P693" s="185"/>
      <c r="Q693" s="199"/>
      <c r="AB693" s="199"/>
      <c r="AC693" s="199"/>
      <c r="AE693"/>
    </row>
    <row r="694" spans="1:31" x14ac:dyDescent="0.2">
      <c r="A694" s="212"/>
      <c r="B694" s="212"/>
      <c r="C694" s="199"/>
      <c r="D694" s="199"/>
      <c r="E694" s="185"/>
      <c r="F694" s="199"/>
      <c r="G694" s="199"/>
      <c r="H694"/>
      <c r="O694" s="185"/>
      <c r="P694" s="185"/>
      <c r="Q694" s="199"/>
      <c r="AB694" s="199"/>
      <c r="AC694" s="199"/>
      <c r="AE694"/>
    </row>
    <row r="695" spans="1:31" x14ac:dyDescent="0.2">
      <c r="A695" s="212"/>
      <c r="B695" s="212"/>
      <c r="C695" s="199"/>
      <c r="D695" s="199"/>
      <c r="E695" s="185"/>
      <c r="F695" s="199"/>
      <c r="G695" s="199"/>
      <c r="H695"/>
      <c r="O695" s="185"/>
      <c r="P695" s="185"/>
      <c r="Q695" s="199"/>
      <c r="AB695" s="199"/>
      <c r="AC695" s="199"/>
      <c r="AE695"/>
    </row>
    <row r="696" spans="1:31" x14ac:dyDescent="0.2">
      <c r="A696" s="212"/>
      <c r="B696" s="212"/>
      <c r="C696" s="199"/>
      <c r="D696" s="199"/>
      <c r="E696" s="185"/>
      <c r="F696" s="199"/>
      <c r="G696"/>
      <c r="H696"/>
      <c r="O696" s="185"/>
      <c r="P696" s="185"/>
      <c r="Q696" s="199"/>
      <c r="AB696" s="199"/>
      <c r="AC696" s="199"/>
      <c r="AE696"/>
    </row>
    <row r="697" spans="1:31" x14ac:dyDescent="0.2">
      <c r="A697" s="212"/>
      <c r="B697" s="212"/>
      <c r="C697" s="199"/>
      <c r="D697" s="199"/>
      <c r="E697" s="185"/>
      <c r="F697" s="199"/>
      <c r="G697" s="199"/>
      <c r="H697"/>
      <c r="O697" s="185"/>
      <c r="P697" s="185"/>
      <c r="Q697" s="199"/>
      <c r="AB697" s="199"/>
      <c r="AC697" s="199"/>
      <c r="AE697"/>
    </row>
    <row r="698" spans="1:31" x14ac:dyDescent="0.2">
      <c r="A698" s="212"/>
      <c r="B698" s="212"/>
      <c r="C698" s="199"/>
      <c r="D698" s="199"/>
      <c r="E698" s="185"/>
      <c r="F698" s="199"/>
      <c r="G698" s="199"/>
      <c r="H698" s="199"/>
      <c r="O698" s="185"/>
      <c r="P698" s="185"/>
      <c r="Q698" s="199"/>
      <c r="AB698" s="199"/>
      <c r="AC698" s="199"/>
      <c r="AE698"/>
    </row>
    <row r="699" spans="1:31" x14ac:dyDescent="0.2">
      <c r="A699" s="212"/>
      <c r="B699" s="212"/>
      <c r="C699" s="199"/>
      <c r="D699" s="199"/>
      <c r="E699" s="185"/>
      <c r="F699" s="199"/>
      <c r="G699" s="199"/>
      <c r="H699" s="199"/>
      <c r="O699" s="185"/>
      <c r="P699" s="185"/>
      <c r="Q699" s="199"/>
      <c r="AB699" s="199"/>
      <c r="AC699" s="199"/>
      <c r="AE699"/>
    </row>
    <row r="700" spans="1:31" x14ac:dyDescent="0.2">
      <c r="A700" s="212"/>
      <c r="B700" s="212"/>
      <c r="C700" s="199"/>
      <c r="D700" s="199"/>
      <c r="E700" s="185"/>
      <c r="F700" s="199"/>
      <c r="G700"/>
      <c r="H700"/>
      <c r="O700" s="185"/>
      <c r="P700" s="185"/>
      <c r="Q700" s="199"/>
      <c r="AB700" s="199"/>
      <c r="AC700" s="199"/>
      <c r="AE700"/>
    </row>
    <row r="701" spans="1:31" x14ac:dyDescent="0.2">
      <c r="A701" s="212"/>
      <c r="B701" s="212"/>
      <c r="C701" s="199"/>
      <c r="D701" s="199"/>
      <c r="E701" s="185"/>
      <c r="F701" s="199"/>
      <c r="G701" s="199"/>
      <c r="H701"/>
      <c r="O701" s="185"/>
      <c r="P701" s="185"/>
      <c r="Q701" s="199"/>
      <c r="AB701" s="199"/>
      <c r="AC701" s="199"/>
      <c r="AE701"/>
    </row>
    <row r="702" spans="1:31" x14ac:dyDescent="0.2">
      <c r="A702" s="212"/>
      <c r="B702" s="212"/>
      <c r="C702" s="199"/>
      <c r="D702" s="199"/>
      <c r="E702" s="185"/>
      <c r="F702" s="199"/>
      <c r="G702" s="199"/>
      <c r="H702"/>
      <c r="O702" s="185"/>
      <c r="P702" s="185"/>
      <c r="Q702" s="199"/>
      <c r="AB702" s="199"/>
      <c r="AC702" s="199"/>
      <c r="AE702"/>
    </row>
    <row r="703" spans="1:31" x14ac:dyDescent="0.2">
      <c r="A703" s="212"/>
      <c r="B703" s="212"/>
      <c r="C703" s="199"/>
      <c r="D703" s="199"/>
      <c r="E703" s="185"/>
      <c r="F703" s="199"/>
      <c r="G703" s="199"/>
      <c r="H703"/>
      <c r="O703" s="185"/>
      <c r="P703" s="185"/>
      <c r="Q703" s="199"/>
      <c r="AB703" s="199"/>
      <c r="AC703" s="199"/>
      <c r="AE703"/>
    </row>
    <row r="704" spans="1:31" x14ac:dyDescent="0.2">
      <c r="A704" s="212"/>
      <c r="B704" s="212"/>
      <c r="C704" s="199"/>
      <c r="D704" s="199"/>
      <c r="E704" s="185"/>
      <c r="F704" s="199"/>
      <c r="G704" s="199"/>
      <c r="H704"/>
      <c r="O704" s="185"/>
      <c r="P704" s="185"/>
      <c r="Q704" s="199"/>
      <c r="AB704" s="199"/>
      <c r="AC704" s="199"/>
      <c r="AE704"/>
    </row>
    <row r="705" spans="1:31" x14ac:dyDescent="0.2">
      <c r="A705" s="212"/>
      <c r="B705" s="212"/>
      <c r="C705" s="199"/>
      <c r="D705" s="199"/>
      <c r="E705" s="185"/>
      <c r="F705" s="199"/>
      <c r="G705" s="199"/>
      <c r="H705" s="199"/>
      <c r="O705" s="185"/>
      <c r="P705" s="185"/>
      <c r="Q705" s="199"/>
      <c r="AB705" s="199"/>
      <c r="AC705" s="199"/>
      <c r="AE705"/>
    </row>
    <row r="706" spans="1:31" x14ac:dyDescent="0.2">
      <c r="A706" s="212"/>
      <c r="B706" s="212"/>
      <c r="C706" s="199"/>
      <c r="D706" s="199"/>
      <c r="E706" s="185"/>
      <c r="F706" s="199"/>
      <c r="G706"/>
      <c r="H706"/>
      <c r="O706" s="185"/>
      <c r="P706" s="185"/>
      <c r="Q706" s="199"/>
      <c r="AB706" s="199"/>
      <c r="AC706" s="199"/>
      <c r="AE706"/>
    </row>
    <row r="707" spans="1:31" x14ac:dyDescent="0.2">
      <c r="A707" s="212"/>
      <c r="B707" s="212"/>
      <c r="C707" s="199"/>
      <c r="D707" s="199"/>
      <c r="E707" s="185"/>
      <c r="F707" s="199"/>
      <c r="G707" s="199"/>
      <c r="H707"/>
      <c r="O707" s="185"/>
      <c r="P707" s="185"/>
      <c r="Q707" s="199"/>
      <c r="AB707" s="199"/>
      <c r="AC707" s="199"/>
      <c r="AE707"/>
    </row>
    <row r="708" spans="1:31" x14ac:dyDescent="0.2">
      <c r="A708" s="212"/>
      <c r="B708" s="212"/>
      <c r="C708" s="199"/>
      <c r="D708" s="199"/>
      <c r="E708" s="185"/>
      <c r="F708" s="199"/>
      <c r="G708" s="199"/>
      <c r="H708"/>
      <c r="O708" s="185"/>
      <c r="P708" s="185"/>
      <c r="Q708" s="199"/>
      <c r="AB708" s="199"/>
      <c r="AC708" s="199"/>
      <c r="AE708"/>
    </row>
    <row r="709" spans="1:31" x14ac:dyDescent="0.2">
      <c r="A709" s="212"/>
      <c r="B709" s="212"/>
      <c r="C709" s="199"/>
      <c r="D709" s="199"/>
      <c r="E709" s="185"/>
      <c r="F709" s="199"/>
      <c r="G709" s="199"/>
      <c r="H709"/>
      <c r="O709" s="185"/>
      <c r="P709" s="185"/>
      <c r="Q709" s="199"/>
      <c r="AB709" s="199"/>
      <c r="AC709" s="199"/>
      <c r="AE709"/>
    </row>
    <row r="710" spans="1:31" x14ac:dyDescent="0.2">
      <c r="A710" s="212"/>
      <c r="B710" s="212"/>
      <c r="C710" s="199"/>
      <c r="D710" s="199"/>
      <c r="E710" s="185"/>
      <c r="F710" s="199"/>
      <c r="G710" s="199"/>
      <c r="H710"/>
      <c r="O710" s="185"/>
      <c r="P710" s="185"/>
      <c r="Q710" s="199"/>
      <c r="AB710" s="199"/>
      <c r="AC710" s="199"/>
      <c r="AE710"/>
    </row>
    <row r="711" spans="1:31" x14ac:dyDescent="0.2">
      <c r="A711" s="212"/>
      <c r="B711" s="212"/>
      <c r="C711" s="199"/>
      <c r="D711" s="199"/>
      <c r="E711" s="185"/>
      <c r="F711" s="199"/>
      <c r="G711" s="199"/>
      <c r="H711"/>
      <c r="O711" s="185"/>
      <c r="P711" s="185"/>
      <c r="Q711" s="199"/>
      <c r="AB711" s="199"/>
      <c r="AC711" s="199"/>
      <c r="AE711"/>
    </row>
    <row r="712" spans="1:31" x14ac:dyDescent="0.2">
      <c r="A712" s="212"/>
      <c r="B712" s="212"/>
      <c r="C712" s="199"/>
      <c r="D712" s="199"/>
      <c r="E712" s="185"/>
      <c r="F712" s="199"/>
      <c r="G712" s="199"/>
      <c r="H712"/>
      <c r="O712" s="185"/>
      <c r="P712" s="185"/>
      <c r="Q712" s="199"/>
      <c r="AB712" s="199"/>
      <c r="AC712" s="199"/>
      <c r="AE712"/>
    </row>
    <row r="713" spans="1:31" x14ac:dyDescent="0.2">
      <c r="A713" s="212"/>
      <c r="B713" s="212"/>
      <c r="C713" s="199"/>
      <c r="D713" s="199"/>
      <c r="E713" s="185"/>
      <c r="F713" s="199"/>
      <c r="G713" s="199"/>
      <c r="H713"/>
      <c r="O713" s="185"/>
      <c r="P713" s="185"/>
      <c r="Q713" s="199"/>
      <c r="AB713" s="199"/>
      <c r="AC713" s="199"/>
      <c r="AE713"/>
    </row>
    <row r="714" spans="1:31" x14ac:dyDescent="0.2">
      <c r="A714" s="212"/>
      <c r="B714" s="212"/>
      <c r="C714" s="199"/>
      <c r="D714" s="199"/>
      <c r="E714" s="185"/>
      <c r="F714" s="199"/>
      <c r="G714" s="199"/>
      <c r="H714"/>
      <c r="O714" s="185"/>
      <c r="P714" s="185"/>
      <c r="Q714" s="199"/>
      <c r="AB714" s="199"/>
      <c r="AC714" s="199"/>
      <c r="AE714"/>
    </row>
    <row r="715" spans="1:31" x14ac:dyDescent="0.2">
      <c r="A715" s="212"/>
      <c r="B715" s="212"/>
      <c r="C715" s="199"/>
      <c r="D715" s="199"/>
      <c r="E715" s="185"/>
      <c r="F715" s="199"/>
      <c r="G715" s="199"/>
      <c r="H715"/>
      <c r="O715" s="185"/>
      <c r="P715" s="185"/>
      <c r="Q715" s="199"/>
      <c r="AB715" s="199"/>
      <c r="AC715" s="199"/>
      <c r="AE715"/>
    </row>
    <row r="716" spans="1:31" x14ac:dyDescent="0.2">
      <c r="A716" s="212"/>
      <c r="B716" s="212"/>
      <c r="C716" s="199"/>
      <c r="D716" s="199"/>
      <c r="E716" s="185"/>
      <c r="F716" s="199"/>
      <c r="G716"/>
      <c r="H716"/>
      <c r="O716" s="185"/>
      <c r="P716" s="185"/>
      <c r="Q716" s="199"/>
      <c r="AB716" s="199"/>
      <c r="AC716" s="199"/>
      <c r="AE716"/>
    </row>
    <row r="717" spans="1:31" x14ac:dyDescent="0.2">
      <c r="A717" s="212"/>
      <c r="B717" s="212"/>
      <c r="C717" s="199"/>
      <c r="D717" s="199"/>
      <c r="E717" s="185"/>
      <c r="F717" s="199"/>
      <c r="G717" s="199"/>
      <c r="H717"/>
      <c r="O717" s="185"/>
      <c r="P717" s="185"/>
      <c r="Q717" s="199"/>
      <c r="AB717" s="199"/>
      <c r="AC717" s="199"/>
      <c r="AE717"/>
    </row>
    <row r="718" spans="1:31" x14ac:dyDescent="0.2">
      <c r="A718" s="212"/>
      <c r="B718" s="212"/>
      <c r="C718" s="199"/>
      <c r="D718" s="199"/>
      <c r="E718" s="185"/>
      <c r="F718" s="199"/>
      <c r="G718" s="199"/>
      <c r="H718"/>
      <c r="O718" s="185"/>
      <c r="P718" s="185"/>
      <c r="Q718" s="199"/>
      <c r="AB718" s="199"/>
      <c r="AC718" s="199"/>
      <c r="AE718"/>
    </row>
    <row r="719" spans="1:31" x14ac:dyDescent="0.2">
      <c r="A719" s="212"/>
      <c r="B719" s="212"/>
      <c r="C719" s="199"/>
      <c r="D719" s="199"/>
      <c r="E719" s="185"/>
      <c r="F719" s="199"/>
      <c r="G719"/>
      <c r="H719"/>
      <c r="O719" s="185"/>
      <c r="P719" s="185"/>
      <c r="Q719" s="199"/>
      <c r="AB719" s="199"/>
      <c r="AC719" s="199"/>
      <c r="AE719"/>
    </row>
    <row r="720" spans="1:31" x14ac:dyDescent="0.2">
      <c r="A720" s="212"/>
      <c r="B720" s="212"/>
      <c r="C720" s="199"/>
      <c r="D720" s="199"/>
      <c r="E720" s="185"/>
      <c r="F720" s="199"/>
      <c r="G720" s="199"/>
      <c r="H720" s="199"/>
      <c r="O720" s="185"/>
      <c r="P720" s="185"/>
      <c r="Q720" s="199"/>
      <c r="AB720" s="199"/>
      <c r="AC720" s="199"/>
      <c r="AE720"/>
    </row>
    <row r="721" spans="1:31" x14ac:dyDescent="0.2">
      <c r="A721" s="212"/>
      <c r="B721" s="212"/>
      <c r="C721" s="199"/>
      <c r="D721" s="199"/>
      <c r="E721" s="185"/>
      <c r="F721" s="199"/>
      <c r="G721" s="199"/>
      <c r="H721" s="199"/>
      <c r="O721" s="185"/>
      <c r="P721" s="185"/>
      <c r="Q721" s="199"/>
      <c r="AB721" s="199"/>
      <c r="AC721" s="199"/>
      <c r="AE721"/>
    </row>
    <row r="722" spans="1:31" x14ac:dyDescent="0.2">
      <c r="A722" s="212"/>
      <c r="B722" s="212"/>
      <c r="C722" s="199"/>
      <c r="D722" s="199"/>
      <c r="E722" s="185"/>
      <c r="F722" s="199"/>
      <c r="G722" s="199"/>
      <c r="H722" s="199"/>
      <c r="O722" s="185"/>
      <c r="P722" s="185"/>
      <c r="Q722" s="199"/>
      <c r="AB722" s="199"/>
      <c r="AC722" s="199"/>
      <c r="AE722"/>
    </row>
    <row r="723" spans="1:31" x14ac:dyDescent="0.2">
      <c r="A723" s="212"/>
      <c r="B723" s="212"/>
      <c r="C723" s="199"/>
      <c r="D723" s="199"/>
      <c r="E723" s="185"/>
      <c r="F723" s="199"/>
      <c r="G723" s="199"/>
      <c r="H723"/>
      <c r="O723" s="185"/>
      <c r="P723" s="185"/>
      <c r="Q723" s="199"/>
      <c r="AB723" s="199"/>
      <c r="AC723" s="199"/>
      <c r="AE723"/>
    </row>
    <row r="724" spans="1:31" x14ac:dyDescent="0.2">
      <c r="A724" s="212"/>
      <c r="B724" s="212"/>
      <c r="C724" s="199"/>
      <c r="D724" s="199"/>
      <c r="E724" s="185"/>
      <c r="F724" s="199"/>
      <c r="G724"/>
      <c r="H724"/>
      <c r="O724" s="185"/>
      <c r="P724" s="185"/>
      <c r="Q724" s="199"/>
      <c r="AB724" s="199"/>
      <c r="AC724" s="199"/>
      <c r="AE724"/>
    </row>
    <row r="725" spans="1:31" x14ac:dyDescent="0.2">
      <c r="A725" s="212"/>
      <c r="B725" s="212"/>
      <c r="C725" s="199"/>
      <c r="D725" s="199"/>
      <c r="E725" s="185"/>
      <c r="F725" s="199"/>
      <c r="G725" s="199"/>
      <c r="H725"/>
      <c r="O725" s="185"/>
      <c r="P725" s="185"/>
      <c r="Q725" s="199"/>
      <c r="AB725" s="199"/>
      <c r="AC725" s="199"/>
      <c r="AE725"/>
    </row>
    <row r="726" spans="1:31" x14ac:dyDescent="0.2">
      <c r="A726" s="212"/>
      <c r="B726" s="212"/>
      <c r="C726" s="199"/>
      <c r="D726" s="199"/>
      <c r="E726" s="185"/>
      <c r="F726" s="199"/>
      <c r="G726" s="199"/>
      <c r="H726"/>
      <c r="O726" s="185"/>
      <c r="P726" s="185"/>
      <c r="Q726" s="199"/>
      <c r="AB726" s="199"/>
      <c r="AC726" s="199"/>
      <c r="AE726"/>
    </row>
    <row r="727" spans="1:31" x14ac:dyDescent="0.2">
      <c r="A727" s="212"/>
      <c r="B727" s="212"/>
      <c r="C727" s="199"/>
      <c r="D727" s="199"/>
      <c r="E727" s="185"/>
      <c r="F727" s="199"/>
      <c r="G727" s="199"/>
      <c r="H727" s="199"/>
      <c r="O727" s="185"/>
      <c r="P727" s="185"/>
      <c r="Q727" s="199"/>
      <c r="AB727" s="199"/>
      <c r="AC727" s="199"/>
      <c r="AE727"/>
    </row>
    <row r="728" spans="1:31" x14ac:dyDescent="0.2">
      <c r="A728" s="212"/>
      <c r="B728" s="212"/>
      <c r="C728" s="199"/>
      <c r="D728" s="199"/>
      <c r="E728" s="185"/>
      <c r="F728" s="199"/>
      <c r="G728" s="199"/>
      <c r="H728"/>
      <c r="O728" s="185"/>
      <c r="P728" s="185"/>
      <c r="Q728" s="199"/>
      <c r="AB728" s="199"/>
      <c r="AC728" s="199"/>
      <c r="AE728"/>
    </row>
    <row r="729" spans="1:31" x14ac:dyDescent="0.2">
      <c r="A729" s="212"/>
      <c r="B729" s="212"/>
      <c r="C729" s="199"/>
      <c r="D729" s="199"/>
      <c r="E729" s="185"/>
      <c r="F729" s="199"/>
      <c r="G729" s="199"/>
      <c r="H729"/>
      <c r="O729" s="185"/>
      <c r="P729" s="185"/>
      <c r="Q729" s="199"/>
      <c r="AB729" s="199"/>
      <c r="AC729" s="199"/>
      <c r="AE729"/>
    </row>
    <row r="730" spans="1:31" x14ac:dyDescent="0.2">
      <c r="A730" s="212"/>
      <c r="B730" s="212"/>
      <c r="C730" s="199"/>
      <c r="D730" s="199"/>
      <c r="E730" s="185"/>
      <c r="F730" s="199"/>
      <c r="G730" s="199"/>
      <c r="H730"/>
      <c r="O730" s="185"/>
      <c r="P730" s="185"/>
      <c r="Q730" s="199"/>
      <c r="AB730" s="199"/>
      <c r="AC730" s="199"/>
      <c r="AE730"/>
    </row>
    <row r="731" spans="1:31" x14ac:dyDescent="0.2">
      <c r="A731" s="212"/>
      <c r="B731" s="212"/>
      <c r="C731" s="199"/>
      <c r="D731" s="199"/>
      <c r="E731" s="185"/>
      <c r="F731" s="199"/>
      <c r="G731"/>
      <c r="H731"/>
      <c r="O731" s="185"/>
      <c r="P731" s="185"/>
      <c r="Q731" s="199"/>
      <c r="AB731" s="199"/>
      <c r="AC731" s="199"/>
      <c r="AE731"/>
    </row>
    <row r="732" spans="1:31" x14ac:dyDescent="0.2">
      <c r="A732" s="212"/>
      <c r="B732" s="212"/>
      <c r="C732" s="199"/>
      <c r="D732" s="199"/>
      <c r="E732" s="185"/>
      <c r="F732" s="199"/>
      <c r="G732"/>
      <c r="H732"/>
      <c r="O732" s="185"/>
      <c r="P732" s="185"/>
      <c r="Q732" s="199"/>
      <c r="AB732" s="199"/>
      <c r="AC732" s="199"/>
      <c r="AE732"/>
    </row>
    <row r="733" spans="1:31" x14ac:dyDescent="0.2">
      <c r="A733" s="212"/>
      <c r="B733" s="212"/>
      <c r="C733" s="199"/>
      <c r="D733" s="199"/>
      <c r="E733" s="185"/>
      <c r="F733" s="199"/>
      <c r="G733" s="199"/>
      <c r="H733"/>
      <c r="O733" s="185"/>
      <c r="P733" s="185"/>
      <c r="Q733" s="199"/>
      <c r="AB733" s="199"/>
      <c r="AC733" s="199"/>
      <c r="AE733"/>
    </row>
    <row r="734" spans="1:31" x14ac:dyDescent="0.2">
      <c r="A734" s="212"/>
      <c r="B734" s="212"/>
      <c r="C734" s="199"/>
      <c r="D734" s="199"/>
      <c r="E734" s="185"/>
      <c r="F734" s="199"/>
      <c r="G734" s="199"/>
      <c r="H734"/>
      <c r="O734" s="185"/>
      <c r="P734" s="185"/>
      <c r="Q734" s="199"/>
      <c r="AB734" s="199"/>
      <c r="AC734" s="199"/>
      <c r="AE734"/>
    </row>
    <row r="735" spans="1:31" x14ac:dyDescent="0.2">
      <c r="A735" s="212"/>
      <c r="B735" s="212"/>
      <c r="C735" s="199"/>
      <c r="D735" s="199"/>
      <c r="E735" s="185"/>
      <c r="F735" s="199"/>
      <c r="G735" s="199"/>
      <c r="H735"/>
      <c r="O735" s="185"/>
      <c r="P735" s="185"/>
      <c r="Q735" s="199"/>
      <c r="AB735" s="199"/>
      <c r="AC735" s="199"/>
      <c r="AE735"/>
    </row>
    <row r="736" spans="1:31" x14ac:dyDescent="0.2">
      <c r="A736" s="212"/>
      <c r="B736" s="212"/>
      <c r="C736" s="199"/>
      <c r="D736" s="199"/>
      <c r="E736" s="185"/>
      <c r="F736" s="199"/>
      <c r="G736" s="199"/>
      <c r="H736"/>
      <c r="O736" s="185"/>
      <c r="P736" s="185"/>
      <c r="Q736" s="199"/>
      <c r="AB736" s="199"/>
      <c r="AC736" s="199"/>
      <c r="AE736"/>
    </row>
    <row r="737" spans="1:31" x14ac:dyDescent="0.2">
      <c r="A737" s="212"/>
      <c r="B737" s="212"/>
      <c r="C737" s="199"/>
      <c r="D737" s="199"/>
      <c r="E737" s="185"/>
      <c r="F737" s="199"/>
      <c r="G737" s="199"/>
      <c r="H737"/>
      <c r="O737" s="185"/>
      <c r="P737" s="185"/>
      <c r="Q737" s="199"/>
      <c r="AB737" s="199"/>
      <c r="AC737" s="199"/>
      <c r="AE737"/>
    </row>
    <row r="738" spans="1:31" x14ac:dyDescent="0.2">
      <c r="A738" s="212"/>
      <c r="B738" s="212"/>
      <c r="C738" s="199"/>
      <c r="D738" s="199"/>
      <c r="E738" s="185"/>
      <c r="F738" s="199"/>
      <c r="G738" s="199"/>
      <c r="H738"/>
      <c r="O738" s="185"/>
      <c r="P738" s="185"/>
      <c r="Q738" s="199"/>
      <c r="AB738" s="199"/>
      <c r="AC738" s="199"/>
      <c r="AE738"/>
    </row>
    <row r="739" spans="1:31" x14ac:dyDescent="0.2">
      <c r="A739" s="212"/>
      <c r="B739" s="212"/>
      <c r="C739" s="199"/>
      <c r="D739" s="199"/>
      <c r="E739" s="185"/>
      <c r="F739" s="199"/>
      <c r="G739" s="199"/>
      <c r="H739"/>
      <c r="O739" s="185"/>
      <c r="P739" s="185"/>
      <c r="Q739" s="199"/>
      <c r="AB739" s="199"/>
      <c r="AC739" s="199"/>
      <c r="AE739"/>
    </row>
    <row r="740" spans="1:31" x14ac:dyDescent="0.2">
      <c r="A740" s="212"/>
      <c r="B740" s="212"/>
      <c r="C740" s="199"/>
      <c r="D740" s="199"/>
      <c r="E740" s="185"/>
      <c r="F740" s="199"/>
      <c r="G740" s="199"/>
      <c r="H740"/>
      <c r="O740" s="185"/>
      <c r="P740" s="185"/>
      <c r="Q740" s="199"/>
      <c r="AB740" s="199"/>
      <c r="AC740" s="199"/>
      <c r="AE740"/>
    </row>
    <row r="741" spans="1:31" x14ac:dyDescent="0.2">
      <c r="A741" s="212"/>
      <c r="B741" s="212"/>
      <c r="C741" s="199"/>
      <c r="D741" s="199"/>
      <c r="E741" s="185"/>
      <c r="F741" s="199"/>
      <c r="G741"/>
      <c r="H741"/>
      <c r="O741" s="185"/>
      <c r="P741" s="185"/>
      <c r="Q741" s="199"/>
      <c r="AB741" s="199"/>
      <c r="AC741" s="199"/>
      <c r="AE741"/>
    </row>
    <row r="742" spans="1:31" x14ac:dyDescent="0.2">
      <c r="A742" s="212"/>
      <c r="B742" s="212"/>
      <c r="C742" s="199"/>
      <c r="D742" s="199"/>
      <c r="E742" s="185"/>
      <c r="F742" s="199"/>
      <c r="G742" s="199"/>
      <c r="H742"/>
      <c r="O742" s="185"/>
      <c r="P742" s="185"/>
      <c r="Q742" s="199"/>
      <c r="AB742" s="199"/>
      <c r="AC742" s="199"/>
      <c r="AE742"/>
    </row>
    <row r="743" spans="1:31" x14ac:dyDescent="0.2">
      <c r="A743" s="212"/>
      <c r="B743" s="212"/>
      <c r="C743" s="199"/>
      <c r="D743" s="199"/>
      <c r="E743" s="185"/>
      <c r="F743" s="199"/>
      <c r="G743"/>
      <c r="H743"/>
      <c r="O743" s="185"/>
      <c r="P743" s="185"/>
      <c r="Q743" s="199"/>
      <c r="AB743" s="199"/>
      <c r="AC743" s="199"/>
      <c r="AE743"/>
    </row>
    <row r="744" spans="1:31" x14ac:dyDescent="0.2">
      <c r="A744" s="212"/>
      <c r="B744" s="212"/>
      <c r="C744" s="199"/>
      <c r="D744" s="199"/>
      <c r="E744" s="185"/>
      <c r="F744" s="199"/>
      <c r="G744" s="199"/>
      <c r="H744"/>
      <c r="O744" s="185"/>
      <c r="P744" s="185"/>
      <c r="Q744" s="199"/>
      <c r="AB744" s="199"/>
      <c r="AC744" s="199"/>
      <c r="AE744"/>
    </row>
    <row r="745" spans="1:31" x14ac:dyDescent="0.2">
      <c r="A745" s="212"/>
      <c r="B745" s="212"/>
      <c r="C745" s="199"/>
      <c r="D745" s="199"/>
      <c r="E745" s="185"/>
      <c r="F745" s="199"/>
      <c r="G745" s="199"/>
      <c r="H745" s="199"/>
      <c r="O745" s="185"/>
      <c r="P745" s="185"/>
      <c r="Q745" s="199"/>
      <c r="AB745" s="199"/>
      <c r="AC745" s="199"/>
      <c r="AE745"/>
    </row>
    <row r="746" spans="1:31" x14ac:dyDescent="0.2">
      <c r="A746" s="212"/>
      <c r="B746" s="212"/>
      <c r="C746" s="199"/>
      <c r="D746" s="199"/>
      <c r="E746" s="185"/>
      <c r="F746" s="199"/>
      <c r="G746" s="199"/>
      <c r="H746"/>
      <c r="O746" s="185"/>
      <c r="P746" s="185"/>
      <c r="Q746" s="199"/>
      <c r="AB746" s="199"/>
      <c r="AC746" s="199"/>
      <c r="AE746"/>
    </row>
    <row r="747" spans="1:31" x14ac:dyDescent="0.2">
      <c r="A747" s="212"/>
      <c r="B747" s="212"/>
      <c r="C747" s="199"/>
      <c r="D747" s="199"/>
      <c r="E747" s="185"/>
      <c r="F747" s="199"/>
      <c r="G747" s="199"/>
      <c r="H747"/>
      <c r="O747" s="185"/>
      <c r="P747" s="185"/>
      <c r="Q747" s="199"/>
      <c r="AB747" s="199"/>
      <c r="AC747" s="199"/>
      <c r="AE747"/>
    </row>
    <row r="748" spans="1:31" x14ac:dyDescent="0.2">
      <c r="A748" s="212"/>
      <c r="B748" s="212"/>
      <c r="C748" s="199"/>
      <c r="D748" s="199"/>
      <c r="E748" s="185"/>
      <c r="F748" s="199"/>
      <c r="G748" s="199"/>
      <c r="H748"/>
      <c r="O748" s="185"/>
      <c r="P748" s="185"/>
      <c r="Q748" s="199"/>
      <c r="AB748" s="199"/>
      <c r="AC748" s="199"/>
      <c r="AE748"/>
    </row>
    <row r="749" spans="1:31" x14ac:dyDescent="0.2">
      <c r="A749" s="212"/>
      <c r="B749" s="212"/>
      <c r="C749" s="199"/>
      <c r="D749" s="199"/>
      <c r="E749" s="185"/>
      <c r="F749" s="199"/>
      <c r="G749" s="199"/>
      <c r="H749"/>
      <c r="O749" s="185"/>
      <c r="P749" s="185"/>
      <c r="Q749" s="199"/>
      <c r="AB749" s="199"/>
      <c r="AC749" s="199"/>
      <c r="AE749"/>
    </row>
    <row r="750" spans="1:31" x14ac:dyDescent="0.2">
      <c r="A750" s="212"/>
      <c r="B750" s="212"/>
      <c r="C750" s="199"/>
      <c r="D750" s="199"/>
      <c r="E750" s="185"/>
      <c r="F750" s="199"/>
      <c r="G750" s="199"/>
      <c r="H750"/>
      <c r="O750" s="185"/>
      <c r="P750" s="185"/>
      <c r="Q750" s="199"/>
      <c r="AB750" s="199"/>
      <c r="AC750" s="199"/>
      <c r="AE750"/>
    </row>
    <row r="751" spans="1:31" x14ac:dyDescent="0.2">
      <c r="A751" s="212"/>
      <c r="B751" s="212"/>
      <c r="C751" s="199"/>
      <c r="D751" s="199"/>
      <c r="E751" s="185"/>
      <c r="F751" s="199"/>
      <c r="G751"/>
      <c r="H751"/>
      <c r="O751" s="185"/>
      <c r="P751" s="185"/>
      <c r="Q751" s="199"/>
      <c r="AB751" s="199"/>
      <c r="AC751" s="199"/>
      <c r="AE751"/>
    </row>
    <row r="752" spans="1:31" x14ac:dyDescent="0.2">
      <c r="A752" s="212"/>
      <c r="B752" s="212"/>
      <c r="C752" s="199"/>
      <c r="D752" s="199"/>
      <c r="E752" s="185"/>
      <c r="F752" s="199"/>
      <c r="G752"/>
      <c r="H752"/>
      <c r="O752" s="185"/>
      <c r="P752" s="185"/>
      <c r="Q752" s="199"/>
      <c r="AB752" s="199"/>
      <c r="AC752" s="199"/>
      <c r="AE752"/>
    </row>
    <row r="753" spans="1:31" x14ac:dyDescent="0.2">
      <c r="A753" s="212"/>
      <c r="B753" s="212"/>
      <c r="C753" s="199"/>
      <c r="D753" s="199"/>
      <c r="E753" s="185"/>
      <c r="F753" s="199"/>
      <c r="G753" s="199"/>
      <c r="H753"/>
      <c r="O753" s="185"/>
      <c r="P753" s="185"/>
      <c r="Q753" s="199"/>
      <c r="AB753" s="199"/>
      <c r="AC753" s="199"/>
      <c r="AE753"/>
    </row>
    <row r="754" spans="1:31" x14ac:dyDescent="0.2">
      <c r="A754" s="212"/>
      <c r="B754" s="212"/>
      <c r="C754" s="199"/>
      <c r="D754" s="199"/>
      <c r="E754" s="185"/>
      <c r="F754" s="199"/>
      <c r="G754"/>
      <c r="H754"/>
      <c r="O754" s="185"/>
      <c r="P754" s="185"/>
      <c r="Q754" s="199"/>
      <c r="AB754" s="199"/>
      <c r="AC754" s="199"/>
      <c r="AE754"/>
    </row>
    <row r="755" spans="1:31" x14ac:dyDescent="0.2">
      <c r="A755" s="212"/>
      <c r="B755" s="212"/>
      <c r="C755" s="199"/>
      <c r="D755" s="199"/>
      <c r="E755" s="185"/>
      <c r="F755" s="199"/>
      <c r="G755"/>
      <c r="H755"/>
      <c r="O755" s="185"/>
      <c r="P755" s="185"/>
      <c r="Q755" s="199"/>
      <c r="AB755" s="199"/>
      <c r="AC755" s="199"/>
      <c r="AE755"/>
    </row>
    <row r="756" spans="1:31" x14ac:dyDescent="0.2">
      <c r="A756" s="212"/>
      <c r="B756" s="212"/>
      <c r="C756" s="199"/>
      <c r="D756" s="199"/>
      <c r="E756" s="185"/>
      <c r="F756" s="199"/>
      <c r="G756"/>
      <c r="H756"/>
      <c r="O756" s="185"/>
      <c r="P756" s="185"/>
      <c r="Q756" s="199"/>
      <c r="AB756" s="199"/>
      <c r="AC756" s="199"/>
      <c r="AE756"/>
    </row>
    <row r="757" spans="1:31" x14ac:dyDescent="0.2">
      <c r="A757" s="212"/>
      <c r="B757" s="212"/>
      <c r="C757" s="199"/>
      <c r="D757" s="199"/>
      <c r="E757" s="185"/>
      <c r="F757" s="199"/>
      <c r="G757" s="199"/>
      <c r="H757"/>
      <c r="O757" s="185"/>
      <c r="P757" s="185"/>
      <c r="Q757" s="199"/>
      <c r="AB757" s="199"/>
      <c r="AC757" s="199"/>
      <c r="AE757"/>
    </row>
    <row r="758" spans="1:31" x14ac:dyDescent="0.2">
      <c r="A758" s="212"/>
      <c r="B758" s="212"/>
      <c r="C758" s="199"/>
      <c r="D758" s="199"/>
      <c r="E758" s="185"/>
      <c r="F758" s="199"/>
      <c r="G758" s="199"/>
      <c r="H758"/>
      <c r="O758" s="185"/>
      <c r="P758" s="185"/>
      <c r="Q758" s="199"/>
      <c r="AB758" s="199"/>
      <c r="AC758" s="199"/>
      <c r="AE758"/>
    </row>
    <row r="759" spans="1:31" x14ac:dyDescent="0.2">
      <c r="A759" s="212"/>
      <c r="B759" s="212"/>
      <c r="C759" s="199"/>
      <c r="D759" s="199"/>
      <c r="E759" s="185"/>
      <c r="F759" s="199"/>
      <c r="G759" s="199"/>
      <c r="H759"/>
      <c r="O759" s="185"/>
      <c r="P759" s="185"/>
      <c r="Q759" s="199"/>
      <c r="AB759" s="199"/>
      <c r="AC759" s="199"/>
      <c r="AE759"/>
    </row>
    <row r="760" spans="1:31" x14ac:dyDescent="0.2">
      <c r="A760" s="212"/>
      <c r="B760" s="212"/>
      <c r="C760" s="199"/>
      <c r="D760" s="199"/>
      <c r="E760" s="185"/>
      <c r="F760" s="199"/>
      <c r="G760" s="199"/>
      <c r="H760"/>
      <c r="O760" s="185"/>
      <c r="P760" s="185"/>
      <c r="Q760" s="199"/>
      <c r="AB760" s="199"/>
      <c r="AC760" s="199"/>
      <c r="AE760"/>
    </row>
    <row r="761" spans="1:31" x14ac:dyDescent="0.2">
      <c r="A761" s="212"/>
      <c r="B761" s="212"/>
      <c r="C761" s="199"/>
      <c r="D761" s="199"/>
      <c r="E761" s="185"/>
      <c r="F761" s="199"/>
      <c r="G761"/>
      <c r="H761"/>
      <c r="O761" s="185"/>
      <c r="P761" s="185"/>
      <c r="Q761" s="199"/>
      <c r="AB761" s="199"/>
      <c r="AC761" s="199"/>
      <c r="AE761"/>
    </row>
    <row r="762" spans="1:31" x14ac:dyDescent="0.2">
      <c r="A762" s="212"/>
      <c r="B762" s="212"/>
      <c r="C762" s="199"/>
      <c r="D762" s="199"/>
      <c r="E762" s="185"/>
      <c r="F762" s="199"/>
      <c r="G762" s="199"/>
      <c r="H762"/>
      <c r="O762" s="185"/>
      <c r="P762" s="185"/>
      <c r="Q762" s="199"/>
      <c r="AB762" s="199"/>
      <c r="AC762" s="199"/>
      <c r="AE762"/>
    </row>
    <row r="763" spans="1:31" x14ac:dyDescent="0.2">
      <c r="A763" s="212"/>
      <c r="B763" s="212"/>
      <c r="C763" s="199"/>
      <c r="D763" s="199"/>
      <c r="E763" s="185"/>
      <c r="F763" s="199"/>
      <c r="G763"/>
      <c r="H763"/>
      <c r="O763" s="185"/>
      <c r="P763" s="185"/>
      <c r="Q763" s="199"/>
      <c r="AB763" s="199"/>
      <c r="AC763" s="199"/>
      <c r="AE763"/>
    </row>
    <row r="764" spans="1:31" x14ac:dyDescent="0.2">
      <c r="A764" s="212"/>
      <c r="B764" s="212"/>
      <c r="C764" s="199"/>
      <c r="D764" s="199"/>
      <c r="E764" s="185"/>
      <c r="F764" s="199"/>
      <c r="G764" s="199"/>
      <c r="H764"/>
      <c r="O764" s="185"/>
      <c r="P764" s="185"/>
      <c r="Q764" s="199"/>
      <c r="AB764" s="199"/>
      <c r="AC764" s="199"/>
      <c r="AE764"/>
    </row>
    <row r="765" spans="1:31" x14ac:dyDescent="0.2">
      <c r="A765" s="212"/>
      <c r="B765" s="212"/>
      <c r="C765" s="199"/>
      <c r="D765" s="199"/>
      <c r="E765" s="185"/>
      <c r="F765" s="199"/>
      <c r="G765" s="199"/>
      <c r="H765"/>
      <c r="O765" s="185"/>
      <c r="P765" s="185"/>
      <c r="Q765" s="199"/>
      <c r="AB765" s="199"/>
      <c r="AC765" s="199"/>
      <c r="AE765"/>
    </row>
    <row r="766" spans="1:31" x14ac:dyDescent="0.2">
      <c r="A766" s="212"/>
      <c r="B766" s="212"/>
      <c r="C766" s="199"/>
      <c r="D766" s="199"/>
      <c r="E766" s="185"/>
      <c r="F766" s="199"/>
      <c r="G766"/>
      <c r="H766"/>
      <c r="O766" s="185"/>
      <c r="P766" s="185"/>
      <c r="Q766" s="199"/>
      <c r="AB766" s="199"/>
      <c r="AC766" s="199"/>
      <c r="AE766"/>
    </row>
    <row r="767" spans="1:31" x14ac:dyDescent="0.2">
      <c r="A767" s="212"/>
      <c r="B767" s="212"/>
      <c r="C767" s="199"/>
      <c r="D767" s="199"/>
      <c r="E767" s="185"/>
      <c r="F767" s="199"/>
      <c r="G767" s="199"/>
      <c r="H767" s="199"/>
      <c r="O767" s="185"/>
      <c r="P767" s="185"/>
      <c r="Q767" s="199"/>
      <c r="AB767" s="199"/>
      <c r="AC767" s="199"/>
      <c r="AE767"/>
    </row>
    <row r="768" spans="1:31" x14ac:dyDescent="0.2">
      <c r="A768" s="212"/>
      <c r="B768" s="212"/>
      <c r="C768" s="199"/>
      <c r="D768" s="199"/>
      <c r="E768" s="185"/>
      <c r="F768" s="199"/>
      <c r="G768" s="199"/>
      <c r="H768"/>
      <c r="O768" s="185"/>
      <c r="P768" s="185"/>
      <c r="Q768" s="199"/>
      <c r="AB768" s="199"/>
      <c r="AC768" s="199"/>
      <c r="AE768"/>
    </row>
    <row r="769" spans="1:31" x14ac:dyDescent="0.2">
      <c r="A769" s="212"/>
      <c r="B769" s="212"/>
      <c r="C769" s="199"/>
      <c r="D769" s="199"/>
      <c r="E769" s="185"/>
      <c r="F769" s="199"/>
      <c r="G769" s="199"/>
      <c r="H769"/>
      <c r="O769" s="185"/>
      <c r="P769" s="185"/>
      <c r="Q769" s="199"/>
      <c r="AB769" s="199"/>
      <c r="AC769" s="199"/>
      <c r="AE769"/>
    </row>
    <row r="770" spans="1:31" x14ac:dyDescent="0.2">
      <c r="A770" s="212"/>
      <c r="B770" s="212"/>
      <c r="C770" s="199"/>
      <c r="D770" s="199"/>
      <c r="E770" s="185"/>
      <c r="F770" s="199"/>
      <c r="G770" s="199"/>
      <c r="H770"/>
      <c r="O770" s="185"/>
      <c r="P770" s="185"/>
      <c r="Q770" s="199"/>
      <c r="AB770" s="199"/>
      <c r="AC770" s="199"/>
      <c r="AE770"/>
    </row>
    <row r="771" spans="1:31" x14ac:dyDescent="0.2">
      <c r="A771" s="212"/>
      <c r="B771" s="212"/>
      <c r="C771" s="199"/>
      <c r="D771" s="199"/>
      <c r="E771" s="185"/>
      <c r="F771" s="199"/>
      <c r="G771" s="199"/>
      <c r="H771"/>
      <c r="O771" s="185"/>
      <c r="P771" s="185"/>
      <c r="Q771" s="199"/>
      <c r="AB771" s="199"/>
      <c r="AC771" s="199"/>
      <c r="AE771"/>
    </row>
    <row r="772" spans="1:31" x14ac:dyDescent="0.2">
      <c r="A772" s="212"/>
      <c r="B772" s="212"/>
      <c r="C772" s="199"/>
      <c r="D772" s="199"/>
      <c r="E772" s="185"/>
      <c r="F772" s="199"/>
      <c r="G772"/>
      <c r="H772"/>
      <c r="O772" s="185"/>
      <c r="P772" s="185"/>
      <c r="Q772" s="199"/>
      <c r="AB772" s="199"/>
      <c r="AC772" s="199"/>
      <c r="AE772"/>
    </row>
    <row r="773" spans="1:31" x14ac:dyDescent="0.2">
      <c r="A773" s="212"/>
      <c r="B773" s="212"/>
      <c r="C773" s="199"/>
      <c r="D773" s="199"/>
      <c r="E773" s="185"/>
      <c r="F773" s="199"/>
      <c r="G773"/>
      <c r="H773"/>
      <c r="O773" s="185"/>
      <c r="P773" s="185"/>
      <c r="Q773" s="199"/>
      <c r="AB773" s="199"/>
      <c r="AC773" s="199"/>
      <c r="AE773"/>
    </row>
    <row r="774" spans="1:31" x14ac:dyDescent="0.2">
      <c r="A774" s="212"/>
      <c r="B774" s="212"/>
      <c r="C774" s="199"/>
      <c r="D774" s="199"/>
      <c r="E774" s="185"/>
      <c r="F774" s="199"/>
      <c r="G774" s="199"/>
      <c r="H774"/>
      <c r="O774" s="185"/>
      <c r="P774" s="185"/>
      <c r="Q774" s="199"/>
      <c r="AB774" s="199"/>
      <c r="AC774" s="199"/>
      <c r="AE774"/>
    </row>
    <row r="775" spans="1:31" x14ac:dyDescent="0.2">
      <c r="A775" s="212"/>
      <c r="B775" s="212"/>
      <c r="C775" s="199"/>
      <c r="D775" s="199"/>
      <c r="E775" s="185"/>
      <c r="F775" s="199"/>
      <c r="G775" s="199"/>
      <c r="H775"/>
      <c r="O775" s="185"/>
      <c r="P775" s="185"/>
      <c r="Q775" s="199"/>
      <c r="AB775" s="199"/>
      <c r="AC775" s="199"/>
      <c r="AE775"/>
    </row>
    <row r="776" spans="1:31" x14ac:dyDescent="0.2">
      <c r="A776" s="212"/>
      <c r="B776" s="212"/>
      <c r="C776" s="199"/>
      <c r="D776" s="199"/>
      <c r="E776" s="185"/>
      <c r="F776" s="199"/>
      <c r="G776" s="199"/>
      <c r="H776"/>
      <c r="O776" s="185"/>
      <c r="P776" s="185"/>
      <c r="Q776" s="199"/>
      <c r="AB776" s="199"/>
      <c r="AC776" s="199"/>
      <c r="AE776"/>
    </row>
    <row r="777" spans="1:31" x14ac:dyDescent="0.2">
      <c r="A777" s="212"/>
      <c r="B777" s="212"/>
      <c r="C777" s="199"/>
      <c r="D777" s="199"/>
      <c r="E777" s="185"/>
      <c r="F777" s="199"/>
      <c r="G777" s="199"/>
      <c r="H777"/>
      <c r="O777" s="185"/>
      <c r="P777" s="185"/>
      <c r="Q777" s="199"/>
      <c r="AB777" s="199"/>
      <c r="AC777" s="199"/>
      <c r="AE777"/>
    </row>
    <row r="778" spans="1:31" x14ac:dyDescent="0.2">
      <c r="A778" s="212"/>
      <c r="B778" s="212"/>
      <c r="C778" s="199"/>
      <c r="D778" s="199"/>
      <c r="E778" s="185"/>
      <c r="F778" s="199"/>
      <c r="G778" s="199"/>
      <c r="H778" s="199"/>
      <c r="O778" s="185"/>
      <c r="P778" s="185"/>
      <c r="Q778" s="199"/>
      <c r="AB778" s="199"/>
      <c r="AC778" s="199"/>
      <c r="AE778"/>
    </row>
    <row r="779" spans="1:31" x14ac:dyDescent="0.2">
      <c r="A779" s="212"/>
      <c r="B779" s="212"/>
      <c r="C779" s="199"/>
      <c r="D779" s="199"/>
      <c r="E779" s="185"/>
      <c r="F779" s="199"/>
      <c r="G779" s="199"/>
      <c r="H779"/>
      <c r="O779" s="185"/>
      <c r="P779" s="185"/>
      <c r="Q779" s="199"/>
      <c r="AB779" s="199"/>
      <c r="AC779" s="199"/>
      <c r="AE779"/>
    </row>
    <row r="780" spans="1:31" x14ac:dyDescent="0.2">
      <c r="A780" s="212"/>
      <c r="B780" s="212"/>
      <c r="C780" s="199"/>
      <c r="D780" s="199"/>
      <c r="E780" s="185"/>
      <c r="F780" s="199"/>
      <c r="G780" s="199"/>
      <c r="H780"/>
      <c r="O780" s="185"/>
      <c r="P780" s="185"/>
      <c r="Q780" s="199"/>
      <c r="AB780" s="199"/>
      <c r="AC780" s="199"/>
      <c r="AE780"/>
    </row>
    <row r="781" spans="1:31" x14ac:dyDescent="0.2">
      <c r="A781" s="212"/>
      <c r="B781" s="212"/>
      <c r="C781" s="199"/>
      <c r="D781" s="199"/>
      <c r="E781" s="185"/>
      <c r="F781" s="199"/>
      <c r="G781"/>
      <c r="H781"/>
      <c r="O781" s="185"/>
      <c r="P781" s="185"/>
      <c r="Q781" s="199"/>
      <c r="AB781" s="199"/>
      <c r="AC781" s="199"/>
      <c r="AE781"/>
    </row>
    <row r="782" spans="1:31" x14ac:dyDescent="0.2">
      <c r="A782" s="212"/>
      <c r="B782" s="212"/>
      <c r="C782" s="199"/>
      <c r="D782" s="199"/>
      <c r="E782" s="185"/>
      <c r="F782" s="199"/>
      <c r="G782" s="199"/>
      <c r="H782"/>
      <c r="O782" s="185"/>
      <c r="P782" s="185"/>
      <c r="Q782" s="199"/>
      <c r="AB782" s="199"/>
      <c r="AC782" s="199"/>
      <c r="AE782"/>
    </row>
    <row r="783" spans="1:31" x14ac:dyDescent="0.2">
      <c r="A783" s="212"/>
      <c r="B783" s="212"/>
      <c r="C783" s="199"/>
      <c r="D783" s="199"/>
      <c r="E783" s="185"/>
      <c r="F783" s="199"/>
      <c r="G783" s="199"/>
      <c r="H783"/>
      <c r="O783" s="185"/>
      <c r="P783" s="185"/>
      <c r="Q783" s="199"/>
      <c r="AB783" s="199"/>
      <c r="AC783" s="199"/>
      <c r="AE783"/>
    </row>
    <row r="784" spans="1:31" x14ac:dyDescent="0.2">
      <c r="A784" s="212"/>
      <c r="B784" s="212"/>
      <c r="C784" s="199"/>
      <c r="D784" s="199"/>
      <c r="E784" s="185"/>
      <c r="F784" s="199"/>
      <c r="G784"/>
      <c r="H784"/>
      <c r="O784" s="185"/>
      <c r="P784" s="185"/>
      <c r="Q784" s="199"/>
      <c r="AB784" s="199"/>
      <c r="AC784" s="199"/>
      <c r="AE784"/>
    </row>
    <row r="785" spans="1:31" x14ac:dyDescent="0.2">
      <c r="A785" s="212"/>
      <c r="B785" s="212"/>
      <c r="C785" s="199"/>
      <c r="D785" s="199"/>
      <c r="E785" s="185"/>
      <c r="F785" s="199"/>
      <c r="G785" s="199"/>
      <c r="H785"/>
      <c r="O785" s="185"/>
      <c r="P785" s="185"/>
      <c r="Q785" s="199"/>
      <c r="AB785" s="199"/>
      <c r="AC785" s="199"/>
      <c r="AE785"/>
    </row>
    <row r="786" spans="1:31" x14ac:dyDescent="0.2">
      <c r="A786" s="212"/>
      <c r="B786" s="212"/>
      <c r="C786" s="199"/>
      <c r="D786" s="199"/>
      <c r="E786" s="185"/>
      <c r="F786" s="199"/>
      <c r="G786" s="199"/>
      <c r="H786"/>
      <c r="O786" s="185"/>
      <c r="P786" s="185"/>
      <c r="Q786" s="199"/>
      <c r="AB786" s="199"/>
      <c r="AC786" s="199"/>
      <c r="AE786"/>
    </row>
    <row r="787" spans="1:31" x14ac:dyDescent="0.2">
      <c r="A787" s="212"/>
      <c r="B787" s="212"/>
      <c r="C787" s="199"/>
      <c r="D787" s="199"/>
      <c r="E787" s="185"/>
      <c r="F787" s="199"/>
      <c r="G787" s="199"/>
      <c r="H787"/>
      <c r="O787" s="185"/>
      <c r="P787" s="185"/>
      <c r="Q787" s="199"/>
      <c r="AB787" s="199"/>
      <c r="AC787" s="199"/>
      <c r="AE787"/>
    </row>
    <row r="788" spans="1:31" x14ac:dyDescent="0.2">
      <c r="A788" s="212"/>
      <c r="B788" s="212"/>
      <c r="C788" s="199"/>
      <c r="D788" s="199"/>
      <c r="E788" s="185"/>
      <c r="F788" s="199"/>
      <c r="G788" s="199"/>
      <c r="H788"/>
      <c r="O788" s="185"/>
      <c r="P788" s="185"/>
      <c r="Q788" s="199"/>
      <c r="AB788" s="199"/>
      <c r="AC788" s="199"/>
      <c r="AE788"/>
    </row>
    <row r="789" spans="1:31" x14ac:dyDescent="0.2">
      <c r="A789" s="212"/>
      <c r="B789" s="212"/>
      <c r="C789" s="199"/>
      <c r="D789" s="199"/>
      <c r="E789" s="185"/>
      <c r="F789" s="199"/>
      <c r="G789" s="199"/>
      <c r="H789"/>
      <c r="O789" s="185"/>
      <c r="P789" s="185"/>
      <c r="Q789" s="199"/>
      <c r="AB789" s="199"/>
      <c r="AC789" s="199"/>
      <c r="AE789"/>
    </row>
    <row r="790" spans="1:31" x14ac:dyDescent="0.2">
      <c r="A790" s="212"/>
      <c r="B790" s="212"/>
      <c r="C790" s="199"/>
      <c r="D790" s="199"/>
      <c r="E790" s="185"/>
      <c r="F790" s="199"/>
      <c r="G790" s="199"/>
      <c r="H790"/>
      <c r="O790" s="185"/>
      <c r="P790" s="185"/>
      <c r="Q790" s="199"/>
      <c r="AB790" s="199"/>
      <c r="AC790" s="199"/>
      <c r="AE790"/>
    </row>
    <row r="791" spans="1:31" x14ac:dyDescent="0.2">
      <c r="A791" s="212"/>
      <c r="B791" s="212"/>
      <c r="C791" s="199"/>
      <c r="D791" s="199"/>
      <c r="E791" s="185"/>
      <c r="F791" s="199"/>
      <c r="G791" s="199"/>
      <c r="H791"/>
      <c r="O791" s="185"/>
      <c r="P791" s="185"/>
      <c r="Q791" s="199"/>
      <c r="AB791" s="199"/>
      <c r="AC791" s="199"/>
      <c r="AE791"/>
    </row>
    <row r="792" spans="1:31" x14ac:dyDescent="0.2">
      <c r="A792" s="212"/>
      <c r="B792" s="212"/>
      <c r="C792" s="199"/>
      <c r="D792" s="199"/>
      <c r="E792" s="185"/>
      <c r="F792" s="199"/>
      <c r="G792" s="199"/>
      <c r="H792" s="199"/>
      <c r="O792" s="185"/>
      <c r="P792" s="185"/>
      <c r="Q792" s="199"/>
      <c r="AB792" s="199"/>
      <c r="AC792" s="199"/>
      <c r="AE792"/>
    </row>
    <row r="793" spans="1:31" x14ac:dyDescent="0.2">
      <c r="A793" s="212"/>
      <c r="B793" s="212"/>
      <c r="C793" s="199"/>
      <c r="D793" s="199"/>
      <c r="E793" s="185"/>
      <c r="F793" s="199"/>
      <c r="G793"/>
      <c r="H793"/>
      <c r="O793" s="185"/>
      <c r="P793" s="185"/>
      <c r="Q793" s="199"/>
      <c r="AB793" s="199"/>
      <c r="AC793" s="199"/>
      <c r="AE793"/>
    </row>
    <row r="794" spans="1:31" x14ac:dyDescent="0.2">
      <c r="A794" s="212"/>
      <c r="B794" s="212"/>
      <c r="C794" s="199"/>
      <c r="D794" s="199"/>
      <c r="E794" s="185"/>
      <c r="F794" s="199"/>
      <c r="G794" s="199"/>
      <c r="H794"/>
      <c r="O794" s="185"/>
      <c r="P794" s="185"/>
      <c r="Q794" s="199"/>
      <c r="AB794" s="199"/>
      <c r="AC794" s="199"/>
      <c r="AE794"/>
    </row>
    <row r="795" spans="1:31" x14ac:dyDescent="0.2">
      <c r="A795" s="212"/>
      <c r="B795" s="212"/>
      <c r="C795" s="199"/>
      <c r="D795" s="199"/>
      <c r="E795" s="185"/>
      <c r="F795" s="199"/>
      <c r="G795"/>
      <c r="H795"/>
      <c r="O795" s="185"/>
      <c r="P795" s="185"/>
      <c r="Q795" s="199"/>
      <c r="AB795" s="199"/>
      <c r="AC795" s="199"/>
      <c r="AE795"/>
    </row>
    <row r="796" spans="1:31" x14ac:dyDescent="0.2">
      <c r="A796" s="212"/>
      <c r="B796" s="212"/>
      <c r="C796" s="199"/>
      <c r="D796" s="199"/>
      <c r="E796" s="185"/>
      <c r="F796" s="199"/>
      <c r="G796"/>
      <c r="H796"/>
      <c r="O796" s="185"/>
      <c r="P796" s="185"/>
      <c r="Q796" s="199"/>
      <c r="AB796" s="199"/>
      <c r="AC796" s="199"/>
      <c r="AE796"/>
    </row>
    <row r="797" spans="1:31" x14ac:dyDescent="0.2">
      <c r="A797" s="212"/>
      <c r="B797" s="212"/>
      <c r="C797" s="199"/>
      <c r="D797" s="199"/>
      <c r="E797" s="185"/>
      <c r="F797" s="199"/>
      <c r="G797"/>
      <c r="H797"/>
      <c r="O797" s="185"/>
      <c r="P797" s="185"/>
      <c r="Q797" s="199"/>
      <c r="AB797" s="199"/>
      <c r="AC797" s="199"/>
      <c r="AE797"/>
    </row>
    <row r="798" spans="1:31" x14ac:dyDescent="0.2">
      <c r="A798" s="212"/>
      <c r="B798" s="212"/>
      <c r="C798" s="199"/>
      <c r="D798" s="199"/>
      <c r="E798" s="185"/>
      <c r="F798" s="199"/>
      <c r="G798" s="199"/>
      <c r="H798" s="199"/>
      <c r="O798" s="185"/>
      <c r="P798" s="185"/>
      <c r="Q798" s="199"/>
      <c r="AB798" s="199"/>
      <c r="AC798" s="199"/>
      <c r="AE798"/>
    </row>
    <row r="799" spans="1:31" x14ac:dyDescent="0.2">
      <c r="A799" s="212"/>
      <c r="B799" s="212"/>
      <c r="C799" s="199"/>
      <c r="D799" s="199"/>
      <c r="E799" s="185"/>
      <c r="F799" s="199"/>
      <c r="G799" s="199"/>
      <c r="H799"/>
      <c r="O799" s="185"/>
      <c r="P799" s="185"/>
      <c r="Q799" s="199"/>
      <c r="AB799" s="199"/>
      <c r="AC799" s="199"/>
      <c r="AE799"/>
    </row>
    <row r="800" spans="1:31" x14ac:dyDescent="0.2">
      <c r="A800" s="212"/>
      <c r="B800" s="212"/>
      <c r="C800" s="199"/>
      <c r="D800" s="199"/>
      <c r="E800" s="185"/>
      <c r="F800" s="199"/>
      <c r="G800" s="199"/>
      <c r="H800"/>
      <c r="O800" s="185"/>
      <c r="P800" s="185"/>
      <c r="Q800" s="199"/>
      <c r="AB800" s="199"/>
      <c r="AC800" s="199"/>
      <c r="AE800"/>
    </row>
    <row r="801" spans="1:31" x14ac:dyDescent="0.2">
      <c r="A801" s="212"/>
      <c r="B801" s="212"/>
      <c r="C801" s="199"/>
      <c r="D801" s="199"/>
      <c r="E801" s="185"/>
      <c r="F801" s="199"/>
      <c r="G801" s="199"/>
      <c r="H801"/>
      <c r="O801" s="185"/>
      <c r="P801" s="185"/>
      <c r="Q801" s="199"/>
      <c r="AB801" s="199"/>
      <c r="AC801" s="199"/>
      <c r="AE801"/>
    </row>
    <row r="802" spans="1:31" x14ac:dyDescent="0.2">
      <c r="A802" s="212"/>
      <c r="B802" s="212"/>
      <c r="C802" s="199"/>
      <c r="D802" s="199"/>
      <c r="E802" s="185"/>
      <c r="F802" s="199"/>
      <c r="G802"/>
      <c r="H802"/>
      <c r="O802" s="185"/>
      <c r="P802" s="185"/>
      <c r="Q802" s="199"/>
      <c r="AB802" s="199"/>
      <c r="AC802" s="199"/>
      <c r="AE802"/>
    </row>
    <row r="803" spans="1:31" x14ac:dyDescent="0.2">
      <c r="A803" s="212"/>
      <c r="B803" s="212"/>
      <c r="C803" s="199"/>
      <c r="D803" s="199"/>
      <c r="E803" s="185"/>
      <c r="F803" s="199"/>
      <c r="G803" s="199"/>
      <c r="H803"/>
      <c r="O803" s="185"/>
      <c r="P803" s="185"/>
      <c r="Q803" s="199"/>
      <c r="AB803" s="199"/>
      <c r="AC803" s="199"/>
      <c r="AE803"/>
    </row>
    <row r="804" spans="1:31" x14ac:dyDescent="0.2">
      <c r="A804" s="212"/>
      <c r="B804" s="212"/>
      <c r="C804" s="199"/>
      <c r="D804" s="199"/>
      <c r="E804" s="185"/>
      <c r="F804" s="199"/>
      <c r="G804"/>
      <c r="H804"/>
      <c r="O804" s="185"/>
      <c r="P804" s="185"/>
      <c r="Q804" s="199"/>
      <c r="AB804" s="199"/>
      <c r="AC804" s="199"/>
      <c r="AE804"/>
    </row>
    <row r="805" spans="1:31" x14ac:dyDescent="0.2">
      <c r="A805" s="212"/>
      <c r="B805" s="212"/>
      <c r="C805" s="199"/>
      <c r="D805" s="199"/>
      <c r="E805" s="185"/>
      <c r="F805" s="199"/>
      <c r="G805" s="199"/>
      <c r="H805"/>
      <c r="O805" s="185"/>
      <c r="P805" s="185"/>
      <c r="Q805" s="199"/>
      <c r="AB805" s="199"/>
      <c r="AC805" s="199"/>
      <c r="AE805"/>
    </row>
    <row r="806" spans="1:31" x14ac:dyDescent="0.2">
      <c r="A806" s="212"/>
      <c r="B806" s="212"/>
      <c r="C806" s="199"/>
      <c r="D806" s="199"/>
      <c r="E806" s="185"/>
      <c r="F806" s="199"/>
      <c r="G806"/>
      <c r="H806"/>
      <c r="O806" s="185"/>
      <c r="P806" s="185"/>
      <c r="Q806" s="199"/>
      <c r="AB806" s="199"/>
      <c r="AC806" s="199"/>
      <c r="AE806"/>
    </row>
    <row r="807" spans="1:31" x14ac:dyDescent="0.2">
      <c r="A807" s="212"/>
      <c r="B807" s="212"/>
      <c r="C807" s="199"/>
      <c r="D807" s="199"/>
      <c r="E807" s="185"/>
      <c r="F807" s="199"/>
      <c r="G807" s="199"/>
      <c r="H807"/>
      <c r="O807" s="185"/>
      <c r="P807" s="185"/>
      <c r="Q807" s="199"/>
      <c r="AB807" s="199"/>
      <c r="AC807" s="199"/>
      <c r="AE807"/>
    </row>
    <row r="808" spans="1:31" x14ac:dyDescent="0.2">
      <c r="A808" s="212"/>
      <c r="B808" s="212"/>
      <c r="C808" s="199"/>
      <c r="D808" s="199"/>
      <c r="E808" s="185"/>
      <c r="F808" s="199"/>
      <c r="G808" s="199"/>
      <c r="H808"/>
      <c r="O808" s="185"/>
      <c r="P808" s="185"/>
      <c r="Q808" s="199"/>
      <c r="AB808" s="199"/>
      <c r="AC808" s="199"/>
      <c r="AE808"/>
    </row>
    <row r="809" spans="1:31" x14ac:dyDescent="0.2">
      <c r="A809" s="212"/>
      <c r="B809" s="212"/>
      <c r="C809" s="199"/>
      <c r="D809" s="199"/>
      <c r="E809" s="185"/>
      <c r="F809" s="199"/>
      <c r="G809" s="199"/>
      <c r="H809" s="199"/>
      <c r="O809" s="185"/>
      <c r="P809" s="185"/>
      <c r="Q809" s="199"/>
      <c r="AB809" s="199"/>
      <c r="AC809" s="199"/>
      <c r="AE809"/>
    </row>
    <row r="810" spans="1:31" x14ac:dyDescent="0.2">
      <c r="A810" s="212"/>
      <c r="B810" s="212"/>
      <c r="C810" s="199"/>
      <c r="D810" s="199"/>
      <c r="E810" s="185"/>
      <c r="F810" s="199"/>
      <c r="G810" s="199"/>
      <c r="H810"/>
      <c r="O810" s="185"/>
      <c r="P810" s="185"/>
      <c r="Q810" s="199"/>
      <c r="AB810" s="199"/>
      <c r="AC810" s="199"/>
      <c r="AE810"/>
    </row>
    <row r="811" spans="1:31" x14ac:dyDescent="0.2">
      <c r="A811" s="212"/>
      <c r="B811" s="212"/>
      <c r="C811" s="199"/>
      <c r="D811" s="199"/>
      <c r="E811" s="185"/>
      <c r="F811" s="199"/>
      <c r="G811" s="199"/>
      <c r="H811"/>
      <c r="O811" s="185"/>
      <c r="P811" s="185"/>
      <c r="Q811" s="199"/>
      <c r="AB811" s="199"/>
      <c r="AC811" s="199"/>
      <c r="AE811"/>
    </row>
    <row r="812" spans="1:31" x14ac:dyDescent="0.2">
      <c r="A812" s="212"/>
      <c r="B812" s="212"/>
      <c r="C812" s="199"/>
      <c r="D812" s="199"/>
      <c r="E812" s="185"/>
      <c r="F812" s="199"/>
      <c r="G812" s="199"/>
      <c r="H812"/>
      <c r="O812" s="185"/>
      <c r="P812" s="185"/>
      <c r="Q812" s="199"/>
      <c r="AB812" s="199"/>
      <c r="AC812" s="199"/>
      <c r="AE812"/>
    </row>
    <row r="813" spans="1:31" x14ac:dyDescent="0.2">
      <c r="A813" s="212"/>
      <c r="B813" s="212"/>
      <c r="C813" s="199"/>
      <c r="D813" s="199"/>
      <c r="E813" s="185"/>
      <c r="F813" s="199"/>
      <c r="G813"/>
      <c r="H813"/>
      <c r="O813" s="185"/>
      <c r="P813" s="185"/>
      <c r="Q813" s="199"/>
      <c r="AB813" s="199"/>
      <c r="AC813" s="199"/>
      <c r="AE813"/>
    </row>
    <row r="814" spans="1:31" x14ac:dyDescent="0.2">
      <c r="A814" s="212"/>
      <c r="B814" s="212"/>
      <c r="C814" s="199"/>
      <c r="D814" s="199"/>
      <c r="E814" s="185"/>
      <c r="F814" s="199"/>
      <c r="G814"/>
      <c r="H814"/>
      <c r="O814" s="185"/>
      <c r="P814" s="185"/>
      <c r="Q814" s="199"/>
      <c r="AB814" s="199"/>
      <c r="AC814" s="199"/>
      <c r="AE814"/>
    </row>
    <row r="815" spans="1:31" x14ac:dyDescent="0.2">
      <c r="A815" s="212"/>
      <c r="B815" s="212"/>
      <c r="C815" s="199"/>
      <c r="D815" s="199"/>
      <c r="E815" s="185"/>
      <c r="F815" s="199"/>
      <c r="G815" s="199"/>
      <c r="H815"/>
      <c r="O815" s="185"/>
      <c r="P815" s="185"/>
      <c r="Q815" s="199"/>
      <c r="AB815" s="199"/>
      <c r="AC815" s="199"/>
      <c r="AE815"/>
    </row>
    <row r="816" spans="1:31" x14ac:dyDescent="0.2">
      <c r="A816" s="212"/>
      <c r="B816" s="212"/>
      <c r="C816" s="199"/>
      <c r="D816" s="199"/>
      <c r="E816" s="185"/>
      <c r="F816" s="199"/>
      <c r="G816" s="199"/>
      <c r="H816"/>
      <c r="O816" s="185"/>
      <c r="P816" s="185"/>
      <c r="Q816" s="199"/>
      <c r="AB816" s="199"/>
      <c r="AC816" s="199"/>
      <c r="AE816"/>
    </row>
    <row r="817" spans="1:31" x14ac:dyDescent="0.2">
      <c r="A817" s="212"/>
      <c r="B817" s="212"/>
      <c r="C817" s="199"/>
      <c r="D817" s="199"/>
      <c r="E817" s="185"/>
      <c r="F817" s="199"/>
      <c r="G817" s="199"/>
      <c r="H817"/>
      <c r="O817" s="185"/>
      <c r="P817" s="185"/>
      <c r="Q817" s="199"/>
      <c r="AB817" s="199"/>
      <c r="AC817" s="199"/>
      <c r="AE817"/>
    </row>
    <row r="818" spans="1:31" x14ac:dyDescent="0.2">
      <c r="A818" s="212"/>
      <c r="B818" s="212"/>
      <c r="C818" s="199"/>
      <c r="D818" s="199"/>
      <c r="E818" s="185"/>
      <c r="F818" s="199"/>
      <c r="G818" s="199"/>
      <c r="H818" s="199"/>
      <c r="O818" s="185"/>
      <c r="P818" s="185"/>
      <c r="Q818" s="199"/>
      <c r="AB818" s="199"/>
      <c r="AC818" s="199"/>
      <c r="AE818"/>
    </row>
    <row r="819" spans="1:31" x14ac:dyDescent="0.2">
      <c r="A819" s="212"/>
      <c r="B819" s="212"/>
      <c r="C819" s="199"/>
      <c r="D819" s="199"/>
      <c r="E819" s="185"/>
      <c r="F819" s="199"/>
      <c r="G819" s="199"/>
      <c r="H819"/>
      <c r="O819" s="185"/>
      <c r="P819" s="185"/>
      <c r="Q819" s="199"/>
      <c r="AB819" s="199"/>
      <c r="AC819" s="199"/>
      <c r="AE819"/>
    </row>
    <row r="820" spans="1:31" x14ac:dyDescent="0.2">
      <c r="A820" s="212"/>
      <c r="B820" s="212"/>
      <c r="C820" s="199"/>
      <c r="D820" s="199"/>
      <c r="E820" s="185"/>
      <c r="F820" s="199"/>
      <c r="G820" s="199"/>
      <c r="H820"/>
      <c r="O820" s="185"/>
      <c r="P820" s="185"/>
      <c r="Q820" s="199"/>
      <c r="AB820" s="199"/>
      <c r="AC820" s="199"/>
      <c r="AE820"/>
    </row>
    <row r="821" spans="1:31" x14ac:dyDescent="0.2">
      <c r="A821" s="212"/>
      <c r="B821" s="212"/>
      <c r="C821" s="199"/>
      <c r="D821" s="199"/>
      <c r="E821" s="185"/>
      <c r="F821" s="199"/>
      <c r="G821" s="199"/>
      <c r="H821"/>
      <c r="O821" s="185"/>
      <c r="P821" s="185"/>
      <c r="Q821" s="199"/>
      <c r="AB821" s="199"/>
      <c r="AC821" s="199"/>
      <c r="AE821"/>
    </row>
    <row r="822" spans="1:31" x14ac:dyDescent="0.2">
      <c r="A822" s="212"/>
      <c r="B822" s="212"/>
      <c r="C822" s="199"/>
      <c r="D822" s="199"/>
      <c r="E822" s="185"/>
      <c r="F822" s="199"/>
      <c r="G822" s="199"/>
      <c r="H822"/>
      <c r="O822" s="185"/>
      <c r="P822" s="185"/>
      <c r="Q822" s="199"/>
      <c r="AB822" s="199"/>
      <c r="AC822" s="199"/>
      <c r="AE822"/>
    </row>
    <row r="823" spans="1:31" x14ac:dyDescent="0.2">
      <c r="A823" s="212"/>
      <c r="B823" s="212"/>
      <c r="C823" s="199"/>
      <c r="D823" s="199"/>
      <c r="E823" s="185"/>
      <c r="F823" s="199"/>
      <c r="G823"/>
      <c r="H823"/>
      <c r="O823" s="185"/>
      <c r="P823" s="185"/>
      <c r="Q823" s="199"/>
      <c r="AB823" s="199"/>
      <c r="AC823" s="199"/>
      <c r="AE823"/>
    </row>
    <row r="824" spans="1:31" x14ac:dyDescent="0.2">
      <c r="A824" s="212"/>
      <c r="B824" s="212"/>
      <c r="C824" s="199"/>
      <c r="D824" s="199"/>
      <c r="E824" s="185"/>
      <c r="F824" s="199"/>
      <c r="G824" s="199"/>
      <c r="H824"/>
      <c r="O824" s="185"/>
      <c r="P824" s="185"/>
      <c r="Q824" s="199"/>
      <c r="AB824" s="199"/>
      <c r="AC824" s="199"/>
      <c r="AE824"/>
    </row>
    <row r="825" spans="1:31" x14ac:dyDescent="0.2">
      <c r="A825" s="212"/>
      <c r="B825" s="212"/>
      <c r="C825" s="199"/>
      <c r="D825" s="199"/>
      <c r="E825" s="185"/>
      <c r="F825" s="199"/>
      <c r="G825" s="199"/>
      <c r="H825" s="199"/>
      <c r="O825" s="185"/>
      <c r="P825" s="185"/>
      <c r="Q825" s="199"/>
      <c r="AB825" s="199"/>
      <c r="AC825" s="199"/>
      <c r="AE825"/>
    </row>
    <row r="826" spans="1:31" x14ac:dyDescent="0.2">
      <c r="A826" s="212"/>
      <c r="B826" s="212"/>
      <c r="C826" s="199"/>
      <c r="D826" s="199"/>
      <c r="E826" s="185"/>
      <c r="F826" s="199"/>
      <c r="G826"/>
      <c r="H826"/>
      <c r="O826" s="185"/>
      <c r="P826" s="185"/>
      <c r="Q826" s="199"/>
      <c r="AB826" s="199"/>
      <c r="AC826" s="199"/>
      <c r="AE826"/>
    </row>
    <row r="827" spans="1:31" x14ac:dyDescent="0.2">
      <c r="A827" s="212"/>
      <c r="B827" s="212"/>
      <c r="C827" s="199"/>
      <c r="D827" s="199"/>
      <c r="E827" s="185"/>
      <c r="F827" s="199"/>
      <c r="G827"/>
      <c r="H827"/>
      <c r="O827" s="185"/>
      <c r="P827" s="185"/>
      <c r="Q827" s="199"/>
      <c r="AB827" s="199"/>
      <c r="AC827" s="199"/>
      <c r="AE827"/>
    </row>
    <row r="828" spans="1:31" x14ac:dyDescent="0.2">
      <c r="A828" s="212"/>
      <c r="B828" s="212"/>
      <c r="C828" s="199"/>
      <c r="D828" s="199"/>
      <c r="E828" s="185"/>
      <c r="F828" s="199"/>
      <c r="G828" s="199"/>
      <c r="H828" s="199"/>
      <c r="O828" s="185"/>
      <c r="P828" s="185"/>
      <c r="Q828" s="199"/>
      <c r="AB828" s="199"/>
      <c r="AC828" s="199"/>
      <c r="AE828"/>
    </row>
    <row r="829" spans="1:31" x14ac:dyDescent="0.2">
      <c r="A829" s="212"/>
      <c r="B829" s="212"/>
      <c r="C829" s="199"/>
      <c r="D829" s="199"/>
      <c r="E829" s="185"/>
      <c r="F829" s="199"/>
      <c r="G829"/>
      <c r="H829"/>
      <c r="O829" s="185"/>
      <c r="P829" s="185"/>
      <c r="Q829" s="199"/>
      <c r="AB829" s="199"/>
      <c r="AC829" s="199"/>
      <c r="AE829"/>
    </row>
    <row r="830" spans="1:31" x14ac:dyDescent="0.2">
      <c r="A830" s="212"/>
      <c r="B830" s="212"/>
      <c r="C830" s="199"/>
      <c r="D830" s="199"/>
      <c r="E830" s="185"/>
      <c r="F830" s="199"/>
      <c r="G830" s="199"/>
      <c r="H830"/>
      <c r="O830" s="185"/>
      <c r="P830" s="185"/>
      <c r="Q830" s="199"/>
      <c r="AB830" s="199"/>
      <c r="AC830" s="199"/>
      <c r="AE830"/>
    </row>
    <row r="831" spans="1:31" x14ac:dyDescent="0.2">
      <c r="A831" s="212"/>
      <c r="B831" s="212"/>
      <c r="C831" s="199"/>
      <c r="D831" s="199"/>
      <c r="E831" s="185"/>
      <c r="F831" s="199"/>
      <c r="G831"/>
      <c r="H831"/>
      <c r="O831" s="185"/>
      <c r="P831" s="185"/>
      <c r="Q831" s="199"/>
      <c r="AB831" s="199"/>
      <c r="AC831" s="199"/>
      <c r="AE831"/>
    </row>
    <row r="832" spans="1:31" x14ac:dyDescent="0.2">
      <c r="A832" s="212"/>
      <c r="B832" s="212"/>
      <c r="C832" s="199"/>
      <c r="D832" s="199"/>
      <c r="E832" s="185"/>
      <c r="F832" s="199"/>
      <c r="G832" s="199"/>
      <c r="H832"/>
      <c r="O832" s="185"/>
      <c r="P832" s="185"/>
      <c r="Q832" s="199"/>
      <c r="AB832" s="199"/>
      <c r="AC832" s="199"/>
      <c r="AE832"/>
    </row>
    <row r="833" spans="1:31" x14ac:dyDescent="0.2">
      <c r="A833" s="212"/>
      <c r="B833" s="212"/>
      <c r="C833" s="199"/>
      <c r="D833" s="199"/>
      <c r="E833" s="185"/>
      <c r="F833" s="199"/>
      <c r="G833" s="199"/>
      <c r="H833"/>
      <c r="O833" s="185"/>
      <c r="P833" s="185"/>
      <c r="Q833" s="199"/>
      <c r="AB833" s="199"/>
      <c r="AC833" s="199"/>
      <c r="AE833"/>
    </row>
    <row r="834" spans="1:31" x14ac:dyDescent="0.2">
      <c r="A834" s="212"/>
      <c r="B834" s="212"/>
      <c r="C834" s="199"/>
      <c r="D834" s="199"/>
      <c r="E834" s="185"/>
      <c r="F834" s="199"/>
      <c r="G834" s="199"/>
      <c r="H834"/>
      <c r="O834" s="185"/>
      <c r="P834" s="185"/>
      <c r="Q834" s="199"/>
      <c r="AB834" s="199"/>
      <c r="AC834" s="199"/>
      <c r="AE834"/>
    </row>
    <row r="835" spans="1:31" x14ac:dyDescent="0.2">
      <c r="A835" s="212"/>
      <c r="B835" s="212"/>
      <c r="C835" s="199"/>
      <c r="D835" s="199"/>
      <c r="E835" s="185"/>
      <c r="F835" s="199"/>
      <c r="G835" s="199"/>
      <c r="H835"/>
      <c r="O835" s="185"/>
      <c r="P835" s="185"/>
      <c r="Q835" s="199"/>
      <c r="AB835" s="199"/>
      <c r="AC835" s="199"/>
      <c r="AE835"/>
    </row>
    <row r="836" spans="1:31" x14ac:dyDescent="0.2">
      <c r="A836" s="212"/>
      <c r="B836" s="212"/>
      <c r="C836" s="199"/>
      <c r="D836" s="199"/>
      <c r="E836" s="185"/>
      <c r="F836" s="199"/>
      <c r="G836" s="199"/>
      <c r="H836"/>
      <c r="O836" s="185"/>
      <c r="P836" s="185"/>
      <c r="Q836" s="199"/>
      <c r="AB836" s="199"/>
      <c r="AC836" s="199"/>
      <c r="AE836"/>
    </row>
    <row r="837" spans="1:31" x14ac:dyDescent="0.2">
      <c r="A837" s="212"/>
      <c r="B837" s="212"/>
      <c r="C837" s="199"/>
      <c r="D837" s="199"/>
      <c r="E837" s="185"/>
      <c r="F837" s="199"/>
      <c r="G837"/>
      <c r="H837"/>
      <c r="O837" s="185"/>
      <c r="P837" s="185"/>
      <c r="Q837" s="199"/>
      <c r="AB837" s="199"/>
      <c r="AC837" s="199"/>
      <c r="AE837"/>
    </row>
    <row r="838" spans="1:31" x14ac:dyDescent="0.2">
      <c r="A838" s="212"/>
      <c r="B838" s="212"/>
      <c r="C838" s="199"/>
      <c r="D838" s="199"/>
      <c r="E838" s="185"/>
      <c r="F838" s="199"/>
      <c r="G838" s="199"/>
      <c r="H838"/>
      <c r="O838" s="185"/>
      <c r="P838" s="185"/>
      <c r="Q838" s="199"/>
      <c r="AB838" s="199"/>
      <c r="AC838" s="199"/>
      <c r="AE838"/>
    </row>
    <row r="839" spans="1:31" x14ac:dyDescent="0.2">
      <c r="A839" s="212"/>
      <c r="B839" s="212"/>
      <c r="C839" s="199"/>
      <c r="D839" s="199"/>
      <c r="E839" s="185"/>
      <c r="F839" s="199"/>
      <c r="G839" s="199"/>
      <c r="H839"/>
      <c r="O839" s="185"/>
      <c r="P839" s="185"/>
      <c r="Q839" s="199"/>
      <c r="AB839" s="199"/>
      <c r="AC839" s="199"/>
      <c r="AE839"/>
    </row>
    <row r="840" spans="1:31" x14ac:dyDescent="0.2">
      <c r="A840" s="212"/>
      <c r="B840" s="212"/>
      <c r="C840" s="199"/>
      <c r="D840" s="199"/>
      <c r="E840" s="185"/>
      <c r="F840" s="199"/>
      <c r="G840" s="199"/>
      <c r="H840"/>
      <c r="O840" s="185"/>
      <c r="P840" s="185"/>
      <c r="Q840" s="199"/>
      <c r="AB840" s="199"/>
      <c r="AC840" s="199"/>
      <c r="AE840"/>
    </row>
    <row r="841" spans="1:31" x14ac:dyDescent="0.2">
      <c r="A841" s="212"/>
      <c r="B841" s="212"/>
      <c r="C841" s="199"/>
      <c r="D841" s="199"/>
      <c r="E841" s="185"/>
      <c r="F841" s="199"/>
      <c r="G841" s="199"/>
      <c r="H841"/>
      <c r="O841" s="185"/>
      <c r="P841" s="185"/>
      <c r="Q841" s="199"/>
      <c r="AB841" s="199"/>
      <c r="AC841" s="199"/>
      <c r="AE841"/>
    </row>
    <row r="842" spans="1:31" x14ac:dyDescent="0.2">
      <c r="A842" s="212"/>
      <c r="B842" s="212"/>
      <c r="C842" s="199"/>
      <c r="D842" s="199"/>
      <c r="E842" s="185"/>
      <c r="F842" s="199"/>
      <c r="G842" s="199"/>
      <c r="H842"/>
      <c r="O842" s="185"/>
      <c r="P842" s="185"/>
      <c r="Q842" s="199"/>
      <c r="AB842" s="199"/>
      <c r="AC842" s="199"/>
      <c r="AE842"/>
    </row>
    <row r="843" spans="1:31" x14ac:dyDescent="0.2">
      <c r="A843" s="212"/>
      <c r="B843" s="212"/>
      <c r="C843" s="199"/>
      <c r="D843" s="199"/>
      <c r="E843" s="185"/>
      <c r="F843" s="199"/>
      <c r="G843" s="199"/>
      <c r="H843"/>
      <c r="O843" s="185"/>
      <c r="P843" s="185"/>
      <c r="Q843" s="199"/>
      <c r="AB843" s="199"/>
      <c r="AC843" s="199"/>
      <c r="AE843"/>
    </row>
    <row r="844" spans="1:31" x14ac:dyDescent="0.2">
      <c r="A844" s="212"/>
      <c r="B844" s="212"/>
      <c r="C844" s="199"/>
      <c r="D844" s="199"/>
      <c r="E844" s="185"/>
      <c r="F844" s="199"/>
      <c r="G844"/>
      <c r="H844"/>
      <c r="O844" s="185"/>
      <c r="P844" s="185"/>
      <c r="Q844" s="199"/>
      <c r="AB844" s="199"/>
      <c r="AC844" s="199"/>
      <c r="AE844"/>
    </row>
    <row r="845" spans="1:31" x14ac:dyDescent="0.2">
      <c r="A845" s="212"/>
      <c r="B845" s="212"/>
      <c r="C845" s="199"/>
      <c r="D845" s="199"/>
      <c r="E845" s="185"/>
      <c r="F845" s="199"/>
      <c r="G845" s="199"/>
      <c r="H845"/>
      <c r="O845" s="185"/>
      <c r="P845" s="185"/>
      <c r="Q845" s="199"/>
      <c r="AB845" s="199"/>
      <c r="AC845" s="199"/>
      <c r="AE845"/>
    </row>
    <row r="846" spans="1:31" x14ac:dyDescent="0.2">
      <c r="A846" s="212"/>
      <c r="B846" s="212"/>
      <c r="C846" s="199"/>
      <c r="D846" s="199"/>
      <c r="E846" s="185"/>
      <c r="F846" s="199"/>
      <c r="G846" s="199"/>
      <c r="H846"/>
      <c r="O846" s="185"/>
      <c r="P846" s="185"/>
      <c r="Q846" s="199"/>
      <c r="AB846" s="199"/>
      <c r="AC846" s="199"/>
      <c r="AE846"/>
    </row>
    <row r="847" spans="1:31" x14ac:dyDescent="0.2">
      <c r="A847" s="212"/>
      <c r="B847" s="212"/>
      <c r="C847" s="199"/>
      <c r="D847" s="199"/>
      <c r="E847" s="185"/>
      <c r="F847" s="199"/>
      <c r="G847" s="199"/>
      <c r="H847"/>
      <c r="O847" s="185"/>
      <c r="P847" s="185"/>
      <c r="Q847" s="199"/>
      <c r="AB847" s="199"/>
      <c r="AC847" s="199"/>
      <c r="AE847"/>
    </row>
    <row r="848" spans="1:31" x14ac:dyDescent="0.2">
      <c r="A848" s="212"/>
      <c r="B848" s="212"/>
      <c r="C848" s="199"/>
      <c r="D848" s="199"/>
      <c r="E848" s="185"/>
      <c r="F848" s="199"/>
      <c r="G848" s="199"/>
      <c r="H848"/>
      <c r="O848" s="185"/>
      <c r="P848" s="185"/>
      <c r="Q848" s="199"/>
      <c r="AB848" s="199"/>
      <c r="AC848" s="199"/>
      <c r="AE848"/>
    </row>
    <row r="849" spans="1:31" x14ac:dyDescent="0.2">
      <c r="A849" s="212"/>
      <c r="B849" s="212"/>
      <c r="C849" s="199"/>
      <c r="D849" s="199"/>
      <c r="E849" s="185"/>
      <c r="F849" s="199"/>
      <c r="G849" s="199"/>
      <c r="H849"/>
      <c r="O849" s="185"/>
      <c r="P849" s="185"/>
      <c r="Q849" s="199"/>
      <c r="AB849" s="199"/>
      <c r="AC849" s="199"/>
      <c r="AE849"/>
    </row>
    <row r="850" spans="1:31" x14ac:dyDescent="0.2">
      <c r="A850" s="212"/>
      <c r="B850" s="212"/>
      <c r="C850" s="199"/>
      <c r="D850" s="199"/>
      <c r="E850" s="185"/>
      <c r="F850" s="199"/>
      <c r="G850" s="199"/>
      <c r="H850"/>
      <c r="O850" s="185"/>
      <c r="P850" s="185"/>
      <c r="Q850" s="199"/>
      <c r="AB850" s="199"/>
      <c r="AC850" s="199"/>
      <c r="AE850"/>
    </row>
    <row r="851" spans="1:31" x14ac:dyDescent="0.2">
      <c r="A851" s="212"/>
      <c r="B851" s="212"/>
      <c r="C851" s="199"/>
      <c r="D851" s="199"/>
      <c r="E851" s="185"/>
      <c r="F851" s="199"/>
      <c r="G851" s="199"/>
      <c r="H851"/>
      <c r="O851" s="185"/>
      <c r="P851" s="185"/>
      <c r="Q851" s="199"/>
      <c r="AB851" s="199"/>
      <c r="AC851" s="199"/>
      <c r="AE851"/>
    </row>
    <row r="852" spans="1:31" x14ac:dyDescent="0.2">
      <c r="A852" s="212"/>
      <c r="B852" s="212"/>
      <c r="C852" s="199"/>
      <c r="D852" s="199"/>
      <c r="E852" s="185"/>
      <c r="F852" s="199"/>
      <c r="G852" s="199"/>
      <c r="H852"/>
      <c r="O852" s="185"/>
      <c r="P852" s="185"/>
      <c r="Q852" s="199"/>
      <c r="AB852" s="199"/>
      <c r="AC852" s="199"/>
      <c r="AE852"/>
    </row>
    <row r="853" spans="1:31" x14ac:dyDescent="0.2">
      <c r="A853" s="212"/>
      <c r="B853" s="212"/>
      <c r="C853" s="199"/>
      <c r="D853" s="199"/>
      <c r="E853" s="185"/>
      <c r="F853" s="199"/>
      <c r="G853"/>
      <c r="H853"/>
      <c r="O853" s="185"/>
      <c r="P853" s="185"/>
      <c r="Q853" s="199"/>
      <c r="AB853" s="199"/>
      <c r="AC853" s="199"/>
      <c r="AE853"/>
    </row>
    <row r="854" spans="1:31" x14ac:dyDescent="0.2">
      <c r="A854" s="212"/>
      <c r="B854" s="212"/>
      <c r="C854" s="199"/>
      <c r="D854" s="199"/>
      <c r="E854" s="185"/>
      <c r="F854" s="199"/>
      <c r="G854"/>
      <c r="H854"/>
      <c r="O854" s="185"/>
      <c r="P854" s="185"/>
      <c r="Q854" s="199"/>
      <c r="AB854" s="199"/>
      <c r="AC854" s="199"/>
      <c r="AE854"/>
    </row>
    <row r="855" spans="1:31" x14ac:dyDescent="0.2">
      <c r="A855" s="212"/>
      <c r="B855" s="212"/>
      <c r="C855" s="199"/>
      <c r="D855" s="199"/>
      <c r="E855" s="185"/>
      <c r="F855" s="199"/>
      <c r="G855"/>
      <c r="H855"/>
      <c r="O855" s="185"/>
      <c r="P855" s="185"/>
      <c r="Q855" s="199"/>
      <c r="AB855" s="199"/>
      <c r="AC855" s="199"/>
      <c r="AE855"/>
    </row>
    <row r="856" spans="1:31" x14ac:dyDescent="0.2">
      <c r="A856" s="212"/>
      <c r="B856" s="212"/>
      <c r="C856" s="199"/>
      <c r="D856" s="199"/>
      <c r="E856" s="185"/>
      <c r="F856" s="199"/>
      <c r="G856" s="199"/>
      <c r="H856"/>
      <c r="O856" s="185"/>
      <c r="P856" s="185"/>
      <c r="Q856" s="199"/>
      <c r="AB856" s="199"/>
      <c r="AC856" s="199"/>
      <c r="AE856"/>
    </row>
    <row r="857" spans="1:31" x14ac:dyDescent="0.2">
      <c r="A857" s="212"/>
      <c r="B857" s="212"/>
      <c r="C857" s="199"/>
      <c r="D857" s="199"/>
      <c r="E857" s="185"/>
      <c r="F857" s="199"/>
      <c r="G857" s="199"/>
      <c r="H857"/>
      <c r="O857" s="185"/>
      <c r="P857" s="185"/>
      <c r="Q857" s="199"/>
      <c r="AB857" s="199"/>
      <c r="AC857" s="199"/>
      <c r="AE857"/>
    </row>
    <row r="858" spans="1:31" x14ac:dyDescent="0.2">
      <c r="A858" s="212"/>
      <c r="B858" s="212"/>
      <c r="C858" s="199"/>
      <c r="D858" s="199"/>
      <c r="E858" s="185"/>
      <c r="F858" s="199"/>
      <c r="G858" s="199"/>
      <c r="H858" s="199"/>
      <c r="O858" s="185"/>
      <c r="P858" s="185"/>
      <c r="Q858" s="199"/>
      <c r="AB858" s="199"/>
      <c r="AC858" s="199"/>
      <c r="AE858"/>
    </row>
    <row r="859" spans="1:31" x14ac:dyDescent="0.2">
      <c r="A859" s="212"/>
      <c r="B859" s="212"/>
      <c r="C859" s="199"/>
      <c r="D859" s="199"/>
      <c r="E859" s="185"/>
      <c r="F859" s="199"/>
      <c r="G859" s="199"/>
      <c r="H859"/>
      <c r="O859" s="185"/>
      <c r="P859" s="185"/>
      <c r="Q859" s="199"/>
      <c r="AB859" s="199"/>
      <c r="AC859" s="199"/>
      <c r="AE859"/>
    </row>
    <row r="860" spans="1:31" x14ac:dyDescent="0.2">
      <c r="A860" s="212"/>
      <c r="B860" s="212"/>
      <c r="C860" s="199"/>
      <c r="D860" s="199"/>
      <c r="E860" s="185"/>
      <c r="F860" s="199"/>
      <c r="G860"/>
      <c r="H860"/>
      <c r="O860" s="185"/>
      <c r="P860" s="185"/>
      <c r="Q860" s="199"/>
      <c r="AB860" s="199"/>
      <c r="AC860" s="199"/>
      <c r="AE860"/>
    </row>
    <row r="861" spans="1:31" x14ac:dyDescent="0.2">
      <c r="A861" s="212"/>
      <c r="B861" s="212"/>
      <c r="C861" s="199"/>
      <c r="D861" s="199"/>
      <c r="E861" s="185"/>
      <c r="F861" s="199"/>
      <c r="G861" s="199"/>
      <c r="H861"/>
      <c r="O861" s="185"/>
      <c r="P861" s="185"/>
      <c r="Q861" s="199"/>
      <c r="AB861" s="199"/>
      <c r="AC861" s="199"/>
      <c r="AE861"/>
    </row>
    <row r="862" spans="1:31" x14ac:dyDescent="0.2">
      <c r="A862" s="212"/>
      <c r="B862" s="212"/>
      <c r="C862" s="199"/>
      <c r="D862" s="199"/>
      <c r="E862" s="185"/>
      <c r="F862" s="199"/>
      <c r="G862" s="199"/>
      <c r="H862"/>
      <c r="O862" s="185"/>
      <c r="P862" s="185"/>
      <c r="Q862" s="199"/>
      <c r="AB862" s="199"/>
      <c r="AC862" s="199"/>
      <c r="AE862"/>
    </row>
    <row r="863" spans="1:31" x14ac:dyDescent="0.2">
      <c r="A863" s="212"/>
      <c r="B863" s="212"/>
      <c r="C863" s="199"/>
      <c r="D863" s="199"/>
      <c r="E863" s="185"/>
      <c r="F863" s="199"/>
      <c r="G863" s="199"/>
      <c r="H863"/>
      <c r="O863" s="185"/>
      <c r="P863" s="185"/>
      <c r="Q863" s="199"/>
      <c r="AB863" s="199"/>
      <c r="AC863" s="199"/>
      <c r="AE863"/>
    </row>
    <row r="864" spans="1:31" x14ac:dyDescent="0.2">
      <c r="A864" s="212"/>
      <c r="B864" s="212"/>
      <c r="C864" s="199"/>
      <c r="D864" s="199"/>
      <c r="E864" s="185"/>
      <c r="F864" s="199"/>
      <c r="G864" s="199"/>
      <c r="H864"/>
      <c r="O864" s="185"/>
      <c r="P864" s="185"/>
      <c r="Q864" s="199"/>
      <c r="AB864" s="199"/>
      <c r="AC864" s="199"/>
      <c r="AE864"/>
    </row>
    <row r="865" spans="1:31" x14ac:dyDescent="0.2">
      <c r="A865" s="212"/>
      <c r="B865" s="212"/>
      <c r="C865" s="199"/>
      <c r="D865" s="199"/>
      <c r="E865" s="185"/>
      <c r="F865" s="199"/>
      <c r="G865" s="199"/>
      <c r="H865"/>
      <c r="O865" s="185"/>
      <c r="P865" s="185"/>
      <c r="Q865" s="199"/>
      <c r="AB865" s="199"/>
      <c r="AC865" s="199"/>
      <c r="AE865"/>
    </row>
    <row r="866" spans="1:31" x14ac:dyDescent="0.2">
      <c r="A866" s="212"/>
      <c r="B866" s="212"/>
      <c r="C866" s="199"/>
      <c r="D866" s="199"/>
      <c r="E866" s="185"/>
      <c r="F866" s="199"/>
      <c r="G866" s="199"/>
      <c r="H866"/>
      <c r="O866" s="185"/>
      <c r="P866" s="185"/>
      <c r="Q866" s="199"/>
      <c r="AB866" s="199"/>
      <c r="AC866" s="199"/>
      <c r="AE866"/>
    </row>
    <row r="867" spans="1:31" x14ac:dyDescent="0.2">
      <c r="A867" s="212"/>
      <c r="B867" s="212"/>
      <c r="C867" s="199"/>
      <c r="D867" s="199"/>
      <c r="E867" s="185"/>
      <c r="F867" s="199"/>
      <c r="G867" s="199"/>
      <c r="H867"/>
      <c r="O867" s="185"/>
      <c r="P867" s="185"/>
      <c r="Q867" s="199"/>
      <c r="AB867" s="199"/>
      <c r="AC867" s="199"/>
      <c r="AE867"/>
    </row>
    <row r="868" spans="1:31" x14ac:dyDescent="0.2">
      <c r="A868" s="212"/>
      <c r="B868" s="212"/>
      <c r="C868" s="199"/>
      <c r="D868" s="199"/>
      <c r="E868" s="185"/>
      <c r="F868" s="199"/>
      <c r="G868" s="199"/>
      <c r="H868" s="199"/>
      <c r="O868" s="185"/>
      <c r="P868" s="185"/>
      <c r="Q868" s="199"/>
      <c r="AB868" s="199"/>
      <c r="AC868" s="199"/>
      <c r="AE868"/>
    </row>
    <row r="869" spans="1:31" x14ac:dyDescent="0.2">
      <c r="A869" s="212"/>
      <c r="B869" s="212"/>
      <c r="C869" s="199"/>
      <c r="D869" s="199"/>
      <c r="E869" s="185"/>
      <c r="F869" s="199"/>
      <c r="G869" s="199"/>
      <c r="H869"/>
      <c r="O869" s="185"/>
      <c r="P869" s="185"/>
      <c r="Q869" s="199"/>
      <c r="AB869" s="199"/>
      <c r="AC869" s="199"/>
      <c r="AE869"/>
    </row>
    <row r="870" spans="1:31" x14ac:dyDescent="0.2">
      <c r="A870" s="212"/>
      <c r="B870" s="212"/>
      <c r="C870" s="199"/>
      <c r="D870" s="199"/>
      <c r="E870" s="185"/>
      <c r="F870" s="199"/>
      <c r="G870" s="199"/>
      <c r="H870"/>
      <c r="O870" s="185"/>
      <c r="P870" s="185"/>
      <c r="Q870" s="199"/>
      <c r="AB870" s="199"/>
      <c r="AC870" s="199"/>
      <c r="AE870"/>
    </row>
    <row r="871" spans="1:31" x14ac:dyDescent="0.2">
      <c r="A871" s="212"/>
      <c r="B871" s="212"/>
      <c r="C871" s="199"/>
      <c r="D871" s="199"/>
      <c r="E871" s="185"/>
      <c r="F871" s="199"/>
      <c r="G871"/>
      <c r="H871"/>
      <c r="O871" s="185"/>
      <c r="P871" s="185"/>
      <c r="Q871" s="199"/>
      <c r="AB871" s="199"/>
      <c r="AC871" s="199"/>
      <c r="AE871"/>
    </row>
    <row r="872" spans="1:31" x14ac:dyDescent="0.2">
      <c r="A872" s="212"/>
      <c r="B872" s="212"/>
      <c r="C872" s="199"/>
      <c r="D872" s="199"/>
      <c r="E872" s="185"/>
      <c r="F872" s="199"/>
      <c r="G872"/>
      <c r="H872"/>
      <c r="O872" s="185"/>
      <c r="P872" s="185"/>
      <c r="Q872" s="199"/>
      <c r="AB872" s="199"/>
      <c r="AC872" s="199"/>
      <c r="AE872"/>
    </row>
    <row r="873" spans="1:31" x14ac:dyDescent="0.2">
      <c r="A873" s="212"/>
      <c r="B873" s="212"/>
      <c r="C873" s="199"/>
      <c r="D873" s="199"/>
      <c r="E873" s="185"/>
      <c r="F873" s="199"/>
      <c r="G873"/>
      <c r="H873"/>
      <c r="O873" s="185"/>
      <c r="P873" s="185"/>
      <c r="Q873" s="199"/>
      <c r="AB873" s="199"/>
      <c r="AC873" s="199"/>
      <c r="AE873"/>
    </row>
    <row r="874" spans="1:31" x14ac:dyDescent="0.2">
      <c r="A874" s="212"/>
      <c r="B874" s="212"/>
      <c r="C874" s="199"/>
      <c r="D874" s="199"/>
      <c r="E874" s="185"/>
      <c r="F874" s="199"/>
      <c r="G874" s="199"/>
      <c r="H874" s="199"/>
      <c r="O874" s="185"/>
      <c r="P874" s="185"/>
      <c r="Q874" s="199"/>
      <c r="AB874" s="199"/>
      <c r="AC874" s="199"/>
      <c r="AE874"/>
    </row>
    <row r="875" spans="1:31" x14ac:dyDescent="0.2">
      <c r="A875" s="212"/>
      <c r="B875" s="212"/>
      <c r="C875" s="199"/>
      <c r="D875" s="199"/>
      <c r="E875" s="185"/>
      <c r="F875" s="199"/>
      <c r="G875" s="199"/>
      <c r="H875"/>
      <c r="O875" s="185"/>
      <c r="P875" s="185"/>
      <c r="Q875" s="199"/>
      <c r="AB875" s="199"/>
      <c r="AC875" s="199"/>
      <c r="AE875"/>
    </row>
    <row r="876" spans="1:31" x14ac:dyDescent="0.2">
      <c r="A876" s="212"/>
      <c r="B876" s="212"/>
      <c r="C876" s="199"/>
      <c r="D876" s="199"/>
      <c r="E876" s="185"/>
      <c r="F876" s="199"/>
      <c r="G876" s="199"/>
      <c r="H876"/>
      <c r="O876" s="185"/>
      <c r="P876" s="185"/>
      <c r="Q876" s="199"/>
      <c r="AB876" s="199"/>
      <c r="AC876" s="199"/>
      <c r="AE876"/>
    </row>
    <row r="877" spans="1:31" x14ac:dyDescent="0.2">
      <c r="A877" s="212"/>
      <c r="B877" s="212"/>
      <c r="C877" s="199"/>
      <c r="D877" s="199"/>
      <c r="E877" s="185"/>
      <c r="F877" s="199"/>
      <c r="G877"/>
      <c r="H877"/>
      <c r="O877" s="185"/>
      <c r="P877" s="185"/>
      <c r="Q877" s="199"/>
      <c r="AB877" s="199"/>
      <c r="AC877" s="199"/>
      <c r="AE877"/>
    </row>
    <row r="878" spans="1:31" x14ac:dyDescent="0.2">
      <c r="A878" s="212"/>
      <c r="B878" s="212"/>
      <c r="C878" s="199"/>
      <c r="D878" s="199"/>
      <c r="E878" s="185"/>
      <c r="F878" s="199"/>
      <c r="G878" s="199"/>
      <c r="H878"/>
      <c r="O878" s="185"/>
      <c r="P878" s="185"/>
      <c r="Q878" s="199"/>
      <c r="AB878" s="199"/>
      <c r="AC878" s="199"/>
      <c r="AE878"/>
    </row>
    <row r="879" spans="1:31" x14ac:dyDescent="0.2">
      <c r="A879" s="212"/>
      <c r="B879" s="212"/>
      <c r="C879" s="199"/>
      <c r="D879" s="199"/>
      <c r="E879" s="185"/>
      <c r="F879" s="199"/>
      <c r="G879" s="199"/>
      <c r="H879"/>
      <c r="O879" s="185"/>
      <c r="P879" s="185"/>
      <c r="Q879" s="199"/>
      <c r="AB879" s="199"/>
      <c r="AC879" s="199"/>
      <c r="AE879"/>
    </row>
    <row r="880" spans="1:31" x14ac:dyDescent="0.2">
      <c r="A880" s="212"/>
      <c r="B880" s="212"/>
      <c r="C880" s="199"/>
      <c r="D880" s="199"/>
      <c r="E880" s="185"/>
      <c r="F880" s="199"/>
      <c r="G880" s="199"/>
      <c r="H880"/>
      <c r="O880" s="185"/>
      <c r="P880" s="185"/>
      <c r="Q880" s="199"/>
      <c r="AB880" s="199"/>
      <c r="AC880" s="199"/>
      <c r="AE880"/>
    </row>
    <row r="881" spans="1:31" x14ac:dyDescent="0.2">
      <c r="A881" s="212"/>
      <c r="B881" s="212"/>
      <c r="C881" s="199"/>
      <c r="D881" s="199"/>
      <c r="E881" s="185"/>
      <c r="F881" s="199"/>
      <c r="G881" s="199"/>
      <c r="H881"/>
      <c r="O881" s="185"/>
      <c r="P881" s="185"/>
      <c r="Q881" s="199"/>
      <c r="AB881" s="199"/>
      <c r="AC881" s="199"/>
      <c r="AE881"/>
    </row>
    <row r="882" spans="1:31" x14ac:dyDescent="0.2">
      <c r="A882" s="212"/>
      <c r="B882" s="212"/>
      <c r="C882" s="199"/>
      <c r="D882" s="199"/>
      <c r="E882" s="185"/>
      <c r="F882" s="199"/>
      <c r="G882" s="199"/>
      <c r="H882"/>
      <c r="O882" s="185"/>
      <c r="P882" s="185"/>
      <c r="Q882" s="199"/>
      <c r="AB882" s="199"/>
      <c r="AC882" s="199"/>
      <c r="AE882"/>
    </row>
    <row r="883" spans="1:31" x14ac:dyDescent="0.2">
      <c r="A883" s="212"/>
      <c r="B883" s="212"/>
      <c r="C883" s="199"/>
      <c r="D883" s="199"/>
      <c r="E883" s="185"/>
      <c r="F883" s="199"/>
      <c r="G883"/>
      <c r="H883"/>
      <c r="O883" s="185"/>
      <c r="P883" s="185"/>
      <c r="Q883" s="199"/>
      <c r="AB883" s="199"/>
      <c r="AC883" s="199"/>
      <c r="AE883"/>
    </row>
    <row r="884" spans="1:31" x14ac:dyDescent="0.2">
      <c r="A884" s="212"/>
      <c r="B884" s="212"/>
      <c r="C884" s="199"/>
      <c r="D884" s="199"/>
      <c r="E884" s="185"/>
      <c r="F884" s="199"/>
      <c r="G884" s="199"/>
      <c r="H884"/>
      <c r="O884" s="185"/>
      <c r="P884" s="185"/>
      <c r="Q884" s="199"/>
      <c r="AB884" s="199"/>
      <c r="AC884" s="199"/>
      <c r="AE884"/>
    </row>
    <row r="885" spans="1:31" x14ac:dyDescent="0.2">
      <c r="A885" s="212"/>
      <c r="B885" s="212"/>
      <c r="C885" s="199"/>
      <c r="D885" s="199"/>
      <c r="E885" s="185"/>
      <c r="F885" s="199"/>
      <c r="G885"/>
      <c r="H885"/>
      <c r="O885" s="185"/>
      <c r="P885" s="185"/>
      <c r="Q885" s="199"/>
      <c r="AB885" s="199"/>
      <c r="AC885" s="199"/>
      <c r="AE885"/>
    </row>
    <row r="886" spans="1:31" x14ac:dyDescent="0.2">
      <c r="A886" s="212"/>
      <c r="B886" s="212"/>
      <c r="C886" s="199"/>
      <c r="D886" s="199"/>
      <c r="E886" s="185"/>
      <c r="F886" s="199"/>
      <c r="G886" s="199"/>
      <c r="H886"/>
      <c r="O886" s="185"/>
      <c r="P886" s="185"/>
      <c r="Q886" s="199"/>
      <c r="AB886" s="199"/>
      <c r="AC886" s="199"/>
      <c r="AE886"/>
    </row>
    <row r="887" spans="1:31" x14ac:dyDescent="0.2">
      <c r="A887" s="212"/>
      <c r="B887" s="212"/>
      <c r="C887" s="199"/>
      <c r="D887" s="199"/>
      <c r="E887" s="185"/>
      <c r="F887" s="199"/>
      <c r="G887" s="199"/>
      <c r="H887"/>
      <c r="O887" s="185"/>
      <c r="P887" s="185"/>
      <c r="Q887" s="199"/>
      <c r="AB887" s="199"/>
      <c r="AC887" s="199"/>
      <c r="AE887"/>
    </row>
    <row r="888" spans="1:31" x14ac:dyDescent="0.2">
      <c r="A888" s="212"/>
      <c r="B888" s="212"/>
      <c r="C888" s="199"/>
      <c r="D888" s="199"/>
      <c r="E888" s="185"/>
      <c r="F888" s="199"/>
      <c r="G888" s="199"/>
      <c r="H888"/>
      <c r="O888" s="185"/>
      <c r="P888" s="185"/>
      <c r="Q888" s="199"/>
      <c r="AB888" s="199"/>
      <c r="AC888" s="199"/>
      <c r="AE888"/>
    </row>
    <row r="889" spans="1:31" x14ac:dyDescent="0.2">
      <c r="A889" s="212"/>
      <c r="B889" s="212"/>
      <c r="C889" s="199"/>
      <c r="D889" s="199"/>
      <c r="E889" s="185"/>
      <c r="F889" s="199"/>
      <c r="G889"/>
      <c r="H889"/>
      <c r="O889" s="185"/>
      <c r="P889" s="185"/>
      <c r="Q889" s="199"/>
      <c r="AB889" s="199"/>
      <c r="AC889" s="199"/>
      <c r="AE889"/>
    </row>
    <row r="890" spans="1:31" x14ac:dyDescent="0.2">
      <c r="A890" s="212"/>
      <c r="B890" s="212"/>
      <c r="C890" s="199"/>
      <c r="D890" s="199"/>
      <c r="E890" s="185"/>
      <c r="F890" s="199"/>
      <c r="G890" s="199"/>
      <c r="H890"/>
      <c r="O890" s="185"/>
      <c r="P890" s="185"/>
      <c r="Q890" s="199"/>
      <c r="AB890" s="199"/>
      <c r="AC890" s="199"/>
      <c r="AE890"/>
    </row>
    <row r="891" spans="1:31" x14ac:dyDescent="0.2">
      <c r="A891" s="212"/>
      <c r="B891" s="212"/>
      <c r="C891" s="199"/>
      <c r="D891" s="199"/>
      <c r="E891" s="185"/>
      <c r="F891" s="199"/>
      <c r="G891" s="199"/>
      <c r="H891"/>
      <c r="O891" s="185"/>
      <c r="P891" s="185"/>
      <c r="Q891" s="199"/>
      <c r="AB891" s="199"/>
      <c r="AC891" s="199"/>
      <c r="AE891"/>
    </row>
    <row r="892" spans="1:31" x14ac:dyDescent="0.2">
      <c r="A892" s="212"/>
      <c r="B892" s="212"/>
      <c r="C892" s="199"/>
      <c r="D892" s="199"/>
      <c r="E892" s="185"/>
      <c r="F892" s="199"/>
      <c r="G892" s="199"/>
      <c r="H892"/>
      <c r="O892" s="185"/>
      <c r="P892" s="185"/>
      <c r="Q892" s="199"/>
      <c r="AB892" s="199"/>
      <c r="AC892" s="199"/>
      <c r="AE892"/>
    </row>
    <row r="893" spans="1:31" x14ac:dyDescent="0.2">
      <c r="A893" s="212"/>
      <c r="B893" s="212"/>
      <c r="C893" s="199"/>
      <c r="D893" s="199"/>
      <c r="E893" s="185"/>
      <c r="F893" s="199"/>
      <c r="G893" s="199"/>
      <c r="H893"/>
      <c r="O893" s="185"/>
      <c r="P893" s="185"/>
      <c r="Q893" s="199"/>
      <c r="AB893" s="199"/>
      <c r="AC893" s="199"/>
      <c r="AE893"/>
    </row>
    <row r="894" spans="1:31" x14ac:dyDescent="0.2">
      <c r="A894" s="212"/>
      <c r="B894" s="212"/>
      <c r="C894" s="199"/>
      <c r="D894" s="199"/>
      <c r="E894" s="185"/>
      <c r="F894" s="199"/>
      <c r="G894" s="199"/>
      <c r="H894"/>
      <c r="O894" s="185"/>
      <c r="P894" s="185"/>
      <c r="Q894" s="199"/>
      <c r="AB894" s="199"/>
      <c r="AC894" s="199"/>
      <c r="AE894"/>
    </row>
    <row r="895" spans="1:31" x14ac:dyDescent="0.2">
      <c r="A895" s="212"/>
      <c r="B895" s="212"/>
      <c r="C895" s="199"/>
      <c r="D895" s="199"/>
      <c r="E895" s="185"/>
      <c r="F895" s="199"/>
      <c r="G895" s="199"/>
      <c r="H895"/>
      <c r="O895" s="185"/>
      <c r="P895" s="185"/>
      <c r="Q895" s="199"/>
      <c r="AB895" s="199"/>
      <c r="AC895" s="199"/>
      <c r="AE895"/>
    </row>
    <row r="896" spans="1:31" x14ac:dyDescent="0.2">
      <c r="A896" s="212"/>
      <c r="B896" s="212"/>
      <c r="C896" s="199"/>
      <c r="D896" s="199"/>
      <c r="E896" s="185"/>
      <c r="F896" s="199"/>
      <c r="G896"/>
      <c r="H896"/>
      <c r="O896" s="185"/>
      <c r="P896" s="185"/>
      <c r="Q896" s="199"/>
      <c r="AB896" s="199"/>
      <c r="AC896" s="199"/>
      <c r="AE896"/>
    </row>
    <row r="897" spans="1:31" x14ac:dyDescent="0.2">
      <c r="A897" s="212"/>
      <c r="B897" s="212"/>
      <c r="C897" s="199"/>
      <c r="D897" s="199"/>
      <c r="E897" s="185"/>
      <c r="F897" s="199"/>
      <c r="G897" s="199"/>
      <c r="H897"/>
      <c r="O897" s="185"/>
      <c r="P897" s="185"/>
      <c r="Q897" s="199"/>
      <c r="AB897" s="199"/>
      <c r="AC897" s="199"/>
      <c r="AE897"/>
    </row>
    <row r="898" spans="1:31" x14ac:dyDescent="0.2">
      <c r="A898" s="212"/>
      <c r="B898" s="212"/>
      <c r="C898" s="199"/>
      <c r="D898" s="199"/>
      <c r="E898" s="185"/>
      <c r="F898" s="199"/>
      <c r="G898" s="199"/>
      <c r="H898" s="199"/>
      <c r="O898" s="185"/>
      <c r="P898" s="185"/>
      <c r="Q898" s="199"/>
      <c r="AB898" s="199"/>
      <c r="AC898" s="199"/>
      <c r="AE898"/>
    </row>
    <row r="899" spans="1:31" x14ac:dyDescent="0.2">
      <c r="A899" s="212"/>
      <c r="B899" s="212"/>
      <c r="C899" s="199"/>
      <c r="D899" s="199"/>
      <c r="E899" s="185"/>
      <c r="F899" s="199"/>
      <c r="G899" s="199"/>
      <c r="H899" s="199"/>
      <c r="O899" s="185"/>
      <c r="P899" s="185"/>
      <c r="Q899" s="199"/>
      <c r="AB899" s="199"/>
      <c r="AC899" s="199"/>
      <c r="AE899"/>
    </row>
    <row r="900" spans="1:31" x14ac:dyDescent="0.2">
      <c r="A900" s="212"/>
      <c r="B900" s="212"/>
      <c r="C900" s="199"/>
      <c r="D900" s="199"/>
      <c r="E900" s="185"/>
      <c r="F900" s="199"/>
      <c r="G900"/>
      <c r="H900"/>
      <c r="O900" s="185"/>
      <c r="P900" s="185"/>
      <c r="Q900" s="199"/>
      <c r="AB900" s="199"/>
      <c r="AC900" s="199"/>
      <c r="AE900"/>
    </row>
    <row r="901" spans="1:31" x14ac:dyDescent="0.2">
      <c r="A901" s="212"/>
      <c r="B901" s="212"/>
      <c r="C901" s="199"/>
      <c r="D901" s="199"/>
      <c r="E901" s="185"/>
      <c r="F901" s="199"/>
      <c r="G901" s="199"/>
      <c r="H901"/>
      <c r="O901" s="185"/>
      <c r="P901" s="185"/>
      <c r="Q901" s="199"/>
      <c r="AB901" s="199"/>
      <c r="AC901" s="199"/>
      <c r="AE901"/>
    </row>
    <row r="902" spans="1:31" x14ac:dyDescent="0.2">
      <c r="A902" s="212"/>
      <c r="B902" s="212"/>
      <c r="C902" s="199"/>
      <c r="D902" s="199"/>
      <c r="E902" s="185"/>
      <c r="F902" s="199"/>
      <c r="G902"/>
      <c r="H902"/>
      <c r="O902" s="185"/>
      <c r="P902" s="185"/>
      <c r="Q902" s="199"/>
      <c r="AB902" s="199"/>
      <c r="AC902" s="199"/>
      <c r="AE902"/>
    </row>
    <row r="903" spans="1:31" x14ac:dyDescent="0.2">
      <c r="A903" s="212"/>
      <c r="B903" s="212"/>
      <c r="C903" s="199"/>
      <c r="D903" s="199"/>
      <c r="E903" s="185"/>
      <c r="F903"/>
      <c r="G903"/>
      <c r="H903"/>
      <c r="O903" s="185"/>
      <c r="P903" s="185"/>
      <c r="Q903" s="199"/>
      <c r="AB903" s="199"/>
      <c r="AC903" s="199"/>
      <c r="AE903"/>
    </row>
    <row r="904" spans="1:31" x14ac:dyDescent="0.2">
      <c r="A904" s="212"/>
      <c r="B904" s="212"/>
      <c r="C904" s="199"/>
      <c r="D904" s="199"/>
      <c r="E904" s="185"/>
      <c r="F904" s="199"/>
      <c r="G904"/>
      <c r="H904"/>
      <c r="O904" s="185"/>
      <c r="P904" s="185"/>
      <c r="Q904" s="199"/>
      <c r="AB904" s="199"/>
      <c r="AC904" s="199"/>
      <c r="AE904"/>
    </row>
    <row r="905" spans="1:31" x14ac:dyDescent="0.2">
      <c r="A905" s="212"/>
      <c r="B905" s="212"/>
      <c r="C905" s="199"/>
      <c r="D905" s="199"/>
      <c r="E905" s="185"/>
      <c r="F905" s="199"/>
      <c r="G905"/>
      <c r="H905"/>
      <c r="O905" s="185"/>
      <c r="P905" s="185"/>
      <c r="Q905" s="199"/>
      <c r="AB905" s="199"/>
      <c r="AC905" s="199"/>
      <c r="AE905"/>
    </row>
    <row r="906" spans="1:31" x14ac:dyDescent="0.2">
      <c r="A906" s="212"/>
      <c r="B906" s="212"/>
      <c r="C906" s="199"/>
      <c r="D906" s="199"/>
      <c r="E906" s="185"/>
      <c r="F906" s="199"/>
      <c r="G906"/>
      <c r="H906"/>
      <c r="O906" s="185"/>
      <c r="P906" s="185"/>
      <c r="Q906" s="199"/>
      <c r="AB906" s="199"/>
      <c r="AC906" s="199"/>
      <c r="AE906"/>
    </row>
    <row r="907" spans="1:31" x14ac:dyDescent="0.2">
      <c r="A907" s="212"/>
      <c r="B907" s="212"/>
      <c r="C907" s="199"/>
      <c r="D907" s="199"/>
      <c r="E907" s="185"/>
      <c r="F907" s="199"/>
      <c r="G907" s="199"/>
      <c r="H907"/>
      <c r="O907" s="185"/>
      <c r="P907" s="185"/>
      <c r="Q907" s="199"/>
      <c r="AB907" s="199"/>
      <c r="AC907" s="199"/>
      <c r="AE907"/>
    </row>
    <row r="908" spans="1:31" x14ac:dyDescent="0.2">
      <c r="A908" s="212"/>
      <c r="B908" s="212"/>
      <c r="C908" s="199"/>
      <c r="D908" s="199"/>
      <c r="E908" s="185"/>
      <c r="F908" s="199"/>
      <c r="G908" s="199"/>
      <c r="H908"/>
      <c r="O908" s="185"/>
      <c r="P908" s="185"/>
      <c r="Q908" s="199"/>
      <c r="AB908" s="199"/>
      <c r="AC908" s="199"/>
      <c r="AE908"/>
    </row>
    <row r="909" spans="1:31" x14ac:dyDescent="0.2">
      <c r="A909" s="212"/>
      <c r="B909" s="212"/>
      <c r="C909" s="199"/>
      <c r="D909" s="199"/>
      <c r="E909" s="185"/>
      <c r="F909" s="199"/>
      <c r="G909" s="199"/>
      <c r="H909"/>
      <c r="O909" s="185"/>
      <c r="P909" s="185"/>
      <c r="Q909" s="199"/>
      <c r="AB909" s="199"/>
      <c r="AC909" s="199"/>
      <c r="AE909"/>
    </row>
    <row r="910" spans="1:31" x14ac:dyDescent="0.2">
      <c r="A910" s="212"/>
      <c r="B910" s="212"/>
      <c r="C910" s="199"/>
      <c r="D910" s="199"/>
      <c r="E910" s="185"/>
      <c r="F910" s="199"/>
      <c r="G910" s="199"/>
      <c r="H910"/>
      <c r="O910" s="185"/>
      <c r="P910" s="185"/>
      <c r="Q910" s="199"/>
      <c r="AB910" s="199"/>
      <c r="AC910" s="199"/>
      <c r="AE910"/>
    </row>
    <row r="911" spans="1:31" x14ac:dyDescent="0.2">
      <c r="A911" s="212"/>
      <c r="B911" s="212"/>
      <c r="C911" s="199"/>
      <c r="D911" s="199"/>
      <c r="E911" s="185"/>
      <c r="F911" s="199"/>
      <c r="G911" s="199"/>
      <c r="H911"/>
      <c r="O911" s="185"/>
      <c r="P911" s="185"/>
      <c r="Q911" s="199"/>
      <c r="AB911" s="199"/>
      <c r="AC911" s="199"/>
      <c r="AE911"/>
    </row>
    <row r="912" spans="1:31" x14ac:dyDescent="0.2">
      <c r="A912" s="212"/>
      <c r="B912" s="212"/>
      <c r="C912" s="199"/>
      <c r="D912" s="199"/>
      <c r="E912" s="185"/>
      <c r="F912" s="199"/>
      <c r="G912" s="199"/>
      <c r="H912"/>
      <c r="O912" s="185"/>
      <c r="P912" s="185"/>
      <c r="Q912" s="199"/>
      <c r="AB912" s="199"/>
      <c r="AC912" s="199"/>
      <c r="AE912"/>
    </row>
    <row r="913" spans="1:31" x14ac:dyDescent="0.2">
      <c r="A913" s="212"/>
      <c r="B913" s="212"/>
      <c r="C913" s="199"/>
      <c r="D913" s="199"/>
      <c r="E913" s="185"/>
      <c r="F913" s="199"/>
      <c r="G913" s="199"/>
      <c r="H913"/>
      <c r="O913" s="185"/>
      <c r="P913" s="185"/>
      <c r="Q913" s="199"/>
      <c r="AB913" s="199"/>
      <c r="AC913" s="199"/>
      <c r="AE913"/>
    </row>
    <row r="914" spans="1:31" x14ac:dyDescent="0.2">
      <c r="A914" s="212"/>
      <c r="B914" s="212"/>
      <c r="C914" s="199"/>
      <c r="D914" s="199"/>
      <c r="E914" s="185"/>
      <c r="F914" s="199"/>
      <c r="G914" s="199"/>
      <c r="H914"/>
      <c r="O914" s="185"/>
      <c r="P914" s="185"/>
      <c r="Q914" s="199"/>
      <c r="AB914" s="199"/>
      <c r="AC914" s="199"/>
      <c r="AE914"/>
    </row>
    <row r="915" spans="1:31" x14ac:dyDescent="0.2">
      <c r="A915" s="212"/>
      <c r="B915" s="212"/>
      <c r="C915" s="199"/>
      <c r="D915" s="199"/>
      <c r="E915" s="185"/>
      <c r="F915" s="199"/>
      <c r="G915" s="199"/>
      <c r="H915"/>
      <c r="O915" s="185"/>
      <c r="P915" s="185"/>
      <c r="Q915" s="199"/>
      <c r="AB915" s="199"/>
      <c r="AC915" s="199"/>
      <c r="AE915"/>
    </row>
    <row r="916" spans="1:31" x14ac:dyDescent="0.2">
      <c r="A916" s="212"/>
      <c r="B916" s="212"/>
      <c r="C916" s="199"/>
      <c r="D916" s="199"/>
      <c r="E916" s="185"/>
      <c r="F916" s="199"/>
      <c r="G916" s="199"/>
      <c r="H916"/>
      <c r="O916" s="185"/>
      <c r="P916" s="185"/>
      <c r="Q916" s="199"/>
      <c r="AB916" s="199"/>
      <c r="AC916" s="199"/>
      <c r="AE916"/>
    </row>
    <row r="917" spans="1:31" x14ac:dyDescent="0.2">
      <c r="A917" s="212"/>
      <c r="B917" s="212"/>
      <c r="C917" s="199"/>
      <c r="D917" s="199"/>
      <c r="E917" s="185"/>
      <c r="F917" s="199"/>
      <c r="G917"/>
      <c r="H917"/>
      <c r="O917" s="185"/>
      <c r="P917" s="185"/>
      <c r="Q917" s="199"/>
      <c r="AB917" s="199"/>
      <c r="AC917" s="199"/>
      <c r="AE917"/>
    </row>
    <row r="918" spans="1:31" x14ac:dyDescent="0.2">
      <c r="A918" s="212"/>
      <c r="B918" s="212"/>
      <c r="C918" s="199"/>
      <c r="D918" s="199"/>
      <c r="E918" s="185"/>
      <c r="F918" s="199"/>
      <c r="G918"/>
      <c r="H918"/>
      <c r="O918" s="185"/>
      <c r="P918" s="185"/>
      <c r="Q918" s="199"/>
      <c r="AB918" s="199"/>
      <c r="AC918" s="199"/>
      <c r="AE918"/>
    </row>
    <row r="919" spans="1:31" x14ac:dyDescent="0.2">
      <c r="A919" s="212"/>
      <c r="B919" s="212"/>
      <c r="C919" s="199"/>
      <c r="D919" s="199"/>
      <c r="E919" s="185"/>
      <c r="F919" s="199"/>
      <c r="G919" s="199"/>
      <c r="H919"/>
      <c r="O919" s="185"/>
      <c r="P919" s="185"/>
      <c r="Q919" s="199"/>
      <c r="AB919" s="199"/>
      <c r="AC919" s="199"/>
      <c r="AE919"/>
    </row>
    <row r="920" spans="1:31" x14ac:dyDescent="0.2">
      <c r="A920" s="212"/>
      <c r="B920" s="212"/>
      <c r="C920" s="199"/>
      <c r="D920" s="199"/>
      <c r="E920" s="185"/>
      <c r="F920" s="199"/>
      <c r="G920" s="199"/>
      <c r="H920"/>
      <c r="O920" s="185"/>
      <c r="P920" s="185"/>
      <c r="Q920" s="199"/>
      <c r="AB920" s="199"/>
      <c r="AC920" s="199"/>
      <c r="AE920"/>
    </row>
    <row r="921" spans="1:31" x14ac:dyDescent="0.2">
      <c r="A921" s="212"/>
      <c r="B921" s="212"/>
      <c r="C921" s="199"/>
      <c r="D921" s="199"/>
      <c r="E921" s="185"/>
      <c r="F921" s="199"/>
      <c r="G921"/>
      <c r="H921"/>
      <c r="O921" s="185"/>
      <c r="P921" s="185"/>
      <c r="Q921" s="199"/>
      <c r="AB921" s="199"/>
      <c r="AC921" s="199"/>
      <c r="AE921"/>
    </row>
    <row r="922" spans="1:31" x14ac:dyDescent="0.2">
      <c r="A922" s="212"/>
      <c r="B922" s="212"/>
      <c r="C922" s="199"/>
      <c r="D922" s="199"/>
      <c r="E922" s="185"/>
      <c r="F922" s="199"/>
      <c r="G922"/>
      <c r="H922"/>
      <c r="O922" s="185"/>
      <c r="P922" s="185"/>
      <c r="Q922" s="199"/>
      <c r="AB922" s="199"/>
      <c r="AC922" s="199"/>
      <c r="AE922"/>
    </row>
    <row r="923" spans="1:31" x14ac:dyDescent="0.2">
      <c r="A923" s="212"/>
      <c r="B923" s="212"/>
      <c r="C923" s="199"/>
      <c r="D923" s="199"/>
      <c r="E923" s="185"/>
      <c r="F923" s="199"/>
      <c r="G923" s="199"/>
      <c r="H923"/>
      <c r="O923" s="185"/>
      <c r="P923" s="185"/>
      <c r="Q923" s="199"/>
      <c r="AB923" s="199"/>
      <c r="AC923" s="199"/>
      <c r="AE923"/>
    </row>
    <row r="924" spans="1:31" x14ac:dyDescent="0.2">
      <c r="A924" s="212"/>
      <c r="B924" s="212"/>
      <c r="C924" s="199"/>
      <c r="D924" s="199"/>
      <c r="E924" s="185"/>
      <c r="F924" s="199"/>
      <c r="G924" s="199"/>
      <c r="H924"/>
      <c r="O924" s="185"/>
      <c r="P924" s="185"/>
      <c r="Q924" s="199"/>
      <c r="AB924" s="199"/>
      <c r="AC924" s="199"/>
      <c r="AE924"/>
    </row>
    <row r="925" spans="1:31" x14ac:dyDescent="0.2">
      <c r="A925" s="212"/>
      <c r="B925" s="212"/>
      <c r="C925" s="199"/>
      <c r="D925" s="199"/>
      <c r="E925" s="185"/>
      <c r="F925" s="199"/>
      <c r="G925" s="199"/>
      <c r="H925" s="199"/>
      <c r="O925" s="185"/>
      <c r="P925" s="185"/>
      <c r="Q925" s="199"/>
      <c r="AB925" s="199"/>
      <c r="AC925" s="199"/>
      <c r="AE925"/>
    </row>
    <row r="926" spans="1:31" x14ac:dyDescent="0.2">
      <c r="A926" s="212"/>
      <c r="B926" s="212"/>
      <c r="C926" s="199"/>
      <c r="D926" s="199"/>
      <c r="E926" s="185"/>
      <c r="F926" s="199"/>
      <c r="G926" s="199"/>
      <c r="H926"/>
      <c r="O926" s="185"/>
      <c r="P926" s="185"/>
      <c r="Q926" s="199"/>
      <c r="AB926" s="199"/>
      <c r="AC926" s="199"/>
      <c r="AE926"/>
    </row>
    <row r="927" spans="1:31" x14ac:dyDescent="0.2">
      <c r="A927" s="212"/>
      <c r="B927" s="212"/>
      <c r="C927" s="199"/>
      <c r="D927" s="199"/>
      <c r="E927" s="185"/>
      <c r="F927" s="199"/>
      <c r="G927" s="199"/>
      <c r="H927"/>
      <c r="O927" s="185"/>
      <c r="P927" s="185"/>
      <c r="Q927" s="199"/>
      <c r="AB927" s="199"/>
      <c r="AC927" s="199"/>
      <c r="AE927"/>
    </row>
    <row r="928" spans="1:31" x14ac:dyDescent="0.2">
      <c r="A928" s="212"/>
      <c r="B928" s="212"/>
      <c r="C928" s="199"/>
      <c r="D928" s="199"/>
      <c r="E928" s="185"/>
      <c r="F928" s="199"/>
      <c r="G928" s="199"/>
      <c r="H928" s="199"/>
      <c r="O928" s="185"/>
      <c r="P928" s="185"/>
      <c r="Q928" s="199"/>
      <c r="AB928" s="199"/>
      <c r="AC928" s="199"/>
      <c r="AE928"/>
    </row>
    <row r="929" spans="1:31" x14ac:dyDescent="0.2">
      <c r="A929" s="212"/>
      <c r="B929" s="212"/>
      <c r="C929" s="199"/>
      <c r="D929" s="199"/>
      <c r="E929" s="185"/>
      <c r="F929" s="199"/>
      <c r="G929" s="199"/>
      <c r="H929"/>
      <c r="O929" s="185"/>
      <c r="P929" s="185"/>
      <c r="Q929" s="199"/>
      <c r="AB929" s="199"/>
      <c r="AC929" s="199"/>
      <c r="AE929"/>
    </row>
    <row r="930" spans="1:31" x14ac:dyDescent="0.2">
      <c r="A930" s="212"/>
      <c r="B930" s="212"/>
      <c r="C930" s="199"/>
      <c r="D930" s="199"/>
      <c r="E930" s="185"/>
      <c r="F930" s="199"/>
      <c r="G930" s="199"/>
      <c r="H930"/>
      <c r="O930" s="185"/>
      <c r="P930" s="185"/>
      <c r="Q930" s="199"/>
      <c r="AB930" s="199"/>
      <c r="AC930" s="199"/>
      <c r="AE930"/>
    </row>
    <row r="931" spans="1:31" x14ac:dyDescent="0.2">
      <c r="A931" s="212"/>
      <c r="B931" s="212"/>
      <c r="C931" s="199"/>
      <c r="D931" s="199"/>
      <c r="E931" s="185"/>
      <c r="F931" s="199"/>
      <c r="G931"/>
      <c r="H931"/>
      <c r="O931" s="185"/>
      <c r="P931" s="185"/>
      <c r="Q931" s="199"/>
      <c r="AB931" s="199"/>
      <c r="AC931" s="199"/>
      <c r="AE931"/>
    </row>
    <row r="932" spans="1:31" x14ac:dyDescent="0.2">
      <c r="A932" s="212"/>
      <c r="B932" s="212"/>
      <c r="C932" s="199"/>
      <c r="D932" s="199"/>
      <c r="E932" s="185"/>
      <c r="F932" s="199"/>
      <c r="G932" s="199"/>
      <c r="H932"/>
      <c r="O932" s="185"/>
      <c r="P932" s="185"/>
      <c r="Q932" s="199"/>
      <c r="AB932" s="199"/>
      <c r="AC932" s="199"/>
      <c r="AE932"/>
    </row>
    <row r="933" spans="1:31" x14ac:dyDescent="0.2">
      <c r="A933" s="212"/>
      <c r="B933" s="212"/>
      <c r="C933" s="199"/>
      <c r="D933" s="199"/>
      <c r="E933" s="185"/>
      <c r="F933" s="199"/>
      <c r="G933" s="199"/>
      <c r="H933"/>
      <c r="O933" s="185"/>
      <c r="P933" s="185"/>
      <c r="Q933" s="199"/>
      <c r="AB933" s="199"/>
      <c r="AC933" s="199"/>
      <c r="AE933"/>
    </row>
    <row r="934" spans="1:31" x14ac:dyDescent="0.2">
      <c r="A934" s="212"/>
      <c r="B934" s="212"/>
      <c r="C934" s="199"/>
      <c r="D934" s="199"/>
      <c r="E934" s="185"/>
      <c r="F934" s="199"/>
      <c r="G934" s="199"/>
      <c r="H934"/>
      <c r="O934" s="185"/>
      <c r="P934" s="185"/>
      <c r="Q934" s="199"/>
      <c r="AB934" s="199"/>
      <c r="AC934" s="199"/>
      <c r="AE934"/>
    </row>
    <row r="935" spans="1:31" x14ac:dyDescent="0.2">
      <c r="A935" s="212"/>
      <c r="B935" s="212"/>
      <c r="C935" s="199"/>
      <c r="D935" s="199"/>
      <c r="E935" s="185"/>
      <c r="F935" s="199"/>
      <c r="G935" s="199"/>
      <c r="H935"/>
      <c r="O935" s="185"/>
      <c r="P935" s="185"/>
      <c r="Q935" s="199"/>
      <c r="AB935" s="199"/>
      <c r="AC935" s="199"/>
      <c r="AE935"/>
    </row>
    <row r="936" spans="1:31" x14ac:dyDescent="0.2">
      <c r="A936" s="212"/>
      <c r="B936" s="212"/>
      <c r="C936" s="199"/>
      <c r="D936" s="199"/>
      <c r="E936" s="185"/>
      <c r="F936" s="199"/>
      <c r="G936"/>
      <c r="H936"/>
      <c r="O936" s="185"/>
      <c r="P936" s="185"/>
      <c r="Q936" s="199"/>
      <c r="AB936" s="199"/>
      <c r="AC936" s="199"/>
      <c r="AE936"/>
    </row>
    <row r="937" spans="1:31" x14ac:dyDescent="0.2">
      <c r="A937" s="212"/>
      <c r="B937" s="212"/>
      <c r="C937" s="199"/>
      <c r="D937" s="199"/>
      <c r="E937" s="185"/>
      <c r="F937" s="199"/>
      <c r="G937" s="199"/>
      <c r="H937"/>
      <c r="O937" s="185"/>
      <c r="P937" s="185"/>
      <c r="Q937" s="199"/>
      <c r="AB937" s="199"/>
      <c r="AC937" s="199"/>
      <c r="AE937"/>
    </row>
    <row r="938" spans="1:31" x14ac:dyDescent="0.2">
      <c r="A938" s="212"/>
      <c r="B938" s="212"/>
      <c r="C938" s="199"/>
      <c r="D938" s="199"/>
      <c r="E938" s="185"/>
      <c r="F938" s="199"/>
      <c r="G938" s="199"/>
      <c r="H938" s="199"/>
      <c r="O938" s="185"/>
      <c r="P938" s="185"/>
      <c r="Q938" s="199"/>
      <c r="AB938" s="199"/>
      <c r="AC938" s="199"/>
      <c r="AE938"/>
    </row>
    <row r="939" spans="1:31" x14ac:dyDescent="0.2">
      <c r="A939" s="212"/>
      <c r="B939" s="212"/>
      <c r="C939" s="199"/>
      <c r="D939" s="199"/>
      <c r="E939" s="185"/>
      <c r="F939" s="199"/>
      <c r="G939" s="199"/>
      <c r="H939"/>
      <c r="O939" s="185"/>
      <c r="P939" s="185"/>
      <c r="Q939" s="199"/>
      <c r="AB939" s="199"/>
      <c r="AC939" s="199"/>
      <c r="AE939"/>
    </row>
    <row r="940" spans="1:31" x14ac:dyDescent="0.2">
      <c r="A940" s="212"/>
      <c r="B940" s="212"/>
      <c r="C940" s="199"/>
      <c r="D940" s="199"/>
      <c r="E940" s="185"/>
      <c r="F940" s="199"/>
      <c r="G940"/>
      <c r="H940"/>
      <c r="O940" s="185"/>
      <c r="P940" s="185"/>
      <c r="Q940" s="199"/>
      <c r="AB940" s="199"/>
      <c r="AC940" s="199"/>
      <c r="AE940"/>
    </row>
    <row r="941" spans="1:31" x14ac:dyDescent="0.2">
      <c r="A941" s="212"/>
      <c r="B941" s="212"/>
      <c r="C941" s="199"/>
      <c r="D941" s="199"/>
      <c r="E941" s="185"/>
      <c r="F941" s="199"/>
      <c r="G941" s="199"/>
      <c r="H941"/>
      <c r="O941" s="185"/>
      <c r="P941" s="185"/>
      <c r="Q941" s="199"/>
      <c r="AB941" s="199"/>
      <c r="AC941" s="199"/>
      <c r="AE941"/>
    </row>
    <row r="942" spans="1:31" x14ac:dyDescent="0.2">
      <c r="A942" s="212"/>
      <c r="B942" s="212"/>
      <c r="C942" s="199"/>
      <c r="D942" s="199"/>
      <c r="E942" s="185"/>
      <c r="F942" s="199"/>
      <c r="G942" s="199"/>
      <c r="H942"/>
      <c r="O942" s="185"/>
      <c r="P942" s="185"/>
      <c r="Q942" s="199"/>
      <c r="AB942" s="199"/>
      <c r="AC942" s="199"/>
      <c r="AE942"/>
    </row>
    <row r="943" spans="1:31" x14ac:dyDescent="0.2">
      <c r="A943" s="212"/>
      <c r="B943" s="212"/>
      <c r="C943" s="199"/>
      <c r="D943" s="199"/>
      <c r="E943" s="185"/>
      <c r="F943" s="199"/>
      <c r="G943" s="199"/>
      <c r="H943" s="199"/>
      <c r="O943" s="185"/>
      <c r="P943" s="185"/>
      <c r="Q943" s="199"/>
      <c r="AB943" s="199"/>
      <c r="AC943" s="199"/>
      <c r="AE943"/>
    </row>
    <row r="944" spans="1:31" x14ac:dyDescent="0.2">
      <c r="A944" s="212"/>
      <c r="B944" s="212"/>
      <c r="C944" s="199"/>
      <c r="D944" s="199"/>
      <c r="E944" s="185"/>
      <c r="F944" s="199"/>
      <c r="G944" s="199"/>
      <c r="H944"/>
      <c r="O944" s="185"/>
      <c r="P944" s="185"/>
      <c r="Q944" s="199"/>
      <c r="AB944" s="199"/>
      <c r="AC944" s="199"/>
      <c r="AE944"/>
    </row>
    <row r="945" spans="1:31" x14ac:dyDescent="0.2">
      <c r="A945" s="212"/>
      <c r="B945" s="212"/>
      <c r="C945" s="199"/>
      <c r="D945" s="199"/>
      <c r="E945" s="185"/>
      <c r="F945" s="199"/>
      <c r="G945" s="199"/>
      <c r="H945" s="199"/>
      <c r="O945" s="185"/>
      <c r="P945" s="185"/>
      <c r="Q945" s="199"/>
      <c r="AB945" s="199"/>
      <c r="AC945" s="199"/>
      <c r="AE945"/>
    </row>
    <row r="946" spans="1:31" x14ac:dyDescent="0.2">
      <c r="A946" s="212"/>
      <c r="B946" s="212"/>
      <c r="C946" s="199"/>
      <c r="D946" s="199"/>
      <c r="E946" s="185"/>
      <c r="F946" s="199"/>
      <c r="G946" s="199"/>
      <c r="H946" s="199"/>
      <c r="O946" s="185"/>
      <c r="P946" s="185"/>
      <c r="Q946" s="199"/>
      <c r="AB946" s="199"/>
      <c r="AC946" s="199"/>
      <c r="AE946"/>
    </row>
    <row r="947" spans="1:31" x14ac:dyDescent="0.2">
      <c r="A947" s="212"/>
      <c r="B947" s="212"/>
      <c r="C947" s="199"/>
      <c r="D947" s="199"/>
      <c r="E947" s="185"/>
      <c r="F947" s="199"/>
      <c r="G947" s="199"/>
      <c r="H947" s="199"/>
      <c r="O947" s="185"/>
      <c r="P947" s="185"/>
      <c r="Q947" s="199"/>
      <c r="AB947" s="199"/>
      <c r="AC947" s="199"/>
      <c r="AE947"/>
    </row>
    <row r="948" spans="1:31" x14ac:dyDescent="0.2">
      <c r="A948" s="212"/>
      <c r="B948" s="212"/>
      <c r="C948" s="199"/>
      <c r="D948" s="199"/>
      <c r="E948" s="185"/>
      <c r="F948" s="199"/>
      <c r="G948"/>
      <c r="H948"/>
      <c r="O948" s="185"/>
      <c r="P948" s="185"/>
      <c r="Q948" s="199"/>
      <c r="AB948" s="199"/>
      <c r="AC948" s="199"/>
      <c r="AE948"/>
    </row>
    <row r="949" spans="1:31" x14ac:dyDescent="0.2">
      <c r="A949" s="212"/>
      <c r="B949" s="212"/>
      <c r="C949" s="199"/>
      <c r="D949" s="199"/>
      <c r="E949" s="185"/>
      <c r="F949" s="199"/>
      <c r="G949" s="199"/>
      <c r="H949"/>
      <c r="O949" s="185"/>
      <c r="P949" s="185"/>
      <c r="Q949" s="199"/>
      <c r="AB949" s="199"/>
      <c r="AC949" s="199"/>
      <c r="AE949"/>
    </row>
    <row r="950" spans="1:31" x14ac:dyDescent="0.2">
      <c r="A950" s="212"/>
      <c r="B950" s="212"/>
      <c r="C950" s="199"/>
      <c r="D950" s="199"/>
      <c r="E950" s="185"/>
      <c r="F950" s="199"/>
      <c r="G950" s="199"/>
      <c r="H950"/>
      <c r="O950" s="185"/>
      <c r="P950" s="185"/>
      <c r="Q950" s="199"/>
      <c r="AB950" s="199"/>
      <c r="AC950" s="199"/>
      <c r="AE950"/>
    </row>
    <row r="951" spans="1:31" x14ac:dyDescent="0.2">
      <c r="A951" s="212"/>
      <c r="B951" s="212"/>
      <c r="C951" s="199"/>
      <c r="D951" s="199"/>
      <c r="E951" s="185"/>
      <c r="F951" s="199"/>
      <c r="G951" s="199"/>
      <c r="H951"/>
      <c r="O951" s="185"/>
      <c r="P951" s="185"/>
      <c r="Q951" s="199"/>
      <c r="AB951" s="199"/>
      <c r="AC951" s="199"/>
      <c r="AE951"/>
    </row>
    <row r="952" spans="1:31" x14ac:dyDescent="0.2">
      <c r="A952" s="212"/>
      <c r="B952" s="212"/>
      <c r="C952" s="199"/>
      <c r="D952" s="199"/>
      <c r="E952" s="185"/>
      <c r="F952" s="199"/>
      <c r="G952" s="199"/>
      <c r="H952"/>
      <c r="O952" s="185"/>
      <c r="P952" s="185"/>
      <c r="Q952" s="199"/>
      <c r="AB952" s="199"/>
      <c r="AC952" s="199"/>
      <c r="AE952"/>
    </row>
    <row r="953" spans="1:31" x14ac:dyDescent="0.2">
      <c r="A953" s="212"/>
      <c r="B953" s="212"/>
      <c r="C953" s="199"/>
      <c r="D953" s="199"/>
      <c r="E953" s="185"/>
      <c r="F953" s="199"/>
      <c r="G953" s="199"/>
      <c r="H953"/>
      <c r="O953" s="185"/>
      <c r="P953" s="185"/>
      <c r="Q953" s="199"/>
      <c r="AB953" s="199"/>
      <c r="AC953" s="199"/>
      <c r="AE953"/>
    </row>
    <row r="954" spans="1:31" x14ac:dyDescent="0.2">
      <c r="A954" s="212"/>
      <c r="B954" s="212"/>
      <c r="C954" s="199"/>
      <c r="D954" s="199"/>
      <c r="E954" s="185"/>
      <c r="F954" s="199"/>
      <c r="G954" s="199"/>
      <c r="H954"/>
      <c r="O954" s="185"/>
      <c r="P954" s="185"/>
      <c r="Q954" s="199"/>
      <c r="AB954" s="199"/>
      <c r="AC954" s="199"/>
      <c r="AE954"/>
    </row>
    <row r="955" spans="1:31" x14ac:dyDescent="0.2">
      <c r="A955" s="212"/>
      <c r="B955" s="212"/>
      <c r="C955" s="199"/>
      <c r="D955" s="199"/>
      <c r="E955" s="185"/>
      <c r="F955" s="199"/>
      <c r="G955" s="199"/>
      <c r="H955"/>
      <c r="O955" s="185"/>
      <c r="P955" s="185"/>
      <c r="Q955" s="199"/>
      <c r="AB955" s="199"/>
      <c r="AC955" s="199"/>
      <c r="AE955"/>
    </row>
    <row r="956" spans="1:31" x14ac:dyDescent="0.2">
      <c r="A956" s="212"/>
      <c r="B956" s="212"/>
      <c r="C956" s="199"/>
      <c r="D956" s="199"/>
      <c r="E956" s="185"/>
      <c r="F956" s="199"/>
      <c r="G956"/>
      <c r="H956"/>
      <c r="O956" s="185"/>
      <c r="P956" s="185"/>
      <c r="Q956" s="199"/>
      <c r="AB956" s="199"/>
      <c r="AC956" s="199"/>
      <c r="AE956"/>
    </row>
    <row r="957" spans="1:31" x14ac:dyDescent="0.2">
      <c r="A957" s="212"/>
      <c r="B957" s="212"/>
      <c r="C957" s="199"/>
      <c r="D957" s="199"/>
      <c r="E957" s="185"/>
      <c r="F957" s="199"/>
      <c r="G957" s="199"/>
      <c r="H957"/>
      <c r="O957" s="185"/>
      <c r="P957" s="185"/>
      <c r="Q957" s="199"/>
      <c r="AB957" s="199"/>
      <c r="AC957" s="199"/>
      <c r="AE957"/>
    </row>
    <row r="958" spans="1:31" x14ac:dyDescent="0.2">
      <c r="A958" s="212"/>
      <c r="B958" s="212"/>
      <c r="C958" s="199"/>
      <c r="D958" s="199"/>
      <c r="E958" s="185"/>
      <c r="F958" s="199"/>
      <c r="G958" s="199"/>
      <c r="H958"/>
      <c r="O958" s="185"/>
      <c r="P958" s="185"/>
      <c r="Q958" s="199"/>
      <c r="AB958" s="199"/>
      <c r="AC958" s="199"/>
      <c r="AE958"/>
    </row>
    <row r="959" spans="1:31" x14ac:dyDescent="0.2">
      <c r="A959" s="212"/>
      <c r="B959" s="212"/>
      <c r="C959" s="199"/>
      <c r="D959" s="199"/>
      <c r="E959" s="185"/>
      <c r="F959" s="199"/>
      <c r="G959"/>
      <c r="H959"/>
      <c r="O959" s="185"/>
      <c r="P959" s="185"/>
      <c r="Q959" s="199"/>
      <c r="AB959" s="199"/>
      <c r="AC959" s="199"/>
      <c r="AE959"/>
    </row>
    <row r="960" spans="1:31" x14ac:dyDescent="0.2">
      <c r="A960" s="212"/>
      <c r="B960" s="212"/>
      <c r="C960" s="199"/>
      <c r="D960" s="199"/>
      <c r="E960" s="185"/>
      <c r="F960" s="199"/>
      <c r="G960" s="199"/>
      <c r="H960"/>
      <c r="O960" s="185"/>
      <c r="P960" s="185"/>
      <c r="Q960" s="199"/>
      <c r="AB960" s="199"/>
      <c r="AC960" s="199"/>
      <c r="AE960"/>
    </row>
    <row r="961" spans="1:31" x14ac:dyDescent="0.2">
      <c r="A961" s="212"/>
      <c r="B961" s="212"/>
      <c r="C961" s="199"/>
      <c r="D961" s="199"/>
      <c r="E961" s="185"/>
      <c r="F961" s="199"/>
      <c r="G961"/>
      <c r="H961"/>
      <c r="O961" s="185"/>
      <c r="P961" s="185"/>
      <c r="Q961" s="199"/>
      <c r="AB961" s="199"/>
      <c r="AC961" s="199"/>
      <c r="AE961"/>
    </row>
    <row r="962" spans="1:31" x14ac:dyDescent="0.2">
      <c r="A962" s="212"/>
      <c r="B962" s="212"/>
      <c r="C962" s="199"/>
      <c r="D962" s="199"/>
      <c r="E962" s="185"/>
      <c r="F962" s="199"/>
      <c r="G962"/>
      <c r="H962"/>
      <c r="O962" s="185"/>
      <c r="P962" s="185"/>
      <c r="Q962" s="199"/>
      <c r="AB962" s="199"/>
      <c r="AC962" s="199"/>
      <c r="AE962"/>
    </row>
    <row r="963" spans="1:31" x14ac:dyDescent="0.2">
      <c r="A963" s="212"/>
      <c r="B963" s="212"/>
      <c r="C963" s="199"/>
      <c r="D963" s="199"/>
      <c r="E963" s="185"/>
      <c r="F963" s="199"/>
      <c r="G963"/>
      <c r="H963"/>
      <c r="O963" s="185"/>
      <c r="P963" s="185"/>
      <c r="Q963" s="199"/>
      <c r="AB963" s="199"/>
      <c r="AC963" s="199"/>
      <c r="AE963"/>
    </row>
    <row r="964" spans="1:31" x14ac:dyDescent="0.2">
      <c r="A964" s="212"/>
      <c r="B964" s="212"/>
      <c r="C964" s="199"/>
      <c r="D964" s="199"/>
      <c r="E964" s="185"/>
      <c r="F964" s="199"/>
      <c r="G964" s="199"/>
      <c r="H964"/>
      <c r="O964" s="185"/>
      <c r="P964" s="185"/>
      <c r="Q964" s="199"/>
      <c r="AB964" s="199"/>
      <c r="AC964" s="199"/>
      <c r="AE964"/>
    </row>
    <row r="965" spans="1:31" x14ac:dyDescent="0.2">
      <c r="A965" s="212"/>
      <c r="B965" s="212"/>
      <c r="C965" s="199"/>
      <c r="D965" s="199"/>
      <c r="E965" s="185"/>
      <c r="F965" s="199"/>
      <c r="G965" s="199"/>
      <c r="H965"/>
      <c r="O965" s="185"/>
      <c r="P965" s="185"/>
      <c r="Q965" s="199"/>
      <c r="AB965" s="199"/>
      <c r="AC965" s="199"/>
      <c r="AE965"/>
    </row>
    <row r="966" spans="1:31" x14ac:dyDescent="0.2">
      <c r="A966" s="212"/>
      <c r="B966" s="212"/>
      <c r="C966" s="199"/>
      <c r="D966" s="199"/>
      <c r="E966" s="185"/>
      <c r="F966" s="199"/>
      <c r="G966" s="199"/>
      <c r="H966"/>
      <c r="O966" s="185"/>
      <c r="P966" s="185"/>
      <c r="Q966" s="199"/>
      <c r="AB966" s="199"/>
      <c r="AC966" s="199"/>
      <c r="AE966"/>
    </row>
    <row r="967" spans="1:31" x14ac:dyDescent="0.2">
      <c r="A967" s="212"/>
      <c r="B967" s="212"/>
      <c r="C967" s="199"/>
      <c r="D967" s="199"/>
      <c r="E967" s="185"/>
      <c r="F967" s="199"/>
      <c r="G967"/>
      <c r="H967"/>
      <c r="O967" s="185"/>
      <c r="P967" s="185"/>
      <c r="Q967" s="199"/>
      <c r="AB967" s="199"/>
      <c r="AC967" s="199"/>
      <c r="AE967"/>
    </row>
    <row r="968" spans="1:31" x14ac:dyDescent="0.2">
      <c r="A968" s="212"/>
      <c r="B968" s="212"/>
      <c r="C968" s="199"/>
      <c r="D968" s="199"/>
      <c r="E968" s="185"/>
      <c r="F968" s="199"/>
      <c r="G968" s="199"/>
      <c r="H968" s="199"/>
      <c r="O968" s="185"/>
      <c r="P968" s="185"/>
      <c r="Q968" s="199"/>
      <c r="AB968" s="199"/>
      <c r="AC968" s="199"/>
      <c r="AE968"/>
    </row>
    <row r="969" spans="1:31" x14ac:dyDescent="0.2">
      <c r="A969" s="212"/>
      <c r="B969" s="212"/>
      <c r="C969" s="199"/>
      <c r="D969" s="199"/>
      <c r="E969" s="185"/>
      <c r="F969" s="199"/>
      <c r="G969" s="199"/>
      <c r="H969"/>
      <c r="O969" s="185"/>
      <c r="P969" s="185"/>
      <c r="Q969" s="199"/>
      <c r="AB969" s="199"/>
      <c r="AC969" s="199"/>
      <c r="AE969"/>
    </row>
    <row r="970" spans="1:31" x14ac:dyDescent="0.2">
      <c r="A970" s="212"/>
      <c r="B970" s="212"/>
      <c r="C970" s="199"/>
      <c r="D970" s="199"/>
      <c r="E970" s="185"/>
      <c r="F970" s="199"/>
      <c r="G970" s="199"/>
      <c r="H970"/>
      <c r="O970" s="185"/>
      <c r="P970" s="185"/>
      <c r="Q970" s="199"/>
      <c r="AB970" s="199"/>
      <c r="AC970" s="199"/>
      <c r="AE970"/>
    </row>
    <row r="971" spans="1:31" x14ac:dyDescent="0.2">
      <c r="A971" s="212"/>
      <c r="B971" s="212"/>
      <c r="C971" s="199"/>
      <c r="D971" s="199"/>
      <c r="E971" s="185"/>
      <c r="F971" s="199"/>
      <c r="G971" s="199"/>
      <c r="H971"/>
      <c r="O971" s="185"/>
      <c r="P971" s="185"/>
      <c r="Q971" s="199"/>
      <c r="AB971" s="199"/>
      <c r="AC971" s="199"/>
      <c r="AE971"/>
    </row>
    <row r="972" spans="1:31" x14ac:dyDescent="0.2">
      <c r="A972" s="212"/>
      <c r="B972" s="212"/>
      <c r="C972" s="199"/>
      <c r="D972" s="199"/>
      <c r="E972" s="185"/>
      <c r="F972" s="199"/>
      <c r="G972" s="199"/>
      <c r="H972"/>
      <c r="O972" s="185"/>
      <c r="P972" s="185"/>
      <c r="Q972" s="199"/>
      <c r="AB972" s="199"/>
      <c r="AC972" s="199"/>
      <c r="AE972"/>
    </row>
    <row r="973" spans="1:31" x14ac:dyDescent="0.2">
      <c r="A973" s="212"/>
      <c r="B973" s="212"/>
      <c r="C973" s="199"/>
      <c r="D973" s="199"/>
      <c r="E973" s="185"/>
      <c r="F973" s="199"/>
      <c r="G973" s="199"/>
      <c r="H973"/>
      <c r="O973" s="185"/>
      <c r="P973" s="185"/>
      <c r="Q973" s="199"/>
      <c r="AB973" s="199"/>
      <c r="AC973" s="199"/>
      <c r="AE973"/>
    </row>
    <row r="974" spans="1:31" x14ac:dyDescent="0.2">
      <c r="A974" s="212"/>
      <c r="B974" s="212"/>
      <c r="C974" s="199"/>
      <c r="D974" s="199"/>
      <c r="E974" s="185"/>
      <c r="F974" s="199"/>
      <c r="G974" s="199"/>
      <c r="H974"/>
      <c r="O974" s="185"/>
      <c r="P974" s="185"/>
      <c r="Q974" s="199"/>
      <c r="AB974" s="199"/>
      <c r="AC974" s="199"/>
      <c r="AE974"/>
    </row>
    <row r="975" spans="1:31" x14ac:dyDescent="0.2">
      <c r="A975" s="212"/>
      <c r="B975" s="212"/>
      <c r="C975" s="199"/>
      <c r="D975" s="199"/>
      <c r="E975" s="185"/>
      <c r="F975" s="199"/>
      <c r="G975" s="199"/>
      <c r="H975"/>
      <c r="O975" s="185"/>
      <c r="P975" s="185"/>
      <c r="Q975" s="199"/>
      <c r="AB975" s="199"/>
      <c r="AC975" s="199"/>
      <c r="AE975"/>
    </row>
    <row r="976" spans="1:31" x14ac:dyDescent="0.2">
      <c r="A976" s="212"/>
      <c r="B976" s="212"/>
      <c r="C976" s="199"/>
      <c r="D976" s="199"/>
      <c r="E976" s="185"/>
      <c r="F976" s="199"/>
      <c r="G976" s="199"/>
      <c r="H976"/>
      <c r="O976" s="185"/>
      <c r="P976" s="185"/>
      <c r="Q976" s="199"/>
      <c r="AB976" s="199"/>
      <c r="AC976" s="199"/>
      <c r="AE976"/>
    </row>
    <row r="977" spans="1:31" x14ac:dyDescent="0.2">
      <c r="A977" s="212"/>
      <c r="B977" s="212"/>
      <c r="C977" s="199"/>
      <c r="D977" s="199"/>
      <c r="E977" s="185"/>
      <c r="F977" s="199"/>
      <c r="G977"/>
      <c r="H977"/>
      <c r="O977" s="185"/>
      <c r="P977" s="185"/>
      <c r="Q977" s="199"/>
      <c r="AB977" s="199"/>
      <c r="AC977" s="199"/>
      <c r="AE977"/>
    </row>
    <row r="978" spans="1:31" x14ac:dyDescent="0.2">
      <c r="A978" s="212"/>
      <c r="B978" s="212"/>
      <c r="C978" s="199"/>
      <c r="D978" s="199"/>
      <c r="E978" s="185"/>
      <c r="F978" s="199"/>
      <c r="G978"/>
      <c r="H978"/>
      <c r="O978" s="185"/>
      <c r="P978" s="185"/>
      <c r="Q978" s="199"/>
      <c r="AB978" s="199"/>
      <c r="AC978" s="199"/>
      <c r="AE978"/>
    </row>
    <row r="979" spans="1:31" x14ac:dyDescent="0.2">
      <c r="A979" s="212"/>
      <c r="B979" s="212"/>
      <c r="C979" s="199"/>
      <c r="D979" s="199"/>
      <c r="E979" s="185"/>
      <c r="F979" s="199"/>
      <c r="G979" s="199"/>
      <c r="H979" s="199"/>
      <c r="O979" s="185"/>
      <c r="P979" s="185"/>
      <c r="Q979" s="199"/>
      <c r="AB979" s="199"/>
      <c r="AC979" s="199"/>
      <c r="AE979"/>
    </row>
    <row r="980" spans="1:31" x14ac:dyDescent="0.2">
      <c r="A980" s="212"/>
      <c r="B980" s="212"/>
      <c r="C980" s="199"/>
      <c r="D980" s="199"/>
      <c r="E980" s="185"/>
      <c r="F980" s="199"/>
      <c r="G980"/>
      <c r="H980"/>
      <c r="O980" s="185"/>
      <c r="P980" s="185"/>
      <c r="Q980" s="199"/>
      <c r="AB980" s="199"/>
      <c r="AC980" s="199"/>
      <c r="AE980"/>
    </row>
    <row r="981" spans="1:31" x14ac:dyDescent="0.2">
      <c r="A981" s="212"/>
      <c r="B981" s="212"/>
      <c r="C981" s="199"/>
      <c r="D981" s="199"/>
      <c r="E981" s="185"/>
      <c r="F981" s="199"/>
      <c r="G981" s="199"/>
      <c r="H981"/>
      <c r="O981" s="185"/>
      <c r="P981" s="185"/>
      <c r="Q981" s="199"/>
      <c r="AB981" s="199"/>
      <c r="AC981" s="199"/>
      <c r="AE981"/>
    </row>
    <row r="982" spans="1:31" x14ac:dyDescent="0.2">
      <c r="A982" s="212"/>
      <c r="B982" s="212"/>
      <c r="C982" s="199"/>
      <c r="D982" s="199"/>
      <c r="E982" s="185"/>
      <c r="F982" s="199"/>
      <c r="G982" s="199"/>
      <c r="H982"/>
      <c r="O982" s="185"/>
      <c r="P982" s="185"/>
      <c r="Q982" s="199"/>
      <c r="AB982" s="199"/>
      <c r="AC982" s="199"/>
      <c r="AE982"/>
    </row>
    <row r="983" spans="1:31" x14ac:dyDescent="0.2">
      <c r="A983" s="212"/>
      <c r="B983" s="212"/>
      <c r="C983" s="199"/>
      <c r="D983" s="199"/>
      <c r="E983" s="185"/>
      <c r="F983" s="199"/>
      <c r="G983" s="199"/>
      <c r="H983"/>
      <c r="O983" s="185"/>
      <c r="P983" s="185"/>
      <c r="Q983" s="199"/>
      <c r="AB983" s="199"/>
      <c r="AC983" s="199"/>
      <c r="AE983"/>
    </row>
    <row r="984" spans="1:31" x14ac:dyDescent="0.2">
      <c r="A984" s="212"/>
      <c r="B984" s="212"/>
      <c r="C984" s="199"/>
      <c r="D984" s="199"/>
      <c r="E984" s="185"/>
      <c r="F984" s="199"/>
      <c r="G984" s="199"/>
      <c r="H984"/>
      <c r="O984" s="185"/>
      <c r="P984" s="185"/>
      <c r="Q984" s="199"/>
      <c r="AB984" s="199"/>
      <c r="AC984" s="199"/>
      <c r="AE984"/>
    </row>
    <row r="985" spans="1:31" x14ac:dyDescent="0.2">
      <c r="A985" s="212"/>
      <c r="B985" s="212"/>
      <c r="C985" s="199"/>
      <c r="D985" s="199"/>
      <c r="E985" s="185"/>
      <c r="F985" s="199"/>
      <c r="G985" s="199"/>
      <c r="H985"/>
      <c r="O985" s="185"/>
      <c r="P985" s="185"/>
      <c r="Q985" s="199"/>
      <c r="AB985" s="199"/>
      <c r="AC985" s="199"/>
      <c r="AE985"/>
    </row>
    <row r="986" spans="1:31" x14ac:dyDescent="0.2">
      <c r="A986" s="212"/>
      <c r="B986" s="212"/>
      <c r="C986" s="199"/>
      <c r="D986" s="199"/>
      <c r="E986" s="185"/>
      <c r="F986" s="199"/>
      <c r="G986" s="199"/>
      <c r="H986"/>
      <c r="O986" s="185"/>
      <c r="P986" s="185"/>
      <c r="Q986" s="199"/>
      <c r="AB986" s="199"/>
      <c r="AC986" s="199"/>
      <c r="AE986"/>
    </row>
    <row r="987" spans="1:31" x14ac:dyDescent="0.2">
      <c r="A987" s="212"/>
      <c r="B987" s="212"/>
      <c r="C987" s="199"/>
      <c r="D987" s="199"/>
      <c r="E987" s="185"/>
      <c r="F987" s="199"/>
      <c r="G987" s="199"/>
      <c r="H987"/>
      <c r="O987" s="185"/>
      <c r="P987" s="185"/>
      <c r="Q987" s="199"/>
      <c r="AB987" s="199"/>
      <c r="AC987" s="199"/>
      <c r="AE987"/>
    </row>
    <row r="988" spans="1:31" x14ac:dyDescent="0.2">
      <c r="A988" s="212"/>
      <c r="B988" s="212"/>
      <c r="C988" s="199"/>
      <c r="D988" s="199"/>
      <c r="E988" s="185"/>
      <c r="F988" s="199"/>
      <c r="G988" s="199"/>
      <c r="H988"/>
      <c r="O988" s="185"/>
      <c r="P988" s="185"/>
      <c r="Q988" s="199"/>
      <c r="AB988" s="199"/>
      <c r="AC988" s="199"/>
      <c r="AE988"/>
    </row>
    <row r="989" spans="1:31" x14ac:dyDescent="0.2">
      <c r="A989" s="212"/>
      <c r="B989" s="212"/>
      <c r="C989" s="199"/>
      <c r="D989" s="199"/>
      <c r="E989" s="185"/>
      <c r="F989" s="199"/>
      <c r="G989"/>
      <c r="H989"/>
      <c r="O989" s="185"/>
      <c r="P989" s="185"/>
      <c r="Q989" s="199"/>
      <c r="AB989" s="199"/>
      <c r="AC989" s="199"/>
      <c r="AE989"/>
    </row>
    <row r="990" spans="1:31" x14ac:dyDescent="0.2">
      <c r="A990" s="212"/>
      <c r="B990" s="212"/>
      <c r="C990" s="199"/>
      <c r="D990" s="199"/>
      <c r="E990" s="185"/>
      <c r="F990" s="199"/>
      <c r="G990" s="199"/>
      <c r="H990"/>
      <c r="O990" s="185"/>
      <c r="P990" s="185"/>
      <c r="Q990" s="199"/>
      <c r="AB990" s="199"/>
      <c r="AC990" s="199"/>
      <c r="AE990"/>
    </row>
    <row r="991" spans="1:31" x14ac:dyDescent="0.2">
      <c r="A991" s="212"/>
      <c r="B991" s="212"/>
      <c r="C991" s="199"/>
      <c r="D991" s="199"/>
      <c r="E991" s="185"/>
      <c r="F991" s="199"/>
      <c r="G991"/>
      <c r="H991"/>
      <c r="O991" s="185"/>
      <c r="P991" s="185"/>
      <c r="Q991" s="199"/>
      <c r="AB991" s="199"/>
      <c r="AC991" s="199"/>
      <c r="AE991"/>
    </row>
    <row r="992" spans="1:31" x14ac:dyDescent="0.2">
      <c r="A992" s="212"/>
      <c r="B992" s="212"/>
      <c r="C992" s="199"/>
      <c r="D992" s="199"/>
      <c r="E992" s="185"/>
      <c r="F992" s="199"/>
      <c r="G992" s="199"/>
      <c r="H992"/>
      <c r="O992" s="185"/>
      <c r="P992" s="185"/>
      <c r="Q992" s="199"/>
      <c r="AB992" s="199"/>
      <c r="AC992" s="199"/>
      <c r="AE992"/>
    </row>
    <row r="993" spans="1:31" x14ac:dyDescent="0.2">
      <c r="A993" s="212"/>
      <c r="B993" s="212"/>
      <c r="C993" s="199"/>
      <c r="D993" s="199"/>
      <c r="E993" s="185"/>
      <c r="F993" s="199"/>
      <c r="G993" s="199"/>
      <c r="H993"/>
      <c r="O993" s="185"/>
      <c r="P993" s="185"/>
      <c r="Q993" s="199"/>
      <c r="AB993" s="199"/>
      <c r="AC993" s="199"/>
      <c r="AE993"/>
    </row>
    <row r="994" spans="1:31" x14ac:dyDescent="0.2">
      <c r="A994" s="212"/>
      <c r="B994" s="212"/>
      <c r="C994" s="199"/>
      <c r="D994" s="199"/>
      <c r="E994" s="185"/>
      <c r="F994" s="199"/>
      <c r="G994" s="199"/>
      <c r="H994" s="199"/>
      <c r="O994" s="185"/>
      <c r="P994" s="185"/>
      <c r="Q994" s="199"/>
      <c r="AB994" s="199"/>
      <c r="AC994" s="199"/>
      <c r="AE994"/>
    </row>
    <row r="995" spans="1:31" x14ac:dyDescent="0.2">
      <c r="A995" s="212"/>
      <c r="B995" s="212"/>
      <c r="C995" s="199"/>
      <c r="D995" s="199"/>
      <c r="E995" s="185"/>
      <c r="F995" s="199"/>
      <c r="G995" s="199"/>
      <c r="H995"/>
      <c r="O995" s="185"/>
      <c r="P995" s="185"/>
      <c r="Q995" s="199"/>
      <c r="AB995" s="199"/>
      <c r="AC995" s="199"/>
      <c r="AE995"/>
    </row>
    <row r="996" spans="1:31" x14ac:dyDescent="0.2">
      <c r="A996" s="212"/>
      <c r="B996" s="212"/>
      <c r="C996" s="199"/>
      <c r="D996" s="199"/>
      <c r="E996" s="185"/>
      <c r="F996" s="199"/>
      <c r="G996"/>
      <c r="H996"/>
      <c r="O996" s="185"/>
      <c r="P996" s="185"/>
      <c r="Q996" s="199"/>
      <c r="AB996" s="199"/>
      <c r="AC996" s="199"/>
      <c r="AE996"/>
    </row>
    <row r="997" spans="1:31" x14ac:dyDescent="0.2">
      <c r="A997" s="212"/>
      <c r="B997" s="212"/>
      <c r="C997" s="199"/>
      <c r="D997" s="199"/>
      <c r="E997" s="185"/>
      <c r="F997" s="199"/>
      <c r="G997" s="199"/>
      <c r="H997"/>
      <c r="O997" s="185"/>
      <c r="P997" s="185"/>
      <c r="Q997" s="199"/>
      <c r="AB997" s="199"/>
      <c r="AC997" s="199"/>
      <c r="AE997"/>
    </row>
    <row r="998" spans="1:31" x14ac:dyDescent="0.2">
      <c r="A998" s="212"/>
      <c r="B998" s="212"/>
      <c r="C998" s="199"/>
      <c r="D998" s="199"/>
      <c r="E998" s="185"/>
      <c r="F998" s="199"/>
      <c r="G998" s="199"/>
      <c r="H998"/>
      <c r="O998" s="185"/>
      <c r="P998" s="185"/>
      <c r="Q998" s="199"/>
      <c r="AB998" s="199"/>
      <c r="AC998" s="199"/>
      <c r="AE998"/>
    </row>
    <row r="999" spans="1:31" x14ac:dyDescent="0.2">
      <c r="A999" s="212"/>
      <c r="B999" s="212"/>
      <c r="C999" s="199"/>
      <c r="D999" s="199"/>
      <c r="E999" s="185"/>
      <c r="F999" s="199"/>
      <c r="G999" s="199"/>
      <c r="H999"/>
      <c r="O999" s="185"/>
      <c r="P999" s="185"/>
      <c r="Q999" s="199"/>
      <c r="AB999" s="199"/>
      <c r="AC999" s="199"/>
      <c r="AE999"/>
    </row>
    <row r="1000" spans="1:31" x14ac:dyDescent="0.2">
      <c r="A1000" s="212"/>
      <c r="B1000" s="212"/>
      <c r="C1000" s="199"/>
      <c r="D1000" s="199"/>
      <c r="E1000" s="185"/>
      <c r="F1000" s="199"/>
      <c r="G1000" s="199"/>
      <c r="H1000"/>
      <c r="O1000" s="185"/>
      <c r="P1000" s="185"/>
      <c r="Q1000" s="199"/>
      <c r="AB1000" s="199"/>
      <c r="AC1000" s="199"/>
      <c r="AE1000"/>
    </row>
    <row r="1001" spans="1:31" x14ac:dyDescent="0.2">
      <c r="A1001" s="212"/>
      <c r="B1001" s="212"/>
      <c r="C1001" s="199"/>
      <c r="D1001" s="199"/>
      <c r="E1001" s="185"/>
      <c r="F1001" s="199"/>
      <c r="G1001" s="199"/>
      <c r="H1001" s="199"/>
      <c r="O1001" s="185"/>
      <c r="P1001" s="185"/>
      <c r="Q1001" s="199"/>
      <c r="AB1001" s="199"/>
      <c r="AC1001" s="199"/>
      <c r="AE1001"/>
    </row>
    <row r="1002" spans="1:31" x14ac:dyDescent="0.2">
      <c r="A1002" s="212"/>
      <c r="B1002" s="212"/>
      <c r="C1002" s="199"/>
      <c r="D1002" s="199"/>
      <c r="E1002" s="185"/>
      <c r="F1002" s="199"/>
      <c r="G1002" s="199"/>
      <c r="H1002"/>
      <c r="O1002" s="185"/>
      <c r="P1002" s="185"/>
      <c r="Q1002" s="199"/>
      <c r="AB1002" s="199"/>
      <c r="AC1002" s="199"/>
      <c r="AE1002"/>
    </row>
    <row r="1003" spans="1:31" x14ac:dyDescent="0.2">
      <c r="A1003" s="212"/>
      <c r="B1003" s="212"/>
      <c r="C1003" s="199"/>
      <c r="D1003" s="199"/>
      <c r="E1003" s="185"/>
      <c r="F1003" s="199"/>
      <c r="G1003" s="199"/>
      <c r="H1003"/>
      <c r="O1003" s="185"/>
      <c r="P1003" s="185"/>
      <c r="Q1003" s="199"/>
      <c r="AB1003" s="199"/>
      <c r="AC1003" s="199"/>
      <c r="AE1003"/>
    </row>
    <row r="1004" spans="1:31" x14ac:dyDescent="0.2">
      <c r="A1004" s="212"/>
      <c r="B1004" s="212"/>
      <c r="C1004" s="199"/>
      <c r="D1004" s="199"/>
      <c r="E1004" s="185"/>
      <c r="F1004" s="199"/>
      <c r="G1004" s="199"/>
      <c r="H1004"/>
      <c r="O1004" s="185"/>
      <c r="P1004" s="185"/>
      <c r="Q1004" s="199"/>
      <c r="AB1004" s="199"/>
      <c r="AC1004" s="199"/>
      <c r="AE1004"/>
    </row>
    <row r="1005" spans="1:31" x14ac:dyDescent="0.2">
      <c r="A1005" s="212"/>
      <c r="B1005" s="212"/>
      <c r="C1005" s="199"/>
      <c r="D1005" s="199"/>
      <c r="E1005" s="185"/>
      <c r="F1005" s="199"/>
      <c r="G1005" s="199"/>
      <c r="H1005"/>
      <c r="O1005" s="185"/>
      <c r="P1005" s="185"/>
      <c r="Q1005" s="199"/>
      <c r="AB1005" s="199"/>
      <c r="AC1005" s="199"/>
      <c r="AE1005"/>
    </row>
    <row r="1006" spans="1:31" x14ac:dyDescent="0.2">
      <c r="A1006" s="212"/>
      <c r="B1006" s="212"/>
      <c r="C1006" s="199"/>
      <c r="D1006" s="199"/>
      <c r="E1006" s="185"/>
      <c r="F1006" s="199"/>
      <c r="G1006" s="199"/>
      <c r="H1006"/>
      <c r="O1006" s="185"/>
      <c r="P1006" s="185"/>
      <c r="Q1006" s="199"/>
      <c r="AB1006" s="199"/>
      <c r="AC1006" s="199"/>
      <c r="AE1006"/>
    </row>
    <row r="1007" spans="1:31" x14ac:dyDescent="0.2">
      <c r="A1007" s="212"/>
      <c r="B1007" s="212"/>
      <c r="C1007" s="199"/>
      <c r="D1007" s="199"/>
      <c r="E1007" s="185"/>
      <c r="F1007" s="199"/>
      <c r="G1007" s="199"/>
      <c r="H1007"/>
      <c r="O1007" s="185"/>
      <c r="P1007" s="185"/>
      <c r="Q1007" s="199"/>
      <c r="AB1007" s="199"/>
      <c r="AC1007" s="199"/>
      <c r="AE1007"/>
    </row>
    <row r="1008" spans="1:31" x14ac:dyDescent="0.2">
      <c r="A1008" s="212"/>
      <c r="B1008" s="212"/>
      <c r="C1008" s="199"/>
      <c r="D1008" s="199"/>
      <c r="E1008" s="185"/>
      <c r="F1008" s="199"/>
      <c r="G1008" s="199"/>
      <c r="H1008"/>
      <c r="O1008" s="185"/>
      <c r="P1008" s="185"/>
      <c r="Q1008" s="199"/>
      <c r="AB1008" s="199"/>
      <c r="AC1008" s="199"/>
      <c r="AE1008"/>
    </row>
    <row r="1009" spans="1:31" x14ac:dyDescent="0.2">
      <c r="A1009" s="212"/>
      <c r="B1009" s="212"/>
      <c r="C1009" s="199"/>
      <c r="D1009" s="199"/>
      <c r="E1009" s="185"/>
      <c r="F1009" s="199"/>
      <c r="G1009" s="199"/>
      <c r="H1009"/>
      <c r="O1009" s="185"/>
      <c r="P1009" s="185"/>
      <c r="Q1009" s="199"/>
      <c r="AB1009" s="199"/>
      <c r="AC1009" s="199"/>
      <c r="AE1009"/>
    </row>
    <row r="1010" spans="1:31" x14ac:dyDescent="0.2">
      <c r="A1010" s="212"/>
      <c r="B1010" s="212"/>
      <c r="C1010" s="199"/>
      <c r="D1010" s="199"/>
      <c r="E1010" s="185"/>
      <c r="F1010" s="199"/>
      <c r="G1010"/>
      <c r="H1010"/>
      <c r="O1010" s="185"/>
      <c r="P1010" s="185"/>
      <c r="Q1010" s="199"/>
      <c r="AB1010" s="199"/>
      <c r="AC1010" s="199"/>
      <c r="AE1010"/>
    </row>
    <row r="1011" spans="1:31" x14ac:dyDescent="0.2">
      <c r="A1011" s="212"/>
      <c r="B1011" s="212"/>
      <c r="C1011" s="199"/>
      <c r="D1011" s="199"/>
      <c r="E1011" s="185"/>
      <c r="F1011" s="199"/>
      <c r="G1011" s="199"/>
      <c r="H1011"/>
      <c r="O1011" s="185"/>
      <c r="P1011" s="185"/>
      <c r="Q1011" s="199"/>
      <c r="AB1011" s="199"/>
      <c r="AC1011" s="199"/>
      <c r="AE1011"/>
    </row>
    <row r="1012" spans="1:31" x14ac:dyDescent="0.2">
      <c r="A1012" s="212"/>
      <c r="B1012" s="212"/>
      <c r="C1012" s="199"/>
      <c r="D1012" s="199"/>
      <c r="E1012" s="185"/>
      <c r="F1012" s="199"/>
      <c r="G1012" s="199"/>
      <c r="H1012" s="199"/>
      <c r="O1012" s="185"/>
      <c r="P1012" s="185"/>
      <c r="Q1012" s="199"/>
      <c r="AB1012" s="199"/>
      <c r="AC1012" s="199"/>
      <c r="AE1012"/>
    </row>
    <row r="1013" spans="1:31" x14ac:dyDescent="0.2">
      <c r="A1013" s="212"/>
      <c r="B1013" s="212"/>
      <c r="C1013" s="199"/>
      <c r="D1013" s="199"/>
      <c r="E1013" s="185"/>
      <c r="F1013" s="199"/>
      <c r="G1013" s="199"/>
      <c r="H1013"/>
      <c r="O1013" s="185"/>
      <c r="P1013" s="185"/>
      <c r="Q1013" s="199"/>
      <c r="AB1013" s="199"/>
      <c r="AC1013" s="199"/>
      <c r="AE1013"/>
    </row>
    <row r="1014" spans="1:31" x14ac:dyDescent="0.2">
      <c r="A1014" s="212"/>
      <c r="B1014" s="212"/>
      <c r="C1014" s="199"/>
      <c r="D1014" s="199"/>
      <c r="E1014" s="185"/>
      <c r="F1014" s="199"/>
      <c r="G1014" s="199"/>
      <c r="H1014"/>
      <c r="O1014" s="185"/>
      <c r="P1014" s="185"/>
      <c r="Q1014" s="199"/>
      <c r="AB1014" s="199"/>
      <c r="AC1014" s="199"/>
      <c r="AE1014"/>
    </row>
    <row r="1015" spans="1:31" x14ac:dyDescent="0.2">
      <c r="A1015" s="212"/>
      <c r="B1015" s="212"/>
      <c r="C1015" s="199"/>
      <c r="D1015" s="199"/>
      <c r="E1015" s="185"/>
      <c r="F1015" s="199"/>
      <c r="G1015"/>
      <c r="H1015"/>
      <c r="O1015" s="185"/>
      <c r="P1015" s="185"/>
      <c r="Q1015" s="199"/>
      <c r="AB1015" s="199"/>
      <c r="AC1015" s="199"/>
      <c r="AE1015"/>
    </row>
    <row r="1016" spans="1:31" x14ac:dyDescent="0.2">
      <c r="A1016" s="212"/>
      <c r="B1016" s="212"/>
      <c r="C1016" s="199"/>
      <c r="D1016" s="199"/>
      <c r="E1016" s="185"/>
      <c r="F1016" s="199"/>
      <c r="G1016"/>
      <c r="H1016"/>
      <c r="O1016" s="185"/>
      <c r="P1016" s="185"/>
      <c r="Q1016" s="199"/>
      <c r="AB1016" s="199"/>
      <c r="AC1016" s="199"/>
      <c r="AE1016"/>
    </row>
    <row r="1017" spans="1:31" x14ac:dyDescent="0.2">
      <c r="A1017" s="212"/>
      <c r="B1017" s="212"/>
      <c r="C1017" s="199"/>
      <c r="D1017" s="199"/>
      <c r="E1017" s="185"/>
      <c r="F1017" s="199"/>
      <c r="G1017" s="199"/>
      <c r="H1017"/>
      <c r="O1017" s="185"/>
      <c r="P1017" s="185"/>
      <c r="Q1017" s="199"/>
      <c r="AB1017" s="199"/>
      <c r="AC1017" s="199"/>
      <c r="AE1017"/>
    </row>
    <row r="1018" spans="1:31" x14ac:dyDescent="0.2">
      <c r="A1018" s="212"/>
      <c r="B1018" s="212"/>
      <c r="C1018" s="199"/>
      <c r="D1018" s="199"/>
      <c r="E1018" s="185"/>
      <c r="F1018" s="199"/>
      <c r="G1018" s="199"/>
      <c r="H1018"/>
      <c r="O1018" s="185"/>
      <c r="P1018" s="185"/>
      <c r="Q1018" s="199"/>
      <c r="AB1018" s="199"/>
      <c r="AC1018" s="199"/>
      <c r="AE1018"/>
    </row>
    <row r="1019" spans="1:31" x14ac:dyDescent="0.2">
      <c r="A1019" s="212"/>
      <c r="B1019" s="212"/>
      <c r="C1019" s="199"/>
      <c r="D1019" s="199"/>
      <c r="E1019" s="185"/>
      <c r="F1019" s="199"/>
      <c r="G1019" s="199"/>
      <c r="H1019" s="199"/>
      <c r="O1019" s="185"/>
      <c r="P1019" s="185"/>
      <c r="Q1019" s="199"/>
      <c r="AB1019" s="199"/>
      <c r="AC1019" s="199"/>
      <c r="AE1019"/>
    </row>
    <row r="1020" spans="1:31" x14ac:dyDescent="0.2">
      <c r="A1020" s="212"/>
      <c r="B1020" s="212"/>
      <c r="C1020" s="199"/>
      <c r="D1020" s="199"/>
      <c r="E1020" s="185"/>
      <c r="F1020" s="199"/>
      <c r="G1020" s="199"/>
      <c r="H1020"/>
      <c r="O1020" s="185"/>
      <c r="P1020" s="185"/>
      <c r="Q1020" s="199"/>
      <c r="AB1020" s="199"/>
      <c r="AC1020" s="199"/>
      <c r="AE1020"/>
    </row>
    <row r="1021" spans="1:31" x14ac:dyDescent="0.2">
      <c r="A1021" s="212"/>
      <c r="B1021" s="212"/>
      <c r="C1021" s="199"/>
      <c r="D1021" s="199"/>
      <c r="E1021" s="185"/>
      <c r="F1021" s="199"/>
      <c r="G1021" s="199"/>
      <c r="H1021"/>
      <c r="O1021" s="185"/>
      <c r="P1021" s="185"/>
      <c r="Q1021" s="199"/>
      <c r="AB1021" s="199"/>
      <c r="AC1021" s="199"/>
      <c r="AE1021"/>
    </row>
    <row r="1022" spans="1:31" x14ac:dyDescent="0.2">
      <c r="A1022" s="212"/>
      <c r="B1022" s="212"/>
      <c r="C1022" s="199"/>
      <c r="D1022" s="199"/>
      <c r="E1022" s="185"/>
      <c r="F1022" s="199"/>
      <c r="G1022"/>
      <c r="H1022"/>
      <c r="O1022" s="185"/>
      <c r="P1022" s="185"/>
      <c r="Q1022" s="199"/>
      <c r="AB1022" s="199"/>
      <c r="AC1022" s="199"/>
      <c r="AE1022"/>
    </row>
    <row r="1023" spans="1:31" x14ac:dyDescent="0.2">
      <c r="A1023" s="212"/>
      <c r="B1023" s="212"/>
      <c r="C1023" s="199"/>
      <c r="D1023" s="199"/>
      <c r="E1023" s="185"/>
      <c r="F1023" s="199"/>
      <c r="G1023" s="199"/>
      <c r="H1023"/>
      <c r="O1023" s="185"/>
      <c r="P1023" s="185"/>
      <c r="Q1023" s="199"/>
      <c r="AB1023" s="199"/>
      <c r="AC1023" s="199"/>
      <c r="AE1023"/>
    </row>
    <row r="1024" spans="1:31" x14ac:dyDescent="0.2">
      <c r="A1024" s="212"/>
      <c r="B1024" s="212"/>
      <c r="C1024" s="199"/>
      <c r="D1024" s="199"/>
      <c r="E1024" s="185"/>
      <c r="F1024" s="199"/>
      <c r="G1024" s="199"/>
      <c r="H1024"/>
      <c r="O1024" s="185"/>
      <c r="P1024" s="185"/>
      <c r="Q1024" s="199"/>
      <c r="AB1024" s="199"/>
      <c r="AC1024" s="199"/>
      <c r="AE1024"/>
    </row>
    <row r="1025" spans="1:31" x14ac:dyDescent="0.2">
      <c r="A1025" s="212"/>
      <c r="B1025" s="212"/>
      <c r="C1025" s="199"/>
      <c r="D1025" s="199"/>
      <c r="E1025" s="185"/>
      <c r="F1025" s="199"/>
      <c r="G1025" s="199"/>
      <c r="H1025"/>
      <c r="O1025" s="185"/>
      <c r="P1025" s="185"/>
      <c r="Q1025" s="199"/>
      <c r="AB1025" s="199"/>
      <c r="AC1025" s="199"/>
      <c r="AE1025"/>
    </row>
    <row r="1026" spans="1:31" x14ac:dyDescent="0.2">
      <c r="A1026" s="212"/>
      <c r="B1026" s="212"/>
      <c r="C1026" s="199"/>
      <c r="D1026" s="199"/>
      <c r="E1026" s="185"/>
      <c r="F1026" s="199"/>
      <c r="G1026" s="199"/>
      <c r="H1026" s="199"/>
      <c r="O1026" s="185"/>
      <c r="P1026" s="185"/>
      <c r="Q1026" s="199"/>
      <c r="AB1026" s="199"/>
      <c r="AC1026" s="199"/>
      <c r="AE1026"/>
    </row>
    <row r="1027" spans="1:31" x14ac:dyDescent="0.2">
      <c r="A1027" s="212"/>
      <c r="B1027" s="212"/>
      <c r="C1027" s="199"/>
      <c r="D1027" s="199"/>
      <c r="E1027" s="185"/>
      <c r="F1027" s="199"/>
      <c r="G1027" s="199"/>
      <c r="H1027"/>
      <c r="O1027" s="185"/>
      <c r="P1027" s="185"/>
      <c r="Q1027" s="199"/>
      <c r="AB1027" s="199"/>
      <c r="AC1027" s="199"/>
      <c r="AE1027"/>
    </row>
    <row r="1028" spans="1:31" x14ac:dyDescent="0.2">
      <c r="A1028" s="212"/>
      <c r="B1028" s="212"/>
      <c r="C1028" s="199"/>
      <c r="D1028" s="199"/>
      <c r="E1028" s="185"/>
      <c r="F1028" s="199"/>
      <c r="G1028" s="199"/>
      <c r="H1028"/>
      <c r="O1028" s="185"/>
      <c r="P1028" s="185"/>
      <c r="Q1028" s="199"/>
      <c r="AB1028" s="199"/>
      <c r="AC1028" s="199"/>
      <c r="AE1028"/>
    </row>
    <row r="1029" spans="1:31" x14ac:dyDescent="0.2">
      <c r="A1029" s="212"/>
      <c r="B1029" s="212"/>
      <c r="C1029" s="199"/>
      <c r="D1029" s="199"/>
      <c r="E1029" s="185"/>
      <c r="F1029" s="199"/>
      <c r="G1029" s="199"/>
      <c r="H1029"/>
      <c r="O1029" s="185"/>
      <c r="P1029" s="185"/>
      <c r="Q1029" s="199"/>
      <c r="AB1029" s="199"/>
      <c r="AC1029" s="199"/>
      <c r="AE1029"/>
    </row>
    <row r="1030" spans="1:31" x14ac:dyDescent="0.2">
      <c r="A1030" s="212"/>
      <c r="B1030" s="212"/>
      <c r="C1030" s="199"/>
      <c r="D1030" s="199"/>
      <c r="E1030" s="185"/>
      <c r="F1030" s="199"/>
      <c r="G1030"/>
      <c r="H1030"/>
      <c r="O1030" s="185"/>
      <c r="P1030" s="185"/>
      <c r="Q1030" s="199"/>
      <c r="AB1030" s="199"/>
      <c r="AC1030" s="199"/>
      <c r="AE1030"/>
    </row>
    <row r="1031" spans="1:31" x14ac:dyDescent="0.2">
      <c r="A1031" s="212"/>
      <c r="B1031" s="212"/>
      <c r="C1031" s="199"/>
      <c r="D1031" s="199"/>
      <c r="E1031" s="185"/>
      <c r="F1031" s="199"/>
      <c r="G1031" s="199"/>
      <c r="H1031"/>
      <c r="O1031" s="185"/>
      <c r="P1031" s="185"/>
      <c r="Q1031" s="199"/>
      <c r="AB1031" s="199"/>
      <c r="AC1031" s="199"/>
      <c r="AE1031"/>
    </row>
    <row r="1032" spans="1:31" x14ac:dyDescent="0.2">
      <c r="A1032" s="212"/>
      <c r="B1032" s="212"/>
      <c r="C1032" s="199"/>
      <c r="D1032" s="199"/>
      <c r="E1032" s="185"/>
      <c r="F1032" s="199"/>
      <c r="G1032" s="199"/>
      <c r="H1032"/>
      <c r="O1032" s="185"/>
      <c r="P1032" s="185"/>
      <c r="Q1032" s="199"/>
      <c r="AB1032" s="199"/>
      <c r="AC1032" s="199"/>
      <c r="AE1032"/>
    </row>
    <row r="1033" spans="1:31" x14ac:dyDescent="0.2">
      <c r="A1033" s="212"/>
      <c r="B1033" s="212"/>
      <c r="C1033" s="199"/>
      <c r="D1033" s="199"/>
      <c r="E1033" s="185"/>
      <c r="F1033" s="199"/>
      <c r="G1033" s="199"/>
      <c r="H1033"/>
      <c r="O1033" s="185"/>
      <c r="P1033" s="185"/>
      <c r="Q1033" s="199"/>
      <c r="AB1033" s="199"/>
      <c r="AC1033" s="199"/>
      <c r="AE1033"/>
    </row>
    <row r="1034" spans="1:31" x14ac:dyDescent="0.2">
      <c r="A1034" s="212"/>
      <c r="B1034" s="212"/>
      <c r="C1034" s="199"/>
      <c r="D1034" s="199"/>
      <c r="E1034" s="185"/>
      <c r="F1034" s="199"/>
      <c r="G1034" s="199"/>
      <c r="H1034"/>
      <c r="O1034" s="185"/>
      <c r="P1034" s="185"/>
      <c r="Q1034" s="199"/>
      <c r="AB1034" s="199"/>
      <c r="AC1034" s="199"/>
      <c r="AE1034"/>
    </row>
    <row r="1035" spans="1:31" x14ac:dyDescent="0.2">
      <c r="A1035" s="212"/>
      <c r="B1035" s="212"/>
      <c r="C1035" s="199"/>
      <c r="D1035" s="199"/>
      <c r="E1035" s="185"/>
      <c r="F1035" s="199"/>
      <c r="G1035" s="199"/>
      <c r="H1035"/>
      <c r="O1035" s="185"/>
      <c r="P1035" s="185"/>
      <c r="Q1035" s="199"/>
      <c r="AB1035" s="199"/>
      <c r="AC1035" s="199"/>
      <c r="AE1035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7"/>
  <dimension ref="A1:S92"/>
  <sheetViews>
    <sheetView tabSelected="1" zoomScale="90" zoomScaleNormal="90" workbookViewId="0">
      <selection activeCell="H18" sqref="H18"/>
    </sheetView>
  </sheetViews>
  <sheetFormatPr defaultColWidth="8.85546875" defaultRowHeight="12.75" x14ac:dyDescent="0.2"/>
  <cols>
    <col min="1" max="1" width="8.42578125" style="53" customWidth="1"/>
    <col min="2" max="2" width="9.85546875" style="53" customWidth="1"/>
    <col min="3" max="3" width="12.85546875" style="53" customWidth="1"/>
    <col min="4" max="4" width="12.42578125" style="53" customWidth="1"/>
    <col min="5" max="5" width="13.140625" style="53" customWidth="1"/>
    <col min="6" max="6" width="8.85546875" style="53"/>
    <col min="7" max="7" width="12.5703125" style="53" bestFit="1" customWidth="1"/>
    <col min="8" max="8" width="8.85546875" style="53"/>
    <col min="9" max="9" width="17.5703125" style="53" customWidth="1"/>
    <col min="10" max="10" width="15.42578125" style="53" customWidth="1"/>
    <col min="11" max="11" width="14.85546875" style="53" customWidth="1"/>
    <col min="12" max="12" width="15.42578125" style="53" customWidth="1"/>
    <col min="13" max="13" width="15.5703125" style="53" customWidth="1"/>
    <col min="14" max="14" width="8.85546875" style="53"/>
    <col min="15" max="15" width="13" style="53" customWidth="1"/>
    <col min="16" max="17" width="8.85546875" style="53"/>
    <col min="18" max="18" width="11.85546875" style="53" customWidth="1"/>
    <col min="19" max="16384" width="8.85546875" style="53"/>
  </cols>
  <sheetData>
    <row r="1" spans="2:13" ht="22.5" x14ac:dyDescent="0.3">
      <c r="B1" s="59" t="s">
        <v>88</v>
      </c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</row>
    <row r="3" spans="2:13" ht="19.5" x14ac:dyDescent="0.2">
      <c r="B3" s="54" t="s">
        <v>256</v>
      </c>
    </row>
    <row r="5" spans="2:13" ht="14.25" x14ac:dyDescent="0.2">
      <c r="B5" s="340" t="s">
        <v>257</v>
      </c>
      <c r="C5" s="341"/>
      <c r="D5" s="341"/>
      <c r="E5" s="342"/>
    </row>
    <row r="6" spans="2:13" ht="14.25" customHeight="1" x14ac:dyDescent="0.2">
      <c r="B6" s="349"/>
      <c r="C6" s="350"/>
      <c r="D6" s="350"/>
      <c r="E6" s="351"/>
    </row>
    <row r="7" spans="2:13" ht="14.25" x14ac:dyDescent="0.2">
      <c r="B7" s="343" t="s">
        <v>258</v>
      </c>
      <c r="C7" s="344"/>
      <c r="D7" s="345"/>
      <c r="E7" s="345"/>
    </row>
    <row r="8" spans="2:13" ht="14.25" customHeight="1" x14ac:dyDescent="0.2">
      <c r="B8" s="349"/>
      <c r="C8" s="350"/>
      <c r="D8" s="350"/>
      <c r="E8" s="351"/>
    </row>
    <row r="9" spans="2:13" ht="14.25" x14ac:dyDescent="0.2">
      <c r="B9" s="340" t="s">
        <v>259</v>
      </c>
      <c r="C9" s="341"/>
      <c r="D9" s="341"/>
      <c r="E9" s="342"/>
    </row>
    <row r="10" spans="2:13" ht="14.25" customHeight="1" x14ac:dyDescent="0.2">
      <c r="B10" s="349"/>
      <c r="C10" s="350"/>
      <c r="D10" s="350"/>
      <c r="E10" s="351"/>
    </row>
    <row r="11" spans="2:13" ht="14.25" x14ac:dyDescent="0.2">
      <c r="B11" s="346" t="s">
        <v>260</v>
      </c>
      <c r="C11" s="345"/>
      <c r="D11" s="345"/>
      <c r="E11" s="115"/>
    </row>
    <row r="12" spans="2:13" ht="15" customHeight="1" x14ac:dyDescent="0.2">
      <c r="B12" s="349"/>
      <c r="C12" s="350"/>
      <c r="D12" s="351"/>
      <c r="E12" s="347"/>
    </row>
    <row r="13" spans="2:13" ht="14.25" x14ac:dyDescent="0.2">
      <c r="B13" s="346" t="s">
        <v>261</v>
      </c>
      <c r="C13" s="345"/>
      <c r="D13" s="345"/>
      <c r="E13" s="45"/>
    </row>
    <row r="14" spans="2:13" ht="14.25" x14ac:dyDescent="0.2">
      <c r="B14" s="352"/>
      <c r="C14" s="350"/>
      <c r="D14" s="351"/>
      <c r="E14" s="45"/>
    </row>
    <row r="16" spans="2:13" x14ac:dyDescent="0.2">
      <c r="B16" s="61"/>
      <c r="C16" s="148"/>
      <c r="D16" s="149"/>
      <c r="E16" s="149"/>
      <c r="G16" s="61"/>
    </row>
    <row r="17" spans="2:19" ht="15" x14ac:dyDescent="0.2">
      <c r="B17" s="61"/>
      <c r="C17" s="148"/>
      <c r="D17" s="149"/>
      <c r="E17" s="149"/>
      <c r="G17" s="61"/>
      <c r="J17" s="43"/>
      <c r="K17" s="43"/>
      <c r="L17" s="43"/>
      <c r="M17" s="43"/>
      <c r="N17" s="4"/>
      <c r="O17" s="4"/>
      <c r="P17" s="4"/>
      <c r="Q17" s="4"/>
      <c r="R17" s="4"/>
      <c r="S17" s="52"/>
    </row>
    <row r="18" spans="2:19" ht="15" x14ac:dyDescent="0.2">
      <c r="B18" s="43" t="s">
        <v>262</v>
      </c>
      <c r="C18" s="43"/>
      <c r="D18" s="43"/>
      <c r="E18" s="43"/>
      <c r="F18" s="42"/>
      <c r="I18" s="43" t="s">
        <v>271</v>
      </c>
      <c r="K18" s="43"/>
      <c r="L18" s="43"/>
      <c r="M18" s="43"/>
      <c r="N18" s="3"/>
      <c r="O18" s="4"/>
      <c r="P18" s="4"/>
      <c r="Q18" s="4"/>
      <c r="R18" s="4"/>
      <c r="S18" s="52"/>
    </row>
    <row r="19" spans="2:19" ht="18.75" customHeight="1" x14ac:dyDescent="0.2">
      <c r="K19" s="44"/>
      <c r="L19" s="44"/>
      <c r="M19" s="44"/>
      <c r="N19" s="4"/>
      <c r="O19" s="4"/>
      <c r="P19" s="4"/>
      <c r="Q19" s="4"/>
      <c r="R19" s="4"/>
      <c r="S19" s="52"/>
    </row>
    <row r="20" spans="2:19" ht="15" x14ac:dyDescent="0.2">
      <c r="B20" s="272" t="s">
        <v>263</v>
      </c>
      <c r="I20" s="271" t="s">
        <v>272</v>
      </c>
      <c r="J20" s="131"/>
      <c r="K20" s="130"/>
      <c r="L20" s="129"/>
      <c r="M20" s="44"/>
      <c r="N20" s="2"/>
      <c r="O20" s="2"/>
      <c r="P20" s="2"/>
      <c r="Q20" s="2"/>
      <c r="R20" s="2"/>
      <c r="S20" s="45"/>
    </row>
    <row r="21" spans="2:19" ht="17.25" customHeight="1" x14ac:dyDescent="0.2">
      <c r="B21" s="61" t="s">
        <v>264</v>
      </c>
      <c r="C21" s="148"/>
      <c r="D21" s="149"/>
      <c r="E21" s="149"/>
      <c r="F21" s="256"/>
      <c r="G21" s="61" t="s">
        <v>48</v>
      </c>
      <c r="I21" s="126"/>
      <c r="K21" s="359" t="s">
        <v>273</v>
      </c>
      <c r="L21" s="361" t="s">
        <v>274</v>
      </c>
      <c r="M21" s="5"/>
      <c r="R21" s="2"/>
      <c r="S21" s="45"/>
    </row>
    <row r="22" spans="2:19" ht="17.25" customHeight="1" x14ac:dyDescent="0.2">
      <c r="B22" s="61" t="s">
        <v>265</v>
      </c>
      <c r="C22" s="148"/>
      <c r="D22" s="149"/>
      <c r="E22" s="149"/>
      <c r="F22" s="256"/>
      <c r="G22" s="61" t="s">
        <v>48</v>
      </c>
      <c r="I22" s="128"/>
      <c r="J22" s="127"/>
      <c r="K22" s="360"/>
      <c r="L22" s="362"/>
      <c r="S22" s="57"/>
    </row>
    <row r="23" spans="2:19" x14ac:dyDescent="0.2">
      <c r="B23" s="61" t="s">
        <v>266</v>
      </c>
      <c r="C23" s="148"/>
      <c r="D23" s="149"/>
      <c r="E23" s="149"/>
      <c r="F23" s="46">
        <v>3.5</v>
      </c>
      <c r="G23" s="61" t="s">
        <v>112</v>
      </c>
      <c r="I23" s="126"/>
      <c r="L23" s="125"/>
      <c r="S23" s="57"/>
    </row>
    <row r="24" spans="2:19" x14ac:dyDescent="0.2">
      <c r="B24" s="53" t="s">
        <v>267</v>
      </c>
      <c r="F24" s="161">
        <f>IFERROR(INT(F21/F23),0)</f>
        <v>0</v>
      </c>
      <c r="G24" s="53" t="s">
        <v>111</v>
      </c>
      <c r="I24" s="121" t="s">
        <v>51</v>
      </c>
      <c r="J24" s="124" t="s">
        <v>47</v>
      </c>
      <c r="K24" s="159">
        <f>F40*F23*F43</f>
        <v>420</v>
      </c>
      <c r="L24" s="123">
        <f>F40*F23*F43*F41*F42/86400</f>
        <v>8.7500000000000008E-3</v>
      </c>
      <c r="S24" s="57"/>
    </row>
    <row r="25" spans="2:19" x14ac:dyDescent="0.2">
      <c r="B25" s="53" t="s">
        <v>268</v>
      </c>
      <c r="C25" s="148"/>
      <c r="D25" s="149"/>
      <c r="E25" s="149"/>
      <c r="F25" s="161">
        <f>IFERROR(INT(F22/F23),0)</f>
        <v>0</v>
      </c>
      <c r="G25" s="53" t="s">
        <v>111</v>
      </c>
      <c r="I25" s="122"/>
      <c r="J25" s="92"/>
      <c r="K25" s="45"/>
      <c r="L25" s="93"/>
      <c r="S25" s="57"/>
    </row>
    <row r="26" spans="2:19" x14ac:dyDescent="0.2">
      <c r="B26" s="53" t="s">
        <v>269</v>
      </c>
      <c r="F26" s="256"/>
      <c r="G26" s="53" t="s">
        <v>111</v>
      </c>
      <c r="I26" s="214" t="str">
        <f>IFERROR(INT(J26)&amp;" Qe =",0)</f>
        <v>1142 Qe =</v>
      </c>
      <c r="J26" s="120">
        <f>IFERROR(L26/L24,0)</f>
        <v>1142.8571428571427</v>
      </c>
      <c r="L26" s="119">
        <f>IF(L24=0,0,10)</f>
        <v>10</v>
      </c>
      <c r="S26" s="57"/>
    </row>
    <row r="27" spans="2:19" x14ac:dyDescent="0.2">
      <c r="B27" s="53" t="s">
        <v>270</v>
      </c>
      <c r="F27" s="256"/>
      <c r="G27" s="53" t="s">
        <v>111</v>
      </c>
      <c r="I27" s="118"/>
      <c r="J27" s="115"/>
      <c r="K27" s="115"/>
      <c r="L27" s="117"/>
      <c r="S27" s="57"/>
    </row>
    <row r="28" spans="2:19" ht="12.6" customHeight="1" x14ac:dyDescent="0.2">
      <c r="I28" s="116"/>
      <c r="J28" s="115"/>
      <c r="K28" s="115"/>
      <c r="L28" s="114"/>
      <c r="S28" s="57"/>
    </row>
    <row r="29" spans="2:19" x14ac:dyDescent="0.2">
      <c r="B29" s="272" t="s">
        <v>282</v>
      </c>
      <c r="I29" s="353" t="s">
        <v>275</v>
      </c>
      <c r="J29" s="354"/>
      <c r="K29" s="354"/>
      <c r="L29" s="355"/>
      <c r="S29" s="57"/>
    </row>
    <row r="30" spans="2:19" ht="12.75" customHeight="1" x14ac:dyDescent="0.2">
      <c r="B30" s="65" t="s">
        <v>283</v>
      </c>
      <c r="C30" s="148"/>
      <c r="D30" s="149"/>
      <c r="E30" s="149"/>
      <c r="F30" s="170">
        <f>RedBasica!$K$11</f>
        <v>257</v>
      </c>
      <c r="G30" s="53" t="s">
        <v>111</v>
      </c>
      <c r="I30" s="356"/>
      <c r="J30" s="357"/>
      <c r="K30" s="357"/>
      <c r="L30" s="358"/>
      <c r="S30" s="57"/>
    </row>
    <row r="31" spans="2:19" x14ac:dyDescent="0.2">
      <c r="B31" s="65" t="s">
        <v>284</v>
      </c>
      <c r="C31" s="148"/>
      <c r="D31" s="149"/>
      <c r="E31" s="149"/>
      <c r="F31" s="170">
        <f>RedBasica!$L$11</f>
        <v>188</v>
      </c>
      <c r="G31" s="53" t="s">
        <v>111</v>
      </c>
      <c r="S31" s="57"/>
    </row>
    <row r="32" spans="2:19" x14ac:dyDescent="0.2">
      <c r="B32" s="61" t="s">
        <v>285</v>
      </c>
      <c r="C32" s="149"/>
      <c r="D32" s="149"/>
      <c r="E32" s="158" t="s">
        <v>49</v>
      </c>
      <c r="F32" s="169">
        <f>L24</f>
        <v>8.7500000000000008E-3</v>
      </c>
      <c r="G32" s="148" t="s">
        <v>5</v>
      </c>
      <c r="M32" s="2"/>
      <c r="N32" s="2"/>
      <c r="O32" s="2"/>
      <c r="P32" s="2"/>
      <c r="Q32" s="2"/>
      <c r="R32" s="2"/>
      <c r="S32" s="45"/>
    </row>
    <row r="33" spans="2:19" ht="15" x14ac:dyDescent="0.2">
      <c r="B33" s="61" t="s">
        <v>285</v>
      </c>
      <c r="C33" s="149"/>
      <c r="D33" s="149"/>
      <c r="E33" s="158" t="s">
        <v>50</v>
      </c>
      <c r="F33" s="170">
        <f>K24</f>
        <v>420</v>
      </c>
      <c r="G33" s="148" t="s">
        <v>45</v>
      </c>
      <c r="I33" s="271" t="s">
        <v>276</v>
      </c>
      <c r="J33" s="131"/>
      <c r="K33" s="130"/>
      <c r="L33" s="129"/>
      <c r="M33" s="2"/>
      <c r="N33" s="2"/>
      <c r="O33" s="2"/>
      <c r="P33" s="2"/>
      <c r="Q33" s="2"/>
      <c r="R33" s="2"/>
      <c r="S33" s="45"/>
    </row>
    <row r="34" spans="2:19" ht="17.25" customHeight="1" x14ac:dyDescent="0.2">
      <c r="B34" s="272" t="s">
        <v>286</v>
      </c>
      <c r="I34" s="126"/>
      <c r="J34" s="363" t="s">
        <v>277</v>
      </c>
      <c r="K34" s="363" t="s">
        <v>278</v>
      </c>
      <c r="L34" s="365" t="s">
        <v>279</v>
      </c>
      <c r="M34" s="2"/>
      <c r="N34" s="2"/>
      <c r="O34" s="2"/>
      <c r="P34" s="2"/>
      <c r="Q34" s="2"/>
      <c r="R34" s="2"/>
      <c r="S34" s="45"/>
    </row>
    <row r="35" spans="2:19" ht="15" customHeight="1" x14ac:dyDescent="0.2">
      <c r="B35" s="136" t="s">
        <v>287</v>
      </c>
      <c r="C35" s="148"/>
      <c r="D35" s="149"/>
      <c r="E35" s="149"/>
      <c r="F35" s="113" t="s">
        <v>110</v>
      </c>
      <c r="G35" s="135" t="s">
        <v>32</v>
      </c>
      <c r="I35" s="126"/>
      <c r="J35" s="363"/>
      <c r="K35" s="363"/>
      <c r="L35" s="365"/>
      <c r="M35" s="2"/>
      <c r="N35" s="2"/>
      <c r="O35" s="2"/>
      <c r="P35" s="2"/>
      <c r="Q35" s="2"/>
      <c r="R35" s="2"/>
      <c r="S35" s="45"/>
    </row>
    <row r="36" spans="2:19" ht="15" customHeight="1" x14ac:dyDescent="0.2">
      <c r="B36" s="136" t="s">
        <v>288</v>
      </c>
      <c r="C36" s="148"/>
      <c r="D36" s="149"/>
      <c r="E36" s="149"/>
      <c r="F36" s="168">
        <f>IFERROR(IF(F35="Si",L40,0),0)</f>
        <v>0</v>
      </c>
      <c r="G36" s="148" t="s">
        <v>14</v>
      </c>
      <c r="I36" s="126"/>
      <c r="J36" s="364"/>
      <c r="K36" s="364"/>
      <c r="L36" s="366"/>
      <c r="M36" s="2"/>
      <c r="N36" s="2"/>
      <c r="O36" s="2"/>
      <c r="P36" s="2"/>
      <c r="Q36" s="2"/>
      <c r="R36" s="2"/>
      <c r="S36" s="45"/>
    </row>
    <row r="37" spans="2:19" x14ac:dyDescent="0.2">
      <c r="B37" s="136" t="s">
        <v>289</v>
      </c>
      <c r="C37" s="148"/>
      <c r="D37" s="149"/>
      <c r="E37" s="149"/>
      <c r="F37" s="168">
        <f>IFERROR(IF(F35="Si",L38,0),0)</f>
        <v>0</v>
      </c>
      <c r="G37" s="148" t="s">
        <v>14</v>
      </c>
      <c r="I37" s="126"/>
      <c r="L37" s="125"/>
    </row>
    <row r="38" spans="2:19" ht="12.6" customHeight="1" x14ac:dyDescent="0.2">
      <c r="I38" s="132" t="s">
        <v>280</v>
      </c>
      <c r="J38" s="157">
        <f>F22</f>
        <v>0</v>
      </c>
      <c r="K38" s="157">
        <f>RedBasica!F11</f>
        <v>2018.9000000000003</v>
      </c>
      <c r="L38" s="133">
        <f>IF(RedBasica!$F$11=0,0,(F22*$F$40*$F$43/86400)/RedBasica!$F$11*1000)</f>
        <v>0</v>
      </c>
    </row>
    <row r="39" spans="2:19" x14ac:dyDescent="0.2">
      <c r="B39" s="272" t="s">
        <v>290</v>
      </c>
      <c r="I39" s="126"/>
      <c r="L39" s="125"/>
    </row>
    <row r="40" spans="2:19" ht="12.75" customHeight="1" x14ac:dyDescent="0.2">
      <c r="B40" s="136" t="s">
        <v>291</v>
      </c>
      <c r="C40" s="148"/>
      <c r="D40" s="149"/>
      <c r="E40" s="149"/>
      <c r="F40" s="258">
        <v>150</v>
      </c>
      <c r="G40" s="148" t="s">
        <v>13</v>
      </c>
      <c r="I40" s="132" t="s">
        <v>281</v>
      </c>
      <c r="J40" s="157">
        <f>F21</f>
        <v>0</v>
      </c>
      <c r="K40" s="157">
        <f>RedBasica!F11</f>
        <v>2018.9000000000003</v>
      </c>
      <c r="L40" s="133">
        <f>IF(RedBasica!$F$11=0,0,(F21*$F$40*$F$43/86400)/RedBasica!$F$11*1000)</f>
        <v>0</v>
      </c>
    </row>
    <row r="41" spans="2:19" x14ac:dyDescent="0.2">
      <c r="B41" s="61" t="s">
        <v>11</v>
      </c>
      <c r="C41" s="148"/>
      <c r="D41" s="149"/>
      <c r="E41" s="149"/>
      <c r="F41" s="46">
        <v>1.2</v>
      </c>
      <c r="G41" s="150"/>
      <c r="I41" s="141"/>
      <c r="J41" s="142"/>
      <c r="K41" s="142"/>
      <c r="L41" s="143"/>
    </row>
    <row r="42" spans="2:19" x14ac:dyDescent="0.2">
      <c r="B42" s="61" t="s">
        <v>12</v>
      </c>
      <c r="C42" s="148"/>
      <c r="D42" s="149"/>
      <c r="E42" s="149"/>
      <c r="F42" s="46">
        <v>1.5</v>
      </c>
      <c r="G42" s="150"/>
    </row>
    <row r="43" spans="2:19" x14ac:dyDescent="0.2">
      <c r="B43" s="148" t="s">
        <v>3</v>
      </c>
      <c r="C43" s="148"/>
      <c r="D43" s="149"/>
      <c r="E43" s="149"/>
      <c r="F43" s="46">
        <v>0.8</v>
      </c>
      <c r="G43" s="148"/>
    </row>
    <row r="44" spans="2:19" x14ac:dyDescent="0.2">
      <c r="B44" s="61" t="s">
        <v>120</v>
      </c>
      <c r="C44" s="148"/>
      <c r="D44" s="149"/>
      <c r="E44" s="149"/>
      <c r="F44" s="257">
        <v>0.01</v>
      </c>
      <c r="G44" s="148" t="s">
        <v>14</v>
      </c>
      <c r="J44" s="44"/>
    </row>
    <row r="45" spans="2:19" ht="12.6" customHeight="1" x14ac:dyDescent="0.2">
      <c r="B45" s="136" t="s">
        <v>121</v>
      </c>
      <c r="C45" s="136"/>
      <c r="D45" s="149"/>
      <c r="E45" s="149"/>
      <c r="F45" s="46">
        <v>1</v>
      </c>
      <c r="G45" s="148" t="s">
        <v>0</v>
      </c>
    </row>
    <row r="46" spans="2:19" x14ac:dyDescent="0.2">
      <c r="B46" s="61" t="s">
        <v>122</v>
      </c>
      <c r="C46" s="148"/>
      <c r="D46" s="149"/>
      <c r="E46" s="149"/>
      <c r="F46" s="46">
        <v>1.5</v>
      </c>
      <c r="G46" s="148" t="s">
        <v>5</v>
      </c>
    </row>
    <row r="47" spans="2:19" x14ac:dyDescent="0.2">
      <c r="B47" s="61" t="s">
        <v>123</v>
      </c>
      <c r="C47" s="148"/>
      <c r="D47" s="149"/>
      <c r="E47" s="149"/>
      <c r="F47" s="162">
        <v>0.5</v>
      </c>
      <c r="G47" s="148" t="s">
        <v>4</v>
      </c>
    </row>
    <row r="48" spans="2:19" x14ac:dyDescent="0.2">
      <c r="B48" s="61" t="s">
        <v>124</v>
      </c>
      <c r="C48" s="148"/>
      <c r="D48" s="149"/>
      <c r="E48" s="149"/>
      <c r="F48" s="171">
        <v>0.75</v>
      </c>
      <c r="G48" s="148" t="s">
        <v>4</v>
      </c>
      <c r="I48" s="65"/>
      <c r="M48" s="160"/>
    </row>
    <row r="49" spans="1:7" x14ac:dyDescent="0.2">
      <c r="B49" s="48" t="s">
        <v>292</v>
      </c>
      <c r="C49" s="150"/>
      <c r="D49" s="149"/>
      <c r="E49" s="149"/>
      <c r="F49" s="164"/>
      <c r="G49" s="150"/>
    </row>
    <row r="50" spans="1:7" x14ac:dyDescent="0.2">
      <c r="B50" s="148" t="s">
        <v>1</v>
      </c>
      <c r="C50" s="148"/>
      <c r="D50" s="149"/>
      <c r="E50" s="149"/>
      <c r="F50" s="165">
        <v>150</v>
      </c>
      <c r="G50" s="148" t="s">
        <v>2</v>
      </c>
    </row>
    <row r="52" spans="1:7" x14ac:dyDescent="0.2">
      <c r="B52" s="48" t="s">
        <v>293</v>
      </c>
      <c r="C52" s="48"/>
      <c r="D52" s="149"/>
      <c r="E52" s="149"/>
      <c r="F52" s="163" t="s">
        <v>46</v>
      </c>
      <c r="G52" s="150"/>
    </row>
    <row r="53" spans="1:7" x14ac:dyDescent="0.2">
      <c r="B53" s="136" t="s">
        <v>294</v>
      </c>
      <c r="C53" s="156">
        <v>150</v>
      </c>
      <c r="D53" s="149"/>
      <c r="E53" s="149"/>
      <c r="F53" s="259">
        <v>4.4999999999999997E-3</v>
      </c>
      <c r="G53" s="148" t="s">
        <v>23</v>
      </c>
    </row>
    <row r="54" spans="1:7" x14ac:dyDescent="0.2">
      <c r="B54" s="136" t="s">
        <v>294</v>
      </c>
      <c r="C54" s="156">
        <v>200</v>
      </c>
      <c r="D54" s="149"/>
      <c r="E54" s="149"/>
      <c r="F54" s="259">
        <v>4.0000000000000001E-3</v>
      </c>
      <c r="G54" s="148" t="s">
        <v>23</v>
      </c>
    </row>
    <row r="55" spans="1:7" x14ac:dyDescent="0.2">
      <c r="B55" s="148" t="s">
        <v>44</v>
      </c>
      <c r="C55" s="156">
        <v>250</v>
      </c>
      <c r="D55" s="149"/>
      <c r="E55" s="149"/>
      <c r="F55" s="259">
        <v>3.5000000000000001E-3</v>
      </c>
      <c r="G55" s="148" t="s">
        <v>23</v>
      </c>
    </row>
    <row r="56" spans="1:7" x14ac:dyDescent="0.2">
      <c r="A56" s="65"/>
      <c r="B56" s="48" t="s">
        <v>24</v>
      </c>
      <c r="C56" s="48"/>
      <c r="D56" s="149"/>
      <c r="E56" s="149"/>
      <c r="F56" s="164"/>
      <c r="G56" s="150"/>
    </row>
    <row r="57" spans="1:7" x14ac:dyDescent="0.2">
      <c r="B57" s="61" t="s">
        <v>295</v>
      </c>
      <c r="C57" s="148"/>
      <c r="D57" s="149"/>
      <c r="E57" s="149"/>
      <c r="F57" s="166">
        <v>0.9</v>
      </c>
      <c r="G57" s="148" t="s">
        <v>6</v>
      </c>
    </row>
    <row r="58" spans="1:7" x14ac:dyDescent="0.2">
      <c r="B58" s="61" t="s">
        <v>296</v>
      </c>
      <c r="C58" s="148"/>
      <c r="D58" s="149"/>
      <c r="E58" s="149"/>
      <c r="F58" s="46">
        <v>0.65</v>
      </c>
      <c r="G58" s="148" t="s">
        <v>6</v>
      </c>
    </row>
    <row r="59" spans="1:7" x14ac:dyDescent="0.2">
      <c r="B59" s="48" t="s">
        <v>297</v>
      </c>
      <c r="C59" s="149"/>
      <c r="D59" s="149"/>
      <c r="E59" s="149"/>
      <c r="F59" s="167"/>
      <c r="G59" s="149"/>
    </row>
    <row r="60" spans="1:7" ht="16.5" customHeight="1" x14ac:dyDescent="0.2">
      <c r="B60" s="61" t="s">
        <v>298</v>
      </c>
      <c r="C60" s="149"/>
      <c r="D60" s="149"/>
      <c r="E60" s="149"/>
      <c r="F60" s="260" t="s">
        <v>108</v>
      </c>
      <c r="G60" s="149"/>
    </row>
    <row r="61" spans="1:7" x14ac:dyDescent="0.2">
      <c r="B61" s="272" t="s">
        <v>299</v>
      </c>
      <c r="C61" s="149"/>
      <c r="D61" s="149"/>
      <c r="E61" s="149"/>
      <c r="F61" s="167"/>
      <c r="G61" s="149"/>
    </row>
    <row r="62" spans="1:7" ht="16.5" customHeight="1" x14ac:dyDescent="0.2">
      <c r="B62" s="136" t="s">
        <v>300</v>
      </c>
      <c r="C62" s="149"/>
      <c r="D62" s="149"/>
      <c r="E62" s="149"/>
      <c r="F62" s="46">
        <v>0.5</v>
      </c>
      <c r="G62" s="149" t="s">
        <v>6</v>
      </c>
    </row>
    <row r="63" spans="1:7" ht="16.5" customHeight="1" x14ac:dyDescent="0.2">
      <c r="B63" s="272" t="s">
        <v>301</v>
      </c>
    </row>
    <row r="64" spans="1:7" ht="16.5" customHeight="1" x14ac:dyDescent="0.2">
      <c r="B64" s="53" t="s">
        <v>302</v>
      </c>
      <c r="F64" s="46">
        <v>0</v>
      </c>
      <c r="G64" s="53" t="s">
        <v>6</v>
      </c>
    </row>
    <row r="65" spans="2:7" ht="16.5" customHeight="1" x14ac:dyDescent="0.2"/>
    <row r="66" spans="2:7" ht="16.5" customHeight="1" x14ac:dyDescent="0.2">
      <c r="B66" s="137" t="s">
        <v>26</v>
      </c>
      <c r="C66" s="138"/>
      <c r="D66" s="138"/>
      <c r="E66" s="138"/>
      <c r="F66" s="134"/>
      <c r="G66" s="134"/>
    </row>
    <row r="67" spans="2:7" ht="25.5" x14ac:dyDescent="0.2">
      <c r="B67" s="63" t="s">
        <v>29</v>
      </c>
      <c r="C67" s="64" t="s">
        <v>27</v>
      </c>
      <c r="D67" s="62" t="s">
        <v>28</v>
      </c>
      <c r="E67" s="62" t="s">
        <v>175</v>
      </c>
      <c r="F67" s="134"/>
      <c r="G67" s="134"/>
    </row>
    <row r="68" spans="2:7" ht="3" customHeight="1" x14ac:dyDescent="0.2">
      <c r="B68" s="326">
        <v>0</v>
      </c>
      <c r="C68" s="327"/>
      <c r="D68" s="328"/>
      <c r="E68" s="328"/>
      <c r="F68" s="134"/>
      <c r="G68" s="134"/>
    </row>
    <row r="69" spans="2:7" ht="16.5" customHeight="1" x14ac:dyDescent="0.2">
      <c r="B69" s="40">
        <f>'A7'!B2</f>
        <v>100</v>
      </c>
      <c r="C69" s="146" t="s">
        <v>116</v>
      </c>
      <c r="D69" s="139">
        <f>HLOOKUP(C69,'A7'!$C$18:$G$19,2,FALSE)</f>
        <v>0.01</v>
      </c>
      <c r="E69" s="147">
        <v>1.2999999999999999E-2</v>
      </c>
      <c r="F69" s="134"/>
      <c r="G69" s="134"/>
    </row>
    <row r="70" spans="2:7" ht="16.5" customHeight="1" x14ac:dyDescent="0.2">
      <c r="B70" s="40">
        <f>'A7'!B3</f>
        <v>150</v>
      </c>
      <c r="C70" s="146" t="s">
        <v>116</v>
      </c>
      <c r="D70" s="139">
        <f>HLOOKUP(C70,'A7'!$C$18:$G$19,2,FALSE)</f>
        <v>0.01</v>
      </c>
      <c r="E70" s="147">
        <v>1.2999999999999999E-2</v>
      </c>
      <c r="F70" s="134"/>
      <c r="G70" s="134"/>
    </row>
    <row r="71" spans="2:7" ht="16.5" customHeight="1" x14ac:dyDescent="0.2">
      <c r="B71" s="40">
        <f>'A7'!B4</f>
        <v>200</v>
      </c>
      <c r="C71" s="146" t="s">
        <v>116</v>
      </c>
      <c r="D71" s="139">
        <f>HLOOKUP(C71,'A7'!$C$18:$G$19,2,FALSE)</f>
        <v>0.01</v>
      </c>
      <c r="E71" s="147">
        <v>1.2999999999999999E-2</v>
      </c>
      <c r="F71" s="134"/>
      <c r="G71" s="134"/>
    </row>
    <row r="72" spans="2:7" ht="16.5" customHeight="1" x14ac:dyDescent="0.2">
      <c r="B72" s="40">
        <f>'A7'!B5</f>
        <v>250</v>
      </c>
      <c r="C72" s="146" t="s">
        <v>116</v>
      </c>
      <c r="D72" s="139">
        <f>HLOOKUP(C72,'A7'!$C$18:$G$19,2,FALSE)</f>
        <v>0.01</v>
      </c>
      <c r="E72" s="147">
        <v>1.2999999999999999E-2</v>
      </c>
      <c r="F72" s="134"/>
      <c r="G72" s="134"/>
    </row>
    <row r="73" spans="2:7" ht="16.5" customHeight="1" x14ac:dyDescent="0.2">
      <c r="B73" s="40">
        <f>'A7'!B6</f>
        <v>300</v>
      </c>
      <c r="C73" s="146" t="s">
        <v>116</v>
      </c>
      <c r="D73" s="139">
        <f>HLOOKUP(C73,'A7'!$C$18:$G$19,2,FALSE)</f>
        <v>0.01</v>
      </c>
      <c r="E73" s="147">
        <v>1.2999999999999999E-2</v>
      </c>
      <c r="F73" s="134"/>
      <c r="G73" s="134"/>
    </row>
    <row r="74" spans="2:7" x14ac:dyDescent="0.2">
      <c r="B74" s="40">
        <f>'A7'!B7</f>
        <v>350</v>
      </c>
      <c r="C74" s="146" t="s">
        <v>116</v>
      </c>
      <c r="D74" s="139">
        <f>HLOOKUP(C74,'A7'!$C$18:$G$19,2,FALSE)</f>
        <v>0.01</v>
      </c>
      <c r="E74" s="147">
        <v>1.2999999999999999E-2</v>
      </c>
    </row>
    <row r="75" spans="2:7" x14ac:dyDescent="0.2">
      <c r="B75" s="40">
        <f>'A7'!B8</f>
        <v>400</v>
      </c>
      <c r="C75" s="146" t="s">
        <v>107</v>
      </c>
      <c r="D75" s="139">
        <f>HLOOKUP(C75,'A7'!$C$18:$G$19,2,FALSE)</f>
        <v>0.01</v>
      </c>
      <c r="E75" s="147">
        <v>1.2999999999999999E-2</v>
      </c>
    </row>
    <row r="76" spans="2:7" x14ac:dyDescent="0.2">
      <c r="B76" s="40">
        <f>'A7'!B9</f>
        <v>450</v>
      </c>
      <c r="C76" s="146" t="s">
        <v>107</v>
      </c>
      <c r="D76" s="139">
        <f>HLOOKUP(C76,'A7'!$C$18:$G$19,2,FALSE)</f>
        <v>0.01</v>
      </c>
      <c r="E76" s="147">
        <v>1.2999999999999999E-2</v>
      </c>
    </row>
    <row r="77" spans="2:7" x14ac:dyDescent="0.2">
      <c r="B77" s="40">
        <f>'A7'!B10</f>
        <v>500</v>
      </c>
      <c r="C77" s="146" t="s">
        <v>107</v>
      </c>
      <c r="D77" s="139">
        <f>HLOOKUP(C77,'A7'!$C$18:$G$19,2,FALSE)</f>
        <v>0.01</v>
      </c>
      <c r="E77" s="147">
        <v>1.2999999999999999E-2</v>
      </c>
    </row>
    <row r="78" spans="2:7" x14ac:dyDescent="0.2">
      <c r="B78" s="40">
        <f>'A7'!B11</f>
        <v>600</v>
      </c>
      <c r="C78" s="146" t="s">
        <v>107</v>
      </c>
      <c r="D78" s="139">
        <f>HLOOKUP(C78,'A7'!$C$18:$G$19,2,FALSE)</f>
        <v>0.01</v>
      </c>
      <c r="E78" s="147">
        <v>1.2999999999999999E-2</v>
      </c>
    </row>
    <row r="79" spans="2:7" x14ac:dyDescent="0.2">
      <c r="B79" s="40">
        <f>'A7'!B12</f>
        <v>700</v>
      </c>
      <c r="C79" s="146" t="s">
        <v>107</v>
      </c>
      <c r="D79" s="139">
        <f>HLOOKUP(C79,'A7'!$C$18:$G$19,2,FALSE)</f>
        <v>0.01</v>
      </c>
      <c r="E79" s="147">
        <v>1.2999999999999999E-2</v>
      </c>
    </row>
    <row r="80" spans="2:7" x14ac:dyDescent="0.2">
      <c r="B80" s="40">
        <f>'A7'!B13</f>
        <v>800</v>
      </c>
      <c r="C80" s="146" t="s">
        <v>107</v>
      </c>
      <c r="D80" s="139">
        <f>HLOOKUP(C80,'A7'!$C$18:$G$19,2,FALSE)</f>
        <v>0.01</v>
      </c>
      <c r="E80" s="147">
        <v>1.2999999999999999E-2</v>
      </c>
    </row>
    <row r="81" spans="2:5" x14ac:dyDescent="0.2">
      <c r="B81" s="40">
        <f>'A7'!B14</f>
        <v>900</v>
      </c>
      <c r="C81" s="146" t="s">
        <v>107</v>
      </c>
      <c r="D81" s="139">
        <f>HLOOKUP(C81,'A7'!$C$18:$G$19,2,FALSE)</f>
        <v>0.01</v>
      </c>
      <c r="E81" s="147">
        <v>1.2999999999999999E-2</v>
      </c>
    </row>
    <row r="82" spans="2:5" x14ac:dyDescent="0.2">
      <c r="B82" s="40">
        <f>'A7'!B15</f>
        <v>1000</v>
      </c>
      <c r="C82" s="146" t="s">
        <v>107</v>
      </c>
      <c r="D82" s="139">
        <f>HLOOKUP(C82,'A7'!$C$18:$G$19,2,FALSE)</f>
        <v>0.01</v>
      </c>
      <c r="E82" s="147">
        <v>1.2999999999999999E-2</v>
      </c>
    </row>
    <row r="85" spans="2:5" x14ac:dyDescent="0.2">
      <c r="B85" s="137" t="s">
        <v>125</v>
      </c>
      <c r="C85" s="138"/>
      <c r="D85" s="138"/>
    </row>
    <row r="86" spans="2:5" ht="38.25" x14ac:dyDescent="0.2">
      <c r="B86" s="62" t="s">
        <v>97</v>
      </c>
      <c r="C86" s="231" t="s">
        <v>105</v>
      </c>
      <c r="D86" s="62" t="s">
        <v>98</v>
      </c>
    </row>
    <row r="87" spans="2:5" x14ac:dyDescent="0.2">
      <c r="B87" s="232" t="s">
        <v>101</v>
      </c>
      <c r="C87" s="233">
        <v>1.3</v>
      </c>
      <c r="D87" s="234">
        <v>150</v>
      </c>
    </row>
    <row r="88" spans="2:5" x14ac:dyDescent="0.2">
      <c r="B88" s="232" t="s">
        <v>99</v>
      </c>
      <c r="C88" s="233">
        <v>1.8</v>
      </c>
      <c r="D88" s="234">
        <v>400</v>
      </c>
    </row>
    <row r="89" spans="2:5" x14ac:dyDescent="0.2">
      <c r="B89" s="232" t="s">
        <v>102</v>
      </c>
      <c r="C89" s="233">
        <v>3.5</v>
      </c>
      <c r="D89" s="234">
        <v>500</v>
      </c>
    </row>
    <row r="90" spans="2:5" x14ac:dyDescent="0.2">
      <c r="B90" s="232" t="s">
        <v>100</v>
      </c>
      <c r="C90" s="233">
        <v>4</v>
      </c>
      <c r="D90" s="234">
        <v>600</v>
      </c>
    </row>
    <row r="91" spans="2:5" x14ac:dyDescent="0.2">
      <c r="B91" s="232" t="s">
        <v>103</v>
      </c>
      <c r="C91" s="233">
        <v>6</v>
      </c>
      <c r="D91" s="234">
        <v>800</v>
      </c>
    </row>
    <row r="92" spans="2:5" x14ac:dyDescent="0.2">
      <c r="B92" s="232" t="s">
        <v>104</v>
      </c>
      <c r="C92" s="233">
        <v>15</v>
      </c>
      <c r="D92" s="234">
        <v>1000</v>
      </c>
    </row>
  </sheetData>
  <mergeCells count="11">
    <mergeCell ref="I29:L30"/>
    <mergeCell ref="K21:K22"/>
    <mergeCell ref="L21:L22"/>
    <mergeCell ref="J34:J36"/>
    <mergeCell ref="L34:L36"/>
    <mergeCell ref="K34:K36"/>
    <mergeCell ref="B6:E6"/>
    <mergeCell ref="B8:E8"/>
    <mergeCell ref="B10:E10"/>
    <mergeCell ref="B12:D12"/>
    <mergeCell ref="B14:D14"/>
  </mergeCells>
  <conditionalFormatting sqref="D69:D82">
    <cfRule type="cellIs" dxfId="176" priority="1873" operator="notEqual">
      <formula>E69</formula>
    </cfRule>
  </conditionalFormatting>
  <conditionalFormatting sqref="J38:L40">
    <cfRule type="cellIs" dxfId="175" priority="1831" operator="equal">
      <formula>0</formula>
    </cfRule>
  </conditionalFormatting>
  <conditionalFormatting sqref="L24">
    <cfRule type="cellIs" dxfId="174" priority="1827" operator="equal">
      <formula>0</formula>
    </cfRule>
  </conditionalFormatting>
  <conditionalFormatting sqref="L26">
    <cfRule type="cellIs" dxfId="173" priority="1826" operator="equal">
      <formula>0</formula>
    </cfRule>
  </conditionalFormatting>
  <conditionalFormatting sqref="K24">
    <cfRule type="cellIs" dxfId="172" priority="1825" operator="equal">
      <formula>0</formula>
    </cfRule>
  </conditionalFormatting>
  <conditionalFormatting sqref="C88">
    <cfRule type="expression" dxfId="171" priority="1053">
      <formula>C88&lt;C87</formula>
    </cfRule>
  </conditionalFormatting>
  <conditionalFormatting sqref="C89:C92">
    <cfRule type="expression" dxfId="170" priority="1052">
      <formula>C89&lt;C88</formula>
    </cfRule>
  </conditionalFormatting>
  <conditionalFormatting sqref="D88">
    <cfRule type="expression" dxfId="169" priority="1041">
      <formula>D88&lt;D87</formula>
    </cfRule>
  </conditionalFormatting>
  <conditionalFormatting sqref="D89:D92">
    <cfRule type="expression" dxfId="168" priority="1040">
      <formula>D89&lt;D88</formula>
    </cfRule>
  </conditionalFormatting>
  <conditionalFormatting sqref="F35">
    <cfRule type="cellIs" dxfId="67" priority="2" operator="equal">
      <formula>"Sim"</formula>
    </cfRule>
    <cfRule type="cellIs" dxfId="66" priority="3" operator="equal">
      <formula>"Não"</formula>
    </cfRule>
    <cfRule type="containsBlanks" dxfId="65" priority="4">
      <formula>LEN(TRIM(F35))=0</formula>
    </cfRule>
  </conditionalFormatting>
  <conditionalFormatting sqref="F21:F22">
    <cfRule type="cellIs" dxfId="64" priority="5" operator="equal">
      <formula>0</formula>
    </cfRule>
  </conditionalFormatting>
  <conditionalFormatting sqref="F26:F27">
    <cfRule type="cellIs" dxfId="63" priority="1" operator="equal">
      <formula>0</formula>
    </cfRule>
  </conditionalFormatting>
  <dataValidations count="16">
    <dataValidation type="list" allowBlank="1" showInputMessage="1" showErrorMessage="1" sqref="F35" xr:uid="{C0456F2A-C6CC-4592-8CDA-16C5468B4D4C}">
      <formula1>"No,Si"</formula1>
    </dataValidation>
    <dataValidation type="list" allowBlank="1" showInputMessage="1" showErrorMessage="1" sqref="C70" xr:uid="{AD6642AC-CB95-4CFF-818F-0952AE4FAD20}">
      <formula1>nDN_2</formula1>
    </dataValidation>
    <dataValidation type="list" allowBlank="1" showInputMessage="1" showErrorMessage="1" sqref="C71" xr:uid="{7079AB29-B598-4426-A9F0-39060346C741}">
      <formula1>nDN_3</formula1>
    </dataValidation>
    <dataValidation type="list" allowBlank="1" showInputMessage="1" showErrorMessage="1" sqref="C72" xr:uid="{95A50B81-8241-445F-9986-067F47EABAF1}">
      <formula1>nDN_4</formula1>
    </dataValidation>
    <dataValidation type="list" allowBlank="1" showInputMessage="1" showErrorMessage="1" sqref="C73" xr:uid="{0B7F5506-C98C-458D-AC2F-349D47B2F73A}">
      <formula1>nDN_5</formula1>
    </dataValidation>
    <dataValidation type="list" allowBlank="1" showInputMessage="1" showErrorMessage="1" sqref="C75" xr:uid="{57284254-8C28-4D64-A5B0-CA1E898BAA06}">
      <formula1>nDN_7</formula1>
    </dataValidation>
    <dataValidation type="list" allowBlank="1" showInputMessage="1" showErrorMessage="1" sqref="C79" xr:uid="{902C125D-0701-41DA-9972-1CB9FF5B002C}">
      <formula1>nDN_11</formula1>
    </dataValidation>
    <dataValidation type="list" allowBlank="1" showInputMessage="1" showErrorMessage="1" sqref="C82" xr:uid="{8C8847B7-1855-40DF-A64D-3FFDC323FF83}">
      <formula1>nDN_14</formula1>
    </dataValidation>
    <dataValidation type="list" allowBlank="1" showInputMessage="1" showErrorMessage="1" sqref="C76" xr:uid="{6FC5DC39-65C0-420E-9814-CF5A2B0E1C72}">
      <formula1>nDN_8</formula1>
    </dataValidation>
    <dataValidation type="list" allowBlank="1" showInputMessage="1" showErrorMessage="1" sqref="C77" xr:uid="{2545E586-69BD-4A1F-9C41-353B1656069A}">
      <formula1>nDN_9</formula1>
    </dataValidation>
    <dataValidation type="list" allowBlank="1" showInputMessage="1" showErrorMessage="1" sqref="C78" xr:uid="{0BFD0640-A4A1-422D-8E1B-CC21240AC47F}">
      <formula1>nDN_10</formula1>
    </dataValidation>
    <dataValidation type="list" allowBlank="1" showInputMessage="1" showErrorMessage="1" sqref="F60" xr:uid="{672EFE15-DB5B-406A-AE87-A33995E6911A}">
      <formula1>"CI"</formula1>
    </dataValidation>
    <dataValidation type="list" allowBlank="1" showInputMessage="1" showErrorMessage="1" sqref="C69" xr:uid="{A702A2DD-4180-437C-9DDC-742E28BD9759}">
      <formula1>nDN_1</formula1>
    </dataValidation>
    <dataValidation type="list" allowBlank="1" showInputMessage="1" showErrorMessage="1" sqref="C74" xr:uid="{2C15E2AD-533B-4E11-9900-6D755AD6B5C9}">
      <formula1>nDN_6</formula1>
    </dataValidation>
    <dataValidation type="list" allowBlank="1" showInputMessage="1" showErrorMessage="1" sqref="C80" xr:uid="{F38C70C9-BDF7-4555-BCFD-2BAB1A9F61E7}">
      <formula1>nDN_12</formula1>
    </dataValidation>
    <dataValidation type="list" allowBlank="1" showInputMessage="1" showErrorMessage="1" sqref="C81" xr:uid="{012C35F0-D336-4628-ABA9-DACB6F06A527}">
      <formula1>nDN_13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4" name="Button 3">
              <controlPr defaultSize="0" autoFill="0" autoPict="0" macro="[0]!Para_AbaINICIO">
                <anchor>
                  <from>
                    <xdr:col>6</xdr:col>
                    <xdr:colOff>133350</xdr:colOff>
                    <xdr:row>5</xdr:row>
                    <xdr:rowOff>123825</xdr:rowOff>
                  </from>
                  <to>
                    <xdr:col>7</xdr:col>
                    <xdr:colOff>104775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5" name="Button 27">
              <controlPr defaultSize="0" autoFill="0" autoPict="0" macro="[0]!Para_AbaRedBasica">
                <anchor>
                  <from>
                    <xdr:col>6</xdr:col>
                    <xdr:colOff>123825</xdr:colOff>
                    <xdr:row>8</xdr:row>
                    <xdr:rowOff>95250</xdr:rowOff>
                  </from>
                  <to>
                    <xdr:col>7</xdr:col>
                    <xdr:colOff>95250</xdr:colOff>
                    <xdr:row>10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7" r:id="rId6" name="Button 259">
              <controlPr defaultSize="0" print="0" autoFill="0" autoPict="0" macro="[0]!SalvaParametros">
                <anchor moveWithCells="1" sizeWithCells="1">
                  <from>
                    <xdr:col>8</xdr:col>
                    <xdr:colOff>85725</xdr:colOff>
                    <xdr:row>5</xdr:row>
                    <xdr:rowOff>114300</xdr:rowOff>
                  </from>
                  <to>
                    <xdr:col>8</xdr:col>
                    <xdr:colOff>942975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0" r:id="rId7" name="Button 262">
              <controlPr defaultSize="0" print="0" autoFill="0" autoPict="0" macro="[0]!RecargaParametros">
                <anchor moveWithCells="1" sizeWithCells="1">
                  <from>
                    <xdr:col>8</xdr:col>
                    <xdr:colOff>66675</xdr:colOff>
                    <xdr:row>8</xdr:row>
                    <xdr:rowOff>66675</xdr:rowOff>
                  </from>
                  <to>
                    <xdr:col>8</xdr:col>
                    <xdr:colOff>952500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2" r:id="rId8" name="Button 264">
              <controlPr defaultSize="0" print="0" autoFill="0" autoPict="0" macro="[0]!ParametrosPadrao">
                <anchor moveWithCells="1" sizeWithCells="1">
                  <from>
                    <xdr:col>8</xdr:col>
                    <xdr:colOff>76200</xdr:colOff>
                    <xdr:row>11</xdr:row>
                    <xdr:rowOff>28575</xdr:rowOff>
                  </from>
                  <to>
                    <xdr:col>8</xdr:col>
                    <xdr:colOff>962025</xdr:colOff>
                    <xdr:row>13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1"/>
  <dimension ref="A1:BEI10000"/>
  <sheetViews>
    <sheetView topLeftCell="E1" zoomScale="80" zoomScaleNormal="80" workbookViewId="0">
      <selection activeCell="K10" sqref="K10"/>
    </sheetView>
  </sheetViews>
  <sheetFormatPr defaultColWidth="8" defaultRowHeight="12.75" x14ac:dyDescent="0.2"/>
  <cols>
    <col min="1" max="1" width="4.28515625" style="44" hidden="1" customWidth="1"/>
    <col min="2" max="2" width="8.5703125" style="44" hidden="1" customWidth="1"/>
    <col min="3" max="3" width="8.85546875" style="44" hidden="1" customWidth="1"/>
    <col min="4" max="4" width="10.5703125" style="60" hidden="1" customWidth="1"/>
    <col min="5" max="5" width="11.85546875" style="208" customWidth="1"/>
    <col min="6" max="6" width="12.28515625" style="228" customWidth="1"/>
    <col min="7" max="9" width="13" style="44" customWidth="1"/>
    <col min="10" max="10" width="18.28515625" style="44" customWidth="1"/>
    <col min="11" max="12" width="10.42578125" style="44" customWidth="1"/>
    <col min="13" max="13" width="12.85546875" style="44" customWidth="1"/>
    <col min="14" max="15" width="11.85546875" style="44" customWidth="1"/>
    <col min="16" max="16" width="9.85546875" style="44" customWidth="1"/>
    <col min="17" max="17" width="10.5703125" style="44" customWidth="1"/>
    <col min="18" max="18" width="10" style="44" customWidth="1"/>
    <col min="19" max="19" width="6.85546875" style="44" customWidth="1"/>
    <col min="20" max="21" width="20.7109375" style="44" hidden="1" customWidth="1"/>
    <col min="22" max="23" width="20.7109375" style="44" customWidth="1"/>
    <col min="24" max="24" width="10" style="44" customWidth="1"/>
    <col min="25" max="25" width="12.7109375" style="44" hidden="1" customWidth="1"/>
    <col min="26" max="26" width="12" style="44" hidden="1" customWidth="1"/>
    <col min="27" max="27" width="12.42578125" style="58" hidden="1" customWidth="1"/>
    <col min="28" max="30" width="12.5703125" style="44" hidden="1" customWidth="1"/>
    <col min="31" max="31" width="10.85546875" style="44" customWidth="1"/>
    <col min="32" max="32" width="11.42578125" style="44" customWidth="1"/>
    <col min="33" max="33" width="1.5703125" style="44" customWidth="1"/>
    <col min="34" max="34" width="13.140625" style="58" customWidth="1"/>
    <col min="35" max="35" width="11.42578125" style="58" hidden="1" customWidth="1"/>
    <col min="36" max="36" width="13" style="98" customWidth="1"/>
    <col min="37" max="37" width="8.5703125" style="98" bestFit="1" customWidth="1"/>
    <col min="38" max="38" width="13.140625" style="98" customWidth="1"/>
    <col min="39" max="39" width="13.140625" style="98" hidden="1" customWidth="1"/>
    <col min="40" max="40" width="11.28515625" style="98" customWidth="1"/>
    <col min="41" max="41" width="1" style="98" customWidth="1"/>
    <col min="42" max="42" width="14.140625" style="98" customWidth="1"/>
    <col min="43" max="43" width="13.42578125" style="98" customWidth="1"/>
    <col min="44" max="44" width="11.42578125" style="98" bestFit="1" customWidth="1"/>
    <col min="45" max="45" width="11.85546875" style="44" customWidth="1"/>
    <col min="46" max="46" width="11.85546875" style="44" hidden="1" customWidth="1"/>
    <col min="47" max="48" width="11.85546875" style="44" customWidth="1"/>
    <col min="49" max="49" width="17.42578125" style="44" hidden="1" customWidth="1"/>
    <col min="50" max="50" width="15.140625" style="44" customWidth="1"/>
    <col min="51" max="51" width="16.7109375" style="44" hidden="1" customWidth="1"/>
    <col min="52" max="52" width="16.7109375" style="44" customWidth="1"/>
    <col min="53" max="53" width="16.7109375" style="44" hidden="1" customWidth="1"/>
    <col min="54" max="54" width="22" style="44" customWidth="1"/>
    <col min="55" max="56" width="6.85546875" style="53" customWidth="1"/>
    <col min="57" max="57" width="12.140625" style="53" customWidth="1"/>
    <col min="58" max="59" width="6.85546875" style="53" customWidth="1"/>
    <col min="60" max="60" width="7.5703125" style="53" customWidth="1"/>
    <col min="61" max="61" width="8.7109375" style="53" bestFit="1" customWidth="1"/>
    <col min="62" max="63" width="7.5703125" style="53" customWidth="1"/>
    <col min="64" max="64" width="14.7109375" style="53" customWidth="1"/>
    <col min="65" max="68" width="7.5703125" style="53" customWidth="1"/>
    <col min="69" max="69" width="6.85546875" style="53" customWidth="1"/>
    <col min="70" max="70" width="9.140625" style="53" customWidth="1"/>
    <col min="71" max="71" width="7" style="53" customWidth="1"/>
    <col min="72" max="72" width="7.5703125" style="53" customWidth="1"/>
    <col min="73" max="73" width="7" style="53" bestFit="1" customWidth="1"/>
    <col min="74" max="74" width="12.85546875" style="53" bestFit="1" customWidth="1"/>
    <col min="75" max="75" width="6.85546875" style="53" customWidth="1"/>
    <col min="76" max="76" width="8.85546875" style="53" customWidth="1"/>
    <col min="77" max="79" width="6.85546875" style="53" customWidth="1"/>
    <col min="80" max="80" width="8.85546875" style="53" customWidth="1"/>
    <col min="81" max="81" width="8.5703125" style="53" customWidth="1"/>
    <col min="82" max="118" width="6.85546875" style="53" customWidth="1"/>
    <col min="119" max="119" width="26.5703125" style="53" customWidth="1"/>
    <col min="120" max="121" width="8" style="53" customWidth="1"/>
    <col min="122" max="122" width="20.85546875" style="53" customWidth="1"/>
    <col min="123" max="124" width="8" style="53" customWidth="1"/>
    <col min="125" max="125" width="23.85546875" style="53" customWidth="1"/>
    <col min="126" max="127" width="8" style="53" customWidth="1"/>
    <col min="128" max="128" width="22" style="53" customWidth="1"/>
    <col min="129" max="129" width="8" style="53" customWidth="1"/>
    <col min="130" max="130" width="8.140625" style="53" customWidth="1"/>
    <col min="131" max="131" width="6.85546875" style="53" customWidth="1"/>
    <col min="132" max="16384" width="8" style="53"/>
  </cols>
  <sheetData>
    <row r="1" spans="1:1491" ht="22.5" x14ac:dyDescent="0.3">
      <c r="A1" s="45"/>
      <c r="E1" s="202" t="s">
        <v>88</v>
      </c>
      <c r="F1" s="225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</row>
    <row r="2" spans="1:1491" x14ac:dyDescent="0.2">
      <c r="A2" s="45"/>
      <c r="E2" s="203"/>
      <c r="F2" s="226"/>
      <c r="G2" s="42"/>
      <c r="H2" s="42"/>
      <c r="I2" s="42"/>
      <c r="J2" s="42"/>
      <c r="K2" s="42"/>
      <c r="L2" s="42"/>
      <c r="Q2" s="53"/>
      <c r="R2" s="53"/>
      <c r="S2" s="53"/>
      <c r="T2" s="53"/>
      <c r="U2" s="53"/>
      <c r="V2" s="53"/>
      <c r="W2" s="53"/>
      <c r="X2" s="53"/>
      <c r="Y2" s="53"/>
      <c r="Z2" s="53"/>
      <c r="AA2" s="42"/>
      <c r="AC2" s="42"/>
      <c r="AD2" s="42"/>
      <c r="AE2" s="42"/>
      <c r="AG2" s="42"/>
      <c r="AH2" s="42"/>
      <c r="AI2" s="53"/>
      <c r="AJ2" s="53"/>
      <c r="AK2" s="53"/>
      <c r="AL2" s="53"/>
      <c r="AM2" s="53"/>
      <c r="AN2" s="53"/>
      <c r="AO2" s="53"/>
      <c r="AP2" s="53"/>
      <c r="AQ2" s="53"/>
      <c r="AR2" s="53"/>
      <c r="AS2" s="53"/>
      <c r="AT2" s="53"/>
      <c r="AU2" s="53"/>
      <c r="AV2" s="53"/>
      <c r="AW2" s="53"/>
      <c r="AX2" s="53"/>
      <c r="AY2" s="53"/>
      <c r="AZ2" s="53"/>
      <c r="BA2" s="53"/>
      <c r="BB2" s="53"/>
    </row>
    <row r="3" spans="1:1491" ht="20.100000000000001" customHeight="1" x14ac:dyDescent="0.2">
      <c r="A3" s="45"/>
      <c r="E3" s="204" t="s">
        <v>169</v>
      </c>
      <c r="F3" s="227"/>
      <c r="G3" s="55"/>
      <c r="H3" s="56"/>
      <c r="I3" s="56"/>
      <c r="J3" s="190"/>
      <c r="T3" s="42"/>
      <c r="U3" s="42"/>
      <c r="V3" s="42"/>
      <c r="X3" s="42"/>
      <c r="Y3" s="42"/>
      <c r="Z3" s="42"/>
      <c r="AA3" s="45"/>
      <c r="AC3" s="45"/>
      <c r="AD3" s="330"/>
      <c r="AE3" s="45"/>
      <c r="AG3" s="45"/>
      <c r="AH3" s="330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X3" s="52"/>
      <c r="AY3" s="42"/>
      <c r="AZ3" s="42"/>
      <c r="BA3" s="42"/>
      <c r="BB3" s="42"/>
    </row>
    <row r="4" spans="1:1491" ht="20.100000000000001" customHeight="1" x14ac:dyDescent="0.2">
      <c r="A4" s="45"/>
      <c r="E4" s="205"/>
      <c r="F4" s="227"/>
      <c r="G4" s="55"/>
      <c r="H4" s="56"/>
      <c r="I4" s="56"/>
      <c r="J4" s="190"/>
      <c r="K4" s="190"/>
      <c r="T4" s="42"/>
      <c r="U4" s="42"/>
      <c r="V4" s="42"/>
      <c r="W4" s="42"/>
      <c r="X4" s="42"/>
      <c r="Y4" s="42"/>
      <c r="Z4" s="42"/>
      <c r="AA4" s="45"/>
      <c r="AB4" s="45"/>
      <c r="AC4" s="45"/>
      <c r="AD4" s="45"/>
      <c r="AE4" s="45"/>
      <c r="AF4" s="45"/>
      <c r="AG4" s="45"/>
      <c r="AH4" s="45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X4" s="52"/>
      <c r="AY4" s="42"/>
      <c r="AZ4" s="42"/>
      <c r="BA4" s="42"/>
      <c r="BB4" s="42"/>
      <c r="BC4" s="42"/>
    </row>
    <row r="5" spans="1:1491" ht="19.5" customHeight="1" x14ac:dyDescent="0.2">
      <c r="A5" s="45"/>
      <c r="E5" s="312" t="s">
        <v>165</v>
      </c>
      <c r="F5" s="313"/>
      <c r="G5" s="367">
        <f>Parametros!$B$6</f>
        <v>0</v>
      </c>
      <c r="H5" s="367"/>
      <c r="I5" s="367"/>
      <c r="J5" s="367"/>
      <c r="K5" s="367"/>
      <c r="L5" s="311"/>
      <c r="M5" s="311"/>
      <c r="N5" s="311"/>
      <c r="O5" s="311"/>
      <c r="P5" s="274"/>
      <c r="Q5" s="274"/>
      <c r="T5" s="42"/>
      <c r="U5" s="42"/>
      <c r="V5" s="42"/>
      <c r="X5" s="42"/>
      <c r="Y5" s="42"/>
      <c r="Z5" s="42"/>
      <c r="AA5" s="42"/>
      <c r="AC5" s="42"/>
      <c r="AD5" s="42"/>
      <c r="AE5" s="42"/>
      <c r="AG5" s="42"/>
      <c r="AH5" s="42"/>
      <c r="AI5" s="42"/>
      <c r="AJ5" s="42"/>
      <c r="AK5" s="42"/>
      <c r="AL5" s="92"/>
      <c r="AM5" s="61"/>
      <c r="AN5" s="42"/>
      <c r="AO5" s="42"/>
      <c r="AP5" s="42"/>
      <c r="AQ5" s="42"/>
      <c r="AR5" s="42"/>
      <c r="AS5" s="42"/>
      <c r="AT5" s="42"/>
      <c r="AU5" s="42"/>
      <c r="AV5" s="42"/>
      <c r="AX5" s="52"/>
      <c r="AY5" s="42"/>
      <c r="AZ5" s="42"/>
      <c r="BA5" s="42"/>
      <c r="BB5" s="42"/>
    </row>
    <row r="6" spans="1:1491" ht="15" customHeight="1" x14ac:dyDescent="0.2">
      <c r="A6" s="45"/>
      <c r="E6" s="312" t="s">
        <v>166</v>
      </c>
      <c r="F6" s="313"/>
      <c r="G6" s="367">
        <f>Parametros!$B$8</f>
        <v>0</v>
      </c>
      <c r="H6" s="367"/>
      <c r="I6" s="367"/>
      <c r="J6" s="367"/>
      <c r="K6" s="367"/>
      <c r="L6" s="311"/>
      <c r="M6" s="311"/>
      <c r="N6" s="311"/>
      <c r="O6" s="311"/>
      <c r="P6" s="273"/>
      <c r="T6" s="45"/>
      <c r="U6" s="57"/>
      <c r="V6" s="45"/>
      <c r="W6" s="57"/>
      <c r="X6" s="45"/>
      <c r="Y6" s="45"/>
      <c r="Z6" s="57"/>
      <c r="AA6" s="45"/>
      <c r="AC6" s="45"/>
      <c r="AD6" s="330"/>
      <c r="AE6" s="45"/>
      <c r="AG6" s="45"/>
      <c r="AH6" s="330"/>
      <c r="AI6" s="331"/>
      <c r="AJ6" s="45"/>
      <c r="AK6" s="45"/>
      <c r="AL6" s="45"/>
      <c r="AM6" s="61"/>
      <c r="AN6" s="45"/>
      <c r="AO6" s="45"/>
      <c r="AP6" s="45"/>
      <c r="AQ6" s="45"/>
      <c r="AR6" s="45"/>
      <c r="AS6" s="45"/>
      <c r="AT6" s="45"/>
      <c r="AU6" s="45"/>
      <c r="AV6" s="45"/>
      <c r="AX6" s="45"/>
      <c r="AY6" s="45"/>
      <c r="AZ6" s="45"/>
      <c r="BA6" s="45"/>
      <c r="BB6" s="45"/>
    </row>
    <row r="7" spans="1:1491" ht="15" customHeight="1" x14ac:dyDescent="0.2">
      <c r="A7" s="45"/>
      <c r="E7" s="312" t="s">
        <v>167</v>
      </c>
      <c r="F7" s="313"/>
      <c r="G7" s="367">
        <f>Parametros!$B$10</f>
        <v>0</v>
      </c>
      <c r="H7" s="367"/>
      <c r="I7" s="367"/>
      <c r="J7" s="367"/>
      <c r="K7" s="367"/>
      <c r="L7" s="311"/>
      <c r="M7" s="311"/>
      <c r="N7" s="311"/>
      <c r="O7" s="311"/>
      <c r="T7" s="45"/>
      <c r="U7" s="57"/>
      <c r="V7" s="45"/>
      <c r="W7" s="57"/>
      <c r="X7" s="45"/>
      <c r="Y7" s="45"/>
      <c r="Z7" s="57"/>
      <c r="AA7" s="45"/>
      <c r="AB7" s="45"/>
      <c r="AC7" s="45"/>
      <c r="AD7" s="45"/>
      <c r="AE7" s="45"/>
      <c r="AF7" s="45"/>
      <c r="AG7" s="45"/>
      <c r="AH7" s="45"/>
      <c r="AI7" s="45"/>
      <c r="AK7" s="45"/>
      <c r="AL7" s="45"/>
      <c r="AM7" s="61"/>
      <c r="AN7" s="45"/>
      <c r="AO7" s="45"/>
      <c r="AP7" s="45"/>
      <c r="AQ7" s="45"/>
      <c r="AR7" s="45"/>
      <c r="AS7" s="45"/>
      <c r="AT7" s="45"/>
      <c r="AU7" s="45"/>
      <c r="AV7" s="45"/>
      <c r="AX7" s="45"/>
      <c r="AY7" s="45"/>
      <c r="AZ7" s="45"/>
      <c r="BA7" s="45"/>
      <c r="BB7" s="45"/>
    </row>
    <row r="8" spans="1:1491" ht="14.25" customHeight="1" x14ac:dyDescent="0.2">
      <c r="A8" s="45"/>
      <c r="E8" s="312" t="s">
        <v>22</v>
      </c>
      <c r="F8" s="313"/>
      <c r="G8" s="367">
        <f>Parametros!$B$12</f>
        <v>0</v>
      </c>
      <c r="H8" s="367"/>
      <c r="I8" s="367"/>
      <c r="J8" s="367"/>
      <c r="K8" s="367"/>
      <c r="L8" s="311"/>
      <c r="M8" s="311"/>
      <c r="N8" s="311"/>
      <c r="O8" s="311"/>
      <c r="P8" s="325">
        <f>'A2'!AE13</f>
        <v>0.02</v>
      </c>
      <c r="AA8" s="42"/>
      <c r="AC8" s="42"/>
      <c r="AD8" s="42"/>
      <c r="AE8" s="42"/>
      <c r="AG8" s="42"/>
      <c r="AH8" s="42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X8" s="45"/>
      <c r="BB8" s="45"/>
    </row>
    <row r="9" spans="1:1491" ht="18" x14ac:dyDescent="0.2">
      <c r="A9" s="45"/>
      <c r="E9" s="312" t="s">
        <v>168</v>
      </c>
      <c r="F9" s="315"/>
      <c r="G9" s="368">
        <f>Parametros!$B$14</f>
        <v>0</v>
      </c>
      <c r="H9" s="367"/>
      <c r="I9" s="367"/>
      <c r="J9" s="367"/>
      <c r="K9" s="367"/>
      <c r="L9" s="311"/>
      <c r="M9" s="311"/>
      <c r="N9" s="311"/>
      <c r="O9" s="311"/>
      <c r="P9" s="273"/>
      <c r="Q9" s="273"/>
      <c r="AA9" s="45"/>
      <c r="AC9" s="45"/>
      <c r="AD9" s="330"/>
      <c r="AE9" s="45"/>
      <c r="AG9" s="45"/>
      <c r="AH9" s="330"/>
      <c r="AI9" s="45"/>
      <c r="AJ9" s="45"/>
      <c r="AK9" s="45"/>
      <c r="AL9" s="45"/>
      <c r="AM9" s="45"/>
      <c r="AN9" s="45"/>
      <c r="AO9" s="45"/>
      <c r="AP9" s="45"/>
      <c r="AQ9" s="45"/>
      <c r="AR9" s="45"/>
      <c r="AS9" s="45"/>
      <c r="AT9" s="57"/>
      <c r="AU9" s="57"/>
      <c r="AV9" s="57"/>
      <c r="AX9" s="57"/>
      <c r="AY9" s="57"/>
      <c r="AZ9" s="57"/>
      <c r="BA9" s="57"/>
      <c r="BB9" s="45"/>
      <c r="BC9" s="57"/>
    </row>
    <row r="10" spans="1:1491" ht="21" customHeight="1" x14ac:dyDescent="0.2">
      <c r="A10" s="45"/>
      <c r="B10" s="45"/>
      <c r="C10" s="45"/>
      <c r="D10" s="45"/>
      <c r="E10" s="206"/>
      <c r="G10" s="2"/>
      <c r="I10" s="2"/>
      <c r="J10" s="3"/>
      <c r="K10" s="2"/>
      <c r="L10" s="3"/>
      <c r="M10" s="7"/>
      <c r="N10" s="7"/>
      <c r="O10" s="7"/>
      <c r="P10" s="325">
        <f>'A2'!V13</f>
        <v>0</v>
      </c>
      <c r="Q10" s="7"/>
      <c r="R10" s="7"/>
      <c r="T10" s="7"/>
      <c r="U10" s="7"/>
      <c r="V10" s="7"/>
      <c r="W10" s="7"/>
      <c r="X10" s="7"/>
      <c r="Y10" s="7"/>
      <c r="Z10" s="2"/>
      <c r="AA10" s="5"/>
      <c r="AB10" s="2"/>
      <c r="AC10" s="2"/>
      <c r="AD10" s="2"/>
      <c r="AE10" s="2"/>
      <c r="AF10" s="2"/>
      <c r="AG10" s="2"/>
      <c r="AH10" s="5"/>
      <c r="AI10" s="5"/>
      <c r="AJ10" s="5"/>
      <c r="AK10" s="5"/>
      <c r="AL10" s="42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7"/>
      <c r="AX10" s="57"/>
      <c r="AY10" s="5"/>
      <c r="AZ10" s="5"/>
      <c r="BA10" s="5"/>
      <c r="BB10" s="45"/>
      <c r="BC10" s="5"/>
    </row>
    <row r="11" spans="1:1491" x14ac:dyDescent="0.2">
      <c r="A11" s="235">
        <f>SUM($A$15:$A$10000)</f>
        <v>36</v>
      </c>
      <c r="B11" s="154"/>
      <c r="C11" s="154"/>
      <c r="D11" s="154"/>
      <c r="E11" s="207"/>
      <c r="F11" s="230">
        <f>SUM($F$15:$F$10000)</f>
        <v>2018.9000000000003</v>
      </c>
      <c r="G11" s="6"/>
      <c r="H11" s="6"/>
      <c r="I11" s="6"/>
      <c r="J11" s="1"/>
      <c r="K11" s="235">
        <f>SUM($K$15:$K$10000)</f>
        <v>257</v>
      </c>
      <c r="L11" s="235">
        <f>SUM($L$15:$L$10000)</f>
        <v>188</v>
      </c>
      <c r="M11" s="7"/>
      <c r="N11" s="7"/>
      <c r="O11" s="7"/>
      <c r="P11" s="7"/>
      <c r="Q11" s="7"/>
      <c r="R11" s="7"/>
      <c r="S11" s="7"/>
      <c r="T11" s="213"/>
      <c r="U11" s="213"/>
      <c r="V11" s="7"/>
      <c r="W11" s="7"/>
      <c r="X11" s="310"/>
      <c r="Y11" s="213"/>
      <c r="Z11" s="213"/>
      <c r="AA11" s="236"/>
      <c r="AB11" s="213"/>
      <c r="AC11" s="213"/>
      <c r="AD11" s="213"/>
      <c r="AE11" s="2"/>
      <c r="AF11" s="2"/>
      <c r="AG11" s="2"/>
      <c r="AH11" s="5"/>
      <c r="AI11" s="275"/>
      <c r="AJ11" s="7"/>
      <c r="AK11" s="8"/>
      <c r="AL11" s="8"/>
      <c r="AM11" s="237"/>
      <c r="AN11" s="8"/>
      <c r="AO11" s="8"/>
      <c r="AP11" s="5"/>
      <c r="AQ11" s="8"/>
      <c r="AR11" s="8"/>
      <c r="AS11" s="8"/>
      <c r="AT11" s="237"/>
      <c r="AU11" s="7"/>
      <c r="AV11" s="7"/>
      <c r="AW11" s="213"/>
      <c r="AX11" s="57"/>
      <c r="AY11" s="213"/>
      <c r="AZ11" s="42"/>
      <c r="BA11" s="213"/>
      <c r="BB11" s="45"/>
    </row>
    <row r="12" spans="1:1491" ht="48.75" customHeight="1" x14ac:dyDescent="0.2">
      <c r="A12" s="216"/>
      <c r="B12" s="429" t="s">
        <v>96</v>
      </c>
      <c r="C12" s="429" t="s">
        <v>60</v>
      </c>
      <c r="D12" s="410" t="s">
        <v>170</v>
      </c>
      <c r="E12" s="453" t="s">
        <v>205</v>
      </c>
      <c r="F12" s="413" t="s">
        <v>206</v>
      </c>
      <c r="G12" s="424" t="s">
        <v>207</v>
      </c>
      <c r="H12" s="425"/>
      <c r="I12" s="425"/>
      <c r="J12" s="426"/>
      <c r="K12" s="427" t="s">
        <v>216</v>
      </c>
      <c r="L12" s="428"/>
      <c r="M12" s="418" t="s">
        <v>217</v>
      </c>
      <c r="N12" s="419"/>
      <c r="O12" s="420"/>
      <c r="P12" s="447" t="s">
        <v>221</v>
      </c>
      <c r="Q12" s="447" t="s">
        <v>222</v>
      </c>
      <c r="R12" s="369" t="s">
        <v>223</v>
      </c>
      <c r="S12" s="372" t="s">
        <v>184</v>
      </c>
      <c r="T12" s="458" t="s">
        <v>224</v>
      </c>
      <c r="U12" s="459"/>
      <c r="V12" s="460" t="s">
        <v>41</v>
      </c>
      <c r="W12" s="461"/>
      <c r="X12" s="369" t="s">
        <v>229</v>
      </c>
      <c r="Y12" s="390" t="s">
        <v>230</v>
      </c>
      <c r="Z12" s="391"/>
      <c r="AA12" s="394" t="s">
        <v>231</v>
      </c>
      <c r="AB12" s="394"/>
      <c r="AC12" s="379" t="s">
        <v>367</v>
      </c>
      <c r="AD12" s="380"/>
      <c r="AE12" s="396" t="s">
        <v>234</v>
      </c>
      <c r="AF12" s="397"/>
      <c r="AG12" s="398"/>
      <c r="AH12" s="399"/>
      <c r="AI12" s="406" t="s">
        <v>238</v>
      </c>
      <c r="AJ12" s="406"/>
      <c r="AK12" s="438" t="s">
        <v>119</v>
      </c>
      <c r="AL12" s="442" t="s">
        <v>239</v>
      </c>
      <c r="AM12" s="442"/>
      <c r="AN12" s="442"/>
      <c r="AO12" s="442"/>
      <c r="AP12" s="442"/>
      <c r="AQ12" s="442"/>
      <c r="AR12" s="442"/>
      <c r="AS12" s="442"/>
      <c r="AT12" s="442"/>
      <c r="AU12" s="442"/>
      <c r="AV12" s="443"/>
      <c r="AW12" s="450" t="s">
        <v>250</v>
      </c>
      <c r="AX12" s="386" t="s">
        <v>251</v>
      </c>
      <c r="AY12" s="444" t="s">
        <v>252</v>
      </c>
      <c r="AZ12" s="383" t="s">
        <v>253</v>
      </c>
      <c r="BA12" s="432" t="s">
        <v>254</v>
      </c>
      <c r="BB12" s="435" t="s">
        <v>255</v>
      </c>
    </row>
    <row r="13" spans="1:1491" ht="48.75" customHeight="1" x14ac:dyDescent="0.2">
      <c r="A13" s="217"/>
      <c r="B13" s="430"/>
      <c r="C13" s="430" t="s">
        <v>60</v>
      </c>
      <c r="D13" s="411"/>
      <c r="E13" s="454"/>
      <c r="F13" s="414"/>
      <c r="G13" s="421" t="s">
        <v>208</v>
      </c>
      <c r="H13" s="422"/>
      <c r="I13" s="423"/>
      <c r="J13" s="215" t="s">
        <v>209</v>
      </c>
      <c r="K13" s="424" t="s">
        <v>209</v>
      </c>
      <c r="L13" s="426"/>
      <c r="M13" s="408" t="s">
        <v>218</v>
      </c>
      <c r="N13" s="416" t="s">
        <v>219</v>
      </c>
      <c r="O13" s="416" t="s">
        <v>220</v>
      </c>
      <c r="P13" s="448"/>
      <c r="Q13" s="448"/>
      <c r="R13" s="370"/>
      <c r="S13" s="373"/>
      <c r="T13" s="377" t="s">
        <v>225</v>
      </c>
      <c r="U13" s="377" t="s">
        <v>226</v>
      </c>
      <c r="V13" s="375" t="s">
        <v>227</v>
      </c>
      <c r="W13" s="375" t="s">
        <v>228</v>
      </c>
      <c r="X13" s="370"/>
      <c r="Y13" s="392"/>
      <c r="Z13" s="393"/>
      <c r="AA13" s="395"/>
      <c r="AB13" s="395"/>
      <c r="AC13" s="381"/>
      <c r="AD13" s="382"/>
      <c r="AE13" s="400"/>
      <c r="AF13" s="401"/>
      <c r="AG13" s="402"/>
      <c r="AH13" s="403"/>
      <c r="AI13" s="407"/>
      <c r="AJ13" s="407"/>
      <c r="AK13" s="439"/>
      <c r="AL13" s="404" t="s">
        <v>240</v>
      </c>
      <c r="AM13" s="404"/>
      <c r="AN13" s="404"/>
      <c r="AO13" s="404"/>
      <c r="AP13" s="404"/>
      <c r="AQ13" s="404"/>
      <c r="AR13" s="405"/>
      <c r="AS13" s="441" t="s">
        <v>241</v>
      </c>
      <c r="AT13" s="441"/>
      <c r="AU13" s="441"/>
      <c r="AV13" s="441"/>
      <c r="AW13" s="451"/>
      <c r="AX13" s="387"/>
      <c r="AY13" s="445"/>
      <c r="AZ13" s="384"/>
      <c r="BA13" s="433"/>
      <c r="BB13" s="436"/>
    </row>
    <row r="14" spans="1:1491" ht="86.25" customHeight="1" x14ac:dyDescent="0.2">
      <c r="A14" s="218" t="s">
        <v>129</v>
      </c>
      <c r="B14" s="431"/>
      <c r="C14" s="431"/>
      <c r="D14" s="412"/>
      <c r="E14" s="455" t="s">
        <v>8</v>
      </c>
      <c r="F14" s="415"/>
      <c r="G14" s="219" t="s">
        <v>215</v>
      </c>
      <c r="H14" s="270" t="s">
        <v>213</v>
      </c>
      <c r="I14" s="270" t="s">
        <v>214</v>
      </c>
      <c r="J14" s="270" t="s">
        <v>210</v>
      </c>
      <c r="K14" s="219" t="s">
        <v>211</v>
      </c>
      <c r="L14" s="219" t="s">
        <v>212</v>
      </c>
      <c r="M14" s="409"/>
      <c r="N14" s="417"/>
      <c r="O14" s="417"/>
      <c r="P14" s="449" t="s">
        <v>34</v>
      </c>
      <c r="Q14" s="449"/>
      <c r="R14" s="371"/>
      <c r="S14" s="374"/>
      <c r="T14" s="378"/>
      <c r="U14" s="378"/>
      <c r="V14" s="376"/>
      <c r="W14" s="376"/>
      <c r="X14" s="371"/>
      <c r="Y14" s="220" t="s">
        <v>232</v>
      </c>
      <c r="Z14" s="220" t="s">
        <v>233</v>
      </c>
      <c r="AA14" s="188" t="s">
        <v>232</v>
      </c>
      <c r="AB14" s="188" t="s">
        <v>233</v>
      </c>
      <c r="AC14" s="348" t="s">
        <v>232</v>
      </c>
      <c r="AD14" s="348" t="s">
        <v>233</v>
      </c>
      <c r="AE14" s="276" t="s">
        <v>35</v>
      </c>
      <c r="AF14" s="456" t="s">
        <v>235</v>
      </c>
      <c r="AG14" s="457"/>
      <c r="AH14" s="276" t="s">
        <v>236</v>
      </c>
      <c r="AI14" s="188" t="s">
        <v>59</v>
      </c>
      <c r="AJ14" s="188" t="s">
        <v>237</v>
      </c>
      <c r="AK14" s="440"/>
      <c r="AL14" s="269" t="s">
        <v>242</v>
      </c>
      <c r="AM14" s="269" t="s">
        <v>243</v>
      </c>
      <c r="AN14" s="389" t="s">
        <v>244</v>
      </c>
      <c r="AO14" s="389"/>
      <c r="AP14" s="267" t="s">
        <v>245</v>
      </c>
      <c r="AQ14" s="267" t="s">
        <v>246</v>
      </c>
      <c r="AR14" s="189" t="s">
        <v>247</v>
      </c>
      <c r="AS14" s="264" t="s">
        <v>248</v>
      </c>
      <c r="AT14" s="268" t="s">
        <v>249</v>
      </c>
      <c r="AU14" s="265" t="s">
        <v>244</v>
      </c>
      <c r="AV14" s="266" t="s">
        <v>245</v>
      </c>
      <c r="AW14" s="452"/>
      <c r="AX14" s="388"/>
      <c r="AY14" s="446"/>
      <c r="AZ14" s="385"/>
      <c r="BA14" s="434"/>
      <c r="BB14" s="437"/>
    </row>
    <row r="15" spans="1:1491" s="96" customFormat="1" ht="15" customHeight="1" x14ac:dyDescent="0.2">
      <c r="A15" s="94">
        <v>1</v>
      </c>
      <c r="B15" s="221">
        <v>1</v>
      </c>
      <c r="C15" s="221">
        <v>0</v>
      </c>
      <c r="D15" s="222" t="s">
        <v>386</v>
      </c>
      <c r="E15" s="223" t="s">
        <v>387</v>
      </c>
      <c r="F15" s="224">
        <v>58.15</v>
      </c>
      <c r="G15" s="221"/>
      <c r="H15" s="221"/>
      <c r="I15" s="221"/>
      <c r="J15" s="221" t="s">
        <v>388</v>
      </c>
      <c r="K15" s="221">
        <v>32</v>
      </c>
      <c r="L15" s="221">
        <v>28</v>
      </c>
      <c r="M15" s="68">
        <f>Parametros!$F$44*F15/1000</f>
        <v>5.8149999999999999E-4</v>
      </c>
      <c r="N15" s="88">
        <f>SUM('A1'!F15,'A1'!G15,'A1'!H15)+M15</f>
        <v>0.28058150000000004</v>
      </c>
      <c r="O15" s="88">
        <f>SUM('A1'!L15,'A1'!M15,'A1'!N15)+M15</f>
        <v>0.2047481666666667</v>
      </c>
      <c r="P15" s="192"/>
      <c r="Q15" s="192"/>
      <c r="R15" s="69"/>
      <c r="S15" s="88">
        <f>'A2'!AE15</f>
        <v>0</v>
      </c>
      <c r="T15" s="71">
        <f t="shared" ref="T15" si="0">V15-AJ15/1000</f>
        <v>0.9</v>
      </c>
      <c r="U15" s="71">
        <f t="shared" ref="U15" si="1">W15-AJ15/1000</f>
        <v>0.9</v>
      </c>
      <c r="V15" s="71">
        <f>IF(B15=1,IF(ISBLANK(R15),IF(P15=1,Parametros!$F$58+AJ15/1000,Parametros!$F$57+AJ15/1000),R15),IF(ISBLANK(R15),MAX('A2'!H15+Parametros!$F$64,S15,IF(P15=1,Parametros!$F$58+Parametros!$F$64+(AJ15/1000),Parametros!$F$57+Parametros!$F$64+(AJ15/1000))),MAX('A2'!H15+Parametros!$F$64,R15)))</f>
        <v>1.05</v>
      </c>
      <c r="W15" s="71">
        <f>IF(F15=0,0,IF(IF(ISBLANK(X15),0,X15)&gt;=0,IF(ISBLANK(X15),MAX(Z15-(AA15-AF15*F15),IF(P15=1,Parametros!$F$58+AJ15/1000,Parametros!$F$57+AJ15/1000)),MAX(Z15-(AA15-AF15*F15),X15)),IF(ISBLANK(X15),Z15-(AA15-AF15*F15),MAX(Z15-(AA15-AF15*F15),X15))))</f>
        <v>1.05</v>
      </c>
      <c r="X15" s="69"/>
      <c r="Y15" s="72">
        <v>189.2</v>
      </c>
      <c r="Z15" s="72">
        <v>187.53</v>
      </c>
      <c r="AA15" s="72">
        <f>IF(OR(F15=0,ISBLANK(D15)),"-",Y15-V15)</f>
        <v>188.14999999999998</v>
      </c>
      <c r="AB15" s="72">
        <f>IF(OR(F15=0,ISBLANK(D15)),"-",Z15-W15)</f>
        <v>186.48</v>
      </c>
      <c r="AC15" s="72">
        <f>IF(OR(F15=0,ISBLANK(D15)),"-",Y15-T15)</f>
        <v>188.29999999999998</v>
      </c>
      <c r="AD15" s="72">
        <f>IF(OR(F15=0,ISBLANK(D15)),"-",Z15-U15)</f>
        <v>186.63</v>
      </c>
      <c r="AE15" s="73">
        <f>IF(F15=0,0,IF(ISBLANK(D15),0,(Y15-Z15)/F15))</f>
        <v>2.8718830610489899E-2</v>
      </c>
      <c r="AF15" s="153">
        <f>IF(F15=0,0,IF(AJ15&lt;=Parametros!$C$53,Parametros!$F$53,IF(AJ15&lt;=Parametros!$C$54,Parametros!$F$54,IF(AJ15&gt;=Parametros!$C$55,Parametros!$F$55))))</f>
        <v>4.4999999999999997E-3</v>
      </c>
      <c r="AG15" s="74">
        <f>IF(F15=0,0,IF(AJ15&lt;=Parametros!$C$53,Parametros!$F$53,IF(AJ15&lt;=Parametros!$C$54,Parametros!$F$54,IF(AJ15&gt;=Parametros!$C$55,Parametros!$F$55))))</f>
        <v>4.4999999999999997E-3</v>
      </c>
      <c r="AH15" s="75">
        <f>IF(F15=0,0,IF(ISBLANK(D15),0,(AC15-AD15)/F15))</f>
        <v>2.8718830610489899E-2</v>
      </c>
      <c r="AI15" s="66">
        <f>IF(INDEX(Parametros!$B$68:$B$82,MATCH(DN1mm(AL15,AH15,AK15,Parametros!$F$48),Parametros!$B$68:$B$82,TRUE)+1)&lt;Parametros!$F$50,Parametros!$F$50,INDEX(Parametros!$B$68:$B$82,MATCH(DN1mm(AL15,AH15,AK15,Parametros!$F$48),Parametros!$B$68:$B$82,TRUE)+1))</f>
        <v>150</v>
      </c>
      <c r="AJ15" s="76">
        <f>IF(B15=1,Parametros!$F$50,AJ14)</f>
        <v>150</v>
      </c>
      <c r="AK15" s="155">
        <f>IF(OR(F15=0,D15=0),0,VLOOKUP(AJ15,Parametros!$B$69:$E$82,4,FALSE))</f>
        <v>1.2999999999999999E-2</v>
      </c>
      <c r="AL15" s="77">
        <f>IF(OR(ISBLANK($D15),N15=0),0,IF(N15&lt;Parametros!$F$46,Parametros!$F$46,N15))</f>
        <v>1.5</v>
      </c>
      <c r="AM15" s="77">
        <f>IF(F15=0,0,IF(ISBLANK(D15),0,LAMINAABS(AL15,AJ15,AH15,AK15)))</f>
        <v>2.4539365398926805E-2</v>
      </c>
      <c r="AN15" s="172">
        <f>IF(F15=0,0,IF(ISBLANK(D15),0,LAMINAREL(AL15,AJ15,AH15,AK15)))</f>
        <v>0.1635957693261787</v>
      </c>
      <c r="AO15" s="173">
        <f>IF(OR(AND(AN15&gt;Parametros!$F$47,AJ15=100),AN15&gt;Parametros!$F$48),1,0)</f>
        <v>0</v>
      </c>
      <c r="AP15" s="77">
        <f>IF(F15=0,0,IF(ISBLANK(D15),0,TENSTRAT(AL15,AJ15,AH15,AK15)))</f>
        <v>4.2503813331338174</v>
      </c>
      <c r="AQ15" s="77">
        <f>IF(F15=0,0,IF(ISBLANK(D15),0,VELOCRIT(AL15,AJ15,AH15,AK15)))</f>
        <v>2.3070677922838927</v>
      </c>
      <c r="AR15" s="77">
        <f>IF(F15=0,0,IF(ISBLANK(D15),0,VELOCID(AL15,AJ15,AH15,AK15)))</f>
        <v>0.79580635123307975</v>
      </c>
      <c r="AS15" s="77">
        <f>IF(OR(ISBLANK($D15),O15=0),0,IF(O15&lt;Parametros!$F$46,Parametros!$F$46,O15))</f>
        <v>1.5</v>
      </c>
      <c r="AT15" s="77">
        <f>IF(F15=0,0,IF(ISBLANK(D15),0,LAMINAABS(AS15,AJ15,AH15,AK15)))</f>
        <v>2.4539365398926805E-2</v>
      </c>
      <c r="AU15" s="172">
        <f>IF(F15=0,0,IF(ISBLANK(D15),0,LAMINAREL(AS15,AJ15,AH15,AK15)))</f>
        <v>0.1635957693261787</v>
      </c>
      <c r="AV15" s="77">
        <f>IF(F15=0,0,IF(ISBLANK(D15),0,TENSTRAT(AS15,AJ15,AH15,AK15)))</f>
        <v>4.2503813331338174</v>
      </c>
      <c r="AW15" s="221" t="s">
        <v>387</v>
      </c>
      <c r="AX15" s="70" t="str">
        <f>IF(AND(V15&lt;=Parametros!$C$87,AJ15&lt;=Parametros!$D$87),Parametros!$B$87,IF(AND(V15&lt;=Parametros!$C$88,AJ15&lt;=Parametros!$D$88),Parametros!$B$88,IF(AND(V15&lt;=Parametros!$C$89,AJ15&lt;=Parametros!$D$89),Parametros!$B$89,IF(AND(V15&lt;=Parametros!$C$90,AJ15&lt;=Parametros!$D$90),Parametros!$B$90,IF(AND(V15&lt;=Parametros!$C$91,AJ15&lt;=Parametros!$D$91),Parametros!$B$91,Parametros!$B$92)))))</f>
        <v>CI-0.60</v>
      </c>
      <c r="AY15" s="66" t="s">
        <v>389</v>
      </c>
      <c r="AZ15" s="70" t="str">
        <f>IFERROR(INDEX($AX$15:$AX$10000,MATCH(BA15,$E$15:$E$10000,0)),AX15)</f>
        <v>PV-0.80</v>
      </c>
      <c r="BA15" s="221" t="s">
        <v>389</v>
      </c>
      <c r="BB15" s="144"/>
      <c r="BC15" s="91"/>
      <c r="BD15" s="91"/>
      <c r="BE15" s="91">
        <f>1000*((AK15*AL15/1000)/(0.284219*(AH15^(1/2))))^(3/8)</f>
        <v>53.424048759736827</v>
      </c>
      <c r="BF15" s="91"/>
      <c r="BG15" s="91"/>
      <c r="BH15" s="91"/>
      <c r="BI15" s="91"/>
      <c r="BJ15" s="91"/>
      <c r="BK15" s="91"/>
      <c r="BL15" s="91"/>
      <c r="BM15" s="91"/>
      <c r="BN15" s="91"/>
      <c r="BO15" s="91"/>
      <c r="BP15" s="91"/>
      <c r="BQ15" s="91"/>
      <c r="BR15" s="91"/>
      <c r="BS15" s="91"/>
      <c r="BT15" s="91"/>
      <c r="BU15" s="91"/>
      <c r="BV15" s="91"/>
      <c r="BW15" s="91"/>
      <c r="BX15" s="91"/>
      <c r="BY15" s="91"/>
      <c r="BZ15" s="91"/>
      <c r="CA15" s="91"/>
      <c r="CB15" s="91"/>
      <c r="CC15" s="91"/>
      <c r="CD15" s="91"/>
      <c r="CE15" s="91"/>
      <c r="CF15" s="91"/>
      <c r="CG15" s="91"/>
      <c r="CH15" s="91"/>
      <c r="CI15" s="91"/>
      <c r="CJ15" s="91"/>
      <c r="CK15" s="91"/>
      <c r="CL15" s="91"/>
      <c r="CM15" s="91"/>
      <c r="CN15" s="91"/>
      <c r="CO15" s="91"/>
      <c r="CP15" s="91"/>
      <c r="CQ15" s="91"/>
      <c r="CR15" s="91"/>
      <c r="CS15" s="91"/>
      <c r="CT15" s="91"/>
      <c r="CU15" s="91"/>
      <c r="CV15" s="91"/>
      <c r="CW15" s="91"/>
      <c r="CX15" s="91"/>
      <c r="CY15" s="91"/>
      <c r="CZ15" s="91"/>
      <c r="DA15" s="91"/>
      <c r="DB15" s="91"/>
      <c r="DC15" s="91"/>
      <c r="DD15" s="91"/>
      <c r="DE15" s="91"/>
      <c r="DF15" s="91"/>
      <c r="DG15" s="91"/>
      <c r="DH15" s="91"/>
      <c r="DI15" s="91"/>
      <c r="DJ15" s="91"/>
      <c r="DK15" s="91"/>
      <c r="DL15" s="91"/>
      <c r="DM15" s="91"/>
      <c r="DN15" s="91"/>
      <c r="DO15" s="91"/>
      <c r="DP15" s="91"/>
      <c r="DQ15" s="91"/>
      <c r="DR15" s="91"/>
      <c r="DS15" s="91"/>
      <c r="DT15" s="91"/>
      <c r="DU15" s="91"/>
      <c r="DV15" s="91"/>
      <c r="DW15" s="91"/>
      <c r="DX15" s="91"/>
      <c r="DY15" s="91"/>
      <c r="DZ15" s="91"/>
      <c r="EA15" s="91"/>
      <c r="EB15" s="91"/>
      <c r="EC15" s="91"/>
      <c r="ED15" s="91"/>
      <c r="EE15" s="91"/>
      <c r="EF15" s="91"/>
      <c r="EG15" s="91"/>
      <c r="EH15" s="91"/>
      <c r="EI15" s="91"/>
      <c r="EJ15" s="91"/>
      <c r="EK15" s="91"/>
      <c r="EL15" s="91"/>
      <c r="EM15" s="91"/>
      <c r="EN15" s="91"/>
      <c r="EO15" s="91"/>
      <c r="EP15" s="91"/>
      <c r="EQ15" s="91"/>
      <c r="ER15" s="91"/>
      <c r="ES15" s="91"/>
      <c r="ET15" s="91"/>
      <c r="EU15" s="91"/>
      <c r="EV15" s="91"/>
      <c r="EW15" s="91"/>
      <c r="EX15" s="91"/>
      <c r="EY15" s="91"/>
      <c r="EZ15" s="91"/>
      <c r="FA15" s="91"/>
      <c r="FB15" s="91"/>
      <c r="FC15" s="91"/>
      <c r="FD15" s="91"/>
      <c r="FE15" s="91"/>
      <c r="FF15" s="91"/>
      <c r="FG15" s="91"/>
      <c r="FH15" s="91"/>
      <c r="FI15" s="91"/>
      <c r="FJ15" s="91"/>
      <c r="FK15" s="91"/>
      <c r="FL15" s="91"/>
      <c r="FM15" s="91"/>
      <c r="FN15" s="91"/>
      <c r="FO15" s="91"/>
      <c r="FP15" s="91"/>
      <c r="FQ15" s="91"/>
      <c r="FR15" s="91"/>
      <c r="FS15" s="91"/>
      <c r="FT15" s="91"/>
      <c r="FU15" s="91"/>
      <c r="FV15" s="91"/>
      <c r="FW15" s="91"/>
      <c r="FX15" s="91"/>
      <c r="FY15" s="91"/>
      <c r="FZ15" s="91"/>
      <c r="GA15" s="91"/>
      <c r="GB15" s="91"/>
      <c r="GC15" s="91"/>
      <c r="GD15" s="91"/>
      <c r="GE15" s="91"/>
      <c r="GF15" s="91"/>
      <c r="GG15" s="91"/>
      <c r="GH15" s="91"/>
      <c r="GI15" s="91"/>
      <c r="GJ15" s="91"/>
      <c r="GK15" s="91"/>
      <c r="GL15" s="91"/>
      <c r="GM15" s="91"/>
      <c r="GN15" s="91"/>
      <c r="GO15" s="91"/>
      <c r="GP15" s="91"/>
      <c r="GQ15" s="91"/>
      <c r="GR15" s="91"/>
      <c r="GS15" s="91"/>
      <c r="GT15" s="91"/>
      <c r="GU15" s="91"/>
      <c r="GV15" s="91"/>
      <c r="GW15" s="91"/>
      <c r="GX15" s="91"/>
      <c r="GY15" s="91"/>
      <c r="GZ15" s="91"/>
      <c r="HA15" s="91"/>
      <c r="HB15" s="91"/>
      <c r="HC15" s="91"/>
      <c r="HD15" s="91"/>
      <c r="HE15" s="91"/>
      <c r="HF15" s="91"/>
      <c r="HG15" s="91"/>
      <c r="HH15" s="91"/>
      <c r="HI15" s="91"/>
      <c r="HJ15" s="91"/>
      <c r="HK15" s="91"/>
      <c r="HL15" s="91"/>
      <c r="HM15" s="91"/>
      <c r="HN15" s="91"/>
      <c r="HO15" s="91"/>
      <c r="HP15" s="91"/>
      <c r="HQ15" s="91"/>
      <c r="HR15" s="91"/>
      <c r="HS15" s="91"/>
      <c r="HT15" s="91"/>
      <c r="HU15" s="91"/>
      <c r="HV15" s="91"/>
      <c r="HW15" s="91"/>
      <c r="HX15" s="91"/>
      <c r="HY15" s="91"/>
      <c r="HZ15" s="91"/>
      <c r="IA15" s="91"/>
      <c r="IB15" s="91"/>
      <c r="IC15" s="91"/>
      <c r="ID15" s="91"/>
      <c r="IE15" s="91"/>
      <c r="IF15" s="91"/>
      <c r="IG15" s="91"/>
      <c r="IH15" s="91"/>
      <c r="II15" s="91"/>
      <c r="IJ15" s="91"/>
      <c r="IK15" s="91"/>
      <c r="IL15" s="91"/>
      <c r="IM15" s="91"/>
      <c r="IN15" s="91"/>
      <c r="IO15" s="91"/>
      <c r="IP15" s="91"/>
      <c r="IQ15" s="91"/>
      <c r="IR15" s="91"/>
      <c r="IS15" s="91"/>
      <c r="IT15" s="91"/>
      <c r="IU15" s="91"/>
      <c r="IV15" s="91"/>
      <c r="IW15" s="91"/>
      <c r="IX15" s="91"/>
      <c r="IY15" s="91"/>
      <c r="IZ15" s="91"/>
      <c r="JA15" s="91"/>
      <c r="JB15" s="91"/>
      <c r="JC15" s="91"/>
      <c r="JD15" s="91"/>
      <c r="JE15" s="91"/>
      <c r="JF15" s="91"/>
      <c r="JG15" s="91"/>
      <c r="JH15" s="91"/>
      <c r="JI15" s="91"/>
      <c r="JJ15" s="91"/>
      <c r="JK15" s="91"/>
      <c r="JL15" s="91"/>
      <c r="JM15" s="91"/>
      <c r="JN15" s="91"/>
      <c r="JO15" s="91"/>
      <c r="JP15" s="91"/>
      <c r="JQ15" s="91"/>
      <c r="JR15" s="91"/>
      <c r="JS15" s="91"/>
      <c r="JT15" s="91"/>
      <c r="JU15" s="91"/>
      <c r="JV15" s="91"/>
      <c r="JW15" s="91"/>
      <c r="JX15" s="91"/>
      <c r="JY15" s="91"/>
      <c r="JZ15" s="91"/>
      <c r="KA15" s="91"/>
      <c r="KB15" s="91"/>
      <c r="KC15" s="91"/>
      <c r="KD15" s="91"/>
      <c r="KE15" s="91"/>
      <c r="KF15" s="91"/>
      <c r="KG15" s="91"/>
      <c r="KH15" s="91"/>
      <c r="KI15" s="91"/>
      <c r="KJ15" s="91"/>
      <c r="KK15" s="91"/>
      <c r="KL15" s="91"/>
      <c r="KM15" s="91"/>
      <c r="KN15" s="91"/>
      <c r="KO15" s="91"/>
      <c r="KP15" s="91"/>
      <c r="KQ15" s="91"/>
      <c r="KR15" s="91"/>
      <c r="KS15" s="91"/>
      <c r="KT15" s="91"/>
      <c r="KU15" s="91"/>
      <c r="KV15" s="91"/>
      <c r="KW15" s="91"/>
      <c r="KX15" s="91"/>
      <c r="KY15" s="91"/>
      <c r="KZ15" s="91"/>
      <c r="LA15" s="91"/>
      <c r="LB15" s="91"/>
      <c r="LC15" s="91"/>
      <c r="LD15" s="91"/>
      <c r="LE15" s="91"/>
      <c r="LF15" s="91"/>
      <c r="LG15" s="91"/>
      <c r="LH15" s="91"/>
      <c r="LI15" s="91"/>
      <c r="LJ15" s="91"/>
      <c r="LK15" s="91"/>
      <c r="LL15" s="91"/>
      <c r="LM15" s="91"/>
      <c r="LN15" s="91"/>
      <c r="LO15" s="91"/>
      <c r="LP15" s="91"/>
      <c r="LQ15" s="91"/>
      <c r="LR15" s="91"/>
      <c r="LS15" s="91"/>
      <c r="LT15" s="91"/>
      <c r="LU15" s="91"/>
      <c r="LV15" s="91"/>
      <c r="LW15" s="91"/>
      <c r="LX15" s="91"/>
      <c r="LY15" s="91"/>
      <c r="LZ15" s="91"/>
      <c r="MA15" s="91"/>
      <c r="MB15" s="91"/>
      <c r="MC15" s="91"/>
      <c r="MD15" s="91"/>
      <c r="ME15" s="91"/>
      <c r="MF15" s="91"/>
      <c r="MG15" s="91"/>
      <c r="MH15" s="91"/>
      <c r="MI15" s="91"/>
      <c r="MJ15" s="91"/>
      <c r="MK15" s="91"/>
      <c r="ML15" s="91"/>
      <c r="MM15" s="91"/>
      <c r="MN15" s="91"/>
      <c r="MO15" s="91"/>
      <c r="MP15" s="91"/>
      <c r="MQ15" s="91"/>
      <c r="MR15" s="91"/>
      <c r="MS15" s="91"/>
      <c r="MT15" s="91"/>
      <c r="MU15" s="91"/>
      <c r="MV15" s="91"/>
      <c r="MW15" s="91"/>
      <c r="MX15" s="91"/>
      <c r="MY15" s="91"/>
      <c r="MZ15" s="91"/>
      <c r="NA15" s="91"/>
      <c r="NB15" s="91"/>
      <c r="NC15" s="91"/>
      <c r="ND15" s="91"/>
      <c r="NE15" s="91"/>
      <c r="NF15" s="91"/>
      <c r="NG15" s="91"/>
      <c r="NH15" s="91"/>
      <c r="NI15" s="91"/>
      <c r="NJ15" s="91"/>
      <c r="NK15" s="91"/>
      <c r="NL15" s="91"/>
      <c r="NM15" s="91"/>
      <c r="NN15" s="91"/>
      <c r="NO15" s="91"/>
      <c r="NP15" s="91"/>
      <c r="NQ15" s="91"/>
      <c r="NR15" s="91"/>
      <c r="NS15" s="91"/>
      <c r="NT15" s="91"/>
      <c r="NU15" s="91"/>
      <c r="NV15" s="91"/>
      <c r="NW15" s="91"/>
      <c r="NX15" s="91"/>
      <c r="NY15" s="91"/>
      <c r="NZ15" s="91"/>
      <c r="OA15" s="91"/>
      <c r="OB15" s="91"/>
      <c r="OC15" s="91"/>
      <c r="OD15" s="91"/>
      <c r="OE15" s="91"/>
      <c r="OF15" s="91"/>
      <c r="OG15" s="91"/>
      <c r="OH15" s="91"/>
      <c r="OI15" s="91"/>
      <c r="OJ15" s="91"/>
      <c r="OK15" s="91"/>
      <c r="OL15" s="91"/>
      <c r="OM15" s="91"/>
      <c r="ON15" s="91"/>
      <c r="OO15" s="91"/>
      <c r="OP15" s="91"/>
      <c r="OQ15" s="91"/>
      <c r="OR15" s="91"/>
      <c r="OS15" s="91"/>
      <c r="OT15" s="91"/>
      <c r="OU15" s="91"/>
      <c r="OV15" s="91"/>
      <c r="OW15" s="91"/>
      <c r="OX15" s="91"/>
      <c r="OY15" s="91"/>
      <c r="OZ15" s="91"/>
      <c r="PA15" s="91"/>
      <c r="PB15" s="91"/>
      <c r="PC15" s="91"/>
      <c r="PD15" s="91"/>
      <c r="PE15" s="91"/>
      <c r="PF15" s="91"/>
      <c r="PG15" s="91"/>
      <c r="PH15" s="91"/>
      <c r="PI15" s="91"/>
      <c r="PJ15" s="91"/>
      <c r="PK15" s="91"/>
      <c r="PL15" s="91"/>
      <c r="PM15" s="91"/>
      <c r="PN15" s="91"/>
      <c r="PO15" s="91"/>
      <c r="PP15" s="91"/>
      <c r="PQ15" s="91"/>
      <c r="PR15" s="91"/>
      <c r="PS15" s="91"/>
      <c r="PT15" s="91"/>
      <c r="PU15" s="91"/>
      <c r="PV15" s="91"/>
      <c r="PW15" s="91"/>
      <c r="PX15" s="91"/>
      <c r="PY15" s="91"/>
      <c r="PZ15" s="91"/>
      <c r="QA15" s="91"/>
      <c r="QB15" s="91"/>
      <c r="QC15" s="91"/>
      <c r="QD15" s="91"/>
      <c r="QE15" s="91"/>
      <c r="QF15" s="91"/>
      <c r="QG15" s="91"/>
      <c r="QH15" s="91"/>
      <c r="QI15" s="91"/>
      <c r="QJ15" s="91"/>
      <c r="QK15" s="91"/>
      <c r="QL15" s="91"/>
      <c r="QM15" s="91"/>
      <c r="QN15" s="91"/>
      <c r="QO15" s="91"/>
      <c r="QP15" s="91"/>
      <c r="QQ15" s="91"/>
      <c r="QR15" s="91"/>
      <c r="QS15" s="91"/>
      <c r="QT15" s="91"/>
      <c r="QU15" s="91"/>
      <c r="QV15" s="91"/>
      <c r="QW15" s="91"/>
      <c r="QX15" s="91"/>
      <c r="QY15" s="91"/>
      <c r="QZ15" s="91"/>
      <c r="RA15" s="91"/>
      <c r="RB15" s="91"/>
      <c r="RC15" s="91"/>
      <c r="RD15" s="91"/>
      <c r="RE15" s="91"/>
      <c r="RF15" s="91"/>
      <c r="RG15" s="91"/>
      <c r="RH15" s="91"/>
      <c r="RI15" s="91"/>
      <c r="RJ15" s="91"/>
      <c r="RK15" s="91"/>
      <c r="RL15" s="91"/>
      <c r="RM15" s="91"/>
      <c r="RN15" s="91"/>
      <c r="RO15" s="91"/>
      <c r="RP15" s="91"/>
      <c r="RQ15" s="91"/>
      <c r="RR15" s="91"/>
      <c r="RS15" s="91"/>
      <c r="RT15" s="91"/>
      <c r="RU15" s="91"/>
      <c r="RV15" s="91"/>
      <c r="RW15" s="91"/>
      <c r="RX15" s="91"/>
      <c r="RY15" s="91"/>
      <c r="RZ15" s="91"/>
      <c r="SA15" s="91"/>
      <c r="SB15" s="91"/>
      <c r="SC15" s="91"/>
      <c r="SD15" s="91"/>
      <c r="SE15" s="91"/>
      <c r="SF15" s="91"/>
      <c r="SG15" s="91"/>
      <c r="SH15" s="91"/>
      <c r="SI15" s="91"/>
      <c r="SJ15" s="91"/>
      <c r="SK15" s="91"/>
      <c r="SL15" s="91"/>
      <c r="SM15" s="91"/>
      <c r="SN15" s="91"/>
      <c r="SO15" s="91"/>
      <c r="SP15" s="91"/>
      <c r="SQ15" s="91"/>
      <c r="SR15" s="91"/>
      <c r="SS15" s="91"/>
      <c r="ST15" s="91"/>
      <c r="SU15" s="91"/>
      <c r="SV15" s="91"/>
      <c r="SW15" s="91"/>
      <c r="SX15" s="91"/>
      <c r="SY15" s="91"/>
      <c r="SZ15" s="91"/>
      <c r="TA15" s="91"/>
      <c r="TB15" s="91"/>
      <c r="TC15" s="91"/>
      <c r="TD15" s="91"/>
      <c r="TE15" s="91"/>
      <c r="TF15" s="91"/>
      <c r="TG15" s="91"/>
      <c r="TH15" s="91"/>
      <c r="TI15" s="91"/>
      <c r="TJ15" s="91"/>
      <c r="TK15" s="91"/>
      <c r="TL15" s="91"/>
      <c r="TM15" s="91"/>
      <c r="TN15" s="91"/>
      <c r="TO15" s="91"/>
      <c r="TP15" s="91"/>
      <c r="TQ15" s="91"/>
      <c r="TR15" s="91"/>
      <c r="TS15" s="91"/>
      <c r="TT15" s="91"/>
      <c r="TU15" s="91"/>
      <c r="TV15" s="91"/>
      <c r="TW15" s="91"/>
      <c r="TX15" s="91"/>
      <c r="TY15" s="91"/>
      <c r="TZ15" s="91"/>
      <c r="UA15" s="91"/>
      <c r="UB15" s="91"/>
      <c r="UC15" s="91"/>
      <c r="UD15" s="91"/>
      <c r="UE15" s="91"/>
      <c r="UF15" s="91"/>
      <c r="UG15" s="91"/>
      <c r="UH15" s="91"/>
      <c r="UI15" s="91"/>
      <c r="UJ15" s="91"/>
      <c r="UK15" s="91"/>
      <c r="UL15" s="91"/>
      <c r="UM15" s="91"/>
      <c r="UN15" s="91"/>
      <c r="UO15" s="91"/>
      <c r="UP15" s="91"/>
      <c r="UQ15" s="91"/>
      <c r="UR15" s="91"/>
      <c r="US15" s="91"/>
      <c r="UT15" s="91"/>
      <c r="UU15" s="91"/>
      <c r="UV15" s="91"/>
      <c r="UW15" s="91"/>
      <c r="UX15" s="91"/>
      <c r="UY15" s="91"/>
      <c r="UZ15" s="91"/>
      <c r="VA15" s="91"/>
      <c r="VB15" s="91"/>
      <c r="VC15" s="91"/>
      <c r="VD15" s="91"/>
      <c r="VE15" s="91"/>
      <c r="VF15" s="91"/>
      <c r="VG15" s="91"/>
      <c r="VH15" s="91"/>
      <c r="VI15" s="91"/>
      <c r="VJ15" s="91"/>
      <c r="VK15" s="91"/>
      <c r="VL15" s="91"/>
      <c r="VM15" s="91"/>
      <c r="VN15" s="91"/>
      <c r="VO15" s="91"/>
      <c r="VP15" s="91"/>
      <c r="VQ15" s="91"/>
      <c r="VR15" s="91"/>
      <c r="VS15" s="91"/>
      <c r="VT15" s="91"/>
      <c r="VU15" s="91"/>
      <c r="VV15" s="91"/>
      <c r="VW15" s="91"/>
      <c r="VX15" s="91"/>
      <c r="VY15" s="91"/>
      <c r="VZ15" s="91"/>
      <c r="WA15" s="91"/>
      <c r="WB15" s="91"/>
      <c r="WC15" s="91"/>
      <c r="WD15" s="91"/>
      <c r="WE15" s="91"/>
      <c r="WF15" s="91"/>
      <c r="WG15" s="91"/>
      <c r="WH15" s="91"/>
      <c r="WI15" s="91"/>
      <c r="WJ15" s="91"/>
      <c r="WK15" s="91"/>
      <c r="WL15" s="91"/>
      <c r="WM15" s="91"/>
      <c r="WN15" s="91"/>
      <c r="WO15" s="91"/>
      <c r="WP15" s="91"/>
      <c r="WQ15" s="91"/>
      <c r="WR15" s="91"/>
      <c r="WS15" s="91"/>
      <c r="WT15" s="91"/>
      <c r="WU15" s="91"/>
      <c r="WV15" s="91"/>
      <c r="WW15" s="91"/>
      <c r="WX15" s="91"/>
      <c r="WY15" s="91"/>
      <c r="WZ15" s="91"/>
      <c r="XA15" s="91"/>
      <c r="XB15" s="91"/>
      <c r="XC15" s="91"/>
      <c r="XD15" s="91"/>
      <c r="XE15" s="91"/>
      <c r="XF15" s="91"/>
      <c r="XG15" s="91"/>
      <c r="XH15" s="91"/>
      <c r="XI15" s="91"/>
      <c r="XJ15" s="91"/>
      <c r="XK15" s="91"/>
      <c r="XL15" s="91"/>
      <c r="XM15" s="91"/>
      <c r="XN15" s="91"/>
      <c r="XO15" s="91"/>
      <c r="XP15" s="91"/>
      <c r="XQ15" s="91"/>
      <c r="XR15" s="91"/>
      <c r="XS15" s="91"/>
      <c r="XT15" s="91"/>
      <c r="XU15" s="91"/>
      <c r="XV15" s="91"/>
      <c r="XW15" s="91"/>
      <c r="XX15" s="91"/>
      <c r="XY15" s="91"/>
      <c r="XZ15" s="91"/>
      <c r="YA15" s="91"/>
      <c r="YB15" s="91"/>
      <c r="YC15" s="91"/>
      <c r="YD15" s="91"/>
      <c r="YE15" s="91"/>
      <c r="YF15" s="91"/>
      <c r="YG15" s="91"/>
      <c r="YH15" s="91"/>
      <c r="YI15" s="91"/>
      <c r="YJ15" s="91"/>
      <c r="YK15" s="91"/>
      <c r="YL15" s="91"/>
      <c r="YM15" s="91"/>
      <c r="YN15" s="91"/>
      <c r="YO15" s="91"/>
      <c r="YP15" s="91"/>
      <c r="YQ15" s="91"/>
      <c r="YR15" s="91"/>
      <c r="YS15" s="91"/>
      <c r="YT15" s="91"/>
      <c r="YU15" s="91"/>
      <c r="YV15" s="91"/>
      <c r="YW15" s="91"/>
      <c r="YX15" s="91"/>
      <c r="YY15" s="91"/>
      <c r="YZ15" s="91"/>
      <c r="ZA15" s="91"/>
      <c r="ZB15" s="91"/>
      <c r="ZC15" s="91"/>
      <c r="ZD15" s="91"/>
      <c r="ZE15" s="91"/>
      <c r="ZF15" s="91"/>
      <c r="ZG15" s="91"/>
      <c r="ZH15" s="91"/>
      <c r="ZI15" s="91"/>
      <c r="ZJ15" s="91"/>
      <c r="ZK15" s="91"/>
      <c r="ZL15" s="91"/>
      <c r="ZM15" s="91"/>
      <c r="ZN15" s="91"/>
      <c r="ZO15" s="91"/>
      <c r="ZP15" s="91"/>
      <c r="ZQ15" s="91"/>
      <c r="ZR15" s="91"/>
      <c r="ZS15" s="91"/>
      <c r="ZT15" s="91"/>
      <c r="ZU15" s="91"/>
      <c r="ZV15" s="91"/>
      <c r="ZW15" s="91"/>
      <c r="ZX15" s="91"/>
      <c r="ZY15" s="91"/>
      <c r="ZZ15" s="91"/>
      <c r="AAA15" s="91"/>
      <c r="AAB15" s="91"/>
      <c r="AAC15" s="91"/>
      <c r="AAD15" s="91"/>
      <c r="AAE15" s="91"/>
      <c r="AAF15" s="91"/>
      <c r="AAG15" s="91"/>
      <c r="AAH15" s="91"/>
      <c r="AAI15" s="91"/>
      <c r="AAJ15" s="91"/>
      <c r="AAK15" s="91"/>
      <c r="AAL15" s="91"/>
      <c r="AAM15" s="91"/>
      <c r="AAN15" s="91"/>
      <c r="AAO15" s="91"/>
      <c r="AAP15" s="91"/>
      <c r="AAQ15" s="91"/>
      <c r="AAR15" s="91"/>
      <c r="AAS15" s="91"/>
      <c r="AAT15" s="91"/>
      <c r="AAU15" s="91"/>
      <c r="AAV15" s="91"/>
      <c r="AAW15" s="91"/>
      <c r="AAX15" s="91"/>
      <c r="AAY15" s="91"/>
      <c r="AAZ15" s="91"/>
      <c r="ABA15" s="91"/>
      <c r="ABB15" s="91"/>
      <c r="ABC15" s="91"/>
      <c r="ABD15" s="91"/>
      <c r="ABE15" s="91"/>
      <c r="ABF15" s="91"/>
      <c r="ABG15" s="91"/>
      <c r="ABH15" s="91"/>
      <c r="ABI15" s="91"/>
      <c r="ABJ15" s="91"/>
      <c r="ABK15" s="91"/>
      <c r="ABL15" s="91"/>
      <c r="ABM15" s="91"/>
      <c r="ABN15" s="91"/>
      <c r="ABO15" s="91"/>
      <c r="ABP15" s="91"/>
      <c r="ABQ15" s="91"/>
      <c r="ABR15" s="91"/>
      <c r="ABS15" s="91"/>
      <c r="ABT15" s="91"/>
      <c r="ABU15" s="91"/>
      <c r="ABV15" s="91"/>
      <c r="ABW15" s="91"/>
      <c r="ABX15" s="91"/>
      <c r="ABY15" s="91"/>
      <c r="ABZ15" s="91"/>
      <c r="ACA15" s="91"/>
      <c r="ACB15" s="91"/>
      <c r="ACC15" s="91"/>
      <c r="ACD15" s="91"/>
      <c r="ACE15" s="91"/>
      <c r="ACF15" s="91"/>
      <c r="ACG15" s="91"/>
      <c r="ACH15" s="91"/>
      <c r="ACI15" s="91"/>
      <c r="ACJ15" s="91"/>
      <c r="ACK15" s="91"/>
      <c r="ACL15" s="91"/>
      <c r="ACM15" s="91"/>
      <c r="ACN15" s="91"/>
      <c r="ACO15" s="91"/>
      <c r="ACP15" s="91"/>
      <c r="ACQ15" s="91"/>
      <c r="ACR15" s="91"/>
      <c r="ACS15" s="91"/>
      <c r="ACT15" s="91"/>
      <c r="ACU15" s="91"/>
      <c r="ACV15" s="91"/>
      <c r="ACW15" s="91"/>
      <c r="ACX15" s="91"/>
      <c r="ACY15" s="91"/>
      <c r="ACZ15" s="91"/>
      <c r="ADA15" s="91"/>
      <c r="ADB15" s="91"/>
      <c r="ADC15" s="91"/>
      <c r="ADD15" s="91"/>
      <c r="ADE15" s="91"/>
      <c r="ADF15" s="91"/>
      <c r="ADG15" s="91"/>
      <c r="ADH15" s="91"/>
      <c r="ADI15" s="91"/>
      <c r="ADJ15" s="91"/>
      <c r="ADK15" s="91"/>
      <c r="ADL15" s="91"/>
      <c r="ADM15" s="91"/>
      <c r="ADN15" s="91"/>
      <c r="ADO15" s="91"/>
      <c r="ADP15" s="91"/>
      <c r="ADQ15" s="91"/>
      <c r="ADR15" s="91"/>
      <c r="ADS15" s="91"/>
      <c r="ADT15" s="91"/>
      <c r="ADU15" s="91"/>
      <c r="ADV15" s="91"/>
      <c r="ADW15" s="91"/>
      <c r="ADX15" s="91"/>
      <c r="ADY15" s="91"/>
      <c r="ADZ15" s="91"/>
      <c r="AEA15" s="91"/>
      <c r="AEB15" s="91"/>
      <c r="AEC15" s="91"/>
      <c r="AED15" s="91"/>
      <c r="AEE15" s="91"/>
      <c r="AEF15" s="91"/>
      <c r="AEG15" s="91"/>
      <c r="AEH15" s="91"/>
      <c r="AEI15" s="91"/>
      <c r="AEJ15" s="91"/>
      <c r="AEK15" s="91"/>
      <c r="AEL15" s="91"/>
      <c r="AEM15" s="91"/>
      <c r="AEN15" s="91"/>
      <c r="AEO15" s="91"/>
      <c r="AEP15" s="91"/>
      <c r="AEQ15" s="91"/>
      <c r="AER15" s="91"/>
      <c r="AES15" s="91"/>
      <c r="AET15" s="91"/>
      <c r="AEU15" s="91"/>
      <c r="AEV15" s="91"/>
      <c r="AEW15" s="91"/>
      <c r="AEX15" s="91"/>
      <c r="AEY15" s="91"/>
      <c r="AEZ15" s="91"/>
      <c r="AFA15" s="91"/>
      <c r="AFB15" s="91"/>
      <c r="AFC15" s="91"/>
      <c r="AFD15" s="91"/>
      <c r="AFE15" s="91"/>
      <c r="AFF15" s="91"/>
      <c r="AFG15" s="91"/>
      <c r="AFH15" s="91"/>
      <c r="AFI15" s="91"/>
      <c r="AFJ15" s="91"/>
      <c r="AFK15" s="91"/>
      <c r="AFL15" s="91"/>
      <c r="AFM15" s="91"/>
      <c r="AFN15" s="91"/>
      <c r="AFO15" s="91"/>
      <c r="AFP15" s="91"/>
      <c r="AFQ15" s="91"/>
      <c r="AFR15" s="91"/>
      <c r="AFS15" s="91"/>
      <c r="AFT15" s="91"/>
      <c r="AFU15" s="91"/>
      <c r="AFV15" s="91"/>
      <c r="AFW15" s="91"/>
      <c r="AFX15" s="91"/>
      <c r="AFY15" s="91"/>
      <c r="AFZ15" s="91"/>
      <c r="AGA15" s="91"/>
      <c r="AGB15" s="91"/>
      <c r="AGC15" s="91"/>
      <c r="AGD15" s="91"/>
      <c r="AGE15" s="91"/>
      <c r="AGF15" s="91"/>
      <c r="AGG15" s="91"/>
      <c r="AGH15" s="91"/>
      <c r="AGI15" s="91"/>
      <c r="AGJ15" s="91"/>
      <c r="AGK15" s="91"/>
      <c r="AGL15" s="91"/>
      <c r="AGM15" s="91"/>
      <c r="AGN15" s="91"/>
      <c r="AGO15" s="91"/>
      <c r="AGP15" s="91"/>
      <c r="AGQ15" s="91"/>
      <c r="AGR15" s="91"/>
      <c r="AGS15" s="91"/>
      <c r="AGT15" s="91"/>
      <c r="AGU15" s="91"/>
      <c r="AGV15" s="91"/>
      <c r="AGW15" s="91"/>
      <c r="AGX15" s="91"/>
      <c r="AGY15" s="91"/>
      <c r="AGZ15" s="91"/>
      <c r="AHA15" s="91"/>
      <c r="AHB15" s="91"/>
      <c r="AHC15" s="91"/>
      <c r="AHD15" s="91"/>
      <c r="AHE15" s="91"/>
      <c r="AHF15" s="91"/>
      <c r="AHG15" s="91"/>
      <c r="AHH15" s="91"/>
      <c r="AHI15" s="91"/>
      <c r="AHJ15" s="91"/>
      <c r="AHK15" s="91"/>
      <c r="AHL15" s="91"/>
      <c r="AHM15" s="91"/>
      <c r="AHN15" s="91"/>
      <c r="AHO15" s="91"/>
      <c r="AHP15" s="91"/>
      <c r="AHQ15" s="91"/>
      <c r="AHR15" s="91"/>
      <c r="AHS15" s="91"/>
      <c r="AHT15" s="91"/>
      <c r="AHU15" s="91"/>
      <c r="AHV15" s="91"/>
      <c r="AHW15" s="91"/>
      <c r="AHX15" s="91"/>
      <c r="AHY15" s="91"/>
      <c r="AHZ15" s="91"/>
      <c r="AIA15" s="91"/>
      <c r="AIB15" s="91"/>
      <c r="AIC15" s="91"/>
      <c r="AID15" s="91"/>
      <c r="AIE15" s="91"/>
      <c r="AIF15" s="91"/>
      <c r="AIG15" s="91"/>
      <c r="AIH15" s="91"/>
      <c r="AII15" s="91"/>
      <c r="AIJ15" s="91"/>
      <c r="AIK15" s="91"/>
      <c r="AIL15" s="91"/>
      <c r="AIM15" s="91"/>
      <c r="AIN15" s="91"/>
      <c r="AIO15" s="91"/>
      <c r="AIP15" s="91"/>
      <c r="AIQ15" s="91"/>
      <c r="AIR15" s="91"/>
      <c r="AIS15" s="91"/>
      <c r="AIT15" s="91"/>
      <c r="AIU15" s="91"/>
      <c r="AIV15" s="91"/>
      <c r="AIW15" s="91"/>
      <c r="AIX15" s="91"/>
      <c r="AIY15" s="91"/>
      <c r="AIZ15" s="91"/>
      <c r="AJA15" s="91"/>
      <c r="AJB15" s="91"/>
      <c r="AJC15" s="91"/>
      <c r="AJD15" s="91"/>
      <c r="AJE15" s="91"/>
      <c r="AJF15" s="91"/>
      <c r="AJG15" s="91"/>
      <c r="AJH15" s="91"/>
      <c r="AJI15" s="91"/>
      <c r="AJJ15" s="91"/>
      <c r="AJK15" s="91"/>
      <c r="AJL15" s="91"/>
      <c r="AJM15" s="91"/>
      <c r="AJN15" s="91"/>
      <c r="AJO15" s="91"/>
      <c r="AJP15" s="91"/>
      <c r="AJQ15" s="91"/>
      <c r="AJR15" s="91"/>
      <c r="AJS15" s="91"/>
      <c r="AJT15" s="91"/>
      <c r="AJU15" s="91"/>
      <c r="AJV15" s="91"/>
      <c r="AJW15" s="91"/>
      <c r="AJX15" s="91"/>
      <c r="AJY15" s="91"/>
      <c r="AJZ15" s="91"/>
      <c r="AKA15" s="91"/>
      <c r="AKB15" s="91"/>
      <c r="AKC15" s="91"/>
      <c r="AKD15" s="91"/>
      <c r="AKE15" s="91"/>
      <c r="AKF15" s="91"/>
      <c r="AKG15" s="91"/>
      <c r="AKH15" s="91"/>
      <c r="AKI15" s="91"/>
      <c r="AKJ15" s="91"/>
      <c r="AKK15" s="91"/>
      <c r="AKL15" s="91"/>
      <c r="AKM15" s="91"/>
      <c r="AKN15" s="91"/>
      <c r="AKO15" s="91"/>
      <c r="AKP15" s="91"/>
      <c r="AKQ15" s="91"/>
      <c r="AKR15" s="91"/>
      <c r="AKS15" s="91"/>
      <c r="AKT15" s="91"/>
      <c r="AKU15" s="91"/>
      <c r="AKV15" s="91"/>
      <c r="AKW15" s="91"/>
      <c r="AKX15" s="91"/>
      <c r="AKY15" s="91"/>
      <c r="AKZ15" s="91"/>
      <c r="ALA15" s="91"/>
      <c r="ALB15" s="91"/>
      <c r="ALC15" s="91"/>
      <c r="ALD15" s="91"/>
      <c r="ALE15" s="91"/>
      <c r="ALF15" s="91"/>
      <c r="ALG15" s="91"/>
      <c r="ALH15" s="91"/>
      <c r="ALI15" s="91"/>
      <c r="ALJ15" s="91"/>
      <c r="ALK15" s="91"/>
      <c r="ALL15" s="91"/>
      <c r="ALM15" s="91"/>
      <c r="ALN15" s="91"/>
      <c r="ALO15" s="91"/>
      <c r="ALP15" s="91"/>
      <c r="ALQ15" s="91"/>
      <c r="ALR15" s="91"/>
      <c r="ALS15" s="91"/>
      <c r="ALT15" s="91"/>
      <c r="ALU15" s="91"/>
      <c r="ALV15" s="91"/>
      <c r="ALW15" s="91"/>
      <c r="ALX15" s="91"/>
      <c r="ALY15" s="91"/>
      <c r="ALZ15" s="91"/>
      <c r="AMA15" s="91"/>
      <c r="AMB15" s="91"/>
      <c r="AMC15" s="91"/>
      <c r="AMD15" s="91"/>
      <c r="AME15" s="91"/>
      <c r="AMF15" s="91"/>
      <c r="AMG15" s="91"/>
      <c r="AMH15" s="91"/>
      <c r="AMI15" s="91"/>
      <c r="AMJ15" s="91"/>
      <c r="AMK15" s="91"/>
      <c r="AML15" s="91"/>
      <c r="AMM15" s="91"/>
      <c r="AMN15" s="91"/>
      <c r="AMO15" s="91"/>
      <c r="AMP15" s="91"/>
      <c r="AMQ15" s="91"/>
      <c r="AMR15" s="91"/>
      <c r="AMS15" s="91"/>
      <c r="AMT15" s="91"/>
      <c r="AMU15" s="91"/>
      <c r="AMV15" s="91"/>
      <c r="AMW15" s="91"/>
      <c r="AMX15" s="91"/>
      <c r="AMY15" s="91"/>
      <c r="AMZ15" s="91"/>
      <c r="ANA15" s="91"/>
      <c r="ANB15" s="91"/>
      <c r="ANC15" s="91"/>
      <c r="AND15" s="91"/>
      <c r="ANE15" s="91"/>
      <c r="ANF15" s="91"/>
      <c r="ANG15" s="91"/>
      <c r="ANH15" s="91"/>
      <c r="ANI15" s="91"/>
      <c r="ANJ15" s="91"/>
      <c r="ANK15" s="91"/>
      <c r="ANL15" s="91"/>
      <c r="ANM15" s="91"/>
      <c r="ANN15" s="91"/>
      <c r="ANO15" s="91"/>
      <c r="ANP15" s="91"/>
      <c r="ANQ15" s="91"/>
      <c r="ANR15" s="91"/>
      <c r="ANS15" s="91"/>
      <c r="ANT15" s="91"/>
      <c r="ANU15" s="91"/>
      <c r="ANV15" s="91"/>
      <c r="ANW15" s="91"/>
      <c r="ANX15" s="91"/>
      <c r="ANY15" s="91"/>
      <c r="ANZ15" s="91"/>
      <c r="AOA15" s="91"/>
      <c r="AOB15" s="91"/>
      <c r="AOC15" s="91"/>
      <c r="AOD15" s="91"/>
      <c r="AOE15" s="91"/>
      <c r="AOF15" s="91"/>
      <c r="AOG15" s="91"/>
      <c r="AOH15" s="91"/>
      <c r="AOI15" s="91"/>
      <c r="AOJ15" s="91"/>
      <c r="AOK15" s="91"/>
      <c r="AOL15" s="91"/>
      <c r="AOM15" s="91"/>
      <c r="AON15" s="91"/>
      <c r="AOO15" s="91"/>
      <c r="AOP15" s="91"/>
      <c r="AOQ15" s="91"/>
      <c r="AOR15" s="91"/>
      <c r="AOS15" s="91"/>
      <c r="AOT15" s="91"/>
      <c r="AOU15" s="91"/>
      <c r="AOV15" s="91"/>
      <c r="AOW15" s="91"/>
      <c r="AOX15" s="91"/>
      <c r="AOY15" s="91"/>
      <c r="AOZ15" s="91"/>
      <c r="APA15" s="91"/>
      <c r="APB15" s="91"/>
      <c r="APC15" s="91"/>
      <c r="APD15" s="91"/>
      <c r="APE15" s="91"/>
      <c r="APF15" s="91"/>
      <c r="APG15" s="91"/>
      <c r="APH15" s="91"/>
      <c r="API15" s="91"/>
      <c r="APJ15" s="91"/>
      <c r="APK15" s="91"/>
      <c r="APL15" s="91"/>
      <c r="APM15" s="91"/>
      <c r="APN15" s="91"/>
      <c r="APO15" s="91"/>
      <c r="APP15" s="91"/>
      <c r="APQ15" s="91"/>
      <c r="APR15" s="91"/>
      <c r="APS15" s="91"/>
      <c r="APT15" s="91"/>
      <c r="APU15" s="91"/>
      <c r="APV15" s="91"/>
      <c r="APW15" s="91"/>
      <c r="APX15" s="91"/>
      <c r="APY15" s="91"/>
      <c r="APZ15" s="91"/>
      <c r="AQA15" s="91"/>
      <c r="AQB15" s="91"/>
      <c r="AQC15" s="91"/>
      <c r="AQD15" s="91"/>
      <c r="AQE15" s="91"/>
      <c r="AQF15" s="91"/>
      <c r="AQG15" s="91"/>
      <c r="AQH15" s="91"/>
      <c r="AQI15" s="91"/>
      <c r="AQJ15" s="91"/>
      <c r="AQK15" s="91"/>
      <c r="AQL15" s="91"/>
      <c r="AQM15" s="91"/>
      <c r="AQN15" s="91"/>
      <c r="AQO15" s="91"/>
      <c r="AQP15" s="91"/>
      <c r="AQQ15" s="91"/>
      <c r="AQR15" s="91"/>
      <c r="AQS15" s="91"/>
      <c r="AQT15" s="91"/>
      <c r="AQU15" s="91"/>
      <c r="AQV15" s="91"/>
      <c r="AQW15" s="91"/>
      <c r="AQX15" s="91"/>
      <c r="AQY15" s="91"/>
      <c r="AQZ15" s="91"/>
      <c r="ARA15" s="91"/>
      <c r="ARB15" s="91"/>
      <c r="ARC15" s="91"/>
      <c r="ARD15" s="91"/>
      <c r="ARE15" s="91"/>
      <c r="ARF15" s="91"/>
      <c r="ARG15" s="91"/>
      <c r="ARH15" s="91"/>
      <c r="ARI15" s="91"/>
      <c r="ARJ15" s="91"/>
      <c r="ARK15" s="91"/>
      <c r="ARL15" s="91"/>
      <c r="ARM15" s="91"/>
      <c r="ARN15" s="91"/>
      <c r="ARO15" s="91"/>
      <c r="ARP15" s="91"/>
      <c r="ARQ15" s="91"/>
      <c r="ARR15" s="91"/>
      <c r="ARS15" s="91"/>
      <c r="ART15" s="91"/>
      <c r="ARU15" s="91"/>
      <c r="ARV15" s="91"/>
      <c r="ARW15" s="91"/>
      <c r="ARX15" s="91"/>
      <c r="ARY15" s="91"/>
      <c r="ARZ15" s="91"/>
      <c r="ASA15" s="91"/>
      <c r="ASB15" s="91"/>
      <c r="ASC15" s="91"/>
      <c r="ASD15" s="91"/>
      <c r="ASE15" s="91"/>
      <c r="ASF15" s="91"/>
      <c r="ASG15" s="91"/>
      <c r="ASH15" s="91"/>
      <c r="ASI15" s="91"/>
      <c r="ASJ15" s="91"/>
      <c r="ASK15" s="91"/>
      <c r="ASL15" s="91"/>
      <c r="ASM15" s="91"/>
      <c r="ASN15" s="91"/>
      <c r="ASO15" s="91"/>
      <c r="ASP15" s="91"/>
      <c r="ASQ15" s="91"/>
      <c r="ASR15" s="91"/>
      <c r="ASS15" s="91"/>
      <c r="AST15" s="91"/>
      <c r="ASU15" s="91"/>
      <c r="ASV15" s="91"/>
      <c r="ASW15" s="91"/>
      <c r="ASX15" s="91"/>
      <c r="ASY15" s="91"/>
      <c r="ASZ15" s="91"/>
      <c r="ATA15" s="91"/>
      <c r="ATB15" s="91"/>
      <c r="ATC15" s="91"/>
      <c r="ATD15" s="91"/>
      <c r="ATE15" s="91"/>
      <c r="ATF15" s="91"/>
      <c r="ATG15" s="91"/>
      <c r="ATH15" s="91"/>
      <c r="ATI15" s="91"/>
      <c r="ATJ15" s="91"/>
      <c r="ATK15" s="91"/>
      <c r="ATL15" s="91"/>
      <c r="ATM15" s="91"/>
      <c r="ATN15" s="91"/>
      <c r="ATO15" s="91"/>
      <c r="ATP15" s="91"/>
      <c r="ATQ15" s="91"/>
      <c r="ATR15" s="91"/>
      <c r="ATS15" s="91"/>
      <c r="ATT15" s="91"/>
      <c r="ATU15" s="91"/>
      <c r="ATV15" s="91"/>
      <c r="ATW15" s="91"/>
      <c r="ATX15" s="91"/>
      <c r="ATY15" s="91"/>
      <c r="ATZ15" s="91"/>
      <c r="AUA15" s="91"/>
      <c r="AUB15" s="91"/>
      <c r="AUC15" s="91"/>
      <c r="AUD15" s="91"/>
      <c r="AUE15" s="91"/>
      <c r="AUF15" s="91"/>
      <c r="AUG15" s="91"/>
      <c r="AUH15" s="91"/>
      <c r="AUI15" s="91"/>
      <c r="AUJ15" s="91"/>
      <c r="AUK15" s="91"/>
      <c r="AUL15" s="91"/>
      <c r="AUM15" s="91"/>
      <c r="AUN15" s="91"/>
      <c r="AUO15" s="91"/>
      <c r="AUP15" s="91"/>
      <c r="AUQ15" s="91"/>
      <c r="AUR15" s="91"/>
      <c r="AUS15" s="91"/>
      <c r="AUT15" s="91"/>
      <c r="AUU15" s="91"/>
      <c r="AUV15" s="91"/>
      <c r="AUW15" s="91"/>
      <c r="AUX15" s="91"/>
      <c r="AUY15" s="91"/>
      <c r="AUZ15" s="91"/>
      <c r="AVA15" s="91"/>
      <c r="AVB15" s="91"/>
      <c r="AVC15" s="91"/>
      <c r="AVD15" s="91"/>
      <c r="AVE15" s="91"/>
      <c r="AVF15" s="91"/>
      <c r="AVG15" s="91"/>
      <c r="AVH15" s="91"/>
      <c r="AVI15" s="91"/>
      <c r="AVJ15" s="91"/>
      <c r="AVK15" s="91"/>
      <c r="AVL15" s="91"/>
      <c r="AVM15" s="91"/>
      <c r="AVN15" s="91"/>
      <c r="AVO15" s="91"/>
      <c r="AVP15" s="91"/>
      <c r="AVQ15" s="91"/>
      <c r="AVR15" s="91"/>
      <c r="AVS15" s="91"/>
      <c r="AVT15" s="91"/>
      <c r="AVU15" s="91"/>
      <c r="AVV15" s="91"/>
      <c r="AVW15" s="91"/>
      <c r="AVX15" s="91"/>
      <c r="AVY15" s="91"/>
      <c r="AVZ15" s="91"/>
      <c r="AWA15" s="91"/>
      <c r="AWB15" s="91"/>
      <c r="AWC15" s="91"/>
      <c r="AWD15" s="91"/>
      <c r="AWE15" s="91"/>
      <c r="AWF15" s="91"/>
      <c r="AWG15" s="91"/>
      <c r="AWH15" s="91"/>
      <c r="AWI15" s="91"/>
      <c r="AWJ15" s="91"/>
      <c r="AWK15" s="91"/>
      <c r="AWL15" s="91"/>
      <c r="AWM15" s="91"/>
      <c r="AWN15" s="91"/>
      <c r="AWO15" s="91"/>
      <c r="AWP15" s="91"/>
      <c r="AWQ15" s="91"/>
      <c r="AWR15" s="91"/>
      <c r="AWS15" s="91"/>
      <c r="AWT15" s="91"/>
      <c r="AWU15" s="91"/>
      <c r="AWV15" s="91"/>
      <c r="AWW15" s="91"/>
      <c r="AWX15" s="91"/>
      <c r="AWY15" s="91"/>
      <c r="AWZ15" s="91"/>
      <c r="AXA15" s="91"/>
      <c r="AXB15" s="91"/>
      <c r="AXC15" s="91"/>
      <c r="AXD15" s="91"/>
      <c r="AXE15" s="91"/>
      <c r="AXF15" s="91"/>
      <c r="AXG15" s="91"/>
      <c r="AXH15" s="91"/>
      <c r="AXI15" s="91"/>
      <c r="AXJ15" s="91"/>
      <c r="AXK15" s="91"/>
      <c r="AXL15" s="91"/>
      <c r="AXM15" s="91"/>
      <c r="AXN15" s="91"/>
      <c r="AXO15" s="91"/>
      <c r="AXP15" s="91"/>
      <c r="AXQ15" s="91"/>
      <c r="AXR15" s="91"/>
      <c r="AXS15" s="91"/>
      <c r="AXT15" s="91"/>
      <c r="AXU15" s="91"/>
      <c r="AXV15" s="91"/>
      <c r="AXW15" s="91"/>
      <c r="AXX15" s="91"/>
      <c r="AXY15" s="91"/>
      <c r="AXZ15" s="91"/>
      <c r="AYA15" s="91"/>
      <c r="AYB15" s="91"/>
      <c r="AYC15" s="91"/>
      <c r="AYD15" s="91"/>
      <c r="AYE15" s="91"/>
      <c r="AYF15" s="91"/>
      <c r="AYG15" s="91"/>
      <c r="AYH15" s="91"/>
      <c r="AYI15" s="91"/>
      <c r="AYJ15" s="91"/>
      <c r="AYK15" s="91"/>
      <c r="AYL15" s="91"/>
      <c r="AYM15" s="91"/>
      <c r="AYN15" s="91"/>
      <c r="AYO15" s="91"/>
      <c r="AYP15" s="91"/>
      <c r="AYQ15" s="91"/>
      <c r="AYR15" s="91"/>
      <c r="AYS15" s="91"/>
      <c r="AYT15" s="91"/>
      <c r="AYU15" s="91"/>
      <c r="AYV15" s="91"/>
      <c r="AYW15" s="91"/>
      <c r="AYX15" s="91"/>
      <c r="AYY15" s="91"/>
      <c r="AYZ15" s="91"/>
      <c r="AZA15" s="91"/>
      <c r="AZB15" s="91"/>
      <c r="AZC15" s="91"/>
      <c r="AZD15" s="91"/>
      <c r="AZE15" s="91"/>
      <c r="AZF15" s="91"/>
      <c r="AZG15" s="91"/>
      <c r="AZH15" s="91"/>
      <c r="AZI15" s="91"/>
      <c r="AZJ15" s="91"/>
      <c r="AZK15" s="91"/>
      <c r="AZL15" s="91"/>
      <c r="AZM15" s="91"/>
      <c r="AZN15" s="91"/>
      <c r="AZO15" s="91"/>
      <c r="AZP15" s="91"/>
      <c r="AZQ15" s="91"/>
      <c r="AZR15" s="91"/>
      <c r="AZS15" s="91"/>
      <c r="AZT15" s="91"/>
      <c r="AZU15" s="91"/>
      <c r="AZV15" s="91"/>
      <c r="AZW15" s="91"/>
      <c r="AZX15" s="91"/>
      <c r="AZY15" s="91"/>
      <c r="AZZ15" s="91"/>
      <c r="BAA15" s="91"/>
      <c r="BAB15" s="91"/>
      <c r="BAC15" s="91"/>
      <c r="BAD15" s="91"/>
      <c r="BAE15" s="91"/>
      <c r="BAF15" s="91"/>
      <c r="BAG15" s="91"/>
      <c r="BAH15" s="91"/>
      <c r="BAI15" s="91"/>
      <c r="BAJ15" s="91"/>
      <c r="BAK15" s="91"/>
      <c r="BAL15" s="91"/>
      <c r="BAM15" s="91"/>
      <c r="BAN15" s="91"/>
      <c r="BAO15" s="91"/>
      <c r="BAP15" s="91"/>
      <c r="BAQ15" s="91"/>
      <c r="BAR15" s="91"/>
      <c r="BAS15" s="91"/>
      <c r="BAT15" s="91"/>
      <c r="BAU15" s="91"/>
      <c r="BAV15" s="91"/>
      <c r="BAW15" s="91"/>
      <c r="BAX15" s="91"/>
      <c r="BAY15" s="91"/>
      <c r="BAZ15" s="91"/>
      <c r="BBA15" s="91"/>
      <c r="BBB15" s="91"/>
      <c r="BBC15" s="91"/>
      <c r="BBD15" s="91"/>
      <c r="BBE15" s="91"/>
      <c r="BBF15" s="91"/>
      <c r="BBG15" s="91"/>
      <c r="BBH15" s="91"/>
      <c r="BBI15" s="91"/>
      <c r="BBJ15" s="91"/>
      <c r="BBK15" s="91"/>
      <c r="BBL15" s="91"/>
      <c r="BBM15" s="91"/>
      <c r="BBN15" s="91"/>
      <c r="BBO15" s="91"/>
      <c r="BBP15" s="91"/>
      <c r="BBQ15" s="91"/>
      <c r="BBR15" s="91"/>
      <c r="BBS15" s="91"/>
      <c r="BBT15" s="91"/>
      <c r="BBU15" s="91"/>
      <c r="BBV15" s="91"/>
      <c r="BBW15" s="91"/>
      <c r="BBX15" s="91"/>
      <c r="BBY15" s="91"/>
      <c r="BBZ15" s="91"/>
      <c r="BCA15" s="91"/>
      <c r="BCB15" s="91"/>
      <c r="BCC15" s="91"/>
      <c r="BCD15" s="91"/>
      <c r="BCE15" s="91"/>
      <c r="BCF15" s="91"/>
      <c r="BCG15" s="91"/>
      <c r="BCH15" s="91"/>
      <c r="BCI15" s="91"/>
      <c r="BCJ15" s="91"/>
      <c r="BCK15" s="91"/>
      <c r="BCL15" s="91"/>
      <c r="BCM15" s="91"/>
      <c r="BCN15" s="91"/>
      <c r="BCO15" s="91"/>
      <c r="BCP15" s="91"/>
      <c r="BCQ15" s="91"/>
      <c r="BCR15" s="91"/>
      <c r="BCS15" s="91"/>
      <c r="BCT15" s="91"/>
      <c r="BCU15" s="91"/>
      <c r="BCV15" s="91"/>
      <c r="BCW15" s="91"/>
      <c r="BCX15" s="91"/>
      <c r="BCY15" s="91"/>
      <c r="BCZ15" s="91"/>
      <c r="BDA15" s="91"/>
      <c r="BDB15" s="91"/>
      <c r="BDC15" s="91"/>
      <c r="BDD15" s="91"/>
      <c r="BDE15" s="91"/>
      <c r="BDF15" s="91"/>
      <c r="BDG15" s="91"/>
      <c r="BDH15" s="91"/>
      <c r="BDI15" s="91"/>
      <c r="BDJ15" s="91"/>
      <c r="BDK15" s="91"/>
      <c r="BDL15" s="91"/>
      <c r="BDM15" s="91"/>
      <c r="BDN15" s="91"/>
      <c r="BDO15" s="91"/>
      <c r="BDP15" s="91"/>
      <c r="BDQ15" s="91"/>
      <c r="BDR15" s="91"/>
      <c r="BDS15" s="91"/>
      <c r="BDT15" s="91"/>
      <c r="BDU15" s="91"/>
      <c r="BDV15" s="91"/>
      <c r="BDW15" s="91"/>
      <c r="BDX15" s="91"/>
      <c r="BDY15" s="91"/>
      <c r="BDZ15" s="91"/>
      <c r="BEA15" s="91"/>
      <c r="BEB15" s="91"/>
      <c r="BEC15" s="91"/>
      <c r="BED15" s="91"/>
      <c r="BEE15" s="91"/>
      <c r="BEF15" s="91"/>
      <c r="BEG15" s="91"/>
      <c r="BEH15" s="91"/>
      <c r="BEI15" s="91"/>
    </row>
    <row r="16" spans="1:1491" customFormat="1" ht="15" customHeight="1" x14ac:dyDescent="0.2">
      <c r="A16" s="94">
        <v>1</v>
      </c>
      <c r="B16" s="221">
        <v>0</v>
      </c>
      <c r="C16" s="221">
        <v>0</v>
      </c>
      <c r="D16" s="222" t="s">
        <v>386</v>
      </c>
      <c r="E16" s="223" t="s">
        <v>389</v>
      </c>
      <c r="F16" s="224">
        <v>45.73</v>
      </c>
      <c r="G16" s="221" t="s">
        <v>387</v>
      </c>
      <c r="H16" s="221" t="s">
        <v>391</v>
      </c>
      <c r="I16" s="221"/>
      <c r="J16" s="221" t="s">
        <v>392</v>
      </c>
      <c r="K16" s="221">
        <v>25</v>
      </c>
      <c r="L16" s="221">
        <v>20</v>
      </c>
      <c r="M16" s="68">
        <f>Parametros!$F$44*F16/1000</f>
        <v>4.573E-4</v>
      </c>
      <c r="N16" s="88">
        <f>SUM('A1'!F16,'A1'!G16,'A1'!H16)+M16</f>
        <v>0.50110630000000012</v>
      </c>
      <c r="O16" s="88">
        <f>SUM('A1'!L16,'A1'!M16,'A1'!N16)+M16</f>
        <v>0.35235630000000007</v>
      </c>
      <c r="P16" s="192"/>
      <c r="Q16" s="192"/>
      <c r="R16" s="69"/>
      <c r="S16" s="88">
        <f>'A2'!AE16</f>
        <v>0</v>
      </c>
      <c r="T16" s="71">
        <f t="shared" ref="T16:T50" si="2">V16-AJ16/1000</f>
        <v>1.5001250000000028</v>
      </c>
      <c r="U16" s="71">
        <f t="shared" ref="U16:U50" si="3">W16-AJ16/1000</f>
        <v>0.91591000000000233</v>
      </c>
      <c r="V16" s="71">
        <f>IF(B16=1,IF(ISBLANK(R16),IF(P16=1,Parametros!$F$58+AJ16/1000,Parametros!$F$57+AJ16/1000),R16),IF(ISBLANK(R16),MAX('A2'!H16+Parametros!$F$64,S16,IF(P16=1,Parametros!$F$58+Parametros!$F$64+(AJ16/1000),Parametros!$F$57+Parametros!$F$64+(AJ16/1000))),MAX('A2'!H16+Parametros!$F$64,R16)))</f>
        <v>1.6501250000000027</v>
      </c>
      <c r="W16" s="71">
        <f>IF(F16=0,0,IF(IF(ISBLANK(X16),0,X16)&gt;=0,IF(ISBLANK(X16),MAX(Z16-(AA16-AF16*F16),IF(P16=1,Parametros!$F$58+AJ16/1000,Parametros!$F$57+AJ16/1000)),MAX(Z16-(AA16-AF16*F16),X16)),IF(ISBLANK(X16),Z16-(AA16-AF16*F16),MAX(Z16-(AA16-AF16*F16),X16))))</f>
        <v>1.0659100000000024</v>
      </c>
      <c r="X16" s="69"/>
      <c r="Y16" s="72">
        <v>187.53</v>
      </c>
      <c r="Z16" s="72">
        <v>186.74</v>
      </c>
      <c r="AA16" s="72">
        <f t="shared" ref="AA16:AA50" si="4">IF(OR(F16=0,ISBLANK(D16)),"-",Y16-V16)</f>
        <v>185.879875</v>
      </c>
      <c r="AB16" s="72">
        <f t="shared" ref="AB16:AB50" si="5">IF(OR(F16=0,ISBLANK(D16)),"-",Z16-W16)</f>
        <v>185.67409000000001</v>
      </c>
      <c r="AC16" s="72">
        <f t="shared" ref="AC16:AC50" si="6">IF(OR(F16=0,ISBLANK(D16)),"-",Y16-T16)</f>
        <v>186.029875</v>
      </c>
      <c r="AD16" s="72">
        <f t="shared" ref="AD16:AD50" si="7">IF(OR(F16=0,ISBLANK(D16)),"-",Z16-U16)</f>
        <v>185.82409000000001</v>
      </c>
      <c r="AE16" s="73">
        <f t="shared" ref="AE16:AE50" si="8">IF(F16=0,0,IF(ISBLANK(D16),0,(Y16-Z16)/F16))</f>
        <v>1.7275311611633329E-2</v>
      </c>
      <c r="AF16" s="153">
        <f>IF(F16=0,0,IF(AJ16&lt;=Parametros!$C$53,Parametros!$F$53,IF(AJ16&lt;=Parametros!$C$54,Parametros!$F$54,IF(AJ16&gt;=Parametros!$C$55,Parametros!$F$55))))</f>
        <v>4.4999999999999997E-3</v>
      </c>
      <c r="AG16" s="74">
        <f>IF(F16=0,0,IF(AJ16&lt;=Parametros!$C$53,Parametros!$F$53,IF(AJ16&lt;=Parametros!$C$54,Parametros!$F$54,IF(AJ16&gt;=Parametros!$C$55,Parametros!$F$55))))</f>
        <v>4.4999999999999997E-3</v>
      </c>
      <c r="AH16" s="75">
        <f t="shared" ref="AH16:AH50" si="9">IF(F16=0,0,IF(ISBLANK(D16),0,(AC16-AD16)/F16))</f>
        <v>4.4999999999998184E-3</v>
      </c>
      <c r="AI16" s="66">
        <f>IF(INDEX(Parametros!$B$68:$B$82,MATCH(DN1mm(AL16,AH16,AK16,Parametros!$F$48),Parametros!$B$68:$B$82,TRUE)+1)&lt;Parametros!$F$50,Parametros!$F$50,INDEX(Parametros!$B$68:$B$82,MATCH(DN1mm(AL16,AH16,AK16,Parametros!$F$48),Parametros!$B$68:$B$82,TRUE)+1))</f>
        <v>150</v>
      </c>
      <c r="AJ16" s="76">
        <f>IF(B16=1,Parametros!$F$50,AJ15)</f>
        <v>150</v>
      </c>
      <c r="AK16" s="155">
        <f>IF(OR(F16=0,D16=0),0,VLOOKUP(AJ16,Parametros!$B$69:$E$82,4,FALSE))</f>
        <v>1.2999999999999999E-2</v>
      </c>
      <c r="AL16" s="77">
        <f>IF(OR(ISBLANK($D16),N16=0),0,IF(N16&lt;Parametros!$F$46,Parametros!$F$46,N16))</f>
        <v>1.5</v>
      </c>
      <c r="AM16" s="77">
        <f>IF(F16=0,0,IF(ISBLANK(D16),0,LAMINAABS(AL16,AJ16,AH16,AK16)))</f>
        <v>3.8838685789368103E-2</v>
      </c>
      <c r="AN16" s="172">
        <f>IF(F16=0,0,IF(ISBLANK(D16),0,LAMINAREL(AL16,AJ16,AH16,AK16)))</f>
        <v>0.25892457192912072</v>
      </c>
      <c r="AO16" s="173">
        <f>IF(OR(AND(AN16&gt;Parametros!$F$47,AJ16=100),AN16&gt;Parametros!$F$48),1,0)</f>
        <v>0</v>
      </c>
      <c r="AP16" s="77">
        <f>IF(F16=0,0,IF(ISBLANK(D16),0,TENSTRAT(AL16,AJ16,AH16,AK16)))</f>
        <v>1.0005011064886635</v>
      </c>
      <c r="AQ16" s="77">
        <f>IF(F16=0,0,IF(ISBLANK(D16),0,VELOCRIT(AL16,AJ16,AH16,AK16)))</f>
        <v>2.8276933747278101</v>
      </c>
      <c r="AR16" s="77">
        <f>IF(F16=0,0,IF(ISBLANK(D16),0,VELOCID(AL16,AJ16,AH16,AK16)))</f>
        <v>0.41320488816293505</v>
      </c>
      <c r="AS16" s="77">
        <f>IF(OR(ISBLANK($D16),O16=0),0,IF(O16&lt;Parametros!$F$46,Parametros!$F$46,O16))</f>
        <v>1.5</v>
      </c>
      <c r="AT16" s="77">
        <f>IF(F16=0,0,IF(ISBLANK(D16),0,LAMINAABS(AS16,AJ16,AH16,AK16)))</f>
        <v>3.8838685789368103E-2</v>
      </c>
      <c r="AU16" s="172">
        <f>IF(F16=0,0,IF(ISBLANK(D16),0,LAMINAREL(AS16,AJ16,AH16,AK16)))</f>
        <v>0.25892457192912072</v>
      </c>
      <c r="AV16" s="77">
        <f>IF(F16=0,0,IF(ISBLANK(D16),0,TENSTRAT(AS16,AJ16,AH16,AK16)))</f>
        <v>1.0005011064886635</v>
      </c>
      <c r="AW16" s="221" t="s">
        <v>389</v>
      </c>
      <c r="AX16" s="70" t="str">
        <f>IF(AND(V16&lt;=Parametros!$C$87,AJ16&lt;=Parametros!$D$87),Parametros!$B$87,IF(AND(V16&lt;=Parametros!$C$88,AJ16&lt;=Parametros!$D$88),Parametros!$B$88,IF(AND(V16&lt;=Parametros!$C$89,AJ16&lt;=Parametros!$D$89),Parametros!$B$89,IF(AND(V16&lt;=Parametros!$C$90,AJ16&lt;=Parametros!$D$90),Parametros!$B$90,IF(AND(V16&lt;=Parametros!$C$91,AJ16&lt;=Parametros!$D$91),Parametros!$B$91,Parametros!$B$92)))))</f>
        <v>PV-0.80</v>
      </c>
      <c r="AY16" s="66" t="s">
        <v>393</v>
      </c>
      <c r="AZ16" s="70" t="str">
        <f t="shared" ref="AZ16:AZ50" si="10">IFERROR(INDEX($AX$15:$AX$10000,MATCH(BA16,$E$15:$E$10000,0)),AX16)</f>
        <v>CI-0.60</v>
      </c>
      <c r="BA16" s="221" t="s">
        <v>393</v>
      </c>
      <c r="BB16" s="144"/>
    </row>
    <row r="17" spans="1:54" customFormat="1" ht="15" customHeight="1" x14ac:dyDescent="0.2">
      <c r="A17" s="94">
        <v>1</v>
      </c>
      <c r="B17" s="221">
        <v>0</v>
      </c>
      <c r="C17" s="221">
        <v>0</v>
      </c>
      <c r="D17" s="222" t="s">
        <v>386</v>
      </c>
      <c r="E17" s="223" t="s">
        <v>393</v>
      </c>
      <c r="F17" s="224">
        <v>58.38</v>
      </c>
      <c r="G17" s="221" t="s">
        <v>389</v>
      </c>
      <c r="H17" s="221"/>
      <c r="I17" s="221"/>
      <c r="J17" s="221" t="s">
        <v>395</v>
      </c>
      <c r="K17" s="221">
        <v>10</v>
      </c>
      <c r="L17" s="221">
        <v>10</v>
      </c>
      <c r="M17" s="68">
        <f>Parametros!$F$44*F17/1000</f>
        <v>5.8379999999999999E-4</v>
      </c>
      <c r="N17" s="88">
        <f>SUM('A1'!F17,'A1'!G17,'A1'!H17)+M17</f>
        <v>0.58919010000000016</v>
      </c>
      <c r="O17" s="88">
        <f>SUM('A1'!L17,'A1'!M17,'A1'!N17)+M17</f>
        <v>0.42585676666666678</v>
      </c>
      <c r="P17" s="192"/>
      <c r="Q17" s="192"/>
      <c r="R17" s="69"/>
      <c r="S17" s="88">
        <f>'A2'!AE17</f>
        <v>0</v>
      </c>
      <c r="T17" s="71">
        <f t="shared" si="2"/>
        <v>0.91591000000000233</v>
      </c>
      <c r="U17" s="71">
        <f t="shared" si="3"/>
        <v>0.9</v>
      </c>
      <c r="V17" s="71">
        <f>IF(B17=1,IF(ISBLANK(R17),IF(P17=1,Parametros!$F$58+AJ17/1000,Parametros!$F$57+AJ17/1000),R17),IF(ISBLANK(R17),MAX('A2'!H17+Parametros!$F$64,S17,IF(P17=1,Parametros!$F$58+Parametros!$F$64+(AJ17/1000),Parametros!$F$57+Parametros!$F$64+(AJ17/1000))),MAX('A2'!H17+Parametros!$F$64,R17)))</f>
        <v>1.0659100000000024</v>
      </c>
      <c r="W17" s="71">
        <f>IF(F17=0,0,IF(IF(ISBLANK(X17),0,X17)&gt;=0,IF(ISBLANK(X17),MAX(Z17-(AA17-AF17*F17),IF(P17=1,Parametros!$F$58+AJ17/1000,Parametros!$F$57+AJ17/1000)),MAX(Z17-(AA17-AF17*F17),X17)),IF(ISBLANK(X17),Z17-(AA17-AF17*F17),MAX(Z17-(AA17-AF17*F17),X17))))</f>
        <v>1.05</v>
      </c>
      <c r="X17" s="69"/>
      <c r="Y17" s="72">
        <v>186.74</v>
      </c>
      <c r="Z17" s="72">
        <v>185.96</v>
      </c>
      <c r="AA17" s="72">
        <f t="shared" si="4"/>
        <v>185.67409000000001</v>
      </c>
      <c r="AB17" s="72">
        <f t="shared" si="5"/>
        <v>184.91</v>
      </c>
      <c r="AC17" s="72">
        <f t="shared" si="6"/>
        <v>185.82409000000001</v>
      </c>
      <c r="AD17" s="72">
        <f t="shared" si="7"/>
        <v>185.06</v>
      </c>
      <c r="AE17" s="73">
        <f t="shared" si="8"/>
        <v>1.3360739979445034E-2</v>
      </c>
      <c r="AF17" s="153">
        <f>IF(F17=0,0,IF(AJ17&lt;=Parametros!$C$53,Parametros!$F$53,IF(AJ17&lt;=Parametros!$C$54,Parametros!$F$54,IF(AJ17&gt;=Parametros!$C$55,Parametros!$F$55))))</f>
        <v>4.4999999999999997E-3</v>
      </c>
      <c r="AG17" s="74">
        <f>IF(F17=0,0,IF(AJ17&lt;=Parametros!$C$53,Parametros!$F$53,IF(AJ17&lt;=Parametros!$C$54,Parametros!$F$54,IF(AJ17&gt;=Parametros!$C$55,Parametros!$F$55))))</f>
        <v>4.4999999999999997E-3</v>
      </c>
      <c r="AH17" s="75">
        <f t="shared" si="9"/>
        <v>1.3088215142172149E-2</v>
      </c>
      <c r="AI17" s="66">
        <f>IF(INDEX(Parametros!$B$68:$B$82,MATCH(DN1mm(AL17,AH17,AK17,Parametros!$F$48),Parametros!$B$68:$B$82,TRUE)+1)&lt;Parametros!$F$50,Parametros!$F$50,INDEX(Parametros!$B$68:$B$82,MATCH(DN1mm(AL17,AH17,AK17,Parametros!$F$48),Parametros!$B$68:$B$82,TRUE)+1))</f>
        <v>150</v>
      </c>
      <c r="AJ17" s="76">
        <f>IF(B17=1,Parametros!$F$50,AJ16)</f>
        <v>150</v>
      </c>
      <c r="AK17" s="155">
        <f>IF(OR(F17=0,D17=0),0,VLOOKUP(AJ17,Parametros!$B$69:$E$82,4,FALSE))</f>
        <v>1.2999999999999999E-2</v>
      </c>
      <c r="AL17" s="77">
        <f>IF(OR(ISBLANK($D17),N17=0),0,IF(N17&lt;Parametros!$F$46,Parametros!$F$46,N17))</f>
        <v>1.5</v>
      </c>
      <c r="AM17" s="77">
        <f>IF(F17=0,0,IF(ISBLANK(D17),0,LAMINAABS(AL17,AJ17,AH17,AK17)))</f>
        <v>2.9748951404898086E-2</v>
      </c>
      <c r="AN17" s="172">
        <f>IF(F17=0,0,IF(ISBLANK(D17),0,LAMINAREL(AL17,AJ17,AH17,AK17)))</f>
        <v>0.19832634269932059</v>
      </c>
      <c r="AO17" s="173">
        <f>IF(OR(AND(AN17&gt;Parametros!$F$47,AJ17=100),AN17&gt;Parametros!$F$48),1,0)</f>
        <v>0</v>
      </c>
      <c r="AP17" s="77">
        <f>IF(F17=0,0,IF(ISBLANK(D17),0,TENSTRAT(AL17,AJ17,AH17,AK17)))</f>
        <v>2.3051593880215639</v>
      </c>
      <c r="AQ17" s="77">
        <f>IF(F17=0,0,IF(ISBLANK(D17),0,VELOCRIT(AL17,AJ17,AH17,AK17)))</f>
        <v>2.5167498519208844</v>
      </c>
      <c r="AR17" s="77">
        <f>IF(F17=0,0,IF(ISBLANK(D17),0,VELOCID(AL17,AJ17,AH17,AK17)))</f>
        <v>0.60330883235595845</v>
      </c>
      <c r="AS17" s="77">
        <f>IF(OR(ISBLANK($D17),O17=0),0,IF(O17&lt;Parametros!$F$46,Parametros!$F$46,O17))</f>
        <v>1.5</v>
      </c>
      <c r="AT17" s="77">
        <f>IF(F17=0,0,IF(ISBLANK(D17),0,LAMINAABS(AS17,AJ17,AH17,AK17)))</f>
        <v>2.9748951404898086E-2</v>
      </c>
      <c r="AU17" s="172">
        <f>IF(F17=0,0,IF(ISBLANK(D17),0,LAMINAREL(AS17,AJ17,AH17,AK17)))</f>
        <v>0.19832634269932059</v>
      </c>
      <c r="AV17" s="77">
        <f>IF(F17=0,0,IF(ISBLANK(D17),0,TENSTRAT(AS17,AJ17,AH17,AK17)))</f>
        <v>2.3051593880215639</v>
      </c>
      <c r="AW17" s="221" t="s">
        <v>393</v>
      </c>
      <c r="AX17" s="70" t="str">
        <f>IF(AND(V17&lt;=Parametros!$C$87,AJ17&lt;=Parametros!$D$87),Parametros!$B$87,IF(AND(V17&lt;=Parametros!$C$88,AJ17&lt;=Parametros!$D$88),Parametros!$B$88,IF(AND(V17&lt;=Parametros!$C$89,AJ17&lt;=Parametros!$D$89),Parametros!$B$89,IF(AND(V17&lt;=Parametros!$C$90,AJ17&lt;=Parametros!$D$90),Parametros!$B$90,IF(AND(V17&lt;=Parametros!$C$91,AJ17&lt;=Parametros!$D$91),Parametros!$B$91,Parametros!$B$92)))))</f>
        <v>CI-0.60</v>
      </c>
      <c r="AY17" s="66" t="s">
        <v>396</v>
      </c>
      <c r="AZ17" s="70" t="str">
        <f t="shared" si="10"/>
        <v>CI-0.60</v>
      </c>
      <c r="BA17" s="221" t="s">
        <v>396</v>
      </c>
      <c r="BB17" s="144"/>
    </row>
    <row r="18" spans="1:54" customFormat="1" ht="15" customHeight="1" x14ac:dyDescent="0.2">
      <c r="A18" s="94">
        <v>1</v>
      </c>
      <c r="B18" s="221">
        <v>0</v>
      </c>
      <c r="C18" s="221">
        <v>0</v>
      </c>
      <c r="D18" s="222" t="s">
        <v>386</v>
      </c>
      <c r="E18" s="223" t="s">
        <v>396</v>
      </c>
      <c r="F18" s="224">
        <v>39.82</v>
      </c>
      <c r="G18" s="221" t="s">
        <v>393</v>
      </c>
      <c r="H18" s="221"/>
      <c r="I18" s="221"/>
      <c r="J18" s="221"/>
      <c r="K18" s="221"/>
      <c r="L18" s="221"/>
      <c r="M18" s="68">
        <f>Parametros!$F$44*F18/1000</f>
        <v>3.9819999999999998E-4</v>
      </c>
      <c r="N18" s="88">
        <f>SUM('A1'!F18,'A1'!G18,'A1'!H18)+M18</f>
        <v>0.58958830000000018</v>
      </c>
      <c r="O18" s="88">
        <f>SUM('A1'!L18,'A1'!M18,'A1'!N18)+M18</f>
        <v>0.42625496666666679</v>
      </c>
      <c r="P18" s="192"/>
      <c r="Q18" s="192"/>
      <c r="R18" s="69"/>
      <c r="S18" s="88">
        <f>'A2'!AE18</f>
        <v>0</v>
      </c>
      <c r="T18" s="71">
        <f t="shared" si="2"/>
        <v>0.9</v>
      </c>
      <c r="U18" s="71">
        <f t="shared" si="3"/>
        <v>0.9</v>
      </c>
      <c r="V18" s="71">
        <f>IF(B18=1,IF(ISBLANK(R18),IF(P18=1,Parametros!$F$58+AJ18/1000,Parametros!$F$57+AJ18/1000),R18),IF(ISBLANK(R18),MAX('A2'!H18+Parametros!$F$64,S18,IF(P18=1,Parametros!$F$58+Parametros!$F$64+(AJ18/1000),Parametros!$F$57+Parametros!$F$64+(AJ18/1000))),MAX('A2'!H18+Parametros!$F$64,R18)))</f>
        <v>1.05</v>
      </c>
      <c r="W18" s="71">
        <f>IF(F18=0,0,IF(IF(ISBLANK(X18),0,X18)&gt;=0,IF(ISBLANK(X18),MAX(Z18-(AA18-AF18*F18),IF(P18=1,Parametros!$F$58+AJ18/1000,Parametros!$F$57+AJ18/1000)),MAX(Z18-(AA18-AF18*F18),X18)),IF(ISBLANK(X18),Z18-(AA18-AF18*F18),MAX(Z18-(AA18-AF18*F18),X18))))</f>
        <v>1.05</v>
      </c>
      <c r="X18" s="69"/>
      <c r="Y18" s="72">
        <v>185.96</v>
      </c>
      <c r="Z18" s="72">
        <v>184.51</v>
      </c>
      <c r="AA18" s="72">
        <f t="shared" si="4"/>
        <v>184.91</v>
      </c>
      <c r="AB18" s="72">
        <f t="shared" si="5"/>
        <v>183.45999999999998</v>
      </c>
      <c r="AC18" s="72">
        <f t="shared" si="6"/>
        <v>185.06</v>
      </c>
      <c r="AD18" s="72">
        <f t="shared" si="7"/>
        <v>183.60999999999999</v>
      </c>
      <c r="AE18" s="73">
        <f t="shared" si="8"/>
        <v>3.6413862380713639E-2</v>
      </c>
      <c r="AF18" s="153">
        <f>IF(F18=0,0,IF(AJ18&lt;=Parametros!$C$53,Parametros!$F$53,IF(AJ18&lt;=Parametros!$C$54,Parametros!$F$54,IF(AJ18&gt;=Parametros!$C$55,Parametros!$F$55))))</f>
        <v>4.4999999999999997E-3</v>
      </c>
      <c r="AG18" s="74">
        <f>IF(F18=0,0,IF(AJ18&lt;=Parametros!$C$53,Parametros!$F$53,IF(AJ18&lt;=Parametros!$C$54,Parametros!$F$54,IF(AJ18&gt;=Parametros!$C$55,Parametros!$F$55))))</f>
        <v>4.4999999999999997E-3</v>
      </c>
      <c r="AH18" s="75">
        <f t="shared" si="9"/>
        <v>3.6413862380713639E-2</v>
      </c>
      <c r="AI18" s="66">
        <f>IF(INDEX(Parametros!$B$68:$B$82,MATCH(DN1mm(AL18,AH18,AK18,Parametros!$F$48),Parametros!$B$68:$B$82,TRUE)+1)&lt;Parametros!$F$50,Parametros!$F$50,INDEX(Parametros!$B$68:$B$82,MATCH(DN1mm(AL18,AH18,AK18,Parametros!$F$48),Parametros!$B$68:$B$82,TRUE)+1))</f>
        <v>150</v>
      </c>
      <c r="AJ18" s="76">
        <f>IF(B18=1,Parametros!$F$50,AJ17)</f>
        <v>150</v>
      </c>
      <c r="AK18" s="155">
        <f>IF(OR(F18=0,D18=0),0,VLOOKUP(AJ18,Parametros!$B$69:$E$82,4,FALSE))</f>
        <v>1.2999999999999999E-2</v>
      </c>
      <c r="AL18" s="77">
        <f>IF(OR(ISBLANK($D18),N18=0),0,IF(N18&lt;Parametros!$F$46,Parametros!$F$46,N18))</f>
        <v>1.5</v>
      </c>
      <c r="AM18" s="77">
        <f>IF(F18=0,0,IF(ISBLANK(D18),0,LAMINAABS(AL18,AJ18,AH18,AK18)))</f>
        <v>2.3163927601205888E-2</v>
      </c>
      <c r="AN18" s="172">
        <f>IF(F18=0,0,IF(ISBLANK(D18),0,LAMINAREL(AL18,AJ18,AH18,AK18)))</f>
        <v>0.15442618400803926</v>
      </c>
      <c r="AO18" s="173">
        <f>IF(OR(AND(AN18&gt;Parametros!$F$47,AJ18=100),AN18&gt;Parametros!$F$48),1,0)</f>
        <v>0</v>
      </c>
      <c r="AP18" s="77">
        <f>IF(F18=0,0,IF(ISBLANK(D18),0,TENSTRAT(AL18,AJ18,AH18,AK18)))</f>
        <v>5.1116950020941738</v>
      </c>
      <c r="AQ18" s="77">
        <f>IF(F18=0,0,IF(ISBLANK(D18),0,VELOCRIT(AL18,AJ18,AH18,AK18)))</f>
        <v>2.2468748225984796</v>
      </c>
      <c r="AR18" s="77">
        <f>IF(F18=0,0,IF(ISBLANK(D18),0,VELOCID(AL18,AJ18,AH18,AK18)))</f>
        <v>0.86506351321398345</v>
      </c>
      <c r="AS18" s="77">
        <f>IF(OR(ISBLANK($D18),O18=0),0,IF(O18&lt;Parametros!$F$46,Parametros!$F$46,O18))</f>
        <v>1.5</v>
      </c>
      <c r="AT18" s="77">
        <f>IF(F18=0,0,IF(ISBLANK(D18),0,LAMINAABS(AS18,AJ18,AH18,AK18)))</f>
        <v>2.3163927601205888E-2</v>
      </c>
      <c r="AU18" s="172">
        <f>IF(F18=0,0,IF(ISBLANK(D18),0,LAMINAREL(AS18,AJ18,AH18,AK18)))</f>
        <v>0.15442618400803926</v>
      </c>
      <c r="AV18" s="77">
        <f>IF(F18=0,0,IF(ISBLANK(D18),0,TENSTRAT(AS18,AJ18,AH18,AK18)))</f>
        <v>5.1116950020941738</v>
      </c>
      <c r="AW18" s="221" t="s">
        <v>396</v>
      </c>
      <c r="AX18" s="70" t="str">
        <f>IF(AND(V18&lt;=Parametros!$C$87,AJ18&lt;=Parametros!$D$87),Parametros!$B$87,IF(AND(V18&lt;=Parametros!$C$88,AJ18&lt;=Parametros!$D$88),Parametros!$B$88,IF(AND(V18&lt;=Parametros!$C$89,AJ18&lt;=Parametros!$D$89),Parametros!$B$89,IF(AND(V18&lt;=Parametros!$C$90,AJ18&lt;=Parametros!$D$90),Parametros!$B$90,IF(AND(V18&lt;=Parametros!$C$91,AJ18&lt;=Parametros!$D$91),Parametros!$B$91,Parametros!$B$92)))))</f>
        <v>CI-0.60</v>
      </c>
      <c r="AY18" s="66" t="s">
        <v>398</v>
      </c>
      <c r="AZ18" s="70" t="str">
        <f t="shared" si="10"/>
        <v>CI-0.60</v>
      </c>
      <c r="BA18" s="221" t="s">
        <v>398</v>
      </c>
      <c r="BB18" s="144"/>
    </row>
    <row r="19" spans="1:54" customFormat="1" ht="15" customHeight="1" x14ac:dyDescent="0.2">
      <c r="A19" s="94">
        <v>1</v>
      </c>
      <c r="B19" s="221">
        <v>0</v>
      </c>
      <c r="C19" s="221">
        <v>0</v>
      </c>
      <c r="D19" s="222" t="s">
        <v>386</v>
      </c>
      <c r="E19" s="223" t="s">
        <v>398</v>
      </c>
      <c r="F19" s="224">
        <v>99.39</v>
      </c>
      <c r="G19" s="221" t="s">
        <v>396</v>
      </c>
      <c r="H19" s="221"/>
      <c r="I19" s="221"/>
      <c r="J19" s="221" t="s">
        <v>400</v>
      </c>
      <c r="K19" s="221">
        <v>150</v>
      </c>
      <c r="L19" s="221">
        <v>100</v>
      </c>
      <c r="M19" s="68">
        <f>Parametros!$F$44*F19/1000</f>
        <v>9.9390000000000004E-4</v>
      </c>
      <c r="N19" s="88">
        <f>SUM('A1'!F19,'A1'!G19,'A1'!H19)+M19</f>
        <v>1.9030822000000005</v>
      </c>
      <c r="O19" s="88">
        <f>SUM('A1'!L19,'A1'!M19,'A1'!N19)+M19</f>
        <v>1.1564155333333337</v>
      </c>
      <c r="P19" s="192"/>
      <c r="Q19" s="192"/>
      <c r="R19" s="69"/>
      <c r="S19" s="88">
        <f>'A2'!AE19</f>
        <v>0</v>
      </c>
      <c r="T19" s="71">
        <f t="shared" si="2"/>
        <v>0.9</v>
      </c>
      <c r="U19" s="71">
        <f t="shared" si="3"/>
        <v>0.9</v>
      </c>
      <c r="V19" s="71">
        <f>IF(B19=1,IF(ISBLANK(R19),IF(P19=1,Parametros!$F$58+AJ19/1000,Parametros!$F$57+AJ19/1000),R19),IF(ISBLANK(R19),MAX('A2'!H19+Parametros!$F$64,S19,IF(P19=1,Parametros!$F$58+Parametros!$F$64+(AJ19/1000),Parametros!$F$57+Parametros!$F$64+(AJ19/1000))),MAX('A2'!H19+Parametros!$F$64,R19)))</f>
        <v>1.05</v>
      </c>
      <c r="W19" s="71">
        <f>IF(F19=0,0,IF(IF(ISBLANK(X19),0,X19)&gt;=0,IF(ISBLANK(X19),MAX(Z19-(AA19-AF19*F19),IF(P19=1,Parametros!$F$58+AJ19/1000,Parametros!$F$57+AJ19/1000)),MAX(Z19-(AA19-AF19*F19),X19)),IF(ISBLANK(X19),Z19-(AA19-AF19*F19),MAX(Z19-(AA19-AF19*F19),X19))))</f>
        <v>1.05</v>
      </c>
      <c r="X19" s="69"/>
      <c r="Y19" s="72">
        <v>184.51</v>
      </c>
      <c r="Z19" s="72">
        <v>182</v>
      </c>
      <c r="AA19" s="72">
        <f t="shared" si="4"/>
        <v>183.45999999999998</v>
      </c>
      <c r="AB19" s="72">
        <f t="shared" si="5"/>
        <v>180.95</v>
      </c>
      <c r="AC19" s="72">
        <f t="shared" si="6"/>
        <v>183.60999999999999</v>
      </c>
      <c r="AD19" s="72">
        <f t="shared" si="7"/>
        <v>181.1</v>
      </c>
      <c r="AE19" s="73">
        <f t="shared" si="8"/>
        <v>2.5254049703189365E-2</v>
      </c>
      <c r="AF19" s="153">
        <f>IF(F19=0,0,IF(AJ19&lt;=Parametros!$C$53,Parametros!$F$53,IF(AJ19&lt;=Parametros!$C$54,Parametros!$F$54,IF(AJ19&gt;=Parametros!$C$55,Parametros!$F$55))))</f>
        <v>4.4999999999999997E-3</v>
      </c>
      <c r="AG19" s="74">
        <f>IF(F19=0,0,IF(AJ19&lt;=Parametros!$C$53,Parametros!$F$53,IF(AJ19&lt;=Parametros!$C$54,Parametros!$F$54,IF(AJ19&gt;=Parametros!$C$55,Parametros!$F$55))))</f>
        <v>4.4999999999999997E-3</v>
      </c>
      <c r="AH19" s="75">
        <f t="shared" si="9"/>
        <v>2.5254049703189365E-2</v>
      </c>
      <c r="AI19" s="66">
        <f>IF(INDEX(Parametros!$B$68:$B$82,MATCH(DN1mm(AL19,AH19,AK19,Parametros!$F$48),Parametros!$B$68:$B$82,TRUE)+1)&lt;Parametros!$F$50,Parametros!$F$50,INDEX(Parametros!$B$68:$B$82,MATCH(DN1mm(AL19,AH19,AK19,Parametros!$F$48),Parametros!$B$68:$B$82,TRUE)+1))</f>
        <v>150</v>
      </c>
      <c r="AJ19" s="76">
        <f>IF(B19=1,Parametros!$F$50,AJ18)</f>
        <v>150</v>
      </c>
      <c r="AK19" s="155">
        <f>IF(OR(F19=0,D19=0),0,VLOOKUP(AJ19,Parametros!$B$69:$E$82,4,FALSE))</f>
        <v>1.2999999999999999E-2</v>
      </c>
      <c r="AL19" s="77">
        <f>IF(OR(ISBLANK($D19),N19=0),0,IF(N19&lt;Parametros!$F$46,Parametros!$F$46,N19))</f>
        <v>1.9030822000000005</v>
      </c>
      <c r="AM19" s="77">
        <f>IF(F19=0,0,IF(ISBLANK(D19),0,LAMINAABS(AL19,AJ19,AH19,AK19)))</f>
        <v>2.8450134259137262E-2</v>
      </c>
      <c r="AN19" s="172">
        <f>IF(F19=0,0,IF(ISBLANK(D19),0,LAMINAREL(AL19,AJ19,AH19,AK19)))</f>
        <v>0.18966756172758176</v>
      </c>
      <c r="AO19" s="173">
        <f>IF(OR(AND(AN19&gt;Parametros!$F$47,AJ19=100),AN19&gt;Parametros!$F$48),1,0)</f>
        <v>0</v>
      </c>
      <c r="AP19" s="77">
        <f>IF(F19=0,0,IF(ISBLANK(D19),0,TENSTRAT(AL19,AJ19,AH19,AK19)))</f>
        <v>4.2735822394057648</v>
      </c>
      <c r="AQ19" s="77">
        <f>IF(F19=0,0,IF(ISBLANK(D19),0,VELOCRIT(AL19,AJ19,AH19,AK19)))</f>
        <v>2.4669497425337985</v>
      </c>
      <c r="AR19" s="77">
        <f>IF(F19=0,0,IF(ISBLANK(D19),0,VELOCID(AL19,AJ19,AH19,AK19)))</f>
        <v>0.81600234701896646</v>
      </c>
      <c r="AS19" s="77">
        <f>IF(OR(ISBLANK($D19),O19=0),0,IF(O19&lt;Parametros!$F$46,Parametros!$F$46,O19))</f>
        <v>1.5</v>
      </c>
      <c r="AT19" s="77">
        <f>IF(F19=0,0,IF(ISBLANK(D19),0,LAMINAABS(AS19,AJ19,AH19,AK19)))</f>
        <v>2.5320191123221307E-2</v>
      </c>
      <c r="AU19" s="172">
        <f>IF(F19=0,0,IF(ISBLANK(D19),0,LAMINAREL(AS19,AJ19,AH19,AK19)))</f>
        <v>0.16880127415480872</v>
      </c>
      <c r="AV19" s="77">
        <f>IF(F19=0,0,IF(ISBLANK(D19),0,TENSTRAT(AS19,AJ19,AH19,AK19)))</f>
        <v>3.8459500888965032</v>
      </c>
      <c r="AW19" s="221" t="s">
        <v>398</v>
      </c>
      <c r="AX19" s="70" t="str">
        <f>IF(AND(V19&lt;=Parametros!$C$87,AJ19&lt;=Parametros!$D$87),Parametros!$B$87,IF(AND(V19&lt;=Parametros!$C$88,AJ19&lt;=Parametros!$D$88),Parametros!$B$88,IF(AND(V19&lt;=Parametros!$C$89,AJ19&lt;=Parametros!$D$89),Parametros!$B$89,IF(AND(V19&lt;=Parametros!$C$90,AJ19&lt;=Parametros!$D$90),Parametros!$B$90,IF(AND(V19&lt;=Parametros!$C$91,AJ19&lt;=Parametros!$D$91),Parametros!$B$91,Parametros!$B$92)))))</f>
        <v>CI-0.60</v>
      </c>
      <c r="AY19" s="66" t="s">
        <v>401</v>
      </c>
      <c r="AZ19" s="70" t="str">
        <f t="shared" si="10"/>
        <v>CI-0.60</v>
      </c>
      <c r="BA19" s="221" t="s">
        <v>401</v>
      </c>
      <c r="BB19" s="144"/>
    </row>
    <row r="20" spans="1:54" customFormat="1" ht="15" customHeight="1" x14ac:dyDescent="0.2">
      <c r="A20" s="94">
        <v>1</v>
      </c>
      <c r="B20" s="221">
        <v>0</v>
      </c>
      <c r="C20" s="221">
        <v>0</v>
      </c>
      <c r="D20" s="222" t="s">
        <v>386</v>
      </c>
      <c r="E20" s="223" t="s">
        <v>401</v>
      </c>
      <c r="F20" s="224">
        <v>36.57</v>
      </c>
      <c r="G20" s="221" t="s">
        <v>398</v>
      </c>
      <c r="H20" s="221"/>
      <c r="I20" s="221"/>
      <c r="J20" s="221"/>
      <c r="K20" s="221"/>
      <c r="L20" s="221"/>
      <c r="M20" s="68">
        <f>Parametros!$F$44*F20/1000</f>
        <v>3.657E-4</v>
      </c>
      <c r="N20" s="88">
        <f>SUM('A1'!F20,'A1'!G20,'A1'!H20)+M20</f>
        <v>1.9034479000000004</v>
      </c>
      <c r="O20" s="88">
        <f>SUM('A1'!L20,'A1'!M20,'A1'!N20)+M20</f>
        <v>1.1567812333333336</v>
      </c>
      <c r="P20" s="192"/>
      <c r="Q20" s="192"/>
      <c r="R20" s="69"/>
      <c r="S20" s="88">
        <f>'A2'!AE20</f>
        <v>0</v>
      </c>
      <c r="T20" s="71">
        <f t="shared" si="2"/>
        <v>0.9</v>
      </c>
      <c r="U20" s="71">
        <f t="shared" si="3"/>
        <v>0.9</v>
      </c>
      <c r="V20" s="71">
        <f>IF(B20=1,IF(ISBLANK(R20),IF(P20=1,Parametros!$F$58+AJ20/1000,Parametros!$F$57+AJ20/1000),R20),IF(ISBLANK(R20),MAX('A2'!H20+Parametros!$F$64,S20,IF(P20=1,Parametros!$F$58+Parametros!$F$64+(AJ20/1000),Parametros!$F$57+Parametros!$F$64+(AJ20/1000))),MAX('A2'!H20+Parametros!$F$64,R20)))</f>
        <v>1.05</v>
      </c>
      <c r="W20" s="71">
        <f>IF(F20=0,0,IF(IF(ISBLANK(X20),0,X20)&gt;=0,IF(ISBLANK(X20),MAX(Z20-(AA20-AF20*F20),IF(P20=1,Parametros!$F$58+AJ20/1000,Parametros!$F$57+AJ20/1000)),MAX(Z20-(AA20-AF20*F20),X20)),IF(ISBLANK(X20),Z20-(AA20-AF20*F20),MAX(Z20-(AA20-AF20*F20),X20))))</f>
        <v>1.05</v>
      </c>
      <c r="X20" s="69"/>
      <c r="Y20" s="72">
        <v>182</v>
      </c>
      <c r="Z20" s="72">
        <v>181.64</v>
      </c>
      <c r="AA20" s="72">
        <f t="shared" si="4"/>
        <v>180.95</v>
      </c>
      <c r="AB20" s="72">
        <f t="shared" si="5"/>
        <v>180.58999999999997</v>
      </c>
      <c r="AC20" s="72">
        <f t="shared" si="6"/>
        <v>181.1</v>
      </c>
      <c r="AD20" s="72">
        <f t="shared" si="7"/>
        <v>180.73999999999998</v>
      </c>
      <c r="AE20" s="73">
        <f t="shared" si="8"/>
        <v>9.8441345365057054E-3</v>
      </c>
      <c r="AF20" s="153">
        <f>IF(F20=0,0,IF(AJ20&lt;=Parametros!$C$53,Parametros!$F$53,IF(AJ20&lt;=Parametros!$C$54,Parametros!$F$54,IF(AJ20&gt;=Parametros!$C$55,Parametros!$F$55))))</f>
        <v>4.4999999999999997E-3</v>
      </c>
      <c r="AG20" s="74">
        <f>IF(F20=0,0,IF(AJ20&lt;=Parametros!$C$53,Parametros!$F$53,IF(AJ20&lt;=Parametros!$C$54,Parametros!$F$54,IF(AJ20&gt;=Parametros!$C$55,Parametros!$F$55))))</f>
        <v>4.4999999999999997E-3</v>
      </c>
      <c r="AH20" s="75">
        <f t="shared" si="9"/>
        <v>9.8441345365057054E-3</v>
      </c>
      <c r="AI20" s="66">
        <f>IF(INDEX(Parametros!$B$68:$B$82,MATCH(DN1mm(AL20,AH20,AK20,Parametros!$F$48),Parametros!$B$68:$B$82,TRUE)+1)&lt;Parametros!$F$50,Parametros!$F$50,INDEX(Parametros!$B$68:$B$82,MATCH(DN1mm(AL20,AH20,AK20,Parametros!$F$48),Parametros!$B$68:$B$82,TRUE)+1))</f>
        <v>150</v>
      </c>
      <c r="AJ20" s="76">
        <f>IF(B20=1,Parametros!$F$50,AJ19)</f>
        <v>150</v>
      </c>
      <c r="AK20" s="155">
        <f>IF(OR(F20=0,D20=0),0,VLOOKUP(AJ20,Parametros!$B$69:$E$82,4,FALSE))</f>
        <v>1.2999999999999999E-2</v>
      </c>
      <c r="AL20" s="77">
        <f>IF(OR(ISBLANK($D20),N20=0),0,IF(N20&lt;Parametros!$F$46,Parametros!$F$46,N20))</f>
        <v>1.9034479000000004</v>
      </c>
      <c r="AM20" s="77">
        <f>IF(F20=0,0,IF(ISBLANK(D20),0,LAMINAABS(AL20,AJ20,AH20,AK20)))</f>
        <v>3.59514780861818E-2</v>
      </c>
      <c r="AN20" s="172">
        <f>IF(F20=0,0,IF(ISBLANK(D20),0,LAMINAREL(AL20,AJ20,AH20,AK20)))</f>
        <v>0.23967652057454536</v>
      </c>
      <c r="AO20" s="173">
        <f>IF(OR(AND(AN20&gt;Parametros!$F$47,AJ20=100),AN20&gt;Parametros!$F$48),1,0)</f>
        <v>0</v>
      </c>
      <c r="AP20" s="77">
        <f>IF(F20=0,0,IF(ISBLANK(D20),0,TENSTRAT(AL20,AJ20,AH20,AK20)))</f>
        <v>2.0481247438081978</v>
      </c>
      <c r="AQ20" s="77">
        <f>IF(F20=0,0,IF(ISBLANK(D20),0,VELOCRIT(AL20,AJ20,AH20,AK20)))</f>
        <v>2.7353897582996414</v>
      </c>
      <c r="AR20" s="77">
        <f>IF(F20=0,0,IF(ISBLANK(D20),0,VELOCID(AL20,AJ20,AH20,AK20)))</f>
        <v>0.58469521446744033</v>
      </c>
      <c r="AS20" s="77">
        <f>IF(OR(ISBLANK($D20),O20=0),0,IF(O20&lt;Parametros!$F$46,Parametros!$F$46,O20))</f>
        <v>1.5</v>
      </c>
      <c r="AT20" s="77">
        <f>IF(F20=0,0,IF(ISBLANK(D20),0,LAMINAABS(AS20,AJ20,AH20,AK20)))</f>
        <v>3.1921267726000138E-2</v>
      </c>
      <c r="AU20" s="172">
        <f>IF(F20=0,0,IF(ISBLANK(D20),0,LAMINAREL(AS20,AJ20,AH20,AK20)))</f>
        <v>0.21280845150666761</v>
      </c>
      <c r="AV20" s="77">
        <f>IF(F20=0,0,IF(ISBLANK(D20),0,TENSTRAT(AS20,AJ20,AH20,AK20)))</f>
        <v>1.8457912779689365</v>
      </c>
      <c r="AW20" s="221" t="s">
        <v>401</v>
      </c>
      <c r="AX20" s="70" t="str">
        <f>IF(AND(V20&lt;=Parametros!$C$87,AJ20&lt;=Parametros!$D$87),Parametros!$B$87,IF(AND(V20&lt;=Parametros!$C$88,AJ20&lt;=Parametros!$D$88),Parametros!$B$88,IF(AND(V20&lt;=Parametros!$C$89,AJ20&lt;=Parametros!$D$89),Parametros!$B$89,IF(AND(V20&lt;=Parametros!$C$90,AJ20&lt;=Parametros!$D$90),Parametros!$B$90,IF(AND(V20&lt;=Parametros!$C$91,AJ20&lt;=Parametros!$D$91),Parametros!$B$91,Parametros!$B$92)))))</f>
        <v>CI-0.60</v>
      </c>
      <c r="AY20" s="66" t="s">
        <v>403</v>
      </c>
      <c r="AZ20" s="70" t="str">
        <f t="shared" si="10"/>
        <v>CI-0.60</v>
      </c>
      <c r="BA20" s="221" t="s">
        <v>403</v>
      </c>
      <c r="BB20" s="144"/>
    </row>
    <row r="21" spans="1:54" customFormat="1" ht="15" customHeight="1" x14ac:dyDescent="0.2">
      <c r="A21" s="94">
        <v>1</v>
      </c>
      <c r="B21" s="221">
        <v>0</v>
      </c>
      <c r="C21" s="221">
        <v>0</v>
      </c>
      <c r="D21" s="222" t="s">
        <v>386</v>
      </c>
      <c r="E21" s="223" t="s">
        <v>403</v>
      </c>
      <c r="F21" s="224">
        <v>75.27</v>
      </c>
      <c r="G21" s="221" t="s">
        <v>401</v>
      </c>
      <c r="H21" s="221" t="s">
        <v>405</v>
      </c>
      <c r="I21" s="221"/>
      <c r="J21" s="221" t="s">
        <v>406</v>
      </c>
      <c r="K21" s="221">
        <v>40</v>
      </c>
      <c r="L21" s="221">
        <v>30</v>
      </c>
      <c r="M21" s="68">
        <f>Parametros!$F$44*F21/1000</f>
        <v>7.5269999999999992E-4</v>
      </c>
      <c r="N21" s="88">
        <f>SUM('A1'!F21,'A1'!G21,'A1'!H21)+M21</f>
        <v>2.2554816000000004</v>
      </c>
      <c r="O21" s="88">
        <f>SUM('A1'!L21,'A1'!M21,'A1'!N21)+M21</f>
        <v>1.3775649333333337</v>
      </c>
      <c r="P21" s="192"/>
      <c r="Q21" s="192"/>
      <c r="R21" s="69"/>
      <c r="S21" s="88">
        <f>'A2'!AE21</f>
        <v>0</v>
      </c>
      <c r="T21" s="71">
        <f t="shared" si="2"/>
        <v>0.9</v>
      </c>
      <c r="U21" s="71">
        <f t="shared" si="3"/>
        <v>0.9</v>
      </c>
      <c r="V21" s="71">
        <f>IF(B21=1,IF(ISBLANK(R21),IF(P21=1,Parametros!$F$58+AJ21/1000,Parametros!$F$57+AJ21/1000),R21),IF(ISBLANK(R21),MAX('A2'!H21+Parametros!$F$64,S21,IF(P21=1,Parametros!$F$58+Parametros!$F$64+(AJ21/1000),Parametros!$F$57+Parametros!$F$64+(AJ21/1000))),MAX('A2'!H21+Parametros!$F$64,R21)))</f>
        <v>1.05</v>
      </c>
      <c r="W21" s="71">
        <f>IF(F21=0,0,IF(IF(ISBLANK(X21),0,X21)&gt;=0,IF(ISBLANK(X21),MAX(Z21-(AA21-AF21*F21),IF(P21=1,Parametros!$F$58+AJ21/1000,Parametros!$F$57+AJ21/1000)),MAX(Z21-(AA21-AF21*F21),X21)),IF(ISBLANK(X21),Z21-(AA21-AF21*F21),MAX(Z21-(AA21-AF21*F21),X21))))</f>
        <v>1.05</v>
      </c>
      <c r="X21" s="69"/>
      <c r="Y21" s="72">
        <v>181.64</v>
      </c>
      <c r="Z21" s="72">
        <v>180.98</v>
      </c>
      <c r="AA21" s="72">
        <f t="shared" si="4"/>
        <v>180.58999999999997</v>
      </c>
      <c r="AB21" s="72">
        <f t="shared" si="5"/>
        <v>179.92999999999998</v>
      </c>
      <c r="AC21" s="72">
        <f t="shared" si="6"/>
        <v>180.73999999999998</v>
      </c>
      <c r="AD21" s="72">
        <f t="shared" si="7"/>
        <v>180.07999999999998</v>
      </c>
      <c r="AE21" s="73">
        <f t="shared" si="8"/>
        <v>8.7684336388999147E-3</v>
      </c>
      <c r="AF21" s="153">
        <f>IF(F21=0,0,IF(AJ21&lt;=Parametros!$C$53,Parametros!$F$53,IF(AJ21&lt;=Parametros!$C$54,Parametros!$F$54,IF(AJ21&gt;=Parametros!$C$55,Parametros!$F$55))))</f>
        <v>4.4999999999999997E-3</v>
      </c>
      <c r="AG21" s="74">
        <f>IF(F21=0,0,IF(AJ21&lt;=Parametros!$C$53,Parametros!$F$53,IF(AJ21&lt;=Parametros!$C$54,Parametros!$F$54,IF(AJ21&gt;=Parametros!$C$55,Parametros!$F$55))))</f>
        <v>4.4999999999999997E-3</v>
      </c>
      <c r="AH21" s="75">
        <f t="shared" si="9"/>
        <v>8.7684336388999147E-3</v>
      </c>
      <c r="AI21" s="66">
        <f>IF(INDEX(Parametros!$B$68:$B$82,MATCH(DN1mm(AL21,AH21,AK21,Parametros!$F$48),Parametros!$B$68:$B$82,TRUE)+1)&lt;Parametros!$F$50,Parametros!$F$50,INDEX(Parametros!$B$68:$B$82,MATCH(DN1mm(AL21,AH21,AK21,Parametros!$F$48),Parametros!$B$68:$B$82,TRUE)+1))</f>
        <v>150</v>
      </c>
      <c r="AJ21" s="76">
        <f>IF(B21=1,Parametros!$F$50,AJ20)</f>
        <v>150</v>
      </c>
      <c r="AK21" s="155">
        <f>IF(OR(F21=0,D21=0),0,VLOOKUP(AJ21,Parametros!$B$69:$E$82,4,FALSE))</f>
        <v>1.2999999999999999E-2</v>
      </c>
      <c r="AL21" s="77">
        <f>IF(OR(ISBLANK($D21),N21=0),0,IF(N21&lt;Parametros!$F$46,Parametros!$F$46,N21))</f>
        <v>2.2554816000000004</v>
      </c>
      <c r="AM21" s="77">
        <f>IF(F21=0,0,IF(ISBLANK(D21),0,LAMINAABS(AL21,AJ21,AH21,AK21)))</f>
        <v>4.0332583755234554E-2</v>
      </c>
      <c r="AN21" s="172">
        <f>IF(F21=0,0,IF(ISBLANK(D21),0,LAMINAREL(AL21,AJ21,AH21,AK21)))</f>
        <v>0.26888389170156368</v>
      </c>
      <c r="AO21" s="173">
        <f>IF(OR(AND(AN21&gt;Parametros!$F$47,AJ21=100),AN21&gt;Parametros!$F$48),1,0)</f>
        <v>0</v>
      </c>
      <c r="AP21" s="77">
        <f>IF(F21=0,0,IF(ISBLANK(D21),0,TENSTRAT(AL21,AJ21,AH21,AK21)))</f>
        <v>2.0130030023188747</v>
      </c>
      <c r="AQ21" s="77">
        <f>IF(F21=0,0,IF(ISBLANK(D21),0,VELOCRIT(AL21,AJ21,AH21,AK21)))</f>
        <v>2.8733662485433515</v>
      </c>
      <c r="AR21" s="77">
        <f>IF(F21=0,0,IF(ISBLANK(D21),0,VELOCID(AL21,AJ21,AH21,AK21)))</f>
        <v>0.58924905728040133</v>
      </c>
      <c r="AS21" s="77">
        <f>IF(OR(ISBLANK($D21),O21=0),0,IF(O21&lt;Parametros!$F$46,Parametros!$F$46,O21))</f>
        <v>1.5</v>
      </c>
      <c r="AT21" s="77">
        <f>IF(F21=0,0,IF(ISBLANK(D21),0,LAMINAABS(AS21,AJ21,AH21,AK21)))</f>
        <v>3.2852514656690271E-2</v>
      </c>
      <c r="AU21" s="172">
        <f>IF(F21=0,0,IF(ISBLANK(D21),0,LAMINAREL(AS21,AJ21,AH21,AK21)))</f>
        <v>0.21901676437793516</v>
      </c>
      <c r="AV21" s="77">
        <f>IF(F21=0,0,IF(ISBLANK(D21),0,TENSTRAT(AS21,AJ21,AH21,AK21)))</f>
        <v>1.6863011477417982</v>
      </c>
      <c r="AW21" s="221" t="s">
        <v>403</v>
      </c>
      <c r="AX21" s="70" t="str">
        <f>IF(AND(V21&lt;=Parametros!$C$87,AJ21&lt;=Parametros!$D$87),Parametros!$B$87,IF(AND(V21&lt;=Parametros!$C$88,AJ21&lt;=Parametros!$D$88),Parametros!$B$88,IF(AND(V21&lt;=Parametros!$C$89,AJ21&lt;=Parametros!$D$89),Parametros!$B$89,IF(AND(V21&lt;=Parametros!$C$90,AJ21&lt;=Parametros!$D$90),Parametros!$B$90,IF(AND(V21&lt;=Parametros!$C$91,AJ21&lt;=Parametros!$D$91),Parametros!$B$91,Parametros!$B$92)))))</f>
        <v>CI-0.60</v>
      </c>
      <c r="AY21" s="66" t="s">
        <v>407</v>
      </c>
      <c r="AZ21" s="70" t="str">
        <f t="shared" si="10"/>
        <v>CI-0.60</v>
      </c>
      <c r="BA21" s="221" t="s">
        <v>407</v>
      </c>
      <c r="BB21" s="144"/>
    </row>
    <row r="22" spans="1:54" customFormat="1" ht="15" customHeight="1" x14ac:dyDescent="0.2">
      <c r="A22" s="94">
        <v>1</v>
      </c>
      <c r="B22" s="221">
        <v>0</v>
      </c>
      <c r="C22" s="221">
        <v>0</v>
      </c>
      <c r="D22" s="222" t="s">
        <v>386</v>
      </c>
      <c r="E22" s="223" t="s">
        <v>407</v>
      </c>
      <c r="F22" s="224">
        <v>61.5</v>
      </c>
      <c r="G22" s="221" t="s">
        <v>403</v>
      </c>
      <c r="H22" s="221" t="s">
        <v>409</v>
      </c>
      <c r="I22" s="221"/>
      <c r="J22" s="221"/>
      <c r="K22" s="221"/>
      <c r="L22" s="221"/>
      <c r="M22" s="68">
        <f>Parametros!$F$44*F22/1000</f>
        <v>6.1499999999999999E-4</v>
      </c>
      <c r="N22" s="88">
        <f>SUM('A1'!F22,'A1'!G22,'A1'!H22)+M22</f>
        <v>2.2566831000000001</v>
      </c>
      <c r="O22" s="88">
        <f>SUM('A1'!L22,'A1'!M22,'A1'!N22)+M22</f>
        <v>1.3787664333333338</v>
      </c>
      <c r="P22" s="192"/>
      <c r="Q22" s="192"/>
      <c r="R22" s="69"/>
      <c r="S22" s="88">
        <f>'A2'!AE22</f>
        <v>0</v>
      </c>
      <c r="T22" s="71">
        <f t="shared" si="2"/>
        <v>0.9639249999999947</v>
      </c>
      <c r="U22" s="71">
        <f t="shared" si="3"/>
        <v>1.2506750000000069</v>
      </c>
      <c r="V22" s="71">
        <f>IF(B22=1,IF(ISBLANK(R22),IF(P22=1,Parametros!$F$58+AJ22/1000,Parametros!$F$57+AJ22/1000),R22),IF(ISBLANK(R22),MAX('A2'!H22+Parametros!$F$64,S22,IF(P22=1,Parametros!$F$58+Parametros!$F$64+(AJ22/1000),Parametros!$F$57+Parametros!$F$64+(AJ22/1000))),MAX('A2'!H22+Parametros!$F$64,R22)))</f>
        <v>1.1139249999999947</v>
      </c>
      <c r="W22" s="71">
        <f>IF(F22=0,0,IF(IF(ISBLANK(X22),0,X22)&gt;=0,IF(ISBLANK(X22),MAX(Z22-(AA22-AF22*F22),IF(P22=1,Parametros!$F$58+AJ22/1000,Parametros!$F$57+AJ22/1000)),MAX(Z22-(AA22-AF22*F22),X22)),IF(ISBLANK(X22),Z22-(AA22-AF22*F22),MAX(Z22-(AA22-AF22*F22),X22))))</f>
        <v>1.4006750000000068</v>
      </c>
      <c r="X22" s="69"/>
      <c r="Y22" s="72">
        <v>180.98</v>
      </c>
      <c r="Z22" s="72">
        <v>180.99</v>
      </c>
      <c r="AA22" s="72">
        <f t="shared" si="4"/>
        <v>179.866075</v>
      </c>
      <c r="AB22" s="72">
        <f t="shared" si="5"/>
        <v>179.589325</v>
      </c>
      <c r="AC22" s="72">
        <f t="shared" si="6"/>
        <v>180.016075</v>
      </c>
      <c r="AD22" s="72">
        <f t="shared" si="7"/>
        <v>179.73932500000001</v>
      </c>
      <c r="AE22" s="73">
        <f t="shared" si="8"/>
        <v>-1.6260162601657442E-4</v>
      </c>
      <c r="AF22" s="153">
        <f>IF(F22=0,0,IF(AJ22&lt;=Parametros!$C$53,Parametros!$F$53,IF(AJ22&lt;=Parametros!$C$54,Parametros!$F$54,IF(AJ22&gt;=Parametros!$C$55,Parametros!$F$55))))</f>
        <v>4.4999999999999997E-3</v>
      </c>
      <c r="AG22" s="74">
        <f>IF(F22=0,0,IF(AJ22&lt;=Parametros!$C$53,Parametros!$F$53,IF(AJ22&lt;=Parametros!$C$54,Parametros!$F$54,IF(AJ22&gt;=Parametros!$C$55,Parametros!$F$55))))</f>
        <v>4.4999999999999997E-3</v>
      </c>
      <c r="AH22" s="75">
        <f t="shared" si="9"/>
        <v>4.4999999999998817E-3</v>
      </c>
      <c r="AI22" s="66">
        <f>IF(INDEX(Parametros!$B$68:$B$82,MATCH(DN1mm(AL22,AH22,AK22,Parametros!$F$48),Parametros!$B$68:$B$82,TRUE)+1)&lt;Parametros!$F$50,Parametros!$F$50,INDEX(Parametros!$B$68:$B$82,MATCH(DN1mm(AL22,AH22,AK22,Parametros!$F$48),Parametros!$B$68:$B$82,TRUE)+1))</f>
        <v>150</v>
      </c>
      <c r="AJ22" s="76">
        <f>IF(B22=1,Parametros!$F$50,AJ21)</f>
        <v>150</v>
      </c>
      <c r="AK22" s="155">
        <f>IF(OR(F22=0,D22=0),0,VLOOKUP(AJ22,Parametros!$B$69:$E$82,4,FALSE))</f>
        <v>1.2999999999999999E-2</v>
      </c>
      <c r="AL22" s="77">
        <f>IF(OR(ISBLANK($D22),N22=0),0,IF(N22&lt;Parametros!$F$46,Parametros!$F$46,N22))</f>
        <v>2.2566831000000001</v>
      </c>
      <c r="AM22" s="77">
        <f>IF(F22=0,0,IF(ISBLANK(D22),0,LAMINAABS(AL22,AJ22,AH22,AK22)))</f>
        <v>4.7902616037571885E-2</v>
      </c>
      <c r="AN22" s="172">
        <f>IF(F22=0,0,IF(ISBLANK(D22),0,LAMINAREL(AL22,AJ22,AH22,AK22)))</f>
        <v>0.31935077358381259</v>
      </c>
      <c r="AO22" s="173">
        <f>IF(OR(AND(AN22&gt;Parametros!$F$47,AJ22=100),AN22&gt;Parametros!$F$48),1,0)</f>
        <v>0</v>
      </c>
      <c r="AP22" s="77">
        <f>IF(F22=0,0,IF(ISBLANK(D22),0,TENSTRAT(AL22,AJ22,AH22,AK22)))</f>
        <v>1.1911229841254443</v>
      </c>
      <c r="AQ22" s="77">
        <f>IF(F22=0,0,IF(ISBLANK(D22),0,VELOCRIT(AL22,AJ22,AH22,AK22)))</f>
        <v>3.0853314784393682</v>
      </c>
      <c r="AR22" s="77">
        <f>IF(F22=0,0,IF(ISBLANK(D22),0,VELOCID(AL22,AJ22,AH22,AK22)))</f>
        <v>0.46415246683804362</v>
      </c>
      <c r="AS22" s="77">
        <f>IF(OR(ISBLANK($D22),O22=0),0,IF(O22&lt;Parametros!$F$46,Parametros!$F$46,O22))</f>
        <v>1.5</v>
      </c>
      <c r="AT22" s="77">
        <f>IF(F22=0,0,IF(ISBLANK(D22),0,LAMINAABS(AS22,AJ22,AH22,AK22)))</f>
        <v>3.8838685789367978E-2</v>
      </c>
      <c r="AU22" s="172">
        <f>IF(F22=0,0,IF(ISBLANK(D22),0,LAMINAREL(AS22,AJ22,AH22,AK22)))</f>
        <v>0.25892457192911988</v>
      </c>
      <c r="AV22" s="77">
        <f>IF(F22=0,0,IF(ISBLANK(D22),0,TENSTRAT(AS22,AJ22,AH22,AK22)))</f>
        <v>1.0005011064886749</v>
      </c>
      <c r="AW22" s="221" t="s">
        <v>407</v>
      </c>
      <c r="AX22" s="70" t="str">
        <f>IF(AND(V22&lt;=Parametros!$C$87,AJ22&lt;=Parametros!$D$87),Parametros!$B$87,IF(AND(V22&lt;=Parametros!$C$88,AJ22&lt;=Parametros!$D$88),Parametros!$B$88,IF(AND(V22&lt;=Parametros!$C$89,AJ22&lt;=Parametros!$D$89),Parametros!$B$89,IF(AND(V22&lt;=Parametros!$C$90,AJ22&lt;=Parametros!$D$90),Parametros!$B$90,IF(AND(V22&lt;=Parametros!$C$91,AJ22&lt;=Parametros!$D$91),Parametros!$B$91,Parametros!$B$92)))))</f>
        <v>CI-0.60</v>
      </c>
      <c r="AY22" s="66" t="s">
        <v>410</v>
      </c>
      <c r="AZ22" s="70" t="str">
        <f t="shared" si="10"/>
        <v>PV-0.80</v>
      </c>
      <c r="BA22" s="221" t="s">
        <v>410</v>
      </c>
      <c r="BB22" s="144"/>
    </row>
    <row r="23" spans="1:54" customFormat="1" ht="15" customHeight="1" x14ac:dyDescent="0.2">
      <c r="A23" s="94">
        <v>1</v>
      </c>
      <c r="B23" s="221">
        <v>0</v>
      </c>
      <c r="C23" s="221">
        <v>0</v>
      </c>
      <c r="D23" s="222" t="s">
        <v>386</v>
      </c>
      <c r="E23" s="223" t="s">
        <v>410</v>
      </c>
      <c r="F23" s="224">
        <v>51.07</v>
      </c>
      <c r="G23" s="221" t="s">
        <v>407</v>
      </c>
      <c r="H23" s="221"/>
      <c r="I23" s="221"/>
      <c r="J23" s="221"/>
      <c r="K23" s="221"/>
      <c r="L23" s="221"/>
      <c r="M23" s="68">
        <f>Parametros!$F$44*F23/1000</f>
        <v>5.107E-4</v>
      </c>
      <c r="N23" s="88">
        <f>SUM('A1'!F23,'A1'!G23,'A1'!H23)+M23</f>
        <v>2.2571938</v>
      </c>
      <c r="O23" s="88">
        <f>SUM('A1'!L23,'A1'!M23,'A1'!N23)+M23</f>
        <v>1.3792771333333338</v>
      </c>
      <c r="P23" s="192"/>
      <c r="Q23" s="192"/>
      <c r="R23" s="69"/>
      <c r="S23" s="88">
        <f>'A2'!AE23</f>
        <v>0</v>
      </c>
      <c r="T23" s="71">
        <f t="shared" si="2"/>
        <v>1.2506750000000069</v>
      </c>
      <c r="U23" s="71">
        <f t="shared" si="3"/>
        <v>1.270490000000001</v>
      </c>
      <c r="V23" s="71">
        <f>IF(B23=1,IF(ISBLANK(R23),IF(P23=1,Parametros!$F$58+AJ23/1000,Parametros!$F$57+AJ23/1000),R23),IF(ISBLANK(R23),MAX('A2'!H23+Parametros!$F$64,S23,IF(P23=1,Parametros!$F$58+Parametros!$F$64+(AJ23/1000),Parametros!$F$57+Parametros!$F$64+(AJ23/1000))),MAX('A2'!H23+Parametros!$F$64,R23)))</f>
        <v>1.4006750000000068</v>
      </c>
      <c r="W23" s="71">
        <f>IF(F23=0,0,IF(IF(ISBLANK(X23),0,X23)&gt;=0,IF(ISBLANK(X23),MAX(Z23-(AA23-AF23*F23),IF(P23=1,Parametros!$F$58+AJ23/1000,Parametros!$F$57+AJ23/1000)),MAX(Z23-(AA23-AF23*F23),X23)),IF(ISBLANK(X23),Z23-(AA23-AF23*F23),MAX(Z23-(AA23-AF23*F23),X23))))</f>
        <v>1.4204900000000009</v>
      </c>
      <c r="X23" s="69"/>
      <c r="Y23" s="72">
        <v>180.99</v>
      </c>
      <c r="Z23" s="72">
        <v>180.78</v>
      </c>
      <c r="AA23" s="72">
        <f t="shared" si="4"/>
        <v>179.589325</v>
      </c>
      <c r="AB23" s="72">
        <f t="shared" si="5"/>
        <v>179.35951</v>
      </c>
      <c r="AC23" s="72">
        <f t="shared" si="6"/>
        <v>179.73932500000001</v>
      </c>
      <c r="AD23" s="72">
        <f t="shared" si="7"/>
        <v>179.50951000000001</v>
      </c>
      <c r="AE23" s="73">
        <f t="shared" si="8"/>
        <v>4.1120031329549235E-3</v>
      </c>
      <c r="AF23" s="153">
        <f>IF(F23=0,0,IF(AJ23&lt;=Parametros!$C$53,Parametros!$F$53,IF(AJ23&lt;=Parametros!$C$54,Parametros!$F$54,IF(AJ23&gt;=Parametros!$C$55,Parametros!$F$55))))</f>
        <v>4.4999999999999997E-3</v>
      </c>
      <c r="AG23" s="74">
        <f>IF(F23=0,0,IF(AJ23&lt;=Parametros!$C$53,Parametros!$F$53,IF(AJ23&lt;=Parametros!$C$54,Parametros!$F$54,IF(AJ23&gt;=Parametros!$C$55,Parametros!$F$55))))</f>
        <v>4.4999999999999997E-3</v>
      </c>
      <c r="AH23" s="75">
        <f t="shared" si="9"/>
        <v>4.5000000000000413E-3</v>
      </c>
      <c r="AI23" s="66">
        <f>IF(INDEX(Parametros!$B$68:$B$82,MATCH(DN1mm(AL23,AH23,AK23,Parametros!$F$48),Parametros!$B$68:$B$82,TRUE)+1)&lt;Parametros!$F$50,Parametros!$F$50,INDEX(Parametros!$B$68:$B$82,MATCH(DN1mm(AL23,AH23,AK23,Parametros!$F$48),Parametros!$B$68:$B$82,TRUE)+1))</f>
        <v>150</v>
      </c>
      <c r="AJ23" s="76">
        <f>IF(B23=1,Parametros!$F$50,AJ22)</f>
        <v>150</v>
      </c>
      <c r="AK23" s="155">
        <f>IF(OR(F23=0,D23=0),0,VLOOKUP(AJ23,Parametros!$B$69:$E$82,4,FALSE))</f>
        <v>1.2999999999999999E-2</v>
      </c>
      <c r="AL23" s="77">
        <f>IF(OR(ISBLANK($D23),N23=0),0,IF(N23&lt;Parametros!$F$46,Parametros!$F$46,N23))</f>
        <v>2.2571938</v>
      </c>
      <c r="AM23" s="77">
        <f>IF(F23=0,0,IF(ISBLANK(D23),0,LAMINAABS(AL23,AJ23,AH23,AK23)))</f>
        <v>4.7908271386982608E-2</v>
      </c>
      <c r="AN23" s="172">
        <f>IF(F23=0,0,IF(ISBLANK(D23),0,LAMINAREL(AL23,AJ23,AH23,AK23)))</f>
        <v>0.3193884759132174</v>
      </c>
      <c r="AO23" s="173">
        <f>IF(OR(AND(AN23&gt;Parametros!$F$47,AJ23=100),AN23&gt;Parametros!$F$48),1,0)</f>
        <v>0</v>
      </c>
      <c r="AP23" s="77">
        <f>IF(F23=0,0,IF(ISBLANK(D23),0,TENSTRAT(AL23,AJ23,AH23,AK23)))</f>
        <v>1.1912365968753498</v>
      </c>
      <c r="AQ23" s="77">
        <f>IF(F23=0,0,IF(ISBLANK(D23),0,VELOCRIT(AL23,AJ23,AH23,AK23)))</f>
        <v>3.0854786188437857</v>
      </c>
      <c r="AR23" s="77">
        <f>IF(F23=0,0,IF(ISBLANK(D23),0,VELOCID(AL23,AJ23,AH23,AK23)))</f>
        <v>0.4641819826463891</v>
      </c>
      <c r="AS23" s="77">
        <f>IF(OR(ISBLANK($D23),O23=0),0,IF(O23&lt;Parametros!$F$46,Parametros!$F$46,O23))</f>
        <v>1.5</v>
      </c>
      <c r="AT23" s="77">
        <f>IF(F23=0,0,IF(ISBLANK(D23),0,LAMINAABS(AS23,AJ23,AH23,AK23)))</f>
        <v>3.8838685789367618E-2</v>
      </c>
      <c r="AU23" s="172">
        <f>IF(F23=0,0,IF(ISBLANK(D23),0,LAMINAREL(AS23,AJ23,AH23,AK23)))</f>
        <v>0.25892457192911744</v>
      </c>
      <c r="AV23" s="77">
        <f>IF(F23=0,0,IF(ISBLANK(D23),0,TENSTRAT(AS23,AJ23,AH23,AK23)))</f>
        <v>1.0005011064887024</v>
      </c>
      <c r="AW23" s="221" t="s">
        <v>410</v>
      </c>
      <c r="AX23" s="70" t="str">
        <f>IF(AND(V23&lt;=Parametros!$C$87,AJ23&lt;=Parametros!$D$87),Parametros!$B$87,IF(AND(V23&lt;=Parametros!$C$88,AJ23&lt;=Parametros!$D$88),Parametros!$B$88,IF(AND(V23&lt;=Parametros!$C$89,AJ23&lt;=Parametros!$D$89),Parametros!$B$89,IF(AND(V23&lt;=Parametros!$C$90,AJ23&lt;=Parametros!$D$90),Parametros!$B$90,IF(AND(V23&lt;=Parametros!$C$91,AJ23&lt;=Parametros!$D$91),Parametros!$B$91,Parametros!$B$92)))))</f>
        <v>PV-0.80</v>
      </c>
      <c r="AY23" s="66" t="s">
        <v>412</v>
      </c>
      <c r="AZ23" s="70" t="str">
        <f t="shared" si="10"/>
        <v>PV-0.80</v>
      </c>
      <c r="BA23" s="221" t="s">
        <v>412</v>
      </c>
      <c r="BB23" s="144"/>
    </row>
    <row r="24" spans="1:54" customFormat="1" ht="15" customHeight="1" x14ac:dyDescent="0.2">
      <c r="A24" s="94">
        <v>1</v>
      </c>
      <c r="B24" s="221">
        <v>0</v>
      </c>
      <c r="C24" s="221">
        <v>0</v>
      </c>
      <c r="D24" s="222" t="s">
        <v>386</v>
      </c>
      <c r="E24" s="223" t="s">
        <v>412</v>
      </c>
      <c r="F24" s="224">
        <v>59.64</v>
      </c>
      <c r="G24" s="221" t="s">
        <v>410</v>
      </c>
      <c r="H24" s="221" t="s">
        <v>414</v>
      </c>
      <c r="I24" s="221"/>
      <c r="J24" s="221"/>
      <c r="K24" s="221"/>
      <c r="L24" s="221"/>
      <c r="M24" s="68">
        <f>Parametros!$F$44*F24/1000</f>
        <v>5.9640000000000008E-4</v>
      </c>
      <c r="N24" s="88">
        <f>SUM('A1'!F24,'A1'!G24,'A1'!H24)+M24</f>
        <v>2.2603697</v>
      </c>
      <c r="O24" s="88">
        <f>SUM('A1'!L24,'A1'!M24,'A1'!N24)+M24</f>
        <v>1.3824530333333338</v>
      </c>
      <c r="P24" s="192"/>
      <c r="Q24" s="192"/>
      <c r="R24" s="69"/>
      <c r="S24" s="88">
        <f>'A2'!AE24</f>
        <v>0</v>
      </c>
      <c r="T24" s="71">
        <f t="shared" si="2"/>
        <v>1.4721050000000049</v>
      </c>
      <c r="U24" s="71">
        <f t="shared" si="3"/>
        <v>1.9504850000000205</v>
      </c>
      <c r="V24" s="71">
        <f>IF(B24=1,IF(ISBLANK(R24),IF(P24=1,Parametros!$F$58+AJ24/1000,Parametros!$F$57+AJ24/1000),R24),IF(ISBLANK(R24),MAX('A2'!H24+Parametros!$F$64,S24,IF(P24=1,Parametros!$F$58+Parametros!$F$64+(AJ24/1000),Parametros!$F$57+Parametros!$F$64+(AJ24/1000))),MAX('A2'!H24+Parametros!$F$64,R24)))</f>
        <v>1.6221050000000048</v>
      </c>
      <c r="W24" s="71">
        <f>IF(F24=0,0,IF(IF(ISBLANK(X24),0,X24)&gt;=0,IF(ISBLANK(X24),MAX(Z24-(AA24-AF24*F24),IF(P24=1,Parametros!$F$58+AJ24/1000,Parametros!$F$57+AJ24/1000)),MAX(Z24-(AA24-AF24*F24),X24)),IF(ISBLANK(X24),Z24-(AA24-AF24*F24),MAX(Z24-(AA24-AF24*F24),X24))))</f>
        <v>2.1004850000000204</v>
      </c>
      <c r="X24" s="69"/>
      <c r="Y24" s="72">
        <v>180.78</v>
      </c>
      <c r="Z24" s="72">
        <v>180.99</v>
      </c>
      <c r="AA24" s="72">
        <f t="shared" si="4"/>
        <v>179.157895</v>
      </c>
      <c r="AB24" s="72">
        <f t="shared" si="5"/>
        <v>178.88951499999999</v>
      </c>
      <c r="AC24" s="72">
        <f t="shared" si="6"/>
        <v>179.307895</v>
      </c>
      <c r="AD24" s="72">
        <f t="shared" si="7"/>
        <v>179.03951499999999</v>
      </c>
      <c r="AE24" s="73">
        <f t="shared" si="8"/>
        <v>-3.5211267605635135E-3</v>
      </c>
      <c r="AF24" s="153">
        <f>IF(F24=0,0,IF(AJ24&lt;=Parametros!$C$53,Parametros!$F$53,IF(AJ24&lt;=Parametros!$C$54,Parametros!$F$54,IF(AJ24&gt;=Parametros!$C$55,Parametros!$F$55))))</f>
        <v>4.4999999999999997E-3</v>
      </c>
      <c r="AG24" s="74">
        <f>IF(F24=0,0,IF(AJ24&lt;=Parametros!$C$53,Parametros!$F$53,IF(AJ24&lt;=Parametros!$C$54,Parametros!$F$54,IF(AJ24&gt;=Parametros!$C$55,Parametros!$F$55))))</f>
        <v>4.4999999999999997E-3</v>
      </c>
      <c r="AH24" s="75">
        <f t="shared" si="9"/>
        <v>4.500000000000128E-3</v>
      </c>
      <c r="AI24" s="66">
        <f>IF(INDEX(Parametros!$B$68:$B$82,MATCH(DN1mm(AL24,AH24,AK24,Parametros!$F$48),Parametros!$B$68:$B$82,TRUE)+1)&lt;Parametros!$F$50,Parametros!$F$50,INDEX(Parametros!$B$68:$B$82,MATCH(DN1mm(AL24,AH24,AK24,Parametros!$F$48),Parametros!$B$68:$B$82,TRUE)+1))</f>
        <v>150</v>
      </c>
      <c r="AJ24" s="76">
        <f>IF(B24=1,Parametros!$F$50,AJ23)</f>
        <v>150</v>
      </c>
      <c r="AK24" s="155">
        <f>IF(OR(F24=0,D24=0),0,VLOOKUP(AJ24,Parametros!$B$69:$E$82,4,FALSE))</f>
        <v>1.2999999999999999E-2</v>
      </c>
      <c r="AL24" s="77">
        <f>IF(OR(ISBLANK($D24),N24=0),0,IF(N24&lt;Parametros!$F$46,Parametros!$F$46,N24))</f>
        <v>2.2603697</v>
      </c>
      <c r="AM24" s="77">
        <f>IF(F24=0,0,IF(ISBLANK(D24),0,LAMINAABS(AL24,AJ24,AH24,AK24)))</f>
        <v>4.7943429211881404E-2</v>
      </c>
      <c r="AN24" s="172">
        <f>IF(F24=0,0,IF(ISBLANK(D24),0,LAMINAREL(AL24,AJ24,AH24,AK24)))</f>
        <v>0.3196228614125427</v>
      </c>
      <c r="AO24" s="173">
        <f>IF(OR(AND(AN24&gt;Parametros!$F$47,AJ24=100),AN24&gt;Parametros!$F$48),1,0)</f>
        <v>0</v>
      </c>
      <c r="AP24" s="77">
        <f>IF(F24=0,0,IF(ISBLANK(D24),0,TENSTRAT(AL24,AJ24,AH24,AK24)))</f>
        <v>1.1919427469638653</v>
      </c>
      <c r="AQ24" s="77">
        <f>IF(F24=0,0,IF(ISBLANK(D24),0,VELOCRIT(AL24,AJ24,AH24,AK24)))</f>
        <v>3.086392999835847</v>
      </c>
      <c r="AR24" s="77">
        <f>IF(F24=0,0,IF(ISBLANK(D24),0,VELOCID(AL24,AJ24,AH24,AK24)))</f>
        <v>0.4643654145322435</v>
      </c>
      <c r="AS24" s="77">
        <f>IF(OR(ISBLANK($D24),O24=0),0,IF(O24&lt;Parametros!$F$46,Parametros!$F$46,O24))</f>
        <v>1.5</v>
      </c>
      <c r="AT24" s="77">
        <f>IF(F24=0,0,IF(ISBLANK(D24),0,LAMINAABS(AS24,AJ24,AH24,AK24)))</f>
        <v>3.883868578936743E-2</v>
      </c>
      <c r="AU24" s="172">
        <f>IF(F24=0,0,IF(ISBLANK(D24),0,LAMINAREL(AS24,AJ24,AH24,AK24)))</f>
        <v>0.25892457192911622</v>
      </c>
      <c r="AV24" s="77">
        <f>IF(F24=0,0,IF(ISBLANK(D24),0,TENSTRAT(AS24,AJ24,AH24,AK24)))</f>
        <v>1.0005011064887179</v>
      </c>
      <c r="AW24" s="221" t="s">
        <v>412</v>
      </c>
      <c r="AX24" s="70" t="str">
        <f>IF(AND(V24&lt;=Parametros!$C$87,AJ24&lt;=Parametros!$D$87),Parametros!$B$87,IF(AND(V24&lt;=Parametros!$C$88,AJ24&lt;=Parametros!$D$88),Parametros!$B$88,IF(AND(V24&lt;=Parametros!$C$89,AJ24&lt;=Parametros!$D$89),Parametros!$B$89,IF(AND(V24&lt;=Parametros!$C$90,AJ24&lt;=Parametros!$D$90),Parametros!$B$90,IF(AND(V24&lt;=Parametros!$C$91,AJ24&lt;=Parametros!$D$91),Parametros!$B$91,Parametros!$B$92)))))</f>
        <v>PV-0.80</v>
      </c>
      <c r="AY24" s="66" t="s">
        <v>415</v>
      </c>
      <c r="AZ24" s="70" t="str">
        <f t="shared" si="10"/>
        <v>PV-1.00</v>
      </c>
      <c r="BA24" s="221" t="s">
        <v>415</v>
      </c>
      <c r="BB24" s="144"/>
    </row>
    <row r="25" spans="1:54" customFormat="1" ht="15" customHeight="1" x14ac:dyDescent="0.2">
      <c r="A25" s="94">
        <v>1</v>
      </c>
      <c r="B25" s="221">
        <v>0</v>
      </c>
      <c r="C25" s="221">
        <v>0</v>
      </c>
      <c r="D25" s="222" t="s">
        <v>386</v>
      </c>
      <c r="E25" s="223" t="s">
        <v>415</v>
      </c>
      <c r="F25" s="224">
        <v>73.430000000000007</v>
      </c>
      <c r="G25" s="221" t="s">
        <v>412</v>
      </c>
      <c r="H25" s="221"/>
      <c r="I25" s="221"/>
      <c r="J25" s="221"/>
      <c r="K25" s="221"/>
      <c r="L25" s="221"/>
      <c r="M25" s="68">
        <f>Parametros!$F$44*F25/1000</f>
        <v>7.3430000000000001E-4</v>
      </c>
      <c r="N25" s="88">
        <f>SUM('A1'!F25,'A1'!G25,'A1'!H25)+M25</f>
        <v>2.261104</v>
      </c>
      <c r="O25" s="88">
        <f>SUM('A1'!L25,'A1'!M25,'A1'!N25)+M25</f>
        <v>1.3831873333333338</v>
      </c>
      <c r="P25" s="192"/>
      <c r="Q25" s="192"/>
      <c r="R25" s="69"/>
      <c r="S25" s="88">
        <f>'A2'!AE25</f>
        <v>0</v>
      </c>
      <c r="T25" s="71">
        <f t="shared" si="2"/>
        <v>1.9504850000000205</v>
      </c>
      <c r="U25" s="71">
        <f t="shared" si="3"/>
        <v>1.7309200000000033</v>
      </c>
      <c r="V25" s="71">
        <f>IF(B25=1,IF(ISBLANK(R25),IF(P25=1,Parametros!$F$58+AJ25/1000,Parametros!$F$57+AJ25/1000),R25),IF(ISBLANK(R25),MAX('A2'!H25+Parametros!$F$64,S25,IF(P25=1,Parametros!$F$58+Parametros!$F$64+(AJ25/1000),Parametros!$F$57+Parametros!$F$64+(AJ25/1000))),MAX('A2'!H25+Parametros!$F$64,R25)))</f>
        <v>2.1004850000000204</v>
      </c>
      <c r="W25" s="71">
        <f>IF(F25=0,0,IF(IF(ISBLANK(X25),0,X25)&gt;=0,IF(ISBLANK(X25),MAX(Z25-(AA25-AF25*F25),IF(P25=1,Parametros!$F$58+AJ25/1000,Parametros!$F$57+AJ25/1000)),MAX(Z25-(AA25-AF25*F25),X25)),IF(ISBLANK(X25),Z25-(AA25-AF25*F25),MAX(Z25-(AA25-AF25*F25),X25))))</f>
        <v>1.8809200000000033</v>
      </c>
      <c r="X25" s="69"/>
      <c r="Y25" s="72">
        <v>180.99</v>
      </c>
      <c r="Z25" s="72">
        <v>180.44</v>
      </c>
      <c r="AA25" s="72">
        <f t="shared" si="4"/>
        <v>178.88951499999999</v>
      </c>
      <c r="AB25" s="72">
        <f t="shared" si="5"/>
        <v>178.55907999999999</v>
      </c>
      <c r="AC25" s="72">
        <f t="shared" si="6"/>
        <v>179.03951499999999</v>
      </c>
      <c r="AD25" s="72">
        <f t="shared" si="7"/>
        <v>178.70908</v>
      </c>
      <c r="AE25" s="73">
        <f t="shared" si="8"/>
        <v>7.4901266512326205E-3</v>
      </c>
      <c r="AF25" s="153">
        <f>IF(F25=0,0,IF(AJ25&lt;=Parametros!$C$53,Parametros!$F$53,IF(AJ25&lt;=Parametros!$C$54,Parametros!$F$54,IF(AJ25&gt;=Parametros!$C$55,Parametros!$F$55))))</f>
        <v>4.4999999999999997E-3</v>
      </c>
      <c r="AG25" s="74">
        <f>IF(F25=0,0,IF(AJ25&lt;=Parametros!$C$53,Parametros!$F$53,IF(AJ25&lt;=Parametros!$C$54,Parametros!$F$54,IF(AJ25&gt;=Parametros!$C$55,Parametros!$F$55))))</f>
        <v>4.4999999999999997E-3</v>
      </c>
      <c r="AH25" s="75">
        <f t="shared" si="9"/>
        <v>4.4999999999999216E-3</v>
      </c>
      <c r="AI25" s="66">
        <f>IF(INDEX(Parametros!$B$68:$B$82,MATCH(DN1mm(AL25,AH25,AK25,Parametros!$F$48),Parametros!$B$68:$B$82,TRUE)+1)&lt;Parametros!$F$50,Parametros!$F$50,INDEX(Parametros!$B$68:$B$82,MATCH(DN1mm(AL25,AH25,AK25,Parametros!$F$48),Parametros!$B$68:$B$82,TRUE)+1))</f>
        <v>150</v>
      </c>
      <c r="AJ25" s="76">
        <f>IF(B25=1,Parametros!$F$50,AJ24)</f>
        <v>150</v>
      </c>
      <c r="AK25" s="155">
        <f>IF(OR(F25=0,D25=0),0,VLOOKUP(AJ25,Parametros!$B$69:$E$82,4,FALSE))</f>
        <v>1.2999999999999999E-2</v>
      </c>
      <c r="AL25" s="77">
        <f>IF(OR(ISBLANK($D25),N25=0),0,IF(N25&lt;Parametros!$F$46,Parametros!$F$46,N25))</f>
        <v>2.261104</v>
      </c>
      <c r="AM25" s="77">
        <f>IF(F25=0,0,IF(ISBLANK(D25),0,LAMINAABS(AL25,AJ25,AH25,AK25)))</f>
        <v>4.7951555309333004E-2</v>
      </c>
      <c r="AN25" s="172">
        <f>IF(F25=0,0,IF(ISBLANK(D25),0,LAMINAREL(AL25,AJ25,AH25,AK25)))</f>
        <v>0.31967703539555337</v>
      </c>
      <c r="AO25" s="173">
        <f>IF(OR(AND(AN25&gt;Parametros!$F$47,AJ25=100),AN25&gt;Parametros!$F$48),1,0)</f>
        <v>0</v>
      </c>
      <c r="AP25" s="77">
        <f>IF(F25=0,0,IF(ISBLANK(D25),0,TENSTRAT(AL25,AJ25,AH25,AK25)))</f>
        <v>1.1921059239100549</v>
      </c>
      <c r="AQ25" s="77">
        <f>IF(F25=0,0,IF(ISBLANK(D25),0,VELOCRIT(AL25,AJ25,AH25,AK25)))</f>
        <v>3.0866042561862095</v>
      </c>
      <c r="AR25" s="77">
        <f>IF(F25=0,0,IF(ISBLANK(D25),0,VELOCID(AL25,AJ25,AH25,AK25)))</f>
        <v>0.46440779676379135</v>
      </c>
      <c r="AS25" s="77">
        <f>IF(OR(ISBLANK($D25),O25=0),0,IF(O25&lt;Parametros!$F$46,Parametros!$F$46,O25))</f>
        <v>1.5</v>
      </c>
      <c r="AT25" s="77">
        <f>IF(F25=0,0,IF(ISBLANK(D25),0,LAMINAABS(AS25,AJ25,AH25,AK25)))</f>
        <v>3.8838685789367874E-2</v>
      </c>
      <c r="AU25" s="172">
        <f>IF(F25=0,0,IF(ISBLANK(D25),0,LAMINAREL(AS25,AJ25,AH25,AK25)))</f>
        <v>0.25892457192911916</v>
      </c>
      <c r="AV25" s="77">
        <f>IF(F25=0,0,IF(ISBLANK(D25),0,TENSTRAT(AS25,AJ25,AH25,AK25)))</f>
        <v>1.0005011064886815</v>
      </c>
      <c r="AW25" s="221" t="s">
        <v>415</v>
      </c>
      <c r="AX25" s="70" t="str">
        <f>IF(AND(V25&lt;=Parametros!$C$87,AJ25&lt;=Parametros!$D$87),Parametros!$B$87,IF(AND(V25&lt;=Parametros!$C$88,AJ25&lt;=Parametros!$D$88),Parametros!$B$88,IF(AND(V25&lt;=Parametros!$C$89,AJ25&lt;=Parametros!$D$89),Parametros!$B$89,IF(AND(V25&lt;=Parametros!$C$90,AJ25&lt;=Parametros!$D$90),Parametros!$B$90,IF(AND(V25&lt;=Parametros!$C$91,AJ25&lt;=Parametros!$D$91),Parametros!$B$91,Parametros!$B$92)))))</f>
        <v>PV-1.00</v>
      </c>
      <c r="AY25" s="66" t="s">
        <v>417</v>
      </c>
      <c r="AZ25" s="70" t="str">
        <f t="shared" si="10"/>
        <v>PV-1.00</v>
      </c>
      <c r="BA25" s="221" t="s">
        <v>417</v>
      </c>
      <c r="BB25" s="144"/>
    </row>
    <row r="26" spans="1:54" customFormat="1" ht="15" customHeight="1" x14ac:dyDescent="0.2">
      <c r="A26" s="94">
        <v>1</v>
      </c>
      <c r="B26" s="221">
        <v>0</v>
      </c>
      <c r="C26" s="221">
        <v>1</v>
      </c>
      <c r="D26" s="222" t="s">
        <v>386</v>
      </c>
      <c r="E26" s="223" t="s">
        <v>417</v>
      </c>
      <c r="F26" s="224">
        <v>70.400000000000006</v>
      </c>
      <c r="G26" s="221" t="s">
        <v>415</v>
      </c>
      <c r="H26" s="221" t="s">
        <v>419</v>
      </c>
      <c r="I26" s="221"/>
      <c r="J26" s="221"/>
      <c r="K26" s="221"/>
      <c r="L26" s="221"/>
      <c r="M26" s="68">
        <f>Parametros!$F$44*F26/1000</f>
        <v>7.0400000000000009E-4</v>
      </c>
      <c r="N26" s="88">
        <f>SUM('A1'!F26,'A1'!G26,'A1'!H26)+M26</f>
        <v>2.268939</v>
      </c>
      <c r="O26" s="88">
        <f>SUM('A1'!L26,'A1'!M26,'A1'!N26)+M26</f>
        <v>1.3910223333333338</v>
      </c>
      <c r="P26" s="192"/>
      <c r="Q26" s="192"/>
      <c r="R26" s="69"/>
      <c r="S26" s="88">
        <f>'A2'!AE26</f>
        <v>0</v>
      </c>
      <c r="T26" s="71">
        <f t="shared" si="2"/>
        <v>1.7309200000000033</v>
      </c>
      <c r="U26" s="71">
        <f t="shared" si="3"/>
        <v>1.547720000000004</v>
      </c>
      <c r="V26" s="71">
        <f>IF(B26=1,IF(ISBLANK(R26),IF(P26=1,Parametros!$F$58+AJ26/1000,Parametros!$F$57+AJ26/1000),R26),IF(ISBLANK(R26),MAX('A2'!H26+Parametros!$F$64,S26,IF(P26=1,Parametros!$F$58+Parametros!$F$64+(AJ26/1000),Parametros!$F$57+Parametros!$F$64+(AJ26/1000))),MAX('A2'!H26+Parametros!$F$64,R26)))</f>
        <v>1.8809200000000033</v>
      </c>
      <c r="W26" s="71">
        <f>IF(F26=0,0,IF(IF(ISBLANK(X26),0,X26)&gt;=0,IF(ISBLANK(X26),MAX(Z26-(AA26-AF26*F26),IF(P26=1,Parametros!$F$58+AJ26/1000,Parametros!$F$57+AJ26/1000)),MAX(Z26-(AA26-AF26*F26),X26)),IF(ISBLANK(X26),Z26-(AA26-AF26*F26),MAX(Z26-(AA26-AF26*F26),X26))))</f>
        <v>1.6977200000000039</v>
      </c>
      <c r="X26" s="69"/>
      <c r="Y26" s="72">
        <v>180.44</v>
      </c>
      <c r="Z26" s="72">
        <v>179.94</v>
      </c>
      <c r="AA26" s="72">
        <f t="shared" si="4"/>
        <v>178.55907999999999</v>
      </c>
      <c r="AB26" s="72">
        <f t="shared" si="5"/>
        <v>178.24227999999999</v>
      </c>
      <c r="AC26" s="72">
        <f t="shared" si="6"/>
        <v>178.70908</v>
      </c>
      <c r="AD26" s="72">
        <f t="shared" si="7"/>
        <v>178.39228</v>
      </c>
      <c r="AE26" s="73">
        <f t="shared" si="8"/>
        <v>7.102272727272727E-3</v>
      </c>
      <c r="AF26" s="153">
        <f>IF(F26=0,0,IF(AJ26&lt;=Parametros!$C$53,Parametros!$F$53,IF(AJ26&lt;=Parametros!$C$54,Parametros!$F$54,IF(AJ26&gt;=Parametros!$C$55,Parametros!$F$55))))</f>
        <v>4.4999999999999997E-3</v>
      </c>
      <c r="AG26" s="74">
        <f>IF(F26=0,0,IF(AJ26&lt;=Parametros!$C$53,Parametros!$F$53,IF(AJ26&lt;=Parametros!$C$54,Parametros!$F$54,IF(AJ26&gt;=Parametros!$C$55,Parametros!$F$55))))</f>
        <v>4.4999999999999997E-3</v>
      </c>
      <c r="AH26" s="75">
        <f t="shared" si="9"/>
        <v>4.5000000000000083E-3</v>
      </c>
      <c r="AI26" s="66">
        <f>IF(INDEX(Parametros!$B$68:$B$82,MATCH(DN1mm(AL26,AH26,AK26,Parametros!$F$48),Parametros!$B$68:$B$82,TRUE)+1)&lt;Parametros!$F$50,Parametros!$F$50,INDEX(Parametros!$B$68:$B$82,MATCH(DN1mm(AL26,AH26,AK26,Parametros!$F$48),Parametros!$B$68:$B$82,TRUE)+1))</f>
        <v>150</v>
      </c>
      <c r="AJ26" s="76">
        <f>IF(B26=1,Parametros!$F$50,AJ25)</f>
        <v>150</v>
      </c>
      <c r="AK26" s="155">
        <f>IF(OR(F26=0,D26=0),0,VLOOKUP(AJ26,Parametros!$B$69:$E$82,4,FALSE))</f>
        <v>1.2999999999999999E-2</v>
      </c>
      <c r="AL26" s="77">
        <f>IF(OR(ISBLANK($D26),N26=0),0,IF(N26&lt;Parametros!$F$46,Parametros!$F$46,N26))</f>
        <v>2.268939</v>
      </c>
      <c r="AM26" s="77">
        <f>IF(F26=0,0,IF(ISBLANK(D26),0,LAMINAABS(AL26,AJ26,AH26,AK26)))</f>
        <v>4.8038196983584185E-2</v>
      </c>
      <c r="AN26" s="172">
        <f>IF(F26=0,0,IF(ISBLANK(D26),0,LAMINAREL(AL26,AJ26,AH26,AK26)))</f>
        <v>0.32025464655722791</v>
      </c>
      <c r="AO26" s="173">
        <f>IF(OR(AND(AN26&gt;Parametros!$F$47,AJ26=100),AN26&gt;Parametros!$F$48),1,0)</f>
        <v>0</v>
      </c>
      <c r="AP26" s="77">
        <f>IF(F26=0,0,IF(ISBLANK(D26),0,TENSTRAT(AL26,AJ26,AH26,AK26)))</f>
        <v>1.1938448791289444</v>
      </c>
      <c r="AQ26" s="77">
        <f>IF(F26=0,0,IF(ISBLANK(D26),0,VELOCRIT(AL26,AJ26,AH26,AK26)))</f>
        <v>3.0888546898446743</v>
      </c>
      <c r="AR26" s="77">
        <f>IF(F26=0,0,IF(ISBLANK(D26),0,VELOCID(AL26,AJ26,AH26,AK26)))</f>
        <v>0.46485933859479167</v>
      </c>
      <c r="AS26" s="77">
        <f>IF(OR(ISBLANK($D26),O26=0),0,IF(O26&lt;Parametros!$F$46,Parametros!$F$46,O26))</f>
        <v>1.5</v>
      </c>
      <c r="AT26" s="77">
        <f>IF(F26=0,0,IF(ISBLANK(D26),0,LAMINAABS(AS26,AJ26,AH26,AK26)))</f>
        <v>3.8838685789367701E-2</v>
      </c>
      <c r="AU26" s="172">
        <f>IF(F26=0,0,IF(ISBLANK(D26),0,LAMINAREL(AS26,AJ26,AH26,AK26)))</f>
        <v>0.258924571929118</v>
      </c>
      <c r="AV26" s="77">
        <f>IF(F26=0,0,IF(ISBLANK(D26),0,TENSTRAT(AS26,AJ26,AH26,AK26)))</f>
        <v>1.0005011064886966</v>
      </c>
      <c r="AW26" s="221" t="s">
        <v>417</v>
      </c>
      <c r="AX26" s="70" t="str">
        <f>IF(AND(V26&lt;=Parametros!$C$87,AJ26&lt;=Parametros!$D$87),Parametros!$B$87,IF(AND(V26&lt;=Parametros!$C$88,AJ26&lt;=Parametros!$D$88),Parametros!$B$88,IF(AND(V26&lt;=Parametros!$C$89,AJ26&lt;=Parametros!$D$89),Parametros!$B$89,IF(AND(V26&lt;=Parametros!$C$90,AJ26&lt;=Parametros!$D$90),Parametros!$B$90,IF(AND(V26&lt;=Parametros!$C$91,AJ26&lt;=Parametros!$D$91),Parametros!$B$91,Parametros!$B$92)))))</f>
        <v>PV-1.00</v>
      </c>
      <c r="AY26" s="66" t="s">
        <v>421</v>
      </c>
      <c r="AZ26" s="70" t="str">
        <f t="shared" si="10"/>
        <v>PV-1.00</v>
      </c>
      <c r="BA26" s="221"/>
      <c r="BB26" s="144"/>
    </row>
    <row r="27" spans="1:54" customFormat="1" ht="15" customHeight="1" x14ac:dyDescent="0.2">
      <c r="A27" s="94">
        <v>1</v>
      </c>
      <c r="B27" s="221">
        <v>1</v>
      </c>
      <c r="C27" s="221">
        <v>0</v>
      </c>
      <c r="D27" s="222" t="s">
        <v>422</v>
      </c>
      <c r="E27" s="223" t="s">
        <v>423</v>
      </c>
      <c r="F27" s="224">
        <v>45.51</v>
      </c>
      <c r="G27" s="221"/>
      <c r="H27" s="221"/>
      <c r="I27" s="221"/>
      <c r="J27" s="221"/>
      <c r="K27" s="221"/>
      <c r="L27" s="221"/>
      <c r="M27" s="68">
        <f>Parametros!$F$44*F27/1000</f>
        <v>4.551E-4</v>
      </c>
      <c r="N27" s="88">
        <f>SUM('A1'!F27,'A1'!G27,'A1'!H27)+M27</f>
        <v>4.551E-4</v>
      </c>
      <c r="O27" s="88">
        <f>SUM('A1'!L27,'A1'!M27,'A1'!N27)+M27</f>
        <v>4.551E-4</v>
      </c>
      <c r="P27" s="192"/>
      <c r="Q27" s="192"/>
      <c r="R27" s="69"/>
      <c r="S27" s="88">
        <f>'A2'!AE27</f>
        <v>0</v>
      </c>
      <c r="T27" s="71">
        <f t="shared" si="2"/>
        <v>0.9</v>
      </c>
      <c r="U27" s="71">
        <f t="shared" si="3"/>
        <v>1.1747949999999947</v>
      </c>
      <c r="V27" s="71">
        <f>IF(B27=1,IF(ISBLANK(R27),IF(P27=1,Parametros!$F$58+AJ27/1000,Parametros!$F$57+AJ27/1000),R27),IF(ISBLANK(R27),MAX('A2'!H27+Parametros!$F$64,S27,IF(P27=1,Parametros!$F$58+Parametros!$F$64+(AJ27/1000),Parametros!$F$57+Parametros!$F$64+(AJ27/1000))),MAX('A2'!H27+Parametros!$F$64,R27)))</f>
        <v>1.05</v>
      </c>
      <c r="W27" s="71">
        <f>IF(F27=0,0,IF(IF(ISBLANK(X27),0,X27)&gt;=0,IF(ISBLANK(X27),MAX(Z27-(AA27-AF27*F27),IF(P27=1,Parametros!$F$58+AJ27/1000,Parametros!$F$57+AJ27/1000)),MAX(Z27-(AA27-AF27*F27),X27)),IF(ISBLANK(X27),Z27-(AA27-AF27*F27),MAX(Z27-(AA27-AF27*F27),X27))))</f>
        <v>1.3247949999999946</v>
      </c>
      <c r="X27" s="69"/>
      <c r="Y27" s="72">
        <v>182.69</v>
      </c>
      <c r="Z27" s="72">
        <v>182.76</v>
      </c>
      <c r="AA27" s="72">
        <f t="shared" si="4"/>
        <v>181.64</v>
      </c>
      <c r="AB27" s="72">
        <f t="shared" si="5"/>
        <v>181.435205</v>
      </c>
      <c r="AC27" s="72">
        <f t="shared" si="6"/>
        <v>181.79</v>
      </c>
      <c r="AD27" s="72">
        <f t="shared" si="7"/>
        <v>181.585205</v>
      </c>
      <c r="AE27" s="73">
        <f t="shared" si="8"/>
        <v>-1.5381234893428518E-3</v>
      </c>
      <c r="AF27" s="153">
        <f>IF(F27=0,0,IF(AJ27&lt;=Parametros!$C$53,Parametros!$F$53,IF(AJ27&lt;=Parametros!$C$54,Parametros!$F$54,IF(AJ27&gt;=Parametros!$C$55,Parametros!$F$55))))</f>
        <v>4.4999999999999997E-3</v>
      </c>
      <c r="AG27" s="74">
        <f>IF(F27=0,0,IF(AJ27&lt;=Parametros!$C$53,Parametros!$F$53,IF(AJ27&lt;=Parametros!$C$54,Parametros!$F$54,IF(AJ27&gt;=Parametros!$C$55,Parametros!$F$55))))</f>
        <v>4.4999999999999997E-3</v>
      </c>
      <c r="AH27" s="75">
        <f t="shared" si="9"/>
        <v>4.499999999999782E-3</v>
      </c>
      <c r="AI27" s="66">
        <f>IF(INDEX(Parametros!$B$68:$B$82,MATCH(DN1mm(AL27,AH27,AK27,Parametros!$F$48),Parametros!$B$68:$B$82,TRUE)+1)&lt;Parametros!$F$50,Parametros!$F$50,INDEX(Parametros!$B$68:$B$82,MATCH(DN1mm(AL27,AH27,AK27,Parametros!$F$48),Parametros!$B$68:$B$82,TRUE)+1))</f>
        <v>150</v>
      </c>
      <c r="AJ27" s="76">
        <f>IF(B27=1,Parametros!$F$50,AJ26)</f>
        <v>150</v>
      </c>
      <c r="AK27" s="155">
        <f>IF(OR(F27=0,D27=0),0,VLOOKUP(AJ27,Parametros!$B$69:$E$82,4,FALSE))</f>
        <v>1.2999999999999999E-2</v>
      </c>
      <c r="AL27" s="77">
        <f>IF(OR(ISBLANK($D27),N27=0),0,IF(N27&lt;Parametros!$F$46,Parametros!$F$46,N27))</f>
        <v>1.5</v>
      </c>
      <c r="AM27" s="77">
        <f>IF(F27=0,0,IF(ISBLANK(D27),0,LAMINAABS(AL27,AJ27,AH27,AK27)))</f>
        <v>3.883868578936818E-2</v>
      </c>
      <c r="AN27" s="172">
        <f>IF(F27=0,0,IF(ISBLANK(D27),0,LAMINAREL(AL27,AJ27,AH27,AK27)))</f>
        <v>0.25892457192912122</v>
      </c>
      <c r="AO27" s="173">
        <f>IF(OR(AND(AN27&gt;Parametros!$F$47,AJ27=100),AN27&gt;Parametros!$F$48),1,0)</f>
        <v>0</v>
      </c>
      <c r="AP27" s="77">
        <f>IF(F27=0,0,IF(ISBLANK(D27),0,TENSTRAT(AL27,AJ27,AH27,AK27)))</f>
        <v>1.0005011064886571</v>
      </c>
      <c r="AQ27" s="77">
        <f>IF(F27=0,0,IF(ISBLANK(D27),0,VELOCRIT(AL27,AJ27,AH27,AK27)))</f>
        <v>2.8276933747278123</v>
      </c>
      <c r="AR27" s="77">
        <f>IF(F27=0,0,IF(ISBLANK(D27),0,VELOCID(AL27,AJ27,AH27,AK27)))</f>
        <v>0.41320488816293394</v>
      </c>
      <c r="AS27" s="77">
        <f>IF(OR(ISBLANK($D27),O27=0),0,IF(O27&lt;Parametros!$F$46,Parametros!$F$46,O27))</f>
        <v>1.5</v>
      </c>
      <c r="AT27" s="77">
        <f>IF(F27=0,0,IF(ISBLANK(D27),0,LAMINAABS(AS27,AJ27,AH27,AK27)))</f>
        <v>3.883868578936818E-2</v>
      </c>
      <c r="AU27" s="172">
        <f>IF(F27=0,0,IF(ISBLANK(D27),0,LAMINAREL(AS27,AJ27,AH27,AK27)))</f>
        <v>0.25892457192912122</v>
      </c>
      <c r="AV27" s="77">
        <f>IF(F27=0,0,IF(ISBLANK(D27),0,TENSTRAT(AS27,AJ27,AH27,AK27)))</f>
        <v>1.0005011064886571</v>
      </c>
      <c r="AW27" s="221" t="s">
        <v>423</v>
      </c>
      <c r="AX27" s="70" t="str">
        <f>IF(AND(V27&lt;=Parametros!$C$87,AJ27&lt;=Parametros!$D$87),Parametros!$B$87,IF(AND(V27&lt;=Parametros!$C$88,AJ27&lt;=Parametros!$D$88),Parametros!$B$88,IF(AND(V27&lt;=Parametros!$C$89,AJ27&lt;=Parametros!$D$89),Parametros!$B$89,IF(AND(V27&lt;=Parametros!$C$90,AJ27&lt;=Parametros!$D$90),Parametros!$B$90,IF(AND(V27&lt;=Parametros!$C$91,AJ27&lt;=Parametros!$D$91),Parametros!$B$91,Parametros!$B$92)))))</f>
        <v>CI-0.60</v>
      </c>
      <c r="AY27" s="66" t="s">
        <v>424</v>
      </c>
      <c r="AZ27" s="70" t="str">
        <f t="shared" si="10"/>
        <v>PV-0.80</v>
      </c>
      <c r="BA27" s="221" t="s">
        <v>424</v>
      </c>
      <c r="BB27" s="144"/>
    </row>
    <row r="28" spans="1:54" customFormat="1" ht="15" customHeight="1" x14ac:dyDescent="0.2">
      <c r="A28" s="94">
        <v>1</v>
      </c>
      <c r="B28" s="221">
        <v>0</v>
      </c>
      <c r="C28" s="221">
        <v>0</v>
      </c>
      <c r="D28" s="222" t="s">
        <v>422</v>
      </c>
      <c r="E28" s="223" t="s">
        <v>424</v>
      </c>
      <c r="F28" s="224">
        <v>49.84</v>
      </c>
      <c r="G28" s="221" t="s">
        <v>423</v>
      </c>
      <c r="H28" s="221"/>
      <c r="I28" s="221"/>
      <c r="J28" s="221"/>
      <c r="K28" s="221"/>
      <c r="L28" s="221"/>
      <c r="M28" s="68">
        <f>Parametros!$F$44*F28/1000</f>
        <v>4.9840000000000008E-4</v>
      </c>
      <c r="N28" s="88">
        <f>SUM('A1'!F28,'A1'!G28,'A1'!H28)+M28</f>
        <v>9.5350000000000014E-4</v>
      </c>
      <c r="O28" s="88">
        <f>SUM('A1'!L28,'A1'!M28,'A1'!N28)+M28</f>
        <v>9.5350000000000014E-4</v>
      </c>
      <c r="P28" s="192"/>
      <c r="Q28" s="192"/>
      <c r="R28" s="69"/>
      <c r="S28" s="88">
        <f>'A2'!AE28</f>
        <v>0</v>
      </c>
      <c r="T28" s="71">
        <f t="shared" si="2"/>
        <v>1.1747949999999947</v>
      </c>
      <c r="U28" s="71">
        <f t="shared" si="3"/>
        <v>0.9</v>
      </c>
      <c r="V28" s="71">
        <f>IF(B28=1,IF(ISBLANK(R28),IF(P28=1,Parametros!$F$58+AJ28/1000,Parametros!$F$57+AJ28/1000),R28),IF(ISBLANK(R28),MAX('A2'!H28+Parametros!$F$64,S28,IF(P28=1,Parametros!$F$58+Parametros!$F$64+(AJ28/1000),Parametros!$F$57+Parametros!$F$64+(AJ28/1000))),MAX('A2'!H28+Parametros!$F$64,R28)))</f>
        <v>1.3247949999999946</v>
      </c>
      <c r="W28" s="71">
        <f>IF(F28=0,0,IF(IF(ISBLANK(X28),0,X28)&gt;=0,IF(ISBLANK(X28),MAX(Z28-(AA28-AF28*F28),IF(P28=1,Parametros!$F$58+AJ28/1000,Parametros!$F$57+AJ28/1000)),MAX(Z28-(AA28-AF28*F28),X28)),IF(ISBLANK(X28),Z28-(AA28-AF28*F28),MAX(Z28-(AA28-AF28*F28),X28))))</f>
        <v>1.05</v>
      </c>
      <c r="X28" s="69"/>
      <c r="Y28" s="72">
        <v>182.76</v>
      </c>
      <c r="Z28" s="72">
        <v>182.16</v>
      </c>
      <c r="AA28" s="72">
        <f t="shared" si="4"/>
        <v>181.435205</v>
      </c>
      <c r="AB28" s="72">
        <f t="shared" si="5"/>
        <v>181.10999999999999</v>
      </c>
      <c r="AC28" s="72">
        <f t="shared" si="6"/>
        <v>181.585205</v>
      </c>
      <c r="AD28" s="72">
        <f t="shared" si="7"/>
        <v>181.26</v>
      </c>
      <c r="AE28" s="73">
        <f t="shared" si="8"/>
        <v>1.2038523274478215E-2</v>
      </c>
      <c r="AF28" s="153">
        <f>IF(F28=0,0,IF(AJ28&lt;=Parametros!$C$53,Parametros!$F$53,IF(AJ28&lt;=Parametros!$C$54,Parametros!$F$54,IF(AJ28&gt;=Parametros!$C$55,Parametros!$F$55))))</f>
        <v>4.4999999999999997E-3</v>
      </c>
      <c r="AG28" s="74">
        <f>IF(F28=0,0,IF(AJ28&lt;=Parametros!$C$53,Parametros!$F$53,IF(AJ28&lt;=Parametros!$C$54,Parametros!$F$54,IF(AJ28&gt;=Parametros!$C$55,Parametros!$F$55))))</f>
        <v>4.4999999999999997E-3</v>
      </c>
      <c r="AH28" s="75">
        <f t="shared" si="9"/>
        <v>6.5249799357947639E-3</v>
      </c>
      <c r="AI28" s="66">
        <f>IF(INDEX(Parametros!$B$68:$B$82,MATCH(DN1mm(AL28,AH28,AK28,Parametros!$F$48),Parametros!$B$68:$B$82,TRUE)+1)&lt;Parametros!$F$50,Parametros!$F$50,INDEX(Parametros!$B$68:$B$82,MATCH(DN1mm(AL28,AH28,AK28,Parametros!$F$48),Parametros!$B$68:$B$82,TRUE)+1))</f>
        <v>150</v>
      </c>
      <c r="AJ28" s="76">
        <f>IF(B28=1,Parametros!$F$50,AJ27)</f>
        <v>150</v>
      </c>
      <c r="AK28" s="155">
        <f>IF(OR(F28=0,D28=0),0,VLOOKUP(AJ28,Parametros!$B$69:$E$82,4,FALSE))</f>
        <v>1.2999999999999999E-2</v>
      </c>
      <c r="AL28" s="77">
        <f>IF(OR(ISBLANK($D28),N28=0),0,IF(N28&lt;Parametros!$F$46,Parametros!$F$46,N28))</f>
        <v>1.5</v>
      </c>
      <c r="AM28" s="77">
        <f>IF(F28=0,0,IF(ISBLANK(D28),0,LAMINAABS(AL28,AJ28,AH28,AK28)))</f>
        <v>3.5368590819155242E-2</v>
      </c>
      <c r="AN28" s="172">
        <f>IF(F28=0,0,IF(ISBLANK(D28),0,LAMINAREL(AL28,AJ28,AH28,AK28)))</f>
        <v>0.23579060546103497</v>
      </c>
      <c r="AO28" s="173">
        <f>IF(OR(AND(AN28&gt;Parametros!$F$47,AJ28=100),AN28&gt;Parametros!$F$48),1,0)</f>
        <v>0</v>
      </c>
      <c r="AP28" s="77">
        <f>IF(F28=0,0,IF(ISBLANK(D28),0,TENSTRAT(AL28,AJ28,AH28,AK28)))</f>
        <v>1.3384521587385441</v>
      </c>
      <c r="AQ28" s="77">
        <f>IF(F28=0,0,IF(ISBLANK(D28),0,VELOCRIT(AL28,AJ28,AH28,AK28)))</f>
        <v>2.7160741394300247</v>
      </c>
      <c r="AR28" s="77">
        <f>IF(F28=0,0,IF(ISBLANK(D28),0,VELOCID(AL28,AJ28,AH28,AK28)))</f>
        <v>0.47154885302760324</v>
      </c>
      <c r="AS28" s="77">
        <f>IF(OR(ISBLANK($D28),O28=0),0,IF(O28&lt;Parametros!$F$46,Parametros!$F$46,O28))</f>
        <v>1.5</v>
      </c>
      <c r="AT28" s="77">
        <f>IF(F28=0,0,IF(ISBLANK(D28),0,LAMINAABS(AS28,AJ28,AH28,AK28)))</f>
        <v>3.5368590819155242E-2</v>
      </c>
      <c r="AU28" s="172">
        <f>IF(F28=0,0,IF(ISBLANK(D28),0,LAMINAREL(AS28,AJ28,AH28,AK28)))</f>
        <v>0.23579060546103497</v>
      </c>
      <c r="AV28" s="77">
        <f>IF(F28=0,0,IF(ISBLANK(D28),0,TENSTRAT(AS28,AJ28,AH28,AK28)))</f>
        <v>1.3384521587385441</v>
      </c>
      <c r="AW28" s="221" t="s">
        <v>424</v>
      </c>
      <c r="AX28" s="70" t="str">
        <f>IF(AND(V28&lt;=Parametros!$C$87,AJ28&lt;=Parametros!$D$87),Parametros!$B$87,IF(AND(V28&lt;=Parametros!$C$88,AJ28&lt;=Parametros!$D$88),Parametros!$B$88,IF(AND(V28&lt;=Parametros!$C$89,AJ28&lt;=Parametros!$D$89),Parametros!$B$89,IF(AND(V28&lt;=Parametros!$C$90,AJ28&lt;=Parametros!$D$90),Parametros!$B$90,IF(AND(V28&lt;=Parametros!$C$91,AJ28&lt;=Parametros!$D$91),Parametros!$B$91,Parametros!$B$92)))))</f>
        <v>PV-0.80</v>
      </c>
      <c r="AY28" s="66" t="s">
        <v>426</v>
      </c>
      <c r="AZ28" s="70" t="str">
        <f t="shared" si="10"/>
        <v>CI-0.60</v>
      </c>
      <c r="BA28" s="221" t="s">
        <v>426</v>
      </c>
      <c r="BB28" s="144"/>
    </row>
    <row r="29" spans="1:54" customFormat="1" ht="15" customHeight="1" x14ac:dyDescent="0.2">
      <c r="A29" s="94">
        <v>1</v>
      </c>
      <c r="B29" s="221">
        <v>0</v>
      </c>
      <c r="C29" s="221">
        <v>0</v>
      </c>
      <c r="D29" s="222" t="s">
        <v>422</v>
      </c>
      <c r="E29" s="223" t="s">
        <v>426</v>
      </c>
      <c r="F29" s="224">
        <v>81.92</v>
      </c>
      <c r="G29" s="221" t="s">
        <v>424</v>
      </c>
      <c r="H29" s="221"/>
      <c r="I29" s="221"/>
      <c r="J29" s="221"/>
      <c r="K29" s="221"/>
      <c r="L29" s="221"/>
      <c r="M29" s="68">
        <f>Parametros!$F$44*F29/1000</f>
        <v>8.1920000000000007E-4</v>
      </c>
      <c r="N29" s="88">
        <f>SUM('A1'!F29,'A1'!G29,'A1'!H29)+M29</f>
        <v>1.7727000000000003E-3</v>
      </c>
      <c r="O29" s="88">
        <f>SUM('A1'!L29,'A1'!M29,'A1'!N29)+M29</f>
        <v>1.7727000000000003E-3</v>
      </c>
      <c r="P29" s="192"/>
      <c r="Q29" s="192"/>
      <c r="R29" s="69"/>
      <c r="S29" s="88">
        <f>'A2'!AE29</f>
        <v>0</v>
      </c>
      <c r="T29" s="71">
        <f t="shared" si="2"/>
        <v>0.9</v>
      </c>
      <c r="U29" s="71">
        <f t="shared" si="3"/>
        <v>0.9</v>
      </c>
      <c r="V29" s="71">
        <f>IF(B29=1,IF(ISBLANK(R29),IF(P29=1,Parametros!$F$58+AJ29/1000,Parametros!$F$57+AJ29/1000),R29),IF(ISBLANK(R29),MAX('A2'!H29+Parametros!$F$64,S29,IF(P29=1,Parametros!$F$58+Parametros!$F$64+(AJ29/1000),Parametros!$F$57+Parametros!$F$64+(AJ29/1000))),MAX('A2'!H29+Parametros!$F$64,R29)))</f>
        <v>1.05</v>
      </c>
      <c r="W29" s="71">
        <f>IF(F29=0,0,IF(IF(ISBLANK(X29),0,X29)&gt;=0,IF(ISBLANK(X29),MAX(Z29-(AA29-AF29*F29),IF(P29=1,Parametros!$F$58+AJ29/1000,Parametros!$F$57+AJ29/1000)),MAX(Z29-(AA29-AF29*F29),X29)),IF(ISBLANK(X29),Z29-(AA29-AF29*F29),MAX(Z29-(AA29-AF29*F29),X29))))</f>
        <v>1.05</v>
      </c>
      <c r="X29" s="69"/>
      <c r="Y29" s="72">
        <v>182.16</v>
      </c>
      <c r="Z29" s="72">
        <v>180.91</v>
      </c>
      <c r="AA29" s="72">
        <f t="shared" si="4"/>
        <v>181.10999999999999</v>
      </c>
      <c r="AB29" s="72">
        <f t="shared" si="5"/>
        <v>179.85999999999999</v>
      </c>
      <c r="AC29" s="72">
        <f t="shared" si="6"/>
        <v>181.26</v>
      </c>
      <c r="AD29" s="72">
        <f t="shared" si="7"/>
        <v>180.01</v>
      </c>
      <c r="AE29" s="73">
        <f t="shared" si="8"/>
        <v>1.52587890625E-2</v>
      </c>
      <c r="AF29" s="153">
        <f>IF(F29=0,0,IF(AJ29&lt;=Parametros!$C$53,Parametros!$F$53,IF(AJ29&lt;=Parametros!$C$54,Parametros!$F$54,IF(AJ29&gt;=Parametros!$C$55,Parametros!$F$55))))</f>
        <v>4.4999999999999997E-3</v>
      </c>
      <c r="AG29" s="74">
        <f>IF(F29=0,0,IF(AJ29&lt;=Parametros!$C$53,Parametros!$F$53,IF(AJ29&lt;=Parametros!$C$54,Parametros!$F$54,IF(AJ29&gt;=Parametros!$C$55,Parametros!$F$55))))</f>
        <v>4.4999999999999997E-3</v>
      </c>
      <c r="AH29" s="75">
        <f t="shared" si="9"/>
        <v>1.52587890625E-2</v>
      </c>
      <c r="AI29" s="66">
        <f>IF(INDEX(Parametros!$B$68:$B$82,MATCH(DN1mm(AL29,AH29,AK29,Parametros!$F$48),Parametros!$B$68:$B$82,TRUE)+1)&lt;Parametros!$F$50,Parametros!$F$50,INDEX(Parametros!$B$68:$B$82,MATCH(DN1mm(AL29,AH29,AK29,Parametros!$F$48),Parametros!$B$68:$B$82,TRUE)+1))</f>
        <v>150</v>
      </c>
      <c r="AJ29" s="76">
        <f>IF(B29=1,Parametros!$F$50,AJ28)</f>
        <v>150</v>
      </c>
      <c r="AK29" s="155">
        <f>IF(OR(F29=0,D29=0),0,VLOOKUP(AJ29,Parametros!$B$69:$E$82,4,FALSE))</f>
        <v>1.2999999999999999E-2</v>
      </c>
      <c r="AL29" s="77">
        <f>IF(OR(ISBLANK($D29),N29=0),0,IF(N29&lt;Parametros!$F$46,Parametros!$F$46,N29))</f>
        <v>1.5</v>
      </c>
      <c r="AM29" s="77">
        <f>IF(F29=0,0,IF(ISBLANK(D29),0,LAMINAABS(AL29,AJ29,AH29,AK29)))</f>
        <v>2.8645389559093525E-2</v>
      </c>
      <c r="AN29" s="172">
        <f>IF(F29=0,0,IF(ISBLANK(D29),0,LAMINAREL(AL29,AJ29,AH29,AK29)))</f>
        <v>0.19096926372729017</v>
      </c>
      <c r="AO29" s="173">
        <f>IF(OR(AND(AN29&gt;Parametros!$F$47,AJ29=100),AN29&gt;Parametros!$F$48),1,0)</f>
        <v>0</v>
      </c>
      <c r="AP29" s="77">
        <f>IF(F29=0,0,IF(ISBLANK(D29),0,TENSTRAT(AL29,AJ29,AH29,AK29)))</f>
        <v>2.5980504264176991</v>
      </c>
      <c r="AQ29" s="77">
        <f>IF(F29=0,0,IF(ISBLANK(D29),0,VELOCRIT(AL29,AJ29,AH29,AK29)))</f>
        <v>2.4745346413831757</v>
      </c>
      <c r="AR29" s="77">
        <f>IF(F29=0,0,IF(ISBLANK(D29),0,VELOCID(AL29,AJ29,AH29,AK29)))</f>
        <v>0.63688887666362093</v>
      </c>
      <c r="AS29" s="77">
        <f>IF(OR(ISBLANK($D29),O29=0),0,IF(O29&lt;Parametros!$F$46,Parametros!$F$46,O29))</f>
        <v>1.5</v>
      </c>
      <c r="AT29" s="77">
        <f>IF(F29=0,0,IF(ISBLANK(D29),0,LAMINAABS(AS29,AJ29,AH29,AK29)))</f>
        <v>2.8645389559093525E-2</v>
      </c>
      <c r="AU29" s="172">
        <f>IF(F29=0,0,IF(ISBLANK(D29),0,LAMINAREL(AS29,AJ29,AH29,AK29)))</f>
        <v>0.19096926372729017</v>
      </c>
      <c r="AV29" s="77">
        <f>IF(F29=0,0,IF(ISBLANK(D29),0,TENSTRAT(AS29,AJ29,AH29,AK29)))</f>
        <v>2.5980504264176991</v>
      </c>
      <c r="AW29" s="221" t="s">
        <v>426</v>
      </c>
      <c r="AX29" s="70" t="str">
        <f>IF(AND(V29&lt;=Parametros!$C$87,AJ29&lt;=Parametros!$D$87),Parametros!$B$87,IF(AND(V29&lt;=Parametros!$C$88,AJ29&lt;=Parametros!$D$88),Parametros!$B$88,IF(AND(V29&lt;=Parametros!$C$89,AJ29&lt;=Parametros!$D$89),Parametros!$B$89,IF(AND(V29&lt;=Parametros!$C$90,AJ29&lt;=Parametros!$D$90),Parametros!$B$90,IF(AND(V29&lt;=Parametros!$C$91,AJ29&lt;=Parametros!$D$91),Parametros!$B$91,Parametros!$B$92)))))</f>
        <v>CI-0.60</v>
      </c>
      <c r="AY29" s="66" t="s">
        <v>428</v>
      </c>
      <c r="AZ29" s="70" t="str">
        <f t="shared" si="10"/>
        <v>CI-0.60</v>
      </c>
      <c r="BA29" s="221" t="s">
        <v>428</v>
      </c>
      <c r="BB29" s="144"/>
    </row>
    <row r="30" spans="1:54" customFormat="1" ht="15" customHeight="1" x14ac:dyDescent="0.2">
      <c r="A30" s="94">
        <v>1</v>
      </c>
      <c r="B30" s="221">
        <v>0</v>
      </c>
      <c r="C30" s="221">
        <v>0</v>
      </c>
      <c r="D30" s="222" t="s">
        <v>422</v>
      </c>
      <c r="E30" s="223" t="s">
        <v>428</v>
      </c>
      <c r="F30" s="224">
        <v>57.99</v>
      </c>
      <c r="G30" s="221" t="s">
        <v>426</v>
      </c>
      <c r="H30" s="221"/>
      <c r="I30" s="221"/>
      <c r="J30" s="221"/>
      <c r="K30" s="221"/>
      <c r="L30" s="221"/>
      <c r="M30" s="68">
        <f>Parametros!$F$44*F30/1000</f>
        <v>5.7990000000000006E-4</v>
      </c>
      <c r="N30" s="88">
        <f>SUM('A1'!F30,'A1'!G30,'A1'!H30)+M30</f>
        <v>2.3526000000000003E-3</v>
      </c>
      <c r="O30" s="88">
        <f>SUM('A1'!L30,'A1'!M30,'A1'!N30)+M30</f>
        <v>2.3526000000000003E-3</v>
      </c>
      <c r="P30" s="192"/>
      <c r="Q30" s="192"/>
      <c r="R30" s="69"/>
      <c r="S30" s="88">
        <f>'A2'!AE30</f>
        <v>0</v>
      </c>
      <c r="T30" s="71">
        <f t="shared" si="2"/>
        <v>0.9</v>
      </c>
      <c r="U30" s="71">
        <f t="shared" si="3"/>
        <v>0.9</v>
      </c>
      <c r="V30" s="71">
        <f>IF(B30=1,IF(ISBLANK(R30),IF(P30=1,Parametros!$F$58+AJ30/1000,Parametros!$F$57+AJ30/1000),R30),IF(ISBLANK(R30),MAX('A2'!H30+Parametros!$F$64,S30,IF(P30=1,Parametros!$F$58+Parametros!$F$64+(AJ30/1000),Parametros!$F$57+Parametros!$F$64+(AJ30/1000))),MAX('A2'!H30+Parametros!$F$64,R30)))</f>
        <v>1.05</v>
      </c>
      <c r="W30" s="71">
        <f>IF(F30=0,0,IF(IF(ISBLANK(X30),0,X30)&gt;=0,IF(ISBLANK(X30),MAX(Z30-(AA30-AF30*F30),IF(P30=1,Parametros!$F$58+AJ30/1000,Parametros!$F$57+AJ30/1000)),MAX(Z30-(AA30-AF30*F30),X30)),IF(ISBLANK(X30),Z30-(AA30-AF30*F30),MAX(Z30-(AA30-AF30*F30),X30))))</f>
        <v>1.05</v>
      </c>
      <c r="X30" s="69"/>
      <c r="Y30" s="72">
        <v>180.91</v>
      </c>
      <c r="Z30" s="72">
        <v>180.31</v>
      </c>
      <c r="AA30" s="72">
        <f t="shared" si="4"/>
        <v>179.85999999999999</v>
      </c>
      <c r="AB30" s="72">
        <f t="shared" si="5"/>
        <v>179.26</v>
      </c>
      <c r="AC30" s="72">
        <f t="shared" si="6"/>
        <v>180.01</v>
      </c>
      <c r="AD30" s="72">
        <f t="shared" si="7"/>
        <v>179.41</v>
      </c>
      <c r="AE30" s="73">
        <f t="shared" si="8"/>
        <v>1.0346611484738649E-2</v>
      </c>
      <c r="AF30" s="153">
        <f>IF(F30=0,0,IF(AJ30&lt;=Parametros!$C$53,Parametros!$F$53,IF(AJ30&lt;=Parametros!$C$54,Parametros!$F$54,IF(AJ30&gt;=Parametros!$C$55,Parametros!$F$55))))</f>
        <v>4.4999999999999997E-3</v>
      </c>
      <c r="AG30" s="74">
        <f>IF(F30=0,0,IF(AJ30&lt;=Parametros!$C$53,Parametros!$F$53,IF(AJ30&lt;=Parametros!$C$54,Parametros!$F$54,IF(AJ30&gt;=Parametros!$C$55,Parametros!$F$55))))</f>
        <v>4.4999999999999997E-3</v>
      </c>
      <c r="AH30" s="75">
        <f t="shared" si="9"/>
        <v>1.0346611484738649E-2</v>
      </c>
      <c r="AI30" s="66">
        <f>IF(INDEX(Parametros!$B$68:$B$82,MATCH(DN1mm(AL30,AH30,AK30,Parametros!$F$48),Parametros!$B$68:$B$82,TRUE)+1)&lt;Parametros!$F$50,Parametros!$F$50,INDEX(Parametros!$B$68:$B$82,MATCH(DN1mm(AL30,AH30,AK30,Parametros!$F$48),Parametros!$B$68:$B$82,TRUE)+1))</f>
        <v>150</v>
      </c>
      <c r="AJ30" s="76">
        <f>IF(B30=1,Parametros!$F$50,AJ29)</f>
        <v>150</v>
      </c>
      <c r="AK30" s="155">
        <f>IF(OR(F30=0,D30=0),0,VLOOKUP(AJ30,Parametros!$B$69:$E$82,4,FALSE))</f>
        <v>1.2999999999999999E-2</v>
      </c>
      <c r="AL30" s="77">
        <f>IF(OR(ISBLANK($D30),N30=0),0,IF(N30&lt;Parametros!$F$46,Parametros!$F$46,N30))</f>
        <v>1.5</v>
      </c>
      <c r="AM30" s="77">
        <f>IF(F30=0,0,IF(ISBLANK(D30),0,LAMINAABS(AL30,AJ30,AH30,AK30)))</f>
        <v>3.1529508524154412E-2</v>
      </c>
      <c r="AN30" s="172">
        <f>IF(F30=0,0,IF(ISBLANK(D30),0,LAMINAREL(AL30,AJ30,AH30,AK30)))</f>
        <v>0.21019672349436275</v>
      </c>
      <c r="AO30" s="173">
        <f>IF(OR(AND(AN30&gt;Parametros!$F$47,AJ30=100),AN30&gt;Parametros!$F$48),1,0)</f>
        <v>0</v>
      </c>
      <c r="AP30" s="77">
        <f>IF(F30=0,0,IF(ISBLANK(D30),0,TENSTRAT(AL30,AJ30,AH30,AK30)))</f>
        <v>1.9189372343965676</v>
      </c>
      <c r="AQ30" s="77">
        <f>IF(F30=0,0,IF(ISBLANK(D30),0,VELOCRIT(AL30,AJ30,AH30,AK30)))</f>
        <v>2.5826235009970846</v>
      </c>
      <c r="AR30" s="77">
        <f>IF(F30=0,0,IF(ISBLANK(D30),0,VELOCID(AL30,AJ30,AH30,AK30)))</f>
        <v>0.55521435409115971</v>
      </c>
      <c r="AS30" s="77">
        <f>IF(OR(ISBLANK($D30),O30=0),0,IF(O30&lt;Parametros!$F$46,Parametros!$F$46,O30))</f>
        <v>1.5</v>
      </c>
      <c r="AT30" s="77">
        <f>IF(F30=0,0,IF(ISBLANK(D30),0,LAMINAABS(AS30,AJ30,AH30,AK30)))</f>
        <v>3.1529508524154412E-2</v>
      </c>
      <c r="AU30" s="172">
        <f>IF(F30=0,0,IF(ISBLANK(D30),0,LAMINAREL(AS30,AJ30,AH30,AK30)))</f>
        <v>0.21019672349436275</v>
      </c>
      <c r="AV30" s="77">
        <f>IF(F30=0,0,IF(ISBLANK(D30),0,TENSTRAT(AS30,AJ30,AH30,AK30)))</f>
        <v>1.9189372343965676</v>
      </c>
      <c r="AW30" s="221" t="s">
        <v>428</v>
      </c>
      <c r="AX30" s="70" t="str">
        <f>IF(AND(V30&lt;=Parametros!$C$87,AJ30&lt;=Parametros!$D$87),Parametros!$B$87,IF(AND(V30&lt;=Parametros!$C$88,AJ30&lt;=Parametros!$D$88),Parametros!$B$88,IF(AND(V30&lt;=Parametros!$C$89,AJ30&lt;=Parametros!$D$89),Parametros!$B$89,IF(AND(V30&lt;=Parametros!$C$90,AJ30&lt;=Parametros!$D$90),Parametros!$B$90,IF(AND(V30&lt;=Parametros!$C$91,AJ30&lt;=Parametros!$D$91),Parametros!$B$91,Parametros!$B$92)))))</f>
        <v>CI-0.60</v>
      </c>
      <c r="AY30" s="66" t="s">
        <v>414</v>
      </c>
      <c r="AZ30" s="70" t="str">
        <f t="shared" si="10"/>
        <v>CI-0.60</v>
      </c>
      <c r="BA30" s="221" t="s">
        <v>414</v>
      </c>
      <c r="BB30" s="144"/>
    </row>
    <row r="31" spans="1:54" customFormat="1" ht="15" customHeight="1" x14ac:dyDescent="0.2">
      <c r="A31" s="94">
        <v>1</v>
      </c>
      <c r="B31" s="221">
        <v>0</v>
      </c>
      <c r="C31" s="221">
        <v>1</v>
      </c>
      <c r="D31" s="222" t="s">
        <v>422</v>
      </c>
      <c r="E31" s="223" t="s">
        <v>414</v>
      </c>
      <c r="F31" s="224">
        <v>22.69</v>
      </c>
      <c r="G31" s="221" t="s">
        <v>428</v>
      </c>
      <c r="H31" s="221"/>
      <c r="I31" s="221"/>
      <c r="J31" s="221"/>
      <c r="K31" s="221"/>
      <c r="L31" s="221"/>
      <c r="M31" s="68">
        <f>Parametros!$F$44*F31/1000</f>
        <v>2.2690000000000001E-4</v>
      </c>
      <c r="N31" s="88">
        <f>SUM('A1'!F31,'A1'!G31,'A1'!H31)+M31</f>
        <v>2.5795000000000002E-3</v>
      </c>
      <c r="O31" s="88">
        <f>SUM('A1'!L31,'A1'!M31,'A1'!N31)+M31</f>
        <v>2.5795000000000002E-3</v>
      </c>
      <c r="P31" s="192"/>
      <c r="Q31" s="192"/>
      <c r="R31" s="69"/>
      <c r="S31" s="88">
        <f>'A2'!AE31</f>
        <v>0</v>
      </c>
      <c r="T31" s="71">
        <f t="shared" si="2"/>
        <v>0.9</v>
      </c>
      <c r="U31" s="71">
        <f t="shared" si="3"/>
        <v>1.4721050000000049</v>
      </c>
      <c r="V31" s="71">
        <f>IF(B31=1,IF(ISBLANK(R31),IF(P31=1,Parametros!$F$58+AJ31/1000,Parametros!$F$57+AJ31/1000),R31),IF(ISBLANK(R31),MAX('A2'!H31+Parametros!$F$64,S31,IF(P31=1,Parametros!$F$58+Parametros!$F$64+(AJ31/1000),Parametros!$F$57+Parametros!$F$64+(AJ31/1000))),MAX('A2'!H31+Parametros!$F$64,R31)))</f>
        <v>1.05</v>
      </c>
      <c r="W31" s="71">
        <f>IF(F31=0,0,IF(IF(ISBLANK(X31),0,X31)&gt;=0,IF(ISBLANK(X31),MAX(Z31-(AA31-AF31*F31),IF(P31=1,Parametros!$F$58+AJ31/1000,Parametros!$F$57+AJ31/1000)),MAX(Z31-(AA31-AF31*F31),X31)),IF(ISBLANK(X31),Z31-(AA31-AF31*F31),MAX(Z31-(AA31-AF31*F31),X31))))</f>
        <v>1.6221050000000048</v>
      </c>
      <c r="X31" s="69"/>
      <c r="Y31" s="72">
        <v>180.31</v>
      </c>
      <c r="Z31" s="72">
        <v>180.78</v>
      </c>
      <c r="AA31" s="72">
        <f t="shared" si="4"/>
        <v>179.26</v>
      </c>
      <c r="AB31" s="72">
        <f t="shared" si="5"/>
        <v>179.157895</v>
      </c>
      <c r="AC31" s="72">
        <f t="shared" si="6"/>
        <v>179.41</v>
      </c>
      <c r="AD31" s="72">
        <f t="shared" si="7"/>
        <v>179.307895</v>
      </c>
      <c r="AE31" s="73">
        <f t="shared" si="8"/>
        <v>-2.0713970912296115E-2</v>
      </c>
      <c r="AF31" s="153">
        <f>IF(F31=0,0,IF(AJ31&lt;=Parametros!$C$53,Parametros!$F$53,IF(AJ31&lt;=Parametros!$C$54,Parametros!$F$54,IF(AJ31&gt;=Parametros!$C$55,Parametros!$F$55))))</f>
        <v>4.4999999999999997E-3</v>
      </c>
      <c r="AG31" s="74">
        <f>IF(F31=0,0,IF(AJ31&lt;=Parametros!$C$53,Parametros!$F$53,IF(AJ31&lt;=Parametros!$C$54,Parametros!$F$54,IF(AJ31&gt;=Parametros!$C$55,Parametros!$F$55))))</f>
        <v>4.4999999999999997E-3</v>
      </c>
      <c r="AH31" s="75">
        <f t="shared" si="9"/>
        <v>4.4999999999997603E-3</v>
      </c>
      <c r="AI31" s="66">
        <f>IF(INDEX(Parametros!$B$68:$B$82,MATCH(DN1mm(AL31,AH31,AK31,Parametros!$F$48),Parametros!$B$68:$B$82,TRUE)+1)&lt;Parametros!$F$50,Parametros!$F$50,INDEX(Parametros!$B$68:$B$82,MATCH(DN1mm(AL31,AH31,AK31,Parametros!$F$48),Parametros!$B$68:$B$82,TRUE)+1))</f>
        <v>150</v>
      </c>
      <c r="AJ31" s="76">
        <f>IF(B31=1,Parametros!$F$50,AJ30)</f>
        <v>150</v>
      </c>
      <c r="AK31" s="155">
        <f>IF(OR(F31=0,D31=0),0,VLOOKUP(AJ31,Parametros!$B$69:$E$82,4,FALSE))</f>
        <v>1.2999999999999999E-2</v>
      </c>
      <c r="AL31" s="77">
        <f>IF(OR(ISBLANK($D31),N31=0),0,IF(N31&lt;Parametros!$F$46,Parametros!$F$46,N31))</f>
        <v>1.5</v>
      </c>
      <c r="AM31" s="77">
        <f>IF(F31=0,0,IF(ISBLANK(D31),0,LAMINAABS(AL31,AJ31,AH31,AK31)))</f>
        <v>3.8838685789368221E-2</v>
      </c>
      <c r="AN31" s="172">
        <f>IF(F31=0,0,IF(ISBLANK(D31),0,LAMINAREL(AL31,AJ31,AH31,AK31)))</f>
        <v>0.25892457192912149</v>
      </c>
      <c r="AO31" s="173">
        <f>IF(OR(AND(AN31&gt;Parametros!$F$47,AJ31=100),AN31&gt;Parametros!$F$48),1,0)</f>
        <v>0</v>
      </c>
      <c r="AP31" s="77">
        <f>IF(F31=0,0,IF(ISBLANK(D31),0,TENSTRAT(AL31,AJ31,AH31,AK31)))</f>
        <v>1.0005011064886533</v>
      </c>
      <c r="AQ31" s="77">
        <f>IF(F31=0,0,IF(ISBLANK(D31),0,VELOCRIT(AL31,AJ31,AH31,AK31)))</f>
        <v>2.8276933747278137</v>
      </c>
      <c r="AR31" s="77">
        <f>IF(F31=0,0,IF(ISBLANK(D31),0,VELOCID(AL31,AJ31,AH31,AK31)))</f>
        <v>0.4132048881629331</v>
      </c>
      <c r="AS31" s="77">
        <f>IF(OR(ISBLANK($D31),O31=0),0,IF(O31&lt;Parametros!$F$46,Parametros!$F$46,O31))</f>
        <v>1.5</v>
      </c>
      <c r="AT31" s="77">
        <f>IF(F31=0,0,IF(ISBLANK(D31),0,LAMINAABS(AS31,AJ31,AH31,AK31)))</f>
        <v>3.8838685789368221E-2</v>
      </c>
      <c r="AU31" s="172">
        <f>IF(F31=0,0,IF(ISBLANK(D31),0,LAMINAREL(AS31,AJ31,AH31,AK31)))</f>
        <v>0.25892457192912149</v>
      </c>
      <c r="AV31" s="77">
        <f>IF(F31=0,0,IF(ISBLANK(D31),0,TENSTRAT(AS31,AJ31,AH31,AK31)))</f>
        <v>1.0005011064886533</v>
      </c>
      <c r="AW31" s="221" t="s">
        <v>414</v>
      </c>
      <c r="AX31" s="70" t="str">
        <f>IF(AND(V31&lt;=Parametros!$C$87,AJ31&lt;=Parametros!$D$87),Parametros!$B$87,IF(AND(V31&lt;=Parametros!$C$88,AJ31&lt;=Parametros!$D$88),Parametros!$B$88,IF(AND(V31&lt;=Parametros!$C$89,AJ31&lt;=Parametros!$D$89),Parametros!$B$89,IF(AND(V31&lt;=Parametros!$C$90,AJ31&lt;=Parametros!$D$90),Parametros!$B$90,IF(AND(V31&lt;=Parametros!$C$91,AJ31&lt;=Parametros!$D$91),Parametros!$B$91,Parametros!$B$92)))))</f>
        <v>CI-0.60</v>
      </c>
      <c r="AY31" s="66" t="s">
        <v>412</v>
      </c>
      <c r="AZ31" s="70" t="str">
        <f t="shared" si="10"/>
        <v>PV-0.80</v>
      </c>
      <c r="BA31" s="221" t="s">
        <v>412</v>
      </c>
      <c r="BB31" s="144"/>
    </row>
    <row r="32" spans="1:54" customFormat="1" ht="15" customHeight="1" x14ac:dyDescent="0.2">
      <c r="A32" s="94">
        <v>1</v>
      </c>
      <c r="B32" s="221">
        <v>1</v>
      </c>
      <c r="C32" s="221">
        <v>0</v>
      </c>
      <c r="D32" s="222" t="s">
        <v>432</v>
      </c>
      <c r="E32" s="223" t="s">
        <v>433</v>
      </c>
      <c r="F32" s="224">
        <v>49.5</v>
      </c>
      <c r="G32" s="221"/>
      <c r="H32" s="221"/>
      <c r="I32" s="221"/>
      <c r="J32" s="221"/>
      <c r="K32" s="221"/>
      <c r="L32" s="221"/>
      <c r="M32" s="68">
        <f>Parametros!$F$44*F32/1000</f>
        <v>4.95E-4</v>
      </c>
      <c r="N32" s="88">
        <f>SUM('A1'!F32,'A1'!G32,'A1'!H32)+M32</f>
        <v>4.95E-4</v>
      </c>
      <c r="O32" s="88">
        <f>SUM('A1'!L32,'A1'!M32,'A1'!N32)+M32</f>
        <v>4.95E-4</v>
      </c>
      <c r="P32" s="192"/>
      <c r="Q32" s="192"/>
      <c r="R32" s="69"/>
      <c r="S32" s="88">
        <f>'A2'!AE32</f>
        <v>0</v>
      </c>
      <c r="T32" s="71">
        <f t="shared" si="2"/>
        <v>0.9</v>
      </c>
      <c r="U32" s="71">
        <f t="shared" si="3"/>
        <v>0.9</v>
      </c>
      <c r="V32" s="71">
        <f>IF(B32=1,IF(ISBLANK(R32),IF(P32=1,Parametros!$F$58+AJ32/1000,Parametros!$F$57+AJ32/1000),R32),IF(ISBLANK(R32),MAX('A2'!H32+Parametros!$F$64,S32,IF(P32=1,Parametros!$F$58+Parametros!$F$64+(AJ32/1000),Parametros!$F$57+Parametros!$F$64+(AJ32/1000))),MAX('A2'!H32+Parametros!$F$64,R32)))</f>
        <v>1.05</v>
      </c>
      <c r="W32" s="71">
        <f>IF(F32=0,0,IF(IF(ISBLANK(X32),0,X32)&gt;=0,IF(ISBLANK(X32),MAX(Z32-(AA32-AF32*F32),IF(P32=1,Parametros!$F$58+AJ32/1000,Parametros!$F$57+AJ32/1000)),MAX(Z32-(AA32-AF32*F32),X32)),IF(ISBLANK(X32),Z32-(AA32-AF32*F32),MAX(Z32-(AA32-AF32*F32),X32))))</f>
        <v>1.05</v>
      </c>
      <c r="X32" s="69"/>
      <c r="Y32" s="72">
        <v>189.18</v>
      </c>
      <c r="Z32" s="72">
        <v>187.3</v>
      </c>
      <c r="AA32" s="72">
        <f t="shared" si="4"/>
        <v>188.13</v>
      </c>
      <c r="AB32" s="72">
        <f t="shared" si="5"/>
        <v>186.25</v>
      </c>
      <c r="AC32" s="72">
        <f t="shared" si="6"/>
        <v>188.28</v>
      </c>
      <c r="AD32" s="72">
        <f t="shared" si="7"/>
        <v>186.4</v>
      </c>
      <c r="AE32" s="73">
        <f t="shared" si="8"/>
        <v>3.7979797979797891E-2</v>
      </c>
      <c r="AF32" s="153">
        <f>IF(F32=0,0,IF(AJ32&lt;=Parametros!$C$53,Parametros!$F$53,IF(AJ32&lt;=Parametros!$C$54,Parametros!$F$54,IF(AJ32&gt;=Parametros!$C$55,Parametros!$F$55))))</f>
        <v>4.4999999999999997E-3</v>
      </c>
      <c r="AG32" s="74">
        <f>IF(F32=0,0,IF(AJ32&lt;=Parametros!$C$53,Parametros!$F$53,IF(AJ32&lt;=Parametros!$C$54,Parametros!$F$54,IF(AJ32&gt;=Parametros!$C$55,Parametros!$F$55))))</f>
        <v>4.4999999999999997E-3</v>
      </c>
      <c r="AH32" s="75">
        <f t="shared" si="9"/>
        <v>3.7979797979797891E-2</v>
      </c>
      <c r="AI32" s="66">
        <f>IF(INDEX(Parametros!$B$68:$B$82,MATCH(DN1mm(AL32,AH32,AK32,Parametros!$F$48),Parametros!$B$68:$B$82,TRUE)+1)&lt;Parametros!$F$50,Parametros!$F$50,INDEX(Parametros!$B$68:$B$82,MATCH(DN1mm(AL32,AH32,AK32,Parametros!$F$48),Parametros!$B$68:$B$82,TRUE)+1))</f>
        <v>150</v>
      </c>
      <c r="AJ32" s="76">
        <f>IF(B32=1,Parametros!$F$50,AJ31)</f>
        <v>150</v>
      </c>
      <c r="AK32" s="155">
        <f>IF(OR(F32=0,D32=0),0,VLOOKUP(AJ32,Parametros!$B$69:$E$82,4,FALSE))</f>
        <v>1.2999999999999999E-2</v>
      </c>
      <c r="AL32" s="77">
        <f>IF(OR(ISBLANK($D32),N32=0),0,IF(N32&lt;Parametros!$F$46,Parametros!$F$46,N32))</f>
        <v>1.5</v>
      </c>
      <c r="AM32" s="77">
        <f>IF(F32=0,0,IF(ISBLANK(D32),0,LAMINAABS(AL32,AJ32,AH32,AK32)))</f>
        <v>2.2928616277152692E-2</v>
      </c>
      <c r="AN32" s="172">
        <f>IF(F32=0,0,IF(ISBLANK(D32),0,LAMINAREL(AL32,AJ32,AH32,AK32)))</f>
        <v>0.15285744184768463</v>
      </c>
      <c r="AO32" s="173">
        <f>IF(OR(AND(AN32&gt;Parametros!$F$47,AJ32=100),AN32&gt;Parametros!$F$48),1,0)</f>
        <v>0</v>
      </c>
      <c r="AP32" s="77">
        <f>IF(F32=0,0,IF(ISBLANK(D32),0,TENSTRAT(AL32,AJ32,AH32,AK32)))</f>
        <v>5.2816817205969517</v>
      </c>
      <c r="AQ32" s="77">
        <f>IF(F32=0,0,IF(ISBLANK(D32),0,VELOCRIT(AL32,AJ32,AH32,AK32)))</f>
        <v>2.2363489644353782</v>
      </c>
      <c r="AR32" s="77">
        <f>IF(F32=0,0,IF(ISBLANK(D32),0,VELOCID(AL32,AJ32,AH32,AK32)))</f>
        <v>0.87795395011594746</v>
      </c>
      <c r="AS32" s="77">
        <f>IF(OR(ISBLANK($D32),O32=0),0,IF(O32&lt;Parametros!$F$46,Parametros!$F$46,O32))</f>
        <v>1.5</v>
      </c>
      <c r="AT32" s="77">
        <f>IF(F32=0,0,IF(ISBLANK(D32),0,LAMINAABS(AS32,AJ32,AH32,AK32)))</f>
        <v>2.2928616277152692E-2</v>
      </c>
      <c r="AU32" s="172">
        <f>IF(F32=0,0,IF(ISBLANK(D32),0,LAMINAREL(AS32,AJ32,AH32,AK32)))</f>
        <v>0.15285744184768463</v>
      </c>
      <c r="AV32" s="77">
        <f>IF(F32=0,0,IF(ISBLANK(D32),0,TENSTRAT(AS32,AJ32,AH32,AK32)))</f>
        <v>5.2816817205969517</v>
      </c>
      <c r="AW32" s="221" t="s">
        <v>433</v>
      </c>
      <c r="AX32" s="70" t="str">
        <f>IF(AND(V32&lt;=Parametros!$C$87,AJ32&lt;=Parametros!$D$87),Parametros!$B$87,IF(AND(V32&lt;=Parametros!$C$88,AJ32&lt;=Parametros!$D$88),Parametros!$B$88,IF(AND(V32&lt;=Parametros!$C$89,AJ32&lt;=Parametros!$D$89),Parametros!$B$89,IF(AND(V32&lt;=Parametros!$C$90,AJ32&lt;=Parametros!$D$90),Parametros!$B$90,IF(AND(V32&lt;=Parametros!$C$91,AJ32&lt;=Parametros!$D$91),Parametros!$B$91,Parametros!$B$92)))))</f>
        <v>CI-0.60</v>
      </c>
      <c r="AY32" s="66" t="s">
        <v>391</v>
      </c>
      <c r="AZ32" s="70" t="str">
        <f t="shared" si="10"/>
        <v>CI-0.60</v>
      </c>
      <c r="BA32" s="221" t="s">
        <v>391</v>
      </c>
      <c r="BB32" s="144"/>
    </row>
    <row r="33" spans="1:54" customFormat="1" ht="15" customHeight="1" x14ac:dyDescent="0.2">
      <c r="A33" s="94">
        <v>1</v>
      </c>
      <c r="B33" s="221">
        <v>0</v>
      </c>
      <c r="C33" s="221">
        <v>1</v>
      </c>
      <c r="D33" s="222" t="s">
        <v>432</v>
      </c>
      <c r="E33" s="223" t="s">
        <v>391</v>
      </c>
      <c r="F33" s="224">
        <v>82.25</v>
      </c>
      <c r="G33" s="221" t="s">
        <v>433</v>
      </c>
      <c r="H33" s="221"/>
      <c r="I33" s="221"/>
      <c r="J33" s="221"/>
      <c r="K33" s="221"/>
      <c r="L33" s="221"/>
      <c r="M33" s="68">
        <f>Parametros!$F$44*F33/1000</f>
        <v>8.2249999999999999E-4</v>
      </c>
      <c r="N33" s="88">
        <f>SUM('A1'!F33,'A1'!G33,'A1'!H33)+M33</f>
        <v>1.3175000000000001E-3</v>
      </c>
      <c r="O33" s="88">
        <f>SUM('A1'!L33,'A1'!M33,'A1'!N33)+M33</f>
        <v>1.3175000000000001E-3</v>
      </c>
      <c r="P33" s="192"/>
      <c r="Q33" s="192"/>
      <c r="R33" s="69"/>
      <c r="S33" s="88">
        <f>'A2'!AE33</f>
        <v>0</v>
      </c>
      <c r="T33" s="71">
        <f t="shared" si="2"/>
        <v>0.9</v>
      </c>
      <c r="U33" s="71">
        <f t="shared" si="3"/>
        <v>1.5001250000000028</v>
      </c>
      <c r="V33" s="71">
        <f>IF(B33=1,IF(ISBLANK(R33),IF(P33=1,Parametros!$F$58+AJ33/1000,Parametros!$F$57+AJ33/1000),R33),IF(ISBLANK(R33),MAX('A2'!H33+Parametros!$F$64,S33,IF(P33=1,Parametros!$F$58+Parametros!$F$64+(AJ33/1000),Parametros!$F$57+Parametros!$F$64+(AJ33/1000))),MAX('A2'!H33+Parametros!$F$64,R33)))</f>
        <v>1.05</v>
      </c>
      <c r="W33" s="71">
        <f>IF(F33=0,0,IF(IF(ISBLANK(X33),0,X33)&gt;=0,IF(ISBLANK(X33),MAX(Z33-(AA33-AF33*F33),IF(P33=1,Parametros!$F$58+AJ33/1000,Parametros!$F$57+AJ33/1000)),MAX(Z33-(AA33-AF33*F33),X33)),IF(ISBLANK(X33),Z33-(AA33-AF33*F33),MAX(Z33-(AA33-AF33*F33),X33))))</f>
        <v>1.6501250000000027</v>
      </c>
      <c r="X33" s="69"/>
      <c r="Y33" s="72">
        <v>187.3</v>
      </c>
      <c r="Z33" s="72">
        <v>187.53</v>
      </c>
      <c r="AA33" s="72">
        <f t="shared" si="4"/>
        <v>186.25</v>
      </c>
      <c r="AB33" s="72">
        <f t="shared" si="5"/>
        <v>185.879875</v>
      </c>
      <c r="AC33" s="72">
        <f t="shared" si="6"/>
        <v>186.4</v>
      </c>
      <c r="AD33" s="72">
        <f t="shared" si="7"/>
        <v>186.029875</v>
      </c>
      <c r="AE33" s="73">
        <f t="shared" si="8"/>
        <v>-2.7963525835865018E-3</v>
      </c>
      <c r="AF33" s="153">
        <f>IF(F33=0,0,IF(AJ33&lt;=Parametros!$C$53,Parametros!$F$53,IF(AJ33&lt;=Parametros!$C$54,Parametros!$F$54,IF(AJ33&gt;=Parametros!$C$55,Parametros!$F$55))))</f>
        <v>4.4999999999999997E-3</v>
      </c>
      <c r="AG33" s="74">
        <f>IF(F33=0,0,IF(AJ33&lt;=Parametros!$C$53,Parametros!$F$53,IF(AJ33&lt;=Parametros!$C$54,Parametros!$F$54,IF(AJ33&gt;=Parametros!$C$55,Parametros!$F$55))))</f>
        <v>4.4999999999999997E-3</v>
      </c>
      <c r="AH33" s="75">
        <f t="shared" si="9"/>
        <v>4.5000000000000196E-3</v>
      </c>
      <c r="AI33" s="66">
        <f>IF(INDEX(Parametros!$B$68:$B$82,MATCH(DN1mm(AL33,AH33,AK33,Parametros!$F$48),Parametros!$B$68:$B$82,TRUE)+1)&lt;Parametros!$F$50,Parametros!$F$50,INDEX(Parametros!$B$68:$B$82,MATCH(DN1mm(AL33,AH33,AK33,Parametros!$F$48),Parametros!$B$68:$B$82,TRUE)+1))</f>
        <v>150</v>
      </c>
      <c r="AJ33" s="76">
        <f>IF(B33=1,Parametros!$F$50,AJ32)</f>
        <v>150</v>
      </c>
      <c r="AK33" s="155">
        <f>IF(OR(F33=0,D33=0),0,VLOOKUP(AJ33,Parametros!$B$69:$E$82,4,FALSE))</f>
        <v>1.2999999999999999E-2</v>
      </c>
      <c r="AL33" s="77">
        <f>IF(OR(ISBLANK($D33),N33=0),0,IF(N33&lt;Parametros!$F$46,Parametros!$F$46,N33))</f>
        <v>1.5</v>
      </c>
      <c r="AM33" s="77">
        <f>IF(F33=0,0,IF(ISBLANK(D33),0,LAMINAABS(AL33,AJ33,AH33,AK33)))</f>
        <v>3.8838685789367666E-2</v>
      </c>
      <c r="AN33" s="172">
        <f>IF(F33=0,0,IF(ISBLANK(D33),0,LAMINAREL(AL33,AJ33,AH33,AK33)))</f>
        <v>0.25892457192911777</v>
      </c>
      <c r="AO33" s="173">
        <f>IF(OR(AND(AN33&gt;Parametros!$F$47,AJ33=100),AN33&gt;Parametros!$F$48),1,0)</f>
        <v>0</v>
      </c>
      <c r="AP33" s="77">
        <f>IF(F33=0,0,IF(ISBLANK(D33),0,TENSTRAT(AL33,AJ33,AH33,AK33)))</f>
        <v>1.0005011064886988</v>
      </c>
      <c r="AQ33" s="77">
        <f>IF(F33=0,0,IF(ISBLANK(D33),0,VELOCRIT(AL33,AJ33,AH33,AK33)))</f>
        <v>2.8276933747277964</v>
      </c>
      <c r="AR33" s="77">
        <f>IF(F33=0,0,IF(ISBLANK(D33),0,VELOCID(AL33,AJ33,AH33,AK33)))</f>
        <v>0.4132048881629416</v>
      </c>
      <c r="AS33" s="77">
        <f>IF(OR(ISBLANK($D33),O33=0),0,IF(O33&lt;Parametros!$F$46,Parametros!$F$46,O33))</f>
        <v>1.5</v>
      </c>
      <c r="AT33" s="77">
        <f>IF(F33=0,0,IF(ISBLANK(D33),0,LAMINAABS(AS33,AJ33,AH33,AK33)))</f>
        <v>3.8838685789367666E-2</v>
      </c>
      <c r="AU33" s="172">
        <f>IF(F33=0,0,IF(ISBLANK(D33),0,LAMINAREL(AS33,AJ33,AH33,AK33)))</f>
        <v>0.25892457192911777</v>
      </c>
      <c r="AV33" s="77">
        <f>IF(F33=0,0,IF(ISBLANK(D33),0,TENSTRAT(AS33,AJ33,AH33,AK33)))</f>
        <v>1.0005011064886988</v>
      </c>
      <c r="AW33" s="221" t="s">
        <v>391</v>
      </c>
      <c r="AX33" s="70" t="str">
        <f>IF(AND(V33&lt;=Parametros!$C$87,AJ33&lt;=Parametros!$D$87),Parametros!$B$87,IF(AND(V33&lt;=Parametros!$C$88,AJ33&lt;=Parametros!$D$88),Parametros!$B$88,IF(AND(V33&lt;=Parametros!$C$89,AJ33&lt;=Parametros!$D$89),Parametros!$B$89,IF(AND(V33&lt;=Parametros!$C$90,AJ33&lt;=Parametros!$D$90),Parametros!$B$90,IF(AND(V33&lt;=Parametros!$C$91,AJ33&lt;=Parametros!$D$91),Parametros!$B$91,Parametros!$B$92)))))</f>
        <v>CI-0.60</v>
      </c>
      <c r="AY33" s="66" t="s">
        <v>389</v>
      </c>
      <c r="AZ33" s="70" t="str">
        <f t="shared" si="10"/>
        <v>PV-0.80</v>
      </c>
      <c r="BA33" s="221" t="s">
        <v>389</v>
      </c>
      <c r="BB33" s="144"/>
    </row>
    <row r="34" spans="1:54" customFormat="1" ht="15" customHeight="1" x14ac:dyDescent="0.2">
      <c r="A34" s="94">
        <v>1</v>
      </c>
      <c r="B34" s="221">
        <v>1</v>
      </c>
      <c r="C34" s="221">
        <v>0</v>
      </c>
      <c r="D34" s="222" t="s">
        <v>436</v>
      </c>
      <c r="E34" s="223" t="s">
        <v>437</v>
      </c>
      <c r="F34" s="224">
        <v>50.07</v>
      </c>
      <c r="G34" s="221"/>
      <c r="H34" s="221"/>
      <c r="I34" s="221"/>
      <c r="J34" s="221"/>
      <c r="K34" s="221"/>
      <c r="L34" s="221"/>
      <c r="M34" s="68">
        <f>Parametros!$F$44*F34/1000</f>
        <v>5.0070000000000008E-4</v>
      </c>
      <c r="N34" s="88">
        <f>SUM('A1'!F34,'A1'!G34,'A1'!H34)+M34</f>
        <v>5.0070000000000008E-4</v>
      </c>
      <c r="O34" s="88">
        <f>SUM('A1'!L34,'A1'!M34,'A1'!N34)+M34</f>
        <v>5.0070000000000008E-4</v>
      </c>
      <c r="P34" s="192"/>
      <c r="Q34" s="192"/>
      <c r="R34" s="69"/>
      <c r="S34" s="88">
        <f>'A2'!AE34</f>
        <v>0</v>
      </c>
      <c r="T34" s="71">
        <f t="shared" si="2"/>
        <v>0.9</v>
      </c>
      <c r="U34" s="71">
        <f t="shared" si="3"/>
        <v>1.1353149999999972</v>
      </c>
      <c r="V34" s="71">
        <f>IF(B34=1,IF(ISBLANK(R34),IF(P34=1,Parametros!$F$58+AJ34/1000,Parametros!$F$57+AJ34/1000),R34),IF(ISBLANK(R34),MAX('A2'!H34+Parametros!$F$64,S34,IF(P34=1,Parametros!$F$58+Parametros!$F$64+(AJ34/1000),Parametros!$F$57+Parametros!$F$64+(AJ34/1000))),MAX('A2'!H34+Parametros!$F$64,R34)))</f>
        <v>1.05</v>
      </c>
      <c r="W34" s="71">
        <f>IF(F34=0,0,IF(IF(ISBLANK(X34),0,X34)&gt;=0,IF(ISBLANK(X34),MAX(Z34-(AA34-AF34*F34),IF(P34=1,Parametros!$F$58+AJ34/1000,Parametros!$F$57+AJ34/1000)),MAX(Z34-(AA34-AF34*F34),X34)),IF(ISBLANK(X34),Z34-(AA34-AF34*F34),MAX(Z34-(AA34-AF34*F34),X34))))</f>
        <v>1.2853149999999971</v>
      </c>
      <c r="X34" s="69"/>
      <c r="Y34" s="72">
        <v>189.66</v>
      </c>
      <c r="Z34" s="72">
        <v>189.67</v>
      </c>
      <c r="AA34" s="72">
        <f t="shared" si="4"/>
        <v>188.60999999999999</v>
      </c>
      <c r="AB34" s="72">
        <f t="shared" si="5"/>
        <v>188.38468499999999</v>
      </c>
      <c r="AC34" s="72">
        <f t="shared" si="6"/>
        <v>188.76</v>
      </c>
      <c r="AD34" s="72">
        <f t="shared" si="7"/>
        <v>188.534685</v>
      </c>
      <c r="AE34" s="73">
        <f t="shared" si="8"/>
        <v>-1.9972039145178561E-4</v>
      </c>
      <c r="AF34" s="153">
        <f>IF(F34=0,0,IF(AJ34&lt;=Parametros!$C$53,Parametros!$F$53,IF(AJ34&lt;=Parametros!$C$54,Parametros!$F$54,IF(AJ34&gt;=Parametros!$C$55,Parametros!$F$55))))</f>
        <v>4.4999999999999997E-3</v>
      </c>
      <c r="AG34" s="74">
        <f>IF(F34=0,0,IF(AJ34&lt;=Parametros!$C$53,Parametros!$F$53,IF(AJ34&lt;=Parametros!$C$54,Parametros!$F$54,IF(AJ34&gt;=Parametros!$C$55,Parametros!$F$55))))</f>
        <v>4.4999999999999997E-3</v>
      </c>
      <c r="AH34" s="75">
        <f t="shared" si="9"/>
        <v>4.4999999999998964E-3</v>
      </c>
      <c r="AI34" s="66">
        <f>IF(INDEX(Parametros!$B$68:$B$82,MATCH(DN1mm(AL34,AH34,AK34,Parametros!$F$48),Parametros!$B$68:$B$82,TRUE)+1)&lt;Parametros!$F$50,Parametros!$F$50,INDEX(Parametros!$B$68:$B$82,MATCH(DN1mm(AL34,AH34,AK34,Parametros!$F$48),Parametros!$B$68:$B$82,TRUE)+1))</f>
        <v>150</v>
      </c>
      <c r="AJ34" s="76">
        <f>IF(B34=1,Parametros!$F$50,AJ33)</f>
        <v>150</v>
      </c>
      <c r="AK34" s="155">
        <f>IF(OR(F34=0,D34=0),0,VLOOKUP(AJ34,Parametros!$B$69:$E$82,4,FALSE))</f>
        <v>1.2999999999999999E-2</v>
      </c>
      <c r="AL34" s="77">
        <f>IF(OR(ISBLANK($D34),N34=0),0,IF(N34&lt;Parametros!$F$46,Parametros!$F$46,N34))</f>
        <v>1.5</v>
      </c>
      <c r="AM34" s="77">
        <f>IF(F34=0,0,IF(ISBLANK(D34),0,LAMINAABS(AL34,AJ34,AH34,AK34)))</f>
        <v>3.8838685789367951E-2</v>
      </c>
      <c r="AN34" s="172">
        <f>IF(F34=0,0,IF(ISBLANK(D34),0,LAMINAREL(AL34,AJ34,AH34,AK34)))</f>
        <v>0.25892457192911966</v>
      </c>
      <c r="AO34" s="173">
        <f>IF(OR(AND(AN34&gt;Parametros!$F$47,AJ34=100),AN34&gt;Parametros!$F$48),1,0)</f>
        <v>0</v>
      </c>
      <c r="AP34" s="77">
        <f>IF(F34=0,0,IF(ISBLANK(D34),0,TENSTRAT(AL34,AJ34,AH34,AK34)))</f>
        <v>1.0005011064886775</v>
      </c>
      <c r="AQ34" s="77">
        <f>IF(F34=0,0,IF(ISBLANK(D34),0,VELOCRIT(AL34,AJ34,AH34,AK34)))</f>
        <v>2.8276933747278052</v>
      </c>
      <c r="AR34" s="77">
        <f>IF(F34=0,0,IF(ISBLANK(D34),0,VELOCID(AL34,AJ34,AH34,AK34)))</f>
        <v>0.41320488816293766</v>
      </c>
      <c r="AS34" s="77">
        <f>IF(OR(ISBLANK($D34),O34=0),0,IF(O34&lt;Parametros!$F$46,Parametros!$F$46,O34))</f>
        <v>1.5</v>
      </c>
      <c r="AT34" s="77">
        <f>IF(F34=0,0,IF(ISBLANK(D34),0,LAMINAABS(AS34,AJ34,AH34,AK34)))</f>
        <v>3.8838685789367951E-2</v>
      </c>
      <c r="AU34" s="172">
        <f>IF(F34=0,0,IF(ISBLANK(D34),0,LAMINAREL(AS34,AJ34,AH34,AK34)))</f>
        <v>0.25892457192911966</v>
      </c>
      <c r="AV34" s="77">
        <f>IF(F34=0,0,IF(ISBLANK(D34),0,TENSTRAT(AS34,AJ34,AH34,AK34)))</f>
        <v>1.0005011064886775</v>
      </c>
      <c r="AW34" s="221" t="s">
        <v>437</v>
      </c>
      <c r="AX34" s="70" t="str">
        <f>IF(AND(V34&lt;=Parametros!$C$87,AJ34&lt;=Parametros!$D$87),Parametros!$B$87,IF(AND(V34&lt;=Parametros!$C$88,AJ34&lt;=Parametros!$D$88),Parametros!$B$88,IF(AND(V34&lt;=Parametros!$C$89,AJ34&lt;=Parametros!$D$89),Parametros!$B$89,IF(AND(V34&lt;=Parametros!$C$90,AJ34&lt;=Parametros!$D$90),Parametros!$B$90,IF(AND(V34&lt;=Parametros!$C$91,AJ34&lt;=Parametros!$D$91),Parametros!$B$91,Parametros!$B$92)))))</f>
        <v>CI-0.60</v>
      </c>
      <c r="AY34" s="66" t="s">
        <v>438</v>
      </c>
      <c r="AZ34" s="70" t="str">
        <f t="shared" si="10"/>
        <v>CI-0.60</v>
      </c>
      <c r="BA34" s="221" t="s">
        <v>438</v>
      </c>
      <c r="BB34" s="144"/>
    </row>
    <row r="35" spans="1:54" customFormat="1" ht="15" customHeight="1" x14ac:dyDescent="0.2">
      <c r="A35" s="94">
        <v>1</v>
      </c>
      <c r="B35" s="221">
        <v>0</v>
      </c>
      <c r="C35" s="221">
        <v>0</v>
      </c>
      <c r="D35" s="222" t="s">
        <v>436</v>
      </c>
      <c r="E35" s="223" t="s">
        <v>438</v>
      </c>
      <c r="F35" s="224">
        <v>21.71</v>
      </c>
      <c r="G35" s="221" t="s">
        <v>437</v>
      </c>
      <c r="H35" s="221"/>
      <c r="I35" s="221"/>
      <c r="J35" s="221"/>
      <c r="K35" s="221"/>
      <c r="L35" s="221"/>
      <c r="M35" s="68">
        <f>Parametros!$F$44*F35/1000</f>
        <v>2.1710000000000002E-4</v>
      </c>
      <c r="N35" s="88">
        <f>SUM('A1'!F35,'A1'!G35,'A1'!H35)+M35</f>
        <v>7.178000000000001E-4</v>
      </c>
      <c r="O35" s="88">
        <f>SUM('A1'!L35,'A1'!M35,'A1'!N35)+M35</f>
        <v>7.178000000000001E-4</v>
      </c>
      <c r="P35" s="192"/>
      <c r="Q35" s="192"/>
      <c r="R35" s="69"/>
      <c r="S35" s="88">
        <f>'A2'!AE35</f>
        <v>0</v>
      </c>
      <c r="T35" s="71">
        <f t="shared" si="2"/>
        <v>1.1353149999999972</v>
      </c>
      <c r="U35" s="71">
        <f t="shared" si="3"/>
        <v>1.073009999999988</v>
      </c>
      <c r="V35" s="71">
        <f>IF(B35=1,IF(ISBLANK(R35),IF(P35=1,Parametros!$F$58+AJ35/1000,Parametros!$F$57+AJ35/1000),R35),IF(ISBLANK(R35),MAX('A2'!H35+Parametros!$F$64,S35,IF(P35=1,Parametros!$F$58+Parametros!$F$64+(AJ35/1000),Parametros!$F$57+Parametros!$F$64+(AJ35/1000))),MAX('A2'!H35+Parametros!$F$64,R35)))</f>
        <v>1.2853149999999971</v>
      </c>
      <c r="W35" s="71">
        <f>IF(F35=0,0,IF(IF(ISBLANK(X35),0,X35)&gt;=0,IF(ISBLANK(X35),MAX(Z35-(AA35-AF35*F35),IF(P35=1,Parametros!$F$58+AJ35/1000,Parametros!$F$57+AJ35/1000)),MAX(Z35-(AA35-AF35*F35),X35)),IF(ISBLANK(X35),Z35-(AA35-AF35*F35),MAX(Z35-(AA35-AF35*F35),X35))))</f>
        <v>1.2230099999999879</v>
      </c>
      <c r="X35" s="69"/>
      <c r="Y35" s="72">
        <v>189.67</v>
      </c>
      <c r="Z35" s="72">
        <v>189.51</v>
      </c>
      <c r="AA35" s="72">
        <f t="shared" si="4"/>
        <v>188.38468499999999</v>
      </c>
      <c r="AB35" s="72">
        <f t="shared" si="5"/>
        <v>188.28699</v>
      </c>
      <c r="AC35" s="72">
        <f t="shared" si="6"/>
        <v>188.534685</v>
      </c>
      <c r="AD35" s="72">
        <f t="shared" si="7"/>
        <v>188.43699000000001</v>
      </c>
      <c r="AE35" s="73">
        <f t="shared" si="8"/>
        <v>7.3698756333485296E-3</v>
      </c>
      <c r="AF35" s="153">
        <f>IF(F35=0,0,IF(AJ35&lt;=Parametros!$C$53,Parametros!$F$53,IF(AJ35&lt;=Parametros!$C$54,Parametros!$F$54,IF(AJ35&gt;=Parametros!$C$55,Parametros!$F$55))))</f>
        <v>4.4999999999999997E-3</v>
      </c>
      <c r="AG35" s="74">
        <f>IF(F35=0,0,IF(AJ35&lt;=Parametros!$C$53,Parametros!$F$53,IF(AJ35&lt;=Parametros!$C$54,Parametros!$F$54,IF(AJ35&gt;=Parametros!$C$55,Parametros!$F$55))))</f>
        <v>4.4999999999999997E-3</v>
      </c>
      <c r="AH35" s="75">
        <f t="shared" si="9"/>
        <v>4.4999999999994211E-3</v>
      </c>
      <c r="AI35" s="66">
        <f>IF(INDEX(Parametros!$B$68:$B$82,MATCH(DN1mm(AL35,AH35,AK35,Parametros!$F$48),Parametros!$B$68:$B$82,TRUE)+1)&lt;Parametros!$F$50,Parametros!$F$50,INDEX(Parametros!$B$68:$B$82,MATCH(DN1mm(AL35,AH35,AK35,Parametros!$F$48),Parametros!$B$68:$B$82,TRUE)+1))</f>
        <v>150</v>
      </c>
      <c r="AJ35" s="76">
        <f>IF(B35=1,Parametros!$F$50,AJ34)</f>
        <v>150</v>
      </c>
      <c r="AK35" s="155">
        <f>IF(OR(F35=0,D35=0),0,VLOOKUP(AJ35,Parametros!$B$69:$E$82,4,FALSE))</f>
        <v>1.2999999999999999E-2</v>
      </c>
      <c r="AL35" s="77">
        <f>IF(OR(ISBLANK($D35),N35=0),0,IF(N35&lt;Parametros!$F$46,Parametros!$F$46,N35))</f>
        <v>1.5</v>
      </c>
      <c r="AM35" s="77">
        <f>IF(F35=0,0,IF(ISBLANK(D35),0,LAMINAABS(AL35,AJ35,AH35,AK35)))</f>
        <v>3.8838685789368978E-2</v>
      </c>
      <c r="AN35" s="172">
        <f>IF(F35=0,0,IF(ISBLANK(D35),0,LAMINAREL(AL35,AJ35,AH35,AK35)))</f>
        <v>0.25892457192912655</v>
      </c>
      <c r="AO35" s="173">
        <f>IF(OR(AND(AN35&gt;Parametros!$F$47,AJ35=100),AN35&gt;Parametros!$F$48),1,0)</f>
        <v>0</v>
      </c>
      <c r="AP35" s="77">
        <f>IF(F35=0,0,IF(ISBLANK(D35),0,TENSTRAT(AL35,AJ35,AH35,AK35)))</f>
        <v>1.0005011064885947</v>
      </c>
      <c r="AQ35" s="77">
        <f>IF(F35=0,0,IF(ISBLANK(D35),0,VELOCRIT(AL35,AJ35,AH35,AK35)))</f>
        <v>2.8276933747278372</v>
      </c>
      <c r="AR35" s="77">
        <f>IF(F35=0,0,IF(ISBLANK(D35),0,VELOCID(AL35,AJ35,AH35,AK35)))</f>
        <v>0.41320488816292217</v>
      </c>
      <c r="AS35" s="77">
        <f>IF(OR(ISBLANK($D35),O35=0),0,IF(O35&lt;Parametros!$F$46,Parametros!$F$46,O35))</f>
        <v>1.5</v>
      </c>
      <c r="AT35" s="77">
        <f>IF(F35=0,0,IF(ISBLANK(D35),0,LAMINAABS(AS35,AJ35,AH35,AK35)))</f>
        <v>3.8838685789368978E-2</v>
      </c>
      <c r="AU35" s="172">
        <f>IF(F35=0,0,IF(ISBLANK(D35),0,LAMINAREL(AS35,AJ35,AH35,AK35)))</f>
        <v>0.25892457192912655</v>
      </c>
      <c r="AV35" s="77">
        <f>IF(F35=0,0,IF(ISBLANK(D35),0,TENSTRAT(AS35,AJ35,AH35,AK35)))</f>
        <v>1.0005011064885947</v>
      </c>
      <c r="AW35" s="221" t="s">
        <v>438</v>
      </c>
      <c r="AX35" s="70" t="str">
        <f>IF(AND(V35&lt;=Parametros!$C$87,AJ35&lt;=Parametros!$D$87),Parametros!$B$87,IF(AND(V35&lt;=Parametros!$C$88,AJ35&lt;=Parametros!$D$88),Parametros!$B$88,IF(AND(V35&lt;=Parametros!$C$89,AJ35&lt;=Parametros!$D$89),Parametros!$B$89,IF(AND(V35&lt;=Parametros!$C$90,AJ35&lt;=Parametros!$D$90),Parametros!$B$90,IF(AND(V35&lt;=Parametros!$C$91,AJ35&lt;=Parametros!$D$91),Parametros!$B$91,Parametros!$B$92)))))</f>
        <v>CI-0.60</v>
      </c>
      <c r="AY35" s="66" t="s">
        <v>440</v>
      </c>
      <c r="AZ35" s="70" t="str">
        <f t="shared" si="10"/>
        <v>CI-0.60</v>
      </c>
      <c r="BA35" s="221" t="s">
        <v>440</v>
      </c>
      <c r="BB35" s="144"/>
    </row>
    <row r="36" spans="1:54" customFormat="1" ht="15" customHeight="1" x14ac:dyDescent="0.2">
      <c r="A36" s="94">
        <v>1</v>
      </c>
      <c r="B36" s="221">
        <v>0</v>
      </c>
      <c r="C36" s="221">
        <v>0</v>
      </c>
      <c r="D36" s="222" t="s">
        <v>436</v>
      </c>
      <c r="E36" s="223" t="s">
        <v>440</v>
      </c>
      <c r="F36" s="224">
        <v>55.86</v>
      </c>
      <c r="G36" s="221" t="s">
        <v>438</v>
      </c>
      <c r="H36" s="221"/>
      <c r="I36" s="221"/>
      <c r="J36" s="221"/>
      <c r="K36" s="221"/>
      <c r="L36" s="221"/>
      <c r="M36" s="68">
        <f>Parametros!$F$44*F36/1000</f>
        <v>5.5860000000000003E-4</v>
      </c>
      <c r="N36" s="88">
        <f>SUM('A1'!F36,'A1'!G36,'A1'!H36)+M36</f>
        <v>1.2764E-3</v>
      </c>
      <c r="O36" s="88">
        <f>SUM('A1'!L36,'A1'!M36,'A1'!N36)+M36</f>
        <v>1.2764E-3</v>
      </c>
      <c r="P36" s="192"/>
      <c r="Q36" s="192"/>
      <c r="R36" s="69"/>
      <c r="S36" s="88">
        <f>'A2'!AE36</f>
        <v>0</v>
      </c>
      <c r="T36" s="71">
        <f t="shared" si="2"/>
        <v>1.073009999999988</v>
      </c>
      <c r="U36" s="71">
        <f t="shared" si="3"/>
        <v>1.2543800000000034</v>
      </c>
      <c r="V36" s="71">
        <f>IF(B36=1,IF(ISBLANK(R36),IF(P36=1,Parametros!$F$58+AJ36/1000,Parametros!$F$57+AJ36/1000),R36),IF(ISBLANK(R36),MAX('A2'!H36+Parametros!$F$64,S36,IF(P36=1,Parametros!$F$58+Parametros!$F$64+(AJ36/1000),Parametros!$F$57+Parametros!$F$64+(AJ36/1000))),MAX('A2'!H36+Parametros!$F$64,R36)))</f>
        <v>1.2230099999999879</v>
      </c>
      <c r="W36" s="71">
        <f>IF(F36=0,0,IF(IF(ISBLANK(X36),0,X36)&gt;=0,IF(ISBLANK(X36),MAX(Z36-(AA36-AF36*F36),IF(P36=1,Parametros!$F$58+AJ36/1000,Parametros!$F$57+AJ36/1000)),MAX(Z36-(AA36-AF36*F36),X36)),IF(ISBLANK(X36),Z36-(AA36-AF36*F36),MAX(Z36-(AA36-AF36*F36),X36))))</f>
        <v>1.4043800000000033</v>
      </c>
      <c r="X36" s="69"/>
      <c r="Y36" s="72">
        <v>189.51</v>
      </c>
      <c r="Z36" s="72">
        <v>189.44</v>
      </c>
      <c r="AA36" s="72">
        <f t="shared" si="4"/>
        <v>188.28699</v>
      </c>
      <c r="AB36" s="72">
        <f t="shared" si="5"/>
        <v>188.03561999999999</v>
      </c>
      <c r="AC36" s="72">
        <f t="shared" si="6"/>
        <v>188.43699000000001</v>
      </c>
      <c r="AD36" s="72">
        <f t="shared" si="7"/>
        <v>188.18562</v>
      </c>
      <c r="AE36" s="73">
        <f t="shared" si="8"/>
        <v>1.2531328320800784E-3</v>
      </c>
      <c r="AF36" s="153">
        <f>IF(F36=0,0,IF(AJ36&lt;=Parametros!$C$53,Parametros!$F$53,IF(AJ36&lt;=Parametros!$C$54,Parametros!$F$54,IF(AJ36&gt;=Parametros!$C$55,Parametros!$F$55))))</f>
        <v>4.4999999999999997E-3</v>
      </c>
      <c r="AG36" s="74">
        <f>IF(F36=0,0,IF(AJ36&lt;=Parametros!$C$53,Parametros!$F$53,IF(AJ36&lt;=Parametros!$C$54,Parametros!$F$54,IF(AJ36&gt;=Parametros!$C$55,Parametros!$F$55))))</f>
        <v>4.4999999999999997E-3</v>
      </c>
      <c r="AH36" s="75">
        <f t="shared" si="9"/>
        <v>4.5000000000001532E-3</v>
      </c>
      <c r="AI36" s="66">
        <f>IF(INDEX(Parametros!$B$68:$B$82,MATCH(DN1mm(AL36,AH36,AK36,Parametros!$F$48),Parametros!$B$68:$B$82,TRUE)+1)&lt;Parametros!$F$50,Parametros!$F$50,INDEX(Parametros!$B$68:$B$82,MATCH(DN1mm(AL36,AH36,AK36,Parametros!$F$48),Parametros!$B$68:$B$82,TRUE)+1))</f>
        <v>150</v>
      </c>
      <c r="AJ36" s="76">
        <f>IF(B36=1,Parametros!$F$50,AJ35)</f>
        <v>150</v>
      </c>
      <c r="AK36" s="155">
        <f>IF(OR(F36=0,D36=0),0,VLOOKUP(AJ36,Parametros!$B$69:$E$82,4,FALSE))</f>
        <v>1.2999999999999999E-2</v>
      </c>
      <c r="AL36" s="77">
        <f>IF(OR(ISBLANK($D36),N36=0),0,IF(N36&lt;Parametros!$F$46,Parametros!$F$46,N36))</f>
        <v>1.5</v>
      </c>
      <c r="AM36" s="77">
        <f>IF(F36=0,0,IF(ISBLANK(D36),0,LAMINAABS(AL36,AJ36,AH36,AK36)))</f>
        <v>3.8838685789367382E-2</v>
      </c>
      <c r="AN36" s="172">
        <f>IF(F36=0,0,IF(ISBLANK(D36),0,LAMINAREL(AL36,AJ36,AH36,AK36)))</f>
        <v>0.25892457192911589</v>
      </c>
      <c r="AO36" s="173">
        <f>IF(OR(AND(AN36&gt;Parametros!$F$47,AJ36=100),AN36&gt;Parametros!$F$48),1,0)</f>
        <v>0</v>
      </c>
      <c r="AP36" s="77">
        <f>IF(F36=0,0,IF(ISBLANK(D36),0,TENSTRAT(AL36,AJ36,AH36,AK36)))</f>
        <v>1.0005011064887221</v>
      </c>
      <c r="AQ36" s="77">
        <f>IF(F36=0,0,IF(ISBLANK(D36),0,VELOCRIT(AL36,AJ36,AH36,AK36)))</f>
        <v>2.8276933747277875</v>
      </c>
      <c r="AR36" s="77">
        <f>IF(F36=0,0,IF(ISBLANK(D36),0,VELOCID(AL36,AJ36,AH36,AK36)))</f>
        <v>0.41320488816294609</v>
      </c>
      <c r="AS36" s="77">
        <f>IF(OR(ISBLANK($D36),O36=0),0,IF(O36&lt;Parametros!$F$46,Parametros!$F$46,O36))</f>
        <v>1.5</v>
      </c>
      <c r="AT36" s="77">
        <f>IF(F36=0,0,IF(ISBLANK(D36),0,LAMINAABS(AS36,AJ36,AH36,AK36)))</f>
        <v>3.8838685789367382E-2</v>
      </c>
      <c r="AU36" s="172">
        <f>IF(F36=0,0,IF(ISBLANK(D36),0,LAMINAREL(AS36,AJ36,AH36,AK36)))</f>
        <v>0.25892457192911589</v>
      </c>
      <c r="AV36" s="77">
        <f>IF(F36=0,0,IF(ISBLANK(D36),0,TENSTRAT(AS36,AJ36,AH36,AK36)))</f>
        <v>1.0005011064887221</v>
      </c>
      <c r="AW36" s="221" t="s">
        <v>440</v>
      </c>
      <c r="AX36" s="70" t="str">
        <f>IF(AND(V36&lt;=Parametros!$C$87,AJ36&lt;=Parametros!$D$87),Parametros!$B$87,IF(AND(V36&lt;=Parametros!$C$88,AJ36&lt;=Parametros!$D$88),Parametros!$B$88,IF(AND(V36&lt;=Parametros!$C$89,AJ36&lt;=Parametros!$D$89),Parametros!$B$89,IF(AND(V36&lt;=Parametros!$C$90,AJ36&lt;=Parametros!$D$90),Parametros!$B$90,IF(AND(V36&lt;=Parametros!$C$91,AJ36&lt;=Parametros!$D$91),Parametros!$B$91,Parametros!$B$92)))))</f>
        <v>CI-0.60</v>
      </c>
      <c r="AY36" s="66" t="s">
        <v>442</v>
      </c>
      <c r="AZ36" s="70" t="str">
        <f t="shared" si="10"/>
        <v>PV-0.80</v>
      </c>
      <c r="BA36" s="221" t="s">
        <v>442</v>
      </c>
      <c r="BB36" s="144"/>
    </row>
    <row r="37" spans="1:54" customFormat="1" ht="15" customHeight="1" x14ac:dyDescent="0.2">
      <c r="A37" s="94">
        <v>1</v>
      </c>
      <c r="B37" s="221">
        <v>0</v>
      </c>
      <c r="C37" s="221">
        <v>0</v>
      </c>
      <c r="D37" s="222" t="s">
        <v>436</v>
      </c>
      <c r="E37" s="223" t="s">
        <v>442</v>
      </c>
      <c r="F37" s="224">
        <v>49.74</v>
      </c>
      <c r="G37" s="221" t="s">
        <v>440</v>
      </c>
      <c r="H37" s="221"/>
      <c r="I37" s="221"/>
      <c r="J37" s="221"/>
      <c r="K37" s="221"/>
      <c r="L37" s="221"/>
      <c r="M37" s="68">
        <f>Parametros!$F$44*F37/1000</f>
        <v>4.9740000000000006E-4</v>
      </c>
      <c r="N37" s="88">
        <f>SUM('A1'!F37,'A1'!G37,'A1'!H37)+M37</f>
        <v>1.7738000000000001E-3</v>
      </c>
      <c r="O37" s="88">
        <f>SUM('A1'!L37,'A1'!M37,'A1'!N37)+M37</f>
        <v>1.7738000000000001E-3</v>
      </c>
      <c r="P37" s="192"/>
      <c r="Q37" s="192"/>
      <c r="R37" s="69"/>
      <c r="S37" s="88">
        <f>'A2'!AE37</f>
        <v>0</v>
      </c>
      <c r="T37" s="71">
        <f t="shared" si="2"/>
        <v>1.2543800000000034</v>
      </c>
      <c r="U37" s="71">
        <f t="shared" si="3"/>
        <v>1.0982100000000004</v>
      </c>
      <c r="V37" s="71">
        <f>IF(B37=1,IF(ISBLANK(R37),IF(P37=1,Parametros!$F$58+AJ37/1000,Parametros!$F$57+AJ37/1000),R37),IF(ISBLANK(R37),MAX('A2'!H37+Parametros!$F$64,S37,IF(P37=1,Parametros!$F$58+Parametros!$F$64+(AJ37/1000),Parametros!$F$57+Parametros!$F$64+(AJ37/1000))),MAX('A2'!H37+Parametros!$F$64,R37)))</f>
        <v>1.4043800000000033</v>
      </c>
      <c r="W37" s="71">
        <f>IF(F37=0,0,IF(IF(ISBLANK(X37),0,X37)&gt;=0,IF(ISBLANK(X37),MAX(Z37-(AA37-AF37*F37),IF(P37=1,Parametros!$F$58+AJ37/1000,Parametros!$F$57+AJ37/1000)),MAX(Z37-(AA37-AF37*F37),X37)),IF(ISBLANK(X37),Z37-(AA37-AF37*F37),MAX(Z37-(AA37-AF37*F37),X37))))</f>
        <v>1.2482100000000003</v>
      </c>
      <c r="X37" s="69"/>
      <c r="Y37" s="72">
        <v>189.44</v>
      </c>
      <c r="Z37" s="72">
        <v>189.06</v>
      </c>
      <c r="AA37" s="72">
        <f t="shared" si="4"/>
        <v>188.03561999999999</v>
      </c>
      <c r="AB37" s="72">
        <f t="shared" si="5"/>
        <v>187.81179</v>
      </c>
      <c r="AC37" s="72">
        <f t="shared" si="6"/>
        <v>188.18562</v>
      </c>
      <c r="AD37" s="72">
        <f t="shared" si="7"/>
        <v>187.96179000000001</v>
      </c>
      <c r="AE37" s="73">
        <f t="shared" si="8"/>
        <v>7.6397265782065828E-3</v>
      </c>
      <c r="AF37" s="153">
        <f>IF(F37=0,0,IF(AJ37&lt;=Parametros!$C$53,Parametros!$F$53,IF(AJ37&lt;=Parametros!$C$54,Parametros!$F$54,IF(AJ37&gt;=Parametros!$C$55,Parametros!$F$55))))</f>
        <v>4.4999999999999997E-3</v>
      </c>
      <c r="AG37" s="74">
        <f>IF(F37=0,0,IF(AJ37&lt;=Parametros!$C$53,Parametros!$F$53,IF(AJ37&lt;=Parametros!$C$54,Parametros!$F$54,IF(AJ37&gt;=Parametros!$C$55,Parametros!$F$55))))</f>
        <v>4.4999999999999997E-3</v>
      </c>
      <c r="AH37" s="75">
        <f t="shared" si="9"/>
        <v>4.4999999999998479E-3</v>
      </c>
      <c r="AI37" s="66">
        <f>IF(INDEX(Parametros!$B$68:$B$82,MATCH(DN1mm(AL37,AH37,AK37,Parametros!$F$48),Parametros!$B$68:$B$82,TRUE)+1)&lt;Parametros!$F$50,Parametros!$F$50,INDEX(Parametros!$B$68:$B$82,MATCH(DN1mm(AL37,AH37,AK37,Parametros!$F$48),Parametros!$B$68:$B$82,TRUE)+1))</f>
        <v>150</v>
      </c>
      <c r="AJ37" s="76">
        <f>IF(B37=1,Parametros!$F$50,AJ36)</f>
        <v>150</v>
      </c>
      <c r="AK37" s="155">
        <f>IF(OR(F37=0,D37=0),0,VLOOKUP(AJ37,Parametros!$B$69:$E$82,4,FALSE))</f>
        <v>1.2999999999999999E-2</v>
      </c>
      <c r="AL37" s="77">
        <f>IF(OR(ISBLANK($D37),N37=0),0,IF(N37&lt;Parametros!$F$46,Parametros!$F$46,N37))</f>
        <v>1.5</v>
      </c>
      <c r="AM37" s="77">
        <f>IF(F37=0,0,IF(ISBLANK(D37),0,LAMINAABS(AL37,AJ37,AH37,AK37)))</f>
        <v>3.8838685789368048E-2</v>
      </c>
      <c r="AN37" s="172">
        <f>IF(F37=0,0,IF(ISBLANK(D37),0,LAMINAREL(AL37,AJ37,AH37,AK37)))</f>
        <v>0.25892457192912033</v>
      </c>
      <c r="AO37" s="173">
        <f>IF(OR(AND(AN37&gt;Parametros!$F$47,AJ37=100),AN37&gt;Parametros!$F$48),1,0)</f>
        <v>0</v>
      </c>
      <c r="AP37" s="77">
        <f>IF(F37=0,0,IF(ISBLANK(D37),0,TENSTRAT(AL37,AJ37,AH37,AK37)))</f>
        <v>1.0005011064886689</v>
      </c>
      <c r="AQ37" s="77">
        <f>IF(F37=0,0,IF(ISBLANK(D37),0,VELOCRIT(AL37,AJ37,AH37,AK37)))</f>
        <v>2.8276933747278079</v>
      </c>
      <c r="AR37" s="77">
        <f>IF(F37=0,0,IF(ISBLANK(D37),0,VELOCID(AL37,AJ37,AH37,AK37)))</f>
        <v>0.4132048881629361</v>
      </c>
      <c r="AS37" s="77">
        <f>IF(OR(ISBLANK($D37),O37=0),0,IF(O37&lt;Parametros!$F$46,Parametros!$F$46,O37))</f>
        <v>1.5</v>
      </c>
      <c r="AT37" s="77">
        <f>IF(F37=0,0,IF(ISBLANK(D37),0,LAMINAABS(AS37,AJ37,AH37,AK37)))</f>
        <v>3.8838685789368048E-2</v>
      </c>
      <c r="AU37" s="172">
        <f>IF(F37=0,0,IF(ISBLANK(D37),0,LAMINAREL(AS37,AJ37,AH37,AK37)))</f>
        <v>0.25892457192912033</v>
      </c>
      <c r="AV37" s="77">
        <f>IF(F37=0,0,IF(ISBLANK(D37),0,TENSTRAT(AS37,AJ37,AH37,AK37)))</f>
        <v>1.0005011064886689</v>
      </c>
      <c r="AW37" s="221" t="s">
        <v>442</v>
      </c>
      <c r="AX37" s="70" t="str">
        <f>IF(AND(V37&lt;=Parametros!$C$87,AJ37&lt;=Parametros!$D$87),Parametros!$B$87,IF(AND(V37&lt;=Parametros!$C$88,AJ37&lt;=Parametros!$D$88),Parametros!$B$88,IF(AND(V37&lt;=Parametros!$C$89,AJ37&lt;=Parametros!$D$89),Parametros!$B$89,IF(AND(V37&lt;=Parametros!$C$90,AJ37&lt;=Parametros!$D$90),Parametros!$B$90,IF(AND(V37&lt;=Parametros!$C$91,AJ37&lt;=Parametros!$D$91),Parametros!$B$91,Parametros!$B$92)))))</f>
        <v>PV-0.80</v>
      </c>
      <c r="AY37" s="66" t="s">
        <v>444</v>
      </c>
      <c r="AZ37" s="70" t="str">
        <f t="shared" si="10"/>
        <v>CI-0.60</v>
      </c>
      <c r="BA37" s="221" t="s">
        <v>444</v>
      </c>
      <c r="BB37" s="144"/>
    </row>
    <row r="38" spans="1:54" customFormat="1" ht="15" customHeight="1" x14ac:dyDescent="0.2">
      <c r="A38" s="94">
        <v>1</v>
      </c>
      <c r="B38" s="221">
        <v>0</v>
      </c>
      <c r="C38" s="221">
        <v>0</v>
      </c>
      <c r="D38" s="222" t="s">
        <v>436</v>
      </c>
      <c r="E38" s="223" t="s">
        <v>444</v>
      </c>
      <c r="F38" s="224">
        <v>60.19</v>
      </c>
      <c r="G38" s="221" t="s">
        <v>442</v>
      </c>
      <c r="H38" s="221"/>
      <c r="I38" s="221"/>
      <c r="J38" s="221"/>
      <c r="K38" s="221"/>
      <c r="L38" s="221"/>
      <c r="M38" s="68">
        <f>Parametros!$F$44*F38/1000</f>
        <v>6.0189999999999994E-4</v>
      </c>
      <c r="N38" s="88">
        <f>SUM('A1'!F38,'A1'!G38,'A1'!H38)+M38</f>
        <v>2.3757000000000001E-3</v>
      </c>
      <c r="O38" s="88">
        <f>SUM('A1'!L38,'A1'!M38,'A1'!N38)+M38</f>
        <v>2.3757000000000001E-3</v>
      </c>
      <c r="P38" s="192"/>
      <c r="Q38" s="192"/>
      <c r="R38" s="69"/>
      <c r="S38" s="88">
        <f>'A2'!AE38</f>
        <v>0</v>
      </c>
      <c r="T38" s="71">
        <f t="shared" si="2"/>
        <v>1.0982100000000004</v>
      </c>
      <c r="U38" s="71">
        <f t="shared" si="3"/>
        <v>1.3090650000000097</v>
      </c>
      <c r="V38" s="71">
        <f>IF(B38=1,IF(ISBLANK(R38),IF(P38=1,Parametros!$F$58+AJ38/1000,Parametros!$F$57+AJ38/1000),R38),IF(ISBLANK(R38),MAX('A2'!H38+Parametros!$F$64,S38,IF(P38=1,Parametros!$F$58+Parametros!$F$64+(AJ38/1000),Parametros!$F$57+Parametros!$F$64+(AJ38/1000))),MAX('A2'!H38+Parametros!$F$64,R38)))</f>
        <v>1.2482100000000003</v>
      </c>
      <c r="W38" s="71">
        <f>IF(F38=0,0,IF(IF(ISBLANK(X38),0,X38)&gt;=0,IF(ISBLANK(X38),MAX(Z38-(AA38-AF38*F38),IF(P38=1,Parametros!$F$58+AJ38/1000,Parametros!$F$57+AJ38/1000)),MAX(Z38-(AA38-AF38*F38),X38)),IF(ISBLANK(X38),Z38-(AA38-AF38*F38),MAX(Z38-(AA38-AF38*F38),X38))))</f>
        <v>1.4590650000000096</v>
      </c>
      <c r="X38" s="69"/>
      <c r="Y38" s="72">
        <v>189.06</v>
      </c>
      <c r="Z38" s="72">
        <v>189</v>
      </c>
      <c r="AA38" s="72">
        <f t="shared" si="4"/>
        <v>187.81179</v>
      </c>
      <c r="AB38" s="72">
        <f t="shared" si="5"/>
        <v>187.54093499999999</v>
      </c>
      <c r="AC38" s="72">
        <f t="shared" si="6"/>
        <v>187.96179000000001</v>
      </c>
      <c r="AD38" s="72">
        <f t="shared" si="7"/>
        <v>187.690935</v>
      </c>
      <c r="AE38" s="73">
        <f t="shared" si="8"/>
        <v>9.9684332945675818E-4</v>
      </c>
      <c r="AF38" s="153">
        <f>IF(F38=0,0,IF(AJ38&lt;=Parametros!$C$53,Parametros!$F$53,IF(AJ38&lt;=Parametros!$C$54,Parametros!$F$54,IF(AJ38&gt;=Parametros!$C$55,Parametros!$F$55))))</f>
        <v>4.4999999999999997E-3</v>
      </c>
      <c r="AG38" s="74">
        <f>IF(F38=0,0,IF(AJ38&lt;=Parametros!$C$53,Parametros!$F$53,IF(AJ38&lt;=Parametros!$C$54,Parametros!$F$54,IF(AJ38&gt;=Parametros!$C$55,Parametros!$F$55))))</f>
        <v>4.4999999999999997E-3</v>
      </c>
      <c r="AH38" s="75">
        <f t="shared" si="9"/>
        <v>4.5000000000001931E-3</v>
      </c>
      <c r="AI38" s="66">
        <f>IF(INDEX(Parametros!$B$68:$B$82,MATCH(DN1mm(AL38,AH38,AK38,Parametros!$F$48),Parametros!$B$68:$B$82,TRUE)+1)&lt;Parametros!$F$50,Parametros!$F$50,INDEX(Parametros!$B$68:$B$82,MATCH(DN1mm(AL38,AH38,AK38,Parametros!$F$48),Parametros!$B$68:$B$82,TRUE)+1))</f>
        <v>150</v>
      </c>
      <c r="AJ38" s="76">
        <f>IF(B38=1,Parametros!$F$50,AJ37)</f>
        <v>150</v>
      </c>
      <c r="AK38" s="155">
        <f>IF(OR(F38=0,D38=0),0,VLOOKUP(AJ38,Parametros!$B$69:$E$82,4,FALSE))</f>
        <v>1.2999999999999999E-2</v>
      </c>
      <c r="AL38" s="77">
        <f>IF(OR(ISBLANK($D38),N38=0),0,IF(N38&lt;Parametros!$F$46,Parametros!$F$46,N38))</f>
        <v>1.5</v>
      </c>
      <c r="AM38" s="77">
        <f>IF(F38=0,0,IF(ISBLANK(D38),0,LAMINAABS(AL38,AJ38,AH38,AK38)))</f>
        <v>3.8838685789367292E-2</v>
      </c>
      <c r="AN38" s="172">
        <f>IF(F38=0,0,IF(ISBLANK(D38),0,LAMINAREL(AL38,AJ38,AH38,AK38)))</f>
        <v>0.25892457192911528</v>
      </c>
      <c r="AO38" s="173">
        <f>IF(OR(AND(AN38&gt;Parametros!$F$47,AJ38=100),AN38&gt;Parametros!$F$48),1,0)</f>
        <v>0</v>
      </c>
      <c r="AP38" s="77">
        <f>IF(F38=0,0,IF(ISBLANK(D38),0,TENSTRAT(AL38,AJ38,AH38,AK38)))</f>
        <v>1.000501106488729</v>
      </c>
      <c r="AQ38" s="77">
        <f>IF(F38=0,0,IF(ISBLANK(D38),0,VELOCRIT(AL38,AJ38,AH38,AK38)))</f>
        <v>2.8276933747277848</v>
      </c>
      <c r="AR38" s="77">
        <f>IF(F38=0,0,IF(ISBLANK(D38),0,VELOCID(AL38,AJ38,AH38,AK38)))</f>
        <v>0.41320488816294726</v>
      </c>
      <c r="AS38" s="77">
        <f>IF(OR(ISBLANK($D38),O38=0),0,IF(O38&lt;Parametros!$F$46,Parametros!$F$46,O38))</f>
        <v>1.5</v>
      </c>
      <c r="AT38" s="77">
        <f>IF(F38=0,0,IF(ISBLANK(D38),0,LAMINAABS(AS38,AJ38,AH38,AK38)))</f>
        <v>3.8838685789367292E-2</v>
      </c>
      <c r="AU38" s="172">
        <f>IF(F38=0,0,IF(ISBLANK(D38),0,LAMINAREL(AS38,AJ38,AH38,AK38)))</f>
        <v>0.25892457192911528</v>
      </c>
      <c r="AV38" s="77">
        <f>IF(F38=0,0,IF(ISBLANK(D38),0,TENSTRAT(AS38,AJ38,AH38,AK38)))</f>
        <v>1.000501106488729</v>
      </c>
      <c r="AW38" s="221" t="s">
        <v>444</v>
      </c>
      <c r="AX38" s="70" t="str">
        <f>IF(AND(V38&lt;=Parametros!$C$87,AJ38&lt;=Parametros!$D$87),Parametros!$B$87,IF(AND(V38&lt;=Parametros!$C$88,AJ38&lt;=Parametros!$D$88),Parametros!$B$88,IF(AND(V38&lt;=Parametros!$C$89,AJ38&lt;=Parametros!$D$89),Parametros!$B$89,IF(AND(V38&lt;=Parametros!$C$90,AJ38&lt;=Parametros!$D$90),Parametros!$B$90,IF(AND(V38&lt;=Parametros!$C$91,AJ38&lt;=Parametros!$D$91),Parametros!$B$91,Parametros!$B$92)))))</f>
        <v>CI-0.60</v>
      </c>
      <c r="AY38" s="66" t="s">
        <v>446</v>
      </c>
      <c r="AZ38" s="70" t="str">
        <f t="shared" si="10"/>
        <v>PV-0.80</v>
      </c>
      <c r="BA38" s="221" t="s">
        <v>446</v>
      </c>
      <c r="BB38" s="144"/>
    </row>
    <row r="39" spans="1:54" customFormat="1" ht="15" customHeight="1" x14ac:dyDescent="0.2">
      <c r="A39" s="94">
        <v>1</v>
      </c>
      <c r="B39" s="221">
        <v>0</v>
      </c>
      <c r="C39" s="221">
        <v>0</v>
      </c>
      <c r="D39" s="222" t="s">
        <v>436</v>
      </c>
      <c r="E39" s="223" t="s">
        <v>446</v>
      </c>
      <c r="F39" s="224">
        <v>53.99</v>
      </c>
      <c r="G39" s="221" t="s">
        <v>444</v>
      </c>
      <c r="H39" s="221"/>
      <c r="I39" s="221"/>
      <c r="J39" s="221"/>
      <c r="K39" s="221"/>
      <c r="L39" s="221"/>
      <c r="M39" s="68">
        <f>Parametros!$F$44*F39/1000</f>
        <v>5.3990000000000006E-4</v>
      </c>
      <c r="N39" s="88">
        <f>SUM('A1'!F39,'A1'!G39,'A1'!H39)+M39</f>
        <v>2.9156E-3</v>
      </c>
      <c r="O39" s="88">
        <f>SUM('A1'!L39,'A1'!M39,'A1'!N39)+M39</f>
        <v>2.9156E-3</v>
      </c>
      <c r="P39" s="192"/>
      <c r="Q39" s="192"/>
      <c r="R39" s="69"/>
      <c r="S39" s="88">
        <f>'A2'!AE39</f>
        <v>0</v>
      </c>
      <c r="T39" s="71">
        <f t="shared" si="2"/>
        <v>1.3090650000000097</v>
      </c>
      <c r="U39" s="71">
        <f t="shared" si="3"/>
        <v>0.9</v>
      </c>
      <c r="V39" s="71">
        <f>IF(B39=1,IF(ISBLANK(R39),IF(P39=1,Parametros!$F$58+AJ39/1000,Parametros!$F$57+AJ39/1000),R39),IF(ISBLANK(R39),MAX('A2'!H39+Parametros!$F$64,S39,IF(P39=1,Parametros!$F$58+Parametros!$F$64+(AJ39/1000),Parametros!$F$57+Parametros!$F$64+(AJ39/1000))),MAX('A2'!H39+Parametros!$F$64,R39)))</f>
        <v>1.4590650000000096</v>
      </c>
      <c r="W39" s="71">
        <f>IF(F39=0,0,IF(IF(ISBLANK(X39),0,X39)&gt;=0,IF(ISBLANK(X39),MAX(Z39-(AA39-AF39*F39),IF(P39=1,Parametros!$F$58+AJ39/1000,Parametros!$F$57+AJ39/1000)),MAX(Z39-(AA39-AF39*F39),X39)),IF(ISBLANK(X39),Z39-(AA39-AF39*F39),MAX(Z39-(AA39-AF39*F39),X39))))</f>
        <v>1.05</v>
      </c>
      <c r="X39" s="69"/>
      <c r="Y39" s="72">
        <v>189</v>
      </c>
      <c r="Z39" s="72">
        <v>188.24</v>
      </c>
      <c r="AA39" s="72">
        <f t="shared" si="4"/>
        <v>187.54093499999999</v>
      </c>
      <c r="AB39" s="72">
        <f t="shared" si="5"/>
        <v>187.19</v>
      </c>
      <c r="AC39" s="72">
        <f t="shared" si="6"/>
        <v>187.690935</v>
      </c>
      <c r="AD39" s="72">
        <f t="shared" si="7"/>
        <v>187.34</v>
      </c>
      <c r="AE39" s="73">
        <f t="shared" si="8"/>
        <v>1.4076680866827021E-2</v>
      </c>
      <c r="AF39" s="153">
        <f>IF(F39=0,0,IF(AJ39&lt;=Parametros!$C$53,Parametros!$F$53,IF(AJ39&lt;=Parametros!$C$54,Parametros!$F$54,IF(AJ39&gt;=Parametros!$C$55,Parametros!$F$55))))</f>
        <v>4.4999999999999997E-3</v>
      </c>
      <c r="AG39" s="74">
        <f>IF(F39=0,0,IF(AJ39&lt;=Parametros!$C$53,Parametros!$F$53,IF(AJ39&lt;=Parametros!$C$54,Parametros!$F$54,IF(AJ39&gt;=Parametros!$C$55,Parametros!$F$55))))</f>
        <v>4.4999999999999997E-3</v>
      </c>
      <c r="AH39" s="75">
        <f t="shared" si="9"/>
        <v>6.4999999999998644E-3</v>
      </c>
      <c r="AI39" s="66">
        <f>IF(INDEX(Parametros!$B$68:$B$82,MATCH(DN1mm(AL39,AH39,AK39,Parametros!$F$48),Parametros!$B$68:$B$82,TRUE)+1)&lt;Parametros!$F$50,Parametros!$F$50,INDEX(Parametros!$B$68:$B$82,MATCH(DN1mm(AL39,AH39,AK39,Parametros!$F$48),Parametros!$B$68:$B$82,TRUE)+1))</f>
        <v>150</v>
      </c>
      <c r="AJ39" s="76">
        <f>IF(B39=1,Parametros!$F$50,AJ38)</f>
        <v>150</v>
      </c>
      <c r="AK39" s="155">
        <f>IF(OR(F39=0,D39=0),0,VLOOKUP(AJ39,Parametros!$B$69:$E$82,4,FALSE))</f>
        <v>1.2999999999999999E-2</v>
      </c>
      <c r="AL39" s="77">
        <f>IF(OR(ISBLANK($D39),N39=0),0,IF(N39&lt;Parametros!$F$46,Parametros!$F$46,N39))</f>
        <v>1.5</v>
      </c>
      <c r="AM39" s="77">
        <f>IF(F39=0,0,IF(ISBLANK(D39),0,LAMINAABS(AL39,AJ39,AH39,AK39)))</f>
        <v>3.540260965195987E-2</v>
      </c>
      <c r="AN39" s="172">
        <f>IF(F39=0,0,IF(ISBLANK(D39),0,LAMINAREL(AL39,AJ39,AH39,AK39)))</f>
        <v>0.23601739767973245</v>
      </c>
      <c r="AO39" s="173">
        <f>IF(OR(AND(AN39&gt;Parametros!$F$47,AJ39=100),AN39&gt;Parametros!$F$48),1,0)</f>
        <v>0</v>
      </c>
      <c r="AP39" s="77">
        <f>IF(F39=0,0,IF(ISBLANK(D39),0,TENSTRAT(AL39,AJ39,AH39,AK39)))</f>
        <v>1.3344415360770434</v>
      </c>
      <c r="AQ39" s="77">
        <f>IF(F39=0,0,IF(ISBLANK(D39),0,VELOCRIT(AL39,AJ39,AH39,AK39)))</f>
        <v>2.7172079835226626</v>
      </c>
      <c r="AR39" s="77">
        <f>IF(F39=0,0,IF(ISBLANK(D39),0,VELOCID(AL39,AJ39,AH39,AK39)))</f>
        <v>0.47090735631786612</v>
      </c>
      <c r="AS39" s="77">
        <f>IF(OR(ISBLANK($D39),O39=0),0,IF(O39&lt;Parametros!$F$46,Parametros!$F$46,O39))</f>
        <v>1.5</v>
      </c>
      <c r="AT39" s="77">
        <f>IF(F39=0,0,IF(ISBLANK(D39),0,LAMINAABS(AS39,AJ39,AH39,AK39)))</f>
        <v>3.540260965195987E-2</v>
      </c>
      <c r="AU39" s="172">
        <f>IF(F39=0,0,IF(ISBLANK(D39),0,LAMINAREL(AS39,AJ39,AH39,AK39)))</f>
        <v>0.23601739767973245</v>
      </c>
      <c r="AV39" s="77">
        <f>IF(F39=0,0,IF(ISBLANK(D39),0,TENSTRAT(AS39,AJ39,AH39,AK39)))</f>
        <v>1.3344415360770434</v>
      </c>
      <c r="AW39" s="221" t="s">
        <v>446</v>
      </c>
      <c r="AX39" s="70" t="str">
        <f>IF(AND(V39&lt;=Parametros!$C$87,AJ39&lt;=Parametros!$D$87),Parametros!$B$87,IF(AND(V39&lt;=Parametros!$C$88,AJ39&lt;=Parametros!$D$88),Parametros!$B$88,IF(AND(V39&lt;=Parametros!$C$89,AJ39&lt;=Parametros!$D$89),Parametros!$B$89,IF(AND(V39&lt;=Parametros!$C$90,AJ39&lt;=Parametros!$D$90),Parametros!$B$90,IF(AND(V39&lt;=Parametros!$C$91,AJ39&lt;=Parametros!$D$91),Parametros!$B$91,Parametros!$B$92)))))</f>
        <v>PV-0.80</v>
      </c>
      <c r="AY39" s="66" t="s">
        <v>448</v>
      </c>
      <c r="AZ39" s="70" t="str">
        <f t="shared" si="10"/>
        <v>PV-1.00</v>
      </c>
      <c r="BA39" s="221" t="s">
        <v>448</v>
      </c>
      <c r="BB39" s="144"/>
    </row>
    <row r="40" spans="1:54" customFormat="1" ht="15" customHeight="1" x14ac:dyDescent="0.2">
      <c r="A40" s="94">
        <v>1</v>
      </c>
      <c r="B40" s="221">
        <v>0</v>
      </c>
      <c r="C40" s="221">
        <v>0</v>
      </c>
      <c r="D40" s="222" t="s">
        <v>436</v>
      </c>
      <c r="E40" s="223" t="s">
        <v>448</v>
      </c>
      <c r="F40" s="224">
        <v>56.97</v>
      </c>
      <c r="G40" s="221" t="s">
        <v>446</v>
      </c>
      <c r="H40" s="221" t="s">
        <v>450</v>
      </c>
      <c r="I40" s="221"/>
      <c r="J40" s="221"/>
      <c r="K40" s="221"/>
      <c r="L40" s="221"/>
      <c r="M40" s="68">
        <f>Parametros!$F$44*F40/1000</f>
        <v>5.6970000000000002E-4</v>
      </c>
      <c r="N40" s="88">
        <f>SUM('A1'!F40,'A1'!G40,'A1'!H40)+M40</f>
        <v>6.1890000000000001E-3</v>
      </c>
      <c r="O40" s="88">
        <f>SUM('A1'!L40,'A1'!M40,'A1'!N40)+M40</f>
        <v>6.1890000000000001E-3</v>
      </c>
      <c r="P40" s="192"/>
      <c r="Q40" s="192"/>
      <c r="R40" s="69"/>
      <c r="S40" s="88">
        <f>'A2'!AE40</f>
        <v>0</v>
      </c>
      <c r="T40" s="71">
        <f t="shared" si="2"/>
        <v>1.6953650000000153</v>
      </c>
      <c r="U40" s="71">
        <f t="shared" si="3"/>
        <v>0.9</v>
      </c>
      <c r="V40" s="71">
        <f>IF(B40=1,IF(ISBLANK(R40),IF(P40=1,Parametros!$F$58+AJ40/1000,Parametros!$F$57+AJ40/1000),R40),IF(ISBLANK(R40),MAX('A2'!H40+Parametros!$F$64,S40,IF(P40=1,Parametros!$F$58+Parametros!$F$64+(AJ40/1000),Parametros!$F$57+Parametros!$F$64+(AJ40/1000))),MAX('A2'!H40+Parametros!$F$64,R40)))</f>
        <v>1.8453650000000152</v>
      </c>
      <c r="W40" s="71">
        <f>IF(F40=0,0,IF(IF(ISBLANK(X40),0,X40)&gt;=0,IF(ISBLANK(X40),MAX(Z40-(AA40-AF40*F40),IF(P40=1,Parametros!$F$58+AJ40/1000,Parametros!$F$57+AJ40/1000)),MAX(Z40-(AA40-AF40*F40),X40)),IF(ISBLANK(X40),Z40-(AA40-AF40*F40),MAX(Z40-(AA40-AF40*F40),X40))))</f>
        <v>1.05</v>
      </c>
      <c r="X40" s="69"/>
      <c r="Y40" s="72">
        <v>188.24</v>
      </c>
      <c r="Z40" s="72">
        <v>184.83</v>
      </c>
      <c r="AA40" s="72">
        <f t="shared" si="4"/>
        <v>186.39463499999999</v>
      </c>
      <c r="AB40" s="72">
        <f t="shared" si="5"/>
        <v>183.78</v>
      </c>
      <c r="AC40" s="72">
        <f t="shared" si="6"/>
        <v>186.544635</v>
      </c>
      <c r="AD40" s="72">
        <f t="shared" si="7"/>
        <v>183.93</v>
      </c>
      <c r="AE40" s="73">
        <f t="shared" si="8"/>
        <v>5.9856064595401028E-2</v>
      </c>
      <c r="AF40" s="153">
        <f>IF(F40=0,0,IF(AJ40&lt;=Parametros!$C$53,Parametros!$F$53,IF(AJ40&lt;=Parametros!$C$54,Parametros!$F$54,IF(AJ40&gt;=Parametros!$C$55,Parametros!$F$55))))</f>
        <v>4.4999999999999997E-3</v>
      </c>
      <c r="AG40" s="74">
        <f>IF(F40=0,0,IF(AJ40&lt;=Parametros!$C$53,Parametros!$F$53,IF(AJ40&lt;=Parametros!$C$54,Parametros!$F$54,IF(AJ40&gt;=Parametros!$C$55,Parametros!$F$55))))</f>
        <v>4.4999999999999997E-3</v>
      </c>
      <c r="AH40" s="75">
        <f t="shared" si="9"/>
        <v>4.589494470774079E-2</v>
      </c>
      <c r="AI40" s="66">
        <f>IF(INDEX(Parametros!$B$68:$B$82,MATCH(DN1mm(AL40,AH40,AK40,Parametros!$F$48),Parametros!$B$68:$B$82,TRUE)+1)&lt;Parametros!$F$50,Parametros!$F$50,INDEX(Parametros!$B$68:$B$82,MATCH(DN1mm(AL40,AH40,AK40,Parametros!$F$48),Parametros!$B$68:$B$82,TRUE)+1))</f>
        <v>150</v>
      </c>
      <c r="AJ40" s="76">
        <f>IF(B40=1,Parametros!$F$50,AJ39)</f>
        <v>150</v>
      </c>
      <c r="AK40" s="155">
        <f>IF(OR(F40=0,D40=0),0,VLOOKUP(AJ40,Parametros!$B$69:$E$82,4,FALSE))</f>
        <v>1.2999999999999999E-2</v>
      </c>
      <c r="AL40" s="77">
        <f>IF(OR(ISBLANK($D40),N40=0),0,IF(N40&lt;Parametros!$F$46,Parametros!$F$46,N40))</f>
        <v>1.5</v>
      </c>
      <c r="AM40" s="77">
        <f>IF(F40=0,0,IF(ISBLANK(D40),0,LAMINAABS(AL40,AJ40,AH40,AK40)))</f>
        <v>2.1901437575257036E-2</v>
      </c>
      <c r="AN40" s="172">
        <f>IF(F40=0,0,IF(ISBLANK(D40),0,LAMINAREL(AL40,AJ40,AH40,AK40)))</f>
        <v>0.14600958383504692</v>
      </c>
      <c r="AO40" s="173">
        <f>IF(OR(AND(AN40&gt;Parametros!$F$47,AJ40=100),AN40&gt;Parametros!$F$48),1,0)</f>
        <v>0</v>
      </c>
      <c r="AP40" s="77">
        <f>IF(F40=0,0,IF(ISBLANK(D40),0,TENSTRAT(AL40,AJ40,AH40,AK40)))</f>
        <v>6.1182468187815404</v>
      </c>
      <c r="AQ40" s="77">
        <f>IF(F40=0,0,IF(ISBLANK(D40),0,VELOCRIT(AL40,AJ40,AH40,AK40)))</f>
        <v>2.1895801920015208</v>
      </c>
      <c r="AR40" s="77">
        <f>IF(F40=0,0,IF(ISBLANK(D40),0,VELOCID(AL40,AJ40,AH40,AK40)))</f>
        <v>0.93829399327271079</v>
      </c>
      <c r="AS40" s="77">
        <f>IF(OR(ISBLANK($D40),O40=0),0,IF(O40&lt;Parametros!$F$46,Parametros!$F$46,O40))</f>
        <v>1.5</v>
      </c>
      <c r="AT40" s="77">
        <f>IF(F40=0,0,IF(ISBLANK(D40),0,LAMINAABS(AS40,AJ40,AH40,AK40)))</f>
        <v>2.1901437575257036E-2</v>
      </c>
      <c r="AU40" s="172">
        <f>IF(F40=0,0,IF(ISBLANK(D40),0,LAMINAREL(AS40,AJ40,AH40,AK40)))</f>
        <v>0.14600958383504692</v>
      </c>
      <c r="AV40" s="77">
        <f>IF(F40=0,0,IF(ISBLANK(D40),0,TENSTRAT(AS40,AJ40,AH40,AK40)))</f>
        <v>6.1182468187815404</v>
      </c>
      <c r="AW40" s="221" t="s">
        <v>448</v>
      </c>
      <c r="AX40" s="70" t="str">
        <f>IF(AND(V40&lt;=Parametros!$C$87,AJ40&lt;=Parametros!$D$87),Parametros!$B$87,IF(AND(V40&lt;=Parametros!$C$88,AJ40&lt;=Parametros!$D$88),Parametros!$B$88,IF(AND(V40&lt;=Parametros!$C$89,AJ40&lt;=Parametros!$D$89),Parametros!$B$89,IF(AND(V40&lt;=Parametros!$C$90,AJ40&lt;=Parametros!$D$90),Parametros!$B$90,IF(AND(V40&lt;=Parametros!$C$91,AJ40&lt;=Parametros!$D$91),Parametros!$B$91,Parametros!$B$92)))))</f>
        <v>PV-1.00</v>
      </c>
      <c r="AY40" s="66" t="s">
        <v>419</v>
      </c>
      <c r="AZ40" s="70" t="str">
        <f t="shared" si="10"/>
        <v>CI-0.60</v>
      </c>
      <c r="BA40" s="221" t="s">
        <v>419</v>
      </c>
      <c r="BB40" s="144"/>
    </row>
    <row r="41" spans="1:54" customFormat="1" ht="15" customHeight="1" x14ac:dyDescent="0.2">
      <c r="A41" s="94">
        <v>1</v>
      </c>
      <c r="B41" s="221">
        <v>0</v>
      </c>
      <c r="C41" s="221">
        <v>1</v>
      </c>
      <c r="D41" s="222" t="s">
        <v>436</v>
      </c>
      <c r="E41" s="223" t="s">
        <v>419</v>
      </c>
      <c r="F41" s="224">
        <v>94.2</v>
      </c>
      <c r="G41" s="221" t="s">
        <v>448</v>
      </c>
      <c r="H41" s="221"/>
      <c r="I41" s="221"/>
      <c r="J41" s="221"/>
      <c r="K41" s="221"/>
      <c r="L41" s="221"/>
      <c r="M41" s="68">
        <f>Parametros!$F$44*F41/1000</f>
        <v>9.4200000000000002E-4</v>
      </c>
      <c r="N41" s="88">
        <f>SUM('A1'!F41,'A1'!G41,'A1'!H41)+M41</f>
        <v>7.1310000000000002E-3</v>
      </c>
      <c r="O41" s="88">
        <f>SUM('A1'!L41,'A1'!M41,'A1'!N41)+M41</f>
        <v>7.1310000000000002E-3</v>
      </c>
      <c r="P41" s="192"/>
      <c r="Q41" s="192"/>
      <c r="R41" s="69"/>
      <c r="S41" s="88">
        <f>'A2'!AE41</f>
        <v>0</v>
      </c>
      <c r="T41" s="71">
        <f t="shared" si="2"/>
        <v>0.9</v>
      </c>
      <c r="U41" s="71">
        <f t="shared" si="3"/>
        <v>0.9</v>
      </c>
      <c r="V41" s="71">
        <f>IF(B41=1,IF(ISBLANK(R41),IF(P41=1,Parametros!$F$58+AJ41/1000,Parametros!$F$57+AJ41/1000),R41),IF(ISBLANK(R41),MAX('A2'!H41+Parametros!$F$64,S41,IF(P41=1,Parametros!$F$58+Parametros!$F$64+(AJ41/1000),Parametros!$F$57+Parametros!$F$64+(AJ41/1000))),MAX('A2'!H41+Parametros!$F$64,R41)))</f>
        <v>1.05</v>
      </c>
      <c r="W41" s="71">
        <f>IF(F41=0,0,IF(IF(ISBLANK(X41),0,X41)&gt;=0,IF(ISBLANK(X41),MAX(Z41-(AA41-AF41*F41),IF(P41=1,Parametros!$F$58+AJ41/1000,Parametros!$F$57+AJ41/1000)),MAX(Z41-(AA41-AF41*F41),X41)),IF(ISBLANK(X41),Z41-(AA41-AF41*F41),MAX(Z41-(AA41-AF41*F41),X41))))</f>
        <v>1.05</v>
      </c>
      <c r="X41" s="69"/>
      <c r="Y41" s="72">
        <v>184.83</v>
      </c>
      <c r="Z41" s="72">
        <v>180.44</v>
      </c>
      <c r="AA41" s="72">
        <f t="shared" si="4"/>
        <v>183.78</v>
      </c>
      <c r="AB41" s="72">
        <f t="shared" si="5"/>
        <v>179.39</v>
      </c>
      <c r="AC41" s="72">
        <f t="shared" si="6"/>
        <v>183.93</v>
      </c>
      <c r="AD41" s="72">
        <f t="shared" si="7"/>
        <v>179.54</v>
      </c>
      <c r="AE41" s="73">
        <f t="shared" si="8"/>
        <v>4.6602972399150899E-2</v>
      </c>
      <c r="AF41" s="153">
        <f>IF(F41=0,0,IF(AJ41&lt;=Parametros!$C$53,Parametros!$F$53,IF(AJ41&lt;=Parametros!$C$54,Parametros!$F$54,IF(AJ41&gt;=Parametros!$C$55,Parametros!$F$55))))</f>
        <v>4.4999999999999997E-3</v>
      </c>
      <c r="AG41" s="74">
        <f>IF(F41=0,0,IF(AJ41&lt;=Parametros!$C$53,Parametros!$F$53,IF(AJ41&lt;=Parametros!$C$54,Parametros!$F$54,IF(AJ41&gt;=Parametros!$C$55,Parametros!$F$55))))</f>
        <v>4.4999999999999997E-3</v>
      </c>
      <c r="AH41" s="75">
        <f t="shared" si="9"/>
        <v>4.6602972399150899E-2</v>
      </c>
      <c r="AI41" s="66">
        <f>IF(INDEX(Parametros!$B$68:$B$82,MATCH(DN1mm(AL41,AH41,AK41,Parametros!$F$48),Parametros!$B$68:$B$82,TRUE)+1)&lt;Parametros!$F$50,Parametros!$F$50,INDEX(Parametros!$B$68:$B$82,MATCH(DN1mm(AL41,AH41,AK41,Parametros!$F$48),Parametros!$B$68:$B$82,TRUE)+1))</f>
        <v>150</v>
      </c>
      <c r="AJ41" s="76">
        <f>IF(B41=1,Parametros!$F$50,AJ40)</f>
        <v>150</v>
      </c>
      <c r="AK41" s="155">
        <f>IF(OR(F41=0,D41=0),0,VLOOKUP(AJ41,Parametros!$B$69:$E$82,4,FALSE))</f>
        <v>1.2999999999999999E-2</v>
      </c>
      <c r="AL41" s="77">
        <f>IF(OR(ISBLANK($D41),N41=0),0,IF(N41&lt;Parametros!$F$46,Parametros!$F$46,N41))</f>
        <v>1.5</v>
      </c>
      <c r="AM41" s="77">
        <f>IF(F41=0,0,IF(ISBLANK(D41),0,LAMINAABS(AL41,AJ41,AH41,AK41)))</f>
        <v>2.1820512961155895E-2</v>
      </c>
      <c r="AN41" s="172">
        <f>IF(F41=0,0,IF(ISBLANK(D41),0,LAMINAREL(AL41,AJ41,AH41,AK41)))</f>
        <v>0.14547008640770598</v>
      </c>
      <c r="AO41" s="173">
        <f>IF(OR(AND(AN41&gt;Parametros!$F$47,AJ41=100),AN41&gt;Parametros!$F$48),1,0)</f>
        <v>0</v>
      </c>
      <c r="AP41" s="77">
        <f>IF(F41=0,0,IF(ISBLANK(D41),0,TENSTRAT(AL41,AJ41,AH41,AK41)))</f>
        <v>6.19141169114517</v>
      </c>
      <c r="AQ41" s="77">
        <f>IF(F41=0,0,IF(ISBLANK(D41),0,VELOCRIT(AL41,AJ41,AH41,AK41)))</f>
        <v>2.1858372225250311</v>
      </c>
      <c r="AR41" s="77">
        <f>IF(F41=0,0,IF(ISBLANK(D41),0,VELOCID(AL41,AJ41,AH41,AK41)))</f>
        <v>0.94334934456808139</v>
      </c>
      <c r="AS41" s="77">
        <f>IF(OR(ISBLANK($D41),O41=0),0,IF(O41&lt;Parametros!$F$46,Parametros!$F$46,O41))</f>
        <v>1.5</v>
      </c>
      <c r="AT41" s="77">
        <f>IF(F41=0,0,IF(ISBLANK(D41),0,LAMINAABS(AS41,AJ41,AH41,AK41)))</f>
        <v>2.1820512961155895E-2</v>
      </c>
      <c r="AU41" s="172">
        <f>IF(F41=0,0,IF(ISBLANK(D41),0,LAMINAREL(AS41,AJ41,AH41,AK41)))</f>
        <v>0.14547008640770598</v>
      </c>
      <c r="AV41" s="77">
        <f>IF(F41=0,0,IF(ISBLANK(D41),0,TENSTRAT(AS41,AJ41,AH41,AK41)))</f>
        <v>6.19141169114517</v>
      </c>
      <c r="AW41" s="221" t="s">
        <v>419</v>
      </c>
      <c r="AX41" s="70" t="str">
        <f>IF(AND(V41&lt;=Parametros!$C$87,AJ41&lt;=Parametros!$D$87),Parametros!$B$87,IF(AND(V41&lt;=Parametros!$C$88,AJ41&lt;=Parametros!$D$88),Parametros!$B$88,IF(AND(V41&lt;=Parametros!$C$89,AJ41&lt;=Parametros!$D$89),Parametros!$B$89,IF(AND(V41&lt;=Parametros!$C$90,AJ41&lt;=Parametros!$D$90),Parametros!$B$90,IF(AND(V41&lt;=Parametros!$C$91,AJ41&lt;=Parametros!$D$91),Parametros!$B$91,Parametros!$B$92)))))</f>
        <v>CI-0.60</v>
      </c>
      <c r="AY41" s="66" t="s">
        <v>417</v>
      </c>
      <c r="AZ41" s="70" t="str">
        <f t="shared" si="10"/>
        <v>PV-1.00</v>
      </c>
      <c r="BA41" s="221" t="s">
        <v>417</v>
      </c>
      <c r="BB41" s="144"/>
    </row>
    <row r="42" spans="1:54" customFormat="1" ht="15" customHeight="1" x14ac:dyDescent="0.2">
      <c r="A42" s="94">
        <v>1</v>
      </c>
      <c r="B42" s="221">
        <v>1</v>
      </c>
      <c r="C42" s="221">
        <v>0</v>
      </c>
      <c r="D42" s="222" t="s">
        <v>453</v>
      </c>
      <c r="E42" s="223" t="s">
        <v>454</v>
      </c>
      <c r="F42" s="224">
        <v>37.75</v>
      </c>
      <c r="G42" s="221"/>
      <c r="H42" s="221"/>
      <c r="I42" s="221"/>
      <c r="J42" s="221"/>
      <c r="K42" s="221"/>
      <c r="L42" s="221"/>
      <c r="M42" s="68">
        <f>Parametros!$F$44*F42/1000</f>
        <v>3.7750000000000001E-4</v>
      </c>
      <c r="N42" s="88">
        <f>SUM('A1'!F42,'A1'!G42,'A1'!H42)+M42</f>
        <v>3.7750000000000001E-4</v>
      </c>
      <c r="O42" s="88">
        <f>SUM('A1'!L42,'A1'!M42,'A1'!N42)+M42</f>
        <v>3.7750000000000001E-4</v>
      </c>
      <c r="P42" s="192"/>
      <c r="Q42" s="192"/>
      <c r="R42" s="69"/>
      <c r="S42" s="88">
        <f>'A2'!AE42</f>
        <v>0</v>
      </c>
      <c r="T42" s="71">
        <f t="shared" si="2"/>
        <v>0.9</v>
      </c>
      <c r="U42" s="71">
        <f t="shared" si="3"/>
        <v>0.9</v>
      </c>
      <c r="V42" s="71">
        <f>IF(B42=1,IF(ISBLANK(R42),IF(P42=1,Parametros!$F$58+AJ42/1000,Parametros!$F$57+AJ42/1000),R42),IF(ISBLANK(R42),MAX('A2'!H42+Parametros!$F$64,S42,IF(P42=1,Parametros!$F$58+Parametros!$F$64+(AJ42/1000),Parametros!$F$57+Parametros!$F$64+(AJ42/1000))),MAX('A2'!H42+Parametros!$F$64,R42)))</f>
        <v>1.05</v>
      </c>
      <c r="W42" s="71">
        <f>IF(F42=0,0,IF(IF(ISBLANK(X42),0,X42)&gt;=0,IF(ISBLANK(X42),MAX(Z42-(AA42-AF42*F42),IF(P42=1,Parametros!$F$58+AJ42/1000,Parametros!$F$57+AJ42/1000)),MAX(Z42-(AA42-AF42*F42),X42)),IF(ISBLANK(X42),Z42-(AA42-AF42*F42),MAX(Z42-(AA42-AF42*F42),X42))))</f>
        <v>1.05</v>
      </c>
      <c r="X42" s="69"/>
      <c r="Y42" s="72">
        <v>183.67</v>
      </c>
      <c r="Z42" s="72">
        <v>183.47</v>
      </c>
      <c r="AA42" s="72">
        <f t="shared" si="4"/>
        <v>182.61999999999998</v>
      </c>
      <c r="AB42" s="72">
        <f t="shared" si="5"/>
        <v>182.42</v>
      </c>
      <c r="AC42" s="72">
        <f t="shared" si="6"/>
        <v>182.76999999999998</v>
      </c>
      <c r="AD42" s="72">
        <f t="shared" si="7"/>
        <v>182.57</v>
      </c>
      <c r="AE42" s="73">
        <f t="shared" si="8"/>
        <v>5.2980132450328116E-3</v>
      </c>
      <c r="AF42" s="153">
        <f>IF(F42=0,0,IF(AJ42&lt;=Parametros!$C$53,Parametros!$F$53,IF(AJ42&lt;=Parametros!$C$54,Parametros!$F$54,IF(AJ42&gt;=Parametros!$C$55,Parametros!$F$55))))</f>
        <v>4.4999999999999997E-3</v>
      </c>
      <c r="AG42" s="74">
        <f>IF(F42=0,0,IF(AJ42&lt;=Parametros!$C$53,Parametros!$F$53,IF(AJ42&lt;=Parametros!$C$54,Parametros!$F$54,IF(AJ42&gt;=Parametros!$C$55,Parametros!$F$55))))</f>
        <v>4.4999999999999997E-3</v>
      </c>
      <c r="AH42" s="75">
        <f t="shared" si="9"/>
        <v>5.2980132450328116E-3</v>
      </c>
      <c r="AI42" s="66">
        <f>IF(INDEX(Parametros!$B$68:$B$82,MATCH(DN1mm(AL42,AH42,AK42,Parametros!$F$48),Parametros!$B$68:$B$82,TRUE)+1)&lt;Parametros!$F$50,Parametros!$F$50,INDEX(Parametros!$B$68:$B$82,MATCH(DN1mm(AL42,AH42,AK42,Parametros!$F$48),Parametros!$B$68:$B$82,TRUE)+1))</f>
        <v>150</v>
      </c>
      <c r="AJ42" s="76">
        <f>IF(B42=1,Parametros!$F$50,AJ41)</f>
        <v>150</v>
      </c>
      <c r="AK42" s="155">
        <f>IF(OR(F42=0,D42=0),0,VLOOKUP(AJ42,Parametros!$B$69:$E$82,4,FALSE))</f>
        <v>1.2999999999999999E-2</v>
      </c>
      <c r="AL42" s="77">
        <f>IF(OR(ISBLANK($D42),N42=0),0,IF(N42&lt;Parametros!$F$46,Parametros!$F$46,N42))</f>
        <v>1.5</v>
      </c>
      <c r="AM42" s="77">
        <f>IF(F42=0,0,IF(ISBLANK(D42),0,LAMINAABS(AL42,AJ42,AH42,AK42)))</f>
        <v>3.7269476405579614E-2</v>
      </c>
      <c r="AN42" s="172">
        <f>IF(F42=0,0,IF(ISBLANK(D42),0,LAMINAREL(AL42,AJ42,AH42,AK42)))</f>
        <v>0.24846317603719742</v>
      </c>
      <c r="AO42" s="173">
        <f>IF(OR(AND(AN42&gt;Parametros!$F$47,AJ42=100),AN42&gt;Parametros!$F$48),1,0)</f>
        <v>0</v>
      </c>
      <c r="AP42" s="77">
        <f>IF(F42=0,0,IF(ISBLANK(D42),0,TENSTRAT(AL42,AJ42,AH42,AK42)))</f>
        <v>1.1370584060540407</v>
      </c>
      <c r="AQ42" s="77">
        <f>IF(F42=0,0,IF(ISBLANK(D42),0,VELOCRIT(AL42,AJ42,AH42,AK42)))</f>
        <v>2.7782073202198632</v>
      </c>
      <c r="AR42" s="77">
        <f>IF(F42=0,0,IF(ISBLANK(D42),0,VELOCID(AL42,AJ42,AH42,AK42)))</f>
        <v>0.43791684547495013</v>
      </c>
      <c r="AS42" s="77">
        <f>IF(OR(ISBLANK($D42),O42=0),0,IF(O42&lt;Parametros!$F$46,Parametros!$F$46,O42))</f>
        <v>1.5</v>
      </c>
      <c r="AT42" s="77">
        <f>IF(F42=0,0,IF(ISBLANK(D42),0,LAMINAABS(AS42,AJ42,AH42,AK42)))</f>
        <v>3.7269476405579614E-2</v>
      </c>
      <c r="AU42" s="172">
        <f>IF(F42=0,0,IF(ISBLANK(D42),0,LAMINAREL(AS42,AJ42,AH42,AK42)))</f>
        <v>0.24846317603719742</v>
      </c>
      <c r="AV42" s="77">
        <f>IF(F42=0,0,IF(ISBLANK(D42),0,TENSTRAT(AS42,AJ42,AH42,AK42)))</f>
        <v>1.1370584060540407</v>
      </c>
      <c r="AW42" s="221" t="s">
        <v>454</v>
      </c>
      <c r="AX42" s="70" t="str">
        <f>IF(AND(V42&lt;=Parametros!$C$87,AJ42&lt;=Parametros!$D$87),Parametros!$B$87,IF(AND(V42&lt;=Parametros!$C$88,AJ42&lt;=Parametros!$D$88),Parametros!$B$88,IF(AND(V42&lt;=Parametros!$C$89,AJ42&lt;=Parametros!$D$89),Parametros!$B$89,IF(AND(V42&lt;=Parametros!$C$90,AJ42&lt;=Parametros!$D$90),Parametros!$B$90,IF(AND(V42&lt;=Parametros!$C$91,AJ42&lt;=Parametros!$D$91),Parametros!$B$91,Parametros!$B$92)))))</f>
        <v>CI-0.60</v>
      </c>
      <c r="AY42" s="66" t="s">
        <v>455</v>
      </c>
      <c r="AZ42" s="70" t="str">
        <f t="shared" si="10"/>
        <v>CI-0.60</v>
      </c>
      <c r="BA42" s="221" t="s">
        <v>455</v>
      </c>
      <c r="BB42" s="144"/>
    </row>
    <row r="43" spans="1:54" customFormat="1" ht="15" customHeight="1" x14ac:dyDescent="0.2">
      <c r="A43" s="94">
        <v>1</v>
      </c>
      <c r="B43" s="221">
        <v>0</v>
      </c>
      <c r="C43" s="221">
        <v>0</v>
      </c>
      <c r="D43" s="222" t="s">
        <v>453</v>
      </c>
      <c r="E43" s="223" t="s">
        <v>455</v>
      </c>
      <c r="F43" s="224">
        <v>25.92</v>
      </c>
      <c r="G43" s="221" t="s">
        <v>454</v>
      </c>
      <c r="H43" s="221"/>
      <c r="I43" s="221"/>
      <c r="J43" s="221"/>
      <c r="K43" s="221"/>
      <c r="L43" s="221"/>
      <c r="M43" s="68">
        <f>Parametros!$F$44*F43/1000</f>
        <v>2.5920000000000007E-4</v>
      </c>
      <c r="N43" s="88">
        <f>SUM('A1'!F43,'A1'!G43,'A1'!H43)+M43</f>
        <v>6.3670000000000003E-4</v>
      </c>
      <c r="O43" s="88">
        <f>SUM('A1'!L43,'A1'!M43,'A1'!N43)+M43</f>
        <v>6.3670000000000003E-4</v>
      </c>
      <c r="P43" s="192"/>
      <c r="Q43" s="192"/>
      <c r="R43" s="69"/>
      <c r="S43" s="88">
        <f>'A2'!AE43</f>
        <v>0</v>
      </c>
      <c r="T43" s="71">
        <f t="shared" si="2"/>
        <v>0.9</v>
      </c>
      <c r="U43" s="71">
        <f t="shared" si="3"/>
        <v>0.97664000000000895</v>
      </c>
      <c r="V43" s="71">
        <f>IF(B43=1,IF(ISBLANK(R43),IF(P43=1,Parametros!$F$58+AJ43/1000,Parametros!$F$57+AJ43/1000),R43),IF(ISBLANK(R43),MAX('A2'!H43+Parametros!$F$64,S43,IF(P43=1,Parametros!$F$58+Parametros!$F$64+(AJ43/1000),Parametros!$F$57+Parametros!$F$64+(AJ43/1000))),MAX('A2'!H43+Parametros!$F$64,R43)))</f>
        <v>1.05</v>
      </c>
      <c r="W43" s="71">
        <f>IF(F43=0,0,IF(IF(ISBLANK(X43),0,X43)&gt;=0,IF(ISBLANK(X43),MAX(Z43-(AA43-AF43*F43),IF(P43=1,Parametros!$F$58+AJ43/1000,Parametros!$F$57+AJ43/1000)),MAX(Z43-(AA43-AF43*F43),X43)),IF(ISBLANK(X43),Z43-(AA43-AF43*F43),MAX(Z43-(AA43-AF43*F43),X43))))</f>
        <v>1.126640000000009</v>
      </c>
      <c r="X43" s="69"/>
      <c r="Y43" s="72">
        <v>183.47</v>
      </c>
      <c r="Z43" s="72">
        <v>183.43</v>
      </c>
      <c r="AA43" s="72">
        <f t="shared" si="4"/>
        <v>182.42</v>
      </c>
      <c r="AB43" s="72">
        <f t="shared" si="5"/>
        <v>182.30336</v>
      </c>
      <c r="AC43" s="72">
        <f t="shared" si="6"/>
        <v>182.57</v>
      </c>
      <c r="AD43" s="72">
        <f t="shared" si="7"/>
        <v>182.45336</v>
      </c>
      <c r="AE43" s="73">
        <f t="shared" si="8"/>
        <v>1.5432098765429027E-3</v>
      </c>
      <c r="AF43" s="153">
        <f>IF(F43=0,0,IF(AJ43&lt;=Parametros!$C$53,Parametros!$F$53,IF(AJ43&lt;=Parametros!$C$54,Parametros!$F$54,IF(AJ43&gt;=Parametros!$C$55,Parametros!$F$55))))</f>
        <v>4.4999999999999997E-3</v>
      </c>
      <c r="AG43" s="74">
        <f>IF(F43=0,0,IF(AJ43&lt;=Parametros!$C$53,Parametros!$F$53,IF(AJ43&lt;=Parametros!$C$54,Parametros!$F$54,IF(AJ43&gt;=Parametros!$C$55,Parametros!$F$55))))</f>
        <v>4.4999999999999997E-3</v>
      </c>
      <c r="AH43" s="75">
        <f t="shared" si="9"/>
        <v>4.4999999999995998E-3</v>
      </c>
      <c r="AI43" s="66">
        <f>IF(INDEX(Parametros!$B$68:$B$82,MATCH(DN1mm(AL43,AH43,AK43,Parametros!$F$48),Parametros!$B$68:$B$82,TRUE)+1)&lt;Parametros!$F$50,Parametros!$F$50,INDEX(Parametros!$B$68:$B$82,MATCH(DN1mm(AL43,AH43,AK43,Parametros!$F$48),Parametros!$B$68:$B$82,TRUE)+1))</f>
        <v>150</v>
      </c>
      <c r="AJ43" s="76">
        <f>IF(B43=1,Parametros!$F$50,AJ42)</f>
        <v>150</v>
      </c>
      <c r="AK43" s="155">
        <f>IF(OR(F43=0,D43=0),0,VLOOKUP(AJ43,Parametros!$B$69:$E$82,4,FALSE))</f>
        <v>1.2999999999999999E-2</v>
      </c>
      <c r="AL43" s="77">
        <f>IF(OR(ISBLANK($D43),N43=0),0,IF(N43&lt;Parametros!$F$46,Parametros!$F$46,N43))</f>
        <v>1.5</v>
      </c>
      <c r="AM43" s="77">
        <f>IF(F43=0,0,IF(ISBLANK(D43),0,LAMINAABS(AL43,AJ43,AH43,AK43)))</f>
        <v>3.8838685789368589E-2</v>
      </c>
      <c r="AN43" s="172">
        <f>IF(F43=0,0,IF(ISBLANK(D43),0,LAMINAREL(AL43,AJ43,AH43,AK43)))</f>
        <v>0.25892457192912394</v>
      </c>
      <c r="AO43" s="173">
        <f>IF(OR(AND(AN43&gt;Parametros!$F$47,AJ43=100),AN43&gt;Parametros!$F$48),1,0)</f>
        <v>0</v>
      </c>
      <c r="AP43" s="77">
        <f>IF(F43=0,0,IF(ISBLANK(D43),0,TENSTRAT(AL43,AJ43,AH43,AK43)))</f>
        <v>1.0005011064886256</v>
      </c>
      <c r="AQ43" s="77">
        <f>IF(F43=0,0,IF(ISBLANK(D43),0,VELOCRIT(AL43,AJ43,AH43,AK43)))</f>
        <v>2.8276933747278252</v>
      </c>
      <c r="AR43" s="77">
        <f>IF(F43=0,0,IF(ISBLANK(D43),0,VELOCID(AL43,AJ43,AH43,AK43)))</f>
        <v>0.413204888162928</v>
      </c>
      <c r="AS43" s="77">
        <f>IF(OR(ISBLANK($D43),O43=0),0,IF(O43&lt;Parametros!$F$46,Parametros!$F$46,O43))</f>
        <v>1.5</v>
      </c>
      <c r="AT43" s="77">
        <f>IF(F43=0,0,IF(ISBLANK(D43),0,LAMINAABS(AS43,AJ43,AH43,AK43)))</f>
        <v>3.8838685789368589E-2</v>
      </c>
      <c r="AU43" s="172">
        <f>IF(F43=0,0,IF(ISBLANK(D43),0,LAMINAREL(AS43,AJ43,AH43,AK43)))</f>
        <v>0.25892457192912394</v>
      </c>
      <c r="AV43" s="77">
        <f>IF(F43=0,0,IF(ISBLANK(D43),0,TENSTRAT(AS43,AJ43,AH43,AK43)))</f>
        <v>1.0005011064886256</v>
      </c>
      <c r="AW43" s="221" t="s">
        <v>455</v>
      </c>
      <c r="AX43" s="70" t="str">
        <f>IF(AND(V43&lt;=Parametros!$C$87,AJ43&lt;=Parametros!$D$87),Parametros!$B$87,IF(AND(V43&lt;=Parametros!$C$88,AJ43&lt;=Parametros!$D$88),Parametros!$B$88,IF(AND(V43&lt;=Parametros!$C$89,AJ43&lt;=Parametros!$D$89),Parametros!$B$89,IF(AND(V43&lt;=Parametros!$C$90,AJ43&lt;=Parametros!$D$90),Parametros!$B$90,IF(AND(V43&lt;=Parametros!$C$91,AJ43&lt;=Parametros!$D$91),Parametros!$B$91,Parametros!$B$92)))))</f>
        <v>CI-0.60</v>
      </c>
      <c r="AY43" s="66" t="s">
        <v>405</v>
      </c>
      <c r="AZ43" s="70" t="str">
        <f t="shared" si="10"/>
        <v>CI-0.60</v>
      </c>
      <c r="BA43" s="221" t="s">
        <v>405</v>
      </c>
      <c r="BB43" s="144"/>
    </row>
    <row r="44" spans="1:54" customFormat="1" ht="15" customHeight="1" x14ac:dyDescent="0.2">
      <c r="A44" s="94">
        <v>1</v>
      </c>
      <c r="B44" s="221">
        <v>0</v>
      </c>
      <c r="C44" s="221">
        <v>1</v>
      </c>
      <c r="D44" s="222" t="s">
        <v>453</v>
      </c>
      <c r="E44" s="223" t="s">
        <v>405</v>
      </c>
      <c r="F44" s="224">
        <v>64.430000000000007</v>
      </c>
      <c r="G44" s="221" t="s">
        <v>455</v>
      </c>
      <c r="H44" s="221"/>
      <c r="I44" s="221"/>
      <c r="J44" s="221"/>
      <c r="K44" s="221"/>
      <c r="L44" s="221"/>
      <c r="M44" s="68">
        <f>Parametros!$F$44*F44/1000</f>
        <v>6.443000000000001E-4</v>
      </c>
      <c r="N44" s="88">
        <f>SUM('A1'!F44,'A1'!G44,'A1'!H44)+M44</f>
        <v>1.281E-3</v>
      </c>
      <c r="O44" s="88">
        <f>SUM('A1'!L44,'A1'!M44,'A1'!N44)+M44</f>
        <v>1.281E-3</v>
      </c>
      <c r="P44" s="192"/>
      <c r="Q44" s="192"/>
      <c r="R44" s="69"/>
      <c r="S44" s="88">
        <f>'A2'!AE44</f>
        <v>0</v>
      </c>
      <c r="T44" s="71">
        <f t="shared" si="2"/>
        <v>0.97664000000000895</v>
      </c>
      <c r="U44" s="71">
        <f t="shared" si="3"/>
        <v>0.9</v>
      </c>
      <c r="V44" s="71">
        <f>IF(B44=1,IF(ISBLANK(R44),IF(P44=1,Parametros!$F$58+AJ44/1000,Parametros!$F$57+AJ44/1000),R44),IF(ISBLANK(R44),MAX('A2'!H44+Parametros!$F$64,S44,IF(P44=1,Parametros!$F$58+Parametros!$F$64+(AJ44/1000),Parametros!$F$57+Parametros!$F$64+(AJ44/1000))),MAX('A2'!H44+Parametros!$F$64,R44)))</f>
        <v>1.126640000000009</v>
      </c>
      <c r="W44" s="71">
        <f>IF(F44=0,0,IF(IF(ISBLANK(X44),0,X44)&gt;=0,IF(ISBLANK(X44),MAX(Z44-(AA44-AF44*F44),IF(P44=1,Parametros!$F$58+AJ44/1000,Parametros!$F$57+AJ44/1000)),MAX(Z44-(AA44-AF44*F44),X44)),IF(ISBLANK(X44),Z44-(AA44-AF44*F44),MAX(Z44-(AA44-AF44*F44),X44))))</f>
        <v>1.05</v>
      </c>
      <c r="X44" s="69"/>
      <c r="Y44" s="72">
        <v>183.43</v>
      </c>
      <c r="Z44" s="72">
        <v>181.64</v>
      </c>
      <c r="AA44" s="72">
        <f t="shared" si="4"/>
        <v>182.30336</v>
      </c>
      <c r="AB44" s="72">
        <f t="shared" si="5"/>
        <v>180.58999999999997</v>
      </c>
      <c r="AC44" s="72">
        <f t="shared" si="6"/>
        <v>182.45336</v>
      </c>
      <c r="AD44" s="72">
        <f t="shared" si="7"/>
        <v>180.73999999999998</v>
      </c>
      <c r="AE44" s="73">
        <f t="shared" si="8"/>
        <v>2.778208908893404E-2</v>
      </c>
      <c r="AF44" s="153">
        <f>IF(F44=0,0,IF(AJ44&lt;=Parametros!$C$53,Parametros!$F$53,IF(AJ44&lt;=Parametros!$C$54,Parametros!$F$54,IF(AJ44&gt;=Parametros!$C$55,Parametros!$F$55))))</f>
        <v>4.4999999999999997E-3</v>
      </c>
      <c r="AG44" s="74">
        <f>IF(F44=0,0,IF(AJ44&lt;=Parametros!$C$53,Parametros!$F$53,IF(AJ44&lt;=Parametros!$C$54,Parametros!$F$54,IF(AJ44&gt;=Parametros!$C$55,Parametros!$F$55))))</f>
        <v>4.4999999999999997E-3</v>
      </c>
      <c r="AH44" s="75">
        <f t="shared" si="9"/>
        <v>2.6592581095763197E-2</v>
      </c>
      <c r="AI44" s="66">
        <f>IF(INDEX(Parametros!$B$68:$B$82,MATCH(DN1mm(AL44,AH44,AK44,Parametros!$F$48),Parametros!$B$68:$B$82,TRUE)+1)&lt;Parametros!$F$50,Parametros!$F$50,INDEX(Parametros!$B$68:$B$82,MATCH(DN1mm(AL44,AH44,AK44,Parametros!$F$48),Parametros!$B$68:$B$82,TRUE)+1))</f>
        <v>150</v>
      </c>
      <c r="AJ44" s="76">
        <f>IF(B44=1,Parametros!$F$50,AJ43)</f>
        <v>150</v>
      </c>
      <c r="AK44" s="155">
        <f>IF(OR(F44=0,D44=0),0,VLOOKUP(AJ44,Parametros!$B$69:$E$82,4,FALSE))</f>
        <v>1.2999999999999999E-2</v>
      </c>
      <c r="AL44" s="77">
        <f>IF(OR(ISBLANK($D44),N44=0),0,IF(N44&lt;Parametros!$F$46,Parametros!$F$46,N44))</f>
        <v>1.5</v>
      </c>
      <c r="AM44" s="77">
        <f>IF(F44=0,0,IF(ISBLANK(D44),0,LAMINAABS(AL44,AJ44,AH44,AK44)))</f>
        <v>2.500340725909134E-2</v>
      </c>
      <c r="AN44" s="172">
        <f>IF(F44=0,0,IF(ISBLANK(D44),0,LAMINAREL(AL44,AJ44,AH44,AK44)))</f>
        <v>0.1666893817272756</v>
      </c>
      <c r="AO44" s="173">
        <f>IF(OR(AND(AN44&gt;Parametros!$F$47,AJ44=100),AN44&gt;Parametros!$F$48),1,0)</f>
        <v>0</v>
      </c>
      <c r="AP44" s="77">
        <f>IF(F44=0,0,IF(ISBLANK(D44),0,TENSTRAT(AL44,AJ44,AH44,AK44)))</f>
        <v>4.0035899130819299</v>
      </c>
      <c r="AQ44" s="77">
        <f>IF(F44=0,0,IF(ISBLANK(D44),0,VELOCRIT(AL44,AJ44,AH44,AK44)))</f>
        <v>2.3268818473649961</v>
      </c>
      <c r="AR44" s="77">
        <f>IF(F44=0,0,IF(ISBLANK(D44),0,VELOCID(AL44,AJ44,AH44,AK44)))</f>
        <v>0.77456253318578494</v>
      </c>
      <c r="AS44" s="77">
        <f>IF(OR(ISBLANK($D44),O44=0),0,IF(O44&lt;Parametros!$F$46,Parametros!$F$46,O44))</f>
        <v>1.5</v>
      </c>
      <c r="AT44" s="77">
        <f>IF(F44=0,0,IF(ISBLANK(D44),0,LAMINAABS(AS44,AJ44,AH44,AK44)))</f>
        <v>2.500340725909134E-2</v>
      </c>
      <c r="AU44" s="172">
        <f>IF(F44=0,0,IF(ISBLANK(D44),0,LAMINAREL(AS44,AJ44,AH44,AK44)))</f>
        <v>0.1666893817272756</v>
      </c>
      <c r="AV44" s="77">
        <f>IF(F44=0,0,IF(ISBLANK(D44),0,TENSTRAT(AS44,AJ44,AH44,AK44)))</f>
        <v>4.0035899130819299</v>
      </c>
      <c r="AW44" s="221" t="s">
        <v>405</v>
      </c>
      <c r="AX44" s="70" t="str">
        <f>IF(AND(V44&lt;=Parametros!$C$87,AJ44&lt;=Parametros!$D$87),Parametros!$B$87,IF(AND(V44&lt;=Parametros!$C$88,AJ44&lt;=Parametros!$D$88),Parametros!$B$88,IF(AND(V44&lt;=Parametros!$C$89,AJ44&lt;=Parametros!$D$89),Parametros!$B$89,IF(AND(V44&lt;=Parametros!$C$90,AJ44&lt;=Parametros!$D$90),Parametros!$B$90,IF(AND(V44&lt;=Parametros!$C$91,AJ44&lt;=Parametros!$D$91),Parametros!$B$91,Parametros!$B$92)))))</f>
        <v>CI-0.60</v>
      </c>
      <c r="AY44" s="66" t="s">
        <v>403</v>
      </c>
      <c r="AZ44" s="70" t="str">
        <f t="shared" si="10"/>
        <v>CI-0.60</v>
      </c>
      <c r="BA44" s="221" t="s">
        <v>403</v>
      </c>
      <c r="BB44" s="144"/>
    </row>
    <row r="45" spans="1:54" customFormat="1" ht="15" customHeight="1" x14ac:dyDescent="0.2">
      <c r="A45" s="94">
        <v>1</v>
      </c>
      <c r="B45" s="221">
        <v>1</v>
      </c>
      <c r="C45" s="221">
        <v>0</v>
      </c>
      <c r="D45" s="222" t="s">
        <v>459</v>
      </c>
      <c r="E45" s="223" t="s">
        <v>460</v>
      </c>
      <c r="F45" s="224">
        <v>25.55</v>
      </c>
      <c r="G45" s="221"/>
      <c r="H45" s="221"/>
      <c r="I45" s="221"/>
      <c r="J45" s="221"/>
      <c r="K45" s="221"/>
      <c r="L45" s="221"/>
      <c r="M45" s="68">
        <f>Parametros!$F$44*F45/1000</f>
        <v>2.5550000000000003E-4</v>
      </c>
      <c r="N45" s="88">
        <f>SUM('A1'!F45,'A1'!G45,'A1'!H45)+M45</f>
        <v>2.5550000000000003E-4</v>
      </c>
      <c r="O45" s="88">
        <f>SUM('A1'!L45,'A1'!M45,'A1'!N45)+M45</f>
        <v>2.5550000000000003E-4</v>
      </c>
      <c r="P45" s="192"/>
      <c r="Q45" s="192"/>
      <c r="R45" s="69"/>
      <c r="S45" s="88">
        <f>'A2'!AE45</f>
        <v>0</v>
      </c>
      <c r="T45" s="71">
        <f t="shared" si="2"/>
        <v>0.9</v>
      </c>
      <c r="U45" s="71">
        <f t="shared" si="3"/>
        <v>1.1049750000000018</v>
      </c>
      <c r="V45" s="71">
        <f>IF(B45=1,IF(ISBLANK(R45),IF(P45=1,Parametros!$F$58+AJ45/1000,Parametros!$F$57+AJ45/1000),R45),IF(ISBLANK(R45),MAX('A2'!H45+Parametros!$F$64,S45,IF(P45=1,Parametros!$F$58+Parametros!$F$64+(AJ45/1000),Parametros!$F$57+Parametros!$F$64+(AJ45/1000))),MAX('A2'!H45+Parametros!$F$64,R45)))</f>
        <v>1.05</v>
      </c>
      <c r="W45" s="71">
        <f>IF(F45=0,0,IF(IF(ISBLANK(X45),0,X45)&gt;=0,IF(ISBLANK(X45),MAX(Z45-(AA45-AF45*F45),IF(P45=1,Parametros!$F$58+AJ45/1000,Parametros!$F$57+AJ45/1000)),MAX(Z45-(AA45-AF45*F45),X45)),IF(ISBLANK(X45),Z45-(AA45-AF45*F45),MAX(Z45-(AA45-AF45*F45),X45))))</f>
        <v>1.2549750000000017</v>
      </c>
      <c r="X45" s="69"/>
      <c r="Y45" s="72">
        <v>189.2</v>
      </c>
      <c r="Z45" s="72">
        <v>189.29</v>
      </c>
      <c r="AA45" s="72">
        <f t="shared" si="4"/>
        <v>188.14999999999998</v>
      </c>
      <c r="AB45" s="72">
        <f t="shared" si="5"/>
        <v>188.03502499999999</v>
      </c>
      <c r="AC45" s="72">
        <f t="shared" si="6"/>
        <v>188.29999999999998</v>
      </c>
      <c r="AD45" s="72">
        <f t="shared" si="7"/>
        <v>188.185025</v>
      </c>
      <c r="AE45" s="73">
        <f t="shared" si="8"/>
        <v>-3.5225048923680394E-3</v>
      </c>
      <c r="AF45" s="153">
        <f>IF(F45=0,0,IF(AJ45&lt;=Parametros!$C$53,Parametros!$F$53,IF(AJ45&lt;=Parametros!$C$54,Parametros!$F$54,IF(AJ45&gt;=Parametros!$C$55,Parametros!$F$55))))</f>
        <v>4.4999999999999997E-3</v>
      </c>
      <c r="AG45" s="74">
        <f>IF(F45=0,0,IF(AJ45&lt;=Parametros!$C$53,Parametros!$F$53,IF(AJ45&lt;=Parametros!$C$54,Parametros!$F$54,IF(AJ45&gt;=Parametros!$C$55,Parametros!$F$55))))</f>
        <v>4.4999999999999997E-3</v>
      </c>
      <c r="AH45" s="75">
        <f t="shared" si="9"/>
        <v>4.4999999999994888E-3</v>
      </c>
      <c r="AI45" s="66">
        <f>IF(INDEX(Parametros!$B$68:$B$82,MATCH(DN1mm(AL45,AH45,AK45,Parametros!$F$48),Parametros!$B$68:$B$82,TRUE)+1)&lt;Parametros!$F$50,Parametros!$F$50,INDEX(Parametros!$B$68:$B$82,MATCH(DN1mm(AL45,AH45,AK45,Parametros!$F$48),Parametros!$B$68:$B$82,TRUE)+1))</f>
        <v>150</v>
      </c>
      <c r="AJ45" s="76">
        <f>IF(B45=1,Parametros!$F$50,AJ44)</f>
        <v>150</v>
      </c>
      <c r="AK45" s="155">
        <f>IF(OR(F45=0,D45=0),0,VLOOKUP(AJ45,Parametros!$B$69:$E$82,4,FALSE))</f>
        <v>1.2999999999999999E-2</v>
      </c>
      <c r="AL45" s="77">
        <f>IF(OR(ISBLANK($D45),N45=0),0,IF(N45&lt;Parametros!$F$46,Parametros!$F$46,N45))</f>
        <v>1.5</v>
      </c>
      <c r="AM45" s="77">
        <f>IF(F45=0,0,IF(ISBLANK(D45),0,LAMINAABS(AL45,AJ45,AH45,AK45)))</f>
        <v>3.8838685789368825E-2</v>
      </c>
      <c r="AN45" s="172">
        <f>IF(F45=0,0,IF(ISBLANK(D45),0,LAMINAREL(AL45,AJ45,AH45,AK45)))</f>
        <v>0.25892457192912549</v>
      </c>
      <c r="AO45" s="173">
        <f>IF(OR(AND(AN45&gt;Parametros!$F$47,AJ45=100),AN45&gt;Parametros!$F$48),1,0)</f>
        <v>0</v>
      </c>
      <c r="AP45" s="77">
        <f>IF(F45=0,0,IF(ISBLANK(D45),0,TENSTRAT(AL45,AJ45,AH45,AK45)))</f>
        <v>1.000501106488606</v>
      </c>
      <c r="AQ45" s="77">
        <f>IF(F45=0,0,IF(ISBLANK(D45),0,VELOCRIT(AL45,AJ45,AH45,AK45)))</f>
        <v>2.8276933747278319</v>
      </c>
      <c r="AR45" s="77">
        <f>IF(F45=0,0,IF(ISBLANK(D45),0,VELOCID(AL45,AJ45,AH45,AK45)))</f>
        <v>0.41320488816292417</v>
      </c>
      <c r="AS45" s="77">
        <f>IF(OR(ISBLANK($D45),O45=0),0,IF(O45&lt;Parametros!$F$46,Parametros!$F$46,O45))</f>
        <v>1.5</v>
      </c>
      <c r="AT45" s="77">
        <f>IF(F45=0,0,IF(ISBLANK(D45),0,LAMINAABS(AS45,AJ45,AH45,AK45)))</f>
        <v>3.8838685789368825E-2</v>
      </c>
      <c r="AU45" s="172">
        <f>IF(F45=0,0,IF(ISBLANK(D45),0,LAMINAREL(AS45,AJ45,AH45,AK45)))</f>
        <v>0.25892457192912549</v>
      </c>
      <c r="AV45" s="77">
        <f>IF(F45=0,0,IF(ISBLANK(D45),0,TENSTRAT(AS45,AJ45,AH45,AK45)))</f>
        <v>1.000501106488606</v>
      </c>
      <c r="AW45" s="221" t="s">
        <v>460</v>
      </c>
      <c r="AX45" s="70" t="str">
        <f>IF(AND(V45&lt;=Parametros!$C$87,AJ45&lt;=Parametros!$D$87),Parametros!$B$87,IF(AND(V45&lt;=Parametros!$C$88,AJ45&lt;=Parametros!$D$88),Parametros!$B$88,IF(AND(V45&lt;=Parametros!$C$89,AJ45&lt;=Parametros!$D$89),Parametros!$B$89,IF(AND(V45&lt;=Parametros!$C$90,AJ45&lt;=Parametros!$D$90),Parametros!$B$90,IF(AND(V45&lt;=Parametros!$C$91,AJ45&lt;=Parametros!$D$91),Parametros!$B$91,Parametros!$B$92)))))</f>
        <v>CI-0.60</v>
      </c>
      <c r="AY45" s="66" t="s">
        <v>461</v>
      </c>
      <c r="AZ45" s="70" t="str">
        <f t="shared" si="10"/>
        <v>CI-0.60</v>
      </c>
      <c r="BA45" s="221" t="s">
        <v>461</v>
      </c>
      <c r="BB45" s="144"/>
    </row>
    <row r="46" spans="1:54" customFormat="1" ht="15" customHeight="1" x14ac:dyDescent="0.2">
      <c r="A46" s="94">
        <v>1</v>
      </c>
      <c r="B46" s="221">
        <v>0</v>
      </c>
      <c r="C46" s="221">
        <v>0</v>
      </c>
      <c r="D46" s="222" t="s">
        <v>459</v>
      </c>
      <c r="E46" s="223" t="s">
        <v>461</v>
      </c>
      <c r="F46" s="224">
        <v>74.569999999999993</v>
      </c>
      <c r="G46" s="221" t="s">
        <v>460</v>
      </c>
      <c r="H46" s="221"/>
      <c r="I46" s="221"/>
      <c r="J46" s="221"/>
      <c r="K46" s="221"/>
      <c r="L46" s="221"/>
      <c r="M46" s="68">
        <f>Parametros!$F$44*F46/1000</f>
        <v>7.4569999999999997E-4</v>
      </c>
      <c r="N46" s="88">
        <f>SUM('A1'!F46,'A1'!G46,'A1'!H46)+M46</f>
        <v>1.0012E-3</v>
      </c>
      <c r="O46" s="88">
        <f>SUM('A1'!L46,'A1'!M46,'A1'!N46)+M46</f>
        <v>1.0012E-3</v>
      </c>
      <c r="P46" s="192"/>
      <c r="Q46" s="192"/>
      <c r="R46" s="69"/>
      <c r="S46" s="88">
        <f>'A2'!AE46</f>
        <v>0</v>
      </c>
      <c r="T46" s="71">
        <f t="shared" si="2"/>
        <v>1.1049750000000018</v>
      </c>
      <c r="U46" s="71">
        <f t="shared" si="3"/>
        <v>1.3105400000000089</v>
      </c>
      <c r="V46" s="71">
        <f>IF(B46=1,IF(ISBLANK(R46),IF(P46=1,Parametros!$F$58+AJ46/1000,Parametros!$F$57+AJ46/1000),R46),IF(ISBLANK(R46),MAX('A2'!H46+Parametros!$F$64,S46,IF(P46=1,Parametros!$F$58+Parametros!$F$64+(AJ46/1000),Parametros!$F$57+Parametros!$F$64+(AJ46/1000))),MAX('A2'!H46+Parametros!$F$64,R46)))</f>
        <v>1.2549750000000017</v>
      </c>
      <c r="W46" s="71">
        <f>IF(F46=0,0,IF(IF(ISBLANK(X46),0,X46)&gt;=0,IF(ISBLANK(X46),MAX(Z46-(AA46-AF46*F46),IF(P46=1,Parametros!$F$58+AJ46/1000,Parametros!$F$57+AJ46/1000)),MAX(Z46-(AA46-AF46*F46),X46)),IF(ISBLANK(X46),Z46-(AA46-AF46*F46),MAX(Z46-(AA46-AF46*F46),X46))))</f>
        <v>1.4605400000000088</v>
      </c>
      <c r="X46" s="69"/>
      <c r="Y46" s="72">
        <v>189.29</v>
      </c>
      <c r="Z46" s="72">
        <v>189.16</v>
      </c>
      <c r="AA46" s="72">
        <f t="shared" si="4"/>
        <v>188.03502499999999</v>
      </c>
      <c r="AB46" s="72">
        <f t="shared" si="5"/>
        <v>187.69945999999999</v>
      </c>
      <c r="AC46" s="72">
        <f t="shared" si="6"/>
        <v>188.185025</v>
      </c>
      <c r="AD46" s="72">
        <f t="shared" si="7"/>
        <v>187.84945999999999</v>
      </c>
      <c r="AE46" s="73">
        <f t="shared" si="8"/>
        <v>1.7433284162531241E-3</v>
      </c>
      <c r="AF46" s="153">
        <f>IF(F46=0,0,IF(AJ46&lt;=Parametros!$C$53,Parametros!$F$53,IF(AJ46&lt;=Parametros!$C$54,Parametros!$F$54,IF(AJ46&gt;=Parametros!$C$55,Parametros!$F$55))))</f>
        <v>4.4999999999999997E-3</v>
      </c>
      <c r="AG46" s="74">
        <f>IF(F46=0,0,IF(AJ46&lt;=Parametros!$C$53,Parametros!$F$53,IF(AJ46&lt;=Parametros!$C$54,Parametros!$F$54,IF(AJ46&gt;=Parametros!$C$55,Parametros!$F$55))))</f>
        <v>4.4999999999999997E-3</v>
      </c>
      <c r="AH46" s="75">
        <f t="shared" si="9"/>
        <v>4.5000000000000344E-3</v>
      </c>
      <c r="AI46" s="66">
        <f>IF(INDEX(Parametros!$B$68:$B$82,MATCH(DN1mm(AL46,AH46,AK46,Parametros!$F$48),Parametros!$B$68:$B$82,TRUE)+1)&lt;Parametros!$F$50,Parametros!$F$50,INDEX(Parametros!$B$68:$B$82,MATCH(DN1mm(AL46,AH46,AK46,Parametros!$F$48),Parametros!$B$68:$B$82,TRUE)+1))</f>
        <v>150</v>
      </c>
      <c r="AJ46" s="76">
        <f>IF(B46=1,Parametros!$F$50,AJ45)</f>
        <v>150</v>
      </c>
      <c r="AK46" s="155">
        <f>IF(OR(F46=0,D46=0),0,VLOOKUP(AJ46,Parametros!$B$69:$E$82,4,FALSE))</f>
        <v>1.2999999999999999E-2</v>
      </c>
      <c r="AL46" s="77">
        <f>IF(OR(ISBLANK($D46),N46=0),0,IF(N46&lt;Parametros!$F$46,Parametros!$F$46,N46))</f>
        <v>1.5</v>
      </c>
      <c r="AM46" s="77">
        <f>IF(F46=0,0,IF(ISBLANK(D46),0,LAMINAABS(AL46,AJ46,AH46,AK46)))</f>
        <v>3.8838685789367638E-2</v>
      </c>
      <c r="AN46" s="172">
        <f>IF(F46=0,0,IF(ISBLANK(D46),0,LAMINAREL(AL46,AJ46,AH46,AK46)))</f>
        <v>0.25892457192911761</v>
      </c>
      <c r="AO46" s="173">
        <f>IF(OR(AND(AN46&gt;Parametros!$F$47,AJ46=100),AN46&gt;Parametros!$F$48),1,0)</f>
        <v>0</v>
      </c>
      <c r="AP46" s="77">
        <f>IF(F46=0,0,IF(ISBLANK(D46),0,TENSTRAT(AL46,AJ46,AH46,AK46)))</f>
        <v>1.0005011064887015</v>
      </c>
      <c r="AQ46" s="77">
        <f>IF(F46=0,0,IF(ISBLANK(D46),0,VELOCRIT(AL46,AJ46,AH46,AK46)))</f>
        <v>2.8276933747277959</v>
      </c>
      <c r="AR46" s="77">
        <f>IF(F46=0,0,IF(ISBLANK(D46),0,VELOCID(AL46,AJ46,AH46,AK46)))</f>
        <v>0.41320488816294221</v>
      </c>
      <c r="AS46" s="77">
        <f>IF(OR(ISBLANK($D46),O46=0),0,IF(O46&lt;Parametros!$F$46,Parametros!$F$46,O46))</f>
        <v>1.5</v>
      </c>
      <c r="AT46" s="77">
        <f>IF(F46=0,0,IF(ISBLANK(D46),0,LAMINAABS(AS46,AJ46,AH46,AK46)))</f>
        <v>3.8838685789367638E-2</v>
      </c>
      <c r="AU46" s="172">
        <f>IF(F46=0,0,IF(ISBLANK(D46),0,LAMINAREL(AS46,AJ46,AH46,AK46)))</f>
        <v>0.25892457192911761</v>
      </c>
      <c r="AV46" s="77">
        <f>IF(F46=0,0,IF(ISBLANK(D46),0,TENSTRAT(AS46,AJ46,AH46,AK46)))</f>
        <v>1.0005011064887015</v>
      </c>
      <c r="AW46" s="221" t="s">
        <v>461</v>
      </c>
      <c r="AX46" s="70" t="str">
        <f>IF(AND(V46&lt;=Parametros!$C$87,AJ46&lt;=Parametros!$D$87),Parametros!$B$87,IF(AND(V46&lt;=Parametros!$C$88,AJ46&lt;=Parametros!$D$88),Parametros!$B$88,IF(AND(V46&lt;=Parametros!$C$89,AJ46&lt;=Parametros!$D$89),Parametros!$B$89,IF(AND(V46&lt;=Parametros!$C$90,AJ46&lt;=Parametros!$D$90),Parametros!$B$90,IF(AND(V46&lt;=Parametros!$C$91,AJ46&lt;=Parametros!$D$91),Parametros!$B$91,Parametros!$B$92)))))</f>
        <v>CI-0.60</v>
      </c>
      <c r="AY46" s="66" t="s">
        <v>463</v>
      </c>
      <c r="AZ46" s="70" t="str">
        <f t="shared" si="10"/>
        <v>PV-0.80</v>
      </c>
      <c r="BA46" s="221" t="s">
        <v>463</v>
      </c>
      <c r="BB46" s="144"/>
    </row>
    <row r="47" spans="1:54" customFormat="1" ht="15" customHeight="1" x14ac:dyDescent="0.2">
      <c r="A47" s="94">
        <v>1</v>
      </c>
      <c r="B47" s="221">
        <v>0</v>
      </c>
      <c r="C47" s="221">
        <v>0</v>
      </c>
      <c r="D47" s="222" t="s">
        <v>459</v>
      </c>
      <c r="E47" s="223" t="s">
        <v>463</v>
      </c>
      <c r="F47" s="224">
        <v>49.45</v>
      </c>
      <c r="G47" s="221" t="s">
        <v>461</v>
      </c>
      <c r="H47" s="221"/>
      <c r="I47" s="221"/>
      <c r="J47" s="221"/>
      <c r="K47" s="221"/>
      <c r="L47" s="221"/>
      <c r="M47" s="68">
        <f>Parametros!$F$44*F47/1000</f>
        <v>4.9450000000000004E-4</v>
      </c>
      <c r="N47" s="88">
        <f>SUM('A1'!F47,'A1'!G47,'A1'!H47)+M47</f>
        <v>1.4957E-3</v>
      </c>
      <c r="O47" s="88">
        <f>SUM('A1'!L47,'A1'!M47,'A1'!N47)+M47</f>
        <v>1.4957E-3</v>
      </c>
      <c r="P47" s="192"/>
      <c r="Q47" s="192"/>
      <c r="R47" s="69"/>
      <c r="S47" s="88">
        <f>'A2'!AE47</f>
        <v>0</v>
      </c>
      <c r="T47" s="71">
        <f t="shared" si="2"/>
        <v>1.3105400000000089</v>
      </c>
      <c r="U47" s="71">
        <f t="shared" si="3"/>
        <v>1.2730650000000083</v>
      </c>
      <c r="V47" s="71">
        <f>IF(B47=1,IF(ISBLANK(R47),IF(P47=1,Parametros!$F$58+AJ47/1000,Parametros!$F$57+AJ47/1000),R47),IF(ISBLANK(R47),MAX('A2'!H47+Parametros!$F$64,S47,IF(P47=1,Parametros!$F$58+Parametros!$F$64+(AJ47/1000),Parametros!$F$57+Parametros!$F$64+(AJ47/1000))),MAX('A2'!H47+Parametros!$F$64,R47)))</f>
        <v>1.4605400000000088</v>
      </c>
      <c r="W47" s="71">
        <f>IF(F47=0,0,IF(IF(ISBLANK(X47),0,X47)&gt;=0,IF(ISBLANK(X47),MAX(Z47-(AA47-AF47*F47),IF(P47=1,Parametros!$F$58+AJ47/1000,Parametros!$F$57+AJ47/1000)),MAX(Z47-(AA47-AF47*F47),X47)),IF(ISBLANK(X47),Z47-(AA47-AF47*F47),MAX(Z47-(AA47-AF47*F47),X47))))</f>
        <v>1.4230650000000082</v>
      </c>
      <c r="X47" s="69"/>
      <c r="Y47" s="72">
        <v>189.16</v>
      </c>
      <c r="Z47" s="72">
        <v>188.9</v>
      </c>
      <c r="AA47" s="72">
        <f t="shared" si="4"/>
        <v>187.69945999999999</v>
      </c>
      <c r="AB47" s="72">
        <f t="shared" si="5"/>
        <v>187.476935</v>
      </c>
      <c r="AC47" s="72">
        <f t="shared" si="6"/>
        <v>187.84945999999999</v>
      </c>
      <c r="AD47" s="72">
        <f t="shared" si="7"/>
        <v>187.626935</v>
      </c>
      <c r="AE47" s="73">
        <f t="shared" si="8"/>
        <v>5.2578361981797956E-3</v>
      </c>
      <c r="AF47" s="153">
        <f>IF(F47=0,0,IF(AJ47&lt;=Parametros!$C$53,Parametros!$F$53,IF(AJ47&lt;=Parametros!$C$54,Parametros!$F$54,IF(AJ47&gt;=Parametros!$C$55,Parametros!$F$55))))</f>
        <v>4.4999999999999997E-3</v>
      </c>
      <c r="AG47" s="74">
        <f>IF(F47=0,0,IF(AJ47&lt;=Parametros!$C$53,Parametros!$F$53,IF(AJ47&lt;=Parametros!$C$54,Parametros!$F$54,IF(AJ47&gt;=Parametros!$C$55,Parametros!$F$55))))</f>
        <v>4.4999999999999997E-3</v>
      </c>
      <c r="AH47" s="75">
        <f t="shared" si="9"/>
        <v>4.4999999999998036E-3</v>
      </c>
      <c r="AI47" s="66">
        <f>IF(INDEX(Parametros!$B$68:$B$82,MATCH(DN1mm(AL47,AH47,AK47,Parametros!$F$48),Parametros!$B$68:$B$82,TRUE)+1)&lt;Parametros!$F$50,Parametros!$F$50,INDEX(Parametros!$B$68:$B$82,MATCH(DN1mm(AL47,AH47,AK47,Parametros!$F$48),Parametros!$B$68:$B$82,TRUE)+1))</f>
        <v>150</v>
      </c>
      <c r="AJ47" s="76">
        <f>IF(B47=1,Parametros!$F$50,AJ46)</f>
        <v>150</v>
      </c>
      <c r="AK47" s="155">
        <f>IF(OR(F47=0,D47=0),0,VLOOKUP(AJ47,Parametros!$B$69:$E$82,4,FALSE))</f>
        <v>1.2999999999999999E-2</v>
      </c>
      <c r="AL47" s="77">
        <f>IF(OR(ISBLANK($D47),N47=0),0,IF(N47&lt;Parametros!$F$46,Parametros!$F$46,N47))</f>
        <v>1.5</v>
      </c>
      <c r="AM47" s="77">
        <f>IF(F47=0,0,IF(ISBLANK(D47),0,LAMINAABS(AL47,AJ47,AH47,AK47)))</f>
        <v>3.8838685789368131E-2</v>
      </c>
      <c r="AN47" s="172">
        <f>IF(F47=0,0,IF(ISBLANK(D47),0,LAMINAREL(AL47,AJ47,AH47,AK47)))</f>
        <v>0.25892457192912088</v>
      </c>
      <c r="AO47" s="173">
        <f>IF(OR(AND(AN47&gt;Parametros!$F$47,AJ47=100),AN47&gt;Parametros!$F$48),1,0)</f>
        <v>0</v>
      </c>
      <c r="AP47" s="77">
        <f>IF(F47=0,0,IF(ISBLANK(D47),0,TENSTRAT(AL47,AJ47,AH47,AK47)))</f>
        <v>1.0005011064886611</v>
      </c>
      <c r="AQ47" s="77">
        <f>IF(F47=0,0,IF(ISBLANK(D47),0,VELOCRIT(AL47,AJ47,AH47,AK47)))</f>
        <v>2.8276933747278106</v>
      </c>
      <c r="AR47" s="77">
        <f>IF(F47=0,0,IF(ISBLANK(D47),0,VELOCID(AL47,AJ47,AH47,AK47)))</f>
        <v>0.4132048881629346</v>
      </c>
      <c r="AS47" s="77">
        <f>IF(OR(ISBLANK($D47),O47=0),0,IF(O47&lt;Parametros!$F$46,Parametros!$F$46,O47))</f>
        <v>1.5</v>
      </c>
      <c r="AT47" s="77">
        <f>IF(F47=0,0,IF(ISBLANK(D47),0,LAMINAABS(AS47,AJ47,AH47,AK47)))</f>
        <v>3.8838685789368131E-2</v>
      </c>
      <c r="AU47" s="172">
        <f>IF(F47=0,0,IF(ISBLANK(D47),0,LAMINAREL(AS47,AJ47,AH47,AK47)))</f>
        <v>0.25892457192912088</v>
      </c>
      <c r="AV47" s="77">
        <f>IF(F47=0,0,IF(ISBLANK(D47),0,TENSTRAT(AS47,AJ47,AH47,AK47)))</f>
        <v>1.0005011064886611</v>
      </c>
      <c r="AW47" s="221" t="s">
        <v>463</v>
      </c>
      <c r="AX47" s="70" t="str">
        <f>IF(AND(V47&lt;=Parametros!$C$87,AJ47&lt;=Parametros!$D$87),Parametros!$B$87,IF(AND(V47&lt;=Parametros!$C$88,AJ47&lt;=Parametros!$D$88),Parametros!$B$88,IF(AND(V47&lt;=Parametros!$C$89,AJ47&lt;=Parametros!$D$89),Parametros!$B$89,IF(AND(V47&lt;=Parametros!$C$90,AJ47&lt;=Parametros!$D$90),Parametros!$B$90,IF(AND(V47&lt;=Parametros!$C$91,AJ47&lt;=Parametros!$D$91),Parametros!$B$91,Parametros!$B$92)))))</f>
        <v>PV-0.80</v>
      </c>
      <c r="AY47" s="66" t="s">
        <v>465</v>
      </c>
      <c r="AZ47" s="70" t="str">
        <f t="shared" si="10"/>
        <v>PV-0.80</v>
      </c>
      <c r="BA47" s="221" t="s">
        <v>465</v>
      </c>
      <c r="BB47" s="144"/>
    </row>
    <row r="48" spans="1:54" customFormat="1" ht="15" customHeight="1" x14ac:dyDescent="0.2">
      <c r="A48" s="94">
        <v>1</v>
      </c>
      <c r="B48" s="221">
        <v>0</v>
      </c>
      <c r="C48" s="221">
        <v>0</v>
      </c>
      <c r="D48" s="222" t="s">
        <v>459</v>
      </c>
      <c r="E48" s="223" t="s">
        <v>465</v>
      </c>
      <c r="F48" s="224">
        <v>61.83</v>
      </c>
      <c r="G48" s="221" t="s">
        <v>463</v>
      </c>
      <c r="H48" s="221"/>
      <c r="I48" s="221"/>
      <c r="J48" s="221"/>
      <c r="K48" s="221"/>
      <c r="L48" s="221"/>
      <c r="M48" s="68">
        <f>Parametros!$F$44*F48/1000</f>
        <v>6.1830000000000001E-4</v>
      </c>
      <c r="N48" s="88">
        <f>SUM('A1'!F48,'A1'!G48,'A1'!H48)+M48</f>
        <v>2.114E-3</v>
      </c>
      <c r="O48" s="88">
        <f>SUM('A1'!L48,'A1'!M48,'A1'!N48)+M48</f>
        <v>2.114E-3</v>
      </c>
      <c r="P48" s="192"/>
      <c r="Q48" s="192"/>
      <c r="R48" s="69"/>
      <c r="S48" s="88">
        <f>'A2'!AE48</f>
        <v>0</v>
      </c>
      <c r="T48" s="71">
        <f t="shared" si="2"/>
        <v>1.2730650000000083</v>
      </c>
      <c r="U48" s="71">
        <f t="shared" si="3"/>
        <v>0.9</v>
      </c>
      <c r="V48" s="71">
        <f>IF(B48=1,IF(ISBLANK(R48),IF(P48=1,Parametros!$F$58+AJ48/1000,Parametros!$F$57+AJ48/1000),R48),IF(ISBLANK(R48),MAX('A2'!H48+Parametros!$F$64,S48,IF(P48=1,Parametros!$F$58+Parametros!$F$64+(AJ48/1000),Parametros!$F$57+Parametros!$F$64+(AJ48/1000))),MAX('A2'!H48+Parametros!$F$64,R48)))</f>
        <v>1.4230650000000082</v>
      </c>
      <c r="W48" s="71">
        <f>IF(F48=0,0,IF(IF(ISBLANK(X48),0,X48)&gt;=0,IF(ISBLANK(X48),MAX(Z48-(AA48-AF48*F48),IF(P48=1,Parametros!$F$58+AJ48/1000,Parametros!$F$57+AJ48/1000)),MAX(Z48-(AA48-AF48*F48),X48)),IF(ISBLANK(X48),Z48-(AA48-AF48*F48),MAX(Z48-(AA48-AF48*F48),X48))))</f>
        <v>1.05</v>
      </c>
      <c r="X48" s="69"/>
      <c r="Y48" s="72">
        <v>188.9</v>
      </c>
      <c r="Z48" s="72">
        <v>187.71</v>
      </c>
      <c r="AA48" s="72">
        <f t="shared" si="4"/>
        <v>187.476935</v>
      </c>
      <c r="AB48" s="72">
        <f t="shared" si="5"/>
        <v>186.66</v>
      </c>
      <c r="AC48" s="72">
        <f t="shared" si="6"/>
        <v>187.626935</v>
      </c>
      <c r="AD48" s="72">
        <f t="shared" si="7"/>
        <v>186.81</v>
      </c>
      <c r="AE48" s="73">
        <f t="shared" si="8"/>
        <v>1.9246320556364188E-2</v>
      </c>
      <c r="AF48" s="153">
        <f>IF(F48=0,0,IF(AJ48&lt;=Parametros!$C$53,Parametros!$F$53,IF(AJ48&lt;=Parametros!$C$54,Parametros!$F$54,IF(AJ48&gt;=Parametros!$C$55,Parametros!$F$55))))</f>
        <v>4.4999999999999997E-3</v>
      </c>
      <c r="AG48" s="74">
        <f>IF(F48=0,0,IF(AJ48&lt;=Parametros!$C$53,Parametros!$F$53,IF(AJ48&lt;=Parametros!$C$54,Parametros!$F$54,IF(AJ48&gt;=Parametros!$C$55,Parametros!$F$55))))</f>
        <v>4.4999999999999997E-3</v>
      </c>
      <c r="AH48" s="75">
        <f t="shared" si="9"/>
        <v>1.3212599061944054E-2</v>
      </c>
      <c r="AI48" s="66">
        <f>IF(INDEX(Parametros!$B$68:$B$82,MATCH(DN1mm(AL48,AH48,AK48,Parametros!$F$48),Parametros!$B$68:$B$82,TRUE)+1)&lt;Parametros!$F$50,Parametros!$F$50,INDEX(Parametros!$B$68:$B$82,MATCH(DN1mm(AL48,AH48,AK48,Parametros!$F$48),Parametros!$B$68:$B$82,TRUE)+1))</f>
        <v>150</v>
      </c>
      <c r="AJ48" s="76">
        <f>IF(B48=1,Parametros!$F$50,AJ47)</f>
        <v>150</v>
      </c>
      <c r="AK48" s="155">
        <f>IF(OR(F48=0,D48=0),0,VLOOKUP(AJ48,Parametros!$B$69:$E$82,4,FALSE))</f>
        <v>1.2999999999999999E-2</v>
      </c>
      <c r="AL48" s="77">
        <f>IF(OR(ISBLANK($D48),N48=0),0,IF(N48&lt;Parametros!$F$46,Parametros!$F$46,N48))</f>
        <v>1.5</v>
      </c>
      <c r="AM48" s="77">
        <f>IF(F48=0,0,IF(ISBLANK(D48),0,LAMINAABS(AL48,AJ48,AH48,AK48)))</f>
        <v>2.967962211456749E-2</v>
      </c>
      <c r="AN48" s="172">
        <f>IF(F48=0,0,IF(ISBLANK(D48),0,LAMINAREL(AL48,AJ48,AH48,AK48)))</f>
        <v>0.19786414743044994</v>
      </c>
      <c r="AO48" s="173">
        <f>IF(OR(AND(AN48&gt;Parametros!$F$47,AJ48=100),AN48&gt;Parametros!$F$48),1,0)</f>
        <v>0</v>
      </c>
      <c r="AP48" s="77">
        <f>IF(F48=0,0,IF(ISBLANK(D48),0,TENSTRAT(AL48,AJ48,AH48,AK48)))</f>
        <v>2.3222239592957572</v>
      </c>
      <c r="AQ48" s="77">
        <f>IF(F48=0,0,IF(ISBLANK(D48),0,VELOCRIT(AL48,AJ48,AH48,AK48)))</f>
        <v>2.5141298654251942</v>
      </c>
      <c r="AR48" s="77">
        <f>IF(F48=0,0,IF(ISBLANK(D48),0,VELOCID(AL48,AJ48,AH48,AK48)))</f>
        <v>0.60532755334649913</v>
      </c>
      <c r="AS48" s="77">
        <f>IF(OR(ISBLANK($D48),O48=0),0,IF(O48&lt;Parametros!$F$46,Parametros!$F$46,O48))</f>
        <v>1.5</v>
      </c>
      <c r="AT48" s="77">
        <f>IF(F48=0,0,IF(ISBLANK(D48),0,LAMINAABS(AS48,AJ48,AH48,AK48)))</f>
        <v>2.967962211456749E-2</v>
      </c>
      <c r="AU48" s="172">
        <f>IF(F48=0,0,IF(ISBLANK(D48),0,LAMINAREL(AS48,AJ48,AH48,AK48)))</f>
        <v>0.19786414743044994</v>
      </c>
      <c r="AV48" s="77">
        <f>IF(F48=0,0,IF(ISBLANK(D48),0,TENSTRAT(AS48,AJ48,AH48,AK48)))</f>
        <v>2.3222239592957572</v>
      </c>
      <c r="AW48" s="221" t="s">
        <v>465</v>
      </c>
      <c r="AX48" s="70" t="str">
        <f>IF(AND(V48&lt;=Parametros!$C$87,AJ48&lt;=Parametros!$D$87),Parametros!$B$87,IF(AND(V48&lt;=Parametros!$C$88,AJ48&lt;=Parametros!$D$88),Parametros!$B$88,IF(AND(V48&lt;=Parametros!$C$89,AJ48&lt;=Parametros!$D$89),Parametros!$B$89,IF(AND(V48&lt;=Parametros!$C$90,AJ48&lt;=Parametros!$D$90),Parametros!$B$90,IF(AND(V48&lt;=Parametros!$C$91,AJ48&lt;=Parametros!$D$91),Parametros!$B$91,Parametros!$B$92)))))</f>
        <v>PV-0.80</v>
      </c>
      <c r="AY48" s="66" t="s">
        <v>450</v>
      </c>
      <c r="AZ48" s="70" t="str">
        <f t="shared" si="10"/>
        <v>CI-0.60</v>
      </c>
      <c r="BA48" s="221" t="s">
        <v>450</v>
      </c>
      <c r="BB48" s="144"/>
    </row>
    <row r="49" spans="1:54" customFormat="1" ht="15" customHeight="1" x14ac:dyDescent="0.2">
      <c r="A49" s="94">
        <v>1</v>
      </c>
      <c r="B49" s="221">
        <v>0</v>
      </c>
      <c r="C49" s="221">
        <v>1</v>
      </c>
      <c r="D49" s="222" t="s">
        <v>459</v>
      </c>
      <c r="E49" s="223" t="s">
        <v>450</v>
      </c>
      <c r="F49" s="224">
        <v>58.97</v>
      </c>
      <c r="G49" s="221" t="s">
        <v>465</v>
      </c>
      <c r="H49" s="221"/>
      <c r="I49" s="221"/>
      <c r="J49" s="221"/>
      <c r="K49" s="221"/>
      <c r="L49" s="221"/>
      <c r="M49" s="68">
        <f>Parametros!$F$44*F49/1000</f>
        <v>5.8969999999999997E-4</v>
      </c>
      <c r="N49" s="88">
        <f>SUM('A1'!F49,'A1'!G49,'A1'!H49)+M49</f>
        <v>2.7036999999999999E-3</v>
      </c>
      <c r="O49" s="88">
        <f>SUM('A1'!L49,'A1'!M49,'A1'!N49)+M49</f>
        <v>2.7036999999999999E-3</v>
      </c>
      <c r="P49" s="192"/>
      <c r="Q49" s="192"/>
      <c r="R49" s="69"/>
      <c r="S49" s="88">
        <f>'A2'!AE49</f>
        <v>0</v>
      </c>
      <c r="T49" s="71">
        <f t="shared" si="2"/>
        <v>0.9</v>
      </c>
      <c r="U49" s="71">
        <f t="shared" si="3"/>
        <v>1.6953650000000153</v>
      </c>
      <c r="V49" s="71">
        <f>IF(B49=1,IF(ISBLANK(R49),IF(P49=1,Parametros!$F$58+AJ49/1000,Parametros!$F$57+AJ49/1000),R49),IF(ISBLANK(R49),MAX('A2'!H49+Parametros!$F$64,S49,IF(P49=1,Parametros!$F$58+Parametros!$F$64+(AJ49/1000),Parametros!$F$57+Parametros!$F$64+(AJ49/1000))),MAX('A2'!H49+Parametros!$F$64,R49)))</f>
        <v>1.05</v>
      </c>
      <c r="W49" s="71">
        <f>IF(F49=0,0,IF(IF(ISBLANK(X49),0,X49)&gt;=0,IF(ISBLANK(X49),MAX(Z49-(AA49-AF49*F49),IF(P49=1,Parametros!$F$58+AJ49/1000,Parametros!$F$57+AJ49/1000)),MAX(Z49-(AA49-AF49*F49),X49)),IF(ISBLANK(X49),Z49-(AA49-AF49*F49),MAX(Z49-(AA49-AF49*F49),X49))))</f>
        <v>1.8453650000000152</v>
      </c>
      <c r="X49" s="69"/>
      <c r="Y49" s="72">
        <v>187.71</v>
      </c>
      <c r="Z49" s="72">
        <v>188.24</v>
      </c>
      <c r="AA49" s="72">
        <f t="shared" si="4"/>
        <v>186.66</v>
      </c>
      <c r="AB49" s="72">
        <f t="shared" si="5"/>
        <v>186.39463499999999</v>
      </c>
      <c r="AC49" s="72">
        <f t="shared" si="6"/>
        <v>186.81</v>
      </c>
      <c r="AD49" s="72">
        <f t="shared" si="7"/>
        <v>186.544635</v>
      </c>
      <c r="AE49" s="73">
        <f t="shared" si="8"/>
        <v>-8.9876208241478905E-3</v>
      </c>
      <c r="AF49" s="153">
        <f>IF(F49=0,0,IF(AJ49&lt;=Parametros!$C$53,Parametros!$F$53,IF(AJ49&lt;=Parametros!$C$54,Parametros!$F$54,IF(AJ49&gt;=Parametros!$C$55,Parametros!$F$55))))</f>
        <v>4.4999999999999997E-3</v>
      </c>
      <c r="AG49" s="74">
        <f>IF(F49=0,0,IF(AJ49&lt;=Parametros!$C$53,Parametros!$F$53,IF(AJ49&lt;=Parametros!$C$54,Parametros!$F$54,IF(AJ49&gt;=Parametros!$C$55,Parametros!$F$55))))</f>
        <v>4.4999999999999997E-3</v>
      </c>
      <c r="AH49" s="75">
        <f t="shared" si="9"/>
        <v>4.5000000000000465E-3</v>
      </c>
      <c r="AI49" s="66">
        <f>IF(INDEX(Parametros!$B$68:$B$82,MATCH(DN1mm(AL49,AH49,AK49,Parametros!$F$48),Parametros!$B$68:$B$82,TRUE)+1)&lt;Parametros!$F$50,Parametros!$F$50,INDEX(Parametros!$B$68:$B$82,MATCH(DN1mm(AL49,AH49,AK49,Parametros!$F$48),Parametros!$B$68:$B$82,TRUE)+1))</f>
        <v>150</v>
      </c>
      <c r="AJ49" s="76">
        <f>IF(B49=1,Parametros!$F$50,AJ48)</f>
        <v>150</v>
      </c>
      <c r="AK49" s="155">
        <f>IF(OR(F49=0,D49=0),0,VLOOKUP(AJ49,Parametros!$B$69:$E$82,4,FALSE))</f>
        <v>1.2999999999999999E-2</v>
      </c>
      <c r="AL49" s="77">
        <f>IF(OR(ISBLANK($D49),N49=0),0,IF(N49&lt;Parametros!$F$46,Parametros!$F$46,N49))</f>
        <v>1.5</v>
      </c>
      <c r="AM49" s="77">
        <f>IF(F49=0,0,IF(ISBLANK(D49),0,LAMINAABS(AL49,AJ49,AH49,AK49)))</f>
        <v>3.8838685789367618E-2</v>
      </c>
      <c r="AN49" s="172">
        <f>IF(F49=0,0,IF(ISBLANK(D49),0,LAMINAREL(AL49,AJ49,AH49,AK49)))</f>
        <v>0.25892457192911744</v>
      </c>
      <c r="AO49" s="173">
        <f>IF(OR(AND(AN49&gt;Parametros!$F$47,AJ49=100),AN49&gt;Parametros!$F$48),1,0)</f>
        <v>0</v>
      </c>
      <c r="AP49" s="77">
        <f>IF(F49=0,0,IF(ISBLANK(D49),0,TENSTRAT(AL49,AJ49,AH49,AK49)))</f>
        <v>1.0005011064887035</v>
      </c>
      <c r="AQ49" s="77">
        <f>IF(F49=0,0,IF(ISBLANK(D49),0,VELOCRIT(AL49,AJ49,AH49,AK49)))</f>
        <v>2.8276933747277946</v>
      </c>
      <c r="AR49" s="77">
        <f>IF(F49=0,0,IF(ISBLANK(D49),0,VELOCID(AL49,AJ49,AH49,AK49)))</f>
        <v>0.4132048881629426</v>
      </c>
      <c r="AS49" s="77">
        <f>IF(OR(ISBLANK($D49),O49=0),0,IF(O49&lt;Parametros!$F$46,Parametros!$F$46,O49))</f>
        <v>1.5</v>
      </c>
      <c r="AT49" s="77">
        <f>IF(F49=0,0,IF(ISBLANK(D49),0,LAMINAABS(AS49,AJ49,AH49,AK49)))</f>
        <v>3.8838685789367618E-2</v>
      </c>
      <c r="AU49" s="172">
        <f>IF(F49=0,0,IF(ISBLANK(D49),0,LAMINAREL(AS49,AJ49,AH49,AK49)))</f>
        <v>0.25892457192911744</v>
      </c>
      <c r="AV49" s="77">
        <f>IF(F49=0,0,IF(ISBLANK(D49),0,TENSTRAT(AS49,AJ49,AH49,AK49)))</f>
        <v>1.0005011064887035</v>
      </c>
      <c r="AW49" s="221" t="s">
        <v>450</v>
      </c>
      <c r="AX49" s="70" t="str">
        <f>IF(AND(V49&lt;=Parametros!$C$87,AJ49&lt;=Parametros!$D$87),Parametros!$B$87,IF(AND(V49&lt;=Parametros!$C$88,AJ49&lt;=Parametros!$D$88),Parametros!$B$88,IF(AND(V49&lt;=Parametros!$C$89,AJ49&lt;=Parametros!$D$89),Parametros!$B$89,IF(AND(V49&lt;=Parametros!$C$90,AJ49&lt;=Parametros!$D$90),Parametros!$B$90,IF(AND(V49&lt;=Parametros!$C$91,AJ49&lt;=Parametros!$D$91),Parametros!$B$91,Parametros!$B$92)))))</f>
        <v>CI-0.60</v>
      </c>
      <c r="AY49" s="66" t="s">
        <v>448</v>
      </c>
      <c r="AZ49" s="70" t="str">
        <f t="shared" si="10"/>
        <v>PV-1.00</v>
      </c>
      <c r="BA49" s="221" t="s">
        <v>448</v>
      </c>
      <c r="BB49" s="144"/>
    </row>
    <row r="50" spans="1:54" customFormat="1" ht="15" customHeight="1" x14ac:dyDescent="0.2">
      <c r="A50" s="94">
        <v>1</v>
      </c>
      <c r="B50" s="221">
        <v>1</v>
      </c>
      <c r="C50" s="221">
        <v>1</v>
      </c>
      <c r="D50" s="222" t="s">
        <v>469</v>
      </c>
      <c r="E50" s="223" t="s">
        <v>409</v>
      </c>
      <c r="F50" s="224">
        <v>58.65</v>
      </c>
      <c r="G50" s="221"/>
      <c r="H50" s="221"/>
      <c r="I50" s="221"/>
      <c r="J50" s="221"/>
      <c r="K50" s="221"/>
      <c r="L50" s="221"/>
      <c r="M50" s="68">
        <f>Parametros!$F$44*F50/1000</f>
        <v>5.865E-4</v>
      </c>
      <c r="N50" s="88">
        <f>SUM('A1'!F50,'A1'!G50,'A1'!H50)+M50</f>
        <v>5.865E-4</v>
      </c>
      <c r="O50" s="88">
        <f>SUM('A1'!L50,'A1'!M50,'A1'!N50)+M50</f>
        <v>5.865E-4</v>
      </c>
      <c r="P50" s="192"/>
      <c r="Q50" s="192"/>
      <c r="R50" s="69"/>
      <c r="S50" s="88">
        <f>'A2'!AE50</f>
        <v>0</v>
      </c>
      <c r="T50" s="71">
        <f t="shared" si="2"/>
        <v>0.9</v>
      </c>
      <c r="U50" s="71">
        <f t="shared" si="3"/>
        <v>0.9639249999999947</v>
      </c>
      <c r="V50" s="71">
        <f>IF(B50=1,IF(ISBLANK(R50),IF(P50=1,Parametros!$F$58+AJ50/1000,Parametros!$F$57+AJ50/1000),R50),IF(ISBLANK(R50),MAX('A2'!H50+Parametros!$F$64,S50,IF(P50=1,Parametros!$F$58+Parametros!$F$64+(AJ50/1000),Parametros!$F$57+Parametros!$F$64+(AJ50/1000))),MAX('A2'!H50+Parametros!$F$64,R50)))</f>
        <v>1.05</v>
      </c>
      <c r="W50" s="71">
        <f>IF(F50=0,0,IF(IF(ISBLANK(X50),0,X50)&gt;=0,IF(ISBLANK(X50),MAX(Z50-(AA50-AF50*F50),IF(P50=1,Parametros!$F$58+AJ50/1000,Parametros!$F$57+AJ50/1000)),MAX(Z50-(AA50-AF50*F50),X50)),IF(ISBLANK(X50),Z50-(AA50-AF50*F50),MAX(Z50-(AA50-AF50*F50),X50))))</f>
        <v>1.1139249999999947</v>
      </c>
      <c r="X50" s="69"/>
      <c r="Y50" s="72">
        <v>181.18</v>
      </c>
      <c r="Z50" s="72">
        <v>180.98</v>
      </c>
      <c r="AA50" s="72">
        <f t="shared" si="4"/>
        <v>180.13</v>
      </c>
      <c r="AB50" s="72">
        <f t="shared" si="5"/>
        <v>179.866075</v>
      </c>
      <c r="AC50" s="72">
        <f t="shared" si="6"/>
        <v>180.28</v>
      </c>
      <c r="AD50" s="72">
        <f t="shared" si="7"/>
        <v>180.016075</v>
      </c>
      <c r="AE50" s="73">
        <f t="shared" si="8"/>
        <v>3.4100596760446218E-3</v>
      </c>
      <c r="AF50" s="153">
        <f>IF(F50=0,0,IF(AJ50&lt;=Parametros!$C$53,Parametros!$F$53,IF(AJ50&lt;=Parametros!$C$54,Parametros!$F$54,IF(AJ50&gt;=Parametros!$C$55,Parametros!$F$55))))</f>
        <v>4.4999999999999997E-3</v>
      </c>
      <c r="AG50" s="74">
        <f>IF(F50=0,0,IF(AJ50&lt;=Parametros!$C$53,Parametros!$F$53,IF(AJ50&lt;=Parametros!$C$54,Parametros!$F$54,IF(AJ50&gt;=Parametros!$C$55,Parametros!$F$55))))</f>
        <v>4.4999999999999997E-3</v>
      </c>
      <c r="AH50" s="75">
        <f t="shared" si="9"/>
        <v>4.5000000000000075E-3</v>
      </c>
      <c r="AI50" s="66">
        <f>IF(INDEX(Parametros!$B$68:$B$82,MATCH(DN1mm(AL50,AH50,AK50,Parametros!$F$48),Parametros!$B$68:$B$82,TRUE)+1)&lt;Parametros!$F$50,Parametros!$F$50,INDEX(Parametros!$B$68:$B$82,MATCH(DN1mm(AL50,AH50,AK50,Parametros!$F$48),Parametros!$B$68:$B$82,TRUE)+1))</f>
        <v>150</v>
      </c>
      <c r="AJ50" s="76">
        <f>IF(B50=1,Parametros!$F$50,AJ49)</f>
        <v>150</v>
      </c>
      <c r="AK50" s="155">
        <f>IF(OR(F50=0,D50=0),0,VLOOKUP(AJ50,Parametros!$B$69:$E$82,4,FALSE))</f>
        <v>1.2999999999999999E-2</v>
      </c>
      <c r="AL50" s="77">
        <f>IF(OR(ISBLANK($D50),N50=0),0,IF(N50&lt;Parametros!$F$46,Parametros!$F$46,N50))</f>
        <v>1.5</v>
      </c>
      <c r="AM50" s="77">
        <f>IF(F50=0,0,IF(ISBLANK(D50),0,LAMINAABS(AL50,AJ50,AH50,AK50)))</f>
        <v>3.8838685789367701E-2</v>
      </c>
      <c r="AN50" s="172">
        <f>IF(F50=0,0,IF(ISBLANK(D50),0,LAMINAREL(AL50,AJ50,AH50,AK50)))</f>
        <v>0.258924571929118</v>
      </c>
      <c r="AO50" s="173">
        <f>IF(OR(AND(AN50&gt;Parametros!$F$47,AJ50=100),AN50&gt;Parametros!$F$48),1,0)</f>
        <v>0</v>
      </c>
      <c r="AP50" s="77">
        <f>IF(F50=0,0,IF(ISBLANK(D50),0,TENSTRAT(AL50,AJ50,AH50,AK50)))</f>
        <v>1.0005011064886966</v>
      </c>
      <c r="AQ50" s="77">
        <f>IF(F50=0,0,IF(ISBLANK(D50),0,VELOCRIT(AL50,AJ50,AH50,AK50)))</f>
        <v>2.8276933747277972</v>
      </c>
      <c r="AR50" s="77">
        <f>IF(F50=0,0,IF(ISBLANK(D50),0,VELOCID(AL50,AJ50,AH50,AK50)))</f>
        <v>0.41320488816294132</v>
      </c>
      <c r="AS50" s="77">
        <f>IF(OR(ISBLANK($D50),O50=0),0,IF(O50&lt;Parametros!$F$46,Parametros!$F$46,O50))</f>
        <v>1.5</v>
      </c>
      <c r="AT50" s="77">
        <f>IF(F50=0,0,IF(ISBLANK(D50),0,LAMINAABS(AS50,AJ50,AH50,AK50)))</f>
        <v>3.8838685789367701E-2</v>
      </c>
      <c r="AU50" s="172">
        <f>IF(F50=0,0,IF(ISBLANK(D50),0,LAMINAREL(AS50,AJ50,AH50,AK50)))</f>
        <v>0.258924571929118</v>
      </c>
      <c r="AV50" s="77">
        <f>IF(F50=0,0,IF(ISBLANK(D50),0,TENSTRAT(AS50,AJ50,AH50,AK50)))</f>
        <v>1.0005011064886966</v>
      </c>
      <c r="AW50" s="221" t="s">
        <v>409</v>
      </c>
      <c r="AX50" s="70" t="str">
        <f>IF(AND(V50&lt;=Parametros!$C$87,AJ50&lt;=Parametros!$D$87),Parametros!$B$87,IF(AND(V50&lt;=Parametros!$C$88,AJ50&lt;=Parametros!$D$88),Parametros!$B$88,IF(AND(V50&lt;=Parametros!$C$89,AJ50&lt;=Parametros!$D$89),Parametros!$B$89,IF(AND(V50&lt;=Parametros!$C$90,AJ50&lt;=Parametros!$D$90),Parametros!$B$90,IF(AND(V50&lt;=Parametros!$C$91,AJ50&lt;=Parametros!$D$91),Parametros!$B$91,Parametros!$B$92)))))</f>
        <v>CI-0.60</v>
      </c>
      <c r="AY50" s="66" t="s">
        <v>407</v>
      </c>
      <c r="AZ50" s="70" t="str">
        <f t="shared" si="10"/>
        <v>CI-0.60</v>
      </c>
      <c r="BA50" s="221" t="s">
        <v>407</v>
      </c>
      <c r="BB50" s="144"/>
    </row>
    <row r="51" spans="1:54" customFormat="1" ht="15" customHeight="1" x14ac:dyDescent="0.2"/>
    <row r="52" spans="1:54" customFormat="1" ht="15" customHeight="1" x14ac:dyDescent="0.2"/>
    <row r="53" spans="1:54" customFormat="1" ht="15" customHeight="1" x14ac:dyDescent="0.2"/>
    <row r="54" spans="1:54" customFormat="1" ht="15" customHeight="1" x14ac:dyDescent="0.2"/>
    <row r="55" spans="1:54" customFormat="1" ht="15" customHeight="1" x14ac:dyDescent="0.2"/>
    <row r="56" spans="1:54" customFormat="1" ht="15" customHeight="1" x14ac:dyDescent="0.2"/>
    <row r="57" spans="1:54" customFormat="1" ht="15" customHeight="1" x14ac:dyDescent="0.2"/>
    <row r="58" spans="1:54" customFormat="1" ht="15" customHeight="1" x14ac:dyDescent="0.2"/>
    <row r="59" spans="1:54" customFormat="1" ht="15" customHeight="1" x14ac:dyDescent="0.2"/>
    <row r="60" spans="1:54" customFormat="1" ht="15" customHeight="1" x14ac:dyDescent="0.2"/>
    <row r="61" spans="1:54" customFormat="1" ht="15" customHeight="1" x14ac:dyDescent="0.2"/>
    <row r="62" spans="1:54" customFormat="1" ht="15" customHeight="1" x14ac:dyDescent="0.2"/>
    <row r="63" spans="1:54" customFormat="1" ht="15" customHeight="1" x14ac:dyDescent="0.2"/>
    <row r="64" spans="1:54" customFormat="1" ht="15" customHeight="1" x14ac:dyDescent="0.2"/>
    <row r="65" customFormat="1" ht="15" customHeight="1" x14ac:dyDescent="0.2"/>
    <row r="66" customFormat="1" ht="15" customHeight="1" x14ac:dyDescent="0.2"/>
    <row r="67" customFormat="1" ht="15" customHeight="1" x14ac:dyDescent="0.2"/>
    <row r="68" customFormat="1" ht="15" customHeight="1" x14ac:dyDescent="0.2"/>
    <row r="69" customFormat="1" ht="15" customHeight="1" x14ac:dyDescent="0.2"/>
    <row r="70" customFormat="1" ht="15" customHeight="1" x14ac:dyDescent="0.2"/>
    <row r="71" customFormat="1" ht="15" customHeight="1" x14ac:dyDescent="0.2"/>
    <row r="72" customFormat="1" ht="15" customHeight="1" x14ac:dyDescent="0.2"/>
    <row r="73" customFormat="1" ht="15" customHeight="1" x14ac:dyDescent="0.2"/>
    <row r="74" customFormat="1" ht="15" customHeight="1" x14ac:dyDescent="0.2"/>
    <row r="75" customFormat="1" ht="15" customHeight="1" x14ac:dyDescent="0.2"/>
    <row r="76" customFormat="1" ht="15" customHeight="1" x14ac:dyDescent="0.2"/>
    <row r="77" customFormat="1" ht="15" customHeight="1" x14ac:dyDescent="0.2"/>
    <row r="78" customFormat="1" ht="15" customHeight="1" x14ac:dyDescent="0.2"/>
    <row r="79" customFormat="1" ht="15" customHeight="1" x14ac:dyDescent="0.2"/>
    <row r="80" customFormat="1" ht="15" customHeight="1" x14ac:dyDescent="0.2"/>
    <row r="81" customFormat="1" ht="15" customHeight="1" x14ac:dyDescent="0.2"/>
    <row r="82" customFormat="1" ht="15" customHeight="1" x14ac:dyDescent="0.2"/>
    <row r="83" customFormat="1" ht="15" customHeight="1" x14ac:dyDescent="0.2"/>
    <row r="84" customFormat="1" ht="15" customHeight="1" x14ac:dyDescent="0.2"/>
    <row r="85" customFormat="1" ht="15" customHeight="1" x14ac:dyDescent="0.2"/>
    <row r="86" customFormat="1" ht="15" customHeight="1" x14ac:dyDescent="0.2"/>
    <row r="87" customFormat="1" ht="15" customHeight="1" x14ac:dyDescent="0.2"/>
    <row r="88" customFormat="1" ht="15" customHeight="1" x14ac:dyDescent="0.2"/>
    <row r="89" customFormat="1" ht="15" customHeight="1" x14ac:dyDescent="0.2"/>
    <row r="90" customFormat="1" ht="15" customHeight="1" x14ac:dyDescent="0.2"/>
    <row r="91" customFormat="1" ht="15" customHeight="1" x14ac:dyDescent="0.2"/>
    <row r="92" customFormat="1" ht="15" customHeight="1" x14ac:dyDescent="0.2"/>
    <row r="93" customFormat="1" ht="15" customHeight="1" x14ac:dyDescent="0.2"/>
    <row r="94" customFormat="1" ht="15" customHeight="1" x14ac:dyDescent="0.2"/>
    <row r="95" customFormat="1" ht="15" customHeight="1" x14ac:dyDescent="0.2"/>
    <row r="96" customFormat="1" ht="15" customHeight="1" x14ac:dyDescent="0.2"/>
    <row r="97" customFormat="1" ht="15" customHeight="1" x14ac:dyDescent="0.2"/>
    <row r="98" customFormat="1" ht="15" customHeight="1" x14ac:dyDescent="0.2"/>
    <row r="99" customFormat="1" ht="15" customHeight="1" x14ac:dyDescent="0.2"/>
    <row r="100" customFormat="1" ht="15" customHeight="1" x14ac:dyDescent="0.2"/>
    <row r="101" customFormat="1" ht="15" customHeight="1" x14ac:dyDescent="0.2"/>
    <row r="102" customFormat="1" ht="15" customHeight="1" x14ac:dyDescent="0.2"/>
    <row r="103" customFormat="1" ht="15" customHeight="1" x14ac:dyDescent="0.2"/>
    <row r="104" customFormat="1" ht="15" customHeight="1" x14ac:dyDescent="0.2"/>
    <row r="105" customFormat="1" ht="15" customHeight="1" x14ac:dyDescent="0.2"/>
    <row r="106" customFormat="1" ht="15" customHeight="1" x14ac:dyDescent="0.2"/>
    <row r="107" customFormat="1" ht="15" customHeight="1" x14ac:dyDescent="0.2"/>
    <row r="108" customFormat="1" ht="15" customHeight="1" x14ac:dyDescent="0.2"/>
    <row r="109" customFormat="1" ht="15" customHeight="1" x14ac:dyDescent="0.2"/>
    <row r="110" customFormat="1" ht="15" customHeight="1" x14ac:dyDescent="0.2"/>
    <row r="111" customFormat="1" ht="15" customHeight="1" x14ac:dyDescent="0.2"/>
    <row r="112" customFormat="1" ht="15" customHeight="1" x14ac:dyDescent="0.2"/>
    <row r="113" customFormat="1" ht="15" customHeight="1" x14ac:dyDescent="0.2"/>
    <row r="114" customFormat="1" ht="15" customHeight="1" x14ac:dyDescent="0.2"/>
    <row r="115" customFormat="1" ht="15" customHeight="1" x14ac:dyDescent="0.2"/>
    <row r="116" customFormat="1" ht="15" customHeight="1" x14ac:dyDescent="0.2"/>
    <row r="117" customFormat="1" ht="15" customHeight="1" x14ac:dyDescent="0.2"/>
    <row r="118" customFormat="1" ht="15" customHeight="1" x14ac:dyDescent="0.2"/>
    <row r="119" customFormat="1" ht="15" customHeight="1" x14ac:dyDescent="0.2"/>
    <row r="120" customFormat="1" ht="15" customHeight="1" x14ac:dyDescent="0.2"/>
    <row r="121" customFormat="1" ht="15" customHeight="1" x14ac:dyDescent="0.2"/>
    <row r="122" customFormat="1" ht="15" customHeight="1" x14ac:dyDescent="0.2"/>
    <row r="123" customFormat="1" ht="15" customHeight="1" x14ac:dyDescent="0.2"/>
    <row r="124" customFormat="1" ht="15" customHeight="1" x14ac:dyDescent="0.2"/>
    <row r="125" customFormat="1" ht="15" customHeight="1" x14ac:dyDescent="0.2"/>
    <row r="126" customFormat="1" ht="15" customHeight="1" x14ac:dyDescent="0.2"/>
    <row r="127" customFormat="1" ht="15" customHeight="1" x14ac:dyDescent="0.2"/>
    <row r="128" customFormat="1" ht="15" customHeight="1" x14ac:dyDescent="0.2"/>
    <row r="129" customFormat="1" ht="15" customHeight="1" x14ac:dyDescent="0.2"/>
    <row r="130" customFormat="1" ht="15" customHeight="1" x14ac:dyDescent="0.2"/>
    <row r="131" customFormat="1" ht="15" customHeight="1" x14ac:dyDescent="0.2"/>
    <row r="132" customFormat="1" ht="15" customHeight="1" x14ac:dyDescent="0.2"/>
    <row r="133" customFormat="1" ht="15" customHeight="1" x14ac:dyDescent="0.2"/>
    <row r="134" customFormat="1" ht="15" customHeight="1" x14ac:dyDescent="0.2"/>
    <row r="135" customFormat="1" ht="15" customHeight="1" x14ac:dyDescent="0.2"/>
    <row r="136" customFormat="1" ht="15" customHeight="1" x14ac:dyDescent="0.2"/>
    <row r="137" customFormat="1" ht="15" customHeight="1" x14ac:dyDescent="0.2"/>
    <row r="138" customFormat="1" ht="15" customHeight="1" x14ac:dyDescent="0.2"/>
    <row r="139" customFormat="1" ht="15" customHeight="1" x14ac:dyDescent="0.2"/>
    <row r="140" customFormat="1" ht="15" customHeight="1" x14ac:dyDescent="0.2"/>
    <row r="141" customFormat="1" ht="15" customHeight="1" x14ac:dyDescent="0.2"/>
    <row r="142" customFormat="1" ht="15" customHeight="1" x14ac:dyDescent="0.2"/>
    <row r="143" customFormat="1" ht="15" customHeight="1" x14ac:dyDescent="0.2"/>
    <row r="144" customFormat="1" ht="15" customHeight="1" x14ac:dyDescent="0.2"/>
    <row r="145" customFormat="1" ht="15" customHeight="1" x14ac:dyDescent="0.2"/>
    <row r="146" customFormat="1" ht="15" customHeight="1" x14ac:dyDescent="0.2"/>
    <row r="147" customFormat="1" ht="15" customHeight="1" x14ac:dyDescent="0.2"/>
    <row r="148" customFormat="1" ht="15" customHeight="1" x14ac:dyDescent="0.2"/>
    <row r="149" customFormat="1" ht="15" customHeight="1" x14ac:dyDescent="0.2"/>
    <row r="150" customFormat="1" ht="15" customHeight="1" x14ac:dyDescent="0.2"/>
    <row r="151" customFormat="1" ht="15" customHeight="1" x14ac:dyDescent="0.2"/>
    <row r="152" customFormat="1" ht="15" customHeight="1" x14ac:dyDescent="0.2"/>
    <row r="153" customFormat="1" ht="15" customHeight="1" x14ac:dyDescent="0.2"/>
    <row r="154" customFormat="1" ht="15" customHeight="1" x14ac:dyDescent="0.2"/>
    <row r="155" customFormat="1" ht="15" customHeight="1" x14ac:dyDescent="0.2"/>
    <row r="156" customFormat="1" ht="15" customHeight="1" x14ac:dyDescent="0.2"/>
    <row r="157" customFormat="1" ht="15" customHeight="1" x14ac:dyDescent="0.2"/>
    <row r="158" customFormat="1" ht="15" customHeight="1" x14ac:dyDescent="0.2"/>
    <row r="159" customFormat="1" ht="15" customHeight="1" x14ac:dyDescent="0.2"/>
    <row r="160" customFormat="1" ht="15" customHeight="1" x14ac:dyDescent="0.2"/>
    <row r="161" customFormat="1" ht="15" customHeight="1" x14ac:dyDescent="0.2"/>
    <row r="162" customFormat="1" ht="15" customHeight="1" x14ac:dyDescent="0.2"/>
    <row r="163" customFormat="1" ht="15" customHeight="1" x14ac:dyDescent="0.2"/>
    <row r="164" customFormat="1" ht="15" customHeight="1" x14ac:dyDescent="0.2"/>
    <row r="165" customFormat="1" ht="15" customHeight="1" x14ac:dyDescent="0.2"/>
    <row r="166" customFormat="1" ht="15" customHeight="1" x14ac:dyDescent="0.2"/>
    <row r="167" customFormat="1" ht="15" customHeight="1" x14ac:dyDescent="0.2"/>
    <row r="168" customFormat="1" ht="15" customHeight="1" x14ac:dyDescent="0.2"/>
    <row r="169" customFormat="1" ht="15" customHeight="1" x14ac:dyDescent="0.2"/>
    <row r="170" customFormat="1" ht="15" customHeight="1" x14ac:dyDescent="0.2"/>
    <row r="171" customFormat="1" ht="15" customHeight="1" x14ac:dyDescent="0.2"/>
    <row r="172" customFormat="1" ht="15" customHeight="1" x14ac:dyDescent="0.2"/>
    <row r="173" customFormat="1" ht="15" customHeight="1" x14ac:dyDescent="0.2"/>
    <row r="174" customFormat="1" ht="15" customHeight="1" x14ac:dyDescent="0.2"/>
    <row r="175" customFormat="1" ht="15" customHeight="1" x14ac:dyDescent="0.2"/>
    <row r="176" customFormat="1" ht="15" customHeight="1" x14ac:dyDescent="0.2"/>
    <row r="177" customFormat="1" ht="15" customHeight="1" x14ac:dyDescent="0.2"/>
    <row r="178" customFormat="1" ht="15" customHeight="1" x14ac:dyDescent="0.2"/>
    <row r="179" customFormat="1" ht="15" customHeight="1" x14ac:dyDescent="0.2"/>
    <row r="180" customFormat="1" ht="15" customHeight="1" x14ac:dyDescent="0.2"/>
    <row r="181" customFormat="1" ht="15" customHeight="1" x14ac:dyDescent="0.2"/>
    <row r="182" customFormat="1" ht="15" customHeight="1" x14ac:dyDescent="0.2"/>
    <row r="183" customFormat="1" ht="15" customHeight="1" x14ac:dyDescent="0.2"/>
    <row r="184" customFormat="1" ht="15" customHeight="1" x14ac:dyDescent="0.2"/>
    <row r="185" customFormat="1" ht="15" customHeight="1" x14ac:dyDescent="0.2"/>
    <row r="186" customFormat="1" ht="15" customHeight="1" x14ac:dyDescent="0.2"/>
    <row r="187" customFormat="1" ht="15" customHeight="1" x14ac:dyDescent="0.2"/>
    <row r="188" customFormat="1" ht="15" customHeight="1" x14ac:dyDescent="0.2"/>
    <row r="189" customFormat="1" ht="15" customHeight="1" x14ac:dyDescent="0.2"/>
    <row r="190" customFormat="1" ht="15" customHeight="1" x14ac:dyDescent="0.2"/>
    <row r="191" customFormat="1" ht="15" customHeight="1" x14ac:dyDescent="0.2"/>
    <row r="192" customFormat="1" ht="15" customHeight="1" x14ac:dyDescent="0.2"/>
    <row r="193" customFormat="1" ht="15" customHeight="1" x14ac:dyDescent="0.2"/>
    <row r="194" customFormat="1" ht="15" customHeight="1" x14ac:dyDescent="0.2"/>
    <row r="195" customFormat="1" ht="15" customHeight="1" x14ac:dyDescent="0.2"/>
    <row r="196" customFormat="1" ht="15" customHeight="1" x14ac:dyDescent="0.2"/>
    <row r="197" customFormat="1" ht="15" customHeight="1" x14ac:dyDescent="0.2"/>
    <row r="198" customFormat="1" ht="15" customHeight="1" x14ac:dyDescent="0.2"/>
    <row r="199" customFormat="1" ht="15" customHeight="1" x14ac:dyDescent="0.2"/>
    <row r="200" customFormat="1" ht="15" customHeight="1" x14ac:dyDescent="0.2"/>
    <row r="201" customFormat="1" ht="15" customHeight="1" x14ac:dyDescent="0.2"/>
    <row r="202" customFormat="1" ht="15" customHeight="1" x14ac:dyDescent="0.2"/>
    <row r="203" customFormat="1" ht="15" customHeight="1" x14ac:dyDescent="0.2"/>
    <row r="204" customFormat="1" ht="15" customHeight="1" x14ac:dyDescent="0.2"/>
    <row r="205" customFormat="1" ht="15" customHeight="1" x14ac:dyDescent="0.2"/>
    <row r="206" customFormat="1" ht="15" customHeight="1" x14ac:dyDescent="0.2"/>
    <row r="207" customFormat="1" ht="15" customHeight="1" x14ac:dyDescent="0.2"/>
    <row r="208" customFormat="1" ht="15" customHeight="1" x14ac:dyDescent="0.2"/>
    <row r="209" customFormat="1" ht="15" customHeight="1" x14ac:dyDescent="0.2"/>
    <row r="210" customFormat="1" ht="15" customHeight="1" x14ac:dyDescent="0.2"/>
    <row r="211" customFormat="1" ht="15" customHeight="1" x14ac:dyDescent="0.2"/>
    <row r="212" customFormat="1" ht="15" customHeight="1" x14ac:dyDescent="0.2"/>
    <row r="213" customFormat="1" ht="15" customHeight="1" x14ac:dyDescent="0.2"/>
    <row r="214" customFormat="1" ht="15" customHeight="1" x14ac:dyDescent="0.2"/>
    <row r="215" customFormat="1" ht="15" customHeight="1" x14ac:dyDescent="0.2"/>
    <row r="216" customFormat="1" ht="15" customHeight="1" x14ac:dyDescent="0.2"/>
    <row r="217" customFormat="1" ht="15" customHeight="1" x14ac:dyDescent="0.2"/>
    <row r="218" customFormat="1" ht="15" customHeight="1" x14ac:dyDescent="0.2"/>
    <row r="219" customFormat="1" ht="15" customHeight="1" x14ac:dyDescent="0.2"/>
    <row r="220" customFormat="1" ht="15" customHeight="1" x14ac:dyDescent="0.2"/>
    <row r="221" customFormat="1" ht="15" customHeight="1" x14ac:dyDescent="0.2"/>
    <row r="222" customFormat="1" ht="15" customHeight="1" x14ac:dyDescent="0.2"/>
    <row r="223" customFormat="1" ht="15" customHeight="1" x14ac:dyDescent="0.2"/>
    <row r="224" customFormat="1" ht="15" customHeight="1" x14ac:dyDescent="0.2"/>
    <row r="225" customFormat="1" ht="15" customHeight="1" x14ac:dyDescent="0.2"/>
    <row r="226" customFormat="1" ht="15" customHeight="1" x14ac:dyDescent="0.2"/>
    <row r="227" customFormat="1" ht="15" customHeight="1" x14ac:dyDescent="0.2"/>
    <row r="228" customFormat="1" ht="15" customHeight="1" x14ac:dyDescent="0.2"/>
    <row r="229" customFormat="1" ht="15" customHeight="1" x14ac:dyDescent="0.2"/>
    <row r="230" customFormat="1" ht="15" customHeight="1" x14ac:dyDescent="0.2"/>
    <row r="231" customFormat="1" ht="15" customHeight="1" x14ac:dyDescent="0.2"/>
    <row r="232" customFormat="1" ht="15" customHeight="1" x14ac:dyDescent="0.2"/>
    <row r="233" customFormat="1" ht="15" customHeight="1" x14ac:dyDescent="0.2"/>
    <row r="234" customFormat="1" ht="15" customHeight="1" x14ac:dyDescent="0.2"/>
    <row r="235" customFormat="1" ht="15" customHeight="1" x14ac:dyDescent="0.2"/>
    <row r="236" customFormat="1" ht="15" customHeight="1" x14ac:dyDescent="0.2"/>
    <row r="237" customFormat="1" ht="15" customHeight="1" x14ac:dyDescent="0.2"/>
    <row r="238" customFormat="1" ht="15" customHeight="1" x14ac:dyDescent="0.2"/>
    <row r="239" customFormat="1" ht="15" customHeight="1" x14ac:dyDescent="0.2"/>
    <row r="240" customFormat="1" ht="15" customHeight="1" x14ac:dyDescent="0.2"/>
    <row r="241" customFormat="1" ht="15" customHeight="1" x14ac:dyDescent="0.2"/>
    <row r="242" customFormat="1" ht="15" customHeight="1" x14ac:dyDescent="0.2"/>
    <row r="243" customFormat="1" ht="15" customHeight="1" x14ac:dyDescent="0.2"/>
    <row r="244" customFormat="1" ht="15" customHeight="1" x14ac:dyDescent="0.2"/>
    <row r="245" customFormat="1" ht="15" customHeight="1" x14ac:dyDescent="0.2"/>
    <row r="246" customFormat="1" ht="15" customHeight="1" x14ac:dyDescent="0.2"/>
    <row r="247" customFormat="1" ht="15" customHeight="1" x14ac:dyDescent="0.2"/>
    <row r="248" customFormat="1" ht="15" customHeight="1" x14ac:dyDescent="0.2"/>
    <row r="249" customFormat="1" ht="15" customHeight="1" x14ac:dyDescent="0.2"/>
    <row r="250" customFormat="1" ht="15" customHeight="1" x14ac:dyDescent="0.2"/>
    <row r="251" customFormat="1" ht="15" customHeight="1" x14ac:dyDescent="0.2"/>
    <row r="252" customFormat="1" ht="15" customHeight="1" x14ac:dyDescent="0.2"/>
    <row r="253" customFormat="1" ht="15" customHeight="1" x14ac:dyDescent="0.2"/>
    <row r="254" customFormat="1" ht="15" customHeight="1" x14ac:dyDescent="0.2"/>
    <row r="255" customFormat="1" ht="15" customHeight="1" x14ac:dyDescent="0.2"/>
    <row r="256" customFormat="1" ht="15" customHeight="1" x14ac:dyDescent="0.2"/>
    <row r="257" customFormat="1" ht="15" customHeight="1" x14ac:dyDescent="0.2"/>
    <row r="258" customFormat="1" ht="15" customHeight="1" x14ac:dyDescent="0.2"/>
    <row r="259" customFormat="1" ht="15" customHeight="1" x14ac:dyDescent="0.2"/>
    <row r="260" customFormat="1" ht="15" customHeight="1" x14ac:dyDescent="0.2"/>
    <row r="261" customFormat="1" ht="15" customHeight="1" x14ac:dyDescent="0.2"/>
    <row r="262" customFormat="1" ht="15" customHeight="1" x14ac:dyDescent="0.2"/>
    <row r="263" customFormat="1" ht="15" customHeight="1" x14ac:dyDescent="0.2"/>
    <row r="264" customFormat="1" ht="15" customHeight="1" x14ac:dyDescent="0.2"/>
    <row r="265" customFormat="1" ht="15" customHeight="1" x14ac:dyDescent="0.2"/>
    <row r="266" customFormat="1" ht="15" customHeight="1" x14ac:dyDescent="0.2"/>
    <row r="267" customFormat="1" ht="15" customHeight="1" x14ac:dyDescent="0.2"/>
    <row r="268" customFormat="1" ht="15" customHeight="1" x14ac:dyDescent="0.2"/>
    <row r="269" customFormat="1" ht="15" customHeight="1" x14ac:dyDescent="0.2"/>
    <row r="270" customFormat="1" ht="15" customHeight="1" x14ac:dyDescent="0.2"/>
    <row r="271" customFormat="1" ht="15" customHeight="1" x14ac:dyDescent="0.2"/>
    <row r="272" customFormat="1" ht="15" customHeight="1" x14ac:dyDescent="0.2"/>
    <row r="273" customFormat="1" ht="15" customHeight="1" x14ac:dyDescent="0.2"/>
    <row r="274" customFormat="1" ht="15" customHeight="1" x14ac:dyDescent="0.2"/>
    <row r="275" customFormat="1" ht="15" customHeight="1" x14ac:dyDescent="0.2"/>
    <row r="276" customFormat="1" ht="15" customHeight="1" x14ac:dyDescent="0.2"/>
    <row r="277" customFormat="1" ht="15" customHeight="1" x14ac:dyDescent="0.2"/>
    <row r="278" customFormat="1" ht="15" customHeight="1" x14ac:dyDescent="0.2"/>
    <row r="279" customFormat="1" ht="15" customHeight="1" x14ac:dyDescent="0.2"/>
    <row r="280" customFormat="1" ht="15" customHeight="1" x14ac:dyDescent="0.2"/>
    <row r="281" customFormat="1" ht="15" customHeight="1" x14ac:dyDescent="0.2"/>
    <row r="282" customFormat="1" ht="15" customHeight="1" x14ac:dyDescent="0.2"/>
    <row r="283" customFormat="1" ht="15" customHeight="1" x14ac:dyDescent="0.2"/>
    <row r="284" customFormat="1" ht="15" customHeight="1" x14ac:dyDescent="0.2"/>
    <row r="285" customFormat="1" ht="15" customHeight="1" x14ac:dyDescent="0.2"/>
    <row r="286" customFormat="1" ht="15" customHeight="1" x14ac:dyDescent="0.2"/>
    <row r="287" customFormat="1" ht="15" customHeight="1" x14ac:dyDescent="0.2"/>
    <row r="288" customFormat="1" ht="15" customHeight="1" x14ac:dyDescent="0.2"/>
    <row r="289" customFormat="1" ht="15" customHeight="1" x14ac:dyDescent="0.2"/>
    <row r="290" customFormat="1" ht="15" customHeight="1" x14ac:dyDescent="0.2"/>
    <row r="291" customFormat="1" ht="15" customHeight="1" x14ac:dyDescent="0.2"/>
    <row r="292" customFormat="1" ht="15" customHeight="1" x14ac:dyDescent="0.2"/>
    <row r="293" customFormat="1" ht="15" customHeight="1" x14ac:dyDescent="0.2"/>
    <row r="294" customFormat="1" ht="15" customHeight="1" x14ac:dyDescent="0.2"/>
    <row r="295" customFormat="1" ht="15" customHeight="1" x14ac:dyDescent="0.2"/>
    <row r="296" customFormat="1" ht="15" customHeight="1" x14ac:dyDescent="0.2"/>
    <row r="297" customFormat="1" ht="15" customHeight="1" x14ac:dyDescent="0.2"/>
    <row r="298" customFormat="1" ht="15" customHeight="1" x14ac:dyDescent="0.2"/>
    <row r="299" customFormat="1" ht="15" customHeight="1" x14ac:dyDescent="0.2"/>
    <row r="300" customFormat="1" ht="15" customHeight="1" x14ac:dyDescent="0.2"/>
    <row r="301" customFormat="1" ht="15" customHeight="1" x14ac:dyDescent="0.2"/>
    <row r="302" customFormat="1" ht="15" customHeight="1" x14ac:dyDescent="0.2"/>
    <row r="303" customFormat="1" ht="15" customHeight="1" x14ac:dyDescent="0.2"/>
    <row r="304" customFormat="1" ht="15" customHeight="1" x14ac:dyDescent="0.2"/>
    <row r="305" customFormat="1" ht="15" customHeight="1" x14ac:dyDescent="0.2"/>
    <row r="306" customFormat="1" ht="15" customHeight="1" x14ac:dyDescent="0.2"/>
    <row r="307" customFormat="1" ht="15" customHeight="1" x14ac:dyDescent="0.2"/>
    <row r="308" customFormat="1" ht="15" customHeight="1" x14ac:dyDescent="0.2"/>
    <row r="309" customFormat="1" ht="15" customHeight="1" x14ac:dyDescent="0.2"/>
    <row r="310" customFormat="1" ht="15" customHeight="1" x14ac:dyDescent="0.2"/>
    <row r="311" customFormat="1" ht="15" customHeight="1" x14ac:dyDescent="0.2"/>
    <row r="312" customFormat="1" ht="15" customHeight="1" x14ac:dyDescent="0.2"/>
    <row r="313" customFormat="1" ht="15" customHeight="1" x14ac:dyDescent="0.2"/>
    <row r="314" customFormat="1" ht="15" customHeight="1" x14ac:dyDescent="0.2"/>
    <row r="315" customFormat="1" ht="15" customHeight="1" x14ac:dyDescent="0.2"/>
    <row r="316" customFormat="1" ht="15" customHeight="1" x14ac:dyDescent="0.2"/>
    <row r="317" customFormat="1" ht="15" customHeight="1" x14ac:dyDescent="0.2"/>
    <row r="318" customFormat="1" ht="15" customHeight="1" x14ac:dyDescent="0.2"/>
    <row r="319" customFormat="1" ht="15" customHeight="1" x14ac:dyDescent="0.2"/>
    <row r="320" customFormat="1" ht="15" customHeight="1" x14ac:dyDescent="0.2"/>
    <row r="321" customFormat="1" ht="15" customHeight="1" x14ac:dyDescent="0.2"/>
    <row r="322" customFormat="1" ht="15" customHeight="1" x14ac:dyDescent="0.2"/>
    <row r="323" customFormat="1" ht="15" customHeight="1" x14ac:dyDescent="0.2"/>
    <row r="324" customFormat="1" ht="15" customHeight="1" x14ac:dyDescent="0.2"/>
    <row r="325" customFormat="1" ht="15" customHeight="1" x14ac:dyDescent="0.2"/>
    <row r="326" customFormat="1" ht="15" customHeight="1" x14ac:dyDescent="0.2"/>
    <row r="327" customFormat="1" ht="15" customHeight="1" x14ac:dyDescent="0.2"/>
    <row r="328" customFormat="1" ht="15" customHeight="1" x14ac:dyDescent="0.2"/>
    <row r="329" customFormat="1" ht="15" customHeight="1" x14ac:dyDescent="0.2"/>
    <row r="330" customFormat="1" ht="15" customHeight="1" x14ac:dyDescent="0.2"/>
    <row r="331" customFormat="1" ht="15" customHeight="1" x14ac:dyDescent="0.2"/>
    <row r="332" customFormat="1" ht="15" customHeight="1" x14ac:dyDescent="0.2"/>
    <row r="333" customFormat="1" ht="15" customHeight="1" x14ac:dyDescent="0.2"/>
    <row r="334" customFormat="1" ht="15" customHeight="1" x14ac:dyDescent="0.2"/>
    <row r="335" customFormat="1" ht="15" customHeight="1" x14ac:dyDescent="0.2"/>
    <row r="336" customFormat="1" ht="15" customHeight="1" x14ac:dyDescent="0.2"/>
    <row r="337" customFormat="1" ht="15" customHeight="1" x14ac:dyDescent="0.2"/>
    <row r="338" customFormat="1" ht="15" customHeight="1" x14ac:dyDescent="0.2"/>
    <row r="339" customFormat="1" ht="15" customHeight="1" x14ac:dyDescent="0.2"/>
    <row r="340" customFormat="1" ht="15" customHeight="1" x14ac:dyDescent="0.2"/>
    <row r="341" customFormat="1" ht="15" customHeight="1" x14ac:dyDescent="0.2"/>
    <row r="342" customFormat="1" ht="15" customHeight="1" x14ac:dyDescent="0.2"/>
    <row r="343" customFormat="1" ht="15" customHeight="1" x14ac:dyDescent="0.2"/>
    <row r="344" customFormat="1" ht="15" customHeight="1" x14ac:dyDescent="0.2"/>
    <row r="345" customFormat="1" ht="15" customHeight="1" x14ac:dyDescent="0.2"/>
    <row r="346" customFormat="1" ht="15" customHeight="1" x14ac:dyDescent="0.2"/>
    <row r="347" customFormat="1" ht="15" customHeight="1" x14ac:dyDescent="0.2"/>
    <row r="348" customFormat="1" ht="15" customHeight="1" x14ac:dyDescent="0.2"/>
    <row r="349" customFormat="1" ht="15" customHeight="1" x14ac:dyDescent="0.2"/>
    <row r="350" customFormat="1" ht="15" customHeight="1" x14ac:dyDescent="0.2"/>
    <row r="351" customFormat="1" ht="15" customHeight="1" x14ac:dyDescent="0.2"/>
    <row r="352" customFormat="1" ht="15" customHeight="1" x14ac:dyDescent="0.2"/>
    <row r="353" customFormat="1" ht="15" customHeight="1" x14ac:dyDescent="0.2"/>
    <row r="354" customFormat="1" ht="15" customHeight="1" x14ac:dyDescent="0.2"/>
    <row r="355" customFormat="1" ht="15" customHeight="1" x14ac:dyDescent="0.2"/>
    <row r="356" customFormat="1" ht="15" customHeight="1" x14ac:dyDescent="0.2"/>
    <row r="357" customFormat="1" ht="15" customHeight="1" x14ac:dyDescent="0.2"/>
    <row r="358" customFormat="1" ht="15" customHeight="1" x14ac:dyDescent="0.2"/>
    <row r="359" customFormat="1" ht="15" customHeight="1" x14ac:dyDescent="0.2"/>
    <row r="360" customFormat="1" ht="15" customHeight="1" x14ac:dyDescent="0.2"/>
    <row r="361" customFormat="1" ht="15" customHeight="1" x14ac:dyDescent="0.2"/>
    <row r="362" customFormat="1" ht="15" customHeight="1" x14ac:dyDescent="0.2"/>
    <row r="363" customFormat="1" ht="15" customHeight="1" x14ac:dyDescent="0.2"/>
    <row r="364" customFormat="1" ht="15" customHeight="1" x14ac:dyDescent="0.2"/>
    <row r="365" customFormat="1" ht="15" customHeight="1" x14ac:dyDescent="0.2"/>
    <row r="366" customFormat="1" ht="15" customHeight="1" x14ac:dyDescent="0.2"/>
    <row r="367" customFormat="1" ht="15" customHeight="1" x14ac:dyDescent="0.2"/>
    <row r="368" customFormat="1" ht="15" customHeight="1" x14ac:dyDescent="0.2"/>
    <row r="369" customFormat="1" ht="15" customHeight="1" x14ac:dyDescent="0.2"/>
    <row r="370" customFormat="1" ht="15" customHeight="1" x14ac:dyDescent="0.2"/>
    <row r="371" customFormat="1" ht="15" customHeight="1" x14ac:dyDescent="0.2"/>
    <row r="372" customFormat="1" ht="15" customHeight="1" x14ac:dyDescent="0.2"/>
    <row r="373" customFormat="1" ht="15" customHeight="1" x14ac:dyDescent="0.2"/>
    <row r="374" customFormat="1" ht="15" customHeight="1" x14ac:dyDescent="0.2"/>
    <row r="375" customFormat="1" ht="15" customHeight="1" x14ac:dyDescent="0.2"/>
    <row r="376" customFormat="1" ht="15" customHeight="1" x14ac:dyDescent="0.2"/>
    <row r="377" customFormat="1" ht="15" customHeight="1" x14ac:dyDescent="0.2"/>
    <row r="378" customFormat="1" ht="15" customHeight="1" x14ac:dyDescent="0.2"/>
    <row r="379" customFormat="1" ht="15" customHeight="1" x14ac:dyDescent="0.2"/>
    <row r="380" customFormat="1" ht="15" customHeight="1" x14ac:dyDescent="0.2"/>
    <row r="381" customFormat="1" ht="15" customHeight="1" x14ac:dyDescent="0.2"/>
    <row r="382" customFormat="1" ht="15" customHeight="1" x14ac:dyDescent="0.2"/>
    <row r="383" customFormat="1" ht="15" customHeight="1" x14ac:dyDescent="0.2"/>
    <row r="384" customFormat="1" ht="15" customHeight="1" x14ac:dyDescent="0.2"/>
    <row r="385" customFormat="1" ht="15" customHeight="1" x14ac:dyDescent="0.2"/>
    <row r="386" customFormat="1" ht="15" customHeight="1" x14ac:dyDescent="0.2"/>
    <row r="387" customFormat="1" ht="15" customHeight="1" x14ac:dyDescent="0.2"/>
    <row r="388" customFormat="1" ht="15" customHeight="1" x14ac:dyDescent="0.2"/>
    <row r="389" customFormat="1" ht="15" customHeight="1" x14ac:dyDescent="0.2"/>
    <row r="390" customFormat="1" ht="15" customHeight="1" x14ac:dyDescent="0.2"/>
    <row r="391" customFormat="1" ht="15" customHeight="1" x14ac:dyDescent="0.2"/>
    <row r="392" customFormat="1" ht="15" customHeight="1" x14ac:dyDescent="0.2"/>
    <row r="393" customFormat="1" ht="15" customHeight="1" x14ac:dyDescent="0.2"/>
    <row r="394" customFormat="1" ht="15" customHeight="1" x14ac:dyDescent="0.2"/>
    <row r="395" customFormat="1" ht="15" customHeight="1" x14ac:dyDescent="0.2"/>
    <row r="396" customFormat="1" ht="15" customHeight="1" x14ac:dyDescent="0.2"/>
    <row r="397" customFormat="1" ht="15" customHeight="1" x14ac:dyDescent="0.2"/>
    <row r="398" customFormat="1" ht="15" customHeight="1" x14ac:dyDescent="0.2"/>
    <row r="399" customFormat="1" ht="15" customHeight="1" x14ac:dyDescent="0.2"/>
    <row r="400" customFormat="1" ht="15" customHeight="1" x14ac:dyDescent="0.2"/>
    <row r="401" customFormat="1" ht="15" customHeight="1" x14ac:dyDescent="0.2"/>
    <row r="402" customFormat="1" ht="15" customHeight="1" x14ac:dyDescent="0.2"/>
    <row r="403" customFormat="1" ht="15" customHeight="1" x14ac:dyDescent="0.2"/>
    <row r="404" customFormat="1" ht="15" customHeight="1" x14ac:dyDescent="0.2"/>
    <row r="405" customFormat="1" ht="15" customHeight="1" x14ac:dyDescent="0.2"/>
    <row r="406" customFormat="1" ht="15" customHeight="1" x14ac:dyDescent="0.2"/>
    <row r="407" customFormat="1" ht="15" customHeight="1" x14ac:dyDescent="0.2"/>
    <row r="408" customFormat="1" ht="15" customHeight="1" x14ac:dyDescent="0.2"/>
    <row r="409" customFormat="1" ht="15" customHeight="1" x14ac:dyDescent="0.2"/>
    <row r="410" customFormat="1" ht="15" customHeight="1" x14ac:dyDescent="0.2"/>
    <row r="411" customFormat="1" ht="15" customHeight="1" x14ac:dyDescent="0.2"/>
    <row r="412" customFormat="1" ht="15" customHeight="1" x14ac:dyDescent="0.2"/>
    <row r="413" customFormat="1" ht="15" customHeight="1" x14ac:dyDescent="0.2"/>
    <row r="414" customFormat="1" ht="15" customHeight="1" x14ac:dyDescent="0.2"/>
    <row r="415" customFormat="1" ht="15" customHeight="1" x14ac:dyDescent="0.2"/>
    <row r="416" customFormat="1" ht="15" customHeight="1" x14ac:dyDescent="0.2"/>
    <row r="417" customFormat="1" ht="15" customHeight="1" x14ac:dyDescent="0.2"/>
    <row r="418" customFormat="1" ht="15" customHeight="1" x14ac:dyDescent="0.2"/>
    <row r="419" customFormat="1" ht="15" customHeight="1" x14ac:dyDescent="0.2"/>
    <row r="420" customFormat="1" ht="15" customHeight="1" x14ac:dyDescent="0.2"/>
    <row r="421" customFormat="1" ht="15" customHeight="1" x14ac:dyDescent="0.2"/>
    <row r="422" customFormat="1" ht="15" customHeight="1" x14ac:dyDescent="0.2"/>
    <row r="423" customFormat="1" ht="15" customHeight="1" x14ac:dyDescent="0.2"/>
    <row r="424" customFormat="1" ht="15" customHeight="1" x14ac:dyDescent="0.2"/>
    <row r="425" customFormat="1" ht="15" customHeight="1" x14ac:dyDescent="0.2"/>
    <row r="426" customFormat="1" ht="15" customHeight="1" x14ac:dyDescent="0.2"/>
    <row r="427" customFormat="1" ht="15" customHeight="1" x14ac:dyDescent="0.2"/>
    <row r="428" customFormat="1" ht="15" customHeight="1" x14ac:dyDescent="0.2"/>
    <row r="429" customFormat="1" ht="15" customHeight="1" x14ac:dyDescent="0.2"/>
    <row r="430" customFormat="1" ht="15" customHeight="1" x14ac:dyDescent="0.2"/>
    <row r="431" customFormat="1" ht="15" customHeight="1" x14ac:dyDescent="0.2"/>
    <row r="432" customFormat="1" ht="15" customHeight="1" x14ac:dyDescent="0.2"/>
    <row r="433" customFormat="1" ht="15" customHeight="1" x14ac:dyDescent="0.2"/>
    <row r="434" customFormat="1" ht="15" customHeight="1" x14ac:dyDescent="0.2"/>
    <row r="435" customFormat="1" ht="15" customHeight="1" x14ac:dyDescent="0.2"/>
    <row r="436" customFormat="1" ht="15" customHeight="1" x14ac:dyDescent="0.2"/>
    <row r="437" customFormat="1" ht="15" customHeight="1" x14ac:dyDescent="0.2"/>
    <row r="438" customFormat="1" ht="15" customHeight="1" x14ac:dyDescent="0.2"/>
    <row r="439" customFormat="1" ht="15" customHeight="1" x14ac:dyDescent="0.2"/>
    <row r="440" customFormat="1" ht="15" customHeight="1" x14ac:dyDescent="0.2"/>
    <row r="441" customFormat="1" ht="15" customHeight="1" x14ac:dyDescent="0.2"/>
    <row r="442" customFormat="1" ht="15" customHeight="1" x14ac:dyDescent="0.2"/>
    <row r="443" customFormat="1" ht="15" customHeight="1" x14ac:dyDescent="0.2"/>
    <row r="444" customFormat="1" ht="15" customHeight="1" x14ac:dyDescent="0.2"/>
    <row r="445" customFormat="1" ht="15" customHeight="1" x14ac:dyDescent="0.2"/>
    <row r="446" customFormat="1" ht="15" customHeight="1" x14ac:dyDescent="0.2"/>
    <row r="447" customFormat="1" ht="15" customHeight="1" x14ac:dyDescent="0.2"/>
    <row r="448" customFormat="1" ht="15" customHeight="1" x14ac:dyDescent="0.2"/>
    <row r="449" customFormat="1" ht="15" customHeight="1" x14ac:dyDescent="0.2"/>
    <row r="450" customFormat="1" ht="15" customHeight="1" x14ac:dyDescent="0.2"/>
    <row r="451" customFormat="1" ht="15" customHeight="1" x14ac:dyDescent="0.2"/>
    <row r="452" customFormat="1" ht="15" customHeight="1" x14ac:dyDescent="0.2"/>
    <row r="453" customFormat="1" ht="15" customHeight="1" x14ac:dyDescent="0.2"/>
    <row r="454" customFormat="1" ht="15" customHeight="1" x14ac:dyDescent="0.2"/>
    <row r="455" customFormat="1" ht="15" customHeight="1" x14ac:dyDescent="0.2"/>
    <row r="456" customFormat="1" ht="15" customHeight="1" x14ac:dyDescent="0.2"/>
    <row r="457" customFormat="1" ht="15" customHeight="1" x14ac:dyDescent="0.2"/>
    <row r="458" customFormat="1" ht="15" customHeight="1" x14ac:dyDescent="0.2"/>
    <row r="459" customFormat="1" ht="15" customHeight="1" x14ac:dyDescent="0.2"/>
    <row r="460" customFormat="1" ht="15" customHeight="1" x14ac:dyDescent="0.2"/>
    <row r="461" customFormat="1" ht="15" customHeight="1" x14ac:dyDescent="0.2"/>
    <row r="462" customFormat="1" ht="15" customHeight="1" x14ac:dyDescent="0.2"/>
    <row r="463" customFormat="1" ht="15" customHeight="1" x14ac:dyDescent="0.2"/>
    <row r="464" customFormat="1" ht="15" customHeight="1" x14ac:dyDescent="0.2"/>
    <row r="465" customFormat="1" ht="15" customHeight="1" x14ac:dyDescent="0.2"/>
    <row r="466" customFormat="1" ht="15" customHeight="1" x14ac:dyDescent="0.2"/>
    <row r="467" customFormat="1" ht="15" customHeight="1" x14ac:dyDescent="0.2"/>
    <row r="468" customFormat="1" ht="15" customHeight="1" x14ac:dyDescent="0.2"/>
    <row r="469" customFormat="1" ht="15" customHeight="1" x14ac:dyDescent="0.2"/>
    <row r="470" customFormat="1" ht="15" customHeight="1" x14ac:dyDescent="0.2"/>
    <row r="471" customFormat="1" ht="15" customHeight="1" x14ac:dyDescent="0.2"/>
    <row r="472" customFormat="1" ht="15" customHeight="1" x14ac:dyDescent="0.2"/>
    <row r="473" customFormat="1" ht="15" customHeight="1" x14ac:dyDescent="0.2"/>
    <row r="474" customFormat="1" ht="15" customHeight="1" x14ac:dyDescent="0.2"/>
    <row r="475" customFormat="1" ht="15" customHeight="1" x14ac:dyDescent="0.2"/>
    <row r="476" customFormat="1" ht="15" customHeight="1" x14ac:dyDescent="0.2"/>
    <row r="477" customFormat="1" ht="15" customHeight="1" x14ac:dyDescent="0.2"/>
    <row r="478" customFormat="1" ht="15" customHeight="1" x14ac:dyDescent="0.2"/>
    <row r="479" customFormat="1" ht="15" customHeight="1" x14ac:dyDescent="0.2"/>
    <row r="480" customFormat="1" ht="15" customHeight="1" x14ac:dyDescent="0.2"/>
    <row r="481" customFormat="1" ht="15" customHeight="1" x14ac:dyDescent="0.2"/>
    <row r="482" customFormat="1" ht="15" customHeight="1" x14ac:dyDescent="0.2"/>
    <row r="483" customFormat="1" ht="15" customHeight="1" x14ac:dyDescent="0.2"/>
    <row r="484" customFormat="1" ht="15" customHeight="1" x14ac:dyDescent="0.2"/>
    <row r="485" customFormat="1" ht="15" customHeight="1" x14ac:dyDescent="0.2"/>
    <row r="486" customFormat="1" ht="15" customHeight="1" x14ac:dyDescent="0.2"/>
    <row r="487" customFormat="1" ht="15" customHeight="1" x14ac:dyDescent="0.2"/>
    <row r="488" customFormat="1" ht="15" customHeight="1" x14ac:dyDescent="0.2"/>
    <row r="489" customFormat="1" ht="15" customHeight="1" x14ac:dyDescent="0.2"/>
    <row r="490" customFormat="1" ht="15" customHeight="1" x14ac:dyDescent="0.2"/>
    <row r="491" customFormat="1" ht="15" customHeight="1" x14ac:dyDescent="0.2"/>
    <row r="492" customFormat="1" ht="15" customHeight="1" x14ac:dyDescent="0.2"/>
    <row r="493" customFormat="1" ht="15" customHeight="1" x14ac:dyDescent="0.2"/>
    <row r="494" customFormat="1" ht="15" customHeight="1" x14ac:dyDescent="0.2"/>
    <row r="495" customFormat="1" ht="15" customHeight="1" x14ac:dyDescent="0.2"/>
    <row r="496" customFormat="1" ht="15" customHeight="1" x14ac:dyDescent="0.2"/>
    <row r="497" customFormat="1" ht="15" customHeight="1" x14ac:dyDescent="0.2"/>
    <row r="498" customFormat="1" ht="15" customHeight="1" x14ac:dyDescent="0.2"/>
    <row r="499" customFormat="1" ht="15" customHeight="1" x14ac:dyDescent="0.2"/>
    <row r="500" customFormat="1" ht="15" customHeight="1" x14ac:dyDescent="0.2"/>
    <row r="501" customFormat="1" ht="15" customHeight="1" x14ac:dyDescent="0.2"/>
    <row r="502" customFormat="1" ht="15" customHeight="1" x14ac:dyDescent="0.2"/>
    <row r="503" customFormat="1" ht="15" customHeight="1" x14ac:dyDescent="0.2"/>
    <row r="504" customFormat="1" ht="15" customHeight="1" x14ac:dyDescent="0.2"/>
    <row r="505" customFormat="1" ht="15" customHeight="1" x14ac:dyDescent="0.2"/>
    <row r="506" customFormat="1" ht="15" customHeight="1" x14ac:dyDescent="0.2"/>
    <row r="507" customFormat="1" ht="15" customHeight="1" x14ac:dyDescent="0.2"/>
    <row r="508" customFormat="1" ht="15" customHeight="1" x14ac:dyDescent="0.2"/>
    <row r="509" customFormat="1" ht="15" customHeight="1" x14ac:dyDescent="0.2"/>
    <row r="510" customFormat="1" ht="15" customHeight="1" x14ac:dyDescent="0.2"/>
    <row r="511" customFormat="1" ht="15" customHeight="1" x14ac:dyDescent="0.2"/>
    <row r="512" customFormat="1" ht="15" customHeight="1" x14ac:dyDescent="0.2"/>
    <row r="513" customFormat="1" ht="15" customHeight="1" x14ac:dyDescent="0.2"/>
    <row r="514" customFormat="1" ht="15" customHeight="1" x14ac:dyDescent="0.2"/>
    <row r="515" customFormat="1" ht="15" customHeight="1" x14ac:dyDescent="0.2"/>
    <row r="516" customFormat="1" ht="15" customHeight="1" x14ac:dyDescent="0.2"/>
    <row r="517" customFormat="1" ht="15" customHeight="1" x14ac:dyDescent="0.2"/>
    <row r="518" customFormat="1" ht="15" customHeight="1" x14ac:dyDescent="0.2"/>
    <row r="519" customFormat="1" ht="15" customHeight="1" x14ac:dyDescent="0.2"/>
    <row r="520" customFormat="1" ht="15" customHeight="1" x14ac:dyDescent="0.2"/>
    <row r="521" customFormat="1" ht="15" customHeight="1" x14ac:dyDescent="0.2"/>
    <row r="522" customFormat="1" ht="15" customHeight="1" x14ac:dyDescent="0.2"/>
    <row r="523" customFormat="1" ht="15" customHeight="1" x14ac:dyDescent="0.2"/>
    <row r="524" customFormat="1" ht="15" customHeight="1" x14ac:dyDescent="0.2"/>
    <row r="525" customFormat="1" ht="15" customHeight="1" x14ac:dyDescent="0.2"/>
    <row r="526" customFormat="1" ht="15" customHeight="1" x14ac:dyDescent="0.2"/>
    <row r="527" customFormat="1" ht="15" customHeight="1" x14ac:dyDescent="0.2"/>
    <row r="528" customFormat="1" ht="15" customHeight="1" x14ac:dyDescent="0.2"/>
    <row r="529" customFormat="1" ht="15" customHeight="1" x14ac:dyDescent="0.2"/>
    <row r="530" customFormat="1" ht="15" customHeight="1" x14ac:dyDescent="0.2"/>
    <row r="531" customFormat="1" ht="15" customHeight="1" x14ac:dyDescent="0.2"/>
    <row r="532" customFormat="1" ht="15" customHeight="1" x14ac:dyDescent="0.2"/>
    <row r="533" customFormat="1" ht="15" customHeight="1" x14ac:dyDescent="0.2"/>
    <row r="534" customFormat="1" ht="15" customHeight="1" x14ac:dyDescent="0.2"/>
    <row r="535" customFormat="1" ht="15" customHeight="1" x14ac:dyDescent="0.2"/>
    <row r="536" customFormat="1" ht="15" customHeight="1" x14ac:dyDescent="0.2"/>
    <row r="537" customFormat="1" ht="15" customHeight="1" x14ac:dyDescent="0.2"/>
    <row r="538" customFormat="1" ht="15" customHeight="1" x14ac:dyDescent="0.2"/>
    <row r="539" customFormat="1" ht="15" customHeight="1" x14ac:dyDescent="0.2"/>
    <row r="540" customFormat="1" ht="15" customHeight="1" x14ac:dyDescent="0.2"/>
    <row r="541" customFormat="1" ht="15" customHeight="1" x14ac:dyDescent="0.2"/>
    <row r="542" customFormat="1" ht="15" customHeight="1" x14ac:dyDescent="0.2"/>
    <row r="543" customFormat="1" ht="15" customHeight="1" x14ac:dyDescent="0.2"/>
    <row r="544" customFormat="1" ht="15" customHeight="1" x14ac:dyDescent="0.2"/>
    <row r="545" customFormat="1" ht="15" customHeight="1" x14ac:dyDescent="0.2"/>
    <row r="546" customFormat="1" ht="15" customHeight="1" x14ac:dyDescent="0.2"/>
    <row r="547" customFormat="1" ht="15" customHeight="1" x14ac:dyDescent="0.2"/>
    <row r="548" customFormat="1" ht="15" customHeight="1" x14ac:dyDescent="0.2"/>
    <row r="549" customFormat="1" ht="15" customHeight="1" x14ac:dyDescent="0.2"/>
    <row r="550" customFormat="1" ht="15" customHeight="1" x14ac:dyDescent="0.2"/>
    <row r="551" customFormat="1" ht="15" customHeight="1" x14ac:dyDescent="0.2"/>
    <row r="552" customFormat="1" ht="15" customHeight="1" x14ac:dyDescent="0.2"/>
    <row r="553" customFormat="1" ht="15" customHeight="1" x14ac:dyDescent="0.2"/>
    <row r="554" customFormat="1" ht="15" customHeight="1" x14ac:dyDescent="0.2"/>
    <row r="555" customFormat="1" ht="15" customHeight="1" x14ac:dyDescent="0.2"/>
    <row r="556" customFormat="1" ht="15" customHeight="1" x14ac:dyDescent="0.2"/>
    <row r="557" customFormat="1" ht="15" customHeight="1" x14ac:dyDescent="0.2"/>
    <row r="558" customFormat="1" ht="15" customHeight="1" x14ac:dyDescent="0.2"/>
    <row r="559" customFormat="1" ht="15" customHeight="1" x14ac:dyDescent="0.2"/>
    <row r="560" customFormat="1" ht="15" customHeight="1" x14ac:dyDescent="0.2"/>
    <row r="561" customFormat="1" ht="15" customHeight="1" x14ac:dyDescent="0.2"/>
    <row r="562" customFormat="1" ht="15" customHeight="1" x14ac:dyDescent="0.2"/>
    <row r="563" customFormat="1" ht="15" customHeight="1" x14ac:dyDescent="0.2"/>
    <row r="564" customFormat="1" ht="15" customHeight="1" x14ac:dyDescent="0.2"/>
    <row r="565" customFormat="1" ht="15" customHeight="1" x14ac:dyDescent="0.2"/>
    <row r="566" customFormat="1" ht="15" customHeight="1" x14ac:dyDescent="0.2"/>
    <row r="567" customFormat="1" ht="15" customHeight="1" x14ac:dyDescent="0.2"/>
    <row r="568" customFormat="1" ht="15" customHeight="1" x14ac:dyDescent="0.2"/>
    <row r="569" customFormat="1" ht="15" customHeight="1" x14ac:dyDescent="0.2"/>
    <row r="570" customFormat="1" ht="15" customHeight="1" x14ac:dyDescent="0.2"/>
    <row r="571" customFormat="1" ht="15" customHeight="1" x14ac:dyDescent="0.2"/>
    <row r="572" customFormat="1" ht="15" customHeight="1" x14ac:dyDescent="0.2"/>
    <row r="573" customFormat="1" ht="15" customHeight="1" x14ac:dyDescent="0.2"/>
    <row r="574" customFormat="1" ht="15" customHeight="1" x14ac:dyDescent="0.2"/>
    <row r="575" customFormat="1" ht="15" customHeight="1" x14ac:dyDescent="0.2"/>
    <row r="576" customFormat="1" ht="15" customHeight="1" x14ac:dyDescent="0.2"/>
    <row r="577" customFormat="1" ht="15" customHeight="1" x14ac:dyDescent="0.2"/>
    <row r="578" customFormat="1" ht="15" customHeight="1" x14ac:dyDescent="0.2"/>
    <row r="579" customFormat="1" ht="15" customHeight="1" x14ac:dyDescent="0.2"/>
    <row r="580" customFormat="1" ht="15" customHeight="1" x14ac:dyDescent="0.2"/>
    <row r="581" customFormat="1" ht="15" customHeight="1" x14ac:dyDescent="0.2"/>
    <row r="582" customFormat="1" ht="15" customHeight="1" x14ac:dyDescent="0.2"/>
    <row r="583" customFormat="1" ht="15" customHeight="1" x14ac:dyDescent="0.2"/>
    <row r="584" customFormat="1" ht="15" customHeight="1" x14ac:dyDescent="0.2"/>
    <row r="585" customFormat="1" ht="15" customHeight="1" x14ac:dyDescent="0.2"/>
    <row r="586" customFormat="1" ht="15" customHeight="1" x14ac:dyDescent="0.2"/>
    <row r="587" customFormat="1" ht="15" customHeight="1" x14ac:dyDescent="0.2"/>
    <row r="588" customFormat="1" ht="15" customHeight="1" x14ac:dyDescent="0.2"/>
    <row r="589" customFormat="1" ht="15" customHeight="1" x14ac:dyDescent="0.2"/>
    <row r="590" customFormat="1" ht="15" customHeight="1" x14ac:dyDescent="0.2"/>
    <row r="591" customFormat="1" ht="15" customHeight="1" x14ac:dyDescent="0.2"/>
    <row r="592" customFormat="1" ht="15" customHeight="1" x14ac:dyDescent="0.2"/>
    <row r="593" customFormat="1" ht="15" customHeight="1" x14ac:dyDescent="0.2"/>
    <row r="594" customFormat="1" ht="15" customHeight="1" x14ac:dyDescent="0.2"/>
    <row r="595" customFormat="1" ht="15" customHeight="1" x14ac:dyDescent="0.2"/>
    <row r="596" customFormat="1" ht="15" customHeight="1" x14ac:dyDescent="0.2"/>
    <row r="597" customFormat="1" ht="15" customHeight="1" x14ac:dyDescent="0.2"/>
    <row r="598" customFormat="1" ht="15" customHeight="1" x14ac:dyDescent="0.2"/>
    <row r="599" customFormat="1" ht="15" customHeight="1" x14ac:dyDescent="0.2"/>
    <row r="600" customFormat="1" ht="15" customHeight="1" x14ac:dyDescent="0.2"/>
    <row r="601" customFormat="1" ht="15" customHeight="1" x14ac:dyDescent="0.2"/>
    <row r="602" customFormat="1" ht="15" customHeight="1" x14ac:dyDescent="0.2"/>
    <row r="603" customFormat="1" ht="15" customHeight="1" x14ac:dyDescent="0.2"/>
    <row r="604" customFormat="1" ht="15" customHeight="1" x14ac:dyDescent="0.2"/>
    <row r="605" customFormat="1" ht="15" customHeight="1" x14ac:dyDescent="0.2"/>
    <row r="606" customFormat="1" ht="15" customHeight="1" x14ac:dyDescent="0.2"/>
    <row r="607" customFormat="1" ht="15" customHeight="1" x14ac:dyDescent="0.2"/>
    <row r="608" customFormat="1" ht="15" customHeight="1" x14ac:dyDescent="0.2"/>
    <row r="609" customFormat="1" ht="15" customHeight="1" x14ac:dyDescent="0.2"/>
    <row r="610" customFormat="1" ht="15" customHeight="1" x14ac:dyDescent="0.2"/>
    <row r="611" customFormat="1" ht="15" customHeight="1" x14ac:dyDescent="0.2"/>
    <row r="612" customFormat="1" ht="15" customHeight="1" x14ac:dyDescent="0.2"/>
    <row r="613" customFormat="1" ht="15" customHeight="1" x14ac:dyDescent="0.2"/>
    <row r="614" customFormat="1" ht="15" customHeight="1" x14ac:dyDescent="0.2"/>
    <row r="615" customFormat="1" ht="15" customHeight="1" x14ac:dyDescent="0.2"/>
    <row r="616" customFormat="1" ht="15" customHeight="1" x14ac:dyDescent="0.2"/>
    <row r="617" customFormat="1" ht="15" customHeight="1" x14ac:dyDescent="0.2"/>
    <row r="618" customFormat="1" ht="15" customHeight="1" x14ac:dyDescent="0.2"/>
    <row r="619" customFormat="1" ht="15" customHeight="1" x14ac:dyDescent="0.2"/>
    <row r="620" customFormat="1" ht="15" customHeight="1" x14ac:dyDescent="0.2"/>
    <row r="621" customFormat="1" ht="15" customHeight="1" x14ac:dyDescent="0.2"/>
    <row r="622" customFormat="1" ht="15" customHeight="1" x14ac:dyDescent="0.2"/>
    <row r="623" customFormat="1" ht="15" customHeight="1" x14ac:dyDescent="0.2"/>
    <row r="624" customFormat="1" ht="15" customHeight="1" x14ac:dyDescent="0.2"/>
    <row r="625" customFormat="1" ht="15" customHeight="1" x14ac:dyDescent="0.2"/>
    <row r="626" customFormat="1" ht="15" customHeight="1" x14ac:dyDescent="0.2"/>
    <row r="627" customFormat="1" ht="15" customHeight="1" x14ac:dyDescent="0.2"/>
    <row r="628" customFormat="1" ht="15" customHeight="1" x14ac:dyDescent="0.2"/>
    <row r="629" customFormat="1" ht="15" customHeight="1" x14ac:dyDescent="0.2"/>
    <row r="630" customFormat="1" ht="15" customHeight="1" x14ac:dyDescent="0.2"/>
    <row r="631" customFormat="1" ht="15" customHeight="1" x14ac:dyDescent="0.2"/>
    <row r="632" customFormat="1" ht="15" customHeight="1" x14ac:dyDescent="0.2"/>
    <row r="633" customFormat="1" ht="15" customHeight="1" x14ac:dyDescent="0.2"/>
    <row r="634" customFormat="1" ht="15" customHeight="1" x14ac:dyDescent="0.2"/>
    <row r="635" customFormat="1" ht="15" customHeight="1" x14ac:dyDescent="0.2"/>
    <row r="636" customFormat="1" ht="15" customHeight="1" x14ac:dyDescent="0.2"/>
    <row r="637" customFormat="1" ht="15" customHeight="1" x14ac:dyDescent="0.2"/>
    <row r="638" customFormat="1" ht="15" customHeight="1" x14ac:dyDescent="0.2"/>
    <row r="639" customFormat="1" ht="15" customHeight="1" x14ac:dyDescent="0.2"/>
    <row r="640" customFormat="1" ht="15" customHeight="1" x14ac:dyDescent="0.2"/>
    <row r="641" customFormat="1" ht="15" customHeight="1" x14ac:dyDescent="0.2"/>
    <row r="642" customFormat="1" ht="15" customHeight="1" x14ac:dyDescent="0.2"/>
    <row r="643" customFormat="1" ht="15" customHeight="1" x14ac:dyDescent="0.2"/>
    <row r="644" customFormat="1" ht="15" customHeight="1" x14ac:dyDescent="0.2"/>
    <row r="645" customFormat="1" ht="15" customHeight="1" x14ac:dyDescent="0.2"/>
    <row r="646" customFormat="1" ht="15" customHeight="1" x14ac:dyDescent="0.2"/>
    <row r="647" customFormat="1" ht="15" customHeight="1" x14ac:dyDescent="0.2"/>
    <row r="648" customFormat="1" ht="15" customHeight="1" x14ac:dyDescent="0.2"/>
    <row r="649" customFormat="1" ht="15" customHeight="1" x14ac:dyDescent="0.2"/>
    <row r="650" customFormat="1" ht="15" customHeight="1" x14ac:dyDescent="0.2"/>
    <row r="651" customFormat="1" ht="15" customHeight="1" x14ac:dyDescent="0.2"/>
    <row r="652" customFormat="1" ht="15" customHeight="1" x14ac:dyDescent="0.2"/>
    <row r="653" customFormat="1" ht="15" customHeight="1" x14ac:dyDescent="0.2"/>
    <row r="654" customFormat="1" ht="15" customHeight="1" x14ac:dyDescent="0.2"/>
    <row r="655" customFormat="1" ht="15" customHeight="1" x14ac:dyDescent="0.2"/>
    <row r="656" customFormat="1" ht="15" customHeight="1" x14ac:dyDescent="0.2"/>
    <row r="657" customFormat="1" ht="15" customHeight="1" x14ac:dyDescent="0.2"/>
    <row r="658" customFormat="1" ht="15" customHeight="1" x14ac:dyDescent="0.2"/>
    <row r="659" customFormat="1" ht="15" customHeight="1" x14ac:dyDescent="0.2"/>
    <row r="660" customFormat="1" ht="15" customHeight="1" x14ac:dyDescent="0.2"/>
    <row r="661" customFormat="1" ht="15" customHeight="1" x14ac:dyDescent="0.2"/>
    <row r="662" customFormat="1" ht="15" customHeight="1" x14ac:dyDescent="0.2"/>
    <row r="663" customFormat="1" ht="15" customHeight="1" x14ac:dyDescent="0.2"/>
    <row r="664" customFormat="1" ht="15" customHeight="1" x14ac:dyDescent="0.2"/>
    <row r="665" customFormat="1" ht="15" customHeight="1" x14ac:dyDescent="0.2"/>
    <row r="666" customFormat="1" ht="15" customHeight="1" x14ac:dyDescent="0.2"/>
    <row r="667" customFormat="1" ht="15" customHeight="1" x14ac:dyDescent="0.2"/>
    <row r="668" customFormat="1" ht="15" customHeight="1" x14ac:dyDescent="0.2"/>
    <row r="669" customFormat="1" ht="15" customHeight="1" x14ac:dyDescent="0.2"/>
    <row r="670" customFormat="1" ht="15" customHeight="1" x14ac:dyDescent="0.2"/>
    <row r="671" customFormat="1" ht="15" customHeight="1" x14ac:dyDescent="0.2"/>
    <row r="672" customFormat="1" ht="15" customHeight="1" x14ac:dyDescent="0.2"/>
    <row r="673" customFormat="1" ht="15" customHeight="1" x14ac:dyDescent="0.2"/>
    <row r="674" customFormat="1" ht="15" customHeight="1" x14ac:dyDescent="0.2"/>
    <row r="675" customFormat="1" ht="15" customHeight="1" x14ac:dyDescent="0.2"/>
    <row r="676" customFormat="1" ht="15" customHeight="1" x14ac:dyDescent="0.2"/>
    <row r="677" customFormat="1" ht="15" customHeight="1" x14ac:dyDescent="0.2"/>
    <row r="678" customFormat="1" ht="15" customHeight="1" x14ac:dyDescent="0.2"/>
    <row r="679" customFormat="1" ht="15" customHeight="1" x14ac:dyDescent="0.2"/>
    <row r="680" customFormat="1" ht="15" customHeight="1" x14ac:dyDescent="0.2"/>
    <row r="681" customFormat="1" ht="15" customHeight="1" x14ac:dyDescent="0.2"/>
    <row r="682" customFormat="1" ht="15" customHeight="1" x14ac:dyDescent="0.2"/>
    <row r="683" customFormat="1" ht="15" customHeight="1" x14ac:dyDescent="0.2"/>
    <row r="684" customFormat="1" ht="15" customHeight="1" x14ac:dyDescent="0.2"/>
    <row r="685" customFormat="1" ht="15" customHeight="1" x14ac:dyDescent="0.2"/>
    <row r="686" customFormat="1" ht="15" customHeight="1" x14ac:dyDescent="0.2"/>
    <row r="687" customFormat="1" ht="15" customHeight="1" x14ac:dyDescent="0.2"/>
    <row r="688" customFormat="1" ht="15" customHeight="1" x14ac:dyDescent="0.2"/>
    <row r="689" customFormat="1" ht="15" customHeight="1" x14ac:dyDescent="0.2"/>
    <row r="690" customFormat="1" ht="15" customHeight="1" x14ac:dyDescent="0.2"/>
    <row r="691" customFormat="1" ht="15" customHeight="1" x14ac:dyDescent="0.2"/>
    <row r="692" customFormat="1" ht="15" customHeight="1" x14ac:dyDescent="0.2"/>
    <row r="693" customFormat="1" ht="15" customHeight="1" x14ac:dyDescent="0.2"/>
    <row r="694" customFormat="1" ht="15" customHeight="1" x14ac:dyDescent="0.2"/>
    <row r="695" customFormat="1" ht="15" customHeight="1" x14ac:dyDescent="0.2"/>
    <row r="696" customFormat="1" ht="15" customHeight="1" x14ac:dyDescent="0.2"/>
    <row r="697" customFormat="1" ht="15" customHeight="1" x14ac:dyDescent="0.2"/>
    <row r="698" customFormat="1" ht="16.5" customHeight="1" x14ac:dyDescent="0.2"/>
    <row r="699" customFormat="1" ht="15" customHeigh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  <row r="2796" customFormat="1" x14ac:dyDescent="0.2"/>
    <row r="2797" customFormat="1" x14ac:dyDescent="0.2"/>
    <row r="2798" customFormat="1" x14ac:dyDescent="0.2"/>
    <row r="2799" customFormat="1" x14ac:dyDescent="0.2"/>
    <row r="2800" customFormat="1" x14ac:dyDescent="0.2"/>
    <row r="2801" customFormat="1" x14ac:dyDescent="0.2"/>
    <row r="2802" customFormat="1" x14ac:dyDescent="0.2"/>
    <row r="2803" customFormat="1" x14ac:dyDescent="0.2"/>
    <row r="2804" customFormat="1" x14ac:dyDescent="0.2"/>
    <row r="2805" customFormat="1" x14ac:dyDescent="0.2"/>
    <row r="2806" customFormat="1" x14ac:dyDescent="0.2"/>
    <row r="2807" customFormat="1" x14ac:dyDescent="0.2"/>
    <row r="2808" customFormat="1" x14ac:dyDescent="0.2"/>
    <row r="2809" customFormat="1" x14ac:dyDescent="0.2"/>
    <row r="2810" customFormat="1" x14ac:dyDescent="0.2"/>
    <row r="2811" customFormat="1" x14ac:dyDescent="0.2"/>
    <row r="2812" customFormat="1" x14ac:dyDescent="0.2"/>
    <row r="2813" customFormat="1" x14ac:dyDescent="0.2"/>
    <row r="2814" customFormat="1" x14ac:dyDescent="0.2"/>
    <row r="2815" customFormat="1" x14ac:dyDescent="0.2"/>
    <row r="2816" customFormat="1" x14ac:dyDescent="0.2"/>
    <row r="2817" customFormat="1" x14ac:dyDescent="0.2"/>
    <row r="2818" customFormat="1" x14ac:dyDescent="0.2"/>
    <row r="2819" customFormat="1" x14ac:dyDescent="0.2"/>
    <row r="2820" customFormat="1" x14ac:dyDescent="0.2"/>
    <row r="2821" customFormat="1" x14ac:dyDescent="0.2"/>
    <row r="2822" customFormat="1" x14ac:dyDescent="0.2"/>
    <row r="2823" customFormat="1" x14ac:dyDescent="0.2"/>
    <row r="2824" customFormat="1" x14ac:dyDescent="0.2"/>
    <row r="2825" customFormat="1" x14ac:dyDescent="0.2"/>
    <row r="2826" customFormat="1" x14ac:dyDescent="0.2"/>
    <row r="2827" customFormat="1" x14ac:dyDescent="0.2"/>
    <row r="2828" customFormat="1" x14ac:dyDescent="0.2"/>
    <row r="2829" customFormat="1" x14ac:dyDescent="0.2"/>
    <row r="2830" customFormat="1" x14ac:dyDescent="0.2"/>
    <row r="2831" customFormat="1" x14ac:dyDescent="0.2"/>
    <row r="2832" customFormat="1" x14ac:dyDescent="0.2"/>
    <row r="2833" customFormat="1" x14ac:dyDescent="0.2"/>
    <row r="2834" customFormat="1" x14ac:dyDescent="0.2"/>
    <row r="2835" customFormat="1" x14ac:dyDescent="0.2"/>
    <row r="2836" customFormat="1" x14ac:dyDescent="0.2"/>
    <row r="2837" customFormat="1" x14ac:dyDescent="0.2"/>
    <row r="2838" customFormat="1" x14ac:dyDescent="0.2"/>
    <row r="2839" customFormat="1" x14ac:dyDescent="0.2"/>
    <row r="2840" customFormat="1" x14ac:dyDescent="0.2"/>
    <row r="2841" customFormat="1" x14ac:dyDescent="0.2"/>
    <row r="2842" customFormat="1" x14ac:dyDescent="0.2"/>
    <row r="2843" customFormat="1" x14ac:dyDescent="0.2"/>
    <row r="2844" customFormat="1" x14ac:dyDescent="0.2"/>
    <row r="2845" customFormat="1" x14ac:dyDescent="0.2"/>
    <row r="2846" customFormat="1" x14ac:dyDescent="0.2"/>
    <row r="2847" customFormat="1" x14ac:dyDescent="0.2"/>
    <row r="2848" customFormat="1" x14ac:dyDescent="0.2"/>
    <row r="2849" customFormat="1" x14ac:dyDescent="0.2"/>
    <row r="2850" customFormat="1" x14ac:dyDescent="0.2"/>
    <row r="2851" customFormat="1" x14ac:dyDescent="0.2"/>
    <row r="2852" customFormat="1" x14ac:dyDescent="0.2"/>
    <row r="2853" customFormat="1" x14ac:dyDescent="0.2"/>
    <row r="2854" customFormat="1" x14ac:dyDescent="0.2"/>
    <row r="2855" customFormat="1" x14ac:dyDescent="0.2"/>
    <row r="2856" customFormat="1" x14ac:dyDescent="0.2"/>
    <row r="2857" customFormat="1" x14ac:dyDescent="0.2"/>
    <row r="2858" customFormat="1" x14ac:dyDescent="0.2"/>
    <row r="2859" customFormat="1" x14ac:dyDescent="0.2"/>
    <row r="2860" customFormat="1" x14ac:dyDescent="0.2"/>
    <row r="2861" customFormat="1" x14ac:dyDescent="0.2"/>
    <row r="2862" customFormat="1" x14ac:dyDescent="0.2"/>
    <row r="2863" customFormat="1" x14ac:dyDescent="0.2"/>
    <row r="2864" customFormat="1" x14ac:dyDescent="0.2"/>
    <row r="2865" customFormat="1" x14ac:dyDescent="0.2"/>
    <row r="2866" customFormat="1" x14ac:dyDescent="0.2"/>
    <row r="2867" customFormat="1" x14ac:dyDescent="0.2"/>
    <row r="2868" customFormat="1" x14ac:dyDescent="0.2"/>
    <row r="2869" customFormat="1" x14ac:dyDescent="0.2"/>
    <row r="2870" customFormat="1" x14ac:dyDescent="0.2"/>
    <row r="2871" customFormat="1" x14ac:dyDescent="0.2"/>
    <row r="2872" customFormat="1" x14ac:dyDescent="0.2"/>
    <row r="2873" customFormat="1" x14ac:dyDescent="0.2"/>
    <row r="2874" customFormat="1" x14ac:dyDescent="0.2"/>
    <row r="2875" customFormat="1" x14ac:dyDescent="0.2"/>
    <row r="2876" customFormat="1" x14ac:dyDescent="0.2"/>
    <row r="2877" customFormat="1" x14ac:dyDescent="0.2"/>
    <row r="2878" customFormat="1" x14ac:dyDescent="0.2"/>
    <row r="2879" customFormat="1" x14ac:dyDescent="0.2"/>
    <row r="2880" customFormat="1" x14ac:dyDescent="0.2"/>
    <row r="2881" customFormat="1" x14ac:dyDescent="0.2"/>
    <row r="2882" customFormat="1" x14ac:dyDescent="0.2"/>
    <row r="2883" customFormat="1" x14ac:dyDescent="0.2"/>
    <row r="2884" customFormat="1" x14ac:dyDescent="0.2"/>
    <row r="2885" customFormat="1" x14ac:dyDescent="0.2"/>
    <row r="2886" customFormat="1" x14ac:dyDescent="0.2"/>
    <row r="2887" customFormat="1" x14ac:dyDescent="0.2"/>
    <row r="2888" customFormat="1" x14ac:dyDescent="0.2"/>
    <row r="2889" customFormat="1" x14ac:dyDescent="0.2"/>
    <row r="2890" customFormat="1" x14ac:dyDescent="0.2"/>
    <row r="2891" customFormat="1" x14ac:dyDescent="0.2"/>
    <row r="2892" customFormat="1" x14ac:dyDescent="0.2"/>
    <row r="2893" customFormat="1" x14ac:dyDescent="0.2"/>
    <row r="2894" customFormat="1" x14ac:dyDescent="0.2"/>
    <row r="2895" customFormat="1" x14ac:dyDescent="0.2"/>
    <row r="2896" customFormat="1" x14ac:dyDescent="0.2"/>
    <row r="2897" customFormat="1" x14ac:dyDescent="0.2"/>
    <row r="2898" customFormat="1" x14ac:dyDescent="0.2"/>
    <row r="2899" customFormat="1" x14ac:dyDescent="0.2"/>
    <row r="2900" customFormat="1" x14ac:dyDescent="0.2"/>
    <row r="2901" customFormat="1" x14ac:dyDescent="0.2"/>
    <row r="2902" customFormat="1" x14ac:dyDescent="0.2"/>
    <row r="2903" customFormat="1" x14ac:dyDescent="0.2"/>
    <row r="2904" customFormat="1" x14ac:dyDescent="0.2"/>
    <row r="2905" customFormat="1" x14ac:dyDescent="0.2"/>
    <row r="2906" customFormat="1" x14ac:dyDescent="0.2"/>
    <row r="2907" customFormat="1" x14ac:dyDescent="0.2"/>
    <row r="2908" customFormat="1" x14ac:dyDescent="0.2"/>
    <row r="2909" customFormat="1" x14ac:dyDescent="0.2"/>
    <row r="2910" customFormat="1" x14ac:dyDescent="0.2"/>
    <row r="2911" customFormat="1" x14ac:dyDescent="0.2"/>
    <row r="2912" customFormat="1" x14ac:dyDescent="0.2"/>
    <row r="2913" customFormat="1" x14ac:dyDescent="0.2"/>
    <row r="2914" customFormat="1" x14ac:dyDescent="0.2"/>
    <row r="2915" customFormat="1" x14ac:dyDescent="0.2"/>
    <row r="2916" customFormat="1" x14ac:dyDescent="0.2"/>
    <row r="2917" customFormat="1" x14ac:dyDescent="0.2"/>
    <row r="2918" customFormat="1" x14ac:dyDescent="0.2"/>
    <row r="2919" customFormat="1" x14ac:dyDescent="0.2"/>
    <row r="2920" customFormat="1" x14ac:dyDescent="0.2"/>
    <row r="2921" customFormat="1" x14ac:dyDescent="0.2"/>
    <row r="2922" customFormat="1" x14ac:dyDescent="0.2"/>
    <row r="2923" customFormat="1" x14ac:dyDescent="0.2"/>
    <row r="2924" customFormat="1" x14ac:dyDescent="0.2"/>
    <row r="2925" customFormat="1" x14ac:dyDescent="0.2"/>
    <row r="2926" customFormat="1" x14ac:dyDescent="0.2"/>
    <row r="2927" customFormat="1" x14ac:dyDescent="0.2"/>
    <row r="2928" customFormat="1" x14ac:dyDescent="0.2"/>
    <row r="2929" customFormat="1" x14ac:dyDescent="0.2"/>
    <row r="2930" customFormat="1" x14ac:dyDescent="0.2"/>
    <row r="2931" customFormat="1" x14ac:dyDescent="0.2"/>
    <row r="2932" customFormat="1" x14ac:dyDescent="0.2"/>
    <row r="2933" customFormat="1" x14ac:dyDescent="0.2"/>
    <row r="2934" customFormat="1" x14ac:dyDescent="0.2"/>
    <row r="2935" customFormat="1" x14ac:dyDescent="0.2"/>
    <row r="2936" customFormat="1" x14ac:dyDescent="0.2"/>
    <row r="2937" customFormat="1" x14ac:dyDescent="0.2"/>
    <row r="2938" customFormat="1" x14ac:dyDescent="0.2"/>
    <row r="2939" customFormat="1" x14ac:dyDescent="0.2"/>
    <row r="2940" customFormat="1" x14ac:dyDescent="0.2"/>
    <row r="2941" customFormat="1" x14ac:dyDescent="0.2"/>
    <row r="2942" customFormat="1" x14ac:dyDescent="0.2"/>
    <row r="2943" customFormat="1" x14ac:dyDescent="0.2"/>
    <row r="2944" customFormat="1" x14ac:dyDescent="0.2"/>
    <row r="2945" customFormat="1" x14ac:dyDescent="0.2"/>
    <row r="2946" customFormat="1" x14ac:dyDescent="0.2"/>
    <row r="2947" customFormat="1" x14ac:dyDescent="0.2"/>
    <row r="2948" customFormat="1" x14ac:dyDescent="0.2"/>
    <row r="2949" customFormat="1" x14ac:dyDescent="0.2"/>
    <row r="2950" customFormat="1" x14ac:dyDescent="0.2"/>
    <row r="2951" customFormat="1" x14ac:dyDescent="0.2"/>
    <row r="2952" customFormat="1" x14ac:dyDescent="0.2"/>
    <row r="2953" customFormat="1" x14ac:dyDescent="0.2"/>
    <row r="2954" customFormat="1" x14ac:dyDescent="0.2"/>
    <row r="2955" customFormat="1" x14ac:dyDescent="0.2"/>
    <row r="2956" customFormat="1" x14ac:dyDescent="0.2"/>
    <row r="2957" customFormat="1" x14ac:dyDescent="0.2"/>
    <row r="2958" customFormat="1" x14ac:dyDescent="0.2"/>
    <row r="2959" customFormat="1" x14ac:dyDescent="0.2"/>
    <row r="2960" customFormat="1" x14ac:dyDescent="0.2"/>
    <row r="2961" customFormat="1" x14ac:dyDescent="0.2"/>
    <row r="2962" customFormat="1" x14ac:dyDescent="0.2"/>
    <row r="2963" customFormat="1" x14ac:dyDescent="0.2"/>
    <row r="2964" customFormat="1" x14ac:dyDescent="0.2"/>
    <row r="2965" customFormat="1" x14ac:dyDescent="0.2"/>
    <row r="2966" customFormat="1" x14ac:dyDescent="0.2"/>
    <row r="2967" customFormat="1" x14ac:dyDescent="0.2"/>
    <row r="2968" customFormat="1" x14ac:dyDescent="0.2"/>
    <row r="2969" customFormat="1" x14ac:dyDescent="0.2"/>
    <row r="2970" customFormat="1" x14ac:dyDescent="0.2"/>
    <row r="2971" customFormat="1" x14ac:dyDescent="0.2"/>
    <row r="2972" customFormat="1" x14ac:dyDescent="0.2"/>
    <row r="2973" customFormat="1" x14ac:dyDescent="0.2"/>
    <row r="2974" customFormat="1" x14ac:dyDescent="0.2"/>
    <row r="2975" customFormat="1" x14ac:dyDescent="0.2"/>
    <row r="2976" customFormat="1" x14ac:dyDescent="0.2"/>
    <row r="2977" customFormat="1" x14ac:dyDescent="0.2"/>
    <row r="2978" customFormat="1" x14ac:dyDescent="0.2"/>
    <row r="2979" customFormat="1" x14ac:dyDescent="0.2"/>
    <row r="2980" customFormat="1" x14ac:dyDescent="0.2"/>
    <row r="2981" customFormat="1" x14ac:dyDescent="0.2"/>
    <row r="2982" customFormat="1" x14ac:dyDescent="0.2"/>
    <row r="2983" customFormat="1" x14ac:dyDescent="0.2"/>
    <row r="2984" customFormat="1" x14ac:dyDescent="0.2"/>
    <row r="2985" customFormat="1" x14ac:dyDescent="0.2"/>
    <row r="2986" customFormat="1" x14ac:dyDescent="0.2"/>
    <row r="2987" customFormat="1" x14ac:dyDescent="0.2"/>
    <row r="2988" customFormat="1" x14ac:dyDescent="0.2"/>
    <row r="2989" customFormat="1" x14ac:dyDescent="0.2"/>
    <row r="2990" customFormat="1" x14ac:dyDescent="0.2"/>
    <row r="2991" customFormat="1" x14ac:dyDescent="0.2"/>
    <row r="2992" customFormat="1" x14ac:dyDescent="0.2"/>
    <row r="2993" customFormat="1" x14ac:dyDescent="0.2"/>
    <row r="2994" customFormat="1" x14ac:dyDescent="0.2"/>
    <row r="2995" customFormat="1" x14ac:dyDescent="0.2"/>
    <row r="2996" customFormat="1" x14ac:dyDescent="0.2"/>
    <row r="2997" customFormat="1" x14ac:dyDescent="0.2"/>
    <row r="2998" customFormat="1" x14ac:dyDescent="0.2"/>
    <row r="2999" customFormat="1" x14ac:dyDescent="0.2"/>
    <row r="3000" customFormat="1" x14ac:dyDescent="0.2"/>
    <row r="3001" customFormat="1" x14ac:dyDescent="0.2"/>
    <row r="3002" customFormat="1" x14ac:dyDescent="0.2"/>
    <row r="3003" customFormat="1" x14ac:dyDescent="0.2"/>
    <row r="3004" customFormat="1" x14ac:dyDescent="0.2"/>
    <row r="3005" customFormat="1" x14ac:dyDescent="0.2"/>
    <row r="3006" customFormat="1" x14ac:dyDescent="0.2"/>
    <row r="3007" customFormat="1" x14ac:dyDescent="0.2"/>
    <row r="3008" customFormat="1" x14ac:dyDescent="0.2"/>
    <row r="3009" customFormat="1" x14ac:dyDescent="0.2"/>
    <row r="3010" customFormat="1" x14ac:dyDescent="0.2"/>
    <row r="3011" customFormat="1" x14ac:dyDescent="0.2"/>
    <row r="3012" customFormat="1" x14ac:dyDescent="0.2"/>
    <row r="3013" customFormat="1" x14ac:dyDescent="0.2"/>
    <row r="3014" customFormat="1" x14ac:dyDescent="0.2"/>
    <row r="3015" customFormat="1" x14ac:dyDescent="0.2"/>
    <row r="3016" customFormat="1" x14ac:dyDescent="0.2"/>
    <row r="3017" customFormat="1" x14ac:dyDescent="0.2"/>
    <row r="3018" customFormat="1" x14ac:dyDescent="0.2"/>
    <row r="3019" customFormat="1" x14ac:dyDescent="0.2"/>
    <row r="3020" customFormat="1" x14ac:dyDescent="0.2"/>
    <row r="3021" customFormat="1" x14ac:dyDescent="0.2"/>
    <row r="3022" customFormat="1" x14ac:dyDescent="0.2"/>
    <row r="3023" customFormat="1" x14ac:dyDescent="0.2"/>
    <row r="3024" customFormat="1" x14ac:dyDescent="0.2"/>
    <row r="3025" customFormat="1" x14ac:dyDescent="0.2"/>
    <row r="3026" customFormat="1" x14ac:dyDescent="0.2"/>
    <row r="3027" customFormat="1" x14ac:dyDescent="0.2"/>
    <row r="3028" customFormat="1" x14ac:dyDescent="0.2"/>
    <row r="3029" customFormat="1" x14ac:dyDescent="0.2"/>
    <row r="3030" customFormat="1" x14ac:dyDescent="0.2"/>
    <row r="3031" customFormat="1" x14ac:dyDescent="0.2"/>
    <row r="3032" customFormat="1" x14ac:dyDescent="0.2"/>
    <row r="3033" customFormat="1" x14ac:dyDescent="0.2"/>
    <row r="3034" customFormat="1" x14ac:dyDescent="0.2"/>
    <row r="3035" customFormat="1" x14ac:dyDescent="0.2"/>
    <row r="3036" customFormat="1" x14ac:dyDescent="0.2"/>
    <row r="3037" customFormat="1" x14ac:dyDescent="0.2"/>
    <row r="3038" customFormat="1" x14ac:dyDescent="0.2"/>
    <row r="3039" customFormat="1" x14ac:dyDescent="0.2"/>
    <row r="3040" customFormat="1" x14ac:dyDescent="0.2"/>
    <row r="3041" customFormat="1" x14ac:dyDescent="0.2"/>
    <row r="3042" customFormat="1" x14ac:dyDescent="0.2"/>
    <row r="3043" customFormat="1" x14ac:dyDescent="0.2"/>
    <row r="3044" customFormat="1" x14ac:dyDescent="0.2"/>
    <row r="3045" customFormat="1" x14ac:dyDescent="0.2"/>
    <row r="3046" customFormat="1" x14ac:dyDescent="0.2"/>
    <row r="3047" customFormat="1" x14ac:dyDescent="0.2"/>
    <row r="3048" customFormat="1" x14ac:dyDescent="0.2"/>
    <row r="3049" customFormat="1" x14ac:dyDescent="0.2"/>
    <row r="3050" customFormat="1" x14ac:dyDescent="0.2"/>
    <row r="3051" customFormat="1" x14ac:dyDescent="0.2"/>
    <row r="3052" customFormat="1" x14ac:dyDescent="0.2"/>
    <row r="3053" customFormat="1" x14ac:dyDescent="0.2"/>
    <row r="3054" customFormat="1" x14ac:dyDescent="0.2"/>
    <row r="3055" customFormat="1" x14ac:dyDescent="0.2"/>
    <row r="3056" customFormat="1" x14ac:dyDescent="0.2"/>
    <row r="3057" customFormat="1" x14ac:dyDescent="0.2"/>
    <row r="3058" customFormat="1" x14ac:dyDescent="0.2"/>
    <row r="3059" customFormat="1" x14ac:dyDescent="0.2"/>
    <row r="3060" customFormat="1" x14ac:dyDescent="0.2"/>
    <row r="3061" customFormat="1" x14ac:dyDescent="0.2"/>
    <row r="3062" customFormat="1" x14ac:dyDescent="0.2"/>
    <row r="3063" customFormat="1" x14ac:dyDescent="0.2"/>
    <row r="3064" customFormat="1" x14ac:dyDescent="0.2"/>
    <row r="3065" customFormat="1" x14ac:dyDescent="0.2"/>
    <row r="3066" customFormat="1" x14ac:dyDescent="0.2"/>
    <row r="3067" customFormat="1" x14ac:dyDescent="0.2"/>
    <row r="3068" customFormat="1" x14ac:dyDescent="0.2"/>
    <row r="3069" customFormat="1" x14ac:dyDescent="0.2"/>
    <row r="3070" customFormat="1" x14ac:dyDescent="0.2"/>
    <row r="3071" customFormat="1" x14ac:dyDescent="0.2"/>
    <row r="3072" customFormat="1" x14ac:dyDescent="0.2"/>
    <row r="3073" customFormat="1" x14ac:dyDescent="0.2"/>
    <row r="3074" customFormat="1" x14ac:dyDescent="0.2"/>
    <row r="3075" customFormat="1" x14ac:dyDescent="0.2"/>
    <row r="3076" customFormat="1" x14ac:dyDescent="0.2"/>
    <row r="3077" customFormat="1" x14ac:dyDescent="0.2"/>
    <row r="3078" customFormat="1" x14ac:dyDescent="0.2"/>
    <row r="3079" customFormat="1" x14ac:dyDescent="0.2"/>
    <row r="3080" customFormat="1" x14ac:dyDescent="0.2"/>
    <row r="3081" customFormat="1" x14ac:dyDescent="0.2"/>
    <row r="3082" customFormat="1" x14ac:dyDescent="0.2"/>
    <row r="3083" customFormat="1" x14ac:dyDescent="0.2"/>
    <row r="3084" customFormat="1" x14ac:dyDescent="0.2"/>
    <row r="3085" customFormat="1" x14ac:dyDescent="0.2"/>
    <row r="3086" customFormat="1" x14ac:dyDescent="0.2"/>
    <row r="3087" customFormat="1" x14ac:dyDescent="0.2"/>
    <row r="3088" customFormat="1" x14ac:dyDescent="0.2"/>
    <row r="3089" customFormat="1" x14ac:dyDescent="0.2"/>
    <row r="3090" customFormat="1" x14ac:dyDescent="0.2"/>
    <row r="3091" customFormat="1" x14ac:dyDescent="0.2"/>
    <row r="3092" customFormat="1" x14ac:dyDescent="0.2"/>
    <row r="3093" customFormat="1" x14ac:dyDescent="0.2"/>
    <row r="3094" customFormat="1" x14ac:dyDescent="0.2"/>
    <row r="3095" customFormat="1" x14ac:dyDescent="0.2"/>
    <row r="3096" customFormat="1" x14ac:dyDescent="0.2"/>
    <row r="3097" customFormat="1" x14ac:dyDescent="0.2"/>
    <row r="3098" customFormat="1" x14ac:dyDescent="0.2"/>
    <row r="3099" customFormat="1" x14ac:dyDescent="0.2"/>
    <row r="3100" customFormat="1" x14ac:dyDescent="0.2"/>
    <row r="3101" customFormat="1" x14ac:dyDescent="0.2"/>
    <row r="3102" customFormat="1" x14ac:dyDescent="0.2"/>
    <row r="3103" customFormat="1" x14ac:dyDescent="0.2"/>
    <row r="3104" customFormat="1" x14ac:dyDescent="0.2"/>
    <row r="3105" customFormat="1" x14ac:dyDescent="0.2"/>
    <row r="3106" customFormat="1" x14ac:dyDescent="0.2"/>
    <row r="3107" customFormat="1" x14ac:dyDescent="0.2"/>
    <row r="3108" customFormat="1" x14ac:dyDescent="0.2"/>
    <row r="3109" customFormat="1" x14ac:dyDescent="0.2"/>
    <row r="3110" customFormat="1" x14ac:dyDescent="0.2"/>
    <row r="3111" customFormat="1" x14ac:dyDescent="0.2"/>
    <row r="3112" customFormat="1" x14ac:dyDescent="0.2"/>
    <row r="3113" customFormat="1" x14ac:dyDescent="0.2"/>
    <row r="3114" customFormat="1" x14ac:dyDescent="0.2"/>
    <row r="3115" customFormat="1" x14ac:dyDescent="0.2"/>
    <row r="3116" customFormat="1" x14ac:dyDescent="0.2"/>
    <row r="3117" customFormat="1" x14ac:dyDescent="0.2"/>
    <row r="3118" customFormat="1" x14ac:dyDescent="0.2"/>
    <row r="3119" customFormat="1" x14ac:dyDescent="0.2"/>
    <row r="3120" customFormat="1" x14ac:dyDescent="0.2"/>
    <row r="3121" customFormat="1" x14ac:dyDescent="0.2"/>
    <row r="3122" customFormat="1" x14ac:dyDescent="0.2"/>
    <row r="3123" customFormat="1" x14ac:dyDescent="0.2"/>
    <row r="3124" customFormat="1" x14ac:dyDescent="0.2"/>
    <row r="3125" customFormat="1" x14ac:dyDescent="0.2"/>
    <row r="3126" customFormat="1" x14ac:dyDescent="0.2"/>
    <row r="3127" customFormat="1" x14ac:dyDescent="0.2"/>
    <row r="3128" customFormat="1" x14ac:dyDescent="0.2"/>
    <row r="3129" customFormat="1" x14ac:dyDescent="0.2"/>
    <row r="3130" customFormat="1" x14ac:dyDescent="0.2"/>
    <row r="3131" customFormat="1" x14ac:dyDescent="0.2"/>
    <row r="3132" customFormat="1" x14ac:dyDescent="0.2"/>
    <row r="3133" customFormat="1" x14ac:dyDescent="0.2"/>
    <row r="3134" customFormat="1" x14ac:dyDescent="0.2"/>
    <row r="3135" customFormat="1" x14ac:dyDescent="0.2"/>
    <row r="3136" customFormat="1" x14ac:dyDescent="0.2"/>
    <row r="3137" customFormat="1" x14ac:dyDescent="0.2"/>
    <row r="3138" customFormat="1" x14ac:dyDescent="0.2"/>
    <row r="3139" customFormat="1" x14ac:dyDescent="0.2"/>
    <row r="3140" customFormat="1" x14ac:dyDescent="0.2"/>
    <row r="3141" customFormat="1" x14ac:dyDescent="0.2"/>
    <row r="3142" customFormat="1" x14ac:dyDescent="0.2"/>
    <row r="3143" customFormat="1" x14ac:dyDescent="0.2"/>
    <row r="3144" customFormat="1" x14ac:dyDescent="0.2"/>
    <row r="3145" customFormat="1" x14ac:dyDescent="0.2"/>
    <row r="3146" customFormat="1" x14ac:dyDescent="0.2"/>
    <row r="3147" customFormat="1" x14ac:dyDescent="0.2"/>
    <row r="3148" customFormat="1" x14ac:dyDescent="0.2"/>
    <row r="3149" customFormat="1" x14ac:dyDescent="0.2"/>
    <row r="3150" customFormat="1" x14ac:dyDescent="0.2"/>
    <row r="3151" customFormat="1" x14ac:dyDescent="0.2"/>
    <row r="3152" customFormat="1" x14ac:dyDescent="0.2"/>
    <row r="3153" customFormat="1" x14ac:dyDescent="0.2"/>
    <row r="3154" customFormat="1" x14ac:dyDescent="0.2"/>
    <row r="3155" customFormat="1" x14ac:dyDescent="0.2"/>
    <row r="3156" customFormat="1" x14ac:dyDescent="0.2"/>
    <row r="3157" customFormat="1" x14ac:dyDescent="0.2"/>
    <row r="3158" customFormat="1" x14ac:dyDescent="0.2"/>
    <row r="3159" customFormat="1" x14ac:dyDescent="0.2"/>
    <row r="3160" customFormat="1" x14ac:dyDescent="0.2"/>
    <row r="3161" customFormat="1" x14ac:dyDescent="0.2"/>
    <row r="3162" customFormat="1" x14ac:dyDescent="0.2"/>
    <row r="3163" customFormat="1" x14ac:dyDescent="0.2"/>
    <row r="3164" customFormat="1" x14ac:dyDescent="0.2"/>
    <row r="3165" customFormat="1" x14ac:dyDescent="0.2"/>
    <row r="3166" customFormat="1" x14ac:dyDescent="0.2"/>
    <row r="3167" customFormat="1" x14ac:dyDescent="0.2"/>
    <row r="3168" customFormat="1" x14ac:dyDescent="0.2"/>
    <row r="3169" customFormat="1" x14ac:dyDescent="0.2"/>
    <row r="3170" customFormat="1" x14ac:dyDescent="0.2"/>
    <row r="3171" customFormat="1" x14ac:dyDescent="0.2"/>
    <row r="3172" customFormat="1" x14ac:dyDescent="0.2"/>
    <row r="3173" customFormat="1" x14ac:dyDescent="0.2"/>
    <row r="3174" customFormat="1" x14ac:dyDescent="0.2"/>
    <row r="3175" customFormat="1" x14ac:dyDescent="0.2"/>
    <row r="3176" customFormat="1" x14ac:dyDescent="0.2"/>
    <row r="3177" customFormat="1" x14ac:dyDescent="0.2"/>
    <row r="3178" customFormat="1" x14ac:dyDescent="0.2"/>
    <row r="3179" customFormat="1" x14ac:dyDescent="0.2"/>
    <row r="3180" customFormat="1" x14ac:dyDescent="0.2"/>
    <row r="3181" customFormat="1" x14ac:dyDescent="0.2"/>
    <row r="3182" customFormat="1" x14ac:dyDescent="0.2"/>
    <row r="3183" customFormat="1" x14ac:dyDescent="0.2"/>
    <row r="3184" customFormat="1" x14ac:dyDescent="0.2"/>
    <row r="3185" customFormat="1" x14ac:dyDescent="0.2"/>
    <row r="3186" customFormat="1" x14ac:dyDescent="0.2"/>
    <row r="3187" customFormat="1" x14ac:dyDescent="0.2"/>
    <row r="3188" customFormat="1" x14ac:dyDescent="0.2"/>
    <row r="3189" customFormat="1" x14ac:dyDescent="0.2"/>
    <row r="3190" customFormat="1" x14ac:dyDescent="0.2"/>
    <row r="3191" customFormat="1" x14ac:dyDescent="0.2"/>
    <row r="3192" customFormat="1" x14ac:dyDescent="0.2"/>
    <row r="3193" customFormat="1" x14ac:dyDescent="0.2"/>
    <row r="3194" customFormat="1" x14ac:dyDescent="0.2"/>
    <row r="3195" customFormat="1" x14ac:dyDescent="0.2"/>
    <row r="3196" customFormat="1" x14ac:dyDescent="0.2"/>
    <row r="3197" customFormat="1" x14ac:dyDescent="0.2"/>
    <row r="3198" customFormat="1" x14ac:dyDescent="0.2"/>
    <row r="3199" customFormat="1" x14ac:dyDescent="0.2"/>
    <row r="3200" customFormat="1" x14ac:dyDescent="0.2"/>
    <row r="3201" customFormat="1" x14ac:dyDescent="0.2"/>
    <row r="3202" customFormat="1" x14ac:dyDescent="0.2"/>
    <row r="3203" customFormat="1" x14ac:dyDescent="0.2"/>
    <row r="3204" customFormat="1" x14ac:dyDescent="0.2"/>
    <row r="3205" customFormat="1" x14ac:dyDescent="0.2"/>
    <row r="3206" customFormat="1" x14ac:dyDescent="0.2"/>
    <row r="3207" customFormat="1" x14ac:dyDescent="0.2"/>
    <row r="3208" customFormat="1" x14ac:dyDescent="0.2"/>
    <row r="3209" customFormat="1" x14ac:dyDescent="0.2"/>
    <row r="3210" customFormat="1" x14ac:dyDescent="0.2"/>
    <row r="3211" customFormat="1" x14ac:dyDescent="0.2"/>
    <row r="3212" customFormat="1" x14ac:dyDescent="0.2"/>
    <row r="3213" customFormat="1" x14ac:dyDescent="0.2"/>
    <row r="3214" customFormat="1" x14ac:dyDescent="0.2"/>
    <row r="3215" customFormat="1" x14ac:dyDescent="0.2"/>
    <row r="3216" customFormat="1" x14ac:dyDescent="0.2"/>
    <row r="3217" customFormat="1" x14ac:dyDescent="0.2"/>
    <row r="3218" customFormat="1" x14ac:dyDescent="0.2"/>
    <row r="3219" customFormat="1" x14ac:dyDescent="0.2"/>
    <row r="3220" customFormat="1" x14ac:dyDescent="0.2"/>
    <row r="3221" customFormat="1" x14ac:dyDescent="0.2"/>
    <row r="3222" customFormat="1" x14ac:dyDescent="0.2"/>
    <row r="3223" customFormat="1" x14ac:dyDescent="0.2"/>
    <row r="3224" customFormat="1" x14ac:dyDescent="0.2"/>
    <row r="3225" customFormat="1" x14ac:dyDescent="0.2"/>
    <row r="3226" customFormat="1" x14ac:dyDescent="0.2"/>
    <row r="3227" customFormat="1" x14ac:dyDescent="0.2"/>
    <row r="3228" customFormat="1" x14ac:dyDescent="0.2"/>
    <row r="3229" customFormat="1" x14ac:dyDescent="0.2"/>
    <row r="3230" customFormat="1" x14ac:dyDescent="0.2"/>
    <row r="3231" customFormat="1" x14ac:dyDescent="0.2"/>
    <row r="3232" customFormat="1" x14ac:dyDescent="0.2"/>
    <row r="3233" customFormat="1" x14ac:dyDescent="0.2"/>
    <row r="3234" customFormat="1" x14ac:dyDescent="0.2"/>
    <row r="3235" customFormat="1" x14ac:dyDescent="0.2"/>
    <row r="3236" customFormat="1" x14ac:dyDescent="0.2"/>
    <row r="3237" customFormat="1" x14ac:dyDescent="0.2"/>
    <row r="3238" customFormat="1" x14ac:dyDescent="0.2"/>
    <row r="3239" customFormat="1" x14ac:dyDescent="0.2"/>
    <row r="3240" customFormat="1" x14ac:dyDescent="0.2"/>
    <row r="3241" customFormat="1" x14ac:dyDescent="0.2"/>
    <row r="3242" customFormat="1" x14ac:dyDescent="0.2"/>
    <row r="3243" customFormat="1" x14ac:dyDescent="0.2"/>
    <row r="3244" customFormat="1" x14ac:dyDescent="0.2"/>
    <row r="3245" customFormat="1" x14ac:dyDescent="0.2"/>
    <row r="3246" customFormat="1" x14ac:dyDescent="0.2"/>
    <row r="3247" customFormat="1" x14ac:dyDescent="0.2"/>
    <row r="3248" customFormat="1" x14ac:dyDescent="0.2"/>
    <row r="3249" customFormat="1" x14ac:dyDescent="0.2"/>
    <row r="3250" customFormat="1" x14ac:dyDescent="0.2"/>
    <row r="3251" customFormat="1" x14ac:dyDescent="0.2"/>
    <row r="3252" customFormat="1" x14ac:dyDescent="0.2"/>
    <row r="3253" customFormat="1" x14ac:dyDescent="0.2"/>
    <row r="3254" customFormat="1" x14ac:dyDescent="0.2"/>
    <row r="3255" customFormat="1" x14ac:dyDescent="0.2"/>
    <row r="3256" customFormat="1" x14ac:dyDescent="0.2"/>
    <row r="3257" customFormat="1" x14ac:dyDescent="0.2"/>
    <row r="3258" customFormat="1" x14ac:dyDescent="0.2"/>
    <row r="3259" customFormat="1" x14ac:dyDescent="0.2"/>
    <row r="3260" customFormat="1" x14ac:dyDescent="0.2"/>
    <row r="3261" customFormat="1" x14ac:dyDescent="0.2"/>
    <row r="3262" customFormat="1" x14ac:dyDescent="0.2"/>
    <row r="3263" customFormat="1" x14ac:dyDescent="0.2"/>
    <row r="3264" customFormat="1" x14ac:dyDescent="0.2"/>
    <row r="3265" customFormat="1" x14ac:dyDescent="0.2"/>
    <row r="3266" customFormat="1" x14ac:dyDescent="0.2"/>
    <row r="3267" customFormat="1" x14ac:dyDescent="0.2"/>
    <row r="3268" customFormat="1" x14ac:dyDescent="0.2"/>
    <row r="3269" customFormat="1" x14ac:dyDescent="0.2"/>
    <row r="3270" customFormat="1" x14ac:dyDescent="0.2"/>
    <row r="3271" customFormat="1" x14ac:dyDescent="0.2"/>
    <row r="3272" customFormat="1" x14ac:dyDescent="0.2"/>
    <row r="3273" customFormat="1" x14ac:dyDescent="0.2"/>
    <row r="3274" customFormat="1" x14ac:dyDescent="0.2"/>
    <row r="3275" customFormat="1" x14ac:dyDescent="0.2"/>
    <row r="3276" customFormat="1" x14ac:dyDescent="0.2"/>
    <row r="3277" customFormat="1" x14ac:dyDescent="0.2"/>
    <row r="3278" customFormat="1" x14ac:dyDescent="0.2"/>
    <row r="3279" customFormat="1" x14ac:dyDescent="0.2"/>
    <row r="3280" customFormat="1" x14ac:dyDescent="0.2"/>
    <row r="3281" customFormat="1" x14ac:dyDescent="0.2"/>
    <row r="3282" customFormat="1" x14ac:dyDescent="0.2"/>
    <row r="3283" customFormat="1" x14ac:dyDescent="0.2"/>
    <row r="3284" customFormat="1" x14ac:dyDescent="0.2"/>
    <row r="3285" customFormat="1" x14ac:dyDescent="0.2"/>
    <row r="3286" customFormat="1" x14ac:dyDescent="0.2"/>
    <row r="3287" customFormat="1" x14ac:dyDescent="0.2"/>
    <row r="3288" customFormat="1" x14ac:dyDescent="0.2"/>
    <row r="3289" customFormat="1" x14ac:dyDescent="0.2"/>
    <row r="3290" customFormat="1" x14ac:dyDescent="0.2"/>
    <row r="3291" customFormat="1" x14ac:dyDescent="0.2"/>
    <row r="3292" customFormat="1" x14ac:dyDescent="0.2"/>
    <row r="3293" customFormat="1" x14ac:dyDescent="0.2"/>
    <row r="3294" customFormat="1" x14ac:dyDescent="0.2"/>
    <row r="3295" customFormat="1" x14ac:dyDescent="0.2"/>
    <row r="3296" customFormat="1" x14ac:dyDescent="0.2"/>
    <row r="3297" customFormat="1" x14ac:dyDescent="0.2"/>
    <row r="3298" customFormat="1" x14ac:dyDescent="0.2"/>
    <row r="3299" customFormat="1" x14ac:dyDescent="0.2"/>
    <row r="3300" customFormat="1" x14ac:dyDescent="0.2"/>
    <row r="3301" customFormat="1" x14ac:dyDescent="0.2"/>
    <row r="3302" customFormat="1" x14ac:dyDescent="0.2"/>
    <row r="3303" customFormat="1" x14ac:dyDescent="0.2"/>
    <row r="3304" customFormat="1" x14ac:dyDescent="0.2"/>
    <row r="3305" customFormat="1" x14ac:dyDescent="0.2"/>
    <row r="3306" customFormat="1" x14ac:dyDescent="0.2"/>
    <row r="3307" customFormat="1" x14ac:dyDescent="0.2"/>
    <row r="3308" customFormat="1" x14ac:dyDescent="0.2"/>
    <row r="3309" customFormat="1" x14ac:dyDescent="0.2"/>
    <row r="3310" customFormat="1" x14ac:dyDescent="0.2"/>
    <row r="3311" customFormat="1" x14ac:dyDescent="0.2"/>
    <row r="3312" customFormat="1" x14ac:dyDescent="0.2"/>
    <row r="3313" customFormat="1" x14ac:dyDescent="0.2"/>
    <row r="3314" customFormat="1" x14ac:dyDescent="0.2"/>
    <row r="3315" customFormat="1" x14ac:dyDescent="0.2"/>
    <row r="3316" customFormat="1" x14ac:dyDescent="0.2"/>
    <row r="3317" customFormat="1" x14ac:dyDescent="0.2"/>
    <row r="3318" customFormat="1" x14ac:dyDescent="0.2"/>
    <row r="3319" customFormat="1" x14ac:dyDescent="0.2"/>
    <row r="3320" customFormat="1" x14ac:dyDescent="0.2"/>
    <row r="3321" customFormat="1" x14ac:dyDescent="0.2"/>
    <row r="3322" customFormat="1" x14ac:dyDescent="0.2"/>
    <row r="3323" customFormat="1" x14ac:dyDescent="0.2"/>
    <row r="3324" customFormat="1" x14ac:dyDescent="0.2"/>
    <row r="3325" customFormat="1" x14ac:dyDescent="0.2"/>
    <row r="3326" customFormat="1" x14ac:dyDescent="0.2"/>
    <row r="3327" customFormat="1" x14ac:dyDescent="0.2"/>
    <row r="3328" customFormat="1" x14ac:dyDescent="0.2"/>
    <row r="3329" customFormat="1" x14ac:dyDescent="0.2"/>
    <row r="3330" customFormat="1" x14ac:dyDescent="0.2"/>
    <row r="3331" customFormat="1" x14ac:dyDescent="0.2"/>
    <row r="3332" customFormat="1" x14ac:dyDescent="0.2"/>
    <row r="3333" customFormat="1" x14ac:dyDescent="0.2"/>
    <row r="3334" customFormat="1" x14ac:dyDescent="0.2"/>
    <row r="3335" customFormat="1" x14ac:dyDescent="0.2"/>
    <row r="3336" customFormat="1" x14ac:dyDescent="0.2"/>
    <row r="3337" customFormat="1" x14ac:dyDescent="0.2"/>
    <row r="3338" customFormat="1" x14ac:dyDescent="0.2"/>
    <row r="3339" customFormat="1" x14ac:dyDescent="0.2"/>
    <row r="3340" customFormat="1" x14ac:dyDescent="0.2"/>
    <row r="3341" customFormat="1" x14ac:dyDescent="0.2"/>
    <row r="3342" customFormat="1" x14ac:dyDescent="0.2"/>
    <row r="3343" customFormat="1" x14ac:dyDescent="0.2"/>
    <row r="3344" customFormat="1" x14ac:dyDescent="0.2"/>
    <row r="3345" customFormat="1" x14ac:dyDescent="0.2"/>
    <row r="3346" customFormat="1" x14ac:dyDescent="0.2"/>
    <row r="3347" customFormat="1" x14ac:dyDescent="0.2"/>
    <row r="3348" customFormat="1" x14ac:dyDescent="0.2"/>
    <row r="3349" customFormat="1" x14ac:dyDescent="0.2"/>
    <row r="3350" customFormat="1" x14ac:dyDescent="0.2"/>
    <row r="3351" customFormat="1" x14ac:dyDescent="0.2"/>
    <row r="3352" customFormat="1" x14ac:dyDescent="0.2"/>
    <row r="3353" customFormat="1" x14ac:dyDescent="0.2"/>
    <row r="3354" customFormat="1" x14ac:dyDescent="0.2"/>
    <row r="3355" customFormat="1" x14ac:dyDescent="0.2"/>
    <row r="3356" customFormat="1" x14ac:dyDescent="0.2"/>
    <row r="3357" customFormat="1" x14ac:dyDescent="0.2"/>
    <row r="3358" customFormat="1" x14ac:dyDescent="0.2"/>
    <row r="3359" customFormat="1" x14ac:dyDescent="0.2"/>
    <row r="3360" customFormat="1" x14ac:dyDescent="0.2"/>
    <row r="3361" customFormat="1" x14ac:dyDescent="0.2"/>
    <row r="3362" customFormat="1" x14ac:dyDescent="0.2"/>
    <row r="3363" customFormat="1" x14ac:dyDescent="0.2"/>
    <row r="3364" customFormat="1" x14ac:dyDescent="0.2"/>
    <row r="3365" customFormat="1" x14ac:dyDescent="0.2"/>
    <row r="3366" customFormat="1" x14ac:dyDescent="0.2"/>
    <row r="3367" customFormat="1" x14ac:dyDescent="0.2"/>
    <row r="3368" customFormat="1" x14ac:dyDescent="0.2"/>
    <row r="3369" customFormat="1" x14ac:dyDescent="0.2"/>
    <row r="3370" customFormat="1" x14ac:dyDescent="0.2"/>
    <row r="3371" customFormat="1" x14ac:dyDescent="0.2"/>
    <row r="3372" customFormat="1" x14ac:dyDescent="0.2"/>
    <row r="3373" customFormat="1" x14ac:dyDescent="0.2"/>
    <row r="3374" customFormat="1" x14ac:dyDescent="0.2"/>
    <row r="3375" customFormat="1" x14ac:dyDescent="0.2"/>
    <row r="3376" customFormat="1" x14ac:dyDescent="0.2"/>
    <row r="3377" customFormat="1" x14ac:dyDescent="0.2"/>
    <row r="3378" customFormat="1" x14ac:dyDescent="0.2"/>
    <row r="3379" customFormat="1" x14ac:dyDescent="0.2"/>
    <row r="3380" customFormat="1" x14ac:dyDescent="0.2"/>
    <row r="3381" customFormat="1" x14ac:dyDescent="0.2"/>
    <row r="3382" customFormat="1" x14ac:dyDescent="0.2"/>
    <row r="3383" customFormat="1" x14ac:dyDescent="0.2"/>
    <row r="3384" customFormat="1" x14ac:dyDescent="0.2"/>
    <row r="3385" customFormat="1" x14ac:dyDescent="0.2"/>
    <row r="3386" customFormat="1" x14ac:dyDescent="0.2"/>
    <row r="3387" customFormat="1" x14ac:dyDescent="0.2"/>
    <row r="3388" customFormat="1" x14ac:dyDescent="0.2"/>
    <row r="3389" customFormat="1" x14ac:dyDescent="0.2"/>
    <row r="3390" customFormat="1" x14ac:dyDescent="0.2"/>
    <row r="3391" customFormat="1" x14ac:dyDescent="0.2"/>
    <row r="3392" customFormat="1" x14ac:dyDescent="0.2"/>
    <row r="3393" customFormat="1" x14ac:dyDescent="0.2"/>
    <row r="3394" customFormat="1" x14ac:dyDescent="0.2"/>
    <row r="3395" customFormat="1" x14ac:dyDescent="0.2"/>
    <row r="3396" customFormat="1" x14ac:dyDescent="0.2"/>
    <row r="3397" customFormat="1" x14ac:dyDescent="0.2"/>
    <row r="3398" customFormat="1" x14ac:dyDescent="0.2"/>
    <row r="3399" customFormat="1" x14ac:dyDescent="0.2"/>
    <row r="3400" customFormat="1" x14ac:dyDescent="0.2"/>
    <row r="3401" customFormat="1" x14ac:dyDescent="0.2"/>
    <row r="3402" customFormat="1" x14ac:dyDescent="0.2"/>
    <row r="3403" customFormat="1" x14ac:dyDescent="0.2"/>
    <row r="3404" customFormat="1" x14ac:dyDescent="0.2"/>
    <row r="3405" customFormat="1" x14ac:dyDescent="0.2"/>
    <row r="3406" customFormat="1" x14ac:dyDescent="0.2"/>
    <row r="3407" customFormat="1" x14ac:dyDescent="0.2"/>
    <row r="3408" customFormat="1" x14ac:dyDescent="0.2"/>
    <row r="3409" customFormat="1" x14ac:dyDescent="0.2"/>
    <row r="3410" customFormat="1" x14ac:dyDescent="0.2"/>
    <row r="3411" customFormat="1" x14ac:dyDescent="0.2"/>
    <row r="3412" customFormat="1" x14ac:dyDescent="0.2"/>
    <row r="3413" customFormat="1" x14ac:dyDescent="0.2"/>
    <row r="3414" customFormat="1" x14ac:dyDescent="0.2"/>
    <row r="3415" customFormat="1" x14ac:dyDescent="0.2"/>
    <row r="3416" customFormat="1" x14ac:dyDescent="0.2"/>
    <row r="3417" customFormat="1" x14ac:dyDescent="0.2"/>
    <row r="3418" customFormat="1" x14ac:dyDescent="0.2"/>
    <row r="3419" customFormat="1" x14ac:dyDescent="0.2"/>
    <row r="3420" customFormat="1" x14ac:dyDescent="0.2"/>
    <row r="3421" customFormat="1" x14ac:dyDescent="0.2"/>
    <row r="3422" customFormat="1" x14ac:dyDescent="0.2"/>
    <row r="3423" customFormat="1" x14ac:dyDescent="0.2"/>
    <row r="3424" customFormat="1" x14ac:dyDescent="0.2"/>
    <row r="3425" customFormat="1" x14ac:dyDescent="0.2"/>
    <row r="3426" customFormat="1" x14ac:dyDescent="0.2"/>
    <row r="3427" customFormat="1" x14ac:dyDescent="0.2"/>
    <row r="3428" customFormat="1" x14ac:dyDescent="0.2"/>
    <row r="3429" customFormat="1" x14ac:dyDescent="0.2"/>
    <row r="3430" customFormat="1" x14ac:dyDescent="0.2"/>
    <row r="3431" customFormat="1" x14ac:dyDescent="0.2"/>
    <row r="3432" customFormat="1" x14ac:dyDescent="0.2"/>
    <row r="3433" customFormat="1" x14ac:dyDescent="0.2"/>
    <row r="3434" customFormat="1" x14ac:dyDescent="0.2"/>
    <row r="3435" customFormat="1" x14ac:dyDescent="0.2"/>
    <row r="3436" customFormat="1" x14ac:dyDescent="0.2"/>
    <row r="3437" customFormat="1" x14ac:dyDescent="0.2"/>
    <row r="3438" customFormat="1" x14ac:dyDescent="0.2"/>
    <row r="3439" customFormat="1" x14ac:dyDescent="0.2"/>
    <row r="3440" customFormat="1" x14ac:dyDescent="0.2"/>
    <row r="3441" customFormat="1" x14ac:dyDescent="0.2"/>
    <row r="3442" customFormat="1" x14ac:dyDescent="0.2"/>
    <row r="3443" customFormat="1" x14ac:dyDescent="0.2"/>
    <row r="3444" customFormat="1" x14ac:dyDescent="0.2"/>
    <row r="3445" customFormat="1" x14ac:dyDescent="0.2"/>
    <row r="3446" customFormat="1" x14ac:dyDescent="0.2"/>
    <row r="3447" customFormat="1" x14ac:dyDescent="0.2"/>
    <row r="3448" customFormat="1" x14ac:dyDescent="0.2"/>
    <row r="3449" customFormat="1" x14ac:dyDescent="0.2"/>
    <row r="3450" customFormat="1" x14ac:dyDescent="0.2"/>
    <row r="3451" customFormat="1" x14ac:dyDescent="0.2"/>
    <row r="3452" customFormat="1" x14ac:dyDescent="0.2"/>
    <row r="3453" customFormat="1" x14ac:dyDescent="0.2"/>
    <row r="3454" customFormat="1" x14ac:dyDescent="0.2"/>
    <row r="3455" customFormat="1" x14ac:dyDescent="0.2"/>
    <row r="3456" customFormat="1" x14ac:dyDescent="0.2"/>
    <row r="3457" customFormat="1" x14ac:dyDescent="0.2"/>
    <row r="3458" customFormat="1" x14ac:dyDescent="0.2"/>
    <row r="3459" customFormat="1" x14ac:dyDescent="0.2"/>
    <row r="3460" customFormat="1" x14ac:dyDescent="0.2"/>
    <row r="3461" customFormat="1" x14ac:dyDescent="0.2"/>
    <row r="3462" customFormat="1" x14ac:dyDescent="0.2"/>
    <row r="3463" customFormat="1" x14ac:dyDescent="0.2"/>
    <row r="3464" customFormat="1" x14ac:dyDescent="0.2"/>
    <row r="3465" customFormat="1" x14ac:dyDescent="0.2"/>
    <row r="3466" customFormat="1" x14ac:dyDescent="0.2"/>
    <row r="3467" customFormat="1" x14ac:dyDescent="0.2"/>
    <row r="3468" customFormat="1" x14ac:dyDescent="0.2"/>
    <row r="3469" customFormat="1" x14ac:dyDescent="0.2"/>
    <row r="3470" customFormat="1" x14ac:dyDescent="0.2"/>
    <row r="3471" customFormat="1" x14ac:dyDescent="0.2"/>
    <row r="3472" customFormat="1" x14ac:dyDescent="0.2"/>
    <row r="3473" customFormat="1" x14ac:dyDescent="0.2"/>
    <row r="3474" customFormat="1" x14ac:dyDescent="0.2"/>
    <row r="3475" customFormat="1" x14ac:dyDescent="0.2"/>
    <row r="3476" customFormat="1" x14ac:dyDescent="0.2"/>
    <row r="3477" customFormat="1" x14ac:dyDescent="0.2"/>
    <row r="3478" customFormat="1" x14ac:dyDescent="0.2"/>
    <row r="3479" customFormat="1" x14ac:dyDescent="0.2"/>
    <row r="3480" customFormat="1" x14ac:dyDescent="0.2"/>
    <row r="3481" customFormat="1" x14ac:dyDescent="0.2"/>
    <row r="3482" customFormat="1" x14ac:dyDescent="0.2"/>
    <row r="3483" customFormat="1" x14ac:dyDescent="0.2"/>
    <row r="3484" customFormat="1" x14ac:dyDescent="0.2"/>
    <row r="3485" customFormat="1" x14ac:dyDescent="0.2"/>
    <row r="3486" customFormat="1" x14ac:dyDescent="0.2"/>
    <row r="3487" customFormat="1" x14ac:dyDescent="0.2"/>
    <row r="3488" customFormat="1" x14ac:dyDescent="0.2"/>
    <row r="3489" customFormat="1" x14ac:dyDescent="0.2"/>
    <row r="3490" customFormat="1" x14ac:dyDescent="0.2"/>
    <row r="3491" customFormat="1" x14ac:dyDescent="0.2"/>
    <row r="3492" customFormat="1" x14ac:dyDescent="0.2"/>
    <row r="3493" customFormat="1" x14ac:dyDescent="0.2"/>
    <row r="3494" customFormat="1" x14ac:dyDescent="0.2"/>
    <row r="3495" customFormat="1" x14ac:dyDescent="0.2"/>
    <row r="3496" customFormat="1" x14ac:dyDescent="0.2"/>
    <row r="3497" customFormat="1" x14ac:dyDescent="0.2"/>
    <row r="3498" customFormat="1" x14ac:dyDescent="0.2"/>
    <row r="3499" customFormat="1" x14ac:dyDescent="0.2"/>
    <row r="3500" customFormat="1" x14ac:dyDescent="0.2"/>
    <row r="3501" customFormat="1" x14ac:dyDescent="0.2"/>
    <row r="3502" customFormat="1" x14ac:dyDescent="0.2"/>
    <row r="3503" customFormat="1" x14ac:dyDescent="0.2"/>
    <row r="3504" customFormat="1" x14ac:dyDescent="0.2"/>
    <row r="3505" customFormat="1" x14ac:dyDescent="0.2"/>
    <row r="3506" customFormat="1" x14ac:dyDescent="0.2"/>
    <row r="3507" customFormat="1" x14ac:dyDescent="0.2"/>
    <row r="3508" customFormat="1" x14ac:dyDescent="0.2"/>
    <row r="3509" customFormat="1" x14ac:dyDescent="0.2"/>
    <row r="3510" customFormat="1" x14ac:dyDescent="0.2"/>
    <row r="3511" customFormat="1" x14ac:dyDescent="0.2"/>
    <row r="3512" customFormat="1" x14ac:dyDescent="0.2"/>
    <row r="3513" customFormat="1" x14ac:dyDescent="0.2"/>
    <row r="3514" customFormat="1" x14ac:dyDescent="0.2"/>
    <row r="3515" customFormat="1" x14ac:dyDescent="0.2"/>
    <row r="3516" customFormat="1" x14ac:dyDescent="0.2"/>
    <row r="3517" customFormat="1" x14ac:dyDescent="0.2"/>
    <row r="3518" customFormat="1" x14ac:dyDescent="0.2"/>
    <row r="3519" customFormat="1" x14ac:dyDescent="0.2"/>
    <row r="3520" customFormat="1" x14ac:dyDescent="0.2"/>
    <row r="3521" customFormat="1" x14ac:dyDescent="0.2"/>
    <row r="3522" customFormat="1" x14ac:dyDescent="0.2"/>
    <row r="3523" customFormat="1" x14ac:dyDescent="0.2"/>
    <row r="3524" customFormat="1" x14ac:dyDescent="0.2"/>
    <row r="3525" customFormat="1" x14ac:dyDescent="0.2"/>
    <row r="3526" customFormat="1" x14ac:dyDescent="0.2"/>
    <row r="3527" customFormat="1" x14ac:dyDescent="0.2"/>
    <row r="3528" customFormat="1" x14ac:dyDescent="0.2"/>
    <row r="3529" customFormat="1" x14ac:dyDescent="0.2"/>
    <row r="3530" customFormat="1" x14ac:dyDescent="0.2"/>
    <row r="3531" customFormat="1" x14ac:dyDescent="0.2"/>
    <row r="3532" customFormat="1" x14ac:dyDescent="0.2"/>
    <row r="3533" customFormat="1" x14ac:dyDescent="0.2"/>
    <row r="3534" customFormat="1" x14ac:dyDescent="0.2"/>
    <row r="3535" customFormat="1" x14ac:dyDescent="0.2"/>
    <row r="3536" customFormat="1" x14ac:dyDescent="0.2"/>
    <row r="3537" customFormat="1" x14ac:dyDescent="0.2"/>
    <row r="3538" customFormat="1" x14ac:dyDescent="0.2"/>
    <row r="3539" customFormat="1" x14ac:dyDescent="0.2"/>
    <row r="3540" customFormat="1" x14ac:dyDescent="0.2"/>
    <row r="3541" customFormat="1" x14ac:dyDescent="0.2"/>
    <row r="3542" customFormat="1" x14ac:dyDescent="0.2"/>
    <row r="3543" customFormat="1" x14ac:dyDescent="0.2"/>
    <row r="3544" customFormat="1" x14ac:dyDescent="0.2"/>
    <row r="3545" customFormat="1" x14ac:dyDescent="0.2"/>
    <row r="3546" customFormat="1" x14ac:dyDescent="0.2"/>
    <row r="3547" customFormat="1" x14ac:dyDescent="0.2"/>
    <row r="3548" customFormat="1" x14ac:dyDescent="0.2"/>
    <row r="3549" customFormat="1" x14ac:dyDescent="0.2"/>
    <row r="3550" customFormat="1" x14ac:dyDescent="0.2"/>
    <row r="3551" customFormat="1" x14ac:dyDescent="0.2"/>
    <row r="3552" customFormat="1" x14ac:dyDescent="0.2"/>
    <row r="3553" customFormat="1" x14ac:dyDescent="0.2"/>
    <row r="3554" customFormat="1" x14ac:dyDescent="0.2"/>
    <row r="3555" customFormat="1" x14ac:dyDescent="0.2"/>
    <row r="3556" customFormat="1" x14ac:dyDescent="0.2"/>
    <row r="3557" customFormat="1" x14ac:dyDescent="0.2"/>
    <row r="3558" customFormat="1" x14ac:dyDescent="0.2"/>
    <row r="3559" customFormat="1" x14ac:dyDescent="0.2"/>
    <row r="3560" customFormat="1" x14ac:dyDescent="0.2"/>
    <row r="3561" customFormat="1" x14ac:dyDescent="0.2"/>
    <row r="3562" customFormat="1" x14ac:dyDescent="0.2"/>
    <row r="3563" customFormat="1" x14ac:dyDescent="0.2"/>
    <row r="3564" customFormat="1" x14ac:dyDescent="0.2"/>
    <row r="3565" customFormat="1" x14ac:dyDescent="0.2"/>
    <row r="3566" customFormat="1" x14ac:dyDescent="0.2"/>
    <row r="3567" customFormat="1" x14ac:dyDescent="0.2"/>
    <row r="3568" customFormat="1" x14ac:dyDescent="0.2"/>
    <row r="3569" customFormat="1" x14ac:dyDescent="0.2"/>
    <row r="3570" customFormat="1" x14ac:dyDescent="0.2"/>
    <row r="3571" customFormat="1" x14ac:dyDescent="0.2"/>
    <row r="3572" customFormat="1" x14ac:dyDescent="0.2"/>
    <row r="3573" customFormat="1" x14ac:dyDescent="0.2"/>
    <row r="3574" customFormat="1" x14ac:dyDescent="0.2"/>
    <row r="3575" customFormat="1" x14ac:dyDescent="0.2"/>
    <row r="3576" customFormat="1" x14ac:dyDescent="0.2"/>
    <row r="3577" customFormat="1" x14ac:dyDescent="0.2"/>
    <row r="3578" customFormat="1" x14ac:dyDescent="0.2"/>
    <row r="3579" customFormat="1" x14ac:dyDescent="0.2"/>
    <row r="3580" customFormat="1" x14ac:dyDescent="0.2"/>
    <row r="3581" customFormat="1" x14ac:dyDescent="0.2"/>
    <row r="3582" customFormat="1" x14ac:dyDescent="0.2"/>
    <row r="3583" customFormat="1" x14ac:dyDescent="0.2"/>
    <row r="3584" customFormat="1" x14ac:dyDescent="0.2"/>
    <row r="3585" customFormat="1" x14ac:dyDescent="0.2"/>
    <row r="3586" customFormat="1" x14ac:dyDescent="0.2"/>
    <row r="3587" customFormat="1" x14ac:dyDescent="0.2"/>
    <row r="3588" customFormat="1" x14ac:dyDescent="0.2"/>
    <row r="3589" customFormat="1" x14ac:dyDescent="0.2"/>
    <row r="3590" customFormat="1" x14ac:dyDescent="0.2"/>
    <row r="3591" customFormat="1" x14ac:dyDescent="0.2"/>
    <row r="3592" customFormat="1" x14ac:dyDescent="0.2"/>
    <row r="3593" customFormat="1" x14ac:dyDescent="0.2"/>
    <row r="3594" customFormat="1" x14ac:dyDescent="0.2"/>
    <row r="3595" customFormat="1" x14ac:dyDescent="0.2"/>
    <row r="3596" customFormat="1" x14ac:dyDescent="0.2"/>
    <row r="3597" customFormat="1" x14ac:dyDescent="0.2"/>
    <row r="3598" customFormat="1" x14ac:dyDescent="0.2"/>
    <row r="3599" customFormat="1" x14ac:dyDescent="0.2"/>
    <row r="3600" customFormat="1" x14ac:dyDescent="0.2"/>
    <row r="3601" customFormat="1" x14ac:dyDescent="0.2"/>
    <row r="3602" customFormat="1" x14ac:dyDescent="0.2"/>
    <row r="3603" customFormat="1" x14ac:dyDescent="0.2"/>
    <row r="3604" customFormat="1" x14ac:dyDescent="0.2"/>
    <row r="3605" customFormat="1" x14ac:dyDescent="0.2"/>
    <row r="3606" customFormat="1" x14ac:dyDescent="0.2"/>
    <row r="3607" customFormat="1" x14ac:dyDescent="0.2"/>
    <row r="3608" customFormat="1" x14ac:dyDescent="0.2"/>
    <row r="3609" customFormat="1" x14ac:dyDescent="0.2"/>
    <row r="3610" customFormat="1" x14ac:dyDescent="0.2"/>
    <row r="3611" customFormat="1" x14ac:dyDescent="0.2"/>
    <row r="3612" customFormat="1" x14ac:dyDescent="0.2"/>
    <row r="3613" customFormat="1" x14ac:dyDescent="0.2"/>
    <row r="3614" customFormat="1" x14ac:dyDescent="0.2"/>
    <row r="3615" customFormat="1" x14ac:dyDescent="0.2"/>
    <row r="3616" customFormat="1" x14ac:dyDescent="0.2"/>
    <row r="3617" customFormat="1" x14ac:dyDescent="0.2"/>
    <row r="3618" customFormat="1" x14ac:dyDescent="0.2"/>
    <row r="3619" customFormat="1" x14ac:dyDescent="0.2"/>
    <row r="3620" customFormat="1" x14ac:dyDescent="0.2"/>
    <row r="3621" customFormat="1" x14ac:dyDescent="0.2"/>
    <row r="3622" customFormat="1" x14ac:dyDescent="0.2"/>
    <row r="3623" customFormat="1" x14ac:dyDescent="0.2"/>
    <row r="3624" customFormat="1" x14ac:dyDescent="0.2"/>
    <row r="3625" customFormat="1" x14ac:dyDescent="0.2"/>
    <row r="3626" customFormat="1" x14ac:dyDescent="0.2"/>
    <row r="3627" customFormat="1" x14ac:dyDescent="0.2"/>
    <row r="3628" customFormat="1" x14ac:dyDescent="0.2"/>
    <row r="3629" customFormat="1" x14ac:dyDescent="0.2"/>
    <row r="3630" customFormat="1" x14ac:dyDescent="0.2"/>
    <row r="3631" customFormat="1" x14ac:dyDescent="0.2"/>
    <row r="3632" customFormat="1" x14ac:dyDescent="0.2"/>
    <row r="3633" customFormat="1" x14ac:dyDescent="0.2"/>
    <row r="3634" customFormat="1" x14ac:dyDescent="0.2"/>
    <row r="3635" customFormat="1" x14ac:dyDescent="0.2"/>
    <row r="3636" customFormat="1" x14ac:dyDescent="0.2"/>
    <row r="3637" customFormat="1" x14ac:dyDescent="0.2"/>
    <row r="3638" customFormat="1" x14ac:dyDescent="0.2"/>
    <row r="3639" customFormat="1" x14ac:dyDescent="0.2"/>
    <row r="3640" customFormat="1" x14ac:dyDescent="0.2"/>
    <row r="3641" customFormat="1" x14ac:dyDescent="0.2"/>
    <row r="3642" customFormat="1" x14ac:dyDescent="0.2"/>
    <row r="3643" customFormat="1" x14ac:dyDescent="0.2"/>
    <row r="3644" customFormat="1" x14ac:dyDescent="0.2"/>
    <row r="3645" customFormat="1" x14ac:dyDescent="0.2"/>
    <row r="3646" customFormat="1" x14ac:dyDescent="0.2"/>
    <row r="3647" customFormat="1" x14ac:dyDescent="0.2"/>
    <row r="3648" customFormat="1" x14ac:dyDescent="0.2"/>
    <row r="3649" customFormat="1" x14ac:dyDescent="0.2"/>
    <row r="3650" customFormat="1" x14ac:dyDescent="0.2"/>
    <row r="3651" customFormat="1" x14ac:dyDescent="0.2"/>
    <row r="3652" customFormat="1" x14ac:dyDescent="0.2"/>
    <row r="3653" customFormat="1" x14ac:dyDescent="0.2"/>
    <row r="3654" customFormat="1" x14ac:dyDescent="0.2"/>
    <row r="3655" customFormat="1" x14ac:dyDescent="0.2"/>
    <row r="3656" customFormat="1" x14ac:dyDescent="0.2"/>
    <row r="3657" customFormat="1" x14ac:dyDescent="0.2"/>
    <row r="3658" customFormat="1" x14ac:dyDescent="0.2"/>
    <row r="3659" customFormat="1" x14ac:dyDescent="0.2"/>
    <row r="3660" customFormat="1" x14ac:dyDescent="0.2"/>
    <row r="3661" customFormat="1" x14ac:dyDescent="0.2"/>
    <row r="3662" customFormat="1" x14ac:dyDescent="0.2"/>
    <row r="3663" customFormat="1" x14ac:dyDescent="0.2"/>
    <row r="3664" customFormat="1" x14ac:dyDescent="0.2"/>
    <row r="3665" customFormat="1" x14ac:dyDescent="0.2"/>
    <row r="3666" customFormat="1" x14ac:dyDescent="0.2"/>
    <row r="3667" customFormat="1" x14ac:dyDescent="0.2"/>
    <row r="3668" customFormat="1" x14ac:dyDescent="0.2"/>
    <row r="3669" customFormat="1" x14ac:dyDescent="0.2"/>
    <row r="3670" customFormat="1" x14ac:dyDescent="0.2"/>
    <row r="3671" customFormat="1" x14ac:dyDescent="0.2"/>
    <row r="3672" customFormat="1" x14ac:dyDescent="0.2"/>
    <row r="3673" customFormat="1" x14ac:dyDescent="0.2"/>
    <row r="3674" customFormat="1" x14ac:dyDescent="0.2"/>
    <row r="3675" customFormat="1" x14ac:dyDescent="0.2"/>
    <row r="3676" customFormat="1" x14ac:dyDescent="0.2"/>
    <row r="3677" customFormat="1" x14ac:dyDescent="0.2"/>
    <row r="3678" customFormat="1" x14ac:dyDescent="0.2"/>
    <row r="3679" customFormat="1" x14ac:dyDescent="0.2"/>
    <row r="3680" customFormat="1" x14ac:dyDescent="0.2"/>
    <row r="3681" customFormat="1" x14ac:dyDescent="0.2"/>
    <row r="3682" customFormat="1" x14ac:dyDescent="0.2"/>
    <row r="3683" customFormat="1" x14ac:dyDescent="0.2"/>
    <row r="3684" customFormat="1" x14ac:dyDescent="0.2"/>
    <row r="3685" customFormat="1" x14ac:dyDescent="0.2"/>
    <row r="3686" customFormat="1" x14ac:dyDescent="0.2"/>
    <row r="3687" customFormat="1" x14ac:dyDescent="0.2"/>
    <row r="3688" customFormat="1" x14ac:dyDescent="0.2"/>
    <row r="3689" customFormat="1" x14ac:dyDescent="0.2"/>
    <row r="3690" customFormat="1" x14ac:dyDescent="0.2"/>
    <row r="3691" customFormat="1" x14ac:dyDescent="0.2"/>
    <row r="3692" customFormat="1" x14ac:dyDescent="0.2"/>
    <row r="3693" customFormat="1" x14ac:dyDescent="0.2"/>
    <row r="3694" customFormat="1" x14ac:dyDescent="0.2"/>
    <row r="3695" customFormat="1" x14ac:dyDescent="0.2"/>
    <row r="3696" customFormat="1" x14ac:dyDescent="0.2"/>
    <row r="3697" customFormat="1" x14ac:dyDescent="0.2"/>
    <row r="3698" customFormat="1" x14ac:dyDescent="0.2"/>
    <row r="3699" customFormat="1" x14ac:dyDescent="0.2"/>
    <row r="3700" customFormat="1" x14ac:dyDescent="0.2"/>
    <row r="3701" customFormat="1" x14ac:dyDescent="0.2"/>
    <row r="3702" customFormat="1" x14ac:dyDescent="0.2"/>
    <row r="3703" customFormat="1" x14ac:dyDescent="0.2"/>
    <row r="3704" customFormat="1" x14ac:dyDescent="0.2"/>
    <row r="3705" customFormat="1" x14ac:dyDescent="0.2"/>
    <row r="3706" customFormat="1" x14ac:dyDescent="0.2"/>
    <row r="3707" customFormat="1" x14ac:dyDescent="0.2"/>
    <row r="3708" customFormat="1" x14ac:dyDescent="0.2"/>
    <row r="3709" customFormat="1" x14ac:dyDescent="0.2"/>
    <row r="3710" customFormat="1" x14ac:dyDescent="0.2"/>
    <row r="3711" customFormat="1" x14ac:dyDescent="0.2"/>
    <row r="3712" customFormat="1" x14ac:dyDescent="0.2"/>
    <row r="3713" customFormat="1" x14ac:dyDescent="0.2"/>
    <row r="3714" customFormat="1" x14ac:dyDescent="0.2"/>
    <row r="3715" customFormat="1" x14ac:dyDescent="0.2"/>
    <row r="3716" customFormat="1" x14ac:dyDescent="0.2"/>
    <row r="3717" customFormat="1" x14ac:dyDescent="0.2"/>
    <row r="3718" customFormat="1" x14ac:dyDescent="0.2"/>
    <row r="3719" customFormat="1" x14ac:dyDescent="0.2"/>
    <row r="3720" customFormat="1" x14ac:dyDescent="0.2"/>
    <row r="3721" customFormat="1" x14ac:dyDescent="0.2"/>
    <row r="3722" customFormat="1" x14ac:dyDescent="0.2"/>
    <row r="3723" customFormat="1" x14ac:dyDescent="0.2"/>
    <row r="3724" customFormat="1" x14ac:dyDescent="0.2"/>
    <row r="3725" customFormat="1" x14ac:dyDescent="0.2"/>
    <row r="3726" customFormat="1" x14ac:dyDescent="0.2"/>
    <row r="3727" customFormat="1" x14ac:dyDescent="0.2"/>
    <row r="3728" customFormat="1" x14ac:dyDescent="0.2"/>
    <row r="3729" customFormat="1" x14ac:dyDescent="0.2"/>
    <row r="3730" customFormat="1" x14ac:dyDescent="0.2"/>
    <row r="3731" customFormat="1" x14ac:dyDescent="0.2"/>
    <row r="3732" customFormat="1" x14ac:dyDescent="0.2"/>
    <row r="3733" customFormat="1" x14ac:dyDescent="0.2"/>
    <row r="3734" customFormat="1" x14ac:dyDescent="0.2"/>
    <row r="3735" customFormat="1" x14ac:dyDescent="0.2"/>
    <row r="3736" customFormat="1" x14ac:dyDescent="0.2"/>
    <row r="3737" customFormat="1" x14ac:dyDescent="0.2"/>
    <row r="3738" customFormat="1" x14ac:dyDescent="0.2"/>
    <row r="3739" customFormat="1" x14ac:dyDescent="0.2"/>
    <row r="3740" customFormat="1" x14ac:dyDescent="0.2"/>
    <row r="3741" customFormat="1" x14ac:dyDescent="0.2"/>
    <row r="3742" customFormat="1" x14ac:dyDescent="0.2"/>
    <row r="3743" customFormat="1" x14ac:dyDescent="0.2"/>
    <row r="3744" customFormat="1" x14ac:dyDescent="0.2"/>
    <row r="3745" customFormat="1" x14ac:dyDescent="0.2"/>
    <row r="3746" customFormat="1" x14ac:dyDescent="0.2"/>
    <row r="3747" customFormat="1" x14ac:dyDescent="0.2"/>
    <row r="3748" customFormat="1" x14ac:dyDescent="0.2"/>
    <row r="3749" customFormat="1" x14ac:dyDescent="0.2"/>
    <row r="3750" customFormat="1" x14ac:dyDescent="0.2"/>
    <row r="3751" customFormat="1" x14ac:dyDescent="0.2"/>
    <row r="3752" customFormat="1" x14ac:dyDescent="0.2"/>
    <row r="3753" customFormat="1" x14ac:dyDescent="0.2"/>
    <row r="3754" customFormat="1" x14ac:dyDescent="0.2"/>
    <row r="3755" customFormat="1" x14ac:dyDescent="0.2"/>
    <row r="3756" customFormat="1" x14ac:dyDescent="0.2"/>
    <row r="3757" customFormat="1" x14ac:dyDescent="0.2"/>
    <row r="3758" customFormat="1" x14ac:dyDescent="0.2"/>
    <row r="3759" customFormat="1" x14ac:dyDescent="0.2"/>
    <row r="3760" customFormat="1" x14ac:dyDescent="0.2"/>
    <row r="3761" customFormat="1" x14ac:dyDescent="0.2"/>
    <row r="3762" customFormat="1" x14ac:dyDescent="0.2"/>
    <row r="3763" customFormat="1" x14ac:dyDescent="0.2"/>
    <row r="3764" customFormat="1" x14ac:dyDescent="0.2"/>
    <row r="3765" customFormat="1" x14ac:dyDescent="0.2"/>
    <row r="3766" customFormat="1" x14ac:dyDescent="0.2"/>
    <row r="3767" customFormat="1" x14ac:dyDescent="0.2"/>
    <row r="3768" customFormat="1" x14ac:dyDescent="0.2"/>
    <row r="3769" customFormat="1" x14ac:dyDescent="0.2"/>
    <row r="3770" customFormat="1" x14ac:dyDescent="0.2"/>
    <row r="3771" customFormat="1" x14ac:dyDescent="0.2"/>
    <row r="3772" customFormat="1" x14ac:dyDescent="0.2"/>
    <row r="3773" customFormat="1" x14ac:dyDescent="0.2"/>
    <row r="3774" customFormat="1" x14ac:dyDescent="0.2"/>
    <row r="3775" customFormat="1" x14ac:dyDescent="0.2"/>
    <row r="3776" customFormat="1" x14ac:dyDescent="0.2"/>
    <row r="3777" customFormat="1" x14ac:dyDescent="0.2"/>
    <row r="3778" customFormat="1" x14ac:dyDescent="0.2"/>
    <row r="3779" customFormat="1" x14ac:dyDescent="0.2"/>
    <row r="3780" customFormat="1" x14ac:dyDescent="0.2"/>
    <row r="3781" customFormat="1" x14ac:dyDescent="0.2"/>
    <row r="3782" customFormat="1" x14ac:dyDescent="0.2"/>
    <row r="3783" customFormat="1" x14ac:dyDescent="0.2"/>
    <row r="3784" customFormat="1" x14ac:dyDescent="0.2"/>
    <row r="3785" customFormat="1" x14ac:dyDescent="0.2"/>
    <row r="3786" customFormat="1" x14ac:dyDescent="0.2"/>
    <row r="3787" customFormat="1" x14ac:dyDescent="0.2"/>
    <row r="3788" customFormat="1" x14ac:dyDescent="0.2"/>
    <row r="3789" customFormat="1" x14ac:dyDescent="0.2"/>
    <row r="3790" customFormat="1" x14ac:dyDescent="0.2"/>
    <row r="3791" customFormat="1" x14ac:dyDescent="0.2"/>
    <row r="3792" customFormat="1" x14ac:dyDescent="0.2"/>
    <row r="3793" customFormat="1" x14ac:dyDescent="0.2"/>
    <row r="3794" customFormat="1" x14ac:dyDescent="0.2"/>
    <row r="3795" customFormat="1" x14ac:dyDescent="0.2"/>
    <row r="3796" customFormat="1" x14ac:dyDescent="0.2"/>
    <row r="3797" customFormat="1" x14ac:dyDescent="0.2"/>
    <row r="3798" customFormat="1" x14ac:dyDescent="0.2"/>
    <row r="3799" customFormat="1" x14ac:dyDescent="0.2"/>
    <row r="3800" customFormat="1" x14ac:dyDescent="0.2"/>
    <row r="3801" customFormat="1" x14ac:dyDescent="0.2"/>
    <row r="3802" customFormat="1" x14ac:dyDescent="0.2"/>
    <row r="3803" customFormat="1" x14ac:dyDescent="0.2"/>
    <row r="3804" customFormat="1" x14ac:dyDescent="0.2"/>
    <row r="3805" customFormat="1" x14ac:dyDescent="0.2"/>
    <row r="3806" customFormat="1" x14ac:dyDescent="0.2"/>
    <row r="3807" customFormat="1" x14ac:dyDescent="0.2"/>
    <row r="3808" customFormat="1" x14ac:dyDescent="0.2"/>
    <row r="3809" customFormat="1" x14ac:dyDescent="0.2"/>
    <row r="3810" customFormat="1" x14ac:dyDescent="0.2"/>
    <row r="3811" customFormat="1" x14ac:dyDescent="0.2"/>
    <row r="3812" customFormat="1" x14ac:dyDescent="0.2"/>
    <row r="3813" customFormat="1" x14ac:dyDescent="0.2"/>
    <row r="3814" customFormat="1" x14ac:dyDescent="0.2"/>
    <row r="3815" customFormat="1" x14ac:dyDescent="0.2"/>
    <row r="3816" customFormat="1" x14ac:dyDescent="0.2"/>
    <row r="3817" customFormat="1" x14ac:dyDescent="0.2"/>
    <row r="3818" customFormat="1" x14ac:dyDescent="0.2"/>
    <row r="3819" customFormat="1" x14ac:dyDescent="0.2"/>
    <row r="3820" customFormat="1" x14ac:dyDescent="0.2"/>
    <row r="3821" customFormat="1" x14ac:dyDescent="0.2"/>
    <row r="3822" customFormat="1" x14ac:dyDescent="0.2"/>
    <row r="3823" customFormat="1" x14ac:dyDescent="0.2"/>
    <row r="3824" customFormat="1" x14ac:dyDescent="0.2"/>
    <row r="3825" customFormat="1" x14ac:dyDescent="0.2"/>
    <row r="3826" customFormat="1" x14ac:dyDescent="0.2"/>
    <row r="3827" customFormat="1" x14ac:dyDescent="0.2"/>
    <row r="3828" customFormat="1" x14ac:dyDescent="0.2"/>
    <row r="3829" customFormat="1" x14ac:dyDescent="0.2"/>
    <row r="3830" customFormat="1" x14ac:dyDescent="0.2"/>
    <row r="3831" customFormat="1" x14ac:dyDescent="0.2"/>
    <row r="3832" customFormat="1" x14ac:dyDescent="0.2"/>
    <row r="3833" customFormat="1" x14ac:dyDescent="0.2"/>
    <row r="3834" customFormat="1" x14ac:dyDescent="0.2"/>
    <row r="3835" customFormat="1" x14ac:dyDescent="0.2"/>
    <row r="3836" customFormat="1" x14ac:dyDescent="0.2"/>
    <row r="3837" customFormat="1" x14ac:dyDescent="0.2"/>
    <row r="3838" customFormat="1" x14ac:dyDescent="0.2"/>
    <row r="3839" customFormat="1" x14ac:dyDescent="0.2"/>
    <row r="3840" customFormat="1" x14ac:dyDescent="0.2"/>
    <row r="3841" customFormat="1" x14ac:dyDescent="0.2"/>
    <row r="3842" customFormat="1" x14ac:dyDescent="0.2"/>
    <row r="3843" customFormat="1" x14ac:dyDescent="0.2"/>
    <row r="3844" customFormat="1" x14ac:dyDescent="0.2"/>
    <row r="3845" customFormat="1" x14ac:dyDescent="0.2"/>
    <row r="3846" customFormat="1" x14ac:dyDescent="0.2"/>
    <row r="3847" customFormat="1" x14ac:dyDescent="0.2"/>
    <row r="3848" customFormat="1" x14ac:dyDescent="0.2"/>
    <row r="3849" customFormat="1" x14ac:dyDescent="0.2"/>
    <row r="3850" customFormat="1" x14ac:dyDescent="0.2"/>
    <row r="3851" customFormat="1" x14ac:dyDescent="0.2"/>
    <row r="3852" customFormat="1" x14ac:dyDescent="0.2"/>
    <row r="3853" customFormat="1" x14ac:dyDescent="0.2"/>
    <row r="3854" customFormat="1" x14ac:dyDescent="0.2"/>
    <row r="3855" customFormat="1" x14ac:dyDescent="0.2"/>
    <row r="3856" customFormat="1" x14ac:dyDescent="0.2"/>
    <row r="3857" customFormat="1" x14ac:dyDescent="0.2"/>
    <row r="3858" customFormat="1" x14ac:dyDescent="0.2"/>
    <row r="3859" customFormat="1" x14ac:dyDescent="0.2"/>
    <row r="3860" customFormat="1" x14ac:dyDescent="0.2"/>
    <row r="3861" customFormat="1" x14ac:dyDescent="0.2"/>
    <row r="3862" customFormat="1" x14ac:dyDescent="0.2"/>
    <row r="3863" customFormat="1" x14ac:dyDescent="0.2"/>
    <row r="3864" customFormat="1" x14ac:dyDescent="0.2"/>
    <row r="3865" customFormat="1" x14ac:dyDescent="0.2"/>
    <row r="3866" customFormat="1" x14ac:dyDescent="0.2"/>
    <row r="3867" customFormat="1" x14ac:dyDescent="0.2"/>
    <row r="3868" customFormat="1" x14ac:dyDescent="0.2"/>
    <row r="3869" customFormat="1" x14ac:dyDescent="0.2"/>
    <row r="3870" customFormat="1" x14ac:dyDescent="0.2"/>
    <row r="3871" customFormat="1" x14ac:dyDescent="0.2"/>
    <row r="3872" customFormat="1" x14ac:dyDescent="0.2"/>
    <row r="3873" customFormat="1" x14ac:dyDescent="0.2"/>
    <row r="3874" customFormat="1" x14ac:dyDescent="0.2"/>
    <row r="3875" customFormat="1" x14ac:dyDescent="0.2"/>
    <row r="3876" customFormat="1" x14ac:dyDescent="0.2"/>
    <row r="3877" customFormat="1" x14ac:dyDescent="0.2"/>
    <row r="3878" customFormat="1" x14ac:dyDescent="0.2"/>
    <row r="3879" customFormat="1" x14ac:dyDescent="0.2"/>
    <row r="3880" customFormat="1" x14ac:dyDescent="0.2"/>
    <row r="3881" customFormat="1" x14ac:dyDescent="0.2"/>
    <row r="3882" customFormat="1" x14ac:dyDescent="0.2"/>
    <row r="3883" customFormat="1" x14ac:dyDescent="0.2"/>
    <row r="3884" customFormat="1" x14ac:dyDescent="0.2"/>
    <row r="3885" customFormat="1" x14ac:dyDescent="0.2"/>
    <row r="3886" customFormat="1" x14ac:dyDescent="0.2"/>
    <row r="3887" customFormat="1" x14ac:dyDescent="0.2"/>
    <row r="3888" customFormat="1" x14ac:dyDescent="0.2"/>
    <row r="3889" customFormat="1" x14ac:dyDescent="0.2"/>
    <row r="3890" customFormat="1" x14ac:dyDescent="0.2"/>
    <row r="3891" customFormat="1" x14ac:dyDescent="0.2"/>
    <row r="3892" customFormat="1" x14ac:dyDescent="0.2"/>
    <row r="3893" customFormat="1" x14ac:dyDescent="0.2"/>
    <row r="3894" customFormat="1" x14ac:dyDescent="0.2"/>
    <row r="3895" customFormat="1" x14ac:dyDescent="0.2"/>
    <row r="3896" customFormat="1" x14ac:dyDescent="0.2"/>
    <row r="3897" customFormat="1" x14ac:dyDescent="0.2"/>
    <row r="3898" customFormat="1" x14ac:dyDescent="0.2"/>
    <row r="3899" customFormat="1" x14ac:dyDescent="0.2"/>
    <row r="3900" customFormat="1" x14ac:dyDescent="0.2"/>
    <row r="3901" customFormat="1" x14ac:dyDescent="0.2"/>
    <row r="3902" customFormat="1" x14ac:dyDescent="0.2"/>
    <row r="3903" customFormat="1" x14ac:dyDescent="0.2"/>
    <row r="3904" customFormat="1" x14ac:dyDescent="0.2"/>
    <row r="3905" customFormat="1" x14ac:dyDescent="0.2"/>
    <row r="3906" customFormat="1" x14ac:dyDescent="0.2"/>
    <row r="3907" customFormat="1" x14ac:dyDescent="0.2"/>
    <row r="3908" customFormat="1" x14ac:dyDescent="0.2"/>
    <row r="3909" customFormat="1" x14ac:dyDescent="0.2"/>
    <row r="3910" customFormat="1" x14ac:dyDescent="0.2"/>
    <row r="3911" customFormat="1" x14ac:dyDescent="0.2"/>
    <row r="3912" customFormat="1" x14ac:dyDescent="0.2"/>
    <row r="3913" customFormat="1" x14ac:dyDescent="0.2"/>
    <row r="3914" customFormat="1" x14ac:dyDescent="0.2"/>
    <row r="3915" customFormat="1" x14ac:dyDescent="0.2"/>
    <row r="3916" customFormat="1" x14ac:dyDescent="0.2"/>
    <row r="3917" customFormat="1" x14ac:dyDescent="0.2"/>
    <row r="3918" customFormat="1" x14ac:dyDescent="0.2"/>
    <row r="3919" customFormat="1" x14ac:dyDescent="0.2"/>
    <row r="3920" customFormat="1" x14ac:dyDescent="0.2"/>
    <row r="3921" customFormat="1" x14ac:dyDescent="0.2"/>
    <row r="3922" customFormat="1" x14ac:dyDescent="0.2"/>
    <row r="3923" customFormat="1" x14ac:dyDescent="0.2"/>
    <row r="3924" customFormat="1" x14ac:dyDescent="0.2"/>
    <row r="3925" customFormat="1" x14ac:dyDescent="0.2"/>
    <row r="3926" customFormat="1" x14ac:dyDescent="0.2"/>
    <row r="3927" customFormat="1" x14ac:dyDescent="0.2"/>
    <row r="3928" customFormat="1" x14ac:dyDescent="0.2"/>
    <row r="3929" customFormat="1" x14ac:dyDescent="0.2"/>
    <row r="3930" customFormat="1" x14ac:dyDescent="0.2"/>
    <row r="3931" customFormat="1" x14ac:dyDescent="0.2"/>
    <row r="3932" customFormat="1" x14ac:dyDescent="0.2"/>
    <row r="3933" customFormat="1" x14ac:dyDescent="0.2"/>
    <row r="3934" customFormat="1" x14ac:dyDescent="0.2"/>
    <row r="3935" customFormat="1" x14ac:dyDescent="0.2"/>
    <row r="3936" customFormat="1" x14ac:dyDescent="0.2"/>
    <row r="3937" customFormat="1" x14ac:dyDescent="0.2"/>
    <row r="3938" customFormat="1" x14ac:dyDescent="0.2"/>
    <row r="3939" customFormat="1" x14ac:dyDescent="0.2"/>
    <row r="3940" customFormat="1" x14ac:dyDescent="0.2"/>
    <row r="3941" customFormat="1" x14ac:dyDescent="0.2"/>
    <row r="3942" customFormat="1" x14ac:dyDescent="0.2"/>
    <row r="3943" customFormat="1" x14ac:dyDescent="0.2"/>
    <row r="3944" customFormat="1" x14ac:dyDescent="0.2"/>
    <row r="3945" customFormat="1" x14ac:dyDescent="0.2"/>
    <row r="3946" customFormat="1" x14ac:dyDescent="0.2"/>
    <row r="3947" customFormat="1" x14ac:dyDescent="0.2"/>
    <row r="3948" customFormat="1" x14ac:dyDescent="0.2"/>
    <row r="3949" customFormat="1" x14ac:dyDescent="0.2"/>
    <row r="3950" customFormat="1" x14ac:dyDescent="0.2"/>
    <row r="3951" customFormat="1" x14ac:dyDescent="0.2"/>
    <row r="3952" customFormat="1" x14ac:dyDescent="0.2"/>
    <row r="3953" customFormat="1" x14ac:dyDescent="0.2"/>
    <row r="3954" customFormat="1" x14ac:dyDescent="0.2"/>
    <row r="3955" customFormat="1" x14ac:dyDescent="0.2"/>
    <row r="3956" customFormat="1" x14ac:dyDescent="0.2"/>
    <row r="3957" customFormat="1" x14ac:dyDescent="0.2"/>
    <row r="3958" customFormat="1" x14ac:dyDescent="0.2"/>
    <row r="3959" customFormat="1" x14ac:dyDescent="0.2"/>
    <row r="3960" customFormat="1" x14ac:dyDescent="0.2"/>
    <row r="3961" customFormat="1" x14ac:dyDescent="0.2"/>
    <row r="3962" customFormat="1" x14ac:dyDescent="0.2"/>
    <row r="3963" customFormat="1" x14ac:dyDescent="0.2"/>
    <row r="3964" customFormat="1" x14ac:dyDescent="0.2"/>
    <row r="3965" customFormat="1" x14ac:dyDescent="0.2"/>
    <row r="3966" customFormat="1" x14ac:dyDescent="0.2"/>
    <row r="3967" customFormat="1" x14ac:dyDescent="0.2"/>
    <row r="3968" customFormat="1" x14ac:dyDescent="0.2"/>
    <row r="3969" customFormat="1" x14ac:dyDescent="0.2"/>
    <row r="3970" customFormat="1" x14ac:dyDescent="0.2"/>
    <row r="3971" customFormat="1" x14ac:dyDescent="0.2"/>
    <row r="3972" customFormat="1" x14ac:dyDescent="0.2"/>
    <row r="3973" customFormat="1" x14ac:dyDescent="0.2"/>
    <row r="3974" customFormat="1" x14ac:dyDescent="0.2"/>
    <row r="3975" customFormat="1" x14ac:dyDescent="0.2"/>
    <row r="3976" customFormat="1" x14ac:dyDescent="0.2"/>
    <row r="3977" customFormat="1" x14ac:dyDescent="0.2"/>
    <row r="3978" customFormat="1" x14ac:dyDescent="0.2"/>
    <row r="3979" customFormat="1" x14ac:dyDescent="0.2"/>
    <row r="3980" customFormat="1" x14ac:dyDescent="0.2"/>
    <row r="3981" customFormat="1" x14ac:dyDescent="0.2"/>
    <row r="3982" customFormat="1" x14ac:dyDescent="0.2"/>
    <row r="3983" customFormat="1" x14ac:dyDescent="0.2"/>
    <row r="3984" customFormat="1" x14ac:dyDescent="0.2"/>
    <row r="3985" customFormat="1" x14ac:dyDescent="0.2"/>
    <row r="3986" customFormat="1" x14ac:dyDescent="0.2"/>
    <row r="3987" customFormat="1" x14ac:dyDescent="0.2"/>
    <row r="3988" customFormat="1" x14ac:dyDescent="0.2"/>
    <row r="3989" customFormat="1" x14ac:dyDescent="0.2"/>
    <row r="3990" customFormat="1" x14ac:dyDescent="0.2"/>
    <row r="3991" customFormat="1" x14ac:dyDescent="0.2"/>
    <row r="3992" customFormat="1" x14ac:dyDescent="0.2"/>
    <row r="3993" customFormat="1" x14ac:dyDescent="0.2"/>
    <row r="3994" customFormat="1" x14ac:dyDescent="0.2"/>
    <row r="3995" customFormat="1" x14ac:dyDescent="0.2"/>
    <row r="3996" customFormat="1" x14ac:dyDescent="0.2"/>
    <row r="3997" customFormat="1" x14ac:dyDescent="0.2"/>
    <row r="3998" customFormat="1" x14ac:dyDescent="0.2"/>
    <row r="3999" customFormat="1" x14ac:dyDescent="0.2"/>
    <row r="4000" customFormat="1" x14ac:dyDescent="0.2"/>
    <row r="4001" customFormat="1" x14ac:dyDescent="0.2"/>
    <row r="4002" customFormat="1" x14ac:dyDescent="0.2"/>
    <row r="4003" customFormat="1" x14ac:dyDescent="0.2"/>
    <row r="4004" customFormat="1" x14ac:dyDescent="0.2"/>
    <row r="4005" customFormat="1" x14ac:dyDescent="0.2"/>
    <row r="4006" customFormat="1" x14ac:dyDescent="0.2"/>
    <row r="4007" customFormat="1" x14ac:dyDescent="0.2"/>
    <row r="4008" customFormat="1" x14ac:dyDescent="0.2"/>
    <row r="4009" customFormat="1" x14ac:dyDescent="0.2"/>
    <row r="4010" customFormat="1" x14ac:dyDescent="0.2"/>
    <row r="4011" customFormat="1" x14ac:dyDescent="0.2"/>
    <row r="4012" customFormat="1" x14ac:dyDescent="0.2"/>
    <row r="4013" customFormat="1" x14ac:dyDescent="0.2"/>
    <row r="4014" customFormat="1" x14ac:dyDescent="0.2"/>
    <row r="4015" customFormat="1" x14ac:dyDescent="0.2"/>
    <row r="4016" customFormat="1" x14ac:dyDescent="0.2"/>
    <row r="4017" customFormat="1" x14ac:dyDescent="0.2"/>
    <row r="4018" customFormat="1" x14ac:dyDescent="0.2"/>
    <row r="4019" customFormat="1" x14ac:dyDescent="0.2"/>
    <row r="4020" customFormat="1" x14ac:dyDescent="0.2"/>
    <row r="4021" customFormat="1" x14ac:dyDescent="0.2"/>
    <row r="4022" customFormat="1" x14ac:dyDescent="0.2"/>
    <row r="4023" customFormat="1" x14ac:dyDescent="0.2"/>
    <row r="4024" customFormat="1" x14ac:dyDescent="0.2"/>
    <row r="4025" customFormat="1" x14ac:dyDescent="0.2"/>
    <row r="4026" customFormat="1" x14ac:dyDescent="0.2"/>
    <row r="4027" customFormat="1" x14ac:dyDescent="0.2"/>
    <row r="4028" customFormat="1" x14ac:dyDescent="0.2"/>
    <row r="4029" customFormat="1" x14ac:dyDescent="0.2"/>
    <row r="4030" customFormat="1" x14ac:dyDescent="0.2"/>
    <row r="4031" customFormat="1" x14ac:dyDescent="0.2"/>
    <row r="4032" customFormat="1" x14ac:dyDescent="0.2"/>
    <row r="4033" customFormat="1" x14ac:dyDescent="0.2"/>
    <row r="4034" customFormat="1" x14ac:dyDescent="0.2"/>
    <row r="4035" customFormat="1" x14ac:dyDescent="0.2"/>
    <row r="4036" customFormat="1" x14ac:dyDescent="0.2"/>
    <row r="4037" customFormat="1" x14ac:dyDescent="0.2"/>
    <row r="4038" customFormat="1" x14ac:dyDescent="0.2"/>
    <row r="4039" customFormat="1" x14ac:dyDescent="0.2"/>
    <row r="4040" customFormat="1" x14ac:dyDescent="0.2"/>
    <row r="4041" customFormat="1" x14ac:dyDescent="0.2"/>
    <row r="4042" customFormat="1" x14ac:dyDescent="0.2"/>
    <row r="4043" customFormat="1" x14ac:dyDescent="0.2"/>
    <row r="4044" customFormat="1" x14ac:dyDescent="0.2"/>
    <row r="4045" customFormat="1" x14ac:dyDescent="0.2"/>
    <row r="4046" customFormat="1" x14ac:dyDescent="0.2"/>
    <row r="4047" customFormat="1" x14ac:dyDescent="0.2"/>
    <row r="4048" customFormat="1" x14ac:dyDescent="0.2"/>
    <row r="4049" customFormat="1" x14ac:dyDescent="0.2"/>
    <row r="4050" customFormat="1" x14ac:dyDescent="0.2"/>
    <row r="4051" customFormat="1" x14ac:dyDescent="0.2"/>
    <row r="4052" customFormat="1" x14ac:dyDescent="0.2"/>
    <row r="4053" customFormat="1" x14ac:dyDescent="0.2"/>
    <row r="4054" customFormat="1" x14ac:dyDescent="0.2"/>
    <row r="4055" customFormat="1" x14ac:dyDescent="0.2"/>
    <row r="4056" customFormat="1" x14ac:dyDescent="0.2"/>
    <row r="4057" customFormat="1" x14ac:dyDescent="0.2"/>
    <row r="4058" customFormat="1" x14ac:dyDescent="0.2"/>
    <row r="4059" customFormat="1" x14ac:dyDescent="0.2"/>
    <row r="4060" customFormat="1" x14ac:dyDescent="0.2"/>
    <row r="4061" customFormat="1" x14ac:dyDescent="0.2"/>
    <row r="4062" customFormat="1" x14ac:dyDescent="0.2"/>
    <row r="4063" customFormat="1" x14ac:dyDescent="0.2"/>
    <row r="4064" customFormat="1" x14ac:dyDescent="0.2"/>
    <row r="4065" customFormat="1" x14ac:dyDescent="0.2"/>
    <row r="4066" customFormat="1" x14ac:dyDescent="0.2"/>
    <row r="4067" customFormat="1" x14ac:dyDescent="0.2"/>
    <row r="4068" customFormat="1" x14ac:dyDescent="0.2"/>
    <row r="4069" customFormat="1" x14ac:dyDescent="0.2"/>
    <row r="4070" customFormat="1" x14ac:dyDescent="0.2"/>
    <row r="4071" customFormat="1" x14ac:dyDescent="0.2"/>
    <row r="4072" customFormat="1" x14ac:dyDescent="0.2"/>
    <row r="4073" customFormat="1" x14ac:dyDescent="0.2"/>
    <row r="4074" customFormat="1" x14ac:dyDescent="0.2"/>
    <row r="4075" customFormat="1" x14ac:dyDescent="0.2"/>
    <row r="4076" customFormat="1" x14ac:dyDescent="0.2"/>
    <row r="4077" customFormat="1" x14ac:dyDescent="0.2"/>
    <row r="4078" customFormat="1" x14ac:dyDescent="0.2"/>
    <row r="4079" customFormat="1" x14ac:dyDescent="0.2"/>
    <row r="4080" customFormat="1" x14ac:dyDescent="0.2"/>
    <row r="4081" customFormat="1" x14ac:dyDescent="0.2"/>
    <row r="4082" customFormat="1" x14ac:dyDescent="0.2"/>
    <row r="4083" customFormat="1" x14ac:dyDescent="0.2"/>
    <row r="4084" customFormat="1" x14ac:dyDescent="0.2"/>
    <row r="4085" customFormat="1" x14ac:dyDescent="0.2"/>
    <row r="4086" customFormat="1" x14ac:dyDescent="0.2"/>
    <row r="4087" customFormat="1" x14ac:dyDescent="0.2"/>
    <row r="4088" customFormat="1" x14ac:dyDescent="0.2"/>
    <row r="4089" customFormat="1" x14ac:dyDescent="0.2"/>
    <row r="4090" customFormat="1" x14ac:dyDescent="0.2"/>
    <row r="4091" customFormat="1" x14ac:dyDescent="0.2"/>
    <row r="4092" customFormat="1" x14ac:dyDescent="0.2"/>
    <row r="4093" customFormat="1" x14ac:dyDescent="0.2"/>
    <row r="4094" customFormat="1" x14ac:dyDescent="0.2"/>
    <row r="4095" customFormat="1" x14ac:dyDescent="0.2"/>
    <row r="4096" customFormat="1" x14ac:dyDescent="0.2"/>
    <row r="4097" customFormat="1" x14ac:dyDescent="0.2"/>
    <row r="4098" customFormat="1" x14ac:dyDescent="0.2"/>
    <row r="4099" customFormat="1" x14ac:dyDescent="0.2"/>
    <row r="4100" customFormat="1" x14ac:dyDescent="0.2"/>
    <row r="4101" customFormat="1" x14ac:dyDescent="0.2"/>
    <row r="4102" customFormat="1" x14ac:dyDescent="0.2"/>
    <row r="4103" customFormat="1" x14ac:dyDescent="0.2"/>
    <row r="4104" customFormat="1" x14ac:dyDescent="0.2"/>
    <row r="4105" customFormat="1" x14ac:dyDescent="0.2"/>
    <row r="4106" customFormat="1" x14ac:dyDescent="0.2"/>
    <row r="4107" customFormat="1" x14ac:dyDescent="0.2"/>
    <row r="4108" customFormat="1" x14ac:dyDescent="0.2"/>
    <row r="4109" customFormat="1" x14ac:dyDescent="0.2"/>
    <row r="4110" customFormat="1" x14ac:dyDescent="0.2"/>
    <row r="4111" customFormat="1" x14ac:dyDescent="0.2"/>
    <row r="4112" customFormat="1" x14ac:dyDescent="0.2"/>
    <row r="4113" customFormat="1" x14ac:dyDescent="0.2"/>
    <row r="4114" customFormat="1" x14ac:dyDescent="0.2"/>
    <row r="4115" customFormat="1" x14ac:dyDescent="0.2"/>
    <row r="4116" customFormat="1" x14ac:dyDescent="0.2"/>
    <row r="4117" customFormat="1" x14ac:dyDescent="0.2"/>
    <row r="4118" customFormat="1" x14ac:dyDescent="0.2"/>
    <row r="4119" customFormat="1" x14ac:dyDescent="0.2"/>
    <row r="4120" customFormat="1" x14ac:dyDescent="0.2"/>
    <row r="4121" customFormat="1" x14ac:dyDescent="0.2"/>
    <row r="4122" customFormat="1" x14ac:dyDescent="0.2"/>
    <row r="4123" customFormat="1" x14ac:dyDescent="0.2"/>
    <row r="4124" customFormat="1" x14ac:dyDescent="0.2"/>
    <row r="4125" customFormat="1" x14ac:dyDescent="0.2"/>
    <row r="4126" customFormat="1" x14ac:dyDescent="0.2"/>
    <row r="4127" customFormat="1" x14ac:dyDescent="0.2"/>
    <row r="4128" customFormat="1" x14ac:dyDescent="0.2"/>
    <row r="4129" customFormat="1" x14ac:dyDescent="0.2"/>
    <row r="4130" customFormat="1" x14ac:dyDescent="0.2"/>
    <row r="4131" customFormat="1" x14ac:dyDescent="0.2"/>
    <row r="4132" customFormat="1" x14ac:dyDescent="0.2"/>
    <row r="4133" customFormat="1" x14ac:dyDescent="0.2"/>
    <row r="4134" customFormat="1" x14ac:dyDescent="0.2"/>
    <row r="4135" customFormat="1" x14ac:dyDescent="0.2"/>
    <row r="4136" customFormat="1" x14ac:dyDescent="0.2"/>
    <row r="4137" customFormat="1" x14ac:dyDescent="0.2"/>
    <row r="4138" customFormat="1" x14ac:dyDescent="0.2"/>
    <row r="4139" customFormat="1" x14ac:dyDescent="0.2"/>
    <row r="4140" customFormat="1" x14ac:dyDescent="0.2"/>
    <row r="4141" customFormat="1" x14ac:dyDescent="0.2"/>
    <row r="4142" customFormat="1" x14ac:dyDescent="0.2"/>
    <row r="4143" customFormat="1" x14ac:dyDescent="0.2"/>
    <row r="4144" customFormat="1" x14ac:dyDescent="0.2"/>
    <row r="4145" customFormat="1" x14ac:dyDescent="0.2"/>
    <row r="4146" customFormat="1" x14ac:dyDescent="0.2"/>
    <row r="4147" customFormat="1" x14ac:dyDescent="0.2"/>
    <row r="4148" customFormat="1" x14ac:dyDescent="0.2"/>
    <row r="4149" customFormat="1" x14ac:dyDescent="0.2"/>
    <row r="4150" customFormat="1" x14ac:dyDescent="0.2"/>
    <row r="4151" customFormat="1" x14ac:dyDescent="0.2"/>
    <row r="4152" customFormat="1" x14ac:dyDescent="0.2"/>
    <row r="4153" customFormat="1" x14ac:dyDescent="0.2"/>
    <row r="4154" customFormat="1" x14ac:dyDescent="0.2"/>
    <row r="4155" customFormat="1" x14ac:dyDescent="0.2"/>
    <row r="4156" customFormat="1" x14ac:dyDescent="0.2"/>
    <row r="4157" customFormat="1" x14ac:dyDescent="0.2"/>
    <row r="4158" customFormat="1" x14ac:dyDescent="0.2"/>
    <row r="4159" customFormat="1" x14ac:dyDescent="0.2"/>
    <row r="4160" customFormat="1" x14ac:dyDescent="0.2"/>
    <row r="4161" customFormat="1" x14ac:dyDescent="0.2"/>
    <row r="4162" customFormat="1" x14ac:dyDescent="0.2"/>
    <row r="4163" customFormat="1" x14ac:dyDescent="0.2"/>
    <row r="4164" customFormat="1" x14ac:dyDescent="0.2"/>
    <row r="4165" customFormat="1" x14ac:dyDescent="0.2"/>
    <row r="4166" customFormat="1" x14ac:dyDescent="0.2"/>
    <row r="4167" customFormat="1" x14ac:dyDescent="0.2"/>
    <row r="4168" customFormat="1" x14ac:dyDescent="0.2"/>
    <row r="4169" customFormat="1" x14ac:dyDescent="0.2"/>
    <row r="4170" customFormat="1" x14ac:dyDescent="0.2"/>
    <row r="4171" customFormat="1" x14ac:dyDescent="0.2"/>
    <row r="4172" customFormat="1" x14ac:dyDescent="0.2"/>
    <row r="4173" customFormat="1" x14ac:dyDescent="0.2"/>
    <row r="4174" customFormat="1" x14ac:dyDescent="0.2"/>
    <row r="4175" customFormat="1" x14ac:dyDescent="0.2"/>
    <row r="4176" customFormat="1" x14ac:dyDescent="0.2"/>
    <row r="4177" customFormat="1" x14ac:dyDescent="0.2"/>
    <row r="4178" customFormat="1" x14ac:dyDescent="0.2"/>
    <row r="4179" customFormat="1" x14ac:dyDescent="0.2"/>
    <row r="4180" customFormat="1" x14ac:dyDescent="0.2"/>
    <row r="4181" customFormat="1" x14ac:dyDescent="0.2"/>
    <row r="4182" customFormat="1" x14ac:dyDescent="0.2"/>
    <row r="4183" customFormat="1" x14ac:dyDescent="0.2"/>
    <row r="4184" customFormat="1" x14ac:dyDescent="0.2"/>
    <row r="4185" customFormat="1" x14ac:dyDescent="0.2"/>
    <row r="4186" customFormat="1" x14ac:dyDescent="0.2"/>
    <row r="4187" customFormat="1" x14ac:dyDescent="0.2"/>
    <row r="4188" customFormat="1" x14ac:dyDescent="0.2"/>
    <row r="4189" customFormat="1" x14ac:dyDescent="0.2"/>
    <row r="4190" customFormat="1" x14ac:dyDescent="0.2"/>
    <row r="4191" customFormat="1" x14ac:dyDescent="0.2"/>
    <row r="4192" customFormat="1" x14ac:dyDescent="0.2"/>
    <row r="4193" customFormat="1" x14ac:dyDescent="0.2"/>
    <row r="4194" customFormat="1" x14ac:dyDescent="0.2"/>
    <row r="4195" customFormat="1" x14ac:dyDescent="0.2"/>
    <row r="4196" customFormat="1" x14ac:dyDescent="0.2"/>
    <row r="4197" customFormat="1" x14ac:dyDescent="0.2"/>
    <row r="4198" customFormat="1" x14ac:dyDescent="0.2"/>
    <row r="4199" customFormat="1" x14ac:dyDescent="0.2"/>
    <row r="4200" customFormat="1" x14ac:dyDescent="0.2"/>
    <row r="4201" customFormat="1" x14ac:dyDescent="0.2"/>
    <row r="4202" customFormat="1" x14ac:dyDescent="0.2"/>
    <row r="4203" customFormat="1" x14ac:dyDescent="0.2"/>
    <row r="4204" customFormat="1" x14ac:dyDescent="0.2"/>
    <row r="4205" customFormat="1" x14ac:dyDescent="0.2"/>
    <row r="4206" customFormat="1" x14ac:dyDescent="0.2"/>
    <row r="4207" customFormat="1" x14ac:dyDescent="0.2"/>
    <row r="4208" customFormat="1" x14ac:dyDescent="0.2"/>
    <row r="4209" customFormat="1" x14ac:dyDescent="0.2"/>
    <row r="4210" customFormat="1" x14ac:dyDescent="0.2"/>
    <row r="4211" customFormat="1" x14ac:dyDescent="0.2"/>
    <row r="4212" customFormat="1" x14ac:dyDescent="0.2"/>
    <row r="4213" customFormat="1" x14ac:dyDescent="0.2"/>
    <row r="4214" customFormat="1" x14ac:dyDescent="0.2"/>
    <row r="4215" customFormat="1" x14ac:dyDescent="0.2"/>
    <row r="4216" customFormat="1" x14ac:dyDescent="0.2"/>
    <row r="4217" customFormat="1" x14ac:dyDescent="0.2"/>
    <row r="4218" customFormat="1" x14ac:dyDescent="0.2"/>
    <row r="4219" customFormat="1" x14ac:dyDescent="0.2"/>
    <row r="4220" customFormat="1" x14ac:dyDescent="0.2"/>
    <row r="4221" customFormat="1" x14ac:dyDescent="0.2"/>
    <row r="4222" customFormat="1" x14ac:dyDescent="0.2"/>
    <row r="4223" customFormat="1" x14ac:dyDescent="0.2"/>
    <row r="4224" customFormat="1" x14ac:dyDescent="0.2"/>
    <row r="4225" customFormat="1" x14ac:dyDescent="0.2"/>
    <row r="4226" customFormat="1" x14ac:dyDescent="0.2"/>
    <row r="4227" customFormat="1" x14ac:dyDescent="0.2"/>
    <row r="4228" customFormat="1" x14ac:dyDescent="0.2"/>
    <row r="4229" customFormat="1" x14ac:dyDescent="0.2"/>
    <row r="4230" customFormat="1" x14ac:dyDescent="0.2"/>
    <row r="4231" customFormat="1" x14ac:dyDescent="0.2"/>
    <row r="4232" customFormat="1" x14ac:dyDescent="0.2"/>
    <row r="4233" customFormat="1" x14ac:dyDescent="0.2"/>
    <row r="4234" customFormat="1" x14ac:dyDescent="0.2"/>
    <row r="4235" customFormat="1" x14ac:dyDescent="0.2"/>
    <row r="4236" customFormat="1" x14ac:dyDescent="0.2"/>
    <row r="4237" customFormat="1" x14ac:dyDescent="0.2"/>
    <row r="4238" customFormat="1" x14ac:dyDescent="0.2"/>
    <row r="4239" customFormat="1" x14ac:dyDescent="0.2"/>
    <row r="4240" customFormat="1" x14ac:dyDescent="0.2"/>
    <row r="4241" customFormat="1" x14ac:dyDescent="0.2"/>
    <row r="4242" customFormat="1" x14ac:dyDescent="0.2"/>
    <row r="4243" customFormat="1" x14ac:dyDescent="0.2"/>
    <row r="4244" customFormat="1" x14ac:dyDescent="0.2"/>
    <row r="4245" customFormat="1" x14ac:dyDescent="0.2"/>
    <row r="4246" customFormat="1" x14ac:dyDescent="0.2"/>
    <row r="4247" customFormat="1" x14ac:dyDescent="0.2"/>
    <row r="4248" customFormat="1" x14ac:dyDescent="0.2"/>
    <row r="4249" customFormat="1" x14ac:dyDescent="0.2"/>
    <row r="4250" customFormat="1" x14ac:dyDescent="0.2"/>
    <row r="4251" customFormat="1" x14ac:dyDescent="0.2"/>
    <row r="4252" customFormat="1" x14ac:dyDescent="0.2"/>
    <row r="4253" customFormat="1" x14ac:dyDescent="0.2"/>
    <row r="4254" customFormat="1" x14ac:dyDescent="0.2"/>
    <row r="4255" customFormat="1" x14ac:dyDescent="0.2"/>
    <row r="4256" customFormat="1" x14ac:dyDescent="0.2"/>
    <row r="4257" customFormat="1" x14ac:dyDescent="0.2"/>
    <row r="4258" customFormat="1" x14ac:dyDescent="0.2"/>
    <row r="4259" customFormat="1" x14ac:dyDescent="0.2"/>
    <row r="4260" customFormat="1" x14ac:dyDescent="0.2"/>
    <row r="4261" customFormat="1" x14ac:dyDescent="0.2"/>
    <row r="4262" customFormat="1" x14ac:dyDescent="0.2"/>
    <row r="4263" customFormat="1" x14ac:dyDescent="0.2"/>
    <row r="4264" customFormat="1" x14ac:dyDescent="0.2"/>
    <row r="4265" customFormat="1" x14ac:dyDescent="0.2"/>
    <row r="4266" customFormat="1" x14ac:dyDescent="0.2"/>
    <row r="4267" customFormat="1" x14ac:dyDescent="0.2"/>
    <row r="4268" customFormat="1" x14ac:dyDescent="0.2"/>
    <row r="4269" customFormat="1" x14ac:dyDescent="0.2"/>
    <row r="4270" customFormat="1" x14ac:dyDescent="0.2"/>
    <row r="4271" customFormat="1" x14ac:dyDescent="0.2"/>
    <row r="4272" customFormat="1" x14ac:dyDescent="0.2"/>
    <row r="4273" customFormat="1" x14ac:dyDescent="0.2"/>
    <row r="4274" customFormat="1" x14ac:dyDescent="0.2"/>
    <row r="4275" customFormat="1" x14ac:dyDescent="0.2"/>
    <row r="4276" customFormat="1" x14ac:dyDescent="0.2"/>
    <row r="4277" customFormat="1" x14ac:dyDescent="0.2"/>
    <row r="4278" customFormat="1" x14ac:dyDescent="0.2"/>
    <row r="4279" customFormat="1" x14ac:dyDescent="0.2"/>
    <row r="4280" customFormat="1" x14ac:dyDescent="0.2"/>
    <row r="4281" customFormat="1" x14ac:dyDescent="0.2"/>
    <row r="4282" customFormat="1" x14ac:dyDescent="0.2"/>
    <row r="4283" customFormat="1" x14ac:dyDescent="0.2"/>
    <row r="4284" customFormat="1" x14ac:dyDescent="0.2"/>
    <row r="4285" customFormat="1" x14ac:dyDescent="0.2"/>
    <row r="4286" customFormat="1" x14ac:dyDescent="0.2"/>
    <row r="4287" customFormat="1" x14ac:dyDescent="0.2"/>
    <row r="4288" customFormat="1" x14ac:dyDescent="0.2"/>
    <row r="4289" customFormat="1" x14ac:dyDescent="0.2"/>
    <row r="4290" customFormat="1" x14ac:dyDescent="0.2"/>
    <row r="4291" customFormat="1" x14ac:dyDescent="0.2"/>
    <row r="4292" customFormat="1" x14ac:dyDescent="0.2"/>
    <row r="4293" customFormat="1" x14ac:dyDescent="0.2"/>
    <row r="4294" customFormat="1" x14ac:dyDescent="0.2"/>
    <row r="4295" customFormat="1" x14ac:dyDescent="0.2"/>
    <row r="4296" customFormat="1" x14ac:dyDescent="0.2"/>
    <row r="4297" customFormat="1" x14ac:dyDescent="0.2"/>
    <row r="4298" customFormat="1" x14ac:dyDescent="0.2"/>
    <row r="4299" customFormat="1" x14ac:dyDescent="0.2"/>
    <row r="4300" customFormat="1" x14ac:dyDescent="0.2"/>
    <row r="4301" customFormat="1" x14ac:dyDescent="0.2"/>
    <row r="4302" customFormat="1" x14ac:dyDescent="0.2"/>
    <row r="4303" customFormat="1" x14ac:dyDescent="0.2"/>
    <row r="4304" customFormat="1" x14ac:dyDescent="0.2"/>
    <row r="4305" customFormat="1" x14ac:dyDescent="0.2"/>
    <row r="4306" customFormat="1" x14ac:dyDescent="0.2"/>
    <row r="4307" customFormat="1" x14ac:dyDescent="0.2"/>
    <row r="4308" customFormat="1" x14ac:dyDescent="0.2"/>
    <row r="4309" customFormat="1" x14ac:dyDescent="0.2"/>
    <row r="4310" customFormat="1" x14ac:dyDescent="0.2"/>
    <row r="4311" customFormat="1" x14ac:dyDescent="0.2"/>
    <row r="4312" customFormat="1" x14ac:dyDescent="0.2"/>
    <row r="4313" customFormat="1" x14ac:dyDescent="0.2"/>
    <row r="4314" customFormat="1" x14ac:dyDescent="0.2"/>
    <row r="4315" customFormat="1" x14ac:dyDescent="0.2"/>
    <row r="4316" customFormat="1" x14ac:dyDescent="0.2"/>
    <row r="4317" customFormat="1" x14ac:dyDescent="0.2"/>
    <row r="4318" customFormat="1" x14ac:dyDescent="0.2"/>
    <row r="4319" customFormat="1" x14ac:dyDescent="0.2"/>
    <row r="4320" customFormat="1" x14ac:dyDescent="0.2"/>
    <row r="4321" customFormat="1" x14ac:dyDescent="0.2"/>
    <row r="4322" customFormat="1" x14ac:dyDescent="0.2"/>
    <row r="4323" customFormat="1" x14ac:dyDescent="0.2"/>
    <row r="4324" customFormat="1" x14ac:dyDescent="0.2"/>
    <row r="4325" customFormat="1" x14ac:dyDescent="0.2"/>
    <row r="4326" customFormat="1" x14ac:dyDescent="0.2"/>
    <row r="4327" customFormat="1" x14ac:dyDescent="0.2"/>
    <row r="4328" customFormat="1" x14ac:dyDescent="0.2"/>
    <row r="4329" customFormat="1" x14ac:dyDescent="0.2"/>
    <row r="4330" customFormat="1" x14ac:dyDescent="0.2"/>
    <row r="4331" customFormat="1" x14ac:dyDescent="0.2"/>
    <row r="4332" customFormat="1" x14ac:dyDescent="0.2"/>
    <row r="4333" customFormat="1" x14ac:dyDescent="0.2"/>
    <row r="4334" customFormat="1" x14ac:dyDescent="0.2"/>
    <row r="4335" customFormat="1" x14ac:dyDescent="0.2"/>
    <row r="4336" customFormat="1" x14ac:dyDescent="0.2"/>
    <row r="4337" customFormat="1" x14ac:dyDescent="0.2"/>
    <row r="4338" customFormat="1" x14ac:dyDescent="0.2"/>
    <row r="4339" customFormat="1" x14ac:dyDescent="0.2"/>
    <row r="4340" customFormat="1" x14ac:dyDescent="0.2"/>
    <row r="4341" customFormat="1" x14ac:dyDescent="0.2"/>
    <row r="4342" customFormat="1" x14ac:dyDescent="0.2"/>
    <row r="4343" customFormat="1" x14ac:dyDescent="0.2"/>
    <row r="4344" customFormat="1" x14ac:dyDescent="0.2"/>
    <row r="4345" customFormat="1" x14ac:dyDescent="0.2"/>
    <row r="4346" customFormat="1" x14ac:dyDescent="0.2"/>
    <row r="4347" customFormat="1" x14ac:dyDescent="0.2"/>
    <row r="4348" customFormat="1" x14ac:dyDescent="0.2"/>
    <row r="4349" customFormat="1" x14ac:dyDescent="0.2"/>
    <row r="4350" customFormat="1" x14ac:dyDescent="0.2"/>
    <row r="4351" customFormat="1" x14ac:dyDescent="0.2"/>
    <row r="4352" customFormat="1" x14ac:dyDescent="0.2"/>
    <row r="4353" customFormat="1" x14ac:dyDescent="0.2"/>
    <row r="4354" customFormat="1" x14ac:dyDescent="0.2"/>
    <row r="4355" customFormat="1" x14ac:dyDescent="0.2"/>
    <row r="4356" customFormat="1" x14ac:dyDescent="0.2"/>
    <row r="4357" customFormat="1" x14ac:dyDescent="0.2"/>
    <row r="4358" customFormat="1" x14ac:dyDescent="0.2"/>
    <row r="4359" customFormat="1" x14ac:dyDescent="0.2"/>
    <row r="4360" customFormat="1" x14ac:dyDescent="0.2"/>
    <row r="4361" customFormat="1" x14ac:dyDescent="0.2"/>
    <row r="4362" customFormat="1" x14ac:dyDescent="0.2"/>
    <row r="4363" customFormat="1" x14ac:dyDescent="0.2"/>
    <row r="4364" customFormat="1" x14ac:dyDescent="0.2"/>
    <row r="4365" customFormat="1" x14ac:dyDescent="0.2"/>
    <row r="4366" customFormat="1" x14ac:dyDescent="0.2"/>
    <row r="4367" customFormat="1" x14ac:dyDescent="0.2"/>
    <row r="4368" customFormat="1" x14ac:dyDescent="0.2"/>
    <row r="4369" customFormat="1" x14ac:dyDescent="0.2"/>
    <row r="4370" customFormat="1" x14ac:dyDescent="0.2"/>
    <row r="4371" customFormat="1" x14ac:dyDescent="0.2"/>
    <row r="4372" customFormat="1" x14ac:dyDescent="0.2"/>
    <row r="4373" customFormat="1" x14ac:dyDescent="0.2"/>
    <row r="4374" customFormat="1" x14ac:dyDescent="0.2"/>
    <row r="4375" customFormat="1" x14ac:dyDescent="0.2"/>
    <row r="4376" customFormat="1" x14ac:dyDescent="0.2"/>
    <row r="4377" customFormat="1" x14ac:dyDescent="0.2"/>
    <row r="4378" customFormat="1" x14ac:dyDescent="0.2"/>
    <row r="4379" customFormat="1" x14ac:dyDescent="0.2"/>
    <row r="4380" customFormat="1" x14ac:dyDescent="0.2"/>
    <row r="4381" customFormat="1" x14ac:dyDescent="0.2"/>
    <row r="4382" customFormat="1" x14ac:dyDescent="0.2"/>
    <row r="4383" customFormat="1" x14ac:dyDescent="0.2"/>
    <row r="4384" customFormat="1" x14ac:dyDescent="0.2"/>
    <row r="4385" customFormat="1" x14ac:dyDescent="0.2"/>
    <row r="4386" customFormat="1" x14ac:dyDescent="0.2"/>
    <row r="4387" customFormat="1" x14ac:dyDescent="0.2"/>
    <row r="4388" customFormat="1" x14ac:dyDescent="0.2"/>
    <row r="4389" customFormat="1" x14ac:dyDescent="0.2"/>
    <row r="4390" customFormat="1" x14ac:dyDescent="0.2"/>
    <row r="4391" customFormat="1" x14ac:dyDescent="0.2"/>
    <row r="4392" customFormat="1" x14ac:dyDescent="0.2"/>
    <row r="4393" customFormat="1" x14ac:dyDescent="0.2"/>
    <row r="4394" customFormat="1" x14ac:dyDescent="0.2"/>
    <row r="4395" customFormat="1" x14ac:dyDescent="0.2"/>
    <row r="4396" customFormat="1" x14ac:dyDescent="0.2"/>
    <row r="4397" customFormat="1" x14ac:dyDescent="0.2"/>
    <row r="4398" customFormat="1" x14ac:dyDescent="0.2"/>
    <row r="4399" customFormat="1" x14ac:dyDescent="0.2"/>
    <row r="4400" customFormat="1" x14ac:dyDescent="0.2"/>
    <row r="4401" customFormat="1" x14ac:dyDescent="0.2"/>
    <row r="4402" customFormat="1" x14ac:dyDescent="0.2"/>
    <row r="4403" customFormat="1" x14ac:dyDescent="0.2"/>
    <row r="4404" customFormat="1" x14ac:dyDescent="0.2"/>
    <row r="4405" customFormat="1" x14ac:dyDescent="0.2"/>
    <row r="4406" customFormat="1" x14ac:dyDescent="0.2"/>
    <row r="4407" customFormat="1" x14ac:dyDescent="0.2"/>
    <row r="4408" customFormat="1" x14ac:dyDescent="0.2"/>
    <row r="4409" customFormat="1" x14ac:dyDescent="0.2"/>
    <row r="4410" customFormat="1" x14ac:dyDescent="0.2"/>
    <row r="4411" customFormat="1" x14ac:dyDescent="0.2"/>
    <row r="4412" customFormat="1" x14ac:dyDescent="0.2"/>
    <row r="4413" customFormat="1" x14ac:dyDescent="0.2"/>
    <row r="4414" customFormat="1" x14ac:dyDescent="0.2"/>
    <row r="4415" customFormat="1" x14ac:dyDescent="0.2"/>
    <row r="4416" customFormat="1" x14ac:dyDescent="0.2"/>
    <row r="4417" customFormat="1" x14ac:dyDescent="0.2"/>
    <row r="4418" customFormat="1" x14ac:dyDescent="0.2"/>
    <row r="4419" customFormat="1" x14ac:dyDescent="0.2"/>
    <row r="4420" customFormat="1" x14ac:dyDescent="0.2"/>
    <row r="4421" customFormat="1" x14ac:dyDescent="0.2"/>
    <row r="4422" customFormat="1" x14ac:dyDescent="0.2"/>
    <row r="4423" customFormat="1" x14ac:dyDescent="0.2"/>
    <row r="4424" customFormat="1" x14ac:dyDescent="0.2"/>
    <row r="4425" customFormat="1" x14ac:dyDescent="0.2"/>
    <row r="4426" customFormat="1" x14ac:dyDescent="0.2"/>
    <row r="4427" customFormat="1" x14ac:dyDescent="0.2"/>
    <row r="4428" customFormat="1" x14ac:dyDescent="0.2"/>
    <row r="4429" customFormat="1" x14ac:dyDescent="0.2"/>
    <row r="4430" customFormat="1" x14ac:dyDescent="0.2"/>
    <row r="4431" customFormat="1" x14ac:dyDescent="0.2"/>
    <row r="4432" customFormat="1" x14ac:dyDescent="0.2"/>
    <row r="4433" customFormat="1" x14ac:dyDescent="0.2"/>
    <row r="4434" customFormat="1" x14ac:dyDescent="0.2"/>
    <row r="4435" customFormat="1" x14ac:dyDescent="0.2"/>
    <row r="4436" customFormat="1" x14ac:dyDescent="0.2"/>
    <row r="4437" customFormat="1" x14ac:dyDescent="0.2"/>
    <row r="4438" customFormat="1" x14ac:dyDescent="0.2"/>
    <row r="4439" customFormat="1" x14ac:dyDescent="0.2"/>
    <row r="4440" customFormat="1" x14ac:dyDescent="0.2"/>
    <row r="4441" customFormat="1" x14ac:dyDescent="0.2"/>
    <row r="4442" customFormat="1" x14ac:dyDescent="0.2"/>
    <row r="4443" customFormat="1" x14ac:dyDescent="0.2"/>
    <row r="4444" customFormat="1" x14ac:dyDescent="0.2"/>
    <row r="4445" customFormat="1" x14ac:dyDescent="0.2"/>
    <row r="4446" customFormat="1" x14ac:dyDescent="0.2"/>
    <row r="4447" customFormat="1" x14ac:dyDescent="0.2"/>
    <row r="4448" customFormat="1" x14ac:dyDescent="0.2"/>
    <row r="4449" customFormat="1" x14ac:dyDescent="0.2"/>
    <row r="4450" customFormat="1" x14ac:dyDescent="0.2"/>
    <row r="4451" customFormat="1" x14ac:dyDescent="0.2"/>
    <row r="4452" customFormat="1" x14ac:dyDescent="0.2"/>
    <row r="4453" customFormat="1" x14ac:dyDescent="0.2"/>
    <row r="4454" customFormat="1" x14ac:dyDescent="0.2"/>
    <row r="4455" customFormat="1" x14ac:dyDescent="0.2"/>
    <row r="4456" customFormat="1" x14ac:dyDescent="0.2"/>
    <row r="4457" customFormat="1" x14ac:dyDescent="0.2"/>
    <row r="4458" customFormat="1" x14ac:dyDescent="0.2"/>
    <row r="4459" customFormat="1" x14ac:dyDescent="0.2"/>
    <row r="4460" customFormat="1" x14ac:dyDescent="0.2"/>
    <row r="4461" customFormat="1" x14ac:dyDescent="0.2"/>
    <row r="4462" customFormat="1" x14ac:dyDescent="0.2"/>
    <row r="4463" customFormat="1" x14ac:dyDescent="0.2"/>
    <row r="4464" customFormat="1" x14ac:dyDescent="0.2"/>
    <row r="4465" customFormat="1" x14ac:dyDescent="0.2"/>
    <row r="4466" customFormat="1" x14ac:dyDescent="0.2"/>
    <row r="4467" customFormat="1" x14ac:dyDescent="0.2"/>
    <row r="4468" customFormat="1" x14ac:dyDescent="0.2"/>
    <row r="4469" customFormat="1" x14ac:dyDescent="0.2"/>
    <row r="4470" customFormat="1" x14ac:dyDescent="0.2"/>
    <row r="4471" customFormat="1" x14ac:dyDescent="0.2"/>
    <row r="4472" customFormat="1" x14ac:dyDescent="0.2"/>
    <row r="4473" customFormat="1" x14ac:dyDescent="0.2"/>
    <row r="4474" customFormat="1" x14ac:dyDescent="0.2"/>
    <row r="4475" customFormat="1" x14ac:dyDescent="0.2"/>
    <row r="4476" customFormat="1" x14ac:dyDescent="0.2"/>
    <row r="4477" customFormat="1" x14ac:dyDescent="0.2"/>
    <row r="4478" customFormat="1" x14ac:dyDescent="0.2"/>
    <row r="4479" customFormat="1" x14ac:dyDescent="0.2"/>
    <row r="4480" customFormat="1" x14ac:dyDescent="0.2"/>
    <row r="4481" customFormat="1" x14ac:dyDescent="0.2"/>
    <row r="4482" customFormat="1" x14ac:dyDescent="0.2"/>
    <row r="4483" customFormat="1" x14ac:dyDescent="0.2"/>
    <row r="4484" customFormat="1" x14ac:dyDescent="0.2"/>
    <row r="4485" customFormat="1" x14ac:dyDescent="0.2"/>
    <row r="4486" customFormat="1" x14ac:dyDescent="0.2"/>
    <row r="4487" customFormat="1" x14ac:dyDescent="0.2"/>
    <row r="4488" customFormat="1" x14ac:dyDescent="0.2"/>
    <row r="4489" customFormat="1" x14ac:dyDescent="0.2"/>
    <row r="4490" customFormat="1" x14ac:dyDescent="0.2"/>
    <row r="4491" customFormat="1" x14ac:dyDescent="0.2"/>
    <row r="4492" customFormat="1" x14ac:dyDescent="0.2"/>
    <row r="4493" customFormat="1" x14ac:dyDescent="0.2"/>
    <row r="4494" customFormat="1" x14ac:dyDescent="0.2"/>
    <row r="4495" customFormat="1" x14ac:dyDescent="0.2"/>
    <row r="4496" customFormat="1" x14ac:dyDescent="0.2"/>
    <row r="4497" customFormat="1" x14ac:dyDescent="0.2"/>
    <row r="4498" customFormat="1" x14ac:dyDescent="0.2"/>
    <row r="4499" customFormat="1" x14ac:dyDescent="0.2"/>
    <row r="4500" customFormat="1" x14ac:dyDescent="0.2"/>
    <row r="4501" customFormat="1" x14ac:dyDescent="0.2"/>
    <row r="4502" customFormat="1" x14ac:dyDescent="0.2"/>
    <row r="4503" customFormat="1" x14ac:dyDescent="0.2"/>
    <row r="4504" customFormat="1" x14ac:dyDescent="0.2"/>
    <row r="4505" customFormat="1" x14ac:dyDescent="0.2"/>
    <row r="4506" customFormat="1" x14ac:dyDescent="0.2"/>
    <row r="4507" customFormat="1" x14ac:dyDescent="0.2"/>
    <row r="4508" customFormat="1" x14ac:dyDescent="0.2"/>
    <row r="4509" customFormat="1" x14ac:dyDescent="0.2"/>
    <row r="4510" customFormat="1" x14ac:dyDescent="0.2"/>
    <row r="4511" customFormat="1" x14ac:dyDescent="0.2"/>
    <row r="4512" customFormat="1" x14ac:dyDescent="0.2"/>
    <row r="4513" customFormat="1" x14ac:dyDescent="0.2"/>
    <row r="4514" customFormat="1" x14ac:dyDescent="0.2"/>
    <row r="4515" customFormat="1" x14ac:dyDescent="0.2"/>
    <row r="4516" customFormat="1" x14ac:dyDescent="0.2"/>
    <row r="4517" customFormat="1" x14ac:dyDescent="0.2"/>
    <row r="4518" customFormat="1" x14ac:dyDescent="0.2"/>
    <row r="4519" customFormat="1" x14ac:dyDescent="0.2"/>
    <row r="4520" customFormat="1" x14ac:dyDescent="0.2"/>
    <row r="4521" customFormat="1" x14ac:dyDescent="0.2"/>
    <row r="4522" customFormat="1" x14ac:dyDescent="0.2"/>
    <row r="4523" customFormat="1" x14ac:dyDescent="0.2"/>
    <row r="4524" customFormat="1" x14ac:dyDescent="0.2"/>
    <row r="4525" customFormat="1" x14ac:dyDescent="0.2"/>
    <row r="4526" customFormat="1" x14ac:dyDescent="0.2"/>
    <row r="4527" customFormat="1" x14ac:dyDescent="0.2"/>
    <row r="4528" customFormat="1" x14ac:dyDescent="0.2"/>
    <row r="4529" customFormat="1" x14ac:dyDescent="0.2"/>
    <row r="4530" customFormat="1" x14ac:dyDescent="0.2"/>
    <row r="4531" customFormat="1" x14ac:dyDescent="0.2"/>
    <row r="4532" customFormat="1" x14ac:dyDescent="0.2"/>
    <row r="4533" customFormat="1" x14ac:dyDescent="0.2"/>
    <row r="4534" customFormat="1" x14ac:dyDescent="0.2"/>
    <row r="4535" customFormat="1" x14ac:dyDescent="0.2"/>
    <row r="4536" customFormat="1" x14ac:dyDescent="0.2"/>
    <row r="4537" customFormat="1" x14ac:dyDescent="0.2"/>
    <row r="4538" customFormat="1" x14ac:dyDescent="0.2"/>
    <row r="4539" customFormat="1" x14ac:dyDescent="0.2"/>
    <row r="4540" customFormat="1" x14ac:dyDescent="0.2"/>
    <row r="4541" customFormat="1" x14ac:dyDescent="0.2"/>
    <row r="4542" customFormat="1" x14ac:dyDescent="0.2"/>
    <row r="4543" customFormat="1" x14ac:dyDescent="0.2"/>
    <row r="4544" customFormat="1" x14ac:dyDescent="0.2"/>
    <row r="4545" customFormat="1" x14ac:dyDescent="0.2"/>
    <row r="4546" customFormat="1" x14ac:dyDescent="0.2"/>
    <row r="4547" customFormat="1" x14ac:dyDescent="0.2"/>
    <row r="4548" customFormat="1" x14ac:dyDescent="0.2"/>
    <row r="4549" customFormat="1" x14ac:dyDescent="0.2"/>
    <row r="4550" customFormat="1" x14ac:dyDescent="0.2"/>
    <row r="4551" customFormat="1" x14ac:dyDescent="0.2"/>
    <row r="4552" customFormat="1" x14ac:dyDescent="0.2"/>
    <row r="4553" customFormat="1" x14ac:dyDescent="0.2"/>
    <row r="4554" customFormat="1" x14ac:dyDescent="0.2"/>
    <row r="4555" customFormat="1" x14ac:dyDescent="0.2"/>
    <row r="4556" customFormat="1" x14ac:dyDescent="0.2"/>
    <row r="4557" customFormat="1" x14ac:dyDescent="0.2"/>
    <row r="4558" customFormat="1" x14ac:dyDescent="0.2"/>
    <row r="4559" customFormat="1" x14ac:dyDescent="0.2"/>
    <row r="4560" customFormat="1" x14ac:dyDescent="0.2"/>
    <row r="4561" customFormat="1" x14ac:dyDescent="0.2"/>
    <row r="4562" customFormat="1" x14ac:dyDescent="0.2"/>
    <row r="4563" customFormat="1" x14ac:dyDescent="0.2"/>
    <row r="4564" customFormat="1" x14ac:dyDescent="0.2"/>
    <row r="4565" customFormat="1" x14ac:dyDescent="0.2"/>
    <row r="4566" customFormat="1" x14ac:dyDescent="0.2"/>
    <row r="4567" customFormat="1" x14ac:dyDescent="0.2"/>
    <row r="4568" customFormat="1" x14ac:dyDescent="0.2"/>
    <row r="4569" customFormat="1" x14ac:dyDescent="0.2"/>
    <row r="4570" customFormat="1" x14ac:dyDescent="0.2"/>
    <row r="4571" customFormat="1" x14ac:dyDescent="0.2"/>
    <row r="4572" customFormat="1" x14ac:dyDescent="0.2"/>
    <row r="4573" customFormat="1" x14ac:dyDescent="0.2"/>
    <row r="4574" customFormat="1" x14ac:dyDescent="0.2"/>
    <row r="4575" customFormat="1" x14ac:dyDescent="0.2"/>
    <row r="4576" customFormat="1" x14ac:dyDescent="0.2"/>
    <row r="4577" customFormat="1" x14ac:dyDescent="0.2"/>
    <row r="4578" customFormat="1" x14ac:dyDescent="0.2"/>
    <row r="4579" customFormat="1" x14ac:dyDescent="0.2"/>
    <row r="4580" customFormat="1" x14ac:dyDescent="0.2"/>
    <row r="4581" customFormat="1" x14ac:dyDescent="0.2"/>
    <row r="4582" customFormat="1" x14ac:dyDescent="0.2"/>
    <row r="4583" customFormat="1" x14ac:dyDescent="0.2"/>
    <row r="4584" customFormat="1" x14ac:dyDescent="0.2"/>
    <row r="4585" customFormat="1" x14ac:dyDescent="0.2"/>
    <row r="4586" customFormat="1" x14ac:dyDescent="0.2"/>
    <row r="4587" customFormat="1" x14ac:dyDescent="0.2"/>
    <row r="4588" customFormat="1" x14ac:dyDescent="0.2"/>
    <row r="4589" customFormat="1" x14ac:dyDescent="0.2"/>
    <row r="4590" customFormat="1" x14ac:dyDescent="0.2"/>
    <row r="4591" customFormat="1" x14ac:dyDescent="0.2"/>
    <row r="4592" customFormat="1" x14ac:dyDescent="0.2"/>
    <row r="4593" customFormat="1" x14ac:dyDescent="0.2"/>
    <row r="4594" customFormat="1" x14ac:dyDescent="0.2"/>
    <row r="4595" customFormat="1" x14ac:dyDescent="0.2"/>
    <row r="4596" customFormat="1" x14ac:dyDescent="0.2"/>
    <row r="4597" customFormat="1" x14ac:dyDescent="0.2"/>
    <row r="4598" customFormat="1" x14ac:dyDescent="0.2"/>
    <row r="4599" customFormat="1" x14ac:dyDescent="0.2"/>
    <row r="4600" customFormat="1" x14ac:dyDescent="0.2"/>
    <row r="4601" customFormat="1" x14ac:dyDescent="0.2"/>
    <row r="4602" customFormat="1" x14ac:dyDescent="0.2"/>
    <row r="4603" customFormat="1" x14ac:dyDescent="0.2"/>
    <row r="4604" customFormat="1" x14ac:dyDescent="0.2"/>
    <row r="4605" customFormat="1" x14ac:dyDescent="0.2"/>
    <row r="4606" customFormat="1" x14ac:dyDescent="0.2"/>
    <row r="4607" customFormat="1" x14ac:dyDescent="0.2"/>
    <row r="4608" customFormat="1" x14ac:dyDescent="0.2"/>
    <row r="4609" customFormat="1" x14ac:dyDescent="0.2"/>
    <row r="4610" customFormat="1" x14ac:dyDescent="0.2"/>
    <row r="4611" customFormat="1" x14ac:dyDescent="0.2"/>
    <row r="4612" customFormat="1" x14ac:dyDescent="0.2"/>
    <row r="4613" customFormat="1" x14ac:dyDescent="0.2"/>
    <row r="4614" customFormat="1" x14ac:dyDescent="0.2"/>
    <row r="4615" customFormat="1" x14ac:dyDescent="0.2"/>
    <row r="4616" customFormat="1" x14ac:dyDescent="0.2"/>
    <row r="4617" customFormat="1" x14ac:dyDescent="0.2"/>
    <row r="4618" customFormat="1" x14ac:dyDescent="0.2"/>
    <row r="4619" customFormat="1" x14ac:dyDescent="0.2"/>
    <row r="4620" customFormat="1" x14ac:dyDescent="0.2"/>
    <row r="4621" customFormat="1" x14ac:dyDescent="0.2"/>
    <row r="4622" customFormat="1" x14ac:dyDescent="0.2"/>
    <row r="4623" customFormat="1" x14ac:dyDescent="0.2"/>
    <row r="4624" customFormat="1" x14ac:dyDescent="0.2"/>
    <row r="4625" customFormat="1" x14ac:dyDescent="0.2"/>
    <row r="4626" customFormat="1" x14ac:dyDescent="0.2"/>
    <row r="4627" customFormat="1" x14ac:dyDescent="0.2"/>
    <row r="4628" customFormat="1" x14ac:dyDescent="0.2"/>
    <row r="4629" customFormat="1" x14ac:dyDescent="0.2"/>
    <row r="4630" customFormat="1" x14ac:dyDescent="0.2"/>
    <row r="4631" customFormat="1" x14ac:dyDescent="0.2"/>
    <row r="4632" customFormat="1" x14ac:dyDescent="0.2"/>
    <row r="4633" customFormat="1" x14ac:dyDescent="0.2"/>
    <row r="4634" customFormat="1" x14ac:dyDescent="0.2"/>
    <row r="4635" customFormat="1" x14ac:dyDescent="0.2"/>
    <row r="4636" customFormat="1" x14ac:dyDescent="0.2"/>
    <row r="4637" customFormat="1" x14ac:dyDescent="0.2"/>
    <row r="4638" customFormat="1" x14ac:dyDescent="0.2"/>
    <row r="4639" customFormat="1" x14ac:dyDescent="0.2"/>
    <row r="4640" customFormat="1" x14ac:dyDescent="0.2"/>
    <row r="4641" customFormat="1" x14ac:dyDescent="0.2"/>
    <row r="4642" customFormat="1" x14ac:dyDescent="0.2"/>
    <row r="4643" customFormat="1" x14ac:dyDescent="0.2"/>
    <row r="4644" customFormat="1" x14ac:dyDescent="0.2"/>
    <row r="4645" customFormat="1" x14ac:dyDescent="0.2"/>
    <row r="4646" customFormat="1" x14ac:dyDescent="0.2"/>
    <row r="4647" customFormat="1" x14ac:dyDescent="0.2"/>
    <row r="4648" customFormat="1" x14ac:dyDescent="0.2"/>
    <row r="4649" customFormat="1" x14ac:dyDescent="0.2"/>
    <row r="4650" customFormat="1" x14ac:dyDescent="0.2"/>
    <row r="4651" customFormat="1" x14ac:dyDescent="0.2"/>
    <row r="4652" customFormat="1" x14ac:dyDescent="0.2"/>
    <row r="4653" customFormat="1" x14ac:dyDescent="0.2"/>
    <row r="4654" customFormat="1" x14ac:dyDescent="0.2"/>
    <row r="4655" customFormat="1" x14ac:dyDescent="0.2"/>
    <row r="4656" customFormat="1" x14ac:dyDescent="0.2"/>
    <row r="4657" customFormat="1" x14ac:dyDescent="0.2"/>
    <row r="4658" customFormat="1" x14ac:dyDescent="0.2"/>
    <row r="4659" customFormat="1" x14ac:dyDescent="0.2"/>
    <row r="4660" customFormat="1" x14ac:dyDescent="0.2"/>
    <row r="4661" customFormat="1" x14ac:dyDescent="0.2"/>
    <row r="4662" customFormat="1" x14ac:dyDescent="0.2"/>
    <row r="4663" customFormat="1" x14ac:dyDescent="0.2"/>
    <row r="4664" customFormat="1" x14ac:dyDescent="0.2"/>
    <row r="4665" customFormat="1" x14ac:dyDescent="0.2"/>
    <row r="4666" customFormat="1" x14ac:dyDescent="0.2"/>
    <row r="4667" customFormat="1" x14ac:dyDescent="0.2"/>
    <row r="4668" customFormat="1" x14ac:dyDescent="0.2"/>
    <row r="4669" customFormat="1" x14ac:dyDescent="0.2"/>
    <row r="4670" customFormat="1" x14ac:dyDescent="0.2"/>
    <row r="4671" customFormat="1" x14ac:dyDescent="0.2"/>
    <row r="4672" customFormat="1" x14ac:dyDescent="0.2"/>
    <row r="4673" customFormat="1" x14ac:dyDescent="0.2"/>
    <row r="4674" customFormat="1" x14ac:dyDescent="0.2"/>
    <row r="4675" customFormat="1" x14ac:dyDescent="0.2"/>
    <row r="4676" customFormat="1" x14ac:dyDescent="0.2"/>
    <row r="4677" customFormat="1" x14ac:dyDescent="0.2"/>
    <row r="4678" customFormat="1" x14ac:dyDescent="0.2"/>
    <row r="4679" customFormat="1" x14ac:dyDescent="0.2"/>
    <row r="4680" customFormat="1" x14ac:dyDescent="0.2"/>
    <row r="4681" customFormat="1" x14ac:dyDescent="0.2"/>
    <row r="4682" customFormat="1" x14ac:dyDescent="0.2"/>
    <row r="4683" customFormat="1" x14ac:dyDescent="0.2"/>
    <row r="4684" customFormat="1" x14ac:dyDescent="0.2"/>
    <row r="4685" customFormat="1" x14ac:dyDescent="0.2"/>
    <row r="4686" customFormat="1" x14ac:dyDescent="0.2"/>
    <row r="4687" customFormat="1" x14ac:dyDescent="0.2"/>
    <row r="4688" customFormat="1" x14ac:dyDescent="0.2"/>
    <row r="4689" customFormat="1" x14ac:dyDescent="0.2"/>
    <row r="4690" customFormat="1" x14ac:dyDescent="0.2"/>
    <row r="4691" customFormat="1" x14ac:dyDescent="0.2"/>
    <row r="4692" customFormat="1" x14ac:dyDescent="0.2"/>
    <row r="4693" customFormat="1" x14ac:dyDescent="0.2"/>
    <row r="4694" customFormat="1" x14ac:dyDescent="0.2"/>
    <row r="4695" customFormat="1" x14ac:dyDescent="0.2"/>
    <row r="4696" customFormat="1" x14ac:dyDescent="0.2"/>
    <row r="4697" customFormat="1" x14ac:dyDescent="0.2"/>
    <row r="4698" customFormat="1" x14ac:dyDescent="0.2"/>
    <row r="4699" customFormat="1" x14ac:dyDescent="0.2"/>
    <row r="4700" customFormat="1" x14ac:dyDescent="0.2"/>
    <row r="4701" customFormat="1" x14ac:dyDescent="0.2"/>
    <row r="4702" customFormat="1" x14ac:dyDescent="0.2"/>
    <row r="4703" customFormat="1" x14ac:dyDescent="0.2"/>
    <row r="4704" customFormat="1" x14ac:dyDescent="0.2"/>
    <row r="4705" customFormat="1" x14ac:dyDescent="0.2"/>
    <row r="4706" customFormat="1" x14ac:dyDescent="0.2"/>
    <row r="4707" customFormat="1" x14ac:dyDescent="0.2"/>
    <row r="4708" customFormat="1" x14ac:dyDescent="0.2"/>
    <row r="4709" customFormat="1" x14ac:dyDescent="0.2"/>
    <row r="4710" customFormat="1" x14ac:dyDescent="0.2"/>
    <row r="4711" customFormat="1" x14ac:dyDescent="0.2"/>
    <row r="4712" customFormat="1" x14ac:dyDescent="0.2"/>
    <row r="4713" customFormat="1" x14ac:dyDescent="0.2"/>
    <row r="4714" customFormat="1" x14ac:dyDescent="0.2"/>
    <row r="4715" customFormat="1" x14ac:dyDescent="0.2"/>
    <row r="4716" customFormat="1" x14ac:dyDescent="0.2"/>
    <row r="4717" customFormat="1" x14ac:dyDescent="0.2"/>
    <row r="4718" customFormat="1" x14ac:dyDescent="0.2"/>
    <row r="4719" customFormat="1" x14ac:dyDescent="0.2"/>
    <row r="4720" customFormat="1" x14ac:dyDescent="0.2"/>
    <row r="4721" customFormat="1" x14ac:dyDescent="0.2"/>
    <row r="4722" customFormat="1" x14ac:dyDescent="0.2"/>
    <row r="4723" customFormat="1" x14ac:dyDescent="0.2"/>
    <row r="4724" customFormat="1" x14ac:dyDescent="0.2"/>
    <row r="4725" customFormat="1" x14ac:dyDescent="0.2"/>
    <row r="4726" customFormat="1" x14ac:dyDescent="0.2"/>
    <row r="4727" customFormat="1" x14ac:dyDescent="0.2"/>
    <row r="4728" customFormat="1" x14ac:dyDescent="0.2"/>
    <row r="4729" customFormat="1" x14ac:dyDescent="0.2"/>
    <row r="4730" customFormat="1" x14ac:dyDescent="0.2"/>
    <row r="4731" customFormat="1" x14ac:dyDescent="0.2"/>
    <row r="4732" customFormat="1" x14ac:dyDescent="0.2"/>
    <row r="4733" customFormat="1" x14ac:dyDescent="0.2"/>
    <row r="4734" customFormat="1" x14ac:dyDescent="0.2"/>
    <row r="4735" customFormat="1" x14ac:dyDescent="0.2"/>
    <row r="4736" customFormat="1" x14ac:dyDescent="0.2"/>
    <row r="4737" customFormat="1" x14ac:dyDescent="0.2"/>
    <row r="4738" customFormat="1" x14ac:dyDescent="0.2"/>
    <row r="4739" customFormat="1" x14ac:dyDescent="0.2"/>
    <row r="4740" customFormat="1" x14ac:dyDescent="0.2"/>
    <row r="4741" customFormat="1" x14ac:dyDescent="0.2"/>
    <row r="4742" customFormat="1" x14ac:dyDescent="0.2"/>
    <row r="4743" customFormat="1" x14ac:dyDescent="0.2"/>
    <row r="4744" customFormat="1" x14ac:dyDescent="0.2"/>
    <row r="4745" customFormat="1" x14ac:dyDescent="0.2"/>
    <row r="4746" customFormat="1" x14ac:dyDescent="0.2"/>
    <row r="4747" customFormat="1" x14ac:dyDescent="0.2"/>
    <row r="4748" customFormat="1" x14ac:dyDescent="0.2"/>
    <row r="4749" customFormat="1" x14ac:dyDescent="0.2"/>
    <row r="4750" customFormat="1" x14ac:dyDescent="0.2"/>
    <row r="4751" customFormat="1" x14ac:dyDescent="0.2"/>
    <row r="4752" customFormat="1" x14ac:dyDescent="0.2"/>
    <row r="4753" customFormat="1" x14ac:dyDescent="0.2"/>
    <row r="4754" customFormat="1" x14ac:dyDescent="0.2"/>
    <row r="4755" customFormat="1" x14ac:dyDescent="0.2"/>
    <row r="4756" customFormat="1" x14ac:dyDescent="0.2"/>
    <row r="4757" customFormat="1" x14ac:dyDescent="0.2"/>
    <row r="4758" customFormat="1" x14ac:dyDescent="0.2"/>
    <row r="4759" customFormat="1" x14ac:dyDescent="0.2"/>
    <row r="4760" customFormat="1" x14ac:dyDescent="0.2"/>
    <row r="4761" customFormat="1" x14ac:dyDescent="0.2"/>
    <row r="4762" customFormat="1" x14ac:dyDescent="0.2"/>
    <row r="4763" customFormat="1" x14ac:dyDescent="0.2"/>
    <row r="4764" customFormat="1" x14ac:dyDescent="0.2"/>
    <row r="4765" customFormat="1" x14ac:dyDescent="0.2"/>
    <row r="4766" customFormat="1" x14ac:dyDescent="0.2"/>
    <row r="4767" customFormat="1" x14ac:dyDescent="0.2"/>
    <row r="4768" customFormat="1" x14ac:dyDescent="0.2"/>
    <row r="4769" customFormat="1" x14ac:dyDescent="0.2"/>
    <row r="4770" customFormat="1" x14ac:dyDescent="0.2"/>
    <row r="4771" customFormat="1" x14ac:dyDescent="0.2"/>
    <row r="4772" customFormat="1" x14ac:dyDescent="0.2"/>
    <row r="4773" customFormat="1" x14ac:dyDescent="0.2"/>
    <row r="4774" customFormat="1" x14ac:dyDescent="0.2"/>
    <row r="4775" customFormat="1" x14ac:dyDescent="0.2"/>
    <row r="4776" customFormat="1" x14ac:dyDescent="0.2"/>
    <row r="4777" customFormat="1" x14ac:dyDescent="0.2"/>
    <row r="4778" customFormat="1" x14ac:dyDescent="0.2"/>
    <row r="4779" customFormat="1" x14ac:dyDescent="0.2"/>
    <row r="4780" customFormat="1" x14ac:dyDescent="0.2"/>
    <row r="4781" customFormat="1" x14ac:dyDescent="0.2"/>
    <row r="4782" customFormat="1" x14ac:dyDescent="0.2"/>
    <row r="4783" customFormat="1" x14ac:dyDescent="0.2"/>
    <row r="4784" customFormat="1" x14ac:dyDescent="0.2"/>
    <row r="4785" customFormat="1" x14ac:dyDescent="0.2"/>
    <row r="4786" customFormat="1" x14ac:dyDescent="0.2"/>
    <row r="4787" customFormat="1" x14ac:dyDescent="0.2"/>
    <row r="4788" customFormat="1" x14ac:dyDescent="0.2"/>
    <row r="4789" customFormat="1" x14ac:dyDescent="0.2"/>
    <row r="4790" customFormat="1" x14ac:dyDescent="0.2"/>
    <row r="4791" customFormat="1" x14ac:dyDescent="0.2"/>
    <row r="4792" customFormat="1" x14ac:dyDescent="0.2"/>
    <row r="4793" customFormat="1" x14ac:dyDescent="0.2"/>
    <row r="4794" customFormat="1" x14ac:dyDescent="0.2"/>
    <row r="4795" customFormat="1" x14ac:dyDescent="0.2"/>
    <row r="4796" customFormat="1" x14ac:dyDescent="0.2"/>
    <row r="4797" customFormat="1" x14ac:dyDescent="0.2"/>
    <row r="4798" customFormat="1" x14ac:dyDescent="0.2"/>
    <row r="4799" customFormat="1" x14ac:dyDescent="0.2"/>
    <row r="4800" customFormat="1" x14ac:dyDescent="0.2"/>
    <row r="4801" customFormat="1" x14ac:dyDescent="0.2"/>
    <row r="4802" customFormat="1" x14ac:dyDescent="0.2"/>
    <row r="4803" customFormat="1" x14ac:dyDescent="0.2"/>
    <row r="4804" customFormat="1" x14ac:dyDescent="0.2"/>
    <row r="4805" customFormat="1" x14ac:dyDescent="0.2"/>
    <row r="4806" customFormat="1" x14ac:dyDescent="0.2"/>
    <row r="4807" customFormat="1" x14ac:dyDescent="0.2"/>
    <row r="4808" customFormat="1" x14ac:dyDescent="0.2"/>
    <row r="4809" customFormat="1" x14ac:dyDescent="0.2"/>
    <row r="4810" customFormat="1" x14ac:dyDescent="0.2"/>
    <row r="4811" customFormat="1" x14ac:dyDescent="0.2"/>
    <row r="4812" customFormat="1" x14ac:dyDescent="0.2"/>
    <row r="4813" customFormat="1" x14ac:dyDescent="0.2"/>
    <row r="4814" customFormat="1" x14ac:dyDescent="0.2"/>
    <row r="4815" customFormat="1" x14ac:dyDescent="0.2"/>
    <row r="4816" customFormat="1" x14ac:dyDescent="0.2"/>
    <row r="4817" customFormat="1" x14ac:dyDescent="0.2"/>
    <row r="4818" customFormat="1" x14ac:dyDescent="0.2"/>
    <row r="4819" customFormat="1" x14ac:dyDescent="0.2"/>
    <row r="4820" customFormat="1" x14ac:dyDescent="0.2"/>
    <row r="4821" customFormat="1" x14ac:dyDescent="0.2"/>
    <row r="4822" customFormat="1" x14ac:dyDescent="0.2"/>
    <row r="4823" customFormat="1" x14ac:dyDescent="0.2"/>
    <row r="4824" customFormat="1" x14ac:dyDescent="0.2"/>
    <row r="4825" customFormat="1" x14ac:dyDescent="0.2"/>
    <row r="4826" customFormat="1" x14ac:dyDescent="0.2"/>
    <row r="4827" customFormat="1" x14ac:dyDescent="0.2"/>
    <row r="4828" customFormat="1" x14ac:dyDescent="0.2"/>
    <row r="4829" customFormat="1" x14ac:dyDescent="0.2"/>
    <row r="4830" customFormat="1" x14ac:dyDescent="0.2"/>
    <row r="4831" customFormat="1" x14ac:dyDescent="0.2"/>
    <row r="4832" customFormat="1" x14ac:dyDescent="0.2"/>
    <row r="4833" customFormat="1" x14ac:dyDescent="0.2"/>
    <row r="4834" customFormat="1" x14ac:dyDescent="0.2"/>
    <row r="4835" customFormat="1" x14ac:dyDescent="0.2"/>
    <row r="4836" customFormat="1" x14ac:dyDescent="0.2"/>
    <row r="4837" customFormat="1" x14ac:dyDescent="0.2"/>
    <row r="4838" customFormat="1" x14ac:dyDescent="0.2"/>
    <row r="4839" customFormat="1" x14ac:dyDescent="0.2"/>
    <row r="4840" customFormat="1" x14ac:dyDescent="0.2"/>
    <row r="4841" customFormat="1" x14ac:dyDescent="0.2"/>
    <row r="4842" customFormat="1" x14ac:dyDescent="0.2"/>
    <row r="4843" customFormat="1" x14ac:dyDescent="0.2"/>
    <row r="4844" customFormat="1" x14ac:dyDescent="0.2"/>
    <row r="4845" customFormat="1" x14ac:dyDescent="0.2"/>
    <row r="4846" customFormat="1" x14ac:dyDescent="0.2"/>
    <row r="4847" customFormat="1" x14ac:dyDescent="0.2"/>
    <row r="4848" customFormat="1" x14ac:dyDescent="0.2"/>
    <row r="4849" customFormat="1" x14ac:dyDescent="0.2"/>
    <row r="4850" customFormat="1" x14ac:dyDescent="0.2"/>
    <row r="4851" customFormat="1" x14ac:dyDescent="0.2"/>
    <row r="4852" customFormat="1" x14ac:dyDescent="0.2"/>
    <row r="4853" customFormat="1" x14ac:dyDescent="0.2"/>
    <row r="4854" customFormat="1" x14ac:dyDescent="0.2"/>
    <row r="4855" customFormat="1" x14ac:dyDescent="0.2"/>
    <row r="4856" customFormat="1" x14ac:dyDescent="0.2"/>
    <row r="4857" customFormat="1" x14ac:dyDescent="0.2"/>
    <row r="4858" customFormat="1" x14ac:dyDescent="0.2"/>
    <row r="4859" customFormat="1" x14ac:dyDescent="0.2"/>
    <row r="4860" customFormat="1" x14ac:dyDescent="0.2"/>
    <row r="4861" customFormat="1" x14ac:dyDescent="0.2"/>
    <row r="4862" customFormat="1" x14ac:dyDescent="0.2"/>
    <row r="4863" customFormat="1" x14ac:dyDescent="0.2"/>
    <row r="4864" customFormat="1" x14ac:dyDescent="0.2"/>
    <row r="4865" customFormat="1" x14ac:dyDescent="0.2"/>
    <row r="4866" customFormat="1" x14ac:dyDescent="0.2"/>
    <row r="4867" customFormat="1" x14ac:dyDescent="0.2"/>
    <row r="4868" customFormat="1" x14ac:dyDescent="0.2"/>
    <row r="4869" customFormat="1" x14ac:dyDescent="0.2"/>
    <row r="4870" customFormat="1" x14ac:dyDescent="0.2"/>
    <row r="4871" customFormat="1" x14ac:dyDescent="0.2"/>
    <row r="4872" customFormat="1" x14ac:dyDescent="0.2"/>
    <row r="4873" customFormat="1" x14ac:dyDescent="0.2"/>
    <row r="4874" customFormat="1" x14ac:dyDescent="0.2"/>
    <row r="4875" customFormat="1" x14ac:dyDescent="0.2"/>
    <row r="4876" customFormat="1" x14ac:dyDescent="0.2"/>
    <row r="4877" customFormat="1" x14ac:dyDescent="0.2"/>
    <row r="4878" customFormat="1" x14ac:dyDescent="0.2"/>
    <row r="4879" customFormat="1" x14ac:dyDescent="0.2"/>
    <row r="4880" customFormat="1" x14ac:dyDescent="0.2"/>
    <row r="4881" customFormat="1" x14ac:dyDescent="0.2"/>
    <row r="4882" customFormat="1" x14ac:dyDescent="0.2"/>
    <row r="4883" customFormat="1" x14ac:dyDescent="0.2"/>
    <row r="4884" customFormat="1" x14ac:dyDescent="0.2"/>
    <row r="4885" customFormat="1" x14ac:dyDescent="0.2"/>
    <row r="4886" customFormat="1" x14ac:dyDescent="0.2"/>
    <row r="4887" customFormat="1" x14ac:dyDescent="0.2"/>
    <row r="4888" customFormat="1" x14ac:dyDescent="0.2"/>
    <row r="4889" customFormat="1" x14ac:dyDescent="0.2"/>
    <row r="4890" customFormat="1" x14ac:dyDescent="0.2"/>
    <row r="4891" customFormat="1" x14ac:dyDescent="0.2"/>
    <row r="4892" customFormat="1" x14ac:dyDescent="0.2"/>
    <row r="4893" customFormat="1" x14ac:dyDescent="0.2"/>
    <row r="4894" customFormat="1" x14ac:dyDescent="0.2"/>
    <row r="4895" customFormat="1" x14ac:dyDescent="0.2"/>
    <row r="4896" customFormat="1" x14ac:dyDescent="0.2"/>
    <row r="4897" customFormat="1" x14ac:dyDescent="0.2"/>
    <row r="4898" customFormat="1" x14ac:dyDescent="0.2"/>
    <row r="4899" customFormat="1" x14ac:dyDescent="0.2"/>
    <row r="4900" customFormat="1" x14ac:dyDescent="0.2"/>
    <row r="4901" customFormat="1" x14ac:dyDescent="0.2"/>
    <row r="4902" customFormat="1" x14ac:dyDescent="0.2"/>
    <row r="4903" customFormat="1" x14ac:dyDescent="0.2"/>
    <row r="4904" customFormat="1" x14ac:dyDescent="0.2"/>
    <row r="4905" customFormat="1" x14ac:dyDescent="0.2"/>
    <row r="4906" customFormat="1" x14ac:dyDescent="0.2"/>
    <row r="4907" customFormat="1" x14ac:dyDescent="0.2"/>
    <row r="4908" customFormat="1" x14ac:dyDescent="0.2"/>
    <row r="4909" customFormat="1" x14ac:dyDescent="0.2"/>
    <row r="4910" customFormat="1" x14ac:dyDescent="0.2"/>
    <row r="4911" customFormat="1" x14ac:dyDescent="0.2"/>
    <row r="4912" customFormat="1" x14ac:dyDescent="0.2"/>
    <row r="4913" customFormat="1" x14ac:dyDescent="0.2"/>
    <row r="4914" customFormat="1" x14ac:dyDescent="0.2"/>
    <row r="4915" customFormat="1" x14ac:dyDescent="0.2"/>
    <row r="4916" customFormat="1" x14ac:dyDescent="0.2"/>
    <row r="4917" customFormat="1" x14ac:dyDescent="0.2"/>
    <row r="4918" customFormat="1" x14ac:dyDescent="0.2"/>
    <row r="4919" customFormat="1" x14ac:dyDescent="0.2"/>
    <row r="4920" customFormat="1" x14ac:dyDescent="0.2"/>
    <row r="4921" customFormat="1" x14ac:dyDescent="0.2"/>
    <row r="4922" customFormat="1" x14ac:dyDescent="0.2"/>
    <row r="4923" customFormat="1" x14ac:dyDescent="0.2"/>
    <row r="4924" customFormat="1" x14ac:dyDescent="0.2"/>
    <row r="4925" customFormat="1" x14ac:dyDescent="0.2"/>
    <row r="4926" customFormat="1" x14ac:dyDescent="0.2"/>
    <row r="4927" customFormat="1" x14ac:dyDescent="0.2"/>
    <row r="4928" customFormat="1" x14ac:dyDescent="0.2"/>
    <row r="4929" customFormat="1" x14ac:dyDescent="0.2"/>
    <row r="4930" customFormat="1" x14ac:dyDescent="0.2"/>
    <row r="4931" customFormat="1" x14ac:dyDescent="0.2"/>
    <row r="4932" customFormat="1" x14ac:dyDescent="0.2"/>
    <row r="4933" customFormat="1" x14ac:dyDescent="0.2"/>
    <row r="4934" customFormat="1" x14ac:dyDescent="0.2"/>
    <row r="4935" customFormat="1" x14ac:dyDescent="0.2"/>
    <row r="4936" customFormat="1" x14ac:dyDescent="0.2"/>
    <row r="4937" customFormat="1" x14ac:dyDescent="0.2"/>
    <row r="4938" customFormat="1" x14ac:dyDescent="0.2"/>
    <row r="4939" customFormat="1" x14ac:dyDescent="0.2"/>
    <row r="4940" customFormat="1" x14ac:dyDescent="0.2"/>
    <row r="4941" customFormat="1" x14ac:dyDescent="0.2"/>
    <row r="4942" customFormat="1" x14ac:dyDescent="0.2"/>
    <row r="4943" customFormat="1" x14ac:dyDescent="0.2"/>
    <row r="4944" customFormat="1" x14ac:dyDescent="0.2"/>
    <row r="4945" customFormat="1" x14ac:dyDescent="0.2"/>
    <row r="4946" customFormat="1" x14ac:dyDescent="0.2"/>
    <row r="4947" customFormat="1" x14ac:dyDescent="0.2"/>
    <row r="4948" customFormat="1" x14ac:dyDescent="0.2"/>
    <row r="4949" customFormat="1" x14ac:dyDescent="0.2"/>
    <row r="4950" customFormat="1" x14ac:dyDescent="0.2"/>
    <row r="4951" customFormat="1" x14ac:dyDescent="0.2"/>
    <row r="4952" customFormat="1" x14ac:dyDescent="0.2"/>
    <row r="4953" customFormat="1" x14ac:dyDescent="0.2"/>
    <row r="4954" customFormat="1" x14ac:dyDescent="0.2"/>
    <row r="4955" customFormat="1" x14ac:dyDescent="0.2"/>
    <row r="4956" customFormat="1" x14ac:dyDescent="0.2"/>
    <row r="4957" customFormat="1" x14ac:dyDescent="0.2"/>
    <row r="4958" customFormat="1" x14ac:dyDescent="0.2"/>
    <row r="4959" customFormat="1" x14ac:dyDescent="0.2"/>
    <row r="4960" customFormat="1" x14ac:dyDescent="0.2"/>
    <row r="4961" customFormat="1" x14ac:dyDescent="0.2"/>
    <row r="4962" customFormat="1" x14ac:dyDescent="0.2"/>
    <row r="4963" customFormat="1" x14ac:dyDescent="0.2"/>
    <row r="4964" customFormat="1" x14ac:dyDescent="0.2"/>
    <row r="4965" customFormat="1" x14ac:dyDescent="0.2"/>
    <row r="4966" customFormat="1" x14ac:dyDescent="0.2"/>
    <row r="4967" customFormat="1" x14ac:dyDescent="0.2"/>
    <row r="4968" customFormat="1" x14ac:dyDescent="0.2"/>
    <row r="4969" customFormat="1" x14ac:dyDescent="0.2"/>
    <row r="4970" customFormat="1" x14ac:dyDescent="0.2"/>
    <row r="4971" customFormat="1" x14ac:dyDescent="0.2"/>
    <row r="4972" customFormat="1" x14ac:dyDescent="0.2"/>
    <row r="4973" customFormat="1" x14ac:dyDescent="0.2"/>
    <row r="4974" customFormat="1" x14ac:dyDescent="0.2"/>
    <row r="4975" customFormat="1" x14ac:dyDescent="0.2"/>
    <row r="4976" customFormat="1" x14ac:dyDescent="0.2"/>
    <row r="4977" customFormat="1" x14ac:dyDescent="0.2"/>
    <row r="4978" customFormat="1" x14ac:dyDescent="0.2"/>
    <row r="4979" customFormat="1" x14ac:dyDescent="0.2"/>
    <row r="4980" customFormat="1" x14ac:dyDescent="0.2"/>
    <row r="4981" customFormat="1" x14ac:dyDescent="0.2"/>
    <row r="4982" customFormat="1" x14ac:dyDescent="0.2"/>
    <row r="4983" customFormat="1" x14ac:dyDescent="0.2"/>
    <row r="4984" customFormat="1" x14ac:dyDescent="0.2"/>
    <row r="4985" customFormat="1" x14ac:dyDescent="0.2"/>
    <row r="4986" customFormat="1" x14ac:dyDescent="0.2"/>
    <row r="4987" customFormat="1" x14ac:dyDescent="0.2"/>
    <row r="4988" customFormat="1" x14ac:dyDescent="0.2"/>
    <row r="4989" customFormat="1" x14ac:dyDescent="0.2"/>
    <row r="4990" customFormat="1" x14ac:dyDescent="0.2"/>
    <row r="4991" customFormat="1" x14ac:dyDescent="0.2"/>
    <row r="4992" customFormat="1" x14ac:dyDescent="0.2"/>
    <row r="4993" customFormat="1" x14ac:dyDescent="0.2"/>
    <row r="4994" customFormat="1" x14ac:dyDescent="0.2"/>
    <row r="4995" customFormat="1" x14ac:dyDescent="0.2"/>
    <row r="4996" customFormat="1" x14ac:dyDescent="0.2"/>
    <row r="4997" customFormat="1" x14ac:dyDescent="0.2"/>
    <row r="4998" customFormat="1" x14ac:dyDescent="0.2"/>
    <row r="4999" customFormat="1" x14ac:dyDescent="0.2"/>
    <row r="5000" customFormat="1" x14ac:dyDescent="0.2"/>
    <row r="5001" customFormat="1" x14ac:dyDescent="0.2"/>
    <row r="5002" customFormat="1" x14ac:dyDescent="0.2"/>
    <row r="5003" customFormat="1" x14ac:dyDescent="0.2"/>
    <row r="5004" customFormat="1" x14ac:dyDescent="0.2"/>
    <row r="5005" customFormat="1" x14ac:dyDescent="0.2"/>
    <row r="5006" customFormat="1" x14ac:dyDescent="0.2"/>
    <row r="5007" customFormat="1" x14ac:dyDescent="0.2"/>
    <row r="5008" customFormat="1" x14ac:dyDescent="0.2"/>
    <row r="5009" customFormat="1" x14ac:dyDescent="0.2"/>
    <row r="5010" customFormat="1" x14ac:dyDescent="0.2"/>
    <row r="5011" customFormat="1" x14ac:dyDescent="0.2"/>
    <row r="5012" customFormat="1" x14ac:dyDescent="0.2"/>
    <row r="5013" customFormat="1" x14ac:dyDescent="0.2"/>
    <row r="5014" customFormat="1" x14ac:dyDescent="0.2"/>
    <row r="5015" customFormat="1" x14ac:dyDescent="0.2"/>
    <row r="5016" customFormat="1" x14ac:dyDescent="0.2"/>
    <row r="5017" customFormat="1" x14ac:dyDescent="0.2"/>
    <row r="5018" customFormat="1" x14ac:dyDescent="0.2"/>
    <row r="5019" customFormat="1" x14ac:dyDescent="0.2"/>
    <row r="5020" customFormat="1" x14ac:dyDescent="0.2"/>
    <row r="5021" customFormat="1" x14ac:dyDescent="0.2"/>
    <row r="5022" customFormat="1" x14ac:dyDescent="0.2"/>
    <row r="5023" customFormat="1" x14ac:dyDescent="0.2"/>
    <row r="5024" customFormat="1" x14ac:dyDescent="0.2"/>
    <row r="5025" customFormat="1" x14ac:dyDescent="0.2"/>
    <row r="5026" customFormat="1" x14ac:dyDescent="0.2"/>
    <row r="5027" customFormat="1" x14ac:dyDescent="0.2"/>
    <row r="5028" customFormat="1" x14ac:dyDescent="0.2"/>
    <row r="5029" customFormat="1" x14ac:dyDescent="0.2"/>
    <row r="5030" customFormat="1" x14ac:dyDescent="0.2"/>
    <row r="5031" customFormat="1" x14ac:dyDescent="0.2"/>
    <row r="5032" customFormat="1" x14ac:dyDescent="0.2"/>
    <row r="5033" customFormat="1" x14ac:dyDescent="0.2"/>
    <row r="5034" customFormat="1" x14ac:dyDescent="0.2"/>
    <row r="5035" customFormat="1" x14ac:dyDescent="0.2"/>
    <row r="5036" customFormat="1" x14ac:dyDescent="0.2"/>
    <row r="5037" customFormat="1" x14ac:dyDescent="0.2"/>
    <row r="5038" customFormat="1" x14ac:dyDescent="0.2"/>
    <row r="5039" customFormat="1" x14ac:dyDescent="0.2"/>
    <row r="5040" customFormat="1" x14ac:dyDescent="0.2"/>
    <row r="5041" customFormat="1" x14ac:dyDescent="0.2"/>
    <row r="5042" customFormat="1" x14ac:dyDescent="0.2"/>
    <row r="5043" customFormat="1" x14ac:dyDescent="0.2"/>
    <row r="5044" customFormat="1" x14ac:dyDescent="0.2"/>
    <row r="5045" customFormat="1" x14ac:dyDescent="0.2"/>
    <row r="5046" customFormat="1" x14ac:dyDescent="0.2"/>
    <row r="5047" customFormat="1" x14ac:dyDescent="0.2"/>
    <row r="5048" customFormat="1" x14ac:dyDescent="0.2"/>
    <row r="5049" customFormat="1" x14ac:dyDescent="0.2"/>
    <row r="5050" customFormat="1" x14ac:dyDescent="0.2"/>
    <row r="5051" customFormat="1" x14ac:dyDescent="0.2"/>
    <row r="5052" customFormat="1" x14ac:dyDescent="0.2"/>
    <row r="5053" customFormat="1" x14ac:dyDescent="0.2"/>
    <row r="5054" customFormat="1" x14ac:dyDescent="0.2"/>
    <row r="5055" customFormat="1" x14ac:dyDescent="0.2"/>
    <row r="5056" customFormat="1" x14ac:dyDescent="0.2"/>
    <row r="5057" customFormat="1" x14ac:dyDescent="0.2"/>
    <row r="5058" customFormat="1" x14ac:dyDescent="0.2"/>
    <row r="5059" customFormat="1" x14ac:dyDescent="0.2"/>
    <row r="5060" customFormat="1" x14ac:dyDescent="0.2"/>
    <row r="5061" customFormat="1" x14ac:dyDescent="0.2"/>
    <row r="5062" customFormat="1" x14ac:dyDescent="0.2"/>
    <row r="5063" customFormat="1" x14ac:dyDescent="0.2"/>
    <row r="5064" customFormat="1" x14ac:dyDescent="0.2"/>
    <row r="5065" customFormat="1" x14ac:dyDescent="0.2"/>
    <row r="5066" customFormat="1" x14ac:dyDescent="0.2"/>
    <row r="5067" customFormat="1" x14ac:dyDescent="0.2"/>
    <row r="5068" customFormat="1" x14ac:dyDescent="0.2"/>
    <row r="5069" customFormat="1" x14ac:dyDescent="0.2"/>
    <row r="5070" customFormat="1" x14ac:dyDescent="0.2"/>
    <row r="5071" customFormat="1" x14ac:dyDescent="0.2"/>
    <row r="5072" customFormat="1" x14ac:dyDescent="0.2"/>
    <row r="5073" customFormat="1" x14ac:dyDescent="0.2"/>
    <row r="5074" customFormat="1" x14ac:dyDescent="0.2"/>
    <row r="5075" customFormat="1" x14ac:dyDescent="0.2"/>
    <row r="5076" customFormat="1" x14ac:dyDescent="0.2"/>
    <row r="5077" customFormat="1" x14ac:dyDescent="0.2"/>
    <row r="5078" customFormat="1" x14ac:dyDescent="0.2"/>
    <row r="5079" customFormat="1" x14ac:dyDescent="0.2"/>
    <row r="5080" customFormat="1" x14ac:dyDescent="0.2"/>
    <row r="5081" customFormat="1" x14ac:dyDescent="0.2"/>
    <row r="5082" customFormat="1" x14ac:dyDescent="0.2"/>
    <row r="5083" customFormat="1" x14ac:dyDescent="0.2"/>
    <row r="5084" customFormat="1" x14ac:dyDescent="0.2"/>
    <row r="5085" customFormat="1" x14ac:dyDescent="0.2"/>
    <row r="5086" customFormat="1" x14ac:dyDescent="0.2"/>
    <row r="5087" customFormat="1" x14ac:dyDescent="0.2"/>
    <row r="5088" customFormat="1" x14ac:dyDescent="0.2"/>
    <row r="5089" customFormat="1" x14ac:dyDescent="0.2"/>
    <row r="5090" customFormat="1" x14ac:dyDescent="0.2"/>
    <row r="5091" customFormat="1" x14ac:dyDescent="0.2"/>
    <row r="5092" customFormat="1" x14ac:dyDescent="0.2"/>
    <row r="5093" customFormat="1" x14ac:dyDescent="0.2"/>
    <row r="5094" customFormat="1" x14ac:dyDescent="0.2"/>
    <row r="5095" customFormat="1" x14ac:dyDescent="0.2"/>
    <row r="5096" customFormat="1" x14ac:dyDescent="0.2"/>
    <row r="5097" customFormat="1" x14ac:dyDescent="0.2"/>
    <row r="5098" customFormat="1" x14ac:dyDescent="0.2"/>
    <row r="5099" customFormat="1" x14ac:dyDescent="0.2"/>
    <row r="5100" customFormat="1" x14ac:dyDescent="0.2"/>
    <row r="5101" customFormat="1" x14ac:dyDescent="0.2"/>
    <row r="5102" customFormat="1" x14ac:dyDescent="0.2"/>
    <row r="5103" customFormat="1" x14ac:dyDescent="0.2"/>
    <row r="5104" customFormat="1" x14ac:dyDescent="0.2"/>
    <row r="5105" customFormat="1" x14ac:dyDescent="0.2"/>
    <row r="5106" customFormat="1" x14ac:dyDescent="0.2"/>
    <row r="5107" customFormat="1" x14ac:dyDescent="0.2"/>
    <row r="5108" customFormat="1" x14ac:dyDescent="0.2"/>
    <row r="5109" customFormat="1" x14ac:dyDescent="0.2"/>
    <row r="5110" customFormat="1" x14ac:dyDescent="0.2"/>
    <row r="5111" customFormat="1" x14ac:dyDescent="0.2"/>
    <row r="5112" customFormat="1" x14ac:dyDescent="0.2"/>
    <row r="5113" customFormat="1" x14ac:dyDescent="0.2"/>
    <row r="5114" customFormat="1" x14ac:dyDescent="0.2"/>
    <row r="5115" customFormat="1" x14ac:dyDescent="0.2"/>
    <row r="5116" customFormat="1" x14ac:dyDescent="0.2"/>
    <row r="5117" customFormat="1" x14ac:dyDescent="0.2"/>
    <row r="5118" customFormat="1" x14ac:dyDescent="0.2"/>
    <row r="5119" customFormat="1" x14ac:dyDescent="0.2"/>
    <row r="5120" customFormat="1" x14ac:dyDescent="0.2"/>
    <row r="5121" customFormat="1" x14ac:dyDescent="0.2"/>
    <row r="5122" customFormat="1" x14ac:dyDescent="0.2"/>
    <row r="5123" customFormat="1" x14ac:dyDescent="0.2"/>
    <row r="5124" customFormat="1" x14ac:dyDescent="0.2"/>
    <row r="5125" customFormat="1" x14ac:dyDescent="0.2"/>
    <row r="5126" customFormat="1" x14ac:dyDescent="0.2"/>
    <row r="5127" customFormat="1" x14ac:dyDescent="0.2"/>
    <row r="5128" customFormat="1" x14ac:dyDescent="0.2"/>
    <row r="5129" customFormat="1" x14ac:dyDescent="0.2"/>
    <row r="5130" customFormat="1" x14ac:dyDescent="0.2"/>
    <row r="5131" customFormat="1" x14ac:dyDescent="0.2"/>
    <row r="5132" customFormat="1" x14ac:dyDescent="0.2"/>
    <row r="5133" customFormat="1" x14ac:dyDescent="0.2"/>
    <row r="5134" customFormat="1" x14ac:dyDescent="0.2"/>
    <row r="5135" customFormat="1" x14ac:dyDescent="0.2"/>
    <row r="5136" customFormat="1" x14ac:dyDescent="0.2"/>
    <row r="5137" customFormat="1" x14ac:dyDescent="0.2"/>
    <row r="5138" customFormat="1" x14ac:dyDescent="0.2"/>
    <row r="5139" customFormat="1" x14ac:dyDescent="0.2"/>
    <row r="5140" customFormat="1" x14ac:dyDescent="0.2"/>
    <row r="5141" customFormat="1" x14ac:dyDescent="0.2"/>
    <row r="5142" customFormat="1" x14ac:dyDescent="0.2"/>
    <row r="5143" customFormat="1" x14ac:dyDescent="0.2"/>
    <row r="5144" customFormat="1" x14ac:dyDescent="0.2"/>
    <row r="5145" customFormat="1" x14ac:dyDescent="0.2"/>
    <row r="5146" customFormat="1" x14ac:dyDescent="0.2"/>
    <row r="5147" customFormat="1" x14ac:dyDescent="0.2"/>
    <row r="5148" customFormat="1" x14ac:dyDescent="0.2"/>
    <row r="5149" customFormat="1" x14ac:dyDescent="0.2"/>
    <row r="5150" customFormat="1" x14ac:dyDescent="0.2"/>
    <row r="5151" customFormat="1" x14ac:dyDescent="0.2"/>
    <row r="5152" customFormat="1" x14ac:dyDescent="0.2"/>
    <row r="5153" customFormat="1" x14ac:dyDescent="0.2"/>
    <row r="5154" customFormat="1" x14ac:dyDescent="0.2"/>
    <row r="5155" customFormat="1" x14ac:dyDescent="0.2"/>
    <row r="5156" customFormat="1" x14ac:dyDescent="0.2"/>
    <row r="5157" customFormat="1" x14ac:dyDescent="0.2"/>
    <row r="5158" customFormat="1" x14ac:dyDescent="0.2"/>
    <row r="5159" customFormat="1" x14ac:dyDescent="0.2"/>
    <row r="5160" customFormat="1" x14ac:dyDescent="0.2"/>
    <row r="5161" customFormat="1" x14ac:dyDescent="0.2"/>
    <row r="5162" customFormat="1" x14ac:dyDescent="0.2"/>
    <row r="5163" customFormat="1" x14ac:dyDescent="0.2"/>
    <row r="5164" customFormat="1" x14ac:dyDescent="0.2"/>
    <row r="5165" customFormat="1" x14ac:dyDescent="0.2"/>
    <row r="5166" customFormat="1" x14ac:dyDescent="0.2"/>
    <row r="5167" customFormat="1" x14ac:dyDescent="0.2"/>
    <row r="5168" customFormat="1" x14ac:dyDescent="0.2"/>
    <row r="5169" customFormat="1" x14ac:dyDescent="0.2"/>
    <row r="5170" customFormat="1" x14ac:dyDescent="0.2"/>
    <row r="5171" customFormat="1" x14ac:dyDescent="0.2"/>
    <row r="5172" customFormat="1" x14ac:dyDescent="0.2"/>
    <row r="5173" customFormat="1" x14ac:dyDescent="0.2"/>
    <row r="5174" customFormat="1" x14ac:dyDescent="0.2"/>
    <row r="5175" customFormat="1" x14ac:dyDescent="0.2"/>
    <row r="5176" customFormat="1" x14ac:dyDescent="0.2"/>
    <row r="5177" customFormat="1" x14ac:dyDescent="0.2"/>
    <row r="5178" customFormat="1" x14ac:dyDescent="0.2"/>
    <row r="5179" customFormat="1" x14ac:dyDescent="0.2"/>
    <row r="5180" customFormat="1" x14ac:dyDescent="0.2"/>
    <row r="5181" customFormat="1" x14ac:dyDescent="0.2"/>
    <row r="5182" customFormat="1" x14ac:dyDescent="0.2"/>
    <row r="5183" customFormat="1" x14ac:dyDescent="0.2"/>
    <row r="5184" customFormat="1" x14ac:dyDescent="0.2"/>
    <row r="5185" customFormat="1" x14ac:dyDescent="0.2"/>
    <row r="5186" customFormat="1" x14ac:dyDescent="0.2"/>
    <row r="5187" customFormat="1" x14ac:dyDescent="0.2"/>
    <row r="5188" customFormat="1" x14ac:dyDescent="0.2"/>
    <row r="5189" customFormat="1" x14ac:dyDescent="0.2"/>
    <row r="5190" customFormat="1" x14ac:dyDescent="0.2"/>
    <row r="5191" customFormat="1" x14ac:dyDescent="0.2"/>
    <row r="5192" customFormat="1" x14ac:dyDescent="0.2"/>
    <row r="5193" customFormat="1" x14ac:dyDescent="0.2"/>
    <row r="5194" customFormat="1" x14ac:dyDescent="0.2"/>
    <row r="5195" customFormat="1" x14ac:dyDescent="0.2"/>
    <row r="5196" customFormat="1" x14ac:dyDescent="0.2"/>
    <row r="5197" customFormat="1" x14ac:dyDescent="0.2"/>
    <row r="5198" customFormat="1" x14ac:dyDescent="0.2"/>
    <row r="5199" customFormat="1" x14ac:dyDescent="0.2"/>
    <row r="5200" customFormat="1" x14ac:dyDescent="0.2"/>
    <row r="5201" customFormat="1" x14ac:dyDescent="0.2"/>
    <row r="5202" customFormat="1" x14ac:dyDescent="0.2"/>
    <row r="5203" customFormat="1" x14ac:dyDescent="0.2"/>
    <row r="5204" customFormat="1" x14ac:dyDescent="0.2"/>
    <row r="5205" customFormat="1" x14ac:dyDescent="0.2"/>
    <row r="5206" customFormat="1" x14ac:dyDescent="0.2"/>
    <row r="5207" customFormat="1" x14ac:dyDescent="0.2"/>
    <row r="5208" customFormat="1" x14ac:dyDescent="0.2"/>
    <row r="5209" customFormat="1" x14ac:dyDescent="0.2"/>
    <row r="5210" customFormat="1" x14ac:dyDescent="0.2"/>
    <row r="5211" customFormat="1" x14ac:dyDescent="0.2"/>
    <row r="5212" customFormat="1" x14ac:dyDescent="0.2"/>
    <row r="5213" customFormat="1" x14ac:dyDescent="0.2"/>
    <row r="5214" customFormat="1" x14ac:dyDescent="0.2"/>
    <row r="5215" customFormat="1" x14ac:dyDescent="0.2"/>
    <row r="5216" customFormat="1" x14ac:dyDescent="0.2"/>
    <row r="5217" customFormat="1" x14ac:dyDescent="0.2"/>
    <row r="5218" customFormat="1" x14ac:dyDescent="0.2"/>
    <row r="5219" customFormat="1" x14ac:dyDescent="0.2"/>
    <row r="5220" customFormat="1" x14ac:dyDescent="0.2"/>
    <row r="5221" customFormat="1" x14ac:dyDescent="0.2"/>
    <row r="5222" customFormat="1" x14ac:dyDescent="0.2"/>
    <row r="5223" customFormat="1" x14ac:dyDescent="0.2"/>
    <row r="5224" customFormat="1" x14ac:dyDescent="0.2"/>
    <row r="5225" customFormat="1" x14ac:dyDescent="0.2"/>
    <row r="5226" customFormat="1" x14ac:dyDescent="0.2"/>
    <row r="5227" customFormat="1" x14ac:dyDescent="0.2"/>
    <row r="5228" customFormat="1" x14ac:dyDescent="0.2"/>
    <row r="5229" customFormat="1" x14ac:dyDescent="0.2"/>
    <row r="5230" customFormat="1" x14ac:dyDescent="0.2"/>
    <row r="5231" customFormat="1" x14ac:dyDescent="0.2"/>
    <row r="5232" customFormat="1" x14ac:dyDescent="0.2"/>
    <row r="5233" customFormat="1" x14ac:dyDescent="0.2"/>
    <row r="5234" customFormat="1" x14ac:dyDescent="0.2"/>
    <row r="5235" customFormat="1" x14ac:dyDescent="0.2"/>
    <row r="5236" customFormat="1" x14ac:dyDescent="0.2"/>
    <row r="5237" customFormat="1" x14ac:dyDescent="0.2"/>
    <row r="5238" customFormat="1" x14ac:dyDescent="0.2"/>
    <row r="5239" customFormat="1" x14ac:dyDescent="0.2"/>
    <row r="5240" customFormat="1" x14ac:dyDescent="0.2"/>
    <row r="5241" customFormat="1" x14ac:dyDescent="0.2"/>
    <row r="5242" customFormat="1" x14ac:dyDescent="0.2"/>
    <row r="5243" customFormat="1" x14ac:dyDescent="0.2"/>
    <row r="5244" customFormat="1" x14ac:dyDescent="0.2"/>
    <row r="5245" customFormat="1" x14ac:dyDescent="0.2"/>
    <row r="5246" customFormat="1" x14ac:dyDescent="0.2"/>
    <row r="5247" customFormat="1" x14ac:dyDescent="0.2"/>
    <row r="5248" customFormat="1" x14ac:dyDescent="0.2"/>
    <row r="5249" customFormat="1" x14ac:dyDescent="0.2"/>
    <row r="5250" customFormat="1" x14ac:dyDescent="0.2"/>
    <row r="5251" customFormat="1" x14ac:dyDescent="0.2"/>
    <row r="5252" customFormat="1" x14ac:dyDescent="0.2"/>
    <row r="5253" customFormat="1" x14ac:dyDescent="0.2"/>
    <row r="5254" customFormat="1" x14ac:dyDescent="0.2"/>
    <row r="5255" customFormat="1" x14ac:dyDescent="0.2"/>
    <row r="5256" customFormat="1" x14ac:dyDescent="0.2"/>
    <row r="5257" customFormat="1" x14ac:dyDescent="0.2"/>
    <row r="5258" customFormat="1" x14ac:dyDescent="0.2"/>
    <row r="5259" customFormat="1" x14ac:dyDescent="0.2"/>
    <row r="5260" customFormat="1" x14ac:dyDescent="0.2"/>
    <row r="5261" customFormat="1" x14ac:dyDescent="0.2"/>
    <row r="5262" customFormat="1" x14ac:dyDescent="0.2"/>
    <row r="5263" customFormat="1" x14ac:dyDescent="0.2"/>
    <row r="5264" customFormat="1" x14ac:dyDescent="0.2"/>
    <row r="5265" customFormat="1" x14ac:dyDescent="0.2"/>
    <row r="5266" customFormat="1" x14ac:dyDescent="0.2"/>
    <row r="5267" customFormat="1" x14ac:dyDescent="0.2"/>
    <row r="5268" customFormat="1" x14ac:dyDescent="0.2"/>
    <row r="5269" customFormat="1" x14ac:dyDescent="0.2"/>
    <row r="5270" customFormat="1" x14ac:dyDescent="0.2"/>
    <row r="5271" customFormat="1" x14ac:dyDescent="0.2"/>
    <row r="5272" customFormat="1" x14ac:dyDescent="0.2"/>
    <row r="5273" customFormat="1" x14ac:dyDescent="0.2"/>
    <row r="5274" customFormat="1" x14ac:dyDescent="0.2"/>
    <row r="5275" customFormat="1" x14ac:dyDescent="0.2"/>
    <row r="5276" customFormat="1" x14ac:dyDescent="0.2"/>
    <row r="5277" customFormat="1" x14ac:dyDescent="0.2"/>
    <row r="5278" customFormat="1" x14ac:dyDescent="0.2"/>
    <row r="5279" customFormat="1" x14ac:dyDescent="0.2"/>
    <row r="5280" customFormat="1" x14ac:dyDescent="0.2"/>
    <row r="5281" customFormat="1" x14ac:dyDescent="0.2"/>
    <row r="5282" customFormat="1" x14ac:dyDescent="0.2"/>
    <row r="5283" customFormat="1" x14ac:dyDescent="0.2"/>
    <row r="5284" customFormat="1" x14ac:dyDescent="0.2"/>
    <row r="5285" customFormat="1" x14ac:dyDescent="0.2"/>
    <row r="5286" customFormat="1" x14ac:dyDescent="0.2"/>
    <row r="5287" customFormat="1" x14ac:dyDescent="0.2"/>
    <row r="5288" customFormat="1" x14ac:dyDescent="0.2"/>
    <row r="5289" customFormat="1" x14ac:dyDescent="0.2"/>
    <row r="5290" customFormat="1" x14ac:dyDescent="0.2"/>
    <row r="5291" customFormat="1" x14ac:dyDescent="0.2"/>
    <row r="5292" customFormat="1" x14ac:dyDescent="0.2"/>
    <row r="5293" customFormat="1" x14ac:dyDescent="0.2"/>
    <row r="5294" customFormat="1" x14ac:dyDescent="0.2"/>
    <row r="5295" customFormat="1" x14ac:dyDescent="0.2"/>
    <row r="5296" customFormat="1" x14ac:dyDescent="0.2"/>
    <row r="5297" customFormat="1" x14ac:dyDescent="0.2"/>
    <row r="5298" customFormat="1" x14ac:dyDescent="0.2"/>
    <row r="5299" customFormat="1" x14ac:dyDescent="0.2"/>
    <row r="5300" customFormat="1" x14ac:dyDescent="0.2"/>
    <row r="5301" customFormat="1" x14ac:dyDescent="0.2"/>
    <row r="5302" customFormat="1" x14ac:dyDescent="0.2"/>
    <row r="5303" customFormat="1" x14ac:dyDescent="0.2"/>
    <row r="5304" customFormat="1" x14ac:dyDescent="0.2"/>
    <row r="5305" customFormat="1" x14ac:dyDescent="0.2"/>
    <row r="5306" customFormat="1" x14ac:dyDescent="0.2"/>
    <row r="5307" customFormat="1" x14ac:dyDescent="0.2"/>
    <row r="5308" customFormat="1" x14ac:dyDescent="0.2"/>
    <row r="5309" customFormat="1" x14ac:dyDescent="0.2"/>
    <row r="5310" customFormat="1" x14ac:dyDescent="0.2"/>
    <row r="5311" customFormat="1" x14ac:dyDescent="0.2"/>
    <row r="5312" customFormat="1" x14ac:dyDescent="0.2"/>
    <row r="5313" customFormat="1" x14ac:dyDescent="0.2"/>
    <row r="5314" customFormat="1" x14ac:dyDescent="0.2"/>
    <row r="5315" customFormat="1" x14ac:dyDescent="0.2"/>
    <row r="5316" customFormat="1" x14ac:dyDescent="0.2"/>
    <row r="5317" customFormat="1" x14ac:dyDescent="0.2"/>
    <row r="5318" customFormat="1" x14ac:dyDescent="0.2"/>
    <row r="5319" customFormat="1" x14ac:dyDescent="0.2"/>
    <row r="5320" customFormat="1" x14ac:dyDescent="0.2"/>
    <row r="5321" customFormat="1" x14ac:dyDescent="0.2"/>
    <row r="5322" customFormat="1" x14ac:dyDescent="0.2"/>
    <row r="5323" customFormat="1" x14ac:dyDescent="0.2"/>
    <row r="5324" customFormat="1" x14ac:dyDescent="0.2"/>
    <row r="5325" customFormat="1" x14ac:dyDescent="0.2"/>
    <row r="5326" customFormat="1" x14ac:dyDescent="0.2"/>
    <row r="5327" customFormat="1" x14ac:dyDescent="0.2"/>
    <row r="5328" customFormat="1" x14ac:dyDescent="0.2"/>
    <row r="5329" customFormat="1" x14ac:dyDescent="0.2"/>
    <row r="5330" customFormat="1" x14ac:dyDescent="0.2"/>
    <row r="5331" customFormat="1" x14ac:dyDescent="0.2"/>
    <row r="5332" customFormat="1" x14ac:dyDescent="0.2"/>
    <row r="5333" customFormat="1" x14ac:dyDescent="0.2"/>
    <row r="5334" customFormat="1" x14ac:dyDescent="0.2"/>
    <row r="5335" customFormat="1" x14ac:dyDescent="0.2"/>
    <row r="5336" customFormat="1" x14ac:dyDescent="0.2"/>
    <row r="5337" customFormat="1" x14ac:dyDescent="0.2"/>
    <row r="5338" customFormat="1" x14ac:dyDescent="0.2"/>
    <row r="5339" customFormat="1" x14ac:dyDescent="0.2"/>
    <row r="5340" customFormat="1" x14ac:dyDescent="0.2"/>
    <row r="5341" customFormat="1" x14ac:dyDescent="0.2"/>
    <row r="5342" customFormat="1" x14ac:dyDescent="0.2"/>
    <row r="5343" customFormat="1" x14ac:dyDescent="0.2"/>
    <row r="5344" customFormat="1" x14ac:dyDescent="0.2"/>
    <row r="5345" customFormat="1" x14ac:dyDescent="0.2"/>
    <row r="5346" customFormat="1" x14ac:dyDescent="0.2"/>
    <row r="5347" customFormat="1" x14ac:dyDescent="0.2"/>
    <row r="5348" customFormat="1" x14ac:dyDescent="0.2"/>
    <row r="5349" customFormat="1" x14ac:dyDescent="0.2"/>
    <row r="5350" customFormat="1" x14ac:dyDescent="0.2"/>
    <row r="5351" customFormat="1" x14ac:dyDescent="0.2"/>
    <row r="5352" customFormat="1" x14ac:dyDescent="0.2"/>
    <row r="5353" customFormat="1" x14ac:dyDescent="0.2"/>
    <row r="5354" customFormat="1" x14ac:dyDescent="0.2"/>
    <row r="5355" customFormat="1" x14ac:dyDescent="0.2"/>
    <row r="5356" customFormat="1" x14ac:dyDescent="0.2"/>
    <row r="5357" customFormat="1" x14ac:dyDescent="0.2"/>
    <row r="5358" customFormat="1" x14ac:dyDescent="0.2"/>
    <row r="5359" customFormat="1" x14ac:dyDescent="0.2"/>
    <row r="5360" customFormat="1" x14ac:dyDescent="0.2"/>
    <row r="5361" customFormat="1" x14ac:dyDescent="0.2"/>
    <row r="5362" customFormat="1" x14ac:dyDescent="0.2"/>
    <row r="5363" customFormat="1" x14ac:dyDescent="0.2"/>
    <row r="5364" customFormat="1" x14ac:dyDescent="0.2"/>
    <row r="5365" customFormat="1" x14ac:dyDescent="0.2"/>
    <row r="5366" customFormat="1" x14ac:dyDescent="0.2"/>
    <row r="5367" customFormat="1" x14ac:dyDescent="0.2"/>
    <row r="5368" customFormat="1" x14ac:dyDescent="0.2"/>
    <row r="5369" customFormat="1" x14ac:dyDescent="0.2"/>
    <row r="5370" customFormat="1" x14ac:dyDescent="0.2"/>
    <row r="5371" customFormat="1" x14ac:dyDescent="0.2"/>
    <row r="5372" customFormat="1" x14ac:dyDescent="0.2"/>
    <row r="5373" customFormat="1" x14ac:dyDescent="0.2"/>
    <row r="5374" customFormat="1" x14ac:dyDescent="0.2"/>
    <row r="5375" customFormat="1" x14ac:dyDescent="0.2"/>
    <row r="5376" customFormat="1" x14ac:dyDescent="0.2"/>
    <row r="5377" customFormat="1" x14ac:dyDescent="0.2"/>
    <row r="5378" customFormat="1" x14ac:dyDescent="0.2"/>
    <row r="5379" customFormat="1" x14ac:dyDescent="0.2"/>
    <row r="5380" customFormat="1" x14ac:dyDescent="0.2"/>
    <row r="5381" customFormat="1" x14ac:dyDescent="0.2"/>
    <row r="5382" customFormat="1" x14ac:dyDescent="0.2"/>
    <row r="5383" customFormat="1" x14ac:dyDescent="0.2"/>
    <row r="5384" customFormat="1" x14ac:dyDescent="0.2"/>
    <row r="5385" customFormat="1" x14ac:dyDescent="0.2"/>
    <row r="5386" customFormat="1" x14ac:dyDescent="0.2"/>
    <row r="5387" customFormat="1" x14ac:dyDescent="0.2"/>
    <row r="5388" customFormat="1" x14ac:dyDescent="0.2"/>
    <row r="5389" customFormat="1" x14ac:dyDescent="0.2"/>
    <row r="5390" customFormat="1" x14ac:dyDescent="0.2"/>
    <row r="5391" customFormat="1" x14ac:dyDescent="0.2"/>
    <row r="5392" customFormat="1" x14ac:dyDescent="0.2"/>
    <row r="5393" customFormat="1" x14ac:dyDescent="0.2"/>
    <row r="5394" customFormat="1" x14ac:dyDescent="0.2"/>
    <row r="5395" customFormat="1" x14ac:dyDescent="0.2"/>
    <row r="5396" customFormat="1" x14ac:dyDescent="0.2"/>
    <row r="5397" customFormat="1" x14ac:dyDescent="0.2"/>
    <row r="5398" customFormat="1" x14ac:dyDescent="0.2"/>
    <row r="5399" customFormat="1" x14ac:dyDescent="0.2"/>
    <row r="5400" customFormat="1" x14ac:dyDescent="0.2"/>
    <row r="5401" customFormat="1" x14ac:dyDescent="0.2"/>
    <row r="5402" customFormat="1" x14ac:dyDescent="0.2"/>
    <row r="5403" customFormat="1" x14ac:dyDescent="0.2"/>
    <row r="5404" customFormat="1" x14ac:dyDescent="0.2"/>
    <row r="5405" customFormat="1" x14ac:dyDescent="0.2"/>
    <row r="5406" customFormat="1" x14ac:dyDescent="0.2"/>
    <row r="5407" customFormat="1" x14ac:dyDescent="0.2"/>
    <row r="5408" customFormat="1" x14ac:dyDescent="0.2"/>
    <row r="5409" customFormat="1" x14ac:dyDescent="0.2"/>
    <row r="5410" customFormat="1" x14ac:dyDescent="0.2"/>
    <row r="5411" customFormat="1" x14ac:dyDescent="0.2"/>
    <row r="5412" customFormat="1" x14ac:dyDescent="0.2"/>
    <row r="5413" customFormat="1" x14ac:dyDescent="0.2"/>
    <row r="5414" customFormat="1" x14ac:dyDescent="0.2"/>
    <row r="5415" customFormat="1" x14ac:dyDescent="0.2"/>
    <row r="5416" customFormat="1" x14ac:dyDescent="0.2"/>
    <row r="5417" customFormat="1" x14ac:dyDescent="0.2"/>
    <row r="5418" customFormat="1" x14ac:dyDescent="0.2"/>
    <row r="5419" customFormat="1" x14ac:dyDescent="0.2"/>
    <row r="5420" customFormat="1" x14ac:dyDescent="0.2"/>
    <row r="5421" customFormat="1" x14ac:dyDescent="0.2"/>
    <row r="5422" customFormat="1" x14ac:dyDescent="0.2"/>
    <row r="5423" customFormat="1" x14ac:dyDescent="0.2"/>
    <row r="5424" customFormat="1" x14ac:dyDescent="0.2"/>
    <row r="5425" customFormat="1" x14ac:dyDescent="0.2"/>
    <row r="5426" customFormat="1" x14ac:dyDescent="0.2"/>
    <row r="5427" customFormat="1" x14ac:dyDescent="0.2"/>
    <row r="5428" customFormat="1" x14ac:dyDescent="0.2"/>
    <row r="5429" customFormat="1" x14ac:dyDescent="0.2"/>
    <row r="5430" customFormat="1" x14ac:dyDescent="0.2"/>
    <row r="5431" customFormat="1" x14ac:dyDescent="0.2"/>
    <row r="5432" customFormat="1" x14ac:dyDescent="0.2"/>
    <row r="5433" customFormat="1" x14ac:dyDescent="0.2"/>
    <row r="5434" customFormat="1" x14ac:dyDescent="0.2"/>
    <row r="5435" customFormat="1" x14ac:dyDescent="0.2"/>
    <row r="5436" customFormat="1" x14ac:dyDescent="0.2"/>
    <row r="5437" customFormat="1" x14ac:dyDescent="0.2"/>
    <row r="5438" customFormat="1" x14ac:dyDescent="0.2"/>
    <row r="5439" customFormat="1" x14ac:dyDescent="0.2"/>
    <row r="5440" customFormat="1" x14ac:dyDescent="0.2"/>
    <row r="5441" customFormat="1" x14ac:dyDescent="0.2"/>
    <row r="5442" customFormat="1" x14ac:dyDescent="0.2"/>
    <row r="5443" customFormat="1" x14ac:dyDescent="0.2"/>
    <row r="5444" customFormat="1" x14ac:dyDescent="0.2"/>
    <row r="5445" customFormat="1" x14ac:dyDescent="0.2"/>
    <row r="5446" customFormat="1" x14ac:dyDescent="0.2"/>
    <row r="5447" customFormat="1" x14ac:dyDescent="0.2"/>
    <row r="5448" customFormat="1" x14ac:dyDescent="0.2"/>
    <row r="5449" customFormat="1" x14ac:dyDescent="0.2"/>
    <row r="5450" customFormat="1" x14ac:dyDescent="0.2"/>
    <row r="5451" customFormat="1" x14ac:dyDescent="0.2"/>
    <row r="5452" customFormat="1" x14ac:dyDescent="0.2"/>
    <row r="5453" customFormat="1" x14ac:dyDescent="0.2"/>
    <row r="5454" customFormat="1" x14ac:dyDescent="0.2"/>
    <row r="5455" customFormat="1" x14ac:dyDescent="0.2"/>
    <row r="5456" customFormat="1" x14ac:dyDescent="0.2"/>
    <row r="5457" customFormat="1" x14ac:dyDescent="0.2"/>
    <row r="5458" customFormat="1" x14ac:dyDescent="0.2"/>
    <row r="5459" customFormat="1" x14ac:dyDescent="0.2"/>
    <row r="5460" customFormat="1" x14ac:dyDescent="0.2"/>
    <row r="5461" customFormat="1" x14ac:dyDescent="0.2"/>
    <row r="5462" customFormat="1" x14ac:dyDescent="0.2"/>
    <row r="5463" customFormat="1" x14ac:dyDescent="0.2"/>
    <row r="5464" customFormat="1" x14ac:dyDescent="0.2"/>
    <row r="5465" customFormat="1" x14ac:dyDescent="0.2"/>
    <row r="5466" customFormat="1" x14ac:dyDescent="0.2"/>
    <row r="5467" customFormat="1" x14ac:dyDescent="0.2"/>
    <row r="5468" customFormat="1" x14ac:dyDescent="0.2"/>
    <row r="5469" customFormat="1" x14ac:dyDescent="0.2"/>
    <row r="5470" customFormat="1" x14ac:dyDescent="0.2"/>
    <row r="5471" customFormat="1" x14ac:dyDescent="0.2"/>
    <row r="5472" customFormat="1" x14ac:dyDescent="0.2"/>
    <row r="5473" customFormat="1" x14ac:dyDescent="0.2"/>
    <row r="5474" customFormat="1" x14ac:dyDescent="0.2"/>
    <row r="5475" customFormat="1" x14ac:dyDescent="0.2"/>
    <row r="5476" customFormat="1" x14ac:dyDescent="0.2"/>
    <row r="5477" customFormat="1" x14ac:dyDescent="0.2"/>
    <row r="5478" customFormat="1" x14ac:dyDescent="0.2"/>
    <row r="5479" customFormat="1" x14ac:dyDescent="0.2"/>
    <row r="5480" customFormat="1" x14ac:dyDescent="0.2"/>
    <row r="5481" customFormat="1" x14ac:dyDescent="0.2"/>
    <row r="5482" customFormat="1" x14ac:dyDescent="0.2"/>
    <row r="5483" customFormat="1" x14ac:dyDescent="0.2"/>
    <row r="5484" customFormat="1" x14ac:dyDescent="0.2"/>
    <row r="5485" customFormat="1" x14ac:dyDescent="0.2"/>
    <row r="5486" customFormat="1" x14ac:dyDescent="0.2"/>
    <row r="5487" customFormat="1" x14ac:dyDescent="0.2"/>
    <row r="5488" customFormat="1" x14ac:dyDescent="0.2"/>
    <row r="5489" customFormat="1" x14ac:dyDescent="0.2"/>
    <row r="5490" customFormat="1" x14ac:dyDescent="0.2"/>
    <row r="5491" customFormat="1" x14ac:dyDescent="0.2"/>
    <row r="5492" customFormat="1" x14ac:dyDescent="0.2"/>
    <row r="5493" customFormat="1" x14ac:dyDescent="0.2"/>
    <row r="5494" customFormat="1" x14ac:dyDescent="0.2"/>
    <row r="5495" customFormat="1" x14ac:dyDescent="0.2"/>
    <row r="5496" customFormat="1" x14ac:dyDescent="0.2"/>
    <row r="5497" customFormat="1" x14ac:dyDescent="0.2"/>
    <row r="5498" customFormat="1" x14ac:dyDescent="0.2"/>
    <row r="5499" customFormat="1" x14ac:dyDescent="0.2"/>
    <row r="5500" customFormat="1" x14ac:dyDescent="0.2"/>
    <row r="5501" customFormat="1" x14ac:dyDescent="0.2"/>
    <row r="5502" customFormat="1" x14ac:dyDescent="0.2"/>
    <row r="5503" customFormat="1" x14ac:dyDescent="0.2"/>
    <row r="5504" customFormat="1" x14ac:dyDescent="0.2"/>
    <row r="5505" customFormat="1" x14ac:dyDescent="0.2"/>
    <row r="5506" customFormat="1" x14ac:dyDescent="0.2"/>
    <row r="5507" customFormat="1" x14ac:dyDescent="0.2"/>
    <row r="5508" customFormat="1" x14ac:dyDescent="0.2"/>
    <row r="5509" customFormat="1" x14ac:dyDescent="0.2"/>
    <row r="5510" customFormat="1" x14ac:dyDescent="0.2"/>
    <row r="5511" customFormat="1" x14ac:dyDescent="0.2"/>
    <row r="5512" customFormat="1" x14ac:dyDescent="0.2"/>
    <row r="5513" customFormat="1" x14ac:dyDescent="0.2"/>
    <row r="5514" customFormat="1" x14ac:dyDescent="0.2"/>
    <row r="5515" customFormat="1" x14ac:dyDescent="0.2"/>
    <row r="5516" customFormat="1" x14ac:dyDescent="0.2"/>
    <row r="5517" customFormat="1" x14ac:dyDescent="0.2"/>
    <row r="5518" customFormat="1" x14ac:dyDescent="0.2"/>
    <row r="5519" customFormat="1" x14ac:dyDescent="0.2"/>
    <row r="5520" customFormat="1" x14ac:dyDescent="0.2"/>
    <row r="5521" customFormat="1" x14ac:dyDescent="0.2"/>
    <row r="5522" customFormat="1" x14ac:dyDescent="0.2"/>
    <row r="5523" customFormat="1" x14ac:dyDescent="0.2"/>
    <row r="5524" customFormat="1" x14ac:dyDescent="0.2"/>
    <row r="5525" customFormat="1" x14ac:dyDescent="0.2"/>
    <row r="5526" customFormat="1" x14ac:dyDescent="0.2"/>
    <row r="5527" customFormat="1" x14ac:dyDescent="0.2"/>
    <row r="5528" customFormat="1" x14ac:dyDescent="0.2"/>
    <row r="5529" customFormat="1" x14ac:dyDescent="0.2"/>
    <row r="5530" customFormat="1" x14ac:dyDescent="0.2"/>
    <row r="5531" customFormat="1" x14ac:dyDescent="0.2"/>
    <row r="5532" customFormat="1" x14ac:dyDescent="0.2"/>
    <row r="5533" customFormat="1" x14ac:dyDescent="0.2"/>
    <row r="5534" customFormat="1" x14ac:dyDescent="0.2"/>
    <row r="5535" customFormat="1" x14ac:dyDescent="0.2"/>
    <row r="5536" customFormat="1" x14ac:dyDescent="0.2"/>
    <row r="5537" customFormat="1" x14ac:dyDescent="0.2"/>
    <row r="5538" customFormat="1" x14ac:dyDescent="0.2"/>
    <row r="5539" customFormat="1" x14ac:dyDescent="0.2"/>
    <row r="5540" customFormat="1" x14ac:dyDescent="0.2"/>
    <row r="5541" customFormat="1" x14ac:dyDescent="0.2"/>
    <row r="5542" customFormat="1" x14ac:dyDescent="0.2"/>
    <row r="5543" customFormat="1" x14ac:dyDescent="0.2"/>
    <row r="5544" customFormat="1" x14ac:dyDescent="0.2"/>
    <row r="5545" customFormat="1" x14ac:dyDescent="0.2"/>
    <row r="5546" customFormat="1" x14ac:dyDescent="0.2"/>
    <row r="5547" customFormat="1" x14ac:dyDescent="0.2"/>
    <row r="5548" customFormat="1" x14ac:dyDescent="0.2"/>
    <row r="5549" customFormat="1" x14ac:dyDescent="0.2"/>
    <row r="5550" customFormat="1" x14ac:dyDescent="0.2"/>
    <row r="5551" customFormat="1" x14ac:dyDescent="0.2"/>
    <row r="5552" customFormat="1" x14ac:dyDescent="0.2"/>
    <row r="5553" customFormat="1" x14ac:dyDescent="0.2"/>
    <row r="5554" customFormat="1" x14ac:dyDescent="0.2"/>
    <row r="5555" customFormat="1" x14ac:dyDescent="0.2"/>
    <row r="5556" customFormat="1" x14ac:dyDescent="0.2"/>
    <row r="5557" customFormat="1" x14ac:dyDescent="0.2"/>
    <row r="5558" customFormat="1" x14ac:dyDescent="0.2"/>
    <row r="5559" customFormat="1" x14ac:dyDescent="0.2"/>
    <row r="5560" customFormat="1" x14ac:dyDescent="0.2"/>
    <row r="5561" customFormat="1" x14ac:dyDescent="0.2"/>
    <row r="5562" customFormat="1" x14ac:dyDescent="0.2"/>
    <row r="5563" customFormat="1" x14ac:dyDescent="0.2"/>
    <row r="5564" customFormat="1" x14ac:dyDescent="0.2"/>
    <row r="5565" customFormat="1" x14ac:dyDescent="0.2"/>
    <row r="5566" customFormat="1" x14ac:dyDescent="0.2"/>
    <row r="5567" customFormat="1" x14ac:dyDescent="0.2"/>
    <row r="5568" customFormat="1" x14ac:dyDescent="0.2"/>
    <row r="5569" customFormat="1" x14ac:dyDescent="0.2"/>
    <row r="5570" customFormat="1" x14ac:dyDescent="0.2"/>
    <row r="5571" customFormat="1" x14ac:dyDescent="0.2"/>
    <row r="5572" customFormat="1" x14ac:dyDescent="0.2"/>
    <row r="5573" customFormat="1" x14ac:dyDescent="0.2"/>
    <row r="5574" customFormat="1" x14ac:dyDescent="0.2"/>
    <row r="5575" customFormat="1" x14ac:dyDescent="0.2"/>
    <row r="5576" customFormat="1" x14ac:dyDescent="0.2"/>
    <row r="5577" customFormat="1" x14ac:dyDescent="0.2"/>
    <row r="5578" customFormat="1" x14ac:dyDescent="0.2"/>
    <row r="5579" customFormat="1" x14ac:dyDescent="0.2"/>
    <row r="5580" customFormat="1" x14ac:dyDescent="0.2"/>
    <row r="5581" customFormat="1" x14ac:dyDescent="0.2"/>
    <row r="5582" customFormat="1" x14ac:dyDescent="0.2"/>
    <row r="5583" customFormat="1" x14ac:dyDescent="0.2"/>
    <row r="5584" customFormat="1" x14ac:dyDescent="0.2"/>
    <row r="5585" customFormat="1" x14ac:dyDescent="0.2"/>
    <row r="5586" customFormat="1" x14ac:dyDescent="0.2"/>
    <row r="5587" customFormat="1" x14ac:dyDescent="0.2"/>
    <row r="5588" customFormat="1" x14ac:dyDescent="0.2"/>
    <row r="5589" customFormat="1" x14ac:dyDescent="0.2"/>
    <row r="5590" customFormat="1" x14ac:dyDescent="0.2"/>
    <row r="5591" customFormat="1" x14ac:dyDescent="0.2"/>
    <row r="5592" customFormat="1" x14ac:dyDescent="0.2"/>
    <row r="5593" customFormat="1" x14ac:dyDescent="0.2"/>
    <row r="5594" customFormat="1" x14ac:dyDescent="0.2"/>
    <row r="5595" customFormat="1" x14ac:dyDescent="0.2"/>
    <row r="5596" customFormat="1" x14ac:dyDescent="0.2"/>
    <row r="5597" customFormat="1" x14ac:dyDescent="0.2"/>
    <row r="5598" customFormat="1" x14ac:dyDescent="0.2"/>
    <row r="5599" customFormat="1" x14ac:dyDescent="0.2"/>
    <row r="5600" customFormat="1" x14ac:dyDescent="0.2"/>
    <row r="5601" customFormat="1" x14ac:dyDescent="0.2"/>
    <row r="5602" customFormat="1" x14ac:dyDescent="0.2"/>
    <row r="5603" customFormat="1" x14ac:dyDescent="0.2"/>
    <row r="5604" customFormat="1" x14ac:dyDescent="0.2"/>
    <row r="5605" customFormat="1" x14ac:dyDescent="0.2"/>
    <row r="5606" customFormat="1" x14ac:dyDescent="0.2"/>
    <row r="5607" customFormat="1" x14ac:dyDescent="0.2"/>
    <row r="5608" customFormat="1" x14ac:dyDescent="0.2"/>
    <row r="5609" customFormat="1" x14ac:dyDescent="0.2"/>
    <row r="5610" customFormat="1" x14ac:dyDescent="0.2"/>
    <row r="5611" customFormat="1" x14ac:dyDescent="0.2"/>
    <row r="5612" customFormat="1" x14ac:dyDescent="0.2"/>
    <row r="5613" customFormat="1" x14ac:dyDescent="0.2"/>
    <row r="5614" customFormat="1" x14ac:dyDescent="0.2"/>
    <row r="5615" customFormat="1" x14ac:dyDescent="0.2"/>
    <row r="5616" customFormat="1" x14ac:dyDescent="0.2"/>
    <row r="5617" customFormat="1" x14ac:dyDescent="0.2"/>
    <row r="5618" customFormat="1" x14ac:dyDescent="0.2"/>
    <row r="5619" customFormat="1" x14ac:dyDescent="0.2"/>
    <row r="5620" customFormat="1" x14ac:dyDescent="0.2"/>
    <row r="5621" customFormat="1" x14ac:dyDescent="0.2"/>
    <row r="5622" customFormat="1" x14ac:dyDescent="0.2"/>
    <row r="5623" customFormat="1" x14ac:dyDescent="0.2"/>
    <row r="5624" customFormat="1" x14ac:dyDescent="0.2"/>
    <row r="5625" customFormat="1" x14ac:dyDescent="0.2"/>
    <row r="5626" customFormat="1" x14ac:dyDescent="0.2"/>
    <row r="5627" customFormat="1" x14ac:dyDescent="0.2"/>
    <row r="5628" customFormat="1" x14ac:dyDescent="0.2"/>
    <row r="5629" customFormat="1" x14ac:dyDescent="0.2"/>
    <row r="5630" customFormat="1" x14ac:dyDescent="0.2"/>
    <row r="5631" customFormat="1" x14ac:dyDescent="0.2"/>
    <row r="5632" customFormat="1" x14ac:dyDescent="0.2"/>
    <row r="5633" customFormat="1" x14ac:dyDescent="0.2"/>
    <row r="5634" customFormat="1" x14ac:dyDescent="0.2"/>
    <row r="5635" customFormat="1" x14ac:dyDescent="0.2"/>
    <row r="5636" customFormat="1" x14ac:dyDescent="0.2"/>
    <row r="5637" customFormat="1" x14ac:dyDescent="0.2"/>
    <row r="5638" customFormat="1" x14ac:dyDescent="0.2"/>
    <row r="5639" customFormat="1" x14ac:dyDescent="0.2"/>
    <row r="5640" customFormat="1" x14ac:dyDescent="0.2"/>
    <row r="5641" customFormat="1" x14ac:dyDescent="0.2"/>
    <row r="5642" customFormat="1" x14ac:dyDescent="0.2"/>
    <row r="5643" customFormat="1" x14ac:dyDescent="0.2"/>
    <row r="5644" customFormat="1" x14ac:dyDescent="0.2"/>
    <row r="5645" customFormat="1" x14ac:dyDescent="0.2"/>
    <row r="5646" customFormat="1" x14ac:dyDescent="0.2"/>
    <row r="5647" customFormat="1" x14ac:dyDescent="0.2"/>
    <row r="5648" customFormat="1" x14ac:dyDescent="0.2"/>
    <row r="5649" customFormat="1" x14ac:dyDescent="0.2"/>
    <row r="5650" customFormat="1" x14ac:dyDescent="0.2"/>
    <row r="5651" customFormat="1" x14ac:dyDescent="0.2"/>
    <row r="5652" customFormat="1" x14ac:dyDescent="0.2"/>
    <row r="5653" customFormat="1" x14ac:dyDescent="0.2"/>
    <row r="5654" customFormat="1" x14ac:dyDescent="0.2"/>
    <row r="5655" customFormat="1" x14ac:dyDescent="0.2"/>
    <row r="5656" customFormat="1" x14ac:dyDescent="0.2"/>
    <row r="5657" customFormat="1" x14ac:dyDescent="0.2"/>
    <row r="5658" customFormat="1" x14ac:dyDescent="0.2"/>
    <row r="5659" customFormat="1" x14ac:dyDescent="0.2"/>
    <row r="5660" customFormat="1" x14ac:dyDescent="0.2"/>
    <row r="5661" customFormat="1" x14ac:dyDescent="0.2"/>
    <row r="5662" customFormat="1" x14ac:dyDescent="0.2"/>
    <row r="5663" customFormat="1" x14ac:dyDescent="0.2"/>
    <row r="5664" customFormat="1" x14ac:dyDescent="0.2"/>
    <row r="5665" customFormat="1" x14ac:dyDescent="0.2"/>
    <row r="5666" customFormat="1" x14ac:dyDescent="0.2"/>
    <row r="5667" customFormat="1" x14ac:dyDescent="0.2"/>
    <row r="5668" customFormat="1" x14ac:dyDescent="0.2"/>
    <row r="5669" customFormat="1" x14ac:dyDescent="0.2"/>
    <row r="5670" customFormat="1" x14ac:dyDescent="0.2"/>
    <row r="5671" customFormat="1" x14ac:dyDescent="0.2"/>
    <row r="5672" customFormat="1" x14ac:dyDescent="0.2"/>
    <row r="5673" customFormat="1" x14ac:dyDescent="0.2"/>
    <row r="5674" customFormat="1" x14ac:dyDescent="0.2"/>
    <row r="5675" customFormat="1" x14ac:dyDescent="0.2"/>
    <row r="5676" customFormat="1" x14ac:dyDescent="0.2"/>
    <row r="5677" customFormat="1" x14ac:dyDescent="0.2"/>
    <row r="5678" customFormat="1" x14ac:dyDescent="0.2"/>
    <row r="5679" customFormat="1" x14ac:dyDescent="0.2"/>
    <row r="5680" customFormat="1" x14ac:dyDescent="0.2"/>
    <row r="5681" customFormat="1" x14ac:dyDescent="0.2"/>
    <row r="5682" customFormat="1" x14ac:dyDescent="0.2"/>
    <row r="5683" customFormat="1" x14ac:dyDescent="0.2"/>
    <row r="5684" customFormat="1" x14ac:dyDescent="0.2"/>
    <row r="5685" customFormat="1" x14ac:dyDescent="0.2"/>
    <row r="5686" customFormat="1" x14ac:dyDescent="0.2"/>
    <row r="5687" customFormat="1" x14ac:dyDescent="0.2"/>
    <row r="5688" customFormat="1" x14ac:dyDescent="0.2"/>
    <row r="5689" customFormat="1" x14ac:dyDescent="0.2"/>
    <row r="5690" customFormat="1" x14ac:dyDescent="0.2"/>
    <row r="5691" customFormat="1" x14ac:dyDescent="0.2"/>
    <row r="5692" customFormat="1" x14ac:dyDescent="0.2"/>
    <row r="5693" customFormat="1" x14ac:dyDescent="0.2"/>
    <row r="5694" customFormat="1" x14ac:dyDescent="0.2"/>
    <row r="5695" customFormat="1" x14ac:dyDescent="0.2"/>
    <row r="5696" customFormat="1" x14ac:dyDescent="0.2"/>
    <row r="5697" customFormat="1" x14ac:dyDescent="0.2"/>
    <row r="5698" customFormat="1" x14ac:dyDescent="0.2"/>
    <row r="5699" customFormat="1" x14ac:dyDescent="0.2"/>
    <row r="5700" customFormat="1" x14ac:dyDescent="0.2"/>
    <row r="5701" customFormat="1" x14ac:dyDescent="0.2"/>
    <row r="5702" customFormat="1" x14ac:dyDescent="0.2"/>
    <row r="5703" customFormat="1" x14ac:dyDescent="0.2"/>
    <row r="5704" customFormat="1" x14ac:dyDescent="0.2"/>
    <row r="5705" customFormat="1" x14ac:dyDescent="0.2"/>
    <row r="5706" customFormat="1" x14ac:dyDescent="0.2"/>
    <row r="5707" customFormat="1" x14ac:dyDescent="0.2"/>
    <row r="5708" customFormat="1" x14ac:dyDescent="0.2"/>
    <row r="5709" customFormat="1" x14ac:dyDescent="0.2"/>
    <row r="5710" customFormat="1" x14ac:dyDescent="0.2"/>
    <row r="5711" customFormat="1" x14ac:dyDescent="0.2"/>
    <row r="5712" customFormat="1" x14ac:dyDescent="0.2"/>
    <row r="5713" customFormat="1" x14ac:dyDescent="0.2"/>
    <row r="5714" customFormat="1" x14ac:dyDescent="0.2"/>
    <row r="5715" customFormat="1" x14ac:dyDescent="0.2"/>
    <row r="5716" customFormat="1" x14ac:dyDescent="0.2"/>
    <row r="5717" customFormat="1" x14ac:dyDescent="0.2"/>
    <row r="5718" customFormat="1" x14ac:dyDescent="0.2"/>
    <row r="5719" customFormat="1" x14ac:dyDescent="0.2"/>
    <row r="5720" customFormat="1" x14ac:dyDescent="0.2"/>
    <row r="5721" customFormat="1" x14ac:dyDescent="0.2"/>
    <row r="5722" customFormat="1" x14ac:dyDescent="0.2"/>
    <row r="5723" customFormat="1" x14ac:dyDescent="0.2"/>
    <row r="5724" customFormat="1" x14ac:dyDescent="0.2"/>
    <row r="5725" customFormat="1" x14ac:dyDescent="0.2"/>
    <row r="5726" customFormat="1" x14ac:dyDescent="0.2"/>
    <row r="5727" customFormat="1" x14ac:dyDescent="0.2"/>
    <row r="5728" customFormat="1" x14ac:dyDescent="0.2"/>
    <row r="5729" customFormat="1" x14ac:dyDescent="0.2"/>
    <row r="5730" customFormat="1" x14ac:dyDescent="0.2"/>
    <row r="5731" customFormat="1" x14ac:dyDescent="0.2"/>
    <row r="5732" customFormat="1" x14ac:dyDescent="0.2"/>
    <row r="5733" customFormat="1" x14ac:dyDescent="0.2"/>
    <row r="5734" customFormat="1" x14ac:dyDescent="0.2"/>
    <row r="5735" customFormat="1" x14ac:dyDescent="0.2"/>
    <row r="5736" customFormat="1" x14ac:dyDescent="0.2"/>
    <row r="5737" customFormat="1" x14ac:dyDescent="0.2"/>
    <row r="5738" customFormat="1" x14ac:dyDescent="0.2"/>
    <row r="5739" customFormat="1" x14ac:dyDescent="0.2"/>
    <row r="5740" customFormat="1" x14ac:dyDescent="0.2"/>
    <row r="5741" customFormat="1" x14ac:dyDescent="0.2"/>
    <row r="5742" customFormat="1" x14ac:dyDescent="0.2"/>
    <row r="5743" customFormat="1" x14ac:dyDescent="0.2"/>
    <row r="5744" customFormat="1" x14ac:dyDescent="0.2"/>
    <row r="5745" customFormat="1" x14ac:dyDescent="0.2"/>
    <row r="5746" customFormat="1" x14ac:dyDescent="0.2"/>
    <row r="5747" customFormat="1" x14ac:dyDescent="0.2"/>
    <row r="5748" customFormat="1" x14ac:dyDescent="0.2"/>
    <row r="5749" customFormat="1" x14ac:dyDescent="0.2"/>
    <row r="5750" customFormat="1" x14ac:dyDescent="0.2"/>
    <row r="5751" customFormat="1" x14ac:dyDescent="0.2"/>
    <row r="5752" customFormat="1" x14ac:dyDescent="0.2"/>
    <row r="5753" customFormat="1" x14ac:dyDescent="0.2"/>
    <row r="5754" customFormat="1" x14ac:dyDescent="0.2"/>
    <row r="5755" customFormat="1" x14ac:dyDescent="0.2"/>
    <row r="5756" customFormat="1" x14ac:dyDescent="0.2"/>
    <row r="5757" customFormat="1" x14ac:dyDescent="0.2"/>
    <row r="5758" customFormat="1" x14ac:dyDescent="0.2"/>
    <row r="5759" customFormat="1" x14ac:dyDescent="0.2"/>
    <row r="5760" customFormat="1" x14ac:dyDescent="0.2"/>
    <row r="5761" customFormat="1" x14ac:dyDescent="0.2"/>
    <row r="5762" customFormat="1" x14ac:dyDescent="0.2"/>
    <row r="5763" customFormat="1" x14ac:dyDescent="0.2"/>
    <row r="5764" customFormat="1" x14ac:dyDescent="0.2"/>
    <row r="5765" customFormat="1" x14ac:dyDescent="0.2"/>
    <row r="5766" customFormat="1" x14ac:dyDescent="0.2"/>
    <row r="5767" customFormat="1" x14ac:dyDescent="0.2"/>
    <row r="5768" customFormat="1" x14ac:dyDescent="0.2"/>
    <row r="5769" customFormat="1" x14ac:dyDescent="0.2"/>
    <row r="5770" customFormat="1" x14ac:dyDescent="0.2"/>
    <row r="5771" customFormat="1" x14ac:dyDescent="0.2"/>
    <row r="5772" customFormat="1" x14ac:dyDescent="0.2"/>
    <row r="5773" customFormat="1" x14ac:dyDescent="0.2"/>
    <row r="5774" customFormat="1" x14ac:dyDescent="0.2"/>
    <row r="5775" customFormat="1" x14ac:dyDescent="0.2"/>
    <row r="5776" customFormat="1" x14ac:dyDescent="0.2"/>
    <row r="5777" customFormat="1" x14ac:dyDescent="0.2"/>
    <row r="5778" customFormat="1" x14ac:dyDescent="0.2"/>
    <row r="5779" customFormat="1" x14ac:dyDescent="0.2"/>
    <row r="5780" customFormat="1" x14ac:dyDescent="0.2"/>
    <row r="5781" customFormat="1" x14ac:dyDescent="0.2"/>
    <row r="5782" customFormat="1" x14ac:dyDescent="0.2"/>
    <row r="5783" customFormat="1" x14ac:dyDescent="0.2"/>
    <row r="5784" customFormat="1" x14ac:dyDescent="0.2"/>
    <row r="5785" customFormat="1" x14ac:dyDescent="0.2"/>
    <row r="5786" customFormat="1" x14ac:dyDescent="0.2"/>
    <row r="5787" customFormat="1" x14ac:dyDescent="0.2"/>
    <row r="5788" customFormat="1" x14ac:dyDescent="0.2"/>
    <row r="5789" customFormat="1" x14ac:dyDescent="0.2"/>
    <row r="5790" customFormat="1" x14ac:dyDescent="0.2"/>
    <row r="5791" customFormat="1" x14ac:dyDescent="0.2"/>
    <row r="5792" customFormat="1" x14ac:dyDescent="0.2"/>
    <row r="5793" customFormat="1" x14ac:dyDescent="0.2"/>
    <row r="5794" customFormat="1" x14ac:dyDescent="0.2"/>
    <row r="5795" customFormat="1" x14ac:dyDescent="0.2"/>
    <row r="5796" customFormat="1" x14ac:dyDescent="0.2"/>
    <row r="5797" customFormat="1" x14ac:dyDescent="0.2"/>
    <row r="5798" customFormat="1" x14ac:dyDescent="0.2"/>
    <row r="5799" customFormat="1" x14ac:dyDescent="0.2"/>
    <row r="5800" customFormat="1" x14ac:dyDescent="0.2"/>
    <row r="5801" customFormat="1" x14ac:dyDescent="0.2"/>
    <row r="5802" customFormat="1" x14ac:dyDescent="0.2"/>
    <row r="5803" customFormat="1" x14ac:dyDescent="0.2"/>
    <row r="5804" customFormat="1" x14ac:dyDescent="0.2"/>
    <row r="5805" customFormat="1" x14ac:dyDescent="0.2"/>
    <row r="5806" customFormat="1" x14ac:dyDescent="0.2"/>
    <row r="5807" customFormat="1" x14ac:dyDescent="0.2"/>
    <row r="5808" customFormat="1" x14ac:dyDescent="0.2"/>
    <row r="5809" customFormat="1" x14ac:dyDescent="0.2"/>
    <row r="5810" customFormat="1" x14ac:dyDescent="0.2"/>
    <row r="5811" customFormat="1" x14ac:dyDescent="0.2"/>
    <row r="5812" customFormat="1" x14ac:dyDescent="0.2"/>
    <row r="5813" customFormat="1" x14ac:dyDescent="0.2"/>
    <row r="5814" customFormat="1" x14ac:dyDescent="0.2"/>
    <row r="5815" customFormat="1" x14ac:dyDescent="0.2"/>
    <row r="5816" customFormat="1" x14ac:dyDescent="0.2"/>
    <row r="5817" customFormat="1" x14ac:dyDescent="0.2"/>
    <row r="5818" customFormat="1" x14ac:dyDescent="0.2"/>
    <row r="5819" customFormat="1" x14ac:dyDescent="0.2"/>
    <row r="5820" customFormat="1" x14ac:dyDescent="0.2"/>
    <row r="5821" customFormat="1" x14ac:dyDescent="0.2"/>
    <row r="5822" customFormat="1" x14ac:dyDescent="0.2"/>
    <row r="5823" customFormat="1" x14ac:dyDescent="0.2"/>
    <row r="5824" customFormat="1" x14ac:dyDescent="0.2"/>
    <row r="5825" customFormat="1" x14ac:dyDescent="0.2"/>
    <row r="5826" customFormat="1" x14ac:dyDescent="0.2"/>
    <row r="5827" customFormat="1" x14ac:dyDescent="0.2"/>
    <row r="5828" customFormat="1" x14ac:dyDescent="0.2"/>
    <row r="5829" customFormat="1" x14ac:dyDescent="0.2"/>
    <row r="5830" customFormat="1" x14ac:dyDescent="0.2"/>
    <row r="5831" customFormat="1" x14ac:dyDescent="0.2"/>
    <row r="5832" customFormat="1" x14ac:dyDescent="0.2"/>
    <row r="5833" customFormat="1" x14ac:dyDescent="0.2"/>
    <row r="5834" customFormat="1" x14ac:dyDescent="0.2"/>
    <row r="5835" customFormat="1" x14ac:dyDescent="0.2"/>
    <row r="5836" customFormat="1" x14ac:dyDescent="0.2"/>
    <row r="5837" customFormat="1" x14ac:dyDescent="0.2"/>
    <row r="5838" customFormat="1" x14ac:dyDescent="0.2"/>
    <row r="5839" customFormat="1" x14ac:dyDescent="0.2"/>
    <row r="5840" customFormat="1" x14ac:dyDescent="0.2"/>
    <row r="5841" customFormat="1" x14ac:dyDescent="0.2"/>
    <row r="5842" customFormat="1" x14ac:dyDescent="0.2"/>
    <row r="5843" customFormat="1" x14ac:dyDescent="0.2"/>
    <row r="5844" customFormat="1" x14ac:dyDescent="0.2"/>
    <row r="5845" customFormat="1" x14ac:dyDescent="0.2"/>
    <row r="5846" customFormat="1" x14ac:dyDescent="0.2"/>
    <row r="5847" customFormat="1" x14ac:dyDescent="0.2"/>
    <row r="5848" customFormat="1" x14ac:dyDescent="0.2"/>
    <row r="5849" customFormat="1" x14ac:dyDescent="0.2"/>
    <row r="5850" customFormat="1" x14ac:dyDescent="0.2"/>
    <row r="5851" customFormat="1" x14ac:dyDescent="0.2"/>
    <row r="5852" customFormat="1" x14ac:dyDescent="0.2"/>
    <row r="5853" customFormat="1" x14ac:dyDescent="0.2"/>
    <row r="5854" customFormat="1" x14ac:dyDescent="0.2"/>
    <row r="5855" customFormat="1" x14ac:dyDescent="0.2"/>
    <row r="5856" customFormat="1" x14ac:dyDescent="0.2"/>
    <row r="5857" customFormat="1" x14ac:dyDescent="0.2"/>
    <row r="5858" customFormat="1" x14ac:dyDescent="0.2"/>
    <row r="5859" customFormat="1" x14ac:dyDescent="0.2"/>
    <row r="5860" customFormat="1" x14ac:dyDescent="0.2"/>
    <row r="5861" customFormat="1" x14ac:dyDescent="0.2"/>
    <row r="5862" customFormat="1" x14ac:dyDescent="0.2"/>
    <row r="5863" customFormat="1" x14ac:dyDescent="0.2"/>
    <row r="5864" customFormat="1" x14ac:dyDescent="0.2"/>
    <row r="5865" customFormat="1" x14ac:dyDescent="0.2"/>
    <row r="5866" customFormat="1" x14ac:dyDescent="0.2"/>
    <row r="5867" customFormat="1" x14ac:dyDescent="0.2"/>
    <row r="5868" customFormat="1" x14ac:dyDescent="0.2"/>
    <row r="5869" customFormat="1" x14ac:dyDescent="0.2"/>
    <row r="5870" customFormat="1" x14ac:dyDescent="0.2"/>
    <row r="5871" customFormat="1" x14ac:dyDescent="0.2"/>
    <row r="5872" customFormat="1" x14ac:dyDescent="0.2"/>
    <row r="5873" customFormat="1" x14ac:dyDescent="0.2"/>
    <row r="5874" customFormat="1" x14ac:dyDescent="0.2"/>
    <row r="5875" customFormat="1" x14ac:dyDescent="0.2"/>
    <row r="5876" customFormat="1" x14ac:dyDescent="0.2"/>
    <row r="5877" customFormat="1" x14ac:dyDescent="0.2"/>
    <row r="5878" customFormat="1" x14ac:dyDescent="0.2"/>
    <row r="5879" customFormat="1" x14ac:dyDescent="0.2"/>
    <row r="5880" customFormat="1" x14ac:dyDescent="0.2"/>
    <row r="5881" customFormat="1" x14ac:dyDescent="0.2"/>
    <row r="5882" customFormat="1" x14ac:dyDescent="0.2"/>
    <row r="5883" customFormat="1" x14ac:dyDescent="0.2"/>
    <row r="5884" customFormat="1" x14ac:dyDescent="0.2"/>
    <row r="5885" customFormat="1" x14ac:dyDescent="0.2"/>
    <row r="5886" customFormat="1" x14ac:dyDescent="0.2"/>
    <row r="5887" customFormat="1" x14ac:dyDescent="0.2"/>
    <row r="5888" customFormat="1" x14ac:dyDescent="0.2"/>
    <row r="5889" customFormat="1" x14ac:dyDescent="0.2"/>
    <row r="5890" customFormat="1" x14ac:dyDescent="0.2"/>
    <row r="5891" customFormat="1" x14ac:dyDescent="0.2"/>
    <row r="5892" customFormat="1" x14ac:dyDescent="0.2"/>
    <row r="5893" customFormat="1" x14ac:dyDescent="0.2"/>
    <row r="5894" customFormat="1" x14ac:dyDescent="0.2"/>
    <row r="5895" customFormat="1" x14ac:dyDescent="0.2"/>
    <row r="5896" customFormat="1" x14ac:dyDescent="0.2"/>
    <row r="5897" customFormat="1" x14ac:dyDescent="0.2"/>
    <row r="5898" customFormat="1" x14ac:dyDescent="0.2"/>
    <row r="5899" customFormat="1" x14ac:dyDescent="0.2"/>
    <row r="5900" customFormat="1" x14ac:dyDescent="0.2"/>
    <row r="5901" customFormat="1" x14ac:dyDescent="0.2"/>
    <row r="5902" customFormat="1" x14ac:dyDescent="0.2"/>
    <row r="5903" customFormat="1" x14ac:dyDescent="0.2"/>
    <row r="5904" customFormat="1" x14ac:dyDescent="0.2"/>
    <row r="5905" customFormat="1" x14ac:dyDescent="0.2"/>
    <row r="5906" customFormat="1" x14ac:dyDescent="0.2"/>
    <row r="5907" customFormat="1" x14ac:dyDescent="0.2"/>
    <row r="5908" customFormat="1" x14ac:dyDescent="0.2"/>
    <row r="5909" customFormat="1" x14ac:dyDescent="0.2"/>
    <row r="5910" customFormat="1" x14ac:dyDescent="0.2"/>
    <row r="5911" customFormat="1" x14ac:dyDescent="0.2"/>
    <row r="5912" customFormat="1" x14ac:dyDescent="0.2"/>
    <row r="5913" customFormat="1" x14ac:dyDescent="0.2"/>
    <row r="5914" customFormat="1" x14ac:dyDescent="0.2"/>
    <row r="5915" customFormat="1" x14ac:dyDescent="0.2"/>
    <row r="5916" customFormat="1" x14ac:dyDescent="0.2"/>
    <row r="5917" customFormat="1" x14ac:dyDescent="0.2"/>
    <row r="5918" customFormat="1" x14ac:dyDescent="0.2"/>
    <row r="5919" customFormat="1" x14ac:dyDescent="0.2"/>
    <row r="5920" customFormat="1" x14ac:dyDescent="0.2"/>
    <row r="5921" customFormat="1" x14ac:dyDescent="0.2"/>
    <row r="5922" customFormat="1" x14ac:dyDescent="0.2"/>
    <row r="5923" customFormat="1" x14ac:dyDescent="0.2"/>
    <row r="5924" customFormat="1" x14ac:dyDescent="0.2"/>
    <row r="5925" customFormat="1" x14ac:dyDescent="0.2"/>
    <row r="5926" customFormat="1" x14ac:dyDescent="0.2"/>
    <row r="5927" customFormat="1" x14ac:dyDescent="0.2"/>
    <row r="5928" customFormat="1" x14ac:dyDescent="0.2"/>
    <row r="5929" customFormat="1" x14ac:dyDescent="0.2"/>
    <row r="5930" customFormat="1" x14ac:dyDescent="0.2"/>
    <row r="5931" customFormat="1" x14ac:dyDescent="0.2"/>
    <row r="5932" customFormat="1" x14ac:dyDescent="0.2"/>
    <row r="5933" customFormat="1" x14ac:dyDescent="0.2"/>
    <row r="5934" customFormat="1" x14ac:dyDescent="0.2"/>
    <row r="5935" customFormat="1" x14ac:dyDescent="0.2"/>
    <row r="5936" customFormat="1" x14ac:dyDescent="0.2"/>
    <row r="5937" customFormat="1" x14ac:dyDescent="0.2"/>
    <row r="5938" customFormat="1" x14ac:dyDescent="0.2"/>
    <row r="5939" customFormat="1" x14ac:dyDescent="0.2"/>
    <row r="5940" customFormat="1" x14ac:dyDescent="0.2"/>
    <row r="5941" customFormat="1" x14ac:dyDescent="0.2"/>
    <row r="5942" customFormat="1" x14ac:dyDescent="0.2"/>
    <row r="5943" customFormat="1" x14ac:dyDescent="0.2"/>
    <row r="5944" customFormat="1" x14ac:dyDescent="0.2"/>
    <row r="5945" customFormat="1" x14ac:dyDescent="0.2"/>
    <row r="5946" customFormat="1" x14ac:dyDescent="0.2"/>
    <row r="5947" customFormat="1" x14ac:dyDescent="0.2"/>
    <row r="5948" customFormat="1" x14ac:dyDescent="0.2"/>
    <row r="5949" customFormat="1" x14ac:dyDescent="0.2"/>
    <row r="5950" customFormat="1" x14ac:dyDescent="0.2"/>
    <row r="5951" customFormat="1" x14ac:dyDescent="0.2"/>
    <row r="5952" customFormat="1" x14ac:dyDescent="0.2"/>
    <row r="5953" customFormat="1" x14ac:dyDescent="0.2"/>
    <row r="5954" customFormat="1" x14ac:dyDescent="0.2"/>
    <row r="5955" customFormat="1" x14ac:dyDescent="0.2"/>
    <row r="5956" customFormat="1" x14ac:dyDescent="0.2"/>
    <row r="5957" customFormat="1" x14ac:dyDescent="0.2"/>
    <row r="5958" customFormat="1" x14ac:dyDescent="0.2"/>
    <row r="5959" customFormat="1" x14ac:dyDescent="0.2"/>
    <row r="5960" customFormat="1" x14ac:dyDescent="0.2"/>
    <row r="5961" customFormat="1" x14ac:dyDescent="0.2"/>
    <row r="5962" customFormat="1" x14ac:dyDescent="0.2"/>
    <row r="5963" customFormat="1" x14ac:dyDescent="0.2"/>
    <row r="5964" customFormat="1" x14ac:dyDescent="0.2"/>
    <row r="5965" customFormat="1" x14ac:dyDescent="0.2"/>
    <row r="5966" customFormat="1" x14ac:dyDescent="0.2"/>
    <row r="5967" customFormat="1" x14ac:dyDescent="0.2"/>
    <row r="5968" customFormat="1" x14ac:dyDescent="0.2"/>
    <row r="5969" customFormat="1" x14ac:dyDescent="0.2"/>
    <row r="5970" customFormat="1" x14ac:dyDescent="0.2"/>
    <row r="5971" customFormat="1" x14ac:dyDescent="0.2"/>
    <row r="5972" customFormat="1" x14ac:dyDescent="0.2"/>
    <row r="5973" customFormat="1" x14ac:dyDescent="0.2"/>
    <row r="5974" customFormat="1" x14ac:dyDescent="0.2"/>
    <row r="5975" customFormat="1" x14ac:dyDescent="0.2"/>
    <row r="5976" customFormat="1" x14ac:dyDescent="0.2"/>
    <row r="5977" customFormat="1" x14ac:dyDescent="0.2"/>
    <row r="5978" customFormat="1" x14ac:dyDescent="0.2"/>
    <row r="5979" customFormat="1" x14ac:dyDescent="0.2"/>
    <row r="5980" customFormat="1" x14ac:dyDescent="0.2"/>
    <row r="5981" customFormat="1" x14ac:dyDescent="0.2"/>
    <row r="5982" customFormat="1" x14ac:dyDescent="0.2"/>
    <row r="5983" customFormat="1" x14ac:dyDescent="0.2"/>
    <row r="5984" customFormat="1" x14ac:dyDescent="0.2"/>
    <row r="5985" customFormat="1" x14ac:dyDescent="0.2"/>
    <row r="5986" customFormat="1" x14ac:dyDescent="0.2"/>
    <row r="5987" customFormat="1" x14ac:dyDescent="0.2"/>
    <row r="5988" customFormat="1" x14ac:dyDescent="0.2"/>
    <row r="5989" customFormat="1" x14ac:dyDescent="0.2"/>
    <row r="5990" customFormat="1" x14ac:dyDescent="0.2"/>
    <row r="5991" customFormat="1" x14ac:dyDescent="0.2"/>
    <row r="5992" customFormat="1" x14ac:dyDescent="0.2"/>
    <row r="5993" customFormat="1" x14ac:dyDescent="0.2"/>
    <row r="5994" customFormat="1" x14ac:dyDescent="0.2"/>
    <row r="5995" customFormat="1" x14ac:dyDescent="0.2"/>
    <row r="5996" customFormat="1" x14ac:dyDescent="0.2"/>
    <row r="5997" customFormat="1" x14ac:dyDescent="0.2"/>
    <row r="5998" customFormat="1" x14ac:dyDescent="0.2"/>
    <row r="5999" customFormat="1" x14ac:dyDescent="0.2"/>
    <row r="6000" customFormat="1" x14ac:dyDescent="0.2"/>
    <row r="6001" customFormat="1" x14ac:dyDescent="0.2"/>
    <row r="6002" customFormat="1" x14ac:dyDescent="0.2"/>
    <row r="6003" customFormat="1" x14ac:dyDescent="0.2"/>
    <row r="6004" customFormat="1" x14ac:dyDescent="0.2"/>
    <row r="6005" customFormat="1" x14ac:dyDescent="0.2"/>
    <row r="6006" customFormat="1" x14ac:dyDescent="0.2"/>
    <row r="6007" customFormat="1" x14ac:dyDescent="0.2"/>
    <row r="6008" customFormat="1" x14ac:dyDescent="0.2"/>
    <row r="6009" customFormat="1" x14ac:dyDescent="0.2"/>
    <row r="6010" customFormat="1" x14ac:dyDescent="0.2"/>
    <row r="6011" customFormat="1" x14ac:dyDescent="0.2"/>
    <row r="6012" customFormat="1" x14ac:dyDescent="0.2"/>
    <row r="6013" customFormat="1" x14ac:dyDescent="0.2"/>
    <row r="6014" customFormat="1" x14ac:dyDescent="0.2"/>
    <row r="6015" customFormat="1" x14ac:dyDescent="0.2"/>
    <row r="6016" customFormat="1" x14ac:dyDescent="0.2"/>
    <row r="6017" customFormat="1" x14ac:dyDescent="0.2"/>
    <row r="6018" customFormat="1" x14ac:dyDescent="0.2"/>
    <row r="6019" customFormat="1" x14ac:dyDescent="0.2"/>
    <row r="6020" customFormat="1" x14ac:dyDescent="0.2"/>
    <row r="6021" customFormat="1" x14ac:dyDescent="0.2"/>
    <row r="6022" customFormat="1" x14ac:dyDescent="0.2"/>
    <row r="6023" customFormat="1" x14ac:dyDescent="0.2"/>
    <row r="6024" customFormat="1" x14ac:dyDescent="0.2"/>
    <row r="6025" customFormat="1" x14ac:dyDescent="0.2"/>
    <row r="6026" customFormat="1" x14ac:dyDescent="0.2"/>
    <row r="6027" customFormat="1" x14ac:dyDescent="0.2"/>
    <row r="6028" customFormat="1" x14ac:dyDescent="0.2"/>
    <row r="6029" customFormat="1" x14ac:dyDescent="0.2"/>
    <row r="6030" customFormat="1" x14ac:dyDescent="0.2"/>
    <row r="6031" customFormat="1" x14ac:dyDescent="0.2"/>
    <row r="6032" customFormat="1" x14ac:dyDescent="0.2"/>
    <row r="6033" customFormat="1" x14ac:dyDescent="0.2"/>
    <row r="6034" customFormat="1" x14ac:dyDescent="0.2"/>
    <row r="6035" customFormat="1" x14ac:dyDescent="0.2"/>
    <row r="6036" customFormat="1" x14ac:dyDescent="0.2"/>
    <row r="6037" customFormat="1" x14ac:dyDescent="0.2"/>
    <row r="6038" customFormat="1" x14ac:dyDescent="0.2"/>
    <row r="6039" customFormat="1" x14ac:dyDescent="0.2"/>
    <row r="6040" customFormat="1" x14ac:dyDescent="0.2"/>
    <row r="6041" customFormat="1" x14ac:dyDescent="0.2"/>
    <row r="6042" customFormat="1" x14ac:dyDescent="0.2"/>
    <row r="6043" customFormat="1" x14ac:dyDescent="0.2"/>
    <row r="6044" customFormat="1" x14ac:dyDescent="0.2"/>
    <row r="6045" customFormat="1" x14ac:dyDescent="0.2"/>
    <row r="6046" customFormat="1" x14ac:dyDescent="0.2"/>
    <row r="6047" customFormat="1" x14ac:dyDescent="0.2"/>
    <row r="6048" customFormat="1" x14ac:dyDescent="0.2"/>
    <row r="6049" customFormat="1" x14ac:dyDescent="0.2"/>
    <row r="6050" customFormat="1" x14ac:dyDescent="0.2"/>
    <row r="6051" customFormat="1" x14ac:dyDescent="0.2"/>
    <row r="6052" customFormat="1" x14ac:dyDescent="0.2"/>
    <row r="6053" customFormat="1" x14ac:dyDescent="0.2"/>
    <row r="6054" customFormat="1" x14ac:dyDescent="0.2"/>
    <row r="6055" customFormat="1" x14ac:dyDescent="0.2"/>
    <row r="6056" customFormat="1" x14ac:dyDescent="0.2"/>
    <row r="6057" customFormat="1" x14ac:dyDescent="0.2"/>
    <row r="6058" customFormat="1" x14ac:dyDescent="0.2"/>
    <row r="6059" customFormat="1" x14ac:dyDescent="0.2"/>
    <row r="6060" customFormat="1" x14ac:dyDescent="0.2"/>
    <row r="6061" customFormat="1" x14ac:dyDescent="0.2"/>
    <row r="6062" customFormat="1" x14ac:dyDescent="0.2"/>
    <row r="6063" customFormat="1" x14ac:dyDescent="0.2"/>
    <row r="6064" customFormat="1" x14ac:dyDescent="0.2"/>
    <row r="6065" customFormat="1" x14ac:dyDescent="0.2"/>
    <row r="6066" customFormat="1" x14ac:dyDescent="0.2"/>
    <row r="6067" customFormat="1" x14ac:dyDescent="0.2"/>
    <row r="6068" customFormat="1" x14ac:dyDescent="0.2"/>
    <row r="6069" customFormat="1" x14ac:dyDescent="0.2"/>
    <row r="6070" customFormat="1" x14ac:dyDescent="0.2"/>
    <row r="6071" customFormat="1" x14ac:dyDescent="0.2"/>
    <row r="6072" customFormat="1" x14ac:dyDescent="0.2"/>
    <row r="6073" customFormat="1" x14ac:dyDescent="0.2"/>
    <row r="6074" customFormat="1" x14ac:dyDescent="0.2"/>
    <row r="6075" customFormat="1" x14ac:dyDescent="0.2"/>
    <row r="6076" customFormat="1" x14ac:dyDescent="0.2"/>
    <row r="6077" customFormat="1" x14ac:dyDescent="0.2"/>
    <row r="6078" customFormat="1" x14ac:dyDescent="0.2"/>
    <row r="6079" customFormat="1" x14ac:dyDescent="0.2"/>
    <row r="6080" customFormat="1" x14ac:dyDescent="0.2"/>
    <row r="6081" customFormat="1" x14ac:dyDescent="0.2"/>
    <row r="6082" customFormat="1" x14ac:dyDescent="0.2"/>
    <row r="6083" customFormat="1" x14ac:dyDescent="0.2"/>
    <row r="6084" customFormat="1" x14ac:dyDescent="0.2"/>
    <row r="6085" customFormat="1" x14ac:dyDescent="0.2"/>
    <row r="6086" customFormat="1" x14ac:dyDescent="0.2"/>
    <row r="6087" customFormat="1" x14ac:dyDescent="0.2"/>
    <row r="6088" customFormat="1" x14ac:dyDescent="0.2"/>
    <row r="6089" customFormat="1" x14ac:dyDescent="0.2"/>
    <row r="6090" customFormat="1" x14ac:dyDescent="0.2"/>
    <row r="6091" customFormat="1" x14ac:dyDescent="0.2"/>
    <row r="6092" customFormat="1" x14ac:dyDescent="0.2"/>
    <row r="6093" customFormat="1" x14ac:dyDescent="0.2"/>
    <row r="6094" customFormat="1" x14ac:dyDescent="0.2"/>
    <row r="6095" customFormat="1" x14ac:dyDescent="0.2"/>
    <row r="6096" customFormat="1" x14ac:dyDescent="0.2"/>
    <row r="6097" customFormat="1" x14ac:dyDescent="0.2"/>
    <row r="6098" customFormat="1" x14ac:dyDescent="0.2"/>
    <row r="6099" customFormat="1" x14ac:dyDescent="0.2"/>
    <row r="6100" customFormat="1" x14ac:dyDescent="0.2"/>
    <row r="6101" customFormat="1" x14ac:dyDescent="0.2"/>
    <row r="6102" customFormat="1" x14ac:dyDescent="0.2"/>
    <row r="6103" customFormat="1" x14ac:dyDescent="0.2"/>
    <row r="6104" customFormat="1" x14ac:dyDescent="0.2"/>
    <row r="6105" customFormat="1" x14ac:dyDescent="0.2"/>
    <row r="6106" customFormat="1" x14ac:dyDescent="0.2"/>
    <row r="6107" customFormat="1" x14ac:dyDescent="0.2"/>
    <row r="6108" customFormat="1" x14ac:dyDescent="0.2"/>
    <row r="6109" customFormat="1" x14ac:dyDescent="0.2"/>
    <row r="6110" customFormat="1" x14ac:dyDescent="0.2"/>
    <row r="6111" customFormat="1" x14ac:dyDescent="0.2"/>
    <row r="6112" customFormat="1" x14ac:dyDescent="0.2"/>
    <row r="6113" customFormat="1" x14ac:dyDescent="0.2"/>
    <row r="6114" customFormat="1" x14ac:dyDescent="0.2"/>
    <row r="6115" customFormat="1" x14ac:dyDescent="0.2"/>
    <row r="6116" customFormat="1" x14ac:dyDescent="0.2"/>
    <row r="6117" customFormat="1" x14ac:dyDescent="0.2"/>
    <row r="6118" customFormat="1" x14ac:dyDescent="0.2"/>
    <row r="6119" customFormat="1" x14ac:dyDescent="0.2"/>
    <row r="6120" customFormat="1" x14ac:dyDescent="0.2"/>
    <row r="6121" customFormat="1" x14ac:dyDescent="0.2"/>
    <row r="6122" customFormat="1" x14ac:dyDescent="0.2"/>
    <row r="6123" customFormat="1" x14ac:dyDescent="0.2"/>
    <row r="6124" customFormat="1" x14ac:dyDescent="0.2"/>
    <row r="6125" customFormat="1" x14ac:dyDescent="0.2"/>
    <row r="6126" customFormat="1" x14ac:dyDescent="0.2"/>
    <row r="6127" customFormat="1" x14ac:dyDescent="0.2"/>
    <row r="6128" customFormat="1" x14ac:dyDescent="0.2"/>
    <row r="6129" customFormat="1" x14ac:dyDescent="0.2"/>
    <row r="6130" customFormat="1" x14ac:dyDescent="0.2"/>
    <row r="6131" customFormat="1" x14ac:dyDescent="0.2"/>
    <row r="6132" customFormat="1" x14ac:dyDescent="0.2"/>
    <row r="6133" customFormat="1" x14ac:dyDescent="0.2"/>
    <row r="6134" customFormat="1" x14ac:dyDescent="0.2"/>
    <row r="6135" customFormat="1" x14ac:dyDescent="0.2"/>
    <row r="6136" customFormat="1" x14ac:dyDescent="0.2"/>
    <row r="6137" customFormat="1" x14ac:dyDescent="0.2"/>
    <row r="6138" customFormat="1" x14ac:dyDescent="0.2"/>
    <row r="6139" customFormat="1" x14ac:dyDescent="0.2"/>
    <row r="6140" customFormat="1" x14ac:dyDescent="0.2"/>
    <row r="6141" customFormat="1" x14ac:dyDescent="0.2"/>
    <row r="6142" customFormat="1" x14ac:dyDescent="0.2"/>
    <row r="6143" customFormat="1" x14ac:dyDescent="0.2"/>
    <row r="6144" customFormat="1" x14ac:dyDescent="0.2"/>
    <row r="6145" customFormat="1" x14ac:dyDescent="0.2"/>
    <row r="6146" customFormat="1" x14ac:dyDescent="0.2"/>
    <row r="6147" customFormat="1" x14ac:dyDescent="0.2"/>
    <row r="6148" customFormat="1" x14ac:dyDescent="0.2"/>
    <row r="6149" customFormat="1" x14ac:dyDescent="0.2"/>
    <row r="6150" customFormat="1" x14ac:dyDescent="0.2"/>
    <row r="6151" customFormat="1" x14ac:dyDescent="0.2"/>
    <row r="6152" customFormat="1" x14ac:dyDescent="0.2"/>
    <row r="6153" customFormat="1" x14ac:dyDescent="0.2"/>
    <row r="6154" customFormat="1" x14ac:dyDescent="0.2"/>
    <row r="6155" customFormat="1" x14ac:dyDescent="0.2"/>
    <row r="6156" customFormat="1" x14ac:dyDescent="0.2"/>
    <row r="6157" customFormat="1" x14ac:dyDescent="0.2"/>
    <row r="6158" customFormat="1" x14ac:dyDescent="0.2"/>
    <row r="6159" customFormat="1" x14ac:dyDescent="0.2"/>
    <row r="6160" customFormat="1" x14ac:dyDescent="0.2"/>
    <row r="6161" customFormat="1" x14ac:dyDescent="0.2"/>
    <row r="6162" customFormat="1" x14ac:dyDescent="0.2"/>
    <row r="6163" customFormat="1" x14ac:dyDescent="0.2"/>
    <row r="6164" customFormat="1" x14ac:dyDescent="0.2"/>
    <row r="6165" customFormat="1" x14ac:dyDescent="0.2"/>
    <row r="6166" customFormat="1" x14ac:dyDescent="0.2"/>
    <row r="6167" customFormat="1" x14ac:dyDescent="0.2"/>
    <row r="6168" customFormat="1" x14ac:dyDescent="0.2"/>
    <row r="6169" customFormat="1" x14ac:dyDescent="0.2"/>
    <row r="6170" customFormat="1" x14ac:dyDescent="0.2"/>
    <row r="6171" customFormat="1" x14ac:dyDescent="0.2"/>
    <row r="6172" customFormat="1" x14ac:dyDescent="0.2"/>
    <row r="6173" customFormat="1" x14ac:dyDescent="0.2"/>
    <row r="6174" customFormat="1" x14ac:dyDescent="0.2"/>
    <row r="6175" customFormat="1" x14ac:dyDescent="0.2"/>
    <row r="6176" customFormat="1" x14ac:dyDescent="0.2"/>
    <row r="6177" customFormat="1" x14ac:dyDescent="0.2"/>
    <row r="6178" customFormat="1" x14ac:dyDescent="0.2"/>
    <row r="6179" customFormat="1" x14ac:dyDescent="0.2"/>
    <row r="6180" customFormat="1" x14ac:dyDescent="0.2"/>
    <row r="6181" customFormat="1" x14ac:dyDescent="0.2"/>
    <row r="6182" customFormat="1" x14ac:dyDescent="0.2"/>
    <row r="6183" customFormat="1" x14ac:dyDescent="0.2"/>
    <row r="6184" customFormat="1" x14ac:dyDescent="0.2"/>
    <row r="6185" customFormat="1" x14ac:dyDescent="0.2"/>
    <row r="6186" customFormat="1" x14ac:dyDescent="0.2"/>
    <row r="6187" customFormat="1" x14ac:dyDescent="0.2"/>
    <row r="6188" customFormat="1" x14ac:dyDescent="0.2"/>
    <row r="6189" customFormat="1" x14ac:dyDescent="0.2"/>
    <row r="6190" customFormat="1" x14ac:dyDescent="0.2"/>
    <row r="6191" customFormat="1" x14ac:dyDescent="0.2"/>
    <row r="6192" customFormat="1" x14ac:dyDescent="0.2"/>
    <row r="6193" customFormat="1" x14ac:dyDescent="0.2"/>
    <row r="6194" customFormat="1" x14ac:dyDescent="0.2"/>
    <row r="6195" customFormat="1" x14ac:dyDescent="0.2"/>
    <row r="6196" customFormat="1" x14ac:dyDescent="0.2"/>
    <row r="6197" customFormat="1" x14ac:dyDescent="0.2"/>
    <row r="6198" customFormat="1" x14ac:dyDescent="0.2"/>
    <row r="6199" customFormat="1" x14ac:dyDescent="0.2"/>
    <row r="6200" customFormat="1" x14ac:dyDescent="0.2"/>
    <row r="6201" customFormat="1" x14ac:dyDescent="0.2"/>
    <row r="6202" customFormat="1" x14ac:dyDescent="0.2"/>
    <row r="6203" customFormat="1" x14ac:dyDescent="0.2"/>
    <row r="6204" customFormat="1" x14ac:dyDescent="0.2"/>
    <row r="6205" customFormat="1" x14ac:dyDescent="0.2"/>
    <row r="6206" customFormat="1" x14ac:dyDescent="0.2"/>
    <row r="6207" customFormat="1" x14ac:dyDescent="0.2"/>
    <row r="6208" customFormat="1" x14ac:dyDescent="0.2"/>
    <row r="6209" customFormat="1" x14ac:dyDescent="0.2"/>
    <row r="6210" customFormat="1" x14ac:dyDescent="0.2"/>
    <row r="6211" customFormat="1" x14ac:dyDescent="0.2"/>
    <row r="6212" customFormat="1" x14ac:dyDescent="0.2"/>
    <row r="6213" customFormat="1" x14ac:dyDescent="0.2"/>
    <row r="6214" customFormat="1" x14ac:dyDescent="0.2"/>
    <row r="6215" customFormat="1" x14ac:dyDescent="0.2"/>
    <row r="6216" customFormat="1" x14ac:dyDescent="0.2"/>
    <row r="6217" customFormat="1" x14ac:dyDescent="0.2"/>
    <row r="6218" customFormat="1" x14ac:dyDescent="0.2"/>
    <row r="6219" customFormat="1" x14ac:dyDescent="0.2"/>
    <row r="6220" customFormat="1" x14ac:dyDescent="0.2"/>
    <row r="6221" customFormat="1" x14ac:dyDescent="0.2"/>
    <row r="6222" customFormat="1" x14ac:dyDescent="0.2"/>
    <row r="6223" customFormat="1" x14ac:dyDescent="0.2"/>
    <row r="6224" customFormat="1" x14ac:dyDescent="0.2"/>
    <row r="6225" customFormat="1" x14ac:dyDescent="0.2"/>
    <row r="6226" customFormat="1" x14ac:dyDescent="0.2"/>
    <row r="6227" customFormat="1" x14ac:dyDescent="0.2"/>
    <row r="6228" customFormat="1" x14ac:dyDescent="0.2"/>
    <row r="6229" customFormat="1" x14ac:dyDescent="0.2"/>
    <row r="6230" customFormat="1" x14ac:dyDescent="0.2"/>
    <row r="6231" customFormat="1" x14ac:dyDescent="0.2"/>
    <row r="6232" customFormat="1" x14ac:dyDescent="0.2"/>
    <row r="6233" customFormat="1" x14ac:dyDescent="0.2"/>
    <row r="6234" customFormat="1" x14ac:dyDescent="0.2"/>
    <row r="6235" customFormat="1" x14ac:dyDescent="0.2"/>
    <row r="6236" customFormat="1" x14ac:dyDescent="0.2"/>
    <row r="6237" customFormat="1" x14ac:dyDescent="0.2"/>
    <row r="6238" customFormat="1" x14ac:dyDescent="0.2"/>
    <row r="6239" customFormat="1" x14ac:dyDescent="0.2"/>
    <row r="6240" customFormat="1" x14ac:dyDescent="0.2"/>
    <row r="6241" customFormat="1" x14ac:dyDescent="0.2"/>
    <row r="6242" customFormat="1" x14ac:dyDescent="0.2"/>
    <row r="6243" customFormat="1" x14ac:dyDescent="0.2"/>
    <row r="6244" customFormat="1" x14ac:dyDescent="0.2"/>
    <row r="6245" customFormat="1" x14ac:dyDescent="0.2"/>
    <row r="6246" customFormat="1" x14ac:dyDescent="0.2"/>
    <row r="6247" customFormat="1" x14ac:dyDescent="0.2"/>
    <row r="6248" customFormat="1" x14ac:dyDescent="0.2"/>
    <row r="6249" customFormat="1" x14ac:dyDescent="0.2"/>
    <row r="6250" customFormat="1" x14ac:dyDescent="0.2"/>
    <row r="6251" customFormat="1" x14ac:dyDescent="0.2"/>
    <row r="6252" customFormat="1" x14ac:dyDescent="0.2"/>
    <row r="6253" customFormat="1" x14ac:dyDescent="0.2"/>
    <row r="6254" customFormat="1" x14ac:dyDescent="0.2"/>
    <row r="6255" customFormat="1" x14ac:dyDescent="0.2"/>
    <row r="6256" customFormat="1" x14ac:dyDescent="0.2"/>
    <row r="6257" customFormat="1" x14ac:dyDescent="0.2"/>
    <row r="6258" customFormat="1" x14ac:dyDescent="0.2"/>
    <row r="6259" customFormat="1" x14ac:dyDescent="0.2"/>
    <row r="6260" customFormat="1" x14ac:dyDescent="0.2"/>
    <row r="6261" customFormat="1" x14ac:dyDescent="0.2"/>
    <row r="6262" customFormat="1" x14ac:dyDescent="0.2"/>
    <row r="6263" customFormat="1" x14ac:dyDescent="0.2"/>
    <row r="6264" customFormat="1" x14ac:dyDescent="0.2"/>
    <row r="6265" customFormat="1" x14ac:dyDescent="0.2"/>
    <row r="6266" customFormat="1" x14ac:dyDescent="0.2"/>
    <row r="6267" customFormat="1" x14ac:dyDescent="0.2"/>
    <row r="6268" customFormat="1" x14ac:dyDescent="0.2"/>
    <row r="6269" customFormat="1" x14ac:dyDescent="0.2"/>
    <row r="6270" customFormat="1" x14ac:dyDescent="0.2"/>
    <row r="6271" customFormat="1" x14ac:dyDescent="0.2"/>
    <row r="6272" customFormat="1" x14ac:dyDescent="0.2"/>
    <row r="6273" customFormat="1" x14ac:dyDescent="0.2"/>
    <row r="6274" customFormat="1" x14ac:dyDescent="0.2"/>
    <row r="6275" customFormat="1" x14ac:dyDescent="0.2"/>
    <row r="6276" customFormat="1" x14ac:dyDescent="0.2"/>
    <row r="6277" customFormat="1" x14ac:dyDescent="0.2"/>
    <row r="6278" customFormat="1" x14ac:dyDescent="0.2"/>
    <row r="6279" customFormat="1" x14ac:dyDescent="0.2"/>
    <row r="6280" customFormat="1" x14ac:dyDescent="0.2"/>
    <row r="6281" customFormat="1" x14ac:dyDescent="0.2"/>
    <row r="6282" customFormat="1" x14ac:dyDescent="0.2"/>
    <row r="6283" customFormat="1" x14ac:dyDescent="0.2"/>
    <row r="6284" customFormat="1" x14ac:dyDescent="0.2"/>
    <row r="6285" customFormat="1" x14ac:dyDescent="0.2"/>
    <row r="6286" customFormat="1" x14ac:dyDescent="0.2"/>
    <row r="6287" customFormat="1" x14ac:dyDescent="0.2"/>
    <row r="6288" customFormat="1" x14ac:dyDescent="0.2"/>
    <row r="6289" customFormat="1" x14ac:dyDescent="0.2"/>
    <row r="6290" customFormat="1" x14ac:dyDescent="0.2"/>
    <row r="6291" customFormat="1" x14ac:dyDescent="0.2"/>
    <row r="6292" customFormat="1" x14ac:dyDescent="0.2"/>
    <row r="6293" customFormat="1" x14ac:dyDescent="0.2"/>
    <row r="6294" customFormat="1" x14ac:dyDescent="0.2"/>
    <row r="6295" customFormat="1" x14ac:dyDescent="0.2"/>
    <row r="6296" customFormat="1" x14ac:dyDescent="0.2"/>
    <row r="6297" customFormat="1" x14ac:dyDescent="0.2"/>
    <row r="6298" customFormat="1" x14ac:dyDescent="0.2"/>
    <row r="6299" customFormat="1" x14ac:dyDescent="0.2"/>
    <row r="6300" customFormat="1" x14ac:dyDescent="0.2"/>
    <row r="6301" customFormat="1" x14ac:dyDescent="0.2"/>
    <row r="6302" customFormat="1" x14ac:dyDescent="0.2"/>
    <row r="6303" customFormat="1" x14ac:dyDescent="0.2"/>
    <row r="6304" customFormat="1" x14ac:dyDescent="0.2"/>
    <row r="6305" customFormat="1" x14ac:dyDescent="0.2"/>
    <row r="6306" customFormat="1" x14ac:dyDescent="0.2"/>
    <row r="6307" customFormat="1" x14ac:dyDescent="0.2"/>
    <row r="6308" customFormat="1" x14ac:dyDescent="0.2"/>
    <row r="6309" customFormat="1" x14ac:dyDescent="0.2"/>
    <row r="6310" customFormat="1" x14ac:dyDescent="0.2"/>
    <row r="6311" customFormat="1" x14ac:dyDescent="0.2"/>
    <row r="6312" customFormat="1" x14ac:dyDescent="0.2"/>
    <row r="6313" customFormat="1" x14ac:dyDescent="0.2"/>
    <row r="6314" customFormat="1" x14ac:dyDescent="0.2"/>
    <row r="6315" customFormat="1" x14ac:dyDescent="0.2"/>
    <row r="6316" customFormat="1" x14ac:dyDescent="0.2"/>
    <row r="6317" customFormat="1" x14ac:dyDescent="0.2"/>
    <row r="6318" customFormat="1" x14ac:dyDescent="0.2"/>
    <row r="6319" customFormat="1" x14ac:dyDescent="0.2"/>
    <row r="6320" customFormat="1" x14ac:dyDescent="0.2"/>
    <row r="6321" customFormat="1" x14ac:dyDescent="0.2"/>
    <row r="6322" customFormat="1" x14ac:dyDescent="0.2"/>
    <row r="6323" customFormat="1" x14ac:dyDescent="0.2"/>
    <row r="6324" customFormat="1" x14ac:dyDescent="0.2"/>
    <row r="6325" customFormat="1" x14ac:dyDescent="0.2"/>
    <row r="6326" customFormat="1" x14ac:dyDescent="0.2"/>
    <row r="6327" customFormat="1" x14ac:dyDescent="0.2"/>
    <row r="6328" customFormat="1" x14ac:dyDescent="0.2"/>
    <row r="6329" customFormat="1" x14ac:dyDescent="0.2"/>
    <row r="6330" customFormat="1" x14ac:dyDescent="0.2"/>
    <row r="6331" customFormat="1" x14ac:dyDescent="0.2"/>
    <row r="6332" customFormat="1" x14ac:dyDescent="0.2"/>
    <row r="6333" customFormat="1" x14ac:dyDescent="0.2"/>
    <row r="6334" customFormat="1" x14ac:dyDescent="0.2"/>
    <row r="6335" customFormat="1" x14ac:dyDescent="0.2"/>
    <row r="6336" customFormat="1" x14ac:dyDescent="0.2"/>
    <row r="6337" customFormat="1" x14ac:dyDescent="0.2"/>
    <row r="6338" customFormat="1" x14ac:dyDescent="0.2"/>
    <row r="6339" customFormat="1" x14ac:dyDescent="0.2"/>
    <row r="6340" customFormat="1" x14ac:dyDescent="0.2"/>
    <row r="6341" customFormat="1" x14ac:dyDescent="0.2"/>
    <row r="6342" customFormat="1" x14ac:dyDescent="0.2"/>
    <row r="6343" customFormat="1" x14ac:dyDescent="0.2"/>
    <row r="6344" customFormat="1" x14ac:dyDescent="0.2"/>
    <row r="6345" customFormat="1" x14ac:dyDescent="0.2"/>
    <row r="6346" customFormat="1" x14ac:dyDescent="0.2"/>
    <row r="6347" customFormat="1" x14ac:dyDescent="0.2"/>
    <row r="6348" customFormat="1" x14ac:dyDescent="0.2"/>
    <row r="6349" customFormat="1" x14ac:dyDescent="0.2"/>
    <row r="6350" customFormat="1" x14ac:dyDescent="0.2"/>
    <row r="6351" customFormat="1" x14ac:dyDescent="0.2"/>
    <row r="6352" customFormat="1" x14ac:dyDescent="0.2"/>
    <row r="6353" customFormat="1" x14ac:dyDescent="0.2"/>
    <row r="6354" customFormat="1" x14ac:dyDescent="0.2"/>
    <row r="6355" customFormat="1" x14ac:dyDescent="0.2"/>
    <row r="6356" customFormat="1" x14ac:dyDescent="0.2"/>
    <row r="6357" customFormat="1" x14ac:dyDescent="0.2"/>
    <row r="6358" customFormat="1" x14ac:dyDescent="0.2"/>
    <row r="6359" customFormat="1" x14ac:dyDescent="0.2"/>
    <row r="6360" customFormat="1" x14ac:dyDescent="0.2"/>
    <row r="6361" customFormat="1" x14ac:dyDescent="0.2"/>
    <row r="6362" customFormat="1" x14ac:dyDescent="0.2"/>
    <row r="6363" customFormat="1" x14ac:dyDescent="0.2"/>
    <row r="6364" customFormat="1" x14ac:dyDescent="0.2"/>
    <row r="6365" customFormat="1" x14ac:dyDescent="0.2"/>
    <row r="6366" customFormat="1" x14ac:dyDescent="0.2"/>
    <row r="6367" customFormat="1" x14ac:dyDescent="0.2"/>
    <row r="6368" customFormat="1" x14ac:dyDescent="0.2"/>
    <row r="6369" customFormat="1" x14ac:dyDescent="0.2"/>
    <row r="6370" customFormat="1" x14ac:dyDescent="0.2"/>
    <row r="6371" customFormat="1" x14ac:dyDescent="0.2"/>
    <row r="6372" customFormat="1" x14ac:dyDescent="0.2"/>
    <row r="6373" customFormat="1" x14ac:dyDescent="0.2"/>
    <row r="6374" customFormat="1" x14ac:dyDescent="0.2"/>
    <row r="6375" customFormat="1" x14ac:dyDescent="0.2"/>
    <row r="6376" customFormat="1" x14ac:dyDescent="0.2"/>
    <row r="6377" customFormat="1" x14ac:dyDescent="0.2"/>
    <row r="6378" customFormat="1" x14ac:dyDescent="0.2"/>
    <row r="6379" customFormat="1" x14ac:dyDescent="0.2"/>
    <row r="6380" customFormat="1" x14ac:dyDescent="0.2"/>
    <row r="6381" customFormat="1" x14ac:dyDescent="0.2"/>
    <row r="6382" customFormat="1" x14ac:dyDescent="0.2"/>
    <row r="6383" customFormat="1" x14ac:dyDescent="0.2"/>
    <row r="6384" customFormat="1" x14ac:dyDescent="0.2"/>
    <row r="6385" customFormat="1" x14ac:dyDescent="0.2"/>
    <row r="6386" customFormat="1" x14ac:dyDescent="0.2"/>
    <row r="6387" customFormat="1" x14ac:dyDescent="0.2"/>
    <row r="6388" customFormat="1" x14ac:dyDescent="0.2"/>
    <row r="6389" customFormat="1" x14ac:dyDescent="0.2"/>
    <row r="6390" customFormat="1" x14ac:dyDescent="0.2"/>
    <row r="6391" customFormat="1" x14ac:dyDescent="0.2"/>
    <row r="6392" customFormat="1" x14ac:dyDescent="0.2"/>
    <row r="6393" customFormat="1" x14ac:dyDescent="0.2"/>
    <row r="6394" customFormat="1" x14ac:dyDescent="0.2"/>
    <row r="6395" customFormat="1" x14ac:dyDescent="0.2"/>
    <row r="6396" customFormat="1" x14ac:dyDescent="0.2"/>
    <row r="6397" customFormat="1" x14ac:dyDescent="0.2"/>
    <row r="6398" customFormat="1" x14ac:dyDescent="0.2"/>
    <row r="6399" customFormat="1" x14ac:dyDescent="0.2"/>
    <row r="6400" customFormat="1" x14ac:dyDescent="0.2"/>
    <row r="6401" customFormat="1" x14ac:dyDescent="0.2"/>
    <row r="6402" customFormat="1" x14ac:dyDescent="0.2"/>
    <row r="6403" customFormat="1" x14ac:dyDescent="0.2"/>
    <row r="6404" customFormat="1" x14ac:dyDescent="0.2"/>
    <row r="6405" customFormat="1" x14ac:dyDescent="0.2"/>
    <row r="6406" customFormat="1" x14ac:dyDescent="0.2"/>
    <row r="6407" customFormat="1" x14ac:dyDescent="0.2"/>
    <row r="6408" customFormat="1" x14ac:dyDescent="0.2"/>
    <row r="6409" customFormat="1" x14ac:dyDescent="0.2"/>
    <row r="6410" customFormat="1" x14ac:dyDescent="0.2"/>
    <row r="6411" customFormat="1" x14ac:dyDescent="0.2"/>
    <row r="6412" customFormat="1" x14ac:dyDescent="0.2"/>
    <row r="6413" customFormat="1" x14ac:dyDescent="0.2"/>
    <row r="6414" customFormat="1" x14ac:dyDescent="0.2"/>
    <row r="6415" customFormat="1" x14ac:dyDescent="0.2"/>
    <row r="6416" customFormat="1" x14ac:dyDescent="0.2"/>
    <row r="6417" customFormat="1" x14ac:dyDescent="0.2"/>
    <row r="6418" customFormat="1" x14ac:dyDescent="0.2"/>
    <row r="6419" customFormat="1" x14ac:dyDescent="0.2"/>
    <row r="6420" customFormat="1" x14ac:dyDescent="0.2"/>
    <row r="6421" customFormat="1" x14ac:dyDescent="0.2"/>
    <row r="6422" customFormat="1" x14ac:dyDescent="0.2"/>
    <row r="6423" customFormat="1" x14ac:dyDescent="0.2"/>
    <row r="6424" customFormat="1" x14ac:dyDescent="0.2"/>
    <row r="6425" customFormat="1" x14ac:dyDescent="0.2"/>
    <row r="6426" customFormat="1" x14ac:dyDescent="0.2"/>
    <row r="6427" customFormat="1" x14ac:dyDescent="0.2"/>
    <row r="6428" customFormat="1" x14ac:dyDescent="0.2"/>
    <row r="6429" customFormat="1" x14ac:dyDescent="0.2"/>
    <row r="6430" customFormat="1" x14ac:dyDescent="0.2"/>
    <row r="6431" customFormat="1" x14ac:dyDescent="0.2"/>
    <row r="6432" customFormat="1" x14ac:dyDescent="0.2"/>
    <row r="6433" customFormat="1" x14ac:dyDescent="0.2"/>
    <row r="6434" customFormat="1" x14ac:dyDescent="0.2"/>
    <row r="6435" customFormat="1" x14ac:dyDescent="0.2"/>
    <row r="6436" customFormat="1" x14ac:dyDescent="0.2"/>
    <row r="6437" customFormat="1" x14ac:dyDescent="0.2"/>
    <row r="6438" customFormat="1" x14ac:dyDescent="0.2"/>
    <row r="6439" customFormat="1" x14ac:dyDescent="0.2"/>
    <row r="6440" customFormat="1" x14ac:dyDescent="0.2"/>
    <row r="6441" customFormat="1" x14ac:dyDescent="0.2"/>
    <row r="6442" customFormat="1" x14ac:dyDescent="0.2"/>
    <row r="6443" customFormat="1" x14ac:dyDescent="0.2"/>
    <row r="6444" customFormat="1" x14ac:dyDescent="0.2"/>
    <row r="6445" customFormat="1" x14ac:dyDescent="0.2"/>
    <row r="6446" customFormat="1" x14ac:dyDescent="0.2"/>
    <row r="6447" customFormat="1" x14ac:dyDescent="0.2"/>
    <row r="6448" customFormat="1" x14ac:dyDescent="0.2"/>
    <row r="6449" customFormat="1" x14ac:dyDescent="0.2"/>
    <row r="6450" customFormat="1" x14ac:dyDescent="0.2"/>
    <row r="6451" customFormat="1" x14ac:dyDescent="0.2"/>
    <row r="6452" customFormat="1" x14ac:dyDescent="0.2"/>
    <row r="6453" customFormat="1" x14ac:dyDescent="0.2"/>
    <row r="6454" customFormat="1" x14ac:dyDescent="0.2"/>
    <row r="6455" customFormat="1" x14ac:dyDescent="0.2"/>
    <row r="6456" customFormat="1" x14ac:dyDescent="0.2"/>
    <row r="6457" customFormat="1" x14ac:dyDescent="0.2"/>
    <row r="6458" customFormat="1" x14ac:dyDescent="0.2"/>
    <row r="6459" customFormat="1" x14ac:dyDescent="0.2"/>
    <row r="6460" customFormat="1" x14ac:dyDescent="0.2"/>
    <row r="6461" customFormat="1" x14ac:dyDescent="0.2"/>
    <row r="6462" customFormat="1" x14ac:dyDescent="0.2"/>
    <row r="6463" customFormat="1" x14ac:dyDescent="0.2"/>
    <row r="6464" customFormat="1" x14ac:dyDescent="0.2"/>
    <row r="6465" customFormat="1" x14ac:dyDescent="0.2"/>
    <row r="6466" customFormat="1" x14ac:dyDescent="0.2"/>
    <row r="6467" customFormat="1" x14ac:dyDescent="0.2"/>
    <row r="6468" customFormat="1" x14ac:dyDescent="0.2"/>
    <row r="6469" customFormat="1" x14ac:dyDescent="0.2"/>
    <row r="6470" customFormat="1" x14ac:dyDescent="0.2"/>
    <row r="6471" customFormat="1" x14ac:dyDescent="0.2"/>
    <row r="6472" customFormat="1" x14ac:dyDescent="0.2"/>
    <row r="6473" customFormat="1" x14ac:dyDescent="0.2"/>
    <row r="6474" customFormat="1" x14ac:dyDescent="0.2"/>
    <row r="6475" customFormat="1" x14ac:dyDescent="0.2"/>
    <row r="6476" customFormat="1" x14ac:dyDescent="0.2"/>
    <row r="6477" customFormat="1" x14ac:dyDescent="0.2"/>
    <row r="6478" customFormat="1" x14ac:dyDescent="0.2"/>
    <row r="6479" customFormat="1" x14ac:dyDescent="0.2"/>
    <row r="6480" customFormat="1" x14ac:dyDescent="0.2"/>
    <row r="6481" customFormat="1" x14ac:dyDescent="0.2"/>
    <row r="6482" customFormat="1" x14ac:dyDescent="0.2"/>
    <row r="6483" customFormat="1" x14ac:dyDescent="0.2"/>
    <row r="6484" customFormat="1" x14ac:dyDescent="0.2"/>
    <row r="6485" customFormat="1" x14ac:dyDescent="0.2"/>
    <row r="6486" customFormat="1" x14ac:dyDescent="0.2"/>
    <row r="6487" customFormat="1" x14ac:dyDescent="0.2"/>
    <row r="6488" customFormat="1" x14ac:dyDescent="0.2"/>
    <row r="6489" customFormat="1" x14ac:dyDescent="0.2"/>
    <row r="6490" customFormat="1" x14ac:dyDescent="0.2"/>
    <row r="6491" customFormat="1" x14ac:dyDescent="0.2"/>
    <row r="6492" customFormat="1" x14ac:dyDescent="0.2"/>
    <row r="6493" customFormat="1" x14ac:dyDescent="0.2"/>
    <row r="6494" customFormat="1" x14ac:dyDescent="0.2"/>
    <row r="6495" customFormat="1" x14ac:dyDescent="0.2"/>
    <row r="6496" customFormat="1" x14ac:dyDescent="0.2"/>
    <row r="6497" customFormat="1" x14ac:dyDescent="0.2"/>
    <row r="6498" customFormat="1" x14ac:dyDescent="0.2"/>
    <row r="6499" customFormat="1" x14ac:dyDescent="0.2"/>
    <row r="6500" customFormat="1" x14ac:dyDescent="0.2"/>
    <row r="6501" customFormat="1" x14ac:dyDescent="0.2"/>
    <row r="6502" customFormat="1" x14ac:dyDescent="0.2"/>
    <row r="6503" customFormat="1" x14ac:dyDescent="0.2"/>
    <row r="6504" customFormat="1" x14ac:dyDescent="0.2"/>
    <row r="6505" customFormat="1" x14ac:dyDescent="0.2"/>
    <row r="6506" customFormat="1" x14ac:dyDescent="0.2"/>
    <row r="6507" customFormat="1" x14ac:dyDescent="0.2"/>
    <row r="6508" customFormat="1" x14ac:dyDescent="0.2"/>
    <row r="6509" customFormat="1" x14ac:dyDescent="0.2"/>
    <row r="6510" customFormat="1" x14ac:dyDescent="0.2"/>
    <row r="6511" customFormat="1" x14ac:dyDescent="0.2"/>
    <row r="6512" customFormat="1" x14ac:dyDescent="0.2"/>
    <row r="6513" customFormat="1" x14ac:dyDescent="0.2"/>
    <row r="6514" customFormat="1" x14ac:dyDescent="0.2"/>
    <row r="6515" customFormat="1" x14ac:dyDescent="0.2"/>
    <row r="6516" customFormat="1" x14ac:dyDescent="0.2"/>
    <row r="6517" customFormat="1" x14ac:dyDescent="0.2"/>
    <row r="6518" customFormat="1" x14ac:dyDescent="0.2"/>
    <row r="6519" customFormat="1" x14ac:dyDescent="0.2"/>
    <row r="6520" customFormat="1" x14ac:dyDescent="0.2"/>
    <row r="6521" customFormat="1" x14ac:dyDescent="0.2"/>
    <row r="6522" customFormat="1" x14ac:dyDescent="0.2"/>
    <row r="6523" customFormat="1" x14ac:dyDescent="0.2"/>
    <row r="6524" customFormat="1" x14ac:dyDescent="0.2"/>
    <row r="6525" customFormat="1" x14ac:dyDescent="0.2"/>
    <row r="6526" customFormat="1" x14ac:dyDescent="0.2"/>
    <row r="6527" customFormat="1" x14ac:dyDescent="0.2"/>
    <row r="6528" customFormat="1" x14ac:dyDescent="0.2"/>
    <row r="6529" customFormat="1" x14ac:dyDescent="0.2"/>
    <row r="6530" customFormat="1" x14ac:dyDescent="0.2"/>
    <row r="6531" customFormat="1" x14ac:dyDescent="0.2"/>
    <row r="6532" customFormat="1" x14ac:dyDescent="0.2"/>
    <row r="6533" customFormat="1" x14ac:dyDescent="0.2"/>
    <row r="6534" customFormat="1" x14ac:dyDescent="0.2"/>
    <row r="6535" customFormat="1" x14ac:dyDescent="0.2"/>
    <row r="6536" customFormat="1" x14ac:dyDescent="0.2"/>
    <row r="6537" customFormat="1" x14ac:dyDescent="0.2"/>
    <row r="6538" customFormat="1" x14ac:dyDescent="0.2"/>
    <row r="6539" customFormat="1" x14ac:dyDescent="0.2"/>
    <row r="6540" customFormat="1" x14ac:dyDescent="0.2"/>
    <row r="6541" customFormat="1" x14ac:dyDescent="0.2"/>
    <row r="6542" customFormat="1" x14ac:dyDescent="0.2"/>
    <row r="6543" customFormat="1" x14ac:dyDescent="0.2"/>
    <row r="6544" customFormat="1" x14ac:dyDescent="0.2"/>
    <row r="6545" customFormat="1" x14ac:dyDescent="0.2"/>
    <row r="6546" customFormat="1" x14ac:dyDescent="0.2"/>
    <row r="6547" customFormat="1" x14ac:dyDescent="0.2"/>
    <row r="6548" customFormat="1" x14ac:dyDescent="0.2"/>
    <row r="6549" customFormat="1" x14ac:dyDescent="0.2"/>
    <row r="6550" customFormat="1" x14ac:dyDescent="0.2"/>
    <row r="6551" customFormat="1" x14ac:dyDescent="0.2"/>
    <row r="6552" customFormat="1" x14ac:dyDescent="0.2"/>
    <row r="6553" customFormat="1" x14ac:dyDescent="0.2"/>
    <row r="6554" customFormat="1" x14ac:dyDescent="0.2"/>
    <row r="6555" customFormat="1" x14ac:dyDescent="0.2"/>
    <row r="6556" customFormat="1" x14ac:dyDescent="0.2"/>
    <row r="6557" customFormat="1" x14ac:dyDescent="0.2"/>
    <row r="6558" customFormat="1" x14ac:dyDescent="0.2"/>
    <row r="6559" customFormat="1" x14ac:dyDescent="0.2"/>
    <row r="6560" customFormat="1" x14ac:dyDescent="0.2"/>
    <row r="6561" customFormat="1" x14ac:dyDescent="0.2"/>
    <row r="6562" customFormat="1" x14ac:dyDescent="0.2"/>
    <row r="6563" customFormat="1" x14ac:dyDescent="0.2"/>
    <row r="6564" customFormat="1" x14ac:dyDescent="0.2"/>
    <row r="6565" customFormat="1" x14ac:dyDescent="0.2"/>
    <row r="6566" customFormat="1" x14ac:dyDescent="0.2"/>
    <row r="6567" customFormat="1" x14ac:dyDescent="0.2"/>
    <row r="6568" customFormat="1" x14ac:dyDescent="0.2"/>
    <row r="6569" customFormat="1" x14ac:dyDescent="0.2"/>
    <row r="6570" customFormat="1" x14ac:dyDescent="0.2"/>
    <row r="6571" customFormat="1" x14ac:dyDescent="0.2"/>
    <row r="6572" customFormat="1" x14ac:dyDescent="0.2"/>
    <row r="6573" customFormat="1" x14ac:dyDescent="0.2"/>
    <row r="6574" customFormat="1" x14ac:dyDescent="0.2"/>
    <row r="6575" customFormat="1" x14ac:dyDescent="0.2"/>
    <row r="6576" customFormat="1" x14ac:dyDescent="0.2"/>
    <row r="6577" customFormat="1" x14ac:dyDescent="0.2"/>
    <row r="6578" customFormat="1" x14ac:dyDescent="0.2"/>
    <row r="6579" customFormat="1" x14ac:dyDescent="0.2"/>
    <row r="6580" customFormat="1" x14ac:dyDescent="0.2"/>
    <row r="6581" customFormat="1" x14ac:dyDescent="0.2"/>
    <row r="6582" customFormat="1" x14ac:dyDescent="0.2"/>
    <row r="6583" customFormat="1" x14ac:dyDescent="0.2"/>
    <row r="6584" customFormat="1" x14ac:dyDescent="0.2"/>
    <row r="6585" customFormat="1" x14ac:dyDescent="0.2"/>
    <row r="6586" customFormat="1" x14ac:dyDescent="0.2"/>
    <row r="6587" customFormat="1" x14ac:dyDescent="0.2"/>
    <row r="6588" customFormat="1" x14ac:dyDescent="0.2"/>
    <row r="6589" customFormat="1" x14ac:dyDescent="0.2"/>
    <row r="6590" customFormat="1" x14ac:dyDescent="0.2"/>
    <row r="6591" customFormat="1" x14ac:dyDescent="0.2"/>
    <row r="6592" customFormat="1" x14ac:dyDescent="0.2"/>
    <row r="6593" customFormat="1" x14ac:dyDescent="0.2"/>
    <row r="6594" customFormat="1" x14ac:dyDescent="0.2"/>
    <row r="6595" customFormat="1" x14ac:dyDescent="0.2"/>
    <row r="6596" customFormat="1" x14ac:dyDescent="0.2"/>
    <row r="6597" customFormat="1" x14ac:dyDescent="0.2"/>
    <row r="6598" customFormat="1" x14ac:dyDescent="0.2"/>
    <row r="6599" customFormat="1" x14ac:dyDescent="0.2"/>
    <row r="6600" customFormat="1" x14ac:dyDescent="0.2"/>
    <row r="6601" customFormat="1" x14ac:dyDescent="0.2"/>
    <row r="6602" customFormat="1" x14ac:dyDescent="0.2"/>
    <row r="6603" customFormat="1" x14ac:dyDescent="0.2"/>
    <row r="6604" customFormat="1" x14ac:dyDescent="0.2"/>
    <row r="6605" customFormat="1" x14ac:dyDescent="0.2"/>
    <row r="6606" customFormat="1" x14ac:dyDescent="0.2"/>
    <row r="6607" customFormat="1" x14ac:dyDescent="0.2"/>
    <row r="6608" customFormat="1" x14ac:dyDescent="0.2"/>
    <row r="6609" customFormat="1" x14ac:dyDescent="0.2"/>
    <row r="6610" customFormat="1" x14ac:dyDescent="0.2"/>
    <row r="6611" customFormat="1" x14ac:dyDescent="0.2"/>
    <row r="6612" customFormat="1" x14ac:dyDescent="0.2"/>
    <row r="6613" customFormat="1" x14ac:dyDescent="0.2"/>
    <row r="6614" customFormat="1" x14ac:dyDescent="0.2"/>
    <row r="6615" customFormat="1" x14ac:dyDescent="0.2"/>
    <row r="6616" customFormat="1" x14ac:dyDescent="0.2"/>
    <row r="6617" customFormat="1" x14ac:dyDescent="0.2"/>
    <row r="6618" customFormat="1" x14ac:dyDescent="0.2"/>
    <row r="6619" customFormat="1" x14ac:dyDescent="0.2"/>
    <row r="6620" customFormat="1" x14ac:dyDescent="0.2"/>
    <row r="6621" customFormat="1" x14ac:dyDescent="0.2"/>
    <row r="6622" customFormat="1" x14ac:dyDescent="0.2"/>
    <row r="6623" customFormat="1" x14ac:dyDescent="0.2"/>
    <row r="6624" customFormat="1" x14ac:dyDescent="0.2"/>
    <row r="6625" customFormat="1" x14ac:dyDescent="0.2"/>
    <row r="6626" customFormat="1" x14ac:dyDescent="0.2"/>
    <row r="6627" customFormat="1" x14ac:dyDescent="0.2"/>
    <row r="6628" customFormat="1" x14ac:dyDescent="0.2"/>
    <row r="6629" customFormat="1" x14ac:dyDescent="0.2"/>
    <row r="6630" customFormat="1" x14ac:dyDescent="0.2"/>
    <row r="6631" customFormat="1" x14ac:dyDescent="0.2"/>
    <row r="6632" customFormat="1" x14ac:dyDescent="0.2"/>
    <row r="6633" customFormat="1" x14ac:dyDescent="0.2"/>
    <row r="6634" customFormat="1" x14ac:dyDescent="0.2"/>
    <row r="6635" customFormat="1" x14ac:dyDescent="0.2"/>
    <row r="6636" customFormat="1" x14ac:dyDescent="0.2"/>
    <row r="6637" customFormat="1" x14ac:dyDescent="0.2"/>
    <row r="6638" customFormat="1" x14ac:dyDescent="0.2"/>
    <row r="6639" customFormat="1" x14ac:dyDescent="0.2"/>
    <row r="6640" customFormat="1" x14ac:dyDescent="0.2"/>
    <row r="6641" customFormat="1" x14ac:dyDescent="0.2"/>
    <row r="6642" customFormat="1" x14ac:dyDescent="0.2"/>
    <row r="6643" customFormat="1" x14ac:dyDescent="0.2"/>
    <row r="6644" customFormat="1" x14ac:dyDescent="0.2"/>
    <row r="6645" customFormat="1" x14ac:dyDescent="0.2"/>
    <row r="6646" customFormat="1" x14ac:dyDescent="0.2"/>
    <row r="6647" customFormat="1" x14ac:dyDescent="0.2"/>
    <row r="6648" customFormat="1" x14ac:dyDescent="0.2"/>
    <row r="6649" customFormat="1" x14ac:dyDescent="0.2"/>
    <row r="6650" customFormat="1" x14ac:dyDescent="0.2"/>
    <row r="6651" customFormat="1" x14ac:dyDescent="0.2"/>
    <row r="6652" customFormat="1" x14ac:dyDescent="0.2"/>
    <row r="6653" customFormat="1" x14ac:dyDescent="0.2"/>
    <row r="6654" customFormat="1" x14ac:dyDescent="0.2"/>
    <row r="6655" customFormat="1" x14ac:dyDescent="0.2"/>
    <row r="6656" customFormat="1" x14ac:dyDescent="0.2"/>
    <row r="6657" customFormat="1" x14ac:dyDescent="0.2"/>
    <row r="6658" customFormat="1" x14ac:dyDescent="0.2"/>
    <row r="6659" customFormat="1" x14ac:dyDescent="0.2"/>
    <row r="6660" customFormat="1" x14ac:dyDescent="0.2"/>
    <row r="6661" customFormat="1" x14ac:dyDescent="0.2"/>
    <row r="6662" customFormat="1" x14ac:dyDescent="0.2"/>
    <row r="6663" customFormat="1" x14ac:dyDescent="0.2"/>
    <row r="6664" customFormat="1" x14ac:dyDescent="0.2"/>
    <row r="6665" customFormat="1" x14ac:dyDescent="0.2"/>
    <row r="6666" customFormat="1" x14ac:dyDescent="0.2"/>
    <row r="6667" customFormat="1" x14ac:dyDescent="0.2"/>
    <row r="6668" customFormat="1" x14ac:dyDescent="0.2"/>
    <row r="6669" customFormat="1" x14ac:dyDescent="0.2"/>
    <row r="6670" customFormat="1" x14ac:dyDescent="0.2"/>
    <row r="6671" customFormat="1" x14ac:dyDescent="0.2"/>
    <row r="6672" customFormat="1" x14ac:dyDescent="0.2"/>
    <row r="6673" customFormat="1" x14ac:dyDescent="0.2"/>
    <row r="6674" customFormat="1" x14ac:dyDescent="0.2"/>
    <row r="6675" customFormat="1" x14ac:dyDescent="0.2"/>
    <row r="6676" customFormat="1" x14ac:dyDescent="0.2"/>
    <row r="6677" customFormat="1" x14ac:dyDescent="0.2"/>
    <row r="6678" customFormat="1" x14ac:dyDescent="0.2"/>
    <row r="6679" customFormat="1" x14ac:dyDescent="0.2"/>
    <row r="6680" customFormat="1" x14ac:dyDescent="0.2"/>
    <row r="6681" customFormat="1" x14ac:dyDescent="0.2"/>
    <row r="6682" customFormat="1" x14ac:dyDescent="0.2"/>
    <row r="6683" customFormat="1" x14ac:dyDescent="0.2"/>
    <row r="6684" customFormat="1" x14ac:dyDescent="0.2"/>
    <row r="6685" customFormat="1" x14ac:dyDescent="0.2"/>
    <row r="6686" customFormat="1" x14ac:dyDescent="0.2"/>
    <row r="6687" customFormat="1" x14ac:dyDescent="0.2"/>
    <row r="6688" customFormat="1" x14ac:dyDescent="0.2"/>
    <row r="6689" customFormat="1" x14ac:dyDescent="0.2"/>
    <row r="6690" customFormat="1" x14ac:dyDescent="0.2"/>
    <row r="6691" customFormat="1" x14ac:dyDescent="0.2"/>
    <row r="6692" customFormat="1" x14ac:dyDescent="0.2"/>
    <row r="6693" customFormat="1" x14ac:dyDescent="0.2"/>
    <row r="6694" customFormat="1" x14ac:dyDescent="0.2"/>
    <row r="6695" customFormat="1" x14ac:dyDescent="0.2"/>
    <row r="6696" customFormat="1" x14ac:dyDescent="0.2"/>
    <row r="6697" customFormat="1" x14ac:dyDescent="0.2"/>
    <row r="6698" customFormat="1" x14ac:dyDescent="0.2"/>
    <row r="6699" customFormat="1" x14ac:dyDescent="0.2"/>
    <row r="6700" customFormat="1" x14ac:dyDescent="0.2"/>
    <row r="6701" customFormat="1" x14ac:dyDescent="0.2"/>
    <row r="6702" customFormat="1" x14ac:dyDescent="0.2"/>
    <row r="6703" customFormat="1" x14ac:dyDescent="0.2"/>
    <row r="6704" customFormat="1" x14ac:dyDescent="0.2"/>
    <row r="6705" customFormat="1" x14ac:dyDescent="0.2"/>
    <row r="6706" customFormat="1" x14ac:dyDescent="0.2"/>
    <row r="6707" customFormat="1" x14ac:dyDescent="0.2"/>
    <row r="6708" customFormat="1" x14ac:dyDescent="0.2"/>
    <row r="6709" customFormat="1" x14ac:dyDescent="0.2"/>
    <row r="6710" customFormat="1" x14ac:dyDescent="0.2"/>
    <row r="6711" customFormat="1" x14ac:dyDescent="0.2"/>
    <row r="6712" customFormat="1" x14ac:dyDescent="0.2"/>
    <row r="6713" customFormat="1" x14ac:dyDescent="0.2"/>
    <row r="6714" customFormat="1" x14ac:dyDescent="0.2"/>
    <row r="6715" customFormat="1" x14ac:dyDescent="0.2"/>
    <row r="6716" customFormat="1" x14ac:dyDescent="0.2"/>
    <row r="6717" customFormat="1" x14ac:dyDescent="0.2"/>
    <row r="6718" customFormat="1" x14ac:dyDescent="0.2"/>
    <row r="6719" customFormat="1" x14ac:dyDescent="0.2"/>
    <row r="6720" customFormat="1" x14ac:dyDescent="0.2"/>
    <row r="6721" customFormat="1" x14ac:dyDescent="0.2"/>
    <row r="6722" customFormat="1" x14ac:dyDescent="0.2"/>
    <row r="6723" customFormat="1" x14ac:dyDescent="0.2"/>
    <row r="6724" customFormat="1" x14ac:dyDescent="0.2"/>
    <row r="6725" customFormat="1" x14ac:dyDescent="0.2"/>
    <row r="6726" customFormat="1" x14ac:dyDescent="0.2"/>
    <row r="6727" customFormat="1" x14ac:dyDescent="0.2"/>
    <row r="6728" customFormat="1" x14ac:dyDescent="0.2"/>
    <row r="6729" customFormat="1" x14ac:dyDescent="0.2"/>
    <row r="6730" customFormat="1" x14ac:dyDescent="0.2"/>
    <row r="6731" customFormat="1" x14ac:dyDescent="0.2"/>
    <row r="6732" customFormat="1" x14ac:dyDescent="0.2"/>
    <row r="6733" customFormat="1" x14ac:dyDescent="0.2"/>
    <row r="6734" customFormat="1" x14ac:dyDescent="0.2"/>
    <row r="6735" customFormat="1" x14ac:dyDescent="0.2"/>
    <row r="6736" customFormat="1" x14ac:dyDescent="0.2"/>
    <row r="6737" customFormat="1" x14ac:dyDescent="0.2"/>
    <row r="6738" customFormat="1" x14ac:dyDescent="0.2"/>
    <row r="6739" customFormat="1" x14ac:dyDescent="0.2"/>
    <row r="6740" customFormat="1" x14ac:dyDescent="0.2"/>
    <row r="6741" customFormat="1" x14ac:dyDescent="0.2"/>
    <row r="6742" customFormat="1" x14ac:dyDescent="0.2"/>
    <row r="6743" customFormat="1" x14ac:dyDescent="0.2"/>
    <row r="6744" customFormat="1" x14ac:dyDescent="0.2"/>
    <row r="6745" customFormat="1" x14ac:dyDescent="0.2"/>
    <row r="6746" customFormat="1" x14ac:dyDescent="0.2"/>
    <row r="6747" customFormat="1" x14ac:dyDescent="0.2"/>
    <row r="6748" customFormat="1" x14ac:dyDescent="0.2"/>
    <row r="6749" customFormat="1" x14ac:dyDescent="0.2"/>
    <row r="6750" customFormat="1" x14ac:dyDescent="0.2"/>
    <row r="6751" customFormat="1" x14ac:dyDescent="0.2"/>
    <row r="6752" customFormat="1" x14ac:dyDescent="0.2"/>
    <row r="6753" customFormat="1" x14ac:dyDescent="0.2"/>
    <row r="6754" customFormat="1" x14ac:dyDescent="0.2"/>
    <row r="6755" customFormat="1" x14ac:dyDescent="0.2"/>
    <row r="6756" customFormat="1" x14ac:dyDescent="0.2"/>
    <row r="6757" customFormat="1" x14ac:dyDescent="0.2"/>
    <row r="6758" customFormat="1" x14ac:dyDescent="0.2"/>
    <row r="6759" customFormat="1" x14ac:dyDescent="0.2"/>
    <row r="6760" customFormat="1" x14ac:dyDescent="0.2"/>
    <row r="6761" customFormat="1" x14ac:dyDescent="0.2"/>
    <row r="6762" customFormat="1" x14ac:dyDescent="0.2"/>
    <row r="6763" customFormat="1" x14ac:dyDescent="0.2"/>
    <row r="6764" customFormat="1" x14ac:dyDescent="0.2"/>
    <row r="6765" customFormat="1" x14ac:dyDescent="0.2"/>
    <row r="6766" customFormat="1" x14ac:dyDescent="0.2"/>
    <row r="6767" customFormat="1" x14ac:dyDescent="0.2"/>
    <row r="6768" customFormat="1" x14ac:dyDescent="0.2"/>
    <row r="6769" customFormat="1" x14ac:dyDescent="0.2"/>
    <row r="6770" customFormat="1" x14ac:dyDescent="0.2"/>
    <row r="6771" customFormat="1" x14ac:dyDescent="0.2"/>
    <row r="6772" customFormat="1" x14ac:dyDescent="0.2"/>
    <row r="6773" customFormat="1" x14ac:dyDescent="0.2"/>
    <row r="6774" customFormat="1" x14ac:dyDescent="0.2"/>
    <row r="6775" customFormat="1" x14ac:dyDescent="0.2"/>
    <row r="6776" customFormat="1" x14ac:dyDescent="0.2"/>
    <row r="6777" customFormat="1" x14ac:dyDescent="0.2"/>
    <row r="6778" customFormat="1" x14ac:dyDescent="0.2"/>
    <row r="6779" customFormat="1" x14ac:dyDescent="0.2"/>
    <row r="6780" customFormat="1" x14ac:dyDescent="0.2"/>
    <row r="6781" customFormat="1" x14ac:dyDescent="0.2"/>
    <row r="6782" customFormat="1" x14ac:dyDescent="0.2"/>
    <row r="6783" customFormat="1" x14ac:dyDescent="0.2"/>
    <row r="6784" customFormat="1" x14ac:dyDescent="0.2"/>
    <row r="6785" customFormat="1" x14ac:dyDescent="0.2"/>
    <row r="6786" customFormat="1" x14ac:dyDescent="0.2"/>
    <row r="6787" customFormat="1" x14ac:dyDescent="0.2"/>
    <row r="6788" customFormat="1" x14ac:dyDescent="0.2"/>
    <row r="6789" customFormat="1" x14ac:dyDescent="0.2"/>
    <row r="6790" customFormat="1" x14ac:dyDescent="0.2"/>
    <row r="6791" customFormat="1" x14ac:dyDescent="0.2"/>
    <row r="6792" customFormat="1" x14ac:dyDescent="0.2"/>
    <row r="6793" customFormat="1" x14ac:dyDescent="0.2"/>
    <row r="6794" customFormat="1" x14ac:dyDescent="0.2"/>
    <row r="6795" customFormat="1" x14ac:dyDescent="0.2"/>
    <row r="6796" customFormat="1" x14ac:dyDescent="0.2"/>
    <row r="6797" customFormat="1" x14ac:dyDescent="0.2"/>
    <row r="6798" customFormat="1" x14ac:dyDescent="0.2"/>
    <row r="6799" customFormat="1" x14ac:dyDescent="0.2"/>
    <row r="6800" customFormat="1" x14ac:dyDescent="0.2"/>
    <row r="6801" customFormat="1" x14ac:dyDescent="0.2"/>
    <row r="6802" customFormat="1" x14ac:dyDescent="0.2"/>
    <row r="6803" customFormat="1" x14ac:dyDescent="0.2"/>
    <row r="6804" customFormat="1" x14ac:dyDescent="0.2"/>
    <row r="6805" customFormat="1" x14ac:dyDescent="0.2"/>
    <row r="6806" customFormat="1" x14ac:dyDescent="0.2"/>
    <row r="6807" customFormat="1" x14ac:dyDescent="0.2"/>
    <row r="6808" customFormat="1" x14ac:dyDescent="0.2"/>
    <row r="6809" customFormat="1" x14ac:dyDescent="0.2"/>
    <row r="6810" customFormat="1" x14ac:dyDescent="0.2"/>
    <row r="6811" customFormat="1" x14ac:dyDescent="0.2"/>
    <row r="6812" customFormat="1" x14ac:dyDescent="0.2"/>
    <row r="6813" customFormat="1" x14ac:dyDescent="0.2"/>
    <row r="6814" customFormat="1" x14ac:dyDescent="0.2"/>
    <row r="6815" customFormat="1" x14ac:dyDescent="0.2"/>
    <row r="6816" customFormat="1" x14ac:dyDescent="0.2"/>
    <row r="6817" customFormat="1" x14ac:dyDescent="0.2"/>
    <row r="6818" customFormat="1" x14ac:dyDescent="0.2"/>
    <row r="6819" customFormat="1" x14ac:dyDescent="0.2"/>
    <row r="6820" customFormat="1" x14ac:dyDescent="0.2"/>
    <row r="6821" customFormat="1" x14ac:dyDescent="0.2"/>
    <row r="6822" customFormat="1" x14ac:dyDescent="0.2"/>
    <row r="6823" customFormat="1" x14ac:dyDescent="0.2"/>
    <row r="6824" customFormat="1" x14ac:dyDescent="0.2"/>
    <row r="6825" customFormat="1" x14ac:dyDescent="0.2"/>
    <row r="6826" customFormat="1" x14ac:dyDescent="0.2"/>
    <row r="6827" customFormat="1" x14ac:dyDescent="0.2"/>
    <row r="6828" customFormat="1" x14ac:dyDescent="0.2"/>
    <row r="6829" customFormat="1" x14ac:dyDescent="0.2"/>
    <row r="6830" customFormat="1" x14ac:dyDescent="0.2"/>
    <row r="6831" customFormat="1" x14ac:dyDescent="0.2"/>
    <row r="6832" customFormat="1" x14ac:dyDescent="0.2"/>
    <row r="6833" customFormat="1" x14ac:dyDescent="0.2"/>
    <row r="6834" customFormat="1" x14ac:dyDescent="0.2"/>
    <row r="6835" customFormat="1" x14ac:dyDescent="0.2"/>
    <row r="6836" customFormat="1" x14ac:dyDescent="0.2"/>
    <row r="6837" customFormat="1" x14ac:dyDescent="0.2"/>
    <row r="6838" customFormat="1" x14ac:dyDescent="0.2"/>
    <row r="6839" customFormat="1" x14ac:dyDescent="0.2"/>
    <row r="6840" customFormat="1" x14ac:dyDescent="0.2"/>
    <row r="6841" customFormat="1" x14ac:dyDescent="0.2"/>
    <row r="6842" customFormat="1" x14ac:dyDescent="0.2"/>
    <row r="6843" customFormat="1" x14ac:dyDescent="0.2"/>
    <row r="6844" customFormat="1" x14ac:dyDescent="0.2"/>
    <row r="6845" customFormat="1" x14ac:dyDescent="0.2"/>
    <row r="6846" customFormat="1" x14ac:dyDescent="0.2"/>
    <row r="6847" customFormat="1" x14ac:dyDescent="0.2"/>
    <row r="6848" customFormat="1" x14ac:dyDescent="0.2"/>
    <row r="6849" customFormat="1" x14ac:dyDescent="0.2"/>
    <row r="6850" customFormat="1" x14ac:dyDescent="0.2"/>
    <row r="6851" customFormat="1" x14ac:dyDescent="0.2"/>
    <row r="6852" customFormat="1" x14ac:dyDescent="0.2"/>
    <row r="6853" customFormat="1" x14ac:dyDescent="0.2"/>
    <row r="6854" customFormat="1" x14ac:dyDescent="0.2"/>
    <row r="6855" customFormat="1" x14ac:dyDescent="0.2"/>
    <row r="6856" customFormat="1" x14ac:dyDescent="0.2"/>
    <row r="6857" customFormat="1" x14ac:dyDescent="0.2"/>
    <row r="6858" customFormat="1" x14ac:dyDescent="0.2"/>
    <row r="6859" customFormat="1" x14ac:dyDescent="0.2"/>
    <row r="6860" customFormat="1" x14ac:dyDescent="0.2"/>
    <row r="6861" customFormat="1" x14ac:dyDescent="0.2"/>
    <row r="6862" customFormat="1" x14ac:dyDescent="0.2"/>
    <row r="6863" customFormat="1" x14ac:dyDescent="0.2"/>
    <row r="6864" customFormat="1" x14ac:dyDescent="0.2"/>
    <row r="6865" customFormat="1" x14ac:dyDescent="0.2"/>
    <row r="6866" customFormat="1" x14ac:dyDescent="0.2"/>
    <row r="6867" customFormat="1" x14ac:dyDescent="0.2"/>
    <row r="6868" customFormat="1" x14ac:dyDescent="0.2"/>
    <row r="6869" customFormat="1" x14ac:dyDescent="0.2"/>
    <row r="6870" customFormat="1" x14ac:dyDescent="0.2"/>
    <row r="6871" customFormat="1" x14ac:dyDescent="0.2"/>
    <row r="6872" customFormat="1" x14ac:dyDescent="0.2"/>
    <row r="6873" customFormat="1" x14ac:dyDescent="0.2"/>
    <row r="6874" customFormat="1" x14ac:dyDescent="0.2"/>
    <row r="6875" customFormat="1" x14ac:dyDescent="0.2"/>
    <row r="6876" customFormat="1" x14ac:dyDescent="0.2"/>
    <row r="6877" customFormat="1" x14ac:dyDescent="0.2"/>
    <row r="6878" customFormat="1" x14ac:dyDescent="0.2"/>
    <row r="6879" customFormat="1" x14ac:dyDescent="0.2"/>
    <row r="6880" customFormat="1" x14ac:dyDescent="0.2"/>
    <row r="6881" customFormat="1" x14ac:dyDescent="0.2"/>
    <row r="6882" customFormat="1" x14ac:dyDescent="0.2"/>
    <row r="6883" customFormat="1" x14ac:dyDescent="0.2"/>
    <row r="6884" customFormat="1" x14ac:dyDescent="0.2"/>
    <row r="6885" customFormat="1" x14ac:dyDescent="0.2"/>
    <row r="6886" customFormat="1" x14ac:dyDescent="0.2"/>
    <row r="6887" customFormat="1" x14ac:dyDescent="0.2"/>
    <row r="6888" customFormat="1" x14ac:dyDescent="0.2"/>
    <row r="6889" customFormat="1" x14ac:dyDescent="0.2"/>
    <row r="6890" customFormat="1" x14ac:dyDescent="0.2"/>
    <row r="6891" customFormat="1" x14ac:dyDescent="0.2"/>
    <row r="6892" customFormat="1" x14ac:dyDescent="0.2"/>
    <row r="6893" customFormat="1" x14ac:dyDescent="0.2"/>
    <row r="6894" customFormat="1" x14ac:dyDescent="0.2"/>
    <row r="6895" customFormat="1" x14ac:dyDescent="0.2"/>
    <row r="6896" customFormat="1" x14ac:dyDescent="0.2"/>
    <row r="6897" customFormat="1" x14ac:dyDescent="0.2"/>
    <row r="6898" customFormat="1" x14ac:dyDescent="0.2"/>
    <row r="6899" customFormat="1" x14ac:dyDescent="0.2"/>
    <row r="6900" customFormat="1" x14ac:dyDescent="0.2"/>
    <row r="6901" customFormat="1" x14ac:dyDescent="0.2"/>
    <row r="6902" customFormat="1" x14ac:dyDescent="0.2"/>
    <row r="6903" customFormat="1" x14ac:dyDescent="0.2"/>
    <row r="6904" customFormat="1" x14ac:dyDescent="0.2"/>
    <row r="6905" customFormat="1" x14ac:dyDescent="0.2"/>
    <row r="6906" customFormat="1" x14ac:dyDescent="0.2"/>
    <row r="6907" customFormat="1" x14ac:dyDescent="0.2"/>
    <row r="6908" customFormat="1" x14ac:dyDescent="0.2"/>
    <row r="6909" customFormat="1" x14ac:dyDescent="0.2"/>
    <row r="6910" customFormat="1" x14ac:dyDescent="0.2"/>
    <row r="6911" customFormat="1" x14ac:dyDescent="0.2"/>
    <row r="6912" customFormat="1" x14ac:dyDescent="0.2"/>
    <row r="6913" customFormat="1" x14ac:dyDescent="0.2"/>
    <row r="6914" customFormat="1" x14ac:dyDescent="0.2"/>
    <row r="6915" customFormat="1" x14ac:dyDescent="0.2"/>
    <row r="6916" customFormat="1" x14ac:dyDescent="0.2"/>
    <row r="6917" customFormat="1" x14ac:dyDescent="0.2"/>
    <row r="6918" customFormat="1" x14ac:dyDescent="0.2"/>
    <row r="6919" customFormat="1" x14ac:dyDescent="0.2"/>
    <row r="6920" customFormat="1" x14ac:dyDescent="0.2"/>
    <row r="6921" customFormat="1" x14ac:dyDescent="0.2"/>
    <row r="6922" customFormat="1" x14ac:dyDescent="0.2"/>
    <row r="6923" customFormat="1" x14ac:dyDescent="0.2"/>
    <row r="6924" customFormat="1" x14ac:dyDescent="0.2"/>
    <row r="6925" customFormat="1" x14ac:dyDescent="0.2"/>
    <row r="6926" customFormat="1" x14ac:dyDescent="0.2"/>
    <row r="6927" customFormat="1" x14ac:dyDescent="0.2"/>
    <row r="6928" customFormat="1" x14ac:dyDescent="0.2"/>
    <row r="6929" customFormat="1" x14ac:dyDescent="0.2"/>
    <row r="6930" customFormat="1" x14ac:dyDescent="0.2"/>
    <row r="6931" customFormat="1" x14ac:dyDescent="0.2"/>
    <row r="6932" customFormat="1" x14ac:dyDescent="0.2"/>
    <row r="6933" customFormat="1" x14ac:dyDescent="0.2"/>
    <row r="6934" customFormat="1" x14ac:dyDescent="0.2"/>
    <row r="6935" customFormat="1" x14ac:dyDescent="0.2"/>
    <row r="6936" customFormat="1" x14ac:dyDescent="0.2"/>
    <row r="6937" customFormat="1" x14ac:dyDescent="0.2"/>
    <row r="6938" customFormat="1" x14ac:dyDescent="0.2"/>
    <row r="6939" customFormat="1" x14ac:dyDescent="0.2"/>
    <row r="6940" customFormat="1" x14ac:dyDescent="0.2"/>
    <row r="6941" customFormat="1" x14ac:dyDescent="0.2"/>
    <row r="6942" customFormat="1" x14ac:dyDescent="0.2"/>
    <row r="6943" customFormat="1" x14ac:dyDescent="0.2"/>
    <row r="6944" customFormat="1" x14ac:dyDescent="0.2"/>
    <row r="6945" customFormat="1" x14ac:dyDescent="0.2"/>
    <row r="6946" customFormat="1" x14ac:dyDescent="0.2"/>
    <row r="6947" customFormat="1" x14ac:dyDescent="0.2"/>
    <row r="6948" customFormat="1" x14ac:dyDescent="0.2"/>
    <row r="6949" customFormat="1" x14ac:dyDescent="0.2"/>
    <row r="6950" customFormat="1" x14ac:dyDescent="0.2"/>
    <row r="6951" customFormat="1" x14ac:dyDescent="0.2"/>
    <row r="6952" customFormat="1" x14ac:dyDescent="0.2"/>
    <row r="6953" customFormat="1" x14ac:dyDescent="0.2"/>
    <row r="6954" customFormat="1" x14ac:dyDescent="0.2"/>
    <row r="6955" customFormat="1" x14ac:dyDescent="0.2"/>
    <row r="6956" customFormat="1" x14ac:dyDescent="0.2"/>
    <row r="6957" customFormat="1" x14ac:dyDescent="0.2"/>
    <row r="6958" customFormat="1" x14ac:dyDescent="0.2"/>
    <row r="6959" customFormat="1" x14ac:dyDescent="0.2"/>
    <row r="6960" customFormat="1" x14ac:dyDescent="0.2"/>
    <row r="6961" customFormat="1" x14ac:dyDescent="0.2"/>
    <row r="6962" customFormat="1" x14ac:dyDescent="0.2"/>
    <row r="6963" customFormat="1" x14ac:dyDescent="0.2"/>
    <row r="6964" customFormat="1" x14ac:dyDescent="0.2"/>
    <row r="6965" customFormat="1" x14ac:dyDescent="0.2"/>
    <row r="6966" customFormat="1" x14ac:dyDescent="0.2"/>
    <row r="6967" customFormat="1" x14ac:dyDescent="0.2"/>
    <row r="6968" customFormat="1" x14ac:dyDescent="0.2"/>
    <row r="6969" customFormat="1" x14ac:dyDescent="0.2"/>
    <row r="6970" customFormat="1" x14ac:dyDescent="0.2"/>
    <row r="6971" customFormat="1" x14ac:dyDescent="0.2"/>
    <row r="6972" customFormat="1" x14ac:dyDescent="0.2"/>
    <row r="6973" customFormat="1" x14ac:dyDescent="0.2"/>
    <row r="6974" customFormat="1" x14ac:dyDescent="0.2"/>
    <row r="6975" customFormat="1" x14ac:dyDescent="0.2"/>
    <row r="6976" customFormat="1" x14ac:dyDescent="0.2"/>
    <row r="6977" customFormat="1" x14ac:dyDescent="0.2"/>
    <row r="6978" customFormat="1" x14ac:dyDescent="0.2"/>
    <row r="6979" customFormat="1" x14ac:dyDescent="0.2"/>
    <row r="6980" customFormat="1" x14ac:dyDescent="0.2"/>
    <row r="6981" customFormat="1" x14ac:dyDescent="0.2"/>
    <row r="6982" customFormat="1" x14ac:dyDescent="0.2"/>
    <row r="6983" customFormat="1" x14ac:dyDescent="0.2"/>
    <row r="6984" customFormat="1" x14ac:dyDescent="0.2"/>
    <row r="6985" customFormat="1" x14ac:dyDescent="0.2"/>
    <row r="6986" customFormat="1" x14ac:dyDescent="0.2"/>
    <row r="6987" customFormat="1" x14ac:dyDescent="0.2"/>
    <row r="6988" customFormat="1" x14ac:dyDescent="0.2"/>
    <row r="6989" customFormat="1" x14ac:dyDescent="0.2"/>
    <row r="6990" customFormat="1" x14ac:dyDescent="0.2"/>
    <row r="6991" customFormat="1" x14ac:dyDescent="0.2"/>
    <row r="6992" customFormat="1" x14ac:dyDescent="0.2"/>
    <row r="6993" customFormat="1" x14ac:dyDescent="0.2"/>
    <row r="6994" customFormat="1" x14ac:dyDescent="0.2"/>
    <row r="6995" customFormat="1" x14ac:dyDescent="0.2"/>
    <row r="6996" customFormat="1" x14ac:dyDescent="0.2"/>
    <row r="6997" customFormat="1" x14ac:dyDescent="0.2"/>
    <row r="6998" customFormat="1" x14ac:dyDescent="0.2"/>
    <row r="6999" customFormat="1" x14ac:dyDescent="0.2"/>
    <row r="7000" customFormat="1" x14ac:dyDescent="0.2"/>
    <row r="7001" customFormat="1" x14ac:dyDescent="0.2"/>
    <row r="7002" customFormat="1" x14ac:dyDescent="0.2"/>
    <row r="7003" customFormat="1" x14ac:dyDescent="0.2"/>
    <row r="7004" customFormat="1" x14ac:dyDescent="0.2"/>
    <row r="7005" customFormat="1" x14ac:dyDescent="0.2"/>
    <row r="7006" customFormat="1" x14ac:dyDescent="0.2"/>
    <row r="7007" customFormat="1" x14ac:dyDescent="0.2"/>
    <row r="7008" customFormat="1" x14ac:dyDescent="0.2"/>
    <row r="7009" customFormat="1" x14ac:dyDescent="0.2"/>
    <row r="7010" customFormat="1" x14ac:dyDescent="0.2"/>
    <row r="7011" customFormat="1" x14ac:dyDescent="0.2"/>
    <row r="7012" customFormat="1" x14ac:dyDescent="0.2"/>
    <row r="7013" customFormat="1" x14ac:dyDescent="0.2"/>
    <row r="7014" customFormat="1" x14ac:dyDescent="0.2"/>
    <row r="7015" customFormat="1" x14ac:dyDescent="0.2"/>
    <row r="7016" customFormat="1" x14ac:dyDescent="0.2"/>
    <row r="7017" customFormat="1" x14ac:dyDescent="0.2"/>
    <row r="7018" customFormat="1" x14ac:dyDescent="0.2"/>
    <row r="7019" customFormat="1" x14ac:dyDescent="0.2"/>
    <row r="7020" customFormat="1" x14ac:dyDescent="0.2"/>
    <row r="7021" customFormat="1" x14ac:dyDescent="0.2"/>
    <row r="7022" customFormat="1" x14ac:dyDescent="0.2"/>
    <row r="7023" customFormat="1" x14ac:dyDescent="0.2"/>
    <row r="7024" customFormat="1" x14ac:dyDescent="0.2"/>
    <row r="7025" customFormat="1" x14ac:dyDescent="0.2"/>
    <row r="7026" customFormat="1" x14ac:dyDescent="0.2"/>
    <row r="7027" customFormat="1" x14ac:dyDescent="0.2"/>
    <row r="7028" customFormat="1" x14ac:dyDescent="0.2"/>
    <row r="7029" customFormat="1" x14ac:dyDescent="0.2"/>
    <row r="7030" customFormat="1" x14ac:dyDescent="0.2"/>
    <row r="7031" customFormat="1" x14ac:dyDescent="0.2"/>
    <row r="7032" customFormat="1" x14ac:dyDescent="0.2"/>
    <row r="7033" customFormat="1" x14ac:dyDescent="0.2"/>
    <row r="7034" customFormat="1" x14ac:dyDescent="0.2"/>
    <row r="7035" customFormat="1" x14ac:dyDescent="0.2"/>
    <row r="7036" customFormat="1" x14ac:dyDescent="0.2"/>
    <row r="7037" customFormat="1" x14ac:dyDescent="0.2"/>
    <row r="7038" customFormat="1" x14ac:dyDescent="0.2"/>
    <row r="7039" customFormat="1" x14ac:dyDescent="0.2"/>
    <row r="7040" customFormat="1" x14ac:dyDescent="0.2"/>
    <row r="7041" customFormat="1" x14ac:dyDescent="0.2"/>
    <row r="7042" customFormat="1" x14ac:dyDescent="0.2"/>
    <row r="7043" customFormat="1" x14ac:dyDescent="0.2"/>
    <row r="7044" customFormat="1" x14ac:dyDescent="0.2"/>
    <row r="7045" customFormat="1" x14ac:dyDescent="0.2"/>
    <row r="7046" customFormat="1" x14ac:dyDescent="0.2"/>
    <row r="7047" customFormat="1" x14ac:dyDescent="0.2"/>
    <row r="7048" customFormat="1" x14ac:dyDescent="0.2"/>
    <row r="7049" customFormat="1" x14ac:dyDescent="0.2"/>
    <row r="7050" customFormat="1" x14ac:dyDescent="0.2"/>
    <row r="7051" customFormat="1" x14ac:dyDescent="0.2"/>
    <row r="7052" customFormat="1" x14ac:dyDescent="0.2"/>
    <row r="7053" customFormat="1" x14ac:dyDescent="0.2"/>
    <row r="7054" customFormat="1" x14ac:dyDescent="0.2"/>
    <row r="7055" customFormat="1" x14ac:dyDescent="0.2"/>
    <row r="7056" customFormat="1" x14ac:dyDescent="0.2"/>
    <row r="7057" customFormat="1" x14ac:dyDescent="0.2"/>
    <row r="7058" customFormat="1" x14ac:dyDescent="0.2"/>
    <row r="7059" customFormat="1" x14ac:dyDescent="0.2"/>
    <row r="7060" customFormat="1" x14ac:dyDescent="0.2"/>
    <row r="7061" customFormat="1" x14ac:dyDescent="0.2"/>
    <row r="7062" customFormat="1" x14ac:dyDescent="0.2"/>
    <row r="7063" customFormat="1" x14ac:dyDescent="0.2"/>
    <row r="7064" customFormat="1" x14ac:dyDescent="0.2"/>
    <row r="7065" customFormat="1" x14ac:dyDescent="0.2"/>
    <row r="7066" customFormat="1" x14ac:dyDescent="0.2"/>
    <row r="7067" customFormat="1" x14ac:dyDescent="0.2"/>
    <row r="7068" customFormat="1" x14ac:dyDescent="0.2"/>
    <row r="7069" customFormat="1" x14ac:dyDescent="0.2"/>
    <row r="7070" customFormat="1" x14ac:dyDescent="0.2"/>
    <row r="7071" customFormat="1" x14ac:dyDescent="0.2"/>
    <row r="7072" customFormat="1" x14ac:dyDescent="0.2"/>
    <row r="7073" customFormat="1" x14ac:dyDescent="0.2"/>
    <row r="7074" customFormat="1" x14ac:dyDescent="0.2"/>
    <row r="7075" customFormat="1" x14ac:dyDescent="0.2"/>
    <row r="7076" customFormat="1" x14ac:dyDescent="0.2"/>
    <row r="7077" customFormat="1" x14ac:dyDescent="0.2"/>
    <row r="7078" customFormat="1" x14ac:dyDescent="0.2"/>
    <row r="7079" customFormat="1" x14ac:dyDescent="0.2"/>
    <row r="7080" customFormat="1" x14ac:dyDescent="0.2"/>
    <row r="7081" customFormat="1" x14ac:dyDescent="0.2"/>
    <row r="7082" customFormat="1" x14ac:dyDescent="0.2"/>
    <row r="7083" customFormat="1" x14ac:dyDescent="0.2"/>
    <row r="7084" customFormat="1" x14ac:dyDescent="0.2"/>
    <row r="7085" customFormat="1" x14ac:dyDescent="0.2"/>
    <row r="7086" customFormat="1" x14ac:dyDescent="0.2"/>
    <row r="7087" customFormat="1" x14ac:dyDescent="0.2"/>
    <row r="7088" customFormat="1" x14ac:dyDescent="0.2"/>
    <row r="7089" customFormat="1" x14ac:dyDescent="0.2"/>
    <row r="7090" customFormat="1" x14ac:dyDescent="0.2"/>
    <row r="7091" customFormat="1" x14ac:dyDescent="0.2"/>
    <row r="7092" customFormat="1" x14ac:dyDescent="0.2"/>
    <row r="7093" customFormat="1" x14ac:dyDescent="0.2"/>
    <row r="7094" customFormat="1" x14ac:dyDescent="0.2"/>
    <row r="7095" customFormat="1" x14ac:dyDescent="0.2"/>
    <row r="7096" customFormat="1" x14ac:dyDescent="0.2"/>
    <row r="7097" customFormat="1" x14ac:dyDescent="0.2"/>
    <row r="7098" customFormat="1" x14ac:dyDescent="0.2"/>
    <row r="7099" customFormat="1" x14ac:dyDescent="0.2"/>
    <row r="7100" customFormat="1" x14ac:dyDescent="0.2"/>
    <row r="7101" customFormat="1" x14ac:dyDescent="0.2"/>
    <row r="7102" customFormat="1" x14ac:dyDescent="0.2"/>
    <row r="7103" customFormat="1" x14ac:dyDescent="0.2"/>
    <row r="7104" customFormat="1" x14ac:dyDescent="0.2"/>
    <row r="7105" customFormat="1" x14ac:dyDescent="0.2"/>
    <row r="7106" customFormat="1" x14ac:dyDescent="0.2"/>
    <row r="7107" customFormat="1" x14ac:dyDescent="0.2"/>
    <row r="7108" customFormat="1" x14ac:dyDescent="0.2"/>
    <row r="7109" customFormat="1" x14ac:dyDescent="0.2"/>
    <row r="7110" customFormat="1" x14ac:dyDescent="0.2"/>
    <row r="7111" customFormat="1" x14ac:dyDescent="0.2"/>
    <row r="7112" customFormat="1" x14ac:dyDescent="0.2"/>
    <row r="7113" customFormat="1" x14ac:dyDescent="0.2"/>
    <row r="7114" customFormat="1" x14ac:dyDescent="0.2"/>
    <row r="7115" customFormat="1" x14ac:dyDescent="0.2"/>
    <row r="7116" customFormat="1" x14ac:dyDescent="0.2"/>
    <row r="7117" customFormat="1" x14ac:dyDescent="0.2"/>
    <row r="7118" customFormat="1" x14ac:dyDescent="0.2"/>
    <row r="7119" customFormat="1" x14ac:dyDescent="0.2"/>
    <row r="7120" customFormat="1" x14ac:dyDescent="0.2"/>
    <row r="7121" customFormat="1" x14ac:dyDescent="0.2"/>
    <row r="7122" customFormat="1" x14ac:dyDescent="0.2"/>
    <row r="7123" customFormat="1" x14ac:dyDescent="0.2"/>
    <row r="7124" customFormat="1" x14ac:dyDescent="0.2"/>
    <row r="7125" customFormat="1" x14ac:dyDescent="0.2"/>
    <row r="7126" customFormat="1" x14ac:dyDescent="0.2"/>
    <row r="7127" customFormat="1" x14ac:dyDescent="0.2"/>
    <row r="7128" customFormat="1" x14ac:dyDescent="0.2"/>
    <row r="7129" customFormat="1" x14ac:dyDescent="0.2"/>
    <row r="7130" customFormat="1" x14ac:dyDescent="0.2"/>
    <row r="7131" customFormat="1" x14ac:dyDescent="0.2"/>
    <row r="7132" customFormat="1" x14ac:dyDescent="0.2"/>
    <row r="7133" customFormat="1" x14ac:dyDescent="0.2"/>
    <row r="7134" customFormat="1" x14ac:dyDescent="0.2"/>
    <row r="7135" customFormat="1" x14ac:dyDescent="0.2"/>
    <row r="7136" customFormat="1" x14ac:dyDescent="0.2"/>
    <row r="7137" customFormat="1" x14ac:dyDescent="0.2"/>
    <row r="7138" customFormat="1" x14ac:dyDescent="0.2"/>
    <row r="7139" customFormat="1" x14ac:dyDescent="0.2"/>
    <row r="7140" customFormat="1" x14ac:dyDescent="0.2"/>
    <row r="7141" customFormat="1" x14ac:dyDescent="0.2"/>
    <row r="7142" customFormat="1" x14ac:dyDescent="0.2"/>
    <row r="7143" customFormat="1" x14ac:dyDescent="0.2"/>
    <row r="7144" customFormat="1" x14ac:dyDescent="0.2"/>
    <row r="7145" customFormat="1" x14ac:dyDescent="0.2"/>
    <row r="7146" customFormat="1" x14ac:dyDescent="0.2"/>
    <row r="7147" customFormat="1" x14ac:dyDescent="0.2"/>
    <row r="7148" customFormat="1" x14ac:dyDescent="0.2"/>
    <row r="7149" customFormat="1" x14ac:dyDescent="0.2"/>
    <row r="7150" customFormat="1" x14ac:dyDescent="0.2"/>
    <row r="7151" customFormat="1" x14ac:dyDescent="0.2"/>
    <row r="7152" customFormat="1" x14ac:dyDescent="0.2"/>
    <row r="7153" customFormat="1" x14ac:dyDescent="0.2"/>
    <row r="7154" customFormat="1" x14ac:dyDescent="0.2"/>
    <row r="7155" customFormat="1" x14ac:dyDescent="0.2"/>
    <row r="7156" customFormat="1" x14ac:dyDescent="0.2"/>
    <row r="7157" customFormat="1" x14ac:dyDescent="0.2"/>
    <row r="7158" customFormat="1" x14ac:dyDescent="0.2"/>
    <row r="7159" customFormat="1" x14ac:dyDescent="0.2"/>
    <row r="7160" customFormat="1" x14ac:dyDescent="0.2"/>
    <row r="7161" customFormat="1" x14ac:dyDescent="0.2"/>
    <row r="7162" customFormat="1" x14ac:dyDescent="0.2"/>
    <row r="7163" customFormat="1" x14ac:dyDescent="0.2"/>
    <row r="7164" customFormat="1" x14ac:dyDescent="0.2"/>
    <row r="7165" customFormat="1" x14ac:dyDescent="0.2"/>
    <row r="7166" customFormat="1" x14ac:dyDescent="0.2"/>
    <row r="7167" customFormat="1" x14ac:dyDescent="0.2"/>
    <row r="7168" customFormat="1" x14ac:dyDescent="0.2"/>
    <row r="7169" customFormat="1" x14ac:dyDescent="0.2"/>
    <row r="7170" customFormat="1" x14ac:dyDescent="0.2"/>
    <row r="7171" customFormat="1" x14ac:dyDescent="0.2"/>
    <row r="7172" customFormat="1" x14ac:dyDescent="0.2"/>
    <row r="7173" customFormat="1" x14ac:dyDescent="0.2"/>
    <row r="7174" customFormat="1" x14ac:dyDescent="0.2"/>
    <row r="7175" customFormat="1" x14ac:dyDescent="0.2"/>
    <row r="7176" customFormat="1" x14ac:dyDescent="0.2"/>
    <row r="7177" customFormat="1" x14ac:dyDescent="0.2"/>
    <row r="7178" customFormat="1" x14ac:dyDescent="0.2"/>
    <row r="7179" customFormat="1" x14ac:dyDescent="0.2"/>
    <row r="7180" customFormat="1" x14ac:dyDescent="0.2"/>
    <row r="7181" customFormat="1" x14ac:dyDescent="0.2"/>
    <row r="7182" customFormat="1" x14ac:dyDescent="0.2"/>
    <row r="7183" customFormat="1" x14ac:dyDescent="0.2"/>
    <row r="7184" customFormat="1" x14ac:dyDescent="0.2"/>
    <row r="7185" customFormat="1" x14ac:dyDescent="0.2"/>
    <row r="7186" customFormat="1" x14ac:dyDescent="0.2"/>
    <row r="7187" customFormat="1" x14ac:dyDescent="0.2"/>
    <row r="7188" customFormat="1" x14ac:dyDescent="0.2"/>
    <row r="7189" customFormat="1" x14ac:dyDescent="0.2"/>
    <row r="7190" customFormat="1" x14ac:dyDescent="0.2"/>
    <row r="7191" customFormat="1" x14ac:dyDescent="0.2"/>
    <row r="7192" customFormat="1" x14ac:dyDescent="0.2"/>
    <row r="7193" customFormat="1" x14ac:dyDescent="0.2"/>
    <row r="7194" customFormat="1" x14ac:dyDescent="0.2"/>
    <row r="7195" customFormat="1" x14ac:dyDescent="0.2"/>
    <row r="7196" customFormat="1" x14ac:dyDescent="0.2"/>
    <row r="7197" customFormat="1" x14ac:dyDescent="0.2"/>
    <row r="7198" customFormat="1" x14ac:dyDescent="0.2"/>
    <row r="7199" customFormat="1" x14ac:dyDescent="0.2"/>
    <row r="7200" customFormat="1" x14ac:dyDescent="0.2"/>
    <row r="7201" customFormat="1" x14ac:dyDescent="0.2"/>
    <row r="7202" customFormat="1" x14ac:dyDescent="0.2"/>
    <row r="7203" customFormat="1" x14ac:dyDescent="0.2"/>
    <row r="7204" customFormat="1" x14ac:dyDescent="0.2"/>
    <row r="7205" customFormat="1" x14ac:dyDescent="0.2"/>
    <row r="7206" customFormat="1" x14ac:dyDescent="0.2"/>
    <row r="7207" customFormat="1" x14ac:dyDescent="0.2"/>
    <row r="7208" customFormat="1" x14ac:dyDescent="0.2"/>
    <row r="7209" customFormat="1" x14ac:dyDescent="0.2"/>
    <row r="7210" customFormat="1" x14ac:dyDescent="0.2"/>
    <row r="7211" customFormat="1" x14ac:dyDescent="0.2"/>
    <row r="7212" customFormat="1" x14ac:dyDescent="0.2"/>
    <row r="7213" customFormat="1" x14ac:dyDescent="0.2"/>
    <row r="7214" customFormat="1" x14ac:dyDescent="0.2"/>
    <row r="7215" customFormat="1" x14ac:dyDescent="0.2"/>
    <row r="7216" customFormat="1" x14ac:dyDescent="0.2"/>
    <row r="7217" customFormat="1" x14ac:dyDescent="0.2"/>
    <row r="7218" customFormat="1" x14ac:dyDescent="0.2"/>
    <row r="7219" customFormat="1" x14ac:dyDescent="0.2"/>
    <row r="7220" customFormat="1" x14ac:dyDescent="0.2"/>
    <row r="7221" customFormat="1" x14ac:dyDescent="0.2"/>
    <row r="7222" customFormat="1" x14ac:dyDescent="0.2"/>
    <row r="7223" customFormat="1" x14ac:dyDescent="0.2"/>
    <row r="7224" customFormat="1" x14ac:dyDescent="0.2"/>
    <row r="7225" customFormat="1" x14ac:dyDescent="0.2"/>
    <row r="7226" customFormat="1" x14ac:dyDescent="0.2"/>
    <row r="7227" customFormat="1" x14ac:dyDescent="0.2"/>
    <row r="7228" customFormat="1" x14ac:dyDescent="0.2"/>
    <row r="7229" customFormat="1" x14ac:dyDescent="0.2"/>
    <row r="7230" customFormat="1" x14ac:dyDescent="0.2"/>
    <row r="7231" customFormat="1" x14ac:dyDescent="0.2"/>
    <row r="7232" customFormat="1" x14ac:dyDescent="0.2"/>
    <row r="7233" customFormat="1" x14ac:dyDescent="0.2"/>
    <row r="7234" customFormat="1" x14ac:dyDescent="0.2"/>
    <row r="7235" customFormat="1" x14ac:dyDescent="0.2"/>
    <row r="7236" customFormat="1" x14ac:dyDescent="0.2"/>
    <row r="7237" customFormat="1" x14ac:dyDescent="0.2"/>
    <row r="7238" customFormat="1" x14ac:dyDescent="0.2"/>
    <row r="7239" customFormat="1" x14ac:dyDescent="0.2"/>
    <row r="7240" customFormat="1" x14ac:dyDescent="0.2"/>
    <row r="7241" customFormat="1" x14ac:dyDescent="0.2"/>
    <row r="7242" customFormat="1" x14ac:dyDescent="0.2"/>
    <row r="7243" customFormat="1" x14ac:dyDescent="0.2"/>
    <row r="7244" customFormat="1" x14ac:dyDescent="0.2"/>
    <row r="7245" customFormat="1" x14ac:dyDescent="0.2"/>
    <row r="7246" customFormat="1" x14ac:dyDescent="0.2"/>
    <row r="7247" customFormat="1" x14ac:dyDescent="0.2"/>
    <row r="7248" customFormat="1" x14ac:dyDescent="0.2"/>
    <row r="7249" customFormat="1" x14ac:dyDescent="0.2"/>
    <row r="7250" customFormat="1" x14ac:dyDescent="0.2"/>
    <row r="7251" customFormat="1" x14ac:dyDescent="0.2"/>
    <row r="7252" customFormat="1" x14ac:dyDescent="0.2"/>
    <row r="7253" customFormat="1" x14ac:dyDescent="0.2"/>
    <row r="7254" customFormat="1" x14ac:dyDescent="0.2"/>
    <row r="7255" customFormat="1" x14ac:dyDescent="0.2"/>
    <row r="7256" customFormat="1" x14ac:dyDescent="0.2"/>
    <row r="7257" customFormat="1" x14ac:dyDescent="0.2"/>
    <row r="7258" customFormat="1" x14ac:dyDescent="0.2"/>
    <row r="7259" customFormat="1" x14ac:dyDescent="0.2"/>
    <row r="7260" customFormat="1" x14ac:dyDescent="0.2"/>
    <row r="7261" customFormat="1" x14ac:dyDescent="0.2"/>
    <row r="7262" customFormat="1" x14ac:dyDescent="0.2"/>
    <row r="7263" customFormat="1" x14ac:dyDescent="0.2"/>
    <row r="7264" customFormat="1" x14ac:dyDescent="0.2"/>
    <row r="7265" customFormat="1" x14ac:dyDescent="0.2"/>
    <row r="7266" customFormat="1" x14ac:dyDescent="0.2"/>
    <row r="7267" customFormat="1" x14ac:dyDescent="0.2"/>
    <row r="7268" customFormat="1" x14ac:dyDescent="0.2"/>
    <row r="7269" customFormat="1" x14ac:dyDescent="0.2"/>
    <row r="7270" customFormat="1" x14ac:dyDescent="0.2"/>
    <row r="7271" customFormat="1" x14ac:dyDescent="0.2"/>
    <row r="7272" customFormat="1" x14ac:dyDescent="0.2"/>
    <row r="7273" customFormat="1" x14ac:dyDescent="0.2"/>
    <row r="7274" customFormat="1" x14ac:dyDescent="0.2"/>
    <row r="7275" customFormat="1" x14ac:dyDescent="0.2"/>
    <row r="7276" customFormat="1" x14ac:dyDescent="0.2"/>
    <row r="7277" customFormat="1" x14ac:dyDescent="0.2"/>
    <row r="7278" customFormat="1" x14ac:dyDescent="0.2"/>
    <row r="7279" customFormat="1" x14ac:dyDescent="0.2"/>
    <row r="7280" customFormat="1" x14ac:dyDescent="0.2"/>
    <row r="7281" customFormat="1" x14ac:dyDescent="0.2"/>
    <row r="7282" customFormat="1" x14ac:dyDescent="0.2"/>
    <row r="7283" customFormat="1" x14ac:dyDescent="0.2"/>
    <row r="7284" customFormat="1" x14ac:dyDescent="0.2"/>
    <row r="7285" customFormat="1" x14ac:dyDescent="0.2"/>
    <row r="7286" customFormat="1" x14ac:dyDescent="0.2"/>
    <row r="7287" customFormat="1" x14ac:dyDescent="0.2"/>
    <row r="7288" customFormat="1" x14ac:dyDescent="0.2"/>
    <row r="7289" customFormat="1" x14ac:dyDescent="0.2"/>
    <row r="7290" customFormat="1" x14ac:dyDescent="0.2"/>
    <row r="7291" customFormat="1" x14ac:dyDescent="0.2"/>
    <row r="7292" customFormat="1" x14ac:dyDescent="0.2"/>
    <row r="7293" customFormat="1" x14ac:dyDescent="0.2"/>
    <row r="7294" customFormat="1" x14ac:dyDescent="0.2"/>
    <row r="7295" customFormat="1" x14ac:dyDescent="0.2"/>
    <row r="7296" customFormat="1" x14ac:dyDescent="0.2"/>
    <row r="7297" customFormat="1" x14ac:dyDescent="0.2"/>
    <row r="7298" customFormat="1" x14ac:dyDescent="0.2"/>
    <row r="7299" customFormat="1" x14ac:dyDescent="0.2"/>
    <row r="7300" customFormat="1" x14ac:dyDescent="0.2"/>
    <row r="7301" customFormat="1" x14ac:dyDescent="0.2"/>
    <row r="7302" customFormat="1" x14ac:dyDescent="0.2"/>
    <row r="7303" customFormat="1" x14ac:dyDescent="0.2"/>
    <row r="7304" customFormat="1" x14ac:dyDescent="0.2"/>
    <row r="7305" customFormat="1" x14ac:dyDescent="0.2"/>
    <row r="7306" customFormat="1" x14ac:dyDescent="0.2"/>
    <row r="7307" customFormat="1" x14ac:dyDescent="0.2"/>
    <row r="7308" customFormat="1" x14ac:dyDescent="0.2"/>
    <row r="7309" customFormat="1" x14ac:dyDescent="0.2"/>
    <row r="7310" customFormat="1" x14ac:dyDescent="0.2"/>
    <row r="7311" customFormat="1" x14ac:dyDescent="0.2"/>
    <row r="7312" customFormat="1" x14ac:dyDescent="0.2"/>
    <row r="7313" customFormat="1" x14ac:dyDescent="0.2"/>
    <row r="7314" customFormat="1" x14ac:dyDescent="0.2"/>
    <row r="7315" customFormat="1" x14ac:dyDescent="0.2"/>
    <row r="7316" customFormat="1" x14ac:dyDescent="0.2"/>
    <row r="7317" customFormat="1" x14ac:dyDescent="0.2"/>
    <row r="7318" customFormat="1" x14ac:dyDescent="0.2"/>
    <row r="7319" customFormat="1" x14ac:dyDescent="0.2"/>
    <row r="7320" customFormat="1" x14ac:dyDescent="0.2"/>
    <row r="7321" customFormat="1" x14ac:dyDescent="0.2"/>
    <row r="7322" customFormat="1" x14ac:dyDescent="0.2"/>
    <row r="7323" customFormat="1" x14ac:dyDescent="0.2"/>
    <row r="7324" customFormat="1" x14ac:dyDescent="0.2"/>
    <row r="7325" customFormat="1" x14ac:dyDescent="0.2"/>
    <row r="7326" customFormat="1" x14ac:dyDescent="0.2"/>
    <row r="7327" customFormat="1" x14ac:dyDescent="0.2"/>
    <row r="7328" customFormat="1" x14ac:dyDescent="0.2"/>
    <row r="7329" customFormat="1" x14ac:dyDescent="0.2"/>
    <row r="7330" customFormat="1" x14ac:dyDescent="0.2"/>
    <row r="7331" customFormat="1" x14ac:dyDescent="0.2"/>
    <row r="7332" customFormat="1" x14ac:dyDescent="0.2"/>
    <row r="7333" customFormat="1" x14ac:dyDescent="0.2"/>
    <row r="7334" customFormat="1" x14ac:dyDescent="0.2"/>
    <row r="7335" customFormat="1" x14ac:dyDescent="0.2"/>
    <row r="7336" customFormat="1" x14ac:dyDescent="0.2"/>
    <row r="7337" customFormat="1" x14ac:dyDescent="0.2"/>
    <row r="7338" customFormat="1" x14ac:dyDescent="0.2"/>
    <row r="7339" customFormat="1" x14ac:dyDescent="0.2"/>
    <row r="7340" customFormat="1" x14ac:dyDescent="0.2"/>
    <row r="7341" customFormat="1" x14ac:dyDescent="0.2"/>
    <row r="7342" customFormat="1" x14ac:dyDescent="0.2"/>
    <row r="7343" customFormat="1" x14ac:dyDescent="0.2"/>
    <row r="7344" customFormat="1" x14ac:dyDescent="0.2"/>
    <row r="7345" customFormat="1" x14ac:dyDescent="0.2"/>
    <row r="7346" customFormat="1" x14ac:dyDescent="0.2"/>
    <row r="7347" customFormat="1" x14ac:dyDescent="0.2"/>
    <row r="7348" customFormat="1" x14ac:dyDescent="0.2"/>
    <row r="7349" customFormat="1" x14ac:dyDescent="0.2"/>
    <row r="7350" customFormat="1" x14ac:dyDescent="0.2"/>
    <row r="7351" customFormat="1" x14ac:dyDescent="0.2"/>
    <row r="7352" customFormat="1" x14ac:dyDescent="0.2"/>
    <row r="7353" customFormat="1" x14ac:dyDescent="0.2"/>
    <row r="7354" customFormat="1" x14ac:dyDescent="0.2"/>
    <row r="7355" customFormat="1" x14ac:dyDescent="0.2"/>
    <row r="7356" customFormat="1" x14ac:dyDescent="0.2"/>
    <row r="7357" customFormat="1" x14ac:dyDescent="0.2"/>
    <row r="7358" customFormat="1" x14ac:dyDescent="0.2"/>
    <row r="7359" customFormat="1" x14ac:dyDescent="0.2"/>
    <row r="7360" customFormat="1" x14ac:dyDescent="0.2"/>
    <row r="7361" customFormat="1" x14ac:dyDescent="0.2"/>
    <row r="7362" customFormat="1" x14ac:dyDescent="0.2"/>
    <row r="7363" customFormat="1" x14ac:dyDescent="0.2"/>
    <row r="7364" customFormat="1" x14ac:dyDescent="0.2"/>
    <row r="7365" customFormat="1" x14ac:dyDescent="0.2"/>
    <row r="7366" customFormat="1" x14ac:dyDescent="0.2"/>
    <row r="7367" customFormat="1" x14ac:dyDescent="0.2"/>
    <row r="7368" customFormat="1" x14ac:dyDescent="0.2"/>
    <row r="7369" customFormat="1" x14ac:dyDescent="0.2"/>
    <row r="7370" customFormat="1" x14ac:dyDescent="0.2"/>
    <row r="7371" customFormat="1" x14ac:dyDescent="0.2"/>
    <row r="7372" customFormat="1" x14ac:dyDescent="0.2"/>
    <row r="7373" customFormat="1" x14ac:dyDescent="0.2"/>
    <row r="7374" customFormat="1" x14ac:dyDescent="0.2"/>
    <row r="7375" customFormat="1" x14ac:dyDescent="0.2"/>
    <row r="7376" customFormat="1" x14ac:dyDescent="0.2"/>
    <row r="7377" customFormat="1" x14ac:dyDescent="0.2"/>
    <row r="7378" customFormat="1" x14ac:dyDescent="0.2"/>
    <row r="7379" customFormat="1" x14ac:dyDescent="0.2"/>
    <row r="7380" customFormat="1" x14ac:dyDescent="0.2"/>
    <row r="7381" customFormat="1" x14ac:dyDescent="0.2"/>
    <row r="7382" customFormat="1" x14ac:dyDescent="0.2"/>
    <row r="7383" customFormat="1" x14ac:dyDescent="0.2"/>
    <row r="7384" customFormat="1" x14ac:dyDescent="0.2"/>
    <row r="7385" customFormat="1" x14ac:dyDescent="0.2"/>
    <row r="7386" customFormat="1" x14ac:dyDescent="0.2"/>
    <row r="7387" customFormat="1" x14ac:dyDescent="0.2"/>
    <row r="7388" customFormat="1" x14ac:dyDescent="0.2"/>
    <row r="7389" customFormat="1" x14ac:dyDescent="0.2"/>
    <row r="7390" customFormat="1" x14ac:dyDescent="0.2"/>
    <row r="7391" customFormat="1" x14ac:dyDescent="0.2"/>
    <row r="7392" customFormat="1" x14ac:dyDescent="0.2"/>
    <row r="7393" customFormat="1" x14ac:dyDescent="0.2"/>
    <row r="7394" customFormat="1" x14ac:dyDescent="0.2"/>
    <row r="7395" customFormat="1" x14ac:dyDescent="0.2"/>
    <row r="7396" customFormat="1" x14ac:dyDescent="0.2"/>
    <row r="7397" customFormat="1" x14ac:dyDescent="0.2"/>
    <row r="7398" customFormat="1" x14ac:dyDescent="0.2"/>
    <row r="7399" customFormat="1" x14ac:dyDescent="0.2"/>
    <row r="7400" customFormat="1" x14ac:dyDescent="0.2"/>
    <row r="7401" customFormat="1" x14ac:dyDescent="0.2"/>
    <row r="7402" customFormat="1" x14ac:dyDescent="0.2"/>
    <row r="7403" customFormat="1" x14ac:dyDescent="0.2"/>
    <row r="7404" customFormat="1" x14ac:dyDescent="0.2"/>
    <row r="7405" customFormat="1" x14ac:dyDescent="0.2"/>
    <row r="7406" customFormat="1" x14ac:dyDescent="0.2"/>
    <row r="7407" customFormat="1" x14ac:dyDescent="0.2"/>
    <row r="7408" customFormat="1" x14ac:dyDescent="0.2"/>
    <row r="7409" customFormat="1" x14ac:dyDescent="0.2"/>
    <row r="7410" customFormat="1" x14ac:dyDescent="0.2"/>
    <row r="7411" customFormat="1" x14ac:dyDescent="0.2"/>
    <row r="7412" customFormat="1" x14ac:dyDescent="0.2"/>
    <row r="7413" customFormat="1" x14ac:dyDescent="0.2"/>
    <row r="7414" customFormat="1" x14ac:dyDescent="0.2"/>
    <row r="7415" customFormat="1" x14ac:dyDescent="0.2"/>
    <row r="7416" customFormat="1" x14ac:dyDescent="0.2"/>
    <row r="7417" customFormat="1" x14ac:dyDescent="0.2"/>
    <row r="7418" customFormat="1" x14ac:dyDescent="0.2"/>
    <row r="7419" customFormat="1" x14ac:dyDescent="0.2"/>
    <row r="7420" customFormat="1" x14ac:dyDescent="0.2"/>
    <row r="7421" customFormat="1" x14ac:dyDescent="0.2"/>
    <row r="7422" customFormat="1" x14ac:dyDescent="0.2"/>
    <row r="7423" customFormat="1" x14ac:dyDescent="0.2"/>
    <row r="7424" customFormat="1" x14ac:dyDescent="0.2"/>
    <row r="7425" customFormat="1" x14ac:dyDescent="0.2"/>
    <row r="7426" customFormat="1" x14ac:dyDescent="0.2"/>
    <row r="7427" customFormat="1" x14ac:dyDescent="0.2"/>
    <row r="7428" customFormat="1" x14ac:dyDescent="0.2"/>
    <row r="7429" customFormat="1" x14ac:dyDescent="0.2"/>
    <row r="7430" customFormat="1" x14ac:dyDescent="0.2"/>
    <row r="7431" customFormat="1" x14ac:dyDescent="0.2"/>
    <row r="7432" customFormat="1" x14ac:dyDescent="0.2"/>
    <row r="7433" customFormat="1" x14ac:dyDescent="0.2"/>
    <row r="7434" customFormat="1" x14ac:dyDescent="0.2"/>
    <row r="7435" customFormat="1" x14ac:dyDescent="0.2"/>
    <row r="7436" customFormat="1" x14ac:dyDescent="0.2"/>
    <row r="7437" customFormat="1" x14ac:dyDescent="0.2"/>
    <row r="7438" customFormat="1" x14ac:dyDescent="0.2"/>
    <row r="7439" customFormat="1" x14ac:dyDescent="0.2"/>
    <row r="7440" customFormat="1" x14ac:dyDescent="0.2"/>
    <row r="7441" customFormat="1" x14ac:dyDescent="0.2"/>
    <row r="7442" customFormat="1" x14ac:dyDescent="0.2"/>
    <row r="7443" customFormat="1" x14ac:dyDescent="0.2"/>
    <row r="7444" customFormat="1" x14ac:dyDescent="0.2"/>
    <row r="7445" customFormat="1" x14ac:dyDescent="0.2"/>
    <row r="7446" customFormat="1" x14ac:dyDescent="0.2"/>
    <row r="7447" customFormat="1" x14ac:dyDescent="0.2"/>
    <row r="7448" customFormat="1" x14ac:dyDescent="0.2"/>
    <row r="7449" customFormat="1" x14ac:dyDescent="0.2"/>
    <row r="7450" customFormat="1" x14ac:dyDescent="0.2"/>
    <row r="7451" customFormat="1" x14ac:dyDescent="0.2"/>
    <row r="7452" customFormat="1" x14ac:dyDescent="0.2"/>
    <row r="7453" customFormat="1" x14ac:dyDescent="0.2"/>
    <row r="7454" customFormat="1" x14ac:dyDescent="0.2"/>
    <row r="7455" customFormat="1" x14ac:dyDescent="0.2"/>
    <row r="7456" customFormat="1" x14ac:dyDescent="0.2"/>
    <row r="7457" customFormat="1" x14ac:dyDescent="0.2"/>
    <row r="7458" customFormat="1" x14ac:dyDescent="0.2"/>
    <row r="7459" customFormat="1" x14ac:dyDescent="0.2"/>
    <row r="7460" customFormat="1" x14ac:dyDescent="0.2"/>
    <row r="7461" customFormat="1" x14ac:dyDescent="0.2"/>
    <row r="7462" customFormat="1" x14ac:dyDescent="0.2"/>
    <row r="7463" customFormat="1" x14ac:dyDescent="0.2"/>
    <row r="7464" customFormat="1" x14ac:dyDescent="0.2"/>
    <row r="7465" customFormat="1" x14ac:dyDescent="0.2"/>
    <row r="7466" customFormat="1" x14ac:dyDescent="0.2"/>
    <row r="7467" customFormat="1" x14ac:dyDescent="0.2"/>
    <row r="7468" customFormat="1" x14ac:dyDescent="0.2"/>
    <row r="7469" customFormat="1" x14ac:dyDescent="0.2"/>
    <row r="7470" customFormat="1" x14ac:dyDescent="0.2"/>
    <row r="7471" customFormat="1" x14ac:dyDescent="0.2"/>
    <row r="7472" customFormat="1" x14ac:dyDescent="0.2"/>
    <row r="7473" customFormat="1" x14ac:dyDescent="0.2"/>
    <row r="7474" customFormat="1" x14ac:dyDescent="0.2"/>
    <row r="7475" customFormat="1" x14ac:dyDescent="0.2"/>
    <row r="7476" customFormat="1" x14ac:dyDescent="0.2"/>
    <row r="7477" customFormat="1" x14ac:dyDescent="0.2"/>
    <row r="7478" customFormat="1" x14ac:dyDescent="0.2"/>
    <row r="7479" customFormat="1" x14ac:dyDescent="0.2"/>
    <row r="7480" customFormat="1" x14ac:dyDescent="0.2"/>
    <row r="7481" customFormat="1" x14ac:dyDescent="0.2"/>
    <row r="7482" customFormat="1" x14ac:dyDescent="0.2"/>
    <row r="7483" customFormat="1" x14ac:dyDescent="0.2"/>
    <row r="7484" customFormat="1" x14ac:dyDescent="0.2"/>
    <row r="7485" customFormat="1" x14ac:dyDescent="0.2"/>
    <row r="7486" customFormat="1" x14ac:dyDescent="0.2"/>
    <row r="7487" customFormat="1" x14ac:dyDescent="0.2"/>
    <row r="7488" customFormat="1" x14ac:dyDescent="0.2"/>
    <row r="7489" customFormat="1" x14ac:dyDescent="0.2"/>
    <row r="7490" customFormat="1" x14ac:dyDescent="0.2"/>
    <row r="7491" customFormat="1" x14ac:dyDescent="0.2"/>
    <row r="7492" customFormat="1" x14ac:dyDescent="0.2"/>
    <row r="7493" customFormat="1" x14ac:dyDescent="0.2"/>
    <row r="7494" customFormat="1" x14ac:dyDescent="0.2"/>
    <row r="7495" customFormat="1" x14ac:dyDescent="0.2"/>
    <row r="7496" customFormat="1" x14ac:dyDescent="0.2"/>
    <row r="7497" customFormat="1" x14ac:dyDescent="0.2"/>
    <row r="7498" customFormat="1" x14ac:dyDescent="0.2"/>
    <row r="7499" customFormat="1" x14ac:dyDescent="0.2"/>
    <row r="7500" customFormat="1" x14ac:dyDescent="0.2"/>
    <row r="7501" customFormat="1" x14ac:dyDescent="0.2"/>
    <row r="7502" customFormat="1" x14ac:dyDescent="0.2"/>
    <row r="7503" customFormat="1" x14ac:dyDescent="0.2"/>
    <row r="7504" customFormat="1" x14ac:dyDescent="0.2"/>
    <row r="7505" customFormat="1" x14ac:dyDescent="0.2"/>
    <row r="7506" customFormat="1" x14ac:dyDescent="0.2"/>
    <row r="7507" customFormat="1" x14ac:dyDescent="0.2"/>
    <row r="7508" customFormat="1" x14ac:dyDescent="0.2"/>
    <row r="7509" customFormat="1" x14ac:dyDescent="0.2"/>
    <row r="7510" customFormat="1" x14ac:dyDescent="0.2"/>
    <row r="7511" customFormat="1" x14ac:dyDescent="0.2"/>
    <row r="7512" customFormat="1" x14ac:dyDescent="0.2"/>
    <row r="7513" customFormat="1" x14ac:dyDescent="0.2"/>
    <row r="7514" customFormat="1" x14ac:dyDescent="0.2"/>
    <row r="7515" customFormat="1" x14ac:dyDescent="0.2"/>
    <row r="7516" customFormat="1" x14ac:dyDescent="0.2"/>
    <row r="7517" customFormat="1" x14ac:dyDescent="0.2"/>
    <row r="7518" customFormat="1" x14ac:dyDescent="0.2"/>
    <row r="7519" customFormat="1" x14ac:dyDescent="0.2"/>
    <row r="7520" customFormat="1" x14ac:dyDescent="0.2"/>
    <row r="7521" customFormat="1" x14ac:dyDescent="0.2"/>
    <row r="7522" customFormat="1" x14ac:dyDescent="0.2"/>
    <row r="7523" customFormat="1" x14ac:dyDescent="0.2"/>
    <row r="7524" customFormat="1" x14ac:dyDescent="0.2"/>
    <row r="7525" customFormat="1" x14ac:dyDescent="0.2"/>
    <row r="7526" customFormat="1" x14ac:dyDescent="0.2"/>
    <row r="7527" customFormat="1" x14ac:dyDescent="0.2"/>
    <row r="7528" customFormat="1" x14ac:dyDescent="0.2"/>
    <row r="7529" customFormat="1" x14ac:dyDescent="0.2"/>
    <row r="7530" customFormat="1" x14ac:dyDescent="0.2"/>
    <row r="7531" customFormat="1" x14ac:dyDescent="0.2"/>
    <row r="7532" customFormat="1" x14ac:dyDescent="0.2"/>
    <row r="7533" customFormat="1" x14ac:dyDescent="0.2"/>
    <row r="7534" customFormat="1" x14ac:dyDescent="0.2"/>
    <row r="7535" customFormat="1" x14ac:dyDescent="0.2"/>
    <row r="7536" customFormat="1" x14ac:dyDescent="0.2"/>
    <row r="7537" customFormat="1" x14ac:dyDescent="0.2"/>
    <row r="7538" customFormat="1" x14ac:dyDescent="0.2"/>
    <row r="7539" customFormat="1" x14ac:dyDescent="0.2"/>
    <row r="7540" customFormat="1" x14ac:dyDescent="0.2"/>
    <row r="7541" customFormat="1" x14ac:dyDescent="0.2"/>
    <row r="7542" customFormat="1" x14ac:dyDescent="0.2"/>
    <row r="7543" customFormat="1" x14ac:dyDescent="0.2"/>
    <row r="7544" customFormat="1" x14ac:dyDescent="0.2"/>
    <row r="7545" customFormat="1" x14ac:dyDescent="0.2"/>
    <row r="7546" customFormat="1" x14ac:dyDescent="0.2"/>
    <row r="7547" customFormat="1" x14ac:dyDescent="0.2"/>
    <row r="7548" customFormat="1" x14ac:dyDescent="0.2"/>
    <row r="7549" customFormat="1" x14ac:dyDescent="0.2"/>
    <row r="7550" customFormat="1" x14ac:dyDescent="0.2"/>
    <row r="7551" customFormat="1" x14ac:dyDescent="0.2"/>
    <row r="7552" customFormat="1" x14ac:dyDescent="0.2"/>
    <row r="7553" customFormat="1" x14ac:dyDescent="0.2"/>
    <row r="7554" customFormat="1" x14ac:dyDescent="0.2"/>
    <row r="7555" customFormat="1" x14ac:dyDescent="0.2"/>
    <row r="7556" customFormat="1" x14ac:dyDescent="0.2"/>
    <row r="7557" customFormat="1" x14ac:dyDescent="0.2"/>
    <row r="7558" customFormat="1" x14ac:dyDescent="0.2"/>
    <row r="7559" customFormat="1" x14ac:dyDescent="0.2"/>
    <row r="7560" customFormat="1" x14ac:dyDescent="0.2"/>
    <row r="7561" customFormat="1" x14ac:dyDescent="0.2"/>
    <row r="7562" customFormat="1" x14ac:dyDescent="0.2"/>
    <row r="7563" customFormat="1" x14ac:dyDescent="0.2"/>
    <row r="7564" customFormat="1" x14ac:dyDescent="0.2"/>
    <row r="7565" customFormat="1" x14ac:dyDescent="0.2"/>
    <row r="7566" customFormat="1" x14ac:dyDescent="0.2"/>
    <row r="7567" customFormat="1" x14ac:dyDescent="0.2"/>
    <row r="7568" customFormat="1" x14ac:dyDescent="0.2"/>
    <row r="7569" customFormat="1" x14ac:dyDescent="0.2"/>
    <row r="7570" customFormat="1" x14ac:dyDescent="0.2"/>
    <row r="7571" customFormat="1" x14ac:dyDescent="0.2"/>
    <row r="7572" customFormat="1" x14ac:dyDescent="0.2"/>
    <row r="7573" customFormat="1" x14ac:dyDescent="0.2"/>
    <row r="7574" customFormat="1" x14ac:dyDescent="0.2"/>
    <row r="7575" customFormat="1" x14ac:dyDescent="0.2"/>
    <row r="7576" customFormat="1" x14ac:dyDescent="0.2"/>
    <row r="7577" customFormat="1" x14ac:dyDescent="0.2"/>
    <row r="7578" customFormat="1" x14ac:dyDescent="0.2"/>
    <row r="7579" customFormat="1" x14ac:dyDescent="0.2"/>
    <row r="7580" customFormat="1" x14ac:dyDescent="0.2"/>
    <row r="7581" customFormat="1" x14ac:dyDescent="0.2"/>
    <row r="7582" customFormat="1" x14ac:dyDescent="0.2"/>
    <row r="7583" customFormat="1" x14ac:dyDescent="0.2"/>
    <row r="7584" customFormat="1" x14ac:dyDescent="0.2"/>
    <row r="7585" customFormat="1" x14ac:dyDescent="0.2"/>
    <row r="7586" customFormat="1" x14ac:dyDescent="0.2"/>
    <row r="7587" customFormat="1" x14ac:dyDescent="0.2"/>
    <row r="7588" customFormat="1" x14ac:dyDescent="0.2"/>
    <row r="7589" customFormat="1" x14ac:dyDescent="0.2"/>
    <row r="7590" customFormat="1" x14ac:dyDescent="0.2"/>
    <row r="7591" customFormat="1" x14ac:dyDescent="0.2"/>
    <row r="7592" customFormat="1" x14ac:dyDescent="0.2"/>
    <row r="7593" customFormat="1" x14ac:dyDescent="0.2"/>
    <row r="7594" customFormat="1" x14ac:dyDescent="0.2"/>
    <row r="7595" customFormat="1" x14ac:dyDescent="0.2"/>
    <row r="7596" customFormat="1" x14ac:dyDescent="0.2"/>
    <row r="7597" customFormat="1" x14ac:dyDescent="0.2"/>
    <row r="7598" customFormat="1" x14ac:dyDescent="0.2"/>
    <row r="7599" customFormat="1" x14ac:dyDescent="0.2"/>
    <row r="7600" customFormat="1" x14ac:dyDescent="0.2"/>
    <row r="7601" customFormat="1" x14ac:dyDescent="0.2"/>
    <row r="7602" customFormat="1" x14ac:dyDescent="0.2"/>
    <row r="7603" customFormat="1" x14ac:dyDescent="0.2"/>
    <row r="7604" customFormat="1" x14ac:dyDescent="0.2"/>
    <row r="7605" customFormat="1" x14ac:dyDescent="0.2"/>
    <row r="7606" customFormat="1" x14ac:dyDescent="0.2"/>
    <row r="7607" customFormat="1" x14ac:dyDescent="0.2"/>
    <row r="7608" customFormat="1" x14ac:dyDescent="0.2"/>
    <row r="7609" customFormat="1" x14ac:dyDescent="0.2"/>
    <row r="7610" customFormat="1" x14ac:dyDescent="0.2"/>
    <row r="7611" customFormat="1" x14ac:dyDescent="0.2"/>
    <row r="7612" customFormat="1" x14ac:dyDescent="0.2"/>
    <row r="7613" customFormat="1" x14ac:dyDescent="0.2"/>
    <row r="7614" customFormat="1" x14ac:dyDescent="0.2"/>
    <row r="7615" customFormat="1" x14ac:dyDescent="0.2"/>
    <row r="7616" customFormat="1" x14ac:dyDescent="0.2"/>
    <row r="7617" customFormat="1" x14ac:dyDescent="0.2"/>
    <row r="7618" customFormat="1" x14ac:dyDescent="0.2"/>
    <row r="7619" customFormat="1" x14ac:dyDescent="0.2"/>
    <row r="7620" customFormat="1" x14ac:dyDescent="0.2"/>
    <row r="7621" customFormat="1" x14ac:dyDescent="0.2"/>
    <row r="7622" customFormat="1" x14ac:dyDescent="0.2"/>
    <row r="7623" customFormat="1" x14ac:dyDescent="0.2"/>
    <row r="7624" customFormat="1" x14ac:dyDescent="0.2"/>
    <row r="7625" customFormat="1" x14ac:dyDescent="0.2"/>
    <row r="7626" customFormat="1" x14ac:dyDescent="0.2"/>
    <row r="7627" customFormat="1" x14ac:dyDescent="0.2"/>
    <row r="7628" customFormat="1" x14ac:dyDescent="0.2"/>
    <row r="7629" customFormat="1" x14ac:dyDescent="0.2"/>
    <row r="7630" customFormat="1" x14ac:dyDescent="0.2"/>
    <row r="7631" customFormat="1" x14ac:dyDescent="0.2"/>
    <row r="7632" customFormat="1" x14ac:dyDescent="0.2"/>
    <row r="7633" customFormat="1" x14ac:dyDescent="0.2"/>
    <row r="7634" customFormat="1" x14ac:dyDescent="0.2"/>
    <row r="7635" customFormat="1" x14ac:dyDescent="0.2"/>
    <row r="7636" customFormat="1" x14ac:dyDescent="0.2"/>
    <row r="7637" customFormat="1" x14ac:dyDescent="0.2"/>
    <row r="7638" customFormat="1" x14ac:dyDescent="0.2"/>
    <row r="7639" customFormat="1" x14ac:dyDescent="0.2"/>
    <row r="7640" customFormat="1" x14ac:dyDescent="0.2"/>
    <row r="7641" customFormat="1" x14ac:dyDescent="0.2"/>
    <row r="7642" customFormat="1" x14ac:dyDescent="0.2"/>
    <row r="7643" customFormat="1" x14ac:dyDescent="0.2"/>
    <row r="7644" customFormat="1" x14ac:dyDescent="0.2"/>
    <row r="7645" customFormat="1" x14ac:dyDescent="0.2"/>
    <row r="7646" customFormat="1" x14ac:dyDescent="0.2"/>
    <row r="7647" customFormat="1" x14ac:dyDescent="0.2"/>
    <row r="7648" customFormat="1" x14ac:dyDescent="0.2"/>
    <row r="7649" customFormat="1" x14ac:dyDescent="0.2"/>
    <row r="7650" customFormat="1" x14ac:dyDescent="0.2"/>
    <row r="7651" customFormat="1" x14ac:dyDescent="0.2"/>
    <row r="7652" customFormat="1" x14ac:dyDescent="0.2"/>
    <row r="7653" customFormat="1" x14ac:dyDescent="0.2"/>
    <row r="7654" customFormat="1" x14ac:dyDescent="0.2"/>
    <row r="7655" customFormat="1" x14ac:dyDescent="0.2"/>
    <row r="7656" customFormat="1" x14ac:dyDescent="0.2"/>
    <row r="7657" customFormat="1" x14ac:dyDescent="0.2"/>
    <row r="7658" customFormat="1" x14ac:dyDescent="0.2"/>
    <row r="7659" customFormat="1" x14ac:dyDescent="0.2"/>
    <row r="7660" customFormat="1" x14ac:dyDescent="0.2"/>
    <row r="7661" customFormat="1" x14ac:dyDescent="0.2"/>
    <row r="7662" customFormat="1" x14ac:dyDescent="0.2"/>
    <row r="7663" customFormat="1" x14ac:dyDescent="0.2"/>
    <row r="7664" customFormat="1" x14ac:dyDescent="0.2"/>
    <row r="7665" customFormat="1" x14ac:dyDescent="0.2"/>
    <row r="7666" customFormat="1" x14ac:dyDescent="0.2"/>
    <row r="7667" customFormat="1" x14ac:dyDescent="0.2"/>
    <row r="7668" customFormat="1" x14ac:dyDescent="0.2"/>
    <row r="7669" customFormat="1" x14ac:dyDescent="0.2"/>
    <row r="7670" customFormat="1" x14ac:dyDescent="0.2"/>
    <row r="7671" customFormat="1" x14ac:dyDescent="0.2"/>
    <row r="7672" customFormat="1" x14ac:dyDescent="0.2"/>
    <row r="7673" customFormat="1" x14ac:dyDescent="0.2"/>
    <row r="7674" customFormat="1" x14ac:dyDescent="0.2"/>
    <row r="7675" customFormat="1" x14ac:dyDescent="0.2"/>
    <row r="7676" customFormat="1" x14ac:dyDescent="0.2"/>
    <row r="7677" customFormat="1" x14ac:dyDescent="0.2"/>
    <row r="7678" customFormat="1" x14ac:dyDescent="0.2"/>
    <row r="7679" customFormat="1" x14ac:dyDescent="0.2"/>
    <row r="7680" customFormat="1" x14ac:dyDescent="0.2"/>
    <row r="7681" customFormat="1" x14ac:dyDescent="0.2"/>
    <row r="7682" customFormat="1" x14ac:dyDescent="0.2"/>
    <row r="7683" customFormat="1" x14ac:dyDescent="0.2"/>
    <row r="7684" customFormat="1" x14ac:dyDescent="0.2"/>
    <row r="7685" customFormat="1" x14ac:dyDescent="0.2"/>
    <row r="7686" customFormat="1" x14ac:dyDescent="0.2"/>
    <row r="7687" customFormat="1" x14ac:dyDescent="0.2"/>
    <row r="7688" customFormat="1" x14ac:dyDescent="0.2"/>
    <row r="7689" customFormat="1" x14ac:dyDescent="0.2"/>
    <row r="7690" customFormat="1" x14ac:dyDescent="0.2"/>
    <row r="7691" customFormat="1" x14ac:dyDescent="0.2"/>
    <row r="7692" customFormat="1" x14ac:dyDescent="0.2"/>
    <row r="7693" customFormat="1" x14ac:dyDescent="0.2"/>
    <row r="7694" customFormat="1" x14ac:dyDescent="0.2"/>
    <row r="7695" customFormat="1" x14ac:dyDescent="0.2"/>
    <row r="7696" customFormat="1" x14ac:dyDescent="0.2"/>
    <row r="7697" customFormat="1" x14ac:dyDescent="0.2"/>
    <row r="7698" customFormat="1" x14ac:dyDescent="0.2"/>
    <row r="7699" customFormat="1" x14ac:dyDescent="0.2"/>
    <row r="7700" customFormat="1" x14ac:dyDescent="0.2"/>
    <row r="7701" customFormat="1" x14ac:dyDescent="0.2"/>
    <row r="7702" customFormat="1" x14ac:dyDescent="0.2"/>
    <row r="7703" customFormat="1" x14ac:dyDescent="0.2"/>
    <row r="7704" customFormat="1" x14ac:dyDescent="0.2"/>
    <row r="7705" customFormat="1" x14ac:dyDescent="0.2"/>
    <row r="7706" customFormat="1" x14ac:dyDescent="0.2"/>
    <row r="7707" customFormat="1" x14ac:dyDescent="0.2"/>
    <row r="7708" customFormat="1" x14ac:dyDescent="0.2"/>
    <row r="7709" customFormat="1" x14ac:dyDescent="0.2"/>
    <row r="7710" customFormat="1" x14ac:dyDescent="0.2"/>
    <row r="7711" customFormat="1" x14ac:dyDescent="0.2"/>
    <row r="7712" customFormat="1" x14ac:dyDescent="0.2"/>
    <row r="7713" customFormat="1" x14ac:dyDescent="0.2"/>
    <row r="7714" customFormat="1" x14ac:dyDescent="0.2"/>
    <row r="7715" customFormat="1" x14ac:dyDescent="0.2"/>
    <row r="7716" customFormat="1" x14ac:dyDescent="0.2"/>
    <row r="7717" customFormat="1" x14ac:dyDescent="0.2"/>
    <row r="7718" customFormat="1" x14ac:dyDescent="0.2"/>
    <row r="7719" customFormat="1" x14ac:dyDescent="0.2"/>
    <row r="7720" customFormat="1" x14ac:dyDescent="0.2"/>
    <row r="7721" customFormat="1" x14ac:dyDescent="0.2"/>
    <row r="7722" customFormat="1" x14ac:dyDescent="0.2"/>
    <row r="7723" customFormat="1" x14ac:dyDescent="0.2"/>
    <row r="7724" customFormat="1" x14ac:dyDescent="0.2"/>
    <row r="7725" customFormat="1" x14ac:dyDescent="0.2"/>
    <row r="7726" customFormat="1" x14ac:dyDescent="0.2"/>
    <row r="7727" customFormat="1" x14ac:dyDescent="0.2"/>
    <row r="7728" customFormat="1" x14ac:dyDescent="0.2"/>
    <row r="7729" customFormat="1" x14ac:dyDescent="0.2"/>
    <row r="7730" customFormat="1" x14ac:dyDescent="0.2"/>
    <row r="7731" customFormat="1" x14ac:dyDescent="0.2"/>
    <row r="7732" customFormat="1" x14ac:dyDescent="0.2"/>
    <row r="7733" customFormat="1" x14ac:dyDescent="0.2"/>
    <row r="7734" customFormat="1" x14ac:dyDescent="0.2"/>
    <row r="7735" customFormat="1" x14ac:dyDescent="0.2"/>
    <row r="7736" customFormat="1" x14ac:dyDescent="0.2"/>
    <row r="7737" customFormat="1" x14ac:dyDescent="0.2"/>
    <row r="7738" customFormat="1" x14ac:dyDescent="0.2"/>
    <row r="7739" customFormat="1" x14ac:dyDescent="0.2"/>
    <row r="7740" customFormat="1" x14ac:dyDescent="0.2"/>
    <row r="7741" customFormat="1" x14ac:dyDescent="0.2"/>
    <row r="7742" customFormat="1" x14ac:dyDescent="0.2"/>
    <row r="7743" customFormat="1" x14ac:dyDescent="0.2"/>
    <row r="7744" customFormat="1" x14ac:dyDescent="0.2"/>
    <row r="7745" customFormat="1" x14ac:dyDescent="0.2"/>
    <row r="7746" customFormat="1" x14ac:dyDescent="0.2"/>
    <row r="7747" customFormat="1" x14ac:dyDescent="0.2"/>
    <row r="7748" customFormat="1" x14ac:dyDescent="0.2"/>
    <row r="7749" customFormat="1" x14ac:dyDescent="0.2"/>
    <row r="7750" customFormat="1" x14ac:dyDescent="0.2"/>
    <row r="7751" customFormat="1" x14ac:dyDescent="0.2"/>
    <row r="7752" customFormat="1" x14ac:dyDescent="0.2"/>
    <row r="7753" customFormat="1" x14ac:dyDescent="0.2"/>
    <row r="7754" customFormat="1" x14ac:dyDescent="0.2"/>
    <row r="7755" customFormat="1" x14ac:dyDescent="0.2"/>
    <row r="7756" customFormat="1" x14ac:dyDescent="0.2"/>
    <row r="7757" customFormat="1" x14ac:dyDescent="0.2"/>
    <row r="7758" customFormat="1" x14ac:dyDescent="0.2"/>
    <row r="7759" customFormat="1" x14ac:dyDescent="0.2"/>
    <row r="7760" customFormat="1" x14ac:dyDescent="0.2"/>
    <row r="7761" customFormat="1" x14ac:dyDescent="0.2"/>
    <row r="7762" customFormat="1" x14ac:dyDescent="0.2"/>
    <row r="7763" customFormat="1" x14ac:dyDescent="0.2"/>
    <row r="7764" customFormat="1" x14ac:dyDescent="0.2"/>
    <row r="7765" customFormat="1" x14ac:dyDescent="0.2"/>
    <row r="7766" customFormat="1" x14ac:dyDescent="0.2"/>
    <row r="7767" customFormat="1" x14ac:dyDescent="0.2"/>
    <row r="7768" customFormat="1" x14ac:dyDescent="0.2"/>
    <row r="7769" customFormat="1" x14ac:dyDescent="0.2"/>
    <row r="7770" customFormat="1" x14ac:dyDescent="0.2"/>
    <row r="7771" customFormat="1" x14ac:dyDescent="0.2"/>
    <row r="7772" customFormat="1" x14ac:dyDescent="0.2"/>
    <row r="7773" customFormat="1" x14ac:dyDescent="0.2"/>
    <row r="7774" customFormat="1" x14ac:dyDescent="0.2"/>
    <row r="7775" customFormat="1" x14ac:dyDescent="0.2"/>
    <row r="7776" customFormat="1" x14ac:dyDescent="0.2"/>
    <row r="7777" customFormat="1" x14ac:dyDescent="0.2"/>
    <row r="7778" customFormat="1" x14ac:dyDescent="0.2"/>
    <row r="7779" customFormat="1" x14ac:dyDescent="0.2"/>
    <row r="7780" customFormat="1" x14ac:dyDescent="0.2"/>
    <row r="7781" customFormat="1" x14ac:dyDescent="0.2"/>
    <row r="7782" customFormat="1" x14ac:dyDescent="0.2"/>
    <row r="7783" customFormat="1" x14ac:dyDescent="0.2"/>
    <row r="7784" customFormat="1" x14ac:dyDescent="0.2"/>
    <row r="7785" customFormat="1" x14ac:dyDescent="0.2"/>
    <row r="7786" customFormat="1" x14ac:dyDescent="0.2"/>
    <row r="7787" customFormat="1" x14ac:dyDescent="0.2"/>
    <row r="7788" customFormat="1" x14ac:dyDescent="0.2"/>
    <row r="7789" customFormat="1" x14ac:dyDescent="0.2"/>
    <row r="7790" customFormat="1" x14ac:dyDescent="0.2"/>
    <row r="7791" customFormat="1" x14ac:dyDescent="0.2"/>
    <row r="7792" customFormat="1" x14ac:dyDescent="0.2"/>
    <row r="7793" customFormat="1" x14ac:dyDescent="0.2"/>
    <row r="7794" customFormat="1" x14ac:dyDescent="0.2"/>
    <row r="7795" customFormat="1" x14ac:dyDescent="0.2"/>
    <row r="7796" customFormat="1" x14ac:dyDescent="0.2"/>
    <row r="7797" customFormat="1" x14ac:dyDescent="0.2"/>
    <row r="7798" customFormat="1" x14ac:dyDescent="0.2"/>
    <row r="7799" customFormat="1" x14ac:dyDescent="0.2"/>
    <row r="7800" customFormat="1" x14ac:dyDescent="0.2"/>
    <row r="7801" customFormat="1" x14ac:dyDescent="0.2"/>
    <row r="7802" customFormat="1" x14ac:dyDescent="0.2"/>
    <row r="7803" customFormat="1" x14ac:dyDescent="0.2"/>
    <row r="7804" customFormat="1" x14ac:dyDescent="0.2"/>
    <row r="7805" customFormat="1" x14ac:dyDescent="0.2"/>
    <row r="7806" customFormat="1" x14ac:dyDescent="0.2"/>
    <row r="7807" customFormat="1" x14ac:dyDescent="0.2"/>
    <row r="7808" customFormat="1" x14ac:dyDescent="0.2"/>
    <row r="7809" customFormat="1" x14ac:dyDescent="0.2"/>
    <row r="7810" customFormat="1" x14ac:dyDescent="0.2"/>
    <row r="7811" customFormat="1" x14ac:dyDescent="0.2"/>
    <row r="7812" customFormat="1" x14ac:dyDescent="0.2"/>
    <row r="7813" customFormat="1" x14ac:dyDescent="0.2"/>
    <row r="7814" customFormat="1" x14ac:dyDescent="0.2"/>
    <row r="7815" customFormat="1" x14ac:dyDescent="0.2"/>
    <row r="7816" customFormat="1" x14ac:dyDescent="0.2"/>
    <row r="7817" customFormat="1" x14ac:dyDescent="0.2"/>
    <row r="7818" customFormat="1" x14ac:dyDescent="0.2"/>
    <row r="7819" customFormat="1" x14ac:dyDescent="0.2"/>
    <row r="7820" customFormat="1" x14ac:dyDescent="0.2"/>
    <row r="7821" customFormat="1" x14ac:dyDescent="0.2"/>
    <row r="7822" customFormat="1" x14ac:dyDescent="0.2"/>
    <row r="7823" customFormat="1" x14ac:dyDescent="0.2"/>
    <row r="7824" customFormat="1" x14ac:dyDescent="0.2"/>
    <row r="7825" customFormat="1" x14ac:dyDescent="0.2"/>
    <row r="7826" customFormat="1" x14ac:dyDescent="0.2"/>
    <row r="7827" customFormat="1" x14ac:dyDescent="0.2"/>
    <row r="7828" customFormat="1" x14ac:dyDescent="0.2"/>
    <row r="7829" customFormat="1" x14ac:dyDescent="0.2"/>
    <row r="7830" customFormat="1" x14ac:dyDescent="0.2"/>
    <row r="7831" customFormat="1" x14ac:dyDescent="0.2"/>
    <row r="7832" customFormat="1" x14ac:dyDescent="0.2"/>
    <row r="7833" customFormat="1" x14ac:dyDescent="0.2"/>
    <row r="7834" customFormat="1" x14ac:dyDescent="0.2"/>
    <row r="7835" customFormat="1" x14ac:dyDescent="0.2"/>
    <row r="7836" customFormat="1" x14ac:dyDescent="0.2"/>
    <row r="7837" customFormat="1" x14ac:dyDescent="0.2"/>
    <row r="7838" customFormat="1" x14ac:dyDescent="0.2"/>
    <row r="7839" customFormat="1" x14ac:dyDescent="0.2"/>
    <row r="7840" customFormat="1" x14ac:dyDescent="0.2"/>
    <row r="7841" customFormat="1" x14ac:dyDescent="0.2"/>
    <row r="7842" customFormat="1" x14ac:dyDescent="0.2"/>
    <row r="7843" customFormat="1" x14ac:dyDescent="0.2"/>
    <row r="7844" customFormat="1" x14ac:dyDescent="0.2"/>
    <row r="7845" customFormat="1" x14ac:dyDescent="0.2"/>
    <row r="7846" customFormat="1" x14ac:dyDescent="0.2"/>
    <row r="7847" customFormat="1" x14ac:dyDescent="0.2"/>
    <row r="7848" customFormat="1" x14ac:dyDescent="0.2"/>
    <row r="7849" customFormat="1" x14ac:dyDescent="0.2"/>
    <row r="7850" customFormat="1" x14ac:dyDescent="0.2"/>
    <row r="7851" customFormat="1" x14ac:dyDescent="0.2"/>
    <row r="7852" customFormat="1" x14ac:dyDescent="0.2"/>
    <row r="7853" customFormat="1" x14ac:dyDescent="0.2"/>
    <row r="7854" customFormat="1" x14ac:dyDescent="0.2"/>
    <row r="7855" customFormat="1" x14ac:dyDescent="0.2"/>
    <row r="7856" customFormat="1" x14ac:dyDescent="0.2"/>
    <row r="7857" customFormat="1" x14ac:dyDescent="0.2"/>
    <row r="7858" customFormat="1" x14ac:dyDescent="0.2"/>
    <row r="7859" customFormat="1" x14ac:dyDescent="0.2"/>
    <row r="7860" customFormat="1" x14ac:dyDescent="0.2"/>
    <row r="7861" customFormat="1" x14ac:dyDescent="0.2"/>
    <row r="7862" customFormat="1" x14ac:dyDescent="0.2"/>
    <row r="7863" customFormat="1" x14ac:dyDescent="0.2"/>
    <row r="7864" customFormat="1" x14ac:dyDescent="0.2"/>
    <row r="7865" customFormat="1" x14ac:dyDescent="0.2"/>
    <row r="7866" customFormat="1" x14ac:dyDescent="0.2"/>
    <row r="7867" customFormat="1" x14ac:dyDescent="0.2"/>
    <row r="7868" customFormat="1" x14ac:dyDescent="0.2"/>
    <row r="7869" customFormat="1" x14ac:dyDescent="0.2"/>
    <row r="7870" customFormat="1" x14ac:dyDescent="0.2"/>
    <row r="7871" customFormat="1" x14ac:dyDescent="0.2"/>
    <row r="7872" customFormat="1" x14ac:dyDescent="0.2"/>
    <row r="7873" customFormat="1" x14ac:dyDescent="0.2"/>
    <row r="7874" customFormat="1" x14ac:dyDescent="0.2"/>
    <row r="7875" customFormat="1" x14ac:dyDescent="0.2"/>
    <row r="7876" customFormat="1" x14ac:dyDescent="0.2"/>
    <row r="7877" customFormat="1" x14ac:dyDescent="0.2"/>
    <row r="7878" customFormat="1" x14ac:dyDescent="0.2"/>
    <row r="7879" customFormat="1" x14ac:dyDescent="0.2"/>
    <row r="7880" customFormat="1" x14ac:dyDescent="0.2"/>
    <row r="7881" customFormat="1" x14ac:dyDescent="0.2"/>
    <row r="7882" customFormat="1" x14ac:dyDescent="0.2"/>
    <row r="7883" customFormat="1" x14ac:dyDescent="0.2"/>
    <row r="7884" customFormat="1" x14ac:dyDescent="0.2"/>
    <row r="7885" customFormat="1" x14ac:dyDescent="0.2"/>
    <row r="7886" customFormat="1" x14ac:dyDescent="0.2"/>
    <row r="7887" customFormat="1" x14ac:dyDescent="0.2"/>
    <row r="7888" customFormat="1" x14ac:dyDescent="0.2"/>
    <row r="7889" customFormat="1" x14ac:dyDescent="0.2"/>
    <row r="7890" customFormat="1" x14ac:dyDescent="0.2"/>
    <row r="7891" customFormat="1" x14ac:dyDescent="0.2"/>
    <row r="7892" customFormat="1" x14ac:dyDescent="0.2"/>
    <row r="7893" customFormat="1" x14ac:dyDescent="0.2"/>
    <row r="7894" customFormat="1" x14ac:dyDescent="0.2"/>
    <row r="7895" customFormat="1" x14ac:dyDescent="0.2"/>
    <row r="7896" customFormat="1" x14ac:dyDescent="0.2"/>
    <row r="7897" customFormat="1" x14ac:dyDescent="0.2"/>
    <row r="7898" customFormat="1" x14ac:dyDescent="0.2"/>
    <row r="7899" customFormat="1" x14ac:dyDescent="0.2"/>
    <row r="7900" customFormat="1" x14ac:dyDescent="0.2"/>
    <row r="7901" customFormat="1" x14ac:dyDescent="0.2"/>
    <row r="7902" customFormat="1" x14ac:dyDescent="0.2"/>
    <row r="7903" customFormat="1" x14ac:dyDescent="0.2"/>
    <row r="7904" customFormat="1" x14ac:dyDescent="0.2"/>
    <row r="7905" customFormat="1" x14ac:dyDescent="0.2"/>
    <row r="7906" customFormat="1" x14ac:dyDescent="0.2"/>
    <row r="7907" customFormat="1" x14ac:dyDescent="0.2"/>
    <row r="7908" customFormat="1" x14ac:dyDescent="0.2"/>
    <row r="7909" customFormat="1" x14ac:dyDescent="0.2"/>
    <row r="7910" customFormat="1" x14ac:dyDescent="0.2"/>
    <row r="7911" customFormat="1" x14ac:dyDescent="0.2"/>
    <row r="7912" customFormat="1" x14ac:dyDescent="0.2"/>
    <row r="7913" customFormat="1" x14ac:dyDescent="0.2"/>
    <row r="7914" customFormat="1" x14ac:dyDescent="0.2"/>
    <row r="7915" customFormat="1" x14ac:dyDescent="0.2"/>
    <row r="7916" customFormat="1" x14ac:dyDescent="0.2"/>
    <row r="7917" customFormat="1" x14ac:dyDescent="0.2"/>
    <row r="7918" customFormat="1" x14ac:dyDescent="0.2"/>
    <row r="7919" customFormat="1" x14ac:dyDescent="0.2"/>
    <row r="7920" customFormat="1" x14ac:dyDescent="0.2"/>
    <row r="7921" customFormat="1" x14ac:dyDescent="0.2"/>
    <row r="7922" customFormat="1" x14ac:dyDescent="0.2"/>
    <row r="7923" customFormat="1" x14ac:dyDescent="0.2"/>
    <row r="7924" customFormat="1" x14ac:dyDescent="0.2"/>
    <row r="7925" customFormat="1" x14ac:dyDescent="0.2"/>
    <row r="7926" customFormat="1" x14ac:dyDescent="0.2"/>
    <row r="7927" customFormat="1" x14ac:dyDescent="0.2"/>
    <row r="7928" customFormat="1" x14ac:dyDescent="0.2"/>
    <row r="7929" customFormat="1" x14ac:dyDescent="0.2"/>
    <row r="7930" customFormat="1" x14ac:dyDescent="0.2"/>
    <row r="7931" customFormat="1" x14ac:dyDescent="0.2"/>
    <row r="7932" customFormat="1" x14ac:dyDescent="0.2"/>
    <row r="7933" customFormat="1" x14ac:dyDescent="0.2"/>
    <row r="7934" customFormat="1" x14ac:dyDescent="0.2"/>
    <row r="7935" customFormat="1" x14ac:dyDescent="0.2"/>
    <row r="7936" customFormat="1" x14ac:dyDescent="0.2"/>
    <row r="7937" customFormat="1" x14ac:dyDescent="0.2"/>
    <row r="7938" customFormat="1" x14ac:dyDescent="0.2"/>
    <row r="7939" customFormat="1" x14ac:dyDescent="0.2"/>
    <row r="7940" customFormat="1" x14ac:dyDescent="0.2"/>
    <row r="7941" customFormat="1" x14ac:dyDescent="0.2"/>
    <row r="7942" customFormat="1" x14ac:dyDescent="0.2"/>
    <row r="7943" customFormat="1" x14ac:dyDescent="0.2"/>
    <row r="7944" customFormat="1" x14ac:dyDescent="0.2"/>
    <row r="7945" customFormat="1" x14ac:dyDescent="0.2"/>
    <row r="7946" customFormat="1" x14ac:dyDescent="0.2"/>
    <row r="7947" customFormat="1" x14ac:dyDescent="0.2"/>
    <row r="7948" customFormat="1" x14ac:dyDescent="0.2"/>
    <row r="7949" customFormat="1" x14ac:dyDescent="0.2"/>
    <row r="7950" customFormat="1" x14ac:dyDescent="0.2"/>
    <row r="7951" customFormat="1" x14ac:dyDescent="0.2"/>
    <row r="7952" customFormat="1" x14ac:dyDescent="0.2"/>
    <row r="7953" customFormat="1" x14ac:dyDescent="0.2"/>
    <row r="7954" customFormat="1" x14ac:dyDescent="0.2"/>
    <row r="7955" customFormat="1" x14ac:dyDescent="0.2"/>
    <row r="7956" customFormat="1" x14ac:dyDescent="0.2"/>
    <row r="7957" customFormat="1" x14ac:dyDescent="0.2"/>
    <row r="7958" customFormat="1" x14ac:dyDescent="0.2"/>
    <row r="7959" customFormat="1" x14ac:dyDescent="0.2"/>
    <row r="7960" customFormat="1" x14ac:dyDescent="0.2"/>
    <row r="7961" customFormat="1" x14ac:dyDescent="0.2"/>
    <row r="7962" customFormat="1" x14ac:dyDescent="0.2"/>
    <row r="7963" customFormat="1" x14ac:dyDescent="0.2"/>
    <row r="7964" customFormat="1" x14ac:dyDescent="0.2"/>
    <row r="7965" customFormat="1" x14ac:dyDescent="0.2"/>
    <row r="7966" customFormat="1" x14ac:dyDescent="0.2"/>
    <row r="7967" customFormat="1" x14ac:dyDescent="0.2"/>
    <row r="7968" customFormat="1" x14ac:dyDescent="0.2"/>
    <row r="7969" customFormat="1" x14ac:dyDescent="0.2"/>
    <row r="7970" customFormat="1" x14ac:dyDescent="0.2"/>
    <row r="7971" customFormat="1" x14ac:dyDescent="0.2"/>
    <row r="7972" customFormat="1" x14ac:dyDescent="0.2"/>
    <row r="7973" customFormat="1" x14ac:dyDescent="0.2"/>
    <row r="7974" customFormat="1" x14ac:dyDescent="0.2"/>
    <row r="7975" customFormat="1" x14ac:dyDescent="0.2"/>
    <row r="7976" customFormat="1" x14ac:dyDescent="0.2"/>
    <row r="7977" customFormat="1" x14ac:dyDescent="0.2"/>
    <row r="7978" customFormat="1" x14ac:dyDescent="0.2"/>
    <row r="7979" customFormat="1" x14ac:dyDescent="0.2"/>
    <row r="7980" customFormat="1" x14ac:dyDescent="0.2"/>
    <row r="7981" customFormat="1" x14ac:dyDescent="0.2"/>
    <row r="7982" customFormat="1" x14ac:dyDescent="0.2"/>
    <row r="7983" customFormat="1" x14ac:dyDescent="0.2"/>
    <row r="7984" customFormat="1" x14ac:dyDescent="0.2"/>
    <row r="7985" customFormat="1" x14ac:dyDescent="0.2"/>
    <row r="7986" customFormat="1" x14ac:dyDescent="0.2"/>
    <row r="7987" customFormat="1" x14ac:dyDescent="0.2"/>
    <row r="7988" customFormat="1" x14ac:dyDescent="0.2"/>
    <row r="7989" customFormat="1" x14ac:dyDescent="0.2"/>
    <row r="7990" customFormat="1" x14ac:dyDescent="0.2"/>
    <row r="7991" customFormat="1" x14ac:dyDescent="0.2"/>
    <row r="7992" customFormat="1" x14ac:dyDescent="0.2"/>
    <row r="7993" customFormat="1" x14ac:dyDescent="0.2"/>
    <row r="7994" customFormat="1" x14ac:dyDescent="0.2"/>
    <row r="7995" customFormat="1" x14ac:dyDescent="0.2"/>
    <row r="7996" customFormat="1" x14ac:dyDescent="0.2"/>
    <row r="7997" customFormat="1" x14ac:dyDescent="0.2"/>
    <row r="7998" customFormat="1" x14ac:dyDescent="0.2"/>
    <row r="7999" customFormat="1" x14ac:dyDescent="0.2"/>
    <row r="8000" customFormat="1" x14ac:dyDescent="0.2"/>
    <row r="8001" customFormat="1" x14ac:dyDescent="0.2"/>
    <row r="8002" customFormat="1" x14ac:dyDescent="0.2"/>
    <row r="8003" customFormat="1" x14ac:dyDescent="0.2"/>
    <row r="8004" customFormat="1" x14ac:dyDescent="0.2"/>
    <row r="8005" customFormat="1" x14ac:dyDescent="0.2"/>
    <row r="8006" customFormat="1" x14ac:dyDescent="0.2"/>
    <row r="8007" customFormat="1" x14ac:dyDescent="0.2"/>
    <row r="8008" customFormat="1" x14ac:dyDescent="0.2"/>
    <row r="8009" customFormat="1" x14ac:dyDescent="0.2"/>
    <row r="8010" customFormat="1" x14ac:dyDescent="0.2"/>
    <row r="8011" customFormat="1" x14ac:dyDescent="0.2"/>
    <row r="8012" customFormat="1" x14ac:dyDescent="0.2"/>
    <row r="8013" customFormat="1" x14ac:dyDescent="0.2"/>
    <row r="8014" customFormat="1" x14ac:dyDescent="0.2"/>
    <row r="8015" customFormat="1" x14ac:dyDescent="0.2"/>
    <row r="8016" customFormat="1" x14ac:dyDescent="0.2"/>
    <row r="8017" customFormat="1" x14ac:dyDescent="0.2"/>
    <row r="8018" customFormat="1" x14ac:dyDescent="0.2"/>
    <row r="8019" customFormat="1" x14ac:dyDescent="0.2"/>
    <row r="8020" customFormat="1" x14ac:dyDescent="0.2"/>
    <row r="8021" customFormat="1" x14ac:dyDescent="0.2"/>
    <row r="8022" customFormat="1" x14ac:dyDescent="0.2"/>
    <row r="8023" customFormat="1" x14ac:dyDescent="0.2"/>
    <row r="8024" customFormat="1" x14ac:dyDescent="0.2"/>
    <row r="8025" customFormat="1" x14ac:dyDescent="0.2"/>
    <row r="8026" customFormat="1" x14ac:dyDescent="0.2"/>
    <row r="8027" customFormat="1" x14ac:dyDescent="0.2"/>
    <row r="8028" customFormat="1" x14ac:dyDescent="0.2"/>
    <row r="8029" customFormat="1" x14ac:dyDescent="0.2"/>
    <row r="8030" customFormat="1" x14ac:dyDescent="0.2"/>
    <row r="8031" customFormat="1" x14ac:dyDescent="0.2"/>
    <row r="8032" customFormat="1" x14ac:dyDescent="0.2"/>
    <row r="8033" customFormat="1" x14ac:dyDescent="0.2"/>
    <row r="8034" customFormat="1" x14ac:dyDescent="0.2"/>
    <row r="8035" customFormat="1" x14ac:dyDescent="0.2"/>
    <row r="8036" customFormat="1" x14ac:dyDescent="0.2"/>
    <row r="8037" customFormat="1" x14ac:dyDescent="0.2"/>
    <row r="8038" customFormat="1" x14ac:dyDescent="0.2"/>
    <row r="8039" customFormat="1" x14ac:dyDescent="0.2"/>
    <row r="8040" customFormat="1" x14ac:dyDescent="0.2"/>
    <row r="8041" customFormat="1" x14ac:dyDescent="0.2"/>
    <row r="8042" customFormat="1" x14ac:dyDescent="0.2"/>
    <row r="8043" customFormat="1" x14ac:dyDescent="0.2"/>
    <row r="8044" customFormat="1" x14ac:dyDescent="0.2"/>
    <row r="8045" customFormat="1" x14ac:dyDescent="0.2"/>
    <row r="8046" customFormat="1" x14ac:dyDescent="0.2"/>
    <row r="8047" customFormat="1" x14ac:dyDescent="0.2"/>
    <row r="8048" customFormat="1" x14ac:dyDescent="0.2"/>
    <row r="8049" customFormat="1" x14ac:dyDescent="0.2"/>
    <row r="8050" customFormat="1" x14ac:dyDescent="0.2"/>
    <row r="8051" customFormat="1" x14ac:dyDescent="0.2"/>
    <row r="8052" customFormat="1" x14ac:dyDescent="0.2"/>
    <row r="8053" customFormat="1" x14ac:dyDescent="0.2"/>
    <row r="8054" customFormat="1" x14ac:dyDescent="0.2"/>
    <row r="8055" customFormat="1" x14ac:dyDescent="0.2"/>
    <row r="8056" customFormat="1" x14ac:dyDescent="0.2"/>
    <row r="8057" customFormat="1" x14ac:dyDescent="0.2"/>
    <row r="8058" customFormat="1" x14ac:dyDescent="0.2"/>
    <row r="8059" customFormat="1" x14ac:dyDescent="0.2"/>
    <row r="8060" customFormat="1" x14ac:dyDescent="0.2"/>
    <row r="8061" customFormat="1" x14ac:dyDescent="0.2"/>
    <row r="8062" customFormat="1" x14ac:dyDescent="0.2"/>
    <row r="8063" customFormat="1" x14ac:dyDescent="0.2"/>
    <row r="8064" customFormat="1" x14ac:dyDescent="0.2"/>
    <row r="8065" customFormat="1" x14ac:dyDescent="0.2"/>
    <row r="8066" customFormat="1" x14ac:dyDescent="0.2"/>
    <row r="8067" customFormat="1" x14ac:dyDescent="0.2"/>
    <row r="8068" customFormat="1" x14ac:dyDescent="0.2"/>
    <row r="8069" customFormat="1" x14ac:dyDescent="0.2"/>
    <row r="8070" customFormat="1" x14ac:dyDescent="0.2"/>
    <row r="8071" customFormat="1" x14ac:dyDescent="0.2"/>
    <row r="8072" customFormat="1" x14ac:dyDescent="0.2"/>
    <row r="8073" customFormat="1" x14ac:dyDescent="0.2"/>
    <row r="8074" customFormat="1" x14ac:dyDescent="0.2"/>
    <row r="8075" customFormat="1" x14ac:dyDescent="0.2"/>
    <row r="8076" customFormat="1" x14ac:dyDescent="0.2"/>
    <row r="8077" customFormat="1" x14ac:dyDescent="0.2"/>
    <row r="8078" customFormat="1" x14ac:dyDescent="0.2"/>
    <row r="8079" customFormat="1" x14ac:dyDescent="0.2"/>
    <row r="8080" customFormat="1" x14ac:dyDescent="0.2"/>
    <row r="8081" customFormat="1" x14ac:dyDescent="0.2"/>
    <row r="8082" customFormat="1" x14ac:dyDescent="0.2"/>
    <row r="8083" customFormat="1" x14ac:dyDescent="0.2"/>
    <row r="8084" customFormat="1" x14ac:dyDescent="0.2"/>
    <row r="8085" customFormat="1" x14ac:dyDescent="0.2"/>
    <row r="8086" customFormat="1" x14ac:dyDescent="0.2"/>
    <row r="8087" customFormat="1" x14ac:dyDescent="0.2"/>
    <row r="8088" customFormat="1" x14ac:dyDescent="0.2"/>
    <row r="8089" customFormat="1" x14ac:dyDescent="0.2"/>
    <row r="8090" customFormat="1" x14ac:dyDescent="0.2"/>
    <row r="8091" customFormat="1" x14ac:dyDescent="0.2"/>
    <row r="8092" customFormat="1" x14ac:dyDescent="0.2"/>
    <row r="8093" customFormat="1" x14ac:dyDescent="0.2"/>
    <row r="8094" customFormat="1" x14ac:dyDescent="0.2"/>
    <row r="8095" customFormat="1" x14ac:dyDescent="0.2"/>
    <row r="8096" customFormat="1" x14ac:dyDescent="0.2"/>
    <row r="8097" customFormat="1" x14ac:dyDescent="0.2"/>
    <row r="8098" customFormat="1" x14ac:dyDescent="0.2"/>
    <row r="8099" customFormat="1" x14ac:dyDescent="0.2"/>
    <row r="8100" customFormat="1" x14ac:dyDescent="0.2"/>
    <row r="8101" customFormat="1" x14ac:dyDescent="0.2"/>
    <row r="8102" customFormat="1" x14ac:dyDescent="0.2"/>
    <row r="8103" customFormat="1" x14ac:dyDescent="0.2"/>
    <row r="8104" customFormat="1" x14ac:dyDescent="0.2"/>
    <row r="8105" customFormat="1" x14ac:dyDescent="0.2"/>
    <row r="8106" customFormat="1" x14ac:dyDescent="0.2"/>
    <row r="8107" customFormat="1" x14ac:dyDescent="0.2"/>
    <row r="8108" customFormat="1" x14ac:dyDescent="0.2"/>
    <row r="8109" customFormat="1" x14ac:dyDescent="0.2"/>
    <row r="8110" customFormat="1" x14ac:dyDescent="0.2"/>
    <row r="8111" customFormat="1" x14ac:dyDescent="0.2"/>
    <row r="8112" customFormat="1" x14ac:dyDescent="0.2"/>
    <row r="8113" customFormat="1" x14ac:dyDescent="0.2"/>
    <row r="8114" customFormat="1" x14ac:dyDescent="0.2"/>
    <row r="8115" customFormat="1" x14ac:dyDescent="0.2"/>
    <row r="8116" customFormat="1" x14ac:dyDescent="0.2"/>
    <row r="8117" customFormat="1" x14ac:dyDescent="0.2"/>
    <row r="8118" customFormat="1" x14ac:dyDescent="0.2"/>
    <row r="8119" customFormat="1" x14ac:dyDescent="0.2"/>
    <row r="8120" customFormat="1" x14ac:dyDescent="0.2"/>
    <row r="8121" customFormat="1" x14ac:dyDescent="0.2"/>
    <row r="8122" customFormat="1" x14ac:dyDescent="0.2"/>
    <row r="8123" customFormat="1" x14ac:dyDescent="0.2"/>
    <row r="8124" customFormat="1" x14ac:dyDescent="0.2"/>
    <row r="8125" customFormat="1" x14ac:dyDescent="0.2"/>
    <row r="8126" customFormat="1" x14ac:dyDescent="0.2"/>
    <row r="8127" customFormat="1" x14ac:dyDescent="0.2"/>
    <row r="8128" customFormat="1" x14ac:dyDescent="0.2"/>
    <row r="8129" customFormat="1" x14ac:dyDescent="0.2"/>
    <row r="8130" customFormat="1" x14ac:dyDescent="0.2"/>
    <row r="8131" customFormat="1" x14ac:dyDescent="0.2"/>
    <row r="8132" customFormat="1" x14ac:dyDescent="0.2"/>
    <row r="8133" customFormat="1" x14ac:dyDescent="0.2"/>
    <row r="8134" customFormat="1" x14ac:dyDescent="0.2"/>
    <row r="8135" customFormat="1" x14ac:dyDescent="0.2"/>
    <row r="8136" customFormat="1" x14ac:dyDescent="0.2"/>
    <row r="8137" customFormat="1" x14ac:dyDescent="0.2"/>
    <row r="8138" customFormat="1" x14ac:dyDescent="0.2"/>
    <row r="8139" customFormat="1" x14ac:dyDescent="0.2"/>
    <row r="8140" customFormat="1" x14ac:dyDescent="0.2"/>
    <row r="8141" customFormat="1" x14ac:dyDescent="0.2"/>
    <row r="8142" customFormat="1" x14ac:dyDescent="0.2"/>
    <row r="8143" customFormat="1" x14ac:dyDescent="0.2"/>
    <row r="8144" customFormat="1" x14ac:dyDescent="0.2"/>
    <row r="8145" customFormat="1" x14ac:dyDescent="0.2"/>
    <row r="8146" customFormat="1" x14ac:dyDescent="0.2"/>
    <row r="8147" customFormat="1" x14ac:dyDescent="0.2"/>
    <row r="8148" customFormat="1" x14ac:dyDescent="0.2"/>
    <row r="8149" customFormat="1" x14ac:dyDescent="0.2"/>
    <row r="8150" customFormat="1" x14ac:dyDescent="0.2"/>
    <row r="8151" customFormat="1" x14ac:dyDescent="0.2"/>
    <row r="8152" customFormat="1" x14ac:dyDescent="0.2"/>
    <row r="8153" customFormat="1" x14ac:dyDescent="0.2"/>
    <row r="8154" customFormat="1" x14ac:dyDescent="0.2"/>
    <row r="8155" customFormat="1" x14ac:dyDescent="0.2"/>
    <row r="8156" customFormat="1" x14ac:dyDescent="0.2"/>
    <row r="8157" customFormat="1" x14ac:dyDescent="0.2"/>
    <row r="8158" customFormat="1" x14ac:dyDescent="0.2"/>
    <row r="8159" customFormat="1" x14ac:dyDescent="0.2"/>
    <row r="8160" customFormat="1" x14ac:dyDescent="0.2"/>
    <row r="8161" customFormat="1" x14ac:dyDescent="0.2"/>
    <row r="8162" customFormat="1" x14ac:dyDescent="0.2"/>
    <row r="8163" customFormat="1" x14ac:dyDescent="0.2"/>
    <row r="8164" customFormat="1" x14ac:dyDescent="0.2"/>
    <row r="8165" customFormat="1" x14ac:dyDescent="0.2"/>
    <row r="8166" customFormat="1" x14ac:dyDescent="0.2"/>
    <row r="8167" customFormat="1" x14ac:dyDescent="0.2"/>
    <row r="8168" customFormat="1" x14ac:dyDescent="0.2"/>
    <row r="8169" customFormat="1" x14ac:dyDescent="0.2"/>
    <row r="8170" customFormat="1" x14ac:dyDescent="0.2"/>
    <row r="8171" customFormat="1" x14ac:dyDescent="0.2"/>
    <row r="8172" customFormat="1" x14ac:dyDescent="0.2"/>
    <row r="8173" customFormat="1" x14ac:dyDescent="0.2"/>
    <row r="8174" customFormat="1" x14ac:dyDescent="0.2"/>
    <row r="8175" customFormat="1" x14ac:dyDescent="0.2"/>
    <row r="8176" customFormat="1" x14ac:dyDescent="0.2"/>
    <row r="8177" customFormat="1" x14ac:dyDescent="0.2"/>
    <row r="8178" customFormat="1" x14ac:dyDescent="0.2"/>
    <row r="8179" customFormat="1" x14ac:dyDescent="0.2"/>
    <row r="8180" customFormat="1" x14ac:dyDescent="0.2"/>
    <row r="8181" customFormat="1" x14ac:dyDescent="0.2"/>
    <row r="8182" customFormat="1" x14ac:dyDescent="0.2"/>
    <row r="8183" customFormat="1" x14ac:dyDescent="0.2"/>
    <row r="8184" customFormat="1" x14ac:dyDescent="0.2"/>
    <row r="8185" customFormat="1" x14ac:dyDescent="0.2"/>
    <row r="8186" customFormat="1" x14ac:dyDescent="0.2"/>
    <row r="8187" customFormat="1" x14ac:dyDescent="0.2"/>
    <row r="8188" customFormat="1" x14ac:dyDescent="0.2"/>
    <row r="8189" customFormat="1" x14ac:dyDescent="0.2"/>
    <row r="8190" customFormat="1" x14ac:dyDescent="0.2"/>
    <row r="8191" customFormat="1" x14ac:dyDescent="0.2"/>
    <row r="8192" customFormat="1" x14ac:dyDescent="0.2"/>
    <row r="8193" customFormat="1" x14ac:dyDescent="0.2"/>
    <row r="8194" customFormat="1" x14ac:dyDescent="0.2"/>
    <row r="8195" customFormat="1" x14ac:dyDescent="0.2"/>
    <row r="8196" customFormat="1" x14ac:dyDescent="0.2"/>
    <row r="8197" customFormat="1" x14ac:dyDescent="0.2"/>
    <row r="8198" customFormat="1" x14ac:dyDescent="0.2"/>
    <row r="8199" customFormat="1" x14ac:dyDescent="0.2"/>
    <row r="8200" customFormat="1" x14ac:dyDescent="0.2"/>
    <row r="8201" customFormat="1" x14ac:dyDescent="0.2"/>
    <row r="8202" customFormat="1" x14ac:dyDescent="0.2"/>
    <row r="8203" customFormat="1" x14ac:dyDescent="0.2"/>
    <row r="8204" customFormat="1" x14ac:dyDescent="0.2"/>
    <row r="8205" customFormat="1" x14ac:dyDescent="0.2"/>
    <row r="8206" customFormat="1" x14ac:dyDescent="0.2"/>
    <row r="8207" customFormat="1" x14ac:dyDescent="0.2"/>
    <row r="8208" customFormat="1" x14ac:dyDescent="0.2"/>
    <row r="8209" customFormat="1" x14ac:dyDescent="0.2"/>
    <row r="8210" customFormat="1" x14ac:dyDescent="0.2"/>
    <row r="8211" customFormat="1" x14ac:dyDescent="0.2"/>
    <row r="8212" customFormat="1" x14ac:dyDescent="0.2"/>
    <row r="8213" customFormat="1" x14ac:dyDescent="0.2"/>
    <row r="8214" customFormat="1" x14ac:dyDescent="0.2"/>
    <row r="8215" customFormat="1" x14ac:dyDescent="0.2"/>
    <row r="8216" customFormat="1" x14ac:dyDescent="0.2"/>
    <row r="8217" customFormat="1" x14ac:dyDescent="0.2"/>
    <row r="8218" customFormat="1" x14ac:dyDescent="0.2"/>
    <row r="8219" customFormat="1" x14ac:dyDescent="0.2"/>
    <row r="8220" customFormat="1" x14ac:dyDescent="0.2"/>
    <row r="8221" customFormat="1" x14ac:dyDescent="0.2"/>
    <row r="8222" customFormat="1" x14ac:dyDescent="0.2"/>
    <row r="8223" customFormat="1" x14ac:dyDescent="0.2"/>
    <row r="8224" customFormat="1" x14ac:dyDescent="0.2"/>
    <row r="8225" customFormat="1" x14ac:dyDescent="0.2"/>
    <row r="8226" customFormat="1" x14ac:dyDescent="0.2"/>
    <row r="8227" customFormat="1" x14ac:dyDescent="0.2"/>
    <row r="8228" customFormat="1" x14ac:dyDescent="0.2"/>
    <row r="8229" customFormat="1" x14ac:dyDescent="0.2"/>
    <row r="8230" customFormat="1" x14ac:dyDescent="0.2"/>
    <row r="8231" customFormat="1" x14ac:dyDescent="0.2"/>
    <row r="8232" customFormat="1" x14ac:dyDescent="0.2"/>
    <row r="8233" customFormat="1" x14ac:dyDescent="0.2"/>
    <row r="8234" customFormat="1" x14ac:dyDescent="0.2"/>
    <row r="8235" customFormat="1" x14ac:dyDescent="0.2"/>
    <row r="8236" customFormat="1" x14ac:dyDescent="0.2"/>
    <row r="8237" customFormat="1" x14ac:dyDescent="0.2"/>
    <row r="8238" customFormat="1" x14ac:dyDescent="0.2"/>
    <row r="8239" customFormat="1" x14ac:dyDescent="0.2"/>
    <row r="8240" customFormat="1" x14ac:dyDescent="0.2"/>
    <row r="8241" customFormat="1" x14ac:dyDescent="0.2"/>
    <row r="8242" customFormat="1" x14ac:dyDescent="0.2"/>
    <row r="8243" customFormat="1" x14ac:dyDescent="0.2"/>
    <row r="8244" customFormat="1" x14ac:dyDescent="0.2"/>
    <row r="8245" customFormat="1" x14ac:dyDescent="0.2"/>
    <row r="8246" customFormat="1" x14ac:dyDescent="0.2"/>
    <row r="8247" customFormat="1" x14ac:dyDescent="0.2"/>
    <row r="8248" customFormat="1" x14ac:dyDescent="0.2"/>
    <row r="8249" customFormat="1" x14ac:dyDescent="0.2"/>
    <row r="8250" customFormat="1" x14ac:dyDescent="0.2"/>
    <row r="8251" customFormat="1" x14ac:dyDescent="0.2"/>
    <row r="8252" customFormat="1" x14ac:dyDescent="0.2"/>
    <row r="8253" customFormat="1" x14ac:dyDescent="0.2"/>
    <row r="8254" customFormat="1" x14ac:dyDescent="0.2"/>
    <row r="8255" customFormat="1" x14ac:dyDescent="0.2"/>
    <row r="8256" customFormat="1" x14ac:dyDescent="0.2"/>
    <row r="8257" customFormat="1" x14ac:dyDescent="0.2"/>
    <row r="8258" customFormat="1" x14ac:dyDescent="0.2"/>
    <row r="8259" customFormat="1" x14ac:dyDescent="0.2"/>
    <row r="8260" customFormat="1" x14ac:dyDescent="0.2"/>
    <row r="8261" customFormat="1" x14ac:dyDescent="0.2"/>
    <row r="8262" customFormat="1" x14ac:dyDescent="0.2"/>
    <row r="8263" customFormat="1" x14ac:dyDescent="0.2"/>
    <row r="8264" customFormat="1" x14ac:dyDescent="0.2"/>
    <row r="8265" customFormat="1" x14ac:dyDescent="0.2"/>
    <row r="8266" customFormat="1" x14ac:dyDescent="0.2"/>
    <row r="8267" customFormat="1" x14ac:dyDescent="0.2"/>
    <row r="8268" customFormat="1" x14ac:dyDescent="0.2"/>
    <row r="8269" customFormat="1" x14ac:dyDescent="0.2"/>
    <row r="8270" customFormat="1" x14ac:dyDescent="0.2"/>
    <row r="8271" customFormat="1" x14ac:dyDescent="0.2"/>
    <row r="8272" customFormat="1" x14ac:dyDescent="0.2"/>
    <row r="8273" customFormat="1" x14ac:dyDescent="0.2"/>
    <row r="8274" customFormat="1" x14ac:dyDescent="0.2"/>
    <row r="8275" customFormat="1" x14ac:dyDescent="0.2"/>
    <row r="8276" customFormat="1" x14ac:dyDescent="0.2"/>
    <row r="8277" customFormat="1" x14ac:dyDescent="0.2"/>
    <row r="8278" customFormat="1" x14ac:dyDescent="0.2"/>
    <row r="8279" customFormat="1" x14ac:dyDescent="0.2"/>
    <row r="8280" customFormat="1" x14ac:dyDescent="0.2"/>
    <row r="8281" customFormat="1" x14ac:dyDescent="0.2"/>
    <row r="8282" customFormat="1" x14ac:dyDescent="0.2"/>
    <row r="8283" customFormat="1" x14ac:dyDescent="0.2"/>
    <row r="8284" customFormat="1" x14ac:dyDescent="0.2"/>
    <row r="8285" customFormat="1" x14ac:dyDescent="0.2"/>
    <row r="8286" customFormat="1" x14ac:dyDescent="0.2"/>
    <row r="8287" customFormat="1" x14ac:dyDescent="0.2"/>
    <row r="8288" customFormat="1" x14ac:dyDescent="0.2"/>
    <row r="8289" customFormat="1" x14ac:dyDescent="0.2"/>
    <row r="8290" customFormat="1" x14ac:dyDescent="0.2"/>
    <row r="8291" customFormat="1" x14ac:dyDescent="0.2"/>
    <row r="8292" customFormat="1" x14ac:dyDescent="0.2"/>
    <row r="8293" customFormat="1" x14ac:dyDescent="0.2"/>
    <row r="8294" customFormat="1" x14ac:dyDescent="0.2"/>
    <row r="8295" customFormat="1" x14ac:dyDescent="0.2"/>
    <row r="8296" customFormat="1" x14ac:dyDescent="0.2"/>
    <row r="8297" customFormat="1" x14ac:dyDescent="0.2"/>
    <row r="8298" customFormat="1" x14ac:dyDescent="0.2"/>
    <row r="8299" customFormat="1" x14ac:dyDescent="0.2"/>
    <row r="8300" customFormat="1" x14ac:dyDescent="0.2"/>
    <row r="8301" customFormat="1" x14ac:dyDescent="0.2"/>
    <row r="8302" customFormat="1" x14ac:dyDescent="0.2"/>
    <row r="8303" customFormat="1" x14ac:dyDescent="0.2"/>
    <row r="8304" customFormat="1" x14ac:dyDescent="0.2"/>
    <row r="8305" customFormat="1" x14ac:dyDescent="0.2"/>
    <row r="8306" customFormat="1" x14ac:dyDescent="0.2"/>
    <row r="8307" customFormat="1" x14ac:dyDescent="0.2"/>
    <row r="8308" customFormat="1" x14ac:dyDescent="0.2"/>
    <row r="8309" customFormat="1" x14ac:dyDescent="0.2"/>
    <row r="8310" customFormat="1" x14ac:dyDescent="0.2"/>
    <row r="8311" customFormat="1" x14ac:dyDescent="0.2"/>
    <row r="8312" customFormat="1" x14ac:dyDescent="0.2"/>
    <row r="8313" customFormat="1" x14ac:dyDescent="0.2"/>
    <row r="8314" customFormat="1" x14ac:dyDescent="0.2"/>
    <row r="8315" customFormat="1" x14ac:dyDescent="0.2"/>
    <row r="8316" customFormat="1" x14ac:dyDescent="0.2"/>
    <row r="8317" customFormat="1" x14ac:dyDescent="0.2"/>
    <row r="8318" customFormat="1" x14ac:dyDescent="0.2"/>
    <row r="8319" customFormat="1" x14ac:dyDescent="0.2"/>
    <row r="8320" customFormat="1" x14ac:dyDescent="0.2"/>
    <row r="8321" customFormat="1" x14ac:dyDescent="0.2"/>
    <row r="8322" customFormat="1" x14ac:dyDescent="0.2"/>
    <row r="8323" customFormat="1" x14ac:dyDescent="0.2"/>
    <row r="8324" customFormat="1" x14ac:dyDescent="0.2"/>
    <row r="8325" customFormat="1" x14ac:dyDescent="0.2"/>
    <row r="8326" customFormat="1" x14ac:dyDescent="0.2"/>
    <row r="8327" customFormat="1" x14ac:dyDescent="0.2"/>
    <row r="8328" customFormat="1" x14ac:dyDescent="0.2"/>
    <row r="8329" customFormat="1" x14ac:dyDescent="0.2"/>
    <row r="8330" customFormat="1" x14ac:dyDescent="0.2"/>
    <row r="8331" customFormat="1" x14ac:dyDescent="0.2"/>
    <row r="8332" customFormat="1" x14ac:dyDescent="0.2"/>
    <row r="8333" customFormat="1" x14ac:dyDescent="0.2"/>
    <row r="8334" customFormat="1" x14ac:dyDescent="0.2"/>
    <row r="8335" customFormat="1" x14ac:dyDescent="0.2"/>
    <row r="8336" customFormat="1" x14ac:dyDescent="0.2"/>
    <row r="8337" customFormat="1" x14ac:dyDescent="0.2"/>
    <row r="8338" customFormat="1" x14ac:dyDescent="0.2"/>
    <row r="8339" customFormat="1" x14ac:dyDescent="0.2"/>
    <row r="8340" customFormat="1" x14ac:dyDescent="0.2"/>
    <row r="8341" customFormat="1" x14ac:dyDescent="0.2"/>
    <row r="8342" customFormat="1" x14ac:dyDescent="0.2"/>
    <row r="8343" customFormat="1" x14ac:dyDescent="0.2"/>
    <row r="8344" customFormat="1" x14ac:dyDescent="0.2"/>
    <row r="8345" customFormat="1" x14ac:dyDescent="0.2"/>
    <row r="8346" customFormat="1" x14ac:dyDescent="0.2"/>
    <row r="8347" customFormat="1" x14ac:dyDescent="0.2"/>
    <row r="8348" customFormat="1" x14ac:dyDescent="0.2"/>
    <row r="8349" customFormat="1" x14ac:dyDescent="0.2"/>
    <row r="8350" customFormat="1" x14ac:dyDescent="0.2"/>
    <row r="8351" customFormat="1" x14ac:dyDescent="0.2"/>
    <row r="8352" customFormat="1" x14ac:dyDescent="0.2"/>
    <row r="8353" customFormat="1" x14ac:dyDescent="0.2"/>
    <row r="8354" customFormat="1" x14ac:dyDescent="0.2"/>
    <row r="8355" customFormat="1" x14ac:dyDescent="0.2"/>
    <row r="8356" customFormat="1" x14ac:dyDescent="0.2"/>
    <row r="8357" customFormat="1" x14ac:dyDescent="0.2"/>
    <row r="8358" customFormat="1" x14ac:dyDescent="0.2"/>
    <row r="8359" customFormat="1" x14ac:dyDescent="0.2"/>
    <row r="8360" customFormat="1" x14ac:dyDescent="0.2"/>
    <row r="8361" customFormat="1" x14ac:dyDescent="0.2"/>
    <row r="8362" customFormat="1" x14ac:dyDescent="0.2"/>
    <row r="8363" customFormat="1" x14ac:dyDescent="0.2"/>
    <row r="8364" customFormat="1" x14ac:dyDescent="0.2"/>
    <row r="8365" customFormat="1" x14ac:dyDescent="0.2"/>
    <row r="8366" customFormat="1" x14ac:dyDescent="0.2"/>
    <row r="8367" customFormat="1" x14ac:dyDescent="0.2"/>
    <row r="8368" customFormat="1" x14ac:dyDescent="0.2"/>
    <row r="8369" customFormat="1" x14ac:dyDescent="0.2"/>
    <row r="8370" customFormat="1" x14ac:dyDescent="0.2"/>
    <row r="8371" customFormat="1" x14ac:dyDescent="0.2"/>
    <row r="8372" customFormat="1" x14ac:dyDescent="0.2"/>
    <row r="8373" customFormat="1" x14ac:dyDescent="0.2"/>
    <row r="8374" customFormat="1" x14ac:dyDescent="0.2"/>
    <row r="8375" customFormat="1" x14ac:dyDescent="0.2"/>
    <row r="8376" customFormat="1" x14ac:dyDescent="0.2"/>
    <row r="8377" customFormat="1" x14ac:dyDescent="0.2"/>
    <row r="8378" customFormat="1" x14ac:dyDescent="0.2"/>
    <row r="8379" customFormat="1" x14ac:dyDescent="0.2"/>
    <row r="8380" customFormat="1" x14ac:dyDescent="0.2"/>
    <row r="8381" customFormat="1" x14ac:dyDescent="0.2"/>
    <row r="8382" customFormat="1" x14ac:dyDescent="0.2"/>
    <row r="8383" customFormat="1" x14ac:dyDescent="0.2"/>
    <row r="8384" customFormat="1" x14ac:dyDescent="0.2"/>
    <row r="8385" customFormat="1" x14ac:dyDescent="0.2"/>
    <row r="8386" customFormat="1" x14ac:dyDescent="0.2"/>
    <row r="8387" customFormat="1" x14ac:dyDescent="0.2"/>
    <row r="8388" customFormat="1" x14ac:dyDescent="0.2"/>
    <row r="8389" customFormat="1" x14ac:dyDescent="0.2"/>
    <row r="8390" customFormat="1" x14ac:dyDescent="0.2"/>
    <row r="8391" customFormat="1" x14ac:dyDescent="0.2"/>
    <row r="8392" customFormat="1" x14ac:dyDescent="0.2"/>
    <row r="8393" customFormat="1" x14ac:dyDescent="0.2"/>
    <row r="8394" customFormat="1" x14ac:dyDescent="0.2"/>
    <row r="8395" customFormat="1" x14ac:dyDescent="0.2"/>
    <row r="8396" customFormat="1" x14ac:dyDescent="0.2"/>
    <row r="8397" customFormat="1" x14ac:dyDescent="0.2"/>
    <row r="8398" customFormat="1" x14ac:dyDescent="0.2"/>
    <row r="8399" customFormat="1" x14ac:dyDescent="0.2"/>
    <row r="8400" customFormat="1" x14ac:dyDescent="0.2"/>
    <row r="8401" customFormat="1" x14ac:dyDescent="0.2"/>
    <row r="8402" customFormat="1" x14ac:dyDescent="0.2"/>
    <row r="8403" customFormat="1" x14ac:dyDescent="0.2"/>
    <row r="8404" customFormat="1" x14ac:dyDescent="0.2"/>
    <row r="8405" customFormat="1" x14ac:dyDescent="0.2"/>
    <row r="8406" customFormat="1" x14ac:dyDescent="0.2"/>
    <row r="8407" customFormat="1" x14ac:dyDescent="0.2"/>
    <row r="8408" customFormat="1" x14ac:dyDescent="0.2"/>
    <row r="8409" customFormat="1" x14ac:dyDescent="0.2"/>
    <row r="8410" customFormat="1" x14ac:dyDescent="0.2"/>
    <row r="8411" customFormat="1" x14ac:dyDescent="0.2"/>
    <row r="8412" customFormat="1" x14ac:dyDescent="0.2"/>
    <row r="8413" customFormat="1" x14ac:dyDescent="0.2"/>
    <row r="8414" customFormat="1" x14ac:dyDescent="0.2"/>
    <row r="8415" customFormat="1" x14ac:dyDescent="0.2"/>
    <row r="8416" customFormat="1" x14ac:dyDescent="0.2"/>
    <row r="8417" customFormat="1" x14ac:dyDescent="0.2"/>
    <row r="8418" customFormat="1" x14ac:dyDescent="0.2"/>
    <row r="8419" customFormat="1" x14ac:dyDescent="0.2"/>
    <row r="8420" customFormat="1" x14ac:dyDescent="0.2"/>
    <row r="8421" customFormat="1" x14ac:dyDescent="0.2"/>
    <row r="8422" customFormat="1" x14ac:dyDescent="0.2"/>
    <row r="8423" customFormat="1" x14ac:dyDescent="0.2"/>
    <row r="8424" customFormat="1" x14ac:dyDescent="0.2"/>
    <row r="8425" customFormat="1" x14ac:dyDescent="0.2"/>
    <row r="8426" customFormat="1" x14ac:dyDescent="0.2"/>
    <row r="8427" customFormat="1" x14ac:dyDescent="0.2"/>
    <row r="8428" customFormat="1" x14ac:dyDescent="0.2"/>
    <row r="8429" customFormat="1" x14ac:dyDescent="0.2"/>
    <row r="8430" customFormat="1" x14ac:dyDescent="0.2"/>
    <row r="8431" customFormat="1" x14ac:dyDescent="0.2"/>
    <row r="8432" customFormat="1" x14ac:dyDescent="0.2"/>
    <row r="8433" customFormat="1" x14ac:dyDescent="0.2"/>
    <row r="8434" customFormat="1" x14ac:dyDescent="0.2"/>
    <row r="8435" customFormat="1" x14ac:dyDescent="0.2"/>
    <row r="8436" customFormat="1" x14ac:dyDescent="0.2"/>
    <row r="8437" customFormat="1" x14ac:dyDescent="0.2"/>
    <row r="8438" customFormat="1" x14ac:dyDescent="0.2"/>
    <row r="8439" customFormat="1" x14ac:dyDescent="0.2"/>
    <row r="8440" customFormat="1" x14ac:dyDescent="0.2"/>
    <row r="8441" customFormat="1" x14ac:dyDescent="0.2"/>
    <row r="8442" customFormat="1" x14ac:dyDescent="0.2"/>
    <row r="8443" customFormat="1" x14ac:dyDescent="0.2"/>
    <row r="8444" customFormat="1" x14ac:dyDescent="0.2"/>
    <row r="8445" customFormat="1" x14ac:dyDescent="0.2"/>
    <row r="8446" customFormat="1" x14ac:dyDescent="0.2"/>
    <row r="8447" customFormat="1" x14ac:dyDescent="0.2"/>
    <row r="8448" customFormat="1" x14ac:dyDescent="0.2"/>
    <row r="8449" customFormat="1" x14ac:dyDescent="0.2"/>
    <row r="8450" customFormat="1" x14ac:dyDescent="0.2"/>
    <row r="8451" customFormat="1" x14ac:dyDescent="0.2"/>
    <row r="8452" customFormat="1" x14ac:dyDescent="0.2"/>
    <row r="8453" customFormat="1" x14ac:dyDescent="0.2"/>
    <row r="8454" customFormat="1" x14ac:dyDescent="0.2"/>
    <row r="8455" customFormat="1" x14ac:dyDescent="0.2"/>
    <row r="8456" customFormat="1" x14ac:dyDescent="0.2"/>
    <row r="8457" customFormat="1" x14ac:dyDescent="0.2"/>
    <row r="8458" customFormat="1" x14ac:dyDescent="0.2"/>
    <row r="8459" customFormat="1" x14ac:dyDescent="0.2"/>
    <row r="8460" customFormat="1" x14ac:dyDescent="0.2"/>
    <row r="8461" customFormat="1" x14ac:dyDescent="0.2"/>
    <row r="8462" customFormat="1" x14ac:dyDescent="0.2"/>
    <row r="8463" customFormat="1" x14ac:dyDescent="0.2"/>
    <row r="8464" customFormat="1" x14ac:dyDescent="0.2"/>
    <row r="8465" customFormat="1" x14ac:dyDescent="0.2"/>
    <row r="8466" customFormat="1" x14ac:dyDescent="0.2"/>
    <row r="8467" customFormat="1" x14ac:dyDescent="0.2"/>
    <row r="8468" customFormat="1" x14ac:dyDescent="0.2"/>
    <row r="8469" customFormat="1" x14ac:dyDescent="0.2"/>
    <row r="8470" customFormat="1" x14ac:dyDescent="0.2"/>
    <row r="8471" customFormat="1" x14ac:dyDescent="0.2"/>
    <row r="8472" customFormat="1" x14ac:dyDescent="0.2"/>
    <row r="8473" customFormat="1" x14ac:dyDescent="0.2"/>
    <row r="8474" customFormat="1" x14ac:dyDescent="0.2"/>
    <row r="8475" customFormat="1" x14ac:dyDescent="0.2"/>
    <row r="8476" customFormat="1" x14ac:dyDescent="0.2"/>
    <row r="8477" customFormat="1" x14ac:dyDescent="0.2"/>
    <row r="8478" customFormat="1" x14ac:dyDescent="0.2"/>
    <row r="8479" customFormat="1" x14ac:dyDescent="0.2"/>
    <row r="8480" customFormat="1" x14ac:dyDescent="0.2"/>
    <row r="8481" customFormat="1" x14ac:dyDescent="0.2"/>
    <row r="8482" customFormat="1" x14ac:dyDescent="0.2"/>
    <row r="8483" customFormat="1" x14ac:dyDescent="0.2"/>
    <row r="8484" customFormat="1" x14ac:dyDescent="0.2"/>
    <row r="8485" customFormat="1" x14ac:dyDescent="0.2"/>
    <row r="8486" customFormat="1" x14ac:dyDescent="0.2"/>
    <row r="8487" customFormat="1" x14ac:dyDescent="0.2"/>
    <row r="8488" customFormat="1" x14ac:dyDescent="0.2"/>
    <row r="8489" customFormat="1" x14ac:dyDescent="0.2"/>
    <row r="8490" customFormat="1" x14ac:dyDescent="0.2"/>
    <row r="8491" customFormat="1" x14ac:dyDescent="0.2"/>
    <row r="8492" customFormat="1" x14ac:dyDescent="0.2"/>
    <row r="8493" customFormat="1" x14ac:dyDescent="0.2"/>
    <row r="8494" customFormat="1" x14ac:dyDescent="0.2"/>
    <row r="8495" customFormat="1" x14ac:dyDescent="0.2"/>
    <row r="8496" customFormat="1" x14ac:dyDescent="0.2"/>
    <row r="8497" customFormat="1" x14ac:dyDescent="0.2"/>
    <row r="8498" customFormat="1" x14ac:dyDescent="0.2"/>
    <row r="8499" customFormat="1" x14ac:dyDescent="0.2"/>
    <row r="8500" customFormat="1" x14ac:dyDescent="0.2"/>
    <row r="8501" customFormat="1" x14ac:dyDescent="0.2"/>
    <row r="8502" customFormat="1" x14ac:dyDescent="0.2"/>
    <row r="8503" customFormat="1" x14ac:dyDescent="0.2"/>
    <row r="8504" customFormat="1" x14ac:dyDescent="0.2"/>
    <row r="8505" customFormat="1" x14ac:dyDescent="0.2"/>
    <row r="8506" customFormat="1" x14ac:dyDescent="0.2"/>
    <row r="8507" customFormat="1" x14ac:dyDescent="0.2"/>
    <row r="8508" customFormat="1" x14ac:dyDescent="0.2"/>
    <row r="8509" customFormat="1" x14ac:dyDescent="0.2"/>
    <row r="8510" customFormat="1" x14ac:dyDescent="0.2"/>
    <row r="8511" customFormat="1" x14ac:dyDescent="0.2"/>
    <row r="8512" customFormat="1" x14ac:dyDescent="0.2"/>
    <row r="8513" customFormat="1" x14ac:dyDescent="0.2"/>
    <row r="8514" customFormat="1" x14ac:dyDescent="0.2"/>
    <row r="8515" customFormat="1" x14ac:dyDescent="0.2"/>
    <row r="8516" customFormat="1" x14ac:dyDescent="0.2"/>
    <row r="8517" customFormat="1" x14ac:dyDescent="0.2"/>
    <row r="8518" customFormat="1" x14ac:dyDescent="0.2"/>
    <row r="8519" customFormat="1" x14ac:dyDescent="0.2"/>
    <row r="8520" customFormat="1" x14ac:dyDescent="0.2"/>
    <row r="8521" customFormat="1" x14ac:dyDescent="0.2"/>
    <row r="8522" customFormat="1" x14ac:dyDescent="0.2"/>
    <row r="8523" customFormat="1" x14ac:dyDescent="0.2"/>
    <row r="8524" customFormat="1" x14ac:dyDescent="0.2"/>
    <row r="8525" customFormat="1" x14ac:dyDescent="0.2"/>
    <row r="8526" customFormat="1" x14ac:dyDescent="0.2"/>
    <row r="8527" customFormat="1" x14ac:dyDescent="0.2"/>
    <row r="8528" customFormat="1" x14ac:dyDescent="0.2"/>
    <row r="8529" customFormat="1" x14ac:dyDescent="0.2"/>
    <row r="8530" customFormat="1" x14ac:dyDescent="0.2"/>
    <row r="8531" customFormat="1" x14ac:dyDescent="0.2"/>
    <row r="8532" customFormat="1" x14ac:dyDescent="0.2"/>
    <row r="8533" customFormat="1" x14ac:dyDescent="0.2"/>
    <row r="8534" customFormat="1" x14ac:dyDescent="0.2"/>
    <row r="8535" customFormat="1" x14ac:dyDescent="0.2"/>
    <row r="8536" customFormat="1" x14ac:dyDescent="0.2"/>
    <row r="8537" customFormat="1" x14ac:dyDescent="0.2"/>
    <row r="8538" customFormat="1" x14ac:dyDescent="0.2"/>
    <row r="8539" customFormat="1" x14ac:dyDescent="0.2"/>
    <row r="8540" customFormat="1" x14ac:dyDescent="0.2"/>
    <row r="8541" customFormat="1" x14ac:dyDescent="0.2"/>
    <row r="8542" customFormat="1" x14ac:dyDescent="0.2"/>
    <row r="8543" customFormat="1" x14ac:dyDescent="0.2"/>
    <row r="8544" customFormat="1" x14ac:dyDescent="0.2"/>
    <row r="8545" customFormat="1" x14ac:dyDescent="0.2"/>
    <row r="8546" customFormat="1" x14ac:dyDescent="0.2"/>
    <row r="8547" customFormat="1" x14ac:dyDescent="0.2"/>
    <row r="8548" customFormat="1" x14ac:dyDescent="0.2"/>
    <row r="8549" customFormat="1" x14ac:dyDescent="0.2"/>
    <row r="8550" customFormat="1" x14ac:dyDescent="0.2"/>
    <row r="8551" customFormat="1" x14ac:dyDescent="0.2"/>
    <row r="8552" customFormat="1" x14ac:dyDescent="0.2"/>
    <row r="8553" customFormat="1" x14ac:dyDescent="0.2"/>
    <row r="8554" customFormat="1" x14ac:dyDescent="0.2"/>
    <row r="8555" customFormat="1" x14ac:dyDescent="0.2"/>
    <row r="8556" customFormat="1" x14ac:dyDescent="0.2"/>
    <row r="8557" customFormat="1" x14ac:dyDescent="0.2"/>
    <row r="8558" customFormat="1" x14ac:dyDescent="0.2"/>
    <row r="8559" customFormat="1" x14ac:dyDescent="0.2"/>
    <row r="8560" customFormat="1" x14ac:dyDescent="0.2"/>
    <row r="8561" customFormat="1" x14ac:dyDescent="0.2"/>
    <row r="8562" customFormat="1" x14ac:dyDescent="0.2"/>
    <row r="8563" customFormat="1" x14ac:dyDescent="0.2"/>
    <row r="8564" customFormat="1" x14ac:dyDescent="0.2"/>
    <row r="8565" customFormat="1" x14ac:dyDescent="0.2"/>
    <row r="8566" customFormat="1" x14ac:dyDescent="0.2"/>
    <row r="8567" customFormat="1" x14ac:dyDescent="0.2"/>
    <row r="8568" customFormat="1" x14ac:dyDescent="0.2"/>
    <row r="8569" customFormat="1" x14ac:dyDescent="0.2"/>
    <row r="8570" customFormat="1" x14ac:dyDescent="0.2"/>
    <row r="8571" customFormat="1" x14ac:dyDescent="0.2"/>
    <row r="8572" customFormat="1" x14ac:dyDescent="0.2"/>
    <row r="8573" customFormat="1" x14ac:dyDescent="0.2"/>
    <row r="8574" customFormat="1" x14ac:dyDescent="0.2"/>
    <row r="8575" customFormat="1" x14ac:dyDescent="0.2"/>
    <row r="8576" customFormat="1" x14ac:dyDescent="0.2"/>
    <row r="8577" customFormat="1" x14ac:dyDescent="0.2"/>
    <row r="8578" customFormat="1" x14ac:dyDescent="0.2"/>
    <row r="8579" customFormat="1" x14ac:dyDescent="0.2"/>
    <row r="8580" customFormat="1" x14ac:dyDescent="0.2"/>
    <row r="8581" customFormat="1" x14ac:dyDescent="0.2"/>
    <row r="8582" customFormat="1" x14ac:dyDescent="0.2"/>
    <row r="8583" customFormat="1" x14ac:dyDescent="0.2"/>
    <row r="8584" customFormat="1" x14ac:dyDescent="0.2"/>
    <row r="8585" customFormat="1" x14ac:dyDescent="0.2"/>
    <row r="8586" customFormat="1" x14ac:dyDescent="0.2"/>
    <row r="8587" customFormat="1" x14ac:dyDescent="0.2"/>
    <row r="8588" customFormat="1" x14ac:dyDescent="0.2"/>
    <row r="8589" customFormat="1" x14ac:dyDescent="0.2"/>
    <row r="8590" customFormat="1" x14ac:dyDescent="0.2"/>
    <row r="8591" customFormat="1" x14ac:dyDescent="0.2"/>
    <row r="8592" customFormat="1" x14ac:dyDescent="0.2"/>
    <row r="8593" customFormat="1" x14ac:dyDescent="0.2"/>
    <row r="8594" customFormat="1" x14ac:dyDescent="0.2"/>
    <row r="8595" customFormat="1" x14ac:dyDescent="0.2"/>
    <row r="8596" customFormat="1" x14ac:dyDescent="0.2"/>
    <row r="8597" customFormat="1" x14ac:dyDescent="0.2"/>
    <row r="8598" customFormat="1" x14ac:dyDescent="0.2"/>
    <row r="8599" customFormat="1" x14ac:dyDescent="0.2"/>
    <row r="8600" customFormat="1" x14ac:dyDescent="0.2"/>
    <row r="8601" customFormat="1" x14ac:dyDescent="0.2"/>
    <row r="8602" customFormat="1" x14ac:dyDescent="0.2"/>
    <row r="8603" customFormat="1" x14ac:dyDescent="0.2"/>
    <row r="8604" customFormat="1" x14ac:dyDescent="0.2"/>
    <row r="8605" customFormat="1" x14ac:dyDescent="0.2"/>
    <row r="8606" customFormat="1" x14ac:dyDescent="0.2"/>
    <row r="8607" customFormat="1" x14ac:dyDescent="0.2"/>
    <row r="8608" customFormat="1" x14ac:dyDescent="0.2"/>
    <row r="8609" customFormat="1" x14ac:dyDescent="0.2"/>
    <row r="8610" customFormat="1" x14ac:dyDescent="0.2"/>
    <row r="8611" customFormat="1" x14ac:dyDescent="0.2"/>
    <row r="8612" customFormat="1" x14ac:dyDescent="0.2"/>
    <row r="8613" customFormat="1" x14ac:dyDescent="0.2"/>
    <row r="8614" customFormat="1" x14ac:dyDescent="0.2"/>
    <row r="8615" customFormat="1" x14ac:dyDescent="0.2"/>
    <row r="8616" customFormat="1" x14ac:dyDescent="0.2"/>
    <row r="8617" customFormat="1" x14ac:dyDescent="0.2"/>
    <row r="8618" customFormat="1" x14ac:dyDescent="0.2"/>
    <row r="8619" customFormat="1" x14ac:dyDescent="0.2"/>
    <row r="8620" customFormat="1" x14ac:dyDescent="0.2"/>
    <row r="8621" customFormat="1" x14ac:dyDescent="0.2"/>
    <row r="8622" customFormat="1" x14ac:dyDescent="0.2"/>
    <row r="8623" customFormat="1" x14ac:dyDescent="0.2"/>
    <row r="8624" customFormat="1" x14ac:dyDescent="0.2"/>
    <row r="8625" customFormat="1" x14ac:dyDescent="0.2"/>
    <row r="8626" customFormat="1" x14ac:dyDescent="0.2"/>
    <row r="8627" customFormat="1" x14ac:dyDescent="0.2"/>
    <row r="8628" customFormat="1" x14ac:dyDescent="0.2"/>
    <row r="8629" customFormat="1" x14ac:dyDescent="0.2"/>
    <row r="8630" customFormat="1" x14ac:dyDescent="0.2"/>
    <row r="8631" customFormat="1" x14ac:dyDescent="0.2"/>
    <row r="8632" customFormat="1" x14ac:dyDescent="0.2"/>
    <row r="8633" customFormat="1" x14ac:dyDescent="0.2"/>
    <row r="8634" customFormat="1" x14ac:dyDescent="0.2"/>
    <row r="8635" customFormat="1" x14ac:dyDescent="0.2"/>
    <row r="8636" customFormat="1" x14ac:dyDescent="0.2"/>
    <row r="8637" customFormat="1" x14ac:dyDescent="0.2"/>
    <row r="8638" customFormat="1" x14ac:dyDescent="0.2"/>
    <row r="8639" customFormat="1" x14ac:dyDescent="0.2"/>
    <row r="8640" customFormat="1" x14ac:dyDescent="0.2"/>
    <row r="8641" customFormat="1" x14ac:dyDescent="0.2"/>
    <row r="8642" customFormat="1" x14ac:dyDescent="0.2"/>
    <row r="8643" customFormat="1" x14ac:dyDescent="0.2"/>
    <row r="8644" customFormat="1" x14ac:dyDescent="0.2"/>
    <row r="8645" customFormat="1" x14ac:dyDescent="0.2"/>
    <row r="8646" customFormat="1" x14ac:dyDescent="0.2"/>
    <row r="8647" customFormat="1" x14ac:dyDescent="0.2"/>
    <row r="8648" customFormat="1" x14ac:dyDescent="0.2"/>
    <row r="8649" customFormat="1" x14ac:dyDescent="0.2"/>
    <row r="8650" customFormat="1" x14ac:dyDescent="0.2"/>
    <row r="8651" customFormat="1" x14ac:dyDescent="0.2"/>
    <row r="8652" customFormat="1" x14ac:dyDescent="0.2"/>
    <row r="8653" customFormat="1" x14ac:dyDescent="0.2"/>
    <row r="8654" customFormat="1" x14ac:dyDescent="0.2"/>
    <row r="8655" customFormat="1" x14ac:dyDescent="0.2"/>
    <row r="8656" customFormat="1" x14ac:dyDescent="0.2"/>
    <row r="8657" customFormat="1" x14ac:dyDescent="0.2"/>
    <row r="8658" customFormat="1" x14ac:dyDescent="0.2"/>
    <row r="8659" customFormat="1" x14ac:dyDescent="0.2"/>
    <row r="8660" customFormat="1" x14ac:dyDescent="0.2"/>
    <row r="8661" customFormat="1" x14ac:dyDescent="0.2"/>
    <row r="8662" customFormat="1" x14ac:dyDescent="0.2"/>
    <row r="8663" customFormat="1" x14ac:dyDescent="0.2"/>
    <row r="8664" customFormat="1" x14ac:dyDescent="0.2"/>
    <row r="8665" customFormat="1" x14ac:dyDescent="0.2"/>
    <row r="8666" customFormat="1" x14ac:dyDescent="0.2"/>
    <row r="8667" customFormat="1" x14ac:dyDescent="0.2"/>
    <row r="8668" customFormat="1" x14ac:dyDescent="0.2"/>
    <row r="8669" customFormat="1" x14ac:dyDescent="0.2"/>
    <row r="8670" customFormat="1" x14ac:dyDescent="0.2"/>
    <row r="8671" customFormat="1" x14ac:dyDescent="0.2"/>
    <row r="8672" customFormat="1" x14ac:dyDescent="0.2"/>
    <row r="8673" customFormat="1" x14ac:dyDescent="0.2"/>
    <row r="8674" customFormat="1" x14ac:dyDescent="0.2"/>
    <row r="8675" customFormat="1" x14ac:dyDescent="0.2"/>
    <row r="8676" customFormat="1" x14ac:dyDescent="0.2"/>
    <row r="8677" customFormat="1" x14ac:dyDescent="0.2"/>
    <row r="8678" customFormat="1" x14ac:dyDescent="0.2"/>
    <row r="8679" customFormat="1" x14ac:dyDescent="0.2"/>
    <row r="8680" customFormat="1" x14ac:dyDescent="0.2"/>
    <row r="8681" customFormat="1" x14ac:dyDescent="0.2"/>
    <row r="8682" customFormat="1" x14ac:dyDescent="0.2"/>
    <row r="8683" customFormat="1" x14ac:dyDescent="0.2"/>
    <row r="8684" customFormat="1" x14ac:dyDescent="0.2"/>
    <row r="8685" customFormat="1" x14ac:dyDescent="0.2"/>
    <row r="8686" customFormat="1" x14ac:dyDescent="0.2"/>
    <row r="8687" customFormat="1" x14ac:dyDescent="0.2"/>
    <row r="8688" customFormat="1" x14ac:dyDescent="0.2"/>
    <row r="8689" customFormat="1" x14ac:dyDescent="0.2"/>
    <row r="8690" customFormat="1" x14ac:dyDescent="0.2"/>
    <row r="8691" customFormat="1" x14ac:dyDescent="0.2"/>
    <row r="8692" customFormat="1" x14ac:dyDescent="0.2"/>
    <row r="8693" customFormat="1" x14ac:dyDescent="0.2"/>
    <row r="8694" customFormat="1" x14ac:dyDescent="0.2"/>
    <row r="8695" customFormat="1" x14ac:dyDescent="0.2"/>
    <row r="8696" customFormat="1" x14ac:dyDescent="0.2"/>
    <row r="8697" customFormat="1" x14ac:dyDescent="0.2"/>
    <row r="8698" customFormat="1" x14ac:dyDescent="0.2"/>
    <row r="8699" customFormat="1" x14ac:dyDescent="0.2"/>
    <row r="8700" customFormat="1" x14ac:dyDescent="0.2"/>
    <row r="8701" customFormat="1" x14ac:dyDescent="0.2"/>
    <row r="8702" customFormat="1" x14ac:dyDescent="0.2"/>
    <row r="8703" customFormat="1" x14ac:dyDescent="0.2"/>
    <row r="8704" customFormat="1" x14ac:dyDescent="0.2"/>
    <row r="8705" customFormat="1" x14ac:dyDescent="0.2"/>
    <row r="8706" customFormat="1" x14ac:dyDescent="0.2"/>
    <row r="8707" customFormat="1" x14ac:dyDescent="0.2"/>
    <row r="8708" customFormat="1" x14ac:dyDescent="0.2"/>
    <row r="8709" customFormat="1" x14ac:dyDescent="0.2"/>
    <row r="8710" customFormat="1" x14ac:dyDescent="0.2"/>
    <row r="8711" customFormat="1" x14ac:dyDescent="0.2"/>
    <row r="8712" customFormat="1" x14ac:dyDescent="0.2"/>
    <row r="8713" customFormat="1" x14ac:dyDescent="0.2"/>
    <row r="8714" customFormat="1" x14ac:dyDescent="0.2"/>
    <row r="8715" customFormat="1" x14ac:dyDescent="0.2"/>
    <row r="8716" customFormat="1" x14ac:dyDescent="0.2"/>
    <row r="8717" customFormat="1" x14ac:dyDescent="0.2"/>
    <row r="8718" customFormat="1" x14ac:dyDescent="0.2"/>
    <row r="8719" customFormat="1" x14ac:dyDescent="0.2"/>
    <row r="8720" customFormat="1" x14ac:dyDescent="0.2"/>
    <row r="8721" customFormat="1" x14ac:dyDescent="0.2"/>
    <row r="8722" customFormat="1" x14ac:dyDescent="0.2"/>
    <row r="8723" customFormat="1" x14ac:dyDescent="0.2"/>
    <row r="8724" customFormat="1" x14ac:dyDescent="0.2"/>
    <row r="8725" customFormat="1" x14ac:dyDescent="0.2"/>
    <row r="8726" customFormat="1" x14ac:dyDescent="0.2"/>
    <row r="8727" customFormat="1" x14ac:dyDescent="0.2"/>
    <row r="8728" customFormat="1" x14ac:dyDescent="0.2"/>
    <row r="8729" customFormat="1" x14ac:dyDescent="0.2"/>
    <row r="8730" customFormat="1" x14ac:dyDescent="0.2"/>
    <row r="8731" customFormat="1" x14ac:dyDescent="0.2"/>
    <row r="8732" customFormat="1" x14ac:dyDescent="0.2"/>
    <row r="8733" customFormat="1" x14ac:dyDescent="0.2"/>
    <row r="8734" customFormat="1" x14ac:dyDescent="0.2"/>
    <row r="8735" customFormat="1" x14ac:dyDescent="0.2"/>
    <row r="8736" customFormat="1" x14ac:dyDescent="0.2"/>
    <row r="8737" customFormat="1" x14ac:dyDescent="0.2"/>
    <row r="8738" customFormat="1" x14ac:dyDescent="0.2"/>
    <row r="8739" customFormat="1" x14ac:dyDescent="0.2"/>
    <row r="8740" customFormat="1" x14ac:dyDescent="0.2"/>
    <row r="8741" customFormat="1" x14ac:dyDescent="0.2"/>
    <row r="8742" customFormat="1" x14ac:dyDescent="0.2"/>
    <row r="8743" customFormat="1" x14ac:dyDescent="0.2"/>
    <row r="8744" customFormat="1" x14ac:dyDescent="0.2"/>
    <row r="8745" customFormat="1" x14ac:dyDescent="0.2"/>
    <row r="8746" customFormat="1" x14ac:dyDescent="0.2"/>
    <row r="8747" customFormat="1" x14ac:dyDescent="0.2"/>
    <row r="8748" customFormat="1" x14ac:dyDescent="0.2"/>
    <row r="8749" customFormat="1" x14ac:dyDescent="0.2"/>
    <row r="8750" customFormat="1" x14ac:dyDescent="0.2"/>
    <row r="8751" customFormat="1" x14ac:dyDescent="0.2"/>
    <row r="8752" customFormat="1" x14ac:dyDescent="0.2"/>
    <row r="8753" customFormat="1" x14ac:dyDescent="0.2"/>
    <row r="8754" customFormat="1" x14ac:dyDescent="0.2"/>
    <row r="8755" customFormat="1" x14ac:dyDescent="0.2"/>
    <row r="8756" customFormat="1" x14ac:dyDescent="0.2"/>
    <row r="8757" customFormat="1" x14ac:dyDescent="0.2"/>
    <row r="8758" customFormat="1" x14ac:dyDescent="0.2"/>
    <row r="8759" customFormat="1" x14ac:dyDescent="0.2"/>
    <row r="8760" customFormat="1" x14ac:dyDescent="0.2"/>
    <row r="8761" customFormat="1" x14ac:dyDescent="0.2"/>
    <row r="8762" customFormat="1" x14ac:dyDescent="0.2"/>
    <row r="8763" customFormat="1" x14ac:dyDescent="0.2"/>
    <row r="8764" customFormat="1" x14ac:dyDescent="0.2"/>
    <row r="8765" customFormat="1" x14ac:dyDescent="0.2"/>
    <row r="8766" customFormat="1" x14ac:dyDescent="0.2"/>
    <row r="8767" customFormat="1" x14ac:dyDescent="0.2"/>
    <row r="8768" customFormat="1" x14ac:dyDescent="0.2"/>
    <row r="8769" customFormat="1" x14ac:dyDescent="0.2"/>
    <row r="8770" customFormat="1" x14ac:dyDescent="0.2"/>
    <row r="8771" customFormat="1" x14ac:dyDescent="0.2"/>
    <row r="8772" customFormat="1" x14ac:dyDescent="0.2"/>
    <row r="8773" customFormat="1" x14ac:dyDescent="0.2"/>
    <row r="8774" customFormat="1" x14ac:dyDescent="0.2"/>
    <row r="8775" customFormat="1" x14ac:dyDescent="0.2"/>
    <row r="8776" customFormat="1" x14ac:dyDescent="0.2"/>
    <row r="8777" customFormat="1" x14ac:dyDescent="0.2"/>
    <row r="8778" customFormat="1" x14ac:dyDescent="0.2"/>
    <row r="8779" customFormat="1" x14ac:dyDescent="0.2"/>
    <row r="8780" customFormat="1" x14ac:dyDescent="0.2"/>
    <row r="8781" customFormat="1" x14ac:dyDescent="0.2"/>
    <row r="8782" customFormat="1" x14ac:dyDescent="0.2"/>
    <row r="8783" customFormat="1" x14ac:dyDescent="0.2"/>
    <row r="8784" customFormat="1" x14ac:dyDescent="0.2"/>
    <row r="8785" customFormat="1" x14ac:dyDescent="0.2"/>
    <row r="8786" customFormat="1" x14ac:dyDescent="0.2"/>
    <row r="8787" customFormat="1" x14ac:dyDescent="0.2"/>
    <row r="8788" customFormat="1" x14ac:dyDescent="0.2"/>
    <row r="8789" customFormat="1" x14ac:dyDescent="0.2"/>
    <row r="8790" customFormat="1" x14ac:dyDescent="0.2"/>
    <row r="8791" customFormat="1" x14ac:dyDescent="0.2"/>
    <row r="8792" customFormat="1" x14ac:dyDescent="0.2"/>
    <row r="8793" customFormat="1" x14ac:dyDescent="0.2"/>
    <row r="8794" customFormat="1" x14ac:dyDescent="0.2"/>
    <row r="8795" customFormat="1" x14ac:dyDescent="0.2"/>
    <row r="8796" customFormat="1" x14ac:dyDescent="0.2"/>
    <row r="8797" customFormat="1" x14ac:dyDescent="0.2"/>
    <row r="8798" customFormat="1" x14ac:dyDescent="0.2"/>
    <row r="8799" customFormat="1" x14ac:dyDescent="0.2"/>
    <row r="8800" customFormat="1" x14ac:dyDescent="0.2"/>
    <row r="8801" customFormat="1" x14ac:dyDescent="0.2"/>
    <row r="8802" customFormat="1" x14ac:dyDescent="0.2"/>
    <row r="8803" customFormat="1" x14ac:dyDescent="0.2"/>
    <row r="8804" customFormat="1" x14ac:dyDescent="0.2"/>
    <row r="8805" customFormat="1" x14ac:dyDescent="0.2"/>
    <row r="8806" customFormat="1" x14ac:dyDescent="0.2"/>
    <row r="8807" customFormat="1" x14ac:dyDescent="0.2"/>
    <row r="8808" customFormat="1" x14ac:dyDescent="0.2"/>
    <row r="8809" customFormat="1" x14ac:dyDescent="0.2"/>
    <row r="8810" customFormat="1" x14ac:dyDescent="0.2"/>
    <row r="8811" customFormat="1" x14ac:dyDescent="0.2"/>
    <row r="8812" customFormat="1" x14ac:dyDescent="0.2"/>
    <row r="8813" customFormat="1" x14ac:dyDescent="0.2"/>
    <row r="8814" customFormat="1" x14ac:dyDescent="0.2"/>
    <row r="8815" customFormat="1" x14ac:dyDescent="0.2"/>
    <row r="8816" customFormat="1" x14ac:dyDescent="0.2"/>
    <row r="8817" customFormat="1" x14ac:dyDescent="0.2"/>
    <row r="8818" customFormat="1" x14ac:dyDescent="0.2"/>
    <row r="8819" customFormat="1" x14ac:dyDescent="0.2"/>
    <row r="8820" customFormat="1" x14ac:dyDescent="0.2"/>
    <row r="8821" customFormat="1" x14ac:dyDescent="0.2"/>
    <row r="8822" customFormat="1" x14ac:dyDescent="0.2"/>
    <row r="8823" customFormat="1" x14ac:dyDescent="0.2"/>
    <row r="8824" customFormat="1" x14ac:dyDescent="0.2"/>
    <row r="8825" customFormat="1" x14ac:dyDescent="0.2"/>
    <row r="8826" customFormat="1" x14ac:dyDescent="0.2"/>
    <row r="8827" customFormat="1" x14ac:dyDescent="0.2"/>
    <row r="8828" customFormat="1" x14ac:dyDescent="0.2"/>
    <row r="8829" customFormat="1" x14ac:dyDescent="0.2"/>
    <row r="8830" customFormat="1" x14ac:dyDescent="0.2"/>
    <row r="8831" customFormat="1" x14ac:dyDescent="0.2"/>
    <row r="8832" customFormat="1" x14ac:dyDescent="0.2"/>
    <row r="8833" customFormat="1" x14ac:dyDescent="0.2"/>
    <row r="8834" customFormat="1" x14ac:dyDescent="0.2"/>
    <row r="8835" customFormat="1" x14ac:dyDescent="0.2"/>
    <row r="8836" customFormat="1" x14ac:dyDescent="0.2"/>
    <row r="8837" customFormat="1" x14ac:dyDescent="0.2"/>
    <row r="8838" customFormat="1" x14ac:dyDescent="0.2"/>
    <row r="8839" customFormat="1" x14ac:dyDescent="0.2"/>
    <row r="8840" customFormat="1" x14ac:dyDescent="0.2"/>
    <row r="8841" customFormat="1" x14ac:dyDescent="0.2"/>
    <row r="8842" customFormat="1" x14ac:dyDescent="0.2"/>
    <row r="8843" customFormat="1" x14ac:dyDescent="0.2"/>
    <row r="8844" customFormat="1" x14ac:dyDescent="0.2"/>
    <row r="8845" customFormat="1" x14ac:dyDescent="0.2"/>
    <row r="8846" customFormat="1" x14ac:dyDescent="0.2"/>
    <row r="8847" customFormat="1" x14ac:dyDescent="0.2"/>
    <row r="8848" customFormat="1" x14ac:dyDescent="0.2"/>
    <row r="8849" customFormat="1" x14ac:dyDescent="0.2"/>
    <row r="8850" customFormat="1" x14ac:dyDescent="0.2"/>
    <row r="8851" customFormat="1" x14ac:dyDescent="0.2"/>
    <row r="8852" customFormat="1" x14ac:dyDescent="0.2"/>
    <row r="8853" customFormat="1" x14ac:dyDescent="0.2"/>
    <row r="8854" customFormat="1" x14ac:dyDescent="0.2"/>
    <row r="8855" customFormat="1" x14ac:dyDescent="0.2"/>
    <row r="8856" customFormat="1" x14ac:dyDescent="0.2"/>
    <row r="8857" customFormat="1" x14ac:dyDescent="0.2"/>
    <row r="8858" customFormat="1" x14ac:dyDescent="0.2"/>
    <row r="8859" customFormat="1" x14ac:dyDescent="0.2"/>
    <row r="8860" customFormat="1" x14ac:dyDescent="0.2"/>
    <row r="8861" customFormat="1" x14ac:dyDescent="0.2"/>
    <row r="8862" customFormat="1" x14ac:dyDescent="0.2"/>
    <row r="8863" customFormat="1" x14ac:dyDescent="0.2"/>
    <row r="8864" customFormat="1" x14ac:dyDescent="0.2"/>
    <row r="8865" customFormat="1" x14ac:dyDescent="0.2"/>
    <row r="8866" customFormat="1" x14ac:dyDescent="0.2"/>
    <row r="8867" customFormat="1" x14ac:dyDescent="0.2"/>
    <row r="8868" customFormat="1" x14ac:dyDescent="0.2"/>
    <row r="8869" customFormat="1" x14ac:dyDescent="0.2"/>
    <row r="8870" customFormat="1" x14ac:dyDescent="0.2"/>
    <row r="8871" customFormat="1" x14ac:dyDescent="0.2"/>
    <row r="8872" customFormat="1" x14ac:dyDescent="0.2"/>
    <row r="8873" customFormat="1" x14ac:dyDescent="0.2"/>
    <row r="8874" customFormat="1" x14ac:dyDescent="0.2"/>
    <row r="8875" customFormat="1" x14ac:dyDescent="0.2"/>
    <row r="8876" customFormat="1" x14ac:dyDescent="0.2"/>
    <row r="8877" customFormat="1" x14ac:dyDescent="0.2"/>
    <row r="8878" customFormat="1" x14ac:dyDescent="0.2"/>
    <row r="8879" customFormat="1" x14ac:dyDescent="0.2"/>
    <row r="8880" customFormat="1" x14ac:dyDescent="0.2"/>
    <row r="8881" customFormat="1" x14ac:dyDescent="0.2"/>
    <row r="8882" customFormat="1" x14ac:dyDescent="0.2"/>
    <row r="8883" customFormat="1" x14ac:dyDescent="0.2"/>
    <row r="8884" customFormat="1" x14ac:dyDescent="0.2"/>
    <row r="8885" customFormat="1" x14ac:dyDescent="0.2"/>
    <row r="8886" customFormat="1" x14ac:dyDescent="0.2"/>
    <row r="8887" customFormat="1" x14ac:dyDescent="0.2"/>
    <row r="8888" customFormat="1" x14ac:dyDescent="0.2"/>
    <row r="8889" customFormat="1" x14ac:dyDescent="0.2"/>
    <row r="8890" customFormat="1" x14ac:dyDescent="0.2"/>
    <row r="8891" customFormat="1" x14ac:dyDescent="0.2"/>
    <row r="8892" customFormat="1" x14ac:dyDescent="0.2"/>
    <row r="8893" customFormat="1" x14ac:dyDescent="0.2"/>
    <row r="8894" customFormat="1" x14ac:dyDescent="0.2"/>
    <row r="8895" customFormat="1" x14ac:dyDescent="0.2"/>
    <row r="8896" customFormat="1" x14ac:dyDescent="0.2"/>
    <row r="8897" customFormat="1" x14ac:dyDescent="0.2"/>
    <row r="8898" customFormat="1" x14ac:dyDescent="0.2"/>
    <row r="8899" customFormat="1" x14ac:dyDescent="0.2"/>
    <row r="8900" customFormat="1" x14ac:dyDescent="0.2"/>
    <row r="8901" customFormat="1" x14ac:dyDescent="0.2"/>
    <row r="8902" customFormat="1" x14ac:dyDescent="0.2"/>
    <row r="8903" customFormat="1" x14ac:dyDescent="0.2"/>
    <row r="8904" customFormat="1" x14ac:dyDescent="0.2"/>
    <row r="8905" customFormat="1" x14ac:dyDescent="0.2"/>
    <row r="8906" customFormat="1" x14ac:dyDescent="0.2"/>
    <row r="8907" customFormat="1" x14ac:dyDescent="0.2"/>
    <row r="8908" customFormat="1" x14ac:dyDescent="0.2"/>
    <row r="8909" customFormat="1" x14ac:dyDescent="0.2"/>
    <row r="8910" customFormat="1" x14ac:dyDescent="0.2"/>
    <row r="8911" customFormat="1" x14ac:dyDescent="0.2"/>
    <row r="8912" customFormat="1" x14ac:dyDescent="0.2"/>
    <row r="8913" customFormat="1" x14ac:dyDescent="0.2"/>
    <row r="8914" customFormat="1" x14ac:dyDescent="0.2"/>
    <row r="8915" customFormat="1" x14ac:dyDescent="0.2"/>
    <row r="8916" customFormat="1" x14ac:dyDescent="0.2"/>
    <row r="8917" customFormat="1" x14ac:dyDescent="0.2"/>
    <row r="8918" customFormat="1" x14ac:dyDescent="0.2"/>
    <row r="8919" customFormat="1" x14ac:dyDescent="0.2"/>
    <row r="8920" customFormat="1" x14ac:dyDescent="0.2"/>
    <row r="8921" customFormat="1" x14ac:dyDescent="0.2"/>
    <row r="8922" customFormat="1" x14ac:dyDescent="0.2"/>
    <row r="8923" customFormat="1" x14ac:dyDescent="0.2"/>
    <row r="8924" customFormat="1" x14ac:dyDescent="0.2"/>
    <row r="8925" customFormat="1" x14ac:dyDescent="0.2"/>
    <row r="8926" customFormat="1" x14ac:dyDescent="0.2"/>
    <row r="8927" customFormat="1" x14ac:dyDescent="0.2"/>
    <row r="8928" customFormat="1" x14ac:dyDescent="0.2"/>
    <row r="8929" customFormat="1" x14ac:dyDescent="0.2"/>
    <row r="8930" customFormat="1" x14ac:dyDescent="0.2"/>
    <row r="8931" customFormat="1" x14ac:dyDescent="0.2"/>
    <row r="8932" customFormat="1" x14ac:dyDescent="0.2"/>
    <row r="8933" customFormat="1" x14ac:dyDescent="0.2"/>
    <row r="8934" customFormat="1" x14ac:dyDescent="0.2"/>
    <row r="8935" customFormat="1" x14ac:dyDescent="0.2"/>
    <row r="8936" customFormat="1" x14ac:dyDescent="0.2"/>
    <row r="8937" customFormat="1" x14ac:dyDescent="0.2"/>
    <row r="8938" customFormat="1" x14ac:dyDescent="0.2"/>
    <row r="8939" customFormat="1" x14ac:dyDescent="0.2"/>
    <row r="8940" customFormat="1" x14ac:dyDescent="0.2"/>
    <row r="8941" customFormat="1" x14ac:dyDescent="0.2"/>
    <row r="8942" customFormat="1" x14ac:dyDescent="0.2"/>
    <row r="8943" customFormat="1" x14ac:dyDescent="0.2"/>
    <row r="8944" customFormat="1" x14ac:dyDescent="0.2"/>
    <row r="8945" customFormat="1" x14ac:dyDescent="0.2"/>
    <row r="8946" customFormat="1" x14ac:dyDescent="0.2"/>
    <row r="8947" customFormat="1" x14ac:dyDescent="0.2"/>
    <row r="8948" customFormat="1" x14ac:dyDescent="0.2"/>
    <row r="8949" customFormat="1" x14ac:dyDescent="0.2"/>
    <row r="8950" customFormat="1" x14ac:dyDescent="0.2"/>
    <row r="8951" customFormat="1" x14ac:dyDescent="0.2"/>
    <row r="8952" customFormat="1" x14ac:dyDescent="0.2"/>
    <row r="8953" customFormat="1" x14ac:dyDescent="0.2"/>
    <row r="8954" customFormat="1" x14ac:dyDescent="0.2"/>
    <row r="8955" customFormat="1" x14ac:dyDescent="0.2"/>
    <row r="8956" customFormat="1" x14ac:dyDescent="0.2"/>
    <row r="8957" customFormat="1" x14ac:dyDescent="0.2"/>
    <row r="8958" customFormat="1" x14ac:dyDescent="0.2"/>
    <row r="8959" customFormat="1" x14ac:dyDescent="0.2"/>
    <row r="8960" customFormat="1" x14ac:dyDescent="0.2"/>
    <row r="8961" customFormat="1" x14ac:dyDescent="0.2"/>
    <row r="8962" customFormat="1" x14ac:dyDescent="0.2"/>
    <row r="8963" customFormat="1" x14ac:dyDescent="0.2"/>
    <row r="8964" customFormat="1" x14ac:dyDescent="0.2"/>
    <row r="8965" customFormat="1" x14ac:dyDescent="0.2"/>
    <row r="8966" customFormat="1" x14ac:dyDescent="0.2"/>
    <row r="8967" customFormat="1" x14ac:dyDescent="0.2"/>
    <row r="8968" customFormat="1" x14ac:dyDescent="0.2"/>
    <row r="8969" customFormat="1" x14ac:dyDescent="0.2"/>
    <row r="8970" customFormat="1" x14ac:dyDescent="0.2"/>
    <row r="8971" customFormat="1" x14ac:dyDescent="0.2"/>
    <row r="8972" customFormat="1" x14ac:dyDescent="0.2"/>
    <row r="8973" customFormat="1" x14ac:dyDescent="0.2"/>
    <row r="8974" customFormat="1" x14ac:dyDescent="0.2"/>
    <row r="8975" customFormat="1" x14ac:dyDescent="0.2"/>
    <row r="8976" customFormat="1" x14ac:dyDescent="0.2"/>
    <row r="8977" customFormat="1" x14ac:dyDescent="0.2"/>
    <row r="8978" customFormat="1" x14ac:dyDescent="0.2"/>
    <row r="8979" customFormat="1" x14ac:dyDescent="0.2"/>
    <row r="8980" customFormat="1" x14ac:dyDescent="0.2"/>
    <row r="8981" customFormat="1" x14ac:dyDescent="0.2"/>
    <row r="8982" customFormat="1" x14ac:dyDescent="0.2"/>
    <row r="8983" customFormat="1" x14ac:dyDescent="0.2"/>
    <row r="8984" customFormat="1" x14ac:dyDescent="0.2"/>
    <row r="8985" customFormat="1" x14ac:dyDescent="0.2"/>
    <row r="8986" customFormat="1" x14ac:dyDescent="0.2"/>
    <row r="8987" customFormat="1" x14ac:dyDescent="0.2"/>
    <row r="8988" customFormat="1" x14ac:dyDescent="0.2"/>
    <row r="8989" customFormat="1" x14ac:dyDescent="0.2"/>
    <row r="8990" customFormat="1" x14ac:dyDescent="0.2"/>
    <row r="8991" customFormat="1" x14ac:dyDescent="0.2"/>
    <row r="8992" customFormat="1" x14ac:dyDescent="0.2"/>
    <row r="8993" customFormat="1" x14ac:dyDescent="0.2"/>
    <row r="8994" customFormat="1" x14ac:dyDescent="0.2"/>
    <row r="8995" customFormat="1" x14ac:dyDescent="0.2"/>
    <row r="8996" customFormat="1" x14ac:dyDescent="0.2"/>
    <row r="8997" customFormat="1" x14ac:dyDescent="0.2"/>
    <row r="8998" customFormat="1" x14ac:dyDescent="0.2"/>
    <row r="8999" customFormat="1" x14ac:dyDescent="0.2"/>
    <row r="9000" customFormat="1" x14ac:dyDescent="0.2"/>
    <row r="9001" customFormat="1" x14ac:dyDescent="0.2"/>
    <row r="9002" customFormat="1" x14ac:dyDescent="0.2"/>
    <row r="9003" customFormat="1" x14ac:dyDescent="0.2"/>
    <row r="9004" customFormat="1" x14ac:dyDescent="0.2"/>
    <row r="9005" customFormat="1" x14ac:dyDescent="0.2"/>
    <row r="9006" customFormat="1" x14ac:dyDescent="0.2"/>
    <row r="9007" customFormat="1" x14ac:dyDescent="0.2"/>
    <row r="9008" customFormat="1" x14ac:dyDescent="0.2"/>
    <row r="9009" customFormat="1" x14ac:dyDescent="0.2"/>
    <row r="9010" customFormat="1" x14ac:dyDescent="0.2"/>
    <row r="9011" customFormat="1" x14ac:dyDescent="0.2"/>
    <row r="9012" customFormat="1" x14ac:dyDescent="0.2"/>
    <row r="9013" customFormat="1" x14ac:dyDescent="0.2"/>
    <row r="9014" customFormat="1" x14ac:dyDescent="0.2"/>
    <row r="9015" customFormat="1" x14ac:dyDescent="0.2"/>
    <row r="9016" customFormat="1" x14ac:dyDescent="0.2"/>
    <row r="9017" customFormat="1" x14ac:dyDescent="0.2"/>
    <row r="9018" customFormat="1" x14ac:dyDescent="0.2"/>
    <row r="9019" customFormat="1" x14ac:dyDescent="0.2"/>
    <row r="9020" customFormat="1" x14ac:dyDescent="0.2"/>
    <row r="9021" customFormat="1" x14ac:dyDescent="0.2"/>
    <row r="9022" customFormat="1" x14ac:dyDescent="0.2"/>
    <row r="9023" customFormat="1" x14ac:dyDescent="0.2"/>
    <row r="9024" customFormat="1" x14ac:dyDescent="0.2"/>
    <row r="9025" customFormat="1" x14ac:dyDescent="0.2"/>
    <row r="9026" customFormat="1" x14ac:dyDescent="0.2"/>
    <row r="9027" customFormat="1" x14ac:dyDescent="0.2"/>
    <row r="9028" customFormat="1" x14ac:dyDescent="0.2"/>
    <row r="9029" customFormat="1" x14ac:dyDescent="0.2"/>
    <row r="9030" customFormat="1" x14ac:dyDescent="0.2"/>
    <row r="9031" customFormat="1" x14ac:dyDescent="0.2"/>
    <row r="9032" customFormat="1" x14ac:dyDescent="0.2"/>
    <row r="9033" customFormat="1" x14ac:dyDescent="0.2"/>
    <row r="9034" customFormat="1" x14ac:dyDescent="0.2"/>
    <row r="9035" customFormat="1" x14ac:dyDescent="0.2"/>
    <row r="9036" customFormat="1" x14ac:dyDescent="0.2"/>
    <row r="9037" customFormat="1" x14ac:dyDescent="0.2"/>
    <row r="9038" customFormat="1" x14ac:dyDescent="0.2"/>
    <row r="9039" customFormat="1" x14ac:dyDescent="0.2"/>
    <row r="9040" customFormat="1" x14ac:dyDescent="0.2"/>
    <row r="9041" customFormat="1" x14ac:dyDescent="0.2"/>
    <row r="9042" customFormat="1" x14ac:dyDescent="0.2"/>
    <row r="9043" customFormat="1" x14ac:dyDescent="0.2"/>
    <row r="9044" customFormat="1" x14ac:dyDescent="0.2"/>
    <row r="9045" customFormat="1" x14ac:dyDescent="0.2"/>
    <row r="9046" customFormat="1" x14ac:dyDescent="0.2"/>
    <row r="9047" customFormat="1" x14ac:dyDescent="0.2"/>
    <row r="9048" customFormat="1" x14ac:dyDescent="0.2"/>
    <row r="9049" customFormat="1" x14ac:dyDescent="0.2"/>
    <row r="9050" customFormat="1" x14ac:dyDescent="0.2"/>
    <row r="9051" customFormat="1" x14ac:dyDescent="0.2"/>
    <row r="9052" customFormat="1" x14ac:dyDescent="0.2"/>
    <row r="9053" customFormat="1" x14ac:dyDescent="0.2"/>
    <row r="9054" customFormat="1" x14ac:dyDescent="0.2"/>
    <row r="9055" customFormat="1" x14ac:dyDescent="0.2"/>
    <row r="9056" customFormat="1" x14ac:dyDescent="0.2"/>
    <row r="9057" customFormat="1" x14ac:dyDescent="0.2"/>
    <row r="9058" customFormat="1" x14ac:dyDescent="0.2"/>
    <row r="9059" customFormat="1" x14ac:dyDescent="0.2"/>
    <row r="9060" customFormat="1" x14ac:dyDescent="0.2"/>
    <row r="9061" customFormat="1" x14ac:dyDescent="0.2"/>
    <row r="9062" customFormat="1" x14ac:dyDescent="0.2"/>
    <row r="9063" customFormat="1" x14ac:dyDescent="0.2"/>
    <row r="9064" customFormat="1" x14ac:dyDescent="0.2"/>
    <row r="9065" customFormat="1" x14ac:dyDescent="0.2"/>
    <row r="9066" customFormat="1" x14ac:dyDescent="0.2"/>
    <row r="9067" customFormat="1" x14ac:dyDescent="0.2"/>
    <row r="9068" customFormat="1" x14ac:dyDescent="0.2"/>
    <row r="9069" customFormat="1" x14ac:dyDescent="0.2"/>
    <row r="9070" customFormat="1" x14ac:dyDescent="0.2"/>
    <row r="9071" customFormat="1" x14ac:dyDescent="0.2"/>
    <row r="9072" customFormat="1" x14ac:dyDescent="0.2"/>
    <row r="9073" customFormat="1" x14ac:dyDescent="0.2"/>
    <row r="9074" customFormat="1" x14ac:dyDescent="0.2"/>
    <row r="9075" customFormat="1" x14ac:dyDescent="0.2"/>
    <row r="9076" customFormat="1" x14ac:dyDescent="0.2"/>
    <row r="9077" customFormat="1" x14ac:dyDescent="0.2"/>
    <row r="9078" customFormat="1" x14ac:dyDescent="0.2"/>
    <row r="9079" customFormat="1" x14ac:dyDescent="0.2"/>
    <row r="9080" customFormat="1" x14ac:dyDescent="0.2"/>
    <row r="9081" customFormat="1" x14ac:dyDescent="0.2"/>
    <row r="9082" customFormat="1" x14ac:dyDescent="0.2"/>
    <row r="9083" customFormat="1" x14ac:dyDescent="0.2"/>
    <row r="9084" customFormat="1" x14ac:dyDescent="0.2"/>
    <row r="9085" customFormat="1" x14ac:dyDescent="0.2"/>
    <row r="9086" customFormat="1" x14ac:dyDescent="0.2"/>
    <row r="9087" customFormat="1" x14ac:dyDescent="0.2"/>
    <row r="9088" customFormat="1" x14ac:dyDescent="0.2"/>
    <row r="9089" customFormat="1" x14ac:dyDescent="0.2"/>
    <row r="9090" customFormat="1" x14ac:dyDescent="0.2"/>
    <row r="9091" customFormat="1" x14ac:dyDescent="0.2"/>
    <row r="9092" customFormat="1" x14ac:dyDescent="0.2"/>
    <row r="9093" customFormat="1" x14ac:dyDescent="0.2"/>
    <row r="9094" customFormat="1" x14ac:dyDescent="0.2"/>
    <row r="9095" customFormat="1" x14ac:dyDescent="0.2"/>
    <row r="9096" customFormat="1" x14ac:dyDescent="0.2"/>
    <row r="9097" customFormat="1" x14ac:dyDescent="0.2"/>
    <row r="9098" customFormat="1" x14ac:dyDescent="0.2"/>
    <row r="9099" customFormat="1" x14ac:dyDescent="0.2"/>
    <row r="9100" customFormat="1" x14ac:dyDescent="0.2"/>
    <row r="9101" customFormat="1" x14ac:dyDescent="0.2"/>
    <row r="9102" customFormat="1" x14ac:dyDescent="0.2"/>
    <row r="9103" customFormat="1" x14ac:dyDescent="0.2"/>
    <row r="9104" customFormat="1" x14ac:dyDescent="0.2"/>
    <row r="9105" customFormat="1" x14ac:dyDescent="0.2"/>
    <row r="9106" customFormat="1" x14ac:dyDescent="0.2"/>
    <row r="9107" customFormat="1" x14ac:dyDescent="0.2"/>
    <row r="9108" customFormat="1" x14ac:dyDescent="0.2"/>
    <row r="9109" customFormat="1" x14ac:dyDescent="0.2"/>
    <row r="9110" customFormat="1" x14ac:dyDescent="0.2"/>
    <row r="9111" customFormat="1" x14ac:dyDescent="0.2"/>
    <row r="9112" customFormat="1" x14ac:dyDescent="0.2"/>
    <row r="9113" customFormat="1" x14ac:dyDescent="0.2"/>
    <row r="9114" customFormat="1" x14ac:dyDescent="0.2"/>
    <row r="9115" customFormat="1" x14ac:dyDescent="0.2"/>
    <row r="9116" customFormat="1" x14ac:dyDescent="0.2"/>
    <row r="9117" customFormat="1" x14ac:dyDescent="0.2"/>
    <row r="9118" customFormat="1" x14ac:dyDescent="0.2"/>
    <row r="9119" customFormat="1" x14ac:dyDescent="0.2"/>
    <row r="9120" customFormat="1" x14ac:dyDescent="0.2"/>
    <row r="9121" customFormat="1" x14ac:dyDescent="0.2"/>
    <row r="9122" customFormat="1" x14ac:dyDescent="0.2"/>
    <row r="9123" customFormat="1" x14ac:dyDescent="0.2"/>
    <row r="9124" customFormat="1" x14ac:dyDescent="0.2"/>
    <row r="9125" customFormat="1" x14ac:dyDescent="0.2"/>
    <row r="9126" customFormat="1" x14ac:dyDescent="0.2"/>
    <row r="9127" customFormat="1" x14ac:dyDescent="0.2"/>
    <row r="9128" customFormat="1" x14ac:dyDescent="0.2"/>
    <row r="9129" customFormat="1" x14ac:dyDescent="0.2"/>
    <row r="9130" customFormat="1" x14ac:dyDescent="0.2"/>
    <row r="9131" customFormat="1" x14ac:dyDescent="0.2"/>
    <row r="9132" customFormat="1" x14ac:dyDescent="0.2"/>
    <row r="9133" customFormat="1" x14ac:dyDescent="0.2"/>
    <row r="9134" customFormat="1" x14ac:dyDescent="0.2"/>
    <row r="9135" customFormat="1" x14ac:dyDescent="0.2"/>
    <row r="9136" customFormat="1" x14ac:dyDescent="0.2"/>
    <row r="9137" customFormat="1" x14ac:dyDescent="0.2"/>
    <row r="9138" customFormat="1" x14ac:dyDescent="0.2"/>
    <row r="9139" customFormat="1" x14ac:dyDescent="0.2"/>
    <row r="9140" customFormat="1" x14ac:dyDescent="0.2"/>
    <row r="9141" customFormat="1" x14ac:dyDescent="0.2"/>
    <row r="9142" customFormat="1" x14ac:dyDescent="0.2"/>
    <row r="9143" customFormat="1" x14ac:dyDescent="0.2"/>
    <row r="9144" customFormat="1" x14ac:dyDescent="0.2"/>
    <row r="9145" customFormat="1" x14ac:dyDescent="0.2"/>
    <row r="9146" customFormat="1" x14ac:dyDescent="0.2"/>
    <row r="9147" customFormat="1" x14ac:dyDescent="0.2"/>
    <row r="9148" customFormat="1" x14ac:dyDescent="0.2"/>
    <row r="9149" customFormat="1" x14ac:dyDescent="0.2"/>
    <row r="9150" customFormat="1" x14ac:dyDescent="0.2"/>
    <row r="9151" customFormat="1" x14ac:dyDescent="0.2"/>
    <row r="9152" customFormat="1" x14ac:dyDescent="0.2"/>
    <row r="9153" customFormat="1" x14ac:dyDescent="0.2"/>
    <row r="9154" customFormat="1" x14ac:dyDescent="0.2"/>
    <row r="9155" customFormat="1" x14ac:dyDescent="0.2"/>
    <row r="9156" customFormat="1" x14ac:dyDescent="0.2"/>
    <row r="9157" customFormat="1" x14ac:dyDescent="0.2"/>
    <row r="9158" customFormat="1" x14ac:dyDescent="0.2"/>
    <row r="9159" customFormat="1" x14ac:dyDescent="0.2"/>
    <row r="9160" customFormat="1" x14ac:dyDescent="0.2"/>
    <row r="9161" customFormat="1" x14ac:dyDescent="0.2"/>
    <row r="9162" customFormat="1" x14ac:dyDescent="0.2"/>
    <row r="9163" customFormat="1" x14ac:dyDescent="0.2"/>
    <row r="9164" customFormat="1" x14ac:dyDescent="0.2"/>
    <row r="9165" customFormat="1" x14ac:dyDescent="0.2"/>
    <row r="9166" customFormat="1" x14ac:dyDescent="0.2"/>
    <row r="9167" customFormat="1" x14ac:dyDescent="0.2"/>
    <row r="9168" customFormat="1" x14ac:dyDescent="0.2"/>
    <row r="9169" customFormat="1" x14ac:dyDescent="0.2"/>
    <row r="9170" customFormat="1" x14ac:dyDescent="0.2"/>
    <row r="9171" customFormat="1" x14ac:dyDescent="0.2"/>
    <row r="9172" customFormat="1" x14ac:dyDescent="0.2"/>
    <row r="9173" customFormat="1" x14ac:dyDescent="0.2"/>
    <row r="9174" customFormat="1" x14ac:dyDescent="0.2"/>
    <row r="9175" customFormat="1" x14ac:dyDescent="0.2"/>
    <row r="9176" customFormat="1" x14ac:dyDescent="0.2"/>
    <row r="9177" customFormat="1" x14ac:dyDescent="0.2"/>
    <row r="9178" customFormat="1" x14ac:dyDescent="0.2"/>
    <row r="9179" customFormat="1" x14ac:dyDescent="0.2"/>
    <row r="9180" customFormat="1" x14ac:dyDescent="0.2"/>
    <row r="9181" customFormat="1" x14ac:dyDescent="0.2"/>
    <row r="9182" customFormat="1" x14ac:dyDescent="0.2"/>
    <row r="9183" customFormat="1" x14ac:dyDescent="0.2"/>
    <row r="9184" customFormat="1" x14ac:dyDescent="0.2"/>
    <row r="9185" customFormat="1" x14ac:dyDescent="0.2"/>
    <row r="9186" customFormat="1" x14ac:dyDescent="0.2"/>
    <row r="9187" customFormat="1" x14ac:dyDescent="0.2"/>
    <row r="9188" customFormat="1" x14ac:dyDescent="0.2"/>
    <row r="9189" customFormat="1" x14ac:dyDescent="0.2"/>
    <row r="9190" customFormat="1" x14ac:dyDescent="0.2"/>
    <row r="9191" customFormat="1" x14ac:dyDescent="0.2"/>
    <row r="9192" customFormat="1" x14ac:dyDescent="0.2"/>
    <row r="9193" customFormat="1" x14ac:dyDescent="0.2"/>
    <row r="9194" customFormat="1" x14ac:dyDescent="0.2"/>
    <row r="9195" customFormat="1" x14ac:dyDescent="0.2"/>
    <row r="9196" customFormat="1" x14ac:dyDescent="0.2"/>
    <row r="9197" customFormat="1" x14ac:dyDescent="0.2"/>
    <row r="9198" customFormat="1" x14ac:dyDescent="0.2"/>
    <row r="9199" customFormat="1" x14ac:dyDescent="0.2"/>
    <row r="9200" customFormat="1" x14ac:dyDescent="0.2"/>
    <row r="9201" customFormat="1" x14ac:dyDescent="0.2"/>
    <row r="9202" customFormat="1" x14ac:dyDescent="0.2"/>
    <row r="9203" customFormat="1" x14ac:dyDescent="0.2"/>
    <row r="9204" customFormat="1" x14ac:dyDescent="0.2"/>
    <row r="9205" customFormat="1" x14ac:dyDescent="0.2"/>
    <row r="9206" customFormat="1" x14ac:dyDescent="0.2"/>
    <row r="9207" customFormat="1" x14ac:dyDescent="0.2"/>
    <row r="9208" customFormat="1" x14ac:dyDescent="0.2"/>
    <row r="9209" customFormat="1" x14ac:dyDescent="0.2"/>
    <row r="9210" customFormat="1" x14ac:dyDescent="0.2"/>
    <row r="9211" customFormat="1" x14ac:dyDescent="0.2"/>
    <row r="9212" customFormat="1" x14ac:dyDescent="0.2"/>
    <row r="9213" customFormat="1" x14ac:dyDescent="0.2"/>
    <row r="9214" customFormat="1" x14ac:dyDescent="0.2"/>
    <row r="9215" customFormat="1" x14ac:dyDescent="0.2"/>
    <row r="9216" customFormat="1" x14ac:dyDescent="0.2"/>
    <row r="9217" customFormat="1" x14ac:dyDescent="0.2"/>
    <row r="9218" customFormat="1" x14ac:dyDescent="0.2"/>
    <row r="9219" customFormat="1" x14ac:dyDescent="0.2"/>
    <row r="9220" customFormat="1" x14ac:dyDescent="0.2"/>
    <row r="9221" customFormat="1" x14ac:dyDescent="0.2"/>
    <row r="9222" customFormat="1" x14ac:dyDescent="0.2"/>
    <row r="9223" customFormat="1" x14ac:dyDescent="0.2"/>
    <row r="9224" customFormat="1" x14ac:dyDescent="0.2"/>
    <row r="9225" customFormat="1" x14ac:dyDescent="0.2"/>
    <row r="9226" customFormat="1" x14ac:dyDescent="0.2"/>
    <row r="9227" customFormat="1" x14ac:dyDescent="0.2"/>
    <row r="9228" customFormat="1" x14ac:dyDescent="0.2"/>
    <row r="9229" customFormat="1" x14ac:dyDescent="0.2"/>
    <row r="9230" customFormat="1" x14ac:dyDescent="0.2"/>
    <row r="9231" customFormat="1" x14ac:dyDescent="0.2"/>
    <row r="9232" customFormat="1" x14ac:dyDescent="0.2"/>
    <row r="9233" customFormat="1" x14ac:dyDescent="0.2"/>
    <row r="9234" customFormat="1" x14ac:dyDescent="0.2"/>
    <row r="9235" customFormat="1" x14ac:dyDescent="0.2"/>
    <row r="9236" customFormat="1" x14ac:dyDescent="0.2"/>
    <row r="9237" customFormat="1" x14ac:dyDescent="0.2"/>
    <row r="9238" customFormat="1" x14ac:dyDescent="0.2"/>
    <row r="9239" customFormat="1" x14ac:dyDescent="0.2"/>
    <row r="9240" customFormat="1" x14ac:dyDescent="0.2"/>
    <row r="9241" customFormat="1" x14ac:dyDescent="0.2"/>
    <row r="9242" customFormat="1" x14ac:dyDescent="0.2"/>
    <row r="9243" customFormat="1" x14ac:dyDescent="0.2"/>
    <row r="9244" customFormat="1" x14ac:dyDescent="0.2"/>
    <row r="9245" customFormat="1" x14ac:dyDescent="0.2"/>
    <row r="9246" customFormat="1" x14ac:dyDescent="0.2"/>
    <row r="9247" customFormat="1" x14ac:dyDescent="0.2"/>
    <row r="9248" customFormat="1" x14ac:dyDescent="0.2"/>
    <row r="9249" customFormat="1" x14ac:dyDescent="0.2"/>
    <row r="9250" customFormat="1" x14ac:dyDescent="0.2"/>
    <row r="9251" customFormat="1" x14ac:dyDescent="0.2"/>
    <row r="9252" customFormat="1" x14ac:dyDescent="0.2"/>
    <row r="9253" customFormat="1" x14ac:dyDescent="0.2"/>
    <row r="9254" customFormat="1" x14ac:dyDescent="0.2"/>
    <row r="9255" customFormat="1" x14ac:dyDescent="0.2"/>
    <row r="9256" customFormat="1" x14ac:dyDescent="0.2"/>
    <row r="9257" customFormat="1" x14ac:dyDescent="0.2"/>
    <row r="9258" customFormat="1" x14ac:dyDescent="0.2"/>
    <row r="9259" customFormat="1" x14ac:dyDescent="0.2"/>
    <row r="9260" customFormat="1" x14ac:dyDescent="0.2"/>
    <row r="9261" customFormat="1" x14ac:dyDescent="0.2"/>
    <row r="9262" customFormat="1" x14ac:dyDescent="0.2"/>
    <row r="9263" customFormat="1" x14ac:dyDescent="0.2"/>
    <row r="9264" customFormat="1" x14ac:dyDescent="0.2"/>
    <row r="9265" customFormat="1" x14ac:dyDescent="0.2"/>
    <row r="9266" customFormat="1" x14ac:dyDescent="0.2"/>
    <row r="9267" customFormat="1" x14ac:dyDescent="0.2"/>
    <row r="9268" customFormat="1" x14ac:dyDescent="0.2"/>
    <row r="9269" customFormat="1" x14ac:dyDescent="0.2"/>
    <row r="9270" customFormat="1" x14ac:dyDescent="0.2"/>
    <row r="9271" customFormat="1" x14ac:dyDescent="0.2"/>
    <row r="9272" customFormat="1" x14ac:dyDescent="0.2"/>
    <row r="9273" customFormat="1" x14ac:dyDescent="0.2"/>
    <row r="9274" customFormat="1" x14ac:dyDescent="0.2"/>
    <row r="9275" customFormat="1" x14ac:dyDescent="0.2"/>
    <row r="9276" customFormat="1" x14ac:dyDescent="0.2"/>
    <row r="9277" customFormat="1" x14ac:dyDescent="0.2"/>
    <row r="9278" customFormat="1" x14ac:dyDescent="0.2"/>
    <row r="9279" customFormat="1" x14ac:dyDescent="0.2"/>
    <row r="9280" customFormat="1" x14ac:dyDescent="0.2"/>
    <row r="9281" customFormat="1" x14ac:dyDescent="0.2"/>
    <row r="9282" customFormat="1" x14ac:dyDescent="0.2"/>
    <row r="9283" customFormat="1" x14ac:dyDescent="0.2"/>
    <row r="9284" customFormat="1" x14ac:dyDescent="0.2"/>
    <row r="9285" customFormat="1" x14ac:dyDescent="0.2"/>
    <row r="9286" customFormat="1" x14ac:dyDescent="0.2"/>
    <row r="9287" customFormat="1" x14ac:dyDescent="0.2"/>
    <row r="9288" customFormat="1" x14ac:dyDescent="0.2"/>
    <row r="9289" customFormat="1" x14ac:dyDescent="0.2"/>
    <row r="9290" customFormat="1" x14ac:dyDescent="0.2"/>
    <row r="9291" customFormat="1" x14ac:dyDescent="0.2"/>
    <row r="9292" customFormat="1" x14ac:dyDescent="0.2"/>
    <row r="9293" customFormat="1" x14ac:dyDescent="0.2"/>
    <row r="9294" customFormat="1" x14ac:dyDescent="0.2"/>
    <row r="9295" customFormat="1" x14ac:dyDescent="0.2"/>
    <row r="9296" customFormat="1" x14ac:dyDescent="0.2"/>
    <row r="9297" customFormat="1" x14ac:dyDescent="0.2"/>
    <row r="9298" customFormat="1" x14ac:dyDescent="0.2"/>
    <row r="9299" customFormat="1" x14ac:dyDescent="0.2"/>
    <row r="9300" customFormat="1" x14ac:dyDescent="0.2"/>
    <row r="9301" customFormat="1" x14ac:dyDescent="0.2"/>
    <row r="9302" customFormat="1" x14ac:dyDescent="0.2"/>
    <row r="9303" customFormat="1" x14ac:dyDescent="0.2"/>
    <row r="9304" customFormat="1" x14ac:dyDescent="0.2"/>
    <row r="9305" customFormat="1" x14ac:dyDescent="0.2"/>
    <row r="9306" customFormat="1" x14ac:dyDescent="0.2"/>
    <row r="9307" customFormat="1" x14ac:dyDescent="0.2"/>
    <row r="9308" customFormat="1" x14ac:dyDescent="0.2"/>
    <row r="9309" customFormat="1" x14ac:dyDescent="0.2"/>
    <row r="9310" customFormat="1" x14ac:dyDescent="0.2"/>
    <row r="9311" customFormat="1" x14ac:dyDescent="0.2"/>
    <row r="9312" customFormat="1" x14ac:dyDescent="0.2"/>
    <row r="9313" customFormat="1" x14ac:dyDescent="0.2"/>
    <row r="9314" customFormat="1" x14ac:dyDescent="0.2"/>
    <row r="9315" customFormat="1" x14ac:dyDescent="0.2"/>
    <row r="9316" customFormat="1" x14ac:dyDescent="0.2"/>
    <row r="9317" customFormat="1" x14ac:dyDescent="0.2"/>
    <row r="9318" customFormat="1" x14ac:dyDescent="0.2"/>
    <row r="9319" customFormat="1" x14ac:dyDescent="0.2"/>
    <row r="9320" customFormat="1" x14ac:dyDescent="0.2"/>
    <row r="9321" customFormat="1" x14ac:dyDescent="0.2"/>
    <row r="9322" customFormat="1" x14ac:dyDescent="0.2"/>
    <row r="9323" customFormat="1" x14ac:dyDescent="0.2"/>
    <row r="9324" customFormat="1" x14ac:dyDescent="0.2"/>
    <row r="9325" customFormat="1" x14ac:dyDescent="0.2"/>
    <row r="9326" customFormat="1" x14ac:dyDescent="0.2"/>
    <row r="9327" customFormat="1" x14ac:dyDescent="0.2"/>
    <row r="9328" customFormat="1" x14ac:dyDescent="0.2"/>
    <row r="9329" customFormat="1" x14ac:dyDescent="0.2"/>
    <row r="9330" customFormat="1" x14ac:dyDescent="0.2"/>
    <row r="9331" customFormat="1" x14ac:dyDescent="0.2"/>
    <row r="9332" customFormat="1" x14ac:dyDescent="0.2"/>
    <row r="9333" customFormat="1" x14ac:dyDescent="0.2"/>
    <row r="9334" customFormat="1" x14ac:dyDescent="0.2"/>
    <row r="9335" customFormat="1" x14ac:dyDescent="0.2"/>
    <row r="9336" customFormat="1" x14ac:dyDescent="0.2"/>
    <row r="9337" customFormat="1" x14ac:dyDescent="0.2"/>
    <row r="9338" customFormat="1" x14ac:dyDescent="0.2"/>
    <row r="9339" customFormat="1" x14ac:dyDescent="0.2"/>
    <row r="9340" customFormat="1" x14ac:dyDescent="0.2"/>
    <row r="9341" customFormat="1" x14ac:dyDescent="0.2"/>
    <row r="9342" customFormat="1" x14ac:dyDescent="0.2"/>
    <row r="9343" customFormat="1" x14ac:dyDescent="0.2"/>
    <row r="9344" customFormat="1" x14ac:dyDescent="0.2"/>
    <row r="9345" customFormat="1" x14ac:dyDescent="0.2"/>
    <row r="9346" customFormat="1" x14ac:dyDescent="0.2"/>
    <row r="9347" customFormat="1" x14ac:dyDescent="0.2"/>
    <row r="9348" customFormat="1" x14ac:dyDescent="0.2"/>
    <row r="9349" customFormat="1" x14ac:dyDescent="0.2"/>
    <row r="9350" customFormat="1" x14ac:dyDescent="0.2"/>
    <row r="9351" customFormat="1" x14ac:dyDescent="0.2"/>
    <row r="9352" customFormat="1" x14ac:dyDescent="0.2"/>
    <row r="9353" customFormat="1" x14ac:dyDescent="0.2"/>
    <row r="9354" customFormat="1" x14ac:dyDescent="0.2"/>
    <row r="9355" customFormat="1" x14ac:dyDescent="0.2"/>
    <row r="9356" customFormat="1" x14ac:dyDescent="0.2"/>
    <row r="9357" customFormat="1" x14ac:dyDescent="0.2"/>
    <row r="9358" customFormat="1" x14ac:dyDescent="0.2"/>
    <row r="9359" customFormat="1" x14ac:dyDescent="0.2"/>
    <row r="9360" customFormat="1" x14ac:dyDescent="0.2"/>
    <row r="9361" customFormat="1" x14ac:dyDescent="0.2"/>
    <row r="9362" customFormat="1" x14ac:dyDescent="0.2"/>
    <row r="9363" customFormat="1" x14ac:dyDescent="0.2"/>
    <row r="9364" customFormat="1" x14ac:dyDescent="0.2"/>
    <row r="9365" customFormat="1" x14ac:dyDescent="0.2"/>
    <row r="9366" customFormat="1" x14ac:dyDescent="0.2"/>
    <row r="9367" customFormat="1" x14ac:dyDescent="0.2"/>
    <row r="9368" customFormat="1" x14ac:dyDescent="0.2"/>
    <row r="9369" customFormat="1" x14ac:dyDescent="0.2"/>
    <row r="9370" customFormat="1" x14ac:dyDescent="0.2"/>
    <row r="9371" customFormat="1" x14ac:dyDescent="0.2"/>
    <row r="9372" customFormat="1" x14ac:dyDescent="0.2"/>
    <row r="9373" customFormat="1" x14ac:dyDescent="0.2"/>
    <row r="9374" customFormat="1" x14ac:dyDescent="0.2"/>
    <row r="9375" customFormat="1" x14ac:dyDescent="0.2"/>
    <row r="9376" customFormat="1" x14ac:dyDescent="0.2"/>
    <row r="9377" customFormat="1" x14ac:dyDescent="0.2"/>
    <row r="9378" customFormat="1" x14ac:dyDescent="0.2"/>
    <row r="9379" customFormat="1" x14ac:dyDescent="0.2"/>
    <row r="9380" customFormat="1" x14ac:dyDescent="0.2"/>
    <row r="9381" customFormat="1" x14ac:dyDescent="0.2"/>
    <row r="9382" customFormat="1" x14ac:dyDescent="0.2"/>
    <row r="9383" customFormat="1" x14ac:dyDescent="0.2"/>
    <row r="9384" customFormat="1" x14ac:dyDescent="0.2"/>
    <row r="9385" customFormat="1" x14ac:dyDescent="0.2"/>
    <row r="9386" customFormat="1" x14ac:dyDescent="0.2"/>
    <row r="9387" customFormat="1" x14ac:dyDescent="0.2"/>
    <row r="9388" customFormat="1" x14ac:dyDescent="0.2"/>
    <row r="9389" customFormat="1" x14ac:dyDescent="0.2"/>
    <row r="9390" customFormat="1" x14ac:dyDescent="0.2"/>
    <row r="9391" customFormat="1" x14ac:dyDescent="0.2"/>
    <row r="9392" customFormat="1" x14ac:dyDescent="0.2"/>
    <row r="9393" customFormat="1" x14ac:dyDescent="0.2"/>
    <row r="9394" customFormat="1" x14ac:dyDescent="0.2"/>
    <row r="9395" customFormat="1" x14ac:dyDescent="0.2"/>
    <row r="9396" customFormat="1" x14ac:dyDescent="0.2"/>
    <row r="9397" customFormat="1" x14ac:dyDescent="0.2"/>
    <row r="9398" customFormat="1" x14ac:dyDescent="0.2"/>
    <row r="9399" customFormat="1" x14ac:dyDescent="0.2"/>
    <row r="9400" customFormat="1" x14ac:dyDescent="0.2"/>
    <row r="9401" customFormat="1" x14ac:dyDescent="0.2"/>
    <row r="9402" customFormat="1" x14ac:dyDescent="0.2"/>
    <row r="9403" customFormat="1" x14ac:dyDescent="0.2"/>
    <row r="9404" customFormat="1" x14ac:dyDescent="0.2"/>
    <row r="9405" customFormat="1" x14ac:dyDescent="0.2"/>
    <row r="9406" customFormat="1" x14ac:dyDescent="0.2"/>
    <row r="9407" customFormat="1" x14ac:dyDescent="0.2"/>
    <row r="9408" customFormat="1" x14ac:dyDescent="0.2"/>
    <row r="9409" customFormat="1" x14ac:dyDescent="0.2"/>
    <row r="9410" customFormat="1" x14ac:dyDescent="0.2"/>
    <row r="9411" customFormat="1" x14ac:dyDescent="0.2"/>
    <row r="9412" customFormat="1" x14ac:dyDescent="0.2"/>
    <row r="9413" customFormat="1" x14ac:dyDescent="0.2"/>
    <row r="9414" customFormat="1" x14ac:dyDescent="0.2"/>
    <row r="9415" customFormat="1" x14ac:dyDescent="0.2"/>
    <row r="9416" customFormat="1" x14ac:dyDescent="0.2"/>
    <row r="9417" customFormat="1" x14ac:dyDescent="0.2"/>
    <row r="9418" customFormat="1" x14ac:dyDescent="0.2"/>
    <row r="9419" customFormat="1" x14ac:dyDescent="0.2"/>
    <row r="9420" customFormat="1" x14ac:dyDescent="0.2"/>
    <row r="9421" customFormat="1" x14ac:dyDescent="0.2"/>
    <row r="9422" customFormat="1" x14ac:dyDescent="0.2"/>
    <row r="9423" customFormat="1" x14ac:dyDescent="0.2"/>
    <row r="9424" customFormat="1" x14ac:dyDescent="0.2"/>
    <row r="9425" customFormat="1" x14ac:dyDescent="0.2"/>
    <row r="9426" customFormat="1" x14ac:dyDescent="0.2"/>
    <row r="9427" customFormat="1" x14ac:dyDescent="0.2"/>
    <row r="9428" customFormat="1" x14ac:dyDescent="0.2"/>
    <row r="9429" customFormat="1" x14ac:dyDescent="0.2"/>
    <row r="9430" customFormat="1" x14ac:dyDescent="0.2"/>
    <row r="9431" customFormat="1" x14ac:dyDescent="0.2"/>
    <row r="9432" customFormat="1" x14ac:dyDescent="0.2"/>
    <row r="9433" customFormat="1" x14ac:dyDescent="0.2"/>
    <row r="9434" customFormat="1" x14ac:dyDescent="0.2"/>
    <row r="9435" customFormat="1" x14ac:dyDescent="0.2"/>
    <row r="9436" customFormat="1" x14ac:dyDescent="0.2"/>
    <row r="9437" customFormat="1" x14ac:dyDescent="0.2"/>
    <row r="9438" customFormat="1" x14ac:dyDescent="0.2"/>
    <row r="9439" customFormat="1" x14ac:dyDescent="0.2"/>
    <row r="9440" customFormat="1" x14ac:dyDescent="0.2"/>
    <row r="9441" customFormat="1" x14ac:dyDescent="0.2"/>
    <row r="9442" customFormat="1" x14ac:dyDescent="0.2"/>
    <row r="9443" customFormat="1" x14ac:dyDescent="0.2"/>
    <row r="9444" customFormat="1" x14ac:dyDescent="0.2"/>
    <row r="9445" customFormat="1" x14ac:dyDescent="0.2"/>
    <row r="9446" customFormat="1" x14ac:dyDescent="0.2"/>
    <row r="9447" customFormat="1" x14ac:dyDescent="0.2"/>
    <row r="9448" customFormat="1" x14ac:dyDescent="0.2"/>
    <row r="9449" customFormat="1" x14ac:dyDescent="0.2"/>
    <row r="9450" customFormat="1" x14ac:dyDescent="0.2"/>
    <row r="9451" customFormat="1" x14ac:dyDescent="0.2"/>
    <row r="9452" customFormat="1" x14ac:dyDescent="0.2"/>
    <row r="9453" customFormat="1" x14ac:dyDescent="0.2"/>
    <row r="9454" customFormat="1" x14ac:dyDescent="0.2"/>
    <row r="9455" customFormat="1" x14ac:dyDescent="0.2"/>
    <row r="9456" customFormat="1" x14ac:dyDescent="0.2"/>
    <row r="9457" customFormat="1" x14ac:dyDescent="0.2"/>
    <row r="9458" customFormat="1" x14ac:dyDescent="0.2"/>
    <row r="9459" customFormat="1" x14ac:dyDescent="0.2"/>
    <row r="9460" customFormat="1" x14ac:dyDescent="0.2"/>
    <row r="9461" customFormat="1" x14ac:dyDescent="0.2"/>
    <row r="9462" customFormat="1" x14ac:dyDescent="0.2"/>
    <row r="9463" customFormat="1" x14ac:dyDescent="0.2"/>
    <row r="9464" customFormat="1" x14ac:dyDescent="0.2"/>
    <row r="9465" customFormat="1" x14ac:dyDescent="0.2"/>
    <row r="9466" customFormat="1" x14ac:dyDescent="0.2"/>
    <row r="9467" customFormat="1" x14ac:dyDescent="0.2"/>
    <row r="9468" customFormat="1" x14ac:dyDescent="0.2"/>
    <row r="9469" customFormat="1" x14ac:dyDescent="0.2"/>
    <row r="9470" customFormat="1" x14ac:dyDescent="0.2"/>
    <row r="9471" customFormat="1" x14ac:dyDescent="0.2"/>
    <row r="9472" customFormat="1" x14ac:dyDescent="0.2"/>
    <row r="9473" customFormat="1" x14ac:dyDescent="0.2"/>
    <row r="9474" customFormat="1" x14ac:dyDescent="0.2"/>
    <row r="9475" customFormat="1" x14ac:dyDescent="0.2"/>
    <row r="9476" customFormat="1" x14ac:dyDescent="0.2"/>
    <row r="9477" customFormat="1" x14ac:dyDescent="0.2"/>
    <row r="9478" customFormat="1" x14ac:dyDescent="0.2"/>
    <row r="9479" customFormat="1" x14ac:dyDescent="0.2"/>
    <row r="9480" customFormat="1" x14ac:dyDescent="0.2"/>
    <row r="9481" customFormat="1" x14ac:dyDescent="0.2"/>
    <row r="9482" customFormat="1" x14ac:dyDescent="0.2"/>
    <row r="9483" customFormat="1" x14ac:dyDescent="0.2"/>
    <row r="9484" customFormat="1" x14ac:dyDescent="0.2"/>
    <row r="9485" customFormat="1" x14ac:dyDescent="0.2"/>
    <row r="9486" customFormat="1" x14ac:dyDescent="0.2"/>
    <row r="9487" customFormat="1" x14ac:dyDescent="0.2"/>
    <row r="9488" customFormat="1" x14ac:dyDescent="0.2"/>
    <row r="9489" customFormat="1" x14ac:dyDescent="0.2"/>
    <row r="9490" customFormat="1" x14ac:dyDescent="0.2"/>
    <row r="9491" customFormat="1" x14ac:dyDescent="0.2"/>
    <row r="9492" customFormat="1" x14ac:dyDescent="0.2"/>
    <row r="9493" customFormat="1" x14ac:dyDescent="0.2"/>
    <row r="9494" customFormat="1" x14ac:dyDescent="0.2"/>
    <row r="9495" customFormat="1" x14ac:dyDescent="0.2"/>
    <row r="9496" customFormat="1" x14ac:dyDescent="0.2"/>
    <row r="9497" customFormat="1" x14ac:dyDescent="0.2"/>
    <row r="9498" customFormat="1" x14ac:dyDescent="0.2"/>
    <row r="9499" customFormat="1" x14ac:dyDescent="0.2"/>
    <row r="9500" customFormat="1" x14ac:dyDescent="0.2"/>
    <row r="9501" customFormat="1" x14ac:dyDescent="0.2"/>
    <row r="9502" customFormat="1" x14ac:dyDescent="0.2"/>
    <row r="9503" customFormat="1" x14ac:dyDescent="0.2"/>
    <row r="9504" customFormat="1" x14ac:dyDescent="0.2"/>
    <row r="9505" customFormat="1" x14ac:dyDescent="0.2"/>
    <row r="9506" customFormat="1" x14ac:dyDescent="0.2"/>
    <row r="9507" customFormat="1" x14ac:dyDescent="0.2"/>
    <row r="9508" customFormat="1" x14ac:dyDescent="0.2"/>
    <row r="9509" customFormat="1" x14ac:dyDescent="0.2"/>
    <row r="9510" customFormat="1" x14ac:dyDescent="0.2"/>
    <row r="9511" customFormat="1" x14ac:dyDescent="0.2"/>
    <row r="9512" customFormat="1" x14ac:dyDescent="0.2"/>
    <row r="9513" customFormat="1" x14ac:dyDescent="0.2"/>
    <row r="9514" customFormat="1" x14ac:dyDescent="0.2"/>
    <row r="9515" customFormat="1" x14ac:dyDescent="0.2"/>
    <row r="9516" customFormat="1" x14ac:dyDescent="0.2"/>
    <row r="9517" customFormat="1" x14ac:dyDescent="0.2"/>
    <row r="9518" customFormat="1" x14ac:dyDescent="0.2"/>
    <row r="9519" customFormat="1" x14ac:dyDescent="0.2"/>
    <row r="9520" customFormat="1" x14ac:dyDescent="0.2"/>
    <row r="9521" customFormat="1" x14ac:dyDescent="0.2"/>
    <row r="9522" customFormat="1" x14ac:dyDescent="0.2"/>
    <row r="9523" customFormat="1" x14ac:dyDescent="0.2"/>
    <row r="9524" customFormat="1" x14ac:dyDescent="0.2"/>
    <row r="9525" customFormat="1" x14ac:dyDescent="0.2"/>
    <row r="9526" customFormat="1" x14ac:dyDescent="0.2"/>
    <row r="9527" customFormat="1" x14ac:dyDescent="0.2"/>
    <row r="9528" customFormat="1" x14ac:dyDescent="0.2"/>
    <row r="9529" customFormat="1" x14ac:dyDescent="0.2"/>
    <row r="9530" customFormat="1" x14ac:dyDescent="0.2"/>
    <row r="9531" customFormat="1" x14ac:dyDescent="0.2"/>
    <row r="9532" customFormat="1" x14ac:dyDescent="0.2"/>
    <row r="9533" customFormat="1" x14ac:dyDescent="0.2"/>
    <row r="9534" customFormat="1" x14ac:dyDescent="0.2"/>
    <row r="9535" customFormat="1" x14ac:dyDescent="0.2"/>
    <row r="9536" customFormat="1" x14ac:dyDescent="0.2"/>
    <row r="9537" customFormat="1" x14ac:dyDescent="0.2"/>
    <row r="9538" customFormat="1" x14ac:dyDescent="0.2"/>
    <row r="9539" customFormat="1" x14ac:dyDescent="0.2"/>
    <row r="9540" customFormat="1" x14ac:dyDescent="0.2"/>
    <row r="9541" customFormat="1" x14ac:dyDescent="0.2"/>
    <row r="9542" customFormat="1" x14ac:dyDescent="0.2"/>
    <row r="9543" customFormat="1" x14ac:dyDescent="0.2"/>
    <row r="9544" customFormat="1" x14ac:dyDescent="0.2"/>
    <row r="9545" customFormat="1" x14ac:dyDescent="0.2"/>
    <row r="9546" customFormat="1" x14ac:dyDescent="0.2"/>
    <row r="9547" customFormat="1" x14ac:dyDescent="0.2"/>
    <row r="9548" customFormat="1" x14ac:dyDescent="0.2"/>
    <row r="9549" customFormat="1" x14ac:dyDescent="0.2"/>
    <row r="9550" customFormat="1" x14ac:dyDescent="0.2"/>
    <row r="9551" customFormat="1" x14ac:dyDescent="0.2"/>
    <row r="9552" customFormat="1" x14ac:dyDescent="0.2"/>
    <row r="9553" customFormat="1" x14ac:dyDescent="0.2"/>
    <row r="9554" customFormat="1" x14ac:dyDescent="0.2"/>
    <row r="9555" customFormat="1" x14ac:dyDescent="0.2"/>
    <row r="9556" customFormat="1" x14ac:dyDescent="0.2"/>
    <row r="9557" customFormat="1" x14ac:dyDescent="0.2"/>
    <row r="9558" customFormat="1" x14ac:dyDescent="0.2"/>
    <row r="9559" customFormat="1" x14ac:dyDescent="0.2"/>
    <row r="9560" customFormat="1" x14ac:dyDescent="0.2"/>
    <row r="9561" customFormat="1" x14ac:dyDescent="0.2"/>
    <row r="9562" customFormat="1" x14ac:dyDescent="0.2"/>
    <row r="9563" customFormat="1" x14ac:dyDescent="0.2"/>
    <row r="9564" customFormat="1" x14ac:dyDescent="0.2"/>
    <row r="9565" customFormat="1" x14ac:dyDescent="0.2"/>
    <row r="9566" customFormat="1" x14ac:dyDescent="0.2"/>
    <row r="9567" customFormat="1" x14ac:dyDescent="0.2"/>
    <row r="9568" customFormat="1" x14ac:dyDescent="0.2"/>
    <row r="9569" customFormat="1" x14ac:dyDescent="0.2"/>
    <row r="9570" customFormat="1" x14ac:dyDescent="0.2"/>
    <row r="9571" customFormat="1" x14ac:dyDescent="0.2"/>
    <row r="9572" customFormat="1" x14ac:dyDescent="0.2"/>
    <row r="9573" customFormat="1" x14ac:dyDescent="0.2"/>
    <row r="9574" customFormat="1" x14ac:dyDescent="0.2"/>
    <row r="9575" customFormat="1" x14ac:dyDescent="0.2"/>
    <row r="9576" customFormat="1" x14ac:dyDescent="0.2"/>
    <row r="9577" customFormat="1" x14ac:dyDescent="0.2"/>
    <row r="9578" customFormat="1" x14ac:dyDescent="0.2"/>
    <row r="9579" customFormat="1" x14ac:dyDescent="0.2"/>
    <row r="9580" customFormat="1" x14ac:dyDescent="0.2"/>
    <row r="9581" customFormat="1" x14ac:dyDescent="0.2"/>
    <row r="9582" customFormat="1" x14ac:dyDescent="0.2"/>
    <row r="9583" customFormat="1" x14ac:dyDescent="0.2"/>
    <row r="9584" customFormat="1" x14ac:dyDescent="0.2"/>
    <row r="9585" customFormat="1" x14ac:dyDescent="0.2"/>
    <row r="9586" customFormat="1" x14ac:dyDescent="0.2"/>
    <row r="9587" customFormat="1" x14ac:dyDescent="0.2"/>
    <row r="9588" customFormat="1" x14ac:dyDescent="0.2"/>
    <row r="9589" customFormat="1" x14ac:dyDescent="0.2"/>
    <row r="9590" customFormat="1" x14ac:dyDescent="0.2"/>
    <row r="9591" customFormat="1" x14ac:dyDescent="0.2"/>
    <row r="9592" customFormat="1" x14ac:dyDescent="0.2"/>
    <row r="9593" customFormat="1" x14ac:dyDescent="0.2"/>
    <row r="9594" customFormat="1" x14ac:dyDescent="0.2"/>
    <row r="9595" customFormat="1" x14ac:dyDescent="0.2"/>
    <row r="9596" customFormat="1" x14ac:dyDescent="0.2"/>
    <row r="9597" customFormat="1" x14ac:dyDescent="0.2"/>
    <row r="9598" customFormat="1" x14ac:dyDescent="0.2"/>
    <row r="9599" customFormat="1" x14ac:dyDescent="0.2"/>
    <row r="9600" customFormat="1" x14ac:dyDescent="0.2"/>
    <row r="9601" customFormat="1" x14ac:dyDescent="0.2"/>
    <row r="9602" customFormat="1" x14ac:dyDescent="0.2"/>
    <row r="9603" customFormat="1" x14ac:dyDescent="0.2"/>
    <row r="9604" customFormat="1" x14ac:dyDescent="0.2"/>
    <row r="9605" customFormat="1" x14ac:dyDescent="0.2"/>
    <row r="9606" customFormat="1" x14ac:dyDescent="0.2"/>
    <row r="9607" customFormat="1" x14ac:dyDescent="0.2"/>
    <row r="9608" customFormat="1" x14ac:dyDescent="0.2"/>
    <row r="9609" customFormat="1" x14ac:dyDescent="0.2"/>
    <row r="9610" customFormat="1" x14ac:dyDescent="0.2"/>
    <row r="9611" customFormat="1" x14ac:dyDescent="0.2"/>
    <row r="9612" customFormat="1" x14ac:dyDescent="0.2"/>
    <row r="9613" customFormat="1" x14ac:dyDescent="0.2"/>
    <row r="9614" customFormat="1" x14ac:dyDescent="0.2"/>
    <row r="9615" customFormat="1" x14ac:dyDescent="0.2"/>
    <row r="9616" customFormat="1" x14ac:dyDescent="0.2"/>
    <row r="9617" customFormat="1" x14ac:dyDescent="0.2"/>
    <row r="9618" customFormat="1" x14ac:dyDescent="0.2"/>
    <row r="9619" customFormat="1" x14ac:dyDescent="0.2"/>
    <row r="9620" customFormat="1" x14ac:dyDescent="0.2"/>
    <row r="9621" customFormat="1" x14ac:dyDescent="0.2"/>
    <row r="9622" customFormat="1" x14ac:dyDescent="0.2"/>
    <row r="9623" customFormat="1" x14ac:dyDescent="0.2"/>
    <row r="9624" customFormat="1" x14ac:dyDescent="0.2"/>
    <row r="9625" customFormat="1" x14ac:dyDescent="0.2"/>
    <row r="9626" customFormat="1" x14ac:dyDescent="0.2"/>
    <row r="9627" customFormat="1" x14ac:dyDescent="0.2"/>
    <row r="9628" customFormat="1" x14ac:dyDescent="0.2"/>
    <row r="9629" customFormat="1" x14ac:dyDescent="0.2"/>
    <row r="9630" customFormat="1" x14ac:dyDescent="0.2"/>
    <row r="9631" customFormat="1" x14ac:dyDescent="0.2"/>
    <row r="9632" customFormat="1" x14ac:dyDescent="0.2"/>
    <row r="9633" customFormat="1" x14ac:dyDescent="0.2"/>
    <row r="9634" customFormat="1" x14ac:dyDescent="0.2"/>
    <row r="9635" customFormat="1" x14ac:dyDescent="0.2"/>
    <row r="9636" customFormat="1" x14ac:dyDescent="0.2"/>
    <row r="9637" customFormat="1" x14ac:dyDescent="0.2"/>
    <row r="9638" customFormat="1" x14ac:dyDescent="0.2"/>
    <row r="9639" customFormat="1" x14ac:dyDescent="0.2"/>
    <row r="9640" customFormat="1" x14ac:dyDescent="0.2"/>
    <row r="9641" customFormat="1" x14ac:dyDescent="0.2"/>
    <row r="9642" customFormat="1" x14ac:dyDescent="0.2"/>
    <row r="9643" customFormat="1" x14ac:dyDescent="0.2"/>
    <row r="9644" customFormat="1" x14ac:dyDescent="0.2"/>
    <row r="9645" customFormat="1" x14ac:dyDescent="0.2"/>
    <row r="9646" customFormat="1" x14ac:dyDescent="0.2"/>
    <row r="9647" customFormat="1" x14ac:dyDescent="0.2"/>
    <row r="9648" customFormat="1" x14ac:dyDescent="0.2"/>
    <row r="9649" customFormat="1" x14ac:dyDescent="0.2"/>
    <row r="9650" customFormat="1" x14ac:dyDescent="0.2"/>
    <row r="9651" customFormat="1" x14ac:dyDescent="0.2"/>
    <row r="9652" customFormat="1" x14ac:dyDescent="0.2"/>
    <row r="9653" customFormat="1" x14ac:dyDescent="0.2"/>
    <row r="9654" customFormat="1" x14ac:dyDescent="0.2"/>
    <row r="9655" customFormat="1" x14ac:dyDescent="0.2"/>
    <row r="9656" customFormat="1" x14ac:dyDescent="0.2"/>
    <row r="9657" customFormat="1" x14ac:dyDescent="0.2"/>
    <row r="9658" customFormat="1" x14ac:dyDescent="0.2"/>
    <row r="9659" customFormat="1" x14ac:dyDescent="0.2"/>
    <row r="9660" customFormat="1" x14ac:dyDescent="0.2"/>
    <row r="9661" customFormat="1" x14ac:dyDescent="0.2"/>
    <row r="9662" customFormat="1" x14ac:dyDescent="0.2"/>
    <row r="9663" customFormat="1" x14ac:dyDescent="0.2"/>
    <row r="9664" customFormat="1" x14ac:dyDescent="0.2"/>
    <row r="9665" customFormat="1" x14ac:dyDescent="0.2"/>
    <row r="9666" customFormat="1" x14ac:dyDescent="0.2"/>
    <row r="9667" customFormat="1" x14ac:dyDescent="0.2"/>
    <row r="9668" customFormat="1" x14ac:dyDescent="0.2"/>
    <row r="9669" customFormat="1" x14ac:dyDescent="0.2"/>
    <row r="9670" customFormat="1" x14ac:dyDescent="0.2"/>
    <row r="9671" customFormat="1" x14ac:dyDescent="0.2"/>
    <row r="9672" customFormat="1" x14ac:dyDescent="0.2"/>
    <row r="9673" customFormat="1" x14ac:dyDescent="0.2"/>
    <row r="9674" customFormat="1" x14ac:dyDescent="0.2"/>
    <row r="9675" customFormat="1" x14ac:dyDescent="0.2"/>
    <row r="9676" customFormat="1" x14ac:dyDescent="0.2"/>
    <row r="9677" customFormat="1" x14ac:dyDescent="0.2"/>
    <row r="9678" customFormat="1" x14ac:dyDescent="0.2"/>
    <row r="9679" customFormat="1" x14ac:dyDescent="0.2"/>
    <row r="9680" customFormat="1" x14ac:dyDescent="0.2"/>
    <row r="9681" customFormat="1" x14ac:dyDescent="0.2"/>
    <row r="9682" customFormat="1" x14ac:dyDescent="0.2"/>
    <row r="9683" customFormat="1" x14ac:dyDescent="0.2"/>
    <row r="9684" customFormat="1" x14ac:dyDescent="0.2"/>
    <row r="9685" customFormat="1" x14ac:dyDescent="0.2"/>
    <row r="9686" customFormat="1" x14ac:dyDescent="0.2"/>
    <row r="9687" customFormat="1" x14ac:dyDescent="0.2"/>
    <row r="9688" customFormat="1" x14ac:dyDescent="0.2"/>
    <row r="9689" customFormat="1" x14ac:dyDescent="0.2"/>
    <row r="9690" customFormat="1" x14ac:dyDescent="0.2"/>
    <row r="9691" customFormat="1" x14ac:dyDescent="0.2"/>
    <row r="9692" customFormat="1" x14ac:dyDescent="0.2"/>
    <row r="9693" customFormat="1" x14ac:dyDescent="0.2"/>
    <row r="9694" customFormat="1" x14ac:dyDescent="0.2"/>
    <row r="9695" customFormat="1" x14ac:dyDescent="0.2"/>
    <row r="9696" customFormat="1" x14ac:dyDescent="0.2"/>
    <row r="9697" customFormat="1" x14ac:dyDescent="0.2"/>
    <row r="9698" customFormat="1" x14ac:dyDescent="0.2"/>
    <row r="9699" customFormat="1" x14ac:dyDescent="0.2"/>
    <row r="9700" customFormat="1" x14ac:dyDescent="0.2"/>
    <row r="9701" customFormat="1" x14ac:dyDescent="0.2"/>
    <row r="9702" customFormat="1" x14ac:dyDescent="0.2"/>
    <row r="9703" customFormat="1" x14ac:dyDescent="0.2"/>
    <row r="9704" customFormat="1" x14ac:dyDescent="0.2"/>
    <row r="9705" customFormat="1" x14ac:dyDescent="0.2"/>
    <row r="9706" customFormat="1" x14ac:dyDescent="0.2"/>
    <row r="9707" customFormat="1" x14ac:dyDescent="0.2"/>
    <row r="9708" customFormat="1" x14ac:dyDescent="0.2"/>
    <row r="9709" customFormat="1" x14ac:dyDescent="0.2"/>
    <row r="9710" customFormat="1" x14ac:dyDescent="0.2"/>
    <row r="9711" customFormat="1" x14ac:dyDescent="0.2"/>
    <row r="9712" customFormat="1" x14ac:dyDescent="0.2"/>
    <row r="9713" customFormat="1" x14ac:dyDescent="0.2"/>
    <row r="9714" customFormat="1" x14ac:dyDescent="0.2"/>
    <row r="9715" customFormat="1" x14ac:dyDescent="0.2"/>
    <row r="9716" customFormat="1" x14ac:dyDescent="0.2"/>
    <row r="9717" customFormat="1" x14ac:dyDescent="0.2"/>
    <row r="9718" customFormat="1" x14ac:dyDescent="0.2"/>
    <row r="9719" customFormat="1" x14ac:dyDescent="0.2"/>
    <row r="9720" customFormat="1" x14ac:dyDescent="0.2"/>
    <row r="9721" customFormat="1" x14ac:dyDescent="0.2"/>
    <row r="9722" customFormat="1" x14ac:dyDescent="0.2"/>
    <row r="9723" customFormat="1" x14ac:dyDescent="0.2"/>
    <row r="9724" customFormat="1" x14ac:dyDescent="0.2"/>
    <row r="9725" customFormat="1" x14ac:dyDescent="0.2"/>
    <row r="9726" customFormat="1" x14ac:dyDescent="0.2"/>
    <row r="9727" customFormat="1" x14ac:dyDescent="0.2"/>
    <row r="9728" customFormat="1" x14ac:dyDescent="0.2"/>
    <row r="9729" customFormat="1" x14ac:dyDescent="0.2"/>
    <row r="9730" customFormat="1" x14ac:dyDescent="0.2"/>
    <row r="9731" customFormat="1" x14ac:dyDescent="0.2"/>
    <row r="9732" customFormat="1" x14ac:dyDescent="0.2"/>
    <row r="9733" customFormat="1" x14ac:dyDescent="0.2"/>
    <row r="9734" customFormat="1" x14ac:dyDescent="0.2"/>
    <row r="9735" customFormat="1" x14ac:dyDescent="0.2"/>
    <row r="9736" customFormat="1" x14ac:dyDescent="0.2"/>
    <row r="9737" customFormat="1" x14ac:dyDescent="0.2"/>
    <row r="9738" customFormat="1" x14ac:dyDescent="0.2"/>
    <row r="9739" customFormat="1" x14ac:dyDescent="0.2"/>
    <row r="9740" customFormat="1" x14ac:dyDescent="0.2"/>
    <row r="9741" customFormat="1" x14ac:dyDescent="0.2"/>
    <row r="9742" customFormat="1" x14ac:dyDescent="0.2"/>
    <row r="9743" customFormat="1" x14ac:dyDescent="0.2"/>
    <row r="9744" customFormat="1" x14ac:dyDescent="0.2"/>
    <row r="9745" customFormat="1" x14ac:dyDescent="0.2"/>
    <row r="9746" customFormat="1" x14ac:dyDescent="0.2"/>
    <row r="9747" customFormat="1" x14ac:dyDescent="0.2"/>
    <row r="9748" customFormat="1" x14ac:dyDescent="0.2"/>
    <row r="9749" customFormat="1" x14ac:dyDescent="0.2"/>
    <row r="9750" customFormat="1" x14ac:dyDescent="0.2"/>
    <row r="9751" customFormat="1" x14ac:dyDescent="0.2"/>
    <row r="9752" customFormat="1" x14ac:dyDescent="0.2"/>
    <row r="9753" customFormat="1" x14ac:dyDescent="0.2"/>
    <row r="9754" customFormat="1" x14ac:dyDescent="0.2"/>
    <row r="9755" customFormat="1" x14ac:dyDescent="0.2"/>
    <row r="9756" customFormat="1" x14ac:dyDescent="0.2"/>
    <row r="9757" customFormat="1" x14ac:dyDescent="0.2"/>
    <row r="9758" customFormat="1" x14ac:dyDescent="0.2"/>
    <row r="9759" customFormat="1" x14ac:dyDescent="0.2"/>
    <row r="9760" customFormat="1" x14ac:dyDescent="0.2"/>
    <row r="9761" customFormat="1" x14ac:dyDescent="0.2"/>
    <row r="9762" customFormat="1" x14ac:dyDescent="0.2"/>
    <row r="9763" customFormat="1" x14ac:dyDescent="0.2"/>
    <row r="9764" customFormat="1" x14ac:dyDescent="0.2"/>
    <row r="9765" customFormat="1" x14ac:dyDescent="0.2"/>
    <row r="9766" customFormat="1" x14ac:dyDescent="0.2"/>
    <row r="9767" customFormat="1" x14ac:dyDescent="0.2"/>
    <row r="9768" customFormat="1" x14ac:dyDescent="0.2"/>
    <row r="9769" customFormat="1" x14ac:dyDescent="0.2"/>
    <row r="9770" customFormat="1" x14ac:dyDescent="0.2"/>
    <row r="9771" customFormat="1" x14ac:dyDescent="0.2"/>
    <row r="9772" customFormat="1" x14ac:dyDescent="0.2"/>
    <row r="9773" customFormat="1" x14ac:dyDescent="0.2"/>
    <row r="9774" customFormat="1" x14ac:dyDescent="0.2"/>
    <row r="9775" customFormat="1" x14ac:dyDescent="0.2"/>
    <row r="9776" customFormat="1" x14ac:dyDescent="0.2"/>
    <row r="9777" customFormat="1" x14ac:dyDescent="0.2"/>
    <row r="9778" customFormat="1" x14ac:dyDescent="0.2"/>
    <row r="9779" customFormat="1" x14ac:dyDescent="0.2"/>
    <row r="9780" customFormat="1" x14ac:dyDescent="0.2"/>
    <row r="9781" customFormat="1" x14ac:dyDescent="0.2"/>
    <row r="9782" customFormat="1" x14ac:dyDescent="0.2"/>
    <row r="9783" customFormat="1" x14ac:dyDescent="0.2"/>
    <row r="9784" customFormat="1" x14ac:dyDescent="0.2"/>
    <row r="9785" customFormat="1" x14ac:dyDescent="0.2"/>
    <row r="9786" customFormat="1" x14ac:dyDescent="0.2"/>
    <row r="9787" customFormat="1" x14ac:dyDescent="0.2"/>
    <row r="9788" customFormat="1" x14ac:dyDescent="0.2"/>
    <row r="9789" customFormat="1" x14ac:dyDescent="0.2"/>
    <row r="9790" customFormat="1" x14ac:dyDescent="0.2"/>
    <row r="9791" customFormat="1" x14ac:dyDescent="0.2"/>
    <row r="9792" customFormat="1" x14ac:dyDescent="0.2"/>
    <row r="9793" customFormat="1" x14ac:dyDescent="0.2"/>
    <row r="9794" customFormat="1" x14ac:dyDescent="0.2"/>
    <row r="9795" customFormat="1" x14ac:dyDescent="0.2"/>
    <row r="9796" customFormat="1" x14ac:dyDescent="0.2"/>
    <row r="9797" customFormat="1" x14ac:dyDescent="0.2"/>
    <row r="9798" customFormat="1" x14ac:dyDescent="0.2"/>
    <row r="9799" customFormat="1" x14ac:dyDescent="0.2"/>
    <row r="9800" customFormat="1" x14ac:dyDescent="0.2"/>
    <row r="9801" customFormat="1" x14ac:dyDescent="0.2"/>
    <row r="9802" customFormat="1" x14ac:dyDescent="0.2"/>
    <row r="9803" customFormat="1" x14ac:dyDescent="0.2"/>
    <row r="9804" customFormat="1" x14ac:dyDescent="0.2"/>
    <row r="9805" customFormat="1" x14ac:dyDescent="0.2"/>
    <row r="9806" customFormat="1" x14ac:dyDescent="0.2"/>
    <row r="9807" customFormat="1" x14ac:dyDescent="0.2"/>
    <row r="9808" customFormat="1" x14ac:dyDescent="0.2"/>
    <row r="9809" customFormat="1" x14ac:dyDescent="0.2"/>
    <row r="9810" customFormat="1" x14ac:dyDescent="0.2"/>
    <row r="9811" customFormat="1" x14ac:dyDescent="0.2"/>
    <row r="9812" customFormat="1" x14ac:dyDescent="0.2"/>
    <row r="9813" customFormat="1" x14ac:dyDescent="0.2"/>
    <row r="9814" customFormat="1" x14ac:dyDescent="0.2"/>
    <row r="9815" customFormat="1" x14ac:dyDescent="0.2"/>
    <row r="9816" customFormat="1" x14ac:dyDescent="0.2"/>
    <row r="9817" customFormat="1" x14ac:dyDescent="0.2"/>
    <row r="9818" customFormat="1" x14ac:dyDescent="0.2"/>
    <row r="9819" customFormat="1" x14ac:dyDescent="0.2"/>
    <row r="9820" customFormat="1" x14ac:dyDescent="0.2"/>
    <row r="9821" customFormat="1" x14ac:dyDescent="0.2"/>
    <row r="9822" customFormat="1" x14ac:dyDescent="0.2"/>
    <row r="9823" customFormat="1" x14ac:dyDescent="0.2"/>
    <row r="9824" customFormat="1" x14ac:dyDescent="0.2"/>
    <row r="9825" customFormat="1" x14ac:dyDescent="0.2"/>
    <row r="9826" customFormat="1" x14ac:dyDescent="0.2"/>
    <row r="9827" customFormat="1" x14ac:dyDescent="0.2"/>
    <row r="9828" customFormat="1" x14ac:dyDescent="0.2"/>
    <row r="9829" customFormat="1" x14ac:dyDescent="0.2"/>
    <row r="9830" customFormat="1" x14ac:dyDescent="0.2"/>
    <row r="9831" customFormat="1" x14ac:dyDescent="0.2"/>
    <row r="9832" customFormat="1" x14ac:dyDescent="0.2"/>
    <row r="9833" customFormat="1" x14ac:dyDescent="0.2"/>
    <row r="9834" customFormat="1" x14ac:dyDescent="0.2"/>
    <row r="9835" customFormat="1" x14ac:dyDescent="0.2"/>
    <row r="9836" customFormat="1" x14ac:dyDescent="0.2"/>
    <row r="9837" customFormat="1" x14ac:dyDescent="0.2"/>
    <row r="9838" customFormat="1" x14ac:dyDescent="0.2"/>
    <row r="9839" customFormat="1" x14ac:dyDescent="0.2"/>
    <row r="9840" customFormat="1" x14ac:dyDescent="0.2"/>
    <row r="9841" customFormat="1" x14ac:dyDescent="0.2"/>
    <row r="9842" customFormat="1" x14ac:dyDescent="0.2"/>
    <row r="9843" customFormat="1" x14ac:dyDescent="0.2"/>
    <row r="9844" customFormat="1" x14ac:dyDescent="0.2"/>
    <row r="9845" customFormat="1" x14ac:dyDescent="0.2"/>
    <row r="9846" customFormat="1" x14ac:dyDescent="0.2"/>
    <row r="9847" customFormat="1" x14ac:dyDescent="0.2"/>
    <row r="9848" customFormat="1" x14ac:dyDescent="0.2"/>
    <row r="9849" customFormat="1" x14ac:dyDescent="0.2"/>
    <row r="9850" customFormat="1" x14ac:dyDescent="0.2"/>
    <row r="9851" customFormat="1" x14ac:dyDescent="0.2"/>
    <row r="9852" customFormat="1" x14ac:dyDescent="0.2"/>
    <row r="9853" customFormat="1" x14ac:dyDescent="0.2"/>
    <row r="9854" customFormat="1" x14ac:dyDescent="0.2"/>
    <row r="9855" customFormat="1" x14ac:dyDescent="0.2"/>
    <row r="9856" customFormat="1" x14ac:dyDescent="0.2"/>
    <row r="9857" customFormat="1" x14ac:dyDescent="0.2"/>
    <row r="9858" customFormat="1" x14ac:dyDescent="0.2"/>
    <row r="9859" customFormat="1" x14ac:dyDescent="0.2"/>
    <row r="9860" customFormat="1" x14ac:dyDescent="0.2"/>
    <row r="9861" customFormat="1" x14ac:dyDescent="0.2"/>
    <row r="9862" customFormat="1" x14ac:dyDescent="0.2"/>
    <row r="9863" customFormat="1" x14ac:dyDescent="0.2"/>
    <row r="9864" customFormat="1" x14ac:dyDescent="0.2"/>
    <row r="9865" customFormat="1" x14ac:dyDescent="0.2"/>
    <row r="9866" customFormat="1" x14ac:dyDescent="0.2"/>
    <row r="9867" customFormat="1" x14ac:dyDescent="0.2"/>
    <row r="9868" customFormat="1" x14ac:dyDescent="0.2"/>
    <row r="9869" customFormat="1" x14ac:dyDescent="0.2"/>
    <row r="9870" customFormat="1" x14ac:dyDescent="0.2"/>
    <row r="9871" customFormat="1" x14ac:dyDescent="0.2"/>
    <row r="9872" customFormat="1" x14ac:dyDescent="0.2"/>
    <row r="9873" customFormat="1" x14ac:dyDescent="0.2"/>
    <row r="9874" customFormat="1" x14ac:dyDescent="0.2"/>
    <row r="9875" customFormat="1" x14ac:dyDescent="0.2"/>
    <row r="9876" customFormat="1" x14ac:dyDescent="0.2"/>
    <row r="9877" customFormat="1" x14ac:dyDescent="0.2"/>
    <row r="9878" customFormat="1" x14ac:dyDescent="0.2"/>
    <row r="9879" customFormat="1" x14ac:dyDescent="0.2"/>
    <row r="9880" customFormat="1" x14ac:dyDescent="0.2"/>
    <row r="9881" customFormat="1" x14ac:dyDescent="0.2"/>
    <row r="9882" customFormat="1" x14ac:dyDescent="0.2"/>
    <row r="9883" customFormat="1" x14ac:dyDescent="0.2"/>
    <row r="9884" customFormat="1" x14ac:dyDescent="0.2"/>
    <row r="9885" customFormat="1" x14ac:dyDescent="0.2"/>
    <row r="9886" customFormat="1" x14ac:dyDescent="0.2"/>
    <row r="9887" customFormat="1" x14ac:dyDescent="0.2"/>
    <row r="9888" customFormat="1" x14ac:dyDescent="0.2"/>
    <row r="9889" customFormat="1" x14ac:dyDescent="0.2"/>
    <row r="9890" customFormat="1" x14ac:dyDescent="0.2"/>
    <row r="9891" customFormat="1" x14ac:dyDescent="0.2"/>
    <row r="9892" customFormat="1" x14ac:dyDescent="0.2"/>
    <row r="9893" customFormat="1" x14ac:dyDescent="0.2"/>
    <row r="9894" customFormat="1" x14ac:dyDescent="0.2"/>
    <row r="9895" customFormat="1" x14ac:dyDescent="0.2"/>
    <row r="9896" customFormat="1" x14ac:dyDescent="0.2"/>
    <row r="9897" customFormat="1" x14ac:dyDescent="0.2"/>
    <row r="9898" customFormat="1" x14ac:dyDescent="0.2"/>
    <row r="9899" customFormat="1" x14ac:dyDescent="0.2"/>
    <row r="9900" customFormat="1" x14ac:dyDescent="0.2"/>
    <row r="9901" customFormat="1" x14ac:dyDescent="0.2"/>
    <row r="9902" customFormat="1" x14ac:dyDescent="0.2"/>
    <row r="9903" customFormat="1" x14ac:dyDescent="0.2"/>
    <row r="9904" customFormat="1" x14ac:dyDescent="0.2"/>
    <row r="9905" customFormat="1" x14ac:dyDescent="0.2"/>
    <row r="9906" customFormat="1" x14ac:dyDescent="0.2"/>
    <row r="9907" customFormat="1" x14ac:dyDescent="0.2"/>
    <row r="9908" customFormat="1" x14ac:dyDescent="0.2"/>
    <row r="9909" customFormat="1" x14ac:dyDescent="0.2"/>
    <row r="9910" customFormat="1" x14ac:dyDescent="0.2"/>
    <row r="9911" customFormat="1" x14ac:dyDescent="0.2"/>
    <row r="9912" customFormat="1" x14ac:dyDescent="0.2"/>
    <row r="9913" customFormat="1" x14ac:dyDescent="0.2"/>
    <row r="9914" customFormat="1" x14ac:dyDescent="0.2"/>
    <row r="9915" customFormat="1" x14ac:dyDescent="0.2"/>
    <row r="9916" customFormat="1" x14ac:dyDescent="0.2"/>
    <row r="9917" customFormat="1" x14ac:dyDescent="0.2"/>
    <row r="9918" customFormat="1" x14ac:dyDescent="0.2"/>
    <row r="9919" customFormat="1" x14ac:dyDescent="0.2"/>
    <row r="9920" customFormat="1" x14ac:dyDescent="0.2"/>
    <row r="9921" customFormat="1" x14ac:dyDescent="0.2"/>
    <row r="9922" customFormat="1" x14ac:dyDescent="0.2"/>
    <row r="9923" customFormat="1" x14ac:dyDescent="0.2"/>
    <row r="9924" customFormat="1" x14ac:dyDescent="0.2"/>
    <row r="9925" customFormat="1" x14ac:dyDescent="0.2"/>
    <row r="9926" customFormat="1" x14ac:dyDescent="0.2"/>
    <row r="9927" customFormat="1" x14ac:dyDescent="0.2"/>
    <row r="9928" customFormat="1" x14ac:dyDescent="0.2"/>
    <row r="9929" customFormat="1" x14ac:dyDescent="0.2"/>
    <row r="9930" customFormat="1" x14ac:dyDescent="0.2"/>
    <row r="9931" customFormat="1" x14ac:dyDescent="0.2"/>
    <row r="9932" customFormat="1" x14ac:dyDescent="0.2"/>
    <row r="9933" customFormat="1" x14ac:dyDescent="0.2"/>
    <row r="9934" customFormat="1" x14ac:dyDescent="0.2"/>
    <row r="9935" customFormat="1" x14ac:dyDescent="0.2"/>
    <row r="9936" customFormat="1" x14ac:dyDescent="0.2"/>
    <row r="9937" customFormat="1" x14ac:dyDescent="0.2"/>
    <row r="9938" customFormat="1" x14ac:dyDescent="0.2"/>
    <row r="9939" customFormat="1" x14ac:dyDescent="0.2"/>
    <row r="9940" customFormat="1" x14ac:dyDescent="0.2"/>
    <row r="9941" customFormat="1" x14ac:dyDescent="0.2"/>
    <row r="9942" customFormat="1" x14ac:dyDescent="0.2"/>
    <row r="9943" customFormat="1" x14ac:dyDescent="0.2"/>
    <row r="9944" customFormat="1" x14ac:dyDescent="0.2"/>
    <row r="9945" customFormat="1" x14ac:dyDescent="0.2"/>
    <row r="9946" customFormat="1" x14ac:dyDescent="0.2"/>
    <row r="9947" customFormat="1" x14ac:dyDescent="0.2"/>
    <row r="9948" customFormat="1" x14ac:dyDescent="0.2"/>
    <row r="9949" customFormat="1" x14ac:dyDescent="0.2"/>
    <row r="9950" customFormat="1" x14ac:dyDescent="0.2"/>
    <row r="9951" customFormat="1" x14ac:dyDescent="0.2"/>
    <row r="9952" customFormat="1" x14ac:dyDescent="0.2"/>
    <row r="9953" customFormat="1" x14ac:dyDescent="0.2"/>
    <row r="9954" customFormat="1" x14ac:dyDescent="0.2"/>
    <row r="9955" customFormat="1" x14ac:dyDescent="0.2"/>
    <row r="9956" customFormat="1" x14ac:dyDescent="0.2"/>
    <row r="9957" customFormat="1" x14ac:dyDescent="0.2"/>
    <row r="9958" customFormat="1" x14ac:dyDescent="0.2"/>
    <row r="9959" customFormat="1" x14ac:dyDescent="0.2"/>
    <row r="9960" customFormat="1" x14ac:dyDescent="0.2"/>
    <row r="9961" customFormat="1" x14ac:dyDescent="0.2"/>
    <row r="9962" customFormat="1" x14ac:dyDescent="0.2"/>
    <row r="9963" customFormat="1" x14ac:dyDescent="0.2"/>
    <row r="9964" customFormat="1" x14ac:dyDescent="0.2"/>
    <row r="9965" customFormat="1" x14ac:dyDescent="0.2"/>
    <row r="9966" customFormat="1" x14ac:dyDescent="0.2"/>
    <row r="9967" customFormat="1" x14ac:dyDescent="0.2"/>
    <row r="9968" customFormat="1" x14ac:dyDescent="0.2"/>
    <row r="9969" customFormat="1" x14ac:dyDescent="0.2"/>
    <row r="9970" customFormat="1" x14ac:dyDescent="0.2"/>
    <row r="9971" customFormat="1" x14ac:dyDescent="0.2"/>
    <row r="9972" customFormat="1" x14ac:dyDescent="0.2"/>
    <row r="9973" customFormat="1" x14ac:dyDescent="0.2"/>
    <row r="9974" customFormat="1" x14ac:dyDescent="0.2"/>
    <row r="9975" customFormat="1" x14ac:dyDescent="0.2"/>
    <row r="9976" customFormat="1" x14ac:dyDescent="0.2"/>
    <row r="9977" customFormat="1" x14ac:dyDescent="0.2"/>
    <row r="9978" customFormat="1" x14ac:dyDescent="0.2"/>
    <row r="9979" customFormat="1" x14ac:dyDescent="0.2"/>
    <row r="9980" customFormat="1" x14ac:dyDescent="0.2"/>
    <row r="9981" customFormat="1" x14ac:dyDescent="0.2"/>
    <row r="9982" customFormat="1" x14ac:dyDescent="0.2"/>
    <row r="9983" customFormat="1" x14ac:dyDescent="0.2"/>
    <row r="9984" customFormat="1" x14ac:dyDescent="0.2"/>
    <row r="9985" customFormat="1" x14ac:dyDescent="0.2"/>
    <row r="9986" customFormat="1" x14ac:dyDescent="0.2"/>
    <row r="9987" customFormat="1" x14ac:dyDescent="0.2"/>
    <row r="9988" customFormat="1" x14ac:dyDescent="0.2"/>
    <row r="9989" customFormat="1" x14ac:dyDescent="0.2"/>
    <row r="9990" customFormat="1" x14ac:dyDescent="0.2"/>
    <row r="9991" customFormat="1" x14ac:dyDescent="0.2"/>
    <row r="9992" customFormat="1" x14ac:dyDescent="0.2"/>
    <row r="9993" customFormat="1" x14ac:dyDescent="0.2"/>
    <row r="9994" customFormat="1" x14ac:dyDescent="0.2"/>
    <row r="9995" customFormat="1" x14ac:dyDescent="0.2"/>
    <row r="9996" customFormat="1" x14ac:dyDescent="0.2"/>
    <row r="9997" customFormat="1" x14ac:dyDescent="0.2"/>
    <row r="9998" customFormat="1" x14ac:dyDescent="0.2"/>
    <row r="9999" customFormat="1" x14ac:dyDescent="0.2"/>
    <row r="10000" customFormat="1" x14ac:dyDescent="0.2"/>
  </sheetData>
  <sheetProtection selectLockedCells="1" selectUnlockedCells="1"/>
  <mergeCells count="46">
    <mergeCell ref="B12:B14"/>
    <mergeCell ref="BA12:BA14"/>
    <mergeCell ref="BB12:BB14"/>
    <mergeCell ref="AK12:AK14"/>
    <mergeCell ref="AS13:AV13"/>
    <mergeCell ref="AL12:AV12"/>
    <mergeCell ref="AY12:AY14"/>
    <mergeCell ref="C12:C14"/>
    <mergeCell ref="Q12:Q14"/>
    <mergeCell ref="P12:P14"/>
    <mergeCell ref="AW12:AW14"/>
    <mergeCell ref="E12:E14"/>
    <mergeCell ref="AF14:AG14"/>
    <mergeCell ref="T12:U12"/>
    <mergeCell ref="V12:W12"/>
    <mergeCell ref="O13:O14"/>
    <mergeCell ref="M13:M14"/>
    <mergeCell ref="D12:D14"/>
    <mergeCell ref="F12:F14"/>
    <mergeCell ref="N13:N14"/>
    <mergeCell ref="M12:O12"/>
    <mergeCell ref="G13:I13"/>
    <mergeCell ref="G12:J12"/>
    <mergeCell ref="K12:L12"/>
    <mergeCell ref="K13:L13"/>
    <mergeCell ref="AC12:AD13"/>
    <mergeCell ref="AZ12:AZ14"/>
    <mergeCell ref="AX12:AX14"/>
    <mergeCell ref="AN14:AO14"/>
    <mergeCell ref="Y12:Z13"/>
    <mergeCell ref="AA12:AB13"/>
    <mergeCell ref="AE12:AH13"/>
    <mergeCell ref="AL13:AR13"/>
    <mergeCell ref="AI12:AJ13"/>
    <mergeCell ref="R12:R14"/>
    <mergeCell ref="S12:S14"/>
    <mergeCell ref="X12:X14"/>
    <mergeCell ref="V13:V14"/>
    <mergeCell ref="W13:W14"/>
    <mergeCell ref="T13:T14"/>
    <mergeCell ref="U13:U14"/>
    <mergeCell ref="G5:K5"/>
    <mergeCell ref="G6:K6"/>
    <mergeCell ref="G7:K7"/>
    <mergeCell ref="G8:K8"/>
    <mergeCell ref="G9:K9"/>
  </mergeCells>
  <phoneticPr fontId="35" type="noConversion"/>
  <conditionalFormatting sqref="F11">
    <cfRule type="cellIs" dxfId="162" priority="700150" operator="equal">
      <formula>0</formula>
    </cfRule>
  </conditionalFormatting>
  <conditionalFormatting sqref="A11">
    <cfRule type="cellIs" dxfId="161" priority="7335" operator="equal">
      <formula>0</formula>
    </cfRule>
  </conditionalFormatting>
  <conditionalFormatting sqref="K11:L11">
    <cfRule type="cellIs" dxfId="160" priority="6317" operator="equal">
      <formula>0</formula>
    </cfRule>
  </conditionalFormatting>
  <conditionalFormatting sqref="L9:O9">
    <cfRule type="cellIs" dxfId="159" priority="1352" operator="equal">
      <formula>0</formula>
    </cfRule>
  </conditionalFormatting>
  <conditionalFormatting sqref="L5:O8">
    <cfRule type="cellIs" dxfId="158" priority="1353" operator="equal">
      <formula>0</formula>
    </cfRule>
  </conditionalFormatting>
  <conditionalFormatting sqref="F9">
    <cfRule type="cellIs" dxfId="157" priority="1205" operator="equal">
      <formula>0</formula>
    </cfRule>
  </conditionalFormatting>
  <conditionalFormatting sqref="F5:F8">
    <cfRule type="cellIs" dxfId="156" priority="1206" operator="equal">
      <formula>0</formula>
    </cfRule>
  </conditionalFormatting>
  <conditionalFormatting sqref="G9:K9">
    <cfRule type="cellIs" dxfId="62" priority="44" operator="equal">
      <formula>0</formula>
    </cfRule>
  </conditionalFormatting>
  <conditionalFormatting sqref="G5:K8">
    <cfRule type="cellIs" dxfId="61" priority="45" operator="equal">
      <formula>0</formula>
    </cfRule>
  </conditionalFormatting>
  <conditionalFormatting sqref="K15:L50">
    <cfRule type="cellIs" dxfId="60" priority="41" stopIfTrue="1" operator="equal">
      <formula>0</formula>
    </cfRule>
  </conditionalFormatting>
  <conditionalFormatting sqref="AO15:AO50">
    <cfRule type="cellIs" dxfId="59" priority="37" stopIfTrue="1" operator="equal">
      <formula>1</formula>
    </cfRule>
  </conditionalFormatting>
  <conditionalFormatting sqref="E15:E50">
    <cfRule type="expression" dxfId="58" priority="32" stopIfTrue="1">
      <formula>B15=1</formula>
    </cfRule>
  </conditionalFormatting>
  <conditionalFormatting sqref="AH15:AH50">
    <cfRule type="expression" dxfId="57" priority="30" stopIfTrue="1">
      <formula>ROUND(AH15,5)&lt;ROUND(AF15,5)</formula>
    </cfRule>
  </conditionalFormatting>
  <conditionalFormatting sqref="AR15:AR50">
    <cfRule type="cellIs" dxfId="56" priority="29" stopIfTrue="1" operator="greaterThan">
      <formula>AQ15</formula>
    </cfRule>
    <cfRule type="cellIs" dxfId="55" priority="36" stopIfTrue="1" operator="equal">
      <formula>0</formula>
    </cfRule>
  </conditionalFormatting>
  <conditionalFormatting sqref="AQ15:AQ50">
    <cfRule type="cellIs" dxfId="54" priority="27" stopIfTrue="1" operator="equal">
      <formula>0</formula>
    </cfRule>
    <cfRule type="cellIs" dxfId="53" priority="39" stopIfTrue="1" operator="equal">
      <formula>0</formula>
    </cfRule>
  </conditionalFormatting>
  <conditionalFormatting sqref="AW15:AW50">
    <cfRule type="cellIs" dxfId="52" priority="26" stopIfTrue="1" operator="equal">
      <formula>0</formula>
    </cfRule>
  </conditionalFormatting>
  <conditionalFormatting sqref="BA15:BA50">
    <cfRule type="cellIs" dxfId="51" priority="25" stopIfTrue="1" operator="equal">
      <formula>0</formula>
    </cfRule>
  </conditionalFormatting>
  <conditionalFormatting sqref="AL15:AL50">
    <cfRule type="cellIs" dxfId="50" priority="43" stopIfTrue="1" operator="equal">
      <formula>0</formula>
    </cfRule>
  </conditionalFormatting>
  <conditionalFormatting sqref="AK15:AK50">
    <cfRule type="cellIs" dxfId="49" priority="40" stopIfTrue="1" operator="equal">
      <formula>0</formula>
    </cfRule>
  </conditionalFormatting>
  <conditionalFormatting sqref="AO15:AO50">
    <cfRule type="cellIs" dxfId="48" priority="35" stopIfTrue="1" operator="equal">
      <formula>1</formula>
    </cfRule>
  </conditionalFormatting>
  <conditionalFormatting sqref="AS15:AS50">
    <cfRule type="cellIs" dxfId="47" priority="33" stopIfTrue="1" operator="equal">
      <formula>0</formula>
    </cfRule>
    <cfRule type="cellIs" dxfId="46" priority="38" stopIfTrue="1" operator="equal">
      <formula>0</formula>
    </cfRule>
  </conditionalFormatting>
  <conditionalFormatting sqref="AF15:AF50">
    <cfRule type="expression" dxfId="45" priority="21" stopIfTrue="1">
      <formula>F15=0</formula>
    </cfRule>
    <cfRule type="cellIs" dxfId="44" priority="22" stopIfTrue="1" operator="notEqual">
      <formula>AG15</formula>
    </cfRule>
  </conditionalFormatting>
  <conditionalFormatting sqref="AN15:AN50">
    <cfRule type="cellIs" dxfId="43" priority="34" stopIfTrue="1" operator="equal">
      <formula>0</formula>
    </cfRule>
  </conditionalFormatting>
  <conditionalFormatting sqref="AM15:AM50">
    <cfRule type="cellIs" dxfId="42" priority="18" stopIfTrue="1" operator="equal">
      <formula>0</formula>
    </cfRule>
  </conditionalFormatting>
  <conditionalFormatting sqref="AP15:AP50">
    <cfRule type="cellIs" dxfId="41" priority="42" stopIfTrue="1" operator="equal">
      <formula>0</formula>
    </cfRule>
  </conditionalFormatting>
  <conditionalFormatting sqref="AT15:AT50">
    <cfRule type="cellIs" dxfId="40" priority="17" stopIfTrue="1" operator="equal">
      <formula>0</formula>
    </cfRule>
  </conditionalFormatting>
  <conditionalFormatting sqref="AU15:AU50">
    <cfRule type="cellIs" dxfId="39" priority="16" stopIfTrue="1" operator="equal">
      <formula>0</formula>
    </cfRule>
  </conditionalFormatting>
  <conditionalFormatting sqref="AV15:AV50">
    <cfRule type="cellIs" dxfId="38" priority="20" stopIfTrue="1" operator="equal">
      <formula>0</formula>
    </cfRule>
  </conditionalFormatting>
  <conditionalFormatting sqref="P15:Q50">
    <cfRule type="cellIs" dxfId="37" priority="14" stopIfTrue="1" operator="equal">
      <formula>0</formula>
    </cfRule>
  </conditionalFormatting>
  <conditionalFormatting sqref="R15:R50">
    <cfRule type="cellIs" dxfId="36" priority="12" operator="equal">
      <formula>0</formula>
    </cfRule>
    <cfRule type="cellIs" dxfId="35" priority="13" operator="notEqual">
      <formula>0</formula>
    </cfRule>
  </conditionalFormatting>
  <conditionalFormatting sqref="V15:V50">
    <cfRule type="expression" dxfId="34" priority="6" stopIfTrue="1">
      <formula>B15=1</formula>
    </cfRule>
  </conditionalFormatting>
  <conditionalFormatting sqref="U15:U50">
    <cfRule type="expression" dxfId="33" priority="10" stopIfTrue="1">
      <formula>E15=1</formula>
    </cfRule>
  </conditionalFormatting>
  <conditionalFormatting sqref="W15:W50">
    <cfRule type="cellIs" dxfId="32" priority="8" operator="greaterThanOrEqual">
      <formula>3</formula>
    </cfRule>
    <cfRule type="cellIs" dxfId="31" priority="9" operator="greaterThanOrEqual">
      <formula>2</formula>
    </cfRule>
  </conditionalFormatting>
  <conditionalFormatting sqref="V15:V50">
    <cfRule type="cellIs" dxfId="30" priority="7" operator="greaterThanOrEqual">
      <formula>3</formula>
    </cfRule>
    <cfRule type="cellIs" dxfId="29" priority="11" operator="greaterThanOrEqual">
      <formula>2</formula>
    </cfRule>
  </conditionalFormatting>
  <conditionalFormatting sqref="T15:T50">
    <cfRule type="expression" dxfId="28" priority="5" stopIfTrue="1">
      <formula>B15=1</formula>
    </cfRule>
  </conditionalFormatting>
  <conditionalFormatting sqref="M15:M50">
    <cfRule type="expression" dxfId="27" priority="31" stopIfTrue="1">
      <formula>#REF!&gt;0</formula>
    </cfRule>
  </conditionalFormatting>
  <conditionalFormatting sqref="X15:X50">
    <cfRule type="cellIs" dxfId="26" priority="3" operator="equal">
      <formula>0</formula>
    </cfRule>
    <cfRule type="cellIs" dxfId="25" priority="4" operator="notEqual">
      <formula>0</formula>
    </cfRule>
  </conditionalFormatting>
  <conditionalFormatting sqref="AJ15:AJ50">
    <cfRule type="expression" dxfId="24" priority="1">
      <formula>BE15=1</formula>
    </cfRule>
  </conditionalFormatting>
  <printOptions horizontalCentered="1" verticalCentered="1"/>
  <pageMargins left="0.31496062992125984" right="0.31496062992125984" top="0.51181102362204722" bottom="0.59055118110236227" header="0.51181102362204722" footer="0.19685039370078741"/>
  <pageSetup paperSize="9" scale="70" firstPageNumber="0" orientation="landscape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8" r:id="rId4" name="Button 6">
              <controlPr defaultSize="0" autoFill="0" autoPict="0" macro="[0]!Para_AbaINICIO">
                <anchor moveWithCells="1">
                  <from>
                    <xdr:col>6</xdr:col>
                    <xdr:colOff>133350</xdr:colOff>
                    <xdr:row>9</xdr:row>
                    <xdr:rowOff>38100</xdr:rowOff>
                  </from>
                  <to>
                    <xdr:col>7</xdr:col>
                    <xdr:colOff>57150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5" name="Button 8">
              <controlPr defaultSize="0" print="0" autoFill="0" autoPict="0" macro="[0]!Recarga_RedBasica">
                <anchor moveWithCells="1">
                  <from>
                    <xdr:col>10</xdr:col>
                    <xdr:colOff>371475</xdr:colOff>
                    <xdr:row>3</xdr:row>
                    <xdr:rowOff>190500</xdr:rowOff>
                  </from>
                  <to>
                    <xdr:col>12</xdr:col>
                    <xdr:colOff>190500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6" r:id="rId6" name="Button 14">
              <controlPr defaultSize="0" autoFill="0" autoPict="0" macro="[0]!Para_AbaParametros">
                <anchor moveWithCells="1">
                  <from>
                    <xdr:col>8</xdr:col>
                    <xdr:colOff>123825</xdr:colOff>
                    <xdr:row>9</xdr:row>
                    <xdr:rowOff>28575</xdr:rowOff>
                  </from>
                  <to>
                    <xdr:col>9</xdr:col>
                    <xdr:colOff>47625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9" r:id="rId7" name="Button 17">
              <controlPr defaultSize="0" autoFill="0" autoPict="0" macro="[0]!Para_AbaImportQGIS" altText="Aba ImportQGIS">
                <anchor moveWithCells="1">
                  <from>
                    <xdr:col>7</xdr:col>
                    <xdr:colOff>123825</xdr:colOff>
                    <xdr:row>9</xdr:row>
                    <xdr:rowOff>28575</xdr:rowOff>
                  </from>
                  <to>
                    <xdr:col>8</xdr:col>
                    <xdr:colOff>57150</xdr:colOff>
                    <xdr:row>10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1" r:id="rId8" name="Button 19">
              <controlPr defaultSize="0" autoFill="0" autoPict="0" macro="[0]!Para_AbaExportTramos">
                <anchor moveWithCells="1">
                  <from>
                    <xdr:col>9</xdr:col>
                    <xdr:colOff>200025</xdr:colOff>
                    <xdr:row>6</xdr:row>
                    <xdr:rowOff>95250</xdr:rowOff>
                  </from>
                  <to>
                    <xdr:col>9</xdr:col>
                    <xdr:colOff>1057275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2" r:id="rId9" name="Button 20">
              <controlPr defaultSize="0" autoFill="0" autoPict="0" macro="[0]!Para_AbaExportNodos" altText="Aba ExportNodos">
                <anchor moveWithCells="1">
                  <from>
                    <xdr:col>9</xdr:col>
                    <xdr:colOff>190500</xdr:colOff>
                    <xdr:row>9</xdr:row>
                    <xdr:rowOff>9525</xdr:rowOff>
                  </from>
                  <to>
                    <xdr:col>9</xdr:col>
                    <xdr:colOff>1066800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4" r:id="rId10" name="Button 22">
              <controlPr defaultSize="0" autoFill="0" autoPict="0" macro="[0]!ExportTramos_csv" altText="Exportar Tramos ">
                <anchor moveWithCells="1">
                  <from>
                    <xdr:col>12</xdr:col>
                    <xdr:colOff>352425</xdr:colOff>
                    <xdr:row>1</xdr:row>
                    <xdr:rowOff>104775</xdr:rowOff>
                  </from>
                  <to>
                    <xdr:col>13</xdr:col>
                    <xdr:colOff>704850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6" r:id="rId11" name="Button 24">
              <controlPr defaultSize="0" autoFill="0" autoPict="0" macro="[0]!ExportNodos_csv" altText="Exportar Nodos ">
                <anchor moveWithCells="1">
                  <from>
                    <xdr:col>12</xdr:col>
                    <xdr:colOff>333375</xdr:colOff>
                    <xdr:row>3</xdr:row>
                    <xdr:rowOff>200025</xdr:rowOff>
                  </from>
                  <to>
                    <xdr:col>13</xdr:col>
                    <xdr:colOff>704850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8" r:id="rId12" name="Button 26">
              <controlPr defaultSize="0" autoFill="0" autoPict="0" macro="[0]!Gerar_RB_Print" altText="Gerar Planilha de Impressão">
                <anchor moveWithCells="1">
                  <from>
                    <xdr:col>12</xdr:col>
                    <xdr:colOff>285750</xdr:colOff>
                    <xdr:row>6</xdr:row>
                    <xdr:rowOff>85725</xdr:rowOff>
                  </from>
                  <to>
                    <xdr:col>13</xdr:col>
                    <xdr:colOff>676275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9" r:id="rId13" name="Button 27">
              <controlPr defaultSize="0" print="0" autoFill="0" autoPict="0" macro="[0]!Ajustar_NA">
                <anchor moveWithCells="1">
                  <from>
                    <xdr:col>16</xdr:col>
                    <xdr:colOff>361950</xdr:colOff>
                    <xdr:row>5</xdr:row>
                    <xdr:rowOff>171450</xdr:rowOff>
                  </from>
                  <to>
                    <xdr:col>18</xdr:col>
                    <xdr:colOff>28575</xdr:colOff>
                    <xdr:row>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0" r:id="rId14" name="Button 28">
              <controlPr defaultSize="0" print="0" autoFill="0" autoPict="0" macro="[0]!Import_from_QGIS">
                <anchor moveWithCells="1">
                  <from>
                    <xdr:col>10</xdr:col>
                    <xdr:colOff>352425</xdr:colOff>
                    <xdr:row>1</xdr:row>
                    <xdr:rowOff>114300</xdr:rowOff>
                  </from>
                  <to>
                    <xdr:col>12</xdr:col>
                    <xdr:colOff>180975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1" r:id="rId15" name="Button 29">
              <controlPr defaultSize="0" print="0" autoFill="0" autoPict="0" macro="[0]!Limpar_AjusNA">
                <anchor moveWithCells="1">
                  <from>
                    <xdr:col>16</xdr:col>
                    <xdr:colOff>361950</xdr:colOff>
                    <xdr:row>8</xdr:row>
                    <xdr:rowOff>171450</xdr:rowOff>
                  </from>
                  <to>
                    <xdr:col>18</xdr:col>
                    <xdr:colOff>9525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5" r:id="rId16" name="Button 33">
              <controlPr defaultSize="0" print="0" autoFill="0" autoPict="0" macro="[0]!Min_Desnivel">
                <anchor moveWithCells="1" sizeWithCells="1">
                  <from>
                    <xdr:col>16</xdr:col>
                    <xdr:colOff>352425</xdr:colOff>
                    <xdr:row>3</xdr:row>
                    <xdr:rowOff>76200</xdr:rowOff>
                  </from>
                  <to>
                    <xdr:col>18</xdr:col>
                    <xdr:colOff>28575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6" r:id="rId17" name="Button 34">
              <controlPr defaultSize="0" print="0" autoFill="0" autoPict="0" macro="[0]!Limpar_AjProfJus">
                <anchor moveWithCells="1" sizeWithCells="1">
                  <from>
                    <xdr:col>16</xdr:col>
                    <xdr:colOff>352425</xdr:colOff>
                    <xdr:row>1</xdr:row>
                    <xdr:rowOff>57150</xdr:rowOff>
                  </from>
                  <to>
                    <xdr:col>18</xdr:col>
                    <xdr:colOff>28575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7" r:id="rId18" name="Button 35">
              <controlPr defaultSize="0" print="0" autoFill="0" autoPict="0" macro="[0]!Alt_DN_sug_min">
                <anchor moveWithCells="1" sizeWithCells="1">
                  <from>
                    <xdr:col>35</xdr:col>
                    <xdr:colOff>38100</xdr:colOff>
                    <xdr:row>4</xdr:row>
                    <xdr:rowOff>228600</xdr:rowOff>
                  </from>
                  <to>
                    <xdr:col>36</xdr:col>
                    <xdr:colOff>9525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8" r:id="rId19" name="Button 36">
              <controlPr defaultSize="0" print="0" autoFill="0" autoPict="0" macro="[0]!ZerarDN">
                <anchor moveWithCells="1" sizeWithCells="1">
                  <from>
                    <xdr:col>35</xdr:col>
                    <xdr:colOff>19050</xdr:colOff>
                    <xdr:row>7</xdr:row>
                    <xdr:rowOff>104775</xdr:rowOff>
                  </from>
                  <to>
                    <xdr:col>35</xdr:col>
                    <xdr:colOff>857250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9" r:id="rId20" name="Button 37">
              <controlPr defaultSize="0" print="0" autoFill="0" autoPict="0" macro="[0]!Alt_DN_cresc_max">
                <anchor moveWithCells="1" sizeWithCells="1">
                  <from>
                    <xdr:col>35</xdr:col>
                    <xdr:colOff>38100</xdr:colOff>
                    <xdr:row>2</xdr:row>
                    <xdr:rowOff>238125</xdr:rowOff>
                  </from>
                  <to>
                    <xdr:col>36</xdr:col>
                    <xdr:colOff>19050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" stopIfTrue="1" operator="notEqual" id="{EB20CE07-0E10-419D-ABDE-B28322E94BBB}">
            <xm:f>Parametros!$F$50</xm:f>
            <x14:dxf>
              <fill>
                <patternFill>
                  <bgColor indexed="47"/>
                </patternFill>
              </fill>
            </x14:dxf>
          </x14:cfRule>
          <xm:sqref>AJ15:AJ50</xm:sqref>
        </x14:conditionalFormatting>
        <x14:conditionalFormatting xmlns:xm="http://schemas.microsoft.com/office/excel/2006/main">
          <x14:cfRule type="cellIs" priority="24" stopIfTrue="1" operator="greaterThan" id="{BDDE0DA4-3B8A-41AA-96C0-F7C616C924F6}">
            <xm:f>Parametros!$F$48</xm:f>
            <x14:dxf>
              <fill>
                <patternFill patternType="solid">
                  <fgColor indexed="29"/>
                  <bgColor indexed="45"/>
                </patternFill>
              </fill>
            </x14:dxf>
          </x14:cfRule>
          <x14:cfRule type="expression" priority="28" stopIfTrue="1" id="{B2606A42-ADB2-4718-A353-F0D002FAEFEE}">
            <xm:f>AND(AR15&gt;AQ15,AN15&gt;Parametros!$F$47)</xm:f>
            <x14:dxf>
              <font>
                <condense val="0"/>
                <extend val="0"/>
                <color auto="1"/>
              </font>
              <fill>
                <patternFill>
                  <bgColor indexed="45"/>
                </patternFill>
              </fill>
            </x14:dxf>
          </x14:cfRule>
          <xm:sqref>AN15:AN50</xm:sqref>
        </x14:conditionalFormatting>
        <x14:conditionalFormatting xmlns:xm="http://schemas.microsoft.com/office/excel/2006/main">
          <x14:cfRule type="cellIs" priority="23" stopIfTrue="1" operator="lessThan" id="{429CA43E-D391-4DFA-AE8A-0DD0B132B784}">
            <xm:f>Parametros!$F$45</xm:f>
            <x14:dxf>
              <font>
                <b val="0"/>
                <condense val="0"/>
                <extend val="0"/>
                <color indexed="9"/>
              </font>
              <fill>
                <patternFill patternType="solid">
                  <fgColor indexed="29"/>
                  <bgColor indexed="45"/>
                </patternFill>
              </fill>
            </x14:dxf>
          </x14:cfRule>
          <xm:sqref>AP15:AP50</xm:sqref>
        </x14:conditionalFormatting>
        <x14:conditionalFormatting xmlns:xm="http://schemas.microsoft.com/office/excel/2006/main">
          <x14:cfRule type="cellIs" priority="15" stopIfTrue="1" operator="greaterThan" id="{AC94F471-6E51-4982-9813-D5B4D37C2EE2}">
            <xm:f>Parametros!$F$48</xm:f>
            <x14:dxf>
              <fill>
                <patternFill patternType="solid">
                  <fgColor indexed="29"/>
                  <bgColor indexed="45"/>
                </patternFill>
              </fill>
            </x14:dxf>
          </x14:cfRule>
          <xm:sqref>AU15:AU50</xm:sqref>
        </x14:conditionalFormatting>
        <x14:conditionalFormatting xmlns:xm="http://schemas.microsoft.com/office/excel/2006/main">
          <x14:cfRule type="cellIs" priority="19" stopIfTrue="1" operator="lessThan" id="{972B3620-5B80-4448-9E9C-AC02BDAB11E0}">
            <xm:f>Parametros!$F$45</xm:f>
            <x14:dxf>
              <font>
                <b val="0"/>
                <condense val="0"/>
                <extend val="0"/>
                <color indexed="9"/>
              </font>
              <fill>
                <patternFill patternType="solid">
                  <fgColor indexed="29"/>
                  <bgColor indexed="45"/>
                </patternFill>
              </fill>
            </x14:dxf>
          </x14:cfRule>
          <xm:sqref>AV15:AV50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>
    <pageSetUpPr fitToPage="1"/>
  </sheetPr>
  <dimension ref="A1:CY10000"/>
  <sheetViews>
    <sheetView showGridLines="0" zoomScale="80" zoomScaleNormal="80" zoomScaleSheetLayoutView="75" workbookViewId="0">
      <pane xSplit="2" ySplit="14" topLeftCell="C15" activePane="bottomRight" state="frozen"/>
      <selection pane="topRight" activeCell="C1" sqref="C1"/>
      <selection pane="bottomLeft" activeCell="A15" sqref="A15"/>
      <selection pane="bottomRight" activeCell="C8" sqref="C8:G8"/>
    </sheetView>
  </sheetViews>
  <sheetFormatPr defaultColWidth="8" defaultRowHeight="9.75" x14ac:dyDescent="0.15"/>
  <cols>
    <col min="1" max="1" width="0.85546875" style="279" customWidth="1"/>
    <col min="2" max="2" width="14.140625" style="15" customWidth="1"/>
    <col min="3" max="3" width="9.7109375" style="15" customWidth="1"/>
    <col min="4" max="4" width="11.42578125" style="9" customWidth="1"/>
    <col min="5" max="5" width="7.85546875" style="9" customWidth="1"/>
    <col min="6" max="6" width="6.42578125" style="9" customWidth="1"/>
    <col min="7" max="7" width="12.7109375" style="9" customWidth="1"/>
    <col min="8" max="8" width="8.7109375" style="9" customWidth="1"/>
    <col min="9" max="9" width="7.85546875" style="9" customWidth="1"/>
    <col min="10" max="10" width="10.28515625" style="9" customWidth="1"/>
    <col min="11" max="11" width="9.85546875" style="9" customWidth="1"/>
    <col min="12" max="12" width="10.85546875" style="9" customWidth="1"/>
    <col min="13" max="13" width="11.85546875" style="9" customWidth="1"/>
    <col min="14" max="14" width="11" style="9" customWidth="1"/>
    <col min="15" max="15" width="10.85546875" style="9" customWidth="1"/>
    <col min="16" max="16" width="11.140625" style="9" customWidth="1"/>
    <col min="17" max="17" width="11.5703125" style="9" hidden="1" customWidth="1"/>
    <col min="18" max="18" width="11.28515625" style="9" hidden="1" customWidth="1"/>
    <col min="19" max="19" width="13.140625" style="9" customWidth="1"/>
    <col min="20" max="20" width="11.7109375" style="9" customWidth="1"/>
    <col min="21" max="21" width="12.85546875" style="9" hidden="1" customWidth="1"/>
    <col min="22" max="22" width="11" style="9" hidden="1" customWidth="1"/>
    <col min="23" max="24" width="12" style="9" customWidth="1"/>
    <col min="25" max="25" width="10.85546875" style="9" customWidth="1"/>
    <col min="26" max="26" width="11.140625" style="9" customWidth="1"/>
    <col min="27" max="27" width="8.85546875" style="9" customWidth="1"/>
    <col min="28" max="28" width="8.140625" style="9" customWidth="1"/>
    <col min="29" max="29" width="7.85546875" style="9" hidden="1" customWidth="1"/>
    <col min="30" max="30" width="8.140625" style="9" customWidth="1"/>
    <col min="31" max="31" width="9" style="15" customWidth="1"/>
    <col min="32" max="33" width="8.85546875" style="15" customWidth="1"/>
    <col min="34" max="34" width="9.28515625" style="9" customWidth="1"/>
    <col min="35" max="35" width="10.85546875" style="9" customWidth="1"/>
    <col min="36" max="36" width="11" style="9" customWidth="1"/>
    <col min="37" max="37" width="23.5703125" style="15" customWidth="1"/>
    <col min="38" max="38" width="17.85546875" style="15" customWidth="1"/>
    <col min="39" max="39" width="6.85546875" style="15" customWidth="1"/>
    <col min="40" max="40" width="7.5703125" style="15" customWidth="1"/>
    <col min="41" max="41" width="6.85546875" style="15" customWidth="1"/>
    <col min="42" max="42" width="6.140625" style="15" customWidth="1"/>
    <col min="43" max="43" width="7" style="15" customWidth="1"/>
    <col min="44" max="44" width="7.5703125" style="15" customWidth="1"/>
    <col min="45" max="45" width="6.140625" style="15" customWidth="1"/>
    <col min="46" max="47" width="6.85546875" style="15" customWidth="1"/>
    <col min="48" max="48" width="8.85546875" style="15" customWidth="1"/>
    <col min="49" max="51" width="6.85546875" style="9" customWidth="1"/>
    <col min="52" max="52" width="8.85546875" style="9" customWidth="1"/>
    <col min="53" max="53" width="8.5703125" style="9" customWidth="1"/>
    <col min="54" max="90" width="6.85546875" style="9" customWidth="1"/>
    <col min="91" max="91" width="26.5703125" style="9" customWidth="1"/>
    <col min="92" max="93" width="8" style="9" customWidth="1"/>
    <col min="94" max="94" width="20.85546875" style="9" customWidth="1"/>
    <col min="95" max="96" width="8" style="9" customWidth="1"/>
    <col min="97" max="97" width="23.85546875" style="9" customWidth="1"/>
    <col min="98" max="99" width="8" style="9" customWidth="1"/>
    <col min="100" max="100" width="22" style="9" customWidth="1"/>
    <col min="101" max="101" width="8" style="9" customWidth="1"/>
    <col min="102" max="102" width="8.140625" style="16" bestFit="1" customWidth="1"/>
    <col min="103" max="103" width="6.85546875" style="17" customWidth="1"/>
    <col min="104" max="16384" width="8" style="9"/>
  </cols>
  <sheetData>
    <row r="1" spans="1:38" ht="22.5" x14ac:dyDescent="0.3">
      <c r="A1" s="279">
        <v>1</v>
      </c>
      <c r="B1" s="11" t="s">
        <v>92</v>
      </c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36"/>
    </row>
    <row r="2" spans="1:38" ht="23.25" thickBot="1" x14ac:dyDescent="0.35">
      <c r="A2" s="279">
        <v>1</v>
      </c>
      <c r="B2" s="211" t="s">
        <v>256</v>
      </c>
      <c r="H2" s="18" t="s">
        <v>317</v>
      </c>
      <c r="I2" s="18"/>
      <c r="J2" s="20"/>
      <c r="K2" s="21"/>
      <c r="L2" s="22"/>
      <c r="M2" s="23"/>
      <c r="N2" s="24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5"/>
      <c r="AC2" s="37" t="s">
        <v>126</v>
      </c>
      <c r="AD2" s="37"/>
      <c r="AE2" s="19"/>
      <c r="AF2" s="19"/>
      <c r="AG2" s="19"/>
      <c r="AH2" s="20"/>
      <c r="AI2" s="20"/>
      <c r="AJ2" s="20"/>
      <c r="AK2" s="20"/>
    </row>
    <row r="3" spans="1:38" ht="6" customHeight="1" thickTop="1" x14ac:dyDescent="0.15">
      <c r="A3" s="279">
        <v>1</v>
      </c>
    </row>
    <row r="4" spans="1:38" ht="29.25" customHeight="1" x14ac:dyDescent="0.2">
      <c r="A4" s="279">
        <v>1</v>
      </c>
      <c r="B4" s="39" t="s">
        <v>315</v>
      </c>
      <c r="C4" s="367">
        <v>0</v>
      </c>
      <c r="D4" s="367"/>
      <c r="E4" s="367"/>
      <c r="F4" s="367"/>
      <c r="G4" s="477"/>
      <c r="H4" s="468" t="s">
        <v>264</v>
      </c>
      <c r="I4" s="469"/>
      <c r="J4" s="261">
        <v>6000</v>
      </c>
      <c r="L4" s="468" t="s">
        <v>3</v>
      </c>
      <c r="M4" s="469"/>
      <c r="N4" s="26">
        <v>0.8</v>
      </c>
      <c r="S4" s="493" t="s">
        <v>326</v>
      </c>
      <c r="T4" s="494"/>
      <c r="X4" s="491" t="s">
        <v>331</v>
      </c>
      <c r="Y4" s="492"/>
      <c r="AD4" s="245" t="s">
        <v>272</v>
      </c>
      <c r="AE4" s="246"/>
      <c r="AF4" s="247"/>
      <c r="AG4" s="245"/>
      <c r="AH4" s="248"/>
      <c r="AI4" s="248"/>
      <c r="AJ4" s="248"/>
      <c r="AK4" s="249"/>
    </row>
    <row r="5" spans="1:38" ht="42.75" customHeight="1" x14ac:dyDescent="0.15">
      <c r="A5" s="279">
        <v>1</v>
      </c>
      <c r="B5" s="39" t="s">
        <v>131</v>
      </c>
      <c r="C5" s="367">
        <v>0</v>
      </c>
      <c r="D5" s="367"/>
      <c r="E5" s="367"/>
      <c r="F5" s="367"/>
      <c r="G5" s="477"/>
      <c r="H5" s="468" t="s">
        <v>318</v>
      </c>
      <c r="I5" s="469"/>
      <c r="J5" s="261">
        <v>4000</v>
      </c>
      <c r="L5" s="468" t="s">
        <v>321</v>
      </c>
      <c r="M5" s="469"/>
      <c r="N5" s="32">
        <v>0.01</v>
      </c>
      <c r="S5" s="277" t="s">
        <v>327</v>
      </c>
      <c r="T5" s="32">
        <v>0</v>
      </c>
      <c r="X5" s="47" t="s">
        <v>29</v>
      </c>
      <c r="Y5" s="47" t="s">
        <v>335</v>
      </c>
      <c r="AD5" s="243"/>
      <c r="AE5" s="244"/>
      <c r="AF5" s="244"/>
      <c r="AG5" s="244"/>
      <c r="AH5" s="251" t="s">
        <v>273</v>
      </c>
      <c r="AI5" s="251"/>
      <c r="AJ5" s="251"/>
      <c r="AK5" s="282" t="s">
        <v>336</v>
      </c>
    </row>
    <row r="6" spans="1:38" ht="42" customHeight="1" x14ac:dyDescent="0.15">
      <c r="A6" s="279">
        <v>1</v>
      </c>
      <c r="B6" s="39" t="s">
        <v>316</v>
      </c>
      <c r="C6" s="367">
        <v>0</v>
      </c>
      <c r="D6" s="367"/>
      <c r="E6" s="367"/>
      <c r="F6" s="367"/>
      <c r="G6" s="477"/>
      <c r="H6" s="468" t="s">
        <v>319</v>
      </c>
      <c r="I6" s="469"/>
      <c r="J6" s="29">
        <v>250</v>
      </c>
      <c r="L6" s="468" t="s">
        <v>322</v>
      </c>
      <c r="M6" s="469"/>
      <c r="N6" s="33">
        <v>0.75</v>
      </c>
      <c r="S6" s="277" t="s">
        <v>328</v>
      </c>
      <c r="T6" s="32">
        <v>0</v>
      </c>
      <c r="X6" s="47" t="s">
        <v>332</v>
      </c>
      <c r="Y6" s="31">
        <v>4.4999999999999997E-3</v>
      </c>
      <c r="AD6" s="238"/>
      <c r="AE6" s="239" t="s">
        <v>51</v>
      </c>
      <c r="AF6" s="489" t="s">
        <v>47</v>
      </c>
      <c r="AG6" s="489"/>
      <c r="AH6" s="240">
        <v>800</v>
      </c>
      <c r="AI6" s="240"/>
      <c r="AJ6" s="240"/>
      <c r="AK6" s="241">
        <v>1.6666666666666666E-2</v>
      </c>
    </row>
    <row r="7" spans="1:38" ht="23.25" customHeight="1" x14ac:dyDescent="0.15">
      <c r="A7" s="279">
        <v>1</v>
      </c>
      <c r="B7" s="39" t="s">
        <v>22</v>
      </c>
      <c r="C7" s="313">
        <v>0</v>
      </c>
      <c r="D7" s="313"/>
      <c r="E7" s="313"/>
      <c r="F7" s="313"/>
      <c r="G7" s="314"/>
      <c r="H7" s="468" t="s">
        <v>320</v>
      </c>
      <c r="I7" s="469"/>
      <c r="J7" s="26">
        <v>4</v>
      </c>
      <c r="L7" s="468" t="s">
        <v>323</v>
      </c>
      <c r="M7" s="469"/>
      <c r="N7" s="26">
        <v>1.5</v>
      </c>
      <c r="S7" s="493" t="s">
        <v>174</v>
      </c>
      <c r="T7" s="494"/>
      <c r="X7" s="47" t="s">
        <v>333</v>
      </c>
      <c r="Y7" s="31">
        <v>4.0000000000000001E-3</v>
      </c>
      <c r="AD7" s="242"/>
      <c r="AE7" s="252" t="s">
        <v>196</v>
      </c>
      <c r="AF7" s="490">
        <v>600</v>
      </c>
      <c r="AG7" s="490"/>
      <c r="AH7" s="250"/>
      <c r="AI7" s="250"/>
      <c r="AJ7" s="250"/>
      <c r="AK7" s="253">
        <v>10</v>
      </c>
    </row>
    <row r="8" spans="1:38" ht="23.25" customHeight="1" x14ac:dyDescent="0.15">
      <c r="A8" s="279">
        <v>1</v>
      </c>
      <c r="B8" s="39" t="s">
        <v>118</v>
      </c>
      <c r="C8" s="368">
        <v>0</v>
      </c>
      <c r="D8" s="367"/>
      <c r="E8" s="367"/>
      <c r="F8" s="367"/>
      <c r="G8" s="477"/>
      <c r="H8" s="468" t="s">
        <v>11</v>
      </c>
      <c r="I8" s="469"/>
      <c r="J8" s="26">
        <v>1.5</v>
      </c>
      <c r="L8" s="468" t="s">
        <v>324</v>
      </c>
      <c r="M8" s="469"/>
      <c r="N8" s="28">
        <v>1</v>
      </c>
      <c r="S8" s="27" t="s">
        <v>329</v>
      </c>
      <c r="T8" s="26">
        <v>0.9</v>
      </c>
      <c r="X8" s="47" t="s">
        <v>334</v>
      </c>
      <c r="Y8" s="31">
        <v>3.5000000000000001E-3</v>
      </c>
      <c r="AD8" s="486" t="s">
        <v>275</v>
      </c>
      <c r="AE8" s="487"/>
      <c r="AF8" s="487"/>
      <c r="AG8" s="487"/>
      <c r="AH8" s="487"/>
      <c r="AI8" s="487"/>
      <c r="AJ8" s="487"/>
      <c r="AK8" s="488"/>
    </row>
    <row r="9" spans="1:38" ht="23.25" customHeight="1" x14ac:dyDescent="0.15">
      <c r="A9" s="279">
        <v>1</v>
      </c>
      <c r="H9" s="468" t="s">
        <v>12</v>
      </c>
      <c r="I9" s="469"/>
      <c r="J9" s="26">
        <v>1.2</v>
      </c>
      <c r="L9" s="468" t="s">
        <v>325</v>
      </c>
      <c r="M9" s="469"/>
      <c r="N9" s="30">
        <v>150</v>
      </c>
      <c r="S9" s="27" t="s">
        <v>330</v>
      </c>
      <c r="T9" s="26">
        <v>0.65</v>
      </c>
    </row>
    <row r="10" spans="1:38" ht="4.5" customHeight="1" x14ac:dyDescent="0.2">
      <c r="A10" s="279">
        <v>1</v>
      </c>
      <c r="B10" s="50"/>
      <c r="C10" s="50"/>
      <c r="M10" s="13"/>
      <c r="S10" s="14"/>
      <c r="T10" s="34"/>
      <c r="U10" s="34"/>
      <c r="V10" s="34"/>
      <c r="W10" s="15"/>
      <c r="Y10" s="34"/>
      <c r="Z10" s="34"/>
      <c r="AA10" s="34"/>
      <c r="AB10" s="34"/>
      <c r="AC10" s="254"/>
      <c r="AD10" s="34"/>
      <c r="AE10" s="12"/>
      <c r="AF10" s="12"/>
      <c r="AG10" s="12"/>
      <c r="AH10" s="12"/>
      <c r="AI10" s="12"/>
      <c r="AJ10" s="12"/>
      <c r="AK10" s="12"/>
    </row>
    <row r="11" spans="1:38" s="35" customFormat="1" ht="37.5" customHeight="1" x14ac:dyDescent="0.15">
      <c r="A11" s="280">
        <v>1</v>
      </c>
      <c r="B11" s="462" t="s">
        <v>205</v>
      </c>
      <c r="C11" s="474" t="s">
        <v>337</v>
      </c>
      <c r="D11" s="465" t="s">
        <v>338</v>
      </c>
      <c r="E11" s="466"/>
      <c r="F11" s="466"/>
      <c r="G11" s="467"/>
      <c r="H11" s="465" t="s">
        <v>342</v>
      </c>
      <c r="I11" s="467"/>
      <c r="J11" s="465" t="s">
        <v>344</v>
      </c>
      <c r="K11" s="466"/>
      <c r="L11" s="467"/>
      <c r="M11" s="465" t="s">
        <v>345</v>
      </c>
      <c r="N11" s="467"/>
      <c r="O11" s="465" t="s">
        <v>346</v>
      </c>
      <c r="P11" s="467"/>
      <c r="Q11" s="484" t="s">
        <v>347</v>
      </c>
      <c r="R11" s="485"/>
      <c r="S11" s="465" t="s">
        <v>15</v>
      </c>
      <c r="T11" s="467"/>
      <c r="U11" s="484" t="s">
        <v>109</v>
      </c>
      <c r="V11" s="485"/>
      <c r="W11" s="465" t="s">
        <v>348</v>
      </c>
      <c r="X11" s="467"/>
      <c r="Y11" s="462" t="s">
        <v>355</v>
      </c>
      <c r="Z11" s="481" t="s">
        <v>42</v>
      </c>
      <c r="AA11" s="465" t="s">
        <v>356</v>
      </c>
      <c r="AB11" s="466"/>
      <c r="AC11" s="466"/>
      <c r="AD11" s="466"/>
      <c r="AE11" s="466"/>
      <c r="AF11" s="466"/>
      <c r="AG11" s="466"/>
      <c r="AH11" s="467"/>
      <c r="AI11" s="462" t="s">
        <v>364</v>
      </c>
      <c r="AJ11" s="462" t="s">
        <v>365</v>
      </c>
      <c r="AK11" s="478" t="s">
        <v>366</v>
      </c>
    </row>
    <row r="12" spans="1:38" s="35" customFormat="1" ht="32.25" customHeight="1" x14ac:dyDescent="0.15">
      <c r="A12" s="280">
        <v>1</v>
      </c>
      <c r="B12" s="463"/>
      <c r="C12" s="475"/>
      <c r="D12" s="465" t="s">
        <v>339</v>
      </c>
      <c r="E12" s="466"/>
      <c r="F12" s="467"/>
      <c r="G12" s="462" t="s">
        <v>341</v>
      </c>
      <c r="H12" s="470" t="s">
        <v>343</v>
      </c>
      <c r="I12" s="471"/>
      <c r="J12" s="462" t="s">
        <v>349</v>
      </c>
      <c r="K12" s="462" t="s">
        <v>350</v>
      </c>
      <c r="L12" s="462" t="s">
        <v>351</v>
      </c>
      <c r="M12" s="462" t="s">
        <v>352</v>
      </c>
      <c r="N12" s="462" t="s">
        <v>353</v>
      </c>
      <c r="O12" s="462" t="s">
        <v>352</v>
      </c>
      <c r="P12" s="462" t="s">
        <v>353</v>
      </c>
      <c r="Q12" s="462" t="s">
        <v>352</v>
      </c>
      <c r="R12" s="462" t="s">
        <v>353</v>
      </c>
      <c r="S12" s="462" t="s">
        <v>128</v>
      </c>
      <c r="T12" s="462" t="s">
        <v>127</v>
      </c>
      <c r="U12" s="462" t="s">
        <v>128</v>
      </c>
      <c r="V12" s="462" t="s">
        <v>127</v>
      </c>
      <c r="W12" s="462" t="s">
        <v>43</v>
      </c>
      <c r="X12" s="462" t="s">
        <v>354</v>
      </c>
      <c r="Y12" s="463"/>
      <c r="Z12" s="482"/>
      <c r="AA12" s="465" t="s">
        <v>357</v>
      </c>
      <c r="AB12" s="466"/>
      <c r="AC12" s="466"/>
      <c r="AD12" s="466"/>
      <c r="AE12" s="467"/>
      <c r="AF12" s="465" t="s">
        <v>358</v>
      </c>
      <c r="AG12" s="466"/>
      <c r="AH12" s="467"/>
      <c r="AI12" s="463"/>
      <c r="AJ12" s="463"/>
      <c r="AK12" s="479"/>
      <c r="AL12" s="38"/>
    </row>
    <row r="13" spans="1:38" s="35" customFormat="1" ht="48" customHeight="1" x14ac:dyDescent="0.15">
      <c r="A13" s="280">
        <v>1</v>
      </c>
      <c r="B13" s="463"/>
      <c r="C13" s="476"/>
      <c r="D13" s="51" t="s">
        <v>340</v>
      </c>
      <c r="E13" s="309" t="s">
        <v>176</v>
      </c>
      <c r="F13" s="309" t="s">
        <v>177</v>
      </c>
      <c r="G13" s="464"/>
      <c r="H13" s="472"/>
      <c r="I13" s="473"/>
      <c r="J13" s="464"/>
      <c r="K13" s="464"/>
      <c r="L13" s="464"/>
      <c r="M13" s="464"/>
      <c r="N13" s="464"/>
      <c r="O13" s="464"/>
      <c r="P13" s="464"/>
      <c r="Q13" s="464"/>
      <c r="R13" s="464"/>
      <c r="S13" s="464"/>
      <c r="T13" s="464"/>
      <c r="U13" s="464"/>
      <c r="V13" s="464"/>
      <c r="W13" s="464"/>
      <c r="X13" s="464"/>
      <c r="Y13" s="464"/>
      <c r="Z13" s="483"/>
      <c r="AA13" s="51" t="s">
        <v>359</v>
      </c>
      <c r="AB13" s="51" t="s">
        <v>360</v>
      </c>
      <c r="AC13" s="255" t="s">
        <v>361</v>
      </c>
      <c r="AD13" s="49" t="s">
        <v>36</v>
      </c>
      <c r="AE13" s="49" t="s">
        <v>37</v>
      </c>
      <c r="AF13" s="49" t="s">
        <v>362</v>
      </c>
      <c r="AG13" s="51" t="s">
        <v>363</v>
      </c>
      <c r="AH13" s="49" t="s">
        <v>361</v>
      </c>
      <c r="AI13" s="463"/>
      <c r="AJ13" s="463"/>
      <c r="AK13" s="479"/>
    </row>
    <row r="14" spans="1:38" s="35" customFormat="1" ht="33" customHeight="1" x14ac:dyDescent="0.15">
      <c r="A14" s="280">
        <v>1</v>
      </c>
      <c r="B14" s="464"/>
      <c r="C14" s="278" t="s">
        <v>9</v>
      </c>
      <c r="D14" s="278" t="s">
        <v>25</v>
      </c>
      <c r="E14" s="278" t="s">
        <v>25</v>
      </c>
      <c r="F14" s="278" t="s">
        <v>25</v>
      </c>
      <c r="G14" s="278" t="s">
        <v>25</v>
      </c>
      <c r="H14" s="278" t="s">
        <v>52</v>
      </c>
      <c r="I14" s="278" t="s">
        <v>53</v>
      </c>
      <c r="J14" s="278" t="s">
        <v>17</v>
      </c>
      <c r="K14" s="278" t="s">
        <v>17</v>
      </c>
      <c r="L14" s="278" t="s">
        <v>17</v>
      </c>
      <c r="M14" s="278" t="s">
        <v>9</v>
      </c>
      <c r="N14" s="278" t="s">
        <v>9</v>
      </c>
      <c r="O14" s="278" t="s">
        <v>9</v>
      </c>
      <c r="P14" s="278" t="s">
        <v>9</v>
      </c>
      <c r="Q14" s="278" t="s">
        <v>9</v>
      </c>
      <c r="R14" s="278" t="s">
        <v>9</v>
      </c>
      <c r="S14" s="278" t="s">
        <v>9</v>
      </c>
      <c r="T14" s="278" t="s">
        <v>9</v>
      </c>
      <c r="U14" s="278" t="s">
        <v>9</v>
      </c>
      <c r="V14" s="278" t="s">
        <v>9</v>
      </c>
      <c r="W14" s="278" t="s">
        <v>18</v>
      </c>
      <c r="X14" s="278" t="s">
        <v>18</v>
      </c>
      <c r="Y14" s="278" t="s">
        <v>10</v>
      </c>
      <c r="Z14" s="278" t="s">
        <v>7</v>
      </c>
      <c r="AA14" s="278" t="s">
        <v>17</v>
      </c>
      <c r="AB14" s="278" t="s">
        <v>19</v>
      </c>
      <c r="AC14" s="278" t="s">
        <v>20</v>
      </c>
      <c r="AD14" s="278" t="s">
        <v>21</v>
      </c>
      <c r="AE14" s="278" t="s">
        <v>21</v>
      </c>
      <c r="AF14" s="278" t="s">
        <v>17</v>
      </c>
      <c r="AG14" s="278" t="s">
        <v>19</v>
      </c>
      <c r="AH14" s="278" t="s">
        <v>20</v>
      </c>
      <c r="AI14" s="464"/>
      <c r="AJ14" s="464"/>
      <c r="AK14" s="480"/>
    </row>
    <row r="15" spans="1:38" customFormat="1" ht="15" customHeight="1" x14ac:dyDescent="0.2"/>
    <row r="16" spans="1:38" customFormat="1" ht="15" customHeight="1" x14ac:dyDescent="0.2"/>
    <row r="17" customFormat="1" ht="15" customHeight="1" x14ac:dyDescent="0.2"/>
    <row r="18" customFormat="1" ht="15" customHeight="1" x14ac:dyDescent="0.2"/>
    <row r="19" customFormat="1" ht="15" customHeight="1" x14ac:dyDescent="0.2"/>
    <row r="20" customFormat="1" ht="15" customHeight="1" x14ac:dyDescent="0.2"/>
    <row r="21" customFormat="1" ht="15" customHeight="1" x14ac:dyDescent="0.2"/>
    <row r="22" customFormat="1" ht="15" customHeight="1" x14ac:dyDescent="0.2"/>
    <row r="23" customFormat="1" ht="15" customHeight="1" x14ac:dyDescent="0.2"/>
    <row r="24" customFormat="1" ht="15" customHeight="1" x14ac:dyDescent="0.2"/>
    <row r="25" customFormat="1" ht="15" customHeight="1" x14ac:dyDescent="0.2"/>
    <row r="26" customFormat="1" ht="15" customHeight="1" x14ac:dyDescent="0.2"/>
    <row r="27" customFormat="1" ht="15" customHeight="1" x14ac:dyDescent="0.2"/>
    <row r="28" customFormat="1" ht="15" customHeight="1" x14ac:dyDescent="0.2"/>
    <row r="29" customFormat="1" ht="15" customHeight="1" x14ac:dyDescent="0.2"/>
    <row r="30" customFormat="1" ht="15" customHeight="1" x14ac:dyDescent="0.2"/>
    <row r="31" customFormat="1" ht="15" customHeight="1" x14ac:dyDescent="0.2"/>
    <row r="32" customFormat="1" ht="15" customHeight="1" x14ac:dyDescent="0.2"/>
    <row r="33" customFormat="1" ht="15" customHeight="1" x14ac:dyDescent="0.2"/>
    <row r="34" customFormat="1" ht="15" customHeight="1" x14ac:dyDescent="0.2"/>
    <row r="35" customFormat="1" ht="15" customHeight="1" x14ac:dyDescent="0.2"/>
    <row r="36" customFormat="1" ht="15" customHeight="1" x14ac:dyDescent="0.2"/>
    <row r="37" customFormat="1" ht="15" customHeight="1" x14ac:dyDescent="0.2"/>
    <row r="38" customFormat="1" ht="15" customHeight="1" x14ac:dyDescent="0.2"/>
    <row r="39" customFormat="1" ht="15" customHeight="1" x14ac:dyDescent="0.2"/>
    <row r="40" customFormat="1" ht="15" customHeight="1" x14ac:dyDescent="0.2"/>
    <row r="41" customFormat="1" ht="15" customHeight="1" x14ac:dyDescent="0.2"/>
    <row r="42" customFormat="1" ht="15" customHeight="1" x14ac:dyDescent="0.2"/>
    <row r="43" customFormat="1" ht="15" customHeight="1" x14ac:dyDescent="0.2"/>
    <row r="44" customFormat="1" ht="15" customHeight="1" x14ac:dyDescent="0.2"/>
    <row r="45" customFormat="1" ht="15" customHeight="1" x14ac:dyDescent="0.2"/>
    <row r="46" customFormat="1" ht="15" customHeight="1" x14ac:dyDescent="0.2"/>
    <row r="47" customFormat="1" ht="15" customHeight="1" x14ac:dyDescent="0.2"/>
    <row r="48" customFormat="1" ht="15" customHeight="1" x14ac:dyDescent="0.2"/>
    <row r="49" customFormat="1" ht="15" customHeight="1" x14ac:dyDescent="0.2"/>
    <row r="50" customFormat="1" ht="15" customHeight="1" x14ac:dyDescent="0.2"/>
    <row r="51" customFormat="1" ht="15" customHeight="1" x14ac:dyDescent="0.2"/>
    <row r="52" customFormat="1" ht="15" customHeight="1" x14ac:dyDescent="0.2"/>
    <row r="53" customFormat="1" ht="15" customHeight="1" x14ac:dyDescent="0.2"/>
    <row r="54" customFormat="1" ht="15" customHeight="1" x14ac:dyDescent="0.2"/>
    <row r="55" customFormat="1" ht="15" customHeight="1" x14ac:dyDescent="0.2"/>
    <row r="56" customFormat="1" ht="15" customHeight="1" x14ac:dyDescent="0.2"/>
    <row r="57" customFormat="1" ht="15" customHeight="1" x14ac:dyDescent="0.2"/>
    <row r="58" customFormat="1" ht="15" customHeight="1" x14ac:dyDescent="0.2"/>
    <row r="59" customFormat="1" ht="15" customHeight="1" x14ac:dyDescent="0.2"/>
    <row r="60" customFormat="1" ht="15" customHeight="1" x14ac:dyDescent="0.2"/>
    <row r="61" customFormat="1" ht="15" customHeight="1" x14ac:dyDescent="0.2"/>
    <row r="62" customFormat="1" ht="15" customHeight="1" x14ac:dyDescent="0.2"/>
    <row r="63" customFormat="1" ht="15" customHeight="1" x14ac:dyDescent="0.2"/>
    <row r="64" customFormat="1" ht="15" customHeight="1" x14ac:dyDescent="0.2"/>
    <row r="65" customFormat="1" ht="15" customHeight="1" x14ac:dyDescent="0.2"/>
    <row r="66" customFormat="1" ht="15" customHeight="1" x14ac:dyDescent="0.2"/>
    <row r="67" customFormat="1" ht="15" customHeight="1" x14ac:dyDescent="0.2"/>
    <row r="68" customFormat="1" ht="15" customHeight="1" x14ac:dyDescent="0.2"/>
    <row r="69" customFormat="1" ht="15" customHeight="1" x14ac:dyDescent="0.2"/>
    <row r="70" customFormat="1" ht="15" customHeight="1" x14ac:dyDescent="0.2"/>
    <row r="71" customFormat="1" ht="15" customHeight="1" x14ac:dyDescent="0.2"/>
    <row r="72" customFormat="1" ht="15" customHeight="1" x14ac:dyDescent="0.2"/>
    <row r="73" customFormat="1" ht="15" customHeight="1" x14ac:dyDescent="0.2"/>
    <row r="74" customFormat="1" ht="15" customHeight="1" x14ac:dyDescent="0.2"/>
    <row r="75" customFormat="1" ht="15" customHeight="1" x14ac:dyDescent="0.2"/>
    <row r="76" customFormat="1" ht="15" customHeight="1" x14ac:dyDescent="0.2"/>
    <row r="77" customFormat="1" ht="15" customHeight="1" x14ac:dyDescent="0.2"/>
    <row r="78" customFormat="1" ht="15" customHeight="1" x14ac:dyDescent="0.2"/>
    <row r="79" customFormat="1" ht="15" customHeight="1" x14ac:dyDescent="0.2"/>
    <row r="80" customFormat="1" ht="15" customHeight="1" x14ac:dyDescent="0.2"/>
    <row r="81" customFormat="1" ht="15" customHeight="1" x14ac:dyDescent="0.2"/>
    <row r="82" customFormat="1" ht="15" customHeight="1" x14ac:dyDescent="0.2"/>
    <row r="83" customFormat="1" ht="15" customHeight="1" x14ac:dyDescent="0.2"/>
    <row r="84" customFormat="1" ht="15" customHeight="1" x14ac:dyDescent="0.2"/>
    <row r="85" customFormat="1" ht="15" customHeight="1" x14ac:dyDescent="0.2"/>
    <row r="86" customFormat="1" ht="15" customHeight="1" x14ac:dyDescent="0.2"/>
    <row r="87" customFormat="1" ht="15" customHeight="1" x14ac:dyDescent="0.2"/>
    <row r="88" customFormat="1" ht="15" customHeight="1" x14ac:dyDescent="0.2"/>
    <row r="89" customFormat="1" ht="15" customHeight="1" x14ac:dyDescent="0.2"/>
    <row r="90" customFormat="1" ht="15" customHeight="1" x14ac:dyDescent="0.2"/>
    <row r="91" customFormat="1" ht="15" customHeight="1" x14ac:dyDescent="0.2"/>
    <row r="92" customFormat="1" ht="15" customHeight="1" x14ac:dyDescent="0.2"/>
    <row r="93" customFormat="1" ht="15" customHeight="1" x14ac:dyDescent="0.2"/>
    <row r="94" customFormat="1" ht="15" customHeight="1" x14ac:dyDescent="0.2"/>
    <row r="95" customFormat="1" ht="15" customHeight="1" x14ac:dyDescent="0.2"/>
    <row r="96" customFormat="1" ht="15" customHeight="1" x14ac:dyDescent="0.2"/>
    <row r="97" customFormat="1" ht="15" customHeight="1" x14ac:dyDescent="0.2"/>
    <row r="98" customFormat="1" ht="15" customHeight="1" x14ac:dyDescent="0.2"/>
    <row r="99" customFormat="1" ht="15" customHeight="1" x14ac:dyDescent="0.2"/>
    <row r="100" customFormat="1" ht="15" customHeight="1" x14ac:dyDescent="0.2"/>
    <row r="101" customFormat="1" ht="15" customHeight="1" x14ac:dyDescent="0.2"/>
    <row r="102" customFormat="1" ht="15" customHeight="1" x14ac:dyDescent="0.2"/>
    <row r="103" customFormat="1" ht="15" customHeight="1" x14ac:dyDescent="0.2"/>
    <row r="104" customFormat="1" ht="15" customHeight="1" x14ac:dyDescent="0.2"/>
    <row r="105" customFormat="1" ht="15" customHeight="1" x14ac:dyDescent="0.2"/>
    <row r="106" customFormat="1" ht="15" customHeight="1" x14ac:dyDescent="0.2"/>
    <row r="107" customFormat="1" ht="15" customHeight="1" x14ac:dyDescent="0.2"/>
    <row r="108" customFormat="1" ht="15" customHeight="1" x14ac:dyDescent="0.2"/>
    <row r="109" customFormat="1" ht="15" customHeight="1" x14ac:dyDescent="0.2"/>
    <row r="110" customFormat="1" ht="15" customHeight="1" x14ac:dyDescent="0.2"/>
    <row r="111" customFormat="1" ht="15" customHeight="1" x14ac:dyDescent="0.2"/>
    <row r="112" customFormat="1" ht="15" customHeight="1" x14ac:dyDescent="0.2"/>
    <row r="113" customFormat="1" ht="15" customHeight="1" x14ac:dyDescent="0.2"/>
    <row r="114" customFormat="1" ht="15" customHeight="1" x14ac:dyDescent="0.2"/>
    <row r="115" customFormat="1" ht="15" customHeight="1" x14ac:dyDescent="0.2"/>
    <row r="116" customFormat="1" ht="15" customHeight="1" x14ac:dyDescent="0.2"/>
    <row r="117" customFormat="1" ht="15" customHeight="1" x14ac:dyDescent="0.2"/>
    <row r="118" customFormat="1" ht="15" customHeight="1" x14ac:dyDescent="0.2"/>
    <row r="119" customFormat="1" ht="15" customHeight="1" x14ac:dyDescent="0.2"/>
    <row r="120" customFormat="1" ht="15" customHeight="1" x14ac:dyDescent="0.2"/>
    <row r="121" customFormat="1" ht="15" customHeight="1" x14ac:dyDescent="0.2"/>
    <row r="122" customFormat="1" ht="15" customHeight="1" x14ac:dyDescent="0.2"/>
    <row r="123" customFormat="1" ht="15" customHeight="1" x14ac:dyDescent="0.2"/>
    <row r="124" customFormat="1" ht="15" customHeight="1" x14ac:dyDescent="0.2"/>
    <row r="125" customFormat="1" ht="15" customHeight="1" x14ac:dyDescent="0.2"/>
    <row r="126" customFormat="1" ht="15" customHeight="1" x14ac:dyDescent="0.2"/>
    <row r="127" customFormat="1" ht="15" customHeight="1" x14ac:dyDescent="0.2"/>
    <row r="128" customFormat="1" ht="15" customHeight="1" x14ac:dyDescent="0.2"/>
    <row r="129" customFormat="1" ht="15" customHeight="1" x14ac:dyDescent="0.2"/>
    <row r="130" customFormat="1" ht="15" customHeight="1" x14ac:dyDescent="0.2"/>
    <row r="131" customFormat="1" ht="15" customHeight="1" x14ac:dyDescent="0.2"/>
    <row r="132" customFormat="1" ht="15" customHeight="1" x14ac:dyDescent="0.2"/>
    <row r="133" customFormat="1" ht="15" customHeight="1" x14ac:dyDescent="0.2"/>
    <row r="134" customFormat="1" ht="15" customHeight="1" x14ac:dyDescent="0.2"/>
    <row r="135" customFormat="1" ht="15" customHeight="1" x14ac:dyDescent="0.2"/>
    <row r="136" customFormat="1" ht="15" customHeight="1" x14ac:dyDescent="0.2"/>
    <row r="137" customFormat="1" ht="15" customHeight="1" x14ac:dyDescent="0.2"/>
    <row r="138" customFormat="1" ht="15" customHeight="1" x14ac:dyDescent="0.2"/>
    <row r="139" customFormat="1" ht="15" customHeight="1" x14ac:dyDescent="0.2"/>
    <row r="140" customFormat="1" ht="15" customHeight="1" x14ac:dyDescent="0.2"/>
    <row r="141" customFormat="1" ht="15" customHeight="1" x14ac:dyDescent="0.2"/>
    <row r="142" customFormat="1" ht="15" customHeight="1" x14ac:dyDescent="0.2"/>
    <row r="143" customFormat="1" ht="15" customHeight="1" x14ac:dyDescent="0.2"/>
    <row r="144" customFormat="1" ht="15" customHeight="1" x14ac:dyDescent="0.2"/>
    <row r="145" customFormat="1" ht="15" customHeight="1" x14ac:dyDescent="0.2"/>
    <row r="146" customFormat="1" ht="15" customHeight="1" x14ac:dyDescent="0.2"/>
    <row r="147" customFormat="1" ht="15" customHeight="1" x14ac:dyDescent="0.2"/>
    <row r="148" customFormat="1" ht="15" customHeight="1" x14ac:dyDescent="0.2"/>
    <row r="149" customFormat="1" ht="15" customHeight="1" x14ac:dyDescent="0.2"/>
    <row r="150" customFormat="1" ht="15" customHeight="1" x14ac:dyDescent="0.2"/>
    <row r="151" customFormat="1" ht="15" customHeight="1" x14ac:dyDescent="0.2"/>
    <row r="152" customFormat="1" ht="15" customHeight="1" x14ac:dyDescent="0.2"/>
    <row r="153" customFormat="1" ht="15" customHeight="1" x14ac:dyDescent="0.2"/>
    <row r="154" customFormat="1" ht="15" customHeight="1" x14ac:dyDescent="0.2"/>
    <row r="155" customFormat="1" ht="15" customHeight="1" x14ac:dyDescent="0.2"/>
    <row r="156" customFormat="1" ht="15" customHeight="1" x14ac:dyDescent="0.2"/>
    <row r="157" customFormat="1" ht="15" customHeight="1" x14ac:dyDescent="0.2"/>
    <row r="158" customFormat="1" ht="15" customHeight="1" x14ac:dyDescent="0.2"/>
    <row r="159" customFormat="1" ht="15" customHeight="1" x14ac:dyDescent="0.2"/>
    <row r="160" customFormat="1" ht="15" customHeight="1" x14ac:dyDescent="0.2"/>
    <row r="161" customFormat="1" ht="15" customHeight="1" x14ac:dyDescent="0.2"/>
    <row r="162" customFormat="1" ht="15" customHeight="1" x14ac:dyDescent="0.2"/>
    <row r="163" customFormat="1" ht="15" customHeight="1" x14ac:dyDescent="0.2"/>
    <row r="164" customFormat="1" ht="15" customHeight="1" x14ac:dyDescent="0.2"/>
    <row r="165" customFormat="1" ht="15" customHeight="1" x14ac:dyDescent="0.2"/>
    <row r="166" customFormat="1" ht="15" customHeight="1" x14ac:dyDescent="0.2"/>
    <row r="167" customFormat="1" ht="15" customHeight="1" x14ac:dyDescent="0.2"/>
    <row r="168" customFormat="1" ht="15" customHeight="1" x14ac:dyDescent="0.2"/>
    <row r="169" customFormat="1" ht="15" customHeight="1" x14ac:dyDescent="0.2"/>
    <row r="170" customFormat="1" ht="15" customHeight="1" x14ac:dyDescent="0.2"/>
    <row r="171" customFormat="1" ht="15" customHeight="1" x14ac:dyDescent="0.2"/>
    <row r="172" customFormat="1" ht="15" customHeight="1" x14ac:dyDescent="0.2"/>
    <row r="173" customFormat="1" ht="15" customHeight="1" x14ac:dyDescent="0.2"/>
    <row r="174" customFormat="1" ht="15" customHeight="1" x14ac:dyDescent="0.2"/>
    <row r="175" customFormat="1" ht="15" customHeight="1" x14ac:dyDescent="0.2"/>
    <row r="176" customFormat="1" ht="15" customHeight="1" x14ac:dyDescent="0.2"/>
    <row r="177" customFormat="1" ht="15" customHeight="1" x14ac:dyDescent="0.2"/>
    <row r="178" customFormat="1" ht="15" customHeight="1" x14ac:dyDescent="0.2"/>
    <row r="179" customFormat="1" ht="15" customHeight="1" x14ac:dyDescent="0.2"/>
    <row r="180" customFormat="1" ht="15" customHeight="1" x14ac:dyDescent="0.2"/>
    <row r="181" customFormat="1" ht="15" customHeight="1" x14ac:dyDescent="0.2"/>
    <row r="182" customFormat="1" ht="15" customHeight="1" x14ac:dyDescent="0.2"/>
    <row r="183" customFormat="1" ht="15" customHeight="1" x14ac:dyDescent="0.2"/>
    <row r="184" customFormat="1" ht="15" customHeight="1" x14ac:dyDescent="0.2"/>
    <row r="185" customFormat="1" ht="15" customHeight="1" x14ac:dyDescent="0.2"/>
    <row r="186" customFormat="1" ht="15" customHeight="1" x14ac:dyDescent="0.2"/>
    <row r="187" customFormat="1" ht="15" customHeight="1" x14ac:dyDescent="0.2"/>
    <row r="188" customFormat="1" ht="15" customHeight="1" x14ac:dyDescent="0.2"/>
    <row r="189" customFormat="1" ht="15" customHeight="1" x14ac:dyDescent="0.2"/>
    <row r="190" customFormat="1" ht="15" customHeight="1" x14ac:dyDescent="0.2"/>
    <row r="191" customFormat="1" ht="15" customHeight="1" x14ac:dyDescent="0.2"/>
    <row r="192" customFormat="1" ht="15" customHeight="1" x14ac:dyDescent="0.2"/>
    <row r="193" customFormat="1" ht="15" customHeight="1" x14ac:dyDescent="0.2"/>
    <row r="194" customFormat="1" ht="15" customHeight="1" x14ac:dyDescent="0.2"/>
    <row r="195" customFormat="1" ht="15" customHeight="1" x14ac:dyDescent="0.2"/>
    <row r="196" customFormat="1" ht="15" customHeight="1" x14ac:dyDescent="0.2"/>
    <row r="197" customFormat="1" ht="15" customHeight="1" x14ac:dyDescent="0.2"/>
    <row r="198" customFormat="1" ht="15" customHeight="1" x14ac:dyDescent="0.2"/>
    <row r="199" customFormat="1" ht="15" customHeight="1" x14ac:dyDescent="0.2"/>
    <row r="200" customFormat="1" ht="15" customHeight="1" x14ac:dyDescent="0.2"/>
    <row r="201" customFormat="1" ht="15" customHeight="1" x14ac:dyDescent="0.2"/>
    <row r="202" customFormat="1" ht="15" customHeight="1" x14ac:dyDescent="0.2"/>
    <row r="203" customFormat="1" ht="15" customHeight="1" x14ac:dyDescent="0.2"/>
    <row r="204" customFormat="1" ht="15" customHeight="1" x14ac:dyDescent="0.2"/>
    <row r="205" customFormat="1" ht="15" customHeight="1" x14ac:dyDescent="0.2"/>
    <row r="206" customFormat="1" ht="15" customHeight="1" x14ac:dyDescent="0.2"/>
    <row r="207" customFormat="1" ht="15" customHeight="1" x14ac:dyDescent="0.2"/>
    <row r="208" customFormat="1" ht="15" customHeight="1" x14ac:dyDescent="0.2"/>
    <row r="209" customFormat="1" ht="15" customHeight="1" x14ac:dyDescent="0.2"/>
    <row r="210" customFormat="1" ht="15" customHeight="1" x14ac:dyDescent="0.2"/>
    <row r="211" customFormat="1" ht="15" customHeight="1" x14ac:dyDescent="0.2"/>
    <row r="212" customFormat="1" ht="15" customHeight="1" x14ac:dyDescent="0.2"/>
    <row r="213" customFormat="1" ht="15" customHeight="1" x14ac:dyDescent="0.2"/>
    <row r="214" customFormat="1" ht="15" customHeight="1" x14ac:dyDescent="0.2"/>
    <row r="215" customFormat="1" ht="15" customHeight="1" x14ac:dyDescent="0.2"/>
    <row r="216" customFormat="1" ht="15" customHeight="1" x14ac:dyDescent="0.2"/>
    <row r="217" customFormat="1" ht="15" customHeight="1" x14ac:dyDescent="0.2"/>
    <row r="218" customFormat="1" ht="15" customHeight="1" x14ac:dyDescent="0.2"/>
    <row r="219" customFormat="1" ht="15" customHeight="1" x14ac:dyDescent="0.2"/>
    <row r="220" customFormat="1" ht="15" customHeight="1" x14ac:dyDescent="0.2"/>
    <row r="221" customFormat="1" ht="15" customHeight="1" x14ac:dyDescent="0.2"/>
    <row r="222" customFormat="1" ht="15" customHeight="1" x14ac:dyDescent="0.2"/>
    <row r="223" customFormat="1" ht="15" customHeight="1" x14ac:dyDescent="0.2"/>
    <row r="224" customFormat="1" ht="15" customHeight="1" x14ac:dyDescent="0.2"/>
    <row r="225" customFormat="1" ht="15" customHeight="1" x14ac:dyDescent="0.2"/>
    <row r="226" customFormat="1" ht="15" customHeight="1" x14ac:dyDescent="0.2"/>
    <row r="227" customFormat="1" ht="15" customHeight="1" x14ac:dyDescent="0.2"/>
    <row r="228" customFormat="1" ht="15" customHeight="1" x14ac:dyDescent="0.2"/>
    <row r="229" customFormat="1" ht="15" customHeight="1" x14ac:dyDescent="0.2"/>
    <row r="230" customFormat="1" ht="15" customHeight="1" x14ac:dyDescent="0.2"/>
    <row r="231" customFormat="1" ht="15" customHeight="1" x14ac:dyDescent="0.2"/>
    <row r="232" customFormat="1" ht="15" customHeight="1" x14ac:dyDescent="0.2"/>
    <row r="233" customFormat="1" ht="15" customHeight="1" x14ac:dyDescent="0.2"/>
    <row r="234" customFormat="1" ht="15" customHeight="1" x14ac:dyDescent="0.2"/>
    <row r="235" customFormat="1" ht="15" customHeight="1" x14ac:dyDescent="0.2"/>
    <row r="236" customFormat="1" ht="15" customHeight="1" x14ac:dyDescent="0.2"/>
    <row r="237" customFormat="1" ht="15" customHeight="1" x14ac:dyDescent="0.2"/>
    <row r="238" customFormat="1" ht="15" customHeight="1" x14ac:dyDescent="0.2"/>
    <row r="239" customFormat="1" ht="15" customHeight="1" x14ac:dyDescent="0.2"/>
    <row r="240" customFormat="1" ht="15" customHeight="1" x14ac:dyDescent="0.2"/>
    <row r="241" customFormat="1" ht="15" customHeight="1" x14ac:dyDescent="0.2"/>
    <row r="242" customFormat="1" ht="15" customHeight="1" x14ac:dyDescent="0.2"/>
    <row r="243" customFormat="1" ht="15" customHeight="1" x14ac:dyDescent="0.2"/>
    <row r="244" customFormat="1" ht="15" customHeight="1" x14ac:dyDescent="0.2"/>
    <row r="245" customFormat="1" ht="15" customHeight="1" x14ac:dyDescent="0.2"/>
    <row r="246" customFormat="1" ht="15" customHeight="1" x14ac:dyDescent="0.2"/>
    <row r="247" customFormat="1" ht="15" customHeight="1" x14ac:dyDescent="0.2"/>
    <row r="248" customFormat="1" ht="15" customHeight="1" x14ac:dyDescent="0.2"/>
    <row r="249" customFormat="1" ht="15" customHeight="1" x14ac:dyDescent="0.2"/>
    <row r="250" customFormat="1" ht="15" customHeight="1" x14ac:dyDescent="0.2"/>
    <row r="251" customFormat="1" ht="15" customHeight="1" x14ac:dyDescent="0.2"/>
    <row r="252" customFormat="1" ht="15" customHeight="1" x14ac:dyDescent="0.2"/>
    <row r="253" customFormat="1" ht="15" customHeight="1" x14ac:dyDescent="0.2"/>
    <row r="254" customFormat="1" ht="15" customHeight="1" x14ac:dyDescent="0.2"/>
    <row r="255" customFormat="1" ht="15" customHeight="1" x14ac:dyDescent="0.2"/>
    <row r="256" customFormat="1" ht="15" customHeight="1" x14ac:dyDescent="0.2"/>
    <row r="257" customFormat="1" ht="15" customHeight="1" x14ac:dyDescent="0.2"/>
    <row r="258" customFormat="1" ht="15" customHeight="1" x14ac:dyDescent="0.2"/>
    <row r="259" customFormat="1" ht="15" customHeight="1" x14ac:dyDescent="0.2"/>
    <row r="260" customFormat="1" ht="15" customHeight="1" x14ac:dyDescent="0.2"/>
    <row r="261" customFormat="1" ht="15" customHeight="1" x14ac:dyDescent="0.2"/>
    <row r="262" customFormat="1" ht="15" customHeight="1" x14ac:dyDescent="0.2"/>
    <row r="263" customFormat="1" ht="15" customHeight="1" x14ac:dyDescent="0.2"/>
    <row r="264" customFormat="1" ht="15" customHeight="1" x14ac:dyDescent="0.2"/>
    <row r="265" customFormat="1" ht="15" customHeight="1" x14ac:dyDescent="0.2"/>
    <row r="266" customFormat="1" ht="15" customHeight="1" x14ac:dyDescent="0.2"/>
    <row r="267" customFormat="1" ht="15" customHeight="1" x14ac:dyDescent="0.2"/>
    <row r="268" customFormat="1" ht="15" customHeight="1" x14ac:dyDescent="0.2"/>
    <row r="269" customFormat="1" ht="15" customHeight="1" x14ac:dyDescent="0.2"/>
    <row r="270" customFormat="1" ht="15" customHeight="1" x14ac:dyDescent="0.2"/>
    <row r="271" customFormat="1" ht="15" customHeight="1" x14ac:dyDescent="0.2"/>
    <row r="272" customFormat="1" ht="15" customHeight="1" x14ac:dyDescent="0.2"/>
    <row r="273" customFormat="1" ht="15" customHeight="1" x14ac:dyDescent="0.2"/>
    <row r="274" customFormat="1" ht="15" customHeight="1" x14ac:dyDescent="0.2"/>
    <row r="275" customFormat="1" ht="15" customHeight="1" x14ac:dyDescent="0.2"/>
    <row r="276" customFormat="1" ht="15" customHeight="1" x14ac:dyDescent="0.2"/>
    <row r="277" customFormat="1" ht="15" customHeight="1" x14ac:dyDescent="0.2"/>
    <row r="278" customFormat="1" ht="15" customHeight="1" x14ac:dyDescent="0.2"/>
    <row r="279" customFormat="1" ht="15" customHeight="1" x14ac:dyDescent="0.2"/>
    <row r="280" customFormat="1" ht="15" customHeight="1" x14ac:dyDescent="0.2"/>
    <row r="281" customFormat="1" ht="15" customHeight="1" x14ac:dyDescent="0.2"/>
    <row r="282" customFormat="1" ht="15" customHeight="1" x14ac:dyDescent="0.2"/>
    <row r="283" customFormat="1" ht="15" customHeight="1" x14ac:dyDescent="0.2"/>
    <row r="284" customFormat="1" ht="15" customHeight="1" x14ac:dyDescent="0.2"/>
    <row r="285" customFormat="1" ht="15" customHeight="1" x14ac:dyDescent="0.2"/>
    <row r="286" customFormat="1" ht="15" customHeight="1" x14ac:dyDescent="0.2"/>
    <row r="287" customFormat="1" ht="15" customHeight="1" x14ac:dyDescent="0.2"/>
    <row r="288" customFormat="1" ht="15" customHeight="1" x14ac:dyDescent="0.2"/>
    <row r="289" customFormat="1" ht="15" customHeight="1" x14ac:dyDescent="0.2"/>
    <row r="290" customFormat="1" ht="15" customHeight="1" x14ac:dyDescent="0.2"/>
    <row r="291" customFormat="1" ht="15" customHeight="1" x14ac:dyDescent="0.2"/>
    <row r="292" customFormat="1" ht="15" customHeight="1" x14ac:dyDescent="0.2"/>
    <row r="293" customFormat="1" ht="15" customHeight="1" x14ac:dyDescent="0.2"/>
    <row r="294" customFormat="1" ht="15" customHeight="1" x14ac:dyDescent="0.2"/>
    <row r="295" customFormat="1" ht="15" customHeight="1" x14ac:dyDescent="0.2"/>
    <row r="296" customFormat="1" ht="15" customHeight="1" x14ac:dyDescent="0.2"/>
    <row r="297" customFormat="1" ht="15" customHeight="1" x14ac:dyDescent="0.2"/>
    <row r="298" customFormat="1" ht="15" customHeight="1" x14ac:dyDescent="0.2"/>
    <row r="299" customFormat="1" ht="15" customHeight="1" x14ac:dyDescent="0.2"/>
    <row r="300" customFormat="1" ht="15" customHeight="1" x14ac:dyDescent="0.2"/>
    <row r="301" customFormat="1" ht="15" customHeight="1" x14ac:dyDescent="0.2"/>
    <row r="302" customFormat="1" ht="15" customHeight="1" x14ac:dyDescent="0.2"/>
    <row r="303" customFormat="1" ht="15" customHeight="1" x14ac:dyDescent="0.2"/>
    <row r="304" customFormat="1" ht="15" customHeight="1" x14ac:dyDescent="0.2"/>
    <row r="305" customFormat="1" ht="15" customHeight="1" x14ac:dyDescent="0.2"/>
    <row r="306" customFormat="1" ht="15" customHeight="1" x14ac:dyDescent="0.2"/>
    <row r="307" customFormat="1" ht="15" customHeight="1" x14ac:dyDescent="0.2"/>
    <row r="308" customFormat="1" ht="15" customHeight="1" x14ac:dyDescent="0.2"/>
    <row r="309" customFormat="1" ht="15" customHeight="1" x14ac:dyDescent="0.2"/>
    <row r="310" customFormat="1" ht="15" customHeight="1" x14ac:dyDescent="0.2"/>
    <row r="311" customFormat="1" ht="15" customHeight="1" x14ac:dyDescent="0.2"/>
    <row r="312" customFormat="1" ht="15" customHeight="1" x14ac:dyDescent="0.2"/>
    <row r="313" customFormat="1" ht="15" customHeight="1" x14ac:dyDescent="0.2"/>
    <row r="314" customFormat="1" ht="15" customHeight="1" x14ac:dyDescent="0.2"/>
    <row r="315" customFormat="1" ht="15" customHeight="1" x14ac:dyDescent="0.2"/>
    <row r="316" customFormat="1" ht="15" customHeight="1" x14ac:dyDescent="0.2"/>
    <row r="317" customFormat="1" ht="15" customHeight="1" x14ac:dyDescent="0.2"/>
    <row r="318" customFormat="1" ht="15" customHeight="1" x14ac:dyDescent="0.2"/>
    <row r="319" customFormat="1" ht="15" customHeight="1" x14ac:dyDescent="0.2"/>
    <row r="320" customFormat="1" ht="15" customHeight="1" x14ac:dyDescent="0.2"/>
    <row r="321" customFormat="1" ht="15" customHeight="1" x14ac:dyDescent="0.2"/>
    <row r="322" customFormat="1" ht="15" customHeight="1" x14ac:dyDescent="0.2"/>
    <row r="323" customFormat="1" ht="15" customHeight="1" x14ac:dyDescent="0.2"/>
    <row r="324" customFormat="1" ht="15" customHeight="1" x14ac:dyDescent="0.2"/>
    <row r="325" customFormat="1" ht="15" customHeight="1" x14ac:dyDescent="0.2"/>
    <row r="326" customFormat="1" ht="15" customHeight="1" x14ac:dyDescent="0.2"/>
    <row r="327" customFormat="1" ht="15" customHeight="1" x14ac:dyDescent="0.2"/>
    <row r="328" customFormat="1" ht="15" customHeight="1" x14ac:dyDescent="0.2"/>
    <row r="329" customFormat="1" ht="15" customHeight="1" x14ac:dyDescent="0.2"/>
    <row r="330" customFormat="1" ht="15" customHeight="1" x14ac:dyDescent="0.2"/>
    <row r="331" customFormat="1" ht="15" customHeight="1" x14ac:dyDescent="0.2"/>
    <row r="332" customFormat="1" ht="15" customHeight="1" x14ac:dyDescent="0.2"/>
    <row r="333" customFormat="1" ht="15" customHeight="1" x14ac:dyDescent="0.2"/>
    <row r="334" customFormat="1" ht="15" customHeight="1" x14ac:dyDescent="0.2"/>
    <row r="335" customFormat="1" ht="15" customHeight="1" x14ac:dyDescent="0.2"/>
    <row r="336" customFormat="1" ht="15" customHeight="1" x14ac:dyDescent="0.2"/>
    <row r="337" customFormat="1" ht="15" customHeight="1" x14ac:dyDescent="0.2"/>
    <row r="338" customFormat="1" ht="15" customHeight="1" x14ac:dyDescent="0.2"/>
    <row r="339" customFormat="1" ht="15" customHeight="1" x14ac:dyDescent="0.2"/>
    <row r="340" customFormat="1" ht="15" customHeight="1" x14ac:dyDescent="0.2"/>
    <row r="341" customFormat="1" ht="15" customHeight="1" x14ac:dyDescent="0.2"/>
    <row r="342" customFormat="1" ht="15" customHeight="1" x14ac:dyDescent="0.2"/>
    <row r="343" customFormat="1" ht="15" customHeight="1" x14ac:dyDescent="0.2"/>
    <row r="344" customFormat="1" ht="15" customHeight="1" x14ac:dyDescent="0.2"/>
    <row r="345" customFormat="1" ht="15" customHeight="1" x14ac:dyDescent="0.2"/>
    <row r="346" customFormat="1" ht="15" customHeight="1" x14ac:dyDescent="0.2"/>
    <row r="347" customFormat="1" ht="15" customHeight="1" x14ac:dyDescent="0.2"/>
    <row r="348" customFormat="1" ht="15" customHeight="1" x14ac:dyDescent="0.2"/>
    <row r="349" customFormat="1" ht="15" customHeight="1" x14ac:dyDescent="0.2"/>
    <row r="350" customFormat="1" ht="15" customHeight="1" x14ac:dyDescent="0.2"/>
    <row r="351" customFormat="1" ht="15" customHeight="1" x14ac:dyDescent="0.2"/>
    <row r="352" customFormat="1" ht="15" customHeight="1" x14ac:dyDescent="0.2"/>
    <row r="353" customFormat="1" ht="15" customHeight="1" x14ac:dyDescent="0.2"/>
    <row r="354" customFormat="1" ht="15" customHeight="1" x14ac:dyDescent="0.2"/>
    <row r="355" customFormat="1" ht="15" customHeight="1" x14ac:dyDescent="0.2"/>
    <row r="356" customFormat="1" ht="15" customHeight="1" x14ac:dyDescent="0.2"/>
    <row r="357" customFormat="1" ht="15" customHeight="1" x14ac:dyDescent="0.2"/>
    <row r="358" customFormat="1" ht="15" customHeight="1" x14ac:dyDescent="0.2"/>
    <row r="359" customFormat="1" ht="15" customHeight="1" x14ac:dyDescent="0.2"/>
    <row r="360" customFormat="1" ht="15" customHeight="1" x14ac:dyDescent="0.2"/>
    <row r="361" customFormat="1" ht="15" customHeight="1" x14ac:dyDescent="0.2"/>
    <row r="362" customFormat="1" ht="15" customHeight="1" x14ac:dyDescent="0.2"/>
    <row r="363" customFormat="1" ht="15" customHeight="1" x14ac:dyDescent="0.2"/>
    <row r="364" customFormat="1" ht="15" customHeight="1" x14ac:dyDescent="0.2"/>
    <row r="365" customFormat="1" ht="15" customHeight="1" x14ac:dyDescent="0.2"/>
    <row r="366" customFormat="1" ht="15" customHeight="1" x14ac:dyDescent="0.2"/>
    <row r="367" customFormat="1" ht="15" customHeight="1" x14ac:dyDescent="0.2"/>
    <row r="368" customFormat="1" ht="15" customHeight="1" x14ac:dyDescent="0.2"/>
    <row r="369" customFormat="1" ht="15" customHeight="1" x14ac:dyDescent="0.2"/>
    <row r="370" customFormat="1" ht="15" customHeight="1" x14ac:dyDescent="0.2"/>
    <row r="371" customFormat="1" ht="15" customHeight="1" x14ac:dyDescent="0.2"/>
    <row r="372" customFormat="1" ht="15" customHeight="1" x14ac:dyDescent="0.2"/>
    <row r="373" customFormat="1" ht="15" customHeight="1" x14ac:dyDescent="0.2"/>
    <row r="374" customFormat="1" ht="15" customHeight="1" x14ac:dyDescent="0.2"/>
    <row r="375" customFormat="1" ht="15" customHeight="1" x14ac:dyDescent="0.2"/>
    <row r="376" customFormat="1" ht="15" customHeight="1" x14ac:dyDescent="0.2"/>
    <row r="377" customFormat="1" ht="15" customHeight="1" x14ac:dyDescent="0.2"/>
    <row r="378" customFormat="1" ht="15" customHeight="1" x14ac:dyDescent="0.2"/>
    <row r="379" customFormat="1" ht="15" customHeight="1" x14ac:dyDescent="0.2"/>
    <row r="380" customFormat="1" ht="15" customHeight="1" x14ac:dyDescent="0.2"/>
    <row r="381" customFormat="1" ht="15" customHeight="1" x14ac:dyDescent="0.2"/>
    <row r="382" customFormat="1" ht="15" customHeight="1" x14ac:dyDescent="0.2"/>
    <row r="383" customFormat="1" ht="15" customHeight="1" x14ac:dyDescent="0.2"/>
    <row r="384" customFormat="1" ht="15" customHeight="1" x14ac:dyDescent="0.2"/>
    <row r="385" customFormat="1" ht="15" customHeight="1" x14ac:dyDescent="0.2"/>
    <row r="386" customFormat="1" ht="15" customHeight="1" x14ac:dyDescent="0.2"/>
    <row r="387" customFormat="1" ht="15" customHeight="1" x14ac:dyDescent="0.2"/>
    <row r="388" customFormat="1" ht="15" customHeight="1" x14ac:dyDescent="0.2"/>
    <row r="389" customFormat="1" ht="15" customHeight="1" x14ac:dyDescent="0.2"/>
    <row r="390" customFormat="1" ht="15" customHeight="1" x14ac:dyDescent="0.2"/>
    <row r="391" customFormat="1" ht="15" customHeight="1" x14ac:dyDescent="0.2"/>
    <row r="392" customFormat="1" ht="15" customHeight="1" x14ac:dyDescent="0.2"/>
    <row r="393" customFormat="1" ht="15" customHeight="1" x14ac:dyDescent="0.2"/>
    <row r="394" customFormat="1" ht="15" customHeight="1" x14ac:dyDescent="0.2"/>
    <row r="395" customFormat="1" ht="15" customHeight="1" x14ac:dyDescent="0.2"/>
    <row r="396" customFormat="1" ht="15" customHeight="1" x14ac:dyDescent="0.2"/>
    <row r="397" customFormat="1" ht="15" customHeight="1" x14ac:dyDescent="0.2"/>
    <row r="398" customFormat="1" ht="15" customHeight="1" x14ac:dyDescent="0.2"/>
    <row r="399" customFormat="1" ht="15" customHeight="1" x14ac:dyDescent="0.2"/>
    <row r="400" customFormat="1" ht="15" customHeight="1" x14ac:dyDescent="0.2"/>
    <row r="401" customFormat="1" ht="15" customHeight="1" x14ac:dyDescent="0.2"/>
    <row r="402" customFormat="1" ht="15" customHeight="1" x14ac:dyDescent="0.2"/>
    <row r="403" customFormat="1" ht="15" customHeight="1" x14ac:dyDescent="0.2"/>
    <row r="404" customFormat="1" ht="15" customHeight="1" x14ac:dyDescent="0.2"/>
    <row r="405" customFormat="1" ht="15" customHeight="1" x14ac:dyDescent="0.2"/>
    <row r="406" customFormat="1" ht="15" customHeight="1" x14ac:dyDescent="0.2"/>
    <row r="407" customFormat="1" ht="15" customHeight="1" x14ac:dyDescent="0.2"/>
    <row r="408" customFormat="1" ht="15" customHeight="1" x14ac:dyDescent="0.2"/>
    <row r="409" customFormat="1" ht="15" customHeight="1" x14ac:dyDescent="0.2"/>
    <row r="410" customFormat="1" ht="15" customHeight="1" x14ac:dyDescent="0.2"/>
    <row r="411" customFormat="1" ht="15" customHeight="1" x14ac:dyDescent="0.2"/>
    <row r="412" customFormat="1" ht="15" customHeight="1" x14ac:dyDescent="0.2"/>
    <row r="413" customFormat="1" ht="15" customHeight="1" x14ac:dyDescent="0.2"/>
    <row r="414" customFormat="1" ht="15" customHeight="1" x14ac:dyDescent="0.2"/>
    <row r="415" customFormat="1" ht="15" customHeight="1" x14ac:dyDescent="0.2"/>
    <row r="416" customFormat="1" ht="15" customHeight="1" x14ac:dyDescent="0.2"/>
    <row r="417" customFormat="1" ht="15" customHeight="1" x14ac:dyDescent="0.2"/>
    <row r="418" customFormat="1" ht="15" customHeight="1" x14ac:dyDescent="0.2"/>
    <row r="419" customFormat="1" ht="15" customHeight="1" x14ac:dyDescent="0.2"/>
    <row r="420" customFormat="1" ht="15" customHeight="1" x14ac:dyDescent="0.2"/>
    <row r="421" customFormat="1" ht="15" customHeight="1" x14ac:dyDescent="0.2"/>
    <row r="422" customFormat="1" ht="15" customHeight="1" x14ac:dyDescent="0.2"/>
    <row r="423" customFormat="1" ht="15" customHeight="1" x14ac:dyDescent="0.2"/>
    <row r="424" customFormat="1" ht="15" customHeight="1" x14ac:dyDescent="0.2"/>
    <row r="425" customFormat="1" ht="15" customHeight="1" x14ac:dyDescent="0.2"/>
    <row r="426" customFormat="1" ht="15" customHeight="1" x14ac:dyDescent="0.2"/>
    <row r="427" customFormat="1" ht="15" customHeight="1" x14ac:dyDescent="0.2"/>
    <row r="428" customFormat="1" ht="15" customHeight="1" x14ac:dyDescent="0.2"/>
    <row r="429" customFormat="1" ht="15" customHeight="1" x14ac:dyDescent="0.2"/>
    <row r="430" customFormat="1" ht="15" customHeight="1" x14ac:dyDescent="0.2"/>
    <row r="431" customFormat="1" ht="15" customHeight="1" x14ac:dyDescent="0.2"/>
    <row r="432" customFormat="1" ht="15" customHeight="1" x14ac:dyDescent="0.2"/>
    <row r="433" customFormat="1" ht="15" customHeight="1" x14ac:dyDescent="0.2"/>
    <row r="434" customFormat="1" ht="15" customHeight="1" x14ac:dyDescent="0.2"/>
    <row r="435" customFormat="1" ht="15" customHeight="1" x14ac:dyDescent="0.2"/>
    <row r="436" customFormat="1" ht="15" customHeight="1" x14ac:dyDescent="0.2"/>
    <row r="437" customFormat="1" ht="15" customHeight="1" x14ac:dyDescent="0.2"/>
    <row r="438" customFormat="1" ht="15" customHeight="1" x14ac:dyDescent="0.2"/>
    <row r="439" customFormat="1" ht="15" customHeight="1" x14ac:dyDescent="0.2"/>
    <row r="440" customFormat="1" ht="15" customHeight="1" x14ac:dyDescent="0.2"/>
    <row r="441" customFormat="1" ht="15" customHeight="1" x14ac:dyDescent="0.2"/>
    <row r="442" customFormat="1" ht="15" customHeight="1" x14ac:dyDescent="0.2"/>
    <row r="443" customFormat="1" ht="15" customHeight="1" x14ac:dyDescent="0.2"/>
    <row r="444" customFormat="1" ht="15" customHeight="1" x14ac:dyDescent="0.2"/>
    <row r="445" customFormat="1" ht="15" customHeight="1" x14ac:dyDescent="0.2"/>
    <row r="446" customFormat="1" ht="15" customHeight="1" x14ac:dyDescent="0.2"/>
    <row r="447" customFormat="1" ht="15" customHeight="1" x14ac:dyDescent="0.2"/>
    <row r="448" customFormat="1" ht="15" customHeight="1" x14ac:dyDescent="0.2"/>
    <row r="449" customFormat="1" ht="15" customHeight="1" x14ac:dyDescent="0.2"/>
    <row r="450" customFormat="1" ht="15" customHeight="1" x14ac:dyDescent="0.2"/>
    <row r="451" customFormat="1" ht="15" customHeight="1" x14ac:dyDescent="0.2"/>
    <row r="452" customFormat="1" ht="15" customHeight="1" x14ac:dyDescent="0.2"/>
    <row r="453" customFormat="1" ht="15" customHeight="1" x14ac:dyDescent="0.2"/>
    <row r="454" customFormat="1" ht="15" customHeight="1" x14ac:dyDescent="0.2"/>
    <row r="455" customFormat="1" ht="15" customHeight="1" x14ac:dyDescent="0.2"/>
    <row r="456" customFormat="1" ht="15" customHeight="1" x14ac:dyDescent="0.2"/>
    <row r="457" customFormat="1" ht="15" customHeight="1" x14ac:dyDescent="0.2"/>
    <row r="458" customFormat="1" ht="15" customHeight="1" x14ac:dyDescent="0.2"/>
    <row r="459" customFormat="1" ht="15" customHeight="1" x14ac:dyDescent="0.2"/>
    <row r="460" customFormat="1" ht="15" customHeight="1" x14ac:dyDescent="0.2"/>
    <row r="461" customFormat="1" ht="15" customHeight="1" x14ac:dyDescent="0.2"/>
    <row r="462" customFormat="1" ht="15" customHeight="1" x14ac:dyDescent="0.2"/>
    <row r="463" customFormat="1" ht="15" customHeight="1" x14ac:dyDescent="0.2"/>
    <row r="464" customFormat="1" ht="15" customHeight="1" x14ac:dyDescent="0.2"/>
    <row r="465" customFormat="1" ht="15" customHeight="1" x14ac:dyDescent="0.2"/>
    <row r="466" customFormat="1" ht="15" customHeight="1" x14ac:dyDescent="0.2"/>
    <row r="467" customFormat="1" ht="15" customHeight="1" x14ac:dyDescent="0.2"/>
    <row r="468" customFormat="1" ht="15" customHeight="1" x14ac:dyDescent="0.2"/>
    <row r="469" customFormat="1" ht="15" customHeight="1" x14ac:dyDescent="0.2"/>
    <row r="470" customFormat="1" ht="15" customHeight="1" x14ac:dyDescent="0.2"/>
    <row r="471" customFormat="1" ht="15" customHeight="1" x14ac:dyDescent="0.2"/>
    <row r="472" customFormat="1" ht="15" customHeight="1" x14ac:dyDescent="0.2"/>
    <row r="473" customFormat="1" ht="15" customHeight="1" x14ac:dyDescent="0.2"/>
    <row r="474" customFormat="1" ht="15" customHeight="1" x14ac:dyDescent="0.2"/>
    <row r="475" customFormat="1" ht="15" customHeight="1" x14ac:dyDescent="0.2"/>
    <row r="476" customFormat="1" ht="15" customHeight="1" x14ac:dyDescent="0.2"/>
    <row r="477" customFormat="1" ht="15" customHeight="1" x14ac:dyDescent="0.2"/>
    <row r="478" customFormat="1" ht="15" customHeight="1" x14ac:dyDescent="0.2"/>
    <row r="479" customFormat="1" ht="15" customHeight="1" x14ac:dyDescent="0.2"/>
    <row r="480" customFormat="1" ht="15" customHeight="1" x14ac:dyDescent="0.2"/>
    <row r="481" customFormat="1" ht="15" customHeight="1" x14ac:dyDescent="0.2"/>
    <row r="482" customFormat="1" ht="15" customHeight="1" x14ac:dyDescent="0.2"/>
    <row r="483" customFormat="1" ht="15" customHeight="1" x14ac:dyDescent="0.2"/>
    <row r="484" customFormat="1" ht="15" customHeight="1" x14ac:dyDescent="0.2"/>
    <row r="485" customFormat="1" ht="15" customHeight="1" x14ac:dyDescent="0.2"/>
    <row r="486" customFormat="1" ht="15" customHeight="1" x14ac:dyDescent="0.2"/>
    <row r="487" customFormat="1" ht="15" customHeight="1" x14ac:dyDescent="0.2"/>
    <row r="488" customFormat="1" ht="15" customHeight="1" x14ac:dyDescent="0.2"/>
    <row r="489" customFormat="1" ht="15" customHeight="1" x14ac:dyDescent="0.2"/>
    <row r="490" customFormat="1" ht="15" customHeight="1" x14ac:dyDescent="0.2"/>
    <row r="491" customFormat="1" ht="15" customHeight="1" x14ac:dyDescent="0.2"/>
    <row r="492" customFormat="1" ht="15" customHeight="1" x14ac:dyDescent="0.2"/>
    <row r="493" customFormat="1" ht="15" customHeight="1" x14ac:dyDescent="0.2"/>
    <row r="494" customFormat="1" ht="15" customHeight="1" x14ac:dyDescent="0.2"/>
    <row r="495" customFormat="1" ht="15" customHeight="1" x14ac:dyDescent="0.2"/>
    <row r="496" customFormat="1" ht="15" customHeight="1" x14ac:dyDescent="0.2"/>
    <row r="497" customFormat="1" ht="15" customHeight="1" x14ac:dyDescent="0.2"/>
    <row r="498" customFormat="1" ht="15" customHeight="1" x14ac:dyDescent="0.2"/>
    <row r="499" customFormat="1" ht="15" customHeight="1" x14ac:dyDescent="0.2"/>
    <row r="500" customFormat="1" ht="15" customHeight="1" x14ac:dyDescent="0.2"/>
    <row r="501" customFormat="1" ht="15" customHeight="1" x14ac:dyDescent="0.2"/>
    <row r="502" customFormat="1" ht="15" customHeight="1" x14ac:dyDescent="0.2"/>
    <row r="503" customFormat="1" ht="15" customHeight="1" x14ac:dyDescent="0.2"/>
    <row r="504" customFormat="1" ht="15" customHeight="1" x14ac:dyDescent="0.2"/>
    <row r="505" customFormat="1" ht="15" customHeight="1" x14ac:dyDescent="0.2"/>
    <row r="506" customFormat="1" ht="15" customHeight="1" x14ac:dyDescent="0.2"/>
    <row r="507" customFormat="1" ht="15" customHeight="1" x14ac:dyDescent="0.2"/>
    <row r="508" customFormat="1" ht="15" customHeight="1" x14ac:dyDescent="0.2"/>
    <row r="509" customFormat="1" ht="15" customHeight="1" x14ac:dyDescent="0.2"/>
    <row r="510" customFormat="1" ht="15" customHeight="1" x14ac:dyDescent="0.2"/>
    <row r="511" customFormat="1" ht="15" customHeight="1" x14ac:dyDescent="0.2"/>
    <row r="512" customFormat="1" ht="15" customHeight="1" x14ac:dyDescent="0.2"/>
    <row r="513" customFormat="1" ht="15" customHeight="1" x14ac:dyDescent="0.2"/>
    <row r="514" customFormat="1" ht="15" customHeight="1" x14ac:dyDescent="0.2"/>
    <row r="515" customFormat="1" ht="15" customHeight="1" x14ac:dyDescent="0.2"/>
    <row r="516" customFormat="1" ht="15" customHeight="1" x14ac:dyDescent="0.2"/>
    <row r="517" customFormat="1" ht="15" customHeight="1" x14ac:dyDescent="0.2"/>
    <row r="518" customFormat="1" ht="15" customHeight="1" x14ac:dyDescent="0.2"/>
    <row r="519" customFormat="1" ht="15" customHeight="1" x14ac:dyDescent="0.2"/>
    <row r="520" customFormat="1" ht="15" customHeight="1" x14ac:dyDescent="0.2"/>
    <row r="521" customFormat="1" ht="15" customHeight="1" x14ac:dyDescent="0.2"/>
    <row r="522" customFormat="1" ht="15" customHeight="1" x14ac:dyDescent="0.2"/>
    <row r="523" customFormat="1" ht="15" customHeight="1" x14ac:dyDescent="0.2"/>
    <row r="524" customFormat="1" ht="15" customHeight="1" x14ac:dyDescent="0.2"/>
    <row r="525" customFormat="1" ht="15" customHeight="1" x14ac:dyDescent="0.2"/>
    <row r="526" customFormat="1" ht="15" customHeight="1" x14ac:dyDescent="0.2"/>
    <row r="527" customFormat="1" ht="15" customHeight="1" x14ac:dyDescent="0.2"/>
    <row r="528" customFormat="1" ht="15" customHeight="1" x14ac:dyDescent="0.2"/>
    <row r="529" customFormat="1" ht="15" customHeight="1" x14ac:dyDescent="0.2"/>
    <row r="530" customFormat="1" ht="15" customHeight="1" x14ac:dyDescent="0.2"/>
    <row r="531" customFormat="1" ht="15" customHeight="1" x14ac:dyDescent="0.2"/>
    <row r="532" customFormat="1" ht="15" customHeight="1" x14ac:dyDescent="0.2"/>
    <row r="533" customFormat="1" ht="15" customHeight="1" x14ac:dyDescent="0.2"/>
    <row r="534" customFormat="1" ht="15" customHeight="1" x14ac:dyDescent="0.2"/>
    <row r="535" customFormat="1" ht="15" customHeight="1" x14ac:dyDescent="0.2"/>
    <row r="536" customFormat="1" ht="15" customHeight="1" x14ac:dyDescent="0.2"/>
    <row r="537" customFormat="1" ht="15" customHeight="1" x14ac:dyDescent="0.2"/>
    <row r="538" customFormat="1" ht="15" customHeight="1" x14ac:dyDescent="0.2"/>
    <row r="539" customFormat="1" ht="15" customHeight="1" x14ac:dyDescent="0.2"/>
    <row r="540" customFormat="1" ht="15" customHeight="1" x14ac:dyDescent="0.2"/>
    <row r="541" customFormat="1" ht="15" customHeight="1" x14ac:dyDescent="0.2"/>
    <row r="542" customFormat="1" ht="15" customHeight="1" x14ac:dyDescent="0.2"/>
    <row r="543" customFormat="1" ht="15" customHeight="1" x14ac:dyDescent="0.2"/>
    <row r="544" customFormat="1" ht="15" customHeight="1" x14ac:dyDescent="0.2"/>
    <row r="545" customFormat="1" ht="15" customHeight="1" x14ac:dyDescent="0.2"/>
    <row r="546" customFormat="1" ht="15" customHeight="1" x14ac:dyDescent="0.2"/>
    <row r="547" customFormat="1" ht="15" customHeight="1" x14ac:dyDescent="0.2"/>
    <row r="548" customFormat="1" ht="15" customHeight="1" x14ac:dyDescent="0.2"/>
    <row r="549" customFormat="1" ht="15" customHeight="1" x14ac:dyDescent="0.2"/>
    <row r="550" customFormat="1" ht="15" customHeight="1" x14ac:dyDescent="0.2"/>
    <row r="551" customFormat="1" ht="15" customHeight="1" x14ac:dyDescent="0.2"/>
    <row r="552" customFormat="1" ht="15" customHeight="1" x14ac:dyDescent="0.2"/>
    <row r="553" customFormat="1" ht="15" customHeight="1" x14ac:dyDescent="0.2"/>
    <row r="554" customFormat="1" ht="15" customHeight="1" x14ac:dyDescent="0.2"/>
    <row r="555" customFormat="1" ht="15" customHeight="1" x14ac:dyDescent="0.2"/>
    <row r="556" customFormat="1" ht="15" customHeight="1" x14ac:dyDescent="0.2"/>
    <row r="557" customFormat="1" ht="15" customHeight="1" x14ac:dyDescent="0.2"/>
    <row r="558" customFormat="1" ht="15" customHeight="1" x14ac:dyDescent="0.2"/>
    <row r="559" customFormat="1" ht="15" customHeight="1" x14ac:dyDescent="0.2"/>
    <row r="560" customFormat="1" ht="15" customHeight="1" x14ac:dyDescent="0.2"/>
    <row r="561" customFormat="1" ht="15" customHeight="1" x14ac:dyDescent="0.2"/>
    <row r="562" customFormat="1" ht="15" customHeight="1" x14ac:dyDescent="0.2"/>
    <row r="563" customFormat="1" ht="15" customHeight="1" x14ac:dyDescent="0.2"/>
    <row r="564" customFormat="1" ht="15" customHeight="1" x14ac:dyDescent="0.2"/>
    <row r="565" customFormat="1" ht="15" customHeight="1" x14ac:dyDescent="0.2"/>
    <row r="566" customFormat="1" ht="15" customHeight="1" x14ac:dyDescent="0.2"/>
    <row r="567" customFormat="1" ht="15" customHeight="1" x14ac:dyDescent="0.2"/>
    <row r="568" customFormat="1" ht="15" customHeight="1" x14ac:dyDescent="0.2"/>
    <row r="569" customFormat="1" ht="15" customHeight="1" x14ac:dyDescent="0.2"/>
    <row r="570" customFormat="1" ht="15" customHeight="1" x14ac:dyDescent="0.2"/>
    <row r="571" customFormat="1" ht="15" customHeight="1" x14ac:dyDescent="0.2"/>
    <row r="572" customFormat="1" ht="15" customHeight="1" x14ac:dyDescent="0.2"/>
    <row r="573" customFormat="1" ht="15" customHeight="1" x14ac:dyDescent="0.2"/>
    <row r="574" customFormat="1" ht="15" customHeight="1" x14ac:dyDescent="0.2"/>
    <row r="575" customFormat="1" ht="15" customHeight="1" x14ac:dyDescent="0.2"/>
    <row r="576" customFormat="1" ht="15" customHeight="1" x14ac:dyDescent="0.2"/>
    <row r="577" customFormat="1" ht="15" customHeight="1" x14ac:dyDescent="0.2"/>
    <row r="578" customFormat="1" ht="15" customHeight="1" x14ac:dyDescent="0.2"/>
    <row r="579" customFormat="1" ht="15" customHeight="1" x14ac:dyDescent="0.2"/>
    <row r="580" customFormat="1" ht="15" customHeight="1" x14ac:dyDescent="0.2"/>
    <row r="581" customFormat="1" ht="15" customHeight="1" x14ac:dyDescent="0.2"/>
    <row r="582" customFormat="1" ht="15" customHeight="1" x14ac:dyDescent="0.2"/>
    <row r="583" customFormat="1" ht="15" customHeight="1" x14ac:dyDescent="0.2"/>
    <row r="584" customFormat="1" ht="15" customHeight="1" x14ac:dyDescent="0.2"/>
    <row r="585" customFormat="1" ht="15" customHeight="1" x14ac:dyDescent="0.2"/>
    <row r="586" customFormat="1" ht="15" customHeight="1" x14ac:dyDescent="0.2"/>
    <row r="587" customFormat="1" ht="15" customHeight="1" x14ac:dyDescent="0.2"/>
    <row r="588" customFormat="1" ht="15" customHeight="1" x14ac:dyDescent="0.2"/>
    <row r="589" customFormat="1" ht="15" customHeight="1" x14ac:dyDescent="0.2"/>
    <row r="590" customFormat="1" ht="15" customHeight="1" x14ac:dyDescent="0.2"/>
    <row r="591" customFormat="1" ht="15" customHeight="1" x14ac:dyDescent="0.2"/>
    <row r="592" customFormat="1" ht="15" customHeight="1" x14ac:dyDescent="0.2"/>
    <row r="593" customFormat="1" ht="15" customHeight="1" x14ac:dyDescent="0.2"/>
    <row r="594" customFormat="1" ht="15" customHeight="1" x14ac:dyDescent="0.2"/>
    <row r="595" customFormat="1" ht="15" customHeight="1" x14ac:dyDescent="0.2"/>
    <row r="596" customFormat="1" ht="15" customHeight="1" x14ac:dyDescent="0.2"/>
    <row r="597" customFormat="1" ht="15" customHeight="1" x14ac:dyDescent="0.2"/>
    <row r="598" customFormat="1" ht="15" customHeight="1" x14ac:dyDescent="0.2"/>
    <row r="599" customFormat="1" ht="15" customHeight="1" x14ac:dyDescent="0.2"/>
    <row r="600" customFormat="1" ht="15" customHeight="1" x14ac:dyDescent="0.2"/>
    <row r="601" customFormat="1" ht="15" customHeight="1" x14ac:dyDescent="0.2"/>
    <row r="602" customFormat="1" ht="15" customHeight="1" x14ac:dyDescent="0.2"/>
    <row r="603" customFormat="1" ht="15" customHeight="1" x14ac:dyDescent="0.2"/>
    <row r="604" customFormat="1" ht="15" customHeight="1" x14ac:dyDescent="0.2"/>
    <row r="605" customFormat="1" ht="15" customHeight="1" x14ac:dyDescent="0.2"/>
    <row r="606" customFormat="1" ht="15" customHeight="1" x14ac:dyDescent="0.2"/>
    <row r="607" customFormat="1" ht="15" customHeight="1" x14ac:dyDescent="0.2"/>
    <row r="608" customFormat="1" ht="15" customHeight="1" x14ac:dyDescent="0.2"/>
    <row r="609" customFormat="1" ht="15" customHeight="1" x14ac:dyDescent="0.2"/>
    <row r="610" customFormat="1" ht="15" customHeight="1" x14ac:dyDescent="0.2"/>
    <row r="611" customFormat="1" ht="15" customHeight="1" x14ac:dyDescent="0.2"/>
    <row r="612" customFormat="1" ht="15" customHeight="1" x14ac:dyDescent="0.2"/>
    <row r="613" customFormat="1" ht="15" customHeight="1" x14ac:dyDescent="0.2"/>
    <row r="614" customFormat="1" ht="15" customHeight="1" x14ac:dyDescent="0.2"/>
    <row r="615" customFormat="1" ht="15" customHeight="1" x14ac:dyDescent="0.2"/>
    <row r="616" customFormat="1" ht="15" customHeight="1" x14ac:dyDescent="0.2"/>
    <row r="617" customFormat="1" ht="15" customHeight="1" x14ac:dyDescent="0.2"/>
    <row r="618" customFormat="1" ht="15" customHeight="1" x14ac:dyDescent="0.2"/>
    <row r="619" customFormat="1" ht="15" customHeight="1" x14ac:dyDescent="0.2"/>
    <row r="620" customFormat="1" ht="15" customHeight="1" x14ac:dyDescent="0.2"/>
    <row r="621" customFormat="1" ht="15" customHeight="1" x14ac:dyDescent="0.2"/>
    <row r="622" customFormat="1" ht="15" customHeight="1" x14ac:dyDescent="0.2"/>
    <row r="623" customFormat="1" ht="15" customHeight="1" x14ac:dyDescent="0.2"/>
    <row r="624" customFormat="1" ht="15" customHeight="1" x14ac:dyDescent="0.2"/>
    <row r="625" customFormat="1" ht="15" customHeight="1" x14ac:dyDescent="0.2"/>
    <row r="626" customFormat="1" ht="15" customHeight="1" x14ac:dyDescent="0.2"/>
    <row r="627" customFormat="1" ht="15" customHeight="1" x14ac:dyDescent="0.2"/>
    <row r="628" customFormat="1" ht="15" customHeight="1" x14ac:dyDescent="0.2"/>
    <row r="629" customFormat="1" ht="15" customHeight="1" x14ac:dyDescent="0.2"/>
    <row r="630" customFormat="1" ht="15" customHeight="1" x14ac:dyDescent="0.2"/>
    <row r="631" customFormat="1" ht="15" customHeight="1" x14ac:dyDescent="0.2"/>
    <row r="632" customFormat="1" ht="15" customHeight="1" x14ac:dyDescent="0.2"/>
    <row r="633" customFormat="1" ht="15" customHeight="1" x14ac:dyDescent="0.2"/>
    <row r="634" customFormat="1" ht="15" customHeight="1" x14ac:dyDescent="0.2"/>
    <row r="635" customFormat="1" ht="15" customHeight="1" x14ac:dyDescent="0.2"/>
    <row r="636" customFormat="1" ht="15" customHeight="1" x14ac:dyDescent="0.2"/>
    <row r="637" customFormat="1" ht="15" customHeight="1" x14ac:dyDescent="0.2"/>
    <row r="638" customFormat="1" ht="15" customHeight="1" x14ac:dyDescent="0.2"/>
    <row r="639" customFormat="1" ht="15" customHeight="1" x14ac:dyDescent="0.2"/>
    <row r="640" customFormat="1" ht="15" customHeight="1" x14ac:dyDescent="0.2"/>
    <row r="641" customFormat="1" ht="15" customHeight="1" x14ac:dyDescent="0.2"/>
    <row r="642" customFormat="1" ht="15" customHeight="1" x14ac:dyDescent="0.2"/>
    <row r="643" customFormat="1" ht="15" customHeight="1" x14ac:dyDescent="0.2"/>
    <row r="644" customFormat="1" ht="15" customHeight="1" x14ac:dyDescent="0.2"/>
    <row r="645" customFormat="1" ht="15" customHeight="1" x14ac:dyDescent="0.2"/>
    <row r="646" customFormat="1" ht="15" customHeight="1" x14ac:dyDescent="0.2"/>
    <row r="647" customFormat="1" ht="15" customHeight="1" x14ac:dyDescent="0.2"/>
    <row r="648" customFormat="1" ht="15" customHeight="1" x14ac:dyDescent="0.2"/>
    <row r="649" customFormat="1" ht="15" customHeight="1" x14ac:dyDescent="0.2"/>
    <row r="650" customFormat="1" ht="15" customHeight="1" x14ac:dyDescent="0.2"/>
    <row r="651" customFormat="1" ht="15" customHeight="1" x14ac:dyDescent="0.2"/>
    <row r="652" customFormat="1" ht="15" customHeight="1" x14ac:dyDescent="0.2"/>
    <row r="653" customFormat="1" ht="15" customHeight="1" x14ac:dyDescent="0.2"/>
    <row r="654" customFormat="1" ht="15" customHeight="1" x14ac:dyDescent="0.2"/>
    <row r="655" customFormat="1" ht="15" customHeight="1" x14ac:dyDescent="0.2"/>
    <row r="656" customFormat="1" ht="15" customHeight="1" x14ac:dyDescent="0.2"/>
    <row r="657" customFormat="1" ht="15" customHeight="1" x14ac:dyDescent="0.2"/>
    <row r="658" customFormat="1" ht="15" customHeight="1" x14ac:dyDescent="0.2"/>
    <row r="659" customFormat="1" ht="15" customHeight="1" x14ac:dyDescent="0.2"/>
    <row r="660" customFormat="1" ht="15" customHeight="1" x14ac:dyDescent="0.2"/>
    <row r="661" customFormat="1" ht="15" customHeight="1" x14ac:dyDescent="0.2"/>
    <row r="662" customFormat="1" ht="15" customHeight="1" x14ac:dyDescent="0.2"/>
    <row r="663" customFormat="1" ht="15" customHeight="1" x14ac:dyDescent="0.2"/>
    <row r="664" customFormat="1" ht="15" customHeight="1" x14ac:dyDescent="0.2"/>
    <row r="665" customFormat="1" ht="15" customHeight="1" x14ac:dyDescent="0.2"/>
    <row r="666" customFormat="1" ht="15" customHeight="1" x14ac:dyDescent="0.2"/>
    <row r="667" customFormat="1" ht="15" customHeight="1" x14ac:dyDescent="0.2"/>
    <row r="668" customFormat="1" ht="15" customHeight="1" x14ac:dyDescent="0.2"/>
    <row r="669" customFormat="1" ht="15" customHeight="1" x14ac:dyDescent="0.2"/>
    <row r="670" customFormat="1" ht="15" customHeight="1" x14ac:dyDescent="0.2"/>
    <row r="671" customFormat="1" ht="15" customHeight="1" x14ac:dyDescent="0.2"/>
    <row r="672" customFormat="1" ht="15" customHeight="1" x14ac:dyDescent="0.2"/>
    <row r="673" customFormat="1" ht="15" customHeight="1" x14ac:dyDescent="0.2"/>
    <row r="674" customFormat="1" ht="15" customHeight="1" x14ac:dyDescent="0.2"/>
    <row r="675" customFormat="1" ht="15" customHeight="1" x14ac:dyDescent="0.2"/>
    <row r="676" customFormat="1" ht="15" customHeight="1" x14ac:dyDescent="0.2"/>
    <row r="677" customFormat="1" ht="15" customHeight="1" x14ac:dyDescent="0.2"/>
    <row r="678" customFormat="1" ht="15" customHeight="1" x14ac:dyDescent="0.2"/>
    <row r="679" customFormat="1" ht="15" customHeight="1" x14ac:dyDescent="0.2"/>
    <row r="680" customFormat="1" ht="15" customHeight="1" x14ac:dyDescent="0.2"/>
    <row r="681" customFormat="1" ht="15" customHeight="1" x14ac:dyDescent="0.2"/>
    <row r="682" customFormat="1" ht="15" customHeight="1" x14ac:dyDescent="0.2"/>
    <row r="683" customFormat="1" ht="15" customHeight="1" x14ac:dyDescent="0.2"/>
    <row r="684" customFormat="1" ht="15" customHeight="1" x14ac:dyDescent="0.2"/>
    <row r="685" customFormat="1" ht="15" customHeight="1" x14ac:dyDescent="0.2"/>
    <row r="686" customFormat="1" ht="15" customHeight="1" x14ac:dyDescent="0.2"/>
    <row r="687" customFormat="1" ht="15" customHeight="1" x14ac:dyDescent="0.2"/>
    <row r="688" customFormat="1" ht="15" customHeight="1" x14ac:dyDescent="0.2"/>
    <row r="689" customFormat="1" ht="15" customHeight="1" x14ac:dyDescent="0.2"/>
    <row r="690" customFormat="1" ht="15" customHeight="1" x14ac:dyDescent="0.2"/>
    <row r="691" customFormat="1" ht="15" customHeight="1" x14ac:dyDescent="0.2"/>
    <row r="692" customFormat="1" ht="15" customHeight="1" x14ac:dyDescent="0.2"/>
    <row r="693" customFormat="1" ht="15" customHeight="1" x14ac:dyDescent="0.2"/>
    <row r="694" customFormat="1" ht="15" customHeight="1" x14ac:dyDescent="0.2"/>
    <row r="695" customFormat="1" ht="15" customHeight="1" x14ac:dyDescent="0.2"/>
    <row r="696" customFormat="1" ht="15" customHeight="1" x14ac:dyDescent="0.2"/>
    <row r="697" customFormat="1" ht="15" customHeight="1" x14ac:dyDescent="0.2"/>
    <row r="698" customFormat="1" ht="15" customHeight="1" x14ac:dyDescent="0.2"/>
    <row r="699" customFormat="1" ht="15" customHeight="1" x14ac:dyDescent="0.2"/>
    <row r="700" customFormat="1" ht="15" customHeight="1" x14ac:dyDescent="0.2"/>
    <row r="701" customFormat="1" ht="15" customHeight="1" x14ac:dyDescent="0.2"/>
    <row r="702" customFormat="1" ht="15" customHeight="1" x14ac:dyDescent="0.2"/>
    <row r="703" customFormat="1" ht="15" customHeight="1" x14ac:dyDescent="0.2"/>
    <row r="704" customFormat="1" ht="15" customHeight="1" x14ac:dyDescent="0.2"/>
    <row r="705" customFormat="1" ht="15" customHeight="1" x14ac:dyDescent="0.2"/>
    <row r="706" customFormat="1" ht="15" customHeight="1" x14ac:dyDescent="0.2"/>
    <row r="707" customFormat="1" ht="15" customHeight="1" x14ac:dyDescent="0.2"/>
    <row r="708" customFormat="1" ht="15" customHeight="1" x14ac:dyDescent="0.2"/>
    <row r="709" customFormat="1" ht="15" customHeight="1" x14ac:dyDescent="0.2"/>
    <row r="710" customFormat="1" ht="15" customHeight="1" x14ac:dyDescent="0.2"/>
    <row r="711" customFormat="1" ht="15" customHeight="1" x14ac:dyDescent="0.2"/>
    <row r="712" customFormat="1" ht="15" customHeight="1" x14ac:dyDescent="0.2"/>
    <row r="713" customFormat="1" ht="15" customHeight="1" x14ac:dyDescent="0.2"/>
    <row r="714" customFormat="1" ht="15" customHeight="1" x14ac:dyDescent="0.2"/>
    <row r="715" customFormat="1" ht="15" customHeight="1" x14ac:dyDescent="0.2"/>
    <row r="716" customFormat="1" ht="15" customHeight="1" x14ac:dyDescent="0.2"/>
    <row r="717" customFormat="1" ht="15" customHeight="1" x14ac:dyDescent="0.2"/>
    <row r="718" customFormat="1" ht="15" customHeight="1" x14ac:dyDescent="0.2"/>
    <row r="719" customFormat="1" ht="15" customHeight="1" x14ac:dyDescent="0.2"/>
    <row r="720" customFormat="1" ht="15" customHeight="1" x14ac:dyDescent="0.2"/>
    <row r="721" customFormat="1" ht="15" customHeight="1" x14ac:dyDescent="0.2"/>
    <row r="722" customFormat="1" ht="15" customHeight="1" x14ac:dyDescent="0.2"/>
    <row r="723" customFormat="1" ht="15" customHeight="1" x14ac:dyDescent="0.2"/>
    <row r="724" customFormat="1" ht="15" customHeight="1" x14ac:dyDescent="0.2"/>
    <row r="725" customFormat="1" ht="15" customHeight="1" x14ac:dyDescent="0.2"/>
    <row r="726" customFormat="1" ht="15" customHeight="1" x14ac:dyDescent="0.2"/>
    <row r="727" customFormat="1" ht="15" customHeight="1" x14ac:dyDescent="0.2"/>
    <row r="728" customFormat="1" ht="15" customHeight="1" x14ac:dyDescent="0.2"/>
    <row r="729" customFormat="1" ht="15" customHeight="1" x14ac:dyDescent="0.2"/>
    <row r="730" customFormat="1" ht="15" customHeight="1" x14ac:dyDescent="0.2"/>
    <row r="731" customFormat="1" ht="15" customHeight="1" x14ac:dyDescent="0.2"/>
    <row r="732" customFormat="1" ht="15" customHeight="1" x14ac:dyDescent="0.2"/>
    <row r="733" customFormat="1" ht="15" customHeight="1" x14ac:dyDescent="0.2"/>
    <row r="734" customFormat="1" ht="15" customHeight="1" x14ac:dyDescent="0.2"/>
    <row r="735" customFormat="1" ht="15" customHeight="1" x14ac:dyDescent="0.2"/>
    <row r="736" customFormat="1" ht="15" customHeight="1" x14ac:dyDescent="0.2"/>
    <row r="737" customFormat="1" ht="15" customHeight="1" x14ac:dyDescent="0.2"/>
    <row r="738" customFormat="1" ht="15" customHeight="1" x14ac:dyDescent="0.2"/>
    <row r="739" customFormat="1" ht="15" customHeight="1" x14ac:dyDescent="0.2"/>
    <row r="740" customFormat="1" ht="15" customHeight="1" x14ac:dyDescent="0.2"/>
    <row r="741" customFormat="1" ht="15" customHeight="1" x14ac:dyDescent="0.2"/>
    <row r="742" customFormat="1" ht="15" customHeight="1" x14ac:dyDescent="0.2"/>
    <row r="743" customFormat="1" ht="15" customHeight="1" x14ac:dyDescent="0.2"/>
    <row r="744" customFormat="1" ht="15" customHeight="1" x14ac:dyDescent="0.2"/>
    <row r="745" customFormat="1" ht="15" customHeight="1" x14ac:dyDescent="0.2"/>
    <row r="746" customFormat="1" ht="15" customHeight="1" x14ac:dyDescent="0.2"/>
    <row r="747" customFormat="1" ht="15" customHeight="1" x14ac:dyDescent="0.2"/>
    <row r="748" customFormat="1" ht="15" customHeight="1" x14ac:dyDescent="0.2"/>
    <row r="749" customFormat="1" ht="15" customHeight="1" x14ac:dyDescent="0.2"/>
    <row r="750" customFormat="1" ht="15" customHeight="1" x14ac:dyDescent="0.2"/>
    <row r="751" customFormat="1" ht="15" customHeight="1" x14ac:dyDescent="0.2"/>
    <row r="752" customFormat="1" ht="15" customHeight="1" x14ac:dyDescent="0.2"/>
    <row r="753" customFormat="1" ht="15" customHeight="1" x14ac:dyDescent="0.2"/>
    <row r="754" customFormat="1" ht="15" customHeight="1" x14ac:dyDescent="0.2"/>
    <row r="755" customFormat="1" ht="15" customHeight="1" x14ac:dyDescent="0.2"/>
    <row r="756" customFormat="1" ht="15" customHeight="1" x14ac:dyDescent="0.2"/>
    <row r="757" customFormat="1" ht="15" customHeight="1" x14ac:dyDescent="0.2"/>
    <row r="758" customFormat="1" ht="15" customHeight="1" x14ac:dyDescent="0.2"/>
    <row r="759" customFormat="1" ht="15" customHeight="1" x14ac:dyDescent="0.2"/>
    <row r="760" customFormat="1" ht="15" customHeight="1" x14ac:dyDescent="0.2"/>
    <row r="761" customFormat="1" ht="15" customHeight="1" x14ac:dyDescent="0.2"/>
    <row r="762" customFormat="1" ht="15" customHeight="1" x14ac:dyDescent="0.2"/>
    <row r="763" customFormat="1" ht="15" customHeight="1" x14ac:dyDescent="0.2"/>
    <row r="764" customFormat="1" ht="15" customHeight="1" x14ac:dyDescent="0.2"/>
    <row r="765" customFormat="1" ht="15" customHeight="1" x14ac:dyDescent="0.2"/>
    <row r="766" customFormat="1" ht="15" customHeight="1" x14ac:dyDescent="0.2"/>
    <row r="767" customFormat="1" ht="15" customHeight="1" x14ac:dyDescent="0.2"/>
    <row r="768" customFormat="1" ht="15" customHeight="1" x14ac:dyDescent="0.2"/>
    <row r="769" customFormat="1" ht="15" customHeight="1" x14ac:dyDescent="0.2"/>
    <row r="770" customFormat="1" ht="15" customHeight="1" x14ac:dyDescent="0.2"/>
    <row r="771" customFormat="1" ht="15" customHeight="1" x14ac:dyDescent="0.2"/>
    <row r="772" customFormat="1" ht="15" customHeight="1" x14ac:dyDescent="0.2"/>
    <row r="773" customFormat="1" ht="15" customHeight="1" x14ac:dyDescent="0.2"/>
    <row r="774" customFormat="1" ht="15" customHeight="1" x14ac:dyDescent="0.2"/>
    <row r="775" customFormat="1" ht="15" customHeight="1" x14ac:dyDescent="0.2"/>
    <row r="776" customFormat="1" ht="15" customHeight="1" x14ac:dyDescent="0.2"/>
    <row r="777" customFormat="1" ht="15" customHeight="1" x14ac:dyDescent="0.2"/>
    <row r="778" customFormat="1" ht="15" customHeight="1" x14ac:dyDescent="0.2"/>
    <row r="779" customFormat="1" ht="15" customHeight="1" x14ac:dyDescent="0.2"/>
    <row r="780" customFormat="1" ht="15" customHeight="1" x14ac:dyDescent="0.2"/>
    <row r="781" customFormat="1" ht="15" customHeight="1" x14ac:dyDescent="0.2"/>
    <row r="782" customFormat="1" ht="15" customHeight="1" x14ac:dyDescent="0.2"/>
    <row r="783" customFormat="1" ht="15" customHeight="1" x14ac:dyDescent="0.2"/>
    <row r="784" customFormat="1" ht="15" customHeight="1" x14ac:dyDescent="0.2"/>
    <row r="785" customFormat="1" ht="15" customHeight="1" x14ac:dyDescent="0.2"/>
    <row r="786" customFormat="1" ht="15" customHeight="1" x14ac:dyDescent="0.2"/>
    <row r="787" customFormat="1" ht="15" customHeight="1" x14ac:dyDescent="0.2"/>
    <row r="788" customFormat="1" ht="15" customHeight="1" x14ac:dyDescent="0.2"/>
    <row r="789" customFormat="1" ht="15" customHeight="1" x14ac:dyDescent="0.2"/>
    <row r="790" customFormat="1" ht="15" customHeight="1" x14ac:dyDescent="0.2"/>
    <row r="791" customFormat="1" ht="15" customHeight="1" x14ac:dyDescent="0.2"/>
    <row r="792" customFormat="1" ht="15" customHeight="1" x14ac:dyDescent="0.2"/>
    <row r="793" customFormat="1" ht="15" customHeight="1" x14ac:dyDescent="0.2"/>
    <row r="794" customFormat="1" ht="15" customHeight="1" x14ac:dyDescent="0.2"/>
    <row r="795" customFormat="1" ht="15" customHeight="1" x14ac:dyDescent="0.2"/>
    <row r="796" customFormat="1" ht="15" customHeight="1" x14ac:dyDescent="0.2"/>
    <row r="797" customFormat="1" ht="15" customHeight="1" x14ac:dyDescent="0.2"/>
    <row r="798" customFormat="1" ht="15" customHeight="1" x14ac:dyDescent="0.2"/>
    <row r="799" customFormat="1" ht="15" customHeight="1" x14ac:dyDescent="0.2"/>
    <row r="800" customFormat="1" ht="15" customHeight="1" x14ac:dyDescent="0.2"/>
    <row r="801" customFormat="1" ht="15" customHeight="1" x14ac:dyDescent="0.2"/>
    <row r="802" customFormat="1" ht="15" customHeight="1" x14ac:dyDescent="0.2"/>
    <row r="803" customFormat="1" ht="15" customHeight="1" x14ac:dyDescent="0.2"/>
    <row r="804" customFormat="1" ht="15" customHeight="1" x14ac:dyDescent="0.2"/>
    <row r="805" customFormat="1" ht="15" customHeight="1" x14ac:dyDescent="0.2"/>
    <row r="806" customFormat="1" ht="15" customHeight="1" x14ac:dyDescent="0.2"/>
    <row r="807" customFormat="1" ht="15" customHeight="1" x14ac:dyDescent="0.2"/>
    <row r="808" customFormat="1" ht="15" customHeight="1" x14ac:dyDescent="0.2"/>
    <row r="809" customFormat="1" ht="15" customHeight="1" x14ac:dyDescent="0.2"/>
    <row r="810" customFormat="1" ht="15" customHeight="1" x14ac:dyDescent="0.2"/>
    <row r="811" customFormat="1" ht="15" customHeight="1" x14ac:dyDescent="0.2"/>
    <row r="812" customFormat="1" ht="15" customHeight="1" x14ac:dyDescent="0.2"/>
    <row r="813" customFormat="1" ht="15" customHeight="1" x14ac:dyDescent="0.2"/>
    <row r="814" customFormat="1" ht="15" customHeight="1" x14ac:dyDescent="0.2"/>
    <row r="815" customFormat="1" ht="15" customHeight="1" x14ac:dyDescent="0.2"/>
    <row r="816" customFormat="1" ht="15" customHeight="1" x14ac:dyDescent="0.2"/>
    <row r="817" customFormat="1" ht="15" customHeight="1" x14ac:dyDescent="0.2"/>
    <row r="818" customFormat="1" ht="15" customHeight="1" x14ac:dyDescent="0.2"/>
    <row r="819" customFormat="1" ht="15" customHeight="1" x14ac:dyDescent="0.2"/>
    <row r="820" customFormat="1" ht="15" customHeight="1" x14ac:dyDescent="0.2"/>
    <row r="821" customFormat="1" ht="15" customHeight="1" x14ac:dyDescent="0.2"/>
    <row r="822" customFormat="1" ht="15" customHeight="1" x14ac:dyDescent="0.2"/>
    <row r="823" customFormat="1" ht="15" customHeight="1" x14ac:dyDescent="0.2"/>
    <row r="824" customFormat="1" ht="15" customHeight="1" x14ac:dyDescent="0.2"/>
    <row r="825" customFormat="1" ht="15" customHeight="1" x14ac:dyDescent="0.2"/>
    <row r="826" customFormat="1" ht="15" customHeight="1" x14ac:dyDescent="0.2"/>
    <row r="827" customFormat="1" ht="15" customHeight="1" x14ac:dyDescent="0.2"/>
    <row r="828" customFormat="1" ht="15" customHeight="1" x14ac:dyDescent="0.2"/>
    <row r="829" customFormat="1" ht="15" customHeight="1" x14ac:dyDescent="0.2"/>
    <row r="830" customFormat="1" ht="15" customHeight="1" x14ac:dyDescent="0.2"/>
    <row r="831" customFormat="1" ht="15" customHeight="1" x14ac:dyDescent="0.2"/>
    <row r="832" customFormat="1" ht="15" customHeight="1" x14ac:dyDescent="0.2"/>
    <row r="833" customFormat="1" ht="15" customHeight="1" x14ac:dyDescent="0.2"/>
    <row r="834" customFormat="1" ht="15" customHeight="1" x14ac:dyDescent="0.2"/>
    <row r="835" customFormat="1" ht="15" customHeight="1" x14ac:dyDescent="0.2"/>
    <row r="836" customFormat="1" ht="15" customHeight="1" x14ac:dyDescent="0.2"/>
    <row r="837" customFormat="1" ht="15" customHeight="1" x14ac:dyDescent="0.2"/>
    <row r="838" customFormat="1" ht="15" customHeight="1" x14ac:dyDescent="0.2"/>
    <row r="839" customFormat="1" ht="15" customHeight="1" x14ac:dyDescent="0.2"/>
    <row r="840" customFormat="1" ht="15" customHeight="1" x14ac:dyDescent="0.2"/>
    <row r="841" customFormat="1" ht="15" customHeight="1" x14ac:dyDescent="0.2"/>
    <row r="842" customFormat="1" ht="15" customHeight="1" x14ac:dyDescent="0.2"/>
    <row r="843" customFormat="1" ht="15" customHeight="1" x14ac:dyDescent="0.2"/>
    <row r="844" customFormat="1" ht="15" customHeight="1" x14ac:dyDescent="0.2"/>
    <row r="845" customFormat="1" ht="15" customHeight="1" x14ac:dyDescent="0.2"/>
    <row r="846" customFormat="1" ht="15" customHeight="1" x14ac:dyDescent="0.2"/>
    <row r="847" customFormat="1" ht="15" customHeight="1" x14ac:dyDescent="0.2"/>
    <row r="848" customFormat="1" ht="15" customHeight="1" x14ac:dyDescent="0.2"/>
    <row r="849" customFormat="1" ht="15" customHeight="1" x14ac:dyDescent="0.2"/>
    <row r="850" customFormat="1" ht="15" customHeight="1" x14ac:dyDescent="0.2"/>
    <row r="851" customFormat="1" ht="15" customHeight="1" x14ac:dyDescent="0.2"/>
    <row r="852" customFormat="1" ht="15" customHeight="1" x14ac:dyDescent="0.2"/>
    <row r="853" customFormat="1" ht="15" customHeight="1" x14ac:dyDescent="0.2"/>
    <row r="854" customFormat="1" ht="15" customHeight="1" x14ac:dyDescent="0.2"/>
    <row r="855" customFormat="1" ht="15" customHeight="1" x14ac:dyDescent="0.2"/>
    <row r="856" customFormat="1" ht="15" customHeight="1" x14ac:dyDescent="0.2"/>
    <row r="857" customFormat="1" ht="15" customHeight="1" x14ac:dyDescent="0.2"/>
    <row r="858" customFormat="1" ht="15" customHeight="1" x14ac:dyDescent="0.2"/>
    <row r="859" customFormat="1" ht="15" customHeight="1" x14ac:dyDescent="0.2"/>
    <row r="860" customFormat="1" ht="15" customHeight="1" x14ac:dyDescent="0.2"/>
    <row r="861" customFormat="1" ht="15" customHeight="1" x14ac:dyDescent="0.2"/>
    <row r="862" customFormat="1" ht="15" customHeight="1" x14ac:dyDescent="0.2"/>
    <row r="863" customFormat="1" ht="15" customHeight="1" x14ac:dyDescent="0.2"/>
    <row r="864" customFormat="1" ht="15" customHeight="1" x14ac:dyDescent="0.2"/>
    <row r="865" customFormat="1" ht="15" customHeight="1" x14ac:dyDescent="0.2"/>
    <row r="866" customFormat="1" ht="15" customHeight="1" x14ac:dyDescent="0.2"/>
    <row r="867" customFormat="1" ht="15" customHeight="1" x14ac:dyDescent="0.2"/>
    <row r="868" customFormat="1" ht="15" customHeight="1" x14ac:dyDescent="0.2"/>
    <row r="869" customFormat="1" ht="15" customHeight="1" x14ac:dyDescent="0.2"/>
    <row r="870" customFormat="1" ht="15" customHeight="1" x14ac:dyDescent="0.2"/>
    <row r="871" customFormat="1" ht="15" customHeight="1" x14ac:dyDescent="0.2"/>
    <row r="872" customFormat="1" ht="15" customHeight="1" x14ac:dyDescent="0.2"/>
    <row r="873" customFormat="1" ht="15" customHeight="1" x14ac:dyDescent="0.2"/>
    <row r="874" customFormat="1" ht="15" customHeight="1" x14ac:dyDescent="0.2"/>
    <row r="875" customFormat="1" ht="15" customHeight="1" x14ac:dyDescent="0.2"/>
    <row r="876" customFormat="1" ht="15" customHeight="1" x14ac:dyDescent="0.2"/>
    <row r="877" customFormat="1" ht="15" customHeight="1" x14ac:dyDescent="0.2"/>
    <row r="878" customFormat="1" ht="15" customHeight="1" x14ac:dyDescent="0.2"/>
    <row r="879" customFormat="1" ht="15" customHeight="1" x14ac:dyDescent="0.2"/>
    <row r="880" customFormat="1" ht="15" customHeight="1" x14ac:dyDescent="0.2"/>
    <row r="881" customFormat="1" ht="15" customHeight="1" x14ac:dyDescent="0.2"/>
    <row r="882" customFormat="1" ht="15" customHeight="1" x14ac:dyDescent="0.2"/>
    <row r="883" customFormat="1" ht="15" customHeight="1" x14ac:dyDescent="0.2"/>
    <row r="884" customFormat="1" ht="15" customHeight="1" x14ac:dyDescent="0.2"/>
    <row r="885" customFormat="1" ht="15" customHeight="1" x14ac:dyDescent="0.2"/>
    <row r="886" customFormat="1" ht="15" customHeight="1" x14ac:dyDescent="0.2"/>
    <row r="887" customFormat="1" ht="15" customHeight="1" x14ac:dyDescent="0.2"/>
    <row r="888" customFormat="1" ht="15" customHeight="1" x14ac:dyDescent="0.2"/>
    <row r="889" customFormat="1" ht="15" customHeight="1" x14ac:dyDescent="0.2"/>
    <row r="890" customFormat="1" ht="15" customHeight="1" x14ac:dyDescent="0.2"/>
    <row r="891" customFormat="1" ht="15" customHeight="1" x14ac:dyDescent="0.2"/>
    <row r="892" customFormat="1" ht="15" customHeight="1" x14ac:dyDescent="0.2"/>
    <row r="893" customFormat="1" ht="15" customHeight="1" x14ac:dyDescent="0.2"/>
    <row r="894" customFormat="1" ht="15" customHeight="1" x14ac:dyDescent="0.2"/>
    <row r="895" customFormat="1" ht="15" customHeight="1" x14ac:dyDescent="0.2"/>
    <row r="896" customFormat="1" ht="15" customHeight="1" x14ac:dyDescent="0.2"/>
    <row r="897" customFormat="1" ht="15" customHeight="1" x14ac:dyDescent="0.2"/>
    <row r="898" customFormat="1" ht="15" customHeight="1" x14ac:dyDescent="0.2"/>
    <row r="899" customFormat="1" ht="15" customHeight="1" x14ac:dyDescent="0.2"/>
    <row r="900" customFormat="1" ht="15" customHeight="1" x14ac:dyDescent="0.2"/>
    <row r="901" customFormat="1" ht="15" customHeight="1" x14ac:dyDescent="0.2"/>
    <row r="902" customFormat="1" ht="15" customHeight="1" x14ac:dyDescent="0.2"/>
    <row r="903" customFormat="1" ht="15" customHeight="1" x14ac:dyDescent="0.2"/>
    <row r="904" customFormat="1" ht="15" customHeight="1" x14ac:dyDescent="0.2"/>
    <row r="905" customFormat="1" ht="15" customHeight="1" x14ac:dyDescent="0.2"/>
    <row r="906" customFormat="1" ht="15" customHeight="1" x14ac:dyDescent="0.2"/>
    <row r="907" customFormat="1" ht="15" customHeight="1" x14ac:dyDescent="0.2"/>
    <row r="908" customFormat="1" ht="15" customHeight="1" x14ac:dyDescent="0.2"/>
    <row r="909" customFormat="1" ht="15" customHeight="1" x14ac:dyDescent="0.2"/>
    <row r="910" customFormat="1" ht="15" customHeight="1" x14ac:dyDescent="0.2"/>
    <row r="911" customFormat="1" ht="15" customHeight="1" x14ac:dyDescent="0.2"/>
    <row r="912" customFormat="1" ht="15" customHeight="1" x14ac:dyDescent="0.2"/>
    <row r="913" customFormat="1" ht="15" customHeight="1" x14ac:dyDescent="0.2"/>
    <row r="914" customFormat="1" ht="15" customHeight="1" x14ac:dyDescent="0.2"/>
    <row r="915" customFormat="1" ht="15" customHeight="1" x14ac:dyDescent="0.2"/>
    <row r="916" customFormat="1" ht="15" customHeight="1" x14ac:dyDescent="0.2"/>
    <row r="917" customFormat="1" ht="15" customHeight="1" x14ac:dyDescent="0.2"/>
    <row r="918" customFormat="1" ht="15" customHeight="1" x14ac:dyDescent="0.2"/>
    <row r="919" customFormat="1" ht="15" customHeight="1" x14ac:dyDescent="0.2"/>
    <row r="920" customFormat="1" ht="15" customHeight="1" x14ac:dyDescent="0.2"/>
    <row r="921" customFormat="1" ht="15" customHeight="1" x14ac:dyDescent="0.2"/>
    <row r="922" customFormat="1" ht="15" customHeight="1" x14ac:dyDescent="0.2"/>
    <row r="923" customFormat="1" ht="15" customHeight="1" x14ac:dyDescent="0.2"/>
    <row r="924" customFormat="1" ht="15" customHeight="1" x14ac:dyDescent="0.2"/>
    <row r="925" customFormat="1" ht="15" customHeight="1" x14ac:dyDescent="0.2"/>
    <row r="926" customFormat="1" ht="15" customHeight="1" x14ac:dyDescent="0.2"/>
    <row r="927" customFormat="1" ht="15" customHeight="1" x14ac:dyDescent="0.2"/>
    <row r="928" customFormat="1" ht="15" customHeight="1" x14ac:dyDescent="0.2"/>
    <row r="929" customFormat="1" ht="15" customHeight="1" x14ac:dyDescent="0.2"/>
    <row r="930" customFormat="1" ht="6.75" customHeight="1" x14ac:dyDescent="0.2"/>
    <row r="931" customFormat="1" ht="15" customHeight="1" x14ac:dyDescent="0.2"/>
    <row r="932" customFormat="1" ht="12.75" x14ac:dyDescent="0.2"/>
    <row r="933" customFormat="1" ht="12.75" x14ac:dyDescent="0.2"/>
    <row r="934" customFormat="1" ht="12.75" x14ac:dyDescent="0.2"/>
    <row r="935" customFormat="1" ht="12.75" x14ac:dyDescent="0.2"/>
    <row r="936" customFormat="1" ht="12.75" x14ac:dyDescent="0.2"/>
    <row r="937" customFormat="1" ht="12.75" x14ac:dyDescent="0.2"/>
    <row r="938" customFormat="1" ht="12.75" x14ac:dyDescent="0.2"/>
    <row r="939" customFormat="1" ht="12.75" x14ac:dyDescent="0.2"/>
    <row r="940" customFormat="1" ht="12.75" x14ac:dyDescent="0.2"/>
    <row r="941" customFormat="1" ht="12.75" x14ac:dyDescent="0.2"/>
    <row r="942" customFormat="1" ht="12.75" x14ac:dyDescent="0.2"/>
    <row r="943" customFormat="1" ht="12.75" x14ac:dyDescent="0.2"/>
    <row r="944" customFormat="1" ht="12.75" x14ac:dyDescent="0.2"/>
    <row r="945" customFormat="1" ht="12.75" x14ac:dyDescent="0.2"/>
    <row r="946" customFormat="1" ht="12.75" x14ac:dyDescent="0.2"/>
    <row r="947" customFormat="1" ht="12.75" x14ac:dyDescent="0.2"/>
    <row r="948" customFormat="1" ht="12.75" x14ac:dyDescent="0.2"/>
    <row r="949" customFormat="1" ht="12.75" x14ac:dyDescent="0.2"/>
    <row r="950" customFormat="1" ht="12.75" x14ac:dyDescent="0.2"/>
    <row r="951" customFormat="1" ht="12.75" x14ac:dyDescent="0.2"/>
    <row r="952" customFormat="1" ht="12.75" x14ac:dyDescent="0.2"/>
    <row r="953" customFormat="1" ht="12.75" x14ac:dyDescent="0.2"/>
    <row r="954" customFormat="1" ht="12.75" x14ac:dyDescent="0.2"/>
    <row r="955" customFormat="1" ht="12.75" x14ac:dyDescent="0.2"/>
    <row r="956" customFormat="1" ht="12.75" x14ac:dyDescent="0.2"/>
    <row r="957" customFormat="1" ht="12.75" x14ac:dyDescent="0.2"/>
    <row r="958" customFormat="1" ht="12.75" x14ac:dyDescent="0.2"/>
    <row r="959" customFormat="1" ht="12.75" x14ac:dyDescent="0.2"/>
    <row r="960" customFormat="1" ht="12.75" x14ac:dyDescent="0.2"/>
    <row r="961" customFormat="1" ht="12.75" x14ac:dyDescent="0.2"/>
    <row r="962" customFormat="1" ht="12.75" x14ac:dyDescent="0.2"/>
    <row r="963" customFormat="1" ht="12.75" x14ac:dyDescent="0.2"/>
    <row r="964" customFormat="1" ht="12.75" x14ac:dyDescent="0.2"/>
    <row r="965" customFormat="1" ht="12.75" x14ac:dyDescent="0.2"/>
    <row r="966" customFormat="1" ht="12.75" x14ac:dyDescent="0.2"/>
    <row r="967" customFormat="1" ht="12.75" x14ac:dyDescent="0.2"/>
    <row r="968" customFormat="1" ht="12.75" x14ac:dyDescent="0.2"/>
    <row r="969" customFormat="1" ht="12.75" x14ac:dyDescent="0.2"/>
    <row r="970" customFormat="1" ht="12.75" x14ac:dyDescent="0.2"/>
    <row r="971" customFormat="1" ht="12.75" x14ac:dyDescent="0.2"/>
    <row r="972" customFormat="1" ht="12.75" x14ac:dyDescent="0.2"/>
    <row r="973" customFormat="1" ht="12.75" x14ac:dyDescent="0.2"/>
    <row r="974" customFormat="1" ht="12.75" x14ac:dyDescent="0.2"/>
    <row r="975" customFormat="1" ht="12.75" x14ac:dyDescent="0.2"/>
    <row r="976" customFormat="1" ht="12.75" x14ac:dyDescent="0.2"/>
    <row r="977" customFormat="1" ht="12.75" x14ac:dyDescent="0.2"/>
    <row r="978" customFormat="1" ht="12.75" x14ac:dyDescent="0.2"/>
    <row r="979" customFormat="1" ht="12.75" x14ac:dyDescent="0.2"/>
    <row r="980" customFormat="1" ht="12.75" x14ac:dyDescent="0.2"/>
    <row r="981" customFormat="1" ht="12.75" x14ac:dyDescent="0.2"/>
    <row r="982" customFormat="1" ht="12.75" x14ac:dyDescent="0.2"/>
    <row r="983" customFormat="1" ht="12.75" x14ac:dyDescent="0.2"/>
    <row r="984" customFormat="1" ht="12.75" x14ac:dyDescent="0.2"/>
    <row r="985" customFormat="1" ht="12.75" x14ac:dyDescent="0.2"/>
    <row r="986" customFormat="1" ht="12.75" x14ac:dyDescent="0.2"/>
    <row r="987" customFormat="1" ht="12.75" x14ac:dyDescent="0.2"/>
    <row r="988" customFormat="1" ht="12.75" x14ac:dyDescent="0.2"/>
    <row r="989" customFormat="1" ht="12.75" x14ac:dyDescent="0.2"/>
    <row r="990" customFormat="1" ht="12.75" x14ac:dyDescent="0.2"/>
    <row r="991" customFormat="1" ht="12.75" x14ac:dyDescent="0.2"/>
    <row r="992" customFormat="1" ht="12.75" x14ac:dyDescent="0.2"/>
    <row r="993" customFormat="1" ht="12.75" x14ac:dyDescent="0.2"/>
    <row r="994" customFormat="1" ht="12.75" x14ac:dyDescent="0.2"/>
    <row r="995" customFormat="1" ht="12.75" x14ac:dyDescent="0.2"/>
    <row r="996" customFormat="1" ht="12.75" x14ac:dyDescent="0.2"/>
    <row r="997" customFormat="1" ht="12.75" x14ac:dyDescent="0.2"/>
    <row r="998" customFormat="1" ht="12.75" x14ac:dyDescent="0.2"/>
    <row r="999" customFormat="1" ht="12.75" x14ac:dyDescent="0.2"/>
    <row r="1000" customFormat="1" ht="12.75" x14ac:dyDescent="0.2"/>
    <row r="1001" customFormat="1" ht="12.75" x14ac:dyDescent="0.2"/>
    <row r="1002" customFormat="1" ht="12.75" x14ac:dyDescent="0.2"/>
    <row r="1003" customFormat="1" ht="12.75" x14ac:dyDescent="0.2"/>
    <row r="1004" customFormat="1" ht="12.75" x14ac:dyDescent="0.2"/>
    <row r="1005" customFormat="1" ht="12.75" x14ac:dyDescent="0.2"/>
    <row r="1006" customFormat="1" ht="12.75" x14ac:dyDescent="0.2"/>
    <row r="1007" customFormat="1" ht="12.75" x14ac:dyDescent="0.2"/>
    <row r="1008" customFormat="1" ht="12.75" x14ac:dyDescent="0.2"/>
    <row r="1009" customFormat="1" ht="12.75" x14ac:dyDescent="0.2"/>
    <row r="1010" customFormat="1" ht="12.75" x14ac:dyDescent="0.2"/>
    <row r="1011" customFormat="1" ht="12.75" x14ac:dyDescent="0.2"/>
    <row r="1012" customFormat="1" ht="12.75" x14ac:dyDescent="0.2"/>
    <row r="1013" customFormat="1" ht="12.75" x14ac:dyDescent="0.2"/>
    <row r="1014" customFormat="1" ht="12.75" x14ac:dyDescent="0.2"/>
    <row r="1015" customFormat="1" ht="12.75" x14ac:dyDescent="0.2"/>
    <row r="1016" customFormat="1" ht="12.75" x14ac:dyDescent="0.2"/>
    <row r="1017" customFormat="1" ht="12.75" x14ac:dyDescent="0.2"/>
    <row r="1018" customFormat="1" ht="12.75" x14ac:dyDescent="0.2"/>
    <row r="1019" customFormat="1" ht="12.75" x14ac:dyDescent="0.2"/>
    <row r="1020" customFormat="1" ht="12.75" x14ac:dyDescent="0.2"/>
    <row r="1021" customFormat="1" ht="12.75" x14ac:dyDescent="0.2"/>
    <row r="1022" customFormat="1" ht="12.75" x14ac:dyDescent="0.2"/>
    <row r="1023" customFormat="1" ht="12.75" x14ac:dyDescent="0.2"/>
    <row r="1024" customFormat="1" ht="12.75" x14ac:dyDescent="0.2"/>
    <row r="1025" customFormat="1" ht="12.75" x14ac:dyDescent="0.2"/>
    <row r="1026" customFormat="1" ht="12.75" x14ac:dyDescent="0.2"/>
    <row r="1027" customFormat="1" ht="12.75" x14ac:dyDescent="0.2"/>
    <row r="1028" customFormat="1" ht="12.75" x14ac:dyDescent="0.2"/>
    <row r="1029" customFormat="1" ht="12.75" x14ac:dyDescent="0.2"/>
    <row r="1030" customFormat="1" ht="12.75" x14ac:dyDescent="0.2"/>
    <row r="1031" customFormat="1" ht="12.75" x14ac:dyDescent="0.2"/>
    <row r="1032" customFormat="1" ht="12.75" x14ac:dyDescent="0.2"/>
    <row r="1033" customFormat="1" ht="12.75" x14ac:dyDescent="0.2"/>
    <row r="1034" customFormat="1" ht="12.75" x14ac:dyDescent="0.2"/>
    <row r="1035" customFormat="1" ht="12.75" x14ac:dyDescent="0.2"/>
    <row r="1036" customFormat="1" ht="12.75" x14ac:dyDescent="0.2"/>
    <row r="1037" customFormat="1" ht="12.75" x14ac:dyDescent="0.2"/>
    <row r="1038" customFormat="1" ht="12.75" x14ac:dyDescent="0.2"/>
    <row r="1039" customFormat="1" ht="12.75" x14ac:dyDescent="0.2"/>
    <row r="1040" customFormat="1" ht="12.75" x14ac:dyDescent="0.2"/>
    <row r="1041" customFormat="1" ht="12.75" x14ac:dyDescent="0.2"/>
    <row r="1042" customFormat="1" ht="12.75" x14ac:dyDescent="0.2"/>
    <row r="1043" customFormat="1" ht="12.75" x14ac:dyDescent="0.2"/>
    <row r="1044" customFormat="1" ht="12.75" x14ac:dyDescent="0.2"/>
    <row r="1045" customFormat="1" ht="12.75" x14ac:dyDescent="0.2"/>
    <row r="1046" customFormat="1" ht="12.75" x14ac:dyDescent="0.2"/>
    <row r="1047" customFormat="1" ht="12.75" x14ac:dyDescent="0.2"/>
    <row r="1048" customFormat="1" ht="12.75" x14ac:dyDescent="0.2"/>
    <row r="1049" customFormat="1" ht="12.75" x14ac:dyDescent="0.2"/>
    <row r="1050" customFormat="1" ht="12.75" x14ac:dyDescent="0.2"/>
    <row r="1051" customFormat="1" ht="12.75" x14ac:dyDescent="0.2"/>
    <row r="1052" customFormat="1" ht="12.75" x14ac:dyDescent="0.2"/>
    <row r="1053" customFormat="1" ht="12.75" x14ac:dyDescent="0.2"/>
    <row r="1054" customFormat="1" ht="12.75" x14ac:dyDescent="0.2"/>
    <row r="1055" customFormat="1" ht="12.75" x14ac:dyDescent="0.2"/>
    <row r="1056" customFormat="1" ht="12.75" x14ac:dyDescent="0.2"/>
    <row r="1057" customFormat="1" ht="12.75" x14ac:dyDescent="0.2"/>
    <row r="1058" customFormat="1" ht="12.75" x14ac:dyDescent="0.2"/>
    <row r="1059" customFormat="1" ht="12.75" x14ac:dyDescent="0.2"/>
    <row r="1060" customFormat="1" ht="12.75" x14ac:dyDescent="0.2"/>
    <row r="1061" customFormat="1" ht="12.75" x14ac:dyDescent="0.2"/>
    <row r="1062" customFormat="1" ht="12.75" x14ac:dyDescent="0.2"/>
    <row r="1063" customFormat="1" ht="12.75" x14ac:dyDescent="0.2"/>
    <row r="1064" customFormat="1" ht="12.75" x14ac:dyDescent="0.2"/>
    <row r="1065" customFormat="1" ht="12.75" x14ac:dyDescent="0.2"/>
    <row r="1066" customFormat="1" ht="12.75" x14ac:dyDescent="0.2"/>
    <row r="1067" customFormat="1" ht="12.75" x14ac:dyDescent="0.2"/>
    <row r="1068" customFormat="1" ht="12.75" x14ac:dyDescent="0.2"/>
    <row r="1069" customFormat="1" ht="12.75" x14ac:dyDescent="0.2"/>
    <row r="1070" customFormat="1" ht="12.75" x14ac:dyDescent="0.2"/>
    <row r="1071" customFormat="1" ht="12.75" x14ac:dyDescent="0.2"/>
    <row r="1072" customFormat="1" ht="12.75" x14ac:dyDescent="0.2"/>
    <row r="1073" customFormat="1" ht="12.75" x14ac:dyDescent="0.2"/>
    <row r="1074" customFormat="1" ht="12.75" x14ac:dyDescent="0.2"/>
    <row r="1075" customFormat="1" ht="12.75" x14ac:dyDescent="0.2"/>
    <row r="1076" customFormat="1" ht="12.75" x14ac:dyDescent="0.2"/>
    <row r="1077" customFormat="1" ht="12.75" x14ac:dyDescent="0.2"/>
    <row r="1078" customFormat="1" ht="12.75" x14ac:dyDescent="0.2"/>
    <row r="1079" customFormat="1" ht="12.75" x14ac:dyDescent="0.2"/>
    <row r="1080" customFormat="1" ht="12.75" x14ac:dyDescent="0.2"/>
    <row r="1081" customFormat="1" ht="12.75" x14ac:dyDescent="0.2"/>
    <row r="1082" customFormat="1" ht="12.75" x14ac:dyDescent="0.2"/>
    <row r="1083" customFormat="1" ht="12.75" x14ac:dyDescent="0.2"/>
    <row r="1084" customFormat="1" ht="12.75" x14ac:dyDescent="0.2"/>
    <row r="1085" customFormat="1" ht="12.75" x14ac:dyDescent="0.2"/>
    <row r="1086" customFormat="1" ht="12.75" x14ac:dyDescent="0.2"/>
    <row r="1087" customFormat="1" ht="12.75" x14ac:dyDescent="0.2"/>
    <row r="1088" customFormat="1" ht="12.75" x14ac:dyDescent="0.2"/>
    <row r="1089" customFormat="1" ht="12.75" x14ac:dyDescent="0.2"/>
    <row r="1090" customFormat="1" ht="12.75" x14ac:dyDescent="0.2"/>
    <row r="1091" customFormat="1" ht="12.75" x14ac:dyDescent="0.2"/>
    <row r="1092" customFormat="1" ht="12.75" x14ac:dyDescent="0.2"/>
    <row r="1093" customFormat="1" ht="12.75" x14ac:dyDescent="0.2"/>
    <row r="1094" customFormat="1" ht="12.75" x14ac:dyDescent="0.2"/>
    <row r="1095" customFormat="1" ht="12.75" x14ac:dyDescent="0.2"/>
    <row r="1096" customFormat="1" ht="12.75" x14ac:dyDescent="0.2"/>
    <row r="1097" customFormat="1" ht="12.75" x14ac:dyDescent="0.2"/>
    <row r="1098" customFormat="1" ht="12.75" x14ac:dyDescent="0.2"/>
    <row r="1099" customFormat="1" ht="12.75" x14ac:dyDescent="0.2"/>
    <row r="1100" customFormat="1" ht="12.75" x14ac:dyDescent="0.2"/>
    <row r="1101" customFormat="1" ht="12.75" x14ac:dyDescent="0.2"/>
    <row r="1102" customFormat="1" ht="12.75" x14ac:dyDescent="0.2"/>
    <row r="1103" customFormat="1" ht="12.75" x14ac:dyDescent="0.2"/>
    <row r="1104" customFormat="1" ht="12.75" x14ac:dyDescent="0.2"/>
    <row r="1105" customFormat="1" ht="12.75" x14ac:dyDescent="0.2"/>
    <row r="1106" customFormat="1" ht="12.75" x14ac:dyDescent="0.2"/>
    <row r="1107" customFormat="1" ht="12.75" x14ac:dyDescent="0.2"/>
    <row r="1108" customFormat="1" ht="12.75" x14ac:dyDescent="0.2"/>
    <row r="1109" customFormat="1" ht="12.75" x14ac:dyDescent="0.2"/>
    <row r="1110" customFormat="1" ht="12.75" x14ac:dyDescent="0.2"/>
    <row r="1111" customFormat="1" ht="12.75" x14ac:dyDescent="0.2"/>
    <row r="1112" customFormat="1" ht="12.75" x14ac:dyDescent="0.2"/>
    <row r="1113" customFormat="1" ht="12.75" x14ac:dyDescent="0.2"/>
    <row r="1114" customFormat="1" ht="12.75" x14ac:dyDescent="0.2"/>
    <row r="1115" customFormat="1" ht="12.75" x14ac:dyDescent="0.2"/>
    <row r="1116" customFormat="1" ht="12.75" x14ac:dyDescent="0.2"/>
    <row r="1117" customFormat="1" ht="12.75" x14ac:dyDescent="0.2"/>
    <row r="1118" customFormat="1" ht="12.75" x14ac:dyDescent="0.2"/>
    <row r="1119" customFormat="1" ht="12.75" x14ac:dyDescent="0.2"/>
    <row r="1120" customFormat="1" ht="12.75" x14ac:dyDescent="0.2"/>
    <row r="1121" customFormat="1" ht="12.75" x14ac:dyDescent="0.2"/>
    <row r="1122" customFormat="1" ht="12.75" x14ac:dyDescent="0.2"/>
    <row r="1123" customFormat="1" ht="12.75" x14ac:dyDescent="0.2"/>
    <row r="1124" customFormat="1" ht="12.75" x14ac:dyDescent="0.2"/>
    <row r="1125" customFormat="1" ht="12.75" x14ac:dyDescent="0.2"/>
    <row r="1126" customFormat="1" ht="12.75" x14ac:dyDescent="0.2"/>
    <row r="1127" customFormat="1" ht="12.75" x14ac:dyDescent="0.2"/>
    <row r="1128" customFormat="1" ht="12.75" x14ac:dyDescent="0.2"/>
    <row r="1129" customFormat="1" ht="12.75" x14ac:dyDescent="0.2"/>
    <row r="1130" customFormat="1" ht="12.75" x14ac:dyDescent="0.2"/>
    <row r="1131" customFormat="1" ht="12.75" x14ac:dyDescent="0.2"/>
    <row r="1132" customFormat="1" ht="12.75" x14ac:dyDescent="0.2"/>
    <row r="1133" customFormat="1" ht="12.75" x14ac:dyDescent="0.2"/>
    <row r="1134" customFormat="1" ht="12.75" x14ac:dyDescent="0.2"/>
    <row r="1135" customFormat="1" ht="12.75" x14ac:dyDescent="0.2"/>
    <row r="1136" customFormat="1" ht="12.75" x14ac:dyDescent="0.2"/>
    <row r="1137" customFormat="1" ht="12.75" x14ac:dyDescent="0.2"/>
    <row r="1138" customFormat="1" ht="12.75" x14ac:dyDescent="0.2"/>
    <row r="1139" customFormat="1" ht="12.75" x14ac:dyDescent="0.2"/>
    <row r="1140" customFormat="1" ht="12.75" x14ac:dyDescent="0.2"/>
    <row r="1141" customFormat="1" ht="12.75" x14ac:dyDescent="0.2"/>
    <row r="1142" customFormat="1" ht="12.75" x14ac:dyDescent="0.2"/>
    <row r="1143" customFormat="1" ht="12.75" x14ac:dyDescent="0.2"/>
    <row r="1144" customFormat="1" ht="12.75" x14ac:dyDescent="0.2"/>
    <row r="1145" customFormat="1" ht="12.75" x14ac:dyDescent="0.2"/>
    <row r="1146" customFormat="1" ht="12.75" x14ac:dyDescent="0.2"/>
    <row r="1147" customFormat="1" ht="12.75" x14ac:dyDescent="0.2"/>
    <row r="1148" customFormat="1" ht="12.75" x14ac:dyDescent="0.2"/>
    <row r="1149" customFormat="1" ht="12.75" x14ac:dyDescent="0.2"/>
    <row r="1150" customFormat="1" ht="12.75" x14ac:dyDescent="0.2"/>
    <row r="1151" customFormat="1" ht="12.75" x14ac:dyDescent="0.2"/>
    <row r="1152" customFormat="1" ht="12.75" x14ac:dyDescent="0.2"/>
    <row r="1153" customFormat="1" ht="12.75" x14ac:dyDescent="0.2"/>
    <row r="1154" customFormat="1" ht="12.75" x14ac:dyDescent="0.2"/>
    <row r="1155" customFormat="1" ht="12.75" x14ac:dyDescent="0.2"/>
    <row r="1156" customFormat="1" ht="12.75" x14ac:dyDescent="0.2"/>
    <row r="1157" customFormat="1" ht="12.75" x14ac:dyDescent="0.2"/>
    <row r="1158" customFormat="1" ht="12.75" x14ac:dyDescent="0.2"/>
    <row r="1159" customFormat="1" ht="12.75" x14ac:dyDescent="0.2"/>
    <row r="1160" customFormat="1" ht="12.75" x14ac:dyDescent="0.2"/>
    <row r="1161" customFormat="1" ht="12.75" x14ac:dyDescent="0.2"/>
    <row r="1162" customFormat="1" ht="12.75" x14ac:dyDescent="0.2"/>
    <row r="1163" customFormat="1" ht="12.75" x14ac:dyDescent="0.2"/>
    <row r="1164" customFormat="1" ht="12.75" x14ac:dyDescent="0.2"/>
    <row r="1165" customFormat="1" ht="12.75" x14ac:dyDescent="0.2"/>
    <row r="1166" customFormat="1" ht="12.75" x14ac:dyDescent="0.2"/>
    <row r="1167" customFormat="1" ht="12.75" x14ac:dyDescent="0.2"/>
    <row r="1168" customFormat="1" ht="12.75" x14ac:dyDescent="0.2"/>
    <row r="1169" customFormat="1" ht="12.75" x14ac:dyDescent="0.2"/>
    <row r="1170" customFormat="1" ht="12.75" x14ac:dyDescent="0.2"/>
    <row r="1171" customFormat="1" ht="12.75" x14ac:dyDescent="0.2"/>
    <row r="1172" customFormat="1" ht="12.75" x14ac:dyDescent="0.2"/>
    <row r="1173" customFormat="1" ht="12.75" x14ac:dyDescent="0.2"/>
    <row r="1174" customFormat="1" ht="12.75" x14ac:dyDescent="0.2"/>
    <row r="1175" customFormat="1" ht="12.75" x14ac:dyDescent="0.2"/>
    <row r="1176" customFormat="1" ht="12.75" x14ac:dyDescent="0.2"/>
    <row r="1177" customFormat="1" ht="12.75" x14ac:dyDescent="0.2"/>
    <row r="1178" customFormat="1" ht="12.75" x14ac:dyDescent="0.2"/>
    <row r="1179" customFormat="1" ht="12.75" x14ac:dyDescent="0.2"/>
    <row r="1180" customFormat="1" ht="12.75" x14ac:dyDescent="0.2"/>
    <row r="1181" customFormat="1" ht="12.75" x14ac:dyDescent="0.2"/>
    <row r="1182" customFormat="1" ht="12.75" x14ac:dyDescent="0.2"/>
    <row r="1183" customFormat="1" ht="12.75" x14ac:dyDescent="0.2"/>
    <row r="1184" customFormat="1" ht="12.75" x14ac:dyDescent="0.2"/>
    <row r="1185" customFormat="1" ht="12.75" x14ac:dyDescent="0.2"/>
    <row r="1186" customFormat="1" ht="12.75" x14ac:dyDescent="0.2"/>
    <row r="1187" customFormat="1" ht="12.75" x14ac:dyDescent="0.2"/>
    <row r="1188" customFormat="1" ht="12.75" x14ac:dyDescent="0.2"/>
    <row r="1189" customFormat="1" ht="12.75" x14ac:dyDescent="0.2"/>
    <row r="1190" customFormat="1" ht="12.75" x14ac:dyDescent="0.2"/>
    <row r="1191" customFormat="1" ht="12.75" x14ac:dyDescent="0.2"/>
    <row r="1192" customFormat="1" ht="12.75" x14ac:dyDescent="0.2"/>
    <row r="1193" customFormat="1" ht="12.75" x14ac:dyDescent="0.2"/>
    <row r="1194" customFormat="1" ht="12.75" x14ac:dyDescent="0.2"/>
    <row r="1195" customFormat="1" ht="12.75" x14ac:dyDescent="0.2"/>
    <row r="1196" customFormat="1" ht="12.75" x14ac:dyDescent="0.2"/>
    <row r="1197" customFormat="1" ht="12.75" x14ac:dyDescent="0.2"/>
    <row r="1198" customFormat="1" ht="12.75" x14ac:dyDescent="0.2"/>
    <row r="1199" customFormat="1" ht="12.75" x14ac:dyDescent="0.2"/>
    <row r="1200" customFormat="1" ht="12.75" x14ac:dyDescent="0.2"/>
    <row r="1201" customFormat="1" ht="12.75" x14ac:dyDescent="0.2"/>
    <row r="1202" customFormat="1" ht="12.75" x14ac:dyDescent="0.2"/>
    <row r="1203" customFormat="1" ht="12.75" x14ac:dyDescent="0.2"/>
    <row r="1204" customFormat="1" ht="12.75" x14ac:dyDescent="0.2"/>
    <row r="1205" customFormat="1" ht="12.75" x14ac:dyDescent="0.2"/>
    <row r="1206" customFormat="1" ht="12.75" x14ac:dyDescent="0.2"/>
    <row r="1207" customFormat="1" ht="12.75" x14ac:dyDescent="0.2"/>
    <row r="1208" customFormat="1" ht="12.75" x14ac:dyDescent="0.2"/>
    <row r="1209" customFormat="1" ht="12.75" x14ac:dyDescent="0.2"/>
    <row r="1210" customFormat="1" ht="12.75" x14ac:dyDescent="0.2"/>
    <row r="1211" customFormat="1" ht="12.75" x14ac:dyDescent="0.2"/>
    <row r="1212" customFormat="1" ht="12.75" x14ac:dyDescent="0.2"/>
    <row r="1213" customFormat="1" ht="12.75" x14ac:dyDescent="0.2"/>
    <row r="1214" customFormat="1" ht="12.75" x14ac:dyDescent="0.2"/>
    <row r="1215" customFormat="1" ht="12.75" x14ac:dyDescent="0.2"/>
    <row r="1216" customFormat="1" ht="12.75" x14ac:dyDescent="0.2"/>
    <row r="1217" customFormat="1" ht="12.75" x14ac:dyDescent="0.2"/>
    <row r="1218" customFormat="1" ht="12.75" x14ac:dyDescent="0.2"/>
    <row r="1219" customFormat="1" ht="12.75" x14ac:dyDescent="0.2"/>
    <row r="1220" customFormat="1" ht="12.75" x14ac:dyDescent="0.2"/>
    <row r="1221" customFormat="1" ht="12.75" x14ac:dyDescent="0.2"/>
    <row r="1222" customFormat="1" ht="12.75" x14ac:dyDescent="0.2"/>
    <row r="1223" customFormat="1" ht="12.75" x14ac:dyDescent="0.2"/>
    <row r="1224" customFormat="1" ht="12.75" x14ac:dyDescent="0.2"/>
    <row r="1225" customFormat="1" ht="12.75" x14ac:dyDescent="0.2"/>
    <row r="1226" customFormat="1" ht="12.75" x14ac:dyDescent="0.2"/>
    <row r="1227" customFormat="1" ht="12.75" x14ac:dyDescent="0.2"/>
    <row r="1228" customFormat="1" ht="12.75" x14ac:dyDescent="0.2"/>
    <row r="1229" customFormat="1" ht="12.75" x14ac:dyDescent="0.2"/>
    <row r="1230" customFormat="1" ht="12.75" x14ac:dyDescent="0.2"/>
    <row r="1231" customFormat="1" ht="12.75" x14ac:dyDescent="0.2"/>
    <row r="1232" customFormat="1" ht="12.75" x14ac:dyDescent="0.2"/>
    <row r="1233" customFormat="1" ht="12.75" x14ac:dyDescent="0.2"/>
    <row r="1234" customFormat="1" ht="12.75" x14ac:dyDescent="0.2"/>
    <row r="1235" customFormat="1" ht="12.75" x14ac:dyDescent="0.2"/>
    <row r="1236" customFormat="1" ht="12.75" x14ac:dyDescent="0.2"/>
    <row r="1237" customFormat="1" ht="12.75" x14ac:dyDescent="0.2"/>
    <row r="1238" customFormat="1" ht="12.75" x14ac:dyDescent="0.2"/>
    <row r="1239" customFormat="1" ht="12.75" x14ac:dyDescent="0.2"/>
    <row r="1240" customFormat="1" ht="12.75" x14ac:dyDescent="0.2"/>
    <row r="1241" customFormat="1" ht="12.75" x14ac:dyDescent="0.2"/>
    <row r="1242" customFormat="1" ht="12.75" x14ac:dyDescent="0.2"/>
    <row r="1243" customFormat="1" ht="12.75" x14ac:dyDescent="0.2"/>
    <row r="1244" customFormat="1" ht="12.75" x14ac:dyDescent="0.2"/>
    <row r="1245" customFormat="1" ht="12.75" x14ac:dyDescent="0.2"/>
    <row r="1246" customFormat="1" ht="12.75" x14ac:dyDescent="0.2"/>
    <row r="1247" customFormat="1" ht="12.75" x14ac:dyDescent="0.2"/>
    <row r="1248" customFormat="1" ht="12.75" x14ac:dyDescent="0.2"/>
    <row r="1249" customFormat="1" ht="12.75" x14ac:dyDescent="0.2"/>
    <row r="1250" customFormat="1" ht="12.75" x14ac:dyDescent="0.2"/>
    <row r="1251" customFormat="1" ht="12.75" x14ac:dyDescent="0.2"/>
    <row r="1252" customFormat="1" ht="12.75" x14ac:dyDescent="0.2"/>
    <row r="1253" customFormat="1" ht="12.75" x14ac:dyDescent="0.2"/>
    <row r="1254" customFormat="1" ht="12.75" x14ac:dyDescent="0.2"/>
    <row r="1255" customFormat="1" ht="12.75" x14ac:dyDescent="0.2"/>
    <row r="1256" customFormat="1" ht="12.75" x14ac:dyDescent="0.2"/>
    <row r="1257" customFormat="1" ht="12.75" x14ac:dyDescent="0.2"/>
    <row r="1258" customFormat="1" ht="12.75" x14ac:dyDescent="0.2"/>
    <row r="1259" customFormat="1" ht="12.75" x14ac:dyDescent="0.2"/>
    <row r="1260" customFormat="1" ht="12.75" x14ac:dyDescent="0.2"/>
    <row r="1261" customFormat="1" ht="12.75" x14ac:dyDescent="0.2"/>
    <row r="1262" customFormat="1" ht="12.75" x14ac:dyDescent="0.2"/>
    <row r="1263" customFormat="1" ht="12.75" x14ac:dyDescent="0.2"/>
    <row r="1264" customFormat="1" ht="12.75" x14ac:dyDescent="0.2"/>
    <row r="1265" customFormat="1" ht="12.75" x14ac:dyDescent="0.2"/>
    <row r="1266" customFormat="1" ht="12.75" x14ac:dyDescent="0.2"/>
    <row r="1267" customFormat="1" ht="12.75" x14ac:dyDescent="0.2"/>
    <row r="1268" customFormat="1" ht="12.75" x14ac:dyDescent="0.2"/>
    <row r="1269" customFormat="1" ht="12.75" x14ac:dyDescent="0.2"/>
    <row r="1270" customFormat="1" ht="12.75" x14ac:dyDescent="0.2"/>
    <row r="1271" customFormat="1" ht="12.75" x14ac:dyDescent="0.2"/>
    <row r="1272" customFormat="1" ht="12.75" x14ac:dyDescent="0.2"/>
    <row r="1273" customFormat="1" ht="12.75" x14ac:dyDescent="0.2"/>
    <row r="1274" customFormat="1" ht="12.75" x14ac:dyDescent="0.2"/>
    <row r="1275" customFormat="1" ht="12.75" x14ac:dyDescent="0.2"/>
    <row r="1276" customFormat="1" ht="12.75" x14ac:dyDescent="0.2"/>
    <row r="1277" customFormat="1" ht="12.75" x14ac:dyDescent="0.2"/>
    <row r="1278" customFormat="1" ht="12.75" x14ac:dyDescent="0.2"/>
    <row r="1279" customFormat="1" ht="12.75" x14ac:dyDescent="0.2"/>
    <row r="1280" customFormat="1" ht="12.75" x14ac:dyDescent="0.2"/>
    <row r="1281" customFormat="1" ht="12.75" x14ac:dyDescent="0.2"/>
    <row r="1282" customFormat="1" ht="12.75" x14ac:dyDescent="0.2"/>
    <row r="1283" customFormat="1" ht="12.75" x14ac:dyDescent="0.2"/>
    <row r="1284" customFormat="1" ht="12.75" x14ac:dyDescent="0.2"/>
    <row r="1285" customFormat="1" ht="12.75" x14ac:dyDescent="0.2"/>
    <row r="1286" customFormat="1" ht="12.75" x14ac:dyDescent="0.2"/>
    <row r="1287" customFormat="1" ht="12.75" x14ac:dyDescent="0.2"/>
    <row r="1288" customFormat="1" ht="12.75" x14ac:dyDescent="0.2"/>
    <row r="1289" customFormat="1" ht="12.75" x14ac:dyDescent="0.2"/>
    <row r="1290" customFormat="1" ht="12.75" x14ac:dyDescent="0.2"/>
    <row r="1291" customFormat="1" ht="12.75" x14ac:dyDescent="0.2"/>
    <row r="1292" customFormat="1" ht="12.75" x14ac:dyDescent="0.2"/>
    <row r="1293" customFormat="1" ht="12.75" x14ac:dyDescent="0.2"/>
    <row r="1294" customFormat="1" ht="12.75" x14ac:dyDescent="0.2"/>
    <row r="1295" customFormat="1" ht="12.75" x14ac:dyDescent="0.2"/>
    <row r="1296" customFormat="1" ht="12.75" x14ac:dyDescent="0.2"/>
    <row r="1297" customFormat="1" ht="12.75" x14ac:dyDescent="0.2"/>
    <row r="1298" customFormat="1" ht="12.75" x14ac:dyDescent="0.2"/>
    <row r="1299" customFormat="1" ht="12.75" x14ac:dyDescent="0.2"/>
    <row r="1300" customFormat="1" ht="12.75" x14ac:dyDescent="0.2"/>
    <row r="1301" customFormat="1" ht="12.75" x14ac:dyDescent="0.2"/>
    <row r="1302" customFormat="1" ht="12.75" x14ac:dyDescent="0.2"/>
    <row r="1303" customFormat="1" ht="12.75" x14ac:dyDescent="0.2"/>
    <row r="1304" customFormat="1" ht="12.75" x14ac:dyDescent="0.2"/>
    <row r="1305" customFormat="1" ht="12.75" x14ac:dyDescent="0.2"/>
    <row r="1306" customFormat="1" ht="12.75" x14ac:dyDescent="0.2"/>
    <row r="1307" customFormat="1" ht="12.75" x14ac:dyDescent="0.2"/>
    <row r="1308" customFormat="1" ht="12.75" x14ac:dyDescent="0.2"/>
    <row r="1309" customFormat="1" ht="12.75" x14ac:dyDescent="0.2"/>
    <row r="1310" customFormat="1" ht="12.75" x14ac:dyDescent="0.2"/>
    <row r="1311" customFormat="1" ht="12.75" x14ac:dyDescent="0.2"/>
    <row r="1312" customFormat="1" ht="12.75" x14ac:dyDescent="0.2"/>
    <row r="1313" customFormat="1" ht="12.75" x14ac:dyDescent="0.2"/>
    <row r="1314" customFormat="1" ht="12.75" x14ac:dyDescent="0.2"/>
    <row r="1315" customFormat="1" ht="12.75" x14ac:dyDescent="0.2"/>
    <row r="1316" customFormat="1" ht="12.75" x14ac:dyDescent="0.2"/>
    <row r="1317" customFormat="1" ht="12.75" x14ac:dyDescent="0.2"/>
    <row r="1318" customFormat="1" ht="12.75" x14ac:dyDescent="0.2"/>
    <row r="1319" customFormat="1" ht="12.75" x14ac:dyDescent="0.2"/>
    <row r="1320" customFormat="1" ht="12.75" x14ac:dyDescent="0.2"/>
    <row r="1321" customFormat="1" ht="12.75" x14ac:dyDescent="0.2"/>
    <row r="1322" customFormat="1" ht="12.75" x14ac:dyDescent="0.2"/>
    <row r="1323" customFormat="1" ht="12.75" x14ac:dyDescent="0.2"/>
    <row r="1324" customFormat="1" ht="12.75" x14ac:dyDescent="0.2"/>
    <row r="1325" customFormat="1" ht="12.75" x14ac:dyDescent="0.2"/>
    <row r="1326" customFormat="1" ht="12.75" x14ac:dyDescent="0.2"/>
    <row r="1327" customFormat="1" ht="12.75" x14ac:dyDescent="0.2"/>
    <row r="1328" customFormat="1" ht="12.75" x14ac:dyDescent="0.2"/>
    <row r="1329" customFormat="1" ht="12.75" x14ac:dyDescent="0.2"/>
    <row r="1330" customFormat="1" ht="12.75" x14ac:dyDescent="0.2"/>
    <row r="1331" customFormat="1" ht="12.75" x14ac:dyDescent="0.2"/>
    <row r="1332" customFormat="1" ht="12.75" x14ac:dyDescent="0.2"/>
    <row r="1333" customFormat="1" ht="12.75" x14ac:dyDescent="0.2"/>
    <row r="1334" customFormat="1" ht="12.75" x14ac:dyDescent="0.2"/>
    <row r="1335" customFormat="1" ht="12.75" x14ac:dyDescent="0.2"/>
    <row r="1336" customFormat="1" ht="12.75" x14ac:dyDescent="0.2"/>
    <row r="1337" customFormat="1" ht="12.75" x14ac:dyDescent="0.2"/>
    <row r="1338" customFormat="1" ht="12.75" x14ac:dyDescent="0.2"/>
    <row r="1339" customFormat="1" ht="12.75" x14ac:dyDescent="0.2"/>
    <row r="1340" customFormat="1" ht="12.75" x14ac:dyDescent="0.2"/>
    <row r="1341" customFormat="1" ht="12.75" x14ac:dyDescent="0.2"/>
    <row r="1342" customFormat="1" ht="12.75" x14ac:dyDescent="0.2"/>
    <row r="1343" customFormat="1" ht="12.75" x14ac:dyDescent="0.2"/>
    <row r="1344" customFormat="1" ht="12.75" x14ac:dyDescent="0.2"/>
    <row r="1345" customFormat="1" ht="12.75" x14ac:dyDescent="0.2"/>
    <row r="1346" customFormat="1" ht="12.75" x14ac:dyDescent="0.2"/>
    <row r="1347" customFormat="1" ht="12.75" x14ac:dyDescent="0.2"/>
    <row r="1348" customFormat="1" ht="12.75" x14ac:dyDescent="0.2"/>
    <row r="1349" customFormat="1" ht="12.75" x14ac:dyDescent="0.2"/>
    <row r="1350" customFormat="1" ht="12.75" x14ac:dyDescent="0.2"/>
    <row r="1351" customFormat="1" ht="12.75" x14ac:dyDescent="0.2"/>
    <row r="1352" customFormat="1" ht="12.75" x14ac:dyDescent="0.2"/>
    <row r="1353" customFormat="1" ht="12.75" x14ac:dyDescent="0.2"/>
    <row r="1354" customFormat="1" ht="12.75" x14ac:dyDescent="0.2"/>
    <row r="1355" customFormat="1" ht="12.75" x14ac:dyDescent="0.2"/>
    <row r="1356" customFormat="1" ht="12.75" x14ac:dyDescent="0.2"/>
    <row r="1357" customFormat="1" ht="12.75" x14ac:dyDescent="0.2"/>
    <row r="1358" customFormat="1" ht="12.75" x14ac:dyDescent="0.2"/>
    <row r="1359" customFormat="1" ht="12.75" x14ac:dyDescent="0.2"/>
    <row r="1360" customFormat="1" ht="12.75" x14ac:dyDescent="0.2"/>
    <row r="1361" customFormat="1" ht="12.75" x14ac:dyDescent="0.2"/>
    <row r="1362" customFormat="1" ht="12.75" x14ac:dyDescent="0.2"/>
    <row r="1363" customFormat="1" ht="12.75" x14ac:dyDescent="0.2"/>
    <row r="1364" customFormat="1" ht="12.75" x14ac:dyDescent="0.2"/>
    <row r="1365" customFormat="1" ht="12.75" x14ac:dyDescent="0.2"/>
    <row r="1366" customFormat="1" ht="12.75" x14ac:dyDescent="0.2"/>
    <row r="1367" customFormat="1" ht="12.75" x14ac:dyDescent="0.2"/>
    <row r="1368" customFormat="1" ht="12.75" x14ac:dyDescent="0.2"/>
    <row r="1369" customFormat="1" ht="12.75" x14ac:dyDescent="0.2"/>
    <row r="1370" customFormat="1" ht="12.75" x14ac:dyDescent="0.2"/>
    <row r="1371" customFormat="1" ht="12.75" x14ac:dyDescent="0.2"/>
    <row r="1372" customFormat="1" ht="12.75" x14ac:dyDescent="0.2"/>
    <row r="1373" customFormat="1" ht="12.75" x14ac:dyDescent="0.2"/>
    <row r="1374" customFormat="1" ht="12.75" x14ac:dyDescent="0.2"/>
    <row r="1375" customFormat="1" ht="12.75" x14ac:dyDescent="0.2"/>
    <row r="1376" customFormat="1" ht="12.75" x14ac:dyDescent="0.2"/>
    <row r="1377" customFormat="1" ht="12.75" x14ac:dyDescent="0.2"/>
    <row r="1378" customFormat="1" ht="12.75" x14ac:dyDescent="0.2"/>
    <row r="1379" customFormat="1" ht="12.75" x14ac:dyDescent="0.2"/>
    <row r="1380" customFormat="1" ht="12.75" x14ac:dyDescent="0.2"/>
    <row r="1381" customFormat="1" ht="12.75" x14ac:dyDescent="0.2"/>
    <row r="1382" customFormat="1" ht="12.75" x14ac:dyDescent="0.2"/>
    <row r="1383" customFormat="1" ht="12.75" x14ac:dyDescent="0.2"/>
    <row r="1384" customFormat="1" ht="12.75" x14ac:dyDescent="0.2"/>
    <row r="1385" customFormat="1" ht="12.75" x14ac:dyDescent="0.2"/>
    <row r="1386" customFormat="1" ht="12.75" x14ac:dyDescent="0.2"/>
    <row r="1387" customFormat="1" ht="12.75" x14ac:dyDescent="0.2"/>
    <row r="1388" customFormat="1" ht="12.75" x14ac:dyDescent="0.2"/>
    <row r="1389" customFormat="1" ht="12.75" x14ac:dyDescent="0.2"/>
    <row r="1390" customFormat="1" ht="12.75" x14ac:dyDescent="0.2"/>
    <row r="1391" customFormat="1" ht="12.75" x14ac:dyDescent="0.2"/>
    <row r="1392" customFormat="1" ht="12.75" x14ac:dyDescent="0.2"/>
    <row r="1393" customFormat="1" ht="12.75" x14ac:dyDescent="0.2"/>
    <row r="1394" customFormat="1" ht="12.75" x14ac:dyDescent="0.2"/>
    <row r="1395" customFormat="1" ht="12.75" x14ac:dyDescent="0.2"/>
    <row r="1396" customFormat="1" ht="12.75" x14ac:dyDescent="0.2"/>
    <row r="1397" customFormat="1" ht="12.75" x14ac:dyDescent="0.2"/>
    <row r="1398" customFormat="1" ht="12.75" x14ac:dyDescent="0.2"/>
    <row r="1399" customFormat="1" ht="12.75" x14ac:dyDescent="0.2"/>
    <row r="1400" customFormat="1" ht="12.75" x14ac:dyDescent="0.2"/>
    <row r="1401" customFormat="1" ht="12.75" x14ac:dyDescent="0.2"/>
    <row r="1402" customFormat="1" ht="12.75" x14ac:dyDescent="0.2"/>
    <row r="1403" customFormat="1" ht="12.75" x14ac:dyDescent="0.2"/>
    <row r="1404" customFormat="1" ht="12.75" x14ac:dyDescent="0.2"/>
    <row r="1405" customFormat="1" ht="12.75" x14ac:dyDescent="0.2"/>
    <row r="1406" customFormat="1" ht="12.75" x14ac:dyDescent="0.2"/>
    <row r="1407" customFormat="1" ht="12.75" x14ac:dyDescent="0.2"/>
    <row r="1408" customFormat="1" ht="12.75" x14ac:dyDescent="0.2"/>
    <row r="1409" customFormat="1" ht="12.75" x14ac:dyDescent="0.2"/>
    <row r="1410" customFormat="1" ht="12.75" x14ac:dyDescent="0.2"/>
    <row r="1411" customFormat="1" ht="12.75" x14ac:dyDescent="0.2"/>
    <row r="1412" customFormat="1" ht="12.75" x14ac:dyDescent="0.2"/>
    <row r="1413" customFormat="1" ht="12.75" x14ac:dyDescent="0.2"/>
    <row r="1414" customFormat="1" ht="12.75" x14ac:dyDescent="0.2"/>
    <row r="1415" customFormat="1" ht="12.75" x14ac:dyDescent="0.2"/>
    <row r="1416" customFormat="1" ht="12.75" x14ac:dyDescent="0.2"/>
    <row r="1417" customFormat="1" ht="12.75" x14ac:dyDescent="0.2"/>
    <row r="1418" customFormat="1" ht="12.75" x14ac:dyDescent="0.2"/>
    <row r="1419" customFormat="1" ht="12.75" x14ac:dyDescent="0.2"/>
    <row r="1420" customFormat="1" ht="12.75" x14ac:dyDescent="0.2"/>
    <row r="1421" customFormat="1" ht="12.75" x14ac:dyDescent="0.2"/>
    <row r="1422" customFormat="1" ht="12.75" x14ac:dyDescent="0.2"/>
    <row r="1423" customFormat="1" ht="12.75" x14ac:dyDescent="0.2"/>
    <row r="1424" customFormat="1" ht="12.75" x14ac:dyDescent="0.2"/>
    <row r="1425" customFormat="1" ht="12.75" x14ac:dyDescent="0.2"/>
    <row r="1426" customFormat="1" ht="12.75" x14ac:dyDescent="0.2"/>
    <row r="1427" customFormat="1" ht="12.75" x14ac:dyDescent="0.2"/>
    <row r="1428" customFormat="1" ht="12.75" x14ac:dyDescent="0.2"/>
    <row r="1429" customFormat="1" ht="12.75" x14ac:dyDescent="0.2"/>
    <row r="1430" customFormat="1" ht="12.75" x14ac:dyDescent="0.2"/>
    <row r="1431" customFormat="1" ht="12.75" x14ac:dyDescent="0.2"/>
    <row r="1432" customFormat="1" ht="12.75" x14ac:dyDescent="0.2"/>
    <row r="1433" customFormat="1" ht="12.75" x14ac:dyDescent="0.2"/>
    <row r="1434" customFormat="1" ht="12.75" x14ac:dyDescent="0.2"/>
    <row r="1435" customFormat="1" ht="12.75" x14ac:dyDescent="0.2"/>
    <row r="1436" customFormat="1" ht="12.75" x14ac:dyDescent="0.2"/>
    <row r="1437" customFormat="1" ht="12.75" x14ac:dyDescent="0.2"/>
    <row r="1438" customFormat="1" ht="12.75" x14ac:dyDescent="0.2"/>
    <row r="1439" customFormat="1" ht="12.75" x14ac:dyDescent="0.2"/>
    <row r="1440" customFormat="1" ht="12.75" x14ac:dyDescent="0.2"/>
    <row r="1441" customFormat="1" ht="12.75" x14ac:dyDescent="0.2"/>
    <row r="1442" customFormat="1" ht="12.75" x14ac:dyDescent="0.2"/>
    <row r="1443" customFormat="1" ht="12.75" x14ac:dyDescent="0.2"/>
    <row r="1444" customFormat="1" ht="12.75" x14ac:dyDescent="0.2"/>
    <row r="1445" customFormat="1" ht="12.75" x14ac:dyDescent="0.2"/>
    <row r="1446" customFormat="1" ht="12.75" x14ac:dyDescent="0.2"/>
    <row r="1447" customFormat="1" ht="12.75" x14ac:dyDescent="0.2"/>
    <row r="1448" customFormat="1" ht="12.75" x14ac:dyDescent="0.2"/>
    <row r="1449" customFormat="1" ht="12.75" x14ac:dyDescent="0.2"/>
    <row r="1450" customFormat="1" ht="12.75" x14ac:dyDescent="0.2"/>
    <row r="1451" customFormat="1" ht="12.75" x14ac:dyDescent="0.2"/>
    <row r="1452" customFormat="1" ht="12.75" x14ac:dyDescent="0.2"/>
    <row r="1453" customFormat="1" ht="12.75" x14ac:dyDescent="0.2"/>
    <row r="1454" customFormat="1" ht="12.75" x14ac:dyDescent="0.2"/>
    <row r="1455" customFormat="1" ht="12.75" x14ac:dyDescent="0.2"/>
    <row r="1456" customFormat="1" ht="12.75" x14ac:dyDescent="0.2"/>
    <row r="1457" customFormat="1" ht="12.75" x14ac:dyDescent="0.2"/>
    <row r="1458" customFormat="1" ht="12.75" x14ac:dyDescent="0.2"/>
    <row r="1459" customFormat="1" ht="12.75" x14ac:dyDescent="0.2"/>
    <row r="1460" customFormat="1" ht="12.75" x14ac:dyDescent="0.2"/>
    <row r="1461" customFormat="1" ht="12.75" x14ac:dyDescent="0.2"/>
    <row r="1462" customFormat="1" ht="12.75" x14ac:dyDescent="0.2"/>
    <row r="1463" customFormat="1" ht="12.75" x14ac:dyDescent="0.2"/>
    <row r="1464" customFormat="1" ht="12.75" x14ac:dyDescent="0.2"/>
    <row r="1465" customFormat="1" ht="12.75" x14ac:dyDescent="0.2"/>
    <row r="1466" customFormat="1" ht="12.75" x14ac:dyDescent="0.2"/>
    <row r="1467" customFormat="1" ht="12.75" x14ac:dyDescent="0.2"/>
    <row r="1468" customFormat="1" ht="12.75" x14ac:dyDescent="0.2"/>
    <row r="1469" customFormat="1" ht="12.75" x14ac:dyDescent="0.2"/>
    <row r="1470" customFormat="1" ht="12.75" x14ac:dyDescent="0.2"/>
    <row r="1471" customFormat="1" ht="12.75" x14ac:dyDescent="0.2"/>
    <row r="1472" customFormat="1" ht="12.75" x14ac:dyDescent="0.2"/>
    <row r="1473" customFormat="1" ht="12.75" x14ac:dyDescent="0.2"/>
    <row r="1474" customFormat="1" ht="12.75" x14ac:dyDescent="0.2"/>
    <row r="1475" customFormat="1" ht="12.75" x14ac:dyDescent="0.2"/>
    <row r="1476" customFormat="1" ht="12.75" x14ac:dyDescent="0.2"/>
    <row r="1477" customFormat="1" ht="12.75" x14ac:dyDescent="0.2"/>
    <row r="1478" customFormat="1" ht="12.75" x14ac:dyDescent="0.2"/>
    <row r="1479" customFormat="1" ht="12.75" x14ac:dyDescent="0.2"/>
    <row r="1480" customFormat="1" ht="12.75" x14ac:dyDescent="0.2"/>
    <row r="1481" customFormat="1" ht="12.75" x14ac:dyDescent="0.2"/>
    <row r="1482" customFormat="1" ht="12.75" x14ac:dyDescent="0.2"/>
    <row r="1483" customFormat="1" ht="12.75" x14ac:dyDescent="0.2"/>
    <row r="1484" customFormat="1" ht="12.75" x14ac:dyDescent="0.2"/>
    <row r="1485" customFormat="1" ht="12.75" x14ac:dyDescent="0.2"/>
    <row r="1486" customFormat="1" ht="12.75" x14ac:dyDescent="0.2"/>
    <row r="1487" customFormat="1" ht="12.75" x14ac:dyDescent="0.2"/>
    <row r="1488" customFormat="1" ht="12.75" x14ac:dyDescent="0.2"/>
    <row r="1489" customFormat="1" ht="12.75" x14ac:dyDescent="0.2"/>
    <row r="1490" customFormat="1" ht="12.75" x14ac:dyDescent="0.2"/>
    <row r="1491" customFormat="1" ht="12.75" x14ac:dyDescent="0.2"/>
    <row r="1492" customFormat="1" ht="12.75" x14ac:dyDescent="0.2"/>
    <row r="1493" customFormat="1" ht="12.75" x14ac:dyDescent="0.2"/>
    <row r="1494" customFormat="1" ht="12.75" x14ac:dyDescent="0.2"/>
    <row r="1495" customFormat="1" ht="12.75" x14ac:dyDescent="0.2"/>
    <row r="1496" customFormat="1" ht="12.75" x14ac:dyDescent="0.2"/>
    <row r="1497" customFormat="1" ht="12.75" x14ac:dyDescent="0.2"/>
    <row r="1498" customFormat="1" ht="12.75" x14ac:dyDescent="0.2"/>
    <row r="1499" customFormat="1" ht="12.75" x14ac:dyDescent="0.2"/>
    <row r="1500" customFormat="1" ht="12.75" x14ac:dyDescent="0.2"/>
    <row r="1501" customFormat="1" ht="12.75" x14ac:dyDescent="0.2"/>
    <row r="1502" customFormat="1" ht="12.75" x14ac:dyDescent="0.2"/>
    <row r="1503" customFormat="1" ht="12.75" x14ac:dyDescent="0.2"/>
    <row r="1504" customFormat="1" ht="12.75" x14ac:dyDescent="0.2"/>
    <row r="1505" customFormat="1" ht="12.75" x14ac:dyDescent="0.2"/>
    <row r="1506" customFormat="1" ht="12.75" x14ac:dyDescent="0.2"/>
    <row r="1507" customFormat="1" ht="12.75" x14ac:dyDescent="0.2"/>
    <row r="1508" customFormat="1" ht="12.75" x14ac:dyDescent="0.2"/>
    <row r="1509" customFormat="1" ht="12.75" x14ac:dyDescent="0.2"/>
    <row r="1510" customFormat="1" ht="12.75" x14ac:dyDescent="0.2"/>
    <row r="1511" customFormat="1" ht="12.75" x14ac:dyDescent="0.2"/>
    <row r="1512" customFormat="1" ht="12.75" x14ac:dyDescent="0.2"/>
    <row r="1513" customFormat="1" ht="12.75" x14ac:dyDescent="0.2"/>
    <row r="1514" customFormat="1" ht="12.75" x14ac:dyDescent="0.2"/>
    <row r="1515" customFormat="1" ht="12.75" x14ac:dyDescent="0.2"/>
    <row r="1516" customFormat="1" ht="12.75" x14ac:dyDescent="0.2"/>
    <row r="1517" customFormat="1" ht="12.75" x14ac:dyDescent="0.2"/>
    <row r="1518" customFormat="1" ht="12.75" x14ac:dyDescent="0.2"/>
    <row r="1519" customFormat="1" ht="12.75" x14ac:dyDescent="0.2"/>
    <row r="1520" customFormat="1" ht="12.75" x14ac:dyDescent="0.2"/>
    <row r="1521" customFormat="1" ht="12.75" x14ac:dyDescent="0.2"/>
    <row r="1522" customFormat="1" ht="12.75" x14ac:dyDescent="0.2"/>
    <row r="1523" customFormat="1" ht="12.75" x14ac:dyDescent="0.2"/>
    <row r="1524" customFormat="1" ht="12.75" x14ac:dyDescent="0.2"/>
    <row r="1525" customFormat="1" ht="12.75" x14ac:dyDescent="0.2"/>
    <row r="1526" customFormat="1" ht="12.75" x14ac:dyDescent="0.2"/>
    <row r="1527" customFormat="1" ht="12.75" x14ac:dyDescent="0.2"/>
    <row r="1528" customFormat="1" ht="12.75" x14ac:dyDescent="0.2"/>
    <row r="1529" customFormat="1" ht="12.75" x14ac:dyDescent="0.2"/>
    <row r="1530" customFormat="1" ht="12.75" x14ac:dyDescent="0.2"/>
    <row r="1531" customFormat="1" ht="12.75" x14ac:dyDescent="0.2"/>
    <row r="1532" customFormat="1" ht="12.75" x14ac:dyDescent="0.2"/>
    <row r="1533" customFormat="1" ht="12.75" x14ac:dyDescent="0.2"/>
    <row r="1534" customFormat="1" ht="12.75" x14ac:dyDescent="0.2"/>
    <row r="1535" customFormat="1" ht="12.75" x14ac:dyDescent="0.2"/>
    <row r="1536" customFormat="1" ht="12.75" x14ac:dyDescent="0.2"/>
    <row r="1537" customFormat="1" ht="12.75" x14ac:dyDescent="0.2"/>
    <row r="1538" customFormat="1" ht="12.75" x14ac:dyDescent="0.2"/>
    <row r="1539" customFormat="1" ht="12.75" x14ac:dyDescent="0.2"/>
    <row r="1540" customFormat="1" ht="12.75" x14ac:dyDescent="0.2"/>
    <row r="1541" customFormat="1" ht="12.75" x14ac:dyDescent="0.2"/>
    <row r="1542" customFormat="1" ht="12.75" x14ac:dyDescent="0.2"/>
    <row r="1543" customFormat="1" ht="12.75" x14ac:dyDescent="0.2"/>
    <row r="1544" customFormat="1" ht="12.75" x14ac:dyDescent="0.2"/>
    <row r="1545" customFormat="1" ht="12.75" x14ac:dyDescent="0.2"/>
    <row r="1546" customFormat="1" ht="12.75" x14ac:dyDescent="0.2"/>
    <row r="1547" customFormat="1" ht="12.75" x14ac:dyDescent="0.2"/>
    <row r="1548" customFormat="1" ht="12.75" x14ac:dyDescent="0.2"/>
    <row r="1549" customFormat="1" ht="12.75" x14ac:dyDescent="0.2"/>
    <row r="1550" customFormat="1" ht="12.75" x14ac:dyDescent="0.2"/>
    <row r="1551" customFormat="1" ht="12.75" x14ac:dyDescent="0.2"/>
    <row r="1552" customFormat="1" ht="12.75" x14ac:dyDescent="0.2"/>
    <row r="1553" customFormat="1" ht="12.75" x14ac:dyDescent="0.2"/>
    <row r="1554" customFormat="1" ht="12.75" x14ac:dyDescent="0.2"/>
    <row r="1555" customFormat="1" ht="12.75" x14ac:dyDescent="0.2"/>
    <row r="1556" customFormat="1" ht="12.75" x14ac:dyDescent="0.2"/>
    <row r="1557" customFormat="1" ht="12.75" x14ac:dyDescent="0.2"/>
    <row r="1558" customFormat="1" ht="12.75" x14ac:dyDescent="0.2"/>
    <row r="1559" customFormat="1" ht="12.75" x14ac:dyDescent="0.2"/>
    <row r="1560" customFormat="1" ht="12.75" x14ac:dyDescent="0.2"/>
    <row r="1561" customFormat="1" ht="12.75" x14ac:dyDescent="0.2"/>
    <row r="1562" customFormat="1" ht="12.75" x14ac:dyDescent="0.2"/>
    <row r="1563" customFormat="1" ht="12.75" x14ac:dyDescent="0.2"/>
    <row r="1564" customFormat="1" ht="12.75" x14ac:dyDescent="0.2"/>
    <row r="1565" customFormat="1" ht="12.75" x14ac:dyDescent="0.2"/>
    <row r="1566" customFormat="1" ht="12.75" x14ac:dyDescent="0.2"/>
    <row r="1567" customFormat="1" ht="12.75" x14ac:dyDescent="0.2"/>
    <row r="1568" customFormat="1" ht="12.75" x14ac:dyDescent="0.2"/>
    <row r="1569" customFormat="1" ht="12.75" x14ac:dyDescent="0.2"/>
    <row r="1570" customFormat="1" ht="12.75" x14ac:dyDescent="0.2"/>
    <row r="1571" customFormat="1" ht="12.75" x14ac:dyDescent="0.2"/>
    <row r="1572" customFormat="1" ht="12.75" x14ac:dyDescent="0.2"/>
    <row r="1573" customFormat="1" ht="12.75" x14ac:dyDescent="0.2"/>
    <row r="1574" customFormat="1" ht="12.75" x14ac:dyDescent="0.2"/>
    <row r="1575" customFormat="1" ht="12.75" x14ac:dyDescent="0.2"/>
    <row r="1576" customFormat="1" ht="12.75" x14ac:dyDescent="0.2"/>
    <row r="1577" customFormat="1" ht="12.75" x14ac:dyDescent="0.2"/>
    <row r="1578" customFormat="1" ht="12.75" x14ac:dyDescent="0.2"/>
    <row r="1579" customFormat="1" ht="12.75" x14ac:dyDescent="0.2"/>
    <row r="1580" customFormat="1" ht="12.75" x14ac:dyDescent="0.2"/>
    <row r="1581" customFormat="1" ht="12.75" x14ac:dyDescent="0.2"/>
    <row r="1582" customFormat="1" ht="12.75" x14ac:dyDescent="0.2"/>
    <row r="1583" customFormat="1" ht="12.75" x14ac:dyDescent="0.2"/>
    <row r="1584" customFormat="1" ht="12.75" x14ac:dyDescent="0.2"/>
    <row r="1585" customFormat="1" ht="12.75" x14ac:dyDescent="0.2"/>
    <row r="1586" customFormat="1" ht="12.75" x14ac:dyDescent="0.2"/>
    <row r="1587" customFormat="1" ht="12.75" x14ac:dyDescent="0.2"/>
    <row r="1588" customFormat="1" ht="12.75" x14ac:dyDescent="0.2"/>
    <row r="1589" customFormat="1" ht="12.75" x14ac:dyDescent="0.2"/>
    <row r="1590" customFormat="1" ht="12.75" x14ac:dyDescent="0.2"/>
    <row r="1591" customFormat="1" ht="12.75" x14ac:dyDescent="0.2"/>
    <row r="1592" customFormat="1" ht="12.75" x14ac:dyDescent="0.2"/>
    <row r="1593" customFormat="1" ht="12.75" x14ac:dyDescent="0.2"/>
    <row r="1594" customFormat="1" ht="12.75" x14ac:dyDescent="0.2"/>
    <row r="1595" customFormat="1" ht="12.75" x14ac:dyDescent="0.2"/>
    <row r="1596" customFormat="1" ht="12.75" x14ac:dyDescent="0.2"/>
    <row r="1597" customFormat="1" ht="12.75" x14ac:dyDescent="0.2"/>
    <row r="1598" customFormat="1" ht="12.75" x14ac:dyDescent="0.2"/>
    <row r="1599" customFormat="1" ht="12.75" x14ac:dyDescent="0.2"/>
    <row r="1600" customFormat="1" ht="12.75" x14ac:dyDescent="0.2"/>
    <row r="1601" customFormat="1" ht="12.75" x14ac:dyDescent="0.2"/>
    <row r="1602" customFormat="1" ht="12.75" x14ac:dyDescent="0.2"/>
    <row r="1603" customFormat="1" ht="12.75" x14ac:dyDescent="0.2"/>
    <row r="1604" customFormat="1" ht="12.75" x14ac:dyDescent="0.2"/>
    <row r="1605" customFormat="1" ht="12.75" x14ac:dyDescent="0.2"/>
    <row r="1606" customFormat="1" ht="12.75" x14ac:dyDescent="0.2"/>
    <row r="1607" customFormat="1" ht="12.75" x14ac:dyDescent="0.2"/>
    <row r="1608" customFormat="1" ht="12.75" x14ac:dyDescent="0.2"/>
    <row r="1609" customFormat="1" ht="12.75" x14ac:dyDescent="0.2"/>
    <row r="1610" customFormat="1" ht="12.75" x14ac:dyDescent="0.2"/>
    <row r="1611" customFormat="1" ht="12.75" x14ac:dyDescent="0.2"/>
    <row r="1612" customFormat="1" ht="12.75" x14ac:dyDescent="0.2"/>
    <row r="1613" customFormat="1" ht="12.75" x14ac:dyDescent="0.2"/>
    <row r="1614" customFormat="1" ht="12.75" x14ac:dyDescent="0.2"/>
    <row r="1615" customFormat="1" ht="12.75" x14ac:dyDescent="0.2"/>
    <row r="1616" customFormat="1" ht="12.75" x14ac:dyDescent="0.2"/>
    <row r="1617" customFormat="1" ht="12.75" x14ac:dyDescent="0.2"/>
    <row r="1618" customFormat="1" ht="12.75" x14ac:dyDescent="0.2"/>
    <row r="1619" customFormat="1" ht="12.75" x14ac:dyDescent="0.2"/>
    <row r="1620" customFormat="1" ht="12.75" x14ac:dyDescent="0.2"/>
    <row r="1621" customFormat="1" ht="12.75" x14ac:dyDescent="0.2"/>
    <row r="1622" customFormat="1" ht="12.75" x14ac:dyDescent="0.2"/>
    <row r="1623" customFormat="1" ht="12.75" x14ac:dyDescent="0.2"/>
    <row r="1624" customFormat="1" ht="12.75" x14ac:dyDescent="0.2"/>
    <row r="1625" customFormat="1" ht="12.75" x14ac:dyDescent="0.2"/>
    <row r="1626" customFormat="1" ht="12.75" x14ac:dyDescent="0.2"/>
    <row r="1627" customFormat="1" ht="12.75" x14ac:dyDescent="0.2"/>
    <row r="1628" customFormat="1" ht="12.75" x14ac:dyDescent="0.2"/>
    <row r="1629" customFormat="1" ht="12.75" x14ac:dyDescent="0.2"/>
    <row r="1630" customFormat="1" ht="12.75" x14ac:dyDescent="0.2"/>
    <row r="1631" customFormat="1" ht="12.75" x14ac:dyDescent="0.2"/>
    <row r="1632" customFormat="1" ht="12.75" x14ac:dyDescent="0.2"/>
    <row r="1633" customFormat="1" ht="12.75" x14ac:dyDescent="0.2"/>
    <row r="1634" customFormat="1" ht="12.75" x14ac:dyDescent="0.2"/>
    <row r="1635" customFormat="1" ht="12.75" x14ac:dyDescent="0.2"/>
    <row r="1636" customFormat="1" ht="12.75" x14ac:dyDescent="0.2"/>
    <row r="1637" customFormat="1" ht="12.75" x14ac:dyDescent="0.2"/>
    <row r="1638" customFormat="1" ht="12.75" x14ac:dyDescent="0.2"/>
    <row r="1639" customFormat="1" ht="12.75" x14ac:dyDescent="0.2"/>
    <row r="1640" customFormat="1" ht="12.75" x14ac:dyDescent="0.2"/>
    <row r="1641" customFormat="1" ht="12.75" x14ac:dyDescent="0.2"/>
    <row r="1642" customFormat="1" ht="12.75" x14ac:dyDescent="0.2"/>
    <row r="1643" customFormat="1" ht="12.75" x14ac:dyDescent="0.2"/>
    <row r="1644" customFormat="1" ht="12.75" x14ac:dyDescent="0.2"/>
    <row r="1645" customFormat="1" ht="12.75" x14ac:dyDescent="0.2"/>
    <row r="1646" customFormat="1" ht="12.75" x14ac:dyDescent="0.2"/>
    <row r="1647" customFormat="1" ht="12.75" x14ac:dyDescent="0.2"/>
    <row r="1648" customFormat="1" ht="12.75" x14ac:dyDescent="0.2"/>
    <row r="1649" customFormat="1" ht="12.75" x14ac:dyDescent="0.2"/>
    <row r="1650" customFormat="1" ht="12.75" x14ac:dyDescent="0.2"/>
    <row r="1651" customFormat="1" ht="12.75" x14ac:dyDescent="0.2"/>
    <row r="1652" customFormat="1" ht="12.75" x14ac:dyDescent="0.2"/>
    <row r="1653" customFormat="1" ht="12.75" x14ac:dyDescent="0.2"/>
    <row r="1654" customFormat="1" ht="12.75" x14ac:dyDescent="0.2"/>
    <row r="1655" customFormat="1" ht="12.75" x14ac:dyDescent="0.2"/>
    <row r="1656" customFormat="1" ht="12.75" x14ac:dyDescent="0.2"/>
    <row r="1657" customFormat="1" ht="12.75" x14ac:dyDescent="0.2"/>
    <row r="1658" customFormat="1" ht="12.75" x14ac:dyDescent="0.2"/>
    <row r="1659" customFormat="1" ht="12.75" x14ac:dyDescent="0.2"/>
    <row r="1660" customFormat="1" ht="12.75" x14ac:dyDescent="0.2"/>
    <row r="1661" customFormat="1" ht="12.75" x14ac:dyDescent="0.2"/>
    <row r="1662" customFormat="1" ht="12.75" x14ac:dyDescent="0.2"/>
    <row r="1663" customFormat="1" ht="12.75" x14ac:dyDescent="0.2"/>
    <row r="1664" customFormat="1" ht="12.75" x14ac:dyDescent="0.2"/>
    <row r="1665" customFormat="1" ht="12.75" x14ac:dyDescent="0.2"/>
    <row r="1666" customFormat="1" ht="12.75" x14ac:dyDescent="0.2"/>
    <row r="1667" customFormat="1" ht="12.75" x14ac:dyDescent="0.2"/>
    <row r="1668" customFormat="1" ht="12.75" x14ac:dyDescent="0.2"/>
    <row r="1669" customFormat="1" ht="12.75" x14ac:dyDescent="0.2"/>
    <row r="1670" customFormat="1" ht="12.75" x14ac:dyDescent="0.2"/>
    <row r="1671" customFormat="1" ht="12.75" x14ac:dyDescent="0.2"/>
    <row r="1672" customFormat="1" ht="12.75" x14ac:dyDescent="0.2"/>
    <row r="1673" customFormat="1" ht="12.75" x14ac:dyDescent="0.2"/>
    <row r="1674" customFormat="1" ht="12.75" x14ac:dyDescent="0.2"/>
    <row r="1675" customFormat="1" ht="12.75" x14ac:dyDescent="0.2"/>
    <row r="1676" customFormat="1" ht="12.75" x14ac:dyDescent="0.2"/>
    <row r="1677" customFormat="1" ht="12.75" x14ac:dyDescent="0.2"/>
    <row r="1678" customFormat="1" ht="12.75" x14ac:dyDescent="0.2"/>
    <row r="1679" customFormat="1" ht="12.75" x14ac:dyDescent="0.2"/>
    <row r="1680" customFormat="1" ht="12.75" x14ac:dyDescent="0.2"/>
    <row r="1681" customFormat="1" ht="12.75" x14ac:dyDescent="0.2"/>
    <row r="1682" customFormat="1" ht="12.75" x14ac:dyDescent="0.2"/>
    <row r="1683" customFormat="1" ht="12.75" x14ac:dyDescent="0.2"/>
    <row r="1684" customFormat="1" ht="12.75" x14ac:dyDescent="0.2"/>
    <row r="1685" customFormat="1" ht="12.75" x14ac:dyDescent="0.2"/>
    <row r="1686" customFormat="1" ht="12.75" x14ac:dyDescent="0.2"/>
    <row r="1687" customFormat="1" ht="12.75" x14ac:dyDescent="0.2"/>
    <row r="1688" customFormat="1" ht="12.75" x14ac:dyDescent="0.2"/>
    <row r="1689" customFormat="1" ht="12.75" x14ac:dyDescent="0.2"/>
    <row r="1690" customFormat="1" ht="12.75" x14ac:dyDescent="0.2"/>
    <row r="1691" customFormat="1" ht="12.75" x14ac:dyDescent="0.2"/>
    <row r="1692" customFormat="1" ht="12.75" x14ac:dyDescent="0.2"/>
    <row r="1693" customFormat="1" ht="12.75" x14ac:dyDescent="0.2"/>
    <row r="1694" customFormat="1" ht="12.75" x14ac:dyDescent="0.2"/>
    <row r="1695" customFormat="1" ht="12.75" x14ac:dyDescent="0.2"/>
    <row r="1696" customFormat="1" ht="12.75" x14ac:dyDescent="0.2"/>
    <row r="1697" customFormat="1" ht="12.75" x14ac:dyDescent="0.2"/>
    <row r="1698" customFormat="1" ht="12.75" x14ac:dyDescent="0.2"/>
    <row r="1699" customFormat="1" ht="12.75" x14ac:dyDescent="0.2"/>
    <row r="1700" customFormat="1" ht="12.75" x14ac:dyDescent="0.2"/>
    <row r="1701" customFormat="1" ht="12.75" x14ac:dyDescent="0.2"/>
    <row r="1702" customFormat="1" ht="12.75" x14ac:dyDescent="0.2"/>
    <row r="1703" customFormat="1" ht="12.75" x14ac:dyDescent="0.2"/>
    <row r="1704" customFormat="1" ht="12.75" x14ac:dyDescent="0.2"/>
    <row r="1705" customFormat="1" ht="12.75" x14ac:dyDescent="0.2"/>
    <row r="1706" customFormat="1" ht="12.75" x14ac:dyDescent="0.2"/>
    <row r="1707" customFormat="1" ht="12.75" x14ac:dyDescent="0.2"/>
    <row r="1708" customFormat="1" ht="12.75" x14ac:dyDescent="0.2"/>
    <row r="1709" customFormat="1" ht="12.75" x14ac:dyDescent="0.2"/>
    <row r="1710" customFormat="1" ht="12.75" x14ac:dyDescent="0.2"/>
    <row r="1711" customFormat="1" ht="12.75" x14ac:dyDescent="0.2"/>
    <row r="1712" customFormat="1" ht="12.75" x14ac:dyDescent="0.2"/>
    <row r="1713" customFormat="1" ht="12.75" x14ac:dyDescent="0.2"/>
    <row r="1714" customFormat="1" ht="12.75" x14ac:dyDescent="0.2"/>
    <row r="1715" customFormat="1" ht="12.75" x14ac:dyDescent="0.2"/>
    <row r="1716" customFormat="1" ht="12.75" x14ac:dyDescent="0.2"/>
    <row r="1717" customFormat="1" ht="12.75" x14ac:dyDescent="0.2"/>
    <row r="1718" customFormat="1" ht="12.75" x14ac:dyDescent="0.2"/>
    <row r="1719" customFormat="1" ht="12.75" x14ac:dyDescent="0.2"/>
    <row r="1720" customFormat="1" ht="12.75" x14ac:dyDescent="0.2"/>
    <row r="1721" customFormat="1" ht="12.75" x14ac:dyDescent="0.2"/>
    <row r="1722" customFormat="1" ht="12.75" x14ac:dyDescent="0.2"/>
    <row r="1723" customFormat="1" ht="12.75" x14ac:dyDescent="0.2"/>
    <row r="1724" customFormat="1" ht="12.75" x14ac:dyDescent="0.2"/>
    <row r="1725" customFormat="1" ht="12.75" x14ac:dyDescent="0.2"/>
    <row r="1726" customFormat="1" ht="12.75" x14ac:dyDescent="0.2"/>
    <row r="1727" customFormat="1" ht="12.75" x14ac:dyDescent="0.2"/>
    <row r="1728" customFormat="1" ht="12.75" x14ac:dyDescent="0.2"/>
    <row r="1729" customFormat="1" ht="12.75" x14ac:dyDescent="0.2"/>
    <row r="1730" customFormat="1" ht="12.75" x14ac:dyDescent="0.2"/>
    <row r="1731" customFormat="1" ht="12.75" x14ac:dyDescent="0.2"/>
    <row r="1732" customFormat="1" ht="12.75" x14ac:dyDescent="0.2"/>
    <row r="1733" customFormat="1" ht="12.75" x14ac:dyDescent="0.2"/>
    <row r="1734" customFormat="1" ht="12.75" x14ac:dyDescent="0.2"/>
    <row r="1735" customFormat="1" ht="12.75" x14ac:dyDescent="0.2"/>
    <row r="1736" customFormat="1" ht="12.75" x14ac:dyDescent="0.2"/>
    <row r="1737" customFormat="1" ht="12.75" x14ac:dyDescent="0.2"/>
    <row r="1738" customFormat="1" ht="12.75" x14ac:dyDescent="0.2"/>
    <row r="1739" customFormat="1" ht="12.75" x14ac:dyDescent="0.2"/>
    <row r="1740" customFormat="1" ht="12.75" x14ac:dyDescent="0.2"/>
    <row r="1741" customFormat="1" ht="12.75" x14ac:dyDescent="0.2"/>
    <row r="1742" customFormat="1" ht="12.75" x14ac:dyDescent="0.2"/>
    <row r="1743" customFormat="1" ht="12.75" x14ac:dyDescent="0.2"/>
    <row r="1744" customFormat="1" ht="12.75" x14ac:dyDescent="0.2"/>
    <row r="1745" customFormat="1" ht="12.75" x14ac:dyDescent="0.2"/>
    <row r="1746" customFormat="1" ht="12.75" x14ac:dyDescent="0.2"/>
    <row r="1747" customFormat="1" ht="12.75" x14ac:dyDescent="0.2"/>
    <row r="1748" customFormat="1" ht="12.75" x14ac:dyDescent="0.2"/>
    <row r="1749" customFormat="1" ht="12.75" x14ac:dyDescent="0.2"/>
    <row r="1750" customFormat="1" ht="12.75" x14ac:dyDescent="0.2"/>
    <row r="1751" customFormat="1" ht="12.75" x14ac:dyDescent="0.2"/>
    <row r="1752" customFormat="1" ht="12.75" x14ac:dyDescent="0.2"/>
    <row r="1753" customFormat="1" ht="12.75" x14ac:dyDescent="0.2"/>
    <row r="1754" customFormat="1" ht="12.75" x14ac:dyDescent="0.2"/>
    <row r="1755" customFormat="1" ht="12.75" x14ac:dyDescent="0.2"/>
    <row r="1756" customFormat="1" ht="12.75" x14ac:dyDescent="0.2"/>
    <row r="1757" customFormat="1" ht="12.75" x14ac:dyDescent="0.2"/>
    <row r="1758" customFormat="1" ht="12.75" x14ac:dyDescent="0.2"/>
    <row r="1759" customFormat="1" ht="12.75" x14ac:dyDescent="0.2"/>
    <row r="1760" customFormat="1" ht="12.75" x14ac:dyDescent="0.2"/>
    <row r="1761" customFormat="1" ht="12.75" x14ac:dyDescent="0.2"/>
    <row r="1762" customFormat="1" ht="12.75" x14ac:dyDescent="0.2"/>
    <row r="1763" customFormat="1" ht="12.75" x14ac:dyDescent="0.2"/>
    <row r="1764" customFormat="1" ht="12.75" x14ac:dyDescent="0.2"/>
    <row r="1765" customFormat="1" ht="12.75" x14ac:dyDescent="0.2"/>
    <row r="1766" customFormat="1" ht="12.75" x14ac:dyDescent="0.2"/>
    <row r="1767" customFormat="1" ht="12.75" x14ac:dyDescent="0.2"/>
    <row r="1768" customFormat="1" ht="12.75" x14ac:dyDescent="0.2"/>
    <row r="1769" customFormat="1" ht="12.75" x14ac:dyDescent="0.2"/>
    <row r="1770" customFormat="1" ht="12.75" x14ac:dyDescent="0.2"/>
    <row r="1771" customFormat="1" ht="12.75" x14ac:dyDescent="0.2"/>
    <row r="1772" customFormat="1" ht="12.75" x14ac:dyDescent="0.2"/>
    <row r="1773" customFormat="1" ht="12.75" x14ac:dyDescent="0.2"/>
    <row r="1774" customFormat="1" ht="12.75" x14ac:dyDescent="0.2"/>
    <row r="1775" customFormat="1" ht="12.75" x14ac:dyDescent="0.2"/>
    <row r="1776" customFormat="1" ht="12.75" x14ac:dyDescent="0.2"/>
    <row r="1777" customFormat="1" ht="12.75" x14ac:dyDescent="0.2"/>
    <row r="1778" customFormat="1" ht="12.75" x14ac:dyDescent="0.2"/>
    <row r="1779" customFormat="1" ht="12.75" x14ac:dyDescent="0.2"/>
    <row r="1780" customFormat="1" ht="12.75" x14ac:dyDescent="0.2"/>
    <row r="1781" customFormat="1" ht="12.75" x14ac:dyDescent="0.2"/>
    <row r="1782" customFormat="1" ht="12.75" x14ac:dyDescent="0.2"/>
    <row r="1783" customFormat="1" ht="12.75" x14ac:dyDescent="0.2"/>
    <row r="1784" customFormat="1" ht="12.75" x14ac:dyDescent="0.2"/>
    <row r="1785" customFormat="1" ht="12.75" x14ac:dyDescent="0.2"/>
    <row r="1786" customFormat="1" ht="12.75" x14ac:dyDescent="0.2"/>
    <row r="1787" customFormat="1" ht="12.75" x14ac:dyDescent="0.2"/>
    <row r="1788" customFormat="1" ht="12.75" x14ac:dyDescent="0.2"/>
    <row r="1789" customFormat="1" ht="12.75" x14ac:dyDescent="0.2"/>
    <row r="1790" customFormat="1" ht="12.75" x14ac:dyDescent="0.2"/>
    <row r="1791" customFormat="1" ht="12.75" x14ac:dyDescent="0.2"/>
    <row r="1792" customFormat="1" ht="12.75" x14ac:dyDescent="0.2"/>
    <row r="1793" customFormat="1" ht="12.75" x14ac:dyDescent="0.2"/>
    <row r="1794" customFormat="1" ht="12.75" x14ac:dyDescent="0.2"/>
    <row r="1795" customFormat="1" ht="12.75" x14ac:dyDescent="0.2"/>
    <row r="1796" customFormat="1" ht="12.75" x14ac:dyDescent="0.2"/>
    <row r="1797" customFormat="1" ht="12.75" x14ac:dyDescent="0.2"/>
    <row r="1798" customFormat="1" ht="12.75" x14ac:dyDescent="0.2"/>
    <row r="1799" customFormat="1" ht="12.75" x14ac:dyDescent="0.2"/>
    <row r="1800" customFormat="1" ht="12.75" x14ac:dyDescent="0.2"/>
    <row r="1801" customFormat="1" ht="12.75" x14ac:dyDescent="0.2"/>
    <row r="1802" customFormat="1" ht="12.75" x14ac:dyDescent="0.2"/>
    <row r="1803" customFormat="1" ht="12.75" x14ac:dyDescent="0.2"/>
    <row r="1804" customFormat="1" ht="12.75" x14ac:dyDescent="0.2"/>
    <row r="1805" customFormat="1" ht="12.75" x14ac:dyDescent="0.2"/>
    <row r="1806" customFormat="1" ht="12.75" x14ac:dyDescent="0.2"/>
    <row r="1807" customFormat="1" ht="12.75" x14ac:dyDescent="0.2"/>
    <row r="1808" customFormat="1" ht="12.75" x14ac:dyDescent="0.2"/>
    <row r="1809" customFormat="1" ht="12.75" x14ac:dyDescent="0.2"/>
    <row r="1810" customFormat="1" ht="12.75" x14ac:dyDescent="0.2"/>
    <row r="1811" customFormat="1" ht="12.75" x14ac:dyDescent="0.2"/>
    <row r="1812" customFormat="1" ht="12.75" x14ac:dyDescent="0.2"/>
    <row r="1813" customFormat="1" ht="12.75" x14ac:dyDescent="0.2"/>
    <row r="1814" customFormat="1" ht="12.75" x14ac:dyDescent="0.2"/>
    <row r="1815" customFormat="1" ht="12.75" x14ac:dyDescent="0.2"/>
    <row r="1816" customFormat="1" ht="12.75" x14ac:dyDescent="0.2"/>
    <row r="1817" customFormat="1" ht="12.75" x14ac:dyDescent="0.2"/>
    <row r="1818" customFormat="1" ht="12.75" x14ac:dyDescent="0.2"/>
    <row r="1819" customFormat="1" ht="12.75" x14ac:dyDescent="0.2"/>
    <row r="1820" customFormat="1" ht="12.75" x14ac:dyDescent="0.2"/>
    <row r="1821" customFormat="1" ht="12.75" x14ac:dyDescent="0.2"/>
    <row r="1822" customFormat="1" ht="12.75" x14ac:dyDescent="0.2"/>
    <row r="1823" customFormat="1" ht="12.75" x14ac:dyDescent="0.2"/>
    <row r="1824" customFormat="1" ht="12.75" x14ac:dyDescent="0.2"/>
    <row r="1825" customFormat="1" ht="12.75" x14ac:dyDescent="0.2"/>
    <row r="1826" customFormat="1" ht="12.75" x14ac:dyDescent="0.2"/>
    <row r="1827" customFormat="1" ht="12.75" x14ac:dyDescent="0.2"/>
    <row r="1828" customFormat="1" ht="12.75" x14ac:dyDescent="0.2"/>
    <row r="1829" customFormat="1" ht="12.75" x14ac:dyDescent="0.2"/>
    <row r="1830" customFormat="1" ht="12.75" x14ac:dyDescent="0.2"/>
    <row r="1831" customFormat="1" ht="12.75" x14ac:dyDescent="0.2"/>
    <row r="1832" customFormat="1" ht="12.75" x14ac:dyDescent="0.2"/>
    <row r="1833" customFormat="1" ht="12.75" x14ac:dyDescent="0.2"/>
    <row r="1834" customFormat="1" ht="12.75" x14ac:dyDescent="0.2"/>
    <row r="1835" customFormat="1" ht="12.75" x14ac:dyDescent="0.2"/>
    <row r="1836" customFormat="1" ht="12.75" x14ac:dyDescent="0.2"/>
    <row r="1837" customFormat="1" ht="12.75" x14ac:dyDescent="0.2"/>
    <row r="1838" customFormat="1" ht="12.75" x14ac:dyDescent="0.2"/>
    <row r="1839" customFormat="1" ht="12.75" x14ac:dyDescent="0.2"/>
    <row r="1840" customFormat="1" ht="12.75" x14ac:dyDescent="0.2"/>
    <row r="1841" customFormat="1" ht="12.75" x14ac:dyDescent="0.2"/>
    <row r="1842" customFormat="1" ht="12.75" x14ac:dyDescent="0.2"/>
    <row r="1843" customFormat="1" ht="12.75" x14ac:dyDescent="0.2"/>
    <row r="1844" customFormat="1" ht="12.75" x14ac:dyDescent="0.2"/>
    <row r="1845" customFormat="1" ht="12.75" x14ac:dyDescent="0.2"/>
    <row r="1846" customFormat="1" ht="12.75" x14ac:dyDescent="0.2"/>
    <row r="1847" customFormat="1" ht="12.75" x14ac:dyDescent="0.2"/>
    <row r="1848" customFormat="1" ht="12.75" x14ac:dyDescent="0.2"/>
    <row r="1849" customFormat="1" ht="12.75" x14ac:dyDescent="0.2"/>
    <row r="1850" customFormat="1" ht="12.75" x14ac:dyDescent="0.2"/>
    <row r="1851" customFormat="1" ht="12.75" x14ac:dyDescent="0.2"/>
    <row r="1852" customFormat="1" ht="12.75" x14ac:dyDescent="0.2"/>
    <row r="1853" customFormat="1" ht="12.75" x14ac:dyDescent="0.2"/>
    <row r="1854" customFormat="1" ht="12.75" x14ac:dyDescent="0.2"/>
    <row r="1855" customFormat="1" ht="12.75" x14ac:dyDescent="0.2"/>
    <row r="1856" customFormat="1" ht="12.75" x14ac:dyDescent="0.2"/>
    <row r="1857" customFormat="1" ht="12.75" x14ac:dyDescent="0.2"/>
    <row r="1858" customFormat="1" ht="12.75" x14ac:dyDescent="0.2"/>
    <row r="1859" customFormat="1" ht="12.75" x14ac:dyDescent="0.2"/>
    <row r="1860" customFormat="1" ht="12.75" x14ac:dyDescent="0.2"/>
    <row r="1861" customFormat="1" ht="12.75" x14ac:dyDescent="0.2"/>
    <row r="1862" customFormat="1" ht="12.75" x14ac:dyDescent="0.2"/>
    <row r="1863" customFormat="1" ht="12.75" x14ac:dyDescent="0.2"/>
    <row r="1864" customFormat="1" ht="12.75" x14ac:dyDescent="0.2"/>
    <row r="1865" customFormat="1" ht="12.75" x14ac:dyDescent="0.2"/>
    <row r="1866" customFormat="1" ht="12.75" x14ac:dyDescent="0.2"/>
    <row r="1867" customFormat="1" ht="12.75" x14ac:dyDescent="0.2"/>
    <row r="1868" customFormat="1" ht="12.75" x14ac:dyDescent="0.2"/>
    <row r="1869" customFormat="1" ht="12.75" x14ac:dyDescent="0.2"/>
    <row r="1870" customFormat="1" ht="12.75" x14ac:dyDescent="0.2"/>
    <row r="1871" customFormat="1" ht="12.75" x14ac:dyDescent="0.2"/>
    <row r="1872" customFormat="1" ht="12.75" x14ac:dyDescent="0.2"/>
    <row r="1873" customFormat="1" ht="12.75" x14ac:dyDescent="0.2"/>
    <row r="1874" customFormat="1" ht="12.75" x14ac:dyDescent="0.2"/>
    <row r="1875" customFormat="1" ht="12.75" x14ac:dyDescent="0.2"/>
    <row r="1876" customFormat="1" ht="12.75" x14ac:dyDescent="0.2"/>
    <row r="1877" customFormat="1" ht="12.75" x14ac:dyDescent="0.2"/>
    <row r="1878" customFormat="1" ht="12.75" x14ac:dyDescent="0.2"/>
    <row r="1879" customFormat="1" ht="12.75" x14ac:dyDescent="0.2"/>
    <row r="1880" customFormat="1" ht="12.75" x14ac:dyDescent="0.2"/>
    <row r="1881" customFormat="1" ht="12.75" x14ac:dyDescent="0.2"/>
    <row r="1882" customFormat="1" ht="12.75" x14ac:dyDescent="0.2"/>
    <row r="1883" customFormat="1" ht="12.75" x14ac:dyDescent="0.2"/>
    <row r="1884" customFormat="1" ht="12.75" x14ac:dyDescent="0.2"/>
    <row r="1885" customFormat="1" ht="12.75" x14ac:dyDescent="0.2"/>
    <row r="1886" customFormat="1" ht="12.75" x14ac:dyDescent="0.2"/>
    <row r="1887" customFormat="1" ht="12.75" x14ac:dyDescent="0.2"/>
    <row r="1888" customFormat="1" ht="12.75" x14ac:dyDescent="0.2"/>
    <row r="1889" customFormat="1" ht="12.75" x14ac:dyDescent="0.2"/>
    <row r="1890" customFormat="1" ht="12.75" x14ac:dyDescent="0.2"/>
    <row r="1891" customFormat="1" ht="12.75" x14ac:dyDescent="0.2"/>
    <row r="1892" customFormat="1" ht="12.75" x14ac:dyDescent="0.2"/>
    <row r="1893" customFormat="1" ht="12.75" x14ac:dyDescent="0.2"/>
    <row r="1894" customFormat="1" ht="12.75" x14ac:dyDescent="0.2"/>
    <row r="1895" customFormat="1" ht="12.75" x14ac:dyDescent="0.2"/>
    <row r="1896" customFormat="1" ht="12.75" x14ac:dyDescent="0.2"/>
    <row r="1897" customFormat="1" ht="12.75" x14ac:dyDescent="0.2"/>
    <row r="1898" customFormat="1" ht="12.75" x14ac:dyDescent="0.2"/>
    <row r="1899" customFormat="1" ht="12.75" x14ac:dyDescent="0.2"/>
    <row r="1900" customFormat="1" ht="12.75" x14ac:dyDescent="0.2"/>
    <row r="1901" customFormat="1" ht="12.75" x14ac:dyDescent="0.2"/>
    <row r="1902" customFormat="1" ht="12.75" x14ac:dyDescent="0.2"/>
    <row r="1903" customFormat="1" ht="12.75" x14ac:dyDescent="0.2"/>
    <row r="1904" customFormat="1" ht="12.75" x14ac:dyDescent="0.2"/>
    <row r="1905" customFormat="1" ht="12.75" x14ac:dyDescent="0.2"/>
    <row r="1906" customFormat="1" ht="12.75" x14ac:dyDescent="0.2"/>
    <row r="1907" customFormat="1" ht="12.75" x14ac:dyDescent="0.2"/>
    <row r="1908" customFormat="1" ht="12.75" x14ac:dyDescent="0.2"/>
    <row r="1909" customFormat="1" ht="12.75" x14ac:dyDescent="0.2"/>
    <row r="1910" customFormat="1" ht="12.75" x14ac:dyDescent="0.2"/>
    <row r="1911" customFormat="1" ht="12.75" x14ac:dyDescent="0.2"/>
    <row r="1912" customFormat="1" ht="12.75" x14ac:dyDescent="0.2"/>
    <row r="1913" customFormat="1" ht="12.75" x14ac:dyDescent="0.2"/>
    <row r="1914" customFormat="1" ht="12.75" x14ac:dyDescent="0.2"/>
    <row r="1915" customFormat="1" ht="12.75" x14ac:dyDescent="0.2"/>
    <row r="1916" customFormat="1" ht="12.75" x14ac:dyDescent="0.2"/>
    <row r="1917" customFormat="1" ht="12.75" x14ac:dyDescent="0.2"/>
    <row r="1918" customFormat="1" ht="12.75" x14ac:dyDescent="0.2"/>
    <row r="1919" customFormat="1" ht="12.75" x14ac:dyDescent="0.2"/>
    <row r="1920" customFormat="1" ht="12.75" x14ac:dyDescent="0.2"/>
    <row r="1921" customFormat="1" ht="12.75" x14ac:dyDescent="0.2"/>
    <row r="1922" customFormat="1" ht="12.75" x14ac:dyDescent="0.2"/>
    <row r="1923" customFormat="1" ht="12.75" x14ac:dyDescent="0.2"/>
    <row r="1924" customFormat="1" ht="12.75" x14ac:dyDescent="0.2"/>
    <row r="1925" customFormat="1" ht="12.75" x14ac:dyDescent="0.2"/>
    <row r="1926" customFormat="1" ht="12.75" x14ac:dyDescent="0.2"/>
    <row r="1927" customFormat="1" ht="12.75" x14ac:dyDescent="0.2"/>
    <row r="1928" customFormat="1" ht="12.75" x14ac:dyDescent="0.2"/>
    <row r="1929" customFormat="1" ht="12.75" x14ac:dyDescent="0.2"/>
    <row r="1930" customFormat="1" ht="12.75" x14ac:dyDescent="0.2"/>
    <row r="1931" customFormat="1" ht="12.75" x14ac:dyDescent="0.2"/>
    <row r="1932" customFormat="1" ht="12.75" x14ac:dyDescent="0.2"/>
    <row r="1933" customFormat="1" ht="12.75" x14ac:dyDescent="0.2"/>
    <row r="1934" customFormat="1" ht="12.75" x14ac:dyDescent="0.2"/>
    <row r="1935" customFormat="1" ht="12.75" x14ac:dyDescent="0.2"/>
    <row r="1936" customFormat="1" ht="12.75" x14ac:dyDescent="0.2"/>
    <row r="1937" customFormat="1" ht="12.75" x14ac:dyDescent="0.2"/>
    <row r="1938" customFormat="1" ht="12.75" x14ac:dyDescent="0.2"/>
    <row r="1939" customFormat="1" ht="12.75" x14ac:dyDescent="0.2"/>
    <row r="1940" customFormat="1" ht="12.75" x14ac:dyDescent="0.2"/>
    <row r="1941" customFormat="1" ht="12.75" x14ac:dyDescent="0.2"/>
    <row r="1942" customFormat="1" ht="12.75" x14ac:dyDescent="0.2"/>
    <row r="1943" customFormat="1" ht="12.75" x14ac:dyDescent="0.2"/>
    <row r="1944" customFormat="1" ht="12.75" x14ac:dyDescent="0.2"/>
    <row r="1945" customFormat="1" ht="12.75" x14ac:dyDescent="0.2"/>
    <row r="1946" customFormat="1" ht="12.75" x14ac:dyDescent="0.2"/>
    <row r="1947" customFormat="1" ht="12.75" x14ac:dyDescent="0.2"/>
    <row r="1948" customFormat="1" ht="12.75" x14ac:dyDescent="0.2"/>
    <row r="1949" customFormat="1" ht="12.75" x14ac:dyDescent="0.2"/>
    <row r="1950" customFormat="1" ht="12.75" x14ac:dyDescent="0.2"/>
    <row r="1951" customFormat="1" ht="12.75" x14ac:dyDescent="0.2"/>
    <row r="1952" customFormat="1" ht="12.75" x14ac:dyDescent="0.2"/>
    <row r="1953" customFormat="1" ht="12.75" x14ac:dyDescent="0.2"/>
    <row r="1954" customFormat="1" ht="12.75" x14ac:dyDescent="0.2"/>
    <row r="1955" customFormat="1" ht="12.75" x14ac:dyDescent="0.2"/>
    <row r="1956" customFormat="1" ht="12.75" x14ac:dyDescent="0.2"/>
    <row r="1957" customFormat="1" ht="12.75" x14ac:dyDescent="0.2"/>
    <row r="1958" customFormat="1" ht="12.75" x14ac:dyDescent="0.2"/>
    <row r="1959" customFormat="1" ht="12.75" x14ac:dyDescent="0.2"/>
    <row r="1960" customFormat="1" ht="12.75" x14ac:dyDescent="0.2"/>
    <row r="1961" customFormat="1" ht="12.75" x14ac:dyDescent="0.2"/>
    <row r="1962" customFormat="1" ht="12.75" x14ac:dyDescent="0.2"/>
    <row r="1963" customFormat="1" ht="12.75" x14ac:dyDescent="0.2"/>
    <row r="1964" customFormat="1" ht="12.75" x14ac:dyDescent="0.2"/>
    <row r="1965" customFormat="1" ht="12.75" x14ac:dyDescent="0.2"/>
    <row r="1966" customFormat="1" ht="12.75" x14ac:dyDescent="0.2"/>
    <row r="1967" customFormat="1" ht="12.75" x14ac:dyDescent="0.2"/>
    <row r="1968" customFormat="1" ht="12.75" x14ac:dyDescent="0.2"/>
    <row r="1969" customFormat="1" ht="12.75" x14ac:dyDescent="0.2"/>
    <row r="1970" customFormat="1" ht="12.75" x14ac:dyDescent="0.2"/>
    <row r="1971" customFormat="1" ht="12.75" x14ac:dyDescent="0.2"/>
    <row r="1972" customFormat="1" ht="12.75" x14ac:dyDescent="0.2"/>
    <row r="1973" customFormat="1" ht="12.75" x14ac:dyDescent="0.2"/>
    <row r="1974" customFormat="1" ht="12.75" x14ac:dyDescent="0.2"/>
    <row r="1975" customFormat="1" ht="12.75" x14ac:dyDescent="0.2"/>
    <row r="1976" customFormat="1" ht="12.75" x14ac:dyDescent="0.2"/>
    <row r="1977" customFormat="1" ht="12.75" x14ac:dyDescent="0.2"/>
    <row r="1978" customFormat="1" ht="12.75" x14ac:dyDescent="0.2"/>
    <row r="1979" customFormat="1" ht="12.75" x14ac:dyDescent="0.2"/>
    <row r="1980" customFormat="1" ht="12.75" x14ac:dyDescent="0.2"/>
    <row r="1981" customFormat="1" ht="12.75" x14ac:dyDescent="0.2"/>
    <row r="1982" customFormat="1" ht="12.75" x14ac:dyDescent="0.2"/>
    <row r="1983" customFormat="1" ht="12.75" x14ac:dyDescent="0.2"/>
    <row r="1984" customFormat="1" ht="12.75" x14ac:dyDescent="0.2"/>
    <row r="1985" customFormat="1" ht="12.75" x14ac:dyDescent="0.2"/>
    <row r="1986" customFormat="1" ht="12.75" x14ac:dyDescent="0.2"/>
    <row r="1987" customFormat="1" ht="12.75" x14ac:dyDescent="0.2"/>
    <row r="1988" customFormat="1" ht="12.75" x14ac:dyDescent="0.2"/>
    <row r="1989" customFormat="1" ht="12.75" x14ac:dyDescent="0.2"/>
    <row r="1990" customFormat="1" ht="12.75" x14ac:dyDescent="0.2"/>
    <row r="1991" customFormat="1" ht="12.75" x14ac:dyDescent="0.2"/>
    <row r="1992" customFormat="1" ht="12.75" x14ac:dyDescent="0.2"/>
    <row r="1993" customFormat="1" ht="12.75" x14ac:dyDescent="0.2"/>
    <row r="1994" customFormat="1" ht="12.75" x14ac:dyDescent="0.2"/>
    <row r="1995" customFormat="1" ht="12.75" x14ac:dyDescent="0.2"/>
    <row r="1996" customFormat="1" ht="12.75" x14ac:dyDescent="0.2"/>
    <row r="1997" customFormat="1" ht="12.75" x14ac:dyDescent="0.2"/>
    <row r="1998" customFormat="1" ht="12.75" x14ac:dyDescent="0.2"/>
    <row r="1999" customFormat="1" ht="12.75" x14ac:dyDescent="0.2"/>
    <row r="2000" customFormat="1" ht="12.75" x14ac:dyDescent="0.2"/>
    <row r="2001" customFormat="1" ht="12.75" x14ac:dyDescent="0.2"/>
    <row r="2002" customFormat="1" ht="12.75" x14ac:dyDescent="0.2"/>
    <row r="2003" customFormat="1" ht="12.75" x14ac:dyDescent="0.2"/>
    <row r="2004" customFormat="1" ht="12.75" x14ac:dyDescent="0.2"/>
    <row r="2005" customFormat="1" ht="12.75" x14ac:dyDescent="0.2"/>
    <row r="2006" customFormat="1" ht="12.75" x14ac:dyDescent="0.2"/>
    <row r="2007" customFormat="1" ht="12.75" x14ac:dyDescent="0.2"/>
    <row r="2008" customFormat="1" ht="12.75" x14ac:dyDescent="0.2"/>
    <row r="2009" customFormat="1" ht="12.75" x14ac:dyDescent="0.2"/>
    <row r="2010" customFormat="1" ht="12.75" x14ac:dyDescent="0.2"/>
    <row r="2011" customFormat="1" ht="12.75" x14ac:dyDescent="0.2"/>
    <row r="2012" customFormat="1" ht="12.75" x14ac:dyDescent="0.2"/>
    <row r="2013" customFormat="1" ht="12.75" x14ac:dyDescent="0.2"/>
    <row r="2014" customFormat="1" ht="12.75" x14ac:dyDescent="0.2"/>
    <row r="2015" customFormat="1" ht="12.75" x14ac:dyDescent="0.2"/>
    <row r="2016" customFormat="1" ht="12.75" x14ac:dyDescent="0.2"/>
    <row r="2017" customFormat="1" ht="12.75" x14ac:dyDescent="0.2"/>
    <row r="2018" customFormat="1" ht="12.75" x14ac:dyDescent="0.2"/>
    <row r="2019" customFormat="1" ht="12.75" x14ac:dyDescent="0.2"/>
    <row r="2020" customFormat="1" ht="12.75" x14ac:dyDescent="0.2"/>
    <row r="2021" customFormat="1" ht="12.75" x14ac:dyDescent="0.2"/>
    <row r="2022" customFormat="1" ht="12.75" x14ac:dyDescent="0.2"/>
    <row r="2023" customFormat="1" ht="12.75" x14ac:dyDescent="0.2"/>
    <row r="2024" customFormat="1" ht="12.75" x14ac:dyDescent="0.2"/>
    <row r="2025" customFormat="1" ht="12.75" x14ac:dyDescent="0.2"/>
    <row r="2026" customFormat="1" ht="12.75" x14ac:dyDescent="0.2"/>
    <row r="2027" customFormat="1" ht="12.75" x14ac:dyDescent="0.2"/>
    <row r="2028" customFormat="1" ht="12.75" x14ac:dyDescent="0.2"/>
    <row r="2029" customFormat="1" ht="12.75" x14ac:dyDescent="0.2"/>
    <row r="2030" customFormat="1" ht="12.75" x14ac:dyDescent="0.2"/>
    <row r="2031" customFormat="1" ht="12.75" x14ac:dyDescent="0.2"/>
    <row r="2032" customFormat="1" ht="12.75" x14ac:dyDescent="0.2"/>
    <row r="2033" customFormat="1" ht="12.75" x14ac:dyDescent="0.2"/>
    <row r="2034" customFormat="1" ht="12.75" x14ac:dyDescent="0.2"/>
    <row r="2035" customFormat="1" ht="12.75" x14ac:dyDescent="0.2"/>
    <row r="2036" customFormat="1" ht="12.75" x14ac:dyDescent="0.2"/>
    <row r="2037" customFormat="1" ht="12.75" x14ac:dyDescent="0.2"/>
    <row r="2038" customFormat="1" ht="12.75" x14ac:dyDescent="0.2"/>
    <row r="2039" customFormat="1" ht="12.75" x14ac:dyDescent="0.2"/>
    <row r="2040" customFormat="1" ht="12.75" x14ac:dyDescent="0.2"/>
    <row r="2041" customFormat="1" ht="12.75" x14ac:dyDescent="0.2"/>
    <row r="2042" customFormat="1" ht="12.75" x14ac:dyDescent="0.2"/>
    <row r="2043" customFormat="1" ht="12.75" x14ac:dyDescent="0.2"/>
    <row r="2044" customFormat="1" ht="12.75" x14ac:dyDescent="0.2"/>
    <row r="2045" customFormat="1" ht="12.75" x14ac:dyDescent="0.2"/>
    <row r="2046" customFormat="1" ht="12.75" x14ac:dyDescent="0.2"/>
    <row r="2047" customFormat="1" ht="12.75" x14ac:dyDescent="0.2"/>
    <row r="2048" customFormat="1" ht="12.75" x14ac:dyDescent="0.2"/>
    <row r="2049" customFormat="1" ht="12.75" x14ac:dyDescent="0.2"/>
    <row r="2050" customFormat="1" ht="12.75" x14ac:dyDescent="0.2"/>
    <row r="2051" customFormat="1" ht="12.75" x14ac:dyDescent="0.2"/>
    <row r="2052" customFormat="1" ht="12.75" x14ac:dyDescent="0.2"/>
    <row r="2053" customFormat="1" ht="12.75" x14ac:dyDescent="0.2"/>
    <row r="2054" customFormat="1" ht="12.75" x14ac:dyDescent="0.2"/>
    <row r="2055" customFormat="1" ht="12.75" x14ac:dyDescent="0.2"/>
    <row r="2056" customFormat="1" ht="12.75" x14ac:dyDescent="0.2"/>
    <row r="2057" customFormat="1" ht="12.75" x14ac:dyDescent="0.2"/>
    <row r="2058" customFormat="1" ht="12.75" x14ac:dyDescent="0.2"/>
    <row r="2059" customFormat="1" ht="12.75" x14ac:dyDescent="0.2"/>
    <row r="2060" customFormat="1" ht="12.75" x14ac:dyDescent="0.2"/>
    <row r="2061" customFormat="1" ht="12.75" x14ac:dyDescent="0.2"/>
    <row r="2062" customFormat="1" ht="12.75" x14ac:dyDescent="0.2"/>
    <row r="2063" customFormat="1" ht="12.75" x14ac:dyDescent="0.2"/>
    <row r="2064" customFormat="1" ht="12.75" x14ac:dyDescent="0.2"/>
    <row r="2065" customFormat="1" ht="12.75" x14ac:dyDescent="0.2"/>
    <row r="2066" customFormat="1" ht="12.75" x14ac:dyDescent="0.2"/>
    <row r="2067" customFormat="1" ht="12.75" x14ac:dyDescent="0.2"/>
    <row r="2068" customFormat="1" ht="12.75" x14ac:dyDescent="0.2"/>
    <row r="2069" customFormat="1" ht="12.75" x14ac:dyDescent="0.2"/>
    <row r="2070" customFormat="1" ht="12.75" x14ac:dyDescent="0.2"/>
    <row r="2071" customFormat="1" ht="12.75" x14ac:dyDescent="0.2"/>
    <row r="2072" customFormat="1" ht="12.75" x14ac:dyDescent="0.2"/>
    <row r="2073" customFormat="1" ht="12.75" x14ac:dyDescent="0.2"/>
    <row r="2074" customFormat="1" ht="12.75" x14ac:dyDescent="0.2"/>
    <row r="2075" customFormat="1" ht="12.75" x14ac:dyDescent="0.2"/>
    <row r="2076" customFormat="1" ht="12.75" x14ac:dyDescent="0.2"/>
    <row r="2077" customFormat="1" ht="12.75" x14ac:dyDescent="0.2"/>
    <row r="2078" customFormat="1" ht="12.75" x14ac:dyDescent="0.2"/>
    <row r="2079" customFormat="1" ht="12.75" x14ac:dyDescent="0.2"/>
    <row r="2080" customFormat="1" ht="12.75" x14ac:dyDescent="0.2"/>
    <row r="2081" customFormat="1" ht="12.75" x14ac:dyDescent="0.2"/>
    <row r="2082" customFormat="1" ht="12.75" x14ac:dyDescent="0.2"/>
    <row r="2083" customFormat="1" ht="12.75" x14ac:dyDescent="0.2"/>
    <row r="2084" customFormat="1" ht="12.75" x14ac:dyDescent="0.2"/>
    <row r="2085" customFormat="1" ht="12.75" x14ac:dyDescent="0.2"/>
    <row r="2086" customFormat="1" ht="12.75" x14ac:dyDescent="0.2"/>
    <row r="2087" customFormat="1" ht="12.75" x14ac:dyDescent="0.2"/>
    <row r="2088" customFormat="1" ht="12.75" x14ac:dyDescent="0.2"/>
    <row r="2089" customFormat="1" ht="12.75" x14ac:dyDescent="0.2"/>
    <row r="2090" customFormat="1" ht="12.75" x14ac:dyDescent="0.2"/>
    <row r="2091" customFormat="1" ht="12.75" x14ac:dyDescent="0.2"/>
    <row r="2092" customFormat="1" ht="12.75" x14ac:dyDescent="0.2"/>
    <row r="2093" customFormat="1" ht="12.75" x14ac:dyDescent="0.2"/>
    <row r="2094" customFormat="1" ht="12.75" x14ac:dyDescent="0.2"/>
    <row r="2095" customFormat="1" ht="12.75" x14ac:dyDescent="0.2"/>
    <row r="2096" customFormat="1" ht="12.75" x14ac:dyDescent="0.2"/>
    <row r="2097" customFormat="1" ht="12.75" x14ac:dyDescent="0.2"/>
    <row r="2098" customFormat="1" ht="12.75" x14ac:dyDescent="0.2"/>
    <row r="2099" customFormat="1" ht="12.75" x14ac:dyDescent="0.2"/>
    <row r="2100" customFormat="1" ht="12.75" x14ac:dyDescent="0.2"/>
    <row r="2101" customFormat="1" ht="12.75" x14ac:dyDescent="0.2"/>
    <row r="2102" customFormat="1" ht="12.75" x14ac:dyDescent="0.2"/>
    <row r="2103" customFormat="1" ht="12.75" x14ac:dyDescent="0.2"/>
    <row r="2104" customFormat="1" ht="12.75" x14ac:dyDescent="0.2"/>
    <row r="2105" customFormat="1" ht="12.75" x14ac:dyDescent="0.2"/>
    <row r="2106" customFormat="1" ht="12.75" x14ac:dyDescent="0.2"/>
    <row r="2107" customFormat="1" ht="12.75" x14ac:dyDescent="0.2"/>
    <row r="2108" customFormat="1" ht="12.75" x14ac:dyDescent="0.2"/>
    <row r="2109" customFormat="1" ht="12.75" x14ac:dyDescent="0.2"/>
    <row r="2110" customFormat="1" ht="12.75" x14ac:dyDescent="0.2"/>
    <row r="2111" customFormat="1" ht="12.75" x14ac:dyDescent="0.2"/>
    <row r="2112" customFormat="1" ht="12.75" x14ac:dyDescent="0.2"/>
    <row r="2113" customFormat="1" ht="12.75" x14ac:dyDescent="0.2"/>
    <row r="2114" customFormat="1" ht="12.75" x14ac:dyDescent="0.2"/>
    <row r="2115" customFormat="1" ht="12.75" x14ac:dyDescent="0.2"/>
    <row r="2116" customFormat="1" ht="12.75" x14ac:dyDescent="0.2"/>
    <row r="2117" customFormat="1" ht="12.75" x14ac:dyDescent="0.2"/>
    <row r="2118" customFormat="1" ht="12.75" x14ac:dyDescent="0.2"/>
    <row r="2119" customFormat="1" ht="12.75" x14ac:dyDescent="0.2"/>
    <row r="2120" customFormat="1" ht="12.75" x14ac:dyDescent="0.2"/>
    <row r="2121" customFormat="1" ht="12.75" x14ac:dyDescent="0.2"/>
    <row r="2122" customFormat="1" ht="12.75" x14ac:dyDescent="0.2"/>
    <row r="2123" customFormat="1" ht="12.75" x14ac:dyDescent="0.2"/>
    <row r="2124" customFormat="1" ht="12.75" x14ac:dyDescent="0.2"/>
    <row r="2125" customFormat="1" ht="12.75" x14ac:dyDescent="0.2"/>
    <row r="2126" customFormat="1" ht="12.75" x14ac:dyDescent="0.2"/>
    <row r="2127" customFormat="1" ht="12.75" x14ac:dyDescent="0.2"/>
    <row r="2128" customFormat="1" ht="12.75" x14ac:dyDescent="0.2"/>
    <row r="2129" customFormat="1" ht="12.75" x14ac:dyDescent="0.2"/>
    <row r="2130" customFormat="1" ht="12.75" x14ac:dyDescent="0.2"/>
    <row r="2131" customFormat="1" ht="12.75" x14ac:dyDescent="0.2"/>
    <row r="2132" customFormat="1" ht="12.75" x14ac:dyDescent="0.2"/>
    <row r="2133" customFormat="1" ht="12.75" x14ac:dyDescent="0.2"/>
    <row r="2134" customFormat="1" ht="12.75" x14ac:dyDescent="0.2"/>
    <row r="2135" customFormat="1" ht="12.75" x14ac:dyDescent="0.2"/>
    <row r="2136" customFormat="1" ht="12.75" x14ac:dyDescent="0.2"/>
    <row r="2137" customFormat="1" ht="12.75" x14ac:dyDescent="0.2"/>
    <row r="2138" customFormat="1" ht="12.75" x14ac:dyDescent="0.2"/>
    <row r="2139" customFormat="1" ht="12.75" x14ac:dyDescent="0.2"/>
    <row r="2140" customFormat="1" ht="12.75" x14ac:dyDescent="0.2"/>
    <row r="2141" customFormat="1" ht="12.75" x14ac:dyDescent="0.2"/>
    <row r="2142" customFormat="1" ht="12.75" x14ac:dyDescent="0.2"/>
    <row r="2143" customFormat="1" ht="12.75" x14ac:dyDescent="0.2"/>
    <row r="2144" customFormat="1" ht="12.75" x14ac:dyDescent="0.2"/>
    <row r="2145" customFormat="1" ht="12.75" x14ac:dyDescent="0.2"/>
    <row r="2146" customFormat="1" ht="12.75" x14ac:dyDescent="0.2"/>
    <row r="2147" customFormat="1" ht="12.75" x14ac:dyDescent="0.2"/>
    <row r="2148" customFormat="1" ht="12.75" x14ac:dyDescent="0.2"/>
    <row r="2149" customFormat="1" ht="12.75" x14ac:dyDescent="0.2"/>
    <row r="2150" customFormat="1" ht="12.75" x14ac:dyDescent="0.2"/>
    <row r="2151" customFormat="1" ht="12.75" x14ac:dyDescent="0.2"/>
    <row r="2152" customFormat="1" ht="12.75" x14ac:dyDescent="0.2"/>
    <row r="2153" customFormat="1" ht="12.75" x14ac:dyDescent="0.2"/>
    <row r="2154" customFormat="1" ht="12.75" x14ac:dyDescent="0.2"/>
    <row r="2155" customFormat="1" ht="12.75" x14ac:dyDescent="0.2"/>
    <row r="2156" customFormat="1" ht="12.75" x14ac:dyDescent="0.2"/>
    <row r="2157" customFormat="1" ht="12.75" x14ac:dyDescent="0.2"/>
    <row r="2158" customFormat="1" ht="12.75" x14ac:dyDescent="0.2"/>
    <row r="2159" customFormat="1" ht="12.75" x14ac:dyDescent="0.2"/>
    <row r="2160" customFormat="1" ht="12.75" x14ac:dyDescent="0.2"/>
    <row r="2161" customFormat="1" ht="12.75" x14ac:dyDescent="0.2"/>
    <row r="2162" customFormat="1" ht="12.75" x14ac:dyDescent="0.2"/>
    <row r="2163" customFormat="1" ht="12.75" x14ac:dyDescent="0.2"/>
    <row r="2164" customFormat="1" ht="12.75" x14ac:dyDescent="0.2"/>
    <row r="2165" customFormat="1" ht="12.75" x14ac:dyDescent="0.2"/>
    <row r="2166" customFormat="1" ht="12.75" x14ac:dyDescent="0.2"/>
    <row r="2167" customFormat="1" ht="12.75" x14ac:dyDescent="0.2"/>
    <row r="2168" customFormat="1" ht="12.75" x14ac:dyDescent="0.2"/>
    <row r="2169" customFormat="1" ht="12.75" x14ac:dyDescent="0.2"/>
    <row r="2170" customFormat="1" ht="12.75" x14ac:dyDescent="0.2"/>
    <row r="2171" customFormat="1" ht="12.75" x14ac:dyDescent="0.2"/>
    <row r="2172" customFormat="1" ht="12.75" x14ac:dyDescent="0.2"/>
    <row r="2173" customFormat="1" ht="12.75" x14ac:dyDescent="0.2"/>
    <row r="2174" customFormat="1" ht="12.75" x14ac:dyDescent="0.2"/>
    <row r="2175" customFormat="1" ht="12.75" x14ac:dyDescent="0.2"/>
    <row r="2176" customFormat="1" ht="12.75" x14ac:dyDescent="0.2"/>
    <row r="2177" customFormat="1" ht="12.75" x14ac:dyDescent="0.2"/>
    <row r="2178" customFormat="1" ht="12.75" x14ac:dyDescent="0.2"/>
    <row r="2179" customFormat="1" ht="12.75" x14ac:dyDescent="0.2"/>
    <row r="2180" customFormat="1" ht="12.75" x14ac:dyDescent="0.2"/>
    <row r="2181" customFormat="1" ht="12.75" x14ac:dyDescent="0.2"/>
    <row r="2182" customFormat="1" ht="12.75" x14ac:dyDescent="0.2"/>
    <row r="2183" customFormat="1" ht="12.75" x14ac:dyDescent="0.2"/>
    <row r="2184" customFormat="1" ht="12.75" x14ac:dyDescent="0.2"/>
    <row r="2185" customFormat="1" ht="12.75" x14ac:dyDescent="0.2"/>
    <row r="2186" customFormat="1" ht="12.75" x14ac:dyDescent="0.2"/>
    <row r="2187" customFormat="1" ht="12.75" x14ac:dyDescent="0.2"/>
    <row r="2188" customFormat="1" ht="12.75" x14ac:dyDescent="0.2"/>
    <row r="2189" customFormat="1" ht="12.75" x14ac:dyDescent="0.2"/>
    <row r="2190" customFormat="1" ht="12.75" x14ac:dyDescent="0.2"/>
    <row r="2191" customFormat="1" ht="12.75" x14ac:dyDescent="0.2"/>
    <row r="2192" customFormat="1" ht="12.75" x14ac:dyDescent="0.2"/>
    <row r="2193" customFormat="1" ht="12.75" x14ac:dyDescent="0.2"/>
    <row r="2194" customFormat="1" ht="12.75" x14ac:dyDescent="0.2"/>
    <row r="2195" customFormat="1" ht="12.75" x14ac:dyDescent="0.2"/>
    <row r="2196" customFormat="1" ht="12.75" x14ac:dyDescent="0.2"/>
    <row r="2197" customFormat="1" ht="12.75" x14ac:dyDescent="0.2"/>
    <row r="2198" customFormat="1" ht="12.75" x14ac:dyDescent="0.2"/>
    <row r="2199" customFormat="1" ht="12.75" x14ac:dyDescent="0.2"/>
    <row r="2200" customFormat="1" ht="12.75" x14ac:dyDescent="0.2"/>
    <row r="2201" customFormat="1" ht="12.75" x14ac:dyDescent="0.2"/>
    <row r="2202" customFormat="1" ht="12.75" x14ac:dyDescent="0.2"/>
    <row r="2203" customFormat="1" ht="12.75" x14ac:dyDescent="0.2"/>
    <row r="2204" customFormat="1" ht="12.75" x14ac:dyDescent="0.2"/>
    <row r="2205" customFormat="1" ht="12.75" x14ac:dyDescent="0.2"/>
    <row r="2206" customFormat="1" ht="12.75" x14ac:dyDescent="0.2"/>
    <row r="2207" customFormat="1" ht="12.75" x14ac:dyDescent="0.2"/>
    <row r="2208" customFormat="1" ht="12.75" x14ac:dyDescent="0.2"/>
    <row r="2209" customFormat="1" ht="12.75" x14ac:dyDescent="0.2"/>
    <row r="2210" customFormat="1" ht="12.75" x14ac:dyDescent="0.2"/>
    <row r="2211" customFormat="1" ht="12.75" x14ac:dyDescent="0.2"/>
    <row r="2212" customFormat="1" ht="12.75" x14ac:dyDescent="0.2"/>
    <row r="2213" customFormat="1" ht="12.75" x14ac:dyDescent="0.2"/>
    <row r="2214" customFormat="1" ht="12.75" x14ac:dyDescent="0.2"/>
    <row r="2215" customFormat="1" ht="12.75" x14ac:dyDescent="0.2"/>
    <row r="2216" customFormat="1" ht="12.75" x14ac:dyDescent="0.2"/>
    <row r="2217" customFormat="1" ht="12.75" x14ac:dyDescent="0.2"/>
    <row r="2218" customFormat="1" ht="12.75" x14ac:dyDescent="0.2"/>
    <row r="2219" customFormat="1" ht="12.75" x14ac:dyDescent="0.2"/>
    <row r="2220" customFormat="1" ht="12.75" x14ac:dyDescent="0.2"/>
    <row r="2221" customFormat="1" ht="12.75" x14ac:dyDescent="0.2"/>
    <row r="2222" customFormat="1" ht="12.75" x14ac:dyDescent="0.2"/>
    <row r="2223" customFormat="1" ht="12.75" x14ac:dyDescent="0.2"/>
    <row r="2224" customFormat="1" ht="12.75" x14ac:dyDescent="0.2"/>
    <row r="2225" customFormat="1" ht="12.75" x14ac:dyDescent="0.2"/>
    <row r="2226" customFormat="1" ht="12.75" x14ac:dyDescent="0.2"/>
    <row r="2227" customFormat="1" ht="12.75" x14ac:dyDescent="0.2"/>
    <row r="2228" customFormat="1" ht="12.75" x14ac:dyDescent="0.2"/>
    <row r="2229" customFormat="1" ht="12.75" x14ac:dyDescent="0.2"/>
    <row r="2230" customFormat="1" ht="12.75" x14ac:dyDescent="0.2"/>
    <row r="2231" customFormat="1" ht="12.75" x14ac:dyDescent="0.2"/>
    <row r="2232" customFormat="1" ht="12.75" x14ac:dyDescent="0.2"/>
    <row r="2233" customFormat="1" ht="12.75" x14ac:dyDescent="0.2"/>
    <row r="2234" customFormat="1" ht="12.75" x14ac:dyDescent="0.2"/>
    <row r="2235" customFormat="1" ht="12.75" x14ac:dyDescent="0.2"/>
    <row r="2236" customFormat="1" ht="12.75" x14ac:dyDescent="0.2"/>
    <row r="2237" customFormat="1" ht="12.75" x14ac:dyDescent="0.2"/>
    <row r="2238" customFormat="1" ht="12.75" x14ac:dyDescent="0.2"/>
    <row r="2239" customFormat="1" ht="12.75" x14ac:dyDescent="0.2"/>
    <row r="2240" customFormat="1" ht="12.75" x14ac:dyDescent="0.2"/>
    <row r="2241" customFormat="1" ht="12.75" x14ac:dyDescent="0.2"/>
    <row r="2242" customFormat="1" ht="12.75" x14ac:dyDescent="0.2"/>
    <row r="2243" customFormat="1" ht="12.75" x14ac:dyDescent="0.2"/>
    <row r="2244" customFormat="1" ht="12.75" x14ac:dyDescent="0.2"/>
    <row r="2245" customFormat="1" ht="12.75" x14ac:dyDescent="0.2"/>
    <row r="2246" customFormat="1" ht="12.75" x14ac:dyDescent="0.2"/>
    <row r="2247" customFormat="1" ht="12.75" x14ac:dyDescent="0.2"/>
    <row r="2248" customFormat="1" ht="12.75" x14ac:dyDescent="0.2"/>
    <row r="2249" customFormat="1" ht="12.75" x14ac:dyDescent="0.2"/>
    <row r="2250" customFormat="1" ht="12.75" x14ac:dyDescent="0.2"/>
    <row r="2251" customFormat="1" ht="12.75" x14ac:dyDescent="0.2"/>
    <row r="2252" customFormat="1" ht="12.75" x14ac:dyDescent="0.2"/>
    <row r="2253" customFormat="1" ht="12.75" x14ac:dyDescent="0.2"/>
    <row r="2254" customFormat="1" ht="12.75" x14ac:dyDescent="0.2"/>
    <row r="2255" customFormat="1" ht="12.75" x14ac:dyDescent="0.2"/>
    <row r="2256" customFormat="1" ht="12.75" x14ac:dyDescent="0.2"/>
    <row r="2257" customFormat="1" ht="12.75" x14ac:dyDescent="0.2"/>
    <row r="2258" customFormat="1" ht="12.75" x14ac:dyDescent="0.2"/>
    <row r="2259" customFormat="1" ht="12.75" x14ac:dyDescent="0.2"/>
    <row r="2260" customFormat="1" ht="12.75" x14ac:dyDescent="0.2"/>
    <row r="2261" customFormat="1" ht="12.75" x14ac:dyDescent="0.2"/>
    <row r="2262" customFormat="1" ht="12.75" x14ac:dyDescent="0.2"/>
    <row r="2263" customFormat="1" ht="12.75" x14ac:dyDescent="0.2"/>
    <row r="2264" customFormat="1" ht="12.75" x14ac:dyDescent="0.2"/>
    <row r="2265" customFormat="1" ht="12.75" x14ac:dyDescent="0.2"/>
    <row r="2266" customFormat="1" ht="12.75" x14ac:dyDescent="0.2"/>
    <row r="2267" customFormat="1" ht="12.75" x14ac:dyDescent="0.2"/>
    <row r="2268" customFormat="1" ht="12.75" x14ac:dyDescent="0.2"/>
    <row r="2269" customFormat="1" ht="12.75" x14ac:dyDescent="0.2"/>
    <row r="2270" customFormat="1" ht="12.75" x14ac:dyDescent="0.2"/>
    <row r="2271" customFormat="1" ht="12.75" x14ac:dyDescent="0.2"/>
    <row r="2272" customFormat="1" ht="12.75" x14ac:dyDescent="0.2"/>
    <row r="2273" customFormat="1" ht="12.75" x14ac:dyDescent="0.2"/>
    <row r="2274" customFormat="1" ht="12.75" x14ac:dyDescent="0.2"/>
    <row r="2275" customFormat="1" ht="12.75" x14ac:dyDescent="0.2"/>
    <row r="2276" customFormat="1" ht="12.75" x14ac:dyDescent="0.2"/>
    <row r="2277" customFormat="1" ht="12.75" x14ac:dyDescent="0.2"/>
    <row r="2278" customFormat="1" ht="12.75" x14ac:dyDescent="0.2"/>
    <row r="2279" customFormat="1" ht="12.75" x14ac:dyDescent="0.2"/>
    <row r="2280" customFormat="1" ht="12.75" x14ac:dyDescent="0.2"/>
    <row r="2281" customFormat="1" ht="12.75" x14ac:dyDescent="0.2"/>
    <row r="2282" customFormat="1" ht="12.75" x14ac:dyDescent="0.2"/>
    <row r="2283" customFormat="1" ht="12.75" x14ac:dyDescent="0.2"/>
    <row r="2284" customFormat="1" ht="12.75" x14ac:dyDescent="0.2"/>
    <row r="2285" customFormat="1" ht="12.75" x14ac:dyDescent="0.2"/>
    <row r="2286" customFormat="1" ht="12.75" x14ac:dyDescent="0.2"/>
    <row r="2287" customFormat="1" ht="12.75" x14ac:dyDescent="0.2"/>
    <row r="2288" customFormat="1" ht="12.75" x14ac:dyDescent="0.2"/>
    <row r="2289" customFormat="1" ht="12.75" x14ac:dyDescent="0.2"/>
    <row r="2290" customFormat="1" ht="12.75" x14ac:dyDescent="0.2"/>
    <row r="2291" customFormat="1" ht="12.75" x14ac:dyDescent="0.2"/>
    <row r="2292" customFormat="1" ht="12.75" x14ac:dyDescent="0.2"/>
    <row r="2293" customFormat="1" ht="12.75" x14ac:dyDescent="0.2"/>
    <row r="2294" customFormat="1" ht="12.75" x14ac:dyDescent="0.2"/>
    <row r="2295" customFormat="1" ht="12.75" x14ac:dyDescent="0.2"/>
    <row r="2296" customFormat="1" ht="12.75" x14ac:dyDescent="0.2"/>
    <row r="2297" customFormat="1" ht="12.75" x14ac:dyDescent="0.2"/>
    <row r="2298" customFormat="1" ht="12.75" x14ac:dyDescent="0.2"/>
    <row r="2299" customFormat="1" ht="12.75" x14ac:dyDescent="0.2"/>
    <row r="2300" customFormat="1" ht="12.75" x14ac:dyDescent="0.2"/>
    <row r="2301" customFormat="1" ht="12.75" x14ac:dyDescent="0.2"/>
    <row r="2302" customFormat="1" ht="12.75" x14ac:dyDescent="0.2"/>
    <row r="2303" customFormat="1" ht="12.75" x14ac:dyDescent="0.2"/>
    <row r="2304" customFormat="1" ht="12.75" x14ac:dyDescent="0.2"/>
    <row r="2305" customFormat="1" ht="12.75" x14ac:dyDescent="0.2"/>
    <row r="2306" customFormat="1" ht="12.75" x14ac:dyDescent="0.2"/>
    <row r="2307" customFormat="1" ht="12.75" x14ac:dyDescent="0.2"/>
    <row r="2308" customFormat="1" ht="12.75" x14ac:dyDescent="0.2"/>
    <row r="2309" customFormat="1" ht="12.75" x14ac:dyDescent="0.2"/>
    <row r="2310" customFormat="1" ht="12.75" x14ac:dyDescent="0.2"/>
    <row r="2311" customFormat="1" ht="12.75" x14ac:dyDescent="0.2"/>
    <row r="2312" customFormat="1" ht="12.75" x14ac:dyDescent="0.2"/>
    <row r="2313" customFormat="1" ht="12.75" x14ac:dyDescent="0.2"/>
    <row r="2314" customFormat="1" ht="12.75" x14ac:dyDescent="0.2"/>
    <row r="2315" customFormat="1" ht="12.75" x14ac:dyDescent="0.2"/>
    <row r="2316" customFormat="1" ht="12.75" x14ac:dyDescent="0.2"/>
    <row r="2317" customFormat="1" ht="12.75" x14ac:dyDescent="0.2"/>
    <row r="2318" customFormat="1" ht="12.75" x14ac:dyDescent="0.2"/>
    <row r="2319" customFormat="1" ht="12.75" x14ac:dyDescent="0.2"/>
    <row r="2320" customFormat="1" ht="12.75" x14ac:dyDescent="0.2"/>
    <row r="2321" customFormat="1" ht="12.75" x14ac:dyDescent="0.2"/>
    <row r="2322" customFormat="1" ht="12.75" x14ac:dyDescent="0.2"/>
    <row r="2323" customFormat="1" ht="12.75" x14ac:dyDescent="0.2"/>
    <row r="2324" customFormat="1" ht="12.75" x14ac:dyDescent="0.2"/>
    <row r="2325" customFormat="1" ht="12.75" x14ac:dyDescent="0.2"/>
    <row r="2326" customFormat="1" ht="12.75" x14ac:dyDescent="0.2"/>
    <row r="2327" customFormat="1" ht="12.75" x14ac:dyDescent="0.2"/>
    <row r="2328" customFormat="1" ht="12.75" x14ac:dyDescent="0.2"/>
    <row r="2329" customFormat="1" ht="12.75" x14ac:dyDescent="0.2"/>
    <row r="2330" customFormat="1" ht="12.75" x14ac:dyDescent="0.2"/>
    <row r="2331" customFormat="1" ht="12.75" x14ac:dyDescent="0.2"/>
    <row r="2332" customFormat="1" ht="12.75" x14ac:dyDescent="0.2"/>
    <row r="2333" customFormat="1" ht="12.75" x14ac:dyDescent="0.2"/>
    <row r="2334" customFormat="1" ht="12.75" x14ac:dyDescent="0.2"/>
    <row r="2335" customFormat="1" ht="12.75" x14ac:dyDescent="0.2"/>
    <row r="2336" customFormat="1" ht="12.75" x14ac:dyDescent="0.2"/>
    <row r="2337" customFormat="1" ht="12.75" x14ac:dyDescent="0.2"/>
    <row r="2338" customFormat="1" ht="12.75" x14ac:dyDescent="0.2"/>
    <row r="2339" customFormat="1" ht="12.75" x14ac:dyDescent="0.2"/>
    <row r="2340" customFormat="1" ht="12.75" x14ac:dyDescent="0.2"/>
    <row r="2341" customFormat="1" ht="12.75" x14ac:dyDescent="0.2"/>
    <row r="2342" customFormat="1" ht="12.75" x14ac:dyDescent="0.2"/>
    <row r="2343" customFormat="1" ht="12.75" x14ac:dyDescent="0.2"/>
    <row r="2344" customFormat="1" ht="12.75" x14ac:dyDescent="0.2"/>
    <row r="2345" customFormat="1" ht="12.75" x14ac:dyDescent="0.2"/>
    <row r="2346" customFormat="1" ht="12.75" x14ac:dyDescent="0.2"/>
    <row r="2347" customFormat="1" ht="12.75" x14ac:dyDescent="0.2"/>
    <row r="2348" customFormat="1" ht="12.75" x14ac:dyDescent="0.2"/>
    <row r="2349" customFormat="1" ht="12.75" x14ac:dyDescent="0.2"/>
    <row r="2350" customFormat="1" ht="12.75" x14ac:dyDescent="0.2"/>
    <row r="2351" customFormat="1" ht="12.75" x14ac:dyDescent="0.2"/>
    <row r="2352" customFormat="1" ht="12.75" x14ac:dyDescent="0.2"/>
    <row r="2353" customFormat="1" ht="12.75" x14ac:dyDescent="0.2"/>
    <row r="2354" customFormat="1" ht="12.75" x14ac:dyDescent="0.2"/>
    <row r="2355" customFormat="1" ht="12.75" x14ac:dyDescent="0.2"/>
    <row r="2356" customFormat="1" ht="12.75" x14ac:dyDescent="0.2"/>
    <row r="2357" customFormat="1" ht="12.75" x14ac:dyDescent="0.2"/>
    <row r="2358" customFormat="1" ht="12.75" x14ac:dyDescent="0.2"/>
    <row r="2359" customFormat="1" ht="12.75" x14ac:dyDescent="0.2"/>
    <row r="2360" customFormat="1" ht="12.75" x14ac:dyDescent="0.2"/>
    <row r="2361" customFormat="1" ht="12.75" x14ac:dyDescent="0.2"/>
    <row r="2362" customFormat="1" ht="12.75" x14ac:dyDescent="0.2"/>
    <row r="2363" customFormat="1" ht="12.75" x14ac:dyDescent="0.2"/>
    <row r="2364" customFormat="1" ht="12.75" x14ac:dyDescent="0.2"/>
    <row r="2365" customFormat="1" ht="12.75" x14ac:dyDescent="0.2"/>
    <row r="2366" customFormat="1" ht="12.75" x14ac:dyDescent="0.2"/>
    <row r="2367" customFormat="1" ht="12.75" x14ac:dyDescent="0.2"/>
    <row r="2368" customFormat="1" ht="12.75" x14ac:dyDescent="0.2"/>
    <row r="2369" customFormat="1" ht="12.75" x14ac:dyDescent="0.2"/>
    <row r="2370" customFormat="1" ht="12.75" x14ac:dyDescent="0.2"/>
    <row r="2371" customFormat="1" ht="12.75" x14ac:dyDescent="0.2"/>
    <row r="2372" customFormat="1" ht="12.75" x14ac:dyDescent="0.2"/>
    <row r="2373" customFormat="1" ht="12.75" x14ac:dyDescent="0.2"/>
    <row r="2374" customFormat="1" ht="12.75" x14ac:dyDescent="0.2"/>
    <row r="2375" customFormat="1" ht="12.75" x14ac:dyDescent="0.2"/>
    <row r="2376" customFormat="1" ht="12.75" x14ac:dyDescent="0.2"/>
    <row r="2377" customFormat="1" ht="12.75" x14ac:dyDescent="0.2"/>
    <row r="2378" customFormat="1" ht="12.75" x14ac:dyDescent="0.2"/>
    <row r="2379" customFormat="1" ht="12.75" x14ac:dyDescent="0.2"/>
    <row r="2380" customFormat="1" ht="12.75" x14ac:dyDescent="0.2"/>
    <row r="2381" customFormat="1" ht="12.75" x14ac:dyDescent="0.2"/>
    <row r="2382" customFormat="1" ht="12.75" x14ac:dyDescent="0.2"/>
    <row r="2383" customFormat="1" ht="12.75" x14ac:dyDescent="0.2"/>
    <row r="2384" customFormat="1" ht="12.75" x14ac:dyDescent="0.2"/>
    <row r="2385" customFormat="1" ht="12.75" x14ac:dyDescent="0.2"/>
    <row r="2386" customFormat="1" ht="12.75" x14ac:dyDescent="0.2"/>
    <row r="2387" customFormat="1" ht="12.75" x14ac:dyDescent="0.2"/>
    <row r="2388" customFormat="1" ht="12.75" x14ac:dyDescent="0.2"/>
    <row r="2389" customFormat="1" ht="12.75" x14ac:dyDescent="0.2"/>
    <row r="2390" customFormat="1" ht="12.75" x14ac:dyDescent="0.2"/>
    <row r="2391" customFormat="1" ht="12.75" x14ac:dyDescent="0.2"/>
    <row r="2392" customFormat="1" ht="12.75" x14ac:dyDescent="0.2"/>
    <row r="2393" customFormat="1" ht="12.75" x14ac:dyDescent="0.2"/>
    <row r="2394" customFormat="1" ht="12.75" x14ac:dyDescent="0.2"/>
    <row r="2395" customFormat="1" ht="12.75" x14ac:dyDescent="0.2"/>
    <row r="2396" customFormat="1" ht="12.75" x14ac:dyDescent="0.2"/>
    <row r="2397" customFormat="1" ht="12.75" x14ac:dyDescent="0.2"/>
    <row r="2398" customFormat="1" ht="12.75" x14ac:dyDescent="0.2"/>
    <row r="2399" customFormat="1" ht="12.75" x14ac:dyDescent="0.2"/>
    <row r="2400" customFormat="1" ht="12.75" x14ac:dyDescent="0.2"/>
    <row r="2401" customFormat="1" ht="12.75" x14ac:dyDescent="0.2"/>
    <row r="2402" customFormat="1" ht="12.75" x14ac:dyDescent="0.2"/>
    <row r="2403" customFormat="1" ht="12.75" x14ac:dyDescent="0.2"/>
    <row r="2404" customFormat="1" ht="12.75" x14ac:dyDescent="0.2"/>
    <row r="2405" customFormat="1" ht="12.75" x14ac:dyDescent="0.2"/>
    <row r="2406" customFormat="1" ht="12.75" x14ac:dyDescent="0.2"/>
    <row r="2407" customFormat="1" ht="12.75" x14ac:dyDescent="0.2"/>
    <row r="2408" customFormat="1" ht="12.75" x14ac:dyDescent="0.2"/>
    <row r="2409" customFormat="1" ht="12.75" x14ac:dyDescent="0.2"/>
    <row r="2410" customFormat="1" ht="12.75" x14ac:dyDescent="0.2"/>
    <row r="2411" customFormat="1" ht="12.75" x14ac:dyDescent="0.2"/>
    <row r="2412" customFormat="1" ht="12.75" x14ac:dyDescent="0.2"/>
    <row r="2413" customFormat="1" ht="12.75" x14ac:dyDescent="0.2"/>
    <row r="2414" customFormat="1" ht="12.75" x14ac:dyDescent="0.2"/>
    <row r="2415" customFormat="1" ht="12.75" x14ac:dyDescent="0.2"/>
    <row r="2416" customFormat="1" ht="12.75" x14ac:dyDescent="0.2"/>
    <row r="2417" customFormat="1" ht="12.75" x14ac:dyDescent="0.2"/>
    <row r="2418" customFormat="1" ht="12.75" x14ac:dyDescent="0.2"/>
    <row r="2419" customFormat="1" ht="12.75" x14ac:dyDescent="0.2"/>
    <row r="2420" customFormat="1" ht="12.75" x14ac:dyDescent="0.2"/>
    <row r="2421" customFormat="1" ht="12.75" x14ac:dyDescent="0.2"/>
    <row r="2422" customFormat="1" ht="12.75" x14ac:dyDescent="0.2"/>
    <row r="2423" customFormat="1" ht="12.75" x14ac:dyDescent="0.2"/>
    <row r="2424" customFormat="1" ht="12.75" x14ac:dyDescent="0.2"/>
    <row r="2425" customFormat="1" ht="12.75" x14ac:dyDescent="0.2"/>
    <row r="2426" customFormat="1" ht="12.75" x14ac:dyDescent="0.2"/>
    <row r="2427" customFormat="1" ht="12.75" x14ac:dyDescent="0.2"/>
    <row r="2428" customFormat="1" ht="12.75" x14ac:dyDescent="0.2"/>
    <row r="2429" customFormat="1" ht="12.75" x14ac:dyDescent="0.2"/>
    <row r="2430" customFormat="1" ht="12.75" x14ac:dyDescent="0.2"/>
    <row r="2431" customFormat="1" ht="12.75" x14ac:dyDescent="0.2"/>
    <row r="2432" customFormat="1" ht="12.75" x14ac:dyDescent="0.2"/>
    <row r="2433" customFormat="1" ht="12.75" x14ac:dyDescent="0.2"/>
    <row r="2434" customFormat="1" ht="12.75" x14ac:dyDescent="0.2"/>
    <row r="2435" customFormat="1" ht="12.75" x14ac:dyDescent="0.2"/>
    <row r="2436" customFormat="1" ht="12.75" x14ac:dyDescent="0.2"/>
    <row r="2437" customFormat="1" ht="12.75" x14ac:dyDescent="0.2"/>
    <row r="2438" customFormat="1" ht="12.75" x14ac:dyDescent="0.2"/>
    <row r="2439" customFormat="1" ht="12.75" x14ac:dyDescent="0.2"/>
    <row r="2440" customFormat="1" ht="12.75" x14ac:dyDescent="0.2"/>
    <row r="2441" customFormat="1" ht="12.75" x14ac:dyDescent="0.2"/>
    <row r="2442" customFormat="1" ht="12.75" x14ac:dyDescent="0.2"/>
    <row r="2443" customFormat="1" ht="12.75" x14ac:dyDescent="0.2"/>
    <row r="2444" customFormat="1" ht="12.75" x14ac:dyDescent="0.2"/>
    <row r="2445" customFormat="1" ht="12.75" x14ac:dyDescent="0.2"/>
    <row r="2446" customFormat="1" ht="12.75" x14ac:dyDescent="0.2"/>
    <row r="2447" customFormat="1" ht="12.75" x14ac:dyDescent="0.2"/>
    <row r="2448" customFormat="1" ht="12.75" x14ac:dyDescent="0.2"/>
    <row r="2449" customFormat="1" ht="12.75" x14ac:dyDescent="0.2"/>
    <row r="2450" customFormat="1" ht="12.75" x14ac:dyDescent="0.2"/>
    <row r="2451" customFormat="1" ht="12.75" x14ac:dyDescent="0.2"/>
    <row r="2452" customFormat="1" ht="12.75" x14ac:dyDescent="0.2"/>
    <row r="2453" customFormat="1" ht="12.75" x14ac:dyDescent="0.2"/>
    <row r="2454" customFormat="1" ht="12.75" x14ac:dyDescent="0.2"/>
    <row r="2455" customFormat="1" ht="12.75" x14ac:dyDescent="0.2"/>
    <row r="2456" customFormat="1" ht="12.75" x14ac:dyDescent="0.2"/>
    <row r="2457" customFormat="1" ht="12.75" x14ac:dyDescent="0.2"/>
    <row r="2458" customFormat="1" ht="12.75" x14ac:dyDescent="0.2"/>
    <row r="2459" customFormat="1" ht="12.75" x14ac:dyDescent="0.2"/>
    <row r="2460" customFormat="1" ht="12.75" x14ac:dyDescent="0.2"/>
    <row r="2461" customFormat="1" ht="12.75" x14ac:dyDescent="0.2"/>
    <row r="2462" customFormat="1" ht="12.75" x14ac:dyDescent="0.2"/>
    <row r="2463" customFormat="1" ht="12.75" x14ac:dyDescent="0.2"/>
    <row r="2464" customFormat="1" ht="12.75" x14ac:dyDescent="0.2"/>
    <row r="2465" customFormat="1" ht="12.75" x14ac:dyDescent="0.2"/>
    <row r="2466" customFormat="1" ht="12.75" x14ac:dyDescent="0.2"/>
    <row r="2467" customFormat="1" ht="12.75" x14ac:dyDescent="0.2"/>
    <row r="2468" customFormat="1" ht="12.75" x14ac:dyDescent="0.2"/>
    <row r="2469" customFormat="1" ht="12.75" x14ac:dyDescent="0.2"/>
    <row r="2470" customFormat="1" ht="12.75" x14ac:dyDescent="0.2"/>
    <row r="2471" customFormat="1" ht="12.75" x14ac:dyDescent="0.2"/>
    <row r="2472" customFormat="1" ht="12.75" x14ac:dyDescent="0.2"/>
    <row r="2473" customFormat="1" ht="12.75" x14ac:dyDescent="0.2"/>
    <row r="2474" customFormat="1" ht="12.75" x14ac:dyDescent="0.2"/>
    <row r="2475" customFormat="1" ht="12.75" x14ac:dyDescent="0.2"/>
    <row r="2476" customFormat="1" ht="12.75" x14ac:dyDescent="0.2"/>
    <row r="2477" customFormat="1" ht="12.75" x14ac:dyDescent="0.2"/>
    <row r="2478" customFormat="1" ht="12.75" x14ac:dyDescent="0.2"/>
    <row r="2479" customFormat="1" ht="12.75" x14ac:dyDescent="0.2"/>
    <row r="2480" customFormat="1" ht="12.75" x14ac:dyDescent="0.2"/>
    <row r="2481" customFormat="1" ht="12.75" x14ac:dyDescent="0.2"/>
    <row r="2482" customFormat="1" ht="12.75" x14ac:dyDescent="0.2"/>
    <row r="2483" customFormat="1" ht="12.75" x14ac:dyDescent="0.2"/>
    <row r="2484" customFormat="1" ht="12.75" x14ac:dyDescent="0.2"/>
    <row r="2485" customFormat="1" ht="12.75" x14ac:dyDescent="0.2"/>
    <row r="2486" customFormat="1" ht="12.75" x14ac:dyDescent="0.2"/>
    <row r="2487" customFormat="1" ht="12.75" x14ac:dyDescent="0.2"/>
    <row r="2488" customFormat="1" ht="12.75" x14ac:dyDescent="0.2"/>
    <row r="2489" customFormat="1" ht="12.75" x14ac:dyDescent="0.2"/>
    <row r="2490" customFormat="1" ht="12.75" x14ac:dyDescent="0.2"/>
    <row r="2491" customFormat="1" ht="12.75" x14ac:dyDescent="0.2"/>
    <row r="2492" customFormat="1" ht="12.75" x14ac:dyDescent="0.2"/>
    <row r="2493" customFormat="1" ht="12.75" x14ac:dyDescent="0.2"/>
    <row r="2494" customFormat="1" ht="12.75" x14ac:dyDescent="0.2"/>
    <row r="2495" customFormat="1" ht="12.75" x14ac:dyDescent="0.2"/>
    <row r="2496" customFormat="1" ht="12.75" x14ac:dyDescent="0.2"/>
    <row r="2497" customFormat="1" ht="12.75" x14ac:dyDescent="0.2"/>
    <row r="2498" customFormat="1" ht="12.75" x14ac:dyDescent="0.2"/>
    <row r="2499" customFormat="1" ht="12.75" x14ac:dyDescent="0.2"/>
    <row r="2500" customFormat="1" ht="12.75" x14ac:dyDescent="0.2"/>
    <row r="2501" customFormat="1" ht="12.75" x14ac:dyDescent="0.2"/>
    <row r="2502" customFormat="1" ht="12.75" x14ac:dyDescent="0.2"/>
    <row r="2503" customFormat="1" ht="12.75" x14ac:dyDescent="0.2"/>
    <row r="2504" customFormat="1" ht="12.75" x14ac:dyDescent="0.2"/>
    <row r="2505" customFormat="1" ht="12.75" x14ac:dyDescent="0.2"/>
    <row r="2506" customFormat="1" ht="12.75" x14ac:dyDescent="0.2"/>
    <row r="2507" customFormat="1" ht="12.75" x14ac:dyDescent="0.2"/>
    <row r="2508" customFormat="1" ht="12.75" x14ac:dyDescent="0.2"/>
    <row r="2509" customFormat="1" ht="12.75" x14ac:dyDescent="0.2"/>
    <row r="2510" customFormat="1" ht="12.75" x14ac:dyDescent="0.2"/>
    <row r="2511" customFormat="1" ht="12.75" x14ac:dyDescent="0.2"/>
    <row r="2512" customFormat="1" ht="12.75" x14ac:dyDescent="0.2"/>
    <row r="2513" customFormat="1" ht="12.75" x14ac:dyDescent="0.2"/>
    <row r="2514" customFormat="1" ht="12.75" x14ac:dyDescent="0.2"/>
    <row r="2515" customFormat="1" ht="12.75" x14ac:dyDescent="0.2"/>
    <row r="2516" customFormat="1" ht="12.75" x14ac:dyDescent="0.2"/>
    <row r="2517" customFormat="1" ht="12.75" x14ac:dyDescent="0.2"/>
    <row r="2518" customFormat="1" ht="12.75" x14ac:dyDescent="0.2"/>
    <row r="2519" customFormat="1" ht="12.75" x14ac:dyDescent="0.2"/>
    <row r="2520" customFormat="1" ht="12.75" x14ac:dyDescent="0.2"/>
    <row r="2521" customFormat="1" ht="12.75" x14ac:dyDescent="0.2"/>
    <row r="2522" customFormat="1" ht="12.75" x14ac:dyDescent="0.2"/>
    <row r="2523" customFormat="1" ht="12.75" x14ac:dyDescent="0.2"/>
    <row r="2524" customFormat="1" ht="12.75" x14ac:dyDescent="0.2"/>
    <row r="2525" customFormat="1" ht="12.75" x14ac:dyDescent="0.2"/>
    <row r="2526" customFormat="1" ht="12.75" x14ac:dyDescent="0.2"/>
    <row r="2527" customFormat="1" ht="12.75" x14ac:dyDescent="0.2"/>
    <row r="2528" customFormat="1" ht="12.75" x14ac:dyDescent="0.2"/>
    <row r="2529" customFormat="1" ht="12.75" x14ac:dyDescent="0.2"/>
    <row r="2530" customFormat="1" ht="12.75" x14ac:dyDescent="0.2"/>
    <row r="2531" customFormat="1" ht="12.75" x14ac:dyDescent="0.2"/>
    <row r="2532" customFormat="1" ht="12.75" x14ac:dyDescent="0.2"/>
    <row r="2533" customFormat="1" ht="12.75" x14ac:dyDescent="0.2"/>
    <row r="2534" customFormat="1" ht="12.75" x14ac:dyDescent="0.2"/>
    <row r="2535" customFormat="1" ht="12.75" x14ac:dyDescent="0.2"/>
    <row r="2536" customFormat="1" ht="12.75" x14ac:dyDescent="0.2"/>
    <row r="2537" customFormat="1" ht="12.75" x14ac:dyDescent="0.2"/>
    <row r="2538" customFormat="1" ht="12.75" x14ac:dyDescent="0.2"/>
    <row r="2539" customFormat="1" ht="12.75" x14ac:dyDescent="0.2"/>
    <row r="2540" customFormat="1" ht="12.75" x14ac:dyDescent="0.2"/>
    <row r="2541" customFormat="1" ht="12.75" x14ac:dyDescent="0.2"/>
    <row r="2542" customFormat="1" ht="12.75" x14ac:dyDescent="0.2"/>
    <row r="2543" customFormat="1" ht="12.75" x14ac:dyDescent="0.2"/>
    <row r="2544" customFormat="1" ht="12.75" x14ac:dyDescent="0.2"/>
    <row r="2545" customFormat="1" ht="12.75" x14ac:dyDescent="0.2"/>
    <row r="2546" customFormat="1" ht="12.75" x14ac:dyDescent="0.2"/>
    <row r="2547" customFormat="1" ht="12.75" x14ac:dyDescent="0.2"/>
    <row r="2548" customFormat="1" ht="12.75" x14ac:dyDescent="0.2"/>
    <row r="2549" customFormat="1" ht="12.75" x14ac:dyDescent="0.2"/>
    <row r="2550" customFormat="1" ht="12.75" x14ac:dyDescent="0.2"/>
    <row r="2551" customFormat="1" ht="12.75" x14ac:dyDescent="0.2"/>
    <row r="2552" customFormat="1" ht="12.75" x14ac:dyDescent="0.2"/>
    <row r="2553" customFormat="1" ht="12.75" x14ac:dyDescent="0.2"/>
    <row r="2554" customFormat="1" ht="12.75" x14ac:dyDescent="0.2"/>
    <row r="2555" customFormat="1" ht="12.75" x14ac:dyDescent="0.2"/>
    <row r="2556" customFormat="1" ht="12.75" x14ac:dyDescent="0.2"/>
    <row r="2557" customFormat="1" ht="12.75" x14ac:dyDescent="0.2"/>
    <row r="2558" customFormat="1" ht="12.75" x14ac:dyDescent="0.2"/>
    <row r="2559" customFormat="1" ht="12.75" x14ac:dyDescent="0.2"/>
    <row r="2560" customFormat="1" ht="12.75" x14ac:dyDescent="0.2"/>
    <row r="2561" customFormat="1" ht="12.75" x14ac:dyDescent="0.2"/>
    <row r="2562" customFormat="1" ht="12.75" x14ac:dyDescent="0.2"/>
    <row r="2563" customFormat="1" ht="12.75" x14ac:dyDescent="0.2"/>
    <row r="2564" customFormat="1" ht="12.75" x14ac:dyDescent="0.2"/>
    <row r="2565" customFormat="1" ht="12.75" x14ac:dyDescent="0.2"/>
    <row r="2566" customFormat="1" ht="12.75" x14ac:dyDescent="0.2"/>
    <row r="2567" customFormat="1" ht="12.75" x14ac:dyDescent="0.2"/>
    <row r="2568" customFormat="1" ht="12.75" x14ac:dyDescent="0.2"/>
    <row r="2569" customFormat="1" ht="12.75" x14ac:dyDescent="0.2"/>
    <row r="2570" customFormat="1" ht="12.75" x14ac:dyDescent="0.2"/>
    <row r="2571" customFormat="1" ht="12.75" x14ac:dyDescent="0.2"/>
    <row r="2572" customFormat="1" ht="12.75" x14ac:dyDescent="0.2"/>
    <row r="2573" customFormat="1" ht="12.75" x14ac:dyDescent="0.2"/>
    <row r="2574" customFormat="1" ht="12.75" x14ac:dyDescent="0.2"/>
    <row r="2575" customFormat="1" ht="12.75" x14ac:dyDescent="0.2"/>
    <row r="2576" customFormat="1" ht="12.75" x14ac:dyDescent="0.2"/>
    <row r="2577" customFormat="1" ht="12.75" x14ac:dyDescent="0.2"/>
    <row r="2578" customFormat="1" ht="12.75" x14ac:dyDescent="0.2"/>
    <row r="2579" customFormat="1" ht="12.75" x14ac:dyDescent="0.2"/>
    <row r="2580" customFormat="1" ht="12.75" x14ac:dyDescent="0.2"/>
    <row r="2581" customFormat="1" ht="12.75" x14ac:dyDescent="0.2"/>
    <row r="2582" customFormat="1" ht="12.75" x14ac:dyDescent="0.2"/>
    <row r="2583" customFormat="1" ht="12.75" x14ac:dyDescent="0.2"/>
    <row r="2584" customFormat="1" ht="12.75" x14ac:dyDescent="0.2"/>
    <row r="2585" customFormat="1" ht="12.75" x14ac:dyDescent="0.2"/>
    <row r="2586" customFormat="1" ht="12.75" x14ac:dyDescent="0.2"/>
    <row r="2587" customFormat="1" ht="12.75" x14ac:dyDescent="0.2"/>
    <row r="2588" customFormat="1" ht="12.75" x14ac:dyDescent="0.2"/>
    <row r="2589" customFormat="1" ht="12.75" x14ac:dyDescent="0.2"/>
    <row r="2590" customFormat="1" ht="12.75" x14ac:dyDescent="0.2"/>
    <row r="2591" customFormat="1" ht="12.75" x14ac:dyDescent="0.2"/>
    <row r="2592" customFormat="1" ht="12.75" x14ac:dyDescent="0.2"/>
    <row r="2593" customFormat="1" ht="12.75" x14ac:dyDescent="0.2"/>
    <row r="2594" customFormat="1" ht="12.75" x14ac:dyDescent="0.2"/>
    <row r="2595" customFormat="1" ht="12.75" x14ac:dyDescent="0.2"/>
    <row r="2596" customFormat="1" ht="12.75" x14ac:dyDescent="0.2"/>
    <row r="2597" customFormat="1" ht="12.75" x14ac:dyDescent="0.2"/>
    <row r="2598" customFormat="1" ht="12.75" x14ac:dyDescent="0.2"/>
    <row r="2599" customFormat="1" ht="12.75" x14ac:dyDescent="0.2"/>
    <row r="2600" customFormat="1" ht="12.75" x14ac:dyDescent="0.2"/>
    <row r="2601" customFormat="1" ht="12.75" x14ac:dyDescent="0.2"/>
    <row r="2602" customFormat="1" ht="12.75" x14ac:dyDescent="0.2"/>
    <row r="2603" customFormat="1" ht="12.75" x14ac:dyDescent="0.2"/>
    <row r="2604" customFormat="1" ht="12.75" x14ac:dyDescent="0.2"/>
    <row r="2605" customFormat="1" ht="12.75" x14ac:dyDescent="0.2"/>
    <row r="2606" customFormat="1" ht="12.75" x14ac:dyDescent="0.2"/>
    <row r="2607" customFormat="1" ht="12.75" x14ac:dyDescent="0.2"/>
    <row r="2608" customFormat="1" ht="12.75" x14ac:dyDescent="0.2"/>
    <row r="2609" customFormat="1" ht="12.75" x14ac:dyDescent="0.2"/>
    <row r="2610" customFormat="1" ht="12.75" x14ac:dyDescent="0.2"/>
    <row r="2611" customFormat="1" ht="12.75" x14ac:dyDescent="0.2"/>
    <row r="2612" customFormat="1" ht="12.75" x14ac:dyDescent="0.2"/>
    <row r="2613" customFormat="1" ht="12.75" x14ac:dyDescent="0.2"/>
    <row r="2614" customFormat="1" ht="12.75" x14ac:dyDescent="0.2"/>
    <row r="2615" customFormat="1" ht="12.75" x14ac:dyDescent="0.2"/>
    <row r="2616" customFormat="1" ht="12.75" x14ac:dyDescent="0.2"/>
    <row r="2617" customFormat="1" ht="12.75" x14ac:dyDescent="0.2"/>
    <row r="2618" customFormat="1" ht="12.75" x14ac:dyDescent="0.2"/>
    <row r="2619" customFormat="1" ht="12.75" x14ac:dyDescent="0.2"/>
    <row r="2620" customFormat="1" ht="12.75" x14ac:dyDescent="0.2"/>
    <row r="2621" customFormat="1" ht="12.75" x14ac:dyDescent="0.2"/>
    <row r="2622" customFormat="1" ht="12.75" x14ac:dyDescent="0.2"/>
    <row r="2623" customFormat="1" ht="12.75" x14ac:dyDescent="0.2"/>
    <row r="2624" customFormat="1" ht="12.75" x14ac:dyDescent="0.2"/>
    <row r="2625" customFormat="1" ht="12.75" x14ac:dyDescent="0.2"/>
    <row r="2626" customFormat="1" ht="12.75" x14ac:dyDescent="0.2"/>
    <row r="2627" customFormat="1" ht="12.75" x14ac:dyDescent="0.2"/>
    <row r="2628" customFormat="1" ht="12.75" x14ac:dyDescent="0.2"/>
    <row r="2629" customFormat="1" ht="12.75" x14ac:dyDescent="0.2"/>
    <row r="2630" customFormat="1" ht="12.75" x14ac:dyDescent="0.2"/>
    <row r="2631" customFormat="1" ht="12.75" x14ac:dyDescent="0.2"/>
    <row r="2632" customFormat="1" ht="12.75" x14ac:dyDescent="0.2"/>
    <row r="2633" customFormat="1" ht="12.75" x14ac:dyDescent="0.2"/>
    <row r="2634" customFormat="1" ht="12.75" x14ac:dyDescent="0.2"/>
    <row r="2635" customFormat="1" ht="12.75" x14ac:dyDescent="0.2"/>
    <row r="2636" customFormat="1" ht="12.75" x14ac:dyDescent="0.2"/>
    <row r="2637" customFormat="1" ht="12.75" x14ac:dyDescent="0.2"/>
    <row r="2638" customFormat="1" ht="12.75" x14ac:dyDescent="0.2"/>
    <row r="2639" customFormat="1" ht="12.75" x14ac:dyDescent="0.2"/>
    <row r="2640" customFormat="1" ht="12.75" x14ac:dyDescent="0.2"/>
    <row r="2641" customFormat="1" ht="12.75" x14ac:dyDescent="0.2"/>
    <row r="2642" customFormat="1" ht="12.75" x14ac:dyDescent="0.2"/>
    <row r="2643" customFormat="1" ht="12.75" x14ac:dyDescent="0.2"/>
    <row r="2644" customFormat="1" ht="12.75" x14ac:dyDescent="0.2"/>
    <row r="2645" customFormat="1" ht="12.75" x14ac:dyDescent="0.2"/>
    <row r="2646" customFormat="1" ht="12.75" x14ac:dyDescent="0.2"/>
    <row r="2647" customFormat="1" ht="12.75" x14ac:dyDescent="0.2"/>
    <row r="2648" customFormat="1" ht="12.75" x14ac:dyDescent="0.2"/>
    <row r="2649" customFormat="1" ht="12.75" x14ac:dyDescent="0.2"/>
    <row r="2650" customFormat="1" ht="12.75" x14ac:dyDescent="0.2"/>
    <row r="2651" customFormat="1" ht="12.75" x14ac:dyDescent="0.2"/>
    <row r="2652" customFormat="1" ht="12.75" x14ac:dyDescent="0.2"/>
    <row r="2653" customFormat="1" ht="12.75" x14ac:dyDescent="0.2"/>
    <row r="2654" customFormat="1" ht="12.75" x14ac:dyDescent="0.2"/>
    <row r="2655" customFormat="1" ht="12.75" x14ac:dyDescent="0.2"/>
    <row r="2656" customFormat="1" ht="12.75" x14ac:dyDescent="0.2"/>
    <row r="2657" customFormat="1" ht="12.75" x14ac:dyDescent="0.2"/>
    <row r="2658" customFormat="1" ht="12.75" x14ac:dyDescent="0.2"/>
    <row r="2659" customFormat="1" ht="12.75" x14ac:dyDescent="0.2"/>
    <row r="2660" customFormat="1" ht="12.75" x14ac:dyDescent="0.2"/>
    <row r="2661" customFormat="1" ht="12.75" x14ac:dyDescent="0.2"/>
    <row r="2662" customFormat="1" ht="12.75" x14ac:dyDescent="0.2"/>
    <row r="2663" customFormat="1" ht="12.75" x14ac:dyDescent="0.2"/>
    <row r="2664" customFormat="1" ht="12.75" x14ac:dyDescent="0.2"/>
    <row r="2665" customFormat="1" ht="12.75" x14ac:dyDescent="0.2"/>
    <row r="2666" customFormat="1" ht="12.75" x14ac:dyDescent="0.2"/>
    <row r="2667" customFormat="1" ht="12.75" x14ac:dyDescent="0.2"/>
    <row r="2668" customFormat="1" ht="12.75" x14ac:dyDescent="0.2"/>
    <row r="2669" customFormat="1" ht="12.75" x14ac:dyDescent="0.2"/>
    <row r="2670" customFormat="1" ht="12.75" x14ac:dyDescent="0.2"/>
    <row r="2671" customFormat="1" ht="12.75" x14ac:dyDescent="0.2"/>
    <row r="2672" customFormat="1" ht="12.75" x14ac:dyDescent="0.2"/>
    <row r="2673" customFormat="1" ht="12.75" x14ac:dyDescent="0.2"/>
    <row r="2674" customFormat="1" ht="12.75" x14ac:dyDescent="0.2"/>
    <row r="2675" customFormat="1" ht="12.75" x14ac:dyDescent="0.2"/>
    <row r="2676" customFormat="1" ht="12.75" x14ac:dyDescent="0.2"/>
    <row r="2677" customFormat="1" ht="12.75" x14ac:dyDescent="0.2"/>
    <row r="2678" customFormat="1" ht="12.75" x14ac:dyDescent="0.2"/>
    <row r="2679" customFormat="1" ht="12.75" x14ac:dyDescent="0.2"/>
    <row r="2680" customFormat="1" ht="12.75" x14ac:dyDescent="0.2"/>
    <row r="2681" customFormat="1" ht="12.75" x14ac:dyDescent="0.2"/>
    <row r="2682" customFormat="1" ht="12.75" x14ac:dyDescent="0.2"/>
    <row r="2683" customFormat="1" ht="12.75" x14ac:dyDescent="0.2"/>
    <row r="2684" customFormat="1" ht="12.75" x14ac:dyDescent="0.2"/>
    <row r="2685" customFormat="1" ht="12.75" x14ac:dyDescent="0.2"/>
    <row r="2686" customFormat="1" ht="12.75" x14ac:dyDescent="0.2"/>
    <row r="2687" customFormat="1" ht="12.75" x14ac:dyDescent="0.2"/>
    <row r="2688" customFormat="1" ht="12.75" x14ac:dyDescent="0.2"/>
    <row r="2689" customFormat="1" ht="12.75" x14ac:dyDescent="0.2"/>
    <row r="2690" customFormat="1" ht="12.75" x14ac:dyDescent="0.2"/>
    <row r="2691" customFormat="1" ht="12.75" x14ac:dyDescent="0.2"/>
    <row r="2692" customFormat="1" ht="12.75" x14ac:dyDescent="0.2"/>
    <row r="2693" customFormat="1" ht="12.75" x14ac:dyDescent="0.2"/>
    <row r="2694" customFormat="1" ht="12.75" x14ac:dyDescent="0.2"/>
    <row r="2695" customFormat="1" ht="12.75" x14ac:dyDescent="0.2"/>
    <row r="2696" customFormat="1" ht="12.75" x14ac:dyDescent="0.2"/>
    <row r="2697" customFormat="1" ht="12.75" x14ac:dyDescent="0.2"/>
    <row r="2698" customFormat="1" ht="12.75" x14ac:dyDescent="0.2"/>
    <row r="2699" customFormat="1" ht="12.75" x14ac:dyDescent="0.2"/>
    <row r="2700" customFormat="1" ht="12.75" x14ac:dyDescent="0.2"/>
    <row r="2701" customFormat="1" ht="12.75" x14ac:dyDescent="0.2"/>
    <row r="2702" customFormat="1" ht="12.75" x14ac:dyDescent="0.2"/>
    <row r="2703" customFormat="1" ht="12.75" x14ac:dyDescent="0.2"/>
    <row r="2704" customFormat="1" ht="12.75" x14ac:dyDescent="0.2"/>
    <row r="2705" customFormat="1" ht="12.75" x14ac:dyDescent="0.2"/>
    <row r="2706" customFormat="1" ht="12.75" x14ac:dyDescent="0.2"/>
    <row r="2707" customFormat="1" ht="12.75" x14ac:dyDescent="0.2"/>
    <row r="2708" customFormat="1" ht="12.75" x14ac:dyDescent="0.2"/>
    <row r="2709" customFormat="1" ht="12.75" x14ac:dyDescent="0.2"/>
    <row r="2710" customFormat="1" ht="12.75" x14ac:dyDescent="0.2"/>
    <row r="2711" customFormat="1" ht="12.75" x14ac:dyDescent="0.2"/>
    <row r="2712" customFormat="1" ht="12.75" x14ac:dyDescent="0.2"/>
    <row r="2713" customFormat="1" ht="12.75" x14ac:dyDescent="0.2"/>
    <row r="2714" customFormat="1" ht="12.75" x14ac:dyDescent="0.2"/>
    <row r="2715" customFormat="1" ht="12.75" x14ac:dyDescent="0.2"/>
    <row r="2716" customFormat="1" ht="12.75" x14ac:dyDescent="0.2"/>
    <row r="2717" customFormat="1" ht="12.75" x14ac:dyDescent="0.2"/>
    <row r="2718" customFormat="1" ht="12.75" x14ac:dyDescent="0.2"/>
    <row r="2719" customFormat="1" ht="12.75" x14ac:dyDescent="0.2"/>
    <row r="2720" customFormat="1" ht="12.75" x14ac:dyDescent="0.2"/>
    <row r="2721" customFormat="1" ht="12.75" x14ac:dyDescent="0.2"/>
    <row r="2722" customFormat="1" ht="12.75" x14ac:dyDescent="0.2"/>
    <row r="2723" customFormat="1" ht="12.75" x14ac:dyDescent="0.2"/>
    <row r="2724" customFormat="1" ht="12.75" x14ac:dyDescent="0.2"/>
    <row r="2725" customFormat="1" ht="12.75" x14ac:dyDescent="0.2"/>
    <row r="2726" customFormat="1" ht="12.75" x14ac:dyDescent="0.2"/>
    <row r="2727" customFormat="1" ht="12.75" x14ac:dyDescent="0.2"/>
    <row r="2728" customFormat="1" ht="12.75" x14ac:dyDescent="0.2"/>
    <row r="2729" customFormat="1" ht="12.75" x14ac:dyDescent="0.2"/>
    <row r="2730" customFormat="1" ht="12.75" x14ac:dyDescent="0.2"/>
    <row r="2731" customFormat="1" ht="12.75" x14ac:dyDescent="0.2"/>
    <row r="2732" customFormat="1" ht="12.75" x14ac:dyDescent="0.2"/>
    <row r="2733" customFormat="1" ht="12.75" x14ac:dyDescent="0.2"/>
    <row r="2734" customFormat="1" ht="12.75" x14ac:dyDescent="0.2"/>
    <row r="2735" customFormat="1" ht="12.75" x14ac:dyDescent="0.2"/>
    <row r="2736" customFormat="1" ht="12.75" x14ac:dyDescent="0.2"/>
    <row r="2737" customFormat="1" ht="12.75" x14ac:dyDescent="0.2"/>
    <row r="2738" customFormat="1" ht="12.75" x14ac:dyDescent="0.2"/>
    <row r="2739" customFormat="1" ht="12.75" x14ac:dyDescent="0.2"/>
    <row r="2740" customFormat="1" ht="12.75" x14ac:dyDescent="0.2"/>
    <row r="2741" customFormat="1" ht="12.75" x14ac:dyDescent="0.2"/>
    <row r="2742" customFormat="1" ht="12.75" x14ac:dyDescent="0.2"/>
    <row r="2743" customFormat="1" ht="12.75" x14ac:dyDescent="0.2"/>
    <row r="2744" customFormat="1" ht="12.75" x14ac:dyDescent="0.2"/>
    <row r="2745" customFormat="1" ht="12.75" x14ac:dyDescent="0.2"/>
    <row r="2746" customFormat="1" ht="12.75" x14ac:dyDescent="0.2"/>
    <row r="2747" customFormat="1" ht="12.75" x14ac:dyDescent="0.2"/>
    <row r="2748" customFormat="1" ht="12.75" x14ac:dyDescent="0.2"/>
    <row r="2749" customFormat="1" ht="12.75" x14ac:dyDescent="0.2"/>
    <row r="2750" customFormat="1" ht="12.75" x14ac:dyDescent="0.2"/>
    <row r="2751" customFormat="1" ht="12.75" x14ac:dyDescent="0.2"/>
    <row r="2752" customFormat="1" ht="12.75" x14ac:dyDescent="0.2"/>
    <row r="2753" customFormat="1" ht="12.75" x14ac:dyDescent="0.2"/>
    <row r="2754" customFormat="1" ht="12.75" x14ac:dyDescent="0.2"/>
    <row r="2755" customFormat="1" ht="12.75" x14ac:dyDescent="0.2"/>
    <row r="2756" customFormat="1" ht="12.75" x14ac:dyDescent="0.2"/>
    <row r="2757" customFormat="1" ht="12.75" x14ac:dyDescent="0.2"/>
    <row r="2758" customFormat="1" ht="12.75" x14ac:dyDescent="0.2"/>
    <row r="2759" customFormat="1" ht="12.75" x14ac:dyDescent="0.2"/>
    <row r="2760" customFormat="1" ht="12.75" x14ac:dyDescent="0.2"/>
    <row r="2761" customFormat="1" ht="12.75" x14ac:dyDescent="0.2"/>
    <row r="2762" customFormat="1" ht="12.75" x14ac:dyDescent="0.2"/>
    <row r="2763" customFormat="1" ht="12.75" x14ac:dyDescent="0.2"/>
    <row r="2764" customFormat="1" ht="12.75" x14ac:dyDescent="0.2"/>
    <row r="2765" customFormat="1" ht="12.75" x14ac:dyDescent="0.2"/>
    <row r="2766" customFormat="1" ht="12.75" x14ac:dyDescent="0.2"/>
    <row r="2767" customFormat="1" ht="12.75" x14ac:dyDescent="0.2"/>
    <row r="2768" customFormat="1" ht="12.75" x14ac:dyDescent="0.2"/>
    <row r="2769" customFormat="1" ht="12.75" x14ac:dyDescent="0.2"/>
    <row r="2770" customFormat="1" ht="12.75" x14ac:dyDescent="0.2"/>
    <row r="2771" customFormat="1" ht="12.75" x14ac:dyDescent="0.2"/>
    <row r="2772" customFormat="1" ht="12.75" x14ac:dyDescent="0.2"/>
    <row r="2773" customFormat="1" ht="12.75" x14ac:dyDescent="0.2"/>
    <row r="2774" customFormat="1" ht="12.75" x14ac:dyDescent="0.2"/>
    <row r="2775" customFormat="1" ht="12.75" x14ac:dyDescent="0.2"/>
    <row r="2776" customFormat="1" ht="12.75" x14ac:dyDescent="0.2"/>
    <row r="2777" customFormat="1" ht="12.75" x14ac:dyDescent="0.2"/>
    <row r="2778" customFormat="1" ht="12.75" x14ac:dyDescent="0.2"/>
    <row r="2779" customFormat="1" ht="12.75" x14ac:dyDescent="0.2"/>
    <row r="2780" customFormat="1" ht="12.75" x14ac:dyDescent="0.2"/>
    <row r="2781" customFormat="1" ht="12.75" x14ac:dyDescent="0.2"/>
    <row r="2782" customFormat="1" ht="12.75" x14ac:dyDescent="0.2"/>
    <row r="2783" customFormat="1" ht="12.75" x14ac:dyDescent="0.2"/>
    <row r="2784" customFormat="1" ht="12.75" x14ac:dyDescent="0.2"/>
    <row r="2785" customFormat="1" ht="12.75" x14ac:dyDescent="0.2"/>
    <row r="2786" customFormat="1" ht="12.75" x14ac:dyDescent="0.2"/>
    <row r="2787" customFormat="1" ht="12.75" x14ac:dyDescent="0.2"/>
    <row r="2788" customFormat="1" ht="12.75" x14ac:dyDescent="0.2"/>
    <row r="2789" customFormat="1" ht="12.75" x14ac:dyDescent="0.2"/>
    <row r="2790" customFormat="1" ht="12.75" x14ac:dyDescent="0.2"/>
    <row r="2791" customFormat="1" ht="12.75" x14ac:dyDescent="0.2"/>
    <row r="2792" customFormat="1" ht="12.75" x14ac:dyDescent="0.2"/>
    <row r="2793" customFormat="1" ht="12.75" x14ac:dyDescent="0.2"/>
    <row r="2794" customFormat="1" ht="12.75" x14ac:dyDescent="0.2"/>
    <row r="2795" customFormat="1" ht="12.75" x14ac:dyDescent="0.2"/>
    <row r="2796" customFormat="1" ht="12.75" x14ac:dyDescent="0.2"/>
    <row r="2797" customFormat="1" ht="12.75" x14ac:dyDescent="0.2"/>
    <row r="2798" customFormat="1" ht="12.75" x14ac:dyDescent="0.2"/>
    <row r="2799" customFormat="1" ht="12.75" x14ac:dyDescent="0.2"/>
    <row r="2800" customFormat="1" ht="12.75" x14ac:dyDescent="0.2"/>
    <row r="2801" customFormat="1" ht="12.75" x14ac:dyDescent="0.2"/>
    <row r="2802" customFormat="1" ht="12.75" x14ac:dyDescent="0.2"/>
    <row r="2803" customFormat="1" ht="12.75" x14ac:dyDescent="0.2"/>
    <row r="2804" customFormat="1" ht="12.75" x14ac:dyDescent="0.2"/>
    <row r="2805" customFormat="1" ht="12.75" x14ac:dyDescent="0.2"/>
    <row r="2806" customFormat="1" ht="12.75" x14ac:dyDescent="0.2"/>
    <row r="2807" customFormat="1" ht="12.75" x14ac:dyDescent="0.2"/>
    <row r="2808" customFormat="1" ht="12.75" x14ac:dyDescent="0.2"/>
    <row r="2809" customFormat="1" ht="12.75" x14ac:dyDescent="0.2"/>
    <row r="2810" customFormat="1" ht="12.75" x14ac:dyDescent="0.2"/>
    <row r="2811" customFormat="1" ht="12.75" x14ac:dyDescent="0.2"/>
    <row r="2812" customFormat="1" ht="12.75" x14ac:dyDescent="0.2"/>
    <row r="2813" customFormat="1" ht="12.75" x14ac:dyDescent="0.2"/>
    <row r="2814" customFormat="1" ht="12.75" x14ac:dyDescent="0.2"/>
    <row r="2815" customFormat="1" ht="12.75" x14ac:dyDescent="0.2"/>
    <row r="2816" customFormat="1" ht="12.75" x14ac:dyDescent="0.2"/>
    <row r="2817" customFormat="1" ht="12.75" x14ac:dyDescent="0.2"/>
    <row r="2818" customFormat="1" ht="12.75" x14ac:dyDescent="0.2"/>
    <row r="2819" customFormat="1" ht="12.75" x14ac:dyDescent="0.2"/>
    <row r="2820" customFormat="1" ht="12.75" x14ac:dyDescent="0.2"/>
    <row r="2821" customFormat="1" ht="12.75" x14ac:dyDescent="0.2"/>
    <row r="2822" customFormat="1" ht="12.75" x14ac:dyDescent="0.2"/>
    <row r="2823" customFormat="1" ht="12.75" x14ac:dyDescent="0.2"/>
    <row r="2824" customFormat="1" ht="12.75" x14ac:dyDescent="0.2"/>
    <row r="2825" customFormat="1" ht="12.75" x14ac:dyDescent="0.2"/>
    <row r="2826" customFormat="1" ht="12.75" x14ac:dyDescent="0.2"/>
    <row r="2827" customFormat="1" ht="12.75" x14ac:dyDescent="0.2"/>
    <row r="2828" customFormat="1" ht="12.75" x14ac:dyDescent="0.2"/>
    <row r="2829" customFormat="1" ht="12.75" x14ac:dyDescent="0.2"/>
    <row r="2830" customFormat="1" ht="12.75" x14ac:dyDescent="0.2"/>
    <row r="2831" customFormat="1" ht="12.75" x14ac:dyDescent="0.2"/>
    <row r="2832" customFormat="1" ht="12.75" x14ac:dyDescent="0.2"/>
    <row r="2833" customFormat="1" ht="12.75" x14ac:dyDescent="0.2"/>
    <row r="2834" customFormat="1" ht="12.75" x14ac:dyDescent="0.2"/>
    <row r="2835" customFormat="1" ht="12.75" x14ac:dyDescent="0.2"/>
    <row r="2836" customFormat="1" ht="12.75" x14ac:dyDescent="0.2"/>
    <row r="2837" customFormat="1" ht="12.75" x14ac:dyDescent="0.2"/>
    <row r="2838" customFormat="1" ht="12.75" x14ac:dyDescent="0.2"/>
    <row r="2839" customFormat="1" ht="12.75" x14ac:dyDescent="0.2"/>
    <row r="2840" customFormat="1" ht="12.75" x14ac:dyDescent="0.2"/>
    <row r="2841" customFormat="1" ht="12.75" x14ac:dyDescent="0.2"/>
    <row r="2842" customFormat="1" ht="12.75" x14ac:dyDescent="0.2"/>
    <row r="2843" customFormat="1" ht="12.75" x14ac:dyDescent="0.2"/>
    <row r="2844" customFormat="1" ht="12.75" x14ac:dyDescent="0.2"/>
    <row r="2845" customFormat="1" ht="12.75" x14ac:dyDescent="0.2"/>
    <row r="2846" customFormat="1" ht="12.75" x14ac:dyDescent="0.2"/>
    <row r="2847" customFormat="1" ht="12.75" x14ac:dyDescent="0.2"/>
    <row r="2848" customFormat="1" ht="12.75" x14ac:dyDescent="0.2"/>
    <row r="2849" customFormat="1" ht="12.75" x14ac:dyDescent="0.2"/>
    <row r="2850" customFormat="1" ht="12.75" x14ac:dyDescent="0.2"/>
    <row r="2851" customFormat="1" ht="12.75" x14ac:dyDescent="0.2"/>
    <row r="2852" customFormat="1" ht="12.75" x14ac:dyDescent="0.2"/>
    <row r="2853" customFormat="1" ht="12.75" x14ac:dyDescent="0.2"/>
    <row r="2854" customFormat="1" ht="12.75" x14ac:dyDescent="0.2"/>
    <row r="2855" customFormat="1" ht="12.75" x14ac:dyDescent="0.2"/>
    <row r="2856" customFormat="1" ht="12.75" x14ac:dyDescent="0.2"/>
    <row r="2857" customFormat="1" ht="12.75" x14ac:dyDescent="0.2"/>
    <row r="2858" customFormat="1" ht="12.75" x14ac:dyDescent="0.2"/>
    <row r="2859" customFormat="1" ht="12.75" x14ac:dyDescent="0.2"/>
    <row r="2860" customFormat="1" ht="12.75" x14ac:dyDescent="0.2"/>
    <row r="2861" customFormat="1" ht="12.75" x14ac:dyDescent="0.2"/>
    <row r="2862" customFormat="1" ht="12.75" x14ac:dyDescent="0.2"/>
    <row r="2863" customFormat="1" ht="12.75" x14ac:dyDescent="0.2"/>
    <row r="2864" customFormat="1" ht="12.75" x14ac:dyDescent="0.2"/>
    <row r="2865" customFormat="1" ht="12.75" x14ac:dyDescent="0.2"/>
    <row r="2866" customFormat="1" ht="12.75" x14ac:dyDescent="0.2"/>
    <row r="2867" customFormat="1" ht="12.75" x14ac:dyDescent="0.2"/>
    <row r="2868" customFormat="1" ht="12.75" x14ac:dyDescent="0.2"/>
    <row r="2869" customFormat="1" ht="12.75" x14ac:dyDescent="0.2"/>
    <row r="2870" customFormat="1" ht="12.75" x14ac:dyDescent="0.2"/>
    <row r="2871" customFormat="1" ht="12.75" x14ac:dyDescent="0.2"/>
    <row r="2872" customFormat="1" ht="12.75" x14ac:dyDescent="0.2"/>
    <row r="2873" customFormat="1" ht="12.75" x14ac:dyDescent="0.2"/>
    <row r="2874" customFormat="1" ht="12.75" x14ac:dyDescent="0.2"/>
    <row r="2875" customFormat="1" ht="12.75" x14ac:dyDescent="0.2"/>
    <row r="2876" customFormat="1" ht="12.75" x14ac:dyDescent="0.2"/>
    <row r="2877" customFormat="1" ht="12.75" x14ac:dyDescent="0.2"/>
    <row r="2878" customFormat="1" ht="12.75" x14ac:dyDescent="0.2"/>
    <row r="2879" customFormat="1" ht="12.75" x14ac:dyDescent="0.2"/>
    <row r="2880" customFormat="1" ht="12.75" x14ac:dyDescent="0.2"/>
    <row r="2881" customFormat="1" ht="12.75" x14ac:dyDescent="0.2"/>
    <row r="2882" customFormat="1" ht="12.75" x14ac:dyDescent="0.2"/>
    <row r="2883" customFormat="1" ht="12.75" x14ac:dyDescent="0.2"/>
    <row r="2884" customFormat="1" ht="12.75" x14ac:dyDescent="0.2"/>
    <row r="2885" customFormat="1" ht="12.75" x14ac:dyDescent="0.2"/>
    <row r="2886" customFormat="1" ht="12.75" x14ac:dyDescent="0.2"/>
    <row r="2887" customFormat="1" ht="12.75" x14ac:dyDescent="0.2"/>
    <row r="2888" customFormat="1" ht="12.75" x14ac:dyDescent="0.2"/>
    <row r="2889" customFormat="1" ht="12.75" x14ac:dyDescent="0.2"/>
    <row r="2890" customFormat="1" ht="12.75" x14ac:dyDescent="0.2"/>
    <row r="2891" customFormat="1" ht="12.75" x14ac:dyDescent="0.2"/>
    <row r="2892" customFormat="1" ht="12.75" x14ac:dyDescent="0.2"/>
    <row r="2893" customFormat="1" ht="12.75" x14ac:dyDescent="0.2"/>
    <row r="2894" customFormat="1" ht="12.75" x14ac:dyDescent="0.2"/>
    <row r="2895" customFormat="1" ht="12.75" x14ac:dyDescent="0.2"/>
    <row r="2896" customFormat="1" ht="12.75" x14ac:dyDescent="0.2"/>
    <row r="2897" customFormat="1" ht="12.75" x14ac:dyDescent="0.2"/>
    <row r="2898" customFormat="1" ht="12.75" x14ac:dyDescent="0.2"/>
    <row r="2899" customFormat="1" ht="12.75" x14ac:dyDescent="0.2"/>
    <row r="2900" customFormat="1" ht="12.75" x14ac:dyDescent="0.2"/>
    <row r="2901" customFormat="1" ht="12.75" x14ac:dyDescent="0.2"/>
    <row r="2902" customFormat="1" ht="12.75" x14ac:dyDescent="0.2"/>
    <row r="2903" customFormat="1" ht="12.75" x14ac:dyDescent="0.2"/>
    <row r="2904" customFormat="1" ht="12.75" x14ac:dyDescent="0.2"/>
    <row r="2905" customFormat="1" ht="12.75" x14ac:dyDescent="0.2"/>
    <row r="2906" customFormat="1" ht="12.75" x14ac:dyDescent="0.2"/>
    <row r="2907" customFormat="1" ht="12.75" x14ac:dyDescent="0.2"/>
    <row r="2908" customFormat="1" ht="12.75" x14ac:dyDescent="0.2"/>
    <row r="2909" customFormat="1" ht="12.75" x14ac:dyDescent="0.2"/>
    <row r="2910" customFormat="1" ht="12.75" x14ac:dyDescent="0.2"/>
    <row r="2911" customFormat="1" ht="12.75" x14ac:dyDescent="0.2"/>
    <row r="2912" customFormat="1" ht="12.75" x14ac:dyDescent="0.2"/>
    <row r="2913" customFormat="1" ht="12.75" x14ac:dyDescent="0.2"/>
    <row r="2914" customFormat="1" ht="12.75" x14ac:dyDescent="0.2"/>
    <row r="2915" customFormat="1" ht="12.75" x14ac:dyDescent="0.2"/>
    <row r="2916" customFormat="1" ht="12.75" x14ac:dyDescent="0.2"/>
    <row r="2917" customFormat="1" ht="12.75" x14ac:dyDescent="0.2"/>
    <row r="2918" customFormat="1" ht="12.75" x14ac:dyDescent="0.2"/>
    <row r="2919" customFormat="1" ht="12.75" x14ac:dyDescent="0.2"/>
    <row r="2920" customFormat="1" ht="12.75" x14ac:dyDescent="0.2"/>
    <row r="2921" customFormat="1" ht="12.75" x14ac:dyDescent="0.2"/>
    <row r="2922" customFormat="1" ht="12.75" x14ac:dyDescent="0.2"/>
    <row r="2923" customFormat="1" ht="12.75" x14ac:dyDescent="0.2"/>
    <row r="2924" customFormat="1" ht="12.75" x14ac:dyDescent="0.2"/>
    <row r="2925" customFormat="1" ht="12.75" x14ac:dyDescent="0.2"/>
    <row r="2926" customFormat="1" ht="12.75" x14ac:dyDescent="0.2"/>
    <row r="2927" customFormat="1" ht="12.75" x14ac:dyDescent="0.2"/>
    <row r="2928" customFormat="1" ht="12.75" x14ac:dyDescent="0.2"/>
    <row r="2929" customFormat="1" ht="12.75" x14ac:dyDescent="0.2"/>
    <row r="2930" customFormat="1" ht="12.75" x14ac:dyDescent="0.2"/>
    <row r="2931" customFormat="1" ht="12.75" x14ac:dyDescent="0.2"/>
    <row r="2932" customFormat="1" ht="12.75" x14ac:dyDescent="0.2"/>
    <row r="2933" customFormat="1" ht="12.75" x14ac:dyDescent="0.2"/>
    <row r="2934" customFormat="1" ht="12.75" x14ac:dyDescent="0.2"/>
    <row r="2935" customFormat="1" ht="12.75" x14ac:dyDescent="0.2"/>
    <row r="2936" customFormat="1" ht="12.75" x14ac:dyDescent="0.2"/>
    <row r="2937" customFormat="1" ht="12.75" x14ac:dyDescent="0.2"/>
    <row r="2938" customFormat="1" ht="12.75" x14ac:dyDescent="0.2"/>
    <row r="2939" customFormat="1" ht="12.75" x14ac:dyDescent="0.2"/>
    <row r="2940" customFormat="1" ht="12.75" x14ac:dyDescent="0.2"/>
    <row r="2941" customFormat="1" ht="12.75" x14ac:dyDescent="0.2"/>
    <row r="2942" customFormat="1" ht="12.75" x14ac:dyDescent="0.2"/>
    <row r="2943" customFormat="1" ht="12.75" x14ac:dyDescent="0.2"/>
    <row r="2944" customFormat="1" ht="12.75" x14ac:dyDescent="0.2"/>
    <row r="2945" customFormat="1" ht="12.75" x14ac:dyDescent="0.2"/>
    <row r="2946" customFormat="1" ht="12.75" x14ac:dyDescent="0.2"/>
    <row r="2947" customFormat="1" ht="12.75" x14ac:dyDescent="0.2"/>
    <row r="2948" customFormat="1" ht="12.75" x14ac:dyDescent="0.2"/>
    <row r="2949" customFormat="1" ht="12.75" x14ac:dyDescent="0.2"/>
    <row r="2950" customFormat="1" ht="12.75" x14ac:dyDescent="0.2"/>
    <row r="2951" customFormat="1" ht="12.75" x14ac:dyDescent="0.2"/>
    <row r="2952" customFormat="1" ht="12.75" x14ac:dyDescent="0.2"/>
    <row r="2953" customFormat="1" ht="12.75" x14ac:dyDescent="0.2"/>
    <row r="2954" customFormat="1" ht="12.75" x14ac:dyDescent="0.2"/>
    <row r="2955" customFormat="1" ht="12.75" x14ac:dyDescent="0.2"/>
    <row r="2956" customFormat="1" ht="12.75" x14ac:dyDescent="0.2"/>
    <row r="2957" customFormat="1" ht="12.75" x14ac:dyDescent="0.2"/>
    <row r="2958" customFormat="1" ht="12.75" x14ac:dyDescent="0.2"/>
    <row r="2959" customFormat="1" ht="12.75" x14ac:dyDescent="0.2"/>
    <row r="2960" customFormat="1" ht="12.75" x14ac:dyDescent="0.2"/>
    <row r="2961" customFormat="1" ht="12.75" x14ac:dyDescent="0.2"/>
    <row r="2962" customFormat="1" ht="12.75" x14ac:dyDescent="0.2"/>
    <row r="2963" customFormat="1" ht="12.75" x14ac:dyDescent="0.2"/>
    <row r="2964" customFormat="1" ht="12.75" x14ac:dyDescent="0.2"/>
    <row r="2965" customFormat="1" ht="12.75" x14ac:dyDescent="0.2"/>
    <row r="2966" customFormat="1" ht="12.75" x14ac:dyDescent="0.2"/>
    <row r="2967" customFormat="1" ht="12.75" x14ac:dyDescent="0.2"/>
    <row r="2968" customFormat="1" ht="12.75" x14ac:dyDescent="0.2"/>
    <row r="2969" customFormat="1" ht="12.75" x14ac:dyDescent="0.2"/>
    <row r="2970" customFormat="1" ht="12.75" x14ac:dyDescent="0.2"/>
    <row r="2971" customFormat="1" ht="12.75" x14ac:dyDescent="0.2"/>
    <row r="2972" customFormat="1" ht="12.75" x14ac:dyDescent="0.2"/>
    <row r="2973" customFormat="1" ht="12.75" x14ac:dyDescent="0.2"/>
    <row r="2974" customFormat="1" ht="12.75" x14ac:dyDescent="0.2"/>
    <row r="2975" customFormat="1" ht="12.75" x14ac:dyDescent="0.2"/>
    <row r="2976" customFormat="1" ht="12.75" x14ac:dyDescent="0.2"/>
    <row r="2977" customFormat="1" ht="12.75" x14ac:dyDescent="0.2"/>
    <row r="2978" customFormat="1" ht="12.75" x14ac:dyDescent="0.2"/>
    <row r="2979" customFormat="1" ht="12.75" x14ac:dyDescent="0.2"/>
    <row r="2980" customFormat="1" ht="12.75" x14ac:dyDescent="0.2"/>
    <row r="2981" customFormat="1" ht="12.75" x14ac:dyDescent="0.2"/>
    <row r="2982" customFormat="1" ht="12.75" x14ac:dyDescent="0.2"/>
    <row r="2983" customFormat="1" ht="12.75" x14ac:dyDescent="0.2"/>
    <row r="2984" customFormat="1" ht="12.75" x14ac:dyDescent="0.2"/>
    <row r="2985" customFormat="1" ht="12.75" x14ac:dyDescent="0.2"/>
    <row r="2986" customFormat="1" ht="12.75" x14ac:dyDescent="0.2"/>
    <row r="2987" customFormat="1" ht="12.75" x14ac:dyDescent="0.2"/>
    <row r="2988" customFormat="1" ht="12.75" x14ac:dyDescent="0.2"/>
    <row r="2989" customFormat="1" ht="12.75" x14ac:dyDescent="0.2"/>
    <row r="2990" customFormat="1" ht="12.75" x14ac:dyDescent="0.2"/>
    <row r="2991" customFormat="1" ht="12.75" x14ac:dyDescent="0.2"/>
    <row r="2992" customFormat="1" ht="12.75" x14ac:dyDescent="0.2"/>
    <row r="2993" customFormat="1" ht="12.75" x14ac:dyDescent="0.2"/>
    <row r="2994" customFormat="1" ht="12.75" x14ac:dyDescent="0.2"/>
    <row r="2995" customFormat="1" ht="12.75" x14ac:dyDescent="0.2"/>
    <row r="2996" customFormat="1" ht="12.75" x14ac:dyDescent="0.2"/>
    <row r="2997" customFormat="1" ht="12.75" x14ac:dyDescent="0.2"/>
    <row r="2998" customFormat="1" ht="12.75" x14ac:dyDescent="0.2"/>
    <row r="2999" customFormat="1" ht="12.75" x14ac:dyDescent="0.2"/>
    <row r="3000" customFormat="1" ht="12.75" x14ac:dyDescent="0.2"/>
    <row r="3001" customFormat="1" ht="12.75" x14ac:dyDescent="0.2"/>
    <row r="3002" customFormat="1" ht="12.75" x14ac:dyDescent="0.2"/>
    <row r="3003" customFormat="1" ht="12.75" x14ac:dyDescent="0.2"/>
    <row r="3004" customFormat="1" ht="12.75" x14ac:dyDescent="0.2"/>
    <row r="3005" customFormat="1" ht="12.75" x14ac:dyDescent="0.2"/>
    <row r="3006" customFormat="1" ht="12.75" x14ac:dyDescent="0.2"/>
    <row r="3007" customFormat="1" ht="12.75" x14ac:dyDescent="0.2"/>
    <row r="3008" customFormat="1" ht="12.75" x14ac:dyDescent="0.2"/>
    <row r="3009" customFormat="1" ht="12.75" x14ac:dyDescent="0.2"/>
    <row r="3010" customFormat="1" ht="12.75" x14ac:dyDescent="0.2"/>
    <row r="3011" customFormat="1" ht="12.75" x14ac:dyDescent="0.2"/>
    <row r="3012" customFormat="1" ht="12.75" x14ac:dyDescent="0.2"/>
    <row r="3013" customFormat="1" ht="12.75" x14ac:dyDescent="0.2"/>
    <row r="3014" customFormat="1" ht="12.75" x14ac:dyDescent="0.2"/>
    <row r="3015" customFormat="1" ht="12.75" x14ac:dyDescent="0.2"/>
    <row r="3016" customFormat="1" ht="12.75" x14ac:dyDescent="0.2"/>
    <row r="3017" customFormat="1" ht="12.75" x14ac:dyDescent="0.2"/>
    <row r="3018" customFormat="1" ht="12.75" x14ac:dyDescent="0.2"/>
    <row r="3019" customFormat="1" ht="12.75" x14ac:dyDescent="0.2"/>
    <row r="3020" customFormat="1" ht="12.75" x14ac:dyDescent="0.2"/>
    <row r="3021" customFormat="1" ht="12.75" x14ac:dyDescent="0.2"/>
    <row r="3022" customFormat="1" ht="12.75" x14ac:dyDescent="0.2"/>
    <row r="3023" customFormat="1" ht="12.75" x14ac:dyDescent="0.2"/>
    <row r="3024" customFormat="1" ht="12.75" x14ac:dyDescent="0.2"/>
    <row r="3025" customFormat="1" ht="12.75" x14ac:dyDescent="0.2"/>
    <row r="3026" customFormat="1" ht="12.75" x14ac:dyDescent="0.2"/>
    <row r="3027" customFormat="1" ht="12.75" x14ac:dyDescent="0.2"/>
    <row r="3028" customFormat="1" ht="12.75" x14ac:dyDescent="0.2"/>
    <row r="3029" customFormat="1" ht="12.75" x14ac:dyDescent="0.2"/>
    <row r="3030" customFormat="1" ht="12.75" x14ac:dyDescent="0.2"/>
    <row r="3031" customFormat="1" ht="12.75" x14ac:dyDescent="0.2"/>
    <row r="3032" customFormat="1" ht="12.75" x14ac:dyDescent="0.2"/>
    <row r="3033" customFormat="1" ht="12.75" x14ac:dyDescent="0.2"/>
    <row r="3034" customFormat="1" ht="12.75" x14ac:dyDescent="0.2"/>
    <row r="3035" customFormat="1" ht="12.75" x14ac:dyDescent="0.2"/>
    <row r="3036" customFormat="1" ht="12.75" x14ac:dyDescent="0.2"/>
    <row r="3037" customFormat="1" ht="12.75" x14ac:dyDescent="0.2"/>
    <row r="3038" customFormat="1" ht="12.75" x14ac:dyDescent="0.2"/>
    <row r="3039" customFormat="1" ht="12.75" x14ac:dyDescent="0.2"/>
    <row r="3040" customFormat="1" ht="12.75" x14ac:dyDescent="0.2"/>
    <row r="3041" customFormat="1" ht="12.75" x14ac:dyDescent="0.2"/>
    <row r="3042" customFormat="1" ht="12.75" x14ac:dyDescent="0.2"/>
    <row r="3043" customFormat="1" ht="12.75" x14ac:dyDescent="0.2"/>
    <row r="3044" customFormat="1" ht="12.75" x14ac:dyDescent="0.2"/>
    <row r="3045" customFormat="1" ht="12.75" x14ac:dyDescent="0.2"/>
    <row r="3046" customFormat="1" ht="12.75" x14ac:dyDescent="0.2"/>
    <row r="3047" customFormat="1" ht="12.75" x14ac:dyDescent="0.2"/>
    <row r="3048" customFormat="1" ht="12.75" x14ac:dyDescent="0.2"/>
    <row r="3049" customFormat="1" ht="12.75" x14ac:dyDescent="0.2"/>
    <row r="3050" customFormat="1" ht="12.75" x14ac:dyDescent="0.2"/>
    <row r="3051" customFormat="1" ht="12.75" x14ac:dyDescent="0.2"/>
    <row r="3052" customFormat="1" ht="12.75" x14ac:dyDescent="0.2"/>
    <row r="3053" customFormat="1" ht="12.75" x14ac:dyDescent="0.2"/>
    <row r="3054" customFormat="1" ht="12.75" x14ac:dyDescent="0.2"/>
    <row r="3055" customFormat="1" ht="12.75" x14ac:dyDescent="0.2"/>
    <row r="3056" customFormat="1" ht="12.75" x14ac:dyDescent="0.2"/>
    <row r="3057" customFormat="1" ht="12.75" x14ac:dyDescent="0.2"/>
    <row r="3058" customFormat="1" ht="12.75" x14ac:dyDescent="0.2"/>
    <row r="3059" customFormat="1" ht="12.75" x14ac:dyDescent="0.2"/>
    <row r="3060" customFormat="1" ht="12.75" x14ac:dyDescent="0.2"/>
    <row r="3061" customFormat="1" ht="12.75" x14ac:dyDescent="0.2"/>
    <row r="3062" customFormat="1" ht="12.75" x14ac:dyDescent="0.2"/>
    <row r="3063" customFormat="1" ht="12.75" x14ac:dyDescent="0.2"/>
    <row r="3064" customFormat="1" ht="12.75" x14ac:dyDescent="0.2"/>
    <row r="3065" customFormat="1" ht="12.75" x14ac:dyDescent="0.2"/>
    <row r="3066" customFormat="1" ht="12.75" x14ac:dyDescent="0.2"/>
    <row r="3067" customFormat="1" ht="12.75" x14ac:dyDescent="0.2"/>
    <row r="3068" customFormat="1" ht="12.75" x14ac:dyDescent="0.2"/>
    <row r="3069" customFormat="1" ht="12.75" x14ac:dyDescent="0.2"/>
    <row r="3070" customFormat="1" ht="12.75" x14ac:dyDescent="0.2"/>
    <row r="3071" customFormat="1" ht="12.75" x14ac:dyDescent="0.2"/>
    <row r="3072" customFormat="1" ht="12.75" x14ac:dyDescent="0.2"/>
    <row r="3073" customFormat="1" ht="12.75" x14ac:dyDescent="0.2"/>
    <row r="3074" customFormat="1" ht="12.75" x14ac:dyDescent="0.2"/>
    <row r="3075" customFormat="1" ht="12.75" x14ac:dyDescent="0.2"/>
    <row r="3076" customFormat="1" ht="12.75" x14ac:dyDescent="0.2"/>
    <row r="3077" customFormat="1" ht="12.75" x14ac:dyDescent="0.2"/>
    <row r="3078" customFormat="1" ht="12.75" x14ac:dyDescent="0.2"/>
    <row r="3079" customFormat="1" ht="12.75" x14ac:dyDescent="0.2"/>
    <row r="3080" customFormat="1" ht="12.75" x14ac:dyDescent="0.2"/>
    <row r="3081" customFormat="1" ht="12.75" x14ac:dyDescent="0.2"/>
    <row r="3082" customFormat="1" ht="12.75" x14ac:dyDescent="0.2"/>
    <row r="3083" customFormat="1" ht="12.75" x14ac:dyDescent="0.2"/>
    <row r="3084" customFormat="1" ht="12.75" x14ac:dyDescent="0.2"/>
    <row r="3085" customFormat="1" ht="12.75" x14ac:dyDescent="0.2"/>
    <row r="3086" customFormat="1" ht="12.75" x14ac:dyDescent="0.2"/>
    <row r="3087" customFormat="1" ht="12.75" x14ac:dyDescent="0.2"/>
    <row r="3088" customFormat="1" ht="12.75" x14ac:dyDescent="0.2"/>
    <row r="3089" customFormat="1" ht="12.75" x14ac:dyDescent="0.2"/>
    <row r="3090" customFormat="1" ht="12.75" x14ac:dyDescent="0.2"/>
    <row r="3091" customFormat="1" ht="12.75" x14ac:dyDescent="0.2"/>
    <row r="3092" customFormat="1" ht="12.75" x14ac:dyDescent="0.2"/>
    <row r="3093" customFormat="1" ht="12.75" x14ac:dyDescent="0.2"/>
    <row r="3094" customFormat="1" ht="12.75" x14ac:dyDescent="0.2"/>
    <row r="3095" customFormat="1" ht="12.75" x14ac:dyDescent="0.2"/>
    <row r="3096" customFormat="1" ht="12.75" x14ac:dyDescent="0.2"/>
    <row r="3097" customFormat="1" ht="12.75" x14ac:dyDescent="0.2"/>
    <row r="3098" customFormat="1" ht="12.75" x14ac:dyDescent="0.2"/>
    <row r="3099" customFormat="1" ht="12.75" x14ac:dyDescent="0.2"/>
    <row r="3100" customFormat="1" ht="12.75" x14ac:dyDescent="0.2"/>
    <row r="3101" customFormat="1" ht="12.75" x14ac:dyDescent="0.2"/>
    <row r="3102" customFormat="1" ht="12.75" x14ac:dyDescent="0.2"/>
    <row r="3103" customFormat="1" ht="12.75" x14ac:dyDescent="0.2"/>
    <row r="3104" customFormat="1" ht="12.75" x14ac:dyDescent="0.2"/>
    <row r="3105" customFormat="1" ht="12.75" x14ac:dyDescent="0.2"/>
    <row r="3106" customFormat="1" ht="12.75" x14ac:dyDescent="0.2"/>
    <row r="3107" customFormat="1" ht="12.75" x14ac:dyDescent="0.2"/>
    <row r="3108" customFormat="1" ht="12.75" x14ac:dyDescent="0.2"/>
    <row r="3109" customFormat="1" ht="12.75" x14ac:dyDescent="0.2"/>
    <row r="3110" customFormat="1" ht="12.75" x14ac:dyDescent="0.2"/>
    <row r="3111" customFormat="1" ht="12.75" x14ac:dyDescent="0.2"/>
    <row r="3112" customFormat="1" ht="12.75" x14ac:dyDescent="0.2"/>
    <row r="3113" customFormat="1" ht="12.75" x14ac:dyDescent="0.2"/>
    <row r="3114" customFormat="1" ht="12.75" x14ac:dyDescent="0.2"/>
    <row r="3115" customFormat="1" ht="12.75" x14ac:dyDescent="0.2"/>
    <row r="3116" customFormat="1" ht="12.75" x14ac:dyDescent="0.2"/>
    <row r="3117" customFormat="1" ht="12.75" x14ac:dyDescent="0.2"/>
    <row r="3118" customFormat="1" ht="12.75" x14ac:dyDescent="0.2"/>
    <row r="3119" customFormat="1" ht="12.75" x14ac:dyDescent="0.2"/>
    <row r="3120" customFormat="1" ht="12.75" x14ac:dyDescent="0.2"/>
    <row r="3121" customFormat="1" ht="12.75" x14ac:dyDescent="0.2"/>
    <row r="3122" customFormat="1" ht="12.75" x14ac:dyDescent="0.2"/>
    <row r="3123" customFormat="1" ht="12.75" x14ac:dyDescent="0.2"/>
    <row r="3124" customFormat="1" ht="12.75" x14ac:dyDescent="0.2"/>
    <row r="3125" customFormat="1" ht="12.75" x14ac:dyDescent="0.2"/>
    <row r="3126" customFormat="1" ht="12.75" x14ac:dyDescent="0.2"/>
    <row r="3127" customFormat="1" ht="12.75" x14ac:dyDescent="0.2"/>
    <row r="3128" customFormat="1" ht="12.75" x14ac:dyDescent="0.2"/>
    <row r="3129" customFormat="1" ht="12.75" x14ac:dyDescent="0.2"/>
    <row r="3130" customFormat="1" ht="12.75" x14ac:dyDescent="0.2"/>
    <row r="3131" customFormat="1" ht="12.75" x14ac:dyDescent="0.2"/>
    <row r="3132" customFormat="1" ht="12.75" x14ac:dyDescent="0.2"/>
    <row r="3133" customFormat="1" ht="12.75" x14ac:dyDescent="0.2"/>
    <row r="3134" customFormat="1" ht="12.75" x14ac:dyDescent="0.2"/>
    <row r="3135" customFormat="1" ht="12.75" x14ac:dyDescent="0.2"/>
    <row r="3136" customFormat="1" ht="12.75" x14ac:dyDescent="0.2"/>
    <row r="3137" customFormat="1" ht="12.75" x14ac:dyDescent="0.2"/>
    <row r="3138" customFormat="1" ht="12.75" x14ac:dyDescent="0.2"/>
    <row r="3139" customFormat="1" ht="12.75" x14ac:dyDescent="0.2"/>
    <row r="3140" customFormat="1" ht="12.75" x14ac:dyDescent="0.2"/>
    <row r="3141" customFormat="1" ht="12.75" x14ac:dyDescent="0.2"/>
    <row r="3142" customFormat="1" ht="12.75" x14ac:dyDescent="0.2"/>
    <row r="3143" customFormat="1" ht="12.75" x14ac:dyDescent="0.2"/>
    <row r="3144" customFormat="1" ht="12.75" x14ac:dyDescent="0.2"/>
    <row r="3145" customFormat="1" ht="12.75" x14ac:dyDescent="0.2"/>
    <row r="3146" customFormat="1" ht="12.75" x14ac:dyDescent="0.2"/>
    <row r="3147" customFormat="1" ht="12.75" x14ac:dyDescent="0.2"/>
    <row r="3148" customFormat="1" ht="12.75" x14ac:dyDescent="0.2"/>
    <row r="3149" customFormat="1" ht="12.75" x14ac:dyDescent="0.2"/>
    <row r="3150" customFormat="1" ht="12.75" x14ac:dyDescent="0.2"/>
    <row r="3151" customFormat="1" ht="12.75" x14ac:dyDescent="0.2"/>
    <row r="3152" customFormat="1" ht="12.75" x14ac:dyDescent="0.2"/>
    <row r="3153" customFormat="1" ht="12.75" x14ac:dyDescent="0.2"/>
    <row r="3154" customFormat="1" ht="12.75" x14ac:dyDescent="0.2"/>
    <row r="3155" customFormat="1" ht="12.75" x14ac:dyDescent="0.2"/>
    <row r="3156" customFormat="1" ht="12.75" x14ac:dyDescent="0.2"/>
    <row r="3157" customFormat="1" ht="12.75" x14ac:dyDescent="0.2"/>
    <row r="3158" customFormat="1" ht="12.75" x14ac:dyDescent="0.2"/>
    <row r="3159" customFormat="1" ht="12.75" x14ac:dyDescent="0.2"/>
    <row r="3160" customFormat="1" ht="12.75" x14ac:dyDescent="0.2"/>
    <row r="3161" customFormat="1" ht="12.75" x14ac:dyDescent="0.2"/>
    <row r="3162" customFormat="1" ht="12.75" x14ac:dyDescent="0.2"/>
    <row r="3163" customFormat="1" ht="12.75" x14ac:dyDescent="0.2"/>
    <row r="3164" customFormat="1" ht="12.75" x14ac:dyDescent="0.2"/>
    <row r="3165" customFormat="1" ht="12.75" x14ac:dyDescent="0.2"/>
    <row r="3166" customFormat="1" ht="12.75" x14ac:dyDescent="0.2"/>
    <row r="3167" customFormat="1" ht="12.75" x14ac:dyDescent="0.2"/>
    <row r="3168" customFormat="1" ht="12.75" x14ac:dyDescent="0.2"/>
    <row r="3169" customFormat="1" ht="12.75" x14ac:dyDescent="0.2"/>
    <row r="3170" customFormat="1" ht="12.75" x14ac:dyDescent="0.2"/>
    <row r="3171" customFormat="1" ht="12.75" x14ac:dyDescent="0.2"/>
    <row r="3172" customFormat="1" ht="12.75" x14ac:dyDescent="0.2"/>
    <row r="3173" customFormat="1" ht="12.75" x14ac:dyDescent="0.2"/>
    <row r="3174" customFormat="1" ht="12.75" x14ac:dyDescent="0.2"/>
    <row r="3175" customFormat="1" ht="12.75" x14ac:dyDescent="0.2"/>
    <row r="3176" customFormat="1" ht="12.75" x14ac:dyDescent="0.2"/>
    <row r="3177" customFormat="1" ht="12.75" x14ac:dyDescent="0.2"/>
    <row r="3178" customFormat="1" ht="12.75" x14ac:dyDescent="0.2"/>
    <row r="3179" customFormat="1" ht="12.75" x14ac:dyDescent="0.2"/>
    <row r="3180" customFormat="1" ht="12.75" x14ac:dyDescent="0.2"/>
    <row r="3181" customFormat="1" ht="12.75" x14ac:dyDescent="0.2"/>
    <row r="3182" customFormat="1" ht="12.75" x14ac:dyDescent="0.2"/>
    <row r="3183" customFormat="1" ht="12.75" x14ac:dyDescent="0.2"/>
    <row r="3184" customFormat="1" ht="12.75" x14ac:dyDescent="0.2"/>
    <row r="3185" customFormat="1" ht="12.75" x14ac:dyDescent="0.2"/>
    <row r="3186" customFormat="1" ht="12.75" x14ac:dyDescent="0.2"/>
    <row r="3187" customFormat="1" ht="12.75" x14ac:dyDescent="0.2"/>
    <row r="3188" customFormat="1" ht="12.75" x14ac:dyDescent="0.2"/>
    <row r="3189" customFormat="1" ht="12.75" x14ac:dyDescent="0.2"/>
    <row r="3190" customFormat="1" ht="12.75" x14ac:dyDescent="0.2"/>
    <row r="3191" customFormat="1" ht="12.75" x14ac:dyDescent="0.2"/>
    <row r="3192" customFormat="1" ht="12.75" x14ac:dyDescent="0.2"/>
    <row r="3193" customFormat="1" ht="12.75" x14ac:dyDescent="0.2"/>
    <row r="3194" customFormat="1" ht="12.75" x14ac:dyDescent="0.2"/>
    <row r="3195" customFormat="1" ht="12.75" x14ac:dyDescent="0.2"/>
    <row r="3196" customFormat="1" ht="12.75" x14ac:dyDescent="0.2"/>
    <row r="3197" customFormat="1" ht="12.75" x14ac:dyDescent="0.2"/>
    <row r="3198" customFormat="1" ht="12.75" x14ac:dyDescent="0.2"/>
    <row r="3199" customFormat="1" ht="12.75" x14ac:dyDescent="0.2"/>
    <row r="3200" customFormat="1" ht="12.75" x14ac:dyDescent="0.2"/>
    <row r="3201" customFormat="1" ht="12.75" x14ac:dyDescent="0.2"/>
    <row r="3202" customFormat="1" ht="12.75" x14ac:dyDescent="0.2"/>
    <row r="3203" customFormat="1" ht="12.75" x14ac:dyDescent="0.2"/>
    <row r="3204" customFormat="1" ht="12.75" x14ac:dyDescent="0.2"/>
    <row r="3205" customFormat="1" ht="12.75" x14ac:dyDescent="0.2"/>
    <row r="3206" customFormat="1" ht="12.75" x14ac:dyDescent="0.2"/>
    <row r="3207" customFormat="1" ht="12.75" x14ac:dyDescent="0.2"/>
    <row r="3208" customFormat="1" ht="12.75" x14ac:dyDescent="0.2"/>
    <row r="3209" customFormat="1" ht="12.75" x14ac:dyDescent="0.2"/>
    <row r="3210" customFormat="1" ht="12.75" x14ac:dyDescent="0.2"/>
    <row r="3211" customFormat="1" ht="12.75" x14ac:dyDescent="0.2"/>
    <row r="3212" customFormat="1" ht="12.75" x14ac:dyDescent="0.2"/>
    <row r="3213" customFormat="1" ht="12.75" x14ac:dyDescent="0.2"/>
    <row r="3214" customFormat="1" ht="12.75" x14ac:dyDescent="0.2"/>
    <row r="3215" customFormat="1" ht="12.75" x14ac:dyDescent="0.2"/>
    <row r="3216" customFormat="1" ht="12.75" x14ac:dyDescent="0.2"/>
    <row r="3217" customFormat="1" ht="12.75" x14ac:dyDescent="0.2"/>
    <row r="3218" customFormat="1" ht="12.75" x14ac:dyDescent="0.2"/>
    <row r="3219" customFormat="1" ht="12.75" x14ac:dyDescent="0.2"/>
    <row r="3220" customFormat="1" ht="12.75" x14ac:dyDescent="0.2"/>
    <row r="3221" customFormat="1" ht="12.75" x14ac:dyDescent="0.2"/>
    <row r="3222" customFormat="1" ht="12.75" x14ac:dyDescent="0.2"/>
    <row r="3223" customFormat="1" ht="12.75" x14ac:dyDescent="0.2"/>
    <row r="3224" customFormat="1" ht="12.75" x14ac:dyDescent="0.2"/>
    <row r="3225" customFormat="1" ht="12.75" x14ac:dyDescent="0.2"/>
    <row r="3226" customFormat="1" ht="12.75" x14ac:dyDescent="0.2"/>
    <row r="3227" customFormat="1" ht="12.75" x14ac:dyDescent="0.2"/>
    <row r="3228" customFormat="1" ht="12.75" x14ac:dyDescent="0.2"/>
    <row r="3229" customFormat="1" ht="12.75" x14ac:dyDescent="0.2"/>
    <row r="3230" customFormat="1" ht="12.75" x14ac:dyDescent="0.2"/>
    <row r="3231" customFormat="1" ht="12.75" x14ac:dyDescent="0.2"/>
    <row r="3232" customFormat="1" ht="12.75" x14ac:dyDescent="0.2"/>
    <row r="3233" customFormat="1" ht="12.75" x14ac:dyDescent="0.2"/>
    <row r="3234" customFormat="1" ht="12.75" x14ac:dyDescent="0.2"/>
    <row r="3235" customFormat="1" ht="12.75" x14ac:dyDescent="0.2"/>
    <row r="3236" customFormat="1" ht="12.75" x14ac:dyDescent="0.2"/>
    <row r="3237" customFormat="1" ht="12.75" x14ac:dyDescent="0.2"/>
    <row r="3238" customFormat="1" ht="12.75" x14ac:dyDescent="0.2"/>
    <row r="3239" customFormat="1" ht="12.75" x14ac:dyDescent="0.2"/>
    <row r="3240" customFormat="1" ht="12.75" x14ac:dyDescent="0.2"/>
    <row r="3241" customFormat="1" ht="12.75" x14ac:dyDescent="0.2"/>
    <row r="3242" customFormat="1" ht="12.75" x14ac:dyDescent="0.2"/>
    <row r="3243" customFormat="1" ht="12.75" x14ac:dyDescent="0.2"/>
    <row r="3244" customFormat="1" ht="12.75" x14ac:dyDescent="0.2"/>
    <row r="3245" customFormat="1" ht="12.75" x14ac:dyDescent="0.2"/>
    <row r="3246" customFormat="1" ht="12.75" x14ac:dyDescent="0.2"/>
    <row r="3247" customFormat="1" ht="12.75" x14ac:dyDescent="0.2"/>
    <row r="3248" customFormat="1" ht="12.75" x14ac:dyDescent="0.2"/>
    <row r="3249" customFormat="1" ht="12.75" x14ac:dyDescent="0.2"/>
    <row r="3250" customFormat="1" ht="12.75" x14ac:dyDescent="0.2"/>
    <row r="3251" customFormat="1" ht="12.75" x14ac:dyDescent="0.2"/>
    <row r="3252" customFormat="1" ht="12.75" x14ac:dyDescent="0.2"/>
    <row r="3253" customFormat="1" ht="12.75" x14ac:dyDescent="0.2"/>
    <row r="3254" customFormat="1" ht="12.75" x14ac:dyDescent="0.2"/>
    <row r="3255" customFormat="1" ht="12.75" x14ac:dyDescent="0.2"/>
    <row r="3256" customFormat="1" ht="12.75" x14ac:dyDescent="0.2"/>
    <row r="3257" customFormat="1" ht="12.75" x14ac:dyDescent="0.2"/>
    <row r="3258" customFormat="1" ht="12.75" x14ac:dyDescent="0.2"/>
    <row r="3259" customFormat="1" ht="12.75" x14ac:dyDescent="0.2"/>
    <row r="3260" customFormat="1" ht="12.75" x14ac:dyDescent="0.2"/>
    <row r="3261" customFormat="1" ht="12.75" x14ac:dyDescent="0.2"/>
    <row r="3262" customFormat="1" ht="12.75" x14ac:dyDescent="0.2"/>
    <row r="3263" customFormat="1" ht="12.75" x14ac:dyDescent="0.2"/>
    <row r="3264" customFormat="1" ht="12.75" x14ac:dyDescent="0.2"/>
    <row r="3265" customFormat="1" ht="12.75" x14ac:dyDescent="0.2"/>
    <row r="3266" customFormat="1" ht="12.75" x14ac:dyDescent="0.2"/>
    <row r="3267" customFormat="1" ht="12.75" x14ac:dyDescent="0.2"/>
    <row r="3268" customFormat="1" ht="12.75" x14ac:dyDescent="0.2"/>
    <row r="3269" customFormat="1" ht="12.75" x14ac:dyDescent="0.2"/>
    <row r="3270" customFormat="1" ht="12.75" x14ac:dyDescent="0.2"/>
    <row r="3271" customFormat="1" ht="12.75" x14ac:dyDescent="0.2"/>
    <row r="3272" customFormat="1" ht="12.75" x14ac:dyDescent="0.2"/>
    <row r="3273" customFormat="1" ht="12.75" x14ac:dyDescent="0.2"/>
    <row r="3274" customFormat="1" ht="12.75" x14ac:dyDescent="0.2"/>
    <row r="3275" customFormat="1" ht="12.75" x14ac:dyDescent="0.2"/>
    <row r="3276" customFormat="1" ht="12.75" x14ac:dyDescent="0.2"/>
    <row r="3277" customFormat="1" ht="12.75" x14ac:dyDescent="0.2"/>
    <row r="3278" customFormat="1" ht="12.75" x14ac:dyDescent="0.2"/>
    <row r="3279" customFormat="1" ht="12.75" x14ac:dyDescent="0.2"/>
    <row r="3280" customFormat="1" ht="12.75" x14ac:dyDescent="0.2"/>
    <row r="3281" customFormat="1" ht="12.75" x14ac:dyDescent="0.2"/>
    <row r="3282" customFormat="1" ht="12.75" x14ac:dyDescent="0.2"/>
    <row r="3283" customFormat="1" ht="12.75" x14ac:dyDescent="0.2"/>
    <row r="3284" customFormat="1" ht="12.75" x14ac:dyDescent="0.2"/>
    <row r="3285" customFormat="1" ht="12.75" x14ac:dyDescent="0.2"/>
    <row r="3286" customFormat="1" ht="12.75" x14ac:dyDescent="0.2"/>
    <row r="3287" customFormat="1" ht="12.75" x14ac:dyDescent="0.2"/>
    <row r="3288" customFormat="1" ht="12.75" x14ac:dyDescent="0.2"/>
    <row r="3289" customFormat="1" ht="12.75" x14ac:dyDescent="0.2"/>
    <row r="3290" customFormat="1" ht="12.75" x14ac:dyDescent="0.2"/>
    <row r="3291" customFormat="1" ht="12.75" x14ac:dyDescent="0.2"/>
    <row r="3292" customFormat="1" ht="12.75" x14ac:dyDescent="0.2"/>
    <row r="3293" customFormat="1" ht="12.75" x14ac:dyDescent="0.2"/>
    <row r="3294" customFormat="1" ht="12.75" x14ac:dyDescent="0.2"/>
    <row r="3295" customFormat="1" ht="12.75" x14ac:dyDescent="0.2"/>
    <row r="3296" customFormat="1" ht="12.75" x14ac:dyDescent="0.2"/>
    <row r="3297" customFormat="1" ht="12.75" x14ac:dyDescent="0.2"/>
    <row r="3298" customFormat="1" ht="12.75" x14ac:dyDescent="0.2"/>
    <row r="3299" customFormat="1" ht="12.75" x14ac:dyDescent="0.2"/>
    <row r="3300" customFormat="1" ht="12.75" x14ac:dyDescent="0.2"/>
    <row r="3301" customFormat="1" ht="12.75" x14ac:dyDescent="0.2"/>
    <row r="3302" customFormat="1" ht="12.75" x14ac:dyDescent="0.2"/>
    <row r="3303" customFormat="1" ht="12.75" x14ac:dyDescent="0.2"/>
    <row r="3304" customFormat="1" ht="12.75" x14ac:dyDescent="0.2"/>
    <row r="3305" customFormat="1" ht="12.75" x14ac:dyDescent="0.2"/>
    <row r="3306" customFormat="1" ht="12.75" x14ac:dyDescent="0.2"/>
    <row r="3307" customFormat="1" ht="12.75" x14ac:dyDescent="0.2"/>
    <row r="3308" customFormat="1" ht="12.75" x14ac:dyDescent="0.2"/>
    <row r="3309" customFormat="1" ht="12.75" x14ac:dyDescent="0.2"/>
    <row r="3310" customFormat="1" ht="12.75" x14ac:dyDescent="0.2"/>
    <row r="3311" customFormat="1" ht="12.75" x14ac:dyDescent="0.2"/>
    <row r="3312" customFormat="1" ht="12.75" x14ac:dyDescent="0.2"/>
    <row r="3313" customFormat="1" ht="12.75" x14ac:dyDescent="0.2"/>
    <row r="3314" customFormat="1" ht="12.75" x14ac:dyDescent="0.2"/>
    <row r="3315" customFormat="1" ht="12.75" x14ac:dyDescent="0.2"/>
    <row r="3316" customFormat="1" ht="12.75" x14ac:dyDescent="0.2"/>
    <row r="3317" customFormat="1" ht="12.75" x14ac:dyDescent="0.2"/>
    <row r="3318" customFormat="1" ht="12.75" x14ac:dyDescent="0.2"/>
    <row r="3319" customFormat="1" ht="12.75" x14ac:dyDescent="0.2"/>
    <row r="3320" customFormat="1" ht="12.75" x14ac:dyDescent="0.2"/>
    <row r="3321" customFormat="1" ht="12.75" x14ac:dyDescent="0.2"/>
    <row r="3322" customFormat="1" ht="12.75" x14ac:dyDescent="0.2"/>
    <row r="3323" customFormat="1" ht="12.75" x14ac:dyDescent="0.2"/>
    <row r="3324" customFormat="1" ht="12.75" x14ac:dyDescent="0.2"/>
    <row r="3325" customFormat="1" ht="12.75" x14ac:dyDescent="0.2"/>
    <row r="3326" customFormat="1" ht="12.75" x14ac:dyDescent="0.2"/>
    <row r="3327" customFormat="1" ht="12.75" x14ac:dyDescent="0.2"/>
    <row r="3328" customFormat="1" ht="12.75" x14ac:dyDescent="0.2"/>
    <row r="3329" customFormat="1" ht="12.75" x14ac:dyDescent="0.2"/>
    <row r="3330" customFormat="1" ht="12.75" x14ac:dyDescent="0.2"/>
    <row r="3331" customFormat="1" ht="12.75" x14ac:dyDescent="0.2"/>
    <row r="3332" customFormat="1" ht="12.75" x14ac:dyDescent="0.2"/>
    <row r="3333" customFormat="1" ht="12.75" x14ac:dyDescent="0.2"/>
    <row r="3334" customFormat="1" ht="12.75" x14ac:dyDescent="0.2"/>
    <row r="3335" customFormat="1" ht="12.75" x14ac:dyDescent="0.2"/>
    <row r="3336" customFormat="1" ht="12.75" x14ac:dyDescent="0.2"/>
    <row r="3337" customFormat="1" ht="12.75" x14ac:dyDescent="0.2"/>
    <row r="3338" customFormat="1" ht="12.75" x14ac:dyDescent="0.2"/>
    <row r="3339" customFormat="1" ht="12.75" x14ac:dyDescent="0.2"/>
    <row r="3340" customFormat="1" ht="12.75" x14ac:dyDescent="0.2"/>
    <row r="3341" customFormat="1" ht="12.75" x14ac:dyDescent="0.2"/>
    <row r="3342" customFormat="1" ht="12.75" x14ac:dyDescent="0.2"/>
    <row r="3343" customFormat="1" ht="12.75" x14ac:dyDescent="0.2"/>
    <row r="3344" customFormat="1" ht="12.75" x14ac:dyDescent="0.2"/>
    <row r="3345" customFormat="1" ht="12.75" x14ac:dyDescent="0.2"/>
    <row r="3346" customFormat="1" ht="12.75" x14ac:dyDescent="0.2"/>
    <row r="3347" customFormat="1" ht="12.75" x14ac:dyDescent="0.2"/>
    <row r="3348" customFormat="1" ht="12.75" x14ac:dyDescent="0.2"/>
    <row r="3349" customFormat="1" ht="12.75" x14ac:dyDescent="0.2"/>
    <row r="3350" customFormat="1" ht="12.75" x14ac:dyDescent="0.2"/>
    <row r="3351" customFormat="1" ht="12.75" x14ac:dyDescent="0.2"/>
    <row r="3352" customFormat="1" ht="12.75" x14ac:dyDescent="0.2"/>
    <row r="3353" customFormat="1" ht="12.75" x14ac:dyDescent="0.2"/>
    <row r="3354" customFormat="1" ht="12.75" x14ac:dyDescent="0.2"/>
    <row r="3355" customFormat="1" ht="12.75" x14ac:dyDescent="0.2"/>
    <row r="3356" customFormat="1" ht="12.75" x14ac:dyDescent="0.2"/>
    <row r="3357" customFormat="1" ht="12.75" x14ac:dyDescent="0.2"/>
    <row r="3358" customFormat="1" ht="12.75" x14ac:dyDescent="0.2"/>
    <row r="3359" customFormat="1" ht="12.75" x14ac:dyDescent="0.2"/>
    <row r="3360" customFormat="1" ht="12.75" x14ac:dyDescent="0.2"/>
    <row r="3361" customFormat="1" ht="12.75" x14ac:dyDescent="0.2"/>
    <row r="3362" customFormat="1" ht="12.75" x14ac:dyDescent="0.2"/>
    <row r="3363" customFormat="1" ht="12.75" x14ac:dyDescent="0.2"/>
    <row r="3364" customFormat="1" ht="12.75" x14ac:dyDescent="0.2"/>
    <row r="3365" customFormat="1" ht="12.75" x14ac:dyDescent="0.2"/>
    <row r="3366" customFormat="1" ht="12.75" x14ac:dyDescent="0.2"/>
    <row r="3367" customFormat="1" ht="12.75" x14ac:dyDescent="0.2"/>
    <row r="3368" customFormat="1" ht="12.75" x14ac:dyDescent="0.2"/>
    <row r="3369" customFormat="1" ht="12.75" x14ac:dyDescent="0.2"/>
    <row r="3370" customFormat="1" ht="12.75" x14ac:dyDescent="0.2"/>
    <row r="3371" customFormat="1" ht="12.75" x14ac:dyDescent="0.2"/>
    <row r="3372" customFormat="1" ht="12.75" x14ac:dyDescent="0.2"/>
    <row r="3373" customFormat="1" ht="12.75" x14ac:dyDescent="0.2"/>
    <row r="3374" customFormat="1" ht="12.75" x14ac:dyDescent="0.2"/>
    <row r="3375" customFormat="1" ht="12.75" x14ac:dyDescent="0.2"/>
    <row r="3376" customFormat="1" ht="12.75" x14ac:dyDescent="0.2"/>
    <row r="3377" customFormat="1" ht="12.75" x14ac:dyDescent="0.2"/>
    <row r="3378" customFormat="1" ht="12.75" x14ac:dyDescent="0.2"/>
    <row r="3379" customFormat="1" ht="12.75" x14ac:dyDescent="0.2"/>
    <row r="3380" customFormat="1" ht="12.75" x14ac:dyDescent="0.2"/>
    <row r="3381" customFormat="1" ht="12.75" x14ac:dyDescent="0.2"/>
    <row r="3382" customFormat="1" ht="12.75" x14ac:dyDescent="0.2"/>
    <row r="3383" customFormat="1" ht="12.75" x14ac:dyDescent="0.2"/>
    <row r="3384" customFormat="1" ht="12.75" x14ac:dyDescent="0.2"/>
    <row r="3385" customFormat="1" ht="12.75" x14ac:dyDescent="0.2"/>
    <row r="3386" customFormat="1" ht="12.75" x14ac:dyDescent="0.2"/>
    <row r="3387" customFormat="1" ht="12.75" x14ac:dyDescent="0.2"/>
    <row r="3388" customFormat="1" ht="12.75" x14ac:dyDescent="0.2"/>
    <row r="3389" customFormat="1" ht="12.75" x14ac:dyDescent="0.2"/>
    <row r="3390" customFormat="1" ht="12.75" x14ac:dyDescent="0.2"/>
    <row r="3391" customFormat="1" ht="12.75" x14ac:dyDescent="0.2"/>
    <row r="3392" customFormat="1" ht="12.75" x14ac:dyDescent="0.2"/>
    <row r="3393" customFormat="1" ht="12.75" x14ac:dyDescent="0.2"/>
    <row r="3394" customFormat="1" ht="12.75" x14ac:dyDescent="0.2"/>
    <row r="3395" customFormat="1" ht="12.75" x14ac:dyDescent="0.2"/>
    <row r="3396" customFormat="1" ht="12.75" x14ac:dyDescent="0.2"/>
    <row r="3397" customFormat="1" ht="12.75" x14ac:dyDescent="0.2"/>
    <row r="3398" customFormat="1" ht="12.75" x14ac:dyDescent="0.2"/>
    <row r="3399" customFormat="1" ht="12.75" x14ac:dyDescent="0.2"/>
    <row r="3400" customFormat="1" ht="12.75" x14ac:dyDescent="0.2"/>
    <row r="3401" customFormat="1" ht="12.75" x14ac:dyDescent="0.2"/>
    <row r="3402" customFormat="1" ht="12.75" x14ac:dyDescent="0.2"/>
    <row r="3403" customFormat="1" ht="12.75" x14ac:dyDescent="0.2"/>
    <row r="3404" customFormat="1" ht="12.75" x14ac:dyDescent="0.2"/>
    <row r="3405" customFormat="1" ht="12.75" x14ac:dyDescent="0.2"/>
    <row r="3406" customFormat="1" ht="12.75" x14ac:dyDescent="0.2"/>
    <row r="3407" customFormat="1" ht="12.75" x14ac:dyDescent="0.2"/>
    <row r="3408" customFormat="1" ht="12.75" x14ac:dyDescent="0.2"/>
    <row r="3409" customFormat="1" ht="12.75" x14ac:dyDescent="0.2"/>
    <row r="3410" customFormat="1" ht="12.75" x14ac:dyDescent="0.2"/>
    <row r="3411" customFormat="1" ht="12.75" x14ac:dyDescent="0.2"/>
    <row r="3412" customFormat="1" ht="12.75" x14ac:dyDescent="0.2"/>
    <row r="3413" customFormat="1" ht="12.75" x14ac:dyDescent="0.2"/>
    <row r="3414" customFormat="1" ht="12.75" x14ac:dyDescent="0.2"/>
    <row r="3415" customFormat="1" ht="12.75" x14ac:dyDescent="0.2"/>
    <row r="3416" customFormat="1" ht="12.75" x14ac:dyDescent="0.2"/>
    <row r="3417" customFormat="1" ht="12.75" x14ac:dyDescent="0.2"/>
    <row r="3418" customFormat="1" ht="12.75" x14ac:dyDescent="0.2"/>
    <row r="3419" customFormat="1" ht="12.75" x14ac:dyDescent="0.2"/>
    <row r="3420" customFormat="1" ht="12.75" x14ac:dyDescent="0.2"/>
    <row r="3421" customFormat="1" ht="12.75" x14ac:dyDescent="0.2"/>
    <row r="3422" customFormat="1" ht="12.75" x14ac:dyDescent="0.2"/>
    <row r="3423" customFormat="1" ht="12.75" x14ac:dyDescent="0.2"/>
    <row r="3424" customFormat="1" ht="12.75" x14ac:dyDescent="0.2"/>
    <row r="3425" customFormat="1" ht="12.75" x14ac:dyDescent="0.2"/>
    <row r="3426" customFormat="1" ht="12.75" x14ac:dyDescent="0.2"/>
    <row r="3427" customFormat="1" ht="12.75" x14ac:dyDescent="0.2"/>
    <row r="3428" customFormat="1" ht="12.75" x14ac:dyDescent="0.2"/>
    <row r="3429" customFormat="1" ht="12.75" x14ac:dyDescent="0.2"/>
    <row r="3430" customFormat="1" ht="12.75" x14ac:dyDescent="0.2"/>
    <row r="3431" customFormat="1" ht="12.75" x14ac:dyDescent="0.2"/>
    <row r="3432" customFormat="1" ht="12.75" x14ac:dyDescent="0.2"/>
    <row r="3433" customFormat="1" ht="12.75" x14ac:dyDescent="0.2"/>
    <row r="3434" customFormat="1" ht="12.75" x14ac:dyDescent="0.2"/>
    <row r="3435" customFormat="1" ht="12.75" x14ac:dyDescent="0.2"/>
    <row r="3436" customFormat="1" ht="12.75" x14ac:dyDescent="0.2"/>
    <row r="3437" customFormat="1" ht="12.75" x14ac:dyDescent="0.2"/>
    <row r="3438" customFormat="1" ht="12.75" x14ac:dyDescent="0.2"/>
    <row r="3439" customFormat="1" ht="12.75" x14ac:dyDescent="0.2"/>
    <row r="3440" customFormat="1" ht="12.75" x14ac:dyDescent="0.2"/>
    <row r="3441" customFormat="1" ht="12.75" x14ac:dyDescent="0.2"/>
    <row r="3442" customFormat="1" ht="12.75" x14ac:dyDescent="0.2"/>
    <row r="3443" customFormat="1" ht="12.75" x14ac:dyDescent="0.2"/>
    <row r="3444" customFormat="1" ht="12.75" x14ac:dyDescent="0.2"/>
    <row r="3445" customFormat="1" ht="12.75" x14ac:dyDescent="0.2"/>
    <row r="3446" customFormat="1" ht="12.75" x14ac:dyDescent="0.2"/>
    <row r="3447" customFormat="1" ht="12.75" x14ac:dyDescent="0.2"/>
    <row r="3448" customFormat="1" ht="12.75" x14ac:dyDescent="0.2"/>
    <row r="3449" customFormat="1" ht="12.75" x14ac:dyDescent="0.2"/>
    <row r="3450" customFormat="1" ht="12.75" x14ac:dyDescent="0.2"/>
    <row r="3451" customFormat="1" ht="12.75" x14ac:dyDescent="0.2"/>
    <row r="3452" customFormat="1" ht="12.75" x14ac:dyDescent="0.2"/>
    <row r="3453" customFormat="1" ht="12.75" x14ac:dyDescent="0.2"/>
    <row r="3454" customFormat="1" ht="12.75" x14ac:dyDescent="0.2"/>
    <row r="3455" customFormat="1" ht="12.75" x14ac:dyDescent="0.2"/>
    <row r="3456" customFormat="1" ht="12.75" x14ac:dyDescent="0.2"/>
    <row r="3457" customFormat="1" ht="12.75" x14ac:dyDescent="0.2"/>
    <row r="3458" customFormat="1" ht="12.75" x14ac:dyDescent="0.2"/>
    <row r="3459" customFormat="1" ht="12.75" x14ac:dyDescent="0.2"/>
    <row r="3460" customFormat="1" ht="12.75" x14ac:dyDescent="0.2"/>
    <row r="3461" customFormat="1" ht="12.75" x14ac:dyDescent="0.2"/>
    <row r="3462" customFormat="1" ht="12.75" x14ac:dyDescent="0.2"/>
    <row r="3463" customFormat="1" ht="12.75" x14ac:dyDescent="0.2"/>
    <row r="3464" customFormat="1" ht="12.75" x14ac:dyDescent="0.2"/>
    <row r="3465" customFormat="1" ht="12.75" x14ac:dyDescent="0.2"/>
    <row r="3466" customFormat="1" ht="12.75" x14ac:dyDescent="0.2"/>
    <row r="3467" customFormat="1" ht="12.75" x14ac:dyDescent="0.2"/>
    <row r="3468" customFormat="1" ht="12.75" x14ac:dyDescent="0.2"/>
    <row r="3469" customFormat="1" ht="12.75" x14ac:dyDescent="0.2"/>
    <row r="3470" customFormat="1" ht="12.75" x14ac:dyDescent="0.2"/>
    <row r="3471" customFormat="1" ht="12.75" x14ac:dyDescent="0.2"/>
    <row r="3472" customFormat="1" ht="12.75" x14ac:dyDescent="0.2"/>
    <row r="3473" customFormat="1" ht="12.75" x14ac:dyDescent="0.2"/>
    <row r="3474" customFormat="1" ht="12.75" x14ac:dyDescent="0.2"/>
    <row r="3475" customFormat="1" ht="12.75" x14ac:dyDescent="0.2"/>
    <row r="3476" customFormat="1" ht="12.75" x14ac:dyDescent="0.2"/>
    <row r="3477" customFormat="1" ht="12.75" x14ac:dyDescent="0.2"/>
    <row r="3478" customFormat="1" ht="12.75" x14ac:dyDescent="0.2"/>
    <row r="3479" customFormat="1" ht="12.75" x14ac:dyDescent="0.2"/>
    <row r="3480" customFormat="1" ht="12.75" x14ac:dyDescent="0.2"/>
    <row r="3481" customFormat="1" ht="12.75" x14ac:dyDescent="0.2"/>
    <row r="3482" customFormat="1" ht="12.75" x14ac:dyDescent="0.2"/>
    <row r="3483" customFormat="1" ht="12.75" x14ac:dyDescent="0.2"/>
    <row r="3484" customFormat="1" ht="12.75" x14ac:dyDescent="0.2"/>
    <row r="3485" customFormat="1" ht="12.75" x14ac:dyDescent="0.2"/>
    <row r="3486" customFormat="1" ht="12.75" x14ac:dyDescent="0.2"/>
    <row r="3487" customFormat="1" ht="12.75" x14ac:dyDescent="0.2"/>
    <row r="3488" customFormat="1" ht="12.75" x14ac:dyDescent="0.2"/>
    <row r="3489" customFormat="1" ht="12.75" x14ac:dyDescent="0.2"/>
    <row r="3490" customFormat="1" ht="12.75" x14ac:dyDescent="0.2"/>
    <row r="3491" customFormat="1" ht="12.75" x14ac:dyDescent="0.2"/>
    <row r="3492" customFormat="1" ht="12.75" x14ac:dyDescent="0.2"/>
    <row r="3493" customFormat="1" ht="12.75" x14ac:dyDescent="0.2"/>
    <row r="3494" customFormat="1" ht="12.75" x14ac:dyDescent="0.2"/>
    <row r="3495" customFormat="1" ht="12.75" x14ac:dyDescent="0.2"/>
    <row r="3496" customFormat="1" ht="12.75" x14ac:dyDescent="0.2"/>
    <row r="3497" customFormat="1" ht="12.75" x14ac:dyDescent="0.2"/>
    <row r="3498" customFormat="1" ht="12.75" x14ac:dyDescent="0.2"/>
    <row r="3499" customFormat="1" ht="12.75" x14ac:dyDescent="0.2"/>
    <row r="3500" customFormat="1" ht="12.75" x14ac:dyDescent="0.2"/>
    <row r="3501" customFormat="1" ht="12.75" x14ac:dyDescent="0.2"/>
    <row r="3502" customFormat="1" ht="12.75" x14ac:dyDescent="0.2"/>
    <row r="3503" customFormat="1" ht="12.75" x14ac:dyDescent="0.2"/>
    <row r="3504" customFormat="1" ht="12.75" x14ac:dyDescent="0.2"/>
    <row r="3505" customFormat="1" ht="12.75" x14ac:dyDescent="0.2"/>
    <row r="3506" customFormat="1" ht="12.75" x14ac:dyDescent="0.2"/>
    <row r="3507" customFormat="1" ht="12.75" x14ac:dyDescent="0.2"/>
    <row r="3508" customFormat="1" ht="12.75" x14ac:dyDescent="0.2"/>
    <row r="3509" customFormat="1" ht="12.75" x14ac:dyDescent="0.2"/>
    <row r="3510" customFormat="1" ht="12.75" x14ac:dyDescent="0.2"/>
    <row r="3511" customFormat="1" ht="12.75" x14ac:dyDescent="0.2"/>
    <row r="3512" customFormat="1" ht="12.75" x14ac:dyDescent="0.2"/>
    <row r="3513" customFormat="1" ht="12.75" x14ac:dyDescent="0.2"/>
    <row r="3514" customFormat="1" ht="12.75" x14ac:dyDescent="0.2"/>
    <row r="3515" customFormat="1" ht="12.75" x14ac:dyDescent="0.2"/>
    <row r="3516" customFormat="1" ht="12.75" x14ac:dyDescent="0.2"/>
    <row r="3517" customFormat="1" ht="12.75" x14ac:dyDescent="0.2"/>
    <row r="3518" customFormat="1" ht="12.75" x14ac:dyDescent="0.2"/>
    <row r="3519" customFormat="1" ht="12.75" x14ac:dyDescent="0.2"/>
    <row r="3520" customFormat="1" ht="12.75" x14ac:dyDescent="0.2"/>
    <row r="3521" customFormat="1" ht="12.75" x14ac:dyDescent="0.2"/>
    <row r="3522" customFormat="1" ht="12.75" x14ac:dyDescent="0.2"/>
    <row r="3523" customFormat="1" ht="12.75" x14ac:dyDescent="0.2"/>
    <row r="3524" customFormat="1" ht="12.75" x14ac:dyDescent="0.2"/>
    <row r="3525" customFormat="1" ht="12.75" x14ac:dyDescent="0.2"/>
    <row r="3526" customFormat="1" ht="12.75" x14ac:dyDescent="0.2"/>
    <row r="3527" customFormat="1" ht="12.75" x14ac:dyDescent="0.2"/>
    <row r="3528" customFormat="1" ht="12.75" x14ac:dyDescent="0.2"/>
    <row r="3529" customFormat="1" ht="12.75" x14ac:dyDescent="0.2"/>
    <row r="3530" customFormat="1" ht="12.75" x14ac:dyDescent="0.2"/>
    <row r="3531" customFormat="1" ht="12.75" x14ac:dyDescent="0.2"/>
    <row r="3532" customFormat="1" ht="12.75" x14ac:dyDescent="0.2"/>
    <row r="3533" customFormat="1" ht="12.75" x14ac:dyDescent="0.2"/>
    <row r="3534" customFormat="1" ht="12.75" x14ac:dyDescent="0.2"/>
    <row r="3535" customFormat="1" ht="12.75" x14ac:dyDescent="0.2"/>
    <row r="3536" customFormat="1" ht="12.75" x14ac:dyDescent="0.2"/>
    <row r="3537" customFormat="1" ht="12.75" x14ac:dyDescent="0.2"/>
    <row r="3538" customFormat="1" ht="12.75" x14ac:dyDescent="0.2"/>
    <row r="3539" customFormat="1" ht="12.75" x14ac:dyDescent="0.2"/>
    <row r="3540" customFormat="1" ht="12.75" x14ac:dyDescent="0.2"/>
    <row r="3541" customFormat="1" ht="12.75" x14ac:dyDescent="0.2"/>
    <row r="3542" customFormat="1" ht="12.75" x14ac:dyDescent="0.2"/>
    <row r="3543" customFormat="1" ht="12.75" x14ac:dyDescent="0.2"/>
    <row r="3544" customFormat="1" ht="12.75" x14ac:dyDescent="0.2"/>
    <row r="3545" customFormat="1" ht="12.75" x14ac:dyDescent="0.2"/>
    <row r="3546" customFormat="1" ht="12.75" x14ac:dyDescent="0.2"/>
    <row r="3547" customFormat="1" ht="12.75" x14ac:dyDescent="0.2"/>
    <row r="3548" customFormat="1" ht="12.75" x14ac:dyDescent="0.2"/>
    <row r="3549" customFormat="1" ht="12.75" x14ac:dyDescent="0.2"/>
    <row r="3550" customFormat="1" ht="12.75" x14ac:dyDescent="0.2"/>
    <row r="3551" customFormat="1" ht="12.75" x14ac:dyDescent="0.2"/>
    <row r="3552" customFormat="1" ht="12.75" x14ac:dyDescent="0.2"/>
    <row r="3553" customFormat="1" ht="12.75" x14ac:dyDescent="0.2"/>
    <row r="3554" customFormat="1" ht="12.75" x14ac:dyDescent="0.2"/>
    <row r="3555" customFormat="1" ht="12.75" x14ac:dyDescent="0.2"/>
    <row r="3556" customFormat="1" ht="12.75" x14ac:dyDescent="0.2"/>
    <row r="3557" customFormat="1" ht="12.75" x14ac:dyDescent="0.2"/>
    <row r="3558" customFormat="1" ht="12.75" x14ac:dyDescent="0.2"/>
    <row r="3559" customFormat="1" ht="12.75" x14ac:dyDescent="0.2"/>
    <row r="3560" customFormat="1" ht="12.75" x14ac:dyDescent="0.2"/>
    <row r="3561" customFormat="1" ht="12.75" x14ac:dyDescent="0.2"/>
    <row r="3562" customFormat="1" ht="12.75" x14ac:dyDescent="0.2"/>
    <row r="3563" customFormat="1" ht="12.75" x14ac:dyDescent="0.2"/>
    <row r="3564" customFormat="1" ht="12.75" x14ac:dyDescent="0.2"/>
    <row r="3565" customFormat="1" ht="12.75" x14ac:dyDescent="0.2"/>
    <row r="3566" customFormat="1" ht="12.75" x14ac:dyDescent="0.2"/>
    <row r="3567" customFormat="1" ht="12.75" x14ac:dyDescent="0.2"/>
    <row r="3568" customFormat="1" ht="12.75" x14ac:dyDescent="0.2"/>
    <row r="3569" customFormat="1" ht="12.75" x14ac:dyDescent="0.2"/>
    <row r="3570" customFormat="1" ht="12.75" x14ac:dyDescent="0.2"/>
    <row r="3571" customFormat="1" ht="12.75" x14ac:dyDescent="0.2"/>
    <row r="3572" customFormat="1" ht="12.75" x14ac:dyDescent="0.2"/>
    <row r="3573" customFormat="1" ht="12.75" x14ac:dyDescent="0.2"/>
    <row r="3574" customFormat="1" ht="12.75" x14ac:dyDescent="0.2"/>
    <row r="3575" customFormat="1" ht="12.75" x14ac:dyDescent="0.2"/>
    <row r="3576" customFormat="1" ht="12.75" x14ac:dyDescent="0.2"/>
    <row r="3577" customFormat="1" ht="12.75" x14ac:dyDescent="0.2"/>
    <row r="3578" customFormat="1" ht="12.75" x14ac:dyDescent="0.2"/>
    <row r="3579" customFormat="1" ht="12.75" x14ac:dyDescent="0.2"/>
    <row r="3580" customFormat="1" ht="12.75" x14ac:dyDescent="0.2"/>
    <row r="3581" customFormat="1" ht="12.75" x14ac:dyDescent="0.2"/>
    <row r="3582" customFormat="1" ht="12.75" x14ac:dyDescent="0.2"/>
    <row r="3583" customFormat="1" ht="12.75" x14ac:dyDescent="0.2"/>
    <row r="3584" customFormat="1" ht="12.75" x14ac:dyDescent="0.2"/>
    <row r="3585" customFormat="1" ht="12.75" x14ac:dyDescent="0.2"/>
    <row r="3586" customFormat="1" ht="12.75" x14ac:dyDescent="0.2"/>
    <row r="3587" customFormat="1" ht="12.75" x14ac:dyDescent="0.2"/>
    <row r="3588" customFormat="1" ht="12.75" x14ac:dyDescent="0.2"/>
    <row r="3589" customFormat="1" ht="12.75" x14ac:dyDescent="0.2"/>
    <row r="3590" customFormat="1" ht="12.75" x14ac:dyDescent="0.2"/>
    <row r="3591" customFormat="1" ht="12.75" x14ac:dyDescent="0.2"/>
    <row r="3592" customFormat="1" ht="12.75" x14ac:dyDescent="0.2"/>
    <row r="3593" customFormat="1" ht="12.75" x14ac:dyDescent="0.2"/>
    <row r="3594" customFormat="1" ht="12.75" x14ac:dyDescent="0.2"/>
    <row r="3595" customFormat="1" ht="12.75" x14ac:dyDescent="0.2"/>
    <row r="3596" customFormat="1" ht="12.75" x14ac:dyDescent="0.2"/>
    <row r="3597" customFormat="1" ht="12.75" x14ac:dyDescent="0.2"/>
    <row r="3598" customFormat="1" ht="12.75" x14ac:dyDescent="0.2"/>
    <row r="3599" customFormat="1" ht="12.75" x14ac:dyDescent="0.2"/>
    <row r="3600" customFormat="1" ht="12.75" x14ac:dyDescent="0.2"/>
    <row r="3601" customFormat="1" ht="12.75" x14ac:dyDescent="0.2"/>
    <row r="3602" customFormat="1" ht="12.75" x14ac:dyDescent="0.2"/>
    <row r="3603" customFormat="1" ht="12.75" x14ac:dyDescent="0.2"/>
    <row r="3604" customFormat="1" ht="12.75" x14ac:dyDescent="0.2"/>
    <row r="3605" customFormat="1" ht="12.75" x14ac:dyDescent="0.2"/>
    <row r="3606" customFormat="1" ht="12.75" x14ac:dyDescent="0.2"/>
    <row r="3607" customFormat="1" ht="12.75" x14ac:dyDescent="0.2"/>
    <row r="3608" customFormat="1" ht="12.75" x14ac:dyDescent="0.2"/>
    <row r="3609" customFormat="1" ht="12.75" x14ac:dyDescent="0.2"/>
    <row r="3610" customFormat="1" ht="12.75" x14ac:dyDescent="0.2"/>
    <row r="3611" customFormat="1" ht="12.75" x14ac:dyDescent="0.2"/>
    <row r="3612" customFormat="1" ht="12.75" x14ac:dyDescent="0.2"/>
    <row r="3613" customFormat="1" ht="12.75" x14ac:dyDescent="0.2"/>
    <row r="3614" customFormat="1" ht="12.75" x14ac:dyDescent="0.2"/>
    <row r="3615" customFormat="1" ht="12.75" x14ac:dyDescent="0.2"/>
    <row r="3616" customFormat="1" ht="12.75" x14ac:dyDescent="0.2"/>
    <row r="3617" customFormat="1" ht="12.75" x14ac:dyDescent="0.2"/>
    <row r="3618" customFormat="1" ht="12.75" x14ac:dyDescent="0.2"/>
    <row r="3619" customFormat="1" ht="12.75" x14ac:dyDescent="0.2"/>
    <row r="3620" customFormat="1" ht="12.75" x14ac:dyDescent="0.2"/>
    <row r="3621" customFormat="1" ht="12.75" x14ac:dyDescent="0.2"/>
    <row r="3622" customFormat="1" ht="12.75" x14ac:dyDescent="0.2"/>
    <row r="3623" customFormat="1" ht="12.75" x14ac:dyDescent="0.2"/>
    <row r="3624" customFormat="1" ht="12.75" x14ac:dyDescent="0.2"/>
    <row r="3625" customFormat="1" ht="12.75" x14ac:dyDescent="0.2"/>
    <row r="3626" customFormat="1" ht="12.75" x14ac:dyDescent="0.2"/>
    <row r="3627" customFormat="1" ht="12.75" x14ac:dyDescent="0.2"/>
    <row r="3628" customFormat="1" ht="12.75" x14ac:dyDescent="0.2"/>
    <row r="3629" customFormat="1" ht="12.75" x14ac:dyDescent="0.2"/>
    <row r="3630" customFormat="1" ht="12.75" x14ac:dyDescent="0.2"/>
    <row r="3631" customFormat="1" ht="12.75" x14ac:dyDescent="0.2"/>
    <row r="3632" customFormat="1" ht="12.75" x14ac:dyDescent="0.2"/>
    <row r="3633" customFormat="1" ht="12.75" x14ac:dyDescent="0.2"/>
    <row r="3634" customFormat="1" ht="12.75" x14ac:dyDescent="0.2"/>
    <row r="3635" customFormat="1" ht="12.75" x14ac:dyDescent="0.2"/>
    <row r="3636" customFormat="1" ht="12.75" x14ac:dyDescent="0.2"/>
    <row r="3637" customFormat="1" ht="12.75" x14ac:dyDescent="0.2"/>
    <row r="3638" customFormat="1" ht="12.75" x14ac:dyDescent="0.2"/>
    <row r="3639" customFormat="1" ht="12.75" x14ac:dyDescent="0.2"/>
    <row r="3640" customFormat="1" ht="12.75" x14ac:dyDescent="0.2"/>
    <row r="3641" customFormat="1" ht="12.75" x14ac:dyDescent="0.2"/>
    <row r="3642" customFormat="1" ht="12.75" x14ac:dyDescent="0.2"/>
    <row r="3643" customFormat="1" ht="12.75" x14ac:dyDescent="0.2"/>
    <row r="3644" customFormat="1" ht="12.75" x14ac:dyDescent="0.2"/>
    <row r="3645" customFormat="1" ht="12.75" x14ac:dyDescent="0.2"/>
    <row r="3646" customFormat="1" ht="12.75" x14ac:dyDescent="0.2"/>
    <row r="3647" customFormat="1" ht="12.75" x14ac:dyDescent="0.2"/>
    <row r="3648" customFormat="1" ht="12.75" x14ac:dyDescent="0.2"/>
    <row r="3649" customFormat="1" ht="12.75" x14ac:dyDescent="0.2"/>
    <row r="3650" customFormat="1" ht="12.75" x14ac:dyDescent="0.2"/>
    <row r="3651" customFormat="1" ht="12.75" x14ac:dyDescent="0.2"/>
    <row r="3652" customFormat="1" ht="12.75" x14ac:dyDescent="0.2"/>
    <row r="3653" customFormat="1" ht="12.75" x14ac:dyDescent="0.2"/>
    <row r="3654" customFormat="1" ht="12.75" x14ac:dyDescent="0.2"/>
    <row r="3655" customFormat="1" ht="12.75" x14ac:dyDescent="0.2"/>
    <row r="3656" customFormat="1" ht="12.75" x14ac:dyDescent="0.2"/>
    <row r="3657" customFormat="1" ht="12.75" x14ac:dyDescent="0.2"/>
    <row r="3658" customFormat="1" ht="12.75" x14ac:dyDescent="0.2"/>
    <row r="3659" customFormat="1" ht="12.75" x14ac:dyDescent="0.2"/>
    <row r="3660" customFormat="1" ht="12.75" x14ac:dyDescent="0.2"/>
    <row r="3661" customFormat="1" ht="12.75" x14ac:dyDescent="0.2"/>
    <row r="3662" customFormat="1" ht="12.75" x14ac:dyDescent="0.2"/>
    <row r="3663" customFormat="1" ht="12.75" x14ac:dyDescent="0.2"/>
    <row r="3664" customFormat="1" ht="12.75" x14ac:dyDescent="0.2"/>
    <row r="3665" customFormat="1" ht="12.75" x14ac:dyDescent="0.2"/>
    <row r="3666" customFormat="1" ht="12.75" x14ac:dyDescent="0.2"/>
    <row r="3667" customFormat="1" ht="12.75" x14ac:dyDescent="0.2"/>
    <row r="3668" customFormat="1" ht="12.75" x14ac:dyDescent="0.2"/>
    <row r="3669" customFormat="1" ht="12.75" x14ac:dyDescent="0.2"/>
    <row r="3670" customFormat="1" ht="12.75" x14ac:dyDescent="0.2"/>
    <row r="3671" customFormat="1" ht="12.75" x14ac:dyDescent="0.2"/>
    <row r="3672" customFormat="1" ht="12.75" x14ac:dyDescent="0.2"/>
    <row r="3673" customFormat="1" ht="12.75" x14ac:dyDescent="0.2"/>
    <row r="3674" customFormat="1" ht="12.75" x14ac:dyDescent="0.2"/>
    <row r="3675" customFormat="1" ht="12.75" x14ac:dyDescent="0.2"/>
    <row r="3676" customFormat="1" ht="12.75" x14ac:dyDescent="0.2"/>
    <row r="3677" customFormat="1" ht="12.75" x14ac:dyDescent="0.2"/>
    <row r="3678" customFormat="1" ht="12.75" x14ac:dyDescent="0.2"/>
    <row r="3679" customFormat="1" ht="12.75" x14ac:dyDescent="0.2"/>
    <row r="3680" customFormat="1" ht="12.75" x14ac:dyDescent="0.2"/>
    <row r="3681" customFormat="1" ht="12.75" x14ac:dyDescent="0.2"/>
    <row r="3682" customFormat="1" ht="12.75" x14ac:dyDescent="0.2"/>
    <row r="3683" customFormat="1" ht="12.75" x14ac:dyDescent="0.2"/>
    <row r="3684" customFormat="1" ht="12.75" x14ac:dyDescent="0.2"/>
    <row r="3685" customFormat="1" ht="12.75" x14ac:dyDescent="0.2"/>
    <row r="3686" customFormat="1" ht="12.75" x14ac:dyDescent="0.2"/>
    <row r="3687" customFormat="1" ht="12.75" x14ac:dyDescent="0.2"/>
    <row r="3688" customFormat="1" ht="12.75" x14ac:dyDescent="0.2"/>
    <row r="3689" customFormat="1" ht="12.75" x14ac:dyDescent="0.2"/>
    <row r="3690" customFormat="1" ht="12.75" x14ac:dyDescent="0.2"/>
    <row r="3691" customFormat="1" ht="12.75" x14ac:dyDescent="0.2"/>
    <row r="3692" customFormat="1" ht="12.75" x14ac:dyDescent="0.2"/>
    <row r="3693" customFormat="1" ht="12.75" x14ac:dyDescent="0.2"/>
    <row r="3694" customFormat="1" ht="12.75" x14ac:dyDescent="0.2"/>
    <row r="3695" customFormat="1" ht="12.75" x14ac:dyDescent="0.2"/>
    <row r="3696" customFormat="1" ht="12.75" x14ac:dyDescent="0.2"/>
    <row r="3697" customFormat="1" ht="12.75" x14ac:dyDescent="0.2"/>
    <row r="3698" customFormat="1" ht="12.75" x14ac:dyDescent="0.2"/>
    <row r="3699" customFormat="1" ht="12.75" x14ac:dyDescent="0.2"/>
    <row r="3700" customFormat="1" ht="12.75" x14ac:dyDescent="0.2"/>
    <row r="3701" customFormat="1" ht="12.75" x14ac:dyDescent="0.2"/>
    <row r="3702" customFormat="1" ht="12.75" x14ac:dyDescent="0.2"/>
    <row r="3703" customFormat="1" ht="12.75" x14ac:dyDescent="0.2"/>
    <row r="3704" customFormat="1" ht="12.75" x14ac:dyDescent="0.2"/>
    <row r="3705" customFormat="1" ht="12.75" x14ac:dyDescent="0.2"/>
    <row r="3706" customFormat="1" ht="12.75" x14ac:dyDescent="0.2"/>
    <row r="3707" customFormat="1" ht="12.75" x14ac:dyDescent="0.2"/>
    <row r="3708" customFormat="1" ht="12.75" x14ac:dyDescent="0.2"/>
    <row r="3709" customFormat="1" ht="12.75" x14ac:dyDescent="0.2"/>
    <row r="3710" customFormat="1" ht="12.75" x14ac:dyDescent="0.2"/>
    <row r="3711" customFormat="1" ht="12.75" x14ac:dyDescent="0.2"/>
    <row r="3712" customFormat="1" ht="12.75" x14ac:dyDescent="0.2"/>
    <row r="3713" customFormat="1" ht="12.75" x14ac:dyDescent="0.2"/>
    <row r="3714" customFormat="1" ht="12.75" x14ac:dyDescent="0.2"/>
    <row r="3715" customFormat="1" ht="12.75" x14ac:dyDescent="0.2"/>
    <row r="3716" customFormat="1" ht="12.75" x14ac:dyDescent="0.2"/>
    <row r="3717" customFormat="1" ht="12.75" x14ac:dyDescent="0.2"/>
    <row r="3718" customFormat="1" ht="12.75" x14ac:dyDescent="0.2"/>
    <row r="3719" customFormat="1" ht="12.75" x14ac:dyDescent="0.2"/>
    <row r="3720" customFormat="1" ht="12.75" x14ac:dyDescent="0.2"/>
    <row r="3721" customFormat="1" ht="12.75" x14ac:dyDescent="0.2"/>
    <row r="3722" customFormat="1" ht="12.75" x14ac:dyDescent="0.2"/>
    <row r="3723" customFormat="1" ht="12.75" x14ac:dyDescent="0.2"/>
    <row r="3724" customFormat="1" ht="12.75" x14ac:dyDescent="0.2"/>
    <row r="3725" customFormat="1" ht="12.75" x14ac:dyDescent="0.2"/>
    <row r="3726" customFormat="1" ht="12.75" x14ac:dyDescent="0.2"/>
    <row r="3727" customFormat="1" ht="12.75" x14ac:dyDescent="0.2"/>
    <row r="3728" customFormat="1" ht="12.75" x14ac:dyDescent="0.2"/>
    <row r="3729" customFormat="1" ht="12.75" x14ac:dyDescent="0.2"/>
    <row r="3730" customFormat="1" ht="12.75" x14ac:dyDescent="0.2"/>
    <row r="3731" customFormat="1" ht="12.75" x14ac:dyDescent="0.2"/>
    <row r="3732" customFormat="1" ht="12.75" x14ac:dyDescent="0.2"/>
    <row r="3733" customFormat="1" ht="12.75" x14ac:dyDescent="0.2"/>
    <row r="3734" customFormat="1" ht="12.75" x14ac:dyDescent="0.2"/>
    <row r="3735" customFormat="1" ht="12.75" x14ac:dyDescent="0.2"/>
    <row r="3736" customFormat="1" ht="12.75" x14ac:dyDescent="0.2"/>
    <row r="3737" customFormat="1" ht="12.75" x14ac:dyDescent="0.2"/>
    <row r="3738" customFormat="1" ht="12.75" x14ac:dyDescent="0.2"/>
    <row r="3739" customFormat="1" ht="12.75" x14ac:dyDescent="0.2"/>
    <row r="3740" customFormat="1" ht="12.75" x14ac:dyDescent="0.2"/>
    <row r="3741" customFormat="1" ht="12.75" x14ac:dyDescent="0.2"/>
    <row r="3742" customFormat="1" ht="12.75" x14ac:dyDescent="0.2"/>
    <row r="3743" customFormat="1" ht="12.75" x14ac:dyDescent="0.2"/>
    <row r="3744" customFormat="1" ht="12.75" x14ac:dyDescent="0.2"/>
    <row r="3745" customFormat="1" ht="12.75" x14ac:dyDescent="0.2"/>
    <row r="3746" customFormat="1" ht="12.75" x14ac:dyDescent="0.2"/>
    <row r="3747" customFormat="1" ht="12.75" x14ac:dyDescent="0.2"/>
    <row r="3748" customFormat="1" ht="12.75" x14ac:dyDescent="0.2"/>
    <row r="3749" customFormat="1" ht="12.75" x14ac:dyDescent="0.2"/>
    <row r="3750" customFormat="1" ht="12.75" x14ac:dyDescent="0.2"/>
    <row r="3751" customFormat="1" ht="12.75" x14ac:dyDescent="0.2"/>
    <row r="3752" customFormat="1" ht="12.75" x14ac:dyDescent="0.2"/>
    <row r="3753" customFormat="1" ht="12.75" x14ac:dyDescent="0.2"/>
    <row r="3754" customFormat="1" ht="12.75" x14ac:dyDescent="0.2"/>
    <row r="3755" customFormat="1" ht="12.75" x14ac:dyDescent="0.2"/>
    <row r="3756" customFormat="1" ht="12.75" x14ac:dyDescent="0.2"/>
    <row r="3757" customFormat="1" ht="12.75" x14ac:dyDescent="0.2"/>
    <row r="3758" customFormat="1" ht="12.75" x14ac:dyDescent="0.2"/>
    <row r="3759" customFormat="1" ht="12.75" x14ac:dyDescent="0.2"/>
    <row r="3760" customFormat="1" ht="12.75" x14ac:dyDescent="0.2"/>
    <row r="3761" customFormat="1" ht="12.75" x14ac:dyDescent="0.2"/>
    <row r="3762" customFormat="1" ht="12.75" x14ac:dyDescent="0.2"/>
    <row r="3763" customFormat="1" ht="12.75" x14ac:dyDescent="0.2"/>
    <row r="3764" customFormat="1" ht="12.75" x14ac:dyDescent="0.2"/>
    <row r="3765" customFormat="1" ht="12.75" x14ac:dyDescent="0.2"/>
    <row r="3766" customFormat="1" ht="12.75" x14ac:dyDescent="0.2"/>
    <row r="3767" customFormat="1" ht="12.75" x14ac:dyDescent="0.2"/>
    <row r="3768" customFormat="1" ht="12.75" x14ac:dyDescent="0.2"/>
    <row r="3769" customFormat="1" ht="12.75" x14ac:dyDescent="0.2"/>
    <row r="3770" customFormat="1" ht="12.75" x14ac:dyDescent="0.2"/>
    <row r="3771" customFormat="1" ht="12.75" x14ac:dyDescent="0.2"/>
    <row r="3772" customFormat="1" ht="12.75" x14ac:dyDescent="0.2"/>
    <row r="3773" customFormat="1" ht="12.75" x14ac:dyDescent="0.2"/>
    <row r="3774" customFormat="1" ht="12.75" x14ac:dyDescent="0.2"/>
    <row r="3775" customFormat="1" ht="12.75" x14ac:dyDescent="0.2"/>
    <row r="3776" customFormat="1" ht="12.75" x14ac:dyDescent="0.2"/>
    <row r="3777" customFormat="1" ht="12.75" x14ac:dyDescent="0.2"/>
    <row r="3778" customFormat="1" ht="12.75" x14ac:dyDescent="0.2"/>
    <row r="3779" customFormat="1" ht="12.75" x14ac:dyDescent="0.2"/>
    <row r="3780" customFormat="1" ht="12.75" x14ac:dyDescent="0.2"/>
    <row r="3781" customFormat="1" ht="12.75" x14ac:dyDescent="0.2"/>
    <row r="3782" customFormat="1" ht="12.75" x14ac:dyDescent="0.2"/>
    <row r="3783" customFormat="1" ht="12.75" x14ac:dyDescent="0.2"/>
    <row r="3784" customFormat="1" ht="12.75" x14ac:dyDescent="0.2"/>
    <row r="3785" customFormat="1" ht="12.75" x14ac:dyDescent="0.2"/>
    <row r="3786" customFormat="1" ht="12.75" x14ac:dyDescent="0.2"/>
    <row r="3787" customFormat="1" ht="12.75" x14ac:dyDescent="0.2"/>
    <row r="3788" customFormat="1" ht="12.75" x14ac:dyDescent="0.2"/>
    <row r="3789" customFormat="1" ht="12.75" x14ac:dyDescent="0.2"/>
    <row r="3790" customFormat="1" ht="12.75" x14ac:dyDescent="0.2"/>
    <row r="3791" customFormat="1" ht="12.75" x14ac:dyDescent="0.2"/>
    <row r="3792" customFormat="1" ht="12.75" x14ac:dyDescent="0.2"/>
    <row r="3793" customFormat="1" ht="12.75" x14ac:dyDescent="0.2"/>
    <row r="3794" customFormat="1" ht="12.75" x14ac:dyDescent="0.2"/>
    <row r="3795" customFormat="1" ht="12.75" x14ac:dyDescent="0.2"/>
    <row r="3796" customFormat="1" ht="12.75" x14ac:dyDescent="0.2"/>
    <row r="3797" customFormat="1" ht="12.75" x14ac:dyDescent="0.2"/>
    <row r="3798" customFormat="1" ht="12.75" x14ac:dyDescent="0.2"/>
    <row r="3799" customFormat="1" ht="12.75" x14ac:dyDescent="0.2"/>
    <row r="3800" customFormat="1" ht="12.75" x14ac:dyDescent="0.2"/>
    <row r="3801" customFormat="1" ht="12.75" x14ac:dyDescent="0.2"/>
    <row r="3802" customFormat="1" ht="12.75" x14ac:dyDescent="0.2"/>
    <row r="3803" customFormat="1" ht="12.75" x14ac:dyDescent="0.2"/>
    <row r="3804" customFormat="1" ht="12.75" x14ac:dyDescent="0.2"/>
    <row r="3805" customFormat="1" ht="12.75" x14ac:dyDescent="0.2"/>
    <row r="3806" customFormat="1" ht="12.75" x14ac:dyDescent="0.2"/>
    <row r="3807" customFormat="1" ht="12.75" x14ac:dyDescent="0.2"/>
    <row r="3808" customFormat="1" ht="12.75" x14ac:dyDescent="0.2"/>
    <row r="3809" customFormat="1" ht="12.75" x14ac:dyDescent="0.2"/>
    <row r="3810" customFormat="1" ht="12.75" x14ac:dyDescent="0.2"/>
    <row r="3811" customFormat="1" ht="12.75" x14ac:dyDescent="0.2"/>
    <row r="3812" customFormat="1" ht="12.75" x14ac:dyDescent="0.2"/>
    <row r="3813" customFormat="1" ht="12.75" x14ac:dyDescent="0.2"/>
    <row r="3814" customFormat="1" ht="12.75" x14ac:dyDescent="0.2"/>
    <row r="3815" customFormat="1" ht="12.75" x14ac:dyDescent="0.2"/>
    <row r="3816" customFormat="1" ht="12.75" x14ac:dyDescent="0.2"/>
    <row r="3817" customFormat="1" ht="12.75" x14ac:dyDescent="0.2"/>
    <row r="3818" customFormat="1" ht="12.75" x14ac:dyDescent="0.2"/>
    <row r="3819" customFormat="1" ht="12.75" x14ac:dyDescent="0.2"/>
    <row r="3820" customFormat="1" ht="12.75" x14ac:dyDescent="0.2"/>
    <row r="3821" customFormat="1" ht="12.75" x14ac:dyDescent="0.2"/>
    <row r="3822" customFormat="1" ht="12.75" x14ac:dyDescent="0.2"/>
    <row r="3823" customFormat="1" ht="12.75" x14ac:dyDescent="0.2"/>
    <row r="3824" customFormat="1" ht="12.75" x14ac:dyDescent="0.2"/>
    <row r="3825" customFormat="1" ht="12.75" x14ac:dyDescent="0.2"/>
    <row r="3826" customFormat="1" ht="12.75" x14ac:dyDescent="0.2"/>
    <row r="3827" customFormat="1" ht="12.75" x14ac:dyDescent="0.2"/>
    <row r="3828" customFormat="1" ht="12.75" x14ac:dyDescent="0.2"/>
    <row r="3829" customFormat="1" ht="12.75" x14ac:dyDescent="0.2"/>
    <row r="3830" customFormat="1" ht="12.75" x14ac:dyDescent="0.2"/>
    <row r="3831" customFormat="1" ht="12.75" x14ac:dyDescent="0.2"/>
    <row r="3832" customFormat="1" ht="12.75" x14ac:dyDescent="0.2"/>
    <row r="3833" customFormat="1" ht="12.75" x14ac:dyDescent="0.2"/>
    <row r="3834" customFormat="1" ht="12.75" x14ac:dyDescent="0.2"/>
    <row r="3835" customFormat="1" ht="12.75" x14ac:dyDescent="0.2"/>
    <row r="3836" customFormat="1" ht="12.75" x14ac:dyDescent="0.2"/>
    <row r="3837" customFormat="1" ht="12.75" x14ac:dyDescent="0.2"/>
    <row r="3838" customFormat="1" ht="12.75" x14ac:dyDescent="0.2"/>
    <row r="3839" customFormat="1" ht="12.75" x14ac:dyDescent="0.2"/>
    <row r="3840" customFormat="1" ht="12.75" x14ac:dyDescent="0.2"/>
    <row r="3841" customFormat="1" ht="12.75" x14ac:dyDescent="0.2"/>
    <row r="3842" customFormat="1" ht="12.75" x14ac:dyDescent="0.2"/>
    <row r="3843" customFormat="1" ht="12.75" x14ac:dyDescent="0.2"/>
    <row r="3844" customFormat="1" ht="12.75" x14ac:dyDescent="0.2"/>
    <row r="3845" customFormat="1" ht="12.75" x14ac:dyDescent="0.2"/>
    <row r="3846" customFormat="1" ht="12.75" x14ac:dyDescent="0.2"/>
    <row r="3847" customFormat="1" ht="12.75" x14ac:dyDescent="0.2"/>
    <row r="3848" customFormat="1" ht="12.75" x14ac:dyDescent="0.2"/>
    <row r="3849" customFormat="1" ht="12.75" x14ac:dyDescent="0.2"/>
    <row r="3850" customFormat="1" ht="12.75" x14ac:dyDescent="0.2"/>
    <row r="3851" customFormat="1" ht="12.75" x14ac:dyDescent="0.2"/>
    <row r="3852" customFormat="1" ht="12.75" x14ac:dyDescent="0.2"/>
    <row r="3853" customFormat="1" ht="12.75" x14ac:dyDescent="0.2"/>
    <row r="3854" customFormat="1" ht="12.75" x14ac:dyDescent="0.2"/>
    <row r="3855" customFormat="1" ht="12.75" x14ac:dyDescent="0.2"/>
    <row r="3856" customFormat="1" ht="12.75" x14ac:dyDescent="0.2"/>
    <row r="3857" customFormat="1" ht="12.75" x14ac:dyDescent="0.2"/>
    <row r="3858" customFormat="1" ht="12.75" x14ac:dyDescent="0.2"/>
    <row r="3859" customFormat="1" ht="12.75" x14ac:dyDescent="0.2"/>
    <row r="3860" customFormat="1" ht="12.75" x14ac:dyDescent="0.2"/>
    <row r="3861" customFormat="1" ht="12.75" x14ac:dyDescent="0.2"/>
    <row r="3862" customFormat="1" ht="12.75" x14ac:dyDescent="0.2"/>
    <row r="3863" customFormat="1" ht="12.75" x14ac:dyDescent="0.2"/>
    <row r="3864" customFormat="1" ht="12.75" x14ac:dyDescent="0.2"/>
    <row r="3865" customFormat="1" ht="12.75" x14ac:dyDescent="0.2"/>
    <row r="3866" customFormat="1" ht="12.75" x14ac:dyDescent="0.2"/>
    <row r="3867" customFormat="1" ht="12.75" x14ac:dyDescent="0.2"/>
    <row r="3868" customFormat="1" ht="12.75" x14ac:dyDescent="0.2"/>
    <row r="3869" customFormat="1" ht="12.75" x14ac:dyDescent="0.2"/>
    <row r="3870" customFormat="1" ht="12.75" x14ac:dyDescent="0.2"/>
    <row r="3871" customFormat="1" ht="12.75" x14ac:dyDescent="0.2"/>
    <row r="3872" customFormat="1" ht="12.75" x14ac:dyDescent="0.2"/>
    <row r="3873" customFormat="1" ht="12.75" x14ac:dyDescent="0.2"/>
    <row r="3874" customFormat="1" ht="12.75" x14ac:dyDescent="0.2"/>
    <row r="3875" customFormat="1" ht="12.75" x14ac:dyDescent="0.2"/>
    <row r="3876" customFormat="1" ht="12.75" x14ac:dyDescent="0.2"/>
    <row r="3877" customFormat="1" ht="12.75" x14ac:dyDescent="0.2"/>
    <row r="3878" customFormat="1" ht="12.75" x14ac:dyDescent="0.2"/>
    <row r="3879" customFormat="1" ht="12.75" x14ac:dyDescent="0.2"/>
    <row r="3880" customFormat="1" ht="12.75" x14ac:dyDescent="0.2"/>
    <row r="3881" customFormat="1" ht="12.75" x14ac:dyDescent="0.2"/>
    <row r="3882" customFormat="1" ht="12.75" x14ac:dyDescent="0.2"/>
    <row r="3883" customFormat="1" ht="12.75" x14ac:dyDescent="0.2"/>
    <row r="3884" customFormat="1" ht="12.75" x14ac:dyDescent="0.2"/>
    <row r="3885" customFormat="1" ht="12.75" x14ac:dyDescent="0.2"/>
    <row r="3886" customFormat="1" ht="12.75" x14ac:dyDescent="0.2"/>
    <row r="3887" customFormat="1" ht="12.75" x14ac:dyDescent="0.2"/>
    <row r="3888" customFormat="1" ht="12.75" x14ac:dyDescent="0.2"/>
    <row r="3889" customFormat="1" ht="12.75" x14ac:dyDescent="0.2"/>
    <row r="3890" customFormat="1" ht="12.75" x14ac:dyDescent="0.2"/>
    <row r="3891" customFormat="1" ht="12.75" x14ac:dyDescent="0.2"/>
    <row r="3892" customFormat="1" ht="12.75" x14ac:dyDescent="0.2"/>
    <row r="3893" customFormat="1" ht="12.75" x14ac:dyDescent="0.2"/>
    <row r="3894" customFormat="1" ht="12.75" x14ac:dyDescent="0.2"/>
    <row r="3895" customFormat="1" ht="12.75" x14ac:dyDescent="0.2"/>
    <row r="3896" customFormat="1" ht="12.75" x14ac:dyDescent="0.2"/>
    <row r="3897" customFormat="1" ht="12.75" x14ac:dyDescent="0.2"/>
    <row r="3898" customFormat="1" ht="12.75" x14ac:dyDescent="0.2"/>
    <row r="3899" customFormat="1" ht="12.75" x14ac:dyDescent="0.2"/>
    <row r="3900" customFormat="1" ht="12.75" x14ac:dyDescent="0.2"/>
    <row r="3901" customFormat="1" ht="12.75" x14ac:dyDescent="0.2"/>
    <row r="3902" customFormat="1" ht="12.75" x14ac:dyDescent="0.2"/>
    <row r="3903" customFormat="1" ht="12.75" x14ac:dyDescent="0.2"/>
    <row r="3904" customFormat="1" ht="12.75" x14ac:dyDescent="0.2"/>
    <row r="3905" customFormat="1" ht="12.75" x14ac:dyDescent="0.2"/>
    <row r="3906" customFormat="1" ht="12.75" x14ac:dyDescent="0.2"/>
    <row r="3907" customFormat="1" ht="12.75" x14ac:dyDescent="0.2"/>
    <row r="3908" customFormat="1" ht="12.75" x14ac:dyDescent="0.2"/>
    <row r="3909" customFormat="1" ht="12.75" x14ac:dyDescent="0.2"/>
    <row r="3910" customFormat="1" ht="12.75" x14ac:dyDescent="0.2"/>
    <row r="3911" customFormat="1" ht="12.75" x14ac:dyDescent="0.2"/>
    <row r="3912" customFormat="1" ht="12.75" x14ac:dyDescent="0.2"/>
    <row r="3913" customFormat="1" ht="12.75" x14ac:dyDescent="0.2"/>
    <row r="3914" customFormat="1" ht="12.75" x14ac:dyDescent="0.2"/>
    <row r="3915" customFormat="1" ht="12.75" x14ac:dyDescent="0.2"/>
    <row r="3916" customFormat="1" ht="12.75" x14ac:dyDescent="0.2"/>
    <row r="3917" customFormat="1" ht="12.75" x14ac:dyDescent="0.2"/>
    <row r="3918" customFormat="1" ht="12.75" x14ac:dyDescent="0.2"/>
    <row r="3919" customFormat="1" ht="12.75" x14ac:dyDescent="0.2"/>
    <row r="3920" customFormat="1" ht="12.75" x14ac:dyDescent="0.2"/>
    <row r="3921" customFormat="1" ht="12.75" x14ac:dyDescent="0.2"/>
    <row r="3922" customFormat="1" ht="12.75" x14ac:dyDescent="0.2"/>
    <row r="3923" customFormat="1" ht="12.75" x14ac:dyDescent="0.2"/>
    <row r="3924" customFormat="1" ht="12.75" x14ac:dyDescent="0.2"/>
    <row r="3925" customFormat="1" ht="12.75" x14ac:dyDescent="0.2"/>
    <row r="3926" customFormat="1" ht="12.75" x14ac:dyDescent="0.2"/>
    <row r="3927" customFormat="1" ht="12.75" x14ac:dyDescent="0.2"/>
    <row r="3928" customFormat="1" ht="12.75" x14ac:dyDescent="0.2"/>
    <row r="3929" customFormat="1" ht="12.75" x14ac:dyDescent="0.2"/>
    <row r="3930" customFormat="1" ht="12.75" x14ac:dyDescent="0.2"/>
    <row r="3931" customFormat="1" ht="12.75" x14ac:dyDescent="0.2"/>
    <row r="3932" customFormat="1" ht="12.75" x14ac:dyDescent="0.2"/>
    <row r="3933" customFormat="1" ht="12.75" x14ac:dyDescent="0.2"/>
    <row r="3934" customFormat="1" ht="12.75" x14ac:dyDescent="0.2"/>
    <row r="3935" customFormat="1" ht="12.75" x14ac:dyDescent="0.2"/>
    <row r="3936" customFormat="1" ht="12.75" x14ac:dyDescent="0.2"/>
    <row r="3937" customFormat="1" ht="12.75" x14ac:dyDescent="0.2"/>
    <row r="3938" customFormat="1" ht="12.75" x14ac:dyDescent="0.2"/>
    <row r="3939" customFormat="1" ht="12.75" x14ac:dyDescent="0.2"/>
    <row r="3940" customFormat="1" ht="12.75" x14ac:dyDescent="0.2"/>
    <row r="3941" customFormat="1" ht="12.75" x14ac:dyDescent="0.2"/>
    <row r="3942" customFormat="1" ht="12.75" x14ac:dyDescent="0.2"/>
    <row r="3943" customFormat="1" ht="12.75" x14ac:dyDescent="0.2"/>
    <row r="3944" customFormat="1" ht="12.75" x14ac:dyDescent="0.2"/>
    <row r="3945" customFormat="1" ht="12.75" x14ac:dyDescent="0.2"/>
    <row r="3946" customFormat="1" ht="12.75" x14ac:dyDescent="0.2"/>
    <row r="3947" customFormat="1" ht="12.75" x14ac:dyDescent="0.2"/>
    <row r="3948" customFormat="1" ht="12.75" x14ac:dyDescent="0.2"/>
    <row r="3949" customFormat="1" ht="12.75" x14ac:dyDescent="0.2"/>
    <row r="3950" customFormat="1" ht="12.75" x14ac:dyDescent="0.2"/>
    <row r="3951" customFormat="1" ht="12.75" x14ac:dyDescent="0.2"/>
    <row r="3952" customFormat="1" ht="12.75" x14ac:dyDescent="0.2"/>
    <row r="3953" customFormat="1" ht="12.75" x14ac:dyDescent="0.2"/>
    <row r="3954" customFormat="1" ht="12.75" x14ac:dyDescent="0.2"/>
    <row r="3955" customFormat="1" ht="12.75" x14ac:dyDescent="0.2"/>
    <row r="3956" customFormat="1" ht="12.75" x14ac:dyDescent="0.2"/>
    <row r="3957" customFormat="1" ht="12.75" x14ac:dyDescent="0.2"/>
    <row r="3958" customFormat="1" ht="12.75" x14ac:dyDescent="0.2"/>
    <row r="3959" customFormat="1" ht="12.75" x14ac:dyDescent="0.2"/>
    <row r="3960" customFormat="1" ht="12.75" x14ac:dyDescent="0.2"/>
    <row r="3961" customFormat="1" ht="12.75" x14ac:dyDescent="0.2"/>
    <row r="3962" customFormat="1" ht="12.75" x14ac:dyDescent="0.2"/>
    <row r="3963" customFormat="1" ht="12.75" x14ac:dyDescent="0.2"/>
    <row r="3964" customFormat="1" ht="12.75" x14ac:dyDescent="0.2"/>
    <row r="3965" customFormat="1" ht="12.75" x14ac:dyDescent="0.2"/>
    <row r="3966" customFormat="1" ht="12.75" x14ac:dyDescent="0.2"/>
    <row r="3967" customFormat="1" ht="12.75" x14ac:dyDescent="0.2"/>
    <row r="3968" customFormat="1" ht="12.75" x14ac:dyDescent="0.2"/>
    <row r="3969" customFormat="1" ht="12.75" x14ac:dyDescent="0.2"/>
    <row r="3970" customFormat="1" ht="12.75" x14ac:dyDescent="0.2"/>
    <row r="3971" customFormat="1" ht="12.75" x14ac:dyDescent="0.2"/>
    <row r="3972" customFormat="1" ht="12.75" x14ac:dyDescent="0.2"/>
    <row r="3973" customFormat="1" ht="12.75" x14ac:dyDescent="0.2"/>
    <row r="3974" customFormat="1" ht="12.75" x14ac:dyDescent="0.2"/>
    <row r="3975" customFormat="1" ht="12.75" x14ac:dyDescent="0.2"/>
    <row r="3976" customFormat="1" ht="12.75" x14ac:dyDescent="0.2"/>
    <row r="3977" customFormat="1" ht="12.75" x14ac:dyDescent="0.2"/>
    <row r="3978" customFormat="1" ht="12.75" x14ac:dyDescent="0.2"/>
    <row r="3979" customFormat="1" ht="12.75" x14ac:dyDescent="0.2"/>
    <row r="3980" customFormat="1" ht="12.75" x14ac:dyDescent="0.2"/>
    <row r="3981" customFormat="1" ht="12.75" x14ac:dyDescent="0.2"/>
    <row r="3982" customFormat="1" ht="12.75" x14ac:dyDescent="0.2"/>
    <row r="3983" customFormat="1" ht="12.75" x14ac:dyDescent="0.2"/>
    <row r="3984" customFormat="1" ht="12.75" x14ac:dyDescent="0.2"/>
    <row r="3985" customFormat="1" ht="12.75" x14ac:dyDescent="0.2"/>
    <row r="3986" customFormat="1" ht="12.75" x14ac:dyDescent="0.2"/>
    <row r="3987" customFormat="1" ht="12.75" x14ac:dyDescent="0.2"/>
    <row r="3988" customFormat="1" ht="12.75" x14ac:dyDescent="0.2"/>
    <row r="3989" customFormat="1" ht="12.75" x14ac:dyDescent="0.2"/>
    <row r="3990" customFormat="1" ht="12.75" x14ac:dyDescent="0.2"/>
    <row r="3991" customFormat="1" ht="12.75" x14ac:dyDescent="0.2"/>
    <row r="3992" customFormat="1" ht="12.75" x14ac:dyDescent="0.2"/>
    <row r="3993" customFormat="1" ht="12.75" x14ac:dyDescent="0.2"/>
    <row r="3994" customFormat="1" ht="12.75" x14ac:dyDescent="0.2"/>
    <row r="3995" customFormat="1" ht="12.75" x14ac:dyDescent="0.2"/>
    <row r="3996" customFormat="1" ht="12.75" x14ac:dyDescent="0.2"/>
    <row r="3997" customFormat="1" ht="12.75" x14ac:dyDescent="0.2"/>
    <row r="3998" customFormat="1" ht="12.75" x14ac:dyDescent="0.2"/>
    <row r="3999" customFormat="1" ht="12.75" x14ac:dyDescent="0.2"/>
    <row r="4000" customFormat="1" ht="12.75" x14ac:dyDescent="0.2"/>
    <row r="4001" customFormat="1" ht="12.75" x14ac:dyDescent="0.2"/>
    <row r="4002" customFormat="1" ht="12.75" x14ac:dyDescent="0.2"/>
    <row r="4003" customFormat="1" ht="12.75" x14ac:dyDescent="0.2"/>
    <row r="4004" customFormat="1" ht="12.75" x14ac:dyDescent="0.2"/>
    <row r="4005" customFormat="1" ht="12.75" x14ac:dyDescent="0.2"/>
    <row r="4006" customFormat="1" ht="12.75" x14ac:dyDescent="0.2"/>
    <row r="4007" customFormat="1" ht="12.75" x14ac:dyDescent="0.2"/>
    <row r="4008" customFormat="1" ht="12.75" x14ac:dyDescent="0.2"/>
    <row r="4009" customFormat="1" ht="12.75" x14ac:dyDescent="0.2"/>
    <row r="4010" customFormat="1" ht="12.75" x14ac:dyDescent="0.2"/>
    <row r="4011" customFormat="1" ht="12.75" x14ac:dyDescent="0.2"/>
    <row r="4012" customFormat="1" ht="12.75" x14ac:dyDescent="0.2"/>
    <row r="4013" customFormat="1" ht="12.75" x14ac:dyDescent="0.2"/>
    <row r="4014" customFormat="1" ht="12.75" x14ac:dyDescent="0.2"/>
    <row r="4015" customFormat="1" ht="12.75" x14ac:dyDescent="0.2"/>
    <row r="4016" customFormat="1" ht="12.75" x14ac:dyDescent="0.2"/>
    <row r="4017" customFormat="1" ht="12.75" x14ac:dyDescent="0.2"/>
    <row r="4018" customFormat="1" ht="12.75" x14ac:dyDescent="0.2"/>
    <row r="4019" customFormat="1" ht="12.75" x14ac:dyDescent="0.2"/>
    <row r="4020" customFormat="1" ht="12.75" x14ac:dyDescent="0.2"/>
    <row r="4021" customFormat="1" ht="12.75" x14ac:dyDescent="0.2"/>
    <row r="4022" customFormat="1" ht="12.75" x14ac:dyDescent="0.2"/>
    <row r="4023" customFormat="1" ht="12.75" x14ac:dyDescent="0.2"/>
    <row r="4024" customFormat="1" ht="12.75" x14ac:dyDescent="0.2"/>
    <row r="4025" customFormat="1" ht="12.75" x14ac:dyDescent="0.2"/>
    <row r="4026" customFormat="1" ht="12.75" x14ac:dyDescent="0.2"/>
    <row r="4027" customFormat="1" ht="12.75" x14ac:dyDescent="0.2"/>
    <row r="4028" customFormat="1" ht="12.75" x14ac:dyDescent="0.2"/>
    <row r="4029" customFormat="1" ht="12.75" x14ac:dyDescent="0.2"/>
    <row r="4030" customFormat="1" ht="12.75" x14ac:dyDescent="0.2"/>
    <row r="4031" customFormat="1" ht="12.75" x14ac:dyDescent="0.2"/>
    <row r="4032" customFormat="1" ht="12.75" x14ac:dyDescent="0.2"/>
    <row r="4033" customFormat="1" ht="12.75" x14ac:dyDescent="0.2"/>
    <row r="4034" customFormat="1" ht="12.75" x14ac:dyDescent="0.2"/>
    <row r="4035" customFormat="1" ht="12.75" x14ac:dyDescent="0.2"/>
    <row r="4036" customFormat="1" ht="12.75" x14ac:dyDescent="0.2"/>
    <row r="4037" customFormat="1" ht="12.75" x14ac:dyDescent="0.2"/>
    <row r="4038" customFormat="1" ht="12.75" x14ac:dyDescent="0.2"/>
    <row r="4039" customFormat="1" ht="12.75" x14ac:dyDescent="0.2"/>
    <row r="4040" customFormat="1" ht="12.75" x14ac:dyDescent="0.2"/>
    <row r="4041" customFormat="1" ht="12.75" x14ac:dyDescent="0.2"/>
    <row r="4042" customFormat="1" ht="12.75" x14ac:dyDescent="0.2"/>
    <row r="4043" customFormat="1" ht="12.75" x14ac:dyDescent="0.2"/>
    <row r="4044" customFormat="1" ht="12.75" x14ac:dyDescent="0.2"/>
    <row r="4045" customFormat="1" ht="12.75" x14ac:dyDescent="0.2"/>
    <row r="4046" customFormat="1" ht="12.75" x14ac:dyDescent="0.2"/>
    <row r="4047" customFormat="1" ht="12.75" x14ac:dyDescent="0.2"/>
    <row r="4048" customFormat="1" ht="12.75" x14ac:dyDescent="0.2"/>
    <row r="4049" customFormat="1" ht="12.75" x14ac:dyDescent="0.2"/>
    <row r="4050" customFormat="1" ht="12.75" x14ac:dyDescent="0.2"/>
    <row r="4051" customFormat="1" ht="12.75" x14ac:dyDescent="0.2"/>
    <row r="4052" customFormat="1" ht="12.75" x14ac:dyDescent="0.2"/>
    <row r="4053" customFormat="1" ht="12.75" x14ac:dyDescent="0.2"/>
    <row r="4054" customFormat="1" ht="12.75" x14ac:dyDescent="0.2"/>
    <row r="4055" customFormat="1" ht="12.75" x14ac:dyDescent="0.2"/>
    <row r="4056" customFormat="1" ht="12.75" x14ac:dyDescent="0.2"/>
    <row r="4057" customFormat="1" ht="12.75" x14ac:dyDescent="0.2"/>
    <row r="4058" customFormat="1" ht="12.75" x14ac:dyDescent="0.2"/>
    <row r="4059" customFormat="1" ht="12.75" x14ac:dyDescent="0.2"/>
    <row r="4060" customFormat="1" ht="12.75" x14ac:dyDescent="0.2"/>
    <row r="4061" customFormat="1" ht="12.75" x14ac:dyDescent="0.2"/>
    <row r="4062" customFormat="1" ht="12.75" x14ac:dyDescent="0.2"/>
    <row r="4063" customFormat="1" ht="12.75" x14ac:dyDescent="0.2"/>
    <row r="4064" customFormat="1" ht="12.75" x14ac:dyDescent="0.2"/>
    <row r="4065" customFormat="1" ht="12.75" x14ac:dyDescent="0.2"/>
    <row r="4066" customFormat="1" ht="12.75" x14ac:dyDescent="0.2"/>
    <row r="4067" customFormat="1" ht="12.75" x14ac:dyDescent="0.2"/>
    <row r="4068" customFormat="1" ht="12.75" x14ac:dyDescent="0.2"/>
    <row r="4069" customFormat="1" ht="12.75" x14ac:dyDescent="0.2"/>
    <row r="4070" customFormat="1" ht="12.75" x14ac:dyDescent="0.2"/>
    <row r="4071" customFormat="1" ht="12.75" x14ac:dyDescent="0.2"/>
    <row r="4072" customFormat="1" ht="12.75" x14ac:dyDescent="0.2"/>
    <row r="4073" customFormat="1" ht="12.75" x14ac:dyDescent="0.2"/>
    <row r="4074" customFormat="1" ht="12.75" x14ac:dyDescent="0.2"/>
    <row r="4075" customFormat="1" ht="12.75" x14ac:dyDescent="0.2"/>
    <row r="4076" customFormat="1" ht="12.75" x14ac:dyDescent="0.2"/>
    <row r="4077" customFormat="1" ht="12.75" x14ac:dyDescent="0.2"/>
    <row r="4078" customFormat="1" ht="12.75" x14ac:dyDescent="0.2"/>
    <row r="4079" customFormat="1" ht="12.75" x14ac:dyDescent="0.2"/>
    <row r="4080" customFormat="1" ht="12.75" x14ac:dyDescent="0.2"/>
    <row r="4081" customFormat="1" ht="12.75" x14ac:dyDescent="0.2"/>
    <row r="4082" customFormat="1" ht="12.75" x14ac:dyDescent="0.2"/>
    <row r="4083" customFormat="1" ht="12.75" x14ac:dyDescent="0.2"/>
    <row r="4084" customFormat="1" ht="12.75" x14ac:dyDescent="0.2"/>
    <row r="4085" customFormat="1" ht="12.75" x14ac:dyDescent="0.2"/>
    <row r="4086" customFormat="1" ht="12.75" x14ac:dyDescent="0.2"/>
    <row r="4087" customFormat="1" ht="12.75" x14ac:dyDescent="0.2"/>
    <row r="4088" customFormat="1" ht="12.75" x14ac:dyDescent="0.2"/>
    <row r="4089" customFormat="1" ht="12.75" x14ac:dyDescent="0.2"/>
    <row r="4090" customFormat="1" ht="12.75" x14ac:dyDescent="0.2"/>
    <row r="4091" customFormat="1" ht="12.75" x14ac:dyDescent="0.2"/>
    <row r="4092" customFormat="1" ht="12.75" x14ac:dyDescent="0.2"/>
    <row r="4093" customFormat="1" ht="12.75" x14ac:dyDescent="0.2"/>
    <row r="4094" customFormat="1" ht="12.75" x14ac:dyDescent="0.2"/>
    <row r="4095" customFormat="1" ht="12.75" x14ac:dyDescent="0.2"/>
    <row r="4096" customFormat="1" ht="12.75" x14ac:dyDescent="0.2"/>
    <row r="4097" customFormat="1" ht="12.75" x14ac:dyDescent="0.2"/>
    <row r="4098" customFormat="1" ht="12.75" x14ac:dyDescent="0.2"/>
    <row r="4099" customFormat="1" ht="12.75" x14ac:dyDescent="0.2"/>
    <row r="4100" customFormat="1" ht="12.75" x14ac:dyDescent="0.2"/>
    <row r="4101" customFormat="1" ht="12.75" x14ac:dyDescent="0.2"/>
    <row r="4102" customFormat="1" ht="12.75" x14ac:dyDescent="0.2"/>
    <row r="4103" customFormat="1" ht="12.75" x14ac:dyDescent="0.2"/>
    <row r="4104" customFormat="1" ht="12.75" x14ac:dyDescent="0.2"/>
    <row r="4105" customFormat="1" ht="12.75" x14ac:dyDescent="0.2"/>
    <row r="4106" customFormat="1" ht="12.75" x14ac:dyDescent="0.2"/>
    <row r="4107" customFormat="1" ht="12.75" x14ac:dyDescent="0.2"/>
    <row r="4108" customFormat="1" ht="12.75" x14ac:dyDescent="0.2"/>
    <row r="4109" customFormat="1" ht="12.75" x14ac:dyDescent="0.2"/>
    <row r="4110" customFormat="1" ht="12.75" x14ac:dyDescent="0.2"/>
    <row r="4111" customFormat="1" ht="12.75" x14ac:dyDescent="0.2"/>
    <row r="4112" customFormat="1" ht="12.75" x14ac:dyDescent="0.2"/>
    <row r="4113" customFormat="1" ht="12.75" x14ac:dyDescent="0.2"/>
    <row r="4114" customFormat="1" ht="12.75" x14ac:dyDescent="0.2"/>
    <row r="4115" customFormat="1" ht="12.75" x14ac:dyDescent="0.2"/>
    <row r="4116" customFormat="1" ht="12.75" x14ac:dyDescent="0.2"/>
    <row r="4117" customFormat="1" ht="12.75" x14ac:dyDescent="0.2"/>
    <row r="4118" customFormat="1" ht="12.75" x14ac:dyDescent="0.2"/>
    <row r="4119" customFormat="1" ht="12.75" x14ac:dyDescent="0.2"/>
    <row r="4120" customFormat="1" ht="12.75" x14ac:dyDescent="0.2"/>
    <row r="4121" customFormat="1" ht="12.75" x14ac:dyDescent="0.2"/>
    <row r="4122" customFormat="1" ht="12.75" x14ac:dyDescent="0.2"/>
    <row r="4123" customFormat="1" ht="12.75" x14ac:dyDescent="0.2"/>
    <row r="4124" customFormat="1" ht="12.75" x14ac:dyDescent="0.2"/>
    <row r="4125" customFormat="1" ht="12.75" x14ac:dyDescent="0.2"/>
    <row r="4126" customFormat="1" ht="12.75" x14ac:dyDescent="0.2"/>
    <row r="4127" customFormat="1" ht="12.75" x14ac:dyDescent="0.2"/>
    <row r="4128" customFormat="1" ht="12.75" x14ac:dyDescent="0.2"/>
    <row r="4129" customFormat="1" ht="12.75" x14ac:dyDescent="0.2"/>
    <row r="4130" customFormat="1" ht="12.75" x14ac:dyDescent="0.2"/>
    <row r="4131" customFormat="1" ht="12.75" x14ac:dyDescent="0.2"/>
    <row r="4132" customFormat="1" ht="12.75" x14ac:dyDescent="0.2"/>
    <row r="4133" customFormat="1" ht="12.75" x14ac:dyDescent="0.2"/>
    <row r="4134" customFormat="1" ht="12.75" x14ac:dyDescent="0.2"/>
    <row r="4135" customFormat="1" ht="12.75" x14ac:dyDescent="0.2"/>
    <row r="4136" customFormat="1" ht="12.75" x14ac:dyDescent="0.2"/>
    <row r="4137" customFormat="1" ht="12.75" x14ac:dyDescent="0.2"/>
    <row r="4138" customFormat="1" ht="12.75" x14ac:dyDescent="0.2"/>
    <row r="4139" customFormat="1" ht="12.75" x14ac:dyDescent="0.2"/>
    <row r="4140" customFormat="1" ht="12.75" x14ac:dyDescent="0.2"/>
    <row r="4141" customFormat="1" ht="12.75" x14ac:dyDescent="0.2"/>
    <row r="4142" customFormat="1" ht="12.75" x14ac:dyDescent="0.2"/>
    <row r="4143" customFormat="1" ht="12.75" x14ac:dyDescent="0.2"/>
    <row r="4144" customFormat="1" ht="12.75" x14ac:dyDescent="0.2"/>
    <row r="4145" customFormat="1" ht="12.75" x14ac:dyDescent="0.2"/>
    <row r="4146" customFormat="1" ht="12.75" x14ac:dyDescent="0.2"/>
    <row r="4147" customFormat="1" ht="12.75" x14ac:dyDescent="0.2"/>
    <row r="4148" customFormat="1" ht="12.75" x14ac:dyDescent="0.2"/>
    <row r="4149" customFormat="1" ht="12.75" x14ac:dyDescent="0.2"/>
    <row r="4150" customFormat="1" ht="12.75" x14ac:dyDescent="0.2"/>
    <row r="4151" customFormat="1" ht="12.75" x14ac:dyDescent="0.2"/>
    <row r="4152" customFormat="1" ht="12.75" x14ac:dyDescent="0.2"/>
    <row r="4153" customFormat="1" ht="12.75" x14ac:dyDescent="0.2"/>
    <row r="4154" customFormat="1" ht="12.75" x14ac:dyDescent="0.2"/>
    <row r="4155" customFormat="1" ht="12.75" x14ac:dyDescent="0.2"/>
    <row r="4156" customFormat="1" ht="12.75" x14ac:dyDescent="0.2"/>
    <row r="4157" customFormat="1" ht="12.75" x14ac:dyDescent="0.2"/>
    <row r="4158" customFormat="1" ht="12.75" x14ac:dyDescent="0.2"/>
    <row r="4159" customFormat="1" ht="12.75" x14ac:dyDescent="0.2"/>
    <row r="4160" customFormat="1" ht="12.75" x14ac:dyDescent="0.2"/>
    <row r="4161" customFormat="1" ht="12.75" x14ac:dyDescent="0.2"/>
    <row r="4162" customFormat="1" ht="12.75" x14ac:dyDescent="0.2"/>
    <row r="4163" customFormat="1" ht="12.75" x14ac:dyDescent="0.2"/>
    <row r="4164" customFormat="1" ht="12.75" x14ac:dyDescent="0.2"/>
    <row r="4165" customFormat="1" ht="12.75" x14ac:dyDescent="0.2"/>
    <row r="4166" customFormat="1" ht="12.75" x14ac:dyDescent="0.2"/>
    <row r="4167" customFormat="1" ht="12.75" x14ac:dyDescent="0.2"/>
    <row r="4168" customFormat="1" ht="12.75" x14ac:dyDescent="0.2"/>
    <row r="4169" customFormat="1" ht="12.75" x14ac:dyDescent="0.2"/>
    <row r="4170" customFormat="1" ht="12.75" x14ac:dyDescent="0.2"/>
    <row r="4171" customFormat="1" ht="12.75" x14ac:dyDescent="0.2"/>
    <row r="4172" customFormat="1" ht="12.75" x14ac:dyDescent="0.2"/>
    <row r="4173" customFormat="1" ht="12.75" x14ac:dyDescent="0.2"/>
    <row r="4174" customFormat="1" ht="12.75" x14ac:dyDescent="0.2"/>
    <row r="4175" customFormat="1" ht="12.75" x14ac:dyDescent="0.2"/>
    <row r="4176" customFormat="1" ht="12.75" x14ac:dyDescent="0.2"/>
    <row r="4177" customFormat="1" ht="12.75" x14ac:dyDescent="0.2"/>
    <row r="4178" customFormat="1" ht="12.75" x14ac:dyDescent="0.2"/>
    <row r="4179" customFormat="1" ht="12.75" x14ac:dyDescent="0.2"/>
    <row r="4180" customFormat="1" ht="12.75" x14ac:dyDescent="0.2"/>
    <row r="4181" customFormat="1" ht="12.75" x14ac:dyDescent="0.2"/>
    <row r="4182" customFormat="1" ht="12.75" x14ac:dyDescent="0.2"/>
    <row r="4183" customFormat="1" ht="12.75" x14ac:dyDescent="0.2"/>
    <row r="4184" customFormat="1" ht="12.75" x14ac:dyDescent="0.2"/>
    <row r="4185" customFormat="1" ht="12.75" x14ac:dyDescent="0.2"/>
    <row r="4186" customFormat="1" ht="12.75" x14ac:dyDescent="0.2"/>
    <row r="4187" customFormat="1" ht="12.75" x14ac:dyDescent="0.2"/>
    <row r="4188" customFormat="1" ht="12.75" x14ac:dyDescent="0.2"/>
    <row r="4189" customFormat="1" ht="12.75" x14ac:dyDescent="0.2"/>
    <row r="4190" customFormat="1" ht="12.75" x14ac:dyDescent="0.2"/>
    <row r="4191" customFormat="1" ht="12.75" x14ac:dyDescent="0.2"/>
    <row r="4192" customFormat="1" ht="12.75" x14ac:dyDescent="0.2"/>
    <row r="4193" customFormat="1" ht="12.75" x14ac:dyDescent="0.2"/>
    <row r="4194" customFormat="1" ht="12.75" x14ac:dyDescent="0.2"/>
    <row r="4195" customFormat="1" ht="12.75" x14ac:dyDescent="0.2"/>
    <row r="4196" customFormat="1" ht="12.75" x14ac:dyDescent="0.2"/>
    <row r="4197" customFormat="1" ht="12.75" x14ac:dyDescent="0.2"/>
    <row r="4198" customFormat="1" ht="12.75" x14ac:dyDescent="0.2"/>
    <row r="4199" customFormat="1" ht="12.75" x14ac:dyDescent="0.2"/>
    <row r="4200" customFormat="1" ht="12.75" x14ac:dyDescent="0.2"/>
    <row r="4201" customFormat="1" ht="12.75" x14ac:dyDescent="0.2"/>
    <row r="4202" customFormat="1" ht="12.75" x14ac:dyDescent="0.2"/>
    <row r="4203" customFormat="1" ht="12.75" x14ac:dyDescent="0.2"/>
    <row r="4204" customFormat="1" ht="12.75" x14ac:dyDescent="0.2"/>
    <row r="4205" customFormat="1" ht="12.75" x14ac:dyDescent="0.2"/>
    <row r="4206" customFormat="1" ht="12.75" x14ac:dyDescent="0.2"/>
    <row r="4207" customFormat="1" ht="12.75" x14ac:dyDescent="0.2"/>
    <row r="4208" customFormat="1" ht="12.75" x14ac:dyDescent="0.2"/>
    <row r="4209" customFormat="1" ht="12.75" x14ac:dyDescent="0.2"/>
    <row r="4210" customFormat="1" ht="12.75" x14ac:dyDescent="0.2"/>
    <row r="4211" customFormat="1" ht="12.75" x14ac:dyDescent="0.2"/>
    <row r="4212" customFormat="1" ht="12.75" x14ac:dyDescent="0.2"/>
    <row r="4213" customFormat="1" ht="12.75" x14ac:dyDescent="0.2"/>
    <row r="4214" customFormat="1" ht="12.75" x14ac:dyDescent="0.2"/>
    <row r="4215" customFormat="1" ht="12.75" x14ac:dyDescent="0.2"/>
    <row r="4216" customFormat="1" ht="12.75" x14ac:dyDescent="0.2"/>
    <row r="4217" customFormat="1" ht="12.75" x14ac:dyDescent="0.2"/>
    <row r="4218" customFormat="1" ht="12.75" x14ac:dyDescent="0.2"/>
    <row r="4219" customFormat="1" ht="12.75" x14ac:dyDescent="0.2"/>
    <row r="4220" customFormat="1" ht="12.75" x14ac:dyDescent="0.2"/>
    <row r="4221" customFormat="1" ht="12.75" x14ac:dyDescent="0.2"/>
    <row r="4222" customFormat="1" ht="12.75" x14ac:dyDescent="0.2"/>
    <row r="4223" customFormat="1" ht="12.75" x14ac:dyDescent="0.2"/>
    <row r="4224" customFormat="1" ht="12.75" x14ac:dyDescent="0.2"/>
    <row r="4225" customFormat="1" ht="12.75" x14ac:dyDescent="0.2"/>
    <row r="4226" customFormat="1" ht="12.75" x14ac:dyDescent="0.2"/>
    <row r="4227" customFormat="1" ht="12.75" x14ac:dyDescent="0.2"/>
    <row r="4228" customFormat="1" ht="12.75" x14ac:dyDescent="0.2"/>
    <row r="4229" customFormat="1" ht="12.75" x14ac:dyDescent="0.2"/>
    <row r="4230" customFormat="1" ht="12.75" x14ac:dyDescent="0.2"/>
    <row r="4231" customFormat="1" ht="12.75" x14ac:dyDescent="0.2"/>
    <row r="4232" customFormat="1" ht="12.75" x14ac:dyDescent="0.2"/>
    <row r="4233" customFormat="1" ht="12.75" x14ac:dyDescent="0.2"/>
    <row r="4234" customFormat="1" ht="12.75" x14ac:dyDescent="0.2"/>
    <row r="4235" customFormat="1" ht="12.75" x14ac:dyDescent="0.2"/>
    <row r="4236" customFormat="1" ht="12.75" x14ac:dyDescent="0.2"/>
    <row r="4237" customFormat="1" ht="12.75" x14ac:dyDescent="0.2"/>
    <row r="4238" customFormat="1" ht="12.75" x14ac:dyDescent="0.2"/>
    <row r="4239" customFormat="1" ht="12.75" x14ac:dyDescent="0.2"/>
    <row r="4240" customFormat="1" ht="12.75" x14ac:dyDescent="0.2"/>
    <row r="4241" customFormat="1" ht="12.75" x14ac:dyDescent="0.2"/>
    <row r="4242" customFormat="1" ht="12.75" x14ac:dyDescent="0.2"/>
    <row r="4243" customFormat="1" ht="12.75" x14ac:dyDescent="0.2"/>
    <row r="4244" customFormat="1" ht="12.75" x14ac:dyDescent="0.2"/>
    <row r="4245" customFormat="1" ht="12.75" x14ac:dyDescent="0.2"/>
    <row r="4246" customFormat="1" ht="12.75" x14ac:dyDescent="0.2"/>
    <row r="4247" customFormat="1" ht="12.75" x14ac:dyDescent="0.2"/>
    <row r="4248" customFormat="1" ht="12.75" x14ac:dyDescent="0.2"/>
    <row r="4249" customFormat="1" ht="12.75" x14ac:dyDescent="0.2"/>
    <row r="4250" customFormat="1" ht="12.75" x14ac:dyDescent="0.2"/>
    <row r="4251" customFormat="1" ht="12.75" x14ac:dyDescent="0.2"/>
    <row r="4252" customFormat="1" ht="12.75" x14ac:dyDescent="0.2"/>
    <row r="4253" customFormat="1" ht="12.75" x14ac:dyDescent="0.2"/>
    <row r="4254" customFormat="1" ht="12.75" x14ac:dyDescent="0.2"/>
    <row r="4255" customFormat="1" ht="12.75" x14ac:dyDescent="0.2"/>
    <row r="4256" customFormat="1" ht="12.75" x14ac:dyDescent="0.2"/>
    <row r="4257" customFormat="1" ht="12.75" x14ac:dyDescent="0.2"/>
    <row r="4258" customFormat="1" ht="12.75" x14ac:dyDescent="0.2"/>
    <row r="4259" customFormat="1" ht="12.75" x14ac:dyDescent="0.2"/>
    <row r="4260" customFormat="1" ht="12.75" x14ac:dyDescent="0.2"/>
    <row r="4261" customFormat="1" ht="12.75" x14ac:dyDescent="0.2"/>
    <row r="4262" customFormat="1" ht="12.75" x14ac:dyDescent="0.2"/>
    <row r="4263" customFormat="1" ht="12.75" x14ac:dyDescent="0.2"/>
    <row r="4264" customFormat="1" ht="12.75" x14ac:dyDescent="0.2"/>
    <row r="4265" customFormat="1" ht="12.75" x14ac:dyDescent="0.2"/>
    <row r="4266" customFormat="1" ht="12.75" x14ac:dyDescent="0.2"/>
    <row r="4267" customFormat="1" ht="12.75" x14ac:dyDescent="0.2"/>
    <row r="4268" customFormat="1" ht="12.75" x14ac:dyDescent="0.2"/>
    <row r="4269" customFormat="1" ht="12.75" x14ac:dyDescent="0.2"/>
    <row r="4270" customFormat="1" ht="12.75" x14ac:dyDescent="0.2"/>
    <row r="4271" customFormat="1" ht="12.75" x14ac:dyDescent="0.2"/>
    <row r="4272" customFormat="1" ht="12.75" x14ac:dyDescent="0.2"/>
    <row r="4273" customFormat="1" ht="12.75" x14ac:dyDescent="0.2"/>
    <row r="4274" customFormat="1" ht="12.75" x14ac:dyDescent="0.2"/>
    <row r="4275" customFormat="1" ht="12.75" x14ac:dyDescent="0.2"/>
    <row r="4276" customFormat="1" ht="12.75" x14ac:dyDescent="0.2"/>
    <row r="4277" customFormat="1" ht="12.75" x14ac:dyDescent="0.2"/>
    <row r="4278" customFormat="1" ht="12.75" x14ac:dyDescent="0.2"/>
    <row r="4279" customFormat="1" ht="12.75" x14ac:dyDescent="0.2"/>
    <row r="4280" customFormat="1" ht="12.75" x14ac:dyDescent="0.2"/>
    <row r="4281" customFormat="1" ht="12.75" x14ac:dyDescent="0.2"/>
    <row r="4282" customFormat="1" ht="12.75" x14ac:dyDescent="0.2"/>
    <row r="4283" customFormat="1" ht="12.75" x14ac:dyDescent="0.2"/>
    <row r="4284" customFormat="1" ht="12.75" x14ac:dyDescent="0.2"/>
    <row r="4285" customFormat="1" ht="12.75" x14ac:dyDescent="0.2"/>
    <row r="4286" customFormat="1" ht="12.75" x14ac:dyDescent="0.2"/>
    <row r="4287" customFormat="1" ht="12.75" x14ac:dyDescent="0.2"/>
    <row r="4288" customFormat="1" ht="12.75" x14ac:dyDescent="0.2"/>
    <row r="4289" customFormat="1" ht="12.75" x14ac:dyDescent="0.2"/>
    <row r="4290" customFormat="1" ht="12.75" x14ac:dyDescent="0.2"/>
    <row r="4291" customFormat="1" ht="12.75" x14ac:dyDescent="0.2"/>
    <row r="4292" customFormat="1" ht="12.75" x14ac:dyDescent="0.2"/>
    <row r="4293" customFormat="1" ht="12.75" x14ac:dyDescent="0.2"/>
    <row r="4294" customFormat="1" ht="12.75" x14ac:dyDescent="0.2"/>
    <row r="4295" customFormat="1" ht="12.75" x14ac:dyDescent="0.2"/>
    <row r="4296" customFormat="1" ht="12.75" x14ac:dyDescent="0.2"/>
    <row r="4297" customFormat="1" ht="12.75" x14ac:dyDescent="0.2"/>
    <row r="4298" customFormat="1" ht="12.75" x14ac:dyDescent="0.2"/>
    <row r="4299" customFormat="1" ht="12.75" x14ac:dyDescent="0.2"/>
    <row r="4300" customFormat="1" ht="12.75" x14ac:dyDescent="0.2"/>
    <row r="4301" customFormat="1" ht="12.75" x14ac:dyDescent="0.2"/>
    <row r="4302" customFormat="1" ht="12.75" x14ac:dyDescent="0.2"/>
    <row r="4303" customFormat="1" ht="12.75" x14ac:dyDescent="0.2"/>
    <row r="4304" customFormat="1" ht="12.75" x14ac:dyDescent="0.2"/>
    <row r="4305" customFormat="1" ht="12.75" x14ac:dyDescent="0.2"/>
    <row r="4306" customFormat="1" ht="12.75" x14ac:dyDescent="0.2"/>
    <row r="4307" customFormat="1" ht="12.75" x14ac:dyDescent="0.2"/>
    <row r="4308" customFormat="1" ht="12.75" x14ac:dyDescent="0.2"/>
    <row r="4309" customFormat="1" ht="12.75" x14ac:dyDescent="0.2"/>
    <row r="4310" customFormat="1" ht="12.75" x14ac:dyDescent="0.2"/>
    <row r="4311" customFormat="1" ht="12.75" x14ac:dyDescent="0.2"/>
    <row r="4312" customFormat="1" ht="12.75" x14ac:dyDescent="0.2"/>
    <row r="4313" customFormat="1" ht="12.75" x14ac:dyDescent="0.2"/>
    <row r="4314" customFormat="1" ht="12.75" x14ac:dyDescent="0.2"/>
    <row r="4315" customFormat="1" ht="12.75" x14ac:dyDescent="0.2"/>
    <row r="4316" customFormat="1" ht="12.75" x14ac:dyDescent="0.2"/>
    <row r="4317" customFormat="1" ht="12.75" x14ac:dyDescent="0.2"/>
    <row r="4318" customFormat="1" ht="12.75" x14ac:dyDescent="0.2"/>
    <row r="4319" customFormat="1" ht="12.75" x14ac:dyDescent="0.2"/>
    <row r="4320" customFormat="1" ht="12.75" x14ac:dyDescent="0.2"/>
    <row r="4321" customFormat="1" ht="12.75" x14ac:dyDescent="0.2"/>
    <row r="4322" customFormat="1" ht="12.75" x14ac:dyDescent="0.2"/>
    <row r="4323" customFormat="1" ht="12.75" x14ac:dyDescent="0.2"/>
    <row r="4324" customFormat="1" ht="12.75" x14ac:dyDescent="0.2"/>
    <row r="4325" customFormat="1" ht="12.75" x14ac:dyDescent="0.2"/>
    <row r="4326" customFormat="1" ht="12.75" x14ac:dyDescent="0.2"/>
    <row r="4327" customFormat="1" ht="12.75" x14ac:dyDescent="0.2"/>
    <row r="4328" customFormat="1" ht="12.75" x14ac:dyDescent="0.2"/>
    <row r="4329" customFormat="1" ht="12.75" x14ac:dyDescent="0.2"/>
    <row r="4330" customFormat="1" ht="12.75" x14ac:dyDescent="0.2"/>
    <row r="4331" customFormat="1" ht="12.75" x14ac:dyDescent="0.2"/>
    <row r="4332" customFormat="1" ht="12.75" x14ac:dyDescent="0.2"/>
    <row r="4333" customFormat="1" ht="12.75" x14ac:dyDescent="0.2"/>
    <row r="4334" customFormat="1" ht="12.75" x14ac:dyDescent="0.2"/>
    <row r="4335" customFormat="1" ht="12.75" x14ac:dyDescent="0.2"/>
    <row r="4336" customFormat="1" ht="12.75" x14ac:dyDescent="0.2"/>
    <row r="4337" customFormat="1" ht="12.75" x14ac:dyDescent="0.2"/>
    <row r="4338" customFormat="1" ht="12.75" x14ac:dyDescent="0.2"/>
    <row r="4339" customFormat="1" ht="12.75" x14ac:dyDescent="0.2"/>
    <row r="4340" customFormat="1" ht="12.75" x14ac:dyDescent="0.2"/>
    <row r="4341" customFormat="1" ht="12.75" x14ac:dyDescent="0.2"/>
    <row r="4342" customFormat="1" ht="12.75" x14ac:dyDescent="0.2"/>
    <row r="4343" customFormat="1" ht="12.75" x14ac:dyDescent="0.2"/>
    <row r="4344" customFormat="1" ht="12.75" x14ac:dyDescent="0.2"/>
    <row r="4345" customFormat="1" ht="12.75" x14ac:dyDescent="0.2"/>
    <row r="4346" customFormat="1" ht="12.75" x14ac:dyDescent="0.2"/>
    <row r="4347" customFormat="1" ht="12.75" x14ac:dyDescent="0.2"/>
    <row r="4348" customFormat="1" ht="12.75" x14ac:dyDescent="0.2"/>
    <row r="4349" customFormat="1" ht="12.75" x14ac:dyDescent="0.2"/>
    <row r="4350" customFormat="1" ht="12.75" x14ac:dyDescent="0.2"/>
    <row r="4351" customFormat="1" ht="12.75" x14ac:dyDescent="0.2"/>
    <row r="4352" customFormat="1" ht="12.75" x14ac:dyDescent="0.2"/>
    <row r="4353" customFormat="1" ht="12.75" x14ac:dyDescent="0.2"/>
    <row r="4354" customFormat="1" ht="12.75" x14ac:dyDescent="0.2"/>
    <row r="4355" customFormat="1" ht="12.75" x14ac:dyDescent="0.2"/>
    <row r="4356" customFormat="1" ht="12.75" x14ac:dyDescent="0.2"/>
    <row r="4357" customFormat="1" ht="12.75" x14ac:dyDescent="0.2"/>
    <row r="4358" customFormat="1" ht="12.75" x14ac:dyDescent="0.2"/>
    <row r="4359" customFormat="1" ht="12.75" x14ac:dyDescent="0.2"/>
    <row r="4360" customFormat="1" ht="12.75" x14ac:dyDescent="0.2"/>
    <row r="4361" customFormat="1" ht="12.75" x14ac:dyDescent="0.2"/>
    <row r="4362" customFormat="1" ht="12.75" x14ac:dyDescent="0.2"/>
    <row r="4363" customFormat="1" ht="12.75" x14ac:dyDescent="0.2"/>
    <row r="4364" customFormat="1" ht="12.75" x14ac:dyDescent="0.2"/>
    <row r="4365" customFormat="1" ht="12.75" x14ac:dyDescent="0.2"/>
    <row r="4366" customFormat="1" ht="12.75" x14ac:dyDescent="0.2"/>
    <row r="4367" customFormat="1" ht="12.75" x14ac:dyDescent="0.2"/>
    <row r="4368" customFormat="1" ht="12.75" x14ac:dyDescent="0.2"/>
    <row r="4369" customFormat="1" ht="12.75" x14ac:dyDescent="0.2"/>
    <row r="4370" customFormat="1" ht="12.75" x14ac:dyDescent="0.2"/>
    <row r="4371" customFormat="1" ht="12.75" x14ac:dyDescent="0.2"/>
    <row r="4372" customFormat="1" ht="12.75" x14ac:dyDescent="0.2"/>
    <row r="4373" customFormat="1" ht="12.75" x14ac:dyDescent="0.2"/>
    <row r="4374" customFormat="1" ht="12.75" x14ac:dyDescent="0.2"/>
    <row r="4375" customFormat="1" ht="12.75" x14ac:dyDescent="0.2"/>
    <row r="4376" customFormat="1" ht="12.75" x14ac:dyDescent="0.2"/>
    <row r="4377" customFormat="1" ht="12.75" x14ac:dyDescent="0.2"/>
    <row r="4378" customFormat="1" ht="12.75" x14ac:dyDescent="0.2"/>
    <row r="4379" customFormat="1" ht="12.75" x14ac:dyDescent="0.2"/>
    <row r="4380" customFormat="1" ht="12.75" x14ac:dyDescent="0.2"/>
    <row r="4381" customFormat="1" ht="12.75" x14ac:dyDescent="0.2"/>
    <row r="4382" customFormat="1" ht="12.75" x14ac:dyDescent="0.2"/>
    <row r="4383" customFormat="1" ht="12.75" x14ac:dyDescent="0.2"/>
    <row r="4384" customFormat="1" ht="12.75" x14ac:dyDescent="0.2"/>
    <row r="4385" customFormat="1" ht="12.75" x14ac:dyDescent="0.2"/>
    <row r="4386" customFormat="1" ht="12.75" x14ac:dyDescent="0.2"/>
    <row r="4387" customFormat="1" ht="12.75" x14ac:dyDescent="0.2"/>
    <row r="4388" customFormat="1" ht="12.75" x14ac:dyDescent="0.2"/>
    <row r="4389" customFormat="1" ht="12.75" x14ac:dyDescent="0.2"/>
    <row r="4390" customFormat="1" ht="12.75" x14ac:dyDescent="0.2"/>
    <row r="4391" customFormat="1" ht="12.75" x14ac:dyDescent="0.2"/>
    <row r="4392" customFormat="1" ht="12.75" x14ac:dyDescent="0.2"/>
    <row r="4393" customFormat="1" ht="12.75" x14ac:dyDescent="0.2"/>
    <row r="4394" customFormat="1" ht="12.75" x14ac:dyDescent="0.2"/>
    <row r="4395" customFormat="1" ht="12.75" x14ac:dyDescent="0.2"/>
    <row r="4396" customFormat="1" ht="12.75" x14ac:dyDescent="0.2"/>
    <row r="4397" customFormat="1" ht="12.75" x14ac:dyDescent="0.2"/>
    <row r="4398" customFormat="1" ht="12.75" x14ac:dyDescent="0.2"/>
    <row r="4399" customFormat="1" ht="12.75" x14ac:dyDescent="0.2"/>
    <row r="4400" customFormat="1" ht="12.75" x14ac:dyDescent="0.2"/>
    <row r="4401" customFormat="1" ht="12.75" x14ac:dyDescent="0.2"/>
    <row r="4402" customFormat="1" ht="12.75" x14ac:dyDescent="0.2"/>
    <row r="4403" customFormat="1" ht="12.75" x14ac:dyDescent="0.2"/>
    <row r="4404" customFormat="1" ht="12.75" x14ac:dyDescent="0.2"/>
    <row r="4405" customFormat="1" ht="12.75" x14ac:dyDescent="0.2"/>
    <row r="4406" customFormat="1" ht="12.75" x14ac:dyDescent="0.2"/>
    <row r="4407" customFormat="1" ht="12.75" x14ac:dyDescent="0.2"/>
    <row r="4408" customFormat="1" ht="12.75" x14ac:dyDescent="0.2"/>
    <row r="4409" customFormat="1" ht="12.75" x14ac:dyDescent="0.2"/>
    <row r="4410" customFormat="1" ht="12.75" x14ac:dyDescent="0.2"/>
    <row r="4411" customFormat="1" ht="12.75" x14ac:dyDescent="0.2"/>
    <row r="4412" customFormat="1" ht="12.75" x14ac:dyDescent="0.2"/>
    <row r="4413" customFormat="1" ht="12.75" x14ac:dyDescent="0.2"/>
    <row r="4414" customFormat="1" ht="12.75" x14ac:dyDescent="0.2"/>
    <row r="4415" customFormat="1" ht="12.75" x14ac:dyDescent="0.2"/>
    <row r="4416" customFormat="1" ht="12.75" x14ac:dyDescent="0.2"/>
    <row r="4417" customFormat="1" ht="12.75" x14ac:dyDescent="0.2"/>
    <row r="4418" customFormat="1" ht="12.75" x14ac:dyDescent="0.2"/>
    <row r="4419" customFormat="1" ht="12.75" x14ac:dyDescent="0.2"/>
    <row r="4420" customFormat="1" ht="12.75" x14ac:dyDescent="0.2"/>
    <row r="4421" customFormat="1" ht="12.75" x14ac:dyDescent="0.2"/>
    <row r="4422" customFormat="1" ht="12.75" x14ac:dyDescent="0.2"/>
    <row r="4423" customFormat="1" ht="12.75" x14ac:dyDescent="0.2"/>
    <row r="4424" customFormat="1" ht="12.75" x14ac:dyDescent="0.2"/>
    <row r="4425" customFormat="1" ht="12.75" x14ac:dyDescent="0.2"/>
    <row r="4426" customFormat="1" ht="12.75" x14ac:dyDescent="0.2"/>
    <row r="4427" customFormat="1" ht="12.75" x14ac:dyDescent="0.2"/>
    <row r="4428" customFormat="1" ht="12.75" x14ac:dyDescent="0.2"/>
    <row r="4429" customFormat="1" ht="12.75" x14ac:dyDescent="0.2"/>
    <row r="4430" customFormat="1" ht="12.75" x14ac:dyDescent="0.2"/>
    <row r="4431" customFormat="1" ht="12.75" x14ac:dyDescent="0.2"/>
    <row r="4432" customFormat="1" ht="12.75" x14ac:dyDescent="0.2"/>
    <row r="4433" customFormat="1" ht="12.75" x14ac:dyDescent="0.2"/>
    <row r="4434" customFormat="1" ht="12.75" x14ac:dyDescent="0.2"/>
    <row r="4435" customFormat="1" ht="12.75" x14ac:dyDescent="0.2"/>
    <row r="4436" customFormat="1" ht="12.75" x14ac:dyDescent="0.2"/>
    <row r="4437" customFormat="1" ht="12.75" x14ac:dyDescent="0.2"/>
    <row r="4438" customFormat="1" ht="12.75" x14ac:dyDescent="0.2"/>
    <row r="4439" customFormat="1" ht="12.75" x14ac:dyDescent="0.2"/>
    <row r="4440" customFormat="1" ht="12.75" x14ac:dyDescent="0.2"/>
    <row r="4441" customFormat="1" ht="12.75" x14ac:dyDescent="0.2"/>
    <row r="4442" customFormat="1" ht="12.75" x14ac:dyDescent="0.2"/>
    <row r="4443" customFormat="1" ht="12.75" x14ac:dyDescent="0.2"/>
    <row r="4444" customFormat="1" ht="12.75" x14ac:dyDescent="0.2"/>
    <row r="4445" customFormat="1" ht="12.75" x14ac:dyDescent="0.2"/>
    <row r="4446" customFormat="1" ht="12.75" x14ac:dyDescent="0.2"/>
    <row r="4447" customFormat="1" ht="12.75" x14ac:dyDescent="0.2"/>
    <row r="4448" customFormat="1" ht="12.75" x14ac:dyDescent="0.2"/>
    <row r="4449" customFormat="1" ht="12.75" x14ac:dyDescent="0.2"/>
    <row r="4450" customFormat="1" ht="12.75" x14ac:dyDescent="0.2"/>
    <row r="4451" customFormat="1" ht="12.75" x14ac:dyDescent="0.2"/>
    <row r="4452" customFormat="1" ht="12.75" x14ac:dyDescent="0.2"/>
    <row r="4453" customFormat="1" ht="12.75" x14ac:dyDescent="0.2"/>
    <row r="4454" customFormat="1" ht="12.75" x14ac:dyDescent="0.2"/>
    <row r="4455" customFormat="1" ht="12.75" x14ac:dyDescent="0.2"/>
    <row r="4456" customFormat="1" ht="12.75" x14ac:dyDescent="0.2"/>
    <row r="4457" customFormat="1" ht="12.75" x14ac:dyDescent="0.2"/>
    <row r="4458" customFormat="1" ht="12.75" x14ac:dyDescent="0.2"/>
    <row r="4459" customFormat="1" ht="12.75" x14ac:dyDescent="0.2"/>
    <row r="4460" customFormat="1" ht="12.75" x14ac:dyDescent="0.2"/>
    <row r="4461" customFormat="1" ht="12.75" x14ac:dyDescent="0.2"/>
    <row r="4462" customFormat="1" ht="12.75" x14ac:dyDescent="0.2"/>
    <row r="4463" customFormat="1" ht="12.75" x14ac:dyDescent="0.2"/>
    <row r="4464" customFormat="1" ht="12.75" x14ac:dyDescent="0.2"/>
    <row r="4465" customFormat="1" ht="12.75" x14ac:dyDescent="0.2"/>
    <row r="4466" customFormat="1" ht="12.75" x14ac:dyDescent="0.2"/>
    <row r="4467" customFormat="1" ht="12.75" x14ac:dyDescent="0.2"/>
    <row r="4468" customFormat="1" ht="12.75" x14ac:dyDescent="0.2"/>
    <row r="4469" customFormat="1" ht="12.75" x14ac:dyDescent="0.2"/>
    <row r="4470" customFormat="1" ht="12.75" x14ac:dyDescent="0.2"/>
    <row r="4471" customFormat="1" ht="12.75" x14ac:dyDescent="0.2"/>
    <row r="4472" customFormat="1" ht="12.75" x14ac:dyDescent="0.2"/>
    <row r="4473" customFormat="1" ht="12.75" x14ac:dyDescent="0.2"/>
    <row r="4474" customFormat="1" ht="12.75" x14ac:dyDescent="0.2"/>
    <row r="4475" customFormat="1" ht="12.75" x14ac:dyDescent="0.2"/>
    <row r="4476" customFormat="1" ht="12.75" x14ac:dyDescent="0.2"/>
    <row r="4477" customFormat="1" ht="12.75" x14ac:dyDescent="0.2"/>
    <row r="4478" customFormat="1" ht="12.75" x14ac:dyDescent="0.2"/>
    <row r="4479" customFormat="1" ht="12.75" x14ac:dyDescent="0.2"/>
    <row r="4480" customFormat="1" ht="12.75" x14ac:dyDescent="0.2"/>
    <row r="4481" customFormat="1" ht="12.75" x14ac:dyDescent="0.2"/>
    <row r="4482" customFormat="1" ht="12.75" x14ac:dyDescent="0.2"/>
    <row r="4483" customFormat="1" ht="12.75" x14ac:dyDescent="0.2"/>
    <row r="4484" customFormat="1" ht="12.75" x14ac:dyDescent="0.2"/>
    <row r="4485" customFormat="1" ht="12.75" x14ac:dyDescent="0.2"/>
    <row r="4486" customFormat="1" ht="12.75" x14ac:dyDescent="0.2"/>
    <row r="4487" customFormat="1" ht="12.75" x14ac:dyDescent="0.2"/>
    <row r="4488" customFormat="1" ht="12.75" x14ac:dyDescent="0.2"/>
    <row r="4489" customFormat="1" ht="12.75" x14ac:dyDescent="0.2"/>
    <row r="4490" customFormat="1" ht="12.75" x14ac:dyDescent="0.2"/>
    <row r="4491" customFormat="1" ht="12.75" x14ac:dyDescent="0.2"/>
    <row r="4492" customFormat="1" ht="12.75" x14ac:dyDescent="0.2"/>
    <row r="4493" customFormat="1" ht="12.75" x14ac:dyDescent="0.2"/>
    <row r="4494" customFormat="1" ht="12.75" x14ac:dyDescent="0.2"/>
    <row r="4495" customFormat="1" ht="12.75" x14ac:dyDescent="0.2"/>
    <row r="4496" customFormat="1" ht="12.75" x14ac:dyDescent="0.2"/>
    <row r="4497" customFormat="1" ht="12.75" x14ac:dyDescent="0.2"/>
    <row r="4498" customFormat="1" ht="12.75" x14ac:dyDescent="0.2"/>
    <row r="4499" customFormat="1" ht="12.75" x14ac:dyDescent="0.2"/>
    <row r="4500" customFormat="1" ht="12.75" x14ac:dyDescent="0.2"/>
    <row r="4501" customFormat="1" ht="12.75" x14ac:dyDescent="0.2"/>
    <row r="4502" customFormat="1" ht="12.75" x14ac:dyDescent="0.2"/>
    <row r="4503" customFormat="1" ht="12.75" x14ac:dyDescent="0.2"/>
    <row r="4504" customFormat="1" ht="12.75" x14ac:dyDescent="0.2"/>
    <row r="4505" customFormat="1" ht="12.75" x14ac:dyDescent="0.2"/>
    <row r="4506" customFormat="1" ht="12.75" x14ac:dyDescent="0.2"/>
    <row r="4507" customFormat="1" ht="12.75" x14ac:dyDescent="0.2"/>
    <row r="4508" customFormat="1" ht="12.75" x14ac:dyDescent="0.2"/>
    <row r="4509" customFormat="1" ht="12.75" x14ac:dyDescent="0.2"/>
    <row r="4510" customFormat="1" ht="12.75" x14ac:dyDescent="0.2"/>
    <row r="4511" customFormat="1" ht="12.75" x14ac:dyDescent="0.2"/>
    <row r="4512" customFormat="1" ht="12.75" x14ac:dyDescent="0.2"/>
    <row r="4513" customFormat="1" ht="12.75" x14ac:dyDescent="0.2"/>
    <row r="4514" customFormat="1" ht="12.75" x14ac:dyDescent="0.2"/>
    <row r="4515" customFormat="1" ht="12.75" x14ac:dyDescent="0.2"/>
    <row r="4516" customFormat="1" ht="12.75" x14ac:dyDescent="0.2"/>
    <row r="4517" customFormat="1" ht="12.75" x14ac:dyDescent="0.2"/>
    <row r="4518" customFormat="1" ht="12.75" x14ac:dyDescent="0.2"/>
    <row r="4519" customFormat="1" ht="12.75" x14ac:dyDescent="0.2"/>
    <row r="4520" customFormat="1" ht="12.75" x14ac:dyDescent="0.2"/>
    <row r="4521" customFormat="1" ht="12.75" x14ac:dyDescent="0.2"/>
    <row r="4522" customFormat="1" ht="12.75" x14ac:dyDescent="0.2"/>
    <row r="4523" customFormat="1" ht="12.75" x14ac:dyDescent="0.2"/>
    <row r="4524" customFormat="1" ht="12.75" x14ac:dyDescent="0.2"/>
    <row r="4525" customFormat="1" ht="12.75" x14ac:dyDescent="0.2"/>
    <row r="4526" customFormat="1" ht="12.75" x14ac:dyDescent="0.2"/>
    <row r="4527" customFormat="1" ht="12.75" x14ac:dyDescent="0.2"/>
    <row r="4528" customFormat="1" ht="12.75" x14ac:dyDescent="0.2"/>
    <row r="4529" customFormat="1" ht="12.75" x14ac:dyDescent="0.2"/>
    <row r="4530" customFormat="1" ht="12.75" x14ac:dyDescent="0.2"/>
    <row r="4531" customFormat="1" ht="12.75" x14ac:dyDescent="0.2"/>
    <row r="4532" customFormat="1" ht="12.75" x14ac:dyDescent="0.2"/>
    <row r="4533" customFormat="1" ht="12.75" x14ac:dyDescent="0.2"/>
    <row r="4534" customFormat="1" ht="12.75" x14ac:dyDescent="0.2"/>
    <row r="4535" customFormat="1" ht="12.75" x14ac:dyDescent="0.2"/>
    <row r="4536" customFormat="1" ht="12.75" x14ac:dyDescent="0.2"/>
    <row r="4537" customFormat="1" ht="12.75" x14ac:dyDescent="0.2"/>
    <row r="4538" customFormat="1" ht="12.75" x14ac:dyDescent="0.2"/>
    <row r="4539" customFormat="1" ht="12.75" x14ac:dyDescent="0.2"/>
    <row r="4540" customFormat="1" ht="12.75" x14ac:dyDescent="0.2"/>
    <row r="4541" customFormat="1" ht="12.75" x14ac:dyDescent="0.2"/>
    <row r="4542" customFormat="1" ht="12.75" x14ac:dyDescent="0.2"/>
    <row r="4543" customFormat="1" ht="12.75" x14ac:dyDescent="0.2"/>
    <row r="4544" customFormat="1" ht="12.75" x14ac:dyDescent="0.2"/>
    <row r="4545" customFormat="1" ht="12.75" x14ac:dyDescent="0.2"/>
    <row r="4546" customFormat="1" ht="12.75" x14ac:dyDescent="0.2"/>
    <row r="4547" customFormat="1" ht="12.75" x14ac:dyDescent="0.2"/>
    <row r="4548" customFormat="1" ht="12.75" x14ac:dyDescent="0.2"/>
    <row r="4549" customFormat="1" ht="12.75" x14ac:dyDescent="0.2"/>
    <row r="4550" customFormat="1" ht="12.75" x14ac:dyDescent="0.2"/>
    <row r="4551" customFormat="1" ht="12.75" x14ac:dyDescent="0.2"/>
    <row r="4552" customFormat="1" ht="12.75" x14ac:dyDescent="0.2"/>
    <row r="4553" customFormat="1" ht="12.75" x14ac:dyDescent="0.2"/>
    <row r="4554" customFormat="1" ht="12.75" x14ac:dyDescent="0.2"/>
    <row r="4555" customFormat="1" ht="12.75" x14ac:dyDescent="0.2"/>
    <row r="4556" customFormat="1" ht="12.75" x14ac:dyDescent="0.2"/>
    <row r="4557" customFormat="1" ht="12.75" x14ac:dyDescent="0.2"/>
    <row r="4558" customFormat="1" ht="12.75" x14ac:dyDescent="0.2"/>
    <row r="4559" customFormat="1" ht="12.75" x14ac:dyDescent="0.2"/>
    <row r="4560" customFormat="1" ht="12.75" x14ac:dyDescent="0.2"/>
    <row r="4561" customFormat="1" ht="12.75" x14ac:dyDescent="0.2"/>
    <row r="4562" customFormat="1" ht="12.75" x14ac:dyDescent="0.2"/>
    <row r="4563" customFormat="1" ht="12.75" x14ac:dyDescent="0.2"/>
    <row r="4564" customFormat="1" ht="12.75" x14ac:dyDescent="0.2"/>
    <row r="4565" customFormat="1" ht="12.75" x14ac:dyDescent="0.2"/>
    <row r="4566" customFormat="1" ht="12.75" x14ac:dyDescent="0.2"/>
    <row r="4567" customFormat="1" ht="12.75" x14ac:dyDescent="0.2"/>
    <row r="4568" customFormat="1" ht="12.75" x14ac:dyDescent="0.2"/>
    <row r="4569" customFormat="1" ht="12.75" x14ac:dyDescent="0.2"/>
    <row r="4570" customFormat="1" ht="12.75" x14ac:dyDescent="0.2"/>
    <row r="4571" customFormat="1" ht="12.75" x14ac:dyDescent="0.2"/>
    <row r="4572" customFormat="1" ht="12.75" x14ac:dyDescent="0.2"/>
    <row r="4573" customFormat="1" ht="12.75" x14ac:dyDescent="0.2"/>
    <row r="4574" customFormat="1" ht="12.75" x14ac:dyDescent="0.2"/>
    <row r="4575" customFormat="1" ht="12.75" x14ac:dyDescent="0.2"/>
    <row r="4576" customFormat="1" ht="12.75" x14ac:dyDescent="0.2"/>
    <row r="4577" customFormat="1" ht="12.75" x14ac:dyDescent="0.2"/>
    <row r="4578" customFormat="1" ht="12.75" x14ac:dyDescent="0.2"/>
    <row r="4579" customFormat="1" ht="12.75" x14ac:dyDescent="0.2"/>
    <row r="4580" customFormat="1" ht="12.75" x14ac:dyDescent="0.2"/>
    <row r="4581" customFormat="1" ht="12.75" x14ac:dyDescent="0.2"/>
    <row r="4582" customFormat="1" ht="12.75" x14ac:dyDescent="0.2"/>
    <row r="4583" customFormat="1" ht="12.75" x14ac:dyDescent="0.2"/>
    <row r="4584" customFormat="1" ht="12.75" x14ac:dyDescent="0.2"/>
    <row r="4585" customFormat="1" ht="12.75" x14ac:dyDescent="0.2"/>
    <row r="4586" customFormat="1" ht="12.75" x14ac:dyDescent="0.2"/>
    <row r="4587" customFormat="1" ht="12.75" x14ac:dyDescent="0.2"/>
    <row r="4588" customFormat="1" ht="12.75" x14ac:dyDescent="0.2"/>
    <row r="4589" customFormat="1" ht="12.75" x14ac:dyDescent="0.2"/>
    <row r="4590" customFormat="1" ht="12.75" x14ac:dyDescent="0.2"/>
    <row r="4591" customFormat="1" ht="12.75" x14ac:dyDescent="0.2"/>
    <row r="4592" customFormat="1" ht="12.75" x14ac:dyDescent="0.2"/>
    <row r="4593" customFormat="1" ht="12.75" x14ac:dyDescent="0.2"/>
    <row r="4594" customFormat="1" ht="12.75" x14ac:dyDescent="0.2"/>
    <row r="4595" customFormat="1" ht="12.75" x14ac:dyDescent="0.2"/>
    <row r="4596" customFormat="1" ht="12.75" x14ac:dyDescent="0.2"/>
    <row r="4597" customFormat="1" ht="12.75" x14ac:dyDescent="0.2"/>
    <row r="4598" customFormat="1" ht="12.75" x14ac:dyDescent="0.2"/>
    <row r="4599" customFormat="1" ht="12.75" x14ac:dyDescent="0.2"/>
    <row r="4600" customFormat="1" ht="12.75" x14ac:dyDescent="0.2"/>
    <row r="4601" customFormat="1" ht="12.75" x14ac:dyDescent="0.2"/>
    <row r="4602" customFormat="1" ht="12.75" x14ac:dyDescent="0.2"/>
    <row r="4603" customFormat="1" ht="12.75" x14ac:dyDescent="0.2"/>
    <row r="4604" customFormat="1" ht="12.75" x14ac:dyDescent="0.2"/>
    <row r="4605" customFormat="1" ht="12.75" x14ac:dyDescent="0.2"/>
    <row r="4606" customFormat="1" ht="12.75" x14ac:dyDescent="0.2"/>
    <row r="4607" customFormat="1" ht="12.75" x14ac:dyDescent="0.2"/>
    <row r="4608" customFormat="1" ht="12.75" x14ac:dyDescent="0.2"/>
    <row r="4609" customFormat="1" ht="12.75" x14ac:dyDescent="0.2"/>
    <row r="4610" customFormat="1" ht="12.75" x14ac:dyDescent="0.2"/>
    <row r="4611" customFormat="1" ht="12.75" x14ac:dyDescent="0.2"/>
    <row r="4612" customFormat="1" ht="12.75" x14ac:dyDescent="0.2"/>
    <row r="4613" customFormat="1" ht="12.75" x14ac:dyDescent="0.2"/>
    <row r="4614" customFormat="1" ht="12.75" x14ac:dyDescent="0.2"/>
    <row r="4615" customFormat="1" ht="12.75" x14ac:dyDescent="0.2"/>
    <row r="4616" customFormat="1" ht="12.75" x14ac:dyDescent="0.2"/>
    <row r="4617" customFormat="1" ht="12.75" x14ac:dyDescent="0.2"/>
    <row r="4618" customFormat="1" ht="12.75" x14ac:dyDescent="0.2"/>
    <row r="4619" customFormat="1" ht="12.75" x14ac:dyDescent="0.2"/>
    <row r="4620" customFormat="1" ht="12.75" x14ac:dyDescent="0.2"/>
    <row r="4621" customFormat="1" ht="12.75" x14ac:dyDescent="0.2"/>
    <row r="4622" customFormat="1" ht="12.75" x14ac:dyDescent="0.2"/>
    <row r="4623" customFormat="1" ht="12.75" x14ac:dyDescent="0.2"/>
    <row r="4624" customFormat="1" ht="12.75" x14ac:dyDescent="0.2"/>
    <row r="4625" customFormat="1" ht="12.75" x14ac:dyDescent="0.2"/>
    <row r="4626" customFormat="1" ht="12.75" x14ac:dyDescent="0.2"/>
    <row r="4627" customFormat="1" ht="12.75" x14ac:dyDescent="0.2"/>
    <row r="4628" customFormat="1" ht="12.75" x14ac:dyDescent="0.2"/>
    <row r="4629" customFormat="1" ht="12.75" x14ac:dyDescent="0.2"/>
    <row r="4630" customFormat="1" ht="12.75" x14ac:dyDescent="0.2"/>
    <row r="4631" customFormat="1" ht="12.75" x14ac:dyDescent="0.2"/>
    <row r="4632" customFormat="1" ht="12.75" x14ac:dyDescent="0.2"/>
    <row r="4633" customFormat="1" ht="12.75" x14ac:dyDescent="0.2"/>
    <row r="4634" customFormat="1" ht="12.75" x14ac:dyDescent="0.2"/>
    <row r="4635" customFormat="1" ht="12.75" x14ac:dyDescent="0.2"/>
    <row r="4636" customFormat="1" ht="12.75" x14ac:dyDescent="0.2"/>
    <row r="4637" customFormat="1" ht="12.75" x14ac:dyDescent="0.2"/>
    <row r="4638" customFormat="1" ht="12.75" x14ac:dyDescent="0.2"/>
    <row r="4639" customFormat="1" ht="12.75" x14ac:dyDescent="0.2"/>
    <row r="4640" customFormat="1" ht="12.75" x14ac:dyDescent="0.2"/>
    <row r="4641" customFormat="1" ht="12.75" x14ac:dyDescent="0.2"/>
    <row r="4642" customFormat="1" ht="12.75" x14ac:dyDescent="0.2"/>
    <row r="4643" customFormat="1" ht="12.75" x14ac:dyDescent="0.2"/>
    <row r="4644" customFormat="1" ht="12.75" x14ac:dyDescent="0.2"/>
    <row r="4645" customFormat="1" ht="12.75" x14ac:dyDescent="0.2"/>
    <row r="4646" customFormat="1" ht="12.75" x14ac:dyDescent="0.2"/>
    <row r="4647" customFormat="1" ht="12.75" x14ac:dyDescent="0.2"/>
    <row r="4648" customFormat="1" ht="12.75" x14ac:dyDescent="0.2"/>
    <row r="4649" customFormat="1" ht="12.75" x14ac:dyDescent="0.2"/>
    <row r="4650" customFormat="1" ht="12.75" x14ac:dyDescent="0.2"/>
    <row r="4651" customFormat="1" ht="12.75" x14ac:dyDescent="0.2"/>
    <row r="4652" customFormat="1" ht="12.75" x14ac:dyDescent="0.2"/>
    <row r="4653" customFormat="1" ht="12.75" x14ac:dyDescent="0.2"/>
    <row r="4654" customFormat="1" ht="12.75" x14ac:dyDescent="0.2"/>
    <row r="4655" customFormat="1" ht="12.75" x14ac:dyDescent="0.2"/>
    <row r="4656" customFormat="1" ht="12.75" x14ac:dyDescent="0.2"/>
    <row r="4657" customFormat="1" ht="12.75" x14ac:dyDescent="0.2"/>
    <row r="4658" customFormat="1" ht="12.75" x14ac:dyDescent="0.2"/>
    <row r="4659" customFormat="1" ht="12.75" x14ac:dyDescent="0.2"/>
    <row r="4660" customFormat="1" ht="12.75" x14ac:dyDescent="0.2"/>
    <row r="4661" customFormat="1" ht="12.75" x14ac:dyDescent="0.2"/>
    <row r="4662" customFormat="1" ht="12.75" x14ac:dyDescent="0.2"/>
    <row r="4663" customFormat="1" ht="12.75" x14ac:dyDescent="0.2"/>
    <row r="4664" customFormat="1" ht="12.75" x14ac:dyDescent="0.2"/>
    <row r="4665" customFormat="1" ht="12.75" x14ac:dyDescent="0.2"/>
    <row r="4666" customFormat="1" ht="12.75" x14ac:dyDescent="0.2"/>
    <row r="4667" customFormat="1" ht="12.75" x14ac:dyDescent="0.2"/>
    <row r="4668" customFormat="1" ht="12.75" x14ac:dyDescent="0.2"/>
    <row r="4669" customFormat="1" ht="12.75" x14ac:dyDescent="0.2"/>
    <row r="4670" customFormat="1" ht="12.75" x14ac:dyDescent="0.2"/>
    <row r="4671" customFormat="1" ht="12.75" x14ac:dyDescent="0.2"/>
    <row r="4672" customFormat="1" ht="12.75" x14ac:dyDescent="0.2"/>
    <row r="4673" customFormat="1" ht="12.75" x14ac:dyDescent="0.2"/>
    <row r="4674" customFormat="1" ht="12.75" x14ac:dyDescent="0.2"/>
    <row r="4675" customFormat="1" ht="12.75" x14ac:dyDescent="0.2"/>
    <row r="4676" customFormat="1" ht="12.75" x14ac:dyDescent="0.2"/>
    <row r="4677" customFormat="1" ht="12.75" x14ac:dyDescent="0.2"/>
    <row r="4678" customFormat="1" ht="12.75" x14ac:dyDescent="0.2"/>
    <row r="4679" customFormat="1" ht="12.75" x14ac:dyDescent="0.2"/>
    <row r="4680" customFormat="1" ht="12.75" x14ac:dyDescent="0.2"/>
    <row r="4681" customFormat="1" ht="12.75" x14ac:dyDescent="0.2"/>
    <row r="4682" customFormat="1" ht="12.75" x14ac:dyDescent="0.2"/>
    <row r="4683" customFormat="1" ht="12.75" x14ac:dyDescent="0.2"/>
    <row r="4684" customFormat="1" ht="12.75" x14ac:dyDescent="0.2"/>
    <row r="4685" customFormat="1" ht="12.75" x14ac:dyDescent="0.2"/>
    <row r="4686" customFormat="1" ht="12.75" x14ac:dyDescent="0.2"/>
    <row r="4687" customFormat="1" ht="12.75" x14ac:dyDescent="0.2"/>
    <row r="4688" customFormat="1" ht="12.75" x14ac:dyDescent="0.2"/>
    <row r="4689" customFormat="1" ht="12.75" x14ac:dyDescent="0.2"/>
    <row r="4690" customFormat="1" ht="12.75" x14ac:dyDescent="0.2"/>
    <row r="4691" customFormat="1" ht="12.75" x14ac:dyDescent="0.2"/>
    <row r="4692" customFormat="1" ht="12.75" x14ac:dyDescent="0.2"/>
    <row r="4693" customFormat="1" ht="12.75" x14ac:dyDescent="0.2"/>
    <row r="4694" customFormat="1" ht="12.75" x14ac:dyDescent="0.2"/>
    <row r="4695" customFormat="1" ht="12.75" x14ac:dyDescent="0.2"/>
    <row r="4696" customFormat="1" ht="12.75" x14ac:dyDescent="0.2"/>
    <row r="4697" customFormat="1" ht="12.75" x14ac:dyDescent="0.2"/>
    <row r="4698" customFormat="1" ht="12.75" x14ac:dyDescent="0.2"/>
    <row r="4699" customFormat="1" ht="12.75" x14ac:dyDescent="0.2"/>
    <row r="4700" customFormat="1" ht="12.75" x14ac:dyDescent="0.2"/>
    <row r="4701" customFormat="1" ht="12.75" x14ac:dyDescent="0.2"/>
    <row r="4702" customFormat="1" ht="12.75" x14ac:dyDescent="0.2"/>
    <row r="4703" customFormat="1" ht="12.75" x14ac:dyDescent="0.2"/>
    <row r="4704" customFormat="1" ht="12.75" x14ac:dyDescent="0.2"/>
    <row r="4705" customFormat="1" ht="12.75" x14ac:dyDescent="0.2"/>
    <row r="4706" customFormat="1" ht="12.75" x14ac:dyDescent="0.2"/>
    <row r="4707" customFormat="1" ht="12.75" x14ac:dyDescent="0.2"/>
    <row r="4708" customFormat="1" ht="12.75" x14ac:dyDescent="0.2"/>
    <row r="4709" customFormat="1" ht="12.75" x14ac:dyDescent="0.2"/>
    <row r="4710" customFormat="1" ht="12.75" x14ac:dyDescent="0.2"/>
    <row r="4711" customFormat="1" ht="12.75" x14ac:dyDescent="0.2"/>
    <row r="4712" customFormat="1" ht="12.75" x14ac:dyDescent="0.2"/>
    <row r="4713" customFormat="1" ht="12.75" x14ac:dyDescent="0.2"/>
    <row r="4714" customFormat="1" ht="12.75" x14ac:dyDescent="0.2"/>
    <row r="4715" customFormat="1" ht="12.75" x14ac:dyDescent="0.2"/>
    <row r="4716" customFormat="1" ht="12.75" x14ac:dyDescent="0.2"/>
    <row r="4717" customFormat="1" ht="12.75" x14ac:dyDescent="0.2"/>
    <row r="4718" customFormat="1" ht="12.75" x14ac:dyDescent="0.2"/>
    <row r="4719" customFormat="1" ht="12.75" x14ac:dyDescent="0.2"/>
    <row r="4720" customFormat="1" ht="12.75" x14ac:dyDescent="0.2"/>
    <row r="4721" customFormat="1" ht="12.75" x14ac:dyDescent="0.2"/>
    <row r="4722" customFormat="1" ht="12.75" x14ac:dyDescent="0.2"/>
    <row r="4723" customFormat="1" ht="12.75" x14ac:dyDescent="0.2"/>
    <row r="4724" customFormat="1" ht="12.75" x14ac:dyDescent="0.2"/>
    <row r="4725" customFormat="1" ht="12.75" x14ac:dyDescent="0.2"/>
    <row r="4726" customFormat="1" ht="12.75" x14ac:dyDescent="0.2"/>
    <row r="4727" customFormat="1" ht="12.75" x14ac:dyDescent="0.2"/>
    <row r="4728" customFormat="1" ht="12.75" x14ac:dyDescent="0.2"/>
    <row r="4729" customFormat="1" ht="12.75" x14ac:dyDescent="0.2"/>
    <row r="4730" customFormat="1" ht="12.75" x14ac:dyDescent="0.2"/>
    <row r="4731" customFormat="1" ht="12.75" x14ac:dyDescent="0.2"/>
    <row r="4732" customFormat="1" ht="12.75" x14ac:dyDescent="0.2"/>
    <row r="4733" customFormat="1" ht="12.75" x14ac:dyDescent="0.2"/>
    <row r="4734" customFormat="1" ht="12.75" x14ac:dyDescent="0.2"/>
    <row r="4735" customFormat="1" ht="12.75" x14ac:dyDescent="0.2"/>
    <row r="4736" customFormat="1" ht="12.75" x14ac:dyDescent="0.2"/>
    <row r="4737" customFormat="1" ht="12.75" x14ac:dyDescent="0.2"/>
    <row r="4738" customFormat="1" ht="12.75" x14ac:dyDescent="0.2"/>
    <row r="4739" customFormat="1" ht="12.75" x14ac:dyDescent="0.2"/>
    <row r="4740" customFormat="1" ht="12.75" x14ac:dyDescent="0.2"/>
    <row r="4741" customFormat="1" ht="12.75" x14ac:dyDescent="0.2"/>
    <row r="4742" customFormat="1" ht="12.75" x14ac:dyDescent="0.2"/>
    <row r="4743" customFormat="1" ht="12.75" x14ac:dyDescent="0.2"/>
    <row r="4744" customFormat="1" ht="12.75" x14ac:dyDescent="0.2"/>
    <row r="4745" customFormat="1" ht="12.75" x14ac:dyDescent="0.2"/>
    <row r="4746" customFormat="1" ht="12.75" x14ac:dyDescent="0.2"/>
    <row r="4747" customFormat="1" ht="12.75" x14ac:dyDescent="0.2"/>
    <row r="4748" customFormat="1" ht="12.75" x14ac:dyDescent="0.2"/>
    <row r="4749" customFormat="1" ht="12.75" x14ac:dyDescent="0.2"/>
    <row r="4750" customFormat="1" ht="12.75" x14ac:dyDescent="0.2"/>
    <row r="4751" customFormat="1" ht="12.75" x14ac:dyDescent="0.2"/>
    <row r="4752" customFormat="1" ht="12.75" x14ac:dyDescent="0.2"/>
    <row r="4753" customFormat="1" ht="12.75" x14ac:dyDescent="0.2"/>
    <row r="4754" customFormat="1" ht="12.75" x14ac:dyDescent="0.2"/>
    <row r="4755" customFormat="1" ht="12.75" x14ac:dyDescent="0.2"/>
    <row r="4756" customFormat="1" ht="12.75" x14ac:dyDescent="0.2"/>
    <row r="4757" customFormat="1" ht="12.75" x14ac:dyDescent="0.2"/>
    <row r="4758" customFormat="1" ht="12.75" x14ac:dyDescent="0.2"/>
    <row r="4759" customFormat="1" ht="12.75" x14ac:dyDescent="0.2"/>
    <row r="4760" customFormat="1" ht="12.75" x14ac:dyDescent="0.2"/>
    <row r="4761" customFormat="1" ht="12.75" x14ac:dyDescent="0.2"/>
    <row r="4762" customFormat="1" ht="12.75" x14ac:dyDescent="0.2"/>
    <row r="4763" customFormat="1" ht="12.75" x14ac:dyDescent="0.2"/>
    <row r="4764" customFormat="1" ht="12.75" x14ac:dyDescent="0.2"/>
    <row r="4765" customFormat="1" ht="12.75" x14ac:dyDescent="0.2"/>
    <row r="4766" customFormat="1" ht="12.75" x14ac:dyDescent="0.2"/>
    <row r="4767" customFormat="1" ht="12.75" x14ac:dyDescent="0.2"/>
    <row r="4768" customFormat="1" ht="12.75" x14ac:dyDescent="0.2"/>
    <row r="4769" customFormat="1" ht="12.75" x14ac:dyDescent="0.2"/>
    <row r="4770" customFormat="1" ht="12.75" x14ac:dyDescent="0.2"/>
    <row r="4771" customFormat="1" ht="12.75" x14ac:dyDescent="0.2"/>
    <row r="4772" customFormat="1" ht="12.75" x14ac:dyDescent="0.2"/>
    <row r="4773" customFormat="1" ht="12.75" x14ac:dyDescent="0.2"/>
    <row r="4774" customFormat="1" ht="12.75" x14ac:dyDescent="0.2"/>
    <row r="4775" customFormat="1" ht="12.75" x14ac:dyDescent="0.2"/>
    <row r="4776" customFormat="1" ht="12.75" x14ac:dyDescent="0.2"/>
    <row r="4777" customFormat="1" ht="12.75" x14ac:dyDescent="0.2"/>
    <row r="4778" customFormat="1" ht="12.75" x14ac:dyDescent="0.2"/>
    <row r="4779" customFormat="1" ht="12.75" x14ac:dyDescent="0.2"/>
    <row r="4780" customFormat="1" ht="12.75" x14ac:dyDescent="0.2"/>
    <row r="4781" customFormat="1" ht="12.75" x14ac:dyDescent="0.2"/>
    <row r="4782" customFormat="1" ht="12.75" x14ac:dyDescent="0.2"/>
    <row r="4783" customFormat="1" ht="12.75" x14ac:dyDescent="0.2"/>
    <row r="4784" customFormat="1" ht="12.75" x14ac:dyDescent="0.2"/>
    <row r="4785" customFormat="1" ht="12.75" x14ac:dyDescent="0.2"/>
    <row r="4786" customFormat="1" ht="12.75" x14ac:dyDescent="0.2"/>
    <row r="4787" customFormat="1" ht="12.75" x14ac:dyDescent="0.2"/>
    <row r="4788" customFormat="1" ht="12.75" x14ac:dyDescent="0.2"/>
    <row r="4789" customFormat="1" ht="12.75" x14ac:dyDescent="0.2"/>
    <row r="4790" customFormat="1" ht="12.75" x14ac:dyDescent="0.2"/>
    <row r="4791" customFormat="1" ht="12.75" x14ac:dyDescent="0.2"/>
    <row r="4792" customFormat="1" ht="12.75" x14ac:dyDescent="0.2"/>
    <row r="4793" customFormat="1" ht="12.75" x14ac:dyDescent="0.2"/>
    <row r="4794" customFormat="1" ht="12.75" x14ac:dyDescent="0.2"/>
    <row r="4795" customFormat="1" ht="12.75" x14ac:dyDescent="0.2"/>
    <row r="4796" customFormat="1" ht="12.75" x14ac:dyDescent="0.2"/>
    <row r="4797" customFormat="1" ht="12.75" x14ac:dyDescent="0.2"/>
    <row r="4798" customFormat="1" ht="12.75" x14ac:dyDescent="0.2"/>
    <row r="4799" customFormat="1" ht="12.75" x14ac:dyDescent="0.2"/>
    <row r="4800" customFormat="1" ht="12.75" x14ac:dyDescent="0.2"/>
    <row r="4801" customFormat="1" ht="12.75" x14ac:dyDescent="0.2"/>
    <row r="4802" customFormat="1" ht="12.75" x14ac:dyDescent="0.2"/>
    <row r="4803" customFormat="1" ht="12.75" x14ac:dyDescent="0.2"/>
    <row r="4804" customFormat="1" ht="12.75" x14ac:dyDescent="0.2"/>
    <row r="4805" customFormat="1" ht="12.75" x14ac:dyDescent="0.2"/>
    <row r="4806" customFormat="1" ht="12.75" x14ac:dyDescent="0.2"/>
    <row r="4807" customFormat="1" ht="12.75" x14ac:dyDescent="0.2"/>
    <row r="4808" customFormat="1" ht="12.75" x14ac:dyDescent="0.2"/>
    <row r="4809" customFormat="1" ht="12.75" x14ac:dyDescent="0.2"/>
    <row r="4810" customFormat="1" ht="12.75" x14ac:dyDescent="0.2"/>
    <row r="4811" customFormat="1" ht="12.75" x14ac:dyDescent="0.2"/>
    <row r="4812" customFormat="1" ht="12.75" x14ac:dyDescent="0.2"/>
    <row r="4813" customFormat="1" ht="12.75" x14ac:dyDescent="0.2"/>
    <row r="4814" customFormat="1" ht="12.75" x14ac:dyDescent="0.2"/>
    <row r="4815" customFormat="1" ht="12.75" x14ac:dyDescent="0.2"/>
    <row r="4816" customFormat="1" ht="12.75" x14ac:dyDescent="0.2"/>
    <row r="4817" customFormat="1" ht="12.75" x14ac:dyDescent="0.2"/>
    <row r="4818" customFormat="1" ht="12.75" x14ac:dyDescent="0.2"/>
    <row r="4819" customFormat="1" ht="12.75" x14ac:dyDescent="0.2"/>
    <row r="4820" customFormat="1" ht="12.75" x14ac:dyDescent="0.2"/>
    <row r="4821" customFormat="1" ht="12.75" x14ac:dyDescent="0.2"/>
    <row r="4822" customFormat="1" ht="12.75" x14ac:dyDescent="0.2"/>
    <row r="4823" customFormat="1" ht="12.75" x14ac:dyDescent="0.2"/>
    <row r="4824" customFormat="1" ht="12.75" x14ac:dyDescent="0.2"/>
    <row r="4825" customFormat="1" ht="12.75" x14ac:dyDescent="0.2"/>
    <row r="4826" customFormat="1" ht="12.75" x14ac:dyDescent="0.2"/>
    <row r="4827" customFormat="1" ht="12.75" x14ac:dyDescent="0.2"/>
    <row r="4828" customFormat="1" ht="12.75" x14ac:dyDescent="0.2"/>
    <row r="4829" customFormat="1" ht="12.75" x14ac:dyDescent="0.2"/>
    <row r="4830" customFormat="1" ht="12.75" x14ac:dyDescent="0.2"/>
    <row r="4831" customFormat="1" ht="12.75" x14ac:dyDescent="0.2"/>
    <row r="4832" customFormat="1" ht="12.75" x14ac:dyDescent="0.2"/>
    <row r="4833" customFormat="1" ht="12.75" x14ac:dyDescent="0.2"/>
    <row r="4834" customFormat="1" ht="12.75" x14ac:dyDescent="0.2"/>
    <row r="4835" customFormat="1" ht="12.75" x14ac:dyDescent="0.2"/>
    <row r="4836" customFormat="1" ht="12.75" x14ac:dyDescent="0.2"/>
    <row r="4837" customFormat="1" ht="12.75" x14ac:dyDescent="0.2"/>
    <row r="4838" customFormat="1" ht="12.75" x14ac:dyDescent="0.2"/>
    <row r="4839" customFormat="1" ht="12.75" x14ac:dyDescent="0.2"/>
    <row r="4840" customFormat="1" ht="12.75" x14ac:dyDescent="0.2"/>
    <row r="4841" customFormat="1" ht="12.75" x14ac:dyDescent="0.2"/>
    <row r="4842" customFormat="1" ht="12.75" x14ac:dyDescent="0.2"/>
    <row r="4843" customFormat="1" ht="12.75" x14ac:dyDescent="0.2"/>
    <row r="4844" customFormat="1" ht="12.75" x14ac:dyDescent="0.2"/>
    <row r="4845" customFormat="1" ht="12.75" x14ac:dyDescent="0.2"/>
    <row r="4846" customFormat="1" ht="12.75" x14ac:dyDescent="0.2"/>
    <row r="4847" customFormat="1" ht="12.75" x14ac:dyDescent="0.2"/>
    <row r="4848" customFormat="1" ht="12.75" x14ac:dyDescent="0.2"/>
    <row r="4849" customFormat="1" ht="12.75" x14ac:dyDescent="0.2"/>
    <row r="4850" customFormat="1" ht="12.75" x14ac:dyDescent="0.2"/>
    <row r="4851" customFormat="1" ht="12.75" x14ac:dyDescent="0.2"/>
    <row r="4852" customFormat="1" ht="12.75" x14ac:dyDescent="0.2"/>
    <row r="4853" customFormat="1" ht="12.75" x14ac:dyDescent="0.2"/>
    <row r="4854" customFormat="1" ht="12.75" x14ac:dyDescent="0.2"/>
    <row r="4855" customFormat="1" ht="12.75" x14ac:dyDescent="0.2"/>
    <row r="4856" customFormat="1" ht="12.75" x14ac:dyDescent="0.2"/>
    <row r="4857" customFormat="1" ht="12.75" x14ac:dyDescent="0.2"/>
    <row r="4858" customFormat="1" ht="12.75" x14ac:dyDescent="0.2"/>
    <row r="4859" customFormat="1" ht="12.75" x14ac:dyDescent="0.2"/>
    <row r="4860" customFormat="1" ht="12.75" x14ac:dyDescent="0.2"/>
    <row r="4861" customFormat="1" ht="12.75" x14ac:dyDescent="0.2"/>
    <row r="4862" customFormat="1" ht="12.75" x14ac:dyDescent="0.2"/>
    <row r="4863" customFormat="1" ht="12.75" x14ac:dyDescent="0.2"/>
    <row r="4864" customFormat="1" ht="12.75" x14ac:dyDescent="0.2"/>
    <row r="4865" customFormat="1" ht="12.75" x14ac:dyDescent="0.2"/>
    <row r="4866" customFormat="1" ht="12.75" x14ac:dyDescent="0.2"/>
    <row r="4867" customFormat="1" ht="12.75" x14ac:dyDescent="0.2"/>
    <row r="4868" customFormat="1" ht="12.75" x14ac:dyDescent="0.2"/>
    <row r="4869" customFormat="1" ht="12.75" x14ac:dyDescent="0.2"/>
    <row r="4870" customFormat="1" ht="12.75" x14ac:dyDescent="0.2"/>
    <row r="4871" customFormat="1" ht="12.75" x14ac:dyDescent="0.2"/>
    <row r="4872" customFormat="1" ht="12.75" x14ac:dyDescent="0.2"/>
    <row r="4873" customFormat="1" ht="12.75" x14ac:dyDescent="0.2"/>
    <row r="4874" customFormat="1" ht="12.75" x14ac:dyDescent="0.2"/>
    <row r="4875" customFormat="1" ht="12.75" x14ac:dyDescent="0.2"/>
    <row r="4876" customFormat="1" ht="12.75" x14ac:dyDescent="0.2"/>
    <row r="4877" customFormat="1" ht="12.75" x14ac:dyDescent="0.2"/>
    <row r="4878" customFormat="1" ht="12.75" x14ac:dyDescent="0.2"/>
    <row r="4879" customFormat="1" ht="12.75" x14ac:dyDescent="0.2"/>
    <row r="4880" customFormat="1" ht="12.75" x14ac:dyDescent="0.2"/>
    <row r="4881" customFormat="1" ht="12.75" x14ac:dyDescent="0.2"/>
    <row r="4882" customFormat="1" ht="12.75" x14ac:dyDescent="0.2"/>
    <row r="4883" customFormat="1" ht="12.75" x14ac:dyDescent="0.2"/>
    <row r="4884" customFormat="1" ht="12.75" x14ac:dyDescent="0.2"/>
    <row r="4885" customFormat="1" ht="12.75" x14ac:dyDescent="0.2"/>
    <row r="4886" customFormat="1" ht="12.75" x14ac:dyDescent="0.2"/>
    <row r="4887" customFormat="1" ht="12.75" x14ac:dyDescent="0.2"/>
    <row r="4888" customFormat="1" ht="12.75" x14ac:dyDescent="0.2"/>
    <row r="4889" customFormat="1" ht="12.75" x14ac:dyDescent="0.2"/>
    <row r="4890" customFormat="1" ht="12.75" x14ac:dyDescent="0.2"/>
    <row r="4891" customFormat="1" ht="12.75" x14ac:dyDescent="0.2"/>
    <row r="4892" customFormat="1" ht="12.75" x14ac:dyDescent="0.2"/>
    <row r="4893" customFormat="1" ht="12.75" x14ac:dyDescent="0.2"/>
    <row r="4894" customFormat="1" ht="12.75" x14ac:dyDescent="0.2"/>
    <row r="4895" customFormat="1" ht="12.75" x14ac:dyDescent="0.2"/>
    <row r="4896" customFormat="1" ht="12.75" x14ac:dyDescent="0.2"/>
    <row r="4897" customFormat="1" ht="12.75" x14ac:dyDescent="0.2"/>
    <row r="4898" customFormat="1" ht="12.75" x14ac:dyDescent="0.2"/>
    <row r="4899" customFormat="1" ht="12.75" x14ac:dyDescent="0.2"/>
    <row r="4900" customFormat="1" ht="12.75" x14ac:dyDescent="0.2"/>
    <row r="4901" customFormat="1" ht="12.75" x14ac:dyDescent="0.2"/>
    <row r="4902" customFormat="1" ht="12.75" x14ac:dyDescent="0.2"/>
    <row r="4903" customFormat="1" ht="12.75" x14ac:dyDescent="0.2"/>
    <row r="4904" customFormat="1" ht="12.75" x14ac:dyDescent="0.2"/>
    <row r="4905" customFormat="1" ht="12.75" x14ac:dyDescent="0.2"/>
    <row r="4906" customFormat="1" ht="12.75" x14ac:dyDescent="0.2"/>
    <row r="4907" customFormat="1" ht="12.75" x14ac:dyDescent="0.2"/>
    <row r="4908" customFormat="1" ht="12.75" x14ac:dyDescent="0.2"/>
    <row r="4909" customFormat="1" ht="12.75" x14ac:dyDescent="0.2"/>
    <row r="4910" customFormat="1" ht="12.75" x14ac:dyDescent="0.2"/>
    <row r="4911" customFormat="1" ht="12.75" x14ac:dyDescent="0.2"/>
    <row r="4912" customFormat="1" ht="12.75" x14ac:dyDescent="0.2"/>
    <row r="4913" customFormat="1" ht="12.75" x14ac:dyDescent="0.2"/>
    <row r="4914" customFormat="1" ht="12.75" x14ac:dyDescent="0.2"/>
    <row r="4915" customFormat="1" ht="12.75" x14ac:dyDescent="0.2"/>
    <row r="4916" customFormat="1" ht="12.75" x14ac:dyDescent="0.2"/>
    <row r="4917" customFormat="1" ht="12.75" x14ac:dyDescent="0.2"/>
    <row r="4918" customFormat="1" ht="12.75" x14ac:dyDescent="0.2"/>
    <row r="4919" customFormat="1" ht="12.75" x14ac:dyDescent="0.2"/>
    <row r="4920" customFormat="1" ht="12.75" x14ac:dyDescent="0.2"/>
    <row r="4921" customFormat="1" ht="12.75" x14ac:dyDescent="0.2"/>
    <row r="4922" customFormat="1" ht="12.75" x14ac:dyDescent="0.2"/>
    <row r="4923" customFormat="1" ht="12.75" x14ac:dyDescent="0.2"/>
    <row r="4924" customFormat="1" ht="12.75" x14ac:dyDescent="0.2"/>
    <row r="4925" customFormat="1" ht="12.75" x14ac:dyDescent="0.2"/>
    <row r="4926" customFormat="1" ht="12.75" x14ac:dyDescent="0.2"/>
    <row r="4927" customFormat="1" ht="12.75" x14ac:dyDescent="0.2"/>
    <row r="4928" customFormat="1" ht="12.75" x14ac:dyDescent="0.2"/>
    <row r="4929" customFormat="1" ht="12.75" x14ac:dyDescent="0.2"/>
    <row r="4930" customFormat="1" ht="12.75" x14ac:dyDescent="0.2"/>
    <row r="4931" customFormat="1" ht="12.75" x14ac:dyDescent="0.2"/>
    <row r="4932" customFormat="1" ht="12.75" x14ac:dyDescent="0.2"/>
    <row r="4933" customFormat="1" ht="12.75" x14ac:dyDescent="0.2"/>
    <row r="4934" customFormat="1" ht="12.75" x14ac:dyDescent="0.2"/>
    <row r="4935" customFormat="1" ht="12.75" x14ac:dyDescent="0.2"/>
    <row r="4936" customFormat="1" ht="12.75" x14ac:dyDescent="0.2"/>
    <row r="4937" customFormat="1" ht="12.75" x14ac:dyDescent="0.2"/>
    <row r="4938" customFormat="1" ht="12.75" x14ac:dyDescent="0.2"/>
    <row r="4939" customFormat="1" ht="12.75" x14ac:dyDescent="0.2"/>
    <row r="4940" customFormat="1" ht="12.75" x14ac:dyDescent="0.2"/>
    <row r="4941" customFormat="1" ht="12.75" x14ac:dyDescent="0.2"/>
    <row r="4942" customFormat="1" ht="12.75" x14ac:dyDescent="0.2"/>
    <row r="4943" customFormat="1" ht="12.75" x14ac:dyDescent="0.2"/>
    <row r="4944" customFormat="1" ht="12.75" x14ac:dyDescent="0.2"/>
    <row r="4945" customFormat="1" ht="12.75" x14ac:dyDescent="0.2"/>
    <row r="4946" customFormat="1" ht="12.75" x14ac:dyDescent="0.2"/>
    <row r="4947" customFormat="1" ht="12.75" x14ac:dyDescent="0.2"/>
    <row r="4948" customFormat="1" ht="12.75" x14ac:dyDescent="0.2"/>
    <row r="4949" customFormat="1" ht="12.75" x14ac:dyDescent="0.2"/>
    <row r="4950" customFormat="1" ht="12.75" x14ac:dyDescent="0.2"/>
    <row r="4951" customFormat="1" ht="12.75" x14ac:dyDescent="0.2"/>
    <row r="4952" customFormat="1" ht="12.75" x14ac:dyDescent="0.2"/>
    <row r="4953" customFormat="1" ht="12.75" x14ac:dyDescent="0.2"/>
    <row r="4954" customFormat="1" ht="12.75" x14ac:dyDescent="0.2"/>
    <row r="4955" customFormat="1" ht="12.75" x14ac:dyDescent="0.2"/>
    <row r="4956" customFormat="1" ht="12.75" x14ac:dyDescent="0.2"/>
    <row r="4957" customFormat="1" ht="12.75" x14ac:dyDescent="0.2"/>
    <row r="4958" customFormat="1" ht="12.75" x14ac:dyDescent="0.2"/>
    <row r="4959" customFormat="1" ht="12.75" x14ac:dyDescent="0.2"/>
    <row r="4960" customFormat="1" ht="12.75" x14ac:dyDescent="0.2"/>
    <row r="4961" customFormat="1" ht="12.75" x14ac:dyDescent="0.2"/>
    <row r="4962" customFormat="1" ht="12.75" x14ac:dyDescent="0.2"/>
    <row r="4963" customFormat="1" ht="12.75" x14ac:dyDescent="0.2"/>
    <row r="4964" customFormat="1" ht="12.75" x14ac:dyDescent="0.2"/>
    <row r="4965" customFormat="1" ht="12.75" x14ac:dyDescent="0.2"/>
    <row r="4966" customFormat="1" ht="12.75" x14ac:dyDescent="0.2"/>
    <row r="4967" customFormat="1" ht="12.75" x14ac:dyDescent="0.2"/>
    <row r="4968" customFormat="1" ht="12.75" x14ac:dyDescent="0.2"/>
    <row r="4969" customFormat="1" ht="12.75" x14ac:dyDescent="0.2"/>
    <row r="4970" customFormat="1" ht="12.75" x14ac:dyDescent="0.2"/>
    <row r="4971" customFormat="1" ht="12.75" x14ac:dyDescent="0.2"/>
    <row r="4972" customFormat="1" ht="12.75" x14ac:dyDescent="0.2"/>
    <row r="4973" customFormat="1" ht="12.75" x14ac:dyDescent="0.2"/>
    <row r="4974" customFormat="1" ht="12.75" x14ac:dyDescent="0.2"/>
    <row r="4975" customFormat="1" ht="12.75" x14ac:dyDescent="0.2"/>
    <row r="4976" customFormat="1" ht="12.75" x14ac:dyDescent="0.2"/>
    <row r="4977" customFormat="1" ht="12.75" x14ac:dyDescent="0.2"/>
    <row r="4978" customFormat="1" ht="12.75" x14ac:dyDescent="0.2"/>
    <row r="4979" customFormat="1" ht="12.75" x14ac:dyDescent="0.2"/>
    <row r="4980" customFormat="1" ht="12.75" x14ac:dyDescent="0.2"/>
    <row r="4981" customFormat="1" ht="12.75" x14ac:dyDescent="0.2"/>
    <row r="4982" customFormat="1" ht="12.75" x14ac:dyDescent="0.2"/>
    <row r="4983" customFormat="1" ht="12.75" x14ac:dyDescent="0.2"/>
    <row r="4984" customFormat="1" ht="12.75" x14ac:dyDescent="0.2"/>
    <row r="4985" customFormat="1" ht="12.75" x14ac:dyDescent="0.2"/>
    <row r="4986" customFormat="1" ht="12.75" x14ac:dyDescent="0.2"/>
    <row r="4987" customFormat="1" ht="12.75" x14ac:dyDescent="0.2"/>
    <row r="4988" customFormat="1" ht="12.75" x14ac:dyDescent="0.2"/>
    <row r="4989" customFormat="1" ht="12.75" x14ac:dyDescent="0.2"/>
    <row r="4990" customFormat="1" ht="12.75" x14ac:dyDescent="0.2"/>
    <row r="4991" customFormat="1" ht="12.75" x14ac:dyDescent="0.2"/>
    <row r="4992" customFormat="1" ht="12.75" x14ac:dyDescent="0.2"/>
    <row r="4993" customFormat="1" ht="12.75" x14ac:dyDescent="0.2"/>
    <row r="4994" customFormat="1" ht="12.75" x14ac:dyDescent="0.2"/>
    <row r="4995" customFormat="1" ht="12.75" x14ac:dyDescent="0.2"/>
    <row r="4996" customFormat="1" ht="12.75" x14ac:dyDescent="0.2"/>
    <row r="4997" customFormat="1" ht="12.75" x14ac:dyDescent="0.2"/>
    <row r="4998" customFormat="1" ht="12.75" x14ac:dyDescent="0.2"/>
    <row r="4999" customFormat="1" ht="12.75" x14ac:dyDescent="0.2"/>
    <row r="5000" customFormat="1" ht="12.75" x14ac:dyDescent="0.2"/>
    <row r="5001" customFormat="1" ht="12.75" x14ac:dyDescent="0.2"/>
    <row r="5002" customFormat="1" ht="12.75" x14ac:dyDescent="0.2"/>
    <row r="5003" customFormat="1" ht="12.75" x14ac:dyDescent="0.2"/>
    <row r="5004" customFormat="1" ht="12.75" x14ac:dyDescent="0.2"/>
    <row r="5005" customFormat="1" ht="12.75" x14ac:dyDescent="0.2"/>
    <row r="5006" customFormat="1" ht="12.75" x14ac:dyDescent="0.2"/>
    <row r="5007" customFormat="1" ht="12.75" x14ac:dyDescent="0.2"/>
    <row r="5008" customFormat="1" ht="12.75" x14ac:dyDescent="0.2"/>
    <row r="5009" customFormat="1" ht="12.75" x14ac:dyDescent="0.2"/>
    <row r="5010" customFormat="1" ht="12.75" x14ac:dyDescent="0.2"/>
    <row r="5011" customFormat="1" ht="12.75" x14ac:dyDescent="0.2"/>
    <row r="5012" customFormat="1" ht="12.75" x14ac:dyDescent="0.2"/>
    <row r="5013" customFormat="1" ht="12.75" x14ac:dyDescent="0.2"/>
    <row r="5014" customFormat="1" ht="12.75" x14ac:dyDescent="0.2"/>
    <row r="5015" customFormat="1" ht="12.75" x14ac:dyDescent="0.2"/>
    <row r="5016" customFormat="1" ht="12.75" x14ac:dyDescent="0.2"/>
    <row r="5017" customFormat="1" ht="12.75" x14ac:dyDescent="0.2"/>
    <row r="5018" customFormat="1" ht="12.75" x14ac:dyDescent="0.2"/>
    <row r="5019" customFormat="1" ht="12.75" x14ac:dyDescent="0.2"/>
    <row r="5020" customFormat="1" ht="12.75" x14ac:dyDescent="0.2"/>
    <row r="5021" customFormat="1" ht="12.75" x14ac:dyDescent="0.2"/>
    <row r="5022" customFormat="1" ht="12.75" x14ac:dyDescent="0.2"/>
    <row r="5023" customFormat="1" ht="12.75" x14ac:dyDescent="0.2"/>
    <row r="5024" customFormat="1" ht="12.75" x14ac:dyDescent="0.2"/>
    <row r="5025" customFormat="1" ht="12.75" x14ac:dyDescent="0.2"/>
    <row r="5026" customFormat="1" ht="12.75" x14ac:dyDescent="0.2"/>
    <row r="5027" customFormat="1" ht="12.75" x14ac:dyDescent="0.2"/>
    <row r="5028" customFormat="1" ht="12.75" x14ac:dyDescent="0.2"/>
    <row r="5029" customFormat="1" ht="12.75" x14ac:dyDescent="0.2"/>
    <row r="5030" customFormat="1" ht="12.75" x14ac:dyDescent="0.2"/>
    <row r="5031" customFormat="1" ht="12.75" x14ac:dyDescent="0.2"/>
    <row r="5032" customFormat="1" ht="12.75" x14ac:dyDescent="0.2"/>
    <row r="5033" customFormat="1" ht="12.75" x14ac:dyDescent="0.2"/>
    <row r="5034" customFormat="1" ht="12.75" x14ac:dyDescent="0.2"/>
    <row r="5035" customFormat="1" ht="12.75" x14ac:dyDescent="0.2"/>
    <row r="5036" customFormat="1" ht="12.75" x14ac:dyDescent="0.2"/>
    <row r="5037" customFormat="1" ht="12.75" x14ac:dyDescent="0.2"/>
    <row r="5038" customFormat="1" ht="12.75" x14ac:dyDescent="0.2"/>
    <row r="5039" customFormat="1" ht="12.75" x14ac:dyDescent="0.2"/>
    <row r="5040" customFormat="1" ht="12.75" x14ac:dyDescent="0.2"/>
    <row r="5041" customFormat="1" ht="12.75" x14ac:dyDescent="0.2"/>
    <row r="5042" customFormat="1" ht="12.75" x14ac:dyDescent="0.2"/>
    <row r="5043" customFormat="1" ht="12.75" x14ac:dyDescent="0.2"/>
    <row r="5044" customFormat="1" ht="12.75" x14ac:dyDescent="0.2"/>
    <row r="5045" customFormat="1" ht="12.75" x14ac:dyDescent="0.2"/>
    <row r="5046" customFormat="1" ht="12.75" x14ac:dyDescent="0.2"/>
    <row r="5047" customFormat="1" ht="12.75" x14ac:dyDescent="0.2"/>
    <row r="5048" customFormat="1" ht="12.75" x14ac:dyDescent="0.2"/>
    <row r="5049" customFormat="1" ht="12.75" x14ac:dyDescent="0.2"/>
    <row r="5050" customFormat="1" ht="12.75" x14ac:dyDescent="0.2"/>
    <row r="5051" customFormat="1" ht="12.75" x14ac:dyDescent="0.2"/>
    <row r="5052" customFormat="1" ht="12.75" x14ac:dyDescent="0.2"/>
    <row r="5053" customFormat="1" ht="12.75" x14ac:dyDescent="0.2"/>
    <row r="5054" customFormat="1" ht="12.75" x14ac:dyDescent="0.2"/>
    <row r="5055" customFormat="1" ht="12.75" x14ac:dyDescent="0.2"/>
    <row r="5056" customFormat="1" ht="12.75" x14ac:dyDescent="0.2"/>
    <row r="5057" customFormat="1" ht="12.75" x14ac:dyDescent="0.2"/>
    <row r="5058" customFormat="1" ht="12.75" x14ac:dyDescent="0.2"/>
    <row r="5059" customFormat="1" ht="12.75" x14ac:dyDescent="0.2"/>
    <row r="5060" customFormat="1" ht="12.75" x14ac:dyDescent="0.2"/>
    <row r="5061" customFormat="1" ht="12.75" x14ac:dyDescent="0.2"/>
    <row r="5062" customFormat="1" ht="12.75" x14ac:dyDescent="0.2"/>
    <row r="5063" customFormat="1" ht="12.75" x14ac:dyDescent="0.2"/>
    <row r="5064" customFormat="1" ht="12.75" x14ac:dyDescent="0.2"/>
    <row r="5065" customFormat="1" ht="12.75" x14ac:dyDescent="0.2"/>
    <row r="5066" customFormat="1" ht="12.75" x14ac:dyDescent="0.2"/>
    <row r="5067" customFormat="1" ht="12.75" x14ac:dyDescent="0.2"/>
    <row r="5068" customFormat="1" ht="12.75" x14ac:dyDescent="0.2"/>
    <row r="5069" customFormat="1" ht="12.75" x14ac:dyDescent="0.2"/>
    <row r="5070" customFormat="1" ht="12.75" x14ac:dyDescent="0.2"/>
    <row r="5071" customFormat="1" ht="12.75" x14ac:dyDescent="0.2"/>
    <row r="5072" customFormat="1" ht="12.75" x14ac:dyDescent="0.2"/>
    <row r="5073" customFormat="1" ht="12.75" x14ac:dyDescent="0.2"/>
    <row r="5074" customFormat="1" ht="12.75" x14ac:dyDescent="0.2"/>
    <row r="5075" customFormat="1" ht="12.75" x14ac:dyDescent="0.2"/>
    <row r="5076" customFormat="1" ht="12.75" x14ac:dyDescent="0.2"/>
    <row r="5077" customFormat="1" ht="12.75" x14ac:dyDescent="0.2"/>
    <row r="5078" customFormat="1" ht="12.75" x14ac:dyDescent="0.2"/>
    <row r="5079" customFormat="1" ht="12.75" x14ac:dyDescent="0.2"/>
    <row r="5080" customFormat="1" ht="12.75" x14ac:dyDescent="0.2"/>
    <row r="5081" customFormat="1" ht="12.75" x14ac:dyDescent="0.2"/>
    <row r="5082" customFormat="1" ht="12.75" x14ac:dyDescent="0.2"/>
    <row r="5083" customFormat="1" ht="12.75" x14ac:dyDescent="0.2"/>
    <row r="5084" customFormat="1" ht="12.75" x14ac:dyDescent="0.2"/>
    <row r="5085" customFormat="1" ht="12.75" x14ac:dyDescent="0.2"/>
    <row r="5086" customFormat="1" ht="12.75" x14ac:dyDescent="0.2"/>
    <row r="5087" customFormat="1" ht="12.75" x14ac:dyDescent="0.2"/>
    <row r="5088" customFormat="1" ht="12.75" x14ac:dyDescent="0.2"/>
    <row r="5089" customFormat="1" ht="12.75" x14ac:dyDescent="0.2"/>
    <row r="5090" customFormat="1" ht="12.75" x14ac:dyDescent="0.2"/>
    <row r="5091" customFormat="1" ht="12.75" x14ac:dyDescent="0.2"/>
    <row r="5092" customFormat="1" ht="12.75" x14ac:dyDescent="0.2"/>
    <row r="5093" customFormat="1" ht="12.75" x14ac:dyDescent="0.2"/>
    <row r="5094" customFormat="1" ht="12.75" x14ac:dyDescent="0.2"/>
    <row r="5095" customFormat="1" ht="12.75" x14ac:dyDescent="0.2"/>
    <row r="5096" customFormat="1" ht="12.75" x14ac:dyDescent="0.2"/>
    <row r="5097" customFormat="1" ht="12.75" x14ac:dyDescent="0.2"/>
    <row r="5098" customFormat="1" ht="12.75" x14ac:dyDescent="0.2"/>
    <row r="5099" customFormat="1" ht="12.75" x14ac:dyDescent="0.2"/>
    <row r="5100" customFormat="1" ht="12.75" x14ac:dyDescent="0.2"/>
    <row r="5101" customFormat="1" ht="12.75" x14ac:dyDescent="0.2"/>
    <row r="5102" customFormat="1" ht="12.75" x14ac:dyDescent="0.2"/>
    <row r="5103" customFormat="1" ht="12.75" x14ac:dyDescent="0.2"/>
    <row r="5104" customFormat="1" ht="12.75" x14ac:dyDescent="0.2"/>
    <row r="5105" customFormat="1" ht="12.75" x14ac:dyDescent="0.2"/>
    <row r="5106" customFormat="1" ht="12.75" x14ac:dyDescent="0.2"/>
    <row r="5107" customFormat="1" ht="12.75" x14ac:dyDescent="0.2"/>
    <row r="5108" customFormat="1" ht="12.75" x14ac:dyDescent="0.2"/>
    <row r="5109" customFormat="1" ht="12.75" x14ac:dyDescent="0.2"/>
    <row r="5110" customFormat="1" ht="12.75" x14ac:dyDescent="0.2"/>
    <row r="5111" customFormat="1" ht="12.75" x14ac:dyDescent="0.2"/>
    <row r="5112" customFormat="1" ht="12.75" x14ac:dyDescent="0.2"/>
    <row r="5113" customFormat="1" ht="12.75" x14ac:dyDescent="0.2"/>
    <row r="5114" customFormat="1" ht="12.75" x14ac:dyDescent="0.2"/>
    <row r="5115" customFormat="1" ht="12.75" x14ac:dyDescent="0.2"/>
    <row r="5116" customFormat="1" ht="12.75" x14ac:dyDescent="0.2"/>
    <row r="5117" customFormat="1" ht="12.75" x14ac:dyDescent="0.2"/>
    <row r="5118" customFormat="1" ht="12.75" x14ac:dyDescent="0.2"/>
    <row r="5119" customFormat="1" ht="12.75" x14ac:dyDescent="0.2"/>
    <row r="5120" customFormat="1" ht="12.75" x14ac:dyDescent="0.2"/>
    <row r="5121" customFormat="1" ht="12.75" x14ac:dyDescent="0.2"/>
    <row r="5122" customFormat="1" ht="12.75" x14ac:dyDescent="0.2"/>
    <row r="5123" customFormat="1" ht="12.75" x14ac:dyDescent="0.2"/>
    <row r="5124" customFormat="1" ht="12.75" x14ac:dyDescent="0.2"/>
    <row r="5125" customFormat="1" ht="12.75" x14ac:dyDescent="0.2"/>
    <row r="5126" customFormat="1" ht="12.75" x14ac:dyDescent="0.2"/>
    <row r="5127" customFormat="1" ht="12.75" x14ac:dyDescent="0.2"/>
    <row r="5128" customFormat="1" ht="12.75" x14ac:dyDescent="0.2"/>
    <row r="5129" customFormat="1" ht="12.75" x14ac:dyDescent="0.2"/>
    <row r="5130" customFormat="1" ht="12.75" x14ac:dyDescent="0.2"/>
    <row r="5131" customFormat="1" ht="12.75" x14ac:dyDescent="0.2"/>
    <row r="5132" customFormat="1" ht="12.75" x14ac:dyDescent="0.2"/>
    <row r="5133" customFormat="1" ht="12.75" x14ac:dyDescent="0.2"/>
    <row r="5134" customFormat="1" ht="12.75" x14ac:dyDescent="0.2"/>
    <row r="5135" customFormat="1" ht="12.75" x14ac:dyDescent="0.2"/>
    <row r="5136" customFormat="1" ht="12.75" x14ac:dyDescent="0.2"/>
    <row r="5137" customFormat="1" ht="12.75" x14ac:dyDescent="0.2"/>
    <row r="5138" customFormat="1" ht="12.75" x14ac:dyDescent="0.2"/>
    <row r="5139" customFormat="1" ht="12.75" x14ac:dyDescent="0.2"/>
    <row r="5140" customFormat="1" ht="12.75" x14ac:dyDescent="0.2"/>
    <row r="5141" customFormat="1" ht="12.75" x14ac:dyDescent="0.2"/>
    <row r="5142" customFormat="1" ht="12.75" x14ac:dyDescent="0.2"/>
    <row r="5143" customFormat="1" ht="12.75" x14ac:dyDescent="0.2"/>
    <row r="5144" customFormat="1" ht="12.75" x14ac:dyDescent="0.2"/>
    <row r="5145" customFormat="1" ht="12.75" x14ac:dyDescent="0.2"/>
    <row r="5146" customFormat="1" ht="12.75" x14ac:dyDescent="0.2"/>
    <row r="5147" customFormat="1" ht="12.75" x14ac:dyDescent="0.2"/>
    <row r="5148" customFormat="1" ht="12.75" x14ac:dyDescent="0.2"/>
    <row r="5149" customFormat="1" ht="12.75" x14ac:dyDescent="0.2"/>
    <row r="5150" customFormat="1" ht="12.75" x14ac:dyDescent="0.2"/>
    <row r="5151" customFormat="1" ht="12.75" x14ac:dyDescent="0.2"/>
    <row r="5152" customFormat="1" ht="12.75" x14ac:dyDescent="0.2"/>
    <row r="5153" customFormat="1" ht="12.75" x14ac:dyDescent="0.2"/>
    <row r="5154" customFormat="1" ht="12.75" x14ac:dyDescent="0.2"/>
    <row r="5155" customFormat="1" ht="12.75" x14ac:dyDescent="0.2"/>
    <row r="5156" customFormat="1" ht="12.75" x14ac:dyDescent="0.2"/>
    <row r="5157" customFormat="1" ht="12.75" x14ac:dyDescent="0.2"/>
    <row r="5158" customFormat="1" ht="12.75" x14ac:dyDescent="0.2"/>
    <row r="5159" customFormat="1" ht="12.75" x14ac:dyDescent="0.2"/>
    <row r="5160" customFormat="1" ht="12.75" x14ac:dyDescent="0.2"/>
    <row r="5161" customFormat="1" ht="12.75" x14ac:dyDescent="0.2"/>
    <row r="5162" customFormat="1" ht="12.75" x14ac:dyDescent="0.2"/>
    <row r="5163" customFormat="1" ht="12.75" x14ac:dyDescent="0.2"/>
    <row r="5164" customFormat="1" ht="12.75" x14ac:dyDescent="0.2"/>
    <row r="5165" customFormat="1" ht="12.75" x14ac:dyDescent="0.2"/>
    <row r="5166" customFormat="1" ht="12.75" x14ac:dyDescent="0.2"/>
    <row r="5167" customFormat="1" ht="12.75" x14ac:dyDescent="0.2"/>
    <row r="5168" customFormat="1" ht="12.75" x14ac:dyDescent="0.2"/>
    <row r="5169" customFormat="1" ht="12.75" x14ac:dyDescent="0.2"/>
    <row r="5170" customFormat="1" ht="12.75" x14ac:dyDescent="0.2"/>
    <row r="5171" customFormat="1" ht="12.75" x14ac:dyDescent="0.2"/>
    <row r="5172" customFormat="1" ht="12.75" x14ac:dyDescent="0.2"/>
    <row r="5173" customFormat="1" ht="12.75" x14ac:dyDescent="0.2"/>
    <row r="5174" customFormat="1" ht="12.75" x14ac:dyDescent="0.2"/>
    <row r="5175" customFormat="1" ht="12.75" x14ac:dyDescent="0.2"/>
    <row r="5176" customFormat="1" ht="12.75" x14ac:dyDescent="0.2"/>
    <row r="5177" customFormat="1" ht="12.75" x14ac:dyDescent="0.2"/>
    <row r="5178" customFormat="1" ht="12.75" x14ac:dyDescent="0.2"/>
    <row r="5179" customFormat="1" ht="12.75" x14ac:dyDescent="0.2"/>
    <row r="5180" customFormat="1" ht="12.75" x14ac:dyDescent="0.2"/>
    <row r="5181" customFormat="1" ht="12.75" x14ac:dyDescent="0.2"/>
    <row r="5182" customFormat="1" ht="12.75" x14ac:dyDescent="0.2"/>
    <row r="5183" customFormat="1" ht="12.75" x14ac:dyDescent="0.2"/>
    <row r="5184" customFormat="1" ht="12.75" x14ac:dyDescent="0.2"/>
    <row r="5185" customFormat="1" ht="12.75" x14ac:dyDescent="0.2"/>
    <row r="5186" customFormat="1" ht="12.75" x14ac:dyDescent="0.2"/>
    <row r="5187" customFormat="1" ht="12.75" x14ac:dyDescent="0.2"/>
    <row r="5188" customFormat="1" ht="12.75" x14ac:dyDescent="0.2"/>
    <row r="5189" customFormat="1" ht="12.75" x14ac:dyDescent="0.2"/>
    <row r="5190" customFormat="1" ht="12.75" x14ac:dyDescent="0.2"/>
    <row r="5191" customFormat="1" ht="12.75" x14ac:dyDescent="0.2"/>
    <row r="5192" customFormat="1" ht="12.75" x14ac:dyDescent="0.2"/>
    <row r="5193" customFormat="1" ht="12.75" x14ac:dyDescent="0.2"/>
    <row r="5194" customFormat="1" ht="12.75" x14ac:dyDescent="0.2"/>
    <row r="5195" customFormat="1" ht="12.75" x14ac:dyDescent="0.2"/>
    <row r="5196" customFormat="1" ht="12.75" x14ac:dyDescent="0.2"/>
    <row r="5197" customFormat="1" ht="12.75" x14ac:dyDescent="0.2"/>
    <row r="5198" customFormat="1" ht="12.75" x14ac:dyDescent="0.2"/>
    <row r="5199" customFormat="1" ht="12.75" x14ac:dyDescent="0.2"/>
    <row r="5200" customFormat="1" ht="12.75" x14ac:dyDescent="0.2"/>
    <row r="5201" customFormat="1" ht="12.75" x14ac:dyDescent="0.2"/>
    <row r="5202" customFormat="1" ht="12.75" x14ac:dyDescent="0.2"/>
    <row r="5203" customFormat="1" ht="12.75" x14ac:dyDescent="0.2"/>
    <row r="5204" customFormat="1" ht="12.75" x14ac:dyDescent="0.2"/>
    <row r="5205" customFormat="1" ht="12.75" x14ac:dyDescent="0.2"/>
    <row r="5206" customFormat="1" ht="12.75" x14ac:dyDescent="0.2"/>
    <row r="5207" customFormat="1" ht="12.75" x14ac:dyDescent="0.2"/>
    <row r="5208" customFormat="1" ht="12.75" x14ac:dyDescent="0.2"/>
    <row r="5209" customFormat="1" ht="12.75" x14ac:dyDescent="0.2"/>
    <row r="5210" customFormat="1" ht="12.75" x14ac:dyDescent="0.2"/>
    <row r="5211" customFormat="1" ht="12.75" x14ac:dyDescent="0.2"/>
    <row r="5212" customFormat="1" ht="12.75" x14ac:dyDescent="0.2"/>
    <row r="5213" customFormat="1" ht="12.75" x14ac:dyDescent="0.2"/>
    <row r="5214" customFormat="1" ht="12.75" x14ac:dyDescent="0.2"/>
    <row r="5215" customFormat="1" ht="12.75" x14ac:dyDescent="0.2"/>
    <row r="5216" customFormat="1" ht="12.75" x14ac:dyDescent="0.2"/>
    <row r="5217" customFormat="1" ht="12.75" x14ac:dyDescent="0.2"/>
    <row r="5218" customFormat="1" ht="12.75" x14ac:dyDescent="0.2"/>
    <row r="5219" customFormat="1" ht="12.75" x14ac:dyDescent="0.2"/>
    <row r="5220" customFormat="1" ht="12.75" x14ac:dyDescent="0.2"/>
    <row r="5221" customFormat="1" ht="12.75" x14ac:dyDescent="0.2"/>
    <row r="5222" customFormat="1" ht="12.75" x14ac:dyDescent="0.2"/>
    <row r="5223" customFormat="1" ht="12.75" x14ac:dyDescent="0.2"/>
    <row r="5224" customFormat="1" ht="12.75" x14ac:dyDescent="0.2"/>
    <row r="5225" customFormat="1" ht="12.75" x14ac:dyDescent="0.2"/>
    <row r="5226" customFormat="1" ht="12.75" x14ac:dyDescent="0.2"/>
    <row r="5227" customFormat="1" ht="12.75" x14ac:dyDescent="0.2"/>
    <row r="5228" customFormat="1" ht="12.75" x14ac:dyDescent="0.2"/>
    <row r="5229" customFormat="1" ht="12.75" x14ac:dyDescent="0.2"/>
    <row r="5230" customFormat="1" ht="12.75" x14ac:dyDescent="0.2"/>
    <row r="5231" customFormat="1" ht="12.75" x14ac:dyDescent="0.2"/>
    <row r="5232" customFormat="1" ht="12.75" x14ac:dyDescent="0.2"/>
    <row r="5233" customFormat="1" ht="12.75" x14ac:dyDescent="0.2"/>
    <row r="5234" customFormat="1" ht="12.75" x14ac:dyDescent="0.2"/>
    <row r="5235" customFormat="1" ht="12.75" x14ac:dyDescent="0.2"/>
    <row r="5236" customFormat="1" ht="12.75" x14ac:dyDescent="0.2"/>
    <row r="5237" customFormat="1" ht="12.75" x14ac:dyDescent="0.2"/>
    <row r="5238" customFormat="1" ht="12.75" x14ac:dyDescent="0.2"/>
    <row r="5239" customFormat="1" ht="12.75" x14ac:dyDescent="0.2"/>
    <row r="5240" customFormat="1" ht="12.75" x14ac:dyDescent="0.2"/>
    <row r="5241" customFormat="1" ht="12.75" x14ac:dyDescent="0.2"/>
    <row r="5242" customFormat="1" ht="12.75" x14ac:dyDescent="0.2"/>
    <row r="5243" customFormat="1" ht="12.75" x14ac:dyDescent="0.2"/>
    <row r="5244" customFormat="1" ht="12.75" x14ac:dyDescent="0.2"/>
    <row r="5245" customFormat="1" ht="12.75" x14ac:dyDescent="0.2"/>
    <row r="5246" customFormat="1" ht="12.75" x14ac:dyDescent="0.2"/>
    <row r="5247" customFormat="1" ht="12.75" x14ac:dyDescent="0.2"/>
    <row r="5248" customFormat="1" ht="12.75" x14ac:dyDescent="0.2"/>
    <row r="5249" customFormat="1" ht="12.75" x14ac:dyDescent="0.2"/>
    <row r="5250" customFormat="1" ht="12.75" x14ac:dyDescent="0.2"/>
    <row r="5251" customFormat="1" ht="12.75" x14ac:dyDescent="0.2"/>
    <row r="5252" customFormat="1" ht="12.75" x14ac:dyDescent="0.2"/>
    <row r="5253" customFormat="1" ht="12.75" x14ac:dyDescent="0.2"/>
    <row r="5254" customFormat="1" ht="12.75" x14ac:dyDescent="0.2"/>
    <row r="5255" customFormat="1" ht="12.75" x14ac:dyDescent="0.2"/>
    <row r="5256" customFormat="1" ht="12.75" x14ac:dyDescent="0.2"/>
    <row r="5257" customFormat="1" ht="12.75" x14ac:dyDescent="0.2"/>
    <row r="5258" customFormat="1" ht="12.75" x14ac:dyDescent="0.2"/>
    <row r="5259" customFormat="1" ht="12.75" x14ac:dyDescent="0.2"/>
    <row r="5260" customFormat="1" ht="12.75" x14ac:dyDescent="0.2"/>
    <row r="5261" customFormat="1" ht="12.75" x14ac:dyDescent="0.2"/>
    <row r="5262" customFormat="1" ht="12.75" x14ac:dyDescent="0.2"/>
    <row r="5263" customFormat="1" ht="12.75" x14ac:dyDescent="0.2"/>
    <row r="5264" customFormat="1" ht="12.75" x14ac:dyDescent="0.2"/>
    <row r="5265" customFormat="1" ht="12.75" x14ac:dyDescent="0.2"/>
    <row r="5266" customFormat="1" ht="12.75" x14ac:dyDescent="0.2"/>
    <row r="5267" customFormat="1" ht="12.75" x14ac:dyDescent="0.2"/>
    <row r="5268" customFormat="1" ht="12.75" x14ac:dyDescent="0.2"/>
    <row r="5269" customFormat="1" ht="12.75" x14ac:dyDescent="0.2"/>
    <row r="5270" customFormat="1" ht="12.75" x14ac:dyDescent="0.2"/>
    <row r="5271" customFormat="1" ht="12.75" x14ac:dyDescent="0.2"/>
    <row r="5272" customFormat="1" ht="12.75" x14ac:dyDescent="0.2"/>
    <row r="5273" customFormat="1" ht="12.75" x14ac:dyDescent="0.2"/>
    <row r="5274" customFormat="1" ht="12.75" x14ac:dyDescent="0.2"/>
    <row r="5275" customFormat="1" ht="12.75" x14ac:dyDescent="0.2"/>
    <row r="5276" customFormat="1" ht="12.75" x14ac:dyDescent="0.2"/>
    <row r="5277" customFormat="1" ht="12.75" x14ac:dyDescent="0.2"/>
    <row r="5278" customFormat="1" ht="12.75" x14ac:dyDescent="0.2"/>
    <row r="5279" customFormat="1" ht="12.75" x14ac:dyDescent="0.2"/>
    <row r="5280" customFormat="1" ht="12.75" x14ac:dyDescent="0.2"/>
    <row r="5281" customFormat="1" ht="12.75" x14ac:dyDescent="0.2"/>
    <row r="5282" customFormat="1" ht="12.75" x14ac:dyDescent="0.2"/>
    <row r="5283" customFormat="1" ht="12.75" x14ac:dyDescent="0.2"/>
    <row r="5284" customFormat="1" ht="12.75" x14ac:dyDescent="0.2"/>
    <row r="5285" customFormat="1" ht="12.75" x14ac:dyDescent="0.2"/>
    <row r="5286" customFormat="1" ht="12.75" x14ac:dyDescent="0.2"/>
    <row r="5287" customFormat="1" ht="12.75" x14ac:dyDescent="0.2"/>
    <row r="5288" customFormat="1" ht="12.75" x14ac:dyDescent="0.2"/>
    <row r="5289" customFormat="1" ht="12.75" x14ac:dyDescent="0.2"/>
    <row r="5290" customFormat="1" ht="12.75" x14ac:dyDescent="0.2"/>
    <row r="5291" customFormat="1" ht="12.75" x14ac:dyDescent="0.2"/>
    <row r="5292" customFormat="1" ht="12.75" x14ac:dyDescent="0.2"/>
    <row r="5293" customFormat="1" ht="12.75" x14ac:dyDescent="0.2"/>
    <row r="5294" customFormat="1" ht="12.75" x14ac:dyDescent="0.2"/>
    <row r="5295" customFormat="1" ht="12.75" x14ac:dyDescent="0.2"/>
    <row r="5296" customFormat="1" ht="12.75" x14ac:dyDescent="0.2"/>
    <row r="5297" customFormat="1" ht="12.75" x14ac:dyDescent="0.2"/>
    <row r="5298" customFormat="1" ht="12.75" x14ac:dyDescent="0.2"/>
    <row r="5299" customFormat="1" ht="12.75" x14ac:dyDescent="0.2"/>
    <row r="5300" customFormat="1" ht="12.75" x14ac:dyDescent="0.2"/>
    <row r="5301" customFormat="1" ht="12.75" x14ac:dyDescent="0.2"/>
    <row r="5302" customFormat="1" ht="12.75" x14ac:dyDescent="0.2"/>
    <row r="5303" customFormat="1" ht="12.75" x14ac:dyDescent="0.2"/>
    <row r="5304" customFormat="1" ht="12.75" x14ac:dyDescent="0.2"/>
    <row r="5305" customFormat="1" ht="12.75" x14ac:dyDescent="0.2"/>
    <row r="5306" customFormat="1" ht="12.75" x14ac:dyDescent="0.2"/>
    <row r="5307" customFormat="1" ht="12.75" x14ac:dyDescent="0.2"/>
    <row r="5308" customFormat="1" ht="12.75" x14ac:dyDescent="0.2"/>
    <row r="5309" customFormat="1" ht="12.75" x14ac:dyDescent="0.2"/>
    <row r="5310" customFormat="1" ht="12.75" x14ac:dyDescent="0.2"/>
    <row r="5311" customFormat="1" ht="12.75" x14ac:dyDescent="0.2"/>
    <row r="5312" customFormat="1" ht="12.75" x14ac:dyDescent="0.2"/>
    <row r="5313" customFormat="1" ht="12.75" x14ac:dyDescent="0.2"/>
    <row r="5314" customFormat="1" ht="12.75" x14ac:dyDescent="0.2"/>
    <row r="5315" customFormat="1" ht="12.75" x14ac:dyDescent="0.2"/>
    <row r="5316" customFormat="1" ht="12.75" x14ac:dyDescent="0.2"/>
    <row r="5317" customFormat="1" ht="12.75" x14ac:dyDescent="0.2"/>
    <row r="5318" customFormat="1" ht="12.75" x14ac:dyDescent="0.2"/>
    <row r="5319" customFormat="1" ht="12.75" x14ac:dyDescent="0.2"/>
    <row r="5320" customFormat="1" ht="12.75" x14ac:dyDescent="0.2"/>
    <row r="5321" customFormat="1" ht="12.75" x14ac:dyDescent="0.2"/>
    <row r="5322" customFormat="1" ht="12.75" x14ac:dyDescent="0.2"/>
    <row r="5323" customFormat="1" ht="12.75" x14ac:dyDescent="0.2"/>
    <row r="5324" customFormat="1" ht="12.75" x14ac:dyDescent="0.2"/>
    <row r="5325" customFormat="1" ht="12.75" x14ac:dyDescent="0.2"/>
    <row r="5326" customFormat="1" ht="12.75" x14ac:dyDescent="0.2"/>
    <row r="5327" customFormat="1" ht="12.75" x14ac:dyDescent="0.2"/>
    <row r="5328" customFormat="1" ht="12.75" x14ac:dyDescent="0.2"/>
    <row r="5329" customFormat="1" ht="12.75" x14ac:dyDescent="0.2"/>
    <row r="5330" customFormat="1" ht="12.75" x14ac:dyDescent="0.2"/>
    <row r="5331" customFormat="1" ht="12.75" x14ac:dyDescent="0.2"/>
    <row r="5332" customFormat="1" ht="12.75" x14ac:dyDescent="0.2"/>
    <row r="5333" customFormat="1" ht="12.75" x14ac:dyDescent="0.2"/>
    <row r="5334" customFormat="1" ht="12.75" x14ac:dyDescent="0.2"/>
    <row r="5335" customFormat="1" ht="12.75" x14ac:dyDescent="0.2"/>
    <row r="5336" customFormat="1" ht="12.75" x14ac:dyDescent="0.2"/>
    <row r="5337" customFormat="1" ht="12.75" x14ac:dyDescent="0.2"/>
    <row r="5338" customFormat="1" ht="12.75" x14ac:dyDescent="0.2"/>
    <row r="5339" customFormat="1" ht="12.75" x14ac:dyDescent="0.2"/>
    <row r="5340" customFormat="1" ht="12.75" x14ac:dyDescent="0.2"/>
    <row r="5341" customFormat="1" ht="12.75" x14ac:dyDescent="0.2"/>
    <row r="5342" customFormat="1" ht="12.75" x14ac:dyDescent="0.2"/>
    <row r="5343" customFormat="1" ht="12.75" x14ac:dyDescent="0.2"/>
    <row r="5344" customFormat="1" ht="12.75" x14ac:dyDescent="0.2"/>
    <row r="5345" customFormat="1" ht="12.75" x14ac:dyDescent="0.2"/>
    <row r="5346" customFormat="1" ht="12.75" x14ac:dyDescent="0.2"/>
    <row r="5347" customFormat="1" ht="12.75" x14ac:dyDescent="0.2"/>
    <row r="5348" customFormat="1" ht="12.75" x14ac:dyDescent="0.2"/>
    <row r="5349" customFormat="1" ht="12.75" x14ac:dyDescent="0.2"/>
    <row r="5350" customFormat="1" ht="12.75" x14ac:dyDescent="0.2"/>
    <row r="5351" customFormat="1" ht="12.75" x14ac:dyDescent="0.2"/>
    <row r="5352" customFormat="1" ht="12.75" x14ac:dyDescent="0.2"/>
    <row r="5353" customFormat="1" ht="12.75" x14ac:dyDescent="0.2"/>
    <row r="5354" customFormat="1" ht="12.75" x14ac:dyDescent="0.2"/>
    <row r="5355" customFormat="1" ht="12.75" x14ac:dyDescent="0.2"/>
    <row r="5356" customFormat="1" ht="12.75" x14ac:dyDescent="0.2"/>
    <row r="5357" customFormat="1" ht="12.75" x14ac:dyDescent="0.2"/>
    <row r="5358" customFormat="1" ht="12.75" x14ac:dyDescent="0.2"/>
    <row r="5359" customFormat="1" ht="12.75" x14ac:dyDescent="0.2"/>
    <row r="5360" customFormat="1" ht="12.75" x14ac:dyDescent="0.2"/>
    <row r="5361" customFormat="1" ht="12.75" x14ac:dyDescent="0.2"/>
    <row r="5362" customFormat="1" ht="12.75" x14ac:dyDescent="0.2"/>
    <row r="5363" customFormat="1" ht="12.75" x14ac:dyDescent="0.2"/>
    <row r="5364" customFormat="1" ht="12.75" x14ac:dyDescent="0.2"/>
    <row r="5365" customFormat="1" ht="12.75" x14ac:dyDescent="0.2"/>
    <row r="5366" customFormat="1" ht="12.75" x14ac:dyDescent="0.2"/>
    <row r="5367" customFormat="1" ht="12.75" x14ac:dyDescent="0.2"/>
    <row r="5368" customFormat="1" ht="12.75" x14ac:dyDescent="0.2"/>
    <row r="5369" customFormat="1" ht="12.75" x14ac:dyDescent="0.2"/>
    <row r="5370" customFormat="1" ht="12.75" x14ac:dyDescent="0.2"/>
    <row r="5371" customFormat="1" ht="12.75" x14ac:dyDescent="0.2"/>
    <row r="5372" customFormat="1" ht="12.75" x14ac:dyDescent="0.2"/>
    <row r="5373" customFormat="1" ht="12.75" x14ac:dyDescent="0.2"/>
    <row r="5374" customFormat="1" ht="12.75" x14ac:dyDescent="0.2"/>
    <row r="5375" customFormat="1" ht="12.75" x14ac:dyDescent="0.2"/>
    <row r="5376" customFormat="1" ht="12.75" x14ac:dyDescent="0.2"/>
    <row r="5377" customFormat="1" ht="12.75" x14ac:dyDescent="0.2"/>
    <row r="5378" customFormat="1" ht="12.75" x14ac:dyDescent="0.2"/>
    <row r="5379" customFormat="1" ht="12.75" x14ac:dyDescent="0.2"/>
    <row r="5380" customFormat="1" ht="12.75" x14ac:dyDescent="0.2"/>
    <row r="5381" customFormat="1" ht="12.75" x14ac:dyDescent="0.2"/>
    <row r="5382" customFormat="1" ht="12.75" x14ac:dyDescent="0.2"/>
    <row r="5383" customFormat="1" ht="12.75" x14ac:dyDescent="0.2"/>
    <row r="5384" customFormat="1" ht="12.75" x14ac:dyDescent="0.2"/>
    <row r="5385" customFormat="1" ht="12.75" x14ac:dyDescent="0.2"/>
    <row r="5386" customFormat="1" ht="12.75" x14ac:dyDescent="0.2"/>
    <row r="5387" customFormat="1" ht="12.75" x14ac:dyDescent="0.2"/>
    <row r="5388" customFormat="1" ht="12.75" x14ac:dyDescent="0.2"/>
    <row r="5389" customFormat="1" ht="12.75" x14ac:dyDescent="0.2"/>
    <row r="5390" customFormat="1" ht="12.75" x14ac:dyDescent="0.2"/>
    <row r="5391" customFormat="1" ht="12.75" x14ac:dyDescent="0.2"/>
    <row r="5392" customFormat="1" ht="12.75" x14ac:dyDescent="0.2"/>
    <row r="5393" customFormat="1" ht="12.75" x14ac:dyDescent="0.2"/>
    <row r="5394" customFormat="1" ht="12.75" x14ac:dyDescent="0.2"/>
    <row r="5395" customFormat="1" ht="12.75" x14ac:dyDescent="0.2"/>
    <row r="5396" customFormat="1" ht="12.75" x14ac:dyDescent="0.2"/>
    <row r="5397" customFormat="1" ht="12.75" x14ac:dyDescent="0.2"/>
    <row r="5398" customFormat="1" ht="12.75" x14ac:dyDescent="0.2"/>
    <row r="5399" customFormat="1" ht="12.75" x14ac:dyDescent="0.2"/>
    <row r="5400" customFormat="1" ht="12.75" x14ac:dyDescent="0.2"/>
    <row r="5401" customFormat="1" ht="12.75" x14ac:dyDescent="0.2"/>
    <row r="5402" customFormat="1" ht="12.75" x14ac:dyDescent="0.2"/>
    <row r="5403" customFormat="1" ht="12.75" x14ac:dyDescent="0.2"/>
    <row r="5404" customFormat="1" ht="12.75" x14ac:dyDescent="0.2"/>
    <row r="5405" customFormat="1" ht="12.75" x14ac:dyDescent="0.2"/>
    <row r="5406" customFormat="1" ht="12.75" x14ac:dyDescent="0.2"/>
    <row r="5407" customFormat="1" ht="12.75" x14ac:dyDescent="0.2"/>
    <row r="5408" customFormat="1" ht="12.75" x14ac:dyDescent="0.2"/>
    <row r="5409" customFormat="1" ht="12.75" x14ac:dyDescent="0.2"/>
    <row r="5410" customFormat="1" ht="12.75" x14ac:dyDescent="0.2"/>
    <row r="5411" customFormat="1" ht="12.75" x14ac:dyDescent="0.2"/>
    <row r="5412" customFormat="1" ht="12.75" x14ac:dyDescent="0.2"/>
    <row r="5413" customFormat="1" ht="12.75" x14ac:dyDescent="0.2"/>
    <row r="5414" customFormat="1" ht="12.75" x14ac:dyDescent="0.2"/>
    <row r="5415" customFormat="1" ht="12.75" x14ac:dyDescent="0.2"/>
    <row r="5416" customFormat="1" ht="12.75" x14ac:dyDescent="0.2"/>
    <row r="5417" customFormat="1" ht="12.75" x14ac:dyDescent="0.2"/>
    <row r="5418" customFormat="1" ht="12.75" x14ac:dyDescent="0.2"/>
    <row r="5419" customFormat="1" ht="12.75" x14ac:dyDescent="0.2"/>
    <row r="5420" customFormat="1" ht="12.75" x14ac:dyDescent="0.2"/>
    <row r="5421" customFormat="1" ht="12.75" x14ac:dyDescent="0.2"/>
    <row r="5422" customFormat="1" ht="12.75" x14ac:dyDescent="0.2"/>
    <row r="5423" customFormat="1" ht="12.75" x14ac:dyDescent="0.2"/>
    <row r="5424" customFormat="1" ht="12.75" x14ac:dyDescent="0.2"/>
    <row r="5425" customFormat="1" ht="12.75" x14ac:dyDescent="0.2"/>
    <row r="5426" customFormat="1" ht="12.75" x14ac:dyDescent="0.2"/>
    <row r="5427" customFormat="1" ht="12.75" x14ac:dyDescent="0.2"/>
    <row r="5428" customFormat="1" ht="12.75" x14ac:dyDescent="0.2"/>
    <row r="5429" customFormat="1" ht="12.75" x14ac:dyDescent="0.2"/>
    <row r="5430" customFormat="1" ht="12.75" x14ac:dyDescent="0.2"/>
    <row r="5431" customFormat="1" ht="12.75" x14ac:dyDescent="0.2"/>
    <row r="5432" customFormat="1" ht="12.75" x14ac:dyDescent="0.2"/>
    <row r="5433" customFormat="1" ht="12.75" x14ac:dyDescent="0.2"/>
    <row r="5434" customFormat="1" ht="12.75" x14ac:dyDescent="0.2"/>
    <row r="5435" customFormat="1" ht="12.75" x14ac:dyDescent="0.2"/>
    <row r="5436" customFormat="1" ht="12.75" x14ac:dyDescent="0.2"/>
    <row r="5437" customFormat="1" ht="12.75" x14ac:dyDescent="0.2"/>
    <row r="5438" customFormat="1" ht="12.75" x14ac:dyDescent="0.2"/>
    <row r="5439" customFormat="1" ht="12.75" x14ac:dyDescent="0.2"/>
    <row r="5440" customFormat="1" ht="12.75" x14ac:dyDescent="0.2"/>
    <row r="5441" customFormat="1" ht="12.75" x14ac:dyDescent="0.2"/>
    <row r="5442" customFormat="1" ht="12.75" x14ac:dyDescent="0.2"/>
    <row r="5443" customFormat="1" ht="12.75" x14ac:dyDescent="0.2"/>
    <row r="5444" customFormat="1" ht="12.75" x14ac:dyDescent="0.2"/>
    <row r="5445" customFormat="1" ht="12.75" x14ac:dyDescent="0.2"/>
    <row r="5446" customFormat="1" ht="12.75" x14ac:dyDescent="0.2"/>
    <row r="5447" customFormat="1" ht="12.75" x14ac:dyDescent="0.2"/>
    <row r="5448" customFormat="1" ht="12.75" x14ac:dyDescent="0.2"/>
    <row r="5449" customFormat="1" ht="12.75" x14ac:dyDescent="0.2"/>
    <row r="5450" customFormat="1" ht="12.75" x14ac:dyDescent="0.2"/>
    <row r="5451" customFormat="1" ht="12.75" x14ac:dyDescent="0.2"/>
    <row r="5452" customFormat="1" ht="12.75" x14ac:dyDescent="0.2"/>
    <row r="5453" customFormat="1" ht="12.75" x14ac:dyDescent="0.2"/>
    <row r="5454" customFormat="1" ht="12.75" x14ac:dyDescent="0.2"/>
    <row r="5455" customFormat="1" ht="12.75" x14ac:dyDescent="0.2"/>
    <row r="5456" customFormat="1" ht="12.75" x14ac:dyDescent="0.2"/>
    <row r="5457" customFormat="1" ht="12.75" x14ac:dyDescent="0.2"/>
    <row r="5458" customFormat="1" ht="12.75" x14ac:dyDescent="0.2"/>
    <row r="5459" customFormat="1" ht="12.75" x14ac:dyDescent="0.2"/>
    <row r="5460" customFormat="1" ht="12.75" x14ac:dyDescent="0.2"/>
    <row r="5461" customFormat="1" ht="12.75" x14ac:dyDescent="0.2"/>
    <row r="5462" customFormat="1" ht="12.75" x14ac:dyDescent="0.2"/>
    <row r="5463" customFormat="1" ht="12.75" x14ac:dyDescent="0.2"/>
    <row r="5464" customFormat="1" ht="12.75" x14ac:dyDescent="0.2"/>
    <row r="5465" customFormat="1" ht="12.75" x14ac:dyDescent="0.2"/>
    <row r="5466" customFormat="1" ht="12.75" x14ac:dyDescent="0.2"/>
    <row r="5467" customFormat="1" ht="12.75" x14ac:dyDescent="0.2"/>
    <row r="5468" customFormat="1" ht="12.75" x14ac:dyDescent="0.2"/>
    <row r="5469" customFormat="1" ht="12.75" x14ac:dyDescent="0.2"/>
    <row r="5470" customFormat="1" ht="12.75" x14ac:dyDescent="0.2"/>
    <row r="5471" customFormat="1" ht="12.75" x14ac:dyDescent="0.2"/>
    <row r="5472" customFormat="1" ht="12.75" x14ac:dyDescent="0.2"/>
    <row r="5473" customFormat="1" ht="12.75" x14ac:dyDescent="0.2"/>
    <row r="5474" customFormat="1" ht="12.75" x14ac:dyDescent="0.2"/>
    <row r="5475" customFormat="1" ht="12.75" x14ac:dyDescent="0.2"/>
    <row r="5476" customFormat="1" ht="12.75" x14ac:dyDescent="0.2"/>
    <row r="5477" customFormat="1" ht="12.75" x14ac:dyDescent="0.2"/>
    <row r="5478" customFormat="1" ht="12.75" x14ac:dyDescent="0.2"/>
    <row r="5479" customFormat="1" ht="12.75" x14ac:dyDescent="0.2"/>
    <row r="5480" customFormat="1" ht="12.75" x14ac:dyDescent="0.2"/>
    <row r="5481" customFormat="1" ht="12.75" x14ac:dyDescent="0.2"/>
    <row r="5482" customFormat="1" ht="12.75" x14ac:dyDescent="0.2"/>
    <row r="5483" customFormat="1" ht="12.75" x14ac:dyDescent="0.2"/>
    <row r="5484" customFormat="1" ht="12.75" x14ac:dyDescent="0.2"/>
    <row r="5485" customFormat="1" ht="12.75" x14ac:dyDescent="0.2"/>
    <row r="5486" customFormat="1" ht="12.75" x14ac:dyDescent="0.2"/>
    <row r="5487" customFormat="1" ht="12.75" x14ac:dyDescent="0.2"/>
    <row r="5488" customFormat="1" ht="12.75" x14ac:dyDescent="0.2"/>
    <row r="5489" customFormat="1" ht="12.75" x14ac:dyDescent="0.2"/>
    <row r="5490" customFormat="1" ht="12.75" x14ac:dyDescent="0.2"/>
    <row r="5491" customFormat="1" ht="12.75" x14ac:dyDescent="0.2"/>
    <row r="5492" customFormat="1" ht="12.75" x14ac:dyDescent="0.2"/>
    <row r="5493" customFormat="1" ht="12.75" x14ac:dyDescent="0.2"/>
    <row r="5494" customFormat="1" ht="12.75" x14ac:dyDescent="0.2"/>
    <row r="5495" customFormat="1" ht="12.75" x14ac:dyDescent="0.2"/>
    <row r="5496" customFormat="1" ht="12.75" x14ac:dyDescent="0.2"/>
    <row r="5497" customFormat="1" ht="12.75" x14ac:dyDescent="0.2"/>
    <row r="5498" customFormat="1" ht="12.75" x14ac:dyDescent="0.2"/>
    <row r="5499" customFormat="1" ht="12.75" x14ac:dyDescent="0.2"/>
    <row r="5500" customFormat="1" ht="12.75" x14ac:dyDescent="0.2"/>
    <row r="5501" customFormat="1" ht="12.75" x14ac:dyDescent="0.2"/>
    <row r="5502" customFormat="1" ht="12.75" x14ac:dyDescent="0.2"/>
    <row r="5503" customFormat="1" ht="12.75" x14ac:dyDescent="0.2"/>
    <row r="5504" customFormat="1" ht="12.75" x14ac:dyDescent="0.2"/>
    <row r="5505" customFormat="1" ht="12.75" x14ac:dyDescent="0.2"/>
    <row r="5506" customFormat="1" ht="12.75" x14ac:dyDescent="0.2"/>
    <row r="5507" customFormat="1" ht="12.75" x14ac:dyDescent="0.2"/>
    <row r="5508" customFormat="1" ht="12.75" x14ac:dyDescent="0.2"/>
    <row r="5509" customFormat="1" ht="12.75" x14ac:dyDescent="0.2"/>
    <row r="5510" customFormat="1" ht="12.75" x14ac:dyDescent="0.2"/>
    <row r="5511" customFormat="1" ht="12.75" x14ac:dyDescent="0.2"/>
    <row r="5512" customFormat="1" ht="12.75" x14ac:dyDescent="0.2"/>
    <row r="5513" customFormat="1" ht="12.75" x14ac:dyDescent="0.2"/>
    <row r="5514" customFormat="1" ht="12.75" x14ac:dyDescent="0.2"/>
    <row r="5515" customFormat="1" ht="12.75" x14ac:dyDescent="0.2"/>
    <row r="5516" customFormat="1" ht="12.75" x14ac:dyDescent="0.2"/>
    <row r="5517" customFormat="1" ht="12.75" x14ac:dyDescent="0.2"/>
    <row r="5518" customFormat="1" ht="12.75" x14ac:dyDescent="0.2"/>
    <row r="5519" customFormat="1" ht="12.75" x14ac:dyDescent="0.2"/>
    <row r="5520" customFormat="1" ht="12.75" x14ac:dyDescent="0.2"/>
    <row r="5521" customFormat="1" ht="12.75" x14ac:dyDescent="0.2"/>
    <row r="5522" customFormat="1" ht="12.75" x14ac:dyDescent="0.2"/>
    <row r="5523" customFormat="1" ht="12.75" x14ac:dyDescent="0.2"/>
    <row r="5524" customFormat="1" ht="12.75" x14ac:dyDescent="0.2"/>
    <row r="5525" customFormat="1" ht="12.75" x14ac:dyDescent="0.2"/>
    <row r="5526" customFormat="1" ht="12.75" x14ac:dyDescent="0.2"/>
    <row r="5527" customFormat="1" ht="12.75" x14ac:dyDescent="0.2"/>
    <row r="5528" customFormat="1" ht="12.75" x14ac:dyDescent="0.2"/>
    <row r="5529" customFormat="1" ht="12.75" x14ac:dyDescent="0.2"/>
    <row r="5530" customFormat="1" ht="12.75" x14ac:dyDescent="0.2"/>
    <row r="5531" customFormat="1" ht="12.75" x14ac:dyDescent="0.2"/>
    <row r="5532" customFormat="1" ht="12.75" x14ac:dyDescent="0.2"/>
    <row r="5533" customFormat="1" ht="12.75" x14ac:dyDescent="0.2"/>
    <row r="5534" customFormat="1" ht="12.75" x14ac:dyDescent="0.2"/>
    <row r="5535" customFormat="1" ht="12.75" x14ac:dyDescent="0.2"/>
    <row r="5536" customFormat="1" ht="12.75" x14ac:dyDescent="0.2"/>
    <row r="5537" customFormat="1" ht="12.75" x14ac:dyDescent="0.2"/>
    <row r="5538" customFormat="1" ht="12.75" x14ac:dyDescent="0.2"/>
    <row r="5539" customFormat="1" ht="12.75" x14ac:dyDescent="0.2"/>
    <row r="5540" customFormat="1" ht="12.75" x14ac:dyDescent="0.2"/>
    <row r="5541" customFormat="1" ht="12.75" x14ac:dyDescent="0.2"/>
    <row r="5542" customFormat="1" ht="12.75" x14ac:dyDescent="0.2"/>
    <row r="5543" customFormat="1" ht="12.75" x14ac:dyDescent="0.2"/>
    <row r="5544" customFormat="1" ht="12.75" x14ac:dyDescent="0.2"/>
    <row r="5545" customFormat="1" ht="12.75" x14ac:dyDescent="0.2"/>
    <row r="5546" customFormat="1" ht="12.75" x14ac:dyDescent="0.2"/>
    <row r="5547" customFormat="1" ht="12.75" x14ac:dyDescent="0.2"/>
    <row r="5548" customFormat="1" ht="12.75" x14ac:dyDescent="0.2"/>
    <row r="5549" customFormat="1" ht="12.75" x14ac:dyDescent="0.2"/>
    <row r="5550" customFormat="1" ht="12.75" x14ac:dyDescent="0.2"/>
    <row r="5551" customFormat="1" ht="12.75" x14ac:dyDescent="0.2"/>
    <row r="5552" customFormat="1" ht="12.75" x14ac:dyDescent="0.2"/>
    <row r="5553" customFormat="1" ht="12.75" x14ac:dyDescent="0.2"/>
    <row r="5554" customFormat="1" ht="12.75" x14ac:dyDescent="0.2"/>
    <row r="5555" customFormat="1" ht="12.75" x14ac:dyDescent="0.2"/>
    <row r="5556" customFormat="1" ht="12.75" x14ac:dyDescent="0.2"/>
    <row r="5557" customFormat="1" ht="12.75" x14ac:dyDescent="0.2"/>
    <row r="5558" customFormat="1" ht="12.75" x14ac:dyDescent="0.2"/>
    <row r="5559" customFormat="1" ht="12.75" x14ac:dyDescent="0.2"/>
    <row r="5560" customFormat="1" ht="12.75" x14ac:dyDescent="0.2"/>
    <row r="5561" customFormat="1" ht="12.75" x14ac:dyDescent="0.2"/>
    <row r="5562" customFormat="1" ht="12.75" x14ac:dyDescent="0.2"/>
    <row r="5563" customFormat="1" ht="12.75" x14ac:dyDescent="0.2"/>
    <row r="5564" customFormat="1" ht="12.75" x14ac:dyDescent="0.2"/>
    <row r="5565" customFormat="1" ht="12.75" x14ac:dyDescent="0.2"/>
    <row r="5566" customFormat="1" ht="12.75" x14ac:dyDescent="0.2"/>
    <row r="5567" customFormat="1" ht="12.75" x14ac:dyDescent="0.2"/>
    <row r="5568" customFormat="1" ht="12.75" x14ac:dyDescent="0.2"/>
    <row r="5569" customFormat="1" ht="12.75" x14ac:dyDescent="0.2"/>
    <row r="5570" customFormat="1" ht="12.75" x14ac:dyDescent="0.2"/>
    <row r="5571" customFormat="1" ht="12.75" x14ac:dyDescent="0.2"/>
    <row r="5572" customFormat="1" ht="12.75" x14ac:dyDescent="0.2"/>
    <row r="5573" customFormat="1" ht="12.75" x14ac:dyDescent="0.2"/>
    <row r="5574" customFormat="1" ht="12.75" x14ac:dyDescent="0.2"/>
    <row r="5575" customFormat="1" ht="12.75" x14ac:dyDescent="0.2"/>
    <row r="5576" customFormat="1" ht="12.75" x14ac:dyDescent="0.2"/>
    <row r="5577" customFormat="1" ht="12.75" x14ac:dyDescent="0.2"/>
    <row r="5578" customFormat="1" ht="12.75" x14ac:dyDescent="0.2"/>
    <row r="5579" customFormat="1" ht="12.75" x14ac:dyDescent="0.2"/>
    <row r="5580" customFormat="1" ht="12.75" x14ac:dyDescent="0.2"/>
    <row r="5581" customFormat="1" ht="12.75" x14ac:dyDescent="0.2"/>
    <row r="5582" customFormat="1" ht="12.75" x14ac:dyDescent="0.2"/>
    <row r="5583" customFormat="1" ht="12.75" x14ac:dyDescent="0.2"/>
    <row r="5584" customFormat="1" ht="12.75" x14ac:dyDescent="0.2"/>
    <row r="5585" customFormat="1" ht="12.75" x14ac:dyDescent="0.2"/>
    <row r="5586" customFormat="1" ht="12.75" x14ac:dyDescent="0.2"/>
    <row r="5587" customFormat="1" ht="12.75" x14ac:dyDescent="0.2"/>
    <row r="5588" customFormat="1" ht="12.75" x14ac:dyDescent="0.2"/>
    <row r="5589" customFormat="1" ht="12.75" x14ac:dyDescent="0.2"/>
    <row r="5590" customFormat="1" ht="12.75" x14ac:dyDescent="0.2"/>
    <row r="5591" customFormat="1" ht="12.75" x14ac:dyDescent="0.2"/>
    <row r="5592" customFormat="1" ht="12.75" x14ac:dyDescent="0.2"/>
    <row r="5593" customFormat="1" ht="12.75" x14ac:dyDescent="0.2"/>
    <row r="5594" customFormat="1" ht="12.75" x14ac:dyDescent="0.2"/>
    <row r="5595" customFormat="1" ht="12.75" x14ac:dyDescent="0.2"/>
    <row r="5596" customFormat="1" ht="12.75" x14ac:dyDescent="0.2"/>
    <row r="5597" customFormat="1" ht="12.75" x14ac:dyDescent="0.2"/>
    <row r="5598" customFormat="1" ht="12.75" x14ac:dyDescent="0.2"/>
    <row r="5599" customFormat="1" ht="12.75" x14ac:dyDescent="0.2"/>
    <row r="5600" customFormat="1" ht="12.75" x14ac:dyDescent="0.2"/>
    <row r="5601" customFormat="1" ht="12.75" x14ac:dyDescent="0.2"/>
    <row r="5602" customFormat="1" ht="12.75" x14ac:dyDescent="0.2"/>
    <row r="5603" customFormat="1" ht="12.75" x14ac:dyDescent="0.2"/>
    <row r="5604" customFormat="1" ht="12.75" x14ac:dyDescent="0.2"/>
    <row r="5605" customFormat="1" ht="12.75" x14ac:dyDescent="0.2"/>
    <row r="5606" customFormat="1" ht="12.75" x14ac:dyDescent="0.2"/>
    <row r="5607" customFormat="1" ht="12.75" x14ac:dyDescent="0.2"/>
    <row r="5608" customFormat="1" ht="12.75" x14ac:dyDescent="0.2"/>
    <row r="5609" customFormat="1" ht="12.75" x14ac:dyDescent="0.2"/>
    <row r="5610" customFormat="1" ht="12.75" x14ac:dyDescent="0.2"/>
    <row r="5611" customFormat="1" ht="12.75" x14ac:dyDescent="0.2"/>
    <row r="5612" customFormat="1" ht="12.75" x14ac:dyDescent="0.2"/>
    <row r="5613" customFormat="1" ht="12.75" x14ac:dyDescent="0.2"/>
    <row r="5614" customFormat="1" ht="12.75" x14ac:dyDescent="0.2"/>
    <row r="5615" customFormat="1" ht="12.75" x14ac:dyDescent="0.2"/>
    <row r="5616" customFormat="1" ht="12.75" x14ac:dyDescent="0.2"/>
    <row r="5617" customFormat="1" ht="12.75" x14ac:dyDescent="0.2"/>
    <row r="5618" customFormat="1" ht="12.75" x14ac:dyDescent="0.2"/>
    <row r="5619" customFormat="1" ht="12.75" x14ac:dyDescent="0.2"/>
    <row r="5620" customFormat="1" ht="12.75" x14ac:dyDescent="0.2"/>
    <row r="5621" customFormat="1" ht="12.75" x14ac:dyDescent="0.2"/>
    <row r="5622" customFormat="1" ht="12.75" x14ac:dyDescent="0.2"/>
    <row r="5623" customFormat="1" ht="12.75" x14ac:dyDescent="0.2"/>
    <row r="5624" customFormat="1" ht="12.75" x14ac:dyDescent="0.2"/>
    <row r="5625" customFormat="1" ht="12.75" x14ac:dyDescent="0.2"/>
    <row r="5626" customFormat="1" ht="12.75" x14ac:dyDescent="0.2"/>
    <row r="5627" customFormat="1" ht="12.75" x14ac:dyDescent="0.2"/>
    <row r="5628" customFormat="1" ht="12.75" x14ac:dyDescent="0.2"/>
    <row r="5629" customFormat="1" ht="12.75" x14ac:dyDescent="0.2"/>
    <row r="5630" customFormat="1" ht="12.75" x14ac:dyDescent="0.2"/>
    <row r="5631" customFormat="1" ht="12.75" x14ac:dyDescent="0.2"/>
    <row r="5632" customFormat="1" ht="12.75" x14ac:dyDescent="0.2"/>
    <row r="5633" customFormat="1" ht="12.75" x14ac:dyDescent="0.2"/>
    <row r="5634" customFormat="1" ht="12.75" x14ac:dyDescent="0.2"/>
    <row r="5635" customFormat="1" ht="12.75" x14ac:dyDescent="0.2"/>
    <row r="5636" customFormat="1" ht="12.75" x14ac:dyDescent="0.2"/>
    <row r="5637" customFormat="1" ht="12.75" x14ac:dyDescent="0.2"/>
    <row r="5638" customFormat="1" ht="12.75" x14ac:dyDescent="0.2"/>
    <row r="5639" customFormat="1" ht="12.75" x14ac:dyDescent="0.2"/>
    <row r="5640" customFormat="1" ht="12.75" x14ac:dyDescent="0.2"/>
    <row r="5641" customFormat="1" ht="12.75" x14ac:dyDescent="0.2"/>
    <row r="5642" customFormat="1" ht="12.75" x14ac:dyDescent="0.2"/>
    <row r="5643" customFormat="1" ht="12.75" x14ac:dyDescent="0.2"/>
    <row r="5644" customFormat="1" ht="12.75" x14ac:dyDescent="0.2"/>
    <row r="5645" customFormat="1" ht="12.75" x14ac:dyDescent="0.2"/>
    <row r="5646" customFormat="1" ht="12.75" x14ac:dyDescent="0.2"/>
    <row r="5647" customFormat="1" ht="12.75" x14ac:dyDescent="0.2"/>
    <row r="5648" customFormat="1" ht="12.75" x14ac:dyDescent="0.2"/>
    <row r="5649" customFormat="1" ht="12.75" x14ac:dyDescent="0.2"/>
    <row r="5650" customFormat="1" ht="12.75" x14ac:dyDescent="0.2"/>
    <row r="5651" customFormat="1" ht="12.75" x14ac:dyDescent="0.2"/>
    <row r="5652" customFormat="1" ht="12.75" x14ac:dyDescent="0.2"/>
    <row r="5653" customFormat="1" ht="12.75" x14ac:dyDescent="0.2"/>
    <row r="5654" customFormat="1" ht="12.75" x14ac:dyDescent="0.2"/>
    <row r="5655" customFormat="1" ht="12.75" x14ac:dyDescent="0.2"/>
    <row r="5656" customFormat="1" ht="12.75" x14ac:dyDescent="0.2"/>
    <row r="5657" customFormat="1" ht="12.75" x14ac:dyDescent="0.2"/>
    <row r="5658" customFormat="1" ht="12.75" x14ac:dyDescent="0.2"/>
    <row r="5659" customFormat="1" ht="12.75" x14ac:dyDescent="0.2"/>
    <row r="5660" customFormat="1" ht="12.75" x14ac:dyDescent="0.2"/>
    <row r="5661" customFormat="1" ht="12.75" x14ac:dyDescent="0.2"/>
    <row r="5662" customFormat="1" ht="12.75" x14ac:dyDescent="0.2"/>
    <row r="5663" customFormat="1" ht="12.75" x14ac:dyDescent="0.2"/>
    <row r="5664" customFormat="1" ht="12.75" x14ac:dyDescent="0.2"/>
    <row r="5665" customFormat="1" ht="12.75" x14ac:dyDescent="0.2"/>
    <row r="5666" customFormat="1" ht="12.75" x14ac:dyDescent="0.2"/>
    <row r="5667" customFormat="1" ht="12.75" x14ac:dyDescent="0.2"/>
    <row r="5668" customFormat="1" ht="12.75" x14ac:dyDescent="0.2"/>
    <row r="5669" customFormat="1" ht="12.75" x14ac:dyDescent="0.2"/>
    <row r="5670" customFormat="1" ht="12.75" x14ac:dyDescent="0.2"/>
    <row r="5671" customFormat="1" ht="12.75" x14ac:dyDescent="0.2"/>
    <row r="5672" customFormat="1" ht="12.75" x14ac:dyDescent="0.2"/>
    <row r="5673" customFormat="1" ht="12.75" x14ac:dyDescent="0.2"/>
    <row r="5674" customFormat="1" ht="12.75" x14ac:dyDescent="0.2"/>
    <row r="5675" customFormat="1" ht="12.75" x14ac:dyDescent="0.2"/>
    <row r="5676" customFormat="1" ht="12.75" x14ac:dyDescent="0.2"/>
    <row r="5677" customFormat="1" ht="12.75" x14ac:dyDescent="0.2"/>
    <row r="5678" customFormat="1" ht="12.75" x14ac:dyDescent="0.2"/>
    <row r="5679" customFormat="1" ht="12.75" x14ac:dyDescent="0.2"/>
    <row r="5680" customFormat="1" ht="12.75" x14ac:dyDescent="0.2"/>
    <row r="5681" customFormat="1" ht="12.75" x14ac:dyDescent="0.2"/>
    <row r="5682" customFormat="1" ht="12.75" x14ac:dyDescent="0.2"/>
    <row r="5683" customFormat="1" ht="12.75" x14ac:dyDescent="0.2"/>
    <row r="5684" customFormat="1" ht="12.75" x14ac:dyDescent="0.2"/>
    <row r="5685" customFormat="1" ht="12.75" x14ac:dyDescent="0.2"/>
    <row r="5686" customFormat="1" ht="12.75" x14ac:dyDescent="0.2"/>
    <row r="5687" customFormat="1" ht="12.75" x14ac:dyDescent="0.2"/>
    <row r="5688" customFormat="1" ht="12.75" x14ac:dyDescent="0.2"/>
    <row r="5689" customFormat="1" ht="12.75" x14ac:dyDescent="0.2"/>
    <row r="5690" customFormat="1" ht="12.75" x14ac:dyDescent="0.2"/>
    <row r="5691" customFormat="1" ht="12.75" x14ac:dyDescent="0.2"/>
    <row r="5692" customFormat="1" ht="12.75" x14ac:dyDescent="0.2"/>
    <row r="5693" customFormat="1" ht="12.75" x14ac:dyDescent="0.2"/>
    <row r="5694" customFormat="1" ht="12.75" x14ac:dyDescent="0.2"/>
    <row r="5695" customFormat="1" ht="12.75" x14ac:dyDescent="0.2"/>
    <row r="5696" customFormat="1" ht="12.75" x14ac:dyDescent="0.2"/>
    <row r="5697" customFormat="1" ht="12.75" x14ac:dyDescent="0.2"/>
    <row r="5698" customFormat="1" ht="12.75" x14ac:dyDescent="0.2"/>
    <row r="5699" customFormat="1" ht="12.75" x14ac:dyDescent="0.2"/>
    <row r="5700" customFormat="1" ht="12.75" x14ac:dyDescent="0.2"/>
    <row r="5701" customFormat="1" ht="12.75" x14ac:dyDescent="0.2"/>
    <row r="5702" customFormat="1" ht="12.75" x14ac:dyDescent="0.2"/>
    <row r="5703" customFormat="1" ht="12.75" x14ac:dyDescent="0.2"/>
    <row r="5704" customFormat="1" ht="12.75" x14ac:dyDescent="0.2"/>
    <row r="5705" customFormat="1" ht="12.75" x14ac:dyDescent="0.2"/>
    <row r="5706" customFormat="1" ht="12.75" x14ac:dyDescent="0.2"/>
    <row r="5707" customFormat="1" ht="12.75" x14ac:dyDescent="0.2"/>
    <row r="5708" customFormat="1" ht="12.75" x14ac:dyDescent="0.2"/>
    <row r="5709" customFormat="1" ht="12.75" x14ac:dyDescent="0.2"/>
    <row r="5710" customFormat="1" ht="12.75" x14ac:dyDescent="0.2"/>
    <row r="5711" customFormat="1" ht="12.75" x14ac:dyDescent="0.2"/>
    <row r="5712" customFormat="1" ht="12.75" x14ac:dyDescent="0.2"/>
    <row r="5713" customFormat="1" ht="12.75" x14ac:dyDescent="0.2"/>
    <row r="5714" customFormat="1" ht="12.75" x14ac:dyDescent="0.2"/>
    <row r="5715" customFormat="1" ht="12.75" x14ac:dyDescent="0.2"/>
    <row r="5716" customFormat="1" ht="12.75" x14ac:dyDescent="0.2"/>
    <row r="5717" customFormat="1" ht="12.75" x14ac:dyDescent="0.2"/>
    <row r="5718" customFormat="1" ht="12.75" x14ac:dyDescent="0.2"/>
    <row r="5719" customFormat="1" ht="12.75" x14ac:dyDescent="0.2"/>
    <row r="5720" customFormat="1" ht="12.75" x14ac:dyDescent="0.2"/>
    <row r="5721" customFormat="1" ht="12.75" x14ac:dyDescent="0.2"/>
    <row r="5722" customFormat="1" ht="12.75" x14ac:dyDescent="0.2"/>
    <row r="5723" customFormat="1" ht="12.75" x14ac:dyDescent="0.2"/>
    <row r="5724" customFormat="1" ht="12.75" x14ac:dyDescent="0.2"/>
    <row r="5725" customFormat="1" ht="12.75" x14ac:dyDescent="0.2"/>
    <row r="5726" customFormat="1" ht="12.75" x14ac:dyDescent="0.2"/>
    <row r="5727" customFormat="1" ht="12.75" x14ac:dyDescent="0.2"/>
    <row r="5728" customFormat="1" ht="12.75" x14ac:dyDescent="0.2"/>
    <row r="5729" customFormat="1" ht="12.75" x14ac:dyDescent="0.2"/>
    <row r="5730" customFormat="1" ht="12.75" x14ac:dyDescent="0.2"/>
    <row r="5731" customFormat="1" ht="12.75" x14ac:dyDescent="0.2"/>
    <row r="5732" customFormat="1" ht="12.75" x14ac:dyDescent="0.2"/>
    <row r="5733" customFormat="1" ht="12.75" x14ac:dyDescent="0.2"/>
    <row r="5734" customFormat="1" ht="12.75" x14ac:dyDescent="0.2"/>
    <row r="5735" customFormat="1" ht="12.75" x14ac:dyDescent="0.2"/>
    <row r="5736" customFormat="1" ht="12.75" x14ac:dyDescent="0.2"/>
    <row r="5737" customFormat="1" ht="12.75" x14ac:dyDescent="0.2"/>
    <row r="5738" customFormat="1" ht="12.75" x14ac:dyDescent="0.2"/>
    <row r="5739" customFormat="1" ht="12.75" x14ac:dyDescent="0.2"/>
    <row r="5740" customFormat="1" ht="12.75" x14ac:dyDescent="0.2"/>
    <row r="5741" customFormat="1" ht="12.75" x14ac:dyDescent="0.2"/>
    <row r="5742" customFormat="1" ht="12.75" x14ac:dyDescent="0.2"/>
    <row r="5743" customFormat="1" ht="12.75" x14ac:dyDescent="0.2"/>
    <row r="5744" customFormat="1" ht="12.75" x14ac:dyDescent="0.2"/>
    <row r="5745" customFormat="1" ht="12.75" x14ac:dyDescent="0.2"/>
    <row r="5746" customFormat="1" ht="12.75" x14ac:dyDescent="0.2"/>
    <row r="5747" customFormat="1" ht="12.75" x14ac:dyDescent="0.2"/>
    <row r="5748" customFormat="1" ht="12.75" x14ac:dyDescent="0.2"/>
    <row r="5749" customFormat="1" ht="12.75" x14ac:dyDescent="0.2"/>
    <row r="5750" customFormat="1" ht="12.75" x14ac:dyDescent="0.2"/>
    <row r="5751" customFormat="1" ht="12.75" x14ac:dyDescent="0.2"/>
    <row r="5752" customFormat="1" ht="12.75" x14ac:dyDescent="0.2"/>
    <row r="5753" customFormat="1" ht="12.75" x14ac:dyDescent="0.2"/>
    <row r="5754" customFormat="1" ht="12.75" x14ac:dyDescent="0.2"/>
    <row r="5755" customFormat="1" ht="12.75" x14ac:dyDescent="0.2"/>
    <row r="5756" customFormat="1" ht="12.75" x14ac:dyDescent="0.2"/>
    <row r="5757" customFormat="1" ht="12.75" x14ac:dyDescent="0.2"/>
    <row r="5758" customFormat="1" ht="12.75" x14ac:dyDescent="0.2"/>
    <row r="5759" customFormat="1" ht="12.75" x14ac:dyDescent="0.2"/>
    <row r="5760" customFormat="1" ht="12.75" x14ac:dyDescent="0.2"/>
    <row r="5761" customFormat="1" ht="12.75" x14ac:dyDescent="0.2"/>
    <row r="5762" customFormat="1" ht="12.75" x14ac:dyDescent="0.2"/>
    <row r="5763" customFormat="1" ht="12.75" x14ac:dyDescent="0.2"/>
    <row r="5764" customFormat="1" ht="12.75" x14ac:dyDescent="0.2"/>
    <row r="5765" customFormat="1" ht="12.75" x14ac:dyDescent="0.2"/>
    <row r="5766" customFormat="1" ht="12.75" x14ac:dyDescent="0.2"/>
    <row r="5767" customFormat="1" ht="12.75" x14ac:dyDescent="0.2"/>
    <row r="5768" customFormat="1" ht="12.75" x14ac:dyDescent="0.2"/>
    <row r="5769" customFormat="1" ht="12.75" x14ac:dyDescent="0.2"/>
    <row r="5770" customFormat="1" ht="12.75" x14ac:dyDescent="0.2"/>
    <row r="5771" customFormat="1" ht="12.75" x14ac:dyDescent="0.2"/>
    <row r="5772" customFormat="1" ht="12.75" x14ac:dyDescent="0.2"/>
    <row r="5773" customFormat="1" ht="12.75" x14ac:dyDescent="0.2"/>
    <row r="5774" customFormat="1" ht="12.75" x14ac:dyDescent="0.2"/>
    <row r="5775" customFormat="1" ht="12.75" x14ac:dyDescent="0.2"/>
    <row r="5776" customFormat="1" ht="12.75" x14ac:dyDescent="0.2"/>
    <row r="5777" customFormat="1" ht="12.75" x14ac:dyDescent="0.2"/>
    <row r="5778" customFormat="1" ht="12.75" x14ac:dyDescent="0.2"/>
    <row r="5779" customFormat="1" ht="12.75" x14ac:dyDescent="0.2"/>
    <row r="5780" customFormat="1" ht="12.75" x14ac:dyDescent="0.2"/>
    <row r="5781" customFormat="1" ht="12.75" x14ac:dyDescent="0.2"/>
    <row r="5782" customFormat="1" ht="12.75" x14ac:dyDescent="0.2"/>
    <row r="5783" customFormat="1" ht="12.75" x14ac:dyDescent="0.2"/>
    <row r="5784" customFormat="1" ht="12.75" x14ac:dyDescent="0.2"/>
    <row r="5785" customFormat="1" ht="12.75" x14ac:dyDescent="0.2"/>
    <row r="5786" customFormat="1" ht="12.75" x14ac:dyDescent="0.2"/>
    <row r="5787" customFormat="1" ht="12.75" x14ac:dyDescent="0.2"/>
    <row r="5788" customFormat="1" ht="12.75" x14ac:dyDescent="0.2"/>
    <row r="5789" customFormat="1" ht="12.75" x14ac:dyDescent="0.2"/>
    <row r="5790" customFormat="1" ht="12.75" x14ac:dyDescent="0.2"/>
    <row r="5791" customFormat="1" ht="12.75" x14ac:dyDescent="0.2"/>
    <row r="5792" customFormat="1" ht="12.75" x14ac:dyDescent="0.2"/>
    <row r="5793" customFormat="1" ht="12.75" x14ac:dyDescent="0.2"/>
    <row r="5794" customFormat="1" ht="12.75" x14ac:dyDescent="0.2"/>
    <row r="5795" customFormat="1" ht="12.75" x14ac:dyDescent="0.2"/>
    <row r="5796" customFormat="1" ht="12.75" x14ac:dyDescent="0.2"/>
    <row r="5797" customFormat="1" ht="12.75" x14ac:dyDescent="0.2"/>
    <row r="5798" customFormat="1" ht="12.75" x14ac:dyDescent="0.2"/>
    <row r="5799" customFormat="1" ht="12.75" x14ac:dyDescent="0.2"/>
    <row r="5800" customFormat="1" ht="12.75" x14ac:dyDescent="0.2"/>
    <row r="5801" customFormat="1" ht="12.75" x14ac:dyDescent="0.2"/>
    <row r="5802" customFormat="1" ht="12.75" x14ac:dyDescent="0.2"/>
    <row r="5803" customFormat="1" ht="12.75" x14ac:dyDescent="0.2"/>
    <row r="5804" customFormat="1" ht="12.75" x14ac:dyDescent="0.2"/>
    <row r="5805" customFormat="1" ht="12.75" x14ac:dyDescent="0.2"/>
    <row r="5806" customFormat="1" ht="12.75" x14ac:dyDescent="0.2"/>
    <row r="5807" customFormat="1" ht="12.75" x14ac:dyDescent="0.2"/>
    <row r="5808" customFormat="1" ht="12.75" x14ac:dyDescent="0.2"/>
    <row r="5809" customFormat="1" ht="12.75" x14ac:dyDescent="0.2"/>
    <row r="5810" customFormat="1" ht="12.75" x14ac:dyDescent="0.2"/>
    <row r="5811" customFormat="1" ht="12.75" x14ac:dyDescent="0.2"/>
    <row r="5812" customFormat="1" ht="12.75" x14ac:dyDescent="0.2"/>
    <row r="5813" customFormat="1" ht="12.75" x14ac:dyDescent="0.2"/>
    <row r="5814" customFormat="1" ht="12.75" x14ac:dyDescent="0.2"/>
    <row r="5815" customFormat="1" ht="12.75" x14ac:dyDescent="0.2"/>
    <row r="5816" customFormat="1" ht="12.75" x14ac:dyDescent="0.2"/>
    <row r="5817" customFormat="1" ht="12.75" x14ac:dyDescent="0.2"/>
    <row r="5818" customFormat="1" ht="12.75" x14ac:dyDescent="0.2"/>
    <row r="5819" customFormat="1" ht="12.75" x14ac:dyDescent="0.2"/>
    <row r="5820" customFormat="1" ht="12.75" x14ac:dyDescent="0.2"/>
    <row r="5821" customFormat="1" ht="12.75" x14ac:dyDescent="0.2"/>
    <row r="5822" customFormat="1" ht="12.75" x14ac:dyDescent="0.2"/>
    <row r="5823" customFormat="1" ht="12.75" x14ac:dyDescent="0.2"/>
    <row r="5824" customFormat="1" ht="12.75" x14ac:dyDescent="0.2"/>
    <row r="5825" customFormat="1" ht="12.75" x14ac:dyDescent="0.2"/>
    <row r="5826" customFormat="1" ht="12.75" x14ac:dyDescent="0.2"/>
    <row r="5827" customFormat="1" ht="12.75" x14ac:dyDescent="0.2"/>
    <row r="5828" customFormat="1" ht="12.75" x14ac:dyDescent="0.2"/>
    <row r="5829" customFormat="1" ht="12.75" x14ac:dyDescent="0.2"/>
    <row r="5830" customFormat="1" ht="12.75" x14ac:dyDescent="0.2"/>
    <row r="5831" customFormat="1" ht="12.75" x14ac:dyDescent="0.2"/>
    <row r="5832" customFormat="1" ht="12.75" x14ac:dyDescent="0.2"/>
    <row r="5833" customFormat="1" ht="12.75" x14ac:dyDescent="0.2"/>
    <row r="5834" customFormat="1" ht="12.75" x14ac:dyDescent="0.2"/>
    <row r="5835" customFormat="1" ht="12.75" x14ac:dyDescent="0.2"/>
    <row r="5836" customFormat="1" ht="12.75" x14ac:dyDescent="0.2"/>
    <row r="5837" customFormat="1" ht="12.75" x14ac:dyDescent="0.2"/>
    <row r="5838" customFormat="1" ht="12.75" x14ac:dyDescent="0.2"/>
    <row r="5839" customFormat="1" ht="12.75" x14ac:dyDescent="0.2"/>
    <row r="5840" customFormat="1" ht="12.75" x14ac:dyDescent="0.2"/>
    <row r="5841" customFormat="1" ht="12.75" x14ac:dyDescent="0.2"/>
    <row r="5842" customFormat="1" ht="12.75" x14ac:dyDescent="0.2"/>
    <row r="5843" customFormat="1" ht="12.75" x14ac:dyDescent="0.2"/>
    <row r="5844" customFormat="1" ht="12.75" x14ac:dyDescent="0.2"/>
    <row r="5845" customFormat="1" ht="12.75" x14ac:dyDescent="0.2"/>
    <row r="5846" customFormat="1" ht="12.75" x14ac:dyDescent="0.2"/>
    <row r="5847" customFormat="1" ht="12.75" x14ac:dyDescent="0.2"/>
    <row r="5848" customFormat="1" ht="12.75" x14ac:dyDescent="0.2"/>
    <row r="5849" customFormat="1" ht="12.75" x14ac:dyDescent="0.2"/>
    <row r="5850" customFormat="1" ht="12.75" x14ac:dyDescent="0.2"/>
    <row r="5851" customFormat="1" ht="12.75" x14ac:dyDescent="0.2"/>
    <row r="5852" customFormat="1" ht="12.75" x14ac:dyDescent="0.2"/>
    <row r="5853" customFormat="1" ht="12.75" x14ac:dyDescent="0.2"/>
    <row r="5854" customFormat="1" ht="12.75" x14ac:dyDescent="0.2"/>
    <row r="5855" customFormat="1" ht="12.75" x14ac:dyDescent="0.2"/>
    <row r="5856" customFormat="1" ht="12.75" x14ac:dyDescent="0.2"/>
    <row r="5857" customFormat="1" ht="12.75" x14ac:dyDescent="0.2"/>
    <row r="5858" customFormat="1" ht="12.75" x14ac:dyDescent="0.2"/>
    <row r="5859" customFormat="1" ht="12.75" x14ac:dyDescent="0.2"/>
    <row r="5860" customFormat="1" ht="12.75" x14ac:dyDescent="0.2"/>
    <row r="5861" customFormat="1" ht="12.75" x14ac:dyDescent="0.2"/>
    <row r="5862" customFormat="1" ht="12.75" x14ac:dyDescent="0.2"/>
    <row r="5863" customFormat="1" ht="12.75" x14ac:dyDescent="0.2"/>
    <row r="5864" customFormat="1" ht="12.75" x14ac:dyDescent="0.2"/>
    <row r="5865" customFormat="1" ht="12.75" x14ac:dyDescent="0.2"/>
    <row r="5866" customFormat="1" ht="12.75" x14ac:dyDescent="0.2"/>
    <row r="5867" customFormat="1" ht="12.75" x14ac:dyDescent="0.2"/>
    <row r="5868" customFormat="1" ht="12.75" x14ac:dyDescent="0.2"/>
    <row r="5869" customFormat="1" ht="12.75" x14ac:dyDescent="0.2"/>
    <row r="5870" customFormat="1" ht="12.75" x14ac:dyDescent="0.2"/>
    <row r="5871" customFormat="1" ht="12.75" x14ac:dyDescent="0.2"/>
    <row r="5872" customFormat="1" ht="12.75" x14ac:dyDescent="0.2"/>
    <row r="5873" customFormat="1" ht="12.75" x14ac:dyDescent="0.2"/>
    <row r="5874" customFormat="1" ht="12.75" x14ac:dyDescent="0.2"/>
    <row r="5875" customFormat="1" ht="12.75" x14ac:dyDescent="0.2"/>
    <row r="5876" customFormat="1" ht="12.75" x14ac:dyDescent="0.2"/>
    <row r="5877" customFormat="1" ht="12.75" x14ac:dyDescent="0.2"/>
    <row r="5878" customFormat="1" ht="12.75" x14ac:dyDescent="0.2"/>
    <row r="5879" customFormat="1" ht="12.75" x14ac:dyDescent="0.2"/>
    <row r="5880" customFormat="1" ht="12.75" x14ac:dyDescent="0.2"/>
    <row r="5881" customFormat="1" ht="12.75" x14ac:dyDescent="0.2"/>
    <row r="5882" customFormat="1" ht="12.75" x14ac:dyDescent="0.2"/>
    <row r="5883" customFormat="1" ht="12.75" x14ac:dyDescent="0.2"/>
    <row r="5884" customFormat="1" ht="12.75" x14ac:dyDescent="0.2"/>
    <row r="5885" customFormat="1" ht="12.75" x14ac:dyDescent="0.2"/>
    <row r="5886" customFormat="1" ht="12.75" x14ac:dyDescent="0.2"/>
    <row r="5887" customFormat="1" ht="12.75" x14ac:dyDescent="0.2"/>
    <row r="5888" customFormat="1" ht="12.75" x14ac:dyDescent="0.2"/>
    <row r="5889" customFormat="1" ht="12.75" x14ac:dyDescent="0.2"/>
    <row r="5890" customFormat="1" ht="12.75" x14ac:dyDescent="0.2"/>
    <row r="5891" customFormat="1" ht="12.75" x14ac:dyDescent="0.2"/>
    <row r="5892" customFormat="1" ht="12.75" x14ac:dyDescent="0.2"/>
    <row r="5893" customFormat="1" ht="12.75" x14ac:dyDescent="0.2"/>
    <row r="5894" customFormat="1" ht="12.75" x14ac:dyDescent="0.2"/>
    <row r="5895" customFormat="1" ht="12.75" x14ac:dyDescent="0.2"/>
    <row r="5896" customFormat="1" ht="12.75" x14ac:dyDescent="0.2"/>
    <row r="5897" customFormat="1" ht="12.75" x14ac:dyDescent="0.2"/>
    <row r="5898" customFormat="1" ht="12.75" x14ac:dyDescent="0.2"/>
    <row r="5899" customFormat="1" ht="12.75" x14ac:dyDescent="0.2"/>
    <row r="5900" customFormat="1" ht="12.75" x14ac:dyDescent="0.2"/>
    <row r="5901" customFormat="1" ht="12.75" x14ac:dyDescent="0.2"/>
    <row r="5902" customFormat="1" ht="12.75" x14ac:dyDescent="0.2"/>
    <row r="5903" customFormat="1" ht="12.75" x14ac:dyDescent="0.2"/>
    <row r="5904" customFormat="1" ht="12.75" x14ac:dyDescent="0.2"/>
    <row r="5905" customFormat="1" ht="12.75" x14ac:dyDescent="0.2"/>
    <row r="5906" customFormat="1" ht="12.75" x14ac:dyDescent="0.2"/>
    <row r="5907" customFormat="1" ht="12.75" x14ac:dyDescent="0.2"/>
    <row r="5908" customFormat="1" ht="12.75" x14ac:dyDescent="0.2"/>
    <row r="5909" customFormat="1" ht="12.75" x14ac:dyDescent="0.2"/>
    <row r="5910" customFormat="1" ht="12.75" x14ac:dyDescent="0.2"/>
    <row r="5911" customFormat="1" ht="12.75" x14ac:dyDescent="0.2"/>
    <row r="5912" customFormat="1" ht="12.75" x14ac:dyDescent="0.2"/>
    <row r="5913" customFormat="1" ht="12.75" x14ac:dyDescent="0.2"/>
    <row r="5914" customFormat="1" ht="12.75" x14ac:dyDescent="0.2"/>
    <row r="5915" customFormat="1" ht="12.75" x14ac:dyDescent="0.2"/>
    <row r="5916" customFormat="1" ht="12.75" x14ac:dyDescent="0.2"/>
    <row r="5917" customFormat="1" ht="12.75" x14ac:dyDescent="0.2"/>
    <row r="5918" customFormat="1" ht="12.75" x14ac:dyDescent="0.2"/>
    <row r="5919" customFormat="1" ht="12.75" x14ac:dyDescent="0.2"/>
    <row r="5920" customFormat="1" ht="12.75" x14ac:dyDescent="0.2"/>
    <row r="5921" customFormat="1" ht="12.75" x14ac:dyDescent="0.2"/>
    <row r="5922" customFormat="1" ht="12.75" x14ac:dyDescent="0.2"/>
    <row r="5923" customFormat="1" ht="12.75" x14ac:dyDescent="0.2"/>
    <row r="5924" customFormat="1" ht="12.75" x14ac:dyDescent="0.2"/>
    <row r="5925" customFormat="1" ht="12.75" x14ac:dyDescent="0.2"/>
    <row r="5926" customFormat="1" ht="12.75" x14ac:dyDescent="0.2"/>
    <row r="5927" customFormat="1" ht="12.75" x14ac:dyDescent="0.2"/>
    <row r="5928" customFormat="1" ht="12.75" x14ac:dyDescent="0.2"/>
    <row r="5929" customFormat="1" ht="12.75" x14ac:dyDescent="0.2"/>
    <row r="5930" customFormat="1" ht="12.75" x14ac:dyDescent="0.2"/>
    <row r="5931" customFormat="1" ht="12.75" x14ac:dyDescent="0.2"/>
    <row r="5932" customFormat="1" ht="12.75" x14ac:dyDescent="0.2"/>
    <row r="5933" customFormat="1" ht="12.75" x14ac:dyDescent="0.2"/>
    <row r="5934" customFormat="1" ht="12.75" x14ac:dyDescent="0.2"/>
    <row r="5935" customFormat="1" ht="12.75" x14ac:dyDescent="0.2"/>
    <row r="5936" customFormat="1" ht="12.75" x14ac:dyDescent="0.2"/>
    <row r="5937" customFormat="1" ht="12.75" x14ac:dyDescent="0.2"/>
    <row r="5938" customFormat="1" ht="12.75" x14ac:dyDescent="0.2"/>
    <row r="5939" customFormat="1" ht="12.75" x14ac:dyDescent="0.2"/>
    <row r="5940" customFormat="1" ht="12.75" x14ac:dyDescent="0.2"/>
    <row r="5941" customFormat="1" ht="12.75" x14ac:dyDescent="0.2"/>
    <row r="5942" customFormat="1" ht="12.75" x14ac:dyDescent="0.2"/>
    <row r="5943" customFormat="1" ht="12.75" x14ac:dyDescent="0.2"/>
    <row r="5944" customFormat="1" ht="12.75" x14ac:dyDescent="0.2"/>
    <row r="5945" customFormat="1" ht="12.75" x14ac:dyDescent="0.2"/>
    <row r="5946" customFormat="1" ht="12.75" x14ac:dyDescent="0.2"/>
    <row r="5947" customFormat="1" ht="12.75" x14ac:dyDescent="0.2"/>
    <row r="5948" customFormat="1" ht="12.75" x14ac:dyDescent="0.2"/>
    <row r="5949" customFormat="1" ht="12.75" x14ac:dyDescent="0.2"/>
    <row r="5950" customFormat="1" ht="12.75" x14ac:dyDescent="0.2"/>
    <row r="5951" customFormat="1" ht="12.75" x14ac:dyDescent="0.2"/>
    <row r="5952" customFormat="1" ht="12.75" x14ac:dyDescent="0.2"/>
    <row r="5953" customFormat="1" ht="12.75" x14ac:dyDescent="0.2"/>
    <row r="5954" customFormat="1" ht="12.75" x14ac:dyDescent="0.2"/>
    <row r="5955" customFormat="1" ht="12.75" x14ac:dyDescent="0.2"/>
    <row r="5956" customFormat="1" ht="12.75" x14ac:dyDescent="0.2"/>
    <row r="5957" customFormat="1" ht="12.75" x14ac:dyDescent="0.2"/>
    <row r="5958" customFormat="1" ht="12.75" x14ac:dyDescent="0.2"/>
    <row r="5959" customFormat="1" ht="12.75" x14ac:dyDescent="0.2"/>
    <row r="5960" customFormat="1" ht="12.75" x14ac:dyDescent="0.2"/>
    <row r="5961" customFormat="1" ht="12.75" x14ac:dyDescent="0.2"/>
    <row r="5962" customFormat="1" ht="12.75" x14ac:dyDescent="0.2"/>
    <row r="5963" customFormat="1" ht="12.75" x14ac:dyDescent="0.2"/>
    <row r="5964" customFormat="1" ht="12.75" x14ac:dyDescent="0.2"/>
    <row r="5965" customFormat="1" ht="12.75" x14ac:dyDescent="0.2"/>
    <row r="5966" customFormat="1" ht="12.75" x14ac:dyDescent="0.2"/>
    <row r="5967" customFormat="1" ht="12.75" x14ac:dyDescent="0.2"/>
    <row r="5968" customFormat="1" ht="12.75" x14ac:dyDescent="0.2"/>
    <row r="5969" customFormat="1" ht="12.75" x14ac:dyDescent="0.2"/>
    <row r="5970" customFormat="1" ht="12.75" x14ac:dyDescent="0.2"/>
    <row r="5971" customFormat="1" ht="12.75" x14ac:dyDescent="0.2"/>
    <row r="5972" customFormat="1" ht="12.75" x14ac:dyDescent="0.2"/>
    <row r="5973" customFormat="1" ht="12.75" x14ac:dyDescent="0.2"/>
    <row r="5974" customFormat="1" ht="12.75" x14ac:dyDescent="0.2"/>
    <row r="5975" customFormat="1" ht="12.75" x14ac:dyDescent="0.2"/>
    <row r="5976" customFormat="1" ht="12.75" x14ac:dyDescent="0.2"/>
    <row r="5977" customFormat="1" ht="12.75" x14ac:dyDescent="0.2"/>
    <row r="5978" customFormat="1" ht="12.75" x14ac:dyDescent="0.2"/>
    <row r="5979" customFormat="1" ht="12.75" x14ac:dyDescent="0.2"/>
    <row r="5980" customFormat="1" ht="12.75" x14ac:dyDescent="0.2"/>
    <row r="5981" customFormat="1" ht="12.75" x14ac:dyDescent="0.2"/>
    <row r="5982" customFormat="1" ht="12.75" x14ac:dyDescent="0.2"/>
    <row r="5983" customFormat="1" ht="12.75" x14ac:dyDescent="0.2"/>
    <row r="5984" customFormat="1" ht="12.75" x14ac:dyDescent="0.2"/>
    <row r="5985" customFormat="1" ht="12.75" x14ac:dyDescent="0.2"/>
    <row r="5986" customFormat="1" ht="12.75" x14ac:dyDescent="0.2"/>
    <row r="5987" customFormat="1" ht="12.75" x14ac:dyDescent="0.2"/>
    <row r="5988" customFormat="1" ht="12.75" x14ac:dyDescent="0.2"/>
    <row r="5989" customFormat="1" ht="12.75" x14ac:dyDescent="0.2"/>
    <row r="5990" customFormat="1" ht="12.75" x14ac:dyDescent="0.2"/>
    <row r="5991" customFormat="1" ht="12.75" x14ac:dyDescent="0.2"/>
    <row r="5992" customFormat="1" ht="12.75" x14ac:dyDescent="0.2"/>
    <row r="5993" customFormat="1" ht="12.75" x14ac:dyDescent="0.2"/>
    <row r="5994" customFormat="1" ht="12.75" x14ac:dyDescent="0.2"/>
    <row r="5995" customFormat="1" ht="12.75" x14ac:dyDescent="0.2"/>
    <row r="5996" customFormat="1" ht="12.75" x14ac:dyDescent="0.2"/>
    <row r="5997" customFormat="1" ht="12.75" x14ac:dyDescent="0.2"/>
    <row r="5998" customFormat="1" ht="12.75" x14ac:dyDescent="0.2"/>
    <row r="5999" customFormat="1" ht="12.75" x14ac:dyDescent="0.2"/>
    <row r="6000" customFormat="1" ht="12.75" x14ac:dyDescent="0.2"/>
    <row r="6001" customFormat="1" ht="12.75" x14ac:dyDescent="0.2"/>
    <row r="6002" customFormat="1" ht="12.75" x14ac:dyDescent="0.2"/>
    <row r="6003" customFormat="1" ht="12.75" x14ac:dyDescent="0.2"/>
    <row r="6004" customFormat="1" ht="12.75" x14ac:dyDescent="0.2"/>
    <row r="6005" customFormat="1" ht="12.75" x14ac:dyDescent="0.2"/>
    <row r="6006" customFormat="1" ht="12.75" x14ac:dyDescent="0.2"/>
    <row r="6007" customFormat="1" ht="12.75" x14ac:dyDescent="0.2"/>
    <row r="6008" customFormat="1" ht="12.75" x14ac:dyDescent="0.2"/>
    <row r="6009" customFormat="1" ht="12.75" x14ac:dyDescent="0.2"/>
    <row r="6010" customFormat="1" ht="12.75" x14ac:dyDescent="0.2"/>
    <row r="6011" customFormat="1" ht="12.75" x14ac:dyDescent="0.2"/>
    <row r="6012" customFormat="1" ht="12.75" x14ac:dyDescent="0.2"/>
    <row r="6013" customFormat="1" ht="12.75" x14ac:dyDescent="0.2"/>
    <row r="6014" customFormat="1" ht="12.75" x14ac:dyDescent="0.2"/>
    <row r="6015" customFormat="1" ht="12.75" x14ac:dyDescent="0.2"/>
    <row r="6016" customFormat="1" ht="12.75" x14ac:dyDescent="0.2"/>
    <row r="6017" customFormat="1" ht="12.75" x14ac:dyDescent="0.2"/>
    <row r="6018" customFormat="1" ht="12.75" x14ac:dyDescent="0.2"/>
    <row r="6019" customFormat="1" ht="12.75" x14ac:dyDescent="0.2"/>
    <row r="6020" customFormat="1" ht="12.75" x14ac:dyDescent="0.2"/>
    <row r="6021" customFormat="1" ht="12.75" x14ac:dyDescent="0.2"/>
    <row r="6022" customFormat="1" ht="12.75" x14ac:dyDescent="0.2"/>
    <row r="6023" customFormat="1" ht="12.75" x14ac:dyDescent="0.2"/>
    <row r="6024" customFormat="1" ht="12.75" x14ac:dyDescent="0.2"/>
    <row r="6025" customFormat="1" ht="12.75" x14ac:dyDescent="0.2"/>
    <row r="6026" customFormat="1" ht="12.75" x14ac:dyDescent="0.2"/>
    <row r="6027" customFormat="1" ht="12.75" x14ac:dyDescent="0.2"/>
    <row r="6028" customFormat="1" ht="12.75" x14ac:dyDescent="0.2"/>
    <row r="6029" customFormat="1" ht="12.75" x14ac:dyDescent="0.2"/>
    <row r="6030" customFormat="1" ht="12.75" x14ac:dyDescent="0.2"/>
    <row r="6031" customFormat="1" ht="12.75" x14ac:dyDescent="0.2"/>
    <row r="6032" customFormat="1" ht="12.75" x14ac:dyDescent="0.2"/>
    <row r="6033" customFormat="1" ht="12.75" x14ac:dyDescent="0.2"/>
    <row r="6034" customFormat="1" ht="12.75" x14ac:dyDescent="0.2"/>
    <row r="6035" customFormat="1" ht="12.75" x14ac:dyDescent="0.2"/>
    <row r="6036" customFormat="1" ht="12.75" x14ac:dyDescent="0.2"/>
    <row r="6037" customFormat="1" ht="12.75" x14ac:dyDescent="0.2"/>
    <row r="6038" customFormat="1" ht="12.75" x14ac:dyDescent="0.2"/>
    <row r="6039" customFormat="1" ht="12.75" x14ac:dyDescent="0.2"/>
    <row r="6040" customFormat="1" ht="12.75" x14ac:dyDescent="0.2"/>
    <row r="6041" customFormat="1" ht="12.75" x14ac:dyDescent="0.2"/>
    <row r="6042" customFormat="1" ht="12.75" x14ac:dyDescent="0.2"/>
    <row r="6043" customFormat="1" ht="12.75" x14ac:dyDescent="0.2"/>
    <row r="6044" customFormat="1" ht="12.75" x14ac:dyDescent="0.2"/>
    <row r="6045" customFormat="1" ht="12.75" x14ac:dyDescent="0.2"/>
    <row r="6046" customFormat="1" ht="12.75" x14ac:dyDescent="0.2"/>
    <row r="6047" customFormat="1" ht="12.75" x14ac:dyDescent="0.2"/>
    <row r="6048" customFormat="1" ht="12.75" x14ac:dyDescent="0.2"/>
    <row r="6049" customFormat="1" ht="12.75" x14ac:dyDescent="0.2"/>
    <row r="6050" customFormat="1" ht="12.75" x14ac:dyDescent="0.2"/>
    <row r="6051" customFormat="1" ht="12.75" x14ac:dyDescent="0.2"/>
    <row r="6052" customFormat="1" ht="12.75" x14ac:dyDescent="0.2"/>
    <row r="6053" customFormat="1" ht="12.75" x14ac:dyDescent="0.2"/>
    <row r="6054" customFormat="1" ht="12.75" x14ac:dyDescent="0.2"/>
    <row r="6055" customFormat="1" ht="12.75" x14ac:dyDescent="0.2"/>
    <row r="6056" customFormat="1" ht="12.75" x14ac:dyDescent="0.2"/>
    <row r="6057" customFormat="1" ht="12.75" x14ac:dyDescent="0.2"/>
    <row r="6058" customFormat="1" ht="12.75" x14ac:dyDescent="0.2"/>
    <row r="6059" customFormat="1" ht="12.75" x14ac:dyDescent="0.2"/>
    <row r="6060" customFormat="1" ht="12.75" x14ac:dyDescent="0.2"/>
    <row r="6061" customFormat="1" ht="12.75" x14ac:dyDescent="0.2"/>
    <row r="6062" customFormat="1" ht="12.75" x14ac:dyDescent="0.2"/>
    <row r="6063" customFormat="1" ht="12.75" x14ac:dyDescent="0.2"/>
    <row r="6064" customFormat="1" ht="12.75" x14ac:dyDescent="0.2"/>
    <row r="6065" customFormat="1" ht="12.75" x14ac:dyDescent="0.2"/>
    <row r="6066" customFormat="1" ht="12.75" x14ac:dyDescent="0.2"/>
    <row r="6067" customFormat="1" ht="12.75" x14ac:dyDescent="0.2"/>
    <row r="6068" customFormat="1" ht="12.75" x14ac:dyDescent="0.2"/>
    <row r="6069" customFormat="1" ht="12.75" x14ac:dyDescent="0.2"/>
    <row r="6070" customFormat="1" ht="12.75" x14ac:dyDescent="0.2"/>
    <row r="6071" customFormat="1" ht="12.75" x14ac:dyDescent="0.2"/>
    <row r="6072" customFormat="1" ht="12.75" x14ac:dyDescent="0.2"/>
    <row r="6073" customFormat="1" ht="12.75" x14ac:dyDescent="0.2"/>
    <row r="6074" customFormat="1" ht="12.75" x14ac:dyDescent="0.2"/>
    <row r="6075" customFormat="1" ht="12.75" x14ac:dyDescent="0.2"/>
    <row r="6076" customFormat="1" ht="12.75" x14ac:dyDescent="0.2"/>
    <row r="6077" customFormat="1" ht="12.75" x14ac:dyDescent="0.2"/>
    <row r="6078" customFormat="1" ht="12.75" x14ac:dyDescent="0.2"/>
    <row r="6079" customFormat="1" ht="12.75" x14ac:dyDescent="0.2"/>
    <row r="6080" customFormat="1" ht="12.75" x14ac:dyDescent="0.2"/>
    <row r="6081" customFormat="1" ht="12.75" x14ac:dyDescent="0.2"/>
    <row r="6082" customFormat="1" ht="12.75" x14ac:dyDescent="0.2"/>
    <row r="6083" customFormat="1" ht="12.75" x14ac:dyDescent="0.2"/>
    <row r="6084" customFormat="1" ht="12.75" x14ac:dyDescent="0.2"/>
    <row r="6085" customFormat="1" ht="12.75" x14ac:dyDescent="0.2"/>
    <row r="6086" customFormat="1" ht="12.75" x14ac:dyDescent="0.2"/>
    <row r="6087" customFormat="1" ht="12.75" x14ac:dyDescent="0.2"/>
    <row r="6088" customFormat="1" ht="12.75" x14ac:dyDescent="0.2"/>
    <row r="6089" customFormat="1" ht="12.75" x14ac:dyDescent="0.2"/>
    <row r="6090" customFormat="1" ht="12.75" x14ac:dyDescent="0.2"/>
    <row r="6091" customFormat="1" ht="12.75" x14ac:dyDescent="0.2"/>
    <row r="6092" customFormat="1" ht="12.75" x14ac:dyDescent="0.2"/>
    <row r="6093" customFormat="1" ht="12.75" x14ac:dyDescent="0.2"/>
    <row r="6094" customFormat="1" ht="12.75" x14ac:dyDescent="0.2"/>
    <row r="6095" customFormat="1" ht="12.75" x14ac:dyDescent="0.2"/>
    <row r="6096" customFormat="1" ht="12.75" x14ac:dyDescent="0.2"/>
    <row r="6097" customFormat="1" ht="12.75" x14ac:dyDescent="0.2"/>
    <row r="6098" customFormat="1" ht="12.75" x14ac:dyDescent="0.2"/>
    <row r="6099" customFormat="1" ht="12.75" x14ac:dyDescent="0.2"/>
    <row r="6100" customFormat="1" ht="12.75" x14ac:dyDescent="0.2"/>
    <row r="6101" customFormat="1" ht="12.75" x14ac:dyDescent="0.2"/>
    <row r="6102" customFormat="1" ht="12.75" x14ac:dyDescent="0.2"/>
    <row r="6103" customFormat="1" ht="12.75" x14ac:dyDescent="0.2"/>
    <row r="6104" customFormat="1" ht="12.75" x14ac:dyDescent="0.2"/>
    <row r="6105" customFormat="1" ht="12.75" x14ac:dyDescent="0.2"/>
    <row r="6106" customFormat="1" ht="12.75" x14ac:dyDescent="0.2"/>
    <row r="6107" customFormat="1" ht="12.75" x14ac:dyDescent="0.2"/>
    <row r="6108" customFormat="1" ht="12.75" x14ac:dyDescent="0.2"/>
    <row r="6109" customFormat="1" ht="12.75" x14ac:dyDescent="0.2"/>
    <row r="6110" customFormat="1" ht="12.75" x14ac:dyDescent="0.2"/>
    <row r="6111" customFormat="1" ht="12.75" x14ac:dyDescent="0.2"/>
    <row r="6112" customFormat="1" ht="12.75" x14ac:dyDescent="0.2"/>
    <row r="6113" customFormat="1" ht="12.75" x14ac:dyDescent="0.2"/>
    <row r="6114" customFormat="1" ht="12.75" x14ac:dyDescent="0.2"/>
    <row r="6115" customFormat="1" ht="12.75" x14ac:dyDescent="0.2"/>
    <row r="6116" customFormat="1" ht="12.75" x14ac:dyDescent="0.2"/>
    <row r="6117" customFormat="1" ht="12.75" x14ac:dyDescent="0.2"/>
    <row r="6118" customFormat="1" ht="12.75" x14ac:dyDescent="0.2"/>
    <row r="6119" customFormat="1" ht="12.75" x14ac:dyDescent="0.2"/>
    <row r="6120" customFormat="1" ht="12.75" x14ac:dyDescent="0.2"/>
    <row r="6121" customFormat="1" ht="12.75" x14ac:dyDescent="0.2"/>
    <row r="6122" customFormat="1" ht="12.75" x14ac:dyDescent="0.2"/>
    <row r="6123" customFormat="1" ht="12.75" x14ac:dyDescent="0.2"/>
    <row r="6124" customFormat="1" ht="12.75" x14ac:dyDescent="0.2"/>
    <row r="6125" customFormat="1" ht="12.75" x14ac:dyDescent="0.2"/>
    <row r="6126" customFormat="1" ht="12.75" x14ac:dyDescent="0.2"/>
    <row r="6127" customFormat="1" ht="12.75" x14ac:dyDescent="0.2"/>
    <row r="6128" customFormat="1" ht="12.75" x14ac:dyDescent="0.2"/>
    <row r="6129" customFormat="1" ht="12.75" x14ac:dyDescent="0.2"/>
    <row r="6130" customFormat="1" ht="12.75" x14ac:dyDescent="0.2"/>
    <row r="6131" customFormat="1" ht="12.75" x14ac:dyDescent="0.2"/>
    <row r="6132" customFormat="1" ht="12.75" x14ac:dyDescent="0.2"/>
    <row r="6133" customFormat="1" ht="12.75" x14ac:dyDescent="0.2"/>
    <row r="6134" customFormat="1" ht="12.75" x14ac:dyDescent="0.2"/>
    <row r="6135" customFormat="1" ht="12.75" x14ac:dyDescent="0.2"/>
    <row r="6136" customFormat="1" ht="12.75" x14ac:dyDescent="0.2"/>
    <row r="6137" customFormat="1" ht="12.75" x14ac:dyDescent="0.2"/>
    <row r="6138" customFormat="1" ht="12.75" x14ac:dyDescent="0.2"/>
    <row r="6139" customFormat="1" ht="12.75" x14ac:dyDescent="0.2"/>
    <row r="6140" customFormat="1" ht="12.75" x14ac:dyDescent="0.2"/>
    <row r="6141" customFormat="1" ht="12.75" x14ac:dyDescent="0.2"/>
    <row r="6142" customFormat="1" ht="12.75" x14ac:dyDescent="0.2"/>
    <row r="6143" customFormat="1" ht="12.75" x14ac:dyDescent="0.2"/>
    <row r="6144" customFormat="1" ht="12.75" x14ac:dyDescent="0.2"/>
    <row r="6145" customFormat="1" ht="12.75" x14ac:dyDescent="0.2"/>
    <row r="6146" customFormat="1" ht="12.75" x14ac:dyDescent="0.2"/>
    <row r="6147" customFormat="1" ht="12.75" x14ac:dyDescent="0.2"/>
    <row r="6148" customFormat="1" ht="12.75" x14ac:dyDescent="0.2"/>
    <row r="6149" customFormat="1" ht="12.75" x14ac:dyDescent="0.2"/>
    <row r="6150" customFormat="1" ht="12.75" x14ac:dyDescent="0.2"/>
    <row r="6151" customFormat="1" ht="12.75" x14ac:dyDescent="0.2"/>
    <row r="6152" customFormat="1" ht="12.75" x14ac:dyDescent="0.2"/>
    <row r="6153" customFormat="1" ht="12.75" x14ac:dyDescent="0.2"/>
    <row r="6154" customFormat="1" ht="12.75" x14ac:dyDescent="0.2"/>
    <row r="6155" customFormat="1" ht="12.75" x14ac:dyDescent="0.2"/>
    <row r="6156" customFormat="1" ht="12.75" x14ac:dyDescent="0.2"/>
    <row r="6157" customFormat="1" ht="12.75" x14ac:dyDescent="0.2"/>
    <row r="6158" customFormat="1" ht="12.75" x14ac:dyDescent="0.2"/>
    <row r="6159" customFormat="1" ht="12.75" x14ac:dyDescent="0.2"/>
    <row r="6160" customFormat="1" ht="12.75" x14ac:dyDescent="0.2"/>
    <row r="6161" customFormat="1" ht="12.75" x14ac:dyDescent="0.2"/>
    <row r="6162" customFormat="1" ht="12.75" x14ac:dyDescent="0.2"/>
    <row r="6163" customFormat="1" ht="12.75" x14ac:dyDescent="0.2"/>
    <row r="6164" customFormat="1" ht="12.75" x14ac:dyDescent="0.2"/>
    <row r="6165" customFormat="1" ht="12.75" x14ac:dyDescent="0.2"/>
    <row r="6166" customFormat="1" ht="12.75" x14ac:dyDescent="0.2"/>
    <row r="6167" customFormat="1" ht="12.75" x14ac:dyDescent="0.2"/>
    <row r="6168" customFormat="1" ht="12.75" x14ac:dyDescent="0.2"/>
    <row r="6169" customFormat="1" ht="12.75" x14ac:dyDescent="0.2"/>
    <row r="6170" customFormat="1" ht="12.75" x14ac:dyDescent="0.2"/>
    <row r="6171" customFormat="1" ht="12.75" x14ac:dyDescent="0.2"/>
    <row r="6172" customFormat="1" ht="12.75" x14ac:dyDescent="0.2"/>
    <row r="6173" customFormat="1" ht="12.75" x14ac:dyDescent="0.2"/>
    <row r="6174" customFormat="1" ht="12.75" x14ac:dyDescent="0.2"/>
    <row r="6175" customFormat="1" ht="12.75" x14ac:dyDescent="0.2"/>
    <row r="6176" customFormat="1" ht="12.75" x14ac:dyDescent="0.2"/>
    <row r="6177" customFormat="1" ht="12.75" x14ac:dyDescent="0.2"/>
    <row r="6178" customFormat="1" ht="12.75" x14ac:dyDescent="0.2"/>
    <row r="6179" customFormat="1" ht="12.75" x14ac:dyDescent="0.2"/>
    <row r="6180" customFormat="1" ht="12.75" x14ac:dyDescent="0.2"/>
    <row r="6181" customFormat="1" ht="12.75" x14ac:dyDescent="0.2"/>
    <row r="6182" customFormat="1" ht="12.75" x14ac:dyDescent="0.2"/>
    <row r="6183" customFormat="1" ht="12.75" x14ac:dyDescent="0.2"/>
    <row r="6184" customFormat="1" ht="12.75" x14ac:dyDescent="0.2"/>
    <row r="6185" customFormat="1" ht="12.75" x14ac:dyDescent="0.2"/>
    <row r="6186" customFormat="1" ht="12.75" x14ac:dyDescent="0.2"/>
    <row r="6187" customFormat="1" ht="12.75" x14ac:dyDescent="0.2"/>
    <row r="6188" customFormat="1" ht="12.75" x14ac:dyDescent="0.2"/>
    <row r="6189" customFormat="1" ht="12.75" x14ac:dyDescent="0.2"/>
    <row r="6190" customFormat="1" ht="12.75" x14ac:dyDescent="0.2"/>
    <row r="6191" customFormat="1" ht="12.75" x14ac:dyDescent="0.2"/>
    <row r="6192" customFormat="1" ht="12.75" x14ac:dyDescent="0.2"/>
    <row r="6193" customFormat="1" ht="12.75" x14ac:dyDescent="0.2"/>
    <row r="6194" customFormat="1" ht="12.75" x14ac:dyDescent="0.2"/>
    <row r="6195" customFormat="1" ht="12.75" x14ac:dyDescent="0.2"/>
    <row r="6196" customFormat="1" ht="12.75" x14ac:dyDescent="0.2"/>
    <row r="6197" customFormat="1" ht="12.75" x14ac:dyDescent="0.2"/>
    <row r="6198" customFormat="1" ht="12.75" x14ac:dyDescent="0.2"/>
    <row r="6199" customFormat="1" ht="12.75" x14ac:dyDescent="0.2"/>
    <row r="6200" customFormat="1" ht="12.75" x14ac:dyDescent="0.2"/>
    <row r="6201" customFormat="1" ht="12.75" x14ac:dyDescent="0.2"/>
    <row r="6202" customFormat="1" ht="12.75" x14ac:dyDescent="0.2"/>
    <row r="6203" customFormat="1" ht="12.75" x14ac:dyDescent="0.2"/>
    <row r="6204" customFormat="1" ht="12.75" x14ac:dyDescent="0.2"/>
    <row r="6205" customFormat="1" ht="12.75" x14ac:dyDescent="0.2"/>
    <row r="6206" customFormat="1" ht="12.75" x14ac:dyDescent="0.2"/>
    <row r="6207" customFormat="1" ht="12.75" x14ac:dyDescent="0.2"/>
    <row r="6208" customFormat="1" ht="12.75" x14ac:dyDescent="0.2"/>
    <row r="6209" customFormat="1" ht="12.75" x14ac:dyDescent="0.2"/>
    <row r="6210" customFormat="1" ht="12.75" x14ac:dyDescent="0.2"/>
    <row r="6211" customFormat="1" ht="12.75" x14ac:dyDescent="0.2"/>
    <row r="6212" customFormat="1" ht="12.75" x14ac:dyDescent="0.2"/>
    <row r="6213" customFormat="1" ht="12.75" x14ac:dyDescent="0.2"/>
    <row r="6214" customFormat="1" ht="12.75" x14ac:dyDescent="0.2"/>
    <row r="6215" customFormat="1" ht="12.75" x14ac:dyDescent="0.2"/>
    <row r="6216" customFormat="1" ht="12.75" x14ac:dyDescent="0.2"/>
    <row r="6217" customFormat="1" ht="12.75" x14ac:dyDescent="0.2"/>
    <row r="6218" customFormat="1" ht="12.75" x14ac:dyDescent="0.2"/>
    <row r="6219" customFormat="1" ht="12.75" x14ac:dyDescent="0.2"/>
    <row r="6220" customFormat="1" ht="12.75" x14ac:dyDescent="0.2"/>
    <row r="6221" customFormat="1" ht="12.75" x14ac:dyDescent="0.2"/>
    <row r="6222" customFormat="1" ht="12.75" x14ac:dyDescent="0.2"/>
    <row r="6223" customFormat="1" ht="12.75" x14ac:dyDescent="0.2"/>
    <row r="6224" customFormat="1" ht="12.75" x14ac:dyDescent="0.2"/>
    <row r="6225" customFormat="1" ht="12.75" x14ac:dyDescent="0.2"/>
    <row r="6226" customFormat="1" ht="12.75" x14ac:dyDescent="0.2"/>
    <row r="6227" customFormat="1" ht="12.75" x14ac:dyDescent="0.2"/>
    <row r="6228" customFormat="1" ht="12.75" x14ac:dyDescent="0.2"/>
    <row r="6229" customFormat="1" ht="12.75" x14ac:dyDescent="0.2"/>
    <row r="6230" customFormat="1" ht="12.75" x14ac:dyDescent="0.2"/>
    <row r="6231" customFormat="1" ht="12.75" x14ac:dyDescent="0.2"/>
    <row r="6232" customFormat="1" ht="12.75" x14ac:dyDescent="0.2"/>
    <row r="6233" customFormat="1" ht="12.75" x14ac:dyDescent="0.2"/>
    <row r="6234" customFormat="1" ht="12.75" x14ac:dyDescent="0.2"/>
    <row r="6235" customFormat="1" ht="12.75" x14ac:dyDescent="0.2"/>
    <row r="6236" customFormat="1" ht="12.75" x14ac:dyDescent="0.2"/>
    <row r="6237" customFormat="1" ht="12.75" x14ac:dyDescent="0.2"/>
    <row r="6238" customFormat="1" ht="12.75" x14ac:dyDescent="0.2"/>
    <row r="6239" customFormat="1" ht="12.75" x14ac:dyDescent="0.2"/>
    <row r="6240" customFormat="1" ht="12.75" x14ac:dyDescent="0.2"/>
    <row r="6241" customFormat="1" ht="12.75" x14ac:dyDescent="0.2"/>
    <row r="6242" customFormat="1" ht="12.75" x14ac:dyDescent="0.2"/>
    <row r="6243" customFormat="1" ht="12.75" x14ac:dyDescent="0.2"/>
    <row r="6244" customFormat="1" ht="12.75" x14ac:dyDescent="0.2"/>
    <row r="6245" customFormat="1" ht="12.75" x14ac:dyDescent="0.2"/>
    <row r="6246" customFormat="1" ht="12.75" x14ac:dyDescent="0.2"/>
    <row r="6247" customFormat="1" ht="12.75" x14ac:dyDescent="0.2"/>
    <row r="6248" customFormat="1" ht="12.75" x14ac:dyDescent="0.2"/>
    <row r="6249" customFormat="1" ht="12.75" x14ac:dyDescent="0.2"/>
    <row r="6250" customFormat="1" ht="12.75" x14ac:dyDescent="0.2"/>
    <row r="6251" customFormat="1" ht="12.75" x14ac:dyDescent="0.2"/>
    <row r="6252" customFormat="1" ht="12.75" x14ac:dyDescent="0.2"/>
    <row r="6253" customFormat="1" ht="12.75" x14ac:dyDescent="0.2"/>
    <row r="6254" customFormat="1" ht="12.75" x14ac:dyDescent="0.2"/>
    <row r="6255" customFormat="1" ht="12.75" x14ac:dyDescent="0.2"/>
    <row r="6256" customFormat="1" ht="12.75" x14ac:dyDescent="0.2"/>
    <row r="6257" customFormat="1" ht="12.75" x14ac:dyDescent="0.2"/>
    <row r="6258" customFormat="1" ht="12.75" x14ac:dyDescent="0.2"/>
    <row r="6259" customFormat="1" ht="12.75" x14ac:dyDescent="0.2"/>
    <row r="6260" customFormat="1" ht="12.75" x14ac:dyDescent="0.2"/>
    <row r="6261" customFormat="1" ht="12.75" x14ac:dyDescent="0.2"/>
    <row r="6262" customFormat="1" ht="12.75" x14ac:dyDescent="0.2"/>
    <row r="6263" customFormat="1" ht="12.75" x14ac:dyDescent="0.2"/>
    <row r="6264" customFormat="1" ht="12.75" x14ac:dyDescent="0.2"/>
    <row r="6265" customFormat="1" ht="12.75" x14ac:dyDescent="0.2"/>
    <row r="6266" customFormat="1" ht="12.75" x14ac:dyDescent="0.2"/>
    <row r="6267" customFormat="1" ht="12.75" x14ac:dyDescent="0.2"/>
    <row r="6268" customFormat="1" ht="12.75" x14ac:dyDescent="0.2"/>
    <row r="6269" customFormat="1" ht="12.75" x14ac:dyDescent="0.2"/>
    <row r="6270" customFormat="1" ht="12.75" x14ac:dyDescent="0.2"/>
    <row r="6271" customFormat="1" ht="12.75" x14ac:dyDescent="0.2"/>
    <row r="6272" customFormat="1" ht="12.75" x14ac:dyDescent="0.2"/>
    <row r="6273" customFormat="1" ht="12.75" x14ac:dyDescent="0.2"/>
    <row r="6274" customFormat="1" ht="12.75" x14ac:dyDescent="0.2"/>
    <row r="6275" customFormat="1" ht="12.75" x14ac:dyDescent="0.2"/>
    <row r="6276" customFormat="1" ht="12.75" x14ac:dyDescent="0.2"/>
    <row r="6277" customFormat="1" ht="12.75" x14ac:dyDescent="0.2"/>
    <row r="6278" customFormat="1" ht="12.75" x14ac:dyDescent="0.2"/>
    <row r="6279" customFormat="1" ht="12.75" x14ac:dyDescent="0.2"/>
    <row r="6280" customFormat="1" ht="12.75" x14ac:dyDescent="0.2"/>
    <row r="6281" customFormat="1" ht="12.75" x14ac:dyDescent="0.2"/>
    <row r="6282" customFormat="1" ht="12.75" x14ac:dyDescent="0.2"/>
    <row r="6283" customFormat="1" ht="12.75" x14ac:dyDescent="0.2"/>
    <row r="6284" customFormat="1" ht="12.75" x14ac:dyDescent="0.2"/>
    <row r="6285" customFormat="1" ht="12.75" x14ac:dyDescent="0.2"/>
    <row r="6286" customFormat="1" ht="12.75" x14ac:dyDescent="0.2"/>
    <row r="6287" customFormat="1" ht="12.75" x14ac:dyDescent="0.2"/>
    <row r="6288" customFormat="1" ht="12.75" x14ac:dyDescent="0.2"/>
    <row r="6289" customFormat="1" ht="12.75" x14ac:dyDescent="0.2"/>
    <row r="6290" customFormat="1" ht="12.75" x14ac:dyDescent="0.2"/>
    <row r="6291" customFormat="1" ht="12.75" x14ac:dyDescent="0.2"/>
    <row r="6292" customFormat="1" ht="12.75" x14ac:dyDescent="0.2"/>
    <row r="6293" customFormat="1" ht="12.75" x14ac:dyDescent="0.2"/>
    <row r="6294" customFormat="1" ht="12.75" x14ac:dyDescent="0.2"/>
    <row r="6295" customFormat="1" ht="12.75" x14ac:dyDescent="0.2"/>
    <row r="6296" customFormat="1" ht="12.75" x14ac:dyDescent="0.2"/>
    <row r="6297" customFormat="1" ht="12.75" x14ac:dyDescent="0.2"/>
    <row r="6298" customFormat="1" ht="12.75" x14ac:dyDescent="0.2"/>
    <row r="6299" customFormat="1" ht="12.75" x14ac:dyDescent="0.2"/>
    <row r="6300" customFormat="1" ht="12.75" x14ac:dyDescent="0.2"/>
    <row r="6301" customFormat="1" ht="12.75" x14ac:dyDescent="0.2"/>
    <row r="6302" customFormat="1" ht="12.75" x14ac:dyDescent="0.2"/>
    <row r="6303" customFormat="1" ht="12.75" x14ac:dyDescent="0.2"/>
    <row r="6304" customFormat="1" ht="12.75" x14ac:dyDescent="0.2"/>
    <row r="6305" customFormat="1" ht="12.75" x14ac:dyDescent="0.2"/>
    <row r="6306" customFormat="1" ht="12.75" x14ac:dyDescent="0.2"/>
    <row r="6307" customFormat="1" ht="12.75" x14ac:dyDescent="0.2"/>
    <row r="6308" customFormat="1" ht="12.75" x14ac:dyDescent="0.2"/>
    <row r="6309" customFormat="1" ht="12.75" x14ac:dyDescent="0.2"/>
    <row r="6310" customFormat="1" ht="12.75" x14ac:dyDescent="0.2"/>
    <row r="6311" customFormat="1" ht="12.75" x14ac:dyDescent="0.2"/>
    <row r="6312" customFormat="1" ht="12.75" x14ac:dyDescent="0.2"/>
    <row r="6313" customFormat="1" ht="12.75" x14ac:dyDescent="0.2"/>
    <row r="6314" customFormat="1" ht="12.75" x14ac:dyDescent="0.2"/>
    <row r="6315" customFormat="1" ht="12.75" x14ac:dyDescent="0.2"/>
    <row r="6316" customFormat="1" ht="12.75" x14ac:dyDescent="0.2"/>
    <row r="6317" customFormat="1" ht="12.75" x14ac:dyDescent="0.2"/>
    <row r="6318" customFormat="1" ht="12.75" x14ac:dyDescent="0.2"/>
    <row r="6319" customFormat="1" ht="12.75" x14ac:dyDescent="0.2"/>
    <row r="6320" customFormat="1" ht="12.75" x14ac:dyDescent="0.2"/>
    <row r="6321" customFormat="1" ht="12.75" x14ac:dyDescent="0.2"/>
    <row r="6322" customFormat="1" ht="12.75" x14ac:dyDescent="0.2"/>
    <row r="6323" customFormat="1" ht="12.75" x14ac:dyDescent="0.2"/>
    <row r="6324" customFormat="1" ht="12.75" x14ac:dyDescent="0.2"/>
    <row r="6325" customFormat="1" ht="12.75" x14ac:dyDescent="0.2"/>
    <row r="6326" customFormat="1" ht="12.75" x14ac:dyDescent="0.2"/>
    <row r="6327" customFormat="1" ht="12.75" x14ac:dyDescent="0.2"/>
    <row r="6328" customFormat="1" ht="12.75" x14ac:dyDescent="0.2"/>
    <row r="6329" customFormat="1" ht="12.75" x14ac:dyDescent="0.2"/>
    <row r="6330" customFormat="1" ht="12.75" x14ac:dyDescent="0.2"/>
    <row r="6331" customFormat="1" ht="12.75" x14ac:dyDescent="0.2"/>
    <row r="6332" customFormat="1" ht="12.75" x14ac:dyDescent="0.2"/>
    <row r="6333" customFormat="1" ht="12.75" x14ac:dyDescent="0.2"/>
    <row r="6334" customFormat="1" ht="12.75" x14ac:dyDescent="0.2"/>
    <row r="6335" customFormat="1" ht="12.75" x14ac:dyDescent="0.2"/>
    <row r="6336" customFormat="1" ht="12.75" x14ac:dyDescent="0.2"/>
    <row r="6337" customFormat="1" ht="12.75" x14ac:dyDescent="0.2"/>
    <row r="6338" customFormat="1" ht="12.75" x14ac:dyDescent="0.2"/>
    <row r="6339" customFormat="1" ht="12.75" x14ac:dyDescent="0.2"/>
    <row r="6340" customFormat="1" ht="12.75" x14ac:dyDescent="0.2"/>
    <row r="6341" customFormat="1" ht="12.75" x14ac:dyDescent="0.2"/>
    <row r="6342" customFormat="1" ht="12.75" x14ac:dyDescent="0.2"/>
    <row r="6343" customFormat="1" ht="12.75" x14ac:dyDescent="0.2"/>
    <row r="6344" customFormat="1" ht="12.75" x14ac:dyDescent="0.2"/>
    <row r="6345" customFormat="1" ht="12.75" x14ac:dyDescent="0.2"/>
    <row r="6346" customFormat="1" ht="12.75" x14ac:dyDescent="0.2"/>
    <row r="6347" customFormat="1" ht="12.75" x14ac:dyDescent="0.2"/>
    <row r="6348" customFormat="1" ht="12.75" x14ac:dyDescent="0.2"/>
    <row r="6349" customFormat="1" ht="12.75" x14ac:dyDescent="0.2"/>
    <row r="6350" customFormat="1" ht="12.75" x14ac:dyDescent="0.2"/>
    <row r="6351" customFormat="1" ht="12.75" x14ac:dyDescent="0.2"/>
    <row r="6352" customFormat="1" ht="12.75" x14ac:dyDescent="0.2"/>
    <row r="6353" customFormat="1" ht="12.75" x14ac:dyDescent="0.2"/>
    <row r="6354" customFormat="1" ht="12.75" x14ac:dyDescent="0.2"/>
    <row r="6355" customFormat="1" ht="12.75" x14ac:dyDescent="0.2"/>
    <row r="6356" customFormat="1" ht="12.75" x14ac:dyDescent="0.2"/>
    <row r="6357" customFormat="1" ht="12.75" x14ac:dyDescent="0.2"/>
    <row r="6358" customFormat="1" ht="12.75" x14ac:dyDescent="0.2"/>
    <row r="6359" customFormat="1" ht="12.75" x14ac:dyDescent="0.2"/>
    <row r="6360" customFormat="1" ht="12.75" x14ac:dyDescent="0.2"/>
    <row r="6361" customFormat="1" ht="12.75" x14ac:dyDescent="0.2"/>
    <row r="6362" customFormat="1" ht="12.75" x14ac:dyDescent="0.2"/>
    <row r="6363" customFormat="1" ht="12.75" x14ac:dyDescent="0.2"/>
    <row r="6364" customFormat="1" ht="12.75" x14ac:dyDescent="0.2"/>
    <row r="6365" customFormat="1" ht="12.75" x14ac:dyDescent="0.2"/>
    <row r="6366" customFormat="1" ht="12.75" x14ac:dyDescent="0.2"/>
    <row r="6367" customFormat="1" ht="12.75" x14ac:dyDescent="0.2"/>
    <row r="6368" customFormat="1" ht="12.75" x14ac:dyDescent="0.2"/>
    <row r="6369" customFormat="1" ht="12.75" x14ac:dyDescent="0.2"/>
    <row r="6370" customFormat="1" ht="12.75" x14ac:dyDescent="0.2"/>
    <row r="6371" customFormat="1" ht="12.75" x14ac:dyDescent="0.2"/>
    <row r="6372" customFormat="1" ht="12.75" x14ac:dyDescent="0.2"/>
    <row r="6373" customFormat="1" ht="12.75" x14ac:dyDescent="0.2"/>
    <row r="6374" customFormat="1" ht="12.75" x14ac:dyDescent="0.2"/>
    <row r="6375" customFormat="1" ht="12.75" x14ac:dyDescent="0.2"/>
    <row r="6376" customFormat="1" ht="12.75" x14ac:dyDescent="0.2"/>
    <row r="6377" customFormat="1" ht="12.75" x14ac:dyDescent="0.2"/>
    <row r="6378" customFormat="1" ht="12.75" x14ac:dyDescent="0.2"/>
    <row r="6379" customFormat="1" ht="12.75" x14ac:dyDescent="0.2"/>
    <row r="6380" customFormat="1" ht="12.75" x14ac:dyDescent="0.2"/>
    <row r="6381" customFormat="1" ht="12.75" x14ac:dyDescent="0.2"/>
    <row r="6382" customFormat="1" ht="12.75" x14ac:dyDescent="0.2"/>
    <row r="6383" customFormat="1" ht="12.75" x14ac:dyDescent="0.2"/>
    <row r="6384" customFormat="1" ht="12.75" x14ac:dyDescent="0.2"/>
    <row r="6385" customFormat="1" ht="12.75" x14ac:dyDescent="0.2"/>
    <row r="6386" customFormat="1" ht="12.75" x14ac:dyDescent="0.2"/>
    <row r="6387" customFormat="1" ht="12.75" x14ac:dyDescent="0.2"/>
    <row r="6388" customFormat="1" ht="12.75" x14ac:dyDescent="0.2"/>
    <row r="6389" customFormat="1" ht="12.75" x14ac:dyDescent="0.2"/>
    <row r="6390" customFormat="1" ht="12.75" x14ac:dyDescent="0.2"/>
    <row r="6391" customFormat="1" ht="12.75" x14ac:dyDescent="0.2"/>
    <row r="6392" customFormat="1" ht="12.75" x14ac:dyDescent="0.2"/>
    <row r="6393" customFormat="1" ht="12.75" x14ac:dyDescent="0.2"/>
    <row r="6394" customFormat="1" ht="12.75" x14ac:dyDescent="0.2"/>
    <row r="6395" customFormat="1" ht="12.75" x14ac:dyDescent="0.2"/>
    <row r="6396" customFormat="1" ht="12.75" x14ac:dyDescent="0.2"/>
    <row r="6397" customFormat="1" ht="12.75" x14ac:dyDescent="0.2"/>
    <row r="6398" customFormat="1" ht="12.75" x14ac:dyDescent="0.2"/>
    <row r="6399" customFormat="1" ht="12.75" x14ac:dyDescent="0.2"/>
    <row r="6400" customFormat="1" ht="12.75" x14ac:dyDescent="0.2"/>
    <row r="6401" customFormat="1" ht="12.75" x14ac:dyDescent="0.2"/>
    <row r="6402" customFormat="1" ht="12.75" x14ac:dyDescent="0.2"/>
    <row r="6403" customFormat="1" ht="12.75" x14ac:dyDescent="0.2"/>
    <row r="6404" customFormat="1" ht="12.75" x14ac:dyDescent="0.2"/>
    <row r="6405" customFormat="1" ht="12.75" x14ac:dyDescent="0.2"/>
    <row r="6406" customFormat="1" ht="12.75" x14ac:dyDescent="0.2"/>
    <row r="6407" customFormat="1" ht="12.75" x14ac:dyDescent="0.2"/>
    <row r="6408" customFormat="1" ht="12.75" x14ac:dyDescent="0.2"/>
    <row r="6409" customFormat="1" ht="12.75" x14ac:dyDescent="0.2"/>
    <row r="6410" customFormat="1" ht="12.75" x14ac:dyDescent="0.2"/>
    <row r="6411" customFormat="1" ht="12.75" x14ac:dyDescent="0.2"/>
    <row r="6412" customFormat="1" ht="12.75" x14ac:dyDescent="0.2"/>
    <row r="6413" customFormat="1" ht="12.75" x14ac:dyDescent="0.2"/>
    <row r="6414" customFormat="1" ht="12.75" x14ac:dyDescent="0.2"/>
    <row r="6415" customFormat="1" ht="12.75" x14ac:dyDescent="0.2"/>
    <row r="6416" customFormat="1" ht="12.75" x14ac:dyDescent="0.2"/>
    <row r="6417" customFormat="1" ht="12.75" x14ac:dyDescent="0.2"/>
    <row r="6418" customFormat="1" ht="12.75" x14ac:dyDescent="0.2"/>
    <row r="6419" customFormat="1" ht="12.75" x14ac:dyDescent="0.2"/>
    <row r="6420" customFormat="1" ht="12.75" x14ac:dyDescent="0.2"/>
    <row r="6421" customFormat="1" ht="12.75" x14ac:dyDescent="0.2"/>
    <row r="6422" customFormat="1" ht="12.75" x14ac:dyDescent="0.2"/>
    <row r="6423" customFormat="1" ht="12.75" x14ac:dyDescent="0.2"/>
    <row r="6424" customFormat="1" ht="12.75" x14ac:dyDescent="0.2"/>
    <row r="6425" customFormat="1" ht="12.75" x14ac:dyDescent="0.2"/>
    <row r="6426" customFormat="1" ht="12.75" x14ac:dyDescent="0.2"/>
    <row r="6427" customFormat="1" ht="12.75" x14ac:dyDescent="0.2"/>
    <row r="6428" customFormat="1" ht="12.75" x14ac:dyDescent="0.2"/>
    <row r="6429" customFormat="1" ht="12.75" x14ac:dyDescent="0.2"/>
    <row r="6430" customFormat="1" ht="12.75" x14ac:dyDescent="0.2"/>
    <row r="6431" customFormat="1" ht="12.75" x14ac:dyDescent="0.2"/>
    <row r="6432" customFormat="1" ht="12.75" x14ac:dyDescent="0.2"/>
    <row r="6433" customFormat="1" ht="12.75" x14ac:dyDescent="0.2"/>
    <row r="6434" customFormat="1" ht="12.75" x14ac:dyDescent="0.2"/>
    <row r="6435" customFormat="1" ht="12.75" x14ac:dyDescent="0.2"/>
    <row r="6436" customFormat="1" ht="12.75" x14ac:dyDescent="0.2"/>
    <row r="6437" customFormat="1" ht="12.75" x14ac:dyDescent="0.2"/>
    <row r="6438" customFormat="1" ht="12.75" x14ac:dyDescent="0.2"/>
    <row r="6439" customFormat="1" ht="12.75" x14ac:dyDescent="0.2"/>
    <row r="6440" customFormat="1" ht="12.75" x14ac:dyDescent="0.2"/>
    <row r="6441" customFormat="1" ht="12.75" x14ac:dyDescent="0.2"/>
    <row r="6442" customFormat="1" ht="12.75" x14ac:dyDescent="0.2"/>
    <row r="6443" customFormat="1" ht="12.75" x14ac:dyDescent="0.2"/>
    <row r="6444" customFormat="1" ht="12.75" x14ac:dyDescent="0.2"/>
    <row r="6445" customFormat="1" ht="12.75" x14ac:dyDescent="0.2"/>
    <row r="6446" customFormat="1" ht="12.75" x14ac:dyDescent="0.2"/>
    <row r="6447" customFormat="1" ht="12.75" x14ac:dyDescent="0.2"/>
    <row r="6448" customFormat="1" ht="12.75" x14ac:dyDescent="0.2"/>
    <row r="6449" customFormat="1" ht="12.75" x14ac:dyDescent="0.2"/>
    <row r="6450" customFormat="1" ht="12.75" x14ac:dyDescent="0.2"/>
    <row r="6451" customFormat="1" ht="12.75" x14ac:dyDescent="0.2"/>
    <row r="6452" customFormat="1" ht="12.75" x14ac:dyDescent="0.2"/>
    <row r="6453" customFormat="1" ht="12.75" x14ac:dyDescent="0.2"/>
    <row r="6454" customFormat="1" ht="12.75" x14ac:dyDescent="0.2"/>
    <row r="6455" customFormat="1" ht="12.75" x14ac:dyDescent="0.2"/>
    <row r="6456" customFormat="1" ht="12.75" x14ac:dyDescent="0.2"/>
    <row r="6457" customFormat="1" ht="12.75" x14ac:dyDescent="0.2"/>
    <row r="6458" customFormat="1" ht="12.75" x14ac:dyDescent="0.2"/>
    <row r="6459" customFormat="1" ht="12.75" x14ac:dyDescent="0.2"/>
    <row r="6460" customFormat="1" ht="12.75" x14ac:dyDescent="0.2"/>
    <row r="6461" customFormat="1" ht="12.75" x14ac:dyDescent="0.2"/>
    <row r="6462" customFormat="1" ht="12.75" x14ac:dyDescent="0.2"/>
    <row r="6463" customFormat="1" ht="12.75" x14ac:dyDescent="0.2"/>
    <row r="6464" customFormat="1" ht="12.75" x14ac:dyDescent="0.2"/>
    <row r="6465" customFormat="1" ht="12.75" x14ac:dyDescent="0.2"/>
    <row r="6466" customFormat="1" ht="12.75" x14ac:dyDescent="0.2"/>
    <row r="6467" customFormat="1" ht="12.75" x14ac:dyDescent="0.2"/>
    <row r="6468" customFormat="1" ht="12.75" x14ac:dyDescent="0.2"/>
    <row r="6469" customFormat="1" ht="12.75" x14ac:dyDescent="0.2"/>
    <row r="6470" customFormat="1" ht="12.75" x14ac:dyDescent="0.2"/>
    <row r="6471" customFormat="1" ht="12.75" x14ac:dyDescent="0.2"/>
    <row r="6472" customFormat="1" ht="12.75" x14ac:dyDescent="0.2"/>
    <row r="6473" customFormat="1" ht="12.75" x14ac:dyDescent="0.2"/>
    <row r="6474" customFormat="1" ht="12.75" x14ac:dyDescent="0.2"/>
    <row r="6475" customFormat="1" ht="12.75" x14ac:dyDescent="0.2"/>
    <row r="6476" customFormat="1" ht="12.75" x14ac:dyDescent="0.2"/>
    <row r="6477" customFormat="1" ht="12.75" x14ac:dyDescent="0.2"/>
    <row r="6478" customFormat="1" ht="12.75" x14ac:dyDescent="0.2"/>
    <row r="6479" customFormat="1" ht="12.75" x14ac:dyDescent="0.2"/>
    <row r="6480" customFormat="1" ht="12.75" x14ac:dyDescent="0.2"/>
    <row r="6481" customFormat="1" ht="12.75" x14ac:dyDescent="0.2"/>
    <row r="6482" customFormat="1" ht="12.75" x14ac:dyDescent="0.2"/>
    <row r="6483" customFormat="1" ht="12.75" x14ac:dyDescent="0.2"/>
    <row r="6484" customFormat="1" ht="12.75" x14ac:dyDescent="0.2"/>
    <row r="6485" customFormat="1" ht="12.75" x14ac:dyDescent="0.2"/>
    <row r="6486" customFormat="1" ht="12.75" x14ac:dyDescent="0.2"/>
    <row r="6487" customFormat="1" ht="12.75" x14ac:dyDescent="0.2"/>
    <row r="6488" customFormat="1" ht="12.75" x14ac:dyDescent="0.2"/>
    <row r="6489" customFormat="1" ht="12.75" x14ac:dyDescent="0.2"/>
    <row r="6490" customFormat="1" ht="12.75" x14ac:dyDescent="0.2"/>
    <row r="6491" customFormat="1" ht="12.75" x14ac:dyDescent="0.2"/>
    <row r="6492" customFormat="1" ht="12.75" x14ac:dyDescent="0.2"/>
    <row r="6493" customFormat="1" ht="12.75" x14ac:dyDescent="0.2"/>
    <row r="6494" customFormat="1" ht="12.75" x14ac:dyDescent="0.2"/>
    <row r="6495" customFormat="1" ht="12.75" x14ac:dyDescent="0.2"/>
    <row r="6496" customFormat="1" ht="12.75" x14ac:dyDescent="0.2"/>
    <row r="6497" customFormat="1" ht="12.75" x14ac:dyDescent="0.2"/>
    <row r="6498" customFormat="1" ht="12.75" x14ac:dyDescent="0.2"/>
    <row r="6499" customFormat="1" ht="12.75" x14ac:dyDescent="0.2"/>
    <row r="6500" customFormat="1" ht="12.75" x14ac:dyDescent="0.2"/>
    <row r="6501" customFormat="1" ht="12.75" x14ac:dyDescent="0.2"/>
    <row r="6502" customFormat="1" ht="12.75" x14ac:dyDescent="0.2"/>
    <row r="6503" customFormat="1" ht="12.75" x14ac:dyDescent="0.2"/>
    <row r="6504" customFormat="1" ht="12.75" x14ac:dyDescent="0.2"/>
    <row r="6505" customFormat="1" ht="12.75" x14ac:dyDescent="0.2"/>
    <row r="6506" customFormat="1" ht="12.75" x14ac:dyDescent="0.2"/>
    <row r="6507" customFormat="1" ht="12.75" x14ac:dyDescent="0.2"/>
    <row r="6508" customFormat="1" ht="12.75" x14ac:dyDescent="0.2"/>
    <row r="6509" customFormat="1" ht="12.75" x14ac:dyDescent="0.2"/>
    <row r="6510" customFormat="1" ht="12.75" x14ac:dyDescent="0.2"/>
    <row r="6511" customFormat="1" ht="12.75" x14ac:dyDescent="0.2"/>
    <row r="6512" customFormat="1" ht="12.75" x14ac:dyDescent="0.2"/>
    <row r="6513" customFormat="1" ht="12.75" x14ac:dyDescent="0.2"/>
    <row r="6514" customFormat="1" ht="12.75" x14ac:dyDescent="0.2"/>
    <row r="6515" customFormat="1" ht="12.75" x14ac:dyDescent="0.2"/>
    <row r="6516" customFormat="1" ht="12.75" x14ac:dyDescent="0.2"/>
    <row r="6517" customFormat="1" ht="12.75" x14ac:dyDescent="0.2"/>
    <row r="6518" customFormat="1" ht="12.75" x14ac:dyDescent="0.2"/>
    <row r="6519" customFormat="1" ht="12.75" x14ac:dyDescent="0.2"/>
    <row r="6520" customFormat="1" ht="12.75" x14ac:dyDescent="0.2"/>
    <row r="6521" customFormat="1" ht="12.75" x14ac:dyDescent="0.2"/>
    <row r="6522" customFormat="1" ht="12.75" x14ac:dyDescent="0.2"/>
    <row r="6523" customFormat="1" ht="12.75" x14ac:dyDescent="0.2"/>
    <row r="6524" customFormat="1" ht="12.75" x14ac:dyDescent="0.2"/>
    <row r="6525" customFormat="1" ht="12.75" x14ac:dyDescent="0.2"/>
    <row r="6526" customFormat="1" ht="12.75" x14ac:dyDescent="0.2"/>
    <row r="6527" customFormat="1" ht="12.75" x14ac:dyDescent="0.2"/>
    <row r="6528" customFormat="1" ht="12.75" x14ac:dyDescent="0.2"/>
    <row r="6529" customFormat="1" ht="12.75" x14ac:dyDescent="0.2"/>
    <row r="6530" customFormat="1" ht="12.75" x14ac:dyDescent="0.2"/>
    <row r="6531" customFormat="1" ht="12.75" x14ac:dyDescent="0.2"/>
    <row r="6532" customFormat="1" ht="12.75" x14ac:dyDescent="0.2"/>
    <row r="6533" customFormat="1" ht="12.75" x14ac:dyDescent="0.2"/>
    <row r="6534" customFormat="1" ht="12.75" x14ac:dyDescent="0.2"/>
    <row r="6535" customFormat="1" ht="12.75" x14ac:dyDescent="0.2"/>
    <row r="6536" customFormat="1" ht="12.75" x14ac:dyDescent="0.2"/>
    <row r="6537" customFormat="1" ht="12.75" x14ac:dyDescent="0.2"/>
    <row r="6538" customFormat="1" ht="12.75" x14ac:dyDescent="0.2"/>
    <row r="6539" customFormat="1" ht="12.75" x14ac:dyDescent="0.2"/>
    <row r="6540" customFormat="1" ht="12.75" x14ac:dyDescent="0.2"/>
    <row r="6541" customFormat="1" ht="12.75" x14ac:dyDescent="0.2"/>
    <row r="6542" customFormat="1" ht="12.75" x14ac:dyDescent="0.2"/>
    <row r="6543" customFormat="1" ht="12.75" x14ac:dyDescent="0.2"/>
    <row r="6544" customFormat="1" ht="12.75" x14ac:dyDescent="0.2"/>
    <row r="6545" customFormat="1" ht="12.75" x14ac:dyDescent="0.2"/>
    <row r="6546" customFormat="1" ht="12.75" x14ac:dyDescent="0.2"/>
    <row r="6547" customFormat="1" ht="12.75" x14ac:dyDescent="0.2"/>
    <row r="6548" customFormat="1" ht="12.75" x14ac:dyDescent="0.2"/>
    <row r="6549" customFormat="1" ht="12.75" x14ac:dyDescent="0.2"/>
    <row r="6550" customFormat="1" ht="12.75" x14ac:dyDescent="0.2"/>
    <row r="6551" customFormat="1" ht="12.75" x14ac:dyDescent="0.2"/>
    <row r="6552" customFormat="1" ht="12.75" x14ac:dyDescent="0.2"/>
    <row r="6553" customFormat="1" ht="12.75" x14ac:dyDescent="0.2"/>
    <row r="6554" customFormat="1" ht="12.75" x14ac:dyDescent="0.2"/>
    <row r="6555" customFormat="1" ht="12.75" x14ac:dyDescent="0.2"/>
    <row r="6556" customFormat="1" ht="12.75" x14ac:dyDescent="0.2"/>
    <row r="6557" customFormat="1" ht="12.75" x14ac:dyDescent="0.2"/>
    <row r="6558" customFormat="1" ht="12.75" x14ac:dyDescent="0.2"/>
    <row r="6559" customFormat="1" ht="12.75" x14ac:dyDescent="0.2"/>
    <row r="6560" customFormat="1" ht="12.75" x14ac:dyDescent="0.2"/>
    <row r="6561" customFormat="1" ht="12.75" x14ac:dyDescent="0.2"/>
    <row r="6562" customFormat="1" ht="12.75" x14ac:dyDescent="0.2"/>
    <row r="6563" customFormat="1" ht="12.75" x14ac:dyDescent="0.2"/>
    <row r="6564" customFormat="1" ht="12.75" x14ac:dyDescent="0.2"/>
    <row r="6565" customFormat="1" ht="12.75" x14ac:dyDescent="0.2"/>
    <row r="6566" customFormat="1" ht="12.75" x14ac:dyDescent="0.2"/>
    <row r="6567" customFormat="1" ht="12.75" x14ac:dyDescent="0.2"/>
    <row r="6568" customFormat="1" ht="12.75" x14ac:dyDescent="0.2"/>
    <row r="6569" customFormat="1" ht="12.75" x14ac:dyDescent="0.2"/>
    <row r="6570" customFormat="1" ht="12.75" x14ac:dyDescent="0.2"/>
    <row r="6571" customFormat="1" ht="12.75" x14ac:dyDescent="0.2"/>
    <row r="6572" customFormat="1" ht="12.75" x14ac:dyDescent="0.2"/>
    <row r="6573" customFormat="1" ht="12.75" x14ac:dyDescent="0.2"/>
    <row r="6574" customFormat="1" ht="12.75" x14ac:dyDescent="0.2"/>
    <row r="6575" customFormat="1" ht="12.75" x14ac:dyDescent="0.2"/>
    <row r="6576" customFormat="1" ht="12.75" x14ac:dyDescent="0.2"/>
    <row r="6577" customFormat="1" ht="12.75" x14ac:dyDescent="0.2"/>
    <row r="6578" customFormat="1" ht="12.75" x14ac:dyDescent="0.2"/>
    <row r="6579" customFormat="1" ht="12.75" x14ac:dyDescent="0.2"/>
    <row r="6580" customFormat="1" ht="12.75" x14ac:dyDescent="0.2"/>
    <row r="6581" customFormat="1" ht="12.75" x14ac:dyDescent="0.2"/>
    <row r="6582" customFormat="1" ht="12.75" x14ac:dyDescent="0.2"/>
    <row r="6583" customFormat="1" ht="12.75" x14ac:dyDescent="0.2"/>
    <row r="6584" customFormat="1" ht="12.75" x14ac:dyDescent="0.2"/>
    <row r="6585" customFormat="1" ht="12.75" x14ac:dyDescent="0.2"/>
    <row r="6586" customFormat="1" ht="12.75" x14ac:dyDescent="0.2"/>
    <row r="6587" customFormat="1" ht="12.75" x14ac:dyDescent="0.2"/>
    <row r="6588" customFormat="1" ht="12.75" x14ac:dyDescent="0.2"/>
    <row r="6589" customFormat="1" ht="12.75" x14ac:dyDescent="0.2"/>
    <row r="6590" customFormat="1" ht="12.75" x14ac:dyDescent="0.2"/>
    <row r="6591" customFormat="1" ht="12.75" x14ac:dyDescent="0.2"/>
    <row r="6592" customFormat="1" ht="12.75" x14ac:dyDescent="0.2"/>
    <row r="6593" customFormat="1" ht="12.75" x14ac:dyDescent="0.2"/>
    <row r="6594" customFormat="1" ht="12.75" x14ac:dyDescent="0.2"/>
    <row r="6595" customFormat="1" ht="12.75" x14ac:dyDescent="0.2"/>
    <row r="6596" customFormat="1" ht="12.75" x14ac:dyDescent="0.2"/>
    <row r="6597" customFormat="1" ht="12.75" x14ac:dyDescent="0.2"/>
    <row r="6598" customFormat="1" ht="12.75" x14ac:dyDescent="0.2"/>
    <row r="6599" customFormat="1" ht="12.75" x14ac:dyDescent="0.2"/>
    <row r="6600" customFormat="1" ht="12.75" x14ac:dyDescent="0.2"/>
    <row r="6601" customFormat="1" ht="12.75" x14ac:dyDescent="0.2"/>
    <row r="6602" customFormat="1" ht="12.75" x14ac:dyDescent="0.2"/>
    <row r="6603" customFormat="1" ht="12.75" x14ac:dyDescent="0.2"/>
    <row r="6604" customFormat="1" ht="12.75" x14ac:dyDescent="0.2"/>
    <row r="6605" customFormat="1" ht="12.75" x14ac:dyDescent="0.2"/>
    <row r="6606" customFormat="1" ht="12.75" x14ac:dyDescent="0.2"/>
    <row r="6607" customFormat="1" ht="12.75" x14ac:dyDescent="0.2"/>
    <row r="6608" customFormat="1" ht="12.75" x14ac:dyDescent="0.2"/>
    <row r="6609" customFormat="1" ht="12.75" x14ac:dyDescent="0.2"/>
    <row r="6610" customFormat="1" ht="12.75" x14ac:dyDescent="0.2"/>
    <row r="6611" customFormat="1" ht="12.75" x14ac:dyDescent="0.2"/>
    <row r="6612" customFormat="1" ht="12.75" x14ac:dyDescent="0.2"/>
    <row r="6613" customFormat="1" ht="12.75" x14ac:dyDescent="0.2"/>
    <row r="6614" customFormat="1" ht="12.75" x14ac:dyDescent="0.2"/>
    <row r="6615" customFormat="1" ht="12.75" x14ac:dyDescent="0.2"/>
    <row r="6616" customFormat="1" ht="12.75" x14ac:dyDescent="0.2"/>
    <row r="6617" customFormat="1" ht="12.75" x14ac:dyDescent="0.2"/>
    <row r="6618" customFormat="1" ht="12.75" x14ac:dyDescent="0.2"/>
    <row r="6619" customFormat="1" ht="12.75" x14ac:dyDescent="0.2"/>
    <row r="6620" customFormat="1" ht="12.75" x14ac:dyDescent="0.2"/>
    <row r="6621" customFormat="1" ht="12.75" x14ac:dyDescent="0.2"/>
    <row r="6622" customFormat="1" ht="12.75" x14ac:dyDescent="0.2"/>
    <row r="6623" customFormat="1" ht="12.75" x14ac:dyDescent="0.2"/>
    <row r="6624" customFormat="1" ht="12.75" x14ac:dyDescent="0.2"/>
    <row r="6625" customFormat="1" ht="12.75" x14ac:dyDescent="0.2"/>
    <row r="6626" customFormat="1" ht="12.75" x14ac:dyDescent="0.2"/>
    <row r="6627" customFormat="1" ht="12.75" x14ac:dyDescent="0.2"/>
    <row r="6628" customFormat="1" ht="12.75" x14ac:dyDescent="0.2"/>
    <row r="6629" customFormat="1" ht="12.75" x14ac:dyDescent="0.2"/>
    <row r="6630" customFormat="1" ht="12.75" x14ac:dyDescent="0.2"/>
    <row r="6631" customFormat="1" ht="12.75" x14ac:dyDescent="0.2"/>
    <row r="6632" customFormat="1" ht="12.75" x14ac:dyDescent="0.2"/>
    <row r="6633" customFormat="1" ht="12.75" x14ac:dyDescent="0.2"/>
    <row r="6634" customFormat="1" ht="12.75" x14ac:dyDescent="0.2"/>
    <row r="6635" customFormat="1" ht="12.75" x14ac:dyDescent="0.2"/>
    <row r="6636" customFormat="1" ht="12.75" x14ac:dyDescent="0.2"/>
    <row r="6637" customFormat="1" ht="12.75" x14ac:dyDescent="0.2"/>
    <row r="6638" customFormat="1" ht="12.75" x14ac:dyDescent="0.2"/>
    <row r="6639" customFormat="1" ht="12.75" x14ac:dyDescent="0.2"/>
    <row r="6640" customFormat="1" ht="12.75" x14ac:dyDescent="0.2"/>
    <row r="6641" customFormat="1" ht="12.75" x14ac:dyDescent="0.2"/>
    <row r="6642" customFormat="1" ht="12.75" x14ac:dyDescent="0.2"/>
    <row r="6643" customFormat="1" ht="12.75" x14ac:dyDescent="0.2"/>
    <row r="6644" customFormat="1" ht="12.75" x14ac:dyDescent="0.2"/>
    <row r="6645" customFormat="1" ht="12.75" x14ac:dyDescent="0.2"/>
    <row r="6646" customFormat="1" ht="12.75" x14ac:dyDescent="0.2"/>
    <row r="6647" customFormat="1" ht="12.75" x14ac:dyDescent="0.2"/>
    <row r="6648" customFormat="1" ht="12.75" x14ac:dyDescent="0.2"/>
    <row r="6649" customFormat="1" ht="12.75" x14ac:dyDescent="0.2"/>
    <row r="6650" customFormat="1" ht="12.75" x14ac:dyDescent="0.2"/>
    <row r="6651" customFormat="1" ht="12.75" x14ac:dyDescent="0.2"/>
    <row r="6652" customFormat="1" ht="12.75" x14ac:dyDescent="0.2"/>
    <row r="6653" customFormat="1" ht="12.75" x14ac:dyDescent="0.2"/>
    <row r="6654" customFormat="1" ht="12.75" x14ac:dyDescent="0.2"/>
    <row r="6655" customFormat="1" ht="12.75" x14ac:dyDescent="0.2"/>
    <row r="6656" customFormat="1" ht="12.75" x14ac:dyDescent="0.2"/>
    <row r="6657" customFormat="1" ht="12.75" x14ac:dyDescent="0.2"/>
    <row r="6658" customFormat="1" ht="12.75" x14ac:dyDescent="0.2"/>
    <row r="6659" customFormat="1" ht="12.75" x14ac:dyDescent="0.2"/>
    <row r="6660" customFormat="1" ht="12.75" x14ac:dyDescent="0.2"/>
    <row r="6661" customFormat="1" ht="12.75" x14ac:dyDescent="0.2"/>
    <row r="6662" customFormat="1" ht="12.75" x14ac:dyDescent="0.2"/>
    <row r="6663" customFormat="1" ht="12.75" x14ac:dyDescent="0.2"/>
    <row r="6664" customFormat="1" ht="12.75" x14ac:dyDescent="0.2"/>
    <row r="6665" customFormat="1" ht="12.75" x14ac:dyDescent="0.2"/>
    <row r="6666" customFormat="1" ht="12.75" x14ac:dyDescent="0.2"/>
    <row r="6667" customFormat="1" ht="12.75" x14ac:dyDescent="0.2"/>
    <row r="6668" customFormat="1" ht="12.75" x14ac:dyDescent="0.2"/>
    <row r="6669" customFormat="1" ht="12.75" x14ac:dyDescent="0.2"/>
    <row r="6670" customFormat="1" ht="12.75" x14ac:dyDescent="0.2"/>
    <row r="6671" customFormat="1" ht="12.75" x14ac:dyDescent="0.2"/>
    <row r="6672" customFormat="1" ht="12.75" x14ac:dyDescent="0.2"/>
    <row r="6673" customFormat="1" ht="12.75" x14ac:dyDescent="0.2"/>
    <row r="6674" customFormat="1" ht="12.75" x14ac:dyDescent="0.2"/>
    <row r="6675" customFormat="1" ht="12.75" x14ac:dyDescent="0.2"/>
    <row r="6676" customFormat="1" ht="12.75" x14ac:dyDescent="0.2"/>
    <row r="6677" customFormat="1" ht="12.75" x14ac:dyDescent="0.2"/>
    <row r="6678" customFormat="1" ht="12.75" x14ac:dyDescent="0.2"/>
    <row r="6679" customFormat="1" ht="12.75" x14ac:dyDescent="0.2"/>
    <row r="6680" customFormat="1" ht="12.75" x14ac:dyDescent="0.2"/>
    <row r="6681" customFormat="1" ht="12.75" x14ac:dyDescent="0.2"/>
    <row r="6682" customFormat="1" ht="12.75" x14ac:dyDescent="0.2"/>
    <row r="6683" customFormat="1" ht="12.75" x14ac:dyDescent="0.2"/>
    <row r="6684" customFormat="1" ht="12.75" x14ac:dyDescent="0.2"/>
    <row r="6685" customFormat="1" ht="12.75" x14ac:dyDescent="0.2"/>
    <row r="6686" customFormat="1" ht="12.75" x14ac:dyDescent="0.2"/>
    <row r="6687" customFormat="1" ht="12.75" x14ac:dyDescent="0.2"/>
    <row r="6688" customFormat="1" ht="12.75" x14ac:dyDescent="0.2"/>
    <row r="6689" customFormat="1" ht="12.75" x14ac:dyDescent="0.2"/>
    <row r="6690" customFormat="1" ht="12.75" x14ac:dyDescent="0.2"/>
    <row r="6691" customFormat="1" ht="12.75" x14ac:dyDescent="0.2"/>
    <row r="6692" customFormat="1" ht="12.75" x14ac:dyDescent="0.2"/>
    <row r="6693" customFormat="1" ht="12.75" x14ac:dyDescent="0.2"/>
    <row r="6694" customFormat="1" ht="12.75" x14ac:dyDescent="0.2"/>
    <row r="6695" customFormat="1" ht="12.75" x14ac:dyDescent="0.2"/>
    <row r="6696" customFormat="1" ht="12.75" x14ac:dyDescent="0.2"/>
    <row r="6697" customFormat="1" ht="12.75" x14ac:dyDescent="0.2"/>
    <row r="6698" customFormat="1" ht="12.75" x14ac:dyDescent="0.2"/>
    <row r="6699" customFormat="1" ht="12.75" x14ac:dyDescent="0.2"/>
    <row r="6700" customFormat="1" ht="12.75" x14ac:dyDescent="0.2"/>
    <row r="6701" customFormat="1" ht="12.75" x14ac:dyDescent="0.2"/>
    <row r="6702" customFormat="1" ht="12.75" x14ac:dyDescent="0.2"/>
    <row r="6703" customFormat="1" ht="12.75" x14ac:dyDescent="0.2"/>
    <row r="6704" customFormat="1" ht="12.75" x14ac:dyDescent="0.2"/>
    <row r="6705" customFormat="1" ht="12.75" x14ac:dyDescent="0.2"/>
    <row r="6706" customFormat="1" ht="12.75" x14ac:dyDescent="0.2"/>
    <row r="6707" customFormat="1" ht="12.75" x14ac:dyDescent="0.2"/>
    <row r="6708" customFormat="1" ht="12.75" x14ac:dyDescent="0.2"/>
    <row r="6709" customFormat="1" ht="12.75" x14ac:dyDescent="0.2"/>
    <row r="6710" customFormat="1" ht="12.75" x14ac:dyDescent="0.2"/>
    <row r="6711" customFormat="1" ht="12.75" x14ac:dyDescent="0.2"/>
    <row r="6712" customFormat="1" ht="12.75" x14ac:dyDescent="0.2"/>
    <row r="6713" customFormat="1" ht="12.75" x14ac:dyDescent="0.2"/>
    <row r="6714" customFormat="1" ht="12.75" x14ac:dyDescent="0.2"/>
    <row r="6715" customFormat="1" ht="12.75" x14ac:dyDescent="0.2"/>
    <row r="6716" customFormat="1" ht="12.75" x14ac:dyDescent="0.2"/>
    <row r="6717" customFormat="1" ht="12.75" x14ac:dyDescent="0.2"/>
    <row r="6718" customFormat="1" ht="12.75" x14ac:dyDescent="0.2"/>
    <row r="6719" customFormat="1" ht="12.75" x14ac:dyDescent="0.2"/>
    <row r="6720" customFormat="1" ht="12.75" x14ac:dyDescent="0.2"/>
    <row r="6721" customFormat="1" ht="12.75" x14ac:dyDescent="0.2"/>
    <row r="6722" customFormat="1" ht="12.75" x14ac:dyDescent="0.2"/>
    <row r="6723" customFormat="1" ht="12.75" x14ac:dyDescent="0.2"/>
    <row r="6724" customFormat="1" ht="12.75" x14ac:dyDescent="0.2"/>
    <row r="6725" customFormat="1" ht="12.75" x14ac:dyDescent="0.2"/>
    <row r="6726" customFormat="1" ht="12.75" x14ac:dyDescent="0.2"/>
    <row r="6727" customFormat="1" ht="12.75" x14ac:dyDescent="0.2"/>
    <row r="6728" customFormat="1" ht="12.75" x14ac:dyDescent="0.2"/>
    <row r="6729" customFormat="1" ht="12.75" x14ac:dyDescent="0.2"/>
    <row r="6730" customFormat="1" ht="12.75" x14ac:dyDescent="0.2"/>
    <row r="6731" customFormat="1" ht="12.75" x14ac:dyDescent="0.2"/>
    <row r="6732" customFormat="1" ht="12.75" x14ac:dyDescent="0.2"/>
    <row r="6733" customFormat="1" ht="12.75" x14ac:dyDescent="0.2"/>
    <row r="6734" customFormat="1" ht="12.75" x14ac:dyDescent="0.2"/>
    <row r="6735" customFormat="1" ht="12.75" x14ac:dyDescent="0.2"/>
    <row r="6736" customFormat="1" ht="12.75" x14ac:dyDescent="0.2"/>
    <row r="6737" customFormat="1" ht="12.75" x14ac:dyDescent="0.2"/>
    <row r="6738" customFormat="1" ht="12.75" x14ac:dyDescent="0.2"/>
    <row r="6739" customFormat="1" ht="12.75" x14ac:dyDescent="0.2"/>
    <row r="6740" customFormat="1" ht="12.75" x14ac:dyDescent="0.2"/>
    <row r="6741" customFormat="1" ht="12.75" x14ac:dyDescent="0.2"/>
    <row r="6742" customFormat="1" ht="12.75" x14ac:dyDescent="0.2"/>
    <row r="6743" customFormat="1" ht="12.75" x14ac:dyDescent="0.2"/>
    <row r="6744" customFormat="1" ht="12.75" x14ac:dyDescent="0.2"/>
    <row r="6745" customFormat="1" ht="12.75" x14ac:dyDescent="0.2"/>
    <row r="6746" customFormat="1" ht="12.75" x14ac:dyDescent="0.2"/>
    <row r="6747" customFormat="1" ht="12.75" x14ac:dyDescent="0.2"/>
    <row r="6748" customFormat="1" ht="12.75" x14ac:dyDescent="0.2"/>
    <row r="6749" customFormat="1" ht="12.75" x14ac:dyDescent="0.2"/>
    <row r="6750" customFormat="1" ht="12.75" x14ac:dyDescent="0.2"/>
    <row r="6751" customFormat="1" ht="12.75" x14ac:dyDescent="0.2"/>
    <row r="6752" customFormat="1" ht="12.75" x14ac:dyDescent="0.2"/>
    <row r="6753" customFormat="1" ht="12.75" x14ac:dyDescent="0.2"/>
    <row r="6754" customFormat="1" ht="12.75" x14ac:dyDescent="0.2"/>
    <row r="6755" customFormat="1" ht="12.75" x14ac:dyDescent="0.2"/>
    <row r="6756" customFormat="1" ht="12.75" x14ac:dyDescent="0.2"/>
    <row r="6757" customFormat="1" ht="12.75" x14ac:dyDescent="0.2"/>
    <row r="6758" customFormat="1" ht="12.75" x14ac:dyDescent="0.2"/>
    <row r="6759" customFormat="1" ht="12.75" x14ac:dyDescent="0.2"/>
    <row r="6760" customFormat="1" ht="12.75" x14ac:dyDescent="0.2"/>
    <row r="6761" customFormat="1" ht="12.75" x14ac:dyDescent="0.2"/>
    <row r="6762" customFormat="1" ht="12.75" x14ac:dyDescent="0.2"/>
    <row r="6763" customFormat="1" ht="12.75" x14ac:dyDescent="0.2"/>
    <row r="6764" customFormat="1" ht="12.75" x14ac:dyDescent="0.2"/>
    <row r="6765" customFormat="1" ht="12.75" x14ac:dyDescent="0.2"/>
    <row r="6766" customFormat="1" ht="12.75" x14ac:dyDescent="0.2"/>
    <row r="6767" customFormat="1" ht="12.75" x14ac:dyDescent="0.2"/>
    <row r="6768" customFormat="1" ht="12.75" x14ac:dyDescent="0.2"/>
    <row r="6769" customFormat="1" ht="12.75" x14ac:dyDescent="0.2"/>
    <row r="6770" customFormat="1" ht="12.75" x14ac:dyDescent="0.2"/>
    <row r="6771" customFormat="1" ht="12.75" x14ac:dyDescent="0.2"/>
    <row r="6772" customFormat="1" ht="12.75" x14ac:dyDescent="0.2"/>
    <row r="6773" customFormat="1" ht="12.75" x14ac:dyDescent="0.2"/>
    <row r="6774" customFormat="1" ht="12.75" x14ac:dyDescent="0.2"/>
    <row r="6775" customFormat="1" ht="12.75" x14ac:dyDescent="0.2"/>
    <row r="6776" customFormat="1" ht="12.75" x14ac:dyDescent="0.2"/>
    <row r="6777" customFormat="1" ht="12.75" x14ac:dyDescent="0.2"/>
    <row r="6778" customFormat="1" ht="12.75" x14ac:dyDescent="0.2"/>
    <row r="6779" customFormat="1" ht="12.75" x14ac:dyDescent="0.2"/>
    <row r="6780" customFormat="1" ht="12.75" x14ac:dyDescent="0.2"/>
    <row r="6781" customFormat="1" ht="12.75" x14ac:dyDescent="0.2"/>
    <row r="6782" customFormat="1" ht="12.75" x14ac:dyDescent="0.2"/>
    <row r="6783" customFormat="1" ht="12.75" x14ac:dyDescent="0.2"/>
    <row r="6784" customFormat="1" ht="12.75" x14ac:dyDescent="0.2"/>
    <row r="6785" customFormat="1" ht="12.75" x14ac:dyDescent="0.2"/>
    <row r="6786" customFormat="1" ht="12.75" x14ac:dyDescent="0.2"/>
    <row r="6787" customFormat="1" ht="12.75" x14ac:dyDescent="0.2"/>
    <row r="6788" customFormat="1" ht="12.75" x14ac:dyDescent="0.2"/>
    <row r="6789" customFormat="1" ht="12.75" x14ac:dyDescent="0.2"/>
    <row r="6790" customFormat="1" ht="12.75" x14ac:dyDescent="0.2"/>
    <row r="6791" customFormat="1" ht="12.75" x14ac:dyDescent="0.2"/>
    <row r="6792" customFormat="1" ht="12.75" x14ac:dyDescent="0.2"/>
    <row r="6793" customFormat="1" ht="12.75" x14ac:dyDescent="0.2"/>
    <row r="6794" customFormat="1" ht="12.75" x14ac:dyDescent="0.2"/>
    <row r="6795" customFormat="1" ht="12.75" x14ac:dyDescent="0.2"/>
    <row r="6796" customFormat="1" ht="12.75" x14ac:dyDescent="0.2"/>
    <row r="6797" customFormat="1" ht="12.75" x14ac:dyDescent="0.2"/>
    <row r="6798" customFormat="1" ht="12.75" x14ac:dyDescent="0.2"/>
    <row r="6799" customFormat="1" ht="12.75" x14ac:dyDescent="0.2"/>
    <row r="6800" customFormat="1" ht="12.75" x14ac:dyDescent="0.2"/>
    <row r="6801" customFormat="1" ht="12.75" x14ac:dyDescent="0.2"/>
    <row r="6802" customFormat="1" ht="12.75" x14ac:dyDescent="0.2"/>
    <row r="6803" customFormat="1" ht="12.75" x14ac:dyDescent="0.2"/>
    <row r="6804" customFormat="1" ht="12.75" x14ac:dyDescent="0.2"/>
    <row r="6805" customFormat="1" ht="12.75" x14ac:dyDescent="0.2"/>
    <row r="6806" customFormat="1" ht="12.75" x14ac:dyDescent="0.2"/>
    <row r="6807" customFormat="1" ht="12.75" x14ac:dyDescent="0.2"/>
    <row r="6808" customFormat="1" ht="12.75" x14ac:dyDescent="0.2"/>
    <row r="6809" customFormat="1" ht="12.75" x14ac:dyDescent="0.2"/>
    <row r="6810" customFormat="1" ht="12.75" x14ac:dyDescent="0.2"/>
    <row r="6811" customFormat="1" ht="12.75" x14ac:dyDescent="0.2"/>
    <row r="6812" customFormat="1" ht="12.75" x14ac:dyDescent="0.2"/>
    <row r="6813" customFormat="1" ht="12.75" x14ac:dyDescent="0.2"/>
    <row r="6814" customFormat="1" ht="12.75" x14ac:dyDescent="0.2"/>
    <row r="6815" customFormat="1" ht="12.75" x14ac:dyDescent="0.2"/>
    <row r="6816" customFormat="1" ht="12.75" x14ac:dyDescent="0.2"/>
    <row r="6817" customFormat="1" ht="12.75" x14ac:dyDescent="0.2"/>
    <row r="6818" customFormat="1" ht="12.75" x14ac:dyDescent="0.2"/>
    <row r="6819" customFormat="1" ht="12.75" x14ac:dyDescent="0.2"/>
    <row r="6820" customFormat="1" ht="12.75" x14ac:dyDescent="0.2"/>
    <row r="6821" customFormat="1" ht="12.75" x14ac:dyDescent="0.2"/>
    <row r="6822" customFormat="1" ht="12.75" x14ac:dyDescent="0.2"/>
    <row r="6823" customFormat="1" ht="12.75" x14ac:dyDescent="0.2"/>
    <row r="6824" customFormat="1" ht="12.75" x14ac:dyDescent="0.2"/>
    <row r="6825" customFormat="1" ht="12.75" x14ac:dyDescent="0.2"/>
    <row r="6826" customFormat="1" ht="12.75" x14ac:dyDescent="0.2"/>
    <row r="6827" customFormat="1" ht="12.75" x14ac:dyDescent="0.2"/>
    <row r="6828" customFormat="1" ht="12.75" x14ac:dyDescent="0.2"/>
    <row r="6829" customFormat="1" ht="12.75" x14ac:dyDescent="0.2"/>
    <row r="6830" customFormat="1" ht="12.75" x14ac:dyDescent="0.2"/>
    <row r="6831" customFormat="1" ht="12.75" x14ac:dyDescent="0.2"/>
    <row r="6832" customFormat="1" ht="12.75" x14ac:dyDescent="0.2"/>
    <row r="6833" customFormat="1" ht="12.75" x14ac:dyDescent="0.2"/>
    <row r="6834" customFormat="1" ht="12.75" x14ac:dyDescent="0.2"/>
    <row r="6835" customFormat="1" ht="12.75" x14ac:dyDescent="0.2"/>
    <row r="6836" customFormat="1" ht="12.75" x14ac:dyDescent="0.2"/>
    <row r="6837" customFormat="1" ht="12.75" x14ac:dyDescent="0.2"/>
    <row r="6838" customFormat="1" ht="12.75" x14ac:dyDescent="0.2"/>
    <row r="6839" customFormat="1" ht="12.75" x14ac:dyDescent="0.2"/>
    <row r="6840" customFormat="1" ht="12.75" x14ac:dyDescent="0.2"/>
    <row r="6841" customFormat="1" ht="12.75" x14ac:dyDescent="0.2"/>
    <row r="6842" customFormat="1" ht="12.75" x14ac:dyDescent="0.2"/>
    <row r="6843" customFormat="1" ht="12.75" x14ac:dyDescent="0.2"/>
    <row r="6844" customFormat="1" ht="12.75" x14ac:dyDescent="0.2"/>
    <row r="6845" customFormat="1" ht="12.75" x14ac:dyDescent="0.2"/>
    <row r="6846" customFormat="1" ht="12.75" x14ac:dyDescent="0.2"/>
    <row r="6847" customFormat="1" ht="12.75" x14ac:dyDescent="0.2"/>
    <row r="6848" customFormat="1" ht="12.75" x14ac:dyDescent="0.2"/>
    <row r="6849" customFormat="1" ht="12.75" x14ac:dyDescent="0.2"/>
    <row r="6850" customFormat="1" ht="12.75" x14ac:dyDescent="0.2"/>
    <row r="6851" customFormat="1" ht="12.75" x14ac:dyDescent="0.2"/>
    <row r="6852" customFormat="1" ht="12.75" x14ac:dyDescent="0.2"/>
    <row r="6853" customFormat="1" ht="12.75" x14ac:dyDescent="0.2"/>
    <row r="6854" customFormat="1" ht="12.75" x14ac:dyDescent="0.2"/>
    <row r="6855" customFormat="1" ht="12.75" x14ac:dyDescent="0.2"/>
    <row r="6856" customFormat="1" ht="12.75" x14ac:dyDescent="0.2"/>
    <row r="6857" customFormat="1" ht="12.75" x14ac:dyDescent="0.2"/>
    <row r="6858" customFormat="1" ht="12.75" x14ac:dyDescent="0.2"/>
    <row r="6859" customFormat="1" ht="12.75" x14ac:dyDescent="0.2"/>
    <row r="6860" customFormat="1" ht="12.75" x14ac:dyDescent="0.2"/>
    <row r="6861" customFormat="1" ht="12.75" x14ac:dyDescent="0.2"/>
    <row r="6862" customFormat="1" ht="12.75" x14ac:dyDescent="0.2"/>
    <row r="6863" customFormat="1" ht="12.75" x14ac:dyDescent="0.2"/>
    <row r="6864" customFormat="1" ht="12.75" x14ac:dyDescent="0.2"/>
    <row r="6865" customFormat="1" ht="12.75" x14ac:dyDescent="0.2"/>
    <row r="6866" customFormat="1" ht="12.75" x14ac:dyDescent="0.2"/>
    <row r="6867" customFormat="1" ht="12.75" x14ac:dyDescent="0.2"/>
    <row r="6868" customFormat="1" ht="12.75" x14ac:dyDescent="0.2"/>
    <row r="6869" customFormat="1" ht="12.75" x14ac:dyDescent="0.2"/>
    <row r="6870" customFormat="1" ht="12.75" x14ac:dyDescent="0.2"/>
    <row r="6871" customFormat="1" ht="12.75" x14ac:dyDescent="0.2"/>
    <row r="6872" customFormat="1" ht="12.75" x14ac:dyDescent="0.2"/>
    <row r="6873" customFormat="1" ht="12.75" x14ac:dyDescent="0.2"/>
    <row r="6874" customFormat="1" ht="12.75" x14ac:dyDescent="0.2"/>
    <row r="6875" customFormat="1" ht="12.75" x14ac:dyDescent="0.2"/>
    <row r="6876" customFormat="1" ht="12.75" x14ac:dyDescent="0.2"/>
    <row r="6877" customFormat="1" ht="12.75" x14ac:dyDescent="0.2"/>
    <row r="6878" customFormat="1" ht="12.75" x14ac:dyDescent="0.2"/>
    <row r="6879" customFormat="1" ht="12.75" x14ac:dyDescent="0.2"/>
    <row r="6880" customFormat="1" ht="12.75" x14ac:dyDescent="0.2"/>
    <row r="6881" customFormat="1" ht="12.75" x14ac:dyDescent="0.2"/>
    <row r="6882" customFormat="1" ht="12.75" x14ac:dyDescent="0.2"/>
    <row r="6883" customFormat="1" ht="12.75" x14ac:dyDescent="0.2"/>
    <row r="6884" customFormat="1" ht="12.75" x14ac:dyDescent="0.2"/>
    <row r="6885" customFormat="1" ht="12.75" x14ac:dyDescent="0.2"/>
    <row r="6886" customFormat="1" ht="12.75" x14ac:dyDescent="0.2"/>
    <row r="6887" customFormat="1" ht="12.75" x14ac:dyDescent="0.2"/>
    <row r="6888" customFormat="1" ht="12.75" x14ac:dyDescent="0.2"/>
    <row r="6889" customFormat="1" ht="12.75" x14ac:dyDescent="0.2"/>
    <row r="6890" customFormat="1" ht="12.75" x14ac:dyDescent="0.2"/>
    <row r="6891" customFormat="1" ht="12.75" x14ac:dyDescent="0.2"/>
    <row r="6892" customFormat="1" ht="12.75" x14ac:dyDescent="0.2"/>
    <row r="6893" customFormat="1" ht="12.75" x14ac:dyDescent="0.2"/>
    <row r="6894" customFormat="1" ht="12.75" x14ac:dyDescent="0.2"/>
    <row r="6895" customFormat="1" ht="12.75" x14ac:dyDescent="0.2"/>
    <row r="6896" customFormat="1" ht="12.75" x14ac:dyDescent="0.2"/>
    <row r="6897" customFormat="1" ht="12.75" x14ac:dyDescent="0.2"/>
    <row r="6898" customFormat="1" ht="12.75" x14ac:dyDescent="0.2"/>
    <row r="6899" customFormat="1" ht="12.75" x14ac:dyDescent="0.2"/>
    <row r="6900" customFormat="1" ht="12.75" x14ac:dyDescent="0.2"/>
    <row r="6901" customFormat="1" ht="12.75" x14ac:dyDescent="0.2"/>
    <row r="6902" customFormat="1" ht="12.75" x14ac:dyDescent="0.2"/>
    <row r="6903" customFormat="1" ht="12.75" x14ac:dyDescent="0.2"/>
    <row r="6904" customFormat="1" ht="12.75" x14ac:dyDescent="0.2"/>
    <row r="6905" customFormat="1" ht="12.75" x14ac:dyDescent="0.2"/>
    <row r="6906" customFormat="1" ht="12.75" x14ac:dyDescent="0.2"/>
    <row r="6907" customFormat="1" ht="12.75" x14ac:dyDescent="0.2"/>
    <row r="6908" customFormat="1" ht="12.75" x14ac:dyDescent="0.2"/>
    <row r="6909" customFormat="1" ht="12.75" x14ac:dyDescent="0.2"/>
    <row r="6910" customFormat="1" ht="12.75" x14ac:dyDescent="0.2"/>
    <row r="6911" customFormat="1" ht="12.75" x14ac:dyDescent="0.2"/>
    <row r="6912" customFormat="1" ht="12.75" x14ac:dyDescent="0.2"/>
    <row r="6913" customFormat="1" ht="12.75" x14ac:dyDescent="0.2"/>
    <row r="6914" customFormat="1" ht="12.75" x14ac:dyDescent="0.2"/>
    <row r="6915" customFormat="1" ht="12.75" x14ac:dyDescent="0.2"/>
    <row r="6916" customFormat="1" ht="12.75" x14ac:dyDescent="0.2"/>
    <row r="6917" customFormat="1" ht="12.75" x14ac:dyDescent="0.2"/>
    <row r="6918" customFormat="1" ht="12.75" x14ac:dyDescent="0.2"/>
    <row r="6919" customFormat="1" ht="12.75" x14ac:dyDescent="0.2"/>
    <row r="6920" customFormat="1" ht="12.75" x14ac:dyDescent="0.2"/>
    <row r="6921" customFormat="1" ht="12.75" x14ac:dyDescent="0.2"/>
    <row r="6922" customFormat="1" ht="12.75" x14ac:dyDescent="0.2"/>
    <row r="6923" customFormat="1" ht="12.75" x14ac:dyDescent="0.2"/>
    <row r="6924" customFormat="1" ht="12.75" x14ac:dyDescent="0.2"/>
    <row r="6925" customFormat="1" ht="12.75" x14ac:dyDescent="0.2"/>
    <row r="6926" customFormat="1" ht="12.75" x14ac:dyDescent="0.2"/>
    <row r="6927" customFormat="1" ht="12.75" x14ac:dyDescent="0.2"/>
    <row r="6928" customFormat="1" ht="12.75" x14ac:dyDescent="0.2"/>
    <row r="6929" customFormat="1" ht="12.75" x14ac:dyDescent="0.2"/>
    <row r="6930" customFormat="1" ht="12.75" x14ac:dyDescent="0.2"/>
    <row r="6931" customFormat="1" ht="12.75" x14ac:dyDescent="0.2"/>
    <row r="6932" customFormat="1" ht="12.75" x14ac:dyDescent="0.2"/>
    <row r="6933" customFormat="1" ht="12.75" x14ac:dyDescent="0.2"/>
    <row r="6934" customFormat="1" ht="12.75" x14ac:dyDescent="0.2"/>
    <row r="6935" customFormat="1" ht="12.75" x14ac:dyDescent="0.2"/>
    <row r="6936" customFormat="1" ht="12.75" x14ac:dyDescent="0.2"/>
    <row r="6937" customFormat="1" ht="12.75" x14ac:dyDescent="0.2"/>
    <row r="6938" customFormat="1" ht="12.75" x14ac:dyDescent="0.2"/>
    <row r="6939" customFormat="1" ht="12.75" x14ac:dyDescent="0.2"/>
    <row r="6940" customFormat="1" ht="12.75" x14ac:dyDescent="0.2"/>
    <row r="6941" customFormat="1" ht="12.75" x14ac:dyDescent="0.2"/>
    <row r="6942" customFormat="1" ht="12.75" x14ac:dyDescent="0.2"/>
    <row r="6943" customFormat="1" ht="12.75" x14ac:dyDescent="0.2"/>
    <row r="6944" customFormat="1" ht="12.75" x14ac:dyDescent="0.2"/>
    <row r="6945" customFormat="1" ht="12.75" x14ac:dyDescent="0.2"/>
    <row r="6946" customFormat="1" ht="12.75" x14ac:dyDescent="0.2"/>
    <row r="6947" customFormat="1" ht="12.75" x14ac:dyDescent="0.2"/>
    <row r="6948" customFormat="1" ht="12.75" x14ac:dyDescent="0.2"/>
    <row r="6949" customFormat="1" ht="12.75" x14ac:dyDescent="0.2"/>
    <row r="6950" customFormat="1" ht="12.75" x14ac:dyDescent="0.2"/>
    <row r="6951" customFormat="1" ht="12.75" x14ac:dyDescent="0.2"/>
    <row r="6952" customFormat="1" ht="12.75" x14ac:dyDescent="0.2"/>
    <row r="6953" customFormat="1" ht="12.75" x14ac:dyDescent="0.2"/>
    <row r="6954" customFormat="1" ht="12.75" x14ac:dyDescent="0.2"/>
    <row r="6955" customFormat="1" ht="12.75" x14ac:dyDescent="0.2"/>
    <row r="6956" customFormat="1" ht="12.75" x14ac:dyDescent="0.2"/>
    <row r="6957" customFormat="1" ht="12.75" x14ac:dyDescent="0.2"/>
    <row r="6958" customFormat="1" ht="12.75" x14ac:dyDescent="0.2"/>
    <row r="6959" customFormat="1" ht="12.75" x14ac:dyDescent="0.2"/>
    <row r="6960" customFormat="1" ht="12.75" x14ac:dyDescent="0.2"/>
    <row r="6961" customFormat="1" ht="12.75" x14ac:dyDescent="0.2"/>
    <row r="6962" customFormat="1" ht="12.75" x14ac:dyDescent="0.2"/>
    <row r="6963" customFormat="1" ht="12.75" x14ac:dyDescent="0.2"/>
    <row r="6964" customFormat="1" ht="12.75" x14ac:dyDescent="0.2"/>
    <row r="6965" customFormat="1" ht="12.75" x14ac:dyDescent="0.2"/>
    <row r="6966" customFormat="1" ht="12.75" x14ac:dyDescent="0.2"/>
    <row r="6967" customFormat="1" ht="12.75" x14ac:dyDescent="0.2"/>
    <row r="6968" customFormat="1" ht="12.75" x14ac:dyDescent="0.2"/>
    <row r="6969" customFormat="1" ht="12.75" x14ac:dyDescent="0.2"/>
    <row r="6970" customFormat="1" ht="12.75" x14ac:dyDescent="0.2"/>
    <row r="6971" customFormat="1" ht="12.75" x14ac:dyDescent="0.2"/>
    <row r="6972" customFormat="1" ht="12.75" x14ac:dyDescent="0.2"/>
    <row r="6973" customFormat="1" ht="12.75" x14ac:dyDescent="0.2"/>
    <row r="6974" customFormat="1" ht="12.75" x14ac:dyDescent="0.2"/>
    <row r="6975" customFormat="1" ht="12.75" x14ac:dyDescent="0.2"/>
    <row r="6976" customFormat="1" ht="12.75" x14ac:dyDescent="0.2"/>
    <row r="6977" customFormat="1" ht="12.75" x14ac:dyDescent="0.2"/>
    <row r="6978" customFormat="1" ht="12.75" x14ac:dyDescent="0.2"/>
    <row r="6979" customFormat="1" ht="12.75" x14ac:dyDescent="0.2"/>
    <row r="6980" customFormat="1" ht="12.75" x14ac:dyDescent="0.2"/>
    <row r="6981" customFormat="1" ht="12.75" x14ac:dyDescent="0.2"/>
    <row r="6982" customFormat="1" ht="12.75" x14ac:dyDescent="0.2"/>
    <row r="6983" customFormat="1" ht="12.75" x14ac:dyDescent="0.2"/>
    <row r="6984" customFormat="1" ht="12.75" x14ac:dyDescent="0.2"/>
    <row r="6985" customFormat="1" ht="12.75" x14ac:dyDescent="0.2"/>
    <row r="6986" customFormat="1" ht="12.75" x14ac:dyDescent="0.2"/>
    <row r="6987" customFormat="1" ht="12.75" x14ac:dyDescent="0.2"/>
    <row r="6988" customFormat="1" ht="12.75" x14ac:dyDescent="0.2"/>
    <row r="6989" customFormat="1" ht="12.75" x14ac:dyDescent="0.2"/>
    <row r="6990" customFormat="1" ht="12.75" x14ac:dyDescent="0.2"/>
    <row r="6991" customFormat="1" ht="12.75" x14ac:dyDescent="0.2"/>
    <row r="6992" customFormat="1" ht="12.75" x14ac:dyDescent="0.2"/>
    <row r="6993" customFormat="1" ht="12.75" x14ac:dyDescent="0.2"/>
    <row r="6994" customFormat="1" ht="12.75" x14ac:dyDescent="0.2"/>
    <row r="6995" customFormat="1" ht="12.75" x14ac:dyDescent="0.2"/>
    <row r="6996" customFormat="1" ht="12.75" x14ac:dyDescent="0.2"/>
    <row r="6997" customFormat="1" ht="12.75" x14ac:dyDescent="0.2"/>
    <row r="6998" customFormat="1" ht="12.75" x14ac:dyDescent="0.2"/>
    <row r="6999" customFormat="1" ht="12.75" x14ac:dyDescent="0.2"/>
    <row r="7000" customFormat="1" ht="12.75" x14ac:dyDescent="0.2"/>
    <row r="7001" customFormat="1" ht="12.75" x14ac:dyDescent="0.2"/>
    <row r="7002" customFormat="1" ht="12.75" x14ac:dyDescent="0.2"/>
    <row r="7003" customFormat="1" ht="12.75" x14ac:dyDescent="0.2"/>
    <row r="7004" customFormat="1" ht="12.75" x14ac:dyDescent="0.2"/>
    <row r="7005" customFormat="1" ht="12.75" x14ac:dyDescent="0.2"/>
    <row r="7006" customFormat="1" ht="12.75" x14ac:dyDescent="0.2"/>
    <row r="7007" customFormat="1" ht="12.75" x14ac:dyDescent="0.2"/>
    <row r="7008" customFormat="1" ht="12.75" x14ac:dyDescent="0.2"/>
    <row r="7009" customFormat="1" ht="12.75" x14ac:dyDescent="0.2"/>
    <row r="7010" customFormat="1" ht="12.75" x14ac:dyDescent="0.2"/>
    <row r="7011" customFormat="1" ht="12.75" x14ac:dyDescent="0.2"/>
    <row r="7012" customFormat="1" ht="12.75" x14ac:dyDescent="0.2"/>
    <row r="7013" customFormat="1" ht="12.75" x14ac:dyDescent="0.2"/>
    <row r="7014" customFormat="1" ht="12.75" x14ac:dyDescent="0.2"/>
    <row r="7015" customFormat="1" ht="12.75" x14ac:dyDescent="0.2"/>
    <row r="7016" customFormat="1" ht="12.75" x14ac:dyDescent="0.2"/>
    <row r="7017" customFormat="1" ht="12.75" x14ac:dyDescent="0.2"/>
    <row r="7018" customFormat="1" ht="12.75" x14ac:dyDescent="0.2"/>
    <row r="7019" customFormat="1" ht="12.75" x14ac:dyDescent="0.2"/>
    <row r="7020" customFormat="1" ht="12.75" x14ac:dyDescent="0.2"/>
    <row r="7021" customFormat="1" ht="12.75" x14ac:dyDescent="0.2"/>
    <row r="7022" customFormat="1" ht="12.75" x14ac:dyDescent="0.2"/>
    <row r="7023" customFormat="1" ht="12.75" x14ac:dyDescent="0.2"/>
    <row r="7024" customFormat="1" ht="12.75" x14ac:dyDescent="0.2"/>
    <row r="7025" customFormat="1" ht="12.75" x14ac:dyDescent="0.2"/>
    <row r="7026" customFormat="1" ht="12.75" x14ac:dyDescent="0.2"/>
    <row r="7027" customFormat="1" ht="12.75" x14ac:dyDescent="0.2"/>
    <row r="7028" customFormat="1" ht="12.75" x14ac:dyDescent="0.2"/>
    <row r="7029" customFormat="1" ht="12.75" x14ac:dyDescent="0.2"/>
    <row r="7030" customFormat="1" ht="12.75" x14ac:dyDescent="0.2"/>
    <row r="7031" customFormat="1" ht="12.75" x14ac:dyDescent="0.2"/>
    <row r="7032" customFormat="1" ht="12.75" x14ac:dyDescent="0.2"/>
    <row r="7033" customFormat="1" ht="12.75" x14ac:dyDescent="0.2"/>
    <row r="7034" customFormat="1" ht="12.75" x14ac:dyDescent="0.2"/>
    <row r="7035" customFormat="1" ht="12.75" x14ac:dyDescent="0.2"/>
    <row r="7036" customFormat="1" ht="12.75" x14ac:dyDescent="0.2"/>
    <row r="7037" customFormat="1" ht="12.75" x14ac:dyDescent="0.2"/>
    <row r="7038" customFormat="1" ht="12.75" x14ac:dyDescent="0.2"/>
    <row r="7039" customFormat="1" ht="12.75" x14ac:dyDescent="0.2"/>
    <row r="7040" customFormat="1" ht="12.75" x14ac:dyDescent="0.2"/>
    <row r="7041" customFormat="1" ht="12.75" x14ac:dyDescent="0.2"/>
    <row r="7042" customFormat="1" ht="12.75" x14ac:dyDescent="0.2"/>
    <row r="7043" customFormat="1" ht="12.75" x14ac:dyDescent="0.2"/>
    <row r="7044" customFormat="1" ht="12.75" x14ac:dyDescent="0.2"/>
    <row r="7045" customFormat="1" ht="12.75" x14ac:dyDescent="0.2"/>
    <row r="7046" customFormat="1" ht="12.75" x14ac:dyDescent="0.2"/>
    <row r="7047" customFormat="1" ht="12.75" x14ac:dyDescent="0.2"/>
    <row r="7048" customFormat="1" ht="12.75" x14ac:dyDescent="0.2"/>
    <row r="7049" customFormat="1" ht="12.75" x14ac:dyDescent="0.2"/>
    <row r="7050" customFormat="1" ht="12.75" x14ac:dyDescent="0.2"/>
    <row r="7051" customFormat="1" ht="12.75" x14ac:dyDescent="0.2"/>
    <row r="7052" customFormat="1" ht="12.75" x14ac:dyDescent="0.2"/>
    <row r="7053" customFormat="1" ht="12.75" x14ac:dyDescent="0.2"/>
    <row r="7054" customFormat="1" ht="12.75" x14ac:dyDescent="0.2"/>
    <row r="7055" customFormat="1" ht="12.75" x14ac:dyDescent="0.2"/>
    <row r="7056" customFormat="1" ht="12.75" x14ac:dyDescent="0.2"/>
    <row r="7057" customFormat="1" ht="12.75" x14ac:dyDescent="0.2"/>
    <row r="7058" customFormat="1" ht="12.75" x14ac:dyDescent="0.2"/>
    <row r="7059" customFormat="1" ht="12.75" x14ac:dyDescent="0.2"/>
    <row r="7060" customFormat="1" ht="12.75" x14ac:dyDescent="0.2"/>
    <row r="7061" customFormat="1" ht="12.75" x14ac:dyDescent="0.2"/>
    <row r="7062" customFormat="1" ht="12.75" x14ac:dyDescent="0.2"/>
    <row r="7063" customFormat="1" ht="12.75" x14ac:dyDescent="0.2"/>
    <row r="7064" customFormat="1" ht="12.75" x14ac:dyDescent="0.2"/>
    <row r="7065" customFormat="1" ht="12.75" x14ac:dyDescent="0.2"/>
    <row r="7066" customFormat="1" ht="12.75" x14ac:dyDescent="0.2"/>
    <row r="7067" customFormat="1" ht="12.75" x14ac:dyDescent="0.2"/>
    <row r="7068" customFormat="1" ht="12.75" x14ac:dyDescent="0.2"/>
    <row r="7069" customFormat="1" ht="12.75" x14ac:dyDescent="0.2"/>
    <row r="7070" customFormat="1" ht="12.75" x14ac:dyDescent="0.2"/>
    <row r="7071" customFormat="1" ht="12.75" x14ac:dyDescent="0.2"/>
    <row r="7072" customFormat="1" ht="12.75" x14ac:dyDescent="0.2"/>
    <row r="7073" customFormat="1" ht="12.75" x14ac:dyDescent="0.2"/>
    <row r="7074" customFormat="1" ht="12.75" x14ac:dyDescent="0.2"/>
    <row r="7075" customFormat="1" ht="12.75" x14ac:dyDescent="0.2"/>
    <row r="7076" customFormat="1" ht="12.75" x14ac:dyDescent="0.2"/>
    <row r="7077" customFormat="1" ht="12.75" x14ac:dyDescent="0.2"/>
    <row r="7078" customFormat="1" ht="12.75" x14ac:dyDescent="0.2"/>
    <row r="7079" customFormat="1" ht="12.75" x14ac:dyDescent="0.2"/>
    <row r="7080" customFormat="1" ht="12.75" x14ac:dyDescent="0.2"/>
    <row r="7081" customFormat="1" ht="12.75" x14ac:dyDescent="0.2"/>
    <row r="7082" customFormat="1" ht="12.75" x14ac:dyDescent="0.2"/>
    <row r="7083" customFormat="1" ht="12.75" x14ac:dyDescent="0.2"/>
    <row r="7084" customFormat="1" ht="12.75" x14ac:dyDescent="0.2"/>
    <row r="7085" customFormat="1" ht="12.75" x14ac:dyDescent="0.2"/>
    <row r="7086" customFormat="1" ht="12.75" x14ac:dyDescent="0.2"/>
    <row r="7087" customFormat="1" ht="12.75" x14ac:dyDescent="0.2"/>
    <row r="7088" customFormat="1" ht="12.75" x14ac:dyDescent="0.2"/>
    <row r="7089" customFormat="1" ht="12.75" x14ac:dyDescent="0.2"/>
    <row r="7090" customFormat="1" ht="12.75" x14ac:dyDescent="0.2"/>
    <row r="7091" customFormat="1" ht="12.75" x14ac:dyDescent="0.2"/>
    <row r="7092" customFormat="1" ht="12.75" x14ac:dyDescent="0.2"/>
    <row r="7093" customFormat="1" ht="12.75" x14ac:dyDescent="0.2"/>
    <row r="7094" customFormat="1" ht="12.75" x14ac:dyDescent="0.2"/>
    <row r="7095" customFormat="1" ht="12.75" x14ac:dyDescent="0.2"/>
    <row r="7096" customFormat="1" ht="12.75" x14ac:dyDescent="0.2"/>
    <row r="7097" customFormat="1" ht="12.75" x14ac:dyDescent="0.2"/>
    <row r="7098" customFormat="1" ht="12.75" x14ac:dyDescent="0.2"/>
    <row r="7099" customFormat="1" ht="12.75" x14ac:dyDescent="0.2"/>
    <row r="7100" customFormat="1" ht="12.75" x14ac:dyDescent="0.2"/>
    <row r="7101" customFormat="1" ht="12.75" x14ac:dyDescent="0.2"/>
    <row r="7102" customFormat="1" ht="12.75" x14ac:dyDescent="0.2"/>
    <row r="7103" customFormat="1" ht="12.75" x14ac:dyDescent="0.2"/>
    <row r="7104" customFormat="1" ht="12.75" x14ac:dyDescent="0.2"/>
    <row r="7105" customFormat="1" ht="12.75" x14ac:dyDescent="0.2"/>
    <row r="7106" customFormat="1" ht="12.75" x14ac:dyDescent="0.2"/>
    <row r="7107" customFormat="1" ht="12.75" x14ac:dyDescent="0.2"/>
    <row r="7108" customFormat="1" ht="12.75" x14ac:dyDescent="0.2"/>
    <row r="7109" customFormat="1" ht="12.75" x14ac:dyDescent="0.2"/>
    <row r="7110" customFormat="1" ht="12.75" x14ac:dyDescent="0.2"/>
    <row r="7111" customFormat="1" ht="12.75" x14ac:dyDescent="0.2"/>
    <row r="7112" customFormat="1" ht="12.75" x14ac:dyDescent="0.2"/>
    <row r="7113" customFormat="1" ht="12.75" x14ac:dyDescent="0.2"/>
    <row r="7114" customFormat="1" ht="12.75" x14ac:dyDescent="0.2"/>
    <row r="7115" customFormat="1" ht="12.75" x14ac:dyDescent="0.2"/>
    <row r="7116" customFormat="1" ht="12.75" x14ac:dyDescent="0.2"/>
    <row r="7117" customFormat="1" ht="12.75" x14ac:dyDescent="0.2"/>
    <row r="7118" customFormat="1" ht="12.75" x14ac:dyDescent="0.2"/>
    <row r="7119" customFormat="1" ht="12.75" x14ac:dyDescent="0.2"/>
    <row r="7120" customFormat="1" ht="12.75" x14ac:dyDescent="0.2"/>
    <row r="7121" customFormat="1" ht="12.75" x14ac:dyDescent="0.2"/>
    <row r="7122" customFormat="1" ht="12.75" x14ac:dyDescent="0.2"/>
    <row r="7123" customFormat="1" ht="12.75" x14ac:dyDescent="0.2"/>
    <row r="7124" customFormat="1" ht="12.75" x14ac:dyDescent="0.2"/>
    <row r="7125" customFormat="1" ht="12.75" x14ac:dyDescent="0.2"/>
    <row r="7126" customFormat="1" ht="12.75" x14ac:dyDescent="0.2"/>
    <row r="7127" customFormat="1" ht="12.75" x14ac:dyDescent="0.2"/>
    <row r="7128" customFormat="1" ht="12.75" x14ac:dyDescent="0.2"/>
    <row r="7129" customFormat="1" ht="12.75" x14ac:dyDescent="0.2"/>
    <row r="7130" customFormat="1" ht="12.75" x14ac:dyDescent="0.2"/>
    <row r="7131" customFormat="1" ht="12.75" x14ac:dyDescent="0.2"/>
    <row r="7132" customFormat="1" ht="12.75" x14ac:dyDescent="0.2"/>
    <row r="7133" customFormat="1" ht="12.75" x14ac:dyDescent="0.2"/>
    <row r="7134" customFormat="1" ht="12.75" x14ac:dyDescent="0.2"/>
    <row r="7135" customFormat="1" ht="12.75" x14ac:dyDescent="0.2"/>
    <row r="7136" customFormat="1" ht="12.75" x14ac:dyDescent="0.2"/>
    <row r="7137" customFormat="1" ht="12.75" x14ac:dyDescent="0.2"/>
    <row r="7138" customFormat="1" ht="12.75" x14ac:dyDescent="0.2"/>
    <row r="7139" customFormat="1" ht="12.75" x14ac:dyDescent="0.2"/>
    <row r="7140" customFormat="1" ht="12.75" x14ac:dyDescent="0.2"/>
    <row r="7141" customFormat="1" ht="12.75" x14ac:dyDescent="0.2"/>
    <row r="7142" customFormat="1" ht="12.75" x14ac:dyDescent="0.2"/>
    <row r="7143" customFormat="1" ht="12.75" x14ac:dyDescent="0.2"/>
    <row r="7144" customFormat="1" ht="12.75" x14ac:dyDescent="0.2"/>
    <row r="7145" customFormat="1" ht="12.75" x14ac:dyDescent="0.2"/>
    <row r="7146" customFormat="1" ht="12.75" x14ac:dyDescent="0.2"/>
    <row r="7147" customFormat="1" ht="12.75" x14ac:dyDescent="0.2"/>
    <row r="7148" customFormat="1" ht="12.75" x14ac:dyDescent="0.2"/>
    <row r="7149" customFormat="1" ht="12.75" x14ac:dyDescent="0.2"/>
    <row r="7150" customFormat="1" ht="12.75" x14ac:dyDescent="0.2"/>
    <row r="7151" customFormat="1" ht="12.75" x14ac:dyDescent="0.2"/>
    <row r="7152" customFormat="1" ht="12.75" x14ac:dyDescent="0.2"/>
    <row r="7153" customFormat="1" ht="12.75" x14ac:dyDescent="0.2"/>
    <row r="7154" customFormat="1" ht="12.75" x14ac:dyDescent="0.2"/>
    <row r="7155" customFormat="1" ht="12.75" x14ac:dyDescent="0.2"/>
    <row r="7156" customFormat="1" ht="12.75" x14ac:dyDescent="0.2"/>
    <row r="7157" customFormat="1" ht="12.75" x14ac:dyDescent="0.2"/>
    <row r="7158" customFormat="1" ht="12.75" x14ac:dyDescent="0.2"/>
    <row r="7159" customFormat="1" ht="12.75" x14ac:dyDescent="0.2"/>
    <row r="7160" customFormat="1" ht="12.75" x14ac:dyDescent="0.2"/>
    <row r="7161" customFormat="1" ht="12.75" x14ac:dyDescent="0.2"/>
    <row r="7162" customFormat="1" ht="12.75" x14ac:dyDescent="0.2"/>
    <row r="7163" customFormat="1" ht="12.75" x14ac:dyDescent="0.2"/>
    <row r="7164" customFormat="1" ht="12.75" x14ac:dyDescent="0.2"/>
    <row r="7165" customFormat="1" ht="12.75" x14ac:dyDescent="0.2"/>
    <row r="7166" customFormat="1" ht="12.75" x14ac:dyDescent="0.2"/>
    <row r="7167" customFormat="1" ht="12.75" x14ac:dyDescent="0.2"/>
    <row r="7168" customFormat="1" ht="12.75" x14ac:dyDescent="0.2"/>
    <row r="7169" customFormat="1" ht="12.75" x14ac:dyDescent="0.2"/>
    <row r="7170" customFormat="1" ht="12.75" x14ac:dyDescent="0.2"/>
    <row r="7171" customFormat="1" ht="12.75" x14ac:dyDescent="0.2"/>
    <row r="7172" customFormat="1" ht="12.75" x14ac:dyDescent="0.2"/>
    <row r="7173" customFormat="1" ht="12.75" x14ac:dyDescent="0.2"/>
    <row r="7174" customFormat="1" ht="12.75" x14ac:dyDescent="0.2"/>
    <row r="7175" customFormat="1" ht="12.75" x14ac:dyDescent="0.2"/>
    <row r="7176" customFormat="1" ht="12.75" x14ac:dyDescent="0.2"/>
    <row r="7177" customFormat="1" ht="12.75" x14ac:dyDescent="0.2"/>
    <row r="7178" customFormat="1" ht="12.75" x14ac:dyDescent="0.2"/>
    <row r="7179" customFormat="1" ht="12.75" x14ac:dyDescent="0.2"/>
    <row r="7180" customFormat="1" ht="12.75" x14ac:dyDescent="0.2"/>
    <row r="7181" customFormat="1" ht="12.75" x14ac:dyDescent="0.2"/>
    <row r="7182" customFormat="1" ht="12.75" x14ac:dyDescent="0.2"/>
    <row r="7183" customFormat="1" ht="12.75" x14ac:dyDescent="0.2"/>
    <row r="7184" customFormat="1" ht="12.75" x14ac:dyDescent="0.2"/>
    <row r="7185" customFormat="1" ht="12.75" x14ac:dyDescent="0.2"/>
    <row r="7186" customFormat="1" ht="12.75" x14ac:dyDescent="0.2"/>
    <row r="7187" customFormat="1" ht="12.75" x14ac:dyDescent="0.2"/>
    <row r="7188" customFormat="1" ht="12.75" x14ac:dyDescent="0.2"/>
    <row r="7189" customFormat="1" ht="12.75" x14ac:dyDescent="0.2"/>
    <row r="7190" customFormat="1" ht="12.75" x14ac:dyDescent="0.2"/>
    <row r="7191" customFormat="1" ht="12.75" x14ac:dyDescent="0.2"/>
    <row r="7192" customFormat="1" ht="12.75" x14ac:dyDescent="0.2"/>
    <row r="7193" customFormat="1" ht="12.75" x14ac:dyDescent="0.2"/>
    <row r="7194" customFormat="1" ht="12.75" x14ac:dyDescent="0.2"/>
    <row r="7195" customFormat="1" ht="12.75" x14ac:dyDescent="0.2"/>
    <row r="7196" customFormat="1" ht="12.75" x14ac:dyDescent="0.2"/>
    <row r="7197" customFormat="1" ht="12.75" x14ac:dyDescent="0.2"/>
    <row r="7198" customFormat="1" ht="12.75" x14ac:dyDescent="0.2"/>
    <row r="7199" customFormat="1" ht="12.75" x14ac:dyDescent="0.2"/>
    <row r="7200" customFormat="1" ht="12.75" x14ac:dyDescent="0.2"/>
    <row r="7201" customFormat="1" ht="12.75" x14ac:dyDescent="0.2"/>
    <row r="7202" customFormat="1" ht="12.75" x14ac:dyDescent="0.2"/>
    <row r="7203" customFormat="1" ht="12.75" x14ac:dyDescent="0.2"/>
    <row r="7204" customFormat="1" ht="12.75" x14ac:dyDescent="0.2"/>
    <row r="7205" customFormat="1" ht="12.75" x14ac:dyDescent="0.2"/>
    <row r="7206" customFormat="1" ht="12.75" x14ac:dyDescent="0.2"/>
    <row r="7207" customFormat="1" ht="12.75" x14ac:dyDescent="0.2"/>
    <row r="7208" customFormat="1" ht="12.75" x14ac:dyDescent="0.2"/>
    <row r="7209" customFormat="1" ht="12.75" x14ac:dyDescent="0.2"/>
    <row r="7210" customFormat="1" ht="12.75" x14ac:dyDescent="0.2"/>
    <row r="7211" customFormat="1" ht="12.75" x14ac:dyDescent="0.2"/>
    <row r="7212" customFormat="1" ht="12.75" x14ac:dyDescent="0.2"/>
    <row r="7213" customFormat="1" ht="12.75" x14ac:dyDescent="0.2"/>
    <row r="7214" customFormat="1" ht="12.75" x14ac:dyDescent="0.2"/>
    <row r="7215" customFormat="1" ht="12.75" x14ac:dyDescent="0.2"/>
    <row r="7216" customFormat="1" ht="12.75" x14ac:dyDescent="0.2"/>
    <row r="7217" customFormat="1" ht="12.75" x14ac:dyDescent="0.2"/>
    <row r="7218" customFormat="1" ht="12.75" x14ac:dyDescent="0.2"/>
    <row r="7219" customFormat="1" ht="12.75" x14ac:dyDescent="0.2"/>
    <row r="7220" customFormat="1" ht="12.75" x14ac:dyDescent="0.2"/>
    <row r="7221" customFormat="1" ht="12.75" x14ac:dyDescent="0.2"/>
    <row r="7222" customFormat="1" ht="12.75" x14ac:dyDescent="0.2"/>
    <row r="7223" customFormat="1" ht="12.75" x14ac:dyDescent="0.2"/>
    <row r="7224" customFormat="1" ht="12.75" x14ac:dyDescent="0.2"/>
    <row r="7225" customFormat="1" ht="12.75" x14ac:dyDescent="0.2"/>
    <row r="7226" customFormat="1" ht="12.75" x14ac:dyDescent="0.2"/>
    <row r="7227" customFormat="1" ht="12.75" x14ac:dyDescent="0.2"/>
    <row r="7228" customFormat="1" ht="12.75" x14ac:dyDescent="0.2"/>
    <row r="7229" customFormat="1" ht="12.75" x14ac:dyDescent="0.2"/>
    <row r="7230" customFormat="1" ht="12.75" x14ac:dyDescent="0.2"/>
    <row r="7231" customFormat="1" ht="12.75" x14ac:dyDescent="0.2"/>
    <row r="7232" customFormat="1" ht="12.75" x14ac:dyDescent="0.2"/>
    <row r="7233" customFormat="1" ht="12.75" x14ac:dyDescent="0.2"/>
    <row r="7234" customFormat="1" ht="12.75" x14ac:dyDescent="0.2"/>
    <row r="7235" customFormat="1" ht="12.75" x14ac:dyDescent="0.2"/>
    <row r="7236" customFormat="1" ht="12.75" x14ac:dyDescent="0.2"/>
    <row r="7237" customFormat="1" ht="12.75" x14ac:dyDescent="0.2"/>
    <row r="7238" customFormat="1" ht="12.75" x14ac:dyDescent="0.2"/>
    <row r="7239" customFormat="1" ht="12.75" x14ac:dyDescent="0.2"/>
    <row r="7240" customFormat="1" ht="12.75" x14ac:dyDescent="0.2"/>
    <row r="7241" customFormat="1" ht="12.75" x14ac:dyDescent="0.2"/>
    <row r="7242" customFormat="1" ht="12.75" x14ac:dyDescent="0.2"/>
    <row r="7243" customFormat="1" ht="12.75" x14ac:dyDescent="0.2"/>
    <row r="7244" customFormat="1" ht="12.75" x14ac:dyDescent="0.2"/>
    <row r="7245" customFormat="1" ht="12.75" x14ac:dyDescent="0.2"/>
    <row r="7246" customFormat="1" ht="12.75" x14ac:dyDescent="0.2"/>
    <row r="7247" customFormat="1" ht="12.75" x14ac:dyDescent="0.2"/>
    <row r="7248" customFormat="1" ht="12.75" x14ac:dyDescent="0.2"/>
    <row r="7249" customFormat="1" ht="12.75" x14ac:dyDescent="0.2"/>
    <row r="7250" customFormat="1" ht="12.75" x14ac:dyDescent="0.2"/>
    <row r="7251" customFormat="1" ht="12.75" x14ac:dyDescent="0.2"/>
    <row r="7252" customFormat="1" ht="12.75" x14ac:dyDescent="0.2"/>
    <row r="7253" customFormat="1" ht="12.75" x14ac:dyDescent="0.2"/>
    <row r="7254" customFormat="1" ht="12.75" x14ac:dyDescent="0.2"/>
    <row r="7255" customFormat="1" ht="12.75" x14ac:dyDescent="0.2"/>
    <row r="7256" customFormat="1" ht="12.75" x14ac:dyDescent="0.2"/>
    <row r="7257" customFormat="1" ht="12.75" x14ac:dyDescent="0.2"/>
    <row r="7258" customFormat="1" ht="12.75" x14ac:dyDescent="0.2"/>
    <row r="7259" customFormat="1" ht="12.75" x14ac:dyDescent="0.2"/>
    <row r="7260" customFormat="1" ht="12.75" x14ac:dyDescent="0.2"/>
    <row r="7261" customFormat="1" ht="12.75" x14ac:dyDescent="0.2"/>
    <row r="7262" customFormat="1" ht="12.75" x14ac:dyDescent="0.2"/>
    <row r="7263" customFormat="1" ht="12.75" x14ac:dyDescent="0.2"/>
    <row r="7264" customFormat="1" ht="12.75" x14ac:dyDescent="0.2"/>
    <row r="7265" customFormat="1" ht="12.75" x14ac:dyDescent="0.2"/>
    <row r="7266" customFormat="1" ht="12.75" x14ac:dyDescent="0.2"/>
    <row r="7267" customFormat="1" ht="12.75" x14ac:dyDescent="0.2"/>
    <row r="7268" customFormat="1" ht="12.75" x14ac:dyDescent="0.2"/>
    <row r="7269" customFormat="1" ht="12.75" x14ac:dyDescent="0.2"/>
    <row r="7270" customFormat="1" ht="12.75" x14ac:dyDescent="0.2"/>
    <row r="7271" customFormat="1" ht="12.75" x14ac:dyDescent="0.2"/>
    <row r="7272" customFormat="1" ht="12.75" x14ac:dyDescent="0.2"/>
    <row r="7273" customFormat="1" ht="12.75" x14ac:dyDescent="0.2"/>
    <row r="7274" customFormat="1" ht="12.75" x14ac:dyDescent="0.2"/>
    <row r="7275" customFormat="1" ht="12.75" x14ac:dyDescent="0.2"/>
    <row r="7276" customFormat="1" ht="12.75" x14ac:dyDescent="0.2"/>
    <row r="7277" customFormat="1" ht="12.75" x14ac:dyDescent="0.2"/>
    <row r="7278" customFormat="1" ht="12.75" x14ac:dyDescent="0.2"/>
    <row r="7279" customFormat="1" ht="12.75" x14ac:dyDescent="0.2"/>
    <row r="7280" customFormat="1" ht="12.75" x14ac:dyDescent="0.2"/>
    <row r="7281" customFormat="1" ht="12.75" x14ac:dyDescent="0.2"/>
    <row r="7282" customFormat="1" ht="12.75" x14ac:dyDescent="0.2"/>
    <row r="7283" customFormat="1" ht="12.75" x14ac:dyDescent="0.2"/>
    <row r="7284" customFormat="1" ht="12.75" x14ac:dyDescent="0.2"/>
    <row r="7285" customFormat="1" ht="12.75" x14ac:dyDescent="0.2"/>
    <row r="7286" customFormat="1" ht="12.75" x14ac:dyDescent="0.2"/>
    <row r="7287" customFormat="1" ht="12.75" x14ac:dyDescent="0.2"/>
    <row r="7288" customFormat="1" ht="12.75" x14ac:dyDescent="0.2"/>
    <row r="7289" customFormat="1" ht="12.75" x14ac:dyDescent="0.2"/>
    <row r="7290" customFormat="1" ht="12.75" x14ac:dyDescent="0.2"/>
    <row r="7291" customFormat="1" ht="12.75" x14ac:dyDescent="0.2"/>
    <row r="7292" customFormat="1" ht="12.75" x14ac:dyDescent="0.2"/>
    <row r="7293" customFormat="1" ht="12.75" x14ac:dyDescent="0.2"/>
    <row r="7294" customFormat="1" ht="12.75" x14ac:dyDescent="0.2"/>
    <row r="7295" customFormat="1" ht="12.75" x14ac:dyDescent="0.2"/>
    <row r="7296" customFormat="1" ht="12.75" x14ac:dyDescent="0.2"/>
    <row r="7297" customFormat="1" ht="12.75" x14ac:dyDescent="0.2"/>
    <row r="7298" customFormat="1" ht="12.75" x14ac:dyDescent="0.2"/>
    <row r="7299" customFormat="1" ht="12.75" x14ac:dyDescent="0.2"/>
    <row r="7300" customFormat="1" ht="12.75" x14ac:dyDescent="0.2"/>
    <row r="7301" customFormat="1" ht="12.75" x14ac:dyDescent="0.2"/>
    <row r="7302" customFormat="1" ht="12.75" x14ac:dyDescent="0.2"/>
    <row r="7303" customFormat="1" ht="12.75" x14ac:dyDescent="0.2"/>
    <row r="7304" customFormat="1" ht="12.75" x14ac:dyDescent="0.2"/>
    <row r="7305" customFormat="1" ht="12.75" x14ac:dyDescent="0.2"/>
    <row r="7306" customFormat="1" ht="12.75" x14ac:dyDescent="0.2"/>
    <row r="7307" customFormat="1" ht="12.75" x14ac:dyDescent="0.2"/>
    <row r="7308" customFormat="1" ht="12.75" x14ac:dyDescent="0.2"/>
    <row r="7309" customFormat="1" ht="12.75" x14ac:dyDescent="0.2"/>
    <row r="7310" customFormat="1" ht="12.75" x14ac:dyDescent="0.2"/>
    <row r="7311" customFormat="1" ht="12.75" x14ac:dyDescent="0.2"/>
    <row r="7312" customFormat="1" ht="12.75" x14ac:dyDescent="0.2"/>
    <row r="7313" customFormat="1" ht="12.75" x14ac:dyDescent="0.2"/>
    <row r="7314" customFormat="1" ht="12.75" x14ac:dyDescent="0.2"/>
    <row r="7315" customFormat="1" ht="12.75" x14ac:dyDescent="0.2"/>
    <row r="7316" customFormat="1" ht="12.75" x14ac:dyDescent="0.2"/>
    <row r="7317" customFormat="1" ht="12.75" x14ac:dyDescent="0.2"/>
    <row r="7318" customFormat="1" ht="12.75" x14ac:dyDescent="0.2"/>
    <row r="7319" customFormat="1" ht="12.75" x14ac:dyDescent="0.2"/>
    <row r="7320" customFormat="1" ht="12.75" x14ac:dyDescent="0.2"/>
    <row r="7321" customFormat="1" ht="12.75" x14ac:dyDescent="0.2"/>
    <row r="7322" customFormat="1" ht="12.75" x14ac:dyDescent="0.2"/>
    <row r="7323" customFormat="1" ht="12.75" x14ac:dyDescent="0.2"/>
    <row r="7324" customFormat="1" ht="12.75" x14ac:dyDescent="0.2"/>
    <row r="7325" customFormat="1" ht="12.75" x14ac:dyDescent="0.2"/>
    <row r="7326" customFormat="1" ht="12.75" x14ac:dyDescent="0.2"/>
    <row r="7327" customFormat="1" ht="12.75" x14ac:dyDescent="0.2"/>
    <row r="7328" customFormat="1" ht="12.75" x14ac:dyDescent="0.2"/>
    <row r="7329" customFormat="1" ht="12.75" x14ac:dyDescent="0.2"/>
    <row r="7330" customFormat="1" ht="12.75" x14ac:dyDescent="0.2"/>
    <row r="7331" customFormat="1" ht="12.75" x14ac:dyDescent="0.2"/>
    <row r="7332" customFormat="1" ht="12.75" x14ac:dyDescent="0.2"/>
    <row r="7333" customFormat="1" ht="12.75" x14ac:dyDescent="0.2"/>
    <row r="7334" customFormat="1" ht="12.75" x14ac:dyDescent="0.2"/>
    <row r="7335" customFormat="1" ht="12.75" x14ac:dyDescent="0.2"/>
    <row r="7336" customFormat="1" ht="12.75" x14ac:dyDescent="0.2"/>
    <row r="7337" customFormat="1" ht="12.75" x14ac:dyDescent="0.2"/>
    <row r="7338" customFormat="1" ht="12.75" x14ac:dyDescent="0.2"/>
    <row r="7339" customFormat="1" ht="12.75" x14ac:dyDescent="0.2"/>
    <row r="7340" customFormat="1" ht="12.75" x14ac:dyDescent="0.2"/>
    <row r="7341" customFormat="1" ht="12.75" x14ac:dyDescent="0.2"/>
    <row r="7342" customFormat="1" ht="12.75" x14ac:dyDescent="0.2"/>
    <row r="7343" customFormat="1" ht="12.75" x14ac:dyDescent="0.2"/>
    <row r="7344" customFormat="1" ht="12.75" x14ac:dyDescent="0.2"/>
    <row r="7345" customFormat="1" ht="12.75" x14ac:dyDescent="0.2"/>
    <row r="7346" customFormat="1" ht="12.75" x14ac:dyDescent="0.2"/>
    <row r="7347" customFormat="1" ht="12.75" x14ac:dyDescent="0.2"/>
    <row r="7348" customFormat="1" ht="12.75" x14ac:dyDescent="0.2"/>
    <row r="7349" customFormat="1" ht="12.75" x14ac:dyDescent="0.2"/>
    <row r="7350" customFormat="1" ht="12.75" x14ac:dyDescent="0.2"/>
    <row r="7351" customFormat="1" ht="12.75" x14ac:dyDescent="0.2"/>
    <row r="7352" customFormat="1" ht="12.75" x14ac:dyDescent="0.2"/>
    <row r="7353" customFormat="1" ht="12.75" x14ac:dyDescent="0.2"/>
    <row r="7354" customFormat="1" ht="12.75" x14ac:dyDescent="0.2"/>
    <row r="7355" customFormat="1" ht="12.75" x14ac:dyDescent="0.2"/>
    <row r="7356" customFormat="1" ht="12.75" x14ac:dyDescent="0.2"/>
    <row r="7357" customFormat="1" ht="12.75" x14ac:dyDescent="0.2"/>
    <row r="7358" customFormat="1" ht="12.75" x14ac:dyDescent="0.2"/>
    <row r="7359" customFormat="1" ht="12.75" x14ac:dyDescent="0.2"/>
    <row r="7360" customFormat="1" ht="12.75" x14ac:dyDescent="0.2"/>
    <row r="7361" customFormat="1" ht="12.75" x14ac:dyDescent="0.2"/>
    <row r="7362" customFormat="1" ht="12.75" x14ac:dyDescent="0.2"/>
    <row r="7363" customFormat="1" ht="12.75" x14ac:dyDescent="0.2"/>
    <row r="7364" customFormat="1" ht="12.75" x14ac:dyDescent="0.2"/>
    <row r="7365" customFormat="1" ht="12.75" x14ac:dyDescent="0.2"/>
    <row r="7366" customFormat="1" ht="12.75" x14ac:dyDescent="0.2"/>
    <row r="7367" customFormat="1" ht="12.75" x14ac:dyDescent="0.2"/>
    <row r="7368" customFormat="1" ht="12.75" x14ac:dyDescent="0.2"/>
    <row r="7369" customFormat="1" ht="12.75" x14ac:dyDescent="0.2"/>
    <row r="7370" customFormat="1" ht="12.75" x14ac:dyDescent="0.2"/>
    <row r="7371" customFormat="1" ht="12.75" x14ac:dyDescent="0.2"/>
    <row r="7372" customFormat="1" ht="12.75" x14ac:dyDescent="0.2"/>
    <row r="7373" customFormat="1" ht="12.75" x14ac:dyDescent="0.2"/>
    <row r="7374" customFormat="1" ht="12.75" x14ac:dyDescent="0.2"/>
    <row r="7375" customFormat="1" ht="12.75" x14ac:dyDescent="0.2"/>
    <row r="7376" customFormat="1" ht="12.75" x14ac:dyDescent="0.2"/>
    <row r="7377" customFormat="1" ht="12.75" x14ac:dyDescent="0.2"/>
    <row r="7378" customFormat="1" ht="12.75" x14ac:dyDescent="0.2"/>
    <row r="7379" customFormat="1" ht="12.75" x14ac:dyDescent="0.2"/>
    <row r="7380" customFormat="1" ht="12.75" x14ac:dyDescent="0.2"/>
    <row r="7381" customFormat="1" ht="12.75" x14ac:dyDescent="0.2"/>
    <row r="7382" customFormat="1" ht="12.75" x14ac:dyDescent="0.2"/>
    <row r="7383" customFormat="1" ht="12.75" x14ac:dyDescent="0.2"/>
    <row r="7384" customFormat="1" ht="12.75" x14ac:dyDescent="0.2"/>
    <row r="7385" customFormat="1" ht="12.75" x14ac:dyDescent="0.2"/>
    <row r="7386" customFormat="1" ht="12.75" x14ac:dyDescent="0.2"/>
    <row r="7387" customFormat="1" ht="12.75" x14ac:dyDescent="0.2"/>
    <row r="7388" customFormat="1" ht="12.75" x14ac:dyDescent="0.2"/>
    <row r="7389" customFormat="1" ht="12.75" x14ac:dyDescent="0.2"/>
    <row r="7390" customFormat="1" ht="12.75" x14ac:dyDescent="0.2"/>
    <row r="7391" customFormat="1" ht="12.75" x14ac:dyDescent="0.2"/>
    <row r="7392" customFormat="1" ht="12.75" x14ac:dyDescent="0.2"/>
    <row r="7393" customFormat="1" ht="12.75" x14ac:dyDescent="0.2"/>
    <row r="7394" customFormat="1" ht="12.75" x14ac:dyDescent="0.2"/>
    <row r="7395" customFormat="1" ht="12.75" x14ac:dyDescent="0.2"/>
    <row r="7396" customFormat="1" ht="12.75" x14ac:dyDescent="0.2"/>
    <row r="7397" customFormat="1" ht="12.75" x14ac:dyDescent="0.2"/>
    <row r="7398" customFormat="1" ht="12.75" x14ac:dyDescent="0.2"/>
    <row r="7399" customFormat="1" ht="12.75" x14ac:dyDescent="0.2"/>
    <row r="7400" customFormat="1" ht="12.75" x14ac:dyDescent="0.2"/>
    <row r="7401" customFormat="1" ht="12.75" x14ac:dyDescent="0.2"/>
    <row r="7402" customFormat="1" ht="12.75" x14ac:dyDescent="0.2"/>
    <row r="7403" customFormat="1" ht="12.75" x14ac:dyDescent="0.2"/>
    <row r="7404" customFormat="1" ht="12.75" x14ac:dyDescent="0.2"/>
    <row r="7405" customFormat="1" ht="12.75" x14ac:dyDescent="0.2"/>
    <row r="7406" customFormat="1" ht="12.75" x14ac:dyDescent="0.2"/>
    <row r="7407" customFormat="1" ht="12.75" x14ac:dyDescent="0.2"/>
    <row r="7408" customFormat="1" ht="12.75" x14ac:dyDescent="0.2"/>
    <row r="7409" customFormat="1" ht="12.75" x14ac:dyDescent="0.2"/>
    <row r="7410" customFormat="1" ht="12.75" x14ac:dyDescent="0.2"/>
    <row r="7411" customFormat="1" ht="12.75" x14ac:dyDescent="0.2"/>
    <row r="7412" customFormat="1" ht="12.75" x14ac:dyDescent="0.2"/>
    <row r="7413" customFormat="1" ht="12.75" x14ac:dyDescent="0.2"/>
    <row r="7414" customFormat="1" ht="12.75" x14ac:dyDescent="0.2"/>
    <row r="7415" customFormat="1" ht="12.75" x14ac:dyDescent="0.2"/>
    <row r="7416" customFormat="1" ht="12.75" x14ac:dyDescent="0.2"/>
    <row r="7417" customFormat="1" ht="12.75" x14ac:dyDescent="0.2"/>
    <row r="7418" customFormat="1" ht="12.75" x14ac:dyDescent="0.2"/>
    <row r="7419" customFormat="1" ht="12.75" x14ac:dyDescent="0.2"/>
    <row r="7420" customFormat="1" ht="12.75" x14ac:dyDescent="0.2"/>
    <row r="7421" customFormat="1" ht="12.75" x14ac:dyDescent="0.2"/>
    <row r="7422" customFormat="1" ht="12.75" x14ac:dyDescent="0.2"/>
    <row r="7423" customFormat="1" ht="12.75" x14ac:dyDescent="0.2"/>
    <row r="7424" customFormat="1" ht="12.75" x14ac:dyDescent="0.2"/>
    <row r="7425" customFormat="1" ht="12.75" x14ac:dyDescent="0.2"/>
    <row r="7426" customFormat="1" ht="12.75" x14ac:dyDescent="0.2"/>
    <row r="7427" customFormat="1" ht="12.75" x14ac:dyDescent="0.2"/>
    <row r="7428" customFormat="1" ht="12.75" x14ac:dyDescent="0.2"/>
    <row r="7429" customFormat="1" ht="12.75" x14ac:dyDescent="0.2"/>
    <row r="7430" customFormat="1" ht="12.75" x14ac:dyDescent="0.2"/>
    <row r="7431" customFormat="1" ht="12.75" x14ac:dyDescent="0.2"/>
    <row r="7432" customFormat="1" ht="12.75" x14ac:dyDescent="0.2"/>
    <row r="7433" customFormat="1" ht="12.75" x14ac:dyDescent="0.2"/>
    <row r="7434" customFormat="1" ht="12.75" x14ac:dyDescent="0.2"/>
    <row r="7435" customFormat="1" ht="12.75" x14ac:dyDescent="0.2"/>
    <row r="7436" customFormat="1" ht="12.75" x14ac:dyDescent="0.2"/>
    <row r="7437" customFormat="1" ht="12.75" x14ac:dyDescent="0.2"/>
    <row r="7438" customFormat="1" ht="12.75" x14ac:dyDescent="0.2"/>
    <row r="7439" customFormat="1" ht="12.75" x14ac:dyDescent="0.2"/>
    <row r="7440" customFormat="1" ht="12.75" x14ac:dyDescent="0.2"/>
    <row r="7441" customFormat="1" ht="12.75" x14ac:dyDescent="0.2"/>
    <row r="7442" customFormat="1" ht="12.75" x14ac:dyDescent="0.2"/>
    <row r="7443" customFormat="1" ht="12.75" x14ac:dyDescent="0.2"/>
    <row r="7444" customFormat="1" ht="12.75" x14ac:dyDescent="0.2"/>
    <row r="7445" customFormat="1" ht="12.75" x14ac:dyDescent="0.2"/>
    <row r="7446" customFormat="1" ht="12.75" x14ac:dyDescent="0.2"/>
    <row r="7447" customFormat="1" ht="12.75" x14ac:dyDescent="0.2"/>
    <row r="7448" customFormat="1" ht="12.75" x14ac:dyDescent="0.2"/>
    <row r="7449" customFormat="1" ht="12.75" x14ac:dyDescent="0.2"/>
    <row r="7450" customFormat="1" ht="12.75" x14ac:dyDescent="0.2"/>
    <row r="7451" customFormat="1" ht="12.75" x14ac:dyDescent="0.2"/>
    <row r="7452" customFormat="1" ht="12.75" x14ac:dyDescent="0.2"/>
    <row r="7453" customFormat="1" ht="12.75" x14ac:dyDescent="0.2"/>
    <row r="7454" customFormat="1" ht="12.75" x14ac:dyDescent="0.2"/>
    <row r="7455" customFormat="1" ht="12.75" x14ac:dyDescent="0.2"/>
    <row r="7456" customFormat="1" ht="12.75" x14ac:dyDescent="0.2"/>
    <row r="7457" customFormat="1" ht="12.75" x14ac:dyDescent="0.2"/>
    <row r="7458" customFormat="1" ht="12.75" x14ac:dyDescent="0.2"/>
    <row r="7459" customFormat="1" ht="12.75" x14ac:dyDescent="0.2"/>
    <row r="7460" customFormat="1" ht="12.75" x14ac:dyDescent="0.2"/>
    <row r="7461" customFormat="1" ht="12.75" x14ac:dyDescent="0.2"/>
    <row r="7462" customFormat="1" ht="12.75" x14ac:dyDescent="0.2"/>
    <row r="7463" customFormat="1" ht="12.75" x14ac:dyDescent="0.2"/>
    <row r="7464" customFormat="1" ht="12.75" x14ac:dyDescent="0.2"/>
    <row r="7465" customFormat="1" ht="12.75" x14ac:dyDescent="0.2"/>
    <row r="7466" customFormat="1" ht="12.75" x14ac:dyDescent="0.2"/>
    <row r="7467" customFormat="1" ht="12.75" x14ac:dyDescent="0.2"/>
    <row r="7468" customFormat="1" ht="12.75" x14ac:dyDescent="0.2"/>
    <row r="7469" customFormat="1" ht="12.75" x14ac:dyDescent="0.2"/>
    <row r="7470" customFormat="1" ht="12.75" x14ac:dyDescent="0.2"/>
    <row r="7471" customFormat="1" ht="12.75" x14ac:dyDescent="0.2"/>
    <row r="7472" customFormat="1" ht="12.75" x14ac:dyDescent="0.2"/>
    <row r="7473" customFormat="1" ht="12.75" x14ac:dyDescent="0.2"/>
    <row r="7474" customFormat="1" ht="12.75" x14ac:dyDescent="0.2"/>
    <row r="7475" customFormat="1" ht="12.75" x14ac:dyDescent="0.2"/>
    <row r="7476" customFormat="1" ht="12.75" x14ac:dyDescent="0.2"/>
    <row r="7477" customFormat="1" ht="12.75" x14ac:dyDescent="0.2"/>
    <row r="7478" customFormat="1" ht="12.75" x14ac:dyDescent="0.2"/>
    <row r="7479" customFormat="1" ht="12.75" x14ac:dyDescent="0.2"/>
    <row r="7480" customFormat="1" ht="12.75" x14ac:dyDescent="0.2"/>
    <row r="7481" customFormat="1" ht="12.75" x14ac:dyDescent="0.2"/>
    <row r="7482" customFormat="1" ht="12.75" x14ac:dyDescent="0.2"/>
    <row r="7483" customFormat="1" ht="12.75" x14ac:dyDescent="0.2"/>
    <row r="7484" customFormat="1" ht="12.75" x14ac:dyDescent="0.2"/>
    <row r="7485" customFormat="1" ht="12.75" x14ac:dyDescent="0.2"/>
    <row r="7486" customFormat="1" ht="12.75" x14ac:dyDescent="0.2"/>
    <row r="7487" customFormat="1" ht="12.75" x14ac:dyDescent="0.2"/>
    <row r="7488" customFormat="1" ht="12.75" x14ac:dyDescent="0.2"/>
    <row r="7489" customFormat="1" ht="12.75" x14ac:dyDescent="0.2"/>
    <row r="7490" customFormat="1" ht="12.75" x14ac:dyDescent="0.2"/>
    <row r="7491" customFormat="1" ht="12.75" x14ac:dyDescent="0.2"/>
    <row r="7492" customFormat="1" ht="12.75" x14ac:dyDescent="0.2"/>
    <row r="7493" customFormat="1" ht="12.75" x14ac:dyDescent="0.2"/>
    <row r="7494" customFormat="1" ht="12.75" x14ac:dyDescent="0.2"/>
    <row r="7495" customFormat="1" ht="12.75" x14ac:dyDescent="0.2"/>
    <row r="7496" customFormat="1" ht="12.75" x14ac:dyDescent="0.2"/>
    <row r="7497" customFormat="1" ht="12.75" x14ac:dyDescent="0.2"/>
    <row r="7498" customFormat="1" ht="12.75" x14ac:dyDescent="0.2"/>
    <row r="7499" customFormat="1" ht="12.75" x14ac:dyDescent="0.2"/>
    <row r="7500" customFormat="1" ht="12.75" x14ac:dyDescent="0.2"/>
    <row r="7501" customFormat="1" ht="12.75" x14ac:dyDescent="0.2"/>
    <row r="7502" customFormat="1" ht="12.75" x14ac:dyDescent="0.2"/>
    <row r="7503" customFormat="1" ht="12.75" x14ac:dyDescent="0.2"/>
    <row r="7504" customFormat="1" ht="12.75" x14ac:dyDescent="0.2"/>
    <row r="7505" customFormat="1" ht="12.75" x14ac:dyDescent="0.2"/>
    <row r="7506" customFormat="1" ht="12.75" x14ac:dyDescent="0.2"/>
    <row r="7507" customFormat="1" ht="12.75" x14ac:dyDescent="0.2"/>
    <row r="7508" customFormat="1" ht="12.75" x14ac:dyDescent="0.2"/>
    <row r="7509" customFormat="1" ht="12.75" x14ac:dyDescent="0.2"/>
    <row r="7510" customFormat="1" ht="12.75" x14ac:dyDescent="0.2"/>
    <row r="7511" customFormat="1" ht="12.75" x14ac:dyDescent="0.2"/>
    <row r="7512" customFormat="1" ht="12.75" x14ac:dyDescent="0.2"/>
    <row r="7513" customFormat="1" ht="12.75" x14ac:dyDescent="0.2"/>
    <row r="7514" customFormat="1" ht="12.75" x14ac:dyDescent="0.2"/>
    <row r="7515" customFormat="1" ht="12.75" x14ac:dyDescent="0.2"/>
    <row r="7516" customFormat="1" ht="12.75" x14ac:dyDescent="0.2"/>
    <row r="7517" customFormat="1" ht="12.75" x14ac:dyDescent="0.2"/>
    <row r="7518" customFormat="1" ht="12.75" x14ac:dyDescent="0.2"/>
    <row r="7519" customFormat="1" ht="12.75" x14ac:dyDescent="0.2"/>
    <row r="7520" customFormat="1" ht="12.75" x14ac:dyDescent="0.2"/>
    <row r="7521" customFormat="1" ht="12.75" x14ac:dyDescent="0.2"/>
    <row r="7522" customFormat="1" ht="12.75" x14ac:dyDescent="0.2"/>
    <row r="7523" customFormat="1" ht="12.75" x14ac:dyDescent="0.2"/>
    <row r="7524" customFormat="1" ht="12.75" x14ac:dyDescent="0.2"/>
    <row r="7525" customFormat="1" ht="12.75" x14ac:dyDescent="0.2"/>
    <row r="7526" customFormat="1" ht="12.75" x14ac:dyDescent="0.2"/>
    <row r="7527" customFormat="1" ht="12.75" x14ac:dyDescent="0.2"/>
    <row r="7528" customFormat="1" ht="12.75" x14ac:dyDescent="0.2"/>
    <row r="7529" customFormat="1" ht="12.75" x14ac:dyDescent="0.2"/>
    <row r="7530" customFormat="1" ht="12.75" x14ac:dyDescent="0.2"/>
    <row r="7531" customFormat="1" ht="12.75" x14ac:dyDescent="0.2"/>
    <row r="7532" customFormat="1" ht="12.75" x14ac:dyDescent="0.2"/>
    <row r="7533" customFormat="1" ht="12.75" x14ac:dyDescent="0.2"/>
    <row r="7534" customFormat="1" ht="12.75" x14ac:dyDescent="0.2"/>
    <row r="7535" customFormat="1" ht="12.75" x14ac:dyDescent="0.2"/>
    <row r="7536" customFormat="1" ht="12.75" x14ac:dyDescent="0.2"/>
    <row r="7537" customFormat="1" ht="12.75" x14ac:dyDescent="0.2"/>
    <row r="7538" customFormat="1" ht="12.75" x14ac:dyDescent="0.2"/>
    <row r="7539" customFormat="1" ht="12.75" x14ac:dyDescent="0.2"/>
    <row r="7540" customFormat="1" ht="12.75" x14ac:dyDescent="0.2"/>
    <row r="7541" customFormat="1" ht="12.75" x14ac:dyDescent="0.2"/>
    <row r="7542" customFormat="1" ht="12.75" x14ac:dyDescent="0.2"/>
    <row r="7543" customFormat="1" ht="12.75" x14ac:dyDescent="0.2"/>
    <row r="7544" customFormat="1" ht="12.75" x14ac:dyDescent="0.2"/>
    <row r="7545" customFormat="1" ht="12.75" x14ac:dyDescent="0.2"/>
    <row r="7546" customFormat="1" ht="12.75" x14ac:dyDescent="0.2"/>
    <row r="7547" customFormat="1" ht="12.75" x14ac:dyDescent="0.2"/>
    <row r="7548" customFormat="1" ht="12.75" x14ac:dyDescent="0.2"/>
    <row r="7549" customFormat="1" ht="12.75" x14ac:dyDescent="0.2"/>
    <row r="7550" customFormat="1" ht="12.75" x14ac:dyDescent="0.2"/>
    <row r="7551" customFormat="1" ht="12.75" x14ac:dyDescent="0.2"/>
    <row r="7552" customFormat="1" ht="12.75" x14ac:dyDescent="0.2"/>
    <row r="7553" customFormat="1" ht="12.75" x14ac:dyDescent="0.2"/>
    <row r="7554" customFormat="1" ht="12.75" x14ac:dyDescent="0.2"/>
    <row r="7555" customFormat="1" ht="12.75" x14ac:dyDescent="0.2"/>
    <row r="7556" customFormat="1" ht="12.75" x14ac:dyDescent="0.2"/>
    <row r="7557" customFormat="1" ht="12.75" x14ac:dyDescent="0.2"/>
    <row r="7558" customFormat="1" ht="12.75" x14ac:dyDescent="0.2"/>
    <row r="7559" customFormat="1" ht="12.75" x14ac:dyDescent="0.2"/>
    <row r="7560" customFormat="1" ht="12.75" x14ac:dyDescent="0.2"/>
    <row r="7561" customFormat="1" ht="12.75" x14ac:dyDescent="0.2"/>
    <row r="7562" customFormat="1" ht="12.75" x14ac:dyDescent="0.2"/>
    <row r="7563" customFormat="1" ht="12.75" x14ac:dyDescent="0.2"/>
    <row r="7564" customFormat="1" ht="12.75" x14ac:dyDescent="0.2"/>
    <row r="7565" customFormat="1" ht="12.75" x14ac:dyDescent="0.2"/>
    <row r="7566" customFormat="1" ht="12.75" x14ac:dyDescent="0.2"/>
    <row r="7567" customFormat="1" ht="12.75" x14ac:dyDescent="0.2"/>
    <row r="7568" customFormat="1" ht="12.75" x14ac:dyDescent="0.2"/>
    <row r="7569" customFormat="1" ht="12.75" x14ac:dyDescent="0.2"/>
    <row r="7570" customFormat="1" ht="12.75" x14ac:dyDescent="0.2"/>
    <row r="7571" customFormat="1" ht="12.75" x14ac:dyDescent="0.2"/>
    <row r="7572" customFormat="1" ht="12.75" x14ac:dyDescent="0.2"/>
    <row r="7573" customFormat="1" ht="12.75" x14ac:dyDescent="0.2"/>
    <row r="7574" customFormat="1" ht="12.75" x14ac:dyDescent="0.2"/>
    <row r="7575" customFormat="1" ht="12.75" x14ac:dyDescent="0.2"/>
    <row r="7576" customFormat="1" ht="12.75" x14ac:dyDescent="0.2"/>
    <row r="7577" customFormat="1" ht="12.75" x14ac:dyDescent="0.2"/>
    <row r="7578" customFormat="1" ht="12.75" x14ac:dyDescent="0.2"/>
    <row r="7579" customFormat="1" ht="12.75" x14ac:dyDescent="0.2"/>
    <row r="7580" customFormat="1" ht="12.75" x14ac:dyDescent="0.2"/>
    <row r="7581" customFormat="1" ht="12.75" x14ac:dyDescent="0.2"/>
    <row r="7582" customFormat="1" ht="12.75" x14ac:dyDescent="0.2"/>
    <row r="7583" customFormat="1" ht="12.75" x14ac:dyDescent="0.2"/>
    <row r="7584" customFormat="1" ht="12.75" x14ac:dyDescent="0.2"/>
    <row r="7585" customFormat="1" ht="12.75" x14ac:dyDescent="0.2"/>
    <row r="7586" customFormat="1" ht="12.75" x14ac:dyDescent="0.2"/>
    <row r="7587" customFormat="1" ht="12.75" x14ac:dyDescent="0.2"/>
    <row r="7588" customFormat="1" ht="12.75" x14ac:dyDescent="0.2"/>
    <row r="7589" customFormat="1" ht="12.75" x14ac:dyDescent="0.2"/>
    <row r="7590" customFormat="1" ht="12.75" x14ac:dyDescent="0.2"/>
    <row r="7591" customFormat="1" ht="12.75" x14ac:dyDescent="0.2"/>
    <row r="7592" customFormat="1" ht="12.75" x14ac:dyDescent="0.2"/>
    <row r="7593" customFormat="1" ht="12.75" x14ac:dyDescent="0.2"/>
    <row r="7594" customFormat="1" ht="12.75" x14ac:dyDescent="0.2"/>
    <row r="7595" customFormat="1" ht="12.75" x14ac:dyDescent="0.2"/>
    <row r="7596" customFormat="1" ht="12.75" x14ac:dyDescent="0.2"/>
    <row r="7597" customFormat="1" ht="12.75" x14ac:dyDescent="0.2"/>
    <row r="7598" customFormat="1" ht="12.75" x14ac:dyDescent="0.2"/>
    <row r="7599" customFormat="1" ht="12.75" x14ac:dyDescent="0.2"/>
    <row r="7600" customFormat="1" ht="12.75" x14ac:dyDescent="0.2"/>
    <row r="7601" customFormat="1" ht="12.75" x14ac:dyDescent="0.2"/>
    <row r="7602" customFormat="1" ht="12.75" x14ac:dyDescent="0.2"/>
    <row r="7603" customFormat="1" ht="12.75" x14ac:dyDescent="0.2"/>
    <row r="7604" customFormat="1" ht="12.75" x14ac:dyDescent="0.2"/>
    <row r="7605" customFormat="1" ht="12.75" x14ac:dyDescent="0.2"/>
    <row r="7606" customFormat="1" ht="12.75" x14ac:dyDescent="0.2"/>
    <row r="7607" customFormat="1" ht="12.75" x14ac:dyDescent="0.2"/>
    <row r="7608" customFormat="1" ht="12.75" x14ac:dyDescent="0.2"/>
    <row r="7609" customFormat="1" ht="12.75" x14ac:dyDescent="0.2"/>
    <row r="7610" customFormat="1" ht="12.75" x14ac:dyDescent="0.2"/>
    <row r="7611" customFormat="1" ht="12.75" x14ac:dyDescent="0.2"/>
    <row r="7612" customFormat="1" ht="12.75" x14ac:dyDescent="0.2"/>
    <row r="7613" customFormat="1" ht="12.75" x14ac:dyDescent="0.2"/>
    <row r="7614" customFormat="1" ht="12.75" x14ac:dyDescent="0.2"/>
    <row r="7615" customFormat="1" ht="12.75" x14ac:dyDescent="0.2"/>
    <row r="7616" customFormat="1" ht="12.75" x14ac:dyDescent="0.2"/>
    <row r="7617" customFormat="1" ht="12.75" x14ac:dyDescent="0.2"/>
    <row r="7618" customFormat="1" ht="12.75" x14ac:dyDescent="0.2"/>
    <row r="7619" customFormat="1" ht="12.75" x14ac:dyDescent="0.2"/>
    <row r="7620" customFormat="1" ht="12.75" x14ac:dyDescent="0.2"/>
    <row r="7621" customFormat="1" ht="12.75" x14ac:dyDescent="0.2"/>
    <row r="7622" customFormat="1" ht="12.75" x14ac:dyDescent="0.2"/>
    <row r="7623" customFormat="1" ht="12.75" x14ac:dyDescent="0.2"/>
    <row r="7624" customFormat="1" ht="12.75" x14ac:dyDescent="0.2"/>
    <row r="7625" customFormat="1" ht="12.75" x14ac:dyDescent="0.2"/>
    <row r="7626" customFormat="1" ht="12.75" x14ac:dyDescent="0.2"/>
    <row r="7627" customFormat="1" ht="12.75" x14ac:dyDescent="0.2"/>
    <row r="7628" customFormat="1" ht="12.75" x14ac:dyDescent="0.2"/>
    <row r="7629" customFormat="1" ht="12.75" x14ac:dyDescent="0.2"/>
    <row r="7630" customFormat="1" ht="12.75" x14ac:dyDescent="0.2"/>
    <row r="7631" customFormat="1" ht="12.75" x14ac:dyDescent="0.2"/>
    <row r="7632" customFormat="1" ht="12.75" x14ac:dyDescent="0.2"/>
    <row r="7633" customFormat="1" ht="12.75" x14ac:dyDescent="0.2"/>
    <row r="7634" customFormat="1" ht="12.75" x14ac:dyDescent="0.2"/>
    <row r="7635" customFormat="1" ht="12.75" x14ac:dyDescent="0.2"/>
    <row r="7636" customFormat="1" ht="12.75" x14ac:dyDescent="0.2"/>
    <row r="7637" customFormat="1" ht="12.75" x14ac:dyDescent="0.2"/>
    <row r="7638" customFormat="1" ht="12.75" x14ac:dyDescent="0.2"/>
    <row r="7639" customFormat="1" ht="12.75" x14ac:dyDescent="0.2"/>
    <row r="7640" customFormat="1" ht="12.75" x14ac:dyDescent="0.2"/>
    <row r="7641" customFormat="1" ht="12.75" x14ac:dyDescent="0.2"/>
    <row r="7642" customFormat="1" ht="12.75" x14ac:dyDescent="0.2"/>
    <row r="7643" customFormat="1" ht="12.75" x14ac:dyDescent="0.2"/>
    <row r="7644" customFormat="1" ht="12.75" x14ac:dyDescent="0.2"/>
    <row r="7645" customFormat="1" ht="12.75" x14ac:dyDescent="0.2"/>
    <row r="7646" customFormat="1" ht="12.75" x14ac:dyDescent="0.2"/>
    <row r="7647" customFormat="1" ht="12.75" x14ac:dyDescent="0.2"/>
    <row r="7648" customFormat="1" ht="12.75" x14ac:dyDescent="0.2"/>
    <row r="7649" customFormat="1" ht="12.75" x14ac:dyDescent="0.2"/>
    <row r="7650" customFormat="1" ht="12.75" x14ac:dyDescent="0.2"/>
    <row r="7651" customFormat="1" ht="12.75" x14ac:dyDescent="0.2"/>
    <row r="7652" customFormat="1" ht="12.75" x14ac:dyDescent="0.2"/>
    <row r="7653" customFormat="1" ht="12.75" x14ac:dyDescent="0.2"/>
    <row r="7654" customFormat="1" ht="12.75" x14ac:dyDescent="0.2"/>
    <row r="7655" customFormat="1" ht="12.75" x14ac:dyDescent="0.2"/>
    <row r="7656" customFormat="1" ht="12.75" x14ac:dyDescent="0.2"/>
    <row r="7657" customFormat="1" ht="12.75" x14ac:dyDescent="0.2"/>
    <row r="7658" customFormat="1" ht="12.75" x14ac:dyDescent="0.2"/>
    <row r="7659" customFormat="1" ht="12.75" x14ac:dyDescent="0.2"/>
    <row r="7660" customFormat="1" ht="12.75" x14ac:dyDescent="0.2"/>
    <row r="7661" customFormat="1" ht="12.75" x14ac:dyDescent="0.2"/>
    <row r="7662" customFormat="1" ht="12.75" x14ac:dyDescent="0.2"/>
    <row r="7663" customFormat="1" ht="12.75" x14ac:dyDescent="0.2"/>
    <row r="7664" customFormat="1" ht="12.75" x14ac:dyDescent="0.2"/>
    <row r="7665" customFormat="1" ht="12.75" x14ac:dyDescent="0.2"/>
    <row r="7666" customFormat="1" ht="12.75" x14ac:dyDescent="0.2"/>
    <row r="7667" customFormat="1" ht="12.75" x14ac:dyDescent="0.2"/>
    <row r="7668" customFormat="1" ht="12.75" x14ac:dyDescent="0.2"/>
    <row r="7669" customFormat="1" ht="12.75" x14ac:dyDescent="0.2"/>
    <row r="7670" customFormat="1" ht="12.75" x14ac:dyDescent="0.2"/>
    <row r="7671" customFormat="1" ht="12.75" x14ac:dyDescent="0.2"/>
    <row r="7672" customFormat="1" ht="12.75" x14ac:dyDescent="0.2"/>
    <row r="7673" customFormat="1" ht="12.75" x14ac:dyDescent="0.2"/>
    <row r="7674" customFormat="1" ht="12.75" x14ac:dyDescent="0.2"/>
    <row r="7675" customFormat="1" ht="12.75" x14ac:dyDescent="0.2"/>
    <row r="7676" customFormat="1" ht="12.75" x14ac:dyDescent="0.2"/>
    <row r="7677" customFormat="1" ht="12.75" x14ac:dyDescent="0.2"/>
    <row r="7678" customFormat="1" ht="12.75" x14ac:dyDescent="0.2"/>
    <row r="7679" customFormat="1" ht="12.75" x14ac:dyDescent="0.2"/>
    <row r="7680" customFormat="1" ht="12.75" x14ac:dyDescent="0.2"/>
    <row r="7681" customFormat="1" ht="12.75" x14ac:dyDescent="0.2"/>
    <row r="7682" customFormat="1" ht="12.75" x14ac:dyDescent="0.2"/>
    <row r="7683" customFormat="1" ht="12.75" x14ac:dyDescent="0.2"/>
    <row r="7684" customFormat="1" ht="12.75" x14ac:dyDescent="0.2"/>
    <row r="7685" customFormat="1" ht="12.75" x14ac:dyDescent="0.2"/>
    <row r="7686" customFormat="1" ht="12.75" x14ac:dyDescent="0.2"/>
    <row r="7687" customFormat="1" ht="12.75" x14ac:dyDescent="0.2"/>
    <row r="7688" customFormat="1" ht="12.75" x14ac:dyDescent="0.2"/>
    <row r="7689" customFormat="1" ht="12.75" x14ac:dyDescent="0.2"/>
    <row r="7690" customFormat="1" ht="12.75" x14ac:dyDescent="0.2"/>
    <row r="7691" customFormat="1" ht="12.75" x14ac:dyDescent="0.2"/>
    <row r="7692" customFormat="1" ht="12.75" x14ac:dyDescent="0.2"/>
    <row r="7693" customFormat="1" ht="12.75" x14ac:dyDescent="0.2"/>
    <row r="7694" customFormat="1" ht="12.75" x14ac:dyDescent="0.2"/>
    <row r="7695" customFormat="1" ht="12.75" x14ac:dyDescent="0.2"/>
    <row r="7696" customFormat="1" ht="12.75" x14ac:dyDescent="0.2"/>
    <row r="7697" customFormat="1" ht="12.75" x14ac:dyDescent="0.2"/>
    <row r="7698" customFormat="1" ht="12.75" x14ac:dyDescent="0.2"/>
    <row r="7699" customFormat="1" ht="12.75" x14ac:dyDescent="0.2"/>
    <row r="7700" customFormat="1" ht="12.75" x14ac:dyDescent="0.2"/>
    <row r="7701" customFormat="1" ht="12.75" x14ac:dyDescent="0.2"/>
    <row r="7702" customFormat="1" ht="12.75" x14ac:dyDescent="0.2"/>
    <row r="7703" customFormat="1" ht="12.75" x14ac:dyDescent="0.2"/>
    <row r="7704" customFormat="1" ht="12.75" x14ac:dyDescent="0.2"/>
    <row r="7705" customFormat="1" ht="12.75" x14ac:dyDescent="0.2"/>
    <row r="7706" customFormat="1" ht="12.75" x14ac:dyDescent="0.2"/>
    <row r="7707" customFormat="1" ht="12.75" x14ac:dyDescent="0.2"/>
    <row r="7708" customFormat="1" ht="12.75" x14ac:dyDescent="0.2"/>
    <row r="7709" customFormat="1" ht="12.75" x14ac:dyDescent="0.2"/>
    <row r="7710" customFormat="1" ht="12.75" x14ac:dyDescent="0.2"/>
    <row r="7711" customFormat="1" ht="12.75" x14ac:dyDescent="0.2"/>
    <row r="7712" customFormat="1" ht="12.75" x14ac:dyDescent="0.2"/>
    <row r="7713" customFormat="1" ht="12.75" x14ac:dyDescent="0.2"/>
    <row r="7714" customFormat="1" ht="12.75" x14ac:dyDescent="0.2"/>
    <row r="7715" customFormat="1" ht="12.75" x14ac:dyDescent="0.2"/>
    <row r="7716" customFormat="1" ht="12.75" x14ac:dyDescent="0.2"/>
    <row r="7717" customFormat="1" ht="12.75" x14ac:dyDescent="0.2"/>
    <row r="7718" customFormat="1" ht="12.75" x14ac:dyDescent="0.2"/>
    <row r="7719" customFormat="1" ht="12.75" x14ac:dyDescent="0.2"/>
    <row r="7720" customFormat="1" ht="12.75" x14ac:dyDescent="0.2"/>
    <row r="7721" customFormat="1" ht="12.75" x14ac:dyDescent="0.2"/>
    <row r="7722" customFormat="1" ht="12.75" x14ac:dyDescent="0.2"/>
    <row r="7723" customFormat="1" ht="12.75" x14ac:dyDescent="0.2"/>
    <row r="7724" customFormat="1" ht="12.75" x14ac:dyDescent="0.2"/>
    <row r="7725" customFormat="1" ht="12.75" x14ac:dyDescent="0.2"/>
    <row r="7726" customFormat="1" ht="12.75" x14ac:dyDescent="0.2"/>
    <row r="7727" customFormat="1" ht="12.75" x14ac:dyDescent="0.2"/>
    <row r="7728" customFormat="1" ht="12.75" x14ac:dyDescent="0.2"/>
    <row r="7729" customFormat="1" ht="12.75" x14ac:dyDescent="0.2"/>
    <row r="7730" customFormat="1" ht="12.75" x14ac:dyDescent="0.2"/>
    <row r="7731" customFormat="1" ht="12.75" x14ac:dyDescent="0.2"/>
    <row r="7732" customFormat="1" ht="12.75" x14ac:dyDescent="0.2"/>
    <row r="7733" customFormat="1" ht="12.75" x14ac:dyDescent="0.2"/>
    <row r="7734" customFormat="1" ht="12.75" x14ac:dyDescent="0.2"/>
    <row r="7735" customFormat="1" ht="12.75" x14ac:dyDescent="0.2"/>
    <row r="7736" customFormat="1" ht="12.75" x14ac:dyDescent="0.2"/>
    <row r="7737" customFormat="1" ht="12.75" x14ac:dyDescent="0.2"/>
    <row r="7738" customFormat="1" ht="12.75" x14ac:dyDescent="0.2"/>
    <row r="7739" customFormat="1" ht="12.75" x14ac:dyDescent="0.2"/>
    <row r="7740" customFormat="1" ht="12.75" x14ac:dyDescent="0.2"/>
    <row r="7741" customFormat="1" ht="12.75" x14ac:dyDescent="0.2"/>
    <row r="7742" customFormat="1" ht="12.75" x14ac:dyDescent="0.2"/>
    <row r="7743" customFormat="1" ht="12.75" x14ac:dyDescent="0.2"/>
    <row r="7744" customFormat="1" ht="12.75" x14ac:dyDescent="0.2"/>
    <row r="7745" customFormat="1" ht="12.75" x14ac:dyDescent="0.2"/>
    <row r="7746" customFormat="1" ht="12.75" x14ac:dyDescent="0.2"/>
    <row r="7747" customFormat="1" ht="12.75" x14ac:dyDescent="0.2"/>
    <row r="7748" customFormat="1" ht="12.75" x14ac:dyDescent="0.2"/>
    <row r="7749" customFormat="1" ht="12.75" x14ac:dyDescent="0.2"/>
    <row r="7750" customFormat="1" ht="12.75" x14ac:dyDescent="0.2"/>
    <row r="7751" customFormat="1" ht="12.75" x14ac:dyDescent="0.2"/>
    <row r="7752" customFormat="1" ht="12.75" x14ac:dyDescent="0.2"/>
    <row r="7753" customFormat="1" ht="12.75" x14ac:dyDescent="0.2"/>
    <row r="7754" customFormat="1" ht="12.75" x14ac:dyDescent="0.2"/>
    <row r="7755" customFormat="1" ht="12.75" x14ac:dyDescent="0.2"/>
    <row r="7756" customFormat="1" ht="12.75" x14ac:dyDescent="0.2"/>
    <row r="7757" customFormat="1" ht="12.75" x14ac:dyDescent="0.2"/>
    <row r="7758" customFormat="1" ht="12.75" x14ac:dyDescent="0.2"/>
    <row r="7759" customFormat="1" ht="12.75" x14ac:dyDescent="0.2"/>
    <row r="7760" customFormat="1" ht="12.75" x14ac:dyDescent="0.2"/>
    <row r="7761" customFormat="1" ht="12.75" x14ac:dyDescent="0.2"/>
    <row r="7762" customFormat="1" ht="12.75" x14ac:dyDescent="0.2"/>
    <row r="7763" customFormat="1" ht="12.75" x14ac:dyDescent="0.2"/>
    <row r="7764" customFormat="1" ht="12.75" x14ac:dyDescent="0.2"/>
    <row r="7765" customFormat="1" ht="12.75" x14ac:dyDescent="0.2"/>
    <row r="7766" customFormat="1" ht="12.75" x14ac:dyDescent="0.2"/>
    <row r="7767" customFormat="1" ht="12.75" x14ac:dyDescent="0.2"/>
    <row r="7768" customFormat="1" ht="12.75" x14ac:dyDescent="0.2"/>
    <row r="7769" customFormat="1" ht="12.75" x14ac:dyDescent="0.2"/>
    <row r="7770" customFormat="1" ht="12.75" x14ac:dyDescent="0.2"/>
    <row r="7771" customFormat="1" ht="12.75" x14ac:dyDescent="0.2"/>
    <row r="7772" customFormat="1" ht="12.75" x14ac:dyDescent="0.2"/>
    <row r="7773" customFormat="1" ht="12.75" x14ac:dyDescent="0.2"/>
    <row r="7774" customFormat="1" ht="12.75" x14ac:dyDescent="0.2"/>
    <row r="7775" customFormat="1" ht="12.75" x14ac:dyDescent="0.2"/>
    <row r="7776" customFormat="1" ht="12.75" x14ac:dyDescent="0.2"/>
    <row r="7777" customFormat="1" ht="12.75" x14ac:dyDescent="0.2"/>
    <row r="7778" customFormat="1" ht="12.75" x14ac:dyDescent="0.2"/>
    <row r="7779" customFormat="1" ht="12.75" x14ac:dyDescent="0.2"/>
    <row r="7780" customFormat="1" ht="12.75" x14ac:dyDescent="0.2"/>
    <row r="7781" customFormat="1" ht="12.75" x14ac:dyDescent="0.2"/>
    <row r="7782" customFormat="1" ht="12.75" x14ac:dyDescent="0.2"/>
    <row r="7783" customFormat="1" ht="12.75" x14ac:dyDescent="0.2"/>
    <row r="7784" customFormat="1" ht="12.75" x14ac:dyDescent="0.2"/>
    <row r="7785" customFormat="1" ht="12.75" x14ac:dyDescent="0.2"/>
    <row r="7786" customFormat="1" ht="12.75" x14ac:dyDescent="0.2"/>
    <row r="7787" customFormat="1" ht="12.75" x14ac:dyDescent="0.2"/>
    <row r="7788" customFormat="1" ht="12.75" x14ac:dyDescent="0.2"/>
    <row r="7789" customFormat="1" ht="12.75" x14ac:dyDescent="0.2"/>
    <row r="7790" customFormat="1" ht="12.75" x14ac:dyDescent="0.2"/>
    <row r="7791" customFormat="1" ht="12.75" x14ac:dyDescent="0.2"/>
    <row r="7792" customFormat="1" ht="12.75" x14ac:dyDescent="0.2"/>
    <row r="7793" customFormat="1" ht="12.75" x14ac:dyDescent="0.2"/>
    <row r="7794" customFormat="1" ht="12.75" x14ac:dyDescent="0.2"/>
    <row r="7795" customFormat="1" ht="12.75" x14ac:dyDescent="0.2"/>
    <row r="7796" customFormat="1" ht="12.75" x14ac:dyDescent="0.2"/>
    <row r="7797" customFormat="1" ht="12.75" x14ac:dyDescent="0.2"/>
    <row r="7798" customFormat="1" ht="12.75" x14ac:dyDescent="0.2"/>
    <row r="7799" customFormat="1" ht="12.75" x14ac:dyDescent="0.2"/>
    <row r="7800" customFormat="1" ht="12.75" x14ac:dyDescent="0.2"/>
    <row r="7801" customFormat="1" ht="12.75" x14ac:dyDescent="0.2"/>
    <row r="7802" customFormat="1" ht="12.75" x14ac:dyDescent="0.2"/>
    <row r="7803" customFormat="1" ht="12.75" x14ac:dyDescent="0.2"/>
    <row r="7804" customFormat="1" ht="12.75" x14ac:dyDescent="0.2"/>
    <row r="7805" customFormat="1" ht="12.75" x14ac:dyDescent="0.2"/>
    <row r="7806" customFormat="1" ht="12.75" x14ac:dyDescent="0.2"/>
    <row r="7807" customFormat="1" ht="12.75" x14ac:dyDescent="0.2"/>
    <row r="7808" customFormat="1" ht="12.75" x14ac:dyDescent="0.2"/>
    <row r="7809" customFormat="1" ht="12.75" x14ac:dyDescent="0.2"/>
    <row r="7810" customFormat="1" ht="12.75" x14ac:dyDescent="0.2"/>
    <row r="7811" customFormat="1" ht="12.75" x14ac:dyDescent="0.2"/>
    <row r="7812" customFormat="1" ht="12.75" x14ac:dyDescent="0.2"/>
    <row r="7813" customFormat="1" ht="12.75" x14ac:dyDescent="0.2"/>
    <row r="7814" customFormat="1" ht="12.75" x14ac:dyDescent="0.2"/>
    <row r="7815" customFormat="1" ht="12.75" x14ac:dyDescent="0.2"/>
    <row r="7816" customFormat="1" ht="12.75" x14ac:dyDescent="0.2"/>
    <row r="7817" customFormat="1" ht="12.75" x14ac:dyDescent="0.2"/>
    <row r="7818" customFormat="1" ht="12.75" x14ac:dyDescent="0.2"/>
    <row r="7819" customFormat="1" ht="12.75" x14ac:dyDescent="0.2"/>
    <row r="7820" customFormat="1" ht="12.75" x14ac:dyDescent="0.2"/>
    <row r="7821" customFormat="1" ht="12.75" x14ac:dyDescent="0.2"/>
    <row r="7822" customFormat="1" ht="12.75" x14ac:dyDescent="0.2"/>
    <row r="7823" customFormat="1" ht="12.75" x14ac:dyDescent="0.2"/>
    <row r="7824" customFormat="1" ht="12.75" x14ac:dyDescent="0.2"/>
    <row r="7825" customFormat="1" ht="12.75" x14ac:dyDescent="0.2"/>
    <row r="7826" customFormat="1" ht="12.75" x14ac:dyDescent="0.2"/>
    <row r="7827" customFormat="1" ht="12.75" x14ac:dyDescent="0.2"/>
    <row r="7828" customFormat="1" ht="12.75" x14ac:dyDescent="0.2"/>
    <row r="7829" customFormat="1" ht="12.75" x14ac:dyDescent="0.2"/>
    <row r="7830" customFormat="1" ht="12.75" x14ac:dyDescent="0.2"/>
    <row r="7831" customFormat="1" ht="12.75" x14ac:dyDescent="0.2"/>
    <row r="7832" customFormat="1" ht="12.75" x14ac:dyDescent="0.2"/>
    <row r="7833" customFormat="1" ht="12.75" x14ac:dyDescent="0.2"/>
    <row r="7834" customFormat="1" ht="12.75" x14ac:dyDescent="0.2"/>
    <row r="7835" customFormat="1" ht="12.75" x14ac:dyDescent="0.2"/>
    <row r="7836" customFormat="1" ht="12.75" x14ac:dyDescent="0.2"/>
    <row r="7837" customFormat="1" ht="12.75" x14ac:dyDescent="0.2"/>
    <row r="7838" customFormat="1" ht="12.75" x14ac:dyDescent="0.2"/>
    <row r="7839" customFormat="1" ht="12.75" x14ac:dyDescent="0.2"/>
    <row r="7840" customFormat="1" ht="12.75" x14ac:dyDescent="0.2"/>
    <row r="7841" customFormat="1" ht="12.75" x14ac:dyDescent="0.2"/>
    <row r="7842" customFormat="1" ht="12.75" x14ac:dyDescent="0.2"/>
    <row r="7843" customFormat="1" ht="12.75" x14ac:dyDescent="0.2"/>
    <row r="7844" customFormat="1" ht="12.75" x14ac:dyDescent="0.2"/>
    <row r="7845" customFormat="1" ht="12.75" x14ac:dyDescent="0.2"/>
    <row r="7846" customFormat="1" ht="12.75" x14ac:dyDescent="0.2"/>
    <row r="7847" customFormat="1" ht="12.75" x14ac:dyDescent="0.2"/>
    <row r="7848" customFormat="1" ht="12.75" x14ac:dyDescent="0.2"/>
    <row r="7849" customFormat="1" ht="12.75" x14ac:dyDescent="0.2"/>
    <row r="7850" customFormat="1" ht="12.75" x14ac:dyDescent="0.2"/>
    <row r="7851" customFormat="1" ht="12.75" x14ac:dyDescent="0.2"/>
    <row r="7852" customFormat="1" ht="12.75" x14ac:dyDescent="0.2"/>
    <row r="7853" customFormat="1" ht="12.75" x14ac:dyDescent="0.2"/>
    <row r="7854" customFormat="1" ht="12.75" x14ac:dyDescent="0.2"/>
    <row r="7855" customFormat="1" ht="12.75" x14ac:dyDescent="0.2"/>
    <row r="7856" customFormat="1" ht="12.75" x14ac:dyDescent="0.2"/>
    <row r="7857" customFormat="1" ht="12.75" x14ac:dyDescent="0.2"/>
    <row r="7858" customFormat="1" ht="12.75" x14ac:dyDescent="0.2"/>
    <row r="7859" customFormat="1" ht="12.75" x14ac:dyDescent="0.2"/>
    <row r="7860" customFormat="1" ht="12.75" x14ac:dyDescent="0.2"/>
    <row r="7861" customFormat="1" ht="12.75" x14ac:dyDescent="0.2"/>
    <row r="7862" customFormat="1" ht="12.75" x14ac:dyDescent="0.2"/>
    <row r="7863" customFormat="1" ht="12.75" x14ac:dyDescent="0.2"/>
    <row r="7864" customFormat="1" ht="12.75" x14ac:dyDescent="0.2"/>
    <row r="7865" customFormat="1" ht="12.75" x14ac:dyDescent="0.2"/>
    <row r="7866" customFormat="1" ht="12.75" x14ac:dyDescent="0.2"/>
    <row r="7867" customFormat="1" ht="12.75" x14ac:dyDescent="0.2"/>
    <row r="7868" customFormat="1" ht="12.75" x14ac:dyDescent="0.2"/>
    <row r="7869" customFormat="1" ht="12.75" x14ac:dyDescent="0.2"/>
    <row r="7870" customFormat="1" ht="12.75" x14ac:dyDescent="0.2"/>
    <row r="7871" customFormat="1" ht="12.75" x14ac:dyDescent="0.2"/>
    <row r="7872" customFormat="1" ht="12.75" x14ac:dyDescent="0.2"/>
    <row r="7873" customFormat="1" ht="12.75" x14ac:dyDescent="0.2"/>
    <row r="7874" customFormat="1" ht="12.75" x14ac:dyDescent="0.2"/>
    <row r="7875" customFormat="1" ht="12.75" x14ac:dyDescent="0.2"/>
    <row r="7876" customFormat="1" ht="12.75" x14ac:dyDescent="0.2"/>
    <row r="7877" customFormat="1" ht="12.75" x14ac:dyDescent="0.2"/>
    <row r="7878" customFormat="1" ht="12.75" x14ac:dyDescent="0.2"/>
    <row r="7879" customFormat="1" ht="12.75" x14ac:dyDescent="0.2"/>
    <row r="7880" customFormat="1" ht="12.75" x14ac:dyDescent="0.2"/>
    <row r="7881" customFormat="1" ht="12.75" x14ac:dyDescent="0.2"/>
    <row r="7882" customFormat="1" ht="12.75" x14ac:dyDescent="0.2"/>
    <row r="7883" customFormat="1" ht="12.75" x14ac:dyDescent="0.2"/>
    <row r="7884" customFormat="1" ht="12.75" x14ac:dyDescent="0.2"/>
    <row r="7885" customFormat="1" ht="12.75" x14ac:dyDescent="0.2"/>
    <row r="7886" customFormat="1" ht="12.75" x14ac:dyDescent="0.2"/>
    <row r="7887" customFormat="1" ht="12.75" x14ac:dyDescent="0.2"/>
    <row r="7888" customFormat="1" ht="12.75" x14ac:dyDescent="0.2"/>
    <row r="7889" customFormat="1" ht="12.75" x14ac:dyDescent="0.2"/>
    <row r="7890" customFormat="1" ht="12.75" x14ac:dyDescent="0.2"/>
    <row r="7891" customFormat="1" ht="12.75" x14ac:dyDescent="0.2"/>
    <row r="7892" customFormat="1" ht="12.75" x14ac:dyDescent="0.2"/>
    <row r="7893" customFormat="1" ht="12.75" x14ac:dyDescent="0.2"/>
    <row r="7894" customFormat="1" ht="12.75" x14ac:dyDescent="0.2"/>
    <row r="7895" customFormat="1" ht="12.75" x14ac:dyDescent="0.2"/>
    <row r="7896" customFormat="1" ht="12.75" x14ac:dyDescent="0.2"/>
    <row r="7897" customFormat="1" ht="12.75" x14ac:dyDescent="0.2"/>
    <row r="7898" customFormat="1" ht="12.75" x14ac:dyDescent="0.2"/>
    <row r="7899" customFormat="1" ht="12.75" x14ac:dyDescent="0.2"/>
    <row r="7900" customFormat="1" ht="12.75" x14ac:dyDescent="0.2"/>
    <row r="7901" customFormat="1" ht="12.75" x14ac:dyDescent="0.2"/>
    <row r="7902" customFormat="1" ht="12.75" x14ac:dyDescent="0.2"/>
    <row r="7903" customFormat="1" ht="12.75" x14ac:dyDescent="0.2"/>
    <row r="7904" customFormat="1" ht="12.75" x14ac:dyDescent="0.2"/>
    <row r="7905" customFormat="1" ht="12.75" x14ac:dyDescent="0.2"/>
    <row r="7906" customFormat="1" ht="12.75" x14ac:dyDescent="0.2"/>
    <row r="7907" customFormat="1" ht="12.75" x14ac:dyDescent="0.2"/>
    <row r="7908" customFormat="1" ht="12.75" x14ac:dyDescent="0.2"/>
    <row r="7909" customFormat="1" ht="12.75" x14ac:dyDescent="0.2"/>
    <row r="7910" customFormat="1" ht="12.75" x14ac:dyDescent="0.2"/>
    <row r="7911" customFormat="1" ht="12.75" x14ac:dyDescent="0.2"/>
    <row r="7912" customFormat="1" ht="12.75" x14ac:dyDescent="0.2"/>
    <row r="7913" customFormat="1" ht="12.75" x14ac:dyDescent="0.2"/>
    <row r="7914" customFormat="1" ht="12.75" x14ac:dyDescent="0.2"/>
    <row r="7915" customFormat="1" ht="12.75" x14ac:dyDescent="0.2"/>
    <row r="7916" customFormat="1" ht="12.75" x14ac:dyDescent="0.2"/>
    <row r="7917" customFormat="1" ht="12.75" x14ac:dyDescent="0.2"/>
    <row r="7918" customFormat="1" ht="12.75" x14ac:dyDescent="0.2"/>
    <row r="7919" customFormat="1" ht="12.75" x14ac:dyDescent="0.2"/>
    <row r="7920" customFormat="1" ht="12.75" x14ac:dyDescent="0.2"/>
    <row r="7921" customFormat="1" ht="12.75" x14ac:dyDescent="0.2"/>
    <row r="7922" customFormat="1" ht="12.75" x14ac:dyDescent="0.2"/>
    <row r="7923" customFormat="1" ht="12.75" x14ac:dyDescent="0.2"/>
    <row r="7924" customFormat="1" ht="12.75" x14ac:dyDescent="0.2"/>
    <row r="7925" customFormat="1" ht="12.75" x14ac:dyDescent="0.2"/>
    <row r="7926" customFormat="1" ht="12.75" x14ac:dyDescent="0.2"/>
    <row r="7927" customFormat="1" ht="12.75" x14ac:dyDescent="0.2"/>
    <row r="7928" customFormat="1" ht="12.75" x14ac:dyDescent="0.2"/>
    <row r="7929" customFormat="1" ht="12.75" x14ac:dyDescent="0.2"/>
    <row r="7930" customFormat="1" ht="12.75" x14ac:dyDescent="0.2"/>
    <row r="7931" customFormat="1" ht="12.75" x14ac:dyDescent="0.2"/>
    <row r="7932" customFormat="1" ht="12.75" x14ac:dyDescent="0.2"/>
    <row r="7933" customFormat="1" ht="12.75" x14ac:dyDescent="0.2"/>
    <row r="7934" customFormat="1" ht="12.75" x14ac:dyDescent="0.2"/>
    <row r="7935" customFormat="1" ht="12.75" x14ac:dyDescent="0.2"/>
    <row r="7936" customFormat="1" ht="12.75" x14ac:dyDescent="0.2"/>
    <row r="7937" customFormat="1" ht="12.75" x14ac:dyDescent="0.2"/>
    <row r="7938" customFormat="1" ht="12.75" x14ac:dyDescent="0.2"/>
    <row r="7939" customFormat="1" ht="12.75" x14ac:dyDescent="0.2"/>
    <row r="7940" customFormat="1" ht="12.75" x14ac:dyDescent="0.2"/>
    <row r="7941" customFormat="1" ht="12.75" x14ac:dyDescent="0.2"/>
    <row r="7942" customFormat="1" ht="12.75" x14ac:dyDescent="0.2"/>
    <row r="7943" customFormat="1" ht="12.75" x14ac:dyDescent="0.2"/>
    <row r="7944" customFormat="1" ht="12.75" x14ac:dyDescent="0.2"/>
    <row r="7945" customFormat="1" ht="12.75" x14ac:dyDescent="0.2"/>
    <row r="7946" customFormat="1" ht="12.75" x14ac:dyDescent="0.2"/>
    <row r="7947" customFormat="1" ht="12.75" x14ac:dyDescent="0.2"/>
    <row r="7948" customFormat="1" ht="12.75" x14ac:dyDescent="0.2"/>
    <row r="7949" customFormat="1" ht="12.75" x14ac:dyDescent="0.2"/>
    <row r="7950" customFormat="1" ht="12.75" x14ac:dyDescent="0.2"/>
    <row r="7951" customFormat="1" ht="12.75" x14ac:dyDescent="0.2"/>
    <row r="7952" customFormat="1" ht="12.75" x14ac:dyDescent="0.2"/>
    <row r="7953" customFormat="1" ht="12.75" x14ac:dyDescent="0.2"/>
    <row r="7954" customFormat="1" ht="12.75" x14ac:dyDescent="0.2"/>
    <row r="7955" customFormat="1" ht="12.75" x14ac:dyDescent="0.2"/>
    <row r="7956" customFormat="1" ht="12.75" x14ac:dyDescent="0.2"/>
    <row r="7957" customFormat="1" ht="12.75" x14ac:dyDescent="0.2"/>
    <row r="7958" customFormat="1" ht="12.75" x14ac:dyDescent="0.2"/>
    <row r="7959" customFormat="1" ht="12.75" x14ac:dyDescent="0.2"/>
    <row r="7960" customFormat="1" ht="12.75" x14ac:dyDescent="0.2"/>
    <row r="7961" customFormat="1" ht="12.75" x14ac:dyDescent="0.2"/>
    <row r="7962" customFormat="1" ht="12.75" x14ac:dyDescent="0.2"/>
    <row r="7963" customFormat="1" ht="12.75" x14ac:dyDescent="0.2"/>
    <row r="7964" customFormat="1" ht="12.75" x14ac:dyDescent="0.2"/>
    <row r="7965" customFormat="1" ht="12.75" x14ac:dyDescent="0.2"/>
    <row r="7966" customFormat="1" ht="12.75" x14ac:dyDescent="0.2"/>
    <row r="7967" customFormat="1" ht="12.75" x14ac:dyDescent="0.2"/>
    <row r="7968" customFormat="1" ht="12.75" x14ac:dyDescent="0.2"/>
    <row r="7969" customFormat="1" ht="12.75" x14ac:dyDescent="0.2"/>
    <row r="7970" customFormat="1" ht="12.75" x14ac:dyDescent="0.2"/>
    <row r="7971" customFormat="1" ht="12.75" x14ac:dyDescent="0.2"/>
    <row r="7972" customFormat="1" ht="12.75" x14ac:dyDescent="0.2"/>
    <row r="7973" customFormat="1" ht="12.75" x14ac:dyDescent="0.2"/>
    <row r="7974" customFormat="1" ht="12.75" x14ac:dyDescent="0.2"/>
    <row r="7975" customFormat="1" ht="12.75" x14ac:dyDescent="0.2"/>
    <row r="7976" customFormat="1" ht="12.75" x14ac:dyDescent="0.2"/>
    <row r="7977" customFormat="1" ht="12.75" x14ac:dyDescent="0.2"/>
    <row r="7978" customFormat="1" ht="12.75" x14ac:dyDescent="0.2"/>
    <row r="7979" customFormat="1" ht="12.75" x14ac:dyDescent="0.2"/>
    <row r="7980" customFormat="1" ht="12.75" x14ac:dyDescent="0.2"/>
    <row r="7981" customFormat="1" ht="12.75" x14ac:dyDescent="0.2"/>
    <row r="7982" customFormat="1" ht="12.75" x14ac:dyDescent="0.2"/>
    <row r="7983" customFormat="1" ht="12.75" x14ac:dyDescent="0.2"/>
    <row r="7984" customFormat="1" ht="12.75" x14ac:dyDescent="0.2"/>
    <row r="7985" customFormat="1" ht="12.75" x14ac:dyDescent="0.2"/>
    <row r="7986" customFormat="1" ht="12.75" x14ac:dyDescent="0.2"/>
    <row r="7987" customFormat="1" ht="12.75" x14ac:dyDescent="0.2"/>
    <row r="7988" customFormat="1" ht="12.75" x14ac:dyDescent="0.2"/>
    <row r="7989" customFormat="1" ht="12.75" x14ac:dyDescent="0.2"/>
    <row r="7990" customFormat="1" ht="12.75" x14ac:dyDescent="0.2"/>
    <row r="7991" customFormat="1" ht="12.75" x14ac:dyDescent="0.2"/>
    <row r="7992" customFormat="1" ht="12.75" x14ac:dyDescent="0.2"/>
    <row r="7993" customFormat="1" ht="12.75" x14ac:dyDescent="0.2"/>
    <row r="7994" customFormat="1" ht="12.75" x14ac:dyDescent="0.2"/>
    <row r="7995" customFormat="1" ht="12.75" x14ac:dyDescent="0.2"/>
    <row r="7996" customFormat="1" ht="12.75" x14ac:dyDescent="0.2"/>
    <row r="7997" customFormat="1" ht="12.75" x14ac:dyDescent="0.2"/>
    <row r="7998" customFormat="1" ht="12.75" x14ac:dyDescent="0.2"/>
    <row r="7999" customFormat="1" ht="12.75" x14ac:dyDescent="0.2"/>
    <row r="8000" customFormat="1" ht="12.75" x14ac:dyDescent="0.2"/>
    <row r="8001" customFormat="1" ht="12.75" x14ac:dyDescent="0.2"/>
    <row r="8002" customFormat="1" ht="12.75" x14ac:dyDescent="0.2"/>
    <row r="8003" customFormat="1" ht="12.75" x14ac:dyDescent="0.2"/>
    <row r="8004" customFormat="1" ht="12.75" x14ac:dyDescent="0.2"/>
    <row r="8005" customFormat="1" ht="12.75" x14ac:dyDescent="0.2"/>
    <row r="8006" customFormat="1" ht="12.75" x14ac:dyDescent="0.2"/>
    <row r="8007" customFormat="1" ht="12.75" x14ac:dyDescent="0.2"/>
    <row r="8008" customFormat="1" ht="12.75" x14ac:dyDescent="0.2"/>
    <row r="8009" customFormat="1" ht="12.75" x14ac:dyDescent="0.2"/>
    <row r="8010" customFormat="1" ht="12.75" x14ac:dyDescent="0.2"/>
    <row r="8011" customFormat="1" ht="12.75" x14ac:dyDescent="0.2"/>
    <row r="8012" customFormat="1" ht="12.75" x14ac:dyDescent="0.2"/>
    <row r="8013" customFormat="1" ht="12.75" x14ac:dyDescent="0.2"/>
    <row r="8014" customFormat="1" ht="12.75" x14ac:dyDescent="0.2"/>
    <row r="8015" customFormat="1" ht="12.75" x14ac:dyDescent="0.2"/>
    <row r="8016" customFormat="1" ht="12.75" x14ac:dyDescent="0.2"/>
    <row r="8017" customFormat="1" ht="12.75" x14ac:dyDescent="0.2"/>
    <row r="8018" customFormat="1" ht="12.75" x14ac:dyDescent="0.2"/>
    <row r="8019" customFormat="1" ht="12.75" x14ac:dyDescent="0.2"/>
    <row r="8020" customFormat="1" ht="12.75" x14ac:dyDescent="0.2"/>
    <row r="8021" customFormat="1" ht="12.75" x14ac:dyDescent="0.2"/>
    <row r="8022" customFormat="1" ht="12.75" x14ac:dyDescent="0.2"/>
    <row r="8023" customFormat="1" ht="12.75" x14ac:dyDescent="0.2"/>
    <row r="8024" customFormat="1" ht="12.75" x14ac:dyDescent="0.2"/>
    <row r="8025" customFormat="1" ht="12.75" x14ac:dyDescent="0.2"/>
    <row r="8026" customFormat="1" ht="12.75" x14ac:dyDescent="0.2"/>
    <row r="8027" customFormat="1" ht="12.75" x14ac:dyDescent="0.2"/>
    <row r="8028" customFormat="1" ht="12.75" x14ac:dyDescent="0.2"/>
    <row r="8029" customFormat="1" ht="12.75" x14ac:dyDescent="0.2"/>
    <row r="8030" customFormat="1" ht="12.75" x14ac:dyDescent="0.2"/>
    <row r="8031" customFormat="1" ht="12.75" x14ac:dyDescent="0.2"/>
    <row r="8032" customFormat="1" ht="12.75" x14ac:dyDescent="0.2"/>
    <row r="8033" customFormat="1" ht="12.75" x14ac:dyDescent="0.2"/>
    <row r="8034" customFormat="1" ht="12.75" x14ac:dyDescent="0.2"/>
    <row r="8035" customFormat="1" ht="12.75" x14ac:dyDescent="0.2"/>
    <row r="8036" customFormat="1" ht="12.75" x14ac:dyDescent="0.2"/>
    <row r="8037" customFormat="1" ht="12.75" x14ac:dyDescent="0.2"/>
    <row r="8038" customFormat="1" ht="12.75" x14ac:dyDescent="0.2"/>
    <row r="8039" customFormat="1" ht="12.75" x14ac:dyDescent="0.2"/>
    <row r="8040" customFormat="1" ht="12.75" x14ac:dyDescent="0.2"/>
    <row r="8041" customFormat="1" ht="12.75" x14ac:dyDescent="0.2"/>
    <row r="8042" customFormat="1" ht="12.75" x14ac:dyDescent="0.2"/>
    <row r="8043" customFormat="1" ht="12.75" x14ac:dyDescent="0.2"/>
    <row r="8044" customFormat="1" ht="12.75" x14ac:dyDescent="0.2"/>
    <row r="8045" customFormat="1" ht="12.75" x14ac:dyDescent="0.2"/>
    <row r="8046" customFormat="1" ht="12.75" x14ac:dyDescent="0.2"/>
    <row r="8047" customFormat="1" ht="12.75" x14ac:dyDescent="0.2"/>
    <row r="8048" customFormat="1" ht="12.75" x14ac:dyDescent="0.2"/>
    <row r="8049" customFormat="1" ht="12.75" x14ac:dyDescent="0.2"/>
    <row r="8050" customFormat="1" ht="12.75" x14ac:dyDescent="0.2"/>
    <row r="8051" customFormat="1" ht="12.75" x14ac:dyDescent="0.2"/>
    <row r="8052" customFormat="1" ht="12.75" x14ac:dyDescent="0.2"/>
    <row r="8053" customFormat="1" ht="12.75" x14ac:dyDescent="0.2"/>
    <row r="8054" customFormat="1" ht="12.75" x14ac:dyDescent="0.2"/>
    <row r="8055" customFormat="1" ht="12.75" x14ac:dyDescent="0.2"/>
    <row r="8056" customFormat="1" ht="12.75" x14ac:dyDescent="0.2"/>
    <row r="8057" customFormat="1" ht="12.75" x14ac:dyDescent="0.2"/>
    <row r="8058" customFormat="1" ht="12.75" x14ac:dyDescent="0.2"/>
    <row r="8059" customFormat="1" ht="12.75" x14ac:dyDescent="0.2"/>
    <row r="8060" customFormat="1" ht="12.75" x14ac:dyDescent="0.2"/>
    <row r="8061" customFormat="1" ht="12.75" x14ac:dyDescent="0.2"/>
    <row r="8062" customFormat="1" ht="12.75" x14ac:dyDescent="0.2"/>
    <row r="8063" customFormat="1" ht="12.75" x14ac:dyDescent="0.2"/>
    <row r="8064" customFormat="1" ht="12.75" x14ac:dyDescent="0.2"/>
    <row r="8065" customFormat="1" ht="12.75" x14ac:dyDescent="0.2"/>
    <row r="8066" customFormat="1" ht="12.75" x14ac:dyDescent="0.2"/>
    <row r="8067" customFormat="1" ht="12.75" x14ac:dyDescent="0.2"/>
    <row r="8068" customFormat="1" ht="12.75" x14ac:dyDescent="0.2"/>
    <row r="8069" customFormat="1" ht="12.75" x14ac:dyDescent="0.2"/>
    <row r="8070" customFormat="1" ht="12.75" x14ac:dyDescent="0.2"/>
    <row r="8071" customFormat="1" ht="12.75" x14ac:dyDescent="0.2"/>
    <row r="8072" customFormat="1" ht="12.75" x14ac:dyDescent="0.2"/>
    <row r="8073" customFormat="1" ht="12.75" x14ac:dyDescent="0.2"/>
    <row r="8074" customFormat="1" ht="12.75" x14ac:dyDescent="0.2"/>
    <row r="8075" customFormat="1" ht="12.75" x14ac:dyDescent="0.2"/>
    <row r="8076" customFormat="1" ht="12.75" x14ac:dyDescent="0.2"/>
    <row r="8077" customFormat="1" ht="12.75" x14ac:dyDescent="0.2"/>
    <row r="8078" customFormat="1" ht="12.75" x14ac:dyDescent="0.2"/>
    <row r="8079" customFormat="1" ht="12.75" x14ac:dyDescent="0.2"/>
    <row r="8080" customFormat="1" ht="12.75" x14ac:dyDescent="0.2"/>
    <row r="8081" customFormat="1" ht="12.75" x14ac:dyDescent="0.2"/>
    <row r="8082" customFormat="1" ht="12.75" x14ac:dyDescent="0.2"/>
    <row r="8083" customFormat="1" ht="12.75" x14ac:dyDescent="0.2"/>
    <row r="8084" customFormat="1" ht="12.75" x14ac:dyDescent="0.2"/>
    <row r="8085" customFormat="1" ht="12.75" x14ac:dyDescent="0.2"/>
    <row r="8086" customFormat="1" ht="12.75" x14ac:dyDescent="0.2"/>
    <row r="8087" customFormat="1" ht="12.75" x14ac:dyDescent="0.2"/>
    <row r="8088" customFormat="1" ht="12.75" x14ac:dyDescent="0.2"/>
    <row r="8089" customFormat="1" ht="12.75" x14ac:dyDescent="0.2"/>
    <row r="8090" customFormat="1" ht="12.75" x14ac:dyDescent="0.2"/>
    <row r="8091" customFormat="1" ht="12.75" x14ac:dyDescent="0.2"/>
    <row r="8092" customFormat="1" ht="12.75" x14ac:dyDescent="0.2"/>
    <row r="8093" customFormat="1" ht="12.75" x14ac:dyDescent="0.2"/>
    <row r="8094" customFormat="1" ht="12.75" x14ac:dyDescent="0.2"/>
    <row r="8095" customFormat="1" ht="12.75" x14ac:dyDescent="0.2"/>
    <row r="8096" customFormat="1" ht="12.75" x14ac:dyDescent="0.2"/>
    <row r="8097" customFormat="1" ht="12.75" x14ac:dyDescent="0.2"/>
    <row r="8098" customFormat="1" ht="12.75" x14ac:dyDescent="0.2"/>
    <row r="8099" customFormat="1" ht="12.75" x14ac:dyDescent="0.2"/>
    <row r="8100" customFormat="1" ht="12.75" x14ac:dyDescent="0.2"/>
    <row r="8101" customFormat="1" ht="12.75" x14ac:dyDescent="0.2"/>
    <row r="8102" customFormat="1" ht="12.75" x14ac:dyDescent="0.2"/>
    <row r="8103" customFormat="1" ht="12.75" x14ac:dyDescent="0.2"/>
    <row r="8104" customFormat="1" ht="12.75" x14ac:dyDescent="0.2"/>
    <row r="8105" customFormat="1" ht="12.75" x14ac:dyDescent="0.2"/>
    <row r="8106" customFormat="1" ht="12.75" x14ac:dyDescent="0.2"/>
    <row r="8107" customFormat="1" ht="12.75" x14ac:dyDescent="0.2"/>
    <row r="8108" customFormat="1" ht="12.75" x14ac:dyDescent="0.2"/>
    <row r="8109" customFormat="1" ht="12.75" x14ac:dyDescent="0.2"/>
    <row r="8110" customFormat="1" ht="12.75" x14ac:dyDescent="0.2"/>
    <row r="8111" customFormat="1" ht="12.75" x14ac:dyDescent="0.2"/>
    <row r="8112" customFormat="1" ht="12.75" x14ac:dyDescent="0.2"/>
    <row r="8113" customFormat="1" ht="12.75" x14ac:dyDescent="0.2"/>
    <row r="8114" customFormat="1" ht="12.75" x14ac:dyDescent="0.2"/>
    <row r="8115" customFormat="1" ht="12.75" x14ac:dyDescent="0.2"/>
    <row r="8116" customFormat="1" ht="12.75" x14ac:dyDescent="0.2"/>
    <row r="8117" customFormat="1" ht="12.75" x14ac:dyDescent="0.2"/>
    <row r="8118" customFormat="1" ht="12.75" x14ac:dyDescent="0.2"/>
    <row r="8119" customFormat="1" ht="12.75" x14ac:dyDescent="0.2"/>
    <row r="8120" customFormat="1" ht="12.75" x14ac:dyDescent="0.2"/>
    <row r="8121" customFormat="1" ht="12.75" x14ac:dyDescent="0.2"/>
    <row r="8122" customFormat="1" ht="12.75" x14ac:dyDescent="0.2"/>
    <row r="8123" customFormat="1" ht="12.75" x14ac:dyDescent="0.2"/>
    <row r="8124" customFormat="1" ht="12.75" x14ac:dyDescent="0.2"/>
    <row r="8125" customFormat="1" ht="12.75" x14ac:dyDescent="0.2"/>
    <row r="8126" customFormat="1" ht="12.75" x14ac:dyDescent="0.2"/>
    <row r="8127" customFormat="1" ht="12.75" x14ac:dyDescent="0.2"/>
    <row r="8128" customFormat="1" ht="12.75" x14ac:dyDescent="0.2"/>
    <row r="8129" customFormat="1" ht="12.75" x14ac:dyDescent="0.2"/>
    <row r="8130" customFormat="1" ht="12.75" x14ac:dyDescent="0.2"/>
    <row r="8131" customFormat="1" ht="12.75" x14ac:dyDescent="0.2"/>
    <row r="8132" customFormat="1" ht="12.75" x14ac:dyDescent="0.2"/>
    <row r="8133" customFormat="1" ht="12.75" x14ac:dyDescent="0.2"/>
    <row r="8134" customFormat="1" ht="12.75" x14ac:dyDescent="0.2"/>
    <row r="8135" customFormat="1" ht="12.75" x14ac:dyDescent="0.2"/>
    <row r="8136" customFormat="1" ht="12.75" x14ac:dyDescent="0.2"/>
    <row r="8137" customFormat="1" ht="12.75" x14ac:dyDescent="0.2"/>
    <row r="8138" customFormat="1" ht="12.75" x14ac:dyDescent="0.2"/>
    <row r="8139" customFormat="1" ht="12.75" x14ac:dyDescent="0.2"/>
    <row r="8140" customFormat="1" ht="12.75" x14ac:dyDescent="0.2"/>
    <row r="8141" customFormat="1" ht="12.75" x14ac:dyDescent="0.2"/>
    <row r="8142" customFormat="1" ht="12.75" x14ac:dyDescent="0.2"/>
    <row r="8143" customFormat="1" ht="12.75" x14ac:dyDescent="0.2"/>
    <row r="8144" customFormat="1" ht="12.75" x14ac:dyDescent="0.2"/>
    <row r="8145" customFormat="1" ht="12.75" x14ac:dyDescent="0.2"/>
    <row r="8146" customFormat="1" ht="12.75" x14ac:dyDescent="0.2"/>
    <row r="8147" customFormat="1" ht="12.75" x14ac:dyDescent="0.2"/>
    <row r="8148" customFormat="1" ht="12.75" x14ac:dyDescent="0.2"/>
    <row r="8149" customFormat="1" ht="12.75" x14ac:dyDescent="0.2"/>
    <row r="8150" customFormat="1" ht="12.75" x14ac:dyDescent="0.2"/>
    <row r="8151" customFormat="1" ht="12.75" x14ac:dyDescent="0.2"/>
    <row r="8152" customFormat="1" ht="12.75" x14ac:dyDescent="0.2"/>
    <row r="8153" customFormat="1" ht="12.75" x14ac:dyDescent="0.2"/>
    <row r="8154" customFormat="1" ht="12.75" x14ac:dyDescent="0.2"/>
    <row r="8155" customFormat="1" ht="12.75" x14ac:dyDescent="0.2"/>
    <row r="8156" customFormat="1" ht="12.75" x14ac:dyDescent="0.2"/>
    <row r="8157" customFormat="1" ht="12.75" x14ac:dyDescent="0.2"/>
    <row r="8158" customFormat="1" ht="12.75" x14ac:dyDescent="0.2"/>
    <row r="8159" customFormat="1" ht="12.75" x14ac:dyDescent="0.2"/>
    <row r="8160" customFormat="1" ht="12.75" x14ac:dyDescent="0.2"/>
    <row r="8161" customFormat="1" ht="12.75" x14ac:dyDescent="0.2"/>
    <row r="8162" customFormat="1" ht="12.75" x14ac:dyDescent="0.2"/>
    <row r="8163" customFormat="1" ht="12.75" x14ac:dyDescent="0.2"/>
    <row r="8164" customFormat="1" ht="12.75" x14ac:dyDescent="0.2"/>
    <row r="8165" customFormat="1" ht="12.75" x14ac:dyDescent="0.2"/>
    <row r="8166" customFormat="1" ht="12.75" x14ac:dyDescent="0.2"/>
    <row r="8167" customFormat="1" ht="12.75" x14ac:dyDescent="0.2"/>
    <row r="8168" customFormat="1" ht="12.75" x14ac:dyDescent="0.2"/>
    <row r="8169" customFormat="1" ht="12.75" x14ac:dyDescent="0.2"/>
    <row r="8170" customFormat="1" ht="12.75" x14ac:dyDescent="0.2"/>
    <row r="8171" customFormat="1" ht="12.75" x14ac:dyDescent="0.2"/>
    <row r="8172" customFormat="1" ht="12.75" x14ac:dyDescent="0.2"/>
    <row r="8173" customFormat="1" ht="12.75" x14ac:dyDescent="0.2"/>
    <row r="8174" customFormat="1" ht="12.75" x14ac:dyDescent="0.2"/>
    <row r="8175" customFormat="1" ht="12.75" x14ac:dyDescent="0.2"/>
    <row r="8176" customFormat="1" ht="12.75" x14ac:dyDescent="0.2"/>
    <row r="8177" customFormat="1" ht="12.75" x14ac:dyDescent="0.2"/>
    <row r="8178" customFormat="1" ht="12.75" x14ac:dyDescent="0.2"/>
    <row r="8179" customFormat="1" ht="12.75" x14ac:dyDescent="0.2"/>
    <row r="8180" customFormat="1" ht="12.75" x14ac:dyDescent="0.2"/>
    <row r="8181" customFormat="1" ht="12.75" x14ac:dyDescent="0.2"/>
    <row r="8182" customFormat="1" ht="12.75" x14ac:dyDescent="0.2"/>
    <row r="8183" customFormat="1" ht="12.75" x14ac:dyDescent="0.2"/>
    <row r="8184" customFormat="1" ht="12.75" x14ac:dyDescent="0.2"/>
    <row r="8185" customFormat="1" ht="12.75" x14ac:dyDescent="0.2"/>
    <row r="8186" customFormat="1" ht="12.75" x14ac:dyDescent="0.2"/>
    <row r="8187" customFormat="1" ht="12.75" x14ac:dyDescent="0.2"/>
    <row r="8188" customFormat="1" ht="12.75" x14ac:dyDescent="0.2"/>
    <row r="8189" customFormat="1" ht="12.75" x14ac:dyDescent="0.2"/>
    <row r="8190" customFormat="1" ht="12.75" x14ac:dyDescent="0.2"/>
    <row r="8191" customFormat="1" ht="12.75" x14ac:dyDescent="0.2"/>
    <row r="8192" customFormat="1" ht="12.75" x14ac:dyDescent="0.2"/>
    <row r="8193" customFormat="1" ht="12.75" x14ac:dyDescent="0.2"/>
    <row r="8194" customFormat="1" ht="12.75" x14ac:dyDescent="0.2"/>
    <row r="8195" customFormat="1" ht="12.75" x14ac:dyDescent="0.2"/>
    <row r="8196" customFormat="1" ht="12.75" x14ac:dyDescent="0.2"/>
    <row r="8197" customFormat="1" ht="12.75" x14ac:dyDescent="0.2"/>
    <row r="8198" customFormat="1" ht="12.75" x14ac:dyDescent="0.2"/>
    <row r="8199" customFormat="1" ht="12.75" x14ac:dyDescent="0.2"/>
    <row r="8200" customFormat="1" ht="12.75" x14ac:dyDescent="0.2"/>
    <row r="8201" customFormat="1" ht="12.75" x14ac:dyDescent="0.2"/>
    <row r="8202" customFormat="1" ht="12.75" x14ac:dyDescent="0.2"/>
    <row r="8203" customFormat="1" ht="12.75" x14ac:dyDescent="0.2"/>
    <row r="8204" customFormat="1" ht="12.75" x14ac:dyDescent="0.2"/>
    <row r="8205" customFormat="1" ht="12.75" x14ac:dyDescent="0.2"/>
    <row r="8206" customFormat="1" ht="12.75" x14ac:dyDescent="0.2"/>
    <row r="8207" customFormat="1" ht="12.75" x14ac:dyDescent="0.2"/>
    <row r="8208" customFormat="1" ht="12.75" x14ac:dyDescent="0.2"/>
    <row r="8209" customFormat="1" ht="12.75" x14ac:dyDescent="0.2"/>
    <row r="8210" customFormat="1" ht="12.75" x14ac:dyDescent="0.2"/>
    <row r="8211" customFormat="1" ht="12.75" x14ac:dyDescent="0.2"/>
    <row r="8212" customFormat="1" ht="12.75" x14ac:dyDescent="0.2"/>
    <row r="8213" customFormat="1" ht="12.75" x14ac:dyDescent="0.2"/>
    <row r="8214" customFormat="1" ht="12.75" x14ac:dyDescent="0.2"/>
    <row r="8215" customFormat="1" ht="12.75" x14ac:dyDescent="0.2"/>
    <row r="8216" customFormat="1" ht="12.75" x14ac:dyDescent="0.2"/>
    <row r="8217" customFormat="1" ht="12.75" x14ac:dyDescent="0.2"/>
    <row r="8218" customFormat="1" ht="12.75" x14ac:dyDescent="0.2"/>
    <row r="8219" customFormat="1" ht="12.75" x14ac:dyDescent="0.2"/>
    <row r="8220" customFormat="1" ht="12.75" x14ac:dyDescent="0.2"/>
    <row r="8221" customFormat="1" ht="12.75" x14ac:dyDescent="0.2"/>
    <row r="8222" customFormat="1" ht="12.75" x14ac:dyDescent="0.2"/>
    <row r="8223" customFormat="1" ht="12.75" x14ac:dyDescent="0.2"/>
    <row r="8224" customFormat="1" ht="12.75" x14ac:dyDescent="0.2"/>
    <row r="8225" customFormat="1" ht="12.75" x14ac:dyDescent="0.2"/>
    <row r="8226" customFormat="1" ht="12.75" x14ac:dyDescent="0.2"/>
    <row r="8227" customFormat="1" ht="12.75" x14ac:dyDescent="0.2"/>
    <row r="8228" customFormat="1" ht="12.75" x14ac:dyDescent="0.2"/>
    <row r="8229" customFormat="1" ht="12.75" x14ac:dyDescent="0.2"/>
    <row r="8230" customFormat="1" ht="12.75" x14ac:dyDescent="0.2"/>
    <row r="8231" customFormat="1" ht="12.75" x14ac:dyDescent="0.2"/>
    <row r="8232" customFormat="1" ht="12.75" x14ac:dyDescent="0.2"/>
    <row r="8233" customFormat="1" ht="12.75" x14ac:dyDescent="0.2"/>
    <row r="8234" customFormat="1" ht="12.75" x14ac:dyDescent="0.2"/>
    <row r="8235" customFormat="1" ht="12.75" x14ac:dyDescent="0.2"/>
    <row r="8236" customFormat="1" ht="12.75" x14ac:dyDescent="0.2"/>
    <row r="8237" customFormat="1" ht="12.75" x14ac:dyDescent="0.2"/>
    <row r="8238" customFormat="1" ht="12.75" x14ac:dyDescent="0.2"/>
    <row r="8239" customFormat="1" ht="12.75" x14ac:dyDescent="0.2"/>
    <row r="8240" customFormat="1" ht="12.75" x14ac:dyDescent="0.2"/>
    <row r="8241" customFormat="1" ht="12.75" x14ac:dyDescent="0.2"/>
    <row r="8242" customFormat="1" ht="12.75" x14ac:dyDescent="0.2"/>
    <row r="8243" customFormat="1" ht="12.75" x14ac:dyDescent="0.2"/>
    <row r="8244" customFormat="1" ht="12.75" x14ac:dyDescent="0.2"/>
    <row r="8245" customFormat="1" ht="12.75" x14ac:dyDescent="0.2"/>
    <row r="8246" customFormat="1" ht="12.75" x14ac:dyDescent="0.2"/>
    <row r="8247" customFormat="1" ht="12.75" x14ac:dyDescent="0.2"/>
    <row r="8248" customFormat="1" ht="12.75" x14ac:dyDescent="0.2"/>
    <row r="8249" customFormat="1" ht="12.75" x14ac:dyDescent="0.2"/>
    <row r="8250" customFormat="1" ht="12.75" x14ac:dyDescent="0.2"/>
    <row r="8251" customFormat="1" ht="12.75" x14ac:dyDescent="0.2"/>
    <row r="8252" customFormat="1" ht="12.75" x14ac:dyDescent="0.2"/>
    <row r="8253" customFormat="1" ht="12.75" x14ac:dyDescent="0.2"/>
    <row r="8254" customFormat="1" ht="12.75" x14ac:dyDescent="0.2"/>
    <row r="8255" customFormat="1" ht="12.75" x14ac:dyDescent="0.2"/>
    <row r="8256" customFormat="1" ht="12.75" x14ac:dyDescent="0.2"/>
    <row r="8257" customFormat="1" ht="12.75" x14ac:dyDescent="0.2"/>
    <row r="8258" customFormat="1" ht="12.75" x14ac:dyDescent="0.2"/>
    <row r="8259" customFormat="1" ht="12.75" x14ac:dyDescent="0.2"/>
    <row r="8260" customFormat="1" ht="12.75" x14ac:dyDescent="0.2"/>
    <row r="8261" customFormat="1" ht="12.75" x14ac:dyDescent="0.2"/>
    <row r="8262" customFormat="1" ht="12.75" x14ac:dyDescent="0.2"/>
    <row r="8263" customFormat="1" ht="12.75" x14ac:dyDescent="0.2"/>
    <row r="8264" customFormat="1" ht="12.75" x14ac:dyDescent="0.2"/>
    <row r="8265" customFormat="1" ht="12.75" x14ac:dyDescent="0.2"/>
    <row r="8266" customFormat="1" ht="12.75" x14ac:dyDescent="0.2"/>
    <row r="8267" customFormat="1" ht="12.75" x14ac:dyDescent="0.2"/>
    <row r="8268" customFormat="1" ht="12.75" x14ac:dyDescent="0.2"/>
    <row r="8269" customFormat="1" ht="12.75" x14ac:dyDescent="0.2"/>
    <row r="8270" customFormat="1" ht="12.75" x14ac:dyDescent="0.2"/>
    <row r="8271" customFormat="1" ht="12.75" x14ac:dyDescent="0.2"/>
    <row r="8272" customFormat="1" ht="12.75" x14ac:dyDescent="0.2"/>
    <row r="8273" customFormat="1" ht="12.75" x14ac:dyDescent="0.2"/>
    <row r="8274" customFormat="1" ht="12.75" x14ac:dyDescent="0.2"/>
    <row r="8275" customFormat="1" ht="12.75" x14ac:dyDescent="0.2"/>
    <row r="8276" customFormat="1" ht="12.75" x14ac:dyDescent="0.2"/>
    <row r="8277" customFormat="1" ht="12.75" x14ac:dyDescent="0.2"/>
    <row r="8278" customFormat="1" ht="12.75" x14ac:dyDescent="0.2"/>
    <row r="8279" customFormat="1" ht="12.75" x14ac:dyDescent="0.2"/>
    <row r="8280" customFormat="1" ht="12.75" x14ac:dyDescent="0.2"/>
    <row r="8281" customFormat="1" ht="12.75" x14ac:dyDescent="0.2"/>
    <row r="8282" customFormat="1" ht="12.75" x14ac:dyDescent="0.2"/>
    <row r="8283" customFormat="1" ht="12.75" x14ac:dyDescent="0.2"/>
    <row r="8284" customFormat="1" ht="12.75" x14ac:dyDescent="0.2"/>
    <row r="8285" customFormat="1" ht="12.75" x14ac:dyDescent="0.2"/>
    <row r="8286" customFormat="1" ht="12.75" x14ac:dyDescent="0.2"/>
    <row r="8287" customFormat="1" ht="12.75" x14ac:dyDescent="0.2"/>
    <row r="8288" customFormat="1" ht="12.75" x14ac:dyDescent="0.2"/>
    <row r="8289" customFormat="1" ht="12.75" x14ac:dyDescent="0.2"/>
    <row r="8290" customFormat="1" ht="12.75" x14ac:dyDescent="0.2"/>
    <row r="8291" customFormat="1" ht="12.75" x14ac:dyDescent="0.2"/>
    <row r="8292" customFormat="1" ht="12.75" x14ac:dyDescent="0.2"/>
    <row r="8293" customFormat="1" ht="12.75" x14ac:dyDescent="0.2"/>
    <row r="8294" customFormat="1" ht="12.75" x14ac:dyDescent="0.2"/>
    <row r="8295" customFormat="1" ht="12.75" x14ac:dyDescent="0.2"/>
    <row r="8296" customFormat="1" ht="12.75" x14ac:dyDescent="0.2"/>
    <row r="8297" customFormat="1" ht="12.75" x14ac:dyDescent="0.2"/>
    <row r="8298" customFormat="1" ht="12.75" x14ac:dyDescent="0.2"/>
    <row r="8299" customFormat="1" ht="12.75" x14ac:dyDescent="0.2"/>
    <row r="8300" customFormat="1" ht="12.75" x14ac:dyDescent="0.2"/>
    <row r="8301" customFormat="1" ht="12.75" x14ac:dyDescent="0.2"/>
    <row r="8302" customFormat="1" ht="12.75" x14ac:dyDescent="0.2"/>
    <row r="8303" customFormat="1" ht="12.75" x14ac:dyDescent="0.2"/>
    <row r="8304" customFormat="1" ht="12.75" x14ac:dyDescent="0.2"/>
    <row r="8305" customFormat="1" ht="12.75" x14ac:dyDescent="0.2"/>
    <row r="8306" customFormat="1" ht="12.75" x14ac:dyDescent="0.2"/>
    <row r="8307" customFormat="1" ht="12.75" x14ac:dyDescent="0.2"/>
    <row r="8308" customFormat="1" ht="12.75" x14ac:dyDescent="0.2"/>
    <row r="8309" customFormat="1" ht="12.75" x14ac:dyDescent="0.2"/>
    <row r="8310" customFormat="1" ht="12.75" x14ac:dyDescent="0.2"/>
    <row r="8311" customFormat="1" ht="12.75" x14ac:dyDescent="0.2"/>
    <row r="8312" customFormat="1" ht="12.75" x14ac:dyDescent="0.2"/>
    <row r="8313" customFormat="1" ht="12.75" x14ac:dyDescent="0.2"/>
    <row r="8314" customFormat="1" ht="12.75" x14ac:dyDescent="0.2"/>
    <row r="8315" customFormat="1" ht="12.75" x14ac:dyDescent="0.2"/>
    <row r="8316" customFormat="1" ht="12.75" x14ac:dyDescent="0.2"/>
    <row r="8317" customFormat="1" ht="12.75" x14ac:dyDescent="0.2"/>
    <row r="8318" customFormat="1" ht="12.75" x14ac:dyDescent="0.2"/>
    <row r="8319" customFormat="1" ht="12.75" x14ac:dyDescent="0.2"/>
    <row r="8320" customFormat="1" ht="12.75" x14ac:dyDescent="0.2"/>
    <row r="8321" customFormat="1" ht="12.75" x14ac:dyDescent="0.2"/>
    <row r="8322" customFormat="1" ht="12.75" x14ac:dyDescent="0.2"/>
    <row r="8323" customFormat="1" ht="12.75" x14ac:dyDescent="0.2"/>
    <row r="8324" customFormat="1" ht="12.75" x14ac:dyDescent="0.2"/>
    <row r="8325" customFormat="1" ht="12.75" x14ac:dyDescent="0.2"/>
    <row r="8326" customFormat="1" ht="12.75" x14ac:dyDescent="0.2"/>
    <row r="8327" customFormat="1" ht="12.75" x14ac:dyDescent="0.2"/>
    <row r="8328" customFormat="1" ht="12.75" x14ac:dyDescent="0.2"/>
    <row r="8329" customFormat="1" ht="12.75" x14ac:dyDescent="0.2"/>
    <row r="8330" customFormat="1" ht="12.75" x14ac:dyDescent="0.2"/>
    <row r="8331" customFormat="1" ht="12.75" x14ac:dyDescent="0.2"/>
    <row r="8332" customFormat="1" ht="12.75" x14ac:dyDescent="0.2"/>
    <row r="8333" customFormat="1" ht="12.75" x14ac:dyDescent="0.2"/>
    <row r="8334" customFormat="1" ht="12.75" x14ac:dyDescent="0.2"/>
    <row r="8335" customFormat="1" ht="12.75" x14ac:dyDescent="0.2"/>
    <row r="8336" customFormat="1" ht="12.75" x14ac:dyDescent="0.2"/>
    <row r="8337" customFormat="1" ht="12.75" x14ac:dyDescent="0.2"/>
    <row r="8338" customFormat="1" ht="12.75" x14ac:dyDescent="0.2"/>
    <row r="8339" customFormat="1" ht="12.75" x14ac:dyDescent="0.2"/>
    <row r="8340" customFormat="1" ht="12.75" x14ac:dyDescent="0.2"/>
    <row r="8341" customFormat="1" ht="12.75" x14ac:dyDescent="0.2"/>
    <row r="8342" customFormat="1" ht="12.75" x14ac:dyDescent="0.2"/>
    <row r="8343" customFormat="1" ht="12.75" x14ac:dyDescent="0.2"/>
    <row r="8344" customFormat="1" ht="12.75" x14ac:dyDescent="0.2"/>
    <row r="8345" customFormat="1" ht="12.75" x14ac:dyDescent="0.2"/>
    <row r="8346" customFormat="1" ht="12.75" x14ac:dyDescent="0.2"/>
    <row r="8347" customFormat="1" ht="12.75" x14ac:dyDescent="0.2"/>
    <row r="8348" customFormat="1" ht="12.75" x14ac:dyDescent="0.2"/>
    <row r="8349" customFormat="1" ht="12.75" x14ac:dyDescent="0.2"/>
    <row r="8350" customFormat="1" ht="12.75" x14ac:dyDescent="0.2"/>
    <row r="8351" customFormat="1" ht="12.75" x14ac:dyDescent="0.2"/>
    <row r="8352" customFormat="1" ht="12.75" x14ac:dyDescent="0.2"/>
    <row r="8353" customFormat="1" ht="12.75" x14ac:dyDescent="0.2"/>
    <row r="8354" customFormat="1" ht="12.75" x14ac:dyDescent="0.2"/>
    <row r="8355" customFormat="1" ht="12.75" x14ac:dyDescent="0.2"/>
    <row r="8356" customFormat="1" ht="12.75" x14ac:dyDescent="0.2"/>
    <row r="8357" customFormat="1" ht="12.75" x14ac:dyDescent="0.2"/>
    <row r="8358" customFormat="1" ht="12.75" x14ac:dyDescent="0.2"/>
    <row r="8359" customFormat="1" ht="12.75" x14ac:dyDescent="0.2"/>
    <row r="8360" customFormat="1" ht="12.75" x14ac:dyDescent="0.2"/>
    <row r="8361" customFormat="1" ht="12.75" x14ac:dyDescent="0.2"/>
    <row r="8362" customFormat="1" ht="12.75" x14ac:dyDescent="0.2"/>
    <row r="8363" customFormat="1" ht="12.75" x14ac:dyDescent="0.2"/>
    <row r="8364" customFormat="1" ht="12.75" x14ac:dyDescent="0.2"/>
    <row r="8365" customFormat="1" ht="12.75" x14ac:dyDescent="0.2"/>
    <row r="8366" customFormat="1" ht="12.75" x14ac:dyDescent="0.2"/>
    <row r="8367" customFormat="1" ht="12.75" x14ac:dyDescent="0.2"/>
    <row r="8368" customFormat="1" ht="12.75" x14ac:dyDescent="0.2"/>
    <row r="8369" customFormat="1" ht="12.75" x14ac:dyDescent="0.2"/>
    <row r="8370" customFormat="1" ht="12.75" x14ac:dyDescent="0.2"/>
    <row r="8371" customFormat="1" ht="12.75" x14ac:dyDescent="0.2"/>
    <row r="8372" customFormat="1" ht="12.75" x14ac:dyDescent="0.2"/>
    <row r="8373" customFormat="1" ht="12.75" x14ac:dyDescent="0.2"/>
    <row r="8374" customFormat="1" ht="12.75" x14ac:dyDescent="0.2"/>
    <row r="8375" customFormat="1" ht="12.75" x14ac:dyDescent="0.2"/>
    <row r="8376" customFormat="1" ht="12.75" x14ac:dyDescent="0.2"/>
    <row r="8377" customFormat="1" ht="12.75" x14ac:dyDescent="0.2"/>
    <row r="8378" customFormat="1" ht="12.75" x14ac:dyDescent="0.2"/>
    <row r="8379" customFormat="1" ht="12.75" x14ac:dyDescent="0.2"/>
    <row r="8380" customFormat="1" ht="12.75" x14ac:dyDescent="0.2"/>
    <row r="8381" customFormat="1" ht="12.75" x14ac:dyDescent="0.2"/>
    <row r="8382" customFormat="1" ht="12.75" x14ac:dyDescent="0.2"/>
    <row r="8383" customFormat="1" ht="12.75" x14ac:dyDescent="0.2"/>
    <row r="8384" customFormat="1" ht="12.75" x14ac:dyDescent="0.2"/>
    <row r="8385" customFormat="1" ht="12.75" x14ac:dyDescent="0.2"/>
    <row r="8386" customFormat="1" ht="12.75" x14ac:dyDescent="0.2"/>
    <row r="8387" customFormat="1" ht="12.75" x14ac:dyDescent="0.2"/>
    <row r="8388" customFormat="1" ht="12.75" x14ac:dyDescent="0.2"/>
    <row r="8389" customFormat="1" ht="12.75" x14ac:dyDescent="0.2"/>
    <row r="8390" customFormat="1" ht="12.75" x14ac:dyDescent="0.2"/>
    <row r="8391" customFormat="1" ht="12.75" x14ac:dyDescent="0.2"/>
    <row r="8392" customFormat="1" ht="12.75" x14ac:dyDescent="0.2"/>
    <row r="8393" customFormat="1" ht="12.75" x14ac:dyDescent="0.2"/>
    <row r="8394" customFormat="1" ht="12.75" x14ac:dyDescent="0.2"/>
    <row r="8395" customFormat="1" ht="12.75" x14ac:dyDescent="0.2"/>
    <row r="8396" customFormat="1" ht="12.75" x14ac:dyDescent="0.2"/>
    <row r="8397" customFormat="1" ht="12.75" x14ac:dyDescent="0.2"/>
    <row r="8398" customFormat="1" ht="12.75" x14ac:dyDescent="0.2"/>
    <row r="8399" customFormat="1" ht="12.75" x14ac:dyDescent="0.2"/>
    <row r="8400" customFormat="1" ht="12.75" x14ac:dyDescent="0.2"/>
    <row r="8401" customFormat="1" ht="12.75" x14ac:dyDescent="0.2"/>
    <row r="8402" customFormat="1" ht="12.75" x14ac:dyDescent="0.2"/>
    <row r="8403" customFormat="1" ht="12.75" x14ac:dyDescent="0.2"/>
    <row r="8404" customFormat="1" ht="12.75" x14ac:dyDescent="0.2"/>
    <row r="8405" customFormat="1" ht="12.75" x14ac:dyDescent="0.2"/>
    <row r="8406" customFormat="1" ht="12.75" x14ac:dyDescent="0.2"/>
    <row r="8407" customFormat="1" ht="12.75" x14ac:dyDescent="0.2"/>
    <row r="8408" customFormat="1" ht="12.75" x14ac:dyDescent="0.2"/>
    <row r="8409" customFormat="1" ht="12.75" x14ac:dyDescent="0.2"/>
    <row r="8410" customFormat="1" ht="12.75" x14ac:dyDescent="0.2"/>
    <row r="8411" customFormat="1" ht="12.75" x14ac:dyDescent="0.2"/>
    <row r="8412" customFormat="1" ht="12.75" x14ac:dyDescent="0.2"/>
    <row r="8413" customFormat="1" ht="12.75" x14ac:dyDescent="0.2"/>
    <row r="8414" customFormat="1" ht="12.75" x14ac:dyDescent="0.2"/>
    <row r="8415" customFormat="1" ht="12.75" x14ac:dyDescent="0.2"/>
    <row r="8416" customFormat="1" ht="12.75" x14ac:dyDescent="0.2"/>
    <row r="8417" customFormat="1" ht="12.75" x14ac:dyDescent="0.2"/>
    <row r="8418" customFormat="1" ht="12.75" x14ac:dyDescent="0.2"/>
    <row r="8419" customFormat="1" ht="12.75" x14ac:dyDescent="0.2"/>
    <row r="8420" customFormat="1" ht="12.75" x14ac:dyDescent="0.2"/>
    <row r="8421" customFormat="1" ht="12.75" x14ac:dyDescent="0.2"/>
    <row r="8422" customFormat="1" ht="12.75" x14ac:dyDescent="0.2"/>
    <row r="8423" customFormat="1" ht="12.75" x14ac:dyDescent="0.2"/>
    <row r="8424" customFormat="1" ht="12.75" x14ac:dyDescent="0.2"/>
    <row r="8425" customFormat="1" ht="12.75" x14ac:dyDescent="0.2"/>
    <row r="8426" customFormat="1" ht="12.75" x14ac:dyDescent="0.2"/>
    <row r="8427" customFormat="1" ht="12.75" x14ac:dyDescent="0.2"/>
    <row r="8428" customFormat="1" ht="12.75" x14ac:dyDescent="0.2"/>
    <row r="8429" customFormat="1" ht="12.75" x14ac:dyDescent="0.2"/>
    <row r="8430" customFormat="1" ht="12.75" x14ac:dyDescent="0.2"/>
    <row r="8431" customFormat="1" ht="12.75" x14ac:dyDescent="0.2"/>
    <row r="8432" customFormat="1" ht="12.75" x14ac:dyDescent="0.2"/>
    <row r="8433" customFormat="1" ht="12.75" x14ac:dyDescent="0.2"/>
    <row r="8434" customFormat="1" ht="12.75" x14ac:dyDescent="0.2"/>
    <row r="8435" customFormat="1" ht="12.75" x14ac:dyDescent="0.2"/>
    <row r="8436" customFormat="1" ht="12.75" x14ac:dyDescent="0.2"/>
    <row r="8437" customFormat="1" ht="12.75" x14ac:dyDescent="0.2"/>
    <row r="8438" customFormat="1" ht="12.75" x14ac:dyDescent="0.2"/>
    <row r="8439" customFormat="1" ht="12.75" x14ac:dyDescent="0.2"/>
    <row r="8440" customFormat="1" ht="12.75" x14ac:dyDescent="0.2"/>
    <row r="8441" customFormat="1" ht="12.75" x14ac:dyDescent="0.2"/>
    <row r="8442" customFormat="1" ht="12.75" x14ac:dyDescent="0.2"/>
    <row r="8443" customFormat="1" ht="12.75" x14ac:dyDescent="0.2"/>
    <row r="8444" customFormat="1" ht="12.75" x14ac:dyDescent="0.2"/>
    <row r="8445" customFormat="1" ht="12.75" x14ac:dyDescent="0.2"/>
    <row r="8446" customFormat="1" ht="12.75" x14ac:dyDescent="0.2"/>
    <row r="8447" customFormat="1" ht="12.75" x14ac:dyDescent="0.2"/>
    <row r="8448" customFormat="1" ht="12.75" x14ac:dyDescent="0.2"/>
    <row r="8449" customFormat="1" ht="12.75" x14ac:dyDescent="0.2"/>
    <row r="8450" customFormat="1" ht="12.75" x14ac:dyDescent="0.2"/>
    <row r="8451" customFormat="1" ht="12.75" x14ac:dyDescent="0.2"/>
    <row r="8452" customFormat="1" ht="12.75" x14ac:dyDescent="0.2"/>
    <row r="8453" customFormat="1" ht="12.75" x14ac:dyDescent="0.2"/>
    <row r="8454" customFormat="1" ht="12.75" x14ac:dyDescent="0.2"/>
    <row r="8455" customFormat="1" ht="12.75" x14ac:dyDescent="0.2"/>
    <row r="8456" customFormat="1" ht="12.75" x14ac:dyDescent="0.2"/>
    <row r="8457" customFormat="1" ht="12.75" x14ac:dyDescent="0.2"/>
    <row r="8458" customFormat="1" ht="12.75" x14ac:dyDescent="0.2"/>
    <row r="8459" customFormat="1" ht="12.75" x14ac:dyDescent="0.2"/>
    <row r="8460" customFormat="1" ht="12.75" x14ac:dyDescent="0.2"/>
    <row r="8461" customFormat="1" ht="12.75" x14ac:dyDescent="0.2"/>
    <row r="8462" customFormat="1" ht="12.75" x14ac:dyDescent="0.2"/>
    <row r="8463" customFormat="1" ht="12.75" x14ac:dyDescent="0.2"/>
    <row r="8464" customFormat="1" ht="12.75" x14ac:dyDescent="0.2"/>
    <row r="8465" customFormat="1" ht="12.75" x14ac:dyDescent="0.2"/>
    <row r="8466" customFormat="1" ht="12.75" x14ac:dyDescent="0.2"/>
    <row r="8467" customFormat="1" ht="12.75" x14ac:dyDescent="0.2"/>
    <row r="8468" customFormat="1" ht="12.75" x14ac:dyDescent="0.2"/>
    <row r="8469" customFormat="1" ht="12.75" x14ac:dyDescent="0.2"/>
    <row r="8470" customFormat="1" ht="12.75" x14ac:dyDescent="0.2"/>
    <row r="8471" customFormat="1" ht="12.75" x14ac:dyDescent="0.2"/>
    <row r="8472" customFormat="1" ht="12.75" x14ac:dyDescent="0.2"/>
    <row r="8473" customFormat="1" ht="12.75" x14ac:dyDescent="0.2"/>
    <row r="8474" customFormat="1" ht="12.75" x14ac:dyDescent="0.2"/>
    <row r="8475" customFormat="1" ht="12.75" x14ac:dyDescent="0.2"/>
    <row r="8476" customFormat="1" ht="12.75" x14ac:dyDescent="0.2"/>
    <row r="8477" customFormat="1" ht="12.75" x14ac:dyDescent="0.2"/>
    <row r="8478" customFormat="1" ht="12.75" x14ac:dyDescent="0.2"/>
    <row r="8479" customFormat="1" ht="12.75" x14ac:dyDescent="0.2"/>
    <row r="8480" customFormat="1" ht="12.75" x14ac:dyDescent="0.2"/>
    <row r="8481" customFormat="1" ht="12.75" x14ac:dyDescent="0.2"/>
    <row r="8482" customFormat="1" ht="12.75" x14ac:dyDescent="0.2"/>
    <row r="8483" customFormat="1" ht="12.75" x14ac:dyDescent="0.2"/>
    <row r="8484" customFormat="1" ht="12.75" x14ac:dyDescent="0.2"/>
    <row r="8485" customFormat="1" ht="12.75" x14ac:dyDescent="0.2"/>
    <row r="8486" customFormat="1" ht="12.75" x14ac:dyDescent="0.2"/>
    <row r="8487" customFormat="1" ht="12.75" x14ac:dyDescent="0.2"/>
    <row r="8488" customFormat="1" ht="12.75" x14ac:dyDescent="0.2"/>
    <row r="8489" customFormat="1" ht="12.75" x14ac:dyDescent="0.2"/>
    <row r="8490" customFormat="1" ht="12.75" x14ac:dyDescent="0.2"/>
    <row r="8491" customFormat="1" ht="12.75" x14ac:dyDescent="0.2"/>
    <row r="8492" customFormat="1" ht="12.75" x14ac:dyDescent="0.2"/>
    <row r="8493" customFormat="1" ht="12.75" x14ac:dyDescent="0.2"/>
    <row r="8494" customFormat="1" ht="12.75" x14ac:dyDescent="0.2"/>
    <row r="8495" customFormat="1" ht="12.75" x14ac:dyDescent="0.2"/>
    <row r="8496" customFormat="1" ht="12.75" x14ac:dyDescent="0.2"/>
    <row r="8497" customFormat="1" ht="12.75" x14ac:dyDescent="0.2"/>
    <row r="8498" customFormat="1" ht="12.75" x14ac:dyDescent="0.2"/>
    <row r="8499" customFormat="1" ht="12.75" x14ac:dyDescent="0.2"/>
    <row r="8500" customFormat="1" ht="12.75" x14ac:dyDescent="0.2"/>
    <row r="8501" customFormat="1" ht="12.75" x14ac:dyDescent="0.2"/>
    <row r="8502" customFormat="1" ht="12.75" x14ac:dyDescent="0.2"/>
    <row r="8503" customFormat="1" ht="12.75" x14ac:dyDescent="0.2"/>
    <row r="8504" customFormat="1" ht="12.75" x14ac:dyDescent="0.2"/>
    <row r="8505" customFormat="1" ht="12.75" x14ac:dyDescent="0.2"/>
    <row r="8506" customFormat="1" ht="12.75" x14ac:dyDescent="0.2"/>
    <row r="8507" customFormat="1" ht="12.75" x14ac:dyDescent="0.2"/>
    <row r="8508" customFormat="1" ht="12.75" x14ac:dyDescent="0.2"/>
    <row r="8509" customFormat="1" ht="12.75" x14ac:dyDescent="0.2"/>
    <row r="8510" customFormat="1" ht="12.75" x14ac:dyDescent="0.2"/>
    <row r="8511" customFormat="1" ht="12.75" x14ac:dyDescent="0.2"/>
    <row r="8512" customFormat="1" ht="12.75" x14ac:dyDescent="0.2"/>
    <row r="8513" customFormat="1" ht="12.75" x14ac:dyDescent="0.2"/>
    <row r="8514" customFormat="1" ht="12.75" x14ac:dyDescent="0.2"/>
    <row r="8515" customFormat="1" ht="12.75" x14ac:dyDescent="0.2"/>
    <row r="8516" customFormat="1" ht="12.75" x14ac:dyDescent="0.2"/>
    <row r="8517" customFormat="1" ht="12.75" x14ac:dyDescent="0.2"/>
    <row r="8518" customFormat="1" ht="12.75" x14ac:dyDescent="0.2"/>
    <row r="8519" customFormat="1" ht="12.75" x14ac:dyDescent="0.2"/>
    <row r="8520" customFormat="1" ht="12.75" x14ac:dyDescent="0.2"/>
    <row r="8521" customFormat="1" ht="12.75" x14ac:dyDescent="0.2"/>
    <row r="8522" customFormat="1" ht="12.75" x14ac:dyDescent="0.2"/>
    <row r="8523" customFormat="1" ht="12.75" x14ac:dyDescent="0.2"/>
    <row r="8524" customFormat="1" ht="12.75" x14ac:dyDescent="0.2"/>
    <row r="8525" customFormat="1" ht="12.75" x14ac:dyDescent="0.2"/>
    <row r="8526" customFormat="1" ht="12.75" x14ac:dyDescent="0.2"/>
    <row r="8527" customFormat="1" ht="12.75" x14ac:dyDescent="0.2"/>
    <row r="8528" customFormat="1" ht="12.75" x14ac:dyDescent="0.2"/>
    <row r="8529" customFormat="1" ht="12.75" x14ac:dyDescent="0.2"/>
    <row r="8530" customFormat="1" ht="12.75" x14ac:dyDescent="0.2"/>
    <row r="8531" customFormat="1" ht="12.75" x14ac:dyDescent="0.2"/>
    <row r="8532" customFormat="1" ht="12.75" x14ac:dyDescent="0.2"/>
    <row r="8533" customFormat="1" ht="12.75" x14ac:dyDescent="0.2"/>
    <row r="8534" customFormat="1" ht="12.75" x14ac:dyDescent="0.2"/>
    <row r="8535" customFormat="1" ht="12.75" x14ac:dyDescent="0.2"/>
    <row r="8536" customFormat="1" ht="12.75" x14ac:dyDescent="0.2"/>
    <row r="8537" customFormat="1" ht="12.75" x14ac:dyDescent="0.2"/>
    <row r="8538" customFormat="1" ht="12.75" x14ac:dyDescent="0.2"/>
    <row r="8539" customFormat="1" ht="12.75" x14ac:dyDescent="0.2"/>
    <row r="8540" customFormat="1" ht="12.75" x14ac:dyDescent="0.2"/>
    <row r="8541" customFormat="1" ht="12.75" x14ac:dyDescent="0.2"/>
    <row r="8542" customFormat="1" ht="12.75" x14ac:dyDescent="0.2"/>
    <row r="8543" customFormat="1" ht="12.75" x14ac:dyDescent="0.2"/>
    <row r="8544" customFormat="1" ht="12.75" x14ac:dyDescent="0.2"/>
    <row r="8545" customFormat="1" ht="12.75" x14ac:dyDescent="0.2"/>
    <row r="8546" customFormat="1" ht="12.75" x14ac:dyDescent="0.2"/>
    <row r="8547" customFormat="1" ht="12.75" x14ac:dyDescent="0.2"/>
    <row r="8548" customFormat="1" ht="12.75" x14ac:dyDescent="0.2"/>
    <row r="8549" customFormat="1" ht="12.75" x14ac:dyDescent="0.2"/>
    <row r="8550" customFormat="1" ht="12.75" x14ac:dyDescent="0.2"/>
    <row r="8551" customFormat="1" ht="12.75" x14ac:dyDescent="0.2"/>
    <row r="8552" customFormat="1" ht="12.75" x14ac:dyDescent="0.2"/>
    <row r="8553" customFormat="1" ht="12.75" x14ac:dyDescent="0.2"/>
    <row r="8554" customFormat="1" ht="12.75" x14ac:dyDescent="0.2"/>
    <row r="8555" customFormat="1" ht="12.75" x14ac:dyDescent="0.2"/>
    <row r="8556" customFormat="1" ht="12.75" x14ac:dyDescent="0.2"/>
    <row r="8557" customFormat="1" ht="12.75" x14ac:dyDescent="0.2"/>
    <row r="8558" customFormat="1" ht="12.75" x14ac:dyDescent="0.2"/>
    <row r="8559" customFormat="1" ht="12.75" x14ac:dyDescent="0.2"/>
    <row r="8560" customFormat="1" ht="12.75" x14ac:dyDescent="0.2"/>
    <row r="8561" customFormat="1" ht="12.75" x14ac:dyDescent="0.2"/>
    <row r="8562" customFormat="1" ht="12.75" x14ac:dyDescent="0.2"/>
    <row r="8563" customFormat="1" ht="12.75" x14ac:dyDescent="0.2"/>
    <row r="8564" customFormat="1" ht="12.75" x14ac:dyDescent="0.2"/>
    <row r="8565" customFormat="1" ht="12.75" x14ac:dyDescent="0.2"/>
    <row r="8566" customFormat="1" ht="12.75" x14ac:dyDescent="0.2"/>
    <row r="8567" customFormat="1" ht="12.75" x14ac:dyDescent="0.2"/>
    <row r="8568" customFormat="1" ht="12.75" x14ac:dyDescent="0.2"/>
    <row r="8569" customFormat="1" ht="12.75" x14ac:dyDescent="0.2"/>
    <row r="8570" customFormat="1" ht="12.75" x14ac:dyDescent="0.2"/>
    <row r="8571" customFormat="1" ht="12.75" x14ac:dyDescent="0.2"/>
    <row r="8572" customFormat="1" ht="12.75" x14ac:dyDescent="0.2"/>
    <row r="8573" customFormat="1" ht="12.75" x14ac:dyDescent="0.2"/>
    <row r="8574" customFormat="1" ht="12.75" x14ac:dyDescent="0.2"/>
    <row r="8575" customFormat="1" ht="12.75" x14ac:dyDescent="0.2"/>
    <row r="8576" customFormat="1" ht="12.75" x14ac:dyDescent="0.2"/>
    <row r="8577" customFormat="1" ht="12.75" x14ac:dyDescent="0.2"/>
    <row r="8578" customFormat="1" ht="12.75" x14ac:dyDescent="0.2"/>
    <row r="8579" customFormat="1" ht="12.75" x14ac:dyDescent="0.2"/>
    <row r="8580" customFormat="1" ht="12.75" x14ac:dyDescent="0.2"/>
    <row r="8581" customFormat="1" ht="12.75" x14ac:dyDescent="0.2"/>
    <row r="8582" customFormat="1" ht="12.75" x14ac:dyDescent="0.2"/>
    <row r="8583" customFormat="1" ht="12.75" x14ac:dyDescent="0.2"/>
    <row r="8584" customFormat="1" ht="12.75" x14ac:dyDescent="0.2"/>
    <row r="8585" customFormat="1" ht="12.75" x14ac:dyDescent="0.2"/>
    <row r="8586" customFormat="1" ht="12.75" x14ac:dyDescent="0.2"/>
    <row r="8587" customFormat="1" ht="12.75" x14ac:dyDescent="0.2"/>
    <row r="8588" customFormat="1" ht="12.75" x14ac:dyDescent="0.2"/>
    <row r="8589" customFormat="1" ht="12.75" x14ac:dyDescent="0.2"/>
    <row r="8590" customFormat="1" ht="12.75" x14ac:dyDescent="0.2"/>
    <row r="8591" customFormat="1" ht="12.75" x14ac:dyDescent="0.2"/>
    <row r="8592" customFormat="1" ht="12.75" x14ac:dyDescent="0.2"/>
    <row r="8593" customFormat="1" ht="12.75" x14ac:dyDescent="0.2"/>
    <row r="8594" customFormat="1" ht="12.75" x14ac:dyDescent="0.2"/>
    <row r="8595" customFormat="1" ht="12.75" x14ac:dyDescent="0.2"/>
    <row r="8596" customFormat="1" ht="12.75" x14ac:dyDescent="0.2"/>
    <row r="8597" customFormat="1" ht="12.75" x14ac:dyDescent="0.2"/>
    <row r="8598" customFormat="1" ht="12.75" x14ac:dyDescent="0.2"/>
    <row r="8599" customFormat="1" ht="12.75" x14ac:dyDescent="0.2"/>
    <row r="8600" customFormat="1" ht="12.75" x14ac:dyDescent="0.2"/>
    <row r="8601" customFormat="1" ht="12.75" x14ac:dyDescent="0.2"/>
    <row r="8602" customFormat="1" ht="12.75" x14ac:dyDescent="0.2"/>
    <row r="8603" customFormat="1" ht="12.75" x14ac:dyDescent="0.2"/>
    <row r="8604" customFormat="1" ht="12.75" x14ac:dyDescent="0.2"/>
    <row r="8605" customFormat="1" ht="12.75" x14ac:dyDescent="0.2"/>
    <row r="8606" customFormat="1" ht="12.75" x14ac:dyDescent="0.2"/>
    <row r="8607" customFormat="1" ht="12.75" x14ac:dyDescent="0.2"/>
    <row r="8608" customFormat="1" ht="12.75" x14ac:dyDescent="0.2"/>
    <row r="8609" customFormat="1" ht="12.75" x14ac:dyDescent="0.2"/>
    <row r="8610" customFormat="1" ht="12.75" x14ac:dyDescent="0.2"/>
    <row r="8611" customFormat="1" ht="12.75" x14ac:dyDescent="0.2"/>
    <row r="8612" customFormat="1" ht="12.75" x14ac:dyDescent="0.2"/>
    <row r="8613" customFormat="1" ht="12.75" x14ac:dyDescent="0.2"/>
    <row r="8614" customFormat="1" ht="12.75" x14ac:dyDescent="0.2"/>
    <row r="8615" customFormat="1" ht="12.75" x14ac:dyDescent="0.2"/>
    <row r="8616" customFormat="1" ht="12.75" x14ac:dyDescent="0.2"/>
    <row r="8617" customFormat="1" ht="12.75" x14ac:dyDescent="0.2"/>
    <row r="8618" customFormat="1" ht="12.75" x14ac:dyDescent="0.2"/>
    <row r="8619" customFormat="1" ht="12.75" x14ac:dyDescent="0.2"/>
    <row r="8620" customFormat="1" ht="12.75" x14ac:dyDescent="0.2"/>
    <row r="8621" customFormat="1" ht="12.75" x14ac:dyDescent="0.2"/>
    <row r="8622" customFormat="1" ht="12.75" x14ac:dyDescent="0.2"/>
    <row r="8623" customFormat="1" ht="12.75" x14ac:dyDescent="0.2"/>
    <row r="8624" customFormat="1" ht="12.75" x14ac:dyDescent="0.2"/>
    <row r="8625" customFormat="1" ht="12.75" x14ac:dyDescent="0.2"/>
    <row r="8626" customFormat="1" ht="12.75" x14ac:dyDescent="0.2"/>
    <row r="8627" customFormat="1" ht="12.75" x14ac:dyDescent="0.2"/>
    <row r="8628" customFormat="1" ht="12.75" x14ac:dyDescent="0.2"/>
    <row r="8629" customFormat="1" ht="12.75" x14ac:dyDescent="0.2"/>
    <row r="8630" customFormat="1" ht="12.75" x14ac:dyDescent="0.2"/>
    <row r="8631" customFormat="1" ht="12.75" x14ac:dyDescent="0.2"/>
    <row r="8632" customFormat="1" ht="12.75" x14ac:dyDescent="0.2"/>
    <row r="8633" customFormat="1" ht="12.75" x14ac:dyDescent="0.2"/>
    <row r="8634" customFormat="1" ht="12.75" x14ac:dyDescent="0.2"/>
    <row r="8635" customFormat="1" ht="12.75" x14ac:dyDescent="0.2"/>
    <row r="8636" customFormat="1" ht="12.75" x14ac:dyDescent="0.2"/>
    <row r="8637" customFormat="1" ht="12.75" x14ac:dyDescent="0.2"/>
    <row r="8638" customFormat="1" ht="12.75" x14ac:dyDescent="0.2"/>
    <row r="8639" customFormat="1" ht="12.75" x14ac:dyDescent="0.2"/>
    <row r="8640" customFormat="1" ht="12.75" x14ac:dyDescent="0.2"/>
    <row r="8641" customFormat="1" ht="12.75" x14ac:dyDescent="0.2"/>
    <row r="8642" customFormat="1" ht="12.75" x14ac:dyDescent="0.2"/>
    <row r="8643" customFormat="1" ht="12.75" x14ac:dyDescent="0.2"/>
    <row r="8644" customFormat="1" ht="12.75" x14ac:dyDescent="0.2"/>
    <row r="8645" customFormat="1" ht="12.75" x14ac:dyDescent="0.2"/>
    <row r="8646" customFormat="1" ht="12.75" x14ac:dyDescent="0.2"/>
    <row r="8647" customFormat="1" ht="12.75" x14ac:dyDescent="0.2"/>
    <row r="8648" customFormat="1" ht="12.75" x14ac:dyDescent="0.2"/>
    <row r="8649" customFormat="1" ht="12.75" x14ac:dyDescent="0.2"/>
    <row r="8650" customFormat="1" ht="12.75" x14ac:dyDescent="0.2"/>
    <row r="8651" customFormat="1" ht="12.75" x14ac:dyDescent="0.2"/>
    <row r="8652" customFormat="1" ht="12.75" x14ac:dyDescent="0.2"/>
    <row r="8653" customFormat="1" ht="12.75" x14ac:dyDescent="0.2"/>
    <row r="8654" customFormat="1" ht="12.75" x14ac:dyDescent="0.2"/>
    <row r="8655" customFormat="1" ht="12.75" x14ac:dyDescent="0.2"/>
    <row r="8656" customFormat="1" ht="12.75" x14ac:dyDescent="0.2"/>
    <row r="8657" customFormat="1" ht="12.75" x14ac:dyDescent="0.2"/>
    <row r="8658" customFormat="1" ht="12.75" x14ac:dyDescent="0.2"/>
    <row r="8659" customFormat="1" ht="12.75" x14ac:dyDescent="0.2"/>
    <row r="8660" customFormat="1" ht="12.75" x14ac:dyDescent="0.2"/>
    <row r="8661" customFormat="1" ht="12.75" x14ac:dyDescent="0.2"/>
    <row r="8662" customFormat="1" ht="12.75" x14ac:dyDescent="0.2"/>
    <row r="8663" customFormat="1" ht="12.75" x14ac:dyDescent="0.2"/>
    <row r="8664" customFormat="1" ht="12.75" x14ac:dyDescent="0.2"/>
    <row r="8665" customFormat="1" ht="12.75" x14ac:dyDescent="0.2"/>
    <row r="8666" customFormat="1" ht="12.75" x14ac:dyDescent="0.2"/>
    <row r="8667" customFormat="1" ht="12.75" x14ac:dyDescent="0.2"/>
    <row r="8668" customFormat="1" ht="12.75" x14ac:dyDescent="0.2"/>
    <row r="8669" customFormat="1" ht="12.75" x14ac:dyDescent="0.2"/>
    <row r="8670" customFormat="1" ht="12.75" x14ac:dyDescent="0.2"/>
    <row r="8671" customFormat="1" ht="12.75" x14ac:dyDescent="0.2"/>
    <row r="8672" customFormat="1" ht="12.75" x14ac:dyDescent="0.2"/>
    <row r="8673" customFormat="1" ht="12.75" x14ac:dyDescent="0.2"/>
    <row r="8674" customFormat="1" ht="12.75" x14ac:dyDescent="0.2"/>
    <row r="8675" customFormat="1" ht="12.75" x14ac:dyDescent="0.2"/>
    <row r="8676" customFormat="1" ht="12.75" x14ac:dyDescent="0.2"/>
    <row r="8677" customFormat="1" ht="12.75" x14ac:dyDescent="0.2"/>
    <row r="8678" customFormat="1" ht="12.75" x14ac:dyDescent="0.2"/>
    <row r="8679" customFormat="1" ht="12.75" x14ac:dyDescent="0.2"/>
    <row r="8680" customFormat="1" ht="12.75" x14ac:dyDescent="0.2"/>
    <row r="8681" customFormat="1" ht="12.75" x14ac:dyDescent="0.2"/>
    <row r="8682" customFormat="1" ht="12.75" x14ac:dyDescent="0.2"/>
    <row r="8683" customFormat="1" ht="12.75" x14ac:dyDescent="0.2"/>
    <row r="8684" customFormat="1" ht="12.75" x14ac:dyDescent="0.2"/>
    <row r="8685" customFormat="1" ht="12.75" x14ac:dyDescent="0.2"/>
    <row r="8686" customFormat="1" ht="12.75" x14ac:dyDescent="0.2"/>
    <row r="8687" customFormat="1" ht="12.75" x14ac:dyDescent="0.2"/>
    <row r="8688" customFormat="1" ht="12.75" x14ac:dyDescent="0.2"/>
    <row r="8689" customFormat="1" ht="12.75" x14ac:dyDescent="0.2"/>
    <row r="8690" customFormat="1" ht="12.75" x14ac:dyDescent="0.2"/>
    <row r="8691" customFormat="1" ht="12.75" x14ac:dyDescent="0.2"/>
    <row r="8692" customFormat="1" ht="12.75" x14ac:dyDescent="0.2"/>
    <row r="8693" customFormat="1" ht="12.75" x14ac:dyDescent="0.2"/>
    <row r="8694" customFormat="1" ht="12.75" x14ac:dyDescent="0.2"/>
    <row r="8695" customFormat="1" ht="12.75" x14ac:dyDescent="0.2"/>
    <row r="8696" customFormat="1" ht="12.75" x14ac:dyDescent="0.2"/>
    <row r="8697" customFormat="1" ht="12.75" x14ac:dyDescent="0.2"/>
    <row r="8698" customFormat="1" ht="12.75" x14ac:dyDescent="0.2"/>
    <row r="8699" customFormat="1" ht="12.75" x14ac:dyDescent="0.2"/>
    <row r="8700" customFormat="1" ht="12.75" x14ac:dyDescent="0.2"/>
    <row r="8701" customFormat="1" ht="12.75" x14ac:dyDescent="0.2"/>
    <row r="8702" customFormat="1" ht="12.75" x14ac:dyDescent="0.2"/>
    <row r="8703" customFormat="1" ht="12.75" x14ac:dyDescent="0.2"/>
    <row r="8704" customFormat="1" ht="12.75" x14ac:dyDescent="0.2"/>
    <row r="8705" customFormat="1" ht="12.75" x14ac:dyDescent="0.2"/>
    <row r="8706" customFormat="1" ht="12.75" x14ac:dyDescent="0.2"/>
    <row r="8707" customFormat="1" ht="12.75" x14ac:dyDescent="0.2"/>
    <row r="8708" customFormat="1" ht="12.75" x14ac:dyDescent="0.2"/>
    <row r="8709" customFormat="1" ht="12.75" x14ac:dyDescent="0.2"/>
    <row r="8710" customFormat="1" ht="12.75" x14ac:dyDescent="0.2"/>
    <row r="8711" customFormat="1" ht="12.75" x14ac:dyDescent="0.2"/>
    <row r="8712" customFormat="1" ht="12.75" x14ac:dyDescent="0.2"/>
    <row r="8713" customFormat="1" ht="12.75" x14ac:dyDescent="0.2"/>
    <row r="8714" customFormat="1" ht="12.75" x14ac:dyDescent="0.2"/>
    <row r="8715" customFormat="1" ht="12.75" x14ac:dyDescent="0.2"/>
    <row r="8716" customFormat="1" ht="12.75" x14ac:dyDescent="0.2"/>
    <row r="8717" customFormat="1" ht="12.75" x14ac:dyDescent="0.2"/>
    <row r="8718" customFormat="1" ht="12.75" x14ac:dyDescent="0.2"/>
    <row r="8719" customFormat="1" ht="12.75" x14ac:dyDescent="0.2"/>
    <row r="8720" customFormat="1" ht="12.75" x14ac:dyDescent="0.2"/>
    <row r="8721" customFormat="1" ht="12.75" x14ac:dyDescent="0.2"/>
    <row r="8722" customFormat="1" ht="12.75" x14ac:dyDescent="0.2"/>
    <row r="8723" customFormat="1" ht="12.75" x14ac:dyDescent="0.2"/>
    <row r="8724" customFormat="1" ht="12.75" x14ac:dyDescent="0.2"/>
    <row r="8725" customFormat="1" ht="12.75" x14ac:dyDescent="0.2"/>
    <row r="8726" customFormat="1" ht="12.75" x14ac:dyDescent="0.2"/>
    <row r="8727" customFormat="1" ht="12.75" x14ac:dyDescent="0.2"/>
    <row r="8728" customFormat="1" ht="12.75" x14ac:dyDescent="0.2"/>
    <row r="8729" customFormat="1" ht="12.75" x14ac:dyDescent="0.2"/>
    <row r="8730" customFormat="1" ht="12.75" x14ac:dyDescent="0.2"/>
    <row r="8731" customFormat="1" ht="12.75" x14ac:dyDescent="0.2"/>
    <row r="8732" customFormat="1" ht="12.75" x14ac:dyDescent="0.2"/>
    <row r="8733" customFormat="1" ht="12.75" x14ac:dyDescent="0.2"/>
    <row r="8734" customFormat="1" ht="12.75" x14ac:dyDescent="0.2"/>
    <row r="8735" customFormat="1" ht="12.75" x14ac:dyDescent="0.2"/>
    <row r="8736" customFormat="1" ht="12.75" x14ac:dyDescent="0.2"/>
    <row r="8737" customFormat="1" ht="12.75" x14ac:dyDescent="0.2"/>
    <row r="8738" customFormat="1" ht="12.75" x14ac:dyDescent="0.2"/>
    <row r="8739" customFormat="1" ht="12.75" x14ac:dyDescent="0.2"/>
    <row r="8740" customFormat="1" ht="12.75" x14ac:dyDescent="0.2"/>
    <row r="8741" customFormat="1" ht="12.75" x14ac:dyDescent="0.2"/>
    <row r="8742" customFormat="1" ht="12.75" x14ac:dyDescent="0.2"/>
    <row r="8743" customFormat="1" ht="12.75" x14ac:dyDescent="0.2"/>
    <row r="8744" customFormat="1" ht="12.75" x14ac:dyDescent="0.2"/>
    <row r="8745" customFormat="1" ht="12.75" x14ac:dyDescent="0.2"/>
    <row r="8746" customFormat="1" ht="12.75" x14ac:dyDescent="0.2"/>
    <row r="8747" customFormat="1" ht="12.75" x14ac:dyDescent="0.2"/>
    <row r="8748" customFormat="1" ht="12.75" x14ac:dyDescent="0.2"/>
    <row r="8749" customFormat="1" ht="12.75" x14ac:dyDescent="0.2"/>
    <row r="8750" customFormat="1" ht="12.75" x14ac:dyDescent="0.2"/>
    <row r="8751" customFormat="1" ht="12.75" x14ac:dyDescent="0.2"/>
    <row r="8752" customFormat="1" ht="12.75" x14ac:dyDescent="0.2"/>
    <row r="8753" customFormat="1" ht="12.75" x14ac:dyDescent="0.2"/>
    <row r="8754" customFormat="1" ht="12.75" x14ac:dyDescent="0.2"/>
    <row r="8755" customFormat="1" ht="12.75" x14ac:dyDescent="0.2"/>
    <row r="8756" customFormat="1" ht="12.75" x14ac:dyDescent="0.2"/>
    <row r="8757" customFormat="1" ht="12.75" x14ac:dyDescent="0.2"/>
    <row r="8758" customFormat="1" ht="12.75" x14ac:dyDescent="0.2"/>
    <row r="8759" customFormat="1" ht="12.75" x14ac:dyDescent="0.2"/>
    <row r="8760" customFormat="1" ht="12.75" x14ac:dyDescent="0.2"/>
    <row r="8761" customFormat="1" ht="12.75" x14ac:dyDescent="0.2"/>
    <row r="8762" customFormat="1" ht="12.75" x14ac:dyDescent="0.2"/>
    <row r="8763" customFormat="1" ht="12.75" x14ac:dyDescent="0.2"/>
    <row r="8764" customFormat="1" ht="12.75" x14ac:dyDescent="0.2"/>
    <row r="8765" customFormat="1" ht="12.75" x14ac:dyDescent="0.2"/>
    <row r="8766" customFormat="1" ht="12.75" x14ac:dyDescent="0.2"/>
    <row r="8767" customFormat="1" ht="12.75" x14ac:dyDescent="0.2"/>
    <row r="8768" customFormat="1" ht="12.75" x14ac:dyDescent="0.2"/>
    <row r="8769" customFormat="1" ht="12.75" x14ac:dyDescent="0.2"/>
    <row r="8770" customFormat="1" ht="12.75" x14ac:dyDescent="0.2"/>
    <row r="8771" customFormat="1" ht="12.75" x14ac:dyDescent="0.2"/>
    <row r="8772" customFormat="1" ht="12.75" x14ac:dyDescent="0.2"/>
    <row r="8773" customFormat="1" ht="12.75" x14ac:dyDescent="0.2"/>
    <row r="8774" customFormat="1" ht="12.75" x14ac:dyDescent="0.2"/>
    <row r="8775" customFormat="1" ht="12.75" x14ac:dyDescent="0.2"/>
    <row r="8776" customFormat="1" ht="12.75" x14ac:dyDescent="0.2"/>
    <row r="8777" customFormat="1" ht="12.75" x14ac:dyDescent="0.2"/>
    <row r="8778" customFormat="1" ht="12.75" x14ac:dyDescent="0.2"/>
    <row r="8779" customFormat="1" ht="12.75" x14ac:dyDescent="0.2"/>
    <row r="8780" customFormat="1" ht="12.75" x14ac:dyDescent="0.2"/>
    <row r="8781" customFormat="1" ht="12.75" x14ac:dyDescent="0.2"/>
    <row r="8782" customFormat="1" ht="12.75" x14ac:dyDescent="0.2"/>
    <row r="8783" customFormat="1" ht="12.75" x14ac:dyDescent="0.2"/>
    <row r="8784" customFormat="1" ht="12.75" x14ac:dyDescent="0.2"/>
    <row r="8785" customFormat="1" ht="12.75" x14ac:dyDescent="0.2"/>
    <row r="8786" customFormat="1" ht="12.75" x14ac:dyDescent="0.2"/>
    <row r="8787" customFormat="1" ht="12.75" x14ac:dyDescent="0.2"/>
    <row r="8788" customFormat="1" ht="12.75" x14ac:dyDescent="0.2"/>
    <row r="8789" customFormat="1" ht="12.75" x14ac:dyDescent="0.2"/>
    <row r="8790" customFormat="1" ht="12.75" x14ac:dyDescent="0.2"/>
    <row r="8791" customFormat="1" ht="12.75" x14ac:dyDescent="0.2"/>
    <row r="8792" customFormat="1" ht="12.75" x14ac:dyDescent="0.2"/>
    <row r="8793" customFormat="1" ht="12.75" x14ac:dyDescent="0.2"/>
    <row r="8794" customFormat="1" ht="12.75" x14ac:dyDescent="0.2"/>
    <row r="8795" customFormat="1" ht="12.75" x14ac:dyDescent="0.2"/>
    <row r="8796" customFormat="1" ht="12.75" x14ac:dyDescent="0.2"/>
    <row r="8797" customFormat="1" ht="12.75" x14ac:dyDescent="0.2"/>
    <row r="8798" customFormat="1" ht="12.75" x14ac:dyDescent="0.2"/>
    <row r="8799" customFormat="1" ht="12.75" x14ac:dyDescent="0.2"/>
    <row r="8800" customFormat="1" ht="12.75" x14ac:dyDescent="0.2"/>
    <row r="8801" customFormat="1" ht="12.75" x14ac:dyDescent="0.2"/>
    <row r="8802" customFormat="1" ht="12.75" x14ac:dyDescent="0.2"/>
    <row r="8803" customFormat="1" ht="12.75" x14ac:dyDescent="0.2"/>
    <row r="8804" customFormat="1" ht="12.75" x14ac:dyDescent="0.2"/>
    <row r="8805" customFormat="1" ht="12.75" x14ac:dyDescent="0.2"/>
    <row r="8806" customFormat="1" ht="12.75" x14ac:dyDescent="0.2"/>
    <row r="8807" customFormat="1" ht="12.75" x14ac:dyDescent="0.2"/>
    <row r="8808" customFormat="1" ht="12.75" x14ac:dyDescent="0.2"/>
    <row r="8809" customFormat="1" ht="12.75" x14ac:dyDescent="0.2"/>
    <row r="8810" customFormat="1" ht="12.75" x14ac:dyDescent="0.2"/>
    <row r="8811" customFormat="1" ht="12.75" x14ac:dyDescent="0.2"/>
    <row r="8812" customFormat="1" ht="12.75" x14ac:dyDescent="0.2"/>
    <row r="8813" customFormat="1" ht="12.75" x14ac:dyDescent="0.2"/>
    <row r="8814" customFormat="1" ht="12.75" x14ac:dyDescent="0.2"/>
    <row r="8815" customFormat="1" ht="12.75" x14ac:dyDescent="0.2"/>
    <row r="8816" customFormat="1" ht="12.75" x14ac:dyDescent="0.2"/>
    <row r="8817" customFormat="1" ht="12.75" x14ac:dyDescent="0.2"/>
    <row r="8818" customFormat="1" ht="12.75" x14ac:dyDescent="0.2"/>
    <row r="8819" customFormat="1" ht="12.75" x14ac:dyDescent="0.2"/>
    <row r="8820" customFormat="1" ht="12.75" x14ac:dyDescent="0.2"/>
    <row r="8821" customFormat="1" ht="12.75" x14ac:dyDescent="0.2"/>
    <row r="8822" customFormat="1" ht="12.75" x14ac:dyDescent="0.2"/>
    <row r="8823" customFormat="1" ht="12.75" x14ac:dyDescent="0.2"/>
    <row r="8824" customFormat="1" ht="12.75" x14ac:dyDescent="0.2"/>
    <row r="8825" customFormat="1" ht="12.75" x14ac:dyDescent="0.2"/>
    <row r="8826" customFormat="1" ht="12.75" x14ac:dyDescent="0.2"/>
    <row r="8827" customFormat="1" ht="12.75" x14ac:dyDescent="0.2"/>
    <row r="8828" customFormat="1" ht="12.75" x14ac:dyDescent="0.2"/>
    <row r="8829" customFormat="1" ht="12.75" x14ac:dyDescent="0.2"/>
    <row r="8830" customFormat="1" ht="12.75" x14ac:dyDescent="0.2"/>
    <row r="8831" customFormat="1" ht="12.75" x14ac:dyDescent="0.2"/>
    <row r="8832" customFormat="1" ht="12.75" x14ac:dyDescent="0.2"/>
    <row r="8833" customFormat="1" ht="12.75" x14ac:dyDescent="0.2"/>
    <row r="8834" customFormat="1" ht="12.75" x14ac:dyDescent="0.2"/>
    <row r="8835" customFormat="1" ht="12.75" x14ac:dyDescent="0.2"/>
    <row r="8836" customFormat="1" ht="12.75" x14ac:dyDescent="0.2"/>
    <row r="8837" customFormat="1" ht="12.75" x14ac:dyDescent="0.2"/>
    <row r="8838" customFormat="1" ht="12.75" x14ac:dyDescent="0.2"/>
    <row r="8839" customFormat="1" ht="12.75" x14ac:dyDescent="0.2"/>
    <row r="8840" customFormat="1" ht="12.75" x14ac:dyDescent="0.2"/>
    <row r="8841" customFormat="1" ht="12.75" x14ac:dyDescent="0.2"/>
    <row r="8842" customFormat="1" ht="12.75" x14ac:dyDescent="0.2"/>
    <row r="8843" customFormat="1" ht="12.75" x14ac:dyDescent="0.2"/>
    <row r="8844" customFormat="1" ht="12.75" x14ac:dyDescent="0.2"/>
    <row r="8845" customFormat="1" ht="12.75" x14ac:dyDescent="0.2"/>
    <row r="8846" customFormat="1" ht="12.75" x14ac:dyDescent="0.2"/>
    <row r="8847" customFormat="1" ht="12.75" x14ac:dyDescent="0.2"/>
    <row r="8848" customFormat="1" ht="12.75" x14ac:dyDescent="0.2"/>
    <row r="8849" customFormat="1" ht="12.75" x14ac:dyDescent="0.2"/>
    <row r="8850" customFormat="1" ht="12.75" x14ac:dyDescent="0.2"/>
    <row r="8851" customFormat="1" ht="12.75" x14ac:dyDescent="0.2"/>
    <row r="8852" customFormat="1" ht="12.75" x14ac:dyDescent="0.2"/>
    <row r="8853" customFormat="1" ht="12.75" x14ac:dyDescent="0.2"/>
    <row r="8854" customFormat="1" ht="12.75" x14ac:dyDescent="0.2"/>
    <row r="8855" customFormat="1" ht="12.75" x14ac:dyDescent="0.2"/>
    <row r="8856" customFormat="1" ht="12.75" x14ac:dyDescent="0.2"/>
    <row r="8857" customFormat="1" ht="12.75" x14ac:dyDescent="0.2"/>
    <row r="8858" customFormat="1" ht="12.75" x14ac:dyDescent="0.2"/>
    <row r="8859" customFormat="1" ht="12.75" x14ac:dyDescent="0.2"/>
    <row r="8860" customFormat="1" ht="12.75" x14ac:dyDescent="0.2"/>
    <row r="8861" customFormat="1" ht="12.75" x14ac:dyDescent="0.2"/>
    <row r="8862" customFormat="1" ht="12.75" x14ac:dyDescent="0.2"/>
    <row r="8863" customFormat="1" ht="12.75" x14ac:dyDescent="0.2"/>
    <row r="8864" customFormat="1" ht="12.75" x14ac:dyDescent="0.2"/>
    <row r="8865" customFormat="1" ht="12.75" x14ac:dyDescent="0.2"/>
    <row r="8866" customFormat="1" ht="12.75" x14ac:dyDescent="0.2"/>
    <row r="8867" customFormat="1" ht="12.75" x14ac:dyDescent="0.2"/>
    <row r="8868" customFormat="1" ht="12.75" x14ac:dyDescent="0.2"/>
    <row r="8869" customFormat="1" ht="12.75" x14ac:dyDescent="0.2"/>
    <row r="8870" customFormat="1" ht="12.75" x14ac:dyDescent="0.2"/>
    <row r="8871" customFormat="1" ht="12.75" x14ac:dyDescent="0.2"/>
    <row r="8872" customFormat="1" ht="12.75" x14ac:dyDescent="0.2"/>
    <row r="8873" customFormat="1" ht="12.75" x14ac:dyDescent="0.2"/>
    <row r="8874" customFormat="1" ht="12.75" x14ac:dyDescent="0.2"/>
    <row r="8875" customFormat="1" ht="12.75" x14ac:dyDescent="0.2"/>
    <row r="8876" customFormat="1" ht="12.75" x14ac:dyDescent="0.2"/>
    <row r="8877" customFormat="1" ht="12.75" x14ac:dyDescent="0.2"/>
    <row r="8878" customFormat="1" ht="12.75" x14ac:dyDescent="0.2"/>
    <row r="8879" customFormat="1" ht="12.75" x14ac:dyDescent="0.2"/>
    <row r="8880" customFormat="1" ht="12.75" x14ac:dyDescent="0.2"/>
    <row r="8881" customFormat="1" ht="12.75" x14ac:dyDescent="0.2"/>
    <row r="8882" customFormat="1" ht="12.75" x14ac:dyDescent="0.2"/>
    <row r="8883" customFormat="1" ht="12.75" x14ac:dyDescent="0.2"/>
    <row r="8884" customFormat="1" ht="12.75" x14ac:dyDescent="0.2"/>
    <row r="8885" customFormat="1" ht="12.75" x14ac:dyDescent="0.2"/>
    <row r="8886" customFormat="1" ht="12.75" x14ac:dyDescent="0.2"/>
    <row r="8887" customFormat="1" ht="12.75" x14ac:dyDescent="0.2"/>
    <row r="8888" customFormat="1" ht="12.75" x14ac:dyDescent="0.2"/>
    <row r="8889" customFormat="1" ht="12.75" x14ac:dyDescent="0.2"/>
    <row r="8890" customFormat="1" ht="12.75" x14ac:dyDescent="0.2"/>
    <row r="8891" customFormat="1" ht="12.75" x14ac:dyDescent="0.2"/>
    <row r="8892" customFormat="1" ht="12.75" x14ac:dyDescent="0.2"/>
    <row r="8893" customFormat="1" ht="12.75" x14ac:dyDescent="0.2"/>
    <row r="8894" customFormat="1" ht="12.75" x14ac:dyDescent="0.2"/>
    <row r="8895" customFormat="1" ht="12.75" x14ac:dyDescent="0.2"/>
    <row r="8896" customFormat="1" ht="12.75" x14ac:dyDescent="0.2"/>
    <row r="8897" customFormat="1" ht="12.75" x14ac:dyDescent="0.2"/>
    <row r="8898" customFormat="1" ht="12.75" x14ac:dyDescent="0.2"/>
    <row r="8899" customFormat="1" ht="12.75" x14ac:dyDescent="0.2"/>
    <row r="8900" customFormat="1" ht="12.75" x14ac:dyDescent="0.2"/>
    <row r="8901" customFormat="1" ht="12.75" x14ac:dyDescent="0.2"/>
    <row r="8902" customFormat="1" ht="12.75" x14ac:dyDescent="0.2"/>
    <row r="8903" customFormat="1" ht="12.75" x14ac:dyDescent="0.2"/>
    <row r="8904" customFormat="1" ht="12.75" x14ac:dyDescent="0.2"/>
    <row r="8905" customFormat="1" ht="12.75" x14ac:dyDescent="0.2"/>
    <row r="8906" customFormat="1" ht="12.75" x14ac:dyDescent="0.2"/>
    <row r="8907" customFormat="1" ht="12.75" x14ac:dyDescent="0.2"/>
    <row r="8908" customFormat="1" ht="12.75" x14ac:dyDescent="0.2"/>
    <row r="8909" customFormat="1" ht="12.75" x14ac:dyDescent="0.2"/>
    <row r="8910" customFormat="1" ht="12.75" x14ac:dyDescent="0.2"/>
    <row r="8911" customFormat="1" ht="12.75" x14ac:dyDescent="0.2"/>
    <row r="8912" customFormat="1" ht="12.75" x14ac:dyDescent="0.2"/>
    <row r="8913" customFormat="1" ht="12.75" x14ac:dyDescent="0.2"/>
    <row r="8914" customFormat="1" ht="12.75" x14ac:dyDescent="0.2"/>
    <row r="8915" customFormat="1" ht="12.75" x14ac:dyDescent="0.2"/>
    <row r="8916" customFormat="1" ht="12.75" x14ac:dyDescent="0.2"/>
    <row r="8917" customFormat="1" ht="12.75" x14ac:dyDescent="0.2"/>
    <row r="8918" customFormat="1" ht="12.75" x14ac:dyDescent="0.2"/>
    <row r="8919" customFormat="1" ht="12.75" x14ac:dyDescent="0.2"/>
    <row r="8920" customFormat="1" ht="12.75" x14ac:dyDescent="0.2"/>
    <row r="8921" customFormat="1" ht="12.75" x14ac:dyDescent="0.2"/>
    <row r="8922" customFormat="1" ht="12.75" x14ac:dyDescent="0.2"/>
    <row r="8923" customFormat="1" ht="12.75" x14ac:dyDescent="0.2"/>
    <row r="8924" customFormat="1" ht="12.75" x14ac:dyDescent="0.2"/>
    <row r="8925" customFormat="1" ht="12.75" x14ac:dyDescent="0.2"/>
    <row r="8926" customFormat="1" ht="12.75" x14ac:dyDescent="0.2"/>
    <row r="8927" customFormat="1" ht="12.75" x14ac:dyDescent="0.2"/>
    <row r="8928" customFormat="1" ht="12.75" x14ac:dyDescent="0.2"/>
    <row r="8929" customFormat="1" ht="12.75" x14ac:dyDescent="0.2"/>
    <row r="8930" customFormat="1" ht="12.75" x14ac:dyDescent="0.2"/>
    <row r="8931" customFormat="1" ht="12.75" x14ac:dyDescent="0.2"/>
    <row r="8932" customFormat="1" ht="12.75" x14ac:dyDescent="0.2"/>
    <row r="8933" customFormat="1" ht="12.75" x14ac:dyDescent="0.2"/>
    <row r="8934" customFormat="1" ht="12.75" x14ac:dyDescent="0.2"/>
    <row r="8935" customFormat="1" ht="12.75" x14ac:dyDescent="0.2"/>
    <row r="8936" customFormat="1" ht="12.75" x14ac:dyDescent="0.2"/>
    <row r="8937" customFormat="1" ht="12.75" x14ac:dyDescent="0.2"/>
    <row r="8938" customFormat="1" ht="12.75" x14ac:dyDescent="0.2"/>
    <row r="8939" customFormat="1" ht="12.75" x14ac:dyDescent="0.2"/>
    <row r="8940" customFormat="1" ht="12.75" x14ac:dyDescent="0.2"/>
    <row r="8941" customFormat="1" ht="12.75" x14ac:dyDescent="0.2"/>
    <row r="8942" customFormat="1" ht="12.75" x14ac:dyDescent="0.2"/>
    <row r="8943" customFormat="1" ht="12.75" x14ac:dyDescent="0.2"/>
    <row r="8944" customFormat="1" ht="12.75" x14ac:dyDescent="0.2"/>
    <row r="8945" customFormat="1" ht="12.75" x14ac:dyDescent="0.2"/>
    <row r="8946" customFormat="1" ht="12.75" x14ac:dyDescent="0.2"/>
    <row r="8947" customFormat="1" ht="12.75" x14ac:dyDescent="0.2"/>
    <row r="8948" customFormat="1" ht="12.75" x14ac:dyDescent="0.2"/>
    <row r="8949" customFormat="1" ht="12.75" x14ac:dyDescent="0.2"/>
    <row r="8950" customFormat="1" ht="12.75" x14ac:dyDescent="0.2"/>
    <row r="8951" customFormat="1" ht="12.75" x14ac:dyDescent="0.2"/>
    <row r="8952" customFormat="1" ht="12.75" x14ac:dyDescent="0.2"/>
    <row r="8953" customFormat="1" ht="12.75" x14ac:dyDescent="0.2"/>
    <row r="8954" customFormat="1" ht="12.75" x14ac:dyDescent="0.2"/>
    <row r="8955" customFormat="1" ht="12.75" x14ac:dyDescent="0.2"/>
    <row r="8956" customFormat="1" ht="12.75" x14ac:dyDescent="0.2"/>
    <row r="8957" customFormat="1" ht="12.75" x14ac:dyDescent="0.2"/>
    <row r="8958" customFormat="1" ht="12.75" x14ac:dyDescent="0.2"/>
    <row r="8959" customFormat="1" ht="12.75" x14ac:dyDescent="0.2"/>
    <row r="8960" customFormat="1" ht="12.75" x14ac:dyDescent="0.2"/>
    <row r="8961" customFormat="1" ht="12.75" x14ac:dyDescent="0.2"/>
    <row r="8962" customFormat="1" ht="12.75" x14ac:dyDescent="0.2"/>
    <row r="8963" customFormat="1" ht="12.75" x14ac:dyDescent="0.2"/>
    <row r="8964" customFormat="1" ht="12.75" x14ac:dyDescent="0.2"/>
    <row r="8965" customFormat="1" ht="12.75" x14ac:dyDescent="0.2"/>
    <row r="8966" customFormat="1" ht="12.75" x14ac:dyDescent="0.2"/>
    <row r="8967" customFormat="1" ht="12.75" x14ac:dyDescent="0.2"/>
    <row r="8968" customFormat="1" ht="12.75" x14ac:dyDescent="0.2"/>
    <row r="8969" customFormat="1" ht="12.75" x14ac:dyDescent="0.2"/>
    <row r="8970" customFormat="1" ht="12.75" x14ac:dyDescent="0.2"/>
    <row r="8971" customFormat="1" ht="12.75" x14ac:dyDescent="0.2"/>
    <row r="8972" customFormat="1" ht="12.75" x14ac:dyDescent="0.2"/>
    <row r="8973" customFormat="1" ht="12.75" x14ac:dyDescent="0.2"/>
    <row r="8974" customFormat="1" ht="12.75" x14ac:dyDescent="0.2"/>
    <row r="8975" customFormat="1" ht="12.75" x14ac:dyDescent="0.2"/>
    <row r="8976" customFormat="1" ht="12.75" x14ac:dyDescent="0.2"/>
    <row r="8977" customFormat="1" ht="12.75" x14ac:dyDescent="0.2"/>
    <row r="8978" customFormat="1" ht="12.75" x14ac:dyDescent="0.2"/>
    <row r="8979" customFormat="1" ht="12.75" x14ac:dyDescent="0.2"/>
    <row r="8980" customFormat="1" ht="12.75" x14ac:dyDescent="0.2"/>
    <row r="8981" customFormat="1" ht="12.75" x14ac:dyDescent="0.2"/>
    <row r="8982" customFormat="1" ht="12.75" x14ac:dyDescent="0.2"/>
    <row r="8983" customFormat="1" ht="12.75" x14ac:dyDescent="0.2"/>
    <row r="8984" customFormat="1" ht="12.75" x14ac:dyDescent="0.2"/>
    <row r="8985" customFormat="1" ht="12.75" x14ac:dyDescent="0.2"/>
    <row r="8986" customFormat="1" ht="12.75" x14ac:dyDescent="0.2"/>
    <row r="8987" customFormat="1" ht="12.75" x14ac:dyDescent="0.2"/>
    <row r="8988" customFormat="1" ht="12.75" x14ac:dyDescent="0.2"/>
    <row r="8989" customFormat="1" ht="12.75" x14ac:dyDescent="0.2"/>
    <row r="8990" customFormat="1" ht="12.75" x14ac:dyDescent="0.2"/>
    <row r="8991" customFormat="1" ht="12.75" x14ac:dyDescent="0.2"/>
    <row r="8992" customFormat="1" ht="12.75" x14ac:dyDescent="0.2"/>
    <row r="8993" customFormat="1" ht="12.75" x14ac:dyDescent="0.2"/>
    <row r="8994" customFormat="1" ht="12.75" x14ac:dyDescent="0.2"/>
    <row r="8995" customFormat="1" ht="12.75" x14ac:dyDescent="0.2"/>
    <row r="8996" customFormat="1" ht="12.75" x14ac:dyDescent="0.2"/>
    <row r="8997" customFormat="1" ht="12.75" x14ac:dyDescent="0.2"/>
    <row r="8998" customFormat="1" ht="12.75" x14ac:dyDescent="0.2"/>
    <row r="8999" customFormat="1" ht="12.75" x14ac:dyDescent="0.2"/>
    <row r="9000" customFormat="1" ht="12.75" x14ac:dyDescent="0.2"/>
    <row r="9001" customFormat="1" ht="12.75" x14ac:dyDescent="0.2"/>
    <row r="9002" customFormat="1" ht="12.75" x14ac:dyDescent="0.2"/>
    <row r="9003" customFormat="1" ht="12.75" x14ac:dyDescent="0.2"/>
    <row r="9004" customFormat="1" ht="12.75" x14ac:dyDescent="0.2"/>
    <row r="9005" customFormat="1" ht="12.75" x14ac:dyDescent="0.2"/>
    <row r="9006" customFormat="1" ht="12.75" x14ac:dyDescent="0.2"/>
    <row r="9007" customFormat="1" ht="12.75" x14ac:dyDescent="0.2"/>
    <row r="9008" customFormat="1" ht="12.75" x14ac:dyDescent="0.2"/>
    <row r="9009" customFormat="1" ht="12.75" x14ac:dyDescent="0.2"/>
    <row r="9010" customFormat="1" ht="12.75" x14ac:dyDescent="0.2"/>
    <row r="9011" customFormat="1" ht="12.75" x14ac:dyDescent="0.2"/>
    <row r="9012" customFormat="1" ht="12.75" x14ac:dyDescent="0.2"/>
    <row r="9013" customFormat="1" ht="12.75" x14ac:dyDescent="0.2"/>
    <row r="9014" customFormat="1" ht="12.75" x14ac:dyDescent="0.2"/>
    <row r="9015" customFormat="1" ht="12.75" x14ac:dyDescent="0.2"/>
    <row r="9016" customFormat="1" ht="12.75" x14ac:dyDescent="0.2"/>
    <row r="9017" customFormat="1" ht="12.75" x14ac:dyDescent="0.2"/>
    <row r="9018" customFormat="1" ht="12.75" x14ac:dyDescent="0.2"/>
    <row r="9019" customFormat="1" ht="12.75" x14ac:dyDescent="0.2"/>
    <row r="9020" customFormat="1" ht="12.75" x14ac:dyDescent="0.2"/>
    <row r="9021" customFormat="1" ht="12.75" x14ac:dyDescent="0.2"/>
    <row r="9022" customFormat="1" ht="12.75" x14ac:dyDescent="0.2"/>
    <row r="9023" customFormat="1" ht="12.75" x14ac:dyDescent="0.2"/>
    <row r="9024" customFormat="1" ht="12.75" x14ac:dyDescent="0.2"/>
    <row r="9025" customFormat="1" ht="12.75" x14ac:dyDescent="0.2"/>
    <row r="9026" customFormat="1" ht="12.75" x14ac:dyDescent="0.2"/>
    <row r="9027" customFormat="1" ht="12.75" x14ac:dyDescent="0.2"/>
    <row r="9028" customFormat="1" ht="12.75" x14ac:dyDescent="0.2"/>
    <row r="9029" customFormat="1" ht="12.75" x14ac:dyDescent="0.2"/>
    <row r="9030" customFormat="1" ht="12.75" x14ac:dyDescent="0.2"/>
    <row r="9031" customFormat="1" ht="12.75" x14ac:dyDescent="0.2"/>
    <row r="9032" customFormat="1" ht="12.75" x14ac:dyDescent="0.2"/>
    <row r="9033" customFormat="1" ht="12.75" x14ac:dyDescent="0.2"/>
    <row r="9034" customFormat="1" ht="12.75" x14ac:dyDescent="0.2"/>
    <row r="9035" customFormat="1" ht="12.75" x14ac:dyDescent="0.2"/>
    <row r="9036" customFormat="1" ht="12.75" x14ac:dyDescent="0.2"/>
    <row r="9037" customFormat="1" ht="12.75" x14ac:dyDescent="0.2"/>
    <row r="9038" customFormat="1" ht="12.75" x14ac:dyDescent="0.2"/>
    <row r="9039" customFormat="1" ht="12.75" x14ac:dyDescent="0.2"/>
    <row r="9040" customFormat="1" ht="12.75" x14ac:dyDescent="0.2"/>
    <row r="9041" customFormat="1" ht="12.75" x14ac:dyDescent="0.2"/>
    <row r="9042" customFormat="1" ht="12.75" x14ac:dyDescent="0.2"/>
    <row r="9043" customFormat="1" ht="12.75" x14ac:dyDescent="0.2"/>
    <row r="9044" customFormat="1" ht="12.75" x14ac:dyDescent="0.2"/>
    <row r="9045" customFormat="1" ht="12.75" x14ac:dyDescent="0.2"/>
    <row r="9046" customFormat="1" ht="12.75" x14ac:dyDescent="0.2"/>
    <row r="9047" customFormat="1" ht="12.75" x14ac:dyDescent="0.2"/>
    <row r="9048" customFormat="1" ht="12.75" x14ac:dyDescent="0.2"/>
    <row r="9049" customFormat="1" ht="12.75" x14ac:dyDescent="0.2"/>
    <row r="9050" customFormat="1" ht="12.75" x14ac:dyDescent="0.2"/>
    <row r="9051" customFormat="1" ht="12.75" x14ac:dyDescent="0.2"/>
    <row r="9052" customFormat="1" ht="12.75" x14ac:dyDescent="0.2"/>
    <row r="9053" customFormat="1" ht="12.75" x14ac:dyDescent="0.2"/>
    <row r="9054" customFormat="1" ht="12.75" x14ac:dyDescent="0.2"/>
    <row r="9055" customFormat="1" ht="12.75" x14ac:dyDescent="0.2"/>
    <row r="9056" customFormat="1" ht="12.75" x14ac:dyDescent="0.2"/>
    <row r="9057" customFormat="1" ht="12.75" x14ac:dyDescent="0.2"/>
    <row r="9058" customFormat="1" ht="12.75" x14ac:dyDescent="0.2"/>
    <row r="9059" customFormat="1" ht="12.75" x14ac:dyDescent="0.2"/>
    <row r="9060" customFormat="1" ht="12.75" x14ac:dyDescent="0.2"/>
    <row r="9061" customFormat="1" ht="12.75" x14ac:dyDescent="0.2"/>
    <row r="9062" customFormat="1" ht="12.75" x14ac:dyDescent="0.2"/>
    <row r="9063" customFormat="1" ht="12.75" x14ac:dyDescent="0.2"/>
    <row r="9064" customFormat="1" ht="12.75" x14ac:dyDescent="0.2"/>
    <row r="9065" customFormat="1" ht="12.75" x14ac:dyDescent="0.2"/>
    <row r="9066" customFormat="1" ht="12.75" x14ac:dyDescent="0.2"/>
    <row r="9067" customFormat="1" ht="12.75" x14ac:dyDescent="0.2"/>
    <row r="9068" customFormat="1" ht="12.75" x14ac:dyDescent="0.2"/>
    <row r="9069" customFormat="1" ht="12.75" x14ac:dyDescent="0.2"/>
    <row r="9070" customFormat="1" ht="12.75" x14ac:dyDescent="0.2"/>
    <row r="9071" customFormat="1" ht="12.75" x14ac:dyDescent="0.2"/>
    <row r="9072" customFormat="1" ht="12.75" x14ac:dyDescent="0.2"/>
    <row r="9073" customFormat="1" ht="12.75" x14ac:dyDescent="0.2"/>
    <row r="9074" customFormat="1" ht="12.75" x14ac:dyDescent="0.2"/>
    <row r="9075" customFormat="1" ht="12.75" x14ac:dyDescent="0.2"/>
    <row r="9076" customFormat="1" ht="12.75" x14ac:dyDescent="0.2"/>
    <row r="9077" customFormat="1" ht="12.75" x14ac:dyDescent="0.2"/>
    <row r="9078" customFormat="1" ht="12.75" x14ac:dyDescent="0.2"/>
    <row r="9079" customFormat="1" ht="12.75" x14ac:dyDescent="0.2"/>
    <row r="9080" customFormat="1" ht="12.75" x14ac:dyDescent="0.2"/>
    <row r="9081" customFormat="1" ht="12.75" x14ac:dyDescent="0.2"/>
    <row r="9082" customFormat="1" ht="12.75" x14ac:dyDescent="0.2"/>
    <row r="9083" customFormat="1" ht="12.75" x14ac:dyDescent="0.2"/>
    <row r="9084" customFormat="1" ht="12.75" x14ac:dyDescent="0.2"/>
    <row r="9085" customFormat="1" ht="12.75" x14ac:dyDescent="0.2"/>
    <row r="9086" customFormat="1" ht="12.75" x14ac:dyDescent="0.2"/>
    <row r="9087" customFormat="1" ht="12.75" x14ac:dyDescent="0.2"/>
    <row r="9088" customFormat="1" ht="12.75" x14ac:dyDescent="0.2"/>
    <row r="9089" customFormat="1" ht="12.75" x14ac:dyDescent="0.2"/>
    <row r="9090" customFormat="1" ht="12.75" x14ac:dyDescent="0.2"/>
    <row r="9091" customFormat="1" ht="12.75" x14ac:dyDescent="0.2"/>
    <row r="9092" customFormat="1" ht="12.75" x14ac:dyDescent="0.2"/>
    <row r="9093" customFormat="1" ht="12.75" x14ac:dyDescent="0.2"/>
    <row r="9094" customFormat="1" ht="12.75" x14ac:dyDescent="0.2"/>
    <row r="9095" customFormat="1" ht="12.75" x14ac:dyDescent="0.2"/>
    <row r="9096" customFormat="1" ht="12.75" x14ac:dyDescent="0.2"/>
    <row r="9097" customFormat="1" ht="12.75" x14ac:dyDescent="0.2"/>
    <row r="9098" customFormat="1" ht="12.75" x14ac:dyDescent="0.2"/>
    <row r="9099" customFormat="1" ht="12.75" x14ac:dyDescent="0.2"/>
    <row r="9100" customFormat="1" ht="12.75" x14ac:dyDescent="0.2"/>
    <row r="9101" customFormat="1" ht="12.75" x14ac:dyDescent="0.2"/>
    <row r="9102" customFormat="1" ht="12.75" x14ac:dyDescent="0.2"/>
    <row r="9103" customFormat="1" ht="12.75" x14ac:dyDescent="0.2"/>
    <row r="9104" customFormat="1" ht="12.75" x14ac:dyDescent="0.2"/>
    <row r="9105" customFormat="1" ht="12.75" x14ac:dyDescent="0.2"/>
    <row r="9106" customFormat="1" ht="12.75" x14ac:dyDescent="0.2"/>
    <row r="9107" customFormat="1" ht="12.75" x14ac:dyDescent="0.2"/>
    <row r="9108" customFormat="1" ht="12.75" x14ac:dyDescent="0.2"/>
    <row r="9109" customFormat="1" ht="12.75" x14ac:dyDescent="0.2"/>
    <row r="9110" customFormat="1" ht="12.75" x14ac:dyDescent="0.2"/>
    <row r="9111" customFormat="1" ht="12.75" x14ac:dyDescent="0.2"/>
    <row r="9112" customFormat="1" ht="12.75" x14ac:dyDescent="0.2"/>
    <row r="9113" customFormat="1" ht="12.75" x14ac:dyDescent="0.2"/>
    <row r="9114" customFormat="1" ht="12.75" x14ac:dyDescent="0.2"/>
    <row r="9115" customFormat="1" ht="12.75" x14ac:dyDescent="0.2"/>
    <row r="9116" customFormat="1" ht="12.75" x14ac:dyDescent="0.2"/>
    <row r="9117" customFormat="1" ht="12.75" x14ac:dyDescent="0.2"/>
    <row r="9118" customFormat="1" ht="12.75" x14ac:dyDescent="0.2"/>
    <row r="9119" customFormat="1" ht="12.75" x14ac:dyDescent="0.2"/>
    <row r="9120" customFormat="1" ht="12.75" x14ac:dyDescent="0.2"/>
    <row r="9121" customFormat="1" ht="12.75" x14ac:dyDescent="0.2"/>
    <row r="9122" customFormat="1" ht="12.75" x14ac:dyDescent="0.2"/>
    <row r="9123" customFormat="1" ht="12.75" x14ac:dyDescent="0.2"/>
    <row r="9124" customFormat="1" ht="12.75" x14ac:dyDescent="0.2"/>
    <row r="9125" customFormat="1" ht="12.75" x14ac:dyDescent="0.2"/>
    <row r="9126" customFormat="1" ht="12.75" x14ac:dyDescent="0.2"/>
    <row r="9127" customFormat="1" ht="12.75" x14ac:dyDescent="0.2"/>
    <row r="9128" customFormat="1" ht="12.75" x14ac:dyDescent="0.2"/>
    <row r="9129" customFormat="1" ht="12.75" x14ac:dyDescent="0.2"/>
    <row r="9130" customFormat="1" ht="12.75" x14ac:dyDescent="0.2"/>
    <row r="9131" customFormat="1" ht="12.75" x14ac:dyDescent="0.2"/>
    <row r="9132" customFormat="1" ht="12.75" x14ac:dyDescent="0.2"/>
    <row r="9133" customFormat="1" ht="12.75" x14ac:dyDescent="0.2"/>
    <row r="9134" customFormat="1" ht="12.75" x14ac:dyDescent="0.2"/>
    <row r="9135" customFormat="1" ht="12.75" x14ac:dyDescent="0.2"/>
    <row r="9136" customFormat="1" ht="12.75" x14ac:dyDescent="0.2"/>
    <row r="9137" customFormat="1" ht="12.75" x14ac:dyDescent="0.2"/>
    <row r="9138" customFormat="1" ht="12.75" x14ac:dyDescent="0.2"/>
    <row r="9139" customFormat="1" ht="12.75" x14ac:dyDescent="0.2"/>
    <row r="9140" customFormat="1" ht="12.75" x14ac:dyDescent="0.2"/>
    <row r="9141" customFormat="1" ht="12.75" x14ac:dyDescent="0.2"/>
    <row r="9142" customFormat="1" ht="12.75" x14ac:dyDescent="0.2"/>
    <row r="9143" customFormat="1" ht="12.75" x14ac:dyDescent="0.2"/>
    <row r="9144" customFormat="1" ht="12.75" x14ac:dyDescent="0.2"/>
    <row r="9145" customFormat="1" ht="12.75" x14ac:dyDescent="0.2"/>
    <row r="9146" customFormat="1" ht="12.75" x14ac:dyDescent="0.2"/>
    <row r="9147" customFormat="1" ht="12.75" x14ac:dyDescent="0.2"/>
    <row r="9148" customFormat="1" ht="12.75" x14ac:dyDescent="0.2"/>
    <row r="9149" customFormat="1" ht="12.75" x14ac:dyDescent="0.2"/>
    <row r="9150" customFormat="1" ht="12.75" x14ac:dyDescent="0.2"/>
    <row r="9151" customFormat="1" ht="12.75" x14ac:dyDescent="0.2"/>
    <row r="9152" customFormat="1" ht="12.75" x14ac:dyDescent="0.2"/>
    <row r="9153" customFormat="1" ht="12.75" x14ac:dyDescent="0.2"/>
    <row r="9154" customFormat="1" ht="12.75" x14ac:dyDescent="0.2"/>
    <row r="9155" customFormat="1" ht="12.75" x14ac:dyDescent="0.2"/>
    <row r="9156" customFormat="1" ht="12.75" x14ac:dyDescent="0.2"/>
    <row r="9157" customFormat="1" ht="12.75" x14ac:dyDescent="0.2"/>
    <row r="9158" customFormat="1" ht="12.75" x14ac:dyDescent="0.2"/>
    <row r="9159" customFormat="1" ht="12.75" x14ac:dyDescent="0.2"/>
    <row r="9160" customFormat="1" ht="12.75" x14ac:dyDescent="0.2"/>
    <row r="9161" customFormat="1" ht="12.75" x14ac:dyDescent="0.2"/>
    <row r="9162" customFormat="1" ht="12.75" x14ac:dyDescent="0.2"/>
    <row r="9163" customFormat="1" ht="12.75" x14ac:dyDescent="0.2"/>
    <row r="9164" customFormat="1" ht="12.75" x14ac:dyDescent="0.2"/>
    <row r="9165" customFormat="1" ht="12.75" x14ac:dyDescent="0.2"/>
    <row r="9166" customFormat="1" ht="12.75" x14ac:dyDescent="0.2"/>
    <row r="9167" customFormat="1" ht="12.75" x14ac:dyDescent="0.2"/>
    <row r="9168" customFormat="1" ht="12.75" x14ac:dyDescent="0.2"/>
    <row r="9169" customFormat="1" ht="12.75" x14ac:dyDescent="0.2"/>
    <row r="9170" customFormat="1" ht="12.75" x14ac:dyDescent="0.2"/>
    <row r="9171" customFormat="1" ht="12.75" x14ac:dyDescent="0.2"/>
    <row r="9172" customFormat="1" ht="12.75" x14ac:dyDescent="0.2"/>
    <row r="9173" customFormat="1" ht="12.75" x14ac:dyDescent="0.2"/>
    <row r="9174" customFormat="1" ht="12.75" x14ac:dyDescent="0.2"/>
    <row r="9175" customFormat="1" ht="12.75" x14ac:dyDescent="0.2"/>
    <row r="9176" customFormat="1" ht="12.75" x14ac:dyDescent="0.2"/>
    <row r="9177" customFormat="1" ht="12.75" x14ac:dyDescent="0.2"/>
    <row r="9178" customFormat="1" ht="12.75" x14ac:dyDescent="0.2"/>
    <row r="9179" customFormat="1" ht="12.75" x14ac:dyDescent="0.2"/>
    <row r="9180" customFormat="1" ht="12.75" x14ac:dyDescent="0.2"/>
    <row r="9181" customFormat="1" ht="12.75" x14ac:dyDescent="0.2"/>
    <row r="9182" customFormat="1" ht="12.75" x14ac:dyDescent="0.2"/>
    <row r="9183" customFormat="1" ht="12.75" x14ac:dyDescent="0.2"/>
    <row r="9184" customFormat="1" ht="12.75" x14ac:dyDescent="0.2"/>
    <row r="9185" customFormat="1" ht="12.75" x14ac:dyDescent="0.2"/>
    <row r="9186" customFormat="1" ht="12.75" x14ac:dyDescent="0.2"/>
    <row r="9187" customFormat="1" ht="12.75" x14ac:dyDescent="0.2"/>
    <row r="9188" customFormat="1" ht="12.75" x14ac:dyDescent="0.2"/>
    <row r="9189" customFormat="1" ht="12.75" x14ac:dyDescent="0.2"/>
    <row r="9190" customFormat="1" ht="12.75" x14ac:dyDescent="0.2"/>
    <row r="9191" customFormat="1" ht="12.75" x14ac:dyDescent="0.2"/>
    <row r="9192" customFormat="1" ht="12.75" x14ac:dyDescent="0.2"/>
    <row r="9193" customFormat="1" ht="12.75" x14ac:dyDescent="0.2"/>
    <row r="9194" customFormat="1" ht="12.75" x14ac:dyDescent="0.2"/>
    <row r="9195" customFormat="1" ht="12.75" x14ac:dyDescent="0.2"/>
    <row r="9196" customFormat="1" ht="12.75" x14ac:dyDescent="0.2"/>
    <row r="9197" customFormat="1" ht="12.75" x14ac:dyDescent="0.2"/>
    <row r="9198" customFormat="1" ht="12.75" x14ac:dyDescent="0.2"/>
    <row r="9199" customFormat="1" ht="12.75" x14ac:dyDescent="0.2"/>
    <row r="9200" customFormat="1" ht="12.75" x14ac:dyDescent="0.2"/>
    <row r="9201" customFormat="1" ht="12.75" x14ac:dyDescent="0.2"/>
    <row r="9202" customFormat="1" ht="12.75" x14ac:dyDescent="0.2"/>
    <row r="9203" customFormat="1" ht="12.75" x14ac:dyDescent="0.2"/>
    <row r="9204" customFormat="1" ht="12.75" x14ac:dyDescent="0.2"/>
    <row r="9205" customFormat="1" ht="12.75" x14ac:dyDescent="0.2"/>
    <row r="9206" customFormat="1" ht="12.75" x14ac:dyDescent="0.2"/>
    <row r="9207" customFormat="1" ht="12.75" x14ac:dyDescent="0.2"/>
    <row r="9208" customFormat="1" ht="12.75" x14ac:dyDescent="0.2"/>
    <row r="9209" customFormat="1" ht="12.75" x14ac:dyDescent="0.2"/>
    <row r="9210" customFormat="1" ht="12.75" x14ac:dyDescent="0.2"/>
    <row r="9211" customFormat="1" ht="12.75" x14ac:dyDescent="0.2"/>
    <row r="9212" customFormat="1" ht="12.75" x14ac:dyDescent="0.2"/>
    <row r="9213" customFormat="1" ht="12.75" x14ac:dyDescent="0.2"/>
    <row r="9214" customFormat="1" ht="12.75" x14ac:dyDescent="0.2"/>
    <row r="9215" customFormat="1" ht="12.75" x14ac:dyDescent="0.2"/>
    <row r="9216" customFormat="1" ht="12.75" x14ac:dyDescent="0.2"/>
    <row r="9217" customFormat="1" ht="12.75" x14ac:dyDescent="0.2"/>
    <row r="9218" customFormat="1" ht="12.75" x14ac:dyDescent="0.2"/>
    <row r="9219" customFormat="1" ht="12.75" x14ac:dyDescent="0.2"/>
    <row r="9220" customFormat="1" ht="12.75" x14ac:dyDescent="0.2"/>
    <row r="9221" customFormat="1" ht="12.75" x14ac:dyDescent="0.2"/>
    <row r="9222" customFormat="1" ht="12.75" x14ac:dyDescent="0.2"/>
    <row r="9223" customFormat="1" ht="12.75" x14ac:dyDescent="0.2"/>
    <row r="9224" customFormat="1" ht="12.75" x14ac:dyDescent="0.2"/>
    <row r="9225" customFormat="1" ht="12.75" x14ac:dyDescent="0.2"/>
    <row r="9226" customFormat="1" ht="12.75" x14ac:dyDescent="0.2"/>
    <row r="9227" customFormat="1" ht="12.75" x14ac:dyDescent="0.2"/>
    <row r="9228" customFormat="1" ht="12.75" x14ac:dyDescent="0.2"/>
    <row r="9229" customFormat="1" ht="12.75" x14ac:dyDescent="0.2"/>
    <row r="9230" customFormat="1" ht="12.75" x14ac:dyDescent="0.2"/>
    <row r="9231" customFormat="1" ht="12.75" x14ac:dyDescent="0.2"/>
    <row r="9232" customFormat="1" ht="12.75" x14ac:dyDescent="0.2"/>
    <row r="9233" customFormat="1" ht="12.75" x14ac:dyDescent="0.2"/>
    <row r="9234" customFormat="1" ht="12.75" x14ac:dyDescent="0.2"/>
    <row r="9235" customFormat="1" ht="12.75" x14ac:dyDescent="0.2"/>
    <row r="9236" customFormat="1" ht="12.75" x14ac:dyDescent="0.2"/>
    <row r="9237" customFormat="1" ht="12.75" x14ac:dyDescent="0.2"/>
    <row r="9238" customFormat="1" ht="12.75" x14ac:dyDescent="0.2"/>
    <row r="9239" customFormat="1" ht="12.75" x14ac:dyDescent="0.2"/>
    <row r="9240" customFormat="1" ht="12.75" x14ac:dyDescent="0.2"/>
    <row r="9241" customFormat="1" ht="12.75" x14ac:dyDescent="0.2"/>
    <row r="9242" customFormat="1" ht="12.75" x14ac:dyDescent="0.2"/>
    <row r="9243" customFormat="1" ht="12.75" x14ac:dyDescent="0.2"/>
    <row r="9244" customFormat="1" ht="12.75" x14ac:dyDescent="0.2"/>
    <row r="9245" customFormat="1" ht="12.75" x14ac:dyDescent="0.2"/>
    <row r="9246" customFormat="1" ht="12.75" x14ac:dyDescent="0.2"/>
    <row r="9247" customFormat="1" ht="12.75" x14ac:dyDescent="0.2"/>
    <row r="9248" customFormat="1" ht="12.75" x14ac:dyDescent="0.2"/>
    <row r="9249" customFormat="1" ht="12.75" x14ac:dyDescent="0.2"/>
    <row r="9250" customFormat="1" ht="12.75" x14ac:dyDescent="0.2"/>
    <row r="9251" customFormat="1" ht="12.75" x14ac:dyDescent="0.2"/>
    <row r="9252" customFormat="1" ht="12.75" x14ac:dyDescent="0.2"/>
    <row r="9253" customFormat="1" ht="12.75" x14ac:dyDescent="0.2"/>
    <row r="9254" customFormat="1" ht="12.75" x14ac:dyDescent="0.2"/>
    <row r="9255" customFormat="1" ht="12.75" x14ac:dyDescent="0.2"/>
    <row r="9256" customFormat="1" ht="12.75" x14ac:dyDescent="0.2"/>
    <row r="9257" customFormat="1" ht="12.75" x14ac:dyDescent="0.2"/>
    <row r="9258" customFormat="1" ht="12.75" x14ac:dyDescent="0.2"/>
    <row r="9259" customFormat="1" ht="12.75" x14ac:dyDescent="0.2"/>
    <row r="9260" customFormat="1" ht="12.75" x14ac:dyDescent="0.2"/>
    <row r="9261" customFormat="1" ht="12.75" x14ac:dyDescent="0.2"/>
    <row r="9262" customFormat="1" ht="12.75" x14ac:dyDescent="0.2"/>
    <row r="9263" customFormat="1" ht="12.75" x14ac:dyDescent="0.2"/>
    <row r="9264" customFormat="1" ht="12.75" x14ac:dyDescent="0.2"/>
    <row r="9265" customFormat="1" ht="12.75" x14ac:dyDescent="0.2"/>
    <row r="9266" customFormat="1" ht="12.75" x14ac:dyDescent="0.2"/>
    <row r="9267" customFormat="1" ht="12.75" x14ac:dyDescent="0.2"/>
    <row r="9268" customFormat="1" ht="12.75" x14ac:dyDescent="0.2"/>
    <row r="9269" customFormat="1" ht="12.75" x14ac:dyDescent="0.2"/>
    <row r="9270" customFormat="1" ht="12.75" x14ac:dyDescent="0.2"/>
    <row r="9271" customFormat="1" ht="12.75" x14ac:dyDescent="0.2"/>
    <row r="9272" customFormat="1" ht="12.75" x14ac:dyDescent="0.2"/>
    <row r="9273" customFormat="1" ht="12.75" x14ac:dyDescent="0.2"/>
    <row r="9274" customFormat="1" ht="12.75" x14ac:dyDescent="0.2"/>
    <row r="9275" customFormat="1" ht="12.75" x14ac:dyDescent="0.2"/>
    <row r="9276" customFormat="1" ht="12.75" x14ac:dyDescent="0.2"/>
    <row r="9277" customFormat="1" ht="12.75" x14ac:dyDescent="0.2"/>
    <row r="9278" customFormat="1" ht="12.75" x14ac:dyDescent="0.2"/>
    <row r="9279" customFormat="1" ht="12.75" x14ac:dyDescent="0.2"/>
    <row r="9280" customFormat="1" ht="12.75" x14ac:dyDescent="0.2"/>
    <row r="9281" customFormat="1" ht="12.75" x14ac:dyDescent="0.2"/>
    <row r="9282" customFormat="1" ht="12.75" x14ac:dyDescent="0.2"/>
    <row r="9283" customFormat="1" ht="12.75" x14ac:dyDescent="0.2"/>
    <row r="9284" customFormat="1" ht="12.75" x14ac:dyDescent="0.2"/>
    <row r="9285" customFormat="1" ht="12.75" x14ac:dyDescent="0.2"/>
    <row r="9286" customFormat="1" ht="12.75" x14ac:dyDescent="0.2"/>
    <row r="9287" customFormat="1" ht="12.75" x14ac:dyDescent="0.2"/>
    <row r="9288" customFormat="1" ht="12.75" x14ac:dyDescent="0.2"/>
    <row r="9289" customFormat="1" ht="12.75" x14ac:dyDescent="0.2"/>
    <row r="9290" customFormat="1" ht="12.75" x14ac:dyDescent="0.2"/>
    <row r="9291" customFormat="1" ht="12.75" x14ac:dyDescent="0.2"/>
    <row r="9292" customFormat="1" ht="12.75" x14ac:dyDescent="0.2"/>
    <row r="9293" customFormat="1" ht="12.75" x14ac:dyDescent="0.2"/>
    <row r="9294" customFormat="1" ht="12.75" x14ac:dyDescent="0.2"/>
    <row r="9295" customFormat="1" ht="12.75" x14ac:dyDescent="0.2"/>
    <row r="9296" customFormat="1" ht="12.75" x14ac:dyDescent="0.2"/>
    <row r="9297" customFormat="1" ht="12.75" x14ac:dyDescent="0.2"/>
    <row r="9298" customFormat="1" ht="12.75" x14ac:dyDescent="0.2"/>
    <row r="9299" customFormat="1" ht="12.75" x14ac:dyDescent="0.2"/>
    <row r="9300" customFormat="1" ht="12.75" x14ac:dyDescent="0.2"/>
    <row r="9301" customFormat="1" ht="12.75" x14ac:dyDescent="0.2"/>
    <row r="9302" customFormat="1" ht="12.75" x14ac:dyDescent="0.2"/>
    <row r="9303" customFormat="1" ht="12.75" x14ac:dyDescent="0.2"/>
    <row r="9304" customFormat="1" ht="12.75" x14ac:dyDescent="0.2"/>
    <row r="9305" customFormat="1" ht="12.75" x14ac:dyDescent="0.2"/>
    <row r="9306" customFormat="1" ht="12.75" x14ac:dyDescent="0.2"/>
    <row r="9307" customFormat="1" ht="12.75" x14ac:dyDescent="0.2"/>
    <row r="9308" customFormat="1" ht="12.75" x14ac:dyDescent="0.2"/>
    <row r="9309" customFormat="1" ht="12.75" x14ac:dyDescent="0.2"/>
    <row r="9310" customFormat="1" ht="12.75" x14ac:dyDescent="0.2"/>
    <row r="9311" customFormat="1" ht="12.75" x14ac:dyDescent="0.2"/>
    <row r="9312" customFormat="1" ht="12.75" x14ac:dyDescent="0.2"/>
    <row r="9313" customFormat="1" ht="12.75" x14ac:dyDescent="0.2"/>
    <row r="9314" customFormat="1" ht="12.75" x14ac:dyDescent="0.2"/>
    <row r="9315" customFormat="1" ht="12.75" x14ac:dyDescent="0.2"/>
    <row r="9316" customFormat="1" ht="12.75" x14ac:dyDescent="0.2"/>
    <row r="9317" customFormat="1" ht="12.75" x14ac:dyDescent="0.2"/>
    <row r="9318" customFormat="1" ht="12.75" x14ac:dyDescent="0.2"/>
    <row r="9319" customFormat="1" ht="12.75" x14ac:dyDescent="0.2"/>
    <row r="9320" customFormat="1" ht="12.75" x14ac:dyDescent="0.2"/>
    <row r="9321" customFormat="1" ht="12.75" x14ac:dyDescent="0.2"/>
    <row r="9322" customFormat="1" ht="12.75" x14ac:dyDescent="0.2"/>
    <row r="9323" customFormat="1" ht="12.75" x14ac:dyDescent="0.2"/>
    <row r="9324" customFormat="1" ht="12.75" x14ac:dyDescent="0.2"/>
    <row r="9325" customFormat="1" ht="12.75" x14ac:dyDescent="0.2"/>
    <row r="9326" customFormat="1" ht="12.75" x14ac:dyDescent="0.2"/>
    <row r="9327" customFormat="1" ht="12.75" x14ac:dyDescent="0.2"/>
    <row r="9328" customFormat="1" ht="12.75" x14ac:dyDescent="0.2"/>
    <row r="9329" customFormat="1" ht="12.75" x14ac:dyDescent="0.2"/>
    <row r="9330" customFormat="1" ht="12.75" x14ac:dyDescent="0.2"/>
    <row r="9331" customFormat="1" ht="12.75" x14ac:dyDescent="0.2"/>
    <row r="9332" customFormat="1" ht="12.75" x14ac:dyDescent="0.2"/>
    <row r="9333" customFormat="1" ht="12.75" x14ac:dyDescent="0.2"/>
    <row r="9334" customFormat="1" ht="12.75" x14ac:dyDescent="0.2"/>
    <row r="9335" customFormat="1" ht="12.75" x14ac:dyDescent="0.2"/>
    <row r="9336" customFormat="1" ht="12.75" x14ac:dyDescent="0.2"/>
    <row r="9337" customFormat="1" ht="12.75" x14ac:dyDescent="0.2"/>
    <row r="9338" customFormat="1" ht="12.75" x14ac:dyDescent="0.2"/>
    <row r="9339" customFormat="1" ht="12.75" x14ac:dyDescent="0.2"/>
    <row r="9340" customFormat="1" ht="12.75" x14ac:dyDescent="0.2"/>
    <row r="9341" customFormat="1" ht="12.75" x14ac:dyDescent="0.2"/>
    <row r="9342" customFormat="1" ht="12.75" x14ac:dyDescent="0.2"/>
    <row r="9343" customFormat="1" ht="12.75" x14ac:dyDescent="0.2"/>
    <row r="9344" customFormat="1" ht="12.75" x14ac:dyDescent="0.2"/>
    <row r="9345" customFormat="1" ht="12.75" x14ac:dyDescent="0.2"/>
    <row r="9346" customFormat="1" ht="12.75" x14ac:dyDescent="0.2"/>
    <row r="9347" customFormat="1" ht="12.75" x14ac:dyDescent="0.2"/>
    <row r="9348" customFormat="1" ht="12.75" x14ac:dyDescent="0.2"/>
    <row r="9349" customFormat="1" ht="12.75" x14ac:dyDescent="0.2"/>
    <row r="9350" customFormat="1" ht="12.75" x14ac:dyDescent="0.2"/>
    <row r="9351" customFormat="1" ht="12.75" x14ac:dyDescent="0.2"/>
    <row r="9352" customFormat="1" ht="12.75" x14ac:dyDescent="0.2"/>
    <row r="9353" customFormat="1" ht="12.75" x14ac:dyDescent="0.2"/>
    <row r="9354" customFormat="1" ht="12.75" x14ac:dyDescent="0.2"/>
    <row r="9355" customFormat="1" ht="12.75" x14ac:dyDescent="0.2"/>
    <row r="9356" customFormat="1" ht="12.75" x14ac:dyDescent="0.2"/>
    <row r="9357" customFormat="1" ht="12.75" x14ac:dyDescent="0.2"/>
    <row r="9358" customFormat="1" ht="12.75" x14ac:dyDescent="0.2"/>
    <row r="9359" customFormat="1" ht="12.75" x14ac:dyDescent="0.2"/>
    <row r="9360" customFormat="1" ht="12.75" x14ac:dyDescent="0.2"/>
    <row r="9361" customFormat="1" ht="12.75" x14ac:dyDescent="0.2"/>
    <row r="9362" customFormat="1" ht="12.75" x14ac:dyDescent="0.2"/>
    <row r="9363" customFormat="1" ht="12.75" x14ac:dyDescent="0.2"/>
    <row r="9364" customFormat="1" ht="12.75" x14ac:dyDescent="0.2"/>
    <row r="9365" customFormat="1" ht="12.75" x14ac:dyDescent="0.2"/>
    <row r="9366" customFormat="1" ht="12.75" x14ac:dyDescent="0.2"/>
    <row r="9367" customFormat="1" ht="12.75" x14ac:dyDescent="0.2"/>
    <row r="9368" customFormat="1" ht="12.75" x14ac:dyDescent="0.2"/>
    <row r="9369" customFormat="1" ht="12.75" x14ac:dyDescent="0.2"/>
    <row r="9370" customFormat="1" ht="12.75" x14ac:dyDescent="0.2"/>
    <row r="9371" customFormat="1" ht="12.75" x14ac:dyDescent="0.2"/>
    <row r="9372" customFormat="1" ht="12.75" x14ac:dyDescent="0.2"/>
    <row r="9373" customFormat="1" ht="12.75" x14ac:dyDescent="0.2"/>
    <row r="9374" customFormat="1" ht="12.75" x14ac:dyDescent="0.2"/>
    <row r="9375" customFormat="1" ht="12.75" x14ac:dyDescent="0.2"/>
    <row r="9376" customFormat="1" ht="12.75" x14ac:dyDescent="0.2"/>
    <row r="9377" customFormat="1" ht="12.75" x14ac:dyDescent="0.2"/>
    <row r="9378" customFormat="1" ht="12.75" x14ac:dyDescent="0.2"/>
    <row r="9379" customFormat="1" ht="12.75" x14ac:dyDescent="0.2"/>
    <row r="9380" customFormat="1" ht="12.75" x14ac:dyDescent="0.2"/>
    <row r="9381" customFormat="1" ht="12.75" x14ac:dyDescent="0.2"/>
    <row r="9382" customFormat="1" ht="12.75" x14ac:dyDescent="0.2"/>
    <row r="9383" customFormat="1" ht="12.75" x14ac:dyDescent="0.2"/>
    <row r="9384" customFormat="1" ht="12.75" x14ac:dyDescent="0.2"/>
    <row r="9385" customFormat="1" ht="12.75" x14ac:dyDescent="0.2"/>
    <row r="9386" customFormat="1" ht="12.75" x14ac:dyDescent="0.2"/>
    <row r="9387" customFormat="1" ht="12.75" x14ac:dyDescent="0.2"/>
    <row r="9388" customFormat="1" ht="12.75" x14ac:dyDescent="0.2"/>
    <row r="9389" customFormat="1" ht="12.75" x14ac:dyDescent="0.2"/>
    <row r="9390" customFormat="1" ht="12.75" x14ac:dyDescent="0.2"/>
    <row r="9391" customFormat="1" ht="12.75" x14ac:dyDescent="0.2"/>
    <row r="9392" customFormat="1" ht="12.75" x14ac:dyDescent="0.2"/>
    <row r="9393" customFormat="1" ht="12.75" x14ac:dyDescent="0.2"/>
    <row r="9394" customFormat="1" ht="12.75" x14ac:dyDescent="0.2"/>
    <row r="9395" customFormat="1" ht="12.75" x14ac:dyDescent="0.2"/>
    <row r="9396" customFormat="1" ht="12.75" x14ac:dyDescent="0.2"/>
    <row r="9397" customFormat="1" ht="12.75" x14ac:dyDescent="0.2"/>
    <row r="9398" customFormat="1" ht="12.75" x14ac:dyDescent="0.2"/>
    <row r="9399" customFormat="1" ht="12.75" x14ac:dyDescent="0.2"/>
    <row r="9400" customFormat="1" ht="12.75" x14ac:dyDescent="0.2"/>
    <row r="9401" customFormat="1" ht="12.75" x14ac:dyDescent="0.2"/>
    <row r="9402" customFormat="1" ht="12.75" x14ac:dyDescent="0.2"/>
    <row r="9403" customFormat="1" ht="12.75" x14ac:dyDescent="0.2"/>
    <row r="9404" customFormat="1" ht="12.75" x14ac:dyDescent="0.2"/>
    <row r="9405" customFormat="1" ht="12.75" x14ac:dyDescent="0.2"/>
    <row r="9406" customFormat="1" ht="12.75" x14ac:dyDescent="0.2"/>
    <row r="9407" customFormat="1" ht="12.75" x14ac:dyDescent="0.2"/>
    <row r="9408" customFormat="1" ht="12.75" x14ac:dyDescent="0.2"/>
    <row r="9409" customFormat="1" ht="12.75" x14ac:dyDescent="0.2"/>
    <row r="9410" customFormat="1" ht="12.75" x14ac:dyDescent="0.2"/>
    <row r="9411" customFormat="1" ht="12.75" x14ac:dyDescent="0.2"/>
    <row r="9412" customFormat="1" ht="12.75" x14ac:dyDescent="0.2"/>
    <row r="9413" customFormat="1" ht="12.75" x14ac:dyDescent="0.2"/>
    <row r="9414" customFormat="1" ht="12.75" x14ac:dyDescent="0.2"/>
    <row r="9415" customFormat="1" ht="12.75" x14ac:dyDescent="0.2"/>
    <row r="9416" customFormat="1" ht="12.75" x14ac:dyDescent="0.2"/>
    <row r="9417" customFormat="1" ht="12.75" x14ac:dyDescent="0.2"/>
    <row r="9418" customFormat="1" ht="12.75" x14ac:dyDescent="0.2"/>
    <row r="9419" customFormat="1" ht="12.75" x14ac:dyDescent="0.2"/>
    <row r="9420" customFormat="1" ht="12.75" x14ac:dyDescent="0.2"/>
    <row r="9421" customFormat="1" ht="12.75" x14ac:dyDescent="0.2"/>
    <row r="9422" customFormat="1" ht="12.75" x14ac:dyDescent="0.2"/>
    <row r="9423" customFormat="1" ht="12.75" x14ac:dyDescent="0.2"/>
    <row r="9424" customFormat="1" ht="12.75" x14ac:dyDescent="0.2"/>
    <row r="9425" customFormat="1" ht="12.75" x14ac:dyDescent="0.2"/>
    <row r="9426" customFormat="1" ht="12.75" x14ac:dyDescent="0.2"/>
    <row r="9427" customFormat="1" ht="12.75" x14ac:dyDescent="0.2"/>
    <row r="9428" customFormat="1" ht="12.75" x14ac:dyDescent="0.2"/>
    <row r="9429" customFormat="1" ht="12.75" x14ac:dyDescent="0.2"/>
    <row r="9430" customFormat="1" ht="12.75" x14ac:dyDescent="0.2"/>
    <row r="9431" customFormat="1" ht="12.75" x14ac:dyDescent="0.2"/>
    <row r="9432" customFormat="1" ht="12.75" x14ac:dyDescent="0.2"/>
    <row r="9433" customFormat="1" ht="12.75" x14ac:dyDescent="0.2"/>
    <row r="9434" customFormat="1" ht="12.75" x14ac:dyDescent="0.2"/>
    <row r="9435" customFormat="1" ht="12.75" x14ac:dyDescent="0.2"/>
    <row r="9436" customFormat="1" ht="12.75" x14ac:dyDescent="0.2"/>
    <row r="9437" customFormat="1" ht="12.75" x14ac:dyDescent="0.2"/>
    <row r="9438" customFormat="1" ht="12.75" x14ac:dyDescent="0.2"/>
    <row r="9439" customFormat="1" ht="12.75" x14ac:dyDescent="0.2"/>
    <row r="9440" customFormat="1" ht="12.75" x14ac:dyDescent="0.2"/>
    <row r="9441" customFormat="1" ht="12.75" x14ac:dyDescent="0.2"/>
    <row r="9442" customFormat="1" ht="12.75" x14ac:dyDescent="0.2"/>
    <row r="9443" customFormat="1" ht="12.75" x14ac:dyDescent="0.2"/>
    <row r="9444" customFormat="1" ht="12.75" x14ac:dyDescent="0.2"/>
    <row r="9445" customFormat="1" ht="12.75" x14ac:dyDescent="0.2"/>
    <row r="9446" customFormat="1" ht="12.75" x14ac:dyDescent="0.2"/>
    <row r="9447" customFormat="1" ht="12.75" x14ac:dyDescent="0.2"/>
    <row r="9448" customFormat="1" ht="12.75" x14ac:dyDescent="0.2"/>
    <row r="9449" customFormat="1" ht="12.75" x14ac:dyDescent="0.2"/>
    <row r="9450" customFormat="1" ht="12.75" x14ac:dyDescent="0.2"/>
    <row r="9451" customFormat="1" ht="12.75" x14ac:dyDescent="0.2"/>
    <row r="9452" customFormat="1" ht="12.75" x14ac:dyDescent="0.2"/>
    <row r="9453" customFormat="1" ht="12.75" x14ac:dyDescent="0.2"/>
    <row r="9454" customFormat="1" ht="12.75" x14ac:dyDescent="0.2"/>
    <row r="9455" customFormat="1" ht="12.75" x14ac:dyDescent="0.2"/>
    <row r="9456" customFormat="1" ht="12.75" x14ac:dyDescent="0.2"/>
    <row r="9457" customFormat="1" ht="12.75" x14ac:dyDescent="0.2"/>
    <row r="9458" customFormat="1" ht="12.75" x14ac:dyDescent="0.2"/>
    <row r="9459" customFormat="1" ht="12.75" x14ac:dyDescent="0.2"/>
    <row r="9460" customFormat="1" ht="12.75" x14ac:dyDescent="0.2"/>
    <row r="9461" customFormat="1" ht="12.75" x14ac:dyDescent="0.2"/>
    <row r="9462" customFormat="1" ht="12.75" x14ac:dyDescent="0.2"/>
    <row r="9463" customFormat="1" ht="12.75" x14ac:dyDescent="0.2"/>
    <row r="9464" customFormat="1" ht="12.75" x14ac:dyDescent="0.2"/>
    <row r="9465" customFormat="1" ht="12.75" x14ac:dyDescent="0.2"/>
    <row r="9466" customFormat="1" ht="12.75" x14ac:dyDescent="0.2"/>
    <row r="9467" customFormat="1" ht="12.75" x14ac:dyDescent="0.2"/>
    <row r="9468" customFormat="1" ht="12.75" x14ac:dyDescent="0.2"/>
    <row r="9469" customFormat="1" ht="12.75" x14ac:dyDescent="0.2"/>
    <row r="9470" customFormat="1" ht="12.75" x14ac:dyDescent="0.2"/>
    <row r="9471" customFormat="1" ht="12.75" x14ac:dyDescent="0.2"/>
    <row r="9472" customFormat="1" ht="12.75" x14ac:dyDescent="0.2"/>
    <row r="9473" customFormat="1" ht="12.75" x14ac:dyDescent="0.2"/>
    <row r="9474" customFormat="1" ht="12.75" x14ac:dyDescent="0.2"/>
    <row r="9475" customFormat="1" ht="12.75" x14ac:dyDescent="0.2"/>
    <row r="9476" customFormat="1" ht="12.75" x14ac:dyDescent="0.2"/>
    <row r="9477" customFormat="1" ht="12.75" x14ac:dyDescent="0.2"/>
    <row r="9478" customFormat="1" ht="12.75" x14ac:dyDescent="0.2"/>
    <row r="9479" customFormat="1" ht="12.75" x14ac:dyDescent="0.2"/>
    <row r="9480" customFormat="1" ht="12.75" x14ac:dyDescent="0.2"/>
    <row r="9481" customFormat="1" ht="12.75" x14ac:dyDescent="0.2"/>
    <row r="9482" customFormat="1" ht="12.75" x14ac:dyDescent="0.2"/>
    <row r="9483" customFormat="1" ht="12.75" x14ac:dyDescent="0.2"/>
    <row r="9484" customFormat="1" ht="12.75" x14ac:dyDescent="0.2"/>
    <row r="9485" customFormat="1" ht="12.75" x14ac:dyDescent="0.2"/>
    <row r="9486" customFormat="1" ht="12.75" x14ac:dyDescent="0.2"/>
    <row r="9487" customFormat="1" ht="12.75" x14ac:dyDescent="0.2"/>
    <row r="9488" customFormat="1" ht="12.75" x14ac:dyDescent="0.2"/>
    <row r="9489" customFormat="1" ht="12.75" x14ac:dyDescent="0.2"/>
    <row r="9490" customFormat="1" ht="12.75" x14ac:dyDescent="0.2"/>
    <row r="9491" customFormat="1" ht="12.75" x14ac:dyDescent="0.2"/>
    <row r="9492" customFormat="1" ht="12.75" x14ac:dyDescent="0.2"/>
    <row r="9493" customFormat="1" ht="12.75" x14ac:dyDescent="0.2"/>
    <row r="9494" customFormat="1" ht="12.75" x14ac:dyDescent="0.2"/>
    <row r="9495" customFormat="1" ht="12.75" x14ac:dyDescent="0.2"/>
    <row r="9496" customFormat="1" ht="12.75" x14ac:dyDescent="0.2"/>
    <row r="9497" customFormat="1" ht="12.75" x14ac:dyDescent="0.2"/>
    <row r="9498" customFormat="1" ht="12.75" x14ac:dyDescent="0.2"/>
    <row r="9499" customFormat="1" ht="12.75" x14ac:dyDescent="0.2"/>
    <row r="9500" customFormat="1" ht="12.75" x14ac:dyDescent="0.2"/>
    <row r="9501" customFormat="1" ht="12.75" x14ac:dyDescent="0.2"/>
    <row r="9502" customFormat="1" ht="12.75" x14ac:dyDescent="0.2"/>
    <row r="9503" customFormat="1" ht="12.75" x14ac:dyDescent="0.2"/>
    <row r="9504" customFormat="1" ht="12.75" x14ac:dyDescent="0.2"/>
    <row r="9505" customFormat="1" ht="12.75" x14ac:dyDescent="0.2"/>
    <row r="9506" customFormat="1" ht="12.75" x14ac:dyDescent="0.2"/>
    <row r="9507" customFormat="1" ht="12.75" x14ac:dyDescent="0.2"/>
    <row r="9508" customFormat="1" ht="12.75" x14ac:dyDescent="0.2"/>
    <row r="9509" customFormat="1" ht="12.75" x14ac:dyDescent="0.2"/>
    <row r="9510" customFormat="1" ht="12.75" x14ac:dyDescent="0.2"/>
    <row r="9511" customFormat="1" ht="12.75" x14ac:dyDescent="0.2"/>
    <row r="9512" customFormat="1" ht="12.75" x14ac:dyDescent="0.2"/>
    <row r="9513" customFormat="1" ht="12.75" x14ac:dyDescent="0.2"/>
    <row r="9514" customFormat="1" ht="12.75" x14ac:dyDescent="0.2"/>
    <row r="9515" customFormat="1" ht="12.75" x14ac:dyDescent="0.2"/>
    <row r="9516" customFormat="1" ht="12.75" x14ac:dyDescent="0.2"/>
    <row r="9517" customFormat="1" ht="12.75" x14ac:dyDescent="0.2"/>
    <row r="9518" customFormat="1" ht="12.75" x14ac:dyDescent="0.2"/>
    <row r="9519" customFormat="1" ht="12.75" x14ac:dyDescent="0.2"/>
    <row r="9520" customFormat="1" ht="12.75" x14ac:dyDescent="0.2"/>
    <row r="9521" customFormat="1" ht="12.75" x14ac:dyDescent="0.2"/>
    <row r="9522" customFormat="1" ht="12.75" x14ac:dyDescent="0.2"/>
    <row r="9523" customFormat="1" ht="12.75" x14ac:dyDescent="0.2"/>
    <row r="9524" customFormat="1" ht="12.75" x14ac:dyDescent="0.2"/>
    <row r="9525" customFormat="1" ht="12.75" x14ac:dyDescent="0.2"/>
    <row r="9526" customFormat="1" ht="12.75" x14ac:dyDescent="0.2"/>
    <row r="9527" customFormat="1" ht="12.75" x14ac:dyDescent="0.2"/>
    <row r="9528" customFormat="1" ht="12.75" x14ac:dyDescent="0.2"/>
    <row r="9529" customFormat="1" ht="12.75" x14ac:dyDescent="0.2"/>
    <row r="9530" customFormat="1" ht="12.75" x14ac:dyDescent="0.2"/>
    <row r="9531" customFormat="1" ht="12.75" x14ac:dyDescent="0.2"/>
    <row r="9532" customFormat="1" ht="12.75" x14ac:dyDescent="0.2"/>
    <row r="9533" customFormat="1" ht="12.75" x14ac:dyDescent="0.2"/>
    <row r="9534" customFormat="1" ht="12.75" x14ac:dyDescent="0.2"/>
    <row r="9535" customFormat="1" ht="12.75" x14ac:dyDescent="0.2"/>
    <row r="9536" customFormat="1" ht="12.75" x14ac:dyDescent="0.2"/>
    <row r="9537" customFormat="1" ht="12.75" x14ac:dyDescent="0.2"/>
    <row r="9538" customFormat="1" ht="12.75" x14ac:dyDescent="0.2"/>
    <row r="9539" customFormat="1" ht="12.75" x14ac:dyDescent="0.2"/>
    <row r="9540" customFormat="1" ht="12.75" x14ac:dyDescent="0.2"/>
    <row r="9541" customFormat="1" ht="12.75" x14ac:dyDescent="0.2"/>
    <row r="9542" customFormat="1" ht="12.75" x14ac:dyDescent="0.2"/>
    <row r="9543" customFormat="1" ht="12.75" x14ac:dyDescent="0.2"/>
    <row r="9544" customFormat="1" ht="12.75" x14ac:dyDescent="0.2"/>
    <row r="9545" customFormat="1" ht="12.75" x14ac:dyDescent="0.2"/>
    <row r="9546" customFormat="1" ht="12.75" x14ac:dyDescent="0.2"/>
    <row r="9547" customFormat="1" ht="12.75" x14ac:dyDescent="0.2"/>
    <row r="9548" customFormat="1" ht="12.75" x14ac:dyDescent="0.2"/>
    <row r="9549" customFormat="1" ht="12.75" x14ac:dyDescent="0.2"/>
    <row r="9550" customFormat="1" ht="12.75" x14ac:dyDescent="0.2"/>
    <row r="9551" customFormat="1" ht="12.75" x14ac:dyDescent="0.2"/>
    <row r="9552" customFormat="1" ht="12.75" x14ac:dyDescent="0.2"/>
    <row r="9553" customFormat="1" ht="12.75" x14ac:dyDescent="0.2"/>
    <row r="9554" customFormat="1" ht="12.75" x14ac:dyDescent="0.2"/>
    <row r="9555" customFormat="1" ht="12.75" x14ac:dyDescent="0.2"/>
    <row r="9556" customFormat="1" ht="12.75" x14ac:dyDescent="0.2"/>
    <row r="9557" customFormat="1" ht="12.75" x14ac:dyDescent="0.2"/>
    <row r="9558" customFormat="1" ht="12.75" x14ac:dyDescent="0.2"/>
    <row r="9559" customFormat="1" ht="12.75" x14ac:dyDescent="0.2"/>
    <row r="9560" customFormat="1" ht="12.75" x14ac:dyDescent="0.2"/>
    <row r="9561" customFormat="1" ht="12.75" x14ac:dyDescent="0.2"/>
    <row r="9562" customFormat="1" ht="12.75" x14ac:dyDescent="0.2"/>
    <row r="9563" customFormat="1" ht="12.75" x14ac:dyDescent="0.2"/>
    <row r="9564" customFormat="1" ht="12.75" x14ac:dyDescent="0.2"/>
    <row r="9565" customFormat="1" ht="12.75" x14ac:dyDescent="0.2"/>
    <row r="9566" customFormat="1" ht="12.75" x14ac:dyDescent="0.2"/>
    <row r="9567" customFormat="1" ht="12.75" x14ac:dyDescent="0.2"/>
    <row r="9568" customFormat="1" ht="12.75" x14ac:dyDescent="0.2"/>
    <row r="9569" customFormat="1" ht="12.75" x14ac:dyDescent="0.2"/>
    <row r="9570" customFormat="1" ht="12.75" x14ac:dyDescent="0.2"/>
    <row r="9571" customFormat="1" ht="12.75" x14ac:dyDescent="0.2"/>
    <row r="9572" customFormat="1" ht="12.75" x14ac:dyDescent="0.2"/>
    <row r="9573" customFormat="1" ht="12.75" x14ac:dyDescent="0.2"/>
    <row r="9574" customFormat="1" ht="12.75" x14ac:dyDescent="0.2"/>
    <row r="9575" customFormat="1" ht="12.75" x14ac:dyDescent="0.2"/>
    <row r="9576" customFormat="1" ht="12.75" x14ac:dyDescent="0.2"/>
    <row r="9577" customFormat="1" ht="12.75" x14ac:dyDescent="0.2"/>
    <row r="9578" customFormat="1" ht="12.75" x14ac:dyDescent="0.2"/>
    <row r="9579" customFormat="1" ht="12.75" x14ac:dyDescent="0.2"/>
    <row r="9580" customFormat="1" ht="12.75" x14ac:dyDescent="0.2"/>
    <row r="9581" customFormat="1" ht="12.75" x14ac:dyDescent="0.2"/>
    <row r="9582" customFormat="1" ht="12.75" x14ac:dyDescent="0.2"/>
    <row r="9583" customFormat="1" ht="12.75" x14ac:dyDescent="0.2"/>
    <row r="9584" customFormat="1" ht="12.75" x14ac:dyDescent="0.2"/>
    <row r="9585" customFormat="1" ht="12.75" x14ac:dyDescent="0.2"/>
    <row r="9586" customFormat="1" ht="12.75" x14ac:dyDescent="0.2"/>
    <row r="9587" customFormat="1" ht="12.75" x14ac:dyDescent="0.2"/>
    <row r="9588" customFormat="1" ht="12.75" x14ac:dyDescent="0.2"/>
    <row r="9589" customFormat="1" ht="12.75" x14ac:dyDescent="0.2"/>
    <row r="9590" customFormat="1" ht="12.75" x14ac:dyDescent="0.2"/>
    <row r="9591" customFormat="1" ht="12.75" x14ac:dyDescent="0.2"/>
    <row r="9592" customFormat="1" ht="12.75" x14ac:dyDescent="0.2"/>
    <row r="9593" customFormat="1" ht="12.75" x14ac:dyDescent="0.2"/>
    <row r="9594" customFormat="1" ht="12.75" x14ac:dyDescent="0.2"/>
    <row r="9595" customFormat="1" ht="12.75" x14ac:dyDescent="0.2"/>
    <row r="9596" customFormat="1" ht="12.75" x14ac:dyDescent="0.2"/>
    <row r="9597" customFormat="1" ht="12.75" x14ac:dyDescent="0.2"/>
    <row r="9598" customFormat="1" ht="12.75" x14ac:dyDescent="0.2"/>
    <row r="9599" customFormat="1" ht="12.75" x14ac:dyDescent="0.2"/>
    <row r="9600" customFormat="1" ht="12.75" x14ac:dyDescent="0.2"/>
    <row r="9601" customFormat="1" ht="12.75" x14ac:dyDescent="0.2"/>
    <row r="9602" customFormat="1" ht="12.75" x14ac:dyDescent="0.2"/>
    <row r="9603" customFormat="1" ht="12.75" x14ac:dyDescent="0.2"/>
    <row r="9604" customFormat="1" ht="12.75" x14ac:dyDescent="0.2"/>
    <row r="9605" customFormat="1" ht="12.75" x14ac:dyDescent="0.2"/>
    <row r="9606" customFormat="1" ht="12.75" x14ac:dyDescent="0.2"/>
    <row r="9607" customFormat="1" ht="12.75" x14ac:dyDescent="0.2"/>
    <row r="9608" customFormat="1" ht="12.75" x14ac:dyDescent="0.2"/>
    <row r="9609" customFormat="1" ht="12.75" x14ac:dyDescent="0.2"/>
    <row r="9610" customFormat="1" ht="12.75" x14ac:dyDescent="0.2"/>
    <row r="9611" customFormat="1" ht="12.75" x14ac:dyDescent="0.2"/>
    <row r="9612" customFormat="1" ht="12.75" x14ac:dyDescent="0.2"/>
    <row r="9613" customFormat="1" ht="12.75" x14ac:dyDescent="0.2"/>
    <row r="9614" customFormat="1" ht="12.75" x14ac:dyDescent="0.2"/>
    <row r="9615" customFormat="1" ht="12.75" x14ac:dyDescent="0.2"/>
    <row r="9616" customFormat="1" ht="12.75" x14ac:dyDescent="0.2"/>
    <row r="9617" customFormat="1" ht="12.75" x14ac:dyDescent="0.2"/>
    <row r="9618" customFormat="1" ht="12.75" x14ac:dyDescent="0.2"/>
    <row r="9619" customFormat="1" ht="12.75" x14ac:dyDescent="0.2"/>
    <row r="9620" customFormat="1" ht="12.75" x14ac:dyDescent="0.2"/>
    <row r="9621" customFormat="1" ht="12.75" x14ac:dyDescent="0.2"/>
    <row r="9622" customFormat="1" ht="12.75" x14ac:dyDescent="0.2"/>
    <row r="9623" customFormat="1" ht="12.75" x14ac:dyDescent="0.2"/>
    <row r="9624" customFormat="1" ht="12.75" x14ac:dyDescent="0.2"/>
    <row r="9625" customFormat="1" ht="12.75" x14ac:dyDescent="0.2"/>
    <row r="9626" customFormat="1" ht="12.75" x14ac:dyDescent="0.2"/>
    <row r="9627" customFormat="1" ht="12.75" x14ac:dyDescent="0.2"/>
    <row r="9628" customFormat="1" ht="12.75" x14ac:dyDescent="0.2"/>
    <row r="9629" customFormat="1" ht="12.75" x14ac:dyDescent="0.2"/>
    <row r="9630" customFormat="1" ht="12.75" x14ac:dyDescent="0.2"/>
    <row r="9631" customFormat="1" ht="12.75" x14ac:dyDescent="0.2"/>
    <row r="9632" customFormat="1" ht="12.75" x14ac:dyDescent="0.2"/>
    <row r="9633" customFormat="1" ht="12.75" x14ac:dyDescent="0.2"/>
    <row r="9634" customFormat="1" ht="12.75" x14ac:dyDescent="0.2"/>
    <row r="9635" customFormat="1" ht="12.75" x14ac:dyDescent="0.2"/>
    <row r="9636" customFormat="1" ht="12.75" x14ac:dyDescent="0.2"/>
    <row r="9637" customFormat="1" ht="12.75" x14ac:dyDescent="0.2"/>
    <row r="9638" customFormat="1" ht="12.75" x14ac:dyDescent="0.2"/>
    <row r="9639" customFormat="1" ht="12.75" x14ac:dyDescent="0.2"/>
    <row r="9640" customFormat="1" ht="12.75" x14ac:dyDescent="0.2"/>
    <row r="9641" customFormat="1" ht="12.75" x14ac:dyDescent="0.2"/>
    <row r="9642" customFormat="1" ht="12.75" x14ac:dyDescent="0.2"/>
    <row r="9643" customFormat="1" ht="12.75" x14ac:dyDescent="0.2"/>
    <row r="9644" customFormat="1" ht="12.75" x14ac:dyDescent="0.2"/>
    <row r="9645" customFormat="1" ht="12.75" x14ac:dyDescent="0.2"/>
    <row r="9646" customFormat="1" ht="12.75" x14ac:dyDescent="0.2"/>
    <row r="9647" customFormat="1" ht="12.75" x14ac:dyDescent="0.2"/>
    <row r="9648" customFormat="1" ht="12.75" x14ac:dyDescent="0.2"/>
    <row r="9649" customFormat="1" ht="12.75" x14ac:dyDescent="0.2"/>
    <row r="9650" customFormat="1" ht="12.75" x14ac:dyDescent="0.2"/>
    <row r="9651" customFormat="1" ht="12.75" x14ac:dyDescent="0.2"/>
    <row r="9652" customFormat="1" ht="12.75" x14ac:dyDescent="0.2"/>
    <row r="9653" customFormat="1" ht="12.75" x14ac:dyDescent="0.2"/>
    <row r="9654" customFormat="1" ht="12.75" x14ac:dyDescent="0.2"/>
    <row r="9655" customFormat="1" ht="12.75" x14ac:dyDescent="0.2"/>
    <row r="9656" customFormat="1" ht="12.75" x14ac:dyDescent="0.2"/>
    <row r="9657" customFormat="1" ht="12.75" x14ac:dyDescent="0.2"/>
    <row r="9658" customFormat="1" ht="12.75" x14ac:dyDescent="0.2"/>
    <row r="9659" customFormat="1" ht="12.75" x14ac:dyDescent="0.2"/>
    <row r="9660" customFormat="1" ht="12.75" x14ac:dyDescent="0.2"/>
    <row r="9661" customFormat="1" ht="12.75" x14ac:dyDescent="0.2"/>
    <row r="9662" customFormat="1" ht="12.75" x14ac:dyDescent="0.2"/>
    <row r="9663" customFormat="1" ht="12.75" x14ac:dyDescent="0.2"/>
    <row r="9664" customFormat="1" ht="12.75" x14ac:dyDescent="0.2"/>
    <row r="9665" customFormat="1" ht="12.75" x14ac:dyDescent="0.2"/>
    <row r="9666" customFormat="1" ht="12.75" x14ac:dyDescent="0.2"/>
    <row r="9667" customFormat="1" ht="12.75" x14ac:dyDescent="0.2"/>
    <row r="9668" customFormat="1" ht="12.75" x14ac:dyDescent="0.2"/>
    <row r="9669" customFormat="1" ht="12.75" x14ac:dyDescent="0.2"/>
    <row r="9670" customFormat="1" ht="12.75" x14ac:dyDescent="0.2"/>
    <row r="9671" customFormat="1" ht="12.75" x14ac:dyDescent="0.2"/>
    <row r="9672" customFormat="1" ht="12.75" x14ac:dyDescent="0.2"/>
    <row r="9673" customFormat="1" ht="12.75" x14ac:dyDescent="0.2"/>
    <row r="9674" customFormat="1" ht="12.75" x14ac:dyDescent="0.2"/>
    <row r="9675" customFormat="1" ht="12.75" x14ac:dyDescent="0.2"/>
    <row r="9676" customFormat="1" ht="12.75" x14ac:dyDescent="0.2"/>
    <row r="9677" customFormat="1" ht="12.75" x14ac:dyDescent="0.2"/>
    <row r="9678" customFormat="1" ht="12.75" x14ac:dyDescent="0.2"/>
    <row r="9679" customFormat="1" ht="12.75" x14ac:dyDescent="0.2"/>
    <row r="9680" customFormat="1" ht="12.75" x14ac:dyDescent="0.2"/>
    <row r="9681" customFormat="1" ht="12.75" x14ac:dyDescent="0.2"/>
    <row r="9682" customFormat="1" ht="12.75" x14ac:dyDescent="0.2"/>
    <row r="9683" customFormat="1" ht="12.75" x14ac:dyDescent="0.2"/>
    <row r="9684" customFormat="1" ht="12.75" x14ac:dyDescent="0.2"/>
    <row r="9685" customFormat="1" ht="12.75" x14ac:dyDescent="0.2"/>
    <row r="9686" customFormat="1" ht="12.75" x14ac:dyDescent="0.2"/>
    <row r="9687" customFormat="1" ht="12.75" x14ac:dyDescent="0.2"/>
    <row r="9688" customFormat="1" ht="12.75" x14ac:dyDescent="0.2"/>
    <row r="9689" customFormat="1" ht="12.75" x14ac:dyDescent="0.2"/>
    <row r="9690" customFormat="1" ht="12.75" x14ac:dyDescent="0.2"/>
    <row r="9691" customFormat="1" ht="12.75" x14ac:dyDescent="0.2"/>
    <row r="9692" customFormat="1" ht="12.75" x14ac:dyDescent="0.2"/>
    <row r="9693" customFormat="1" ht="12.75" x14ac:dyDescent="0.2"/>
    <row r="9694" customFormat="1" ht="12.75" x14ac:dyDescent="0.2"/>
    <row r="9695" customFormat="1" ht="12.75" x14ac:dyDescent="0.2"/>
    <row r="9696" customFormat="1" ht="12.75" x14ac:dyDescent="0.2"/>
    <row r="9697" customFormat="1" ht="12.75" x14ac:dyDescent="0.2"/>
    <row r="9698" customFormat="1" ht="12.75" x14ac:dyDescent="0.2"/>
    <row r="9699" customFormat="1" ht="12.75" x14ac:dyDescent="0.2"/>
    <row r="9700" customFormat="1" ht="12.75" x14ac:dyDescent="0.2"/>
    <row r="9701" customFormat="1" ht="12.75" x14ac:dyDescent="0.2"/>
    <row r="9702" customFormat="1" ht="12.75" x14ac:dyDescent="0.2"/>
    <row r="9703" customFormat="1" ht="12.75" x14ac:dyDescent="0.2"/>
    <row r="9704" customFormat="1" ht="12.75" x14ac:dyDescent="0.2"/>
    <row r="9705" customFormat="1" ht="12.75" x14ac:dyDescent="0.2"/>
    <row r="9706" customFormat="1" ht="12.75" x14ac:dyDescent="0.2"/>
    <row r="9707" customFormat="1" ht="12.75" x14ac:dyDescent="0.2"/>
    <row r="9708" customFormat="1" ht="12.75" x14ac:dyDescent="0.2"/>
    <row r="9709" customFormat="1" ht="12.75" x14ac:dyDescent="0.2"/>
    <row r="9710" customFormat="1" ht="12.75" x14ac:dyDescent="0.2"/>
    <row r="9711" customFormat="1" ht="12.75" x14ac:dyDescent="0.2"/>
    <row r="9712" customFormat="1" ht="12.75" x14ac:dyDescent="0.2"/>
    <row r="9713" customFormat="1" ht="12.75" x14ac:dyDescent="0.2"/>
    <row r="9714" customFormat="1" ht="12.75" x14ac:dyDescent="0.2"/>
    <row r="9715" customFormat="1" ht="12.75" x14ac:dyDescent="0.2"/>
    <row r="9716" customFormat="1" ht="12.75" x14ac:dyDescent="0.2"/>
    <row r="9717" customFormat="1" ht="12.75" x14ac:dyDescent="0.2"/>
    <row r="9718" customFormat="1" ht="12.75" x14ac:dyDescent="0.2"/>
    <row r="9719" customFormat="1" ht="12.75" x14ac:dyDescent="0.2"/>
    <row r="9720" customFormat="1" ht="12.75" x14ac:dyDescent="0.2"/>
    <row r="9721" customFormat="1" ht="12.75" x14ac:dyDescent="0.2"/>
    <row r="9722" customFormat="1" ht="12.75" x14ac:dyDescent="0.2"/>
    <row r="9723" customFormat="1" ht="12.75" x14ac:dyDescent="0.2"/>
    <row r="9724" customFormat="1" ht="12.75" x14ac:dyDescent="0.2"/>
    <row r="9725" customFormat="1" ht="12.75" x14ac:dyDescent="0.2"/>
    <row r="9726" customFormat="1" ht="12.75" x14ac:dyDescent="0.2"/>
    <row r="9727" customFormat="1" ht="12.75" x14ac:dyDescent="0.2"/>
    <row r="9728" customFormat="1" ht="12.75" x14ac:dyDescent="0.2"/>
    <row r="9729" customFormat="1" ht="12.75" x14ac:dyDescent="0.2"/>
    <row r="9730" customFormat="1" ht="12.75" x14ac:dyDescent="0.2"/>
    <row r="9731" customFormat="1" ht="12.75" x14ac:dyDescent="0.2"/>
    <row r="9732" customFormat="1" ht="12.75" x14ac:dyDescent="0.2"/>
    <row r="9733" customFormat="1" ht="12.75" x14ac:dyDescent="0.2"/>
    <row r="9734" customFormat="1" ht="12.75" x14ac:dyDescent="0.2"/>
    <row r="9735" customFormat="1" ht="12.75" x14ac:dyDescent="0.2"/>
    <row r="9736" customFormat="1" ht="12.75" x14ac:dyDescent="0.2"/>
    <row r="9737" customFormat="1" ht="12.75" x14ac:dyDescent="0.2"/>
    <row r="9738" customFormat="1" ht="12.75" x14ac:dyDescent="0.2"/>
    <row r="9739" customFormat="1" ht="12.75" x14ac:dyDescent="0.2"/>
    <row r="9740" customFormat="1" ht="12.75" x14ac:dyDescent="0.2"/>
    <row r="9741" customFormat="1" ht="12.75" x14ac:dyDescent="0.2"/>
    <row r="9742" customFormat="1" ht="12.75" x14ac:dyDescent="0.2"/>
    <row r="9743" customFormat="1" ht="12.75" x14ac:dyDescent="0.2"/>
    <row r="9744" customFormat="1" ht="12.75" x14ac:dyDescent="0.2"/>
    <row r="9745" customFormat="1" ht="12.75" x14ac:dyDescent="0.2"/>
    <row r="9746" customFormat="1" ht="12.75" x14ac:dyDescent="0.2"/>
    <row r="9747" customFormat="1" ht="12.75" x14ac:dyDescent="0.2"/>
    <row r="9748" customFormat="1" ht="12.75" x14ac:dyDescent="0.2"/>
    <row r="9749" customFormat="1" ht="12.75" x14ac:dyDescent="0.2"/>
    <row r="9750" customFormat="1" ht="12.75" x14ac:dyDescent="0.2"/>
    <row r="9751" customFormat="1" ht="12.75" x14ac:dyDescent="0.2"/>
    <row r="9752" customFormat="1" ht="12.75" x14ac:dyDescent="0.2"/>
    <row r="9753" customFormat="1" ht="12.75" x14ac:dyDescent="0.2"/>
    <row r="9754" customFormat="1" ht="12.75" x14ac:dyDescent="0.2"/>
    <row r="9755" customFormat="1" ht="12.75" x14ac:dyDescent="0.2"/>
    <row r="9756" customFormat="1" ht="12.75" x14ac:dyDescent="0.2"/>
    <row r="9757" customFormat="1" ht="12.75" x14ac:dyDescent="0.2"/>
    <row r="9758" customFormat="1" ht="12.75" x14ac:dyDescent="0.2"/>
    <row r="9759" customFormat="1" ht="12.75" x14ac:dyDescent="0.2"/>
    <row r="9760" customFormat="1" ht="12.75" x14ac:dyDescent="0.2"/>
    <row r="9761" customFormat="1" ht="12.75" x14ac:dyDescent="0.2"/>
    <row r="9762" customFormat="1" ht="12.75" x14ac:dyDescent="0.2"/>
    <row r="9763" customFormat="1" ht="12.75" x14ac:dyDescent="0.2"/>
    <row r="9764" customFormat="1" ht="12.75" x14ac:dyDescent="0.2"/>
    <row r="9765" customFormat="1" ht="12.75" x14ac:dyDescent="0.2"/>
    <row r="9766" customFormat="1" ht="12.75" x14ac:dyDescent="0.2"/>
    <row r="9767" customFormat="1" ht="12.75" x14ac:dyDescent="0.2"/>
    <row r="9768" customFormat="1" ht="12.75" x14ac:dyDescent="0.2"/>
    <row r="9769" customFormat="1" ht="12.75" x14ac:dyDescent="0.2"/>
    <row r="9770" customFormat="1" ht="12.75" x14ac:dyDescent="0.2"/>
    <row r="9771" customFormat="1" ht="12.75" x14ac:dyDescent="0.2"/>
    <row r="9772" customFormat="1" ht="12.75" x14ac:dyDescent="0.2"/>
    <row r="9773" customFormat="1" ht="12.75" x14ac:dyDescent="0.2"/>
    <row r="9774" customFormat="1" ht="12.75" x14ac:dyDescent="0.2"/>
    <row r="9775" customFormat="1" ht="12.75" x14ac:dyDescent="0.2"/>
    <row r="9776" customFormat="1" ht="12.75" x14ac:dyDescent="0.2"/>
    <row r="9777" customFormat="1" ht="12.75" x14ac:dyDescent="0.2"/>
    <row r="9778" customFormat="1" ht="12.75" x14ac:dyDescent="0.2"/>
    <row r="9779" customFormat="1" ht="12.75" x14ac:dyDescent="0.2"/>
    <row r="9780" customFormat="1" ht="12.75" x14ac:dyDescent="0.2"/>
    <row r="9781" customFormat="1" ht="12.75" x14ac:dyDescent="0.2"/>
    <row r="9782" customFormat="1" ht="12.75" x14ac:dyDescent="0.2"/>
    <row r="9783" customFormat="1" ht="12.75" x14ac:dyDescent="0.2"/>
    <row r="9784" customFormat="1" ht="12.75" x14ac:dyDescent="0.2"/>
    <row r="9785" customFormat="1" ht="12.75" x14ac:dyDescent="0.2"/>
    <row r="9786" customFormat="1" ht="12.75" x14ac:dyDescent="0.2"/>
    <row r="9787" customFormat="1" ht="12.75" x14ac:dyDescent="0.2"/>
    <row r="9788" customFormat="1" ht="12.75" x14ac:dyDescent="0.2"/>
    <row r="9789" customFormat="1" ht="12.75" x14ac:dyDescent="0.2"/>
    <row r="9790" customFormat="1" ht="12.75" x14ac:dyDescent="0.2"/>
    <row r="9791" customFormat="1" ht="12.75" x14ac:dyDescent="0.2"/>
    <row r="9792" customFormat="1" ht="12.75" x14ac:dyDescent="0.2"/>
    <row r="9793" customFormat="1" ht="12.75" x14ac:dyDescent="0.2"/>
    <row r="9794" customFormat="1" ht="12.75" x14ac:dyDescent="0.2"/>
    <row r="9795" customFormat="1" ht="12.75" x14ac:dyDescent="0.2"/>
    <row r="9796" customFormat="1" ht="12.75" x14ac:dyDescent="0.2"/>
    <row r="9797" customFormat="1" ht="12.75" x14ac:dyDescent="0.2"/>
    <row r="9798" customFormat="1" ht="12.75" x14ac:dyDescent="0.2"/>
    <row r="9799" customFormat="1" ht="12.75" x14ac:dyDescent="0.2"/>
    <row r="9800" customFormat="1" ht="12.75" x14ac:dyDescent="0.2"/>
    <row r="9801" customFormat="1" ht="12.75" x14ac:dyDescent="0.2"/>
    <row r="9802" customFormat="1" ht="12.75" x14ac:dyDescent="0.2"/>
    <row r="9803" customFormat="1" ht="12.75" x14ac:dyDescent="0.2"/>
    <row r="9804" customFormat="1" ht="12.75" x14ac:dyDescent="0.2"/>
    <row r="9805" customFormat="1" ht="12.75" x14ac:dyDescent="0.2"/>
    <row r="9806" customFormat="1" ht="12.75" x14ac:dyDescent="0.2"/>
    <row r="9807" customFormat="1" ht="12.75" x14ac:dyDescent="0.2"/>
    <row r="9808" customFormat="1" ht="12.75" x14ac:dyDescent="0.2"/>
    <row r="9809" customFormat="1" ht="12.75" x14ac:dyDescent="0.2"/>
    <row r="9810" customFormat="1" ht="12.75" x14ac:dyDescent="0.2"/>
    <row r="9811" customFormat="1" ht="12.75" x14ac:dyDescent="0.2"/>
    <row r="9812" customFormat="1" ht="12.75" x14ac:dyDescent="0.2"/>
    <row r="9813" customFormat="1" ht="12.75" x14ac:dyDescent="0.2"/>
    <row r="9814" customFormat="1" ht="12.75" x14ac:dyDescent="0.2"/>
    <row r="9815" customFormat="1" ht="12.75" x14ac:dyDescent="0.2"/>
    <row r="9816" customFormat="1" ht="12.75" x14ac:dyDescent="0.2"/>
    <row r="9817" customFormat="1" ht="12.75" x14ac:dyDescent="0.2"/>
    <row r="9818" customFormat="1" ht="12.75" x14ac:dyDescent="0.2"/>
    <row r="9819" customFormat="1" ht="12.75" x14ac:dyDescent="0.2"/>
    <row r="9820" customFormat="1" ht="12.75" x14ac:dyDescent="0.2"/>
    <row r="9821" customFormat="1" ht="12.75" x14ac:dyDescent="0.2"/>
    <row r="9822" customFormat="1" ht="12.75" x14ac:dyDescent="0.2"/>
    <row r="9823" customFormat="1" ht="12.75" x14ac:dyDescent="0.2"/>
    <row r="9824" customFormat="1" ht="12.75" x14ac:dyDescent="0.2"/>
    <row r="9825" customFormat="1" ht="12.75" x14ac:dyDescent="0.2"/>
    <row r="9826" customFormat="1" ht="12.75" x14ac:dyDescent="0.2"/>
    <row r="9827" customFormat="1" ht="12.75" x14ac:dyDescent="0.2"/>
    <row r="9828" customFormat="1" ht="12.75" x14ac:dyDescent="0.2"/>
    <row r="9829" customFormat="1" ht="12.75" x14ac:dyDescent="0.2"/>
    <row r="9830" customFormat="1" ht="12.75" x14ac:dyDescent="0.2"/>
    <row r="9831" customFormat="1" ht="12.75" x14ac:dyDescent="0.2"/>
    <row r="9832" customFormat="1" ht="12.75" x14ac:dyDescent="0.2"/>
    <row r="9833" customFormat="1" ht="12.75" x14ac:dyDescent="0.2"/>
    <row r="9834" customFormat="1" ht="12.75" x14ac:dyDescent="0.2"/>
    <row r="9835" customFormat="1" ht="12.75" x14ac:dyDescent="0.2"/>
    <row r="9836" customFormat="1" ht="12.75" x14ac:dyDescent="0.2"/>
    <row r="9837" customFormat="1" ht="12.75" x14ac:dyDescent="0.2"/>
    <row r="9838" customFormat="1" ht="12.75" x14ac:dyDescent="0.2"/>
    <row r="9839" customFormat="1" ht="12.75" x14ac:dyDescent="0.2"/>
    <row r="9840" customFormat="1" ht="12.75" x14ac:dyDescent="0.2"/>
    <row r="9841" customFormat="1" ht="12.75" x14ac:dyDescent="0.2"/>
    <row r="9842" customFormat="1" ht="12.75" x14ac:dyDescent="0.2"/>
    <row r="9843" customFormat="1" ht="12.75" x14ac:dyDescent="0.2"/>
    <row r="9844" customFormat="1" ht="12.75" x14ac:dyDescent="0.2"/>
    <row r="9845" customFormat="1" ht="12.75" x14ac:dyDescent="0.2"/>
    <row r="9846" customFormat="1" ht="12.75" x14ac:dyDescent="0.2"/>
    <row r="9847" customFormat="1" ht="12.75" x14ac:dyDescent="0.2"/>
    <row r="9848" customFormat="1" ht="12.75" x14ac:dyDescent="0.2"/>
    <row r="9849" customFormat="1" ht="12.75" x14ac:dyDescent="0.2"/>
    <row r="9850" customFormat="1" ht="12.75" x14ac:dyDescent="0.2"/>
    <row r="9851" customFormat="1" ht="12.75" x14ac:dyDescent="0.2"/>
    <row r="9852" customFormat="1" ht="12.75" x14ac:dyDescent="0.2"/>
    <row r="9853" customFormat="1" ht="12.75" x14ac:dyDescent="0.2"/>
    <row r="9854" customFormat="1" ht="12.75" x14ac:dyDescent="0.2"/>
    <row r="9855" customFormat="1" ht="12.75" x14ac:dyDescent="0.2"/>
    <row r="9856" customFormat="1" ht="12.75" x14ac:dyDescent="0.2"/>
    <row r="9857" customFormat="1" ht="12.75" x14ac:dyDescent="0.2"/>
    <row r="9858" customFormat="1" ht="12.75" x14ac:dyDescent="0.2"/>
    <row r="9859" customFormat="1" ht="12.75" x14ac:dyDescent="0.2"/>
    <row r="9860" customFormat="1" ht="12.75" x14ac:dyDescent="0.2"/>
    <row r="9861" customFormat="1" ht="12.75" x14ac:dyDescent="0.2"/>
    <row r="9862" customFormat="1" ht="12.75" x14ac:dyDescent="0.2"/>
    <row r="9863" customFormat="1" ht="12.75" x14ac:dyDescent="0.2"/>
    <row r="9864" customFormat="1" ht="12.75" x14ac:dyDescent="0.2"/>
    <row r="9865" customFormat="1" ht="12.75" x14ac:dyDescent="0.2"/>
    <row r="9866" customFormat="1" ht="12.75" x14ac:dyDescent="0.2"/>
    <row r="9867" customFormat="1" ht="12.75" x14ac:dyDescent="0.2"/>
    <row r="9868" customFormat="1" ht="12.75" x14ac:dyDescent="0.2"/>
    <row r="9869" customFormat="1" ht="12.75" x14ac:dyDescent="0.2"/>
    <row r="9870" customFormat="1" ht="12.75" x14ac:dyDescent="0.2"/>
    <row r="9871" customFormat="1" ht="12.75" x14ac:dyDescent="0.2"/>
    <row r="9872" customFormat="1" ht="12.75" x14ac:dyDescent="0.2"/>
    <row r="9873" customFormat="1" ht="12.75" x14ac:dyDescent="0.2"/>
    <row r="9874" customFormat="1" ht="12.75" x14ac:dyDescent="0.2"/>
    <row r="9875" customFormat="1" ht="12.75" x14ac:dyDescent="0.2"/>
    <row r="9876" customFormat="1" ht="12.75" x14ac:dyDescent="0.2"/>
    <row r="9877" customFormat="1" ht="12.75" x14ac:dyDescent="0.2"/>
    <row r="9878" customFormat="1" ht="12.75" x14ac:dyDescent="0.2"/>
    <row r="9879" customFormat="1" ht="12.75" x14ac:dyDescent="0.2"/>
    <row r="9880" customFormat="1" ht="12.75" x14ac:dyDescent="0.2"/>
    <row r="9881" customFormat="1" ht="12.75" x14ac:dyDescent="0.2"/>
    <row r="9882" customFormat="1" ht="12.75" x14ac:dyDescent="0.2"/>
    <row r="9883" customFormat="1" ht="12.75" x14ac:dyDescent="0.2"/>
    <row r="9884" customFormat="1" ht="12.75" x14ac:dyDescent="0.2"/>
    <row r="9885" customFormat="1" ht="12.75" x14ac:dyDescent="0.2"/>
    <row r="9886" customFormat="1" ht="12.75" x14ac:dyDescent="0.2"/>
    <row r="9887" customFormat="1" ht="12.75" x14ac:dyDescent="0.2"/>
    <row r="9888" customFormat="1" ht="12.75" x14ac:dyDescent="0.2"/>
    <row r="9889" customFormat="1" ht="12.75" x14ac:dyDescent="0.2"/>
    <row r="9890" customFormat="1" ht="12.75" x14ac:dyDescent="0.2"/>
    <row r="9891" customFormat="1" ht="12.75" x14ac:dyDescent="0.2"/>
    <row r="9892" customFormat="1" ht="12.75" x14ac:dyDescent="0.2"/>
    <row r="9893" customFormat="1" ht="12.75" x14ac:dyDescent="0.2"/>
    <row r="9894" customFormat="1" ht="12.75" x14ac:dyDescent="0.2"/>
    <row r="9895" customFormat="1" ht="12.75" x14ac:dyDescent="0.2"/>
    <row r="9896" customFormat="1" ht="12.75" x14ac:dyDescent="0.2"/>
    <row r="9897" customFormat="1" ht="12.75" x14ac:dyDescent="0.2"/>
    <row r="9898" customFormat="1" ht="12.75" x14ac:dyDescent="0.2"/>
    <row r="9899" customFormat="1" ht="12.75" x14ac:dyDescent="0.2"/>
    <row r="9900" customFormat="1" ht="12.75" x14ac:dyDescent="0.2"/>
    <row r="9901" customFormat="1" ht="12.75" x14ac:dyDescent="0.2"/>
    <row r="9902" customFormat="1" ht="12.75" x14ac:dyDescent="0.2"/>
    <row r="9903" customFormat="1" ht="12.75" x14ac:dyDescent="0.2"/>
    <row r="9904" customFormat="1" ht="12.75" x14ac:dyDescent="0.2"/>
    <row r="9905" customFormat="1" ht="12.75" x14ac:dyDescent="0.2"/>
    <row r="9906" customFormat="1" ht="12.75" x14ac:dyDescent="0.2"/>
    <row r="9907" customFormat="1" ht="12.75" x14ac:dyDescent="0.2"/>
    <row r="9908" customFormat="1" ht="12.75" x14ac:dyDescent="0.2"/>
    <row r="9909" customFormat="1" ht="12.75" x14ac:dyDescent="0.2"/>
    <row r="9910" customFormat="1" ht="12.75" x14ac:dyDescent="0.2"/>
    <row r="9911" customFormat="1" ht="12.75" x14ac:dyDescent="0.2"/>
    <row r="9912" customFormat="1" ht="12.75" x14ac:dyDescent="0.2"/>
    <row r="9913" customFormat="1" ht="12.75" x14ac:dyDescent="0.2"/>
    <row r="9914" customFormat="1" ht="12.75" x14ac:dyDescent="0.2"/>
    <row r="9915" customFormat="1" ht="12.75" x14ac:dyDescent="0.2"/>
    <row r="9916" customFormat="1" ht="12.75" x14ac:dyDescent="0.2"/>
    <row r="9917" customFormat="1" ht="12.75" x14ac:dyDescent="0.2"/>
    <row r="9918" customFormat="1" ht="12.75" x14ac:dyDescent="0.2"/>
    <row r="9919" customFormat="1" ht="12.75" x14ac:dyDescent="0.2"/>
    <row r="9920" customFormat="1" ht="12.75" x14ac:dyDescent="0.2"/>
    <row r="9921" customFormat="1" ht="12.75" x14ac:dyDescent="0.2"/>
    <row r="9922" customFormat="1" ht="12.75" x14ac:dyDescent="0.2"/>
    <row r="9923" customFormat="1" ht="12.75" x14ac:dyDescent="0.2"/>
    <row r="9924" customFormat="1" ht="12.75" x14ac:dyDescent="0.2"/>
    <row r="9925" customFormat="1" ht="12.75" x14ac:dyDescent="0.2"/>
    <row r="9926" customFormat="1" ht="12.75" x14ac:dyDescent="0.2"/>
    <row r="9927" customFormat="1" ht="12.75" x14ac:dyDescent="0.2"/>
    <row r="9928" customFormat="1" ht="12.75" x14ac:dyDescent="0.2"/>
    <row r="9929" customFormat="1" ht="12.75" x14ac:dyDescent="0.2"/>
    <row r="9930" customFormat="1" ht="12.75" x14ac:dyDescent="0.2"/>
    <row r="9931" customFormat="1" ht="12.75" x14ac:dyDescent="0.2"/>
    <row r="9932" customFormat="1" ht="12.75" x14ac:dyDescent="0.2"/>
    <row r="9933" customFormat="1" ht="12.75" x14ac:dyDescent="0.2"/>
    <row r="9934" customFormat="1" ht="12.75" x14ac:dyDescent="0.2"/>
    <row r="9935" customFormat="1" ht="12.75" x14ac:dyDescent="0.2"/>
    <row r="9936" customFormat="1" ht="12.75" x14ac:dyDescent="0.2"/>
    <row r="9937" customFormat="1" ht="12.75" x14ac:dyDescent="0.2"/>
    <row r="9938" customFormat="1" ht="12.75" x14ac:dyDescent="0.2"/>
    <row r="9939" customFormat="1" ht="12.75" x14ac:dyDescent="0.2"/>
    <row r="9940" customFormat="1" ht="12.75" x14ac:dyDescent="0.2"/>
    <row r="9941" customFormat="1" ht="12.75" x14ac:dyDescent="0.2"/>
    <row r="9942" customFormat="1" ht="12.75" x14ac:dyDescent="0.2"/>
    <row r="9943" customFormat="1" ht="12.75" x14ac:dyDescent="0.2"/>
    <row r="9944" customFormat="1" ht="12.75" x14ac:dyDescent="0.2"/>
    <row r="9945" customFormat="1" ht="12.75" x14ac:dyDescent="0.2"/>
    <row r="9946" customFormat="1" ht="12.75" x14ac:dyDescent="0.2"/>
    <row r="9947" customFormat="1" ht="12.75" x14ac:dyDescent="0.2"/>
    <row r="9948" customFormat="1" ht="12.75" x14ac:dyDescent="0.2"/>
    <row r="9949" customFormat="1" ht="12.75" x14ac:dyDescent="0.2"/>
    <row r="9950" customFormat="1" ht="12.75" x14ac:dyDescent="0.2"/>
    <row r="9951" customFormat="1" ht="12.75" x14ac:dyDescent="0.2"/>
    <row r="9952" customFormat="1" ht="12.75" x14ac:dyDescent="0.2"/>
    <row r="9953" customFormat="1" ht="12.75" x14ac:dyDescent="0.2"/>
    <row r="9954" customFormat="1" ht="12.75" x14ac:dyDescent="0.2"/>
    <row r="9955" customFormat="1" ht="12.75" x14ac:dyDescent="0.2"/>
    <row r="9956" customFormat="1" ht="12.75" x14ac:dyDescent="0.2"/>
    <row r="9957" customFormat="1" ht="12.75" x14ac:dyDescent="0.2"/>
    <row r="9958" customFormat="1" ht="12.75" x14ac:dyDescent="0.2"/>
    <row r="9959" customFormat="1" ht="12.75" x14ac:dyDescent="0.2"/>
    <row r="9960" customFormat="1" ht="12.75" x14ac:dyDescent="0.2"/>
    <row r="9961" customFormat="1" ht="12.75" x14ac:dyDescent="0.2"/>
    <row r="9962" customFormat="1" ht="12.75" x14ac:dyDescent="0.2"/>
    <row r="9963" customFormat="1" ht="12.75" x14ac:dyDescent="0.2"/>
    <row r="9964" customFormat="1" ht="12.75" x14ac:dyDescent="0.2"/>
    <row r="9965" customFormat="1" ht="12.75" x14ac:dyDescent="0.2"/>
    <row r="9966" customFormat="1" ht="12.75" x14ac:dyDescent="0.2"/>
    <row r="9967" customFormat="1" ht="12.75" x14ac:dyDescent="0.2"/>
    <row r="9968" customFormat="1" ht="12.75" x14ac:dyDescent="0.2"/>
    <row r="9969" customFormat="1" ht="12.75" x14ac:dyDescent="0.2"/>
    <row r="9970" customFormat="1" ht="12.75" x14ac:dyDescent="0.2"/>
    <row r="9971" customFormat="1" ht="12.75" x14ac:dyDescent="0.2"/>
    <row r="9972" customFormat="1" ht="12.75" x14ac:dyDescent="0.2"/>
    <row r="9973" customFormat="1" ht="12.75" x14ac:dyDescent="0.2"/>
    <row r="9974" customFormat="1" ht="12.75" x14ac:dyDescent="0.2"/>
    <row r="9975" customFormat="1" ht="12.75" x14ac:dyDescent="0.2"/>
    <row r="9976" customFormat="1" ht="12.75" x14ac:dyDescent="0.2"/>
    <row r="9977" customFormat="1" ht="12.75" x14ac:dyDescent="0.2"/>
    <row r="9978" customFormat="1" ht="12.75" x14ac:dyDescent="0.2"/>
    <row r="9979" customFormat="1" ht="12.75" x14ac:dyDescent="0.2"/>
    <row r="9980" customFormat="1" ht="12.75" x14ac:dyDescent="0.2"/>
    <row r="9981" customFormat="1" ht="12.75" x14ac:dyDescent="0.2"/>
    <row r="9982" customFormat="1" ht="12.75" x14ac:dyDescent="0.2"/>
    <row r="9983" customFormat="1" ht="12.75" x14ac:dyDescent="0.2"/>
    <row r="9984" customFormat="1" ht="12.75" x14ac:dyDescent="0.2"/>
    <row r="9985" customFormat="1" ht="12.75" x14ac:dyDescent="0.2"/>
    <row r="9986" customFormat="1" ht="12.75" x14ac:dyDescent="0.2"/>
    <row r="9987" customFormat="1" ht="12.75" x14ac:dyDescent="0.2"/>
    <row r="9988" customFormat="1" ht="12.75" x14ac:dyDescent="0.2"/>
    <row r="9989" customFormat="1" ht="12.75" x14ac:dyDescent="0.2"/>
    <row r="9990" customFormat="1" ht="12.75" x14ac:dyDescent="0.2"/>
    <row r="9991" customFormat="1" ht="12.75" x14ac:dyDescent="0.2"/>
    <row r="9992" customFormat="1" ht="12.75" x14ac:dyDescent="0.2"/>
    <row r="9993" customFormat="1" ht="12.75" x14ac:dyDescent="0.2"/>
    <row r="9994" customFormat="1" ht="12.75" x14ac:dyDescent="0.2"/>
    <row r="9995" customFormat="1" ht="12.75" x14ac:dyDescent="0.2"/>
    <row r="9996" customFormat="1" ht="12.75" x14ac:dyDescent="0.2"/>
    <row r="9997" customFormat="1" ht="12.75" x14ac:dyDescent="0.2"/>
    <row r="9998" customFormat="1" ht="12.75" x14ac:dyDescent="0.2"/>
    <row r="9999" customFormat="1" ht="12.75" x14ac:dyDescent="0.2"/>
    <row r="10000" customFormat="1" ht="12.75" x14ac:dyDescent="0.2"/>
  </sheetData>
  <mergeCells count="59">
    <mergeCell ref="C4:G4"/>
    <mergeCell ref="C5:G5"/>
    <mergeCell ref="C6:G6"/>
    <mergeCell ref="AD8:AK8"/>
    <mergeCell ref="AF6:AG6"/>
    <mergeCell ref="AF7:AG7"/>
    <mergeCell ref="L7:M7"/>
    <mergeCell ref="H6:I6"/>
    <mergeCell ref="H7:I7"/>
    <mergeCell ref="H8:I8"/>
    <mergeCell ref="X4:Y4"/>
    <mergeCell ref="S7:T7"/>
    <mergeCell ref="S4:T4"/>
    <mergeCell ref="L4:M4"/>
    <mergeCell ref="H4:I4"/>
    <mergeCell ref="H5:I5"/>
    <mergeCell ref="AK11:AK14"/>
    <mergeCell ref="M12:M13"/>
    <mergeCell ref="O12:O13"/>
    <mergeCell ref="Y11:Y13"/>
    <mergeCell ref="Z11:Z13"/>
    <mergeCell ref="AA12:AE12"/>
    <mergeCell ref="AF12:AH12"/>
    <mergeCell ref="M11:N11"/>
    <mergeCell ref="AA11:AH11"/>
    <mergeCell ref="Q11:R11"/>
    <mergeCell ref="Q12:Q13"/>
    <mergeCell ref="R12:R13"/>
    <mergeCell ref="U11:V11"/>
    <mergeCell ref="X12:X13"/>
    <mergeCell ref="W11:X11"/>
    <mergeCell ref="AI11:AI14"/>
    <mergeCell ref="L5:M5"/>
    <mergeCell ref="L6:M6"/>
    <mergeCell ref="L8:M8"/>
    <mergeCell ref="L9:M9"/>
    <mergeCell ref="B11:B14"/>
    <mergeCell ref="D12:F12"/>
    <mergeCell ref="G12:G13"/>
    <mergeCell ref="D11:G11"/>
    <mergeCell ref="H11:I11"/>
    <mergeCell ref="H12:I13"/>
    <mergeCell ref="C11:C13"/>
    <mergeCell ref="H9:I9"/>
    <mergeCell ref="C8:G8"/>
    <mergeCell ref="J12:J13"/>
    <mergeCell ref="K12:K13"/>
    <mergeCell ref="L12:L13"/>
    <mergeCell ref="AJ11:AJ14"/>
    <mergeCell ref="J11:L11"/>
    <mergeCell ref="W12:W13"/>
    <mergeCell ref="T12:T13"/>
    <mergeCell ref="S12:S13"/>
    <mergeCell ref="P12:P13"/>
    <mergeCell ref="N12:N13"/>
    <mergeCell ref="O11:P11"/>
    <mergeCell ref="U12:U13"/>
    <mergeCell ref="V12:V13"/>
    <mergeCell ref="S11:T11"/>
  </mergeCells>
  <phoneticPr fontId="49" type="noConversion"/>
  <conditionalFormatting sqref="AF6 AK7 AH6:AK6">
    <cfRule type="cellIs" dxfId="153" priority="61524" operator="equal">
      <formula>0</formula>
    </cfRule>
  </conditionalFormatting>
  <conditionalFormatting sqref="C4:G6">
    <cfRule type="cellIs" dxfId="152" priority="482" operator="equal">
      <formula>0</formula>
    </cfRule>
  </conditionalFormatting>
  <conditionalFormatting sqref="C7:G8">
    <cfRule type="cellIs" dxfId="151" priority="481" operator="equal">
      <formula>0</formula>
    </cfRule>
  </conditionalFormatting>
  <printOptions horizontalCentered="1"/>
  <pageMargins left="0.51181102362204722" right="0.31496062992125984" top="0.70866141732283472" bottom="0.70866141732283472" header="0.51181102362204722" footer="0.51181102362204722"/>
  <pageSetup paperSize="8" scale="62" fitToHeight="0" orientation="landscape" horizontalDpi="4294967293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7" r:id="rId4" name="Button 3">
              <controlPr defaultSize="0" print="0" autoFill="0" autoPict="0" macro="[0]!Limpar_RB_Print" altText="Limpar RB_print">
                <anchor>
                  <from>
                    <xdr:col>5</xdr:col>
                    <xdr:colOff>209550</xdr:colOff>
                    <xdr:row>7</xdr:row>
                    <xdr:rowOff>123825</xdr:rowOff>
                  </from>
                  <to>
                    <xdr:col>6</xdr:col>
                    <xdr:colOff>800100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5" name="Button 4">
              <controlPr defaultSize="0" print="0" autoFill="0" autoPict="0" macro="[0]!Gerar_RB_Print" altText="Gerar Planilha de Impressão">
                <anchor>
                  <from>
                    <xdr:col>5</xdr:col>
                    <xdr:colOff>238125</xdr:colOff>
                    <xdr:row>5</xdr:row>
                    <xdr:rowOff>419100</xdr:rowOff>
                  </from>
                  <to>
                    <xdr:col>6</xdr:col>
                    <xdr:colOff>809625</xdr:colOff>
                    <xdr:row>7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15"/>
  <dimension ref="A1:G10000"/>
  <sheetViews>
    <sheetView workbookViewId="0">
      <selection activeCell="G2" sqref="G2"/>
    </sheetView>
  </sheetViews>
  <sheetFormatPr defaultColWidth="8.85546875" defaultRowHeight="12.75" x14ac:dyDescent="0.2"/>
  <cols>
    <col min="1" max="1" width="11.85546875" bestFit="1" customWidth="1"/>
    <col min="4" max="4" width="10.28515625" bestFit="1" customWidth="1"/>
    <col min="6" max="6" width="10" style="91" bestFit="1" customWidth="1"/>
    <col min="8" max="8" width="10" bestFit="1" customWidth="1"/>
    <col min="9" max="9" width="12.140625" bestFit="1" customWidth="1"/>
  </cols>
  <sheetData>
    <row r="1" spans="1:7" x14ac:dyDescent="0.2">
      <c r="A1" t="s">
        <v>61</v>
      </c>
      <c r="B1" t="s">
        <v>64</v>
      </c>
      <c r="C1" t="s">
        <v>67</v>
      </c>
      <c r="D1" t="s">
        <v>65</v>
      </c>
      <c r="E1" s="210" t="s">
        <v>66</v>
      </c>
      <c r="F1" s="91" t="s">
        <v>106</v>
      </c>
      <c r="G1" t="s">
        <v>117</v>
      </c>
    </row>
    <row r="2" spans="1:7" s="91" customFormat="1" x14ac:dyDescent="0.2">
      <c r="A2" s="191"/>
      <c r="B2"/>
      <c r="C2" s="200"/>
      <c r="D2" s="200"/>
      <c r="F2" s="200"/>
      <c r="G2" s="200"/>
    </row>
    <row r="3" spans="1:7" s="91" customFormat="1" x14ac:dyDescent="0.2">
      <c r="A3" s="191"/>
      <c r="B3"/>
      <c r="C3" s="200"/>
      <c r="D3" s="200"/>
      <c r="F3" s="200"/>
      <c r="G3" s="200"/>
    </row>
    <row r="4" spans="1:7" s="91" customFormat="1" x14ac:dyDescent="0.2">
      <c r="A4" s="191"/>
      <c r="B4"/>
      <c r="C4" s="200"/>
      <c r="D4" s="200"/>
      <c r="F4" s="200"/>
      <c r="G4" s="200"/>
    </row>
    <row r="5" spans="1:7" s="91" customFormat="1" x14ac:dyDescent="0.2">
      <c r="A5" s="191"/>
      <c r="B5"/>
      <c r="C5" s="200"/>
      <c r="D5" s="200"/>
      <c r="F5" s="200"/>
      <c r="G5" s="200"/>
    </row>
    <row r="6" spans="1:7" s="91" customFormat="1" x14ac:dyDescent="0.2">
      <c r="A6" s="191"/>
      <c r="B6"/>
      <c r="C6" s="200"/>
      <c r="D6" s="200"/>
      <c r="F6" s="200"/>
      <c r="G6" s="200"/>
    </row>
    <row r="7" spans="1:7" s="91" customFormat="1" x14ac:dyDescent="0.2">
      <c r="A7" s="191"/>
      <c r="B7"/>
      <c r="C7" s="200"/>
      <c r="D7" s="200"/>
      <c r="F7" s="200"/>
      <c r="G7" s="200"/>
    </row>
    <row r="8" spans="1:7" s="91" customFormat="1" x14ac:dyDescent="0.2">
      <c r="A8" s="191"/>
      <c r="B8"/>
      <c r="C8" s="200"/>
      <c r="D8" s="200"/>
      <c r="F8" s="200"/>
      <c r="G8" s="200"/>
    </row>
    <row r="9" spans="1:7" s="91" customFormat="1" x14ac:dyDescent="0.2">
      <c r="A9" s="191"/>
      <c r="B9"/>
      <c r="C9" s="200"/>
      <c r="D9" s="200"/>
      <c r="F9" s="200"/>
      <c r="G9" s="200"/>
    </row>
    <row r="10" spans="1:7" s="91" customFormat="1" x14ac:dyDescent="0.2">
      <c r="A10" s="191"/>
      <c r="B10"/>
      <c r="C10" s="200"/>
      <c r="D10" s="200"/>
      <c r="F10" s="200"/>
      <c r="G10" s="200"/>
    </row>
    <row r="11" spans="1:7" s="91" customFormat="1" x14ac:dyDescent="0.2">
      <c r="A11" s="191"/>
      <c r="B11"/>
      <c r="C11" s="200"/>
      <c r="D11" s="200"/>
      <c r="F11" s="200"/>
      <c r="G11" s="200"/>
    </row>
    <row r="12" spans="1:7" s="91" customFormat="1" x14ac:dyDescent="0.2">
      <c r="A12" s="191"/>
      <c r="B12"/>
      <c r="C12" s="200"/>
      <c r="D12" s="200"/>
      <c r="F12" s="200"/>
      <c r="G12" s="200"/>
    </row>
    <row r="13" spans="1:7" s="91" customFormat="1" x14ac:dyDescent="0.2">
      <c r="A13" s="191"/>
      <c r="B13"/>
      <c r="C13" s="200"/>
      <c r="D13" s="200"/>
      <c r="F13" s="200"/>
      <c r="G13" s="200"/>
    </row>
    <row r="14" spans="1:7" s="91" customFormat="1" x14ac:dyDescent="0.2">
      <c r="A14" s="191"/>
      <c r="B14"/>
      <c r="C14" s="200"/>
      <c r="D14" s="200"/>
      <c r="F14" s="200"/>
      <c r="G14" s="200"/>
    </row>
    <row r="15" spans="1:7" s="91" customFormat="1" x14ac:dyDescent="0.2">
      <c r="A15" s="191"/>
      <c r="B15"/>
      <c r="C15" s="200"/>
      <c r="D15" s="200"/>
      <c r="F15" s="200"/>
      <c r="G15" s="200"/>
    </row>
    <row r="16" spans="1:7" s="91" customFormat="1" x14ac:dyDescent="0.2">
      <c r="A16" s="191"/>
      <c r="B16"/>
      <c r="C16" s="200"/>
      <c r="D16" s="200"/>
      <c r="F16" s="200"/>
      <c r="G16" s="200"/>
    </row>
    <row r="17" spans="1:7" s="91" customFormat="1" x14ac:dyDescent="0.2">
      <c r="A17" s="191"/>
      <c r="B17"/>
      <c r="C17" s="200"/>
      <c r="D17" s="200"/>
      <c r="F17" s="200"/>
      <c r="G17" s="200"/>
    </row>
    <row r="18" spans="1:7" s="91" customFormat="1" x14ac:dyDescent="0.2">
      <c r="A18" s="191"/>
      <c r="B18"/>
      <c r="C18" s="200"/>
      <c r="D18" s="200"/>
      <c r="F18" s="200"/>
      <c r="G18" s="200"/>
    </row>
    <row r="19" spans="1:7" s="91" customFormat="1" x14ac:dyDescent="0.2">
      <c r="A19" s="191"/>
      <c r="B19"/>
      <c r="C19" s="200"/>
      <c r="D19" s="200"/>
      <c r="F19" s="200"/>
      <c r="G19" s="200"/>
    </row>
    <row r="20" spans="1:7" s="91" customFormat="1" x14ac:dyDescent="0.2">
      <c r="A20" s="191"/>
      <c r="B20"/>
      <c r="C20" s="200"/>
      <c r="D20" s="200"/>
      <c r="F20" s="200"/>
      <c r="G20" s="200"/>
    </row>
    <row r="21" spans="1:7" s="91" customFormat="1" x14ac:dyDescent="0.2">
      <c r="A21" s="191"/>
      <c r="B21"/>
      <c r="C21" s="200"/>
      <c r="D21" s="200"/>
      <c r="F21" s="200"/>
      <c r="G21" s="200"/>
    </row>
    <row r="22" spans="1:7" s="91" customFormat="1" x14ac:dyDescent="0.2">
      <c r="A22" s="191"/>
      <c r="B22"/>
      <c r="C22" s="200"/>
      <c r="D22" s="200"/>
      <c r="F22" s="200"/>
      <c r="G22" s="200"/>
    </row>
    <row r="23" spans="1:7" s="91" customFormat="1" x14ac:dyDescent="0.2">
      <c r="A23" s="191"/>
      <c r="B23"/>
      <c r="C23" s="200"/>
      <c r="D23" s="200"/>
      <c r="F23" s="200"/>
      <c r="G23" s="200"/>
    </row>
    <row r="24" spans="1:7" s="91" customFormat="1" x14ac:dyDescent="0.2">
      <c r="A24" s="191"/>
      <c r="B24"/>
      <c r="C24" s="200"/>
      <c r="D24" s="200"/>
      <c r="F24" s="200"/>
      <c r="G24" s="200"/>
    </row>
    <row r="25" spans="1:7" s="91" customFormat="1" x14ac:dyDescent="0.2">
      <c r="A25" s="191"/>
      <c r="B25"/>
      <c r="C25" s="200"/>
      <c r="D25" s="200"/>
      <c r="F25" s="200"/>
      <c r="G25" s="200"/>
    </row>
    <row r="26" spans="1:7" s="91" customFormat="1" x14ac:dyDescent="0.2">
      <c r="A26" s="191"/>
      <c r="B26"/>
      <c r="C26" s="200"/>
      <c r="D26" s="200"/>
      <c r="F26" s="200"/>
      <c r="G26" s="200"/>
    </row>
    <row r="27" spans="1:7" s="91" customFormat="1" x14ac:dyDescent="0.2">
      <c r="A27" s="191"/>
      <c r="B27"/>
      <c r="C27" s="200"/>
      <c r="D27" s="200"/>
      <c r="F27" s="200"/>
      <c r="G27" s="200"/>
    </row>
    <row r="28" spans="1:7" s="91" customFormat="1" x14ac:dyDescent="0.2">
      <c r="A28" s="191"/>
      <c r="B28"/>
      <c r="C28" s="200"/>
      <c r="D28" s="200"/>
      <c r="F28" s="200"/>
      <c r="G28" s="200"/>
    </row>
    <row r="29" spans="1:7" s="91" customFormat="1" x14ac:dyDescent="0.2">
      <c r="A29" s="191"/>
      <c r="B29"/>
      <c r="C29" s="200"/>
      <c r="D29" s="200"/>
      <c r="F29" s="200"/>
      <c r="G29" s="200"/>
    </row>
    <row r="30" spans="1:7" s="91" customFormat="1" x14ac:dyDescent="0.2">
      <c r="A30" s="191"/>
      <c r="B30"/>
      <c r="C30" s="200"/>
      <c r="D30" s="200"/>
      <c r="F30" s="200"/>
      <c r="G30" s="200"/>
    </row>
    <row r="31" spans="1:7" s="91" customFormat="1" x14ac:dyDescent="0.2">
      <c r="A31" s="191"/>
      <c r="B31"/>
      <c r="C31" s="200"/>
      <c r="D31" s="200"/>
      <c r="F31" s="200"/>
      <c r="G31" s="200"/>
    </row>
    <row r="32" spans="1:7" s="91" customFormat="1" x14ac:dyDescent="0.2">
      <c r="A32" s="191"/>
      <c r="B32"/>
      <c r="C32" s="200"/>
      <c r="D32" s="200"/>
      <c r="F32" s="200"/>
      <c r="G32" s="200"/>
    </row>
    <row r="33" spans="1:7" s="91" customFormat="1" x14ac:dyDescent="0.2">
      <c r="A33" s="191"/>
      <c r="B33"/>
      <c r="C33" s="200"/>
      <c r="D33" s="200"/>
      <c r="F33" s="200"/>
      <c r="G33" s="200"/>
    </row>
    <row r="34" spans="1:7" s="91" customFormat="1" x14ac:dyDescent="0.2">
      <c r="A34" s="191"/>
      <c r="B34"/>
      <c r="C34" s="200"/>
      <c r="D34" s="200"/>
      <c r="F34" s="200"/>
      <c r="G34" s="200"/>
    </row>
    <row r="35" spans="1:7" s="91" customFormat="1" x14ac:dyDescent="0.2">
      <c r="A35" s="191"/>
      <c r="B35"/>
      <c r="C35" s="200"/>
      <c r="D35" s="200"/>
      <c r="F35" s="200"/>
      <c r="G35" s="200"/>
    </row>
    <row r="36" spans="1:7" s="91" customFormat="1" x14ac:dyDescent="0.2">
      <c r="A36" s="191"/>
      <c r="B36"/>
      <c r="C36" s="200"/>
      <c r="D36" s="200"/>
      <c r="F36" s="200"/>
      <c r="G36" s="200"/>
    </row>
    <row r="37" spans="1:7" s="91" customFormat="1" x14ac:dyDescent="0.2">
      <c r="A37" s="191"/>
      <c r="B37"/>
      <c r="C37" s="200"/>
      <c r="D37" s="200"/>
      <c r="F37" s="200"/>
      <c r="G37" s="200"/>
    </row>
    <row r="38" spans="1:7" s="91" customFormat="1" x14ac:dyDescent="0.2">
      <c r="A38" s="191"/>
      <c r="B38"/>
      <c r="C38" s="200"/>
      <c r="D38" s="200"/>
      <c r="F38" s="200"/>
      <c r="G38" s="200"/>
    </row>
    <row r="39" spans="1:7" s="91" customFormat="1" x14ac:dyDescent="0.2">
      <c r="A39" s="191"/>
      <c r="B39"/>
      <c r="C39" s="200"/>
      <c r="D39" s="200"/>
      <c r="F39" s="200"/>
      <c r="G39" s="200"/>
    </row>
    <row r="40" spans="1:7" s="91" customFormat="1" x14ac:dyDescent="0.2">
      <c r="A40" s="191"/>
      <c r="B40"/>
      <c r="C40" s="200"/>
      <c r="D40" s="200"/>
      <c r="F40" s="200"/>
      <c r="G40" s="200"/>
    </row>
    <row r="41" spans="1:7" s="91" customFormat="1" x14ac:dyDescent="0.2">
      <c r="A41" s="191"/>
      <c r="B41"/>
      <c r="C41" s="200"/>
      <c r="D41" s="200"/>
      <c r="F41" s="200"/>
      <c r="G41" s="200"/>
    </row>
    <row r="42" spans="1:7" s="91" customFormat="1" x14ac:dyDescent="0.2">
      <c r="A42" s="191"/>
      <c r="B42"/>
      <c r="C42" s="200"/>
      <c r="D42" s="200"/>
      <c r="F42" s="200"/>
      <c r="G42" s="200"/>
    </row>
    <row r="43" spans="1:7" s="91" customFormat="1" x14ac:dyDescent="0.2">
      <c r="A43" s="191"/>
      <c r="B43"/>
      <c r="C43" s="200"/>
      <c r="D43" s="200"/>
      <c r="F43" s="200"/>
      <c r="G43" s="200"/>
    </row>
    <row r="44" spans="1:7" s="91" customFormat="1" x14ac:dyDescent="0.2">
      <c r="A44" s="191"/>
      <c r="B44"/>
      <c r="C44" s="200"/>
      <c r="D44" s="200"/>
      <c r="F44" s="200"/>
      <c r="G44" s="200"/>
    </row>
    <row r="45" spans="1:7" s="91" customFormat="1" x14ac:dyDescent="0.2">
      <c r="A45" s="191"/>
      <c r="B45"/>
      <c r="C45" s="200"/>
      <c r="D45" s="200"/>
      <c r="F45" s="200"/>
      <c r="G45" s="200"/>
    </row>
    <row r="46" spans="1:7" s="91" customFormat="1" x14ac:dyDescent="0.2">
      <c r="A46" s="191"/>
      <c r="B46"/>
      <c r="C46" s="200"/>
      <c r="D46" s="200"/>
      <c r="F46" s="200"/>
      <c r="G46" s="200"/>
    </row>
    <row r="47" spans="1:7" s="91" customFormat="1" x14ac:dyDescent="0.2">
      <c r="A47" s="191"/>
      <c r="B47"/>
      <c r="C47" s="200"/>
      <c r="D47" s="200"/>
      <c r="F47" s="200"/>
      <c r="G47" s="200"/>
    </row>
    <row r="48" spans="1:7" s="91" customFormat="1" x14ac:dyDescent="0.2">
      <c r="A48" s="191"/>
      <c r="B48"/>
      <c r="C48" s="200"/>
      <c r="D48" s="200"/>
      <c r="F48" s="200"/>
      <c r="G48" s="200"/>
    </row>
    <row r="49" spans="1:7" s="91" customFormat="1" x14ac:dyDescent="0.2">
      <c r="A49" s="191"/>
      <c r="B49"/>
      <c r="C49" s="200"/>
      <c r="D49" s="200"/>
      <c r="F49" s="200"/>
      <c r="G49" s="200"/>
    </row>
    <row r="50" spans="1:7" s="91" customFormat="1" x14ac:dyDescent="0.2">
      <c r="A50" s="191"/>
      <c r="B50"/>
      <c r="C50" s="200"/>
      <c r="D50" s="200"/>
      <c r="F50" s="200"/>
      <c r="G50" s="200"/>
    </row>
    <row r="51" spans="1:7" s="91" customFormat="1" x14ac:dyDescent="0.2">
      <c r="A51" s="191"/>
      <c r="B51"/>
      <c r="C51" s="200"/>
      <c r="D51" s="200"/>
      <c r="F51" s="200"/>
      <c r="G51" s="200"/>
    </row>
    <row r="52" spans="1:7" s="91" customFormat="1" x14ac:dyDescent="0.2">
      <c r="A52" s="191"/>
      <c r="B52"/>
      <c r="C52" s="200"/>
      <c r="D52" s="200"/>
      <c r="F52" s="200"/>
      <c r="G52" s="200"/>
    </row>
    <row r="53" spans="1:7" s="91" customFormat="1" x14ac:dyDescent="0.2">
      <c r="A53" s="191"/>
      <c r="B53"/>
      <c r="C53" s="200"/>
      <c r="D53" s="200"/>
      <c r="F53" s="200"/>
      <c r="G53" s="200"/>
    </row>
    <row r="54" spans="1:7" s="91" customFormat="1" x14ac:dyDescent="0.2">
      <c r="A54" s="191"/>
      <c r="B54"/>
      <c r="C54" s="200"/>
      <c r="D54" s="200"/>
      <c r="F54" s="200"/>
      <c r="G54" s="200"/>
    </row>
    <row r="55" spans="1:7" s="91" customFormat="1" x14ac:dyDescent="0.2">
      <c r="A55" s="191"/>
      <c r="B55"/>
      <c r="C55" s="200"/>
      <c r="D55" s="200"/>
      <c r="F55" s="200"/>
      <c r="G55" s="200"/>
    </row>
    <row r="56" spans="1:7" s="91" customFormat="1" x14ac:dyDescent="0.2">
      <c r="A56" s="191"/>
      <c r="B56"/>
      <c r="C56" s="200"/>
      <c r="D56" s="200"/>
      <c r="F56" s="200"/>
      <c r="G56" s="200"/>
    </row>
    <row r="57" spans="1:7" s="91" customFormat="1" x14ac:dyDescent="0.2">
      <c r="A57" s="191"/>
      <c r="B57"/>
      <c r="C57" s="200"/>
      <c r="D57" s="200"/>
      <c r="F57" s="200"/>
      <c r="G57" s="200"/>
    </row>
    <row r="58" spans="1:7" s="91" customFormat="1" x14ac:dyDescent="0.2">
      <c r="A58" s="191"/>
      <c r="B58"/>
      <c r="C58" s="200"/>
      <c r="D58" s="200"/>
      <c r="F58" s="200"/>
      <c r="G58" s="200"/>
    </row>
    <row r="59" spans="1:7" s="91" customFormat="1" x14ac:dyDescent="0.2">
      <c r="A59" s="191"/>
      <c r="B59"/>
      <c r="C59" s="200"/>
      <c r="D59" s="200"/>
      <c r="F59" s="200"/>
      <c r="G59" s="200"/>
    </row>
    <row r="60" spans="1:7" s="91" customFormat="1" x14ac:dyDescent="0.2">
      <c r="A60" s="191"/>
      <c r="B60"/>
      <c r="C60" s="200"/>
      <c r="D60" s="200"/>
      <c r="F60" s="200"/>
      <c r="G60" s="200"/>
    </row>
    <row r="61" spans="1:7" s="91" customFormat="1" x14ac:dyDescent="0.2">
      <c r="A61" s="191"/>
      <c r="B61"/>
      <c r="C61" s="200"/>
      <c r="D61" s="200"/>
      <c r="F61" s="200"/>
      <c r="G61" s="200"/>
    </row>
    <row r="62" spans="1:7" s="91" customFormat="1" x14ac:dyDescent="0.2">
      <c r="A62" s="191"/>
      <c r="B62"/>
      <c r="C62" s="200"/>
      <c r="D62" s="200"/>
      <c r="F62" s="200"/>
      <c r="G62" s="200"/>
    </row>
    <row r="63" spans="1:7" s="91" customFormat="1" x14ac:dyDescent="0.2">
      <c r="A63" s="191"/>
      <c r="B63"/>
      <c r="C63" s="200"/>
      <c r="D63" s="200"/>
      <c r="F63" s="200"/>
      <c r="G63" s="200"/>
    </row>
    <row r="64" spans="1:7" s="91" customFormat="1" x14ac:dyDescent="0.2">
      <c r="A64" s="191"/>
      <c r="B64"/>
      <c r="C64" s="200"/>
      <c r="D64" s="200"/>
      <c r="F64" s="200"/>
      <c r="G64" s="200"/>
    </row>
    <row r="65" spans="1:7" s="91" customFormat="1" x14ac:dyDescent="0.2">
      <c r="A65" s="191"/>
      <c r="B65"/>
      <c r="C65" s="200"/>
      <c r="D65" s="200"/>
      <c r="F65" s="200"/>
      <c r="G65" s="200"/>
    </row>
    <row r="66" spans="1:7" s="91" customFormat="1" x14ac:dyDescent="0.2">
      <c r="A66" s="191"/>
      <c r="B66"/>
      <c r="C66" s="200"/>
      <c r="D66" s="200"/>
      <c r="F66" s="200"/>
      <c r="G66" s="200"/>
    </row>
    <row r="67" spans="1:7" s="91" customFormat="1" x14ac:dyDescent="0.2">
      <c r="A67" s="191"/>
      <c r="B67"/>
      <c r="C67" s="200"/>
      <c r="D67" s="200"/>
      <c r="F67" s="200"/>
      <c r="G67" s="200"/>
    </row>
    <row r="68" spans="1:7" s="91" customFormat="1" x14ac:dyDescent="0.2">
      <c r="A68" s="191"/>
      <c r="B68"/>
      <c r="C68" s="200"/>
      <c r="D68" s="200"/>
      <c r="F68" s="200"/>
      <c r="G68" s="200"/>
    </row>
    <row r="69" spans="1:7" s="91" customFormat="1" x14ac:dyDescent="0.2">
      <c r="A69" s="191"/>
      <c r="B69"/>
      <c r="C69" s="200"/>
      <c r="D69" s="200"/>
      <c r="F69" s="200"/>
      <c r="G69" s="200"/>
    </row>
    <row r="70" spans="1:7" s="91" customFormat="1" x14ac:dyDescent="0.2">
      <c r="A70" s="191"/>
      <c r="B70"/>
      <c r="C70" s="200"/>
      <c r="D70" s="200"/>
      <c r="F70" s="200"/>
      <c r="G70" s="200"/>
    </row>
    <row r="71" spans="1:7" s="91" customFormat="1" x14ac:dyDescent="0.2">
      <c r="A71" s="191"/>
      <c r="B71"/>
      <c r="C71" s="200"/>
      <c r="D71" s="200"/>
      <c r="F71" s="200"/>
      <c r="G71" s="200"/>
    </row>
    <row r="72" spans="1:7" s="91" customFormat="1" x14ac:dyDescent="0.2">
      <c r="A72" s="191"/>
      <c r="B72"/>
      <c r="C72" s="200"/>
      <c r="D72" s="200"/>
      <c r="F72" s="200"/>
      <c r="G72" s="200"/>
    </row>
    <row r="73" spans="1:7" s="91" customFormat="1" x14ac:dyDescent="0.2">
      <c r="A73" s="191"/>
      <c r="B73"/>
      <c r="C73" s="200"/>
      <c r="D73" s="200"/>
      <c r="F73" s="200"/>
      <c r="G73" s="200"/>
    </row>
    <row r="74" spans="1:7" s="91" customFormat="1" x14ac:dyDescent="0.2">
      <c r="A74" s="191"/>
      <c r="B74"/>
      <c r="C74" s="200"/>
      <c r="D74" s="200"/>
      <c r="F74" s="200"/>
      <c r="G74" s="200"/>
    </row>
    <row r="75" spans="1:7" s="91" customFormat="1" x14ac:dyDescent="0.2">
      <c r="A75" s="191"/>
      <c r="B75"/>
      <c r="C75" s="200"/>
      <c r="D75" s="200"/>
      <c r="F75" s="200"/>
      <c r="G75" s="200"/>
    </row>
    <row r="76" spans="1:7" s="91" customFormat="1" x14ac:dyDescent="0.2">
      <c r="A76" s="191"/>
      <c r="B76"/>
      <c r="C76" s="200"/>
      <c r="D76" s="200"/>
      <c r="F76" s="200"/>
      <c r="G76" s="200"/>
    </row>
    <row r="77" spans="1:7" s="91" customFormat="1" x14ac:dyDescent="0.2">
      <c r="A77" s="191"/>
      <c r="B77"/>
      <c r="C77" s="200"/>
      <c r="D77" s="200"/>
      <c r="F77" s="200"/>
      <c r="G77" s="200"/>
    </row>
    <row r="78" spans="1:7" s="91" customFormat="1" x14ac:dyDescent="0.2">
      <c r="A78" s="191"/>
      <c r="B78"/>
      <c r="C78" s="200"/>
      <c r="D78" s="200"/>
      <c r="F78" s="200"/>
      <c r="G78" s="200"/>
    </row>
    <row r="79" spans="1:7" s="91" customFormat="1" x14ac:dyDescent="0.2">
      <c r="A79" s="191"/>
      <c r="B79"/>
      <c r="C79" s="200"/>
      <c r="D79" s="200"/>
      <c r="F79" s="200"/>
      <c r="G79" s="200"/>
    </row>
    <row r="80" spans="1:7" s="91" customFormat="1" x14ac:dyDescent="0.2">
      <c r="A80" s="191"/>
      <c r="B80"/>
      <c r="C80" s="200"/>
      <c r="D80" s="200"/>
      <c r="F80" s="200"/>
      <c r="G80" s="200"/>
    </row>
    <row r="81" spans="1:7" s="91" customFormat="1" x14ac:dyDescent="0.2">
      <c r="A81" s="191"/>
      <c r="B81"/>
      <c r="C81" s="200"/>
      <c r="D81" s="200"/>
      <c r="F81" s="200"/>
      <c r="G81" s="200"/>
    </row>
    <row r="82" spans="1:7" s="91" customFormat="1" x14ac:dyDescent="0.2">
      <c r="A82" s="191"/>
      <c r="B82"/>
      <c r="C82" s="200"/>
      <c r="D82" s="200"/>
      <c r="F82" s="200"/>
      <c r="G82" s="200"/>
    </row>
    <row r="83" spans="1:7" s="91" customFormat="1" x14ac:dyDescent="0.2">
      <c r="A83" s="191"/>
      <c r="B83"/>
      <c r="C83" s="200"/>
      <c r="D83" s="200"/>
      <c r="F83" s="200"/>
      <c r="G83" s="200"/>
    </row>
    <row r="84" spans="1:7" s="91" customFormat="1" x14ac:dyDescent="0.2">
      <c r="A84" s="191"/>
      <c r="B84"/>
      <c r="C84" s="200"/>
      <c r="D84" s="200"/>
      <c r="F84" s="200"/>
      <c r="G84" s="200"/>
    </row>
    <row r="85" spans="1:7" s="91" customFormat="1" x14ac:dyDescent="0.2">
      <c r="A85" s="191"/>
      <c r="B85"/>
      <c r="C85" s="200"/>
      <c r="D85" s="200"/>
      <c r="F85" s="200"/>
      <c r="G85" s="200"/>
    </row>
    <row r="86" spans="1:7" s="91" customFormat="1" x14ac:dyDescent="0.2">
      <c r="A86" s="191"/>
      <c r="B86"/>
      <c r="C86" s="200"/>
      <c r="D86" s="200"/>
      <c r="F86" s="200"/>
      <c r="G86" s="200"/>
    </row>
    <row r="87" spans="1:7" s="91" customFormat="1" x14ac:dyDescent="0.2">
      <c r="A87" s="191"/>
      <c r="B87"/>
      <c r="C87" s="200"/>
      <c r="D87" s="200"/>
      <c r="F87" s="200"/>
      <c r="G87" s="200"/>
    </row>
    <row r="88" spans="1:7" s="91" customFormat="1" x14ac:dyDescent="0.2">
      <c r="A88" s="191"/>
      <c r="B88"/>
      <c r="C88" s="200"/>
      <c r="D88" s="200"/>
      <c r="F88" s="200"/>
      <c r="G88" s="200"/>
    </row>
    <row r="89" spans="1:7" s="91" customFormat="1" x14ac:dyDescent="0.2">
      <c r="A89" s="191"/>
      <c r="B89"/>
      <c r="C89" s="200"/>
      <c r="D89" s="200"/>
      <c r="F89" s="200"/>
      <c r="G89" s="200"/>
    </row>
    <row r="90" spans="1:7" s="91" customFormat="1" x14ac:dyDescent="0.2">
      <c r="A90" s="191"/>
      <c r="B90"/>
      <c r="C90" s="200"/>
      <c r="D90" s="200"/>
      <c r="F90" s="200"/>
      <c r="G90" s="200"/>
    </row>
    <row r="91" spans="1:7" s="91" customFormat="1" x14ac:dyDescent="0.2">
      <c r="A91" s="191"/>
      <c r="B91"/>
      <c r="C91" s="200"/>
      <c r="D91" s="200"/>
      <c r="F91" s="200"/>
      <c r="G91" s="200"/>
    </row>
    <row r="92" spans="1:7" s="91" customFormat="1" x14ac:dyDescent="0.2">
      <c r="A92" s="191"/>
      <c r="B92"/>
      <c r="C92" s="200"/>
      <c r="D92" s="200"/>
      <c r="F92" s="200"/>
      <c r="G92" s="200"/>
    </row>
    <row r="93" spans="1:7" s="91" customFormat="1" x14ac:dyDescent="0.2">
      <c r="A93" s="191"/>
      <c r="B93"/>
      <c r="C93" s="200"/>
      <c r="D93" s="200"/>
      <c r="F93" s="200"/>
      <c r="G93" s="200"/>
    </row>
    <row r="94" spans="1:7" s="91" customFormat="1" x14ac:dyDescent="0.2">
      <c r="A94" s="191"/>
      <c r="B94"/>
      <c r="C94" s="200"/>
      <c r="D94" s="200"/>
      <c r="F94" s="200"/>
      <c r="G94" s="200"/>
    </row>
    <row r="95" spans="1:7" s="91" customFormat="1" x14ac:dyDescent="0.2">
      <c r="A95" s="191"/>
      <c r="B95"/>
      <c r="C95" s="200"/>
      <c r="D95" s="200"/>
      <c r="F95" s="200"/>
      <c r="G95" s="200"/>
    </row>
    <row r="96" spans="1:7" s="91" customFormat="1" x14ac:dyDescent="0.2">
      <c r="A96" s="191"/>
      <c r="B96"/>
      <c r="C96" s="200"/>
      <c r="D96" s="200"/>
      <c r="F96" s="200"/>
      <c r="G96" s="200"/>
    </row>
    <row r="97" spans="1:7" s="91" customFormat="1" x14ac:dyDescent="0.2">
      <c r="A97" s="191"/>
      <c r="B97"/>
      <c r="C97" s="200"/>
      <c r="D97" s="200"/>
      <c r="F97" s="200"/>
      <c r="G97" s="200"/>
    </row>
    <row r="98" spans="1:7" s="91" customFormat="1" x14ac:dyDescent="0.2">
      <c r="A98" s="191"/>
      <c r="B98"/>
      <c r="C98" s="200"/>
      <c r="D98" s="200"/>
      <c r="F98" s="200"/>
      <c r="G98" s="200"/>
    </row>
    <row r="99" spans="1:7" s="91" customFormat="1" x14ac:dyDescent="0.2">
      <c r="A99" s="191"/>
      <c r="B99"/>
      <c r="C99" s="200"/>
      <c r="D99" s="200"/>
      <c r="F99" s="200"/>
      <c r="G99" s="200"/>
    </row>
    <row r="100" spans="1:7" s="91" customFormat="1" x14ac:dyDescent="0.2">
      <c r="A100" s="191"/>
      <c r="B100"/>
      <c r="C100" s="200"/>
      <c r="D100" s="200"/>
      <c r="F100" s="200"/>
      <c r="G100" s="200"/>
    </row>
    <row r="101" spans="1:7" s="91" customFormat="1" x14ac:dyDescent="0.2">
      <c r="A101" s="191"/>
      <c r="B101"/>
      <c r="C101" s="200"/>
      <c r="D101" s="200"/>
      <c r="F101" s="200"/>
      <c r="G101" s="200"/>
    </row>
    <row r="102" spans="1:7" s="91" customFormat="1" x14ac:dyDescent="0.2">
      <c r="A102" s="191"/>
      <c r="B102"/>
      <c r="C102" s="200"/>
      <c r="D102" s="200"/>
      <c r="F102" s="200"/>
      <c r="G102" s="200"/>
    </row>
    <row r="103" spans="1:7" s="91" customFormat="1" x14ac:dyDescent="0.2">
      <c r="A103" s="191"/>
      <c r="B103"/>
      <c r="C103" s="200"/>
      <c r="D103" s="200"/>
      <c r="F103" s="200"/>
      <c r="G103" s="200"/>
    </row>
    <row r="104" spans="1:7" s="91" customFormat="1" x14ac:dyDescent="0.2">
      <c r="A104" s="191"/>
      <c r="B104"/>
      <c r="C104" s="200"/>
      <c r="D104" s="200"/>
      <c r="F104" s="200"/>
      <c r="G104" s="200"/>
    </row>
    <row r="105" spans="1:7" s="91" customFormat="1" x14ac:dyDescent="0.2">
      <c r="A105" s="191"/>
      <c r="B105"/>
      <c r="C105" s="200"/>
      <c r="D105" s="200"/>
      <c r="F105" s="200"/>
      <c r="G105" s="200"/>
    </row>
    <row r="106" spans="1:7" s="91" customFormat="1" x14ac:dyDescent="0.2">
      <c r="A106" s="191"/>
      <c r="B106"/>
      <c r="C106" s="200"/>
      <c r="D106" s="200"/>
      <c r="F106" s="200"/>
      <c r="G106" s="200"/>
    </row>
    <row r="107" spans="1:7" s="91" customFormat="1" x14ac:dyDescent="0.2">
      <c r="A107" s="191"/>
      <c r="B107"/>
      <c r="C107" s="200"/>
      <c r="D107" s="200"/>
      <c r="F107" s="200"/>
      <c r="G107" s="200"/>
    </row>
    <row r="108" spans="1:7" s="91" customFormat="1" x14ac:dyDescent="0.2">
      <c r="A108" s="191"/>
      <c r="B108"/>
      <c r="C108" s="200"/>
      <c r="D108" s="200"/>
      <c r="F108" s="200"/>
      <c r="G108" s="200"/>
    </row>
    <row r="109" spans="1:7" s="91" customFormat="1" x14ac:dyDescent="0.2">
      <c r="A109" s="191"/>
      <c r="B109"/>
      <c r="C109" s="200"/>
      <c r="D109" s="200"/>
      <c r="F109" s="200"/>
      <c r="G109" s="200"/>
    </row>
    <row r="110" spans="1:7" s="91" customFormat="1" x14ac:dyDescent="0.2">
      <c r="A110" s="191"/>
      <c r="B110"/>
      <c r="C110" s="200"/>
      <c r="D110" s="200"/>
      <c r="F110" s="200"/>
      <c r="G110" s="200"/>
    </row>
    <row r="111" spans="1:7" s="91" customFormat="1" x14ac:dyDescent="0.2">
      <c r="A111" s="191"/>
      <c r="B111"/>
      <c r="C111" s="200"/>
      <c r="D111" s="200"/>
      <c r="F111" s="200"/>
      <c r="G111" s="200"/>
    </row>
    <row r="112" spans="1:7" s="91" customFormat="1" x14ac:dyDescent="0.2">
      <c r="A112" s="191"/>
      <c r="B112"/>
      <c r="C112" s="200"/>
      <c r="D112" s="200"/>
      <c r="F112" s="200"/>
      <c r="G112" s="200"/>
    </row>
    <row r="113" spans="1:7" s="91" customFormat="1" x14ac:dyDescent="0.2">
      <c r="A113" s="191"/>
      <c r="B113"/>
      <c r="C113" s="200"/>
      <c r="D113" s="200"/>
      <c r="F113" s="200"/>
      <c r="G113" s="200"/>
    </row>
    <row r="114" spans="1:7" s="91" customFormat="1" x14ac:dyDescent="0.2">
      <c r="A114" s="191"/>
      <c r="B114"/>
      <c r="C114" s="200"/>
      <c r="D114" s="200"/>
      <c r="F114" s="200"/>
      <c r="G114" s="200"/>
    </row>
    <row r="115" spans="1:7" s="91" customFormat="1" x14ac:dyDescent="0.2">
      <c r="A115" s="191"/>
      <c r="B115"/>
      <c r="C115" s="200"/>
      <c r="D115" s="200"/>
      <c r="F115" s="200"/>
      <c r="G115" s="200"/>
    </row>
    <row r="116" spans="1:7" s="91" customFormat="1" x14ac:dyDescent="0.2">
      <c r="A116" s="191"/>
      <c r="B116"/>
      <c r="C116" s="200"/>
      <c r="D116" s="200"/>
      <c r="F116" s="200"/>
      <c r="G116" s="200"/>
    </row>
    <row r="117" spans="1:7" s="91" customFormat="1" x14ac:dyDescent="0.2">
      <c r="A117" s="191"/>
      <c r="B117"/>
      <c r="C117" s="200"/>
      <c r="D117" s="200"/>
      <c r="F117" s="200"/>
      <c r="G117" s="200"/>
    </row>
    <row r="118" spans="1:7" s="91" customFormat="1" x14ac:dyDescent="0.2">
      <c r="A118" s="191"/>
      <c r="B118"/>
      <c r="C118" s="200"/>
      <c r="D118" s="200"/>
      <c r="F118" s="200"/>
      <c r="G118" s="200"/>
    </row>
    <row r="119" spans="1:7" s="91" customFormat="1" x14ac:dyDescent="0.2">
      <c r="A119" s="191"/>
      <c r="B119"/>
      <c r="C119" s="200"/>
      <c r="D119" s="200"/>
      <c r="F119" s="200"/>
      <c r="G119" s="200"/>
    </row>
    <row r="120" spans="1:7" s="91" customFormat="1" x14ac:dyDescent="0.2">
      <c r="A120" s="191"/>
      <c r="B120"/>
      <c r="C120" s="200"/>
      <c r="D120" s="200"/>
      <c r="F120" s="200"/>
      <c r="G120" s="200"/>
    </row>
    <row r="121" spans="1:7" s="91" customFormat="1" x14ac:dyDescent="0.2">
      <c r="A121" s="191"/>
      <c r="B121"/>
      <c r="C121" s="200"/>
      <c r="D121" s="200"/>
      <c r="F121" s="200"/>
      <c r="G121" s="200"/>
    </row>
    <row r="122" spans="1:7" s="91" customFormat="1" x14ac:dyDescent="0.2">
      <c r="A122" s="191"/>
      <c r="B122"/>
      <c r="C122" s="200"/>
      <c r="D122" s="200"/>
      <c r="F122" s="200"/>
      <c r="G122" s="200"/>
    </row>
    <row r="123" spans="1:7" s="91" customFormat="1" x14ac:dyDescent="0.2">
      <c r="A123" s="191"/>
      <c r="B123"/>
      <c r="C123" s="200"/>
      <c r="D123" s="200"/>
      <c r="F123" s="200"/>
      <c r="G123" s="200"/>
    </row>
    <row r="124" spans="1:7" s="91" customFormat="1" x14ac:dyDescent="0.2">
      <c r="A124" s="191"/>
      <c r="B124"/>
      <c r="C124" s="200"/>
      <c r="D124" s="200"/>
      <c r="F124" s="200"/>
      <c r="G124" s="200"/>
    </row>
    <row r="125" spans="1:7" s="91" customFormat="1" x14ac:dyDescent="0.2">
      <c r="A125" s="191"/>
      <c r="B125"/>
      <c r="C125" s="200"/>
      <c r="D125" s="200"/>
      <c r="F125" s="200"/>
      <c r="G125" s="200"/>
    </row>
    <row r="126" spans="1:7" s="91" customFormat="1" x14ac:dyDescent="0.2">
      <c r="A126" s="191"/>
      <c r="B126"/>
      <c r="C126" s="200"/>
      <c r="D126" s="200"/>
      <c r="F126" s="200"/>
      <c r="G126" s="200"/>
    </row>
    <row r="127" spans="1:7" s="91" customFormat="1" x14ac:dyDescent="0.2">
      <c r="A127" s="191"/>
      <c r="B127"/>
      <c r="C127" s="200"/>
      <c r="D127" s="200"/>
      <c r="F127" s="200"/>
      <c r="G127" s="200"/>
    </row>
    <row r="128" spans="1:7" s="91" customFormat="1" x14ac:dyDescent="0.2">
      <c r="A128" s="191"/>
      <c r="B128"/>
      <c r="C128" s="200"/>
      <c r="D128" s="200"/>
      <c r="F128" s="200"/>
      <c r="G128" s="200"/>
    </row>
    <row r="129" spans="1:7" s="91" customFormat="1" x14ac:dyDescent="0.2">
      <c r="A129" s="191"/>
      <c r="B129"/>
      <c r="C129" s="200"/>
      <c r="D129" s="200"/>
      <c r="F129" s="200"/>
      <c r="G129" s="200"/>
    </row>
    <row r="130" spans="1:7" s="91" customFormat="1" x14ac:dyDescent="0.2">
      <c r="A130" s="191"/>
      <c r="B130"/>
      <c r="C130" s="200"/>
      <c r="D130" s="200"/>
      <c r="F130" s="200"/>
      <c r="G130" s="200"/>
    </row>
    <row r="131" spans="1:7" s="91" customFormat="1" x14ac:dyDescent="0.2">
      <c r="A131" s="191"/>
      <c r="B131"/>
      <c r="C131" s="200"/>
      <c r="D131" s="200"/>
      <c r="F131" s="200"/>
      <c r="G131" s="200"/>
    </row>
    <row r="132" spans="1:7" s="91" customFormat="1" x14ac:dyDescent="0.2">
      <c r="A132" s="191"/>
      <c r="B132"/>
      <c r="C132" s="200"/>
      <c r="D132" s="200"/>
      <c r="F132" s="200"/>
      <c r="G132" s="200"/>
    </row>
    <row r="133" spans="1:7" s="91" customFormat="1" x14ac:dyDescent="0.2">
      <c r="A133" s="191"/>
      <c r="B133"/>
      <c r="C133" s="200"/>
      <c r="D133" s="200"/>
      <c r="F133" s="200"/>
      <c r="G133" s="200"/>
    </row>
    <row r="134" spans="1:7" s="91" customFormat="1" x14ac:dyDescent="0.2">
      <c r="A134" s="191"/>
      <c r="B134"/>
      <c r="C134" s="200"/>
      <c r="D134" s="200"/>
      <c r="F134" s="200"/>
      <c r="G134" s="200"/>
    </row>
    <row r="135" spans="1:7" s="91" customFormat="1" x14ac:dyDescent="0.2">
      <c r="A135" s="191"/>
      <c r="B135"/>
      <c r="C135" s="200"/>
      <c r="D135" s="200"/>
      <c r="F135" s="200"/>
      <c r="G135" s="200"/>
    </row>
    <row r="136" spans="1:7" s="91" customFormat="1" x14ac:dyDescent="0.2">
      <c r="A136" s="191"/>
      <c r="B136"/>
      <c r="C136" s="200"/>
      <c r="D136" s="200"/>
      <c r="F136" s="200"/>
      <c r="G136" s="200"/>
    </row>
    <row r="137" spans="1:7" s="91" customFormat="1" x14ac:dyDescent="0.2">
      <c r="A137" s="191"/>
      <c r="B137"/>
      <c r="C137" s="200"/>
      <c r="D137" s="200"/>
      <c r="F137" s="200"/>
      <c r="G137" s="200"/>
    </row>
    <row r="138" spans="1:7" s="91" customFormat="1" x14ac:dyDescent="0.2">
      <c r="A138" s="191"/>
      <c r="B138"/>
      <c r="C138" s="200"/>
      <c r="D138" s="200"/>
      <c r="F138" s="200"/>
      <c r="G138" s="200"/>
    </row>
    <row r="139" spans="1:7" s="91" customFormat="1" x14ac:dyDescent="0.2">
      <c r="A139" s="191"/>
      <c r="B139"/>
      <c r="C139" s="200"/>
      <c r="D139" s="200"/>
      <c r="F139" s="200"/>
      <c r="G139" s="200"/>
    </row>
    <row r="140" spans="1:7" s="91" customFormat="1" x14ac:dyDescent="0.2">
      <c r="A140" s="191"/>
      <c r="B140"/>
      <c r="C140" s="200"/>
      <c r="D140" s="200"/>
      <c r="F140" s="200"/>
      <c r="G140" s="200"/>
    </row>
    <row r="141" spans="1:7" s="91" customFormat="1" x14ac:dyDescent="0.2">
      <c r="A141" s="191"/>
      <c r="B141"/>
      <c r="C141" s="200"/>
      <c r="D141" s="200"/>
      <c r="F141" s="200"/>
      <c r="G141" s="200"/>
    </row>
    <row r="142" spans="1:7" s="91" customFormat="1" x14ac:dyDescent="0.2">
      <c r="A142" s="191"/>
      <c r="B142"/>
      <c r="C142" s="200"/>
      <c r="D142" s="200"/>
      <c r="F142" s="200"/>
      <c r="G142" s="200"/>
    </row>
    <row r="143" spans="1:7" s="91" customFormat="1" x14ac:dyDescent="0.2">
      <c r="A143" s="191"/>
      <c r="B143"/>
      <c r="C143" s="200"/>
      <c r="D143" s="200"/>
      <c r="F143" s="200"/>
      <c r="G143" s="200"/>
    </row>
    <row r="144" spans="1:7" s="91" customFormat="1" x14ac:dyDescent="0.2">
      <c r="A144" s="191"/>
      <c r="B144"/>
      <c r="C144" s="200"/>
      <c r="D144" s="200"/>
      <c r="F144" s="200"/>
      <c r="G144" s="200"/>
    </row>
    <row r="145" spans="1:7" s="91" customFormat="1" x14ac:dyDescent="0.2">
      <c r="A145" s="191"/>
      <c r="B145"/>
      <c r="C145" s="200"/>
      <c r="D145" s="200"/>
      <c r="F145" s="200"/>
      <c r="G145" s="200"/>
    </row>
    <row r="146" spans="1:7" s="91" customFormat="1" x14ac:dyDescent="0.2">
      <c r="A146" s="191"/>
      <c r="B146"/>
      <c r="C146" s="200"/>
      <c r="D146" s="200"/>
      <c r="F146" s="200"/>
      <c r="G146" s="200"/>
    </row>
    <row r="147" spans="1:7" s="91" customFormat="1" x14ac:dyDescent="0.2">
      <c r="A147" s="191"/>
      <c r="B147"/>
      <c r="C147" s="200"/>
      <c r="D147" s="200"/>
      <c r="F147" s="200"/>
      <c r="G147" s="200"/>
    </row>
    <row r="148" spans="1:7" s="91" customFormat="1" x14ac:dyDescent="0.2">
      <c r="A148" s="191"/>
      <c r="B148"/>
      <c r="C148" s="200"/>
      <c r="D148" s="200"/>
      <c r="F148" s="200"/>
      <c r="G148" s="200"/>
    </row>
    <row r="149" spans="1:7" s="91" customFormat="1" x14ac:dyDescent="0.2">
      <c r="A149" s="191"/>
      <c r="B149"/>
      <c r="C149" s="200"/>
      <c r="D149" s="200"/>
      <c r="F149" s="200"/>
      <c r="G149" s="200"/>
    </row>
    <row r="150" spans="1:7" s="91" customFormat="1" x14ac:dyDescent="0.2">
      <c r="A150" s="191"/>
      <c r="B150"/>
      <c r="C150" s="200"/>
      <c r="D150" s="200"/>
      <c r="F150" s="200"/>
      <c r="G150" s="200"/>
    </row>
    <row r="151" spans="1:7" s="91" customFormat="1" x14ac:dyDescent="0.2">
      <c r="A151" s="191"/>
      <c r="B151"/>
      <c r="C151" s="200"/>
      <c r="D151" s="200"/>
      <c r="F151" s="200"/>
      <c r="G151" s="200"/>
    </row>
    <row r="152" spans="1:7" s="91" customFormat="1" x14ac:dyDescent="0.2">
      <c r="A152" s="191"/>
      <c r="B152"/>
      <c r="C152" s="200"/>
      <c r="D152" s="200"/>
      <c r="F152" s="200"/>
      <c r="G152" s="200"/>
    </row>
    <row r="153" spans="1:7" s="91" customFormat="1" x14ac:dyDescent="0.2">
      <c r="A153" s="191"/>
      <c r="B153"/>
      <c r="C153" s="200"/>
      <c r="D153" s="200"/>
      <c r="F153" s="200"/>
      <c r="G153" s="200"/>
    </row>
    <row r="154" spans="1:7" s="91" customFormat="1" x14ac:dyDescent="0.2">
      <c r="A154" s="191"/>
      <c r="B154"/>
      <c r="C154" s="200"/>
      <c r="D154" s="200"/>
      <c r="F154" s="200"/>
      <c r="G154" s="200"/>
    </row>
    <row r="155" spans="1:7" s="91" customFormat="1" x14ac:dyDescent="0.2">
      <c r="A155" s="191"/>
      <c r="B155"/>
      <c r="C155" s="200"/>
      <c r="D155" s="200"/>
      <c r="F155" s="200"/>
      <c r="G155" s="200"/>
    </row>
    <row r="156" spans="1:7" s="91" customFormat="1" x14ac:dyDescent="0.2">
      <c r="A156" s="191"/>
      <c r="B156"/>
      <c r="C156" s="200"/>
      <c r="D156" s="200"/>
      <c r="F156" s="200"/>
      <c r="G156" s="200"/>
    </row>
    <row r="157" spans="1:7" s="91" customFormat="1" x14ac:dyDescent="0.2">
      <c r="A157" s="191"/>
      <c r="B157"/>
      <c r="C157" s="200"/>
      <c r="D157" s="200"/>
      <c r="F157" s="200"/>
      <c r="G157" s="200"/>
    </row>
    <row r="158" spans="1:7" s="91" customFormat="1" x14ac:dyDescent="0.2">
      <c r="A158" s="191"/>
      <c r="B158"/>
      <c r="C158" s="200"/>
      <c r="D158" s="200"/>
      <c r="F158" s="200"/>
      <c r="G158" s="200"/>
    </row>
    <row r="159" spans="1:7" s="91" customFormat="1" x14ac:dyDescent="0.2">
      <c r="A159" s="191"/>
      <c r="B159"/>
      <c r="C159" s="200"/>
      <c r="D159" s="200"/>
      <c r="F159" s="200"/>
      <c r="G159" s="200"/>
    </row>
    <row r="160" spans="1:7" s="91" customFormat="1" x14ac:dyDescent="0.2">
      <c r="A160" s="191"/>
      <c r="B160"/>
      <c r="C160" s="200"/>
      <c r="D160" s="200"/>
      <c r="F160" s="200"/>
      <c r="G160" s="200"/>
    </row>
    <row r="161" spans="1:7" s="91" customFormat="1" x14ac:dyDescent="0.2">
      <c r="A161" s="191"/>
      <c r="B161"/>
      <c r="C161" s="200"/>
      <c r="D161" s="200"/>
      <c r="F161" s="200"/>
      <c r="G161" s="200"/>
    </row>
    <row r="162" spans="1:7" s="91" customFormat="1" x14ac:dyDescent="0.2">
      <c r="A162" s="191"/>
      <c r="B162"/>
      <c r="C162" s="200"/>
      <c r="D162" s="200"/>
      <c r="F162" s="200"/>
      <c r="G162" s="200"/>
    </row>
    <row r="163" spans="1:7" x14ac:dyDescent="0.2">
      <c r="F163"/>
    </row>
    <row r="164" spans="1:7" x14ac:dyDescent="0.2">
      <c r="F164"/>
    </row>
    <row r="165" spans="1:7" x14ac:dyDescent="0.2">
      <c r="F165"/>
    </row>
    <row r="166" spans="1:7" x14ac:dyDescent="0.2">
      <c r="F166"/>
    </row>
    <row r="167" spans="1:7" x14ac:dyDescent="0.2">
      <c r="F167"/>
    </row>
    <row r="168" spans="1:7" x14ac:dyDescent="0.2">
      <c r="F168"/>
    </row>
    <row r="169" spans="1:7" x14ac:dyDescent="0.2">
      <c r="F169"/>
    </row>
    <row r="170" spans="1:7" x14ac:dyDescent="0.2">
      <c r="F170"/>
    </row>
    <row r="171" spans="1:7" x14ac:dyDescent="0.2">
      <c r="F171"/>
    </row>
    <row r="172" spans="1:7" x14ac:dyDescent="0.2">
      <c r="F172"/>
    </row>
    <row r="173" spans="1:7" x14ac:dyDescent="0.2">
      <c r="F173"/>
    </row>
    <row r="174" spans="1:7" x14ac:dyDescent="0.2">
      <c r="F174"/>
    </row>
    <row r="175" spans="1:7" x14ac:dyDescent="0.2">
      <c r="F175"/>
    </row>
    <row r="176" spans="1:7" x14ac:dyDescent="0.2">
      <c r="F176"/>
    </row>
    <row r="177" spans="6:6" x14ac:dyDescent="0.2">
      <c r="F177"/>
    </row>
    <row r="178" spans="6:6" x14ac:dyDescent="0.2">
      <c r="F178"/>
    </row>
    <row r="179" spans="6:6" x14ac:dyDescent="0.2">
      <c r="F179"/>
    </row>
    <row r="180" spans="6:6" x14ac:dyDescent="0.2">
      <c r="F180"/>
    </row>
    <row r="181" spans="6:6" x14ac:dyDescent="0.2">
      <c r="F181"/>
    </row>
    <row r="182" spans="6:6" x14ac:dyDescent="0.2">
      <c r="F182"/>
    </row>
    <row r="183" spans="6:6" x14ac:dyDescent="0.2">
      <c r="F183"/>
    </row>
    <row r="184" spans="6:6" x14ac:dyDescent="0.2">
      <c r="F184"/>
    </row>
    <row r="185" spans="6:6" x14ac:dyDescent="0.2">
      <c r="F185"/>
    </row>
    <row r="186" spans="6:6" x14ac:dyDescent="0.2">
      <c r="F186"/>
    </row>
    <row r="187" spans="6:6" x14ac:dyDescent="0.2">
      <c r="F187"/>
    </row>
    <row r="188" spans="6:6" x14ac:dyDescent="0.2">
      <c r="F188"/>
    </row>
    <row r="189" spans="6:6" x14ac:dyDescent="0.2">
      <c r="F189"/>
    </row>
    <row r="190" spans="6:6" x14ac:dyDescent="0.2">
      <c r="F190"/>
    </row>
    <row r="191" spans="6:6" x14ac:dyDescent="0.2">
      <c r="F191"/>
    </row>
    <row r="192" spans="6:6" x14ac:dyDescent="0.2">
      <c r="F192"/>
    </row>
    <row r="193" spans="6:6" x14ac:dyDescent="0.2">
      <c r="F193"/>
    </row>
    <row r="194" spans="6:6" x14ac:dyDescent="0.2">
      <c r="F194"/>
    </row>
    <row r="195" spans="6:6" x14ac:dyDescent="0.2">
      <c r="F195"/>
    </row>
    <row r="196" spans="6:6" x14ac:dyDescent="0.2">
      <c r="F196"/>
    </row>
    <row r="197" spans="6:6" x14ac:dyDescent="0.2">
      <c r="F197"/>
    </row>
    <row r="198" spans="6:6" x14ac:dyDescent="0.2">
      <c r="F198"/>
    </row>
    <row r="199" spans="6:6" x14ac:dyDescent="0.2">
      <c r="F199"/>
    </row>
    <row r="200" spans="6:6" x14ac:dyDescent="0.2">
      <c r="F200"/>
    </row>
    <row r="201" spans="6:6" x14ac:dyDescent="0.2">
      <c r="F201"/>
    </row>
    <row r="202" spans="6:6" x14ac:dyDescent="0.2">
      <c r="F202"/>
    </row>
    <row r="203" spans="6:6" x14ac:dyDescent="0.2">
      <c r="F203"/>
    </row>
    <row r="204" spans="6:6" x14ac:dyDescent="0.2">
      <c r="F204"/>
    </row>
    <row r="205" spans="6:6" x14ac:dyDescent="0.2">
      <c r="F205"/>
    </row>
    <row r="206" spans="6:6" x14ac:dyDescent="0.2">
      <c r="F206"/>
    </row>
    <row r="207" spans="6:6" x14ac:dyDescent="0.2">
      <c r="F207"/>
    </row>
    <row r="208" spans="6:6" x14ac:dyDescent="0.2">
      <c r="F208"/>
    </row>
    <row r="209" spans="6:6" x14ac:dyDescent="0.2">
      <c r="F209"/>
    </row>
    <row r="210" spans="6:6" x14ac:dyDescent="0.2">
      <c r="F210"/>
    </row>
    <row r="211" spans="6:6" x14ac:dyDescent="0.2">
      <c r="F211"/>
    </row>
    <row r="212" spans="6:6" x14ac:dyDescent="0.2">
      <c r="F212"/>
    </row>
    <row r="213" spans="6:6" x14ac:dyDescent="0.2">
      <c r="F213"/>
    </row>
    <row r="214" spans="6:6" x14ac:dyDescent="0.2">
      <c r="F214"/>
    </row>
    <row r="215" spans="6:6" x14ac:dyDescent="0.2">
      <c r="F215"/>
    </row>
    <row r="216" spans="6:6" x14ac:dyDescent="0.2">
      <c r="F216"/>
    </row>
    <row r="217" spans="6:6" x14ac:dyDescent="0.2">
      <c r="F217"/>
    </row>
    <row r="218" spans="6:6" x14ac:dyDescent="0.2">
      <c r="F218"/>
    </row>
    <row r="219" spans="6:6" x14ac:dyDescent="0.2">
      <c r="F219"/>
    </row>
    <row r="220" spans="6:6" x14ac:dyDescent="0.2">
      <c r="F220"/>
    </row>
    <row r="221" spans="6:6" x14ac:dyDescent="0.2">
      <c r="F221"/>
    </row>
    <row r="222" spans="6:6" x14ac:dyDescent="0.2">
      <c r="F222"/>
    </row>
    <row r="223" spans="6:6" x14ac:dyDescent="0.2">
      <c r="F223"/>
    </row>
    <row r="224" spans="6:6" x14ac:dyDescent="0.2">
      <c r="F224"/>
    </row>
    <row r="225" spans="6:6" x14ac:dyDescent="0.2">
      <c r="F225"/>
    </row>
    <row r="226" spans="6:6" x14ac:dyDescent="0.2">
      <c r="F226"/>
    </row>
    <row r="227" spans="6:6" x14ac:dyDescent="0.2">
      <c r="F227"/>
    </row>
    <row r="228" spans="6:6" x14ac:dyDescent="0.2">
      <c r="F228"/>
    </row>
    <row r="229" spans="6:6" x14ac:dyDescent="0.2">
      <c r="F229"/>
    </row>
    <row r="230" spans="6:6" x14ac:dyDescent="0.2">
      <c r="F230"/>
    </row>
    <row r="231" spans="6:6" x14ac:dyDescent="0.2">
      <c r="F231"/>
    </row>
    <row r="232" spans="6:6" x14ac:dyDescent="0.2">
      <c r="F232"/>
    </row>
    <row r="233" spans="6:6" x14ac:dyDescent="0.2">
      <c r="F233"/>
    </row>
    <row r="234" spans="6:6" x14ac:dyDescent="0.2">
      <c r="F234"/>
    </row>
    <row r="235" spans="6:6" x14ac:dyDescent="0.2">
      <c r="F235"/>
    </row>
    <row r="236" spans="6:6" x14ac:dyDescent="0.2">
      <c r="F236"/>
    </row>
    <row r="237" spans="6:6" x14ac:dyDescent="0.2">
      <c r="F237"/>
    </row>
    <row r="238" spans="6:6" x14ac:dyDescent="0.2">
      <c r="F238"/>
    </row>
    <row r="239" spans="6:6" x14ac:dyDescent="0.2">
      <c r="F239"/>
    </row>
    <row r="240" spans="6:6" x14ac:dyDescent="0.2">
      <c r="F240"/>
    </row>
    <row r="241" spans="6:6" x14ac:dyDescent="0.2">
      <c r="F241"/>
    </row>
    <row r="242" spans="6:6" x14ac:dyDescent="0.2">
      <c r="F242"/>
    </row>
    <row r="243" spans="6:6" x14ac:dyDescent="0.2">
      <c r="F243"/>
    </row>
    <row r="244" spans="6:6" x14ac:dyDescent="0.2">
      <c r="F244"/>
    </row>
    <row r="245" spans="6:6" x14ac:dyDescent="0.2">
      <c r="F245"/>
    </row>
    <row r="246" spans="6:6" x14ac:dyDescent="0.2">
      <c r="F246"/>
    </row>
    <row r="247" spans="6:6" x14ac:dyDescent="0.2">
      <c r="F247"/>
    </row>
    <row r="248" spans="6:6" x14ac:dyDescent="0.2">
      <c r="F248"/>
    </row>
    <row r="249" spans="6:6" x14ac:dyDescent="0.2">
      <c r="F249"/>
    </row>
    <row r="250" spans="6:6" x14ac:dyDescent="0.2">
      <c r="F250"/>
    </row>
    <row r="251" spans="6:6" x14ac:dyDescent="0.2">
      <c r="F251"/>
    </row>
    <row r="252" spans="6:6" x14ac:dyDescent="0.2">
      <c r="F252"/>
    </row>
    <row r="253" spans="6:6" x14ac:dyDescent="0.2">
      <c r="F253"/>
    </row>
    <row r="254" spans="6:6" x14ac:dyDescent="0.2">
      <c r="F254"/>
    </row>
    <row r="255" spans="6:6" x14ac:dyDescent="0.2">
      <c r="F255"/>
    </row>
    <row r="256" spans="6:6" x14ac:dyDescent="0.2">
      <c r="F256"/>
    </row>
    <row r="257" spans="6:6" x14ac:dyDescent="0.2">
      <c r="F257"/>
    </row>
    <row r="258" spans="6:6" x14ac:dyDescent="0.2">
      <c r="F258"/>
    </row>
    <row r="259" spans="6:6" x14ac:dyDescent="0.2">
      <c r="F259"/>
    </row>
    <row r="260" spans="6:6" x14ac:dyDescent="0.2">
      <c r="F260"/>
    </row>
    <row r="261" spans="6:6" x14ac:dyDescent="0.2">
      <c r="F261"/>
    </row>
    <row r="262" spans="6:6" x14ac:dyDescent="0.2">
      <c r="F262"/>
    </row>
    <row r="263" spans="6:6" x14ac:dyDescent="0.2">
      <c r="F263"/>
    </row>
    <row r="264" spans="6:6" x14ac:dyDescent="0.2">
      <c r="F264"/>
    </row>
    <row r="265" spans="6:6" x14ac:dyDescent="0.2">
      <c r="F265"/>
    </row>
    <row r="266" spans="6:6" x14ac:dyDescent="0.2">
      <c r="F266"/>
    </row>
    <row r="267" spans="6:6" x14ac:dyDescent="0.2">
      <c r="F267"/>
    </row>
    <row r="268" spans="6:6" x14ac:dyDescent="0.2">
      <c r="F268"/>
    </row>
    <row r="269" spans="6:6" x14ac:dyDescent="0.2">
      <c r="F269"/>
    </row>
    <row r="270" spans="6:6" x14ac:dyDescent="0.2">
      <c r="F270"/>
    </row>
    <row r="271" spans="6:6" x14ac:dyDescent="0.2">
      <c r="F271"/>
    </row>
    <row r="272" spans="6:6" x14ac:dyDescent="0.2">
      <c r="F272"/>
    </row>
    <row r="273" spans="6:6" x14ac:dyDescent="0.2">
      <c r="F273"/>
    </row>
    <row r="274" spans="6:6" x14ac:dyDescent="0.2">
      <c r="F274"/>
    </row>
    <row r="275" spans="6:6" x14ac:dyDescent="0.2">
      <c r="F275"/>
    </row>
    <row r="276" spans="6:6" x14ac:dyDescent="0.2">
      <c r="F276"/>
    </row>
    <row r="277" spans="6:6" x14ac:dyDescent="0.2">
      <c r="F277"/>
    </row>
    <row r="278" spans="6:6" x14ac:dyDescent="0.2">
      <c r="F278"/>
    </row>
    <row r="279" spans="6:6" x14ac:dyDescent="0.2">
      <c r="F279"/>
    </row>
    <row r="280" spans="6:6" x14ac:dyDescent="0.2">
      <c r="F280"/>
    </row>
    <row r="281" spans="6:6" x14ac:dyDescent="0.2">
      <c r="F281"/>
    </row>
    <row r="282" spans="6:6" x14ac:dyDescent="0.2">
      <c r="F282"/>
    </row>
    <row r="283" spans="6:6" x14ac:dyDescent="0.2">
      <c r="F283"/>
    </row>
    <row r="284" spans="6:6" x14ac:dyDescent="0.2">
      <c r="F284"/>
    </row>
    <row r="285" spans="6:6" x14ac:dyDescent="0.2">
      <c r="F285"/>
    </row>
    <row r="286" spans="6:6" x14ac:dyDescent="0.2">
      <c r="F286"/>
    </row>
    <row r="287" spans="6:6" x14ac:dyDescent="0.2">
      <c r="F287"/>
    </row>
    <row r="288" spans="6:6" x14ac:dyDescent="0.2">
      <c r="F288"/>
    </row>
    <row r="289" spans="6:6" x14ac:dyDescent="0.2">
      <c r="F289"/>
    </row>
    <row r="290" spans="6:6" x14ac:dyDescent="0.2">
      <c r="F290"/>
    </row>
    <row r="291" spans="6:6" x14ac:dyDescent="0.2">
      <c r="F291"/>
    </row>
    <row r="292" spans="6:6" x14ac:dyDescent="0.2">
      <c r="F292"/>
    </row>
    <row r="293" spans="6:6" x14ac:dyDescent="0.2">
      <c r="F293"/>
    </row>
    <row r="294" spans="6:6" x14ac:dyDescent="0.2">
      <c r="F294"/>
    </row>
    <row r="295" spans="6:6" x14ac:dyDescent="0.2">
      <c r="F295"/>
    </row>
    <row r="296" spans="6:6" x14ac:dyDescent="0.2">
      <c r="F296"/>
    </row>
    <row r="297" spans="6:6" x14ac:dyDescent="0.2">
      <c r="F297"/>
    </row>
    <row r="298" spans="6:6" x14ac:dyDescent="0.2">
      <c r="F298"/>
    </row>
    <row r="299" spans="6:6" x14ac:dyDescent="0.2">
      <c r="F299"/>
    </row>
    <row r="300" spans="6:6" x14ac:dyDescent="0.2">
      <c r="F300"/>
    </row>
    <row r="301" spans="6:6" x14ac:dyDescent="0.2">
      <c r="F301"/>
    </row>
    <row r="302" spans="6:6" x14ac:dyDescent="0.2">
      <c r="F302"/>
    </row>
    <row r="303" spans="6:6" x14ac:dyDescent="0.2">
      <c r="F303"/>
    </row>
    <row r="304" spans="6:6" x14ac:dyDescent="0.2">
      <c r="F304"/>
    </row>
    <row r="305" spans="6:6" x14ac:dyDescent="0.2">
      <c r="F305"/>
    </row>
    <row r="306" spans="6:6" x14ac:dyDescent="0.2">
      <c r="F306"/>
    </row>
    <row r="307" spans="6:6" x14ac:dyDescent="0.2">
      <c r="F307"/>
    </row>
    <row r="308" spans="6:6" x14ac:dyDescent="0.2">
      <c r="F308"/>
    </row>
    <row r="309" spans="6:6" x14ac:dyDescent="0.2">
      <c r="F309"/>
    </row>
    <row r="310" spans="6:6" x14ac:dyDescent="0.2">
      <c r="F310"/>
    </row>
    <row r="311" spans="6:6" x14ac:dyDescent="0.2">
      <c r="F311"/>
    </row>
    <row r="312" spans="6:6" x14ac:dyDescent="0.2">
      <c r="F312"/>
    </row>
    <row r="313" spans="6:6" x14ac:dyDescent="0.2">
      <c r="F313"/>
    </row>
    <row r="314" spans="6:6" x14ac:dyDescent="0.2">
      <c r="F314"/>
    </row>
    <row r="315" spans="6:6" x14ac:dyDescent="0.2">
      <c r="F315"/>
    </row>
    <row r="316" spans="6:6" x14ac:dyDescent="0.2">
      <c r="F316"/>
    </row>
    <row r="317" spans="6:6" x14ac:dyDescent="0.2">
      <c r="F317"/>
    </row>
    <row r="318" spans="6:6" x14ac:dyDescent="0.2">
      <c r="F318"/>
    </row>
    <row r="319" spans="6:6" x14ac:dyDescent="0.2">
      <c r="F319"/>
    </row>
    <row r="320" spans="6:6" x14ac:dyDescent="0.2">
      <c r="F320"/>
    </row>
    <row r="321" spans="6:6" x14ac:dyDescent="0.2">
      <c r="F321"/>
    </row>
    <row r="322" spans="6:6" x14ac:dyDescent="0.2">
      <c r="F322"/>
    </row>
    <row r="323" spans="6:6" x14ac:dyDescent="0.2">
      <c r="F323"/>
    </row>
    <row r="324" spans="6:6" x14ac:dyDescent="0.2">
      <c r="F324"/>
    </row>
    <row r="325" spans="6:6" x14ac:dyDescent="0.2">
      <c r="F325"/>
    </row>
    <row r="326" spans="6:6" x14ac:dyDescent="0.2">
      <c r="F326"/>
    </row>
    <row r="327" spans="6:6" x14ac:dyDescent="0.2">
      <c r="F327"/>
    </row>
    <row r="328" spans="6:6" x14ac:dyDescent="0.2">
      <c r="F328"/>
    </row>
    <row r="329" spans="6:6" x14ac:dyDescent="0.2">
      <c r="F329"/>
    </row>
    <row r="330" spans="6:6" x14ac:dyDescent="0.2">
      <c r="F330"/>
    </row>
    <row r="331" spans="6:6" x14ac:dyDescent="0.2">
      <c r="F331"/>
    </row>
    <row r="332" spans="6:6" x14ac:dyDescent="0.2">
      <c r="F332"/>
    </row>
    <row r="333" spans="6:6" x14ac:dyDescent="0.2">
      <c r="F333"/>
    </row>
    <row r="334" spans="6:6" x14ac:dyDescent="0.2">
      <c r="F334"/>
    </row>
    <row r="335" spans="6:6" x14ac:dyDescent="0.2">
      <c r="F335"/>
    </row>
    <row r="336" spans="6:6" x14ac:dyDescent="0.2">
      <c r="F336"/>
    </row>
    <row r="337" spans="6:6" x14ac:dyDescent="0.2">
      <c r="F337"/>
    </row>
    <row r="338" spans="6:6" x14ac:dyDescent="0.2">
      <c r="F338"/>
    </row>
    <row r="339" spans="6:6" x14ac:dyDescent="0.2">
      <c r="F339"/>
    </row>
    <row r="340" spans="6:6" x14ac:dyDescent="0.2">
      <c r="F340"/>
    </row>
    <row r="341" spans="6:6" x14ac:dyDescent="0.2">
      <c r="F341"/>
    </row>
    <row r="342" spans="6:6" x14ac:dyDescent="0.2">
      <c r="F342"/>
    </row>
    <row r="343" spans="6:6" x14ac:dyDescent="0.2">
      <c r="F343"/>
    </row>
    <row r="344" spans="6:6" x14ac:dyDescent="0.2">
      <c r="F344"/>
    </row>
    <row r="345" spans="6:6" x14ac:dyDescent="0.2">
      <c r="F345"/>
    </row>
    <row r="346" spans="6:6" x14ac:dyDescent="0.2">
      <c r="F346"/>
    </row>
    <row r="347" spans="6:6" x14ac:dyDescent="0.2">
      <c r="F347"/>
    </row>
    <row r="348" spans="6:6" x14ac:dyDescent="0.2">
      <c r="F348"/>
    </row>
    <row r="349" spans="6:6" x14ac:dyDescent="0.2">
      <c r="F349"/>
    </row>
    <row r="350" spans="6:6" x14ac:dyDescent="0.2">
      <c r="F350"/>
    </row>
    <row r="351" spans="6:6" x14ac:dyDescent="0.2">
      <c r="F351"/>
    </row>
    <row r="352" spans="6:6" x14ac:dyDescent="0.2">
      <c r="F352"/>
    </row>
    <row r="353" spans="6:6" x14ac:dyDescent="0.2">
      <c r="F353"/>
    </row>
    <row r="354" spans="6:6" x14ac:dyDescent="0.2">
      <c r="F354"/>
    </row>
    <row r="355" spans="6:6" x14ac:dyDescent="0.2">
      <c r="F355"/>
    </row>
    <row r="356" spans="6:6" x14ac:dyDescent="0.2">
      <c r="F356"/>
    </row>
    <row r="357" spans="6:6" x14ac:dyDescent="0.2">
      <c r="F357"/>
    </row>
    <row r="358" spans="6:6" x14ac:dyDescent="0.2">
      <c r="F358"/>
    </row>
    <row r="359" spans="6:6" x14ac:dyDescent="0.2">
      <c r="F359"/>
    </row>
    <row r="360" spans="6:6" x14ac:dyDescent="0.2">
      <c r="F360"/>
    </row>
    <row r="361" spans="6:6" x14ac:dyDescent="0.2">
      <c r="F361"/>
    </row>
    <row r="362" spans="6:6" x14ac:dyDescent="0.2">
      <c r="F362"/>
    </row>
    <row r="363" spans="6:6" x14ac:dyDescent="0.2">
      <c r="F363"/>
    </row>
    <row r="364" spans="6:6" x14ac:dyDescent="0.2">
      <c r="F364"/>
    </row>
    <row r="365" spans="6:6" x14ac:dyDescent="0.2">
      <c r="F365"/>
    </row>
    <row r="366" spans="6:6" x14ac:dyDescent="0.2">
      <c r="F366"/>
    </row>
    <row r="367" spans="6:6" x14ac:dyDescent="0.2">
      <c r="F367"/>
    </row>
    <row r="368" spans="6:6" x14ac:dyDescent="0.2">
      <c r="F368"/>
    </row>
    <row r="369" spans="6:6" x14ac:dyDescent="0.2">
      <c r="F369"/>
    </row>
    <row r="370" spans="6:6" x14ac:dyDescent="0.2">
      <c r="F370"/>
    </row>
    <row r="371" spans="6:6" x14ac:dyDescent="0.2">
      <c r="F371"/>
    </row>
    <row r="372" spans="6:6" x14ac:dyDescent="0.2">
      <c r="F372"/>
    </row>
    <row r="373" spans="6:6" x14ac:dyDescent="0.2">
      <c r="F373"/>
    </row>
    <row r="374" spans="6:6" x14ac:dyDescent="0.2">
      <c r="F374"/>
    </row>
    <row r="375" spans="6:6" x14ac:dyDescent="0.2">
      <c r="F375"/>
    </row>
    <row r="376" spans="6:6" x14ac:dyDescent="0.2">
      <c r="F376"/>
    </row>
    <row r="377" spans="6:6" x14ac:dyDescent="0.2">
      <c r="F377"/>
    </row>
    <row r="378" spans="6:6" x14ac:dyDescent="0.2">
      <c r="F378"/>
    </row>
    <row r="379" spans="6:6" x14ac:dyDescent="0.2">
      <c r="F379"/>
    </row>
    <row r="380" spans="6:6" x14ac:dyDescent="0.2">
      <c r="F380"/>
    </row>
    <row r="381" spans="6:6" x14ac:dyDescent="0.2">
      <c r="F381"/>
    </row>
    <row r="382" spans="6:6" x14ac:dyDescent="0.2">
      <c r="F382"/>
    </row>
    <row r="383" spans="6:6" x14ac:dyDescent="0.2">
      <c r="F383"/>
    </row>
    <row r="384" spans="6:6" x14ac:dyDescent="0.2">
      <c r="F384"/>
    </row>
    <row r="385" spans="6:6" x14ac:dyDescent="0.2">
      <c r="F385"/>
    </row>
    <row r="386" spans="6:6" x14ac:dyDescent="0.2">
      <c r="F386"/>
    </row>
    <row r="387" spans="6:6" x14ac:dyDescent="0.2">
      <c r="F387"/>
    </row>
    <row r="388" spans="6:6" x14ac:dyDescent="0.2">
      <c r="F388"/>
    </row>
    <row r="389" spans="6:6" x14ac:dyDescent="0.2">
      <c r="F389"/>
    </row>
    <row r="390" spans="6:6" x14ac:dyDescent="0.2">
      <c r="F390"/>
    </row>
    <row r="391" spans="6:6" x14ac:dyDescent="0.2">
      <c r="F391"/>
    </row>
    <row r="392" spans="6:6" x14ac:dyDescent="0.2">
      <c r="F392"/>
    </row>
    <row r="393" spans="6:6" x14ac:dyDescent="0.2">
      <c r="F393"/>
    </row>
    <row r="394" spans="6:6" x14ac:dyDescent="0.2">
      <c r="F394"/>
    </row>
    <row r="395" spans="6:6" x14ac:dyDescent="0.2">
      <c r="F395"/>
    </row>
    <row r="396" spans="6:6" x14ac:dyDescent="0.2">
      <c r="F396"/>
    </row>
    <row r="397" spans="6:6" x14ac:dyDescent="0.2">
      <c r="F397"/>
    </row>
    <row r="398" spans="6:6" x14ac:dyDescent="0.2">
      <c r="F398"/>
    </row>
    <row r="399" spans="6:6" x14ac:dyDescent="0.2">
      <c r="F399"/>
    </row>
    <row r="400" spans="6:6" x14ac:dyDescent="0.2">
      <c r="F400"/>
    </row>
    <row r="401" spans="6:6" x14ac:dyDescent="0.2">
      <c r="F401"/>
    </row>
    <row r="402" spans="6:6" x14ac:dyDescent="0.2">
      <c r="F402"/>
    </row>
    <row r="403" spans="6:6" x14ac:dyDescent="0.2">
      <c r="F403"/>
    </row>
    <row r="404" spans="6:6" x14ac:dyDescent="0.2">
      <c r="F404"/>
    </row>
    <row r="405" spans="6:6" x14ac:dyDescent="0.2">
      <c r="F405"/>
    </row>
    <row r="406" spans="6:6" x14ac:dyDescent="0.2">
      <c r="F406"/>
    </row>
    <row r="407" spans="6:6" x14ac:dyDescent="0.2">
      <c r="F407"/>
    </row>
    <row r="408" spans="6:6" x14ac:dyDescent="0.2">
      <c r="F408"/>
    </row>
    <row r="409" spans="6:6" x14ac:dyDescent="0.2">
      <c r="F409"/>
    </row>
    <row r="410" spans="6:6" x14ac:dyDescent="0.2">
      <c r="F410"/>
    </row>
    <row r="411" spans="6:6" x14ac:dyDescent="0.2">
      <c r="F411"/>
    </row>
    <row r="412" spans="6:6" x14ac:dyDescent="0.2">
      <c r="F412"/>
    </row>
    <row r="413" spans="6:6" x14ac:dyDescent="0.2">
      <c r="F413"/>
    </row>
    <row r="414" spans="6:6" x14ac:dyDescent="0.2">
      <c r="F414"/>
    </row>
    <row r="415" spans="6:6" x14ac:dyDescent="0.2">
      <c r="F415"/>
    </row>
    <row r="416" spans="6:6" x14ac:dyDescent="0.2">
      <c r="F416"/>
    </row>
    <row r="417" spans="6:6" x14ac:dyDescent="0.2">
      <c r="F417"/>
    </row>
    <row r="418" spans="6:6" x14ac:dyDescent="0.2">
      <c r="F418"/>
    </row>
    <row r="419" spans="6:6" x14ac:dyDescent="0.2">
      <c r="F419"/>
    </row>
    <row r="420" spans="6:6" x14ac:dyDescent="0.2">
      <c r="F420"/>
    </row>
    <row r="421" spans="6:6" x14ac:dyDescent="0.2">
      <c r="F421"/>
    </row>
    <row r="422" spans="6:6" x14ac:dyDescent="0.2">
      <c r="F422"/>
    </row>
    <row r="423" spans="6:6" x14ac:dyDescent="0.2">
      <c r="F423"/>
    </row>
    <row r="424" spans="6:6" x14ac:dyDescent="0.2">
      <c r="F424"/>
    </row>
    <row r="425" spans="6:6" x14ac:dyDescent="0.2">
      <c r="F425"/>
    </row>
    <row r="426" spans="6:6" x14ac:dyDescent="0.2">
      <c r="F426"/>
    </row>
    <row r="427" spans="6:6" x14ac:dyDescent="0.2">
      <c r="F427"/>
    </row>
    <row r="428" spans="6:6" x14ac:dyDescent="0.2">
      <c r="F428"/>
    </row>
    <row r="429" spans="6:6" x14ac:dyDescent="0.2">
      <c r="F429"/>
    </row>
    <row r="430" spans="6:6" x14ac:dyDescent="0.2">
      <c r="F430"/>
    </row>
    <row r="431" spans="6:6" x14ac:dyDescent="0.2">
      <c r="F431"/>
    </row>
    <row r="432" spans="6:6" x14ac:dyDescent="0.2">
      <c r="F432"/>
    </row>
    <row r="433" spans="6:6" x14ac:dyDescent="0.2">
      <c r="F433"/>
    </row>
    <row r="434" spans="6:6" x14ac:dyDescent="0.2">
      <c r="F434"/>
    </row>
    <row r="435" spans="6:6" x14ac:dyDescent="0.2">
      <c r="F435"/>
    </row>
    <row r="436" spans="6:6" x14ac:dyDescent="0.2">
      <c r="F436"/>
    </row>
    <row r="437" spans="6:6" x14ac:dyDescent="0.2">
      <c r="F437"/>
    </row>
    <row r="438" spans="6:6" x14ac:dyDescent="0.2">
      <c r="F438"/>
    </row>
    <row r="439" spans="6:6" x14ac:dyDescent="0.2">
      <c r="F439"/>
    </row>
    <row r="440" spans="6:6" x14ac:dyDescent="0.2">
      <c r="F440"/>
    </row>
    <row r="441" spans="6:6" x14ac:dyDescent="0.2">
      <c r="F441"/>
    </row>
    <row r="442" spans="6:6" x14ac:dyDescent="0.2">
      <c r="F442"/>
    </row>
    <row r="443" spans="6:6" x14ac:dyDescent="0.2">
      <c r="F443"/>
    </row>
    <row r="444" spans="6:6" x14ac:dyDescent="0.2">
      <c r="F444"/>
    </row>
    <row r="445" spans="6:6" x14ac:dyDescent="0.2">
      <c r="F445"/>
    </row>
    <row r="446" spans="6:6" x14ac:dyDescent="0.2">
      <c r="F446"/>
    </row>
    <row r="447" spans="6:6" x14ac:dyDescent="0.2">
      <c r="F447"/>
    </row>
    <row r="448" spans="6:6" x14ac:dyDescent="0.2">
      <c r="F448"/>
    </row>
    <row r="449" spans="6:6" x14ac:dyDescent="0.2">
      <c r="F449"/>
    </row>
    <row r="450" spans="6:6" x14ac:dyDescent="0.2">
      <c r="F450"/>
    </row>
    <row r="451" spans="6:6" x14ac:dyDescent="0.2">
      <c r="F451"/>
    </row>
    <row r="452" spans="6:6" x14ac:dyDescent="0.2">
      <c r="F452"/>
    </row>
    <row r="453" spans="6:6" x14ac:dyDescent="0.2">
      <c r="F453"/>
    </row>
    <row r="454" spans="6:6" x14ac:dyDescent="0.2">
      <c r="F454"/>
    </row>
    <row r="455" spans="6:6" x14ac:dyDescent="0.2">
      <c r="F455"/>
    </row>
    <row r="456" spans="6:6" x14ac:dyDescent="0.2">
      <c r="F456"/>
    </row>
    <row r="457" spans="6:6" x14ac:dyDescent="0.2">
      <c r="F457"/>
    </row>
    <row r="458" spans="6:6" x14ac:dyDescent="0.2">
      <c r="F458"/>
    </row>
    <row r="459" spans="6:6" x14ac:dyDescent="0.2">
      <c r="F459"/>
    </row>
    <row r="460" spans="6:6" x14ac:dyDescent="0.2">
      <c r="F460"/>
    </row>
    <row r="461" spans="6:6" x14ac:dyDescent="0.2">
      <c r="F461"/>
    </row>
    <row r="462" spans="6:6" x14ac:dyDescent="0.2">
      <c r="F462"/>
    </row>
    <row r="463" spans="6:6" x14ac:dyDescent="0.2">
      <c r="F463"/>
    </row>
    <row r="464" spans="6:6" x14ac:dyDescent="0.2">
      <c r="F464"/>
    </row>
    <row r="465" spans="6:6" x14ac:dyDescent="0.2">
      <c r="F465"/>
    </row>
    <row r="466" spans="6:6" x14ac:dyDescent="0.2">
      <c r="F466"/>
    </row>
    <row r="467" spans="6:6" x14ac:dyDescent="0.2">
      <c r="F467"/>
    </row>
    <row r="468" spans="6:6" x14ac:dyDescent="0.2">
      <c r="F468"/>
    </row>
    <row r="469" spans="6:6" x14ac:dyDescent="0.2">
      <c r="F469"/>
    </row>
    <row r="470" spans="6:6" x14ac:dyDescent="0.2">
      <c r="F470"/>
    </row>
    <row r="471" spans="6:6" x14ac:dyDescent="0.2">
      <c r="F471"/>
    </row>
    <row r="472" spans="6:6" x14ac:dyDescent="0.2">
      <c r="F472"/>
    </row>
    <row r="473" spans="6:6" x14ac:dyDescent="0.2">
      <c r="F473"/>
    </row>
    <row r="474" spans="6:6" x14ac:dyDescent="0.2">
      <c r="F474"/>
    </row>
    <row r="475" spans="6:6" x14ac:dyDescent="0.2">
      <c r="F475"/>
    </row>
    <row r="476" spans="6:6" x14ac:dyDescent="0.2">
      <c r="F476"/>
    </row>
    <row r="477" spans="6:6" x14ac:dyDescent="0.2">
      <c r="F477"/>
    </row>
    <row r="478" spans="6:6" x14ac:dyDescent="0.2">
      <c r="F478"/>
    </row>
    <row r="479" spans="6:6" x14ac:dyDescent="0.2">
      <c r="F479"/>
    </row>
    <row r="480" spans="6:6" x14ac:dyDescent="0.2">
      <c r="F480"/>
    </row>
    <row r="481" spans="6:6" x14ac:dyDescent="0.2">
      <c r="F481"/>
    </row>
    <row r="482" spans="6:6" x14ac:dyDescent="0.2">
      <c r="F482"/>
    </row>
    <row r="483" spans="6:6" x14ac:dyDescent="0.2">
      <c r="F483"/>
    </row>
    <row r="484" spans="6:6" x14ac:dyDescent="0.2">
      <c r="F484"/>
    </row>
    <row r="485" spans="6:6" x14ac:dyDescent="0.2">
      <c r="F485"/>
    </row>
    <row r="486" spans="6:6" x14ac:dyDescent="0.2">
      <c r="F486"/>
    </row>
    <row r="487" spans="6:6" x14ac:dyDescent="0.2">
      <c r="F487"/>
    </row>
    <row r="488" spans="6:6" x14ac:dyDescent="0.2">
      <c r="F488"/>
    </row>
    <row r="489" spans="6:6" x14ac:dyDescent="0.2">
      <c r="F489"/>
    </row>
    <row r="490" spans="6:6" x14ac:dyDescent="0.2">
      <c r="F490"/>
    </row>
    <row r="491" spans="6:6" x14ac:dyDescent="0.2">
      <c r="F491"/>
    </row>
    <row r="492" spans="6:6" x14ac:dyDescent="0.2">
      <c r="F492"/>
    </row>
    <row r="493" spans="6:6" x14ac:dyDescent="0.2">
      <c r="F493"/>
    </row>
    <row r="494" spans="6:6" x14ac:dyDescent="0.2">
      <c r="F494"/>
    </row>
    <row r="495" spans="6:6" x14ac:dyDescent="0.2">
      <c r="F495"/>
    </row>
    <row r="496" spans="6:6" x14ac:dyDescent="0.2">
      <c r="F496"/>
    </row>
    <row r="497" spans="6:6" x14ac:dyDescent="0.2">
      <c r="F497"/>
    </row>
    <row r="498" spans="6:6" x14ac:dyDescent="0.2">
      <c r="F498"/>
    </row>
    <row r="499" spans="6:6" x14ac:dyDescent="0.2">
      <c r="F499"/>
    </row>
    <row r="500" spans="6:6" x14ac:dyDescent="0.2">
      <c r="F500"/>
    </row>
    <row r="501" spans="6:6" x14ac:dyDescent="0.2">
      <c r="F501"/>
    </row>
    <row r="502" spans="6:6" x14ac:dyDescent="0.2">
      <c r="F502"/>
    </row>
    <row r="503" spans="6:6" x14ac:dyDescent="0.2">
      <c r="F503"/>
    </row>
    <row r="504" spans="6:6" x14ac:dyDescent="0.2">
      <c r="F504"/>
    </row>
    <row r="505" spans="6:6" x14ac:dyDescent="0.2">
      <c r="F505"/>
    </row>
    <row r="506" spans="6:6" x14ac:dyDescent="0.2">
      <c r="F506"/>
    </row>
    <row r="507" spans="6:6" x14ac:dyDescent="0.2">
      <c r="F507"/>
    </row>
    <row r="508" spans="6:6" x14ac:dyDescent="0.2">
      <c r="F508"/>
    </row>
    <row r="509" spans="6:6" x14ac:dyDescent="0.2">
      <c r="F509"/>
    </row>
    <row r="510" spans="6:6" x14ac:dyDescent="0.2">
      <c r="F510"/>
    </row>
    <row r="511" spans="6:6" x14ac:dyDescent="0.2">
      <c r="F511"/>
    </row>
    <row r="512" spans="6:6" x14ac:dyDescent="0.2">
      <c r="F512"/>
    </row>
    <row r="513" spans="6:6" x14ac:dyDescent="0.2">
      <c r="F513"/>
    </row>
    <row r="514" spans="6:6" x14ac:dyDescent="0.2">
      <c r="F514"/>
    </row>
    <row r="515" spans="6:6" x14ac:dyDescent="0.2">
      <c r="F515"/>
    </row>
    <row r="516" spans="6:6" x14ac:dyDescent="0.2">
      <c r="F516"/>
    </row>
    <row r="517" spans="6:6" x14ac:dyDescent="0.2">
      <c r="F517"/>
    </row>
    <row r="518" spans="6:6" x14ac:dyDescent="0.2">
      <c r="F518"/>
    </row>
    <row r="519" spans="6:6" x14ac:dyDescent="0.2">
      <c r="F519"/>
    </row>
    <row r="520" spans="6:6" x14ac:dyDescent="0.2">
      <c r="F520"/>
    </row>
    <row r="521" spans="6:6" x14ac:dyDescent="0.2">
      <c r="F521"/>
    </row>
    <row r="522" spans="6:6" x14ac:dyDescent="0.2">
      <c r="F522"/>
    </row>
    <row r="523" spans="6:6" x14ac:dyDescent="0.2">
      <c r="F523"/>
    </row>
    <row r="524" spans="6:6" x14ac:dyDescent="0.2">
      <c r="F524"/>
    </row>
    <row r="525" spans="6:6" x14ac:dyDescent="0.2">
      <c r="F525"/>
    </row>
    <row r="526" spans="6:6" x14ac:dyDescent="0.2">
      <c r="F526"/>
    </row>
    <row r="527" spans="6:6" x14ac:dyDescent="0.2">
      <c r="F527"/>
    </row>
    <row r="528" spans="6:6" x14ac:dyDescent="0.2">
      <c r="F528"/>
    </row>
    <row r="529" spans="6:6" x14ac:dyDescent="0.2">
      <c r="F529"/>
    </row>
    <row r="530" spans="6:6" x14ac:dyDescent="0.2">
      <c r="F530"/>
    </row>
    <row r="531" spans="6:6" x14ac:dyDescent="0.2">
      <c r="F531"/>
    </row>
    <row r="532" spans="6:6" x14ac:dyDescent="0.2">
      <c r="F532"/>
    </row>
    <row r="533" spans="6:6" x14ac:dyDescent="0.2">
      <c r="F533"/>
    </row>
    <row r="534" spans="6:6" x14ac:dyDescent="0.2">
      <c r="F534"/>
    </row>
    <row r="535" spans="6:6" x14ac:dyDescent="0.2">
      <c r="F535"/>
    </row>
    <row r="536" spans="6:6" x14ac:dyDescent="0.2">
      <c r="F536"/>
    </row>
    <row r="537" spans="6:6" x14ac:dyDescent="0.2">
      <c r="F537"/>
    </row>
    <row r="538" spans="6:6" x14ac:dyDescent="0.2">
      <c r="F538"/>
    </row>
    <row r="539" spans="6:6" x14ac:dyDescent="0.2">
      <c r="F539"/>
    </row>
    <row r="540" spans="6:6" x14ac:dyDescent="0.2">
      <c r="F540"/>
    </row>
    <row r="541" spans="6:6" x14ac:dyDescent="0.2">
      <c r="F541"/>
    </row>
    <row r="542" spans="6:6" x14ac:dyDescent="0.2">
      <c r="F542"/>
    </row>
    <row r="543" spans="6:6" x14ac:dyDescent="0.2">
      <c r="F543"/>
    </row>
    <row r="544" spans="6:6" x14ac:dyDescent="0.2">
      <c r="F544"/>
    </row>
    <row r="545" spans="6:6" x14ac:dyDescent="0.2">
      <c r="F545"/>
    </row>
    <row r="546" spans="6:6" x14ac:dyDescent="0.2">
      <c r="F546"/>
    </row>
    <row r="547" spans="6:6" x14ac:dyDescent="0.2">
      <c r="F547"/>
    </row>
    <row r="548" spans="6:6" x14ac:dyDescent="0.2">
      <c r="F548"/>
    </row>
    <row r="549" spans="6:6" x14ac:dyDescent="0.2">
      <c r="F549"/>
    </row>
    <row r="550" spans="6:6" x14ac:dyDescent="0.2">
      <c r="F550"/>
    </row>
    <row r="551" spans="6:6" x14ac:dyDescent="0.2">
      <c r="F551"/>
    </row>
    <row r="552" spans="6:6" x14ac:dyDescent="0.2">
      <c r="F552"/>
    </row>
    <row r="553" spans="6:6" x14ac:dyDescent="0.2">
      <c r="F553"/>
    </row>
    <row r="554" spans="6:6" x14ac:dyDescent="0.2">
      <c r="F554"/>
    </row>
    <row r="555" spans="6:6" x14ac:dyDescent="0.2">
      <c r="F555"/>
    </row>
    <row r="556" spans="6:6" x14ac:dyDescent="0.2">
      <c r="F556"/>
    </row>
    <row r="557" spans="6:6" x14ac:dyDescent="0.2">
      <c r="F557"/>
    </row>
    <row r="558" spans="6:6" x14ac:dyDescent="0.2">
      <c r="F558"/>
    </row>
    <row r="559" spans="6:6" x14ac:dyDescent="0.2">
      <c r="F559"/>
    </row>
    <row r="560" spans="6:6" x14ac:dyDescent="0.2">
      <c r="F560"/>
    </row>
    <row r="561" spans="6:6" x14ac:dyDescent="0.2">
      <c r="F561"/>
    </row>
    <row r="562" spans="6:6" x14ac:dyDescent="0.2">
      <c r="F562"/>
    </row>
    <row r="563" spans="6:6" x14ac:dyDescent="0.2">
      <c r="F563"/>
    </row>
    <row r="564" spans="6:6" x14ac:dyDescent="0.2">
      <c r="F564"/>
    </row>
    <row r="565" spans="6:6" x14ac:dyDescent="0.2">
      <c r="F565"/>
    </row>
    <row r="566" spans="6:6" x14ac:dyDescent="0.2">
      <c r="F566"/>
    </row>
    <row r="567" spans="6:6" x14ac:dyDescent="0.2">
      <c r="F567"/>
    </row>
    <row r="568" spans="6:6" x14ac:dyDescent="0.2">
      <c r="F568"/>
    </row>
    <row r="569" spans="6:6" x14ac:dyDescent="0.2">
      <c r="F569"/>
    </row>
    <row r="570" spans="6:6" x14ac:dyDescent="0.2">
      <c r="F570"/>
    </row>
    <row r="571" spans="6:6" x14ac:dyDescent="0.2">
      <c r="F571"/>
    </row>
    <row r="572" spans="6:6" x14ac:dyDescent="0.2">
      <c r="F572"/>
    </row>
    <row r="573" spans="6:6" x14ac:dyDescent="0.2">
      <c r="F573"/>
    </row>
    <row r="574" spans="6:6" x14ac:dyDescent="0.2">
      <c r="F574"/>
    </row>
    <row r="575" spans="6:6" x14ac:dyDescent="0.2">
      <c r="F575"/>
    </row>
    <row r="576" spans="6:6" x14ac:dyDescent="0.2">
      <c r="F576"/>
    </row>
    <row r="577" spans="6:6" x14ac:dyDescent="0.2">
      <c r="F577"/>
    </row>
    <row r="578" spans="6:6" x14ac:dyDescent="0.2">
      <c r="F578"/>
    </row>
    <row r="579" spans="6:6" x14ac:dyDescent="0.2">
      <c r="F579"/>
    </row>
    <row r="580" spans="6:6" x14ac:dyDescent="0.2">
      <c r="F580"/>
    </row>
    <row r="581" spans="6:6" x14ac:dyDescent="0.2">
      <c r="F581"/>
    </row>
    <row r="582" spans="6:6" x14ac:dyDescent="0.2">
      <c r="F582"/>
    </row>
    <row r="583" spans="6:6" x14ac:dyDescent="0.2">
      <c r="F583"/>
    </row>
    <row r="584" spans="6:6" x14ac:dyDescent="0.2">
      <c r="F584"/>
    </row>
    <row r="585" spans="6:6" x14ac:dyDescent="0.2">
      <c r="F585"/>
    </row>
    <row r="586" spans="6:6" x14ac:dyDescent="0.2">
      <c r="F586"/>
    </row>
    <row r="587" spans="6:6" x14ac:dyDescent="0.2">
      <c r="F587"/>
    </row>
    <row r="588" spans="6:6" x14ac:dyDescent="0.2">
      <c r="F588"/>
    </row>
    <row r="589" spans="6:6" x14ac:dyDescent="0.2">
      <c r="F589"/>
    </row>
    <row r="590" spans="6:6" x14ac:dyDescent="0.2">
      <c r="F590"/>
    </row>
    <row r="591" spans="6:6" x14ac:dyDescent="0.2">
      <c r="F591"/>
    </row>
    <row r="592" spans="6:6" x14ac:dyDescent="0.2">
      <c r="F592"/>
    </row>
    <row r="593" spans="6:6" x14ac:dyDescent="0.2">
      <c r="F593"/>
    </row>
    <row r="594" spans="6:6" x14ac:dyDescent="0.2">
      <c r="F594"/>
    </row>
    <row r="595" spans="6:6" x14ac:dyDescent="0.2">
      <c r="F595"/>
    </row>
    <row r="596" spans="6:6" x14ac:dyDescent="0.2">
      <c r="F596"/>
    </row>
    <row r="597" spans="6:6" x14ac:dyDescent="0.2">
      <c r="F597"/>
    </row>
    <row r="598" spans="6:6" x14ac:dyDescent="0.2">
      <c r="F598"/>
    </row>
    <row r="599" spans="6:6" x14ac:dyDescent="0.2">
      <c r="F599"/>
    </row>
    <row r="600" spans="6:6" x14ac:dyDescent="0.2">
      <c r="F600"/>
    </row>
    <row r="601" spans="6:6" x14ac:dyDescent="0.2">
      <c r="F601"/>
    </row>
    <row r="602" spans="6:6" x14ac:dyDescent="0.2">
      <c r="F602"/>
    </row>
    <row r="603" spans="6:6" x14ac:dyDescent="0.2">
      <c r="F603"/>
    </row>
    <row r="604" spans="6:6" x14ac:dyDescent="0.2">
      <c r="F604"/>
    </row>
    <row r="605" spans="6:6" x14ac:dyDescent="0.2">
      <c r="F605"/>
    </row>
    <row r="606" spans="6:6" x14ac:dyDescent="0.2">
      <c r="F606"/>
    </row>
    <row r="607" spans="6:6" x14ac:dyDescent="0.2">
      <c r="F607"/>
    </row>
    <row r="608" spans="6:6" x14ac:dyDescent="0.2">
      <c r="F608"/>
    </row>
    <row r="609" spans="6:6" x14ac:dyDescent="0.2">
      <c r="F609"/>
    </row>
    <row r="610" spans="6:6" x14ac:dyDescent="0.2">
      <c r="F610"/>
    </row>
    <row r="611" spans="6:6" x14ac:dyDescent="0.2">
      <c r="F611"/>
    </row>
    <row r="612" spans="6:6" x14ac:dyDescent="0.2">
      <c r="F612"/>
    </row>
    <row r="613" spans="6:6" x14ac:dyDescent="0.2">
      <c r="F613"/>
    </row>
    <row r="614" spans="6:6" x14ac:dyDescent="0.2">
      <c r="F614"/>
    </row>
    <row r="615" spans="6:6" x14ac:dyDescent="0.2">
      <c r="F615"/>
    </row>
    <row r="616" spans="6:6" x14ac:dyDescent="0.2">
      <c r="F616"/>
    </row>
    <row r="617" spans="6:6" x14ac:dyDescent="0.2">
      <c r="F617"/>
    </row>
    <row r="618" spans="6:6" x14ac:dyDescent="0.2">
      <c r="F618"/>
    </row>
    <row r="619" spans="6:6" x14ac:dyDescent="0.2">
      <c r="F619"/>
    </row>
    <row r="620" spans="6:6" x14ac:dyDescent="0.2">
      <c r="F620"/>
    </row>
    <row r="621" spans="6:6" x14ac:dyDescent="0.2">
      <c r="F621"/>
    </row>
    <row r="622" spans="6:6" x14ac:dyDescent="0.2">
      <c r="F622"/>
    </row>
    <row r="623" spans="6:6" x14ac:dyDescent="0.2">
      <c r="F623"/>
    </row>
    <row r="624" spans="6:6" x14ac:dyDescent="0.2">
      <c r="F624"/>
    </row>
    <row r="625" spans="6:6" x14ac:dyDescent="0.2">
      <c r="F625"/>
    </row>
    <row r="626" spans="6:6" x14ac:dyDescent="0.2">
      <c r="F626"/>
    </row>
    <row r="627" spans="6:6" x14ac:dyDescent="0.2">
      <c r="F627"/>
    </row>
    <row r="628" spans="6:6" x14ac:dyDescent="0.2">
      <c r="F628"/>
    </row>
    <row r="629" spans="6:6" x14ac:dyDescent="0.2">
      <c r="F629"/>
    </row>
    <row r="630" spans="6:6" x14ac:dyDescent="0.2">
      <c r="F630"/>
    </row>
    <row r="631" spans="6:6" x14ac:dyDescent="0.2">
      <c r="F631"/>
    </row>
    <row r="632" spans="6:6" x14ac:dyDescent="0.2">
      <c r="F632"/>
    </row>
    <row r="633" spans="6:6" x14ac:dyDescent="0.2">
      <c r="F633"/>
    </row>
    <row r="634" spans="6:6" x14ac:dyDescent="0.2">
      <c r="F634"/>
    </row>
    <row r="635" spans="6:6" x14ac:dyDescent="0.2">
      <c r="F635"/>
    </row>
    <row r="636" spans="6:6" x14ac:dyDescent="0.2">
      <c r="F636"/>
    </row>
    <row r="637" spans="6:6" x14ac:dyDescent="0.2">
      <c r="F637"/>
    </row>
    <row r="638" spans="6:6" x14ac:dyDescent="0.2">
      <c r="F638"/>
    </row>
    <row r="639" spans="6:6" x14ac:dyDescent="0.2">
      <c r="F639"/>
    </row>
    <row r="640" spans="6:6" x14ac:dyDescent="0.2">
      <c r="F640"/>
    </row>
    <row r="641" spans="6:6" x14ac:dyDescent="0.2">
      <c r="F641"/>
    </row>
    <row r="642" spans="6:6" x14ac:dyDescent="0.2">
      <c r="F642"/>
    </row>
    <row r="643" spans="6:6" x14ac:dyDescent="0.2">
      <c r="F643"/>
    </row>
    <row r="644" spans="6:6" x14ac:dyDescent="0.2">
      <c r="F644"/>
    </row>
    <row r="645" spans="6:6" x14ac:dyDescent="0.2">
      <c r="F645"/>
    </row>
    <row r="646" spans="6:6" x14ac:dyDescent="0.2">
      <c r="F646"/>
    </row>
    <row r="647" spans="6:6" x14ac:dyDescent="0.2">
      <c r="F647"/>
    </row>
    <row r="648" spans="6:6" x14ac:dyDescent="0.2">
      <c r="F648"/>
    </row>
    <row r="649" spans="6:6" x14ac:dyDescent="0.2">
      <c r="F649"/>
    </row>
    <row r="650" spans="6:6" x14ac:dyDescent="0.2">
      <c r="F650"/>
    </row>
    <row r="651" spans="6:6" x14ac:dyDescent="0.2">
      <c r="F651"/>
    </row>
    <row r="652" spans="6:6" x14ac:dyDescent="0.2">
      <c r="F652"/>
    </row>
    <row r="653" spans="6:6" x14ac:dyDescent="0.2">
      <c r="F653"/>
    </row>
    <row r="654" spans="6:6" x14ac:dyDescent="0.2">
      <c r="F654"/>
    </row>
    <row r="655" spans="6:6" x14ac:dyDescent="0.2">
      <c r="F655"/>
    </row>
    <row r="656" spans="6:6" x14ac:dyDescent="0.2">
      <c r="F656"/>
    </row>
    <row r="657" spans="6:6" x14ac:dyDescent="0.2">
      <c r="F657"/>
    </row>
    <row r="658" spans="6:6" x14ac:dyDescent="0.2">
      <c r="F658"/>
    </row>
    <row r="659" spans="6:6" x14ac:dyDescent="0.2">
      <c r="F659"/>
    </row>
    <row r="660" spans="6:6" x14ac:dyDescent="0.2">
      <c r="F660"/>
    </row>
    <row r="661" spans="6:6" x14ac:dyDescent="0.2">
      <c r="F661"/>
    </row>
    <row r="662" spans="6:6" x14ac:dyDescent="0.2">
      <c r="F662"/>
    </row>
    <row r="663" spans="6:6" x14ac:dyDescent="0.2">
      <c r="F663"/>
    </row>
    <row r="664" spans="6:6" x14ac:dyDescent="0.2">
      <c r="F664"/>
    </row>
    <row r="665" spans="6:6" x14ac:dyDescent="0.2">
      <c r="F665"/>
    </row>
    <row r="666" spans="6:6" x14ac:dyDescent="0.2">
      <c r="F666"/>
    </row>
    <row r="667" spans="6:6" x14ac:dyDescent="0.2">
      <c r="F667"/>
    </row>
    <row r="668" spans="6:6" x14ac:dyDescent="0.2">
      <c r="F668"/>
    </row>
    <row r="669" spans="6:6" x14ac:dyDescent="0.2">
      <c r="F669"/>
    </row>
    <row r="670" spans="6:6" x14ac:dyDescent="0.2">
      <c r="F670"/>
    </row>
    <row r="671" spans="6:6" x14ac:dyDescent="0.2">
      <c r="F671"/>
    </row>
    <row r="672" spans="6:6" x14ac:dyDescent="0.2">
      <c r="F672"/>
    </row>
    <row r="673" spans="6:6" x14ac:dyDescent="0.2">
      <c r="F673"/>
    </row>
    <row r="674" spans="6:6" x14ac:dyDescent="0.2">
      <c r="F674"/>
    </row>
    <row r="675" spans="6:6" x14ac:dyDescent="0.2">
      <c r="F675"/>
    </row>
    <row r="676" spans="6:6" x14ac:dyDescent="0.2">
      <c r="F676"/>
    </row>
    <row r="677" spans="6:6" x14ac:dyDescent="0.2">
      <c r="F677"/>
    </row>
    <row r="678" spans="6:6" x14ac:dyDescent="0.2">
      <c r="F678"/>
    </row>
    <row r="679" spans="6:6" x14ac:dyDescent="0.2">
      <c r="F679"/>
    </row>
    <row r="680" spans="6:6" x14ac:dyDescent="0.2">
      <c r="F680"/>
    </row>
    <row r="681" spans="6:6" x14ac:dyDescent="0.2">
      <c r="F681"/>
    </row>
    <row r="682" spans="6:6" x14ac:dyDescent="0.2">
      <c r="F682"/>
    </row>
    <row r="683" spans="6:6" x14ac:dyDescent="0.2">
      <c r="F683"/>
    </row>
    <row r="684" spans="6:6" x14ac:dyDescent="0.2">
      <c r="F684"/>
    </row>
    <row r="685" spans="6:6" x14ac:dyDescent="0.2">
      <c r="F685"/>
    </row>
    <row r="686" spans="6:6" x14ac:dyDescent="0.2">
      <c r="F686"/>
    </row>
    <row r="687" spans="6:6" x14ac:dyDescent="0.2">
      <c r="F687"/>
    </row>
    <row r="688" spans="6:6" x14ac:dyDescent="0.2">
      <c r="F688"/>
    </row>
    <row r="689" spans="6:6" x14ac:dyDescent="0.2">
      <c r="F689"/>
    </row>
    <row r="690" spans="6:6" x14ac:dyDescent="0.2">
      <c r="F690"/>
    </row>
    <row r="691" spans="6:6" x14ac:dyDescent="0.2">
      <c r="F691"/>
    </row>
    <row r="692" spans="6:6" x14ac:dyDescent="0.2">
      <c r="F692"/>
    </row>
    <row r="693" spans="6:6" x14ac:dyDescent="0.2">
      <c r="F693"/>
    </row>
    <row r="694" spans="6:6" x14ac:dyDescent="0.2">
      <c r="F694"/>
    </row>
    <row r="695" spans="6:6" x14ac:dyDescent="0.2">
      <c r="F695"/>
    </row>
    <row r="696" spans="6:6" x14ac:dyDescent="0.2">
      <c r="F696"/>
    </row>
    <row r="697" spans="6:6" x14ac:dyDescent="0.2">
      <c r="F697"/>
    </row>
    <row r="698" spans="6:6" x14ac:dyDescent="0.2">
      <c r="F698"/>
    </row>
    <row r="699" spans="6:6" x14ac:dyDescent="0.2">
      <c r="F699"/>
    </row>
    <row r="700" spans="6:6" x14ac:dyDescent="0.2">
      <c r="F700"/>
    </row>
    <row r="701" spans="6:6" x14ac:dyDescent="0.2">
      <c r="F701"/>
    </row>
    <row r="702" spans="6:6" x14ac:dyDescent="0.2">
      <c r="F702"/>
    </row>
    <row r="703" spans="6:6" x14ac:dyDescent="0.2">
      <c r="F703"/>
    </row>
    <row r="704" spans="6:6" x14ac:dyDescent="0.2">
      <c r="F704"/>
    </row>
    <row r="705" spans="6:6" x14ac:dyDescent="0.2">
      <c r="F705"/>
    </row>
    <row r="706" spans="6:6" x14ac:dyDescent="0.2">
      <c r="F706"/>
    </row>
    <row r="707" spans="6:6" x14ac:dyDescent="0.2">
      <c r="F707"/>
    </row>
    <row r="708" spans="6:6" x14ac:dyDescent="0.2">
      <c r="F708"/>
    </row>
    <row r="709" spans="6:6" x14ac:dyDescent="0.2">
      <c r="F709"/>
    </row>
    <row r="710" spans="6:6" x14ac:dyDescent="0.2">
      <c r="F710"/>
    </row>
    <row r="711" spans="6:6" x14ac:dyDescent="0.2">
      <c r="F711"/>
    </row>
    <row r="712" spans="6:6" x14ac:dyDescent="0.2">
      <c r="F712"/>
    </row>
    <row r="713" spans="6:6" x14ac:dyDescent="0.2">
      <c r="F713"/>
    </row>
    <row r="714" spans="6:6" x14ac:dyDescent="0.2">
      <c r="F714"/>
    </row>
    <row r="715" spans="6:6" x14ac:dyDescent="0.2">
      <c r="F715"/>
    </row>
    <row r="716" spans="6:6" x14ac:dyDescent="0.2">
      <c r="F716"/>
    </row>
    <row r="717" spans="6:6" x14ac:dyDescent="0.2">
      <c r="F717"/>
    </row>
    <row r="718" spans="6:6" x14ac:dyDescent="0.2">
      <c r="F718"/>
    </row>
    <row r="719" spans="6:6" x14ac:dyDescent="0.2">
      <c r="F719"/>
    </row>
    <row r="720" spans="6:6" x14ac:dyDescent="0.2">
      <c r="F720"/>
    </row>
    <row r="721" spans="6:6" x14ac:dyDescent="0.2">
      <c r="F721"/>
    </row>
    <row r="722" spans="6:6" x14ac:dyDescent="0.2">
      <c r="F722"/>
    </row>
    <row r="723" spans="6:6" x14ac:dyDescent="0.2">
      <c r="F723"/>
    </row>
    <row r="724" spans="6:6" x14ac:dyDescent="0.2">
      <c r="F724"/>
    </row>
    <row r="725" spans="6:6" x14ac:dyDescent="0.2">
      <c r="F725"/>
    </row>
    <row r="726" spans="6:6" x14ac:dyDescent="0.2">
      <c r="F726"/>
    </row>
    <row r="727" spans="6:6" x14ac:dyDescent="0.2">
      <c r="F727"/>
    </row>
    <row r="728" spans="6:6" x14ac:dyDescent="0.2">
      <c r="F728"/>
    </row>
    <row r="729" spans="6:6" x14ac:dyDescent="0.2">
      <c r="F729"/>
    </row>
    <row r="730" spans="6:6" x14ac:dyDescent="0.2">
      <c r="F730"/>
    </row>
    <row r="731" spans="6:6" x14ac:dyDescent="0.2">
      <c r="F731"/>
    </row>
    <row r="732" spans="6:6" x14ac:dyDescent="0.2">
      <c r="F732"/>
    </row>
    <row r="733" spans="6:6" x14ac:dyDescent="0.2">
      <c r="F733"/>
    </row>
    <row r="734" spans="6:6" x14ac:dyDescent="0.2">
      <c r="F734"/>
    </row>
    <row r="735" spans="6:6" x14ac:dyDescent="0.2">
      <c r="F735"/>
    </row>
    <row r="736" spans="6:6" x14ac:dyDescent="0.2">
      <c r="F736"/>
    </row>
    <row r="737" spans="6:6" x14ac:dyDescent="0.2">
      <c r="F737"/>
    </row>
    <row r="738" spans="6:6" x14ac:dyDescent="0.2">
      <c r="F738"/>
    </row>
    <row r="739" spans="6:6" x14ac:dyDescent="0.2">
      <c r="F739"/>
    </row>
    <row r="740" spans="6:6" x14ac:dyDescent="0.2">
      <c r="F740"/>
    </row>
    <row r="741" spans="6:6" x14ac:dyDescent="0.2">
      <c r="F741"/>
    </row>
    <row r="742" spans="6:6" x14ac:dyDescent="0.2">
      <c r="F742"/>
    </row>
    <row r="743" spans="6:6" x14ac:dyDescent="0.2">
      <c r="F743"/>
    </row>
    <row r="744" spans="6:6" x14ac:dyDescent="0.2">
      <c r="F744"/>
    </row>
    <row r="745" spans="6:6" x14ac:dyDescent="0.2">
      <c r="F745"/>
    </row>
    <row r="746" spans="6:6" x14ac:dyDescent="0.2">
      <c r="F746"/>
    </row>
    <row r="747" spans="6:6" x14ac:dyDescent="0.2">
      <c r="F747"/>
    </row>
    <row r="748" spans="6:6" x14ac:dyDescent="0.2">
      <c r="F748"/>
    </row>
    <row r="749" spans="6:6" x14ac:dyDescent="0.2">
      <c r="F749"/>
    </row>
    <row r="750" spans="6:6" x14ac:dyDescent="0.2">
      <c r="F750"/>
    </row>
    <row r="751" spans="6:6" x14ac:dyDescent="0.2">
      <c r="F751"/>
    </row>
    <row r="752" spans="6:6" x14ac:dyDescent="0.2">
      <c r="F752"/>
    </row>
    <row r="753" spans="6:6" x14ac:dyDescent="0.2">
      <c r="F753"/>
    </row>
    <row r="754" spans="6:6" x14ac:dyDescent="0.2">
      <c r="F754"/>
    </row>
    <row r="755" spans="6:6" x14ac:dyDescent="0.2">
      <c r="F755"/>
    </row>
    <row r="756" spans="6:6" x14ac:dyDescent="0.2">
      <c r="F756"/>
    </row>
    <row r="757" spans="6:6" x14ac:dyDescent="0.2">
      <c r="F757"/>
    </row>
    <row r="758" spans="6:6" x14ac:dyDescent="0.2">
      <c r="F758"/>
    </row>
    <row r="759" spans="6:6" x14ac:dyDescent="0.2">
      <c r="F759"/>
    </row>
    <row r="760" spans="6:6" x14ac:dyDescent="0.2">
      <c r="F760"/>
    </row>
    <row r="761" spans="6:6" x14ac:dyDescent="0.2">
      <c r="F761"/>
    </row>
    <row r="762" spans="6:6" x14ac:dyDescent="0.2">
      <c r="F762"/>
    </row>
    <row r="763" spans="6:6" x14ac:dyDescent="0.2">
      <c r="F763"/>
    </row>
    <row r="764" spans="6:6" x14ac:dyDescent="0.2">
      <c r="F764"/>
    </row>
    <row r="765" spans="6:6" x14ac:dyDescent="0.2">
      <c r="F765"/>
    </row>
    <row r="766" spans="6:6" x14ac:dyDescent="0.2">
      <c r="F766"/>
    </row>
    <row r="767" spans="6:6" x14ac:dyDescent="0.2">
      <c r="F767"/>
    </row>
    <row r="768" spans="6:6" x14ac:dyDescent="0.2">
      <c r="F768"/>
    </row>
    <row r="769" spans="6:6" x14ac:dyDescent="0.2">
      <c r="F769"/>
    </row>
    <row r="770" spans="6:6" x14ac:dyDescent="0.2">
      <c r="F770"/>
    </row>
    <row r="771" spans="6:6" x14ac:dyDescent="0.2">
      <c r="F771"/>
    </row>
    <row r="772" spans="6:6" x14ac:dyDescent="0.2">
      <c r="F772"/>
    </row>
    <row r="773" spans="6:6" x14ac:dyDescent="0.2">
      <c r="F773"/>
    </row>
    <row r="774" spans="6:6" x14ac:dyDescent="0.2">
      <c r="F774"/>
    </row>
    <row r="775" spans="6:6" x14ac:dyDescent="0.2">
      <c r="F775"/>
    </row>
    <row r="776" spans="6:6" x14ac:dyDescent="0.2">
      <c r="F776"/>
    </row>
    <row r="777" spans="6:6" x14ac:dyDescent="0.2">
      <c r="F777"/>
    </row>
    <row r="778" spans="6:6" x14ac:dyDescent="0.2">
      <c r="F778"/>
    </row>
    <row r="779" spans="6:6" x14ac:dyDescent="0.2">
      <c r="F779"/>
    </row>
    <row r="780" spans="6:6" x14ac:dyDescent="0.2">
      <c r="F780"/>
    </row>
    <row r="781" spans="6:6" x14ac:dyDescent="0.2">
      <c r="F781"/>
    </row>
    <row r="782" spans="6:6" x14ac:dyDescent="0.2">
      <c r="F782"/>
    </row>
    <row r="783" spans="6:6" x14ac:dyDescent="0.2">
      <c r="F783"/>
    </row>
    <row r="784" spans="6:6" x14ac:dyDescent="0.2">
      <c r="F784"/>
    </row>
    <row r="785" spans="6:6" x14ac:dyDescent="0.2">
      <c r="F785"/>
    </row>
    <row r="786" spans="6:6" x14ac:dyDescent="0.2">
      <c r="F786"/>
    </row>
    <row r="787" spans="6:6" x14ac:dyDescent="0.2">
      <c r="F787"/>
    </row>
    <row r="788" spans="6:6" x14ac:dyDescent="0.2">
      <c r="F788"/>
    </row>
    <row r="789" spans="6:6" x14ac:dyDescent="0.2">
      <c r="F789"/>
    </row>
    <row r="790" spans="6:6" x14ac:dyDescent="0.2">
      <c r="F790"/>
    </row>
    <row r="791" spans="6:6" x14ac:dyDescent="0.2">
      <c r="F791"/>
    </row>
    <row r="792" spans="6:6" x14ac:dyDescent="0.2">
      <c r="F792"/>
    </row>
    <row r="793" spans="6:6" x14ac:dyDescent="0.2">
      <c r="F793"/>
    </row>
    <row r="794" spans="6:6" x14ac:dyDescent="0.2">
      <c r="F794"/>
    </row>
    <row r="795" spans="6:6" x14ac:dyDescent="0.2">
      <c r="F795"/>
    </row>
    <row r="796" spans="6:6" x14ac:dyDescent="0.2">
      <c r="F796"/>
    </row>
    <row r="797" spans="6:6" x14ac:dyDescent="0.2">
      <c r="F797"/>
    </row>
    <row r="798" spans="6:6" x14ac:dyDescent="0.2">
      <c r="F798"/>
    </row>
    <row r="799" spans="6:6" x14ac:dyDescent="0.2">
      <c r="F799"/>
    </row>
    <row r="800" spans="6:6" x14ac:dyDescent="0.2">
      <c r="F800"/>
    </row>
    <row r="801" spans="6:6" x14ac:dyDescent="0.2">
      <c r="F801"/>
    </row>
    <row r="802" spans="6:6" x14ac:dyDescent="0.2">
      <c r="F802"/>
    </row>
    <row r="803" spans="6:6" x14ac:dyDescent="0.2">
      <c r="F803"/>
    </row>
    <row r="804" spans="6:6" x14ac:dyDescent="0.2">
      <c r="F804"/>
    </row>
    <row r="805" spans="6:6" x14ac:dyDescent="0.2">
      <c r="F805"/>
    </row>
    <row r="806" spans="6:6" x14ac:dyDescent="0.2">
      <c r="F806"/>
    </row>
    <row r="807" spans="6:6" x14ac:dyDescent="0.2">
      <c r="F807"/>
    </row>
    <row r="808" spans="6:6" x14ac:dyDescent="0.2">
      <c r="F808"/>
    </row>
    <row r="809" spans="6:6" x14ac:dyDescent="0.2">
      <c r="F809"/>
    </row>
    <row r="810" spans="6:6" x14ac:dyDescent="0.2">
      <c r="F810"/>
    </row>
    <row r="811" spans="6:6" x14ac:dyDescent="0.2">
      <c r="F811"/>
    </row>
    <row r="812" spans="6:6" x14ac:dyDescent="0.2">
      <c r="F812"/>
    </row>
    <row r="813" spans="6:6" x14ac:dyDescent="0.2">
      <c r="F813"/>
    </row>
    <row r="814" spans="6:6" x14ac:dyDescent="0.2">
      <c r="F814"/>
    </row>
    <row r="815" spans="6:6" x14ac:dyDescent="0.2">
      <c r="F815"/>
    </row>
    <row r="816" spans="6:6" x14ac:dyDescent="0.2">
      <c r="F816"/>
    </row>
    <row r="817" spans="6:6" x14ac:dyDescent="0.2">
      <c r="F817"/>
    </row>
    <row r="818" spans="6:6" x14ac:dyDescent="0.2">
      <c r="F818"/>
    </row>
    <row r="819" spans="6:6" x14ac:dyDescent="0.2">
      <c r="F819"/>
    </row>
    <row r="820" spans="6:6" x14ac:dyDescent="0.2">
      <c r="F820"/>
    </row>
    <row r="821" spans="6:6" x14ac:dyDescent="0.2">
      <c r="F821"/>
    </row>
    <row r="822" spans="6:6" x14ac:dyDescent="0.2">
      <c r="F822"/>
    </row>
    <row r="823" spans="6:6" x14ac:dyDescent="0.2">
      <c r="F823"/>
    </row>
    <row r="824" spans="6:6" x14ac:dyDescent="0.2">
      <c r="F824"/>
    </row>
    <row r="825" spans="6:6" x14ac:dyDescent="0.2">
      <c r="F825"/>
    </row>
    <row r="826" spans="6:6" x14ac:dyDescent="0.2">
      <c r="F826"/>
    </row>
    <row r="827" spans="6:6" x14ac:dyDescent="0.2">
      <c r="F827"/>
    </row>
    <row r="828" spans="6:6" x14ac:dyDescent="0.2">
      <c r="F828"/>
    </row>
    <row r="829" spans="6:6" x14ac:dyDescent="0.2">
      <c r="F829"/>
    </row>
    <row r="830" spans="6:6" x14ac:dyDescent="0.2">
      <c r="F830"/>
    </row>
    <row r="831" spans="6:6" x14ac:dyDescent="0.2">
      <c r="F831"/>
    </row>
    <row r="832" spans="6:6" x14ac:dyDescent="0.2">
      <c r="F832"/>
    </row>
    <row r="833" spans="6:6" x14ac:dyDescent="0.2">
      <c r="F833"/>
    </row>
    <row r="834" spans="6:6" x14ac:dyDescent="0.2">
      <c r="F834"/>
    </row>
    <row r="835" spans="6:6" x14ac:dyDescent="0.2">
      <c r="F835"/>
    </row>
    <row r="836" spans="6:6" x14ac:dyDescent="0.2">
      <c r="F836"/>
    </row>
    <row r="837" spans="6:6" x14ac:dyDescent="0.2">
      <c r="F837"/>
    </row>
    <row r="838" spans="6:6" x14ac:dyDescent="0.2">
      <c r="F838"/>
    </row>
    <row r="839" spans="6:6" x14ac:dyDescent="0.2">
      <c r="F839"/>
    </row>
    <row r="840" spans="6:6" x14ac:dyDescent="0.2">
      <c r="F840"/>
    </row>
    <row r="841" spans="6:6" x14ac:dyDescent="0.2">
      <c r="F841"/>
    </row>
    <row r="842" spans="6:6" x14ac:dyDescent="0.2">
      <c r="F842"/>
    </row>
    <row r="843" spans="6:6" x14ac:dyDescent="0.2">
      <c r="F843"/>
    </row>
    <row r="844" spans="6:6" x14ac:dyDescent="0.2">
      <c r="F844"/>
    </row>
    <row r="845" spans="6:6" x14ac:dyDescent="0.2">
      <c r="F845"/>
    </row>
    <row r="846" spans="6:6" x14ac:dyDescent="0.2">
      <c r="F846"/>
    </row>
    <row r="847" spans="6:6" x14ac:dyDescent="0.2">
      <c r="F847"/>
    </row>
    <row r="848" spans="6:6" x14ac:dyDescent="0.2">
      <c r="F848"/>
    </row>
    <row r="849" spans="6:6" x14ac:dyDescent="0.2">
      <c r="F849"/>
    </row>
    <row r="850" spans="6:6" x14ac:dyDescent="0.2">
      <c r="F850"/>
    </row>
    <row r="851" spans="6:6" x14ac:dyDescent="0.2">
      <c r="F851"/>
    </row>
    <row r="852" spans="6:6" x14ac:dyDescent="0.2">
      <c r="F852"/>
    </row>
    <row r="853" spans="6:6" x14ac:dyDescent="0.2">
      <c r="F853"/>
    </row>
    <row r="854" spans="6:6" x14ac:dyDescent="0.2">
      <c r="F854"/>
    </row>
    <row r="855" spans="6:6" x14ac:dyDescent="0.2">
      <c r="F855"/>
    </row>
    <row r="856" spans="6:6" x14ac:dyDescent="0.2">
      <c r="F856"/>
    </row>
    <row r="857" spans="6:6" x14ac:dyDescent="0.2">
      <c r="F857"/>
    </row>
    <row r="858" spans="6:6" x14ac:dyDescent="0.2">
      <c r="F858"/>
    </row>
    <row r="859" spans="6:6" x14ac:dyDescent="0.2">
      <c r="F859"/>
    </row>
    <row r="860" spans="6:6" x14ac:dyDescent="0.2">
      <c r="F860"/>
    </row>
    <row r="861" spans="6:6" x14ac:dyDescent="0.2">
      <c r="F861"/>
    </row>
    <row r="862" spans="6:6" x14ac:dyDescent="0.2">
      <c r="F862"/>
    </row>
    <row r="863" spans="6:6" x14ac:dyDescent="0.2">
      <c r="F863"/>
    </row>
    <row r="864" spans="6:6" x14ac:dyDescent="0.2">
      <c r="F864"/>
    </row>
    <row r="865" spans="6:6" x14ac:dyDescent="0.2">
      <c r="F865"/>
    </row>
    <row r="866" spans="6:6" x14ac:dyDescent="0.2">
      <c r="F866"/>
    </row>
    <row r="867" spans="6:6" x14ac:dyDescent="0.2">
      <c r="F867"/>
    </row>
    <row r="868" spans="6:6" x14ac:dyDescent="0.2">
      <c r="F868"/>
    </row>
    <row r="869" spans="6:6" x14ac:dyDescent="0.2">
      <c r="F869"/>
    </row>
    <row r="870" spans="6:6" x14ac:dyDescent="0.2">
      <c r="F870"/>
    </row>
    <row r="871" spans="6:6" x14ac:dyDescent="0.2">
      <c r="F871"/>
    </row>
    <row r="872" spans="6:6" x14ac:dyDescent="0.2">
      <c r="F872"/>
    </row>
    <row r="873" spans="6:6" x14ac:dyDescent="0.2">
      <c r="F873"/>
    </row>
    <row r="874" spans="6:6" x14ac:dyDescent="0.2">
      <c r="F874"/>
    </row>
    <row r="875" spans="6:6" x14ac:dyDescent="0.2">
      <c r="F875"/>
    </row>
    <row r="876" spans="6:6" x14ac:dyDescent="0.2">
      <c r="F876"/>
    </row>
    <row r="877" spans="6:6" x14ac:dyDescent="0.2">
      <c r="F877"/>
    </row>
    <row r="878" spans="6:6" x14ac:dyDescent="0.2">
      <c r="F878"/>
    </row>
    <row r="879" spans="6:6" x14ac:dyDescent="0.2">
      <c r="F879"/>
    </row>
    <row r="880" spans="6:6" x14ac:dyDescent="0.2">
      <c r="F880"/>
    </row>
    <row r="881" spans="6:6" x14ac:dyDescent="0.2">
      <c r="F881"/>
    </row>
    <row r="882" spans="6:6" x14ac:dyDescent="0.2">
      <c r="F882"/>
    </row>
    <row r="883" spans="6:6" x14ac:dyDescent="0.2">
      <c r="F883"/>
    </row>
    <row r="884" spans="6:6" x14ac:dyDescent="0.2">
      <c r="F884"/>
    </row>
    <row r="885" spans="6:6" x14ac:dyDescent="0.2">
      <c r="F885"/>
    </row>
    <row r="886" spans="6:6" x14ac:dyDescent="0.2">
      <c r="F886"/>
    </row>
    <row r="887" spans="6:6" x14ac:dyDescent="0.2">
      <c r="F887"/>
    </row>
    <row r="888" spans="6:6" x14ac:dyDescent="0.2">
      <c r="F888"/>
    </row>
    <row r="889" spans="6:6" x14ac:dyDescent="0.2">
      <c r="F889"/>
    </row>
    <row r="890" spans="6:6" x14ac:dyDescent="0.2">
      <c r="F890"/>
    </row>
    <row r="891" spans="6:6" x14ac:dyDescent="0.2">
      <c r="F891"/>
    </row>
    <row r="892" spans="6:6" x14ac:dyDescent="0.2">
      <c r="F892"/>
    </row>
    <row r="893" spans="6:6" x14ac:dyDescent="0.2">
      <c r="F893"/>
    </row>
    <row r="894" spans="6:6" x14ac:dyDescent="0.2">
      <c r="F894"/>
    </row>
    <row r="895" spans="6:6" x14ac:dyDescent="0.2">
      <c r="F895"/>
    </row>
    <row r="896" spans="6:6" x14ac:dyDescent="0.2">
      <c r="F896"/>
    </row>
    <row r="897" spans="6:6" x14ac:dyDescent="0.2">
      <c r="F897"/>
    </row>
    <row r="898" spans="6:6" x14ac:dyDescent="0.2">
      <c r="F898"/>
    </row>
    <row r="899" spans="6:6" x14ac:dyDescent="0.2">
      <c r="F899"/>
    </row>
    <row r="900" spans="6:6" x14ac:dyDescent="0.2">
      <c r="F900"/>
    </row>
    <row r="901" spans="6:6" x14ac:dyDescent="0.2">
      <c r="F901"/>
    </row>
    <row r="902" spans="6:6" x14ac:dyDescent="0.2">
      <c r="F902"/>
    </row>
    <row r="903" spans="6:6" x14ac:dyDescent="0.2">
      <c r="F903"/>
    </row>
    <row r="904" spans="6:6" x14ac:dyDescent="0.2">
      <c r="F904"/>
    </row>
    <row r="905" spans="6:6" x14ac:dyDescent="0.2">
      <c r="F905"/>
    </row>
    <row r="906" spans="6:6" x14ac:dyDescent="0.2">
      <c r="F906"/>
    </row>
    <row r="907" spans="6:6" x14ac:dyDescent="0.2">
      <c r="F907"/>
    </row>
    <row r="908" spans="6:6" x14ac:dyDescent="0.2">
      <c r="F908"/>
    </row>
    <row r="909" spans="6:6" x14ac:dyDescent="0.2">
      <c r="F909"/>
    </row>
    <row r="910" spans="6:6" x14ac:dyDescent="0.2">
      <c r="F910"/>
    </row>
    <row r="911" spans="6:6" x14ac:dyDescent="0.2">
      <c r="F911"/>
    </row>
    <row r="912" spans="6:6" x14ac:dyDescent="0.2">
      <c r="F912"/>
    </row>
    <row r="913" spans="6:6" x14ac:dyDescent="0.2">
      <c r="F913"/>
    </row>
    <row r="914" spans="6:6" x14ac:dyDescent="0.2">
      <c r="F914"/>
    </row>
    <row r="915" spans="6:6" x14ac:dyDescent="0.2">
      <c r="F915"/>
    </row>
    <row r="916" spans="6:6" x14ac:dyDescent="0.2">
      <c r="F916"/>
    </row>
    <row r="917" spans="6:6" x14ac:dyDescent="0.2">
      <c r="F917"/>
    </row>
    <row r="918" spans="6:6" x14ac:dyDescent="0.2">
      <c r="F918"/>
    </row>
    <row r="919" spans="6:6" x14ac:dyDescent="0.2">
      <c r="F919"/>
    </row>
    <row r="920" spans="6:6" x14ac:dyDescent="0.2">
      <c r="F920"/>
    </row>
    <row r="921" spans="6:6" x14ac:dyDescent="0.2">
      <c r="F921"/>
    </row>
    <row r="922" spans="6:6" x14ac:dyDescent="0.2">
      <c r="F922"/>
    </row>
    <row r="923" spans="6:6" x14ac:dyDescent="0.2">
      <c r="F923"/>
    </row>
    <row r="924" spans="6:6" x14ac:dyDescent="0.2">
      <c r="F924"/>
    </row>
    <row r="925" spans="6:6" x14ac:dyDescent="0.2">
      <c r="F925"/>
    </row>
    <row r="926" spans="6:6" x14ac:dyDescent="0.2">
      <c r="F926"/>
    </row>
    <row r="927" spans="6:6" x14ac:dyDescent="0.2">
      <c r="F927"/>
    </row>
    <row r="928" spans="6:6" x14ac:dyDescent="0.2">
      <c r="F928"/>
    </row>
    <row r="929" spans="6:6" x14ac:dyDescent="0.2">
      <c r="F929"/>
    </row>
    <row r="930" spans="6:6" x14ac:dyDescent="0.2">
      <c r="F930"/>
    </row>
    <row r="931" spans="6:6" x14ac:dyDescent="0.2">
      <c r="F931"/>
    </row>
    <row r="932" spans="6:6" x14ac:dyDescent="0.2">
      <c r="F932"/>
    </row>
    <row r="933" spans="6:6" x14ac:dyDescent="0.2">
      <c r="F933"/>
    </row>
    <row r="934" spans="6:6" x14ac:dyDescent="0.2">
      <c r="F934"/>
    </row>
    <row r="935" spans="6:6" x14ac:dyDescent="0.2">
      <c r="F935"/>
    </row>
    <row r="936" spans="6:6" x14ac:dyDescent="0.2">
      <c r="F936"/>
    </row>
    <row r="937" spans="6:6" x14ac:dyDescent="0.2">
      <c r="F937"/>
    </row>
    <row r="938" spans="6:6" x14ac:dyDescent="0.2">
      <c r="F938"/>
    </row>
    <row r="939" spans="6:6" x14ac:dyDescent="0.2">
      <c r="F939"/>
    </row>
    <row r="940" spans="6:6" x14ac:dyDescent="0.2">
      <c r="F940"/>
    </row>
    <row r="941" spans="6:6" x14ac:dyDescent="0.2">
      <c r="F941"/>
    </row>
    <row r="942" spans="6:6" x14ac:dyDescent="0.2">
      <c r="F942"/>
    </row>
    <row r="943" spans="6:6" x14ac:dyDescent="0.2">
      <c r="F943"/>
    </row>
    <row r="944" spans="6:6" x14ac:dyDescent="0.2">
      <c r="F944"/>
    </row>
    <row r="945" spans="6:6" x14ac:dyDescent="0.2">
      <c r="F945"/>
    </row>
    <row r="946" spans="6:6" x14ac:dyDescent="0.2">
      <c r="F946"/>
    </row>
    <row r="947" spans="6:6" x14ac:dyDescent="0.2">
      <c r="F947"/>
    </row>
    <row r="948" spans="6:6" x14ac:dyDescent="0.2">
      <c r="F948"/>
    </row>
    <row r="949" spans="6:6" x14ac:dyDescent="0.2">
      <c r="F949"/>
    </row>
    <row r="950" spans="6:6" x14ac:dyDescent="0.2">
      <c r="F950"/>
    </row>
    <row r="951" spans="6:6" x14ac:dyDescent="0.2">
      <c r="F951"/>
    </row>
    <row r="952" spans="6:6" x14ac:dyDescent="0.2">
      <c r="F952"/>
    </row>
    <row r="953" spans="6:6" x14ac:dyDescent="0.2">
      <c r="F953"/>
    </row>
    <row r="954" spans="6:6" x14ac:dyDescent="0.2">
      <c r="F954"/>
    </row>
    <row r="955" spans="6:6" x14ac:dyDescent="0.2">
      <c r="F955"/>
    </row>
    <row r="956" spans="6:6" x14ac:dyDescent="0.2">
      <c r="F956"/>
    </row>
    <row r="957" spans="6:6" x14ac:dyDescent="0.2">
      <c r="F957"/>
    </row>
    <row r="958" spans="6:6" x14ac:dyDescent="0.2">
      <c r="F958"/>
    </row>
    <row r="959" spans="6:6" x14ac:dyDescent="0.2">
      <c r="F959"/>
    </row>
    <row r="960" spans="6:6" x14ac:dyDescent="0.2">
      <c r="F960"/>
    </row>
    <row r="961" spans="6:6" x14ac:dyDescent="0.2">
      <c r="F961"/>
    </row>
    <row r="962" spans="6:6" x14ac:dyDescent="0.2">
      <c r="F962"/>
    </row>
    <row r="963" spans="6:6" x14ac:dyDescent="0.2">
      <c r="F963"/>
    </row>
    <row r="964" spans="6:6" x14ac:dyDescent="0.2">
      <c r="F964"/>
    </row>
    <row r="965" spans="6:6" x14ac:dyDescent="0.2">
      <c r="F965"/>
    </row>
    <row r="966" spans="6:6" x14ac:dyDescent="0.2">
      <c r="F966"/>
    </row>
    <row r="967" spans="6:6" x14ac:dyDescent="0.2">
      <c r="F967"/>
    </row>
    <row r="968" spans="6:6" x14ac:dyDescent="0.2">
      <c r="F968"/>
    </row>
    <row r="969" spans="6:6" x14ac:dyDescent="0.2">
      <c r="F969"/>
    </row>
    <row r="970" spans="6:6" x14ac:dyDescent="0.2">
      <c r="F970"/>
    </row>
    <row r="971" spans="6:6" x14ac:dyDescent="0.2">
      <c r="F971"/>
    </row>
    <row r="972" spans="6:6" x14ac:dyDescent="0.2">
      <c r="F972"/>
    </row>
    <row r="973" spans="6:6" x14ac:dyDescent="0.2">
      <c r="F973"/>
    </row>
    <row r="974" spans="6:6" x14ac:dyDescent="0.2">
      <c r="F974"/>
    </row>
    <row r="975" spans="6:6" x14ac:dyDescent="0.2">
      <c r="F975"/>
    </row>
    <row r="976" spans="6:6" x14ac:dyDescent="0.2">
      <c r="F976"/>
    </row>
    <row r="977" spans="6:6" x14ac:dyDescent="0.2">
      <c r="F977"/>
    </row>
    <row r="978" spans="6:6" x14ac:dyDescent="0.2">
      <c r="F978"/>
    </row>
    <row r="979" spans="6:6" x14ac:dyDescent="0.2">
      <c r="F979"/>
    </row>
    <row r="980" spans="6:6" x14ac:dyDescent="0.2">
      <c r="F980"/>
    </row>
    <row r="981" spans="6:6" x14ac:dyDescent="0.2">
      <c r="F981"/>
    </row>
    <row r="982" spans="6:6" x14ac:dyDescent="0.2">
      <c r="F982"/>
    </row>
    <row r="983" spans="6:6" x14ac:dyDescent="0.2">
      <c r="F983"/>
    </row>
    <row r="984" spans="6:6" x14ac:dyDescent="0.2">
      <c r="F984"/>
    </row>
    <row r="985" spans="6:6" x14ac:dyDescent="0.2">
      <c r="F985"/>
    </row>
    <row r="986" spans="6:6" x14ac:dyDescent="0.2">
      <c r="F986"/>
    </row>
    <row r="987" spans="6:6" x14ac:dyDescent="0.2">
      <c r="F987"/>
    </row>
    <row r="988" spans="6:6" x14ac:dyDescent="0.2">
      <c r="F988"/>
    </row>
    <row r="989" spans="6:6" x14ac:dyDescent="0.2">
      <c r="F989"/>
    </row>
    <row r="990" spans="6:6" x14ac:dyDescent="0.2">
      <c r="F990"/>
    </row>
    <row r="991" spans="6:6" x14ac:dyDescent="0.2">
      <c r="F991"/>
    </row>
    <row r="992" spans="6:6" x14ac:dyDescent="0.2">
      <c r="F992"/>
    </row>
    <row r="993" spans="6:6" x14ac:dyDescent="0.2">
      <c r="F993"/>
    </row>
    <row r="994" spans="6:6" x14ac:dyDescent="0.2">
      <c r="F994"/>
    </row>
    <row r="995" spans="6:6" x14ac:dyDescent="0.2">
      <c r="F995"/>
    </row>
    <row r="996" spans="6:6" x14ac:dyDescent="0.2">
      <c r="F996"/>
    </row>
    <row r="997" spans="6:6" x14ac:dyDescent="0.2">
      <c r="F997"/>
    </row>
    <row r="998" spans="6:6" x14ac:dyDescent="0.2">
      <c r="F998"/>
    </row>
    <row r="999" spans="6:6" x14ac:dyDescent="0.2">
      <c r="F999"/>
    </row>
    <row r="1000" spans="6:6" x14ac:dyDescent="0.2">
      <c r="F1000"/>
    </row>
    <row r="1001" spans="6:6" x14ac:dyDescent="0.2">
      <c r="F1001"/>
    </row>
    <row r="1002" spans="6:6" x14ac:dyDescent="0.2">
      <c r="F1002"/>
    </row>
    <row r="1003" spans="6:6" x14ac:dyDescent="0.2">
      <c r="F1003"/>
    </row>
    <row r="1004" spans="6:6" x14ac:dyDescent="0.2">
      <c r="F1004"/>
    </row>
    <row r="1005" spans="6:6" x14ac:dyDescent="0.2">
      <c r="F1005"/>
    </row>
    <row r="1006" spans="6:6" x14ac:dyDescent="0.2">
      <c r="F1006"/>
    </row>
    <row r="1007" spans="6:6" x14ac:dyDescent="0.2">
      <c r="F1007"/>
    </row>
    <row r="1008" spans="6:6" x14ac:dyDescent="0.2">
      <c r="F1008"/>
    </row>
    <row r="1009" spans="6:6" x14ac:dyDescent="0.2">
      <c r="F1009"/>
    </row>
    <row r="1010" spans="6:6" x14ac:dyDescent="0.2">
      <c r="F1010"/>
    </row>
    <row r="1011" spans="6:6" x14ac:dyDescent="0.2">
      <c r="F1011"/>
    </row>
    <row r="1012" spans="6:6" x14ac:dyDescent="0.2">
      <c r="F1012"/>
    </row>
    <row r="1013" spans="6:6" x14ac:dyDescent="0.2">
      <c r="F1013"/>
    </row>
    <row r="1014" spans="6:6" x14ac:dyDescent="0.2">
      <c r="F1014"/>
    </row>
    <row r="1015" spans="6:6" x14ac:dyDescent="0.2">
      <c r="F1015"/>
    </row>
    <row r="1016" spans="6:6" x14ac:dyDescent="0.2">
      <c r="F1016"/>
    </row>
    <row r="1017" spans="6:6" x14ac:dyDescent="0.2">
      <c r="F1017"/>
    </row>
    <row r="1018" spans="6:6" x14ac:dyDescent="0.2">
      <c r="F1018"/>
    </row>
    <row r="1019" spans="6:6" x14ac:dyDescent="0.2">
      <c r="F1019"/>
    </row>
    <row r="1020" spans="6:6" x14ac:dyDescent="0.2">
      <c r="F1020"/>
    </row>
    <row r="1021" spans="6:6" x14ac:dyDescent="0.2">
      <c r="F1021"/>
    </row>
    <row r="1022" spans="6:6" x14ac:dyDescent="0.2">
      <c r="F1022"/>
    </row>
    <row r="1023" spans="6:6" x14ac:dyDescent="0.2">
      <c r="F1023"/>
    </row>
    <row r="1024" spans="6:6" x14ac:dyDescent="0.2">
      <c r="F1024"/>
    </row>
    <row r="1025" spans="6:6" x14ac:dyDescent="0.2">
      <c r="F1025"/>
    </row>
    <row r="1026" spans="6:6" x14ac:dyDescent="0.2">
      <c r="F1026"/>
    </row>
    <row r="1027" spans="6:6" x14ac:dyDescent="0.2">
      <c r="F1027"/>
    </row>
    <row r="1028" spans="6:6" x14ac:dyDescent="0.2">
      <c r="F1028"/>
    </row>
    <row r="1029" spans="6:6" x14ac:dyDescent="0.2">
      <c r="F1029"/>
    </row>
    <row r="1030" spans="6:6" x14ac:dyDescent="0.2">
      <c r="F1030"/>
    </row>
    <row r="1031" spans="6:6" x14ac:dyDescent="0.2">
      <c r="F1031"/>
    </row>
    <row r="1032" spans="6:6" x14ac:dyDescent="0.2">
      <c r="F1032"/>
    </row>
    <row r="1033" spans="6:6" x14ac:dyDescent="0.2">
      <c r="F1033"/>
    </row>
    <row r="1034" spans="6:6" x14ac:dyDescent="0.2">
      <c r="F1034"/>
    </row>
    <row r="1035" spans="6:6" x14ac:dyDescent="0.2">
      <c r="F1035"/>
    </row>
    <row r="1036" spans="6:6" x14ac:dyDescent="0.2">
      <c r="F1036"/>
    </row>
    <row r="1037" spans="6:6" x14ac:dyDescent="0.2">
      <c r="F1037"/>
    </row>
    <row r="1038" spans="6:6" x14ac:dyDescent="0.2">
      <c r="F1038"/>
    </row>
    <row r="1039" spans="6:6" x14ac:dyDescent="0.2">
      <c r="F1039"/>
    </row>
    <row r="1040" spans="6:6" x14ac:dyDescent="0.2">
      <c r="F1040"/>
    </row>
    <row r="1041" spans="6:6" x14ac:dyDescent="0.2">
      <c r="F1041"/>
    </row>
    <row r="1042" spans="6:6" x14ac:dyDescent="0.2">
      <c r="F1042"/>
    </row>
    <row r="1043" spans="6:6" x14ac:dyDescent="0.2">
      <c r="F1043"/>
    </row>
    <row r="1044" spans="6:6" x14ac:dyDescent="0.2">
      <c r="F1044"/>
    </row>
    <row r="1045" spans="6:6" x14ac:dyDescent="0.2">
      <c r="F1045"/>
    </row>
    <row r="1046" spans="6:6" x14ac:dyDescent="0.2">
      <c r="F1046"/>
    </row>
    <row r="1047" spans="6:6" x14ac:dyDescent="0.2">
      <c r="F1047"/>
    </row>
    <row r="1048" spans="6:6" x14ac:dyDescent="0.2">
      <c r="F1048"/>
    </row>
    <row r="1049" spans="6:6" x14ac:dyDescent="0.2">
      <c r="F1049"/>
    </row>
    <row r="1050" spans="6:6" x14ac:dyDescent="0.2">
      <c r="F1050"/>
    </row>
    <row r="1051" spans="6:6" x14ac:dyDescent="0.2">
      <c r="F1051"/>
    </row>
    <row r="1052" spans="6:6" x14ac:dyDescent="0.2">
      <c r="F1052"/>
    </row>
    <row r="1053" spans="6:6" x14ac:dyDescent="0.2">
      <c r="F1053"/>
    </row>
    <row r="1054" spans="6:6" x14ac:dyDescent="0.2">
      <c r="F1054"/>
    </row>
    <row r="1055" spans="6:6" x14ac:dyDescent="0.2">
      <c r="F1055"/>
    </row>
    <row r="1056" spans="6:6" x14ac:dyDescent="0.2">
      <c r="F1056"/>
    </row>
    <row r="1057" spans="6:6" x14ac:dyDescent="0.2">
      <c r="F1057"/>
    </row>
    <row r="1058" spans="6:6" x14ac:dyDescent="0.2">
      <c r="F1058"/>
    </row>
    <row r="1059" spans="6:6" x14ac:dyDescent="0.2">
      <c r="F1059"/>
    </row>
    <row r="1060" spans="6:6" x14ac:dyDescent="0.2">
      <c r="F1060"/>
    </row>
    <row r="1061" spans="6:6" x14ac:dyDescent="0.2">
      <c r="F1061"/>
    </row>
    <row r="1062" spans="6:6" x14ac:dyDescent="0.2">
      <c r="F1062"/>
    </row>
    <row r="1063" spans="6:6" x14ac:dyDescent="0.2">
      <c r="F1063"/>
    </row>
    <row r="1064" spans="6:6" x14ac:dyDescent="0.2">
      <c r="F1064"/>
    </row>
    <row r="1065" spans="6:6" x14ac:dyDescent="0.2">
      <c r="F1065"/>
    </row>
    <row r="1066" spans="6:6" x14ac:dyDescent="0.2">
      <c r="F1066"/>
    </row>
    <row r="1067" spans="6:6" x14ac:dyDescent="0.2">
      <c r="F1067"/>
    </row>
    <row r="1068" spans="6:6" x14ac:dyDescent="0.2">
      <c r="F1068"/>
    </row>
    <row r="1069" spans="6:6" x14ac:dyDescent="0.2">
      <c r="F1069"/>
    </row>
    <row r="1070" spans="6:6" x14ac:dyDescent="0.2">
      <c r="F1070"/>
    </row>
    <row r="1071" spans="6:6" x14ac:dyDescent="0.2">
      <c r="F1071"/>
    </row>
    <row r="1072" spans="6:6" x14ac:dyDescent="0.2">
      <c r="F1072"/>
    </row>
    <row r="1073" spans="6:6" x14ac:dyDescent="0.2">
      <c r="F1073"/>
    </row>
    <row r="1074" spans="6:6" x14ac:dyDescent="0.2">
      <c r="F1074"/>
    </row>
    <row r="1075" spans="6:6" x14ac:dyDescent="0.2">
      <c r="F1075"/>
    </row>
    <row r="1076" spans="6:6" x14ac:dyDescent="0.2">
      <c r="F1076"/>
    </row>
    <row r="1077" spans="6:6" x14ac:dyDescent="0.2">
      <c r="F1077"/>
    </row>
    <row r="1078" spans="6:6" x14ac:dyDescent="0.2">
      <c r="F1078"/>
    </row>
    <row r="1079" spans="6:6" x14ac:dyDescent="0.2">
      <c r="F1079"/>
    </row>
    <row r="1080" spans="6:6" x14ac:dyDescent="0.2">
      <c r="F1080"/>
    </row>
    <row r="1081" spans="6:6" x14ac:dyDescent="0.2">
      <c r="F1081"/>
    </row>
    <row r="1082" spans="6:6" x14ac:dyDescent="0.2">
      <c r="F1082"/>
    </row>
    <row r="1083" spans="6:6" x14ac:dyDescent="0.2">
      <c r="F1083"/>
    </row>
    <row r="1084" spans="6:6" x14ac:dyDescent="0.2">
      <c r="F1084"/>
    </row>
    <row r="1085" spans="6:6" x14ac:dyDescent="0.2">
      <c r="F1085"/>
    </row>
    <row r="1086" spans="6:6" x14ac:dyDescent="0.2">
      <c r="F1086"/>
    </row>
    <row r="1087" spans="6:6" x14ac:dyDescent="0.2">
      <c r="F1087"/>
    </row>
    <row r="1088" spans="6:6" x14ac:dyDescent="0.2">
      <c r="F1088"/>
    </row>
    <row r="1089" spans="6:6" x14ac:dyDescent="0.2">
      <c r="F1089"/>
    </row>
    <row r="1090" spans="6:6" x14ac:dyDescent="0.2">
      <c r="F1090"/>
    </row>
    <row r="1091" spans="6:6" x14ac:dyDescent="0.2">
      <c r="F1091"/>
    </row>
    <row r="1092" spans="6:6" x14ac:dyDescent="0.2">
      <c r="F1092"/>
    </row>
    <row r="1093" spans="6:6" x14ac:dyDescent="0.2">
      <c r="F1093"/>
    </row>
    <row r="1094" spans="6:6" x14ac:dyDescent="0.2">
      <c r="F1094"/>
    </row>
    <row r="1095" spans="6:6" x14ac:dyDescent="0.2">
      <c r="F1095"/>
    </row>
    <row r="1096" spans="6:6" x14ac:dyDescent="0.2">
      <c r="F1096"/>
    </row>
    <row r="1097" spans="6:6" x14ac:dyDescent="0.2">
      <c r="F1097"/>
    </row>
    <row r="1098" spans="6:6" x14ac:dyDescent="0.2">
      <c r="F1098"/>
    </row>
    <row r="1099" spans="6:6" x14ac:dyDescent="0.2">
      <c r="F1099"/>
    </row>
    <row r="1100" spans="6:6" x14ac:dyDescent="0.2">
      <c r="F1100"/>
    </row>
    <row r="1101" spans="6:6" x14ac:dyDescent="0.2">
      <c r="F1101"/>
    </row>
    <row r="1102" spans="6:6" x14ac:dyDescent="0.2">
      <c r="F1102"/>
    </row>
    <row r="1103" spans="6:6" x14ac:dyDescent="0.2">
      <c r="F1103"/>
    </row>
    <row r="1104" spans="6:6" x14ac:dyDescent="0.2">
      <c r="F1104"/>
    </row>
    <row r="1105" spans="6:6" x14ac:dyDescent="0.2">
      <c r="F1105"/>
    </row>
    <row r="1106" spans="6:6" x14ac:dyDescent="0.2">
      <c r="F1106"/>
    </row>
    <row r="1107" spans="6:6" x14ac:dyDescent="0.2">
      <c r="F1107"/>
    </row>
    <row r="1108" spans="6:6" x14ac:dyDescent="0.2">
      <c r="F1108"/>
    </row>
    <row r="1109" spans="6:6" x14ac:dyDescent="0.2">
      <c r="F1109"/>
    </row>
    <row r="1110" spans="6:6" x14ac:dyDescent="0.2">
      <c r="F1110"/>
    </row>
    <row r="1111" spans="6:6" x14ac:dyDescent="0.2">
      <c r="F1111"/>
    </row>
    <row r="1112" spans="6:6" x14ac:dyDescent="0.2">
      <c r="F1112"/>
    </row>
    <row r="1113" spans="6:6" x14ac:dyDescent="0.2">
      <c r="F1113"/>
    </row>
    <row r="1114" spans="6:6" x14ac:dyDescent="0.2">
      <c r="F1114"/>
    </row>
    <row r="1115" spans="6:6" x14ac:dyDescent="0.2">
      <c r="F1115"/>
    </row>
    <row r="1116" spans="6:6" x14ac:dyDescent="0.2">
      <c r="F1116"/>
    </row>
    <row r="1117" spans="6:6" x14ac:dyDescent="0.2">
      <c r="F1117"/>
    </row>
    <row r="1118" spans="6:6" x14ac:dyDescent="0.2">
      <c r="F1118"/>
    </row>
    <row r="1119" spans="6:6" x14ac:dyDescent="0.2">
      <c r="F1119"/>
    </row>
    <row r="1120" spans="6:6" x14ac:dyDescent="0.2">
      <c r="F1120"/>
    </row>
    <row r="1121" spans="6:6" x14ac:dyDescent="0.2">
      <c r="F1121"/>
    </row>
    <row r="1122" spans="6:6" x14ac:dyDescent="0.2">
      <c r="F1122"/>
    </row>
    <row r="1123" spans="6:6" x14ac:dyDescent="0.2">
      <c r="F1123"/>
    </row>
    <row r="1124" spans="6:6" x14ac:dyDescent="0.2">
      <c r="F1124"/>
    </row>
    <row r="1125" spans="6:6" x14ac:dyDescent="0.2">
      <c r="F1125"/>
    </row>
    <row r="1126" spans="6:6" x14ac:dyDescent="0.2">
      <c r="F1126"/>
    </row>
    <row r="1127" spans="6:6" x14ac:dyDescent="0.2">
      <c r="F1127"/>
    </row>
    <row r="1128" spans="6:6" x14ac:dyDescent="0.2">
      <c r="F1128"/>
    </row>
    <row r="1129" spans="6:6" x14ac:dyDescent="0.2">
      <c r="F1129"/>
    </row>
    <row r="1130" spans="6:6" x14ac:dyDescent="0.2">
      <c r="F1130"/>
    </row>
    <row r="1131" spans="6:6" x14ac:dyDescent="0.2">
      <c r="F1131"/>
    </row>
    <row r="1132" spans="6:6" x14ac:dyDescent="0.2">
      <c r="F1132"/>
    </row>
    <row r="1133" spans="6:6" x14ac:dyDescent="0.2">
      <c r="F1133"/>
    </row>
    <row r="1134" spans="6:6" x14ac:dyDescent="0.2">
      <c r="F1134"/>
    </row>
    <row r="1135" spans="6:6" x14ac:dyDescent="0.2">
      <c r="F1135"/>
    </row>
    <row r="1136" spans="6:6" x14ac:dyDescent="0.2">
      <c r="F1136"/>
    </row>
    <row r="1137" spans="6:6" x14ac:dyDescent="0.2">
      <c r="F1137"/>
    </row>
    <row r="1138" spans="6:6" x14ac:dyDescent="0.2">
      <c r="F1138"/>
    </row>
    <row r="1139" spans="6:6" x14ac:dyDescent="0.2">
      <c r="F1139"/>
    </row>
    <row r="1140" spans="6:6" x14ac:dyDescent="0.2">
      <c r="F1140"/>
    </row>
    <row r="1141" spans="6:6" x14ac:dyDescent="0.2">
      <c r="F1141"/>
    </row>
    <row r="1142" spans="6:6" x14ac:dyDescent="0.2">
      <c r="F1142"/>
    </row>
    <row r="1143" spans="6:6" x14ac:dyDescent="0.2">
      <c r="F1143"/>
    </row>
    <row r="1144" spans="6:6" x14ac:dyDescent="0.2">
      <c r="F1144"/>
    </row>
    <row r="1145" spans="6:6" x14ac:dyDescent="0.2">
      <c r="F1145"/>
    </row>
    <row r="1146" spans="6:6" x14ac:dyDescent="0.2">
      <c r="F1146"/>
    </row>
    <row r="1147" spans="6:6" x14ac:dyDescent="0.2">
      <c r="F1147"/>
    </row>
    <row r="1148" spans="6:6" x14ac:dyDescent="0.2">
      <c r="F1148"/>
    </row>
    <row r="1149" spans="6:6" x14ac:dyDescent="0.2">
      <c r="F1149"/>
    </row>
    <row r="1150" spans="6:6" x14ac:dyDescent="0.2">
      <c r="F1150"/>
    </row>
    <row r="1151" spans="6:6" x14ac:dyDescent="0.2">
      <c r="F1151"/>
    </row>
    <row r="1152" spans="6:6" x14ac:dyDescent="0.2">
      <c r="F1152"/>
    </row>
    <row r="1153" spans="6:6" x14ac:dyDescent="0.2">
      <c r="F1153"/>
    </row>
    <row r="1154" spans="6:6" x14ac:dyDescent="0.2">
      <c r="F1154"/>
    </row>
    <row r="1155" spans="6:6" x14ac:dyDescent="0.2">
      <c r="F1155"/>
    </row>
    <row r="1156" spans="6:6" x14ac:dyDescent="0.2">
      <c r="F1156"/>
    </row>
    <row r="1157" spans="6:6" x14ac:dyDescent="0.2">
      <c r="F1157"/>
    </row>
    <row r="1158" spans="6:6" x14ac:dyDescent="0.2">
      <c r="F1158"/>
    </row>
    <row r="1159" spans="6:6" x14ac:dyDescent="0.2">
      <c r="F1159"/>
    </row>
    <row r="1160" spans="6:6" x14ac:dyDescent="0.2">
      <c r="F1160"/>
    </row>
    <row r="1161" spans="6:6" x14ac:dyDescent="0.2">
      <c r="F1161"/>
    </row>
    <row r="1162" spans="6:6" x14ac:dyDescent="0.2">
      <c r="F1162"/>
    </row>
    <row r="1163" spans="6:6" x14ac:dyDescent="0.2">
      <c r="F1163"/>
    </row>
    <row r="1164" spans="6:6" x14ac:dyDescent="0.2">
      <c r="F1164"/>
    </row>
    <row r="1165" spans="6:6" x14ac:dyDescent="0.2">
      <c r="F1165"/>
    </row>
    <row r="1166" spans="6:6" x14ac:dyDescent="0.2">
      <c r="F1166"/>
    </row>
    <row r="1167" spans="6:6" x14ac:dyDescent="0.2">
      <c r="F1167"/>
    </row>
    <row r="1168" spans="6:6" x14ac:dyDescent="0.2">
      <c r="F1168"/>
    </row>
    <row r="1169" spans="6:6" x14ac:dyDescent="0.2">
      <c r="F1169"/>
    </row>
    <row r="1170" spans="6:6" x14ac:dyDescent="0.2">
      <c r="F1170"/>
    </row>
    <row r="1171" spans="6:6" x14ac:dyDescent="0.2">
      <c r="F1171"/>
    </row>
    <row r="1172" spans="6:6" x14ac:dyDescent="0.2">
      <c r="F1172"/>
    </row>
    <row r="1173" spans="6:6" x14ac:dyDescent="0.2">
      <c r="F1173"/>
    </row>
    <row r="1174" spans="6:6" x14ac:dyDescent="0.2">
      <c r="F1174"/>
    </row>
    <row r="1175" spans="6:6" x14ac:dyDescent="0.2">
      <c r="F1175"/>
    </row>
    <row r="1176" spans="6:6" x14ac:dyDescent="0.2">
      <c r="F1176"/>
    </row>
    <row r="1177" spans="6:6" x14ac:dyDescent="0.2">
      <c r="F1177"/>
    </row>
    <row r="1178" spans="6:6" x14ac:dyDescent="0.2">
      <c r="F1178"/>
    </row>
    <row r="1179" spans="6:6" x14ac:dyDescent="0.2">
      <c r="F1179"/>
    </row>
    <row r="1180" spans="6:6" x14ac:dyDescent="0.2">
      <c r="F1180"/>
    </row>
    <row r="1181" spans="6:6" x14ac:dyDescent="0.2">
      <c r="F1181"/>
    </row>
    <row r="1182" spans="6:6" x14ac:dyDescent="0.2">
      <c r="F1182"/>
    </row>
    <row r="1183" spans="6:6" x14ac:dyDescent="0.2">
      <c r="F1183"/>
    </row>
    <row r="1184" spans="6:6" x14ac:dyDescent="0.2">
      <c r="F1184"/>
    </row>
    <row r="1185" spans="6:6" x14ac:dyDescent="0.2">
      <c r="F1185"/>
    </row>
    <row r="1186" spans="6:6" x14ac:dyDescent="0.2">
      <c r="F1186"/>
    </row>
    <row r="1187" spans="6:6" x14ac:dyDescent="0.2">
      <c r="F1187"/>
    </row>
    <row r="1188" spans="6:6" x14ac:dyDescent="0.2">
      <c r="F1188"/>
    </row>
    <row r="1189" spans="6:6" x14ac:dyDescent="0.2">
      <c r="F1189"/>
    </row>
    <row r="1190" spans="6:6" x14ac:dyDescent="0.2">
      <c r="F1190"/>
    </row>
    <row r="1191" spans="6:6" x14ac:dyDescent="0.2">
      <c r="F1191"/>
    </row>
    <row r="1192" spans="6:6" x14ac:dyDescent="0.2">
      <c r="F1192"/>
    </row>
    <row r="1193" spans="6:6" x14ac:dyDescent="0.2">
      <c r="F1193"/>
    </row>
    <row r="1194" spans="6:6" x14ac:dyDescent="0.2">
      <c r="F1194"/>
    </row>
    <row r="1195" spans="6:6" x14ac:dyDescent="0.2">
      <c r="F1195"/>
    </row>
    <row r="1196" spans="6:6" x14ac:dyDescent="0.2">
      <c r="F1196"/>
    </row>
    <row r="1197" spans="6:6" x14ac:dyDescent="0.2">
      <c r="F1197"/>
    </row>
    <row r="1198" spans="6:6" x14ac:dyDescent="0.2">
      <c r="F1198"/>
    </row>
    <row r="1199" spans="6:6" x14ac:dyDescent="0.2">
      <c r="F1199"/>
    </row>
    <row r="1200" spans="6:6" x14ac:dyDescent="0.2">
      <c r="F1200"/>
    </row>
    <row r="1201" spans="6:6" x14ac:dyDescent="0.2">
      <c r="F1201"/>
    </row>
    <row r="1202" spans="6:6" x14ac:dyDescent="0.2">
      <c r="F1202"/>
    </row>
    <row r="1203" spans="6:6" x14ac:dyDescent="0.2">
      <c r="F1203"/>
    </row>
    <row r="1204" spans="6:6" x14ac:dyDescent="0.2">
      <c r="F1204"/>
    </row>
    <row r="1205" spans="6:6" x14ac:dyDescent="0.2">
      <c r="F1205"/>
    </row>
    <row r="1206" spans="6:6" x14ac:dyDescent="0.2">
      <c r="F1206"/>
    </row>
    <row r="1207" spans="6:6" x14ac:dyDescent="0.2">
      <c r="F1207"/>
    </row>
    <row r="1208" spans="6:6" x14ac:dyDescent="0.2">
      <c r="F1208"/>
    </row>
    <row r="1209" spans="6:6" x14ac:dyDescent="0.2">
      <c r="F1209"/>
    </row>
    <row r="1210" spans="6:6" x14ac:dyDescent="0.2">
      <c r="F1210"/>
    </row>
    <row r="1211" spans="6:6" x14ac:dyDescent="0.2">
      <c r="F1211"/>
    </row>
    <row r="1212" spans="6:6" x14ac:dyDescent="0.2">
      <c r="F1212"/>
    </row>
    <row r="1213" spans="6:6" x14ac:dyDescent="0.2">
      <c r="F1213"/>
    </row>
    <row r="1214" spans="6:6" x14ac:dyDescent="0.2">
      <c r="F1214"/>
    </row>
    <row r="1215" spans="6:6" x14ac:dyDescent="0.2">
      <c r="F1215"/>
    </row>
    <row r="1216" spans="6:6" x14ac:dyDescent="0.2">
      <c r="F1216"/>
    </row>
    <row r="1217" spans="6:6" x14ac:dyDescent="0.2">
      <c r="F1217"/>
    </row>
    <row r="1218" spans="6:6" x14ac:dyDescent="0.2">
      <c r="F1218"/>
    </row>
    <row r="1219" spans="6:6" x14ac:dyDescent="0.2">
      <c r="F1219"/>
    </row>
    <row r="1220" spans="6:6" x14ac:dyDescent="0.2">
      <c r="F1220"/>
    </row>
    <row r="1221" spans="6:6" x14ac:dyDescent="0.2">
      <c r="F1221"/>
    </row>
    <row r="1222" spans="6:6" x14ac:dyDescent="0.2">
      <c r="F1222"/>
    </row>
    <row r="1223" spans="6:6" x14ac:dyDescent="0.2">
      <c r="F1223"/>
    </row>
    <row r="1224" spans="6:6" x14ac:dyDescent="0.2">
      <c r="F1224"/>
    </row>
    <row r="1225" spans="6:6" x14ac:dyDescent="0.2">
      <c r="F1225"/>
    </row>
    <row r="1226" spans="6:6" x14ac:dyDescent="0.2">
      <c r="F1226"/>
    </row>
    <row r="1227" spans="6:6" x14ac:dyDescent="0.2">
      <c r="F1227"/>
    </row>
    <row r="1228" spans="6:6" x14ac:dyDescent="0.2">
      <c r="F1228"/>
    </row>
    <row r="1229" spans="6:6" x14ac:dyDescent="0.2">
      <c r="F1229"/>
    </row>
    <row r="1230" spans="6:6" x14ac:dyDescent="0.2">
      <c r="F1230"/>
    </row>
    <row r="1231" spans="6:6" x14ac:dyDescent="0.2">
      <c r="F1231"/>
    </row>
    <row r="1232" spans="6:6" x14ac:dyDescent="0.2">
      <c r="F1232"/>
    </row>
    <row r="1233" spans="6:6" x14ac:dyDescent="0.2">
      <c r="F1233"/>
    </row>
    <row r="1234" spans="6:6" x14ac:dyDescent="0.2">
      <c r="F1234"/>
    </row>
    <row r="1235" spans="6:6" x14ac:dyDescent="0.2">
      <c r="F1235"/>
    </row>
    <row r="1236" spans="6:6" x14ac:dyDescent="0.2">
      <c r="F1236"/>
    </row>
    <row r="1237" spans="6:6" x14ac:dyDescent="0.2">
      <c r="F1237"/>
    </row>
    <row r="1238" spans="6:6" x14ac:dyDescent="0.2">
      <c r="F1238"/>
    </row>
    <row r="1239" spans="6:6" x14ac:dyDescent="0.2">
      <c r="F1239"/>
    </row>
    <row r="1240" spans="6:6" x14ac:dyDescent="0.2">
      <c r="F1240"/>
    </row>
    <row r="1241" spans="6:6" x14ac:dyDescent="0.2">
      <c r="F1241"/>
    </row>
    <row r="1242" spans="6:6" x14ac:dyDescent="0.2">
      <c r="F1242"/>
    </row>
    <row r="1243" spans="6:6" x14ac:dyDescent="0.2">
      <c r="F1243"/>
    </row>
    <row r="1244" spans="6:6" x14ac:dyDescent="0.2">
      <c r="F1244"/>
    </row>
    <row r="1245" spans="6:6" x14ac:dyDescent="0.2">
      <c r="F1245"/>
    </row>
    <row r="1246" spans="6:6" x14ac:dyDescent="0.2">
      <c r="F1246"/>
    </row>
    <row r="1247" spans="6:6" x14ac:dyDescent="0.2">
      <c r="F1247"/>
    </row>
    <row r="1248" spans="6:6" x14ac:dyDescent="0.2">
      <c r="F1248"/>
    </row>
    <row r="1249" spans="6:6" x14ac:dyDescent="0.2">
      <c r="F1249"/>
    </row>
    <row r="1250" spans="6:6" x14ac:dyDescent="0.2">
      <c r="F1250"/>
    </row>
    <row r="1251" spans="6:6" x14ac:dyDescent="0.2">
      <c r="F1251"/>
    </row>
    <row r="1252" spans="6:6" x14ac:dyDescent="0.2">
      <c r="F1252"/>
    </row>
    <row r="1253" spans="6:6" x14ac:dyDescent="0.2">
      <c r="F1253"/>
    </row>
    <row r="1254" spans="6:6" x14ac:dyDescent="0.2">
      <c r="F1254"/>
    </row>
    <row r="1255" spans="6:6" x14ac:dyDescent="0.2">
      <c r="F1255"/>
    </row>
    <row r="1256" spans="6:6" x14ac:dyDescent="0.2">
      <c r="F1256"/>
    </row>
    <row r="1257" spans="6:6" x14ac:dyDescent="0.2">
      <c r="F1257"/>
    </row>
    <row r="1258" spans="6:6" x14ac:dyDescent="0.2">
      <c r="F1258"/>
    </row>
    <row r="1259" spans="6:6" x14ac:dyDescent="0.2">
      <c r="F1259"/>
    </row>
    <row r="1260" spans="6:6" x14ac:dyDescent="0.2">
      <c r="F1260"/>
    </row>
    <row r="1261" spans="6:6" x14ac:dyDescent="0.2">
      <c r="F1261"/>
    </row>
    <row r="1262" spans="6:6" x14ac:dyDescent="0.2">
      <c r="F1262"/>
    </row>
    <row r="1263" spans="6:6" x14ac:dyDescent="0.2">
      <c r="F1263"/>
    </row>
    <row r="1264" spans="6:6" x14ac:dyDescent="0.2">
      <c r="F1264"/>
    </row>
    <row r="1265" spans="6:6" x14ac:dyDescent="0.2">
      <c r="F1265"/>
    </row>
    <row r="1266" spans="6:6" x14ac:dyDescent="0.2">
      <c r="F1266"/>
    </row>
    <row r="1267" spans="6:6" x14ac:dyDescent="0.2">
      <c r="F1267"/>
    </row>
    <row r="1268" spans="6:6" x14ac:dyDescent="0.2">
      <c r="F1268"/>
    </row>
    <row r="1269" spans="6:6" x14ac:dyDescent="0.2">
      <c r="F1269"/>
    </row>
    <row r="1270" spans="6:6" x14ac:dyDescent="0.2">
      <c r="F1270"/>
    </row>
    <row r="1271" spans="6:6" x14ac:dyDescent="0.2">
      <c r="F1271"/>
    </row>
    <row r="1272" spans="6:6" x14ac:dyDescent="0.2">
      <c r="F1272"/>
    </row>
    <row r="1273" spans="6:6" x14ac:dyDescent="0.2">
      <c r="F1273"/>
    </row>
    <row r="1274" spans="6:6" x14ac:dyDescent="0.2">
      <c r="F1274"/>
    </row>
    <row r="1275" spans="6:6" x14ac:dyDescent="0.2">
      <c r="F1275"/>
    </row>
    <row r="1276" spans="6:6" x14ac:dyDescent="0.2">
      <c r="F1276"/>
    </row>
    <row r="1277" spans="6:6" x14ac:dyDescent="0.2">
      <c r="F1277"/>
    </row>
    <row r="1278" spans="6:6" x14ac:dyDescent="0.2">
      <c r="F1278"/>
    </row>
    <row r="1279" spans="6:6" x14ac:dyDescent="0.2">
      <c r="F1279"/>
    </row>
    <row r="1280" spans="6:6" x14ac:dyDescent="0.2">
      <c r="F1280"/>
    </row>
    <row r="1281" spans="6:6" x14ac:dyDescent="0.2">
      <c r="F1281"/>
    </row>
    <row r="1282" spans="6:6" x14ac:dyDescent="0.2">
      <c r="F1282"/>
    </row>
    <row r="1283" spans="6:6" x14ac:dyDescent="0.2">
      <c r="F1283"/>
    </row>
    <row r="1284" spans="6:6" x14ac:dyDescent="0.2">
      <c r="F1284"/>
    </row>
    <row r="1285" spans="6:6" x14ac:dyDescent="0.2">
      <c r="F1285"/>
    </row>
    <row r="1286" spans="6:6" x14ac:dyDescent="0.2">
      <c r="F1286"/>
    </row>
    <row r="1287" spans="6:6" x14ac:dyDescent="0.2">
      <c r="F1287"/>
    </row>
    <row r="1288" spans="6:6" x14ac:dyDescent="0.2">
      <c r="F1288"/>
    </row>
    <row r="1289" spans="6:6" x14ac:dyDescent="0.2">
      <c r="F1289"/>
    </row>
    <row r="1290" spans="6:6" x14ac:dyDescent="0.2">
      <c r="F1290"/>
    </row>
    <row r="1291" spans="6:6" x14ac:dyDescent="0.2">
      <c r="F1291"/>
    </row>
    <row r="1292" spans="6:6" x14ac:dyDescent="0.2">
      <c r="F1292"/>
    </row>
    <row r="1293" spans="6:6" x14ac:dyDescent="0.2">
      <c r="F1293"/>
    </row>
    <row r="1294" spans="6:6" x14ac:dyDescent="0.2">
      <c r="F1294"/>
    </row>
    <row r="1295" spans="6:6" x14ac:dyDescent="0.2">
      <c r="F1295"/>
    </row>
    <row r="1296" spans="6:6" x14ac:dyDescent="0.2">
      <c r="F1296"/>
    </row>
    <row r="1297" spans="6:6" x14ac:dyDescent="0.2">
      <c r="F1297"/>
    </row>
    <row r="1298" spans="6:6" x14ac:dyDescent="0.2">
      <c r="F1298"/>
    </row>
    <row r="1299" spans="6:6" x14ac:dyDescent="0.2">
      <c r="F1299"/>
    </row>
    <row r="1300" spans="6:6" x14ac:dyDescent="0.2">
      <c r="F1300"/>
    </row>
    <row r="1301" spans="6:6" x14ac:dyDescent="0.2">
      <c r="F1301"/>
    </row>
    <row r="1302" spans="6:6" x14ac:dyDescent="0.2">
      <c r="F1302"/>
    </row>
    <row r="1303" spans="6:6" x14ac:dyDescent="0.2">
      <c r="F1303"/>
    </row>
    <row r="1304" spans="6:6" x14ac:dyDescent="0.2">
      <c r="F1304"/>
    </row>
    <row r="1305" spans="6:6" x14ac:dyDescent="0.2">
      <c r="F1305"/>
    </row>
    <row r="1306" spans="6:6" x14ac:dyDescent="0.2">
      <c r="F1306"/>
    </row>
    <row r="1307" spans="6:6" x14ac:dyDescent="0.2">
      <c r="F1307"/>
    </row>
    <row r="1308" spans="6:6" x14ac:dyDescent="0.2">
      <c r="F1308"/>
    </row>
    <row r="1309" spans="6:6" x14ac:dyDescent="0.2">
      <c r="F1309"/>
    </row>
    <row r="1310" spans="6:6" x14ac:dyDescent="0.2">
      <c r="F1310"/>
    </row>
    <row r="1311" spans="6:6" x14ac:dyDescent="0.2">
      <c r="F1311"/>
    </row>
    <row r="1312" spans="6:6" x14ac:dyDescent="0.2">
      <c r="F1312"/>
    </row>
    <row r="1313" spans="6:6" x14ac:dyDescent="0.2">
      <c r="F1313"/>
    </row>
    <row r="1314" spans="6:6" x14ac:dyDescent="0.2">
      <c r="F1314"/>
    </row>
    <row r="1315" spans="6:6" x14ac:dyDescent="0.2">
      <c r="F1315"/>
    </row>
    <row r="1316" spans="6:6" x14ac:dyDescent="0.2">
      <c r="F1316"/>
    </row>
    <row r="1317" spans="6:6" x14ac:dyDescent="0.2">
      <c r="F1317"/>
    </row>
    <row r="1318" spans="6:6" x14ac:dyDescent="0.2">
      <c r="F1318"/>
    </row>
    <row r="1319" spans="6:6" x14ac:dyDescent="0.2">
      <c r="F1319"/>
    </row>
    <row r="1320" spans="6:6" x14ac:dyDescent="0.2">
      <c r="F1320"/>
    </row>
    <row r="1321" spans="6:6" x14ac:dyDescent="0.2">
      <c r="F1321"/>
    </row>
    <row r="1322" spans="6:6" x14ac:dyDescent="0.2">
      <c r="F1322"/>
    </row>
    <row r="1323" spans="6:6" x14ac:dyDescent="0.2">
      <c r="F1323"/>
    </row>
    <row r="1324" spans="6:6" x14ac:dyDescent="0.2">
      <c r="F1324"/>
    </row>
    <row r="1325" spans="6:6" x14ac:dyDescent="0.2">
      <c r="F1325"/>
    </row>
    <row r="1326" spans="6:6" x14ac:dyDescent="0.2">
      <c r="F1326"/>
    </row>
    <row r="1327" spans="6:6" x14ac:dyDescent="0.2">
      <c r="F1327"/>
    </row>
    <row r="1328" spans="6:6" x14ac:dyDescent="0.2">
      <c r="F1328"/>
    </row>
    <row r="1329" spans="6:6" x14ac:dyDescent="0.2">
      <c r="F1329"/>
    </row>
    <row r="1330" spans="6:6" x14ac:dyDescent="0.2">
      <c r="F1330"/>
    </row>
    <row r="1331" spans="6:6" x14ac:dyDescent="0.2">
      <c r="F1331"/>
    </row>
    <row r="1332" spans="6:6" x14ac:dyDescent="0.2">
      <c r="F1332"/>
    </row>
    <row r="1333" spans="6:6" x14ac:dyDescent="0.2">
      <c r="F1333"/>
    </row>
    <row r="1334" spans="6:6" x14ac:dyDescent="0.2">
      <c r="F1334"/>
    </row>
    <row r="1335" spans="6:6" x14ac:dyDescent="0.2">
      <c r="F1335"/>
    </row>
    <row r="1336" spans="6:6" x14ac:dyDescent="0.2">
      <c r="F1336"/>
    </row>
    <row r="1337" spans="6:6" x14ac:dyDescent="0.2">
      <c r="F1337"/>
    </row>
    <row r="1338" spans="6:6" x14ac:dyDescent="0.2">
      <c r="F1338"/>
    </row>
    <row r="1339" spans="6:6" x14ac:dyDescent="0.2">
      <c r="F1339"/>
    </row>
    <row r="1340" spans="6:6" x14ac:dyDescent="0.2">
      <c r="F1340"/>
    </row>
    <row r="1341" spans="6:6" x14ac:dyDescent="0.2">
      <c r="F1341"/>
    </row>
    <row r="1342" spans="6:6" x14ac:dyDescent="0.2">
      <c r="F1342"/>
    </row>
    <row r="1343" spans="6:6" x14ac:dyDescent="0.2">
      <c r="F1343"/>
    </row>
    <row r="1344" spans="6:6" x14ac:dyDescent="0.2">
      <c r="F1344"/>
    </row>
    <row r="1345" spans="6:6" x14ac:dyDescent="0.2">
      <c r="F1345"/>
    </row>
    <row r="1346" spans="6:6" x14ac:dyDescent="0.2">
      <c r="F1346"/>
    </row>
    <row r="1347" spans="6:6" x14ac:dyDescent="0.2">
      <c r="F1347"/>
    </row>
    <row r="1348" spans="6:6" x14ac:dyDescent="0.2">
      <c r="F1348"/>
    </row>
    <row r="1349" spans="6:6" x14ac:dyDescent="0.2">
      <c r="F1349"/>
    </row>
    <row r="1350" spans="6:6" x14ac:dyDescent="0.2">
      <c r="F1350"/>
    </row>
    <row r="1351" spans="6:6" x14ac:dyDescent="0.2">
      <c r="F1351"/>
    </row>
    <row r="1352" spans="6:6" x14ac:dyDescent="0.2">
      <c r="F1352"/>
    </row>
    <row r="1353" spans="6:6" x14ac:dyDescent="0.2">
      <c r="F1353"/>
    </row>
    <row r="1354" spans="6:6" x14ac:dyDescent="0.2">
      <c r="F1354"/>
    </row>
    <row r="1355" spans="6:6" x14ac:dyDescent="0.2">
      <c r="F1355"/>
    </row>
    <row r="1356" spans="6:6" x14ac:dyDescent="0.2">
      <c r="F1356"/>
    </row>
    <row r="1357" spans="6:6" x14ac:dyDescent="0.2">
      <c r="F1357"/>
    </row>
    <row r="1358" spans="6:6" x14ac:dyDescent="0.2">
      <c r="F1358"/>
    </row>
    <row r="1359" spans="6:6" x14ac:dyDescent="0.2">
      <c r="F1359"/>
    </row>
    <row r="1360" spans="6:6" x14ac:dyDescent="0.2">
      <c r="F1360"/>
    </row>
    <row r="1361" spans="6:6" x14ac:dyDescent="0.2">
      <c r="F1361"/>
    </row>
    <row r="1362" spans="6:6" x14ac:dyDescent="0.2">
      <c r="F1362"/>
    </row>
    <row r="1363" spans="6:6" x14ac:dyDescent="0.2">
      <c r="F1363"/>
    </row>
    <row r="1364" spans="6:6" x14ac:dyDescent="0.2">
      <c r="F1364"/>
    </row>
    <row r="1365" spans="6:6" x14ac:dyDescent="0.2">
      <c r="F1365"/>
    </row>
    <row r="1366" spans="6:6" x14ac:dyDescent="0.2">
      <c r="F1366"/>
    </row>
    <row r="1367" spans="6:6" x14ac:dyDescent="0.2">
      <c r="F1367"/>
    </row>
    <row r="1368" spans="6:6" x14ac:dyDescent="0.2">
      <c r="F1368"/>
    </row>
    <row r="1369" spans="6:6" x14ac:dyDescent="0.2">
      <c r="F1369"/>
    </row>
    <row r="1370" spans="6:6" x14ac:dyDescent="0.2">
      <c r="F1370"/>
    </row>
    <row r="1371" spans="6:6" x14ac:dyDescent="0.2">
      <c r="F1371"/>
    </row>
    <row r="1372" spans="6:6" x14ac:dyDescent="0.2">
      <c r="F1372"/>
    </row>
    <row r="1373" spans="6:6" x14ac:dyDescent="0.2">
      <c r="F1373"/>
    </row>
    <row r="1374" spans="6:6" x14ac:dyDescent="0.2">
      <c r="F1374"/>
    </row>
    <row r="1375" spans="6:6" x14ac:dyDescent="0.2">
      <c r="F1375"/>
    </row>
    <row r="1376" spans="6:6" x14ac:dyDescent="0.2">
      <c r="F1376"/>
    </row>
    <row r="1377" spans="6:6" x14ac:dyDescent="0.2">
      <c r="F1377"/>
    </row>
    <row r="1378" spans="6:6" x14ac:dyDescent="0.2">
      <c r="F1378"/>
    </row>
    <row r="1379" spans="6:6" x14ac:dyDescent="0.2">
      <c r="F1379"/>
    </row>
    <row r="1380" spans="6:6" x14ac:dyDescent="0.2">
      <c r="F1380"/>
    </row>
    <row r="1381" spans="6:6" x14ac:dyDescent="0.2">
      <c r="F1381"/>
    </row>
    <row r="1382" spans="6:6" x14ac:dyDescent="0.2">
      <c r="F1382"/>
    </row>
    <row r="1383" spans="6:6" x14ac:dyDescent="0.2">
      <c r="F1383"/>
    </row>
    <row r="1384" spans="6:6" x14ac:dyDescent="0.2">
      <c r="F1384"/>
    </row>
    <row r="1385" spans="6:6" x14ac:dyDescent="0.2">
      <c r="F1385"/>
    </row>
    <row r="1386" spans="6:6" x14ac:dyDescent="0.2">
      <c r="F1386"/>
    </row>
    <row r="1387" spans="6:6" x14ac:dyDescent="0.2">
      <c r="F1387"/>
    </row>
    <row r="1388" spans="6:6" x14ac:dyDescent="0.2">
      <c r="F1388"/>
    </row>
    <row r="1389" spans="6:6" x14ac:dyDescent="0.2">
      <c r="F1389"/>
    </row>
    <row r="1390" spans="6:6" x14ac:dyDescent="0.2">
      <c r="F1390"/>
    </row>
    <row r="1391" spans="6:6" x14ac:dyDescent="0.2">
      <c r="F1391"/>
    </row>
    <row r="1392" spans="6:6" x14ac:dyDescent="0.2">
      <c r="F1392"/>
    </row>
    <row r="1393" spans="6:6" x14ac:dyDescent="0.2">
      <c r="F1393"/>
    </row>
    <row r="1394" spans="6:6" x14ac:dyDescent="0.2">
      <c r="F1394"/>
    </row>
    <row r="1395" spans="6:6" x14ac:dyDescent="0.2">
      <c r="F1395"/>
    </row>
    <row r="1396" spans="6:6" x14ac:dyDescent="0.2">
      <c r="F1396"/>
    </row>
    <row r="1397" spans="6:6" x14ac:dyDescent="0.2">
      <c r="F1397"/>
    </row>
    <row r="1398" spans="6:6" x14ac:dyDescent="0.2">
      <c r="F1398"/>
    </row>
    <row r="1399" spans="6:6" x14ac:dyDescent="0.2">
      <c r="F1399"/>
    </row>
    <row r="1400" spans="6:6" x14ac:dyDescent="0.2">
      <c r="F1400"/>
    </row>
    <row r="1401" spans="6:6" x14ac:dyDescent="0.2">
      <c r="F1401"/>
    </row>
    <row r="1402" spans="6:6" x14ac:dyDescent="0.2">
      <c r="F1402"/>
    </row>
    <row r="1403" spans="6:6" x14ac:dyDescent="0.2">
      <c r="F1403"/>
    </row>
    <row r="1404" spans="6:6" x14ac:dyDescent="0.2">
      <c r="F1404"/>
    </row>
    <row r="1405" spans="6:6" x14ac:dyDescent="0.2">
      <c r="F1405"/>
    </row>
    <row r="1406" spans="6:6" x14ac:dyDescent="0.2">
      <c r="F1406"/>
    </row>
    <row r="1407" spans="6:6" x14ac:dyDescent="0.2">
      <c r="F1407"/>
    </row>
    <row r="1408" spans="6:6" x14ac:dyDescent="0.2">
      <c r="F1408"/>
    </row>
    <row r="1409" spans="6:6" x14ac:dyDescent="0.2">
      <c r="F1409"/>
    </row>
    <row r="1410" spans="6:6" x14ac:dyDescent="0.2">
      <c r="F1410"/>
    </row>
    <row r="1411" spans="6:6" x14ac:dyDescent="0.2">
      <c r="F1411"/>
    </row>
    <row r="1412" spans="6:6" x14ac:dyDescent="0.2">
      <c r="F1412"/>
    </row>
    <row r="1413" spans="6:6" x14ac:dyDescent="0.2">
      <c r="F1413"/>
    </row>
    <row r="1414" spans="6:6" x14ac:dyDescent="0.2">
      <c r="F1414"/>
    </row>
    <row r="1415" spans="6:6" x14ac:dyDescent="0.2">
      <c r="F1415"/>
    </row>
    <row r="1416" spans="6:6" x14ac:dyDescent="0.2">
      <c r="F1416"/>
    </row>
    <row r="1417" spans="6:6" x14ac:dyDescent="0.2">
      <c r="F1417"/>
    </row>
    <row r="1418" spans="6:6" x14ac:dyDescent="0.2">
      <c r="F1418"/>
    </row>
    <row r="1419" spans="6:6" x14ac:dyDescent="0.2">
      <c r="F1419"/>
    </row>
    <row r="1420" spans="6:6" x14ac:dyDescent="0.2">
      <c r="F1420"/>
    </row>
    <row r="1421" spans="6:6" x14ac:dyDescent="0.2">
      <c r="F1421"/>
    </row>
    <row r="1422" spans="6:6" x14ac:dyDescent="0.2">
      <c r="F1422"/>
    </row>
    <row r="1423" spans="6:6" x14ac:dyDescent="0.2">
      <c r="F1423"/>
    </row>
    <row r="1424" spans="6:6" x14ac:dyDescent="0.2">
      <c r="F1424"/>
    </row>
    <row r="1425" spans="6:6" x14ac:dyDescent="0.2">
      <c r="F1425"/>
    </row>
    <row r="1426" spans="6:6" x14ac:dyDescent="0.2">
      <c r="F1426"/>
    </row>
    <row r="1427" spans="6:6" x14ac:dyDescent="0.2">
      <c r="F1427"/>
    </row>
    <row r="1428" spans="6:6" x14ac:dyDescent="0.2">
      <c r="F1428"/>
    </row>
    <row r="1429" spans="6:6" x14ac:dyDescent="0.2">
      <c r="F1429"/>
    </row>
    <row r="1430" spans="6:6" x14ac:dyDescent="0.2">
      <c r="F1430"/>
    </row>
    <row r="1431" spans="6:6" x14ac:dyDescent="0.2">
      <c r="F1431"/>
    </row>
    <row r="1432" spans="6:6" x14ac:dyDescent="0.2">
      <c r="F1432"/>
    </row>
    <row r="1433" spans="6:6" x14ac:dyDescent="0.2">
      <c r="F1433"/>
    </row>
    <row r="1434" spans="6:6" x14ac:dyDescent="0.2">
      <c r="F1434"/>
    </row>
    <row r="1435" spans="6:6" x14ac:dyDescent="0.2">
      <c r="F1435"/>
    </row>
    <row r="1436" spans="6:6" x14ac:dyDescent="0.2">
      <c r="F1436"/>
    </row>
    <row r="1437" spans="6:6" x14ac:dyDescent="0.2">
      <c r="F1437"/>
    </row>
    <row r="1438" spans="6:6" x14ac:dyDescent="0.2">
      <c r="F1438"/>
    </row>
    <row r="1439" spans="6:6" x14ac:dyDescent="0.2">
      <c r="F1439"/>
    </row>
    <row r="1440" spans="6:6" x14ac:dyDescent="0.2">
      <c r="F1440"/>
    </row>
    <row r="1441" spans="6:6" x14ac:dyDescent="0.2">
      <c r="F1441"/>
    </row>
    <row r="1442" spans="6:6" x14ac:dyDescent="0.2">
      <c r="F1442"/>
    </row>
    <row r="1443" spans="6:6" x14ac:dyDescent="0.2">
      <c r="F1443"/>
    </row>
    <row r="1444" spans="6:6" x14ac:dyDescent="0.2">
      <c r="F1444"/>
    </row>
    <row r="1445" spans="6:6" x14ac:dyDescent="0.2">
      <c r="F1445"/>
    </row>
    <row r="1446" spans="6:6" x14ac:dyDescent="0.2">
      <c r="F1446"/>
    </row>
    <row r="1447" spans="6:6" x14ac:dyDescent="0.2">
      <c r="F1447"/>
    </row>
    <row r="1448" spans="6:6" x14ac:dyDescent="0.2">
      <c r="F1448"/>
    </row>
    <row r="1449" spans="6:6" x14ac:dyDescent="0.2">
      <c r="F1449"/>
    </row>
    <row r="1450" spans="6:6" x14ac:dyDescent="0.2">
      <c r="F1450"/>
    </row>
    <row r="1451" spans="6:6" x14ac:dyDescent="0.2">
      <c r="F1451"/>
    </row>
    <row r="1452" spans="6:6" x14ac:dyDescent="0.2">
      <c r="F1452"/>
    </row>
    <row r="1453" spans="6:6" x14ac:dyDescent="0.2">
      <c r="F1453"/>
    </row>
    <row r="1454" spans="6:6" x14ac:dyDescent="0.2">
      <c r="F1454"/>
    </row>
    <row r="1455" spans="6:6" x14ac:dyDescent="0.2">
      <c r="F1455"/>
    </row>
    <row r="1456" spans="6:6" x14ac:dyDescent="0.2">
      <c r="F1456"/>
    </row>
    <row r="1457" spans="6:6" x14ac:dyDescent="0.2">
      <c r="F1457"/>
    </row>
    <row r="1458" spans="6:6" x14ac:dyDescent="0.2">
      <c r="F1458"/>
    </row>
    <row r="1459" spans="6:6" x14ac:dyDescent="0.2">
      <c r="F1459"/>
    </row>
    <row r="1460" spans="6:6" x14ac:dyDescent="0.2">
      <c r="F1460"/>
    </row>
    <row r="1461" spans="6:6" x14ac:dyDescent="0.2">
      <c r="F1461"/>
    </row>
    <row r="1462" spans="6:6" x14ac:dyDescent="0.2">
      <c r="F1462"/>
    </row>
    <row r="1463" spans="6:6" x14ac:dyDescent="0.2">
      <c r="F1463"/>
    </row>
    <row r="1464" spans="6:6" x14ac:dyDescent="0.2">
      <c r="F1464"/>
    </row>
    <row r="1465" spans="6:6" x14ac:dyDescent="0.2">
      <c r="F1465"/>
    </row>
    <row r="1466" spans="6:6" x14ac:dyDescent="0.2">
      <c r="F1466"/>
    </row>
    <row r="1467" spans="6:6" x14ac:dyDescent="0.2">
      <c r="F1467"/>
    </row>
    <row r="1468" spans="6:6" x14ac:dyDescent="0.2">
      <c r="F1468"/>
    </row>
    <row r="1469" spans="6:6" x14ac:dyDescent="0.2">
      <c r="F1469"/>
    </row>
    <row r="1470" spans="6:6" x14ac:dyDescent="0.2">
      <c r="F1470"/>
    </row>
    <row r="1471" spans="6:6" x14ac:dyDescent="0.2">
      <c r="F1471"/>
    </row>
    <row r="1472" spans="6:6" x14ac:dyDescent="0.2">
      <c r="F1472"/>
    </row>
    <row r="1473" spans="6:6" x14ac:dyDescent="0.2">
      <c r="F1473"/>
    </row>
    <row r="1474" spans="6:6" x14ac:dyDescent="0.2">
      <c r="F1474"/>
    </row>
    <row r="1475" spans="6:6" x14ac:dyDescent="0.2">
      <c r="F1475"/>
    </row>
    <row r="1476" spans="6:6" x14ac:dyDescent="0.2">
      <c r="F1476"/>
    </row>
    <row r="1477" spans="6:6" x14ac:dyDescent="0.2">
      <c r="F1477"/>
    </row>
    <row r="1478" spans="6:6" x14ac:dyDescent="0.2">
      <c r="F1478"/>
    </row>
    <row r="1479" spans="6:6" x14ac:dyDescent="0.2">
      <c r="F1479"/>
    </row>
    <row r="1480" spans="6:6" x14ac:dyDescent="0.2">
      <c r="F1480"/>
    </row>
    <row r="1481" spans="6:6" x14ac:dyDescent="0.2">
      <c r="F1481"/>
    </row>
    <row r="1482" spans="6:6" x14ac:dyDescent="0.2">
      <c r="F1482"/>
    </row>
    <row r="1483" spans="6:6" x14ac:dyDescent="0.2">
      <c r="F1483"/>
    </row>
    <row r="1484" spans="6:6" x14ac:dyDescent="0.2">
      <c r="F1484"/>
    </row>
    <row r="1485" spans="6:6" x14ac:dyDescent="0.2">
      <c r="F1485"/>
    </row>
    <row r="1486" spans="6:6" x14ac:dyDescent="0.2">
      <c r="F1486"/>
    </row>
    <row r="1487" spans="6:6" x14ac:dyDescent="0.2">
      <c r="F1487"/>
    </row>
    <row r="1488" spans="6:6" x14ac:dyDescent="0.2">
      <c r="F1488"/>
    </row>
    <row r="1489" spans="6:6" x14ac:dyDescent="0.2">
      <c r="F1489"/>
    </row>
    <row r="1490" spans="6:6" x14ac:dyDescent="0.2">
      <c r="F1490"/>
    </row>
    <row r="1491" spans="6:6" x14ac:dyDescent="0.2">
      <c r="F1491"/>
    </row>
    <row r="1492" spans="6:6" x14ac:dyDescent="0.2">
      <c r="F1492"/>
    </row>
    <row r="1493" spans="6:6" x14ac:dyDescent="0.2">
      <c r="F1493"/>
    </row>
    <row r="1494" spans="6:6" x14ac:dyDescent="0.2">
      <c r="F1494"/>
    </row>
    <row r="1495" spans="6:6" x14ac:dyDescent="0.2">
      <c r="F1495"/>
    </row>
    <row r="1496" spans="6:6" x14ac:dyDescent="0.2">
      <c r="F1496"/>
    </row>
    <row r="1497" spans="6:6" x14ac:dyDescent="0.2">
      <c r="F1497"/>
    </row>
    <row r="1498" spans="6:6" x14ac:dyDescent="0.2">
      <c r="F1498"/>
    </row>
    <row r="1499" spans="6:6" x14ac:dyDescent="0.2">
      <c r="F1499"/>
    </row>
    <row r="1500" spans="6:6" x14ac:dyDescent="0.2">
      <c r="F1500"/>
    </row>
    <row r="1501" spans="6:6" x14ac:dyDescent="0.2">
      <c r="F1501"/>
    </row>
    <row r="1502" spans="6:6" x14ac:dyDescent="0.2">
      <c r="F1502"/>
    </row>
    <row r="1503" spans="6:6" x14ac:dyDescent="0.2">
      <c r="F1503"/>
    </row>
    <row r="1504" spans="6:6" x14ac:dyDescent="0.2">
      <c r="F1504"/>
    </row>
    <row r="1505" spans="6:6" x14ac:dyDescent="0.2">
      <c r="F1505"/>
    </row>
    <row r="1506" spans="6:6" x14ac:dyDescent="0.2">
      <c r="F1506"/>
    </row>
    <row r="1507" spans="6:6" x14ac:dyDescent="0.2">
      <c r="F1507"/>
    </row>
    <row r="1508" spans="6:6" x14ac:dyDescent="0.2">
      <c r="F1508"/>
    </row>
    <row r="1509" spans="6:6" x14ac:dyDescent="0.2">
      <c r="F1509"/>
    </row>
    <row r="1510" spans="6:6" x14ac:dyDescent="0.2">
      <c r="F1510"/>
    </row>
    <row r="1511" spans="6:6" x14ac:dyDescent="0.2">
      <c r="F1511"/>
    </row>
    <row r="1512" spans="6:6" x14ac:dyDescent="0.2">
      <c r="F1512"/>
    </row>
    <row r="1513" spans="6:6" x14ac:dyDescent="0.2">
      <c r="F1513"/>
    </row>
    <row r="1514" spans="6:6" x14ac:dyDescent="0.2">
      <c r="F1514"/>
    </row>
    <row r="1515" spans="6:6" x14ac:dyDescent="0.2">
      <c r="F1515"/>
    </row>
    <row r="1516" spans="6:6" x14ac:dyDescent="0.2">
      <c r="F1516"/>
    </row>
    <row r="1517" spans="6:6" x14ac:dyDescent="0.2">
      <c r="F1517"/>
    </row>
    <row r="1518" spans="6:6" x14ac:dyDescent="0.2">
      <c r="F1518"/>
    </row>
    <row r="1519" spans="6:6" x14ac:dyDescent="0.2">
      <c r="F1519"/>
    </row>
    <row r="1520" spans="6:6" x14ac:dyDescent="0.2">
      <c r="F1520"/>
    </row>
    <row r="1521" spans="6:6" x14ac:dyDescent="0.2">
      <c r="F1521"/>
    </row>
    <row r="1522" spans="6:6" x14ac:dyDescent="0.2">
      <c r="F1522"/>
    </row>
    <row r="1523" spans="6:6" x14ac:dyDescent="0.2">
      <c r="F1523"/>
    </row>
    <row r="1524" spans="6:6" x14ac:dyDescent="0.2">
      <c r="F1524"/>
    </row>
    <row r="1525" spans="6:6" x14ac:dyDescent="0.2">
      <c r="F1525"/>
    </row>
    <row r="1526" spans="6:6" x14ac:dyDescent="0.2">
      <c r="F1526"/>
    </row>
    <row r="1527" spans="6:6" x14ac:dyDescent="0.2">
      <c r="F1527"/>
    </row>
    <row r="1528" spans="6:6" x14ac:dyDescent="0.2">
      <c r="F1528"/>
    </row>
    <row r="1529" spans="6:6" x14ac:dyDescent="0.2">
      <c r="F1529"/>
    </row>
    <row r="1530" spans="6:6" x14ac:dyDescent="0.2">
      <c r="F1530"/>
    </row>
    <row r="1531" spans="6:6" x14ac:dyDescent="0.2">
      <c r="F1531"/>
    </row>
    <row r="1532" spans="6:6" x14ac:dyDescent="0.2">
      <c r="F1532"/>
    </row>
    <row r="1533" spans="6:6" x14ac:dyDescent="0.2">
      <c r="F1533"/>
    </row>
    <row r="1534" spans="6:6" x14ac:dyDescent="0.2">
      <c r="F1534"/>
    </row>
    <row r="1535" spans="6:6" x14ac:dyDescent="0.2">
      <c r="F1535"/>
    </row>
    <row r="1536" spans="6:6" x14ac:dyDescent="0.2">
      <c r="F1536"/>
    </row>
    <row r="1537" spans="6:6" x14ac:dyDescent="0.2">
      <c r="F1537"/>
    </row>
    <row r="1538" spans="6:6" x14ac:dyDescent="0.2">
      <c r="F1538"/>
    </row>
    <row r="1539" spans="6:6" x14ac:dyDescent="0.2">
      <c r="F1539"/>
    </row>
    <row r="1540" spans="6:6" x14ac:dyDescent="0.2">
      <c r="F1540"/>
    </row>
    <row r="1541" spans="6:6" x14ac:dyDescent="0.2">
      <c r="F1541"/>
    </row>
    <row r="1542" spans="6:6" x14ac:dyDescent="0.2">
      <c r="F1542"/>
    </row>
    <row r="1543" spans="6:6" x14ac:dyDescent="0.2">
      <c r="F1543"/>
    </row>
    <row r="1544" spans="6:6" x14ac:dyDescent="0.2">
      <c r="F1544"/>
    </row>
    <row r="1545" spans="6:6" x14ac:dyDescent="0.2">
      <c r="F1545"/>
    </row>
    <row r="1546" spans="6:6" x14ac:dyDescent="0.2">
      <c r="F1546"/>
    </row>
    <row r="1547" spans="6:6" x14ac:dyDescent="0.2">
      <c r="F1547"/>
    </row>
    <row r="1548" spans="6:6" x14ac:dyDescent="0.2">
      <c r="F1548"/>
    </row>
    <row r="1549" spans="6:6" x14ac:dyDescent="0.2">
      <c r="F1549"/>
    </row>
    <row r="1550" spans="6:6" x14ac:dyDescent="0.2">
      <c r="F1550"/>
    </row>
    <row r="1551" spans="6:6" x14ac:dyDescent="0.2">
      <c r="F1551"/>
    </row>
    <row r="1552" spans="6:6" x14ac:dyDescent="0.2">
      <c r="F1552"/>
    </row>
    <row r="1553" spans="6:6" x14ac:dyDescent="0.2">
      <c r="F1553"/>
    </row>
    <row r="1554" spans="6:6" x14ac:dyDescent="0.2">
      <c r="F1554"/>
    </row>
    <row r="1555" spans="6:6" x14ac:dyDescent="0.2">
      <c r="F1555"/>
    </row>
    <row r="1556" spans="6:6" x14ac:dyDescent="0.2">
      <c r="F1556"/>
    </row>
    <row r="1557" spans="6:6" x14ac:dyDescent="0.2">
      <c r="F1557"/>
    </row>
    <row r="1558" spans="6:6" x14ac:dyDescent="0.2">
      <c r="F1558"/>
    </row>
    <row r="1559" spans="6:6" x14ac:dyDescent="0.2">
      <c r="F1559"/>
    </row>
    <row r="1560" spans="6:6" x14ac:dyDescent="0.2">
      <c r="F1560"/>
    </row>
    <row r="1561" spans="6:6" x14ac:dyDescent="0.2">
      <c r="F1561"/>
    </row>
    <row r="1562" spans="6:6" x14ac:dyDescent="0.2">
      <c r="F1562"/>
    </row>
    <row r="1563" spans="6:6" x14ac:dyDescent="0.2">
      <c r="F1563"/>
    </row>
    <row r="1564" spans="6:6" x14ac:dyDescent="0.2">
      <c r="F1564"/>
    </row>
    <row r="1565" spans="6:6" x14ac:dyDescent="0.2">
      <c r="F1565"/>
    </row>
    <row r="1566" spans="6:6" x14ac:dyDescent="0.2">
      <c r="F1566"/>
    </row>
    <row r="1567" spans="6:6" x14ac:dyDescent="0.2">
      <c r="F1567"/>
    </row>
    <row r="1568" spans="6:6" x14ac:dyDescent="0.2">
      <c r="F1568"/>
    </row>
    <row r="1569" spans="6:6" x14ac:dyDescent="0.2">
      <c r="F1569"/>
    </row>
    <row r="1570" spans="6:6" x14ac:dyDescent="0.2">
      <c r="F1570"/>
    </row>
    <row r="1571" spans="6:6" x14ac:dyDescent="0.2">
      <c r="F1571"/>
    </row>
    <row r="1572" spans="6:6" x14ac:dyDescent="0.2">
      <c r="F1572"/>
    </row>
    <row r="1573" spans="6:6" x14ac:dyDescent="0.2">
      <c r="F1573"/>
    </row>
    <row r="1574" spans="6:6" x14ac:dyDescent="0.2">
      <c r="F1574"/>
    </row>
    <row r="1575" spans="6:6" x14ac:dyDescent="0.2">
      <c r="F1575"/>
    </row>
    <row r="1576" spans="6:6" x14ac:dyDescent="0.2">
      <c r="F1576"/>
    </row>
    <row r="1577" spans="6:6" x14ac:dyDescent="0.2">
      <c r="F1577"/>
    </row>
    <row r="1578" spans="6:6" x14ac:dyDescent="0.2">
      <c r="F1578"/>
    </row>
    <row r="1579" spans="6:6" x14ac:dyDescent="0.2">
      <c r="F1579"/>
    </row>
    <row r="1580" spans="6:6" x14ac:dyDescent="0.2">
      <c r="F1580"/>
    </row>
    <row r="1581" spans="6:6" x14ac:dyDescent="0.2">
      <c r="F1581"/>
    </row>
    <row r="1582" spans="6:6" x14ac:dyDescent="0.2">
      <c r="F1582"/>
    </row>
    <row r="1583" spans="6:6" x14ac:dyDescent="0.2">
      <c r="F1583"/>
    </row>
    <row r="1584" spans="6:6" x14ac:dyDescent="0.2">
      <c r="F1584"/>
    </row>
    <row r="1585" spans="6:6" x14ac:dyDescent="0.2">
      <c r="F1585"/>
    </row>
    <row r="1586" spans="6:6" x14ac:dyDescent="0.2">
      <c r="F1586"/>
    </row>
    <row r="1587" spans="6:6" x14ac:dyDescent="0.2">
      <c r="F1587"/>
    </row>
    <row r="1588" spans="6:6" x14ac:dyDescent="0.2">
      <c r="F1588"/>
    </row>
    <row r="1589" spans="6:6" x14ac:dyDescent="0.2">
      <c r="F1589"/>
    </row>
    <row r="1590" spans="6:6" x14ac:dyDescent="0.2">
      <c r="F1590"/>
    </row>
    <row r="1591" spans="6:6" x14ac:dyDescent="0.2">
      <c r="F1591"/>
    </row>
    <row r="1592" spans="6:6" x14ac:dyDescent="0.2">
      <c r="F1592"/>
    </row>
    <row r="1593" spans="6:6" x14ac:dyDescent="0.2">
      <c r="F1593"/>
    </row>
    <row r="1594" spans="6:6" x14ac:dyDescent="0.2">
      <c r="F1594"/>
    </row>
    <row r="1595" spans="6:6" x14ac:dyDescent="0.2">
      <c r="F1595"/>
    </row>
    <row r="1596" spans="6:6" x14ac:dyDescent="0.2">
      <c r="F1596"/>
    </row>
    <row r="1597" spans="6:6" x14ac:dyDescent="0.2">
      <c r="F1597"/>
    </row>
    <row r="1598" spans="6:6" x14ac:dyDescent="0.2">
      <c r="F1598"/>
    </row>
    <row r="1599" spans="6:6" x14ac:dyDescent="0.2">
      <c r="F1599"/>
    </row>
    <row r="1600" spans="6:6" x14ac:dyDescent="0.2">
      <c r="F1600"/>
    </row>
    <row r="1601" spans="6:6" x14ac:dyDescent="0.2">
      <c r="F1601"/>
    </row>
    <row r="1602" spans="6:6" x14ac:dyDescent="0.2">
      <c r="F1602"/>
    </row>
    <row r="1603" spans="6:6" x14ac:dyDescent="0.2">
      <c r="F1603"/>
    </row>
    <row r="1604" spans="6:6" x14ac:dyDescent="0.2">
      <c r="F1604"/>
    </row>
    <row r="1605" spans="6:6" x14ac:dyDescent="0.2">
      <c r="F1605"/>
    </row>
    <row r="1606" spans="6:6" x14ac:dyDescent="0.2">
      <c r="F1606"/>
    </row>
    <row r="1607" spans="6:6" x14ac:dyDescent="0.2">
      <c r="F1607"/>
    </row>
    <row r="1608" spans="6:6" x14ac:dyDescent="0.2">
      <c r="F1608"/>
    </row>
    <row r="1609" spans="6:6" x14ac:dyDescent="0.2">
      <c r="F1609"/>
    </row>
    <row r="1610" spans="6:6" x14ac:dyDescent="0.2">
      <c r="F1610"/>
    </row>
    <row r="1611" spans="6:6" x14ac:dyDescent="0.2">
      <c r="F1611"/>
    </row>
    <row r="1612" spans="6:6" x14ac:dyDescent="0.2">
      <c r="F1612"/>
    </row>
    <row r="1613" spans="6:6" x14ac:dyDescent="0.2">
      <c r="F1613"/>
    </row>
    <row r="1614" spans="6:6" x14ac:dyDescent="0.2">
      <c r="F1614"/>
    </row>
    <row r="1615" spans="6:6" x14ac:dyDescent="0.2">
      <c r="F1615"/>
    </row>
    <row r="1616" spans="6:6" x14ac:dyDescent="0.2">
      <c r="F1616"/>
    </row>
    <row r="1617" spans="6:6" x14ac:dyDescent="0.2">
      <c r="F1617"/>
    </row>
    <row r="1618" spans="6:6" x14ac:dyDescent="0.2">
      <c r="F1618"/>
    </row>
    <row r="1619" spans="6:6" x14ac:dyDescent="0.2">
      <c r="F1619"/>
    </row>
    <row r="1620" spans="6:6" x14ac:dyDescent="0.2">
      <c r="F1620"/>
    </row>
    <row r="1621" spans="6:6" x14ac:dyDescent="0.2">
      <c r="F1621"/>
    </row>
    <row r="1622" spans="6:6" x14ac:dyDescent="0.2">
      <c r="F1622"/>
    </row>
    <row r="1623" spans="6:6" x14ac:dyDescent="0.2">
      <c r="F1623"/>
    </row>
    <row r="1624" spans="6:6" x14ac:dyDescent="0.2">
      <c r="F1624"/>
    </row>
    <row r="1625" spans="6:6" x14ac:dyDescent="0.2">
      <c r="F1625"/>
    </row>
    <row r="1626" spans="6:6" x14ac:dyDescent="0.2">
      <c r="F1626"/>
    </row>
    <row r="1627" spans="6:6" x14ac:dyDescent="0.2">
      <c r="F1627"/>
    </row>
    <row r="1628" spans="6:6" x14ac:dyDescent="0.2">
      <c r="F1628"/>
    </row>
    <row r="1629" spans="6:6" x14ac:dyDescent="0.2">
      <c r="F1629"/>
    </row>
    <row r="1630" spans="6:6" x14ac:dyDescent="0.2">
      <c r="F1630"/>
    </row>
    <row r="1631" spans="6:6" x14ac:dyDescent="0.2">
      <c r="F1631"/>
    </row>
    <row r="1632" spans="6:6" x14ac:dyDescent="0.2">
      <c r="F1632"/>
    </row>
    <row r="1633" spans="6:6" x14ac:dyDescent="0.2">
      <c r="F1633"/>
    </row>
    <row r="1634" spans="6:6" x14ac:dyDescent="0.2">
      <c r="F1634"/>
    </row>
    <row r="1635" spans="6:6" x14ac:dyDescent="0.2">
      <c r="F1635"/>
    </row>
    <row r="1636" spans="6:6" x14ac:dyDescent="0.2">
      <c r="F1636"/>
    </row>
    <row r="1637" spans="6:6" x14ac:dyDescent="0.2">
      <c r="F1637"/>
    </row>
    <row r="1638" spans="6:6" x14ac:dyDescent="0.2">
      <c r="F1638"/>
    </row>
    <row r="1639" spans="6:6" x14ac:dyDescent="0.2">
      <c r="F1639"/>
    </row>
    <row r="1640" spans="6:6" x14ac:dyDescent="0.2">
      <c r="F1640"/>
    </row>
    <row r="1641" spans="6:6" x14ac:dyDescent="0.2">
      <c r="F1641"/>
    </row>
    <row r="1642" spans="6:6" x14ac:dyDescent="0.2">
      <c r="F1642"/>
    </row>
    <row r="1643" spans="6:6" x14ac:dyDescent="0.2">
      <c r="F1643"/>
    </row>
    <row r="1644" spans="6:6" x14ac:dyDescent="0.2">
      <c r="F1644"/>
    </row>
    <row r="1645" spans="6:6" x14ac:dyDescent="0.2">
      <c r="F1645"/>
    </row>
    <row r="1646" spans="6:6" x14ac:dyDescent="0.2">
      <c r="F1646"/>
    </row>
    <row r="1647" spans="6:6" x14ac:dyDescent="0.2">
      <c r="F1647"/>
    </row>
    <row r="1648" spans="6:6" x14ac:dyDescent="0.2">
      <c r="F1648"/>
    </row>
    <row r="1649" spans="6:6" x14ac:dyDescent="0.2">
      <c r="F1649"/>
    </row>
    <row r="1650" spans="6:6" x14ac:dyDescent="0.2">
      <c r="F1650"/>
    </row>
    <row r="1651" spans="6:6" x14ac:dyDescent="0.2">
      <c r="F1651"/>
    </row>
    <row r="1652" spans="6:6" x14ac:dyDescent="0.2">
      <c r="F1652"/>
    </row>
    <row r="1653" spans="6:6" x14ac:dyDescent="0.2">
      <c r="F1653"/>
    </row>
    <row r="1654" spans="6:6" x14ac:dyDescent="0.2">
      <c r="F1654"/>
    </row>
    <row r="1655" spans="6:6" x14ac:dyDescent="0.2">
      <c r="F1655"/>
    </row>
    <row r="1656" spans="6:6" x14ac:dyDescent="0.2">
      <c r="F1656"/>
    </row>
    <row r="1657" spans="6:6" x14ac:dyDescent="0.2">
      <c r="F1657"/>
    </row>
    <row r="1658" spans="6:6" x14ac:dyDescent="0.2">
      <c r="F1658"/>
    </row>
    <row r="1659" spans="6:6" x14ac:dyDescent="0.2">
      <c r="F1659"/>
    </row>
    <row r="1660" spans="6:6" x14ac:dyDescent="0.2">
      <c r="F1660"/>
    </row>
    <row r="1661" spans="6:6" x14ac:dyDescent="0.2">
      <c r="F1661"/>
    </row>
    <row r="1662" spans="6:6" x14ac:dyDescent="0.2">
      <c r="F1662"/>
    </row>
    <row r="1663" spans="6:6" x14ac:dyDescent="0.2">
      <c r="F1663"/>
    </row>
    <row r="1664" spans="6:6" x14ac:dyDescent="0.2">
      <c r="F1664"/>
    </row>
    <row r="1665" spans="6:6" x14ac:dyDescent="0.2">
      <c r="F1665"/>
    </row>
    <row r="1666" spans="6:6" x14ac:dyDescent="0.2">
      <c r="F1666"/>
    </row>
    <row r="1667" spans="6:6" x14ac:dyDescent="0.2">
      <c r="F1667"/>
    </row>
    <row r="1668" spans="6:6" x14ac:dyDescent="0.2">
      <c r="F1668"/>
    </row>
    <row r="1669" spans="6:6" x14ac:dyDescent="0.2">
      <c r="F1669"/>
    </row>
    <row r="1670" spans="6:6" x14ac:dyDescent="0.2">
      <c r="F1670"/>
    </row>
    <row r="1671" spans="6:6" x14ac:dyDescent="0.2">
      <c r="F1671"/>
    </row>
    <row r="1672" spans="6:6" x14ac:dyDescent="0.2">
      <c r="F1672"/>
    </row>
    <row r="1673" spans="6:6" x14ac:dyDescent="0.2">
      <c r="F1673"/>
    </row>
    <row r="1674" spans="6:6" x14ac:dyDescent="0.2">
      <c r="F1674"/>
    </row>
    <row r="1675" spans="6:6" x14ac:dyDescent="0.2">
      <c r="F1675"/>
    </row>
    <row r="1676" spans="6:6" x14ac:dyDescent="0.2">
      <c r="F1676"/>
    </row>
    <row r="1677" spans="6:6" x14ac:dyDescent="0.2">
      <c r="F1677"/>
    </row>
    <row r="1678" spans="6:6" x14ac:dyDescent="0.2">
      <c r="F1678"/>
    </row>
    <row r="1679" spans="6:6" x14ac:dyDescent="0.2">
      <c r="F1679"/>
    </row>
    <row r="1680" spans="6:6" x14ac:dyDescent="0.2">
      <c r="F1680"/>
    </row>
    <row r="1681" spans="6:6" x14ac:dyDescent="0.2">
      <c r="F1681"/>
    </row>
    <row r="1682" spans="6:6" x14ac:dyDescent="0.2">
      <c r="F1682"/>
    </row>
    <row r="1683" spans="6:6" x14ac:dyDescent="0.2">
      <c r="F1683"/>
    </row>
    <row r="1684" spans="6:6" x14ac:dyDescent="0.2">
      <c r="F1684"/>
    </row>
    <row r="1685" spans="6:6" x14ac:dyDescent="0.2">
      <c r="F1685"/>
    </row>
    <row r="1686" spans="6:6" x14ac:dyDescent="0.2">
      <c r="F1686"/>
    </row>
    <row r="1687" spans="6:6" x14ac:dyDescent="0.2">
      <c r="F1687"/>
    </row>
    <row r="1688" spans="6:6" x14ac:dyDescent="0.2">
      <c r="F1688"/>
    </row>
    <row r="1689" spans="6:6" x14ac:dyDescent="0.2">
      <c r="F1689"/>
    </row>
    <row r="1690" spans="6:6" x14ac:dyDescent="0.2">
      <c r="F1690"/>
    </row>
    <row r="1691" spans="6:6" x14ac:dyDescent="0.2">
      <c r="F1691"/>
    </row>
    <row r="1692" spans="6:6" x14ac:dyDescent="0.2">
      <c r="F1692"/>
    </row>
    <row r="1693" spans="6:6" x14ac:dyDescent="0.2">
      <c r="F1693"/>
    </row>
    <row r="1694" spans="6:6" x14ac:dyDescent="0.2">
      <c r="F1694"/>
    </row>
    <row r="1695" spans="6:6" x14ac:dyDescent="0.2">
      <c r="F1695"/>
    </row>
    <row r="1696" spans="6:6" x14ac:dyDescent="0.2">
      <c r="F1696"/>
    </row>
    <row r="1697" spans="6:6" x14ac:dyDescent="0.2">
      <c r="F1697"/>
    </row>
    <row r="1698" spans="6:6" x14ac:dyDescent="0.2">
      <c r="F1698"/>
    </row>
    <row r="1699" spans="6:6" x14ac:dyDescent="0.2">
      <c r="F1699"/>
    </row>
    <row r="1700" spans="6:6" x14ac:dyDescent="0.2">
      <c r="F1700"/>
    </row>
    <row r="1701" spans="6:6" x14ac:dyDescent="0.2">
      <c r="F1701"/>
    </row>
    <row r="1702" spans="6:6" x14ac:dyDescent="0.2">
      <c r="F1702"/>
    </row>
    <row r="1703" spans="6:6" x14ac:dyDescent="0.2">
      <c r="F1703"/>
    </row>
    <row r="1704" spans="6:6" x14ac:dyDescent="0.2">
      <c r="F1704"/>
    </row>
    <row r="1705" spans="6:6" x14ac:dyDescent="0.2">
      <c r="F1705"/>
    </row>
    <row r="1706" spans="6:6" x14ac:dyDescent="0.2">
      <c r="F1706"/>
    </row>
    <row r="1707" spans="6:6" x14ac:dyDescent="0.2">
      <c r="F1707"/>
    </row>
    <row r="1708" spans="6:6" x14ac:dyDescent="0.2">
      <c r="F1708"/>
    </row>
    <row r="1709" spans="6:6" x14ac:dyDescent="0.2">
      <c r="F1709"/>
    </row>
    <row r="1710" spans="6:6" x14ac:dyDescent="0.2">
      <c r="F1710"/>
    </row>
    <row r="1711" spans="6:6" x14ac:dyDescent="0.2">
      <c r="F1711"/>
    </row>
    <row r="1712" spans="6:6" x14ac:dyDescent="0.2">
      <c r="F1712"/>
    </row>
    <row r="1713" spans="6:6" x14ac:dyDescent="0.2">
      <c r="F1713"/>
    </row>
    <row r="1714" spans="6:6" x14ac:dyDescent="0.2">
      <c r="F1714"/>
    </row>
    <row r="1715" spans="6:6" x14ac:dyDescent="0.2">
      <c r="F1715"/>
    </row>
    <row r="1716" spans="6:6" x14ac:dyDescent="0.2">
      <c r="F1716"/>
    </row>
    <row r="1717" spans="6:6" x14ac:dyDescent="0.2">
      <c r="F1717"/>
    </row>
    <row r="1718" spans="6:6" x14ac:dyDescent="0.2">
      <c r="F1718"/>
    </row>
    <row r="1719" spans="6:6" x14ac:dyDescent="0.2">
      <c r="F1719"/>
    </row>
    <row r="1720" spans="6:6" x14ac:dyDescent="0.2">
      <c r="F1720"/>
    </row>
    <row r="1721" spans="6:6" x14ac:dyDescent="0.2">
      <c r="F1721"/>
    </row>
    <row r="1722" spans="6:6" x14ac:dyDescent="0.2">
      <c r="F1722"/>
    </row>
    <row r="1723" spans="6:6" x14ac:dyDescent="0.2">
      <c r="F1723"/>
    </row>
    <row r="1724" spans="6:6" x14ac:dyDescent="0.2">
      <c r="F1724"/>
    </row>
    <row r="1725" spans="6:6" x14ac:dyDescent="0.2">
      <c r="F1725"/>
    </row>
    <row r="1726" spans="6:6" x14ac:dyDescent="0.2">
      <c r="F1726"/>
    </row>
    <row r="1727" spans="6:6" x14ac:dyDescent="0.2">
      <c r="F1727"/>
    </row>
    <row r="1728" spans="6:6" x14ac:dyDescent="0.2">
      <c r="F1728"/>
    </row>
    <row r="1729" spans="6:6" x14ac:dyDescent="0.2">
      <c r="F1729"/>
    </row>
    <row r="1730" spans="6:6" x14ac:dyDescent="0.2">
      <c r="F1730"/>
    </row>
    <row r="1731" spans="6:6" x14ac:dyDescent="0.2">
      <c r="F1731"/>
    </row>
    <row r="1732" spans="6:6" x14ac:dyDescent="0.2">
      <c r="F1732"/>
    </row>
    <row r="1733" spans="6:6" x14ac:dyDescent="0.2">
      <c r="F1733"/>
    </row>
    <row r="1734" spans="6:6" x14ac:dyDescent="0.2">
      <c r="F1734"/>
    </row>
    <row r="1735" spans="6:6" x14ac:dyDescent="0.2">
      <c r="F1735"/>
    </row>
    <row r="1736" spans="6:6" x14ac:dyDescent="0.2">
      <c r="F1736"/>
    </row>
    <row r="1737" spans="6:6" x14ac:dyDescent="0.2">
      <c r="F1737"/>
    </row>
    <row r="1738" spans="6:6" x14ac:dyDescent="0.2">
      <c r="F1738"/>
    </row>
    <row r="1739" spans="6:6" x14ac:dyDescent="0.2">
      <c r="F1739"/>
    </row>
    <row r="1740" spans="6:6" x14ac:dyDescent="0.2">
      <c r="F1740"/>
    </row>
    <row r="1741" spans="6:6" x14ac:dyDescent="0.2">
      <c r="F1741"/>
    </row>
    <row r="1742" spans="6:6" x14ac:dyDescent="0.2">
      <c r="F1742"/>
    </row>
    <row r="1743" spans="6:6" x14ac:dyDescent="0.2">
      <c r="F1743"/>
    </row>
    <row r="1744" spans="6:6" x14ac:dyDescent="0.2">
      <c r="F1744"/>
    </row>
    <row r="1745" spans="6:6" x14ac:dyDescent="0.2">
      <c r="F1745"/>
    </row>
    <row r="1746" spans="6:6" x14ac:dyDescent="0.2">
      <c r="F1746"/>
    </row>
    <row r="1747" spans="6:6" x14ac:dyDescent="0.2">
      <c r="F1747"/>
    </row>
    <row r="1748" spans="6:6" x14ac:dyDescent="0.2">
      <c r="F1748"/>
    </row>
    <row r="1749" spans="6:6" x14ac:dyDescent="0.2">
      <c r="F1749"/>
    </row>
    <row r="1750" spans="6:6" x14ac:dyDescent="0.2">
      <c r="F1750"/>
    </row>
    <row r="1751" spans="6:6" x14ac:dyDescent="0.2">
      <c r="F1751"/>
    </row>
    <row r="1752" spans="6:6" x14ac:dyDescent="0.2">
      <c r="F1752"/>
    </row>
    <row r="1753" spans="6:6" x14ac:dyDescent="0.2">
      <c r="F1753"/>
    </row>
    <row r="1754" spans="6:6" x14ac:dyDescent="0.2">
      <c r="F1754"/>
    </row>
    <row r="1755" spans="6:6" x14ac:dyDescent="0.2">
      <c r="F1755"/>
    </row>
    <row r="1756" spans="6:6" x14ac:dyDescent="0.2">
      <c r="F1756"/>
    </row>
    <row r="1757" spans="6:6" x14ac:dyDescent="0.2">
      <c r="F1757"/>
    </row>
    <row r="1758" spans="6:6" x14ac:dyDescent="0.2">
      <c r="F1758"/>
    </row>
    <row r="1759" spans="6:6" x14ac:dyDescent="0.2">
      <c r="F1759"/>
    </row>
    <row r="1760" spans="6:6" x14ac:dyDescent="0.2">
      <c r="F1760"/>
    </row>
    <row r="1761" spans="6:6" x14ac:dyDescent="0.2">
      <c r="F1761"/>
    </row>
    <row r="1762" spans="6:6" x14ac:dyDescent="0.2">
      <c r="F1762"/>
    </row>
    <row r="1763" spans="6:6" x14ac:dyDescent="0.2">
      <c r="F1763"/>
    </row>
    <row r="1764" spans="6:6" x14ac:dyDescent="0.2">
      <c r="F1764"/>
    </row>
    <row r="1765" spans="6:6" x14ac:dyDescent="0.2">
      <c r="F1765"/>
    </row>
    <row r="1766" spans="6:6" x14ac:dyDescent="0.2">
      <c r="F1766"/>
    </row>
    <row r="1767" spans="6:6" x14ac:dyDescent="0.2">
      <c r="F1767"/>
    </row>
    <row r="1768" spans="6:6" x14ac:dyDescent="0.2">
      <c r="F1768"/>
    </row>
    <row r="1769" spans="6:6" x14ac:dyDescent="0.2">
      <c r="F1769"/>
    </row>
    <row r="1770" spans="6:6" x14ac:dyDescent="0.2">
      <c r="F1770"/>
    </row>
    <row r="1771" spans="6:6" x14ac:dyDescent="0.2">
      <c r="F1771"/>
    </row>
    <row r="1772" spans="6:6" x14ac:dyDescent="0.2">
      <c r="F1772"/>
    </row>
    <row r="1773" spans="6:6" x14ac:dyDescent="0.2">
      <c r="F1773"/>
    </row>
    <row r="1774" spans="6:6" x14ac:dyDescent="0.2">
      <c r="F1774"/>
    </row>
    <row r="1775" spans="6:6" x14ac:dyDescent="0.2">
      <c r="F1775"/>
    </row>
    <row r="1776" spans="6:6" x14ac:dyDescent="0.2">
      <c r="F1776"/>
    </row>
    <row r="1777" spans="6:6" x14ac:dyDescent="0.2">
      <c r="F1777"/>
    </row>
    <row r="1778" spans="6:6" x14ac:dyDescent="0.2">
      <c r="F1778"/>
    </row>
    <row r="1779" spans="6:6" x14ac:dyDescent="0.2">
      <c r="F1779"/>
    </row>
    <row r="1780" spans="6:6" x14ac:dyDescent="0.2">
      <c r="F1780"/>
    </row>
    <row r="1781" spans="6:6" x14ac:dyDescent="0.2">
      <c r="F1781"/>
    </row>
    <row r="1782" spans="6:6" x14ac:dyDescent="0.2">
      <c r="F1782"/>
    </row>
    <row r="1783" spans="6:6" x14ac:dyDescent="0.2">
      <c r="F1783"/>
    </row>
    <row r="1784" spans="6:6" x14ac:dyDescent="0.2">
      <c r="F1784"/>
    </row>
    <row r="1785" spans="6:6" x14ac:dyDescent="0.2">
      <c r="F1785"/>
    </row>
    <row r="1786" spans="6:6" x14ac:dyDescent="0.2">
      <c r="F1786"/>
    </row>
    <row r="1787" spans="6:6" x14ac:dyDescent="0.2">
      <c r="F1787"/>
    </row>
    <row r="1788" spans="6:6" x14ac:dyDescent="0.2">
      <c r="F1788"/>
    </row>
    <row r="1789" spans="6:6" x14ac:dyDescent="0.2">
      <c r="F1789"/>
    </row>
    <row r="1790" spans="6:6" x14ac:dyDescent="0.2">
      <c r="F1790"/>
    </row>
    <row r="1791" spans="6:6" x14ac:dyDescent="0.2">
      <c r="F1791"/>
    </row>
    <row r="1792" spans="6:6" x14ac:dyDescent="0.2">
      <c r="F1792"/>
    </row>
    <row r="1793" spans="6:6" x14ac:dyDescent="0.2">
      <c r="F1793"/>
    </row>
    <row r="1794" spans="6:6" x14ac:dyDescent="0.2">
      <c r="F1794"/>
    </row>
    <row r="1795" spans="6:6" x14ac:dyDescent="0.2">
      <c r="F1795"/>
    </row>
    <row r="1796" spans="6:6" x14ac:dyDescent="0.2">
      <c r="F1796"/>
    </row>
    <row r="1797" spans="6:6" x14ac:dyDescent="0.2">
      <c r="F1797"/>
    </row>
    <row r="1798" spans="6:6" x14ac:dyDescent="0.2">
      <c r="F1798"/>
    </row>
    <row r="1799" spans="6:6" x14ac:dyDescent="0.2">
      <c r="F1799"/>
    </row>
    <row r="1800" spans="6:6" x14ac:dyDescent="0.2">
      <c r="F1800"/>
    </row>
    <row r="1801" spans="6:6" x14ac:dyDescent="0.2">
      <c r="F1801"/>
    </row>
    <row r="1802" spans="6:6" x14ac:dyDescent="0.2">
      <c r="F1802"/>
    </row>
    <row r="1803" spans="6:6" x14ac:dyDescent="0.2">
      <c r="F1803"/>
    </row>
    <row r="1804" spans="6:6" x14ac:dyDescent="0.2">
      <c r="F1804"/>
    </row>
    <row r="1805" spans="6:6" x14ac:dyDescent="0.2">
      <c r="F1805"/>
    </row>
    <row r="1806" spans="6:6" x14ac:dyDescent="0.2">
      <c r="F1806"/>
    </row>
    <row r="1807" spans="6:6" x14ac:dyDescent="0.2">
      <c r="F1807"/>
    </row>
    <row r="1808" spans="6:6" x14ac:dyDescent="0.2">
      <c r="F1808"/>
    </row>
    <row r="1809" spans="6:6" x14ac:dyDescent="0.2">
      <c r="F1809"/>
    </row>
    <row r="1810" spans="6:6" x14ac:dyDescent="0.2">
      <c r="F1810"/>
    </row>
    <row r="1811" spans="6:6" x14ac:dyDescent="0.2">
      <c r="F1811"/>
    </row>
    <row r="1812" spans="6:6" x14ac:dyDescent="0.2">
      <c r="F1812"/>
    </row>
    <row r="1813" spans="6:6" x14ac:dyDescent="0.2">
      <c r="F1813"/>
    </row>
    <row r="1814" spans="6:6" x14ac:dyDescent="0.2">
      <c r="F1814"/>
    </row>
    <row r="1815" spans="6:6" x14ac:dyDescent="0.2">
      <c r="F1815"/>
    </row>
    <row r="1816" spans="6:6" x14ac:dyDescent="0.2">
      <c r="F1816"/>
    </row>
    <row r="1817" spans="6:6" x14ac:dyDescent="0.2">
      <c r="F1817"/>
    </row>
    <row r="1818" spans="6:6" x14ac:dyDescent="0.2">
      <c r="F1818"/>
    </row>
    <row r="1819" spans="6:6" x14ac:dyDescent="0.2">
      <c r="F1819"/>
    </row>
    <row r="1820" spans="6:6" x14ac:dyDescent="0.2">
      <c r="F1820"/>
    </row>
    <row r="1821" spans="6:6" x14ac:dyDescent="0.2">
      <c r="F1821"/>
    </row>
    <row r="1822" spans="6:6" x14ac:dyDescent="0.2">
      <c r="F1822"/>
    </row>
    <row r="1823" spans="6:6" x14ac:dyDescent="0.2">
      <c r="F1823"/>
    </row>
    <row r="1824" spans="6:6" x14ac:dyDescent="0.2">
      <c r="F1824"/>
    </row>
    <row r="1825" spans="6:6" x14ac:dyDescent="0.2">
      <c r="F1825"/>
    </row>
    <row r="1826" spans="6:6" x14ac:dyDescent="0.2">
      <c r="F1826"/>
    </row>
    <row r="1827" spans="6:6" x14ac:dyDescent="0.2">
      <c r="F1827"/>
    </row>
    <row r="1828" spans="6:6" x14ac:dyDescent="0.2">
      <c r="F1828"/>
    </row>
    <row r="1829" spans="6:6" x14ac:dyDescent="0.2">
      <c r="F1829"/>
    </row>
    <row r="1830" spans="6:6" x14ac:dyDescent="0.2">
      <c r="F1830"/>
    </row>
    <row r="1831" spans="6:6" x14ac:dyDescent="0.2">
      <c r="F1831"/>
    </row>
    <row r="1832" spans="6:6" x14ac:dyDescent="0.2">
      <c r="F1832"/>
    </row>
    <row r="1833" spans="6:6" x14ac:dyDescent="0.2">
      <c r="F1833"/>
    </row>
    <row r="1834" spans="6:6" x14ac:dyDescent="0.2">
      <c r="F1834"/>
    </row>
    <row r="1835" spans="6:6" x14ac:dyDescent="0.2">
      <c r="F1835"/>
    </row>
    <row r="1836" spans="6:6" x14ac:dyDescent="0.2">
      <c r="F1836"/>
    </row>
    <row r="1837" spans="6:6" x14ac:dyDescent="0.2">
      <c r="F1837"/>
    </row>
    <row r="1838" spans="6:6" x14ac:dyDescent="0.2">
      <c r="F1838"/>
    </row>
    <row r="1839" spans="6:6" x14ac:dyDescent="0.2">
      <c r="F1839"/>
    </row>
    <row r="1840" spans="6:6" x14ac:dyDescent="0.2">
      <c r="F1840"/>
    </row>
    <row r="1841" spans="6:6" x14ac:dyDescent="0.2">
      <c r="F1841"/>
    </row>
    <row r="1842" spans="6:6" x14ac:dyDescent="0.2">
      <c r="F1842"/>
    </row>
    <row r="1843" spans="6:6" x14ac:dyDescent="0.2">
      <c r="F1843"/>
    </row>
    <row r="1844" spans="6:6" x14ac:dyDescent="0.2">
      <c r="F1844"/>
    </row>
    <row r="1845" spans="6:6" x14ac:dyDescent="0.2">
      <c r="F1845"/>
    </row>
    <row r="1846" spans="6:6" x14ac:dyDescent="0.2">
      <c r="F1846"/>
    </row>
    <row r="1847" spans="6:6" x14ac:dyDescent="0.2">
      <c r="F1847"/>
    </row>
    <row r="1848" spans="6:6" x14ac:dyDescent="0.2">
      <c r="F1848"/>
    </row>
    <row r="1849" spans="6:6" x14ac:dyDescent="0.2">
      <c r="F1849"/>
    </row>
    <row r="1850" spans="6:6" x14ac:dyDescent="0.2">
      <c r="F1850"/>
    </row>
    <row r="1851" spans="6:6" x14ac:dyDescent="0.2">
      <c r="F1851"/>
    </row>
    <row r="1852" spans="6:6" x14ac:dyDescent="0.2">
      <c r="F1852"/>
    </row>
    <row r="1853" spans="6:6" x14ac:dyDescent="0.2">
      <c r="F1853"/>
    </row>
    <row r="1854" spans="6:6" x14ac:dyDescent="0.2">
      <c r="F1854"/>
    </row>
    <row r="1855" spans="6:6" x14ac:dyDescent="0.2">
      <c r="F1855"/>
    </row>
    <row r="1856" spans="6:6" x14ac:dyDescent="0.2">
      <c r="F1856"/>
    </row>
    <row r="1857" spans="6:6" x14ac:dyDescent="0.2">
      <c r="F1857"/>
    </row>
    <row r="1858" spans="6:6" x14ac:dyDescent="0.2">
      <c r="F1858"/>
    </row>
    <row r="1859" spans="6:6" x14ac:dyDescent="0.2">
      <c r="F1859"/>
    </row>
    <row r="1860" spans="6:6" x14ac:dyDescent="0.2">
      <c r="F1860"/>
    </row>
    <row r="1861" spans="6:6" x14ac:dyDescent="0.2">
      <c r="F1861"/>
    </row>
    <row r="1862" spans="6:6" x14ac:dyDescent="0.2">
      <c r="F1862"/>
    </row>
    <row r="1863" spans="6:6" x14ac:dyDescent="0.2">
      <c r="F1863"/>
    </row>
    <row r="1864" spans="6:6" x14ac:dyDescent="0.2">
      <c r="F1864"/>
    </row>
    <row r="1865" spans="6:6" x14ac:dyDescent="0.2">
      <c r="F1865"/>
    </row>
    <row r="1866" spans="6:6" x14ac:dyDescent="0.2">
      <c r="F1866"/>
    </row>
    <row r="1867" spans="6:6" x14ac:dyDescent="0.2">
      <c r="F1867"/>
    </row>
    <row r="1868" spans="6:6" x14ac:dyDescent="0.2">
      <c r="F1868"/>
    </row>
    <row r="1869" spans="6:6" x14ac:dyDescent="0.2">
      <c r="F1869"/>
    </row>
    <row r="1870" spans="6:6" x14ac:dyDescent="0.2">
      <c r="F1870"/>
    </row>
    <row r="1871" spans="6:6" x14ac:dyDescent="0.2">
      <c r="F1871"/>
    </row>
    <row r="1872" spans="6:6" x14ac:dyDescent="0.2">
      <c r="F1872"/>
    </row>
    <row r="1873" spans="6:6" x14ac:dyDescent="0.2">
      <c r="F1873"/>
    </row>
    <row r="1874" spans="6:6" x14ac:dyDescent="0.2">
      <c r="F1874"/>
    </row>
    <row r="1875" spans="6:6" x14ac:dyDescent="0.2">
      <c r="F1875"/>
    </row>
    <row r="1876" spans="6:6" x14ac:dyDescent="0.2">
      <c r="F1876"/>
    </row>
    <row r="1877" spans="6:6" x14ac:dyDescent="0.2">
      <c r="F1877"/>
    </row>
    <row r="1878" spans="6:6" x14ac:dyDescent="0.2">
      <c r="F1878"/>
    </row>
    <row r="1879" spans="6:6" x14ac:dyDescent="0.2">
      <c r="F1879"/>
    </row>
    <row r="1880" spans="6:6" x14ac:dyDescent="0.2">
      <c r="F1880"/>
    </row>
    <row r="1881" spans="6:6" x14ac:dyDescent="0.2">
      <c r="F1881"/>
    </row>
    <row r="1882" spans="6:6" x14ac:dyDescent="0.2">
      <c r="F1882"/>
    </row>
    <row r="1883" spans="6:6" x14ac:dyDescent="0.2">
      <c r="F1883"/>
    </row>
    <row r="1884" spans="6:6" x14ac:dyDescent="0.2">
      <c r="F1884"/>
    </row>
    <row r="1885" spans="6:6" x14ac:dyDescent="0.2">
      <c r="F1885"/>
    </row>
    <row r="1886" spans="6:6" x14ac:dyDescent="0.2">
      <c r="F1886"/>
    </row>
    <row r="1887" spans="6:6" x14ac:dyDescent="0.2">
      <c r="F1887"/>
    </row>
    <row r="1888" spans="6:6" x14ac:dyDescent="0.2">
      <c r="F1888"/>
    </row>
    <row r="1889" spans="6:6" x14ac:dyDescent="0.2">
      <c r="F1889"/>
    </row>
    <row r="1890" spans="6:6" x14ac:dyDescent="0.2">
      <c r="F1890"/>
    </row>
    <row r="1891" spans="6:6" x14ac:dyDescent="0.2">
      <c r="F1891"/>
    </row>
    <row r="1892" spans="6:6" x14ac:dyDescent="0.2">
      <c r="F1892"/>
    </row>
    <row r="1893" spans="6:6" x14ac:dyDescent="0.2">
      <c r="F1893"/>
    </row>
    <row r="1894" spans="6:6" x14ac:dyDescent="0.2">
      <c r="F1894"/>
    </row>
    <row r="1895" spans="6:6" x14ac:dyDescent="0.2">
      <c r="F1895"/>
    </row>
    <row r="1896" spans="6:6" x14ac:dyDescent="0.2">
      <c r="F1896"/>
    </row>
    <row r="1897" spans="6:6" x14ac:dyDescent="0.2">
      <c r="F1897"/>
    </row>
    <row r="1898" spans="6:6" x14ac:dyDescent="0.2">
      <c r="F1898"/>
    </row>
    <row r="1899" spans="6:6" x14ac:dyDescent="0.2">
      <c r="F1899"/>
    </row>
    <row r="1900" spans="6:6" x14ac:dyDescent="0.2">
      <c r="F1900"/>
    </row>
    <row r="1901" spans="6:6" x14ac:dyDescent="0.2">
      <c r="F1901"/>
    </row>
    <row r="1902" spans="6:6" x14ac:dyDescent="0.2">
      <c r="F1902"/>
    </row>
    <row r="1903" spans="6:6" x14ac:dyDescent="0.2">
      <c r="F1903"/>
    </row>
    <row r="1904" spans="6:6" x14ac:dyDescent="0.2">
      <c r="F1904"/>
    </row>
    <row r="1905" spans="6:6" x14ac:dyDescent="0.2">
      <c r="F1905"/>
    </row>
    <row r="1906" spans="6:6" x14ac:dyDescent="0.2">
      <c r="F1906"/>
    </row>
    <row r="1907" spans="6:6" x14ac:dyDescent="0.2">
      <c r="F1907"/>
    </row>
    <row r="1908" spans="6:6" x14ac:dyDescent="0.2">
      <c r="F1908"/>
    </row>
    <row r="1909" spans="6:6" x14ac:dyDescent="0.2">
      <c r="F1909"/>
    </row>
    <row r="1910" spans="6:6" x14ac:dyDescent="0.2">
      <c r="F1910"/>
    </row>
    <row r="1911" spans="6:6" x14ac:dyDescent="0.2">
      <c r="F1911"/>
    </row>
    <row r="1912" spans="6:6" x14ac:dyDescent="0.2">
      <c r="F1912"/>
    </row>
    <row r="1913" spans="6:6" x14ac:dyDescent="0.2">
      <c r="F1913"/>
    </row>
    <row r="1914" spans="6:6" x14ac:dyDescent="0.2">
      <c r="F1914"/>
    </row>
    <row r="1915" spans="6:6" x14ac:dyDescent="0.2">
      <c r="F1915"/>
    </row>
    <row r="1916" spans="6:6" x14ac:dyDescent="0.2">
      <c r="F1916"/>
    </row>
    <row r="1917" spans="6:6" x14ac:dyDescent="0.2">
      <c r="F1917"/>
    </row>
    <row r="1918" spans="6:6" x14ac:dyDescent="0.2">
      <c r="F1918"/>
    </row>
    <row r="1919" spans="6:6" x14ac:dyDescent="0.2">
      <c r="F1919"/>
    </row>
    <row r="1920" spans="6:6" x14ac:dyDescent="0.2">
      <c r="F1920"/>
    </row>
    <row r="1921" spans="6:6" x14ac:dyDescent="0.2">
      <c r="F1921"/>
    </row>
    <row r="1922" spans="6:6" x14ac:dyDescent="0.2">
      <c r="F1922"/>
    </row>
    <row r="1923" spans="6:6" x14ac:dyDescent="0.2">
      <c r="F1923"/>
    </row>
    <row r="1924" spans="6:6" x14ac:dyDescent="0.2">
      <c r="F1924"/>
    </row>
    <row r="1925" spans="6:6" x14ac:dyDescent="0.2">
      <c r="F1925"/>
    </row>
    <row r="1926" spans="6:6" x14ac:dyDescent="0.2">
      <c r="F1926"/>
    </row>
    <row r="1927" spans="6:6" x14ac:dyDescent="0.2">
      <c r="F1927"/>
    </row>
    <row r="1928" spans="6:6" x14ac:dyDescent="0.2">
      <c r="F1928"/>
    </row>
    <row r="1929" spans="6:6" x14ac:dyDescent="0.2">
      <c r="F1929"/>
    </row>
    <row r="1930" spans="6:6" x14ac:dyDescent="0.2">
      <c r="F1930"/>
    </row>
    <row r="1931" spans="6:6" x14ac:dyDescent="0.2">
      <c r="F1931"/>
    </row>
    <row r="1932" spans="6:6" x14ac:dyDescent="0.2">
      <c r="F1932"/>
    </row>
    <row r="1933" spans="6:6" x14ac:dyDescent="0.2">
      <c r="F1933"/>
    </row>
    <row r="1934" spans="6:6" x14ac:dyDescent="0.2">
      <c r="F1934"/>
    </row>
    <row r="1935" spans="6:6" x14ac:dyDescent="0.2">
      <c r="F1935"/>
    </row>
    <row r="1936" spans="6:6" x14ac:dyDescent="0.2">
      <c r="F1936"/>
    </row>
    <row r="1937" spans="6:6" x14ac:dyDescent="0.2">
      <c r="F1937"/>
    </row>
    <row r="1938" spans="6:6" x14ac:dyDescent="0.2">
      <c r="F1938"/>
    </row>
    <row r="1939" spans="6:6" x14ac:dyDescent="0.2">
      <c r="F1939"/>
    </row>
    <row r="1940" spans="6:6" x14ac:dyDescent="0.2">
      <c r="F1940"/>
    </row>
    <row r="1941" spans="6:6" x14ac:dyDescent="0.2">
      <c r="F1941"/>
    </row>
    <row r="1942" spans="6:6" x14ac:dyDescent="0.2">
      <c r="F1942"/>
    </row>
    <row r="1943" spans="6:6" x14ac:dyDescent="0.2">
      <c r="F1943"/>
    </row>
    <row r="1944" spans="6:6" x14ac:dyDescent="0.2">
      <c r="F1944"/>
    </row>
    <row r="1945" spans="6:6" x14ac:dyDescent="0.2">
      <c r="F1945"/>
    </row>
    <row r="1946" spans="6:6" x14ac:dyDescent="0.2">
      <c r="F1946"/>
    </row>
    <row r="1947" spans="6:6" x14ac:dyDescent="0.2">
      <c r="F1947"/>
    </row>
    <row r="1948" spans="6:6" x14ac:dyDescent="0.2">
      <c r="F1948"/>
    </row>
    <row r="1949" spans="6:6" x14ac:dyDescent="0.2">
      <c r="F1949"/>
    </row>
    <row r="1950" spans="6:6" x14ac:dyDescent="0.2">
      <c r="F1950"/>
    </row>
    <row r="1951" spans="6:6" x14ac:dyDescent="0.2">
      <c r="F1951"/>
    </row>
    <row r="1952" spans="6:6" x14ac:dyDescent="0.2">
      <c r="F1952"/>
    </row>
    <row r="1953" spans="6:6" x14ac:dyDescent="0.2">
      <c r="F1953"/>
    </row>
    <row r="1954" spans="6:6" x14ac:dyDescent="0.2">
      <c r="F1954"/>
    </row>
    <row r="1955" spans="6:6" x14ac:dyDescent="0.2">
      <c r="F1955"/>
    </row>
    <row r="1956" spans="6:6" x14ac:dyDescent="0.2">
      <c r="F1956"/>
    </row>
    <row r="1957" spans="6:6" x14ac:dyDescent="0.2">
      <c r="F1957"/>
    </row>
    <row r="1958" spans="6:6" x14ac:dyDescent="0.2">
      <c r="F1958"/>
    </row>
    <row r="1959" spans="6:6" x14ac:dyDescent="0.2">
      <c r="F1959"/>
    </row>
    <row r="1960" spans="6:6" x14ac:dyDescent="0.2">
      <c r="F1960"/>
    </row>
    <row r="1961" spans="6:6" x14ac:dyDescent="0.2">
      <c r="F1961"/>
    </row>
    <row r="1962" spans="6:6" x14ac:dyDescent="0.2">
      <c r="F1962"/>
    </row>
    <row r="1963" spans="6:6" x14ac:dyDescent="0.2">
      <c r="F1963"/>
    </row>
    <row r="1964" spans="6:6" x14ac:dyDescent="0.2">
      <c r="F1964"/>
    </row>
    <row r="1965" spans="6:6" x14ac:dyDescent="0.2">
      <c r="F1965"/>
    </row>
    <row r="1966" spans="6:6" x14ac:dyDescent="0.2">
      <c r="F1966"/>
    </row>
    <row r="1967" spans="6:6" x14ac:dyDescent="0.2">
      <c r="F1967"/>
    </row>
    <row r="1968" spans="6:6" x14ac:dyDescent="0.2">
      <c r="F1968"/>
    </row>
    <row r="1969" spans="6:6" x14ac:dyDescent="0.2">
      <c r="F1969"/>
    </row>
    <row r="1970" spans="6:6" x14ac:dyDescent="0.2">
      <c r="F1970"/>
    </row>
    <row r="1971" spans="6:6" x14ac:dyDescent="0.2">
      <c r="F1971"/>
    </row>
    <row r="1972" spans="6:6" x14ac:dyDescent="0.2">
      <c r="F1972"/>
    </row>
    <row r="1973" spans="6:6" x14ac:dyDescent="0.2">
      <c r="F1973"/>
    </row>
    <row r="1974" spans="6:6" x14ac:dyDescent="0.2">
      <c r="F1974"/>
    </row>
    <row r="1975" spans="6:6" x14ac:dyDescent="0.2">
      <c r="F1975"/>
    </row>
    <row r="1976" spans="6:6" x14ac:dyDescent="0.2">
      <c r="F1976"/>
    </row>
    <row r="1977" spans="6:6" x14ac:dyDescent="0.2">
      <c r="F1977"/>
    </row>
    <row r="1978" spans="6:6" x14ac:dyDescent="0.2">
      <c r="F1978"/>
    </row>
    <row r="1979" spans="6:6" x14ac:dyDescent="0.2">
      <c r="F1979"/>
    </row>
    <row r="1980" spans="6:6" x14ac:dyDescent="0.2">
      <c r="F1980"/>
    </row>
    <row r="1981" spans="6:6" x14ac:dyDescent="0.2">
      <c r="F1981"/>
    </row>
    <row r="1982" spans="6:6" x14ac:dyDescent="0.2">
      <c r="F1982"/>
    </row>
    <row r="1983" spans="6:6" x14ac:dyDescent="0.2">
      <c r="F1983"/>
    </row>
    <row r="1984" spans="6:6" x14ac:dyDescent="0.2">
      <c r="F1984"/>
    </row>
    <row r="1985" spans="6:6" x14ac:dyDescent="0.2">
      <c r="F1985"/>
    </row>
    <row r="1986" spans="6:6" x14ac:dyDescent="0.2">
      <c r="F1986"/>
    </row>
    <row r="1987" spans="6:6" x14ac:dyDescent="0.2">
      <c r="F1987"/>
    </row>
    <row r="1988" spans="6:6" x14ac:dyDescent="0.2">
      <c r="F1988"/>
    </row>
    <row r="1989" spans="6:6" x14ac:dyDescent="0.2">
      <c r="F1989"/>
    </row>
    <row r="1990" spans="6:6" x14ac:dyDescent="0.2">
      <c r="F1990"/>
    </row>
    <row r="1991" spans="6:6" x14ac:dyDescent="0.2">
      <c r="F1991"/>
    </row>
    <row r="1992" spans="6:6" x14ac:dyDescent="0.2">
      <c r="F1992"/>
    </row>
    <row r="1993" spans="6:6" x14ac:dyDescent="0.2">
      <c r="F1993"/>
    </row>
    <row r="1994" spans="6:6" x14ac:dyDescent="0.2">
      <c r="F1994"/>
    </row>
    <row r="1995" spans="6:6" x14ac:dyDescent="0.2">
      <c r="F1995"/>
    </row>
    <row r="1996" spans="6:6" x14ac:dyDescent="0.2">
      <c r="F1996"/>
    </row>
    <row r="1997" spans="6:6" x14ac:dyDescent="0.2">
      <c r="F1997"/>
    </row>
    <row r="1998" spans="6:6" x14ac:dyDescent="0.2">
      <c r="F1998"/>
    </row>
    <row r="1999" spans="6:6" x14ac:dyDescent="0.2">
      <c r="F1999"/>
    </row>
    <row r="2000" spans="6:6" x14ac:dyDescent="0.2">
      <c r="F2000"/>
    </row>
    <row r="2001" spans="6:6" x14ac:dyDescent="0.2">
      <c r="F2001"/>
    </row>
    <row r="2002" spans="6:6" x14ac:dyDescent="0.2">
      <c r="F2002"/>
    </row>
    <row r="2003" spans="6:6" x14ac:dyDescent="0.2">
      <c r="F2003"/>
    </row>
    <row r="2004" spans="6:6" x14ac:dyDescent="0.2">
      <c r="F2004"/>
    </row>
    <row r="2005" spans="6:6" x14ac:dyDescent="0.2">
      <c r="F2005"/>
    </row>
    <row r="2006" spans="6:6" x14ac:dyDescent="0.2">
      <c r="F2006"/>
    </row>
    <row r="2007" spans="6:6" x14ac:dyDescent="0.2">
      <c r="F2007"/>
    </row>
    <row r="2008" spans="6:6" x14ac:dyDescent="0.2">
      <c r="F2008"/>
    </row>
    <row r="2009" spans="6:6" x14ac:dyDescent="0.2">
      <c r="F2009"/>
    </row>
    <row r="2010" spans="6:6" x14ac:dyDescent="0.2">
      <c r="F2010"/>
    </row>
    <row r="2011" spans="6:6" x14ac:dyDescent="0.2">
      <c r="F2011"/>
    </row>
    <row r="2012" spans="6:6" x14ac:dyDescent="0.2">
      <c r="F2012"/>
    </row>
    <row r="2013" spans="6:6" x14ac:dyDescent="0.2">
      <c r="F2013"/>
    </row>
    <row r="2014" spans="6:6" x14ac:dyDescent="0.2">
      <c r="F2014"/>
    </row>
    <row r="2015" spans="6:6" x14ac:dyDescent="0.2">
      <c r="F2015"/>
    </row>
    <row r="2016" spans="6:6" x14ac:dyDescent="0.2">
      <c r="F2016"/>
    </row>
    <row r="2017" spans="6:6" x14ac:dyDescent="0.2">
      <c r="F2017"/>
    </row>
    <row r="2018" spans="6:6" x14ac:dyDescent="0.2">
      <c r="F2018"/>
    </row>
    <row r="2019" spans="6:6" x14ac:dyDescent="0.2">
      <c r="F2019"/>
    </row>
    <row r="2020" spans="6:6" x14ac:dyDescent="0.2">
      <c r="F2020"/>
    </row>
    <row r="2021" spans="6:6" x14ac:dyDescent="0.2">
      <c r="F2021"/>
    </row>
    <row r="2022" spans="6:6" x14ac:dyDescent="0.2">
      <c r="F2022"/>
    </row>
    <row r="2023" spans="6:6" x14ac:dyDescent="0.2">
      <c r="F2023"/>
    </row>
    <row r="2024" spans="6:6" x14ac:dyDescent="0.2">
      <c r="F2024"/>
    </row>
    <row r="2025" spans="6:6" x14ac:dyDescent="0.2">
      <c r="F2025"/>
    </row>
    <row r="2026" spans="6:6" x14ac:dyDescent="0.2">
      <c r="F2026"/>
    </row>
    <row r="2027" spans="6:6" x14ac:dyDescent="0.2">
      <c r="F2027"/>
    </row>
    <row r="2028" spans="6:6" x14ac:dyDescent="0.2">
      <c r="F2028"/>
    </row>
    <row r="2029" spans="6:6" x14ac:dyDescent="0.2">
      <c r="F2029"/>
    </row>
    <row r="2030" spans="6:6" x14ac:dyDescent="0.2">
      <c r="F2030"/>
    </row>
    <row r="2031" spans="6:6" x14ac:dyDescent="0.2">
      <c r="F2031"/>
    </row>
    <row r="2032" spans="6:6" x14ac:dyDescent="0.2">
      <c r="F2032"/>
    </row>
    <row r="2033" spans="6:6" x14ac:dyDescent="0.2">
      <c r="F2033"/>
    </row>
    <row r="2034" spans="6:6" x14ac:dyDescent="0.2">
      <c r="F2034"/>
    </row>
    <row r="2035" spans="6:6" x14ac:dyDescent="0.2">
      <c r="F2035"/>
    </row>
    <row r="2036" spans="6:6" x14ac:dyDescent="0.2">
      <c r="F2036"/>
    </row>
    <row r="2037" spans="6:6" x14ac:dyDescent="0.2">
      <c r="F2037"/>
    </row>
    <row r="2038" spans="6:6" x14ac:dyDescent="0.2">
      <c r="F2038"/>
    </row>
    <row r="2039" spans="6:6" x14ac:dyDescent="0.2">
      <c r="F2039"/>
    </row>
    <row r="2040" spans="6:6" x14ac:dyDescent="0.2">
      <c r="F2040"/>
    </row>
    <row r="2041" spans="6:6" x14ac:dyDescent="0.2">
      <c r="F2041"/>
    </row>
    <row r="2042" spans="6:6" x14ac:dyDescent="0.2">
      <c r="F2042"/>
    </row>
    <row r="2043" spans="6:6" x14ac:dyDescent="0.2">
      <c r="F2043"/>
    </row>
    <row r="2044" spans="6:6" x14ac:dyDescent="0.2">
      <c r="F2044"/>
    </row>
    <row r="2045" spans="6:6" x14ac:dyDescent="0.2">
      <c r="F2045"/>
    </row>
    <row r="2046" spans="6:6" x14ac:dyDescent="0.2">
      <c r="F2046"/>
    </row>
    <row r="2047" spans="6:6" x14ac:dyDescent="0.2">
      <c r="F2047"/>
    </row>
    <row r="2048" spans="6:6" x14ac:dyDescent="0.2">
      <c r="F2048"/>
    </row>
    <row r="2049" spans="6:6" x14ac:dyDescent="0.2">
      <c r="F2049"/>
    </row>
    <row r="2050" spans="6:6" x14ac:dyDescent="0.2">
      <c r="F2050"/>
    </row>
    <row r="2051" spans="6:6" x14ac:dyDescent="0.2">
      <c r="F2051"/>
    </row>
    <row r="2052" spans="6:6" x14ac:dyDescent="0.2">
      <c r="F2052"/>
    </row>
    <row r="2053" spans="6:6" x14ac:dyDescent="0.2">
      <c r="F2053"/>
    </row>
    <row r="2054" spans="6:6" x14ac:dyDescent="0.2">
      <c r="F2054"/>
    </row>
    <row r="2055" spans="6:6" x14ac:dyDescent="0.2">
      <c r="F2055"/>
    </row>
    <row r="2056" spans="6:6" x14ac:dyDescent="0.2">
      <c r="F2056"/>
    </row>
    <row r="2057" spans="6:6" x14ac:dyDescent="0.2">
      <c r="F2057"/>
    </row>
    <row r="2058" spans="6:6" x14ac:dyDescent="0.2">
      <c r="F2058"/>
    </row>
    <row r="2059" spans="6:6" x14ac:dyDescent="0.2">
      <c r="F2059"/>
    </row>
    <row r="2060" spans="6:6" x14ac:dyDescent="0.2">
      <c r="F2060"/>
    </row>
    <row r="2061" spans="6:6" x14ac:dyDescent="0.2">
      <c r="F2061"/>
    </row>
    <row r="2062" spans="6:6" x14ac:dyDescent="0.2">
      <c r="F2062"/>
    </row>
    <row r="2063" spans="6:6" x14ac:dyDescent="0.2">
      <c r="F2063"/>
    </row>
    <row r="2064" spans="6:6" x14ac:dyDescent="0.2">
      <c r="F2064"/>
    </row>
    <row r="2065" spans="6:6" x14ac:dyDescent="0.2">
      <c r="F2065"/>
    </row>
    <row r="2066" spans="6:6" x14ac:dyDescent="0.2">
      <c r="F2066"/>
    </row>
    <row r="2067" spans="6:6" x14ac:dyDescent="0.2">
      <c r="F2067"/>
    </row>
    <row r="2068" spans="6:6" x14ac:dyDescent="0.2">
      <c r="F2068"/>
    </row>
    <row r="2069" spans="6:6" x14ac:dyDescent="0.2">
      <c r="F2069"/>
    </row>
    <row r="2070" spans="6:6" x14ac:dyDescent="0.2">
      <c r="F2070"/>
    </row>
    <row r="2071" spans="6:6" x14ac:dyDescent="0.2">
      <c r="F2071"/>
    </row>
    <row r="2072" spans="6:6" x14ac:dyDescent="0.2">
      <c r="F2072"/>
    </row>
    <row r="2073" spans="6:6" x14ac:dyDescent="0.2">
      <c r="F2073"/>
    </row>
    <row r="2074" spans="6:6" x14ac:dyDescent="0.2">
      <c r="F2074"/>
    </row>
    <row r="2075" spans="6:6" x14ac:dyDescent="0.2">
      <c r="F2075"/>
    </row>
    <row r="2076" spans="6:6" x14ac:dyDescent="0.2">
      <c r="F2076"/>
    </row>
    <row r="2077" spans="6:6" x14ac:dyDescent="0.2">
      <c r="F2077"/>
    </row>
    <row r="2078" spans="6:6" x14ac:dyDescent="0.2">
      <c r="F2078"/>
    </row>
    <row r="2079" spans="6:6" x14ac:dyDescent="0.2">
      <c r="F2079"/>
    </row>
    <row r="2080" spans="6:6" x14ac:dyDescent="0.2">
      <c r="F2080"/>
    </row>
    <row r="2081" spans="6:6" x14ac:dyDescent="0.2">
      <c r="F2081"/>
    </row>
    <row r="2082" spans="6:6" x14ac:dyDescent="0.2">
      <c r="F2082"/>
    </row>
    <row r="2083" spans="6:6" x14ac:dyDescent="0.2">
      <c r="F2083"/>
    </row>
    <row r="2084" spans="6:6" x14ac:dyDescent="0.2">
      <c r="F2084"/>
    </row>
    <row r="2085" spans="6:6" x14ac:dyDescent="0.2">
      <c r="F2085"/>
    </row>
    <row r="2086" spans="6:6" x14ac:dyDescent="0.2">
      <c r="F2086"/>
    </row>
    <row r="2087" spans="6:6" x14ac:dyDescent="0.2">
      <c r="F2087"/>
    </row>
    <row r="2088" spans="6:6" x14ac:dyDescent="0.2">
      <c r="F2088"/>
    </row>
    <row r="2089" spans="6:6" x14ac:dyDescent="0.2">
      <c r="F2089"/>
    </row>
    <row r="2090" spans="6:6" x14ac:dyDescent="0.2">
      <c r="F2090"/>
    </row>
    <row r="2091" spans="6:6" x14ac:dyDescent="0.2">
      <c r="F2091"/>
    </row>
    <row r="2092" spans="6:6" x14ac:dyDescent="0.2">
      <c r="F2092"/>
    </row>
    <row r="2093" spans="6:6" x14ac:dyDescent="0.2">
      <c r="F2093"/>
    </row>
    <row r="2094" spans="6:6" x14ac:dyDescent="0.2">
      <c r="F2094"/>
    </row>
    <row r="2095" spans="6:6" x14ac:dyDescent="0.2">
      <c r="F2095"/>
    </row>
    <row r="2096" spans="6:6" x14ac:dyDescent="0.2">
      <c r="F2096"/>
    </row>
    <row r="2097" spans="6:6" x14ac:dyDescent="0.2">
      <c r="F2097"/>
    </row>
    <row r="2098" spans="6:6" x14ac:dyDescent="0.2">
      <c r="F2098"/>
    </row>
    <row r="2099" spans="6:6" x14ac:dyDescent="0.2">
      <c r="F2099"/>
    </row>
    <row r="2100" spans="6:6" x14ac:dyDescent="0.2">
      <c r="F2100"/>
    </row>
    <row r="2101" spans="6:6" x14ac:dyDescent="0.2">
      <c r="F2101"/>
    </row>
    <row r="2102" spans="6:6" x14ac:dyDescent="0.2">
      <c r="F2102"/>
    </row>
    <row r="2103" spans="6:6" x14ac:dyDescent="0.2">
      <c r="F2103"/>
    </row>
    <row r="2104" spans="6:6" x14ac:dyDescent="0.2">
      <c r="F2104"/>
    </row>
    <row r="2105" spans="6:6" x14ac:dyDescent="0.2">
      <c r="F2105"/>
    </row>
    <row r="2106" spans="6:6" x14ac:dyDescent="0.2">
      <c r="F2106"/>
    </row>
    <row r="2107" spans="6:6" x14ac:dyDescent="0.2">
      <c r="F2107"/>
    </row>
    <row r="2108" spans="6:6" x14ac:dyDescent="0.2">
      <c r="F2108"/>
    </row>
    <row r="2109" spans="6:6" x14ac:dyDescent="0.2">
      <c r="F2109"/>
    </row>
    <row r="2110" spans="6:6" x14ac:dyDescent="0.2">
      <c r="F2110"/>
    </row>
    <row r="2111" spans="6:6" x14ac:dyDescent="0.2">
      <c r="F2111"/>
    </row>
    <row r="2112" spans="6:6" x14ac:dyDescent="0.2">
      <c r="F2112"/>
    </row>
    <row r="2113" spans="6:6" x14ac:dyDescent="0.2">
      <c r="F2113"/>
    </row>
    <row r="2114" spans="6:6" x14ac:dyDescent="0.2">
      <c r="F2114"/>
    </row>
    <row r="2115" spans="6:6" x14ac:dyDescent="0.2">
      <c r="F2115"/>
    </row>
    <row r="2116" spans="6:6" x14ac:dyDescent="0.2">
      <c r="F2116"/>
    </row>
    <row r="2117" spans="6:6" x14ac:dyDescent="0.2">
      <c r="F2117"/>
    </row>
    <row r="2118" spans="6:6" x14ac:dyDescent="0.2">
      <c r="F2118"/>
    </row>
    <row r="2119" spans="6:6" x14ac:dyDescent="0.2">
      <c r="F2119"/>
    </row>
    <row r="2120" spans="6:6" x14ac:dyDescent="0.2">
      <c r="F2120"/>
    </row>
    <row r="2121" spans="6:6" x14ac:dyDescent="0.2">
      <c r="F2121"/>
    </row>
    <row r="2122" spans="6:6" x14ac:dyDescent="0.2">
      <c r="F2122"/>
    </row>
    <row r="2123" spans="6:6" x14ac:dyDescent="0.2">
      <c r="F2123"/>
    </row>
    <row r="2124" spans="6:6" x14ac:dyDescent="0.2">
      <c r="F2124"/>
    </row>
    <row r="2125" spans="6:6" x14ac:dyDescent="0.2">
      <c r="F2125"/>
    </row>
    <row r="2126" spans="6:6" x14ac:dyDescent="0.2">
      <c r="F2126"/>
    </row>
    <row r="2127" spans="6:6" x14ac:dyDescent="0.2">
      <c r="F2127"/>
    </row>
    <row r="2128" spans="6:6" x14ac:dyDescent="0.2">
      <c r="F2128"/>
    </row>
    <row r="2129" spans="6:6" x14ac:dyDescent="0.2">
      <c r="F2129"/>
    </row>
    <row r="2130" spans="6:6" x14ac:dyDescent="0.2">
      <c r="F2130"/>
    </row>
    <row r="2131" spans="6:6" x14ac:dyDescent="0.2">
      <c r="F2131"/>
    </row>
    <row r="2132" spans="6:6" x14ac:dyDescent="0.2">
      <c r="F2132"/>
    </row>
    <row r="2133" spans="6:6" x14ac:dyDescent="0.2">
      <c r="F2133"/>
    </row>
    <row r="2134" spans="6:6" x14ac:dyDescent="0.2">
      <c r="F2134"/>
    </row>
    <row r="2135" spans="6:6" x14ac:dyDescent="0.2">
      <c r="F2135"/>
    </row>
    <row r="2136" spans="6:6" x14ac:dyDescent="0.2">
      <c r="F2136"/>
    </row>
    <row r="2137" spans="6:6" x14ac:dyDescent="0.2">
      <c r="F2137"/>
    </row>
    <row r="2138" spans="6:6" x14ac:dyDescent="0.2">
      <c r="F2138"/>
    </row>
    <row r="2139" spans="6:6" x14ac:dyDescent="0.2">
      <c r="F2139"/>
    </row>
    <row r="2140" spans="6:6" x14ac:dyDescent="0.2">
      <c r="F2140"/>
    </row>
    <row r="2141" spans="6:6" x14ac:dyDescent="0.2">
      <c r="F2141"/>
    </row>
    <row r="2142" spans="6:6" x14ac:dyDescent="0.2">
      <c r="F2142"/>
    </row>
    <row r="2143" spans="6:6" x14ac:dyDescent="0.2">
      <c r="F2143"/>
    </row>
    <row r="2144" spans="6:6" x14ac:dyDescent="0.2">
      <c r="F2144"/>
    </row>
    <row r="2145" spans="6:6" x14ac:dyDescent="0.2">
      <c r="F2145"/>
    </row>
    <row r="2146" spans="6:6" x14ac:dyDescent="0.2">
      <c r="F2146"/>
    </row>
    <row r="2147" spans="6:6" x14ac:dyDescent="0.2">
      <c r="F2147"/>
    </row>
    <row r="2148" spans="6:6" x14ac:dyDescent="0.2">
      <c r="F2148"/>
    </row>
    <row r="2149" spans="6:6" x14ac:dyDescent="0.2">
      <c r="F2149"/>
    </row>
    <row r="2150" spans="6:6" x14ac:dyDescent="0.2">
      <c r="F2150"/>
    </row>
    <row r="2151" spans="6:6" x14ac:dyDescent="0.2">
      <c r="F2151"/>
    </row>
    <row r="2152" spans="6:6" x14ac:dyDescent="0.2">
      <c r="F2152"/>
    </row>
    <row r="2153" spans="6:6" x14ac:dyDescent="0.2">
      <c r="F2153"/>
    </row>
    <row r="2154" spans="6:6" x14ac:dyDescent="0.2">
      <c r="F2154"/>
    </row>
    <row r="2155" spans="6:6" x14ac:dyDescent="0.2">
      <c r="F2155"/>
    </row>
    <row r="2156" spans="6:6" x14ac:dyDescent="0.2">
      <c r="F2156"/>
    </row>
    <row r="2157" spans="6:6" x14ac:dyDescent="0.2">
      <c r="F2157"/>
    </row>
    <row r="2158" spans="6:6" x14ac:dyDescent="0.2">
      <c r="F2158"/>
    </row>
    <row r="2159" spans="6:6" x14ac:dyDescent="0.2">
      <c r="F2159"/>
    </row>
    <row r="2160" spans="6:6" x14ac:dyDescent="0.2">
      <c r="F2160"/>
    </row>
    <row r="2161" spans="6:6" x14ac:dyDescent="0.2">
      <c r="F2161"/>
    </row>
    <row r="2162" spans="6:6" x14ac:dyDescent="0.2">
      <c r="F2162"/>
    </row>
    <row r="2163" spans="6:6" x14ac:dyDescent="0.2">
      <c r="F2163"/>
    </row>
    <row r="2164" spans="6:6" x14ac:dyDescent="0.2">
      <c r="F2164"/>
    </row>
    <row r="2165" spans="6:6" x14ac:dyDescent="0.2">
      <c r="F2165"/>
    </row>
    <row r="2166" spans="6:6" x14ac:dyDescent="0.2">
      <c r="F2166"/>
    </row>
    <row r="2167" spans="6:6" x14ac:dyDescent="0.2">
      <c r="F2167"/>
    </row>
    <row r="2168" spans="6:6" x14ac:dyDescent="0.2">
      <c r="F2168"/>
    </row>
    <row r="2169" spans="6:6" x14ac:dyDescent="0.2">
      <c r="F2169"/>
    </row>
    <row r="2170" spans="6:6" x14ac:dyDescent="0.2">
      <c r="F2170"/>
    </row>
    <row r="2171" spans="6:6" x14ac:dyDescent="0.2">
      <c r="F2171"/>
    </row>
    <row r="2172" spans="6:6" x14ac:dyDescent="0.2">
      <c r="F2172"/>
    </row>
    <row r="2173" spans="6:6" x14ac:dyDescent="0.2">
      <c r="F2173"/>
    </row>
    <row r="2174" spans="6:6" x14ac:dyDescent="0.2">
      <c r="F2174"/>
    </row>
    <row r="2175" spans="6:6" x14ac:dyDescent="0.2">
      <c r="F2175"/>
    </row>
    <row r="2176" spans="6:6" x14ac:dyDescent="0.2">
      <c r="F2176"/>
    </row>
    <row r="2177" spans="6:6" x14ac:dyDescent="0.2">
      <c r="F2177"/>
    </row>
    <row r="2178" spans="6:6" x14ac:dyDescent="0.2">
      <c r="F2178"/>
    </row>
    <row r="2179" spans="6:6" x14ac:dyDescent="0.2">
      <c r="F2179"/>
    </row>
    <row r="2180" spans="6:6" x14ac:dyDescent="0.2">
      <c r="F2180"/>
    </row>
    <row r="2181" spans="6:6" x14ac:dyDescent="0.2">
      <c r="F2181"/>
    </row>
    <row r="2182" spans="6:6" x14ac:dyDescent="0.2">
      <c r="F2182"/>
    </row>
    <row r="2183" spans="6:6" x14ac:dyDescent="0.2">
      <c r="F2183"/>
    </row>
    <row r="2184" spans="6:6" x14ac:dyDescent="0.2">
      <c r="F2184"/>
    </row>
    <row r="2185" spans="6:6" x14ac:dyDescent="0.2">
      <c r="F2185"/>
    </row>
    <row r="2186" spans="6:6" x14ac:dyDescent="0.2">
      <c r="F2186"/>
    </row>
    <row r="2187" spans="6:6" x14ac:dyDescent="0.2">
      <c r="F2187"/>
    </row>
    <row r="2188" spans="6:6" x14ac:dyDescent="0.2">
      <c r="F2188"/>
    </row>
    <row r="2189" spans="6:6" x14ac:dyDescent="0.2">
      <c r="F2189"/>
    </row>
    <row r="2190" spans="6:6" x14ac:dyDescent="0.2">
      <c r="F2190"/>
    </row>
    <row r="2191" spans="6:6" x14ac:dyDescent="0.2">
      <c r="F2191"/>
    </row>
    <row r="2192" spans="6:6" x14ac:dyDescent="0.2">
      <c r="F2192"/>
    </row>
    <row r="2193" spans="6:6" x14ac:dyDescent="0.2">
      <c r="F2193"/>
    </row>
    <row r="2194" spans="6:6" x14ac:dyDescent="0.2">
      <c r="F2194"/>
    </row>
    <row r="2195" spans="6:6" x14ac:dyDescent="0.2">
      <c r="F2195"/>
    </row>
    <row r="2196" spans="6:6" x14ac:dyDescent="0.2">
      <c r="F2196"/>
    </row>
    <row r="2197" spans="6:6" x14ac:dyDescent="0.2">
      <c r="F2197"/>
    </row>
    <row r="2198" spans="6:6" x14ac:dyDescent="0.2">
      <c r="F2198"/>
    </row>
    <row r="2199" spans="6:6" x14ac:dyDescent="0.2">
      <c r="F2199"/>
    </row>
    <row r="2200" spans="6:6" x14ac:dyDescent="0.2">
      <c r="F2200"/>
    </row>
    <row r="2201" spans="6:6" x14ac:dyDescent="0.2">
      <c r="F2201"/>
    </row>
    <row r="2202" spans="6:6" x14ac:dyDescent="0.2">
      <c r="F2202"/>
    </row>
    <row r="2203" spans="6:6" x14ac:dyDescent="0.2">
      <c r="F2203"/>
    </row>
    <row r="2204" spans="6:6" x14ac:dyDescent="0.2">
      <c r="F2204"/>
    </row>
    <row r="2205" spans="6:6" x14ac:dyDescent="0.2">
      <c r="F2205"/>
    </row>
    <row r="2206" spans="6:6" x14ac:dyDescent="0.2">
      <c r="F2206"/>
    </row>
    <row r="2207" spans="6:6" x14ac:dyDescent="0.2">
      <c r="F2207"/>
    </row>
    <row r="2208" spans="6:6" x14ac:dyDescent="0.2">
      <c r="F2208"/>
    </row>
    <row r="2209" spans="6:6" x14ac:dyDescent="0.2">
      <c r="F2209"/>
    </row>
    <row r="2210" spans="6:6" x14ac:dyDescent="0.2">
      <c r="F2210"/>
    </row>
    <row r="2211" spans="6:6" x14ac:dyDescent="0.2">
      <c r="F2211"/>
    </row>
    <row r="2212" spans="6:6" x14ac:dyDescent="0.2">
      <c r="F2212"/>
    </row>
    <row r="2213" spans="6:6" x14ac:dyDescent="0.2">
      <c r="F2213"/>
    </row>
    <row r="2214" spans="6:6" x14ac:dyDescent="0.2">
      <c r="F2214"/>
    </row>
    <row r="2215" spans="6:6" x14ac:dyDescent="0.2">
      <c r="F2215"/>
    </row>
    <row r="2216" spans="6:6" x14ac:dyDescent="0.2">
      <c r="F2216"/>
    </row>
    <row r="2217" spans="6:6" x14ac:dyDescent="0.2">
      <c r="F2217"/>
    </row>
    <row r="2218" spans="6:6" x14ac:dyDescent="0.2">
      <c r="F2218"/>
    </row>
    <row r="2219" spans="6:6" x14ac:dyDescent="0.2">
      <c r="F2219"/>
    </row>
    <row r="2220" spans="6:6" x14ac:dyDescent="0.2">
      <c r="F2220"/>
    </row>
    <row r="2221" spans="6:6" x14ac:dyDescent="0.2">
      <c r="F2221"/>
    </row>
    <row r="2222" spans="6:6" x14ac:dyDescent="0.2">
      <c r="F2222"/>
    </row>
    <row r="2223" spans="6:6" x14ac:dyDescent="0.2">
      <c r="F2223"/>
    </row>
    <row r="2224" spans="6:6" x14ac:dyDescent="0.2">
      <c r="F2224"/>
    </row>
    <row r="2225" spans="6:6" x14ac:dyDescent="0.2">
      <c r="F2225"/>
    </row>
    <row r="2226" spans="6:6" x14ac:dyDescent="0.2">
      <c r="F2226"/>
    </row>
    <row r="2227" spans="6:6" x14ac:dyDescent="0.2">
      <c r="F2227"/>
    </row>
    <row r="2228" spans="6:6" x14ac:dyDescent="0.2">
      <c r="F2228"/>
    </row>
    <row r="2229" spans="6:6" x14ac:dyDescent="0.2">
      <c r="F2229"/>
    </row>
    <row r="2230" spans="6:6" x14ac:dyDescent="0.2">
      <c r="F2230"/>
    </row>
    <row r="2231" spans="6:6" x14ac:dyDescent="0.2">
      <c r="F2231"/>
    </row>
    <row r="2232" spans="6:6" x14ac:dyDescent="0.2">
      <c r="F2232"/>
    </row>
    <row r="2233" spans="6:6" x14ac:dyDescent="0.2">
      <c r="F2233"/>
    </row>
    <row r="2234" spans="6:6" x14ac:dyDescent="0.2">
      <c r="F2234"/>
    </row>
    <row r="2235" spans="6:6" x14ac:dyDescent="0.2">
      <c r="F2235"/>
    </row>
    <row r="2236" spans="6:6" x14ac:dyDescent="0.2">
      <c r="F2236"/>
    </row>
    <row r="2237" spans="6:6" x14ac:dyDescent="0.2">
      <c r="F2237"/>
    </row>
    <row r="2238" spans="6:6" x14ac:dyDescent="0.2">
      <c r="F2238"/>
    </row>
    <row r="2239" spans="6:6" x14ac:dyDescent="0.2">
      <c r="F2239"/>
    </row>
    <row r="2240" spans="6:6" x14ac:dyDescent="0.2">
      <c r="F2240"/>
    </row>
    <row r="2241" spans="6:6" x14ac:dyDescent="0.2">
      <c r="F2241"/>
    </row>
    <row r="2242" spans="6:6" x14ac:dyDescent="0.2">
      <c r="F2242"/>
    </row>
    <row r="2243" spans="6:6" x14ac:dyDescent="0.2">
      <c r="F2243"/>
    </row>
    <row r="2244" spans="6:6" x14ac:dyDescent="0.2">
      <c r="F2244"/>
    </row>
    <row r="2245" spans="6:6" x14ac:dyDescent="0.2">
      <c r="F2245"/>
    </row>
    <row r="2246" spans="6:6" x14ac:dyDescent="0.2">
      <c r="F2246"/>
    </row>
    <row r="2247" spans="6:6" x14ac:dyDescent="0.2">
      <c r="F2247"/>
    </row>
    <row r="2248" spans="6:6" x14ac:dyDescent="0.2">
      <c r="F2248"/>
    </row>
    <row r="2249" spans="6:6" x14ac:dyDescent="0.2">
      <c r="F2249"/>
    </row>
    <row r="2250" spans="6:6" x14ac:dyDescent="0.2">
      <c r="F2250"/>
    </row>
    <row r="2251" spans="6:6" x14ac:dyDescent="0.2">
      <c r="F2251"/>
    </row>
    <row r="2252" spans="6:6" x14ac:dyDescent="0.2">
      <c r="F2252"/>
    </row>
    <row r="2253" spans="6:6" x14ac:dyDescent="0.2">
      <c r="F2253"/>
    </row>
    <row r="2254" spans="6:6" x14ac:dyDescent="0.2">
      <c r="F2254"/>
    </row>
    <row r="2255" spans="6:6" x14ac:dyDescent="0.2">
      <c r="F2255"/>
    </row>
    <row r="2256" spans="6:6" x14ac:dyDescent="0.2">
      <c r="F2256"/>
    </row>
    <row r="2257" spans="6:6" x14ac:dyDescent="0.2">
      <c r="F2257"/>
    </row>
    <row r="2258" spans="6:6" x14ac:dyDescent="0.2">
      <c r="F2258"/>
    </row>
    <row r="2259" spans="6:6" x14ac:dyDescent="0.2">
      <c r="F2259"/>
    </row>
    <row r="2260" spans="6:6" x14ac:dyDescent="0.2">
      <c r="F2260"/>
    </row>
    <row r="2261" spans="6:6" x14ac:dyDescent="0.2">
      <c r="F2261"/>
    </row>
    <row r="2262" spans="6:6" x14ac:dyDescent="0.2">
      <c r="F2262"/>
    </row>
    <row r="2263" spans="6:6" x14ac:dyDescent="0.2">
      <c r="F2263"/>
    </row>
    <row r="2264" spans="6:6" x14ac:dyDescent="0.2">
      <c r="F2264"/>
    </row>
    <row r="2265" spans="6:6" x14ac:dyDescent="0.2">
      <c r="F2265"/>
    </row>
    <row r="2266" spans="6:6" x14ac:dyDescent="0.2">
      <c r="F2266"/>
    </row>
    <row r="2267" spans="6:6" x14ac:dyDescent="0.2">
      <c r="F2267"/>
    </row>
    <row r="2268" spans="6:6" x14ac:dyDescent="0.2">
      <c r="F2268"/>
    </row>
    <row r="2269" spans="6:6" x14ac:dyDescent="0.2">
      <c r="F2269"/>
    </row>
    <row r="2270" spans="6:6" x14ac:dyDescent="0.2">
      <c r="F2270"/>
    </row>
    <row r="2271" spans="6:6" x14ac:dyDescent="0.2">
      <c r="F2271"/>
    </row>
    <row r="2272" spans="6:6" x14ac:dyDescent="0.2">
      <c r="F2272"/>
    </row>
    <row r="2273" spans="6:6" x14ac:dyDescent="0.2">
      <c r="F2273"/>
    </row>
    <row r="2274" spans="6:6" x14ac:dyDescent="0.2">
      <c r="F2274"/>
    </row>
    <row r="2275" spans="6:6" x14ac:dyDescent="0.2">
      <c r="F2275"/>
    </row>
    <row r="2276" spans="6:6" x14ac:dyDescent="0.2">
      <c r="F2276"/>
    </row>
    <row r="2277" spans="6:6" x14ac:dyDescent="0.2">
      <c r="F2277"/>
    </row>
    <row r="2278" spans="6:6" x14ac:dyDescent="0.2">
      <c r="F2278"/>
    </row>
    <row r="2279" spans="6:6" x14ac:dyDescent="0.2">
      <c r="F2279"/>
    </row>
    <row r="2280" spans="6:6" x14ac:dyDescent="0.2">
      <c r="F2280"/>
    </row>
    <row r="2281" spans="6:6" x14ac:dyDescent="0.2">
      <c r="F2281"/>
    </row>
    <row r="2282" spans="6:6" x14ac:dyDescent="0.2">
      <c r="F2282"/>
    </row>
    <row r="2283" spans="6:6" x14ac:dyDescent="0.2">
      <c r="F2283"/>
    </row>
    <row r="2284" spans="6:6" x14ac:dyDescent="0.2">
      <c r="F2284"/>
    </row>
    <row r="2285" spans="6:6" x14ac:dyDescent="0.2">
      <c r="F2285"/>
    </row>
    <row r="2286" spans="6:6" x14ac:dyDescent="0.2">
      <c r="F2286"/>
    </row>
    <row r="2287" spans="6:6" x14ac:dyDescent="0.2">
      <c r="F2287"/>
    </row>
    <row r="2288" spans="6:6" x14ac:dyDescent="0.2">
      <c r="F2288"/>
    </row>
    <row r="2289" spans="6:6" x14ac:dyDescent="0.2">
      <c r="F2289"/>
    </row>
    <row r="2290" spans="6:6" x14ac:dyDescent="0.2">
      <c r="F2290"/>
    </row>
    <row r="2291" spans="6:6" x14ac:dyDescent="0.2">
      <c r="F2291"/>
    </row>
    <row r="2292" spans="6:6" x14ac:dyDescent="0.2">
      <c r="F2292"/>
    </row>
    <row r="2293" spans="6:6" x14ac:dyDescent="0.2">
      <c r="F2293"/>
    </row>
    <row r="2294" spans="6:6" x14ac:dyDescent="0.2">
      <c r="F2294"/>
    </row>
    <row r="2295" spans="6:6" x14ac:dyDescent="0.2">
      <c r="F2295"/>
    </row>
    <row r="2296" spans="6:6" x14ac:dyDescent="0.2">
      <c r="F2296"/>
    </row>
    <row r="2297" spans="6:6" x14ac:dyDescent="0.2">
      <c r="F2297"/>
    </row>
    <row r="2298" spans="6:6" x14ac:dyDescent="0.2">
      <c r="F2298"/>
    </row>
    <row r="2299" spans="6:6" x14ac:dyDescent="0.2">
      <c r="F2299"/>
    </row>
    <row r="2300" spans="6:6" x14ac:dyDescent="0.2">
      <c r="F2300"/>
    </row>
    <row r="2301" spans="6:6" x14ac:dyDescent="0.2">
      <c r="F2301"/>
    </row>
    <row r="2302" spans="6:6" x14ac:dyDescent="0.2">
      <c r="F2302"/>
    </row>
    <row r="2303" spans="6:6" x14ac:dyDescent="0.2">
      <c r="F2303"/>
    </row>
    <row r="2304" spans="6:6" x14ac:dyDescent="0.2">
      <c r="F2304"/>
    </row>
    <row r="2305" spans="6:6" x14ac:dyDescent="0.2">
      <c r="F2305"/>
    </row>
    <row r="2306" spans="6:6" x14ac:dyDescent="0.2">
      <c r="F2306"/>
    </row>
    <row r="2307" spans="6:6" x14ac:dyDescent="0.2">
      <c r="F2307"/>
    </row>
    <row r="2308" spans="6:6" x14ac:dyDescent="0.2">
      <c r="F2308"/>
    </row>
    <row r="2309" spans="6:6" x14ac:dyDescent="0.2">
      <c r="F2309"/>
    </row>
    <row r="2310" spans="6:6" x14ac:dyDescent="0.2">
      <c r="F2310"/>
    </row>
    <row r="2311" spans="6:6" x14ac:dyDescent="0.2">
      <c r="F2311"/>
    </row>
    <row r="2312" spans="6:6" x14ac:dyDescent="0.2">
      <c r="F2312"/>
    </row>
    <row r="2313" spans="6:6" x14ac:dyDescent="0.2">
      <c r="F2313"/>
    </row>
    <row r="2314" spans="6:6" x14ac:dyDescent="0.2">
      <c r="F2314"/>
    </row>
    <row r="2315" spans="6:6" x14ac:dyDescent="0.2">
      <c r="F2315"/>
    </row>
    <row r="2316" spans="6:6" x14ac:dyDescent="0.2">
      <c r="F2316"/>
    </row>
    <row r="2317" spans="6:6" x14ac:dyDescent="0.2">
      <c r="F2317"/>
    </row>
    <row r="2318" spans="6:6" x14ac:dyDescent="0.2">
      <c r="F2318"/>
    </row>
    <row r="2319" spans="6:6" x14ac:dyDescent="0.2">
      <c r="F2319"/>
    </row>
    <row r="2320" spans="6:6" x14ac:dyDescent="0.2">
      <c r="F2320"/>
    </row>
    <row r="2321" spans="6:6" x14ac:dyDescent="0.2">
      <c r="F2321"/>
    </row>
    <row r="2322" spans="6:6" x14ac:dyDescent="0.2">
      <c r="F2322"/>
    </row>
    <row r="2323" spans="6:6" x14ac:dyDescent="0.2">
      <c r="F2323"/>
    </row>
    <row r="2324" spans="6:6" x14ac:dyDescent="0.2">
      <c r="F2324"/>
    </row>
    <row r="2325" spans="6:6" x14ac:dyDescent="0.2">
      <c r="F2325"/>
    </row>
    <row r="2326" spans="6:6" x14ac:dyDescent="0.2">
      <c r="F2326"/>
    </row>
    <row r="2327" spans="6:6" x14ac:dyDescent="0.2">
      <c r="F2327"/>
    </row>
    <row r="2328" spans="6:6" x14ac:dyDescent="0.2">
      <c r="F2328"/>
    </row>
    <row r="2329" spans="6:6" x14ac:dyDescent="0.2">
      <c r="F2329"/>
    </row>
    <row r="2330" spans="6:6" x14ac:dyDescent="0.2">
      <c r="F2330"/>
    </row>
    <row r="2331" spans="6:6" x14ac:dyDescent="0.2">
      <c r="F2331"/>
    </row>
    <row r="2332" spans="6:6" x14ac:dyDescent="0.2">
      <c r="F2332"/>
    </row>
    <row r="2333" spans="6:6" x14ac:dyDescent="0.2">
      <c r="F2333"/>
    </row>
    <row r="2334" spans="6:6" x14ac:dyDescent="0.2">
      <c r="F2334"/>
    </row>
    <row r="2335" spans="6:6" x14ac:dyDescent="0.2">
      <c r="F2335"/>
    </row>
    <row r="2336" spans="6:6" x14ac:dyDescent="0.2">
      <c r="F2336"/>
    </row>
    <row r="2337" spans="6:6" x14ac:dyDescent="0.2">
      <c r="F2337"/>
    </row>
    <row r="2338" spans="6:6" x14ac:dyDescent="0.2">
      <c r="F2338"/>
    </row>
    <row r="2339" spans="6:6" x14ac:dyDescent="0.2">
      <c r="F2339"/>
    </row>
    <row r="2340" spans="6:6" x14ac:dyDescent="0.2">
      <c r="F2340"/>
    </row>
    <row r="2341" spans="6:6" x14ac:dyDescent="0.2">
      <c r="F2341"/>
    </row>
    <row r="2342" spans="6:6" x14ac:dyDescent="0.2">
      <c r="F2342"/>
    </row>
    <row r="2343" spans="6:6" x14ac:dyDescent="0.2">
      <c r="F2343"/>
    </row>
    <row r="2344" spans="6:6" x14ac:dyDescent="0.2">
      <c r="F2344"/>
    </row>
    <row r="2345" spans="6:6" x14ac:dyDescent="0.2">
      <c r="F2345"/>
    </row>
    <row r="2346" spans="6:6" x14ac:dyDescent="0.2">
      <c r="F2346"/>
    </row>
    <row r="2347" spans="6:6" x14ac:dyDescent="0.2">
      <c r="F2347"/>
    </row>
    <row r="2348" spans="6:6" x14ac:dyDescent="0.2">
      <c r="F2348"/>
    </row>
    <row r="2349" spans="6:6" x14ac:dyDescent="0.2">
      <c r="F2349"/>
    </row>
    <row r="2350" spans="6:6" x14ac:dyDescent="0.2">
      <c r="F2350"/>
    </row>
    <row r="2351" spans="6:6" x14ac:dyDescent="0.2">
      <c r="F2351"/>
    </row>
    <row r="2352" spans="6:6" x14ac:dyDescent="0.2">
      <c r="F2352"/>
    </row>
    <row r="2353" spans="6:6" x14ac:dyDescent="0.2">
      <c r="F2353"/>
    </row>
    <row r="2354" spans="6:6" x14ac:dyDescent="0.2">
      <c r="F2354"/>
    </row>
    <row r="2355" spans="6:6" x14ac:dyDescent="0.2">
      <c r="F2355"/>
    </row>
    <row r="2356" spans="6:6" x14ac:dyDescent="0.2">
      <c r="F2356"/>
    </row>
    <row r="2357" spans="6:6" x14ac:dyDescent="0.2">
      <c r="F2357"/>
    </row>
    <row r="2358" spans="6:6" x14ac:dyDescent="0.2">
      <c r="F2358"/>
    </row>
    <row r="2359" spans="6:6" x14ac:dyDescent="0.2">
      <c r="F2359"/>
    </row>
    <row r="2360" spans="6:6" x14ac:dyDescent="0.2">
      <c r="F2360"/>
    </row>
    <row r="2361" spans="6:6" x14ac:dyDescent="0.2">
      <c r="F2361"/>
    </row>
    <row r="2362" spans="6:6" x14ac:dyDescent="0.2">
      <c r="F2362"/>
    </row>
    <row r="2363" spans="6:6" x14ac:dyDescent="0.2">
      <c r="F2363"/>
    </row>
    <row r="2364" spans="6:6" x14ac:dyDescent="0.2">
      <c r="F2364"/>
    </row>
    <row r="2365" spans="6:6" x14ac:dyDescent="0.2">
      <c r="F2365"/>
    </row>
    <row r="2366" spans="6:6" x14ac:dyDescent="0.2">
      <c r="F2366"/>
    </row>
    <row r="2367" spans="6:6" x14ac:dyDescent="0.2">
      <c r="F2367"/>
    </row>
    <row r="2368" spans="6:6" x14ac:dyDescent="0.2">
      <c r="F2368"/>
    </row>
    <row r="2369" spans="6:6" x14ac:dyDescent="0.2">
      <c r="F2369"/>
    </row>
    <row r="2370" spans="6:6" x14ac:dyDescent="0.2">
      <c r="F2370"/>
    </row>
    <row r="2371" spans="6:6" x14ac:dyDescent="0.2">
      <c r="F2371"/>
    </row>
    <row r="2372" spans="6:6" x14ac:dyDescent="0.2">
      <c r="F2372"/>
    </row>
    <row r="2373" spans="6:6" x14ac:dyDescent="0.2">
      <c r="F2373"/>
    </row>
    <row r="2374" spans="6:6" x14ac:dyDescent="0.2">
      <c r="F2374"/>
    </row>
    <row r="2375" spans="6:6" x14ac:dyDescent="0.2">
      <c r="F2375"/>
    </row>
    <row r="2376" spans="6:6" x14ac:dyDescent="0.2">
      <c r="F2376"/>
    </row>
    <row r="2377" spans="6:6" x14ac:dyDescent="0.2">
      <c r="F2377"/>
    </row>
    <row r="2378" spans="6:6" x14ac:dyDescent="0.2">
      <c r="F2378"/>
    </row>
    <row r="2379" spans="6:6" x14ac:dyDescent="0.2">
      <c r="F2379"/>
    </row>
    <row r="2380" spans="6:6" x14ac:dyDescent="0.2">
      <c r="F2380"/>
    </row>
    <row r="2381" spans="6:6" x14ac:dyDescent="0.2">
      <c r="F2381"/>
    </row>
    <row r="2382" spans="6:6" x14ac:dyDescent="0.2">
      <c r="F2382"/>
    </row>
    <row r="2383" spans="6:6" x14ac:dyDescent="0.2">
      <c r="F2383"/>
    </row>
    <row r="2384" spans="6:6" x14ac:dyDescent="0.2">
      <c r="F2384"/>
    </row>
    <row r="2385" spans="6:6" x14ac:dyDescent="0.2">
      <c r="F2385"/>
    </row>
    <row r="2386" spans="6:6" x14ac:dyDescent="0.2">
      <c r="F2386"/>
    </row>
    <row r="2387" spans="6:6" x14ac:dyDescent="0.2">
      <c r="F2387"/>
    </row>
    <row r="2388" spans="6:6" x14ac:dyDescent="0.2">
      <c r="F2388"/>
    </row>
    <row r="2389" spans="6:6" x14ac:dyDescent="0.2">
      <c r="F2389"/>
    </row>
    <row r="2390" spans="6:6" x14ac:dyDescent="0.2">
      <c r="F2390"/>
    </row>
    <row r="2391" spans="6:6" x14ac:dyDescent="0.2">
      <c r="F2391"/>
    </row>
    <row r="2392" spans="6:6" x14ac:dyDescent="0.2">
      <c r="F2392"/>
    </row>
    <row r="2393" spans="6:6" x14ac:dyDescent="0.2">
      <c r="F2393"/>
    </row>
    <row r="2394" spans="6:6" x14ac:dyDescent="0.2">
      <c r="F2394"/>
    </row>
    <row r="2395" spans="6:6" x14ac:dyDescent="0.2">
      <c r="F2395"/>
    </row>
    <row r="2396" spans="6:6" x14ac:dyDescent="0.2">
      <c r="F2396"/>
    </row>
    <row r="2397" spans="6:6" x14ac:dyDescent="0.2">
      <c r="F2397"/>
    </row>
    <row r="2398" spans="6:6" x14ac:dyDescent="0.2">
      <c r="F2398"/>
    </row>
    <row r="2399" spans="6:6" x14ac:dyDescent="0.2">
      <c r="F2399"/>
    </row>
    <row r="2400" spans="6:6" x14ac:dyDescent="0.2">
      <c r="F2400"/>
    </row>
    <row r="2401" spans="6:6" x14ac:dyDescent="0.2">
      <c r="F2401"/>
    </row>
    <row r="2402" spans="6:6" x14ac:dyDescent="0.2">
      <c r="F2402"/>
    </row>
    <row r="2403" spans="6:6" x14ac:dyDescent="0.2">
      <c r="F2403"/>
    </row>
    <row r="2404" spans="6:6" x14ac:dyDescent="0.2">
      <c r="F2404"/>
    </row>
    <row r="2405" spans="6:6" x14ac:dyDescent="0.2">
      <c r="F2405"/>
    </row>
    <row r="2406" spans="6:6" x14ac:dyDescent="0.2">
      <c r="F2406"/>
    </row>
    <row r="2407" spans="6:6" x14ac:dyDescent="0.2">
      <c r="F2407"/>
    </row>
    <row r="2408" spans="6:6" x14ac:dyDescent="0.2">
      <c r="F2408"/>
    </row>
    <row r="2409" spans="6:6" x14ac:dyDescent="0.2">
      <c r="F2409"/>
    </row>
    <row r="2410" spans="6:6" x14ac:dyDescent="0.2">
      <c r="F2410"/>
    </row>
    <row r="2411" spans="6:6" x14ac:dyDescent="0.2">
      <c r="F2411"/>
    </row>
    <row r="2412" spans="6:6" x14ac:dyDescent="0.2">
      <c r="F2412"/>
    </row>
    <row r="2413" spans="6:6" x14ac:dyDescent="0.2">
      <c r="F2413"/>
    </row>
    <row r="2414" spans="6:6" x14ac:dyDescent="0.2">
      <c r="F2414"/>
    </row>
    <row r="2415" spans="6:6" x14ac:dyDescent="0.2">
      <c r="F2415"/>
    </row>
    <row r="2416" spans="6:6" x14ac:dyDescent="0.2">
      <c r="F2416"/>
    </row>
    <row r="2417" spans="6:6" x14ac:dyDescent="0.2">
      <c r="F2417"/>
    </row>
    <row r="2418" spans="6:6" x14ac:dyDescent="0.2">
      <c r="F2418"/>
    </row>
    <row r="2419" spans="6:6" x14ac:dyDescent="0.2">
      <c r="F2419"/>
    </row>
    <row r="2420" spans="6:6" x14ac:dyDescent="0.2">
      <c r="F2420"/>
    </row>
    <row r="2421" spans="6:6" x14ac:dyDescent="0.2">
      <c r="F2421"/>
    </row>
    <row r="2422" spans="6:6" x14ac:dyDescent="0.2">
      <c r="F2422"/>
    </row>
    <row r="2423" spans="6:6" x14ac:dyDescent="0.2">
      <c r="F2423"/>
    </row>
    <row r="2424" spans="6:6" x14ac:dyDescent="0.2">
      <c r="F2424"/>
    </row>
    <row r="2425" spans="6:6" x14ac:dyDescent="0.2">
      <c r="F2425"/>
    </row>
    <row r="2426" spans="6:6" x14ac:dyDescent="0.2">
      <c r="F2426"/>
    </row>
    <row r="2427" spans="6:6" x14ac:dyDescent="0.2">
      <c r="F2427"/>
    </row>
    <row r="2428" spans="6:6" x14ac:dyDescent="0.2">
      <c r="F2428"/>
    </row>
    <row r="2429" spans="6:6" x14ac:dyDescent="0.2">
      <c r="F2429"/>
    </row>
    <row r="2430" spans="6:6" x14ac:dyDescent="0.2">
      <c r="F2430"/>
    </row>
    <row r="2431" spans="6:6" x14ac:dyDescent="0.2">
      <c r="F2431"/>
    </row>
    <row r="2432" spans="6:6" x14ac:dyDescent="0.2">
      <c r="F2432"/>
    </row>
    <row r="2433" spans="6:6" x14ac:dyDescent="0.2">
      <c r="F2433"/>
    </row>
    <row r="2434" spans="6:6" x14ac:dyDescent="0.2">
      <c r="F2434"/>
    </row>
    <row r="2435" spans="6:6" x14ac:dyDescent="0.2">
      <c r="F2435"/>
    </row>
    <row r="2436" spans="6:6" x14ac:dyDescent="0.2">
      <c r="F2436"/>
    </row>
    <row r="2437" spans="6:6" x14ac:dyDescent="0.2">
      <c r="F2437"/>
    </row>
    <row r="2438" spans="6:6" x14ac:dyDescent="0.2">
      <c r="F2438"/>
    </row>
    <row r="2439" spans="6:6" x14ac:dyDescent="0.2">
      <c r="F2439"/>
    </row>
    <row r="2440" spans="6:6" x14ac:dyDescent="0.2">
      <c r="F2440"/>
    </row>
    <row r="2441" spans="6:6" x14ac:dyDescent="0.2">
      <c r="F2441"/>
    </row>
    <row r="2442" spans="6:6" x14ac:dyDescent="0.2">
      <c r="F2442"/>
    </row>
    <row r="2443" spans="6:6" x14ac:dyDescent="0.2">
      <c r="F2443"/>
    </row>
    <row r="2444" spans="6:6" x14ac:dyDescent="0.2">
      <c r="F2444"/>
    </row>
    <row r="2445" spans="6:6" x14ac:dyDescent="0.2">
      <c r="F2445"/>
    </row>
    <row r="2446" spans="6:6" x14ac:dyDescent="0.2">
      <c r="F2446"/>
    </row>
    <row r="2447" spans="6:6" x14ac:dyDescent="0.2">
      <c r="F2447"/>
    </row>
    <row r="2448" spans="6:6" x14ac:dyDescent="0.2">
      <c r="F2448"/>
    </row>
    <row r="2449" spans="6:6" x14ac:dyDescent="0.2">
      <c r="F2449"/>
    </row>
    <row r="2450" spans="6:6" x14ac:dyDescent="0.2">
      <c r="F2450"/>
    </row>
    <row r="2451" spans="6:6" x14ac:dyDescent="0.2">
      <c r="F2451"/>
    </row>
    <row r="2452" spans="6:6" x14ac:dyDescent="0.2">
      <c r="F2452"/>
    </row>
    <row r="2453" spans="6:6" x14ac:dyDescent="0.2">
      <c r="F2453"/>
    </row>
    <row r="2454" spans="6:6" x14ac:dyDescent="0.2">
      <c r="F2454"/>
    </row>
    <row r="2455" spans="6:6" x14ac:dyDescent="0.2">
      <c r="F2455"/>
    </row>
    <row r="2456" spans="6:6" x14ac:dyDescent="0.2">
      <c r="F2456"/>
    </row>
    <row r="2457" spans="6:6" x14ac:dyDescent="0.2">
      <c r="F2457"/>
    </row>
    <row r="2458" spans="6:6" x14ac:dyDescent="0.2">
      <c r="F2458"/>
    </row>
    <row r="2459" spans="6:6" x14ac:dyDescent="0.2">
      <c r="F2459"/>
    </row>
    <row r="2460" spans="6:6" x14ac:dyDescent="0.2">
      <c r="F2460"/>
    </row>
    <row r="2461" spans="6:6" x14ac:dyDescent="0.2">
      <c r="F2461"/>
    </row>
    <row r="2462" spans="6:6" x14ac:dyDescent="0.2">
      <c r="F2462"/>
    </row>
    <row r="2463" spans="6:6" x14ac:dyDescent="0.2">
      <c r="F2463"/>
    </row>
    <row r="2464" spans="6:6" x14ac:dyDescent="0.2">
      <c r="F2464"/>
    </row>
    <row r="2465" spans="6:6" x14ac:dyDescent="0.2">
      <c r="F2465"/>
    </row>
    <row r="2466" spans="6:6" x14ac:dyDescent="0.2">
      <c r="F2466"/>
    </row>
    <row r="2467" spans="6:6" x14ac:dyDescent="0.2">
      <c r="F2467"/>
    </row>
    <row r="2468" spans="6:6" x14ac:dyDescent="0.2">
      <c r="F2468"/>
    </row>
    <row r="2469" spans="6:6" x14ac:dyDescent="0.2">
      <c r="F2469"/>
    </row>
    <row r="2470" spans="6:6" x14ac:dyDescent="0.2">
      <c r="F2470"/>
    </row>
    <row r="2471" spans="6:6" x14ac:dyDescent="0.2">
      <c r="F2471"/>
    </row>
    <row r="2472" spans="6:6" x14ac:dyDescent="0.2">
      <c r="F2472"/>
    </row>
    <row r="2473" spans="6:6" x14ac:dyDescent="0.2">
      <c r="F2473"/>
    </row>
    <row r="2474" spans="6:6" x14ac:dyDescent="0.2">
      <c r="F2474"/>
    </row>
    <row r="2475" spans="6:6" x14ac:dyDescent="0.2">
      <c r="F2475"/>
    </row>
    <row r="2476" spans="6:6" x14ac:dyDescent="0.2">
      <c r="F2476"/>
    </row>
    <row r="2477" spans="6:6" x14ac:dyDescent="0.2">
      <c r="F2477"/>
    </row>
    <row r="2478" spans="6:6" x14ac:dyDescent="0.2">
      <c r="F2478"/>
    </row>
    <row r="2479" spans="6:6" x14ac:dyDescent="0.2">
      <c r="F2479"/>
    </row>
    <row r="2480" spans="6:6" x14ac:dyDescent="0.2">
      <c r="F2480"/>
    </row>
    <row r="2481" spans="6:6" x14ac:dyDescent="0.2">
      <c r="F2481"/>
    </row>
    <row r="2482" spans="6:6" x14ac:dyDescent="0.2">
      <c r="F2482"/>
    </row>
    <row r="2483" spans="6:6" x14ac:dyDescent="0.2">
      <c r="F2483"/>
    </row>
    <row r="2484" spans="6:6" x14ac:dyDescent="0.2">
      <c r="F2484"/>
    </row>
    <row r="2485" spans="6:6" x14ac:dyDescent="0.2">
      <c r="F2485"/>
    </row>
    <row r="2486" spans="6:6" x14ac:dyDescent="0.2">
      <c r="F2486"/>
    </row>
    <row r="2487" spans="6:6" x14ac:dyDescent="0.2">
      <c r="F2487"/>
    </row>
    <row r="2488" spans="6:6" x14ac:dyDescent="0.2">
      <c r="F2488"/>
    </row>
    <row r="2489" spans="6:6" x14ac:dyDescent="0.2">
      <c r="F2489"/>
    </row>
    <row r="2490" spans="6:6" x14ac:dyDescent="0.2">
      <c r="F2490"/>
    </row>
    <row r="2491" spans="6:6" x14ac:dyDescent="0.2">
      <c r="F2491"/>
    </row>
    <row r="2492" spans="6:6" x14ac:dyDescent="0.2">
      <c r="F2492"/>
    </row>
    <row r="2493" spans="6:6" x14ac:dyDescent="0.2">
      <c r="F2493"/>
    </row>
    <row r="2494" spans="6:6" x14ac:dyDescent="0.2">
      <c r="F2494"/>
    </row>
    <row r="2495" spans="6:6" x14ac:dyDescent="0.2">
      <c r="F2495"/>
    </row>
    <row r="2496" spans="6:6" x14ac:dyDescent="0.2">
      <c r="F2496"/>
    </row>
    <row r="2497" spans="6:6" x14ac:dyDescent="0.2">
      <c r="F2497"/>
    </row>
    <row r="2498" spans="6:6" x14ac:dyDescent="0.2">
      <c r="F2498"/>
    </row>
    <row r="2499" spans="6:6" x14ac:dyDescent="0.2">
      <c r="F2499"/>
    </row>
    <row r="2500" spans="6:6" x14ac:dyDescent="0.2">
      <c r="F2500"/>
    </row>
    <row r="2501" spans="6:6" x14ac:dyDescent="0.2">
      <c r="F2501"/>
    </row>
    <row r="2502" spans="6:6" x14ac:dyDescent="0.2">
      <c r="F2502"/>
    </row>
    <row r="2503" spans="6:6" x14ac:dyDescent="0.2">
      <c r="F2503"/>
    </row>
    <row r="2504" spans="6:6" x14ac:dyDescent="0.2">
      <c r="F2504"/>
    </row>
    <row r="2505" spans="6:6" x14ac:dyDescent="0.2">
      <c r="F2505"/>
    </row>
    <row r="2506" spans="6:6" x14ac:dyDescent="0.2">
      <c r="F2506"/>
    </row>
    <row r="2507" spans="6:6" x14ac:dyDescent="0.2">
      <c r="F2507"/>
    </row>
    <row r="2508" spans="6:6" x14ac:dyDescent="0.2">
      <c r="F2508"/>
    </row>
    <row r="2509" spans="6:6" x14ac:dyDescent="0.2">
      <c r="F2509"/>
    </row>
    <row r="2510" spans="6:6" x14ac:dyDescent="0.2">
      <c r="F2510"/>
    </row>
    <row r="2511" spans="6:6" x14ac:dyDescent="0.2">
      <c r="F2511"/>
    </row>
    <row r="2512" spans="6:6" x14ac:dyDescent="0.2">
      <c r="F2512"/>
    </row>
    <row r="2513" spans="6:6" x14ac:dyDescent="0.2">
      <c r="F2513"/>
    </row>
    <row r="2514" spans="6:6" x14ac:dyDescent="0.2">
      <c r="F2514"/>
    </row>
    <row r="2515" spans="6:6" x14ac:dyDescent="0.2">
      <c r="F2515"/>
    </row>
    <row r="2516" spans="6:6" x14ac:dyDescent="0.2">
      <c r="F2516"/>
    </row>
    <row r="2517" spans="6:6" x14ac:dyDescent="0.2">
      <c r="F2517"/>
    </row>
    <row r="2518" spans="6:6" x14ac:dyDescent="0.2">
      <c r="F2518"/>
    </row>
    <row r="2519" spans="6:6" x14ac:dyDescent="0.2">
      <c r="F2519"/>
    </row>
    <row r="2520" spans="6:6" x14ac:dyDescent="0.2">
      <c r="F2520"/>
    </row>
    <row r="2521" spans="6:6" x14ac:dyDescent="0.2">
      <c r="F2521"/>
    </row>
    <row r="2522" spans="6:6" x14ac:dyDescent="0.2">
      <c r="F2522"/>
    </row>
    <row r="2523" spans="6:6" x14ac:dyDescent="0.2">
      <c r="F2523"/>
    </row>
    <row r="2524" spans="6:6" x14ac:dyDescent="0.2">
      <c r="F2524"/>
    </row>
    <row r="2525" spans="6:6" x14ac:dyDescent="0.2">
      <c r="F2525"/>
    </row>
    <row r="2526" spans="6:6" x14ac:dyDescent="0.2">
      <c r="F2526"/>
    </row>
    <row r="2527" spans="6:6" x14ac:dyDescent="0.2">
      <c r="F2527"/>
    </row>
    <row r="2528" spans="6:6" x14ac:dyDescent="0.2">
      <c r="F2528"/>
    </row>
    <row r="2529" spans="6:6" x14ac:dyDescent="0.2">
      <c r="F2529"/>
    </row>
    <row r="2530" spans="6:6" x14ac:dyDescent="0.2">
      <c r="F2530"/>
    </row>
    <row r="2531" spans="6:6" x14ac:dyDescent="0.2">
      <c r="F2531"/>
    </row>
    <row r="2532" spans="6:6" x14ac:dyDescent="0.2">
      <c r="F2532"/>
    </row>
    <row r="2533" spans="6:6" x14ac:dyDescent="0.2">
      <c r="F2533"/>
    </row>
    <row r="2534" spans="6:6" x14ac:dyDescent="0.2">
      <c r="F2534"/>
    </row>
    <row r="2535" spans="6:6" x14ac:dyDescent="0.2">
      <c r="F2535"/>
    </row>
    <row r="2536" spans="6:6" x14ac:dyDescent="0.2">
      <c r="F2536"/>
    </row>
    <row r="2537" spans="6:6" x14ac:dyDescent="0.2">
      <c r="F2537"/>
    </row>
    <row r="2538" spans="6:6" x14ac:dyDescent="0.2">
      <c r="F2538"/>
    </row>
    <row r="2539" spans="6:6" x14ac:dyDescent="0.2">
      <c r="F2539"/>
    </row>
    <row r="2540" spans="6:6" x14ac:dyDescent="0.2">
      <c r="F2540"/>
    </row>
    <row r="2541" spans="6:6" x14ac:dyDescent="0.2">
      <c r="F2541"/>
    </row>
    <row r="2542" spans="6:6" x14ac:dyDescent="0.2">
      <c r="F2542"/>
    </row>
    <row r="2543" spans="6:6" x14ac:dyDescent="0.2">
      <c r="F2543"/>
    </row>
    <row r="2544" spans="6:6" x14ac:dyDescent="0.2">
      <c r="F2544"/>
    </row>
    <row r="2545" spans="6:6" x14ac:dyDescent="0.2">
      <c r="F2545"/>
    </row>
    <row r="2546" spans="6:6" x14ac:dyDescent="0.2">
      <c r="F2546"/>
    </row>
    <row r="2547" spans="6:6" x14ac:dyDescent="0.2">
      <c r="F2547"/>
    </row>
    <row r="2548" spans="6:6" x14ac:dyDescent="0.2">
      <c r="F2548"/>
    </row>
    <row r="2549" spans="6:6" x14ac:dyDescent="0.2">
      <c r="F2549"/>
    </row>
    <row r="2550" spans="6:6" x14ac:dyDescent="0.2">
      <c r="F2550"/>
    </row>
    <row r="2551" spans="6:6" x14ac:dyDescent="0.2">
      <c r="F2551"/>
    </row>
    <row r="2552" spans="6:6" x14ac:dyDescent="0.2">
      <c r="F2552"/>
    </row>
    <row r="2553" spans="6:6" x14ac:dyDescent="0.2">
      <c r="F2553"/>
    </row>
    <row r="2554" spans="6:6" x14ac:dyDescent="0.2">
      <c r="F2554"/>
    </row>
    <row r="2555" spans="6:6" x14ac:dyDescent="0.2">
      <c r="F2555"/>
    </row>
    <row r="2556" spans="6:6" x14ac:dyDescent="0.2">
      <c r="F2556"/>
    </row>
    <row r="2557" spans="6:6" x14ac:dyDescent="0.2">
      <c r="F2557"/>
    </row>
    <row r="2558" spans="6:6" x14ac:dyDescent="0.2">
      <c r="F2558"/>
    </row>
    <row r="2559" spans="6:6" x14ac:dyDescent="0.2">
      <c r="F2559"/>
    </row>
    <row r="2560" spans="6:6" x14ac:dyDescent="0.2">
      <c r="F2560"/>
    </row>
    <row r="2561" spans="6:6" x14ac:dyDescent="0.2">
      <c r="F2561"/>
    </row>
    <row r="2562" spans="6:6" x14ac:dyDescent="0.2">
      <c r="F2562"/>
    </row>
    <row r="2563" spans="6:6" x14ac:dyDescent="0.2">
      <c r="F2563"/>
    </row>
    <row r="2564" spans="6:6" x14ac:dyDescent="0.2">
      <c r="F2564"/>
    </row>
    <row r="2565" spans="6:6" x14ac:dyDescent="0.2">
      <c r="F2565"/>
    </row>
    <row r="2566" spans="6:6" x14ac:dyDescent="0.2">
      <c r="F2566"/>
    </row>
    <row r="2567" spans="6:6" x14ac:dyDescent="0.2">
      <c r="F2567"/>
    </row>
    <row r="2568" spans="6:6" x14ac:dyDescent="0.2">
      <c r="F2568"/>
    </row>
    <row r="2569" spans="6:6" x14ac:dyDescent="0.2">
      <c r="F2569"/>
    </row>
    <row r="2570" spans="6:6" x14ac:dyDescent="0.2">
      <c r="F2570"/>
    </row>
    <row r="2571" spans="6:6" x14ac:dyDescent="0.2">
      <c r="F2571"/>
    </row>
    <row r="2572" spans="6:6" x14ac:dyDescent="0.2">
      <c r="F2572"/>
    </row>
    <row r="2573" spans="6:6" x14ac:dyDescent="0.2">
      <c r="F2573"/>
    </row>
    <row r="2574" spans="6:6" x14ac:dyDescent="0.2">
      <c r="F2574"/>
    </row>
    <row r="2575" spans="6:6" x14ac:dyDescent="0.2">
      <c r="F2575"/>
    </row>
    <row r="2576" spans="6:6" x14ac:dyDescent="0.2">
      <c r="F2576"/>
    </row>
    <row r="2577" spans="6:6" x14ac:dyDescent="0.2">
      <c r="F2577"/>
    </row>
    <row r="2578" spans="6:6" x14ac:dyDescent="0.2">
      <c r="F2578"/>
    </row>
    <row r="2579" spans="6:6" x14ac:dyDescent="0.2">
      <c r="F2579"/>
    </row>
    <row r="2580" spans="6:6" x14ac:dyDescent="0.2">
      <c r="F2580"/>
    </row>
    <row r="2581" spans="6:6" x14ac:dyDescent="0.2">
      <c r="F2581"/>
    </row>
    <row r="2582" spans="6:6" x14ac:dyDescent="0.2">
      <c r="F2582"/>
    </row>
    <row r="2583" spans="6:6" x14ac:dyDescent="0.2">
      <c r="F2583"/>
    </row>
    <row r="2584" spans="6:6" x14ac:dyDescent="0.2">
      <c r="F2584"/>
    </row>
    <row r="2585" spans="6:6" x14ac:dyDescent="0.2">
      <c r="F2585"/>
    </row>
    <row r="2586" spans="6:6" x14ac:dyDescent="0.2">
      <c r="F2586"/>
    </row>
    <row r="2587" spans="6:6" x14ac:dyDescent="0.2">
      <c r="F2587"/>
    </row>
    <row r="2588" spans="6:6" x14ac:dyDescent="0.2">
      <c r="F2588"/>
    </row>
    <row r="2589" spans="6:6" x14ac:dyDescent="0.2">
      <c r="F2589"/>
    </row>
    <row r="2590" spans="6:6" x14ac:dyDescent="0.2">
      <c r="F2590"/>
    </row>
    <row r="2591" spans="6:6" x14ac:dyDescent="0.2">
      <c r="F2591"/>
    </row>
    <row r="2592" spans="6:6" x14ac:dyDescent="0.2">
      <c r="F2592"/>
    </row>
    <row r="2593" spans="6:6" x14ac:dyDescent="0.2">
      <c r="F2593"/>
    </row>
    <row r="2594" spans="6:6" x14ac:dyDescent="0.2">
      <c r="F2594"/>
    </row>
    <row r="2595" spans="6:6" x14ac:dyDescent="0.2">
      <c r="F2595"/>
    </row>
    <row r="2596" spans="6:6" x14ac:dyDescent="0.2">
      <c r="F2596"/>
    </row>
    <row r="2597" spans="6:6" x14ac:dyDescent="0.2">
      <c r="F2597"/>
    </row>
    <row r="2598" spans="6:6" x14ac:dyDescent="0.2">
      <c r="F2598"/>
    </row>
    <row r="2599" spans="6:6" x14ac:dyDescent="0.2">
      <c r="F2599"/>
    </row>
    <row r="2600" spans="6:6" x14ac:dyDescent="0.2">
      <c r="F2600"/>
    </row>
    <row r="2601" spans="6:6" x14ac:dyDescent="0.2">
      <c r="F2601"/>
    </row>
    <row r="2602" spans="6:6" x14ac:dyDescent="0.2">
      <c r="F2602"/>
    </row>
    <row r="2603" spans="6:6" x14ac:dyDescent="0.2">
      <c r="F2603"/>
    </row>
    <row r="2604" spans="6:6" x14ac:dyDescent="0.2">
      <c r="F2604"/>
    </row>
    <row r="2605" spans="6:6" x14ac:dyDescent="0.2">
      <c r="F2605"/>
    </row>
    <row r="2606" spans="6:6" x14ac:dyDescent="0.2">
      <c r="F2606"/>
    </row>
    <row r="2607" spans="6:6" x14ac:dyDescent="0.2">
      <c r="F2607"/>
    </row>
    <row r="2608" spans="6:6" x14ac:dyDescent="0.2">
      <c r="F2608"/>
    </row>
    <row r="2609" spans="6:6" x14ac:dyDescent="0.2">
      <c r="F2609"/>
    </row>
    <row r="2610" spans="6:6" x14ac:dyDescent="0.2">
      <c r="F2610"/>
    </row>
    <row r="2611" spans="6:6" x14ac:dyDescent="0.2">
      <c r="F2611"/>
    </row>
    <row r="2612" spans="6:6" x14ac:dyDescent="0.2">
      <c r="F2612"/>
    </row>
    <row r="2613" spans="6:6" x14ac:dyDescent="0.2">
      <c r="F2613"/>
    </row>
    <row r="2614" spans="6:6" x14ac:dyDescent="0.2">
      <c r="F2614"/>
    </row>
    <row r="2615" spans="6:6" x14ac:dyDescent="0.2">
      <c r="F2615"/>
    </row>
    <row r="2616" spans="6:6" x14ac:dyDescent="0.2">
      <c r="F2616"/>
    </row>
    <row r="2617" spans="6:6" x14ac:dyDescent="0.2">
      <c r="F2617"/>
    </row>
    <row r="2618" spans="6:6" x14ac:dyDescent="0.2">
      <c r="F2618"/>
    </row>
    <row r="2619" spans="6:6" x14ac:dyDescent="0.2">
      <c r="F2619"/>
    </row>
    <row r="2620" spans="6:6" x14ac:dyDescent="0.2">
      <c r="F2620"/>
    </row>
    <row r="2621" spans="6:6" x14ac:dyDescent="0.2">
      <c r="F2621"/>
    </row>
    <row r="2622" spans="6:6" x14ac:dyDescent="0.2">
      <c r="F2622"/>
    </row>
    <row r="2623" spans="6:6" x14ac:dyDescent="0.2">
      <c r="F2623"/>
    </row>
    <row r="2624" spans="6:6" x14ac:dyDescent="0.2">
      <c r="F2624"/>
    </row>
    <row r="2625" spans="6:6" x14ac:dyDescent="0.2">
      <c r="F2625"/>
    </row>
    <row r="2626" spans="6:6" x14ac:dyDescent="0.2">
      <c r="F2626"/>
    </row>
    <row r="2627" spans="6:6" x14ac:dyDescent="0.2">
      <c r="F2627"/>
    </row>
    <row r="2628" spans="6:6" x14ac:dyDescent="0.2">
      <c r="F2628"/>
    </row>
    <row r="2629" spans="6:6" x14ac:dyDescent="0.2">
      <c r="F2629"/>
    </row>
    <row r="2630" spans="6:6" x14ac:dyDescent="0.2">
      <c r="F2630"/>
    </row>
    <row r="2631" spans="6:6" x14ac:dyDescent="0.2">
      <c r="F2631"/>
    </row>
    <row r="2632" spans="6:6" x14ac:dyDescent="0.2">
      <c r="F2632"/>
    </row>
    <row r="2633" spans="6:6" x14ac:dyDescent="0.2">
      <c r="F2633"/>
    </row>
    <row r="2634" spans="6:6" x14ac:dyDescent="0.2">
      <c r="F2634"/>
    </row>
    <row r="2635" spans="6:6" x14ac:dyDescent="0.2">
      <c r="F2635"/>
    </row>
    <row r="2636" spans="6:6" x14ac:dyDescent="0.2">
      <c r="F2636"/>
    </row>
    <row r="2637" spans="6:6" x14ac:dyDescent="0.2">
      <c r="F2637"/>
    </row>
    <row r="2638" spans="6:6" x14ac:dyDescent="0.2">
      <c r="F2638"/>
    </row>
    <row r="2639" spans="6:6" x14ac:dyDescent="0.2">
      <c r="F2639"/>
    </row>
    <row r="2640" spans="6:6" x14ac:dyDescent="0.2">
      <c r="F2640"/>
    </row>
    <row r="2641" spans="6:6" x14ac:dyDescent="0.2">
      <c r="F2641"/>
    </row>
    <row r="2642" spans="6:6" x14ac:dyDescent="0.2">
      <c r="F2642"/>
    </row>
    <row r="2643" spans="6:6" x14ac:dyDescent="0.2">
      <c r="F2643"/>
    </row>
    <row r="2644" spans="6:6" x14ac:dyDescent="0.2">
      <c r="F2644"/>
    </row>
    <row r="2645" spans="6:6" x14ac:dyDescent="0.2">
      <c r="F2645"/>
    </row>
    <row r="2646" spans="6:6" x14ac:dyDescent="0.2">
      <c r="F2646"/>
    </row>
    <row r="2647" spans="6:6" x14ac:dyDescent="0.2">
      <c r="F2647"/>
    </row>
    <row r="2648" spans="6:6" x14ac:dyDescent="0.2">
      <c r="F2648"/>
    </row>
    <row r="2649" spans="6:6" x14ac:dyDescent="0.2">
      <c r="F2649"/>
    </row>
    <row r="2650" spans="6:6" x14ac:dyDescent="0.2">
      <c r="F2650"/>
    </row>
    <row r="2651" spans="6:6" x14ac:dyDescent="0.2">
      <c r="F2651"/>
    </row>
    <row r="2652" spans="6:6" x14ac:dyDescent="0.2">
      <c r="F2652"/>
    </row>
    <row r="2653" spans="6:6" x14ac:dyDescent="0.2">
      <c r="F2653"/>
    </row>
    <row r="2654" spans="6:6" x14ac:dyDescent="0.2">
      <c r="F2654"/>
    </row>
    <row r="2655" spans="6:6" x14ac:dyDescent="0.2">
      <c r="F2655"/>
    </row>
    <row r="2656" spans="6:6" x14ac:dyDescent="0.2">
      <c r="F2656"/>
    </row>
    <row r="2657" spans="6:6" x14ac:dyDescent="0.2">
      <c r="F2657"/>
    </row>
    <row r="2658" spans="6:6" x14ac:dyDescent="0.2">
      <c r="F2658"/>
    </row>
    <row r="2659" spans="6:6" x14ac:dyDescent="0.2">
      <c r="F2659"/>
    </row>
    <row r="2660" spans="6:6" x14ac:dyDescent="0.2">
      <c r="F2660"/>
    </row>
    <row r="2661" spans="6:6" x14ac:dyDescent="0.2">
      <c r="F2661"/>
    </row>
    <row r="2662" spans="6:6" x14ac:dyDescent="0.2">
      <c r="F2662"/>
    </row>
    <row r="2663" spans="6:6" x14ac:dyDescent="0.2">
      <c r="F2663"/>
    </row>
    <row r="2664" spans="6:6" x14ac:dyDescent="0.2">
      <c r="F2664"/>
    </row>
    <row r="2665" spans="6:6" x14ac:dyDescent="0.2">
      <c r="F2665"/>
    </row>
    <row r="2666" spans="6:6" x14ac:dyDescent="0.2">
      <c r="F2666"/>
    </row>
    <row r="2667" spans="6:6" x14ac:dyDescent="0.2">
      <c r="F2667"/>
    </row>
    <row r="2668" spans="6:6" x14ac:dyDescent="0.2">
      <c r="F2668"/>
    </row>
    <row r="2669" spans="6:6" x14ac:dyDescent="0.2">
      <c r="F2669"/>
    </row>
    <row r="2670" spans="6:6" x14ac:dyDescent="0.2">
      <c r="F2670"/>
    </row>
    <row r="2671" spans="6:6" x14ac:dyDescent="0.2">
      <c r="F2671"/>
    </row>
    <row r="2672" spans="6:6" x14ac:dyDescent="0.2">
      <c r="F2672"/>
    </row>
    <row r="2673" spans="6:6" x14ac:dyDescent="0.2">
      <c r="F2673"/>
    </row>
    <row r="2674" spans="6:6" x14ac:dyDescent="0.2">
      <c r="F2674"/>
    </row>
    <row r="2675" spans="6:6" x14ac:dyDescent="0.2">
      <c r="F2675"/>
    </row>
    <row r="2676" spans="6:6" x14ac:dyDescent="0.2">
      <c r="F2676"/>
    </row>
    <row r="2677" spans="6:6" x14ac:dyDescent="0.2">
      <c r="F2677"/>
    </row>
    <row r="2678" spans="6:6" x14ac:dyDescent="0.2">
      <c r="F2678"/>
    </row>
    <row r="2679" spans="6:6" x14ac:dyDescent="0.2">
      <c r="F2679"/>
    </row>
    <row r="2680" spans="6:6" x14ac:dyDescent="0.2">
      <c r="F2680"/>
    </row>
    <row r="2681" spans="6:6" x14ac:dyDescent="0.2">
      <c r="F2681"/>
    </row>
    <row r="2682" spans="6:6" x14ac:dyDescent="0.2">
      <c r="F2682"/>
    </row>
    <row r="2683" spans="6:6" x14ac:dyDescent="0.2">
      <c r="F2683"/>
    </row>
    <row r="2684" spans="6:6" x14ac:dyDescent="0.2">
      <c r="F2684"/>
    </row>
    <row r="2685" spans="6:6" x14ac:dyDescent="0.2">
      <c r="F2685"/>
    </row>
    <row r="2686" spans="6:6" x14ac:dyDescent="0.2">
      <c r="F2686"/>
    </row>
    <row r="2687" spans="6:6" x14ac:dyDescent="0.2">
      <c r="F2687"/>
    </row>
    <row r="2688" spans="6:6" x14ac:dyDescent="0.2">
      <c r="F2688"/>
    </row>
    <row r="2689" spans="6:6" x14ac:dyDescent="0.2">
      <c r="F2689"/>
    </row>
    <row r="2690" spans="6:6" x14ac:dyDescent="0.2">
      <c r="F2690"/>
    </row>
    <row r="2691" spans="6:6" x14ac:dyDescent="0.2">
      <c r="F2691"/>
    </row>
    <row r="2692" spans="6:6" x14ac:dyDescent="0.2">
      <c r="F2692"/>
    </row>
    <row r="2693" spans="6:6" x14ac:dyDescent="0.2">
      <c r="F2693"/>
    </row>
    <row r="2694" spans="6:6" x14ac:dyDescent="0.2">
      <c r="F2694"/>
    </row>
    <row r="2695" spans="6:6" x14ac:dyDescent="0.2">
      <c r="F2695"/>
    </row>
    <row r="2696" spans="6:6" x14ac:dyDescent="0.2">
      <c r="F2696"/>
    </row>
    <row r="2697" spans="6:6" x14ac:dyDescent="0.2">
      <c r="F2697"/>
    </row>
    <row r="2698" spans="6:6" x14ac:dyDescent="0.2">
      <c r="F2698"/>
    </row>
    <row r="2699" spans="6:6" x14ac:dyDescent="0.2">
      <c r="F2699"/>
    </row>
    <row r="2700" spans="6:6" x14ac:dyDescent="0.2">
      <c r="F2700"/>
    </row>
    <row r="2701" spans="6:6" x14ac:dyDescent="0.2">
      <c r="F2701"/>
    </row>
    <row r="2702" spans="6:6" x14ac:dyDescent="0.2">
      <c r="F2702"/>
    </row>
    <row r="2703" spans="6:6" x14ac:dyDescent="0.2">
      <c r="F2703"/>
    </row>
    <row r="2704" spans="6:6" x14ac:dyDescent="0.2">
      <c r="F2704"/>
    </row>
    <row r="2705" spans="6:6" x14ac:dyDescent="0.2">
      <c r="F2705"/>
    </row>
    <row r="2706" spans="6:6" x14ac:dyDescent="0.2">
      <c r="F2706"/>
    </row>
    <row r="2707" spans="6:6" x14ac:dyDescent="0.2">
      <c r="F2707"/>
    </row>
    <row r="2708" spans="6:6" x14ac:dyDescent="0.2">
      <c r="F2708"/>
    </row>
    <row r="2709" spans="6:6" x14ac:dyDescent="0.2">
      <c r="F2709"/>
    </row>
    <row r="2710" spans="6:6" x14ac:dyDescent="0.2">
      <c r="F2710"/>
    </row>
    <row r="2711" spans="6:6" x14ac:dyDescent="0.2">
      <c r="F2711"/>
    </row>
    <row r="2712" spans="6:6" x14ac:dyDescent="0.2">
      <c r="F2712"/>
    </row>
    <row r="2713" spans="6:6" x14ac:dyDescent="0.2">
      <c r="F2713"/>
    </row>
    <row r="2714" spans="6:6" x14ac:dyDescent="0.2">
      <c r="F2714"/>
    </row>
    <row r="2715" spans="6:6" x14ac:dyDescent="0.2">
      <c r="F2715"/>
    </row>
    <row r="2716" spans="6:6" x14ac:dyDescent="0.2">
      <c r="F2716"/>
    </row>
    <row r="2717" spans="6:6" x14ac:dyDescent="0.2">
      <c r="F2717"/>
    </row>
    <row r="2718" spans="6:6" x14ac:dyDescent="0.2">
      <c r="F2718"/>
    </row>
    <row r="2719" spans="6:6" x14ac:dyDescent="0.2">
      <c r="F2719"/>
    </row>
    <row r="2720" spans="6:6" x14ac:dyDescent="0.2">
      <c r="F2720"/>
    </row>
    <row r="2721" spans="6:6" x14ac:dyDescent="0.2">
      <c r="F2721"/>
    </row>
    <row r="2722" spans="6:6" x14ac:dyDescent="0.2">
      <c r="F2722"/>
    </row>
    <row r="2723" spans="6:6" x14ac:dyDescent="0.2">
      <c r="F2723"/>
    </row>
    <row r="2724" spans="6:6" x14ac:dyDescent="0.2">
      <c r="F2724"/>
    </row>
    <row r="2725" spans="6:6" x14ac:dyDescent="0.2">
      <c r="F2725"/>
    </row>
    <row r="2726" spans="6:6" x14ac:dyDescent="0.2">
      <c r="F2726"/>
    </row>
    <row r="2727" spans="6:6" x14ac:dyDescent="0.2">
      <c r="F2727"/>
    </row>
    <row r="2728" spans="6:6" x14ac:dyDescent="0.2">
      <c r="F2728"/>
    </row>
    <row r="2729" spans="6:6" x14ac:dyDescent="0.2">
      <c r="F2729"/>
    </row>
    <row r="2730" spans="6:6" x14ac:dyDescent="0.2">
      <c r="F2730"/>
    </row>
    <row r="2731" spans="6:6" x14ac:dyDescent="0.2">
      <c r="F2731"/>
    </row>
    <row r="2732" spans="6:6" x14ac:dyDescent="0.2">
      <c r="F2732"/>
    </row>
    <row r="2733" spans="6:6" x14ac:dyDescent="0.2">
      <c r="F2733"/>
    </row>
    <row r="2734" spans="6:6" x14ac:dyDescent="0.2">
      <c r="F2734"/>
    </row>
    <row r="2735" spans="6:6" x14ac:dyDescent="0.2">
      <c r="F2735"/>
    </row>
    <row r="2736" spans="6:6" x14ac:dyDescent="0.2">
      <c r="F2736"/>
    </row>
    <row r="2737" spans="6:6" x14ac:dyDescent="0.2">
      <c r="F2737"/>
    </row>
    <row r="2738" spans="6:6" x14ac:dyDescent="0.2">
      <c r="F2738"/>
    </row>
    <row r="2739" spans="6:6" x14ac:dyDescent="0.2">
      <c r="F2739"/>
    </row>
    <row r="2740" spans="6:6" x14ac:dyDescent="0.2">
      <c r="F2740"/>
    </row>
    <row r="2741" spans="6:6" x14ac:dyDescent="0.2">
      <c r="F2741"/>
    </row>
    <row r="2742" spans="6:6" x14ac:dyDescent="0.2">
      <c r="F2742"/>
    </row>
    <row r="2743" spans="6:6" x14ac:dyDescent="0.2">
      <c r="F2743"/>
    </row>
    <row r="2744" spans="6:6" x14ac:dyDescent="0.2">
      <c r="F2744"/>
    </row>
    <row r="2745" spans="6:6" x14ac:dyDescent="0.2">
      <c r="F2745"/>
    </row>
    <row r="2746" spans="6:6" x14ac:dyDescent="0.2">
      <c r="F2746"/>
    </row>
    <row r="2747" spans="6:6" x14ac:dyDescent="0.2">
      <c r="F2747"/>
    </row>
    <row r="2748" spans="6:6" x14ac:dyDescent="0.2">
      <c r="F2748"/>
    </row>
    <row r="2749" spans="6:6" x14ac:dyDescent="0.2">
      <c r="F2749"/>
    </row>
    <row r="2750" spans="6:6" x14ac:dyDescent="0.2">
      <c r="F2750"/>
    </row>
    <row r="2751" spans="6:6" x14ac:dyDescent="0.2">
      <c r="F2751"/>
    </row>
    <row r="2752" spans="6:6" x14ac:dyDescent="0.2">
      <c r="F2752"/>
    </row>
    <row r="2753" spans="6:6" x14ac:dyDescent="0.2">
      <c r="F2753"/>
    </row>
    <row r="2754" spans="6:6" x14ac:dyDescent="0.2">
      <c r="F2754"/>
    </row>
    <row r="2755" spans="6:6" x14ac:dyDescent="0.2">
      <c r="F2755"/>
    </row>
    <row r="2756" spans="6:6" x14ac:dyDescent="0.2">
      <c r="F2756"/>
    </row>
    <row r="2757" spans="6:6" x14ac:dyDescent="0.2">
      <c r="F2757"/>
    </row>
    <row r="2758" spans="6:6" x14ac:dyDescent="0.2">
      <c r="F2758"/>
    </row>
    <row r="2759" spans="6:6" x14ac:dyDescent="0.2">
      <c r="F2759"/>
    </row>
    <row r="2760" spans="6:6" x14ac:dyDescent="0.2">
      <c r="F2760"/>
    </row>
    <row r="2761" spans="6:6" x14ac:dyDescent="0.2">
      <c r="F2761"/>
    </row>
    <row r="2762" spans="6:6" x14ac:dyDescent="0.2">
      <c r="F2762"/>
    </row>
    <row r="2763" spans="6:6" x14ac:dyDescent="0.2">
      <c r="F2763"/>
    </row>
    <row r="2764" spans="6:6" x14ac:dyDescent="0.2">
      <c r="F2764"/>
    </row>
    <row r="2765" spans="6:6" x14ac:dyDescent="0.2">
      <c r="F2765"/>
    </row>
    <row r="2766" spans="6:6" x14ac:dyDescent="0.2">
      <c r="F2766"/>
    </row>
    <row r="2767" spans="6:6" x14ac:dyDescent="0.2">
      <c r="F2767"/>
    </row>
    <row r="2768" spans="6:6" x14ac:dyDescent="0.2">
      <c r="F2768"/>
    </row>
    <row r="2769" spans="6:6" x14ac:dyDescent="0.2">
      <c r="F2769"/>
    </row>
    <row r="2770" spans="6:6" x14ac:dyDescent="0.2">
      <c r="F2770"/>
    </row>
    <row r="2771" spans="6:6" x14ac:dyDescent="0.2">
      <c r="F2771"/>
    </row>
    <row r="2772" spans="6:6" x14ac:dyDescent="0.2">
      <c r="F2772"/>
    </row>
    <row r="2773" spans="6:6" x14ac:dyDescent="0.2">
      <c r="F2773"/>
    </row>
    <row r="2774" spans="6:6" x14ac:dyDescent="0.2">
      <c r="F2774"/>
    </row>
    <row r="2775" spans="6:6" x14ac:dyDescent="0.2">
      <c r="F2775"/>
    </row>
    <row r="2776" spans="6:6" x14ac:dyDescent="0.2">
      <c r="F2776"/>
    </row>
    <row r="2777" spans="6:6" x14ac:dyDescent="0.2">
      <c r="F2777"/>
    </row>
    <row r="2778" spans="6:6" x14ac:dyDescent="0.2">
      <c r="F2778"/>
    </row>
    <row r="2779" spans="6:6" x14ac:dyDescent="0.2">
      <c r="F2779"/>
    </row>
    <row r="2780" spans="6:6" x14ac:dyDescent="0.2">
      <c r="F2780"/>
    </row>
    <row r="2781" spans="6:6" x14ac:dyDescent="0.2">
      <c r="F2781"/>
    </row>
    <row r="2782" spans="6:6" x14ac:dyDescent="0.2">
      <c r="F2782"/>
    </row>
    <row r="2783" spans="6:6" x14ac:dyDescent="0.2">
      <c r="F2783"/>
    </row>
    <row r="2784" spans="6:6" x14ac:dyDescent="0.2">
      <c r="F2784"/>
    </row>
    <row r="2785" spans="6:6" x14ac:dyDescent="0.2">
      <c r="F2785"/>
    </row>
    <row r="2786" spans="6:6" x14ac:dyDescent="0.2">
      <c r="F2786"/>
    </row>
    <row r="2787" spans="6:6" x14ac:dyDescent="0.2">
      <c r="F2787"/>
    </row>
    <row r="2788" spans="6:6" x14ac:dyDescent="0.2">
      <c r="F2788"/>
    </row>
    <row r="2789" spans="6:6" x14ac:dyDescent="0.2">
      <c r="F2789"/>
    </row>
    <row r="2790" spans="6:6" x14ac:dyDescent="0.2">
      <c r="F2790"/>
    </row>
    <row r="2791" spans="6:6" x14ac:dyDescent="0.2">
      <c r="F2791"/>
    </row>
    <row r="2792" spans="6:6" x14ac:dyDescent="0.2">
      <c r="F2792"/>
    </row>
    <row r="2793" spans="6:6" x14ac:dyDescent="0.2">
      <c r="F2793"/>
    </row>
    <row r="2794" spans="6:6" x14ac:dyDescent="0.2">
      <c r="F2794"/>
    </row>
    <row r="2795" spans="6:6" x14ac:dyDescent="0.2">
      <c r="F2795"/>
    </row>
    <row r="2796" spans="6:6" x14ac:dyDescent="0.2">
      <c r="F2796"/>
    </row>
    <row r="2797" spans="6:6" x14ac:dyDescent="0.2">
      <c r="F2797"/>
    </row>
    <row r="2798" spans="6:6" x14ac:dyDescent="0.2">
      <c r="F2798"/>
    </row>
    <row r="2799" spans="6:6" x14ac:dyDescent="0.2">
      <c r="F2799"/>
    </row>
    <row r="2800" spans="6:6" x14ac:dyDescent="0.2">
      <c r="F2800"/>
    </row>
    <row r="2801" spans="6:6" x14ac:dyDescent="0.2">
      <c r="F2801"/>
    </row>
    <row r="2802" spans="6:6" x14ac:dyDescent="0.2">
      <c r="F2802"/>
    </row>
    <row r="2803" spans="6:6" x14ac:dyDescent="0.2">
      <c r="F2803"/>
    </row>
    <row r="2804" spans="6:6" x14ac:dyDescent="0.2">
      <c r="F2804"/>
    </row>
    <row r="2805" spans="6:6" x14ac:dyDescent="0.2">
      <c r="F2805"/>
    </row>
    <row r="2806" spans="6:6" x14ac:dyDescent="0.2">
      <c r="F2806"/>
    </row>
    <row r="2807" spans="6:6" x14ac:dyDescent="0.2">
      <c r="F2807"/>
    </row>
    <row r="2808" spans="6:6" x14ac:dyDescent="0.2">
      <c r="F2808"/>
    </row>
    <row r="2809" spans="6:6" x14ac:dyDescent="0.2">
      <c r="F2809"/>
    </row>
    <row r="2810" spans="6:6" x14ac:dyDescent="0.2">
      <c r="F2810"/>
    </row>
    <row r="2811" spans="6:6" x14ac:dyDescent="0.2">
      <c r="F2811"/>
    </row>
    <row r="2812" spans="6:6" x14ac:dyDescent="0.2">
      <c r="F2812"/>
    </row>
    <row r="2813" spans="6:6" x14ac:dyDescent="0.2">
      <c r="F2813"/>
    </row>
    <row r="2814" spans="6:6" x14ac:dyDescent="0.2">
      <c r="F2814"/>
    </row>
    <row r="2815" spans="6:6" x14ac:dyDescent="0.2">
      <c r="F2815"/>
    </row>
    <row r="2816" spans="6:6" x14ac:dyDescent="0.2">
      <c r="F2816"/>
    </row>
    <row r="2817" spans="6:6" x14ac:dyDescent="0.2">
      <c r="F2817"/>
    </row>
    <row r="2818" spans="6:6" x14ac:dyDescent="0.2">
      <c r="F2818"/>
    </row>
    <row r="2819" spans="6:6" x14ac:dyDescent="0.2">
      <c r="F2819"/>
    </row>
    <row r="2820" spans="6:6" x14ac:dyDescent="0.2">
      <c r="F2820"/>
    </row>
    <row r="2821" spans="6:6" x14ac:dyDescent="0.2">
      <c r="F2821"/>
    </row>
    <row r="2822" spans="6:6" x14ac:dyDescent="0.2">
      <c r="F2822"/>
    </row>
    <row r="2823" spans="6:6" x14ac:dyDescent="0.2">
      <c r="F2823"/>
    </row>
    <row r="2824" spans="6:6" x14ac:dyDescent="0.2">
      <c r="F2824"/>
    </row>
    <row r="2825" spans="6:6" x14ac:dyDescent="0.2">
      <c r="F2825"/>
    </row>
    <row r="2826" spans="6:6" x14ac:dyDescent="0.2">
      <c r="F2826"/>
    </row>
    <row r="2827" spans="6:6" x14ac:dyDescent="0.2">
      <c r="F2827"/>
    </row>
    <row r="2828" spans="6:6" x14ac:dyDescent="0.2">
      <c r="F2828"/>
    </row>
    <row r="2829" spans="6:6" x14ac:dyDescent="0.2">
      <c r="F2829"/>
    </row>
    <row r="2830" spans="6:6" x14ac:dyDescent="0.2">
      <c r="F2830"/>
    </row>
    <row r="2831" spans="6:6" x14ac:dyDescent="0.2">
      <c r="F2831"/>
    </row>
    <row r="2832" spans="6:6" x14ac:dyDescent="0.2">
      <c r="F2832"/>
    </row>
    <row r="2833" spans="6:6" x14ac:dyDescent="0.2">
      <c r="F2833"/>
    </row>
    <row r="2834" spans="6:6" x14ac:dyDescent="0.2">
      <c r="F2834"/>
    </row>
    <row r="2835" spans="6:6" x14ac:dyDescent="0.2">
      <c r="F2835"/>
    </row>
    <row r="2836" spans="6:6" x14ac:dyDescent="0.2">
      <c r="F2836"/>
    </row>
    <row r="2837" spans="6:6" x14ac:dyDescent="0.2">
      <c r="F2837"/>
    </row>
    <row r="2838" spans="6:6" x14ac:dyDescent="0.2">
      <c r="F2838"/>
    </row>
    <row r="2839" spans="6:6" x14ac:dyDescent="0.2">
      <c r="F2839"/>
    </row>
    <row r="2840" spans="6:6" x14ac:dyDescent="0.2">
      <c r="F2840"/>
    </row>
    <row r="2841" spans="6:6" x14ac:dyDescent="0.2">
      <c r="F2841"/>
    </row>
    <row r="2842" spans="6:6" x14ac:dyDescent="0.2">
      <c r="F2842"/>
    </row>
    <row r="2843" spans="6:6" x14ac:dyDescent="0.2">
      <c r="F2843"/>
    </row>
    <row r="2844" spans="6:6" x14ac:dyDescent="0.2">
      <c r="F2844"/>
    </row>
    <row r="2845" spans="6:6" x14ac:dyDescent="0.2">
      <c r="F2845"/>
    </row>
    <row r="2846" spans="6:6" x14ac:dyDescent="0.2">
      <c r="F2846"/>
    </row>
    <row r="2847" spans="6:6" x14ac:dyDescent="0.2">
      <c r="F2847"/>
    </row>
    <row r="2848" spans="6:6" x14ac:dyDescent="0.2">
      <c r="F2848"/>
    </row>
    <row r="2849" spans="6:6" x14ac:dyDescent="0.2">
      <c r="F2849"/>
    </row>
    <row r="2850" spans="6:6" x14ac:dyDescent="0.2">
      <c r="F2850"/>
    </row>
    <row r="2851" spans="6:6" x14ac:dyDescent="0.2">
      <c r="F2851"/>
    </row>
    <row r="2852" spans="6:6" x14ac:dyDescent="0.2">
      <c r="F2852"/>
    </row>
    <row r="2853" spans="6:6" x14ac:dyDescent="0.2">
      <c r="F2853"/>
    </row>
    <row r="2854" spans="6:6" x14ac:dyDescent="0.2">
      <c r="F2854"/>
    </row>
    <row r="2855" spans="6:6" x14ac:dyDescent="0.2">
      <c r="F2855"/>
    </row>
    <row r="2856" spans="6:6" x14ac:dyDescent="0.2">
      <c r="F2856"/>
    </row>
    <row r="2857" spans="6:6" x14ac:dyDescent="0.2">
      <c r="F2857"/>
    </row>
    <row r="2858" spans="6:6" x14ac:dyDescent="0.2">
      <c r="F2858"/>
    </row>
    <row r="2859" spans="6:6" x14ac:dyDescent="0.2">
      <c r="F2859"/>
    </row>
    <row r="2860" spans="6:6" x14ac:dyDescent="0.2">
      <c r="F2860"/>
    </row>
    <row r="2861" spans="6:6" x14ac:dyDescent="0.2">
      <c r="F2861"/>
    </row>
    <row r="2862" spans="6:6" x14ac:dyDescent="0.2">
      <c r="F2862"/>
    </row>
    <row r="2863" spans="6:6" x14ac:dyDescent="0.2">
      <c r="F2863"/>
    </row>
    <row r="2864" spans="6:6" x14ac:dyDescent="0.2">
      <c r="F2864"/>
    </row>
    <row r="2865" spans="6:6" x14ac:dyDescent="0.2">
      <c r="F2865"/>
    </row>
    <row r="2866" spans="6:6" x14ac:dyDescent="0.2">
      <c r="F2866"/>
    </row>
    <row r="2867" spans="6:6" x14ac:dyDescent="0.2">
      <c r="F2867"/>
    </row>
    <row r="2868" spans="6:6" x14ac:dyDescent="0.2">
      <c r="F2868"/>
    </row>
    <row r="2869" spans="6:6" x14ac:dyDescent="0.2">
      <c r="F2869"/>
    </row>
    <row r="2870" spans="6:6" x14ac:dyDescent="0.2">
      <c r="F2870"/>
    </row>
    <row r="2871" spans="6:6" x14ac:dyDescent="0.2">
      <c r="F2871"/>
    </row>
    <row r="2872" spans="6:6" x14ac:dyDescent="0.2">
      <c r="F2872"/>
    </row>
    <row r="2873" spans="6:6" x14ac:dyDescent="0.2">
      <c r="F2873"/>
    </row>
    <row r="2874" spans="6:6" x14ac:dyDescent="0.2">
      <c r="F2874"/>
    </row>
    <row r="2875" spans="6:6" x14ac:dyDescent="0.2">
      <c r="F2875"/>
    </row>
    <row r="2876" spans="6:6" x14ac:dyDescent="0.2">
      <c r="F2876"/>
    </row>
    <row r="2877" spans="6:6" x14ac:dyDescent="0.2">
      <c r="F2877"/>
    </row>
    <row r="2878" spans="6:6" x14ac:dyDescent="0.2">
      <c r="F2878"/>
    </row>
    <row r="2879" spans="6:6" x14ac:dyDescent="0.2">
      <c r="F2879"/>
    </row>
    <row r="2880" spans="6:6" x14ac:dyDescent="0.2">
      <c r="F2880"/>
    </row>
    <row r="2881" spans="6:6" x14ac:dyDescent="0.2">
      <c r="F2881"/>
    </row>
    <row r="2882" spans="6:6" x14ac:dyDescent="0.2">
      <c r="F2882"/>
    </row>
    <row r="2883" spans="6:6" x14ac:dyDescent="0.2">
      <c r="F2883"/>
    </row>
    <row r="2884" spans="6:6" x14ac:dyDescent="0.2">
      <c r="F2884"/>
    </row>
    <row r="2885" spans="6:6" x14ac:dyDescent="0.2">
      <c r="F2885"/>
    </row>
    <row r="2886" spans="6:6" x14ac:dyDescent="0.2">
      <c r="F2886"/>
    </row>
    <row r="2887" spans="6:6" x14ac:dyDescent="0.2">
      <c r="F2887"/>
    </row>
    <row r="2888" spans="6:6" x14ac:dyDescent="0.2">
      <c r="F2888"/>
    </row>
    <row r="2889" spans="6:6" x14ac:dyDescent="0.2">
      <c r="F2889"/>
    </row>
    <row r="2890" spans="6:6" x14ac:dyDescent="0.2">
      <c r="F2890"/>
    </row>
    <row r="2891" spans="6:6" x14ac:dyDescent="0.2">
      <c r="F2891"/>
    </row>
    <row r="2892" spans="6:6" x14ac:dyDescent="0.2">
      <c r="F2892"/>
    </row>
    <row r="2893" spans="6:6" x14ac:dyDescent="0.2">
      <c r="F2893"/>
    </row>
    <row r="2894" spans="6:6" x14ac:dyDescent="0.2">
      <c r="F2894"/>
    </row>
    <row r="2895" spans="6:6" x14ac:dyDescent="0.2">
      <c r="F2895"/>
    </row>
    <row r="2896" spans="6:6" x14ac:dyDescent="0.2">
      <c r="F2896"/>
    </row>
    <row r="2897" spans="6:6" x14ac:dyDescent="0.2">
      <c r="F2897"/>
    </row>
    <row r="2898" spans="6:6" x14ac:dyDescent="0.2">
      <c r="F2898"/>
    </row>
    <row r="2899" spans="6:6" x14ac:dyDescent="0.2">
      <c r="F2899"/>
    </row>
    <row r="2900" spans="6:6" x14ac:dyDescent="0.2">
      <c r="F2900"/>
    </row>
    <row r="2901" spans="6:6" x14ac:dyDescent="0.2">
      <c r="F2901"/>
    </row>
    <row r="2902" spans="6:6" x14ac:dyDescent="0.2">
      <c r="F2902"/>
    </row>
    <row r="2903" spans="6:6" x14ac:dyDescent="0.2">
      <c r="F2903"/>
    </row>
    <row r="2904" spans="6:6" x14ac:dyDescent="0.2">
      <c r="F2904"/>
    </row>
    <row r="2905" spans="6:6" x14ac:dyDescent="0.2">
      <c r="F2905"/>
    </row>
    <row r="2906" spans="6:6" x14ac:dyDescent="0.2">
      <c r="F2906"/>
    </row>
    <row r="2907" spans="6:6" x14ac:dyDescent="0.2">
      <c r="F2907"/>
    </row>
    <row r="2908" spans="6:6" x14ac:dyDescent="0.2">
      <c r="F2908"/>
    </row>
    <row r="2909" spans="6:6" x14ac:dyDescent="0.2">
      <c r="F2909"/>
    </row>
    <row r="2910" spans="6:6" x14ac:dyDescent="0.2">
      <c r="F2910"/>
    </row>
    <row r="2911" spans="6:6" x14ac:dyDescent="0.2">
      <c r="F2911"/>
    </row>
    <row r="2912" spans="6:6" x14ac:dyDescent="0.2">
      <c r="F2912"/>
    </row>
    <row r="2913" spans="6:6" x14ac:dyDescent="0.2">
      <c r="F2913"/>
    </row>
    <row r="2914" spans="6:6" x14ac:dyDescent="0.2">
      <c r="F2914"/>
    </row>
    <row r="2915" spans="6:6" x14ac:dyDescent="0.2">
      <c r="F2915"/>
    </row>
    <row r="2916" spans="6:6" x14ac:dyDescent="0.2">
      <c r="F2916"/>
    </row>
    <row r="2917" spans="6:6" x14ac:dyDescent="0.2">
      <c r="F2917"/>
    </row>
    <row r="2918" spans="6:6" x14ac:dyDescent="0.2">
      <c r="F2918"/>
    </row>
    <row r="2919" spans="6:6" x14ac:dyDescent="0.2">
      <c r="F2919"/>
    </row>
    <row r="2920" spans="6:6" x14ac:dyDescent="0.2">
      <c r="F2920"/>
    </row>
    <row r="2921" spans="6:6" x14ac:dyDescent="0.2">
      <c r="F2921"/>
    </row>
    <row r="2922" spans="6:6" x14ac:dyDescent="0.2">
      <c r="F2922"/>
    </row>
    <row r="2923" spans="6:6" x14ac:dyDescent="0.2">
      <c r="F2923"/>
    </row>
    <row r="2924" spans="6:6" x14ac:dyDescent="0.2">
      <c r="F2924"/>
    </row>
    <row r="2925" spans="6:6" x14ac:dyDescent="0.2">
      <c r="F2925"/>
    </row>
    <row r="2926" spans="6:6" x14ac:dyDescent="0.2">
      <c r="F2926"/>
    </row>
    <row r="2927" spans="6:6" x14ac:dyDescent="0.2">
      <c r="F2927"/>
    </row>
    <row r="2928" spans="6:6" x14ac:dyDescent="0.2">
      <c r="F2928"/>
    </row>
    <row r="2929" spans="6:6" x14ac:dyDescent="0.2">
      <c r="F2929"/>
    </row>
    <row r="2930" spans="6:6" x14ac:dyDescent="0.2">
      <c r="F2930"/>
    </row>
    <row r="2931" spans="6:6" x14ac:dyDescent="0.2">
      <c r="F2931"/>
    </row>
    <row r="2932" spans="6:6" x14ac:dyDescent="0.2">
      <c r="F2932"/>
    </row>
    <row r="2933" spans="6:6" x14ac:dyDescent="0.2">
      <c r="F2933"/>
    </row>
    <row r="2934" spans="6:6" x14ac:dyDescent="0.2">
      <c r="F2934"/>
    </row>
    <row r="2935" spans="6:6" x14ac:dyDescent="0.2">
      <c r="F2935"/>
    </row>
    <row r="2936" spans="6:6" x14ac:dyDescent="0.2">
      <c r="F2936"/>
    </row>
    <row r="2937" spans="6:6" x14ac:dyDescent="0.2">
      <c r="F2937"/>
    </row>
    <row r="2938" spans="6:6" x14ac:dyDescent="0.2">
      <c r="F2938"/>
    </row>
    <row r="2939" spans="6:6" x14ac:dyDescent="0.2">
      <c r="F2939"/>
    </row>
    <row r="2940" spans="6:6" x14ac:dyDescent="0.2">
      <c r="F2940"/>
    </row>
    <row r="2941" spans="6:6" x14ac:dyDescent="0.2">
      <c r="F2941"/>
    </row>
    <row r="2942" spans="6:6" x14ac:dyDescent="0.2">
      <c r="F2942"/>
    </row>
    <row r="2943" spans="6:6" x14ac:dyDescent="0.2">
      <c r="F2943"/>
    </row>
    <row r="2944" spans="6:6" x14ac:dyDescent="0.2">
      <c r="F2944"/>
    </row>
    <row r="2945" spans="6:6" x14ac:dyDescent="0.2">
      <c r="F2945"/>
    </row>
    <row r="2946" spans="6:6" x14ac:dyDescent="0.2">
      <c r="F2946"/>
    </row>
    <row r="2947" spans="6:6" x14ac:dyDescent="0.2">
      <c r="F2947"/>
    </row>
    <row r="2948" spans="6:6" x14ac:dyDescent="0.2">
      <c r="F2948"/>
    </row>
    <row r="2949" spans="6:6" x14ac:dyDescent="0.2">
      <c r="F2949"/>
    </row>
    <row r="2950" spans="6:6" x14ac:dyDescent="0.2">
      <c r="F2950"/>
    </row>
    <row r="2951" spans="6:6" x14ac:dyDescent="0.2">
      <c r="F2951"/>
    </row>
    <row r="2952" spans="6:6" x14ac:dyDescent="0.2">
      <c r="F2952"/>
    </row>
    <row r="2953" spans="6:6" x14ac:dyDescent="0.2">
      <c r="F2953"/>
    </row>
    <row r="2954" spans="6:6" x14ac:dyDescent="0.2">
      <c r="F2954"/>
    </row>
    <row r="2955" spans="6:6" x14ac:dyDescent="0.2">
      <c r="F2955"/>
    </row>
    <row r="2956" spans="6:6" x14ac:dyDescent="0.2">
      <c r="F2956"/>
    </row>
    <row r="2957" spans="6:6" x14ac:dyDescent="0.2">
      <c r="F2957"/>
    </row>
    <row r="2958" spans="6:6" x14ac:dyDescent="0.2">
      <c r="F2958"/>
    </row>
    <row r="2959" spans="6:6" x14ac:dyDescent="0.2">
      <c r="F2959"/>
    </row>
    <row r="2960" spans="6:6" x14ac:dyDescent="0.2">
      <c r="F2960"/>
    </row>
    <row r="2961" spans="6:6" x14ac:dyDescent="0.2">
      <c r="F2961"/>
    </row>
    <row r="2962" spans="6:6" x14ac:dyDescent="0.2">
      <c r="F2962"/>
    </row>
    <row r="2963" spans="6:6" x14ac:dyDescent="0.2">
      <c r="F2963"/>
    </row>
    <row r="2964" spans="6:6" x14ac:dyDescent="0.2">
      <c r="F2964"/>
    </row>
    <row r="2965" spans="6:6" x14ac:dyDescent="0.2">
      <c r="F2965"/>
    </row>
    <row r="2966" spans="6:6" x14ac:dyDescent="0.2">
      <c r="F2966"/>
    </row>
    <row r="2967" spans="6:6" x14ac:dyDescent="0.2">
      <c r="F2967"/>
    </row>
    <row r="2968" spans="6:6" x14ac:dyDescent="0.2">
      <c r="F2968"/>
    </row>
    <row r="2969" spans="6:6" x14ac:dyDescent="0.2">
      <c r="F2969"/>
    </row>
    <row r="2970" spans="6:6" x14ac:dyDescent="0.2">
      <c r="F2970"/>
    </row>
    <row r="2971" spans="6:6" x14ac:dyDescent="0.2">
      <c r="F2971"/>
    </row>
    <row r="2972" spans="6:6" x14ac:dyDescent="0.2">
      <c r="F2972"/>
    </row>
    <row r="2973" spans="6:6" x14ac:dyDescent="0.2">
      <c r="F2973"/>
    </row>
    <row r="2974" spans="6:6" x14ac:dyDescent="0.2">
      <c r="F2974"/>
    </row>
    <row r="2975" spans="6:6" x14ac:dyDescent="0.2">
      <c r="F2975"/>
    </row>
    <row r="2976" spans="6:6" x14ac:dyDescent="0.2">
      <c r="F2976"/>
    </row>
    <row r="2977" spans="6:6" x14ac:dyDescent="0.2">
      <c r="F2977"/>
    </row>
    <row r="2978" spans="6:6" x14ac:dyDescent="0.2">
      <c r="F2978"/>
    </row>
    <row r="2979" spans="6:6" x14ac:dyDescent="0.2">
      <c r="F2979"/>
    </row>
    <row r="2980" spans="6:6" x14ac:dyDescent="0.2">
      <c r="F2980"/>
    </row>
    <row r="2981" spans="6:6" x14ac:dyDescent="0.2">
      <c r="F2981"/>
    </row>
    <row r="2982" spans="6:6" x14ac:dyDescent="0.2">
      <c r="F2982"/>
    </row>
    <row r="2983" spans="6:6" x14ac:dyDescent="0.2">
      <c r="F2983"/>
    </row>
    <row r="2984" spans="6:6" x14ac:dyDescent="0.2">
      <c r="F2984"/>
    </row>
    <row r="2985" spans="6:6" x14ac:dyDescent="0.2">
      <c r="F2985"/>
    </row>
    <row r="2986" spans="6:6" x14ac:dyDescent="0.2">
      <c r="F2986"/>
    </row>
    <row r="2987" spans="6:6" x14ac:dyDescent="0.2">
      <c r="F2987"/>
    </row>
    <row r="2988" spans="6:6" x14ac:dyDescent="0.2">
      <c r="F2988"/>
    </row>
    <row r="2989" spans="6:6" x14ac:dyDescent="0.2">
      <c r="F2989"/>
    </row>
    <row r="2990" spans="6:6" x14ac:dyDescent="0.2">
      <c r="F2990"/>
    </row>
    <row r="2991" spans="6:6" x14ac:dyDescent="0.2">
      <c r="F2991"/>
    </row>
    <row r="2992" spans="6:6" x14ac:dyDescent="0.2">
      <c r="F2992"/>
    </row>
    <row r="2993" spans="6:6" x14ac:dyDescent="0.2">
      <c r="F2993"/>
    </row>
    <row r="2994" spans="6:6" x14ac:dyDescent="0.2">
      <c r="F2994"/>
    </row>
    <row r="2995" spans="6:6" x14ac:dyDescent="0.2">
      <c r="F2995"/>
    </row>
    <row r="2996" spans="6:6" x14ac:dyDescent="0.2">
      <c r="F2996"/>
    </row>
    <row r="2997" spans="6:6" x14ac:dyDescent="0.2">
      <c r="F2997"/>
    </row>
    <row r="2998" spans="6:6" x14ac:dyDescent="0.2">
      <c r="F2998"/>
    </row>
    <row r="2999" spans="6:6" x14ac:dyDescent="0.2">
      <c r="F2999"/>
    </row>
    <row r="3000" spans="6:6" x14ac:dyDescent="0.2">
      <c r="F3000"/>
    </row>
    <row r="3001" spans="6:6" x14ac:dyDescent="0.2">
      <c r="F3001"/>
    </row>
    <row r="3002" spans="6:6" x14ac:dyDescent="0.2">
      <c r="F3002"/>
    </row>
    <row r="3003" spans="6:6" x14ac:dyDescent="0.2">
      <c r="F3003"/>
    </row>
    <row r="3004" spans="6:6" x14ac:dyDescent="0.2">
      <c r="F3004"/>
    </row>
    <row r="3005" spans="6:6" x14ac:dyDescent="0.2">
      <c r="F3005"/>
    </row>
    <row r="3006" spans="6:6" x14ac:dyDescent="0.2">
      <c r="F3006"/>
    </row>
    <row r="3007" spans="6:6" x14ac:dyDescent="0.2">
      <c r="F3007"/>
    </row>
    <row r="3008" spans="6:6" x14ac:dyDescent="0.2">
      <c r="F3008"/>
    </row>
    <row r="3009" spans="6:6" x14ac:dyDescent="0.2">
      <c r="F3009"/>
    </row>
    <row r="3010" spans="6:6" x14ac:dyDescent="0.2">
      <c r="F3010"/>
    </row>
    <row r="3011" spans="6:6" x14ac:dyDescent="0.2">
      <c r="F3011"/>
    </row>
    <row r="3012" spans="6:6" x14ac:dyDescent="0.2">
      <c r="F3012"/>
    </row>
    <row r="3013" spans="6:6" x14ac:dyDescent="0.2">
      <c r="F3013"/>
    </row>
    <row r="3014" spans="6:6" x14ac:dyDescent="0.2">
      <c r="F3014"/>
    </row>
    <row r="3015" spans="6:6" x14ac:dyDescent="0.2">
      <c r="F3015"/>
    </row>
    <row r="3016" spans="6:6" x14ac:dyDescent="0.2">
      <c r="F3016"/>
    </row>
    <row r="3017" spans="6:6" x14ac:dyDescent="0.2">
      <c r="F3017"/>
    </row>
    <row r="3018" spans="6:6" x14ac:dyDescent="0.2">
      <c r="F3018"/>
    </row>
    <row r="3019" spans="6:6" x14ac:dyDescent="0.2">
      <c r="F3019"/>
    </row>
    <row r="3020" spans="6:6" x14ac:dyDescent="0.2">
      <c r="F3020"/>
    </row>
    <row r="3021" spans="6:6" x14ac:dyDescent="0.2">
      <c r="F3021"/>
    </row>
    <row r="3022" spans="6:6" x14ac:dyDescent="0.2">
      <c r="F3022"/>
    </row>
    <row r="3023" spans="6:6" x14ac:dyDescent="0.2">
      <c r="F3023"/>
    </row>
    <row r="3024" spans="6:6" x14ac:dyDescent="0.2">
      <c r="F3024"/>
    </row>
    <row r="3025" spans="6:6" x14ac:dyDescent="0.2">
      <c r="F3025"/>
    </row>
    <row r="3026" spans="6:6" x14ac:dyDescent="0.2">
      <c r="F3026"/>
    </row>
    <row r="3027" spans="6:6" x14ac:dyDescent="0.2">
      <c r="F3027"/>
    </row>
    <row r="3028" spans="6:6" x14ac:dyDescent="0.2">
      <c r="F3028"/>
    </row>
    <row r="3029" spans="6:6" x14ac:dyDescent="0.2">
      <c r="F3029"/>
    </row>
    <row r="3030" spans="6:6" x14ac:dyDescent="0.2">
      <c r="F3030"/>
    </row>
    <row r="3031" spans="6:6" x14ac:dyDescent="0.2">
      <c r="F3031"/>
    </row>
    <row r="3032" spans="6:6" x14ac:dyDescent="0.2">
      <c r="F3032"/>
    </row>
    <row r="3033" spans="6:6" x14ac:dyDescent="0.2">
      <c r="F3033"/>
    </row>
    <row r="3034" spans="6:6" x14ac:dyDescent="0.2">
      <c r="F3034"/>
    </row>
    <row r="3035" spans="6:6" x14ac:dyDescent="0.2">
      <c r="F3035"/>
    </row>
    <row r="3036" spans="6:6" x14ac:dyDescent="0.2">
      <c r="F3036"/>
    </row>
    <row r="3037" spans="6:6" x14ac:dyDescent="0.2">
      <c r="F3037"/>
    </row>
    <row r="3038" spans="6:6" x14ac:dyDescent="0.2">
      <c r="F3038"/>
    </row>
    <row r="3039" spans="6:6" x14ac:dyDescent="0.2">
      <c r="F3039"/>
    </row>
    <row r="3040" spans="6:6" x14ac:dyDescent="0.2">
      <c r="F3040"/>
    </row>
    <row r="3041" spans="6:6" x14ac:dyDescent="0.2">
      <c r="F3041"/>
    </row>
    <row r="3042" spans="6:6" x14ac:dyDescent="0.2">
      <c r="F3042"/>
    </row>
    <row r="3043" spans="6:6" x14ac:dyDescent="0.2">
      <c r="F3043"/>
    </row>
    <row r="3044" spans="6:6" x14ac:dyDescent="0.2">
      <c r="F3044"/>
    </row>
    <row r="3045" spans="6:6" x14ac:dyDescent="0.2">
      <c r="F3045"/>
    </row>
    <row r="3046" spans="6:6" x14ac:dyDescent="0.2">
      <c r="F3046"/>
    </row>
    <row r="3047" spans="6:6" x14ac:dyDescent="0.2">
      <c r="F3047"/>
    </row>
    <row r="3048" spans="6:6" x14ac:dyDescent="0.2">
      <c r="F3048"/>
    </row>
    <row r="3049" spans="6:6" x14ac:dyDescent="0.2">
      <c r="F3049"/>
    </row>
    <row r="3050" spans="6:6" x14ac:dyDescent="0.2">
      <c r="F3050"/>
    </row>
    <row r="3051" spans="6:6" x14ac:dyDescent="0.2">
      <c r="F3051"/>
    </row>
    <row r="3052" spans="6:6" x14ac:dyDescent="0.2">
      <c r="F3052"/>
    </row>
    <row r="3053" spans="6:6" x14ac:dyDescent="0.2">
      <c r="F3053"/>
    </row>
    <row r="3054" spans="6:6" x14ac:dyDescent="0.2">
      <c r="F3054"/>
    </row>
    <row r="3055" spans="6:6" x14ac:dyDescent="0.2">
      <c r="F3055"/>
    </row>
    <row r="3056" spans="6:6" x14ac:dyDescent="0.2">
      <c r="F3056"/>
    </row>
    <row r="3057" spans="6:6" x14ac:dyDescent="0.2">
      <c r="F3057"/>
    </row>
    <row r="3058" spans="6:6" x14ac:dyDescent="0.2">
      <c r="F3058"/>
    </row>
    <row r="3059" spans="6:6" x14ac:dyDescent="0.2">
      <c r="F3059"/>
    </row>
    <row r="3060" spans="6:6" x14ac:dyDescent="0.2">
      <c r="F3060"/>
    </row>
    <row r="3061" spans="6:6" x14ac:dyDescent="0.2">
      <c r="F3061"/>
    </row>
    <row r="3062" spans="6:6" x14ac:dyDescent="0.2">
      <c r="F3062"/>
    </row>
    <row r="3063" spans="6:6" x14ac:dyDescent="0.2">
      <c r="F3063"/>
    </row>
    <row r="3064" spans="6:6" x14ac:dyDescent="0.2">
      <c r="F3064"/>
    </row>
    <row r="3065" spans="6:6" x14ac:dyDescent="0.2">
      <c r="F3065"/>
    </row>
    <row r="3066" spans="6:6" x14ac:dyDescent="0.2">
      <c r="F3066"/>
    </row>
    <row r="3067" spans="6:6" x14ac:dyDescent="0.2">
      <c r="F3067"/>
    </row>
    <row r="3068" spans="6:6" x14ac:dyDescent="0.2">
      <c r="F3068"/>
    </row>
    <row r="3069" spans="6:6" x14ac:dyDescent="0.2">
      <c r="F3069"/>
    </row>
    <row r="3070" spans="6:6" x14ac:dyDescent="0.2">
      <c r="F3070"/>
    </row>
    <row r="3071" spans="6:6" x14ac:dyDescent="0.2">
      <c r="F3071"/>
    </row>
    <row r="3072" spans="6:6" x14ac:dyDescent="0.2">
      <c r="F3072"/>
    </row>
    <row r="3073" spans="6:6" x14ac:dyDescent="0.2">
      <c r="F3073"/>
    </row>
    <row r="3074" spans="6:6" x14ac:dyDescent="0.2">
      <c r="F3074"/>
    </row>
    <row r="3075" spans="6:6" x14ac:dyDescent="0.2">
      <c r="F3075"/>
    </row>
    <row r="3076" spans="6:6" x14ac:dyDescent="0.2">
      <c r="F3076"/>
    </row>
    <row r="3077" spans="6:6" x14ac:dyDescent="0.2">
      <c r="F3077"/>
    </row>
    <row r="3078" spans="6:6" x14ac:dyDescent="0.2">
      <c r="F3078"/>
    </row>
    <row r="3079" spans="6:6" x14ac:dyDescent="0.2">
      <c r="F3079"/>
    </row>
    <row r="3080" spans="6:6" x14ac:dyDescent="0.2">
      <c r="F3080"/>
    </row>
    <row r="3081" spans="6:6" x14ac:dyDescent="0.2">
      <c r="F3081"/>
    </row>
    <row r="3082" spans="6:6" x14ac:dyDescent="0.2">
      <c r="F3082"/>
    </row>
    <row r="3083" spans="6:6" x14ac:dyDescent="0.2">
      <c r="F3083"/>
    </row>
    <row r="3084" spans="6:6" x14ac:dyDescent="0.2">
      <c r="F3084"/>
    </row>
    <row r="3085" spans="6:6" x14ac:dyDescent="0.2">
      <c r="F3085"/>
    </row>
    <row r="3086" spans="6:6" x14ac:dyDescent="0.2">
      <c r="F3086"/>
    </row>
    <row r="3087" spans="6:6" x14ac:dyDescent="0.2">
      <c r="F3087"/>
    </row>
    <row r="3088" spans="6:6" x14ac:dyDescent="0.2">
      <c r="F3088"/>
    </row>
    <row r="3089" spans="6:6" x14ac:dyDescent="0.2">
      <c r="F3089"/>
    </row>
    <row r="3090" spans="6:6" x14ac:dyDescent="0.2">
      <c r="F3090"/>
    </row>
    <row r="3091" spans="6:6" x14ac:dyDescent="0.2">
      <c r="F3091"/>
    </row>
    <row r="3092" spans="6:6" x14ac:dyDescent="0.2">
      <c r="F3092"/>
    </row>
    <row r="3093" spans="6:6" x14ac:dyDescent="0.2">
      <c r="F3093"/>
    </row>
    <row r="3094" spans="6:6" x14ac:dyDescent="0.2">
      <c r="F3094"/>
    </row>
    <row r="3095" spans="6:6" x14ac:dyDescent="0.2">
      <c r="F3095"/>
    </row>
    <row r="3096" spans="6:6" x14ac:dyDescent="0.2">
      <c r="F3096"/>
    </row>
    <row r="3097" spans="6:6" x14ac:dyDescent="0.2">
      <c r="F3097"/>
    </row>
    <row r="3098" spans="6:6" x14ac:dyDescent="0.2">
      <c r="F3098"/>
    </row>
    <row r="3099" spans="6:6" x14ac:dyDescent="0.2">
      <c r="F3099"/>
    </row>
    <row r="3100" spans="6:6" x14ac:dyDescent="0.2">
      <c r="F3100"/>
    </row>
    <row r="3101" spans="6:6" x14ac:dyDescent="0.2">
      <c r="F3101"/>
    </row>
    <row r="3102" spans="6:6" x14ac:dyDescent="0.2">
      <c r="F3102"/>
    </row>
    <row r="3103" spans="6:6" x14ac:dyDescent="0.2">
      <c r="F3103"/>
    </row>
    <row r="3104" spans="6:6" x14ac:dyDescent="0.2">
      <c r="F3104"/>
    </row>
    <row r="3105" spans="6:6" x14ac:dyDescent="0.2">
      <c r="F3105"/>
    </row>
    <row r="3106" spans="6:6" x14ac:dyDescent="0.2">
      <c r="F3106"/>
    </row>
    <row r="3107" spans="6:6" x14ac:dyDescent="0.2">
      <c r="F3107"/>
    </row>
    <row r="3108" spans="6:6" x14ac:dyDescent="0.2">
      <c r="F3108"/>
    </row>
    <row r="3109" spans="6:6" x14ac:dyDescent="0.2">
      <c r="F3109"/>
    </row>
    <row r="3110" spans="6:6" x14ac:dyDescent="0.2">
      <c r="F3110"/>
    </row>
    <row r="3111" spans="6:6" x14ac:dyDescent="0.2">
      <c r="F3111"/>
    </row>
    <row r="3112" spans="6:6" x14ac:dyDescent="0.2">
      <c r="F3112"/>
    </row>
    <row r="3113" spans="6:6" x14ac:dyDescent="0.2">
      <c r="F3113"/>
    </row>
    <row r="3114" spans="6:6" x14ac:dyDescent="0.2">
      <c r="F3114"/>
    </row>
    <row r="3115" spans="6:6" x14ac:dyDescent="0.2">
      <c r="F3115"/>
    </row>
    <row r="3116" spans="6:6" x14ac:dyDescent="0.2">
      <c r="F3116"/>
    </row>
    <row r="3117" spans="6:6" x14ac:dyDescent="0.2">
      <c r="F3117"/>
    </row>
    <row r="3118" spans="6:6" x14ac:dyDescent="0.2">
      <c r="F3118"/>
    </row>
    <row r="3119" spans="6:6" x14ac:dyDescent="0.2">
      <c r="F3119"/>
    </row>
    <row r="3120" spans="6:6" x14ac:dyDescent="0.2">
      <c r="F3120"/>
    </row>
    <row r="3121" spans="6:6" x14ac:dyDescent="0.2">
      <c r="F3121"/>
    </row>
    <row r="3122" spans="6:6" x14ac:dyDescent="0.2">
      <c r="F3122"/>
    </row>
    <row r="3123" spans="6:6" x14ac:dyDescent="0.2">
      <c r="F3123"/>
    </row>
    <row r="3124" spans="6:6" x14ac:dyDescent="0.2">
      <c r="F3124"/>
    </row>
    <row r="3125" spans="6:6" x14ac:dyDescent="0.2">
      <c r="F3125"/>
    </row>
    <row r="3126" spans="6:6" x14ac:dyDescent="0.2">
      <c r="F3126"/>
    </row>
    <row r="3127" spans="6:6" x14ac:dyDescent="0.2">
      <c r="F3127"/>
    </row>
    <row r="3128" spans="6:6" x14ac:dyDescent="0.2">
      <c r="F3128"/>
    </row>
    <row r="3129" spans="6:6" x14ac:dyDescent="0.2">
      <c r="F3129"/>
    </row>
    <row r="3130" spans="6:6" x14ac:dyDescent="0.2">
      <c r="F3130"/>
    </row>
    <row r="3131" spans="6:6" x14ac:dyDescent="0.2">
      <c r="F3131"/>
    </row>
    <row r="3132" spans="6:6" x14ac:dyDescent="0.2">
      <c r="F3132"/>
    </row>
    <row r="3133" spans="6:6" x14ac:dyDescent="0.2">
      <c r="F3133"/>
    </row>
    <row r="3134" spans="6:6" x14ac:dyDescent="0.2">
      <c r="F3134"/>
    </row>
    <row r="3135" spans="6:6" x14ac:dyDescent="0.2">
      <c r="F3135"/>
    </row>
    <row r="3136" spans="6:6" x14ac:dyDescent="0.2">
      <c r="F3136"/>
    </row>
    <row r="3137" spans="6:6" x14ac:dyDescent="0.2">
      <c r="F3137"/>
    </row>
    <row r="3138" spans="6:6" x14ac:dyDescent="0.2">
      <c r="F3138"/>
    </row>
    <row r="3139" spans="6:6" x14ac:dyDescent="0.2">
      <c r="F3139"/>
    </row>
    <row r="3140" spans="6:6" x14ac:dyDescent="0.2">
      <c r="F3140"/>
    </row>
    <row r="3141" spans="6:6" x14ac:dyDescent="0.2">
      <c r="F3141"/>
    </row>
    <row r="3142" spans="6:6" x14ac:dyDescent="0.2">
      <c r="F3142"/>
    </row>
    <row r="3143" spans="6:6" x14ac:dyDescent="0.2">
      <c r="F3143"/>
    </row>
    <row r="3144" spans="6:6" x14ac:dyDescent="0.2">
      <c r="F3144"/>
    </row>
    <row r="3145" spans="6:6" x14ac:dyDescent="0.2">
      <c r="F3145"/>
    </row>
    <row r="3146" spans="6:6" x14ac:dyDescent="0.2">
      <c r="F3146"/>
    </row>
    <row r="3147" spans="6:6" x14ac:dyDescent="0.2">
      <c r="F3147"/>
    </row>
    <row r="3148" spans="6:6" x14ac:dyDescent="0.2">
      <c r="F3148"/>
    </row>
    <row r="3149" spans="6:6" x14ac:dyDescent="0.2">
      <c r="F3149"/>
    </row>
    <row r="3150" spans="6:6" x14ac:dyDescent="0.2">
      <c r="F3150"/>
    </row>
    <row r="3151" spans="6:6" x14ac:dyDescent="0.2">
      <c r="F3151"/>
    </row>
    <row r="3152" spans="6:6" x14ac:dyDescent="0.2">
      <c r="F3152"/>
    </row>
    <row r="3153" spans="6:6" x14ac:dyDescent="0.2">
      <c r="F3153"/>
    </row>
    <row r="3154" spans="6:6" x14ac:dyDescent="0.2">
      <c r="F3154"/>
    </row>
    <row r="3155" spans="6:6" x14ac:dyDescent="0.2">
      <c r="F3155"/>
    </row>
    <row r="3156" spans="6:6" x14ac:dyDescent="0.2">
      <c r="F3156"/>
    </row>
    <row r="3157" spans="6:6" x14ac:dyDescent="0.2">
      <c r="F3157"/>
    </row>
    <row r="3158" spans="6:6" x14ac:dyDescent="0.2">
      <c r="F3158"/>
    </row>
    <row r="3159" spans="6:6" x14ac:dyDescent="0.2">
      <c r="F3159"/>
    </row>
    <row r="3160" spans="6:6" x14ac:dyDescent="0.2">
      <c r="F3160"/>
    </row>
    <row r="3161" spans="6:6" x14ac:dyDescent="0.2">
      <c r="F3161"/>
    </row>
    <row r="3162" spans="6:6" x14ac:dyDescent="0.2">
      <c r="F3162"/>
    </row>
    <row r="3163" spans="6:6" x14ac:dyDescent="0.2">
      <c r="F3163"/>
    </row>
    <row r="3164" spans="6:6" x14ac:dyDescent="0.2">
      <c r="F3164"/>
    </row>
    <row r="3165" spans="6:6" x14ac:dyDescent="0.2">
      <c r="F3165"/>
    </row>
    <row r="3166" spans="6:6" x14ac:dyDescent="0.2">
      <c r="F3166"/>
    </row>
    <row r="3167" spans="6:6" x14ac:dyDescent="0.2">
      <c r="F3167"/>
    </row>
    <row r="3168" spans="6:6" x14ac:dyDescent="0.2">
      <c r="F3168"/>
    </row>
    <row r="3169" spans="6:6" x14ac:dyDescent="0.2">
      <c r="F3169"/>
    </row>
    <row r="3170" spans="6:6" x14ac:dyDescent="0.2">
      <c r="F3170"/>
    </row>
    <row r="3171" spans="6:6" x14ac:dyDescent="0.2">
      <c r="F3171"/>
    </row>
    <row r="3172" spans="6:6" x14ac:dyDescent="0.2">
      <c r="F3172"/>
    </row>
    <row r="3173" spans="6:6" x14ac:dyDescent="0.2">
      <c r="F3173"/>
    </row>
    <row r="3174" spans="6:6" x14ac:dyDescent="0.2">
      <c r="F3174"/>
    </row>
    <row r="3175" spans="6:6" x14ac:dyDescent="0.2">
      <c r="F3175"/>
    </row>
    <row r="3176" spans="6:6" x14ac:dyDescent="0.2">
      <c r="F3176"/>
    </row>
    <row r="3177" spans="6:6" x14ac:dyDescent="0.2">
      <c r="F3177"/>
    </row>
    <row r="3178" spans="6:6" x14ac:dyDescent="0.2">
      <c r="F3178"/>
    </row>
    <row r="3179" spans="6:6" x14ac:dyDescent="0.2">
      <c r="F3179"/>
    </row>
    <row r="3180" spans="6:6" x14ac:dyDescent="0.2">
      <c r="F3180"/>
    </row>
    <row r="3181" spans="6:6" x14ac:dyDescent="0.2">
      <c r="F3181"/>
    </row>
    <row r="3182" spans="6:6" x14ac:dyDescent="0.2">
      <c r="F3182"/>
    </row>
    <row r="3183" spans="6:6" x14ac:dyDescent="0.2">
      <c r="F3183"/>
    </row>
    <row r="3184" spans="6:6" x14ac:dyDescent="0.2">
      <c r="F3184"/>
    </row>
    <row r="3185" spans="6:6" x14ac:dyDescent="0.2">
      <c r="F3185"/>
    </row>
    <row r="3186" spans="6:6" x14ac:dyDescent="0.2">
      <c r="F3186"/>
    </row>
    <row r="3187" spans="6:6" x14ac:dyDescent="0.2">
      <c r="F3187"/>
    </row>
    <row r="3188" spans="6:6" x14ac:dyDescent="0.2">
      <c r="F3188"/>
    </row>
    <row r="3189" spans="6:6" x14ac:dyDescent="0.2">
      <c r="F3189"/>
    </row>
    <row r="3190" spans="6:6" x14ac:dyDescent="0.2">
      <c r="F3190"/>
    </row>
    <row r="3191" spans="6:6" x14ac:dyDescent="0.2">
      <c r="F3191"/>
    </row>
    <row r="3192" spans="6:6" x14ac:dyDescent="0.2">
      <c r="F3192"/>
    </row>
    <row r="3193" spans="6:6" x14ac:dyDescent="0.2">
      <c r="F3193"/>
    </row>
    <row r="3194" spans="6:6" x14ac:dyDescent="0.2">
      <c r="F3194"/>
    </row>
    <row r="3195" spans="6:6" x14ac:dyDescent="0.2">
      <c r="F3195"/>
    </row>
    <row r="3196" spans="6:6" x14ac:dyDescent="0.2">
      <c r="F3196"/>
    </row>
    <row r="3197" spans="6:6" x14ac:dyDescent="0.2">
      <c r="F3197"/>
    </row>
    <row r="3198" spans="6:6" x14ac:dyDescent="0.2">
      <c r="F3198"/>
    </row>
    <row r="3199" spans="6:6" x14ac:dyDescent="0.2">
      <c r="F3199"/>
    </row>
    <row r="3200" spans="6:6" x14ac:dyDescent="0.2">
      <c r="F3200"/>
    </row>
    <row r="3201" spans="6:6" x14ac:dyDescent="0.2">
      <c r="F3201"/>
    </row>
    <row r="3202" spans="6:6" x14ac:dyDescent="0.2">
      <c r="F3202"/>
    </row>
    <row r="3203" spans="6:6" x14ac:dyDescent="0.2">
      <c r="F3203"/>
    </row>
    <row r="3204" spans="6:6" x14ac:dyDescent="0.2">
      <c r="F3204"/>
    </row>
    <row r="3205" spans="6:6" x14ac:dyDescent="0.2">
      <c r="F3205"/>
    </row>
    <row r="3206" spans="6:6" x14ac:dyDescent="0.2">
      <c r="F3206"/>
    </row>
    <row r="3207" spans="6:6" x14ac:dyDescent="0.2">
      <c r="F3207"/>
    </row>
    <row r="3208" spans="6:6" x14ac:dyDescent="0.2">
      <c r="F3208"/>
    </row>
    <row r="3209" spans="6:6" x14ac:dyDescent="0.2">
      <c r="F3209"/>
    </row>
    <row r="3210" spans="6:6" x14ac:dyDescent="0.2">
      <c r="F3210"/>
    </row>
    <row r="3211" spans="6:6" x14ac:dyDescent="0.2">
      <c r="F3211"/>
    </row>
    <row r="3212" spans="6:6" x14ac:dyDescent="0.2">
      <c r="F3212"/>
    </row>
    <row r="3213" spans="6:6" x14ac:dyDescent="0.2">
      <c r="F3213"/>
    </row>
    <row r="3214" spans="6:6" x14ac:dyDescent="0.2">
      <c r="F3214"/>
    </row>
    <row r="3215" spans="6:6" x14ac:dyDescent="0.2">
      <c r="F3215"/>
    </row>
    <row r="3216" spans="6:6" x14ac:dyDescent="0.2">
      <c r="F3216"/>
    </row>
    <row r="3217" spans="6:6" x14ac:dyDescent="0.2">
      <c r="F3217"/>
    </row>
    <row r="3218" spans="6:6" x14ac:dyDescent="0.2">
      <c r="F3218"/>
    </row>
    <row r="3219" spans="6:6" x14ac:dyDescent="0.2">
      <c r="F3219"/>
    </row>
    <row r="3220" spans="6:6" x14ac:dyDescent="0.2">
      <c r="F3220"/>
    </row>
    <row r="3221" spans="6:6" x14ac:dyDescent="0.2">
      <c r="F3221"/>
    </row>
    <row r="3222" spans="6:6" x14ac:dyDescent="0.2">
      <c r="F3222"/>
    </row>
    <row r="3223" spans="6:6" x14ac:dyDescent="0.2">
      <c r="F3223"/>
    </row>
    <row r="3224" spans="6:6" x14ac:dyDescent="0.2">
      <c r="F3224"/>
    </row>
    <row r="3225" spans="6:6" x14ac:dyDescent="0.2">
      <c r="F3225"/>
    </row>
    <row r="3226" spans="6:6" x14ac:dyDescent="0.2">
      <c r="F3226"/>
    </row>
    <row r="3227" spans="6:6" x14ac:dyDescent="0.2">
      <c r="F3227"/>
    </row>
    <row r="3228" spans="6:6" x14ac:dyDescent="0.2">
      <c r="F3228"/>
    </row>
    <row r="3229" spans="6:6" x14ac:dyDescent="0.2">
      <c r="F3229"/>
    </row>
    <row r="3230" spans="6:6" x14ac:dyDescent="0.2">
      <c r="F3230"/>
    </row>
    <row r="3231" spans="6:6" x14ac:dyDescent="0.2">
      <c r="F3231"/>
    </row>
    <row r="3232" spans="6:6" x14ac:dyDescent="0.2">
      <c r="F3232"/>
    </row>
    <row r="3233" spans="6:6" x14ac:dyDescent="0.2">
      <c r="F3233"/>
    </row>
    <row r="3234" spans="6:6" x14ac:dyDescent="0.2">
      <c r="F3234"/>
    </row>
    <row r="3235" spans="6:6" x14ac:dyDescent="0.2">
      <c r="F3235"/>
    </row>
    <row r="3236" spans="6:6" x14ac:dyDescent="0.2">
      <c r="F3236"/>
    </row>
    <row r="3237" spans="6:6" x14ac:dyDescent="0.2">
      <c r="F3237"/>
    </row>
    <row r="3238" spans="6:6" x14ac:dyDescent="0.2">
      <c r="F3238"/>
    </row>
    <row r="3239" spans="6:6" x14ac:dyDescent="0.2">
      <c r="F3239"/>
    </row>
    <row r="3240" spans="6:6" x14ac:dyDescent="0.2">
      <c r="F3240"/>
    </row>
    <row r="3241" spans="6:6" x14ac:dyDescent="0.2">
      <c r="F3241"/>
    </row>
    <row r="3242" spans="6:6" x14ac:dyDescent="0.2">
      <c r="F3242"/>
    </row>
    <row r="3243" spans="6:6" x14ac:dyDescent="0.2">
      <c r="F3243"/>
    </row>
    <row r="3244" spans="6:6" x14ac:dyDescent="0.2">
      <c r="F3244"/>
    </row>
    <row r="3245" spans="6:6" x14ac:dyDescent="0.2">
      <c r="F3245"/>
    </row>
    <row r="3246" spans="6:6" x14ac:dyDescent="0.2">
      <c r="F3246"/>
    </row>
    <row r="3247" spans="6:6" x14ac:dyDescent="0.2">
      <c r="F3247"/>
    </row>
    <row r="3248" spans="6:6" x14ac:dyDescent="0.2">
      <c r="F3248"/>
    </row>
    <row r="3249" spans="6:6" x14ac:dyDescent="0.2">
      <c r="F3249"/>
    </row>
    <row r="3250" spans="6:6" x14ac:dyDescent="0.2">
      <c r="F3250"/>
    </row>
    <row r="3251" spans="6:6" x14ac:dyDescent="0.2">
      <c r="F3251"/>
    </row>
    <row r="3252" spans="6:6" x14ac:dyDescent="0.2">
      <c r="F3252"/>
    </row>
    <row r="3253" spans="6:6" x14ac:dyDescent="0.2">
      <c r="F3253"/>
    </row>
    <row r="3254" spans="6:6" x14ac:dyDescent="0.2">
      <c r="F3254"/>
    </row>
    <row r="3255" spans="6:6" x14ac:dyDescent="0.2">
      <c r="F3255"/>
    </row>
    <row r="3256" spans="6:6" x14ac:dyDescent="0.2">
      <c r="F3256"/>
    </row>
    <row r="3257" spans="6:6" x14ac:dyDescent="0.2">
      <c r="F3257"/>
    </row>
    <row r="3258" spans="6:6" x14ac:dyDescent="0.2">
      <c r="F3258"/>
    </row>
    <row r="3259" spans="6:6" x14ac:dyDescent="0.2">
      <c r="F3259"/>
    </row>
    <row r="3260" spans="6:6" x14ac:dyDescent="0.2">
      <c r="F3260"/>
    </row>
    <row r="3261" spans="6:6" x14ac:dyDescent="0.2">
      <c r="F3261"/>
    </row>
    <row r="3262" spans="6:6" x14ac:dyDescent="0.2">
      <c r="F3262"/>
    </row>
    <row r="3263" spans="6:6" x14ac:dyDescent="0.2">
      <c r="F3263"/>
    </row>
    <row r="3264" spans="6:6" x14ac:dyDescent="0.2">
      <c r="F3264"/>
    </row>
    <row r="3265" spans="6:6" x14ac:dyDescent="0.2">
      <c r="F3265"/>
    </row>
    <row r="3266" spans="6:6" x14ac:dyDescent="0.2">
      <c r="F3266"/>
    </row>
    <row r="3267" spans="6:6" x14ac:dyDescent="0.2">
      <c r="F3267"/>
    </row>
    <row r="3268" spans="6:6" x14ac:dyDescent="0.2">
      <c r="F3268"/>
    </row>
    <row r="3269" spans="6:6" x14ac:dyDescent="0.2">
      <c r="F3269"/>
    </row>
    <row r="3270" spans="6:6" x14ac:dyDescent="0.2">
      <c r="F3270"/>
    </row>
    <row r="3271" spans="6:6" x14ac:dyDescent="0.2">
      <c r="F3271"/>
    </row>
    <row r="3272" spans="6:6" x14ac:dyDescent="0.2">
      <c r="F3272"/>
    </row>
    <row r="3273" spans="6:6" x14ac:dyDescent="0.2">
      <c r="F3273"/>
    </row>
    <row r="3274" spans="6:6" x14ac:dyDescent="0.2">
      <c r="F3274"/>
    </row>
    <row r="3275" spans="6:6" x14ac:dyDescent="0.2">
      <c r="F3275"/>
    </row>
    <row r="3276" spans="6:6" x14ac:dyDescent="0.2">
      <c r="F3276"/>
    </row>
    <row r="3277" spans="6:6" x14ac:dyDescent="0.2">
      <c r="F3277"/>
    </row>
    <row r="3278" spans="6:6" x14ac:dyDescent="0.2">
      <c r="F3278"/>
    </row>
    <row r="3279" spans="6:6" x14ac:dyDescent="0.2">
      <c r="F3279"/>
    </row>
    <row r="3280" spans="6:6" x14ac:dyDescent="0.2">
      <c r="F3280"/>
    </row>
    <row r="3281" spans="6:6" x14ac:dyDescent="0.2">
      <c r="F3281"/>
    </row>
    <row r="3282" spans="6:6" x14ac:dyDescent="0.2">
      <c r="F3282"/>
    </row>
    <row r="3283" spans="6:6" x14ac:dyDescent="0.2">
      <c r="F3283"/>
    </row>
    <row r="3284" spans="6:6" x14ac:dyDescent="0.2">
      <c r="F3284"/>
    </row>
    <row r="3285" spans="6:6" x14ac:dyDescent="0.2">
      <c r="F3285"/>
    </row>
    <row r="3286" spans="6:6" x14ac:dyDescent="0.2">
      <c r="F3286"/>
    </row>
    <row r="3287" spans="6:6" x14ac:dyDescent="0.2">
      <c r="F3287"/>
    </row>
    <row r="3288" spans="6:6" x14ac:dyDescent="0.2">
      <c r="F3288"/>
    </row>
    <row r="3289" spans="6:6" x14ac:dyDescent="0.2">
      <c r="F3289"/>
    </row>
    <row r="3290" spans="6:6" x14ac:dyDescent="0.2">
      <c r="F3290"/>
    </row>
    <row r="3291" spans="6:6" x14ac:dyDescent="0.2">
      <c r="F3291"/>
    </row>
    <row r="3292" spans="6:6" x14ac:dyDescent="0.2">
      <c r="F3292"/>
    </row>
    <row r="3293" spans="6:6" x14ac:dyDescent="0.2">
      <c r="F3293"/>
    </row>
    <row r="3294" spans="6:6" x14ac:dyDescent="0.2">
      <c r="F3294"/>
    </row>
    <row r="3295" spans="6:6" x14ac:dyDescent="0.2">
      <c r="F3295"/>
    </row>
    <row r="3296" spans="6:6" x14ac:dyDescent="0.2">
      <c r="F3296"/>
    </row>
    <row r="3297" spans="6:6" x14ac:dyDescent="0.2">
      <c r="F3297"/>
    </row>
    <row r="3298" spans="6:6" x14ac:dyDescent="0.2">
      <c r="F3298"/>
    </row>
    <row r="3299" spans="6:6" x14ac:dyDescent="0.2">
      <c r="F3299"/>
    </row>
    <row r="3300" spans="6:6" x14ac:dyDescent="0.2">
      <c r="F3300"/>
    </row>
    <row r="3301" spans="6:6" x14ac:dyDescent="0.2">
      <c r="F3301"/>
    </row>
    <row r="3302" spans="6:6" x14ac:dyDescent="0.2">
      <c r="F3302"/>
    </row>
    <row r="3303" spans="6:6" x14ac:dyDescent="0.2">
      <c r="F3303"/>
    </row>
    <row r="3304" spans="6:6" x14ac:dyDescent="0.2">
      <c r="F3304"/>
    </row>
    <row r="3305" spans="6:6" x14ac:dyDescent="0.2">
      <c r="F3305"/>
    </row>
    <row r="3306" spans="6:6" x14ac:dyDescent="0.2">
      <c r="F3306"/>
    </row>
    <row r="3307" spans="6:6" x14ac:dyDescent="0.2">
      <c r="F3307"/>
    </row>
    <row r="3308" spans="6:6" x14ac:dyDescent="0.2">
      <c r="F3308"/>
    </row>
    <row r="3309" spans="6:6" x14ac:dyDescent="0.2">
      <c r="F3309"/>
    </row>
    <row r="3310" spans="6:6" x14ac:dyDescent="0.2">
      <c r="F3310"/>
    </row>
    <row r="3311" spans="6:6" x14ac:dyDescent="0.2">
      <c r="F3311"/>
    </row>
    <row r="3312" spans="6:6" x14ac:dyDescent="0.2">
      <c r="F3312"/>
    </row>
    <row r="3313" spans="6:6" x14ac:dyDescent="0.2">
      <c r="F3313"/>
    </row>
    <row r="3314" spans="6:6" x14ac:dyDescent="0.2">
      <c r="F3314"/>
    </row>
    <row r="3315" spans="6:6" x14ac:dyDescent="0.2">
      <c r="F3315"/>
    </row>
    <row r="3316" spans="6:6" x14ac:dyDescent="0.2">
      <c r="F3316"/>
    </row>
    <row r="3317" spans="6:6" x14ac:dyDescent="0.2">
      <c r="F3317"/>
    </row>
    <row r="3318" spans="6:6" x14ac:dyDescent="0.2">
      <c r="F3318"/>
    </row>
    <row r="3319" spans="6:6" x14ac:dyDescent="0.2">
      <c r="F3319"/>
    </row>
    <row r="3320" spans="6:6" x14ac:dyDescent="0.2">
      <c r="F3320"/>
    </row>
    <row r="3321" spans="6:6" x14ac:dyDescent="0.2">
      <c r="F3321"/>
    </row>
    <row r="3322" spans="6:6" x14ac:dyDescent="0.2">
      <c r="F3322"/>
    </row>
    <row r="3323" spans="6:6" x14ac:dyDescent="0.2">
      <c r="F3323"/>
    </row>
    <row r="3324" spans="6:6" x14ac:dyDescent="0.2">
      <c r="F3324"/>
    </row>
    <row r="3325" spans="6:6" x14ac:dyDescent="0.2">
      <c r="F3325"/>
    </row>
    <row r="3326" spans="6:6" x14ac:dyDescent="0.2">
      <c r="F3326"/>
    </row>
    <row r="3327" spans="6:6" x14ac:dyDescent="0.2">
      <c r="F3327"/>
    </row>
    <row r="3328" spans="6:6" x14ac:dyDescent="0.2">
      <c r="F3328"/>
    </row>
    <row r="3329" spans="6:6" x14ac:dyDescent="0.2">
      <c r="F3329"/>
    </row>
    <row r="3330" spans="6:6" x14ac:dyDescent="0.2">
      <c r="F3330"/>
    </row>
    <row r="3331" spans="6:6" x14ac:dyDescent="0.2">
      <c r="F3331"/>
    </row>
    <row r="3332" spans="6:6" x14ac:dyDescent="0.2">
      <c r="F3332"/>
    </row>
    <row r="3333" spans="6:6" x14ac:dyDescent="0.2">
      <c r="F3333"/>
    </row>
    <row r="3334" spans="6:6" x14ac:dyDescent="0.2">
      <c r="F3334"/>
    </row>
    <row r="3335" spans="6:6" x14ac:dyDescent="0.2">
      <c r="F3335"/>
    </row>
    <row r="3336" spans="6:6" x14ac:dyDescent="0.2">
      <c r="F3336"/>
    </row>
    <row r="3337" spans="6:6" x14ac:dyDescent="0.2">
      <c r="F3337"/>
    </row>
    <row r="3338" spans="6:6" x14ac:dyDescent="0.2">
      <c r="F3338"/>
    </row>
    <row r="3339" spans="6:6" x14ac:dyDescent="0.2">
      <c r="F3339"/>
    </row>
    <row r="3340" spans="6:6" x14ac:dyDescent="0.2">
      <c r="F3340"/>
    </row>
    <row r="3341" spans="6:6" x14ac:dyDescent="0.2">
      <c r="F3341"/>
    </row>
    <row r="3342" spans="6:6" x14ac:dyDescent="0.2">
      <c r="F3342"/>
    </row>
    <row r="3343" spans="6:6" x14ac:dyDescent="0.2">
      <c r="F3343"/>
    </row>
    <row r="3344" spans="6:6" x14ac:dyDescent="0.2">
      <c r="F3344"/>
    </row>
    <row r="3345" spans="6:6" x14ac:dyDescent="0.2">
      <c r="F3345"/>
    </row>
    <row r="3346" spans="6:6" x14ac:dyDescent="0.2">
      <c r="F3346"/>
    </row>
    <row r="3347" spans="6:6" x14ac:dyDescent="0.2">
      <c r="F3347"/>
    </row>
    <row r="3348" spans="6:6" x14ac:dyDescent="0.2">
      <c r="F3348"/>
    </row>
    <row r="3349" spans="6:6" x14ac:dyDescent="0.2">
      <c r="F3349"/>
    </row>
    <row r="3350" spans="6:6" x14ac:dyDescent="0.2">
      <c r="F3350"/>
    </row>
    <row r="3351" spans="6:6" x14ac:dyDescent="0.2">
      <c r="F3351"/>
    </row>
    <row r="3352" spans="6:6" x14ac:dyDescent="0.2">
      <c r="F3352"/>
    </row>
    <row r="3353" spans="6:6" x14ac:dyDescent="0.2">
      <c r="F3353"/>
    </row>
    <row r="3354" spans="6:6" x14ac:dyDescent="0.2">
      <c r="F3354"/>
    </row>
    <row r="3355" spans="6:6" x14ac:dyDescent="0.2">
      <c r="F3355"/>
    </row>
    <row r="3356" spans="6:6" x14ac:dyDescent="0.2">
      <c r="F3356"/>
    </row>
    <row r="3357" spans="6:6" x14ac:dyDescent="0.2">
      <c r="F3357"/>
    </row>
    <row r="3358" spans="6:6" x14ac:dyDescent="0.2">
      <c r="F3358"/>
    </row>
    <row r="3359" spans="6:6" x14ac:dyDescent="0.2">
      <c r="F3359"/>
    </row>
    <row r="3360" spans="6:6" x14ac:dyDescent="0.2">
      <c r="F3360"/>
    </row>
    <row r="3361" spans="6:6" x14ac:dyDescent="0.2">
      <c r="F3361"/>
    </row>
    <row r="3362" spans="6:6" x14ac:dyDescent="0.2">
      <c r="F3362"/>
    </row>
    <row r="3363" spans="6:6" x14ac:dyDescent="0.2">
      <c r="F3363"/>
    </row>
    <row r="3364" spans="6:6" x14ac:dyDescent="0.2">
      <c r="F3364"/>
    </row>
    <row r="3365" spans="6:6" x14ac:dyDescent="0.2">
      <c r="F3365"/>
    </row>
    <row r="3366" spans="6:6" x14ac:dyDescent="0.2">
      <c r="F3366"/>
    </row>
    <row r="3367" spans="6:6" x14ac:dyDescent="0.2">
      <c r="F3367"/>
    </row>
    <row r="3368" spans="6:6" x14ac:dyDescent="0.2">
      <c r="F3368"/>
    </row>
    <row r="3369" spans="6:6" x14ac:dyDescent="0.2">
      <c r="F3369"/>
    </row>
    <row r="3370" spans="6:6" x14ac:dyDescent="0.2">
      <c r="F3370"/>
    </row>
    <row r="3371" spans="6:6" x14ac:dyDescent="0.2">
      <c r="F3371"/>
    </row>
    <row r="3372" spans="6:6" x14ac:dyDescent="0.2">
      <c r="F3372"/>
    </row>
    <row r="3373" spans="6:6" x14ac:dyDescent="0.2">
      <c r="F3373"/>
    </row>
    <row r="3374" spans="6:6" x14ac:dyDescent="0.2">
      <c r="F3374"/>
    </row>
    <row r="3375" spans="6:6" x14ac:dyDescent="0.2">
      <c r="F3375"/>
    </row>
    <row r="3376" spans="6:6" x14ac:dyDescent="0.2">
      <c r="F3376"/>
    </row>
    <row r="3377" spans="6:6" x14ac:dyDescent="0.2">
      <c r="F3377"/>
    </row>
    <row r="3378" spans="6:6" x14ac:dyDescent="0.2">
      <c r="F3378"/>
    </row>
    <row r="3379" spans="6:6" x14ac:dyDescent="0.2">
      <c r="F3379"/>
    </row>
    <row r="3380" spans="6:6" x14ac:dyDescent="0.2">
      <c r="F3380"/>
    </row>
    <row r="3381" spans="6:6" x14ac:dyDescent="0.2">
      <c r="F3381"/>
    </row>
    <row r="3382" spans="6:6" x14ac:dyDescent="0.2">
      <c r="F3382"/>
    </row>
    <row r="3383" spans="6:6" x14ac:dyDescent="0.2">
      <c r="F3383"/>
    </row>
    <row r="3384" spans="6:6" x14ac:dyDescent="0.2">
      <c r="F3384"/>
    </row>
    <row r="3385" spans="6:6" x14ac:dyDescent="0.2">
      <c r="F3385"/>
    </row>
    <row r="3386" spans="6:6" x14ac:dyDescent="0.2">
      <c r="F3386"/>
    </row>
    <row r="3387" spans="6:6" x14ac:dyDescent="0.2">
      <c r="F3387"/>
    </row>
    <row r="3388" spans="6:6" x14ac:dyDescent="0.2">
      <c r="F3388"/>
    </row>
    <row r="3389" spans="6:6" x14ac:dyDescent="0.2">
      <c r="F3389"/>
    </row>
    <row r="3390" spans="6:6" x14ac:dyDescent="0.2">
      <c r="F3390"/>
    </row>
    <row r="3391" spans="6:6" x14ac:dyDescent="0.2">
      <c r="F3391"/>
    </row>
    <row r="3392" spans="6:6" x14ac:dyDescent="0.2">
      <c r="F3392"/>
    </row>
    <row r="3393" spans="6:6" x14ac:dyDescent="0.2">
      <c r="F3393"/>
    </row>
    <row r="3394" spans="6:6" x14ac:dyDescent="0.2">
      <c r="F3394"/>
    </row>
    <row r="3395" spans="6:6" x14ac:dyDescent="0.2">
      <c r="F3395"/>
    </row>
    <row r="3396" spans="6:6" x14ac:dyDescent="0.2">
      <c r="F3396"/>
    </row>
    <row r="3397" spans="6:6" x14ac:dyDescent="0.2">
      <c r="F3397"/>
    </row>
    <row r="3398" spans="6:6" x14ac:dyDescent="0.2">
      <c r="F3398"/>
    </row>
    <row r="3399" spans="6:6" x14ac:dyDescent="0.2">
      <c r="F3399"/>
    </row>
    <row r="3400" spans="6:6" x14ac:dyDescent="0.2">
      <c r="F3400"/>
    </row>
    <row r="3401" spans="6:6" x14ac:dyDescent="0.2">
      <c r="F3401"/>
    </row>
    <row r="3402" spans="6:6" x14ac:dyDescent="0.2">
      <c r="F3402"/>
    </row>
    <row r="3403" spans="6:6" x14ac:dyDescent="0.2">
      <c r="F3403"/>
    </row>
    <row r="3404" spans="6:6" x14ac:dyDescent="0.2">
      <c r="F3404"/>
    </row>
    <row r="3405" spans="6:6" x14ac:dyDescent="0.2">
      <c r="F3405"/>
    </row>
    <row r="3406" spans="6:6" x14ac:dyDescent="0.2">
      <c r="F3406"/>
    </row>
    <row r="3407" spans="6:6" x14ac:dyDescent="0.2">
      <c r="F3407"/>
    </row>
    <row r="3408" spans="6:6" x14ac:dyDescent="0.2">
      <c r="F3408"/>
    </row>
    <row r="3409" spans="6:6" x14ac:dyDescent="0.2">
      <c r="F3409"/>
    </row>
    <row r="3410" spans="6:6" x14ac:dyDescent="0.2">
      <c r="F3410"/>
    </row>
    <row r="3411" spans="6:6" x14ac:dyDescent="0.2">
      <c r="F3411"/>
    </row>
    <row r="3412" spans="6:6" x14ac:dyDescent="0.2">
      <c r="F3412"/>
    </row>
    <row r="3413" spans="6:6" x14ac:dyDescent="0.2">
      <c r="F3413"/>
    </row>
    <row r="3414" spans="6:6" x14ac:dyDescent="0.2">
      <c r="F3414"/>
    </row>
    <row r="3415" spans="6:6" x14ac:dyDescent="0.2">
      <c r="F3415"/>
    </row>
    <row r="3416" spans="6:6" x14ac:dyDescent="0.2">
      <c r="F3416"/>
    </row>
    <row r="3417" spans="6:6" x14ac:dyDescent="0.2">
      <c r="F3417"/>
    </row>
    <row r="3418" spans="6:6" x14ac:dyDescent="0.2">
      <c r="F3418"/>
    </row>
    <row r="3419" spans="6:6" x14ac:dyDescent="0.2">
      <c r="F3419"/>
    </row>
    <row r="3420" spans="6:6" x14ac:dyDescent="0.2">
      <c r="F3420"/>
    </row>
    <row r="3421" spans="6:6" x14ac:dyDescent="0.2">
      <c r="F3421"/>
    </row>
    <row r="3422" spans="6:6" x14ac:dyDescent="0.2">
      <c r="F3422"/>
    </row>
    <row r="3423" spans="6:6" x14ac:dyDescent="0.2">
      <c r="F3423"/>
    </row>
    <row r="3424" spans="6:6" x14ac:dyDescent="0.2">
      <c r="F3424"/>
    </row>
    <row r="3425" spans="6:6" x14ac:dyDescent="0.2">
      <c r="F3425"/>
    </row>
    <row r="3426" spans="6:6" x14ac:dyDescent="0.2">
      <c r="F3426"/>
    </row>
    <row r="3427" spans="6:6" x14ac:dyDescent="0.2">
      <c r="F3427"/>
    </row>
    <row r="3428" spans="6:6" x14ac:dyDescent="0.2">
      <c r="F3428"/>
    </row>
    <row r="3429" spans="6:6" x14ac:dyDescent="0.2">
      <c r="F3429"/>
    </row>
    <row r="3430" spans="6:6" x14ac:dyDescent="0.2">
      <c r="F3430"/>
    </row>
    <row r="3431" spans="6:6" x14ac:dyDescent="0.2">
      <c r="F3431"/>
    </row>
    <row r="3432" spans="6:6" x14ac:dyDescent="0.2">
      <c r="F3432"/>
    </row>
    <row r="3433" spans="6:6" x14ac:dyDescent="0.2">
      <c r="F3433"/>
    </row>
    <row r="3434" spans="6:6" x14ac:dyDescent="0.2">
      <c r="F3434"/>
    </row>
    <row r="3435" spans="6:6" x14ac:dyDescent="0.2">
      <c r="F3435"/>
    </row>
    <row r="3436" spans="6:6" x14ac:dyDescent="0.2">
      <c r="F3436"/>
    </row>
    <row r="3437" spans="6:6" x14ac:dyDescent="0.2">
      <c r="F3437"/>
    </row>
    <row r="3438" spans="6:6" x14ac:dyDescent="0.2">
      <c r="F3438"/>
    </row>
    <row r="3439" spans="6:6" x14ac:dyDescent="0.2">
      <c r="F3439"/>
    </row>
    <row r="3440" spans="6:6" x14ac:dyDescent="0.2">
      <c r="F3440"/>
    </row>
    <row r="3441" spans="6:6" x14ac:dyDescent="0.2">
      <c r="F3441"/>
    </row>
    <row r="3442" spans="6:6" x14ac:dyDescent="0.2">
      <c r="F3442"/>
    </row>
    <row r="3443" spans="6:6" x14ac:dyDescent="0.2">
      <c r="F3443"/>
    </row>
    <row r="3444" spans="6:6" x14ac:dyDescent="0.2">
      <c r="F3444"/>
    </row>
    <row r="3445" spans="6:6" x14ac:dyDescent="0.2">
      <c r="F3445"/>
    </row>
    <row r="3446" spans="6:6" x14ac:dyDescent="0.2">
      <c r="F3446"/>
    </row>
    <row r="3447" spans="6:6" x14ac:dyDescent="0.2">
      <c r="F3447"/>
    </row>
    <row r="3448" spans="6:6" x14ac:dyDescent="0.2">
      <c r="F3448"/>
    </row>
    <row r="3449" spans="6:6" x14ac:dyDescent="0.2">
      <c r="F3449"/>
    </row>
    <row r="3450" spans="6:6" x14ac:dyDescent="0.2">
      <c r="F3450"/>
    </row>
    <row r="3451" spans="6:6" x14ac:dyDescent="0.2">
      <c r="F3451"/>
    </row>
    <row r="3452" spans="6:6" x14ac:dyDescent="0.2">
      <c r="F3452"/>
    </row>
    <row r="3453" spans="6:6" x14ac:dyDescent="0.2">
      <c r="F3453"/>
    </row>
    <row r="3454" spans="6:6" x14ac:dyDescent="0.2">
      <c r="F3454"/>
    </row>
    <row r="3455" spans="6:6" x14ac:dyDescent="0.2">
      <c r="F3455"/>
    </row>
    <row r="3456" spans="6:6" x14ac:dyDescent="0.2">
      <c r="F3456"/>
    </row>
    <row r="3457" spans="6:6" x14ac:dyDescent="0.2">
      <c r="F3457"/>
    </row>
    <row r="3458" spans="6:6" x14ac:dyDescent="0.2">
      <c r="F3458"/>
    </row>
    <row r="3459" spans="6:6" x14ac:dyDescent="0.2">
      <c r="F3459"/>
    </row>
    <row r="3460" spans="6:6" x14ac:dyDescent="0.2">
      <c r="F3460"/>
    </row>
    <row r="3461" spans="6:6" x14ac:dyDescent="0.2">
      <c r="F3461"/>
    </row>
    <row r="3462" spans="6:6" x14ac:dyDescent="0.2">
      <c r="F3462"/>
    </row>
    <row r="3463" spans="6:6" x14ac:dyDescent="0.2">
      <c r="F3463"/>
    </row>
    <row r="3464" spans="6:6" x14ac:dyDescent="0.2">
      <c r="F3464"/>
    </row>
    <row r="3465" spans="6:6" x14ac:dyDescent="0.2">
      <c r="F3465"/>
    </row>
    <row r="3466" spans="6:6" x14ac:dyDescent="0.2">
      <c r="F3466"/>
    </row>
    <row r="3467" spans="6:6" x14ac:dyDescent="0.2">
      <c r="F3467"/>
    </row>
    <row r="3468" spans="6:6" x14ac:dyDescent="0.2">
      <c r="F3468"/>
    </row>
    <row r="3469" spans="6:6" x14ac:dyDescent="0.2">
      <c r="F3469"/>
    </row>
    <row r="3470" spans="6:6" x14ac:dyDescent="0.2">
      <c r="F3470"/>
    </row>
    <row r="3471" spans="6:6" x14ac:dyDescent="0.2">
      <c r="F3471"/>
    </row>
    <row r="3472" spans="6:6" x14ac:dyDescent="0.2">
      <c r="F3472"/>
    </row>
    <row r="3473" spans="6:6" x14ac:dyDescent="0.2">
      <c r="F3473"/>
    </row>
    <row r="3474" spans="6:6" x14ac:dyDescent="0.2">
      <c r="F3474"/>
    </row>
    <row r="3475" spans="6:6" x14ac:dyDescent="0.2">
      <c r="F3475"/>
    </row>
    <row r="3476" spans="6:6" x14ac:dyDescent="0.2">
      <c r="F3476"/>
    </row>
    <row r="3477" spans="6:6" x14ac:dyDescent="0.2">
      <c r="F3477"/>
    </row>
    <row r="3478" spans="6:6" x14ac:dyDescent="0.2">
      <c r="F3478"/>
    </row>
    <row r="3479" spans="6:6" x14ac:dyDescent="0.2">
      <c r="F3479"/>
    </row>
    <row r="3480" spans="6:6" x14ac:dyDescent="0.2">
      <c r="F3480"/>
    </row>
    <row r="3481" spans="6:6" x14ac:dyDescent="0.2">
      <c r="F3481"/>
    </row>
    <row r="3482" spans="6:6" x14ac:dyDescent="0.2">
      <c r="F3482"/>
    </row>
    <row r="3483" spans="6:6" x14ac:dyDescent="0.2">
      <c r="F3483"/>
    </row>
    <row r="3484" spans="6:6" x14ac:dyDescent="0.2">
      <c r="F3484"/>
    </row>
    <row r="3485" spans="6:6" x14ac:dyDescent="0.2">
      <c r="F3485"/>
    </row>
    <row r="3486" spans="6:6" x14ac:dyDescent="0.2">
      <c r="F3486"/>
    </row>
    <row r="3487" spans="6:6" x14ac:dyDescent="0.2">
      <c r="F3487"/>
    </row>
    <row r="3488" spans="6:6" x14ac:dyDescent="0.2">
      <c r="F3488"/>
    </row>
    <row r="3489" spans="6:6" x14ac:dyDescent="0.2">
      <c r="F3489"/>
    </row>
    <row r="3490" spans="6:6" x14ac:dyDescent="0.2">
      <c r="F3490"/>
    </row>
    <row r="3491" spans="6:6" x14ac:dyDescent="0.2">
      <c r="F3491"/>
    </row>
    <row r="3492" spans="6:6" x14ac:dyDescent="0.2">
      <c r="F3492"/>
    </row>
    <row r="3493" spans="6:6" x14ac:dyDescent="0.2">
      <c r="F3493"/>
    </row>
    <row r="3494" spans="6:6" x14ac:dyDescent="0.2">
      <c r="F3494"/>
    </row>
    <row r="3495" spans="6:6" x14ac:dyDescent="0.2">
      <c r="F3495"/>
    </row>
    <row r="3496" spans="6:6" x14ac:dyDescent="0.2">
      <c r="F3496"/>
    </row>
    <row r="3497" spans="6:6" x14ac:dyDescent="0.2">
      <c r="F3497"/>
    </row>
    <row r="3498" spans="6:6" x14ac:dyDescent="0.2">
      <c r="F3498"/>
    </row>
    <row r="3499" spans="6:6" x14ac:dyDescent="0.2">
      <c r="F3499"/>
    </row>
    <row r="3500" spans="6:6" x14ac:dyDescent="0.2">
      <c r="F3500"/>
    </row>
    <row r="3501" spans="6:6" x14ac:dyDescent="0.2">
      <c r="F3501"/>
    </row>
    <row r="3502" spans="6:6" x14ac:dyDescent="0.2">
      <c r="F3502"/>
    </row>
    <row r="3503" spans="6:6" x14ac:dyDescent="0.2">
      <c r="F3503"/>
    </row>
    <row r="3504" spans="6:6" x14ac:dyDescent="0.2">
      <c r="F3504"/>
    </row>
    <row r="3505" spans="6:6" x14ac:dyDescent="0.2">
      <c r="F3505"/>
    </row>
    <row r="3506" spans="6:6" x14ac:dyDescent="0.2">
      <c r="F3506"/>
    </row>
    <row r="3507" spans="6:6" x14ac:dyDescent="0.2">
      <c r="F3507"/>
    </row>
    <row r="3508" spans="6:6" x14ac:dyDescent="0.2">
      <c r="F3508"/>
    </row>
    <row r="3509" spans="6:6" x14ac:dyDescent="0.2">
      <c r="F3509"/>
    </row>
    <row r="3510" spans="6:6" x14ac:dyDescent="0.2">
      <c r="F3510"/>
    </row>
    <row r="3511" spans="6:6" x14ac:dyDescent="0.2">
      <c r="F3511"/>
    </row>
    <row r="3512" spans="6:6" x14ac:dyDescent="0.2">
      <c r="F3512"/>
    </row>
    <row r="3513" spans="6:6" x14ac:dyDescent="0.2">
      <c r="F3513"/>
    </row>
    <row r="3514" spans="6:6" x14ac:dyDescent="0.2">
      <c r="F3514"/>
    </row>
    <row r="3515" spans="6:6" x14ac:dyDescent="0.2">
      <c r="F3515"/>
    </row>
    <row r="3516" spans="6:6" x14ac:dyDescent="0.2">
      <c r="F3516"/>
    </row>
    <row r="3517" spans="6:6" x14ac:dyDescent="0.2">
      <c r="F3517"/>
    </row>
    <row r="3518" spans="6:6" x14ac:dyDescent="0.2">
      <c r="F3518"/>
    </row>
    <row r="3519" spans="6:6" x14ac:dyDescent="0.2">
      <c r="F3519"/>
    </row>
    <row r="3520" spans="6:6" x14ac:dyDescent="0.2">
      <c r="F3520"/>
    </row>
    <row r="3521" spans="6:6" x14ac:dyDescent="0.2">
      <c r="F3521"/>
    </row>
    <row r="3522" spans="6:6" x14ac:dyDescent="0.2">
      <c r="F3522"/>
    </row>
    <row r="3523" spans="6:6" x14ac:dyDescent="0.2">
      <c r="F3523"/>
    </row>
    <row r="3524" spans="6:6" x14ac:dyDescent="0.2">
      <c r="F3524"/>
    </row>
    <row r="3525" spans="6:6" x14ac:dyDescent="0.2">
      <c r="F3525"/>
    </row>
    <row r="3526" spans="6:6" x14ac:dyDescent="0.2">
      <c r="F3526"/>
    </row>
    <row r="3527" spans="6:6" x14ac:dyDescent="0.2">
      <c r="F3527"/>
    </row>
    <row r="3528" spans="6:6" x14ac:dyDescent="0.2">
      <c r="F3528"/>
    </row>
    <row r="3529" spans="6:6" x14ac:dyDescent="0.2">
      <c r="F3529"/>
    </row>
    <row r="3530" spans="6:6" x14ac:dyDescent="0.2">
      <c r="F3530"/>
    </row>
    <row r="3531" spans="6:6" x14ac:dyDescent="0.2">
      <c r="F3531"/>
    </row>
    <row r="3532" spans="6:6" x14ac:dyDescent="0.2">
      <c r="F3532"/>
    </row>
    <row r="3533" spans="6:6" x14ac:dyDescent="0.2">
      <c r="F3533"/>
    </row>
    <row r="3534" spans="6:6" x14ac:dyDescent="0.2">
      <c r="F3534"/>
    </row>
    <row r="3535" spans="6:6" x14ac:dyDescent="0.2">
      <c r="F3535"/>
    </row>
    <row r="3536" spans="6:6" x14ac:dyDescent="0.2">
      <c r="F3536"/>
    </row>
    <row r="3537" spans="6:6" x14ac:dyDescent="0.2">
      <c r="F3537"/>
    </row>
    <row r="3538" spans="6:6" x14ac:dyDescent="0.2">
      <c r="F3538"/>
    </row>
    <row r="3539" spans="6:6" x14ac:dyDescent="0.2">
      <c r="F3539"/>
    </row>
    <row r="3540" spans="6:6" x14ac:dyDescent="0.2">
      <c r="F3540"/>
    </row>
    <row r="3541" spans="6:6" x14ac:dyDescent="0.2">
      <c r="F3541"/>
    </row>
    <row r="3542" spans="6:6" x14ac:dyDescent="0.2">
      <c r="F3542"/>
    </row>
    <row r="3543" spans="6:6" x14ac:dyDescent="0.2">
      <c r="F3543"/>
    </row>
    <row r="3544" spans="6:6" x14ac:dyDescent="0.2">
      <c r="F3544"/>
    </row>
    <row r="3545" spans="6:6" x14ac:dyDescent="0.2">
      <c r="F3545"/>
    </row>
    <row r="3546" spans="6:6" x14ac:dyDescent="0.2">
      <c r="F3546"/>
    </row>
    <row r="3547" spans="6:6" x14ac:dyDescent="0.2">
      <c r="F3547"/>
    </row>
    <row r="3548" spans="6:6" x14ac:dyDescent="0.2">
      <c r="F3548"/>
    </row>
    <row r="3549" spans="6:6" x14ac:dyDescent="0.2">
      <c r="F3549"/>
    </row>
    <row r="3550" spans="6:6" x14ac:dyDescent="0.2">
      <c r="F3550"/>
    </row>
    <row r="3551" spans="6:6" x14ac:dyDescent="0.2">
      <c r="F3551"/>
    </row>
    <row r="3552" spans="6:6" x14ac:dyDescent="0.2">
      <c r="F3552"/>
    </row>
    <row r="3553" spans="6:6" x14ac:dyDescent="0.2">
      <c r="F3553"/>
    </row>
    <row r="3554" spans="6:6" x14ac:dyDescent="0.2">
      <c r="F3554"/>
    </row>
    <row r="3555" spans="6:6" x14ac:dyDescent="0.2">
      <c r="F3555"/>
    </row>
    <row r="3556" spans="6:6" x14ac:dyDescent="0.2">
      <c r="F3556"/>
    </row>
    <row r="3557" spans="6:6" x14ac:dyDescent="0.2">
      <c r="F3557"/>
    </row>
    <row r="3558" spans="6:6" x14ac:dyDescent="0.2">
      <c r="F3558"/>
    </row>
    <row r="3559" spans="6:6" x14ac:dyDescent="0.2">
      <c r="F3559"/>
    </row>
    <row r="3560" spans="6:6" x14ac:dyDescent="0.2">
      <c r="F3560"/>
    </row>
    <row r="3561" spans="6:6" x14ac:dyDescent="0.2">
      <c r="F3561"/>
    </row>
    <row r="3562" spans="6:6" x14ac:dyDescent="0.2">
      <c r="F3562"/>
    </row>
    <row r="3563" spans="6:6" x14ac:dyDescent="0.2">
      <c r="F3563"/>
    </row>
    <row r="3564" spans="6:6" x14ac:dyDescent="0.2">
      <c r="F3564"/>
    </row>
    <row r="3565" spans="6:6" x14ac:dyDescent="0.2">
      <c r="F3565"/>
    </row>
    <row r="3566" spans="6:6" x14ac:dyDescent="0.2">
      <c r="F3566"/>
    </row>
    <row r="3567" spans="6:6" x14ac:dyDescent="0.2">
      <c r="F3567"/>
    </row>
    <row r="3568" spans="6:6" x14ac:dyDescent="0.2">
      <c r="F3568"/>
    </row>
    <row r="3569" spans="6:6" x14ac:dyDescent="0.2">
      <c r="F3569"/>
    </row>
    <row r="3570" spans="6:6" x14ac:dyDescent="0.2">
      <c r="F3570"/>
    </row>
    <row r="3571" spans="6:6" x14ac:dyDescent="0.2">
      <c r="F3571"/>
    </row>
    <row r="3572" spans="6:6" x14ac:dyDescent="0.2">
      <c r="F3572"/>
    </row>
    <row r="3573" spans="6:6" x14ac:dyDescent="0.2">
      <c r="F3573"/>
    </row>
    <row r="3574" spans="6:6" x14ac:dyDescent="0.2">
      <c r="F3574"/>
    </row>
    <row r="3575" spans="6:6" x14ac:dyDescent="0.2">
      <c r="F3575"/>
    </row>
    <row r="3576" spans="6:6" x14ac:dyDescent="0.2">
      <c r="F3576"/>
    </row>
    <row r="3577" spans="6:6" x14ac:dyDescent="0.2">
      <c r="F3577"/>
    </row>
    <row r="3578" spans="6:6" x14ac:dyDescent="0.2">
      <c r="F3578"/>
    </row>
    <row r="3579" spans="6:6" x14ac:dyDescent="0.2">
      <c r="F3579"/>
    </row>
    <row r="3580" spans="6:6" x14ac:dyDescent="0.2">
      <c r="F3580"/>
    </row>
    <row r="3581" spans="6:6" x14ac:dyDescent="0.2">
      <c r="F3581"/>
    </row>
    <row r="3582" spans="6:6" x14ac:dyDescent="0.2">
      <c r="F3582"/>
    </row>
    <row r="3583" spans="6:6" x14ac:dyDescent="0.2">
      <c r="F3583"/>
    </row>
    <row r="3584" spans="6:6" x14ac:dyDescent="0.2">
      <c r="F3584"/>
    </row>
    <row r="3585" spans="6:6" x14ac:dyDescent="0.2">
      <c r="F3585"/>
    </row>
    <row r="3586" spans="6:6" x14ac:dyDescent="0.2">
      <c r="F3586"/>
    </row>
    <row r="3587" spans="6:6" x14ac:dyDescent="0.2">
      <c r="F3587"/>
    </row>
    <row r="3588" spans="6:6" x14ac:dyDescent="0.2">
      <c r="F3588"/>
    </row>
    <row r="3589" spans="6:6" x14ac:dyDescent="0.2">
      <c r="F3589"/>
    </row>
    <row r="3590" spans="6:6" x14ac:dyDescent="0.2">
      <c r="F3590"/>
    </row>
    <row r="3591" spans="6:6" x14ac:dyDescent="0.2">
      <c r="F3591"/>
    </row>
    <row r="3592" spans="6:6" x14ac:dyDescent="0.2">
      <c r="F3592"/>
    </row>
    <row r="3593" spans="6:6" x14ac:dyDescent="0.2">
      <c r="F3593"/>
    </row>
    <row r="3594" spans="6:6" x14ac:dyDescent="0.2">
      <c r="F3594"/>
    </row>
    <row r="3595" spans="6:6" x14ac:dyDescent="0.2">
      <c r="F3595"/>
    </row>
    <row r="3596" spans="6:6" x14ac:dyDescent="0.2">
      <c r="F3596"/>
    </row>
    <row r="3597" spans="6:6" x14ac:dyDescent="0.2">
      <c r="F3597"/>
    </row>
    <row r="3598" spans="6:6" x14ac:dyDescent="0.2">
      <c r="F3598"/>
    </row>
    <row r="3599" spans="6:6" x14ac:dyDescent="0.2">
      <c r="F3599"/>
    </row>
    <row r="3600" spans="6:6" x14ac:dyDescent="0.2">
      <c r="F3600"/>
    </row>
    <row r="3601" spans="6:6" x14ac:dyDescent="0.2">
      <c r="F3601"/>
    </row>
    <row r="3602" spans="6:6" x14ac:dyDescent="0.2">
      <c r="F3602"/>
    </row>
    <row r="3603" spans="6:6" x14ac:dyDescent="0.2">
      <c r="F3603"/>
    </row>
    <row r="3604" spans="6:6" x14ac:dyDescent="0.2">
      <c r="F3604"/>
    </row>
    <row r="3605" spans="6:6" x14ac:dyDescent="0.2">
      <c r="F3605"/>
    </row>
    <row r="3606" spans="6:6" x14ac:dyDescent="0.2">
      <c r="F3606"/>
    </row>
    <row r="3607" spans="6:6" x14ac:dyDescent="0.2">
      <c r="F3607"/>
    </row>
    <row r="3608" spans="6:6" x14ac:dyDescent="0.2">
      <c r="F3608"/>
    </row>
    <row r="3609" spans="6:6" x14ac:dyDescent="0.2">
      <c r="F3609"/>
    </row>
    <row r="3610" spans="6:6" x14ac:dyDescent="0.2">
      <c r="F3610"/>
    </row>
    <row r="3611" spans="6:6" x14ac:dyDescent="0.2">
      <c r="F3611"/>
    </row>
    <row r="3612" spans="6:6" x14ac:dyDescent="0.2">
      <c r="F3612"/>
    </row>
    <row r="3613" spans="6:6" x14ac:dyDescent="0.2">
      <c r="F3613"/>
    </row>
    <row r="3614" spans="6:6" x14ac:dyDescent="0.2">
      <c r="F3614"/>
    </row>
    <row r="3615" spans="6:6" x14ac:dyDescent="0.2">
      <c r="F3615"/>
    </row>
    <row r="3616" spans="6:6" x14ac:dyDescent="0.2">
      <c r="F3616"/>
    </row>
    <row r="3617" spans="6:6" x14ac:dyDescent="0.2">
      <c r="F3617"/>
    </row>
    <row r="3618" spans="6:6" x14ac:dyDescent="0.2">
      <c r="F3618"/>
    </row>
    <row r="3619" spans="6:6" x14ac:dyDescent="0.2">
      <c r="F3619"/>
    </row>
    <row r="3620" spans="6:6" x14ac:dyDescent="0.2">
      <c r="F3620"/>
    </row>
    <row r="3621" spans="6:6" x14ac:dyDescent="0.2">
      <c r="F3621"/>
    </row>
    <row r="3622" spans="6:6" x14ac:dyDescent="0.2">
      <c r="F3622"/>
    </row>
    <row r="3623" spans="6:6" x14ac:dyDescent="0.2">
      <c r="F3623"/>
    </row>
    <row r="3624" spans="6:6" x14ac:dyDescent="0.2">
      <c r="F3624"/>
    </row>
    <row r="3625" spans="6:6" x14ac:dyDescent="0.2">
      <c r="F3625"/>
    </row>
    <row r="3626" spans="6:6" x14ac:dyDescent="0.2">
      <c r="F3626"/>
    </row>
    <row r="3627" spans="6:6" x14ac:dyDescent="0.2">
      <c r="F3627"/>
    </row>
    <row r="3628" spans="6:6" x14ac:dyDescent="0.2">
      <c r="F3628"/>
    </row>
    <row r="3629" spans="6:6" x14ac:dyDescent="0.2">
      <c r="F3629"/>
    </row>
    <row r="3630" spans="6:6" x14ac:dyDescent="0.2">
      <c r="F3630"/>
    </row>
    <row r="3631" spans="6:6" x14ac:dyDescent="0.2">
      <c r="F3631"/>
    </row>
    <row r="3632" spans="6:6" x14ac:dyDescent="0.2">
      <c r="F3632"/>
    </row>
    <row r="3633" spans="6:6" x14ac:dyDescent="0.2">
      <c r="F3633"/>
    </row>
    <row r="3634" spans="6:6" x14ac:dyDescent="0.2">
      <c r="F3634"/>
    </row>
    <row r="3635" spans="6:6" x14ac:dyDescent="0.2">
      <c r="F3635"/>
    </row>
    <row r="3636" spans="6:6" x14ac:dyDescent="0.2">
      <c r="F3636"/>
    </row>
    <row r="3637" spans="6:6" x14ac:dyDescent="0.2">
      <c r="F3637"/>
    </row>
    <row r="3638" spans="6:6" x14ac:dyDescent="0.2">
      <c r="F3638"/>
    </row>
    <row r="3639" spans="6:6" x14ac:dyDescent="0.2">
      <c r="F3639"/>
    </row>
    <row r="3640" spans="6:6" x14ac:dyDescent="0.2">
      <c r="F3640"/>
    </row>
    <row r="3641" spans="6:6" x14ac:dyDescent="0.2">
      <c r="F3641"/>
    </row>
    <row r="3642" spans="6:6" x14ac:dyDescent="0.2">
      <c r="F3642"/>
    </row>
    <row r="3643" spans="6:6" x14ac:dyDescent="0.2">
      <c r="F3643"/>
    </row>
    <row r="3644" spans="6:6" x14ac:dyDescent="0.2">
      <c r="F3644"/>
    </row>
    <row r="3645" spans="6:6" x14ac:dyDescent="0.2">
      <c r="F3645"/>
    </row>
    <row r="3646" spans="6:6" x14ac:dyDescent="0.2">
      <c r="F3646"/>
    </row>
    <row r="3647" spans="6:6" x14ac:dyDescent="0.2">
      <c r="F3647"/>
    </row>
    <row r="3648" spans="6:6" x14ac:dyDescent="0.2">
      <c r="F3648"/>
    </row>
    <row r="3649" spans="6:6" x14ac:dyDescent="0.2">
      <c r="F3649"/>
    </row>
    <row r="3650" spans="6:6" x14ac:dyDescent="0.2">
      <c r="F3650"/>
    </row>
    <row r="3651" spans="6:6" x14ac:dyDescent="0.2">
      <c r="F3651"/>
    </row>
    <row r="3652" spans="6:6" x14ac:dyDescent="0.2">
      <c r="F3652"/>
    </row>
    <row r="3653" spans="6:6" x14ac:dyDescent="0.2">
      <c r="F3653"/>
    </row>
    <row r="3654" spans="6:6" x14ac:dyDescent="0.2">
      <c r="F3654"/>
    </row>
    <row r="3655" spans="6:6" x14ac:dyDescent="0.2">
      <c r="F3655"/>
    </row>
    <row r="3656" spans="6:6" x14ac:dyDescent="0.2">
      <c r="F3656"/>
    </row>
    <row r="3657" spans="6:6" x14ac:dyDescent="0.2">
      <c r="F3657"/>
    </row>
    <row r="3658" spans="6:6" x14ac:dyDescent="0.2">
      <c r="F3658"/>
    </row>
    <row r="3659" spans="6:6" x14ac:dyDescent="0.2">
      <c r="F3659"/>
    </row>
    <row r="3660" spans="6:6" x14ac:dyDescent="0.2">
      <c r="F3660"/>
    </row>
    <row r="3661" spans="6:6" x14ac:dyDescent="0.2">
      <c r="F3661"/>
    </row>
    <row r="3662" spans="6:6" x14ac:dyDescent="0.2">
      <c r="F3662"/>
    </row>
    <row r="3663" spans="6:6" x14ac:dyDescent="0.2">
      <c r="F3663"/>
    </row>
    <row r="3664" spans="6:6" x14ac:dyDescent="0.2">
      <c r="F3664"/>
    </row>
    <row r="3665" spans="6:6" x14ac:dyDescent="0.2">
      <c r="F3665"/>
    </row>
    <row r="3666" spans="6:6" x14ac:dyDescent="0.2">
      <c r="F3666"/>
    </row>
    <row r="3667" spans="6:6" x14ac:dyDescent="0.2">
      <c r="F3667"/>
    </row>
    <row r="3668" spans="6:6" x14ac:dyDescent="0.2">
      <c r="F3668"/>
    </row>
    <row r="3669" spans="6:6" x14ac:dyDescent="0.2">
      <c r="F3669"/>
    </row>
    <row r="3670" spans="6:6" x14ac:dyDescent="0.2">
      <c r="F3670"/>
    </row>
    <row r="3671" spans="6:6" x14ac:dyDescent="0.2">
      <c r="F3671"/>
    </row>
    <row r="3672" spans="6:6" x14ac:dyDescent="0.2">
      <c r="F3672"/>
    </row>
    <row r="3673" spans="6:6" x14ac:dyDescent="0.2">
      <c r="F3673"/>
    </row>
    <row r="3674" spans="6:6" x14ac:dyDescent="0.2">
      <c r="F3674"/>
    </row>
    <row r="3675" spans="6:6" x14ac:dyDescent="0.2">
      <c r="F3675"/>
    </row>
    <row r="3676" spans="6:6" x14ac:dyDescent="0.2">
      <c r="F3676"/>
    </row>
    <row r="3677" spans="6:6" x14ac:dyDescent="0.2">
      <c r="F3677"/>
    </row>
    <row r="3678" spans="6:6" x14ac:dyDescent="0.2">
      <c r="F3678"/>
    </row>
    <row r="3679" spans="6:6" x14ac:dyDescent="0.2">
      <c r="F3679"/>
    </row>
    <row r="3680" spans="6:6" x14ac:dyDescent="0.2">
      <c r="F3680"/>
    </row>
    <row r="3681" spans="6:6" x14ac:dyDescent="0.2">
      <c r="F3681"/>
    </row>
    <row r="3682" spans="6:6" x14ac:dyDescent="0.2">
      <c r="F3682"/>
    </row>
    <row r="3683" spans="6:6" x14ac:dyDescent="0.2">
      <c r="F3683"/>
    </row>
    <row r="3684" spans="6:6" x14ac:dyDescent="0.2">
      <c r="F3684"/>
    </row>
    <row r="3685" spans="6:6" x14ac:dyDescent="0.2">
      <c r="F3685"/>
    </row>
    <row r="3686" spans="6:6" x14ac:dyDescent="0.2">
      <c r="F3686"/>
    </row>
    <row r="3687" spans="6:6" x14ac:dyDescent="0.2">
      <c r="F3687"/>
    </row>
    <row r="3688" spans="6:6" x14ac:dyDescent="0.2">
      <c r="F3688"/>
    </row>
    <row r="3689" spans="6:6" x14ac:dyDescent="0.2">
      <c r="F3689"/>
    </row>
    <row r="3690" spans="6:6" x14ac:dyDescent="0.2">
      <c r="F3690"/>
    </row>
    <row r="3691" spans="6:6" x14ac:dyDescent="0.2">
      <c r="F3691"/>
    </row>
    <row r="3692" spans="6:6" x14ac:dyDescent="0.2">
      <c r="F3692"/>
    </row>
    <row r="3693" spans="6:6" x14ac:dyDescent="0.2">
      <c r="F3693"/>
    </row>
    <row r="3694" spans="6:6" x14ac:dyDescent="0.2">
      <c r="F3694"/>
    </row>
    <row r="3695" spans="6:6" x14ac:dyDescent="0.2">
      <c r="F3695"/>
    </row>
    <row r="3696" spans="6:6" x14ac:dyDescent="0.2">
      <c r="F3696"/>
    </row>
    <row r="3697" spans="6:6" x14ac:dyDescent="0.2">
      <c r="F3697"/>
    </row>
    <row r="3698" spans="6:6" x14ac:dyDescent="0.2">
      <c r="F3698"/>
    </row>
    <row r="3699" spans="6:6" x14ac:dyDescent="0.2">
      <c r="F3699"/>
    </row>
    <row r="3700" spans="6:6" x14ac:dyDescent="0.2">
      <c r="F3700"/>
    </row>
    <row r="3701" spans="6:6" x14ac:dyDescent="0.2">
      <c r="F3701"/>
    </row>
    <row r="3702" spans="6:6" x14ac:dyDescent="0.2">
      <c r="F3702"/>
    </row>
    <row r="3703" spans="6:6" x14ac:dyDescent="0.2">
      <c r="F3703"/>
    </row>
    <row r="3704" spans="6:6" x14ac:dyDescent="0.2">
      <c r="F3704"/>
    </row>
    <row r="3705" spans="6:6" x14ac:dyDescent="0.2">
      <c r="F3705"/>
    </row>
    <row r="3706" spans="6:6" x14ac:dyDescent="0.2">
      <c r="F3706"/>
    </row>
    <row r="3707" spans="6:6" x14ac:dyDescent="0.2">
      <c r="F3707"/>
    </row>
    <row r="3708" spans="6:6" x14ac:dyDescent="0.2">
      <c r="F3708"/>
    </row>
    <row r="3709" spans="6:6" x14ac:dyDescent="0.2">
      <c r="F3709"/>
    </row>
    <row r="3710" spans="6:6" x14ac:dyDescent="0.2">
      <c r="F3710"/>
    </row>
    <row r="3711" spans="6:6" x14ac:dyDescent="0.2">
      <c r="F3711"/>
    </row>
    <row r="3712" spans="6:6" x14ac:dyDescent="0.2">
      <c r="F3712"/>
    </row>
    <row r="3713" spans="6:6" x14ac:dyDescent="0.2">
      <c r="F3713"/>
    </row>
    <row r="3714" spans="6:6" x14ac:dyDescent="0.2">
      <c r="F3714"/>
    </row>
    <row r="3715" spans="6:6" x14ac:dyDescent="0.2">
      <c r="F3715"/>
    </row>
    <row r="3716" spans="6:6" x14ac:dyDescent="0.2">
      <c r="F3716"/>
    </row>
    <row r="3717" spans="6:6" x14ac:dyDescent="0.2">
      <c r="F3717"/>
    </row>
    <row r="3718" spans="6:6" x14ac:dyDescent="0.2">
      <c r="F3718"/>
    </row>
    <row r="3719" spans="6:6" x14ac:dyDescent="0.2">
      <c r="F3719"/>
    </row>
    <row r="3720" spans="6:6" x14ac:dyDescent="0.2">
      <c r="F3720"/>
    </row>
    <row r="3721" spans="6:6" x14ac:dyDescent="0.2">
      <c r="F3721"/>
    </row>
    <row r="3722" spans="6:6" x14ac:dyDescent="0.2">
      <c r="F3722"/>
    </row>
    <row r="3723" spans="6:6" x14ac:dyDescent="0.2">
      <c r="F3723"/>
    </row>
    <row r="3724" spans="6:6" x14ac:dyDescent="0.2">
      <c r="F3724"/>
    </row>
    <row r="3725" spans="6:6" x14ac:dyDescent="0.2">
      <c r="F3725"/>
    </row>
    <row r="3726" spans="6:6" x14ac:dyDescent="0.2">
      <c r="F3726"/>
    </row>
    <row r="3727" spans="6:6" x14ac:dyDescent="0.2">
      <c r="F3727"/>
    </row>
    <row r="3728" spans="6:6" x14ac:dyDescent="0.2">
      <c r="F3728"/>
    </row>
    <row r="3729" spans="6:6" x14ac:dyDescent="0.2">
      <c r="F3729"/>
    </row>
    <row r="3730" spans="6:6" x14ac:dyDescent="0.2">
      <c r="F3730"/>
    </row>
    <row r="3731" spans="6:6" x14ac:dyDescent="0.2">
      <c r="F3731"/>
    </row>
    <row r="3732" spans="6:6" x14ac:dyDescent="0.2">
      <c r="F3732"/>
    </row>
    <row r="3733" spans="6:6" x14ac:dyDescent="0.2">
      <c r="F3733"/>
    </row>
    <row r="3734" spans="6:6" x14ac:dyDescent="0.2">
      <c r="F3734"/>
    </row>
    <row r="3735" spans="6:6" x14ac:dyDescent="0.2">
      <c r="F3735"/>
    </row>
    <row r="3736" spans="6:6" x14ac:dyDescent="0.2">
      <c r="F3736"/>
    </row>
    <row r="3737" spans="6:6" x14ac:dyDescent="0.2">
      <c r="F3737"/>
    </row>
    <row r="3738" spans="6:6" x14ac:dyDescent="0.2">
      <c r="F3738"/>
    </row>
    <row r="3739" spans="6:6" x14ac:dyDescent="0.2">
      <c r="F3739"/>
    </row>
    <row r="3740" spans="6:6" x14ac:dyDescent="0.2">
      <c r="F3740"/>
    </row>
    <row r="3741" spans="6:6" x14ac:dyDescent="0.2">
      <c r="F3741"/>
    </row>
    <row r="3742" spans="6:6" x14ac:dyDescent="0.2">
      <c r="F3742"/>
    </row>
    <row r="3743" spans="6:6" x14ac:dyDescent="0.2">
      <c r="F3743"/>
    </row>
    <row r="3744" spans="6:6" x14ac:dyDescent="0.2">
      <c r="F3744"/>
    </row>
    <row r="3745" spans="6:6" x14ac:dyDescent="0.2">
      <c r="F3745"/>
    </row>
    <row r="3746" spans="6:6" x14ac:dyDescent="0.2">
      <c r="F3746"/>
    </row>
    <row r="3747" spans="6:6" x14ac:dyDescent="0.2">
      <c r="F3747"/>
    </row>
    <row r="3748" spans="6:6" x14ac:dyDescent="0.2">
      <c r="F3748"/>
    </row>
    <row r="3749" spans="6:6" x14ac:dyDescent="0.2">
      <c r="F3749"/>
    </row>
    <row r="3750" spans="6:6" x14ac:dyDescent="0.2">
      <c r="F3750"/>
    </row>
    <row r="3751" spans="6:6" x14ac:dyDescent="0.2">
      <c r="F3751"/>
    </row>
    <row r="3752" spans="6:6" x14ac:dyDescent="0.2">
      <c r="F3752"/>
    </row>
    <row r="3753" spans="6:6" x14ac:dyDescent="0.2">
      <c r="F3753"/>
    </row>
    <row r="3754" spans="6:6" x14ac:dyDescent="0.2">
      <c r="F3754"/>
    </row>
    <row r="3755" spans="6:6" x14ac:dyDescent="0.2">
      <c r="F3755"/>
    </row>
    <row r="3756" spans="6:6" x14ac:dyDescent="0.2">
      <c r="F3756"/>
    </row>
    <row r="3757" spans="6:6" x14ac:dyDescent="0.2">
      <c r="F3757"/>
    </row>
    <row r="3758" spans="6:6" x14ac:dyDescent="0.2">
      <c r="F3758"/>
    </row>
    <row r="3759" spans="6:6" x14ac:dyDescent="0.2">
      <c r="F3759"/>
    </row>
    <row r="3760" spans="6:6" x14ac:dyDescent="0.2">
      <c r="F3760"/>
    </row>
    <row r="3761" spans="6:6" x14ac:dyDescent="0.2">
      <c r="F3761"/>
    </row>
    <row r="3762" spans="6:6" x14ac:dyDescent="0.2">
      <c r="F3762"/>
    </row>
    <row r="3763" spans="6:6" x14ac:dyDescent="0.2">
      <c r="F3763"/>
    </row>
    <row r="3764" spans="6:6" x14ac:dyDescent="0.2">
      <c r="F3764"/>
    </row>
    <row r="3765" spans="6:6" x14ac:dyDescent="0.2">
      <c r="F3765"/>
    </row>
    <row r="3766" spans="6:6" x14ac:dyDescent="0.2">
      <c r="F3766"/>
    </row>
    <row r="3767" spans="6:6" x14ac:dyDescent="0.2">
      <c r="F3767"/>
    </row>
    <row r="3768" spans="6:6" x14ac:dyDescent="0.2">
      <c r="F3768"/>
    </row>
    <row r="3769" spans="6:6" x14ac:dyDescent="0.2">
      <c r="F3769"/>
    </row>
    <row r="3770" spans="6:6" x14ac:dyDescent="0.2">
      <c r="F3770"/>
    </row>
    <row r="3771" spans="6:6" x14ac:dyDescent="0.2">
      <c r="F3771"/>
    </row>
    <row r="3772" spans="6:6" x14ac:dyDescent="0.2">
      <c r="F3772"/>
    </row>
    <row r="3773" spans="6:6" x14ac:dyDescent="0.2">
      <c r="F3773"/>
    </row>
    <row r="3774" spans="6:6" x14ac:dyDescent="0.2">
      <c r="F3774"/>
    </row>
    <row r="3775" spans="6:6" x14ac:dyDescent="0.2">
      <c r="F3775"/>
    </row>
    <row r="3776" spans="6:6" x14ac:dyDescent="0.2">
      <c r="F3776"/>
    </row>
    <row r="3777" spans="6:6" x14ac:dyDescent="0.2">
      <c r="F3777"/>
    </row>
    <row r="3778" spans="6:6" x14ac:dyDescent="0.2">
      <c r="F3778"/>
    </row>
    <row r="3779" spans="6:6" x14ac:dyDescent="0.2">
      <c r="F3779"/>
    </row>
    <row r="3780" spans="6:6" x14ac:dyDescent="0.2">
      <c r="F3780"/>
    </row>
    <row r="3781" spans="6:6" x14ac:dyDescent="0.2">
      <c r="F3781"/>
    </row>
    <row r="3782" spans="6:6" x14ac:dyDescent="0.2">
      <c r="F3782"/>
    </row>
    <row r="3783" spans="6:6" x14ac:dyDescent="0.2">
      <c r="F3783"/>
    </row>
    <row r="3784" spans="6:6" x14ac:dyDescent="0.2">
      <c r="F3784"/>
    </row>
    <row r="3785" spans="6:6" x14ac:dyDescent="0.2">
      <c r="F3785"/>
    </row>
    <row r="3786" spans="6:6" x14ac:dyDescent="0.2">
      <c r="F3786"/>
    </row>
    <row r="3787" spans="6:6" x14ac:dyDescent="0.2">
      <c r="F3787"/>
    </row>
    <row r="3788" spans="6:6" x14ac:dyDescent="0.2">
      <c r="F3788"/>
    </row>
    <row r="3789" spans="6:6" x14ac:dyDescent="0.2">
      <c r="F3789"/>
    </row>
    <row r="3790" spans="6:6" x14ac:dyDescent="0.2">
      <c r="F3790"/>
    </row>
    <row r="3791" spans="6:6" x14ac:dyDescent="0.2">
      <c r="F3791"/>
    </row>
    <row r="3792" spans="6:6" x14ac:dyDescent="0.2">
      <c r="F3792"/>
    </row>
    <row r="3793" spans="6:6" x14ac:dyDescent="0.2">
      <c r="F3793"/>
    </row>
    <row r="3794" spans="6:6" x14ac:dyDescent="0.2">
      <c r="F3794"/>
    </row>
    <row r="3795" spans="6:6" x14ac:dyDescent="0.2">
      <c r="F3795"/>
    </row>
    <row r="3796" spans="6:6" x14ac:dyDescent="0.2">
      <c r="F3796"/>
    </row>
    <row r="3797" spans="6:6" x14ac:dyDescent="0.2">
      <c r="F3797"/>
    </row>
    <row r="3798" spans="6:6" x14ac:dyDescent="0.2">
      <c r="F3798"/>
    </row>
    <row r="3799" spans="6:6" x14ac:dyDescent="0.2">
      <c r="F3799"/>
    </row>
    <row r="3800" spans="6:6" x14ac:dyDescent="0.2">
      <c r="F3800"/>
    </row>
    <row r="3801" spans="6:6" x14ac:dyDescent="0.2">
      <c r="F3801"/>
    </row>
    <row r="3802" spans="6:6" x14ac:dyDescent="0.2">
      <c r="F3802"/>
    </row>
    <row r="3803" spans="6:6" x14ac:dyDescent="0.2">
      <c r="F3803"/>
    </row>
    <row r="3804" spans="6:6" x14ac:dyDescent="0.2">
      <c r="F3804"/>
    </row>
    <row r="3805" spans="6:6" x14ac:dyDescent="0.2">
      <c r="F3805"/>
    </row>
    <row r="3806" spans="6:6" x14ac:dyDescent="0.2">
      <c r="F3806"/>
    </row>
    <row r="3807" spans="6:6" x14ac:dyDescent="0.2">
      <c r="F3807"/>
    </row>
    <row r="3808" spans="6:6" x14ac:dyDescent="0.2">
      <c r="F3808"/>
    </row>
    <row r="3809" spans="6:6" x14ac:dyDescent="0.2">
      <c r="F3809"/>
    </row>
    <row r="3810" spans="6:6" x14ac:dyDescent="0.2">
      <c r="F3810"/>
    </row>
    <row r="3811" spans="6:6" x14ac:dyDescent="0.2">
      <c r="F3811"/>
    </row>
    <row r="3812" spans="6:6" x14ac:dyDescent="0.2">
      <c r="F3812"/>
    </row>
    <row r="3813" spans="6:6" x14ac:dyDescent="0.2">
      <c r="F3813"/>
    </row>
    <row r="3814" spans="6:6" x14ac:dyDescent="0.2">
      <c r="F3814"/>
    </row>
    <row r="3815" spans="6:6" x14ac:dyDescent="0.2">
      <c r="F3815"/>
    </row>
    <row r="3816" spans="6:6" x14ac:dyDescent="0.2">
      <c r="F3816"/>
    </row>
    <row r="3817" spans="6:6" x14ac:dyDescent="0.2">
      <c r="F3817"/>
    </row>
    <row r="3818" spans="6:6" x14ac:dyDescent="0.2">
      <c r="F3818"/>
    </row>
    <row r="3819" spans="6:6" x14ac:dyDescent="0.2">
      <c r="F3819"/>
    </row>
    <row r="3820" spans="6:6" x14ac:dyDescent="0.2">
      <c r="F3820"/>
    </row>
    <row r="3821" spans="6:6" x14ac:dyDescent="0.2">
      <c r="F3821"/>
    </row>
    <row r="3822" spans="6:6" x14ac:dyDescent="0.2">
      <c r="F3822"/>
    </row>
    <row r="3823" spans="6:6" x14ac:dyDescent="0.2">
      <c r="F3823"/>
    </row>
    <row r="3824" spans="6:6" x14ac:dyDescent="0.2">
      <c r="F3824"/>
    </row>
    <row r="3825" spans="6:6" x14ac:dyDescent="0.2">
      <c r="F3825"/>
    </row>
    <row r="3826" spans="6:6" x14ac:dyDescent="0.2">
      <c r="F3826"/>
    </row>
    <row r="3827" spans="6:6" x14ac:dyDescent="0.2">
      <c r="F3827"/>
    </row>
    <row r="3828" spans="6:6" x14ac:dyDescent="0.2">
      <c r="F3828"/>
    </row>
    <row r="3829" spans="6:6" x14ac:dyDescent="0.2">
      <c r="F3829"/>
    </row>
    <row r="3830" spans="6:6" x14ac:dyDescent="0.2">
      <c r="F3830"/>
    </row>
    <row r="3831" spans="6:6" x14ac:dyDescent="0.2">
      <c r="F3831"/>
    </row>
    <row r="3832" spans="6:6" x14ac:dyDescent="0.2">
      <c r="F3832"/>
    </row>
    <row r="3833" spans="6:6" x14ac:dyDescent="0.2">
      <c r="F3833"/>
    </row>
    <row r="3834" spans="6:6" x14ac:dyDescent="0.2">
      <c r="F3834"/>
    </row>
    <row r="3835" spans="6:6" x14ac:dyDescent="0.2">
      <c r="F3835"/>
    </row>
    <row r="3836" spans="6:6" x14ac:dyDescent="0.2">
      <c r="F3836"/>
    </row>
    <row r="3837" spans="6:6" x14ac:dyDescent="0.2">
      <c r="F3837"/>
    </row>
    <row r="3838" spans="6:6" x14ac:dyDescent="0.2">
      <c r="F3838"/>
    </row>
    <row r="3839" spans="6:6" x14ac:dyDescent="0.2">
      <c r="F3839"/>
    </row>
    <row r="3840" spans="6:6" x14ac:dyDescent="0.2">
      <c r="F3840"/>
    </row>
    <row r="3841" spans="6:6" x14ac:dyDescent="0.2">
      <c r="F3841"/>
    </row>
    <row r="3842" spans="6:6" x14ac:dyDescent="0.2">
      <c r="F3842"/>
    </row>
    <row r="3843" spans="6:6" x14ac:dyDescent="0.2">
      <c r="F3843"/>
    </row>
    <row r="3844" spans="6:6" x14ac:dyDescent="0.2">
      <c r="F3844"/>
    </row>
    <row r="3845" spans="6:6" x14ac:dyDescent="0.2">
      <c r="F3845"/>
    </row>
    <row r="3846" spans="6:6" x14ac:dyDescent="0.2">
      <c r="F3846"/>
    </row>
    <row r="3847" spans="6:6" x14ac:dyDescent="0.2">
      <c r="F3847"/>
    </row>
    <row r="3848" spans="6:6" x14ac:dyDescent="0.2">
      <c r="F3848"/>
    </row>
    <row r="3849" spans="6:6" x14ac:dyDescent="0.2">
      <c r="F3849"/>
    </row>
    <row r="3850" spans="6:6" x14ac:dyDescent="0.2">
      <c r="F3850"/>
    </row>
    <row r="3851" spans="6:6" x14ac:dyDescent="0.2">
      <c r="F3851"/>
    </row>
    <row r="3852" spans="6:6" x14ac:dyDescent="0.2">
      <c r="F3852"/>
    </row>
    <row r="3853" spans="6:6" x14ac:dyDescent="0.2">
      <c r="F3853"/>
    </row>
    <row r="3854" spans="6:6" x14ac:dyDescent="0.2">
      <c r="F3854"/>
    </row>
    <row r="3855" spans="6:6" x14ac:dyDescent="0.2">
      <c r="F3855"/>
    </row>
    <row r="3856" spans="6:6" x14ac:dyDescent="0.2">
      <c r="F3856"/>
    </row>
    <row r="3857" spans="6:6" x14ac:dyDescent="0.2">
      <c r="F3857"/>
    </row>
    <row r="3858" spans="6:6" x14ac:dyDescent="0.2">
      <c r="F3858"/>
    </row>
    <row r="3859" spans="6:6" x14ac:dyDescent="0.2">
      <c r="F3859"/>
    </row>
    <row r="3860" spans="6:6" x14ac:dyDescent="0.2">
      <c r="F3860"/>
    </row>
    <row r="3861" spans="6:6" x14ac:dyDescent="0.2">
      <c r="F3861"/>
    </row>
    <row r="3862" spans="6:6" x14ac:dyDescent="0.2">
      <c r="F3862"/>
    </row>
    <row r="3863" spans="6:6" x14ac:dyDescent="0.2">
      <c r="F3863"/>
    </row>
    <row r="3864" spans="6:6" x14ac:dyDescent="0.2">
      <c r="F3864"/>
    </row>
    <row r="3865" spans="6:6" x14ac:dyDescent="0.2">
      <c r="F3865"/>
    </row>
    <row r="3866" spans="6:6" x14ac:dyDescent="0.2">
      <c r="F3866"/>
    </row>
    <row r="3867" spans="6:6" x14ac:dyDescent="0.2">
      <c r="F3867"/>
    </row>
    <row r="3868" spans="6:6" x14ac:dyDescent="0.2">
      <c r="F3868"/>
    </row>
    <row r="3869" spans="6:6" x14ac:dyDescent="0.2">
      <c r="F3869"/>
    </row>
    <row r="3870" spans="6:6" x14ac:dyDescent="0.2">
      <c r="F3870"/>
    </row>
    <row r="3871" spans="6:6" x14ac:dyDescent="0.2">
      <c r="F3871"/>
    </row>
    <row r="3872" spans="6:6" x14ac:dyDescent="0.2">
      <c r="F3872"/>
    </row>
    <row r="3873" spans="6:6" x14ac:dyDescent="0.2">
      <c r="F3873"/>
    </row>
    <row r="3874" spans="6:6" x14ac:dyDescent="0.2">
      <c r="F3874"/>
    </row>
    <row r="3875" spans="6:6" x14ac:dyDescent="0.2">
      <c r="F3875"/>
    </row>
    <row r="3876" spans="6:6" x14ac:dyDescent="0.2">
      <c r="F3876"/>
    </row>
    <row r="3877" spans="6:6" x14ac:dyDescent="0.2">
      <c r="F3877"/>
    </row>
    <row r="3878" spans="6:6" x14ac:dyDescent="0.2">
      <c r="F3878"/>
    </row>
    <row r="3879" spans="6:6" x14ac:dyDescent="0.2">
      <c r="F3879"/>
    </row>
    <row r="3880" spans="6:6" x14ac:dyDescent="0.2">
      <c r="F3880"/>
    </row>
    <row r="3881" spans="6:6" x14ac:dyDescent="0.2">
      <c r="F3881"/>
    </row>
    <row r="3882" spans="6:6" x14ac:dyDescent="0.2">
      <c r="F3882"/>
    </row>
    <row r="3883" spans="6:6" x14ac:dyDescent="0.2">
      <c r="F3883"/>
    </row>
    <row r="3884" spans="6:6" x14ac:dyDescent="0.2">
      <c r="F3884"/>
    </row>
    <row r="3885" spans="6:6" x14ac:dyDescent="0.2">
      <c r="F3885"/>
    </row>
    <row r="3886" spans="6:6" x14ac:dyDescent="0.2">
      <c r="F3886"/>
    </row>
    <row r="3887" spans="6:6" x14ac:dyDescent="0.2">
      <c r="F3887"/>
    </row>
    <row r="3888" spans="6:6" x14ac:dyDescent="0.2">
      <c r="F3888"/>
    </row>
    <row r="3889" spans="6:6" x14ac:dyDescent="0.2">
      <c r="F3889"/>
    </row>
    <row r="3890" spans="6:6" x14ac:dyDescent="0.2">
      <c r="F3890"/>
    </row>
    <row r="3891" spans="6:6" x14ac:dyDescent="0.2">
      <c r="F3891"/>
    </row>
    <row r="3892" spans="6:6" x14ac:dyDescent="0.2">
      <c r="F3892"/>
    </row>
    <row r="3893" spans="6:6" x14ac:dyDescent="0.2">
      <c r="F3893"/>
    </row>
    <row r="3894" spans="6:6" x14ac:dyDescent="0.2">
      <c r="F3894"/>
    </row>
    <row r="3895" spans="6:6" x14ac:dyDescent="0.2">
      <c r="F3895"/>
    </row>
    <row r="3896" spans="6:6" x14ac:dyDescent="0.2">
      <c r="F3896"/>
    </row>
    <row r="3897" spans="6:6" x14ac:dyDescent="0.2">
      <c r="F3897"/>
    </row>
    <row r="3898" spans="6:6" x14ac:dyDescent="0.2">
      <c r="F3898"/>
    </row>
    <row r="3899" spans="6:6" x14ac:dyDescent="0.2">
      <c r="F3899"/>
    </row>
    <row r="3900" spans="6:6" x14ac:dyDescent="0.2">
      <c r="F3900"/>
    </row>
    <row r="3901" spans="6:6" x14ac:dyDescent="0.2">
      <c r="F3901"/>
    </row>
    <row r="3902" spans="6:6" x14ac:dyDescent="0.2">
      <c r="F3902"/>
    </row>
    <row r="3903" spans="6:6" x14ac:dyDescent="0.2">
      <c r="F3903"/>
    </row>
    <row r="3904" spans="6:6" x14ac:dyDescent="0.2">
      <c r="F3904"/>
    </row>
    <row r="3905" spans="6:6" x14ac:dyDescent="0.2">
      <c r="F3905"/>
    </row>
    <row r="3906" spans="6:6" x14ac:dyDescent="0.2">
      <c r="F3906"/>
    </row>
    <row r="3907" spans="6:6" x14ac:dyDescent="0.2">
      <c r="F3907"/>
    </row>
    <row r="3908" spans="6:6" x14ac:dyDescent="0.2">
      <c r="F3908"/>
    </row>
    <row r="3909" spans="6:6" x14ac:dyDescent="0.2">
      <c r="F3909"/>
    </row>
    <row r="3910" spans="6:6" x14ac:dyDescent="0.2">
      <c r="F3910"/>
    </row>
    <row r="3911" spans="6:6" x14ac:dyDescent="0.2">
      <c r="F3911"/>
    </row>
    <row r="3912" spans="6:6" x14ac:dyDescent="0.2">
      <c r="F3912"/>
    </row>
    <row r="3913" spans="6:6" x14ac:dyDescent="0.2">
      <c r="F3913"/>
    </row>
    <row r="3914" spans="6:6" x14ac:dyDescent="0.2">
      <c r="F3914"/>
    </row>
    <row r="3915" spans="6:6" x14ac:dyDescent="0.2">
      <c r="F3915"/>
    </row>
    <row r="3916" spans="6:6" x14ac:dyDescent="0.2">
      <c r="F3916"/>
    </row>
    <row r="3917" spans="6:6" x14ac:dyDescent="0.2">
      <c r="F3917"/>
    </row>
    <row r="3918" spans="6:6" x14ac:dyDescent="0.2">
      <c r="F3918"/>
    </row>
    <row r="3919" spans="6:6" x14ac:dyDescent="0.2">
      <c r="F3919"/>
    </row>
    <row r="3920" spans="6:6" x14ac:dyDescent="0.2">
      <c r="F3920"/>
    </row>
    <row r="3921" spans="6:6" x14ac:dyDescent="0.2">
      <c r="F3921"/>
    </row>
    <row r="3922" spans="6:6" x14ac:dyDescent="0.2">
      <c r="F3922"/>
    </row>
    <row r="3923" spans="6:6" x14ac:dyDescent="0.2">
      <c r="F3923"/>
    </row>
    <row r="3924" spans="6:6" x14ac:dyDescent="0.2">
      <c r="F3924"/>
    </row>
    <row r="3925" spans="6:6" x14ac:dyDescent="0.2">
      <c r="F3925"/>
    </row>
    <row r="3926" spans="6:6" x14ac:dyDescent="0.2">
      <c r="F3926"/>
    </row>
    <row r="3927" spans="6:6" x14ac:dyDescent="0.2">
      <c r="F3927"/>
    </row>
    <row r="3928" spans="6:6" x14ac:dyDescent="0.2">
      <c r="F3928"/>
    </row>
    <row r="3929" spans="6:6" x14ac:dyDescent="0.2">
      <c r="F3929"/>
    </row>
    <row r="3930" spans="6:6" x14ac:dyDescent="0.2">
      <c r="F3930"/>
    </row>
    <row r="3931" spans="6:6" x14ac:dyDescent="0.2">
      <c r="F3931"/>
    </row>
    <row r="3932" spans="6:6" x14ac:dyDescent="0.2">
      <c r="F3932"/>
    </row>
    <row r="3933" spans="6:6" x14ac:dyDescent="0.2">
      <c r="F3933"/>
    </row>
    <row r="3934" spans="6:6" x14ac:dyDescent="0.2">
      <c r="F3934"/>
    </row>
    <row r="3935" spans="6:6" x14ac:dyDescent="0.2">
      <c r="F3935"/>
    </row>
    <row r="3936" spans="6:6" x14ac:dyDescent="0.2">
      <c r="F3936"/>
    </row>
    <row r="3937" spans="6:6" x14ac:dyDescent="0.2">
      <c r="F3937"/>
    </row>
    <row r="3938" spans="6:6" x14ac:dyDescent="0.2">
      <c r="F3938"/>
    </row>
    <row r="3939" spans="6:6" x14ac:dyDescent="0.2">
      <c r="F3939"/>
    </row>
    <row r="3940" spans="6:6" x14ac:dyDescent="0.2">
      <c r="F3940"/>
    </row>
    <row r="3941" spans="6:6" x14ac:dyDescent="0.2">
      <c r="F3941"/>
    </row>
    <row r="3942" spans="6:6" x14ac:dyDescent="0.2">
      <c r="F3942"/>
    </row>
    <row r="3943" spans="6:6" x14ac:dyDescent="0.2">
      <c r="F3943"/>
    </row>
    <row r="3944" spans="6:6" x14ac:dyDescent="0.2">
      <c r="F3944"/>
    </row>
    <row r="3945" spans="6:6" x14ac:dyDescent="0.2">
      <c r="F3945"/>
    </row>
    <row r="3946" spans="6:6" x14ac:dyDescent="0.2">
      <c r="F3946"/>
    </row>
    <row r="3947" spans="6:6" x14ac:dyDescent="0.2">
      <c r="F3947"/>
    </row>
    <row r="3948" spans="6:6" x14ac:dyDescent="0.2">
      <c r="F3948"/>
    </row>
    <row r="3949" spans="6:6" x14ac:dyDescent="0.2">
      <c r="F3949"/>
    </row>
    <row r="3950" spans="6:6" x14ac:dyDescent="0.2">
      <c r="F3950"/>
    </row>
    <row r="3951" spans="6:6" x14ac:dyDescent="0.2">
      <c r="F3951"/>
    </row>
    <row r="3952" spans="6:6" x14ac:dyDescent="0.2">
      <c r="F3952"/>
    </row>
    <row r="3953" spans="6:6" x14ac:dyDescent="0.2">
      <c r="F3953"/>
    </row>
    <row r="3954" spans="6:6" x14ac:dyDescent="0.2">
      <c r="F3954"/>
    </row>
    <row r="3955" spans="6:6" x14ac:dyDescent="0.2">
      <c r="F3955"/>
    </row>
    <row r="3956" spans="6:6" x14ac:dyDescent="0.2">
      <c r="F3956"/>
    </row>
    <row r="3957" spans="6:6" x14ac:dyDescent="0.2">
      <c r="F3957"/>
    </row>
    <row r="3958" spans="6:6" x14ac:dyDescent="0.2">
      <c r="F3958"/>
    </row>
    <row r="3959" spans="6:6" x14ac:dyDescent="0.2">
      <c r="F3959"/>
    </row>
    <row r="3960" spans="6:6" x14ac:dyDescent="0.2">
      <c r="F3960"/>
    </row>
    <row r="3961" spans="6:6" x14ac:dyDescent="0.2">
      <c r="F3961"/>
    </row>
    <row r="3962" spans="6:6" x14ac:dyDescent="0.2">
      <c r="F3962"/>
    </row>
    <row r="3963" spans="6:6" x14ac:dyDescent="0.2">
      <c r="F3963"/>
    </row>
    <row r="3964" spans="6:6" x14ac:dyDescent="0.2">
      <c r="F3964"/>
    </row>
    <row r="3965" spans="6:6" x14ac:dyDescent="0.2">
      <c r="F3965"/>
    </row>
    <row r="3966" spans="6:6" x14ac:dyDescent="0.2">
      <c r="F3966"/>
    </row>
    <row r="3967" spans="6:6" x14ac:dyDescent="0.2">
      <c r="F3967"/>
    </row>
    <row r="3968" spans="6:6" x14ac:dyDescent="0.2">
      <c r="F3968"/>
    </row>
    <row r="3969" spans="6:6" x14ac:dyDescent="0.2">
      <c r="F3969"/>
    </row>
    <row r="3970" spans="6:6" x14ac:dyDescent="0.2">
      <c r="F3970"/>
    </row>
    <row r="3971" spans="6:6" x14ac:dyDescent="0.2">
      <c r="F3971"/>
    </row>
    <row r="3972" spans="6:6" x14ac:dyDescent="0.2">
      <c r="F3972"/>
    </row>
    <row r="3973" spans="6:6" x14ac:dyDescent="0.2">
      <c r="F3973"/>
    </row>
    <row r="3974" spans="6:6" x14ac:dyDescent="0.2">
      <c r="F3974"/>
    </row>
    <row r="3975" spans="6:6" x14ac:dyDescent="0.2">
      <c r="F3975"/>
    </row>
    <row r="3976" spans="6:6" x14ac:dyDescent="0.2">
      <c r="F3976"/>
    </row>
    <row r="3977" spans="6:6" x14ac:dyDescent="0.2">
      <c r="F3977"/>
    </row>
    <row r="3978" spans="6:6" x14ac:dyDescent="0.2">
      <c r="F3978"/>
    </row>
    <row r="3979" spans="6:6" x14ac:dyDescent="0.2">
      <c r="F3979"/>
    </row>
    <row r="3980" spans="6:6" x14ac:dyDescent="0.2">
      <c r="F3980"/>
    </row>
    <row r="3981" spans="6:6" x14ac:dyDescent="0.2">
      <c r="F3981"/>
    </row>
    <row r="3982" spans="6:6" x14ac:dyDescent="0.2">
      <c r="F3982"/>
    </row>
    <row r="3983" spans="6:6" x14ac:dyDescent="0.2">
      <c r="F3983"/>
    </row>
    <row r="3984" spans="6:6" x14ac:dyDescent="0.2">
      <c r="F3984"/>
    </row>
    <row r="3985" spans="6:6" x14ac:dyDescent="0.2">
      <c r="F3985"/>
    </row>
    <row r="3986" spans="6:6" x14ac:dyDescent="0.2">
      <c r="F3986"/>
    </row>
    <row r="3987" spans="6:6" x14ac:dyDescent="0.2">
      <c r="F3987"/>
    </row>
    <row r="3988" spans="6:6" x14ac:dyDescent="0.2">
      <c r="F3988"/>
    </row>
    <row r="3989" spans="6:6" x14ac:dyDescent="0.2">
      <c r="F3989"/>
    </row>
    <row r="3990" spans="6:6" x14ac:dyDescent="0.2">
      <c r="F3990"/>
    </row>
    <row r="3991" spans="6:6" x14ac:dyDescent="0.2">
      <c r="F3991"/>
    </row>
    <row r="3992" spans="6:6" x14ac:dyDescent="0.2">
      <c r="F3992"/>
    </row>
    <row r="3993" spans="6:6" x14ac:dyDescent="0.2">
      <c r="F3993"/>
    </row>
    <row r="3994" spans="6:6" x14ac:dyDescent="0.2">
      <c r="F3994"/>
    </row>
    <row r="3995" spans="6:6" x14ac:dyDescent="0.2">
      <c r="F3995"/>
    </row>
    <row r="3996" spans="6:6" x14ac:dyDescent="0.2">
      <c r="F3996"/>
    </row>
    <row r="3997" spans="6:6" x14ac:dyDescent="0.2">
      <c r="F3997"/>
    </row>
    <row r="3998" spans="6:6" x14ac:dyDescent="0.2">
      <c r="F3998"/>
    </row>
    <row r="3999" spans="6:6" x14ac:dyDescent="0.2">
      <c r="F3999"/>
    </row>
    <row r="4000" spans="6:6" x14ac:dyDescent="0.2">
      <c r="F4000"/>
    </row>
    <row r="4001" spans="6:6" x14ac:dyDescent="0.2">
      <c r="F4001"/>
    </row>
    <row r="4002" spans="6:6" x14ac:dyDescent="0.2">
      <c r="F4002"/>
    </row>
    <row r="4003" spans="6:6" x14ac:dyDescent="0.2">
      <c r="F4003"/>
    </row>
    <row r="4004" spans="6:6" x14ac:dyDescent="0.2">
      <c r="F4004"/>
    </row>
    <row r="4005" spans="6:6" x14ac:dyDescent="0.2">
      <c r="F4005"/>
    </row>
    <row r="4006" spans="6:6" x14ac:dyDescent="0.2">
      <c r="F4006"/>
    </row>
    <row r="4007" spans="6:6" x14ac:dyDescent="0.2">
      <c r="F4007"/>
    </row>
    <row r="4008" spans="6:6" x14ac:dyDescent="0.2">
      <c r="F4008"/>
    </row>
    <row r="4009" spans="6:6" x14ac:dyDescent="0.2">
      <c r="F4009"/>
    </row>
    <row r="4010" spans="6:6" x14ac:dyDescent="0.2">
      <c r="F4010"/>
    </row>
    <row r="4011" spans="6:6" x14ac:dyDescent="0.2">
      <c r="F4011"/>
    </row>
    <row r="4012" spans="6:6" x14ac:dyDescent="0.2">
      <c r="F4012"/>
    </row>
    <row r="4013" spans="6:6" x14ac:dyDescent="0.2">
      <c r="F4013"/>
    </row>
    <row r="4014" spans="6:6" x14ac:dyDescent="0.2">
      <c r="F4014"/>
    </row>
    <row r="4015" spans="6:6" x14ac:dyDescent="0.2">
      <c r="F4015"/>
    </row>
    <row r="4016" spans="6:6" x14ac:dyDescent="0.2">
      <c r="F4016"/>
    </row>
    <row r="4017" spans="6:6" x14ac:dyDescent="0.2">
      <c r="F4017"/>
    </row>
    <row r="4018" spans="6:6" x14ac:dyDescent="0.2">
      <c r="F4018"/>
    </row>
    <row r="4019" spans="6:6" x14ac:dyDescent="0.2">
      <c r="F4019"/>
    </row>
    <row r="4020" spans="6:6" x14ac:dyDescent="0.2">
      <c r="F4020"/>
    </row>
    <row r="4021" spans="6:6" x14ac:dyDescent="0.2">
      <c r="F4021"/>
    </row>
    <row r="4022" spans="6:6" x14ac:dyDescent="0.2">
      <c r="F4022"/>
    </row>
    <row r="4023" spans="6:6" x14ac:dyDescent="0.2">
      <c r="F4023"/>
    </row>
    <row r="4024" spans="6:6" x14ac:dyDescent="0.2">
      <c r="F4024"/>
    </row>
    <row r="4025" spans="6:6" x14ac:dyDescent="0.2">
      <c r="F4025"/>
    </row>
    <row r="4026" spans="6:6" x14ac:dyDescent="0.2">
      <c r="F4026"/>
    </row>
    <row r="4027" spans="6:6" x14ac:dyDescent="0.2">
      <c r="F4027"/>
    </row>
    <row r="4028" spans="6:6" x14ac:dyDescent="0.2">
      <c r="F4028"/>
    </row>
    <row r="4029" spans="6:6" x14ac:dyDescent="0.2">
      <c r="F4029"/>
    </row>
    <row r="4030" spans="6:6" x14ac:dyDescent="0.2">
      <c r="F4030"/>
    </row>
    <row r="4031" spans="6:6" x14ac:dyDescent="0.2">
      <c r="F4031"/>
    </row>
    <row r="4032" spans="6:6" x14ac:dyDescent="0.2">
      <c r="F4032"/>
    </row>
    <row r="4033" spans="6:6" x14ac:dyDescent="0.2">
      <c r="F4033"/>
    </row>
    <row r="4034" spans="6:6" x14ac:dyDescent="0.2">
      <c r="F4034"/>
    </row>
    <row r="4035" spans="6:6" x14ac:dyDescent="0.2">
      <c r="F4035"/>
    </row>
    <row r="4036" spans="6:6" x14ac:dyDescent="0.2">
      <c r="F4036"/>
    </row>
    <row r="4037" spans="6:6" x14ac:dyDescent="0.2">
      <c r="F4037"/>
    </row>
    <row r="4038" spans="6:6" x14ac:dyDescent="0.2">
      <c r="F4038"/>
    </row>
    <row r="4039" spans="6:6" x14ac:dyDescent="0.2">
      <c r="F4039"/>
    </row>
    <row r="4040" spans="6:6" x14ac:dyDescent="0.2">
      <c r="F4040"/>
    </row>
    <row r="4041" spans="6:6" x14ac:dyDescent="0.2">
      <c r="F4041"/>
    </row>
    <row r="4042" spans="6:6" x14ac:dyDescent="0.2">
      <c r="F4042"/>
    </row>
    <row r="4043" spans="6:6" x14ac:dyDescent="0.2">
      <c r="F4043"/>
    </row>
    <row r="4044" spans="6:6" x14ac:dyDescent="0.2">
      <c r="F4044"/>
    </row>
    <row r="4045" spans="6:6" x14ac:dyDescent="0.2">
      <c r="F4045"/>
    </row>
    <row r="4046" spans="6:6" x14ac:dyDescent="0.2">
      <c r="F4046"/>
    </row>
    <row r="4047" spans="6:6" x14ac:dyDescent="0.2">
      <c r="F4047"/>
    </row>
    <row r="4048" spans="6:6" x14ac:dyDescent="0.2">
      <c r="F4048"/>
    </row>
    <row r="4049" spans="6:6" x14ac:dyDescent="0.2">
      <c r="F4049"/>
    </row>
    <row r="4050" spans="6:6" x14ac:dyDescent="0.2">
      <c r="F4050"/>
    </row>
    <row r="4051" spans="6:6" x14ac:dyDescent="0.2">
      <c r="F4051"/>
    </row>
    <row r="4052" spans="6:6" x14ac:dyDescent="0.2">
      <c r="F4052"/>
    </row>
    <row r="4053" spans="6:6" x14ac:dyDescent="0.2">
      <c r="F4053"/>
    </row>
    <row r="4054" spans="6:6" x14ac:dyDescent="0.2">
      <c r="F4054"/>
    </row>
    <row r="4055" spans="6:6" x14ac:dyDescent="0.2">
      <c r="F4055"/>
    </row>
    <row r="4056" spans="6:6" x14ac:dyDescent="0.2">
      <c r="F4056"/>
    </row>
    <row r="4057" spans="6:6" x14ac:dyDescent="0.2">
      <c r="F4057"/>
    </row>
    <row r="4058" spans="6:6" x14ac:dyDescent="0.2">
      <c r="F4058"/>
    </row>
    <row r="4059" spans="6:6" x14ac:dyDescent="0.2">
      <c r="F4059"/>
    </row>
    <row r="4060" spans="6:6" x14ac:dyDescent="0.2">
      <c r="F4060"/>
    </row>
    <row r="4061" spans="6:6" x14ac:dyDescent="0.2">
      <c r="F4061"/>
    </row>
    <row r="4062" spans="6:6" x14ac:dyDescent="0.2">
      <c r="F4062"/>
    </row>
    <row r="4063" spans="6:6" x14ac:dyDescent="0.2">
      <c r="F4063"/>
    </row>
    <row r="4064" spans="6:6" x14ac:dyDescent="0.2">
      <c r="F4064"/>
    </row>
    <row r="4065" spans="6:6" x14ac:dyDescent="0.2">
      <c r="F4065"/>
    </row>
    <row r="4066" spans="6:6" x14ac:dyDescent="0.2">
      <c r="F4066"/>
    </row>
    <row r="4067" spans="6:6" x14ac:dyDescent="0.2">
      <c r="F4067"/>
    </row>
    <row r="4068" spans="6:6" x14ac:dyDescent="0.2">
      <c r="F4068"/>
    </row>
    <row r="4069" spans="6:6" x14ac:dyDescent="0.2">
      <c r="F4069"/>
    </row>
    <row r="4070" spans="6:6" x14ac:dyDescent="0.2">
      <c r="F4070"/>
    </row>
    <row r="4071" spans="6:6" x14ac:dyDescent="0.2">
      <c r="F4071"/>
    </row>
    <row r="4072" spans="6:6" x14ac:dyDescent="0.2">
      <c r="F4072"/>
    </row>
    <row r="4073" spans="6:6" x14ac:dyDescent="0.2">
      <c r="F4073"/>
    </row>
    <row r="4074" spans="6:6" x14ac:dyDescent="0.2">
      <c r="F4074"/>
    </row>
    <row r="4075" spans="6:6" x14ac:dyDescent="0.2">
      <c r="F4075"/>
    </row>
    <row r="4076" spans="6:6" x14ac:dyDescent="0.2">
      <c r="F4076"/>
    </row>
    <row r="4077" spans="6:6" x14ac:dyDescent="0.2">
      <c r="F4077"/>
    </row>
    <row r="4078" spans="6:6" x14ac:dyDescent="0.2">
      <c r="F4078"/>
    </row>
    <row r="4079" spans="6:6" x14ac:dyDescent="0.2">
      <c r="F4079"/>
    </row>
    <row r="4080" spans="6:6" x14ac:dyDescent="0.2">
      <c r="F4080"/>
    </row>
    <row r="4081" spans="6:6" x14ac:dyDescent="0.2">
      <c r="F4081"/>
    </row>
    <row r="4082" spans="6:6" x14ac:dyDescent="0.2">
      <c r="F4082"/>
    </row>
    <row r="4083" spans="6:6" x14ac:dyDescent="0.2">
      <c r="F4083"/>
    </row>
    <row r="4084" spans="6:6" x14ac:dyDescent="0.2">
      <c r="F4084"/>
    </row>
    <row r="4085" spans="6:6" x14ac:dyDescent="0.2">
      <c r="F4085"/>
    </row>
    <row r="4086" spans="6:6" x14ac:dyDescent="0.2">
      <c r="F4086"/>
    </row>
    <row r="4087" spans="6:6" x14ac:dyDescent="0.2">
      <c r="F4087"/>
    </row>
    <row r="4088" spans="6:6" x14ac:dyDescent="0.2">
      <c r="F4088"/>
    </row>
    <row r="4089" spans="6:6" x14ac:dyDescent="0.2">
      <c r="F4089"/>
    </row>
    <row r="4090" spans="6:6" x14ac:dyDescent="0.2">
      <c r="F4090"/>
    </row>
    <row r="4091" spans="6:6" x14ac:dyDescent="0.2">
      <c r="F4091"/>
    </row>
    <row r="4092" spans="6:6" x14ac:dyDescent="0.2">
      <c r="F4092"/>
    </row>
    <row r="4093" spans="6:6" x14ac:dyDescent="0.2">
      <c r="F4093"/>
    </row>
    <row r="4094" spans="6:6" x14ac:dyDescent="0.2">
      <c r="F4094"/>
    </row>
    <row r="4095" spans="6:6" x14ac:dyDescent="0.2">
      <c r="F4095"/>
    </row>
    <row r="4096" spans="6:6" x14ac:dyDescent="0.2">
      <c r="F4096"/>
    </row>
    <row r="4097" spans="6:6" x14ac:dyDescent="0.2">
      <c r="F4097"/>
    </row>
    <row r="4098" spans="6:6" x14ac:dyDescent="0.2">
      <c r="F4098"/>
    </row>
    <row r="4099" spans="6:6" x14ac:dyDescent="0.2">
      <c r="F4099"/>
    </row>
    <row r="4100" spans="6:6" x14ac:dyDescent="0.2">
      <c r="F4100"/>
    </row>
    <row r="4101" spans="6:6" x14ac:dyDescent="0.2">
      <c r="F4101"/>
    </row>
    <row r="4102" spans="6:6" x14ac:dyDescent="0.2">
      <c r="F4102"/>
    </row>
    <row r="4103" spans="6:6" x14ac:dyDescent="0.2">
      <c r="F4103"/>
    </row>
    <row r="4104" spans="6:6" x14ac:dyDescent="0.2">
      <c r="F4104"/>
    </row>
    <row r="4105" spans="6:6" x14ac:dyDescent="0.2">
      <c r="F4105"/>
    </row>
    <row r="4106" spans="6:6" x14ac:dyDescent="0.2">
      <c r="F4106"/>
    </row>
    <row r="4107" spans="6:6" x14ac:dyDescent="0.2">
      <c r="F4107"/>
    </row>
    <row r="4108" spans="6:6" x14ac:dyDescent="0.2">
      <c r="F4108"/>
    </row>
    <row r="4109" spans="6:6" x14ac:dyDescent="0.2">
      <c r="F4109"/>
    </row>
    <row r="4110" spans="6:6" x14ac:dyDescent="0.2">
      <c r="F4110"/>
    </row>
    <row r="4111" spans="6:6" x14ac:dyDescent="0.2">
      <c r="F4111"/>
    </row>
    <row r="4112" spans="6:6" x14ac:dyDescent="0.2">
      <c r="F4112"/>
    </row>
    <row r="4113" spans="6:6" x14ac:dyDescent="0.2">
      <c r="F4113"/>
    </row>
    <row r="4114" spans="6:6" x14ac:dyDescent="0.2">
      <c r="F4114"/>
    </row>
    <row r="4115" spans="6:6" x14ac:dyDescent="0.2">
      <c r="F4115"/>
    </row>
    <row r="4116" spans="6:6" x14ac:dyDescent="0.2">
      <c r="F4116"/>
    </row>
    <row r="4117" spans="6:6" x14ac:dyDescent="0.2">
      <c r="F4117"/>
    </row>
    <row r="4118" spans="6:6" x14ac:dyDescent="0.2">
      <c r="F4118"/>
    </row>
    <row r="4119" spans="6:6" x14ac:dyDescent="0.2">
      <c r="F4119"/>
    </row>
    <row r="4120" spans="6:6" x14ac:dyDescent="0.2">
      <c r="F4120"/>
    </row>
    <row r="4121" spans="6:6" x14ac:dyDescent="0.2">
      <c r="F4121"/>
    </row>
    <row r="4122" spans="6:6" x14ac:dyDescent="0.2">
      <c r="F4122"/>
    </row>
    <row r="4123" spans="6:6" x14ac:dyDescent="0.2">
      <c r="F4123"/>
    </row>
    <row r="4124" spans="6:6" x14ac:dyDescent="0.2">
      <c r="F4124"/>
    </row>
    <row r="4125" spans="6:6" x14ac:dyDescent="0.2">
      <c r="F4125"/>
    </row>
    <row r="4126" spans="6:6" x14ac:dyDescent="0.2">
      <c r="F4126"/>
    </row>
    <row r="4127" spans="6:6" x14ac:dyDescent="0.2">
      <c r="F4127"/>
    </row>
    <row r="4128" spans="6:6" x14ac:dyDescent="0.2">
      <c r="F4128"/>
    </row>
    <row r="4129" spans="6:6" x14ac:dyDescent="0.2">
      <c r="F4129"/>
    </row>
    <row r="4130" spans="6:6" x14ac:dyDescent="0.2">
      <c r="F4130"/>
    </row>
    <row r="4131" spans="6:6" x14ac:dyDescent="0.2">
      <c r="F4131"/>
    </row>
    <row r="4132" spans="6:6" x14ac:dyDescent="0.2">
      <c r="F4132"/>
    </row>
    <row r="4133" spans="6:6" x14ac:dyDescent="0.2">
      <c r="F4133"/>
    </row>
    <row r="4134" spans="6:6" x14ac:dyDescent="0.2">
      <c r="F4134"/>
    </row>
    <row r="4135" spans="6:6" x14ac:dyDescent="0.2">
      <c r="F4135"/>
    </row>
    <row r="4136" spans="6:6" x14ac:dyDescent="0.2">
      <c r="F4136"/>
    </row>
    <row r="4137" spans="6:6" x14ac:dyDescent="0.2">
      <c r="F4137"/>
    </row>
    <row r="4138" spans="6:6" x14ac:dyDescent="0.2">
      <c r="F4138"/>
    </row>
    <row r="4139" spans="6:6" x14ac:dyDescent="0.2">
      <c r="F4139"/>
    </row>
    <row r="4140" spans="6:6" x14ac:dyDescent="0.2">
      <c r="F4140"/>
    </row>
    <row r="4141" spans="6:6" x14ac:dyDescent="0.2">
      <c r="F4141"/>
    </row>
    <row r="4142" spans="6:6" x14ac:dyDescent="0.2">
      <c r="F4142"/>
    </row>
    <row r="4143" spans="6:6" x14ac:dyDescent="0.2">
      <c r="F4143"/>
    </row>
    <row r="4144" spans="6:6" x14ac:dyDescent="0.2">
      <c r="F4144"/>
    </row>
    <row r="4145" spans="6:6" x14ac:dyDescent="0.2">
      <c r="F4145"/>
    </row>
    <row r="4146" spans="6:6" x14ac:dyDescent="0.2">
      <c r="F4146"/>
    </row>
    <row r="4147" spans="6:6" x14ac:dyDescent="0.2">
      <c r="F4147"/>
    </row>
    <row r="4148" spans="6:6" x14ac:dyDescent="0.2">
      <c r="F4148"/>
    </row>
    <row r="4149" spans="6:6" x14ac:dyDescent="0.2">
      <c r="F4149"/>
    </row>
    <row r="4150" spans="6:6" x14ac:dyDescent="0.2">
      <c r="F4150"/>
    </row>
    <row r="4151" spans="6:6" x14ac:dyDescent="0.2">
      <c r="F4151"/>
    </row>
    <row r="4152" spans="6:6" x14ac:dyDescent="0.2">
      <c r="F4152"/>
    </row>
    <row r="4153" spans="6:6" x14ac:dyDescent="0.2">
      <c r="F4153"/>
    </row>
    <row r="4154" spans="6:6" x14ac:dyDescent="0.2">
      <c r="F4154"/>
    </row>
    <row r="4155" spans="6:6" x14ac:dyDescent="0.2">
      <c r="F4155"/>
    </row>
    <row r="4156" spans="6:6" x14ac:dyDescent="0.2">
      <c r="F4156"/>
    </row>
    <row r="4157" spans="6:6" x14ac:dyDescent="0.2">
      <c r="F4157"/>
    </row>
    <row r="4158" spans="6:6" x14ac:dyDescent="0.2">
      <c r="F4158"/>
    </row>
    <row r="4159" spans="6:6" x14ac:dyDescent="0.2">
      <c r="F4159"/>
    </row>
    <row r="4160" spans="6:6" x14ac:dyDescent="0.2">
      <c r="F4160"/>
    </row>
    <row r="4161" spans="6:6" x14ac:dyDescent="0.2">
      <c r="F4161"/>
    </row>
    <row r="4162" spans="6:6" x14ac:dyDescent="0.2">
      <c r="F4162"/>
    </row>
    <row r="4163" spans="6:6" x14ac:dyDescent="0.2">
      <c r="F4163"/>
    </row>
    <row r="4164" spans="6:6" x14ac:dyDescent="0.2">
      <c r="F4164"/>
    </row>
    <row r="4165" spans="6:6" x14ac:dyDescent="0.2">
      <c r="F4165"/>
    </row>
    <row r="4166" spans="6:6" x14ac:dyDescent="0.2">
      <c r="F4166"/>
    </row>
    <row r="4167" spans="6:6" x14ac:dyDescent="0.2">
      <c r="F4167"/>
    </row>
    <row r="4168" spans="6:6" x14ac:dyDescent="0.2">
      <c r="F4168"/>
    </row>
    <row r="4169" spans="6:6" x14ac:dyDescent="0.2">
      <c r="F4169"/>
    </row>
    <row r="4170" spans="6:6" x14ac:dyDescent="0.2">
      <c r="F4170"/>
    </row>
    <row r="4171" spans="6:6" x14ac:dyDescent="0.2">
      <c r="F4171"/>
    </row>
    <row r="4172" spans="6:6" x14ac:dyDescent="0.2">
      <c r="F4172"/>
    </row>
    <row r="4173" spans="6:6" x14ac:dyDescent="0.2">
      <c r="F4173"/>
    </row>
    <row r="4174" spans="6:6" x14ac:dyDescent="0.2">
      <c r="F4174"/>
    </row>
    <row r="4175" spans="6:6" x14ac:dyDescent="0.2">
      <c r="F4175"/>
    </row>
    <row r="4176" spans="6:6" x14ac:dyDescent="0.2">
      <c r="F4176"/>
    </row>
    <row r="4177" spans="6:6" x14ac:dyDescent="0.2">
      <c r="F4177"/>
    </row>
    <row r="4178" spans="6:6" x14ac:dyDescent="0.2">
      <c r="F4178"/>
    </row>
    <row r="4179" spans="6:6" x14ac:dyDescent="0.2">
      <c r="F4179"/>
    </row>
    <row r="4180" spans="6:6" x14ac:dyDescent="0.2">
      <c r="F4180"/>
    </row>
    <row r="4181" spans="6:6" x14ac:dyDescent="0.2">
      <c r="F4181"/>
    </row>
    <row r="4182" spans="6:6" x14ac:dyDescent="0.2">
      <c r="F4182"/>
    </row>
    <row r="4183" spans="6:6" x14ac:dyDescent="0.2">
      <c r="F4183"/>
    </row>
    <row r="4184" spans="6:6" x14ac:dyDescent="0.2">
      <c r="F4184"/>
    </row>
    <row r="4185" spans="6:6" x14ac:dyDescent="0.2">
      <c r="F4185"/>
    </row>
    <row r="4186" spans="6:6" x14ac:dyDescent="0.2">
      <c r="F4186"/>
    </row>
    <row r="4187" spans="6:6" x14ac:dyDescent="0.2">
      <c r="F4187"/>
    </row>
    <row r="4188" spans="6:6" x14ac:dyDescent="0.2">
      <c r="F4188"/>
    </row>
    <row r="4189" spans="6:6" x14ac:dyDescent="0.2">
      <c r="F4189"/>
    </row>
    <row r="4190" spans="6:6" x14ac:dyDescent="0.2">
      <c r="F4190"/>
    </row>
    <row r="4191" spans="6:6" x14ac:dyDescent="0.2">
      <c r="F4191"/>
    </row>
    <row r="4192" spans="6:6" x14ac:dyDescent="0.2">
      <c r="F4192"/>
    </row>
    <row r="4193" spans="6:6" x14ac:dyDescent="0.2">
      <c r="F4193"/>
    </row>
    <row r="4194" spans="6:6" x14ac:dyDescent="0.2">
      <c r="F4194"/>
    </row>
    <row r="4195" spans="6:6" x14ac:dyDescent="0.2">
      <c r="F4195"/>
    </row>
    <row r="4196" spans="6:6" x14ac:dyDescent="0.2">
      <c r="F4196"/>
    </row>
    <row r="4197" spans="6:6" x14ac:dyDescent="0.2">
      <c r="F4197"/>
    </row>
    <row r="4198" spans="6:6" x14ac:dyDescent="0.2">
      <c r="F4198"/>
    </row>
    <row r="4199" spans="6:6" x14ac:dyDescent="0.2">
      <c r="F4199"/>
    </row>
    <row r="4200" spans="6:6" x14ac:dyDescent="0.2">
      <c r="F4200"/>
    </row>
    <row r="4201" spans="6:6" x14ac:dyDescent="0.2">
      <c r="F4201"/>
    </row>
    <row r="4202" spans="6:6" x14ac:dyDescent="0.2">
      <c r="F4202"/>
    </row>
    <row r="4203" spans="6:6" x14ac:dyDescent="0.2">
      <c r="F4203"/>
    </row>
    <row r="4204" spans="6:6" x14ac:dyDescent="0.2">
      <c r="F4204"/>
    </row>
    <row r="4205" spans="6:6" x14ac:dyDescent="0.2">
      <c r="F4205"/>
    </row>
    <row r="4206" spans="6:6" x14ac:dyDescent="0.2">
      <c r="F4206"/>
    </row>
    <row r="4207" spans="6:6" x14ac:dyDescent="0.2">
      <c r="F4207"/>
    </row>
    <row r="4208" spans="6:6" x14ac:dyDescent="0.2">
      <c r="F4208"/>
    </row>
    <row r="4209" spans="6:6" x14ac:dyDescent="0.2">
      <c r="F4209"/>
    </row>
    <row r="4210" spans="6:6" x14ac:dyDescent="0.2">
      <c r="F4210"/>
    </row>
    <row r="4211" spans="6:6" x14ac:dyDescent="0.2">
      <c r="F4211"/>
    </row>
    <row r="4212" spans="6:6" x14ac:dyDescent="0.2">
      <c r="F4212"/>
    </row>
    <row r="4213" spans="6:6" x14ac:dyDescent="0.2">
      <c r="F4213"/>
    </row>
    <row r="4214" spans="6:6" x14ac:dyDescent="0.2">
      <c r="F4214"/>
    </row>
    <row r="4215" spans="6:6" x14ac:dyDescent="0.2">
      <c r="F4215"/>
    </row>
    <row r="4216" spans="6:6" x14ac:dyDescent="0.2">
      <c r="F4216"/>
    </row>
    <row r="4217" spans="6:6" x14ac:dyDescent="0.2">
      <c r="F4217"/>
    </row>
    <row r="4218" spans="6:6" x14ac:dyDescent="0.2">
      <c r="F4218"/>
    </row>
    <row r="4219" spans="6:6" x14ac:dyDescent="0.2">
      <c r="F4219"/>
    </row>
    <row r="4220" spans="6:6" x14ac:dyDescent="0.2">
      <c r="F4220"/>
    </row>
    <row r="4221" spans="6:6" x14ac:dyDescent="0.2">
      <c r="F4221"/>
    </row>
    <row r="4222" spans="6:6" x14ac:dyDescent="0.2">
      <c r="F4222"/>
    </row>
    <row r="4223" spans="6:6" x14ac:dyDescent="0.2">
      <c r="F4223"/>
    </row>
    <row r="4224" spans="6:6" x14ac:dyDescent="0.2">
      <c r="F4224"/>
    </row>
    <row r="4225" spans="6:6" x14ac:dyDescent="0.2">
      <c r="F4225"/>
    </row>
    <row r="4226" spans="6:6" x14ac:dyDescent="0.2">
      <c r="F4226"/>
    </row>
    <row r="4227" spans="6:6" x14ac:dyDescent="0.2">
      <c r="F4227"/>
    </row>
    <row r="4228" spans="6:6" x14ac:dyDescent="0.2">
      <c r="F4228"/>
    </row>
    <row r="4229" spans="6:6" x14ac:dyDescent="0.2">
      <c r="F4229"/>
    </row>
    <row r="4230" spans="6:6" x14ac:dyDescent="0.2">
      <c r="F4230"/>
    </row>
    <row r="4231" spans="6:6" x14ac:dyDescent="0.2">
      <c r="F4231"/>
    </row>
    <row r="4232" spans="6:6" x14ac:dyDescent="0.2">
      <c r="F4232"/>
    </row>
    <row r="4233" spans="6:6" x14ac:dyDescent="0.2">
      <c r="F4233"/>
    </row>
    <row r="4234" spans="6:6" x14ac:dyDescent="0.2">
      <c r="F4234"/>
    </row>
    <row r="4235" spans="6:6" x14ac:dyDescent="0.2">
      <c r="F4235"/>
    </row>
    <row r="4236" spans="6:6" x14ac:dyDescent="0.2">
      <c r="F4236"/>
    </row>
    <row r="4237" spans="6:6" x14ac:dyDescent="0.2">
      <c r="F4237"/>
    </row>
    <row r="4238" spans="6:6" x14ac:dyDescent="0.2">
      <c r="F4238"/>
    </row>
    <row r="4239" spans="6:6" x14ac:dyDescent="0.2">
      <c r="F4239"/>
    </row>
    <row r="4240" spans="6:6" x14ac:dyDescent="0.2">
      <c r="F4240"/>
    </row>
    <row r="4241" spans="6:6" x14ac:dyDescent="0.2">
      <c r="F4241"/>
    </row>
    <row r="4242" spans="6:6" x14ac:dyDescent="0.2">
      <c r="F4242"/>
    </row>
    <row r="4243" spans="6:6" x14ac:dyDescent="0.2">
      <c r="F4243"/>
    </row>
    <row r="4244" spans="6:6" x14ac:dyDescent="0.2">
      <c r="F4244"/>
    </row>
    <row r="4245" spans="6:6" x14ac:dyDescent="0.2">
      <c r="F4245"/>
    </row>
    <row r="4246" spans="6:6" x14ac:dyDescent="0.2">
      <c r="F4246"/>
    </row>
    <row r="4247" spans="6:6" x14ac:dyDescent="0.2">
      <c r="F4247"/>
    </row>
    <row r="4248" spans="6:6" x14ac:dyDescent="0.2">
      <c r="F4248"/>
    </row>
    <row r="4249" spans="6:6" x14ac:dyDescent="0.2">
      <c r="F4249"/>
    </row>
    <row r="4250" spans="6:6" x14ac:dyDescent="0.2">
      <c r="F4250"/>
    </row>
    <row r="4251" spans="6:6" x14ac:dyDescent="0.2">
      <c r="F4251"/>
    </row>
    <row r="4252" spans="6:6" x14ac:dyDescent="0.2">
      <c r="F4252"/>
    </row>
    <row r="4253" spans="6:6" x14ac:dyDescent="0.2">
      <c r="F4253"/>
    </row>
    <row r="4254" spans="6:6" x14ac:dyDescent="0.2">
      <c r="F4254"/>
    </row>
    <row r="4255" spans="6:6" x14ac:dyDescent="0.2">
      <c r="F4255"/>
    </row>
    <row r="4256" spans="6:6" x14ac:dyDescent="0.2">
      <c r="F4256"/>
    </row>
    <row r="4257" spans="6:6" x14ac:dyDescent="0.2">
      <c r="F4257"/>
    </row>
    <row r="4258" spans="6:6" x14ac:dyDescent="0.2">
      <c r="F4258"/>
    </row>
    <row r="4259" spans="6:6" x14ac:dyDescent="0.2">
      <c r="F4259"/>
    </row>
    <row r="4260" spans="6:6" x14ac:dyDescent="0.2">
      <c r="F4260"/>
    </row>
    <row r="4261" spans="6:6" x14ac:dyDescent="0.2">
      <c r="F4261"/>
    </row>
    <row r="4262" spans="6:6" x14ac:dyDescent="0.2">
      <c r="F4262"/>
    </row>
    <row r="4263" spans="6:6" x14ac:dyDescent="0.2">
      <c r="F4263"/>
    </row>
    <row r="4264" spans="6:6" x14ac:dyDescent="0.2">
      <c r="F4264"/>
    </row>
    <row r="4265" spans="6:6" x14ac:dyDescent="0.2">
      <c r="F4265"/>
    </row>
    <row r="4266" spans="6:6" x14ac:dyDescent="0.2">
      <c r="F4266"/>
    </row>
    <row r="4267" spans="6:6" x14ac:dyDescent="0.2">
      <c r="F4267"/>
    </row>
    <row r="4268" spans="6:6" x14ac:dyDescent="0.2">
      <c r="F4268"/>
    </row>
    <row r="4269" spans="6:6" x14ac:dyDescent="0.2">
      <c r="F4269"/>
    </row>
    <row r="4270" spans="6:6" x14ac:dyDescent="0.2">
      <c r="F4270"/>
    </row>
    <row r="4271" spans="6:6" x14ac:dyDescent="0.2">
      <c r="F4271"/>
    </row>
    <row r="4272" spans="6:6" x14ac:dyDescent="0.2">
      <c r="F4272"/>
    </row>
    <row r="4273" spans="6:6" x14ac:dyDescent="0.2">
      <c r="F4273"/>
    </row>
    <row r="4274" spans="6:6" x14ac:dyDescent="0.2">
      <c r="F4274"/>
    </row>
    <row r="4275" spans="6:6" x14ac:dyDescent="0.2">
      <c r="F4275"/>
    </row>
    <row r="4276" spans="6:6" x14ac:dyDescent="0.2">
      <c r="F4276"/>
    </row>
    <row r="4277" spans="6:6" x14ac:dyDescent="0.2">
      <c r="F4277"/>
    </row>
    <row r="4278" spans="6:6" x14ac:dyDescent="0.2">
      <c r="F4278"/>
    </row>
    <row r="4279" spans="6:6" x14ac:dyDescent="0.2">
      <c r="F4279"/>
    </row>
    <row r="4280" spans="6:6" x14ac:dyDescent="0.2">
      <c r="F4280"/>
    </row>
    <row r="4281" spans="6:6" x14ac:dyDescent="0.2">
      <c r="F4281"/>
    </row>
    <row r="4282" spans="6:6" x14ac:dyDescent="0.2">
      <c r="F4282"/>
    </row>
    <row r="4283" spans="6:6" x14ac:dyDescent="0.2">
      <c r="F4283"/>
    </row>
    <row r="4284" spans="6:6" x14ac:dyDescent="0.2">
      <c r="F4284"/>
    </row>
    <row r="4285" spans="6:6" x14ac:dyDescent="0.2">
      <c r="F4285"/>
    </row>
    <row r="4286" spans="6:6" x14ac:dyDescent="0.2">
      <c r="F4286"/>
    </row>
    <row r="4287" spans="6:6" x14ac:dyDescent="0.2">
      <c r="F4287"/>
    </row>
    <row r="4288" spans="6:6" x14ac:dyDescent="0.2">
      <c r="F4288"/>
    </row>
    <row r="4289" spans="6:6" x14ac:dyDescent="0.2">
      <c r="F4289"/>
    </row>
    <row r="4290" spans="6:6" x14ac:dyDescent="0.2">
      <c r="F4290"/>
    </row>
    <row r="4291" spans="6:6" x14ac:dyDescent="0.2">
      <c r="F4291"/>
    </row>
    <row r="4292" spans="6:6" x14ac:dyDescent="0.2">
      <c r="F4292"/>
    </row>
    <row r="4293" spans="6:6" x14ac:dyDescent="0.2">
      <c r="F4293"/>
    </row>
    <row r="4294" spans="6:6" x14ac:dyDescent="0.2">
      <c r="F4294"/>
    </row>
    <row r="4295" spans="6:6" x14ac:dyDescent="0.2">
      <c r="F4295"/>
    </row>
    <row r="4296" spans="6:6" x14ac:dyDescent="0.2">
      <c r="F4296"/>
    </row>
    <row r="4297" spans="6:6" x14ac:dyDescent="0.2">
      <c r="F4297"/>
    </row>
    <row r="4298" spans="6:6" x14ac:dyDescent="0.2">
      <c r="F4298"/>
    </row>
    <row r="4299" spans="6:6" x14ac:dyDescent="0.2">
      <c r="F4299"/>
    </row>
    <row r="4300" spans="6:6" x14ac:dyDescent="0.2">
      <c r="F4300"/>
    </row>
    <row r="4301" spans="6:6" x14ac:dyDescent="0.2">
      <c r="F4301"/>
    </row>
    <row r="4302" spans="6:6" x14ac:dyDescent="0.2">
      <c r="F4302"/>
    </row>
    <row r="4303" spans="6:6" x14ac:dyDescent="0.2">
      <c r="F4303"/>
    </row>
    <row r="4304" spans="6:6" x14ac:dyDescent="0.2">
      <c r="F4304"/>
    </row>
    <row r="4305" spans="6:6" x14ac:dyDescent="0.2">
      <c r="F4305"/>
    </row>
    <row r="4306" spans="6:6" x14ac:dyDescent="0.2">
      <c r="F4306"/>
    </row>
    <row r="4307" spans="6:6" x14ac:dyDescent="0.2">
      <c r="F4307"/>
    </row>
    <row r="4308" spans="6:6" x14ac:dyDescent="0.2">
      <c r="F4308"/>
    </row>
    <row r="4309" spans="6:6" x14ac:dyDescent="0.2">
      <c r="F4309"/>
    </row>
    <row r="4310" spans="6:6" x14ac:dyDescent="0.2">
      <c r="F4310"/>
    </row>
    <row r="4311" spans="6:6" x14ac:dyDescent="0.2">
      <c r="F4311"/>
    </row>
    <row r="4312" spans="6:6" x14ac:dyDescent="0.2">
      <c r="F4312"/>
    </row>
    <row r="4313" spans="6:6" x14ac:dyDescent="0.2">
      <c r="F4313"/>
    </row>
    <row r="4314" spans="6:6" x14ac:dyDescent="0.2">
      <c r="F4314"/>
    </row>
    <row r="4315" spans="6:6" x14ac:dyDescent="0.2">
      <c r="F4315"/>
    </row>
    <row r="4316" spans="6:6" x14ac:dyDescent="0.2">
      <c r="F4316"/>
    </row>
    <row r="4317" spans="6:6" x14ac:dyDescent="0.2">
      <c r="F4317"/>
    </row>
    <row r="4318" spans="6:6" x14ac:dyDescent="0.2">
      <c r="F4318"/>
    </row>
    <row r="4319" spans="6:6" x14ac:dyDescent="0.2">
      <c r="F4319"/>
    </row>
    <row r="4320" spans="6:6" x14ac:dyDescent="0.2">
      <c r="F4320"/>
    </row>
    <row r="4321" spans="6:6" x14ac:dyDescent="0.2">
      <c r="F4321"/>
    </row>
    <row r="4322" spans="6:6" x14ac:dyDescent="0.2">
      <c r="F4322"/>
    </row>
    <row r="4323" spans="6:6" x14ac:dyDescent="0.2">
      <c r="F4323"/>
    </row>
    <row r="4324" spans="6:6" x14ac:dyDescent="0.2">
      <c r="F4324"/>
    </row>
    <row r="4325" spans="6:6" x14ac:dyDescent="0.2">
      <c r="F4325"/>
    </row>
    <row r="4326" spans="6:6" x14ac:dyDescent="0.2">
      <c r="F4326"/>
    </row>
    <row r="4327" spans="6:6" x14ac:dyDescent="0.2">
      <c r="F4327"/>
    </row>
    <row r="4328" spans="6:6" x14ac:dyDescent="0.2">
      <c r="F4328"/>
    </row>
    <row r="4329" spans="6:6" x14ac:dyDescent="0.2">
      <c r="F4329"/>
    </row>
    <row r="4330" spans="6:6" x14ac:dyDescent="0.2">
      <c r="F4330"/>
    </row>
    <row r="4331" spans="6:6" x14ac:dyDescent="0.2">
      <c r="F4331"/>
    </row>
    <row r="4332" spans="6:6" x14ac:dyDescent="0.2">
      <c r="F4332"/>
    </row>
    <row r="4333" spans="6:6" x14ac:dyDescent="0.2">
      <c r="F4333"/>
    </row>
    <row r="4334" spans="6:6" x14ac:dyDescent="0.2">
      <c r="F4334"/>
    </row>
    <row r="4335" spans="6:6" x14ac:dyDescent="0.2">
      <c r="F4335"/>
    </row>
    <row r="4336" spans="6:6" x14ac:dyDescent="0.2">
      <c r="F4336"/>
    </row>
    <row r="4337" spans="6:6" x14ac:dyDescent="0.2">
      <c r="F4337"/>
    </row>
    <row r="4338" spans="6:6" x14ac:dyDescent="0.2">
      <c r="F4338"/>
    </row>
    <row r="4339" spans="6:6" x14ac:dyDescent="0.2">
      <c r="F4339"/>
    </row>
    <row r="4340" spans="6:6" x14ac:dyDescent="0.2">
      <c r="F4340"/>
    </row>
    <row r="4341" spans="6:6" x14ac:dyDescent="0.2">
      <c r="F4341"/>
    </row>
    <row r="4342" spans="6:6" x14ac:dyDescent="0.2">
      <c r="F4342"/>
    </row>
    <row r="4343" spans="6:6" x14ac:dyDescent="0.2">
      <c r="F4343"/>
    </row>
    <row r="4344" spans="6:6" x14ac:dyDescent="0.2">
      <c r="F4344"/>
    </row>
    <row r="4345" spans="6:6" x14ac:dyDescent="0.2">
      <c r="F4345"/>
    </row>
    <row r="4346" spans="6:6" x14ac:dyDescent="0.2">
      <c r="F4346"/>
    </row>
    <row r="4347" spans="6:6" x14ac:dyDescent="0.2">
      <c r="F4347"/>
    </row>
    <row r="4348" spans="6:6" x14ac:dyDescent="0.2">
      <c r="F4348"/>
    </row>
    <row r="4349" spans="6:6" x14ac:dyDescent="0.2">
      <c r="F4349"/>
    </row>
    <row r="4350" spans="6:6" x14ac:dyDescent="0.2">
      <c r="F4350"/>
    </row>
    <row r="4351" spans="6:6" x14ac:dyDescent="0.2">
      <c r="F4351"/>
    </row>
    <row r="4352" spans="6:6" x14ac:dyDescent="0.2">
      <c r="F4352"/>
    </row>
    <row r="4353" spans="6:6" x14ac:dyDescent="0.2">
      <c r="F4353"/>
    </row>
    <row r="4354" spans="6:6" x14ac:dyDescent="0.2">
      <c r="F4354"/>
    </row>
    <row r="4355" spans="6:6" x14ac:dyDescent="0.2">
      <c r="F4355"/>
    </row>
    <row r="4356" spans="6:6" x14ac:dyDescent="0.2">
      <c r="F4356"/>
    </row>
    <row r="4357" spans="6:6" x14ac:dyDescent="0.2">
      <c r="F4357"/>
    </row>
    <row r="4358" spans="6:6" x14ac:dyDescent="0.2">
      <c r="F4358"/>
    </row>
    <row r="4359" spans="6:6" x14ac:dyDescent="0.2">
      <c r="F4359"/>
    </row>
    <row r="4360" spans="6:6" x14ac:dyDescent="0.2">
      <c r="F4360"/>
    </row>
    <row r="4361" spans="6:6" x14ac:dyDescent="0.2">
      <c r="F4361"/>
    </row>
    <row r="4362" spans="6:6" x14ac:dyDescent="0.2">
      <c r="F4362"/>
    </row>
    <row r="4363" spans="6:6" x14ac:dyDescent="0.2">
      <c r="F4363"/>
    </row>
    <row r="4364" spans="6:6" x14ac:dyDescent="0.2">
      <c r="F4364"/>
    </row>
    <row r="4365" spans="6:6" x14ac:dyDescent="0.2">
      <c r="F4365"/>
    </row>
    <row r="4366" spans="6:6" x14ac:dyDescent="0.2">
      <c r="F4366"/>
    </row>
    <row r="4367" spans="6:6" x14ac:dyDescent="0.2">
      <c r="F4367"/>
    </row>
    <row r="4368" spans="6:6" x14ac:dyDescent="0.2">
      <c r="F4368"/>
    </row>
    <row r="4369" spans="6:6" x14ac:dyDescent="0.2">
      <c r="F4369"/>
    </row>
    <row r="4370" spans="6:6" x14ac:dyDescent="0.2">
      <c r="F4370"/>
    </row>
    <row r="4371" spans="6:6" x14ac:dyDescent="0.2">
      <c r="F4371"/>
    </row>
    <row r="4372" spans="6:6" x14ac:dyDescent="0.2">
      <c r="F4372"/>
    </row>
    <row r="4373" spans="6:6" x14ac:dyDescent="0.2">
      <c r="F4373"/>
    </row>
    <row r="4374" spans="6:6" x14ac:dyDescent="0.2">
      <c r="F4374"/>
    </row>
    <row r="4375" spans="6:6" x14ac:dyDescent="0.2">
      <c r="F4375"/>
    </row>
    <row r="4376" spans="6:6" x14ac:dyDescent="0.2">
      <c r="F4376"/>
    </row>
    <row r="4377" spans="6:6" x14ac:dyDescent="0.2">
      <c r="F4377"/>
    </row>
    <row r="4378" spans="6:6" x14ac:dyDescent="0.2">
      <c r="F4378"/>
    </row>
    <row r="4379" spans="6:6" x14ac:dyDescent="0.2">
      <c r="F4379"/>
    </row>
    <row r="4380" spans="6:6" x14ac:dyDescent="0.2">
      <c r="F4380"/>
    </row>
    <row r="4381" spans="6:6" x14ac:dyDescent="0.2">
      <c r="F4381"/>
    </row>
    <row r="4382" spans="6:6" x14ac:dyDescent="0.2">
      <c r="F4382"/>
    </row>
    <row r="4383" spans="6:6" x14ac:dyDescent="0.2">
      <c r="F4383"/>
    </row>
    <row r="4384" spans="6:6" x14ac:dyDescent="0.2">
      <c r="F4384"/>
    </row>
    <row r="4385" spans="6:6" x14ac:dyDescent="0.2">
      <c r="F4385"/>
    </row>
    <row r="4386" spans="6:6" x14ac:dyDescent="0.2">
      <c r="F4386"/>
    </row>
    <row r="4387" spans="6:6" x14ac:dyDescent="0.2">
      <c r="F4387"/>
    </row>
    <row r="4388" spans="6:6" x14ac:dyDescent="0.2">
      <c r="F4388"/>
    </row>
    <row r="4389" spans="6:6" x14ac:dyDescent="0.2">
      <c r="F4389"/>
    </row>
    <row r="4390" spans="6:6" x14ac:dyDescent="0.2">
      <c r="F4390"/>
    </row>
    <row r="4391" spans="6:6" x14ac:dyDescent="0.2">
      <c r="F4391"/>
    </row>
    <row r="4392" spans="6:6" x14ac:dyDescent="0.2">
      <c r="F4392"/>
    </row>
    <row r="4393" spans="6:6" x14ac:dyDescent="0.2">
      <c r="F4393"/>
    </row>
    <row r="4394" spans="6:6" x14ac:dyDescent="0.2">
      <c r="F4394"/>
    </row>
    <row r="4395" spans="6:6" x14ac:dyDescent="0.2">
      <c r="F4395"/>
    </row>
    <row r="4396" spans="6:6" x14ac:dyDescent="0.2">
      <c r="F4396"/>
    </row>
    <row r="4397" spans="6:6" x14ac:dyDescent="0.2">
      <c r="F4397"/>
    </row>
    <row r="4398" spans="6:6" x14ac:dyDescent="0.2">
      <c r="F4398"/>
    </row>
    <row r="4399" spans="6:6" x14ac:dyDescent="0.2">
      <c r="F4399"/>
    </row>
    <row r="4400" spans="6:6" x14ac:dyDescent="0.2">
      <c r="F4400"/>
    </row>
    <row r="4401" spans="6:6" x14ac:dyDescent="0.2">
      <c r="F4401"/>
    </row>
    <row r="4402" spans="6:6" x14ac:dyDescent="0.2">
      <c r="F4402"/>
    </row>
    <row r="4403" spans="6:6" x14ac:dyDescent="0.2">
      <c r="F4403"/>
    </row>
    <row r="4404" spans="6:6" x14ac:dyDescent="0.2">
      <c r="F4404"/>
    </row>
    <row r="4405" spans="6:6" x14ac:dyDescent="0.2">
      <c r="F4405"/>
    </row>
    <row r="4406" spans="6:6" x14ac:dyDescent="0.2">
      <c r="F4406"/>
    </row>
    <row r="4407" spans="6:6" x14ac:dyDescent="0.2">
      <c r="F4407"/>
    </row>
    <row r="4408" spans="6:6" x14ac:dyDescent="0.2">
      <c r="F4408"/>
    </row>
    <row r="4409" spans="6:6" x14ac:dyDescent="0.2">
      <c r="F4409"/>
    </row>
    <row r="4410" spans="6:6" x14ac:dyDescent="0.2">
      <c r="F4410"/>
    </row>
    <row r="4411" spans="6:6" x14ac:dyDescent="0.2">
      <c r="F4411"/>
    </row>
    <row r="4412" spans="6:6" x14ac:dyDescent="0.2">
      <c r="F4412"/>
    </row>
    <row r="4413" spans="6:6" x14ac:dyDescent="0.2">
      <c r="F4413"/>
    </row>
    <row r="4414" spans="6:6" x14ac:dyDescent="0.2">
      <c r="F4414"/>
    </row>
    <row r="4415" spans="6:6" x14ac:dyDescent="0.2">
      <c r="F4415"/>
    </row>
    <row r="4416" spans="6:6" x14ac:dyDescent="0.2">
      <c r="F4416"/>
    </row>
    <row r="4417" spans="6:6" x14ac:dyDescent="0.2">
      <c r="F4417"/>
    </row>
    <row r="4418" spans="6:6" x14ac:dyDescent="0.2">
      <c r="F4418"/>
    </row>
    <row r="4419" spans="6:6" x14ac:dyDescent="0.2">
      <c r="F4419"/>
    </row>
    <row r="4420" spans="6:6" x14ac:dyDescent="0.2">
      <c r="F4420"/>
    </row>
    <row r="4421" spans="6:6" x14ac:dyDescent="0.2">
      <c r="F4421"/>
    </row>
    <row r="4422" spans="6:6" x14ac:dyDescent="0.2">
      <c r="F4422"/>
    </row>
    <row r="4423" spans="6:6" x14ac:dyDescent="0.2">
      <c r="F4423"/>
    </row>
    <row r="4424" spans="6:6" x14ac:dyDescent="0.2">
      <c r="F4424"/>
    </row>
    <row r="4425" spans="6:6" x14ac:dyDescent="0.2">
      <c r="F4425"/>
    </row>
    <row r="4426" spans="6:6" x14ac:dyDescent="0.2">
      <c r="F4426"/>
    </row>
    <row r="4427" spans="6:6" x14ac:dyDescent="0.2">
      <c r="F4427"/>
    </row>
    <row r="4428" spans="6:6" x14ac:dyDescent="0.2">
      <c r="F4428"/>
    </row>
    <row r="4429" spans="6:6" x14ac:dyDescent="0.2">
      <c r="F4429"/>
    </row>
    <row r="4430" spans="6:6" x14ac:dyDescent="0.2">
      <c r="F4430"/>
    </row>
    <row r="4431" spans="6:6" x14ac:dyDescent="0.2">
      <c r="F4431"/>
    </row>
    <row r="4432" spans="6:6" x14ac:dyDescent="0.2">
      <c r="F4432"/>
    </row>
    <row r="4433" spans="6:6" x14ac:dyDescent="0.2">
      <c r="F4433"/>
    </row>
    <row r="4434" spans="6:6" x14ac:dyDescent="0.2">
      <c r="F4434"/>
    </row>
    <row r="4435" spans="6:6" x14ac:dyDescent="0.2">
      <c r="F4435"/>
    </row>
    <row r="4436" spans="6:6" x14ac:dyDescent="0.2">
      <c r="F4436"/>
    </row>
    <row r="4437" spans="6:6" x14ac:dyDescent="0.2">
      <c r="F4437"/>
    </row>
    <row r="4438" spans="6:6" x14ac:dyDescent="0.2">
      <c r="F4438"/>
    </row>
    <row r="4439" spans="6:6" x14ac:dyDescent="0.2">
      <c r="F4439"/>
    </row>
    <row r="4440" spans="6:6" x14ac:dyDescent="0.2">
      <c r="F4440"/>
    </row>
    <row r="4441" spans="6:6" x14ac:dyDescent="0.2">
      <c r="F4441"/>
    </row>
    <row r="4442" spans="6:6" x14ac:dyDescent="0.2">
      <c r="F4442"/>
    </row>
    <row r="4443" spans="6:6" x14ac:dyDescent="0.2">
      <c r="F4443"/>
    </row>
    <row r="4444" spans="6:6" x14ac:dyDescent="0.2">
      <c r="F4444"/>
    </row>
    <row r="4445" spans="6:6" x14ac:dyDescent="0.2">
      <c r="F4445"/>
    </row>
    <row r="4446" spans="6:6" x14ac:dyDescent="0.2">
      <c r="F4446"/>
    </row>
    <row r="4447" spans="6:6" x14ac:dyDescent="0.2">
      <c r="F4447"/>
    </row>
    <row r="4448" spans="6:6" x14ac:dyDescent="0.2">
      <c r="F4448"/>
    </row>
    <row r="4449" spans="6:6" x14ac:dyDescent="0.2">
      <c r="F4449"/>
    </row>
    <row r="4450" spans="6:6" x14ac:dyDescent="0.2">
      <c r="F4450"/>
    </row>
    <row r="4451" spans="6:6" x14ac:dyDescent="0.2">
      <c r="F4451"/>
    </row>
    <row r="4452" spans="6:6" x14ac:dyDescent="0.2">
      <c r="F4452"/>
    </row>
    <row r="4453" spans="6:6" x14ac:dyDescent="0.2">
      <c r="F4453"/>
    </row>
    <row r="4454" spans="6:6" x14ac:dyDescent="0.2">
      <c r="F4454"/>
    </row>
    <row r="4455" spans="6:6" x14ac:dyDescent="0.2">
      <c r="F4455"/>
    </row>
    <row r="4456" spans="6:6" x14ac:dyDescent="0.2">
      <c r="F4456"/>
    </row>
    <row r="4457" spans="6:6" x14ac:dyDescent="0.2">
      <c r="F4457"/>
    </row>
    <row r="4458" spans="6:6" x14ac:dyDescent="0.2">
      <c r="F4458"/>
    </row>
    <row r="4459" spans="6:6" x14ac:dyDescent="0.2">
      <c r="F4459"/>
    </row>
    <row r="4460" spans="6:6" x14ac:dyDescent="0.2">
      <c r="F4460"/>
    </row>
    <row r="4461" spans="6:6" x14ac:dyDescent="0.2">
      <c r="F4461"/>
    </row>
    <row r="4462" spans="6:6" x14ac:dyDescent="0.2">
      <c r="F4462"/>
    </row>
    <row r="4463" spans="6:6" x14ac:dyDescent="0.2">
      <c r="F4463"/>
    </row>
    <row r="4464" spans="6:6" x14ac:dyDescent="0.2">
      <c r="F4464"/>
    </row>
    <row r="4465" spans="6:6" x14ac:dyDescent="0.2">
      <c r="F4465"/>
    </row>
    <row r="4466" spans="6:6" x14ac:dyDescent="0.2">
      <c r="F4466"/>
    </row>
    <row r="4467" spans="6:6" x14ac:dyDescent="0.2">
      <c r="F4467"/>
    </row>
    <row r="4468" spans="6:6" x14ac:dyDescent="0.2">
      <c r="F4468"/>
    </row>
    <row r="4469" spans="6:6" x14ac:dyDescent="0.2">
      <c r="F4469"/>
    </row>
    <row r="4470" spans="6:6" x14ac:dyDescent="0.2">
      <c r="F4470"/>
    </row>
    <row r="4471" spans="6:6" x14ac:dyDescent="0.2">
      <c r="F4471"/>
    </row>
    <row r="4472" spans="6:6" x14ac:dyDescent="0.2">
      <c r="F4472"/>
    </row>
    <row r="4473" spans="6:6" x14ac:dyDescent="0.2">
      <c r="F4473"/>
    </row>
    <row r="4474" spans="6:6" x14ac:dyDescent="0.2">
      <c r="F4474"/>
    </row>
    <row r="4475" spans="6:6" x14ac:dyDescent="0.2">
      <c r="F4475"/>
    </row>
    <row r="4476" spans="6:6" x14ac:dyDescent="0.2">
      <c r="F4476"/>
    </row>
    <row r="4477" spans="6:6" x14ac:dyDescent="0.2">
      <c r="F4477"/>
    </row>
    <row r="4478" spans="6:6" x14ac:dyDescent="0.2">
      <c r="F4478"/>
    </row>
    <row r="4479" spans="6:6" x14ac:dyDescent="0.2">
      <c r="F4479"/>
    </row>
    <row r="4480" spans="6:6" x14ac:dyDescent="0.2">
      <c r="F4480"/>
    </row>
    <row r="4481" spans="6:6" x14ac:dyDescent="0.2">
      <c r="F4481"/>
    </row>
    <row r="4482" spans="6:6" x14ac:dyDescent="0.2">
      <c r="F4482"/>
    </row>
    <row r="4483" spans="6:6" x14ac:dyDescent="0.2">
      <c r="F4483"/>
    </row>
    <row r="4484" spans="6:6" x14ac:dyDescent="0.2">
      <c r="F4484"/>
    </row>
    <row r="4485" spans="6:6" x14ac:dyDescent="0.2">
      <c r="F4485"/>
    </row>
    <row r="4486" spans="6:6" x14ac:dyDescent="0.2">
      <c r="F4486"/>
    </row>
    <row r="4487" spans="6:6" x14ac:dyDescent="0.2">
      <c r="F4487"/>
    </row>
    <row r="4488" spans="6:6" x14ac:dyDescent="0.2">
      <c r="F4488"/>
    </row>
    <row r="4489" spans="6:6" x14ac:dyDescent="0.2">
      <c r="F4489"/>
    </row>
    <row r="4490" spans="6:6" x14ac:dyDescent="0.2">
      <c r="F4490"/>
    </row>
    <row r="4491" spans="6:6" x14ac:dyDescent="0.2">
      <c r="F4491"/>
    </row>
    <row r="4492" spans="6:6" x14ac:dyDescent="0.2">
      <c r="F4492"/>
    </row>
    <row r="4493" spans="6:6" x14ac:dyDescent="0.2">
      <c r="F4493"/>
    </row>
    <row r="4494" spans="6:6" x14ac:dyDescent="0.2">
      <c r="F4494"/>
    </row>
    <row r="4495" spans="6:6" x14ac:dyDescent="0.2">
      <c r="F4495"/>
    </row>
    <row r="4496" spans="6:6" x14ac:dyDescent="0.2">
      <c r="F4496"/>
    </row>
    <row r="4497" spans="6:6" x14ac:dyDescent="0.2">
      <c r="F4497"/>
    </row>
    <row r="4498" spans="6:6" x14ac:dyDescent="0.2">
      <c r="F4498"/>
    </row>
    <row r="4499" spans="6:6" x14ac:dyDescent="0.2">
      <c r="F4499"/>
    </row>
    <row r="4500" spans="6:6" x14ac:dyDescent="0.2">
      <c r="F4500"/>
    </row>
    <row r="4501" spans="6:6" x14ac:dyDescent="0.2">
      <c r="F4501"/>
    </row>
    <row r="4502" spans="6:6" x14ac:dyDescent="0.2">
      <c r="F4502"/>
    </row>
    <row r="4503" spans="6:6" x14ac:dyDescent="0.2">
      <c r="F4503"/>
    </row>
    <row r="4504" spans="6:6" x14ac:dyDescent="0.2">
      <c r="F4504"/>
    </row>
    <row r="4505" spans="6:6" x14ac:dyDescent="0.2">
      <c r="F4505"/>
    </row>
    <row r="4506" spans="6:6" x14ac:dyDescent="0.2">
      <c r="F4506"/>
    </row>
    <row r="4507" spans="6:6" x14ac:dyDescent="0.2">
      <c r="F4507"/>
    </row>
    <row r="4508" spans="6:6" x14ac:dyDescent="0.2">
      <c r="F4508"/>
    </row>
    <row r="4509" spans="6:6" x14ac:dyDescent="0.2">
      <c r="F4509"/>
    </row>
    <row r="4510" spans="6:6" x14ac:dyDescent="0.2">
      <c r="F4510"/>
    </row>
    <row r="4511" spans="6:6" x14ac:dyDescent="0.2">
      <c r="F4511"/>
    </row>
    <row r="4512" spans="6:6" x14ac:dyDescent="0.2">
      <c r="F4512"/>
    </row>
    <row r="4513" spans="6:6" x14ac:dyDescent="0.2">
      <c r="F4513"/>
    </row>
    <row r="4514" spans="6:6" x14ac:dyDescent="0.2">
      <c r="F4514"/>
    </row>
    <row r="4515" spans="6:6" x14ac:dyDescent="0.2">
      <c r="F4515"/>
    </row>
    <row r="4516" spans="6:6" x14ac:dyDescent="0.2">
      <c r="F4516"/>
    </row>
    <row r="4517" spans="6:6" x14ac:dyDescent="0.2">
      <c r="F4517"/>
    </row>
    <row r="4518" spans="6:6" x14ac:dyDescent="0.2">
      <c r="F4518"/>
    </row>
    <row r="4519" spans="6:6" x14ac:dyDescent="0.2">
      <c r="F4519"/>
    </row>
    <row r="4520" spans="6:6" x14ac:dyDescent="0.2">
      <c r="F4520"/>
    </row>
    <row r="4521" spans="6:6" x14ac:dyDescent="0.2">
      <c r="F4521"/>
    </row>
    <row r="4522" spans="6:6" x14ac:dyDescent="0.2">
      <c r="F4522"/>
    </row>
    <row r="4523" spans="6:6" x14ac:dyDescent="0.2">
      <c r="F4523"/>
    </row>
    <row r="4524" spans="6:6" x14ac:dyDescent="0.2">
      <c r="F4524"/>
    </row>
    <row r="4525" spans="6:6" x14ac:dyDescent="0.2">
      <c r="F4525"/>
    </row>
    <row r="4526" spans="6:6" x14ac:dyDescent="0.2">
      <c r="F4526"/>
    </row>
    <row r="4527" spans="6:6" x14ac:dyDescent="0.2">
      <c r="F4527"/>
    </row>
    <row r="4528" spans="6:6" x14ac:dyDescent="0.2">
      <c r="F4528"/>
    </row>
    <row r="4529" spans="6:6" x14ac:dyDescent="0.2">
      <c r="F4529"/>
    </row>
    <row r="4530" spans="6:6" x14ac:dyDescent="0.2">
      <c r="F4530"/>
    </row>
    <row r="4531" spans="6:6" x14ac:dyDescent="0.2">
      <c r="F4531"/>
    </row>
    <row r="4532" spans="6:6" x14ac:dyDescent="0.2">
      <c r="F4532"/>
    </row>
    <row r="4533" spans="6:6" x14ac:dyDescent="0.2">
      <c r="F4533"/>
    </row>
    <row r="4534" spans="6:6" x14ac:dyDescent="0.2">
      <c r="F4534"/>
    </row>
    <row r="4535" spans="6:6" x14ac:dyDescent="0.2">
      <c r="F4535"/>
    </row>
    <row r="4536" spans="6:6" x14ac:dyDescent="0.2">
      <c r="F4536"/>
    </row>
    <row r="4537" spans="6:6" x14ac:dyDescent="0.2">
      <c r="F4537"/>
    </row>
    <row r="4538" spans="6:6" x14ac:dyDescent="0.2">
      <c r="F4538"/>
    </row>
    <row r="4539" spans="6:6" x14ac:dyDescent="0.2">
      <c r="F4539"/>
    </row>
    <row r="4540" spans="6:6" x14ac:dyDescent="0.2">
      <c r="F4540"/>
    </row>
    <row r="4541" spans="6:6" x14ac:dyDescent="0.2">
      <c r="F4541"/>
    </row>
    <row r="4542" spans="6:6" x14ac:dyDescent="0.2">
      <c r="F4542"/>
    </row>
    <row r="4543" spans="6:6" x14ac:dyDescent="0.2">
      <c r="F4543"/>
    </row>
    <row r="4544" spans="6:6" x14ac:dyDescent="0.2">
      <c r="F4544"/>
    </row>
    <row r="4545" spans="6:6" x14ac:dyDescent="0.2">
      <c r="F4545"/>
    </row>
    <row r="4546" spans="6:6" x14ac:dyDescent="0.2">
      <c r="F4546"/>
    </row>
    <row r="4547" spans="6:6" x14ac:dyDescent="0.2">
      <c r="F4547"/>
    </row>
    <row r="4548" spans="6:6" x14ac:dyDescent="0.2">
      <c r="F4548"/>
    </row>
    <row r="4549" spans="6:6" x14ac:dyDescent="0.2">
      <c r="F4549"/>
    </row>
    <row r="4550" spans="6:6" x14ac:dyDescent="0.2">
      <c r="F4550"/>
    </row>
    <row r="4551" spans="6:6" x14ac:dyDescent="0.2">
      <c r="F4551"/>
    </row>
    <row r="4552" spans="6:6" x14ac:dyDescent="0.2">
      <c r="F4552"/>
    </row>
    <row r="4553" spans="6:6" x14ac:dyDescent="0.2">
      <c r="F4553"/>
    </row>
    <row r="4554" spans="6:6" x14ac:dyDescent="0.2">
      <c r="F4554"/>
    </row>
    <row r="4555" spans="6:6" x14ac:dyDescent="0.2">
      <c r="F4555"/>
    </row>
    <row r="4556" spans="6:6" x14ac:dyDescent="0.2">
      <c r="F4556"/>
    </row>
    <row r="4557" spans="6:6" x14ac:dyDescent="0.2">
      <c r="F4557"/>
    </row>
    <row r="4558" spans="6:6" x14ac:dyDescent="0.2">
      <c r="F4558"/>
    </row>
    <row r="4559" spans="6:6" x14ac:dyDescent="0.2">
      <c r="F4559"/>
    </row>
    <row r="4560" spans="6:6" x14ac:dyDescent="0.2">
      <c r="F4560"/>
    </row>
    <row r="4561" spans="6:6" x14ac:dyDescent="0.2">
      <c r="F4561"/>
    </row>
    <row r="4562" spans="6:6" x14ac:dyDescent="0.2">
      <c r="F4562"/>
    </row>
    <row r="4563" spans="6:6" x14ac:dyDescent="0.2">
      <c r="F4563"/>
    </row>
    <row r="4564" spans="6:6" x14ac:dyDescent="0.2">
      <c r="F4564"/>
    </row>
    <row r="4565" spans="6:6" x14ac:dyDescent="0.2">
      <c r="F4565"/>
    </row>
    <row r="4566" spans="6:6" x14ac:dyDescent="0.2">
      <c r="F4566"/>
    </row>
    <row r="4567" spans="6:6" x14ac:dyDescent="0.2">
      <c r="F4567"/>
    </row>
    <row r="4568" spans="6:6" x14ac:dyDescent="0.2">
      <c r="F4568"/>
    </row>
    <row r="4569" spans="6:6" x14ac:dyDescent="0.2">
      <c r="F4569"/>
    </row>
    <row r="4570" spans="6:6" x14ac:dyDescent="0.2">
      <c r="F4570"/>
    </row>
    <row r="4571" spans="6:6" x14ac:dyDescent="0.2">
      <c r="F4571"/>
    </row>
    <row r="4572" spans="6:6" x14ac:dyDescent="0.2">
      <c r="F4572"/>
    </row>
    <row r="4573" spans="6:6" x14ac:dyDescent="0.2">
      <c r="F4573"/>
    </row>
    <row r="4574" spans="6:6" x14ac:dyDescent="0.2">
      <c r="F4574"/>
    </row>
    <row r="4575" spans="6:6" x14ac:dyDescent="0.2">
      <c r="F4575"/>
    </row>
    <row r="4576" spans="6:6" x14ac:dyDescent="0.2">
      <c r="F4576"/>
    </row>
    <row r="4577" spans="6:6" x14ac:dyDescent="0.2">
      <c r="F4577"/>
    </row>
    <row r="4578" spans="6:6" x14ac:dyDescent="0.2">
      <c r="F4578"/>
    </row>
    <row r="4579" spans="6:6" x14ac:dyDescent="0.2">
      <c r="F4579"/>
    </row>
    <row r="4580" spans="6:6" x14ac:dyDescent="0.2">
      <c r="F4580"/>
    </row>
    <row r="4581" spans="6:6" x14ac:dyDescent="0.2">
      <c r="F4581"/>
    </row>
    <row r="4582" spans="6:6" x14ac:dyDescent="0.2">
      <c r="F4582"/>
    </row>
    <row r="4583" spans="6:6" x14ac:dyDescent="0.2">
      <c r="F4583"/>
    </row>
    <row r="4584" spans="6:6" x14ac:dyDescent="0.2">
      <c r="F4584"/>
    </row>
    <row r="4585" spans="6:6" x14ac:dyDescent="0.2">
      <c r="F4585"/>
    </row>
    <row r="4586" spans="6:6" x14ac:dyDescent="0.2">
      <c r="F4586"/>
    </row>
    <row r="4587" spans="6:6" x14ac:dyDescent="0.2">
      <c r="F4587"/>
    </row>
    <row r="4588" spans="6:6" x14ac:dyDescent="0.2">
      <c r="F4588"/>
    </row>
    <row r="4589" spans="6:6" x14ac:dyDescent="0.2">
      <c r="F4589"/>
    </row>
    <row r="4590" spans="6:6" x14ac:dyDescent="0.2">
      <c r="F4590"/>
    </row>
    <row r="4591" spans="6:6" x14ac:dyDescent="0.2">
      <c r="F4591"/>
    </row>
    <row r="4592" spans="6:6" x14ac:dyDescent="0.2">
      <c r="F4592"/>
    </row>
    <row r="4593" spans="6:6" x14ac:dyDescent="0.2">
      <c r="F4593"/>
    </row>
    <row r="4594" spans="6:6" x14ac:dyDescent="0.2">
      <c r="F4594"/>
    </row>
    <row r="4595" spans="6:6" x14ac:dyDescent="0.2">
      <c r="F4595"/>
    </row>
    <row r="4596" spans="6:6" x14ac:dyDescent="0.2">
      <c r="F4596"/>
    </row>
    <row r="4597" spans="6:6" x14ac:dyDescent="0.2">
      <c r="F4597"/>
    </row>
    <row r="4598" spans="6:6" x14ac:dyDescent="0.2">
      <c r="F4598"/>
    </row>
    <row r="4599" spans="6:6" x14ac:dyDescent="0.2">
      <c r="F4599"/>
    </row>
    <row r="4600" spans="6:6" x14ac:dyDescent="0.2">
      <c r="F4600"/>
    </row>
    <row r="4601" spans="6:6" x14ac:dyDescent="0.2">
      <c r="F4601"/>
    </row>
    <row r="4602" spans="6:6" x14ac:dyDescent="0.2">
      <c r="F4602"/>
    </row>
    <row r="4603" spans="6:6" x14ac:dyDescent="0.2">
      <c r="F4603"/>
    </row>
    <row r="4604" spans="6:6" x14ac:dyDescent="0.2">
      <c r="F4604"/>
    </row>
    <row r="4605" spans="6:6" x14ac:dyDescent="0.2">
      <c r="F4605"/>
    </row>
    <row r="4606" spans="6:6" x14ac:dyDescent="0.2">
      <c r="F4606"/>
    </row>
    <row r="4607" spans="6:6" x14ac:dyDescent="0.2">
      <c r="F4607"/>
    </row>
    <row r="4608" spans="6:6" x14ac:dyDescent="0.2">
      <c r="F4608"/>
    </row>
    <row r="4609" spans="6:6" x14ac:dyDescent="0.2">
      <c r="F4609"/>
    </row>
    <row r="4610" spans="6:6" x14ac:dyDescent="0.2">
      <c r="F4610"/>
    </row>
    <row r="4611" spans="6:6" x14ac:dyDescent="0.2">
      <c r="F4611"/>
    </row>
    <row r="4612" spans="6:6" x14ac:dyDescent="0.2">
      <c r="F4612"/>
    </row>
    <row r="4613" spans="6:6" x14ac:dyDescent="0.2">
      <c r="F4613"/>
    </row>
    <row r="4614" spans="6:6" x14ac:dyDescent="0.2">
      <c r="F4614"/>
    </row>
    <row r="4615" spans="6:6" x14ac:dyDescent="0.2">
      <c r="F4615"/>
    </row>
    <row r="4616" spans="6:6" x14ac:dyDescent="0.2">
      <c r="F4616"/>
    </row>
    <row r="4617" spans="6:6" x14ac:dyDescent="0.2">
      <c r="F4617"/>
    </row>
    <row r="4618" spans="6:6" x14ac:dyDescent="0.2">
      <c r="F4618"/>
    </row>
    <row r="4619" spans="6:6" x14ac:dyDescent="0.2">
      <c r="F4619"/>
    </row>
    <row r="4620" spans="6:6" x14ac:dyDescent="0.2">
      <c r="F4620"/>
    </row>
    <row r="4621" spans="6:6" x14ac:dyDescent="0.2">
      <c r="F4621"/>
    </row>
    <row r="4622" spans="6:6" x14ac:dyDescent="0.2">
      <c r="F4622"/>
    </row>
    <row r="4623" spans="6:6" x14ac:dyDescent="0.2">
      <c r="F4623"/>
    </row>
    <row r="4624" spans="6:6" x14ac:dyDescent="0.2">
      <c r="F4624"/>
    </row>
    <row r="4625" spans="6:6" x14ac:dyDescent="0.2">
      <c r="F4625"/>
    </row>
    <row r="4626" spans="6:6" x14ac:dyDescent="0.2">
      <c r="F4626"/>
    </row>
    <row r="4627" spans="6:6" x14ac:dyDescent="0.2">
      <c r="F4627"/>
    </row>
    <row r="4628" spans="6:6" x14ac:dyDescent="0.2">
      <c r="F4628"/>
    </row>
    <row r="4629" spans="6:6" x14ac:dyDescent="0.2">
      <c r="F4629"/>
    </row>
    <row r="4630" spans="6:6" x14ac:dyDescent="0.2">
      <c r="F4630"/>
    </row>
    <row r="4631" spans="6:6" x14ac:dyDescent="0.2">
      <c r="F4631"/>
    </row>
    <row r="4632" spans="6:6" x14ac:dyDescent="0.2">
      <c r="F4632"/>
    </row>
    <row r="4633" spans="6:6" x14ac:dyDescent="0.2">
      <c r="F4633"/>
    </row>
    <row r="4634" spans="6:6" x14ac:dyDescent="0.2">
      <c r="F4634"/>
    </row>
    <row r="4635" spans="6:6" x14ac:dyDescent="0.2">
      <c r="F4635"/>
    </row>
    <row r="4636" spans="6:6" x14ac:dyDescent="0.2">
      <c r="F4636"/>
    </row>
    <row r="4637" spans="6:6" x14ac:dyDescent="0.2">
      <c r="F4637"/>
    </row>
    <row r="4638" spans="6:6" x14ac:dyDescent="0.2">
      <c r="F4638"/>
    </row>
    <row r="4639" spans="6:6" x14ac:dyDescent="0.2">
      <c r="F4639"/>
    </row>
    <row r="4640" spans="6:6" x14ac:dyDescent="0.2">
      <c r="F4640"/>
    </row>
    <row r="4641" spans="6:6" x14ac:dyDescent="0.2">
      <c r="F4641"/>
    </row>
    <row r="4642" spans="6:6" x14ac:dyDescent="0.2">
      <c r="F4642"/>
    </row>
    <row r="4643" spans="6:6" x14ac:dyDescent="0.2">
      <c r="F4643"/>
    </row>
    <row r="4644" spans="6:6" x14ac:dyDescent="0.2">
      <c r="F4644"/>
    </row>
    <row r="4645" spans="6:6" x14ac:dyDescent="0.2">
      <c r="F4645"/>
    </row>
    <row r="4646" spans="6:6" x14ac:dyDescent="0.2">
      <c r="F4646"/>
    </row>
    <row r="4647" spans="6:6" x14ac:dyDescent="0.2">
      <c r="F4647"/>
    </row>
    <row r="4648" spans="6:6" x14ac:dyDescent="0.2">
      <c r="F4648"/>
    </row>
    <row r="4649" spans="6:6" x14ac:dyDescent="0.2">
      <c r="F4649"/>
    </row>
    <row r="4650" spans="6:6" x14ac:dyDescent="0.2">
      <c r="F4650"/>
    </row>
    <row r="4651" spans="6:6" x14ac:dyDescent="0.2">
      <c r="F4651"/>
    </row>
    <row r="4652" spans="6:6" x14ac:dyDescent="0.2">
      <c r="F4652"/>
    </row>
    <row r="4653" spans="6:6" x14ac:dyDescent="0.2">
      <c r="F4653"/>
    </row>
    <row r="4654" spans="6:6" x14ac:dyDescent="0.2">
      <c r="F4654"/>
    </row>
    <row r="4655" spans="6:6" x14ac:dyDescent="0.2">
      <c r="F4655"/>
    </row>
    <row r="4656" spans="6:6" x14ac:dyDescent="0.2">
      <c r="F4656"/>
    </row>
    <row r="4657" spans="6:6" x14ac:dyDescent="0.2">
      <c r="F4657"/>
    </row>
    <row r="4658" spans="6:6" x14ac:dyDescent="0.2">
      <c r="F4658"/>
    </row>
    <row r="4659" spans="6:6" x14ac:dyDescent="0.2">
      <c r="F4659"/>
    </row>
    <row r="4660" spans="6:6" x14ac:dyDescent="0.2">
      <c r="F4660"/>
    </row>
    <row r="4661" spans="6:6" x14ac:dyDescent="0.2">
      <c r="F4661"/>
    </row>
    <row r="4662" spans="6:6" x14ac:dyDescent="0.2">
      <c r="F4662"/>
    </row>
    <row r="4663" spans="6:6" x14ac:dyDescent="0.2">
      <c r="F4663"/>
    </row>
    <row r="4664" spans="6:6" x14ac:dyDescent="0.2">
      <c r="F4664"/>
    </row>
    <row r="4665" spans="6:6" x14ac:dyDescent="0.2">
      <c r="F4665"/>
    </row>
    <row r="4666" spans="6:6" x14ac:dyDescent="0.2">
      <c r="F4666"/>
    </row>
    <row r="4667" spans="6:6" x14ac:dyDescent="0.2">
      <c r="F4667"/>
    </row>
    <row r="4668" spans="6:6" x14ac:dyDescent="0.2">
      <c r="F4668"/>
    </row>
    <row r="4669" spans="6:6" x14ac:dyDescent="0.2">
      <c r="F4669"/>
    </row>
    <row r="4670" spans="6:6" x14ac:dyDescent="0.2">
      <c r="F4670"/>
    </row>
    <row r="4671" spans="6:6" x14ac:dyDescent="0.2">
      <c r="F4671"/>
    </row>
    <row r="4672" spans="6:6" x14ac:dyDescent="0.2">
      <c r="F4672"/>
    </row>
    <row r="4673" spans="6:6" x14ac:dyDescent="0.2">
      <c r="F4673"/>
    </row>
    <row r="4674" spans="6:6" x14ac:dyDescent="0.2">
      <c r="F4674"/>
    </row>
    <row r="4675" spans="6:6" x14ac:dyDescent="0.2">
      <c r="F4675"/>
    </row>
    <row r="4676" spans="6:6" x14ac:dyDescent="0.2">
      <c r="F4676"/>
    </row>
    <row r="4677" spans="6:6" x14ac:dyDescent="0.2">
      <c r="F4677"/>
    </row>
    <row r="4678" spans="6:6" x14ac:dyDescent="0.2">
      <c r="F4678"/>
    </row>
    <row r="4679" spans="6:6" x14ac:dyDescent="0.2">
      <c r="F4679"/>
    </row>
    <row r="4680" spans="6:6" x14ac:dyDescent="0.2">
      <c r="F4680"/>
    </row>
    <row r="4681" spans="6:6" x14ac:dyDescent="0.2">
      <c r="F4681"/>
    </row>
    <row r="4682" spans="6:6" x14ac:dyDescent="0.2">
      <c r="F4682"/>
    </row>
    <row r="4683" spans="6:6" x14ac:dyDescent="0.2">
      <c r="F4683"/>
    </row>
    <row r="4684" spans="6:6" x14ac:dyDescent="0.2">
      <c r="F4684"/>
    </row>
    <row r="4685" spans="6:6" x14ac:dyDescent="0.2">
      <c r="F4685"/>
    </row>
    <row r="4686" spans="6:6" x14ac:dyDescent="0.2">
      <c r="F4686"/>
    </row>
    <row r="4687" spans="6:6" x14ac:dyDescent="0.2">
      <c r="F4687"/>
    </row>
    <row r="4688" spans="6:6" x14ac:dyDescent="0.2">
      <c r="F4688"/>
    </row>
    <row r="4689" spans="6:6" x14ac:dyDescent="0.2">
      <c r="F4689"/>
    </row>
    <row r="4690" spans="6:6" x14ac:dyDescent="0.2">
      <c r="F4690"/>
    </row>
    <row r="4691" spans="6:6" x14ac:dyDescent="0.2">
      <c r="F4691"/>
    </row>
    <row r="4692" spans="6:6" x14ac:dyDescent="0.2">
      <c r="F4692"/>
    </row>
    <row r="4693" spans="6:6" x14ac:dyDescent="0.2">
      <c r="F4693"/>
    </row>
    <row r="4694" spans="6:6" x14ac:dyDescent="0.2">
      <c r="F4694"/>
    </row>
    <row r="4695" spans="6:6" x14ac:dyDescent="0.2">
      <c r="F4695"/>
    </row>
    <row r="4696" spans="6:6" x14ac:dyDescent="0.2">
      <c r="F4696"/>
    </row>
    <row r="4697" spans="6:6" x14ac:dyDescent="0.2">
      <c r="F4697"/>
    </row>
    <row r="4698" spans="6:6" x14ac:dyDescent="0.2">
      <c r="F4698"/>
    </row>
    <row r="4699" spans="6:6" x14ac:dyDescent="0.2">
      <c r="F4699"/>
    </row>
    <row r="4700" spans="6:6" x14ac:dyDescent="0.2">
      <c r="F4700"/>
    </row>
    <row r="4701" spans="6:6" x14ac:dyDescent="0.2">
      <c r="F4701"/>
    </row>
    <row r="4702" spans="6:6" x14ac:dyDescent="0.2">
      <c r="F4702"/>
    </row>
    <row r="4703" spans="6:6" x14ac:dyDescent="0.2">
      <c r="F4703"/>
    </row>
    <row r="4704" spans="6:6" x14ac:dyDescent="0.2">
      <c r="F4704"/>
    </row>
    <row r="4705" spans="6:6" x14ac:dyDescent="0.2">
      <c r="F4705"/>
    </row>
    <row r="4706" spans="6:6" x14ac:dyDescent="0.2">
      <c r="F4706"/>
    </row>
    <row r="4707" spans="6:6" x14ac:dyDescent="0.2">
      <c r="F4707"/>
    </row>
    <row r="4708" spans="6:6" x14ac:dyDescent="0.2">
      <c r="F4708"/>
    </row>
    <row r="4709" spans="6:6" x14ac:dyDescent="0.2">
      <c r="F4709"/>
    </row>
    <row r="4710" spans="6:6" x14ac:dyDescent="0.2">
      <c r="F4710"/>
    </row>
    <row r="4711" spans="6:6" x14ac:dyDescent="0.2">
      <c r="F4711"/>
    </row>
    <row r="4712" spans="6:6" x14ac:dyDescent="0.2">
      <c r="F4712"/>
    </row>
    <row r="4713" spans="6:6" x14ac:dyDescent="0.2">
      <c r="F4713"/>
    </row>
    <row r="4714" spans="6:6" x14ac:dyDescent="0.2">
      <c r="F4714"/>
    </row>
    <row r="4715" spans="6:6" x14ac:dyDescent="0.2">
      <c r="F4715"/>
    </row>
    <row r="4716" spans="6:6" x14ac:dyDescent="0.2">
      <c r="F4716"/>
    </row>
    <row r="4717" spans="6:6" x14ac:dyDescent="0.2">
      <c r="F4717"/>
    </row>
    <row r="4718" spans="6:6" x14ac:dyDescent="0.2">
      <c r="F4718"/>
    </row>
    <row r="4719" spans="6:6" x14ac:dyDescent="0.2">
      <c r="F4719"/>
    </row>
    <row r="4720" spans="6:6" x14ac:dyDescent="0.2">
      <c r="F4720"/>
    </row>
    <row r="4721" spans="6:6" x14ac:dyDescent="0.2">
      <c r="F4721"/>
    </row>
    <row r="4722" spans="6:6" x14ac:dyDescent="0.2">
      <c r="F4722"/>
    </row>
    <row r="4723" spans="6:6" x14ac:dyDescent="0.2">
      <c r="F4723"/>
    </row>
    <row r="4724" spans="6:6" x14ac:dyDescent="0.2">
      <c r="F4724"/>
    </row>
    <row r="4725" spans="6:6" x14ac:dyDescent="0.2">
      <c r="F4725"/>
    </row>
    <row r="4726" spans="6:6" x14ac:dyDescent="0.2">
      <c r="F4726"/>
    </row>
    <row r="4727" spans="6:6" x14ac:dyDescent="0.2">
      <c r="F4727"/>
    </row>
    <row r="4728" spans="6:6" x14ac:dyDescent="0.2">
      <c r="F4728"/>
    </row>
    <row r="4729" spans="6:6" x14ac:dyDescent="0.2">
      <c r="F4729"/>
    </row>
    <row r="4730" spans="6:6" x14ac:dyDescent="0.2">
      <c r="F4730"/>
    </row>
    <row r="4731" spans="6:6" x14ac:dyDescent="0.2">
      <c r="F4731"/>
    </row>
    <row r="4732" spans="6:6" x14ac:dyDescent="0.2">
      <c r="F4732"/>
    </row>
    <row r="4733" spans="6:6" x14ac:dyDescent="0.2">
      <c r="F4733"/>
    </row>
    <row r="4734" spans="6:6" x14ac:dyDescent="0.2">
      <c r="F4734"/>
    </row>
    <row r="4735" spans="6:6" x14ac:dyDescent="0.2">
      <c r="F4735"/>
    </row>
    <row r="4736" spans="6:6" x14ac:dyDescent="0.2">
      <c r="F4736"/>
    </row>
    <row r="4737" spans="6:6" x14ac:dyDescent="0.2">
      <c r="F4737"/>
    </row>
    <row r="4738" spans="6:6" x14ac:dyDescent="0.2">
      <c r="F4738"/>
    </row>
    <row r="4739" spans="6:6" x14ac:dyDescent="0.2">
      <c r="F4739"/>
    </row>
    <row r="4740" spans="6:6" x14ac:dyDescent="0.2">
      <c r="F4740"/>
    </row>
    <row r="4741" spans="6:6" x14ac:dyDescent="0.2">
      <c r="F4741"/>
    </row>
    <row r="4742" spans="6:6" x14ac:dyDescent="0.2">
      <c r="F4742"/>
    </row>
    <row r="4743" spans="6:6" x14ac:dyDescent="0.2">
      <c r="F4743"/>
    </row>
    <row r="4744" spans="6:6" x14ac:dyDescent="0.2">
      <c r="F4744"/>
    </row>
    <row r="4745" spans="6:6" x14ac:dyDescent="0.2">
      <c r="F4745"/>
    </row>
    <row r="4746" spans="6:6" x14ac:dyDescent="0.2">
      <c r="F4746"/>
    </row>
    <row r="4747" spans="6:6" x14ac:dyDescent="0.2">
      <c r="F4747"/>
    </row>
    <row r="4748" spans="6:6" x14ac:dyDescent="0.2">
      <c r="F4748"/>
    </row>
    <row r="4749" spans="6:6" x14ac:dyDescent="0.2">
      <c r="F4749"/>
    </row>
    <row r="4750" spans="6:6" x14ac:dyDescent="0.2">
      <c r="F4750"/>
    </row>
    <row r="4751" spans="6:6" x14ac:dyDescent="0.2">
      <c r="F4751"/>
    </row>
    <row r="4752" spans="6:6" x14ac:dyDescent="0.2">
      <c r="F4752"/>
    </row>
    <row r="4753" spans="6:6" x14ac:dyDescent="0.2">
      <c r="F4753"/>
    </row>
    <row r="4754" spans="6:6" x14ac:dyDescent="0.2">
      <c r="F4754"/>
    </row>
    <row r="4755" spans="6:6" x14ac:dyDescent="0.2">
      <c r="F4755"/>
    </row>
    <row r="4756" spans="6:6" x14ac:dyDescent="0.2">
      <c r="F4756"/>
    </row>
    <row r="4757" spans="6:6" x14ac:dyDescent="0.2">
      <c r="F4757"/>
    </row>
    <row r="4758" spans="6:6" x14ac:dyDescent="0.2">
      <c r="F4758"/>
    </row>
    <row r="4759" spans="6:6" x14ac:dyDescent="0.2">
      <c r="F4759"/>
    </row>
    <row r="4760" spans="6:6" x14ac:dyDescent="0.2">
      <c r="F4760"/>
    </row>
    <row r="4761" spans="6:6" x14ac:dyDescent="0.2">
      <c r="F4761"/>
    </row>
    <row r="4762" spans="6:6" x14ac:dyDescent="0.2">
      <c r="F4762"/>
    </row>
    <row r="4763" spans="6:6" x14ac:dyDescent="0.2">
      <c r="F4763"/>
    </row>
    <row r="4764" spans="6:6" x14ac:dyDescent="0.2">
      <c r="F4764"/>
    </row>
    <row r="4765" spans="6:6" x14ac:dyDescent="0.2">
      <c r="F4765"/>
    </row>
    <row r="4766" spans="6:6" x14ac:dyDescent="0.2">
      <c r="F4766"/>
    </row>
    <row r="4767" spans="6:6" x14ac:dyDescent="0.2">
      <c r="F4767"/>
    </row>
    <row r="4768" spans="6:6" x14ac:dyDescent="0.2">
      <c r="F4768"/>
    </row>
    <row r="4769" spans="6:6" x14ac:dyDescent="0.2">
      <c r="F4769"/>
    </row>
    <row r="4770" spans="6:6" x14ac:dyDescent="0.2">
      <c r="F4770"/>
    </row>
    <row r="4771" spans="6:6" x14ac:dyDescent="0.2">
      <c r="F4771"/>
    </row>
    <row r="4772" spans="6:6" x14ac:dyDescent="0.2">
      <c r="F4772"/>
    </row>
    <row r="4773" spans="6:6" x14ac:dyDescent="0.2">
      <c r="F4773"/>
    </row>
    <row r="4774" spans="6:6" x14ac:dyDescent="0.2">
      <c r="F4774"/>
    </row>
    <row r="4775" spans="6:6" x14ac:dyDescent="0.2">
      <c r="F4775"/>
    </row>
    <row r="4776" spans="6:6" x14ac:dyDescent="0.2">
      <c r="F4776"/>
    </row>
    <row r="4777" spans="6:6" x14ac:dyDescent="0.2">
      <c r="F4777"/>
    </row>
    <row r="4778" spans="6:6" x14ac:dyDescent="0.2">
      <c r="F4778"/>
    </row>
    <row r="4779" spans="6:6" x14ac:dyDescent="0.2">
      <c r="F4779"/>
    </row>
    <row r="4780" spans="6:6" x14ac:dyDescent="0.2">
      <c r="F4780"/>
    </row>
    <row r="4781" spans="6:6" x14ac:dyDescent="0.2">
      <c r="F4781"/>
    </row>
    <row r="4782" spans="6:6" x14ac:dyDescent="0.2">
      <c r="F4782"/>
    </row>
    <row r="4783" spans="6:6" x14ac:dyDescent="0.2">
      <c r="F4783"/>
    </row>
    <row r="4784" spans="6:6" x14ac:dyDescent="0.2">
      <c r="F4784"/>
    </row>
    <row r="4785" spans="6:6" x14ac:dyDescent="0.2">
      <c r="F4785"/>
    </row>
    <row r="4786" spans="6:6" x14ac:dyDescent="0.2">
      <c r="F4786"/>
    </row>
    <row r="4787" spans="6:6" x14ac:dyDescent="0.2">
      <c r="F4787"/>
    </row>
    <row r="4788" spans="6:6" x14ac:dyDescent="0.2">
      <c r="F4788"/>
    </row>
    <row r="4789" spans="6:6" x14ac:dyDescent="0.2">
      <c r="F4789"/>
    </row>
    <row r="4790" spans="6:6" x14ac:dyDescent="0.2">
      <c r="F4790"/>
    </row>
    <row r="4791" spans="6:6" x14ac:dyDescent="0.2">
      <c r="F4791"/>
    </row>
    <row r="4792" spans="6:6" x14ac:dyDescent="0.2">
      <c r="F4792"/>
    </row>
    <row r="4793" spans="6:6" x14ac:dyDescent="0.2">
      <c r="F4793"/>
    </row>
    <row r="4794" spans="6:6" x14ac:dyDescent="0.2">
      <c r="F4794"/>
    </row>
    <row r="4795" spans="6:6" x14ac:dyDescent="0.2">
      <c r="F4795"/>
    </row>
    <row r="4796" spans="6:6" x14ac:dyDescent="0.2">
      <c r="F4796"/>
    </row>
    <row r="4797" spans="6:6" x14ac:dyDescent="0.2">
      <c r="F4797"/>
    </row>
    <row r="4798" spans="6:6" x14ac:dyDescent="0.2">
      <c r="F4798"/>
    </row>
    <row r="4799" spans="6:6" x14ac:dyDescent="0.2">
      <c r="F4799"/>
    </row>
    <row r="4800" spans="6:6" x14ac:dyDescent="0.2">
      <c r="F4800"/>
    </row>
    <row r="4801" spans="6:6" x14ac:dyDescent="0.2">
      <c r="F4801"/>
    </row>
    <row r="4802" spans="6:6" x14ac:dyDescent="0.2">
      <c r="F4802"/>
    </row>
    <row r="4803" spans="6:6" x14ac:dyDescent="0.2">
      <c r="F4803"/>
    </row>
    <row r="4804" spans="6:6" x14ac:dyDescent="0.2">
      <c r="F4804"/>
    </row>
    <row r="4805" spans="6:6" x14ac:dyDescent="0.2">
      <c r="F4805"/>
    </row>
    <row r="4806" spans="6:6" x14ac:dyDescent="0.2">
      <c r="F4806"/>
    </row>
    <row r="4807" spans="6:6" x14ac:dyDescent="0.2">
      <c r="F4807"/>
    </row>
    <row r="4808" spans="6:6" x14ac:dyDescent="0.2">
      <c r="F4808"/>
    </row>
    <row r="4809" spans="6:6" x14ac:dyDescent="0.2">
      <c r="F4809"/>
    </row>
    <row r="4810" spans="6:6" x14ac:dyDescent="0.2">
      <c r="F4810"/>
    </row>
    <row r="4811" spans="6:6" x14ac:dyDescent="0.2">
      <c r="F4811"/>
    </row>
    <row r="4812" spans="6:6" x14ac:dyDescent="0.2">
      <c r="F4812"/>
    </row>
    <row r="4813" spans="6:6" x14ac:dyDescent="0.2">
      <c r="F4813"/>
    </row>
    <row r="4814" spans="6:6" x14ac:dyDescent="0.2">
      <c r="F4814"/>
    </row>
    <row r="4815" spans="6:6" x14ac:dyDescent="0.2">
      <c r="F4815"/>
    </row>
    <row r="4816" spans="6:6" x14ac:dyDescent="0.2">
      <c r="F4816"/>
    </row>
    <row r="4817" spans="6:6" x14ac:dyDescent="0.2">
      <c r="F4817"/>
    </row>
    <row r="4818" spans="6:6" x14ac:dyDescent="0.2">
      <c r="F4818"/>
    </row>
    <row r="4819" spans="6:6" x14ac:dyDescent="0.2">
      <c r="F4819"/>
    </row>
    <row r="4820" spans="6:6" x14ac:dyDescent="0.2">
      <c r="F4820"/>
    </row>
    <row r="4821" spans="6:6" x14ac:dyDescent="0.2">
      <c r="F4821"/>
    </row>
    <row r="4822" spans="6:6" x14ac:dyDescent="0.2">
      <c r="F4822"/>
    </row>
    <row r="4823" spans="6:6" x14ac:dyDescent="0.2">
      <c r="F4823"/>
    </row>
    <row r="4824" spans="6:6" x14ac:dyDescent="0.2">
      <c r="F4824"/>
    </row>
    <row r="4825" spans="6:6" x14ac:dyDescent="0.2">
      <c r="F4825"/>
    </row>
    <row r="4826" spans="6:6" x14ac:dyDescent="0.2">
      <c r="F4826"/>
    </row>
    <row r="4827" spans="6:6" x14ac:dyDescent="0.2">
      <c r="F4827"/>
    </row>
    <row r="4828" spans="6:6" x14ac:dyDescent="0.2">
      <c r="F4828"/>
    </row>
    <row r="4829" spans="6:6" x14ac:dyDescent="0.2">
      <c r="F4829"/>
    </row>
    <row r="4830" spans="6:6" x14ac:dyDescent="0.2">
      <c r="F4830"/>
    </row>
    <row r="4831" spans="6:6" x14ac:dyDescent="0.2">
      <c r="F4831"/>
    </row>
    <row r="4832" spans="6:6" x14ac:dyDescent="0.2">
      <c r="F4832"/>
    </row>
    <row r="4833" spans="6:6" x14ac:dyDescent="0.2">
      <c r="F4833"/>
    </row>
    <row r="4834" spans="6:6" x14ac:dyDescent="0.2">
      <c r="F4834"/>
    </row>
    <row r="4835" spans="6:6" x14ac:dyDescent="0.2">
      <c r="F4835"/>
    </row>
    <row r="4836" spans="6:6" x14ac:dyDescent="0.2">
      <c r="F4836"/>
    </row>
    <row r="4837" spans="6:6" x14ac:dyDescent="0.2">
      <c r="F4837"/>
    </row>
    <row r="4838" spans="6:6" x14ac:dyDescent="0.2">
      <c r="F4838"/>
    </row>
    <row r="4839" spans="6:6" x14ac:dyDescent="0.2">
      <c r="F4839"/>
    </row>
    <row r="4840" spans="6:6" x14ac:dyDescent="0.2">
      <c r="F4840"/>
    </row>
    <row r="4841" spans="6:6" x14ac:dyDescent="0.2">
      <c r="F4841"/>
    </row>
    <row r="4842" spans="6:6" x14ac:dyDescent="0.2">
      <c r="F4842"/>
    </row>
    <row r="4843" spans="6:6" x14ac:dyDescent="0.2">
      <c r="F4843"/>
    </row>
    <row r="4844" spans="6:6" x14ac:dyDescent="0.2">
      <c r="F4844"/>
    </row>
    <row r="4845" spans="6:6" x14ac:dyDescent="0.2">
      <c r="F4845"/>
    </row>
    <row r="4846" spans="6:6" x14ac:dyDescent="0.2">
      <c r="F4846"/>
    </row>
    <row r="4847" spans="6:6" x14ac:dyDescent="0.2">
      <c r="F4847"/>
    </row>
    <row r="4848" spans="6:6" x14ac:dyDescent="0.2">
      <c r="F4848"/>
    </row>
    <row r="4849" spans="6:6" x14ac:dyDescent="0.2">
      <c r="F4849"/>
    </row>
    <row r="4850" spans="6:6" x14ac:dyDescent="0.2">
      <c r="F4850"/>
    </row>
    <row r="4851" spans="6:6" x14ac:dyDescent="0.2">
      <c r="F4851"/>
    </row>
    <row r="4852" spans="6:6" x14ac:dyDescent="0.2">
      <c r="F4852"/>
    </row>
    <row r="4853" spans="6:6" x14ac:dyDescent="0.2">
      <c r="F4853"/>
    </row>
    <row r="4854" spans="6:6" x14ac:dyDescent="0.2">
      <c r="F4854"/>
    </row>
    <row r="4855" spans="6:6" x14ac:dyDescent="0.2">
      <c r="F4855"/>
    </row>
    <row r="4856" spans="6:6" x14ac:dyDescent="0.2">
      <c r="F4856"/>
    </row>
    <row r="4857" spans="6:6" x14ac:dyDescent="0.2">
      <c r="F4857"/>
    </row>
    <row r="4858" spans="6:6" x14ac:dyDescent="0.2">
      <c r="F4858"/>
    </row>
    <row r="4859" spans="6:6" x14ac:dyDescent="0.2">
      <c r="F4859"/>
    </row>
    <row r="4860" spans="6:6" x14ac:dyDescent="0.2">
      <c r="F4860"/>
    </row>
    <row r="4861" spans="6:6" x14ac:dyDescent="0.2">
      <c r="F4861"/>
    </row>
    <row r="4862" spans="6:6" x14ac:dyDescent="0.2">
      <c r="F4862"/>
    </row>
    <row r="4863" spans="6:6" x14ac:dyDescent="0.2">
      <c r="F4863"/>
    </row>
    <row r="4864" spans="6:6" x14ac:dyDescent="0.2">
      <c r="F4864"/>
    </row>
    <row r="4865" spans="6:6" x14ac:dyDescent="0.2">
      <c r="F4865"/>
    </row>
    <row r="4866" spans="6:6" x14ac:dyDescent="0.2">
      <c r="F4866"/>
    </row>
    <row r="4867" spans="6:6" x14ac:dyDescent="0.2">
      <c r="F4867"/>
    </row>
    <row r="4868" spans="6:6" x14ac:dyDescent="0.2">
      <c r="F4868"/>
    </row>
    <row r="4869" spans="6:6" x14ac:dyDescent="0.2">
      <c r="F4869"/>
    </row>
    <row r="4870" spans="6:6" x14ac:dyDescent="0.2">
      <c r="F4870"/>
    </row>
    <row r="4871" spans="6:6" x14ac:dyDescent="0.2">
      <c r="F4871"/>
    </row>
    <row r="4872" spans="6:6" x14ac:dyDescent="0.2">
      <c r="F4872"/>
    </row>
    <row r="4873" spans="6:6" x14ac:dyDescent="0.2">
      <c r="F4873"/>
    </row>
    <row r="4874" spans="6:6" x14ac:dyDescent="0.2">
      <c r="F4874"/>
    </row>
    <row r="4875" spans="6:6" x14ac:dyDescent="0.2">
      <c r="F4875"/>
    </row>
    <row r="4876" spans="6:6" x14ac:dyDescent="0.2">
      <c r="F4876"/>
    </row>
    <row r="4877" spans="6:6" x14ac:dyDescent="0.2">
      <c r="F4877"/>
    </row>
    <row r="4878" spans="6:6" x14ac:dyDescent="0.2">
      <c r="F4878"/>
    </row>
    <row r="4879" spans="6:6" x14ac:dyDescent="0.2">
      <c r="F4879"/>
    </row>
    <row r="4880" spans="6:6" x14ac:dyDescent="0.2">
      <c r="F4880"/>
    </row>
    <row r="4881" spans="6:6" x14ac:dyDescent="0.2">
      <c r="F4881"/>
    </row>
    <row r="4882" spans="6:6" x14ac:dyDescent="0.2">
      <c r="F4882"/>
    </row>
    <row r="4883" spans="6:6" x14ac:dyDescent="0.2">
      <c r="F4883"/>
    </row>
    <row r="4884" spans="6:6" x14ac:dyDescent="0.2">
      <c r="F4884"/>
    </row>
    <row r="4885" spans="6:6" x14ac:dyDescent="0.2">
      <c r="F4885"/>
    </row>
    <row r="4886" spans="6:6" x14ac:dyDescent="0.2">
      <c r="F4886"/>
    </row>
    <row r="4887" spans="6:6" x14ac:dyDescent="0.2">
      <c r="F4887"/>
    </row>
    <row r="4888" spans="6:6" x14ac:dyDescent="0.2">
      <c r="F4888"/>
    </row>
    <row r="4889" spans="6:6" x14ac:dyDescent="0.2">
      <c r="F4889"/>
    </row>
    <row r="4890" spans="6:6" x14ac:dyDescent="0.2">
      <c r="F4890"/>
    </row>
    <row r="4891" spans="6:6" x14ac:dyDescent="0.2">
      <c r="F4891"/>
    </row>
    <row r="4892" spans="6:6" x14ac:dyDescent="0.2">
      <c r="F4892"/>
    </row>
    <row r="4893" spans="6:6" x14ac:dyDescent="0.2">
      <c r="F4893"/>
    </row>
    <row r="4894" spans="6:6" x14ac:dyDescent="0.2">
      <c r="F4894"/>
    </row>
    <row r="4895" spans="6:6" x14ac:dyDescent="0.2">
      <c r="F4895"/>
    </row>
    <row r="4896" spans="6:6" x14ac:dyDescent="0.2">
      <c r="F4896"/>
    </row>
    <row r="4897" spans="6:6" x14ac:dyDescent="0.2">
      <c r="F4897"/>
    </row>
    <row r="4898" spans="6:6" x14ac:dyDescent="0.2">
      <c r="F4898"/>
    </row>
    <row r="4899" spans="6:6" x14ac:dyDescent="0.2">
      <c r="F4899"/>
    </row>
    <row r="4900" spans="6:6" x14ac:dyDescent="0.2">
      <c r="F4900"/>
    </row>
    <row r="4901" spans="6:6" x14ac:dyDescent="0.2">
      <c r="F4901"/>
    </row>
    <row r="4902" spans="6:6" x14ac:dyDescent="0.2">
      <c r="F4902"/>
    </row>
    <row r="4903" spans="6:6" x14ac:dyDescent="0.2">
      <c r="F4903"/>
    </row>
    <row r="4904" spans="6:6" x14ac:dyDescent="0.2">
      <c r="F4904"/>
    </row>
    <row r="4905" spans="6:6" x14ac:dyDescent="0.2">
      <c r="F4905"/>
    </row>
    <row r="4906" spans="6:6" x14ac:dyDescent="0.2">
      <c r="F4906"/>
    </row>
    <row r="4907" spans="6:6" x14ac:dyDescent="0.2">
      <c r="F4907"/>
    </row>
    <row r="4908" spans="6:6" x14ac:dyDescent="0.2">
      <c r="F4908"/>
    </row>
    <row r="4909" spans="6:6" x14ac:dyDescent="0.2">
      <c r="F4909"/>
    </row>
    <row r="4910" spans="6:6" x14ac:dyDescent="0.2">
      <c r="F4910"/>
    </row>
    <row r="4911" spans="6:6" x14ac:dyDescent="0.2">
      <c r="F4911"/>
    </row>
    <row r="4912" spans="6:6" x14ac:dyDescent="0.2">
      <c r="F4912"/>
    </row>
    <row r="4913" spans="6:6" x14ac:dyDescent="0.2">
      <c r="F4913"/>
    </row>
    <row r="4914" spans="6:6" x14ac:dyDescent="0.2">
      <c r="F4914"/>
    </row>
    <row r="4915" spans="6:6" x14ac:dyDescent="0.2">
      <c r="F4915"/>
    </row>
    <row r="4916" spans="6:6" x14ac:dyDescent="0.2">
      <c r="F4916"/>
    </row>
    <row r="4917" spans="6:6" x14ac:dyDescent="0.2">
      <c r="F4917"/>
    </row>
    <row r="4918" spans="6:6" x14ac:dyDescent="0.2">
      <c r="F4918"/>
    </row>
    <row r="4919" spans="6:6" x14ac:dyDescent="0.2">
      <c r="F4919"/>
    </row>
    <row r="4920" spans="6:6" x14ac:dyDescent="0.2">
      <c r="F4920"/>
    </row>
    <row r="4921" spans="6:6" x14ac:dyDescent="0.2">
      <c r="F4921"/>
    </row>
    <row r="4922" spans="6:6" x14ac:dyDescent="0.2">
      <c r="F4922"/>
    </row>
    <row r="4923" spans="6:6" x14ac:dyDescent="0.2">
      <c r="F4923"/>
    </row>
    <row r="4924" spans="6:6" x14ac:dyDescent="0.2">
      <c r="F4924"/>
    </row>
    <row r="4925" spans="6:6" x14ac:dyDescent="0.2">
      <c r="F4925"/>
    </row>
    <row r="4926" spans="6:6" x14ac:dyDescent="0.2">
      <c r="F4926"/>
    </row>
    <row r="4927" spans="6:6" x14ac:dyDescent="0.2">
      <c r="F4927"/>
    </row>
    <row r="4928" spans="6:6" x14ac:dyDescent="0.2">
      <c r="F4928"/>
    </row>
    <row r="4929" spans="6:6" x14ac:dyDescent="0.2">
      <c r="F4929"/>
    </row>
    <row r="4930" spans="6:6" x14ac:dyDescent="0.2">
      <c r="F4930"/>
    </row>
    <row r="4931" spans="6:6" x14ac:dyDescent="0.2">
      <c r="F4931"/>
    </row>
    <row r="4932" spans="6:6" x14ac:dyDescent="0.2">
      <c r="F4932"/>
    </row>
    <row r="4933" spans="6:6" x14ac:dyDescent="0.2">
      <c r="F4933"/>
    </row>
    <row r="4934" spans="6:6" x14ac:dyDescent="0.2">
      <c r="F4934"/>
    </row>
    <row r="4935" spans="6:6" x14ac:dyDescent="0.2">
      <c r="F4935"/>
    </row>
    <row r="4936" spans="6:6" x14ac:dyDescent="0.2">
      <c r="F4936"/>
    </row>
    <row r="4937" spans="6:6" x14ac:dyDescent="0.2">
      <c r="F4937"/>
    </row>
    <row r="4938" spans="6:6" x14ac:dyDescent="0.2">
      <c r="F4938"/>
    </row>
    <row r="4939" spans="6:6" x14ac:dyDescent="0.2">
      <c r="F4939"/>
    </row>
    <row r="4940" spans="6:6" x14ac:dyDescent="0.2">
      <c r="F4940"/>
    </row>
    <row r="4941" spans="6:6" x14ac:dyDescent="0.2">
      <c r="F4941"/>
    </row>
    <row r="4942" spans="6:6" x14ac:dyDescent="0.2">
      <c r="F4942"/>
    </row>
    <row r="4943" spans="6:6" x14ac:dyDescent="0.2">
      <c r="F4943"/>
    </row>
    <row r="4944" spans="6:6" x14ac:dyDescent="0.2">
      <c r="F4944"/>
    </row>
    <row r="4945" spans="6:6" x14ac:dyDescent="0.2">
      <c r="F4945"/>
    </row>
    <row r="4946" spans="6:6" x14ac:dyDescent="0.2">
      <c r="F4946"/>
    </row>
    <row r="4947" spans="6:6" x14ac:dyDescent="0.2">
      <c r="F4947"/>
    </row>
    <row r="4948" spans="6:6" x14ac:dyDescent="0.2">
      <c r="F4948"/>
    </row>
    <row r="4949" spans="6:6" x14ac:dyDescent="0.2">
      <c r="F4949"/>
    </row>
    <row r="4950" spans="6:6" x14ac:dyDescent="0.2">
      <c r="F4950"/>
    </row>
    <row r="4951" spans="6:6" x14ac:dyDescent="0.2">
      <c r="F4951"/>
    </row>
    <row r="4952" spans="6:6" x14ac:dyDescent="0.2">
      <c r="F4952"/>
    </row>
    <row r="4953" spans="6:6" x14ac:dyDescent="0.2">
      <c r="F4953"/>
    </row>
    <row r="4954" spans="6:6" x14ac:dyDescent="0.2">
      <c r="F4954"/>
    </row>
    <row r="4955" spans="6:6" x14ac:dyDescent="0.2">
      <c r="F4955"/>
    </row>
    <row r="4956" spans="6:6" x14ac:dyDescent="0.2">
      <c r="F4956"/>
    </row>
    <row r="4957" spans="6:6" x14ac:dyDescent="0.2">
      <c r="F4957"/>
    </row>
    <row r="4958" spans="6:6" x14ac:dyDescent="0.2">
      <c r="F4958"/>
    </row>
    <row r="4959" spans="6:6" x14ac:dyDescent="0.2">
      <c r="F4959"/>
    </row>
    <row r="4960" spans="6:6" x14ac:dyDescent="0.2">
      <c r="F4960"/>
    </row>
    <row r="4961" spans="6:6" x14ac:dyDescent="0.2">
      <c r="F4961"/>
    </row>
    <row r="4962" spans="6:6" x14ac:dyDescent="0.2">
      <c r="F4962"/>
    </row>
    <row r="4963" spans="6:6" x14ac:dyDescent="0.2">
      <c r="F4963"/>
    </row>
    <row r="4964" spans="6:6" x14ac:dyDescent="0.2">
      <c r="F4964"/>
    </row>
    <row r="4965" spans="6:6" x14ac:dyDescent="0.2">
      <c r="F4965"/>
    </row>
    <row r="4966" spans="6:6" x14ac:dyDescent="0.2">
      <c r="F4966"/>
    </row>
    <row r="4967" spans="6:6" x14ac:dyDescent="0.2">
      <c r="F4967"/>
    </row>
    <row r="4968" spans="6:6" x14ac:dyDescent="0.2">
      <c r="F4968"/>
    </row>
    <row r="4969" spans="6:6" x14ac:dyDescent="0.2">
      <c r="F4969"/>
    </row>
    <row r="4970" spans="6:6" x14ac:dyDescent="0.2">
      <c r="F4970"/>
    </row>
    <row r="4971" spans="6:6" x14ac:dyDescent="0.2">
      <c r="F4971"/>
    </row>
    <row r="4972" spans="6:6" x14ac:dyDescent="0.2">
      <c r="F4972"/>
    </row>
    <row r="4973" spans="6:6" x14ac:dyDescent="0.2">
      <c r="F4973"/>
    </row>
    <row r="4974" spans="6:6" x14ac:dyDescent="0.2">
      <c r="F4974"/>
    </row>
    <row r="4975" spans="6:6" x14ac:dyDescent="0.2">
      <c r="F4975"/>
    </row>
    <row r="4976" spans="6:6" x14ac:dyDescent="0.2">
      <c r="F4976"/>
    </row>
    <row r="4977" spans="6:6" x14ac:dyDescent="0.2">
      <c r="F4977"/>
    </row>
    <row r="4978" spans="6:6" x14ac:dyDescent="0.2">
      <c r="F4978"/>
    </row>
    <row r="4979" spans="6:6" x14ac:dyDescent="0.2">
      <c r="F4979"/>
    </row>
    <row r="4980" spans="6:6" x14ac:dyDescent="0.2">
      <c r="F4980"/>
    </row>
    <row r="4981" spans="6:6" x14ac:dyDescent="0.2">
      <c r="F4981"/>
    </row>
    <row r="4982" spans="6:6" x14ac:dyDescent="0.2">
      <c r="F4982"/>
    </row>
    <row r="4983" spans="6:6" x14ac:dyDescent="0.2">
      <c r="F4983"/>
    </row>
    <row r="4984" spans="6:6" x14ac:dyDescent="0.2">
      <c r="F4984"/>
    </row>
    <row r="4985" spans="6:6" x14ac:dyDescent="0.2">
      <c r="F4985"/>
    </row>
    <row r="4986" spans="6:6" x14ac:dyDescent="0.2">
      <c r="F4986"/>
    </row>
    <row r="4987" spans="6:6" x14ac:dyDescent="0.2">
      <c r="F4987"/>
    </row>
    <row r="4988" spans="6:6" x14ac:dyDescent="0.2">
      <c r="F4988"/>
    </row>
    <row r="4989" spans="6:6" x14ac:dyDescent="0.2">
      <c r="F4989"/>
    </row>
    <row r="4990" spans="6:6" x14ac:dyDescent="0.2">
      <c r="F4990"/>
    </row>
    <row r="4991" spans="6:6" x14ac:dyDescent="0.2">
      <c r="F4991"/>
    </row>
    <row r="4992" spans="6:6" x14ac:dyDescent="0.2">
      <c r="F4992"/>
    </row>
    <row r="4993" spans="6:6" x14ac:dyDescent="0.2">
      <c r="F4993"/>
    </row>
    <row r="4994" spans="6:6" x14ac:dyDescent="0.2">
      <c r="F4994"/>
    </row>
    <row r="4995" spans="6:6" x14ac:dyDescent="0.2">
      <c r="F4995"/>
    </row>
    <row r="4996" spans="6:6" x14ac:dyDescent="0.2">
      <c r="F4996"/>
    </row>
    <row r="4997" spans="6:6" x14ac:dyDescent="0.2">
      <c r="F4997"/>
    </row>
    <row r="4998" spans="6:6" x14ac:dyDescent="0.2">
      <c r="F4998"/>
    </row>
    <row r="4999" spans="6:6" x14ac:dyDescent="0.2">
      <c r="F4999"/>
    </row>
    <row r="5000" spans="6:6" x14ac:dyDescent="0.2">
      <c r="F5000"/>
    </row>
    <row r="5001" spans="6:6" x14ac:dyDescent="0.2">
      <c r="F5001"/>
    </row>
    <row r="5002" spans="6:6" x14ac:dyDescent="0.2">
      <c r="F5002"/>
    </row>
    <row r="5003" spans="6:6" x14ac:dyDescent="0.2">
      <c r="F5003"/>
    </row>
    <row r="5004" spans="6:6" x14ac:dyDescent="0.2">
      <c r="F5004"/>
    </row>
    <row r="5005" spans="6:6" x14ac:dyDescent="0.2">
      <c r="F5005"/>
    </row>
    <row r="5006" spans="6:6" x14ac:dyDescent="0.2">
      <c r="F5006"/>
    </row>
    <row r="5007" spans="6:6" x14ac:dyDescent="0.2">
      <c r="F5007"/>
    </row>
    <row r="5008" spans="6:6" x14ac:dyDescent="0.2">
      <c r="F5008"/>
    </row>
    <row r="5009" spans="6:6" x14ac:dyDescent="0.2">
      <c r="F5009"/>
    </row>
    <row r="5010" spans="6:6" x14ac:dyDescent="0.2">
      <c r="F5010"/>
    </row>
    <row r="5011" spans="6:6" x14ac:dyDescent="0.2">
      <c r="F5011"/>
    </row>
    <row r="5012" spans="6:6" x14ac:dyDescent="0.2">
      <c r="F5012"/>
    </row>
    <row r="5013" spans="6:6" x14ac:dyDescent="0.2">
      <c r="F5013"/>
    </row>
    <row r="5014" spans="6:6" x14ac:dyDescent="0.2">
      <c r="F5014"/>
    </row>
    <row r="5015" spans="6:6" x14ac:dyDescent="0.2">
      <c r="F5015"/>
    </row>
    <row r="5016" spans="6:6" x14ac:dyDescent="0.2">
      <c r="F5016"/>
    </row>
    <row r="5017" spans="6:6" x14ac:dyDescent="0.2">
      <c r="F5017"/>
    </row>
    <row r="5018" spans="6:6" x14ac:dyDescent="0.2">
      <c r="F5018"/>
    </row>
    <row r="5019" spans="6:6" x14ac:dyDescent="0.2">
      <c r="F5019"/>
    </row>
    <row r="5020" spans="6:6" x14ac:dyDescent="0.2">
      <c r="F5020"/>
    </row>
    <row r="5021" spans="6:6" x14ac:dyDescent="0.2">
      <c r="F5021"/>
    </row>
    <row r="5022" spans="6:6" x14ac:dyDescent="0.2">
      <c r="F5022"/>
    </row>
    <row r="5023" spans="6:6" x14ac:dyDescent="0.2">
      <c r="F5023"/>
    </row>
    <row r="5024" spans="6:6" x14ac:dyDescent="0.2">
      <c r="F5024"/>
    </row>
    <row r="5025" spans="6:6" x14ac:dyDescent="0.2">
      <c r="F5025"/>
    </row>
    <row r="5026" spans="6:6" x14ac:dyDescent="0.2">
      <c r="F5026"/>
    </row>
    <row r="5027" spans="6:6" x14ac:dyDescent="0.2">
      <c r="F5027"/>
    </row>
    <row r="5028" spans="6:6" x14ac:dyDescent="0.2">
      <c r="F5028"/>
    </row>
    <row r="5029" spans="6:6" x14ac:dyDescent="0.2">
      <c r="F5029"/>
    </row>
    <row r="5030" spans="6:6" x14ac:dyDescent="0.2">
      <c r="F5030"/>
    </row>
    <row r="5031" spans="6:6" x14ac:dyDescent="0.2">
      <c r="F5031"/>
    </row>
    <row r="5032" spans="6:6" x14ac:dyDescent="0.2">
      <c r="F5032"/>
    </row>
    <row r="5033" spans="6:6" x14ac:dyDescent="0.2">
      <c r="F5033"/>
    </row>
    <row r="5034" spans="6:6" x14ac:dyDescent="0.2">
      <c r="F5034"/>
    </row>
    <row r="5035" spans="6:6" x14ac:dyDescent="0.2">
      <c r="F5035"/>
    </row>
    <row r="5036" spans="6:6" x14ac:dyDescent="0.2">
      <c r="F5036"/>
    </row>
    <row r="5037" spans="6:6" x14ac:dyDescent="0.2">
      <c r="F5037"/>
    </row>
    <row r="5038" spans="6:6" x14ac:dyDescent="0.2">
      <c r="F5038"/>
    </row>
    <row r="5039" spans="6:6" x14ac:dyDescent="0.2">
      <c r="F5039"/>
    </row>
    <row r="5040" spans="6:6" x14ac:dyDescent="0.2">
      <c r="F5040"/>
    </row>
    <row r="5041" spans="6:6" x14ac:dyDescent="0.2">
      <c r="F5041"/>
    </row>
    <row r="5042" spans="6:6" x14ac:dyDescent="0.2">
      <c r="F5042"/>
    </row>
    <row r="5043" spans="6:6" x14ac:dyDescent="0.2">
      <c r="F5043"/>
    </row>
    <row r="5044" spans="6:6" x14ac:dyDescent="0.2">
      <c r="F5044"/>
    </row>
    <row r="5045" spans="6:6" x14ac:dyDescent="0.2">
      <c r="F5045"/>
    </row>
    <row r="5046" spans="6:6" x14ac:dyDescent="0.2">
      <c r="F5046"/>
    </row>
    <row r="5047" spans="6:6" x14ac:dyDescent="0.2">
      <c r="F5047"/>
    </row>
    <row r="5048" spans="6:6" x14ac:dyDescent="0.2">
      <c r="F5048"/>
    </row>
    <row r="5049" spans="6:6" x14ac:dyDescent="0.2">
      <c r="F5049"/>
    </row>
    <row r="5050" spans="6:6" x14ac:dyDescent="0.2">
      <c r="F5050"/>
    </row>
    <row r="5051" spans="6:6" x14ac:dyDescent="0.2">
      <c r="F5051"/>
    </row>
    <row r="5052" spans="6:6" x14ac:dyDescent="0.2">
      <c r="F5052"/>
    </row>
    <row r="5053" spans="6:6" x14ac:dyDescent="0.2">
      <c r="F5053"/>
    </row>
    <row r="5054" spans="6:6" x14ac:dyDescent="0.2">
      <c r="F5054"/>
    </row>
    <row r="5055" spans="6:6" x14ac:dyDescent="0.2">
      <c r="F5055"/>
    </row>
    <row r="5056" spans="6:6" x14ac:dyDescent="0.2">
      <c r="F5056"/>
    </row>
    <row r="5057" spans="6:6" x14ac:dyDescent="0.2">
      <c r="F5057"/>
    </row>
    <row r="5058" spans="6:6" x14ac:dyDescent="0.2">
      <c r="F5058"/>
    </row>
    <row r="5059" spans="6:6" x14ac:dyDescent="0.2">
      <c r="F5059"/>
    </row>
    <row r="5060" spans="6:6" x14ac:dyDescent="0.2">
      <c r="F5060"/>
    </row>
    <row r="5061" spans="6:6" x14ac:dyDescent="0.2">
      <c r="F5061"/>
    </row>
    <row r="5062" spans="6:6" x14ac:dyDescent="0.2">
      <c r="F5062"/>
    </row>
    <row r="5063" spans="6:6" x14ac:dyDescent="0.2">
      <c r="F5063"/>
    </row>
    <row r="5064" spans="6:6" x14ac:dyDescent="0.2">
      <c r="F5064"/>
    </row>
    <row r="5065" spans="6:6" x14ac:dyDescent="0.2">
      <c r="F5065"/>
    </row>
    <row r="5066" spans="6:6" x14ac:dyDescent="0.2">
      <c r="F5066"/>
    </row>
    <row r="5067" spans="6:6" x14ac:dyDescent="0.2">
      <c r="F5067"/>
    </row>
    <row r="5068" spans="6:6" x14ac:dyDescent="0.2">
      <c r="F5068"/>
    </row>
    <row r="5069" spans="6:6" x14ac:dyDescent="0.2">
      <c r="F5069"/>
    </row>
    <row r="5070" spans="6:6" x14ac:dyDescent="0.2">
      <c r="F5070"/>
    </row>
    <row r="5071" spans="6:6" x14ac:dyDescent="0.2">
      <c r="F5071"/>
    </row>
    <row r="5072" spans="6:6" x14ac:dyDescent="0.2">
      <c r="F5072"/>
    </row>
    <row r="5073" spans="6:6" x14ac:dyDescent="0.2">
      <c r="F5073"/>
    </row>
    <row r="5074" spans="6:6" x14ac:dyDescent="0.2">
      <c r="F5074"/>
    </row>
    <row r="5075" spans="6:6" x14ac:dyDescent="0.2">
      <c r="F5075"/>
    </row>
    <row r="5076" spans="6:6" x14ac:dyDescent="0.2">
      <c r="F5076"/>
    </row>
    <row r="5077" spans="6:6" x14ac:dyDescent="0.2">
      <c r="F5077"/>
    </row>
    <row r="5078" spans="6:6" x14ac:dyDescent="0.2">
      <c r="F5078"/>
    </row>
    <row r="5079" spans="6:6" x14ac:dyDescent="0.2">
      <c r="F5079"/>
    </row>
    <row r="5080" spans="6:6" x14ac:dyDescent="0.2">
      <c r="F5080"/>
    </row>
    <row r="5081" spans="6:6" x14ac:dyDescent="0.2">
      <c r="F5081"/>
    </row>
    <row r="5082" spans="6:6" x14ac:dyDescent="0.2">
      <c r="F5082"/>
    </row>
    <row r="5083" spans="6:6" x14ac:dyDescent="0.2">
      <c r="F5083"/>
    </row>
    <row r="5084" spans="6:6" x14ac:dyDescent="0.2">
      <c r="F5084"/>
    </row>
    <row r="5085" spans="6:6" x14ac:dyDescent="0.2">
      <c r="F5085"/>
    </row>
    <row r="5086" spans="6:6" x14ac:dyDescent="0.2">
      <c r="F5086"/>
    </row>
    <row r="5087" spans="6:6" x14ac:dyDescent="0.2">
      <c r="F5087"/>
    </row>
    <row r="5088" spans="6:6" x14ac:dyDescent="0.2">
      <c r="F5088"/>
    </row>
    <row r="5089" spans="6:6" x14ac:dyDescent="0.2">
      <c r="F5089"/>
    </row>
    <row r="5090" spans="6:6" x14ac:dyDescent="0.2">
      <c r="F5090"/>
    </row>
    <row r="5091" spans="6:6" x14ac:dyDescent="0.2">
      <c r="F5091"/>
    </row>
    <row r="5092" spans="6:6" x14ac:dyDescent="0.2">
      <c r="F5092"/>
    </row>
    <row r="5093" spans="6:6" x14ac:dyDescent="0.2">
      <c r="F5093"/>
    </row>
    <row r="5094" spans="6:6" x14ac:dyDescent="0.2">
      <c r="F5094"/>
    </row>
    <row r="5095" spans="6:6" x14ac:dyDescent="0.2">
      <c r="F5095"/>
    </row>
    <row r="5096" spans="6:6" x14ac:dyDescent="0.2">
      <c r="F5096"/>
    </row>
    <row r="5097" spans="6:6" x14ac:dyDescent="0.2">
      <c r="F5097"/>
    </row>
    <row r="5098" spans="6:6" x14ac:dyDescent="0.2">
      <c r="F5098"/>
    </row>
    <row r="5099" spans="6:6" x14ac:dyDescent="0.2">
      <c r="F5099"/>
    </row>
    <row r="5100" spans="6:6" x14ac:dyDescent="0.2">
      <c r="F5100"/>
    </row>
    <row r="5101" spans="6:6" x14ac:dyDescent="0.2">
      <c r="F5101"/>
    </row>
    <row r="5102" spans="6:6" x14ac:dyDescent="0.2">
      <c r="F5102"/>
    </row>
    <row r="5103" spans="6:6" x14ac:dyDescent="0.2">
      <c r="F5103"/>
    </row>
    <row r="5104" spans="6:6" x14ac:dyDescent="0.2">
      <c r="F5104"/>
    </row>
    <row r="5105" spans="6:6" x14ac:dyDescent="0.2">
      <c r="F5105"/>
    </row>
    <row r="5106" spans="6:6" x14ac:dyDescent="0.2">
      <c r="F5106"/>
    </row>
    <row r="5107" spans="6:6" x14ac:dyDescent="0.2">
      <c r="F5107"/>
    </row>
    <row r="5108" spans="6:6" x14ac:dyDescent="0.2">
      <c r="F5108"/>
    </row>
    <row r="5109" spans="6:6" x14ac:dyDescent="0.2">
      <c r="F5109"/>
    </row>
    <row r="5110" spans="6:6" x14ac:dyDescent="0.2">
      <c r="F5110"/>
    </row>
    <row r="5111" spans="6:6" x14ac:dyDescent="0.2">
      <c r="F5111"/>
    </row>
    <row r="5112" spans="6:6" x14ac:dyDescent="0.2">
      <c r="F5112"/>
    </row>
    <row r="5113" spans="6:6" x14ac:dyDescent="0.2">
      <c r="F5113"/>
    </row>
    <row r="5114" spans="6:6" x14ac:dyDescent="0.2">
      <c r="F5114"/>
    </row>
    <row r="5115" spans="6:6" x14ac:dyDescent="0.2">
      <c r="F5115"/>
    </row>
    <row r="5116" spans="6:6" x14ac:dyDescent="0.2">
      <c r="F5116"/>
    </row>
    <row r="5117" spans="6:6" x14ac:dyDescent="0.2">
      <c r="F5117"/>
    </row>
    <row r="5118" spans="6:6" x14ac:dyDescent="0.2">
      <c r="F5118"/>
    </row>
    <row r="5119" spans="6:6" x14ac:dyDescent="0.2">
      <c r="F5119"/>
    </row>
    <row r="5120" spans="6:6" x14ac:dyDescent="0.2">
      <c r="F5120"/>
    </row>
    <row r="5121" spans="6:6" x14ac:dyDescent="0.2">
      <c r="F5121"/>
    </row>
    <row r="5122" spans="6:6" x14ac:dyDescent="0.2">
      <c r="F5122"/>
    </row>
    <row r="5123" spans="6:6" x14ac:dyDescent="0.2">
      <c r="F5123"/>
    </row>
    <row r="5124" spans="6:6" x14ac:dyDescent="0.2">
      <c r="F5124"/>
    </row>
    <row r="5125" spans="6:6" x14ac:dyDescent="0.2">
      <c r="F5125"/>
    </row>
    <row r="5126" spans="6:6" x14ac:dyDescent="0.2">
      <c r="F5126"/>
    </row>
    <row r="5127" spans="6:6" x14ac:dyDescent="0.2">
      <c r="F5127"/>
    </row>
    <row r="5128" spans="6:6" x14ac:dyDescent="0.2">
      <c r="F5128"/>
    </row>
    <row r="5129" spans="6:6" x14ac:dyDescent="0.2">
      <c r="F5129"/>
    </row>
    <row r="5130" spans="6:6" x14ac:dyDescent="0.2">
      <c r="F5130"/>
    </row>
    <row r="5131" spans="6:6" x14ac:dyDescent="0.2">
      <c r="F5131"/>
    </row>
    <row r="5132" spans="6:6" x14ac:dyDescent="0.2">
      <c r="F5132"/>
    </row>
    <row r="5133" spans="6:6" x14ac:dyDescent="0.2">
      <c r="F5133"/>
    </row>
    <row r="5134" spans="6:6" x14ac:dyDescent="0.2">
      <c r="F5134"/>
    </row>
    <row r="5135" spans="6:6" x14ac:dyDescent="0.2">
      <c r="F5135"/>
    </row>
    <row r="5136" spans="6:6" x14ac:dyDescent="0.2">
      <c r="F5136"/>
    </row>
    <row r="5137" spans="6:6" x14ac:dyDescent="0.2">
      <c r="F5137"/>
    </row>
    <row r="5138" spans="6:6" x14ac:dyDescent="0.2">
      <c r="F5138"/>
    </row>
    <row r="5139" spans="6:6" x14ac:dyDescent="0.2">
      <c r="F5139"/>
    </row>
    <row r="5140" spans="6:6" x14ac:dyDescent="0.2">
      <c r="F5140"/>
    </row>
    <row r="5141" spans="6:6" x14ac:dyDescent="0.2">
      <c r="F5141"/>
    </row>
    <row r="5142" spans="6:6" x14ac:dyDescent="0.2">
      <c r="F5142"/>
    </row>
    <row r="5143" spans="6:6" x14ac:dyDescent="0.2">
      <c r="F5143"/>
    </row>
    <row r="5144" spans="6:6" x14ac:dyDescent="0.2">
      <c r="F5144"/>
    </row>
    <row r="5145" spans="6:6" x14ac:dyDescent="0.2">
      <c r="F5145"/>
    </row>
    <row r="5146" spans="6:6" x14ac:dyDescent="0.2">
      <c r="F5146"/>
    </row>
    <row r="5147" spans="6:6" x14ac:dyDescent="0.2">
      <c r="F5147"/>
    </row>
    <row r="5148" spans="6:6" x14ac:dyDescent="0.2">
      <c r="F5148"/>
    </row>
    <row r="5149" spans="6:6" x14ac:dyDescent="0.2">
      <c r="F5149"/>
    </row>
    <row r="5150" spans="6:6" x14ac:dyDescent="0.2">
      <c r="F5150"/>
    </row>
    <row r="5151" spans="6:6" x14ac:dyDescent="0.2">
      <c r="F5151"/>
    </row>
    <row r="5152" spans="6:6" x14ac:dyDescent="0.2">
      <c r="F5152"/>
    </row>
    <row r="5153" spans="6:6" x14ac:dyDescent="0.2">
      <c r="F5153"/>
    </row>
    <row r="5154" spans="6:6" x14ac:dyDescent="0.2">
      <c r="F5154"/>
    </row>
    <row r="5155" spans="6:6" x14ac:dyDescent="0.2">
      <c r="F5155"/>
    </row>
    <row r="5156" spans="6:6" x14ac:dyDescent="0.2">
      <c r="F5156"/>
    </row>
    <row r="5157" spans="6:6" x14ac:dyDescent="0.2">
      <c r="F5157"/>
    </row>
    <row r="5158" spans="6:6" x14ac:dyDescent="0.2">
      <c r="F5158"/>
    </row>
    <row r="5159" spans="6:6" x14ac:dyDescent="0.2">
      <c r="F5159"/>
    </row>
    <row r="5160" spans="6:6" x14ac:dyDescent="0.2">
      <c r="F5160"/>
    </row>
    <row r="5161" spans="6:6" x14ac:dyDescent="0.2">
      <c r="F5161"/>
    </row>
    <row r="5162" spans="6:6" x14ac:dyDescent="0.2">
      <c r="F5162"/>
    </row>
    <row r="5163" spans="6:6" x14ac:dyDescent="0.2">
      <c r="F5163"/>
    </row>
    <row r="5164" spans="6:6" x14ac:dyDescent="0.2">
      <c r="F5164"/>
    </row>
    <row r="5165" spans="6:6" x14ac:dyDescent="0.2">
      <c r="F5165"/>
    </row>
    <row r="5166" spans="6:6" x14ac:dyDescent="0.2">
      <c r="F5166"/>
    </row>
    <row r="5167" spans="6:6" x14ac:dyDescent="0.2">
      <c r="F5167"/>
    </row>
    <row r="5168" spans="6:6" x14ac:dyDescent="0.2">
      <c r="F5168"/>
    </row>
    <row r="5169" spans="6:6" x14ac:dyDescent="0.2">
      <c r="F5169"/>
    </row>
    <row r="5170" spans="6:6" x14ac:dyDescent="0.2">
      <c r="F5170"/>
    </row>
    <row r="5171" spans="6:6" x14ac:dyDescent="0.2">
      <c r="F5171"/>
    </row>
    <row r="5172" spans="6:6" x14ac:dyDescent="0.2">
      <c r="F5172"/>
    </row>
    <row r="5173" spans="6:6" x14ac:dyDescent="0.2">
      <c r="F5173"/>
    </row>
    <row r="5174" spans="6:6" x14ac:dyDescent="0.2">
      <c r="F5174"/>
    </row>
    <row r="5175" spans="6:6" x14ac:dyDescent="0.2">
      <c r="F5175"/>
    </row>
    <row r="5176" spans="6:6" x14ac:dyDescent="0.2">
      <c r="F5176"/>
    </row>
    <row r="5177" spans="6:6" x14ac:dyDescent="0.2">
      <c r="F5177"/>
    </row>
    <row r="5178" spans="6:6" x14ac:dyDescent="0.2">
      <c r="F5178"/>
    </row>
    <row r="5179" spans="6:6" x14ac:dyDescent="0.2">
      <c r="F5179"/>
    </row>
    <row r="5180" spans="6:6" x14ac:dyDescent="0.2">
      <c r="F5180"/>
    </row>
    <row r="5181" spans="6:6" x14ac:dyDescent="0.2">
      <c r="F5181"/>
    </row>
    <row r="5182" spans="6:6" x14ac:dyDescent="0.2">
      <c r="F5182"/>
    </row>
    <row r="5183" spans="6:6" x14ac:dyDescent="0.2">
      <c r="F5183"/>
    </row>
    <row r="5184" spans="6:6" x14ac:dyDescent="0.2">
      <c r="F5184"/>
    </row>
    <row r="5185" spans="6:6" x14ac:dyDescent="0.2">
      <c r="F5185"/>
    </row>
    <row r="5186" spans="6:6" x14ac:dyDescent="0.2">
      <c r="F5186"/>
    </row>
    <row r="5187" spans="6:6" x14ac:dyDescent="0.2">
      <c r="F5187"/>
    </row>
    <row r="5188" spans="6:6" x14ac:dyDescent="0.2">
      <c r="F5188"/>
    </row>
    <row r="5189" spans="6:6" x14ac:dyDescent="0.2">
      <c r="F5189"/>
    </row>
    <row r="5190" spans="6:6" x14ac:dyDescent="0.2">
      <c r="F5190"/>
    </row>
    <row r="5191" spans="6:6" x14ac:dyDescent="0.2">
      <c r="F5191"/>
    </row>
    <row r="5192" spans="6:6" x14ac:dyDescent="0.2">
      <c r="F5192"/>
    </row>
    <row r="5193" spans="6:6" x14ac:dyDescent="0.2">
      <c r="F5193"/>
    </row>
    <row r="5194" spans="6:6" x14ac:dyDescent="0.2">
      <c r="F5194"/>
    </row>
    <row r="5195" spans="6:6" x14ac:dyDescent="0.2">
      <c r="F5195"/>
    </row>
    <row r="5196" spans="6:6" x14ac:dyDescent="0.2">
      <c r="F5196"/>
    </row>
    <row r="5197" spans="6:6" x14ac:dyDescent="0.2">
      <c r="F5197"/>
    </row>
    <row r="5198" spans="6:6" x14ac:dyDescent="0.2">
      <c r="F5198"/>
    </row>
    <row r="5199" spans="6:6" x14ac:dyDescent="0.2">
      <c r="F5199"/>
    </row>
    <row r="5200" spans="6:6" x14ac:dyDescent="0.2">
      <c r="F5200"/>
    </row>
    <row r="5201" spans="6:6" x14ac:dyDescent="0.2">
      <c r="F5201"/>
    </row>
    <row r="5202" spans="6:6" x14ac:dyDescent="0.2">
      <c r="F5202"/>
    </row>
    <row r="5203" spans="6:6" x14ac:dyDescent="0.2">
      <c r="F5203"/>
    </row>
    <row r="5204" spans="6:6" x14ac:dyDescent="0.2">
      <c r="F5204"/>
    </row>
    <row r="5205" spans="6:6" x14ac:dyDescent="0.2">
      <c r="F5205"/>
    </row>
    <row r="5206" spans="6:6" x14ac:dyDescent="0.2">
      <c r="F5206"/>
    </row>
    <row r="5207" spans="6:6" x14ac:dyDescent="0.2">
      <c r="F5207"/>
    </row>
    <row r="5208" spans="6:6" x14ac:dyDescent="0.2">
      <c r="F5208"/>
    </row>
    <row r="5209" spans="6:6" x14ac:dyDescent="0.2">
      <c r="F5209"/>
    </row>
    <row r="5210" spans="6:6" x14ac:dyDescent="0.2">
      <c r="F5210"/>
    </row>
    <row r="5211" spans="6:6" x14ac:dyDescent="0.2">
      <c r="F5211"/>
    </row>
    <row r="5212" spans="6:6" x14ac:dyDescent="0.2">
      <c r="F5212"/>
    </row>
    <row r="5213" spans="6:6" x14ac:dyDescent="0.2">
      <c r="F5213"/>
    </row>
    <row r="5214" spans="6:6" x14ac:dyDescent="0.2">
      <c r="F5214"/>
    </row>
    <row r="5215" spans="6:6" x14ac:dyDescent="0.2">
      <c r="F5215"/>
    </row>
    <row r="5216" spans="6:6" x14ac:dyDescent="0.2">
      <c r="F5216"/>
    </row>
    <row r="5217" spans="6:6" x14ac:dyDescent="0.2">
      <c r="F5217"/>
    </row>
    <row r="5218" spans="6:6" x14ac:dyDescent="0.2">
      <c r="F5218"/>
    </row>
    <row r="5219" spans="6:6" x14ac:dyDescent="0.2">
      <c r="F5219"/>
    </row>
    <row r="5220" spans="6:6" x14ac:dyDescent="0.2">
      <c r="F5220"/>
    </row>
    <row r="5221" spans="6:6" x14ac:dyDescent="0.2">
      <c r="F5221"/>
    </row>
    <row r="5222" spans="6:6" x14ac:dyDescent="0.2">
      <c r="F5222"/>
    </row>
    <row r="5223" spans="6:6" x14ac:dyDescent="0.2">
      <c r="F5223"/>
    </row>
    <row r="5224" spans="6:6" x14ac:dyDescent="0.2">
      <c r="F5224"/>
    </row>
    <row r="5225" spans="6:6" x14ac:dyDescent="0.2">
      <c r="F5225"/>
    </row>
    <row r="5226" spans="6:6" x14ac:dyDescent="0.2">
      <c r="F5226"/>
    </row>
    <row r="5227" spans="6:6" x14ac:dyDescent="0.2">
      <c r="F5227"/>
    </row>
    <row r="5228" spans="6:6" x14ac:dyDescent="0.2">
      <c r="F5228"/>
    </row>
    <row r="5229" spans="6:6" x14ac:dyDescent="0.2">
      <c r="F5229"/>
    </row>
    <row r="5230" spans="6:6" x14ac:dyDescent="0.2">
      <c r="F5230"/>
    </row>
    <row r="5231" spans="6:6" x14ac:dyDescent="0.2">
      <c r="F5231"/>
    </row>
    <row r="5232" spans="6:6" x14ac:dyDescent="0.2">
      <c r="F5232"/>
    </row>
    <row r="5233" spans="6:6" x14ac:dyDescent="0.2">
      <c r="F5233"/>
    </row>
    <row r="5234" spans="6:6" x14ac:dyDescent="0.2">
      <c r="F5234"/>
    </row>
    <row r="5235" spans="6:6" x14ac:dyDescent="0.2">
      <c r="F5235"/>
    </row>
    <row r="5236" spans="6:6" x14ac:dyDescent="0.2">
      <c r="F5236"/>
    </row>
    <row r="5237" spans="6:6" x14ac:dyDescent="0.2">
      <c r="F5237"/>
    </row>
    <row r="5238" spans="6:6" x14ac:dyDescent="0.2">
      <c r="F5238"/>
    </row>
    <row r="5239" spans="6:6" x14ac:dyDescent="0.2">
      <c r="F5239"/>
    </row>
    <row r="5240" spans="6:6" x14ac:dyDescent="0.2">
      <c r="F5240"/>
    </row>
    <row r="5241" spans="6:6" x14ac:dyDescent="0.2">
      <c r="F5241"/>
    </row>
    <row r="5242" spans="6:6" x14ac:dyDescent="0.2">
      <c r="F5242"/>
    </row>
    <row r="5243" spans="6:6" x14ac:dyDescent="0.2">
      <c r="F5243"/>
    </row>
    <row r="5244" spans="6:6" x14ac:dyDescent="0.2">
      <c r="F5244"/>
    </row>
    <row r="5245" spans="6:6" x14ac:dyDescent="0.2">
      <c r="F5245"/>
    </row>
    <row r="5246" spans="6:6" x14ac:dyDescent="0.2">
      <c r="F5246"/>
    </row>
    <row r="5247" spans="6:6" x14ac:dyDescent="0.2">
      <c r="F5247"/>
    </row>
    <row r="5248" spans="6:6" x14ac:dyDescent="0.2">
      <c r="F5248"/>
    </row>
    <row r="5249" spans="6:6" x14ac:dyDescent="0.2">
      <c r="F5249"/>
    </row>
    <row r="5250" spans="6:6" x14ac:dyDescent="0.2">
      <c r="F5250"/>
    </row>
    <row r="5251" spans="6:6" x14ac:dyDescent="0.2">
      <c r="F5251"/>
    </row>
    <row r="5252" spans="6:6" x14ac:dyDescent="0.2">
      <c r="F5252"/>
    </row>
    <row r="5253" spans="6:6" x14ac:dyDescent="0.2">
      <c r="F5253"/>
    </row>
    <row r="5254" spans="6:6" x14ac:dyDescent="0.2">
      <c r="F5254"/>
    </row>
    <row r="5255" spans="6:6" x14ac:dyDescent="0.2">
      <c r="F5255"/>
    </row>
    <row r="5256" spans="6:6" x14ac:dyDescent="0.2">
      <c r="F5256"/>
    </row>
    <row r="5257" spans="6:6" x14ac:dyDescent="0.2">
      <c r="F5257"/>
    </row>
    <row r="5258" spans="6:6" x14ac:dyDescent="0.2">
      <c r="F5258"/>
    </row>
    <row r="5259" spans="6:6" x14ac:dyDescent="0.2">
      <c r="F5259"/>
    </row>
    <row r="5260" spans="6:6" x14ac:dyDescent="0.2">
      <c r="F5260"/>
    </row>
    <row r="5261" spans="6:6" x14ac:dyDescent="0.2">
      <c r="F5261"/>
    </row>
    <row r="5262" spans="6:6" x14ac:dyDescent="0.2">
      <c r="F5262"/>
    </row>
    <row r="5263" spans="6:6" x14ac:dyDescent="0.2">
      <c r="F5263"/>
    </row>
    <row r="5264" spans="6:6" x14ac:dyDescent="0.2">
      <c r="F5264"/>
    </row>
    <row r="5265" spans="6:6" x14ac:dyDescent="0.2">
      <c r="F5265"/>
    </row>
    <row r="5266" spans="6:6" x14ac:dyDescent="0.2">
      <c r="F5266"/>
    </row>
    <row r="5267" spans="6:6" x14ac:dyDescent="0.2">
      <c r="F5267"/>
    </row>
    <row r="5268" spans="6:6" x14ac:dyDescent="0.2">
      <c r="F5268"/>
    </row>
    <row r="5269" spans="6:6" x14ac:dyDescent="0.2">
      <c r="F5269"/>
    </row>
    <row r="5270" spans="6:6" x14ac:dyDescent="0.2">
      <c r="F5270"/>
    </row>
    <row r="5271" spans="6:6" x14ac:dyDescent="0.2">
      <c r="F5271"/>
    </row>
    <row r="5272" spans="6:6" x14ac:dyDescent="0.2">
      <c r="F5272"/>
    </row>
    <row r="5273" spans="6:6" x14ac:dyDescent="0.2">
      <c r="F5273"/>
    </row>
    <row r="5274" spans="6:6" x14ac:dyDescent="0.2">
      <c r="F5274"/>
    </row>
    <row r="5275" spans="6:6" x14ac:dyDescent="0.2">
      <c r="F5275"/>
    </row>
    <row r="5276" spans="6:6" x14ac:dyDescent="0.2">
      <c r="F5276"/>
    </row>
    <row r="5277" spans="6:6" x14ac:dyDescent="0.2">
      <c r="F5277"/>
    </row>
    <row r="5278" spans="6:6" x14ac:dyDescent="0.2">
      <c r="F5278"/>
    </row>
    <row r="5279" spans="6:6" x14ac:dyDescent="0.2">
      <c r="F5279"/>
    </row>
    <row r="5280" spans="6:6" x14ac:dyDescent="0.2">
      <c r="F5280"/>
    </row>
    <row r="5281" spans="6:6" x14ac:dyDescent="0.2">
      <c r="F5281"/>
    </row>
    <row r="5282" spans="6:6" x14ac:dyDescent="0.2">
      <c r="F5282"/>
    </row>
    <row r="5283" spans="6:6" x14ac:dyDescent="0.2">
      <c r="F5283"/>
    </row>
    <row r="5284" spans="6:6" x14ac:dyDescent="0.2">
      <c r="F5284"/>
    </row>
    <row r="5285" spans="6:6" x14ac:dyDescent="0.2">
      <c r="F5285"/>
    </row>
    <row r="5286" spans="6:6" x14ac:dyDescent="0.2">
      <c r="F5286"/>
    </row>
    <row r="5287" spans="6:6" x14ac:dyDescent="0.2">
      <c r="F5287"/>
    </row>
    <row r="5288" spans="6:6" x14ac:dyDescent="0.2">
      <c r="F5288"/>
    </row>
    <row r="5289" spans="6:6" x14ac:dyDescent="0.2">
      <c r="F5289"/>
    </row>
    <row r="5290" spans="6:6" x14ac:dyDescent="0.2">
      <c r="F5290"/>
    </row>
    <row r="5291" spans="6:6" x14ac:dyDescent="0.2">
      <c r="F5291"/>
    </row>
    <row r="5292" spans="6:6" x14ac:dyDescent="0.2">
      <c r="F5292"/>
    </row>
    <row r="5293" spans="6:6" x14ac:dyDescent="0.2">
      <c r="F5293"/>
    </row>
    <row r="5294" spans="6:6" x14ac:dyDescent="0.2">
      <c r="F5294"/>
    </row>
    <row r="5295" spans="6:6" x14ac:dyDescent="0.2">
      <c r="F5295"/>
    </row>
    <row r="5296" spans="6:6" x14ac:dyDescent="0.2">
      <c r="F5296"/>
    </row>
    <row r="5297" spans="6:6" x14ac:dyDescent="0.2">
      <c r="F5297"/>
    </row>
    <row r="5298" spans="6:6" x14ac:dyDescent="0.2">
      <c r="F5298"/>
    </row>
    <row r="5299" spans="6:6" x14ac:dyDescent="0.2">
      <c r="F5299"/>
    </row>
    <row r="5300" spans="6:6" x14ac:dyDescent="0.2">
      <c r="F5300"/>
    </row>
    <row r="5301" spans="6:6" x14ac:dyDescent="0.2">
      <c r="F5301"/>
    </row>
    <row r="5302" spans="6:6" x14ac:dyDescent="0.2">
      <c r="F5302"/>
    </row>
    <row r="5303" spans="6:6" x14ac:dyDescent="0.2">
      <c r="F5303"/>
    </row>
    <row r="5304" spans="6:6" x14ac:dyDescent="0.2">
      <c r="F5304"/>
    </row>
    <row r="5305" spans="6:6" x14ac:dyDescent="0.2">
      <c r="F5305"/>
    </row>
    <row r="5306" spans="6:6" x14ac:dyDescent="0.2">
      <c r="F5306"/>
    </row>
    <row r="5307" spans="6:6" x14ac:dyDescent="0.2">
      <c r="F5307"/>
    </row>
    <row r="5308" spans="6:6" x14ac:dyDescent="0.2">
      <c r="F5308"/>
    </row>
    <row r="5309" spans="6:6" x14ac:dyDescent="0.2">
      <c r="F5309"/>
    </row>
    <row r="5310" spans="6:6" x14ac:dyDescent="0.2">
      <c r="F5310"/>
    </row>
    <row r="5311" spans="6:6" x14ac:dyDescent="0.2">
      <c r="F5311"/>
    </row>
    <row r="5312" spans="6:6" x14ac:dyDescent="0.2">
      <c r="F5312"/>
    </row>
    <row r="5313" spans="6:6" x14ac:dyDescent="0.2">
      <c r="F5313"/>
    </row>
    <row r="5314" spans="6:6" x14ac:dyDescent="0.2">
      <c r="F5314"/>
    </row>
    <row r="5315" spans="6:6" x14ac:dyDescent="0.2">
      <c r="F5315"/>
    </row>
    <row r="5316" spans="6:6" x14ac:dyDescent="0.2">
      <c r="F5316"/>
    </row>
    <row r="5317" spans="6:6" x14ac:dyDescent="0.2">
      <c r="F5317"/>
    </row>
    <row r="5318" spans="6:6" x14ac:dyDescent="0.2">
      <c r="F5318"/>
    </row>
    <row r="5319" spans="6:6" x14ac:dyDescent="0.2">
      <c r="F5319"/>
    </row>
    <row r="5320" spans="6:6" x14ac:dyDescent="0.2">
      <c r="F5320"/>
    </row>
    <row r="5321" spans="6:6" x14ac:dyDescent="0.2">
      <c r="F5321"/>
    </row>
    <row r="5322" spans="6:6" x14ac:dyDescent="0.2">
      <c r="F5322"/>
    </row>
    <row r="5323" spans="6:6" x14ac:dyDescent="0.2">
      <c r="F5323"/>
    </row>
    <row r="5324" spans="6:6" x14ac:dyDescent="0.2">
      <c r="F5324"/>
    </row>
    <row r="5325" spans="6:6" x14ac:dyDescent="0.2">
      <c r="F5325"/>
    </row>
    <row r="5326" spans="6:6" x14ac:dyDescent="0.2">
      <c r="F5326"/>
    </row>
    <row r="5327" spans="6:6" x14ac:dyDescent="0.2">
      <c r="F5327"/>
    </row>
    <row r="5328" spans="6:6" x14ac:dyDescent="0.2">
      <c r="F5328"/>
    </row>
    <row r="5329" spans="6:6" x14ac:dyDescent="0.2">
      <c r="F5329"/>
    </row>
    <row r="5330" spans="6:6" x14ac:dyDescent="0.2">
      <c r="F5330"/>
    </row>
    <row r="5331" spans="6:6" x14ac:dyDescent="0.2">
      <c r="F5331"/>
    </row>
    <row r="5332" spans="6:6" x14ac:dyDescent="0.2">
      <c r="F5332"/>
    </row>
    <row r="5333" spans="6:6" x14ac:dyDescent="0.2">
      <c r="F5333"/>
    </row>
    <row r="5334" spans="6:6" x14ac:dyDescent="0.2">
      <c r="F5334"/>
    </row>
    <row r="5335" spans="6:6" x14ac:dyDescent="0.2">
      <c r="F5335"/>
    </row>
    <row r="5336" spans="6:6" x14ac:dyDescent="0.2">
      <c r="F5336"/>
    </row>
    <row r="5337" spans="6:6" x14ac:dyDescent="0.2">
      <c r="F5337"/>
    </row>
    <row r="5338" spans="6:6" x14ac:dyDescent="0.2">
      <c r="F5338"/>
    </row>
    <row r="5339" spans="6:6" x14ac:dyDescent="0.2">
      <c r="F5339"/>
    </row>
    <row r="5340" spans="6:6" x14ac:dyDescent="0.2">
      <c r="F5340"/>
    </row>
    <row r="5341" spans="6:6" x14ac:dyDescent="0.2">
      <c r="F5341"/>
    </row>
    <row r="5342" spans="6:6" x14ac:dyDescent="0.2">
      <c r="F5342"/>
    </row>
    <row r="5343" spans="6:6" x14ac:dyDescent="0.2">
      <c r="F5343"/>
    </row>
    <row r="5344" spans="6:6" x14ac:dyDescent="0.2">
      <c r="F5344"/>
    </row>
    <row r="5345" spans="6:6" x14ac:dyDescent="0.2">
      <c r="F5345"/>
    </row>
    <row r="5346" spans="6:6" x14ac:dyDescent="0.2">
      <c r="F5346"/>
    </row>
    <row r="5347" spans="6:6" x14ac:dyDescent="0.2">
      <c r="F5347"/>
    </row>
    <row r="5348" spans="6:6" x14ac:dyDescent="0.2">
      <c r="F5348"/>
    </row>
    <row r="5349" spans="6:6" x14ac:dyDescent="0.2">
      <c r="F5349"/>
    </row>
    <row r="5350" spans="6:6" x14ac:dyDescent="0.2">
      <c r="F5350"/>
    </row>
    <row r="5351" spans="6:6" x14ac:dyDescent="0.2">
      <c r="F5351"/>
    </row>
    <row r="5352" spans="6:6" x14ac:dyDescent="0.2">
      <c r="F5352"/>
    </row>
    <row r="5353" spans="6:6" x14ac:dyDescent="0.2">
      <c r="F5353"/>
    </row>
    <row r="5354" spans="6:6" x14ac:dyDescent="0.2">
      <c r="F5354"/>
    </row>
    <row r="5355" spans="6:6" x14ac:dyDescent="0.2">
      <c r="F5355"/>
    </row>
    <row r="5356" spans="6:6" x14ac:dyDescent="0.2">
      <c r="F5356"/>
    </row>
    <row r="5357" spans="6:6" x14ac:dyDescent="0.2">
      <c r="F5357"/>
    </row>
    <row r="5358" spans="6:6" x14ac:dyDescent="0.2">
      <c r="F5358"/>
    </row>
    <row r="5359" spans="6:6" x14ac:dyDescent="0.2">
      <c r="F5359"/>
    </row>
    <row r="5360" spans="6:6" x14ac:dyDescent="0.2">
      <c r="F5360"/>
    </row>
    <row r="5361" spans="6:6" x14ac:dyDescent="0.2">
      <c r="F5361"/>
    </row>
    <row r="5362" spans="6:6" x14ac:dyDescent="0.2">
      <c r="F5362"/>
    </row>
    <row r="5363" spans="6:6" x14ac:dyDescent="0.2">
      <c r="F5363"/>
    </row>
    <row r="5364" spans="6:6" x14ac:dyDescent="0.2">
      <c r="F5364"/>
    </row>
    <row r="5365" spans="6:6" x14ac:dyDescent="0.2">
      <c r="F5365"/>
    </row>
    <row r="5366" spans="6:6" x14ac:dyDescent="0.2">
      <c r="F5366"/>
    </row>
    <row r="5367" spans="6:6" x14ac:dyDescent="0.2">
      <c r="F5367"/>
    </row>
    <row r="5368" spans="6:6" x14ac:dyDescent="0.2">
      <c r="F5368"/>
    </row>
    <row r="5369" spans="6:6" x14ac:dyDescent="0.2">
      <c r="F5369"/>
    </row>
    <row r="5370" spans="6:6" x14ac:dyDescent="0.2">
      <c r="F5370"/>
    </row>
    <row r="5371" spans="6:6" x14ac:dyDescent="0.2">
      <c r="F5371"/>
    </row>
    <row r="5372" spans="6:6" x14ac:dyDescent="0.2">
      <c r="F5372"/>
    </row>
    <row r="5373" spans="6:6" x14ac:dyDescent="0.2">
      <c r="F5373"/>
    </row>
    <row r="5374" spans="6:6" x14ac:dyDescent="0.2">
      <c r="F5374"/>
    </row>
    <row r="5375" spans="6:6" x14ac:dyDescent="0.2">
      <c r="F5375"/>
    </row>
    <row r="5376" spans="6:6" x14ac:dyDescent="0.2">
      <c r="F5376"/>
    </row>
    <row r="5377" spans="6:6" x14ac:dyDescent="0.2">
      <c r="F5377"/>
    </row>
    <row r="5378" spans="6:6" x14ac:dyDescent="0.2">
      <c r="F5378"/>
    </row>
    <row r="5379" spans="6:6" x14ac:dyDescent="0.2">
      <c r="F5379"/>
    </row>
    <row r="5380" spans="6:6" x14ac:dyDescent="0.2">
      <c r="F5380"/>
    </row>
    <row r="5381" spans="6:6" x14ac:dyDescent="0.2">
      <c r="F5381"/>
    </row>
    <row r="5382" spans="6:6" x14ac:dyDescent="0.2">
      <c r="F5382"/>
    </row>
    <row r="5383" spans="6:6" x14ac:dyDescent="0.2">
      <c r="F5383"/>
    </row>
    <row r="5384" spans="6:6" x14ac:dyDescent="0.2">
      <c r="F5384"/>
    </row>
    <row r="5385" spans="6:6" x14ac:dyDescent="0.2">
      <c r="F5385"/>
    </row>
    <row r="5386" spans="6:6" x14ac:dyDescent="0.2">
      <c r="F5386"/>
    </row>
    <row r="5387" spans="6:6" x14ac:dyDescent="0.2">
      <c r="F5387"/>
    </row>
    <row r="5388" spans="6:6" x14ac:dyDescent="0.2">
      <c r="F5388"/>
    </row>
    <row r="5389" spans="6:6" x14ac:dyDescent="0.2">
      <c r="F5389"/>
    </row>
    <row r="5390" spans="6:6" x14ac:dyDescent="0.2">
      <c r="F5390"/>
    </row>
    <row r="5391" spans="6:6" x14ac:dyDescent="0.2">
      <c r="F5391"/>
    </row>
    <row r="5392" spans="6:6" x14ac:dyDescent="0.2">
      <c r="F5392"/>
    </row>
    <row r="5393" spans="6:6" x14ac:dyDescent="0.2">
      <c r="F5393"/>
    </row>
    <row r="5394" spans="6:6" x14ac:dyDescent="0.2">
      <c r="F5394"/>
    </row>
    <row r="5395" spans="6:6" x14ac:dyDescent="0.2">
      <c r="F5395"/>
    </row>
    <row r="5396" spans="6:6" x14ac:dyDescent="0.2">
      <c r="F5396"/>
    </row>
    <row r="5397" spans="6:6" x14ac:dyDescent="0.2">
      <c r="F5397"/>
    </row>
    <row r="5398" spans="6:6" x14ac:dyDescent="0.2">
      <c r="F5398"/>
    </row>
    <row r="5399" spans="6:6" x14ac:dyDescent="0.2">
      <c r="F5399"/>
    </row>
    <row r="5400" spans="6:6" x14ac:dyDescent="0.2">
      <c r="F5400"/>
    </row>
    <row r="5401" spans="6:6" x14ac:dyDescent="0.2">
      <c r="F5401"/>
    </row>
    <row r="5402" spans="6:6" x14ac:dyDescent="0.2">
      <c r="F5402"/>
    </row>
    <row r="5403" spans="6:6" x14ac:dyDescent="0.2">
      <c r="F5403"/>
    </row>
    <row r="5404" spans="6:6" x14ac:dyDescent="0.2">
      <c r="F5404"/>
    </row>
    <row r="5405" spans="6:6" x14ac:dyDescent="0.2">
      <c r="F5405"/>
    </row>
    <row r="5406" spans="6:6" x14ac:dyDescent="0.2">
      <c r="F5406"/>
    </row>
    <row r="5407" spans="6:6" x14ac:dyDescent="0.2">
      <c r="F5407"/>
    </row>
    <row r="5408" spans="6:6" x14ac:dyDescent="0.2">
      <c r="F5408"/>
    </row>
    <row r="5409" spans="6:6" x14ac:dyDescent="0.2">
      <c r="F5409"/>
    </row>
    <row r="5410" spans="6:6" x14ac:dyDescent="0.2">
      <c r="F5410"/>
    </row>
    <row r="5411" spans="6:6" x14ac:dyDescent="0.2">
      <c r="F5411"/>
    </row>
    <row r="5412" spans="6:6" x14ac:dyDescent="0.2">
      <c r="F5412"/>
    </row>
    <row r="5413" spans="6:6" x14ac:dyDescent="0.2">
      <c r="F5413"/>
    </row>
    <row r="5414" spans="6:6" x14ac:dyDescent="0.2">
      <c r="F5414"/>
    </row>
    <row r="5415" spans="6:6" x14ac:dyDescent="0.2">
      <c r="F5415"/>
    </row>
    <row r="5416" spans="6:6" x14ac:dyDescent="0.2">
      <c r="F5416"/>
    </row>
    <row r="5417" spans="6:6" x14ac:dyDescent="0.2">
      <c r="F5417"/>
    </row>
    <row r="5418" spans="6:6" x14ac:dyDescent="0.2">
      <c r="F5418"/>
    </row>
    <row r="5419" spans="6:6" x14ac:dyDescent="0.2">
      <c r="F5419"/>
    </row>
    <row r="5420" spans="6:6" x14ac:dyDescent="0.2">
      <c r="F5420"/>
    </row>
    <row r="5421" spans="6:6" x14ac:dyDescent="0.2">
      <c r="F5421"/>
    </row>
    <row r="5422" spans="6:6" x14ac:dyDescent="0.2">
      <c r="F5422"/>
    </row>
    <row r="5423" spans="6:6" x14ac:dyDescent="0.2">
      <c r="F5423"/>
    </row>
    <row r="5424" spans="6:6" x14ac:dyDescent="0.2">
      <c r="F5424"/>
    </row>
    <row r="5425" spans="6:6" x14ac:dyDescent="0.2">
      <c r="F5425"/>
    </row>
    <row r="5426" spans="6:6" x14ac:dyDescent="0.2">
      <c r="F5426"/>
    </row>
    <row r="5427" spans="6:6" x14ac:dyDescent="0.2">
      <c r="F5427"/>
    </row>
    <row r="5428" spans="6:6" x14ac:dyDescent="0.2">
      <c r="F5428"/>
    </row>
    <row r="5429" spans="6:6" x14ac:dyDescent="0.2">
      <c r="F5429"/>
    </row>
    <row r="5430" spans="6:6" x14ac:dyDescent="0.2">
      <c r="F5430"/>
    </row>
    <row r="5431" spans="6:6" x14ac:dyDescent="0.2">
      <c r="F5431"/>
    </row>
    <row r="5432" spans="6:6" x14ac:dyDescent="0.2">
      <c r="F5432"/>
    </row>
    <row r="5433" spans="6:6" x14ac:dyDescent="0.2">
      <c r="F5433"/>
    </row>
    <row r="5434" spans="6:6" x14ac:dyDescent="0.2">
      <c r="F5434"/>
    </row>
    <row r="5435" spans="6:6" x14ac:dyDescent="0.2">
      <c r="F5435"/>
    </row>
    <row r="5436" spans="6:6" x14ac:dyDescent="0.2">
      <c r="F5436"/>
    </row>
    <row r="5437" spans="6:6" x14ac:dyDescent="0.2">
      <c r="F5437"/>
    </row>
    <row r="5438" spans="6:6" x14ac:dyDescent="0.2">
      <c r="F5438"/>
    </row>
    <row r="5439" spans="6:6" x14ac:dyDescent="0.2">
      <c r="F5439"/>
    </row>
    <row r="5440" spans="6:6" x14ac:dyDescent="0.2">
      <c r="F5440"/>
    </row>
    <row r="5441" spans="6:6" x14ac:dyDescent="0.2">
      <c r="F5441"/>
    </row>
    <row r="5442" spans="6:6" x14ac:dyDescent="0.2">
      <c r="F5442"/>
    </row>
    <row r="5443" spans="6:6" x14ac:dyDescent="0.2">
      <c r="F5443"/>
    </row>
    <row r="5444" spans="6:6" x14ac:dyDescent="0.2">
      <c r="F5444"/>
    </row>
    <row r="5445" spans="6:6" x14ac:dyDescent="0.2">
      <c r="F5445"/>
    </row>
    <row r="5446" spans="6:6" x14ac:dyDescent="0.2">
      <c r="F5446"/>
    </row>
    <row r="5447" spans="6:6" x14ac:dyDescent="0.2">
      <c r="F5447"/>
    </row>
    <row r="5448" spans="6:6" x14ac:dyDescent="0.2">
      <c r="F5448"/>
    </row>
    <row r="5449" spans="6:6" x14ac:dyDescent="0.2">
      <c r="F5449"/>
    </row>
    <row r="5450" spans="6:6" x14ac:dyDescent="0.2">
      <c r="F5450"/>
    </row>
    <row r="5451" spans="6:6" x14ac:dyDescent="0.2">
      <c r="F5451"/>
    </row>
    <row r="5452" spans="6:6" x14ac:dyDescent="0.2">
      <c r="F5452"/>
    </row>
    <row r="5453" spans="6:6" x14ac:dyDescent="0.2">
      <c r="F5453"/>
    </row>
    <row r="5454" spans="6:6" x14ac:dyDescent="0.2">
      <c r="F5454"/>
    </row>
    <row r="5455" spans="6:6" x14ac:dyDescent="0.2">
      <c r="F5455"/>
    </row>
    <row r="5456" spans="6:6" x14ac:dyDescent="0.2">
      <c r="F5456"/>
    </row>
    <row r="5457" spans="6:6" x14ac:dyDescent="0.2">
      <c r="F5457"/>
    </row>
    <row r="5458" spans="6:6" x14ac:dyDescent="0.2">
      <c r="F5458"/>
    </row>
    <row r="5459" spans="6:6" x14ac:dyDescent="0.2">
      <c r="F5459"/>
    </row>
    <row r="5460" spans="6:6" x14ac:dyDescent="0.2">
      <c r="F5460"/>
    </row>
    <row r="5461" spans="6:6" x14ac:dyDescent="0.2">
      <c r="F5461"/>
    </row>
    <row r="5462" spans="6:6" x14ac:dyDescent="0.2">
      <c r="F5462"/>
    </row>
    <row r="5463" spans="6:6" x14ac:dyDescent="0.2">
      <c r="F5463"/>
    </row>
    <row r="5464" spans="6:6" x14ac:dyDescent="0.2">
      <c r="F5464"/>
    </row>
    <row r="5465" spans="6:6" x14ac:dyDescent="0.2">
      <c r="F5465"/>
    </row>
    <row r="5466" spans="6:6" x14ac:dyDescent="0.2">
      <c r="F5466"/>
    </row>
    <row r="5467" spans="6:6" x14ac:dyDescent="0.2">
      <c r="F5467"/>
    </row>
    <row r="5468" spans="6:6" x14ac:dyDescent="0.2">
      <c r="F5468"/>
    </row>
    <row r="5469" spans="6:6" x14ac:dyDescent="0.2">
      <c r="F5469"/>
    </row>
    <row r="5470" spans="6:6" x14ac:dyDescent="0.2">
      <c r="F5470"/>
    </row>
    <row r="5471" spans="6:6" x14ac:dyDescent="0.2">
      <c r="F5471"/>
    </row>
    <row r="5472" spans="6:6" x14ac:dyDescent="0.2">
      <c r="F5472"/>
    </row>
    <row r="5473" spans="6:6" x14ac:dyDescent="0.2">
      <c r="F5473"/>
    </row>
    <row r="5474" spans="6:6" x14ac:dyDescent="0.2">
      <c r="F5474"/>
    </row>
    <row r="5475" spans="6:6" x14ac:dyDescent="0.2">
      <c r="F5475"/>
    </row>
    <row r="5476" spans="6:6" x14ac:dyDescent="0.2">
      <c r="F5476"/>
    </row>
    <row r="5477" spans="6:6" x14ac:dyDescent="0.2">
      <c r="F5477"/>
    </row>
    <row r="5478" spans="6:6" x14ac:dyDescent="0.2">
      <c r="F5478"/>
    </row>
    <row r="5479" spans="6:6" x14ac:dyDescent="0.2">
      <c r="F5479"/>
    </row>
    <row r="5480" spans="6:6" x14ac:dyDescent="0.2">
      <c r="F5480"/>
    </row>
    <row r="5481" spans="6:6" x14ac:dyDescent="0.2">
      <c r="F5481"/>
    </row>
    <row r="5482" spans="6:6" x14ac:dyDescent="0.2">
      <c r="F5482"/>
    </row>
    <row r="5483" spans="6:6" x14ac:dyDescent="0.2">
      <c r="F5483"/>
    </row>
    <row r="5484" spans="6:6" x14ac:dyDescent="0.2">
      <c r="F5484"/>
    </row>
    <row r="5485" spans="6:6" x14ac:dyDescent="0.2">
      <c r="F5485"/>
    </row>
    <row r="5486" spans="6:6" x14ac:dyDescent="0.2">
      <c r="F5486"/>
    </row>
    <row r="5487" spans="6:6" x14ac:dyDescent="0.2">
      <c r="F5487"/>
    </row>
    <row r="5488" spans="6:6" x14ac:dyDescent="0.2">
      <c r="F5488"/>
    </row>
    <row r="5489" spans="6:6" x14ac:dyDescent="0.2">
      <c r="F5489"/>
    </row>
    <row r="5490" spans="6:6" x14ac:dyDescent="0.2">
      <c r="F5490"/>
    </row>
    <row r="5491" spans="6:6" x14ac:dyDescent="0.2">
      <c r="F5491"/>
    </row>
    <row r="5492" spans="6:6" x14ac:dyDescent="0.2">
      <c r="F5492"/>
    </row>
    <row r="5493" spans="6:6" x14ac:dyDescent="0.2">
      <c r="F5493"/>
    </row>
    <row r="5494" spans="6:6" x14ac:dyDescent="0.2">
      <c r="F5494"/>
    </row>
    <row r="5495" spans="6:6" x14ac:dyDescent="0.2">
      <c r="F5495"/>
    </row>
    <row r="5496" spans="6:6" x14ac:dyDescent="0.2">
      <c r="F5496"/>
    </row>
    <row r="5497" spans="6:6" x14ac:dyDescent="0.2">
      <c r="F5497"/>
    </row>
    <row r="5498" spans="6:6" x14ac:dyDescent="0.2">
      <c r="F5498"/>
    </row>
    <row r="5499" spans="6:6" x14ac:dyDescent="0.2">
      <c r="F5499"/>
    </row>
    <row r="5500" spans="6:6" x14ac:dyDescent="0.2">
      <c r="F5500"/>
    </row>
    <row r="5501" spans="6:6" x14ac:dyDescent="0.2">
      <c r="F5501"/>
    </row>
    <row r="5502" spans="6:6" x14ac:dyDescent="0.2">
      <c r="F5502"/>
    </row>
    <row r="5503" spans="6:6" x14ac:dyDescent="0.2">
      <c r="F5503"/>
    </row>
    <row r="5504" spans="6:6" x14ac:dyDescent="0.2">
      <c r="F5504"/>
    </row>
    <row r="5505" spans="6:6" x14ac:dyDescent="0.2">
      <c r="F5505"/>
    </row>
    <row r="5506" spans="6:6" x14ac:dyDescent="0.2">
      <c r="F5506"/>
    </row>
    <row r="5507" spans="6:6" x14ac:dyDescent="0.2">
      <c r="F5507"/>
    </row>
    <row r="5508" spans="6:6" x14ac:dyDescent="0.2">
      <c r="F5508"/>
    </row>
    <row r="5509" spans="6:6" x14ac:dyDescent="0.2">
      <c r="F5509"/>
    </row>
    <row r="5510" spans="6:6" x14ac:dyDescent="0.2">
      <c r="F5510"/>
    </row>
    <row r="5511" spans="6:6" x14ac:dyDescent="0.2">
      <c r="F5511"/>
    </row>
    <row r="5512" spans="6:6" x14ac:dyDescent="0.2">
      <c r="F5512"/>
    </row>
    <row r="5513" spans="6:6" x14ac:dyDescent="0.2">
      <c r="F5513"/>
    </row>
    <row r="5514" spans="6:6" x14ac:dyDescent="0.2">
      <c r="F5514"/>
    </row>
    <row r="5515" spans="6:6" x14ac:dyDescent="0.2">
      <c r="F5515"/>
    </row>
    <row r="5516" spans="6:6" x14ac:dyDescent="0.2">
      <c r="F5516"/>
    </row>
    <row r="5517" spans="6:6" x14ac:dyDescent="0.2">
      <c r="F5517"/>
    </row>
    <row r="5518" spans="6:6" x14ac:dyDescent="0.2">
      <c r="F5518"/>
    </row>
    <row r="5519" spans="6:6" x14ac:dyDescent="0.2">
      <c r="F5519"/>
    </row>
    <row r="5520" spans="6:6" x14ac:dyDescent="0.2">
      <c r="F5520"/>
    </row>
    <row r="5521" spans="6:6" x14ac:dyDescent="0.2">
      <c r="F5521"/>
    </row>
    <row r="5522" spans="6:6" x14ac:dyDescent="0.2">
      <c r="F5522"/>
    </row>
    <row r="5523" spans="6:6" x14ac:dyDescent="0.2">
      <c r="F5523"/>
    </row>
    <row r="5524" spans="6:6" x14ac:dyDescent="0.2">
      <c r="F5524"/>
    </row>
    <row r="5525" spans="6:6" x14ac:dyDescent="0.2">
      <c r="F5525"/>
    </row>
    <row r="5526" spans="6:6" x14ac:dyDescent="0.2">
      <c r="F5526"/>
    </row>
    <row r="5527" spans="6:6" x14ac:dyDescent="0.2">
      <c r="F5527"/>
    </row>
    <row r="5528" spans="6:6" x14ac:dyDescent="0.2">
      <c r="F5528"/>
    </row>
    <row r="5529" spans="6:6" x14ac:dyDescent="0.2">
      <c r="F5529"/>
    </row>
    <row r="5530" spans="6:6" x14ac:dyDescent="0.2">
      <c r="F5530"/>
    </row>
    <row r="5531" spans="6:6" x14ac:dyDescent="0.2">
      <c r="F5531"/>
    </row>
    <row r="5532" spans="6:6" x14ac:dyDescent="0.2">
      <c r="F5532"/>
    </row>
    <row r="5533" spans="6:6" x14ac:dyDescent="0.2">
      <c r="F5533"/>
    </row>
    <row r="5534" spans="6:6" x14ac:dyDescent="0.2">
      <c r="F5534"/>
    </row>
    <row r="5535" spans="6:6" x14ac:dyDescent="0.2">
      <c r="F5535"/>
    </row>
    <row r="5536" spans="6:6" x14ac:dyDescent="0.2">
      <c r="F5536"/>
    </row>
    <row r="5537" spans="6:6" x14ac:dyDescent="0.2">
      <c r="F5537"/>
    </row>
    <row r="5538" spans="6:6" x14ac:dyDescent="0.2">
      <c r="F5538"/>
    </row>
    <row r="5539" spans="6:6" x14ac:dyDescent="0.2">
      <c r="F5539"/>
    </row>
    <row r="5540" spans="6:6" x14ac:dyDescent="0.2">
      <c r="F5540"/>
    </row>
    <row r="5541" spans="6:6" x14ac:dyDescent="0.2">
      <c r="F5541"/>
    </row>
    <row r="5542" spans="6:6" x14ac:dyDescent="0.2">
      <c r="F5542"/>
    </row>
    <row r="5543" spans="6:6" x14ac:dyDescent="0.2">
      <c r="F5543"/>
    </row>
    <row r="5544" spans="6:6" x14ac:dyDescent="0.2">
      <c r="F5544"/>
    </row>
    <row r="5545" spans="6:6" x14ac:dyDescent="0.2">
      <c r="F5545"/>
    </row>
    <row r="5546" spans="6:6" x14ac:dyDescent="0.2">
      <c r="F5546"/>
    </row>
    <row r="5547" spans="6:6" x14ac:dyDescent="0.2">
      <c r="F5547"/>
    </row>
    <row r="5548" spans="6:6" x14ac:dyDescent="0.2">
      <c r="F5548"/>
    </row>
    <row r="5549" spans="6:6" x14ac:dyDescent="0.2">
      <c r="F5549"/>
    </row>
    <row r="5550" spans="6:6" x14ac:dyDescent="0.2">
      <c r="F5550"/>
    </row>
    <row r="5551" spans="6:6" x14ac:dyDescent="0.2">
      <c r="F5551"/>
    </row>
    <row r="5552" spans="6:6" x14ac:dyDescent="0.2">
      <c r="F5552"/>
    </row>
    <row r="5553" spans="6:6" x14ac:dyDescent="0.2">
      <c r="F5553"/>
    </row>
    <row r="5554" spans="6:6" x14ac:dyDescent="0.2">
      <c r="F5554"/>
    </row>
    <row r="5555" spans="6:6" x14ac:dyDescent="0.2">
      <c r="F5555"/>
    </row>
    <row r="5556" spans="6:6" x14ac:dyDescent="0.2">
      <c r="F5556"/>
    </row>
    <row r="5557" spans="6:6" x14ac:dyDescent="0.2">
      <c r="F5557"/>
    </row>
    <row r="5558" spans="6:6" x14ac:dyDescent="0.2">
      <c r="F5558"/>
    </row>
    <row r="5559" spans="6:6" x14ac:dyDescent="0.2">
      <c r="F5559"/>
    </row>
    <row r="5560" spans="6:6" x14ac:dyDescent="0.2">
      <c r="F5560"/>
    </row>
    <row r="5561" spans="6:6" x14ac:dyDescent="0.2">
      <c r="F5561"/>
    </row>
    <row r="5562" spans="6:6" x14ac:dyDescent="0.2">
      <c r="F5562"/>
    </row>
    <row r="5563" spans="6:6" x14ac:dyDescent="0.2">
      <c r="F5563"/>
    </row>
    <row r="5564" spans="6:6" x14ac:dyDescent="0.2">
      <c r="F5564"/>
    </row>
    <row r="5565" spans="6:6" x14ac:dyDescent="0.2">
      <c r="F5565"/>
    </row>
    <row r="5566" spans="6:6" x14ac:dyDescent="0.2">
      <c r="F5566"/>
    </row>
    <row r="5567" spans="6:6" x14ac:dyDescent="0.2">
      <c r="F5567"/>
    </row>
    <row r="5568" spans="6:6" x14ac:dyDescent="0.2">
      <c r="F5568"/>
    </row>
    <row r="5569" spans="6:6" x14ac:dyDescent="0.2">
      <c r="F5569"/>
    </row>
    <row r="5570" spans="6:6" x14ac:dyDescent="0.2">
      <c r="F5570"/>
    </row>
    <row r="5571" spans="6:6" x14ac:dyDescent="0.2">
      <c r="F5571"/>
    </row>
    <row r="5572" spans="6:6" x14ac:dyDescent="0.2">
      <c r="F5572"/>
    </row>
    <row r="5573" spans="6:6" x14ac:dyDescent="0.2">
      <c r="F5573"/>
    </row>
    <row r="5574" spans="6:6" x14ac:dyDescent="0.2">
      <c r="F5574"/>
    </row>
    <row r="5575" spans="6:6" x14ac:dyDescent="0.2">
      <c r="F5575"/>
    </row>
    <row r="5576" spans="6:6" x14ac:dyDescent="0.2">
      <c r="F5576"/>
    </row>
    <row r="5577" spans="6:6" x14ac:dyDescent="0.2">
      <c r="F5577"/>
    </row>
    <row r="5578" spans="6:6" x14ac:dyDescent="0.2">
      <c r="F5578"/>
    </row>
    <row r="5579" spans="6:6" x14ac:dyDescent="0.2">
      <c r="F5579"/>
    </row>
    <row r="5580" spans="6:6" x14ac:dyDescent="0.2">
      <c r="F5580"/>
    </row>
    <row r="5581" spans="6:6" x14ac:dyDescent="0.2">
      <c r="F5581"/>
    </row>
    <row r="5582" spans="6:6" x14ac:dyDescent="0.2">
      <c r="F5582"/>
    </row>
    <row r="5583" spans="6:6" x14ac:dyDescent="0.2">
      <c r="F5583"/>
    </row>
    <row r="5584" spans="6:6" x14ac:dyDescent="0.2">
      <c r="F5584"/>
    </row>
    <row r="5585" spans="6:6" x14ac:dyDescent="0.2">
      <c r="F5585"/>
    </row>
    <row r="5586" spans="6:6" x14ac:dyDescent="0.2">
      <c r="F5586"/>
    </row>
    <row r="5587" spans="6:6" x14ac:dyDescent="0.2">
      <c r="F5587"/>
    </row>
    <row r="5588" spans="6:6" x14ac:dyDescent="0.2">
      <c r="F5588"/>
    </row>
    <row r="5589" spans="6:6" x14ac:dyDescent="0.2">
      <c r="F5589"/>
    </row>
    <row r="5590" spans="6:6" x14ac:dyDescent="0.2">
      <c r="F5590"/>
    </row>
    <row r="5591" spans="6:6" x14ac:dyDescent="0.2">
      <c r="F5591"/>
    </row>
    <row r="5592" spans="6:6" x14ac:dyDescent="0.2">
      <c r="F5592"/>
    </row>
    <row r="5593" spans="6:6" x14ac:dyDescent="0.2">
      <c r="F5593"/>
    </row>
    <row r="5594" spans="6:6" x14ac:dyDescent="0.2">
      <c r="F5594"/>
    </row>
    <row r="5595" spans="6:6" x14ac:dyDescent="0.2">
      <c r="F5595"/>
    </row>
    <row r="5596" spans="6:6" x14ac:dyDescent="0.2">
      <c r="F5596"/>
    </row>
    <row r="5597" spans="6:6" x14ac:dyDescent="0.2">
      <c r="F5597"/>
    </row>
    <row r="5598" spans="6:6" x14ac:dyDescent="0.2">
      <c r="F5598"/>
    </row>
    <row r="5599" spans="6:6" x14ac:dyDescent="0.2">
      <c r="F5599"/>
    </row>
    <row r="5600" spans="6:6" x14ac:dyDescent="0.2">
      <c r="F5600"/>
    </row>
    <row r="5601" spans="6:6" x14ac:dyDescent="0.2">
      <c r="F5601"/>
    </row>
    <row r="5602" spans="6:6" x14ac:dyDescent="0.2">
      <c r="F5602"/>
    </row>
    <row r="5603" spans="6:6" x14ac:dyDescent="0.2">
      <c r="F5603"/>
    </row>
    <row r="5604" spans="6:6" x14ac:dyDescent="0.2">
      <c r="F5604"/>
    </row>
    <row r="5605" spans="6:6" x14ac:dyDescent="0.2">
      <c r="F5605"/>
    </row>
    <row r="5606" spans="6:6" x14ac:dyDescent="0.2">
      <c r="F5606"/>
    </row>
    <row r="5607" spans="6:6" x14ac:dyDescent="0.2">
      <c r="F5607"/>
    </row>
    <row r="5608" spans="6:6" x14ac:dyDescent="0.2">
      <c r="F5608"/>
    </row>
    <row r="5609" spans="6:6" x14ac:dyDescent="0.2">
      <c r="F5609"/>
    </row>
    <row r="5610" spans="6:6" x14ac:dyDescent="0.2">
      <c r="F5610"/>
    </row>
    <row r="5611" spans="6:6" x14ac:dyDescent="0.2">
      <c r="F5611"/>
    </row>
    <row r="5612" spans="6:6" x14ac:dyDescent="0.2">
      <c r="F5612"/>
    </row>
    <row r="5613" spans="6:6" x14ac:dyDescent="0.2">
      <c r="F5613"/>
    </row>
    <row r="5614" spans="6:6" x14ac:dyDescent="0.2">
      <c r="F5614"/>
    </row>
    <row r="5615" spans="6:6" x14ac:dyDescent="0.2">
      <c r="F5615"/>
    </row>
    <row r="5616" spans="6:6" x14ac:dyDescent="0.2">
      <c r="F5616"/>
    </row>
    <row r="5617" spans="6:6" x14ac:dyDescent="0.2">
      <c r="F5617"/>
    </row>
    <row r="5618" spans="6:6" x14ac:dyDescent="0.2">
      <c r="F5618"/>
    </row>
    <row r="5619" spans="6:6" x14ac:dyDescent="0.2">
      <c r="F5619"/>
    </row>
    <row r="5620" spans="6:6" x14ac:dyDescent="0.2">
      <c r="F5620"/>
    </row>
    <row r="5621" spans="6:6" x14ac:dyDescent="0.2">
      <c r="F5621"/>
    </row>
    <row r="5622" spans="6:6" x14ac:dyDescent="0.2">
      <c r="F5622"/>
    </row>
    <row r="5623" spans="6:6" x14ac:dyDescent="0.2">
      <c r="F5623"/>
    </row>
    <row r="5624" spans="6:6" x14ac:dyDescent="0.2">
      <c r="F5624"/>
    </row>
    <row r="5625" spans="6:6" x14ac:dyDescent="0.2">
      <c r="F5625"/>
    </row>
    <row r="5626" spans="6:6" x14ac:dyDescent="0.2">
      <c r="F5626"/>
    </row>
    <row r="5627" spans="6:6" x14ac:dyDescent="0.2">
      <c r="F5627"/>
    </row>
    <row r="5628" spans="6:6" x14ac:dyDescent="0.2">
      <c r="F5628"/>
    </row>
    <row r="5629" spans="6:6" x14ac:dyDescent="0.2">
      <c r="F5629"/>
    </row>
    <row r="5630" spans="6:6" x14ac:dyDescent="0.2">
      <c r="F5630"/>
    </row>
    <row r="5631" spans="6:6" x14ac:dyDescent="0.2">
      <c r="F5631"/>
    </row>
    <row r="5632" spans="6:6" x14ac:dyDescent="0.2">
      <c r="F5632"/>
    </row>
    <row r="5633" spans="6:6" x14ac:dyDescent="0.2">
      <c r="F5633"/>
    </row>
    <row r="5634" spans="6:6" x14ac:dyDescent="0.2">
      <c r="F5634"/>
    </row>
    <row r="5635" spans="6:6" x14ac:dyDescent="0.2">
      <c r="F5635"/>
    </row>
    <row r="5636" spans="6:6" x14ac:dyDescent="0.2">
      <c r="F5636"/>
    </row>
    <row r="5637" spans="6:6" x14ac:dyDescent="0.2">
      <c r="F5637"/>
    </row>
    <row r="5638" spans="6:6" x14ac:dyDescent="0.2">
      <c r="F5638"/>
    </row>
    <row r="5639" spans="6:6" x14ac:dyDescent="0.2">
      <c r="F5639"/>
    </row>
    <row r="5640" spans="6:6" x14ac:dyDescent="0.2">
      <c r="F5640"/>
    </row>
    <row r="5641" spans="6:6" x14ac:dyDescent="0.2">
      <c r="F5641"/>
    </row>
    <row r="5642" spans="6:6" x14ac:dyDescent="0.2">
      <c r="F5642"/>
    </row>
    <row r="5643" spans="6:6" x14ac:dyDescent="0.2">
      <c r="F5643"/>
    </row>
    <row r="5644" spans="6:6" x14ac:dyDescent="0.2">
      <c r="F5644"/>
    </row>
    <row r="5645" spans="6:6" x14ac:dyDescent="0.2">
      <c r="F5645"/>
    </row>
    <row r="5646" spans="6:6" x14ac:dyDescent="0.2">
      <c r="F5646"/>
    </row>
    <row r="5647" spans="6:6" x14ac:dyDescent="0.2">
      <c r="F5647"/>
    </row>
    <row r="5648" spans="6:6" x14ac:dyDescent="0.2">
      <c r="F5648"/>
    </row>
    <row r="5649" spans="6:6" x14ac:dyDescent="0.2">
      <c r="F5649"/>
    </row>
    <row r="5650" spans="6:6" x14ac:dyDescent="0.2">
      <c r="F5650"/>
    </row>
    <row r="5651" spans="6:6" x14ac:dyDescent="0.2">
      <c r="F5651"/>
    </row>
    <row r="5652" spans="6:6" x14ac:dyDescent="0.2">
      <c r="F5652"/>
    </row>
    <row r="5653" spans="6:6" x14ac:dyDescent="0.2">
      <c r="F5653"/>
    </row>
    <row r="5654" spans="6:6" x14ac:dyDescent="0.2">
      <c r="F5654"/>
    </row>
    <row r="5655" spans="6:6" x14ac:dyDescent="0.2">
      <c r="F5655"/>
    </row>
    <row r="5656" spans="6:6" x14ac:dyDescent="0.2">
      <c r="F5656"/>
    </row>
    <row r="5657" spans="6:6" x14ac:dyDescent="0.2">
      <c r="F5657"/>
    </row>
    <row r="5658" spans="6:6" x14ac:dyDescent="0.2">
      <c r="F5658"/>
    </row>
    <row r="5659" spans="6:6" x14ac:dyDescent="0.2">
      <c r="F5659"/>
    </row>
    <row r="5660" spans="6:6" x14ac:dyDescent="0.2">
      <c r="F5660"/>
    </row>
    <row r="5661" spans="6:6" x14ac:dyDescent="0.2">
      <c r="F5661"/>
    </row>
    <row r="5662" spans="6:6" x14ac:dyDescent="0.2">
      <c r="F5662"/>
    </row>
    <row r="5663" spans="6:6" x14ac:dyDescent="0.2">
      <c r="F5663"/>
    </row>
    <row r="5664" spans="6:6" x14ac:dyDescent="0.2">
      <c r="F5664"/>
    </row>
    <row r="5665" spans="6:6" x14ac:dyDescent="0.2">
      <c r="F5665"/>
    </row>
    <row r="5666" spans="6:6" x14ac:dyDescent="0.2">
      <c r="F5666"/>
    </row>
    <row r="5667" spans="6:6" x14ac:dyDescent="0.2">
      <c r="F5667"/>
    </row>
    <row r="5668" spans="6:6" x14ac:dyDescent="0.2">
      <c r="F5668"/>
    </row>
    <row r="5669" spans="6:6" x14ac:dyDescent="0.2">
      <c r="F5669"/>
    </row>
    <row r="5670" spans="6:6" x14ac:dyDescent="0.2">
      <c r="F5670"/>
    </row>
    <row r="5671" spans="6:6" x14ac:dyDescent="0.2">
      <c r="F5671"/>
    </row>
    <row r="5672" spans="6:6" x14ac:dyDescent="0.2">
      <c r="F5672"/>
    </row>
    <row r="5673" spans="6:6" x14ac:dyDescent="0.2">
      <c r="F5673"/>
    </row>
    <row r="5674" spans="6:6" x14ac:dyDescent="0.2">
      <c r="F5674"/>
    </row>
    <row r="5675" spans="6:6" x14ac:dyDescent="0.2">
      <c r="F5675"/>
    </row>
    <row r="5676" spans="6:6" x14ac:dyDescent="0.2">
      <c r="F5676"/>
    </row>
    <row r="5677" spans="6:6" x14ac:dyDescent="0.2">
      <c r="F5677"/>
    </row>
    <row r="5678" spans="6:6" x14ac:dyDescent="0.2">
      <c r="F5678"/>
    </row>
    <row r="5679" spans="6:6" x14ac:dyDescent="0.2">
      <c r="F5679"/>
    </row>
    <row r="5680" spans="6:6" x14ac:dyDescent="0.2">
      <c r="F5680"/>
    </row>
    <row r="5681" spans="6:6" x14ac:dyDescent="0.2">
      <c r="F5681"/>
    </row>
    <row r="5682" spans="6:6" x14ac:dyDescent="0.2">
      <c r="F5682"/>
    </row>
    <row r="5683" spans="6:6" x14ac:dyDescent="0.2">
      <c r="F5683"/>
    </row>
    <row r="5684" spans="6:6" x14ac:dyDescent="0.2">
      <c r="F5684"/>
    </row>
    <row r="5685" spans="6:6" x14ac:dyDescent="0.2">
      <c r="F5685"/>
    </row>
    <row r="5686" spans="6:6" x14ac:dyDescent="0.2">
      <c r="F5686"/>
    </row>
    <row r="5687" spans="6:6" x14ac:dyDescent="0.2">
      <c r="F5687"/>
    </row>
    <row r="5688" spans="6:6" x14ac:dyDescent="0.2">
      <c r="F5688"/>
    </row>
    <row r="5689" spans="6:6" x14ac:dyDescent="0.2">
      <c r="F5689"/>
    </row>
    <row r="5690" spans="6:6" x14ac:dyDescent="0.2">
      <c r="F5690"/>
    </row>
    <row r="5691" spans="6:6" x14ac:dyDescent="0.2">
      <c r="F5691"/>
    </row>
    <row r="5692" spans="6:6" x14ac:dyDescent="0.2">
      <c r="F5692"/>
    </row>
    <row r="5693" spans="6:6" x14ac:dyDescent="0.2">
      <c r="F5693"/>
    </row>
    <row r="5694" spans="6:6" x14ac:dyDescent="0.2">
      <c r="F5694"/>
    </row>
    <row r="5695" spans="6:6" x14ac:dyDescent="0.2">
      <c r="F5695"/>
    </row>
    <row r="5696" spans="6:6" x14ac:dyDescent="0.2">
      <c r="F5696"/>
    </row>
    <row r="5697" spans="6:6" x14ac:dyDescent="0.2">
      <c r="F5697"/>
    </row>
    <row r="5698" spans="6:6" x14ac:dyDescent="0.2">
      <c r="F5698"/>
    </row>
    <row r="5699" spans="6:6" x14ac:dyDescent="0.2">
      <c r="F5699"/>
    </row>
    <row r="5700" spans="6:6" x14ac:dyDescent="0.2">
      <c r="F5700"/>
    </row>
    <row r="5701" spans="6:6" x14ac:dyDescent="0.2">
      <c r="F5701"/>
    </row>
    <row r="5702" spans="6:6" x14ac:dyDescent="0.2">
      <c r="F5702"/>
    </row>
    <row r="5703" spans="6:6" x14ac:dyDescent="0.2">
      <c r="F5703"/>
    </row>
    <row r="5704" spans="6:6" x14ac:dyDescent="0.2">
      <c r="F5704"/>
    </row>
    <row r="5705" spans="6:6" x14ac:dyDescent="0.2">
      <c r="F5705"/>
    </row>
    <row r="5706" spans="6:6" x14ac:dyDescent="0.2">
      <c r="F5706"/>
    </row>
    <row r="5707" spans="6:6" x14ac:dyDescent="0.2">
      <c r="F5707"/>
    </row>
    <row r="5708" spans="6:6" x14ac:dyDescent="0.2">
      <c r="F5708"/>
    </row>
    <row r="5709" spans="6:6" x14ac:dyDescent="0.2">
      <c r="F5709"/>
    </row>
    <row r="5710" spans="6:6" x14ac:dyDescent="0.2">
      <c r="F5710"/>
    </row>
    <row r="5711" spans="6:6" x14ac:dyDescent="0.2">
      <c r="F5711"/>
    </row>
    <row r="5712" spans="6:6" x14ac:dyDescent="0.2">
      <c r="F5712"/>
    </row>
    <row r="5713" spans="6:6" x14ac:dyDescent="0.2">
      <c r="F5713"/>
    </row>
    <row r="5714" spans="6:6" x14ac:dyDescent="0.2">
      <c r="F5714"/>
    </row>
    <row r="5715" spans="6:6" x14ac:dyDescent="0.2">
      <c r="F5715"/>
    </row>
    <row r="5716" spans="6:6" x14ac:dyDescent="0.2">
      <c r="F5716"/>
    </row>
    <row r="5717" spans="6:6" x14ac:dyDescent="0.2">
      <c r="F5717"/>
    </row>
    <row r="5718" spans="6:6" x14ac:dyDescent="0.2">
      <c r="F5718"/>
    </row>
    <row r="5719" spans="6:6" x14ac:dyDescent="0.2">
      <c r="F5719"/>
    </row>
    <row r="5720" spans="6:6" x14ac:dyDescent="0.2">
      <c r="F5720"/>
    </row>
    <row r="5721" spans="6:6" x14ac:dyDescent="0.2">
      <c r="F5721"/>
    </row>
    <row r="5722" spans="6:6" x14ac:dyDescent="0.2">
      <c r="F5722"/>
    </row>
    <row r="5723" spans="6:6" x14ac:dyDescent="0.2">
      <c r="F5723"/>
    </row>
    <row r="5724" spans="6:6" x14ac:dyDescent="0.2">
      <c r="F5724"/>
    </row>
    <row r="5725" spans="6:6" x14ac:dyDescent="0.2">
      <c r="F5725"/>
    </row>
    <row r="5726" spans="6:6" x14ac:dyDescent="0.2">
      <c r="F5726"/>
    </row>
    <row r="5727" spans="6:6" x14ac:dyDescent="0.2">
      <c r="F5727"/>
    </row>
    <row r="5728" spans="6:6" x14ac:dyDescent="0.2">
      <c r="F5728"/>
    </row>
    <row r="5729" spans="6:6" x14ac:dyDescent="0.2">
      <c r="F5729"/>
    </row>
    <row r="5730" spans="6:6" x14ac:dyDescent="0.2">
      <c r="F5730"/>
    </row>
    <row r="5731" spans="6:6" x14ac:dyDescent="0.2">
      <c r="F5731"/>
    </row>
    <row r="5732" spans="6:6" x14ac:dyDescent="0.2">
      <c r="F5732"/>
    </row>
    <row r="5733" spans="6:6" x14ac:dyDescent="0.2">
      <c r="F5733"/>
    </row>
    <row r="5734" spans="6:6" x14ac:dyDescent="0.2">
      <c r="F5734"/>
    </row>
    <row r="5735" spans="6:6" x14ac:dyDescent="0.2">
      <c r="F5735"/>
    </row>
    <row r="5736" spans="6:6" x14ac:dyDescent="0.2">
      <c r="F5736"/>
    </row>
    <row r="5737" spans="6:6" x14ac:dyDescent="0.2">
      <c r="F5737"/>
    </row>
    <row r="5738" spans="6:6" x14ac:dyDescent="0.2">
      <c r="F5738"/>
    </row>
    <row r="5739" spans="6:6" x14ac:dyDescent="0.2">
      <c r="F5739"/>
    </row>
    <row r="5740" spans="6:6" x14ac:dyDescent="0.2">
      <c r="F5740"/>
    </row>
    <row r="5741" spans="6:6" x14ac:dyDescent="0.2">
      <c r="F5741"/>
    </row>
    <row r="5742" spans="6:6" x14ac:dyDescent="0.2">
      <c r="F5742"/>
    </row>
    <row r="5743" spans="6:6" x14ac:dyDescent="0.2">
      <c r="F5743"/>
    </row>
    <row r="5744" spans="6:6" x14ac:dyDescent="0.2">
      <c r="F5744"/>
    </row>
    <row r="5745" spans="6:6" x14ac:dyDescent="0.2">
      <c r="F5745"/>
    </row>
    <row r="5746" spans="6:6" x14ac:dyDescent="0.2">
      <c r="F5746"/>
    </row>
    <row r="5747" spans="6:6" x14ac:dyDescent="0.2">
      <c r="F5747"/>
    </row>
    <row r="5748" spans="6:6" x14ac:dyDescent="0.2">
      <c r="F5748"/>
    </row>
    <row r="5749" spans="6:6" x14ac:dyDescent="0.2">
      <c r="F5749"/>
    </row>
    <row r="5750" spans="6:6" x14ac:dyDescent="0.2">
      <c r="F5750"/>
    </row>
    <row r="5751" spans="6:6" x14ac:dyDescent="0.2">
      <c r="F5751"/>
    </row>
    <row r="5752" spans="6:6" x14ac:dyDescent="0.2">
      <c r="F5752"/>
    </row>
    <row r="5753" spans="6:6" x14ac:dyDescent="0.2">
      <c r="F5753"/>
    </row>
    <row r="5754" spans="6:6" x14ac:dyDescent="0.2">
      <c r="F5754"/>
    </row>
    <row r="5755" spans="6:6" x14ac:dyDescent="0.2">
      <c r="F5755"/>
    </row>
    <row r="5756" spans="6:6" x14ac:dyDescent="0.2">
      <c r="F5756"/>
    </row>
    <row r="5757" spans="6:6" x14ac:dyDescent="0.2">
      <c r="F5757"/>
    </row>
    <row r="5758" spans="6:6" x14ac:dyDescent="0.2">
      <c r="F5758"/>
    </row>
    <row r="5759" spans="6:6" x14ac:dyDescent="0.2">
      <c r="F5759"/>
    </row>
    <row r="5760" spans="6:6" x14ac:dyDescent="0.2">
      <c r="F5760"/>
    </row>
    <row r="5761" spans="6:6" x14ac:dyDescent="0.2">
      <c r="F5761"/>
    </row>
    <row r="5762" spans="6:6" x14ac:dyDescent="0.2">
      <c r="F5762"/>
    </row>
    <row r="5763" spans="6:6" x14ac:dyDescent="0.2">
      <c r="F5763"/>
    </row>
    <row r="5764" spans="6:6" x14ac:dyDescent="0.2">
      <c r="F5764"/>
    </row>
    <row r="5765" spans="6:6" x14ac:dyDescent="0.2">
      <c r="F5765"/>
    </row>
    <row r="5766" spans="6:6" x14ac:dyDescent="0.2">
      <c r="F5766"/>
    </row>
    <row r="5767" spans="6:6" x14ac:dyDescent="0.2">
      <c r="F5767"/>
    </row>
    <row r="5768" spans="6:6" x14ac:dyDescent="0.2">
      <c r="F5768"/>
    </row>
    <row r="5769" spans="6:6" x14ac:dyDescent="0.2">
      <c r="F5769"/>
    </row>
    <row r="5770" spans="6:6" x14ac:dyDescent="0.2">
      <c r="F5770"/>
    </row>
    <row r="5771" spans="6:6" x14ac:dyDescent="0.2">
      <c r="F5771"/>
    </row>
    <row r="5772" spans="6:6" x14ac:dyDescent="0.2">
      <c r="F5772"/>
    </row>
    <row r="5773" spans="6:6" x14ac:dyDescent="0.2">
      <c r="F5773"/>
    </row>
    <row r="5774" spans="6:6" x14ac:dyDescent="0.2">
      <c r="F5774"/>
    </row>
    <row r="5775" spans="6:6" x14ac:dyDescent="0.2">
      <c r="F5775"/>
    </row>
    <row r="5776" spans="6:6" x14ac:dyDescent="0.2">
      <c r="F5776"/>
    </row>
    <row r="5777" spans="6:6" x14ac:dyDescent="0.2">
      <c r="F5777"/>
    </row>
    <row r="5778" spans="6:6" x14ac:dyDescent="0.2">
      <c r="F5778"/>
    </row>
    <row r="5779" spans="6:6" x14ac:dyDescent="0.2">
      <c r="F5779"/>
    </row>
    <row r="5780" spans="6:6" x14ac:dyDescent="0.2">
      <c r="F5780"/>
    </row>
    <row r="5781" spans="6:6" x14ac:dyDescent="0.2">
      <c r="F5781"/>
    </row>
    <row r="5782" spans="6:6" x14ac:dyDescent="0.2">
      <c r="F5782"/>
    </row>
    <row r="5783" spans="6:6" x14ac:dyDescent="0.2">
      <c r="F5783"/>
    </row>
    <row r="5784" spans="6:6" x14ac:dyDescent="0.2">
      <c r="F5784"/>
    </row>
    <row r="5785" spans="6:6" x14ac:dyDescent="0.2">
      <c r="F5785"/>
    </row>
    <row r="5786" spans="6:6" x14ac:dyDescent="0.2">
      <c r="F5786"/>
    </row>
    <row r="5787" spans="6:6" x14ac:dyDescent="0.2">
      <c r="F5787"/>
    </row>
    <row r="5788" spans="6:6" x14ac:dyDescent="0.2">
      <c r="F5788"/>
    </row>
    <row r="5789" spans="6:6" x14ac:dyDescent="0.2">
      <c r="F5789"/>
    </row>
    <row r="5790" spans="6:6" x14ac:dyDescent="0.2">
      <c r="F5790"/>
    </row>
    <row r="5791" spans="6:6" x14ac:dyDescent="0.2">
      <c r="F5791"/>
    </row>
    <row r="5792" spans="6:6" x14ac:dyDescent="0.2">
      <c r="F5792"/>
    </row>
    <row r="5793" spans="6:6" x14ac:dyDescent="0.2">
      <c r="F5793"/>
    </row>
    <row r="5794" spans="6:6" x14ac:dyDescent="0.2">
      <c r="F5794"/>
    </row>
    <row r="5795" spans="6:6" x14ac:dyDescent="0.2">
      <c r="F5795"/>
    </row>
    <row r="5796" spans="6:6" x14ac:dyDescent="0.2">
      <c r="F5796"/>
    </row>
    <row r="5797" spans="6:6" x14ac:dyDescent="0.2">
      <c r="F5797"/>
    </row>
    <row r="5798" spans="6:6" x14ac:dyDescent="0.2">
      <c r="F5798"/>
    </row>
    <row r="5799" spans="6:6" x14ac:dyDescent="0.2">
      <c r="F5799"/>
    </row>
    <row r="5800" spans="6:6" x14ac:dyDescent="0.2">
      <c r="F5800"/>
    </row>
    <row r="5801" spans="6:6" x14ac:dyDescent="0.2">
      <c r="F5801"/>
    </row>
    <row r="5802" spans="6:6" x14ac:dyDescent="0.2">
      <c r="F5802"/>
    </row>
    <row r="5803" spans="6:6" x14ac:dyDescent="0.2">
      <c r="F5803"/>
    </row>
    <row r="5804" spans="6:6" x14ac:dyDescent="0.2">
      <c r="F5804"/>
    </row>
    <row r="5805" spans="6:6" x14ac:dyDescent="0.2">
      <c r="F5805"/>
    </row>
    <row r="5806" spans="6:6" x14ac:dyDescent="0.2">
      <c r="F5806"/>
    </row>
    <row r="5807" spans="6:6" x14ac:dyDescent="0.2">
      <c r="F5807"/>
    </row>
    <row r="5808" spans="6:6" x14ac:dyDescent="0.2">
      <c r="F5808"/>
    </row>
    <row r="5809" spans="6:6" x14ac:dyDescent="0.2">
      <c r="F5809"/>
    </row>
    <row r="5810" spans="6:6" x14ac:dyDescent="0.2">
      <c r="F5810"/>
    </row>
    <row r="5811" spans="6:6" x14ac:dyDescent="0.2">
      <c r="F5811"/>
    </row>
    <row r="5812" spans="6:6" x14ac:dyDescent="0.2">
      <c r="F5812"/>
    </row>
    <row r="5813" spans="6:6" x14ac:dyDescent="0.2">
      <c r="F5813"/>
    </row>
    <row r="5814" spans="6:6" x14ac:dyDescent="0.2">
      <c r="F5814"/>
    </row>
    <row r="5815" spans="6:6" x14ac:dyDescent="0.2">
      <c r="F5815"/>
    </row>
    <row r="5816" spans="6:6" x14ac:dyDescent="0.2">
      <c r="F5816"/>
    </row>
    <row r="5817" spans="6:6" x14ac:dyDescent="0.2">
      <c r="F5817"/>
    </row>
    <row r="5818" spans="6:6" x14ac:dyDescent="0.2">
      <c r="F5818"/>
    </row>
    <row r="5819" spans="6:6" x14ac:dyDescent="0.2">
      <c r="F5819"/>
    </row>
    <row r="5820" spans="6:6" x14ac:dyDescent="0.2">
      <c r="F5820"/>
    </row>
    <row r="5821" spans="6:6" x14ac:dyDescent="0.2">
      <c r="F5821"/>
    </row>
    <row r="5822" spans="6:6" x14ac:dyDescent="0.2">
      <c r="F5822"/>
    </row>
    <row r="5823" spans="6:6" x14ac:dyDescent="0.2">
      <c r="F5823"/>
    </row>
    <row r="5824" spans="6:6" x14ac:dyDescent="0.2">
      <c r="F5824"/>
    </row>
    <row r="5825" spans="6:6" x14ac:dyDescent="0.2">
      <c r="F5825"/>
    </row>
    <row r="5826" spans="6:6" x14ac:dyDescent="0.2">
      <c r="F5826"/>
    </row>
    <row r="5827" spans="6:6" x14ac:dyDescent="0.2">
      <c r="F5827"/>
    </row>
    <row r="5828" spans="6:6" x14ac:dyDescent="0.2">
      <c r="F5828"/>
    </row>
    <row r="5829" spans="6:6" x14ac:dyDescent="0.2">
      <c r="F5829"/>
    </row>
    <row r="5830" spans="6:6" x14ac:dyDescent="0.2">
      <c r="F5830"/>
    </row>
    <row r="5831" spans="6:6" x14ac:dyDescent="0.2">
      <c r="F5831"/>
    </row>
    <row r="5832" spans="6:6" x14ac:dyDescent="0.2">
      <c r="F5832"/>
    </row>
    <row r="5833" spans="6:6" x14ac:dyDescent="0.2">
      <c r="F5833"/>
    </row>
    <row r="5834" spans="6:6" x14ac:dyDescent="0.2">
      <c r="F5834"/>
    </row>
    <row r="5835" spans="6:6" x14ac:dyDescent="0.2">
      <c r="F5835"/>
    </row>
    <row r="5836" spans="6:6" x14ac:dyDescent="0.2">
      <c r="F5836"/>
    </row>
    <row r="5837" spans="6:6" x14ac:dyDescent="0.2">
      <c r="F5837"/>
    </row>
    <row r="5838" spans="6:6" x14ac:dyDescent="0.2">
      <c r="F5838"/>
    </row>
    <row r="5839" spans="6:6" x14ac:dyDescent="0.2">
      <c r="F5839"/>
    </row>
    <row r="5840" spans="6:6" x14ac:dyDescent="0.2">
      <c r="F5840"/>
    </row>
    <row r="5841" spans="6:6" x14ac:dyDescent="0.2">
      <c r="F5841"/>
    </row>
    <row r="5842" spans="6:6" x14ac:dyDescent="0.2">
      <c r="F5842"/>
    </row>
    <row r="5843" spans="6:6" x14ac:dyDescent="0.2">
      <c r="F5843"/>
    </row>
    <row r="5844" spans="6:6" x14ac:dyDescent="0.2">
      <c r="F5844"/>
    </row>
    <row r="5845" spans="6:6" x14ac:dyDescent="0.2">
      <c r="F5845"/>
    </row>
    <row r="5846" spans="6:6" x14ac:dyDescent="0.2">
      <c r="F5846"/>
    </row>
    <row r="5847" spans="6:6" x14ac:dyDescent="0.2">
      <c r="F5847"/>
    </row>
    <row r="5848" spans="6:6" x14ac:dyDescent="0.2">
      <c r="F5848"/>
    </row>
    <row r="5849" spans="6:6" x14ac:dyDescent="0.2">
      <c r="F5849"/>
    </row>
    <row r="5850" spans="6:6" x14ac:dyDescent="0.2">
      <c r="F5850"/>
    </row>
    <row r="5851" spans="6:6" x14ac:dyDescent="0.2">
      <c r="F5851"/>
    </row>
    <row r="5852" spans="6:6" x14ac:dyDescent="0.2">
      <c r="F5852"/>
    </row>
    <row r="5853" spans="6:6" x14ac:dyDescent="0.2">
      <c r="F5853"/>
    </row>
    <row r="5854" spans="6:6" x14ac:dyDescent="0.2">
      <c r="F5854"/>
    </row>
    <row r="5855" spans="6:6" x14ac:dyDescent="0.2">
      <c r="F5855"/>
    </row>
    <row r="5856" spans="6:6" x14ac:dyDescent="0.2">
      <c r="F5856"/>
    </row>
    <row r="5857" spans="6:6" x14ac:dyDescent="0.2">
      <c r="F5857"/>
    </row>
    <row r="5858" spans="6:6" x14ac:dyDescent="0.2">
      <c r="F5858"/>
    </row>
    <row r="5859" spans="6:6" x14ac:dyDescent="0.2">
      <c r="F5859"/>
    </row>
    <row r="5860" spans="6:6" x14ac:dyDescent="0.2">
      <c r="F5860"/>
    </row>
    <row r="5861" spans="6:6" x14ac:dyDescent="0.2">
      <c r="F5861"/>
    </row>
    <row r="5862" spans="6:6" x14ac:dyDescent="0.2">
      <c r="F5862"/>
    </row>
    <row r="5863" spans="6:6" x14ac:dyDescent="0.2">
      <c r="F5863"/>
    </row>
    <row r="5864" spans="6:6" x14ac:dyDescent="0.2">
      <c r="F5864"/>
    </row>
    <row r="5865" spans="6:6" x14ac:dyDescent="0.2">
      <c r="F5865"/>
    </row>
    <row r="5866" spans="6:6" x14ac:dyDescent="0.2">
      <c r="F5866"/>
    </row>
    <row r="5867" spans="6:6" x14ac:dyDescent="0.2">
      <c r="F5867"/>
    </row>
    <row r="5868" spans="6:6" x14ac:dyDescent="0.2">
      <c r="F5868"/>
    </row>
    <row r="5869" spans="6:6" x14ac:dyDescent="0.2">
      <c r="F5869"/>
    </row>
    <row r="5870" spans="6:6" x14ac:dyDescent="0.2">
      <c r="F5870"/>
    </row>
    <row r="5871" spans="6:6" x14ac:dyDescent="0.2">
      <c r="F5871"/>
    </row>
    <row r="5872" spans="6:6" x14ac:dyDescent="0.2">
      <c r="F5872"/>
    </row>
    <row r="5873" spans="6:6" x14ac:dyDescent="0.2">
      <c r="F5873"/>
    </row>
    <row r="5874" spans="6:6" x14ac:dyDescent="0.2">
      <c r="F5874"/>
    </row>
    <row r="5875" spans="6:6" x14ac:dyDescent="0.2">
      <c r="F5875"/>
    </row>
    <row r="5876" spans="6:6" x14ac:dyDescent="0.2">
      <c r="F5876"/>
    </row>
    <row r="5877" spans="6:6" x14ac:dyDescent="0.2">
      <c r="F5877"/>
    </row>
    <row r="5878" spans="6:6" x14ac:dyDescent="0.2">
      <c r="F5878"/>
    </row>
    <row r="5879" spans="6:6" x14ac:dyDescent="0.2">
      <c r="F5879"/>
    </row>
    <row r="5880" spans="6:6" x14ac:dyDescent="0.2">
      <c r="F5880"/>
    </row>
    <row r="5881" spans="6:6" x14ac:dyDescent="0.2">
      <c r="F5881"/>
    </row>
    <row r="5882" spans="6:6" x14ac:dyDescent="0.2">
      <c r="F5882"/>
    </row>
    <row r="5883" spans="6:6" x14ac:dyDescent="0.2">
      <c r="F5883"/>
    </row>
    <row r="5884" spans="6:6" x14ac:dyDescent="0.2">
      <c r="F5884"/>
    </row>
    <row r="5885" spans="6:6" x14ac:dyDescent="0.2">
      <c r="F5885"/>
    </row>
    <row r="5886" spans="6:6" x14ac:dyDescent="0.2">
      <c r="F5886"/>
    </row>
    <row r="5887" spans="6:6" x14ac:dyDescent="0.2">
      <c r="F5887"/>
    </row>
    <row r="5888" spans="6:6" x14ac:dyDescent="0.2">
      <c r="F5888"/>
    </row>
    <row r="5889" spans="6:6" x14ac:dyDescent="0.2">
      <c r="F5889"/>
    </row>
    <row r="5890" spans="6:6" x14ac:dyDescent="0.2">
      <c r="F5890"/>
    </row>
    <row r="5891" spans="6:6" x14ac:dyDescent="0.2">
      <c r="F5891"/>
    </row>
    <row r="5892" spans="6:6" x14ac:dyDescent="0.2">
      <c r="F5892"/>
    </row>
    <row r="5893" spans="6:6" x14ac:dyDescent="0.2">
      <c r="F5893"/>
    </row>
    <row r="5894" spans="6:6" x14ac:dyDescent="0.2">
      <c r="F5894"/>
    </row>
    <row r="5895" spans="6:6" x14ac:dyDescent="0.2">
      <c r="F5895"/>
    </row>
    <row r="5896" spans="6:6" x14ac:dyDescent="0.2">
      <c r="F5896"/>
    </row>
    <row r="5897" spans="6:6" x14ac:dyDescent="0.2">
      <c r="F5897"/>
    </row>
    <row r="5898" spans="6:6" x14ac:dyDescent="0.2">
      <c r="F5898"/>
    </row>
    <row r="5899" spans="6:6" x14ac:dyDescent="0.2">
      <c r="F5899"/>
    </row>
    <row r="5900" spans="6:6" x14ac:dyDescent="0.2">
      <c r="F5900"/>
    </row>
    <row r="5901" spans="6:6" x14ac:dyDescent="0.2">
      <c r="F5901"/>
    </row>
    <row r="5902" spans="6:6" x14ac:dyDescent="0.2">
      <c r="F5902"/>
    </row>
    <row r="5903" spans="6:6" x14ac:dyDescent="0.2">
      <c r="F5903"/>
    </row>
    <row r="5904" spans="6:6" x14ac:dyDescent="0.2">
      <c r="F5904"/>
    </row>
    <row r="5905" spans="6:6" x14ac:dyDescent="0.2">
      <c r="F5905"/>
    </row>
    <row r="5906" spans="6:6" x14ac:dyDescent="0.2">
      <c r="F5906"/>
    </row>
    <row r="5907" spans="6:6" x14ac:dyDescent="0.2">
      <c r="F5907"/>
    </row>
    <row r="5908" spans="6:6" x14ac:dyDescent="0.2">
      <c r="F5908"/>
    </row>
    <row r="5909" spans="6:6" x14ac:dyDescent="0.2">
      <c r="F5909"/>
    </row>
    <row r="5910" spans="6:6" x14ac:dyDescent="0.2">
      <c r="F5910"/>
    </row>
    <row r="5911" spans="6:6" x14ac:dyDescent="0.2">
      <c r="F5911"/>
    </row>
    <row r="5912" spans="6:6" x14ac:dyDescent="0.2">
      <c r="F5912"/>
    </row>
    <row r="5913" spans="6:6" x14ac:dyDescent="0.2">
      <c r="F5913"/>
    </row>
    <row r="5914" spans="6:6" x14ac:dyDescent="0.2">
      <c r="F5914"/>
    </row>
    <row r="5915" spans="6:6" x14ac:dyDescent="0.2">
      <c r="F5915"/>
    </row>
    <row r="5916" spans="6:6" x14ac:dyDescent="0.2">
      <c r="F5916"/>
    </row>
    <row r="5917" spans="6:6" x14ac:dyDescent="0.2">
      <c r="F5917"/>
    </row>
    <row r="5918" spans="6:6" x14ac:dyDescent="0.2">
      <c r="F5918"/>
    </row>
    <row r="5919" spans="6:6" x14ac:dyDescent="0.2">
      <c r="F5919"/>
    </row>
    <row r="5920" spans="6:6" x14ac:dyDescent="0.2">
      <c r="F5920"/>
    </row>
    <row r="5921" spans="6:6" x14ac:dyDescent="0.2">
      <c r="F5921"/>
    </row>
    <row r="5922" spans="6:6" x14ac:dyDescent="0.2">
      <c r="F5922"/>
    </row>
    <row r="5923" spans="6:6" x14ac:dyDescent="0.2">
      <c r="F5923"/>
    </row>
    <row r="5924" spans="6:6" x14ac:dyDescent="0.2">
      <c r="F5924"/>
    </row>
    <row r="5925" spans="6:6" x14ac:dyDescent="0.2">
      <c r="F5925"/>
    </row>
    <row r="5926" spans="6:6" x14ac:dyDescent="0.2">
      <c r="F5926"/>
    </row>
    <row r="5927" spans="6:6" x14ac:dyDescent="0.2">
      <c r="F5927"/>
    </row>
    <row r="5928" spans="6:6" x14ac:dyDescent="0.2">
      <c r="F5928"/>
    </row>
    <row r="5929" spans="6:6" x14ac:dyDescent="0.2">
      <c r="F5929"/>
    </row>
    <row r="5930" spans="6:6" x14ac:dyDescent="0.2">
      <c r="F5930"/>
    </row>
    <row r="5931" spans="6:6" x14ac:dyDescent="0.2">
      <c r="F5931"/>
    </row>
    <row r="5932" spans="6:6" x14ac:dyDescent="0.2">
      <c r="F5932"/>
    </row>
    <row r="5933" spans="6:6" x14ac:dyDescent="0.2">
      <c r="F5933"/>
    </row>
    <row r="5934" spans="6:6" x14ac:dyDescent="0.2">
      <c r="F5934"/>
    </row>
    <row r="5935" spans="6:6" x14ac:dyDescent="0.2">
      <c r="F5935"/>
    </row>
    <row r="5936" spans="6:6" x14ac:dyDescent="0.2">
      <c r="F5936"/>
    </row>
    <row r="5937" spans="6:6" x14ac:dyDescent="0.2">
      <c r="F5937"/>
    </row>
    <row r="5938" spans="6:6" x14ac:dyDescent="0.2">
      <c r="F5938"/>
    </row>
    <row r="5939" spans="6:6" x14ac:dyDescent="0.2">
      <c r="F5939"/>
    </row>
    <row r="5940" spans="6:6" x14ac:dyDescent="0.2">
      <c r="F5940"/>
    </row>
    <row r="5941" spans="6:6" x14ac:dyDescent="0.2">
      <c r="F5941"/>
    </row>
    <row r="5942" spans="6:6" x14ac:dyDescent="0.2">
      <c r="F5942"/>
    </row>
    <row r="5943" spans="6:6" x14ac:dyDescent="0.2">
      <c r="F5943"/>
    </row>
    <row r="5944" spans="6:6" x14ac:dyDescent="0.2">
      <c r="F5944"/>
    </row>
    <row r="5945" spans="6:6" x14ac:dyDescent="0.2">
      <c r="F5945"/>
    </row>
    <row r="5946" spans="6:6" x14ac:dyDescent="0.2">
      <c r="F5946"/>
    </row>
    <row r="5947" spans="6:6" x14ac:dyDescent="0.2">
      <c r="F5947"/>
    </row>
    <row r="5948" spans="6:6" x14ac:dyDescent="0.2">
      <c r="F5948"/>
    </row>
    <row r="5949" spans="6:6" x14ac:dyDescent="0.2">
      <c r="F5949"/>
    </row>
    <row r="5950" spans="6:6" x14ac:dyDescent="0.2">
      <c r="F5950"/>
    </row>
    <row r="5951" spans="6:6" x14ac:dyDescent="0.2">
      <c r="F5951"/>
    </row>
    <row r="5952" spans="6:6" x14ac:dyDescent="0.2">
      <c r="F5952"/>
    </row>
    <row r="5953" spans="6:6" x14ac:dyDescent="0.2">
      <c r="F5953"/>
    </row>
    <row r="5954" spans="6:6" x14ac:dyDescent="0.2">
      <c r="F5954"/>
    </row>
    <row r="5955" spans="6:6" x14ac:dyDescent="0.2">
      <c r="F5955"/>
    </row>
    <row r="5956" spans="6:6" x14ac:dyDescent="0.2">
      <c r="F5956"/>
    </row>
    <row r="5957" spans="6:6" x14ac:dyDescent="0.2">
      <c r="F5957"/>
    </row>
    <row r="5958" spans="6:6" x14ac:dyDescent="0.2">
      <c r="F5958"/>
    </row>
    <row r="5959" spans="6:6" x14ac:dyDescent="0.2">
      <c r="F5959"/>
    </row>
    <row r="5960" spans="6:6" x14ac:dyDescent="0.2">
      <c r="F5960"/>
    </row>
    <row r="5961" spans="6:6" x14ac:dyDescent="0.2">
      <c r="F5961"/>
    </row>
    <row r="5962" spans="6:6" x14ac:dyDescent="0.2">
      <c r="F5962"/>
    </row>
    <row r="5963" spans="6:6" x14ac:dyDescent="0.2">
      <c r="F5963"/>
    </row>
    <row r="5964" spans="6:6" x14ac:dyDescent="0.2">
      <c r="F5964"/>
    </row>
    <row r="5965" spans="6:6" x14ac:dyDescent="0.2">
      <c r="F5965"/>
    </row>
    <row r="5966" spans="6:6" x14ac:dyDescent="0.2">
      <c r="F5966"/>
    </row>
    <row r="5967" spans="6:6" x14ac:dyDescent="0.2">
      <c r="F5967"/>
    </row>
    <row r="5968" spans="6:6" x14ac:dyDescent="0.2">
      <c r="F5968"/>
    </row>
    <row r="5969" spans="6:6" x14ac:dyDescent="0.2">
      <c r="F5969"/>
    </row>
    <row r="5970" spans="6:6" x14ac:dyDescent="0.2">
      <c r="F5970"/>
    </row>
    <row r="5971" spans="6:6" x14ac:dyDescent="0.2">
      <c r="F5971"/>
    </row>
    <row r="5972" spans="6:6" x14ac:dyDescent="0.2">
      <c r="F5972"/>
    </row>
    <row r="5973" spans="6:6" x14ac:dyDescent="0.2">
      <c r="F5973"/>
    </row>
    <row r="5974" spans="6:6" x14ac:dyDescent="0.2">
      <c r="F5974"/>
    </row>
    <row r="5975" spans="6:6" x14ac:dyDescent="0.2">
      <c r="F5975"/>
    </row>
    <row r="5976" spans="6:6" x14ac:dyDescent="0.2">
      <c r="F5976"/>
    </row>
    <row r="5977" spans="6:6" x14ac:dyDescent="0.2">
      <c r="F5977"/>
    </row>
    <row r="5978" spans="6:6" x14ac:dyDescent="0.2">
      <c r="F5978"/>
    </row>
    <row r="5979" spans="6:6" x14ac:dyDescent="0.2">
      <c r="F5979"/>
    </row>
    <row r="5980" spans="6:6" x14ac:dyDescent="0.2">
      <c r="F5980"/>
    </row>
    <row r="5981" spans="6:6" x14ac:dyDescent="0.2">
      <c r="F5981"/>
    </row>
    <row r="5982" spans="6:6" x14ac:dyDescent="0.2">
      <c r="F5982"/>
    </row>
    <row r="5983" spans="6:6" x14ac:dyDescent="0.2">
      <c r="F5983"/>
    </row>
    <row r="5984" spans="6:6" x14ac:dyDescent="0.2">
      <c r="F5984"/>
    </row>
    <row r="5985" spans="6:6" x14ac:dyDescent="0.2">
      <c r="F5985"/>
    </row>
    <row r="5986" spans="6:6" x14ac:dyDescent="0.2">
      <c r="F5986"/>
    </row>
    <row r="5987" spans="6:6" x14ac:dyDescent="0.2">
      <c r="F5987"/>
    </row>
    <row r="5988" spans="6:6" x14ac:dyDescent="0.2">
      <c r="F5988"/>
    </row>
    <row r="5989" spans="6:6" x14ac:dyDescent="0.2">
      <c r="F5989"/>
    </row>
    <row r="5990" spans="6:6" x14ac:dyDescent="0.2">
      <c r="F5990"/>
    </row>
    <row r="5991" spans="6:6" x14ac:dyDescent="0.2">
      <c r="F5991"/>
    </row>
    <row r="5992" spans="6:6" x14ac:dyDescent="0.2">
      <c r="F5992"/>
    </row>
    <row r="5993" spans="6:6" x14ac:dyDescent="0.2">
      <c r="F5993"/>
    </row>
    <row r="5994" spans="6:6" x14ac:dyDescent="0.2">
      <c r="F5994"/>
    </row>
    <row r="5995" spans="6:6" x14ac:dyDescent="0.2">
      <c r="F5995"/>
    </row>
    <row r="5996" spans="6:6" x14ac:dyDescent="0.2">
      <c r="F5996"/>
    </row>
    <row r="5997" spans="6:6" x14ac:dyDescent="0.2">
      <c r="F5997"/>
    </row>
    <row r="5998" spans="6:6" x14ac:dyDescent="0.2">
      <c r="F5998"/>
    </row>
    <row r="5999" spans="6:6" x14ac:dyDescent="0.2">
      <c r="F5999"/>
    </row>
    <row r="6000" spans="6:6" x14ac:dyDescent="0.2">
      <c r="F6000"/>
    </row>
    <row r="6001" spans="6:6" x14ac:dyDescent="0.2">
      <c r="F6001"/>
    </row>
    <row r="6002" spans="6:6" x14ac:dyDescent="0.2">
      <c r="F6002"/>
    </row>
    <row r="6003" spans="6:6" x14ac:dyDescent="0.2">
      <c r="F6003"/>
    </row>
    <row r="6004" spans="6:6" x14ac:dyDescent="0.2">
      <c r="F6004"/>
    </row>
    <row r="6005" spans="6:6" x14ac:dyDescent="0.2">
      <c r="F6005"/>
    </row>
    <row r="6006" spans="6:6" x14ac:dyDescent="0.2">
      <c r="F6006"/>
    </row>
    <row r="6007" spans="6:6" x14ac:dyDescent="0.2">
      <c r="F6007"/>
    </row>
    <row r="6008" spans="6:6" x14ac:dyDescent="0.2">
      <c r="F6008"/>
    </row>
    <row r="6009" spans="6:6" x14ac:dyDescent="0.2">
      <c r="F6009"/>
    </row>
    <row r="6010" spans="6:6" x14ac:dyDescent="0.2">
      <c r="F6010"/>
    </row>
    <row r="6011" spans="6:6" x14ac:dyDescent="0.2">
      <c r="F6011"/>
    </row>
    <row r="6012" spans="6:6" x14ac:dyDescent="0.2">
      <c r="F6012"/>
    </row>
    <row r="6013" spans="6:6" x14ac:dyDescent="0.2">
      <c r="F6013"/>
    </row>
    <row r="6014" spans="6:6" x14ac:dyDescent="0.2">
      <c r="F6014"/>
    </row>
    <row r="6015" spans="6:6" x14ac:dyDescent="0.2">
      <c r="F6015"/>
    </row>
    <row r="6016" spans="6:6" x14ac:dyDescent="0.2">
      <c r="F6016"/>
    </row>
    <row r="6017" spans="6:6" x14ac:dyDescent="0.2">
      <c r="F6017"/>
    </row>
    <row r="6018" spans="6:6" x14ac:dyDescent="0.2">
      <c r="F6018"/>
    </row>
    <row r="6019" spans="6:6" x14ac:dyDescent="0.2">
      <c r="F6019"/>
    </row>
    <row r="6020" spans="6:6" x14ac:dyDescent="0.2">
      <c r="F6020"/>
    </row>
    <row r="6021" spans="6:6" x14ac:dyDescent="0.2">
      <c r="F6021"/>
    </row>
    <row r="6022" spans="6:6" x14ac:dyDescent="0.2">
      <c r="F6022"/>
    </row>
    <row r="6023" spans="6:6" x14ac:dyDescent="0.2">
      <c r="F6023"/>
    </row>
    <row r="6024" spans="6:6" x14ac:dyDescent="0.2">
      <c r="F6024"/>
    </row>
    <row r="6025" spans="6:6" x14ac:dyDescent="0.2">
      <c r="F6025"/>
    </row>
    <row r="6026" spans="6:6" x14ac:dyDescent="0.2">
      <c r="F6026"/>
    </row>
    <row r="6027" spans="6:6" x14ac:dyDescent="0.2">
      <c r="F6027"/>
    </row>
    <row r="6028" spans="6:6" x14ac:dyDescent="0.2">
      <c r="F6028"/>
    </row>
    <row r="6029" spans="6:6" x14ac:dyDescent="0.2">
      <c r="F6029"/>
    </row>
    <row r="6030" spans="6:6" x14ac:dyDescent="0.2">
      <c r="F6030"/>
    </row>
    <row r="6031" spans="6:6" x14ac:dyDescent="0.2">
      <c r="F6031"/>
    </row>
    <row r="6032" spans="6:6" x14ac:dyDescent="0.2">
      <c r="F6032"/>
    </row>
    <row r="6033" spans="6:6" x14ac:dyDescent="0.2">
      <c r="F6033"/>
    </row>
    <row r="6034" spans="6:6" x14ac:dyDescent="0.2">
      <c r="F6034"/>
    </row>
    <row r="6035" spans="6:6" x14ac:dyDescent="0.2">
      <c r="F6035"/>
    </row>
    <row r="6036" spans="6:6" x14ac:dyDescent="0.2">
      <c r="F6036"/>
    </row>
    <row r="6037" spans="6:6" x14ac:dyDescent="0.2">
      <c r="F6037"/>
    </row>
    <row r="6038" spans="6:6" x14ac:dyDescent="0.2">
      <c r="F6038"/>
    </row>
    <row r="6039" spans="6:6" x14ac:dyDescent="0.2">
      <c r="F6039"/>
    </row>
    <row r="6040" spans="6:6" x14ac:dyDescent="0.2">
      <c r="F6040"/>
    </row>
    <row r="6041" spans="6:6" x14ac:dyDescent="0.2">
      <c r="F6041"/>
    </row>
    <row r="6042" spans="6:6" x14ac:dyDescent="0.2">
      <c r="F6042"/>
    </row>
    <row r="6043" spans="6:6" x14ac:dyDescent="0.2">
      <c r="F6043"/>
    </row>
    <row r="6044" spans="6:6" x14ac:dyDescent="0.2">
      <c r="F6044"/>
    </row>
    <row r="6045" spans="6:6" x14ac:dyDescent="0.2">
      <c r="F6045"/>
    </row>
    <row r="6046" spans="6:6" x14ac:dyDescent="0.2">
      <c r="F6046"/>
    </row>
    <row r="6047" spans="6:6" x14ac:dyDescent="0.2">
      <c r="F6047"/>
    </row>
    <row r="6048" spans="6:6" x14ac:dyDescent="0.2">
      <c r="F6048"/>
    </row>
    <row r="6049" spans="6:6" x14ac:dyDescent="0.2">
      <c r="F6049"/>
    </row>
    <row r="6050" spans="6:6" x14ac:dyDescent="0.2">
      <c r="F6050"/>
    </row>
    <row r="6051" spans="6:6" x14ac:dyDescent="0.2">
      <c r="F6051"/>
    </row>
    <row r="6052" spans="6:6" x14ac:dyDescent="0.2">
      <c r="F6052"/>
    </row>
    <row r="6053" spans="6:6" x14ac:dyDescent="0.2">
      <c r="F6053"/>
    </row>
    <row r="6054" spans="6:6" x14ac:dyDescent="0.2">
      <c r="F6054"/>
    </row>
    <row r="6055" spans="6:6" x14ac:dyDescent="0.2">
      <c r="F6055"/>
    </row>
    <row r="6056" spans="6:6" x14ac:dyDescent="0.2">
      <c r="F6056"/>
    </row>
    <row r="6057" spans="6:6" x14ac:dyDescent="0.2">
      <c r="F6057"/>
    </row>
    <row r="6058" spans="6:6" x14ac:dyDescent="0.2">
      <c r="F6058"/>
    </row>
    <row r="6059" spans="6:6" x14ac:dyDescent="0.2">
      <c r="F6059"/>
    </row>
    <row r="6060" spans="6:6" x14ac:dyDescent="0.2">
      <c r="F6060"/>
    </row>
    <row r="6061" spans="6:6" x14ac:dyDescent="0.2">
      <c r="F6061"/>
    </row>
    <row r="6062" spans="6:6" x14ac:dyDescent="0.2">
      <c r="F6062"/>
    </row>
    <row r="6063" spans="6:6" x14ac:dyDescent="0.2">
      <c r="F6063"/>
    </row>
    <row r="6064" spans="6:6" x14ac:dyDescent="0.2">
      <c r="F6064"/>
    </row>
    <row r="6065" spans="6:6" x14ac:dyDescent="0.2">
      <c r="F6065"/>
    </row>
    <row r="6066" spans="6:6" x14ac:dyDescent="0.2">
      <c r="F6066"/>
    </row>
    <row r="6067" spans="6:6" x14ac:dyDescent="0.2">
      <c r="F6067"/>
    </row>
    <row r="6068" spans="6:6" x14ac:dyDescent="0.2">
      <c r="F6068"/>
    </row>
    <row r="6069" spans="6:6" x14ac:dyDescent="0.2">
      <c r="F6069"/>
    </row>
    <row r="6070" spans="6:6" x14ac:dyDescent="0.2">
      <c r="F6070"/>
    </row>
    <row r="6071" spans="6:6" x14ac:dyDescent="0.2">
      <c r="F6071"/>
    </row>
    <row r="6072" spans="6:6" x14ac:dyDescent="0.2">
      <c r="F6072"/>
    </row>
    <row r="6073" spans="6:6" x14ac:dyDescent="0.2">
      <c r="F6073"/>
    </row>
    <row r="6074" spans="6:6" x14ac:dyDescent="0.2">
      <c r="F6074"/>
    </row>
    <row r="6075" spans="6:6" x14ac:dyDescent="0.2">
      <c r="F6075"/>
    </row>
    <row r="6076" spans="6:6" x14ac:dyDescent="0.2">
      <c r="F6076"/>
    </row>
    <row r="6077" spans="6:6" x14ac:dyDescent="0.2">
      <c r="F6077"/>
    </row>
    <row r="6078" spans="6:6" x14ac:dyDescent="0.2">
      <c r="F6078"/>
    </row>
    <row r="6079" spans="6:6" x14ac:dyDescent="0.2">
      <c r="F6079"/>
    </row>
    <row r="6080" spans="6:6" x14ac:dyDescent="0.2">
      <c r="F6080"/>
    </row>
    <row r="6081" spans="6:6" x14ac:dyDescent="0.2">
      <c r="F6081"/>
    </row>
    <row r="6082" spans="6:6" x14ac:dyDescent="0.2">
      <c r="F6082"/>
    </row>
    <row r="6083" spans="6:6" x14ac:dyDescent="0.2">
      <c r="F6083"/>
    </row>
    <row r="6084" spans="6:6" x14ac:dyDescent="0.2">
      <c r="F6084"/>
    </row>
    <row r="6085" spans="6:6" x14ac:dyDescent="0.2">
      <c r="F6085"/>
    </row>
    <row r="6086" spans="6:6" x14ac:dyDescent="0.2">
      <c r="F6086"/>
    </row>
    <row r="6087" spans="6:6" x14ac:dyDescent="0.2">
      <c r="F6087"/>
    </row>
    <row r="6088" spans="6:6" x14ac:dyDescent="0.2">
      <c r="F6088"/>
    </row>
    <row r="6089" spans="6:6" x14ac:dyDescent="0.2">
      <c r="F6089"/>
    </row>
    <row r="6090" spans="6:6" x14ac:dyDescent="0.2">
      <c r="F6090"/>
    </row>
    <row r="6091" spans="6:6" x14ac:dyDescent="0.2">
      <c r="F6091"/>
    </row>
    <row r="6092" spans="6:6" x14ac:dyDescent="0.2">
      <c r="F6092"/>
    </row>
    <row r="6093" spans="6:6" x14ac:dyDescent="0.2">
      <c r="F6093"/>
    </row>
    <row r="6094" spans="6:6" x14ac:dyDescent="0.2">
      <c r="F6094"/>
    </row>
    <row r="6095" spans="6:6" x14ac:dyDescent="0.2">
      <c r="F6095"/>
    </row>
    <row r="6096" spans="6:6" x14ac:dyDescent="0.2">
      <c r="F6096"/>
    </row>
    <row r="6097" spans="6:6" x14ac:dyDescent="0.2">
      <c r="F6097"/>
    </row>
    <row r="6098" spans="6:6" x14ac:dyDescent="0.2">
      <c r="F6098"/>
    </row>
    <row r="6099" spans="6:6" x14ac:dyDescent="0.2">
      <c r="F6099"/>
    </row>
    <row r="6100" spans="6:6" x14ac:dyDescent="0.2">
      <c r="F6100"/>
    </row>
    <row r="6101" spans="6:6" x14ac:dyDescent="0.2">
      <c r="F6101"/>
    </row>
    <row r="6102" spans="6:6" x14ac:dyDescent="0.2">
      <c r="F6102"/>
    </row>
    <row r="6103" spans="6:6" x14ac:dyDescent="0.2">
      <c r="F6103"/>
    </row>
    <row r="6104" spans="6:6" x14ac:dyDescent="0.2">
      <c r="F6104"/>
    </row>
    <row r="6105" spans="6:6" x14ac:dyDescent="0.2">
      <c r="F6105"/>
    </row>
    <row r="6106" spans="6:6" x14ac:dyDescent="0.2">
      <c r="F6106"/>
    </row>
    <row r="6107" spans="6:6" x14ac:dyDescent="0.2">
      <c r="F6107"/>
    </row>
    <row r="6108" spans="6:6" x14ac:dyDescent="0.2">
      <c r="F6108"/>
    </row>
    <row r="6109" spans="6:6" x14ac:dyDescent="0.2">
      <c r="F6109"/>
    </row>
    <row r="6110" spans="6:6" x14ac:dyDescent="0.2">
      <c r="F6110"/>
    </row>
    <row r="6111" spans="6:6" x14ac:dyDescent="0.2">
      <c r="F6111"/>
    </row>
    <row r="6112" spans="6:6" x14ac:dyDescent="0.2">
      <c r="F6112"/>
    </row>
    <row r="6113" spans="6:6" x14ac:dyDescent="0.2">
      <c r="F6113"/>
    </row>
    <row r="6114" spans="6:6" x14ac:dyDescent="0.2">
      <c r="F6114"/>
    </row>
    <row r="6115" spans="6:6" x14ac:dyDescent="0.2">
      <c r="F6115"/>
    </row>
    <row r="6116" spans="6:6" x14ac:dyDescent="0.2">
      <c r="F6116"/>
    </row>
    <row r="6117" spans="6:6" x14ac:dyDescent="0.2">
      <c r="F6117"/>
    </row>
    <row r="6118" spans="6:6" x14ac:dyDescent="0.2">
      <c r="F6118"/>
    </row>
    <row r="6119" spans="6:6" x14ac:dyDescent="0.2">
      <c r="F6119"/>
    </row>
    <row r="6120" spans="6:6" x14ac:dyDescent="0.2">
      <c r="F6120"/>
    </row>
    <row r="6121" spans="6:6" x14ac:dyDescent="0.2">
      <c r="F6121"/>
    </row>
    <row r="6122" spans="6:6" x14ac:dyDescent="0.2">
      <c r="F6122"/>
    </row>
    <row r="6123" spans="6:6" x14ac:dyDescent="0.2">
      <c r="F6123"/>
    </row>
    <row r="6124" spans="6:6" x14ac:dyDescent="0.2">
      <c r="F6124"/>
    </row>
    <row r="6125" spans="6:6" x14ac:dyDescent="0.2">
      <c r="F6125"/>
    </row>
    <row r="6126" spans="6:6" x14ac:dyDescent="0.2">
      <c r="F6126"/>
    </row>
    <row r="6127" spans="6:6" x14ac:dyDescent="0.2">
      <c r="F6127"/>
    </row>
    <row r="6128" spans="6:6" x14ac:dyDescent="0.2">
      <c r="F6128"/>
    </row>
    <row r="6129" spans="6:6" x14ac:dyDescent="0.2">
      <c r="F6129"/>
    </row>
    <row r="6130" spans="6:6" x14ac:dyDescent="0.2">
      <c r="F6130"/>
    </row>
    <row r="6131" spans="6:6" x14ac:dyDescent="0.2">
      <c r="F6131"/>
    </row>
    <row r="6132" spans="6:6" x14ac:dyDescent="0.2">
      <c r="F6132"/>
    </row>
    <row r="6133" spans="6:6" x14ac:dyDescent="0.2">
      <c r="F6133"/>
    </row>
    <row r="6134" spans="6:6" x14ac:dyDescent="0.2">
      <c r="F6134"/>
    </row>
    <row r="6135" spans="6:6" x14ac:dyDescent="0.2">
      <c r="F6135"/>
    </row>
    <row r="6136" spans="6:6" x14ac:dyDescent="0.2">
      <c r="F6136"/>
    </row>
    <row r="6137" spans="6:6" x14ac:dyDescent="0.2">
      <c r="F6137"/>
    </row>
    <row r="6138" spans="6:6" x14ac:dyDescent="0.2">
      <c r="F6138"/>
    </row>
    <row r="6139" spans="6:6" x14ac:dyDescent="0.2">
      <c r="F6139"/>
    </row>
    <row r="6140" spans="6:6" x14ac:dyDescent="0.2">
      <c r="F6140"/>
    </row>
    <row r="6141" spans="6:6" x14ac:dyDescent="0.2">
      <c r="F6141"/>
    </row>
    <row r="6142" spans="6:6" x14ac:dyDescent="0.2">
      <c r="F6142"/>
    </row>
    <row r="6143" spans="6:6" x14ac:dyDescent="0.2">
      <c r="F6143"/>
    </row>
    <row r="6144" spans="6:6" x14ac:dyDescent="0.2">
      <c r="F6144"/>
    </row>
    <row r="6145" spans="6:6" x14ac:dyDescent="0.2">
      <c r="F6145"/>
    </row>
    <row r="6146" spans="6:6" x14ac:dyDescent="0.2">
      <c r="F6146"/>
    </row>
    <row r="6147" spans="6:6" x14ac:dyDescent="0.2">
      <c r="F6147"/>
    </row>
    <row r="6148" spans="6:6" x14ac:dyDescent="0.2">
      <c r="F6148"/>
    </row>
    <row r="6149" spans="6:6" x14ac:dyDescent="0.2">
      <c r="F6149"/>
    </row>
    <row r="6150" spans="6:6" x14ac:dyDescent="0.2">
      <c r="F6150"/>
    </row>
    <row r="6151" spans="6:6" x14ac:dyDescent="0.2">
      <c r="F6151"/>
    </row>
    <row r="6152" spans="6:6" x14ac:dyDescent="0.2">
      <c r="F6152"/>
    </row>
    <row r="6153" spans="6:6" x14ac:dyDescent="0.2">
      <c r="F6153"/>
    </row>
    <row r="6154" spans="6:6" x14ac:dyDescent="0.2">
      <c r="F6154"/>
    </row>
    <row r="6155" spans="6:6" x14ac:dyDescent="0.2">
      <c r="F6155"/>
    </row>
    <row r="6156" spans="6:6" x14ac:dyDescent="0.2">
      <c r="F6156"/>
    </row>
    <row r="6157" spans="6:6" x14ac:dyDescent="0.2">
      <c r="F6157"/>
    </row>
    <row r="6158" spans="6:6" x14ac:dyDescent="0.2">
      <c r="F6158"/>
    </row>
    <row r="6159" spans="6:6" x14ac:dyDescent="0.2">
      <c r="F6159"/>
    </row>
    <row r="6160" spans="6:6" x14ac:dyDescent="0.2">
      <c r="F6160"/>
    </row>
    <row r="6161" spans="6:6" x14ac:dyDescent="0.2">
      <c r="F6161"/>
    </row>
    <row r="6162" spans="6:6" x14ac:dyDescent="0.2">
      <c r="F6162"/>
    </row>
    <row r="6163" spans="6:6" x14ac:dyDescent="0.2">
      <c r="F6163"/>
    </row>
    <row r="6164" spans="6:6" x14ac:dyDescent="0.2">
      <c r="F6164"/>
    </row>
    <row r="6165" spans="6:6" x14ac:dyDescent="0.2">
      <c r="F6165"/>
    </row>
    <row r="6166" spans="6:6" x14ac:dyDescent="0.2">
      <c r="F6166"/>
    </row>
    <row r="6167" spans="6:6" x14ac:dyDescent="0.2">
      <c r="F6167"/>
    </row>
    <row r="6168" spans="6:6" x14ac:dyDescent="0.2">
      <c r="F6168"/>
    </row>
    <row r="6169" spans="6:6" x14ac:dyDescent="0.2">
      <c r="F6169"/>
    </row>
    <row r="6170" spans="6:6" x14ac:dyDescent="0.2">
      <c r="F6170"/>
    </row>
    <row r="6171" spans="6:6" x14ac:dyDescent="0.2">
      <c r="F6171"/>
    </row>
    <row r="6172" spans="6:6" x14ac:dyDescent="0.2">
      <c r="F6172"/>
    </row>
    <row r="6173" spans="6:6" x14ac:dyDescent="0.2">
      <c r="F6173"/>
    </row>
    <row r="6174" spans="6:6" x14ac:dyDescent="0.2">
      <c r="F6174"/>
    </row>
    <row r="6175" spans="6:6" x14ac:dyDescent="0.2">
      <c r="F6175"/>
    </row>
    <row r="6176" spans="6:6" x14ac:dyDescent="0.2">
      <c r="F6176"/>
    </row>
    <row r="6177" spans="6:6" x14ac:dyDescent="0.2">
      <c r="F6177"/>
    </row>
    <row r="6178" spans="6:6" x14ac:dyDescent="0.2">
      <c r="F6178"/>
    </row>
    <row r="6179" spans="6:6" x14ac:dyDescent="0.2">
      <c r="F6179"/>
    </row>
    <row r="6180" spans="6:6" x14ac:dyDescent="0.2">
      <c r="F6180"/>
    </row>
    <row r="6181" spans="6:6" x14ac:dyDescent="0.2">
      <c r="F6181"/>
    </row>
    <row r="6182" spans="6:6" x14ac:dyDescent="0.2">
      <c r="F6182"/>
    </row>
    <row r="6183" spans="6:6" x14ac:dyDescent="0.2">
      <c r="F6183"/>
    </row>
    <row r="6184" spans="6:6" x14ac:dyDescent="0.2">
      <c r="F6184"/>
    </row>
    <row r="6185" spans="6:6" x14ac:dyDescent="0.2">
      <c r="F6185"/>
    </row>
    <row r="6186" spans="6:6" x14ac:dyDescent="0.2">
      <c r="F6186"/>
    </row>
    <row r="6187" spans="6:6" x14ac:dyDescent="0.2">
      <c r="F6187"/>
    </row>
    <row r="6188" spans="6:6" x14ac:dyDescent="0.2">
      <c r="F6188"/>
    </row>
    <row r="6189" spans="6:6" x14ac:dyDescent="0.2">
      <c r="F6189"/>
    </row>
    <row r="6190" spans="6:6" x14ac:dyDescent="0.2">
      <c r="F6190"/>
    </row>
    <row r="6191" spans="6:6" x14ac:dyDescent="0.2">
      <c r="F6191"/>
    </row>
    <row r="6192" spans="6:6" x14ac:dyDescent="0.2">
      <c r="F6192"/>
    </row>
    <row r="6193" spans="6:6" x14ac:dyDescent="0.2">
      <c r="F6193"/>
    </row>
    <row r="6194" spans="6:6" x14ac:dyDescent="0.2">
      <c r="F6194"/>
    </row>
    <row r="6195" spans="6:6" x14ac:dyDescent="0.2">
      <c r="F6195"/>
    </row>
    <row r="6196" spans="6:6" x14ac:dyDescent="0.2">
      <c r="F6196"/>
    </row>
    <row r="6197" spans="6:6" x14ac:dyDescent="0.2">
      <c r="F6197"/>
    </row>
    <row r="6198" spans="6:6" x14ac:dyDescent="0.2">
      <c r="F6198"/>
    </row>
    <row r="6199" spans="6:6" x14ac:dyDescent="0.2">
      <c r="F6199"/>
    </row>
    <row r="6200" spans="6:6" x14ac:dyDescent="0.2">
      <c r="F6200"/>
    </row>
    <row r="6201" spans="6:6" x14ac:dyDescent="0.2">
      <c r="F6201"/>
    </row>
    <row r="6202" spans="6:6" x14ac:dyDescent="0.2">
      <c r="F6202"/>
    </row>
    <row r="6203" spans="6:6" x14ac:dyDescent="0.2">
      <c r="F6203"/>
    </row>
    <row r="6204" spans="6:6" x14ac:dyDescent="0.2">
      <c r="F6204"/>
    </row>
    <row r="6205" spans="6:6" x14ac:dyDescent="0.2">
      <c r="F6205"/>
    </row>
    <row r="6206" spans="6:6" x14ac:dyDescent="0.2">
      <c r="F6206"/>
    </row>
    <row r="6207" spans="6:6" x14ac:dyDescent="0.2">
      <c r="F6207"/>
    </row>
    <row r="6208" spans="6:6" x14ac:dyDescent="0.2">
      <c r="F6208"/>
    </row>
    <row r="6209" spans="6:6" x14ac:dyDescent="0.2">
      <c r="F6209"/>
    </row>
    <row r="6210" spans="6:6" x14ac:dyDescent="0.2">
      <c r="F6210"/>
    </row>
    <row r="6211" spans="6:6" x14ac:dyDescent="0.2">
      <c r="F6211"/>
    </row>
    <row r="6212" spans="6:6" x14ac:dyDescent="0.2">
      <c r="F6212"/>
    </row>
    <row r="6213" spans="6:6" x14ac:dyDescent="0.2">
      <c r="F6213"/>
    </row>
    <row r="6214" spans="6:6" x14ac:dyDescent="0.2">
      <c r="F6214"/>
    </row>
    <row r="6215" spans="6:6" x14ac:dyDescent="0.2">
      <c r="F6215"/>
    </row>
    <row r="6216" spans="6:6" x14ac:dyDescent="0.2">
      <c r="F6216"/>
    </row>
    <row r="6217" spans="6:6" x14ac:dyDescent="0.2">
      <c r="F6217"/>
    </row>
    <row r="6218" spans="6:6" x14ac:dyDescent="0.2">
      <c r="F6218"/>
    </row>
    <row r="6219" spans="6:6" x14ac:dyDescent="0.2">
      <c r="F6219"/>
    </row>
    <row r="6220" spans="6:6" x14ac:dyDescent="0.2">
      <c r="F6220"/>
    </row>
    <row r="6221" spans="6:6" x14ac:dyDescent="0.2">
      <c r="F6221"/>
    </row>
    <row r="6222" spans="6:6" x14ac:dyDescent="0.2">
      <c r="F6222"/>
    </row>
    <row r="6223" spans="6:6" x14ac:dyDescent="0.2">
      <c r="F6223"/>
    </row>
    <row r="6224" spans="6:6" x14ac:dyDescent="0.2">
      <c r="F6224"/>
    </row>
    <row r="6225" spans="6:6" x14ac:dyDescent="0.2">
      <c r="F6225"/>
    </row>
    <row r="6226" spans="6:6" x14ac:dyDescent="0.2">
      <c r="F6226"/>
    </row>
    <row r="6227" spans="6:6" x14ac:dyDescent="0.2">
      <c r="F6227"/>
    </row>
    <row r="6228" spans="6:6" x14ac:dyDescent="0.2">
      <c r="F6228"/>
    </row>
    <row r="6229" spans="6:6" x14ac:dyDescent="0.2">
      <c r="F6229"/>
    </row>
    <row r="6230" spans="6:6" x14ac:dyDescent="0.2">
      <c r="F6230"/>
    </row>
    <row r="6231" spans="6:6" x14ac:dyDescent="0.2">
      <c r="F6231"/>
    </row>
    <row r="6232" spans="6:6" x14ac:dyDescent="0.2">
      <c r="F6232"/>
    </row>
    <row r="6233" spans="6:6" x14ac:dyDescent="0.2">
      <c r="F6233"/>
    </row>
    <row r="6234" spans="6:6" x14ac:dyDescent="0.2">
      <c r="F6234"/>
    </row>
    <row r="6235" spans="6:6" x14ac:dyDescent="0.2">
      <c r="F6235"/>
    </row>
    <row r="6236" spans="6:6" x14ac:dyDescent="0.2">
      <c r="F6236"/>
    </row>
    <row r="6237" spans="6:6" x14ac:dyDescent="0.2">
      <c r="F6237"/>
    </row>
    <row r="6238" spans="6:6" x14ac:dyDescent="0.2">
      <c r="F6238"/>
    </row>
    <row r="6239" spans="6:6" x14ac:dyDescent="0.2">
      <c r="F6239"/>
    </row>
    <row r="6240" spans="6:6" x14ac:dyDescent="0.2">
      <c r="F6240"/>
    </row>
    <row r="6241" spans="6:6" x14ac:dyDescent="0.2">
      <c r="F6241"/>
    </row>
    <row r="6242" spans="6:6" x14ac:dyDescent="0.2">
      <c r="F6242"/>
    </row>
    <row r="6243" spans="6:6" x14ac:dyDescent="0.2">
      <c r="F6243"/>
    </row>
    <row r="6244" spans="6:6" x14ac:dyDescent="0.2">
      <c r="F6244"/>
    </row>
    <row r="6245" spans="6:6" x14ac:dyDescent="0.2">
      <c r="F6245"/>
    </row>
    <row r="6246" spans="6:6" x14ac:dyDescent="0.2">
      <c r="F6246"/>
    </row>
    <row r="6247" spans="6:6" x14ac:dyDescent="0.2">
      <c r="F6247"/>
    </row>
    <row r="6248" spans="6:6" x14ac:dyDescent="0.2">
      <c r="F6248"/>
    </row>
    <row r="6249" spans="6:6" x14ac:dyDescent="0.2">
      <c r="F6249"/>
    </row>
    <row r="6250" spans="6:6" x14ac:dyDescent="0.2">
      <c r="F6250"/>
    </row>
    <row r="6251" spans="6:6" x14ac:dyDescent="0.2">
      <c r="F6251"/>
    </row>
    <row r="6252" spans="6:6" x14ac:dyDescent="0.2">
      <c r="F6252"/>
    </row>
    <row r="6253" spans="6:6" x14ac:dyDescent="0.2">
      <c r="F6253"/>
    </row>
    <row r="6254" spans="6:6" x14ac:dyDescent="0.2">
      <c r="F6254"/>
    </row>
    <row r="6255" spans="6:6" x14ac:dyDescent="0.2">
      <c r="F6255"/>
    </row>
    <row r="6256" spans="6:6" x14ac:dyDescent="0.2">
      <c r="F6256"/>
    </row>
    <row r="6257" spans="6:6" x14ac:dyDescent="0.2">
      <c r="F6257"/>
    </row>
    <row r="6258" spans="6:6" x14ac:dyDescent="0.2">
      <c r="F6258"/>
    </row>
    <row r="6259" spans="6:6" x14ac:dyDescent="0.2">
      <c r="F6259"/>
    </row>
    <row r="6260" spans="6:6" x14ac:dyDescent="0.2">
      <c r="F6260"/>
    </row>
    <row r="6261" spans="6:6" x14ac:dyDescent="0.2">
      <c r="F6261"/>
    </row>
    <row r="6262" spans="6:6" x14ac:dyDescent="0.2">
      <c r="F6262"/>
    </row>
    <row r="6263" spans="6:6" x14ac:dyDescent="0.2">
      <c r="F6263"/>
    </row>
    <row r="6264" spans="6:6" x14ac:dyDescent="0.2">
      <c r="F6264"/>
    </row>
    <row r="6265" spans="6:6" x14ac:dyDescent="0.2">
      <c r="F6265"/>
    </row>
    <row r="6266" spans="6:6" x14ac:dyDescent="0.2">
      <c r="F6266"/>
    </row>
    <row r="6267" spans="6:6" x14ac:dyDescent="0.2">
      <c r="F6267"/>
    </row>
    <row r="6268" spans="6:6" x14ac:dyDescent="0.2">
      <c r="F6268"/>
    </row>
    <row r="6269" spans="6:6" x14ac:dyDescent="0.2">
      <c r="F6269"/>
    </row>
    <row r="6270" spans="6:6" x14ac:dyDescent="0.2">
      <c r="F6270"/>
    </row>
    <row r="6271" spans="6:6" x14ac:dyDescent="0.2">
      <c r="F6271"/>
    </row>
    <row r="6272" spans="6:6" x14ac:dyDescent="0.2">
      <c r="F6272"/>
    </row>
    <row r="6273" spans="6:6" x14ac:dyDescent="0.2">
      <c r="F6273"/>
    </row>
    <row r="6274" spans="6:6" x14ac:dyDescent="0.2">
      <c r="F6274"/>
    </row>
    <row r="6275" spans="6:6" x14ac:dyDescent="0.2">
      <c r="F6275"/>
    </row>
    <row r="6276" spans="6:6" x14ac:dyDescent="0.2">
      <c r="F6276"/>
    </row>
    <row r="6277" spans="6:6" x14ac:dyDescent="0.2">
      <c r="F6277"/>
    </row>
    <row r="6278" spans="6:6" x14ac:dyDescent="0.2">
      <c r="F6278"/>
    </row>
    <row r="6279" spans="6:6" x14ac:dyDescent="0.2">
      <c r="F6279"/>
    </row>
    <row r="6280" spans="6:6" x14ac:dyDescent="0.2">
      <c r="F6280"/>
    </row>
    <row r="6281" spans="6:6" x14ac:dyDescent="0.2">
      <c r="F6281"/>
    </row>
    <row r="6282" spans="6:6" x14ac:dyDescent="0.2">
      <c r="F6282"/>
    </row>
    <row r="6283" spans="6:6" x14ac:dyDescent="0.2">
      <c r="F6283"/>
    </row>
    <row r="6284" spans="6:6" x14ac:dyDescent="0.2">
      <c r="F6284"/>
    </row>
    <row r="6285" spans="6:6" x14ac:dyDescent="0.2">
      <c r="F6285"/>
    </row>
    <row r="6286" spans="6:6" x14ac:dyDescent="0.2">
      <c r="F6286"/>
    </row>
    <row r="6287" spans="6:6" x14ac:dyDescent="0.2">
      <c r="F6287"/>
    </row>
    <row r="6288" spans="6:6" x14ac:dyDescent="0.2">
      <c r="F6288"/>
    </row>
    <row r="6289" spans="6:6" x14ac:dyDescent="0.2">
      <c r="F6289"/>
    </row>
    <row r="6290" spans="6:6" x14ac:dyDescent="0.2">
      <c r="F6290"/>
    </row>
    <row r="6291" spans="6:6" x14ac:dyDescent="0.2">
      <c r="F6291"/>
    </row>
    <row r="6292" spans="6:6" x14ac:dyDescent="0.2">
      <c r="F6292"/>
    </row>
    <row r="6293" spans="6:6" x14ac:dyDescent="0.2">
      <c r="F6293"/>
    </row>
    <row r="6294" spans="6:6" x14ac:dyDescent="0.2">
      <c r="F6294"/>
    </row>
    <row r="6295" spans="6:6" x14ac:dyDescent="0.2">
      <c r="F6295"/>
    </row>
    <row r="6296" spans="6:6" x14ac:dyDescent="0.2">
      <c r="F6296"/>
    </row>
    <row r="6297" spans="6:6" x14ac:dyDescent="0.2">
      <c r="F6297"/>
    </row>
    <row r="6298" spans="6:6" x14ac:dyDescent="0.2">
      <c r="F6298"/>
    </row>
    <row r="6299" spans="6:6" x14ac:dyDescent="0.2">
      <c r="F6299"/>
    </row>
    <row r="6300" spans="6:6" x14ac:dyDescent="0.2">
      <c r="F6300"/>
    </row>
    <row r="6301" spans="6:6" x14ac:dyDescent="0.2">
      <c r="F6301"/>
    </row>
    <row r="6302" spans="6:6" x14ac:dyDescent="0.2">
      <c r="F6302"/>
    </row>
    <row r="6303" spans="6:6" x14ac:dyDescent="0.2">
      <c r="F6303"/>
    </row>
    <row r="6304" spans="6:6" x14ac:dyDescent="0.2">
      <c r="F6304"/>
    </row>
    <row r="6305" spans="6:6" x14ac:dyDescent="0.2">
      <c r="F6305"/>
    </row>
    <row r="6306" spans="6:6" x14ac:dyDescent="0.2">
      <c r="F6306"/>
    </row>
    <row r="6307" spans="6:6" x14ac:dyDescent="0.2">
      <c r="F6307"/>
    </row>
    <row r="6308" spans="6:6" x14ac:dyDescent="0.2">
      <c r="F6308"/>
    </row>
    <row r="6309" spans="6:6" x14ac:dyDescent="0.2">
      <c r="F6309"/>
    </row>
    <row r="6310" spans="6:6" x14ac:dyDescent="0.2">
      <c r="F6310"/>
    </row>
    <row r="6311" spans="6:6" x14ac:dyDescent="0.2">
      <c r="F6311"/>
    </row>
    <row r="6312" spans="6:6" x14ac:dyDescent="0.2">
      <c r="F6312"/>
    </row>
    <row r="6313" spans="6:6" x14ac:dyDescent="0.2">
      <c r="F6313"/>
    </row>
    <row r="6314" spans="6:6" x14ac:dyDescent="0.2">
      <c r="F6314"/>
    </row>
    <row r="6315" spans="6:6" x14ac:dyDescent="0.2">
      <c r="F6315"/>
    </row>
    <row r="6316" spans="6:6" x14ac:dyDescent="0.2">
      <c r="F6316"/>
    </row>
    <row r="6317" spans="6:6" x14ac:dyDescent="0.2">
      <c r="F6317"/>
    </row>
    <row r="6318" spans="6:6" x14ac:dyDescent="0.2">
      <c r="F6318"/>
    </row>
    <row r="6319" spans="6:6" x14ac:dyDescent="0.2">
      <c r="F6319"/>
    </row>
    <row r="6320" spans="6:6" x14ac:dyDescent="0.2">
      <c r="F6320"/>
    </row>
    <row r="6321" spans="6:6" x14ac:dyDescent="0.2">
      <c r="F6321"/>
    </row>
    <row r="6322" spans="6:6" x14ac:dyDescent="0.2">
      <c r="F6322"/>
    </row>
    <row r="6323" spans="6:6" x14ac:dyDescent="0.2">
      <c r="F6323"/>
    </row>
    <row r="6324" spans="6:6" x14ac:dyDescent="0.2">
      <c r="F6324"/>
    </row>
    <row r="6325" spans="6:6" x14ac:dyDescent="0.2">
      <c r="F6325"/>
    </row>
    <row r="6326" spans="6:6" x14ac:dyDescent="0.2">
      <c r="F6326"/>
    </row>
    <row r="6327" spans="6:6" x14ac:dyDescent="0.2">
      <c r="F6327"/>
    </row>
    <row r="6328" spans="6:6" x14ac:dyDescent="0.2">
      <c r="F6328"/>
    </row>
    <row r="6329" spans="6:6" x14ac:dyDescent="0.2">
      <c r="F6329"/>
    </row>
    <row r="6330" spans="6:6" x14ac:dyDescent="0.2">
      <c r="F6330"/>
    </row>
    <row r="6331" spans="6:6" x14ac:dyDescent="0.2">
      <c r="F6331"/>
    </row>
    <row r="6332" spans="6:6" x14ac:dyDescent="0.2">
      <c r="F6332"/>
    </row>
    <row r="6333" spans="6:6" x14ac:dyDescent="0.2">
      <c r="F6333"/>
    </row>
    <row r="6334" spans="6:6" x14ac:dyDescent="0.2">
      <c r="F6334"/>
    </row>
    <row r="6335" spans="6:6" x14ac:dyDescent="0.2">
      <c r="F6335"/>
    </row>
    <row r="6336" spans="6:6" x14ac:dyDescent="0.2">
      <c r="F6336"/>
    </row>
    <row r="6337" spans="6:6" x14ac:dyDescent="0.2">
      <c r="F6337"/>
    </row>
    <row r="6338" spans="6:6" x14ac:dyDescent="0.2">
      <c r="F6338"/>
    </row>
    <row r="6339" spans="6:6" x14ac:dyDescent="0.2">
      <c r="F6339"/>
    </row>
    <row r="6340" spans="6:6" x14ac:dyDescent="0.2">
      <c r="F6340"/>
    </row>
    <row r="6341" spans="6:6" x14ac:dyDescent="0.2">
      <c r="F6341"/>
    </row>
    <row r="6342" spans="6:6" x14ac:dyDescent="0.2">
      <c r="F6342"/>
    </row>
    <row r="6343" spans="6:6" x14ac:dyDescent="0.2">
      <c r="F6343"/>
    </row>
    <row r="6344" spans="6:6" x14ac:dyDescent="0.2">
      <c r="F6344"/>
    </row>
    <row r="6345" spans="6:6" x14ac:dyDescent="0.2">
      <c r="F6345"/>
    </row>
    <row r="6346" spans="6:6" x14ac:dyDescent="0.2">
      <c r="F6346"/>
    </row>
    <row r="6347" spans="6:6" x14ac:dyDescent="0.2">
      <c r="F6347"/>
    </row>
    <row r="6348" spans="6:6" x14ac:dyDescent="0.2">
      <c r="F6348"/>
    </row>
    <row r="6349" spans="6:6" x14ac:dyDescent="0.2">
      <c r="F6349"/>
    </row>
    <row r="6350" spans="6:6" x14ac:dyDescent="0.2">
      <c r="F6350"/>
    </row>
    <row r="6351" spans="6:6" x14ac:dyDescent="0.2">
      <c r="F6351"/>
    </row>
    <row r="6352" spans="6:6" x14ac:dyDescent="0.2">
      <c r="F6352"/>
    </row>
    <row r="6353" spans="6:6" x14ac:dyDescent="0.2">
      <c r="F6353"/>
    </row>
    <row r="6354" spans="6:6" x14ac:dyDescent="0.2">
      <c r="F6354"/>
    </row>
    <row r="6355" spans="6:6" x14ac:dyDescent="0.2">
      <c r="F6355"/>
    </row>
    <row r="6356" spans="6:6" x14ac:dyDescent="0.2">
      <c r="F6356"/>
    </row>
    <row r="6357" spans="6:6" x14ac:dyDescent="0.2">
      <c r="F6357"/>
    </row>
    <row r="6358" spans="6:6" x14ac:dyDescent="0.2">
      <c r="F6358"/>
    </row>
    <row r="6359" spans="6:6" x14ac:dyDescent="0.2">
      <c r="F6359"/>
    </row>
    <row r="6360" spans="6:6" x14ac:dyDescent="0.2">
      <c r="F6360"/>
    </row>
    <row r="6361" spans="6:6" x14ac:dyDescent="0.2">
      <c r="F6361"/>
    </row>
    <row r="6362" spans="6:6" x14ac:dyDescent="0.2">
      <c r="F6362"/>
    </row>
    <row r="6363" spans="6:6" x14ac:dyDescent="0.2">
      <c r="F6363"/>
    </row>
    <row r="6364" spans="6:6" x14ac:dyDescent="0.2">
      <c r="F6364"/>
    </row>
    <row r="6365" spans="6:6" x14ac:dyDescent="0.2">
      <c r="F6365"/>
    </row>
    <row r="6366" spans="6:6" x14ac:dyDescent="0.2">
      <c r="F6366"/>
    </row>
    <row r="6367" spans="6:6" x14ac:dyDescent="0.2">
      <c r="F6367"/>
    </row>
    <row r="6368" spans="6:6" x14ac:dyDescent="0.2">
      <c r="F6368"/>
    </row>
    <row r="6369" spans="6:6" x14ac:dyDescent="0.2">
      <c r="F6369"/>
    </row>
    <row r="6370" spans="6:6" x14ac:dyDescent="0.2">
      <c r="F6370"/>
    </row>
    <row r="6371" spans="6:6" x14ac:dyDescent="0.2">
      <c r="F6371"/>
    </row>
    <row r="6372" spans="6:6" x14ac:dyDescent="0.2">
      <c r="F6372"/>
    </row>
    <row r="6373" spans="6:6" x14ac:dyDescent="0.2">
      <c r="F6373"/>
    </row>
    <row r="6374" spans="6:6" x14ac:dyDescent="0.2">
      <c r="F6374"/>
    </row>
    <row r="6375" spans="6:6" x14ac:dyDescent="0.2">
      <c r="F6375"/>
    </row>
    <row r="6376" spans="6:6" x14ac:dyDescent="0.2">
      <c r="F6376"/>
    </row>
    <row r="6377" spans="6:6" x14ac:dyDescent="0.2">
      <c r="F6377"/>
    </row>
    <row r="6378" spans="6:6" x14ac:dyDescent="0.2">
      <c r="F6378"/>
    </row>
    <row r="6379" spans="6:6" x14ac:dyDescent="0.2">
      <c r="F6379"/>
    </row>
    <row r="6380" spans="6:6" x14ac:dyDescent="0.2">
      <c r="F6380"/>
    </row>
    <row r="6381" spans="6:6" x14ac:dyDescent="0.2">
      <c r="F6381"/>
    </row>
    <row r="6382" spans="6:6" x14ac:dyDescent="0.2">
      <c r="F6382"/>
    </row>
    <row r="6383" spans="6:6" x14ac:dyDescent="0.2">
      <c r="F6383"/>
    </row>
    <row r="6384" spans="6:6" x14ac:dyDescent="0.2">
      <c r="F6384"/>
    </row>
    <row r="6385" spans="6:6" x14ac:dyDescent="0.2">
      <c r="F6385"/>
    </row>
    <row r="6386" spans="6:6" x14ac:dyDescent="0.2">
      <c r="F6386"/>
    </row>
    <row r="6387" spans="6:6" x14ac:dyDescent="0.2">
      <c r="F6387"/>
    </row>
    <row r="6388" spans="6:6" x14ac:dyDescent="0.2">
      <c r="F6388"/>
    </row>
    <row r="6389" spans="6:6" x14ac:dyDescent="0.2">
      <c r="F6389"/>
    </row>
    <row r="6390" spans="6:6" x14ac:dyDescent="0.2">
      <c r="F6390"/>
    </row>
    <row r="6391" spans="6:6" x14ac:dyDescent="0.2">
      <c r="F6391"/>
    </row>
    <row r="6392" spans="6:6" x14ac:dyDescent="0.2">
      <c r="F6392"/>
    </row>
    <row r="6393" spans="6:6" x14ac:dyDescent="0.2">
      <c r="F6393"/>
    </row>
    <row r="6394" spans="6:6" x14ac:dyDescent="0.2">
      <c r="F6394"/>
    </row>
    <row r="6395" spans="6:6" x14ac:dyDescent="0.2">
      <c r="F6395"/>
    </row>
    <row r="6396" spans="6:6" x14ac:dyDescent="0.2">
      <c r="F6396"/>
    </row>
    <row r="6397" spans="6:6" x14ac:dyDescent="0.2">
      <c r="F6397"/>
    </row>
    <row r="6398" spans="6:6" x14ac:dyDescent="0.2">
      <c r="F6398"/>
    </row>
    <row r="6399" spans="6:6" x14ac:dyDescent="0.2">
      <c r="F6399"/>
    </row>
    <row r="6400" spans="6:6" x14ac:dyDescent="0.2">
      <c r="F6400"/>
    </row>
    <row r="6401" spans="6:6" x14ac:dyDescent="0.2">
      <c r="F6401"/>
    </row>
    <row r="6402" spans="6:6" x14ac:dyDescent="0.2">
      <c r="F6402"/>
    </row>
    <row r="6403" spans="6:6" x14ac:dyDescent="0.2">
      <c r="F6403"/>
    </row>
    <row r="6404" spans="6:6" x14ac:dyDescent="0.2">
      <c r="F6404"/>
    </row>
    <row r="6405" spans="6:6" x14ac:dyDescent="0.2">
      <c r="F6405"/>
    </row>
    <row r="6406" spans="6:6" x14ac:dyDescent="0.2">
      <c r="F6406"/>
    </row>
    <row r="6407" spans="6:6" x14ac:dyDescent="0.2">
      <c r="F6407"/>
    </row>
    <row r="6408" spans="6:6" x14ac:dyDescent="0.2">
      <c r="F6408"/>
    </row>
    <row r="6409" spans="6:6" x14ac:dyDescent="0.2">
      <c r="F6409"/>
    </row>
    <row r="6410" spans="6:6" x14ac:dyDescent="0.2">
      <c r="F6410"/>
    </row>
    <row r="6411" spans="6:6" x14ac:dyDescent="0.2">
      <c r="F6411"/>
    </row>
    <row r="6412" spans="6:6" x14ac:dyDescent="0.2">
      <c r="F6412"/>
    </row>
    <row r="6413" spans="6:6" x14ac:dyDescent="0.2">
      <c r="F6413"/>
    </row>
    <row r="6414" spans="6:6" x14ac:dyDescent="0.2">
      <c r="F6414"/>
    </row>
    <row r="6415" spans="6:6" x14ac:dyDescent="0.2">
      <c r="F6415"/>
    </row>
    <row r="6416" spans="6:6" x14ac:dyDescent="0.2">
      <c r="F6416"/>
    </row>
    <row r="6417" spans="6:6" x14ac:dyDescent="0.2">
      <c r="F6417"/>
    </row>
    <row r="6418" spans="6:6" x14ac:dyDescent="0.2">
      <c r="F6418"/>
    </row>
    <row r="6419" spans="6:6" x14ac:dyDescent="0.2">
      <c r="F6419"/>
    </row>
    <row r="6420" spans="6:6" x14ac:dyDescent="0.2">
      <c r="F6420"/>
    </row>
    <row r="6421" spans="6:6" x14ac:dyDescent="0.2">
      <c r="F6421"/>
    </row>
    <row r="6422" spans="6:6" x14ac:dyDescent="0.2">
      <c r="F6422"/>
    </row>
    <row r="6423" spans="6:6" x14ac:dyDescent="0.2">
      <c r="F6423"/>
    </row>
    <row r="6424" spans="6:6" x14ac:dyDescent="0.2">
      <c r="F6424"/>
    </row>
    <row r="6425" spans="6:6" x14ac:dyDescent="0.2">
      <c r="F6425"/>
    </row>
    <row r="6426" spans="6:6" x14ac:dyDescent="0.2">
      <c r="F6426"/>
    </row>
    <row r="6427" spans="6:6" x14ac:dyDescent="0.2">
      <c r="F6427"/>
    </row>
    <row r="6428" spans="6:6" x14ac:dyDescent="0.2">
      <c r="F6428"/>
    </row>
    <row r="6429" spans="6:6" x14ac:dyDescent="0.2">
      <c r="F6429"/>
    </row>
    <row r="6430" spans="6:6" x14ac:dyDescent="0.2">
      <c r="F6430"/>
    </row>
    <row r="6431" spans="6:6" x14ac:dyDescent="0.2">
      <c r="F6431"/>
    </row>
    <row r="6432" spans="6:6" x14ac:dyDescent="0.2">
      <c r="F6432"/>
    </row>
    <row r="6433" spans="6:6" x14ac:dyDescent="0.2">
      <c r="F6433"/>
    </row>
    <row r="6434" spans="6:6" x14ac:dyDescent="0.2">
      <c r="F6434"/>
    </row>
    <row r="6435" spans="6:6" x14ac:dyDescent="0.2">
      <c r="F6435"/>
    </row>
    <row r="6436" spans="6:6" x14ac:dyDescent="0.2">
      <c r="F6436"/>
    </row>
    <row r="6437" spans="6:6" x14ac:dyDescent="0.2">
      <c r="F6437"/>
    </row>
    <row r="6438" spans="6:6" x14ac:dyDescent="0.2">
      <c r="F6438"/>
    </row>
    <row r="6439" spans="6:6" x14ac:dyDescent="0.2">
      <c r="F6439"/>
    </row>
    <row r="6440" spans="6:6" x14ac:dyDescent="0.2">
      <c r="F6440"/>
    </row>
    <row r="6441" spans="6:6" x14ac:dyDescent="0.2">
      <c r="F6441"/>
    </row>
    <row r="6442" spans="6:6" x14ac:dyDescent="0.2">
      <c r="F6442"/>
    </row>
    <row r="6443" spans="6:6" x14ac:dyDescent="0.2">
      <c r="F6443"/>
    </row>
    <row r="6444" spans="6:6" x14ac:dyDescent="0.2">
      <c r="F6444"/>
    </row>
    <row r="6445" spans="6:6" x14ac:dyDescent="0.2">
      <c r="F6445"/>
    </row>
    <row r="6446" spans="6:6" x14ac:dyDescent="0.2">
      <c r="F6446"/>
    </row>
    <row r="6447" spans="6:6" x14ac:dyDescent="0.2">
      <c r="F6447"/>
    </row>
    <row r="6448" spans="6:6" x14ac:dyDescent="0.2">
      <c r="F6448"/>
    </row>
    <row r="6449" spans="6:6" x14ac:dyDescent="0.2">
      <c r="F6449"/>
    </row>
    <row r="6450" spans="6:6" x14ac:dyDescent="0.2">
      <c r="F6450"/>
    </row>
    <row r="6451" spans="6:6" x14ac:dyDescent="0.2">
      <c r="F6451"/>
    </row>
    <row r="6452" spans="6:6" x14ac:dyDescent="0.2">
      <c r="F6452"/>
    </row>
    <row r="6453" spans="6:6" x14ac:dyDescent="0.2">
      <c r="F6453"/>
    </row>
    <row r="6454" spans="6:6" x14ac:dyDescent="0.2">
      <c r="F6454"/>
    </row>
    <row r="6455" spans="6:6" x14ac:dyDescent="0.2">
      <c r="F6455"/>
    </row>
    <row r="6456" spans="6:6" x14ac:dyDescent="0.2">
      <c r="F6456"/>
    </row>
    <row r="6457" spans="6:6" x14ac:dyDescent="0.2">
      <c r="F6457"/>
    </row>
    <row r="6458" spans="6:6" x14ac:dyDescent="0.2">
      <c r="F6458"/>
    </row>
    <row r="6459" spans="6:6" x14ac:dyDescent="0.2">
      <c r="F6459"/>
    </row>
    <row r="6460" spans="6:6" x14ac:dyDescent="0.2">
      <c r="F6460"/>
    </row>
    <row r="6461" spans="6:6" x14ac:dyDescent="0.2">
      <c r="F6461"/>
    </row>
    <row r="6462" spans="6:6" x14ac:dyDescent="0.2">
      <c r="F6462"/>
    </row>
    <row r="6463" spans="6:6" x14ac:dyDescent="0.2">
      <c r="F6463"/>
    </row>
    <row r="6464" spans="6:6" x14ac:dyDescent="0.2">
      <c r="F6464"/>
    </row>
    <row r="6465" spans="6:6" x14ac:dyDescent="0.2">
      <c r="F6465"/>
    </row>
    <row r="6466" spans="6:6" x14ac:dyDescent="0.2">
      <c r="F6466"/>
    </row>
    <row r="6467" spans="6:6" x14ac:dyDescent="0.2">
      <c r="F6467"/>
    </row>
    <row r="6468" spans="6:6" x14ac:dyDescent="0.2">
      <c r="F6468"/>
    </row>
    <row r="6469" spans="6:6" x14ac:dyDescent="0.2">
      <c r="F6469"/>
    </row>
    <row r="6470" spans="6:6" x14ac:dyDescent="0.2">
      <c r="F6470"/>
    </row>
    <row r="6471" spans="6:6" x14ac:dyDescent="0.2">
      <c r="F6471"/>
    </row>
    <row r="6472" spans="6:6" x14ac:dyDescent="0.2">
      <c r="F6472"/>
    </row>
    <row r="6473" spans="6:6" x14ac:dyDescent="0.2">
      <c r="F6473"/>
    </row>
    <row r="6474" spans="6:6" x14ac:dyDescent="0.2">
      <c r="F6474"/>
    </row>
    <row r="6475" spans="6:6" x14ac:dyDescent="0.2">
      <c r="F6475"/>
    </row>
    <row r="6476" spans="6:6" x14ac:dyDescent="0.2">
      <c r="F6476"/>
    </row>
    <row r="6477" spans="6:6" x14ac:dyDescent="0.2">
      <c r="F6477"/>
    </row>
    <row r="6478" spans="6:6" x14ac:dyDescent="0.2">
      <c r="F6478"/>
    </row>
    <row r="6479" spans="6:6" x14ac:dyDescent="0.2">
      <c r="F6479"/>
    </row>
    <row r="6480" spans="6:6" x14ac:dyDescent="0.2">
      <c r="F6480"/>
    </row>
    <row r="6481" spans="6:6" x14ac:dyDescent="0.2">
      <c r="F6481"/>
    </row>
    <row r="6482" spans="6:6" x14ac:dyDescent="0.2">
      <c r="F6482"/>
    </row>
    <row r="6483" spans="6:6" x14ac:dyDescent="0.2">
      <c r="F6483"/>
    </row>
    <row r="6484" spans="6:6" x14ac:dyDescent="0.2">
      <c r="F6484"/>
    </row>
    <row r="6485" spans="6:6" x14ac:dyDescent="0.2">
      <c r="F6485"/>
    </row>
    <row r="6486" spans="6:6" x14ac:dyDescent="0.2">
      <c r="F6486"/>
    </row>
    <row r="6487" spans="6:6" x14ac:dyDescent="0.2">
      <c r="F6487"/>
    </row>
    <row r="6488" spans="6:6" x14ac:dyDescent="0.2">
      <c r="F6488"/>
    </row>
    <row r="6489" spans="6:6" x14ac:dyDescent="0.2">
      <c r="F6489"/>
    </row>
    <row r="6490" spans="6:6" x14ac:dyDescent="0.2">
      <c r="F6490"/>
    </row>
    <row r="6491" spans="6:6" x14ac:dyDescent="0.2">
      <c r="F6491"/>
    </row>
    <row r="6492" spans="6:6" x14ac:dyDescent="0.2">
      <c r="F6492"/>
    </row>
    <row r="6493" spans="6:6" x14ac:dyDescent="0.2">
      <c r="F6493"/>
    </row>
    <row r="6494" spans="6:6" x14ac:dyDescent="0.2">
      <c r="F6494"/>
    </row>
    <row r="6495" spans="6:6" x14ac:dyDescent="0.2">
      <c r="F6495"/>
    </row>
    <row r="6496" spans="6:6" x14ac:dyDescent="0.2">
      <c r="F6496"/>
    </row>
    <row r="6497" spans="6:6" x14ac:dyDescent="0.2">
      <c r="F6497"/>
    </row>
    <row r="6498" spans="6:6" x14ac:dyDescent="0.2">
      <c r="F6498"/>
    </row>
    <row r="6499" spans="6:6" x14ac:dyDescent="0.2">
      <c r="F6499"/>
    </row>
    <row r="6500" spans="6:6" x14ac:dyDescent="0.2">
      <c r="F6500"/>
    </row>
    <row r="6501" spans="6:6" x14ac:dyDescent="0.2">
      <c r="F6501"/>
    </row>
    <row r="6502" spans="6:6" x14ac:dyDescent="0.2">
      <c r="F6502"/>
    </row>
    <row r="6503" spans="6:6" x14ac:dyDescent="0.2">
      <c r="F6503"/>
    </row>
    <row r="6504" spans="6:6" x14ac:dyDescent="0.2">
      <c r="F6504"/>
    </row>
    <row r="6505" spans="6:6" x14ac:dyDescent="0.2">
      <c r="F6505"/>
    </row>
    <row r="6506" spans="6:6" x14ac:dyDescent="0.2">
      <c r="F6506"/>
    </row>
    <row r="6507" spans="6:6" x14ac:dyDescent="0.2">
      <c r="F6507"/>
    </row>
    <row r="6508" spans="6:6" x14ac:dyDescent="0.2">
      <c r="F6508"/>
    </row>
    <row r="6509" spans="6:6" x14ac:dyDescent="0.2">
      <c r="F6509"/>
    </row>
    <row r="6510" spans="6:6" x14ac:dyDescent="0.2">
      <c r="F6510"/>
    </row>
    <row r="6511" spans="6:6" x14ac:dyDescent="0.2">
      <c r="F6511"/>
    </row>
    <row r="6512" spans="6:6" x14ac:dyDescent="0.2">
      <c r="F6512"/>
    </row>
    <row r="6513" spans="6:6" x14ac:dyDescent="0.2">
      <c r="F6513"/>
    </row>
    <row r="6514" spans="6:6" x14ac:dyDescent="0.2">
      <c r="F6514"/>
    </row>
    <row r="6515" spans="6:6" x14ac:dyDescent="0.2">
      <c r="F6515"/>
    </row>
    <row r="6516" spans="6:6" x14ac:dyDescent="0.2">
      <c r="F6516"/>
    </row>
    <row r="6517" spans="6:6" x14ac:dyDescent="0.2">
      <c r="F6517"/>
    </row>
    <row r="6518" spans="6:6" x14ac:dyDescent="0.2">
      <c r="F6518"/>
    </row>
    <row r="6519" spans="6:6" x14ac:dyDescent="0.2">
      <c r="F6519"/>
    </row>
    <row r="6520" spans="6:6" x14ac:dyDescent="0.2">
      <c r="F6520"/>
    </row>
    <row r="6521" spans="6:6" x14ac:dyDescent="0.2">
      <c r="F6521"/>
    </row>
    <row r="6522" spans="6:6" x14ac:dyDescent="0.2">
      <c r="F6522"/>
    </row>
    <row r="6523" spans="6:6" x14ac:dyDescent="0.2">
      <c r="F6523"/>
    </row>
    <row r="6524" spans="6:6" x14ac:dyDescent="0.2">
      <c r="F6524"/>
    </row>
    <row r="6525" spans="6:6" x14ac:dyDescent="0.2">
      <c r="F6525"/>
    </row>
    <row r="6526" spans="6:6" x14ac:dyDescent="0.2">
      <c r="F6526"/>
    </row>
    <row r="6527" spans="6:6" x14ac:dyDescent="0.2">
      <c r="F6527"/>
    </row>
    <row r="6528" spans="6:6" x14ac:dyDescent="0.2">
      <c r="F6528"/>
    </row>
    <row r="6529" spans="6:6" x14ac:dyDescent="0.2">
      <c r="F6529"/>
    </row>
    <row r="6530" spans="6:6" x14ac:dyDescent="0.2">
      <c r="F6530"/>
    </row>
    <row r="6531" spans="6:6" x14ac:dyDescent="0.2">
      <c r="F6531"/>
    </row>
    <row r="6532" spans="6:6" x14ac:dyDescent="0.2">
      <c r="F6532"/>
    </row>
    <row r="6533" spans="6:6" x14ac:dyDescent="0.2">
      <c r="F6533"/>
    </row>
    <row r="6534" spans="6:6" x14ac:dyDescent="0.2">
      <c r="F6534"/>
    </row>
    <row r="6535" spans="6:6" x14ac:dyDescent="0.2">
      <c r="F6535"/>
    </row>
    <row r="6536" spans="6:6" x14ac:dyDescent="0.2">
      <c r="F6536"/>
    </row>
    <row r="6537" spans="6:6" x14ac:dyDescent="0.2">
      <c r="F6537"/>
    </row>
    <row r="6538" spans="6:6" x14ac:dyDescent="0.2">
      <c r="F6538"/>
    </row>
    <row r="6539" spans="6:6" x14ac:dyDescent="0.2">
      <c r="F6539"/>
    </row>
    <row r="6540" spans="6:6" x14ac:dyDescent="0.2">
      <c r="F6540"/>
    </row>
    <row r="6541" spans="6:6" x14ac:dyDescent="0.2">
      <c r="F6541"/>
    </row>
    <row r="6542" spans="6:6" x14ac:dyDescent="0.2">
      <c r="F6542"/>
    </row>
    <row r="6543" spans="6:6" x14ac:dyDescent="0.2">
      <c r="F6543"/>
    </row>
    <row r="6544" spans="6:6" x14ac:dyDescent="0.2">
      <c r="F6544"/>
    </row>
    <row r="6545" spans="6:6" x14ac:dyDescent="0.2">
      <c r="F6545"/>
    </row>
    <row r="6546" spans="6:6" x14ac:dyDescent="0.2">
      <c r="F6546"/>
    </row>
    <row r="6547" spans="6:6" x14ac:dyDescent="0.2">
      <c r="F6547"/>
    </row>
    <row r="6548" spans="6:6" x14ac:dyDescent="0.2">
      <c r="F6548"/>
    </row>
    <row r="6549" spans="6:6" x14ac:dyDescent="0.2">
      <c r="F6549"/>
    </row>
    <row r="6550" spans="6:6" x14ac:dyDescent="0.2">
      <c r="F6550"/>
    </row>
    <row r="6551" spans="6:6" x14ac:dyDescent="0.2">
      <c r="F6551"/>
    </row>
    <row r="6552" spans="6:6" x14ac:dyDescent="0.2">
      <c r="F6552"/>
    </row>
    <row r="6553" spans="6:6" x14ac:dyDescent="0.2">
      <c r="F6553"/>
    </row>
    <row r="6554" spans="6:6" x14ac:dyDescent="0.2">
      <c r="F6554"/>
    </row>
    <row r="6555" spans="6:6" x14ac:dyDescent="0.2">
      <c r="F6555"/>
    </row>
    <row r="6556" spans="6:6" x14ac:dyDescent="0.2">
      <c r="F6556"/>
    </row>
    <row r="6557" spans="6:6" x14ac:dyDescent="0.2">
      <c r="F6557"/>
    </row>
    <row r="6558" spans="6:6" x14ac:dyDescent="0.2">
      <c r="F6558"/>
    </row>
    <row r="6559" spans="6:6" x14ac:dyDescent="0.2">
      <c r="F6559"/>
    </row>
    <row r="6560" spans="6:6" x14ac:dyDescent="0.2">
      <c r="F6560"/>
    </row>
    <row r="6561" spans="6:6" x14ac:dyDescent="0.2">
      <c r="F6561"/>
    </row>
    <row r="6562" spans="6:6" x14ac:dyDescent="0.2">
      <c r="F6562"/>
    </row>
    <row r="6563" spans="6:6" x14ac:dyDescent="0.2">
      <c r="F6563"/>
    </row>
    <row r="6564" spans="6:6" x14ac:dyDescent="0.2">
      <c r="F6564"/>
    </row>
    <row r="6565" spans="6:6" x14ac:dyDescent="0.2">
      <c r="F6565"/>
    </row>
    <row r="6566" spans="6:6" x14ac:dyDescent="0.2">
      <c r="F6566"/>
    </row>
    <row r="6567" spans="6:6" x14ac:dyDescent="0.2">
      <c r="F6567"/>
    </row>
    <row r="6568" spans="6:6" x14ac:dyDescent="0.2">
      <c r="F6568"/>
    </row>
    <row r="6569" spans="6:6" x14ac:dyDescent="0.2">
      <c r="F6569"/>
    </row>
    <row r="6570" spans="6:6" x14ac:dyDescent="0.2">
      <c r="F6570"/>
    </row>
    <row r="6571" spans="6:6" x14ac:dyDescent="0.2">
      <c r="F6571"/>
    </row>
    <row r="6572" spans="6:6" x14ac:dyDescent="0.2">
      <c r="F6572"/>
    </row>
    <row r="6573" spans="6:6" x14ac:dyDescent="0.2">
      <c r="F6573"/>
    </row>
    <row r="6574" spans="6:6" x14ac:dyDescent="0.2">
      <c r="F6574"/>
    </row>
    <row r="6575" spans="6:6" x14ac:dyDescent="0.2">
      <c r="F6575"/>
    </row>
    <row r="6576" spans="6:6" x14ac:dyDescent="0.2">
      <c r="F6576"/>
    </row>
    <row r="6577" spans="6:6" x14ac:dyDescent="0.2">
      <c r="F6577"/>
    </row>
    <row r="6578" spans="6:6" x14ac:dyDescent="0.2">
      <c r="F6578"/>
    </row>
    <row r="6579" spans="6:6" x14ac:dyDescent="0.2">
      <c r="F6579"/>
    </row>
    <row r="6580" spans="6:6" x14ac:dyDescent="0.2">
      <c r="F6580"/>
    </row>
    <row r="6581" spans="6:6" x14ac:dyDescent="0.2">
      <c r="F6581"/>
    </row>
    <row r="6582" spans="6:6" x14ac:dyDescent="0.2">
      <c r="F6582"/>
    </row>
    <row r="6583" spans="6:6" x14ac:dyDescent="0.2">
      <c r="F6583"/>
    </row>
    <row r="6584" spans="6:6" x14ac:dyDescent="0.2">
      <c r="F6584"/>
    </row>
    <row r="6585" spans="6:6" x14ac:dyDescent="0.2">
      <c r="F6585"/>
    </row>
    <row r="6586" spans="6:6" x14ac:dyDescent="0.2">
      <c r="F6586"/>
    </row>
    <row r="6587" spans="6:6" x14ac:dyDescent="0.2">
      <c r="F6587"/>
    </row>
    <row r="6588" spans="6:6" x14ac:dyDescent="0.2">
      <c r="F6588"/>
    </row>
    <row r="6589" spans="6:6" x14ac:dyDescent="0.2">
      <c r="F6589"/>
    </row>
    <row r="6590" spans="6:6" x14ac:dyDescent="0.2">
      <c r="F6590"/>
    </row>
    <row r="6591" spans="6:6" x14ac:dyDescent="0.2">
      <c r="F6591"/>
    </row>
    <row r="6592" spans="6:6" x14ac:dyDescent="0.2">
      <c r="F6592"/>
    </row>
    <row r="6593" spans="6:6" x14ac:dyDescent="0.2">
      <c r="F6593"/>
    </row>
    <row r="6594" spans="6:6" x14ac:dyDescent="0.2">
      <c r="F6594"/>
    </row>
    <row r="6595" spans="6:6" x14ac:dyDescent="0.2">
      <c r="F6595"/>
    </row>
    <row r="6596" spans="6:6" x14ac:dyDescent="0.2">
      <c r="F6596"/>
    </row>
    <row r="6597" spans="6:6" x14ac:dyDescent="0.2">
      <c r="F6597"/>
    </row>
    <row r="6598" spans="6:6" x14ac:dyDescent="0.2">
      <c r="F6598"/>
    </row>
    <row r="6599" spans="6:6" x14ac:dyDescent="0.2">
      <c r="F6599"/>
    </row>
    <row r="6600" spans="6:6" x14ac:dyDescent="0.2">
      <c r="F6600"/>
    </row>
    <row r="6601" spans="6:6" x14ac:dyDescent="0.2">
      <c r="F6601"/>
    </row>
    <row r="6602" spans="6:6" x14ac:dyDescent="0.2">
      <c r="F6602"/>
    </row>
    <row r="6603" spans="6:6" x14ac:dyDescent="0.2">
      <c r="F6603"/>
    </row>
    <row r="6604" spans="6:6" x14ac:dyDescent="0.2">
      <c r="F6604"/>
    </row>
    <row r="6605" spans="6:6" x14ac:dyDescent="0.2">
      <c r="F6605"/>
    </row>
    <row r="6606" spans="6:6" x14ac:dyDescent="0.2">
      <c r="F6606"/>
    </row>
    <row r="6607" spans="6:6" x14ac:dyDescent="0.2">
      <c r="F6607"/>
    </row>
    <row r="6608" spans="6:6" x14ac:dyDescent="0.2">
      <c r="F6608"/>
    </row>
    <row r="6609" spans="6:6" x14ac:dyDescent="0.2">
      <c r="F6609"/>
    </row>
    <row r="6610" spans="6:6" x14ac:dyDescent="0.2">
      <c r="F6610"/>
    </row>
    <row r="6611" spans="6:6" x14ac:dyDescent="0.2">
      <c r="F6611"/>
    </row>
    <row r="6612" spans="6:6" x14ac:dyDescent="0.2">
      <c r="F6612"/>
    </row>
    <row r="6613" spans="6:6" x14ac:dyDescent="0.2">
      <c r="F6613"/>
    </row>
    <row r="6614" spans="6:6" x14ac:dyDescent="0.2">
      <c r="F6614"/>
    </row>
    <row r="6615" spans="6:6" x14ac:dyDescent="0.2">
      <c r="F6615"/>
    </row>
    <row r="6616" spans="6:6" x14ac:dyDescent="0.2">
      <c r="F6616"/>
    </row>
    <row r="6617" spans="6:6" x14ac:dyDescent="0.2">
      <c r="F6617"/>
    </row>
    <row r="6618" spans="6:6" x14ac:dyDescent="0.2">
      <c r="F6618"/>
    </row>
    <row r="6619" spans="6:6" x14ac:dyDescent="0.2">
      <c r="F6619"/>
    </row>
    <row r="6620" spans="6:6" x14ac:dyDescent="0.2">
      <c r="F6620"/>
    </row>
    <row r="6621" spans="6:6" x14ac:dyDescent="0.2">
      <c r="F6621"/>
    </row>
    <row r="6622" spans="6:6" x14ac:dyDescent="0.2">
      <c r="F6622"/>
    </row>
    <row r="6623" spans="6:6" x14ac:dyDescent="0.2">
      <c r="F6623"/>
    </row>
    <row r="6624" spans="6:6" x14ac:dyDescent="0.2">
      <c r="F6624"/>
    </row>
    <row r="6625" spans="6:6" x14ac:dyDescent="0.2">
      <c r="F6625"/>
    </row>
    <row r="6626" spans="6:6" x14ac:dyDescent="0.2">
      <c r="F6626"/>
    </row>
    <row r="6627" spans="6:6" x14ac:dyDescent="0.2">
      <c r="F6627"/>
    </row>
    <row r="6628" spans="6:6" x14ac:dyDescent="0.2">
      <c r="F6628"/>
    </row>
    <row r="6629" spans="6:6" x14ac:dyDescent="0.2">
      <c r="F6629"/>
    </row>
    <row r="6630" spans="6:6" x14ac:dyDescent="0.2">
      <c r="F6630"/>
    </row>
    <row r="6631" spans="6:6" x14ac:dyDescent="0.2">
      <c r="F6631"/>
    </row>
    <row r="6632" spans="6:6" x14ac:dyDescent="0.2">
      <c r="F6632"/>
    </row>
    <row r="6633" spans="6:6" x14ac:dyDescent="0.2">
      <c r="F6633"/>
    </row>
    <row r="6634" spans="6:6" x14ac:dyDescent="0.2">
      <c r="F6634"/>
    </row>
    <row r="6635" spans="6:6" x14ac:dyDescent="0.2">
      <c r="F6635"/>
    </row>
    <row r="6636" spans="6:6" x14ac:dyDescent="0.2">
      <c r="F6636"/>
    </row>
    <row r="6637" spans="6:6" x14ac:dyDescent="0.2">
      <c r="F6637"/>
    </row>
    <row r="6638" spans="6:6" x14ac:dyDescent="0.2">
      <c r="F6638"/>
    </row>
    <row r="6639" spans="6:6" x14ac:dyDescent="0.2">
      <c r="F6639"/>
    </row>
    <row r="6640" spans="6:6" x14ac:dyDescent="0.2">
      <c r="F6640"/>
    </row>
    <row r="6641" spans="6:6" x14ac:dyDescent="0.2">
      <c r="F6641"/>
    </row>
    <row r="6642" spans="6:6" x14ac:dyDescent="0.2">
      <c r="F6642"/>
    </row>
    <row r="6643" spans="6:6" x14ac:dyDescent="0.2">
      <c r="F6643"/>
    </row>
    <row r="6644" spans="6:6" x14ac:dyDescent="0.2">
      <c r="F6644"/>
    </row>
    <row r="6645" spans="6:6" x14ac:dyDescent="0.2">
      <c r="F6645"/>
    </row>
    <row r="6646" spans="6:6" x14ac:dyDescent="0.2">
      <c r="F6646"/>
    </row>
    <row r="6647" spans="6:6" x14ac:dyDescent="0.2">
      <c r="F6647"/>
    </row>
    <row r="6648" spans="6:6" x14ac:dyDescent="0.2">
      <c r="F6648"/>
    </row>
    <row r="6649" spans="6:6" x14ac:dyDescent="0.2">
      <c r="F6649"/>
    </row>
    <row r="6650" spans="6:6" x14ac:dyDescent="0.2">
      <c r="F6650"/>
    </row>
    <row r="6651" spans="6:6" x14ac:dyDescent="0.2">
      <c r="F6651"/>
    </row>
    <row r="6652" spans="6:6" x14ac:dyDescent="0.2">
      <c r="F6652"/>
    </row>
    <row r="6653" spans="6:6" x14ac:dyDescent="0.2">
      <c r="F6653"/>
    </row>
    <row r="6654" spans="6:6" x14ac:dyDescent="0.2">
      <c r="F6654"/>
    </row>
    <row r="6655" spans="6:6" x14ac:dyDescent="0.2">
      <c r="F6655"/>
    </row>
    <row r="6656" spans="6:6" x14ac:dyDescent="0.2">
      <c r="F6656"/>
    </row>
    <row r="6657" spans="6:6" x14ac:dyDescent="0.2">
      <c r="F6657"/>
    </row>
    <row r="6658" spans="6:6" x14ac:dyDescent="0.2">
      <c r="F6658"/>
    </row>
    <row r="6659" spans="6:6" x14ac:dyDescent="0.2">
      <c r="F6659"/>
    </row>
    <row r="6660" spans="6:6" x14ac:dyDescent="0.2">
      <c r="F6660"/>
    </row>
    <row r="6661" spans="6:6" x14ac:dyDescent="0.2">
      <c r="F6661"/>
    </row>
    <row r="6662" spans="6:6" x14ac:dyDescent="0.2">
      <c r="F6662"/>
    </row>
    <row r="6663" spans="6:6" x14ac:dyDescent="0.2">
      <c r="F6663"/>
    </row>
    <row r="6664" spans="6:6" x14ac:dyDescent="0.2">
      <c r="F6664"/>
    </row>
    <row r="6665" spans="6:6" x14ac:dyDescent="0.2">
      <c r="F6665"/>
    </row>
    <row r="6666" spans="6:6" x14ac:dyDescent="0.2">
      <c r="F6666"/>
    </row>
    <row r="6667" spans="6:6" x14ac:dyDescent="0.2">
      <c r="F6667"/>
    </row>
    <row r="6668" spans="6:6" x14ac:dyDescent="0.2">
      <c r="F6668"/>
    </row>
    <row r="6669" spans="6:6" x14ac:dyDescent="0.2">
      <c r="F6669"/>
    </row>
    <row r="6670" spans="6:6" x14ac:dyDescent="0.2">
      <c r="F6670"/>
    </row>
    <row r="6671" spans="6:6" x14ac:dyDescent="0.2">
      <c r="F6671"/>
    </row>
    <row r="6672" spans="6:6" x14ac:dyDescent="0.2">
      <c r="F6672"/>
    </row>
    <row r="6673" spans="6:6" x14ac:dyDescent="0.2">
      <c r="F6673"/>
    </row>
    <row r="6674" spans="6:6" x14ac:dyDescent="0.2">
      <c r="F6674"/>
    </row>
    <row r="6675" spans="6:6" x14ac:dyDescent="0.2">
      <c r="F6675"/>
    </row>
    <row r="6676" spans="6:6" x14ac:dyDescent="0.2">
      <c r="F6676"/>
    </row>
    <row r="6677" spans="6:6" x14ac:dyDescent="0.2">
      <c r="F6677"/>
    </row>
    <row r="6678" spans="6:6" x14ac:dyDescent="0.2">
      <c r="F6678"/>
    </row>
    <row r="6679" spans="6:6" x14ac:dyDescent="0.2">
      <c r="F6679"/>
    </row>
    <row r="6680" spans="6:6" x14ac:dyDescent="0.2">
      <c r="F6680"/>
    </row>
    <row r="6681" spans="6:6" x14ac:dyDescent="0.2">
      <c r="F6681"/>
    </row>
    <row r="6682" spans="6:6" x14ac:dyDescent="0.2">
      <c r="F6682"/>
    </row>
    <row r="6683" spans="6:6" x14ac:dyDescent="0.2">
      <c r="F6683"/>
    </row>
    <row r="6684" spans="6:6" x14ac:dyDescent="0.2">
      <c r="F6684"/>
    </row>
    <row r="6685" spans="6:6" x14ac:dyDescent="0.2">
      <c r="F6685"/>
    </row>
    <row r="6686" spans="6:6" x14ac:dyDescent="0.2">
      <c r="F6686"/>
    </row>
    <row r="6687" spans="6:6" x14ac:dyDescent="0.2">
      <c r="F6687"/>
    </row>
    <row r="6688" spans="6:6" x14ac:dyDescent="0.2">
      <c r="F6688"/>
    </row>
    <row r="6689" spans="6:6" x14ac:dyDescent="0.2">
      <c r="F6689"/>
    </row>
    <row r="6690" spans="6:6" x14ac:dyDescent="0.2">
      <c r="F6690"/>
    </row>
    <row r="6691" spans="6:6" x14ac:dyDescent="0.2">
      <c r="F6691"/>
    </row>
    <row r="6692" spans="6:6" x14ac:dyDescent="0.2">
      <c r="F6692"/>
    </row>
    <row r="6693" spans="6:6" x14ac:dyDescent="0.2">
      <c r="F6693"/>
    </row>
    <row r="6694" spans="6:6" x14ac:dyDescent="0.2">
      <c r="F6694"/>
    </row>
    <row r="6695" spans="6:6" x14ac:dyDescent="0.2">
      <c r="F6695"/>
    </row>
    <row r="6696" spans="6:6" x14ac:dyDescent="0.2">
      <c r="F6696"/>
    </row>
    <row r="6697" spans="6:6" x14ac:dyDescent="0.2">
      <c r="F6697"/>
    </row>
    <row r="6698" spans="6:6" x14ac:dyDescent="0.2">
      <c r="F6698"/>
    </row>
    <row r="6699" spans="6:6" x14ac:dyDescent="0.2">
      <c r="F6699"/>
    </row>
    <row r="6700" spans="6:6" x14ac:dyDescent="0.2">
      <c r="F6700"/>
    </row>
    <row r="6701" spans="6:6" x14ac:dyDescent="0.2">
      <c r="F6701"/>
    </row>
    <row r="6702" spans="6:6" x14ac:dyDescent="0.2">
      <c r="F6702"/>
    </row>
    <row r="6703" spans="6:6" x14ac:dyDescent="0.2">
      <c r="F6703"/>
    </row>
    <row r="6704" spans="6:6" x14ac:dyDescent="0.2">
      <c r="F6704"/>
    </row>
    <row r="6705" spans="6:6" x14ac:dyDescent="0.2">
      <c r="F6705"/>
    </row>
    <row r="6706" spans="6:6" x14ac:dyDescent="0.2">
      <c r="F6706"/>
    </row>
    <row r="6707" spans="6:6" x14ac:dyDescent="0.2">
      <c r="F6707"/>
    </row>
    <row r="6708" spans="6:6" x14ac:dyDescent="0.2">
      <c r="F6708"/>
    </row>
    <row r="6709" spans="6:6" x14ac:dyDescent="0.2">
      <c r="F6709"/>
    </row>
    <row r="6710" spans="6:6" x14ac:dyDescent="0.2">
      <c r="F6710"/>
    </row>
    <row r="6711" spans="6:6" x14ac:dyDescent="0.2">
      <c r="F6711"/>
    </row>
    <row r="6712" spans="6:6" x14ac:dyDescent="0.2">
      <c r="F6712"/>
    </row>
    <row r="6713" spans="6:6" x14ac:dyDescent="0.2">
      <c r="F6713"/>
    </row>
    <row r="6714" spans="6:6" x14ac:dyDescent="0.2">
      <c r="F6714"/>
    </row>
    <row r="6715" spans="6:6" x14ac:dyDescent="0.2">
      <c r="F6715"/>
    </row>
    <row r="6716" spans="6:6" x14ac:dyDescent="0.2">
      <c r="F6716"/>
    </row>
    <row r="6717" spans="6:6" x14ac:dyDescent="0.2">
      <c r="F6717"/>
    </row>
    <row r="6718" spans="6:6" x14ac:dyDescent="0.2">
      <c r="F6718"/>
    </row>
    <row r="6719" spans="6:6" x14ac:dyDescent="0.2">
      <c r="F6719"/>
    </row>
    <row r="6720" spans="6:6" x14ac:dyDescent="0.2">
      <c r="F6720"/>
    </row>
    <row r="6721" spans="6:6" x14ac:dyDescent="0.2">
      <c r="F6721"/>
    </row>
    <row r="6722" spans="6:6" x14ac:dyDescent="0.2">
      <c r="F6722"/>
    </row>
    <row r="6723" spans="6:6" x14ac:dyDescent="0.2">
      <c r="F6723"/>
    </row>
    <row r="6724" spans="6:6" x14ac:dyDescent="0.2">
      <c r="F6724"/>
    </row>
    <row r="6725" spans="6:6" x14ac:dyDescent="0.2">
      <c r="F6725"/>
    </row>
    <row r="6726" spans="6:6" x14ac:dyDescent="0.2">
      <c r="F6726"/>
    </row>
    <row r="6727" spans="6:6" x14ac:dyDescent="0.2">
      <c r="F6727"/>
    </row>
    <row r="6728" spans="6:6" x14ac:dyDescent="0.2">
      <c r="F6728"/>
    </row>
    <row r="6729" spans="6:6" x14ac:dyDescent="0.2">
      <c r="F6729"/>
    </row>
    <row r="6730" spans="6:6" x14ac:dyDescent="0.2">
      <c r="F6730"/>
    </row>
    <row r="6731" spans="6:6" x14ac:dyDescent="0.2">
      <c r="F6731"/>
    </row>
    <row r="6732" spans="6:6" x14ac:dyDescent="0.2">
      <c r="F6732"/>
    </row>
    <row r="6733" spans="6:6" x14ac:dyDescent="0.2">
      <c r="F6733"/>
    </row>
    <row r="6734" spans="6:6" x14ac:dyDescent="0.2">
      <c r="F6734"/>
    </row>
    <row r="6735" spans="6:6" x14ac:dyDescent="0.2">
      <c r="F6735"/>
    </row>
    <row r="6736" spans="6:6" x14ac:dyDescent="0.2">
      <c r="F6736"/>
    </row>
    <row r="6737" spans="6:6" x14ac:dyDescent="0.2">
      <c r="F6737"/>
    </row>
    <row r="6738" spans="6:6" x14ac:dyDescent="0.2">
      <c r="F6738"/>
    </row>
    <row r="6739" spans="6:6" x14ac:dyDescent="0.2">
      <c r="F6739"/>
    </row>
    <row r="6740" spans="6:6" x14ac:dyDescent="0.2">
      <c r="F6740"/>
    </row>
    <row r="6741" spans="6:6" x14ac:dyDescent="0.2">
      <c r="F6741"/>
    </row>
    <row r="6742" spans="6:6" x14ac:dyDescent="0.2">
      <c r="F6742"/>
    </row>
    <row r="6743" spans="6:6" x14ac:dyDescent="0.2">
      <c r="F6743"/>
    </row>
    <row r="6744" spans="6:6" x14ac:dyDescent="0.2">
      <c r="F6744"/>
    </row>
    <row r="6745" spans="6:6" x14ac:dyDescent="0.2">
      <c r="F6745"/>
    </row>
    <row r="6746" spans="6:6" x14ac:dyDescent="0.2">
      <c r="F6746"/>
    </row>
    <row r="6747" spans="6:6" x14ac:dyDescent="0.2">
      <c r="F6747"/>
    </row>
    <row r="6748" spans="6:6" x14ac:dyDescent="0.2">
      <c r="F6748"/>
    </row>
    <row r="6749" spans="6:6" x14ac:dyDescent="0.2">
      <c r="F6749"/>
    </row>
    <row r="6750" spans="6:6" x14ac:dyDescent="0.2">
      <c r="F6750"/>
    </row>
    <row r="6751" spans="6:6" x14ac:dyDescent="0.2">
      <c r="F6751"/>
    </row>
    <row r="6752" spans="6:6" x14ac:dyDescent="0.2">
      <c r="F6752"/>
    </row>
    <row r="6753" spans="6:6" x14ac:dyDescent="0.2">
      <c r="F6753"/>
    </row>
    <row r="6754" spans="6:6" x14ac:dyDescent="0.2">
      <c r="F6754"/>
    </row>
    <row r="6755" spans="6:6" x14ac:dyDescent="0.2">
      <c r="F6755"/>
    </row>
    <row r="6756" spans="6:6" x14ac:dyDescent="0.2">
      <c r="F6756"/>
    </row>
    <row r="6757" spans="6:6" x14ac:dyDescent="0.2">
      <c r="F6757"/>
    </row>
    <row r="6758" spans="6:6" x14ac:dyDescent="0.2">
      <c r="F6758"/>
    </row>
    <row r="6759" spans="6:6" x14ac:dyDescent="0.2">
      <c r="F6759"/>
    </row>
    <row r="6760" spans="6:6" x14ac:dyDescent="0.2">
      <c r="F6760"/>
    </row>
    <row r="6761" spans="6:6" x14ac:dyDescent="0.2">
      <c r="F6761"/>
    </row>
    <row r="6762" spans="6:6" x14ac:dyDescent="0.2">
      <c r="F6762"/>
    </row>
    <row r="6763" spans="6:6" x14ac:dyDescent="0.2">
      <c r="F6763"/>
    </row>
    <row r="6764" spans="6:6" x14ac:dyDescent="0.2">
      <c r="F6764"/>
    </row>
    <row r="6765" spans="6:6" x14ac:dyDescent="0.2">
      <c r="F6765"/>
    </row>
    <row r="6766" spans="6:6" x14ac:dyDescent="0.2">
      <c r="F6766"/>
    </row>
    <row r="6767" spans="6:6" x14ac:dyDescent="0.2">
      <c r="F6767"/>
    </row>
    <row r="6768" spans="6:6" x14ac:dyDescent="0.2">
      <c r="F6768"/>
    </row>
    <row r="6769" spans="6:6" x14ac:dyDescent="0.2">
      <c r="F6769"/>
    </row>
    <row r="6770" spans="6:6" x14ac:dyDescent="0.2">
      <c r="F6770"/>
    </row>
    <row r="6771" spans="6:6" x14ac:dyDescent="0.2">
      <c r="F6771"/>
    </row>
    <row r="6772" spans="6:6" x14ac:dyDescent="0.2">
      <c r="F6772"/>
    </row>
    <row r="6773" spans="6:6" x14ac:dyDescent="0.2">
      <c r="F6773"/>
    </row>
    <row r="6774" spans="6:6" x14ac:dyDescent="0.2">
      <c r="F6774"/>
    </row>
    <row r="6775" spans="6:6" x14ac:dyDescent="0.2">
      <c r="F6775"/>
    </row>
    <row r="6776" spans="6:6" x14ac:dyDescent="0.2">
      <c r="F6776"/>
    </row>
    <row r="6777" spans="6:6" x14ac:dyDescent="0.2">
      <c r="F6777"/>
    </row>
    <row r="6778" spans="6:6" x14ac:dyDescent="0.2">
      <c r="F6778"/>
    </row>
    <row r="6779" spans="6:6" x14ac:dyDescent="0.2">
      <c r="F6779"/>
    </row>
    <row r="6780" spans="6:6" x14ac:dyDescent="0.2">
      <c r="F6780"/>
    </row>
    <row r="6781" spans="6:6" x14ac:dyDescent="0.2">
      <c r="F6781"/>
    </row>
    <row r="6782" spans="6:6" x14ac:dyDescent="0.2">
      <c r="F6782"/>
    </row>
    <row r="6783" spans="6:6" x14ac:dyDescent="0.2">
      <c r="F6783"/>
    </row>
    <row r="6784" spans="6:6" x14ac:dyDescent="0.2">
      <c r="F6784"/>
    </row>
    <row r="6785" spans="6:6" x14ac:dyDescent="0.2">
      <c r="F6785"/>
    </row>
    <row r="6786" spans="6:6" x14ac:dyDescent="0.2">
      <c r="F6786"/>
    </row>
    <row r="6787" spans="6:6" x14ac:dyDescent="0.2">
      <c r="F6787"/>
    </row>
    <row r="6788" spans="6:6" x14ac:dyDescent="0.2">
      <c r="F6788"/>
    </row>
    <row r="6789" spans="6:6" x14ac:dyDescent="0.2">
      <c r="F6789"/>
    </row>
    <row r="6790" spans="6:6" x14ac:dyDescent="0.2">
      <c r="F6790"/>
    </row>
    <row r="6791" spans="6:6" x14ac:dyDescent="0.2">
      <c r="F6791"/>
    </row>
    <row r="6792" spans="6:6" x14ac:dyDescent="0.2">
      <c r="F6792"/>
    </row>
    <row r="6793" spans="6:6" x14ac:dyDescent="0.2">
      <c r="F6793"/>
    </row>
    <row r="6794" spans="6:6" x14ac:dyDescent="0.2">
      <c r="F6794"/>
    </row>
    <row r="6795" spans="6:6" x14ac:dyDescent="0.2">
      <c r="F6795"/>
    </row>
    <row r="6796" spans="6:6" x14ac:dyDescent="0.2">
      <c r="F6796"/>
    </row>
    <row r="6797" spans="6:6" x14ac:dyDescent="0.2">
      <c r="F6797"/>
    </row>
    <row r="6798" spans="6:6" x14ac:dyDescent="0.2">
      <c r="F6798"/>
    </row>
    <row r="6799" spans="6:6" x14ac:dyDescent="0.2">
      <c r="F6799"/>
    </row>
    <row r="6800" spans="6:6" x14ac:dyDescent="0.2">
      <c r="F6800"/>
    </row>
    <row r="6801" spans="6:6" x14ac:dyDescent="0.2">
      <c r="F6801"/>
    </row>
    <row r="6802" spans="6:6" x14ac:dyDescent="0.2">
      <c r="F6802"/>
    </row>
    <row r="6803" spans="6:6" x14ac:dyDescent="0.2">
      <c r="F6803"/>
    </row>
    <row r="6804" spans="6:6" x14ac:dyDescent="0.2">
      <c r="F6804"/>
    </row>
    <row r="6805" spans="6:6" x14ac:dyDescent="0.2">
      <c r="F6805"/>
    </row>
    <row r="6806" spans="6:6" x14ac:dyDescent="0.2">
      <c r="F6806"/>
    </row>
    <row r="6807" spans="6:6" x14ac:dyDescent="0.2">
      <c r="F6807"/>
    </row>
    <row r="6808" spans="6:6" x14ac:dyDescent="0.2">
      <c r="F6808"/>
    </row>
    <row r="6809" spans="6:6" x14ac:dyDescent="0.2">
      <c r="F6809"/>
    </row>
    <row r="6810" spans="6:6" x14ac:dyDescent="0.2">
      <c r="F6810"/>
    </row>
    <row r="6811" spans="6:6" x14ac:dyDescent="0.2">
      <c r="F6811"/>
    </row>
    <row r="6812" spans="6:6" x14ac:dyDescent="0.2">
      <c r="F6812"/>
    </row>
    <row r="6813" spans="6:6" x14ac:dyDescent="0.2">
      <c r="F6813"/>
    </row>
    <row r="6814" spans="6:6" x14ac:dyDescent="0.2">
      <c r="F6814"/>
    </row>
    <row r="6815" spans="6:6" x14ac:dyDescent="0.2">
      <c r="F6815"/>
    </row>
    <row r="6816" spans="6:6" x14ac:dyDescent="0.2">
      <c r="F6816"/>
    </row>
    <row r="6817" spans="6:6" x14ac:dyDescent="0.2">
      <c r="F6817"/>
    </row>
    <row r="6818" spans="6:6" x14ac:dyDescent="0.2">
      <c r="F6818"/>
    </row>
    <row r="6819" spans="6:6" x14ac:dyDescent="0.2">
      <c r="F6819"/>
    </row>
    <row r="6820" spans="6:6" x14ac:dyDescent="0.2">
      <c r="F6820"/>
    </row>
    <row r="6821" spans="6:6" x14ac:dyDescent="0.2">
      <c r="F6821"/>
    </row>
    <row r="6822" spans="6:6" x14ac:dyDescent="0.2">
      <c r="F6822"/>
    </row>
    <row r="6823" spans="6:6" x14ac:dyDescent="0.2">
      <c r="F6823"/>
    </row>
    <row r="6824" spans="6:6" x14ac:dyDescent="0.2">
      <c r="F6824"/>
    </row>
    <row r="6825" spans="6:6" x14ac:dyDescent="0.2">
      <c r="F6825"/>
    </row>
    <row r="6826" spans="6:6" x14ac:dyDescent="0.2">
      <c r="F6826"/>
    </row>
    <row r="6827" spans="6:6" x14ac:dyDescent="0.2">
      <c r="F6827"/>
    </row>
    <row r="6828" spans="6:6" x14ac:dyDescent="0.2">
      <c r="F6828"/>
    </row>
    <row r="6829" spans="6:6" x14ac:dyDescent="0.2">
      <c r="F6829"/>
    </row>
    <row r="6830" spans="6:6" x14ac:dyDescent="0.2">
      <c r="F6830"/>
    </row>
    <row r="6831" spans="6:6" x14ac:dyDescent="0.2">
      <c r="F6831"/>
    </row>
    <row r="6832" spans="6:6" x14ac:dyDescent="0.2">
      <c r="F6832"/>
    </row>
    <row r="6833" spans="6:6" x14ac:dyDescent="0.2">
      <c r="F6833"/>
    </row>
    <row r="6834" spans="6:6" x14ac:dyDescent="0.2">
      <c r="F6834"/>
    </row>
    <row r="6835" spans="6:6" x14ac:dyDescent="0.2">
      <c r="F6835"/>
    </row>
    <row r="6836" spans="6:6" x14ac:dyDescent="0.2">
      <c r="F6836"/>
    </row>
    <row r="6837" spans="6:6" x14ac:dyDescent="0.2">
      <c r="F6837"/>
    </row>
    <row r="6838" spans="6:6" x14ac:dyDescent="0.2">
      <c r="F6838"/>
    </row>
    <row r="6839" spans="6:6" x14ac:dyDescent="0.2">
      <c r="F6839"/>
    </row>
    <row r="6840" spans="6:6" x14ac:dyDescent="0.2">
      <c r="F6840"/>
    </row>
    <row r="6841" spans="6:6" x14ac:dyDescent="0.2">
      <c r="F6841"/>
    </row>
    <row r="6842" spans="6:6" x14ac:dyDescent="0.2">
      <c r="F6842"/>
    </row>
    <row r="6843" spans="6:6" x14ac:dyDescent="0.2">
      <c r="F6843"/>
    </row>
    <row r="6844" spans="6:6" x14ac:dyDescent="0.2">
      <c r="F6844"/>
    </row>
    <row r="6845" spans="6:6" x14ac:dyDescent="0.2">
      <c r="F6845"/>
    </row>
    <row r="6846" spans="6:6" x14ac:dyDescent="0.2">
      <c r="F6846"/>
    </row>
    <row r="6847" spans="6:6" x14ac:dyDescent="0.2">
      <c r="F6847"/>
    </row>
    <row r="6848" spans="6:6" x14ac:dyDescent="0.2">
      <c r="F6848"/>
    </row>
    <row r="6849" spans="6:6" x14ac:dyDescent="0.2">
      <c r="F6849"/>
    </row>
    <row r="6850" spans="6:6" x14ac:dyDescent="0.2">
      <c r="F6850"/>
    </row>
    <row r="6851" spans="6:6" x14ac:dyDescent="0.2">
      <c r="F6851"/>
    </row>
    <row r="6852" spans="6:6" x14ac:dyDescent="0.2">
      <c r="F6852"/>
    </row>
    <row r="6853" spans="6:6" x14ac:dyDescent="0.2">
      <c r="F6853"/>
    </row>
    <row r="6854" spans="6:6" x14ac:dyDescent="0.2">
      <c r="F6854"/>
    </row>
    <row r="6855" spans="6:6" x14ac:dyDescent="0.2">
      <c r="F6855"/>
    </row>
    <row r="6856" spans="6:6" x14ac:dyDescent="0.2">
      <c r="F6856"/>
    </row>
    <row r="6857" spans="6:6" x14ac:dyDescent="0.2">
      <c r="F6857"/>
    </row>
    <row r="6858" spans="6:6" x14ac:dyDescent="0.2">
      <c r="F6858"/>
    </row>
    <row r="6859" spans="6:6" x14ac:dyDescent="0.2">
      <c r="F6859"/>
    </row>
    <row r="6860" spans="6:6" x14ac:dyDescent="0.2">
      <c r="F6860"/>
    </row>
    <row r="6861" spans="6:6" x14ac:dyDescent="0.2">
      <c r="F6861"/>
    </row>
    <row r="6862" spans="6:6" x14ac:dyDescent="0.2">
      <c r="F6862"/>
    </row>
    <row r="6863" spans="6:6" x14ac:dyDescent="0.2">
      <c r="F6863"/>
    </row>
    <row r="6864" spans="6:6" x14ac:dyDescent="0.2">
      <c r="F6864"/>
    </row>
    <row r="6865" spans="6:6" x14ac:dyDescent="0.2">
      <c r="F6865"/>
    </row>
    <row r="6866" spans="6:6" x14ac:dyDescent="0.2">
      <c r="F6866"/>
    </row>
    <row r="6867" spans="6:6" x14ac:dyDescent="0.2">
      <c r="F6867"/>
    </row>
    <row r="6868" spans="6:6" x14ac:dyDescent="0.2">
      <c r="F6868"/>
    </row>
    <row r="6869" spans="6:6" x14ac:dyDescent="0.2">
      <c r="F6869"/>
    </row>
    <row r="6870" spans="6:6" x14ac:dyDescent="0.2">
      <c r="F6870"/>
    </row>
    <row r="6871" spans="6:6" x14ac:dyDescent="0.2">
      <c r="F6871"/>
    </row>
    <row r="6872" spans="6:6" x14ac:dyDescent="0.2">
      <c r="F6872"/>
    </row>
    <row r="6873" spans="6:6" x14ac:dyDescent="0.2">
      <c r="F6873"/>
    </row>
    <row r="6874" spans="6:6" x14ac:dyDescent="0.2">
      <c r="F6874"/>
    </row>
    <row r="6875" spans="6:6" x14ac:dyDescent="0.2">
      <c r="F6875"/>
    </row>
    <row r="6876" spans="6:6" x14ac:dyDescent="0.2">
      <c r="F6876"/>
    </row>
    <row r="6877" spans="6:6" x14ac:dyDescent="0.2">
      <c r="F6877"/>
    </row>
    <row r="6878" spans="6:6" x14ac:dyDescent="0.2">
      <c r="F6878"/>
    </row>
    <row r="6879" spans="6:6" x14ac:dyDescent="0.2">
      <c r="F6879"/>
    </row>
    <row r="6880" spans="6:6" x14ac:dyDescent="0.2">
      <c r="F6880"/>
    </row>
    <row r="6881" spans="6:6" x14ac:dyDescent="0.2">
      <c r="F6881"/>
    </row>
    <row r="6882" spans="6:6" x14ac:dyDescent="0.2">
      <c r="F6882"/>
    </row>
    <row r="6883" spans="6:6" x14ac:dyDescent="0.2">
      <c r="F6883"/>
    </row>
    <row r="6884" spans="6:6" x14ac:dyDescent="0.2">
      <c r="F6884"/>
    </row>
    <row r="6885" spans="6:6" x14ac:dyDescent="0.2">
      <c r="F6885"/>
    </row>
    <row r="6886" spans="6:6" x14ac:dyDescent="0.2">
      <c r="F6886"/>
    </row>
    <row r="6887" spans="6:6" x14ac:dyDescent="0.2">
      <c r="F6887"/>
    </row>
    <row r="6888" spans="6:6" x14ac:dyDescent="0.2">
      <c r="F6888"/>
    </row>
    <row r="6889" spans="6:6" x14ac:dyDescent="0.2">
      <c r="F6889"/>
    </row>
    <row r="6890" spans="6:6" x14ac:dyDescent="0.2">
      <c r="F6890"/>
    </row>
    <row r="6891" spans="6:6" x14ac:dyDescent="0.2">
      <c r="F6891"/>
    </row>
    <row r="6892" spans="6:6" x14ac:dyDescent="0.2">
      <c r="F6892"/>
    </row>
    <row r="6893" spans="6:6" x14ac:dyDescent="0.2">
      <c r="F6893"/>
    </row>
    <row r="6894" spans="6:6" x14ac:dyDescent="0.2">
      <c r="F6894"/>
    </row>
    <row r="6895" spans="6:6" x14ac:dyDescent="0.2">
      <c r="F6895"/>
    </row>
    <row r="6896" spans="6:6" x14ac:dyDescent="0.2">
      <c r="F6896"/>
    </row>
    <row r="6897" spans="6:6" x14ac:dyDescent="0.2">
      <c r="F6897"/>
    </row>
    <row r="6898" spans="6:6" x14ac:dyDescent="0.2">
      <c r="F6898"/>
    </row>
    <row r="6899" spans="6:6" x14ac:dyDescent="0.2">
      <c r="F6899"/>
    </row>
    <row r="6900" spans="6:6" x14ac:dyDescent="0.2">
      <c r="F6900"/>
    </row>
    <row r="6901" spans="6:6" x14ac:dyDescent="0.2">
      <c r="F6901"/>
    </row>
    <row r="6902" spans="6:6" x14ac:dyDescent="0.2">
      <c r="F6902"/>
    </row>
    <row r="6903" spans="6:6" x14ac:dyDescent="0.2">
      <c r="F6903"/>
    </row>
    <row r="6904" spans="6:6" x14ac:dyDescent="0.2">
      <c r="F6904"/>
    </row>
    <row r="6905" spans="6:6" x14ac:dyDescent="0.2">
      <c r="F6905"/>
    </row>
    <row r="6906" spans="6:6" x14ac:dyDescent="0.2">
      <c r="F6906"/>
    </row>
    <row r="6907" spans="6:6" x14ac:dyDescent="0.2">
      <c r="F6907"/>
    </row>
    <row r="6908" spans="6:6" x14ac:dyDescent="0.2">
      <c r="F6908"/>
    </row>
    <row r="6909" spans="6:6" x14ac:dyDescent="0.2">
      <c r="F6909"/>
    </row>
    <row r="6910" spans="6:6" x14ac:dyDescent="0.2">
      <c r="F6910"/>
    </row>
    <row r="6911" spans="6:6" x14ac:dyDescent="0.2">
      <c r="F6911"/>
    </row>
    <row r="6912" spans="6:6" x14ac:dyDescent="0.2">
      <c r="F6912"/>
    </row>
    <row r="6913" spans="6:6" x14ac:dyDescent="0.2">
      <c r="F6913"/>
    </row>
    <row r="6914" spans="6:6" x14ac:dyDescent="0.2">
      <c r="F6914"/>
    </row>
    <row r="6915" spans="6:6" x14ac:dyDescent="0.2">
      <c r="F6915"/>
    </row>
    <row r="6916" spans="6:6" x14ac:dyDescent="0.2">
      <c r="F6916"/>
    </row>
    <row r="6917" spans="6:6" x14ac:dyDescent="0.2">
      <c r="F6917"/>
    </row>
    <row r="6918" spans="6:6" x14ac:dyDescent="0.2">
      <c r="F6918"/>
    </row>
    <row r="6919" spans="6:6" x14ac:dyDescent="0.2">
      <c r="F6919"/>
    </row>
    <row r="6920" spans="6:6" x14ac:dyDescent="0.2">
      <c r="F6920"/>
    </row>
    <row r="6921" spans="6:6" x14ac:dyDescent="0.2">
      <c r="F6921"/>
    </row>
    <row r="6922" spans="6:6" x14ac:dyDescent="0.2">
      <c r="F6922"/>
    </row>
    <row r="6923" spans="6:6" x14ac:dyDescent="0.2">
      <c r="F6923"/>
    </row>
    <row r="6924" spans="6:6" x14ac:dyDescent="0.2">
      <c r="F6924"/>
    </row>
    <row r="6925" spans="6:6" x14ac:dyDescent="0.2">
      <c r="F6925"/>
    </row>
    <row r="6926" spans="6:6" x14ac:dyDescent="0.2">
      <c r="F6926"/>
    </row>
    <row r="6927" spans="6:6" x14ac:dyDescent="0.2">
      <c r="F6927"/>
    </row>
    <row r="6928" spans="6:6" x14ac:dyDescent="0.2">
      <c r="F6928"/>
    </row>
    <row r="6929" spans="6:6" x14ac:dyDescent="0.2">
      <c r="F6929"/>
    </row>
    <row r="6930" spans="6:6" x14ac:dyDescent="0.2">
      <c r="F6930"/>
    </row>
    <row r="6931" spans="6:6" x14ac:dyDescent="0.2">
      <c r="F6931"/>
    </row>
    <row r="6932" spans="6:6" x14ac:dyDescent="0.2">
      <c r="F6932"/>
    </row>
    <row r="6933" spans="6:6" x14ac:dyDescent="0.2">
      <c r="F6933"/>
    </row>
    <row r="6934" spans="6:6" x14ac:dyDescent="0.2">
      <c r="F6934"/>
    </row>
    <row r="6935" spans="6:6" x14ac:dyDescent="0.2">
      <c r="F6935"/>
    </row>
    <row r="6936" spans="6:6" x14ac:dyDescent="0.2">
      <c r="F6936"/>
    </row>
    <row r="6937" spans="6:6" x14ac:dyDescent="0.2">
      <c r="F6937"/>
    </row>
    <row r="6938" spans="6:6" x14ac:dyDescent="0.2">
      <c r="F6938"/>
    </row>
    <row r="6939" spans="6:6" x14ac:dyDescent="0.2">
      <c r="F6939"/>
    </row>
    <row r="6940" spans="6:6" x14ac:dyDescent="0.2">
      <c r="F6940"/>
    </row>
    <row r="6941" spans="6:6" x14ac:dyDescent="0.2">
      <c r="F6941"/>
    </row>
    <row r="6942" spans="6:6" x14ac:dyDescent="0.2">
      <c r="F6942"/>
    </row>
    <row r="6943" spans="6:6" x14ac:dyDescent="0.2">
      <c r="F6943"/>
    </row>
    <row r="6944" spans="6:6" x14ac:dyDescent="0.2">
      <c r="F6944"/>
    </row>
    <row r="6945" spans="6:6" x14ac:dyDescent="0.2">
      <c r="F6945"/>
    </row>
    <row r="6946" spans="6:6" x14ac:dyDescent="0.2">
      <c r="F6946"/>
    </row>
    <row r="6947" spans="6:6" x14ac:dyDescent="0.2">
      <c r="F6947"/>
    </row>
    <row r="6948" spans="6:6" x14ac:dyDescent="0.2">
      <c r="F6948"/>
    </row>
    <row r="6949" spans="6:6" x14ac:dyDescent="0.2">
      <c r="F6949"/>
    </row>
    <row r="6950" spans="6:6" x14ac:dyDescent="0.2">
      <c r="F6950"/>
    </row>
    <row r="6951" spans="6:6" x14ac:dyDescent="0.2">
      <c r="F6951"/>
    </row>
    <row r="6952" spans="6:6" x14ac:dyDescent="0.2">
      <c r="F6952"/>
    </row>
    <row r="6953" spans="6:6" x14ac:dyDescent="0.2">
      <c r="F6953"/>
    </row>
    <row r="6954" spans="6:6" x14ac:dyDescent="0.2">
      <c r="F6954"/>
    </row>
    <row r="6955" spans="6:6" x14ac:dyDescent="0.2">
      <c r="F6955"/>
    </row>
    <row r="6956" spans="6:6" x14ac:dyDescent="0.2">
      <c r="F6956"/>
    </row>
    <row r="6957" spans="6:6" x14ac:dyDescent="0.2">
      <c r="F6957"/>
    </row>
    <row r="6958" spans="6:6" x14ac:dyDescent="0.2">
      <c r="F6958"/>
    </row>
    <row r="6959" spans="6:6" x14ac:dyDescent="0.2">
      <c r="F6959"/>
    </row>
    <row r="6960" spans="6:6" x14ac:dyDescent="0.2">
      <c r="F6960"/>
    </row>
    <row r="6961" spans="6:6" x14ac:dyDescent="0.2">
      <c r="F6961"/>
    </row>
    <row r="6962" spans="6:6" x14ac:dyDescent="0.2">
      <c r="F6962"/>
    </row>
    <row r="6963" spans="6:6" x14ac:dyDescent="0.2">
      <c r="F6963"/>
    </row>
    <row r="6964" spans="6:6" x14ac:dyDescent="0.2">
      <c r="F6964"/>
    </row>
    <row r="6965" spans="6:6" x14ac:dyDescent="0.2">
      <c r="F6965"/>
    </row>
    <row r="6966" spans="6:6" x14ac:dyDescent="0.2">
      <c r="F6966"/>
    </row>
    <row r="6967" spans="6:6" x14ac:dyDescent="0.2">
      <c r="F6967"/>
    </row>
    <row r="6968" spans="6:6" x14ac:dyDescent="0.2">
      <c r="F6968"/>
    </row>
    <row r="6969" spans="6:6" x14ac:dyDescent="0.2">
      <c r="F6969"/>
    </row>
    <row r="6970" spans="6:6" x14ac:dyDescent="0.2">
      <c r="F6970"/>
    </row>
    <row r="6971" spans="6:6" x14ac:dyDescent="0.2">
      <c r="F6971"/>
    </row>
    <row r="6972" spans="6:6" x14ac:dyDescent="0.2">
      <c r="F6972"/>
    </row>
    <row r="6973" spans="6:6" x14ac:dyDescent="0.2">
      <c r="F6973"/>
    </row>
    <row r="6974" spans="6:6" x14ac:dyDescent="0.2">
      <c r="F6974"/>
    </row>
    <row r="6975" spans="6:6" x14ac:dyDescent="0.2">
      <c r="F6975"/>
    </row>
    <row r="6976" spans="6:6" x14ac:dyDescent="0.2">
      <c r="F6976"/>
    </row>
    <row r="6977" spans="6:6" x14ac:dyDescent="0.2">
      <c r="F6977"/>
    </row>
    <row r="6978" spans="6:6" x14ac:dyDescent="0.2">
      <c r="F6978"/>
    </row>
    <row r="6979" spans="6:6" x14ac:dyDescent="0.2">
      <c r="F6979"/>
    </row>
    <row r="6980" spans="6:6" x14ac:dyDescent="0.2">
      <c r="F6980"/>
    </row>
    <row r="6981" spans="6:6" x14ac:dyDescent="0.2">
      <c r="F6981"/>
    </row>
    <row r="6982" spans="6:6" x14ac:dyDescent="0.2">
      <c r="F6982"/>
    </row>
    <row r="6983" spans="6:6" x14ac:dyDescent="0.2">
      <c r="F6983"/>
    </row>
    <row r="6984" spans="6:6" x14ac:dyDescent="0.2">
      <c r="F6984"/>
    </row>
    <row r="6985" spans="6:6" x14ac:dyDescent="0.2">
      <c r="F6985"/>
    </row>
    <row r="6986" spans="6:6" x14ac:dyDescent="0.2">
      <c r="F6986"/>
    </row>
    <row r="6987" spans="6:6" x14ac:dyDescent="0.2">
      <c r="F6987"/>
    </row>
    <row r="6988" spans="6:6" x14ac:dyDescent="0.2">
      <c r="F6988"/>
    </row>
    <row r="6989" spans="6:6" x14ac:dyDescent="0.2">
      <c r="F6989"/>
    </row>
    <row r="6990" spans="6:6" x14ac:dyDescent="0.2">
      <c r="F6990"/>
    </row>
    <row r="6991" spans="6:6" x14ac:dyDescent="0.2">
      <c r="F6991"/>
    </row>
    <row r="6992" spans="6:6" x14ac:dyDescent="0.2">
      <c r="F6992"/>
    </row>
    <row r="6993" spans="6:6" x14ac:dyDescent="0.2">
      <c r="F6993"/>
    </row>
    <row r="6994" spans="6:6" x14ac:dyDescent="0.2">
      <c r="F6994"/>
    </row>
    <row r="6995" spans="6:6" x14ac:dyDescent="0.2">
      <c r="F6995"/>
    </row>
    <row r="6996" spans="6:6" x14ac:dyDescent="0.2">
      <c r="F6996"/>
    </row>
    <row r="6997" spans="6:6" x14ac:dyDescent="0.2">
      <c r="F6997"/>
    </row>
    <row r="6998" spans="6:6" x14ac:dyDescent="0.2">
      <c r="F6998"/>
    </row>
    <row r="6999" spans="6:6" x14ac:dyDescent="0.2">
      <c r="F6999"/>
    </row>
    <row r="7000" spans="6:6" x14ac:dyDescent="0.2">
      <c r="F7000"/>
    </row>
    <row r="7001" spans="6:6" x14ac:dyDescent="0.2">
      <c r="F7001"/>
    </row>
    <row r="7002" spans="6:6" x14ac:dyDescent="0.2">
      <c r="F7002"/>
    </row>
    <row r="7003" spans="6:6" x14ac:dyDescent="0.2">
      <c r="F7003"/>
    </row>
    <row r="7004" spans="6:6" x14ac:dyDescent="0.2">
      <c r="F7004"/>
    </row>
    <row r="7005" spans="6:6" x14ac:dyDescent="0.2">
      <c r="F7005"/>
    </row>
    <row r="7006" spans="6:6" x14ac:dyDescent="0.2">
      <c r="F7006"/>
    </row>
    <row r="7007" spans="6:6" x14ac:dyDescent="0.2">
      <c r="F7007"/>
    </row>
    <row r="7008" spans="6:6" x14ac:dyDescent="0.2">
      <c r="F7008"/>
    </row>
    <row r="7009" spans="6:6" x14ac:dyDescent="0.2">
      <c r="F7009"/>
    </row>
    <row r="7010" spans="6:6" x14ac:dyDescent="0.2">
      <c r="F7010"/>
    </row>
    <row r="7011" spans="6:6" x14ac:dyDescent="0.2">
      <c r="F7011"/>
    </row>
    <row r="7012" spans="6:6" x14ac:dyDescent="0.2">
      <c r="F7012"/>
    </row>
    <row r="7013" spans="6:6" x14ac:dyDescent="0.2">
      <c r="F7013"/>
    </row>
    <row r="7014" spans="6:6" x14ac:dyDescent="0.2">
      <c r="F7014"/>
    </row>
    <row r="7015" spans="6:6" x14ac:dyDescent="0.2">
      <c r="F7015"/>
    </row>
    <row r="7016" spans="6:6" x14ac:dyDescent="0.2">
      <c r="F7016"/>
    </row>
    <row r="7017" spans="6:6" x14ac:dyDescent="0.2">
      <c r="F7017"/>
    </row>
    <row r="7018" spans="6:6" x14ac:dyDescent="0.2">
      <c r="F7018"/>
    </row>
    <row r="7019" spans="6:6" x14ac:dyDescent="0.2">
      <c r="F7019"/>
    </row>
    <row r="7020" spans="6:6" x14ac:dyDescent="0.2">
      <c r="F7020"/>
    </row>
    <row r="7021" spans="6:6" x14ac:dyDescent="0.2">
      <c r="F7021"/>
    </row>
    <row r="7022" spans="6:6" x14ac:dyDescent="0.2">
      <c r="F7022"/>
    </row>
    <row r="7023" spans="6:6" x14ac:dyDescent="0.2">
      <c r="F7023"/>
    </row>
    <row r="7024" spans="6:6" x14ac:dyDescent="0.2">
      <c r="F7024"/>
    </row>
    <row r="7025" spans="6:6" x14ac:dyDescent="0.2">
      <c r="F7025"/>
    </row>
    <row r="7026" spans="6:6" x14ac:dyDescent="0.2">
      <c r="F7026"/>
    </row>
    <row r="7027" spans="6:6" x14ac:dyDescent="0.2">
      <c r="F7027"/>
    </row>
    <row r="7028" spans="6:6" x14ac:dyDescent="0.2">
      <c r="F7028"/>
    </row>
    <row r="7029" spans="6:6" x14ac:dyDescent="0.2">
      <c r="F7029"/>
    </row>
    <row r="7030" spans="6:6" x14ac:dyDescent="0.2">
      <c r="F7030"/>
    </row>
    <row r="7031" spans="6:6" x14ac:dyDescent="0.2">
      <c r="F7031"/>
    </row>
    <row r="7032" spans="6:6" x14ac:dyDescent="0.2">
      <c r="F7032"/>
    </row>
    <row r="7033" spans="6:6" x14ac:dyDescent="0.2">
      <c r="F7033"/>
    </row>
    <row r="7034" spans="6:6" x14ac:dyDescent="0.2">
      <c r="F7034"/>
    </row>
    <row r="7035" spans="6:6" x14ac:dyDescent="0.2">
      <c r="F7035"/>
    </row>
    <row r="7036" spans="6:6" x14ac:dyDescent="0.2">
      <c r="F7036"/>
    </row>
    <row r="7037" spans="6:6" x14ac:dyDescent="0.2">
      <c r="F7037"/>
    </row>
    <row r="7038" spans="6:6" x14ac:dyDescent="0.2">
      <c r="F7038"/>
    </row>
    <row r="7039" spans="6:6" x14ac:dyDescent="0.2">
      <c r="F7039"/>
    </row>
    <row r="7040" spans="6:6" x14ac:dyDescent="0.2">
      <c r="F7040"/>
    </row>
    <row r="7041" spans="6:6" x14ac:dyDescent="0.2">
      <c r="F7041"/>
    </row>
    <row r="7042" spans="6:6" x14ac:dyDescent="0.2">
      <c r="F7042"/>
    </row>
    <row r="7043" spans="6:6" x14ac:dyDescent="0.2">
      <c r="F7043"/>
    </row>
    <row r="7044" spans="6:6" x14ac:dyDescent="0.2">
      <c r="F7044"/>
    </row>
    <row r="7045" spans="6:6" x14ac:dyDescent="0.2">
      <c r="F7045"/>
    </row>
    <row r="7046" spans="6:6" x14ac:dyDescent="0.2">
      <c r="F7046"/>
    </row>
    <row r="7047" spans="6:6" x14ac:dyDescent="0.2">
      <c r="F7047"/>
    </row>
    <row r="7048" spans="6:6" x14ac:dyDescent="0.2">
      <c r="F7048"/>
    </row>
    <row r="7049" spans="6:6" x14ac:dyDescent="0.2">
      <c r="F7049"/>
    </row>
    <row r="7050" spans="6:6" x14ac:dyDescent="0.2">
      <c r="F7050"/>
    </row>
    <row r="7051" spans="6:6" x14ac:dyDescent="0.2">
      <c r="F7051"/>
    </row>
    <row r="7052" spans="6:6" x14ac:dyDescent="0.2">
      <c r="F7052"/>
    </row>
    <row r="7053" spans="6:6" x14ac:dyDescent="0.2">
      <c r="F7053"/>
    </row>
    <row r="7054" spans="6:6" x14ac:dyDescent="0.2">
      <c r="F7054"/>
    </row>
    <row r="7055" spans="6:6" x14ac:dyDescent="0.2">
      <c r="F7055"/>
    </row>
    <row r="7056" spans="6:6" x14ac:dyDescent="0.2">
      <c r="F7056"/>
    </row>
    <row r="7057" spans="6:6" x14ac:dyDescent="0.2">
      <c r="F7057"/>
    </row>
    <row r="7058" spans="6:6" x14ac:dyDescent="0.2">
      <c r="F7058"/>
    </row>
    <row r="7059" spans="6:6" x14ac:dyDescent="0.2">
      <c r="F7059"/>
    </row>
    <row r="7060" spans="6:6" x14ac:dyDescent="0.2">
      <c r="F7060"/>
    </row>
    <row r="7061" spans="6:6" x14ac:dyDescent="0.2">
      <c r="F7061"/>
    </row>
    <row r="7062" spans="6:6" x14ac:dyDescent="0.2">
      <c r="F7062"/>
    </row>
    <row r="7063" spans="6:6" x14ac:dyDescent="0.2">
      <c r="F7063"/>
    </row>
    <row r="7064" spans="6:6" x14ac:dyDescent="0.2">
      <c r="F7064"/>
    </row>
    <row r="7065" spans="6:6" x14ac:dyDescent="0.2">
      <c r="F7065"/>
    </row>
    <row r="7066" spans="6:6" x14ac:dyDescent="0.2">
      <c r="F7066"/>
    </row>
    <row r="7067" spans="6:6" x14ac:dyDescent="0.2">
      <c r="F7067"/>
    </row>
    <row r="7068" spans="6:6" x14ac:dyDescent="0.2">
      <c r="F7068"/>
    </row>
    <row r="7069" spans="6:6" x14ac:dyDescent="0.2">
      <c r="F7069"/>
    </row>
    <row r="7070" spans="6:6" x14ac:dyDescent="0.2">
      <c r="F7070"/>
    </row>
    <row r="7071" spans="6:6" x14ac:dyDescent="0.2">
      <c r="F7071"/>
    </row>
    <row r="7072" spans="6:6" x14ac:dyDescent="0.2">
      <c r="F7072"/>
    </row>
    <row r="7073" spans="6:6" x14ac:dyDescent="0.2">
      <c r="F7073"/>
    </row>
    <row r="7074" spans="6:6" x14ac:dyDescent="0.2">
      <c r="F7074"/>
    </row>
    <row r="7075" spans="6:6" x14ac:dyDescent="0.2">
      <c r="F7075"/>
    </row>
    <row r="7076" spans="6:6" x14ac:dyDescent="0.2">
      <c r="F7076"/>
    </row>
    <row r="7077" spans="6:6" x14ac:dyDescent="0.2">
      <c r="F7077"/>
    </row>
    <row r="7078" spans="6:6" x14ac:dyDescent="0.2">
      <c r="F7078"/>
    </row>
    <row r="7079" spans="6:6" x14ac:dyDescent="0.2">
      <c r="F7079"/>
    </row>
    <row r="7080" spans="6:6" x14ac:dyDescent="0.2">
      <c r="F7080"/>
    </row>
    <row r="7081" spans="6:6" x14ac:dyDescent="0.2">
      <c r="F7081"/>
    </row>
    <row r="7082" spans="6:6" x14ac:dyDescent="0.2">
      <c r="F7082"/>
    </row>
    <row r="7083" spans="6:6" x14ac:dyDescent="0.2">
      <c r="F7083"/>
    </row>
    <row r="7084" spans="6:6" x14ac:dyDescent="0.2">
      <c r="F7084"/>
    </row>
    <row r="7085" spans="6:6" x14ac:dyDescent="0.2">
      <c r="F7085"/>
    </row>
    <row r="7086" spans="6:6" x14ac:dyDescent="0.2">
      <c r="F7086"/>
    </row>
    <row r="7087" spans="6:6" x14ac:dyDescent="0.2">
      <c r="F7087"/>
    </row>
    <row r="7088" spans="6:6" x14ac:dyDescent="0.2">
      <c r="F7088"/>
    </row>
    <row r="7089" spans="6:6" x14ac:dyDescent="0.2">
      <c r="F7089"/>
    </row>
    <row r="7090" spans="6:6" x14ac:dyDescent="0.2">
      <c r="F7090"/>
    </row>
    <row r="7091" spans="6:6" x14ac:dyDescent="0.2">
      <c r="F7091"/>
    </row>
    <row r="7092" spans="6:6" x14ac:dyDescent="0.2">
      <c r="F7092"/>
    </row>
    <row r="7093" spans="6:6" x14ac:dyDescent="0.2">
      <c r="F7093"/>
    </row>
    <row r="7094" spans="6:6" x14ac:dyDescent="0.2">
      <c r="F7094"/>
    </row>
    <row r="7095" spans="6:6" x14ac:dyDescent="0.2">
      <c r="F7095"/>
    </row>
    <row r="7096" spans="6:6" x14ac:dyDescent="0.2">
      <c r="F7096"/>
    </row>
    <row r="7097" spans="6:6" x14ac:dyDescent="0.2">
      <c r="F7097"/>
    </row>
    <row r="7098" spans="6:6" x14ac:dyDescent="0.2">
      <c r="F7098"/>
    </row>
    <row r="7099" spans="6:6" x14ac:dyDescent="0.2">
      <c r="F7099"/>
    </row>
    <row r="7100" spans="6:6" x14ac:dyDescent="0.2">
      <c r="F7100"/>
    </row>
    <row r="7101" spans="6:6" x14ac:dyDescent="0.2">
      <c r="F7101"/>
    </row>
    <row r="7102" spans="6:6" x14ac:dyDescent="0.2">
      <c r="F7102"/>
    </row>
    <row r="7103" spans="6:6" x14ac:dyDescent="0.2">
      <c r="F7103"/>
    </row>
    <row r="7104" spans="6:6" x14ac:dyDescent="0.2">
      <c r="F7104"/>
    </row>
    <row r="7105" spans="6:6" x14ac:dyDescent="0.2">
      <c r="F7105"/>
    </row>
    <row r="7106" spans="6:6" x14ac:dyDescent="0.2">
      <c r="F7106"/>
    </row>
    <row r="7107" spans="6:6" x14ac:dyDescent="0.2">
      <c r="F7107"/>
    </row>
    <row r="7108" spans="6:6" x14ac:dyDescent="0.2">
      <c r="F7108"/>
    </row>
    <row r="7109" spans="6:6" x14ac:dyDescent="0.2">
      <c r="F7109"/>
    </row>
    <row r="7110" spans="6:6" x14ac:dyDescent="0.2">
      <c r="F7110"/>
    </row>
    <row r="7111" spans="6:6" x14ac:dyDescent="0.2">
      <c r="F7111"/>
    </row>
    <row r="7112" spans="6:6" x14ac:dyDescent="0.2">
      <c r="F7112"/>
    </row>
    <row r="7113" spans="6:6" x14ac:dyDescent="0.2">
      <c r="F7113"/>
    </row>
    <row r="7114" spans="6:6" x14ac:dyDescent="0.2">
      <c r="F7114"/>
    </row>
    <row r="7115" spans="6:6" x14ac:dyDescent="0.2">
      <c r="F7115"/>
    </row>
    <row r="7116" spans="6:6" x14ac:dyDescent="0.2">
      <c r="F7116"/>
    </row>
    <row r="7117" spans="6:6" x14ac:dyDescent="0.2">
      <c r="F7117"/>
    </row>
    <row r="7118" spans="6:6" x14ac:dyDescent="0.2">
      <c r="F7118"/>
    </row>
    <row r="7119" spans="6:6" x14ac:dyDescent="0.2">
      <c r="F7119"/>
    </row>
    <row r="7120" spans="6:6" x14ac:dyDescent="0.2">
      <c r="F7120"/>
    </row>
    <row r="7121" spans="6:6" x14ac:dyDescent="0.2">
      <c r="F7121"/>
    </row>
    <row r="7122" spans="6:6" x14ac:dyDescent="0.2">
      <c r="F7122"/>
    </row>
    <row r="7123" spans="6:6" x14ac:dyDescent="0.2">
      <c r="F7123"/>
    </row>
    <row r="7124" spans="6:6" x14ac:dyDescent="0.2">
      <c r="F7124"/>
    </row>
    <row r="7125" spans="6:6" x14ac:dyDescent="0.2">
      <c r="F7125"/>
    </row>
    <row r="7126" spans="6:6" x14ac:dyDescent="0.2">
      <c r="F7126"/>
    </row>
    <row r="7127" spans="6:6" x14ac:dyDescent="0.2">
      <c r="F7127"/>
    </row>
    <row r="7128" spans="6:6" x14ac:dyDescent="0.2">
      <c r="F7128"/>
    </row>
    <row r="7129" spans="6:6" x14ac:dyDescent="0.2">
      <c r="F7129"/>
    </row>
    <row r="7130" spans="6:6" x14ac:dyDescent="0.2">
      <c r="F7130"/>
    </row>
    <row r="7131" spans="6:6" x14ac:dyDescent="0.2">
      <c r="F7131"/>
    </row>
    <row r="7132" spans="6:6" x14ac:dyDescent="0.2">
      <c r="F7132"/>
    </row>
    <row r="7133" spans="6:6" x14ac:dyDescent="0.2">
      <c r="F7133"/>
    </row>
    <row r="7134" spans="6:6" x14ac:dyDescent="0.2">
      <c r="F7134"/>
    </row>
    <row r="7135" spans="6:6" x14ac:dyDescent="0.2">
      <c r="F7135"/>
    </row>
    <row r="7136" spans="6:6" x14ac:dyDescent="0.2">
      <c r="F7136"/>
    </row>
    <row r="7137" spans="6:6" x14ac:dyDescent="0.2">
      <c r="F7137"/>
    </row>
    <row r="7138" spans="6:6" x14ac:dyDescent="0.2">
      <c r="F7138"/>
    </row>
    <row r="7139" spans="6:6" x14ac:dyDescent="0.2">
      <c r="F7139"/>
    </row>
    <row r="7140" spans="6:6" x14ac:dyDescent="0.2">
      <c r="F7140"/>
    </row>
    <row r="7141" spans="6:6" x14ac:dyDescent="0.2">
      <c r="F7141"/>
    </row>
    <row r="7142" spans="6:6" x14ac:dyDescent="0.2">
      <c r="F7142"/>
    </row>
    <row r="7143" spans="6:6" x14ac:dyDescent="0.2">
      <c r="F7143"/>
    </row>
    <row r="7144" spans="6:6" x14ac:dyDescent="0.2">
      <c r="F7144"/>
    </row>
    <row r="7145" spans="6:6" x14ac:dyDescent="0.2">
      <c r="F7145"/>
    </row>
    <row r="7146" spans="6:6" x14ac:dyDescent="0.2">
      <c r="F7146"/>
    </row>
    <row r="7147" spans="6:6" x14ac:dyDescent="0.2">
      <c r="F7147"/>
    </row>
    <row r="7148" spans="6:6" x14ac:dyDescent="0.2">
      <c r="F7148"/>
    </row>
    <row r="7149" spans="6:6" x14ac:dyDescent="0.2">
      <c r="F7149"/>
    </row>
    <row r="7150" spans="6:6" x14ac:dyDescent="0.2">
      <c r="F7150"/>
    </row>
    <row r="7151" spans="6:6" x14ac:dyDescent="0.2">
      <c r="F7151"/>
    </row>
    <row r="7152" spans="6:6" x14ac:dyDescent="0.2">
      <c r="F7152"/>
    </row>
    <row r="7153" spans="6:6" x14ac:dyDescent="0.2">
      <c r="F7153"/>
    </row>
    <row r="7154" spans="6:6" x14ac:dyDescent="0.2">
      <c r="F7154"/>
    </row>
    <row r="7155" spans="6:6" x14ac:dyDescent="0.2">
      <c r="F7155"/>
    </row>
    <row r="7156" spans="6:6" x14ac:dyDescent="0.2">
      <c r="F7156"/>
    </row>
    <row r="7157" spans="6:6" x14ac:dyDescent="0.2">
      <c r="F7157"/>
    </row>
    <row r="7158" spans="6:6" x14ac:dyDescent="0.2">
      <c r="F7158"/>
    </row>
    <row r="7159" spans="6:6" x14ac:dyDescent="0.2">
      <c r="F7159"/>
    </row>
    <row r="7160" spans="6:6" x14ac:dyDescent="0.2">
      <c r="F7160"/>
    </row>
    <row r="7161" spans="6:6" x14ac:dyDescent="0.2">
      <c r="F7161"/>
    </row>
    <row r="7162" spans="6:6" x14ac:dyDescent="0.2">
      <c r="F7162"/>
    </row>
    <row r="7163" spans="6:6" x14ac:dyDescent="0.2">
      <c r="F7163"/>
    </row>
    <row r="7164" spans="6:6" x14ac:dyDescent="0.2">
      <c r="F7164"/>
    </row>
    <row r="7165" spans="6:6" x14ac:dyDescent="0.2">
      <c r="F7165"/>
    </row>
    <row r="7166" spans="6:6" x14ac:dyDescent="0.2">
      <c r="F7166"/>
    </row>
    <row r="7167" spans="6:6" x14ac:dyDescent="0.2">
      <c r="F7167"/>
    </row>
    <row r="7168" spans="6:6" x14ac:dyDescent="0.2">
      <c r="F7168"/>
    </row>
    <row r="7169" spans="6:6" x14ac:dyDescent="0.2">
      <c r="F7169"/>
    </row>
    <row r="7170" spans="6:6" x14ac:dyDescent="0.2">
      <c r="F7170"/>
    </row>
    <row r="7171" spans="6:6" x14ac:dyDescent="0.2">
      <c r="F7171"/>
    </row>
    <row r="7172" spans="6:6" x14ac:dyDescent="0.2">
      <c r="F7172"/>
    </row>
    <row r="7173" spans="6:6" x14ac:dyDescent="0.2">
      <c r="F7173"/>
    </row>
    <row r="7174" spans="6:6" x14ac:dyDescent="0.2">
      <c r="F7174"/>
    </row>
    <row r="7175" spans="6:6" x14ac:dyDescent="0.2">
      <c r="F7175"/>
    </row>
    <row r="7176" spans="6:6" x14ac:dyDescent="0.2">
      <c r="F7176"/>
    </row>
    <row r="7177" spans="6:6" x14ac:dyDescent="0.2">
      <c r="F7177"/>
    </row>
    <row r="7178" spans="6:6" x14ac:dyDescent="0.2">
      <c r="F7178"/>
    </row>
    <row r="7179" spans="6:6" x14ac:dyDescent="0.2">
      <c r="F7179"/>
    </row>
    <row r="7180" spans="6:6" x14ac:dyDescent="0.2">
      <c r="F7180"/>
    </row>
    <row r="7181" spans="6:6" x14ac:dyDescent="0.2">
      <c r="F7181"/>
    </row>
    <row r="7182" spans="6:6" x14ac:dyDescent="0.2">
      <c r="F7182"/>
    </row>
    <row r="7183" spans="6:6" x14ac:dyDescent="0.2">
      <c r="F7183"/>
    </row>
    <row r="7184" spans="6:6" x14ac:dyDescent="0.2">
      <c r="F7184"/>
    </row>
    <row r="7185" spans="6:6" x14ac:dyDescent="0.2">
      <c r="F7185"/>
    </row>
    <row r="7186" spans="6:6" x14ac:dyDescent="0.2">
      <c r="F7186"/>
    </row>
    <row r="7187" spans="6:6" x14ac:dyDescent="0.2">
      <c r="F7187"/>
    </row>
    <row r="7188" spans="6:6" x14ac:dyDescent="0.2">
      <c r="F7188"/>
    </row>
    <row r="7189" spans="6:6" x14ac:dyDescent="0.2">
      <c r="F7189"/>
    </row>
    <row r="7190" spans="6:6" x14ac:dyDescent="0.2">
      <c r="F7190"/>
    </row>
    <row r="7191" spans="6:6" x14ac:dyDescent="0.2">
      <c r="F7191"/>
    </row>
    <row r="7192" spans="6:6" x14ac:dyDescent="0.2">
      <c r="F7192"/>
    </row>
    <row r="7193" spans="6:6" x14ac:dyDescent="0.2">
      <c r="F7193"/>
    </row>
    <row r="7194" spans="6:6" x14ac:dyDescent="0.2">
      <c r="F7194"/>
    </row>
    <row r="7195" spans="6:6" x14ac:dyDescent="0.2">
      <c r="F7195"/>
    </row>
    <row r="7196" spans="6:6" x14ac:dyDescent="0.2">
      <c r="F7196"/>
    </row>
    <row r="7197" spans="6:6" x14ac:dyDescent="0.2">
      <c r="F7197"/>
    </row>
    <row r="7198" spans="6:6" x14ac:dyDescent="0.2">
      <c r="F7198"/>
    </row>
    <row r="7199" spans="6:6" x14ac:dyDescent="0.2">
      <c r="F7199"/>
    </row>
    <row r="7200" spans="6:6" x14ac:dyDescent="0.2">
      <c r="F7200"/>
    </row>
    <row r="7201" spans="6:6" x14ac:dyDescent="0.2">
      <c r="F7201"/>
    </row>
    <row r="7202" spans="6:6" x14ac:dyDescent="0.2">
      <c r="F7202"/>
    </row>
    <row r="7203" spans="6:6" x14ac:dyDescent="0.2">
      <c r="F7203"/>
    </row>
    <row r="7204" spans="6:6" x14ac:dyDescent="0.2">
      <c r="F7204"/>
    </row>
    <row r="7205" spans="6:6" x14ac:dyDescent="0.2">
      <c r="F7205"/>
    </row>
    <row r="7206" spans="6:6" x14ac:dyDescent="0.2">
      <c r="F7206"/>
    </row>
    <row r="7207" spans="6:6" x14ac:dyDescent="0.2">
      <c r="F7207"/>
    </row>
    <row r="7208" spans="6:6" x14ac:dyDescent="0.2">
      <c r="F7208"/>
    </row>
    <row r="7209" spans="6:6" x14ac:dyDescent="0.2">
      <c r="F7209"/>
    </row>
    <row r="7210" spans="6:6" x14ac:dyDescent="0.2">
      <c r="F7210"/>
    </row>
    <row r="7211" spans="6:6" x14ac:dyDescent="0.2">
      <c r="F7211"/>
    </row>
    <row r="7212" spans="6:6" x14ac:dyDescent="0.2">
      <c r="F7212"/>
    </row>
    <row r="7213" spans="6:6" x14ac:dyDescent="0.2">
      <c r="F7213"/>
    </row>
    <row r="7214" spans="6:6" x14ac:dyDescent="0.2">
      <c r="F7214"/>
    </row>
    <row r="7215" spans="6:6" x14ac:dyDescent="0.2">
      <c r="F7215"/>
    </row>
    <row r="7216" spans="6:6" x14ac:dyDescent="0.2">
      <c r="F7216"/>
    </row>
    <row r="7217" spans="6:6" x14ac:dyDescent="0.2">
      <c r="F7217"/>
    </row>
    <row r="7218" spans="6:6" x14ac:dyDescent="0.2">
      <c r="F7218"/>
    </row>
    <row r="7219" spans="6:6" x14ac:dyDescent="0.2">
      <c r="F7219"/>
    </row>
    <row r="7220" spans="6:6" x14ac:dyDescent="0.2">
      <c r="F7220"/>
    </row>
    <row r="7221" spans="6:6" x14ac:dyDescent="0.2">
      <c r="F7221"/>
    </row>
    <row r="7222" spans="6:6" x14ac:dyDescent="0.2">
      <c r="F7222"/>
    </row>
    <row r="7223" spans="6:6" x14ac:dyDescent="0.2">
      <c r="F7223"/>
    </row>
    <row r="7224" spans="6:6" x14ac:dyDescent="0.2">
      <c r="F7224"/>
    </row>
    <row r="7225" spans="6:6" x14ac:dyDescent="0.2">
      <c r="F7225"/>
    </row>
    <row r="7226" spans="6:6" x14ac:dyDescent="0.2">
      <c r="F7226"/>
    </row>
    <row r="7227" spans="6:6" x14ac:dyDescent="0.2">
      <c r="F7227"/>
    </row>
    <row r="7228" spans="6:6" x14ac:dyDescent="0.2">
      <c r="F7228"/>
    </row>
    <row r="7229" spans="6:6" x14ac:dyDescent="0.2">
      <c r="F7229"/>
    </row>
    <row r="7230" spans="6:6" x14ac:dyDescent="0.2">
      <c r="F7230"/>
    </row>
    <row r="7231" spans="6:6" x14ac:dyDescent="0.2">
      <c r="F7231"/>
    </row>
    <row r="7232" spans="6:6" x14ac:dyDescent="0.2">
      <c r="F7232"/>
    </row>
    <row r="7233" spans="6:6" x14ac:dyDescent="0.2">
      <c r="F7233"/>
    </row>
    <row r="7234" spans="6:6" x14ac:dyDescent="0.2">
      <c r="F7234"/>
    </row>
    <row r="7235" spans="6:6" x14ac:dyDescent="0.2">
      <c r="F7235"/>
    </row>
    <row r="7236" spans="6:6" x14ac:dyDescent="0.2">
      <c r="F7236"/>
    </row>
    <row r="7237" spans="6:6" x14ac:dyDescent="0.2">
      <c r="F7237"/>
    </row>
    <row r="7238" spans="6:6" x14ac:dyDescent="0.2">
      <c r="F7238"/>
    </row>
    <row r="7239" spans="6:6" x14ac:dyDescent="0.2">
      <c r="F7239"/>
    </row>
    <row r="7240" spans="6:6" x14ac:dyDescent="0.2">
      <c r="F7240"/>
    </row>
    <row r="7241" spans="6:6" x14ac:dyDescent="0.2">
      <c r="F7241"/>
    </row>
    <row r="7242" spans="6:6" x14ac:dyDescent="0.2">
      <c r="F7242"/>
    </row>
    <row r="7243" spans="6:6" x14ac:dyDescent="0.2">
      <c r="F7243"/>
    </row>
    <row r="7244" spans="6:6" x14ac:dyDescent="0.2">
      <c r="F7244"/>
    </row>
    <row r="7245" spans="6:6" x14ac:dyDescent="0.2">
      <c r="F7245"/>
    </row>
    <row r="7246" spans="6:6" x14ac:dyDescent="0.2">
      <c r="F7246"/>
    </row>
    <row r="7247" spans="6:6" x14ac:dyDescent="0.2">
      <c r="F7247"/>
    </row>
    <row r="7248" spans="6:6" x14ac:dyDescent="0.2">
      <c r="F7248"/>
    </row>
    <row r="7249" spans="6:6" x14ac:dyDescent="0.2">
      <c r="F7249"/>
    </row>
    <row r="7250" spans="6:6" x14ac:dyDescent="0.2">
      <c r="F7250"/>
    </row>
    <row r="7251" spans="6:6" x14ac:dyDescent="0.2">
      <c r="F7251"/>
    </row>
    <row r="7252" spans="6:6" x14ac:dyDescent="0.2">
      <c r="F7252"/>
    </row>
    <row r="7253" spans="6:6" x14ac:dyDescent="0.2">
      <c r="F7253"/>
    </row>
    <row r="7254" spans="6:6" x14ac:dyDescent="0.2">
      <c r="F7254"/>
    </row>
    <row r="7255" spans="6:6" x14ac:dyDescent="0.2">
      <c r="F7255"/>
    </row>
    <row r="7256" spans="6:6" x14ac:dyDescent="0.2">
      <c r="F7256"/>
    </row>
    <row r="7257" spans="6:6" x14ac:dyDescent="0.2">
      <c r="F7257"/>
    </row>
    <row r="7258" spans="6:6" x14ac:dyDescent="0.2">
      <c r="F7258"/>
    </row>
    <row r="7259" spans="6:6" x14ac:dyDescent="0.2">
      <c r="F7259"/>
    </row>
    <row r="7260" spans="6:6" x14ac:dyDescent="0.2">
      <c r="F7260"/>
    </row>
    <row r="7261" spans="6:6" x14ac:dyDescent="0.2">
      <c r="F7261"/>
    </row>
    <row r="7262" spans="6:6" x14ac:dyDescent="0.2">
      <c r="F7262"/>
    </row>
    <row r="7263" spans="6:6" x14ac:dyDescent="0.2">
      <c r="F7263"/>
    </row>
    <row r="7264" spans="6:6" x14ac:dyDescent="0.2">
      <c r="F7264"/>
    </row>
    <row r="7265" spans="6:6" x14ac:dyDescent="0.2">
      <c r="F7265"/>
    </row>
    <row r="7266" spans="6:6" x14ac:dyDescent="0.2">
      <c r="F7266"/>
    </row>
    <row r="7267" spans="6:6" x14ac:dyDescent="0.2">
      <c r="F7267"/>
    </row>
    <row r="7268" spans="6:6" x14ac:dyDescent="0.2">
      <c r="F7268"/>
    </row>
    <row r="7269" spans="6:6" x14ac:dyDescent="0.2">
      <c r="F7269"/>
    </row>
    <row r="7270" spans="6:6" x14ac:dyDescent="0.2">
      <c r="F7270"/>
    </row>
    <row r="7271" spans="6:6" x14ac:dyDescent="0.2">
      <c r="F7271"/>
    </row>
    <row r="7272" spans="6:6" x14ac:dyDescent="0.2">
      <c r="F7272"/>
    </row>
    <row r="7273" spans="6:6" x14ac:dyDescent="0.2">
      <c r="F7273"/>
    </row>
    <row r="7274" spans="6:6" x14ac:dyDescent="0.2">
      <c r="F7274"/>
    </row>
    <row r="7275" spans="6:6" x14ac:dyDescent="0.2">
      <c r="F7275"/>
    </row>
    <row r="7276" spans="6:6" x14ac:dyDescent="0.2">
      <c r="F7276"/>
    </row>
    <row r="7277" spans="6:6" x14ac:dyDescent="0.2">
      <c r="F7277"/>
    </row>
    <row r="7278" spans="6:6" x14ac:dyDescent="0.2">
      <c r="F7278"/>
    </row>
    <row r="7279" spans="6:6" x14ac:dyDescent="0.2">
      <c r="F7279"/>
    </row>
    <row r="7280" spans="6:6" x14ac:dyDescent="0.2">
      <c r="F7280"/>
    </row>
    <row r="7281" spans="6:6" x14ac:dyDescent="0.2">
      <c r="F7281"/>
    </row>
    <row r="7282" spans="6:6" x14ac:dyDescent="0.2">
      <c r="F7282"/>
    </row>
    <row r="7283" spans="6:6" x14ac:dyDescent="0.2">
      <c r="F7283"/>
    </row>
    <row r="7284" spans="6:6" x14ac:dyDescent="0.2">
      <c r="F7284"/>
    </row>
    <row r="7285" spans="6:6" x14ac:dyDescent="0.2">
      <c r="F7285"/>
    </row>
    <row r="7286" spans="6:6" x14ac:dyDescent="0.2">
      <c r="F7286"/>
    </row>
    <row r="7287" spans="6:6" x14ac:dyDescent="0.2">
      <c r="F7287"/>
    </row>
    <row r="7288" spans="6:6" x14ac:dyDescent="0.2">
      <c r="F7288"/>
    </row>
    <row r="7289" spans="6:6" x14ac:dyDescent="0.2">
      <c r="F7289"/>
    </row>
    <row r="7290" spans="6:6" x14ac:dyDescent="0.2">
      <c r="F7290"/>
    </row>
    <row r="7291" spans="6:6" x14ac:dyDescent="0.2">
      <c r="F7291"/>
    </row>
    <row r="7292" spans="6:6" x14ac:dyDescent="0.2">
      <c r="F7292"/>
    </row>
    <row r="7293" spans="6:6" x14ac:dyDescent="0.2">
      <c r="F7293"/>
    </row>
    <row r="7294" spans="6:6" x14ac:dyDescent="0.2">
      <c r="F7294"/>
    </row>
    <row r="7295" spans="6:6" x14ac:dyDescent="0.2">
      <c r="F7295"/>
    </row>
    <row r="7296" spans="6:6" x14ac:dyDescent="0.2">
      <c r="F7296"/>
    </row>
    <row r="7297" spans="6:6" x14ac:dyDescent="0.2">
      <c r="F7297"/>
    </row>
    <row r="7298" spans="6:6" x14ac:dyDescent="0.2">
      <c r="F7298"/>
    </row>
    <row r="7299" spans="6:6" x14ac:dyDescent="0.2">
      <c r="F7299"/>
    </row>
    <row r="7300" spans="6:6" x14ac:dyDescent="0.2">
      <c r="F7300"/>
    </row>
    <row r="7301" spans="6:6" x14ac:dyDescent="0.2">
      <c r="F7301"/>
    </row>
    <row r="7302" spans="6:6" x14ac:dyDescent="0.2">
      <c r="F7302"/>
    </row>
    <row r="7303" spans="6:6" x14ac:dyDescent="0.2">
      <c r="F7303"/>
    </row>
    <row r="7304" spans="6:6" x14ac:dyDescent="0.2">
      <c r="F7304"/>
    </row>
    <row r="7305" spans="6:6" x14ac:dyDescent="0.2">
      <c r="F7305"/>
    </row>
    <row r="7306" spans="6:6" x14ac:dyDescent="0.2">
      <c r="F7306"/>
    </row>
    <row r="7307" spans="6:6" x14ac:dyDescent="0.2">
      <c r="F7307"/>
    </row>
    <row r="7308" spans="6:6" x14ac:dyDescent="0.2">
      <c r="F7308"/>
    </row>
    <row r="7309" spans="6:6" x14ac:dyDescent="0.2">
      <c r="F7309"/>
    </row>
    <row r="7310" spans="6:6" x14ac:dyDescent="0.2">
      <c r="F7310"/>
    </row>
    <row r="7311" spans="6:6" x14ac:dyDescent="0.2">
      <c r="F7311"/>
    </row>
    <row r="7312" spans="6:6" x14ac:dyDescent="0.2">
      <c r="F7312"/>
    </row>
    <row r="7313" spans="6:6" x14ac:dyDescent="0.2">
      <c r="F7313"/>
    </row>
    <row r="7314" spans="6:6" x14ac:dyDescent="0.2">
      <c r="F7314"/>
    </row>
    <row r="7315" spans="6:6" x14ac:dyDescent="0.2">
      <c r="F7315"/>
    </row>
    <row r="7316" spans="6:6" x14ac:dyDescent="0.2">
      <c r="F7316"/>
    </row>
    <row r="7317" spans="6:6" x14ac:dyDescent="0.2">
      <c r="F7317"/>
    </row>
    <row r="7318" spans="6:6" x14ac:dyDescent="0.2">
      <c r="F7318"/>
    </row>
    <row r="7319" spans="6:6" x14ac:dyDescent="0.2">
      <c r="F7319"/>
    </row>
    <row r="7320" spans="6:6" x14ac:dyDescent="0.2">
      <c r="F7320"/>
    </row>
    <row r="7321" spans="6:6" x14ac:dyDescent="0.2">
      <c r="F7321"/>
    </row>
    <row r="7322" spans="6:6" x14ac:dyDescent="0.2">
      <c r="F7322"/>
    </row>
    <row r="7323" spans="6:6" x14ac:dyDescent="0.2">
      <c r="F7323"/>
    </row>
    <row r="7324" spans="6:6" x14ac:dyDescent="0.2">
      <c r="F7324"/>
    </row>
    <row r="7325" spans="6:6" x14ac:dyDescent="0.2">
      <c r="F7325"/>
    </row>
    <row r="7326" spans="6:6" x14ac:dyDescent="0.2">
      <c r="F7326"/>
    </row>
    <row r="7327" spans="6:6" x14ac:dyDescent="0.2">
      <c r="F7327"/>
    </row>
    <row r="7328" spans="6:6" x14ac:dyDescent="0.2">
      <c r="F7328"/>
    </row>
    <row r="7329" spans="6:6" x14ac:dyDescent="0.2">
      <c r="F7329"/>
    </row>
    <row r="7330" spans="6:6" x14ac:dyDescent="0.2">
      <c r="F7330"/>
    </row>
    <row r="7331" spans="6:6" x14ac:dyDescent="0.2">
      <c r="F7331"/>
    </row>
    <row r="7332" spans="6:6" x14ac:dyDescent="0.2">
      <c r="F7332"/>
    </row>
    <row r="7333" spans="6:6" x14ac:dyDescent="0.2">
      <c r="F7333"/>
    </row>
    <row r="7334" spans="6:6" x14ac:dyDescent="0.2">
      <c r="F7334"/>
    </row>
    <row r="7335" spans="6:6" x14ac:dyDescent="0.2">
      <c r="F7335"/>
    </row>
    <row r="7336" spans="6:6" x14ac:dyDescent="0.2">
      <c r="F7336"/>
    </row>
    <row r="7337" spans="6:6" x14ac:dyDescent="0.2">
      <c r="F7337"/>
    </row>
    <row r="7338" spans="6:6" x14ac:dyDescent="0.2">
      <c r="F7338"/>
    </row>
    <row r="7339" spans="6:6" x14ac:dyDescent="0.2">
      <c r="F7339"/>
    </row>
    <row r="7340" spans="6:6" x14ac:dyDescent="0.2">
      <c r="F7340"/>
    </row>
    <row r="7341" spans="6:6" x14ac:dyDescent="0.2">
      <c r="F7341"/>
    </row>
    <row r="7342" spans="6:6" x14ac:dyDescent="0.2">
      <c r="F7342"/>
    </row>
    <row r="7343" spans="6:6" x14ac:dyDescent="0.2">
      <c r="F7343"/>
    </row>
    <row r="7344" spans="6:6" x14ac:dyDescent="0.2">
      <c r="F7344"/>
    </row>
    <row r="7345" spans="6:6" x14ac:dyDescent="0.2">
      <c r="F7345"/>
    </row>
    <row r="7346" spans="6:6" x14ac:dyDescent="0.2">
      <c r="F7346"/>
    </row>
    <row r="7347" spans="6:6" x14ac:dyDescent="0.2">
      <c r="F7347"/>
    </row>
    <row r="7348" spans="6:6" x14ac:dyDescent="0.2">
      <c r="F7348"/>
    </row>
    <row r="7349" spans="6:6" x14ac:dyDescent="0.2">
      <c r="F7349"/>
    </row>
    <row r="7350" spans="6:6" x14ac:dyDescent="0.2">
      <c r="F7350"/>
    </row>
    <row r="7351" spans="6:6" x14ac:dyDescent="0.2">
      <c r="F7351"/>
    </row>
    <row r="7352" spans="6:6" x14ac:dyDescent="0.2">
      <c r="F7352"/>
    </row>
    <row r="7353" spans="6:6" x14ac:dyDescent="0.2">
      <c r="F7353"/>
    </row>
    <row r="7354" spans="6:6" x14ac:dyDescent="0.2">
      <c r="F7354"/>
    </row>
    <row r="7355" spans="6:6" x14ac:dyDescent="0.2">
      <c r="F7355"/>
    </row>
    <row r="7356" spans="6:6" x14ac:dyDescent="0.2">
      <c r="F7356"/>
    </row>
    <row r="7357" spans="6:6" x14ac:dyDescent="0.2">
      <c r="F7357"/>
    </row>
    <row r="7358" spans="6:6" x14ac:dyDescent="0.2">
      <c r="F7358"/>
    </row>
    <row r="7359" spans="6:6" x14ac:dyDescent="0.2">
      <c r="F7359"/>
    </row>
    <row r="7360" spans="6:6" x14ac:dyDescent="0.2">
      <c r="F7360"/>
    </row>
    <row r="7361" spans="6:6" x14ac:dyDescent="0.2">
      <c r="F7361"/>
    </row>
    <row r="7362" spans="6:6" x14ac:dyDescent="0.2">
      <c r="F7362"/>
    </row>
    <row r="7363" spans="6:6" x14ac:dyDescent="0.2">
      <c r="F7363"/>
    </row>
    <row r="7364" spans="6:6" x14ac:dyDescent="0.2">
      <c r="F7364"/>
    </row>
    <row r="7365" spans="6:6" x14ac:dyDescent="0.2">
      <c r="F7365"/>
    </row>
    <row r="7366" spans="6:6" x14ac:dyDescent="0.2">
      <c r="F7366"/>
    </row>
    <row r="7367" spans="6:6" x14ac:dyDescent="0.2">
      <c r="F7367"/>
    </row>
    <row r="7368" spans="6:6" x14ac:dyDescent="0.2">
      <c r="F7368"/>
    </row>
    <row r="7369" spans="6:6" x14ac:dyDescent="0.2">
      <c r="F7369"/>
    </row>
    <row r="7370" spans="6:6" x14ac:dyDescent="0.2">
      <c r="F7370"/>
    </row>
    <row r="7371" spans="6:6" x14ac:dyDescent="0.2">
      <c r="F7371"/>
    </row>
    <row r="7372" spans="6:6" x14ac:dyDescent="0.2">
      <c r="F7372"/>
    </row>
    <row r="7373" spans="6:6" x14ac:dyDescent="0.2">
      <c r="F7373"/>
    </row>
    <row r="7374" spans="6:6" x14ac:dyDescent="0.2">
      <c r="F7374"/>
    </row>
    <row r="7375" spans="6:6" x14ac:dyDescent="0.2">
      <c r="F7375"/>
    </row>
    <row r="7376" spans="6:6" x14ac:dyDescent="0.2">
      <c r="F7376"/>
    </row>
    <row r="7377" spans="6:6" x14ac:dyDescent="0.2">
      <c r="F7377"/>
    </row>
    <row r="7378" spans="6:6" x14ac:dyDescent="0.2">
      <c r="F7378"/>
    </row>
    <row r="7379" spans="6:6" x14ac:dyDescent="0.2">
      <c r="F7379"/>
    </row>
    <row r="7380" spans="6:6" x14ac:dyDescent="0.2">
      <c r="F7380"/>
    </row>
    <row r="7381" spans="6:6" x14ac:dyDescent="0.2">
      <c r="F7381"/>
    </row>
    <row r="7382" spans="6:6" x14ac:dyDescent="0.2">
      <c r="F7382"/>
    </row>
    <row r="7383" spans="6:6" x14ac:dyDescent="0.2">
      <c r="F7383"/>
    </row>
    <row r="7384" spans="6:6" x14ac:dyDescent="0.2">
      <c r="F7384"/>
    </row>
    <row r="7385" spans="6:6" x14ac:dyDescent="0.2">
      <c r="F7385"/>
    </row>
    <row r="7386" spans="6:6" x14ac:dyDescent="0.2">
      <c r="F7386"/>
    </row>
    <row r="7387" spans="6:6" x14ac:dyDescent="0.2">
      <c r="F7387"/>
    </row>
    <row r="7388" spans="6:6" x14ac:dyDescent="0.2">
      <c r="F7388"/>
    </row>
    <row r="7389" spans="6:6" x14ac:dyDescent="0.2">
      <c r="F7389"/>
    </row>
    <row r="7390" spans="6:6" x14ac:dyDescent="0.2">
      <c r="F7390"/>
    </row>
    <row r="7391" spans="6:6" x14ac:dyDescent="0.2">
      <c r="F7391"/>
    </row>
    <row r="7392" spans="6:6" x14ac:dyDescent="0.2">
      <c r="F7392"/>
    </row>
    <row r="7393" spans="6:6" x14ac:dyDescent="0.2">
      <c r="F7393"/>
    </row>
    <row r="7394" spans="6:6" x14ac:dyDescent="0.2">
      <c r="F7394"/>
    </row>
    <row r="7395" spans="6:6" x14ac:dyDescent="0.2">
      <c r="F7395"/>
    </row>
    <row r="7396" spans="6:6" x14ac:dyDescent="0.2">
      <c r="F7396"/>
    </row>
    <row r="7397" spans="6:6" x14ac:dyDescent="0.2">
      <c r="F7397"/>
    </row>
    <row r="7398" spans="6:6" x14ac:dyDescent="0.2">
      <c r="F7398"/>
    </row>
    <row r="7399" spans="6:6" x14ac:dyDescent="0.2">
      <c r="F7399"/>
    </row>
    <row r="7400" spans="6:6" x14ac:dyDescent="0.2">
      <c r="F7400"/>
    </row>
    <row r="7401" spans="6:6" x14ac:dyDescent="0.2">
      <c r="F7401"/>
    </row>
    <row r="7402" spans="6:6" x14ac:dyDescent="0.2">
      <c r="F7402"/>
    </row>
    <row r="7403" spans="6:6" x14ac:dyDescent="0.2">
      <c r="F7403"/>
    </row>
    <row r="7404" spans="6:6" x14ac:dyDescent="0.2">
      <c r="F7404"/>
    </row>
    <row r="7405" spans="6:6" x14ac:dyDescent="0.2">
      <c r="F7405"/>
    </row>
    <row r="7406" spans="6:6" x14ac:dyDescent="0.2">
      <c r="F7406"/>
    </row>
    <row r="7407" spans="6:6" x14ac:dyDescent="0.2">
      <c r="F7407"/>
    </row>
    <row r="7408" spans="6:6" x14ac:dyDescent="0.2">
      <c r="F7408"/>
    </row>
    <row r="7409" spans="6:6" x14ac:dyDescent="0.2">
      <c r="F7409"/>
    </row>
    <row r="7410" spans="6:6" x14ac:dyDescent="0.2">
      <c r="F7410"/>
    </row>
    <row r="7411" spans="6:6" x14ac:dyDescent="0.2">
      <c r="F7411"/>
    </row>
    <row r="7412" spans="6:6" x14ac:dyDescent="0.2">
      <c r="F7412"/>
    </row>
    <row r="7413" spans="6:6" x14ac:dyDescent="0.2">
      <c r="F7413"/>
    </row>
    <row r="7414" spans="6:6" x14ac:dyDescent="0.2">
      <c r="F7414"/>
    </row>
    <row r="7415" spans="6:6" x14ac:dyDescent="0.2">
      <c r="F7415"/>
    </row>
    <row r="7416" spans="6:6" x14ac:dyDescent="0.2">
      <c r="F7416"/>
    </row>
    <row r="7417" spans="6:6" x14ac:dyDescent="0.2">
      <c r="F7417"/>
    </row>
    <row r="7418" spans="6:6" x14ac:dyDescent="0.2">
      <c r="F7418"/>
    </row>
    <row r="7419" spans="6:6" x14ac:dyDescent="0.2">
      <c r="F7419"/>
    </row>
    <row r="7420" spans="6:6" x14ac:dyDescent="0.2">
      <c r="F7420"/>
    </row>
    <row r="7421" spans="6:6" x14ac:dyDescent="0.2">
      <c r="F7421"/>
    </row>
    <row r="7422" spans="6:6" x14ac:dyDescent="0.2">
      <c r="F7422"/>
    </row>
    <row r="7423" spans="6:6" x14ac:dyDescent="0.2">
      <c r="F7423"/>
    </row>
    <row r="7424" spans="6:6" x14ac:dyDescent="0.2">
      <c r="F7424"/>
    </row>
    <row r="7425" spans="6:6" x14ac:dyDescent="0.2">
      <c r="F7425"/>
    </row>
    <row r="7426" spans="6:6" x14ac:dyDescent="0.2">
      <c r="F7426"/>
    </row>
    <row r="7427" spans="6:6" x14ac:dyDescent="0.2">
      <c r="F7427"/>
    </row>
    <row r="7428" spans="6:6" x14ac:dyDescent="0.2">
      <c r="F7428"/>
    </row>
    <row r="7429" spans="6:6" x14ac:dyDescent="0.2">
      <c r="F7429"/>
    </row>
    <row r="7430" spans="6:6" x14ac:dyDescent="0.2">
      <c r="F7430"/>
    </row>
    <row r="7431" spans="6:6" x14ac:dyDescent="0.2">
      <c r="F7431"/>
    </row>
    <row r="7432" spans="6:6" x14ac:dyDescent="0.2">
      <c r="F7432"/>
    </row>
    <row r="7433" spans="6:6" x14ac:dyDescent="0.2">
      <c r="F7433"/>
    </row>
    <row r="7434" spans="6:6" x14ac:dyDescent="0.2">
      <c r="F7434"/>
    </row>
    <row r="7435" spans="6:6" x14ac:dyDescent="0.2">
      <c r="F7435"/>
    </row>
    <row r="7436" spans="6:6" x14ac:dyDescent="0.2">
      <c r="F7436"/>
    </row>
    <row r="7437" spans="6:6" x14ac:dyDescent="0.2">
      <c r="F7437"/>
    </row>
    <row r="7438" spans="6:6" x14ac:dyDescent="0.2">
      <c r="F7438"/>
    </row>
    <row r="7439" spans="6:6" x14ac:dyDescent="0.2">
      <c r="F7439"/>
    </row>
    <row r="7440" spans="6:6" x14ac:dyDescent="0.2">
      <c r="F7440"/>
    </row>
    <row r="7441" spans="6:6" x14ac:dyDescent="0.2">
      <c r="F7441"/>
    </row>
    <row r="7442" spans="6:6" x14ac:dyDescent="0.2">
      <c r="F7442"/>
    </row>
    <row r="7443" spans="6:6" x14ac:dyDescent="0.2">
      <c r="F7443"/>
    </row>
    <row r="7444" spans="6:6" x14ac:dyDescent="0.2">
      <c r="F7444"/>
    </row>
    <row r="7445" spans="6:6" x14ac:dyDescent="0.2">
      <c r="F7445"/>
    </row>
    <row r="7446" spans="6:6" x14ac:dyDescent="0.2">
      <c r="F7446"/>
    </row>
    <row r="7447" spans="6:6" x14ac:dyDescent="0.2">
      <c r="F7447"/>
    </row>
    <row r="7448" spans="6:6" x14ac:dyDescent="0.2">
      <c r="F7448"/>
    </row>
    <row r="7449" spans="6:6" x14ac:dyDescent="0.2">
      <c r="F7449"/>
    </row>
    <row r="7450" spans="6:6" x14ac:dyDescent="0.2">
      <c r="F7450"/>
    </row>
    <row r="7451" spans="6:6" x14ac:dyDescent="0.2">
      <c r="F7451"/>
    </row>
    <row r="7452" spans="6:6" x14ac:dyDescent="0.2">
      <c r="F7452"/>
    </row>
    <row r="7453" spans="6:6" x14ac:dyDescent="0.2">
      <c r="F7453"/>
    </row>
    <row r="7454" spans="6:6" x14ac:dyDescent="0.2">
      <c r="F7454"/>
    </row>
    <row r="7455" spans="6:6" x14ac:dyDescent="0.2">
      <c r="F7455"/>
    </row>
    <row r="7456" spans="6:6" x14ac:dyDescent="0.2">
      <c r="F7456"/>
    </row>
    <row r="7457" spans="6:6" x14ac:dyDescent="0.2">
      <c r="F7457"/>
    </row>
    <row r="7458" spans="6:6" x14ac:dyDescent="0.2">
      <c r="F7458"/>
    </row>
    <row r="7459" spans="6:6" x14ac:dyDescent="0.2">
      <c r="F7459"/>
    </row>
    <row r="7460" spans="6:6" x14ac:dyDescent="0.2">
      <c r="F7460"/>
    </row>
    <row r="7461" spans="6:6" x14ac:dyDescent="0.2">
      <c r="F7461"/>
    </row>
    <row r="7462" spans="6:6" x14ac:dyDescent="0.2">
      <c r="F7462"/>
    </row>
    <row r="7463" spans="6:6" x14ac:dyDescent="0.2">
      <c r="F7463"/>
    </row>
    <row r="7464" spans="6:6" x14ac:dyDescent="0.2">
      <c r="F7464"/>
    </row>
    <row r="7465" spans="6:6" x14ac:dyDescent="0.2">
      <c r="F7465"/>
    </row>
    <row r="7466" spans="6:6" x14ac:dyDescent="0.2">
      <c r="F7466"/>
    </row>
    <row r="7467" spans="6:6" x14ac:dyDescent="0.2">
      <c r="F7467"/>
    </row>
    <row r="7468" spans="6:6" x14ac:dyDescent="0.2">
      <c r="F7468"/>
    </row>
    <row r="7469" spans="6:6" x14ac:dyDescent="0.2">
      <c r="F7469"/>
    </row>
    <row r="7470" spans="6:6" x14ac:dyDescent="0.2">
      <c r="F7470"/>
    </row>
    <row r="7471" spans="6:6" x14ac:dyDescent="0.2">
      <c r="F7471"/>
    </row>
    <row r="7472" spans="6:6" x14ac:dyDescent="0.2">
      <c r="F7472"/>
    </row>
    <row r="7473" spans="6:6" x14ac:dyDescent="0.2">
      <c r="F7473"/>
    </row>
    <row r="7474" spans="6:6" x14ac:dyDescent="0.2">
      <c r="F7474"/>
    </row>
    <row r="7475" spans="6:6" x14ac:dyDescent="0.2">
      <c r="F7475"/>
    </row>
    <row r="7476" spans="6:6" x14ac:dyDescent="0.2">
      <c r="F7476"/>
    </row>
    <row r="7477" spans="6:6" x14ac:dyDescent="0.2">
      <c r="F7477"/>
    </row>
    <row r="7478" spans="6:6" x14ac:dyDescent="0.2">
      <c r="F7478"/>
    </row>
    <row r="7479" spans="6:6" x14ac:dyDescent="0.2">
      <c r="F7479"/>
    </row>
    <row r="7480" spans="6:6" x14ac:dyDescent="0.2">
      <c r="F7480"/>
    </row>
    <row r="7481" spans="6:6" x14ac:dyDescent="0.2">
      <c r="F7481"/>
    </row>
    <row r="7482" spans="6:6" x14ac:dyDescent="0.2">
      <c r="F7482"/>
    </row>
    <row r="7483" spans="6:6" x14ac:dyDescent="0.2">
      <c r="F7483"/>
    </row>
    <row r="7484" spans="6:6" x14ac:dyDescent="0.2">
      <c r="F7484"/>
    </row>
    <row r="7485" spans="6:6" x14ac:dyDescent="0.2">
      <c r="F7485"/>
    </row>
    <row r="7486" spans="6:6" x14ac:dyDescent="0.2">
      <c r="F7486"/>
    </row>
    <row r="7487" spans="6:6" x14ac:dyDescent="0.2">
      <c r="F7487"/>
    </row>
    <row r="7488" spans="6:6" x14ac:dyDescent="0.2">
      <c r="F7488"/>
    </row>
    <row r="7489" spans="6:6" x14ac:dyDescent="0.2">
      <c r="F7489"/>
    </row>
    <row r="7490" spans="6:6" x14ac:dyDescent="0.2">
      <c r="F7490"/>
    </row>
    <row r="7491" spans="6:6" x14ac:dyDescent="0.2">
      <c r="F7491"/>
    </row>
    <row r="7492" spans="6:6" x14ac:dyDescent="0.2">
      <c r="F7492"/>
    </row>
    <row r="7493" spans="6:6" x14ac:dyDescent="0.2">
      <c r="F7493"/>
    </row>
    <row r="7494" spans="6:6" x14ac:dyDescent="0.2">
      <c r="F7494"/>
    </row>
    <row r="7495" spans="6:6" x14ac:dyDescent="0.2">
      <c r="F7495"/>
    </row>
    <row r="7496" spans="6:6" x14ac:dyDescent="0.2">
      <c r="F7496"/>
    </row>
    <row r="7497" spans="6:6" x14ac:dyDescent="0.2">
      <c r="F7497"/>
    </row>
    <row r="7498" spans="6:6" x14ac:dyDescent="0.2">
      <c r="F7498"/>
    </row>
    <row r="7499" spans="6:6" x14ac:dyDescent="0.2">
      <c r="F7499"/>
    </row>
    <row r="7500" spans="6:6" x14ac:dyDescent="0.2">
      <c r="F7500"/>
    </row>
    <row r="7501" spans="6:6" x14ac:dyDescent="0.2">
      <c r="F7501"/>
    </row>
    <row r="7502" spans="6:6" x14ac:dyDescent="0.2">
      <c r="F7502"/>
    </row>
    <row r="7503" spans="6:6" x14ac:dyDescent="0.2">
      <c r="F7503"/>
    </row>
    <row r="7504" spans="6:6" x14ac:dyDescent="0.2">
      <c r="F7504"/>
    </row>
    <row r="7505" spans="6:6" x14ac:dyDescent="0.2">
      <c r="F7505"/>
    </row>
    <row r="7506" spans="6:6" x14ac:dyDescent="0.2">
      <c r="F7506"/>
    </row>
    <row r="7507" spans="6:6" x14ac:dyDescent="0.2">
      <c r="F7507"/>
    </row>
    <row r="7508" spans="6:6" x14ac:dyDescent="0.2">
      <c r="F7508"/>
    </row>
    <row r="7509" spans="6:6" x14ac:dyDescent="0.2">
      <c r="F7509"/>
    </row>
    <row r="7510" spans="6:6" x14ac:dyDescent="0.2">
      <c r="F7510"/>
    </row>
    <row r="7511" spans="6:6" x14ac:dyDescent="0.2">
      <c r="F7511"/>
    </row>
    <row r="7512" spans="6:6" x14ac:dyDescent="0.2">
      <c r="F7512"/>
    </row>
    <row r="7513" spans="6:6" x14ac:dyDescent="0.2">
      <c r="F7513"/>
    </row>
    <row r="7514" spans="6:6" x14ac:dyDescent="0.2">
      <c r="F7514"/>
    </row>
    <row r="7515" spans="6:6" x14ac:dyDescent="0.2">
      <c r="F7515"/>
    </row>
    <row r="7516" spans="6:6" x14ac:dyDescent="0.2">
      <c r="F7516"/>
    </row>
    <row r="7517" spans="6:6" x14ac:dyDescent="0.2">
      <c r="F7517"/>
    </row>
    <row r="7518" spans="6:6" x14ac:dyDescent="0.2">
      <c r="F7518"/>
    </row>
    <row r="7519" spans="6:6" x14ac:dyDescent="0.2">
      <c r="F7519"/>
    </row>
    <row r="7520" spans="6:6" x14ac:dyDescent="0.2">
      <c r="F7520"/>
    </row>
    <row r="7521" spans="6:6" x14ac:dyDescent="0.2">
      <c r="F7521"/>
    </row>
    <row r="7522" spans="6:6" x14ac:dyDescent="0.2">
      <c r="F7522"/>
    </row>
    <row r="7523" spans="6:6" x14ac:dyDescent="0.2">
      <c r="F7523"/>
    </row>
    <row r="7524" spans="6:6" x14ac:dyDescent="0.2">
      <c r="F7524"/>
    </row>
    <row r="7525" spans="6:6" x14ac:dyDescent="0.2">
      <c r="F7525"/>
    </row>
    <row r="7526" spans="6:6" x14ac:dyDescent="0.2">
      <c r="F7526"/>
    </row>
    <row r="7527" spans="6:6" x14ac:dyDescent="0.2">
      <c r="F7527"/>
    </row>
    <row r="7528" spans="6:6" x14ac:dyDescent="0.2">
      <c r="F7528"/>
    </row>
    <row r="7529" spans="6:6" x14ac:dyDescent="0.2">
      <c r="F7529"/>
    </row>
    <row r="7530" spans="6:6" x14ac:dyDescent="0.2">
      <c r="F7530"/>
    </row>
    <row r="7531" spans="6:6" x14ac:dyDescent="0.2">
      <c r="F7531"/>
    </row>
    <row r="7532" spans="6:6" x14ac:dyDescent="0.2">
      <c r="F7532"/>
    </row>
    <row r="7533" spans="6:6" x14ac:dyDescent="0.2">
      <c r="F7533"/>
    </row>
    <row r="7534" spans="6:6" x14ac:dyDescent="0.2">
      <c r="F7534"/>
    </row>
    <row r="7535" spans="6:6" x14ac:dyDescent="0.2">
      <c r="F7535"/>
    </row>
    <row r="7536" spans="6:6" x14ac:dyDescent="0.2">
      <c r="F7536"/>
    </row>
    <row r="7537" spans="6:6" x14ac:dyDescent="0.2">
      <c r="F7537"/>
    </row>
    <row r="7538" spans="6:6" x14ac:dyDescent="0.2">
      <c r="F7538"/>
    </row>
    <row r="7539" spans="6:6" x14ac:dyDescent="0.2">
      <c r="F7539"/>
    </row>
    <row r="7540" spans="6:6" x14ac:dyDescent="0.2">
      <c r="F7540"/>
    </row>
    <row r="7541" spans="6:6" x14ac:dyDescent="0.2">
      <c r="F7541"/>
    </row>
    <row r="7542" spans="6:6" x14ac:dyDescent="0.2">
      <c r="F7542"/>
    </row>
    <row r="7543" spans="6:6" x14ac:dyDescent="0.2">
      <c r="F7543"/>
    </row>
    <row r="7544" spans="6:6" x14ac:dyDescent="0.2">
      <c r="F7544"/>
    </row>
    <row r="7545" spans="6:6" x14ac:dyDescent="0.2">
      <c r="F7545"/>
    </row>
    <row r="7546" spans="6:6" x14ac:dyDescent="0.2">
      <c r="F7546"/>
    </row>
    <row r="7547" spans="6:6" x14ac:dyDescent="0.2">
      <c r="F7547"/>
    </row>
    <row r="7548" spans="6:6" x14ac:dyDescent="0.2">
      <c r="F7548"/>
    </row>
    <row r="7549" spans="6:6" x14ac:dyDescent="0.2">
      <c r="F7549"/>
    </row>
    <row r="7550" spans="6:6" x14ac:dyDescent="0.2">
      <c r="F7550"/>
    </row>
    <row r="7551" spans="6:6" x14ac:dyDescent="0.2">
      <c r="F7551"/>
    </row>
    <row r="7552" spans="6:6" x14ac:dyDescent="0.2">
      <c r="F7552"/>
    </row>
    <row r="7553" spans="6:6" x14ac:dyDescent="0.2">
      <c r="F7553"/>
    </row>
    <row r="7554" spans="6:6" x14ac:dyDescent="0.2">
      <c r="F7554"/>
    </row>
    <row r="7555" spans="6:6" x14ac:dyDescent="0.2">
      <c r="F7555"/>
    </row>
    <row r="7556" spans="6:6" x14ac:dyDescent="0.2">
      <c r="F7556"/>
    </row>
    <row r="7557" spans="6:6" x14ac:dyDescent="0.2">
      <c r="F7557"/>
    </row>
    <row r="7558" spans="6:6" x14ac:dyDescent="0.2">
      <c r="F7558"/>
    </row>
    <row r="7559" spans="6:6" x14ac:dyDescent="0.2">
      <c r="F7559"/>
    </row>
    <row r="7560" spans="6:6" x14ac:dyDescent="0.2">
      <c r="F7560"/>
    </row>
    <row r="7561" spans="6:6" x14ac:dyDescent="0.2">
      <c r="F7561"/>
    </row>
    <row r="7562" spans="6:6" x14ac:dyDescent="0.2">
      <c r="F7562"/>
    </row>
    <row r="7563" spans="6:6" x14ac:dyDescent="0.2">
      <c r="F7563"/>
    </row>
    <row r="7564" spans="6:6" x14ac:dyDescent="0.2">
      <c r="F7564"/>
    </row>
    <row r="7565" spans="6:6" x14ac:dyDescent="0.2">
      <c r="F7565"/>
    </row>
    <row r="7566" spans="6:6" x14ac:dyDescent="0.2">
      <c r="F7566"/>
    </row>
    <row r="7567" spans="6:6" x14ac:dyDescent="0.2">
      <c r="F7567"/>
    </row>
    <row r="7568" spans="6:6" x14ac:dyDescent="0.2">
      <c r="F7568"/>
    </row>
    <row r="7569" spans="6:6" x14ac:dyDescent="0.2">
      <c r="F7569"/>
    </row>
    <row r="7570" spans="6:6" x14ac:dyDescent="0.2">
      <c r="F7570"/>
    </row>
    <row r="7571" spans="6:6" x14ac:dyDescent="0.2">
      <c r="F7571"/>
    </row>
    <row r="7572" spans="6:6" x14ac:dyDescent="0.2">
      <c r="F7572"/>
    </row>
    <row r="7573" spans="6:6" x14ac:dyDescent="0.2">
      <c r="F7573"/>
    </row>
    <row r="7574" spans="6:6" x14ac:dyDescent="0.2">
      <c r="F7574"/>
    </row>
    <row r="7575" spans="6:6" x14ac:dyDescent="0.2">
      <c r="F7575"/>
    </row>
    <row r="7576" spans="6:6" x14ac:dyDescent="0.2">
      <c r="F7576"/>
    </row>
    <row r="7577" spans="6:6" x14ac:dyDescent="0.2">
      <c r="F7577"/>
    </row>
    <row r="7578" spans="6:6" x14ac:dyDescent="0.2">
      <c r="F7578"/>
    </row>
    <row r="7579" spans="6:6" x14ac:dyDescent="0.2">
      <c r="F7579"/>
    </row>
    <row r="7580" spans="6:6" x14ac:dyDescent="0.2">
      <c r="F7580"/>
    </row>
    <row r="7581" spans="6:6" x14ac:dyDescent="0.2">
      <c r="F7581"/>
    </row>
    <row r="7582" spans="6:6" x14ac:dyDescent="0.2">
      <c r="F7582"/>
    </row>
    <row r="7583" spans="6:6" x14ac:dyDescent="0.2">
      <c r="F7583"/>
    </row>
    <row r="7584" spans="6:6" x14ac:dyDescent="0.2">
      <c r="F7584"/>
    </row>
    <row r="7585" spans="6:6" x14ac:dyDescent="0.2">
      <c r="F7585"/>
    </row>
    <row r="7586" spans="6:6" x14ac:dyDescent="0.2">
      <c r="F7586"/>
    </row>
    <row r="7587" spans="6:6" x14ac:dyDescent="0.2">
      <c r="F7587"/>
    </row>
    <row r="7588" spans="6:6" x14ac:dyDescent="0.2">
      <c r="F7588"/>
    </row>
    <row r="7589" spans="6:6" x14ac:dyDescent="0.2">
      <c r="F7589"/>
    </row>
    <row r="7590" spans="6:6" x14ac:dyDescent="0.2">
      <c r="F7590"/>
    </row>
    <row r="7591" spans="6:6" x14ac:dyDescent="0.2">
      <c r="F7591"/>
    </row>
    <row r="7592" spans="6:6" x14ac:dyDescent="0.2">
      <c r="F7592"/>
    </row>
    <row r="7593" spans="6:6" x14ac:dyDescent="0.2">
      <c r="F7593"/>
    </row>
    <row r="7594" spans="6:6" x14ac:dyDescent="0.2">
      <c r="F7594"/>
    </row>
    <row r="7595" spans="6:6" x14ac:dyDescent="0.2">
      <c r="F7595"/>
    </row>
    <row r="7596" spans="6:6" x14ac:dyDescent="0.2">
      <c r="F7596"/>
    </row>
    <row r="7597" spans="6:6" x14ac:dyDescent="0.2">
      <c r="F7597"/>
    </row>
    <row r="7598" spans="6:6" x14ac:dyDescent="0.2">
      <c r="F7598"/>
    </row>
    <row r="7599" spans="6:6" x14ac:dyDescent="0.2">
      <c r="F7599"/>
    </row>
    <row r="7600" spans="6:6" x14ac:dyDescent="0.2">
      <c r="F7600"/>
    </row>
    <row r="7601" spans="6:6" x14ac:dyDescent="0.2">
      <c r="F7601"/>
    </row>
    <row r="7602" spans="6:6" x14ac:dyDescent="0.2">
      <c r="F7602"/>
    </row>
    <row r="7603" spans="6:6" x14ac:dyDescent="0.2">
      <c r="F7603"/>
    </row>
    <row r="7604" spans="6:6" x14ac:dyDescent="0.2">
      <c r="F7604"/>
    </row>
    <row r="7605" spans="6:6" x14ac:dyDescent="0.2">
      <c r="F7605"/>
    </row>
    <row r="7606" spans="6:6" x14ac:dyDescent="0.2">
      <c r="F7606"/>
    </row>
    <row r="7607" spans="6:6" x14ac:dyDescent="0.2">
      <c r="F7607"/>
    </row>
    <row r="7608" spans="6:6" x14ac:dyDescent="0.2">
      <c r="F7608"/>
    </row>
    <row r="7609" spans="6:6" x14ac:dyDescent="0.2">
      <c r="F7609"/>
    </row>
    <row r="7610" spans="6:6" x14ac:dyDescent="0.2">
      <c r="F7610"/>
    </row>
    <row r="7611" spans="6:6" x14ac:dyDescent="0.2">
      <c r="F7611"/>
    </row>
    <row r="7612" spans="6:6" x14ac:dyDescent="0.2">
      <c r="F7612"/>
    </row>
    <row r="7613" spans="6:6" x14ac:dyDescent="0.2">
      <c r="F7613"/>
    </row>
    <row r="7614" spans="6:6" x14ac:dyDescent="0.2">
      <c r="F7614"/>
    </row>
    <row r="7615" spans="6:6" x14ac:dyDescent="0.2">
      <c r="F7615"/>
    </row>
    <row r="7616" spans="6:6" x14ac:dyDescent="0.2">
      <c r="F7616"/>
    </row>
    <row r="7617" spans="6:6" x14ac:dyDescent="0.2">
      <c r="F7617"/>
    </row>
    <row r="7618" spans="6:6" x14ac:dyDescent="0.2">
      <c r="F7618"/>
    </row>
    <row r="7619" spans="6:6" x14ac:dyDescent="0.2">
      <c r="F7619"/>
    </row>
    <row r="7620" spans="6:6" x14ac:dyDescent="0.2">
      <c r="F7620"/>
    </row>
    <row r="7621" spans="6:6" x14ac:dyDescent="0.2">
      <c r="F7621"/>
    </row>
    <row r="7622" spans="6:6" x14ac:dyDescent="0.2">
      <c r="F7622"/>
    </row>
    <row r="7623" spans="6:6" x14ac:dyDescent="0.2">
      <c r="F7623"/>
    </row>
    <row r="7624" spans="6:6" x14ac:dyDescent="0.2">
      <c r="F7624"/>
    </row>
    <row r="7625" spans="6:6" x14ac:dyDescent="0.2">
      <c r="F7625"/>
    </row>
    <row r="7626" spans="6:6" x14ac:dyDescent="0.2">
      <c r="F7626"/>
    </row>
    <row r="7627" spans="6:6" x14ac:dyDescent="0.2">
      <c r="F7627"/>
    </row>
    <row r="7628" spans="6:6" x14ac:dyDescent="0.2">
      <c r="F7628"/>
    </row>
    <row r="7629" spans="6:6" x14ac:dyDescent="0.2">
      <c r="F7629"/>
    </row>
    <row r="7630" spans="6:6" x14ac:dyDescent="0.2">
      <c r="F7630"/>
    </row>
    <row r="7631" spans="6:6" x14ac:dyDescent="0.2">
      <c r="F7631"/>
    </row>
    <row r="7632" spans="6:6" x14ac:dyDescent="0.2">
      <c r="F7632"/>
    </row>
    <row r="7633" spans="6:6" x14ac:dyDescent="0.2">
      <c r="F7633"/>
    </row>
    <row r="7634" spans="6:6" x14ac:dyDescent="0.2">
      <c r="F7634"/>
    </row>
    <row r="7635" spans="6:6" x14ac:dyDescent="0.2">
      <c r="F7635"/>
    </row>
    <row r="7636" spans="6:6" x14ac:dyDescent="0.2">
      <c r="F7636"/>
    </row>
    <row r="7637" spans="6:6" x14ac:dyDescent="0.2">
      <c r="F7637"/>
    </row>
    <row r="7638" spans="6:6" x14ac:dyDescent="0.2">
      <c r="F7638"/>
    </row>
    <row r="7639" spans="6:6" x14ac:dyDescent="0.2">
      <c r="F7639"/>
    </row>
    <row r="7640" spans="6:6" x14ac:dyDescent="0.2">
      <c r="F7640"/>
    </row>
    <row r="7641" spans="6:6" x14ac:dyDescent="0.2">
      <c r="F7641"/>
    </row>
    <row r="7642" spans="6:6" x14ac:dyDescent="0.2">
      <c r="F7642"/>
    </row>
    <row r="7643" spans="6:6" x14ac:dyDescent="0.2">
      <c r="F7643"/>
    </row>
    <row r="7644" spans="6:6" x14ac:dyDescent="0.2">
      <c r="F7644"/>
    </row>
    <row r="7645" spans="6:6" x14ac:dyDescent="0.2">
      <c r="F7645"/>
    </row>
    <row r="7646" spans="6:6" x14ac:dyDescent="0.2">
      <c r="F7646"/>
    </row>
    <row r="7647" spans="6:6" x14ac:dyDescent="0.2">
      <c r="F7647"/>
    </row>
    <row r="7648" spans="6:6" x14ac:dyDescent="0.2">
      <c r="F7648"/>
    </row>
    <row r="7649" spans="6:6" x14ac:dyDescent="0.2">
      <c r="F7649"/>
    </row>
    <row r="7650" spans="6:6" x14ac:dyDescent="0.2">
      <c r="F7650"/>
    </row>
    <row r="7651" spans="6:6" x14ac:dyDescent="0.2">
      <c r="F7651"/>
    </row>
    <row r="7652" spans="6:6" x14ac:dyDescent="0.2">
      <c r="F7652"/>
    </row>
    <row r="7653" spans="6:6" x14ac:dyDescent="0.2">
      <c r="F7653"/>
    </row>
    <row r="7654" spans="6:6" x14ac:dyDescent="0.2">
      <c r="F7654"/>
    </row>
    <row r="7655" spans="6:6" x14ac:dyDescent="0.2">
      <c r="F7655"/>
    </row>
    <row r="7656" spans="6:6" x14ac:dyDescent="0.2">
      <c r="F7656"/>
    </row>
    <row r="7657" spans="6:6" x14ac:dyDescent="0.2">
      <c r="F7657"/>
    </row>
    <row r="7658" spans="6:6" x14ac:dyDescent="0.2">
      <c r="F7658"/>
    </row>
    <row r="7659" spans="6:6" x14ac:dyDescent="0.2">
      <c r="F7659"/>
    </row>
    <row r="7660" spans="6:6" x14ac:dyDescent="0.2">
      <c r="F7660"/>
    </row>
    <row r="7661" spans="6:6" x14ac:dyDescent="0.2">
      <c r="F7661"/>
    </row>
    <row r="7662" spans="6:6" x14ac:dyDescent="0.2">
      <c r="F7662"/>
    </row>
    <row r="7663" spans="6:6" x14ac:dyDescent="0.2">
      <c r="F7663"/>
    </row>
    <row r="7664" spans="6:6" x14ac:dyDescent="0.2">
      <c r="F7664"/>
    </row>
    <row r="7665" spans="6:6" x14ac:dyDescent="0.2">
      <c r="F7665"/>
    </row>
    <row r="7666" spans="6:6" x14ac:dyDescent="0.2">
      <c r="F7666"/>
    </row>
    <row r="7667" spans="6:6" x14ac:dyDescent="0.2">
      <c r="F7667"/>
    </row>
    <row r="7668" spans="6:6" x14ac:dyDescent="0.2">
      <c r="F7668"/>
    </row>
    <row r="7669" spans="6:6" x14ac:dyDescent="0.2">
      <c r="F7669"/>
    </row>
    <row r="7670" spans="6:6" x14ac:dyDescent="0.2">
      <c r="F7670"/>
    </row>
    <row r="7671" spans="6:6" x14ac:dyDescent="0.2">
      <c r="F7671"/>
    </row>
    <row r="7672" spans="6:6" x14ac:dyDescent="0.2">
      <c r="F7672"/>
    </row>
    <row r="7673" spans="6:6" x14ac:dyDescent="0.2">
      <c r="F7673"/>
    </row>
    <row r="7674" spans="6:6" x14ac:dyDescent="0.2">
      <c r="F7674"/>
    </row>
    <row r="7675" spans="6:6" x14ac:dyDescent="0.2">
      <c r="F7675"/>
    </row>
    <row r="7676" spans="6:6" x14ac:dyDescent="0.2">
      <c r="F7676"/>
    </row>
    <row r="7677" spans="6:6" x14ac:dyDescent="0.2">
      <c r="F7677"/>
    </row>
    <row r="7678" spans="6:6" x14ac:dyDescent="0.2">
      <c r="F7678"/>
    </row>
    <row r="7679" spans="6:6" x14ac:dyDescent="0.2">
      <c r="F7679"/>
    </row>
    <row r="7680" spans="6:6" x14ac:dyDescent="0.2">
      <c r="F7680"/>
    </row>
    <row r="7681" spans="6:6" x14ac:dyDescent="0.2">
      <c r="F7681"/>
    </row>
    <row r="7682" spans="6:6" x14ac:dyDescent="0.2">
      <c r="F7682"/>
    </row>
    <row r="7683" spans="6:6" x14ac:dyDescent="0.2">
      <c r="F7683"/>
    </row>
    <row r="7684" spans="6:6" x14ac:dyDescent="0.2">
      <c r="F7684"/>
    </row>
    <row r="7685" spans="6:6" x14ac:dyDescent="0.2">
      <c r="F7685"/>
    </row>
    <row r="7686" spans="6:6" x14ac:dyDescent="0.2">
      <c r="F7686"/>
    </row>
    <row r="7687" spans="6:6" x14ac:dyDescent="0.2">
      <c r="F7687"/>
    </row>
    <row r="7688" spans="6:6" x14ac:dyDescent="0.2">
      <c r="F7688"/>
    </row>
    <row r="7689" spans="6:6" x14ac:dyDescent="0.2">
      <c r="F7689"/>
    </row>
    <row r="7690" spans="6:6" x14ac:dyDescent="0.2">
      <c r="F7690"/>
    </row>
    <row r="7691" spans="6:6" x14ac:dyDescent="0.2">
      <c r="F7691"/>
    </row>
    <row r="7692" spans="6:6" x14ac:dyDescent="0.2">
      <c r="F7692"/>
    </row>
    <row r="7693" spans="6:6" x14ac:dyDescent="0.2">
      <c r="F7693"/>
    </row>
    <row r="7694" spans="6:6" x14ac:dyDescent="0.2">
      <c r="F7694"/>
    </row>
    <row r="7695" spans="6:6" x14ac:dyDescent="0.2">
      <c r="F7695"/>
    </row>
    <row r="7696" spans="6:6" x14ac:dyDescent="0.2">
      <c r="F7696"/>
    </row>
    <row r="7697" spans="6:6" x14ac:dyDescent="0.2">
      <c r="F7697"/>
    </row>
    <row r="7698" spans="6:6" x14ac:dyDescent="0.2">
      <c r="F7698"/>
    </row>
    <row r="7699" spans="6:6" x14ac:dyDescent="0.2">
      <c r="F7699"/>
    </row>
    <row r="7700" spans="6:6" x14ac:dyDescent="0.2">
      <c r="F7700"/>
    </row>
    <row r="7701" spans="6:6" x14ac:dyDescent="0.2">
      <c r="F7701"/>
    </row>
    <row r="7702" spans="6:6" x14ac:dyDescent="0.2">
      <c r="F7702"/>
    </row>
    <row r="7703" spans="6:6" x14ac:dyDescent="0.2">
      <c r="F7703"/>
    </row>
    <row r="7704" spans="6:6" x14ac:dyDescent="0.2">
      <c r="F7704"/>
    </row>
    <row r="7705" spans="6:6" x14ac:dyDescent="0.2">
      <c r="F7705"/>
    </row>
    <row r="7706" spans="6:6" x14ac:dyDescent="0.2">
      <c r="F7706"/>
    </row>
    <row r="7707" spans="6:6" x14ac:dyDescent="0.2">
      <c r="F7707"/>
    </row>
    <row r="7708" spans="6:6" x14ac:dyDescent="0.2">
      <c r="F7708"/>
    </row>
    <row r="7709" spans="6:6" x14ac:dyDescent="0.2">
      <c r="F7709"/>
    </row>
    <row r="7710" spans="6:6" x14ac:dyDescent="0.2">
      <c r="F7710"/>
    </row>
    <row r="7711" spans="6:6" x14ac:dyDescent="0.2">
      <c r="F7711"/>
    </row>
    <row r="7712" spans="6:6" x14ac:dyDescent="0.2">
      <c r="F7712"/>
    </row>
    <row r="7713" spans="6:6" x14ac:dyDescent="0.2">
      <c r="F7713"/>
    </row>
    <row r="7714" spans="6:6" x14ac:dyDescent="0.2">
      <c r="F7714"/>
    </row>
    <row r="7715" spans="6:6" x14ac:dyDescent="0.2">
      <c r="F7715"/>
    </row>
    <row r="7716" spans="6:6" x14ac:dyDescent="0.2">
      <c r="F7716"/>
    </row>
    <row r="7717" spans="6:6" x14ac:dyDescent="0.2">
      <c r="F7717"/>
    </row>
    <row r="7718" spans="6:6" x14ac:dyDescent="0.2">
      <c r="F7718"/>
    </row>
    <row r="7719" spans="6:6" x14ac:dyDescent="0.2">
      <c r="F7719"/>
    </row>
    <row r="7720" spans="6:6" x14ac:dyDescent="0.2">
      <c r="F7720"/>
    </row>
    <row r="7721" spans="6:6" x14ac:dyDescent="0.2">
      <c r="F7721"/>
    </row>
    <row r="7722" spans="6:6" x14ac:dyDescent="0.2">
      <c r="F7722"/>
    </row>
    <row r="7723" spans="6:6" x14ac:dyDescent="0.2">
      <c r="F7723"/>
    </row>
    <row r="7724" spans="6:6" x14ac:dyDescent="0.2">
      <c r="F7724"/>
    </row>
    <row r="7725" spans="6:6" x14ac:dyDescent="0.2">
      <c r="F7725"/>
    </row>
    <row r="7726" spans="6:6" x14ac:dyDescent="0.2">
      <c r="F7726"/>
    </row>
    <row r="7727" spans="6:6" x14ac:dyDescent="0.2">
      <c r="F7727"/>
    </row>
    <row r="7728" spans="6:6" x14ac:dyDescent="0.2">
      <c r="F7728"/>
    </row>
    <row r="7729" spans="6:6" x14ac:dyDescent="0.2">
      <c r="F7729"/>
    </row>
    <row r="7730" spans="6:6" x14ac:dyDescent="0.2">
      <c r="F7730"/>
    </row>
    <row r="7731" spans="6:6" x14ac:dyDescent="0.2">
      <c r="F7731"/>
    </row>
    <row r="7732" spans="6:6" x14ac:dyDescent="0.2">
      <c r="F7732"/>
    </row>
    <row r="7733" spans="6:6" x14ac:dyDescent="0.2">
      <c r="F7733"/>
    </row>
    <row r="7734" spans="6:6" x14ac:dyDescent="0.2">
      <c r="F7734"/>
    </row>
    <row r="7735" spans="6:6" x14ac:dyDescent="0.2">
      <c r="F7735"/>
    </row>
    <row r="7736" spans="6:6" x14ac:dyDescent="0.2">
      <c r="F7736"/>
    </row>
    <row r="7737" spans="6:6" x14ac:dyDescent="0.2">
      <c r="F7737"/>
    </row>
    <row r="7738" spans="6:6" x14ac:dyDescent="0.2">
      <c r="F7738"/>
    </row>
    <row r="7739" spans="6:6" x14ac:dyDescent="0.2">
      <c r="F7739"/>
    </row>
    <row r="7740" spans="6:6" x14ac:dyDescent="0.2">
      <c r="F7740"/>
    </row>
    <row r="7741" spans="6:6" x14ac:dyDescent="0.2">
      <c r="F7741"/>
    </row>
    <row r="7742" spans="6:6" x14ac:dyDescent="0.2">
      <c r="F7742"/>
    </row>
    <row r="7743" spans="6:6" x14ac:dyDescent="0.2">
      <c r="F7743"/>
    </row>
    <row r="7744" spans="6:6" x14ac:dyDescent="0.2">
      <c r="F7744"/>
    </row>
    <row r="7745" spans="6:6" x14ac:dyDescent="0.2">
      <c r="F7745"/>
    </row>
    <row r="7746" spans="6:6" x14ac:dyDescent="0.2">
      <c r="F7746"/>
    </row>
    <row r="7747" spans="6:6" x14ac:dyDescent="0.2">
      <c r="F7747"/>
    </row>
    <row r="7748" spans="6:6" x14ac:dyDescent="0.2">
      <c r="F7748"/>
    </row>
    <row r="7749" spans="6:6" x14ac:dyDescent="0.2">
      <c r="F7749"/>
    </row>
    <row r="7750" spans="6:6" x14ac:dyDescent="0.2">
      <c r="F7750"/>
    </row>
    <row r="7751" spans="6:6" x14ac:dyDescent="0.2">
      <c r="F7751"/>
    </row>
    <row r="7752" spans="6:6" x14ac:dyDescent="0.2">
      <c r="F7752"/>
    </row>
    <row r="7753" spans="6:6" x14ac:dyDescent="0.2">
      <c r="F7753"/>
    </row>
    <row r="7754" spans="6:6" x14ac:dyDescent="0.2">
      <c r="F7754"/>
    </row>
    <row r="7755" spans="6:6" x14ac:dyDescent="0.2">
      <c r="F7755"/>
    </row>
    <row r="7756" spans="6:6" x14ac:dyDescent="0.2">
      <c r="F7756"/>
    </row>
    <row r="7757" spans="6:6" x14ac:dyDescent="0.2">
      <c r="F7757"/>
    </row>
    <row r="7758" spans="6:6" x14ac:dyDescent="0.2">
      <c r="F7758"/>
    </row>
    <row r="7759" spans="6:6" x14ac:dyDescent="0.2">
      <c r="F7759"/>
    </row>
    <row r="7760" spans="6:6" x14ac:dyDescent="0.2">
      <c r="F7760"/>
    </row>
    <row r="7761" spans="6:6" x14ac:dyDescent="0.2">
      <c r="F7761"/>
    </row>
    <row r="7762" spans="6:6" x14ac:dyDescent="0.2">
      <c r="F7762"/>
    </row>
    <row r="7763" spans="6:6" x14ac:dyDescent="0.2">
      <c r="F7763"/>
    </row>
    <row r="7764" spans="6:6" x14ac:dyDescent="0.2">
      <c r="F7764"/>
    </row>
    <row r="7765" spans="6:6" x14ac:dyDescent="0.2">
      <c r="F7765"/>
    </row>
    <row r="7766" spans="6:6" x14ac:dyDescent="0.2">
      <c r="F7766"/>
    </row>
    <row r="7767" spans="6:6" x14ac:dyDescent="0.2">
      <c r="F7767"/>
    </row>
    <row r="7768" spans="6:6" x14ac:dyDescent="0.2">
      <c r="F7768"/>
    </row>
    <row r="7769" spans="6:6" x14ac:dyDescent="0.2">
      <c r="F7769"/>
    </row>
    <row r="7770" spans="6:6" x14ac:dyDescent="0.2">
      <c r="F7770"/>
    </row>
    <row r="7771" spans="6:6" x14ac:dyDescent="0.2">
      <c r="F7771"/>
    </row>
    <row r="7772" spans="6:6" x14ac:dyDescent="0.2">
      <c r="F7772"/>
    </row>
    <row r="7773" spans="6:6" x14ac:dyDescent="0.2">
      <c r="F7773"/>
    </row>
    <row r="7774" spans="6:6" x14ac:dyDescent="0.2">
      <c r="F7774"/>
    </row>
    <row r="7775" spans="6:6" x14ac:dyDescent="0.2">
      <c r="F7775"/>
    </row>
    <row r="7776" spans="6:6" x14ac:dyDescent="0.2">
      <c r="F7776"/>
    </row>
    <row r="7777" spans="6:6" x14ac:dyDescent="0.2">
      <c r="F7777"/>
    </row>
    <row r="7778" spans="6:6" x14ac:dyDescent="0.2">
      <c r="F7778"/>
    </row>
    <row r="7779" spans="6:6" x14ac:dyDescent="0.2">
      <c r="F7779"/>
    </row>
    <row r="7780" spans="6:6" x14ac:dyDescent="0.2">
      <c r="F7780"/>
    </row>
    <row r="7781" spans="6:6" x14ac:dyDescent="0.2">
      <c r="F7781"/>
    </row>
    <row r="7782" spans="6:6" x14ac:dyDescent="0.2">
      <c r="F7782"/>
    </row>
    <row r="7783" spans="6:6" x14ac:dyDescent="0.2">
      <c r="F7783"/>
    </row>
    <row r="7784" spans="6:6" x14ac:dyDescent="0.2">
      <c r="F7784"/>
    </row>
    <row r="7785" spans="6:6" x14ac:dyDescent="0.2">
      <c r="F7785"/>
    </row>
    <row r="7786" spans="6:6" x14ac:dyDescent="0.2">
      <c r="F7786"/>
    </row>
    <row r="7787" spans="6:6" x14ac:dyDescent="0.2">
      <c r="F7787"/>
    </row>
    <row r="7788" spans="6:6" x14ac:dyDescent="0.2">
      <c r="F7788"/>
    </row>
    <row r="7789" spans="6:6" x14ac:dyDescent="0.2">
      <c r="F7789"/>
    </row>
    <row r="7790" spans="6:6" x14ac:dyDescent="0.2">
      <c r="F7790"/>
    </row>
    <row r="7791" spans="6:6" x14ac:dyDescent="0.2">
      <c r="F7791"/>
    </row>
    <row r="7792" spans="6:6" x14ac:dyDescent="0.2">
      <c r="F7792"/>
    </row>
    <row r="7793" spans="6:6" x14ac:dyDescent="0.2">
      <c r="F7793"/>
    </row>
    <row r="7794" spans="6:6" x14ac:dyDescent="0.2">
      <c r="F7794"/>
    </row>
    <row r="7795" spans="6:6" x14ac:dyDescent="0.2">
      <c r="F7795"/>
    </row>
    <row r="7796" spans="6:6" x14ac:dyDescent="0.2">
      <c r="F7796"/>
    </row>
    <row r="7797" spans="6:6" x14ac:dyDescent="0.2">
      <c r="F7797"/>
    </row>
    <row r="7798" spans="6:6" x14ac:dyDescent="0.2">
      <c r="F7798"/>
    </row>
    <row r="7799" spans="6:6" x14ac:dyDescent="0.2">
      <c r="F7799"/>
    </row>
    <row r="7800" spans="6:6" x14ac:dyDescent="0.2">
      <c r="F7800"/>
    </row>
    <row r="7801" spans="6:6" x14ac:dyDescent="0.2">
      <c r="F7801"/>
    </row>
    <row r="7802" spans="6:6" x14ac:dyDescent="0.2">
      <c r="F7802"/>
    </row>
    <row r="7803" spans="6:6" x14ac:dyDescent="0.2">
      <c r="F7803"/>
    </row>
    <row r="7804" spans="6:6" x14ac:dyDescent="0.2">
      <c r="F7804"/>
    </row>
    <row r="7805" spans="6:6" x14ac:dyDescent="0.2">
      <c r="F7805"/>
    </row>
    <row r="7806" spans="6:6" x14ac:dyDescent="0.2">
      <c r="F7806"/>
    </row>
    <row r="7807" spans="6:6" x14ac:dyDescent="0.2">
      <c r="F7807"/>
    </row>
    <row r="7808" spans="6:6" x14ac:dyDescent="0.2">
      <c r="F7808"/>
    </row>
    <row r="7809" spans="6:6" x14ac:dyDescent="0.2">
      <c r="F7809"/>
    </row>
    <row r="7810" spans="6:6" x14ac:dyDescent="0.2">
      <c r="F7810"/>
    </row>
    <row r="7811" spans="6:6" x14ac:dyDescent="0.2">
      <c r="F7811"/>
    </row>
    <row r="7812" spans="6:6" x14ac:dyDescent="0.2">
      <c r="F7812"/>
    </row>
    <row r="7813" spans="6:6" x14ac:dyDescent="0.2">
      <c r="F7813"/>
    </row>
    <row r="7814" spans="6:6" x14ac:dyDescent="0.2">
      <c r="F7814"/>
    </row>
    <row r="7815" spans="6:6" x14ac:dyDescent="0.2">
      <c r="F7815"/>
    </row>
    <row r="7816" spans="6:6" x14ac:dyDescent="0.2">
      <c r="F7816"/>
    </row>
    <row r="7817" spans="6:6" x14ac:dyDescent="0.2">
      <c r="F7817"/>
    </row>
    <row r="7818" spans="6:6" x14ac:dyDescent="0.2">
      <c r="F7818"/>
    </row>
    <row r="7819" spans="6:6" x14ac:dyDescent="0.2">
      <c r="F7819"/>
    </row>
    <row r="7820" spans="6:6" x14ac:dyDescent="0.2">
      <c r="F7820"/>
    </row>
    <row r="7821" spans="6:6" x14ac:dyDescent="0.2">
      <c r="F7821"/>
    </row>
    <row r="7822" spans="6:6" x14ac:dyDescent="0.2">
      <c r="F7822"/>
    </row>
    <row r="7823" spans="6:6" x14ac:dyDescent="0.2">
      <c r="F7823"/>
    </row>
    <row r="7824" spans="6:6" x14ac:dyDescent="0.2">
      <c r="F7824"/>
    </row>
    <row r="7825" spans="6:6" x14ac:dyDescent="0.2">
      <c r="F7825"/>
    </row>
    <row r="7826" spans="6:6" x14ac:dyDescent="0.2">
      <c r="F7826"/>
    </row>
    <row r="7827" spans="6:6" x14ac:dyDescent="0.2">
      <c r="F7827"/>
    </row>
    <row r="7828" spans="6:6" x14ac:dyDescent="0.2">
      <c r="F7828"/>
    </row>
    <row r="7829" spans="6:6" x14ac:dyDescent="0.2">
      <c r="F7829"/>
    </row>
    <row r="7830" spans="6:6" x14ac:dyDescent="0.2">
      <c r="F7830"/>
    </row>
    <row r="7831" spans="6:6" x14ac:dyDescent="0.2">
      <c r="F7831"/>
    </row>
    <row r="7832" spans="6:6" x14ac:dyDescent="0.2">
      <c r="F7832"/>
    </row>
    <row r="7833" spans="6:6" x14ac:dyDescent="0.2">
      <c r="F7833"/>
    </row>
    <row r="7834" spans="6:6" x14ac:dyDescent="0.2">
      <c r="F7834"/>
    </row>
    <row r="7835" spans="6:6" x14ac:dyDescent="0.2">
      <c r="F7835"/>
    </row>
    <row r="7836" spans="6:6" x14ac:dyDescent="0.2">
      <c r="F7836"/>
    </row>
    <row r="7837" spans="6:6" x14ac:dyDescent="0.2">
      <c r="F7837"/>
    </row>
    <row r="7838" spans="6:6" x14ac:dyDescent="0.2">
      <c r="F7838"/>
    </row>
    <row r="7839" spans="6:6" x14ac:dyDescent="0.2">
      <c r="F7839"/>
    </row>
    <row r="7840" spans="6:6" x14ac:dyDescent="0.2">
      <c r="F7840"/>
    </row>
    <row r="7841" spans="6:6" x14ac:dyDescent="0.2">
      <c r="F7841"/>
    </row>
    <row r="7842" spans="6:6" x14ac:dyDescent="0.2">
      <c r="F7842"/>
    </row>
    <row r="7843" spans="6:6" x14ac:dyDescent="0.2">
      <c r="F7843"/>
    </row>
    <row r="7844" spans="6:6" x14ac:dyDescent="0.2">
      <c r="F7844"/>
    </row>
    <row r="7845" spans="6:6" x14ac:dyDescent="0.2">
      <c r="F7845"/>
    </row>
    <row r="7846" spans="6:6" x14ac:dyDescent="0.2">
      <c r="F7846"/>
    </row>
    <row r="7847" spans="6:6" x14ac:dyDescent="0.2">
      <c r="F7847"/>
    </row>
    <row r="7848" spans="6:6" x14ac:dyDescent="0.2">
      <c r="F7848"/>
    </row>
    <row r="7849" spans="6:6" x14ac:dyDescent="0.2">
      <c r="F7849"/>
    </row>
    <row r="7850" spans="6:6" x14ac:dyDescent="0.2">
      <c r="F7850"/>
    </row>
    <row r="7851" spans="6:6" x14ac:dyDescent="0.2">
      <c r="F7851"/>
    </row>
    <row r="7852" spans="6:6" x14ac:dyDescent="0.2">
      <c r="F7852"/>
    </row>
    <row r="7853" spans="6:6" x14ac:dyDescent="0.2">
      <c r="F7853"/>
    </row>
    <row r="7854" spans="6:6" x14ac:dyDescent="0.2">
      <c r="F7854"/>
    </row>
    <row r="7855" spans="6:6" x14ac:dyDescent="0.2">
      <c r="F7855"/>
    </row>
    <row r="7856" spans="6:6" x14ac:dyDescent="0.2">
      <c r="F7856"/>
    </row>
    <row r="7857" spans="6:6" x14ac:dyDescent="0.2">
      <c r="F7857"/>
    </row>
    <row r="7858" spans="6:6" x14ac:dyDescent="0.2">
      <c r="F7858"/>
    </row>
    <row r="7859" spans="6:6" x14ac:dyDescent="0.2">
      <c r="F7859"/>
    </row>
    <row r="7860" spans="6:6" x14ac:dyDescent="0.2">
      <c r="F7860"/>
    </row>
    <row r="7861" spans="6:6" x14ac:dyDescent="0.2">
      <c r="F7861"/>
    </row>
    <row r="7862" spans="6:6" x14ac:dyDescent="0.2">
      <c r="F7862"/>
    </row>
    <row r="7863" spans="6:6" x14ac:dyDescent="0.2">
      <c r="F7863"/>
    </row>
    <row r="7864" spans="6:6" x14ac:dyDescent="0.2">
      <c r="F7864"/>
    </row>
    <row r="7865" spans="6:6" x14ac:dyDescent="0.2">
      <c r="F7865"/>
    </row>
    <row r="7866" spans="6:6" x14ac:dyDescent="0.2">
      <c r="F7866"/>
    </row>
    <row r="7867" spans="6:6" x14ac:dyDescent="0.2">
      <c r="F7867"/>
    </row>
    <row r="7868" spans="6:6" x14ac:dyDescent="0.2">
      <c r="F7868"/>
    </row>
    <row r="7869" spans="6:6" x14ac:dyDescent="0.2">
      <c r="F7869"/>
    </row>
    <row r="7870" spans="6:6" x14ac:dyDescent="0.2">
      <c r="F7870"/>
    </row>
    <row r="7871" spans="6:6" x14ac:dyDescent="0.2">
      <c r="F7871"/>
    </row>
    <row r="7872" spans="6:6" x14ac:dyDescent="0.2">
      <c r="F7872"/>
    </row>
    <row r="7873" spans="6:6" x14ac:dyDescent="0.2">
      <c r="F7873"/>
    </row>
    <row r="7874" spans="6:6" x14ac:dyDescent="0.2">
      <c r="F7874"/>
    </row>
    <row r="7875" spans="6:6" x14ac:dyDescent="0.2">
      <c r="F7875"/>
    </row>
    <row r="7876" spans="6:6" x14ac:dyDescent="0.2">
      <c r="F7876"/>
    </row>
    <row r="7877" spans="6:6" x14ac:dyDescent="0.2">
      <c r="F7877"/>
    </row>
    <row r="7878" spans="6:6" x14ac:dyDescent="0.2">
      <c r="F7878"/>
    </row>
    <row r="7879" spans="6:6" x14ac:dyDescent="0.2">
      <c r="F7879"/>
    </row>
    <row r="7880" spans="6:6" x14ac:dyDescent="0.2">
      <c r="F7880"/>
    </row>
    <row r="7881" spans="6:6" x14ac:dyDescent="0.2">
      <c r="F7881"/>
    </row>
    <row r="7882" spans="6:6" x14ac:dyDescent="0.2">
      <c r="F7882"/>
    </row>
    <row r="7883" spans="6:6" x14ac:dyDescent="0.2">
      <c r="F7883"/>
    </row>
    <row r="7884" spans="6:6" x14ac:dyDescent="0.2">
      <c r="F7884"/>
    </row>
    <row r="7885" spans="6:6" x14ac:dyDescent="0.2">
      <c r="F7885"/>
    </row>
    <row r="7886" spans="6:6" x14ac:dyDescent="0.2">
      <c r="F7886"/>
    </row>
    <row r="7887" spans="6:6" x14ac:dyDescent="0.2">
      <c r="F7887"/>
    </row>
    <row r="7888" spans="6:6" x14ac:dyDescent="0.2">
      <c r="F7888"/>
    </row>
    <row r="7889" spans="6:6" x14ac:dyDescent="0.2">
      <c r="F7889"/>
    </row>
    <row r="7890" spans="6:6" x14ac:dyDescent="0.2">
      <c r="F7890"/>
    </row>
    <row r="7891" spans="6:6" x14ac:dyDescent="0.2">
      <c r="F7891"/>
    </row>
    <row r="7892" spans="6:6" x14ac:dyDescent="0.2">
      <c r="F7892"/>
    </row>
    <row r="7893" spans="6:6" x14ac:dyDescent="0.2">
      <c r="F7893"/>
    </row>
    <row r="7894" spans="6:6" x14ac:dyDescent="0.2">
      <c r="F7894"/>
    </row>
    <row r="7895" spans="6:6" x14ac:dyDescent="0.2">
      <c r="F7895"/>
    </row>
    <row r="7896" spans="6:6" x14ac:dyDescent="0.2">
      <c r="F7896"/>
    </row>
    <row r="7897" spans="6:6" x14ac:dyDescent="0.2">
      <c r="F7897"/>
    </row>
    <row r="7898" spans="6:6" x14ac:dyDescent="0.2">
      <c r="F7898"/>
    </row>
    <row r="7899" spans="6:6" x14ac:dyDescent="0.2">
      <c r="F7899"/>
    </row>
    <row r="7900" spans="6:6" x14ac:dyDescent="0.2">
      <c r="F7900"/>
    </row>
    <row r="7901" spans="6:6" x14ac:dyDescent="0.2">
      <c r="F7901"/>
    </row>
    <row r="7902" spans="6:6" x14ac:dyDescent="0.2">
      <c r="F7902"/>
    </row>
    <row r="7903" spans="6:6" x14ac:dyDescent="0.2">
      <c r="F7903"/>
    </row>
    <row r="7904" spans="6:6" x14ac:dyDescent="0.2">
      <c r="F7904"/>
    </row>
    <row r="7905" spans="6:6" x14ac:dyDescent="0.2">
      <c r="F7905"/>
    </row>
    <row r="7906" spans="6:6" x14ac:dyDescent="0.2">
      <c r="F7906"/>
    </row>
    <row r="7907" spans="6:6" x14ac:dyDescent="0.2">
      <c r="F7907"/>
    </row>
    <row r="7908" spans="6:6" x14ac:dyDescent="0.2">
      <c r="F7908"/>
    </row>
    <row r="7909" spans="6:6" x14ac:dyDescent="0.2">
      <c r="F7909"/>
    </row>
    <row r="7910" spans="6:6" x14ac:dyDescent="0.2">
      <c r="F7910"/>
    </row>
    <row r="7911" spans="6:6" x14ac:dyDescent="0.2">
      <c r="F7911"/>
    </row>
    <row r="7912" spans="6:6" x14ac:dyDescent="0.2">
      <c r="F7912"/>
    </row>
    <row r="7913" spans="6:6" x14ac:dyDescent="0.2">
      <c r="F7913"/>
    </row>
    <row r="7914" spans="6:6" x14ac:dyDescent="0.2">
      <c r="F7914"/>
    </row>
    <row r="7915" spans="6:6" x14ac:dyDescent="0.2">
      <c r="F7915"/>
    </row>
    <row r="7916" spans="6:6" x14ac:dyDescent="0.2">
      <c r="F7916"/>
    </row>
    <row r="7917" spans="6:6" x14ac:dyDescent="0.2">
      <c r="F7917"/>
    </row>
    <row r="7918" spans="6:6" x14ac:dyDescent="0.2">
      <c r="F7918"/>
    </row>
    <row r="7919" spans="6:6" x14ac:dyDescent="0.2">
      <c r="F7919"/>
    </row>
    <row r="7920" spans="6:6" x14ac:dyDescent="0.2">
      <c r="F7920"/>
    </row>
    <row r="7921" spans="6:6" x14ac:dyDescent="0.2">
      <c r="F7921"/>
    </row>
    <row r="7922" spans="6:6" x14ac:dyDescent="0.2">
      <c r="F7922"/>
    </row>
    <row r="7923" spans="6:6" x14ac:dyDescent="0.2">
      <c r="F7923"/>
    </row>
    <row r="7924" spans="6:6" x14ac:dyDescent="0.2">
      <c r="F7924"/>
    </row>
    <row r="7925" spans="6:6" x14ac:dyDescent="0.2">
      <c r="F7925"/>
    </row>
    <row r="7926" spans="6:6" x14ac:dyDescent="0.2">
      <c r="F7926"/>
    </row>
    <row r="7927" spans="6:6" x14ac:dyDescent="0.2">
      <c r="F7927"/>
    </row>
    <row r="7928" spans="6:6" x14ac:dyDescent="0.2">
      <c r="F7928"/>
    </row>
    <row r="7929" spans="6:6" x14ac:dyDescent="0.2">
      <c r="F7929"/>
    </row>
    <row r="7930" spans="6:6" x14ac:dyDescent="0.2">
      <c r="F7930"/>
    </row>
    <row r="7931" spans="6:6" x14ac:dyDescent="0.2">
      <c r="F7931"/>
    </row>
    <row r="7932" spans="6:6" x14ac:dyDescent="0.2">
      <c r="F7932"/>
    </row>
    <row r="7933" spans="6:6" x14ac:dyDescent="0.2">
      <c r="F7933"/>
    </row>
    <row r="7934" spans="6:6" x14ac:dyDescent="0.2">
      <c r="F7934"/>
    </row>
    <row r="7935" spans="6:6" x14ac:dyDescent="0.2">
      <c r="F7935"/>
    </row>
    <row r="7936" spans="6:6" x14ac:dyDescent="0.2">
      <c r="F7936"/>
    </row>
    <row r="7937" spans="6:6" x14ac:dyDescent="0.2">
      <c r="F7937"/>
    </row>
    <row r="7938" spans="6:6" x14ac:dyDescent="0.2">
      <c r="F7938"/>
    </row>
    <row r="7939" spans="6:6" x14ac:dyDescent="0.2">
      <c r="F7939"/>
    </row>
    <row r="7940" spans="6:6" x14ac:dyDescent="0.2">
      <c r="F7940"/>
    </row>
    <row r="7941" spans="6:6" x14ac:dyDescent="0.2">
      <c r="F7941"/>
    </row>
    <row r="7942" spans="6:6" x14ac:dyDescent="0.2">
      <c r="F7942"/>
    </row>
    <row r="7943" spans="6:6" x14ac:dyDescent="0.2">
      <c r="F7943"/>
    </row>
    <row r="7944" spans="6:6" x14ac:dyDescent="0.2">
      <c r="F7944"/>
    </row>
    <row r="7945" spans="6:6" x14ac:dyDescent="0.2">
      <c r="F7945"/>
    </row>
    <row r="7946" spans="6:6" x14ac:dyDescent="0.2">
      <c r="F7946"/>
    </row>
    <row r="7947" spans="6:6" x14ac:dyDescent="0.2">
      <c r="F7947"/>
    </row>
    <row r="7948" spans="6:6" x14ac:dyDescent="0.2">
      <c r="F7948"/>
    </row>
    <row r="7949" spans="6:6" x14ac:dyDescent="0.2">
      <c r="F7949"/>
    </row>
    <row r="7950" spans="6:6" x14ac:dyDescent="0.2">
      <c r="F7950"/>
    </row>
    <row r="7951" spans="6:6" x14ac:dyDescent="0.2">
      <c r="F7951"/>
    </row>
    <row r="7952" spans="6:6" x14ac:dyDescent="0.2">
      <c r="F7952"/>
    </row>
    <row r="7953" spans="6:6" x14ac:dyDescent="0.2">
      <c r="F7953"/>
    </row>
    <row r="7954" spans="6:6" x14ac:dyDescent="0.2">
      <c r="F7954"/>
    </row>
    <row r="7955" spans="6:6" x14ac:dyDescent="0.2">
      <c r="F7955"/>
    </row>
    <row r="7956" spans="6:6" x14ac:dyDescent="0.2">
      <c r="F7956"/>
    </row>
    <row r="7957" spans="6:6" x14ac:dyDescent="0.2">
      <c r="F7957"/>
    </row>
    <row r="7958" spans="6:6" x14ac:dyDescent="0.2">
      <c r="F7958"/>
    </row>
    <row r="7959" spans="6:6" x14ac:dyDescent="0.2">
      <c r="F7959"/>
    </row>
    <row r="7960" spans="6:6" x14ac:dyDescent="0.2">
      <c r="F7960"/>
    </row>
    <row r="7961" spans="6:6" x14ac:dyDescent="0.2">
      <c r="F7961"/>
    </row>
    <row r="7962" spans="6:6" x14ac:dyDescent="0.2">
      <c r="F7962"/>
    </row>
    <row r="7963" spans="6:6" x14ac:dyDescent="0.2">
      <c r="F7963"/>
    </row>
    <row r="7964" spans="6:6" x14ac:dyDescent="0.2">
      <c r="F7964"/>
    </row>
    <row r="7965" spans="6:6" x14ac:dyDescent="0.2">
      <c r="F7965"/>
    </row>
    <row r="7966" spans="6:6" x14ac:dyDescent="0.2">
      <c r="F7966"/>
    </row>
    <row r="7967" spans="6:6" x14ac:dyDescent="0.2">
      <c r="F7967"/>
    </row>
    <row r="7968" spans="6:6" x14ac:dyDescent="0.2">
      <c r="F7968"/>
    </row>
    <row r="7969" spans="6:6" x14ac:dyDescent="0.2">
      <c r="F7969"/>
    </row>
    <row r="7970" spans="6:6" x14ac:dyDescent="0.2">
      <c r="F7970"/>
    </row>
    <row r="7971" spans="6:6" x14ac:dyDescent="0.2">
      <c r="F7971"/>
    </row>
    <row r="7972" spans="6:6" x14ac:dyDescent="0.2">
      <c r="F7972"/>
    </row>
    <row r="7973" spans="6:6" x14ac:dyDescent="0.2">
      <c r="F7973"/>
    </row>
    <row r="7974" spans="6:6" x14ac:dyDescent="0.2">
      <c r="F7974"/>
    </row>
    <row r="7975" spans="6:6" x14ac:dyDescent="0.2">
      <c r="F7975"/>
    </row>
    <row r="7976" spans="6:6" x14ac:dyDescent="0.2">
      <c r="F7976"/>
    </row>
    <row r="7977" spans="6:6" x14ac:dyDescent="0.2">
      <c r="F7977"/>
    </row>
    <row r="7978" spans="6:6" x14ac:dyDescent="0.2">
      <c r="F7978"/>
    </row>
    <row r="7979" spans="6:6" x14ac:dyDescent="0.2">
      <c r="F7979"/>
    </row>
    <row r="7980" spans="6:6" x14ac:dyDescent="0.2">
      <c r="F7980"/>
    </row>
    <row r="7981" spans="6:6" x14ac:dyDescent="0.2">
      <c r="F7981"/>
    </row>
    <row r="7982" spans="6:6" x14ac:dyDescent="0.2">
      <c r="F7982"/>
    </row>
    <row r="7983" spans="6:6" x14ac:dyDescent="0.2">
      <c r="F7983"/>
    </row>
    <row r="7984" spans="6:6" x14ac:dyDescent="0.2">
      <c r="F7984"/>
    </row>
    <row r="7985" spans="6:6" x14ac:dyDescent="0.2">
      <c r="F7985"/>
    </row>
    <row r="7986" spans="6:6" x14ac:dyDescent="0.2">
      <c r="F7986"/>
    </row>
    <row r="7987" spans="6:6" x14ac:dyDescent="0.2">
      <c r="F7987"/>
    </row>
    <row r="7988" spans="6:6" x14ac:dyDescent="0.2">
      <c r="F7988"/>
    </row>
    <row r="7989" spans="6:6" x14ac:dyDescent="0.2">
      <c r="F7989"/>
    </row>
    <row r="7990" spans="6:6" x14ac:dyDescent="0.2">
      <c r="F7990"/>
    </row>
    <row r="7991" spans="6:6" x14ac:dyDescent="0.2">
      <c r="F7991"/>
    </row>
    <row r="7992" spans="6:6" x14ac:dyDescent="0.2">
      <c r="F7992"/>
    </row>
    <row r="7993" spans="6:6" x14ac:dyDescent="0.2">
      <c r="F7993"/>
    </row>
    <row r="7994" spans="6:6" x14ac:dyDescent="0.2">
      <c r="F7994"/>
    </row>
    <row r="7995" spans="6:6" x14ac:dyDescent="0.2">
      <c r="F7995"/>
    </row>
    <row r="7996" spans="6:6" x14ac:dyDescent="0.2">
      <c r="F7996"/>
    </row>
    <row r="7997" spans="6:6" x14ac:dyDescent="0.2">
      <c r="F7997"/>
    </row>
    <row r="7998" spans="6:6" x14ac:dyDescent="0.2">
      <c r="F7998"/>
    </row>
    <row r="7999" spans="6:6" x14ac:dyDescent="0.2">
      <c r="F7999"/>
    </row>
    <row r="8000" spans="6:6" x14ac:dyDescent="0.2">
      <c r="F8000"/>
    </row>
    <row r="8001" spans="6:6" x14ac:dyDescent="0.2">
      <c r="F8001"/>
    </row>
    <row r="8002" spans="6:6" x14ac:dyDescent="0.2">
      <c r="F8002"/>
    </row>
    <row r="8003" spans="6:6" x14ac:dyDescent="0.2">
      <c r="F8003"/>
    </row>
    <row r="8004" spans="6:6" x14ac:dyDescent="0.2">
      <c r="F8004"/>
    </row>
    <row r="8005" spans="6:6" x14ac:dyDescent="0.2">
      <c r="F8005"/>
    </row>
    <row r="8006" spans="6:6" x14ac:dyDescent="0.2">
      <c r="F8006"/>
    </row>
    <row r="8007" spans="6:6" x14ac:dyDescent="0.2">
      <c r="F8007"/>
    </row>
    <row r="8008" spans="6:6" x14ac:dyDescent="0.2">
      <c r="F8008"/>
    </row>
    <row r="8009" spans="6:6" x14ac:dyDescent="0.2">
      <c r="F8009"/>
    </row>
    <row r="8010" spans="6:6" x14ac:dyDescent="0.2">
      <c r="F8010"/>
    </row>
    <row r="8011" spans="6:6" x14ac:dyDescent="0.2">
      <c r="F8011"/>
    </row>
    <row r="8012" spans="6:6" x14ac:dyDescent="0.2">
      <c r="F8012"/>
    </row>
    <row r="8013" spans="6:6" x14ac:dyDescent="0.2">
      <c r="F8013"/>
    </row>
    <row r="8014" spans="6:6" x14ac:dyDescent="0.2">
      <c r="F8014"/>
    </row>
    <row r="8015" spans="6:6" x14ac:dyDescent="0.2">
      <c r="F8015"/>
    </row>
    <row r="8016" spans="6:6" x14ac:dyDescent="0.2">
      <c r="F8016"/>
    </row>
    <row r="8017" spans="6:6" x14ac:dyDescent="0.2">
      <c r="F8017"/>
    </row>
    <row r="8018" spans="6:6" x14ac:dyDescent="0.2">
      <c r="F8018"/>
    </row>
    <row r="8019" spans="6:6" x14ac:dyDescent="0.2">
      <c r="F8019"/>
    </row>
    <row r="8020" spans="6:6" x14ac:dyDescent="0.2">
      <c r="F8020"/>
    </row>
    <row r="8021" spans="6:6" x14ac:dyDescent="0.2">
      <c r="F8021"/>
    </row>
    <row r="8022" spans="6:6" x14ac:dyDescent="0.2">
      <c r="F8022"/>
    </row>
    <row r="8023" spans="6:6" x14ac:dyDescent="0.2">
      <c r="F8023"/>
    </row>
    <row r="8024" spans="6:6" x14ac:dyDescent="0.2">
      <c r="F8024"/>
    </row>
    <row r="8025" spans="6:6" x14ac:dyDescent="0.2">
      <c r="F8025"/>
    </row>
    <row r="8026" spans="6:6" x14ac:dyDescent="0.2">
      <c r="F8026"/>
    </row>
    <row r="8027" spans="6:6" x14ac:dyDescent="0.2">
      <c r="F8027"/>
    </row>
    <row r="8028" spans="6:6" x14ac:dyDescent="0.2">
      <c r="F8028"/>
    </row>
    <row r="8029" spans="6:6" x14ac:dyDescent="0.2">
      <c r="F8029"/>
    </row>
    <row r="8030" spans="6:6" x14ac:dyDescent="0.2">
      <c r="F8030"/>
    </row>
    <row r="8031" spans="6:6" x14ac:dyDescent="0.2">
      <c r="F8031"/>
    </row>
    <row r="8032" spans="6:6" x14ac:dyDescent="0.2">
      <c r="F8032"/>
    </row>
    <row r="8033" spans="6:6" x14ac:dyDescent="0.2">
      <c r="F8033"/>
    </row>
    <row r="8034" spans="6:6" x14ac:dyDescent="0.2">
      <c r="F8034"/>
    </row>
    <row r="8035" spans="6:6" x14ac:dyDescent="0.2">
      <c r="F8035"/>
    </row>
    <row r="8036" spans="6:6" x14ac:dyDescent="0.2">
      <c r="F8036"/>
    </row>
    <row r="8037" spans="6:6" x14ac:dyDescent="0.2">
      <c r="F8037"/>
    </row>
    <row r="8038" spans="6:6" x14ac:dyDescent="0.2">
      <c r="F8038"/>
    </row>
    <row r="8039" spans="6:6" x14ac:dyDescent="0.2">
      <c r="F8039"/>
    </row>
    <row r="8040" spans="6:6" x14ac:dyDescent="0.2">
      <c r="F8040"/>
    </row>
    <row r="8041" spans="6:6" x14ac:dyDescent="0.2">
      <c r="F8041"/>
    </row>
    <row r="8042" spans="6:6" x14ac:dyDescent="0.2">
      <c r="F8042"/>
    </row>
    <row r="8043" spans="6:6" x14ac:dyDescent="0.2">
      <c r="F8043"/>
    </row>
    <row r="8044" spans="6:6" x14ac:dyDescent="0.2">
      <c r="F8044"/>
    </row>
    <row r="8045" spans="6:6" x14ac:dyDescent="0.2">
      <c r="F8045"/>
    </row>
    <row r="8046" spans="6:6" x14ac:dyDescent="0.2">
      <c r="F8046"/>
    </row>
    <row r="8047" spans="6:6" x14ac:dyDescent="0.2">
      <c r="F8047"/>
    </row>
    <row r="8048" spans="6:6" x14ac:dyDescent="0.2">
      <c r="F8048"/>
    </row>
    <row r="8049" spans="6:6" x14ac:dyDescent="0.2">
      <c r="F8049"/>
    </row>
    <row r="8050" spans="6:6" x14ac:dyDescent="0.2">
      <c r="F8050"/>
    </row>
    <row r="8051" spans="6:6" x14ac:dyDescent="0.2">
      <c r="F8051"/>
    </row>
    <row r="8052" spans="6:6" x14ac:dyDescent="0.2">
      <c r="F8052"/>
    </row>
    <row r="8053" spans="6:6" x14ac:dyDescent="0.2">
      <c r="F8053"/>
    </row>
    <row r="8054" spans="6:6" x14ac:dyDescent="0.2">
      <c r="F8054"/>
    </row>
    <row r="8055" spans="6:6" x14ac:dyDescent="0.2">
      <c r="F8055"/>
    </row>
    <row r="8056" spans="6:6" x14ac:dyDescent="0.2">
      <c r="F8056"/>
    </row>
    <row r="8057" spans="6:6" x14ac:dyDescent="0.2">
      <c r="F8057"/>
    </row>
    <row r="8058" spans="6:6" x14ac:dyDescent="0.2">
      <c r="F8058"/>
    </row>
    <row r="8059" spans="6:6" x14ac:dyDescent="0.2">
      <c r="F8059"/>
    </row>
    <row r="8060" spans="6:6" x14ac:dyDescent="0.2">
      <c r="F8060"/>
    </row>
    <row r="8061" spans="6:6" x14ac:dyDescent="0.2">
      <c r="F8061"/>
    </row>
    <row r="8062" spans="6:6" x14ac:dyDescent="0.2">
      <c r="F8062"/>
    </row>
    <row r="8063" spans="6:6" x14ac:dyDescent="0.2">
      <c r="F8063"/>
    </row>
    <row r="8064" spans="6:6" x14ac:dyDescent="0.2">
      <c r="F8064"/>
    </row>
    <row r="8065" spans="6:6" x14ac:dyDescent="0.2">
      <c r="F8065"/>
    </row>
    <row r="8066" spans="6:6" x14ac:dyDescent="0.2">
      <c r="F8066"/>
    </row>
    <row r="8067" spans="6:6" x14ac:dyDescent="0.2">
      <c r="F8067"/>
    </row>
    <row r="8068" spans="6:6" x14ac:dyDescent="0.2">
      <c r="F8068"/>
    </row>
    <row r="8069" spans="6:6" x14ac:dyDescent="0.2">
      <c r="F8069"/>
    </row>
    <row r="8070" spans="6:6" x14ac:dyDescent="0.2">
      <c r="F8070"/>
    </row>
    <row r="8071" spans="6:6" x14ac:dyDescent="0.2">
      <c r="F8071"/>
    </row>
    <row r="8072" spans="6:6" x14ac:dyDescent="0.2">
      <c r="F8072"/>
    </row>
    <row r="8073" spans="6:6" x14ac:dyDescent="0.2">
      <c r="F8073"/>
    </row>
    <row r="8074" spans="6:6" x14ac:dyDescent="0.2">
      <c r="F8074"/>
    </row>
    <row r="8075" spans="6:6" x14ac:dyDescent="0.2">
      <c r="F8075"/>
    </row>
    <row r="8076" spans="6:6" x14ac:dyDescent="0.2">
      <c r="F8076"/>
    </row>
    <row r="8077" spans="6:6" x14ac:dyDescent="0.2">
      <c r="F8077"/>
    </row>
    <row r="8078" spans="6:6" x14ac:dyDescent="0.2">
      <c r="F8078"/>
    </row>
    <row r="8079" spans="6:6" x14ac:dyDescent="0.2">
      <c r="F8079"/>
    </row>
    <row r="8080" spans="6:6" x14ac:dyDescent="0.2">
      <c r="F8080"/>
    </row>
    <row r="8081" spans="6:6" x14ac:dyDescent="0.2">
      <c r="F8081"/>
    </row>
    <row r="8082" spans="6:6" x14ac:dyDescent="0.2">
      <c r="F8082"/>
    </row>
    <row r="8083" spans="6:6" x14ac:dyDescent="0.2">
      <c r="F8083"/>
    </row>
    <row r="8084" spans="6:6" x14ac:dyDescent="0.2">
      <c r="F8084"/>
    </row>
    <row r="8085" spans="6:6" x14ac:dyDescent="0.2">
      <c r="F8085"/>
    </row>
    <row r="8086" spans="6:6" x14ac:dyDescent="0.2">
      <c r="F8086"/>
    </row>
    <row r="8087" spans="6:6" x14ac:dyDescent="0.2">
      <c r="F8087"/>
    </row>
    <row r="8088" spans="6:6" x14ac:dyDescent="0.2">
      <c r="F8088"/>
    </row>
    <row r="8089" spans="6:6" x14ac:dyDescent="0.2">
      <c r="F8089"/>
    </row>
    <row r="8090" spans="6:6" x14ac:dyDescent="0.2">
      <c r="F8090"/>
    </row>
    <row r="8091" spans="6:6" x14ac:dyDescent="0.2">
      <c r="F8091"/>
    </row>
    <row r="8092" spans="6:6" x14ac:dyDescent="0.2">
      <c r="F8092"/>
    </row>
    <row r="8093" spans="6:6" x14ac:dyDescent="0.2">
      <c r="F8093"/>
    </row>
    <row r="8094" spans="6:6" x14ac:dyDescent="0.2">
      <c r="F8094"/>
    </row>
    <row r="8095" spans="6:6" x14ac:dyDescent="0.2">
      <c r="F8095"/>
    </row>
    <row r="8096" spans="6:6" x14ac:dyDescent="0.2">
      <c r="F8096"/>
    </row>
    <row r="8097" spans="6:6" x14ac:dyDescent="0.2">
      <c r="F8097"/>
    </row>
    <row r="8098" spans="6:6" x14ac:dyDescent="0.2">
      <c r="F8098"/>
    </row>
    <row r="8099" spans="6:6" x14ac:dyDescent="0.2">
      <c r="F8099"/>
    </row>
    <row r="8100" spans="6:6" x14ac:dyDescent="0.2">
      <c r="F8100"/>
    </row>
    <row r="8101" spans="6:6" x14ac:dyDescent="0.2">
      <c r="F8101"/>
    </row>
    <row r="8102" spans="6:6" x14ac:dyDescent="0.2">
      <c r="F8102"/>
    </row>
    <row r="8103" spans="6:6" x14ac:dyDescent="0.2">
      <c r="F8103"/>
    </row>
    <row r="8104" spans="6:6" x14ac:dyDescent="0.2">
      <c r="F8104"/>
    </row>
    <row r="8105" spans="6:6" x14ac:dyDescent="0.2">
      <c r="F8105"/>
    </row>
    <row r="8106" spans="6:6" x14ac:dyDescent="0.2">
      <c r="F8106"/>
    </row>
    <row r="8107" spans="6:6" x14ac:dyDescent="0.2">
      <c r="F8107"/>
    </row>
    <row r="8108" spans="6:6" x14ac:dyDescent="0.2">
      <c r="F8108"/>
    </row>
    <row r="8109" spans="6:6" x14ac:dyDescent="0.2">
      <c r="F8109"/>
    </row>
    <row r="8110" spans="6:6" x14ac:dyDescent="0.2">
      <c r="F8110"/>
    </row>
    <row r="8111" spans="6:6" x14ac:dyDescent="0.2">
      <c r="F8111"/>
    </row>
    <row r="8112" spans="6:6" x14ac:dyDescent="0.2">
      <c r="F8112"/>
    </row>
    <row r="8113" spans="6:6" x14ac:dyDescent="0.2">
      <c r="F8113"/>
    </row>
    <row r="8114" spans="6:6" x14ac:dyDescent="0.2">
      <c r="F8114"/>
    </row>
    <row r="8115" spans="6:6" x14ac:dyDescent="0.2">
      <c r="F8115"/>
    </row>
    <row r="8116" spans="6:6" x14ac:dyDescent="0.2">
      <c r="F8116"/>
    </row>
    <row r="8117" spans="6:6" x14ac:dyDescent="0.2">
      <c r="F8117"/>
    </row>
    <row r="8118" spans="6:6" x14ac:dyDescent="0.2">
      <c r="F8118"/>
    </row>
    <row r="8119" spans="6:6" x14ac:dyDescent="0.2">
      <c r="F8119"/>
    </row>
    <row r="8120" spans="6:6" x14ac:dyDescent="0.2">
      <c r="F8120"/>
    </row>
    <row r="8121" spans="6:6" x14ac:dyDescent="0.2">
      <c r="F8121"/>
    </row>
    <row r="8122" spans="6:6" x14ac:dyDescent="0.2">
      <c r="F8122"/>
    </row>
    <row r="8123" spans="6:6" x14ac:dyDescent="0.2">
      <c r="F8123"/>
    </row>
    <row r="8124" spans="6:6" x14ac:dyDescent="0.2">
      <c r="F8124"/>
    </row>
    <row r="8125" spans="6:6" x14ac:dyDescent="0.2">
      <c r="F8125"/>
    </row>
    <row r="8126" spans="6:6" x14ac:dyDescent="0.2">
      <c r="F8126"/>
    </row>
    <row r="8127" spans="6:6" x14ac:dyDescent="0.2">
      <c r="F8127"/>
    </row>
    <row r="8128" spans="6:6" x14ac:dyDescent="0.2">
      <c r="F8128"/>
    </row>
    <row r="8129" spans="6:6" x14ac:dyDescent="0.2">
      <c r="F8129"/>
    </row>
    <row r="8130" spans="6:6" x14ac:dyDescent="0.2">
      <c r="F8130"/>
    </row>
    <row r="8131" spans="6:6" x14ac:dyDescent="0.2">
      <c r="F8131"/>
    </row>
    <row r="8132" spans="6:6" x14ac:dyDescent="0.2">
      <c r="F8132"/>
    </row>
    <row r="8133" spans="6:6" x14ac:dyDescent="0.2">
      <c r="F8133"/>
    </row>
    <row r="8134" spans="6:6" x14ac:dyDescent="0.2">
      <c r="F8134"/>
    </row>
    <row r="8135" spans="6:6" x14ac:dyDescent="0.2">
      <c r="F8135"/>
    </row>
    <row r="8136" spans="6:6" x14ac:dyDescent="0.2">
      <c r="F8136"/>
    </row>
    <row r="8137" spans="6:6" x14ac:dyDescent="0.2">
      <c r="F8137"/>
    </row>
    <row r="8138" spans="6:6" x14ac:dyDescent="0.2">
      <c r="F8138"/>
    </row>
    <row r="8139" spans="6:6" x14ac:dyDescent="0.2">
      <c r="F8139"/>
    </row>
    <row r="8140" spans="6:6" x14ac:dyDescent="0.2">
      <c r="F8140"/>
    </row>
    <row r="8141" spans="6:6" x14ac:dyDescent="0.2">
      <c r="F8141"/>
    </row>
    <row r="8142" spans="6:6" x14ac:dyDescent="0.2">
      <c r="F8142"/>
    </row>
    <row r="8143" spans="6:6" x14ac:dyDescent="0.2">
      <c r="F8143"/>
    </row>
    <row r="8144" spans="6:6" x14ac:dyDescent="0.2">
      <c r="F8144"/>
    </row>
    <row r="8145" spans="6:6" x14ac:dyDescent="0.2">
      <c r="F8145"/>
    </row>
    <row r="8146" spans="6:6" x14ac:dyDescent="0.2">
      <c r="F8146"/>
    </row>
    <row r="8147" spans="6:6" x14ac:dyDescent="0.2">
      <c r="F8147"/>
    </row>
    <row r="8148" spans="6:6" x14ac:dyDescent="0.2">
      <c r="F8148"/>
    </row>
    <row r="8149" spans="6:6" x14ac:dyDescent="0.2">
      <c r="F8149"/>
    </row>
    <row r="8150" spans="6:6" x14ac:dyDescent="0.2">
      <c r="F8150"/>
    </row>
    <row r="8151" spans="6:6" x14ac:dyDescent="0.2">
      <c r="F8151"/>
    </row>
    <row r="8152" spans="6:6" x14ac:dyDescent="0.2">
      <c r="F8152"/>
    </row>
    <row r="8153" spans="6:6" x14ac:dyDescent="0.2">
      <c r="F8153"/>
    </row>
    <row r="8154" spans="6:6" x14ac:dyDescent="0.2">
      <c r="F8154"/>
    </row>
    <row r="8155" spans="6:6" x14ac:dyDescent="0.2">
      <c r="F8155"/>
    </row>
    <row r="8156" spans="6:6" x14ac:dyDescent="0.2">
      <c r="F8156"/>
    </row>
    <row r="8157" spans="6:6" x14ac:dyDescent="0.2">
      <c r="F8157"/>
    </row>
    <row r="8158" spans="6:6" x14ac:dyDescent="0.2">
      <c r="F8158"/>
    </row>
    <row r="8159" spans="6:6" x14ac:dyDescent="0.2">
      <c r="F8159"/>
    </row>
    <row r="8160" spans="6:6" x14ac:dyDescent="0.2">
      <c r="F8160"/>
    </row>
    <row r="8161" spans="6:6" x14ac:dyDescent="0.2">
      <c r="F8161"/>
    </row>
    <row r="8162" spans="6:6" x14ac:dyDescent="0.2">
      <c r="F8162"/>
    </row>
    <row r="8163" spans="6:6" x14ac:dyDescent="0.2">
      <c r="F8163"/>
    </row>
    <row r="8164" spans="6:6" x14ac:dyDescent="0.2">
      <c r="F8164"/>
    </row>
    <row r="8165" spans="6:6" x14ac:dyDescent="0.2">
      <c r="F8165"/>
    </row>
    <row r="8166" spans="6:6" x14ac:dyDescent="0.2">
      <c r="F8166"/>
    </row>
    <row r="8167" spans="6:6" x14ac:dyDescent="0.2">
      <c r="F8167"/>
    </row>
    <row r="8168" spans="6:6" x14ac:dyDescent="0.2">
      <c r="F8168"/>
    </row>
    <row r="8169" spans="6:6" x14ac:dyDescent="0.2">
      <c r="F8169"/>
    </row>
    <row r="8170" spans="6:6" x14ac:dyDescent="0.2">
      <c r="F8170"/>
    </row>
    <row r="8171" spans="6:6" x14ac:dyDescent="0.2">
      <c r="F8171"/>
    </row>
    <row r="8172" spans="6:6" x14ac:dyDescent="0.2">
      <c r="F8172"/>
    </row>
    <row r="8173" spans="6:6" x14ac:dyDescent="0.2">
      <c r="F8173"/>
    </row>
    <row r="8174" spans="6:6" x14ac:dyDescent="0.2">
      <c r="F8174"/>
    </row>
    <row r="8175" spans="6:6" x14ac:dyDescent="0.2">
      <c r="F8175"/>
    </row>
    <row r="8176" spans="6:6" x14ac:dyDescent="0.2">
      <c r="F8176"/>
    </row>
    <row r="8177" spans="6:6" x14ac:dyDescent="0.2">
      <c r="F8177"/>
    </row>
    <row r="8178" spans="6:6" x14ac:dyDescent="0.2">
      <c r="F8178"/>
    </row>
    <row r="8179" spans="6:6" x14ac:dyDescent="0.2">
      <c r="F8179"/>
    </row>
    <row r="8180" spans="6:6" x14ac:dyDescent="0.2">
      <c r="F8180"/>
    </row>
    <row r="8181" spans="6:6" x14ac:dyDescent="0.2">
      <c r="F8181"/>
    </row>
    <row r="8182" spans="6:6" x14ac:dyDescent="0.2">
      <c r="F8182"/>
    </row>
    <row r="8183" spans="6:6" x14ac:dyDescent="0.2">
      <c r="F8183"/>
    </row>
    <row r="8184" spans="6:6" x14ac:dyDescent="0.2">
      <c r="F8184"/>
    </row>
    <row r="8185" spans="6:6" x14ac:dyDescent="0.2">
      <c r="F8185"/>
    </row>
    <row r="8186" spans="6:6" x14ac:dyDescent="0.2">
      <c r="F8186"/>
    </row>
    <row r="8187" spans="6:6" x14ac:dyDescent="0.2">
      <c r="F8187"/>
    </row>
    <row r="8188" spans="6:6" x14ac:dyDescent="0.2">
      <c r="F8188"/>
    </row>
    <row r="8189" spans="6:6" x14ac:dyDescent="0.2">
      <c r="F8189"/>
    </row>
    <row r="8190" spans="6:6" x14ac:dyDescent="0.2">
      <c r="F8190"/>
    </row>
    <row r="8191" spans="6:6" x14ac:dyDescent="0.2">
      <c r="F8191"/>
    </row>
    <row r="8192" spans="6:6" x14ac:dyDescent="0.2">
      <c r="F8192"/>
    </row>
    <row r="8193" spans="6:6" x14ac:dyDescent="0.2">
      <c r="F8193"/>
    </row>
    <row r="8194" spans="6:6" x14ac:dyDescent="0.2">
      <c r="F8194"/>
    </row>
    <row r="8195" spans="6:6" x14ac:dyDescent="0.2">
      <c r="F8195"/>
    </row>
    <row r="8196" spans="6:6" x14ac:dyDescent="0.2">
      <c r="F8196"/>
    </row>
    <row r="8197" spans="6:6" x14ac:dyDescent="0.2">
      <c r="F8197"/>
    </row>
    <row r="8198" spans="6:6" x14ac:dyDescent="0.2">
      <c r="F8198"/>
    </row>
    <row r="8199" spans="6:6" x14ac:dyDescent="0.2">
      <c r="F8199"/>
    </row>
    <row r="8200" spans="6:6" x14ac:dyDescent="0.2">
      <c r="F8200"/>
    </row>
    <row r="8201" spans="6:6" x14ac:dyDescent="0.2">
      <c r="F8201"/>
    </row>
    <row r="8202" spans="6:6" x14ac:dyDescent="0.2">
      <c r="F8202"/>
    </row>
    <row r="8203" spans="6:6" x14ac:dyDescent="0.2">
      <c r="F8203"/>
    </row>
    <row r="8204" spans="6:6" x14ac:dyDescent="0.2">
      <c r="F8204"/>
    </row>
    <row r="8205" spans="6:6" x14ac:dyDescent="0.2">
      <c r="F8205"/>
    </row>
    <row r="8206" spans="6:6" x14ac:dyDescent="0.2">
      <c r="F8206"/>
    </row>
    <row r="8207" spans="6:6" x14ac:dyDescent="0.2">
      <c r="F8207"/>
    </row>
    <row r="8208" spans="6:6" x14ac:dyDescent="0.2">
      <c r="F8208"/>
    </row>
    <row r="8209" spans="6:6" x14ac:dyDescent="0.2">
      <c r="F8209"/>
    </row>
    <row r="8210" spans="6:6" x14ac:dyDescent="0.2">
      <c r="F8210"/>
    </row>
    <row r="8211" spans="6:6" x14ac:dyDescent="0.2">
      <c r="F8211"/>
    </row>
    <row r="8212" spans="6:6" x14ac:dyDescent="0.2">
      <c r="F8212"/>
    </row>
    <row r="8213" spans="6:6" x14ac:dyDescent="0.2">
      <c r="F8213"/>
    </row>
    <row r="8214" spans="6:6" x14ac:dyDescent="0.2">
      <c r="F8214"/>
    </row>
    <row r="8215" spans="6:6" x14ac:dyDescent="0.2">
      <c r="F8215"/>
    </row>
    <row r="8216" spans="6:6" x14ac:dyDescent="0.2">
      <c r="F8216"/>
    </row>
    <row r="8217" spans="6:6" x14ac:dyDescent="0.2">
      <c r="F8217"/>
    </row>
    <row r="8218" spans="6:6" x14ac:dyDescent="0.2">
      <c r="F8218"/>
    </row>
    <row r="8219" spans="6:6" x14ac:dyDescent="0.2">
      <c r="F8219"/>
    </row>
    <row r="8220" spans="6:6" x14ac:dyDescent="0.2">
      <c r="F8220"/>
    </row>
    <row r="8221" spans="6:6" x14ac:dyDescent="0.2">
      <c r="F8221"/>
    </row>
    <row r="8222" spans="6:6" x14ac:dyDescent="0.2">
      <c r="F8222"/>
    </row>
    <row r="8223" spans="6:6" x14ac:dyDescent="0.2">
      <c r="F8223"/>
    </row>
    <row r="8224" spans="6:6" x14ac:dyDescent="0.2">
      <c r="F8224"/>
    </row>
    <row r="8225" spans="6:6" x14ac:dyDescent="0.2">
      <c r="F8225"/>
    </row>
    <row r="8226" spans="6:6" x14ac:dyDescent="0.2">
      <c r="F8226"/>
    </row>
    <row r="8227" spans="6:6" x14ac:dyDescent="0.2">
      <c r="F8227"/>
    </row>
    <row r="8228" spans="6:6" x14ac:dyDescent="0.2">
      <c r="F8228"/>
    </row>
    <row r="8229" spans="6:6" x14ac:dyDescent="0.2">
      <c r="F8229"/>
    </row>
    <row r="8230" spans="6:6" x14ac:dyDescent="0.2">
      <c r="F8230"/>
    </row>
    <row r="8231" spans="6:6" x14ac:dyDescent="0.2">
      <c r="F8231"/>
    </row>
    <row r="8232" spans="6:6" x14ac:dyDescent="0.2">
      <c r="F8232"/>
    </row>
    <row r="8233" spans="6:6" x14ac:dyDescent="0.2">
      <c r="F8233"/>
    </row>
    <row r="8234" spans="6:6" x14ac:dyDescent="0.2">
      <c r="F8234"/>
    </row>
    <row r="8235" spans="6:6" x14ac:dyDescent="0.2">
      <c r="F8235"/>
    </row>
    <row r="8236" spans="6:6" x14ac:dyDescent="0.2">
      <c r="F8236"/>
    </row>
    <row r="8237" spans="6:6" x14ac:dyDescent="0.2">
      <c r="F8237"/>
    </row>
    <row r="8238" spans="6:6" x14ac:dyDescent="0.2">
      <c r="F8238"/>
    </row>
    <row r="8239" spans="6:6" x14ac:dyDescent="0.2">
      <c r="F8239"/>
    </row>
    <row r="8240" spans="6:6" x14ac:dyDescent="0.2">
      <c r="F8240"/>
    </row>
    <row r="8241" spans="6:6" x14ac:dyDescent="0.2">
      <c r="F8241"/>
    </row>
    <row r="8242" spans="6:6" x14ac:dyDescent="0.2">
      <c r="F8242"/>
    </row>
    <row r="8243" spans="6:6" x14ac:dyDescent="0.2">
      <c r="F8243"/>
    </row>
    <row r="8244" spans="6:6" x14ac:dyDescent="0.2">
      <c r="F8244"/>
    </row>
    <row r="8245" spans="6:6" x14ac:dyDescent="0.2">
      <c r="F8245"/>
    </row>
    <row r="8246" spans="6:6" x14ac:dyDescent="0.2">
      <c r="F8246"/>
    </row>
    <row r="8247" spans="6:6" x14ac:dyDescent="0.2">
      <c r="F8247"/>
    </row>
    <row r="8248" spans="6:6" x14ac:dyDescent="0.2">
      <c r="F8248"/>
    </row>
    <row r="8249" spans="6:6" x14ac:dyDescent="0.2">
      <c r="F8249"/>
    </row>
    <row r="8250" spans="6:6" x14ac:dyDescent="0.2">
      <c r="F8250"/>
    </row>
    <row r="8251" spans="6:6" x14ac:dyDescent="0.2">
      <c r="F8251"/>
    </row>
    <row r="8252" spans="6:6" x14ac:dyDescent="0.2">
      <c r="F8252"/>
    </row>
    <row r="8253" spans="6:6" x14ac:dyDescent="0.2">
      <c r="F8253"/>
    </row>
    <row r="8254" spans="6:6" x14ac:dyDescent="0.2">
      <c r="F8254"/>
    </row>
    <row r="8255" spans="6:6" x14ac:dyDescent="0.2">
      <c r="F8255"/>
    </row>
    <row r="8256" spans="6:6" x14ac:dyDescent="0.2">
      <c r="F8256"/>
    </row>
    <row r="8257" spans="6:6" x14ac:dyDescent="0.2">
      <c r="F8257"/>
    </row>
    <row r="8258" spans="6:6" x14ac:dyDescent="0.2">
      <c r="F8258"/>
    </row>
    <row r="8259" spans="6:6" x14ac:dyDescent="0.2">
      <c r="F8259"/>
    </row>
    <row r="8260" spans="6:6" x14ac:dyDescent="0.2">
      <c r="F8260"/>
    </row>
    <row r="8261" spans="6:6" x14ac:dyDescent="0.2">
      <c r="F8261"/>
    </row>
    <row r="8262" spans="6:6" x14ac:dyDescent="0.2">
      <c r="F8262"/>
    </row>
    <row r="8263" spans="6:6" x14ac:dyDescent="0.2">
      <c r="F8263"/>
    </row>
    <row r="8264" spans="6:6" x14ac:dyDescent="0.2">
      <c r="F8264"/>
    </row>
    <row r="8265" spans="6:6" x14ac:dyDescent="0.2">
      <c r="F8265"/>
    </row>
    <row r="8266" spans="6:6" x14ac:dyDescent="0.2">
      <c r="F8266"/>
    </row>
    <row r="8267" spans="6:6" x14ac:dyDescent="0.2">
      <c r="F8267"/>
    </row>
    <row r="8268" spans="6:6" x14ac:dyDescent="0.2">
      <c r="F8268"/>
    </row>
    <row r="8269" spans="6:6" x14ac:dyDescent="0.2">
      <c r="F8269"/>
    </row>
    <row r="8270" spans="6:6" x14ac:dyDescent="0.2">
      <c r="F8270"/>
    </row>
    <row r="8271" spans="6:6" x14ac:dyDescent="0.2">
      <c r="F8271"/>
    </row>
    <row r="8272" spans="6:6" x14ac:dyDescent="0.2">
      <c r="F8272"/>
    </row>
    <row r="8273" spans="6:6" x14ac:dyDescent="0.2">
      <c r="F8273"/>
    </row>
    <row r="8274" spans="6:6" x14ac:dyDescent="0.2">
      <c r="F8274"/>
    </row>
    <row r="8275" spans="6:6" x14ac:dyDescent="0.2">
      <c r="F8275"/>
    </row>
    <row r="8276" spans="6:6" x14ac:dyDescent="0.2">
      <c r="F8276"/>
    </row>
    <row r="8277" spans="6:6" x14ac:dyDescent="0.2">
      <c r="F8277"/>
    </row>
    <row r="8278" spans="6:6" x14ac:dyDescent="0.2">
      <c r="F8278"/>
    </row>
    <row r="8279" spans="6:6" x14ac:dyDescent="0.2">
      <c r="F8279"/>
    </row>
    <row r="8280" spans="6:6" x14ac:dyDescent="0.2">
      <c r="F8280"/>
    </row>
    <row r="8281" spans="6:6" x14ac:dyDescent="0.2">
      <c r="F8281"/>
    </row>
    <row r="8282" spans="6:6" x14ac:dyDescent="0.2">
      <c r="F8282"/>
    </row>
    <row r="8283" spans="6:6" x14ac:dyDescent="0.2">
      <c r="F8283"/>
    </row>
    <row r="8284" spans="6:6" x14ac:dyDescent="0.2">
      <c r="F8284"/>
    </row>
    <row r="8285" spans="6:6" x14ac:dyDescent="0.2">
      <c r="F8285"/>
    </row>
    <row r="8286" spans="6:6" x14ac:dyDescent="0.2">
      <c r="F8286"/>
    </row>
    <row r="8287" spans="6:6" x14ac:dyDescent="0.2">
      <c r="F8287"/>
    </row>
    <row r="8288" spans="6:6" x14ac:dyDescent="0.2">
      <c r="F8288"/>
    </row>
    <row r="8289" spans="6:6" x14ac:dyDescent="0.2">
      <c r="F8289"/>
    </row>
    <row r="8290" spans="6:6" x14ac:dyDescent="0.2">
      <c r="F8290"/>
    </row>
    <row r="8291" spans="6:6" x14ac:dyDescent="0.2">
      <c r="F8291"/>
    </row>
    <row r="8292" spans="6:6" x14ac:dyDescent="0.2">
      <c r="F8292"/>
    </row>
    <row r="8293" spans="6:6" x14ac:dyDescent="0.2">
      <c r="F8293"/>
    </row>
    <row r="8294" spans="6:6" x14ac:dyDescent="0.2">
      <c r="F8294"/>
    </row>
    <row r="8295" spans="6:6" x14ac:dyDescent="0.2">
      <c r="F8295"/>
    </row>
    <row r="8296" spans="6:6" x14ac:dyDescent="0.2">
      <c r="F8296"/>
    </row>
    <row r="8297" spans="6:6" x14ac:dyDescent="0.2">
      <c r="F8297"/>
    </row>
    <row r="8298" spans="6:6" x14ac:dyDescent="0.2">
      <c r="F8298"/>
    </row>
    <row r="8299" spans="6:6" x14ac:dyDescent="0.2">
      <c r="F8299"/>
    </row>
    <row r="8300" spans="6:6" x14ac:dyDescent="0.2">
      <c r="F8300"/>
    </row>
    <row r="8301" spans="6:6" x14ac:dyDescent="0.2">
      <c r="F8301"/>
    </row>
    <row r="8302" spans="6:6" x14ac:dyDescent="0.2">
      <c r="F8302"/>
    </row>
    <row r="8303" spans="6:6" x14ac:dyDescent="0.2">
      <c r="F8303"/>
    </row>
    <row r="8304" spans="6:6" x14ac:dyDescent="0.2">
      <c r="F8304"/>
    </row>
    <row r="8305" spans="6:6" x14ac:dyDescent="0.2">
      <c r="F8305"/>
    </row>
    <row r="8306" spans="6:6" x14ac:dyDescent="0.2">
      <c r="F8306"/>
    </row>
    <row r="8307" spans="6:6" x14ac:dyDescent="0.2">
      <c r="F8307"/>
    </row>
    <row r="8308" spans="6:6" x14ac:dyDescent="0.2">
      <c r="F8308"/>
    </row>
    <row r="8309" spans="6:6" x14ac:dyDescent="0.2">
      <c r="F8309"/>
    </row>
    <row r="8310" spans="6:6" x14ac:dyDescent="0.2">
      <c r="F8310"/>
    </row>
    <row r="8311" spans="6:6" x14ac:dyDescent="0.2">
      <c r="F8311"/>
    </row>
    <row r="8312" spans="6:6" x14ac:dyDescent="0.2">
      <c r="F8312"/>
    </row>
    <row r="8313" spans="6:6" x14ac:dyDescent="0.2">
      <c r="F8313"/>
    </row>
    <row r="8314" spans="6:6" x14ac:dyDescent="0.2">
      <c r="F8314"/>
    </row>
    <row r="8315" spans="6:6" x14ac:dyDescent="0.2">
      <c r="F8315"/>
    </row>
    <row r="8316" spans="6:6" x14ac:dyDescent="0.2">
      <c r="F8316"/>
    </row>
    <row r="8317" spans="6:6" x14ac:dyDescent="0.2">
      <c r="F8317"/>
    </row>
    <row r="8318" spans="6:6" x14ac:dyDescent="0.2">
      <c r="F8318"/>
    </row>
    <row r="8319" spans="6:6" x14ac:dyDescent="0.2">
      <c r="F8319"/>
    </row>
    <row r="8320" spans="6:6" x14ac:dyDescent="0.2">
      <c r="F8320"/>
    </row>
    <row r="8321" spans="6:6" x14ac:dyDescent="0.2">
      <c r="F8321"/>
    </row>
    <row r="8322" spans="6:6" x14ac:dyDescent="0.2">
      <c r="F8322"/>
    </row>
    <row r="8323" spans="6:6" x14ac:dyDescent="0.2">
      <c r="F8323"/>
    </row>
    <row r="8324" spans="6:6" x14ac:dyDescent="0.2">
      <c r="F8324"/>
    </row>
    <row r="8325" spans="6:6" x14ac:dyDescent="0.2">
      <c r="F8325"/>
    </row>
    <row r="8326" spans="6:6" x14ac:dyDescent="0.2">
      <c r="F8326"/>
    </row>
    <row r="8327" spans="6:6" x14ac:dyDescent="0.2">
      <c r="F8327"/>
    </row>
    <row r="8328" spans="6:6" x14ac:dyDescent="0.2">
      <c r="F8328"/>
    </row>
    <row r="8329" spans="6:6" x14ac:dyDescent="0.2">
      <c r="F8329"/>
    </row>
    <row r="8330" spans="6:6" x14ac:dyDescent="0.2">
      <c r="F8330"/>
    </row>
    <row r="8331" spans="6:6" x14ac:dyDescent="0.2">
      <c r="F8331"/>
    </row>
    <row r="8332" spans="6:6" x14ac:dyDescent="0.2">
      <c r="F8332"/>
    </row>
    <row r="8333" spans="6:6" x14ac:dyDescent="0.2">
      <c r="F8333"/>
    </row>
    <row r="8334" spans="6:6" x14ac:dyDescent="0.2">
      <c r="F8334"/>
    </row>
    <row r="8335" spans="6:6" x14ac:dyDescent="0.2">
      <c r="F8335"/>
    </row>
    <row r="8336" spans="6:6" x14ac:dyDescent="0.2">
      <c r="F8336"/>
    </row>
    <row r="8337" spans="6:6" x14ac:dyDescent="0.2">
      <c r="F8337"/>
    </row>
    <row r="8338" spans="6:6" x14ac:dyDescent="0.2">
      <c r="F8338"/>
    </row>
    <row r="8339" spans="6:6" x14ac:dyDescent="0.2">
      <c r="F8339"/>
    </row>
    <row r="8340" spans="6:6" x14ac:dyDescent="0.2">
      <c r="F8340"/>
    </row>
    <row r="8341" spans="6:6" x14ac:dyDescent="0.2">
      <c r="F8341"/>
    </row>
    <row r="8342" spans="6:6" x14ac:dyDescent="0.2">
      <c r="F8342"/>
    </row>
    <row r="8343" spans="6:6" x14ac:dyDescent="0.2">
      <c r="F8343"/>
    </row>
    <row r="8344" spans="6:6" x14ac:dyDescent="0.2">
      <c r="F8344"/>
    </row>
    <row r="8345" spans="6:6" x14ac:dyDescent="0.2">
      <c r="F8345"/>
    </row>
    <row r="8346" spans="6:6" x14ac:dyDescent="0.2">
      <c r="F8346"/>
    </row>
    <row r="8347" spans="6:6" x14ac:dyDescent="0.2">
      <c r="F8347"/>
    </row>
    <row r="8348" spans="6:6" x14ac:dyDescent="0.2">
      <c r="F8348"/>
    </row>
    <row r="8349" spans="6:6" x14ac:dyDescent="0.2">
      <c r="F8349"/>
    </row>
    <row r="8350" spans="6:6" x14ac:dyDescent="0.2">
      <c r="F8350"/>
    </row>
    <row r="8351" spans="6:6" x14ac:dyDescent="0.2">
      <c r="F8351"/>
    </row>
    <row r="8352" spans="6:6" x14ac:dyDescent="0.2">
      <c r="F8352"/>
    </row>
    <row r="8353" spans="6:6" x14ac:dyDescent="0.2">
      <c r="F8353"/>
    </row>
    <row r="8354" spans="6:6" x14ac:dyDescent="0.2">
      <c r="F8354"/>
    </row>
    <row r="8355" spans="6:6" x14ac:dyDescent="0.2">
      <c r="F8355"/>
    </row>
    <row r="8356" spans="6:6" x14ac:dyDescent="0.2">
      <c r="F8356"/>
    </row>
    <row r="8357" spans="6:6" x14ac:dyDescent="0.2">
      <c r="F8357"/>
    </row>
    <row r="8358" spans="6:6" x14ac:dyDescent="0.2">
      <c r="F8358"/>
    </row>
    <row r="8359" spans="6:6" x14ac:dyDescent="0.2">
      <c r="F8359"/>
    </row>
    <row r="8360" spans="6:6" x14ac:dyDescent="0.2">
      <c r="F8360"/>
    </row>
    <row r="8361" spans="6:6" x14ac:dyDescent="0.2">
      <c r="F8361"/>
    </row>
    <row r="8362" spans="6:6" x14ac:dyDescent="0.2">
      <c r="F8362"/>
    </row>
    <row r="8363" spans="6:6" x14ac:dyDescent="0.2">
      <c r="F8363"/>
    </row>
    <row r="8364" spans="6:6" x14ac:dyDescent="0.2">
      <c r="F8364"/>
    </row>
    <row r="8365" spans="6:6" x14ac:dyDescent="0.2">
      <c r="F8365"/>
    </row>
    <row r="8366" spans="6:6" x14ac:dyDescent="0.2">
      <c r="F8366"/>
    </row>
    <row r="8367" spans="6:6" x14ac:dyDescent="0.2">
      <c r="F8367"/>
    </row>
    <row r="8368" spans="6:6" x14ac:dyDescent="0.2">
      <c r="F8368"/>
    </row>
    <row r="8369" spans="6:6" x14ac:dyDescent="0.2">
      <c r="F8369"/>
    </row>
    <row r="8370" spans="6:6" x14ac:dyDescent="0.2">
      <c r="F8370"/>
    </row>
    <row r="8371" spans="6:6" x14ac:dyDescent="0.2">
      <c r="F8371"/>
    </row>
    <row r="8372" spans="6:6" x14ac:dyDescent="0.2">
      <c r="F8372"/>
    </row>
    <row r="8373" spans="6:6" x14ac:dyDescent="0.2">
      <c r="F8373"/>
    </row>
    <row r="8374" spans="6:6" x14ac:dyDescent="0.2">
      <c r="F8374"/>
    </row>
    <row r="8375" spans="6:6" x14ac:dyDescent="0.2">
      <c r="F8375"/>
    </row>
    <row r="8376" spans="6:6" x14ac:dyDescent="0.2">
      <c r="F8376"/>
    </row>
    <row r="8377" spans="6:6" x14ac:dyDescent="0.2">
      <c r="F8377"/>
    </row>
    <row r="8378" spans="6:6" x14ac:dyDescent="0.2">
      <c r="F8378"/>
    </row>
    <row r="8379" spans="6:6" x14ac:dyDescent="0.2">
      <c r="F8379"/>
    </row>
    <row r="8380" spans="6:6" x14ac:dyDescent="0.2">
      <c r="F8380"/>
    </row>
    <row r="8381" spans="6:6" x14ac:dyDescent="0.2">
      <c r="F8381"/>
    </row>
    <row r="8382" spans="6:6" x14ac:dyDescent="0.2">
      <c r="F8382"/>
    </row>
    <row r="8383" spans="6:6" x14ac:dyDescent="0.2">
      <c r="F8383"/>
    </row>
    <row r="8384" spans="6:6" x14ac:dyDescent="0.2">
      <c r="F8384"/>
    </row>
    <row r="8385" spans="6:6" x14ac:dyDescent="0.2">
      <c r="F8385"/>
    </row>
    <row r="8386" spans="6:6" x14ac:dyDescent="0.2">
      <c r="F8386"/>
    </row>
    <row r="8387" spans="6:6" x14ac:dyDescent="0.2">
      <c r="F8387"/>
    </row>
    <row r="8388" spans="6:6" x14ac:dyDescent="0.2">
      <c r="F8388"/>
    </row>
    <row r="8389" spans="6:6" x14ac:dyDescent="0.2">
      <c r="F8389"/>
    </row>
    <row r="8390" spans="6:6" x14ac:dyDescent="0.2">
      <c r="F8390"/>
    </row>
    <row r="8391" spans="6:6" x14ac:dyDescent="0.2">
      <c r="F8391"/>
    </row>
    <row r="8392" spans="6:6" x14ac:dyDescent="0.2">
      <c r="F8392"/>
    </row>
    <row r="8393" spans="6:6" x14ac:dyDescent="0.2">
      <c r="F8393"/>
    </row>
    <row r="8394" spans="6:6" x14ac:dyDescent="0.2">
      <c r="F8394"/>
    </row>
    <row r="8395" spans="6:6" x14ac:dyDescent="0.2">
      <c r="F8395"/>
    </row>
    <row r="8396" spans="6:6" x14ac:dyDescent="0.2">
      <c r="F8396"/>
    </row>
    <row r="8397" spans="6:6" x14ac:dyDescent="0.2">
      <c r="F8397"/>
    </row>
    <row r="8398" spans="6:6" x14ac:dyDescent="0.2">
      <c r="F8398"/>
    </row>
    <row r="8399" spans="6:6" x14ac:dyDescent="0.2">
      <c r="F8399"/>
    </row>
    <row r="8400" spans="6:6" x14ac:dyDescent="0.2">
      <c r="F8400"/>
    </row>
    <row r="8401" spans="6:6" x14ac:dyDescent="0.2">
      <c r="F8401"/>
    </row>
    <row r="8402" spans="6:6" x14ac:dyDescent="0.2">
      <c r="F8402"/>
    </row>
    <row r="8403" spans="6:6" x14ac:dyDescent="0.2">
      <c r="F8403"/>
    </row>
    <row r="8404" spans="6:6" x14ac:dyDescent="0.2">
      <c r="F8404"/>
    </row>
    <row r="8405" spans="6:6" x14ac:dyDescent="0.2">
      <c r="F8405"/>
    </row>
    <row r="8406" spans="6:6" x14ac:dyDescent="0.2">
      <c r="F8406"/>
    </row>
    <row r="8407" spans="6:6" x14ac:dyDescent="0.2">
      <c r="F8407"/>
    </row>
    <row r="8408" spans="6:6" x14ac:dyDescent="0.2">
      <c r="F8408"/>
    </row>
    <row r="8409" spans="6:6" x14ac:dyDescent="0.2">
      <c r="F8409"/>
    </row>
    <row r="8410" spans="6:6" x14ac:dyDescent="0.2">
      <c r="F8410"/>
    </row>
    <row r="8411" spans="6:6" x14ac:dyDescent="0.2">
      <c r="F8411"/>
    </row>
    <row r="8412" spans="6:6" x14ac:dyDescent="0.2">
      <c r="F8412"/>
    </row>
    <row r="8413" spans="6:6" x14ac:dyDescent="0.2">
      <c r="F8413"/>
    </row>
    <row r="8414" spans="6:6" x14ac:dyDescent="0.2">
      <c r="F8414"/>
    </row>
    <row r="8415" spans="6:6" x14ac:dyDescent="0.2">
      <c r="F8415"/>
    </row>
    <row r="8416" spans="6:6" x14ac:dyDescent="0.2">
      <c r="F8416"/>
    </row>
    <row r="8417" spans="6:6" x14ac:dyDescent="0.2">
      <c r="F8417"/>
    </row>
    <row r="8418" spans="6:6" x14ac:dyDescent="0.2">
      <c r="F8418"/>
    </row>
    <row r="8419" spans="6:6" x14ac:dyDescent="0.2">
      <c r="F8419"/>
    </row>
    <row r="8420" spans="6:6" x14ac:dyDescent="0.2">
      <c r="F8420"/>
    </row>
    <row r="8421" spans="6:6" x14ac:dyDescent="0.2">
      <c r="F8421"/>
    </row>
    <row r="8422" spans="6:6" x14ac:dyDescent="0.2">
      <c r="F8422"/>
    </row>
    <row r="8423" spans="6:6" x14ac:dyDescent="0.2">
      <c r="F8423"/>
    </row>
    <row r="8424" spans="6:6" x14ac:dyDescent="0.2">
      <c r="F8424"/>
    </row>
    <row r="8425" spans="6:6" x14ac:dyDescent="0.2">
      <c r="F8425"/>
    </row>
    <row r="8426" spans="6:6" x14ac:dyDescent="0.2">
      <c r="F8426"/>
    </row>
    <row r="8427" spans="6:6" x14ac:dyDescent="0.2">
      <c r="F8427"/>
    </row>
    <row r="8428" spans="6:6" x14ac:dyDescent="0.2">
      <c r="F8428"/>
    </row>
    <row r="8429" spans="6:6" x14ac:dyDescent="0.2">
      <c r="F8429"/>
    </row>
    <row r="8430" spans="6:6" x14ac:dyDescent="0.2">
      <c r="F8430"/>
    </row>
    <row r="8431" spans="6:6" x14ac:dyDescent="0.2">
      <c r="F8431"/>
    </row>
    <row r="8432" spans="6:6" x14ac:dyDescent="0.2">
      <c r="F8432"/>
    </row>
    <row r="8433" spans="6:6" x14ac:dyDescent="0.2">
      <c r="F8433"/>
    </row>
    <row r="8434" spans="6:6" x14ac:dyDescent="0.2">
      <c r="F8434"/>
    </row>
    <row r="8435" spans="6:6" x14ac:dyDescent="0.2">
      <c r="F8435"/>
    </row>
    <row r="8436" spans="6:6" x14ac:dyDescent="0.2">
      <c r="F8436"/>
    </row>
    <row r="8437" spans="6:6" x14ac:dyDescent="0.2">
      <c r="F8437"/>
    </row>
    <row r="8438" spans="6:6" x14ac:dyDescent="0.2">
      <c r="F8438"/>
    </row>
    <row r="8439" spans="6:6" x14ac:dyDescent="0.2">
      <c r="F8439"/>
    </row>
    <row r="8440" spans="6:6" x14ac:dyDescent="0.2">
      <c r="F8440"/>
    </row>
    <row r="8441" spans="6:6" x14ac:dyDescent="0.2">
      <c r="F8441"/>
    </row>
    <row r="8442" spans="6:6" x14ac:dyDescent="0.2">
      <c r="F8442"/>
    </row>
    <row r="8443" spans="6:6" x14ac:dyDescent="0.2">
      <c r="F8443"/>
    </row>
    <row r="8444" spans="6:6" x14ac:dyDescent="0.2">
      <c r="F8444"/>
    </row>
    <row r="8445" spans="6:6" x14ac:dyDescent="0.2">
      <c r="F8445"/>
    </row>
    <row r="8446" spans="6:6" x14ac:dyDescent="0.2">
      <c r="F8446"/>
    </row>
    <row r="8447" spans="6:6" x14ac:dyDescent="0.2">
      <c r="F8447"/>
    </row>
    <row r="8448" spans="6:6" x14ac:dyDescent="0.2">
      <c r="F8448"/>
    </row>
    <row r="8449" spans="6:6" x14ac:dyDescent="0.2">
      <c r="F8449"/>
    </row>
    <row r="8450" spans="6:6" x14ac:dyDescent="0.2">
      <c r="F8450"/>
    </row>
    <row r="8451" spans="6:6" x14ac:dyDescent="0.2">
      <c r="F8451"/>
    </row>
    <row r="8452" spans="6:6" x14ac:dyDescent="0.2">
      <c r="F8452"/>
    </row>
    <row r="8453" spans="6:6" x14ac:dyDescent="0.2">
      <c r="F8453"/>
    </row>
    <row r="8454" spans="6:6" x14ac:dyDescent="0.2">
      <c r="F8454"/>
    </row>
    <row r="8455" spans="6:6" x14ac:dyDescent="0.2">
      <c r="F8455"/>
    </row>
    <row r="8456" spans="6:6" x14ac:dyDescent="0.2">
      <c r="F8456"/>
    </row>
    <row r="8457" spans="6:6" x14ac:dyDescent="0.2">
      <c r="F8457"/>
    </row>
    <row r="8458" spans="6:6" x14ac:dyDescent="0.2">
      <c r="F8458"/>
    </row>
    <row r="8459" spans="6:6" x14ac:dyDescent="0.2">
      <c r="F8459"/>
    </row>
    <row r="8460" spans="6:6" x14ac:dyDescent="0.2">
      <c r="F8460"/>
    </row>
    <row r="8461" spans="6:6" x14ac:dyDescent="0.2">
      <c r="F8461"/>
    </row>
    <row r="8462" spans="6:6" x14ac:dyDescent="0.2">
      <c r="F8462"/>
    </row>
    <row r="8463" spans="6:6" x14ac:dyDescent="0.2">
      <c r="F8463"/>
    </row>
    <row r="8464" spans="6:6" x14ac:dyDescent="0.2">
      <c r="F8464"/>
    </row>
    <row r="8465" spans="6:6" x14ac:dyDescent="0.2">
      <c r="F8465"/>
    </row>
    <row r="8466" spans="6:6" x14ac:dyDescent="0.2">
      <c r="F8466"/>
    </row>
    <row r="8467" spans="6:6" x14ac:dyDescent="0.2">
      <c r="F8467"/>
    </row>
    <row r="8468" spans="6:6" x14ac:dyDescent="0.2">
      <c r="F8468"/>
    </row>
    <row r="8469" spans="6:6" x14ac:dyDescent="0.2">
      <c r="F8469"/>
    </row>
    <row r="8470" spans="6:6" x14ac:dyDescent="0.2">
      <c r="F8470"/>
    </row>
    <row r="8471" spans="6:6" x14ac:dyDescent="0.2">
      <c r="F8471"/>
    </row>
    <row r="8472" spans="6:6" x14ac:dyDescent="0.2">
      <c r="F8472"/>
    </row>
    <row r="8473" spans="6:6" x14ac:dyDescent="0.2">
      <c r="F8473"/>
    </row>
    <row r="8474" spans="6:6" x14ac:dyDescent="0.2">
      <c r="F8474"/>
    </row>
    <row r="8475" spans="6:6" x14ac:dyDescent="0.2">
      <c r="F8475"/>
    </row>
    <row r="8476" spans="6:6" x14ac:dyDescent="0.2">
      <c r="F8476"/>
    </row>
    <row r="8477" spans="6:6" x14ac:dyDescent="0.2">
      <c r="F8477"/>
    </row>
    <row r="8478" spans="6:6" x14ac:dyDescent="0.2">
      <c r="F8478"/>
    </row>
    <row r="8479" spans="6:6" x14ac:dyDescent="0.2">
      <c r="F8479"/>
    </row>
    <row r="8480" spans="6:6" x14ac:dyDescent="0.2">
      <c r="F8480"/>
    </row>
    <row r="8481" spans="6:6" x14ac:dyDescent="0.2">
      <c r="F8481"/>
    </row>
    <row r="8482" spans="6:6" x14ac:dyDescent="0.2">
      <c r="F8482"/>
    </row>
    <row r="8483" spans="6:6" x14ac:dyDescent="0.2">
      <c r="F8483"/>
    </row>
    <row r="8484" spans="6:6" x14ac:dyDescent="0.2">
      <c r="F8484"/>
    </row>
    <row r="8485" spans="6:6" x14ac:dyDescent="0.2">
      <c r="F8485"/>
    </row>
    <row r="8486" spans="6:6" x14ac:dyDescent="0.2">
      <c r="F8486"/>
    </row>
    <row r="8487" spans="6:6" x14ac:dyDescent="0.2">
      <c r="F8487"/>
    </row>
    <row r="8488" spans="6:6" x14ac:dyDescent="0.2">
      <c r="F8488"/>
    </row>
    <row r="8489" spans="6:6" x14ac:dyDescent="0.2">
      <c r="F8489"/>
    </row>
    <row r="8490" spans="6:6" x14ac:dyDescent="0.2">
      <c r="F8490"/>
    </row>
    <row r="8491" spans="6:6" x14ac:dyDescent="0.2">
      <c r="F8491"/>
    </row>
    <row r="8492" spans="6:6" x14ac:dyDescent="0.2">
      <c r="F8492"/>
    </row>
    <row r="8493" spans="6:6" x14ac:dyDescent="0.2">
      <c r="F8493"/>
    </row>
    <row r="8494" spans="6:6" x14ac:dyDescent="0.2">
      <c r="F8494"/>
    </row>
    <row r="8495" spans="6:6" x14ac:dyDescent="0.2">
      <c r="F8495"/>
    </row>
    <row r="8496" spans="6:6" x14ac:dyDescent="0.2">
      <c r="F8496"/>
    </row>
    <row r="8497" spans="6:6" x14ac:dyDescent="0.2">
      <c r="F8497"/>
    </row>
    <row r="8498" spans="6:6" x14ac:dyDescent="0.2">
      <c r="F8498"/>
    </row>
    <row r="8499" spans="6:6" x14ac:dyDescent="0.2">
      <c r="F8499"/>
    </row>
    <row r="8500" spans="6:6" x14ac:dyDescent="0.2">
      <c r="F8500"/>
    </row>
    <row r="8501" spans="6:6" x14ac:dyDescent="0.2">
      <c r="F8501"/>
    </row>
    <row r="8502" spans="6:6" x14ac:dyDescent="0.2">
      <c r="F8502"/>
    </row>
    <row r="8503" spans="6:6" x14ac:dyDescent="0.2">
      <c r="F8503"/>
    </row>
    <row r="8504" spans="6:6" x14ac:dyDescent="0.2">
      <c r="F8504"/>
    </row>
    <row r="8505" spans="6:6" x14ac:dyDescent="0.2">
      <c r="F8505"/>
    </row>
    <row r="8506" spans="6:6" x14ac:dyDescent="0.2">
      <c r="F8506"/>
    </row>
    <row r="8507" spans="6:6" x14ac:dyDescent="0.2">
      <c r="F8507"/>
    </row>
    <row r="8508" spans="6:6" x14ac:dyDescent="0.2">
      <c r="F8508"/>
    </row>
    <row r="8509" spans="6:6" x14ac:dyDescent="0.2">
      <c r="F8509"/>
    </row>
    <row r="8510" spans="6:6" x14ac:dyDescent="0.2">
      <c r="F8510"/>
    </row>
    <row r="8511" spans="6:6" x14ac:dyDescent="0.2">
      <c r="F8511"/>
    </row>
    <row r="8512" spans="6:6" x14ac:dyDescent="0.2">
      <c r="F8512"/>
    </row>
    <row r="8513" spans="6:6" x14ac:dyDescent="0.2">
      <c r="F8513"/>
    </row>
    <row r="8514" spans="6:6" x14ac:dyDescent="0.2">
      <c r="F8514"/>
    </row>
    <row r="8515" spans="6:6" x14ac:dyDescent="0.2">
      <c r="F8515"/>
    </row>
    <row r="8516" spans="6:6" x14ac:dyDescent="0.2">
      <c r="F8516"/>
    </row>
    <row r="8517" spans="6:6" x14ac:dyDescent="0.2">
      <c r="F8517"/>
    </row>
    <row r="8518" spans="6:6" x14ac:dyDescent="0.2">
      <c r="F8518"/>
    </row>
    <row r="8519" spans="6:6" x14ac:dyDescent="0.2">
      <c r="F8519"/>
    </row>
    <row r="8520" spans="6:6" x14ac:dyDescent="0.2">
      <c r="F8520"/>
    </row>
    <row r="8521" spans="6:6" x14ac:dyDescent="0.2">
      <c r="F8521"/>
    </row>
    <row r="8522" spans="6:6" x14ac:dyDescent="0.2">
      <c r="F8522"/>
    </row>
    <row r="8523" spans="6:6" x14ac:dyDescent="0.2">
      <c r="F8523"/>
    </row>
    <row r="8524" spans="6:6" x14ac:dyDescent="0.2">
      <c r="F8524"/>
    </row>
    <row r="8525" spans="6:6" x14ac:dyDescent="0.2">
      <c r="F8525"/>
    </row>
    <row r="8526" spans="6:6" x14ac:dyDescent="0.2">
      <c r="F8526"/>
    </row>
    <row r="8527" spans="6:6" x14ac:dyDescent="0.2">
      <c r="F8527"/>
    </row>
    <row r="8528" spans="6:6" x14ac:dyDescent="0.2">
      <c r="F8528"/>
    </row>
    <row r="8529" spans="6:6" x14ac:dyDescent="0.2">
      <c r="F8529"/>
    </row>
    <row r="8530" spans="6:6" x14ac:dyDescent="0.2">
      <c r="F8530"/>
    </row>
    <row r="8531" spans="6:6" x14ac:dyDescent="0.2">
      <c r="F8531"/>
    </row>
    <row r="8532" spans="6:6" x14ac:dyDescent="0.2">
      <c r="F8532"/>
    </row>
    <row r="8533" spans="6:6" x14ac:dyDescent="0.2">
      <c r="F8533"/>
    </row>
    <row r="8534" spans="6:6" x14ac:dyDescent="0.2">
      <c r="F8534"/>
    </row>
    <row r="8535" spans="6:6" x14ac:dyDescent="0.2">
      <c r="F8535"/>
    </row>
    <row r="8536" spans="6:6" x14ac:dyDescent="0.2">
      <c r="F8536"/>
    </row>
    <row r="8537" spans="6:6" x14ac:dyDescent="0.2">
      <c r="F8537"/>
    </row>
    <row r="8538" spans="6:6" x14ac:dyDescent="0.2">
      <c r="F8538"/>
    </row>
    <row r="8539" spans="6:6" x14ac:dyDescent="0.2">
      <c r="F8539"/>
    </row>
    <row r="8540" spans="6:6" x14ac:dyDescent="0.2">
      <c r="F8540"/>
    </row>
    <row r="8541" spans="6:6" x14ac:dyDescent="0.2">
      <c r="F8541"/>
    </row>
    <row r="8542" spans="6:6" x14ac:dyDescent="0.2">
      <c r="F8542"/>
    </row>
    <row r="8543" spans="6:6" x14ac:dyDescent="0.2">
      <c r="F8543"/>
    </row>
    <row r="8544" spans="6:6" x14ac:dyDescent="0.2">
      <c r="F8544"/>
    </row>
    <row r="8545" spans="6:6" x14ac:dyDescent="0.2">
      <c r="F8545"/>
    </row>
    <row r="8546" spans="6:6" x14ac:dyDescent="0.2">
      <c r="F8546"/>
    </row>
    <row r="8547" spans="6:6" x14ac:dyDescent="0.2">
      <c r="F8547"/>
    </row>
    <row r="8548" spans="6:6" x14ac:dyDescent="0.2">
      <c r="F8548"/>
    </row>
    <row r="8549" spans="6:6" x14ac:dyDescent="0.2">
      <c r="F8549"/>
    </row>
    <row r="8550" spans="6:6" x14ac:dyDescent="0.2">
      <c r="F8550"/>
    </row>
    <row r="8551" spans="6:6" x14ac:dyDescent="0.2">
      <c r="F8551"/>
    </row>
    <row r="8552" spans="6:6" x14ac:dyDescent="0.2">
      <c r="F8552"/>
    </row>
    <row r="8553" spans="6:6" x14ac:dyDescent="0.2">
      <c r="F8553"/>
    </row>
    <row r="8554" spans="6:6" x14ac:dyDescent="0.2">
      <c r="F8554"/>
    </row>
    <row r="8555" spans="6:6" x14ac:dyDescent="0.2">
      <c r="F8555"/>
    </row>
    <row r="8556" spans="6:6" x14ac:dyDescent="0.2">
      <c r="F8556"/>
    </row>
    <row r="8557" spans="6:6" x14ac:dyDescent="0.2">
      <c r="F8557"/>
    </row>
    <row r="8558" spans="6:6" x14ac:dyDescent="0.2">
      <c r="F8558"/>
    </row>
    <row r="8559" spans="6:6" x14ac:dyDescent="0.2">
      <c r="F8559"/>
    </row>
    <row r="8560" spans="6:6" x14ac:dyDescent="0.2">
      <c r="F8560"/>
    </row>
    <row r="8561" spans="6:6" x14ac:dyDescent="0.2">
      <c r="F8561"/>
    </row>
    <row r="8562" spans="6:6" x14ac:dyDescent="0.2">
      <c r="F8562"/>
    </row>
    <row r="8563" spans="6:6" x14ac:dyDescent="0.2">
      <c r="F8563"/>
    </row>
    <row r="8564" spans="6:6" x14ac:dyDescent="0.2">
      <c r="F8564"/>
    </row>
    <row r="8565" spans="6:6" x14ac:dyDescent="0.2">
      <c r="F8565"/>
    </row>
    <row r="8566" spans="6:6" x14ac:dyDescent="0.2">
      <c r="F8566"/>
    </row>
    <row r="8567" spans="6:6" x14ac:dyDescent="0.2">
      <c r="F8567"/>
    </row>
    <row r="8568" spans="6:6" x14ac:dyDescent="0.2">
      <c r="F8568"/>
    </row>
    <row r="8569" spans="6:6" x14ac:dyDescent="0.2">
      <c r="F8569"/>
    </row>
    <row r="8570" spans="6:6" x14ac:dyDescent="0.2">
      <c r="F8570"/>
    </row>
    <row r="8571" spans="6:6" x14ac:dyDescent="0.2">
      <c r="F8571"/>
    </row>
    <row r="8572" spans="6:6" x14ac:dyDescent="0.2">
      <c r="F8572"/>
    </row>
    <row r="8573" spans="6:6" x14ac:dyDescent="0.2">
      <c r="F8573"/>
    </row>
    <row r="8574" spans="6:6" x14ac:dyDescent="0.2">
      <c r="F8574"/>
    </row>
    <row r="8575" spans="6:6" x14ac:dyDescent="0.2">
      <c r="F8575"/>
    </row>
    <row r="8576" spans="6:6" x14ac:dyDescent="0.2">
      <c r="F8576"/>
    </row>
    <row r="8577" spans="6:6" x14ac:dyDescent="0.2">
      <c r="F8577"/>
    </row>
    <row r="8578" spans="6:6" x14ac:dyDescent="0.2">
      <c r="F8578"/>
    </row>
    <row r="8579" spans="6:6" x14ac:dyDescent="0.2">
      <c r="F8579"/>
    </row>
    <row r="8580" spans="6:6" x14ac:dyDescent="0.2">
      <c r="F8580"/>
    </row>
    <row r="8581" spans="6:6" x14ac:dyDescent="0.2">
      <c r="F8581"/>
    </row>
    <row r="8582" spans="6:6" x14ac:dyDescent="0.2">
      <c r="F8582"/>
    </row>
    <row r="8583" spans="6:6" x14ac:dyDescent="0.2">
      <c r="F8583"/>
    </row>
    <row r="8584" spans="6:6" x14ac:dyDescent="0.2">
      <c r="F8584"/>
    </row>
    <row r="8585" spans="6:6" x14ac:dyDescent="0.2">
      <c r="F8585"/>
    </row>
    <row r="8586" spans="6:6" x14ac:dyDescent="0.2">
      <c r="F8586"/>
    </row>
    <row r="8587" spans="6:6" x14ac:dyDescent="0.2">
      <c r="F8587"/>
    </row>
    <row r="8588" spans="6:6" x14ac:dyDescent="0.2">
      <c r="F8588"/>
    </row>
    <row r="8589" spans="6:6" x14ac:dyDescent="0.2">
      <c r="F8589"/>
    </row>
    <row r="8590" spans="6:6" x14ac:dyDescent="0.2">
      <c r="F8590"/>
    </row>
    <row r="8591" spans="6:6" x14ac:dyDescent="0.2">
      <c r="F8591"/>
    </row>
    <row r="8592" spans="6:6" x14ac:dyDescent="0.2">
      <c r="F8592"/>
    </row>
    <row r="8593" spans="6:6" x14ac:dyDescent="0.2">
      <c r="F8593"/>
    </row>
    <row r="8594" spans="6:6" x14ac:dyDescent="0.2">
      <c r="F8594"/>
    </row>
    <row r="8595" spans="6:6" x14ac:dyDescent="0.2">
      <c r="F8595"/>
    </row>
    <row r="8596" spans="6:6" x14ac:dyDescent="0.2">
      <c r="F8596"/>
    </row>
    <row r="8597" spans="6:6" x14ac:dyDescent="0.2">
      <c r="F8597"/>
    </row>
    <row r="8598" spans="6:6" x14ac:dyDescent="0.2">
      <c r="F8598"/>
    </row>
    <row r="8599" spans="6:6" x14ac:dyDescent="0.2">
      <c r="F8599"/>
    </row>
    <row r="8600" spans="6:6" x14ac:dyDescent="0.2">
      <c r="F8600"/>
    </row>
    <row r="8601" spans="6:6" x14ac:dyDescent="0.2">
      <c r="F8601"/>
    </row>
    <row r="8602" spans="6:6" x14ac:dyDescent="0.2">
      <c r="F8602"/>
    </row>
    <row r="8603" spans="6:6" x14ac:dyDescent="0.2">
      <c r="F8603"/>
    </row>
    <row r="8604" spans="6:6" x14ac:dyDescent="0.2">
      <c r="F8604"/>
    </row>
    <row r="8605" spans="6:6" x14ac:dyDescent="0.2">
      <c r="F8605"/>
    </row>
    <row r="8606" spans="6:6" x14ac:dyDescent="0.2">
      <c r="F8606"/>
    </row>
    <row r="8607" spans="6:6" x14ac:dyDescent="0.2">
      <c r="F8607"/>
    </row>
    <row r="8608" spans="6:6" x14ac:dyDescent="0.2">
      <c r="F8608"/>
    </row>
    <row r="8609" spans="6:6" x14ac:dyDescent="0.2">
      <c r="F8609"/>
    </row>
    <row r="8610" spans="6:6" x14ac:dyDescent="0.2">
      <c r="F8610"/>
    </row>
    <row r="8611" spans="6:6" x14ac:dyDescent="0.2">
      <c r="F8611"/>
    </row>
    <row r="8612" spans="6:6" x14ac:dyDescent="0.2">
      <c r="F8612"/>
    </row>
    <row r="8613" spans="6:6" x14ac:dyDescent="0.2">
      <c r="F8613"/>
    </row>
    <row r="8614" spans="6:6" x14ac:dyDescent="0.2">
      <c r="F8614"/>
    </row>
    <row r="8615" spans="6:6" x14ac:dyDescent="0.2">
      <c r="F8615"/>
    </row>
    <row r="8616" spans="6:6" x14ac:dyDescent="0.2">
      <c r="F8616"/>
    </row>
    <row r="8617" spans="6:6" x14ac:dyDescent="0.2">
      <c r="F8617"/>
    </row>
    <row r="8618" spans="6:6" x14ac:dyDescent="0.2">
      <c r="F8618"/>
    </row>
    <row r="8619" spans="6:6" x14ac:dyDescent="0.2">
      <c r="F8619"/>
    </row>
    <row r="8620" spans="6:6" x14ac:dyDescent="0.2">
      <c r="F8620"/>
    </row>
    <row r="8621" spans="6:6" x14ac:dyDescent="0.2">
      <c r="F8621"/>
    </row>
    <row r="8622" spans="6:6" x14ac:dyDescent="0.2">
      <c r="F8622"/>
    </row>
    <row r="8623" spans="6:6" x14ac:dyDescent="0.2">
      <c r="F8623"/>
    </row>
    <row r="8624" spans="6:6" x14ac:dyDescent="0.2">
      <c r="F8624"/>
    </row>
    <row r="8625" spans="6:6" x14ac:dyDescent="0.2">
      <c r="F8625"/>
    </row>
    <row r="8626" spans="6:6" x14ac:dyDescent="0.2">
      <c r="F8626"/>
    </row>
    <row r="8627" spans="6:6" x14ac:dyDescent="0.2">
      <c r="F8627"/>
    </row>
    <row r="8628" spans="6:6" x14ac:dyDescent="0.2">
      <c r="F8628"/>
    </row>
    <row r="8629" spans="6:6" x14ac:dyDescent="0.2">
      <c r="F8629"/>
    </row>
    <row r="8630" spans="6:6" x14ac:dyDescent="0.2">
      <c r="F8630"/>
    </row>
    <row r="8631" spans="6:6" x14ac:dyDescent="0.2">
      <c r="F8631"/>
    </row>
    <row r="8632" spans="6:6" x14ac:dyDescent="0.2">
      <c r="F8632"/>
    </row>
    <row r="8633" spans="6:6" x14ac:dyDescent="0.2">
      <c r="F8633"/>
    </row>
    <row r="8634" spans="6:6" x14ac:dyDescent="0.2">
      <c r="F8634"/>
    </row>
    <row r="8635" spans="6:6" x14ac:dyDescent="0.2">
      <c r="F8635"/>
    </row>
    <row r="8636" spans="6:6" x14ac:dyDescent="0.2">
      <c r="F8636"/>
    </row>
    <row r="8637" spans="6:6" x14ac:dyDescent="0.2">
      <c r="F8637"/>
    </row>
    <row r="8638" spans="6:6" x14ac:dyDescent="0.2">
      <c r="F8638"/>
    </row>
    <row r="8639" spans="6:6" x14ac:dyDescent="0.2">
      <c r="F8639"/>
    </row>
    <row r="8640" spans="6:6" x14ac:dyDescent="0.2">
      <c r="F8640"/>
    </row>
    <row r="8641" spans="6:6" x14ac:dyDescent="0.2">
      <c r="F8641"/>
    </row>
    <row r="8642" spans="6:6" x14ac:dyDescent="0.2">
      <c r="F8642"/>
    </row>
    <row r="8643" spans="6:6" x14ac:dyDescent="0.2">
      <c r="F8643"/>
    </row>
    <row r="8644" spans="6:6" x14ac:dyDescent="0.2">
      <c r="F8644"/>
    </row>
    <row r="8645" spans="6:6" x14ac:dyDescent="0.2">
      <c r="F8645"/>
    </row>
    <row r="8646" spans="6:6" x14ac:dyDescent="0.2">
      <c r="F8646"/>
    </row>
    <row r="8647" spans="6:6" x14ac:dyDescent="0.2">
      <c r="F8647"/>
    </row>
    <row r="8648" spans="6:6" x14ac:dyDescent="0.2">
      <c r="F8648"/>
    </row>
    <row r="8649" spans="6:6" x14ac:dyDescent="0.2">
      <c r="F8649"/>
    </row>
    <row r="8650" spans="6:6" x14ac:dyDescent="0.2">
      <c r="F8650"/>
    </row>
    <row r="8651" spans="6:6" x14ac:dyDescent="0.2">
      <c r="F8651"/>
    </row>
    <row r="8652" spans="6:6" x14ac:dyDescent="0.2">
      <c r="F8652"/>
    </row>
    <row r="8653" spans="6:6" x14ac:dyDescent="0.2">
      <c r="F8653"/>
    </row>
    <row r="8654" spans="6:6" x14ac:dyDescent="0.2">
      <c r="F8654"/>
    </row>
    <row r="8655" spans="6:6" x14ac:dyDescent="0.2">
      <c r="F8655"/>
    </row>
    <row r="8656" spans="6:6" x14ac:dyDescent="0.2">
      <c r="F8656"/>
    </row>
    <row r="8657" spans="6:6" x14ac:dyDescent="0.2">
      <c r="F8657"/>
    </row>
    <row r="8658" spans="6:6" x14ac:dyDescent="0.2">
      <c r="F8658"/>
    </row>
    <row r="8659" spans="6:6" x14ac:dyDescent="0.2">
      <c r="F8659"/>
    </row>
    <row r="8660" spans="6:6" x14ac:dyDescent="0.2">
      <c r="F8660"/>
    </row>
    <row r="8661" spans="6:6" x14ac:dyDescent="0.2">
      <c r="F8661"/>
    </row>
    <row r="8662" spans="6:6" x14ac:dyDescent="0.2">
      <c r="F8662"/>
    </row>
    <row r="8663" spans="6:6" x14ac:dyDescent="0.2">
      <c r="F8663"/>
    </row>
    <row r="8664" spans="6:6" x14ac:dyDescent="0.2">
      <c r="F8664"/>
    </row>
    <row r="8665" spans="6:6" x14ac:dyDescent="0.2">
      <c r="F8665"/>
    </row>
    <row r="8666" spans="6:6" x14ac:dyDescent="0.2">
      <c r="F8666"/>
    </row>
    <row r="8667" spans="6:6" x14ac:dyDescent="0.2">
      <c r="F8667"/>
    </row>
    <row r="8668" spans="6:6" x14ac:dyDescent="0.2">
      <c r="F8668"/>
    </row>
    <row r="8669" spans="6:6" x14ac:dyDescent="0.2">
      <c r="F8669"/>
    </row>
    <row r="8670" spans="6:6" x14ac:dyDescent="0.2">
      <c r="F8670"/>
    </row>
    <row r="8671" spans="6:6" x14ac:dyDescent="0.2">
      <c r="F8671"/>
    </row>
    <row r="8672" spans="6:6" x14ac:dyDescent="0.2">
      <c r="F8672"/>
    </row>
    <row r="8673" spans="6:6" x14ac:dyDescent="0.2">
      <c r="F8673"/>
    </row>
    <row r="8674" spans="6:6" x14ac:dyDescent="0.2">
      <c r="F8674"/>
    </row>
    <row r="8675" spans="6:6" x14ac:dyDescent="0.2">
      <c r="F8675"/>
    </row>
    <row r="8676" spans="6:6" x14ac:dyDescent="0.2">
      <c r="F8676"/>
    </row>
    <row r="8677" spans="6:6" x14ac:dyDescent="0.2">
      <c r="F8677"/>
    </row>
    <row r="8678" spans="6:6" x14ac:dyDescent="0.2">
      <c r="F8678"/>
    </row>
    <row r="8679" spans="6:6" x14ac:dyDescent="0.2">
      <c r="F8679"/>
    </row>
    <row r="8680" spans="6:6" x14ac:dyDescent="0.2">
      <c r="F8680"/>
    </row>
    <row r="8681" spans="6:6" x14ac:dyDescent="0.2">
      <c r="F8681"/>
    </row>
    <row r="8682" spans="6:6" x14ac:dyDescent="0.2">
      <c r="F8682"/>
    </row>
    <row r="8683" spans="6:6" x14ac:dyDescent="0.2">
      <c r="F8683"/>
    </row>
    <row r="8684" spans="6:6" x14ac:dyDescent="0.2">
      <c r="F8684"/>
    </row>
    <row r="8685" spans="6:6" x14ac:dyDescent="0.2">
      <c r="F8685"/>
    </row>
    <row r="8686" spans="6:6" x14ac:dyDescent="0.2">
      <c r="F8686"/>
    </row>
    <row r="8687" spans="6:6" x14ac:dyDescent="0.2">
      <c r="F8687"/>
    </row>
    <row r="8688" spans="6:6" x14ac:dyDescent="0.2">
      <c r="F8688"/>
    </row>
    <row r="8689" spans="6:6" x14ac:dyDescent="0.2">
      <c r="F8689"/>
    </row>
    <row r="8690" spans="6:6" x14ac:dyDescent="0.2">
      <c r="F8690"/>
    </row>
    <row r="8691" spans="6:6" x14ac:dyDescent="0.2">
      <c r="F8691"/>
    </row>
    <row r="8692" spans="6:6" x14ac:dyDescent="0.2">
      <c r="F8692"/>
    </row>
    <row r="8693" spans="6:6" x14ac:dyDescent="0.2">
      <c r="F8693"/>
    </row>
    <row r="8694" spans="6:6" x14ac:dyDescent="0.2">
      <c r="F8694"/>
    </row>
    <row r="8695" spans="6:6" x14ac:dyDescent="0.2">
      <c r="F8695"/>
    </row>
    <row r="8696" spans="6:6" x14ac:dyDescent="0.2">
      <c r="F8696"/>
    </row>
    <row r="8697" spans="6:6" x14ac:dyDescent="0.2">
      <c r="F8697"/>
    </row>
    <row r="8698" spans="6:6" x14ac:dyDescent="0.2">
      <c r="F8698"/>
    </row>
    <row r="8699" spans="6:6" x14ac:dyDescent="0.2">
      <c r="F8699"/>
    </row>
    <row r="8700" spans="6:6" x14ac:dyDescent="0.2">
      <c r="F8700"/>
    </row>
    <row r="8701" spans="6:6" x14ac:dyDescent="0.2">
      <c r="F8701"/>
    </row>
    <row r="8702" spans="6:6" x14ac:dyDescent="0.2">
      <c r="F8702"/>
    </row>
    <row r="8703" spans="6:6" x14ac:dyDescent="0.2">
      <c r="F8703"/>
    </row>
    <row r="8704" spans="6:6" x14ac:dyDescent="0.2">
      <c r="F8704"/>
    </row>
    <row r="8705" spans="6:6" x14ac:dyDescent="0.2">
      <c r="F8705"/>
    </row>
    <row r="8706" spans="6:6" x14ac:dyDescent="0.2">
      <c r="F8706"/>
    </row>
    <row r="8707" spans="6:6" x14ac:dyDescent="0.2">
      <c r="F8707"/>
    </row>
    <row r="8708" spans="6:6" x14ac:dyDescent="0.2">
      <c r="F8708"/>
    </row>
    <row r="8709" spans="6:6" x14ac:dyDescent="0.2">
      <c r="F8709"/>
    </row>
    <row r="8710" spans="6:6" x14ac:dyDescent="0.2">
      <c r="F8710"/>
    </row>
    <row r="8711" spans="6:6" x14ac:dyDescent="0.2">
      <c r="F8711"/>
    </row>
    <row r="8712" spans="6:6" x14ac:dyDescent="0.2">
      <c r="F8712"/>
    </row>
    <row r="8713" spans="6:6" x14ac:dyDescent="0.2">
      <c r="F8713"/>
    </row>
    <row r="8714" spans="6:6" x14ac:dyDescent="0.2">
      <c r="F8714"/>
    </row>
    <row r="8715" spans="6:6" x14ac:dyDescent="0.2">
      <c r="F8715"/>
    </row>
    <row r="8716" spans="6:6" x14ac:dyDescent="0.2">
      <c r="F8716"/>
    </row>
    <row r="8717" spans="6:6" x14ac:dyDescent="0.2">
      <c r="F8717"/>
    </row>
    <row r="8718" spans="6:6" x14ac:dyDescent="0.2">
      <c r="F8718"/>
    </row>
    <row r="8719" spans="6:6" x14ac:dyDescent="0.2">
      <c r="F8719"/>
    </row>
    <row r="8720" spans="6:6" x14ac:dyDescent="0.2">
      <c r="F8720"/>
    </row>
    <row r="8721" spans="6:6" x14ac:dyDescent="0.2">
      <c r="F8721"/>
    </row>
    <row r="8722" spans="6:6" x14ac:dyDescent="0.2">
      <c r="F8722"/>
    </row>
    <row r="8723" spans="6:6" x14ac:dyDescent="0.2">
      <c r="F8723"/>
    </row>
    <row r="8724" spans="6:6" x14ac:dyDescent="0.2">
      <c r="F8724"/>
    </row>
    <row r="8725" spans="6:6" x14ac:dyDescent="0.2">
      <c r="F8725"/>
    </row>
    <row r="8726" spans="6:6" x14ac:dyDescent="0.2">
      <c r="F8726"/>
    </row>
    <row r="8727" spans="6:6" x14ac:dyDescent="0.2">
      <c r="F8727"/>
    </row>
    <row r="8728" spans="6:6" x14ac:dyDescent="0.2">
      <c r="F8728"/>
    </row>
    <row r="8729" spans="6:6" x14ac:dyDescent="0.2">
      <c r="F8729"/>
    </row>
    <row r="8730" spans="6:6" x14ac:dyDescent="0.2">
      <c r="F8730"/>
    </row>
    <row r="8731" spans="6:6" x14ac:dyDescent="0.2">
      <c r="F8731"/>
    </row>
    <row r="8732" spans="6:6" x14ac:dyDescent="0.2">
      <c r="F8732"/>
    </row>
    <row r="8733" spans="6:6" x14ac:dyDescent="0.2">
      <c r="F8733"/>
    </row>
    <row r="8734" spans="6:6" x14ac:dyDescent="0.2">
      <c r="F8734"/>
    </row>
    <row r="8735" spans="6:6" x14ac:dyDescent="0.2">
      <c r="F8735"/>
    </row>
    <row r="8736" spans="6:6" x14ac:dyDescent="0.2">
      <c r="F8736"/>
    </row>
    <row r="8737" spans="6:6" x14ac:dyDescent="0.2">
      <c r="F8737"/>
    </row>
    <row r="8738" spans="6:6" x14ac:dyDescent="0.2">
      <c r="F8738"/>
    </row>
    <row r="8739" spans="6:6" x14ac:dyDescent="0.2">
      <c r="F8739"/>
    </row>
    <row r="8740" spans="6:6" x14ac:dyDescent="0.2">
      <c r="F8740"/>
    </row>
    <row r="8741" spans="6:6" x14ac:dyDescent="0.2">
      <c r="F8741"/>
    </row>
    <row r="8742" spans="6:6" x14ac:dyDescent="0.2">
      <c r="F8742"/>
    </row>
    <row r="8743" spans="6:6" x14ac:dyDescent="0.2">
      <c r="F8743"/>
    </row>
    <row r="8744" spans="6:6" x14ac:dyDescent="0.2">
      <c r="F8744"/>
    </row>
    <row r="8745" spans="6:6" x14ac:dyDescent="0.2">
      <c r="F8745"/>
    </row>
    <row r="8746" spans="6:6" x14ac:dyDescent="0.2">
      <c r="F8746"/>
    </row>
    <row r="8747" spans="6:6" x14ac:dyDescent="0.2">
      <c r="F8747"/>
    </row>
    <row r="8748" spans="6:6" x14ac:dyDescent="0.2">
      <c r="F8748"/>
    </row>
    <row r="8749" spans="6:6" x14ac:dyDescent="0.2">
      <c r="F8749"/>
    </row>
    <row r="8750" spans="6:6" x14ac:dyDescent="0.2">
      <c r="F8750"/>
    </row>
    <row r="8751" spans="6:6" x14ac:dyDescent="0.2">
      <c r="F8751"/>
    </row>
    <row r="8752" spans="6:6" x14ac:dyDescent="0.2">
      <c r="F8752"/>
    </row>
    <row r="8753" spans="6:6" x14ac:dyDescent="0.2">
      <c r="F8753"/>
    </row>
    <row r="8754" spans="6:6" x14ac:dyDescent="0.2">
      <c r="F8754"/>
    </row>
    <row r="8755" spans="6:6" x14ac:dyDescent="0.2">
      <c r="F8755"/>
    </row>
    <row r="8756" spans="6:6" x14ac:dyDescent="0.2">
      <c r="F8756"/>
    </row>
    <row r="8757" spans="6:6" x14ac:dyDescent="0.2">
      <c r="F8757"/>
    </row>
    <row r="8758" spans="6:6" x14ac:dyDescent="0.2">
      <c r="F8758"/>
    </row>
    <row r="8759" spans="6:6" x14ac:dyDescent="0.2">
      <c r="F8759"/>
    </row>
    <row r="8760" spans="6:6" x14ac:dyDescent="0.2">
      <c r="F8760"/>
    </row>
    <row r="8761" spans="6:6" x14ac:dyDescent="0.2">
      <c r="F8761"/>
    </row>
    <row r="8762" spans="6:6" x14ac:dyDescent="0.2">
      <c r="F8762"/>
    </row>
    <row r="8763" spans="6:6" x14ac:dyDescent="0.2">
      <c r="F8763"/>
    </row>
    <row r="8764" spans="6:6" x14ac:dyDescent="0.2">
      <c r="F8764"/>
    </row>
    <row r="8765" spans="6:6" x14ac:dyDescent="0.2">
      <c r="F8765"/>
    </row>
    <row r="8766" spans="6:6" x14ac:dyDescent="0.2">
      <c r="F8766"/>
    </row>
    <row r="8767" spans="6:6" x14ac:dyDescent="0.2">
      <c r="F8767"/>
    </row>
    <row r="8768" spans="6:6" x14ac:dyDescent="0.2">
      <c r="F8768"/>
    </row>
    <row r="8769" spans="6:6" x14ac:dyDescent="0.2">
      <c r="F8769"/>
    </row>
    <row r="8770" spans="6:6" x14ac:dyDescent="0.2">
      <c r="F8770"/>
    </row>
    <row r="8771" spans="6:6" x14ac:dyDescent="0.2">
      <c r="F8771"/>
    </row>
    <row r="8772" spans="6:6" x14ac:dyDescent="0.2">
      <c r="F8772"/>
    </row>
    <row r="8773" spans="6:6" x14ac:dyDescent="0.2">
      <c r="F8773"/>
    </row>
    <row r="8774" spans="6:6" x14ac:dyDescent="0.2">
      <c r="F8774"/>
    </row>
    <row r="8775" spans="6:6" x14ac:dyDescent="0.2">
      <c r="F8775"/>
    </row>
    <row r="8776" spans="6:6" x14ac:dyDescent="0.2">
      <c r="F8776"/>
    </row>
    <row r="8777" spans="6:6" x14ac:dyDescent="0.2">
      <c r="F8777"/>
    </row>
    <row r="8778" spans="6:6" x14ac:dyDescent="0.2">
      <c r="F8778"/>
    </row>
    <row r="8779" spans="6:6" x14ac:dyDescent="0.2">
      <c r="F8779"/>
    </row>
    <row r="8780" spans="6:6" x14ac:dyDescent="0.2">
      <c r="F8780"/>
    </row>
    <row r="8781" spans="6:6" x14ac:dyDescent="0.2">
      <c r="F8781"/>
    </row>
    <row r="8782" spans="6:6" x14ac:dyDescent="0.2">
      <c r="F8782"/>
    </row>
    <row r="8783" spans="6:6" x14ac:dyDescent="0.2">
      <c r="F8783"/>
    </row>
    <row r="8784" spans="6:6" x14ac:dyDescent="0.2">
      <c r="F8784"/>
    </row>
    <row r="8785" spans="6:6" x14ac:dyDescent="0.2">
      <c r="F8785"/>
    </row>
    <row r="8786" spans="6:6" x14ac:dyDescent="0.2">
      <c r="F8786"/>
    </row>
    <row r="8787" spans="6:6" x14ac:dyDescent="0.2">
      <c r="F8787"/>
    </row>
    <row r="8788" spans="6:6" x14ac:dyDescent="0.2">
      <c r="F8788"/>
    </row>
    <row r="8789" spans="6:6" x14ac:dyDescent="0.2">
      <c r="F8789"/>
    </row>
    <row r="8790" spans="6:6" x14ac:dyDescent="0.2">
      <c r="F8790"/>
    </row>
    <row r="8791" spans="6:6" x14ac:dyDescent="0.2">
      <c r="F8791"/>
    </row>
    <row r="8792" spans="6:6" x14ac:dyDescent="0.2">
      <c r="F8792"/>
    </row>
    <row r="8793" spans="6:6" x14ac:dyDescent="0.2">
      <c r="F8793"/>
    </row>
    <row r="8794" spans="6:6" x14ac:dyDescent="0.2">
      <c r="F8794"/>
    </row>
    <row r="8795" spans="6:6" x14ac:dyDescent="0.2">
      <c r="F8795"/>
    </row>
    <row r="8796" spans="6:6" x14ac:dyDescent="0.2">
      <c r="F8796"/>
    </row>
    <row r="8797" spans="6:6" x14ac:dyDescent="0.2">
      <c r="F8797"/>
    </row>
    <row r="8798" spans="6:6" x14ac:dyDescent="0.2">
      <c r="F8798"/>
    </row>
    <row r="8799" spans="6:6" x14ac:dyDescent="0.2">
      <c r="F8799"/>
    </row>
    <row r="8800" spans="6:6" x14ac:dyDescent="0.2">
      <c r="F8800"/>
    </row>
    <row r="8801" spans="6:6" x14ac:dyDescent="0.2">
      <c r="F8801"/>
    </row>
    <row r="8802" spans="6:6" x14ac:dyDescent="0.2">
      <c r="F8802"/>
    </row>
    <row r="8803" spans="6:6" x14ac:dyDescent="0.2">
      <c r="F8803"/>
    </row>
    <row r="8804" spans="6:6" x14ac:dyDescent="0.2">
      <c r="F8804"/>
    </row>
    <row r="8805" spans="6:6" x14ac:dyDescent="0.2">
      <c r="F8805"/>
    </row>
    <row r="8806" spans="6:6" x14ac:dyDescent="0.2">
      <c r="F8806"/>
    </row>
    <row r="8807" spans="6:6" x14ac:dyDescent="0.2">
      <c r="F8807"/>
    </row>
    <row r="8808" spans="6:6" x14ac:dyDescent="0.2">
      <c r="F8808"/>
    </row>
    <row r="8809" spans="6:6" x14ac:dyDescent="0.2">
      <c r="F8809"/>
    </row>
    <row r="8810" spans="6:6" x14ac:dyDescent="0.2">
      <c r="F8810"/>
    </row>
    <row r="8811" spans="6:6" x14ac:dyDescent="0.2">
      <c r="F8811"/>
    </row>
    <row r="8812" spans="6:6" x14ac:dyDescent="0.2">
      <c r="F8812"/>
    </row>
    <row r="8813" spans="6:6" x14ac:dyDescent="0.2">
      <c r="F8813"/>
    </row>
    <row r="8814" spans="6:6" x14ac:dyDescent="0.2">
      <c r="F8814"/>
    </row>
    <row r="8815" spans="6:6" x14ac:dyDescent="0.2">
      <c r="F8815"/>
    </row>
    <row r="8816" spans="6:6" x14ac:dyDescent="0.2">
      <c r="F8816"/>
    </row>
    <row r="8817" spans="6:6" x14ac:dyDescent="0.2">
      <c r="F8817"/>
    </row>
    <row r="8818" spans="6:6" x14ac:dyDescent="0.2">
      <c r="F8818"/>
    </row>
    <row r="8819" spans="6:6" x14ac:dyDescent="0.2">
      <c r="F8819"/>
    </row>
    <row r="8820" spans="6:6" x14ac:dyDescent="0.2">
      <c r="F8820"/>
    </row>
    <row r="8821" spans="6:6" x14ac:dyDescent="0.2">
      <c r="F8821"/>
    </row>
    <row r="8822" spans="6:6" x14ac:dyDescent="0.2">
      <c r="F8822"/>
    </row>
    <row r="8823" spans="6:6" x14ac:dyDescent="0.2">
      <c r="F8823"/>
    </row>
    <row r="8824" spans="6:6" x14ac:dyDescent="0.2">
      <c r="F8824"/>
    </row>
    <row r="8825" spans="6:6" x14ac:dyDescent="0.2">
      <c r="F8825"/>
    </row>
    <row r="8826" spans="6:6" x14ac:dyDescent="0.2">
      <c r="F8826"/>
    </row>
    <row r="8827" spans="6:6" x14ac:dyDescent="0.2">
      <c r="F8827"/>
    </row>
    <row r="8828" spans="6:6" x14ac:dyDescent="0.2">
      <c r="F8828"/>
    </row>
    <row r="8829" spans="6:6" x14ac:dyDescent="0.2">
      <c r="F8829"/>
    </row>
    <row r="8830" spans="6:6" x14ac:dyDescent="0.2">
      <c r="F8830"/>
    </row>
    <row r="8831" spans="6:6" x14ac:dyDescent="0.2">
      <c r="F8831"/>
    </row>
    <row r="8832" spans="6:6" x14ac:dyDescent="0.2">
      <c r="F8832"/>
    </row>
    <row r="8833" spans="6:6" x14ac:dyDescent="0.2">
      <c r="F8833"/>
    </row>
    <row r="8834" spans="6:6" x14ac:dyDescent="0.2">
      <c r="F8834"/>
    </row>
    <row r="8835" spans="6:6" x14ac:dyDescent="0.2">
      <c r="F8835"/>
    </row>
    <row r="8836" spans="6:6" x14ac:dyDescent="0.2">
      <c r="F8836"/>
    </row>
    <row r="8837" spans="6:6" x14ac:dyDescent="0.2">
      <c r="F8837"/>
    </row>
    <row r="8838" spans="6:6" x14ac:dyDescent="0.2">
      <c r="F8838"/>
    </row>
    <row r="8839" spans="6:6" x14ac:dyDescent="0.2">
      <c r="F8839"/>
    </row>
    <row r="8840" spans="6:6" x14ac:dyDescent="0.2">
      <c r="F8840"/>
    </row>
    <row r="8841" spans="6:6" x14ac:dyDescent="0.2">
      <c r="F8841"/>
    </row>
    <row r="8842" spans="6:6" x14ac:dyDescent="0.2">
      <c r="F8842"/>
    </row>
    <row r="8843" spans="6:6" x14ac:dyDescent="0.2">
      <c r="F8843"/>
    </row>
    <row r="8844" spans="6:6" x14ac:dyDescent="0.2">
      <c r="F8844"/>
    </row>
    <row r="8845" spans="6:6" x14ac:dyDescent="0.2">
      <c r="F8845"/>
    </row>
    <row r="8846" spans="6:6" x14ac:dyDescent="0.2">
      <c r="F8846"/>
    </row>
    <row r="8847" spans="6:6" x14ac:dyDescent="0.2">
      <c r="F8847"/>
    </row>
    <row r="8848" spans="6:6" x14ac:dyDescent="0.2">
      <c r="F8848"/>
    </row>
    <row r="8849" spans="6:6" x14ac:dyDescent="0.2">
      <c r="F8849"/>
    </row>
    <row r="8850" spans="6:6" x14ac:dyDescent="0.2">
      <c r="F8850"/>
    </row>
    <row r="8851" spans="6:6" x14ac:dyDescent="0.2">
      <c r="F8851"/>
    </row>
    <row r="8852" spans="6:6" x14ac:dyDescent="0.2">
      <c r="F8852"/>
    </row>
    <row r="8853" spans="6:6" x14ac:dyDescent="0.2">
      <c r="F8853"/>
    </row>
    <row r="8854" spans="6:6" x14ac:dyDescent="0.2">
      <c r="F8854"/>
    </row>
    <row r="8855" spans="6:6" x14ac:dyDescent="0.2">
      <c r="F8855"/>
    </row>
    <row r="8856" spans="6:6" x14ac:dyDescent="0.2">
      <c r="F8856"/>
    </row>
    <row r="8857" spans="6:6" x14ac:dyDescent="0.2">
      <c r="F8857"/>
    </row>
    <row r="8858" spans="6:6" x14ac:dyDescent="0.2">
      <c r="F8858"/>
    </row>
    <row r="8859" spans="6:6" x14ac:dyDescent="0.2">
      <c r="F8859"/>
    </row>
    <row r="8860" spans="6:6" x14ac:dyDescent="0.2">
      <c r="F8860"/>
    </row>
    <row r="8861" spans="6:6" x14ac:dyDescent="0.2">
      <c r="F8861"/>
    </row>
    <row r="8862" spans="6:6" x14ac:dyDescent="0.2">
      <c r="F8862"/>
    </row>
    <row r="8863" spans="6:6" x14ac:dyDescent="0.2">
      <c r="F8863"/>
    </row>
    <row r="8864" spans="6:6" x14ac:dyDescent="0.2">
      <c r="F8864"/>
    </row>
    <row r="8865" spans="6:6" x14ac:dyDescent="0.2">
      <c r="F8865"/>
    </row>
    <row r="8866" spans="6:6" x14ac:dyDescent="0.2">
      <c r="F8866"/>
    </row>
    <row r="8867" spans="6:6" x14ac:dyDescent="0.2">
      <c r="F8867"/>
    </row>
    <row r="8868" spans="6:6" x14ac:dyDescent="0.2">
      <c r="F8868"/>
    </row>
    <row r="8869" spans="6:6" x14ac:dyDescent="0.2">
      <c r="F8869"/>
    </row>
    <row r="8870" spans="6:6" x14ac:dyDescent="0.2">
      <c r="F8870"/>
    </row>
    <row r="8871" spans="6:6" x14ac:dyDescent="0.2">
      <c r="F8871"/>
    </row>
    <row r="8872" spans="6:6" x14ac:dyDescent="0.2">
      <c r="F8872"/>
    </row>
    <row r="8873" spans="6:6" x14ac:dyDescent="0.2">
      <c r="F8873"/>
    </row>
    <row r="8874" spans="6:6" x14ac:dyDescent="0.2">
      <c r="F8874"/>
    </row>
    <row r="8875" spans="6:6" x14ac:dyDescent="0.2">
      <c r="F8875"/>
    </row>
    <row r="8876" spans="6:6" x14ac:dyDescent="0.2">
      <c r="F8876"/>
    </row>
    <row r="8877" spans="6:6" x14ac:dyDescent="0.2">
      <c r="F8877"/>
    </row>
    <row r="8878" spans="6:6" x14ac:dyDescent="0.2">
      <c r="F8878"/>
    </row>
    <row r="8879" spans="6:6" x14ac:dyDescent="0.2">
      <c r="F8879"/>
    </row>
    <row r="8880" spans="6:6" x14ac:dyDescent="0.2">
      <c r="F8880"/>
    </row>
    <row r="8881" spans="6:6" x14ac:dyDescent="0.2">
      <c r="F8881"/>
    </row>
    <row r="8882" spans="6:6" x14ac:dyDescent="0.2">
      <c r="F8882"/>
    </row>
    <row r="8883" spans="6:6" x14ac:dyDescent="0.2">
      <c r="F8883"/>
    </row>
    <row r="8884" spans="6:6" x14ac:dyDescent="0.2">
      <c r="F8884"/>
    </row>
    <row r="8885" spans="6:6" x14ac:dyDescent="0.2">
      <c r="F8885"/>
    </row>
    <row r="8886" spans="6:6" x14ac:dyDescent="0.2">
      <c r="F8886"/>
    </row>
    <row r="8887" spans="6:6" x14ac:dyDescent="0.2">
      <c r="F8887"/>
    </row>
    <row r="8888" spans="6:6" x14ac:dyDescent="0.2">
      <c r="F8888"/>
    </row>
    <row r="8889" spans="6:6" x14ac:dyDescent="0.2">
      <c r="F8889"/>
    </row>
    <row r="8890" spans="6:6" x14ac:dyDescent="0.2">
      <c r="F8890"/>
    </row>
    <row r="8891" spans="6:6" x14ac:dyDescent="0.2">
      <c r="F8891"/>
    </row>
    <row r="8892" spans="6:6" x14ac:dyDescent="0.2">
      <c r="F8892"/>
    </row>
    <row r="8893" spans="6:6" x14ac:dyDescent="0.2">
      <c r="F8893"/>
    </row>
    <row r="8894" spans="6:6" x14ac:dyDescent="0.2">
      <c r="F8894"/>
    </row>
    <row r="8895" spans="6:6" x14ac:dyDescent="0.2">
      <c r="F8895"/>
    </row>
    <row r="8896" spans="6:6" x14ac:dyDescent="0.2">
      <c r="F8896"/>
    </row>
    <row r="8897" spans="6:6" x14ac:dyDescent="0.2">
      <c r="F8897"/>
    </row>
    <row r="8898" spans="6:6" x14ac:dyDescent="0.2">
      <c r="F8898"/>
    </row>
    <row r="8899" spans="6:6" x14ac:dyDescent="0.2">
      <c r="F8899"/>
    </row>
    <row r="8900" spans="6:6" x14ac:dyDescent="0.2">
      <c r="F8900"/>
    </row>
    <row r="8901" spans="6:6" x14ac:dyDescent="0.2">
      <c r="F8901"/>
    </row>
    <row r="8902" spans="6:6" x14ac:dyDescent="0.2">
      <c r="F8902"/>
    </row>
    <row r="8903" spans="6:6" x14ac:dyDescent="0.2">
      <c r="F8903"/>
    </row>
    <row r="8904" spans="6:6" x14ac:dyDescent="0.2">
      <c r="F8904"/>
    </row>
    <row r="8905" spans="6:6" x14ac:dyDescent="0.2">
      <c r="F8905"/>
    </row>
    <row r="8906" spans="6:6" x14ac:dyDescent="0.2">
      <c r="F8906"/>
    </row>
    <row r="8907" spans="6:6" x14ac:dyDescent="0.2">
      <c r="F8907"/>
    </row>
    <row r="8908" spans="6:6" x14ac:dyDescent="0.2">
      <c r="F8908"/>
    </row>
    <row r="8909" spans="6:6" x14ac:dyDescent="0.2">
      <c r="F8909"/>
    </row>
    <row r="8910" spans="6:6" x14ac:dyDescent="0.2">
      <c r="F8910"/>
    </row>
    <row r="8911" spans="6:6" x14ac:dyDescent="0.2">
      <c r="F8911"/>
    </row>
    <row r="8912" spans="6:6" x14ac:dyDescent="0.2">
      <c r="F8912"/>
    </row>
    <row r="8913" spans="6:6" x14ac:dyDescent="0.2">
      <c r="F8913"/>
    </row>
    <row r="8914" spans="6:6" x14ac:dyDescent="0.2">
      <c r="F8914"/>
    </row>
    <row r="8915" spans="6:6" x14ac:dyDescent="0.2">
      <c r="F8915"/>
    </row>
    <row r="8916" spans="6:6" x14ac:dyDescent="0.2">
      <c r="F8916"/>
    </row>
    <row r="8917" spans="6:6" x14ac:dyDescent="0.2">
      <c r="F8917"/>
    </row>
    <row r="8918" spans="6:6" x14ac:dyDescent="0.2">
      <c r="F8918"/>
    </row>
    <row r="8919" spans="6:6" x14ac:dyDescent="0.2">
      <c r="F8919"/>
    </row>
    <row r="8920" spans="6:6" x14ac:dyDescent="0.2">
      <c r="F8920"/>
    </row>
    <row r="8921" spans="6:6" x14ac:dyDescent="0.2">
      <c r="F8921"/>
    </row>
    <row r="8922" spans="6:6" x14ac:dyDescent="0.2">
      <c r="F8922"/>
    </row>
    <row r="8923" spans="6:6" x14ac:dyDescent="0.2">
      <c r="F8923"/>
    </row>
    <row r="8924" spans="6:6" x14ac:dyDescent="0.2">
      <c r="F8924"/>
    </row>
    <row r="8925" spans="6:6" x14ac:dyDescent="0.2">
      <c r="F8925"/>
    </row>
    <row r="8926" spans="6:6" x14ac:dyDescent="0.2">
      <c r="F8926"/>
    </row>
    <row r="8927" spans="6:6" x14ac:dyDescent="0.2">
      <c r="F8927"/>
    </row>
    <row r="8928" spans="6:6" x14ac:dyDescent="0.2">
      <c r="F8928"/>
    </row>
    <row r="8929" spans="6:6" x14ac:dyDescent="0.2">
      <c r="F8929"/>
    </row>
    <row r="8930" spans="6:6" x14ac:dyDescent="0.2">
      <c r="F8930"/>
    </row>
    <row r="8931" spans="6:6" x14ac:dyDescent="0.2">
      <c r="F8931"/>
    </row>
    <row r="8932" spans="6:6" x14ac:dyDescent="0.2">
      <c r="F8932"/>
    </row>
    <row r="8933" spans="6:6" x14ac:dyDescent="0.2">
      <c r="F8933"/>
    </row>
    <row r="8934" spans="6:6" x14ac:dyDescent="0.2">
      <c r="F8934"/>
    </row>
    <row r="8935" spans="6:6" x14ac:dyDescent="0.2">
      <c r="F8935"/>
    </row>
    <row r="8936" spans="6:6" x14ac:dyDescent="0.2">
      <c r="F8936"/>
    </row>
    <row r="8937" spans="6:6" x14ac:dyDescent="0.2">
      <c r="F8937"/>
    </row>
    <row r="8938" spans="6:6" x14ac:dyDescent="0.2">
      <c r="F8938"/>
    </row>
    <row r="8939" spans="6:6" x14ac:dyDescent="0.2">
      <c r="F8939"/>
    </row>
    <row r="8940" spans="6:6" x14ac:dyDescent="0.2">
      <c r="F8940"/>
    </row>
    <row r="8941" spans="6:6" x14ac:dyDescent="0.2">
      <c r="F8941"/>
    </row>
    <row r="8942" spans="6:6" x14ac:dyDescent="0.2">
      <c r="F8942"/>
    </row>
    <row r="8943" spans="6:6" x14ac:dyDescent="0.2">
      <c r="F8943"/>
    </row>
    <row r="8944" spans="6:6" x14ac:dyDescent="0.2">
      <c r="F8944"/>
    </row>
    <row r="8945" spans="6:6" x14ac:dyDescent="0.2">
      <c r="F8945"/>
    </row>
    <row r="8946" spans="6:6" x14ac:dyDescent="0.2">
      <c r="F8946"/>
    </row>
    <row r="8947" spans="6:6" x14ac:dyDescent="0.2">
      <c r="F8947"/>
    </row>
    <row r="8948" spans="6:6" x14ac:dyDescent="0.2">
      <c r="F8948"/>
    </row>
    <row r="8949" spans="6:6" x14ac:dyDescent="0.2">
      <c r="F8949"/>
    </row>
    <row r="8950" spans="6:6" x14ac:dyDescent="0.2">
      <c r="F8950"/>
    </row>
    <row r="8951" spans="6:6" x14ac:dyDescent="0.2">
      <c r="F8951"/>
    </row>
    <row r="8952" spans="6:6" x14ac:dyDescent="0.2">
      <c r="F8952"/>
    </row>
    <row r="8953" spans="6:6" x14ac:dyDescent="0.2">
      <c r="F8953"/>
    </row>
    <row r="8954" spans="6:6" x14ac:dyDescent="0.2">
      <c r="F8954"/>
    </row>
    <row r="8955" spans="6:6" x14ac:dyDescent="0.2">
      <c r="F8955"/>
    </row>
    <row r="8956" spans="6:6" x14ac:dyDescent="0.2">
      <c r="F8956"/>
    </row>
    <row r="8957" spans="6:6" x14ac:dyDescent="0.2">
      <c r="F8957"/>
    </row>
    <row r="8958" spans="6:6" x14ac:dyDescent="0.2">
      <c r="F8958"/>
    </row>
    <row r="8959" spans="6:6" x14ac:dyDescent="0.2">
      <c r="F8959"/>
    </row>
    <row r="8960" spans="6:6" x14ac:dyDescent="0.2">
      <c r="F8960"/>
    </row>
    <row r="8961" spans="6:6" x14ac:dyDescent="0.2">
      <c r="F8961"/>
    </row>
    <row r="8962" spans="6:6" x14ac:dyDescent="0.2">
      <c r="F8962"/>
    </row>
    <row r="8963" spans="6:6" x14ac:dyDescent="0.2">
      <c r="F8963"/>
    </row>
    <row r="8964" spans="6:6" x14ac:dyDescent="0.2">
      <c r="F8964"/>
    </row>
    <row r="8965" spans="6:6" x14ac:dyDescent="0.2">
      <c r="F8965"/>
    </row>
    <row r="8966" spans="6:6" x14ac:dyDescent="0.2">
      <c r="F8966"/>
    </row>
    <row r="8967" spans="6:6" x14ac:dyDescent="0.2">
      <c r="F8967"/>
    </row>
    <row r="8968" spans="6:6" x14ac:dyDescent="0.2">
      <c r="F8968"/>
    </row>
    <row r="8969" spans="6:6" x14ac:dyDescent="0.2">
      <c r="F8969"/>
    </row>
    <row r="8970" spans="6:6" x14ac:dyDescent="0.2">
      <c r="F8970"/>
    </row>
    <row r="8971" spans="6:6" x14ac:dyDescent="0.2">
      <c r="F8971"/>
    </row>
    <row r="8972" spans="6:6" x14ac:dyDescent="0.2">
      <c r="F8972"/>
    </row>
    <row r="8973" spans="6:6" x14ac:dyDescent="0.2">
      <c r="F8973"/>
    </row>
    <row r="8974" spans="6:6" x14ac:dyDescent="0.2">
      <c r="F8974"/>
    </row>
    <row r="8975" spans="6:6" x14ac:dyDescent="0.2">
      <c r="F8975"/>
    </row>
    <row r="8976" spans="6:6" x14ac:dyDescent="0.2">
      <c r="F8976"/>
    </row>
    <row r="8977" spans="6:6" x14ac:dyDescent="0.2">
      <c r="F8977"/>
    </row>
    <row r="8978" spans="6:6" x14ac:dyDescent="0.2">
      <c r="F8978"/>
    </row>
    <row r="8979" spans="6:6" x14ac:dyDescent="0.2">
      <c r="F8979"/>
    </row>
    <row r="8980" spans="6:6" x14ac:dyDescent="0.2">
      <c r="F8980"/>
    </row>
    <row r="8981" spans="6:6" x14ac:dyDescent="0.2">
      <c r="F8981"/>
    </row>
    <row r="8982" spans="6:6" x14ac:dyDescent="0.2">
      <c r="F8982"/>
    </row>
    <row r="8983" spans="6:6" x14ac:dyDescent="0.2">
      <c r="F8983"/>
    </row>
    <row r="8984" spans="6:6" x14ac:dyDescent="0.2">
      <c r="F8984"/>
    </row>
    <row r="8985" spans="6:6" x14ac:dyDescent="0.2">
      <c r="F8985"/>
    </row>
    <row r="8986" spans="6:6" x14ac:dyDescent="0.2">
      <c r="F8986"/>
    </row>
    <row r="8987" spans="6:6" x14ac:dyDescent="0.2">
      <c r="F8987"/>
    </row>
    <row r="8988" spans="6:6" x14ac:dyDescent="0.2">
      <c r="F8988"/>
    </row>
    <row r="8989" spans="6:6" x14ac:dyDescent="0.2">
      <c r="F8989"/>
    </row>
    <row r="8990" spans="6:6" x14ac:dyDescent="0.2">
      <c r="F8990"/>
    </row>
    <row r="8991" spans="6:6" x14ac:dyDescent="0.2">
      <c r="F8991"/>
    </row>
    <row r="8992" spans="6:6" x14ac:dyDescent="0.2">
      <c r="F8992"/>
    </row>
    <row r="8993" spans="6:6" x14ac:dyDescent="0.2">
      <c r="F8993"/>
    </row>
    <row r="8994" spans="6:6" x14ac:dyDescent="0.2">
      <c r="F8994"/>
    </row>
    <row r="8995" spans="6:6" x14ac:dyDescent="0.2">
      <c r="F8995"/>
    </row>
    <row r="8996" spans="6:6" x14ac:dyDescent="0.2">
      <c r="F8996"/>
    </row>
    <row r="8997" spans="6:6" x14ac:dyDescent="0.2">
      <c r="F8997"/>
    </row>
    <row r="8998" spans="6:6" x14ac:dyDescent="0.2">
      <c r="F8998"/>
    </row>
    <row r="8999" spans="6:6" x14ac:dyDescent="0.2">
      <c r="F8999"/>
    </row>
    <row r="9000" spans="6:6" x14ac:dyDescent="0.2">
      <c r="F9000"/>
    </row>
    <row r="9001" spans="6:6" x14ac:dyDescent="0.2">
      <c r="F9001"/>
    </row>
    <row r="9002" spans="6:6" x14ac:dyDescent="0.2">
      <c r="F9002"/>
    </row>
    <row r="9003" spans="6:6" x14ac:dyDescent="0.2">
      <c r="F9003"/>
    </row>
    <row r="9004" spans="6:6" x14ac:dyDescent="0.2">
      <c r="F9004"/>
    </row>
    <row r="9005" spans="6:6" x14ac:dyDescent="0.2">
      <c r="F9005"/>
    </row>
    <row r="9006" spans="6:6" x14ac:dyDescent="0.2">
      <c r="F9006"/>
    </row>
    <row r="9007" spans="6:6" x14ac:dyDescent="0.2">
      <c r="F9007"/>
    </row>
    <row r="9008" spans="6:6" x14ac:dyDescent="0.2">
      <c r="F9008"/>
    </row>
    <row r="9009" spans="6:6" x14ac:dyDescent="0.2">
      <c r="F9009"/>
    </row>
    <row r="9010" spans="6:6" x14ac:dyDescent="0.2">
      <c r="F9010"/>
    </row>
    <row r="9011" spans="6:6" x14ac:dyDescent="0.2">
      <c r="F9011"/>
    </row>
    <row r="9012" spans="6:6" x14ac:dyDescent="0.2">
      <c r="F9012"/>
    </row>
    <row r="9013" spans="6:6" x14ac:dyDescent="0.2">
      <c r="F9013"/>
    </row>
    <row r="9014" spans="6:6" x14ac:dyDescent="0.2">
      <c r="F9014"/>
    </row>
    <row r="9015" spans="6:6" x14ac:dyDescent="0.2">
      <c r="F9015"/>
    </row>
    <row r="9016" spans="6:6" x14ac:dyDescent="0.2">
      <c r="F9016"/>
    </row>
    <row r="9017" spans="6:6" x14ac:dyDescent="0.2">
      <c r="F9017"/>
    </row>
    <row r="9018" spans="6:6" x14ac:dyDescent="0.2">
      <c r="F9018"/>
    </row>
    <row r="9019" spans="6:6" x14ac:dyDescent="0.2">
      <c r="F9019"/>
    </row>
    <row r="9020" spans="6:6" x14ac:dyDescent="0.2">
      <c r="F9020"/>
    </row>
    <row r="9021" spans="6:6" x14ac:dyDescent="0.2">
      <c r="F9021"/>
    </row>
    <row r="9022" spans="6:6" x14ac:dyDescent="0.2">
      <c r="F9022"/>
    </row>
    <row r="9023" spans="6:6" x14ac:dyDescent="0.2">
      <c r="F9023"/>
    </row>
    <row r="9024" spans="6:6" x14ac:dyDescent="0.2">
      <c r="F9024"/>
    </row>
    <row r="9025" spans="6:6" x14ac:dyDescent="0.2">
      <c r="F9025"/>
    </row>
    <row r="9026" spans="6:6" x14ac:dyDescent="0.2">
      <c r="F9026"/>
    </row>
    <row r="9027" spans="6:6" x14ac:dyDescent="0.2">
      <c r="F9027"/>
    </row>
    <row r="9028" spans="6:6" x14ac:dyDescent="0.2">
      <c r="F9028"/>
    </row>
    <row r="9029" spans="6:6" x14ac:dyDescent="0.2">
      <c r="F9029"/>
    </row>
    <row r="9030" spans="6:6" x14ac:dyDescent="0.2">
      <c r="F9030"/>
    </row>
    <row r="9031" spans="6:6" x14ac:dyDescent="0.2">
      <c r="F9031"/>
    </row>
    <row r="9032" spans="6:6" x14ac:dyDescent="0.2">
      <c r="F9032"/>
    </row>
    <row r="9033" spans="6:6" x14ac:dyDescent="0.2">
      <c r="F9033"/>
    </row>
    <row r="9034" spans="6:6" x14ac:dyDescent="0.2">
      <c r="F9034"/>
    </row>
    <row r="9035" spans="6:6" x14ac:dyDescent="0.2">
      <c r="F9035"/>
    </row>
    <row r="9036" spans="6:6" x14ac:dyDescent="0.2">
      <c r="F9036"/>
    </row>
    <row r="9037" spans="6:6" x14ac:dyDescent="0.2">
      <c r="F9037"/>
    </row>
    <row r="9038" spans="6:6" x14ac:dyDescent="0.2">
      <c r="F9038"/>
    </row>
    <row r="9039" spans="6:6" x14ac:dyDescent="0.2">
      <c r="F9039"/>
    </row>
    <row r="9040" spans="6:6" x14ac:dyDescent="0.2">
      <c r="F9040"/>
    </row>
    <row r="9041" spans="6:6" x14ac:dyDescent="0.2">
      <c r="F9041"/>
    </row>
    <row r="9042" spans="6:6" x14ac:dyDescent="0.2">
      <c r="F9042"/>
    </row>
    <row r="9043" spans="6:6" x14ac:dyDescent="0.2">
      <c r="F9043"/>
    </row>
    <row r="9044" spans="6:6" x14ac:dyDescent="0.2">
      <c r="F9044"/>
    </row>
    <row r="9045" spans="6:6" x14ac:dyDescent="0.2">
      <c r="F9045"/>
    </row>
    <row r="9046" spans="6:6" x14ac:dyDescent="0.2">
      <c r="F9046"/>
    </row>
    <row r="9047" spans="6:6" x14ac:dyDescent="0.2">
      <c r="F9047"/>
    </row>
    <row r="9048" spans="6:6" x14ac:dyDescent="0.2">
      <c r="F9048"/>
    </row>
    <row r="9049" spans="6:6" x14ac:dyDescent="0.2">
      <c r="F9049"/>
    </row>
    <row r="9050" spans="6:6" x14ac:dyDescent="0.2">
      <c r="F9050"/>
    </row>
    <row r="9051" spans="6:6" x14ac:dyDescent="0.2">
      <c r="F9051"/>
    </row>
    <row r="9052" spans="6:6" x14ac:dyDescent="0.2">
      <c r="F9052"/>
    </row>
    <row r="9053" spans="6:6" x14ac:dyDescent="0.2">
      <c r="F9053"/>
    </row>
    <row r="9054" spans="6:6" x14ac:dyDescent="0.2">
      <c r="F9054"/>
    </row>
    <row r="9055" spans="6:6" x14ac:dyDescent="0.2">
      <c r="F9055"/>
    </row>
    <row r="9056" spans="6:6" x14ac:dyDescent="0.2">
      <c r="F9056"/>
    </row>
    <row r="9057" spans="6:6" x14ac:dyDescent="0.2">
      <c r="F9057"/>
    </row>
    <row r="9058" spans="6:6" x14ac:dyDescent="0.2">
      <c r="F9058"/>
    </row>
    <row r="9059" spans="6:6" x14ac:dyDescent="0.2">
      <c r="F9059"/>
    </row>
    <row r="9060" spans="6:6" x14ac:dyDescent="0.2">
      <c r="F9060"/>
    </row>
    <row r="9061" spans="6:6" x14ac:dyDescent="0.2">
      <c r="F9061"/>
    </row>
    <row r="9062" spans="6:6" x14ac:dyDescent="0.2">
      <c r="F9062"/>
    </row>
    <row r="9063" spans="6:6" x14ac:dyDescent="0.2">
      <c r="F9063"/>
    </row>
    <row r="9064" spans="6:6" x14ac:dyDescent="0.2">
      <c r="F9064"/>
    </row>
    <row r="9065" spans="6:6" x14ac:dyDescent="0.2">
      <c r="F9065"/>
    </row>
    <row r="9066" spans="6:6" x14ac:dyDescent="0.2">
      <c r="F9066"/>
    </row>
    <row r="9067" spans="6:6" x14ac:dyDescent="0.2">
      <c r="F9067"/>
    </row>
    <row r="9068" spans="6:6" x14ac:dyDescent="0.2">
      <c r="F9068"/>
    </row>
    <row r="9069" spans="6:6" x14ac:dyDescent="0.2">
      <c r="F9069"/>
    </row>
    <row r="9070" spans="6:6" x14ac:dyDescent="0.2">
      <c r="F9070"/>
    </row>
    <row r="9071" spans="6:6" x14ac:dyDescent="0.2">
      <c r="F9071"/>
    </row>
    <row r="9072" spans="6:6" x14ac:dyDescent="0.2">
      <c r="F9072"/>
    </row>
    <row r="9073" spans="6:6" x14ac:dyDescent="0.2">
      <c r="F9073"/>
    </row>
    <row r="9074" spans="6:6" x14ac:dyDescent="0.2">
      <c r="F9074"/>
    </row>
    <row r="9075" spans="6:6" x14ac:dyDescent="0.2">
      <c r="F9075"/>
    </row>
    <row r="9076" spans="6:6" x14ac:dyDescent="0.2">
      <c r="F9076"/>
    </row>
    <row r="9077" spans="6:6" x14ac:dyDescent="0.2">
      <c r="F9077"/>
    </row>
    <row r="9078" spans="6:6" x14ac:dyDescent="0.2">
      <c r="F9078"/>
    </row>
    <row r="9079" spans="6:6" x14ac:dyDescent="0.2">
      <c r="F9079"/>
    </row>
    <row r="9080" spans="6:6" x14ac:dyDescent="0.2">
      <c r="F9080"/>
    </row>
    <row r="9081" spans="6:6" x14ac:dyDescent="0.2">
      <c r="F9081"/>
    </row>
    <row r="9082" spans="6:6" x14ac:dyDescent="0.2">
      <c r="F9082"/>
    </row>
    <row r="9083" spans="6:6" x14ac:dyDescent="0.2">
      <c r="F9083"/>
    </row>
    <row r="9084" spans="6:6" x14ac:dyDescent="0.2">
      <c r="F9084"/>
    </row>
    <row r="9085" spans="6:6" x14ac:dyDescent="0.2">
      <c r="F9085"/>
    </row>
    <row r="9086" spans="6:6" x14ac:dyDescent="0.2">
      <c r="F9086"/>
    </row>
    <row r="9087" spans="6:6" x14ac:dyDescent="0.2">
      <c r="F9087"/>
    </row>
    <row r="9088" spans="6:6" x14ac:dyDescent="0.2">
      <c r="F9088"/>
    </row>
    <row r="9089" spans="6:6" x14ac:dyDescent="0.2">
      <c r="F9089"/>
    </row>
    <row r="9090" spans="6:6" x14ac:dyDescent="0.2">
      <c r="F9090"/>
    </row>
    <row r="9091" spans="6:6" x14ac:dyDescent="0.2">
      <c r="F9091"/>
    </row>
    <row r="9092" spans="6:6" x14ac:dyDescent="0.2">
      <c r="F9092"/>
    </row>
    <row r="9093" spans="6:6" x14ac:dyDescent="0.2">
      <c r="F9093"/>
    </row>
    <row r="9094" spans="6:6" x14ac:dyDescent="0.2">
      <c r="F9094"/>
    </row>
    <row r="9095" spans="6:6" x14ac:dyDescent="0.2">
      <c r="F9095"/>
    </row>
    <row r="9096" spans="6:6" x14ac:dyDescent="0.2">
      <c r="F9096"/>
    </row>
    <row r="9097" spans="6:6" x14ac:dyDescent="0.2">
      <c r="F9097"/>
    </row>
    <row r="9098" spans="6:6" x14ac:dyDescent="0.2">
      <c r="F9098"/>
    </row>
    <row r="9099" spans="6:6" x14ac:dyDescent="0.2">
      <c r="F9099"/>
    </row>
    <row r="9100" spans="6:6" x14ac:dyDescent="0.2">
      <c r="F9100"/>
    </row>
    <row r="9101" spans="6:6" x14ac:dyDescent="0.2">
      <c r="F9101"/>
    </row>
    <row r="9102" spans="6:6" x14ac:dyDescent="0.2">
      <c r="F9102"/>
    </row>
    <row r="9103" spans="6:6" x14ac:dyDescent="0.2">
      <c r="F9103"/>
    </row>
    <row r="9104" spans="6:6" x14ac:dyDescent="0.2">
      <c r="F9104"/>
    </row>
    <row r="9105" spans="6:6" x14ac:dyDescent="0.2">
      <c r="F9105"/>
    </row>
    <row r="9106" spans="6:6" x14ac:dyDescent="0.2">
      <c r="F9106"/>
    </row>
    <row r="9107" spans="6:6" x14ac:dyDescent="0.2">
      <c r="F9107"/>
    </row>
    <row r="9108" spans="6:6" x14ac:dyDescent="0.2">
      <c r="F9108"/>
    </row>
    <row r="9109" spans="6:6" x14ac:dyDescent="0.2">
      <c r="F9109"/>
    </row>
    <row r="9110" spans="6:6" x14ac:dyDescent="0.2">
      <c r="F9110"/>
    </row>
    <row r="9111" spans="6:6" x14ac:dyDescent="0.2">
      <c r="F9111"/>
    </row>
    <row r="9112" spans="6:6" x14ac:dyDescent="0.2">
      <c r="F9112"/>
    </row>
    <row r="9113" spans="6:6" x14ac:dyDescent="0.2">
      <c r="F9113"/>
    </row>
    <row r="9114" spans="6:6" x14ac:dyDescent="0.2">
      <c r="F9114"/>
    </row>
    <row r="9115" spans="6:6" x14ac:dyDescent="0.2">
      <c r="F9115"/>
    </row>
    <row r="9116" spans="6:6" x14ac:dyDescent="0.2">
      <c r="F9116"/>
    </row>
    <row r="9117" spans="6:6" x14ac:dyDescent="0.2">
      <c r="F9117"/>
    </row>
    <row r="9118" spans="6:6" x14ac:dyDescent="0.2">
      <c r="F9118"/>
    </row>
    <row r="9119" spans="6:6" x14ac:dyDescent="0.2">
      <c r="F9119"/>
    </row>
    <row r="9120" spans="6:6" x14ac:dyDescent="0.2">
      <c r="F9120"/>
    </row>
    <row r="9121" spans="6:6" x14ac:dyDescent="0.2">
      <c r="F9121"/>
    </row>
    <row r="9122" spans="6:6" x14ac:dyDescent="0.2">
      <c r="F9122"/>
    </row>
    <row r="9123" spans="6:6" x14ac:dyDescent="0.2">
      <c r="F9123"/>
    </row>
    <row r="9124" spans="6:6" x14ac:dyDescent="0.2">
      <c r="F9124"/>
    </row>
    <row r="9125" spans="6:6" x14ac:dyDescent="0.2">
      <c r="F9125"/>
    </row>
    <row r="9126" spans="6:6" x14ac:dyDescent="0.2">
      <c r="F9126"/>
    </row>
    <row r="9127" spans="6:6" x14ac:dyDescent="0.2">
      <c r="F9127"/>
    </row>
    <row r="9128" spans="6:6" x14ac:dyDescent="0.2">
      <c r="F9128"/>
    </row>
    <row r="9129" spans="6:6" x14ac:dyDescent="0.2">
      <c r="F9129"/>
    </row>
    <row r="9130" spans="6:6" x14ac:dyDescent="0.2">
      <c r="F9130"/>
    </row>
    <row r="9131" spans="6:6" x14ac:dyDescent="0.2">
      <c r="F9131"/>
    </row>
    <row r="9132" spans="6:6" x14ac:dyDescent="0.2">
      <c r="F9132"/>
    </row>
    <row r="9133" spans="6:6" x14ac:dyDescent="0.2">
      <c r="F9133"/>
    </row>
    <row r="9134" spans="6:6" x14ac:dyDescent="0.2">
      <c r="F9134"/>
    </row>
    <row r="9135" spans="6:6" x14ac:dyDescent="0.2">
      <c r="F9135"/>
    </row>
    <row r="9136" spans="6:6" x14ac:dyDescent="0.2">
      <c r="F9136"/>
    </row>
    <row r="9137" spans="6:6" x14ac:dyDescent="0.2">
      <c r="F9137"/>
    </row>
    <row r="9138" spans="6:6" x14ac:dyDescent="0.2">
      <c r="F9138"/>
    </row>
    <row r="9139" spans="6:6" x14ac:dyDescent="0.2">
      <c r="F9139"/>
    </row>
    <row r="9140" spans="6:6" x14ac:dyDescent="0.2">
      <c r="F9140"/>
    </row>
    <row r="9141" spans="6:6" x14ac:dyDescent="0.2">
      <c r="F9141"/>
    </row>
    <row r="9142" spans="6:6" x14ac:dyDescent="0.2">
      <c r="F9142"/>
    </row>
    <row r="9143" spans="6:6" x14ac:dyDescent="0.2">
      <c r="F9143"/>
    </row>
    <row r="9144" spans="6:6" x14ac:dyDescent="0.2">
      <c r="F9144"/>
    </row>
    <row r="9145" spans="6:6" x14ac:dyDescent="0.2">
      <c r="F9145"/>
    </row>
    <row r="9146" spans="6:6" x14ac:dyDescent="0.2">
      <c r="F9146"/>
    </row>
    <row r="9147" spans="6:6" x14ac:dyDescent="0.2">
      <c r="F9147"/>
    </row>
    <row r="9148" spans="6:6" x14ac:dyDescent="0.2">
      <c r="F9148"/>
    </row>
    <row r="9149" spans="6:6" x14ac:dyDescent="0.2">
      <c r="F9149"/>
    </row>
    <row r="9150" spans="6:6" x14ac:dyDescent="0.2">
      <c r="F9150"/>
    </row>
    <row r="9151" spans="6:6" x14ac:dyDescent="0.2">
      <c r="F9151"/>
    </row>
    <row r="9152" spans="6:6" x14ac:dyDescent="0.2">
      <c r="F9152"/>
    </row>
    <row r="9153" spans="6:6" x14ac:dyDescent="0.2">
      <c r="F9153"/>
    </row>
    <row r="9154" spans="6:6" x14ac:dyDescent="0.2">
      <c r="F9154"/>
    </row>
    <row r="9155" spans="6:6" x14ac:dyDescent="0.2">
      <c r="F9155"/>
    </row>
    <row r="9156" spans="6:6" x14ac:dyDescent="0.2">
      <c r="F9156"/>
    </row>
    <row r="9157" spans="6:6" x14ac:dyDescent="0.2">
      <c r="F9157"/>
    </row>
    <row r="9158" spans="6:6" x14ac:dyDescent="0.2">
      <c r="F9158"/>
    </row>
    <row r="9159" spans="6:6" x14ac:dyDescent="0.2">
      <c r="F9159"/>
    </row>
    <row r="9160" spans="6:6" x14ac:dyDescent="0.2">
      <c r="F9160"/>
    </row>
    <row r="9161" spans="6:6" x14ac:dyDescent="0.2">
      <c r="F9161"/>
    </row>
    <row r="9162" spans="6:6" x14ac:dyDescent="0.2">
      <c r="F9162"/>
    </row>
    <row r="9163" spans="6:6" x14ac:dyDescent="0.2">
      <c r="F9163"/>
    </row>
    <row r="9164" spans="6:6" x14ac:dyDescent="0.2">
      <c r="F9164"/>
    </row>
    <row r="9165" spans="6:6" x14ac:dyDescent="0.2">
      <c r="F9165"/>
    </row>
    <row r="9166" spans="6:6" x14ac:dyDescent="0.2">
      <c r="F9166"/>
    </row>
    <row r="9167" spans="6:6" x14ac:dyDescent="0.2">
      <c r="F9167"/>
    </row>
    <row r="9168" spans="6:6" x14ac:dyDescent="0.2">
      <c r="F9168"/>
    </row>
    <row r="9169" spans="6:6" x14ac:dyDescent="0.2">
      <c r="F9169"/>
    </row>
    <row r="9170" spans="6:6" x14ac:dyDescent="0.2">
      <c r="F9170"/>
    </row>
    <row r="9171" spans="6:6" x14ac:dyDescent="0.2">
      <c r="F9171"/>
    </row>
    <row r="9172" spans="6:6" x14ac:dyDescent="0.2">
      <c r="F9172"/>
    </row>
    <row r="9173" spans="6:6" x14ac:dyDescent="0.2">
      <c r="F9173"/>
    </row>
    <row r="9174" spans="6:6" x14ac:dyDescent="0.2">
      <c r="F9174"/>
    </row>
    <row r="9175" spans="6:6" x14ac:dyDescent="0.2">
      <c r="F9175"/>
    </row>
    <row r="9176" spans="6:6" x14ac:dyDescent="0.2">
      <c r="F9176"/>
    </row>
    <row r="9177" spans="6:6" x14ac:dyDescent="0.2">
      <c r="F9177"/>
    </row>
    <row r="9178" spans="6:6" x14ac:dyDescent="0.2">
      <c r="F9178"/>
    </row>
    <row r="9179" spans="6:6" x14ac:dyDescent="0.2">
      <c r="F9179"/>
    </row>
    <row r="9180" spans="6:6" x14ac:dyDescent="0.2">
      <c r="F9180"/>
    </row>
    <row r="9181" spans="6:6" x14ac:dyDescent="0.2">
      <c r="F9181"/>
    </row>
    <row r="9182" spans="6:6" x14ac:dyDescent="0.2">
      <c r="F9182"/>
    </row>
    <row r="9183" spans="6:6" x14ac:dyDescent="0.2">
      <c r="F9183"/>
    </row>
    <row r="9184" spans="6:6" x14ac:dyDescent="0.2">
      <c r="F9184"/>
    </row>
    <row r="9185" spans="6:6" x14ac:dyDescent="0.2">
      <c r="F9185"/>
    </row>
    <row r="9186" spans="6:6" x14ac:dyDescent="0.2">
      <c r="F9186"/>
    </row>
    <row r="9187" spans="6:6" x14ac:dyDescent="0.2">
      <c r="F9187"/>
    </row>
    <row r="9188" spans="6:6" x14ac:dyDescent="0.2">
      <c r="F9188"/>
    </row>
    <row r="9189" spans="6:6" x14ac:dyDescent="0.2">
      <c r="F9189"/>
    </row>
    <row r="9190" spans="6:6" x14ac:dyDescent="0.2">
      <c r="F9190"/>
    </row>
    <row r="9191" spans="6:6" x14ac:dyDescent="0.2">
      <c r="F9191"/>
    </row>
    <row r="9192" spans="6:6" x14ac:dyDescent="0.2">
      <c r="F9192"/>
    </row>
    <row r="9193" spans="6:6" x14ac:dyDescent="0.2">
      <c r="F9193"/>
    </row>
    <row r="9194" spans="6:6" x14ac:dyDescent="0.2">
      <c r="F9194"/>
    </row>
    <row r="9195" spans="6:6" x14ac:dyDescent="0.2">
      <c r="F9195"/>
    </row>
    <row r="9196" spans="6:6" x14ac:dyDescent="0.2">
      <c r="F9196"/>
    </row>
    <row r="9197" spans="6:6" x14ac:dyDescent="0.2">
      <c r="F9197"/>
    </row>
    <row r="9198" spans="6:6" x14ac:dyDescent="0.2">
      <c r="F9198"/>
    </row>
    <row r="9199" spans="6:6" x14ac:dyDescent="0.2">
      <c r="F9199"/>
    </row>
    <row r="9200" spans="6:6" x14ac:dyDescent="0.2">
      <c r="F9200"/>
    </row>
    <row r="9201" spans="6:6" x14ac:dyDescent="0.2">
      <c r="F9201"/>
    </row>
    <row r="9202" spans="6:6" x14ac:dyDescent="0.2">
      <c r="F9202"/>
    </row>
    <row r="9203" spans="6:6" x14ac:dyDescent="0.2">
      <c r="F9203"/>
    </row>
    <row r="9204" spans="6:6" x14ac:dyDescent="0.2">
      <c r="F9204"/>
    </row>
    <row r="9205" spans="6:6" x14ac:dyDescent="0.2">
      <c r="F9205"/>
    </row>
    <row r="9206" spans="6:6" x14ac:dyDescent="0.2">
      <c r="F9206"/>
    </row>
    <row r="9207" spans="6:6" x14ac:dyDescent="0.2">
      <c r="F9207"/>
    </row>
    <row r="9208" spans="6:6" x14ac:dyDescent="0.2">
      <c r="F9208"/>
    </row>
    <row r="9209" spans="6:6" x14ac:dyDescent="0.2">
      <c r="F9209"/>
    </row>
    <row r="9210" spans="6:6" x14ac:dyDescent="0.2">
      <c r="F9210"/>
    </row>
    <row r="9211" spans="6:6" x14ac:dyDescent="0.2">
      <c r="F9211"/>
    </row>
    <row r="9212" spans="6:6" x14ac:dyDescent="0.2">
      <c r="F9212"/>
    </row>
    <row r="9213" spans="6:6" x14ac:dyDescent="0.2">
      <c r="F9213"/>
    </row>
    <row r="9214" spans="6:6" x14ac:dyDescent="0.2">
      <c r="F9214"/>
    </row>
    <row r="9215" spans="6:6" x14ac:dyDescent="0.2">
      <c r="F9215"/>
    </row>
    <row r="9216" spans="6:6" x14ac:dyDescent="0.2">
      <c r="F9216"/>
    </row>
    <row r="9217" spans="6:6" x14ac:dyDescent="0.2">
      <c r="F9217"/>
    </row>
    <row r="9218" spans="6:6" x14ac:dyDescent="0.2">
      <c r="F9218"/>
    </row>
    <row r="9219" spans="6:6" x14ac:dyDescent="0.2">
      <c r="F9219"/>
    </row>
    <row r="9220" spans="6:6" x14ac:dyDescent="0.2">
      <c r="F9220"/>
    </row>
    <row r="9221" spans="6:6" x14ac:dyDescent="0.2">
      <c r="F9221"/>
    </row>
    <row r="9222" spans="6:6" x14ac:dyDescent="0.2">
      <c r="F9222"/>
    </row>
    <row r="9223" spans="6:6" x14ac:dyDescent="0.2">
      <c r="F9223"/>
    </row>
    <row r="9224" spans="6:6" x14ac:dyDescent="0.2">
      <c r="F9224"/>
    </row>
    <row r="9225" spans="6:6" x14ac:dyDescent="0.2">
      <c r="F9225"/>
    </row>
    <row r="9226" spans="6:6" x14ac:dyDescent="0.2">
      <c r="F9226"/>
    </row>
    <row r="9227" spans="6:6" x14ac:dyDescent="0.2">
      <c r="F9227"/>
    </row>
    <row r="9228" spans="6:6" x14ac:dyDescent="0.2">
      <c r="F9228"/>
    </row>
    <row r="9229" spans="6:6" x14ac:dyDescent="0.2">
      <c r="F9229"/>
    </row>
    <row r="9230" spans="6:6" x14ac:dyDescent="0.2">
      <c r="F9230"/>
    </row>
    <row r="9231" spans="6:6" x14ac:dyDescent="0.2">
      <c r="F9231"/>
    </row>
    <row r="9232" spans="6:6" x14ac:dyDescent="0.2">
      <c r="F9232"/>
    </row>
    <row r="9233" spans="6:6" x14ac:dyDescent="0.2">
      <c r="F9233"/>
    </row>
    <row r="9234" spans="6:6" x14ac:dyDescent="0.2">
      <c r="F9234"/>
    </row>
    <row r="9235" spans="6:6" x14ac:dyDescent="0.2">
      <c r="F9235"/>
    </row>
    <row r="9236" spans="6:6" x14ac:dyDescent="0.2">
      <c r="F9236"/>
    </row>
    <row r="9237" spans="6:6" x14ac:dyDescent="0.2">
      <c r="F9237"/>
    </row>
    <row r="9238" spans="6:6" x14ac:dyDescent="0.2">
      <c r="F9238"/>
    </row>
    <row r="9239" spans="6:6" x14ac:dyDescent="0.2">
      <c r="F9239"/>
    </row>
    <row r="9240" spans="6:6" x14ac:dyDescent="0.2">
      <c r="F9240"/>
    </row>
    <row r="9241" spans="6:6" x14ac:dyDescent="0.2">
      <c r="F9241"/>
    </row>
    <row r="9242" spans="6:6" x14ac:dyDescent="0.2">
      <c r="F9242"/>
    </row>
    <row r="9243" spans="6:6" x14ac:dyDescent="0.2">
      <c r="F9243"/>
    </row>
    <row r="9244" spans="6:6" x14ac:dyDescent="0.2">
      <c r="F9244"/>
    </row>
    <row r="9245" spans="6:6" x14ac:dyDescent="0.2">
      <c r="F9245"/>
    </row>
    <row r="9246" spans="6:6" x14ac:dyDescent="0.2">
      <c r="F9246"/>
    </row>
    <row r="9247" spans="6:6" x14ac:dyDescent="0.2">
      <c r="F9247"/>
    </row>
    <row r="9248" spans="6:6" x14ac:dyDescent="0.2">
      <c r="F9248"/>
    </row>
    <row r="9249" spans="6:6" x14ac:dyDescent="0.2">
      <c r="F9249"/>
    </row>
    <row r="9250" spans="6:6" x14ac:dyDescent="0.2">
      <c r="F9250"/>
    </row>
    <row r="9251" spans="6:6" x14ac:dyDescent="0.2">
      <c r="F9251"/>
    </row>
    <row r="9252" spans="6:6" x14ac:dyDescent="0.2">
      <c r="F9252"/>
    </row>
    <row r="9253" spans="6:6" x14ac:dyDescent="0.2">
      <c r="F9253"/>
    </row>
    <row r="9254" spans="6:6" x14ac:dyDescent="0.2">
      <c r="F9254"/>
    </row>
    <row r="9255" spans="6:6" x14ac:dyDescent="0.2">
      <c r="F9255"/>
    </row>
    <row r="9256" spans="6:6" x14ac:dyDescent="0.2">
      <c r="F9256"/>
    </row>
    <row r="9257" spans="6:6" x14ac:dyDescent="0.2">
      <c r="F9257"/>
    </row>
    <row r="9258" spans="6:6" x14ac:dyDescent="0.2">
      <c r="F9258"/>
    </row>
    <row r="9259" spans="6:6" x14ac:dyDescent="0.2">
      <c r="F9259"/>
    </row>
    <row r="9260" spans="6:6" x14ac:dyDescent="0.2">
      <c r="F9260"/>
    </row>
    <row r="9261" spans="6:6" x14ac:dyDescent="0.2">
      <c r="F9261"/>
    </row>
    <row r="9262" spans="6:6" x14ac:dyDescent="0.2">
      <c r="F9262"/>
    </row>
    <row r="9263" spans="6:6" x14ac:dyDescent="0.2">
      <c r="F9263"/>
    </row>
    <row r="9264" spans="6:6" x14ac:dyDescent="0.2">
      <c r="F9264"/>
    </row>
    <row r="9265" spans="6:6" x14ac:dyDescent="0.2">
      <c r="F9265"/>
    </row>
    <row r="9266" spans="6:6" x14ac:dyDescent="0.2">
      <c r="F9266"/>
    </row>
    <row r="9267" spans="6:6" x14ac:dyDescent="0.2">
      <c r="F9267"/>
    </row>
    <row r="9268" spans="6:6" x14ac:dyDescent="0.2">
      <c r="F9268"/>
    </row>
    <row r="9269" spans="6:6" x14ac:dyDescent="0.2">
      <c r="F9269"/>
    </row>
    <row r="9270" spans="6:6" x14ac:dyDescent="0.2">
      <c r="F9270"/>
    </row>
    <row r="9271" spans="6:6" x14ac:dyDescent="0.2">
      <c r="F9271"/>
    </row>
    <row r="9272" spans="6:6" x14ac:dyDescent="0.2">
      <c r="F9272"/>
    </row>
    <row r="9273" spans="6:6" x14ac:dyDescent="0.2">
      <c r="F9273"/>
    </row>
    <row r="9274" spans="6:6" x14ac:dyDescent="0.2">
      <c r="F9274"/>
    </row>
    <row r="9275" spans="6:6" x14ac:dyDescent="0.2">
      <c r="F9275"/>
    </row>
    <row r="9276" spans="6:6" x14ac:dyDescent="0.2">
      <c r="F9276"/>
    </row>
    <row r="9277" spans="6:6" x14ac:dyDescent="0.2">
      <c r="F9277"/>
    </row>
    <row r="9278" spans="6:6" x14ac:dyDescent="0.2">
      <c r="F9278"/>
    </row>
    <row r="9279" spans="6:6" x14ac:dyDescent="0.2">
      <c r="F9279"/>
    </row>
    <row r="9280" spans="6:6" x14ac:dyDescent="0.2">
      <c r="F9280"/>
    </row>
    <row r="9281" spans="6:6" x14ac:dyDescent="0.2">
      <c r="F9281"/>
    </row>
    <row r="9282" spans="6:6" x14ac:dyDescent="0.2">
      <c r="F9282"/>
    </row>
    <row r="9283" spans="6:6" x14ac:dyDescent="0.2">
      <c r="F9283"/>
    </row>
    <row r="9284" spans="6:6" x14ac:dyDescent="0.2">
      <c r="F9284"/>
    </row>
    <row r="9285" spans="6:6" x14ac:dyDescent="0.2">
      <c r="F9285"/>
    </row>
    <row r="9286" spans="6:6" x14ac:dyDescent="0.2">
      <c r="F9286"/>
    </row>
    <row r="9287" spans="6:6" x14ac:dyDescent="0.2">
      <c r="F9287"/>
    </row>
    <row r="9288" spans="6:6" x14ac:dyDescent="0.2">
      <c r="F9288"/>
    </row>
    <row r="9289" spans="6:6" x14ac:dyDescent="0.2">
      <c r="F9289"/>
    </row>
    <row r="9290" spans="6:6" x14ac:dyDescent="0.2">
      <c r="F9290"/>
    </row>
    <row r="9291" spans="6:6" x14ac:dyDescent="0.2">
      <c r="F9291"/>
    </row>
    <row r="9292" spans="6:6" x14ac:dyDescent="0.2">
      <c r="F9292"/>
    </row>
    <row r="9293" spans="6:6" x14ac:dyDescent="0.2">
      <c r="F9293"/>
    </row>
    <row r="9294" spans="6:6" x14ac:dyDescent="0.2">
      <c r="F9294"/>
    </row>
    <row r="9295" spans="6:6" x14ac:dyDescent="0.2">
      <c r="F9295"/>
    </row>
    <row r="9296" spans="6:6" x14ac:dyDescent="0.2">
      <c r="F9296"/>
    </row>
    <row r="9297" spans="6:6" x14ac:dyDescent="0.2">
      <c r="F9297"/>
    </row>
    <row r="9298" spans="6:6" x14ac:dyDescent="0.2">
      <c r="F9298"/>
    </row>
    <row r="9299" spans="6:6" x14ac:dyDescent="0.2">
      <c r="F9299"/>
    </row>
    <row r="9300" spans="6:6" x14ac:dyDescent="0.2">
      <c r="F9300"/>
    </row>
    <row r="9301" spans="6:6" x14ac:dyDescent="0.2">
      <c r="F9301"/>
    </row>
    <row r="9302" spans="6:6" x14ac:dyDescent="0.2">
      <c r="F9302"/>
    </row>
    <row r="9303" spans="6:6" x14ac:dyDescent="0.2">
      <c r="F9303"/>
    </row>
    <row r="9304" spans="6:6" x14ac:dyDescent="0.2">
      <c r="F9304"/>
    </row>
    <row r="9305" spans="6:6" x14ac:dyDescent="0.2">
      <c r="F9305"/>
    </row>
    <row r="9306" spans="6:6" x14ac:dyDescent="0.2">
      <c r="F9306"/>
    </row>
    <row r="9307" spans="6:6" x14ac:dyDescent="0.2">
      <c r="F9307"/>
    </row>
    <row r="9308" spans="6:6" x14ac:dyDescent="0.2">
      <c r="F9308"/>
    </row>
    <row r="9309" spans="6:6" x14ac:dyDescent="0.2">
      <c r="F9309"/>
    </row>
    <row r="9310" spans="6:6" x14ac:dyDescent="0.2">
      <c r="F9310"/>
    </row>
    <row r="9311" spans="6:6" x14ac:dyDescent="0.2">
      <c r="F9311"/>
    </row>
    <row r="9312" spans="6:6" x14ac:dyDescent="0.2">
      <c r="F9312"/>
    </row>
    <row r="9313" spans="6:6" x14ac:dyDescent="0.2">
      <c r="F9313"/>
    </row>
    <row r="9314" spans="6:6" x14ac:dyDescent="0.2">
      <c r="F9314"/>
    </row>
    <row r="9315" spans="6:6" x14ac:dyDescent="0.2">
      <c r="F9315"/>
    </row>
    <row r="9316" spans="6:6" x14ac:dyDescent="0.2">
      <c r="F9316"/>
    </row>
    <row r="9317" spans="6:6" x14ac:dyDescent="0.2">
      <c r="F9317"/>
    </row>
    <row r="9318" spans="6:6" x14ac:dyDescent="0.2">
      <c r="F9318"/>
    </row>
    <row r="9319" spans="6:6" x14ac:dyDescent="0.2">
      <c r="F9319"/>
    </row>
    <row r="9320" spans="6:6" x14ac:dyDescent="0.2">
      <c r="F9320"/>
    </row>
    <row r="9321" spans="6:6" x14ac:dyDescent="0.2">
      <c r="F9321"/>
    </row>
    <row r="9322" spans="6:6" x14ac:dyDescent="0.2">
      <c r="F9322"/>
    </row>
    <row r="9323" spans="6:6" x14ac:dyDescent="0.2">
      <c r="F9323"/>
    </row>
    <row r="9324" spans="6:6" x14ac:dyDescent="0.2">
      <c r="F9324"/>
    </row>
    <row r="9325" spans="6:6" x14ac:dyDescent="0.2">
      <c r="F9325"/>
    </row>
    <row r="9326" spans="6:6" x14ac:dyDescent="0.2">
      <c r="F9326"/>
    </row>
    <row r="9327" spans="6:6" x14ac:dyDescent="0.2">
      <c r="F9327"/>
    </row>
    <row r="9328" spans="6:6" x14ac:dyDescent="0.2">
      <c r="F9328"/>
    </row>
    <row r="9329" spans="6:6" x14ac:dyDescent="0.2">
      <c r="F9329"/>
    </row>
    <row r="9330" spans="6:6" x14ac:dyDescent="0.2">
      <c r="F9330"/>
    </row>
    <row r="9331" spans="6:6" x14ac:dyDescent="0.2">
      <c r="F9331"/>
    </row>
    <row r="9332" spans="6:6" x14ac:dyDescent="0.2">
      <c r="F9332"/>
    </row>
    <row r="9333" spans="6:6" x14ac:dyDescent="0.2">
      <c r="F9333"/>
    </row>
    <row r="9334" spans="6:6" x14ac:dyDescent="0.2">
      <c r="F9334"/>
    </row>
    <row r="9335" spans="6:6" x14ac:dyDescent="0.2">
      <c r="F9335"/>
    </row>
    <row r="9336" spans="6:6" x14ac:dyDescent="0.2">
      <c r="F9336"/>
    </row>
    <row r="9337" spans="6:6" x14ac:dyDescent="0.2">
      <c r="F9337"/>
    </row>
    <row r="9338" spans="6:6" x14ac:dyDescent="0.2">
      <c r="F9338"/>
    </row>
    <row r="9339" spans="6:6" x14ac:dyDescent="0.2">
      <c r="F9339"/>
    </row>
    <row r="9340" spans="6:6" x14ac:dyDescent="0.2">
      <c r="F9340"/>
    </row>
    <row r="9341" spans="6:6" x14ac:dyDescent="0.2">
      <c r="F9341"/>
    </row>
    <row r="9342" spans="6:6" x14ac:dyDescent="0.2">
      <c r="F9342"/>
    </row>
    <row r="9343" spans="6:6" x14ac:dyDescent="0.2">
      <c r="F9343"/>
    </row>
    <row r="9344" spans="6:6" x14ac:dyDescent="0.2">
      <c r="F9344"/>
    </row>
    <row r="9345" spans="6:6" x14ac:dyDescent="0.2">
      <c r="F9345"/>
    </row>
    <row r="9346" spans="6:6" x14ac:dyDescent="0.2">
      <c r="F9346"/>
    </row>
    <row r="9347" spans="6:6" x14ac:dyDescent="0.2">
      <c r="F9347"/>
    </row>
    <row r="9348" spans="6:6" x14ac:dyDescent="0.2">
      <c r="F9348"/>
    </row>
    <row r="9349" spans="6:6" x14ac:dyDescent="0.2">
      <c r="F9349"/>
    </row>
    <row r="9350" spans="6:6" x14ac:dyDescent="0.2">
      <c r="F9350"/>
    </row>
    <row r="9351" spans="6:6" x14ac:dyDescent="0.2">
      <c r="F9351"/>
    </row>
    <row r="9352" spans="6:6" x14ac:dyDescent="0.2">
      <c r="F9352"/>
    </row>
    <row r="9353" spans="6:6" x14ac:dyDescent="0.2">
      <c r="F9353"/>
    </row>
    <row r="9354" spans="6:6" x14ac:dyDescent="0.2">
      <c r="F9354"/>
    </row>
    <row r="9355" spans="6:6" x14ac:dyDescent="0.2">
      <c r="F9355"/>
    </row>
    <row r="9356" spans="6:6" x14ac:dyDescent="0.2">
      <c r="F9356"/>
    </row>
    <row r="9357" spans="6:6" x14ac:dyDescent="0.2">
      <c r="F9357"/>
    </row>
    <row r="9358" spans="6:6" x14ac:dyDescent="0.2">
      <c r="F9358"/>
    </row>
    <row r="9359" spans="6:6" x14ac:dyDescent="0.2">
      <c r="F9359"/>
    </row>
    <row r="9360" spans="6:6" x14ac:dyDescent="0.2">
      <c r="F9360"/>
    </row>
    <row r="9361" spans="6:6" x14ac:dyDescent="0.2">
      <c r="F9361"/>
    </row>
    <row r="9362" spans="6:6" x14ac:dyDescent="0.2">
      <c r="F9362"/>
    </row>
    <row r="9363" spans="6:6" x14ac:dyDescent="0.2">
      <c r="F9363"/>
    </row>
    <row r="9364" spans="6:6" x14ac:dyDescent="0.2">
      <c r="F9364"/>
    </row>
    <row r="9365" spans="6:6" x14ac:dyDescent="0.2">
      <c r="F9365"/>
    </row>
    <row r="9366" spans="6:6" x14ac:dyDescent="0.2">
      <c r="F9366"/>
    </row>
    <row r="9367" spans="6:6" x14ac:dyDescent="0.2">
      <c r="F9367"/>
    </row>
    <row r="9368" spans="6:6" x14ac:dyDescent="0.2">
      <c r="F9368"/>
    </row>
    <row r="9369" spans="6:6" x14ac:dyDescent="0.2">
      <c r="F9369"/>
    </row>
    <row r="9370" spans="6:6" x14ac:dyDescent="0.2">
      <c r="F9370"/>
    </row>
    <row r="9371" spans="6:6" x14ac:dyDescent="0.2">
      <c r="F9371"/>
    </row>
    <row r="9372" spans="6:6" x14ac:dyDescent="0.2">
      <c r="F9372"/>
    </row>
    <row r="9373" spans="6:6" x14ac:dyDescent="0.2">
      <c r="F9373"/>
    </row>
    <row r="9374" spans="6:6" x14ac:dyDescent="0.2">
      <c r="F9374"/>
    </row>
    <row r="9375" spans="6:6" x14ac:dyDescent="0.2">
      <c r="F9375"/>
    </row>
    <row r="9376" spans="6:6" x14ac:dyDescent="0.2">
      <c r="F9376"/>
    </row>
    <row r="9377" spans="6:6" x14ac:dyDescent="0.2">
      <c r="F9377"/>
    </row>
    <row r="9378" spans="6:6" x14ac:dyDescent="0.2">
      <c r="F9378"/>
    </row>
    <row r="9379" spans="6:6" x14ac:dyDescent="0.2">
      <c r="F9379"/>
    </row>
    <row r="9380" spans="6:6" x14ac:dyDescent="0.2">
      <c r="F9380"/>
    </row>
    <row r="9381" spans="6:6" x14ac:dyDescent="0.2">
      <c r="F9381"/>
    </row>
    <row r="9382" spans="6:6" x14ac:dyDescent="0.2">
      <c r="F9382"/>
    </row>
    <row r="9383" spans="6:6" x14ac:dyDescent="0.2">
      <c r="F9383"/>
    </row>
    <row r="9384" spans="6:6" x14ac:dyDescent="0.2">
      <c r="F9384"/>
    </row>
    <row r="9385" spans="6:6" x14ac:dyDescent="0.2">
      <c r="F9385"/>
    </row>
    <row r="9386" spans="6:6" x14ac:dyDescent="0.2">
      <c r="F9386"/>
    </row>
    <row r="9387" spans="6:6" x14ac:dyDescent="0.2">
      <c r="F9387"/>
    </row>
    <row r="9388" spans="6:6" x14ac:dyDescent="0.2">
      <c r="F9388"/>
    </row>
    <row r="9389" spans="6:6" x14ac:dyDescent="0.2">
      <c r="F9389"/>
    </row>
    <row r="9390" spans="6:6" x14ac:dyDescent="0.2">
      <c r="F9390"/>
    </row>
    <row r="9391" spans="6:6" x14ac:dyDescent="0.2">
      <c r="F9391"/>
    </row>
    <row r="9392" spans="6:6" x14ac:dyDescent="0.2">
      <c r="F9392"/>
    </row>
    <row r="9393" spans="6:6" x14ac:dyDescent="0.2">
      <c r="F9393"/>
    </row>
    <row r="9394" spans="6:6" x14ac:dyDescent="0.2">
      <c r="F9394"/>
    </row>
    <row r="9395" spans="6:6" x14ac:dyDescent="0.2">
      <c r="F9395"/>
    </row>
    <row r="9396" spans="6:6" x14ac:dyDescent="0.2">
      <c r="F9396"/>
    </row>
    <row r="9397" spans="6:6" x14ac:dyDescent="0.2">
      <c r="F9397"/>
    </row>
    <row r="9398" spans="6:6" x14ac:dyDescent="0.2">
      <c r="F9398"/>
    </row>
    <row r="9399" spans="6:6" x14ac:dyDescent="0.2">
      <c r="F9399"/>
    </row>
    <row r="9400" spans="6:6" x14ac:dyDescent="0.2">
      <c r="F9400"/>
    </row>
    <row r="9401" spans="6:6" x14ac:dyDescent="0.2">
      <c r="F9401"/>
    </row>
    <row r="9402" spans="6:6" x14ac:dyDescent="0.2">
      <c r="F9402"/>
    </row>
    <row r="9403" spans="6:6" x14ac:dyDescent="0.2">
      <c r="F9403"/>
    </row>
    <row r="9404" spans="6:6" x14ac:dyDescent="0.2">
      <c r="F9404"/>
    </row>
    <row r="9405" spans="6:6" x14ac:dyDescent="0.2">
      <c r="F9405"/>
    </row>
    <row r="9406" spans="6:6" x14ac:dyDescent="0.2">
      <c r="F9406"/>
    </row>
    <row r="9407" spans="6:6" x14ac:dyDescent="0.2">
      <c r="F9407"/>
    </row>
    <row r="9408" spans="6:6" x14ac:dyDescent="0.2">
      <c r="F9408"/>
    </row>
    <row r="9409" spans="6:6" x14ac:dyDescent="0.2">
      <c r="F9409"/>
    </row>
    <row r="9410" spans="6:6" x14ac:dyDescent="0.2">
      <c r="F9410"/>
    </row>
    <row r="9411" spans="6:6" x14ac:dyDescent="0.2">
      <c r="F9411"/>
    </row>
    <row r="9412" spans="6:6" x14ac:dyDescent="0.2">
      <c r="F9412"/>
    </row>
    <row r="9413" spans="6:6" x14ac:dyDescent="0.2">
      <c r="F9413"/>
    </row>
    <row r="9414" spans="6:6" x14ac:dyDescent="0.2">
      <c r="F9414"/>
    </row>
    <row r="9415" spans="6:6" x14ac:dyDescent="0.2">
      <c r="F9415"/>
    </row>
    <row r="9416" spans="6:6" x14ac:dyDescent="0.2">
      <c r="F9416"/>
    </row>
    <row r="9417" spans="6:6" x14ac:dyDescent="0.2">
      <c r="F9417"/>
    </row>
    <row r="9418" spans="6:6" x14ac:dyDescent="0.2">
      <c r="F9418"/>
    </row>
    <row r="9419" spans="6:6" x14ac:dyDescent="0.2">
      <c r="F9419"/>
    </row>
    <row r="9420" spans="6:6" x14ac:dyDescent="0.2">
      <c r="F9420"/>
    </row>
    <row r="9421" spans="6:6" x14ac:dyDescent="0.2">
      <c r="F9421"/>
    </row>
    <row r="9422" spans="6:6" x14ac:dyDescent="0.2">
      <c r="F9422"/>
    </row>
    <row r="9423" spans="6:6" x14ac:dyDescent="0.2">
      <c r="F9423"/>
    </row>
    <row r="9424" spans="6:6" x14ac:dyDescent="0.2">
      <c r="F9424"/>
    </row>
    <row r="9425" spans="6:6" x14ac:dyDescent="0.2">
      <c r="F9425"/>
    </row>
    <row r="9426" spans="6:6" x14ac:dyDescent="0.2">
      <c r="F9426"/>
    </row>
    <row r="9427" spans="6:6" x14ac:dyDescent="0.2">
      <c r="F9427"/>
    </row>
    <row r="9428" spans="6:6" x14ac:dyDescent="0.2">
      <c r="F9428"/>
    </row>
    <row r="9429" spans="6:6" x14ac:dyDescent="0.2">
      <c r="F9429"/>
    </row>
    <row r="9430" spans="6:6" x14ac:dyDescent="0.2">
      <c r="F9430"/>
    </row>
    <row r="9431" spans="6:6" x14ac:dyDescent="0.2">
      <c r="F9431"/>
    </row>
    <row r="9432" spans="6:6" x14ac:dyDescent="0.2">
      <c r="F9432"/>
    </row>
    <row r="9433" spans="6:6" x14ac:dyDescent="0.2">
      <c r="F9433"/>
    </row>
    <row r="9434" spans="6:6" x14ac:dyDescent="0.2">
      <c r="F9434"/>
    </row>
    <row r="9435" spans="6:6" x14ac:dyDescent="0.2">
      <c r="F9435"/>
    </row>
    <row r="9436" spans="6:6" x14ac:dyDescent="0.2">
      <c r="F9436"/>
    </row>
    <row r="9437" spans="6:6" x14ac:dyDescent="0.2">
      <c r="F9437"/>
    </row>
    <row r="9438" spans="6:6" x14ac:dyDescent="0.2">
      <c r="F9438"/>
    </row>
    <row r="9439" spans="6:6" x14ac:dyDescent="0.2">
      <c r="F9439"/>
    </row>
    <row r="9440" spans="6:6" x14ac:dyDescent="0.2">
      <c r="F9440"/>
    </row>
    <row r="9441" spans="6:6" x14ac:dyDescent="0.2">
      <c r="F9441"/>
    </row>
    <row r="9442" spans="6:6" x14ac:dyDescent="0.2">
      <c r="F9442"/>
    </row>
    <row r="9443" spans="6:6" x14ac:dyDescent="0.2">
      <c r="F9443"/>
    </row>
    <row r="9444" spans="6:6" x14ac:dyDescent="0.2">
      <c r="F9444"/>
    </row>
    <row r="9445" spans="6:6" x14ac:dyDescent="0.2">
      <c r="F9445"/>
    </row>
    <row r="9446" spans="6:6" x14ac:dyDescent="0.2">
      <c r="F9446"/>
    </row>
    <row r="9447" spans="6:6" x14ac:dyDescent="0.2">
      <c r="F9447"/>
    </row>
    <row r="9448" spans="6:6" x14ac:dyDescent="0.2">
      <c r="F9448"/>
    </row>
    <row r="9449" spans="6:6" x14ac:dyDescent="0.2">
      <c r="F9449"/>
    </row>
    <row r="9450" spans="6:6" x14ac:dyDescent="0.2">
      <c r="F9450"/>
    </row>
    <row r="9451" spans="6:6" x14ac:dyDescent="0.2">
      <c r="F9451"/>
    </row>
    <row r="9452" spans="6:6" x14ac:dyDescent="0.2">
      <c r="F9452"/>
    </row>
    <row r="9453" spans="6:6" x14ac:dyDescent="0.2">
      <c r="F9453"/>
    </row>
    <row r="9454" spans="6:6" x14ac:dyDescent="0.2">
      <c r="F9454"/>
    </row>
    <row r="9455" spans="6:6" x14ac:dyDescent="0.2">
      <c r="F9455"/>
    </row>
    <row r="9456" spans="6:6" x14ac:dyDescent="0.2">
      <c r="F9456"/>
    </row>
    <row r="9457" spans="6:6" x14ac:dyDescent="0.2">
      <c r="F9457"/>
    </row>
    <row r="9458" spans="6:6" x14ac:dyDescent="0.2">
      <c r="F9458"/>
    </row>
    <row r="9459" spans="6:6" x14ac:dyDescent="0.2">
      <c r="F9459"/>
    </row>
    <row r="9460" spans="6:6" x14ac:dyDescent="0.2">
      <c r="F9460"/>
    </row>
    <row r="9461" spans="6:6" x14ac:dyDescent="0.2">
      <c r="F9461"/>
    </row>
    <row r="9462" spans="6:6" x14ac:dyDescent="0.2">
      <c r="F9462"/>
    </row>
    <row r="9463" spans="6:6" x14ac:dyDescent="0.2">
      <c r="F9463"/>
    </row>
    <row r="9464" spans="6:6" x14ac:dyDescent="0.2">
      <c r="F9464"/>
    </row>
    <row r="9465" spans="6:6" x14ac:dyDescent="0.2">
      <c r="F9465"/>
    </row>
    <row r="9466" spans="6:6" x14ac:dyDescent="0.2">
      <c r="F9466"/>
    </row>
    <row r="9467" spans="6:6" x14ac:dyDescent="0.2">
      <c r="F9467"/>
    </row>
    <row r="9468" spans="6:6" x14ac:dyDescent="0.2">
      <c r="F9468"/>
    </row>
    <row r="9469" spans="6:6" x14ac:dyDescent="0.2">
      <c r="F9469"/>
    </row>
    <row r="9470" spans="6:6" x14ac:dyDescent="0.2">
      <c r="F9470"/>
    </row>
    <row r="9471" spans="6:6" x14ac:dyDescent="0.2">
      <c r="F9471"/>
    </row>
    <row r="9472" spans="6:6" x14ac:dyDescent="0.2">
      <c r="F9472"/>
    </row>
    <row r="9473" spans="6:6" x14ac:dyDescent="0.2">
      <c r="F9473"/>
    </row>
    <row r="9474" spans="6:6" x14ac:dyDescent="0.2">
      <c r="F9474"/>
    </row>
    <row r="9475" spans="6:6" x14ac:dyDescent="0.2">
      <c r="F9475"/>
    </row>
    <row r="9476" spans="6:6" x14ac:dyDescent="0.2">
      <c r="F9476"/>
    </row>
    <row r="9477" spans="6:6" x14ac:dyDescent="0.2">
      <c r="F9477"/>
    </row>
    <row r="9478" spans="6:6" x14ac:dyDescent="0.2">
      <c r="F9478"/>
    </row>
    <row r="9479" spans="6:6" x14ac:dyDescent="0.2">
      <c r="F9479"/>
    </row>
    <row r="9480" spans="6:6" x14ac:dyDescent="0.2">
      <c r="F9480"/>
    </row>
    <row r="9481" spans="6:6" x14ac:dyDescent="0.2">
      <c r="F9481"/>
    </row>
    <row r="9482" spans="6:6" x14ac:dyDescent="0.2">
      <c r="F9482"/>
    </row>
    <row r="9483" spans="6:6" x14ac:dyDescent="0.2">
      <c r="F9483"/>
    </row>
    <row r="9484" spans="6:6" x14ac:dyDescent="0.2">
      <c r="F9484"/>
    </row>
    <row r="9485" spans="6:6" x14ac:dyDescent="0.2">
      <c r="F9485"/>
    </row>
    <row r="9486" spans="6:6" x14ac:dyDescent="0.2">
      <c r="F9486"/>
    </row>
    <row r="9487" spans="6:6" x14ac:dyDescent="0.2">
      <c r="F9487"/>
    </row>
    <row r="9488" spans="6:6" x14ac:dyDescent="0.2">
      <c r="F9488"/>
    </row>
    <row r="9489" spans="6:6" x14ac:dyDescent="0.2">
      <c r="F9489"/>
    </row>
    <row r="9490" spans="6:6" x14ac:dyDescent="0.2">
      <c r="F9490"/>
    </row>
    <row r="9491" spans="6:6" x14ac:dyDescent="0.2">
      <c r="F9491"/>
    </row>
    <row r="9492" spans="6:6" x14ac:dyDescent="0.2">
      <c r="F9492"/>
    </row>
    <row r="9493" spans="6:6" x14ac:dyDescent="0.2">
      <c r="F9493"/>
    </row>
    <row r="9494" spans="6:6" x14ac:dyDescent="0.2">
      <c r="F9494"/>
    </row>
    <row r="9495" spans="6:6" x14ac:dyDescent="0.2">
      <c r="F9495"/>
    </row>
    <row r="9496" spans="6:6" x14ac:dyDescent="0.2">
      <c r="F9496"/>
    </row>
    <row r="9497" spans="6:6" x14ac:dyDescent="0.2">
      <c r="F9497"/>
    </row>
    <row r="9498" spans="6:6" x14ac:dyDescent="0.2">
      <c r="F9498"/>
    </row>
    <row r="9499" spans="6:6" x14ac:dyDescent="0.2">
      <c r="F9499"/>
    </row>
    <row r="9500" spans="6:6" x14ac:dyDescent="0.2">
      <c r="F9500"/>
    </row>
    <row r="9501" spans="6:6" x14ac:dyDescent="0.2">
      <c r="F9501"/>
    </row>
    <row r="9502" spans="6:6" x14ac:dyDescent="0.2">
      <c r="F9502"/>
    </row>
    <row r="9503" spans="6:6" x14ac:dyDescent="0.2">
      <c r="F9503"/>
    </row>
    <row r="9504" spans="6:6" x14ac:dyDescent="0.2">
      <c r="F9504"/>
    </row>
    <row r="9505" spans="6:6" x14ac:dyDescent="0.2">
      <c r="F9505"/>
    </row>
    <row r="9506" spans="6:6" x14ac:dyDescent="0.2">
      <c r="F9506"/>
    </row>
    <row r="9507" spans="6:6" x14ac:dyDescent="0.2">
      <c r="F9507"/>
    </row>
    <row r="9508" spans="6:6" x14ac:dyDescent="0.2">
      <c r="F9508"/>
    </row>
    <row r="9509" spans="6:6" x14ac:dyDescent="0.2">
      <c r="F9509"/>
    </row>
    <row r="9510" spans="6:6" x14ac:dyDescent="0.2">
      <c r="F9510"/>
    </row>
    <row r="9511" spans="6:6" x14ac:dyDescent="0.2">
      <c r="F9511"/>
    </row>
    <row r="9512" spans="6:6" x14ac:dyDescent="0.2">
      <c r="F9512"/>
    </row>
    <row r="9513" spans="6:6" x14ac:dyDescent="0.2">
      <c r="F9513"/>
    </row>
    <row r="9514" spans="6:6" x14ac:dyDescent="0.2">
      <c r="F9514"/>
    </row>
    <row r="9515" spans="6:6" x14ac:dyDescent="0.2">
      <c r="F9515"/>
    </row>
    <row r="9516" spans="6:6" x14ac:dyDescent="0.2">
      <c r="F9516"/>
    </row>
    <row r="9517" spans="6:6" x14ac:dyDescent="0.2">
      <c r="F9517"/>
    </row>
    <row r="9518" spans="6:6" x14ac:dyDescent="0.2">
      <c r="F9518"/>
    </row>
    <row r="9519" spans="6:6" x14ac:dyDescent="0.2">
      <c r="F9519"/>
    </row>
    <row r="9520" spans="6:6" x14ac:dyDescent="0.2">
      <c r="F9520"/>
    </row>
    <row r="9521" spans="6:6" x14ac:dyDescent="0.2">
      <c r="F9521"/>
    </row>
    <row r="9522" spans="6:6" x14ac:dyDescent="0.2">
      <c r="F9522"/>
    </row>
    <row r="9523" spans="6:6" x14ac:dyDescent="0.2">
      <c r="F9523"/>
    </row>
    <row r="9524" spans="6:6" x14ac:dyDescent="0.2">
      <c r="F9524"/>
    </row>
    <row r="9525" spans="6:6" x14ac:dyDescent="0.2">
      <c r="F9525"/>
    </row>
    <row r="9526" spans="6:6" x14ac:dyDescent="0.2">
      <c r="F9526"/>
    </row>
    <row r="9527" spans="6:6" x14ac:dyDescent="0.2">
      <c r="F9527"/>
    </row>
    <row r="9528" spans="6:6" x14ac:dyDescent="0.2">
      <c r="F9528"/>
    </row>
    <row r="9529" spans="6:6" x14ac:dyDescent="0.2">
      <c r="F9529"/>
    </row>
    <row r="9530" spans="6:6" x14ac:dyDescent="0.2">
      <c r="F9530"/>
    </row>
    <row r="9531" spans="6:6" x14ac:dyDescent="0.2">
      <c r="F9531"/>
    </row>
    <row r="9532" spans="6:6" x14ac:dyDescent="0.2">
      <c r="F9532"/>
    </row>
    <row r="9533" spans="6:6" x14ac:dyDescent="0.2">
      <c r="F9533"/>
    </row>
    <row r="9534" spans="6:6" x14ac:dyDescent="0.2">
      <c r="F9534"/>
    </row>
    <row r="9535" spans="6:6" x14ac:dyDescent="0.2">
      <c r="F9535"/>
    </row>
    <row r="9536" spans="6:6" x14ac:dyDescent="0.2">
      <c r="F9536"/>
    </row>
    <row r="9537" spans="6:6" x14ac:dyDescent="0.2">
      <c r="F9537"/>
    </row>
    <row r="9538" spans="6:6" x14ac:dyDescent="0.2">
      <c r="F9538"/>
    </row>
    <row r="9539" spans="6:6" x14ac:dyDescent="0.2">
      <c r="F9539"/>
    </row>
    <row r="9540" spans="6:6" x14ac:dyDescent="0.2">
      <c r="F9540"/>
    </row>
    <row r="9541" spans="6:6" x14ac:dyDescent="0.2">
      <c r="F9541"/>
    </row>
    <row r="9542" spans="6:6" x14ac:dyDescent="0.2">
      <c r="F9542"/>
    </row>
    <row r="9543" spans="6:6" x14ac:dyDescent="0.2">
      <c r="F9543"/>
    </row>
    <row r="9544" spans="6:6" x14ac:dyDescent="0.2">
      <c r="F9544"/>
    </row>
    <row r="9545" spans="6:6" x14ac:dyDescent="0.2">
      <c r="F9545"/>
    </row>
    <row r="9546" spans="6:6" x14ac:dyDescent="0.2">
      <c r="F9546"/>
    </row>
    <row r="9547" spans="6:6" x14ac:dyDescent="0.2">
      <c r="F9547"/>
    </row>
    <row r="9548" spans="6:6" x14ac:dyDescent="0.2">
      <c r="F9548"/>
    </row>
    <row r="9549" spans="6:6" x14ac:dyDescent="0.2">
      <c r="F9549"/>
    </row>
    <row r="9550" spans="6:6" x14ac:dyDescent="0.2">
      <c r="F9550"/>
    </row>
    <row r="9551" spans="6:6" x14ac:dyDescent="0.2">
      <c r="F9551"/>
    </row>
    <row r="9552" spans="6:6" x14ac:dyDescent="0.2">
      <c r="F9552"/>
    </row>
    <row r="9553" spans="6:6" x14ac:dyDescent="0.2">
      <c r="F9553"/>
    </row>
    <row r="9554" spans="6:6" x14ac:dyDescent="0.2">
      <c r="F9554"/>
    </row>
    <row r="9555" spans="6:6" x14ac:dyDescent="0.2">
      <c r="F9555"/>
    </row>
    <row r="9556" spans="6:6" x14ac:dyDescent="0.2">
      <c r="F9556"/>
    </row>
    <row r="9557" spans="6:6" x14ac:dyDescent="0.2">
      <c r="F9557"/>
    </row>
    <row r="9558" spans="6:6" x14ac:dyDescent="0.2">
      <c r="F9558"/>
    </row>
    <row r="9559" spans="6:6" x14ac:dyDescent="0.2">
      <c r="F9559"/>
    </row>
    <row r="9560" spans="6:6" x14ac:dyDescent="0.2">
      <c r="F9560"/>
    </row>
    <row r="9561" spans="6:6" x14ac:dyDescent="0.2">
      <c r="F9561"/>
    </row>
    <row r="9562" spans="6:6" x14ac:dyDescent="0.2">
      <c r="F9562"/>
    </row>
    <row r="9563" spans="6:6" x14ac:dyDescent="0.2">
      <c r="F9563"/>
    </row>
    <row r="9564" spans="6:6" x14ac:dyDescent="0.2">
      <c r="F9564"/>
    </row>
    <row r="9565" spans="6:6" x14ac:dyDescent="0.2">
      <c r="F9565"/>
    </row>
    <row r="9566" spans="6:6" x14ac:dyDescent="0.2">
      <c r="F9566"/>
    </row>
    <row r="9567" spans="6:6" x14ac:dyDescent="0.2">
      <c r="F9567"/>
    </row>
    <row r="9568" spans="6:6" x14ac:dyDescent="0.2">
      <c r="F9568"/>
    </row>
    <row r="9569" spans="6:6" x14ac:dyDescent="0.2">
      <c r="F9569"/>
    </row>
    <row r="9570" spans="6:6" x14ac:dyDescent="0.2">
      <c r="F9570"/>
    </row>
    <row r="9571" spans="6:6" x14ac:dyDescent="0.2">
      <c r="F9571"/>
    </row>
    <row r="9572" spans="6:6" x14ac:dyDescent="0.2">
      <c r="F9572"/>
    </row>
    <row r="9573" spans="6:6" x14ac:dyDescent="0.2">
      <c r="F9573"/>
    </row>
    <row r="9574" spans="6:6" x14ac:dyDescent="0.2">
      <c r="F9574"/>
    </row>
    <row r="9575" spans="6:6" x14ac:dyDescent="0.2">
      <c r="F9575"/>
    </row>
    <row r="9576" spans="6:6" x14ac:dyDescent="0.2">
      <c r="F9576"/>
    </row>
    <row r="9577" spans="6:6" x14ac:dyDescent="0.2">
      <c r="F9577"/>
    </row>
    <row r="9578" spans="6:6" x14ac:dyDescent="0.2">
      <c r="F9578"/>
    </row>
    <row r="9579" spans="6:6" x14ac:dyDescent="0.2">
      <c r="F9579"/>
    </row>
    <row r="9580" spans="6:6" x14ac:dyDescent="0.2">
      <c r="F9580"/>
    </row>
    <row r="9581" spans="6:6" x14ac:dyDescent="0.2">
      <c r="F9581"/>
    </row>
    <row r="9582" spans="6:6" x14ac:dyDescent="0.2">
      <c r="F9582"/>
    </row>
    <row r="9583" spans="6:6" x14ac:dyDescent="0.2">
      <c r="F9583"/>
    </row>
    <row r="9584" spans="6:6" x14ac:dyDescent="0.2">
      <c r="F9584"/>
    </row>
    <row r="9585" spans="6:6" x14ac:dyDescent="0.2">
      <c r="F9585"/>
    </row>
    <row r="9586" spans="6:6" x14ac:dyDescent="0.2">
      <c r="F9586"/>
    </row>
    <row r="9587" spans="6:6" x14ac:dyDescent="0.2">
      <c r="F9587"/>
    </row>
    <row r="9588" spans="6:6" x14ac:dyDescent="0.2">
      <c r="F9588"/>
    </row>
    <row r="9589" spans="6:6" x14ac:dyDescent="0.2">
      <c r="F9589"/>
    </row>
    <row r="9590" spans="6:6" x14ac:dyDescent="0.2">
      <c r="F9590"/>
    </row>
    <row r="9591" spans="6:6" x14ac:dyDescent="0.2">
      <c r="F9591"/>
    </row>
    <row r="9592" spans="6:6" x14ac:dyDescent="0.2">
      <c r="F9592"/>
    </row>
    <row r="9593" spans="6:6" x14ac:dyDescent="0.2">
      <c r="F9593"/>
    </row>
    <row r="9594" spans="6:6" x14ac:dyDescent="0.2">
      <c r="F9594"/>
    </row>
    <row r="9595" spans="6:6" x14ac:dyDescent="0.2">
      <c r="F9595"/>
    </row>
    <row r="9596" spans="6:6" x14ac:dyDescent="0.2">
      <c r="F9596"/>
    </row>
    <row r="9597" spans="6:6" x14ac:dyDescent="0.2">
      <c r="F9597"/>
    </row>
    <row r="9598" spans="6:6" x14ac:dyDescent="0.2">
      <c r="F9598"/>
    </row>
    <row r="9599" spans="6:6" x14ac:dyDescent="0.2">
      <c r="F9599"/>
    </row>
    <row r="9600" spans="6:6" x14ac:dyDescent="0.2">
      <c r="F9600"/>
    </row>
    <row r="9601" spans="6:6" x14ac:dyDescent="0.2">
      <c r="F9601"/>
    </row>
    <row r="9602" spans="6:6" x14ac:dyDescent="0.2">
      <c r="F9602"/>
    </row>
    <row r="9603" spans="6:6" x14ac:dyDescent="0.2">
      <c r="F9603"/>
    </row>
    <row r="9604" spans="6:6" x14ac:dyDescent="0.2">
      <c r="F9604"/>
    </row>
    <row r="9605" spans="6:6" x14ac:dyDescent="0.2">
      <c r="F9605"/>
    </row>
    <row r="9606" spans="6:6" x14ac:dyDescent="0.2">
      <c r="F9606"/>
    </row>
    <row r="9607" spans="6:6" x14ac:dyDescent="0.2">
      <c r="F9607"/>
    </row>
    <row r="9608" spans="6:6" x14ac:dyDescent="0.2">
      <c r="F9608"/>
    </row>
    <row r="9609" spans="6:6" x14ac:dyDescent="0.2">
      <c r="F9609"/>
    </row>
    <row r="9610" spans="6:6" x14ac:dyDescent="0.2">
      <c r="F9610"/>
    </row>
    <row r="9611" spans="6:6" x14ac:dyDescent="0.2">
      <c r="F9611"/>
    </row>
    <row r="9612" spans="6:6" x14ac:dyDescent="0.2">
      <c r="F9612"/>
    </row>
    <row r="9613" spans="6:6" x14ac:dyDescent="0.2">
      <c r="F9613"/>
    </row>
    <row r="9614" spans="6:6" x14ac:dyDescent="0.2">
      <c r="F9614"/>
    </row>
    <row r="9615" spans="6:6" x14ac:dyDescent="0.2">
      <c r="F9615"/>
    </row>
    <row r="9616" spans="6:6" x14ac:dyDescent="0.2">
      <c r="F9616"/>
    </row>
    <row r="9617" spans="6:6" x14ac:dyDescent="0.2">
      <c r="F9617"/>
    </row>
    <row r="9618" spans="6:6" x14ac:dyDescent="0.2">
      <c r="F9618"/>
    </row>
    <row r="9619" spans="6:6" x14ac:dyDescent="0.2">
      <c r="F9619"/>
    </row>
    <row r="9620" spans="6:6" x14ac:dyDescent="0.2">
      <c r="F9620"/>
    </row>
    <row r="9621" spans="6:6" x14ac:dyDescent="0.2">
      <c r="F9621"/>
    </row>
    <row r="9622" spans="6:6" x14ac:dyDescent="0.2">
      <c r="F9622"/>
    </row>
    <row r="9623" spans="6:6" x14ac:dyDescent="0.2">
      <c r="F9623"/>
    </row>
    <row r="9624" spans="6:6" x14ac:dyDescent="0.2">
      <c r="F9624"/>
    </row>
    <row r="9625" spans="6:6" x14ac:dyDescent="0.2">
      <c r="F9625"/>
    </row>
    <row r="9626" spans="6:6" x14ac:dyDescent="0.2">
      <c r="F9626"/>
    </row>
    <row r="9627" spans="6:6" x14ac:dyDescent="0.2">
      <c r="F9627"/>
    </row>
    <row r="9628" spans="6:6" x14ac:dyDescent="0.2">
      <c r="F9628"/>
    </row>
    <row r="9629" spans="6:6" x14ac:dyDescent="0.2">
      <c r="F9629"/>
    </row>
    <row r="9630" spans="6:6" x14ac:dyDescent="0.2">
      <c r="F9630"/>
    </row>
    <row r="9631" spans="6:6" x14ac:dyDescent="0.2">
      <c r="F9631"/>
    </row>
    <row r="9632" spans="6:6" x14ac:dyDescent="0.2">
      <c r="F9632"/>
    </row>
    <row r="9633" spans="6:6" x14ac:dyDescent="0.2">
      <c r="F9633"/>
    </row>
    <row r="9634" spans="6:6" x14ac:dyDescent="0.2">
      <c r="F9634"/>
    </row>
    <row r="9635" spans="6:6" x14ac:dyDescent="0.2">
      <c r="F9635"/>
    </row>
    <row r="9636" spans="6:6" x14ac:dyDescent="0.2">
      <c r="F9636"/>
    </row>
    <row r="9637" spans="6:6" x14ac:dyDescent="0.2">
      <c r="F9637"/>
    </row>
    <row r="9638" spans="6:6" x14ac:dyDescent="0.2">
      <c r="F9638"/>
    </row>
    <row r="9639" spans="6:6" x14ac:dyDescent="0.2">
      <c r="F9639"/>
    </row>
    <row r="9640" spans="6:6" x14ac:dyDescent="0.2">
      <c r="F9640"/>
    </row>
    <row r="9641" spans="6:6" x14ac:dyDescent="0.2">
      <c r="F9641"/>
    </row>
    <row r="9642" spans="6:6" x14ac:dyDescent="0.2">
      <c r="F9642"/>
    </row>
    <row r="9643" spans="6:6" x14ac:dyDescent="0.2">
      <c r="F9643"/>
    </row>
    <row r="9644" spans="6:6" x14ac:dyDescent="0.2">
      <c r="F9644"/>
    </row>
    <row r="9645" spans="6:6" x14ac:dyDescent="0.2">
      <c r="F9645"/>
    </row>
    <row r="9646" spans="6:6" x14ac:dyDescent="0.2">
      <c r="F9646"/>
    </row>
    <row r="9647" spans="6:6" x14ac:dyDescent="0.2">
      <c r="F9647"/>
    </row>
    <row r="9648" spans="6:6" x14ac:dyDescent="0.2">
      <c r="F9648"/>
    </row>
    <row r="9649" spans="6:6" x14ac:dyDescent="0.2">
      <c r="F9649"/>
    </row>
    <row r="9650" spans="6:6" x14ac:dyDescent="0.2">
      <c r="F9650"/>
    </row>
    <row r="9651" spans="6:6" x14ac:dyDescent="0.2">
      <c r="F9651"/>
    </row>
    <row r="9652" spans="6:6" x14ac:dyDescent="0.2">
      <c r="F9652"/>
    </row>
    <row r="9653" spans="6:6" x14ac:dyDescent="0.2">
      <c r="F9653"/>
    </row>
    <row r="9654" spans="6:6" x14ac:dyDescent="0.2">
      <c r="F9654"/>
    </row>
    <row r="9655" spans="6:6" x14ac:dyDescent="0.2">
      <c r="F9655"/>
    </row>
    <row r="9656" spans="6:6" x14ac:dyDescent="0.2">
      <c r="F9656"/>
    </row>
    <row r="9657" spans="6:6" x14ac:dyDescent="0.2">
      <c r="F9657"/>
    </row>
    <row r="9658" spans="6:6" x14ac:dyDescent="0.2">
      <c r="F9658"/>
    </row>
    <row r="9659" spans="6:6" x14ac:dyDescent="0.2">
      <c r="F9659"/>
    </row>
    <row r="9660" spans="6:6" x14ac:dyDescent="0.2">
      <c r="F9660"/>
    </row>
    <row r="9661" spans="6:6" x14ac:dyDescent="0.2">
      <c r="F9661"/>
    </row>
    <row r="9662" spans="6:6" x14ac:dyDescent="0.2">
      <c r="F9662"/>
    </row>
    <row r="9663" spans="6:6" x14ac:dyDescent="0.2">
      <c r="F9663"/>
    </row>
    <row r="9664" spans="6:6" x14ac:dyDescent="0.2">
      <c r="F9664"/>
    </row>
    <row r="9665" spans="6:6" x14ac:dyDescent="0.2">
      <c r="F9665"/>
    </row>
    <row r="9666" spans="6:6" x14ac:dyDescent="0.2">
      <c r="F9666"/>
    </row>
    <row r="9667" spans="6:6" x14ac:dyDescent="0.2">
      <c r="F9667"/>
    </row>
    <row r="9668" spans="6:6" x14ac:dyDescent="0.2">
      <c r="F9668"/>
    </row>
    <row r="9669" spans="6:6" x14ac:dyDescent="0.2">
      <c r="F9669"/>
    </row>
    <row r="9670" spans="6:6" x14ac:dyDescent="0.2">
      <c r="F9670"/>
    </row>
    <row r="9671" spans="6:6" x14ac:dyDescent="0.2">
      <c r="F9671"/>
    </row>
    <row r="9672" spans="6:6" x14ac:dyDescent="0.2">
      <c r="F9672"/>
    </row>
    <row r="9673" spans="6:6" x14ac:dyDescent="0.2">
      <c r="F9673"/>
    </row>
    <row r="9674" spans="6:6" x14ac:dyDescent="0.2">
      <c r="F9674"/>
    </row>
    <row r="9675" spans="6:6" x14ac:dyDescent="0.2">
      <c r="F9675"/>
    </row>
    <row r="9676" spans="6:6" x14ac:dyDescent="0.2">
      <c r="F9676"/>
    </row>
    <row r="9677" spans="6:6" x14ac:dyDescent="0.2">
      <c r="F9677"/>
    </row>
    <row r="9678" spans="6:6" x14ac:dyDescent="0.2">
      <c r="F9678"/>
    </row>
    <row r="9679" spans="6:6" x14ac:dyDescent="0.2">
      <c r="F9679"/>
    </row>
    <row r="9680" spans="6:6" x14ac:dyDescent="0.2">
      <c r="F9680"/>
    </row>
    <row r="9681" spans="6:6" x14ac:dyDescent="0.2">
      <c r="F9681"/>
    </row>
    <row r="9682" spans="6:6" x14ac:dyDescent="0.2">
      <c r="F9682"/>
    </row>
    <row r="9683" spans="6:6" x14ac:dyDescent="0.2">
      <c r="F9683"/>
    </row>
    <row r="9684" spans="6:6" x14ac:dyDescent="0.2">
      <c r="F9684"/>
    </row>
    <row r="9685" spans="6:6" x14ac:dyDescent="0.2">
      <c r="F9685"/>
    </row>
    <row r="9686" spans="6:6" x14ac:dyDescent="0.2">
      <c r="F9686"/>
    </row>
    <row r="9687" spans="6:6" x14ac:dyDescent="0.2">
      <c r="F9687"/>
    </row>
    <row r="9688" spans="6:6" x14ac:dyDescent="0.2">
      <c r="F9688"/>
    </row>
    <row r="9689" spans="6:6" x14ac:dyDescent="0.2">
      <c r="F9689"/>
    </row>
    <row r="9690" spans="6:6" x14ac:dyDescent="0.2">
      <c r="F9690"/>
    </row>
    <row r="9691" spans="6:6" x14ac:dyDescent="0.2">
      <c r="F9691"/>
    </row>
    <row r="9692" spans="6:6" x14ac:dyDescent="0.2">
      <c r="F9692"/>
    </row>
    <row r="9693" spans="6:6" x14ac:dyDescent="0.2">
      <c r="F9693"/>
    </row>
    <row r="9694" spans="6:6" x14ac:dyDescent="0.2">
      <c r="F9694"/>
    </row>
    <row r="9695" spans="6:6" x14ac:dyDescent="0.2">
      <c r="F9695"/>
    </row>
    <row r="9696" spans="6:6" x14ac:dyDescent="0.2">
      <c r="F9696"/>
    </row>
    <row r="9697" spans="6:6" x14ac:dyDescent="0.2">
      <c r="F9697"/>
    </row>
    <row r="9698" spans="6:6" x14ac:dyDescent="0.2">
      <c r="F9698"/>
    </row>
    <row r="9699" spans="6:6" x14ac:dyDescent="0.2">
      <c r="F9699"/>
    </row>
    <row r="9700" spans="6:6" x14ac:dyDescent="0.2">
      <c r="F9700"/>
    </row>
    <row r="9701" spans="6:6" x14ac:dyDescent="0.2">
      <c r="F9701"/>
    </row>
    <row r="9702" spans="6:6" x14ac:dyDescent="0.2">
      <c r="F9702"/>
    </row>
    <row r="9703" spans="6:6" x14ac:dyDescent="0.2">
      <c r="F9703"/>
    </row>
    <row r="9704" spans="6:6" x14ac:dyDescent="0.2">
      <c r="F9704"/>
    </row>
    <row r="9705" spans="6:6" x14ac:dyDescent="0.2">
      <c r="F9705"/>
    </row>
    <row r="9706" spans="6:6" x14ac:dyDescent="0.2">
      <c r="F9706"/>
    </row>
    <row r="9707" spans="6:6" x14ac:dyDescent="0.2">
      <c r="F9707"/>
    </row>
    <row r="9708" spans="6:6" x14ac:dyDescent="0.2">
      <c r="F9708"/>
    </row>
    <row r="9709" spans="6:6" x14ac:dyDescent="0.2">
      <c r="F9709"/>
    </row>
    <row r="9710" spans="6:6" x14ac:dyDescent="0.2">
      <c r="F9710"/>
    </row>
    <row r="9711" spans="6:6" x14ac:dyDescent="0.2">
      <c r="F9711"/>
    </row>
    <row r="9712" spans="6:6" x14ac:dyDescent="0.2">
      <c r="F9712"/>
    </row>
    <row r="9713" spans="6:6" x14ac:dyDescent="0.2">
      <c r="F9713"/>
    </row>
    <row r="9714" spans="6:6" x14ac:dyDescent="0.2">
      <c r="F9714"/>
    </row>
    <row r="9715" spans="6:6" x14ac:dyDescent="0.2">
      <c r="F9715"/>
    </row>
    <row r="9716" spans="6:6" x14ac:dyDescent="0.2">
      <c r="F9716"/>
    </row>
    <row r="9717" spans="6:6" x14ac:dyDescent="0.2">
      <c r="F9717"/>
    </row>
    <row r="9718" spans="6:6" x14ac:dyDescent="0.2">
      <c r="F9718"/>
    </row>
    <row r="9719" spans="6:6" x14ac:dyDescent="0.2">
      <c r="F9719"/>
    </row>
    <row r="9720" spans="6:6" x14ac:dyDescent="0.2">
      <c r="F9720"/>
    </row>
    <row r="9721" spans="6:6" x14ac:dyDescent="0.2">
      <c r="F9721"/>
    </row>
    <row r="9722" spans="6:6" x14ac:dyDescent="0.2">
      <c r="F9722"/>
    </row>
    <row r="9723" spans="6:6" x14ac:dyDescent="0.2">
      <c r="F9723"/>
    </row>
    <row r="9724" spans="6:6" x14ac:dyDescent="0.2">
      <c r="F9724"/>
    </row>
    <row r="9725" spans="6:6" x14ac:dyDescent="0.2">
      <c r="F9725"/>
    </row>
    <row r="9726" spans="6:6" x14ac:dyDescent="0.2">
      <c r="F9726"/>
    </row>
    <row r="9727" spans="6:6" x14ac:dyDescent="0.2">
      <c r="F9727"/>
    </row>
    <row r="9728" spans="6:6" x14ac:dyDescent="0.2">
      <c r="F9728"/>
    </row>
    <row r="9729" spans="6:6" x14ac:dyDescent="0.2">
      <c r="F9729"/>
    </row>
    <row r="9730" spans="6:6" x14ac:dyDescent="0.2">
      <c r="F9730"/>
    </row>
    <row r="9731" spans="6:6" x14ac:dyDescent="0.2">
      <c r="F9731"/>
    </row>
    <row r="9732" spans="6:6" x14ac:dyDescent="0.2">
      <c r="F9732"/>
    </row>
    <row r="9733" spans="6:6" x14ac:dyDescent="0.2">
      <c r="F9733"/>
    </row>
    <row r="9734" spans="6:6" x14ac:dyDescent="0.2">
      <c r="F9734"/>
    </row>
    <row r="9735" spans="6:6" x14ac:dyDescent="0.2">
      <c r="F9735"/>
    </row>
    <row r="9736" spans="6:6" x14ac:dyDescent="0.2">
      <c r="F9736"/>
    </row>
    <row r="9737" spans="6:6" x14ac:dyDescent="0.2">
      <c r="F9737"/>
    </row>
    <row r="9738" spans="6:6" x14ac:dyDescent="0.2">
      <c r="F9738"/>
    </row>
    <row r="9739" spans="6:6" x14ac:dyDescent="0.2">
      <c r="F9739"/>
    </row>
    <row r="9740" spans="6:6" x14ac:dyDescent="0.2">
      <c r="F9740"/>
    </row>
    <row r="9741" spans="6:6" x14ac:dyDescent="0.2">
      <c r="F9741"/>
    </row>
    <row r="9742" spans="6:6" x14ac:dyDescent="0.2">
      <c r="F9742"/>
    </row>
    <row r="9743" spans="6:6" x14ac:dyDescent="0.2">
      <c r="F9743"/>
    </row>
    <row r="9744" spans="6:6" x14ac:dyDescent="0.2">
      <c r="F9744"/>
    </row>
    <row r="9745" spans="6:6" x14ac:dyDescent="0.2">
      <c r="F9745"/>
    </row>
    <row r="9746" spans="6:6" x14ac:dyDescent="0.2">
      <c r="F9746"/>
    </row>
    <row r="9747" spans="6:6" x14ac:dyDescent="0.2">
      <c r="F9747"/>
    </row>
    <row r="9748" spans="6:6" x14ac:dyDescent="0.2">
      <c r="F9748"/>
    </row>
    <row r="9749" spans="6:6" x14ac:dyDescent="0.2">
      <c r="F9749"/>
    </row>
    <row r="9750" spans="6:6" x14ac:dyDescent="0.2">
      <c r="F9750"/>
    </row>
    <row r="9751" spans="6:6" x14ac:dyDescent="0.2">
      <c r="F9751"/>
    </row>
    <row r="9752" spans="6:6" x14ac:dyDescent="0.2">
      <c r="F9752"/>
    </row>
    <row r="9753" spans="6:6" x14ac:dyDescent="0.2">
      <c r="F9753"/>
    </row>
    <row r="9754" spans="6:6" x14ac:dyDescent="0.2">
      <c r="F9754"/>
    </row>
    <row r="9755" spans="6:6" x14ac:dyDescent="0.2">
      <c r="F9755"/>
    </row>
    <row r="9756" spans="6:6" x14ac:dyDescent="0.2">
      <c r="F9756"/>
    </row>
    <row r="9757" spans="6:6" x14ac:dyDescent="0.2">
      <c r="F9757"/>
    </row>
    <row r="9758" spans="6:6" x14ac:dyDescent="0.2">
      <c r="F9758"/>
    </row>
    <row r="9759" spans="6:6" x14ac:dyDescent="0.2">
      <c r="F9759"/>
    </row>
    <row r="9760" spans="6:6" x14ac:dyDescent="0.2">
      <c r="F9760"/>
    </row>
    <row r="9761" spans="6:6" x14ac:dyDescent="0.2">
      <c r="F9761"/>
    </row>
    <row r="9762" spans="6:6" x14ac:dyDescent="0.2">
      <c r="F9762"/>
    </row>
    <row r="9763" spans="6:6" x14ac:dyDescent="0.2">
      <c r="F9763"/>
    </row>
    <row r="9764" spans="6:6" x14ac:dyDescent="0.2">
      <c r="F9764"/>
    </row>
    <row r="9765" spans="6:6" x14ac:dyDescent="0.2">
      <c r="F9765"/>
    </row>
    <row r="9766" spans="6:6" x14ac:dyDescent="0.2">
      <c r="F9766"/>
    </row>
    <row r="9767" spans="6:6" x14ac:dyDescent="0.2">
      <c r="F9767"/>
    </row>
    <row r="9768" spans="6:6" x14ac:dyDescent="0.2">
      <c r="F9768"/>
    </row>
    <row r="9769" spans="6:6" x14ac:dyDescent="0.2">
      <c r="F9769"/>
    </row>
    <row r="9770" spans="6:6" x14ac:dyDescent="0.2">
      <c r="F9770"/>
    </row>
    <row r="9771" spans="6:6" x14ac:dyDescent="0.2">
      <c r="F9771"/>
    </row>
    <row r="9772" spans="6:6" x14ac:dyDescent="0.2">
      <c r="F9772"/>
    </row>
    <row r="9773" spans="6:6" x14ac:dyDescent="0.2">
      <c r="F9773"/>
    </row>
    <row r="9774" spans="6:6" x14ac:dyDescent="0.2">
      <c r="F9774"/>
    </row>
    <row r="9775" spans="6:6" x14ac:dyDescent="0.2">
      <c r="F9775"/>
    </row>
    <row r="9776" spans="6:6" x14ac:dyDescent="0.2">
      <c r="F9776"/>
    </row>
    <row r="9777" spans="6:6" x14ac:dyDescent="0.2">
      <c r="F9777"/>
    </row>
    <row r="9778" spans="6:6" x14ac:dyDescent="0.2">
      <c r="F9778"/>
    </row>
    <row r="9779" spans="6:6" x14ac:dyDescent="0.2">
      <c r="F9779"/>
    </row>
    <row r="9780" spans="6:6" x14ac:dyDescent="0.2">
      <c r="F9780"/>
    </row>
    <row r="9781" spans="6:6" x14ac:dyDescent="0.2">
      <c r="F9781"/>
    </row>
    <row r="9782" spans="6:6" x14ac:dyDescent="0.2">
      <c r="F9782"/>
    </row>
    <row r="9783" spans="6:6" x14ac:dyDescent="0.2">
      <c r="F9783"/>
    </row>
    <row r="9784" spans="6:6" x14ac:dyDescent="0.2">
      <c r="F9784"/>
    </row>
    <row r="9785" spans="6:6" x14ac:dyDescent="0.2">
      <c r="F9785"/>
    </row>
    <row r="9786" spans="6:6" x14ac:dyDescent="0.2">
      <c r="F9786"/>
    </row>
    <row r="9787" spans="6:6" x14ac:dyDescent="0.2">
      <c r="F9787"/>
    </row>
    <row r="9788" spans="6:6" x14ac:dyDescent="0.2">
      <c r="F9788"/>
    </row>
    <row r="9789" spans="6:6" x14ac:dyDescent="0.2">
      <c r="F9789"/>
    </row>
    <row r="9790" spans="6:6" x14ac:dyDescent="0.2">
      <c r="F9790"/>
    </row>
    <row r="9791" spans="6:6" x14ac:dyDescent="0.2">
      <c r="F9791"/>
    </row>
    <row r="9792" spans="6:6" x14ac:dyDescent="0.2">
      <c r="F9792"/>
    </row>
    <row r="9793" spans="6:6" x14ac:dyDescent="0.2">
      <c r="F9793"/>
    </row>
    <row r="9794" spans="6:6" x14ac:dyDescent="0.2">
      <c r="F9794"/>
    </row>
    <row r="9795" spans="6:6" x14ac:dyDescent="0.2">
      <c r="F9795"/>
    </row>
    <row r="9796" spans="6:6" x14ac:dyDescent="0.2">
      <c r="F9796"/>
    </row>
    <row r="9797" spans="6:6" x14ac:dyDescent="0.2">
      <c r="F9797"/>
    </row>
    <row r="9798" spans="6:6" x14ac:dyDescent="0.2">
      <c r="F9798"/>
    </row>
    <row r="9799" spans="6:6" x14ac:dyDescent="0.2">
      <c r="F9799"/>
    </row>
    <row r="9800" spans="6:6" x14ac:dyDescent="0.2">
      <c r="F9800"/>
    </row>
    <row r="9801" spans="6:6" x14ac:dyDescent="0.2">
      <c r="F9801"/>
    </row>
    <row r="9802" spans="6:6" x14ac:dyDescent="0.2">
      <c r="F9802"/>
    </row>
    <row r="9803" spans="6:6" x14ac:dyDescent="0.2">
      <c r="F9803"/>
    </row>
    <row r="9804" spans="6:6" x14ac:dyDescent="0.2">
      <c r="F9804"/>
    </row>
    <row r="9805" spans="6:6" x14ac:dyDescent="0.2">
      <c r="F9805"/>
    </row>
    <row r="9806" spans="6:6" x14ac:dyDescent="0.2">
      <c r="F9806"/>
    </row>
    <row r="9807" spans="6:6" x14ac:dyDescent="0.2">
      <c r="F9807"/>
    </row>
    <row r="9808" spans="6:6" x14ac:dyDescent="0.2">
      <c r="F9808"/>
    </row>
    <row r="9809" spans="6:6" x14ac:dyDescent="0.2">
      <c r="F9809"/>
    </row>
    <row r="9810" spans="6:6" x14ac:dyDescent="0.2">
      <c r="F9810"/>
    </row>
    <row r="9811" spans="6:6" x14ac:dyDescent="0.2">
      <c r="F9811"/>
    </row>
    <row r="9812" spans="6:6" x14ac:dyDescent="0.2">
      <c r="F9812"/>
    </row>
    <row r="9813" spans="6:6" x14ac:dyDescent="0.2">
      <c r="F9813"/>
    </row>
    <row r="9814" spans="6:6" x14ac:dyDescent="0.2">
      <c r="F9814"/>
    </row>
    <row r="9815" spans="6:6" x14ac:dyDescent="0.2">
      <c r="F9815"/>
    </row>
    <row r="9816" spans="6:6" x14ac:dyDescent="0.2">
      <c r="F9816"/>
    </row>
    <row r="9817" spans="6:6" x14ac:dyDescent="0.2">
      <c r="F9817"/>
    </row>
    <row r="9818" spans="6:6" x14ac:dyDescent="0.2">
      <c r="F9818"/>
    </row>
    <row r="9819" spans="6:6" x14ac:dyDescent="0.2">
      <c r="F9819"/>
    </row>
    <row r="9820" spans="6:6" x14ac:dyDescent="0.2">
      <c r="F9820"/>
    </row>
    <row r="9821" spans="6:6" x14ac:dyDescent="0.2">
      <c r="F9821"/>
    </row>
    <row r="9822" spans="6:6" x14ac:dyDescent="0.2">
      <c r="F9822"/>
    </row>
    <row r="9823" spans="6:6" x14ac:dyDescent="0.2">
      <c r="F9823"/>
    </row>
    <row r="9824" spans="6:6" x14ac:dyDescent="0.2">
      <c r="F9824"/>
    </row>
    <row r="9825" spans="6:6" x14ac:dyDescent="0.2">
      <c r="F9825"/>
    </row>
    <row r="9826" spans="6:6" x14ac:dyDescent="0.2">
      <c r="F9826"/>
    </row>
    <row r="9827" spans="6:6" x14ac:dyDescent="0.2">
      <c r="F9827"/>
    </row>
    <row r="9828" spans="6:6" x14ac:dyDescent="0.2">
      <c r="F9828"/>
    </row>
    <row r="9829" spans="6:6" x14ac:dyDescent="0.2">
      <c r="F9829"/>
    </row>
    <row r="9830" spans="6:6" x14ac:dyDescent="0.2">
      <c r="F9830"/>
    </row>
    <row r="9831" spans="6:6" x14ac:dyDescent="0.2">
      <c r="F9831"/>
    </row>
    <row r="9832" spans="6:6" x14ac:dyDescent="0.2">
      <c r="F9832"/>
    </row>
    <row r="9833" spans="6:6" x14ac:dyDescent="0.2">
      <c r="F9833"/>
    </row>
    <row r="9834" spans="6:6" x14ac:dyDescent="0.2">
      <c r="F9834"/>
    </row>
    <row r="9835" spans="6:6" x14ac:dyDescent="0.2">
      <c r="F9835"/>
    </row>
    <row r="9836" spans="6:6" x14ac:dyDescent="0.2">
      <c r="F9836"/>
    </row>
    <row r="9837" spans="6:6" x14ac:dyDescent="0.2">
      <c r="F9837"/>
    </row>
    <row r="9838" spans="6:6" x14ac:dyDescent="0.2">
      <c r="F9838"/>
    </row>
    <row r="9839" spans="6:6" x14ac:dyDescent="0.2">
      <c r="F9839"/>
    </row>
    <row r="9840" spans="6:6" x14ac:dyDescent="0.2">
      <c r="F9840"/>
    </row>
    <row r="9841" spans="6:6" x14ac:dyDescent="0.2">
      <c r="F9841"/>
    </row>
    <row r="9842" spans="6:6" x14ac:dyDescent="0.2">
      <c r="F9842"/>
    </row>
    <row r="9843" spans="6:6" x14ac:dyDescent="0.2">
      <c r="F9843"/>
    </row>
    <row r="9844" spans="6:6" x14ac:dyDescent="0.2">
      <c r="F9844"/>
    </row>
    <row r="9845" spans="6:6" x14ac:dyDescent="0.2">
      <c r="F9845"/>
    </row>
    <row r="9846" spans="6:6" x14ac:dyDescent="0.2">
      <c r="F9846"/>
    </row>
    <row r="9847" spans="6:6" x14ac:dyDescent="0.2">
      <c r="F9847"/>
    </row>
    <row r="9848" spans="6:6" x14ac:dyDescent="0.2">
      <c r="F9848"/>
    </row>
    <row r="9849" spans="6:6" x14ac:dyDescent="0.2">
      <c r="F9849"/>
    </row>
    <row r="9850" spans="6:6" x14ac:dyDescent="0.2">
      <c r="F9850"/>
    </row>
    <row r="9851" spans="6:6" x14ac:dyDescent="0.2">
      <c r="F9851"/>
    </row>
    <row r="9852" spans="6:6" x14ac:dyDescent="0.2">
      <c r="F9852"/>
    </row>
    <row r="9853" spans="6:6" x14ac:dyDescent="0.2">
      <c r="F9853"/>
    </row>
    <row r="9854" spans="6:6" x14ac:dyDescent="0.2">
      <c r="F9854"/>
    </row>
    <row r="9855" spans="6:6" x14ac:dyDescent="0.2">
      <c r="F9855"/>
    </row>
    <row r="9856" spans="6:6" x14ac:dyDescent="0.2">
      <c r="F9856"/>
    </row>
    <row r="9857" spans="6:6" x14ac:dyDescent="0.2">
      <c r="F9857"/>
    </row>
    <row r="9858" spans="6:6" x14ac:dyDescent="0.2">
      <c r="F9858"/>
    </row>
    <row r="9859" spans="6:6" x14ac:dyDescent="0.2">
      <c r="F9859"/>
    </row>
    <row r="9860" spans="6:6" x14ac:dyDescent="0.2">
      <c r="F9860"/>
    </row>
    <row r="9861" spans="6:6" x14ac:dyDescent="0.2">
      <c r="F9861"/>
    </row>
    <row r="9862" spans="6:6" x14ac:dyDescent="0.2">
      <c r="F9862"/>
    </row>
    <row r="9863" spans="6:6" x14ac:dyDescent="0.2">
      <c r="F9863"/>
    </row>
    <row r="9864" spans="6:6" x14ac:dyDescent="0.2">
      <c r="F9864"/>
    </row>
    <row r="9865" spans="6:6" x14ac:dyDescent="0.2">
      <c r="F9865"/>
    </row>
    <row r="9866" spans="6:6" x14ac:dyDescent="0.2">
      <c r="F9866"/>
    </row>
    <row r="9867" spans="6:6" x14ac:dyDescent="0.2">
      <c r="F9867"/>
    </row>
    <row r="9868" spans="6:6" x14ac:dyDescent="0.2">
      <c r="F9868"/>
    </row>
    <row r="9869" spans="6:6" x14ac:dyDescent="0.2">
      <c r="F9869"/>
    </row>
    <row r="9870" spans="6:6" x14ac:dyDescent="0.2">
      <c r="F9870"/>
    </row>
    <row r="9871" spans="6:6" x14ac:dyDescent="0.2">
      <c r="F9871"/>
    </row>
    <row r="9872" spans="6:6" x14ac:dyDescent="0.2">
      <c r="F9872"/>
    </row>
    <row r="9873" spans="6:6" x14ac:dyDescent="0.2">
      <c r="F9873"/>
    </row>
    <row r="9874" spans="6:6" x14ac:dyDescent="0.2">
      <c r="F9874"/>
    </row>
    <row r="9875" spans="6:6" x14ac:dyDescent="0.2">
      <c r="F9875"/>
    </row>
    <row r="9876" spans="6:6" x14ac:dyDescent="0.2">
      <c r="F9876"/>
    </row>
    <row r="9877" spans="6:6" x14ac:dyDescent="0.2">
      <c r="F9877"/>
    </row>
    <row r="9878" spans="6:6" x14ac:dyDescent="0.2">
      <c r="F9878"/>
    </row>
    <row r="9879" spans="6:6" x14ac:dyDescent="0.2">
      <c r="F9879"/>
    </row>
    <row r="9880" spans="6:6" x14ac:dyDescent="0.2">
      <c r="F9880"/>
    </row>
    <row r="9881" spans="6:6" x14ac:dyDescent="0.2">
      <c r="F9881"/>
    </row>
    <row r="9882" spans="6:6" x14ac:dyDescent="0.2">
      <c r="F9882"/>
    </row>
    <row r="9883" spans="6:6" x14ac:dyDescent="0.2">
      <c r="F9883"/>
    </row>
    <row r="9884" spans="6:6" x14ac:dyDescent="0.2">
      <c r="F9884"/>
    </row>
    <row r="9885" spans="6:6" x14ac:dyDescent="0.2">
      <c r="F9885"/>
    </row>
    <row r="9886" spans="6:6" x14ac:dyDescent="0.2">
      <c r="F9886"/>
    </row>
    <row r="9887" spans="6:6" x14ac:dyDescent="0.2">
      <c r="F9887"/>
    </row>
    <row r="9888" spans="6:6" x14ac:dyDescent="0.2">
      <c r="F9888"/>
    </row>
    <row r="9889" spans="6:6" x14ac:dyDescent="0.2">
      <c r="F9889"/>
    </row>
    <row r="9890" spans="6:6" x14ac:dyDescent="0.2">
      <c r="F9890"/>
    </row>
    <row r="9891" spans="6:6" x14ac:dyDescent="0.2">
      <c r="F9891"/>
    </row>
    <row r="9892" spans="6:6" x14ac:dyDescent="0.2">
      <c r="F9892"/>
    </row>
    <row r="9893" spans="6:6" x14ac:dyDescent="0.2">
      <c r="F9893"/>
    </row>
    <row r="9894" spans="6:6" x14ac:dyDescent="0.2">
      <c r="F9894"/>
    </row>
    <row r="9895" spans="6:6" x14ac:dyDescent="0.2">
      <c r="F9895"/>
    </row>
    <row r="9896" spans="6:6" x14ac:dyDescent="0.2">
      <c r="F9896"/>
    </row>
    <row r="9897" spans="6:6" x14ac:dyDescent="0.2">
      <c r="F9897"/>
    </row>
    <row r="9898" spans="6:6" x14ac:dyDescent="0.2">
      <c r="F9898"/>
    </row>
    <row r="9899" spans="6:6" x14ac:dyDescent="0.2">
      <c r="F9899"/>
    </row>
    <row r="9900" spans="6:6" x14ac:dyDescent="0.2">
      <c r="F9900"/>
    </row>
    <row r="9901" spans="6:6" x14ac:dyDescent="0.2">
      <c r="F9901"/>
    </row>
    <row r="9902" spans="6:6" x14ac:dyDescent="0.2">
      <c r="F9902"/>
    </row>
    <row r="9903" spans="6:6" x14ac:dyDescent="0.2">
      <c r="F9903"/>
    </row>
    <row r="9904" spans="6:6" x14ac:dyDescent="0.2">
      <c r="F9904"/>
    </row>
    <row r="9905" spans="6:6" x14ac:dyDescent="0.2">
      <c r="F9905"/>
    </row>
    <row r="9906" spans="6:6" x14ac:dyDescent="0.2">
      <c r="F9906"/>
    </row>
    <row r="9907" spans="6:6" x14ac:dyDescent="0.2">
      <c r="F9907"/>
    </row>
    <row r="9908" spans="6:6" x14ac:dyDescent="0.2">
      <c r="F9908"/>
    </row>
    <row r="9909" spans="6:6" x14ac:dyDescent="0.2">
      <c r="F9909"/>
    </row>
    <row r="9910" spans="6:6" x14ac:dyDescent="0.2">
      <c r="F9910"/>
    </row>
    <row r="9911" spans="6:6" x14ac:dyDescent="0.2">
      <c r="F9911"/>
    </row>
    <row r="9912" spans="6:6" x14ac:dyDescent="0.2">
      <c r="F9912"/>
    </row>
    <row r="9913" spans="6:6" x14ac:dyDescent="0.2">
      <c r="F9913"/>
    </row>
    <row r="9914" spans="6:6" x14ac:dyDescent="0.2">
      <c r="F9914"/>
    </row>
    <row r="9915" spans="6:6" x14ac:dyDescent="0.2">
      <c r="F9915"/>
    </row>
    <row r="9916" spans="6:6" x14ac:dyDescent="0.2">
      <c r="F9916"/>
    </row>
    <row r="9917" spans="6:6" x14ac:dyDescent="0.2">
      <c r="F9917"/>
    </row>
    <row r="9918" spans="6:6" x14ac:dyDescent="0.2">
      <c r="F9918"/>
    </row>
    <row r="9919" spans="6:6" x14ac:dyDescent="0.2">
      <c r="F9919"/>
    </row>
    <row r="9920" spans="6:6" x14ac:dyDescent="0.2">
      <c r="F9920"/>
    </row>
    <row r="9921" spans="6:6" x14ac:dyDescent="0.2">
      <c r="F9921"/>
    </row>
    <row r="9922" spans="6:6" x14ac:dyDescent="0.2">
      <c r="F9922"/>
    </row>
    <row r="9923" spans="6:6" x14ac:dyDescent="0.2">
      <c r="F9923"/>
    </row>
    <row r="9924" spans="6:6" x14ac:dyDescent="0.2">
      <c r="F9924"/>
    </row>
    <row r="9925" spans="6:6" x14ac:dyDescent="0.2">
      <c r="F9925"/>
    </row>
    <row r="9926" spans="6:6" x14ac:dyDescent="0.2">
      <c r="F9926"/>
    </row>
    <row r="9927" spans="6:6" x14ac:dyDescent="0.2">
      <c r="F9927"/>
    </row>
    <row r="9928" spans="6:6" x14ac:dyDescent="0.2">
      <c r="F9928"/>
    </row>
    <row r="9929" spans="6:6" x14ac:dyDescent="0.2">
      <c r="F9929"/>
    </row>
    <row r="9930" spans="6:6" x14ac:dyDescent="0.2">
      <c r="F9930"/>
    </row>
    <row r="9931" spans="6:6" x14ac:dyDescent="0.2">
      <c r="F9931"/>
    </row>
    <row r="9932" spans="6:6" x14ac:dyDescent="0.2">
      <c r="F9932"/>
    </row>
    <row r="9933" spans="6:6" x14ac:dyDescent="0.2">
      <c r="F9933"/>
    </row>
    <row r="9934" spans="6:6" x14ac:dyDescent="0.2">
      <c r="F9934"/>
    </row>
    <row r="9935" spans="6:6" x14ac:dyDescent="0.2">
      <c r="F9935"/>
    </row>
    <row r="9936" spans="6:6" x14ac:dyDescent="0.2">
      <c r="F9936"/>
    </row>
    <row r="9937" spans="6:6" x14ac:dyDescent="0.2">
      <c r="F9937"/>
    </row>
    <row r="9938" spans="6:6" x14ac:dyDescent="0.2">
      <c r="F9938"/>
    </row>
    <row r="9939" spans="6:6" x14ac:dyDescent="0.2">
      <c r="F9939"/>
    </row>
    <row r="9940" spans="6:6" x14ac:dyDescent="0.2">
      <c r="F9940"/>
    </row>
    <row r="9941" spans="6:6" x14ac:dyDescent="0.2">
      <c r="F9941"/>
    </row>
    <row r="9942" spans="6:6" x14ac:dyDescent="0.2">
      <c r="F9942"/>
    </row>
    <row r="9943" spans="6:6" x14ac:dyDescent="0.2">
      <c r="F9943"/>
    </row>
    <row r="9944" spans="6:6" x14ac:dyDescent="0.2">
      <c r="F9944"/>
    </row>
    <row r="9945" spans="6:6" x14ac:dyDescent="0.2">
      <c r="F9945"/>
    </row>
    <row r="9946" spans="6:6" x14ac:dyDescent="0.2">
      <c r="F9946"/>
    </row>
    <row r="9947" spans="6:6" x14ac:dyDescent="0.2">
      <c r="F9947"/>
    </row>
    <row r="9948" spans="6:6" x14ac:dyDescent="0.2">
      <c r="F9948"/>
    </row>
    <row r="9949" spans="6:6" x14ac:dyDescent="0.2">
      <c r="F9949"/>
    </row>
    <row r="9950" spans="6:6" x14ac:dyDescent="0.2">
      <c r="F9950"/>
    </row>
    <row r="9951" spans="6:6" x14ac:dyDescent="0.2">
      <c r="F9951"/>
    </row>
    <row r="9952" spans="6:6" x14ac:dyDescent="0.2">
      <c r="F9952"/>
    </row>
    <row r="9953" spans="6:6" x14ac:dyDescent="0.2">
      <c r="F9953"/>
    </row>
    <row r="9954" spans="6:6" x14ac:dyDescent="0.2">
      <c r="F9954"/>
    </row>
    <row r="9955" spans="6:6" x14ac:dyDescent="0.2">
      <c r="F9955"/>
    </row>
    <row r="9956" spans="6:6" x14ac:dyDescent="0.2">
      <c r="F9956"/>
    </row>
    <row r="9957" spans="6:6" x14ac:dyDescent="0.2">
      <c r="F9957"/>
    </row>
    <row r="9958" spans="6:6" x14ac:dyDescent="0.2">
      <c r="F9958"/>
    </row>
    <row r="9959" spans="6:6" x14ac:dyDescent="0.2">
      <c r="F9959"/>
    </row>
    <row r="9960" spans="6:6" x14ac:dyDescent="0.2">
      <c r="F9960"/>
    </row>
    <row r="9961" spans="6:6" x14ac:dyDescent="0.2">
      <c r="F9961"/>
    </row>
    <row r="9962" spans="6:6" x14ac:dyDescent="0.2">
      <c r="F9962"/>
    </row>
    <row r="9963" spans="6:6" x14ac:dyDescent="0.2">
      <c r="F9963"/>
    </row>
    <row r="9964" spans="6:6" x14ac:dyDescent="0.2">
      <c r="F9964"/>
    </row>
    <row r="9965" spans="6:6" x14ac:dyDescent="0.2">
      <c r="F9965"/>
    </row>
    <row r="9966" spans="6:6" x14ac:dyDescent="0.2">
      <c r="F9966"/>
    </row>
    <row r="9967" spans="6:6" x14ac:dyDescent="0.2">
      <c r="F9967"/>
    </row>
    <row r="9968" spans="6:6" x14ac:dyDescent="0.2">
      <c r="F9968"/>
    </row>
    <row r="9969" spans="6:6" x14ac:dyDescent="0.2">
      <c r="F9969"/>
    </row>
    <row r="9970" spans="6:6" x14ac:dyDescent="0.2">
      <c r="F9970"/>
    </row>
    <row r="9971" spans="6:6" x14ac:dyDescent="0.2">
      <c r="F9971"/>
    </row>
    <row r="9972" spans="6:6" x14ac:dyDescent="0.2">
      <c r="F9972"/>
    </row>
    <row r="9973" spans="6:6" x14ac:dyDescent="0.2">
      <c r="F9973"/>
    </row>
    <row r="9974" spans="6:6" x14ac:dyDescent="0.2">
      <c r="F9974"/>
    </row>
    <row r="9975" spans="6:6" x14ac:dyDescent="0.2">
      <c r="F9975"/>
    </row>
    <row r="9976" spans="6:6" x14ac:dyDescent="0.2">
      <c r="F9976"/>
    </row>
    <row r="9977" spans="6:6" x14ac:dyDescent="0.2">
      <c r="F9977"/>
    </row>
    <row r="9978" spans="6:6" x14ac:dyDescent="0.2">
      <c r="F9978"/>
    </row>
    <row r="9979" spans="6:6" x14ac:dyDescent="0.2">
      <c r="F9979"/>
    </row>
    <row r="9980" spans="6:6" x14ac:dyDescent="0.2">
      <c r="F9980"/>
    </row>
    <row r="9981" spans="6:6" x14ac:dyDescent="0.2">
      <c r="F9981"/>
    </row>
    <row r="9982" spans="6:6" x14ac:dyDescent="0.2">
      <c r="F9982"/>
    </row>
    <row r="9983" spans="6:6" x14ac:dyDescent="0.2">
      <c r="F9983"/>
    </row>
    <row r="9984" spans="6:6" x14ac:dyDescent="0.2">
      <c r="F9984"/>
    </row>
    <row r="9985" spans="6:6" x14ac:dyDescent="0.2">
      <c r="F9985"/>
    </row>
    <row r="9986" spans="6:6" x14ac:dyDescent="0.2">
      <c r="F9986"/>
    </row>
    <row r="9987" spans="6:6" x14ac:dyDescent="0.2">
      <c r="F9987"/>
    </row>
    <row r="9988" spans="6:6" x14ac:dyDescent="0.2">
      <c r="F9988"/>
    </row>
    <row r="9989" spans="6:6" x14ac:dyDescent="0.2">
      <c r="F9989"/>
    </row>
    <row r="9990" spans="6:6" x14ac:dyDescent="0.2">
      <c r="F9990"/>
    </row>
    <row r="9991" spans="6:6" x14ac:dyDescent="0.2">
      <c r="F9991"/>
    </row>
    <row r="9992" spans="6:6" x14ac:dyDescent="0.2">
      <c r="F9992"/>
    </row>
    <row r="9993" spans="6:6" x14ac:dyDescent="0.2">
      <c r="F9993"/>
    </row>
    <row r="9994" spans="6:6" x14ac:dyDescent="0.2">
      <c r="F9994"/>
    </row>
    <row r="9995" spans="6:6" x14ac:dyDescent="0.2">
      <c r="F9995"/>
    </row>
    <row r="9996" spans="6:6" x14ac:dyDescent="0.2">
      <c r="F9996"/>
    </row>
    <row r="9997" spans="6:6" x14ac:dyDescent="0.2">
      <c r="F9997"/>
    </row>
    <row r="9998" spans="6:6" x14ac:dyDescent="0.2">
      <c r="F9998"/>
    </row>
    <row r="9999" spans="6:6" x14ac:dyDescent="0.2">
      <c r="F9999"/>
    </row>
    <row r="10000" spans="6:6" x14ac:dyDescent="0.2">
      <c r="F10000"/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17"/>
  <dimension ref="A1:X161"/>
  <sheetViews>
    <sheetView workbookViewId="0"/>
  </sheetViews>
  <sheetFormatPr defaultColWidth="8.85546875" defaultRowHeight="12.75" x14ac:dyDescent="0.2"/>
  <cols>
    <col min="1" max="1" width="11" bestFit="1" customWidth="1"/>
    <col min="2" max="3" width="8.28515625" bestFit="1" customWidth="1"/>
    <col min="4" max="5" width="8.28515625" customWidth="1"/>
    <col min="10" max="10" width="10.5703125" bestFit="1" customWidth="1"/>
    <col min="16" max="16" width="19.42578125" bestFit="1" customWidth="1"/>
  </cols>
  <sheetData>
    <row r="1" spans="1:24" x14ac:dyDescent="0.2">
      <c r="A1" t="s">
        <v>62</v>
      </c>
      <c r="B1" t="s">
        <v>68</v>
      </c>
      <c r="C1" t="s">
        <v>69</v>
      </c>
      <c r="D1" t="s">
        <v>114</v>
      </c>
      <c r="E1" t="s">
        <v>115</v>
      </c>
      <c r="F1" t="s">
        <v>70</v>
      </c>
      <c r="G1" t="s">
        <v>71</v>
      </c>
      <c r="H1" s="210" t="s">
        <v>72</v>
      </c>
      <c r="I1" t="s">
        <v>73</v>
      </c>
      <c r="J1" t="s">
        <v>74</v>
      </c>
      <c r="K1" t="s">
        <v>7</v>
      </c>
      <c r="L1" t="s">
        <v>75</v>
      </c>
      <c r="M1" t="s">
        <v>76</v>
      </c>
      <c r="N1" t="s">
        <v>77</v>
      </c>
      <c r="O1" t="s">
        <v>78</v>
      </c>
      <c r="P1" s="210" t="s">
        <v>79</v>
      </c>
      <c r="Q1" s="210" t="s">
        <v>80</v>
      </c>
      <c r="R1" s="210" t="s">
        <v>81</v>
      </c>
      <c r="S1" s="210" t="s">
        <v>82</v>
      </c>
      <c r="T1" t="s">
        <v>83</v>
      </c>
      <c r="U1" t="s">
        <v>84</v>
      </c>
      <c r="V1" s="209" t="s">
        <v>85</v>
      </c>
      <c r="W1" t="s">
        <v>86</v>
      </c>
      <c r="X1" t="s">
        <v>87</v>
      </c>
    </row>
    <row r="2" spans="1:24" s="91" customFormat="1" x14ac:dyDescent="0.2">
      <c r="A2" s="199"/>
      <c r="B2"/>
      <c r="C2"/>
      <c r="D2"/>
      <c r="E2"/>
      <c r="F2"/>
      <c r="G2"/>
      <c r="H2"/>
      <c r="I2"/>
      <c r="J2"/>
      <c r="K2"/>
      <c r="L2"/>
      <c r="M2"/>
      <c r="N2"/>
      <c r="O2"/>
      <c r="P2" s="263"/>
      <c r="Q2" s="263"/>
      <c r="R2"/>
      <c r="S2"/>
      <c r="T2"/>
      <c r="U2"/>
      <c r="V2"/>
      <c r="W2"/>
      <c r="X2"/>
    </row>
    <row r="3" spans="1:24" s="91" customFormat="1" x14ac:dyDescent="0.2">
      <c r="A3" s="199"/>
      <c r="B3"/>
      <c r="C3"/>
      <c r="D3"/>
      <c r="E3"/>
      <c r="F3"/>
      <c r="G3"/>
      <c r="H3"/>
      <c r="I3"/>
      <c r="J3"/>
      <c r="K3"/>
      <c r="L3"/>
      <c r="M3"/>
      <c r="N3"/>
      <c r="O3"/>
      <c r="P3" s="263"/>
      <c r="Q3" s="263"/>
      <c r="R3"/>
      <c r="S3"/>
      <c r="T3"/>
      <c r="U3"/>
      <c r="V3"/>
      <c r="W3"/>
      <c r="X3"/>
    </row>
    <row r="4" spans="1:24" s="91" customFormat="1" x14ac:dyDescent="0.2">
      <c r="A4" s="199"/>
      <c r="B4"/>
      <c r="C4"/>
      <c r="D4"/>
      <c r="E4"/>
      <c r="F4"/>
      <c r="G4"/>
      <c r="H4"/>
      <c r="I4"/>
      <c r="J4"/>
      <c r="K4"/>
      <c r="L4"/>
      <c r="M4"/>
      <c r="N4"/>
      <c r="O4"/>
      <c r="P4" s="263"/>
      <c r="Q4" s="263"/>
      <c r="R4"/>
      <c r="S4"/>
      <c r="T4"/>
      <c r="U4"/>
      <c r="V4"/>
      <c r="W4"/>
      <c r="X4"/>
    </row>
    <row r="5" spans="1:24" s="91" customFormat="1" x14ac:dyDescent="0.2">
      <c r="A5" s="199"/>
      <c r="B5"/>
      <c r="C5"/>
      <c r="D5"/>
      <c r="E5"/>
      <c r="F5"/>
      <c r="G5"/>
      <c r="H5"/>
      <c r="I5"/>
      <c r="J5"/>
      <c r="K5"/>
      <c r="L5"/>
      <c r="M5"/>
      <c r="N5"/>
      <c r="O5"/>
      <c r="P5" s="263"/>
      <c r="Q5" s="263"/>
      <c r="R5"/>
      <c r="S5"/>
      <c r="T5"/>
      <c r="U5"/>
      <c r="V5"/>
      <c r="W5"/>
      <c r="X5"/>
    </row>
    <row r="6" spans="1:24" s="91" customFormat="1" x14ac:dyDescent="0.2">
      <c r="A6" s="199"/>
      <c r="B6"/>
      <c r="C6"/>
      <c r="D6"/>
      <c r="E6"/>
      <c r="F6"/>
      <c r="G6"/>
      <c r="H6"/>
      <c r="I6"/>
      <c r="J6"/>
      <c r="K6"/>
      <c r="L6"/>
      <c r="M6"/>
      <c r="N6"/>
      <c r="O6"/>
      <c r="P6" s="263"/>
      <c r="Q6" s="263"/>
      <c r="R6"/>
      <c r="S6"/>
      <c r="T6"/>
      <c r="U6"/>
      <c r="V6"/>
      <c r="W6"/>
      <c r="X6"/>
    </row>
    <row r="7" spans="1:24" s="91" customFormat="1" x14ac:dyDescent="0.2">
      <c r="A7" s="199"/>
      <c r="B7"/>
      <c r="C7"/>
      <c r="D7"/>
      <c r="E7"/>
      <c r="F7"/>
      <c r="G7"/>
      <c r="H7"/>
      <c r="I7"/>
      <c r="J7"/>
      <c r="K7"/>
      <c r="L7"/>
      <c r="M7"/>
      <c r="N7"/>
      <c r="O7"/>
      <c r="P7" s="263"/>
      <c r="Q7" s="263"/>
      <c r="R7"/>
      <c r="S7"/>
      <c r="T7"/>
      <c r="U7"/>
      <c r="V7"/>
      <c r="W7"/>
      <c r="X7"/>
    </row>
    <row r="8" spans="1:24" s="91" customFormat="1" x14ac:dyDescent="0.2">
      <c r="A8" s="199"/>
      <c r="B8"/>
      <c r="C8"/>
      <c r="D8"/>
      <c r="E8"/>
      <c r="F8"/>
      <c r="G8"/>
      <c r="H8"/>
      <c r="I8"/>
      <c r="J8"/>
      <c r="K8"/>
      <c r="L8"/>
      <c r="M8"/>
      <c r="N8"/>
      <c r="O8"/>
      <c r="P8" s="263"/>
      <c r="Q8" s="263"/>
      <c r="R8"/>
      <c r="S8"/>
      <c r="T8"/>
      <c r="U8"/>
      <c r="V8"/>
      <c r="W8"/>
      <c r="X8"/>
    </row>
    <row r="9" spans="1:24" s="91" customFormat="1" x14ac:dyDescent="0.2">
      <c r="A9" s="199"/>
      <c r="B9"/>
      <c r="C9"/>
      <c r="D9"/>
      <c r="E9"/>
      <c r="F9"/>
      <c r="G9"/>
      <c r="H9"/>
      <c r="I9"/>
      <c r="J9"/>
      <c r="K9"/>
      <c r="L9"/>
      <c r="M9"/>
      <c r="N9"/>
      <c r="O9"/>
      <c r="P9" s="263"/>
      <c r="Q9" s="263"/>
      <c r="R9"/>
      <c r="S9"/>
      <c r="T9"/>
      <c r="U9"/>
      <c r="V9"/>
      <c r="W9"/>
      <c r="X9"/>
    </row>
    <row r="10" spans="1:24" s="91" customFormat="1" x14ac:dyDescent="0.2">
      <c r="A10" s="199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 s="263"/>
      <c r="Q10" s="263"/>
      <c r="R10"/>
      <c r="S10"/>
      <c r="T10"/>
      <c r="U10"/>
      <c r="V10"/>
      <c r="W10"/>
      <c r="X10"/>
    </row>
    <row r="11" spans="1:24" s="91" customFormat="1" x14ac:dyDescent="0.2">
      <c r="A11" s="199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 s="263"/>
      <c r="Q11" s="263"/>
      <c r="R11"/>
      <c r="S11"/>
      <c r="T11"/>
      <c r="U11"/>
      <c r="V11"/>
      <c r="W11"/>
      <c r="X11"/>
    </row>
    <row r="12" spans="1:24" s="91" customFormat="1" x14ac:dyDescent="0.2">
      <c r="A12" s="199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 s="263"/>
      <c r="Q12" s="263"/>
      <c r="R12"/>
      <c r="S12"/>
      <c r="T12"/>
      <c r="U12"/>
      <c r="V12"/>
      <c r="W12"/>
      <c r="X12"/>
    </row>
    <row r="13" spans="1:24" s="91" customFormat="1" x14ac:dyDescent="0.2">
      <c r="A13" s="199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 s="263"/>
      <c r="Q13" s="263"/>
      <c r="R13"/>
      <c r="S13"/>
      <c r="T13"/>
      <c r="U13"/>
      <c r="V13"/>
      <c r="W13"/>
      <c r="X13"/>
    </row>
    <row r="14" spans="1:24" s="91" customFormat="1" x14ac:dyDescent="0.2">
      <c r="A14" s="199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 s="263"/>
      <c r="Q14" s="263"/>
      <c r="R14"/>
      <c r="S14"/>
      <c r="T14"/>
      <c r="U14"/>
      <c r="V14"/>
      <c r="W14"/>
      <c r="X14"/>
    </row>
    <row r="15" spans="1:24" s="91" customFormat="1" x14ac:dyDescent="0.2">
      <c r="A15" s="199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 s="263"/>
      <c r="Q15" s="263"/>
      <c r="R15"/>
      <c r="S15"/>
      <c r="T15"/>
      <c r="U15"/>
      <c r="V15"/>
      <c r="W15"/>
      <c r="X15"/>
    </row>
    <row r="16" spans="1:24" s="91" customFormat="1" x14ac:dyDescent="0.2">
      <c r="A16" s="199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 s="263"/>
      <c r="Q16" s="263"/>
      <c r="R16"/>
      <c r="S16"/>
      <c r="T16"/>
      <c r="U16"/>
      <c r="V16"/>
      <c r="W16"/>
      <c r="X16"/>
    </row>
    <row r="17" spans="1:24" s="91" customFormat="1" x14ac:dyDescent="0.2">
      <c r="A17" s="199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 s="263"/>
      <c r="Q17" s="263"/>
      <c r="R17"/>
      <c r="S17"/>
      <c r="T17"/>
      <c r="U17"/>
      <c r="V17"/>
      <c r="W17"/>
      <c r="X17"/>
    </row>
    <row r="18" spans="1:24" s="91" customFormat="1" x14ac:dyDescent="0.2">
      <c r="A18" s="199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 s="263"/>
      <c r="Q18" s="263"/>
      <c r="R18"/>
      <c r="S18"/>
      <c r="T18"/>
      <c r="U18"/>
      <c r="V18"/>
      <c r="W18"/>
      <c r="X18"/>
    </row>
    <row r="19" spans="1:24" s="91" customFormat="1" x14ac:dyDescent="0.2">
      <c r="A19" s="19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 s="263"/>
      <c r="Q19" s="263"/>
      <c r="R19"/>
      <c r="S19"/>
      <c r="T19"/>
      <c r="U19"/>
      <c r="V19"/>
      <c r="W19"/>
      <c r="X19"/>
    </row>
    <row r="20" spans="1:24" s="91" customFormat="1" x14ac:dyDescent="0.2">
      <c r="A20" s="199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 s="263"/>
      <c r="Q20" s="263"/>
      <c r="R20"/>
      <c r="S20"/>
      <c r="T20"/>
      <c r="U20"/>
      <c r="V20"/>
      <c r="W20"/>
      <c r="X20"/>
    </row>
    <row r="21" spans="1:24" s="91" customFormat="1" x14ac:dyDescent="0.2">
      <c r="A21" s="199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 s="263"/>
      <c r="Q21" s="263"/>
      <c r="R21"/>
      <c r="S21"/>
      <c r="T21"/>
      <c r="U21"/>
      <c r="V21"/>
      <c r="W21"/>
      <c r="X21"/>
    </row>
    <row r="22" spans="1:24" s="91" customFormat="1" x14ac:dyDescent="0.2">
      <c r="A22" s="199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 s="263"/>
      <c r="Q22" s="263"/>
      <c r="R22"/>
      <c r="S22"/>
      <c r="T22"/>
      <c r="U22"/>
      <c r="V22"/>
      <c r="W22"/>
      <c r="X22"/>
    </row>
    <row r="23" spans="1:24" s="91" customFormat="1" x14ac:dyDescent="0.2">
      <c r="A23" s="199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 s="263"/>
      <c r="Q23" s="263"/>
      <c r="R23"/>
      <c r="S23"/>
      <c r="T23"/>
      <c r="U23"/>
      <c r="V23"/>
      <c r="W23"/>
      <c r="X23"/>
    </row>
    <row r="24" spans="1:24" s="91" customFormat="1" x14ac:dyDescent="0.2">
      <c r="A24" s="199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 s="263"/>
      <c r="Q24" s="263"/>
      <c r="R24"/>
      <c r="S24"/>
      <c r="T24"/>
      <c r="U24"/>
      <c r="V24"/>
      <c r="W24"/>
      <c r="X24"/>
    </row>
    <row r="25" spans="1:24" s="91" customFormat="1" x14ac:dyDescent="0.2">
      <c r="A25" s="199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 s="263"/>
      <c r="Q25" s="263"/>
      <c r="R25"/>
      <c r="S25"/>
      <c r="T25"/>
      <c r="U25"/>
      <c r="V25"/>
      <c r="W25"/>
      <c r="X25"/>
    </row>
    <row r="26" spans="1:24" s="91" customFormat="1" x14ac:dyDescent="0.2">
      <c r="A26" s="199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 s="263"/>
      <c r="Q26" s="263"/>
      <c r="R26"/>
      <c r="S26"/>
      <c r="T26"/>
      <c r="U26"/>
      <c r="V26"/>
      <c r="W26"/>
      <c r="X26"/>
    </row>
    <row r="27" spans="1:24" s="91" customFormat="1" x14ac:dyDescent="0.2">
      <c r="A27" s="199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 s="263"/>
      <c r="Q27" s="263"/>
      <c r="R27"/>
      <c r="S27"/>
      <c r="T27"/>
      <c r="U27"/>
      <c r="V27"/>
      <c r="W27"/>
      <c r="X27"/>
    </row>
    <row r="28" spans="1:24" s="91" customFormat="1" x14ac:dyDescent="0.2">
      <c r="A28" s="199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 s="263"/>
      <c r="Q28" s="263"/>
      <c r="R28"/>
      <c r="S28"/>
      <c r="T28"/>
      <c r="U28"/>
      <c r="V28"/>
      <c r="W28"/>
      <c r="X28"/>
    </row>
    <row r="29" spans="1:24" s="91" customFormat="1" x14ac:dyDescent="0.2">
      <c r="A29" s="19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 s="263"/>
      <c r="Q29" s="263"/>
      <c r="R29"/>
      <c r="S29"/>
      <c r="T29"/>
      <c r="U29"/>
      <c r="V29"/>
      <c r="W29"/>
      <c r="X29"/>
    </row>
    <row r="30" spans="1:24" s="91" customFormat="1" x14ac:dyDescent="0.2">
      <c r="A30" s="199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 s="263"/>
      <c r="Q30" s="263"/>
      <c r="R30"/>
      <c r="S30"/>
      <c r="T30"/>
      <c r="U30"/>
      <c r="V30"/>
      <c r="W30"/>
      <c r="X30"/>
    </row>
    <row r="31" spans="1:24" s="91" customFormat="1" x14ac:dyDescent="0.2">
      <c r="A31" s="199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 s="263"/>
      <c r="Q31" s="263"/>
      <c r="R31"/>
      <c r="S31"/>
      <c r="T31"/>
      <c r="U31"/>
      <c r="V31"/>
      <c r="W31"/>
      <c r="X31"/>
    </row>
    <row r="32" spans="1:24" s="91" customFormat="1" x14ac:dyDescent="0.2">
      <c r="A32" s="199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 s="263"/>
      <c r="Q32" s="263"/>
      <c r="R32"/>
      <c r="S32"/>
      <c r="T32"/>
      <c r="U32"/>
      <c r="V32"/>
      <c r="W32"/>
      <c r="X32"/>
    </row>
    <row r="33" spans="1:24" s="91" customFormat="1" x14ac:dyDescent="0.2">
      <c r="A33" s="199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 s="263"/>
      <c r="Q33" s="263"/>
      <c r="R33"/>
      <c r="S33"/>
      <c r="T33"/>
      <c r="U33"/>
      <c r="V33"/>
      <c r="W33"/>
      <c r="X33"/>
    </row>
    <row r="34" spans="1:24" s="91" customFormat="1" x14ac:dyDescent="0.2">
      <c r="A34" s="199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 s="263"/>
      <c r="Q34" s="263"/>
      <c r="R34"/>
      <c r="S34"/>
      <c r="T34"/>
      <c r="U34"/>
      <c r="V34"/>
      <c r="W34"/>
      <c r="X34"/>
    </row>
    <row r="35" spans="1:24" s="91" customFormat="1" x14ac:dyDescent="0.2">
      <c r="A35" s="199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 s="263"/>
      <c r="Q35" s="263"/>
      <c r="R35"/>
      <c r="S35"/>
      <c r="T35"/>
      <c r="U35"/>
      <c r="V35"/>
      <c r="W35"/>
      <c r="X35"/>
    </row>
    <row r="36" spans="1:24" s="91" customFormat="1" x14ac:dyDescent="0.2">
      <c r="A36" s="199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 s="263"/>
      <c r="Q36" s="263"/>
      <c r="R36"/>
      <c r="S36"/>
      <c r="T36"/>
      <c r="U36"/>
      <c r="V36"/>
      <c r="W36"/>
      <c r="X36"/>
    </row>
    <row r="37" spans="1:24" s="91" customFormat="1" x14ac:dyDescent="0.2">
      <c r="A37" s="199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 s="263"/>
      <c r="Q37" s="263"/>
      <c r="R37"/>
      <c r="S37"/>
      <c r="T37"/>
      <c r="U37"/>
      <c r="V37"/>
      <c r="W37"/>
      <c r="X37"/>
    </row>
    <row r="38" spans="1:24" s="91" customFormat="1" x14ac:dyDescent="0.2">
      <c r="A38" s="199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 s="263"/>
      <c r="Q38" s="263"/>
      <c r="R38"/>
      <c r="S38"/>
      <c r="T38"/>
      <c r="U38"/>
      <c r="V38"/>
      <c r="W38"/>
      <c r="X38"/>
    </row>
    <row r="39" spans="1:24" s="91" customFormat="1" x14ac:dyDescent="0.2">
      <c r="A39" s="19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 s="263"/>
      <c r="Q39" s="263"/>
      <c r="R39"/>
      <c r="S39"/>
      <c r="T39"/>
      <c r="U39"/>
      <c r="V39"/>
      <c r="W39"/>
      <c r="X39"/>
    </row>
    <row r="40" spans="1:24" s="91" customFormat="1" x14ac:dyDescent="0.2">
      <c r="A40" s="199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 s="263"/>
      <c r="Q40" s="263"/>
      <c r="R40"/>
      <c r="S40"/>
      <c r="T40"/>
      <c r="U40"/>
      <c r="V40"/>
      <c r="W40"/>
      <c r="X40"/>
    </row>
    <row r="41" spans="1:24" s="91" customFormat="1" x14ac:dyDescent="0.2">
      <c r="A41" s="199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 s="263"/>
      <c r="Q41" s="263"/>
      <c r="R41"/>
      <c r="S41"/>
      <c r="T41"/>
      <c r="U41"/>
      <c r="V41"/>
      <c r="W41"/>
      <c r="X41"/>
    </row>
    <row r="42" spans="1:24" s="91" customFormat="1" x14ac:dyDescent="0.2">
      <c r="A42" s="199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 s="263"/>
      <c r="Q42" s="263"/>
      <c r="R42"/>
      <c r="S42"/>
      <c r="T42"/>
      <c r="U42"/>
      <c r="V42"/>
      <c r="W42"/>
      <c r="X42"/>
    </row>
    <row r="43" spans="1:24" s="91" customFormat="1" x14ac:dyDescent="0.2">
      <c r="A43" s="199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 s="263"/>
      <c r="Q43" s="263"/>
      <c r="R43"/>
      <c r="S43"/>
      <c r="T43"/>
      <c r="U43"/>
      <c r="V43"/>
      <c r="W43"/>
      <c r="X43"/>
    </row>
    <row r="44" spans="1:24" s="91" customFormat="1" x14ac:dyDescent="0.2">
      <c r="A44" s="199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 s="263"/>
      <c r="Q44" s="263"/>
      <c r="R44"/>
      <c r="S44"/>
      <c r="T44"/>
      <c r="U44"/>
      <c r="V44"/>
      <c r="W44"/>
      <c r="X44"/>
    </row>
    <row r="45" spans="1:24" s="91" customFormat="1" x14ac:dyDescent="0.2">
      <c r="A45" s="199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 s="263"/>
      <c r="Q45" s="263"/>
      <c r="R45"/>
      <c r="S45"/>
      <c r="T45"/>
      <c r="U45"/>
      <c r="V45"/>
      <c r="W45"/>
      <c r="X45"/>
    </row>
    <row r="46" spans="1:24" s="91" customFormat="1" x14ac:dyDescent="0.2">
      <c r="A46" s="199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 s="263"/>
      <c r="Q46" s="263"/>
      <c r="R46"/>
      <c r="S46"/>
      <c r="T46"/>
      <c r="U46"/>
      <c r="V46"/>
      <c r="W46"/>
      <c r="X46"/>
    </row>
    <row r="47" spans="1:24" s="91" customFormat="1" x14ac:dyDescent="0.2">
      <c r="A47" s="199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 s="263"/>
      <c r="Q47" s="263"/>
      <c r="R47"/>
      <c r="S47"/>
      <c r="T47"/>
      <c r="U47"/>
      <c r="V47"/>
      <c r="W47"/>
      <c r="X47"/>
    </row>
    <row r="48" spans="1:24" s="91" customFormat="1" x14ac:dyDescent="0.2">
      <c r="A48" s="199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 s="263"/>
      <c r="Q48" s="263"/>
      <c r="R48"/>
      <c r="S48"/>
      <c r="T48"/>
      <c r="U48"/>
      <c r="V48"/>
      <c r="W48"/>
      <c r="X48"/>
    </row>
    <row r="49" spans="1:24" s="91" customFormat="1" x14ac:dyDescent="0.2">
      <c r="A49" s="19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 s="263"/>
      <c r="Q49" s="263"/>
      <c r="R49"/>
      <c r="S49"/>
      <c r="T49"/>
      <c r="U49"/>
      <c r="V49"/>
      <c r="W49"/>
      <c r="X49"/>
    </row>
    <row r="50" spans="1:24" s="91" customFormat="1" x14ac:dyDescent="0.2">
      <c r="A50" s="199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 s="263"/>
      <c r="Q50" s="263"/>
      <c r="R50"/>
      <c r="S50"/>
      <c r="T50"/>
      <c r="U50"/>
      <c r="V50"/>
      <c r="W50"/>
      <c r="X50"/>
    </row>
    <row r="51" spans="1:24" s="91" customFormat="1" x14ac:dyDescent="0.2">
      <c r="A51" s="199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 s="263"/>
      <c r="Q51" s="263"/>
      <c r="R51"/>
      <c r="S51"/>
      <c r="T51"/>
      <c r="U51"/>
      <c r="V51"/>
      <c r="W51"/>
      <c r="X51"/>
    </row>
    <row r="52" spans="1:24" s="91" customFormat="1" x14ac:dyDescent="0.2">
      <c r="A52" s="199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 s="263"/>
      <c r="Q52" s="263"/>
      <c r="R52"/>
      <c r="S52"/>
      <c r="T52"/>
      <c r="U52"/>
      <c r="V52"/>
      <c r="W52"/>
      <c r="X52"/>
    </row>
    <row r="53" spans="1:24" s="91" customFormat="1" x14ac:dyDescent="0.2">
      <c r="A53" s="199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 s="263"/>
      <c r="Q53" s="263"/>
      <c r="R53"/>
      <c r="S53"/>
      <c r="T53"/>
      <c r="U53"/>
      <c r="V53"/>
      <c r="W53"/>
      <c r="X53"/>
    </row>
    <row r="54" spans="1:24" s="91" customFormat="1" x14ac:dyDescent="0.2">
      <c r="A54" s="199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 s="263"/>
      <c r="Q54" s="263"/>
      <c r="R54"/>
      <c r="S54"/>
      <c r="T54"/>
      <c r="U54"/>
      <c r="V54"/>
      <c r="W54"/>
      <c r="X54"/>
    </row>
    <row r="55" spans="1:24" s="91" customFormat="1" x14ac:dyDescent="0.2">
      <c r="A55" s="199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 s="263"/>
      <c r="Q55" s="263"/>
      <c r="R55"/>
      <c r="S55"/>
      <c r="T55"/>
      <c r="U55"/>
      <c r="V55"/>
      <c r="W55"/>
      <c r="X55"/>
    </row>
    <row r="56" spans="1:24" s="91" customFormat="1" x14ac:dyDescent="0.2">
      <c r="A56" s="199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 s="263"/>
      <c r="Q56" s="263"/>
      <c r="R56"/>
      <c r="S56"/>
      <c r="T56"/>
      <c r="U56"/>
      <c r="V56"/>
      <c r="W56"/>
      <c r="X56"/>
    </row>
    <row r="57" spans="1:24" s="91" customFormat="1" x14ac:dyDescent="0.2">
      <c r="A57" s="199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 s="263"/>
      <c r="Q57" s="263"/>
      <c r="R57"/>
      <c r="S57"/>
      <c r="T57"/>
      <c r="U57"/>
      <c r="V57"/>
      <c r="W57"/>
      <c r="X57"/>
    </row>
    <row r="58" spans="1:24" s="91" customFormat="1" x14ac:dyDescent="0.2">
      <c r="A58" s="199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 s="263"/>
      <c r="Q58" s="263"/>
      <c r="R58"/>
      <c r="S58"/>
      <c r="T58"/>
      <c r="U58"/>
      <c r="V58"/>
      <c r="W58"/>
      <c r="X58"/>
    </row>
    <row r="59" spans="1:24" s="91" customFormat="1" x14ac:dyDescent="0.2">
      <c r="A59" s="19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 s="263"/>
      <c r="Q59" s="263"/>
      <c r="R59"/>
      <c r="S59"/>
      <c r="T59"/>
      <c r="U59"/>
      <c r="V59"/>
      <c r="W59"/>
      <c r="X59"/>
    </row>
    <row r="60" spans="1:24" s="91" customFormat="1" x14ac:dyDescent="0.2">
      <c r="A60" s="199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 s="263"/>
      <c r="Q60" s="263"/>
      <c r="R60"/>
      <c r="S60"/>
      <c r="T60"/>
      <c r="U60"/>
      <c r="V60"/>
      <c r="W60"/>
      <c r="X60"/>
    </row>
    <row r="61" spans="1:24" s="91" customFormat="1" x14ac:dyDescent="0.2">
      <c r="A61" s="199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 s="263"/>
      <c r="Q61" s="263"/>
      <c r="R61"/>
      <c r="S61"/>
      <c r="T61"/>
      <c r="U61"/>
      <c r="V61"/>
      <c r="W61"/>
      <c r="X61"/>
    </row>
    <row r="62" spans="1:24" s="91" customFormat="1" x14ac:dyDescent="0.2">
      <c r="A62" s="199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 s="263"/>
      <c r="Q62" s="263"/>
      <c r="R62"/>
      <c r="S62"/>
      <c r="T62"/>
      <c r="U62"/>
      <c r="V62"/>
      <c r="W62"/>
      <c r="X62"/>
    </row>
    <row r="63" spans="1:24" s="91" customFormat="1" x14ac:dyDescent="0.2">
      <c r="A63" s="199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 s="263"/>
      <c r="Q63" s="263"/>
      <c r="R63"/>
      <c r="S63"/>
      <c r="T63"/>
      <c r="U63"/>
      <c r="V63"/>
      <c r="W63"/>
      <c r="X63"/>
    </row>
    <row r="64" spans="1:24" s="91" customFormat="1" x14ac:dyDescent="0.2">
      <c r="A64" s="199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 s="263"/>
      <c r="Q64" s="263"/>
      <c r="R64"/>
      <c r="S64"/>
      <c r="T64"/>
      <c r="U64"/>
      <c r="V64"/>
      <c r="W64"/>
      <c r="X64"/>
    </row>
    <row r="65" spans="1:24" s="91" customFormat="1" x14ac:dyDescent="0.2">
      <c r="A65" s="199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 s="263"/>
      <c r="Q65" s="263"/>
      <c r="R65"/>
      <c r="S65"/>
      <c r="T65"/>
      <c r="U65"/>
      <c r="V65"/>
      <c r="W65"/>
      <c r="X65"/>
    </row>
    <row r="66" spans="1:24" s="91" customFormat="1" x14ac:dyDescent="0.2">
      <c r="A66" s="199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 s="263"/>
      <c r="Q66" s="263"/>
      <c r="R66"/>
      <c r="S66"/>
      <c r="T66"/>
      <c r="U66"/>
      <c r="V66"/>
      <c r="W66"/>
      <c r="X66"/>
    </row>
    <row r="67" spans="1:24" s="91" customFormat="1" x14ac:dyDescent="0.2">
      <c r="A67" s="199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 s="263"/>
      <c r="Q67" s="263"/>
      <c r="R67"/>
      <c r="S67"/>
      <c r="T67"/>
      <c r="U67"/>
      <c r="V67"/>
      <c r="W67"/>
      <c r="X67"/>
    </row>
    <row r="68" spans="1:24" s="91" customFormat="1" x14ac:dyDescent="0.2">
      <c r="A68" s="199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 s="263"/>
      <c r="Q68" s="263"/>
      <c r="R68"/>
      <c r="S68"/>
      <c r="T68"/>
      <c r="U68"/>
      <c r="V68"/>
      <c r="W68"/>
      <c r="X68"/>
    </row>
    <row r="69" spans="1:24" s="91" customFormat="1" x14ac:dyDescent="0.2">
      <c r="A69" s="19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 s="263"/>
      <c r="Q69" s="263"/>
      <c r="R69"/>
      <c r="S69"/>
      <c r="T69"/>
      <c r="U69"/>
      <c r="V69"/>
      <c r="W69"/>
      <c r="X69"/>
    </row>
    <row r="70" spans="1:24" s="91" customFormat="1" x14ac:dyDescent="0.2">
      <c r="A70" s="199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 s="263"/>
      <c r="Q70" s="263"/>
      <c r="R70"/>
      <c r="S70"/>
      <c r="T70"/>
      <c r="U70"/>
      <c r="V70"/>
      <c r="W70"/>
      <c r="X70"/>
    </row>
    <row r="71" spans="1:24" s="91" customFormat="1" x14ac:dyDescent="0.2">
      <c r="A71" s="199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 s="263"/>
      <c r="Q71" s="263"/>
      <c r="R71"/>
      <c r="S71"/>
      <c r="T71"/>
      <c r="U71"/>
      <c r="V71"/>
      <c r="W71"/>
      <c r="X71"/>
    </row>
    <row r="72" spans="1:24" s="91" customFormat="1" x14ac:dyDescent="0.2">
      <c r="A72" s="199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 s="263"/>
      <c r="Q72" s="263"/>
      <c r="R72"/>
      <c r="S72"/>
      <c r="T72"/>
      <c r="U72"/>
      <c r="V72"/>
      <c r="W72"/>
      <c r="X72"/>
    </row>
    <row r="73" spans="1:24" s="91" customFormat="1" x14ac:dyDescent="0.2">
      <c r="A73" s="199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 s="263"/>
      <c r="Q73" s="263"/>
      <c r="R73"/>
      <c r="S73"/>
      <c r="T73"/>
      <c r="U73"/>
      <c r="V73"/>
      <c r="W73"/>
      <c r="X73"/>
    </row>
    <row r="74" spans="1:24" s="91" customFormat="1" x14ac:dyDescent="0.2">
      <c r="A74" s="199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 s="263"/>
      <c r="Q74" s="263"/>
      <c r="R74"/>
      <c r="S74"/>
      <c r="T74"/>
      <c r="U74"/>
      <c r="V74"/>
      <c r="W74"/>
      <c r="X74"/>
    </row>
    <row r="75" spans="1:24" s="91" customFormat="1" x14ac:dyDescent="0.2">
      <c r="A75" s="199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 s="263"/>
      <c r="Q75" s="263"/>
      <c r="R75"/>
      <c r="S75"/>
      <c r="T75"/>
      <c r="U75"/>
      <c r="V75"/>
      <c r="W75"/>
      <c r="X75"/>
    </row>
    <row r="76" spans="1:24" s="91" customFormat="1" x14ac:dyDescent="0.2">
      <c r="A76" s="199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 s="263"/>
      <c r="Q76" s="263"/>
      <c r="R76"/>
      <c r="S76"/>
      <c r="T76"/>
      <c r="U76"/>
      <c r="V76"/>
      <c r="W76"/>
      <c r="X76"/>
    </row>
    <row r="77" spans="1:24" s="91" customFormat="1" x14ac:dyDescent="0.2">
      <c r="A77" s="199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 s="263"/>
      <c r="Q77" s="263"/>
      <c r="R77"/>
      <c r="S77"/>
      <c r="T77"/>
      <c r="U77"/>
      <c r="V77"/>
      <c r="W77"/>
      <c r="X77"/>
    </row>
    <row r="78" spans="1:24" s="91" customFormat="1" x14ac:dyDescent="0.2">
      <c r="A78" s="199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 s="263"/>
      <c r="Q78" s="263"/>
      <c r="R78"/>
      <c r="S78"/>
      <c r="T78"/>
      <c r="U78"/>
      <c r="V78"/>
      <c r="W78"/>
      <c r="X78"/>
    </row>
    <row r="79" spans="1:24" s="91" customFormat="1" x14ac:dyDescent="0.2">
      <c r="A79" s="19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 s="263"/>
      <c r="Q79" s="263"/>
      <c r="R79"/>
      <c r="S79"/>
      <c r="T79"/>
      <c r="U79"/>
      <c r="V79"/>
      <c r="W79"/>
      <c r="X79"/>
    </row>
    <row r="80" spans="1:24" s="91" customFormat="1" x14ac:dyDescent="0.2">
      <c r="A80" s="199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 s="263"/>
      <c r="Q80" s="263"/>
      <c r="R80"/>
      <c r="S80"/>
      <c r="T80"/>
      <c r="U80"/>
      <c r="V80"/>
      <c r="W80"/>
      <c r="X80"/>
    </row>
    <row r="81" spans="1:24" s="91" customFormat="1" x14ac:dyDescent="0.2">
      <c r="A81" s="199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 s="263"/>
      <c r="Q81" s="263"/>
      <c r="R81"/>
      <c r="S81"/>
      <c r="T81"/>
      <c r="U81"/>
      <c r="V81"/>
      <c r="W81"/>
      <c r="X81"/>
    </row>
    <row r="82" spans="1:24" s="91" customFormat="1" x14ac:dyDescent="0.2">
      <c r="A82" s="199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 s="263"/>
      <c r="Q82" s="263"/>
      <c r="R82"/>
      <c r="S82"/>
      <c r="T82"/>
      <c r="U82"/>
      <c r="V82"/>
      <c r="W82"/>
      <c r="X82"/>
    </row>
    <row r="83" spans="1:24" s="91" customFormat="1" x14ac:dyDescent="0.2">
      <c r="A83" s="199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 s="263"/>
      <c r="Q83" s="263"/>
      <c r="R83"/>
      <c r="S83"/>
      <c r="T83"/>
      <c r="U83"/>
      <c r="V83"/>
      <c r="W83"/>
      <c r="X83"/>
    </row>
    <row r="84" spans="1:24" s="91" customFormat="1" x14ac:dyDescent="0.2">
      <c r="A84" s="199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 s="263"/>
      <c r="Q84" s="263"/>
      <c r="R84"/>
      <c r="S84"/>
      <c r="T84"/>
      <c r="U84"/>
      <c r="V84"/>
      <c r="W84"/>
      <c r="X84"/>
    </row>
    <row r="85" spans="1:24" s="91" customFormat="1" x14ac:dyDescent="0.2">
      <c r="A85" s="199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 s="263"/>
      <c r="Q85" s="263"/>
      <c r="R85"/>
      <c r="S85"/>
      <c r="T85"/>
      <c r="U85"/>
      <c r="V85"/>
      <c r="W85"/>
      <c r="X85"/>
    </row>
    <row r="86" spans="1:24" s="91" customFormat="1" x14ac:dyDescent="0.2">
      <c r="A86" s="199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 s="263"/>
      <c r="Q86" s="263"/>
      <c r="R86"/>
      <c r="S86"/>
      <c r="T86"/>
      <c r="U86"/>
      <c r="V86"/>
      <c r="W86"/>
      <c r="X86"/>
    </row>
    <row r="87" spans="1:24" s="91" customFormat="1" x14ac:dyDescent="0.2">
      <c r="A87" s="199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 s="263"/>
      <c r="Q87" s="263"/>
      <c r="R87"/>
      <c r="S87"/>
      <c r="T87"/>
      <c r="U87"/>
      <c r="V87"/>
      <c r="W87"/>
      <c r="X87"/>
    </row>
    <row r="88" spans="1:24" s="91" customFormat="1" x14ac:dyDescent="0.2">
      <c r="A88" s="199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 s="263"/>
      <c r="Q88" s="263"/>
      <c r="R88"/>
      <c r="S88"/>
      <c r="T88"/>
      <c r="U88"/>
      <c r="V88"/>
      <c r="W88"/>
      <c r="X88"/>
    </row>
    <row r="89" spans="1:24" s="91" customFormat="1" x14ac:dyDescent="0.2">
      <c r="A89" s="19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 s="263"/>
      <c r="Q89" s="263"/>
      <c r="R89"/>
      <c r="S89"/>
      <c r="T89"/>
      <c r="U89"/>
      <c r="V89"/>
      <c r="W89"/>
      <c r="X89"/>
    </row>
    <row r="90" spans="1:24" s="91" customFormat="1" x14ac:dyDescent="0.2">
      <c r="A90" s="199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 s="263"/>
      <c r="Q90" s="263"/>
      <c r="R90"/>
      <c r="S90"/>
      <c r="T90"/>
      <c r="U90"/>
      <c r="V90"/>
      <c r="W90"/>
      <c r="X90"/>
    </row>
    <row r="91" spans="1:24" s="91" customFormat="1" x14ac:dyDescent="0.2">
      <c r="A91" s="199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 s="263"/>
      <c r="Q91" s="263"/>
      <c r="R91"/>
      <c r="S91"/>
      <c r="T91"/>
      <c r="U91"/>
      <c r="V91"/>
      <c r="W91"/>
      <c r="X91"/>
    </row>
    <row r="92" spans="1:24" s="91" customFormat="1" x14ac:dyDescent="0.2">
      <c r="A92" s="199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 s="263"/>
      <c r="Q92" s="263"/>
      <c r="R92"/>
      <c r="S92"/>
      <c r="T92"/>
      <c r="U92"/>
      <c r="V92"/>
      <c r="W92"/>
      <c r="X92"/>
    </row>
    <row r="93" spans="1:24" s="91" customFormat="1" x14ac:dyDescent="0.2">
      <c r="A93" s="199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 s="263"/>
      <c r="Q93" s="263"/>
      <c r="R93"/>
      <c r="S93"/>
      <c r="T93"/>
      <c r="U93"/>
      <c r="V93"/>
      <c r="W93"/>
      <c r="X93"/>
    </row>
    <row r="94" spans="1:24" s="91" customFormat="1" x14ac:dyDescent="0.2">
      <c r="A94" s="199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 s="263"/>
      <c r="Q94" s="263"/>
      <c r="R94"/>
      <c r="S94"/>
      <c r="T94"/>
      <c r="U94"/>
      <c r="V94"/>
      <c r="W94"/>
      <c r="X94"/>
    </row>
    <row r="95" spans="1:24" s="91" customFormat="1" x14ac:dyDescent="0.2">
      <c r="A95" s="199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 s="263"/>
      <c r="Q95" s="263"/>
      <c r="R95"/>
      <c r="S95"/>
      <c r="T95"/>
      <c r="U95"/>
      <c r="V95"/>
      <c r="W95"/>
      <c r="X95"/>
    </row>
    <row r="96" spans="1:24" s="91" customFormat="1" x14ac:dyDescent="0.2">
      <c r="A96" s="199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 s="263"/>
      <c r="Q96" s="263"/>
      <c r="R96"/>
      <c r="S96"/>
      <c r="T96"/>
      <c r="U96"/>
      <c r="V96"/>
      <c r="W96"/>
      <c r="X96"/>
    </row>
    <row r="97" spans="1:24" s="91" customFormat="1" x14ac:dyDescent="0.2">
      <c r="A97" s="199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 s="263"/>
      <c r="Q97" s="263"/>
      <c r="R97"/>
      <c r="S97"/>
      <c r="T97"/>
      <c r="U97"/>
      <c r="V97"/>
      <c r="W97"/>
      <c r="X97"/>
    </row>
    <row r="98" spans="1:24" s="91" customFormat="1" x14ac:dyDescent="0.2">
      <c r="A98" s="199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 s="263"/>
      <c r="Q98" s="263"/>
      <c r="R98"/>
      <c r="S98"/>
      <c r="T98"/>
      <c r="U98"/>
      <c r="V98"/>
      <c r="W98"/>
      <c r="X98"/>
    </row>
    <row r="99" spans="1:24" s="91" customFormat="1" x14ac:dyDescent="0.2">
      <c r="A99" s="1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 s="263"/>
      <c r="Q99" s="263"/>
      <c r="R99"/>
      <c r="S99"/>
      <c r="T99"/>
      <c r="U99"/>
      <c r="V99"/>
      <c r="W99"/>
      <c r="X99"/>
    </row>
    <row r="100" spans="1:24" s="91" customFormat="1" x14ac:dyDescent="0.2">
      <c r="A100" s="199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 s="263"/>
      <c r="Q100" s="263"/>
      <c r="R100"/>
      <c r="S100"/>
      <c r="T100"/>
      <c r="U100"/>
      <c r="V100"/>
      <c r="W100"/>
      <c r="X100"/>
    </row>
    <row r="101" spans="1:24" s="91" customFormat="1" x14ac:dyDescent="0.2">
      <c r="A101" s="199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 s="263"/>
      <c r="Q101" s="263"/>
      <c r="R101"/>
      <c r="S101"/>
      <c r="T101"/>
      <c r="U101"/>
      <c r="V101"/>
      <c r="W101"/>
      <c r="X101"/>
    </row>
    <row r="102" spans="1:24" s="91" customFormat="1" x14ac:dyDescent="0.2">
      <c r="A102" s="199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 s="263"/>
      <c r="Q102" s="263"/>
      <c r="R102"/>
      <c r="S102"/>
      <c r="T102"/>
      <c r="U102"/>
      <c r="V102"/>
      <c r="W102"/>
      <c r="X102"/>
    </row>
    <row r="103" spans="1:24" s="91" customFormat="1" x14ac:dyDescent="0.2">
      <c r="A103" s="199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 s="263"/>
      <c r="Q103" s="263"/>
      <c r="R103"/>
      <c r="S103"/>
      <c r="T103"/>
      <c r="U103"/>
      <c r="V103"/>
      <c r="W103"/>
      <c r="X103"/>
    </row>
    <row r="104" spans="1:24" s="91" customFormat="1" x14ac:dyDescent="0.2">
      <c r="A104" s="199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 s="263"/>
      <c r="Q104" s="263"/>
      <c r="R104"/>
      <c r="S104"/>
      <c r="T104"/>
      <c r="U104"/>
      <c r="V104"/>
      <c r="W104"/>
      <c r="X104"/>
    </row>
    <row r="105" spans="1:24" s="91" customFormat="1" x14ac:dyDescent="0.2">
      <c r="A105" s="199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 s="263"/>
      <c r="Q105" s="263"/>
      <c r="R105"/>
      <c r="S105"/>
      <c r="T105"/>
      <c r="U105"/>
      <c r="V105"/>
      <c r="W105"/>
      <c r="X105"/>
    </row>
    <row r="106" spans="1:24" s="91" customFormat="1" x14ac:dyDescent="0.2">
      <c r="A106" s="199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 s="263"/>
      <c r="Q106" s="263"/>
      <c r="R106"/>
      <c r="S106"/>
      <c r="T106"/>
      <c r="U106"/>
      <c r="V106"/>
      <c r="W106"/>
      <c r="X106"/>
    </row>
    <row r="107" spans="1:24" s="91" customFormat="1" x14ac:dyDescent="0.2">
      <c r="A107" s="199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 s="263"/>
      <c r="Q107" s="263"/>
      <c r="R107"/>
      <c r="S107"/>
      <c r="T107"/>
      <c r="U107"/>
      <c r="V107"/>
      <c r="W107"/>
      <c r="X107"/>
    </row>
    <row r="108" spans="1:24" s="91" customFormat="1" x14ac:dyDescent="0.2">
      <c r="A108" s="199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 s="263"/>
      <c r="Q108" s="263"/>
      <c r="R108"/>
      <c r="S108"/>
      <c r="T108"/>
      <c r="U108"/>
      <c r="V108"/>
      <c r="W108"/>
      <c r="X108"/>
    </row>
    <row r="109" spans="1:24" s="91" customFormat="1" x14ac:dyDescent="0.2">
      <c r="A109" s="19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 s="263"/>
      <c r="Q109" s="263"/>
      <c r="R109"/>
      <c r="S109"/>
      <c r="T109"/>
      <c r="U109"/>
      <c r="V109"/>
      <c r="W109"/>
      <c r="X109"/>
    </row>
    <row r="110" spans="1:24" s="91" customFormat="1" x14ac:dyDescent="0.2">
      <c r="A110" s="199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 s="263"/>
      <c r="Q110" s="263"/>
      <c r="R110"/>
      <c r="S110"/>
      <c r="T110"/>
      <c r="U110"/>
      <c r="V110"/>
      <c r="W110"/>
      <c r="X110"/>
    </row>
    <row r="111" spans="1:24" s="91" customFormat="1" x14ac:dyDescent="0.2">
      <c r="A111" s="199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 s="263"/>
      <c r="Q111" s="263"/>
      <c r="R111"/>
      <c r="S111"/>
      <c r="T111"/>
      <c r="U111"/>
      <c r="V111"/>
      <c r="W111"/>
      <c r="X111"/>
    </row>
    <row r="112" spans="1:24" s="91" customFormat="1" x14ac:dyDescent="0.2">
      <c r="A112" s="199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 s="263"/>
      <c r="Q112" s="263"/>
      <c r="R112"/>
      <c r="S112"/>
      <c r="T112"/>
      <c r="U112"/>
      <c r="V112"/>
      <c r="W112"/>
      <c r="X112"/>
    </row>
    <row r="113" spans="1:24" s="91" customFormat="1" x14ac:dyDescent="0.2">
      <c r="A113" s="199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 s="263"/>
      <c r="Q113" s="263"/>
      <c r="R113"/>
      <c r="S113"/>
      <c r="T113"/>
      <c r="U113"/>
      <c r="V113"/>
      <c r="W113"/>
      <c r="X113"/>
    </row>
    <row r="114" spans="1:24" s="91" customFormat="1" x14ac:dyDescent="0.2">
      <c r="A114" s="199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 s="263"/>
      <c r="Q114" s="263"/>
      <c r="R114"/>
      <c r="S114"/>
      <c r="T114"/>
      <c r="U114"/>
      <c r="V114"/>
      <c r="W114"/>
      <c r="X114"/>
    </row>
    <row r="115" spans="1:24" s="91" customFormat="1" x14ac:dyDescent="0.2">
      <c r="A115" s="199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 s="263"/>
      <c r="Q115" s="263"/>
      <c r="R115"/>
      <c r="S115"/>
      <c r="T115"/>
      <c r="U115"/>
      <c r="V115"/>
      <c r="W115"/>
      <c r="X115"/>
    </row>
    <row r="116" spans="1:24" s="91" customFormat="1" x14ac:dyDescent="0.2">
      <c r="A116" s="199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 s="263"/>
      <c r="Q116" s="263"/>
      <c r="R116"/>
      <c r="S116"/>
      <c r="T116"/>
      <c r="U116"/>
      <c r="V116"/>
      <c r="W116"/>
      <c r="X116"/>
    </row>
    <row r="117" spans="1:24" s="91" customFormat="1" x14ac:dyDescent="0.2">
      <c r="A117" s="199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 s="263"/>
      <c r="Q117" s="263"/>
      <c r="R117"/>
      <c r="S117"/>
      <c r="T117"/>
      <c r="U117"/>
      <c r="V117"/>
      <c r="W117"/>
      <c r="X117"/>
    </row>
    <row r="118" spans="1:24" s="91" customFormat="1" x14ac:dyDescent="0.2">
      <c r="A118" s="199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 s="263"/>
      <c r="Q118" s="263"/>
      <c r="R118"/>
      <c r="S118"/>
      <c r="T118"/>
      <c r="U118"/>
      <c r="V118"/>
      <c r="W118"/>
      <c r="X118"/>
    </row>
    <row r="119" spans="1:24" s="91" customFormat="1" x14ac:dyDescent="0.2">
      <c r="A119" s="19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 s="263"/>
      <c r="Q119" s="263"/>
      <c r="R119"/>
      <c r="S119"/>
      <c r="T119"/>
      <c r="U119"/>
      <c r="V119"/>
      <c r="W119"/>
      <c r="X119"/>
    </row>
    <row r="120" spans="1:24" s="91" customFormat="1" x14ac:dyDescent="0.2">
      <c r="A120" s="199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 s="263"/>
      <c r="Q120" s="263"/>
      <c r="R120"/>
      <c r="S120"/>
      <c r="T120"/>
      <c r="U120"/>
      <c r="V120"/>
      <c r="W120"/>
      <c r="X120"/>
    </row>
    <row r="121" spans="1:24" s="91" customFormat="1" x14ac:dyDescent="0.2">
      <c r="A121" s="199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 s="263"/>
      <c r="Q121" s="263"/>
      <c r="R121"/>
      <c r="S121"/>
      <c r="T121"/>
      <c r="U121"/>
      <c r="V121"/>
      <c r="W121"/>
      <c r="X121"/>
    </row>
    <row r="122" spans="1:24" s="91" customFormat="1" x14ac:dyDescent="0.2">
      <c r="A122" s="199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 s="263"/>
      <c r="Q122" s="263"/>
      <c r="R122"/>
      <c r="S122"/>
      <c r="T122"/>
      <c r="U122"/>
      <c r="V122"/>
      <c r="W122"/>
      <c r="X122"/>
    </row>
    <row r="123" spans="1:24" s="91" customFormat="1" x14ac:dyDescent="0.2">
      <c r="A123" s="199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 s="263"/>
      <c r="Q123" s="263"/>
      <c r="R123"/>
      <c r="S123"/>
      <c r="T123"/>
      <c r="U123"/>
      <c r="V123"/>
      <c r="W123"/>
      <c r="X123"/>
    </row>
    <row r="124" spans="1:24" s="91" customFormat="1" x14ac:dyDescent="0.2">
      <c r="A124" s="199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 s="263"/>
      <c r="Q124" s="263"/>
      <c r="R124"/>
      <c r="S124"/>
      <c r="T124"/>
      <c r="U124"/>
      <c r="V124"/>
      <c r="W124"/>
      <c r="X124"/>
    </row>
    <row r="125" spans="1:24" s="91" customFormat="1" x14ac:dyDescent="0.2">
      <c r="A125" s="199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 s="263"/>
      <c r="Q125" s="263"/>
      <c r="R125"/>
      <c r="S125"/>
      <c r="T125"/>
      <c r="U125"/>
      <c r="V125"/>
      <c r="W125"/>
      <c r="X125"/>
    </row>
    <row r="126" spans="1:24" s="91" customFormat="1" x14ac:dyDescent="0.2">
      <c r="A126" s="199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 s="263"/>
      <c r="Q126" s="263"/>
      <c r="R126"/>
      <c r="S126"/>
      <c r="T126"/>
      <c r="U126"/>
      <c r="V126"/>
      <c r="W126"/>
      <c r="X126"/>
    </row>
    <row r="127" spans="1:24" s="91" customFormat="1" x14ac:dyDescent="0.2">
      <c r="A127" s="199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 s="263"/>
      <c r="Q127" s="263"/>
      <c r="R127"/>
      <c r="S127"/>
      <c r="T127"/>
      <c r="U127"/>
      <c r="V127"/>
      <c r="W127"/>
      <c r="X127"/>
    </row>
    <row r="128" spans="1:24" s="91" customFormat="1" x14ac:dyDescent="0.2">
      <c r="A128" s="199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 s="263"/>
      <c r="Q128" s="263"/>
      <c r="R128"/>
      <c r="S128"/>
      <c r="T128"/>
      <c r="U128"/>
      <c r="V128"/>
      <c r="W128"/>
      <c r="X128"/>
    </row>
    <row r="129" spans="1:24" s="91" customFormat="1" x14ac:dyDescent="0.2">
      <c r="A129" s="19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 s="263"/>
      <c r="Q129" s="263"/>
      <c r="R129"/>
      <c r="S129"/>
      <c r="T129"/>
      <c r="U129"/>
      <c r="V129"/>
      <c r="W129"/>
      <c r="X129"/>
    </row>
    <row r="130" spans="1:24" s="91" customFormat="1" x14ac:dyDescent="0.2">
      <c r="A130" s="199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 s="263"/>
      <c r="Q130" s="263"/>
      <c r="R130"/>
      <c r="S130"/>
      <c r="T130"/>
      <c r="U130"/>
      <c r="V130"/>
      <c r="W130"/>
      <c r="X130"/>
    </row>
    <row r="131" spans="1:24" s="91" customFormat="1" x14ac:dyDescent="0.2">
      <c r="A131" s="199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 s="263"/>
      <c r="Q131" s="263"/>
      <c r="R131"/>
      <c r="S131"/>
      <c r="T131"/>
      <c r="U131"/>
      <c r="V131"/>
      <c r="W131"/>
      <c r="X131"/>
    </row>
    <row r="132" spans="1:24" s="91" customFormat="1" x14ac:dyDescent="0.2">
      <c r="A132" s="199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 s="263"/>
      <c r="Q132" s="263"/>
      <c r="R132"/>
      <c r="S132"/>
      <c r="T132"/>
      <c r="U132"/>
      <c r="V132"/>
      <c r="W132"/>
      <c r="X132"/>
    </row>
    <row r="133" spans="1:24" s="91" customFormat="1" x14ac:dyDescent="0.2">
      <c r="A133" s="199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 s="263"/>
      <c r="Q133" s="263"/>
      <c r="R133"/>
      <c r="S133"/>
      <c r="T133"/>
      <c r="U133"/>
      <c r="V133"/>
      <c r="W133"/>
      <c r="X133"/>
    </row>
    <row r="134" spans="1:24" s="91" customFormat="1" x14ac:dyDescent="0.2">
      <c r="A134" s="199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 s="263"/>
      <c r="Q134" s="263"/>
      <c r="R134"/>
      <c r="S134"/>
      <c r="T134"/>
      <c r="U134"/>
      <c r="V134"/>
      <c r="W134"/>
      <c r="X134"/>
    </row>
    <row r="135" spans="1:24" s="91" customFormat="1" x14ac:dyDescent="0.2">
      <c r="A135" s="199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 s="263"/>
      <c r="Q135" s="263"/>
      <c r="R135"/>
      <c r="S135"/>
      <c r="T135"/>
      <c r="U135"/>
      <c r="V135"/>
      <c r="W135"/>
      <c r="X135"/>
    </row>
    <row r="136" spans="1:24" s="91" customFormat="1" x14ac:dyDescent="0.2">
      <c r="A136" s="199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 s="263"/>
      <c r="Q136" s="263"/>
      <c r="R136"/>
      <c r="S136"/>
      <c r="T136"/>
      <c r="U136"/>
      <c r="V136"/>
      <c r="W136"/>
      <c r="X136"/>
    </row>
    <row r="137" spans="1:24" s="91" customFormat="1" x14ac:dyDescent="0.2">
      <c r="A137" s="199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 s="263"/>
      <c r="Q137" s="263"/>
      <c r="R137"/>
      <c r="S137"/>
      <c r="T137"/>
      <c r="U137"/>
      <c r="V137"/>
      <c r="W137"/>
      <c r="X137"/>
    </row>
    <row r="138" spans="1:24" s="91" customFormat="1" x14ac:dyDescent="0.2">
      <c r="A138" s="199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 s="263"/>
      <c r="Q138" s="263"/>
      <c r="R138"/>
      <c r="S138"/>
      <c r="T138"/>
      <c r="U138"/>
      <c r="V138"/>
      <c r="W138"/>
      <c r="X138"/>
    </row>
    <row r="139" spans="1:24" s="91" customFormat="1" x14ac:dyDescent="0.2">
      <c r="A139" s="19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 s="263"/>
      <c r="Q139" s="263"/>
      <c r="R139"/>
      <c r="S139"/>
      <c r="T139"/>
      <c r="U139"/>
      <c r="V139"/>
      <c r="W139"/>
      <c r="X139"/>
    </row>
    <row r="140" spans="1:24" s="91" customFormat="1" x14ac:dyDescent="0.2">
      <c r="A140" s="199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 s="263"/>
      <c r="Q140" s="263"/>
      <c r="R140"/>
      <c r="S140"/>
      <c r="T140"/>
      <c r="U140"/>
      <c r="V140"/>
      <c r="W140"/>
      <c r="X140"/>
    </row>
    <row r="141" spans="1:24" s="91" customFormat="1" x14ac:dyDescent="0.2">
      <c r="A141" s="199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 s="263"/>
      <c r="Q141" s="263"/>
      <c r="R141"/>
      <c r="S141"/>
      <c r="T141"/>
      <c r="U141"/>
      <c r="V141"/>
      <c r="W141"/>
      <c r="X141"/>
    </row>
    <row r="142" spans="1:24" s="91" customFormat="1" x14ac:dyDescent="0.2">
      <c r="A142" s="199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 s="263"/>
      <c r="Q142" s="263"/>
      <c r="R142"/>
      <c r="S142"/>
      <c r="T142"/>
      <c r="U142"/>
      <c r="V142"/>
      <c r="W142"/>
      <c r="X142"/>
    </row>
    <row r="143" spans="1:24" s="91" customFormat="1" x14ac:dyDescent="0.2">
      <c r="A143" s="199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 s="263"/>
      <c r="Q143" s="263"/>
      <c r="R143"/>
      <c r="S143"/>
      <c r="T143"/>
      <c r="U143"/>
      <c r="V143"/>
      <c r="W143"/>
      <c r="X143"/>
    </row>
    <row r="144" spans="1:24" s="91" customFormat="1" x14ac:dyDescent="0.2">
      <c r="A144" s="199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 s="263"/>
      <c r="Q144" s="263"/>
      <c r="R144"/>
      <c r="S144"/>
      <c r="T144"/>
      <c r="U144"/>
      <c r="V144"/>
      <c r="W144"/>
      <c r="X144"/>
    </row>
    <row r="145" spans="1:24" s="91" customFormat="1" x14ac:dyDescent="0.2">
      <c r="A145" s="199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 s="263"/>
      <c r="Q145" s="263"/>
      <c r="R145"/>
      <c r="S145"/>
      <c r="T145"/>
      <c r="U145"/>
      <c r="V145"/>
      <c r="W145"/>
      <c r="X145"/>
    </row>
    <row r="146" spans="1:24" s="91" customFormat="1" x14ac:dyDescent="0.2">
      <c r="A146" s="199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 s="263"/>
      <c r="Q146" s="263"/>
      <c r="R146"/>
      <c r="S146"/>
      <c r="T146"/>
      <c r="U146"/>
      <c r="V146"/>
      <c r="W146"/>
      <c r="X146"/>
    </row>
    <row r="147" spans="1:24" s="91" customFormat="1" x14ac:dyDescent="0.2">
      <c r="A147" s="199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 s="263"/>
      <c r="Q147" s="263"/>
      <c r="R147"/>
      <c r="S147"/>
      <c r="T147"/>
      <c r="U147"/>
      <c r="V147"/>
      <c r="W147"/>
      <c r="X147"/>
    </row>
    <row r="148" spans="1:24" s="91" customFormat="1" x14ac:dyDescent="0.2">
      <c r="A148" s="199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 s="263"/>
      <c r="Q148" s="263"/>
      <c r="R148"/>
      <c r="S148"/>
      <c r="T148"/>
      <c r="U148"/>
      <c r="V148"/>
      <c r="W148"/>
      <c r="X148"/>
    </row>
    <row r="149" spans="1:24" s="91" customFormat="1" x14ac:dyDescent="0.2">
      <c r="A149" s="19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 s="263"/>
      <c r="Q149" s="263"/>
      <c r="R149"/>
      <c r="S149"/>
      <c r="T149"/>
      <c r="U149"/>
      <c r="V149"/>
      <c r="W149"/>
      <c r="X149"/>
    </row>
    <row r="150" spans="1:24" s="91" customFormat="1" x14ac:dyDescent="0.2">
      <c r="A150" s="199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 s="263"/>
      <c r="Q150" s="263"/>
      <c r="R150"/>
      <c r="S150"/>
      <c r="T150"/>
      <c r="U150"/>
      <c r="V150"/>
      <c r="W150"/>
      <c r="X150"/>
    </row>
    <row r="151" spans="1:24" s="91" customFormat="1" x14ac:dyDescent="0.2">
      <c r="A151" s="199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 s="263"/>
      <c r="Q151" s="263"/>
      <c r="R151"/>
      <c r="S151"/>
      <c r="T151"/>
      <c r="U151"/>
      <c r="V151"/>
      <c r="W151"/>
      <c r="X151"/>
    </row>
    <row r="152" spans="1:24" s="91" customFormat="1" x14ac:dyDescent="0.2">
      <c r="A152" s="199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 s="263"/>
      <c r="Q152" s="263"/>
      <c r="R152"/>
      <c r="S152"/>
      <c r="T152"/>
      <c r="U152"/>
      <c r="V152"/>
      <c r="W152"/>
      <c r="X152"/>
    </row>
    <row r="153" spans="1:24" s="91" customFormat="1" x14ac:dyDescent="0.2">
      <c r="A153" s="199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 s="263"/>
      <c r="Q153" s="263"/>
      <c r="R153"/>
      <c r="S153"/>
      <c r="T153"/>
      <c r="U153"/>
      <c r="V153"/>
      <c r="W153"/>
      <c r="X153"/>
    </row>
    <row r="154" spans="1:24" s="91" customFormat="1" x14ac:dyDescent="0.2">
      <c r="A154" s="199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 s="263"/>
      <c r="Q154" s="263"/>
      <c r="R154"/>
      <c r="S154"/>
      <c r="T154"/>
      <c r="U154"/>
      <c r="V154"/>
      <c r="W154"/>
      <c r="X154"/>
    </row>
    <row r="155" spans="1:24" s="91" customFormat="1" x14ac:dyDescent="0.2">
      <c r="A155" s="199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 s="263"/>
      <c r="Q155" s="263"/>
      <c r="R155"/>
      <c r="S155"/>
      <c r="T155"/>
      <c r="U155"/>
      <c r="V155"/>
      <c r="W155"/>
      <c r="X155"/>
    </row>
    <row r="156" spans="1:24" s="91" customFormat="1" x14ac:dyDescent="0.2">
      <c r="A156" s="199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 s="263"/>
      <c r="Q156" s="263"/>
      <c r="R156"/>
      <c r="S156"/>
      <c r="T156"/>
      <c r="U156"/>
      <c r="V156"/>
      <c r="W156"/>
      <c r="X156"/>
    </row>
    <row r="157" spans="1:24" s="91" customFormat="1" x14ac:dyDescent="0.2">
      <c r="A157" s="199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 s="263"/>
      <c r="Q157" s="263"/>
      <c r="R157"/>
      <c r="S157"/>
      <c r="T157"/>
      <c r="U157"/>
      <c r="V157"/>
      <c r="W157"/>
      <c r="X157"/>
    </row>
    <row r="158" spans="1:24" s="91" customFormat="1" x14ac:dyDescent="0.2">
      <c r="A158" s="199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 s="263"/>
      <c r="Q158" s="263"/>
      <c r="R158"/>
      <c r="S158"/>
      <c r="T158"/>
      <c r="U158"/>
      <c r="V158"/>
      <c r="W158"/>
      <c r="X158"/>
    </row>
    <row r="159" spans="1:24" s="91" customFormat="1" x14ac:dyDescent="0.2">
      <c r="A159" s="19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 s="263"/>
      <c r="Q159" s="263"/>
      <c r="R159"/>
      <c r="S159"/>
      <c r="T159"/>
      <c r="U159"/>
      <c r="V159"/>
      <c r="W159"/>
      <c r="X159"/>
    </row>
    <row r="160" spans="1:24" s="91" customFormat="1" x14ac:dyDescent="0.2">
      <c r="A160" s="199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 s="263"/>
      <c r="Q160" s="263"/>
      <c r="R160"/>
      <c r="S160"/>
      <c r="T160"/>
      <c r="U160"/>
      <c r="V160"/>
      <c r="W160"/>
      <c r="X160"/>
    </row>
    <row r="161" spans="1:24" s="91" customFormat="1" x14ac:dyDescent="0.2">
      <c r="A161" s="199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 s="263"/>
      <c r="Q161" s="263"/>
      <c r="R161"/>
      <c r="S161"/>
      <c r="T161"/>
      <c r="U161"/>
      <c r="V161"/>
      <c r="W161"/>
      <c r="X161"/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8"/>
  <dimension ref="A1:N10000"/>
  <sheetViews>
    <sheetView topLeftCell="A10" zoomScale="80" zoomScaleNormal="80" workbookViewId="0">
      <pane xSplit="2" ySplit="5" topLeftCell="C15" activePane="bottomRight" state="frozen"/>
      <selection activeCell="D86" sqref="D86"/>
      <selection pane="topRight" activeCell="D86" sqref="D86"/>
      <selection pane="bottomLeft" activeCell="D86" sqref="D86"/>
      <selection pane="bottomRight"/>
    </sheetView>
  </sheetViews>
  <sheetFormatPr defaultColWidth="8.85546875" defaultRowHeight="12.75" x14ac:dyDescent="0.2"/>
  <cols>
    <col min="1" max="1" width="9.42578125" style="96" customWidth="1"/>
    <col min="2" max="2" width="7.85546875" style="298" bestFit="1" customWidth="1"/>
    <col min="3" max="3" width="15.140625" style="298" customWidth="1"/>
    <col min="4" max="4" width="17.42578125" style="298" customWidth="1"/>
    <col min="5" max="5" width="16.140625" style="298" customWidth="1"/>
    <col min="6" max="6" width="14.5703125" style="298" customWidth="1"/>
    <col min="7" max="7" width="16.140625" style="298" customWidth="1"/>
    <col min="8" max="9" width="14.140625" style="298" customWidth="1"/>
    <col min="10" max="12" width="12.5703125" style="298" customWidth="1"/>
    <col min="13" max="13" width="14.5703125" style="298" customWidth="1"/>
    <col min="14" max="14" width="15.5703125" style="298" customWidth="1"/>
    <col min="15" max="17" width="8.85546875" style="295"/>
    <col min="18" max="18" width="11" style="295" customWidth="1"/>
    <col min="19" max="16384" width="8.85546875" style="295"/>
  </cols>
  <sheetData>
    <row r="1" spans="1:14" x14ac:dyDescent="0.2">
      <c r="A1" s="296"/>
      <c r="B1" s="296"/>
      <c r="C1" s="296"/>
      <c r="D1" s="296"/>
      <c r="E1" s="296"/>
      <c r="F1" s="296"/>
      <c r="G1" s="296"/>
      <c r="H1" s="296"/>
      <c r="I1" s="296"/>
      <c r="J1" s="296"/>
      <c r="K1" s="296"/>
      <c r="L1" s="296"/>
      <c r="M1" s="296"/>
      <c r="N1" s="296"/>
    </row>
    <row r="2" spans="1:14" x14ac:dyDescent="0.2">
      <c r="A2" s="297"/>
      <c r="B2" s="297"/>
      <c r="G2" s="297"/>
      <c r="H2" s="297"/>
      <c r="I2" s="297"/>
      <c r="J2" s="297"/>
      <c r="K2" s="297"/>
      <c r="L2" s="297"/>
      <c r="M2" s="297"/>
      <c r="N2" s="297"/>
    </row>
    <row r="3" spans="1:14" x14ac:dyDescent="0.2">
      <c r="A3" s="297"/>
      <c r="B3" s="297"/>
      <c r="C3" s="297"/>
      <c r="D3" s="297"/>
      <c r="E3" s="297"/>
      <c r="F3" s="297"/>
      <c r="G3" s="297"/>
      <c r="H3" s="297"/>
      <c r="I3" s="297"/>
      <c r="J3" s="297"/>
      <c r="K3" s="297"/>
      <c r="L3" s="297"/>
      <c r="M3" s="297"/>
    </row>
    <row r="4" spans="1:14" x14ac:dyDescent="0.2">
      <c r="A4" s="297"/>
      <c r="B4" s="297"/>
      <c r="G4" s="297"/>
      <c r="H4" s="297"/>
      <c r="I4" s="297"/>
      <c r="J4" s="297"/>
      <c r="K4" s="297"/>
      <c r="L4" s="297"/>
      <c r="M4" s="297"/>
    </row>
    <row r="5" spans="1:14" x14ac:dyDescent="0.2">
      <c r="A5" s="297"/>
      <c r="B5" s="297"/>
      <c r="G5" s="297"/>
      <c r="H5" s="297"/>
      <c r="I5" s="297"/>
      <c r="J5" s="297"/>
      <c r="K5" s="297"/>
      <c r="L5" s="297"/>
      <c r="M5" s="297"/>
    </row>
    <row r="6" spans="1:14" x14ac:dyDescent="0.2">
      <c r="A6" s="297"/>
      <c r="B6" s="297"/>
      <c r="C6" s="297"/>
      <c r="D6" s="297"/>
      <c r="E6" s="297"/>
      <c r="F6" s="297"/>
      <c r="G6" s="297"/>
      <c r="H6" s="297"/>
      <c r="I6" s="297"/>
      <c r="J6" s="297"/>
      <c r="K6" s="297"/>
      <c r="L6" s="297"/>
      <c r="M6" s="297"/>
    </row>
    <row r="7" spans="1:14" x14ac:dyDescent="0.2">
      <c r="A7" s="297"/>
      <c r="B7" s="297"/>
      <c r="G7" s="297"/>
      <c r="H7" s="297"/>
      <c r="I7" s="297"/>
      <c r="J7" s="297"/>
      <c r="K7" s="297"/>
      <c r="L7" s="297"/>
      <c r="M7" s="297"/>
    </row>
    <row r="8" spans="1:14" x14ac:dyDescent="0.2">
      <c r="A8" s="297"/>
      <c r="B8" s="297"/>
      <c r="C8" s="297"/>
      <c r="D8" s="297"/>
      <c r="E8" s="297"/>
      <c r="F8" s="297"/>
      <c r="G8" s="297"/>
      <c r="H8" s="297"/>
      <c r="I8" s="297"/>
      <c r="J8" s="297"/>
      <c r="K8" s="297"/>
      <c r="L8" s="297"/>
      <c r="M8" s="297"/>
    </row>
    <row r="9" spans="1:14" x14ac:dyDescent="0.2">
      <c r="A9" s="297"/>
      <c r="B9" s="297"/>
      <c r="G9" s="297"/>
      <c r="H9" s="297"/>
      <c r="I9" s="297"/>
      <c r="J9" s="297"/>
      <c r="K9" s="297"/>
      <c r="L9" s="297"/>
      <c r="M9" s="297"/>
    </row>
    <row r="10" spans="1:14" hidden="1" x14ac:dyDescent="0.2">
      <c r="A10" s="297"/>
      <c r="B10" s="297"/>
      <c r="C10" s="297"/>
      <c r="D10" s="297"/>
      <c r="E10" s="297"/>
      <c r="F10" s="297"/>
      <c r="G10" s="299"/>
      <c r="H10" s="299"/>
      <c r="I10" s="300"/>
      <c r="J10" s="300"/>
      <c r="K10" s="300"/>
      <c r="L10" s="300"/>
      <c r="M10" s="300"/>
      <c r="N10" s="300"/>
    </row>
    <row r="11" spans="1:14" hidden="1" x14ac:dyDescent="0.2">
      <c r="A11" s="300"/>
      <c r="B11" s="300"/>
      <c r="C11" s="300"/>
      <c r="D11" s="300"/>
      <c r="E11" s="300"/>
      <c r="F11" s="300"/>
      <c r="G11" s="300"/>
      <c r="H11" s="300"/>
      <c r="I11" s="300"/>
      <c r="J11" s="300"/>
      <c r="K11" s="300"/>
      <c r="L11" s="300"/>
      <c r="M11" s="300"/>
      <c r="N11" s="300"/>
    </row>
    <row r="12" spans="1:14" ht="27.75" customHeight="1" x14ac:dyDescent="0.2">
      <c r="A12" s="300"/>
      <c r="B12" s="501" t="s">
        <v>16</v>
      </c>
      <c r="C12" s="495" t="s">
        <v>368</v>
      </c>
      <c r="D12" s="496"/>
      <c r="E12" s="496"/>
      <c r="F12" s="496"/>
      <c r="G12" s="496"/>
      <c r="H12" s="496"/>
      <c r="I12" s="496"/>
      <c r="J12" s="496"/>
      <c r="K12" s="496"/>
      <c r="L12" s="496"/>
      <c r="M12" s="496"/>
      <c r="N12" s="497"/>
    </row>
    <row r="13" spans="1:14" x14ac:dyDescent="0.2">
      <c r="A13" s="300"/>
      <c r="B13" s="502"/>
      <c r="C13" s="498" t="s">
        <v>369</v>
      </c>
      <c r="D13" s="499"/>
      <c r="E13" s="499"/>
      <c r="F13" s="499"/>
      <c r="G13" s="499"/>
      <c r="H13" s="500"/>
      <c r="I13" s="498" t="s">
        <v>370</v>
      </c>
      <c r="J13" s="499"/>
      <c r="K13" s="499"/>
      <c r="L13" s="499"/>
      <c r="M13" s="499"/>
      <c r="N13" s="500"/>
    </row>
    <row r="14" spans="1:14" ht="59.25" customHeight="1" x14ac:dyDescent="0.2">
      <c r="A14" s="301" t="s">
        <v>371</v>
      </c>
      <c r="B14" s="502"/>
      <c r="C14" s="301" t="s">
        <v>372</v>
      </c>
      <c r="D14" s="301" t="s">
        <v>373</v>
      </c>
      <c r="E14" s="301" t="s">
        <v>374</v>
      </c>
      <c r="F14" s="301" t="s">
        <v>375</v>
      </c>
      <c r="G14" s="301" t="s">
        <v>376</v>
      </c>
      <c r="H14" s="301" t="s">
        <v>377</v>
      </c>
      <c r="I14" s="301" t="s">
        <v>372</v>
      </c>
      <c r="J14" s="301" t="s">
        <v>373</v>
      </c>
      <c r="K14" s="301" t="s">
        <v>374</v>
      </c>
      <c r="L14" s="301" t="s">
        <v>375</v>
      </c>
      <c r="M14" s="301" t="s">
        <v>376</v>
      </c>
      <c r="N14" s="301" t="s">
        <v>377</v>
      </c>
    </row>
    <row r="15" spans="1:14" s="91" customFormat="1" x14ac:dyDescent="0.2">
      <c r="A15" s="86" t="str">
        <f>RedBasica!E15</f>
        <v>MS_A_1-001</v>
      </c>
      <c r="B15" s="87">
        <f>IF(OR(Parametros!$F$35=0,RedBasica!$F15=0),0,IF(Parametros!$F$35="No",0,IF(Parametros!$F$35="Si",1,0)))</f>
        <v>0</v>
      </c>
      <c r="C15" s="88">
        <f>IFERROR(INDEX(RedBasica!$N$15:$N$10000,MATCH(RedBasica!G15,RedBasica!$E$15:$E$10000,0),1),0)</f>
        <v>0</v>
      </c>
      <c r="D15" s="67">
        <f>IFERROR(INDEX(RedBasica!$N$15:$N$10000,MATCH(RedBasica!H15,RedBasica!$E$15:$E$10000,0),1),0)</f>
        <v>0</v>
      </c>
      <c r="E15" s="67">
        <f>IFERROR(INDEX(RedBasica!$N$15:$N$10000,MATCH(RedBasica!I15,RedBasica!$E$15:$E$10000,0),1),0)</f>
        <v>0</v>
      </c>
      <c r="F15" s="67">
        <f>SUM(C15,D15,E15)</f>
        <v>0</v>
      </c>
      <c r="G15" s="67">
        <f>RedBasica!K15*Parametros!$L$24</f>
        <v>0.28000000000000003</v>
      </c>
      <c r="H15" s="68">
        <f>IF(RedBasica!$F15=0,0,$B15*Parametros!$F$41*Parametros!$F$42*Parametros!$F$36*RedBasica!$F15/1000)</f>
        <v>0</v>
      </c>
      <c r="I15" s="88">
        <f>IFERROR(INDEX(RedBasica!$O$15:$O$10000,MATCH(RedBasica!G15,RedBasica!$E$15:$E$10000,0),1),0)</f>
        <v>0</v>
      </c>
      <c r="J15" s="89">
        <f>IFERROR(INDEX(RedBasica!$O$15:$O$10000,MATCH(RedBasica!H15,RedBasica!$E$15:$E$10000,0),1),0)</f>
        <v>0</v>
      </c>
      <c r="K15" s="89">
        <f>IFERROR(INDEX(RedBasica!$O$15:$O$10000,MATCH(RedBasica!I15,RedBasica!$E$15:$E$10000,0),1),0)</f>
        <v>0</v>
      </c>
      <c r="L15" s="67">
        <f>SUM(I15,J15,K15)</f>
        <v>0</v>
      </c>
      <c r="M15" s="67">
        <f>RedBasica!L15*Parametros!$L$24/Parametros!$F$41</f>
        <v>0.20416666666666669</v>
      </c>
      <c r="N15" s="68">
        <f>IF(RedBasica!$F15=0,0,$B15*Parametros!$F$42*Parametros!$F$37*RedBasica!$F15/1000)</f>
        <v>0</v>
      </c>
    </row>
    <row r="16" spans="1:14" customFormat="1" x14ac:dyDescent="0.2">
      <c r="A16" s="86" t="str">
        <f>RedBasica!E16</f>
        <v>MS_A_1-002</v>
      </c>
      <c r="B16" s="87">
        <f>IF(OR(Parametros!$F$35=0,RedBasica!$F16=0),0,IF(Parametros!$F$35="No",0,IF(Parametros!$F$35="Si",1,0)))</f>
        <v>0</v>
      </c>
      <c r="C16" s="88">
        <f>IFERROR(INDEX(RedBasica!$N$15:$N$10000,MATCH(RedBasica!G16,RedBasica!$E$15:$E$10000,0),1),0)</f>
        <v>0.28058150000000004</v>
      </c>
      <c r="D16" s="67">
        <f>IFERROR(INDEX(RedBasica!$N$15:$N$10000,MATCH(RedBasica!H16,RedBasica!$E$15:$E$10000,0),1),0)</f>
        <v>1.3175000000000001E-3</v>
      </c>
      <c r="E16" s="67">
        <f>IFERROR(INDEX(RedBasica!$N$15:$N$10000,MATCH(RedBasica!I16,RedBasica!$E$15:$E$10000,0),1),0)</f>
        <v>0</v>
      </c>
      <c r="F16" s="67">
        <f t="shared" ref="F16:F50" si="0">SUM(C16,D16,E16)</f>
        <v>0.28189900000000007</v>
      </c>
      <c r="G16" s="67">
        <f>RedBasica!K16*Parametros!$L$24</f>
        <v>0.21875000000000003</v>
      </c>
      <c r="H16" s="68">
        <f>IF(RedBasica!$F16=0,0,$B16*Parametros!$F$41*Parametros!$F$42*Parametros!$F$36*RedBasica!$F16/1000)</f>
        <v>0</v>
      </c>
      <c r="I16" s="88">
        <f>IFERROR(INDEX(RedBasica!$O$15:$O$10000,MATCH(RedBasica!G16,RedBasica!$E$15:$E$10000,0),1),0)</f>
        <v>0.2047481666666667</v>
      </c>
      <c r="J16" s="89">
        <f>IFERROR(INDEX(RedBasica!$O$15:$O$10000,MATCH(RedBasica!H16,RedBasica!$E$15:$E$10000,0),1),0)</f>
        <v>1.3175000000000001E-3</v>
      </c>
      <c r="K16" s="89">
        <f>IFERROR(INDEX(RedBasica!$O$15:$O$10000,MATCH(RedBasica!I16,RedBasica!$E$15:$E$10000,0),1),0)</f>
        <v>0</v>
      </c>
      <c r="L16" s="67">
        <f t="shared" ref="L16:L50" si="1">SUM(I16,J16,K16)</f>
        <v>0.2060656666666667</v>
      </c>
      <c r="M16" s="67">
        <f>RedBasica!L16*Parametros!$L$24/Parametros!$F$41</f>
        <v>0.14583333333333334</v>
      </c>
      <c r="N16" s="68">
        <f>IF(RedBasica!$F16=0,0,$B16*Parametros!$F$42*Parametros!$F$37*RedBasica!$F16/1000)</f>
        <v>0</v>
      </c>
    </row>
    <row r="17" spans="1:14" customFormat="1" x14ac:dyDescent="0.2">
      <c r="A17" s="86" t="str">
        <f>RedBasica!E17</f>
        <v>MS_A_1-003</v>
      </c>
      <c r="B17" s="87">
        <f>IF(OR(Parametros!$F$35=0,RedBasica!$F17=0),0,IF(Parametros!$F$35="No",0,IF(Parametros!$F$35="Si",1,0)))</f>
        <v>0</v>
      </c>
      <c r="C17" s="88">
        <f>IFERROR(INDEX(RedBasica!$N$15:$N$10000,MATCH(RedBasica!G17,RedBasica!$E$15:$E$10000,0),1),0)</f>
        <v>0.50110630000000012</v>
      </c>
      <c r="D17" s="67">
        <f>IFERROR(INDEX(RedBasica!$N$15:$N$10000,MATCH(RedBasica!H17,RedBasica!$E$15:$E$10000,0),1),0)</f>
        <v>0</v>
      </c>
      <c r="E17" s="67">
        <f>IFERROR(INDEX(RedBasica!$N$15:$N$10000,MATCH(RedBasica!I17,RedBasica!$E$15:$E$10000,0),1),0)</f>
        <v>0</v>
      </c>
      <c r="F17" s="67">
        <f t="shared" si="0"/>
        <v>0.50110630000000012</v>
      </c>
      <c r="G17" s="67">
        <f>RedBasica!K17*Parametros!$L$24</f>
        <v>8.7500000000000008E-2</v>
      </c>
      <c r="H17" s="68">
        <f>IF(RedBasica!$F17=0,0,$B17*Parametros!$F$41*Parametros!$F$42*Parametros!$F$36*RedBasica!$F17/1000)</f>
        <v>0</v>
      </c>
      <c r="I17" s="88">
        <f>IFERROR(INDEX(RedBasica!$O$15:$O$10000,MATCH(RedBasica!G17,RedBasica!$E$15:$E$10000,0),1),0)</f>
        <v>0.35235630000000007</v>
      </c>
      <c r="J17" s="89">
        <f>IFERROR(INDEX(RedBasica!$O$15:$O$10000,MATCH(RedBasica!H17,RedBasica!$E$15:$E$10000,0),1),0)</f>
        <v>0</v>
      </c>
      <c r="K17" s="89">
        <f>IFERROR(INDEX(RedBasica!$O$15:$O$10000,MATCH(RedBasica!I17,RedBasica!$E$15:$E$10000,0),1),0)</f>
        <v>0</v>
      </c>
      <c r="L17" s="67">
        <f t="shared" si="1"/>
        <v>0.35235630000000007</v>
      </c>
      <c r="M17" s="67">
        <f>RedBasica!L17*Parametros!$L$24/Parametros!$F$41</f>
        <v>7.2916666666666671E-2</v>
      </c>
      <c r="N17" s="68">
        <f>IF(RedBasica!$F17=0,0,$B17*Parametros!$F$42*Parametros!$F$37*RedBasica!$F17/1000)</f>
        <v>0</v>
      </c>
    </row>
    <row r="18" spans="1:14" customFormat="1" x14ac:dyDescent="0.2">
      <c r="A18" s="86" t="str">
        <f>RedBasica!E18</f>
        <v>MS_A_1-004</v>
      </c>
      <c r="B18" s="87">
        <f>IF(OR(Parametros!$F$35=0,RedBasica!$F18=0),0,IF(Parametros!$F$35="No",0,IF(Parametros!$F$35="Si",1,0)))</f>
        <v>0</v>
      </c>
      <c r="C18" s="88">
        <f>IFERROR(INDEX(RedBasica!$N$15:$N$10000,MATCH(RedBasica!G18,RedBasica!$E$15:$E$10000,0),1),0)</f>
        <v>0.58919010000000016</v>
      </c>
      <c r="D18" s="67">
        <f>IFERROR(INDEX(RedBasica!$N$15:$N$10000,MATCH(RedBasica!H18,RedBasica!$E$15:$E$10000,0),1),0)</f>
        <v>0</v>
      </c>
      <c r="E18" s="67">
        <f>IFERROR(INDEX(RedBasica!$N$15:$N$10000,MATCH(RedBasica!I18,RedBasica!$E$15:$E$10000,0),1),0)</f>
        <v>0</v>
      </c>
      <c r="F18" s="67">
        <f t="shared" si="0"/>
        <v>0.58919010000000016</v>
      </c>
      <c r="G18" s="67">
        <f>RedBasica!K18*Parametros!$L$24</f>
        <v>0</v>
      </c>
      <c r="H18" s="68">
        <f>IF(RedBasica!$F18=0,0,$B18*Parametros!$F$41*Parametros!$F$42*Parametros!$F$36*RedBasica!$F18/1000)</f>
        <v>0</v>
      </c>
      <c r="I18" s="88">
        <f>IFERROR(INDEX(RedBasica!$O$15:$O$10000,MATCH(RedBasica!G18,RedBasica!$E$15:$E$10000,0),1),0)</f>
        <v>0.42585676666666678</v>
      </c>
      <c r="J18" s="89">
        <f>IFERROR(INDEX(RedBasica!$O$15:$O$10000,MATCH(RedBasica!H18,RedBasica!$E$15:$E$10000,0),1),0)</f>
        <v>0</v>
      </c>
      <c r="K18" s="89">
        <f>IFERROR(INDEX(RedBasica!$O$15:$O$10000,MATCH(RedBasica!I18,RedBasica!$E$15:$E$10000,0),1),0)</f>
        <v>0</v>
      </c>
      <c r="L18" s="67">
        <f t="shared" si="1"/>
        <v>0.42585676666666678</v>
      </c>
      <c r="M18" s="67">
        <f>RedBasica!L18*Parametros!$L$24/Parametros!$F$41</f>
        <v>0</v>
      </c>
      <c r="N18" s="68">
        <f>IF(RedBasica!$F18=0,0,$B18*Parametros!$F$42*Parametros!$F$37*RedBasica!$F18/1000)</f>
        <v>0</v>
      </c>
    </row>
    <row r="19" spans="1:14" customFormat="1" x14ac:dyDescent="0.2">
      <c r="A19" s="86" t="str">
        <f>RedBasica!E19</f>
        <v>MS_A_1-005</v>
      </c>
      <c r="B19" s="87">
        <f>IF(OR(Parametros!$F$35=0,RedBasica!$F19=0),0,IF(Parametros!$F$35="No",0,IF(Parametros!$F$35="Si",1,0)))</f>
        <v>0</v>
      </c>
      <c r="C19" s="88">
        <f>IFERROR(INDEX(RedBasica!$N$15:$N$10000,MATCH(RedBasica!G19,RedBasica!$E$15:$E$10000,0),1),0)</f>
        <v>0.58958830000000018</v>
      </c>
      <c r="D19" s="67">
        <f>IFERROR(INDEX(RedBasica!$N$15:$N$10000,MATCH(RedBasica!H19,RedBasica!$E$15:$E$10000,0),1),0)</f>
        <v>0</v>
      </c>
      <c r="E19" s="67">
        <f>IFERROR(INDEX(RedBasica!$N$15:$N$10000,MATCH(RedBasica!I19,RedBasica!$E$15:$E$10000,0),1),0)</f>
        <v>0</v>
      </c>
      <c r="F19" s="67">
        <f t="shared" si="0"/>
        <v>0.58958830000000018</v>
      </c>
      <c r="G19" s="67">
        <f>RedBasica!K19*Parametros!$L$24</f>
        <v>1.3125000000000002</v>
      </c>
      <c r="H19" s="68">
        <f>IF(RedBasica!$F19=0,0,$B19*Parametros!$F$41*Parametros!$F$42*Parametros!$F$36*RedBasica!$F19/1000)</f>
        <v>0</v>
      </c>
      <c r="I19" s="88">
        <f>IFERROR(INDEX(RedBasica!$O$15:$O$10000,MATCH(RedBasica!G19,RedBasica!$E$15:$E$10000,0),1),0)</f>
        <v>0.42625496666666679</v>
      </c>
      <c r="J19" s="89">
        <f>IFERROR(INDEX(RedBasica!$O$15:$O$10000,MATCH(RedBasica!H19,RedBasica!$E$15:$E$10000,0),1),0)</f>
        <v>0</v>
      </c>
      <c r="K19" s="89">
        <f>IFERROR(INDEX(RedBasica!$O$15:$O$10000,MATCH(RedBasica!I19,RedBasica!$E$15:$E$10000,0),1),0)</f>
        <v>0</v>
      </c>
      <c r="L19" s="67">
        <f t="shared" si="1"/>
        <v>0.42625496666666679</v>
      </c>
      <c r="M19" s="67">
        <f>RedBasica!L19*Parametros!$L$24/Parametros!$F$41</f>
        <v>0.72916666666666674</v>
      </c>
      <c r="N19" s="68">
        <f>IF(RedBasica!$F19=0,0,$B19*Parametros!$F$42*Parametros!$F$37*RedBasica!$F19/1000)</f>
        <v>0</v>
      </c>
    </row>
    <row r="20" spans="1:14" customFormat="1" x14ac:dyDescent="0.2">
      <c r="A20" s="86" t="str">
        <f>RedBasica!E20</f>
        <v>MS_A_1-006</v>
      </c>
      <c r="B20" s="87">
        <f>IF(OR(Parametros!$F$35=0,RedBasica!$F20=0),0,IF(Parametros!$F$35="No",0,IF(Parametros!$F$35="Si",1,0)))</f>
        <v>0</v>
      </c>
      <c r="C20" s="88">
        <f>IFERROR(INDEX(RedBasica!$N$15:$N$10000,MATCH(RedBasica!G20,RedBasica!$E$15:$E$10000,0),1),0)</f>
        <v>1.9030822000000005</v>
      </c>
      <c r="D20" s="67">
        <f>IFERROR(INDEX(RedBasica!$N$15:$N$10000,MATCH(RedBasica!H20,RedBasica!$E$15:$E$10000,0),1),0)</f>
        <v>0</v>
      </c>
      <c r="E20" s="67">
        <f>IFERROR(INDEX(RedBasica!$N$15:$N$10000,MATCH(RedBasica!I20,RedBasica!$E$15:$E$10000,0),1),0)</f>
        <v>0</v>
      </c>
      <c r="F20" s="67">
        <f t="shared" si="0"/>
        <v>1.9030822000000005</v>
      </c>
      <c r="G20" s="67">
        <f>RedBasica!K20*Parametros!$L$24</f>
        <v>0</v>
      </c>
      <c r="H20" s="68">
        <f>IF(RedBasica!$F20=0,0,$B20*Parametros!$F$41*Parametros!$F$42*Parametros!$F$36*RedBasica!$F20/1000)</f>
        <v>0</v>
      </c>
      <c r="I20" s="88">
        <f>IFERROR(INDEX(RedBasica!$O$15:$O$10000,MATCH(RedBasica!G20,RedBasica!$E$15:$E$10000,0),1),0)</f>
        <v>1.1564155333333337</v>
      </c>
      <c r="J20" s="89">
        <f>IFERROR(INDEX(RedBasica!$O$15:$O$10000,MATCH(RedBasica!H20,RedBasica!$E$15:$E$10000,0),1),0)</f>
        <v>0</v>
      </c>
      <c r="K20" s="89">
        <f>IFERROR(INDEX(RedBasica!$O$15:$O$10000,MATCH(RedBasica!I20,RedBasica!$E$15:$E$10000,0),1),0)</f>
        <v>0</v>
      </c>
      <c r="L20" s="67">
        <f t="shared" si="1"/>
        <v>1.1564155333333337</v>
      </c>
      <c r="M20" s="67">
        <f>RedBasica!L20*Parametros!$L$24/Parametros!$F$41</f>
        <v>0</v>
      </c>
      <c r="N20" s="68">
        <f>IF(RedBasica!$F20=0,0,$B20*Parametros!$F$42*Parametros!$F$37*RedBasica!$F20/1000)</f>
        <v>0</v>
      </c>
    </row>
    <row r="21" spans="1:14" customFormat="1" x14ac:dyDescent="0.2">
      <c r="A21" s="86" t="str">
        <f>RedBasica!E21</f>
        <v>MS_A_1-007</v>
      </c>
      <c r="B21" s="87">
        <f>IF(OR(Parametros!$F$35=0,RedBasica!$F21=0),0,IF(Parametros!$F$35="No",0,IF(Parametros!$F$35="Si",1,0)))</f>
        <v>0</v>
      </c>
      <c r="C21" s="88">
        <f>IFERROR(INDEX(RedBasica!$N$15:$N$10000,MATCH(RedBasica!G21,RedBasica!$E$15:$E$10000,0),1),0)</f>
        <v>1.9034479000000004</v>
      </c>
      <c r="D21" s="67">
        <f>IFERROR(INDEX(RedBasica!$N$15:$N$10000,MATCH(RedBasica!H21,RedBasica!$E$15:$E$10000,0),1),0)</f>
        <v>1.281E-3</v>
      </c>
      <c r="E21" s="67">
        <f>IFERROR(INDEX(RedBasica!$N$15:$N$10000,MATCH(RedBasica!I21,RedBasica!$E$15:$E$10000,0),1),0)</f>
        <v>0</v>
      </c>
      <c r="F21" s="67">
        <f t="shared" si="0"/>
        <v>1.9047289000000005</v>
      </c>
      <c r="G21" s="67">
        <f>RedBasica!K21*Parametros!$L$24</f>
        <v>0.35000000000000003</v>
      </c>
      <c r="H21" s="68">
        <f>IF(RedBasica!$F21=0,0,$B21*Parametros!$F$41*Parametros!$F$42*Parametros!$F$36*RedBasica!$F21/1000)</f>
        <v>0</v>
      </c>
      <c r="I21" s="88">
        <f>IFERROR(INDEX(RedBasica!$O$15:$O$10000,MATCH(RedBasica!G21,RedBasica!$E$15:$E$10000,0),1),0)</f>
        <v>1.1567812333333336</v>
      </c>
      <c r="J21" s="89">
        <f>IFERROR(INDEX(RedBasica!$O$15:$O$10000,MATCH(RedBasica!H21,RedBasica!$E$15:$E$10000,0),1),0)</f>
        <v>1.281E-3</v>
      </c>
      <c r="K21" s="89">
        <f>IFERROR(INDEX(RedBasica!$O$15:$O$10000,MATCH(RedBasica!I21,RedBasica!$E$15:$E$10000,0),1),0)</f>
        <v>0</v>
      </c>
      <c r="L21" s="67">
        <f t="shared" si="1"/>
        <v>1.1580622333333337</v>
      </c>
      <c r="M21" s="67">
        <f>RedBasica!L21*Parametros!$L$24/Parametros!$F$41</f>
        <v>0.21875000000000003</v>
      </c>
      <c r="N21" s="68">
        <f>IF(RedBasica!$F21=0,0,$B21*Parametros!$F$42*Parametros!$F$37*RedBasica!$F21/1000)</f>
        <v>0</v>
      </c>
    </row>
    <row r="22" spans="1:14" customFormat="1" x14ac:dyDescent="0.2">
      <c r="A22" s="86" t="str">
        <f>RedBasica!E22</f>
        <v>MS_A_1-008</v>
      </c>
      <c r="B22" s="87">
        <f>IF(OR(Parametros!$F$35=0,RedBasica!$F22=0),0,IF(Parametros!$F$35="No",0,IF(Parametros!$F$35="Si",1,0)))</f>
        <v>0</v>
      </c>
      <c r="C22" s="88">
        <f>IFERROR(INDEX(RedBasica!$N$15:$N$10000,MATCH(RedBasica!G22,RedBasica!$E$15:$E$10000,0),1),0)</f>
        <v>2.2554816000000004</v>
      </c>
      <c r="D22" s="67">
        <f>IFERROR(INDEX(RedBasica!$N$15:$N$10000,MATCH(RedBasica!H22,RedBasica!$E$15:$E$10000,0),1),0)</f>
        <v>5.865E-4</v>
      </c>
      <c r="E22" s="67">
        <f>IFERROR(INDEX(RedBasica!$N$15:$N$10000,MATCH(RedBasica!I22,RedBasica!$E$15:$E$10000,0),1),0)</f>
        <v>0</v>
      </c>
      <c r="F22" s="67">
        <f t="shared" si="0"/>
        <v>2.2560681000000002</v>
      </c>
      <c r="G22" s="67">
        <f>RedBasica!K22*Parametros!$L$24</f>
        <v>0</v>
      </c>
      <c r="H22" s="68">
        <f>IF(RedBasica!$F22=0,0,$B22*Parametros!$F$41*Parametros!$F$42*Parametros!$F$36*RedBasica!$F22/1000)</f>
        <v>0</v>
      </c>
      <c r="I22" s="88">
        <f>IFERROR(INDEX(RedBasica!$O$15:$O$10000,MATCH(RedBasica!G22,RedBasica!$E$15:$E$10000,0),1),0)</f>
        <v>1.3775649333333337</v>
      </c>
      <c r="J22" s="89">
        <f>IFERROR(INDEX(RedBasica!$O$15:$O$10000,MATCH(RedBasica!H22,RedBasica!$E$15:$E$10000,0),1),0)</f>
        <v>5.865E-4</v>
      </c>
      <c r="K22" s="89">
        <f>IFERROR(INDEX(RedBasica!$O$15:$O$10000,MATCH(RedBasica!I22,RedBasica!$E$15:$E$10000,0),1),0)</f>
        <v>0</v>
      </c>
      <c r="L22" s="67">
        <f t="shared" si="1"/>
        <v>1.3781514333333338</v>
      </c>
      <c r="M22" s="67">
        <f>RedBasica!L22*Parametros!$L$24/Parametros!$F$41</f>
        <v>0</v>
      </c>
      <c r="N22" s="68">
        <f>IF(RedBasica!$F22=0,0,$B22*Parametros!$F$42*Parametros!$F$37*RedBasica!$F22/1000)</f>
        <v>0</v>
      </c>
    </row>
    <row r="23" spans="1:14" customFormat="1" x14ac:dyDescent="0.2">
      <c r="A23" s="86" t="str">
        <f>RedBasica!E23</f>
        <v>MS_A_1-009</v>
      </c>
      <c r="B23" s="87">
        <f>IF(OR(Parametros!$F$35=0,RedBasica!$F23=0),0,IF(Parametros!$F$35="No",0,IF(Parametros!$F$35="Si",1,0)))</f>
        <v>0</v>
      </c>
      <c r="C23" s="88">
        <f>IFERROR(INDEX(RedBasica!$N$15:$N$10000,MATCH(RedBasica!G23,RedBasica!$E$15:$E$10000,0),1),0)</f>
        <v>2.2566831000000001</v>
      </c>
      <c r="D23" s="67">
        <f>IFERROR(INDEX(RedBasica!$N$15:$N$10000,MATCH(RedBasica!H23,RedBasica!$E$15:$E$10000,0),1),0)</f>
        <v>0</v>
      </c>
      <c r="E23" s="67">
        <f>IFERROR(INDEX(RedBasica!$N$15:$N$10000,MATCH(RedBasica!I23,RedBasica!$E$15:$E$10000,0),1),0)</f>
        <v>0</v>
      </c>
      <c r="F23" s="67">
        <f t="shared" si="0"/>
        <v>2.2566831000000001</v>
      </c>
      <c r="G23" s="67">
        <f>RedBasica!K23*Parametros!$L$24</f>
        <v>0</v>
      </c>
      <c r="H23" s="68">
        <f>IF(RedBasica!$F23=0,0,$B23*Parametros!$F$41*Parametros!$F$42*Parametros!$F$36*RedBasica!$F23/1000)</f>
        <v>0</v>
      </c>
      <c r="I23" s="88">
        <f>IFERROR(INDEX(RedBasica!$O$15:$O$10000,MATCH(RedBasica!G23,RedBasica!$E$15:$E$10000,0),1),0)</f>
        <v>1.3787664333333338</v>
      </c>
      <c r="J23" s="89">
        <f>IFERROR(INDEX(RedBasica!$O$15:$O$10000,MATCH(RedBasica!H23,RedBasica!$E$15:$E$10000,0),1),0)</f>
        <v>0</v>
      </c>
      <c r="K23" s="89">
        <f>IFERROR(INDEX(RedBasica!$O$15:$O$10000,MATCH(RedBasica!I23,RedBasica!$E$15:$E$10000,0),1),0)</f>
        <v>0</v>
      </c>
      <c r="L23" s="67">
        <f t="shared" si="1"/>
        <v>1.3787664333333338</v>
      </c>
      <c r="M23" s="67">
        <f>RedBasica!L23*Parametros!$L$24/Parametros!$F$41</f>
        <v>0</v>
      </c>
      <c r="N23" s="68">
        <f>IF(RedBasica!$F23=0,0,$B23*Parametros!$F$42*Parametros!$F$37*RedBasica!$F23/1000)</f>
        <v>0</v>
      </c>
    </row>
    <row r="24" spans="1:14" customFormat="1" x14ac:dyDescent="0.2">
      <c r="A24" s="86" t="str">
        <f>RedBasica!E24</f>
        <v>MS_A_1-010</v>
      </c>
      <c r="B24" s="87">
        <f>IF(OR(Parametros!$F$35=0,RedBasica!$F24=0),0,IF(Parametros!$F$35="No",0,IF(Parametros!$F$35="Si",1,0)))</f>
        <v>0</v>
      </c>
      <c r="C24" s="88">
        <f>IFERROR(INDEX(RedBasica!$N$15:$N$10000,MATCH(RedBasica!G24,RedBasica!$E$15:$E$10000,0),1),0)</f>
        <v>2.2571938</v>
      </c>
      <c r="D24" s="67">
        <f>IFERROR(INDEX(RedBasica!$N$15:$N$10000,MATCH(RedBasica!H24,RedBasica!$E$15:$E$10000,0),1),0)</f>
        <v>2.5795000000000002E-3</v>
      </c>
      <c r="E24" s="67">
        <f>IFERROR(INDEX(RedBasica!$N$15:$N$10000,MATCH(RedBasica!I24,RedBasica!$E$15:$E$10000,0),1),0)</f>
        <v>0</v>
      </c>
      <c r="F24" s="67">
        <f t="shared" si="0"/>
        <v>2.2597733</v>
      </c>
      <c r="G24" s="67">
        <f>RedBasica!K24*Parametros!$L$24</f>
        <v>0</v>
      </c>
      <c r="H24" s="68">
        <f>IF(RedBasica!$F24=0,0,$B24*Parametros!$F$41*Parametros!$F$42*Parametros!$F$36*RedBasica!$F24/1000)</f>
        <v>0</v>
      </c>
      <c r="I24" s="88">
        <f>IFERROR(INDEX(RedBasica!$O$15:$O$10000,MATCH(RedBasica!G24,RedBasica!$E$15:$E$10000,0),1),0)</f>
        <v>1.3792771333333338</v>
      </c>
      <c r="J24" s="89">
        <f>IFERROR(INDEX(RedBasica!$O$15:$O$10000,MATCH(RedBasica!H24,RedBasica!$E$15:$E$10000,0),1),0)</f>
        <v>2.5795000000000002E-3</v>
      </c>
      <c r="K24" s="89">
        <f>IFERROR(INDEX(RedBasica!$O$15:$O$10000,MATCH(RedBasica!I24,RedBasica!$E$15:$E$10000,0),1),0)</f>
        <v>0</v>
      </c>
      <c r="L24" s="67">
        <f t="shared" si="1"/>
        <v>1.3818566333333338</v>
      </c>
      <c r="M24" s="67">
        <f>RedBasica!L24*Parametros!$L$24/Parametros!$F$41</f>
        <v>0</v>
      </c>
      <c r="N24" s="68">
        <f>IF(RedBasica!$F24=0,0,$B24*Parametros!$F$42*Parametros!$F$37*RedBasica!$F24/1000)</f>
        <v>0</v>
      </c>
    </row>
    <row r="25" spans="1:14" customFormat="1" x14ac:dyDescent="0.2">
      <c r="A25" s="86" t="str">
        <f>RedBasica!E25</f>
        <v>MS_A_1-011</v>
      </c>
      <c r="B25" s="87">
        <f>IF(OR(Parametros!$F$35=0,RedBasica!$F25=0),0,IF(Parametros!$F$35="No",0,IF(Parametros!$F$35="Si",1,0)))</f>
        <v>0</v>
      </c>
      <c r="C25" s="88">
        <f>IFERROR(INDEX(RedBasica!$N$15:$N$10000,MATCH(RedBasica!G25,RedBasica!$E$15:$E$10000,0),1),0)</f>
        <v>2.2603697</v>
      </c>
      <c r="D25" s="67">
        <f>IFERROR(INDEX(RedBasica!$N$15:$N$10000,MATCH(RedBasica!H25,RedBasica!$E$15:$E$10000,0),1),0)</f>
        <v>0</v>
      </c>
      <c r="E25" s="67">
        <f>IFERROR(INDEX(RedBasica!$N$15:$N$10000,MATCH(RedBasica!I25,RedBasica!$E$15:$E$10000,0),1),0)</f>
        <v>0</v>
      </c>
      <c r="F25" s="67">
        <f t="shared" si="0"/>
        <v>2.2603697</v>
      </c>
      <c r="G25" s="67">
        <f>RedBasica!K25*Parametros!$L$24</f>
        <v>0</v>
      </c>
      <c r="H25" s="68">
        <f>IF(RedBasica!$F25=0,0,$B25*Parametros!$F$41*Parametros!$F$42*Parametros!$F$36*RedBasica!$F25/1000)</f>
        <v>0</v>
      </c>
      <c r="I25" s="88">
        <f>IFERROR(INDEX(RedBasica!$O$15:$O$10000,MATCH(RedBasica!G25,RedBasica!$E$15:$E$10000,0),1),0)</f>
        <v>1.3824530333333338</v>
      </c>
      <c r="J25" s="89">
        <f>IFERROR(INDEX(RedBasica!$O$15:$O$10000,MATCH(RedBasica!H25,RedBasica!$E$15:$E$10000,0),1),0)</f>
        <v>0</v>
      </c>
      <c r="K25" s="89">
        <f>IFERROR(INDEX(RedBasica!$O$15:$O$10000,MATCH(RedBasica!I25,RedBasica!$E$15:$E$10000,0),1),0)</f>
        <v>0</v>
      </c>
      <c r="L25" s="67">
        <f t="shared" si="1"/>
        <v>1.3824530333333338</v>
      </c>
      <c r="M25" s="67">
        <f>RedBasica!L25*Parametros!$L$24/Parametros!$F$41</f>
        <v>0</v>
      </c>
      <c r="N25" s="68">
        <f>IF(RedBasica!$F25=0,0,$B25*Parametros!$F$42*Parametros!$F$37*RedBasica!$F25/1000)</f>
        <v>0</v>
      </c>
    </row>
    <row r="26" spans="1:14" customFormat="1" x14ac:dyDescent="0.2">
      <c r="A26" s="86" t="str">
        <f>RedBasica!E26</f>
        <v>MS_A_1-012</v>
      </c>
      <c r="B26" s="87">
        <f>IF(OR(Parametros!$F$35=0,RedBasica!$F26=0),0,IF(Parametros!$F$35="No",0,IF(Parametros!$F$35="Si",1,0)))</f>
        <v>0</v>
      </c>
      <c r="C26" s="88">
        <f>IFERROR(INDEX(RedBasica!$N$15:$N$10000,MATCH(RedBasica!G26,RedBasica!$E$15:$E$10000,0),1),0)</f>
        <v>2.261104</v>
      </c>
      <c r="D26" s="67">
        <f>IFERROR(INDEX(RedBasica!$N$15:$N$10000,MATCH(RedBasica!H26,RedBasica!$E$15:$E$10000,0),1),0)</f>
        <v>7.1310000000000002E-3</v>
      </c>
      <c r="E26" s="67">
        <f>IFERROR(INDEX(RedBasica!$N$15:$N$10000,MATCH(RedBasica!I26,RedBasica!$E$15:$E$10000,0),1),0)</f>
        <v>0</v>
      </c>
      <c r="F26" s="67">
        <f t="shared" si="0"/>
        <v>2.2682350000000002</v>
      </c>
      <c r="G26" s="67">
        <f>RedBasica!K26*Parametros!$L$24</f>
        <v>0</v>
      </c>
      <c r="H26" s="68">
        <f>IF(RedBasica!$F26=0,0,$B26*Parametros!$F$41*Parametros!$F$42*Parametros!$F$36*RedBasica!$F26/1000)</f>
        <v>0</v>
      </c>
      <c r="I26" s="88">
        <f>IFERROR(INDEX(RedBasica!$O$15:$O$10000,MATCH(RedBasica!G26,RedBasica!$E$15:$E$10000,0),1),0)</f>
        <v>1.3831873333333338</v>
      </c>
      <c r="J26" s="89">
        <f>IFERROR(INDEX(RedBasica!$O$15:$O$10000,MATCH(RedBasica!H26,RedBasica!$E$15:$E$10000,0),1),0)</f>
        <v>7.1310000000000002E-3</v>
      </c>
      <c r="K26" s="89">
        <f>IFERROR(INDEX(RedBasica!$O$15:$O$10000,MATCH(RedBasica!I26,RedBasica!$E$15:$E$10000,0),1),0)</f>
        <v>0</v>
      </c>
      <c r="L26" s="67">
        <f t="shared" si="1"/>
        <v>1.3903183333333338</v>
      </c>
      <c r="M26" s="67">
        <f>RedBasica!L26*Parametros!$L$24/Parametros!$F$41</f>
        <v>0</v>
      </c>
      <c r="N26" s="68">
        <f>IF(RedBasica!$F26=0,0,$B26*Parametros!$F$42*Parametros!$F$37*RedBasica!$F26/1000)</f>
        <v>0</v>
      </c>
    </row>
    <row r="27" spans="1:14" customFormat="1" x14ac:dyDescent="0.2">
      <c r="A27" s="86" t="str">
        <f>RedBasica!E27</f>
        <v>MS_A_2-001</v>
      </c>
      <c r="B27" s="87">
        <f>IF(OR(Parametros!$F$35=0,RedBasica!$F27=0),0,IF(Parametros!$F$35="No",0,IF(Parametros!$F$35="Si",1,0)))</f>
        <v>0</v>
      </c>
      <c r="C27" s="88">
        <f>IFERROR(INDEX(RedBasica!$N$15:$N$10000,MATCH(RedBasica!G27,RedBasica!$E$15:$E$10000,0),1),0)</f>
        <v>0</v>
      </c>
      <c r="D27" s="67">
        <f>IFERROR(INDEX(RedBasica!$N$15:$N$10000,MATCH(RedBasica!H27,RedBasica!$E$15:$E$10000,0),1),0)</f>
        <v>0</v>
      </c>
      <c r="E27" s="67">
        <f>IFERROR(INDEX(RedBasica!$N$15:$N$10000,MATCH(RedBasica!I27,RedBasica!$E$15:$E$10000,0),1),0)</f>
        <v>0</v>
      </c>
      <c r="F27" s="67">
        <f t="shared" si="0"/>
        <v>0</v>
      </c>
      <c r="G27" s="67">
        <f>RedBasica!K27*Parametros!$L$24</f>
        <v>0</v>
      </c>
      <c r="H27" s="68">
        <f>IF(RedBasica!$F27=0,0,$B27*Parametros!$F$41*Parametros!$F$42*Parametros!$F$36*RedBasica!$F27/1000)</f>
        <v>0</v>
      </c>
      <c r="I27" s="88">
        <f>IFERROR(INDEX(RedBasica!$O$15:$O$10000,MATCH(RedBasica!G27,RedBasica!$E$15:$E$10000,0),1),0)</f>
        <v>0</v>
      </c>
      <c r="J27" s="89">
        <f>IFERROR(INDEX(RedBasica!$O$15:$O$10000,MATCH(RedBasica!H27,RedBasica!$E$15:$E$10000,0),1),0)</f>
        <v>0</v>
      </c>
      <c r="K27" s="89">
        <f>IFERROR(INDEX(RedBasica!$O$15:$O$10000,MATCH(RedBasica!I27,RedBasica!$E$15:$E$10000,0),1),0)</f>
        <v>0</v>
      </c>
      <c r="L27" s="67">
        <f t="shared" si="1"/>
        <v>0</v>
      </c>
      <c r="M27" s="67">
        <f>RedBasica!L27*Parametros!$L$24/Parametros!$F$41</f>
        <v>0</v>
      </c>
      <c r="N27" s="68">
        <f>IF(RedBasica!$F27=0,0,$B27*Parametros!$F$42*Parametros!$F$37*RedBasica!$F27/1000)</f>
        <v>0</v>
      </c>
    </row>
    <row r="28" spans="1:14" customFormat="1" x14ac:dyDescent="0.2">
      <c r="A28" s="86" t="str">
        <f>RedBasica!E28</f>
        <v>MS_A_2-002</v>
      </c>
      <c r="B28" s="87">
        <f>IF(OR(Parametros!$F$35=0,RedBasica!$F28=0),0,IF(Parametros!$F$35="No",0,IF(Parametros!$F$35="Si",1,0)))</f>
        <v>0</v>
      </c>
      <c r="C28" s="88">
        <f>IFERROR(INDEX(RedBasica!$N$15:$N$10000,MATCH(RedBasica!G28,RedBasica!$E$15:$E$10000,0),1),0)</f>
        <v>4.551E-4</v>
      </c>
      <c r="D28" s="67">
        <f>IFERROR(INDEX(RedBasica!$N$15:$N$10000,MATCH(RedBasica!H28,RedBasica!$E$15:$E$10000,0),1),0)</f>
        <v>0</v>
      </c>
      <c r="E28" s="67">
        <f>IFERROR(INDEX(RedBasica!$N$15:$N$10000,MATCH(RedBasica!I28,RedBasica!$E$15:$E$10000,0),1),0)</f>
        <v>0</v>
      </c>
      <c r="F28" s="67">
        <f t="shared" si="0"/>
        <v>4.551E-4</v>
      </c>
      <c r="G28" s="67">
        <f>RedBasica!K28*Parametros!$L$24</f>
        <v>0</v>
      </c>
      <c r="H28" s="68">
        <f>IF(RedBasica!$F28=0,0,$B28*Parametros!$F$41*Parametros!$F$42*Parametros!$F$36*RedBasica!$F28/1000)</f>
        <v>0</v>
      </c>
      <c r="I28" s="88">
        <f>IFERROR(INDEX(RedBasica!$O$15:$O$10000,MATCH(RedBasica!G28,RedBasica!$E$15:$E$10000,0),1),0)</f>
        <v>4.551E-4</v>
      </c>
      <c r="J28" s="89">
        <f>IFERROR(INDEX(RedBasica!$O$15:$O$10000,MATCH(RedBasica!H28,RedBasica!$E$15:$E$10000,0),1),0)</f>
        <v>0</v>
      </c>
      <c r="K28" s="89">
        <f>IFERROR(INDEX(RedBasica!$O$15:$O$10000,MATCH(RedBasica!I28,RedBasica!$E$15:$E$10000,0),1),0)</f>
        <v>0</v>
      </c>
      <c r="L28" s="67">
        <f t="shared" si="1"/>
        <v>4.551E-4</v>
      </c>
      <c r="M28" s="67">
        <f>RedBasica!L28*Parametros!$L$24/Parametros!$F$41</f>
        <v>0</v>
      </c>
      <c r="N28" s="68">
        <f>IF(RedBasica!$F28=0,0,$B28*Parametros!$F$42*Parametros!$F$37*RedBasica!$F28/1000)</f>
        <v>0</v>
      </c>
    </row>
    <row r="29" spans="1:14" customFormat="1" x14ac:dyDescent="0.2">
      <c r="A29" s="86" t="str">
        <f>RedBasica!E29</f>
        <v>MS_A_2-003</v>
      </c>
      <c r="B29" s="87">
        <f>IF(OR(Parametros!$F$35=0,RedBasica!$F29=0),0,IF(Parametros!$F$35="No",0,IF(Parametros!$F$35="Si",1,0)))</f>
        <v>0</v>
      </c>
      <c r="C29" s="88">
        <f>IFERROR(INDEX(RedBasica!$N$15:$N$10000,MATCH(RedBasica!G29,RedBasica!$E$15:$E$10000,0),1),0)</f>
        <v>9.5350000000000014E-4</v>
      </c>
      <c r="D29" s="67">
        <f>IFERROR(INDEX(RedBasica!$N$15:$N$10000,MATCH(RedBasica!H29,RedBasica!$E$15:$E$10000,0),1),0)</f>
        <v>0</v>
      </c>
      <c r="E29" s="67">
        <f>IFERROR(INDEX(RedBasica!$N$15:$N$10000,MATCH(RedBasica!I29,RedBasica!$E$15:$E$10000,0),1),0)</f>
        <v>0</v>
      </c>
      <c r="F29" s="67">
        <f t="shared" si="0"/>
        <v>9.5350000000000014E-4</v>
      </c>
      <c r="G29" s="67">
        <f>RedBasica!K29*Parametros!$L$24</f>
        <v>0</v>
      </c>
      <c r="H29" s="68">
        <f>IF(RedBasica!$F29=0,0,$B29*Parametros!$F$41*Parametros!$F$42*Parametros!$F$36*RedBasica!$F29/1000)</f>
        <v>0</v>
      </c>
      <c r="I29" s="88">
        <f>IFERROR(INDEX(RedBasica!$O$15:$O$10000,MATCH(RedBasica!G29,RedBasica!$E$15:$E$10000,0),1),0)</f>
        <v>9.5350000000000014E-4</v>
      </c>
      <c r="J29" s="89">
        <f>IFERROR(INDEX(RedBasica!$O$15:$O$10000,MATCH(RedBasica!H29,RedBasica!$E$15:$E$10000,0),1),0)</f>
        <v>0</v>
      </c>
      <c r="K29" s="89">
        <f>IFERROR(INDEX(RedBasica!$O$15:$O$10000,MATCH(RedBasica!I29,RedBasica!$E$15:$E$10000,0),1),0)</f>
        <v>0</v>
      </c>
      <c r="L29" s="67">
        <f t="shared" si="1"/>
        <v>9.5350000000000014E-4</v>
      </c>
      <c r="M29" s="67">
        <f>RedBasica!L29*Parametros!$L$24/Parametros!$F$41</f>
        <v>0</v>
      </c>
      <c r="N29" s="68">
        <f>IF(RedBasica!$F29=0,0,$B29*Parametros!$F$42*Parametros!$F$37*RedBasica!$F29/1000)</f>
        <v>0</v>
      </c>
    </row>
    <row r="30" spans="1:14" customFormat="1" x14ac:dyDescent="0.2">
      <c r="A30" s="86" t="str">
        <f>RedBasica!E30</f>
        <v>MS_A_2-004</v>
      </c>
      <c r="B30" s="87">
        <f>IF(OR(Parametros!$F$35=0,RedBasica!$F30=0),0,IF(Parametros!$F$35="No",0,IF(Parametros!$F$35="Si",1,0)))</f>
        <v>0</v>
      </c>
      <c r="C30" s="88">
        <f>IFERROR(INDEX(RedBasica!$N$15:$N$10000,MATCH(RedBasica!G30,RedBasica!$E$15:$E$10000,0),1),0)</f>
        <v>1.7727000000000003E-3</v>
      </c>
      <c r="D30" s="67">
        <f>IFERROR(INDEX(RedBasica!$N$15:$N$10000,MATCH(RedBasica!H30,RedBasica!$E$15:$E$10000,0),1),0)</f>
        <v>0</v>
      </c>
      <c r="E30" s="67">
        <f>IFERROR(INDEX(RedBasica!$N$15:$N$10000,MATCH(RedBasica!I30,RedBasica!$E$15:$E$10000,0),1),0)</f>
        <v>0</v>
      </c>
      <c r="F30" s="67">
        <f t="shared" si="0"/>
        <v>1.7727000000000003E-3</v>
      </c>
      <c r="G30" s="67">
        <f>RedBasica!K30*Parametros!$L$24</f>
        <v>0</v>
      </c>
      <c r="H30" s="68">
        <f>IF(RedBasica!$F30=0,0,$B30*Parametros!$F$41*Parametros!$F$42*Parametros!$F$36*RedBasica!$F30/1000)</f>
        <v>0</v>
      </c>
      <c r="I30" s="88">
        <f>IFERROR(INDEX(RedBasica!$O$15:$O$10000,MATCH(RedBasica!G30,RedBasica!$E$15:$E$10000,0),1),0)</f>
        <v>1.7727000000000003E-3</v>
      </c>
      <c r="J30" s="89">
        <f>IFERROR(INDEX(RedBasica!$O$15:$O$10000,MATCH(RedBasica!H30,RedBasica!$E$15:$E$10000,0),1),0)</f>
        <v>0</v>
      </c>
      <c r="K30" s="89">
        <f>IFERROR(INDEX(RedBasica!$O$15:$O$10000,MATCH(RedBasica!I30,RedBasica!$E$15:$E$10000,0),1),0)</f>
        <v>0</v>
      </c>
      <c r="L30" s="67">
        <f t="shared" si="1"/>
        <v>1.7727000000000003E-3</v>
      </c>
      <c r="M30" s="67">
        <f>RedBasica!L30*Parametros!$L$24/Parametros!$F$41</f>
        <v>0</v>
      </c>
      <c r="N30" s="68">
        <f>IF(RedBasica!$F30=0,0,$B30*Parametros!$F$42*Parametros!$F$37*RedBasica!$F30/1000)</f>
        <v>0</v>
      </c>
    </row>
    <row r="31" spans="1:14" customFormat="1" x14ac:dyDescent="0.2">
      <c r="A31" s="86" t="str">
        <f>RedBasica!E31</f>
        <v>MS_A_2-005</v>
      </c>
      <c r="B31" s="87">
        <f>IF(OR(Parametros!$F$35=0,RedBasica!$F31=0),0,IF(Parametros!$F$35="No",0,IF(Parametros!$F$35="Si",1,0)))</f>
        <v>0</v>
      </c>
      <c r="C31" s="88">
        <f>IFERROR(INDEX(RedBasica!$N$15:$N$10000,MATCH(RedBasica!G31,RedBasica!$E$15:$E$10000,0),1),0)</f>
        <v>2.3526000000000003E-3</v>
      </c>
      <c r="D31" s="67">
        <f>IFERROR(INDEX(RedBasica!$N$15:$N$10000,MATCH(RedBasica!H31,RedBasica!$E$15:$E$10000,0),1),0)</f>
        <v>0</v>
      </c>
      <c r="E31" s="67">
        <f>IFERROR(INDEX(RedBasica!$N$15:$N$10000,MATCH(RedBasica!I31,RedBasica!$E$15:$E$10000,0),1),0)</f>
        <v>0</v>
      </c>
      <c r="F31" s="67">
        <f t="shared" si="0"/>
        <v>2.3526000000000003E-3</v>
      </c>
      <c r="G31" s="67">
        <f>RedBasica!K31*Parametros!$L$24</f>
        <v>0</v>
      </c>
      <c r="H31" s="68">
        <f>IF(RedBasica!$F31=0,0,$B31*Parametros!$F$41*Parametros!$F$42*Parametros!$F$36*RedBasica!$F31/1000)</f>
        <v>0</v>
      </c>
      <c r="I31" s="88">
        <f>IFERROR(INDEX(RedBasica!$O$15:$O$10000,MATCH(RedBasica!G31,RedBasica!$E$15:$E$10000,0),1),0)</f>
        <v>2.3526000000000003E-3</v>
      </c>
      <c r="J31" s="89">
        <f>IFERROR(INDEX(RedBasica!$O$15:$O$10000,MATCH(RedBasica!H31,RedBasica!$E$15:$E$10000,0),1),0)</f>
        <v>0</v>
      </c>
      <c r="K31" s="89">
        <f>IFERROR(INDEX(RedBasica!$O$15:$O$10000,MATCH(RedBasica!I31,RedBasica!$E$15:$E$10000,0),1),0)</f>
        <v>0</v>
      </c>
      <c r="L31" s="67">
        <f t="shared" si="1"/>
        <v>2.3526000000000003E-3</v>
      </c>
      <c r="M31" s="67">
        <f>RedBasica!L31*Parametros!$L$24/Parametros!$F$41</f>
        <v>0</v>
      </c>
      <c r="N31" s="68">
        <f>IF(RedBasica!$F31=0,0,$B31*Parametros!$F$42*Parametros!$F$37*RedBasica!$F31/1000)</f>
        <v>0</v>
      </c>
    </row>
    <row r="32" spans="1:14" customFormat="1" x14ac:dyDescent="0.2">
      <c r="A32" s="86" t="str">
        <f>RedBasica!E32</f>
        <v>MS_A_3-001</v>
      </c>
      <c r="B32" s="87">
        <f>IF(OR(Parametros!$F$35=0,RedBasica!$F32=0),0,IF(Parametros!$F$35="No",0,IF(Parametros!$F$35="Si",1,0)))</f>
        <v>0</v>
      </c>
      <c r="C32" s="88">
        <f>IFERROR(INDEX(RedBasica!$N$15:$N$10000,MATCH(RedBasica!G32,RedBasica!$E$15:$E$10000,0),1),0)</f>
        <v>0</v>
      </c>
      <c r="D32" s="67">
        <f>IFERROR(INDEX(RedBasica!$N$15:$N$10000,MATCH(RedBasica!H32,RedBasica!$E$15:$E$10000,0),1),0)</f>
        <v>0</v>
      </c>
      <c r="E32" s="67">
        <f>IFERROR(INDEX(RedBasica!$N$15:$N$10000,MATCH(RedBasica!I32,RedBasica!$E$15:$E$10000,0),1),0)</f>
        <v>0</v>
      </c>
      <c r="F32" s="67">
        <f t="shared" si="0"/>
        <v>0</v>
      </c>
      <c r="G32" s="67">
        <f>RedBasica!K32*Parametros!$L$24</f>
        <v>0</v>
      </c>
      <c r="H32" s="68">
        <f>IF(RedBasica!$F32=0,0,$B32*Parametros!$F$41*Parametros!$F$42*Parametros!$F$36*RedBasica!$F32/1000)</f>
        <v>0</v>
      </c>
      <c r="I32" s="88">
        <f>IFERROR(INDEX(RedBasica!$O$15:$O$10000,MATCH(RedBasica!G32,RedBasica!$E$15:$E$10000,0),1),0)</f>
        <v>0</v>
      </c>
      <c r="J32" s="89">
        <f>IFERROR(INDEX(RedBasica!$O$15:$O$10000,MATCH(RedBasica!H32,RedBasica!$E$15:$E$10000,0),1),0)</f>
        <v>0</v>
      </c>
      <c r="K32" s="89">
        <f>IFERROR(INDEX(RedBasica!$O$15:$O$10000,MATCH(RedBasica!I32,RedBasica!$E$15:$E$10000,0),1),0)</f>
        <v>0</v>
      </c>
      <c r="L32" s="67">
        <f t="shared" si="1"/>
        <v>0</v>
      </c>
      <c r="M32" s="67">
        <f>RedBasica!L32*Parametros!$L$24/Parametros!$F$41</f>
        <v>0</v>
      </c>
      <c r="N32" s="68">
        <f>IF(RedBasica!$F32=0,0,$B32*Parametros!$F$42*Parametros!$F$37*RedBasica!$F32/1000)</f>
        <v>0</v>
      </c>
    </row>
    <row r="33" spans="1:14" customFormat="1" x14ac:dyDescent="0.2">
      <c r="A33" s="86" t="str">
        <f>RedBasica!E33</f>
        <v>MS_A_3-002</v>
      </c>
      <c r="B33" s="87">
        <f>IF(OR(Parametros!$F$35=0,RedBasica!$F33=0),0,IF(Parametros!$F$35="No",0,IF(Parametros!$F$35="Si",1,0)))</f>
        <v>0</v>
      </c>
      <c r="C33" s="88">
        <f>IFERROR(INDEX(RedBasica!$N$15:$N$10000,MATCH(RedBasica!G33,RedBasica!$E$15:$E$10000,0),1),0)</f>
        <v>4.95E-4</v>
      </c>
      <c r="D33" s="67">
        <f>IFERROR(INDEX(RedBasica!$N$15:$N$10000,MATCH(RedBasica!H33,RedBasica!$E$15:$E$10000,0),1),0)</f>
        <v>0</v>
      </c>
      <c r="E33" s="67">
        <f>IFERROR(INDEX(RedBasica!$N$15:$N$10000,MATCH(RedBasica!I33,RedBasica!$E$15:$E$10000,0),1),0)</f>
        <v>0</v>
      </c>
      <c r="F33" s="67">
        <f t="shared" si="0"/>
        <v>4.95E-4</v>
      </c>
      <c r="G33" s="67">
        <f>RedBasica!K33*Parametros!$L$24</f>
        <v>0</v>
      </c>
      <c r="H33" s="68">
        <f>IF(RedBasica!$F33=0,0,$B33*Parametros!$F$41*Parametros!$F$42*Parametros!$F$36*RedBasica!$F33/1000)</f>
        <v>0</v>
      </c>
      <c r="I33" s="88">
        <f>IFERROR(INDEX(RedBasica!$O$15:$O$10000,MATCH(RedBasica!G33,RedBasica!$E$15:$E$10000,0),1),0)</f>
        <v>4.95E-4</v>
      </c>
      <c r="J33" s="89">
        <f>IFERROR(INDEX(RedBasica!$O$15:$O$10000,MATCH(RedBasica!H33,RedBasica!$E$15:$E$10000,0),1),0)</f>
        <v>0</v>
      </c>
      <c r="K33" s="89">
        <f>IFERROR(INDEX(RedBasica!$O$15:$O$10000,MATCH(RedBasica!I33,RedBasica!$E$15:$E$10000,0),1),0)</f>
        <v>0</v>
      </c>
      <c r="L33" s="67">
        <f t="shared" si="1"/>
        <v>4.95E-4</v>
      </c>
      <c r="M33" s="67">
        <f>RedBasica!L33*Parametros!$L$24/Parametros!$F$41</f>
        <v>0</v>
      </c>
      <c r="N33" s="68">
        <f>IF(RedBasica!$F33=0,0,$B33*Parametros!$F$42*Parametros!$F$37*RedBasica!$F33/1000)</f>
        <v>0</v>
      </c>
    </row>
    <row r="34" spans="1:14" customFormat="1" x14ac:dyDescent="0.2">
      <c r="A34" s="86" t="str">
        <f>RedBasica!E34</f>
        <v>MS_A_4-001</v>
      </c>
      <c r="B34" s="87">
        <f>IF(OR(Parametros!$F$35=0,RedBasica!$F34=0),0,IF(Parametros!$F$35="No",0,IF(Parametros!$F$35="Si",1,0)))</f>
        <v>0</v>
      </c>
      <c r="C34" s="88">
        <f>IFERROR(INDEX(RedBasica!$N$15:$N$10000,MATCH(RedBasica!G34,RedBasica!$E$15:$E$10000,0),1),0)</f>
        <v>0</v>
      </c>
      <c r="D34" s="67">
        <f>IFERROR(INDEX(RedBasica!$N$15:$N$10000,MATCH(RedBasica!H34,RedBasica!$E$15:$E$10000,0),1),0)</f>
        <v>0</v>
      </c>
      <c r="E34" s="67">
        <f>IFERROR(INDEX(RedBasica!$N$15:$N$10000,MATCH(RedBasica!I34,RedBasica!$E$15:$E$10000,0),1),0)</f>
        <v>0</v>
      </c>
      <c r="F34" s="67">
        <f t="shared" si="0"/>
        <v>0</v>
      </c>
      <c r="G34" s="67">
        <f>RedBasica!K34*Parametros!$L$24</f>
        <v>0</v>
      </c>
      <c r="H34" s="68">
        <f>IF(RedBasica!$F34=0,0,$B34*Parametros!$F$41*Parametros!$F$42*Parametros!$F$36*RedBasica!$F34/1000)</f>
        <v>0</v>
      </c>
      <c r="I34" s="88">
        <f>IFERROR(INDEX(RedBasica!$O$15:$O$10000,MATCH(RedBasica!G34,RedBasica!$E$15:$E$10000,0),1),0)</f>
        <v>0</v>
      </c>
      <c r="J34" s="89">
        <f>IFERROR(INDEX(RedBasica!$O$15:$O$10000,MATCH(RedBasica!H34,RedBasica!$E$15:$E$10000,0),1),0)</f>
        <v>0</v>
      </c>
      <c r="K34" s="89">
        <f>IFERROR(INDEX(RedBasica!$O$15:$O$10000,MATCH(RedBasica!I34,RedBasica!$E$15:$E$10000,0),1),0)</f>
        <v>0</v>
      </c>
      <c r="L34" s="67">
        <f t="shared" si="1"/>
        <v>0</v>
      </c>
      <c r="M34" s="67">
        <f>RedBasica!L34*Parametros!$L$24/Parametros!$F$41</f>
        <v>0</v>
      </c>
      <c r="N34" s="68">
        <f>IF(RedBasica!$F34=0,0,$B34*Parametros!$F$42*Parametros!$F$37*RedBasica!$F34/1000)</f>
        <v>0</v>
      </c>
    </row>
    <row r="35" spans="1:14" customFormat="1" x14ac:dyDescent="0.2">
      <c r="A35" s="86" t="str">
        <f>RedBasica!E35</f>
        <v>MS_A_4-002</v>
      </c>
      <c r="B35" s="87">
        <f>IF(OR(Parametros!$F$35=0,RedBasica!$F35=0),0,IF(Parametros!$F$35="No",0,IF(Parametros!$F$35="Si",1,0)))</f>
        <v>0</v>
      </c>
      <c r="C35" s="88">
        <f>IFERROR(INDEX(RedBasica!$N$15:$N$10000,MATCH(RedBasica!G35,RedBasica!$E$15:$E$10000,0),1),0)</f>
        <v>5.0070000000000008E-4</v>
      </c>
      <c r="D35" s="67">
        <f>IFERROR(INDEX(RedBasica!$N$15:$N$10000,MATCH(RedBasica!H35,RedBasica!$E$15:$E$10000,0),1),0)</f>
        <v>0</v>
      </c>
      <c r="E35" s="67">
        <f>IFERROR(INDEX(RedBasica!$N$15:$N$10000,MATCH(RedBasica!I35,RedBasica!$E$15:$E$10000,0),1),0)</f>
        <v>0</v>
      </c>
      <c r="F35" s="67">
        <f t="shared" si="0"/>
        <v>5.0070000000000008E-4</v>
      </c>
      <c r="G35" s="67">
        <f>RedBasica!K35*Parametros!$L$24</f>
        <v>0</v>
      </c>
      <c r="H35" s="68">
        <f>IF(RedBasica!$F35=0,0,$B35*Parametros!$F$41*Parametros!$F$42*Parametros!$F$36*RedBasica!$F35/1000)</f>
        <v>0</v>
      </c>
      <c r="I35" s="88">
        <f>IFERROR(INDEX(RedBasica!$O$15:$O$10000,MATCH(RedBasica!G35,RedBasica!$E$15:$E$10000,0),1),0)</f>
        <v>5.0070000000000008E-4</v>
      </c>
      <c r="J35" s="89">
        <f>IFERROR(INDEX(RedBasica!$O$15:$O$10000,MATCH(RedBasica!H35,RedBasica!$E$15:$E$10000,0),1),0)</f>
        <v>0</v>
      </c>
      <c r="K35" s="89">
        <f>IFERROR(INDEX(RedBasica!$O$15:$O$10000,MATCH(RedBasica!I35,RedBasica!$E$15:$E$10000,0),1),0)</f>
        <v>0</v>
      </c>
      <c r="L35" s="67">
        <f t="shared" si="1"/>
        <v>5.0070000000000008E-4</v>
      </c>
      <c r="M35" s="67">
        <f>RedBasica!L35*Parametros!$L$24/Parametros!$F$41</f>
        <v>0</v>
      </c>
      <c r="N35" s="68">
        <f>IF(RedBasica!$F35=0,0,$B35*Parametros!$F$42*Parametros!$F$37*RedBasica!$F35/1000)</f>
        <v>0</v>
      </c>
    </row>
    <row r="36" spans="1:14" customFormat="1" x14ac:dyDescent="0.2">
      <c r="A36" s="86" t="str">
        <f>RedBasica!E36</f>
        <v>MS_A_4-003</v>
      </c>
      <c r="B36" s="87">
        <f>IF(OR(Parametros!$F$35=0,RedBasica!$F36=0),0,IF(Parametros!$F$35="No",0,IF(Parametros!$F$35="Si",1,0)))</f>
        <v>0</v>
      </c>
      <c r="C36" s="88">
        <f>IFERROR(INDEX(RedBasica!$N$15:$N$10000,MATCH(RedBasica!G36,RedBasica!$E$15:$E$10000,0),1),0)</f>
        <v>7.178000000000001E-4</v>
      </c>
      <c r="D36" s="67">
        <f>IFERROR(INDEX(RedBasica!$N$15:$N$10000,MATCH(RedBasica!H36,RedBasica!$E$15:$E$10000,0),1),0)</f>
        <v>0</v>
      </c>
      <c r="E36" s="67">
        <f>IFERROR(INDEX(RedBasica!$N$15:$N$10000,MATCH(RedBasica!I36,RedBasica!$E$15:$E$10000,0),1),0)</f>
        <v>0</v>
      </c>
      <c r="F36" s="67">
        <f t="shared" si="0"/>
        <v>7.178000000000001E-4</v>
      </c>
      <c r="G36" s="67">
        <f>RedBasica!K36*Parametros!$L$24</f>
        <v>0</v>
      </c>
      <c r="H36" s="68">
        <f>IF(RedBasica!$F36=0,0,$B36*Parametros!$F$41*Parametros!$F$42*Parametros!$F$36*RedBasica!$F36/1000)</f>
        <v>0</v>
      </c>
      <c r="I36" s="88">
        <f>IFERROR(INDEX(RedBasica!$O$15:$O$10000,MATCH(RedBasica!G36,RedBasica!$E$15:$E$10000,0),1),0)</f>
        <v>7.178000000000001E-4</v>
      </c>
      <c r="J36" s="89">
        <f>IFERROR(INDEX(RedBasica!$O$15:$O$10000,MATCH(RedBasica!H36,RedBasica!$E$15:$E$10000,0),1),0)</f>
        <v>0</v>
      </c>
      <c r="K36" s="89">
        <f>IFERROR(INDEX(RedBasica!$O$15:$O$10000,MATCH(RedBasica!I36,RedBasica!$E$15:$E$10000,0),1),0)</f>
        <v>0</v>
      </c>
      <c r="L36" s="67">
        <f t="shared" si="1"/>
        <v>7.178000000000001E-4</v>
      </c>
      <c r="M36" s="67">
        <f>RedBasica!L36*Parametros!$L$24/Parametros!$F$41</f>
        <v>0</v>
      </c>
      <c r="N36" s="68">
        <f>IF(RedBasica!$F36=0,0,$B36*Parametros!$F$42*Parametros!$F$37*RedBasica!$F36/1000)</f>
        <v>0</v>
      </c>
    </row>
    <row r="37" spans="1:14" customFormat="1" x14ac:dyDescent="0.2">
      <c r="A37" s="86" t="str">
        <f>RedBasica!E37</f>
        <v>MS_A_4-004</v>
      </c>
      <c r="B37" s="87">
        <f>IF(OR(Parametros!$F$35=0,RedBasica!$F37=0),0,IF(Parametros!$F$35="No",0,IF(Parametros!$F$35="Si",1,0)))</f>
        <v>0</v>
      </c>
      <c r="C37" s="88">
        <f>IFERROR(INDEX(RedBasica!$N$15:$N$10000,MATCH(RedBasica!G37,RedBasica!$E$15:$E$10000,0),1),0)</f>
        <v>1.2764E-3</v>
      </c>
      <c r="D37" s="67">
        <f>IFERROR(INDEX(RedBasica!$N$15:$N$10000,MATCH(RedBasica!H37,RedBasica!$E$15:$E$10000,0),1),0)</f>
        <v>0</v>
      </c>
      <c r="E37" s="67">
        <f>IFERROR(INDEX(RedBasica!$N$15:$N$10000,MATCH(RedBasica!I37,RedBasica!$E$15:$E$10000,0),1),0)</f>
        <v>0</v>
      </c>
      <c r="F37" s="67">
        <f t="shared" si="0"/>
        <v>1.2764E-3</v>
      </c>
      <c r="G37" s="67">
        <f>RedBasica!K37*Parametros!$L$24</f>
        <v>0</v>
      </c>
      <c r="H37" s="68">
        <f>IF(RedBasica!$F37=0,0,$B37*Parametros!$F$41*Parametros!$F$42*Parametros!$F$36*RedBasica!$F37/1000)</f>
        <v>0</v>
      </c>
      <c r="I37" s="88">
        <f>IFERROR(INDEX(RedBasica!$O$15:$O$10000,MATCH(RedBasica!G37,RedBasica!$E$15:$E$10000,0),1),0)</f>
        <v>1.2764E-3</v>
      </c>
      <c r="J37" s="89">
        <f>IFERROR(INDEX(RedBasica!$O$15:$O$10000,MATCH(RedBasica!H37,RedBasica!$E$15:$E$10000,0),1),0)</f>
        <v>0</v>
      </c>
      <c r="K37" s="89">
        <f>IFERROR(INDEX(RedBasica!$O$15:$O$10000,MATCH(RedBasica!I37,RedBasica!$E$15:$E$10000,0),1),0)</f>
        <v>0</v>
      </c>
      <c r="L37" s="67">
        <f t="shared" si="1"/>
        <v>1.2764E-3</v>
      </c>
      <c r="M37" s="67">
        <f>RedBasica!L37*Parametros!$L$24/Parametros!$F$41</f>
        <v>0</v>
      </c>
      <c r="N37" s="68">
        <f>IF(RedBasica!$F37=0,0,$B37*Parametros!$F$42*Parametros!$F$37*RedBasica!$F37/1000)</f>
        <v>0</v>
      </c>
    </row>
    <row r="38" spans="1:14" customFormat="1" x14ac:dyDescent="0.2">
      <c r="A38" s="86" t="str">
        <f>RedBasica!E38</f>
        <v>MS_A_4-005</v>
      </c>
      <c r="B38" s="87">
        <f>IF(OR(Parametros!$F$35=0,RedBasica!$F38=0),0,IF(Parametros!$F$35="No",0,IF(Parametros!$F$35="Si",1,0)))</f>
        <v>0</v>
      </c>
      <c r="C38" s="88">
        <f>IFERROR(INDEX(RedBasica!$N$15:$N$10000,MATCH(RedBasica!G38,RedBasica!$E$15:$E$10000,0),1),0)</f>
        <v>1.7738000000000001E-3</v>
      </c>
      <c r="D38" s="67">
        <f>IFERROR(INDEX(RedBasica!$N$15:$N$10000,MATCH(RedBasica!H38,RedBasica!$E$15:$E$10000,0),1),0)</f>
        <v>0</v>
      </c>
      <c r="E38" s="67">
        <f>IFERROR(INDEX(RedBasica!$N$15:$N$10000,MATCH(RedBasica!I38,RedBasica!$E$15:$E$10000,0),1),0)</f>
        <v>0</v>
      </c>
      <c r="F38" s="67">
        <f t="shared" si="0"/>
        <v>1.7738000000000001E-3</v>
      </c>
      <c r="G38" s="67">
        <f>RedBasica!K38*Parametros!$L$24</f>
        <v>0</v>
      </c>
      <c r="H38" s="68">
        <f>IF(RedBasica!$F38=0,0,$B38*Parametros!$F$41*Parametros!$F$42*Parametros!$F$36*RedBasica!$F38/1000)</f>
        <v>0</v>
      </c>
      <c r="I38" s="88">
        <f>IFERROR(INDEX(RedBasica!$O$15:$O$10000,MATCH(RedBasica!G38,RedBasica!$E$15:$E$10000,0),1),0)</f>
        <v>1.7738000000000001E-3</v>
      </c>
      <c r="J38" s="89">
        <f>IFERROR(INDEX(RedBasica!$O$15:$O$10000,MATCH(RedBasica!H38,RedBasica!$E$15:$E$10000,0),1),0)</f>
        <v>0</v>
      </c>
      <c r="K38" s="89">
        <f>IFERROR(INDEX(RedBasica!$O$15:$O$10000,MATCH(RedBasica!I38,RedBasica!$E$15:$E$10000,0),1),0)</f>
        <v>0</v>
      </c>
      <c r="L38" s="67">
        <f t="shared" si="1"/>
        <v>1.7738000000000001E-3</v>
      </c>
      <c r="M38" s="67">
        <f>RedBasica!L38*Parametros!$L$24/Parametros!$F$41</f>
        <v>0</v>
      </c>
      <c r="N38" s="68">
        <f>IF(RedBasica!$F38=0,0,$B38*Parametros!$F$42*Parametros!$F$37*RedBasica!$F38/1000)</f>
        <v>0</v>
      </c>
    </row>
    <row r="39" spans="1:14" customFormat="1" x14ac:dyDescent="0.2">
      <c r="A39" s="86" t="str">
        <f>RedBasica!E39</f>
        <v>MS_A_4-006</v>
      </c>
      <c r="B39" s="87">
        <f>IF(OR(Parametros!$F$35=0,RedBasica!$F39=0),0,IF(Parametros!$F$35="No",0,IF(Parametros!$F$35="Si",1,0)))</f>
        <v>0</v>
      </c>
      <c r="C39" s="88">
        <f>IFERROR(INDEX(RedBasica!$N$15:$N$10000,MATCH(RedBasica!G39,RedBasica!$E$15:$E$10000,0),1),0)</f>
        <v>2.3757000000000001E-3</v>
      </c>
      <c r="D39" s="67">
        <f>IFERROR(INDEX(RedBasica!$N$15:$N$10000,MATCH(RedBasica!H39,RedBasica!$E$15:$E$10000,0),1),0)</f>
        <v>0</v>
      </c>
      <c r="E39" s="67">
        <f>IFERROR(INDEX(RedBasica!$N$15:$N$10000,MATCH(RedBasica!I39,RedBasica!$E$15:$E$10000,0),1),0)</f>
        <v>0</v>
      </c>
      <c r="F39" s="67">
        <f t="shared" si="0"/>
        <v>2.3757000000000001E-3</v>
      </c>
      <c r="G39" s="67">
        <f>RedBasica!K39*Parametros!$L$24</f>
        <v>0</v>
      </c>
      <c r="H39" s="68">
        <f>IF(RedBasica!$F39=0,0,$B39*Parametros!$F$41*Parametros!$F$42*Parametros!$F$36*RedBasica!$F39/1000)</f>
        <v>0</v>
      </c>
      <c r="I39" s="88">
        <f>IFERROR(INDEX(RedBasica!$O$15:$O$10000,MATCH(RedBasica!G39,RedBasica!$E$15:$E$10000,0),1),0)</f>
        <v>2.3757000000000001E-3</v>
      </c>
      <c r="J39" s="89">
        <f>IFERROR(INDEX(RedBasica!$O$15:$O$10000,MATCH(RedBasica!H39,RedBasica!$E$15:$E$10000,0),1),0)</f>
        <v>0</v>
      </c>
      <c r="K39" s="89">
        <f>IFERROR(INDEX(RedBasica!$O$15:$O$10000,MATCH(RedBasica!I39,RedBasica!$E$15:$E$10000,0),1),0)</f>
        <v>0</v>
      </c>
      <c r="L39" s="67">
        <f t="shared" si="1"/>
        <v>2.3757000000000001E-3</v>
      </c>
      <c r="M39" s="67">
        <f>RedBasica!L39*Parametros!$L$24/Parametros!$F$41</f>
        <v>0</v>
      </c>
      <c r="N39" s="68">
        <f>IF(RedBasica!$F39=0,0,$B39*Parametros!$F$42*Parametros!$F$37*RedBasica!$F39/1000)</f>
        <v>0</v>
      </c>
    </row>
    <row r="40" spans="1:14" customFormat="1" x14ac:dyDescent="0.2">
      <c r="A40" s="86" t="str">
        <f>RedBasica!E40</f>
        <v>MS_A_4-007</v>
      </c>
      <c r="B40" s="87">
        <f>IF(OR(Parametros!$F$35=0,RedBasica!$F40=0),0,IF(Parametros!$F$35="No",0,IF(Parametros!$F$35="Si",1,0)))</f>
        <v>0</v>
      </c>
      <c r="C40" s="88">
        <f>IFERROR(INDEX(RedBasica!$N$15:$N$10000,MATCH(RedBasica!G40,RedBasica!$E$15:$E$10000,0),1),0)</f>
        <v>2.9156E-3</v>
      </c>
      <c r="D40" s="67">
        <f>IFERROR(INDEX(RedBasica!$N$15:$N$10000,MATCH(RedBasica!H40,RedBasica!$E$15:$E$10000,0),1),0)</f>
        <v>2.7036999999999999E-3</v>
      </c>
      <c r="E40" s="67">
        <f>IFERROR(INDEX(RedBasica!$N$15:$N$10000,MATCH(RedBasica!I40,RedBasica!$E$15:$E$10000,0),1),0)</f>
        <v>0</v>
      </c>
      <c r="F40" s="67">
        <f t="shared" si="0"/>
        <v>5.6192999999999998E-3</v>
      </c>
      <c r="G40" s="67">
        <f>RedBasica!K40*Parametros!$L$24</f>
        <v>0</v>
      </c>
      <c r="H40" s="68">
        <f>IF(RedBasica!$F40=0,0,$B40*Parametros!$F$41*Parametros!$F$42*Parametros!$F$36*RedBasica!$F40/1000)</f>
        <v>0</v>
      </c>
      <c r="I40" s="88">
        <f>IFERROR(INDEX(RedBasica!$O$15:$O$10000,MATCH(RedBasica!G40,RedBasica!$E$15:$E$10000,0),1),0)</f>
        <v>2.9156E-3</v>
      </c>
      <c r="J40" s="89">
        <f>IFERROR(INDEX(RedBasica!$O$15:$O$10000,MATCH(RedBasica!H40,RedBasica!$E$15:$E$10000,0),1),0)</f>
        <v>2.7036999999999999E-3</v>
      </c>
      <c r="K40" s="89">
        <f>IFERROR(INDEX(RedBasica!$O$15:$O$10000,MATCH(RedBasica!I40,RedBasica!$E$15:$E$10000,0),1),0)</f>
        <v>0</v>
      </c>
      <c r="L40" s="67">
        <f t="shared" si="1"/>
        <v>5.6192999999999998E-3</v>
      </c>
      <c r="M40" s="67">
        <f>RedBasica!L40*Parametros!$L$24/Parametros!$F$41</f>
        <v>0</v>
      </c>
      <c r="N40" s="68">
        <f>IF(RedBasica!$F40=0,0,$B40*Parametros!$F$42*Parametros!$F$37*RedBasica!$F40/1000)</f>
        <v>0</v>
      </c>
    </row>
    <row r="41" spans="1:14" customFormat="1" x14ac:dyDescent="0.2">
      <c r="A41" s="86" t="str">
        <f>RedBasica!E41</f>
        <v>MS_A_4-008</v>
      </c>
      <c r="B41" s="87">
        <f>IF(OR(Parametros!$F$35=0,RedBasica!$F41=0),0,IF(Parametros!$F$35="No",0,IF(Parametros!$F$35="Si",1,0)))</f>
        <v>0</v>
      </c>
      <c r="C41" s="88">
        <f>IFERROR(INDEX(RedBasica!$N$15:$N$10000,MATCH(RedBasica!G41,RedBasica!$E$15:$E$10000,0),1),0)</f>
        <v>6.1890000000000001E-3</v>
      </c>
      <c r="D41" s="67">
        <f>IFERROR(INDEX(RedBasica!$N$15:$N$10000,MATCH(RedBasica!H41,RedBasica!$E$15:$E$10000,0),1),0)</f>
        <v>0</v>
      </c>
      <c r="E41" s="67">
        <f>IFERROR(INDEX(RedBasica!$N$15:$N$10000,MATCH(RedBasica!I41,RedBasica!$E$15:$E$10000,0),1),0)</f>
        <v>0</v>
      </c>
      <c r="F41" s="67">
        <f t="shared" si="0"/>
        <v>6.1890000000000001E-3</v>
      </c>
      <c r="G41" s="67">
        <f>RedBasica!K41*Parametros!$L$24</f>
        <v>0</v>
      </c>
      <c r="H41" s="68">
        <f>IF(RedBasica!$F41=0,0,$B41*Parametros!$F$41*Parametros!$F$42*Parametros!$F$36*RedBasica!$F41/1000)</f>
        <v>0</v>
      </c>
      <c r="I41" s="88">
        <f>IFERROR(INDEX(RedBasica!$O$15:$O$10000,MATCH(RedBasica!G41,RedBasica!$E$15:$E$10000,0),1),0)</f>
        <v>6.1890000000000001E-3</v>
      </c>
      <c r="J41" s="89">
        <f>IFERROR(INDEX(RedBasica!$O$15:$O$10000,MATCH(RedBasica!H41,RedBasica!$E$15:$E$10000,0),1),0)</f>
        <v>0</v>
      </c>
      <c r="K41" s="89">
        <f>IFERROR(INDEX(RedBasica!$O$15:$O$10000,MATCH(RedBasica!I41,RedBasica!$E$15:$E$10000,0),1),0)</f>
        <v>0</v>
      </c>
      <c r="L41" s="67">
        <f t="shared" si="1"/>
        <v>6.1890000000000001E-3</v>
      </c>
      <c r="M41" s="67">
        <f>RedBasica!L41*Parametros!$L$24/Parametros!$F$41</f>
        <v>0</v>
      </c>
      <c r="N41" s="68">
        <f>IF(RedBasica!$F41=0,0,$B41*Parametros!$F$42*Parametros!$F$37*RedBasica!$F41/1000)</f>
        <v>0</v>
      </c>
    </row>
    <row r="42" spans="1:14" customFormat="1" x14ac:dyDescent="0.2">
      <c r="A42" s="86" t="str">
        <f>RedBasica!E42</f>
        <v>MS_A_5-001</v>
      </c>
      <c r="B42" s="87">
        <f>IF(OR(Parametros!$F$35=0,RedBasica!$F42=0),0,IF(Parametros!$F$35="No",0,IF(Parametros!$F$35="Si",1,0)))</f>
        <v>0</v>
      </c>
      <c r="C42" s="88">
        <f>IFERROR(INDEX(RedBasica!$N$15:$N$10000,MATCH(RedBasica!G42,RedBasica!$E$15:$E$10000,0),1),0)</f>
        <v>0</v>
      </c>
      <c r="D42" s="67">
        <f>IFERROR(INDEX(RedBasica!$N$15:$N$10000,MATCH(RedBasica!H42,RedBasica!$E$15:$E$10000,0),1),0)</f>
        <v>0</v>
      </c>
      <c r="E42" s="67">
        <f>IFERROR(INDEX(RedBasica!$N$15:$N$10000,MATCH(RedBasica!I42,RedBasica!$E$15:$E$10000,0),1),0)</f>
        <v>0</v>
      </c>
      <c r="F42" s="67">
        <f t="shared" si="0"/>
        <v>0</v>
      </c>
      <c r="G42" s="67">
        <f>RedBasica!K42*Parametros!$L$24</f>
        <v>0</v>
      </c>
      <c r="H42" s="68">
        <f>IF(RedBasica!$F42=0,0,$B42*Parametros!$F$41*Parametros!$F$42*Parametros!$F$36*RedBasica!$F42/1000)</f>
        <v>0</v>
      </c>
      <c r="I42" s="88">
        <f>IFERROR(INDEX(RedBasica!$O$15:$O$10000,MATCH(RedBasica!G42,RedBasica!$E$15:$E$10000,0),1),0)</f>
        <v>0</v>
      </c>
      <c r="J42" s="89">
        <f>IFERROR(INDEX(RedBasica!$O$15:$O$10000,MATCH(RedBasica!H42,RedBasica!$E$15:$E$10000,0),1),0)</f>
        <v>0</v>
      </c>
      <c r="K42" s="89">
        <f>IFERROR(INDEX(RedBasica!$O$15:$O$10000,MATCH(RedBasica!I42,RedBasica!$E$15:$E$10000,0),1),0)</f>
        <v>0</v>
      </c>
      <c r="L42" s="67">
        <f t="shared" si="1"/>
        <v>0</v>
      </c>
      <c r="M42" s="67">
        <f>RedBasica!L42*Parametros!$L$24/Parametros!$F$41</f>
        <v>0</v>
      </c>
      <c r="N42" s="68">
        <f>IF(RedBasica!$F42=0,0,$B42*Parametros!$F$42*Parametros!$F$37*RedBasica!$F42/1000)</f>
        <v>0</v>
      </c>
    </row>
    <row r="43" spans="1:14" customFormat="1" x14ac:dyDescent="0.2">
      <c r="A43" s="86" t="str">
        <f>RedBasica!E43</f>
        <v>MS_A_5-002</v>
      </c>
      <c r="B43" s="87">
        <f>IF(OR(Parametros!$F$35=0,RedBasica!$F43=0),0,IF(Parametros!$F$35="No",0,IF(Parametros!$F$35="Si",1,0)))</f>
        <v>0</v>
      </c>
      <c r="C43" s="88">
        <f>IFERROR(INDEX(RedBasica!$N$15:$N$10000,MATCH(RedBasica!G43,RedBasica!$E$15:$E$10000,0),1),0)</f>
        <v>3.7750000000000001E-4</v>
      </c>
      <c r="D43" s="67">
        <f>IFERROR(INDEX(RedBasica!$N$15:$N$10000,MATCH(RedBasica!H43,RedBasica!$E$15:$E$10000,0),1),0)</f>
        <v>0</v>
      </c>
      <c r="E43" s="67">
        <f>IFERROR(INDEX(RedBasica!$N$15:$N$10000,MATCH(RedBasica!I43,RedBasica!$E$15:$E$10000,0),1),0)</f>
        <v>0</v>
      </c>
      <c r="F43" s="67">
        <f t="shared" si="0"/>
        <v>3.7750000000000001E-4</v>
      </c>
      <c r="G43" s="67">
        <f>RedBasica!K43*Parametros!$L$24</f>
        <v>0</v>
      </c>
      <c r="H43" s="68">
        <f>IF(RedBasica!$F43=0,0,$B43*Parametros!$F$41*Parametros!$F$42*Parametros!$F$36*RedBasica!$F43/1000)</f>
        <v>0</v>
      </c>
      <c r="I43" s="88">
        <f>IFERROR(INDEX(RedBasica!$O$15:$O$10000,MATCH(RedBasica!G43,RedBasica!$E$15:$E$10000,0),1),0)</f>
        <v>3.7750000000000001E-4</v>
      </c>
      <c r="J43" s="89">
        <f>IFERROR(INDEX(RedBasica!$O$15:$O$10000,MATCH(RedBasica!H43,RedBasica!$E$15:$E$10000,0),1),0)</f>
        <v>0</v>
      </c>
      <c r="K43" s="89">
        <f>IFERROR(INDEX(RedBasica!$O$15:$O$10000,MATCH(RedBasica!I43,RedBasica!$E$15:$E$10000,0),1),0)</f>
        <v>0</v>
      </c>
      <c r="L43" s="67">
        <f t="shared" si="1"/>
        <v>3.7750000000000001E-4</v>
      </c>
      <c r="M43" s="67">
        <f>RedBasica!L43*Parametros!$L$24/Parametros!$F$41</f>
        <v>0</v>
      </c>
      <c r="N43" s="68">
        <f>IF(RedBasica!$F43=0,0,$B43*Parametros!$F$42*Parametros!$F$37*RedBasica!$F43/1000)</f>
        <v>0</v>
      </c>
    </row>
    <row r="44" spans="1:14" customFormat="1" x14ac:dyDescent="0.2">
      <c r="A44" s="86" t="str">
        <f>RedBasica!E44</f>
        <v>MS_A_5-003</v>
      </c>
      <c r="B44" s="87">
        <f>IF(OR(Parametros!$F$35=0,RedBasica!$F44=0),0,IF(Parametros!$F$35="No",0,IF(Parametros!$F$35="Si",1,0)))</f>
        <v>0</v>
      </c>
      <c r="C44" s="88">
        <f>IFERROR(INDEX(RedBasica!$N$15:$N$10000,MATCH(RedBasica!G44,RedBasica!$E$15:$E$10000,0),1),0)</f>
        <v>6.3670000000000003E-4</v>
      </c>
      <c r="D44" s="67">
        <f>IFERROR(INDEX(RedBasica!$N$15:$N$10000,MATCH(RedBasica!H44,RedBasica!$E$15:$E$10000,0),1),0)</f>
        <v>0</v>
      </c>
      <c r="E44" s="67">
        <f>IFERROR(INDEX(RedBasica!$N$15:$N$10000,MATCH(RedBasica!I44,RedBasica!$E$15:$E$10000,0),1),0)</f>
        <v>0</v>
      </c>
      <c r="F44" s="67">
        <f t="shared" si="0"/>
        <v>6.3670000000000003E-4</v>
      </c>
      <c r="G44" s="67">
        <f>RedBasica!K44*Parametros!$L$24</f>
        <v>0</v>
      </c>
      <c r="H44" s="68">
        <f>IF(RedBasica!$F44=0,0,$B44*Parametros!$F$41*Parametros!$F$42*Parametros!$F$36*RedBasica!$F44/1000)</f>
        <v>0</v>
      </c>
      <c r="I44" s="88">
        <f>IFERROR(INDEX(RedBasica!$O$15:$O$10000,MATCH(RedBasica!G44,RedBasica!$E$15:$E$10000,0),1),0)</f>
        <v>6.3670000000000003E-4</v>
      </c>
      <c r="J44" s="89">
        <f>IFERROR(INDEX(RedBasica!$O$15:$O$10000,MATCH(RedBasica!H44,RedBasica!$E$15:$E$10000,0),1),0)</f>
        <v>0</v>
      </c>
      <c r="K44" s="89">
        <f>IFERROR(INDEX(RedBasica!$O$15:$O$10000,MATCH(RedBasica!I44,RedBasica!$E$15:$E$10000,0),1),0)</f>
        <v>0</v>
      </c>
      <c r="L44" s="67">
        <f t="shared" si="1"/>
        <v>6.3670000000000003E-4</v>
      </c>
      <c r="M44" s="67">
        <f>RedBasica!L44*Parametros!$L$24/Parametros!$F$41</f>
        <v>0</v>
      </c>
      <c r="N44" s="68">
        <f>IF(RedBasica!$F44=0,0,$B44*Parametros!$F$42*Parametros!$F$37*RedBasica!$F44/1000)</f>
        <v>0</v>
      </c>
    </row>
    <row r="45" spans="1:14" customFormat="1" x14ac:dyDescent="0.2">
      <c r="A45" s="86" t="str">
        <f>RedBasica!E45</f>
        <v>MS_A_6-001</v>
      </c>
      <c r="B45" s="87">
        <f>IF(OR(Parametros!$F$35=0,RedBasica!$F45=0),0,IF(Parametros!$F$35="No",0,IF(Parametros!$F$35="Si",1,0)))</f>
        <v>0</v>
      </c>
      <c r="C45" s="88">
        <f>IFERROR(INDEX(RedBasica!$N$15:$N$10000,MATCH(RedBasica!G45,RedBasica!$E$15:$E$10000,0),1),0)</f>
        <v>0</v>
      </c>
      <c r="D45" s="67">
        <f>IFERROR(INDEX(RedBasica!$N$15:$N$10000,MATCH(RedBasica!H45,RedBasica!$E$15:$E$10000,0),1),0)</f>
        <v>0</v>
      </c>
      <c r="E45" s="67">
        <f>IFERROR(INDEX(RedBasica!$N$15:$N$10000,MATCH(RedBasica!I45,RedBasica!$E$15:$E$10000,0),1),0)</f>
        <v>0</v>
      </c>
      <c r="F45" s="67">
        <f t="shared" si="0"/>
        <v>0</v>
      </c>
      <c r="G45" s="67">
        <f>RedBasica!K45*Parametros!$L$24</f>
        <v>0</v>
      </c>
      <c r="H45" s="68">
        <f>IF(RedBasica!$F45=0,0,$B45*Parametros!$F$41*Parametros!$F$42*Parametros!$F$36*RedBasica!$F45/1000)</f>
        <v>0</v>
      </c>
      <c r="I45" s="88">
        <f>IFERROR(INDEX(RedBasica!$O$15:$O$10000,MATCH(RedBasica!G45,RedBasica!$E$15:$E$10000,0),1),0)</f>
        <v>0</v>
      </c>
      <c r="J45" s="89">
        <f>IFERROR(INDEX(RedBasica!$O$15:$O$10000,MATCH(RedBasica!H45,RedBasica!$E$15:$E$10000,0),1),0)</f>
        <v>0</v>
      </c>
      <c r="K45" s="89">
        <f>IFERROR(INDEX(RedBasica!$O$15:$O$10000,MATCH(RedBasica!I45,RedBasica!$E$15:$E$10000,0),1),0)</f>
        <v>0</v>
      </c>
      <c r="L45" s="67">
        <f t="shared" si="1"/>
        <v>0</v>
      </c>
      <c r="M45" s="67">
        <f>RedBasica!L45*Parametros!$L$24/Parametros!$F$41</f>
        <v>0</v>
      </c>
      <c r="N45" s="68">
        <f>IF(RedBasica!$F45=0,0,$B45*Parametros!$F$42*Parametros!$F$37*RedBasica!$F45/1000)</f>
        <v>0</v>
      </c>
    </row>
    <row r="46" spans="1:14" customFormat="1" x14ac:dyDescent="0.2">
      <c r="A46" s="86" t="str">
        <f>RedBasica!E46</f>
        <v>MS_A_6-002</v>
      </c>
      <c r="B46" s="87">
        <f>IF(OR(Parametros!$F$35=0,RedBasica!$F46=0),0,IF(Parametros!$F$35="No",0,IF(Parametros!$F$35="Si",1,0)))</f>
        <v>0</v>
      </c>
      <c r="C46" s="88">
        <f>IFERROR(INDEX(RedBasica!$N$15:$N$10000,MATCH(RedBasica!G46,RedBasica!$E$15:$E$10000,0),1),0)</f>
        <v>2.5550000000000003E-4</v>
      </c>
      <c r="D46" s="67">
        <f>IFERROR(INDEX(RedBasica!$N$15:$N$10000,MATCH(RedBasica!H46,RedBasica!$E$15:$E$10000,0),1),0)</f>
        <v>0</v>
      </c>
      <c r="E46" s="67">
        <f>IFERROR(INDEX(RedBasica!$N$15:$N$10000,MATCH(RedBasica!I46,RedBasica!$E$15:$E$10000,0),1),0)</f>
        <v>0</v>
      </c>
      <c r="F46" s="67">
        <f t="shared" si="0"/>
        <v>2.5550000000000003E-4</v>
      </c>
      <c r="G46" s="67">
        <f>RedBasica!K46*Parametros!$L$24</f>
        <v>0</v>
      </c>
      <c r="H46" s="68">
        <f>IF(RedBasica!$F46=0,0,$B46*Parametros!$F$41*Parametros!$F$42*Parametros!$F$36*RedBasica!$F46/1000)</f>
        <v>0</v>
      </c>
      <c r="I46" s="88">
        <f>IFERROR(INDEX(RedBasica!$O$15:$O$10000,MATCH(RedBasica!G46,RedBasica!$E$15:$E$10000,0),1),0)</f>
        <v>2.5550000000000003E-4</v>
      </c>
      <c r="J46" s="89">
        <f>IFERROR(INDEX(RedBasica!$O$15:$O$10000,MATCH(RedBasica!H46,RedBasica!$E$15:$E$10000,0),1),0)</f>
        <v>0</v>
      </c>
      <c r="K46" s="89">
        <f>IFERROR(INDEX(RedBasica!$O$15:$O$10000,MATCH(RedBasica!I46,RedBasica!$E$15:$E$10000,0),1),0)</f>
        <v>0</v>
      </c>
      <c r="L46" s="67">
        <f t="shared" si="1"/>
        <v>2.5550000000000003E-4</v>
      </c>
      <c r="M46" s="67">
        <f>RedBasica!L46*Parametros!$L$24/Parametros!$F$41</f>
        <v>0</v>
      </c>
      <c r="N46" s="68">
        <f>IF(RedBasica!$F46=0,0,$B46*Parametros!$F$42*Parametros!$F$37*RedBasica!$F46/1000)</f>
        <v>0</v>
      </c>
    </row>
    <row r="47" spans="1:14" customFormat="1" x14ac:dyDescent="0.2">
      <c r="A47" s="86" t="str">
        <f>RedBasica!E47</f>
        <v>MS_A_6-003</v>
      </c>
      <c r="B47" s="87">
        <f>IF(OR(Parametros!$F$35=0,RedBasica!$F47=0),0,IF(Parametros!$F$35="No",0,IF(Parametros!$F$35="Si",1,0)))</f>
        <v>0</v>
      </c>
      <c r="C47" s="88">
        <f>IFERROR(INDEX(RedBasica!$N$15:$N$10000,MATCH(RedBasica!G47,RedBasica!$E$15:$E$10000,0),1),0)</f>
        <v>1.0012E-3</v>
      </c>
      <c r="D47" s="67">
        <f>IFERROR(INDEX(RedBasica!$N$15:$N$10000,MATCH(RedBasica!H47,RedBasica!$E$15:$E$10000,0),1),0)</f>
        <v>0</v>
      </c>
      <c r="E47" s="67">
        <f>IFERROR(INDEX(RedBasica!$N$15:$N$10000,MATCH(RedBasica!I47,RedBasica!$E$15:$E$10000,0),1),0)</f>
        <v>0</v>
      </c>
      <c r="F47" s="67">
        <f t="shared" si="0"/>
        <v>1.0012E-3</v>
      </c>
      <c r="G47" s="67">
        <f>RedBasica!K47*Parametros!$L$24</f>
        <v>0</v>
      </c>
      <c r="H47" s="68">
        <f>IF(RedBasica!$F47=0,0,$B47*Parametros!$F$41*Parametros!$F$42*Parametros!$F$36*RedBasica!$F47/1000)</f>
        <v>0</v>
      </c>
      <c r="I47" s="88">
        <f>IFERROR(INDEX(RedBasica!$O$15:$O$10000,MATCH(RedBasica!G47,RedBasica!$E$15:$E$10000,0),1),0)</f>
        <v>1.0012E-3</v>
      </c>
      <c r="J47" s="89">
        <f>IFERROR(INDEX(RedBasica!$O$15:$O$10000,MATCH(RedBasica!H47,RedBasica!$E$15:$E$10000,0),1),0)</f>
        <v>0</v>
      </c>
      <c r="K47" s="89">
        <f>IFERROR(INDEX(RedBasica!$O$15:$O$10000,MATCH(RedBasica!I47,RedBasica!$E$15:$E$10000,0),1),0)</f>
        <v>0</v>
      </c>
      <c r="L47" s="67">
        <f t="shared" si="1"/>
        <v>1.0012E-3</v>
      </c>
      <c r="M47" s="67">
        <f>RedBasica!L47*Parametros!$L$24/Parametros!$F$41</f>
        <v>0</v>
      </c>
      <c r="N47" s="68">
        <f>IF(RedBasica!$F47=0,0,$B47*Parametros!$F$42*Parametros!$F$37*RedBasica!$F47/1000)</f>
        <v>0</v>
      </c>
    </row>
    <row r="48" spans="1:14" customFormat="1" x14ac:dyDescent="0.2">
      <c r="A48" s="86" t="str">
        <f>RedBasica!E48</f>
        <v>MS_A_6-004</v>
      </c>
      <c r="B48" s="87">
        <f>IF(OR(Parametros!$F$35=0,RedBasica!$F48=0),0,IF(Parametros!$F$35="No",0,IF(Parametros!$F$35="Si",1,0)))</f>
        <v>0</v>
      </c>
      <c r="C48" s="88">
        <f>IFERROR(INDEX(RedBasica!$N$15:$N$10000,MATCH(RedBasica!G48,RedBasica!$E$15:$E$10000,0),1),0)</f>
        <v>1.4957E-3</v>
      </c>
      <c r="D48" s="67">
        <f>IFERROR(INDEX(RedBasica!$N$15:$N$10000,MATCH(RedBasica!H48,RedBasica!$E$15:$E$10000,0),1),0)</f>
        <v>0</v>
      </c>
      <c r="E48" s="67">
        <f>IFERROR(INDEX(RedBasica!$N$15:$N$10000,MATCH(RedBasica!I48,RedBasica!$E$15:$E$10000,0),1),0)</f>
        <v>0</v>
      </c>
      <c r="F48" s="67">
        <f t="shared" si="0"/>
        <v>1.4957E-3</v>
      </c>
      <c r="G48" s="67">
        <f>RedBasica!K48*Parametros!$L$24</f>
        <v>0</v>
      </c>
      <c r="H48" s="68">
        <f>IF(RedBasica!$F48=0,0,$B48*Parametros!$F$41*Parametros!$F$42*Parametros!$F$36*RedBasica!$F48/1000)</f>
        <v>0</v>
      </c>
      <c r="I48" s="88">
        <f>IFERROR(INDEX(RedBasica!$O$15:$O$10000,MATCH(RedBasica!G48,RedBasica!$E$15:$E$10000,0),1),0)</f>
        <v>1.4957E-3</v>
      </c>
      <c r="J48" s="89">
        <f>IFERROR(INDEX(RedBasica!$O$15:$O$10000,MATCH(RedBasica!H48,RedBasica!$E$15:$E$10000,0),1),0)</f>
        <v>0</v>
      </c>
      <c r="K48" s="89">
        <f>IFERROR(INDEX(RedBasica!$O$15:$O$10000,MATCH(RedBasica!I48,RedBasica!$E$15:$E$10000,0),1),0)</f>
        <v>0</v>
      </c>
      <c r="L48" s="67">
        <f t="shared" si="1"/>
        <v>1.4957E-3</v>
      </c>
      <c r="M48" s="67">
        <f>RedBasica!L48*Parametros!$L$24/Parametros!$F$41</f>
        <v>0</v>
      </c>
      <c r="N48" s="68">
        <f>IF(RedBasica!$F48=0,0,$B48*Parametros!$F$42*Parametros!$F$37*RedBasica!$F48/1000)</f>
        <v>0</v>
      </c>
    </row>
    <row r="49" spans="1:14" customFormat="1" x14ac:dyDescent="0.2">
      <c r="A49" s="86" t="str">
        <f>RedBasica!E49</f>
        <v>MS_A_6-005</v>
      </c>
      <c r="B49" s="87">
        <f>IF(OR(Parametros!$F$35=0,RedBasica!$F49=0),0,IF(Parametros!$F$35="No",0,IF(Parametros!$F$35="Si",1,0)))</f>
        <v>0</v>
      </c>
      <c r="C49" s="88">
        <f>IFERROR(INDEX(RedBasica!$N$15:$N$10000,MATCH(RedBasica!G49,RedBasica!$E$15:$E$10000,0),1),0)</f>
        <v>2.114E-3</v>
      </c>
      <c r="D49" s="67">
        <f>IFERROR(INDEX(RedBasica!$N$15:$N$10000,MATCH(RedBasica!H49,RedBasica!$E$15:$E$10000,0),1),0)</f>
        <v>0</v>
      </c>
      <c r="E49" s="67">
        <f>IFERROR(INDEX(RedBasica!$N$15:$N$10000,MATCH(RedBasica!I49,RedBasica!$E$15:$E$10000,0),1),0)</f>
        <v>0</v>
      </c>
      <c r="F49" s="67">
        <f t="shared" si="0"/>
        <v>2.114E-3</v>
      </c>
      <c r="G49" s="67">
        <f>RedBasica!K49*Parametros!$L$24</f>
        <v>0</v>
      </c>
      <c r="H49" s="68">
        <f>IF(RedBasica!$F49=0,0,$B49*Parametros!$F$41*Parametros!$F$42*Parametros!$F$36*RedBasica!$F49/1000)</f>
        <v>0</v>
      </c>
      <c r="I49" s="88">
        <f>IFERROR(INDEX(RedBasica!$O$15:$O$10000,MATCH(RedBasica!G49,RedBasica!$E$15:$E$10000,0),1),0)</f>
        <v>2.114E-3</v>
      </c>
      <c r="J49" s="89">
        <f>IFERROR(INDEX(RedBasica!$O$15:$O$10000,MATCH(RedBasica!H49,RedBasica!$E$15:$E$10000,0),1),0)</f>
        <v>0</v>
      </c>
      <c r="K49" s="89">
        <f>IFERROR(INDEX(RedBasica!$O$15:$O$10000,MATCH(RedBasica!I49,RedBasica!$E$15:$E$10000,0),1),0)</f>
        <v>0</v>
      </c>
      <c r="L49" s="67">
        <f t="shared" si="1"/>
        <v>2.114E-3</v>
      </c>
      <c r="M49" s="67">
        <f>RedBasica!L49*Parametros!$L$24/Parametros!$F$41</f>
        <v>0</v>
      </c>
      <c r="N49" s="68">
        <f>IF(RedBasica!$F49=0,0,$B49*Parametros!$F$42*Parametros!$F$37*RedBasica!$F49/1000)</f>
        <v>0</v>
      </c>
    </row>
    <row r="50" spans="1:14" customFormat="1" x14ac:dyDescent="0.2">
      <c r="A50" s="86" t="str">
        <f>RedBasica!E50</f>
        <v>MS_A_7-001</v>
      </c>
      <c r="B50" s="87">
        <f>IF(OR(Parametros!$F$35=0,RedBasica!$F50=0),0,IF(Parametros!$F$35="No",0,IF(Parametros!$F$35="Si",1,0)))</f>
        <v>0</v>
      </c>
      <c r="C50" s="88">
        <f>IFERROR(INDEX(RedBasica!$N$15:$N$10000,MATCH(RedBasica!G50,RedBasica!$E$15:$E$10000,0),1),0)</f>
        <v>0</v>
      </c>
      <c r="D50" s="67">
        <f>IFERROR(INDEX(RedBasica!$N$15:$N$10000,MATCH(RedBasica!H50,RedBasica!$E$15:$E$10000,0),1),0)</f>
        <v>0</v>
      </c>
      <c r="E50" s="67">
        <f>IFERROR(INDEX(RedBasica!$N$15:$N$10000,MATCH(RedBasica!I50,RedBasica!$E$15:$E$10000,0),1),0)</f>
        <v>0</v>
      </c>
      <c r="F50" s="67">
        <f t="shared" si="0"/>
        <v>0</v>
      </c>
      <c r="G50" s="67">
        <f>RedBasica!K50*Parametros!$L$24</f>
        <v>0</v>
      </c>
      <c r="H50" s="68">
        <f>IF(RedBasica!$F50=0,0,$B50*Parametros!$F$41*Parametros!$F$42*Parametros!$F$36*RedBasica!$F50/1000)</f>
        <v>0</v>
      </c>
      <c r="I50" s="88">
        <f>IFERROR(INDEX(RedBasica!$O$15:$O$10000,MATCH(RedBasica!G50,RedBasica!$E$15:$E$10000,0),1),0)</f>
        <v>0</v>
      </c>
      <c r="J50" s="89">
        <f>IFERROR(INDEX(RedBasica!$O$15:$O$10000,MATCH(RedBasica!H50,RedBasica!$E$15:$E$10000,0),1),0)</f>
        <v>0</v>
      </c>
      <c r="K50" s="89">
        <f>IFERROR(INDEX(RedBasica!$O$15:$O$10000,MATCH(RedBasica!I50,RedBasica!$E$15:$E$10000,0),1),0)</f>
        <v>0</v>
      </c>
      <c r="L50" s="67">
        <f t="shared" si="1"/>
        <v>0</v>
      </c>
      <c r="M50" s="67">
        <f>RedBasica!L50*Parametros!$L$24/Parametros!$F$41</f>
        <v>0</v>
      </c>
      <c r="N50" s="68">
        <f>IF(RedBasica!$F50=0,0,$B50*Parametros!$F$42*Parametros!$F$37*RedBasica!$F50/1000)</f>
        <v>0</v>
      </c>
    </row>
    <row r="51" spans="1:14" customFormat="1" x14ac:dyDescent="0.2"/>
    <row r="52" spans="1:14" customFormat="1" x14ac:dyDescent="0.2"/>
    <row r="53" spans="1:14" customFormat="1" x14ac:dyDescent="0.2"/>
    <row r="54" spans="1:14" customFormat="1" x14ac:dyDescent="0.2"/>
    <row r="55" spans="1:14" customFormat="1" x14ac:dyDescent="0.2"/>
    <row r="56" spans="1:14" customFormat="1" x14ac:dyDescent="0.2"/>
    <row r="57" spans="1:14" customFormat="1" x14ac:dyDescent="0.2"/>
    <row r="58" spans="1:14" customFormat="1" x14ac:dyDescent="0.2"/>
    <row r="59" spans="1:14" customFormat="1" x14ac:dyDescent="0.2"/>
    <row r="60" spans="1:14" customFormat="1" x14ac:dyDescent="0.2"/>
    <row r="61" spans="1:14" customFormat="1" x14ac:dyDescent="0.2"/>
    <row r="62" spans="1:14" customFormat="1" x14ac:dyDescent="0.2"/>
    <row r="63" spans="1:14" customFormat="1" x14ac:dyDescent="0.2"/>
    <row r="64" spans="1:1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  <row r="101" customFormat="1" x14ac:dyDescent="0.2"/>
    <row r="102" customFormat="1" x14ac:dyDescent="0.2"/>
    <row r="103" customFormat="1" x14ac:dyDescent="0.2"/>
    <row r="104" customFormat="1" x14ac:dyDescent="0.2"/>
    <row r="105" customFormat="1" x14ac:dyDescent="0.2"/>
    <row r="106" customFormat="1" x14ac:dyDescent="0.2"/>
    <row r="107" customFormat="1" x14ac:dyDescent="0.2"/>
    <row r="108" customFormat="1" x14ac:dyDescent="0.2"/>
    <row r="109" customFormat="1" x14ac:dyDescent="0.2"/>
    <row r="110" customFormat="1" x14ac:dyDescent="0.2"/>
    <row r="111" customFormat="1" x14ac:dyDescent="0.2"/>
    <row r="112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  <row r="119" customFormat="1" x14ac:dyDescent="0.2"/>
    <row r="120" customFormat="1" x14ac:dyDescent="0.2"/>
    <row r="121" customFormat="1" x14ac:dyDescent="0.2"/>
    <row r="122" customFormat="1" x14ac:dyDescent="0.2"/>
    <row r="123" customFormat="1" x14ac:dyDescent="0.2"/>
    <row r="124" customFormat="1" x14ac:dyDescent="0.2"/>
    <row r="125" customFormat="1" x14ac:dyDescent="0.2"/>
    <row r="126" customFormat="1" x14ac:dyDescent="0.2"/>
    <row r="127" customFormat="1" x14ac:dyDescent="0.2"/>
    <row r="128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ht="4.5" customHeigh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  <row r="2796" customFormat="1" x14ac:dyDescent="0.2"/>
    <row r="2797" customFormat="1" x14ac:dyDescent="0.2"/>
    <row r="2798" customFormat="1" x14ac:dyDescent="0.2"/>
    <row r="2799" customFormat="1" x14ac:dyDescent="0.2"/>
    <row r="2800" customFormat="1" x14ac:dyDescent="0.2"/>
    <row r="2801" customFormat="1" x14ac:dyDescent="0.2"/>
    <row r="2802" customFormat="1" x14ac:dyDescent="0.2"/>
    <row r="2803" customFormat="1" x14ac:dyDescent="0.2"/>
    <row r="2804" customFormat="1" x14ac:dyDescent="0.2"/>
    <row r="2805" customFormat="1" x14ac:dyDescent="0.2"/>
    <row r="2806" customFormat="1" x14ac:dyDescent="0.2"/>
    <row r="2807" customFormat="1" x14ac:dyDescent="0.2"/>
    <row r="2808" customFormat="1" x14ac:dyDescent="0.2"/>
    <row r="2809" customFormat="1" x14ac:dyDescent="0.2"/>
    <row r="2810" customFormat="1" x14ac:dyDescent="0.2"/>
    <row r="2811" customFormat="1" x14ac:dyDescent="0.2"/>
    <row r="2812" customFormat="1" x14ac:dyDescent="0.2"/>
    <row r="2813" customFormat="1" x14ac:dyDescent="0.2"/>
    <row r="2814" customFormat="1" x14ac:dyDescent="0.2"/>
    <row r="2815" customFormat="1" x14ac:dyDescent="0.2"/>
    <row r="2816" customFormat="1" x14ac:dyDescent="0.2"/>
    <row r="2817" customFormat="1" x14ac:dyDescent="0.2"/>
    <row r="2818" customFormat="1" x14ac:dyDescent="0.2"/>
    <row r="2819" customFormat="1" x14ac:dyDescent="0.2"/>
    <row r="2820" customFormat="1" x14ac:dyDescent="0.2"/>
    <row r="2821" customFormat="1" x14ac:dyDescent="0.2"/>
    <row r="2822" customFormat="1" x14ac:dyDescent="0.2"/>
    <row r="2823" customFormat="1" x14ac:dyDescent="0.2"/>
    <row r="2824" customFormat="1" x14ac:dyDescent="0.2"/>
    <row r="2825" customFormat="1" x14ac:dyDescent="0.2"/>
    <row r="2826" customFormat="1" x14ac:dyDescent="0.2"/>
    <row r="2827" customFormat="1" x14ac:dyDescent="0.2"/>
    <row r="2828" customFormat="1" x14ac:dyDescent="0.2"/>
    <row r="2829" customFormat="1" x14ac:dyDescent="0.2"/>
    <row r="2830" customFormat="1" x14ac:dyDescent="0.2"/>
    <row r="2831" customFormat="1" x14ac:dyDescent="0.2"/>
    <row r="2832" customFormat="1" x14ac:dyDescent="0.2"/>
    <row r="2833" customFormat="1" x14ac:dyDescent="0.2"/>
    <row r="2834" customFormat="1" x14ac:dyDescent="0.2"/>
    <row r="2835" customFormat="1" x14ac:dyDescent="0.2"/>
    <row r="2836" customFormat="1" x14ac:dyDescent="0.2"/>
    <row r="2837" customFormat="1" x14ac:dyDescent="0.2"/>
    <row r="2838" customFormat="1" x14ac:dyDescent="0.2"/>
    <row r="2839" customFormat="1" x14ac:dyDescent="0.2"/>
    <row r="2840" customFormat="1" x14ac:dyDescent="0.2"/>
    <row r="2841" customFormat="1" x14ac:dyDescent="0.2"/>
    <row r="2842" customFormat="1" x14ac:dyDescent="0.2"/>
    <row r="2843" customFormat="1" x14ac:dyDescent="0.2"/>
    <row r="2844" customFormat="1" x14ac:dyDescent="0.2"/>
    <row r="2845" customFormat="1" x14ac:dyDescent="0.2"/>
    <row r="2846" customFormat="1" x14ac:dyDescent="0.2"/>
    <row r="2847" customFormat="1" x14ac:dyDescent="0.2"/>
    <row r="2848" customFormat="1" x14ac:dyDescent="0.2"/>
    <row r="2849" customFormat="1" x14ac:dyDescent="0.2"/>
    <row r="2850" customFormat="1" x14ac:dyDescent="0.2"/>
    <row r="2851" customFormat="1" x14ac:dyDescent="0.2"/>
    <row r="2852" customFormat="1" x14ac:dyDescent="0.2"/>
    <row r="2853" customFormat="1" x14ac:dyDescent="0.2"/>
    <row r="2854" customFormat="1" x14ac:dyDescent="0.2"/>
    <row r="2855" customFormat="1" x14ac:dyDescent="0.2"/>
    <row r="2856" customFormat="1" x14ac:dyDescent="0.2"/>
    <row r="2857" customFormat="1" x14ac:dyDescent="0.2"/>
    <row r="2858" customFormat="1" x14ac:dyDescent="0.2"/>
    <row r="2859" customFormat="1" x14ac:dyDescent="0.2"/>
    <row r="2860" customFormat="1" x14ac:dyDescent="0.2"/>
    <row r="2861" customFormat="1" x14ac:dyDescent="0.2"/>
    <row r="2862" customFormat="1" x14ac:dyDescent="0.2"/>
    <row r="2863" customFormat="1" x14ac:dyDescent="0.2"/>
    <row r="2864" customFormat="1" x14ac:dyDescent="0.2"/>
    <row r="2865" customFormat="1" x14ac:dyDescent="0.2"/>
    <row r="2866" customFormat="1" x14ac:dyDescent="0.2"/>
    <row r="2867" customFormat="1" x14ac:dyDescent="0.2"/>
    <row r="2868" customFormat="1" x14ac:dyDescent="0.2"/>
    <row r="2869" customFormat="1" x14ac:dyDescent="0.2"/>
    <row r="2870" customFormat="1" x14ac:dyDescent="0.2"/>
    <row r="2871" customFormat="1" x14ac:dyDescent="0.2"/>
    <row r="2872" customFormat="1" x14ac:dyDescent="0.2"/>
    <row r="2873" customFormat="1" x14ac:dyDescent="0.2"/>
    <row r="2874" customFormat="1" x14ac:dyDescent="0.2"/>
    <row r="2875" customFormat="1" x14ac:dyDescent="0.2"/>
    <row r="2876" customFormat="1" x14ac:dyDescent="0.2"/>
    <row r="2877" customFormat="1" x14ac:dyDescent="0.2"/>
    <row r="2878" customFormat="1" x14ac:dyDescent="0.2"/>
    <row r="2879" customFormat="1" x14ac:dyDescent="0.2"/>
    <row r="2880" customFormat="1" x14ac:dyDescent="0.2"/>
    <row r="2881" customFormat="1" x14ac:dyDescent="0.2"/>
    <row r="2882" customFormat="1" x14ac:dyDescent="0.2"/>
    <row r="2883" customFormat="1" x14ac:dyDescent="0.2"/>
    <row r="2884" customFormat="1" x14ac:dyDescent="0.2"/>
    <row r="2885" customFormat="1" x14ac:dyDescent="0.2"/>
    <row r="2886" customFormat="1" x14ac:dyDescent="0.2"/>
    <row r="2887" customFormat="1" x14ac:dyDescent="0.2"/>
    <row r="2888" customFormat="1" x14ac:dyDescent="0.2"/>
    <row r="2889" customFormat="1" x14ac:dyDescent="0.2"/>
    <row r="2890" customFormat="1" x14ac:dyDescent="0.2"/>
    <row r="2891" customFormat="1" x14ac:dyDescent="0.2"/>
    <row r="2892" customFormat="1" x14ac:dyDescent="0.2"/>
    <row r="2893" customFormat="1" x14ac:dyDescent="0.2"/>
    <row r="2894" customFormat="1" x14ac:dyDescent="0.2"/>
    <row r="2895" customFormat="1" x14ac:dyDescent="0.2"/>
    <row r="2896" customFormat="1" x14ac:dyDescent="0.2"/>
    <row r="2897" customFormat="1" x14ac:dyDescent="0.2"/>
    <row r="2898" customFormat="1" x14ac:dyDescent="0.2"/>
    <row r="2899" customFormat="1" x14ac:dyDescent="0.2"/>
    <row r="2900" customFormat="1" x14ac:dyDescent="0.2"/>
    <row r="2901" customFormat="1" x14ac:dyDescent="0.2"/>
    <row r="2902" customFormat="1" x14ac:dyDescent="0.2"/>
    <row r="2903" customFormat="1" x14ac:dyDescent="0.2"/>
    <row r="2904" customFormat="1" x14ac:dyDescent="0.2"/>
    <row r="2905" customFormat="1" x14ac:dyDescent="0.2"/>
    <row r="2906" customFormat="1" x14ac:dyDescent="0.2"/>
    <row r="2907" customFormat="1" x14ac:dyDescent="0.2"/>
    <row r="2908" customFormat="1" x14ac:dyDescent="0.2"/>
    <row r="2909" customFormat="1" x14ac:dyDescent="0.2"/>
    <row r="2910" customFormat="1" x14ac:dyDescent="0.2"/>
    <row r="2911" customFormat="1" x14ac:dyDescent="0.2"/>
    <row r="2912" customFormat="1" x14ac:dyDescent="0.2"/>
    <row r="2913" customFormat="1" x14ac:dyDescent="0.2"/>
    <row r="2914" customFormat="1" x14ac:dyDescent="0.2"/>
    <row r="2915" customFormat="1" x14ac:dyDescent="0.2"/>
    <row r="2916" customFormat="1" x14ac:dyDescent="0.2"/>
    <row r="2917" customFormat="1" x14ac:dyDescent="0.2"/>
    <row r="2918" customFormat="1" x14ac:dyDescent="0.2"/>
    <row r="2919" customFormat="1" x14ac:dyDescent="0.2"/>
    <row r="2920" customFormat="1" x14ac:dyDescent="0.2"/>
    <row r="2921" customFormat="1" x14ac:dyDescent="0.2"/>
    <row r="2922" customFormat="1" x14ac:dyDescent="0.2"/>
    <row r="2923" customFormat="1" x14ac:dyDescent="0.2"/>
    <row r="2924" customFormat="1" x14ac:dyDescent="0.2"/>
    <row r="2925" customFormat="1" x14ac:dyDescent="0.2"/>
    <row r="2926" customFormat="1" x14ac:dyDescent="0.2"/>
    <row r="2927" customFormat="1" x14ac:dyDescent="0.2"/>
    <row r="2928" customFormat="1" x14ac:dyDescent="0.2"/>
    <row r="2929" customFormat="1" x14ac:dyDescent="0.2"/>
    <row r="2930" customFormat="1" x14ac:dyDescent="0.2"/>
    <row r="2931" customFormat="1" x14ac:dyDescent="0.2"/>
    <row r="2932" customFormat="1" x14ac:dyDescent="0.2"/>
    <row r="2933" customFormat="1" x14ac:dyDescent="0.2"/>
    <row r="2934" customFormat="1" x14ac:dyDescent="0.2"/>
    <row r="2935" customFormat="1" x14ac:dyDescent="0.2"/>
    <row r="2936" customFormat="1" x14ac:dyDescent="0.2"/>
    <row r="2937" customFormat="1" x14ac:dyDescent="0.2"/>
    <row r="2938" customFormat="1" x14ac:dyDescent="0.2"/>
    <row r="2939" customFormat="1" x14ac:dyDescent="0.2"/>
    <row r="2940" customFormat="1" x14ac:dyDescent="0.2"/>
    <row r="2941" customFormat="1" x14ac:dyDescent="0.2"/>
    <row r="2942" customFormat="1" x14ac:dyDescent="0.2"/>
    <row r="2943" customFormat="1" x14ac:dyDescent="0.2"/>
    <row r="2944" customFormat="1" x14ac:dyDescent="0.2"/>
    <row r="2945" customFormat="1" x14ac:dyDescent="0.2"/>
    <row r="2946" customFormat="1" x14ac:dyDescent="0.2"/>
    <row r="2947" customFormat="1" x14ac:dyDescent="0.2"/>
    <row r="2948" customFormat="1" x14ac:dyDescent="0.2"/>
    <row r="2949" customFormat="1" x14ac:dyDescent="0.2"/>
    <row r="2950" customFormat="1" x14ac:dyDescent="0.2"/>
    <row r="2951" customFormat="1" x14ac:dyDescent="0.2"/>
    <row r="2952" customFormat="1" x14ac:dyDescent="0.2"/>
    <row r="2953" customFormat="1" x14ac:dyDescent="0.2"/>
    <row r="2954" customFormat="1" x14ac:dyDescent="0.2"/>
    <row r="2955" customFormat="1" x14ac:dyDescent="0.2"/>
    <row r="2956" customFormat="1" x14ac:dyDescent="0.2"/>
    <row r="2957" customFormat="1" x14ac:dyDescent="0.2"/>
    <row r="2958" customFormat="1" x14ac:dyDescent="0.2"/>
    <row r="2959" customFormat="1" x14ac:dyDescent="0.2"/>
    <row r="2960" customFormat="1" x14ac:dyDescent="0.2"/>
    <row r="2961" customFormat="1" x14ac:dyDescent="0.2"/>
    <row r="2962" customFormat="1" x14ac:dyDescent="0.2"/>
    <row r="2963" customFormat="1" x14ac:dyDescent="0.2"/>
    <row r="2964" customFormat="1" x14ac:dyDescent="0.2"/>
    <row r="2965" customFormat="1" x14ac:dyDescent="0.2"/>
    <row r="2966" customFormat="1" x14ac:dyDescent="0.2"/>
    <row r="2967" customFormat="1" x14ac:dyDescent="0.2"/>
    <row r="2968" customFormat="1" x14ac:dyDescent="0.2"/>
    <row r="2969" customFormat="1" x14ac:dyDescent="0.2"/>
    <row r="2970" customFormat="1" x14ac:dyDescent="0.2"/>
    <row r="2971" customFormat="1" x14ac:dyDescent="0.2"/>
    <row r="2972" customFormat="1" x14ac:dyDescent="0.2"/>
    <row r="2973" customFormat="1" x14ac:dyDescent="0.2"/>
    <row r="2974" customFormat="1" x14ac:dyDescent="0.2"/>
    <row r="2975" customFormat="1" x14ac:dyDescent="0.2"/>
    <row r="2976" customFormat="1" x14ac:dyDescent="0.2"/>
    <row r="2977" customFormat="1" x14ac:dyDescent="0.2"/>
    <row r="2978" customFormat="1" x14ac:dyDescent="0.2"/>
    <row r="2979" customFormat="1" x14ac:dyDescent="0.2"/>
    <row r="2980" customFormat="1" x14ac:dyDescent="0.2"/>
    <row r="2981" customFormat="1" x14ac:dyDescent="0.2"/>
    <row r="2982" customFormat="1" x14ac:dyDescent="0.2"/>
    <row r="2983" customFormat="1" x14ac:dyDescent="0.2"/>
    <row r="2984" customFormat="1" x14ac:dyDescent="0.2"/>
    <row r="2985" customFormat="1" x14ac:dyDescent="0.2"/>
    <row r="2986" customFormat="1" x14ac:dyDescent="0.2"/>
    <row r="2987" customFormat="1" x14ac:dyDescent="0.2"/>
    <row r="2988" customFormat="1" x14ac:dyDescent="0.2"/>
    <row r="2989" customFormat="1" x14ac:dyDescent="0.2"/>
    <row r="2990" customFormat="1" x14ac:dyDescent="0.2"/>
    <row r="2991" customFormat="1" x14ac:dyDescent="0.2"/>
    <row r="2992" customFormat="1" x14ac:dyDescent="0.2"/>
    <row r="2993" customFormat="1" x14ac:dyDescent="0.2"/>
    <row r="2994" customFormat="1" x14ac:dyDescent="0.2"/>
    <row r="2995" customFormat="1" x14ac:dyDescent="0.2"/>
    <row r="2996" customFormat="1" x14ac:dyDescent="0.2"/>
    <row r="2997" customFormat="1" x14ac:dyDescent="0.2"/>
    <row r="2998" customFormat="1" x14ac:dyDescent="0.2"/>
    <row r="2999" customFormat="1" x14ac:dyDescent="0.2"/>
    <row r="3000" customFormat="1" x14ac:dyDescent="0.2"/>
    <row r="3001" customFormat="1" x14ac:dyDescent="0.2"/>
    <row r="3002" customFormat="1" x14ac:dyDescent="0.2"/>
    <row r="3003" customFormat="1" x14ac:dyDescent="0.2"/>
    <row r="3004" customFormat="1" x14ac:dyDescent="0.2"/>
    <row r="3005" customFormat="1" x14ac:dyDescent="0.2"/>
    <row r="3006" customFormat="1" x14ac:dyDescent="0.2"/>
    <row r="3007" customFormat="1" x14ac:dyDescent="0.2"/>
    <row r="3008" customFormat="1" x14ac:dyDescent="0.2"/>
    <row r="3009" customFormat="1" x14ac:dyDescent="0.2"/>
    <row r="3010" customFormat="1" x14ac:dyDescent="0.2"/>
    <row r="3011" customFormat="1" x14ac:dyDescent="0.2"/>
    <row r="3012" customFormat="1" x14ac:dyDescent="0.2"/>
    <row r="3013" customFormat="1" x14ac:dyDescent="0.2"/>
    <row r="3014" customFormat="1" x14ac:dyDescent="0.2"/>
    <row r="3015" customFormat="1" x14ac:dyDescent="0.2"/>
    <row r="3016" customFormat="1" x14ac:dyDescent="0.2"/>
    <row r="3017" customFormat="1" x14ac:dyDescent="0.2"/>
    <row r="3018" customFormat="1" x14ac:dyDescent="0.2"/>
    <row r="3019" customFormat="1" x14ac:dyDescent="0.2"/>
    <row r="3020" customFormat="1" x14ac:dyDescent="0.2"/>
    <row r="3021" customFormat="1" x14ac:dyDescent="0.2"/>
    <row r="3022" customFormat="1" x14ac:dyDescent="0.2"/>
    <row r="3023" customFormat="1" x14ac:dyDescent="0.2"/>
    <row r="3024" customFormat="1" x14ac:dyDescent="0.2"/>
    <row r="3025" customFormat="1" x14ac:dyDescent="0.2"/>
    <row r="3026" customFormat="1" x14ac:dyDescent="0.2"/>
    <row r="3027" customFormat="1" x14ac:dyDescent="0.2"/>
    <row r="3028" customFormat="1" x14ac:dyDescent="0.2"/>
    <row r="3029" customFormat="1" x14ac:dyDescent="0.2"/>
    <row r="3030" customFormat="1" x14ac:dyDescent="0.2"/>
    <row r="3031" customFormat="1" x14ac:dyDescent="0.2"/>
    <row r="3032" customFormat="1" x14ac:dyDescent="0.2"/>
    <row r="3033" customFormat="1" x14ac:dyDescent="0.2"/>
    <row r="3034" customFormat="1" x14ac:dyDescent="0.2"/>
    <row r="3035" customFormat="1" x14ac:dyDescent="0.2"/>
    <row r="3036" customFormat="1" x14ac:dyDescent="0.2"/>
    <row r="3037" customFormat="1" x14ac:dyDescent="0.2"/>
    <row r="3038" customFormat="1" x14ac:dyDescent="0.2"/>
    <row r="3039" customFormat="1" x14ac:dyDescent="0.2"/>
    <row r="3040" customFormat="1" x14ac:dyDescent="0.2"/>
    <row r="3041" customFormat="1" x14ac:dyDescent="0.2"/>
    <row r="3042" customFormat="1" x14ac:dyDescent="0.2"/>
    <row r="3043" customFormat="1" x14ac:dyDescent="0.2"/>
    <row r="3044" customFormat="1" x14ac:dyDescent="0.2"/>
    <row r="3045" customFormat="1" x14ac:dyDescent="0.2"/>
    <row r="3046" customFormat="1" x14ac:dyDescent="0.2"/>
    <row r="3047" customFormat="1" x14ac:dyDescent="0.2"/>
    <row r="3048" customFormat="1" x14ac:dyDescent="0.2"/>
    <row r="3049" customFormat="1" x14ac:dyDescent="0.2"/>
    <row r="3050" customFormat="1" x14ac:dyDescent="0.2"/>
    <row r="3051" customFormat="1" x14ac:dyDescent="0.2"/>
    <row r="3052" customFormat="1" x14ac:dyDescent="0.2"/>
    <row r="3053" customFormat="1" x14ac:dyDescent="0.2"/>
    <row r="3054" customFormat="1" x14ac:dyDescent="0.2"/>
    <row r="3055" customFormat="1" x14ac:dyDescent="0.2"/>
    <row r="3056" customFormat="1" x14ac:dyDescent="0.2"/>
    <row r="3057" customFormat="1" x14ac:dyDescent="0.2"/>
    <row r="3058" customFormat="1" x14ac:dyDescent="0.2"/>
    <row r="3059" customFormat="1" x14ac:dyDescent="0.2"/>
    <row r="3060" customFormat="1" x14ac:dyDescent="0.2"/>
    <row r="3061" customFormat="1" x14ac:dyDescent="0.2"/>
    <row r="3062" customFormat="1" x14ac:dyDescent="0.2"/>
    <row r="3063" customFormat="1" x14ac:dyDescent="0.2"/>
    <row r="3064" customFormat="1" x14ac:dyDescent="0.2"/>
    <row r="3065" customFormat="1" x14ac:dyDescent="0.2"/>
    <row r="3066" customFormat="1" x14ac:dyDescent="0.2"/>
    <row r="3067" customFormat="1" x14ac:dyDescent="0.2"/>
    <row r="3068" customFormat="1" x14ac:dyDescent="0.2"/>
    <row r="3069" customFormat="1" x14ac:dyDescent="0.2"/>
    <row r="3070" customFormat="1" x14ac:dyDescent="0.2"/>
    <row r="3071" customFormat="1" x14ac:dyDescent="0.2"/>
    <row r="3072" customFormat="1" x14ac:dyDescent="0.2"/>
    <row r="3073" customFormat="1" x14ac:dyDescent="0.2"/>
    <row r="3074" customFormat="1" x14ac:dyDescent="0.2"/>
    <row r="3075" customFormat="1" x14ac:dyDescent="0.2"/>
    <row r="3076" customFormat="1" x14ac:dyDescent="0.2"/>
    <row r="3077" customFormat="1" x14ac:dyDescent="0.2"/>
    <row r="3078" customFormat="1" x14ac:dyDescent="0.2"/>
    <row r="3079" customFormat="1" x14ac:dyDescent="0.2"/>
    <row r="3080" customFormat="1" x14ac:dyDescent="0.2"/>
    <row r="3081" customFormat="1" x14ac:dyDescent="0.2"/>
    <row r="3082" customFormat="1" x14ac:dyDescent="0.2"/>
    <row r="3083" customFormat="1" x14ac:dyDescent="0.2"/>
    <row r="3084" customFormat="1" x14ac:dyDescent="0.2"/>
    <row r="3085" customFormat="1" x14ac:dyDescent="0.2"/>
    <row r="3086" customFormat="1" x14ac:dyDescent="0.2"/>
    <row r="3087" customFormat="1" x14ac:dyDescent="0.2"/>
    <row r="3088" customFormat="1" x14ac:dyDescent="0.2"/>
    <row r="3089" customFormat="1" x14ac:dyDescent="0.2"/>
    <row r="3090" customFormat="1" x14ac:dyDescent="0.2"/>
    <row r="3091" customFormat="1" x14ac:dyDescent="0.2"/>
    <row r="3092" customFormat="1" x14ac:dyDescent="0.2"/>
    <row r="3093" customFormat="1" x14ac:dyDescent="0.2"/>
    <row r="3094" customFormat="1" x14ac:dyDescent="0.2"/>
    <row r="3095" customFormat="1" x14ac:dyDescent="0.2"/>
    <row r="3096" customFormat="1" x14ac:dyDescent="0.2"/>
    <row r="3097" customFormat="1" x14ac:dyDescent="0.2"/>
    <row r="3098" customFormat="1" x14ac:dyDescent="0.2"/>
    <row r="3099" customFormat="1" x14ac:dyDescent="0.2"/>
    <row r="3100" customFormat="1" x14ac:dyDescent="0.2"/>
    <row r="3101" customFormat="1" x14ac:dyDescent="0.2"/>
    <row r="3102" customFormat="1" x14ac:dyDescent="0.2"/>
    <row r="3103" customFormat="1" x14ac:dyDescent="0.2"/>
    <row r="3104" customFormat="1" x14ac:dyDescent="0.2"/>
    <row r="3105" customFormat="1" x14ac:dyDescent="0.2"/>
    <row r="3106" customFormat="1" x14ac:dyDescent="0.2"/>
    <row r="3107" customFormat="1" x14ac:dyDescent="0.2"/>
    <row r="3108" customFormat="1" x14ac:dyDescent="0.2"/>
    <row r="3109" customFormat="1" x14ac:dyDescent="0.2"/>
    <row r="3110" customFormat="1" x14ac:dyDescent="0.2"/>
    <row r="3111" customFormat="1" x14ac:dyDescent="0.2"/>
    <row r="3112" customFormat="1" x14ac:dyDescent="0.2"/>
    <row r="3113" customFormat="1" x14ac:dyDescent="0.2"/>
    <row r="3114" customFormat="1" x14ac:dyDescent="0.2"/>
    <row r="3115" customFormat="1" x14ac:dyDescent="0.2"/>
    <row r="3116" customFormat="1" x14ac:dyDescent="0.2"/>
    <row r="3117" customFormat="1" x14ac:dyDescent="0.2"/>
    <row r="3118" customFormat="1" x14ac:dyDescent="0.2"/>
    <row r="3119" customFormat="1" x14ac:dyDescent="0.2"/>
    <row r="3120" customFormat="1" x14ac:dyDescent="0.2"/>
    <row r="3121" customFormat="1" x14ac:dyDescent="0.2"/>
    <row r="3122" customFormat="1" x14ac:dyDescent="0.2"/>
    <row r="3123" customFormat="1" x14ac:dyDescent="0.2"/>
    <row r="3124" customFormat="1" x14ac:dyDescent="0.2"/>
    <row r="3125" customFormat="1" x14ac:dyDescent="0.2"/>
    <row r="3126" customFormat="1" x14ac:dyDescent="0.2"/>
    <row r="3127" customFormat="1" x14ac:dyDescent="0.2"/>
    <row r="3128" customFormat="1" x14ac:dyDescent="0.2"/>
    <row r="3129" customFormat="1" x14ac:dyDescent="0.2"/>
    <row r="3130" customFormat="1" x14ac:dyDescent="0.2"/>
    <row r="3131" customFormat="1" x14ac:dyDescent="0.2"/>
    <row r="3132" customFormat="1" x14ac:dyDescent="0.2"/>
    <row r="3133" customFormat="1" x14ac:dyDescent="0.2"/>
    <row r="3134" customFormat="1" x14ac:dyDescent="0.2"/>
    <row r="3135" customFormat="1" x14ac:dyDescent="0.2"/>
    <row r="3136" customFormat="1" x14ac:dyDescent="0.2"/>
    <row r="3137" customFormat="1" x14ac:dyDescent="0.2"/>
    <row r="3138" customFormat="1" x14ac:dyDescent="0.2"/>
    <row r="3139" customFormat="1" x14ac:dyDescent="0.2"/>
    <row r="3140" customFormat="1" x14ac:dyDescent="0.2"/>
    <row r="3141" customFormat="1" x14ac:dyDescent="0.2"/>
    <row r="3142" customFormat="1" x14ac:dyDescent="0.2"/>
    <row r="3143" customFormat="1" x14ac:dyDescent="0.2"/>
    <row r="3144" customFormat="1" x14ac:dyDescent="0.2"/>
    <row r="3145" customFormat="1" x14ac:dyDescent="0.2"/>
    <row r="3146" customFormat="1" x14ac:dyDescent="0.2"/>
    <row r="3147" customFormat="1" x14ac:dyDescent="0.2"/>
    <row r="3148" customFormat="1" x14ac:dyDescent="0.2"/>
    <row r="3149" customFormat="1" x14ac:dyDescent="0.2"/>
    <row r="3150" customFormat="1" x14ac:dyDescent="0.2"/>
    <row r="3151" customFormat="1" x14ac:dyDescent="0.2"/>
    <row r="3152" customFormat="1" x14ac:dyDescent="0.2"/>
    <row r="3153" customFormat="1" x14ac:dyDescent="0.2"/>
    <row r="3154" customFormat="1" x14ac:dyDescent="0.2"/>
    <row r="3155" customFormat="1" x14ac:dyDescent="0.2"/>
    <row r="3156" customFormat="1" x14ac:dyDescent="0.2"/>
    <row r="3157" customFormat="1" x14ac:dyDescent="0.2"/>
    <row r="3158" customFormat="1" x14ac:dyDescent="0.2"/>
    <row r="3159" customFormat="1" x14ac:dyDescent="0.2"/>
    <row r="3160" customFormat="1" x14ac:dyDescent="0.2"/>
    <row r="3161" customFormat="1" x14ac:dyDescent="0.2"/>
    <row r="3162" customFormat="1" x14ac:dyDescent="0.2"/>
    <row r="3163" customFormat="1" x14ac:dyDescent="0.2"/>
    <row r="3164" customFormat="1" x14ac:dyDescent="0.2"/>
    <row r="3165" customFormat="1" x14ac:dyDescent="0.2"/>
    <row r="3166" customFormat="1" x14ac:dyDescent="0.2"/>
    <row r="3167" customFormat="1" x14ac:dyDescent="0.2"/>
    <row r="3168" customFormat="1" x14ac:dyDescent="0.2"/>
    <row r="3169" customFormat="1" x14ac:dyDescent="0.2"/>
    <row r="3170" customFormat="1" x14ac:dyDescent="0.2"/>
    <row r="3171" customFormat="1" x14ac:dyDescent="0.2"/>
    <row r="3172" customFormat="1" x14ac:dyDescent="0.2"/>
    <row r="3173" customFormat="1" x14ac:dyDescent="0.2"/>
    <row r="3174" customFormat="1" x14ac:dyDescent="0.2"/>
    <row r="3175" customFormat="1" x14ac:dyDescent="0.2"/>
    <row r="3176" customFormat="1" x14ac:dyDescent="0.2"/>
    <row r="3177" customFormat="1" x14ac:dyDescent="0.2"/>
    <row r="3178" customFormat="1" x14ac:dyDescent="0.2"/>
    <row r="3179" customFormat="1" x14ac:dyDescent="0.2"/>
    <row r="3180" customFormat="1" x14ac:dyDescent="0.2"/>
    <row r="3181" customFormat="1" x14ac:dyDescent="0.2"/>
    <row r="3182" customFormat="1" x14ac:dyDescent="0.2"/>
    <row r="3183" customFormat="1" x14ac:dyDescent="0.2"/>
    <row r="3184" customFormat="1" x14ac:dyDescent="0.2"/>
    <row r="3185" customFormat="1" x14ac:dyDescent="0.2"/>
    <row r="3186" customFormat="1" x14ac:dyDescent="0.2"/>
    <row r="3187" customFormat="1" x14ac:dyDescent="0.2"/>
    <row r="3188" customFormat="1" x14ac:dyDescent="0.2"/>
    <row r="3189" customFormat="1" x14ac:dyDescent="0.2"/>
    <row r="3190" customFormat="1" x14ac:dyDescent="0.2"/>
    <row r="3191" customFormat="1" x14ac:dyDescent="0.2"/>
    <row r="3192" customFormat="1" x14ac:dyDescent="0.2"/>
    <row r="3193" customFormat="1" x14ac:dyDescent="0.2"/>
    <row r="3194" customFormat="1" x14ac:dyDescent="0.2"/>
    <row r="3195" customFormat="1" x14ac:dyDescent="0.2"/>
    <row r="3196" customFormat="1" x14ac:dyDescent="0.2"/>
    <row r="3197" customFormat="1" x14ac:dyDescent="0.2"/>
    <row r="3198" customFormat="1" x14ac:dyDescent="0.2"/>
    <row r="3199" customFormat="1" x14ac:dyDescent="0.2"/>
    <row r="3200" customFormat="1" x14ac:dyDescent="0.2"/>
    <row r="3201" customFormat="1" x14ac:dyDescent="0.2"/>
    <row r="3202" customFormat="1" x14ac:dyDescent="0.2"/>
    <row r="3203" customFormat="1" x14ac:dyDescent="0.2"/>
    <row r="3204" customFormat="1" x14ac:dyDescent="0.2"/>
    <row r="3205" customFormat="1" x14ac:dyDescent="0.2"/>
    <row r="3206" customFormat="1" x14ac:dyDescent="0.2"/>
    <row r="3207" customFormat="1" x14ac:dyDescent="0.2"/>
    <row r="3208" customFormat="1" x14ac:dyDescent="0.2"/>
    <row r="3209" customFormat="1" x14ac:dyDescent="0.2"/>
    <row r="3210" customFormat="1" x14ac:dyDescent="0.2"/>
    <row r="3211" customFormat="1" x14ac:dyDescent="0.2"/>
    <row r="3212" customFormat="1" x14ac:dyDescent="0.2"/>
    <row r="3213" customFormat="1" x14ac:dyDescent="0.2"/>
    <row r="3214" customFormat="1" x14ac:dyDescent="0.2"/>
    <row r="3215" customFormat="1" x14ac:dyDescent="0.2"/>
    <row r="3216" customFormat="1" x14ac:dyDescent="0.2"/>
    <row r="3217" customFormat="1" x14ac:dyDescent="0.2"/>
    <row r="3218" customFormat="1" x14ac:dyDescent="0.2"/>
    <row r="3219" customFormat="1" x14ac:dyDescent="0.2"/>
    <row r="3220" customFormat="1" x14ac:dyDescent="0.2"/>
    <row r="3221" customFormat="1" x14ac:dyDescent="0.2"/>
    <row r="3222" customFormat="1" x14ac:dyDescent="0.2"/>
    <row r="3223" customFormat="1" x14ac:dyDescent="0.2"/>
    <row r="3224" customFormat="1" x14ac:dyDescent="0.2"/>
    <row r="3225" customFormat="1" x14ac:dyDescent="0.2"/>
    <row r="3226" customFormat="1" x14ac:dyDescent="0.2"/>
    <row r="3227" customFormat="1" x14ac:dyDescent="0.2"/>
    <row r="3228" customFormat="1" x14ac:dyDescent="0.2"/>
    <row r="3229" customFormat="1" x14ac:dyDescent="0.2"/>
    <row r="3230" customFormat="1" x14ac:dyDescent="0.2"/>
    <row r="3231" customFormat="1" x14ac:dyDescent="0.2"/>
    <row r="3232" customFormat="1" x14ac:dyDescent="0.2"/>
    <row r="3233" customFormat="1" x14ac:dyDescent="0.2"/>
    <row r="3234" customFormat="1" x14ac:dyDescent="0.2"/>
    <row r="3235" customFormat="1" x14ac:dyDescent="0.2"/>
    <row r="3236" customFormat="1" x14ac:dyDescent="0.2"/>
    <row r="3237" customFormat="1" x14ac:dyDescent="0.2"/>
    <row r="3238" customFormat="1" x14ac:dyDescent="0.2"/>
    <row r="3239" customFormat="1" x14ac:dyDescent="0.2"/>
    <row r="3240" customFormat="1" x14ac:dyDescent="0.2"/>
    <row r="3241" customFormat="1" x14ac:dyDescent="0.2"/>
    <row r="3242" customFormat="1" x14ac:dyDescent="0.2"/>
    <row r="3243" customFormat="1" x14ac:dyDescent="0.2"/>
    <row r="3244" customFormat="1" x14ac:dyDescent="0.2"/>
    <row r="3245" customFormat="1" x14ac:dyDescent="0.2"/>
    <row r="3246" customFormat="1" x14ac:dyDescent="0.2"/>
    <row r="3247" customFormat="1" x14ac:dyDescent="0.2"/>
    <row r="3248" customFormat="1" x14ac:dyDescent="0.2"/>
    <row r="3249" customFormat="1" x14ac:dyDescent="0.2"/>
    <row r="3250" customFormat="1" x14ac:dyDescent="0.2"/>
    <row r="3251" customFormat="1" x14ac:dyDescent="0.2"/>
    <row r="3252" customFormat="1" x14ac:dyDescent="0.2"/>
    <row r="3253" customFormat="1" x14ac:dyDescent="0.2"/>
    <row r="3254" customFormat="1" x14ac:dyDescent="0.2"/>
    <row r="3255" customFormat="1" x14ac:dyDescent="0.2"/>
    <row r="3256" customFormat="1" x14ac:dyDescent="0.2"/>
    <row r="3257" customFormat="1" x14ac:dyDescent="0.2"/>
    <row r="3258" customFormat="1" x14ac:dyDescent="0.2"/>
    <row r="3259" customFormat="1" x14ac:dyDescent="0.2"/>
    <row r="3260" customFormat="1" x14ac:dyDescent="0.2"/>
    <row r="3261" customFormat="1" x14ac:dyDescent="0.2"/>
    <row r="3262" customFormat="1" x14ac:dyDescent="0.2"/>
    <row r="3263" customFormat="1" x14ac:dyDescent="0.2"/>
    <row r="3264" customFormat="1" x14ac:dyDescent="0.2"/>
    <row r="3265" customFormat="1" x14ac:dyDescent="0.2"/>
    <row r="3266" customFormat="1" x14ac:dyDescent="0.2"/>
    <row r="3267" customFormat="1" x14ac:dyDescent="0.2"/>
    <row r="3268" customFormat="1" x14ac:dyDescent="0.2"/>
    <row r="3269" customFormat="1" x14ac:dyDescent="0.2"/>
    <row r="3270" customFormat="1" x14ac:dyDescent="0.2"/>
    <row r="3271" customFormat="1" x14ac:dyDescent="0.2"/>
    <row r="3272" customFormat="1" x14ac:dyDescent="0.2"/>
    <row r="3273" customFormat="1" x14ac:dyDescent="0.2"/>
    <row r="3274" customFormat="1" x14ac:dyDescent="0.2"/>
    <row r="3275" customFormat="1" x14ac:dyDescent="0.2"/>
    <row r="3276" customFormat="1" x14ac:dyDescent="0.2"/>
    <row r="3277" customFormat="1" x14ac:dyDescent="0.2"/>
    <row r="3278" customFormat="1" x14ac:dyDescent="0.2"/>
    <row r="3279" customFormat="1" x14ac:dyDescent="0.2"/>
    <row r="3280" customFormat="1" x14ac:dyDescent="0.2"/>
    <row r="3281" customFormat="1" x14ac:dyDescent="0.2"/>
    <row r="3282" customFormat="1" x14ac:dyDescent="0.2"/>
    <row r="3283" customFormat="1" x14ac:dyDescent="0.2"/>
    <row r="3284" customFormat="1" x14ac:dyDescent="0.2"/>
    <row r="3285" customFormat="1" x14ac:dyDescent="0.2"/>
    <row r="3286" customFormat="1" x14ac:dyDescent="0.2"/>
    <row r="3287" customFormat="1" x14ac:dyDescent="0.2"/>
    <row r="3288" customFormat="1" x14ac:dyDescent="0.2"/>
    <row r="3289" customFormat="1" x14ac:dyDescent="0.2"/>
    <row r="3290" customFormat="1" x14ac:dyDescent="0.2"/>
    <row r="3291" customFormat="1" x14ac:dyDescent="0.2"/>
    <row r="3292" customFormat="1" x14ac:dyDescent="0.2"/>
    <row r="3293" customFormat="1" x14ac:dyDescent="0.2"/>
    <row r="3294" customFormat="1" x14ac:dyDescent="0.2"/>
    <row r="3295" customFormat="1" x14ac:dyDescent="0.2"/>
    <row r="3296" customFormat="1" x14ac:dyDescent="0.2"/>
    <row r="3297" customFormat="1" x14ac:dyDescent="0.2"/>
    <row r="3298" customFormat="1" x14ac:dyDescent="0.2"/>
    <row r="3299" customFormat="1" x14ac:dyDescent="0.2"/>
    <row r="3300" customFormat="1" x14ac:dyDescent="0.2"/>
    <row r="3301" customFormat="1" x14ac:dyDescent="0.2"/>
    <row r="3302" customFormat="1" x14ac:dyDescent="0.2"/>
    <row r="3303" customFormat="1" x14ac:dyDescent="0.2"/>
    <row r="3304" customFormat="1" x14ac:dyDescent="0.2"/>
    <row r="3305" customFormat="1" x14ac:dyDescent="0.2"/>
    <row r="3306" customFormat="1" x14ac:dyDescent="0.2"/>
    <row r="3307" customFormat="1" x14ac:dyDescent="0.2"/>
    <row r="3308" customFormat="1" x14ac:dyDescent="0.2"/>
    <row r="3309" customFormat="1" x14ac:dyDescent="0.2"/>
    <row r="3310" customFormat="1" x14ac:dyDescent="0.2"/>
    <row r="3311" customFormat="1" x14ac:dyDescent="0.2"/>
    <row r="3312" customFormat="1" x14ac:dyDescent="0.2"/>
    <row r="3313" customFormat="1" x14ac:dyDescent="0.2"/>
    <row r="3314" customFormat="1" x14ac:dyDescent="0.2"/>
    <row r="3315" customFormat="1" x14ac:dyDescent="0.2"/>
    <row r="3316" customFormat="1" x14ac:dyDescent="0.2"/>
    <row r="3317" customFormat="1" x14ac:dyDescent="0.2"/>
    <row r="3318" customFormat="1" x14ac:dyDescent="0.2"/>
    <row r="3319" customFormat="1" x14ac:dyDescent="0.2"/>
    <row r="3320" customFormat="1" x14ac:dyDescent="0.2"/>
    <row r="3321" customFormat="1" x14ac:dyDescent="0.2"/>
    <row r="3322" customFormat="1" x14ac:dyDescent="0.2"/>
    <row r="3323" customFormat="1" x14ac:dyDescent="0.2"/>
    <row r="3324" customFormat="1" x14ac:dyDescent="0.2"/>
    <row r="3325" customFormat="1" x14ac:dyDescent="0.2"/>
    <row r="3326" customFormat="1" x14ac:dyDescent="0.2"/>
    <row r="3327" customFormat="1" x14ac:dyDescent="0.2"/>
    <row r="3328" customFormat="1" x14ac:dyDescent="0.2"/>
    <row r="3329" customFormat="1" x14ac:dyDescent="0.2"/>
    <row r="3330" customFormat="1" x14ac:dyDescent="0.2"/>
    <row r="3331" customFormat="1" x14ac:dyDescent="0.2"/>
    <row r="3332" customFormat="1" x14ac:dyDescent="0.2"/>
    <row r="3333" customFormat="1" x14ac:dyDescent="0.2"/>
    <row r="3334" customFormat="1" x14ac:dyDescent="0.2"/>
    <row r="3335" customFormat="1" x14ac:dyDescent="0.2"/>
    <row r="3336" customFormat="1" x14ac:dyDescent="0.2"/>
    <row r="3337" customFormat="1" x14ac:dyDescent="0.2"/>
    <row r="3338" customFormat="1" x14ac:dyDescent="0.2"/>
    <row r="3339" customFormat="1" x14ac:dyDescent="0.2"/>
    <row r="3340" customFormat="1" x14ac:dyDescent="0.2"/>
    <row r="3341" customFormat="1" x14ac:dyDescent="0.2"/>
    <row r="3342" customFormat="1" x14ac:dyDescent="0.2"/>
    <row r="3343" customFormat="1" x14ac:dyDescent="0.2"/>
    <row r="3344" customFormat="1" x14ac:dyDescent="0.2"/>
    <row r="3345" customFormat="1" x14ac:dyDescent="0.2"/>
    <row r="3346" customFormat="1" x14ac:dyDescent="0.2"/>
    <row r="3347" customFormat="1" x14ac:dyDescent="0.2"/>
    <row r="3348" customFormat="1" x14ac:dyDescent="0.2"/>
    <row r="3349" customFormat="1" x14ac:dyDescent="0.2"/>
    <row r="3350" customFormat="1" x14ac:dyDescent="0.2"/>
    <row r="3351" customFormat="1" x14ac:dyDescent="0.2"/>
    <row r="3352" customFormat="1" x14ac:dyDescent="0.2"/>
    <row r="3353" customFormat="1" x14ac:dyDescent="0.2"/>
    <row r="3354" customFormat="1" x14ac:dyDescent="0.2"/>
    <row r="3355" customFormat="1" x14ac:dyDescent="0.2"/>
    <row r="3356" customFormat="1" x14ac:dyDescent="0.2"/>
    <row r="3357" customFormat="1" x14ac:dyDescent="0.2"/>
    <row r="3358" customFormat="1" x14ac:dyDescent="0.2"/>
    <row r="3359" customFormat="1" x14ac:dyDescent="0.2"/>
    <row r="3360" customFormat="1" x14ac:dyDescent="0.2"/>
    <row r="3361" customFormat="1" x14ac:dyDescent="0.2"/>
    <row r="3362" customFormat="1" x14ac:dyDescent="0.2"/>
    <row r="3363" customFormat="1" x14ac:dyDescent="0.2"/>
    <row r="3364" customFormat="1" x14ac:dyDescent="0.2"/>
    <row r="3365" customFormat="1" x14ac:dyDescent="0.2"/>
    <row r="3366" customFormat="1" x14ac:dyDescent="0.2"/>
    <row r="3367" customFormat="1" x14ac:dyDescent="0.2"/>
    <row r="3368" customFormat="1" x14ac:dyDescent="0.2"/>
    <row r="3369" customFormat="1" x14ac:dyDescent="0.2"/>
    <row r="3370" customFormat="1" x14ac:dyDescent="0.2"/>
    <row r="3371" customFormat="1" x14ac:dyDescent="0.2"/>
    <row r="3372" customFormat="1" x14ac:dyDescent="0.2"/>
    <row r="3373" customFormat="1" x14ac:dyDescent="0.2"/>
    <row r="3374" customFormat="1" x14ac:dyDescent="0.2"/>
    <row r="3375" customFormat="1" x14ac:dyDescent="0.2"/>
    <row r="3376" customFormat="1" x14ac:dyDescent="0.2"/>
    <row r="3377" customFormat="1" x14ac:dyDescent="0.2"/>
    <row r="3378" customFormat="1" x14ac:dyDescent="0.2"/>
    <row r="3379" customFormat="1" x14ac:dyDescent="0.2"/>
    <row r="3380" customFormat="1" x14ac:dyDescent="0.2"/>
    <row r="3381" customFormat="1" x14ac:dyDescent="0.2"/>
    <row r="3382" customFormat="1" x14ac:dyDescent="0.2"/>
    <row r="3383" customFormat="1" x14ac:dyDescent="0.2"/>
    <row r="3384" customFormat="1" x14ac:dyDescent="0.2"/>
    <row r="3385" customFormat="1" x14ac:dyDescent="0.2"/>
    <row r="3386" customFormat="1" x14ac:dyDescent="0.2"/>
    <row r="3387" customFormat="1" x14ac:dyDescent="0.2"/>
    <row r="3388" customFormat="1" x14ac:dyDescent="0.2"/>
    <row r="3389" customFormat="1" x14ac:dyDescent="0.2"/>
    <row r="3390" customFormat="1" x14ac:dyDescent="0.2"/>
    <row r="3391" customFormat="1" x14ac:dyDescent="0.2"/>
    <row r="3392" customFormat="1" x14ac:dyDescent="0.2"/>
    <row r="3393" customFormat="1" x14ac:dyDescent="0.2"/>
    <row r="3394" customFormat="1" x14ac:dyDescent="0.2"/>
    <row r="3395" customFormat="1" x14ac:dyDescent="0.2"/>
    <row r="3396" customFormat="1" x14ac:dyDescent="0.2"/>
    <row r="3397" customFormat="1" x14ac:dyDescent="0.2"/>
    <row r="3398" customFormat="1" x14ac:dyDescent="0.2"/>
    <row r="3399" customFormat="1" x14ac:dyDescent="0.2"/>
    <row r="3400" customFormat="1" x14ac:dyDescent="0.2"/>
    <row r="3401" customFormat="1" x14ac:dyDescent="0.2"/>
    <row r="3402" customFormat="1" x14ac:dyDescent="0.2"/>
    <row r="3403" customFormat="1" x14ac:dyDescent="0.2"/>
    <row r="3404" customFormat="1" x14ac:dyDescent="0.2"/>
    <row r="3405" customFormat="1" x14ac:dyDescent="0.2"/>
    <row r="3406" customFormat="1" x14ac:dyDescent="0.2"/>
    <row r="3407" customFormat="1" x14ac:dyDescent="0.2"/>
    <row r="3408" customFormat="1" x14ac:dyDescent="0.2"/>
    <row r="3409" customFormat="1" x14ac:dyDescent="0.2"/>
    <row r="3410" customFormat="1" x14ac:dyDescent="0.2"/>
    <row r="3411" customFormat="1" x14ac:dyDescent="0.2"/>
    <row r="3412" customFormat="1" x14ac:dyDescent="0.2"/>
    <row r="3413" customFormat="1" x14ac:dyDescent="0.2"/>
    <row r="3414" customFormat="1" x14ac:dyDescent="0.2"/>
    <row r="3415" customFormat="1" x14ac:dyDescent="0.2"/>
    <row r="3416" customFormat="1" x14ac:dyDescent="0.2"/>
    <row r="3417" customFormat="1" x14ac:dyDescent="0.2"/>
    <row r="3418" customFormat="1" x14ac:dyDescent="0.2"/>
    <row r="3419" customFormat="1" x14ac:dyDescent="0.2"/>
    <row r="3420" customFormat="1" x14ac:dyDescent="0.2"/>
    <row r="3421" customFormat="1" x14ac:dyDescent="0.2"/>
    <row r="3422" customFormat="1" x14ac:dyDescent="0.2"/>
    <row r="3423" customFormat="1" x14ac:dyDescent="0.2"/>
    <row r="3424" customFormat="1" x14ac:dyDescent="0.2"/>
    <row r="3425" customFormat="1" x14ac:dyDescent="0.2"/>
    <row r="3426" customFormat="1" x14ac:dyDescent="0.2"/>
    <row r="3427" customFormat="1" x14ac:dyDescent="0.2"/>
    <row r="3428" customFormat="1" x14ac:dyDescent="0.2"/>
    <row r="3429" customFormat="1" x14ac:dyDescent="0.2"/>
    <row r="3430" customFormat="1" x14ac:dyDescent="0.2"/>
    <row r="3431" customFormat="1" x14ac:dyDescent="0.2"/>
    <row r="3432" customFormat="1" x14ac:dyDescent="0.2"/>
    <row r="3433" customFormat="1" x14ac:dyDescent="0.2"/>
    <row r="3434" customFormat="1" x14ac:dyDescent="0.2"/>
    <row r="3435" customFormat="1" x14ac:dyDescent="0.2"/>
    <row r="3436" customFormat="1" x14ac:dyDescent="0.2"/>
    <row r="3437" customFormat="1" x14ac:dyDescent="0.2"/>
    <row r="3438" customFormat="1" x14ac:dyDescent="0.2"/>
    <row r="3439" customFormat="1" x14ac:dyDescent="0.2"/>
    <row r="3440" customFormat="1" x14ac:dyDescent="0.2"/>
    <row r="3441" customFormat="1" x14ac:dyDescent="0.2"/>
    <row r="3442" customFormat="1" x14ac:dyDescent="0.2"/>
    <row r="3443" customFormat="1" x14ac:dyDescent="0.2"/>
    <row r="3444" customFormat="1" x14ac:dyDescent="0.2"/>
    <row r="3445" customFormat="1" x14ac:dyDescent="0.2"/>
    <row r="3446" customFormat="1" x14ac:dyDescent="0.2"/>
    <row r="3447" customFormat="1" x14ac:dyDescent="0.2"/>
    <row r="3448" customFormat="1" x14ac:dyDescent="0.2"/>
    <row r="3449" customFormat="1" x14ac:dyDescent="0.2"/>
    <row r="3450" customFormat="1" x14ac:dyDescent="0.2"/>
    <row r="3451" customFormat="1" x14ac:dyDescent="0.2"/>
    <row r="3452" customFormat="1" x14ac:dyDescent="0.2"/>
    <row r="3453" customFormat="1" x14ac:dyDescent="0.2"/>
    <row r="3454" customFormat="1" x14ac:dyDescent="0.2"/>
    <row r="3455" customFormat="1" x14ac:dyDescent="0.2"/>
    <row r="3456" customFormat="1" x14ac:dyDescent="0.2"/>
    <row r="3457" customFormat="1" x14ac:dyDescent="0.2"/>
    <row r="3458" customFormat="1" x14ac:dyDescent="0.2"/>
    <row r="3459" customFormat="1" x14ac:dyDescent="0.2"/>
    <row r="3460" customFormat="1" x14ac:dyDescent="0.2"/>
    <row r="3461" customFormat="1" x14ac:dyDescent="0.2"/>
    <row r="3462" customFormat="1" x14ac:dyDescent="0.2"/>
    <row r="3463" customFormat="1" x14ac:dyDescent="0.2"/>
    <row r="3464" customFormat="1" x14ac:dyDescent="0.2"/>
    <row r="3465" customFormat="1" x14ac:dyDescent="0.2"/>
    <row r="3466" customFormat="1" x14ac:dyDescent="0.2"/>
    <row r="3467" customFormat="1" x14ac:dyDescent="0.2"/>
    <row r="3468" customFormat="1" x14ac:dyDescent="0.2"/>
    <row r="3469" customFormat="1" x14ac:dyDescent="0.2"/>
    <row r="3470" customFormat="1" x14ac:dyDescent="0.2"/>
    <row r="3471" customFormat="1" x14ac:dyDescent="0.2"/>
    <row r="3472" customFormat="1" x14ac:dyDescent="0.2"/>
    <row r="3473" customFormat="1" x14ac:dyDescent="0.2"/>
    <row r="3474" customFormat="1" x14ac:dyDescent="0.2"/>
    <row r="3475" customFormat="1" x14ac:dyDescent="0.2"/>
    <row r="3476" customFormat="1" x14ac:dyDescent="0.2"/>
    <row r="3477" customFormat="1" x14ac:dyDescent="0.2"/>
    <row r="3478" customFormat="1" x14ac:dyDescent="0.2"/>
    <row r="3479" customFormat="1" x14ac:dyDescent="0.2"/>
    <row r="3480" customFormat="1" x14ac:dyDescent="0.2"/>
    <row r="3481" customFormat="1" x14ac:dyDescent="0.2"/>
    <row r="3482" customFormat="1" x14ac:dyDescent="0.2"/>
    <row r="3483" customFormat="1" x14ac:dyDescent="0.2"/>
    <row r="3484" customFormat="1" x14ac:dyDescent="0.2"/>
    <row r="3485" customFormat="1" x14ac:dyDescent="0.2"/>
    <row r="3486" customFormat="1" x14ac:dyDescent="0.2"/>
    <row r="3487" customFormat="1" x14ac:dyDescent="0.2"/>
    <row r="3488" customFormat="1" x14ac:dyDescent="0.2"/>
    <row r="3489" customFormat="1" x14ac:dyDescent="0.2"/>
    <row r="3490" customFormat="1" x14ac:dyDescent="0.2"/>
    <row r="3491" customFormat="1" x14ac:dyDescent="0.2"/>
    <row r="3492" customFormat="1" x14ac:dyDescent="0.2"/>
    <row r="3493" customFormat="1" x14ac:dyDescent="0.2"/>
    <row r="3494" customFormat="1" x14ac:dyDescent="0.2"/>
    <row r="3495" customFormat="1" x14ac:dyDescent="0.2"/>
    <row r="3496" customFormat="1" x14ac:dyDescent="0.2"/>
    <row r="3497" customFormat="1" x14ac:dyDescent="0.2"/>
    <row r="3498" customFormat="1" x14ac:dyDescent="0.2"/>
    <row r="3499" customFormat="1" x14ac:dyDescent="0.2"/>
    <row r="3500" customFormat="1" x14ac:dyDescent="0.2"/>
    <row r="3501" customFormat="1" x14ac:dyDescent="0.2"/>
    <row r="3502" customFormat="1" x14ac:dyDescent="0.2"/>
    <row r="3503" customFormat="1" x14ac:dyDescent="0.2"/>
    <row r="3504" customFormat="1" x14ac:dyDescent="0.2"/>
    <row r="3505" customFormat="1" x14ac:dyDescent="0.2"/>
    <row r="3506" customFormat="1" x14ac:dyDescent="0.2"/>
    <row r="3507" customFormat="1" x14ac:dyDescent="0.2"/>
    <row r="3508" customFormat="1" x14ac:dyDescent="0.2"/>
    <row r="3509" customFormat="1" x14ac:dyDescent="0.2"/>
    <row r="3510" customFormat="1" x14ac:dyDescent="0.2"/>
    <row r="3511" customFormat="1" x14ac:dyDescent="0.2"/>
    <row r="3512" customFormat="1" x14ac:dyDescent="0.2"/>
    <row r="3513" customFormat="1" x14ac:dyDescent="0.2"/>
    <row r="3514" customFormat="1" x14ac:dyDescent="0.2"/>
    <row r="3515" customFormat="1" x14ac:dyDescent="0.2"/>
    <row r="3516" customFormat="1" x14ac:dyDescent="0.2"/>
    <row r="3517" customFormat="1" x14ac:dyDescent="0.2"/>
    <row r="3518" customFormat="1" x14ac:dyDescent="0.2"/>
    <row r="3519" customFormat="1" x14ac:dyDescent="0.2"/>
    <row r="3520" customFormat="1" x14ac:dyDescent="0.2"/>
    <row r="3521" customFormat="1" x14ac:dyDescent="0.2"/>
    <row r="3522" customFormat="1" x14ac:dyDescent="0.2"/>
    <row r="3523" customFormat="1" x14ac:dyDescent="0.2"/>
    <row r="3524" customFormat="1" x14ac:dyDescent="0.2"/>
    <row r="3525" customFormat="1" x14ac:dyDescent="0.2"/>
    <row r="3526" customFormat="1" x14ac:dyDescent="0.2"/>
    <row r="3527" customFormat="1" x14ac:dyDescent="0.2"/>
    <row r="3528" customFormat="1" x14ac:dyDescent="0.2"/>
    <row r="3529" customFormat="1" x14ac:dyDescent="0.2"/>
    <row r="3530" customFormat="1" x14ac:dyDescent="0.2"/>
    <row r="3531" customFormat="1" x14ac:dyDescent="0.2"/>
    <row r="3532" customFormat="1" x14ac:dyDescent="0.2"/>
    <row r="3533" customFormat="1" x14ac:dyDescent="0.2"/>
    <row r="3534" customFormat="1" x14ac:dyDescent="0.2"/>
    <row r="3535" customFormat="1" x14ac:dyDescent="0.2"/>
    <row r="3536" customFormat="1" x14ac:dyDescent="0.2"/>
    <row r="3537" customFormat="1" x14ac:dyDescent="0.2"/>
    <row r="3538" customFormat="1" x14ac:dyDescent="0.2"/>
    <row r="3539" customFormat="1" x14ac:dyDescent="0.2"/>
    <row r="3540" customFormat="1" x14ac:dyDescent="0.2"/>
    <row r="3541" customFormat="1" x14ac:dyDescent="0.2"/>
    <row r="3542" customFormat="1" x14ac:dyDescent="0.2"/>
    <row r="3543" customFormat="1" x14ac:dyDescent="0.2"/>
    <row r="3544" customFormat="1" x14ac:dyDescent="0.2"/>
    <row r="3545" customFormat="1" x14ac:dyDescent="0.2"/>
    <row r="3546" customFormat="1" x14ac:dyDescent="0.2"/>
    <row r="3547" customFormat="1" x14ac:dyDescent="0.2"/>
    <row r="3548" customFormat="1" x14ac:dyDescent="0.2"/>
    <row r="3549" customFormat="1" x14ac:dyDescent="0.2"/>
    <row r="3550" customFormat="1" x14ac:dyDescent="0.2"/>
    <row r="3551" customFormat="1" x14ac:dyDescent="0.2"/>
    <row r="3552" customFormat="1" x14ac:dyDescent="0.2"/>
    <row r="3553" customFormat="1" x14ac:dyDescent="0.2"/>
    <row r="3554" customFormat="1" x14ac:dyDescent="0.2"/>
    <row r="3555" customFormat="1" x14ac:dyDescent="0.2"/>
    <row r="3556" customFormat="1" x14ac:dyDescent="0.2"/>
    <row r="3557" customFormat="1" x14ac:dyDescent="0.2"/>
    <row r="3558" customFormat="1" x14ac:dyDescent="0.2"/>
    <row r="3559" customFormat="1" x14ac:dyDescent="0.2"/>
    <row r="3560" customFormat="1" x14ac:dyDescent="0.2"/>
    <row r="3561" customFormat="1" x14ac:dyDescent="0.2"/>
    <row r="3562" customFormat="1" x14ac:dyDescent="0.2"/>
    <row r="3563" customFormat="1" x14ac:dyDescent="0.2"/>
    <row r="3564" customFormat="1" x14ac:dyDescent="0.2"/>
    <row r="3565" customFormat="1" x14ac:dyDescent="0.2"/>
    <row r="3566" customFormat="1" x14ac:dyDescent="0.2"/>
    <row r="3567" customFormat="1" x14ac:dyDescent="0.2"/>
    <row r="3568" customFormat="1" x14ac:dyDescent="0.2"/>
    <row r="3569" customFormat="1" x14ac:dyDescent="0.2"/>
    <row r="3570" customFormat="1" x14ac:dyDescent="0.2"/>
    <row r="3571" customFormat="1" x14ac:dyDescent="0.2"/>
    <row r="3572" customFormat="1" x14ac:dyDescent="0.2"/>
    <row r="3573" customFormat="1" x14ac:dyDescent="0.2"/>
    <row r="3574" customFormat="1" x14ac:dyDescent="0.2"/>
    <row r="3575" customFormat="1" x14ac:dyDescent="0.2"/>
    <row r="3576" customFormat="1" x14ac:dyDescent="0.2"/>
    <row r="3577" customFormat="1" x14ac:dyDescent="0.2"/>
    <row r="3578" customFormat="1" x14ac:dyDescent="0.2"/>
    <row r="3579" customFormat="1" x14ac:dyDescent="0.2"/>
    <row r="3580" customFormat="1" x14ac:dyDescent="0.2"/>
    <row r="3581" customFormat="1" x14ac:dyDescent="0.2"/>
    <row r="3582" customFormat="1" x14ac:dyDescent="0.2"/>
    <row r="3583" customFormat="1" x14ac:dyDescent="0.2"/>
    <row r="3584" customFormat="1" x14ac:dyDescent="0.2"/>
    <row r="3585" customFormat="1" x14ac:dyDescent="0.2"/>
    <row r="3586" customFormat="1" x14ac:dyDescent="0.2"/>
    <row r="3587" customFormat="1" x14ac:dyDescent="0.2"/>
    <row r="3588" customFormat="1" x14ac:dyDescent="0.2"/>
    <row r="3589" customFormat="1" x14ac:dyDescent="0.2"/>
    <row r="3590" customFormat="1" x14ac:dyDescent="0.2"/>
    <row r="3591" customFormat="1" x14ac:dyDescent="0.2"/>
    <row r="3592" customFormat="1" x14ac:dyDescent="0.2"/>
    <row r="3593" customFormat="1" x14ac:dyDescent="0.2"/>
    <row r="3594" customFormat="1" x14ac:dyDescent="0.2"/>
    <row r="3595" customFormat="1" x14ac:dyDescent="0.2"/>
    <row r="3596" customFormat="1" x14ac:dyDescent="0.2"/>
    <row r="3597" customFormat="1" x14ac:dyDescent="0.2"/>
    <row r="3598" customFormat="1" x14ac:dyDescent="0.2"/>
    <row r="3599" customFormat="1" x14ac:dyDescent="0.2"/>
    <row r="3600" customFormat="1" x14ac:dyDescent="0.2"/>
    <row r="3601" customFormat="1" x14ac:dyDescent="0.2"/>
    <row r="3602" customFormat="1" x14ac:dyDescent="0.2"/>
    <row r="3603" customFormat="1" x14ac:dyDescent="0.2"/>
    <row r="3604" customFormat="1" x14ac:dyDescent="0.2"/>
    <row r="3605" customFormat="1" x14ac:dyDescent="0.2"/>
    <row r="3606" customFormat="1" x14ac:dyDescent="0.2"/>
    <row r="3607" customFormat="1" x14ac:dyDescent="0.2"/>
    <row r="3608" customFormat="1" x14ac:dyDescent="0.2"/>
    <row r="3609" customFormat="1" x14ac:dyDescent="0.2"/>
    <row r="3610" customFormat="1" x14ac:dyDescent="0.2"/>
    <row r="3611" customFormat="1" x14ac:dyDescent="0.2"/>
    <row r="3612" customFormat="1" x14ac:dyDescent="0.2"/>
    <row r="3613" customFormat="1" x14ac:dyDescent="0.2"/>
    <row r="3614" customFormat="1" x14ac:dyDescent="0.2"/>
    <row r="3615" customFormat="1" x14ac:dyDescent="0.2"/>
    <row r="3616" customFormat="1" x14ac:dyDescent="0.2"/>
    <row r="3617" customFormat="1" x14ac:dyDescent="0.2"/>
    <row r="3618" customFormat="1" x14ac:dyDescent="0.2"/>
    <row r="3619" customFormat="1" x14ac:dyDescent="0.2"/>
    <row r="3620" customFormat="1" x14ac:dyDescent="0.2"/>
    <row r="3621" customFormat="1" x14ac:dyDescent="0.2"/>
    <row r="3622" customFormat="1" x14ac:dyDescent="0.2"/>
    <row r="3623" customFormat="1" x14ac:dyDescent="0.2"/>
    <row r="3624" customFormat="1" x14ac:dyDescent="0.2"/>
    <row r="3625" customFormat="1" x14ac:dyDescent="0.2"/>
    <row r="3626" customFormat="1" x14ac:dyDescent="0.2"/>
    <row r="3627" customFormat="1" x14ac:dyDescent="0.2"/>
    <row r="3628" customFormat="1" x14ac:dyDescent="0.2"/>
    <row r="3629" customFormat="1" x14ac:dyDescent="0.2"/>
    <row r="3630" customFormat="1" x14ac:dyDescent="0.2"/>
    <row r="3631" customFormat="1" x14ac:dyDescent="0.2"/>
    <row r="3632" customFormat="1" x14ac:dyDescent="0.2"/>
    <row r="3633" customFormat="1" x14ac:dyDescent="0.2"/>
    <row r="3634" customFormat="1" x14ac:dyDescent="0.2"/>
    <row r="3635" customFormat="1" x14ac:dyDescent="0.2"/>
    <row r="3636" customFormat="1" x14ac:dyDescent="0.2"/>
    <row r="3637" customFormat="1" x14ac:dyDescent="0.2"/>
    <row r="3638" customFormat="1" x14ac:dyDescent="0.2"/>
    <row r="3639" customFormat="1" x14ac:dyDescent="0.2"/>
    <row r="3640" customFormat="1" x14ac:dyDescent="0.2"/>
    <row r="3641" customFormat="1" x14ac:dyDescent="0.2"/>
    <row r="3642" customFormat="1" x14ac:dyDescent="0.2"/>
    <row r="3643" customFormat="1" x14ac:dyDescent="0.2"/>
    <row r="3644" customFormat="1" x14ac:dyDescent="0.2"/>
    <row r="3645" customFormat="1" x14ac:dyDescent="0.2"/>
    <row r="3646" customFormat="1" x14ac:dyDescent="0.2"/>
    <row r="3647" customFormat="1" x14ac:dyDescent="0.2"/>
    <row r="3648" customFormat="1" x14ac:dyDescent="0.2"/>
    <row r="3649" customFormat="1" x14ac:dyDescent="0.2"/>
    <row r="3650" customFormat="1" x14ac:dyDescent="0.2"/>
    <row r="3651" customFormat="1" x14ac:dyDescent="0.2"/>
    <row r="3652" customFormat="1" x14ac:dyDescent="0.2"/>
    <row r="3653" customFormat="1" x14ac:dyDescent="0.2"/>
    <row r="3654" customFormat="1" x14ac:dyDescent="0.2"/>
    <row r="3655" customFormat="1" x14ac:dyDescent="0.2"/>
    <row r="3656" customFormat="1" x14ac:dyDescent="0.2"/>
    <row r="3657" customFormat="1" x14ac:dyDescent="0.2"/>
    <row r="3658" customFormat="1" x14ac:dyDescent="0.2"/>
    <row r="3659" customFormat="1" x14ac:dyDescent="0.2"/>
    <row r="3660" customFormat="1" x14ac:dyDescent="0.2"/>
    <row r="3661" customFormat="1" x14ac:dyDescent="0.2"/>
    <row r="3662" customFormat="1" x14ac:dyDescent="0.2"/>
    <row r="3663" customFormat="1" x14ac:dyDescent="0.2"/>
    <row r="3664" customFormat="1" x14ac:dyDescent="0.2"/>
    <row r="3665" customFormat="1" x14ac:dyDescent="0.2"/>
    <row r="3666" customFormat="1" x14ac:dyDescent="0.2"/>
    <row r="3667" customFormat="1" x14ac:dyDescent="0.2"/>
    <row r="3668" customFormat="1" x14ac:dyDescent="0.2"/>
    <row r="3669" customFormat="1" x14ac:dyDescent="0.2"/>
    <row r="3670" customFormat="1" x14ac:dyDescent="0.2"/>
    <row r="3671" customFormat="1" x14ac:dyDescent="0.2"/>
    <row r="3672" customFormat="1" x14ac:dyDescent="0.2"/>
    <row r="3673" customFormat="1" x14ac:dyDescent="0.2"/>
    <row r="3674" customFormat="1" x14ac:dyDescent="0.2"/>
    <row r="3675" customFormat="1" x14ac:dyDescent="0.2"/>
    <row r="3676" customFormat="1" x14ac:dyDescent="0.2"/>
    <row r="3677" customFormat="1" x14ac:dyDescent="0.2"/>
    <row r="3678" customFormat="1" x14ac:dyDescent="0.2"/>
    <row r="3679" customFormat="1" x14ac:dyDescent="0.2"/>
    <row r="3680" customFormat="1" x14ac:dyDescent="0.2"/>
    <row r="3681" customFormat="1" x14ac:dyDescent="0.2"/>
    <row r="3682" customFormat="1" x14ac:dyDescent="0.2"/>
    <row r="3683" customFormat="1" x14ac:dyDescent="0.2"/>
    <row r="3684" customFormat="1" x14ac:dyDescent="0.2"/>
    <row r="3685" customFormat="1" x14ac:dyDescent="0.2"/>
    <row r="3686" customFormat="1" x14ac:dyDescent="0.2"/>
    <row r="3687" customFormat="1" x14ac:dyDescent="0.2"/>
    <row r="3688" customFormat="1" x14ac:dyDescent="0.2"/>
    <row r="3689" customFormat="1" x14ac:dyDescent="0.2"/>
    <row r="3690" customFormat="1" x14ac:dyDescent="0.2"/>
    <row r="3691" customFormat="1" x14ac:dyDescent="0.2"/>
    <row r="3692" customFormat="1" x14ac:dyDescent="0.2"/>
    <row r="3693" customFormat="1" x14ac:dyDescent="0.2"/>
    <row r="3694" customFormat="1" x14ac:dyDescent="0.2"/>
    <row r="3695" customFormat="1" x14ac:dyDescent="0.2"/>
    <row r="3696" customFormat="1" x14ac:dyDescent="0.2"/>
    <row r="3697" customFormat="1" x14ac:dyDescent="0.2"/>
    <row r="3698" customFormat="1" x14ac:dyDescent="0.2"/>
    <row r="3699" customFormat="1" x14ac:dyDescent="0.2"/>
    <row r="3700" customFormat="1" x14ac:dyDescent="0.2"/>
    <row r="3701" customFormat="1" x14ac:dyDescent="0.2"/>
    <row r="3702" customFormat="1" x14ac:dyDescent="0.2"/>
    <row r="3703" customFormat="1" x14ac:dyDescent="0.2"/>
    <row r="3704" customFormat="1" x14ac:dyDescent="0.2"/>
    <row r="3705" customFormat="1" x14ac:dyDescent="0.2"/>
    <row r="3706" customFormat="1" x14ac:dyDescent="0.2"/>
    <row r="3707" customFormat="1" x14ac:dyDescent="0.2"/>
    <row r="3708" customFormat="1" x14ac:dyDescent="0.2"/>
    <row r="3709" customFormat="1" x14ac:dyDescent="0.2"/>
    <row r="3710" customFormat="1" x14ac:dyDescent="0.2"/>
    <row r="3711" customFormat="1" x14ac:dyDescent="0.2"/>
    <row r="3712" customFormat="1" x14ac:dyDescent="0.2"/>
    <row r="3713" customFormat="1" x14ac:dyDescent="0.2"/>
    <row r="3714" customFormat="1" x14ac:dyDescent="0.2"/>
    <row r="3715" customFormat="1" x14ac:dyDescent="0.2"/>
    <row r="3716" customFormat="1" x14ac:dyDescent="0.2"/>
    <row r="3717" customFormat="1" x14ac:dyDescent="0.2"/>
    <row r="3718" customFormat="1" x14ac:dyDescent="0.2"/>
    <row r="3719" customFormat="1" x14ac:dyDescent="0.2"/>
    <row r="3720" customFormat="1" x14ac:dyDescent="0.2"/>
    <row r="3721" customFormat="1" x14ac:dyDescent="0.2"/>
    <row r="3722" customFormat="1" x14ac:dyDescent="0.2"/>
    <row r="3723" customFormat="1" x14ac:dyDescent="0.2"/>
    <row r="3724" customFormat="1" x14ac:dyDescent="0.2"/>
    <row r="3725" customFormat="1" x14ac:dyDescent="0.2"/>
    <row r="3726" customFormat="1" x14ac:dyDescent="0.2"/>
    <row r="3727" customFormat="1" x14ac:dyDescent="0.2"/>
    <row r="3728" customFormat="1" x14ac:dyDescent="0.2"/>
    <row r="3729" customFormat="1" x14ac:dyDescent="0.2"/>
    <row r="3730" customFormat="1" x14ac:dyDescent="0.2"/>
    <row r="3731" customFormat="1" x14ac:dyDescent="0.2"/>
    <row r="3732" customFormat="1" x14ac:dyDescent="0.2"/>
    <row r="3733" customFormat="1" x14ac:dyDescent="0.2"/>
    <row r="3734" customFormat="1" x14ac:dyDescent="0.2"/>
    <row r="3735" customFormat="1" x14ac:dyDescent="0.2"/>
    <row r="3736" customFormat="1" x14ac:dyDescent="0.2"/>
    <row r="3737" customFormat="1" x14ac:dyDescent="0.2"/>
    <row r="3738" customFormat="1" x14ac:dyDescent="0.2"/>
    <row r="3739" customFormat="1" x14ac:dyDescent="0.2"/>
    <row r="3740" customFormat="1" x14ac:dyDescent="0.2"/>
    <row r="3741" customFormat="1" x14ac:dyDescent="0.2"/>
    <row r="3742" customFormat="1" x14ac:dyDescent="0.2"/>
    <row r="3743" customFormat="1" x14ac:dyDescent="0.2"/>
    <row r="3744" customFormat="1" x14ac:dyDescent="0.2"/>
    <row r="3745" customFormat="1" x14ac:dyDescent="0.2"/>
    <row r="3746" customFormat="1" x14ac:dyDescent="0.2"/>
    <row r="3747" customFormat="1" x14ac:dyDescent="0.2"/>
    <row r="3748" customFormat="1" x14ac:dyDescent="0.2"/>
    <row r="3749" customFormat="1" x14ac:dyDescent="0.2"/>
    <row r="3750" customFormat="1" x14ac:dyDescent="0.2"/>
    <row r="3751" customFormat="1" x14ac:dyDescent="0.2"/>
    <row r="3752" customFormat="1" x14ac:dyDescent="0.2"/>
    <row r="3753" customFormat="1" x14ac:dyDescent="0.2"/>
    <row r="3754" customFormat="1" x14ac:dyDescent="0.2"/>
    <row r="3755" customFormat="1" x14ac:dyDescent="0.2"/>
    <row r="3756" customFormat="1" x14ac:dyDescent="0.2"/>
    <row r="3757" customFormat="1" x14ac:dyDescent="0.2"/>
    <row r="3758" customFormat="1" x14ac:dyDescent="0.2"/>
    <row r="3759" customFormat="1" x14ac:dyDescent="0.2"/>
    <row r="3760" customFormat="1" x14ac:dyDescent="0.2"/>
    <row r="3761" customFormat="1" x14ac:dyDescent="0.2"/>
    <row r="3762" customFormat="1" x14ac:dyDescent="0.2"/>
    <row r="3763" customFormat="1" x14ac:dyDescent="0.2"/>
    <row r="3764" customFormat="1" x14ac:dyDescent="0.2"/>
    <row r="3765" customFormat="1" x14ac:dyDescent="0.2"/>
    <row r="3766" customFormat="1" x14ac:dyDescent="0.2"/>
    <row r="3767" customFormat="1" x14ac:dyDescent="0.2"/>
    <row r="3768" customFormat="1" x14ac:dyDescent="0.2"/>
    <row r="3769" customFormat="1" x14ac:dyDescent="0.2"/>
    <row r="3770" customFormat="1" x14ac:dyDescent="0.2"/>
    <row r="3771" customFormat="1" x14ac:dyDescent="0.2"/>
    <row r="3772" customFormat="1" x14ac:dyDescent="0.2"/>
    <row r="3773" customFormat="1" x14ac:dyDescent="0.2"/>
    <row r="3774" customFormat="1" x14ac:dyDescent="0.2"/>
    <row r="3775" customFormat="1" x14ac:dyDescent="0.2"/>
    <row r="3776" customFormat="1" x14ac:dyDescent="0.2"/>
    <row r="3777" customFormat="1" x14ac:dyDescent="0.2"/>
    <row r="3778" customFormat="1" x14ac:dyDescent="0.2"/>
    <row r="3779" customFormat="1" x14ac:dyDescent="0.2"/>
    <row r="3780" customFormat="1" x14ac:dyDescent="0.2"/>
    <row r="3781" customFormat="1" x14ac:dyDescent="0.2"/>
    <row r="3782" customFormat="1" x14ac:dyDescent="0.2"/>
    <row r="3783" customFormat="1" x14ac:dyDescent="0.2"/>
    <row r="3784" customFormat="1" x14ac:dyDescent="0.2"/>
    <row r="3785" customFormat="1" x14ac:dyDescent="0.2"/>
    <row r="3786" customFormat="1" x14ac:dyDescent="0.2"/>
    <row r="3787" customFormat="1" x14ac:dyDescent="0.2"/>
    <row r="3788" customFormat="1" x14ac:dyDescent="0.2"/>
    <row r="3789" customFormat="1" x14ac:dyDescent="0.2"/>
    <row r="3790" customFormat="1" x14ac:dyDescent="0.2"/>
    <row r="3791" customFormat="1" x14ac:dyDescent="0.2"/>
    <row r="3792" customFormat="1" x14ac:dyDescent="0.2"/>
    <row r="3793" customFormat="1" x14ac:dyDescent="0.2"/>
    <row r="3794" customFormat="1" x14ac:dyDescent="0.2"/>
    <row r="3795" customFormat="1" x14ac:dyDescent="0.2"/>
    <row r="3796" customFormat="1" x14ac:dyDescent="0.2"/>
    <row r="3797" customFormat="1" x14ac:dyDescent="0.2"/>
    <row r="3798" customFormat="1" x14ac:dyDescent="0.2"/>
    <row r="3799" customFormat="1" x14ac:dyDescent="0.2"/>
    <row r="3800" customFormat="1" x14ac:dyDescent="0.2"/>
    <row r="3801" customFormat="1" x14ac:dyDescent="0.2"/>
    <row r="3802" customFormat="1" x14ac:dyDescent="0.2"/>
    <row r="3803" customFormat="1" x14ac:dyDescent="0.2"/>
    <row r="3804" customFormat="1" x14ac:dyDescent="0.2"/>
    <row r="3805" customFormat="1" x14ac:dyDescent="0.2"/>
    <row r="3806" customFormat="1" x14ac:dyDescent="0.2"/>
    <row r="3807" customFormat="1" x14ac:dyDescent="0.2"/>
    <row r="3808" customFormat="1" x14ac:dyDescent="0.2"/>
    <row r="3809" customFormat="1" x14ac:dyDescent="0.2"/>
    <row r="3810" customFormat="1" x14ac:dyDescent="0.2"/>
    <row r="3811" customFormat="1" x14ac:dyDescent="0.2"/>
    <row r="3812" customFormat="1" x14ac:dyDescent="0.2"/>
    <row r="3813" customFormat="1" x14ac:dyDescent="0.2"/>
    <row r="3814" customFormat="1" x14ac:dyDescent="0.2"/>
    <row r="3815" customFormat="1" x14ac:dyDescent="0.2"/>
    <row r="3816" customFormat="1" x14ac:dyDescent="0.2"/>
    <row r="3817" customFormat="1" x14ac:dyDescent="0.2"/>
    <row r="3818" customFormat="1" x14ac:dyDescent="0.2"/>
    <row r="3819" customFormat="1" x14ac:dyDescent="0.2"/>
    <row r="3820" customFormat="1" x14ac:dyDescent="0.2"/>
    <row r="3821" customFormat="1" x14ac:dyDescent="0.2"/>
    <row r="3822" customFormat="1" x14ac:dyDescent="0.2"/>
    <row r="3823" customFormat="1" x14ac:dyDescent="0.2"/>
    <row r="3824" customFormat="1" x14ac:dyDescent="0.2"/>
    <row r="3825" customFormat="1" x14ac:dyDescent="0.2"/>
    <row r="3826" customFormat="1" x14ac:dyDescent="0.2"/>
    <row r="3827" customFormat="1" x14ac:dyDescent="0.2"/>
    <row r="3828" customFormat="1" x14ac:dyDescent="0.2"/>
    <row r="3829" customFormat="1" x14ac:dyDescent="0.2"/>
    <row r="3830" customFormat="1" x14ac:dyDescent="0.2"/>
    <row r="3831" customFormat="1" x14ac:dyDescent="0.2"/>
    <row r="3832" customFormat="1" x14ac:dyDescent="0.2"/>
    <row r="3833" customFormat="1" x14ac:dyDescent="0.2"/>
    <row r="3834" customFormat="1" x14ac:dyDescent="0.2"/>
    <row r="3835" customFormat="1" x14ac:dyDescent="0.2"/>
    <row r="3836" customFormat="1" x14ac:dyDescent="0.2"/>
    <row r="3837" customFormat="1" x14ac:dyDescent="0.2"/>
    <row r="3838" customFormat="1" x14ac:dyDescent="0.2"/>
    <row r="3839" customFormat="1" x14ac:dyDescent="0.2"/>
    <row r="3840" customFormat="1" x14ac:dyDescent="0.2"/>
    <row r="3841" customFormat="1" x14ac:dyDescent="0.2"/>
    <row r="3842" customFormat="1" x14ac:dyDescent="0.2"/>
    <row r="3843" customFormat="1" x14ac:dyDescent="0.2"/>
    <row r="3844" customFormat="1" x14ac:dyDescent="0.2"/>
    <row r="3845" customFormat="1" x14ac:dyDescent="0.2"/>
    <row r="3846" customFormat="1" x14ac:dyDescent="0.2"/>
    <row r="3847" customFormat="1" x14ac:dyDescent="0.2"/>
    <row r="3848" customFormat="1" x14ac:dyDescent="0.2"/>
    <row r="3849" customFormat="1" x14ac:dyDescent="0.2"/>
    <row r="3850" customFormat="1" x14ac:dyDescent="0.2"/>
    <row r="3851" customFormat="1" x14ac:dyDescent="0.2"/>
    <row r="3852" customFormat="1" x14ac:dyDescent="0.2"/>
    <row r="3853" customFormat="1" x14ac:dyDescent="0.2"/>
    <row r="3854" customFormat="1" x14ac:dyDescent="0.2"/>
    <row r="3855" customFormat="1" x14ac:dyDescent="0.2"/>
    <row r="3856" customFormat="1" x14ac:dyDescent="0.2"/>
    <row r="3857" customFormat="1" x14ac:dyDescent="0.2"/>
    <row r="3858" customFormat="1" x14ac:dyDescent="0.2"/>
    <row r="3859" customFormat="1" x14ac:dyDescent="0.2"/>
    <row r="3860" customFormat="1" x14ac:dyDescent="0.2"/>
    <row r="3861" customFormat="1" x14ac:dyDescent="0.2"/>
    <row r="3862" customFormat="1" x14ac:dyDescent="0.2"/>
    <row r="3863" customFormat="1" x14ac:dyDescent="0.2"/>
    <row r="3864" customFormat="1" x14ac:dyDescent="0.2"/>
    <row r="3865" customFormat="1" x14ac:dyDescent="0.2"/>
    <row r="3866" customFormat="1" x14ac:dyDescent="0.2"/>
    <row r="3867" customFormat="1" x14ac:dyDescent="0.2"/>
    <row r="3868" customFormat="1" x14ac:dyDescent="0.2"/>
    <row r="3869" customFormat="1" x14ac:dyDescent="0.2"/>
    <row r="3870" customFormat="1" x14ac:dyDescent="0.2"/>
    <row r="3871" customFormat="1" x14ac:dyDescent="0.2"/>
    <row r="3872" customFormat="1" x14ac:dyDescent="0.2"/>
    <row r="3873" customFormat="1" x14ac:dyDescent="0.2"/>
    <row r="3874" customFormat="1" x14ac:dyDescent="0.2"/>
    <row r="3875" customFormat="1" x14ac:dyDescent="0.2"/>
    <row r="3876" customFormat="1" x14ac:dyDescent="0.2"/>
    <row r="3877" customFormat="1" x14ac:dyDescent="0.2"/>
    <row r="3878" customFormat="1" x14ac:dyDescent="0.2"/>
    <row r="3879" customFormat="1" x14ac:dyDescent="0.2"/>
    <row r="3880" customFormat="1" x14ac:dyDescent="0.2"/>
    <row r="3881" customFormat="1" x14ac:dyDescent="0.2"/>
    <row r="3882" customFormat="1" x14ac:dyDescent="0.2"/>
    <row r="3883" customFormat="1" x14ac:dyDescent="0.2"/>
    <row r="3884" customFormat="1" x14ac:dyDescent="0.2"/>
    <row r="3885" customFormat="1" x14ac:dyDescent="0.2"/>
    <row r="3886" customFormat="1" x14ac:dyDescent="0.2"/>
    <row r="3887" customFormat="1" x14ac:dyDescent="0.2"/>
    <row r="3888" customFormat="1" x14ac:dyDescent="0.2"/>
    <row r="3889" customFormat="1" x14ac:dyDescent="0.2"/>
    <row r="3890" customFormat="1" x14ac:dyDescent="0.2"/>
    <row r="3891" customFormat="1" x14ac:dyDescent="0.2"/>
    <row r="3892" customFormat="1" x14ac:dyDescent="0.2"/>
    <row r="3893" customFormat="1" x14ac:dyDescent="0.2"/>
    <row r="3894" customFormat="1" x14ac:dyDescent="0.2"/>
    <row r="3895" customFormat="1" x14ac:dyDescent="0.2"/>
    <row r="3896" customFormat="1" x14ac:dyDescent="0.2"/>
    <row r="3897" customFormat="1" x14ac:dyDescent="0.2"/>
    <row r="3898" customFormat="1" x14ac:dyDescent="0.2"/>
    <row r="3899" customFormat="1" x14ac:dyDescent="0.2"/>
    <row r="3900" customFormat="1" x14ac:dyDescent="0.2"/>
    <row r="3901" customFormat="1" x14ac:dyDescent="0.2"/>
    <row r="3902" customFormat="1" x14ac:dyDescent="0.2"/>
    <row r="3903" customFormat="1" x14ac:dyDescent="0.2"/>
    <row r="3904" customFormat="1" x14ac:dyDescent="0.2"/>
    <row r="3905" customFormat="1" x14ac:dyDescent="0.2"/>
    <row r="3906" customFormat="1" x14ac:dyDescent="0.2"/>
    <row r="3907" customFormat="1" x14ac:dyDescent="0.2"/>
    <row r="3908" customFormat="1" x14ac:dyDescent="0.2"/>
    <row r="3909" customFormat="1" x14ac:dyDescent="0.2"/>
    <row r="3910" customFormat="1" x14ac:dyDescent="0.2"/>
    <row r="3911" customFormat="1" x14ac:dyDescent="0.2"/>
    <row r="3912" customFormat="1" x14ac:dyDescent="0.2"/>
    <row r="3913" customFormat="1" x14ac:dyDescent="0.2"/>
    <row r="3914" customFormat="1" x14ac:dyDescent="0.2"/>
    <row r="3915" customFormat="1" x14ac:dyDescent="0.2"/>
    <row r="3916" customFormat="1" x14ac:dyDescent="0.2"/>
    <row r="3917" customFormat="1" x14ac:dyDescent="0.2"/>
    <row r="3918" customFormat="1" x14ac:dyDescent="0.2"/>
    <row r="3919" customFormat="1" x14ac:dyDescent="0.2"/>
    <row r="3920" customFormat="1" x14ac:dyDescent="0.2"/>
    <row r="3921" customFormat="1" x14ac:dyDescent="0.2"/>
    <row r="3922" customFormat="1" x14ac:dyDescent="0.2"/>
    <row r="3923" customFormat="1" x14ac:dyDescent="0.2"/>
    <row r="3924" customFormat="1" x14ac:dyDescent="0.2"/>
    <row r="3925" customFormat="1" x14ac:dyDescent="0.2"/>
    <row r="3926" customFormat="1" x14ac:dyDescent="0.2"/>
    <row r="3927" customFormat="1" x14ac:dyDescent="0.2"/>
    <row r="3928" customFormat="1" x14ac:dyDescent="0.2"/>
    <row r="3929" customFormat="1" x14ac:dyDescent="0.2"/>
    <row r="3930" customFormat="1" x14ac:dyDescent="0.2"/>
    <row r="3931" customFormat="1" x14ac:dyDescent="0.2"/>
    <row r="3932" customFormat="1" x14ac:dyDescent="0.2"/>
    <row r="3933" customFormat="1" x14ac:dyDescent="0.2"/>
    <row r="3934" customFormat="1" x14ac:dyDescent="0.2"/>
    <row r="3935" customFormat="1" x14ac:dyDescent="0.2"/>
    <row r="3936" customFormat="1" x14ac:dyDescent="0.2"/>
    <row r="3937" customFormat="1" x14ac:dyDescent="0.2"/>
    <row r="3938" customFormat="1" x14ac:dyDescent="0.2"/>
    <row r="3939" customFormat="1" x14ac:dyDescent="0.2"/>
    <row r="3940" customFormat="1" x14ac:dyDescent="0.2"/>
    <row r="3941" customFormat="1" x14ac:dyDescent="0.2"/>
    <row r="3942" customFormat="1" x14ac:dyDescent="0.2"/>
    <row r="3943" customFormat="1" x14ac:dyDescent="0.2"/>
    <row r="3944" customFormat="1" x14ac:dyDescent="0.2"/>
    <row r="3945" customFormat="1" x14ac:dyDescent="0.2"/>
    <row r="3946" customFormat="1" x14ac:dyDescent="0.2"/>
    <row r="3947" customFormat="1" x14ac:dyDescent="0.2"/>
    <row r="3948" customFormat="1" x14ac:dyDescent="0.2"/>
    <row r="3949" customFormat="1" x14ac:dyDescent="0.2"/>
    <row r="3950" customFormat="1" x14ac:dyDescent="0.2"/>
    <row r="3951" customFormat="1" x14ac:dyDescent="0.2"/>
    <row r="3952" customFormat="1" x14ac:dyDescent="0.2"/>
    <row r="3953" customFormat="1" x14ac:dyDescent="0.2"/>
    <row r="3954" customFormat="1" x14ac:dyDescent="0.2"/>
    <row r="3955" customFormat="1" x14ac:dyDescent="0.2"/>
    <row r="3956" customFormat="1" x14ac:dyDescent="0.2"/>
    <row r="3957" customFormat="1" x14ac:dyDescent="0.2"/>
    <row r="3958" customFormat="1" x14ac:dyDescent="0.2"/>
    <row r="3959" customFormat="1" x14ac:dyDescent="0.2"/>
    <row r="3960" customFormat="1" x14ac:dyDescent="0.2"/>
    <row r="3961" customFormat="1" x14ac:dyDescent="0.2"/>
    <row r="3962" customFormat="1" x14ac:dyDescent="0.2"/>
    <row r="3963" customFormat="1" x14ac:dyDescent="0.2"/>
    <row r="3964" customFormat="1" x14ac:dyDescent="0.2"/>
    <row r="3965" customFormat="1" x14ac:dyDescent="0.2"/>
    <row r="3966" customFormat="1" x14ac:dyDescent="0.2"/>
    <row r="3967" customFormat="1" x14ac:dyDescent="0.2"/>
    <row r="3968" customFormat="1" x14ac:dyDescent="0.2"/>
    <row r="3969" customFormat="1" x14ac:dyDescent="0.2"/>
    <row r="3970" customFormat="1" x14ac:dyDescent="0.2"/>
    <row r="3971" customFormat="1" x14ac:dyDescent="0.2"/>
    <row r="3972" customFormat="1" x14ac:dyDescent="0.2"/>
    <row r="3973" customFormat="1" x14ac:dyDescent="0.2"/>
    <row r="3974" customFormat="1" x14ac:dyDescent="0.2"/>
    <row r="3975" customFormat="1" x14ac:dyDescent="0.2"/>
    <row r="3976" customFormat="1" x14ac:dyDescent="0.2"/>
    <row r="3977" customFormat="1" x14ac:dyDescent="0.2"/>
    <row r="3978" customFormat="1" x14ac:dyDescent="0.2"/>
    <row r="3979" customFormat="1" x14ac:dyDescent="0.2"/>
    <row r="3980" customFormat="1" x14ac:dyDescent="0.2"/>
    <row r="3981" customFormat="1" x14ac:dyDescent="0.2"/>
    <row r="3982" customFormat="1" x14ac:dyDescent="0.2"/>
    <row r="3983" customFormat="1" x14ac:dyDescent="0.2"/>
    <row r="3984" customFormat="1" x14ac:dyDescent="0.2"/>
    <row r="3985" customFormat="1" x14ac:dyDescent="0.2"/>
    <row r="3986" customFormat="1" x14ac:dyDescent="0.2"/>
    <row r="3987" customFormat="1" x14ac:dyDescent="0.2"/>
    <row r="3988" customFormat="1" x14ac:dyDescent="0.2"/>
    <row r="3989" customFormat="1" x14ac:dyDescent="0.2"/>
    <row r="3990" customFormat="1" x14ac:dyDescent="0.2"/>
    <row r="3991" customFormat="1" x14ac:dyDescent="0.2"/>
    <row r="3992" customFormat="1" x14ac:dyDescent="0.2"/>
    <row r="3993" customFormat="1" x14ac:dyDescent="0.2"/>
    <row r="3994" customFormat="1" x14ac:dyDescent="0.2"/>
    <row r="3995" customFormat="1" x14ac:dyDescent="0.2"/>
    <row r="3996" customFormat="1" x14ac:dyDescent="0.2"/>
    <row r="3997" customFormat="1" x14ac:dyDescent="0.2"/>
    <row r="3998" customFormat="1" x14ac:dyDescent="0.2"/>
    <row r="3999" customFormat="1" x14ac:dyDescent="0.2"/>
    <row r="4000" customFormat="1" x14ac:dyDescent="0.2"/>
    <row r="4001" customFormat="1" x14ac:dyDescent="0.2"/>
    <row r="4002" customFormat="1" x14ac:dyDescent="0.2"/>
    <row r="4003" customFormat="1" x14ac:dyDescent="0.2"/>
    <row r="4004" customFormat="1" x14ac:dyDescent="0.2"/>
    <row r="4005" customFormat="1" x14ac:dyDescent="0.2"/>
    <row r="4006" customFormat="1" x14ac:dyDescent="0.2"/>
    <row r="4007" customFormat="1" x14ac:dyDescent="0.2"/>
    <row r="4008" customFormat="1" x14ac:dyDescent="0.2"/>
    <row r="4009" customFormat="1" x14ac:dyDescent="0.2"/>
    <row r="4010" customFormat="1" x14ac:dyDescent="0.2"/>
    <row r="4011" customFormat="1" x14ac:dyDescent="0.2"/>
    <row r="4012" customFormat="1" x14ac:dyDescent="0.2"/>
    <row r="4013" customFormat="1" x14ac:dyDescent="0.2"/>
    <row r="4014" customFormat="1" x14ac:dyDescent="0.2"/>
    <row r="4015" customFormat="1" x14ac:dyDescent="0.2"/>
    <row r="4016" customFormat="1" x14ac:dyDescent="0.2"/>
    <row r="4017" customFormat="1" x14ac:dyDescent="0.2"/>
    <row r="4018" customFormat="1" x14ac:dyDescent="0.2"/>
    <row r="4019" customFormat="1" x14ac:dyDescent="0.2"/>
    <row r="4020" customFormat="1" x14ac:dyDescent="0.2"/>
    <row r="4021" customFormat="1" x14ac:dyDescent="0.2"/>
    <row r="4022" customFormat="1" x14ac:dyDescent="0.2"/>
    <row r="4023" customFormat="1" x14ac:dyDescent="0.2"/>
    <row r="4024" customFormat="1" x14ac:dyDescent="0.2"/>
    <row r="4025" customFormat="1" x14ac:dyDescent="0.2"/>
    <row r="4026" customFormat="1" x14ac:dyDescent="0.2"/>
    <row r="4027" customFormat="1" x14ac:dyDescent="0.2"/>
    <row r="4028" customFormat="1" x14ac:dyDescent="0.2"/>
    <row r="4029" customFormat="1" x14ac:dyDescent="0.2"/>
    <row r="4030" customFormat="1" x14ac:dyDescent="0.2"/>
    <row r="4031" customFormat="1" x14ac:dyDescent="0.2"/>
    <row r="4032" customFormat="1" x14ac:dyDescent="0.2"/>
    <row r="4033" customFormat="1" x14ac:dyDescent="0.2"/>
    <row r="4034" customFormat="1" x14ac:dyDescent="0.2"/>
    <row r="4035" customFormat="1" x14ac:dyDescent="0.2"/>
    <row r="4036" customFormat="1" x14ac:dyDescent="0.2"/>
    <row r="4037" customFormat="1" x14ac:dyDescent="0.2"/>
    <row r="4038" customFormat="1" x14ac:dyDescent="0.2"/>
    <row r="4039" customFormat="1" x14ac:dyDescent="0.2"/>
    <row r="4040" customFormat="1" x14ac:dyDescent="0.2"/>
    <row r="4041" customFormat="1" x14ac:dyDescent="0.2"/>
    <row r="4042" customFormat="1" x14ac:dyDescent="0.2"/>
    <row r="4043" customFormat="1" x14ac:dyDescent="0.2"/>
    <row r="4044" customFormat="1" x14ac:dyDescent="0.2"/>
    <row r="4045" customFormat="1" x14ac:dyDescent="0.2"/>
    <row r="4046" customFormat="1" x14ac:dyDescent="0.2"/>
    <row r="4047" customFormat="1" x14ac:dyDescent="0.2"/>
    <row r="4048" customFormat="1" x14ac:dyDescent="0.2"/>
    <row r="4049" customFormat="1" x14ac:dyDescent="0.2"/>
    <row r="4050" customFormat="1" x14ac:dyDescent="0.2"/>
    <row r="4051" customFormat="1" x14ac:dyDescent="0.2"/>
    <row r="4052" customFormat="1" x14ac:dyDescent="0.2"/>
    <row r="4053" customFormat="1" x14ac:dyDescent="0.2"/>
    <row r="4054" customFormat="1" x14ac:dyDescent="0.2"/>
    <row r="4055" customFormat="1" x14ac:dyDescent="0.2"/>
    <row r="4056" customFormat="1" x14ac:dyDescent="0.2"/>
    <row r="4057" customFormat="1" x14ac:dyDescent="0.2"/>
    <row r="4058" customFormat="1" x14ac:dyDescent="0.2"/>
    <row r="4059" customFormat="1" x14ac:dyDescent="0.2"/>
    <row r="4060" customFormat="1" x14ac:dyDescent="0.2"/>
    <row r="4061" customFormat="1" x14ac:dyDescent="0.2"/>
    <row r="4062" customFormat="1" x14ac:dyDescent="0.2"/>
    <row r="4063" customFormat="1" x14ac:dyDescent="0.2"/>
    <row r="4064" customFormat="1" x14ac:dyDescent="0.2"/>
    <row r="4065" customFormat="1" x14ac:dyDescent="0.2"/>
    <row r="4066" customFormat="1" x14ac:dyDescent="0.2"/>
    <row r="4067" customFormat="1" x14ac:dyDescent="0.2"/>
    <row r="4068" customFormat="1" x14ac:dyDescent="0.2"/>
    <row r="4069" customFormat="1" x14ac:dyDescent="0.2"/>
    <row r="4070" customFormat="1" x14ac:dyDescent="0.2"/>
    <row r="4071" customFormat="1" x14ac:dyDescent="0.2"/>
    <row r="4072" customFormat="1" x14ac:dyDescent="0.2"/>
    <row r="4073" customFormat="1" x14ac:dyDescent="0.2"/>
    <row r="4074" customFormat="1" x14ac:dyDescent="0.2"/>
    <row r="4075" customFormat="1" x14ac:dyDescent="0.2"/>
    <row r="4076" customFormat="1" x14ac:dyDescent="0.2"/>
    <row r="4077" customFormat="1" x14ac:dyDescent="0.2"/>
    <row r="4078" customFormat="1" x14ac:dyDescent="0.2"/>
    <row r="4079" customFormat="1" x14ac:dyDescent="0.2"/>
    <row r="4080" customFormat="1" x14ac:dyDescent="0.2"/>
    <row r="4081" customFormat="1" x14ac:dyDescent="0.2"/>
    <row r="4082" customFormat="1" x14ac:dyDescent="0.2"/>
    <row r="4083" customFormat="1" x14ac:dyDescent="0.2"/>
    <row r="4084" customFormat="1" x14ac:dyDescent="0.2"/>
    <row r="4085" customFormat="1" x14ac:dyDescent="0.2"/>
    <row r="4086" customFormat="1" x14ac:dyDescent="0.2"/>
    <row r="4087" customFormat="1" x14ac:dyDescent="0.2"/>
    <row r="4088" customFormat="1" x14ac:dyDescent="0.2"/>
    <row r="4089" customFormat="1" x14ac:dyDescent="0.2"/>
    <row r="4090" customFormat="1" x14ac:dyDescent="0.2"/>
    <row r="4091" customFormat="1" x14ac:dyDescent="0.2"/>
    <row r="4092" customFormat="1" x14ac:dyDescent="0.2"/>
    <row r="4093" customFormat="1" x14ac:dyDescent="0.2"/>
    <row r="4094" customFormat="1" x14ac:dyDescent="0.2"/>
    <row r="4095" customFormat="1" x14ac:dyDescent="0.2"/>
    <row r="4096" customFormat="1" x14ac:dyDescent="0.2"/>
    <row r="4097" customFormat="1" x14ac:dyDescent="0.2"/>
    <row r="4098" customFormat="1" x14ac:dyDescent="0.2"/>
    <row r="4099" customFormat="1" x14ac:dyDescent="0.2"/>
    <row r="4100" customFormat="1" x14ac:dyDescent="0.2"/>
    <row r="4101" customFormat="1" x14ac:dyDescent="0.2"/>
    <row r="4102" customFormat="1" x14ac:dyDescent="0.2"/>
    <row r="4103" customFormat="1" x14ac:dyDescent="0.2"/>
    <row r="4104" customFormat="1" x14ac:dyDescent="0.2"/>
    <row r="4105" customFormat="1" x14ac:dyDescent="0.2"/>
    <row r="4106" customFormat="1" x14ac:dyDescent="0.2"/>
    <row r="4107" customFormat="1" x14ac:dyDescent="0.2"/>
    <row r="4108" customFormat="1" x14ac:dyDescent="0.2"/>
    <row r="4109" customFormat="1" x14ac:dyDescent="0.2"/>
    <row r="4110" customFormat="1" x14ac:dyDescent="0.2"/>
    <row r="4111" customFormat="1" x14ac:dyDescent="0.2"/>
    <row r="4112" customFormat="1" x14ac:dyDescent="0.2"/>
    <row r="4113" customFormat="1" x14ac:dyDescent="0.2"/>
    <row r="4114" customFormat="1" x14ac:dyDescent="0.2"/>
    <row r="4115" customFormat="1" x14ac:dyDescent="0.2"/>
    <row r="4116" customFormat="1" x14ac:dyDescent="0.2"/>
    <row r="4117" customFormat="1" x14ac:dyDescent="0.2"/>
    <row r="4118" customFormat="1" x14ac:dyDescent="0.2"/>
    <row r="4119" customFormat="1" x14ac:dyDescent="0.2"/>
    <row r="4120" customFormat="1" x14ac:dyDescent="0.2"/>
    <row r="4121" customFormat="1" x14ac:dyDescent="0.2"/>
    <row r="4122" customFormat="1" x14ac:dyDescent="0.2"/>
    <row r="4123" customFormat="1" x14ac:dyDescent="0.2"/>
    <row r="4124" customFormat="1" x14ac:dyDescent="0.2"/>
    <row r="4125" customFormat="1" x14ac:dyDescent="0.2"/>
    <row r="4126" customFormat="1" x14ac:dyDescent="0.2"/>
    <row r="4127" customFormat="1" x14ac:dyDescent="0.2"/>
    <row r="4128" customFormat="1" x14ac:dyDescent="0.2"/>
    <row r="4129" customFormat="1" x14ac:dyDescent="0.2"/>
    <row r="4130" customFormat="1" x14ac:dyDescent="0.2"/>
    <row r="4131" customFormat="1" x14ac:dyDescent="0.2"/>
    <row r="4132" customFormat="1" x14ac:dyDescent="0.2"/>
    <row r="4133" customFormat="1" x14ac:dyDescent="0.2"/>
    <row r="4134" customFormat="1" x14ac:dyDescent="0.2"/>
    <row r="4135" customFormat="1" x14ac:dyDescent="0.2"/>
    <row r="4136" customFormat="1" x14ac:dyDescent="0.2"/>
    <row r="4137" customFormat="1" x14ac:dyDescent="0.2"/>
    <row r="4138" customFormat="1" x14ac:dyDescent="0.2"/>
    <row r="4139" customFormat="1" x14ac:dyDescent="0.2"/>
    <row r="4140" customFormat="1" x14ac:dyDescent="0.2"/>
    <row r="4141" customFormat="1" x14ac:dyDescent="0.2"/>
    <row r="4142" customFormat="1" x14ac:dyDescent="0.2"/>
    <row r="4143" customFormat="1" x14ac:dyDescent="0.2"/>
    <row r="4144" customFormat="1" x14ac:dyDescent="0.2"/>
    <row r="4145" customFormat="1" x14ac:dyDescent="0.2"/>
    <row r="4146" customFormat="1" x14ac:dyDescent="0.2"/>
    <row r="4147" customFormat="1" x14ac:dyDescent="0.2"/>
    <row r="4148" customFormat="1" x14ac:dyDescent="0.2"/>
    <row r="4149" customFormat="1" x14ac:dyDescent="0.2"/>
    <row r="4150" customFormat="1" x14ac:dyDescent="0.2"/>
    <row r="4151" customFormat="1" x14ac:dyDescent="0.2"/>
    <row r="4152" customFormat="1" x14ac:dyDescent="0.2"/>
    <row r="4153" customFormat="1" x14ac:dyDescent="0.2"/>
    <row r="4154" customFormat="1" x14ac:dyDescent="0.2"/>
    <row r="4155" customFormat="1" x14ac:dyDescent="0.2"/>
    <row r="4156" customFormat="1" x14ac:dyDescent="0.2"/>
    <row r="4157" customFormat="1" x14ac:dyDescent="0.2"/>
    <row r="4158" customFormat="1" x14ac:dyDescent="0.2"/>
    <row r="4159" customFormat="1" x14ac:dyDescent="0.2"/>
    <row r="4160" customFormat="1" x14ac:dyDescent="0.2"/>
    <row r="4161" customFormat="1" x14ac:dyDescent="0.2"/>
    <row r="4162" customFormat="1" x14ac:dyDescent="0.2"/>
    <row r="4163" customFormat="1" x14ac:dyDescent="0.2"/>
    <row r="4164" customFormat="1" x14ac:dyDescent="0.2"/>
    <row r="4165" customFormat="1" x14ac:dyDescent="0.2"/>
    <row r="4166" customFormat="1" x14ac:dyDescent="0.2"/>
    <row r="4167" customFormat="1" x14ac:dyDescent="0.2"/>
    <row r="4168" customFormat="1" x14ac:dyDescent="0.2"/>
    <row r="4169" customFormat="1" x14ac:dyDescent="0.2"/>
    <row r="4170" customFormat="1" x14ac:dyDescent="0.2"/>
    <row r="4171" customFormat="1" x14ac:dyDescent="0.2"/>
    <row r="4172" customFormat="1" x14ac:dyDescent="0.2"/>
    <row r="4173" customFormat="1" x14ac:dyDescent="0.2"/>
    <row r="4174" customFormat="1" x14ac:dyDescent="0.2"/>
    <row r="4175" customFormat="1" x14ac:dyDescent="0.2"/>
    <row r="4176" customFormat="1" x14ac:dyDescent="0.2"/>
    <row r="4177" customFormat="1" x14ac:dyDescent="0.2"/>
    <row r="4178" customFormat="1" x14ac:dyDescent="0.2"/>
    <row r="4179" customFormat="1" x14ac:dyDescent="0.2"/>
    <row r="4180" customFormat="1" x14ac:dyDescent="0.2"/>
    <row r="4181" customFormat="1" x14ac:dyDescent="0.2"/>
    <row r="4182" customFormat="1" x14ac:dyDescent="0.2"/>
    <row r="4183" customFormat="1" x14ac:dyDescent="0.2"/>
    <row r="4184" customFormat="1" x14ac:dyDescent="0.2"/>
    <row r="4185" customFormat="1" x14ac:dyDescent="0.2"/>
    <row r="4186" customFormat="1" x14ac:dyDescent="0.2"/>
    <row r="4187" customFormat="1" x14ac:dyDescent="0.2"/>
    <row r="4188" customFormat="1" x14ac:dyDescent="0.2"/>
    <row r="4189" customFormat="1" x14ac:dyDescent="0.2"/>
    <row r="4190" customFormat="1" x14ac:dyDescent="0.2"/>
    <row r="4191" customFormat="1" x14ac:dyDescent="0.2"/>
    <row r="4192" customFormat="1" x14ac:dyDescent="0.2"/>
    <row r="4193" customFormat="1" x14ac:dyDescent="0.2"/>
    <row r="4194" customFormat="1" x14ac:dyDescent="0.2"/>
    <row r="4195" customFormat="1" x14ac:dyDescent="0.2"/>
    <row r="4196" customFormat="1" x14ac:dyDescent="0.2"/>
    <row r="4197" customFormat="1" x14ac:dyDescent="0.2"/>
    <row r="4198" customFormat="1" x14ac:dyDescent="0.2"/>
    <row r="4199" customFormat="1" x14ac:dyDescent="0.2"/>
    <row r="4200" customFormat="1" x14ac:dyDescent="0.2"/>
    <row r="4201" customFormat="1" x14ac:dyDescent="0.2"/>
    <row r="4202" customFormat="1" x14ac:dyDescent="0.2"/>
    <row r="4203" customFormat="1" x14ac:dyDescent="0.2"/>
    <row r="4204" customFormat="1" x14ac:dyDescent="0.2"/>
    <row r="4205" customFormat="1" x14ac:dyDescent="0.2"/>
    <row r="4206" customFormat="1" x14ac:dyDescent="0.2"/>
    <row r="4207" customFormat="1" x14ac:dyDescent="0.2"/>
    <row r="4208" customFormat="1" x14ac:dyDescent="0.2"/>
    <row r="4209" customFormat="1" x14ac:dyDescent="0.2"/>
    <row r="4210" customFormat="1" x14ac:dyDescent="0.2"/>
    <row r="4211" customFormat="1" x14ac:dyDescent="0.2"/>
    <row r="4212" customFormat="1" x14ac:dyDescent="0.2"/>
    <row r="4213" customFormat="1" x14ac:dyDescent="0.2"/>
    <row r="4214" customFormat="1" x14ac:dyDescent="0.2"/>
    <row r="4215" customFormat="1" x14ac:dyDescent="0.2"/>
    <row r="4216" customFormat="1" x14ac:dyDescent="0.2"/>
    <row r="4217" customFormat="1" x14ac:dyDescent="0.2"/>
    <row r="4218" customFormat="1" x14ac:dyDescent="0.2"/>
    <row r="4219" customFormat="1" x14ac:dyDescent="0.2"/>
    <row r="4220" customFormat="1" x14ac:dyDescent="0.2"/>
    <row r="4221" customFormat="1" x14ac:dyDescent="0.2"/>
    <row r="4222" customFormat="1" x14ac:dyDescent="0.2"/>
    <row r="4223" customFormat="1" x14ac:dyDescent="0.2"/>
    <row r="4224" customFormat="1" x14ac:dyDescent="0.2"/>
    <row r="4225" customFormat="1" x14ac:dyDescent="0.2"/>
    <row r="4226" customFormat="1" x14ac:dyDescent="0.2"/>
    <row r="4227" customFormat="1" x14ac:dyDescent="0.2"/>
    <row r="4228" customFormat="1" x14ac:dyDescent="0.2"/>
    <row r="4229" customFormat="1" x14ac:dyDescent="0.2"/>
    <row r="4230" customFormat="1" x14ac:dyDescent="0.2"/>
    <row r="4231" customFormat="1" x14ac:dyDescent="0.2"/>
    <row r="4232" customFormat="1" x14ac:dyDescent="0.2"/>
    <row r="4233" customFormat="1" x14ac:dyDescent="0.2"/>
    <row r="4234" customFormat="1" x14ac:dyDescent="0.2"/>
    <row r="4235" customFormat="1" x14ac:dyDescent="0.2"/>
    <row r="4236" customFormat="1" x14ac:dyDescent="0.2"/>
    <row r="4237" customFormat="1" x14ac:dyDescent="0.2"/>
    <row r="4238" customFormat="1" x14ac:dyDescent="0.2"/>
    <row r="4239" customFormat="1" x14ac:dyDescent="0.2"/>
    <row r="4240" customFormat="1" x14ac:dyDescent="0.2"/>
    <row r="4241" customFormat="1" x14ac:dyDescent="0.2"/>
    <row r="4242" customFormat="1" x14ac:dyDescent="0.2"/>
    <row r="4243" customFormat="1" x14ac:dyDescent="0.2"/>
    <row r="4244" customFormat="1" x14ac:dyDescent="0.2"/>
    <row r="4245" customFormat="1" x14ac:dyDescent="0.2"/>
    <row r="4246" customFormat="1" x14ac:dyDescent="0.2"/>
    <row r="4247" customFormat="1" x14ac:dyDescent="0.2"/>
    <row r="4248" customFormat="1" x14ac:dyDescent="0.2"/>
    <row r="4249" customFormat="1" x14ac:dyDescent="0.2"/>
    <row r="4250" customFormat="1" x14ac:dyDescent="0.2"/>
    <row r="4251" customFormat="1" x14ac:dyDescent="0.2"/>
    <row r="4252" customFormat="1" x14ac:dyDescent="0.2"/>
    <row r="4253" customFormat="1" x14ac:dyDescent="0.2"/>
    <row r="4254" customFormat="1" x14ac:dyDescent="0.2"/>
    <row r="4255" customFormat="1" x14ac:dyDescent="0.2"/>
    <row r="4256" customFormat="1" x14ac:dyDescent="0.2"/>
    <row r="4257" customFormat="1" x14ac:dyDescent="0.2"/>
    <row r="4258" customFormat="1" x14ac:dyDescent="0.2"/>
    <row r="4259" customFormat="1" x14ac:dyDescent="0.2"/>
    <row r="4260" customFormat="1" x14ac:dyDescent="0.2"/>
    <row r="4261" customFormat="1" x14ac:dyDescent="0.2"/>
    <row r="4262" customFormat="1" x14ac:dyDescent="0.2"/>
    <row r="4263" customFormat="1" x14ac:dyDescent="0.2"/>
    <row r="4264" customFormat="1" x14ac:dyDescent="0.2"/>
    <row r="4265" customFormat="1" x14ac:dyDescent="0.2"/>
    <row r="4266" customFormat="1" x14ac:dyDescent="0.2"/>
    <row r="4267" customFormat="1" x14ac:dyDescent="0.2"/>
    <row r="4268" customFormat="1" x14ac:dyDescent="0.2"/>
    <row r="4269" customFormat="1" x14ac:dyDescent="0.2"/>
    <row r="4270" customFormat="1" x14ac:dyDescent="0.2"/>
    <row r="4271" customFormat="1" x14ac:dyDescent="0.2"/>
    <row r="4272" customFormat="1" x14ac:dyDescent="0.2"/>
    <row r="4273" customFormat="1" x14ac:dyDescent="0.2"/>
    <row r="4274" customFormat="1" x14ac:dyDescent="0.2"/>
    <row r="4275" customFormat="1" x14ac:dyDescent="0.2"/>
    <row r="4276" customFormat="1" x14ac:dyDescent="0.2"/>
    <row r="4277" customFormat="1" x14ac:dyDescent="0.2"/>
    <row r="4278" customFormat="1" x14ac:dyDescent="0.2"/>
    <row r="4279" customFormat="1" x14ac:dyDescent="0.2"/>
    <row r="4280" customFormat="1" x14ac:dyDescent="0.2"/>
    <row r="4281" customFormat="1" x14ac:dyDescent="0.2"/>
    <row r="4282" customFormat="1" x14ac:dyDescent="0.2"/>
    <row r="4283" customFormat="1" x14ac:dyDescent="0.2"/>
    <row r="4284" customFormat="1" x14ac:dyDescent="0.2"/>
    <row r="4285" customFormat="1" x14ac:dyDescent="0.2"/>
    <row r="4286" customFormat="1" x14ac:dyDescent="0.2"/>
    <row r="4287" customFormat="1" x14ac:dyDescent="0.2"/>
    <row r="4288" customFormat="1" x14ac:dyDescent="0.2"/>
    <row r="4289" customFormat="1" x14ac:dyDescent="0.2"/>
    <row r="4290" customFormat="1" x14ac:dyDescent="0.2"/>
    <row r="4291" customFormat="1" x14ac:dyDescent="0.2"/>
    <row r="4292" customFormat="1" x14ac:dyDescent="0.2"/>
    <row r="4293" customFormat="1" x14ac:dyDescent="0.2"/>
    <row r="4294" customFormat="1" x14ac:dyDescent="0.2"/>
    <row r="4295" customFormat="1" x14ac:dyDescent="0.2"/>
    <row r="4296" customFormat="1" x14ac:dyDescent="0.2"/>
    <row r="4297" customFormat="1" x14ac:dyDescent="0.2"/>
    <row r="4298" customFormat="1" x14ac:dyDescent="0.2"/>
    <row r="4299" customFormat="1" x14ac:dyDescent="0.2"/>
    <row r="4300" customFormat="1" x14ac:dyDescent="0.2"/>
    <row r="4301" customFormat="1" x14ac:dyDescent="0.2"/>
    <row r="4302" customFormat="1" x14ac:dyDescent="0.2"/>
    <row r="4303" customFormat="1" x14ac:dyDescent="0.2"/>
    <row r="4304" customFormat="1" x14ac:dyDescent="0.2"/>
    <row r="4305" customFormat="1" x14ac:dyDescent="0.2"/>
    <row r="4306" customFormat="1" x14ac:dyDescent="0.2"/>
    <row r="4307" customFormat="1" x14ac:dyDescent="0.2"/>
    <row r="4308" customFormat="1" x14ac:dyDescent="0.2"/>
    <row r="4309" customFormat="1" x14ac:dyDescent="0.2"/>
    <row r="4310" customFormat="1" x14ac:dyDescent="0.2"/>
    <row r="4311" customFormat="1" x14ac:dyDescent="0.2"/>
    <row r="4312" customFormat="1" x14ac:dyDescent="0.2"/>
    <row r="4313" customFormat="1" x14ac:dyDescent="0.2"/>
    <row r="4314" customFormat="1" x14ac:dyDescent="0.2"/>
    <row r="4315" customFormat="1" x14ac:dyDescent="0.2"/>
    <row r="4316" customFormat="1" x14ac:dyDescent="0.2"/>
    <row r="4317" customFormat="1" x14ac:dyDescent="0.2"/>
    <row r="4318" customFormat="1" x14ac:dyDescent="0.2"/>
    <row r="4319" customFormat="1" x14ac:dyDescent="0.2"/>
    <row r="4320" customFormat="1" x14ac:dyDescent="0.2"/>
    <row r="4321" customFormat="1" x14ac:dyDescent="0.2"/>
    <row r="4322" customFormat="1" x14ac:dyDescent="0.2"/>
    <row r="4323" customFormat="1" x14ac:dyDescent="0.2"/>
    <row r="4324" customFormat="1" x14ac:dyDescent="0.2"/>
    <row r="4325" customFormat="1" x14ac:dyDescent="0.2"/>
    <row r="4326" customFormat="1" x14ac:dyDescent="0.2"/>
    <row r="4327" customFormat="1" x14ac:dyDescent="0.2"/>
    <row r="4328" customFormat="1" x14ac:dyDescent="0.2"/>
    <row r="4329" customFormat="1" x14ac:dyDescent="0.2"/>
    <row r="4330" customFormat="1" x14ac:dyDescent="0.2"/>
    <row r="4331" customFormat="1" x14ac:dyDescent="0.2"/>
    <row r="4332" customFormat="1" x14ac:dyDescent="0.2"/>
    <row r="4333" customFormat="1" x14ac:dyDescent="0.2"/>
    <row r="4334" customFormat="1" x14ac:dyDescent="0.2"/>
    <row r="4335" customFormat="1" x14ac:dyDescent="0.2"/>
    <row r="4336" customFormat="1" x14ac:dyDescent="0.2"/>
    <row r="4337" customFormat="1" x14ac:dyDescent="0.2"/>
    <row r="4338" customFormat="1" x14ac:dyDescent="0.2"/>
    <row r="4339" customFormat="1" x14ac:dyDescent="0.2"/>
    <row r="4340" customFormat="1" x14ac:dyDescent="0.2"/>
    <row r="4341" customFormat="1" x14ac:dyDescent="0.2"/>
    <row r="4342" customFormat="1" x14ac:dyDescent="0.2"/>
    <row r="4343" customFormat="1" x14ac:dyDescent="0.2"/>
    <row r="4344" customFormat="1" x14ac:dyDescent="0.2"/>
    <row r="4345" customFormat="1" x14ac:dyDescent="0.2"/>
    <row r="4346" customFormat="1" x14ac:dyDescent="0.2"/>
    <row r="4347" customFormat="1" x14ac:dyDescent="0.2"/>
    <row r="4348" customFormat="1" x14ac:dyDescent="0.2"/>
    <row r="4349" customFormat="1" x14ac:dyDescent="0.2"/>
    <row r="4350" customFormat="1" x14ac:dyDescent="0.2"/>
    <row r="4351" customFormat="1" x14ac:dyDescent="0.2"/>
    <row r="4352" customFormat="1" x14ac:dyDescent="0.2"/>
    <row r="4353" customFormat="1" x14ac:dyDescent="0.2"/>
    <row r="4354" customFormat="1" x14ac:dyDescent="0.2"/>
    <row r="4355" customFormat="1" x14ac:dyDescent="0.2"/>
    <row r="4356" customFormat="1" x14ac:dyDescent="0.2"/>
    <row r="4357" customFormat="1" x14ac:dyDescent="0.2"/>
    <row r="4358" customFormat="1" x14ac:dyDescent="0.2"/>
    <row r="4359" customFormat="1" x14ac:dyDescent="0.2"/>
    <row r="4360" customFormat="1" x14ac:dyDescent="0.2"/>
    <row r="4361" customFormat="1" x14ac:dyDescent="0.2"/>
    <row r="4362" customFormat="1" x14ac:dyDescent="0.2"/>
    <row r="4363" customFormat="1" x14ac:dyDescent="0.2"/>
    <row r="4364" customFormat="1" x14ac:dyDescent="0.2"/>
    <row r="4365" customFormat="1" x14ac:dyDescent="0.2"/>
    <row r="4366" customFormat="1" x14ac:dyDescent="0.2"/>
    <row r="4367" customFormat="1" x14ac:dyDescent="0.2"/>
    <row r="4368" customFormat="1" x14ac:dyDescent="0.2"/>
    <row r="4369" customFormat="1" x14ac:dyDescent="0.2"/>
    <row r="4370" customFormat="1" x14ac:dyDescent="0.2"/>
    <row r="4371" customFormat="1" x14ac:dyDescent="0.2"/>
    <row r="4372" customFormat="1" x14ac:dyDescent="0.2"/>
    <row r="4373" customFormat="1" x14ac:dyDescent="0.2"/>
    <row r="4374" customFormat="1" x14ac:dyDescent="0.2"/>
    <row r="4375" customFormat="1" x14ac:dyDescent="0.2"/>
    <row r="4376" customFormat="1" x14ac:dyDescent="0.2"/>
    <row r="4377" customFormat="1" x14ac:dyDescent="0.2"/>
    <row r="4378" customFormat="1" x14ac:dyDescent="0.2"/>
    <row r="4379" customFormat="1" x14ac:dyDescent="0.2"/>
    <row r="4380" customFormat="1" x14ac:dyDescent="0.2"/>
    <row r="4381" customFormat="1" x14ac:dyDescent="0.2"/>
    <row r="4382" customFormat="1" x14ac:dyDescent="0.2"/>
    <row r="4383" customFormat="1" x14ac:dyDescent="0.2"/>
    <row r="4384" customFormat="1" x14ac:dyDescent="0.2"/>
    <row r="4385" customFormat="1" x14ac:dyDescent="0.2"/>
    <row r="4386" customFormat="1" x14ac:dyDescent="0.2"/>
    <row r="4387" customFormat="1" x14ac:dyDescent="0.2"/>
    <row r="4388" customFormat="1" x14ac:dyDescent="0.2"/>
    <row r="4389" customFormat="1" x14ac:dyDescent="0.2"/>
    <row r="4390" customFormat="1" x14ac:dyDescent="0.2"/>
    <row r="4391" customFormat="1" x14ac:dyDescent="0.2"/>
    <row r="4392" customFormat="1" x14ac:dyDescent="0.2"/>
    <row r="4393" customFormat="1" x14ac:dyDescent="0.2"/>
    <row r="4394" customFormat="1" x14ac:dyDescent="0.2"/>
    <row r="4395" customFormat="1" x14ac:dyDescent="0.2"/>
    <row r="4396" customFormat="1" x14ac:dyDescent="0.2"/>
    <row r="4397" customFormat="1" x14ac:dyDescent="0.2"/>
    <row r="4398" customFormat="1" x14ac:dyDescent="0.2"/>
    <row r="4399" customFormat="1" x14ac:dyDescent="0.2"/>
    <row r="4400" customFormat="1" x14ac:dyDescent="0.2"/>
    <row r="4401" customFormat="1" x14ac:dyDescent="0.2"/>
    <row r="4402" customFormat="1" x14ac:dyDescent="0.2"/>
    <row r="4403" customFormat="1" x14ac:dyDescent="0.2"/>
    <row r="4404" customFormat="1" x14ac:dyDescent="0.2"/>
    <row r="4405" customFormat="1" x14ac:dyDescent="0.2"/>
    <row r="4406" customFormat="1" x14ac:dyDescent="0.2"/>
    <row r="4407" customFormat="1" x14ac:dyDescent="0.2"/>
    <row r="4408" customFormat="1" x14ac:dyDescent="0.2"/>
    <row r="4409" customFormat="1" x14ac:dyDescent="0.2"/>
    <row r="4410" customFormat="1" x14ac:dyDescent="0.2"/>
    <row r="4411" customFormat="1" x14ac:dyDescent="0.2"/>
    <row r="4412" customFormat="1" x14ac:dyDescent="0.2"/>
    <row r="4413" customFormat="1" x14ac:dyDescent="0.2"/>
    <row r="4414" customFormat="1" x14ac:dyDescent="0.2"/>
    <row r="4415" customFormat="1" x14ac:dyDescent="0.2"/>
    <row r="4416" customFormat="1" x14ac:dyDescent="0.2"/>
    <row r="4417" customFormat="1" x14ac:dyDescent="0.2"/>
    <row r="4418" customFormat="1" x14ac:dyDescent="0.2"/>
    <row r="4419" customFormat="1" x14ac:dyDescent="0.2"/>
    <row r="4420" customFormat="1" x14ac:dyDescent="0.2"/>
    <row r="4421" customFormat="1" x14ac:dyDescent="0.2"/>
    <row r="4422" customFormat="1" x14ac:dyDescent="0.2"/>
    <row r="4423" customFormat="1" x14ac:dyDescent="0.2"/>
    <row r="4424" customFormat="1" x14ac:dyDescent="0.2"/>
    <row r="4425" customFormat="1" x14ac:dyDescent="0.2"/>
    <row r="4426" customFormat="1" x14ac:dyDescent="0.2"/>
    <row r="4427" customFormat="1" x14ac:dyDescent="0.2"/>
    <row r="4428" customFormat="1" x14ac:dyDescent="0.2"/>
    <row r="4429" customFormat="1" x14ac:dyDescent="0.2"/>
    <row r="4430" customFormat="1" x14ac:dyDescent="0.2"/>
    <row r="4431" customFormat="1" x14ac:dyDescent="0.2"/>
    <row r="4432" customFormat="1" x14ac:dyDescent="0.2"/>
    <row r="4433" customFormat="1" x14ac:dyDescent="0.2"/>
    <row r="4434" customFormat="1" x14ac:dyDescent="0.2"/>
    <row r="4435" customFormat="1" x14ac:dyDescent="0.2"/>
    <row r="4436" customFormat="1" x14ac:dyDescent="0.2"/>
    <row r="4437" customFormat="1" x14ac:dyDescent="0.2"/>
    <row r="4438" customFormat="1" x14ac:dyDescent="0.2"/>
    <row r="4439" customFormat="1" x14ac:dyDescent="0.2"/>
    <row r="4440" customFormat="1" x14ac:dyDescent="0.2"/>
    <row r="4441" customFormat="1" x14ac:dyDescent="0.2"/>
    <row r="4442" customFormat="1" x14ac:dyDescent="0.2"/>
    <row r="4443" customFormat="1" x14ac:dyDescent="0.2"/>
    <row r="4444" customFormat="1" x14ac:dyDescent="0.2"/>
    <row r="4445" customFormat="1" x14ac:dyDescent="0.2"/>
    <row r="4446" customFormat="1" x14ac:dyDescent="0.2"/>
    <row r="4447" customFormat="1" x14ac:dyDescent="0.2"/>
    <row r="4448" customFormat="1" x14ac:dyDescent="0.2"/>
    <row r="4449" customFormat="1" x14ac:dyDescent="0.2"/>
    <row r="4450" customFormat="1" x14ac:dyDescent="0.2"/>
    <row r="4451" customFormat="1" x14ac:dyDescent="0.2"/>
    <row r="4452" customFormat="1" x14ac:dyDescent="0.2"/>
    <row r="4453" customFormat="1" x14ac:dyDescent="0.2"/>
    <row r="4454" customFormat="1" x14ac:dyDescent="0.2"/>
    <row r="4455" customFormat="1" x14ac:dyDescent="0.2"/>
    <row r="4456" customFormat="1" x14ac:dyDescent="0.2"/>
    <row r="4457" customFormat="1" x14ac:dyDescent="0.2"/>
    <row r="4458" customFormat="1" x14ac:dyDescent="0.2"/>
    <row r="4459" customFormat="1" x14ac:dyDescent="0.2"/>
    <row r="4460" customFormat="1" x14ac:dyDescent="0.2"/>
    <row r="4461" customFormat="1" x14ac:dyDescent="0.2"/>
    <row r="4462" customFormat="1" x14ac:dyDescent="0.2"/>
    <row r="4463" customFormat="1" x14ac:dyDescent="0.2"/>
    <row r="4464" customFormat="1" x14ac:dyDescent="0.2"/>
    <row r="4465" customFormat="1" x14ac:dyDescent="0.2"/>
    <row r="4466" customFormat="1" x14ac:dyDescent="0.2"/>
    <row r="4467" customFormat="1" x14ac:dyDescent="0.2"/>
    <row r="4468" customFormat="1" x14ac:dyDescent="0.2"/>
    <row r="4469" customFormat="1" x14ac:dyDescent="0.2"/>
    <row r="4470" customFormat="1" x14ac:dyDescent="0.2"/>
    <row r="4471" customFormat="1" x14ac:dyDescent="0.2"/>
    <row r="4472" customFormat="1" x14ac:dyDescent="0.2"/>
    <row r="4473" customFormat="1" x14ac:dyDescent="0.2"/>
    <row r="4474" customFormat="1" x14ac:dyDescent="0.2"/>
    <row r="4475" customFormat="1" x14ac:dyDescent="0.2"/>
    <row r="4476" customFormat="1" x14ac:dyDescent="0.2"/>
    <row r="4477" customFormat="1" x14ac:dyDescent="0.2"/>
    <row r="4478" customFormat="1" x14ac:dyDescent="0.2"/>
    <row r="4479" customFormat="1" x14ac:dyDescent="0.2"/>
    <row r="4480" customFormat="1" x14ac:dyDescent="0.2"/>
    <row r="4481" customFormat="1" x14ac:dyDescent="0.2"/>
    <row r="4482" customFormat="1" x14ac:dyDescent="0.2"/>
    <row r="4483" customFormat="1" x14ac:dyDescent="0.2"/>
    <row r="4484" customFormat="1" x14ac:dyDescent="0.2"/>
    <row r="4485" customFormat="1" x14ac:dyDescent="0.2"/>
    <row r="4486" customFormat="1" x14ac:dyDescent="0.2"/>
    <row r="4487" customFormat="1" x14ac:dyDescent="0.2"/>
    <row r="4488" customFormat="1" x14ac:dyDescent="0.2"/>
    <row r="4489" customFormat="1" x14ac:dyDescent="0.2"/>
    <row r="4490" customFormat="1" x14ac:dyDescent="0.2"/>
    <row r="4491" customFormat="1" x14ac:dyDescent="0.2"/>
    <row r="4492" customFormat="1" x14ac:dyDescent="0.2"/>
    <row r="4493" customFormat="1" x14ac:dyDescent="0.2"/>
    <row r="4494" customFormat="1" x14ac:dyDescent="0.2"/>
    <row r="4495" customFormat="1" x14ac:dyDescent="0.2"/>
    <row r="4496" customFormat="1" x14ac:dyDescent="0.2"/>
    <row r="4497" customFormat="1" x14ac:dyDescent="0.2"/>
    <row r="4498" customFormat="1" x14ac:dyDescent="0.2"/>
    <row r="4499" customFormat="1" x14ac:dyDescent="0.2"/>
    <row r="4500" customFormat="1" x14ac:dyDescent="0.2"/>
    <row r="4501" customFormat="1" x14ac:dyDescent="0.2"/>
    <row r="4502" customFormat="1" x14ac:dyDescent="0.2"/>
    <row r="4503" customFormat="1" x14ac:dyDescent="0.2"/>
    <row r="4504" customFormat="1" x14ac:dyDescent="0.2"/>
    <row r="4505" customFormat="1" x14ac:dyDescent="0.2"/>
    <row r="4506" customFormat="1" x14ac:dyDescent="0.2"/>
    <row r="4507" customFormat="1" x14ac:dyDescent="0.2"/>
    <row r="4508" customFormat="1" x14ac:dyDescent="0.2"/>
    <row r="4509" customFormat="1" x14ac:dyDescent="0.2"/>
    <row r="4510" customFormat="1" x14ac:dyDescent="0.2"/>
    <row r="4511" customFormat="1" x14ac:dyDescent="0.2"/>
    <row r="4512" customFormat="1" x14ac:dyDescent="0.2"/>
    <row r="4513" customFormat="1" x14ac:dyDescent="0.2"/>
    <row r="4514" customFormat="1" x14ac:dyDescent="0.2"/>
    <row r="4515" customFormat="1" x14ac:dyDescent="0.2"/>
    <row r="4516" customFormat="1" x14ac:dyDescent="0.2"/>
    <row r="4517" customFormat="1" x14ac:dyDescent="0.2"/>
    <row r="4518" customFormat="1" x14ac:dyDescent="0.2"/>
    <row r="4519" customFormat="1" x14ac:dyDescent="0.2"/>
    <row r="4520" customFormat="1" x14ac:dyDescent="0.2"/>
    <row r="4521" customFormat="1" x14ac:dyDescent="0.2"/>
    <row r="4522" customFormat="1" x14ac:dyDescent="0.2"/>
    <row r="4523" customFormat="1" x14ac:dyDescent="0.2"/>
    <row r="4524" customFormat="1" x14ac:dyDescent="0.2"/>
    <row r="4525" customFormat="1" x14ac:dyDescent="0.2"/>
    <row r="4526" customFormat="1" x14ac:dyDescent="0.2"/>
    <row r="4527" customFormat="1" x14ac:dyDescent="0.2"/>
    <row r="4528" customFormat="1" x14ac:dyDescent="0.2"/>
    <row r="4529" customFormat="1" x14ac:dyDescent="0.2"/>
    <row r="4530" customFormat="1" x14ac:dyDescent="0.2"/>
    <row r="4531" customFormat="1" x14ac:dyDescent="0.2"/>
    <row r="4532" customFormat="1" x14ac:dyDescent="0.2"/>
    <row r="4533" customFormat="1" x14ac:dyDescent="0.2"/>
    <row r="4534" customFormat="1" x14ac:dyDescent="0.2"/>
    <row r="4535" customFormat="1" x14ac:dyDescent="0.2"/>
    <row r="4536" customFormat="1" x14ac:dyDescent="0.2"/>
    <row r="4537" customFormat="1" x14ac:dyDescent="0.2"/>
    <row r="4538" customFormat="1" x14ac:dyDescent="0.2"/>
    <row r="4539" customFormat="1" x14ac:dyDescent="0.2"/>
    <row r="4540" customFormat="1" x14ac:dyDescent="0.2"/>
    <row r="4541" customFormat="1" x14ac:dyDescent="0.2"/>
    <row r="4542" customFormat="1" x14ac:dyDescent="0.2"/>
    <row r="4543" customFormat="1" x14ac:dyDescent="0.2"/>
    <row r="4544" customFormat="1" x14ac:dyDescent="0.2"/>
    <row r="4545" customFormat="1" x14ac:dyDescent="0.2"/>
    <row r="4546" customFormat="1" x14ac:dyDescent="0.2"/>
    <row r="4547" customFormat="1" x14ac:dyDescent="0.2"/>
    <row r="4548" customFormat="1" x14ac:dyDescent="0.2"/>
    <row r="4549" customFormat="1" x14ac:dyDescent="0.2"/>
    <row r="4550" customFormat="1" x14ac:dyDescent="0.2"/>
    <row r="4551" customFormat="1" x14ac:dyDescent="0.2"/>
    <row r="4552" customFormat="1" x14ac:dyDescent="0.2"/>
    <row r="4553" customFormat="1" x14ac:dyDescent="0.2"/>
    <row r="4554" customFormat="1" x14ac:dyDescent="0.2"/>
    <row r="4555" customFormat="1" x14ac:dyDescent="0.2"/>
    <row r="4556" customFormat="1" x14ac:dyDescent="0.2"/>
    <row r="4557" customFormat="1" x14ac:dyDescent="0.2"/>
    <row r="4558" customFormat="1" x14ac:dyDescent="0.2"/>
    <row r="4559" customFormat="1" x14ac:dyDescent="0.2"/>
    <row r="4560" customFormat="1" x14ac:dyDescent="0.2"/>
    <row r="4561" customFormat="1" x14ac:dyDescent="0.2"/>
    <row r="4562" customFormat="1" x14ac:dyDescent="0.2"/>
    <row r="4563" customFormat="1" x14ac:dyDescent="0.2"/>
    <row r="4564" customFormat="1" x14ac:dyDescent="0.2"/>
    <row r="4565" customFormat="1" x14ac:dyDescent="0.2"/>
    <row r="4566" customFormat="1" x14ac:dyDescent="0.2"/>
    <row r="4567" customFormat="1" x14ac:dyDescent="0.2"/>
    <row r="4568" customFormat="1" x14ac:dyDescent="0.2"/>
    <row r="4569" customFormat="1" x14ac:dyDescent="0.2"/>
    <row r="4570" customFormat="1" x14ac:dyDescent="0.2"/>
    <row r="4571" customFormat="1" x14ac:dyDescent="0.2"/>
    <row r="4572" customFormat="1" x14ac:dyDescent="0.2"/>
    <row r="4573" customFormat="1" x14ac:dyDescent="0.2"/>
    <row r="4574" customFormat="1" x14ac:dyDescent="0.2"/>
    <row r="4575" customFormat="1" x14ac:dyDescent="0.2"/>
    <row r="4576" customFormat="1" x14ac:dyDescent="0.2"/>
    <row r="4577" customFormat="1" x14ac:dyDescent="0.2"/>
    <row r="4578" customFormat="1" x14ac:dyDescent="0.2"/>
    <row r="4579" customFormat="1" x14ac:dyDescent="0.2"/>
    <row r="4580" customFormat="1" x14ac:dyDescent="0.2"/>
    <row r="4581" customFormat="1" x14ac:dyDescent="0.2"/>
    <row r="4582" customFormat="1" x14ac:dyDescent="0.2"/>
    <row r="4583" customFormat="1" x14ac:dyDescent="0.2"/>
    <row r="4584" customFormat="1" x14ac:dyDescent="0.2"/>
    <row r="4585" customFormat="1" x14ac:dyDescent="0.2"/>
    <row r="4586" customFormat="1" x14ac:dyDescent="0.2"/>
    <row r="4587" customFormat="1" x14ac:dyDescent="0.2"/>
    <row r="4588" customFormat="1" x14ac:dyDescent="0.2"/>
    <row r="4589" customFormat="1" x14ac:dyDescent="0.2"/>
    <row r="4590" customFormat="1" x14ac:dyDescent="0.2"/>
    <row r="4591" customFormat="1" x14ac:dyDescent="0.2"/>
    <row r="4592" customFormat="1" x14ac:dyDescent="0.2"/>
    <row r="4593" customFormat="1" x14ac:dyDescent="0.2"/>
    <row r="4594" customFormat="1" x14ac:dyDescent="0.2"/>
    <row r="4595" customFormat="1" x14ac:dyDescent="0.2"/>
    <row r="4596" customFormat="1" x14ac:dyDescent="0.2"/>
    <row r="4597" customFormat="1" x14ac:dyDescent="0.2"/>
    <row r="4598" customFormat="1" x14ac:dyDescent="0.2"/>
    <row r="4599" customFormat="1" x14ac:dyDescent="0.2"/>
    <row r="4600" customFormat="1" x14ac:dyDescent="0.2"/>
    <row r="4601" customFormat="1" x14ac:dyDescent="0.2"/>
    <row r="4602" customFormat="1" x14ac:dyDescent="0.2"/>
    <row r="4603" customFormat="1" x14ac:dyDescent="0.2"/>
    <row r="4604" customFormat="1" x14ac:dyDescent="0.2"/>
    <row r="4605" customFormat="1" x14ac:dyDescent="0.2"/>
    <row r="4606" customFormat="1" x14ac:dyDescent="0.2"/>
    <row r="4607" customFormat="1" x14ac:dyDescent="0.2"/>
    <row r="4608" customFormat="1" x14ac:dyDescent="0.2"/>
    <row r="4609" customFormat="1" x14ac:dyDescent="0.2"/>
    <row r="4610" customFormat="1" x14ac:dyDescent="0.2"/>
    <row r="4611" customFormat="1" x14ac:dyDescent="0.2"/>
    <row r="4612" customFormat="1" x14ac:dyDescent="0.2"/>
    <row r="4613" customFormat="1" x14ac:dyDescent="0.2"/>
    <row r="4614" customFormat="1" x14ac:dyDescent="0.2"/>
    <row r="4615" customFormat="1" x14ac:dyDescent="0.2"/>
    <row r="4616" customFormat="1" x14ac:dyDescent="0.2"/>
    <row r="4617" customFormat="1" x14ac:dyDescent="0.2"/>
    <row r="4618" customFormat="1" x14ac:dyDescent="0.2"/>
    <row r="4619" customFormat="1" x14ac:dyDescent="0.2"/>
    <row r="4620" customFormat="1" x14ac:dyDescent="0.2"/>
    <row r="4621" customFormat="1" x14ac:dyDescent="0.2"/>
    <row r="4622" customFormat="1" x14ac:dyDescent="0.2"/>
    <row r="4623" customFormat="1" x14ac:dyDescent="0.2"/>
    <row r="4624" customFormat="1" x14ac:dyDescent="0.2"/>
    <row r="4625" customFormat="1" x14ac:dyDescent="0.2"/>
    <row r="4626" customFormat="1" x14ac:dyDescent="0.2"/>
    <row r="4627" customFormat="1" x14ac:dyDescent="0.2"/>
    <row r="4628" customFormat="1" x14ac:dyDescent="0.2"/>
    <row r="4629" customFormat="1" x14ac:dyDescent="0.2"/>
    <row r="4630" customFormat="1" x14ac:dyDescent="0.2"/>
    <row r="4631" customFormat="1" x14ac:dyDescent="0.2"/>
    <row r="4632" customFormat="1" x14ac:dyDescent="0.2"/>
    <row r="4633" customFormat="1" x14ac:dyDescent="0.2"/>
    <row r="4634" customFormat="1" x14ac:dyDescent="0.2"/>
    <row r="4635" customFormat="1" x14ac:dyDescent="0.2"/>
    <row r="4636" customFormat="1" x14ac:dyDescent="0.2"/>
    <row r="4637" customFormat="1" x14ac:dyDescent="0.2"/>
    <row r="4638" customFormat="1" x14ac:dyDescent="0.2"/>
    <row r="4639" customFormat="1" x14ac:dyDescent="0.2"/>
    <row r="4640" customFormat="1" x14ac:dyDescent="0.2"/>
    <row r="4641" customFormat="1" x14ac:dyDescent="0.2"/>
    <row r="4642" customFormat="1" x14ac:dyDescent="0.2"/>
    <row r="4643" customFormat="1" x14ac:dyDescent="0.2"/>
    <row r="4644" customFormat="1" x14ac:dyDescent="0.2"/>
    <row r="4645" customFormat="1" x14ac:dyDescent="0.2"/>
    <row r="4646" customFormat="1" x14ac:dyDescent="0.2"/>
    <row r="4647" customFormat="1" x14ac:dyDescent="0.2"/>
    <row r="4648" customFormat="1" x14ac:dyDescent="0.2"/>
    <row r="4649" customFormat="1" x14ac:dyDescent="0.2"/>
    <row r="4650" customFormat="1" x14ac:dyDescent="0.2"/>
    <row r="4651" customFormat="1" x14ac:dyDescent="0.2"/>
    <row r="4652" customFormat="1" x14ac:dyDescent="0.2"/>
    <row r="4653" customFormat="1" x14ac:dyDescent="0.2"/>
    <row r="4654" customFormat="1" x14ac:dyDescent="0.2"/>
    <row r="4655" customFormat="1" x14ac:dyDescent="0.2"/>
    <row r="4656" customFormat="1" x14ac:dyDescent="0.2"/>
    <row r="4657" customFormat="1" x14ac:dyDescent="0.2"/>
    <row r="4658" customFormat="1" x14ac:dyDescent="0.2"/>
    <row r="4659" customFormat="1" x14ac:dyDescent="0.2"/>
    <row r="4660" customFormat="1" x14ac:dyDescent="0.2"/>
    <row r="4661" customFormat="1" x14ac:dyDescent="0.2"/>
    <row r="4662" customFormat="1" x14ac:dyDescent="0.2"/>
    <row r="4663" customFormat="1" x14ac:dyDescent="0.2"/>
    <row r="4664" customFormat="1" x14ac:dyDescent="0.2"/>
    <row r="4665" customFormat="1" x14ac:dyDescent="0.2"/>
    <row r="4666" customFormat="1" x14ac:dyDescent="0.2"/>
    <row r="4667" customFormat="1" x14ac:dyDescent="0.2"/>
    <row r="4668" customFormat="1" x14ac:dyDescent="0.2"/>
    <row r="4669" customFormat="1" x14ac:dyDescent="0.2"/>
    <row r="4670" customFormat="1" x14ac:dyDescent="0.2"/>
    <row r="4671" customFormat="1" x14ac:dyDescent="0.2"/>
    <row r="4672" customFormat="1" x14ac:dyDescent="0.2"/>
    <row r="4673" customFormat="1" x14ac:dyDescent="0.2"/>
    <row r="4674" customFormat="1" x14ac:dyDescent="0.2"/>
    <row r="4675" customFormat="1" x14ac:dyDescent="0.2"/>
    <row r="4676" customFormat="1" x14ac:dyDescent="0.2"/>
    <row r="4677" customFormat="1" x14ac:dyDescent="0.2"/>
    <row r="4678" customFormat="1" x14ac:dyDescent="0.2"/>
    <row r="4679" customFormat="1" x14ac:dyDescent="0.2"/>
    <row r="4680" customFormat="1" x14ac:dyDescent="0.2"/>
    <row r="4681" customFormat="1" x14ac:dyDescent="0.2"/>
    <row r="4682" customFormat="1" x14ac:dyDescent="0.2"/>
    <row r="4683" customFormat="1" x14ac:dyDescent="0.2"/>
    <row r="4684" customFormat="1" x14ac:dyDescent="0.2"/>
    <row r="4685" customFormat="1" x14ac:dyDescent="0.2"/>
    <row r="4686" customFormat="1" x14ac:dyDescent="0.2"/>
    <row r="4687" customFormat="1" x14ac:dyDescent="0.2"/>
    <row r="4688" customFormat="1" x14ac:dyDescent="0.2"/>
    <row r="4689" customFormat="1" x14ac:dyDescent="0.2"/>
    <row r="4690" customFormat="1" x14ac:dyDescent="0.2"/>
    <row r="4691" customFormat="1" x14ac:dyDescent="0.2"/>
    <row r="4692" customFormat="1" x14ac:dyDescent="0.2"/>
    <row r="4693" customFormat="1" x14ac:dyDescent="0.2"/>
    <row r="4694" customFormat="1" x14ac:dyDescent="0.2"/>
    <row r="4695" customFormat="1" x14ac:dyDescent="0.2"/>
    <row r="4696" customFormat="1" x14ac:dyDescent="0.2"/>
    <row r="4697" customFormat="1" x14ac:dyDescent="0.2"/>
    <row r="4698" customFormat="1" x14ac:dyDescent="0.2"/>
    <row r="4699" customFormat="1" x14ac:dyDescent="0.2"/>
    <row r="4700" customFormat="1" x14ac:dyDescent="0.2"/>
    <row r="4701" customFormat="1" x14ac:dyDescent="0.2"/>
    <row r="4702" customFormat="1" x14ac:dyDescent="0.2"/>
    <row r="4703" customFormat="1" x14ac:dyDescent="0.2"/>
    <row r="4704" customFormat="1" x14ac:dyDescent="0.2"/>
    <row r="4705" customFormat="1" x14ac:dyDescent="0.2"/>
    <row r="4706" customFormat="1" x14ac:dyDescent="0.2"/>
    <row r="4707" customFormat="1" x14ac:dyDescent="0.2"/>
    <row r="4708" customFormat="1" x14ac:dyDescent="0.2"/>
    <row r="4709" customFormat="1" x14ac:dyDescent="0.2"/>
    <row r="4710" customFormat="1" x14ac:dyDescent="0.2"/>
    <row r="4711" customFormat="1" x14ac:dyDescent="0.2"/>
    <row r="4712" customFormat="1" x14ac:dyDescent="0.2"/>
    <row r="4713" customFormat="1" x14ac:dyDescent="0.2"/>
    <row r="4714" customFormat="1" x14ac:dyDescent="0.2"/>
    <row r="4715" customFormat="1" x14ac:dyDescent="0.2"/>
    <row r="4716" customFormat="1" x14ac:dyDescent="0.2"/>
    <row r="4717" customFormat="1" x14ac:dyDescent="0.2"/>
    <row r="4718" customFormat="1" x14ac:dyDescent="0.2"/>
    <row r="4719" customFormat="1" x14ac:dyDescent="0.2"/>
    <row r="4720" customFormat="1" x14ac:dyDescent="0.2"/>
    <row r="4721" customFormat="1" x14ac:dyDescent="0.2"/>
    <row r="4722" customFormat="1" x14ac:dyDescent="0.2"/>
    <row r="4723" customFormat="1" x14ac:dyDescent="0.2"/>
    <row r="4724" customFormat="1" x14ac:dyDescent="0.2"/>
    <row r="4725" customFormat="1" x14ac:dyDescent="0.2"/>
    <row r="4726" customFormat="1" x14ac:dyDescent="0.2"/>
    <row r="4727" customFormat="1" x14ac:dyDescent="0.2"/>
    <row r="4728" customFormat="1" x14ac:dyDescent="0.2"/>
    <row r="4729" customFormat="1" x14ac:dyDescent="0.2"/>
    <row r="4730" customFormat="1" x14ac:dyDescent="0.2"/>
    <row r="4731" customFormat="1" x14ac:dyDescent="0.2"/>
    <row r="4732" customFormat="1" x14ac:dyDescent="0.2"/>
    <row r="4733" customFormat="1" x14ac:dyDescent="0.2"/>
    <row r="4734" customFormat="1" x14ac:dyDescent="0.2"/>
    <row r="4735" customFormat="1" x14ac:dyDescent="0.2"/>
    <row r="4736" customFormat="1" x14ac:dyDescent="0.2"/>
    <row r="4737" customFormat="1" x14ac:dyDescent="0.2"/>
    <row r="4738" customFormat="1" x14ac:dyDescent="0.2"/>
    <row r="4739" customFormat="1" x14ac:dyDescent="0.2"/>
    <row r="4740" customFormat="1" x14ac:dyDescent="0.2"/>
    <row r="4741" customFormat="1" x14ac:dyDescent="0.2"/>
    <row r="4742" customFormat="1" x14ac:dyDescent="0.2"/>
    <row r="4743" customFormat="1" x14ac:dyDescent="0.2"/>
    <row r="4744" customFormat="1" x14ac:dyDescent="0.2"/>
    <row r="4745" customFormat="1" x14ac:dyDescent="0.2"/>
    <row r="4746" customFormat="1" x14ac:dyDescent="0.2"/>
    <row r="4747" customFormat="1" x14ac:dyDescent="0.2"/>
    <row r="4748" customFormat="1" x14ac:dyDescent="0.2"/>
    <row r="4749" customFormat="1" x14ac:dyDescent="0.2"/>
    <row r="4750" customFormat="1" x14ac:dyDescent="0.2"/>
    <row r="4751" customFormat="1" x14ac:dyDescent="0.2"/>
    <row r="4752" customFormat="1" x14ac:dyDescent="0.2"/>
    <row r="4753" customFormat="1" x14ac:dyDescent="0.2"/>
    <row r="4754" customFormat="1" x14ac:dyDescent="0.2"/>
    <row r="4755" customFormat="1" x14ac:dyDescent="0.2"/>
    <row r="4756" customFormat="1" x14ac:dyDescent="0.2"/>
    <row r="4757" customFormat="1" x14ac:dyDescent="0.2"/>
    <row r="4758" customFormat="1" x14ac:dyDescent="0.2"/>
    <row r="4759" customFormat="1" x14ac:dyDescent="0.2"/>
    <row r="4760" customFormat="1" x14ac:dyDescent="0.2"/>
    <row r="4761" customFormat="1" x14ac:dyDescent="0.2"/>
    <row r="4762" customFormat="1" x14ac:dyDescent="0.2"/>
    <row r="4763" customFormat="1" x14ac:dyDescent="0.2"/>
    <row r="4764" customFormat="1" x14ac:dyDescent="0.2"/>
    <row r="4765" customFormat="1" x14ac:dyDescent="0.2"/>
    <row r="4766" customFormat="1" x14ac:dyDescent="0.2"/>
    <row r="4767" customFormat="1" x14ac:dyDescent="0.2"/>
    <row r="4768" customFormat="1" x14ac:dyDescent="0.2"/>
    <row r="4769" customFormat="1" x14ac:dyDescent="0.2"/>
    <row r="4770" customFormat="1" x14ac:dyDescent="0.2"/>
    <row r="4771" customFormat="1" x14ac:dyDescent="0.2"/>
    <row r="4772" customFormat="1" x14ac:dyDescent="0.2"/>
    <row r="4773" customFormat="1" x14ac:dyDescent="0.2"/>
    <row r="4774" customFormat="1" x14ac:dyDescent="0.2"/>
    <row r="4775" customFormat="1" x14ac:dyDescent="0.2"/>
    <row r="4776" customFormat="1" x14ac:dyDescent="0.2"/>
    <row r="4777" customFormat="1" x14ac:dyDescent="0.2"/>
    <row r="4778" customFormat="1" x14ac:dyDescent="0.2"/>
    <row r="4779" customFormat="1" x14ac:dyDescent="0.2"/>
    <row r="4780" customFormat="1" x14ac:dyDescent="0.2"/>
    <row r="4781" customFormat="1" x14ac:dyDescent="0.2"/>
    <row r="4782" customFormat="1" x14ac:dyDescent="0.2"/>
    <row r="4783" customFormat="1" x14ac:dyDescent="0.2"/>
    <row r="4784" customFormat="1" x14ac:dyDescent="0.2"/>
    <row r="4785" customFormat="1" x14ac:dyDescent="0.2"/>
    <row r="4786" customFormat="1" x14ac:dyDescent="0.2"/>
    <row r="4787" customFormat="1" x14ac:dyDescent="0.2"/>
    <row r="4788" customFormat="1" x14ac:dyDescent="0.2"/>
    <row r="4789" customFormat="1" x14ac:dyDescent="0.2"/>
    <row r="4790" customFormat="1" x14ac:dyDescent="0.2"/>
    <row r="4791" customFormat="1" x14ac:dyDescent="0.2"/>
    <row r="4792" customFormat="1" x14ac:dyDescent="0.2"/>
    <row r="4793" customFormat="1" x14ac:dyDescent="0.2"/>
    <row r="4794" customFormat="1" x14ac:dyDescent="0.2"/>
    <row r="4795" customFormat="1" x14ac:dyDescent="0.2"/>
    <row r="4796" customFormat="1" x14ac:dyDescent="0.2"/>
    <row r="4797" customFormat="1" x14ac:dyDescent="0.2"/>
    <row r="4798" customFormat="1" x14ac:dyDescent="0.2"/>
    <row r="4799" customFormat="1" x14ac:dyDescent="0.2"/>
    <row r="4800" customFormat="1" x14ac:dyDescent="0.2"/>
    <row r="4801" customFormat="1" x14ac:dyDescent="0.2"/>
    <row r="4802" customFormat="1" x14ac:dyDescent="0.2"/>
    <row r="4803" customFormat="1" x14ac:dyDescent="0.2"/>
    <row r="4804" customFormat="1" x14ac:dyDescent="0.2"/>
    <row r="4805" customFormat="1" x14ac:dyDescent="0.2"/>
    <row r="4806" customFormat="1" x14ac:dyDescent="0.2"/>
    <row r="4807" customFormat="1" x14ac:dyDescent="0.2"/>
    <row r="4808" customFormat="1" x14ac:dyDescent="0.2"/>
    <row r="4809" customFormat="1" x14ac:dyDescent="0.2"/>
    <row r="4810" customFormat="1" x14ac:dyDescent="0.2"/>
    <row r="4811" customFormat="1" x14ac:dyDescent="0.2"/>
    <row r="4812" customFormat="1" x14ac:dyDescent="0.2"/>
    <row r="4813" customFormat="1" x14ac:dyDescent="0.2"/>
    <row r="4814" customFormat="1" x14ac:dyDescent="0.2"/>
    <row r="4815" customFormat="1" x14ac:dyDescent="0.2"/>
    <row r="4816" customFormat="1" x14ac:dyDescent="0.2"/>
    <row r="4817" customFormat="1" x14ac:dyDescent="0.2"/>
    <row r="4818" customFormat="1" x14ac:dyDescent="0.2"/>
    <row r="4819" customFormat="1" x14ac:dyDescent="0.2"/>
    <row r="4820" customFormat="1" x14ac:dyDescent="0.2"/>
    <row r="4821" customFormat="1" x14ac:dyDescent="0.2"/>
    <row r="4822" customFormat="1" x14ac:dyDescent="0.2"/>
    <row r="4823" customFormat="1" x14ac:dyDescent="0.2"/>
    <row r="4824" customFormat="1" x14ac:dyDescent="0.2"/>
    <row r="4825" customFormat="1" x14ac:dyDescent="0.2"/>
    <row r="4826" customFormat="1" x14ac:dyDescent="0.2"/>
    <row r="4827" customFormat="1" x14ac:dyDescent="0.2"/>
    <row r="4828" customFormat="1" x14ac:dyDescent="0.2"/>
    <row r="4829" customFormat="1" x14ac:dyDescent="0.2"/>
    <row r="4830" customFormat="1" x14ac:dyDescent="0.2"/>
    <row r="4831" customFormat="1" x14ac:dyDescent="0.2"/>
    <row r="4832" customFormat="1" x14ac:dyDescent="0.2"/>
    <row r="4833" customFormat="1" x14ac:dyDescent="0.2"/>
    <row r="4834" customFormat="1" x14ac:dyDescent="0.2"/>
    <row r="4835" customFormat="1" x14ac:dyDescent="0.2"/>
    <row r="4836" customFormat="1" x14ac:dyDescent="0.2"/>
    <row r="4837" customFormat="1" x14ac:dyDescent="0.2"/>
    <row r="4838" customFormat="1" x14ac:dyDescent="0.2"/>
    <row r="4839" customFormat="1" x14ac:dyDescent="0.2"/>
    <row r="4840" customFormat="1" x14ac:dyDescent="0.2"/>
    <row r="4841" customFormat="1" x14ac:dyDescent="0.2"/>
    <row r="4842" customFormat="1" x14ac:dyDescent="0.2"/>
    <row r="4843" customFormat="1" x14ac:dyDescent="0.2"/>
    <row r="4844" customFormat="1" x14ac:dyDescent="0.2"/>
    <row r="4845" customFormat="1" x14ac:dyDescent="0.2"/>
    <row r="4846" customFormat="1" x14ac:dyDescent="0.2"/>
    <row r="4847" customFormat="1" x14ac:dyDescent="0.2"/>
    <row r="4848" customFormat="1" x14ac:dyDescent="0.2"/>
    <row r="4849" customFormat="1" x14ac:dyDescent="0.2"/>
    <row r="4850" customFormat="1" x14ac:dyDescent="0.2"/>
    <row r="4851" customFormat="1" x14ac:dyDescent="0.2"/>
    <row r="4852" customFormat="1" x14ac:dyDescent="0.2"/>
    <row r="4853" customFormat="1" x14ac:dyDescent="0.2"/>
    <row r="4854" customFormat="1" x14ac:dyDescent="0.2"/>
    <row r="4855" customFormat="1" x14ac:dyDescent="0.2"/>
    <row r="4856" customFormat="1" x14ac:dyDescent="0.2"/>
    <row r="4857" customFormat="1" x14ac:dyDescent="0.2"/>
    <row r="4858" customFormat="1" x14ac:dyDescent="0.2"/>
    <row r="4859" customFormat="1" x14ac:dyDescent="0.2"/>
    <row r="4860" customFormat="1" x14ac:dyDescent="0.2"/>
    <row r="4861" customFormat="1" x14ac:dyDescent="0.2"/>
    <row r="4862" customFormat="1" x14ac:dyDescent="0.2"/>
    <row r="4863" customFormat="1" x14ac:dyDescent="0.2"/>
    <row r="4864" customFormat="1" x14ac:dyDescent="0.2"/>
    <row r="4865" customFormat="1" x14ac:dyDescent="0.2"/>
    <row r="4866" customFormat="1" x14ac:dyDescent="0.2"/>
    <row r="4867" customFormat="1" x14ac:dyDescent="0.2"/>
    <row r="4868" customFormat="1" x14ac:dyDescent="0.2"/>
    <row r="4869" customFormat="1" x14ac:dyDescent="0.2"/>
    <row r="4870" customFormat="1" x14ac:dyDescent="0.2"/>
    <row r="4871" customFormat="1" x14ac:dyDescent="0.2"/>
    <row r="4872" customFormat="1" x14ac:dyDescent="0.2"/>
    <row r="4873" customFormat="1" x14ac:dyDescent="0.2"/>
    <row r="4874" customFormat="1" x14ac:dyDescent="0.2"/>
    <row r="4875" customFormat="1" x14ac:dyDescent="0.2"/>
    <row r="4876" customFormat="1" x14ac:dyDescent="0.2"/>
    <row r="4877" customFormat="1" x14ac:dyDescent="0.2"/>
    <row r="4878" customFormat="1" x14ac:dyDescent="0.2"/>
    <row r="4879" customFormat="1" x14ac:dyDescent="0.2"/>
    <row r="4880" customFormat="1" x14ac:dyDescent="0.2"/>
    <row r="4881" customFormat="1" x14ac:dyDescent="0.2"/>
    <row r="4882" customFormat="1" x14ac:dyDescent="0.2"/>
    <row r="4883" customFormat="1" x14ac:dyDescent="0.2"/>
    <row r="4884" customFormat="1" x14ac:dyDescent="0.2"/>
    <row r="4885" customFormat="1" x14ac:dyDescent="0.2"/>
    <row r="4886" customFormat="1" x14ac:dyDescent="0.2"/>
    <row r="4887" customFormat="1" x14ac:dyDescent="0.2"/>
    <row r="4888" customFormat="1" x14ac:dyDescent="0.2"/>
    <row r="4889" customFormat="1" x14ac:dyDescent="0.2"/>
    <row r="4890" customFormat="1" x14ac:dyDescent="0.2"/>
    <row r="4891" customFormat="1" x14ac:dyDescent="0.2"/>
    <row r="4892" customFormat="1" x14ac:dyDescent="0.2"/>
    <row r="4893" customFormat="1" x14ac:dyDescent="0.2"/>
    <row r="4894" customFormat="1" x14ac:dyDescent="0.2"/>
    <row r="4895" customFormat="1" x14ac:dyDescent="0.2"/>
    <row r="4896" customFormat="1" x14ac:dyDescent="0.2"/>
    <row r="4897" customFormat="1" x14ac:dyDescent="0.2"/>
    <row r="4898" customFormat="1" x14ac:dyDescent="0.2"/>
    <row r="4899" customFormat="1" x14ac:dyDescent="0.2"/>
    <row r="4900" customFormat="1" x14ac:dyDescent="0.2"/>
    <row r="4901" customFormat="1" x14ac:dyDescent="0.2"/>
    <row r="4902" customFormat="1" x14ac:dyDescent="0.2"/>
    <row r="4903" customFormat="1" x14ac:dyDescent="0.2"/>
    <row r="4904" customFormat="1" x14ac:dyDescent="0.2"/>
    <row r="4905" customFormat="1" x14ac:dyDescent="0.2"/>
    <row r="4906" customFormat="1" x14ac:dyDescent="0.2"/>
    <row r="4907" customFormat="1" x14ac:dyDescent="0.2"/>
    <row r="4908" customFormat="1" x14ac:dyDescent="0.2"/>
    <row r="4909" customFormat="1" x14ac:dyDescent="0.2"/>
    <row r="4910" customFormat="1" x14ac:dyDescent="0.2"/>
    <row r="4911" customFormat="1" x14ac:dyDescent="0.2"/>
    <row r="4912" customFormat="1" x14ac:dyDescent="0.2"/>
    <row r="4913" customFormat="1" x14ac:dyDescent="0.2"/>
    <row r="4914" customFormat="1" x14ac:dyDescent="0.2"/>
    <row r="4915" customFormat="1" x14ac:dyDescent="0.2"/>
    <row r="4916" customFormat="1" x14ac:dyDescent="0.2"/>
    <row r="4917" customFormat="1" x14ac:dyDescent="0.2"/>
    <row r="4918" customFormat="1" x14ac:dyDescent="0.2"/>
    <row r="4919" customFormat="1" x14ac:dyDescent="0.2"/>
    <row r="4920" customFormat="1" x14ac:dyDescent="0.2"/>
    <row r="4921" customFormat="1" x14ac:dyDescent="0.2"/>
    <row r="4922" customFormat="1" x14ac:dyDescent="0.2"/>
    <row r="4923" customFormat="1" x14ac:dyDescent="0.2"/>
    <row r="4924" customFormat="1" x14ac:dyDescent="0.2"/>
    <row r="4925" customFormat="1" x14ac:dyDescent="0.2"/>
    <row r="4926" customFormat="1" x14ac:dyDescent="0.2"/>
    <row r="4927" customFormat="1" x14ac:dyDescent="0.2"/>
    <row r="4928" customFormat="1" x14ac:dyDescent="0.2"/>
    <row r="4929" customFormat="1" x14ac:dyDescent="0.2"/>
    <row r="4930" customFormat="1" x14ac:dyDescent="0.2"/>
    <row r="4931" customFormat="1" x14ac:dyDescent="0.2"/>
    <row r="4932" customFormat="1" x14ac:dyDescent="0.2"/>
    <row r="4933" customFormat="1" x14ac:dyDescent="0.2"/>
    <row r="4934" customFormat="1" x14ac:dyDescent="0.2"/>
    <row r="4935" customFormat="1" x14ac:dyDescent="0.2"/>
    <row r="4936" customFormat="1" x14ac:dyDescent="0.2"/>
    <row r="4937" customFormat="1" x14ac:dyDescent="0.2"/>
    <row r="4938" customFormat="1" x14ac:dyDescent="0.2"/>
    <row r="4939" customFormat="1" x14ac:dyDescent="0.2"/>
    <row r="4940" customFormat="1" x14ac:dyDescent="0.2"/>
    <row r="4941" customFormat="1" x14ac:dyDescent="0.2"/>
    <row r="4942" customFormat="1" x14ac:dyDescent="0.2"/>
    <row r="4943" customFormat="1" x14ac:dyDescent="0.2"/>
    <row r="4944" customFormat="1" x14ac:dyDescent="0.2"/>
    <row r="4945" customFormat="1" x14ac:dyDescent="0.2"/>
    <row r="4946" customFormat="1" x14ac:dyDescent="0.2"/>
    <row r="4947" customFormat="1" x14ac:dyDescent="0.2"/>
    <row r="4948" customFormat="1" x14ac:dyDescent="0.2"/>
    <row r="4949" customFormat="1" x14ac:dyDescent="0.2"/>
    <row r="4950" customFormat="1" x14ac:dyDescent="0.2"/>
    <row r="4951" customFormat="1" x14ac:dyDescent="0.2"/>
    <row r="4952" customFormat="1" x14ac:dyDescent="0.2"/>
    <row r="4953" customFormat="1" x14ac:dyDescent="0.2"/>
    <row r="4954" customFormat="1" x14ac:dyDescent="0.2"/>
    <row r="4955" customFormat="1" x14ac:dyDescent="0.2"/>
    <row r="4956" customFormat="1" x14ac:dyDescent="0.2"/>
    <row r="4957" customFormat="1" x14ac:dyDescent="0.2"/>
    <row r="4958" customFormat="1" x14ac:dyDescent="0.2"/>
    <row r="4959" customFormat="1" x14ac:dyDescent="0.2"/>
    <row r="4960" customFormat="1" x14ac:dyDescent="0.2"/>
    <row r="4961" customFormat="1" x14ac:dyDescent="0.2"/>
    <row r="4962" customFormat="1" x14ac:dyDescent="0.2"/>
    <row r="4963" customFormat="1" x14ac:dyDescent="0.2"/>
    <row r="4964" customFormat="1" x14ac:dyDescent="0.2"/>
    <row r="4965" customFormat="1" x14ac:dyDescent="0.2"/>
    <row r="4966" customFormat="1" x14ac:dyDescent="0.2"/>
    <row r="4967" customFormat="1" x14ac:dyDescent="0.2"/>
    <row r="4968" customFormat="1" x14ac:dyDescent="0.2"/>
    <row r="4969" customFormat="1" x14ac:dyDescent="0.2"/>
    <row r="4970" customFormat="1" x14ac:dyDescent="0.2"/>
    <row r="4971" customFormat="1" x14ac:dyDescent="0.2"/>
    <row r="4972" customFormat="1" x14ac:dyDescent="0.2"/>
    <row r="4973" customFormat="1" x14ac:dyDescent="0.2"/>
    <row r="4974" customFormat="1" x14ac:dyDescent="0.2"/>
    <row r="4975" customFormat="1" x14ac:dyDescent="0.2"/>
    <row r="4976" customFormat="1" x14ac:dyDescent="0.2"/>
    <row r="4977" customFormat="1" x14ac:dyDescent="0.2"/>
    <row r="4978" customFormat="1" x14ac:dyDescent="0.2"/>
    <row r="4979" customFormat="1" x14ac:dyDescent="0.2"/>
    <row r="4980" customFormat="1" x14ac:dyDescent="0.2"/>
    <row r="4981" customFormat="1" x14ac:dyDescent="0.2"/>
    <row r="4982" customFormat="1" x14ac:dyDescent="0.2"/>
    <row r="4983" customFormat="1" x14ac:dyDescent="0.2"/>
    <row r="4984" customFormat="1" x14ac:dyDescent="0.2"/>
    <row r="4985" customFormat="1" x14ac:dyDescent="0.2"/>
    <row r="4986" customFormat="1" x14ac:dyDescent="0.2"/>
    <row r="4987" customFormat="1" x14ac:dyDescent="0.2"/>
    <row r="4988" customFormat="1" x14ac:dyDescent="0.2"/>
    <row r="4989" customFormat="1" x14ac:dyDescent="0.2"/>
    <row r="4990" customFormat="1" x14ac:dyDescent="0.2"/>
    <row r="4991" customFormat="1" x14ac:dyDescent="0.2"/>
    <row r="4992" customFormat="1" x14ac:dyDescent="0.2"/>
    <row r="4993" customFormat="1" x14ac:dyDescent="0.2"/>
    <row r="4994" customFormat="1" x14ac:dyDescent="0.2"/>
    <row r="4995" customFormat="1" x14ac:dyDescent="0.2"/>
    <row r="4996" customFormat="1" x14ac:dyDescent="0.2"/>
    <row r="4997" customFormat="1" x14ac:dyDescent="0.2"/>
    <row r="4998" customFormat="1" x14ac:dyDescent="0.2"/>
    <row r="4999" customFormat="1" x14ac:dyDescent="0.2"/>
    <row r="5000" customFormat="1" x14ac:dyDescent="0.2"/>
    <row r="5001" customFormat="1" x14ac:dyDescent="0.2"/>
    <row r="5002" customFormat="1" x14ac:dyDescent="0.2"/>
    <row r="5003" customFormat="1" x14ac:dyDescent="0.2"/>
    <row r="5004" customFormat="1" x14ac:dyDescent="0.2"/>
    <row r="5005" customFormat="1" x14ac:dyDescent="0.2"/>
    <row r="5006" customFormat="1" x14ac:dyDescent="0.2"/>
    <row r="5007" customFormat="1" x14ac:dyDescent="0.2"/>
    <row r="5008" customFormat="1" x14ac:dyDescent="0.2"/>
    <row r="5009" customFormat="1" x14ac:dyDescent="0.2"/>
    <row r="5010" customFormat="1" x14ac:dyDescent="0.2"/>
    <row r="5011" customFormat="1" x14ac:dyDescent="0.2"/>
    <row r="5012" customFormat="1" x14ac:dyDescent="0.2"/>
    <row r="5013" customFormat="1" x14ac:dyDescent="0.2"/>
    <row r="5014" customFormat="1" x14ac:dyDescent="0.2"/>
    <row r="5015" customFormat="1" x14ac:dyDescent="0.2"/>
    <row r="5016" customFormat="1" x14ac:dyDescent="0.2"/>
    <row r="5017" customFormat="1" x14ac:dyDescent="0.2"/>
    <row r="5018" customFormat="1" x14ac:dyDescent="0.2"/>
    <row r="5019" customFormat="1" x14ac:dyDescent="0.2"/>
    <row r="5020" customFormat="1" x14ac:dyDescent="0.2"/>
    <row r="5021" customFormat="1" x14ac:dyDescent="0.2"/>
    <row r="5022" customFormat="1" x14ac:dyDescent="0.2"/>
    <row r="5023" customFormat="1" x14ac:dyDescent="0.2"/>
    <row r="5024" customFormat="1" x14ac:dyDescent="0.2"/>
    <row r="5025" customFormat="1" x14ac:dyDescent="0.2"/>
    <row r="5026" customFormat="1" x14ac:dyDescent="0.2"/>
    <row r="5027" customFormat="1" x14ac:dyDescent="0.2"/>
    <row r="5028" customFormat="1" x14ac:dyDescent="0.2"/>
    <row r="5029" customFormat="1" x14ac:dyDescent="0.2"/>
    <row r="5030" customFormat="1" x14ac:dyDescent="0.2"/>
    <row r="5031" customFormat="1" x14ac:dyDescent="0.2"/>
    <row r="5032" customFormat="1" x14ac:dyDescent="0.2"/>
    <row r="5033" customFormat="1" x14ac:dyDescent="0.2"/>
    <row r="5034" customFormat="1" x14ac:dyDescent="0.2"/>
    <row r="5035" customFormat="1" x14ac:dyDescent="0.2"/>
    <row r="5036" customFormat="1" x14ac:dyDescent="0.2"/>
    <row r="5037" customFormat="1" x14ac:dyDescent="0.2"/>
    <row r="5038" customFormat="1" x14ac:dyDescent="0.2"/>
    <row r="5039" customFormat="1" x14ac:dyDescent="0.2"/>
    <row r="5040" customFormat="1" x14ac:dyDescent="0.2"/>
    <row r="5041" customFormat="1" x14ac:dyDescent="0.2"/>
    <row r="5042" customFormat="1" x14ac:dyDescent="0.2"/>
    <row r="5043" customFormat="1" x14ac:dyDescent="0.2"/>
    <row r="5044" customFormat="1" x14ac:dyDescent="0.2"/>
    <row r="5045" customFormat="1" x14ac:dyDescent="0.2"/>
    <row r="5046" customFormat="1" x14ac:dyDescent="0.2"/>
    <row r="5047" customFormat="1" x14ac:dyDescent="0.2"/>
    <row r="5048" customFormat="1" x14ac:dyDescent="0.2"/>
    <row r="5049" customFormat="1" x14ac:dyDescent="0.2"/>
    <row r="5050" customFormat="1" x14ac:dyDescent="0.2"/>
    <row r="5051" customFormat="1" x14ac:dyDescent="0.2"/>
    <row r="5052" customFormat="1" x14ac:dyDescent="0.2"/>
    <row r="5053" customFormat="1" x14ac:dyDescent="0.2"/>
    <row r="5054" customFormat="1" x14ac:dyDescent="0.2"/>
    <row r="5055" customFormat="1" x14ac:dyDescent="0.2"/>
    <row r="5056" customFormat="1" x14ac:dyDescent="0.2"/>
    <row r="5057" customFormat="1" x14ac:dyDescent="0.2"/>
    <row r="5058" customFormat="1" x14ac:dyDescent="0.2"/>
    <row r="5059" customFormat="1" x14ac:dyDescent="0.2"/>
    <row r="5060" customFormat="1" x14ac:dyDescent="0.2"/>
    <row r="5061" customFormat="1" x14ac:dyDescent="0.2"/>
    <row r="5062" customFormat="1" x14ac:dyDescent="0.2"/>
    <row r="5063" customFormat="1" x14ac:dyDescent="0.2"/>
    <row r="5064" customFormat="1" x14ac:dyDescent="0.2"/>
    <row r="5065" customFormat="1" x14ac:dyDescent="0.2"/>
    <row r="5066" customFormat="1" x14ac:dyDescent="0.2"/>
    <row r="5067" customFormat="1" x14ac:dyDescent="0.2"/>
    <row r="5068" customFormat="1" x14ac:dyDescent="0.2"/>
    <row r="5069" customFormat="1" x14ac:dyDescent="0.2"/>
    <row r="5070" customFormat="1" x14ac:dyDescent="0.2"/>
    <row r="5071" customFormat="1" x14ac:dyDescent="0.2"/>
    <row r="5072" customFormat="1" x14ac:dyDescent="0.2"/>
    <row r="5073" customFormat="1" x14ac:dyDescent="0.2"/>
    <row r="5074" customFormat="1" x14ac:dyDescent="0.2"/>
    <row r="5075" customFormat="1" x14ac:dyDescent="0.2"/>
    <row r="5076" customFormat="1" x14ac:dyDescent="0.2"/>
    <row r="5077" customFormat="1" x14ac:dyDescent="0.2"/>
    <row r="5078" customFormat="1" x14ac:dyDescent="0.2"/>
    <row r="5079" customFormat="1" x14ac:dyDescent="0.2"/>
    <row r="5080" customFormat="1" x14ac:dyDescent="0.2"/>
    <row r="5081" customFormat="1" x14ac:dyDescent="0.2"/>
    <row r="5082" customFormat="1" x14ac:dyDescent="0.2"/>
    <row r="5083" customFormat="1" x14ac:dyDescent="0.2"/>
    <row r="5084" customFormat="1" x14ac:dyDescent="0.2"/>
    <row r="5085" customFormat="1" x14ac:dyDescent="0.2"/>
    <row r="5086" customFormat="1" x14ac:dyDescent="0.2"/>
    <row r="5087" customFormat="1" x14ac:dyDescent="0.2"/>
    <row r="5088" customFormat="1" x14ac:dyDescent="0.2"/>
    <row r="5089" customFormat="1" x14ac:dyDescent="0.2"/>
    <row r="5090" customFormat="1" x14ac:dyDescent="0.2"/>
    <row r="5091" customFormat="1" x14ac:dyDescent="0.2"/>
    <row r="5092" customFormat="1" x14ac:dyDescent="0.2"/>
    <row r="5093" customFormat="1" x14ac:dyDescent="0.2"/>
    <row r="5094" customFormat="1" x14ac:dyDescent="0.2"/>
    <row r="5095" customFormat="1" x14ac:dyDescent="0.2"/>
    <row r="5096" customFormat="1" x14ac:dyDescent="0.2"/>
    <row r="5097" customFormat="1" x14ac:dyDescent="0.2"/>
    <row r="5098" customFormat="1" x14ac:dyDescent="0.2"/>
    <row r="5099" customFormat="1" x14ac:dyDescent="0.2"/>
    <row r="5100" customFormat="1" x14ac:dyDescent="0.2"/>
    <row r="5101" customFormat="1" x14ac:dyDescent="0.2"/>
    <row r="5102" customFormat="1" x14ac:dyDescent="0.2"/>
    <row r="5103" customFormat="1" x14ac:dyDescent="0.2"/>
    <row r="5104" customFormat="1" x14ac:dyDescent="0.2"/>
    <row r="5105" customFormat="1" x14ac:dyDescent="0.2"/>
    <row r="5106" customFormat="1" x14ac:dyDescent="0.2"/>
    <row r="5107" customFormat="1" x14ac:dyDescent="0.2"/>
    <row r="5108" customFormat="1" x14ac:dyDescent="0.2"/>
    <row r="5109" customFormat="1" x14ac:dyDescent="0.2"/>
    <row r="5110" customFormat="1" x14ac:dyDescent="0.2"/>
    <row r="5111" customFormat="1" x14ac:dyDescent="0.2"/>
    <row r="5112" customFormat="1" x14ac:dyDescent="0.2"/>
    <row r="5113" customFormat="1" x14ac:dyDescent="0.2"/>
    <row r="5114" customFormat="1" x14ac:dyDescent="0.2"/>
    <row r="5115" customFormat="1" x14ac:dyDescent="0.2"/>
    <row r="5116" customFormat="1" x14ac:dyDescent="0.2"/>
    <row r="5117" customFormat="1" x14ac:dyDescent="0.2"/>
    <row r="5118" customFormat="1" x14ac:dyDescent="0.2"/>
    <row r="5119" customFormat="1" x14ac:dyDescent="0.2"/>
    <row r="5120" customFormat="1" x14ac:dyDescent="0.2"/>
    <row r="5121" customFormat="1" x14ac:dyDescent="0.2"/>
    <row r="5122" customFormat="1" x14ac:dyDescent="0.2"/>
    <row r="5123" customFormat="1" x14ac:dyDescent="0.2"/>
    <row r="5124" customFormat="1" x14ac:dyDescent="0.2"/>
    <row r="5125" customFormat="1" x14ac:dyDescent="0.2"/>
    <row r="5126" customFormat="1" x14ac:dyDescent="0.2"/>
    <row r="5127" customFormat="1" x14ac:dyDescent="0.2"/>
    <row r="5128" customFormat="1" x14ac:dyDescent="0.2"/>
    <row r="5129" customFormat="1" x14ac:dyDescent="0.2"/>
    <row r="5130" customFormat="1" x14ac:dyDescent="0.2"/>
    <row r="5131" customFormat="1" x14ac:dyDescent="0.2"/>
    <row r="5132" customFormat="1" x14ac:dyDescent="0.2"/>
    <row r="5133" customFormat="1" x14ac:dyDescent="0.2"/>
    <row r="5134" customFormat="1" x14ac:dyDescent="0.2"/>
    <row r="5135" customFormat="1" x14ac:dyDescent="0.2"/>
    <row r="5136" customFormat="1" x14ac:dyDescent="0.2"/>
    <row r="5137" customFormat="1" x14ac:dyDescent="0.2"/>
    <row r="5138" customFormat="1" x14ac:dyDescent="0.2"/>
    <row r="5139" customFormat="1" x14ac:dyDescent="0.2"/>
    <row r="5140" customFormat="1" x14ac:dyDescent="0.2"/>
    <row r="5141" customFormat="1" x14ac:dyDescent="0.2"/>
    <row r="5142" customFormat="1" x14ac:dyDescent="0.2"/>
    <row r="5143" customFormat="1" x14ac:dyDescent="0.2"/>
    <row r="5144" customFormat="1" x14ac:dyDescent="0.2"/>
    <row r="5145" customFormat="1" x14ac:dyDescent="0.2"/>
    <row r="5146" customFormat="1" x14ac:dyDescent="0.2"/>
    <row r="5147" customFormat="1" x14ac:dyDescent="0.2"/>
    <row r="5148" customFormat="1" x14ac:dyDescent="0.2"/>
    <row r="5149" customFormat="1" x14ac:dyDescent="0.2"/>
    <row r="5150" customFormat="1" x14ac:dyDescent="0.2"/>
    <row r="5151" customFormat="1" x14ac:dyDescent="0.2"/>
    <row r="5152" customFormat="1" x14ac:dyDescent="0.2"/>
    <row r="5153" customFormat="1" x14ac:dyDescent="0.2"/>
    <row r="5154" customFormat="1" x14ac:dyDescent="0.2"/>
    <row r="5155" customFormat="1" x14ac:dyDescent="0.2"/>
    <row r="5156" customFormat="1" x14ac:dyDescent="0.2"/>
    <row r="5157" customFormat="1" x14ac:dyDescent="0.2"/>
    <row r="5158" customFormat="1" x14ac:dyDescent="0.2"/>
    <row r="5159" customFormat="1" x14ac:dyDescent="0.2"/>
    <row r="5160" customFormat="1" x14ac:dyDescent="0.2"/>
    <row r="5161" customFormat="1" x14ac:dyDescent="0.2"/>
    <row r="5162" customFormat="1" x14ac:dyDescent="0.2"/>
    <row r="5163" customFormat="1" x14ac:dyDescent="0.2"/>
    <row r="5164" customFormat="1" x14ac:dyDescent="0.2"/>
    <row r="5165" customFormat="1" x14ac:dyDescent="0.2"/>
    <row r="5166" customFormat="1" x14ac:dyDescent="0.2"/>
    <row r="5167" customFormat="1" x14ac:dyDescent="0.2"/>
    <row r="5168" customFormat="1" x14ac:dyDescent="0.2"/>
    <row r="5169" customFormat="1" x14ac:dyDescent="0.2"/>
    <row r="5170" customFormat="1" x14ac:dyDescent="0.2"/>
    <row r="5171" customFormat="1" x14ac:dyDescent="0.2"/>
    <row r="5172" customFormat="1" x14ac:dyDescent="0.2"/>
    <row r="5173" customFormat="1" x14ac:dyDescent="0.2"/>
    <row r="5174" customFormat="1" x14ac:dyDescent="0.2"/>
    <row r="5175" customFormat="1" x14ac:dyDescent="0.2"/>
    <row r="5176" customFormat="1" x14ac:dyDescent="0.2"/>
    <row r="5177" customFormat="1" x14ac:dyDescent="0.2"/>
    <row r="5178" customFormat="1" x14ac:dyDescent="0.2"/>
    <row r="5179" customFormat="1" x14ac:dyDescent="0.2"/>
    <row r="5180" customFormat="1" x14ac:dyDescent="0.2"/>
    <row r="5181" customFormat="1" x14ac:dyDescent="0.2"/>
    <row r="5182" customFormat="1" x14ac:dyDescent="0.2"/>
    <row r="5183" customFormat="1" x14ac:dyDescent="0.2"/>
    <row r="5184" customFormat="1" x14ac:dyDescent="0.2"/>
    <row r="5185" customFormat="1" x14ac:dyDescent="0.2"/>
    <row r="5186" customFormat="1" x14ac:dyDescent="0.2"/>
    <row r="5187" customFormat="1" x14ac:dyDescent="0.2"/>
    <row r="5188" customFormat="1" x14ac:dyDescent="0.2"/>
    <row r="5189" customFormat="1" x14ac:dyDescent="0.2"/>
    <row r="5190" customFormat="1" x14ac:dyDescent="0.2"/>
    <row r="5191" customFormat="1" x14ac:dyDescent="0.2"/>
    <row r="5192" customFormat="1" x14ac:dyDescent="0.2"/>
    <row r="5193" customFormat="1" x14ac:dyDescent="0.2"/>
    <row r="5194" customFormat="1" x14ac:dyDescent="0.2"/>
    <row r="5195" customFormat="1" x14ac:dyDescent="0.2"/>
    <row r="5196" customFormat="1" x14ac:dyDescent="0.2"/>
    <row r="5197" customFormat="1" x14ac:dyDescent="0.2"/>
    <row r="5198" customFormat="1" x14ac:dyDescent="0.2"/>
    <row r="5199" customFormat="1" x14ac:dyDescent="0.2"/>
    <row r="5200" customFormat="1" x14ac:dyDescent="0.2"/>
    <row r="5201" customFormat="1" x14ac:dyDescent="0.2"/>
    <row r="5202" customFormat="1" x14ac:dyDescent="0.2"/>
    <row r="5203" customFormat="1" x14ac:dyDescent="0.2"/>
    <row r="5204" customFormat="1" x14ac:dyDescent="0.2"/>
    <row r="5205" customFormat="1" x14ac:dyDescent="0.2"/>
    <row r="5206" customFormat="1" x14ac:dyDescent="0.2"/>
    <row r="5207" customFormat="1" x14ac:dyDescent="0.2"/>
    <row r="5208" customFormat="1" x14ac:dyDescent="0.2"/>
    <row r="5209" customFormat="1" x14ac:dyDescent="0.2"/>
    <row r="5210" customFormat="1" x14ac:dyDescent="0.2"/>
    <row r="5211" customFormat="1" x14ac:dyDescent="0.2"/>
    <row r="5212" customFormat="1" x14ac:dyDescent="0.2"/>
    <row r="5213" customFormat="1" x14ac:dyDescent="0.2"/>
    <row r="5214" customFormat="1" x14ac:dyDescent="0.2"/>
    <row r="5215" customFormat="1" x14ac:dyDescent="0.2"/>
    <row r="5216" customFormat="1" x14ac:dyDescent="0.2"/>
    <row r="5217" customFormat="1" x14ac:dyDescent="0.2"/>
    <row r="5218" customFormat="1" x14ac:dyDescent="0.2"/>
    <row r="5219" customFormat="1" x14ac:dyDescent="0.2"/>
    <row r="5220" customFormat="1" x14ac:dyDescent="0.2"/>
    <row r="5221" customFormat="1" x14ac:dyDescent="0.2"/>
    <row r="5222" customFormat="1" x14ac:dyDescent="0.2"/>
    <row r="5223" customFormat="1" x14ac:dyDescent="0.2"/>
    <row r="5224" customFormat="1" x14ac:dyDescent="0.2"/>
    <row r="5225" customFormat="1" x14ac:dyDescent="0.2"/>
    <row r="5226" customFormat="1" x14ac:dyDescent="0.2"/>
    <row r="5227" customFormat="1" x14ac:dyDescent="0.2"/>
    <row r="5228" customFormat="1" x14ac:dyDescent="0.2"/>
    <row r="5229" customFormat="1" x14ac:dyDescent="0.2"/>
    <row r="5230" customFormat="1" x14ac:dyDescent="0.2"/>
    <row r="5231" customFormat="1" x14ac:dyDescent="0.2"/>
    <row r="5232" customFormat="1" x14ac:dyDescent="0.2"/>
    <row r="5233" customFormat="1" x14ac:dyDescent="0.2"/>
    <row r="5234" customFormat="1" x14ac:dyDescent="0.2"/>
    <row r="5235" customFormat="1" x14ac:dyDescent="0.2"/>
    <row r="5236" customFormat="1" x14ac:dyDescent="0.2"/>
    <row r="5237" customFormat="1" x14ac:dyDescent="0.2"/>
    <row r="5238" customFormat="1" x14ac:dyDescent="0.2"/>
    <row r="5239" customFormat="1" x14ac:dyDescent="0.2"/>
    <row r="5240" customFormat="1" x14ac:dyDescent="0.2"/>
    <row r="5241" customFormat="1" x14ac:dyDescent="0.2"/>
    <row r="5242" customFormat="1" x14ac:dyDescent="0.2"/>
    <row r="5243" customFormat="1" x14ac:dyDescent="0.2"/>
    <row r="5244" customFormat="1" x14ac:dyDescent="0.2"/>
    <row r="5245" customFormat="1" x14ac:dyDescent="0.2"/>
    <row r="5246" customFormat="1" x14ac:dyDescent="0.2"/>
    <row r="5247" customFormat="1" x14ac:dyDescent="0.2"/>
    <row r="5248" customFormat="1" x14ac:dyDescent="0.2"/>
    <row r="5249" customFormat="1" x14ac:dyDescent="0.2"/>
    <row r="5250" customFormat="1" x14ac:dyDescent="0.2"/>
    <row r="5251" customFormat="1" x14ac:dyDescent="0.2"/>
    <row r="5252" customFormat="1" x14ac:dyDescent="0.2"/>
    <row r="5253" customFormat="1" x14ac:dyDescent="0.2"/>
    <row r="5254" customFormat="1" x14ac:dyDescent="0.2"/>
    <row r="5255" customFormat="1" x14ac:dyDescent="0.2"/>
    <row r="5256" customFormat="1" x14ac:dyDescent="0.2"/>
    <row r="5257" customFormat="1" x14ac:dyDescent="0.2"/>
    <row r="5258" customFormat="1" x14ac:dyDescent="0.2"/>
    <row r="5259" customFormat="1" x14ac:dyDescent="0.2"/>
    <row r="5260" customFormat="1" x14ac:dyDescent="0.2"/>
    <row r="5261" customFormat="1" x14ac:dyDescent="0.2"/>
    <row r="5262" customFormat="1" x14ac:dyDescent="0.2"/>
    <row r="5263" customFormat="1" x14ac:dyDescent="0.2"/>
    <row r="5264" customFormat="1" x14ac:dyDescent="0.2"/>
    <row r="5265" customFormat="1" x14ac:dyDescent="0.2"/>
    <row r="5266" customFormat="1" x14ac:dyDescent="0.2"/>
    <row r="5267" customFormat="1" x14ac:dyDescent="0.2"/>
    <row r="5268" customFormat="1" x14ac:dyDescent="0.2"/>
    <row r="5269" customFormat="1" x14ac:dyDescent="0.2"/>
    <row r="5270" customFormat="1" x14ac:dyDescent="0.2"/>
    <row r="5271" customFormat="1" x14ac:dyDescent="0.2"/>
    <row r="5272" customFormat="1" x14ac:dyDescent="0.2"/>
    <row r="5273" customFormat="1" x14ac:dyDescent="0.2"/>
    <row r="5274" customFormat="1" x14ac:dyDescent="0.2"/>
    <row r="5275" customFormat="1" x14ac:dyDescent="0.2"/>
    <row r="5276" customFormat="1" x14ac:dyDescent="0.2"/>
    <row r="5277" customFormat="1" x14ac:dyDescent="0.2"/>
    <row r="5278" customFormat="1" x14ac:dyDescent="0.2"/>
    <row r="5279" customFormat="1" x14ac:dyDescent="0.2"/>
    <row r="5280" customFormat="1" x14ac:dyDescent="0.2"/>
    <row r="5281" customFormat="1" x14ac:dyDescent="0.2"/>
    <row r="5282" customFormat="1" x14ac:dyDescent="0.2"/>
    <row r="5283" customFormat="1" x14ac:dyDescent="0.2"/>
    <row r="5284" customFormat="1" x14ac:dyDescent="0.2"/>
    <row r="5285" customFormat="1" x14ac:dyDescent="0.2"/>
    <row r="5286" customFormat="1" x14ac:dyDescent="0.2"/>
    <row r="5287" customFormat="1" x14ac:dyDescent="0.2"/>
    <row r="5288" customFormat="1" x14ac:dyDescent="0.2"/>
    <row r="5289" customFormat="1" x14ac:dyDescent="0.2"/>
    <row r="5290" customFormat="1" x14ac:dyDescent="0.2"/>
    <row r="5291" customFormat="1" x14ac:dyDescent="0.2"/>
    <row r="5292" customFormat="1" x14ac:dyDescent="0.2"/>
    <row r="5293" customFormat="1" x14ac:dyDescent="0.2"/>
    <row r="5294" customFormat="1" x14ac:dyDescent="0.2"/>
    <row r="5295" customFormat="1" x14ac:dyDescent="0.2"/>
    <row r="5296" customFormat="1" x14ac:dyDescent="0.2"/>
    <row r="5297" customFormat="1" x14ac:dyDescent="0.2"/>
    <row r="5298" customFormat="1" x14ac:dyDescent="0.2"/>
    <row r="5299" customFormat="1" x14ac:dyDescent="0.2"/>
    <row r="5300" customFormat="1" x14ac:dyDescent="0.2"/>
    <row r="5301" customFormat="1" x14ac:dyDescent="0.2"/>
    <row r="5302" customFormat="1" x14ac:dyDescent="0.2"/>
    <row r="5303" customFormat="1" x14ac:dyDescent="0.2"/>
    <row r="5304" customFormat="1" x14ac:dyDescent="0.2"/>
    <row r="5305" customFormat="1" x14ac:dyDescent="0.2"/>
    <row r="5306" customFormat="1" x14ac:dyDescent="0.2"/>
    <row r="5307" customFormat="1" x14ac:dyDescent="0.2"/>
    <row r="5308" customFormat="1" x14ac:dyDescent="0.2"/>
    <row r="5309" customFormat="1" x14ac:dyDescent="0.2"/>
    <row r="5310" customFormat="1" x14ac:dyDescent="0.2"/>
    <row r="5311" customFormat="1" x14ac:dyDescent="0.2"/>
    <row r="5312" customFormat="1" x14ac:dyDescent="0.2"/>
    <row r="5313" customFormat="1" x14ac:dyDescent="0.2"/>
    <row r="5314" customFormat="1" x14ac:dyDescent="0.2"/>
    <row r="5315" customFormat="1" x14ac:dyDescent="0.2"/>
    <row r="5316" customFormat="1" x14ac:dyDescent="0.2"/>
    <row r="5317" customFormat="1" x14ac:dyDescent="0.2"/>
    <row r="5318" customFormat="1" x14ac:dyDescent="0.2"/>
    <row r="5319" customFormat="1" x14ac:dyDescent="0.2"/>
    <row r="5320" customFormat="1" x14ac:dyDescent="0.2"/>
    <row r="5321" customFormat="1" x14ac:dyDescent="0.2"/>
    <row r="5322" customFormat="1" x14ac:dyDescent="0.2"/>
    <row r="5323" customFormat="1" x14ac:dyDescent="0.2"/>
    <row r="5324" customFormat="1" x14ac:dyDescent="0.2"/>
    <row r="5325" customFormat="1" x14ac:dyDescent="0.2"/>
    <row r="5326" customFormat="1" x14ac:dyDescent="0.2"/>
    <row r="5327" customFormat="1" x14ac:dyDescent="0.2"/>
    <row r="5328" customFormat="1" x14ac:dyDescent="0.2"/>
    <row r="5329" customFormat="1" x14ac:dyDescent="0.2"/>
    <row r="5330" customFormat="1" x14ac:dyDescent="0.2"/>
    <row r="5331" customFormat="1" x14ac:dyDescent="0.2"/>
    <row r="5332" customFormat="1" x14ac:dyDescent="0.2"/>
    <row r="5333" customFormat="1" x14ac:dyDescent="0.2"/>
    <row r="5334" customFormat="1" x14ac:dyDescent="0.2"/>
    <row r="5335" customFormat="1" x14ac:dyDescent="0.2"/>
    <row r="5336" customFormat="1" x14ac:dyDescent="0.2"/>
    <row r="5337" customFormat="1" x14ac:dyDescent="0.2"/>
    <row r="5338" customFormat="1" x14ac:dyDescent="0.2"/>
    <row r="5339" customFormat="1" x14ac:dyDescent="0.2"/>
    <row r="5340" customFormat="1" x14ac:dyDescent="0.2"/>
    <row r="5341" customFormat="1" x14ac:dyDescent="0.2"/>
    <row r="5342" customFormat="1" x14ac:dyDescent="0.2"/>
    <row r="5343" customFormat="1" x14ac:dyDescent="0.2"/>
    <row r="5344" customFormat="1" x14ac:dyDescent="0.2"/>
    <row r="5345" customFormat="1" x14ac:dyDescent="0.2"/>
    <row r="5346" customFormat="1" x14ac:dyDescent="0.2"/>
    <row r="5347" customFormat="1" x14ac:dyDescent="0.2"/>
    <row r="5348" customFormat="1" x14ac:dyDescent="0.2"/>
    <row r="5349" customFormat="1" x14ac:dyDescent="0.2"/>
    <row r="5350" customFormat="1" x14ac:dyDescent="0.2"/>
    <row r="5351" customFormat="1" x14ac:dyDescent="0.2"/>
    <row r="5352" customFormat="1" x14ac:dyDescent="0.2"/>
    <row r="5353" customFormat="1" x14ac:dyDescent="0.2"/>
    <row r="5354" customFormat="1" x14ac:dyDescent="0.2"/>
    <row r="5355" customFormat="1" x14ac:dyDescent="0.2"/>
    <row r="5356" customFormat="1" x14ac:dyDescent="0.2"/>
    <row r="5357" customFormat="1" x14ac:dyDescent="0.2"/>
    <row r="5358" customFormat="1" x14ac:dyDescent="0.2"/>
    <row r="5359" customFormat="1" x14ac:dyDescent="0.2"/>
    <row r="5360" customFormat="1" x14ac:dyDescent="0.2"/>
    <row r="5361" customFormat="1" x14ac:dyDescent="0.2"/>
    <row r="5362" customFormat="1" x14ac:dyDescent="0.2"/>
    <row r="5363" customFormat="1" x14ac:dyDescent="0.2"/>
    <row r="5364" customFormat="1" x14ac:dyDescent="0.2"/>
    <row r="5365" customFormat="1" x14ac:dyDescent="0.2"/>
    <row r="5366" customFormat="1" x14ac:dyDescent="0.2"/>
    <row r="5367" customFormat="1" x14ac:dyDescent="0.2"/>
    <row r="5368" customFormat="1" x14ac:dyDescent="0.2"/>
    <row r="5369" customFormat="1" x14ac:dyDescent="0.2"/>
    <row r="5370" customFormat="1" x14ac:dyDescent="0.2"/>
    <row r="5371" customFormat="1" x14ac:dyDescent="0.2"/>
    <row r="5372" customFormat="1" x14ac:dyDescent="0.2"/>
    <row r="5373" customFormat="1" x14ac:dyDescent="0.2"/>
    <row r="5374" customFormat="1" x14ac:dyDescent="0.2"/>
    <row r="5375" customFormat="1" x14ac:dyDescent="0.2"/>
    <row r="5376" customFormat="1" x14ac:dyDescent="0.2"/>
    <row r="5377" customFormat="1" x14ac:dyDescent="0.2"/>
    <row r="5378" customFormat="1" x14ac:dyDescent="0.2"/>
    <row r="5379" customFormat="1" x14ac:dyDescent="0.2"/>
    <row r="5380" customFormat="1" x14ac:dyDescent="0.2"/>
    <row r="5381" customFormat="1" x14ac:dyDescent="0.2"/>
    <row r="5382" customFormat="1" x14ac:dyDescent="0.2"/>
    <row r="5383" customFormat="1" x14ac:dyDescent="0.2"/>
    <row r="5384" customFormat="1" x14ac:dyDescent="0.2"/>
    <row r="5385" customFormat="1" x14ac:dyDescent="0.2"/>
    <row r="5386" customFormat="1" x14ac:dyDescent="0.2"/>
    <row r="5387" customFormat="1" x14ac:dyDescent="0.2"/>
    <row r="5388" customFormat="1" x14ac:dyDescent="0.2"/>
    <row r="5389" customFormat="1" x14ac:dyDescent="0.2"/>
    <row r="5390" customFormat="1" x14ac:dyDescent="0.2"/>
    <row r="5391" customFormat="1" x14ac:dyDescent="0.2"/>
    <row r="5392" customFormat="1" x14ac:dyDescent="0.2"/>
    <row r="5393" customFormat="1" x14ac:dyDescent="0.2"/>
    <row r="5394" customFormat="1" x14ac:dyDescent="0.2"/>
    <row r="5395" customFormat="1" x14ac:dyDescent="0.2"/>
    <row r="5396" customFormat="1" x14ac:dyDescent="0.2"/>
    <row r="5397" customFormat="1" x14ac:dyDescent="0.2"/>
    <row r="5398" customFormat="1" x14ac:dyDescent="0.2"/>
    <row r="5399" customFormat="1" x14ac:dyDescent="0.2"/>
    <row r="5400" customFormat="1" x14ac:dyDescent="0.2"/>
    <row r="5401" customFormat="1" x14ac:dyDescent="0.2"/>
    <row r="5402" customFormat="1" x14ac:dyDescent="0.2"/>
    <row r="5403" customFormat="1" x14ac:dyDescent="0.2"/>
    <row r="5404" customFormat="1" x14ac:dyDescent="0.2"/>
    <row r="5405" customFormat="1" x14ac:dyDescent="0.2"/>
    <row r="5406" customFormat="1" x14ac:dyDescent="0.2"/>
    <row r="5407" customFormat="1" x14ac:dyDescent="0.2"/>
    <row r="5408" customFormat="1" x14ac:dyDescent="0.2"/>
    <row r="5409" customFormat="1" x14ac:dyDescent="0.2"/>
    <row r="5410" customFormat="1" x14ac:dyDescent="0.2"/>
    <row r="5411" customFormat="1" x14ac:dyDescent="0.2"/>
    <row r="5412" customFormat="1" x14ac:dyDescent="0.2"/>
    <row r="5413" customFormat="1" x14ac:dyDescent="0.2"/>
    <row r="5414" customFormat="1" x14ac:dyDescent="0.2"/>
    <row r="5415" customFormat="1" x14ac:dyDescent="0.2"/>
    <row r="5416" customFormat="1" x14ac:dyDescent="0.2"/>
    <row r="5417" customFormat="1" x14ac:dyDescent="0.2"/>
    <row r="5418" customFormat="1" x14ac:dyDescent="0.2"/>
    <row r="5419" customFormat="1" x14ac:dyDescent="0.2"/>
    <row r="5420" customFormat="1" x14ac:dyDescent="0.2"/>
    <row r="5421" customFormat="1" x14ac:dyDescent="0.2"/>
    <row r="5422" customFormat="1" x14ac:dyDescent="0.2"/>
    <row r="5423" customFormat="1" x14ac:dyDescent="0.2"/>
    <row r="5424" customFormat="1" x14ac:dyDescent="0.2"/>
    <row r="5425" customFormat="1" x14ac:dyDescent="0.2"/>
    <row r="5426" customFormat="1" x14ac:dyDescent="0.2"/>
    <row r="5427" customFormat="1" x14ac:dyDescent="0.2"/>
    <row r="5428" customFormat="1" x14ac:dyDescent="0.2"/>
    <row r="5429" customFormat="1" x14ac:dyDescent="0.2"/>
    <row r="5430" customFormat="1" x14ac:dyDescent="0.2"/>
    <row r="5431" customFormat="1" x14ac:dyDescent="0.2"/>
    <row r="5432" customFormat="1" x14ac:dyDescent="0.2"/>
    <row r="5433" customFormat="1" x14ac:dyDescent="0.2"/>
    <row r="5434" customFormat="1" x14ac:dyDescent="0.2"/>
    <row r="5435" customFormat="1" x14ac:dyDescent="0.2"/>
    <row r="5436" customFormat="1" x14ac:dyDescent="0.2"/>
    <row r="5437" customFormat="1" x14ac:dyDescent="0.2"/>
    <row r="5438" customFormat="1" x14ac:dyDescent="0.2"/>
    <row r="5439" customFormat="1" x14ac:dyDescent="0.2"/>
    <row r="5440" customFormat="1" x14ac:dyDescent="0.2"/>
    <row r="5441" customFormat="1" x14ac:dyDescent="0.2"/>
    <row r="5442" customFormat="1" x14ac:dyDescent="0.2"/>
    <row r="5443" customFormat="1" x14ac:dyDescent="0.2"/>
    <row r="5444" customFormat="1" x14ac:dyDescent="0.2"/>
    <row r="5445" customFormat="1" x14ac:dyDescent="0.2"/>
    <row r="5446" customFormat="1" x14ac:dyDescent="0.2"/>
    <row r="5447" customFormat="1" x14ac:dyDescent="0.2"/>
    <row r="5448" customFormat="1" x14ac:dyDescent="0.2"/>
    <row r="5449" customFormat="1" x14ac:dyDescent="0.2"/>
    <row r="5450" customFormat="1" x14ac:dyDescent="0.2"/>
    <row r="5451" customFormat="1" x14ac:dyDescent="0.2"/>
    <row r="5452" customFormat="1" x14ac:dyDescent="0.2"/>
    <row r="5453" customFormat="1" x14ac:dyDescent="0.2"/>
    <row r="5454" customFormat="1" x14ac:dyDescent="0.2"/>
    <row r="5455" customFormat="1" x14ac:dyDescent="0.2"/>
    <row r="5456" customFormat="1" x14ac:dyDescent="0.2"/>
    <row r="5457" customFormat="1" x14ac:dyDescent="0.2"/>
    <row r="5458" customFormat="1" x14ac:dyDescent="0.2"/>
    <row r="5459" customFormat="1" x14ac:dyDescent="0.2"/>
    <row r="5460" customFormat="1" x14ac:dyDescent="0.2"/>
    <row r="5461" customFormat="1" x14ac:dyDescent="0.2"/>
    <row r="5462" customFormat="1" x14ac:dyDescent="0.2"/>
    <row r="5463" customFormat="1" x14ac:dyDescent="0.2"/>
    <row r="5464" customFormat="1" x14ac:dyDescent="0.2"/>
    <row r="5465" customFormat="1" x14ac:dyDescent="0.2"/>
    <row r="5466" customFormat="1" x14ac:dyDescent="0.2"/>
    <row r="5467" customFormat="1" x14ac:dyDescent="0.2"/>
    <row r="5468" customFormat="1" x14ac:dyDescent="0.2"/>
    <row r="5469" customFormat="1" x14ac:dyDescent="0.2"/>
    <row r="5470" customFormat="1" x14ac:dyDescent="0.2"/>
    <row r="5471" customFormat="1" x14ac:dyDescent="0.2"/>
    <row r="5472" customFormat="1" x14ac:dyDescent="0.2"/>
    <row r="5473" customFormat="1" x14ac:dyDescent="0.2"/>
    <row r="5474" customFormat="1" x14ac:dyDescent="0.2"/>
    <row r="5475" customFormat="1" x14ac:dyDescent="0.2"/>
    <row r="5476" customFormat="1" x14ac:dyDescent="0.2"/>
    <row r="5477" customFormat="1" x14ac:dyDescent="0.2"/>
    <row r="5478" customFormat="1" x14ac:dyDescent="0.2"/>
    <row r="5479" customFormat="1" x14ac:dyDescent="0.2"/>
    <row r="5480" customFormat="1" x14ac:dyDescent="0.2"/>
    <row r="5481" customFormat="1" x14ac:dyDescent="0.2"/>
    <row r="5482" customFormat="1" x14ac:dyDescent="0.2"/>
    <row r="5483" customFormat="1" x14ac:dyDescent="0.2"/>
    <row r="5484" customFormat="1" x14ac:dyDescent="0.2"/>
    <row r="5485" customFormat="1" x14ac:dyDescent="0.2"/>
    <row r="5486" customFormat="1" x14ac:dyDescent="0.2"/>
    <row r="5487" customFormat="1" x14ac:dyDescent="0.2"/>
    <row r="5488" customFormat="1" x14ac:dyDescent="0.2"/>
    <row r="5489" customFormat="1" x14ac:dyDescent="0.2"/>
    <row r="5490" customFormat="1" x14ac:dyDescent="0.2"/>
    <row r="5491" customFormat="1" x14ac:dyDescent="0.2"/>
    <row r="5492" customFormat="1" x14ac:dyDescent="0.2"/>
    <row r="5493" customFormat="1" x14ac:dyDescent="0.2"/>
    <row r="5494" customFormat="1" x14ac:dyDescent="0.2"/>
    <row r="5495" customFormat="1" x14ac:dyDescent="0.2"/>
    <row r="5496" customFormat="1" x14ac:dyDescent="0.2"/>
    <row r="5497" customFormat="1" x14ac:dyDescent="0.2"/>
    <row r="5498" customFormat="1" x14ac:dyDescent="0.2"/>
    <row r="5499" customFormat="1" x14ac:dyDescent="0.2"/>
    <row r="5500" customFormat="1" x14ac:dyDescent="0.2"/>
    <row r="5501" customFormat="1" x14ac:dyDescent="0.2"/>
    <row r="5502" customFormat="1" x14ac:dyDescent="0.2"/>
    <row r="5503" customFormat="1" x14ac:dyDescent="0.2"/>
    <row r="5504" customFormat="1" x14ac:dyDescent="0.2"/>
    <row r="5505" customFormat="1" x14ac:dyDescent="0.2"/>
    <row r="5506" customFormat="1" x14ac:dyDescent="0.2"/>
    <row r="5507" customFormat="1" x14ac:dyDescent="0.2"/>
    <row r="5508" customFormat="1" x14ac:dyDescent="0.2"/>
    <row r="5509" customFormat="1" x14ac:dyDescent="0.2"/>
    <row r="5510" customFormat="1" x14ac:dyDescent="0.2"/>
    <row r="5511" customFormat="1" x14ac:dyDescent="0.2"/>
    <row r="5512" customFormat="1" x14ac:dyDescent="0.2"/>
    <row r="5513" customFormat="1" x14ac:dyDescent="0.2"/>
    <row r="5514" customFormat="1" x14ac:dyDescent="0.2"/>
    <row r="5515" customFormat="1" x14ac:dyDescent="0.2"/>
    <row r="5516" customFormat="1" x14ac:dyDescent="0.2"/>
    <row r="5517" customFormat="1" x14ac:dyDescent="0.2"/>
    <row r="5518" customFormat="1" x14ac:dyDescent="0.2"/>
    <row r="5519" customFormat="1" x14ac:dyDescent="0.2"/>
    <row r="5520" customFormat="1" x14ac:dyDescent="0.2"/>
    <row r="5521" customFormat="1" x14ac:dyDescent="0.2"/>
    <row r="5522" customFormat="1" x14ac:dyDescent="0.2"/>
    <row r="5523" customFormat="1" x14ac:dyDescent="0.2"/>
    <row r="5524" customFormat="1" x14ac:dyDescent="0.2"/>
    <row r="5525" customFormat="1" x14ac:dyDescent="0.2"/>
    <row r="5526" customFormat="1" x14ac:dyDescent="0.2"/>
    <row r="5527" customFormat="1" x14ac:dyDescent="0.2"/>
    <row r="5528" customFormat="1" x14ac:dyDescent="0.2"/>
    <row r="5529" customFormat="1" x14ac:dyDescent="0.2"/>
    <row r="5530" customFormat="1" x14ac:dyDescent="0.2"/>
    <row r="5531" customFormat="1" x14ac:dyDescent="0.2"/>
    <row r="5532" customFormat="1" x14ac:dyDescent="0.2"/>
    <row r="5533" customFormat="1" x14ac:dyDescent="0.2"/>
    <row r="5534" customFormat="1" x14ac:dyDescent="0.2"/>
    <row r="5535" customFormat="1" x14ac:dyDescent="0.2"/>
    <row r="5536" customFormat="1" x14ac:dyDescent="0.2"/>
    <row r="5537" customFormat="1" x14ac:dyDescent="0.2"/>
    <row r="5538" customFormat="1" x14ac:dyDescent="0.2"/>
    <row r="5539" customFormat="1" x14ac:dyDescent="0.2"/>
    <row r="5540" customFormat="1" x14ac:dyDescent="0.2"/>
    <row r="5541" customFormat="1" x14ac:dyDescent="0.2"/>
    <row r="5542" customFormat="1" x14ac:dyDescent="0.2"/>
    <row r="5543" customFormat="1" x14ac:dyDescent="0.2"/>
    <row r="5544" customFormat="1" x14ac:dyDescent="0.2"/>
    <row r="5545" customFormat="1" x14ac:dyDescent="0.2"/>
    <row r="5546" customFormat="1" x14ac:dyDescent="0.2"/>
    <row r="5547" customFormat="1" x14ac:dyDescent="0.2"/>
    <row r="5548" customFormat="1" x14ac:dyDescent="0.2"/>
    <row r="5549" customFormat="1" x14ac:dyDescent="0.2"/>
    <row r="5550" customFormat="1" x14ac:dyDescent="0.2"/>
    <row r="5551" customFormat="1" x14ac:dyDescent="0.2"/>
    <row r="5552" customFormat="1" x14ac:dyDescent="0.2"/>
    <row r="5553" customFormat="1" x14ac:dyDescent="0.2"/>
    <row r="5554" customFormat="1" x14ac:dyDescent="0.2"/>
    <row r="5555" customFormat="1" x14ac:dyDescent="0.2"/>
    <row r="5556" customFormat="1" x14ac:dyDescent="0.2"/>
    <row r="5557" customFormat="1" x14ac:dyDescent="0.2"/>
    <row r="5558" customFormat="1" x14ac:dyDescent="0.2"/>
    <row r="5559" customFormat="1" x14ac:dyDescent="0.2"/>
    <row r="5560" customFormat="1" x14ac:dyDescent="0.2"/>
    <row r="5561" customFormat="1" x14ac:dyDescent="0.2"/>
    <row r="5562" customFormat="1" x14ac:dyDescent="0.2"/>
    <row r="5563" customFormat="1" x14ac:dyDescent="0.2"/>
    <row r="5564" customFormat="1" x14ac:dyDescent="0.2"/>
    <row r="5565" customFormat="1" x14ac:dyDescent="0.2"/>
    <row r="5566" customFormat="1" x14ac:dyDescent="0.2"/>
    <row r="5567" customFormat="1" x14ac:dyDescent="0.2"/>
    <row r="5568" customFormat="1" x14ac:dyDescent="0.2"/>
    <row r="5569" customFormat="1" x14ac:dyDescent="0.2"/>
    <row r="5570" customFormat="1" x14ac:dyDescent="0.2"/>
    <row r="5571" customFormat="1" x14ac:dyDescent="0.2"/>
    <row r="5572" customFormat="1" x14ac:dyDescent="0.2"/>
    <row r="5573" customFormat="1" x14ac:dyDescent="0.2"/>
    <row r="5574" customFormat="1" x14ac:dyDescent="0.2"/>
    <row r="5575" customFormat="1" x14ac:dyDescent="0.2"/>
    <row r="5576" customFormat="1" x14ac:dyDescent="0.2"/>
    <row r="5577" customFormat="1" x14ac:dyDescent="0.2"/>
    <row r="5578" customFormat="1" x14ac:dyDescent="0.2"/>
    <row r="5579" customFormat="1" x14ac:dyDescent="0.2"/>
    <row r="5580" customFormat="1" x14ac:dyDescent="0.2"/>
    <row r="5581" customFormat="1" x14ac:dyDescent="0.2"/>
    <row r="5582" customFormat="1" x14ac:dyDescent="0.2"/>
    <row r="5583" customFormat="1" x14ac:dyDescent="0.2"/>
    <row r="5584" customFormat="1" x14ac:dyDescent="0.2"/>
    <row r="5585" customFormat="1" x14ac:dyDescent="0.2"/>
    <row r="5586" customFormat="1" x14ac:dyDescent="0.2"/>
    <row r="5587" customFormat="1" x14ac:dyDescent="0.2"/>
    <row r="5588" customFormat="1" x14ac:dyDescent="0.2"/>
    <row r="5589" customFormat="1" x14ac:dyDescent="0.2"/>
    <row r="5590" customFormat="1" x14ac:dyDescent="0.2"/>
    <row r="5591" customFormat="1" x14ac:dyDescent="0.2"/>
    <row r="5592" customFormat="1" x14ac:dyDescent="0.2"/>
    <row r="5593" customFormat="1" x14ac:dyDescent="0.2"/>
    <row r="5594" customFormat="1" x14ac:dyDescent="0.2"/>
    <row r="5595" customFormat="1" x14ac:dyDescent="0.2"/>
    <row r="5596" customFormat="1" x14ac:dyDescent="0.2"/>
    <row r="5597" customFormat="1" x14ac:dyDescent="0.2"/>
    <row r="5598" customFormat="1" x14ac:dyDescent="0.2"/>
    <row r="5599" customFormat="1" x14ac:dyDescent="0.2"/>
    <row r="5600" customFormat="1" x14ac:dyDescent="0.2"/>
    <row r="5601" customFormat="1" x14ac:dyDescent="0.2"/>
    <row r="5602" customFormat="1" x14ac:dyDescent="0.2"/>
    <row r="5603" customFormat="1" x14ac:dyDescent="0.2"/>
    <row r="5604" customFormat="1" x14ac:dyDescent="0.2"/>
    <row r="5605" customFormat="1" x14ac:dyDescent="0.2"/>
    <row r="5606" customFormat="1" x14ac:dyDescent="0.2"/>
    <row r="5607" customFormat="1" x14ac:dyDescent="0.2"/>
    <row r="5608" customFormat="1" x14ac:dyDescent="0.2"/>
    <row r="5609" customFormat="1" x14ac:dyDescent="0.2"/>
    <row r="5610" customFormat="1" x14ac:dyDescent="0.2"/>
    <row r="5611" customFormat="1" x14ac:dyDescent="0.2"/>
    <row r="5612" customFormat="1" x14ac:dyDescent="0.2"/>
    <row r="5613" customFormat="1" x14ac:dyDescent="0.2"/>
    <row r="5614" customFormat="1" x14ac:dyDescent="0.2"/>
    <row r="5615" customFormat="1" x14ac:dyDescent="0.2"/>
    <row r="5616" customFormat="1" x14ac:dyDescent="0.2"/>
    <row r="5617" customFormat="1" x14ac:dyDescent="0.2"/>
    <row r="5618" customFormat="1" x14ac:dyDescent="0.2"/>
    <row r="5619" customFormat="1" x14ac:dyDescent="0.2"/>
    <row r="5620" customFormat="1" x14ac:dyDescent="0.2"/>
    <row r="5621" customFormat="1" x14ac:dyDescent="0.2"/>
    <row r="5622" customFormat="1" x14ac:dyDescent="0.2"/>
    <row r="5623" customFormat="1" x14ac:dyDescent="0.2"/>
    <row r="5624" customFormat="1" x14ac:dyDescent="0.2"/>
    <row r="5625" customFormat="1" x14ac:dyDescent="0.2"/>
    <row r="5626" customFormat="1" x14ac:dyDescent="0.2"/>
    <row r="5627" customFormat="1" x14ac:dyDescent="0.2"/>
    <row r="5628" customFormat="1" x14ac:dyDescent="0.2"/>
    <row r="5629" customFormat="1" x14ac:dyDescent="0.2"/>
    <row r="5630" customFormat="1" x14ac:dyDescent="0.2"/>
    <row r="5631" customFormat="1" x14ac:dyDescent="0.2"/>
    <row r="5632" customFormat="1" x14ac:dyDescent="0.2"/>
    <row r="5633" customFormat="1" x14ac:dyDescent="0.2"/>
    <row r="5634" customFormat="1" x14ac:dyDescent="0.2"/>
    <row r="5635" customFormat="1" x14ac:dyDescent="0.2"/>
    <row r="5636" customFormat="1" x14ac:dyDescent="0.2"/>
    <row r="5637" customFormat="1" x14ac:dyDescent="0.2"/>
    <row r="5638" customFormat="1" x14ac:dyDescent="0.2"/>
    <row r="5639" customFormat="1" x14ac:dyDescent="0.2"/>
    <row r="5640" customFormat="1" x14ac:dyDescent="0.2"/>
    <row r="5641" customFormat="1" x14ac:dyDescent="0.2"/>
    <row r="5642" customFormat="1" x14ac:dyDescent="0.2"/>
    <row r="5643" customFormat="1" x14ac:dyDescent="0.2"/>
    <row r="5644" customFormat="1" x14ac:dyDescent="0.2"/>
    <row r="5645" customFormat="1" x14ac:dyDescent="0.2"/>
    <row r="5646" customFormat="1" x14ac:dyDescent="0.2"/>
    <row r="5647" customFormat="1" x14ac:dyDescent="0.2"/>
    <row r="5648" customFormat="1" x14ac:dyDescent="0.2"/>
    <row r="5649" customFormat="1" x14ac:dyDescent="0.2"/>
    <row r="5650" customFormat="1" x14ac:dyDescent="0.2"/>
    <row r="5651" customFormat="1" x14ac:dyDescent="0.2"/>
    <row r="5652" customFormat="1" x14ac:dyDescent="0.2"/>
    <row r="5653" customFormat="1" x14ac:dyDescent="0.2"/>
    <row r="5654" customFormat="1" x14ac:dyDescent="0.2"/>
    <row r="5655" customFormat="1" x14ac:dyDescent="0.2"/>
    <row r="5656" customFormat="1" x14ac:dyDescent="0.2"/>
    <row r="5657" customFormat="1" x14ac:dyDescent="0.2"/>
    <row r="5658" customFormat="1" x14ac:dyDescent="0.2"/>
    <row r="5659" customFormat="1" x14ac:dyDescent="0.2"/>
    <row r="5660" customFormat="1" x14ac:dyDescent="0.2"/>
    <row r="5661" customFormat="1" x14ac:dyDescent="0.2"/>
    <row r="5662" customFormat="1" x14ac:dyDescent="0.2"/>
    <row r="5663" customFormat="1" x14ac:dyDescent="0.2"/>
    <row r="5664" customFormat="1" x14ac:dyDescent="0.2"/>
    <row r="5665" customFormat="1" x14ac:dyDescent="0.2"/>
    <row r="5666" customFormat="1" x14ac:dyDescent="0.2"/>
    <row r="5667" customFormat="1" x14ac:dyDescent="0.2"/>
    <row r="5668" customFormat="1" x14ac:dyDescent="0.2"/>
    <row r="5669" customFormat="1" x14ac:dyDescent="0.2"/>
    <row r="5670" customFormat="1" x14ac:dyDescent="0.2"/>
    <row r="5671" customFormat="1" x14ac:dyDescent="0.2"/>
    <row r="5672" customFormat="1" x14ac:dyDescent="0.2"/>
    <row r="5673" customFormat="1" x14ac:dyDescent="0.2"/>
    <row r="5674" customFormat="1" x14ac:dyDescent="0.2"/>
    <row r="5675" customFormat="1" x14ac:dyDescent="0.2"/>
    <row r="5676" customFormat="1" x14ac:dyDescent="0.2"/>
    <row r="5677" customFormat="1" x14ac:dyDescent="0.2"/>
    <row r="5678" customFormat="1" x14ac:dyDescent="0.2"/>
    <row r="5679" customFormat="1" x14ac:dyDescent="0.2"/>
    <row r="5680" customFormat="1" x14ac:dyDescent="0.2"/>
    <row r="5681" customFormat="1" x14ac:dyDescent="0.2"/>
    <row r="5682" customFormat="1" x14ac:dyDescent="0.2"/>
    <row r="5683" customFormat="1" x14ac:dyDescent="0.2"/>
    <row r="5684" customFormat="1" x14ac:dyDescent="0.2"/>
    <row r="5685" customFormat="1" x14ac:dyDescent="0.2"/>
    <row r="5686" customFormat="1" x14ac:dyDescent="0.2"/>
    <row r="5687" customFormat="1" x14ac:dyDescent="0.2"/>
    <row r="5688" customFormat="1" x14ac:dyDescent="0.2"/>
    <row r="5689" customFormat="1" x14ac:dyDescent="0.2"/>
    <row r="5690" customFormat="1" x14ac:dyDescent="0.2"/>
    <row r="5691" customFormat="1" x14ac:dyDescent="0.2"/>
    <row r="5692" customFormat="1" x14ac:dyDescent="0.2"/>
    <row r="5693" customFormat="1" x14ac:dyDescent="0.2"/>
    <row r="5694" customFormat="1" x14ac:dyDescent="0.2"/>
    <row r="5695" customFormat="1" x14ac:dyDescent="0.2"/>
    <row r="5696" customFormat="1" x14ac:dyDescent="0.2"/>
    <row r="5697" customFormat="1" x14ac:dyDescent="0.2"/>
    <row r="5698" customFormat="1" x14ac:dyDescent="0.2"/>
    <row r="5699" customFormat="1" x14ac:dyDescent="0.2"/>
    <row r="5700" customFormat="1" x14ac:dyDescent="0.2"/>
    <row r="5701" customFormat="1" x14ac:dyDescent="0.2"/>
    <row r="5702" customFormat="1" x14ac:dyDescent="0.2"/>
    <row r="5703" customFormat="1" x14ac:dyDescent="0.2"/>
    <row r="5704" customFormat="1" x14ac:dyDescent="0.2"/>
    <row r="5705" customFormat="1" x14ac:dyDescent="0.2"/>
    <row r="5706" customFormat="1" x14ac:dyDescent="0.2"/>
    <row r="5707" customFormat="1" x14ac:dyDescent="0.2"/>
    <row r="5708" customFormat="1" x14ac:dyDescent="0.2"/>
    <row r="5709" customFormat="1" x14ac:dyDescent="0.2"/>
    <row r="5710" customFormat="1" x14ac:dyDescent="0.2"/>
    <row r="5711" customFormat="1" x14ac:dyDescent="0.2"/>
    <row r="5712" customFormat="1" x14ac:dyDescent="0.2"/>
    <row r="5713" customFormat="1" x14ac:dyDescent="0.2"/>
    <row r="5714" customFormat="1" x14ac:dyDescent="0.2"/>
    <row r="5715" customFormat="1" x14ac:dyDescent="0.2"/>
    <row r="5716" customFormat="1" x14ac:dyDescent="0.2"/>
    <row r="5717" customFormat="1" x14ac:dyDescent="0.2"/>
    <row r="5718" customFormat="1" x14ac:dyDescent="0.2"/>
    <row r="5719" customFormat="1" x14ac:dyDescent="0.2"/>
    <row r="5720" customFormat="1" x14ac:dyDescent="0.2"/>
    <row r="5721" customFormat="1" x14ac:dyDescent="0.2"/>
    <row r="5722" customFormat="1" x14ac:dyDescent="0.2"/>
    <row r="5723" customFormat="1" x14ac:dyDescent="0.2"/>
    <row r="5724" customFormat="1" x14ac:dyDescent="0.2"/>
    <row r="5725" customFormat="1" x14ac:dyDescent="0.2"/>
    <row r="5726" customFormat="1" x14ac:dyDescent="0.2"/>
    <row r="5727" customFormat="1" x14ac:dyDescent="0.2"/>
    <row r="5728" customFormat="1" x14ac:dyDescent="0.2"/>
    <row r="5729" customFormat="1" x14ac:dyDescent="0.2"/>
    <row r="5730" customFormat="1" x14ac:dyDescent="0.2"/>
    <row r="5731" customFormat="1" x14ac:dyDescent="0.2"/>
    <row r="5732" customFormat="1" x14ac:dyDescent="0.2"/>
    <row r="5733" customFormat="1" x14ac:dyDescent="0.2"/>
    <row r="5734" customFormat="1" x14ac:dyDescent="0.2"/>
    <row r="5735" customFormat="1" x14ac:dyDescent="0.2"/>
    <row r="5736" customFormat="1" x14ac:dyDescent="0.2"/>
    <row r="5737" customFormat="1" x14ac:dyDescent="0.2"/>
    <row r="5738" customFormat="1" x14ac:dyDescent="0.2"/>
    <row r="5739" customFormat="1" x14ac:dyDescent="0.2"/>
    <row r="5740" customFormat="1" x14ac:dyDescent="0.2"/>
    <row r="5741" customFormat="1" x14ac:dyDescent="0.2"/>
    <row r="5742" customFormat="1" x14ac:dyDescent="0.2"/>
    <row r="5743" customFormat="1" x14ac:dyDescent="0.2"/>
    <row r="5744" customFormat="1" x14ac:dyDescent="0.2"/>
    <row r="5745" customFormat="1" x14ac:dyDescent="0.2"/>
    <row r="5746" customFormat="1" x14ac:dyDescent="0.2"/>
    <row r="5747" customFormat="1" x14ac:dyDescent="0.2"/>
    <row r="5748" customFormat="1" x14ac:dyDescent="0.2"/>
    <row r="5749" customFormat="1" x14ac:dyDescent="0.2"/>
    <row r="5750" customFormat="1" x14ac:dyDescent="0.2"/>
    <row r="5751" customFormat="1" x14ac:dyDescent="0.2"/>
    <row r="5752" customFormat="1" x14ac:dyDescent="0.2"/>
    <row r="5753" customFormat="1" x14ac:dyDescent="0.2"/>
    <row r="5754" customFormat="1" x14ac:dyDescent="0.2"/>
    <row r="5755" customFormat="1" x14ac:dyDescent="0.2"/>
    <row r="5756" customFormat="1" x14ac:dyDescent="0.2"/>
    <row r="5757" customFormat="1" x14ac:dyDescent="0.2"/>
    <row r="5758" customFormat="1" x14ac:dyDescent="0.2"/>
    <row r="5759" customFormat="1" x14ac:dyDescent="0.2"/>
    <row r="5760" customFormat="1" x14ac:dyDescent="0.2"/>
    <row r="5761" customFormat="1" x14ac:dyDescent="0.2"/>
    <row r="5762" customFormat="1" x14ac:dyDescent="0.2"/>
    <row r="5763" customFormat="1" x14ac:dyDescent="0.2"/>
    <row r="5764" customFormat="1" x14ac:dyDescent="0.2"/>
    <row r="5765" customFormat="1" x14ac:dyDescent="0.2"/>
    <row r="5766" customFormat="1" x14ac:dyDescent="0.2"/>
    <row r="5767" customFormat="1" x14ac:dyDescent="0.2"/>
    <row r="5768" customFormat="1" x14ac:dyDescent="0.2"/>
    <row r="5769" customFormat="1" x14ac:dyDescent="0.2"/>
    <row r="5770" customFormat="1" x14ac:dyDescent="0.2"/>
    <row r="5771" customFormat="1" x14ac:dyDescent="0.2"/>
    <row r="5772" customFormat="1" x14ac:dyDescent="0.2"/>
    <row r="5773" customFormat="1" x14ac:dyDescent="0.2"/>
    <row r="5774" customFormat="1" x14ac:dyDescent="0.2"/>
    <row r="5775" customFormat="1" x14ac:dyDescent="0.2"/>
    <row r="5776" customFormat="1" x14ac:dyDescent="0.2"/>
    <row r="5777" customFormat="1" x14ac:dyDescent="0.2"/>
    <row r="5778" customFormat="1" x14ac:dyDescent="0.2"/>
    <row r="5779" customFormat="1" x14ac:dyDescent="0.2"/>
    <row r="5780" customFormat="1" x14ac:dyDescent="0.2"/>
    <row r="5781" customFormat="1" x14ac:dyDescent="0.2"/>
    <row r="5782" customFormat="1" x14ac:dyDescent="0.2"/>
    <row r="5783" customFormat="1" x14ac:dyDescent="0.2"/>
    <row r="5784" customFormat="1" x14ac:dyDescent="0.2"/>
    <row r="5785" customFormat="1" x14ac:dyDescent="0.2"/>
    <row r="5786" customFormat="1" x14ac:dyDescent="0.2"/>
    <row r="5787" customFormat="1" x14ac:dyDescent="0.2"/>
    <row r="5788" customFormat="1" x14ac:dyDescent="0.2"/>
    <row r="5789" customFormat="1" x14ac:dyDescent="0.2"/>
    <row r="5790" customFormat="1" x14ac:dyDescent="0.2"/>
    <row r="5791" customFormat="1" x14ac:dyDescent="0.2"/>
    <row r="5792" customFormat="1" x14ac:dyDescent="0.2"/>
    <row r="5793" customFormat="1" x14ac:dyDescent="0.2"/>
    <row r="5794" customFormat="1" x14ac:dyDescent="0.2"/>
    <row r="5795" customFormat="1" x14ac:dyDescent="0.2"/>
    <row r="5796" customFormat="1" x14ac:dyDescent="0.2"/>
    <row r="5797" customFormat="1" x14ac:dyDescent="0.2"/>
    <row r="5798" customFormat="1" x14ac:dyDescent="0.2"/>
    <row r="5799" customFormat="1" x14ac:dyDescent="0.2"/>
    <row r="5800" customFormat="1" x14ac:dyDescent="0.2"/>
    <row r="5801" customFormat="1" x14ac:dyDescent="0.2"/>
    <row r="5802" customFormat="1" x14ac:dyDescent="0.2"/>
    <row r="5803" customFormat="1" x14ac:dyDescent="0.2"/>
    <row r="5804" customFormat="1" x14ac:dyDescent="0.2"/>
    <row r="5805" customFormat="1" x14ac:dyDescent="0.2"/>
    <row r="5806" customFormat="1" x14ac:dyDescent="0.2"/>
    <row r="5807" customFormat="1" x14ac:dyDescent="0.2"/>
    <row r="5808" customFormat="1" x14ac:dyDescent="0.2"/>
    <row r="5809" customFormat="1" x14ac:dyDescent="0.2"/>
    <row r="5810" customFormat="1" x14ac:dyDescent="0.2"/>
    <row r="5811" customFormat="1" x14ac:dyDescent="0.2"/>
    <row r="5812" customFormat="1" x14ac:dyDescent="0.2"/>
    <row r="5813" customFormat="1" x14ac:dyDescent="0.2"/>
    <row r="5814" customFormat="1" x14ac:dyDescent="0.2"/>
    <row r="5815" customFormat="1" x14ac:dyDescent="0.2"/>
    <row r="5816" customFormat="1" x14ac:dyDescent="0.2"/>
    <row r="5817" customFormat="1" x14ac:dyDescent="0.2"/>
    <row r="5818" customFormat="1" x14ac:dyDescent="0.2"/>
    <row r="5819" customFormat="1" x14ac:dyDescent="0.2"/>
    <row r="5820" customFormat="1" x14ac:dyDescent="0.2"/>
    <row r="5821" customFormat="1" x14ac:dyDescent="0.2"/>
    <row r="5822" customFormat="1" x14ac:dyDescent="0.2"/>
    <row r="5823" customFormat="1" x14ac:dyDescent="0.2"/>
    <row r="5824" customFormat="1" x14ac:dyDescent="0.2"/>
    <row r="5825" customFormat="1" x14ac:dyDescent="0.2"/>
    <row r="5826" customFormat="1" x14ac:dyDescent="0.2"/>
    <row r="5827" customFormat="1" x14ac:dyDescent="0.2"/>
    <row r="5828" customFormat="1" x14ac:dyDescent="0.2"/>
    <row r="5829" customFormat="1" x14ac:dyDescent="0.2"/>
    <row r="5830" customFormat="1" x14ac:dyDescent="0.2"/>
    <row r="5831" customFormat="1" x14ac:dyDescent="0.2"/>
    <row r="5832" customFormat="1" x14ac:dyDescent="0.2"/>
    <row r="5833" customFormat="1" x14ac:dyDescent="0.2"/>
    <row r="5834" customFormat="1" x14ac:dyDescent="0.2"/>
    <row r="5835" customFormat="1" x14ac:dyDescent="0.2"/>
    <row r="5836" customFormat="1" x14ac:dyDescent="0.2"/>
    <row r="5837" customFormat="1" x14ac:dyDescent="0.2"/>
    <row r="5838" customFormat="1" x14ac:dyDescent="0.2"/>
    <row r="5839" customFormat="1" x14ac:dyDescent="0.2"/>
    <row r="5840" customFormat="1" x14ac:dyDescent="0.2"/>
    <row r="5841" customFormat="1" x14ac:dyDescent="0.2"/>
    <row r="5842" customFormat="1" x14ac:dyDescent="0.2"/>
    <row r="5843" customFormat="1" x14ac:dyDescent="0.2"/>
    <row r="5844" customFormat="1" x14ac:dyDescent="0.2"/>
    <row r="5845" customFormat="1" x14ac:dyDescent="0.2"/>
    <row r="5846" customFormat="1" x14ac:dyDescent="0.2"/>
    <row r="5847" customFormat="1" x14ac:dyDescent="0.2"/>
    <row r="5848" customFormat="1" x14ac:dyDescent="0.2"/>
    <row r="5849" customFormat="1" x14ac:dyDescent="0.2"/>
    <row r="5850" customFormat="1" x14ac:dyDescent="0.2"/>
    <row r="5851" customFormat="1" x14ac:dyDescent="0.2"/>
    <row r="5852" customFormat="1" x14ac:dyDescent="0.2"/>
    <row r="5853" customFormat="1" x14ac:dyDescent="0.2"/>
    <row r="5854" customFormat="1" x14ac:dyDescent="0.2"/>
    <row r="5855" customFormat="1" x14ac:dyDescent="0.2"/>
    <row r="5856" customFormat="1" x14ac:dyDescent="0.2"/>
    <row r="5857" customFormat="1" x14ac:dyDescent="0.2"/>
    <row r="5858" customFormat="1" x14ac:dyDescent="0.2"/>
    <row r="5859" customFormat="1" x14ac:dyDescent="0.2"/>
    <row r="5860" customFormat="1" x14ac:dyDescent="0.2"/>
    <row r="5861" customFormat="1" x14ac:dyDescent="0.2"/>
    <row r="5862" customFormat="1" x14ac:dyDescent="0.2"/>
    <row r="5863" customFormat="1" x14ac:dyDescent="0.2"/>
    <row r="5864" customFormat="1" x14ac:dyDescent="0.2"/>
    <row r="5865" customFormat="1" x14ac:dyDescent="0.2"/>
    <row r="5866" customFormat="1" x14ac:dyDescent="0.2"/>
    <row r="5867" customFormat="1" x14ac:dyDescent="0.2"/>
    <row r="5868" customFormat="1" x14ac:dyDescent="0.2"/>
    <row r="5869" customFormat="1" x14ac:dyDescent="0.2"/>
    <row r="5870" customFormat="1" x14ac:dyDescent="0.2"/>
    <row r="5871" customFormat="1" x14ac:dyDescent="0.2"/>
    <row r="5872" customFormat="1" x14ac:dyDescent="0.2"/>
    <row r="5873" customFormat="1" x14ac:dyDescent="0.2"/>
    <row r="5874" customFormat="1" x14ac:dyDescent="0.2"/>
    <row r="5875" customFormat="1" x14ac:dyDescent="0.2"/>
    <row r="5876" customFormat="1" x14ac:dyDescent="0.2"/>
    <row r="5877" customFormat="1" x14ac:dyDescent="0.2"/>
    <row r="5878" customFormat="1" x14ac:dyDescent="0.2"/>
    <row r="5879" customFormat="1" x14ac:dyDescent="0.2"/>
    <row r="5880" customFormat="1" x14ac:dyDescent="0.2"/>
    <row r="5881" customFormat="1" x14ac:dyDescent="0.2"/>
    <row r="5882" customFormat="1" x14ac:dyDescent="0.2"/>
    <row r="5883" customFormat="1" x14ac:dyDescent="0.2"/>
    <row r="5884" customFormat="1" x14ac:dyDescent="0.2"/>
    <row r="5885" customFormat="1" x14ac:dyDescent="0.2"/>
    <row r="5886" customFormat="1" x14ac:dyDescent="0.2"/>
    <row r="5887" customFormat="1" x14ac:dyDescent="0.2"/>
    <row r="5888" customFormat="1" x14ac:dyDescent="0.2"/>
    <row r="5889" customFormat="1" x14ac:dyDescent="0.2"/>
    <row r="5890" customFormat="1" x14ac:dyDescent="0.2"/>
    <row r="5891" customFormat="1" x14ac:dyDescent="0.2"/>
    <row r="5892" customFormat="1" x14ac:dyDescent="0.2"/>
    <row r="5893" customFormat="1" x14ac:dyDescent="0.2"/>
    <row r="5894" customFormat="1" x14ac:dyDescent="0.2"/>
    <row r="5895" customFormat="1" x14ac:dyDescent="0.2"/>
    <row r="5896" customFormat="1" x14ac:dyDescent="0.2"/>
    <row r="5897" customFormat="1" x14ac:dyDescent="0.2"/>
    <row r="5898" customFormat="1" x14ac:dyDescent="0.2"/>
    <row r="5899" customFormat="1" x14ac:dyDescent="0.2"/>
    <row r="5900" customFormat="1" x14ac:dyDescent="0.2"/>
    <row r="5901" customFormat="1" x14ac:dyDescent="0.2"/>
    <row r="5902" customFormat="1" x14ac:dyDescent="0.2"/>
    <row r="5903" customFormat="1" x14ac:dyDescent="0.2"/>
    <row r="5904" customFormat="1" x14ac:dyDescent="0.2"/>
    <row r="5905" customFormat="1" x14ac:dyDescent="0.2"/>
    <row r="5906" customFormat="1" x14ac:dyDescent="0.2"/>
    <row r="5907" customFormat="1" x14ac:dyDescent="0.2"/>
    <row r="5908" customFormat="1" x14ac:dyDescent="0.2"/>
    <row r="5909" customFormat="1" x14ac:dyDescent="0.2"/>
    <row r="5910" customFormat="1" x14ac:dyDescent="0.2"/>
    <row r="5911" customFormat="1" x14ac:dyDescent="0.2"/>
    <row r="5912" customFormat="1" x14ac:dyDescent="0.2"/>
    <row r="5913" customFormat="1" x14ac:dyDescent="0.2"/>
    <row r="5914" customFormat="1" x14ac:dyDescent="0.2"/>
    <row r="5915" customFormat="1" x14ac:dyDescent="0.2"/>
    <row r="5916" customFormat="1" x14ac:dyDescent="0.2"/>
    <row r="5917" customFormat="1" x14ac:dyDescent="0.2"/>
    <row r="5918" customFormat="1" x14ac:dyDescent="0.2"/>
    <row r="5919" customFormat="1" x14ac:dyDescent="0.2"/>
    <row r="5920" customFormat="1" x14ac:dyDescent="0.2"/>
    <row r="5921" customFormat="1" x14ac:dyDescent="0.2"/>
    <row r="5922" customFormat="1" x14ac:dyDescent="0.2"/>
    <row r="5923" customFormat="1" x14ac:dyDescent="0.2"/>
    <row r="5924" customFormat="1" x14ac:dyDescent="0.2"/>
    <row r="5925" customFormat="1" x14ac:dyDescent="0.2"/>
    <row r="5926" customFormat="1" x14ac:dyDescent="0.2"/>
    <row r="5927" customFormat="1" x14ac:dyDescent="0.2"/>
    <row r="5928" customFormat="1" x14ac:dyDescent="0.2"/>
    <row r="5929" customFormat="1" x14ac:dyDescent="0.2"/>
    <row r="5930" customFormat="1" x14ac:dyDescent="0.2"/>
    <row r="5931" customFormat="1" x14ac:dyDescent="0.2"/>
    <row r="5932" customFormat="1" x14ac:dyDescent="0.2"/>
    <row r="5933" customFormat="1" x14ac:dyDescent="0.2"/>
    <row r="5934" customFormat="1" x14ac:dyDescent="0.2"/>
    <row r="5935" customFormat="1" x14ac:dyDescent="0.2"/>
    <row r="5936" customFormat="1" x14ac:dyDescent="0.2"/>
    <row r="5937" customFormat="1" x14ac:dyDescent="0.2"/>
    <row r="5938" customFormat="1" x14ac:dyDescent="0.2"/>
    <row r="5939" customFormat="1" x14ac:dyDescent="0.2"/>
    <row r="5940" customFormat="1" x14ac:dyDescent="0.2"/>
    <row r="5941" customFormat="1" x14ac:dyDescent="0.2"/>
    <row r="5942" customFormat="1" x14ac:dyDescent="0.2"/>
    <row r="5943" customFormat="1" x14ac:dyDescent="0.2"/>
    <row r="5944" customFormat="1" x14ac:dyDescent="0.2"/>
    <row r="5945" customFormat="1" x14ac:dyDescent="0.2"/>
    <row r="5946" customFormat="1" x14ac:dyDescent="0.2"/>
    <row r="5947" customFormat="1" x14ac:dyDescent="0.2"/>
    <row r="5948" customFormat="1" x14ac:dyDescent="0.2"/>
    <row r="5949" customFormat="1" x14ac:dyDescent="0.2"/>
    <row r="5950" customFormat="1" x14ac:dyDescent="0.2"/>
    <row r="5951" customFormat="1" x14ac:dyDescent="0.2"/>
    <row r="5952" customFormat="1" x14ac:dyDescent="0.2"/>
    <row r="5953" customFormat="1" x14ac:dyDescent="0.2"/>
    <row r="5954" customFormat="1" x14ac:dyDescent="0.2"/>
    <row r="5955" customFormat="1" x14ac:dyDescent="0.2"/>
    <row r="5956" customFormat="1" x14ac:dyDescent="0.2"/>
    <row r="5957" customFormat="1" x14ac:dyDescent="0.2"/>
    <row r="5958" customFormat="1" x14ac:dyDescent="0.2"/>
    <row r="5959" customFormat="1" x14ac:dyDescent="0.2"/>
    <row r="5960" customFormat="1" x14ac:dyDescent="0.2"/>
    <row r="5961" customFormat="1" x14ac:dyDescent="0.2"/>
    <row r="5962" customFormat="1" x14ac:dyDescent="0.2"/>
    <row r="5963" customFormat="1" x14ac:dyDescent="0.2"/>
    <row r="5964" customFormat="1" x14ac:dyDescent="0.2"/>
    <row r="5965" customFormat="1" x14ac:dyDescent="0.2"/>
    <row r="5966" customFormat="1" x14ac:dyDescent="0.2"/>
    <row r="5967" customFormat="1" x14ac:dyDescent="0.2"/>
    <row r="5968" customFormat="1" x14ac:dyDescent="0.2"/>
    <row r="5969" customFormat="1" x14ac:dyDescent="0.2"/>
    <row r="5970" customFormat="1" x14ac:dyDescent="0.2"/>
    <row r="5971" customFormat="1" x14ac:dyDescent="0.2"/>
    <row r="5972" customFormat="1" x14ac:dyDescent="0.2"/>
    <row r="5973" customFormat="1" x14ac:dyDescent="0.2"/>
    <row r="5974" customFormat="1" x14ac:dyDescent="0.2"/>
    <row r="5975" customFormat="1" x14ac:dyDescent="0.2"/>
    <row r="5976" customFormat="1" x14ac:dyDescent="0.2"/>
    <row r="5977" customFormat="1" x14ac:dyDescent="0.2"/>
    <row r="5978" customFormat="1" x14ac:dyDescent="0.2"/>
    <row r="5979" customFormat="1" x14ac:dyDescent="0.2"/>
    <row r="5980" customFormat="1" x14ac:dyDescent="0.2"/>
    <row r="5981" customFormat="1" x14ac:dyDescent="0.2"/>
    <row r="5982" customFormat="1" x14ac:dyDescent="0.2"/>
    <row r="5983" customFormat="1" x14ac:dyDescent="0.2"/>
    <row r="5984" customFormat="1" x14ac:dyDescent="0.2"/>
    <row r="5985" customFormat="1" x14ac:dyDescent="0.2"/>
    <row r="5986" customFormat="1" x14ac:dyDescent="0.2"/>
    <row r="5987" customFormat="1" x14ac:dyDescent="0.2"/>
    <row r="5988" customFormat="1" x14ac:dyDescent="0.2"/>
    <row r="5989" customFormat="1" x14ac:dyDescent="0.2"/>
    <row r="5990" customFormat="1" x14ac:dyDescent="0.2"/>
    <row r="5991" customFormat="1" x14ac:dyDescent="0.2"/>
    <row r="5992" customFormat="1" x14ac:dyDescent="0.2"/>
    <row r="5993" customFormat="1" x14ac:dyDescent="0.2"/>
    <row r="5994" customFormat="1" x14ac:dyDescent="0.2"/>
    <row r="5995" customFormat="1" x14ac:dyDescent="0.2"/>
    <row r="5996" customFormat="1" x14ac:dyDescent="0.2"/>
    <row r="5997" customFormat="1" x14ac:dyDescent="0.2"/>
    <row r="5998" customFormat="1" x14ac:dyDescent="0.2"/>
    <row r="5999" customFormat="1" x14ac:dyDescent="0.2"/>
    <row r="6000" customFormat="1" x14ac:dyDescent="0.2"/>
    <row r="6001" customFormat="1" x14ac:dyDescent="0.2"/>
    <row r="6002" customFormat="1" x14ac:dyDescent="0.2"/>
    <row r="6003" customFormat="1" x14ac:dyDescent="0.2"/>
    <row r="6004" customFormat="1" x14ac:dyDescent="0.2"/>
    <row r="6005" customFormat="1" x14ac:dyDescent="0.2"/>
    <row r="6006" customFormat="1" x14ac:dyDescent="0.2"/>
    <row r="6007" customFormat="1" x14ac:dyDescent="0.2"/>
    <row r="6008" customFormat="1" x14ac:dyDescent="0.2"/>
    <row r="6009" customFormat="1" x14ac:dyDescent="0.2"/>
    <row r="6010" customFormat="1" x14ac:dyDescent="0.2"/>
    <row r="6011" customFormat="1" x14ac:dyDescent="0.2"/>
    <row r="6012" customFormat="1" x14ac:dyDescent="0.2"/>
    <row r="6013" customFormat="1" x14ac:dyDescent="0.2"/>
    <row r="6014" customFormat="1" x14ac:dyDescent="0.2"/>
    <row r="6015" customFormat="1" x14ac:dyDescent="0.2"/>
    <row r="6016" customFormat="1" x14ac:dyDescent="0.2"/>
    <row r="6017" customFormat="1" x14ac:dyDescent="0.2"/>
    <row r="6018" customFormat="1" x14ac:dyDescent="0.2"/>
    <row r="6019" customFormat="1" x14ac:dyDescent="0.2"/>
    <row r="6020" customFormat="1" x14ac:dyDescent="0.2"/>
    <row r="6021" customFormat="1" x14ac:dyDescent="0.2"/>
    <row r="6022" customFormat="1" x14ac:dyDescent="0.2"/>
    <row r="6023" customFormat="1" x14ac:dyDescent="0.2"/>
    <row r="6024" customFormat="1" x14ac:dyDescent="0.2"/>
    <row r="6025" customFormat="1" x14ac:dyDescent="0.2"/>
    <row r="6026" customFormat="1" x14ac:dyDescent="0.2"/>
    <row r="6027" customFormat="1" x14ac:dyDescent="0.2"/>
    <row r="6028" customFormat="1" x14ac:dyDescent="0.2"/>
    <row r="6029" customFormat="1" x14ac:dyDescent="0.2"/>
    <row r="6030" customFormat="1" x14ac:dyDescent="0.2"/>
    <row r="6031" customFormat="1" x14ac:dyDescent="0.2"/>
    <row r="6032" customFormat="1" x14ac:dyDescent="0.2"/>
    <row r="6033" customFormat="1" x14ac:dyDescent="0.2"/>
    <row r="6034" customFormat="1" x14ac:dyDescent="0.2"/>
    <row r="6035" customFormat="1" x14ac:dyDescent="0.2"/>
    <row r="6036" customFormat="1" x14ac:dyDescent="0.2"/>
    <row r="6037" customFormat="1" x14ac:dyDescent="0.2"/>
    <row r="6038" customFormat="1" x14ac:dyDescent="0.2"/>
    <row r="6039" customFormat="1" x14ac:dyDescent="0.2"/>
    <row r="6040" customFormat="1" x14ac:dyDescent="0.2"/>
    <row r="6041" customFormat="1" x14ac:dyDescent="0.2"/>
    <row r="6042" customFormat="1" x14ac:dyDescent="0.2"/>
    <row r="6043" customFormat="1" x14ac:dyDescent="0.2"/>
    <row r="6044" customFormat="1" x14ac:dyDescent="0.2"/>
    <row r="6045" customFormat="1" x14ac:dyDescent="0.2"/>
    <row r="6046" customFormat="1" x14ac:dyDescent="0.2"/>
    <row r="6047" customFormat="1" x14ac:dyDescent="0.2"/>
    <row r="6048" customFormat="1" x14ac:dyDescent="0.2"/>
    <row r="6049" customFormat="1" x14ac:dyDescent="0.2"/>
    <row r="6050" customFormat="1" x14ac:dyDescent="0.2"/>
    <row r="6051" customFormat="1" x14ac:dyDescent="0.2"/>
    <row r="6052" customFormat="1" x14ac:dyDescent="0.2"/>
    <row r="6053" customFormat="1" x14ac:dyDescent="0.2"/>
    <row r="6054" customFormat="1" x14ac:dyDescent="0.2"/>
    <row r="6055" customFormat="1" x14ac:dyDescent="0.2"/>
    <row r="6056" customFormat="1" x14ac:dyDescent="0.2"/>
    <row r="6057" customFormat="1" x14ac:dyDescent="0.2"/>
    <row r="6058" customFormat="1" x14ac:dyDescent="0.2"/>
    <row r="6059" customFormat="1" x14ac:dyDescent="0.2"/>
    <row r="6060" customFormat="1" x14ac:dyDescent="0.2"/>
    <row r="6061" customFormat="1" x14ac:dyDescent="0.2"/>
    <row r="6062" customFormat="1" x14ac:dyDescent="0.2"/>
    <row r="6063" customFormat="1" x14ac:dyDescent="0.2"/>
    <row r="6064" customFormat="1" x14ac:dyDescent="0.2"/>
    <row r="6065" customFormat="1" x14ac:dyDescent="0.2"/>
    <row r="6066" customFormat="1" x14ac:dyDescent="0.2"/>
    <row r="6067" customFormat="1" x14ac:dyDescent="0.2"/>
    <row r="6068" customFormat="1" x14ac:dyDescent="0.2"/>
    <row r="6069" customFormat="1" x14ac:dyDescent="0.2"/>
    <row r="6070" customFormat="1" x14ac:dyDescent="0.2"/>
    <row r="6071" customFormat="1" x14ac:dyDescent="0.2"/>
    <row r="6072" customFormat="1" x14ac:dyDescent="0.2"/>
    <row r="6073" customFormat="1" x14ac:dyDescent="0.2"/>
    <row r="6074" customFormat="1" x14ac:dyDescent="0.2"/>
    <row r="6075" customFormat="1" x14ac:dyDescent="0.2"/>
    <row r="6076" customFormat="1" x14ac:dyDescent="0.2"/>
    <row r="6077" customFormat="1" x14ac:dyDescent="0.2"/>
    <row r="6078" customFormat="1" x14ac:dyDescent="0.2"/>
    <row r="6079" customFormat="1" x14ac:dyDescent="0.2"/>
    <row r="6080" customFormat="1" x14ac:dyDescent="0.2"/>
    <row r="6081" customFormat="1" x14ac:dyDescent="0.2"/>
    <row r="6082" customFormat="1" x14ac:dyDescent="0.2"/>
    <row r="6083" customFormat="1" x14ac:dyDescent="0.2"/>
    <row r="6084" customFormat="1" x14ac:dyDescent="0.2"/>
    <row r="6085" customFormat="1" x14ac:dyDescent="0.2"/>
    <row r="6086" customFormat="1" x14ac:dyDescent="0.2"/>
    <row r="6087" customFormat="1" x14ac:dyDescent="0.2"/>
    <row r="6088" customFormat="1" x14ac:dyDescent="0.2"/>
    <row r="6089" customFormat="1" x14ac:dyDescent="0.2"/>
    <row r="6090" customFormat="1" x14ac:dyDescent="0.2"/>
    <row r="6091" customFormat="1" x14ac:dyDescent="0.2"/>
    <row r="6092" customFormat="1" x14ac:dyDescent="0.2"/>
    <row r="6093" customFormat="1" x14ac:dyDescent="0.2"/>
    <row r="6094" customFormat="1" x14ac:dyDescent="0.2"/>
    <row r="6095" customFormat="1" x14ac:dyDescent="0.2"/>
    <row r="6096" customFormat="1" x14ac:dyDescent="0.2"/>
    <row r="6097" customFormat="1" x14ac:dyDescent="0.2"/>
    <row r="6098" customFormat="1" x14ac:dyDescent="0.2"/>
    <row r="6099" customFormat="1" x14ac:dyDescent="0.2"/>
    <row r="6100" customFormat="1" x14ac:dyDescent="0.2"/>
    <row r="6101" customFormat="1" x14ac:dyDescent="0.2"/>
    <row r="6102" customFormat="1" x14ac:dyDescent="0.2"/>
    <row r="6103" customFormat="1" x14ac:dyDescent="0.2"/>
    <row r="6104" customFormat="1" x14ac:dyDescent="0.2"/>
    <row r="6105" customFormat="1" x14ac:dyDescent="0.2"/>
    <row r="6106" customFormat="1" x14ac:dyDescent="0.2"/>
    <row r="6107" customFormat="1" x14ac:dyDescent="0.2"/>
    <row r="6108" customFormat="1" x14ac:dyDescent="0.2"/>
    <row r="6109" customFormat="1" x14ac:dyDescent="0.2"/>
    <row r="6110" customFormat="1" x14ac:dyDescent="0.2"/>
    <row r="6111" customFormat="1" x14ac:dyDescent="0.2"/>
    <row r="6112" customFormat="1" x14ac:dyDescent="0.2"/>
    <row r="6113" customFormat="1" x14ac:dyDescent="0.2"/>
    <row r="6114" customFormat="1" x14ac:dyDescent="0.2"/>
    <row r="6115" customFormat="1" x14ac:dyDescent="0.2"/>
    <row r="6116" customFormat="1" x14ac:dyDescent="0.2"/>
    <row r="6117" customFormat="1" x14ac:dyDescent="0.2"/>
    <row r="6118" customFormat="1" x14ac:dyDescent="0.2"/>
    <row r="6119" customFormat="1" x14ac:dyDescent="0.2"/>
    <row r="6120" customFormat="1" x14ac:dyDescent="0.2"/>
    <row r="6121" customFormat="1" x14ac:dyDescent="0.2"/>
    <row r="6122" customFormat="1" x14ac:dyDescent="0.2"/>
    <row r="6123" customFormat="1" x14ac:dyDescent="0.2"/>
    <row r="6124" customFormat="1" x14ac:dyDescent="0.2"/>
    <row r="6125" customFormat="1" x14ac:dyDescent="0.2"/>
    <row r="6126" customFormat="1" x14ac:dyDescent="0.2"/>
    <row r="6127" customFormat="1" x14ac:dyDescent="0.2"/>
    <row r="6128" customFormat="1" x14ac:dyDescent="0.2"/>
    <row r="6129" customFormat="1" x14ac:dyDescent="0.2"/>
    <row r="6130" customFormat="1" x14ac:dyDescent="0.2"/>
    <row r="6131" customFormat="1" x14ac:dyDescent="0.2"/>
    <row r="6132" customFormat="1" x14ac:dyDescent="0.2"/>
    <row r="6133" customFormat="1" x14ac:dyDescent="0.2"/>
    <row r="6134" customFormat="1" x14ac:dyDescent="0.2"/>
    <row r="6135" customFormat="1" x14ac:dyDescent="0.2"/>
    <row r="6136" customFormat="1" x14ac:dyDescent="0.2"/>
    <row r="6137" customFormat="1" x14ac:dyDescent="0.2"/>
    <row r="6138" customFormat="1" x14ac:dyDescent="0.2"/>
    <row r="6139" customFormat="1" x14ac:dyDescent="0.2"/>
    <row r="6140" customFormat="1" x14ac:dyDescent="0.2"/>
    <row r="6141" customFormat="1" x14ac:dyDescent="0.2"/>
    <row r="6142" customFormat="1" x14ac:dyDescent="0.2"/>
    <row r="6143" customFormat="1" x14ac:dyDescent="0.2"/>
    <row r="6144" customFormat="1" x14ac:dyDescent="0.2"/>
    <row r="6145" customFormat="1" x14ac:dyDescent="0.2"/>
    <row r="6146" customFormat="1" x14ac:dyDescent="0.2"/>
    <row r="6147" customFormat="1" x14ac:dyDescent="0.2"/>
    <row r="6148" customFormat="1" x14ac:dyDescent="0.2"/>
    <row r="6149" customFormat="1" x14ac:dyDescent="0.2"/>
    <row r="6150" customFormat="1" x14ac:dyDescent="0.2"/>
    <row r="6151" customFormat="1" x14ac:dyDescent="0.2"/>
    <row r="6152" customFormat="1" x14ac:dyDescent="0.2"/>
    <row r="6153" customFormat="1" x14ac:dyDescent="0.2"/>
    <row r="6154" customFormat="1" x14ac:dyDescent="0.2"/>
    <row r="6155" customFormat="1" x14ac:dyDescent="0.2"/>
    <row r="6156" customFormat="1" x14ac:dyDescent="0.2"/>
    <row r="6157" customFormat="1" x14ac:dyDescent="0.2"/>
    <row r="6158" customFormat="1" x14ac:dyDescent="0.2"/>
    <row r="6159" customFormat="1" x14ac:dyDescent="0.2"/>
    <row r="6160" customFormat="1" x14ac:dyDescent="0.2"/>
    <row r="6161" customFormat="1" x14ac:dyDescent="0.2"/>
    <row r="6162" customFormat="1" x14ac:dyDescent="0.2"/>
    <row r="6163" customFormat="1" x14ac:dyDescent="0.2"/>
    <row r="6164" customFormat="1" x14ac:dyDescent="0.2"/>
    <row r="6165" customFormat="1" x14ac:dyDescent="0.2"/>
    <row r="6166" customFormat="1" x14ac:dyDescent="0.2"/>
    <row r="6167" customFormat="1" x14ac:dyDescent="0.2"/>
    <row r="6168" customFormat="1" x14ac:dyDescent="0.2"/>
    <row r="6169" customFormat="1" x14ac:dyDescent="0.2"/>
    <row r="6170" customFormat="1" x14ac:dyDescent="0.2"/>
    <row r="6171" customFormat="1" x14ac:dyDescent="0.2"/>
    <row r="6172" customFormat="1" x14ac:dyDescent="0.2"/>
    <row r="6173" customFormat="1" x14ac:dyDescent="0.2"/>
    <row r="6174" customFormat="1" x14ac:dyDescent="0.2"/>
    <row r="6175" customFormat="1" x14ac:dyDescent="0.2"/>
    <row r="6176" customFormat="1" x14ac:dyDescent="0.2"/>
    <row r="6177" customFormat="1" x14ac:dyDescent="0.2"/>
    <row r="6178" customFormat="1" x14ac:dyDescent="0.2"/>
    <row r="6179" customFormat="1" x14ac:dyDescent="0.2"/>
    <row r="6180" customFormat="1" x14ac:dyDescent="0.2"/>
    <row r="6181" customFormat="1" x14ac:dyDescent="0.2"/>
    <row r="6182" customFormat="1" x14ac:dyDescent="0.2"/>
    <row r="6183" customFormat="1" x14ac:dyDescent="0.2"/>
    <row r="6184" customFormat="1" x14ac:dyDescent="0.2"/>
    <row r="6185" customFormat="1" x14ac:dyDescent="0.2"/>
    <row r="6186" customFormat="1" x14ac:dyDescent="0.2"/>
    <row r="6187" customFormat="1" x14ac:dyDescent="0.2"/>
    <row r="6188" customFormat="1" x14ac:dyDescent="0.2"/>
    <row r="6189" customFormat="1" x14ac:dyDescent="0.2"/>
    <row r="6190" customFormat="1" x14ac:dyDescent="0.2"/>
    <row r="6191" customFormat="1" x14ac:dyDescent="0.2"/>
    <row r="6192" customFormat="1" x14ac:dyDescent="0.2"/>
    <row r="6193" customFormat="1" x14ac:dyDescent="0.2"/>
    <row r="6194" customFormat="1" x14ac:dyDescent="0.2"/>
    <row r="6195" customFormat="1" x14ac:dyDescent="0.2"/>
    <row r="6196" customFormat="1" x14ac:dyDescent="0.2"/>
    <row r="6197" customFormat="1" x14ac:dyDescent="0.2"/>
    <row r="6198" customFormat="1" x14ac:dyDescent="0.2"/>
    <row r="6199" customFormat="1" x14ac:dyDescent="0.2"/>
    <row r="6200" customFormat="1" x14ac:dyDescent="0.2"/>
    <row r="6201" customFormat="1" x14ac:dyDescent="0.2"/>
    <row r="6202" customFormat="1" x14ac:dyDescent="0.2"/>
    <row r="6203" customFormat="1" x14ac:dyDescent="0.2"/>
    <row r="6204" customFormat="1" x14ac:dyDescent="0.2"/>
    <row r="6205" customFormat="1" x14ac:dyDescent="0.2"/>
    <row r="6206" customFormat="1" x14ac:dyDescent="0.2"/>
    <row r="6207" customFormat="1" x14ac:dyDescent="0.2"/>
    <row r="6208" customFormat="1" x14ac:dyDescent="0.2"/>
    <row r="6209" customFormat="1" x14ac:dyDescent="0.2"/>
    <row r="6210" customFormat="1" x14ac:dyDescent="0.2"/>
    <row r="6211" customFormat="1" x14ac:dyDescent="0.2"/>
    <row r="6212" customFormat="1" x14ac:dyDescent="0.2"/>
    <row r="6213" customFormat="1" x14ac:dyDescent="0.2"/>
    <row r="6214" customFormat="1" x14ac:dyDescent="0.2"/>
    <row r="6215" customFormat="1" x14ac:dyDescent="0.2"/>
    <row r="6216" customFormat="1" x14ac:dyDescent="0.2"/>
    <row r="6217" customFormat="1" x14ac:dyDescent="0.2"/>
    <row r="6218" customFormat="1" x14ac:dyDescent="0.2"/>
    <row r="6219" customFormat="1" x14ac:dyDescent="0.2"/>
    <row r="6220" customFormat="1" x14ac:dyDescent="0.2"/>
    <row r="6221" customFormat="1" x14ac:dyDescent="0.2"/>
    <row r="6222" customFormat="1" x14ac:dyDescent="0.2"/>
    <row r="6223" customFormat="1" x14ac:dyDescent="0.2"/>
    <row r="6224" customFormat="1" x14ac:dyDescent="0.2"/>
    <row r="6225" customFormat="1" x14ac:dyDescent="0.2"/>
    <row r="6226" customFormat="1" x14ac:dyDescent="0.2"/>
    <row r="6227" customFormat="1" x14ac:dyDescent="0.2"/>
    <row r="6228" customFormat="1" x14ac:dyDescent="0.2"/>
    <row r="6229" customFormat="1" x14ac:dyDescent="0.2"/>
    <row r="6230" customFormat="1" x14ac:dyDescent="0.2"/>
    <row r="6231" customFormat="1" x14ac:dyDescent="0.2"/>
    <row r="6232" customFormat="1" x14ac:dyDescent="0.2"/>
    <row r="6233" customFormat="1" x14ac:dyDescent="0.2"/>
    <row r="6234" customFormat="1" x14ac:dyDescent="0.2"/>
    <row r="6235" customFormat="1" x14ac:dyDescent="0.2"/>
    <row r="6236" customFormat="1" x14ac:dyDescent="0.2"/>
    <row r="6237" customFormat="1" x14ac:dyDescent="0.2"/>
    <row r="6238" customFormat="1" x14ac:dyDescent="0.2"/>
    <row r="6239" customFormat="1" x14ac:dyDescent="0.2"/>
    <row r="6240" customFormat="1" x14ac:dyDescent="0.2"/>
    <row r="6241" customFormat="1" x14ac:dyDescent="0.2"/>
    <row r="6242" customFormat="1" x14ac:dyDescent="0.2"/>
    <row r="6243" customFormat="1" x14ac:dyDescent="0.2"/>
    <row r="6244" customFormat="1" x14ac:dyDescent="0.2"/>
    <row r="6245" customFormat="1" x14ac:dyDescent="0.2"/>
    <row r="6246" customFormat="1" x14ac:dyDescent="0.2"/>
    <row r="6247" customFormat="1" x14ac:dyDescent="0.2"/>
    <row r="6248" customFormat="1" x14ac:dyDescent="0.2"/>
    <row r="6249" customFormat="1" x14ac:dyDescent="0.2"/>
    <row r="6250" customFormat="1" x14ac:dyDescent="0.2"/>
    <row r="6251" customFormat="1" x14ac:dyDescent="0.2"/>
    <row r="6252" customFormat="1" x14ac:dyDescent="0.2"/>
    <row r="6253" customFormat="1" x14ac:dyDescent="0.2"/>
    <row r="6254" customFormat="1" x14ac:dyDescent="0.2"/>
    <row r="6255" customFormat="1" x14ac:dyDescent="0.2"/>
    <row r="6256" customFormat="1" x14ac:dyDescent="0.2"/>
    <row r="6257" customFormat="1" x14ac:dyDescent="0.2"/>
    <row r="6258" customFormat="1" x14ac:dyDescent="0.2"/>
    <row r="6259" customFormat="1" x14ac:dyDescent="0.2"/>
    <row r="6260" customFormat="1" x14ac:dyDescent="0.2"/>
    <row r="6261" customFormat="1" x14ac:dyDescent="0.2"/>
    <row r="6262" customFormat="1" x14ac:dyDescent="0.2"/>
    <row r="6263" customFormat="1" x14ac:dyDescent="0.2"/>
    <row r="6264" customFormat="1" x14ac:dyDescent="0.2"/>
    <row r="6265" customFormat="1" x14ac:dyDescent="0.2"/>
    <row r="6266" customFormat="1" x14ac:dyDescent="0.2"/>
    <row r="6267" customFormat="1" x14ac:dyDescent="0.2"/>
    <row r="6268" customFormat="1" x14ac:dyDescent="0.2"/>
    <row r="6269" customFormat="1" x14ac:dyDescent="0.2"/>
    <row r="6270" customFormat="1" x14ac:dyDescent="0.2"/>
    <row r="6271" customFormat="1" x14ac:dyDescent="0.2"/>
    <row r="6272" customFormat="1" x14ac:dyDescent="0.2"/>
    <row r="6273" customFormat="1" x14ac:dyDescent="0.2"/>
    <row r="6274" customFormat="1" x14ac:dyDescent="0.2"/>
    <row r="6275" customFormat="1" x14ac:dyDescent="0.2"/>
    <row r="6276" customFormat="1" x14ac:dyDescent="0.2"/>
    <row r="6277" customFormat="1" x14ac:dyDescent="0.2"/>
    <row r="6278" customFormat="1" x14ac:dyDescent="0.2"/>
    <row r="6279" customFormat="1" x14ac:dyDescent="0.2"/>
    <row r="6280" customFormat="1" x14ac:dyDescent="0.2"/>
    <row r="6281" customFormat="1" x14ac:dyDescent="0.2"/>
    <row r="6282" customFormat="1" x14ac:dyDescent="0.2"/>
    <row r="6283" customFormat="1" x14ac:dyDescent="0.2"/>
    <row r="6284" customFormat="1" x14ac:dyDescent="0.2"/>
    <row r="6285" customFormat="1" x14ac:dyDescent="0.2"/>
    <row r="6286" customFormat="1" x14ac:dyDescent="0.2"/>
    <row r="6287" customFormat="1" x14ac:dyDescent="0.2"/>
    <row r="6288" customFormat="1" x14ac:dyDescent="0.2"/>
    <row r="6289" customFormat="1" x14ac:dyDescent="0.2"/>
    <row r="6290" customFormat="1" x14ac:dyDescent="0.2"/>
    <row r="6291" customFormat="1" x14ac:dyDescent="0.2"/>
    <row r="6292" customFormat="1" x14ac:dyDescent="0.2"/>
    <row r="6293" customFormat="1" x14ac:dyDescent="0.2"/>
    <row r="6294" customFormat="1" x14ac:dyDescent="0.2"/>
    <row r="6295" customFormat="1" x14ac:dyDescent="0.2"/>
    <row r="6296" customFormat="1" x14ac:dyDescent="0.2"/>
    <row r="6297" customFormat="1" x14ac:dyDescent="0.2"/>
    <row r="6298" customFormat="1" x14ac:dyDescent="0.2"/>
    <row r="6299" customFormat="1" x14ac:dyDescent="0.2"/>
    <row r="6300" customFormat="1" x14ac:dyDescent="0.2"/>
    <row r="6301" customFormat="1" x14ac:dyDescent="0.2"/>
    <row r="6302" customFormat="1" x14ac:dyDescent="0.2"/>
    <row r="6303" customFormat="1" x14ac:dyDescent="0.2"/>
    <row r="6304" customFormat="1" x14ac:dyDescent="0.2"/>
    <row r="6305" customFormat="1" x14ac:dyDescent="0.2"/>
    <row r="6306" customFormat="1" x14ac:dyDescent="0.2"/>
    <row r="6307" customFormat="1" x14ac:dyDescent="0.2"/>
    <row r="6308" customFormat="1" x14ac:dyDescent="0.2"/>
    <row r="6309" customFormat="1" x14ac:dyDescent="0.2"/>
    <row r="6310" customFormat="1" x14ac:dyDescent="0.2"/>
    <row r="6311" customFormat="1" x14ac:dyDescent="0.2"/>
    <row r="6312" customFormat="1" x14ac:dyDescent="0.2"/>
    <row r="6313" customFormat="1" x14ac:dyDescent="0.2"/>
    <row r="6314" customFormat="1" x14ac:dyDescent="0.2"/>
    <row r="6315" customFormat="1" x14ac:dyDescent="0.2"/>
    <row r="6316" customFormat="1" x14ac:dyDescent="0.2"/>
    <row r="6317" customFormat="1" x14ac:dyDescent="0.2"/>
    <row r="6318" customFormat="1" x14ac:dyDescent="0.2"/>
    <row r="6319" customFormat="1" x14ac:dyDescent="0.2"/>
    <row r="6320" customFormat="1" x14ac:dyDescent="0.2"/>
    <row r="6321" customFormat="1" x14ac:dyDescent="0.2"/>
    <row r="6322" customFormat="1" x14ac:dyDescent="0.2"/>
    <row r="6323" customFormat="1" x14ac:dyDescent="0.2"/>
    <row r="6324" customFormat="1" x14ac:dyDescent="0.2"/>
    <row r="6325" customFormat="1" x14ac:dyDescent="0.2"/>
    <row r="6326" customFormat="1" x14ac:dyDescent="0.2"/>
    <row r="6327" customFormat="1" x14ac:dyDescent="0.2"/>
    <row r="6328" customFormat="1" x14ac:dyDescent="0.2"/>
    <row r="6329" customFormat="1" x14ac:dyDescent="0.2"/>
    <row r="6330" customFormat="1" x14ac:dyDescent="0.2"/>
    <row r="6331" customFormat="1" x14ac:dyDescent="0.2"/>
    <row r="6332" customFormat="1" x14ac:dyDescent="0.2"/>
    <row r="6333" customFormat="1" x14ac:dyDescent="0.2"/>
    <row r="6334" customFormat="1" x14ac:dyDescent="0.2"/>
    <row r="6335" customFormat="1" x14ac:dyDescent="0.2"/>
    <row r="6336" customFormat="1" x14ac:dyDescent="0.2"/>
    <row r="6337" customFormat="1" x14ac:dyDescent="0.2"/>
    <row r="6338" customFormat="1" x14ac:dyDescent="0.2"/>
    <row r="6339" customFormat="1" x14ac:dyDescent="0.2"/>
    <row r="6340" customFormat="1" x14ac:dyDescent="0.2"/>
    <row r="6341" customFormat="1" x14ac:dyDescent="0.2"/>
    <row r="6342" customFormat="1" x14ac:dyDescent="0.2"/>
    <row r="6343" customFormat="1" x14ac:dyDescent="0.2"/>
    <row r="6344" customFormat="1" x14ac:dyDescent="0.2"/>
    <row r="6345" customFormat="1" x14ac:dyDescent="0.2"/>
    <row r="6346" customFormat="1" x14ac:dyDescent="0.2"/>
    <row r="6347" customFormat="1" x14ac:dyDescent="0.2"/>
    <row r="6348" customFormat="1" x14ac:dyDescent="0.2"/>
    <row r="6349" customFormat="1" x14ac:dyDescent="0.2"/>
    <row r="6350" customFormat="1" x14ac:dyDescent="0.2"/>
    <row r="6351" customFormat="1" x14ac:dyDescent="0.2"/>
    <row r="6352" customFormat="1" x14ac:dyDescent="0.2"/>
    <row r="6353" customFormat="1" x14ac:dyDescent="0.2"/>
    <row r="6354" customFormat="1" x14ac:dyDescent="0.2"/>
    <row r="6355" customFormat="1" x14ac:dyDescent="0.2"/>
    <row r="6356" customFormat="1" x14ac:dyDescent="0.2"/>
    <row r="6357" customFormat="1" x14ac:dyDescent="0.2"/>
    <row r="6358" customFormat="1" x14ac:dyDescent="0.2"/>
    <row r="6359" customFormat="1" x14ac:dyDescent="0.2"/>
    <row r="6360" customFormat="1" x14ac:dyDescent="0.2"/>
    <row r="6361" customFormat="1" x14ac:dyDescent="0.2"/>
    <row r="6362" customFormat="1" x14ac:dyDescent="0.2"/>
    <row r="6363" customFormat="1" x14ac:dyDescent="0.2"/>
    <row r="6364" customFormat="1" x14ac:dyDescent="0.2"/>
    <row r="6365" customFormat="1" x14ac:dyDescent="0.2"/>
    <row r="6366" customFormat="1" x14ac:dyDescent="0.2"/>
    <row r="6367" customFormat="1" x14ac:dyDescent="0.2"/>
    <row r="6368" customFormat="1" x14ac:dyDescent="0.2"/>
    <row r="6369" customFormat="1" x14ac:dyDescent="0.2"/>
    <row r="6370" customFormat="1" x14ac:dyDescent="0.2"/>
    <row r="6371" customFormat="1" x14ac:dyDescent="0.2"/>
    <row r="6372" customFormat="1" x14ac:dyDescent="0.2"/>
    <row r="6373" customFormat="1" x14ac:dyDescent="0.2"/>
    <row r="6374" customFormat="1" x14ac:dyDescent="0.2"/>
    <row r="6375" customFormat="1" x14ac:dyDescent="0.2"/>
    <row r="6376" customFormat="1" x14ac:dyDescent="0.2"/>
    <row r="6377" customFormat="1" x14ac:dyDescent="0.2"/>
    <row r="6378" customFormat="1" x14ac:dyDescent="0.2"/>
    <row r="6379" customFormat="1" x14ac:dyDescent="0.2"/>
    <row r="6380" customFormat="1" x14ac:dyDescent="0.2"/>
    <row r="6381" customFormat="1" x14ac:dyDescent="0.2"/>
    <row r="6382" customFormat="1" x14ac:dyDescent="0.2"/>
    <row r="6383" customFormat="1" x14ac:dyDescent="0.2"/>
    <row r="6384" customFormat="1" x14ac:dyDescent="0.2"/>
    <row r="6385" customFormat="1" x14ac:dyDescent="0.2"/>
    <row r="6386" customFormat="1" x14ac:dyDescent="0.2"/>
    <row r="6387" customFormat="1" x14ac:dyDescent="0.2"/>
    <row r="6388" customFormat="1" x14ac:dyDescent="0.2"/>
    <row r="6389" customFormat="1" x14ac:dyDescent="0.2"/>
    <row r="6390" customFormat="1" x14ac:dyDescent="0.2"/>
    <row r="6391" customFormat="1" x14ac:dyDescent="0.2"/>
    <row r="6392" customFormat="1" x14ac:dyDescent="0.2"/>
    <row r="6393" customFormat="1" x14ac:dyDescent="0.2"/>
    <row r="6394" customFormat="1" x14ac:dyDescent="0.2"/>
    <row r="6395" customFormat="1" x14ac:dyDescent="0.2"/>
    <row r="6396" customFormat="1" x14ac:dyDescent="0.2"/>
    <row r="6397" customFormat="1" x14ac:dyDescent="0.2"/>
    <row r="6398" customFormat="1" x14ac:dyDescent="0.2"/>
    <row r="6399" customFormat="1" x14ac:dyDescent="0.2"/>
    <row r="6400" customFormat="1" x14ac:dyDescent="0.2"/>
    <row r="6401" customFormat="1" x14ac:dyDescent="0.2"/>
    <row r="6402" customFormat="1" x14ac:dyDescent="0.2"/>
    <row r="6403" customFormat="1" x14ac:dyDescent="0.2"/>
    <row r="6404" customFormat="1" x14ac:dyDescent="0.2"/>
    <row r="6405" customFormat="1" x14ac:dyDescent="0.2"/>
    <row r="6406" customFormat="1" x14ac:dyDescent="0.2"/>
    <row r="6407" customFormat="1" x14ac:dyDescent="0.2"/>
    <row r="6408" customFormat="1" x14ac:dyDescent="0.2"/>
    <row r="6409" customFormat="1" x14ac:dyDescent="0.2"/>
    <row r="6410" customFormat="1" x14ac:dyDescent="0.2"/>
    <row r="6411" customFormat="1" x14ac:dyDescent="0.2"/>
    <row r="6412" customFormat="1" x14ac:dyDescent="0.2"/>
    <row r="6413" customFormat="1" x14ac:dyDescent="0.2"/>
    <row r="6414" customFormat="1" x14ac:dyDescent="0.2"/>
    <row r="6415" customFormat="1" x14ac:dyDescent="0.2"/>
    <row r="6416" customFormat="1" x14ac:dyDescent="0.2"/>
    <row r="6417" customFormat="1" x14ac:dyDescent="0.2"/>
    <row r="6418" customFormat="1" x14ac:dyDescent="0.2"/>
    <row r="6419" customFormat="1" x14ac:dyDescent="0.2"/>
    <row r="6420" customFormat="1" x14ac:dyDescent="0.2"/>
    <row r="6421" customFormat="1" x14ac:dyDescent="0.2"/>
    <row r="6422" customFormat="1" x14ac:dyDescent="0.2"/>
    <row r="6423" customFormat="1" x14ac:dyDescent="0.2"/>
    <row r="6424" customFormat="1" x14ac:dyDescent="0.2"/>
    <row r="6425" customFormat="1" x14ac:dyDescent="0.2"/>
    <row r="6426" customFormat="1" x14ac:dyDescent="0.2"/>
    <row r="6427" customFormat="1" x14ac:dyDescent="0.2"/>
    <row r="6428" customFormat="1" x14ac:dyDescent="0.2"/>
    <row r="6429" customFormat="1" x14ac:dyDescent="0.2"/>
    <row r="6430" customFormat="1" x14ac:dyDescent="0.2"/>
    <row r="6431" customFormat="1" x14ac:dyDescent="0.2"/>
    <row r="6432" customFormat="1" x14ac:dyDescent="0.2"/>
    <row r="6433" customFormat="1" x14ac:dyDescent="0.2"/>
    <row r="6434" customFormat="1" x14ac:dyDescent="0.2"/>
    <row r="6435" customFormat="1" x14ac:dyDescent="0.2"/>
    <row r="6436" customFormat="1" x14ac:dyDescent="0.2"/>
    <row r="6437" customFormat="1" x14ac:dyDescent="0.2"/>
    <row r="6438" customFormat="1" x14ac:dyDescent="0.2"/>
    <row r="6439" customFormat="1" x14ac:dyDescent="0.2"/>
    <row r="6440" customFormat="1" x14ac:dyDescent="0.2"/>
    <row r="6441" customFormat="1" x14ac:dyDescent="0.2"/>
    <row r="6442" customFormat="1" x14ac:dyDescent="0.2"/>
    <row r="6443" customFormat="1" x14ac:dyDescent="0.2"/>
    <row r="6444" customFormat="1" x14ac:dyDescent="0.2"/>
    <row r="6445" customFormat="1" x14ac:dyDescent="0.2"/>
    <row r="6446" customFormat="1" x14ac:dyDescent="0.2"/>
    <row r="6447" customFormat="1" x14ac:dyDescent="0.2"/>
    <row r="6448" customFormat="1" x14ac:dyDescent="0.2"/>
    <row r="6449" customFormat="1" x14ac:dyDescent="0.2"/>
    <row r="6450" customFormat="1" x14ac:dyDescent="0.2"/>
    <row r="6451" customFormat="1" x14ac:dyDescent="0.2"/>
    <row r="6452" customFormat="1" x14ac:dyDescent="0.2"/>
    <row r="6453" customFormat="1" x14ac:dyDescent="0.2"/>
    <row r="6454" customFormat="1" x14ac:dyDescent="0.2"/>
    <row r="6455" customFormat="1" x14ac:dyDescent="0.2"/>
    <row r="6456" customFormat="1" x14ac:dyDescent="0.2"/>
    <row r="6457" customFormat="1" x14ac:dyDescent="0.2"/>
    <row r="6458" customFormat="1" x14ac:dyDescent="0.2"/>
    <row r="6459" customFormat="1" x14ac:dyDescent="0.2"/>
    <row r="6460" customFormat="1" x14ac:dyDescent="0.2"/>
    <row r="6461" customFormat="1" x14ac:dyDescent="0.2"/>
    <row r="6462" customFormat="1" x14ac:dyDescent="0.2"/>
    <row r="6463" customFormat="1" x14ac:dyDescent="0.2"/>
    <row r="6464" customFormat="1" x14ac:dyDescent="0.2"/>
    <row r="6465" customFormat="1" x14ac:dyDescent="0.2"/>
    <row r="6466" customFormat="1" x14ac:dyDescent="0.2"/>
    <row r="6467" customFormat="1" x14ac:dyDescent="0.2"/>
    <row r="6468" customFormat="1" x14ac:dyDescent="0.2"/>
    <row r="6469" customFormat="1" x14ac:dyDescent="0.2"/>
    <row r="6470" customFormat="1" x14ac:dyDescent="0.2"/>
    <row r="6471" customFormat="1" x14ac:dyDescent="0.2"/>
    <row r="6472" customFormat="1" x14ac:dyDescent="0.2"/>
    <row r="6473" customFormat="1" x14ac:dyDescent="0.2"/>
    <row r="6474" customFormat="1" x14ac:dyDescent="0.2"/>
    <row r="6475" customFormat="1" x14ac:dyDescent="0.2"/>
    <row r="6476" customFormat="1" x14ac:dyDescent="0.2"/>
    <row r="6477" customFormat="1" x14ac:dyDescent="0.2"/>
    <row r="6478" customFormat="1" x14ac:dyDescent="0.2"/>
    <row r="6479" customFormat="1" x14ac:dyDescent="0.2"/>
    <row r="6480" customFormat="1" x14ac:dyDescent="0.2"/>
    <row r="6481" customFormat="1" x14ac:dyDescent="0.2"/>
    <row r="6482" customFormat="1" x14ac:dyDescent="0.2"/>
    <row r="6483" customFormat="1" x14ac:dyDescent="0.2"/>
    <row r="6484" customFormat="1" x14ac:dyDescent="0.2"/>
    <row r="6485" customFormat="1" x14ac:dyDescent="0.2"/>
    <row r="6486" customFormat="1" x14ac:dyDescent="0.2"/>
    <row r="6487" customFormat="1" x14ac:dyDescent="0.2"/>
    <row r="6488" customFormat="1" x14ac:dyDescent="0.2"/>
    <row r="6489" customFormat="1" x14ac:dyDescent="0.2"/>
    <row r="6490" customFormat="1" x14ac:dyDescent="0.2"/>
    <row r="6491" customFormat="1" x14ac:dyDescent="0.2"/>
    <row r="6492" customFormat="1" x14ac:dyDescent="0.2"/>
    <row r="6493" customFormat="1" x14ac:dyDescent="0.2"/>
    <row r="6494" customFormat="1" x14ac:dyDescent="0.2"/>
    <row r="6495" customFormat="1" x14ac:dyDescent="0.2"/>
    <row r="6496" customFormat="1" x14ac:dyDescent="0.2"/>
    <row r="6497" customFormat="1" x14ac:dyDescent="0.2"/>
    <row r="6498" customFormat="1" x14ac:dyDescent="0.2"/>
    <row r="6499" customFormat="1" x14ac:dyDescent="0.2"/>
    <row r="6500" customFormat="1" x14ac:dyDescent="0.2"/>
    <row r="6501" customFormat="1" x14ac:dyDescent="0.2"/>
    <row r="6502" customFormat="1" x14ac:dyDescent="0.2"/>
    <row r="6503" customFormat="1" x14ac:dyDescent="0.2"/>
    <row r="6504" customFormat="1" x14ac:dyDescent="0.2"/>
    <row r="6505" customFormat="1" x14ac:dyDescent="0.2"/>
    <row r="6506" customFormat="1" x14ac:dyDescent="0.2"/>
    <row r="6507" customFormat="1" x14ac:dyDescent="0.2"/>
    <row r="6508" customFormat="1" x14ac:dyDescent="0.2"/>
    <row r="6509" customFormat="1" x14ac:dyDescent="0.2"/>
    <row r="6510" customFormat="1" x14ac:dyDescent="0.2"/>
    <row r="6511" customFormat="1" x14ac:dyDescent="0.2"/>
    <row r="6512" customFormat="1" x14ac:dyDescent="0.2"/>
    <row r="6513" customFormat="1" x14ac:dyDescent="0.2"/>
    <row r="6514" customFormat="1" x14ac:dyDescent="0.2"/>
    <row r="6515" customFormat="1" x14ac:dyDescent="0.2"/>
    <row r="6516" customFormat="1" x14ac:dyDescent="0.2"/>
    <row r="6517" customFormat="1" x14ac:dyDescent="0.2"/>
    <row r="6518" customFormat="1" x14ac:dyDescent="0.2"/>
    <row r="6519" customFormat="1" x14ac:dyDescent="0.2"/>
    <row r="6520" customFormat="1" x14ac:dyDescent="0.2"/>
    <row r="6521" customFormat="1" x14ac:dyDescent="0.2"/>
    <row r="6522" customFormat="1" x14ac:dyDescent="0.2"/>
    <row r="6523" customFormat="1" x14ac:dyDescent="0.2"/>
    <row r="6524" customFormat="1" x14ac:dyDescent="0.2"/>
    <row r="6525" customFormat="1" x14ac:dyDescent="0.2"/>
    <row r="6526" customFormat="1" x14ac:dyDescent="0.2"/>
    <row r="6527" customFormat="1" x14ac:dyDescent="0.2"/>
    <row r="6528" customFormat="1" x14ac:dyDescent="0.2"/>
    <row r="6529" customFormat="1" x14ac:dyDescent="0.2"/>
    <row r="6530" customFormat="1" x14ac:dyDescent="0.2"/>
    <row r="6531" customFormat="1" x14ac:dyDescent="0.2"/>
    <row r="6532" customFormat="1" x14ac:dyDescent="0.2"/>
    <row r="6533" customFormat="1" x14ac:dyDescent="0.2"/>
    <row r="6534" customFormat="1" x14ac:dyDescent="0.2"/>
    <row r="6535" customFormat="1" x14ac:dyDescent="0.2"/>
    <row r="6536" customFormat="1" x14ac:dyDescent="0.2"/>
    <row r="6537" customFormat="1" x14ac:dyDescent="0.2"/>
    <row r="6538" customFormat="1" x14ac:dyDescent="0.2"/>
    <row r="6539" customFormat="1" x14ac:dyDescent="0.2"/>
    <row r="6540" customFormat="1" x14ac:dyDescent="0.2"/>
    <row r="6541" customFormat="1" x14ac:dyDescent="0.2"/>
    <row r="6542" customFormat="1" x14ac:dyDescent="0.2"/>
    <row r="6543" customFormat="1" x14ac:dyDescent="0.2"/>
    <row r="6544" customFormat="1" x14ac:dyDescent="0.2"/>
    <row r="6545" customFormat="1" x14ac:dyDescent="0.2"/>
    <row r="6546" customFormat="1" x14ac:dyDescent="0.2"/>
    <row r="6547" customFormat="1" x14ac:dyDescent="0.2"/>
    <row r="6548" customFormat="1" x14ac:dyDescent="0.2"/>
    <row r="6549" customFormat="1" x14ac:dyDescent="0.2"/>
    <row r="6550" customFormat="1" x14ac:dyDescent="0.2"/>
    <row r="6551" customFormat="1" x14ac:dyDescent="0.2"/>
    <row r="6552" customFormat="1" x14ac:dyDescent="0.2"/>
    <row r="6553" customFormat="1" x14ac:dyDescent="0.2"/>
    <row r="6554" customFormat="1" x14ac:dyDescent="0.2"/>
    <row r="6555" customFormat="1" x14ac:dyDescent="0.2"/>
    <row r="6556" customFormat="1" x14ac:dyDescent="0.2"/>
    <row r="6557" customFormat="1" x14ac:dyDescent="0.2"/>
    <row r="6558" customFormat="1" x14ac:dyDescent="0.2"/>
    <row r="6559" customFormat="1" x14ac:dyDescent="0.2"/>
    <row r="6560" customFormat="1" x14ac:dyDescent="0.2"/>
    <row r="6561" customFormat="1" x14ac:dyDescent="0.2"/>
    <row r="6562" customFormat="1" x14ac:dyDescent="0.2"/>
    <row r="6563" customFormat="1" x14ac:dyDescent="0.2"/>
    <row r="6564" customFormat="1" x14ac:dyDescent="0.2"/>
    <row r="6565" customFormat="1" x14ac:dyDescent="0.2"/>
    <row r="6566" customFormat="1" x14ac:dyDescent="0.2"/>
    <row r="6567" customFormat="1" x14ac:dyDescent="0.2"/>
    <row r="6568" customFormat="1" x14ac:dyDescent="0.2"/>
    <row r="6569" customFormat="1" x14ac:dyDescent="0.2"/>
    <row r="6570" customFormat="1" x14ac:dyDescent="0.2"/>
    <row r="6571" customFormat="1" x14ac:dyDescent="0.2"/>
    <row r="6572" customFormat="1" x14ac:dyDescent="0.2"/>
    <row r="6573" customFormat="1" x14ac:dyDescent="0.2"/>
    <row r="6574" customFormat="1" x14ac:dyDescent="0.2"/>
    <row r="6575" customFormat="1" x14ac:dyDescent="0.2"/>
    <row r="6576" customFormat="1" x14ac:dyDescent="0.2"/>
    <row r="6577" customFormat="1" x14ac:dyDescent="0.2"/>
    <row r="6578" customFormat="1" x14ac:dyDescent="0.2"/>
    <row r="6579" customFormat="1" x14ac:dyDescent="0.2"/>
    <row r="6580" customFormat="1" x14ac:dyDescent="0.2"/>
    <row r="6581" customFormat="1" x14ac:dyDescent="0.2"/>
    <row r="6582" customFormat="1" x14ac:dyDescent="0.2"/>
    <row r="6583" customFormat="1" x14ac:dyDescent="0.2"/>
    <row r="6584" customFormat="1" x14ac:dyDescent="0.2"/>
    <row r="6585" customFormat="1" x14ac:dyDescent="0.2"/>
    <row r="6586" customFormat="1" x14ac:dyDescent="0.2"/>
    <row r="6587" customFormat="1" x14ac:dyDescent="0.2"/>
    <row r="6588" customFormat="1" x14ac:dyDescent="0.2"/>
    <row r="6589" customFormat="1" x14ac:dyDescent="0.2"/>
    <row r="6590" customFormat="1" x14ac:dyDescent="0.2"/>
    <row r="6591" customFormat="1" x14ac:dyDescent="0.2"/>
    <row r="6592" customFormat="1" x14ac:dyDescent="0.2"/>
    <row r="6593" customFormat="1" x14ac:dyDescent="0.2"/>
    <row r="6594" customFormat="1" x14ac:dyDescent="0.2"/>
    <row r="6595" customFormat="1" x14ac:dyDescent="0.2"/>
    <row r="6596" customFormat="1" x14ac:dyDescent="0.2"/>
    <row r="6597" customFormat="1" x14ac:dyDescent="0.2"/>
    <row r="6598" customFormat="1" x14ac:dyDescent="0.2"/>
    <row r="6599" customFormat="1" x14ac:dyDescent="0.2"/>
    <row r="6600" customFormat="1" x14ac:dyDescent="0.2"/>
    <row r="6601" customFormat="1" x14ac:dyDescent="0.2"/>
    <row r="6602" customFormat="1" x14ac:dyDescent="0.2"/>
    <row r="6603" customFormat="1" x14ac:dyDescent="0.2"/>
    <row r="6604" customFormat="1" x14ac:dyDescent="0.2"/>
    <row r="6605" customFormat="1" x14ac:dyDescent="0.2"/>
    <row r="6606" customFormat="1" x14ac:dyDescent="0.2"/>
    <row r="6607" customFormat="1" x14ac:dyDescent="0.2"/>
    <row r="6608" customFormat="1" x14ac:dyDescent="0.2"/>
    <row r="6609" customFormat="1" x14ac:dyDescent="0.2"/>
    <row r="6610" customFormat="1" x14ac:dyDescent="0.2"/>
    <row r="6611" customFormat="1" x14ac:dyDescent="0.2"/>
    <row r="6612" customFormat="1" x14ac:dyDescent="0.2"/>
    <row r="6613" customFormat="1" x14ac:dyDescent="0.2"/>
    <row r="6614" customFormat="1" x14ac:dyDescent="0.2"/>
    <row r="6615" customFormat="1" x14ac:dyDescent="0.2"/>
    <row r="6616" customFormat="1" x14ac:dyDescent="0.2"/>
    <row r="6617" customFormat="1" x14ac:dyDescent="0.2"/>
    <row r="6618" customFormat="1" x14ac:dyDescent="0.2"/>
    <row r="6619" customFormat="1" x14ac:dyDescent="0.2"/>
    <row r="6620" customFormat="1" x14ac:dyDescent="0.2"/>
    <row r="6621" customFormat="1" x14ac:dyDescent="0.2"/>
    <row r="6622" customFormat="1" x14ac:dyDescent="0.2"/>
    <row r="6623" customFormat="1" x14ac:dyDescent="0.2"/>
    <row r="6624" customFormat="1" x14ac:dyDescent="0.2"/>
    <row r="6625" customFormat="1" x14ac:dyDescent="0.2"/>
    <row r="6626" customFormat="1" x14ac:dyDescent="0.2"/>
    <row r="6627" customFormat="1" x14ac:dyDescent="0.2"/>
    <row r="6628" customFormat="1" x14ac:dyDescent="0.2"/>
    <row r="6629" customFormat="1" x14ac:dyDescent="0.2"/>
    <row r="6630" customFormat="1" x14ac:dyDescent="0.2"/>
    <row r="6631" customFormat="1" x14ac:dyDescent="0.2"/>
    <row r="6632" customFormat="1" x14ac:dyDescent="0.2"/>
    <row r="6633" customFormat="1" x14ac:dyDescent="0.2"/>
    <row r="6634" customFormat="1" x14ac:dyDescent="0.2"/>
    <row r="6635" customFormat="1" x14ac:dyDescent="0.2"/>
    <row r="6636" customFormat="1" x14ac:dyDescent="0.2"/>
    <row r="6637" customFormat="1" x14ac:dyDescent="0.2"/>
    <row r="6638" customFormat="1" x14ac:dyDescent="0.2"/>
    <row r="6639" customFormat="1" x14ac:dyDescent="0.2"/>
    <row r="6640" customFormat="1" x14ac:dyDescent="0.2"/>
    <row r="6641" customFormat="1" x14ac:dyDescent="0.2"/>
    <row r="6642" customFormat="1" x14ac:dyDescent="0.2"/>
    <row r="6643" customFormat="1" x14ac:dyDescent="0.2"/>
    <row r="6644" customFormat="1" x14ac:dyDescent="0.2"/>
    <row r="6645" customFormat="1" x14ac:dyDescent="0.2"/>
    <row r="6646" customFormat="1" x14ac:dyDescent="0.2"/>
    <row r="6647" customFormat="1" x14ac:dyDescent="0.2"/>
    <row r="6648" customFormat="1" x14ac:dyDescent="0.2"/>
    <row r="6649" customFormat="1" x14ac:dyDescent="0.2"/>
    <row r="6650" customFormat="1" x14ac:dyDescent="0.2"/>
    <row r="6651" customFormat="1" x14ac:dyDescent="0.2"/>
    <row r="6652" customFormat="1" x14ac:dyDescent="0.2"/>
    <row r="6653" customFormat="1" x14ac:dyDescent="0.2"/>
    <row r="6654" customFormat="1" x14ac:dyDescent="0.2"/>
    <row r="6655" customFormat="1" x14ac:dyDescent="0.2"/>
    <row r="6656" customFormat="1" x14ac:dyDescent="0.2"/>
    <row r="6657" customFormat="1" x14ac:dyDescent="0.2"/>
    <row r="6658" customFormat="1" x14ac:dyDescent="0.2"/>
    <row r="6659" customFormat="1" x14ac:dyDescent="0.2"/>
    <row r="6660" customFormat="1" x14ac:dyDescent="0.2"/>
    <row r="6661" customFormat="1" x14ac:dyDescent="0.2"/>
    <row r="6662" customFormat="1" x14ac:dyDescent="0.2"/>
    <row r="6663" customFormat="1" x14ac:dyDescent="0.2"/>
    <row r="6664" customFormat="1" x14ac:dyDescent="0.2"/>
    <row r="6665" customFormat="1" x14ac:dyDescent="0.2"/>
    <row r="6666" customFormat="1" x14ac:dyDescent="0.2"/>
    <row r="6667" customFormat="1" x14ac:dyDescent="0.2"/>
    <row r="6668" customFormat="1" x14ac:dyDescent="0.2"/>
    <row r="6669" customFormat="1" x14ac:dyDescent="0.2"/>
    <row r="6670" customFormat="1" x14ac:dyDescent="0.2"/>
    <row r="6671" customFormat="1" x14ac:dyDescent="0.2"/>
    <row r="6672" customFormat="1" x14ac:dyDescent="0.2"/>
    <row r="6673" customFormat="1" x14ac:dyDescent="0.2"/>
    <row r="6674" customFormat="1" x14ac:dyDescent="0.2"/>
    <row r="6675" customFormat="1" x14ac:dyDescent="0.2"/>
    <row r="6676" customFormat="1" x14ac:dyDescent="0.2"/>
    <row r="6677" customFormat="1" x14ac:dyDescent="0.2"/>
    <row r="6678" customFormat="1" x14ac:dyDescent="0.2"/>
    <row r="6679" customFormat="1" x14ac:dyDescent="0.2"/>
    <row r="6680" customFormat="1" x14ac:dyDescent="0.2"/>
    <row r="6681" customFormat="1" x14ac:dyDescent="0.2"/>
    <row r="6682" customFormat="1" x14ac:dyDescent="0.2"/>
    <row r="6683" customFormat="1" x14ac:dyDescent="0.2"/>
    <row r="6684" customFormat="1" x14ac:dyDescent="0.2"/>
    <row r="6685" customFormat="1" x14ac:dyDescent="0.2"/>
    <row r="6686" customFormat="1" x14ac:dyDescent="0.2"/>
    <row r="6687" customFormat="1" x14ac:dyDescent="0.2"/>
    <row r="6688" customFormat="1" x14ac:dyDescent="0.2"/>
    <row r="6689" customFormat="1" x14ac:dyDescent="0.2"/>
    <row r="6690" customFormat="1" x14ac:dyDescent="0.2"/>
    <row r="6691" customFormat="1" x14ac:dyDescent="0.2"/>
    <row r="6692" customFormat="1" x14ac:dyDescent="0.2"/>
    <row r="6693" customFormat="1" x14ac:dyDescent="0.2"/>
    <row r="6694" customFormat="1" x14ac:dyDescent="0.2"/>
    <row r="6695" customFormat="1" x14ac:dyDescent="0.2"/>
    <row r="6696" customFormat="1" x14ac:dyDescent="0.2"/>
    <row r="6697" customFormat="1" x14ac:dyDescent="0.2"/>
    <row r="6698" customFormat="1" x14ac:dyDescent="0.2"/>
    <row r="6699" customFormat="1" x14ac:dyDescent="0.2"/>
    <row r="6700" customFormat="1" x14ac:dyDescent="0.2"/>
    <row r="6701" customFormat="1" x14ac:dyDescent="0.2"/>
    <row r="6702" customFormat="1" x14ac:dyDescent="0.2"/>
    <row r="6703" customFormat="1" x14ac:dyDescent="0.2"/>
    <row r="6704" customFormat="1" x14ac:dyDescent="0.2"/>
    <row r="6705" customFormat="1" x14ac:dyDescent="0.2"/>
    <row r="6706" customFormat="1" x14ac:dyDescent="0.2"/>
    <row r="6707" customFormat="1" x14ac:dyDescent="0.2"/>
    <row r="6708" customFormat="1" x14ac:dyDescent="0.2"/>
    <row r="6709" customFormat="1" x14ac:dyDescent="0.2"/>
    <row r="6710" customFormat="1" x14ac:dyDescent="0.2"/>
    <row r="6711" customFormat="1" x14ac:dyDescent="0.2"/>
    <row r="6712" customFormat="1" x14ac:dyDescent="0.2"/>
    <row r="6713" customFormat="1" x14ac:dyDescent="0.2"/>
    <row r="6714" customFormat="1" x14ac:dyDescent="0.2"/>
    <row r="6715" customFormat="1" x14ac:dyDescent="0.2"/>
    <row r="6716" customFormat="1" x14ac:dyDescent="0.2"/>
    <row r="6717" customFormat="1" x14ac:dyDescent="0.2"/>
    <row r="6718" customFormat="1" x14ac:dyDescent="0.2"/>
    <row r="6719" customFormat="1" x14ac:dyDescent="0.2"/>
    <row r="6720" customFormat="1" x14ac:dyDescent="0.2"/>
    <row r="6721" customFormat="1" x14ac:dyDescent="0.2"/>
    <row r="6722" customFormat="1" x14ac:dyDescent="0.2"/>
    <row r="6723" customFormat="1" x14ac:dyDescent="0.2"/>
    <row r="6724" customFormat="1" x14ac:dyDescent="0.2"/>
    <row r="6725" customFormat="1" x14ac:dyDescent="0.2"/>
    <row r="6726" customFormat="1" x14ac:dyDescent="0.2"/>
    <row r="6727" customFormat="1" x14ac:dyDescent="0.2"/>
    <row r="6728" customFormat="1" x14ac:dyDescent="0.2"/>
    <row r="6729" customFormat="1" x14ac:dyDescent="0.2"/>
    <row r="6730" customFormat="1" x14ac:dyDescent="0.2"/>
    <row r="6731" customFormat="1" x14ac:dyDescent="0.2"/>
    <row r="6732" customFormat="1" x14ac:dyDescent="0.2"/>
    <row r="6733" customFormat="1" x14ac:dyDescent="0.2"/>
    <row r="6734" customFormat="1" x14ac:dyDescent="0.2"/>
    <row r="6735" customFormat="1" x14ac:dyDescent="0.2"/>
    <row r="6736" customFormat="1" x14ac:dyDescent="0.2"/>
    <row r="6737" customFormat="1" x14ac:dyDescent="0.2"/>
    <row r="6738" customFormat="1" x14ac:dyDescent="0.2"/>
    <row r="6739" customFormat="1" x14ac:dyDescent="0.2"/>
    <row r="6740" customFormat="1" x14ac:dyDescent="0.2"/>
    <row r="6741" customFormat="1" x14ac:dyDescent="0.2"/>
    <row r="6742" customFormat="1" x14ac:dyDescent="0.2"/>
    <row r="6743" customFormat="1" x14ac:dyDescent="0.2"/>
    <row r="6744" customFormat="1" x14ac:dyDescent="0.2"/>
    <row r="6745" customFormat="1" x14ac:dyDescent="0.2"/>
    <row r="6746" customFormat="1" x14ac:dyDescent="0.2"/>
    <row r="6747" customFormat="1" x14ac:dyDescent="0.2"/>
    <row r="6748" customFormat="1" x14ac:dyDescent="0.2"/>
    <row r="6749" customFormat="1" x14ac:dyDescent="0.2"/>
    <row r="6750" customFormat="1" x14ac:dyDescent="0.2"/>
    <row r="6751" customFormat="1" x14ac:dyDescent="0.2"/>
    <row r="6752" customFormat="1" x14ac:dyDescent="0.2"/>
    <row r="6753" customFormat="1" x14ac:dyDescent="0.2"/>
    <row r="6754" customFormat="1" x14ac:dyDescent="0.2"/>
    <row r="6755" customFormat="1" x14ac:dyDescent="0.2"/>
    <row r="6756" customFormat="1" x14ac:dyDescent="0.2"/>
    <row r="6757" customFormat="1" x14ac:dyDescent="0.2"/>
    <row r="6758" customFormat="1" x14ac:dyDescent="0.2"/>
    <row r="6759" customFormat="1" x14ac:dyDescent="0.2"/>
    <row r="6760" customFormat="1" x14ac:dyDescent="0.2"/>
    <row r="6761" customFormat="1" x14ac:dyDescent="0.2"/>
    <row r="6762" customFormat="1" x14ac:dyDescent="0.2"/>
    <row r="6763" customFormat="1" x14ac:dyDescent="0.2"/>
    <row r="6764" customFormat="1" x14ac:dyDescent="0.2"/>
    <row r="6765" customFormat="1" x14ac:dyDescent="0.2"/>
    <row r="6766" customFormat="1" x14ac:dyDescent="0.2"/>
    <row r="6767" customFormat="1" x14ac:dyDescent="0.2"/>
    <row r="6768" customFormat="1" x14ac:dyDescent="0.2"/>
    <row r="6769" customFormat="1" x14ac:dyDescent="0.2"/>
    <row r="6770" customFormat="1" x14ac:dyDescent="0.2"/>
    <row r="6771" customFormat="1" x14ac:dyDescent="0.2"/>
    <row r="6772" customFormat="1" x14ac:dyDescent="0.2"/>
    <row r="6773" customFormat="1" x14ac:dyDescent="0.2"/>
    <row r="6774" customFormat="1" x14ac:dyDescent="0.2"/>
    <row r="6775" customFormat="1" x14ac:dyDescent="0.2"/>
    <row r="6776" customFormat="1" x14ac:dyDescent="0.2"/>
    <row r="6777" customFormat="1" x14ac:dyDescent="0.2"/>
    <row r="6778" customFormat="1" x14ac:dyDescent="0.2"/>
    <row r="6779" customFormat="1" x14ac:dyDescent="0.2"/>
    <row r="6780" customFormat="1" x14ac:dyDescent="0.2"/>
    <row r="6781" customFormat="1" x14ac:dyDescent="0.2"/>
    <row r="6782" customFormat="1" x14ac:dyDescent="0.2"/>
    <row r="6783" customFormat="1" x14ac:dyDescent="0.2"/>
    <row r="6784" customFormat="1" x14ac:dyDescent="0.2"/>
    <row r="6785" customFormat="1" x14ac:dyDescent="0.2"/>
    <row r="6786" customFormat="1" x14ac:dyDescent="0.2"/>
    <row r="6787" customFormat="1" x14ac:dyDescent="0.2"/>
    <row r="6788" customFormat="1" x14ac:dyDescent="0.2"/>
    <row r="6789" customFormat="1" x14ac:dyDescent="0.2"/>
    <row r="6790" customFormat="1" x14ac:dyDescent="0.2"/>
    <row r="6791" customFormat="1" x14ac:dyDescent="0.2"/>
    <row r="6792" customFormat="1" x14ac:dyDescent="0.2"/>
    <row r="6793" customFormat="1" x14ac:dyDescent="0.2"/>
    <row r="6794" customFormat="1" x14ac:dyDescent="0.2"/>
    <row r="6795" customFormat="1" x14ac:dyDescent="0.2"/>
    <row r="6796" customFormat="1" x14ac:dyDescent="0.2"/>
    <row r="6797" customFormat="1" x14ac:dyDescent="0.2"/>
    <row r="6798" customFormat="1" x14ac:dyDescent="0.2"/>
    <row r="6799" customFormat="1" x14ac:dyDescent="0.2"/>
    <row r="6800" customFormat="1" x14ac:dyDescent="0.2"/>
    <row r="6801" customFormat="1" x14ac:dyDescent="0.2"/>
    <row r="6802" customFormat="1" x14ac:dyDescent="0.2"/>
    <row r="6803" customFormat="1" x14ac:dyDescent="0.2"/>
    <row r="6804" customFormat="1" x14ac:dyDescent="0.2"/>
    <row r="6805" customFormat="1" x14ac:dyDescent="0.2"/>
    <row r="6806" customFormat="1" x14ac:dyDescent="0.2"/>
    <row r="6807" customFormat="1" x14ac:dyDescent="0.2"/>
    <row r="6808" customFormat="1" x14ac:dyDescent="0.2"/>
    <row r="6809" customFormat="1" x14ac:dyDescent="0.2"/>
    <row r="6810" customFormat="1" x14ac:dyDescent="0.2"/>
    <row r="6811" customFormat="1" x14ac:dyDescent="0.2"/>
    <row r="6812" customFormat="1" x14ac:dyDescent="0.2"/>
    <row r="6813" customFormat="1" x14ac:dyDescent="0.2"/>
    <row r="6814" customFormat="1" x14ac:dyDescent="0.2"/>
    <row r="6815" customFormat="1" x14ac:dyDescent="0.2"/>
    <row r="6816" customFormat="1" x14ac:dyDescent="0.2"/>
    <row r="6817" customFormat="1" x14ac:dyDescent="0.2"/>
    <row r="6818" customFormat="1" x14ac:dyDescent="0.2"/>
    <row r="6819" customFormat="1" x14ac:dyDescent="0.2"/>
    <row r="6820" customFormat="1" x14ac:dyDescent="0.2"/>
    <row r="6821" customFormat="1" x14ac:dyDescent="0.2"/>
    <row r="6822" customFormat="1" x14ac:dyDescent="0.2"/>
    <row r="6823" customFormat="1" x14ac:dyDescent="0.2"/>
    <row r="6824" customFormat="1" x14ac:dyDescent="0.2"/>
    <row r="6825" customFormat="1" x14ac:dyDescent="0.2"/>
    <row r="6826" customFormat="1" x14ac:dyDescent="0.2"/>
    <row r="6827" customFormat="1" x14ac:dyDescent="0.2"/>
    <row r="6828" customFormat="1" x14ac:dyDescent="0.2"/>
    <row r="6829" customFormat="1" x14ac:dyDescent="0.2"/>
    <row r="6830" customFormat="1" x14ac:dyDescent="0.2"/>
    <row r="6831" customFormat="1" x14ac:dyDescent="0.2"/>
    <row r="6832" customFormat="1" x14ac:dyDescent="0.2"/>
    <row r="6833" customFormat="1" x14ac:dyDescent="0.2"/>
    <row r="6834" customFormat="1" x14ac:dyDescent="0.2"/>
    <row r="6835" customFormat="1" x14ac:dyDescent="0.2"/>
    <row r="6836" customFormat="1" x14ac:dyDescent="0.2"/>
    <row r="6837" customFormat="1" x14ac:dyDescent="0.2"/>
    <row r="6838" customFormat="1" x14ac:dyDescent="0.2"/>
    <row r="6839" customFormat="1" x14ac:dyDescent="0.2"/>
    <row r="6840" customFormat="1" x14ac:dyDescent="0.2"/>
    <row r="6841" customFormat="1" x14ac:dyDescent="0.2"/>
    <row r="6842" customFormat="1" x14ac:dyDescent="0.2"/>
    <row r="6843" customFormat="1" x14ac:dyDescent="0.2"/>
    <row r="6844" customFormat="1" x14ac:dyDescent="0.2"/>
    <row r="6845" customFormat="1" x14ac:dyDescent="0.2"/>
    <row r="6846" customFormat="1" x14ac:dyDescent="0.2"/>
    <row r="6847" customFormat="1" x14ac:dyDescent="0.2"/>
    <row r="6848" customFormat="1" x14ac:dyDescent="0.2"/>
    <row r="6849" customFormat="1" x14ac:dyDescent="0.2"/>
    <row r="6850" customFormat="1" x14ac:dyDescent="0.2"/>
    <row r="6851" customFormat="1" x14ac:dyDescent="0.2"/>
    <row r="6852" customFormat="1" x14ac:dyDescent="0.2"/>
    <row r="6853" customFormat="1" x14ac:dyDescent="0.2"/>
    <row r="6854" customFormat="1" x14ac:dyDescent="0.2"/>
    <row r="6855" customFormat="1" x14ac:dyDescent="0.2"/>
    <row r="6856" customFormat="1" x14ac:dyDescent="0.2"/>
    <row r="6857" customFormat="1" x14ac:dyDescent="0.2"/>
    <row r="6858" customFormat="1" x14ac:dyDescent="0.2"/>
    <row r="6859" customFormat="1" x14ac:dyDescent="0.2"/>
    <row r="6860" customFormat="1" x14ac:dyDescent="0.2"/>
    <row r="6861" customFormat="1" x14ac:dyDescent="0.2"/>
    <row r="6862" customFormat="1" x14ac:dyDescent="0.2"/>
    <row r="6863" customFormat="1" x14ac:dyDescent="0.2"/>
    <row r="6864" customFormat="1" x14ac:dyDescent="0.2"/>
    <row r="6865" customFormat="1" x14ac:dyDescent="0.2"/>
    <row r="6866" customFormat="1" x14ac:dyDescent="0.2"/>
    <row r="6867" customFormat="1" x14ac:dyDescent="0.2"/>
    <row r="6868" customFormat="1" x14ac:dyDescent="0.2"/>
    <row r="6869" customFormat="1" x14ac:dyDescent="0.2"/>
    <row r="6870" customFormat="1" x14ac:dyDescent="0.2"/>
    <row r="6871" customFormat="1" x14ac:dyDescent="0.2"/>
    <row r="6872" customFormat="1" x14ac:dyDescent="0.2"/>
    <row r="6873" customFormat="1" x14ac:dyDescent="0.2"/>
    <row r="6874" customFormat="1" x14ac:dyDescent="0.2"/>
    <row r="6875" customFormat="1" x14ac:dyDescent="0.2"/>
    <row r="6876" customFormat="1" x14ac:dyDescent="0.2"/>
    <row r="6877" customFormat="1" x14ac:dyDescent="0.2"/>
    <row r="6878" customFormat="1" x14ac:dyDescent="0.2"/>
    <row r="6879" customFormat="1" x14ac:dyDescent="0.2"/>
    <row r="6880" customFormat="1" x14ac:dyDescent="0.2"/>
    <row r="6881" customFormat="1" x14ac:dyDescent="0.2"/>
    <row r="6882" customFormat="1" x14ac:dyDescent="0.2"/>
    <row r="6883" customFormat="1" x14ac:dyDescent="0.2"/>
    <row r="6884" customFormat="1" x14ac:dyDescent="0.2"/>
    <row r="6885" customFormat="1" x14ac:dyDescent="0.2"/>
    <row r="6886" customFormat="1" x14ac:dyDescent="0.2"/>
    <row r="6887" customFormat="1" x14ac:dyDescent="0.2"/>
    <row r="6888" customFormat="1" x14ac:dyDescent="0.2"/>
    <row r="6889" customFormat="1" x14ac:dyDescent="0.2"/>
    <row r="6890" customFormat="1" x14ac:dyDescent="0.2"/>
    <row r="6891" customFormat="1" x14ac:dyDescent="0.2"/>
    <row r="6892" customFormat="1" x14ac:dyDescent="0.2"/>
    <row r="6893" customFormat="1" x14ac:dyDescent="0.2"/>
    <row r="6894" customFormat="1" x14ac:dyDescent="0.2"/>
    <row r="6895" customFormat="1" x14ac:dyDescent="0.2"/>
    <row r="6896" customFormat="1" x14ac:dyDescent="0.2"/>
    <row r="6897" customFormat="1" x14ac:dyDescent="0.2"/>
    <row r="6898" customFormat="1" x14ac:dyDescent="0.2"/>
    <row r="6899" customFormat="1" x14ac:dyDescent="0.2"/>
    <row r="6900" customFormat="1" x14ac:dyDescent="0.2"/>
    <row r="6901" customFormat="1" x14ac:dyDescent="0.2"/>
    <row r="6902" customFormat="1" x14ac:dyDescent="0.2"/>
    <row r="6903" customFormat="1" x14ac:dyDescent="0.2"/>
    <row r="6904" customFormat="1" x14ac:dyDescent="0.2"/>
    <row r="6905" customFormat="1" x14ac:dyDescent="0.2"/>
    <row r="6906" customFormat="1" x14ac:dyDescent="0.2"/>
    <row r="6907" customFormat="1" x14ac:dyDescent="0.2"/>
    <row r="6908" customFormat="1" x14ac:dyDescent="0.2"/>
    <row r="6909" customFormat="1" x14ac:dyDescent="0.2"/>
    <row r="6910" customFormat="1" x14ac:dyDescent="0.2"/>
    <row r="6911" customFormat="1" x14ac:dyDescent="0.2"/>
    <row r="6912" customFormat="1" x14ac:dyDescent="0.2"/>
    <row r="6913" customFormat="1" x14ac:dyDescent="0.2"/>
    <row r="6914" customFormat="1" x14ac:dyDescent="0.2"/>
    <row r="6915" customFormat="1" x14ac:dyDescent="0.2"/>
    <row r="6916" customFormat="1" x14ac:dyDescent="0.2"/>
    <row r="6917" customFormat="1" x14ac:dyDescent="0.2"/>
    <row r="6918" customFormat="1" x14ac:dyDescent="0.2"/>
    <row r="6919" customFormat="1" x14ac:dyDescent="0.2"/>
    <row r="6920" customFormat="1" x14ac:dyDescent="0.2"/>
    <row r="6921" customFormat="1" x14ac:dyDescent="0.2"/>
    <row r="6922" customFormat="1" x14ac:dyDescent="0.2"/>
    <row r="6923" customFormat="1" x14ac:dyDescent="0.2"/>
    <row r="6924" customFormat="1" x14ac:dyDescent="0.2"/>
    <row r="6925" customFormat="1" x14ac:dyDescent="0.2"/>
    <row r="6926" customFormat="1" x14ac:dyDescent="0.2"/>
    <row r="6927" customFormat="1" x14ac:dyDescent="0.2"/>
    <row r="6928" customFormat="1" x14ac:dyDescent="0.2"/>
    <row r="6929" customFormat="1" x14ac:dyDescent="0.2"/>
    <row r="6930" customFormat="1" x14ac:dyDescent="0.2"/>
    <row r="6931" customFormat="1" x14ac:dyDescent="0.2"/>
    <row r="6932" customFormat="1" x14ac:dyDescent="0.2"/>
    <row r="6933" customFormat="1" x14ac:dyDescent="0.2"/>
    <row r="6934" customFormat="1" x14ac:dyDescent="0.2"/>
    <row r="6935" customFormat="1" x14ac:dyDescent="0.2"/>
    <row r="6936" customFormat="1" x14ac:dyDescent="0.2"/>
    <row r="6937" customFormat="1" x14ac:dyDescent="0.2"/>
    <row r="6938" customFormat="1" x14ac:dyDescent="0.2"/>
    <row r="6939" customFormat="1" x14ac:dyDescent="0.2"/>
    <row r="6940" customFormat="1" x14ac:dyDescent="0.2"/>
    <row r="6941" customFormat="1" x14ac:dyDescent="0.2"/>
    <row r="6942" customFormat="1" x14ac:dyDescent="0.2"/>
    <row r="6943" customFormat="1" x14ac:dyDescent="0.2"/>
    <row r="6944" customFormat="1" x14ac:dyDescent="0.2"/>
    <row r="6945" customFormat="1" x14ac:dyDescent="0.2"/>
    <row r="6946" customFormat="1" x14ac:dyDescent="0.2"/>
    <row r="6947" customFormat="1" x14ac:dyDescent="0.2"/>
    <row r="6948" customFormat="1" x14ac:dyDescent="0.2"/>
    <row r="6949" customFormat="1" x14ac:dyDescent="0.2"/>
    <row r="6950" customFormat="1" x14ac:dyDescent="0.2"/>
    <row r="6951" customFormat="1" x14ac:dyDescent="0.2"/>
    <row r="6952" customFormat="1" x14ac:dyDescent="0.2"/>
    <row r="6953" customFormat="1" x14ac:dyDescent="0.2"/>
    <row r="6954" customFormat="1" x14ac:dyDescent="0.2"/>
    <row r="6955" customFormat="1" x14ac:dyDescent="0.2"/>
    <row r="6956" customFormat="1" x14ac:dyDescent="0.2"/>
    <row r="6957" customFormat="1" x14ac:dyDescent="0.2"/>
    <row r="6958" customFormat="1" x14ac:dyDescent="0.2"/>
    <row r="6959" customFormat="1" x14ac:dyDescent="0.2"/>
    <row r="6960" customFormat="1" x14ac:dyDescent="0.2"/>
    <row r="6961" customFormat="1" x14ac:dyDescent="0.2"/>
    <row r="6962" customFormat="1" x14ac:dyDescent="0.2"/>
    <row r="6963" customFormat="1" x14ac:dyDescent="0.2"/>
    <row r="6964" customFormat="1" x14ac:dyDescent="0.2"/>
    <row r="6965" customFormat="1" x14ac:dyDescent="0.2"/>
    <row r="6966" customFormat="1" x14ac:dyDescent="0.2"/>
    <row r="6967" customFormat="1" x14ac:dyDescent="0.2"/>
    <row r="6968" customFormat="1" x14ac:dyDescent="0.2"/>
    <row r="6969" customFormat="1" x14ac:dyDescent="0.2"/>
    <row r="6970" customFormat="1" x14ac:dyDescent="0.2"/>
    <row r="6971" customFormat="1" x14ac:dyDescent="0.2"/>
    <row r="6972" customFormat="1" x14ac:dyDescent="0.2"/>
    <row r="6973" customFormat="1" x14ac:dyDescent="0.2"/>
    <row r="6974" customFormat="1" x14ac:dyDescent="0.2"/>
    <row r="6975" customFormat="1" x14ac:dyDescent="0.2"/>
    <row r="6976" customFormat="1" x14ac:dyDescent="0.2"/>
    <row r="6977" customFormat="1" x14ac:dyDescent="0.2"/>
    <row r="6978" customFormat="1" x14ac:dyDescent="0.2"/>
    <row r="6979" customFormat="1" x14ac:dyDescent="0.2"/>
    <row r="6980" customFormat="1" x14ac:dyDescent="0.2"/>
    <row r="6981" customFormat="1" x14ac:dyDescent="0.2"/>
    <row r="6982" customFormat="1" x14ac:dyDescent="0.2"/>
    <row r="6983" customFormat="1" x14ac:dyDescent="0.2"/>
    <row r="6984" customFormat="1" x14ac:dyDescent="0.2"/>
    <row r="6985" customFormat="1" x14ac:dyDescent="0.2"/>
    <row r="6986" customFormat="1" x14ac:dyDescent="0.2"/>
    <row r="6987" customFormat="1" x14ac:dyDescent="0.2"/>
    <row r="6988" customFormat="1" x14ac:dyDescent="0.2"/>
    <row r="6989" customFormat="1" x14ac:dyDescent="0.2"/>
    <row r="6990" customFormat="1" x14ac:dyDescent="0.2"/>
    <row r="6991" customFormat="1" x14ac:dyDescent="0.2"/>
    <row r="6992" customFormat="1" x14ac:dyDescent="0.2"/>
    <row r="6993" customFormat="1" x14ac:dyDescent="0.2"/>
    <row r="6994" customFormat="1" x14ac:dyDescent="0.2"/>
    <row r="6995" customFormat="1" x14ac:dyDescent="0.2"/>
    <row r="6996" customFormat="1" x14ac:dyDescent="0.2"/>
    <row r="6997" customFormat="1" x14ac:dyDescent="0.2"/>
    <row r="6998" customFormat="1" x14ac:dyDescent="0.2"/>
    <row r="6999" customFormat="1" x14ac:dyDescent="0.2"/>
    <row r="7000" customFormat="1" x14ac:dyDescent="0.2"/>
    <row r="7001" customFormat="1" x14ac:dyDescent="0.2"/>
    <row r="7002" customFormat="1" x14ac:dyDescent="0.2"/>
    <row r="7003" customFormat="1" x14ac:dyDescent="0.2"/>
    <row r="7004" customFormat="1" x14ac:dyDescent="0.2"/>
    <row r="7005" customFormat="1" x14ac:dyDescent="0.2"/>
    <row r="7006" customFormat="1" x14ac:dyDescent="0.2"/>
    <row r="7007" customFormat="1" x14ac:dyDescent="0.2"/>
    <row r="7008" customFormat="1" x14ac:dyDescent="0.2"/>
    <row r="7009" customFormat="1" x14ac:dyDescent="0.2"/>
    <row r="7010" customFormat="1" x14ac:dyDescent="0.2"/>
    <row r="7011" customFormat="1" x14ac:dyDescent="0.2"/>
    <row r="7012" customFormat="1" x14ac:dyDescent="0.2"/>
    <row r="7013" customFormat="1" x14ac:dyDescent="0.2"/>
    <row r="7014" customFormat="1" x14ac:dyDescent="0.2"/>
    <row r="7015" customFormat="1" x14ac:dyDescent="0.2"/>
    <row r="7016" customFormat="1" x14ac:dyDescent="0.2"/>
    <row r="7017" customFormat="1" x14ac:dyDescent="0.2"/>
    <row r="7018" customFormat="1" x14ac:dyDescent="0.2"/>
    <row r="7019" customFormat="1" x14ac:dyDescent="0.2"/>
    <row r="7020" customFormat="1" x14ac:dyDescent="0.2"/>
    <row r="7021" customFormat="1" x14ac:dyDescent="0.2"/>
    <row r="7022" customFormat="1" x14ac:dyDescent="0.2"/>
    <row r="7023" customFormat="1" x14ac:dyDescent="0.2"/>
    <row r="7024" customFormat="1" x14ac:dyDescent="0.2"/>
    <row r="7025" customFormat="1" x14ac:dyDescent="0.2"/>
    <row r="7026" customFormat="1" x14ac:dyDescent="0.2"/>
    <row r="7027" customFormat="1" x14ac:dyDescent="0.2"/>
    <row r="7028" customFormat="1" x14ac:dyDescent="0.2"/>
    <row r="7029" customFormat="1" x14ac:dyDescent="0.2"/>
    <row r="7030" customFormat="1" x14ac:dyDescent="0.2"/>
    <row r="7031" customFormat="1" x14ac:dyDescent="0.2"/>
    <row r="7032" customFormat="1" x14ac:dyDescent="0.2"/>
    <row r="7033" customFormat="1" x14ac:dyDescent="0.2"/>
    <row r="7034" customFormat="1" x14ac:dyDescent="0.2"/>
    <row r="7035" customFormat="1" x14ac:dyDescent="0.2"/>
    <row r="7036" customFormat="1" x14ac:dyDescent="0.2"/>
    <row r="7037" customFormat="1" x14ac:dyDescent="0.2"/>
    <row r="7038" customFormat="1" x14ac:dyDescent="0.2"/>
    <row r="7039" customFormat="1" x14ac:dyDescent="0.2"/>
    <row r="7040" customFormat="1" x14ac:dyDescent="0.2"/>
    <row r="7041" customFormat="1" x14ac:dyDescent="0.2"/>
    <row r="7042" customFormat="1" x14ac:dyDescent="0.2"/>
    <row r="7043" customFormat="1" x14ac:dyDescent="0.2"/>
    <row r="7044" customFormat="1" x14ac:dyDescent="0.2"/>
    <row r="7045" customFormat="1" x14ac:dyDescent="0.2"/>
    <row r="7046" customFormat="1" x14ac:dyDescent="0.2"/>
    <row r="7047" customFormat="1" x14ac:dyDescent="0.2"/>
    <row r="7048" customFormat="1" x14ac:dyDescent="0.2"/>
    <row r="7049" customFormat="1" x14ac:dyDescent="0.2"/>
    <row r="7050" customFormat="1" x14ac:dyDescent="0.2"/>
    <row r="7051" customFormat="1" x14ac:dyDescent="0.2"/>
    <row r="7052" customFormat="1" x14ac:dyDescent="0.2"/>
    <row r="7053" customFormat="1" x14ac:dyDescent="0.2"/>
    <row r="7054" customFormat="1" x14ac:dyDescent="0.2"/>
    <row r="7055" customFormat="1" x14ac:dyDescent="0.2"/>
    <row r="7056" customFormat="1" x14ac:dyDescent="0.2"/>
    <row r="7057" customFormat="1" x14ac:dyDescent="0.2"/>
    <row r="7058" customFormat="1" x14ac:dyDescent="0.2"/>
    <row r="7059" customFormat="1" x14ac:dyDescent="0.2"/>
    <row r="7060" customFormat="1" x14ac:dyDescent="0.2"/>
    <row r="7061" customFormat="1" x14ac:dyDescent="0.2"/>
    <row r="7062" customFormat="1" x14ac:dyDescent="0.2"/>
    <row r="7063" customFormat="1" x14ac:dyDescent="0.2"/>
    <row r="7064" customFormat="1" x14ac:dyDescent="0.2"/>
    <row r="7065" customFormat="1" x14ac:dyDescent="0.2"/>
    <row r="7066" customFormat="1" x14ac:dyDescent="0.2"/>
    <row r="7067" customFormat="1" x14ac:dyDescent="0.2"/>
    <row r="7068" customFormat="1" x14ac:dyDescent="0.2"/>
    <row r="7069" customFormat="1" x14ac:dyDescent="0.2"/>
    <row r="7070" customFormat="1" x14ac:dyDescent="0.2"/>
    <row r="7071" customFormat="1" x14ac:dyDescent="0.2"/>
    <row r="7072" customFormat="1" x14ac:dyDescent="0.2"/>
    <row r="7073" customFormat="1" x14ac:dyDescent="0.2"/>
    <row r="7074" customFormat="1" x14ac:dyDescent="0.2"/>
    <row r="7075" customFormat="1" x14ac:dyDescent="0.2"/>
    <row r="7076" customFormat="1" x14ac:dyDescent="0.2"/>
    <row r="7077" customFormat="1" x14ac:dyDescent="0.2"/>
    <row r="7078" customFormat="1" x14ac:dyDescent="0.2"/>
    <row r="7079" customFormat="1" x14ac:dyDescent="0.2"/>
    <row r="7080" customFormat="1" x14ac:dyDescent="0.2"/>
    <row r="7081" customFormat="1" x14ac:dyDescent="0.2"/>
    <row r="7082" customFormat="1" x14ac:dyDescent="0.2"/>
    <row r="7083" customFormat="1" x14ac:dyDescent="0.2"/>
    <row r="7084" customFormat="1" x14ac:dyDescent="0.2"/>
    <row r="7085" customFormat="1" x14ac:dyDescent="0.2"/>
    <row r="7086" customFormat="1" x14ac:dyDescent="0.2"/>
    <row r="7087" customFormat="1" x14ac:dyDescent="0.2"/>
    <row r="7088" customFormat="1" x14ac:dyDescent="0.2"/>
    <row r="7089" customFormat="1" x14ac:dyDescent="0.2"/>
    <row r="7090" customFormat="1" x14ac:dyDescent="0.2"/>
    <row r="7091" customFormat="1" x14ac:dyDescent="0.2"/>
    <row r="7092" customFormat="1" x14ac:dyDescent="0.2"/>
    <row r="7093" customFormat="1" x14ac:dyDescent="0.2"/>
    <row r="7094" customFormat="1" x14ac:dyDescent="0.2"/>
    <row r="7095" customFormat="1" x14ac:dyDescent="0.2"/>
    <row r="7096" customFormat="1" x14ac:dyDescent="0.2"/>
    <row r="7097" customFormat="1" x14ac:dyDescent="0.2"/>
    <row r="7098" customFormat="1" x14ac:dyDescent="0.2"/>
    <row r="7099" customFormat="1" x14ac:dyDescent="0.2"/>
    <row r="7100" customFormat="1" x14ac:dyDescent="0.2"/>
    <row r="7101" customFormat="1" x14ac:dyDescent="0.2"/>
    <row r="7102" customFormat="1" x14ac:dyDescent="0.2"/>
    <row r="7103" customFormat="1" x14ac:dyDescent="0.2"/>
    <row r="7104" customFormat="1" x14ac:dyDescent="0.2"/>
    <row r="7105" customFormat="1" x14ac:dyDescent="0.2"/>
    <row r="7106" customFormat="1" x14ac:dyDescent="0.2"/>
    <row r="7107" customFormat="1" x14ac:dyDescent="0.2"/>
    <row r="7108" customFormat="1" x14ac:dyDescent="0.2"/>
    <row r="7109" customFormat="1" x14ac:dyDescent="0.2"/>
    <row r="7110" customFormat="1" x14ac:dyDescent="0.2"/>
    <row r="7111" customFormat="1" x14ac:dyDescent="0.2"/>
    <row r="7112" customFormat="1" x14ac:dyDescent="0.2"/>
    <row r="7113" customFormat="1" x14ac:dyDescent="0.2"/>
    <row r="7114" customFormat="1" x14ac:dyDescent="0.2"/>
    <row r="7115" customFormat="1" x14ac:dyDescent="0.2"/>
    <row r="7116" customFormat="1" x14ac:dyDescent="0.2"/>
    <row r="7117" customFormat="1" x14ac:dyDescent="0.2"/>
    <row r="7118" customFormat="1" x14ac:dyDescent="0.2"/>
    <row r="7119" customFormat="1" x14ac:dyDescent="0.2"/>
    <row r="7120" customFormat="1" x14ac:dyDescent="0.2"/>
    <row r="7121" customFormat="1" x14ac:dyDescent="0.2"/>
    <row r="7122" customFormat="1" x14ac:dyDescent="0.2"/>
    <row r="7123" customFormat="1" x14ac:dyDescent="0.2"/>
    <row r="7124" customFormat="1" x14ac:dyDescent="0.2"/>
    <row r="7125" customFormat="1" x14ac:dyDescent="0.2"/>
    <row r="7126" customFormat="1" x14ac:dyDescent="0.2"/>
    <row r="7127" customFormat="1" x14ac:dyDescent="0.2"/>
    <row r="7128" customFormat="1" x14ac:dyDescent="0.2"/>
    <row r="7129" customFormat="1" x14ac:dyDescent="0.2"/>
    <row r="7130" customFormat="1" x14ac:dyDescent="0.2"/>
    <row r="7131" customFormat="1" x14ac:dyDescent="0.2"/>
    <row r="7132" customFormat="1" x14ac:dyDescent="0.2"/>
    <row r="7133" customFormat="1" x14ac:dyDescent="0.2"/>
    <row r="7134" customFormat="1" x14ac:dyDescent="0.2"/>
    <row r="7135" customFormat="1" x14ac:dyDescent="0.2"/>
    <row r="7136" customFormat="1" x14ac:dyDescent="0.2"/>
    <row r="7137" customFormat="1" x14ac:dyDescent="0.2"/>
    <row r="7138" customFormat="1" x14ac:dyDescent="0.2"/>
    <row r="7139" customFormat="1" x14ac:dyDescent="0.2"/>
    <row r="7140" customFormat="1" x14ac:dyDescent="0.2"/>
    <row r="7141" customFormat="1" x14ac:dyDescent="0.2"/>
    <row r="7142" customFormat="1" x14ac:dyDescent="0.2"/>
    <row r="7143" customFormat="1" x14ac:dyDescent="0.2"/>
    <row r="7144" customFormat="1" x14ac:dyDescent="0.2"/>
    <row r="7145" customFormat="1" x14ac:dyDescent="0.2"/>
    <row r="7146" customFormat="1" x14ac:dyDescent="0.2"/>
    <row r="7147" customFormat="1" x14ac:dyDescent="0.2"/>
    <row r="7148" customFormat="1" x14ac:dyDescent="0.2"/>
    <row r="7149" customFormat="1" x14ac:dyDescent="0.2"/>
    <row r="7150" customFormat="1" x14ac:dyDescent="0.2"/>
    <row r="7151" customFormat="1" x14ac:dyDescent="0.2"/>
    <row r="7152" customFormat="1" x14ac:dyDescent="0.2"/>
    <row r="7153" customFormat="1" x14ac:dyDescent="0.2"/>
    <row r="7154" customFormat="1" x14ac:dyDescent="0.2"/>
    <row r="7155" customFormat="1" x14ac:dyDescent="0.2"/>
    <row r="7156" customFormat="1" x14ac:dyDescent="0.2"/>
    <row r="7157" customFormat="1" x14ac:dyDescent="0.2"/>
    <row r="7158" customFormat="1" x14ac:dyDescent="0.2"/>
    <row r="7159" customFormat="1" x14ac:dyDescent="0.2"/>
    <row r="7160" customFormat="1" x14ac:dyDescent="0.2"/>
    <row r="7161" customFormat="1" x14ac:dyDescent="0.2"/>
    <row r="7162" customFormat="1" x14ac:dyDescent="0.2"/>
    <row r="7163" customFormat="1" x14ac:dyDescent="0.2"/>
    <row r="7164" customFormat="1" x14ac:dyDescent="0.2"/>
    <row r="7165" customFormat="1" x14ac:dyDescent="0.2"/>
    <row r="7166" customFormat="1" x14ac:dyDescent="0.2"/>
    <row r="7167" customFormat="1" x14ac:dyDescent="0.2"/>
    <row r="7168" customFormat="1" x14ac:dyDescent="0.2"/>
    <row r="7169" customFormat="1" x14ac:dyDescent="0.2"/>
    <row r="7170" customFormat="1" x14ac:dyDescent="0.2"/>
    <row r="7171" customFormat="1" x14ac:dyDescent="0.2"/>
    <row r="7172" customFormat="1" x14ac:dyDescent="0.2"/>
    <row r="7173" customFormat="1" x14ac:dyDescent="0.2"/>
    <row r="7174" customFormat="1" x14ac:dyDescent="0.2"/>
    <row r="7175" customFormat="1" x14ac:dyDescent="0.2"/>
    <row r="7176" customFormat="1" x14ac:dyDescent="0.2"/>
    <row r="7177" customFormat="1" x14ac:dyDescent="0.2"/>
    <row r="7178" customFormat="1" x14ac:dyDescent="0.2"/>
    <row r="7179" customFormat="1" x14ac:dyDescent="0.2"/>
    <row r="7180" customFormat="1" x14ac:dyDescent="0.2"/>
    <row r="7181" customFormat="1" x14ac:dyDescent="0.2"/>
    <row r="7182" customFormat="1" x14ac:dyDescent="0.2"/>
    <row r="7183" customFormat="1" x14ac:dyDescent="0.2"/>
    <row r="7184" customFormat="1" x14ac:dyDescent="0.2"/>
    <row r="7185" customFormat="1" x14ac:dyDescent="0.2"/>
    <row r="7186" customFormat="1" x14ac:dyDescent="0.2"/>
    <row r="7187" customFormat="1" x14ac:dyDescent="0.2"/>
    <row r="7188" customFormat="1" x14ac:dyDescent="0.2"/>
    <row r="7189" customFormat="1" x14ac:dyDescent="0.2"/>
    <row r="7190" customFormat="1" x14ac:dyDescent="0.2"/>
    <row r="7191" customFormat="1" x14ac:dyDescent="0.2"/>
    <row r="7192" customFormat="1" x14ac:dyDescent="0.2"/>
    <row r="7193" customFormat="1" x14ac:dyDescent="0.2"/>
    <row r="7194" customFormat="1" x14ac:dyDescent="0.2"/>
    <row r="7195" customFormat="1" x14ac:dyDescent="0.2"/>
    <row r="7196" customFormat="1" x14ac:dyDescent="0.2"/>
    <row r="7197" customFormat="1" x14ac:dyDescent="0.2"/>
    <row r="7198" customFormat="1" x14ac:dyDescent="0.2"/>
    <row r="7199" customFormat="1" x14ac:dyDescent="0.2"/>
    <row r="7200" customFormat="1" x14ac:dyDescent="0.2"/>
    <row r="7201" customFormat="1" x14ac:dyDescent="0.2"/>
    <row r="7202" customFormat="1" x14ac:dyDescent="0.2"/>
    <row r="7203" customFormat="1" x14ac:dyDescent="0.2"/>
    <row r="7204" customFormat="1" x14ac:dyDescent="0.2"/>
    <row r="7205" customFormat="1" x14ac:dyDescent="0.2"/>
    <row r="7206" customFormat="1" x14ac:dyDescent="0.2"/>
    <row r="7207" customFormat="1" x14ac:dyDescent="0.2"/>
    <row r="7208" customFormat="1" x14ac:dyDescent="0.2"/>
    <row r="7209" customFormat="1" x14ac:dyDescent="0.2"/>
    <row r="7210" customFormat="1" x14ac:dyDescent="0.2"/>
    <row r="7211" customFormat="1" x14ac:dyDescent="0.2"/>
    <row r="7212" customFormat="1" x14ac:dyDescent="0.2"/>
    <row r="7213" customFormat="1" x14ac:dyDescent="0.2"/>
    <row r="7214" customFormat="1" x14ac:dyDescent="0.2"/>
    <row r="7215" customFormat="1" x14ac:dyDescent="0.2"/>
    <row r="7216" customFormat="1" x14ac:dyDescent="0.2"/>
    <row r="7217" customFormat="1" x14ac:dyDescent="0.2"/>
    <row r="7218" customFormat="1" x14ac:dyDescent="0.2"/>
    <row r="7219" customFormat="1" x14ac:dyDescent="0.2"/>
    <row r="7220" customFormat="1" x14ac:dyDescent="0.2"/>
    <row r="7221" customFormat="1" x14ac:dyDescent="0.2"/>
    <row r="7222" customFormat="1" x14ac:dyDescent="0.2"/>
    <row r="7223" customFormat="1" x14ac:dyDescent="0.2"/>
    <row r="7224" customFormat="1" x14ac:dyDescent="0.2"/>
    <row r="7225" customFormat="1" x14ac:dyDescent="0.2"/>
    <row r="7226" customFormat="1" x14ac:dyDescent="0.2"/>
    <row r="7227" customFormat="1" x14ac:dyDescent="0.2"/>
    <row r="7228" customFormat="1" x14ac:dyDescent="0.2"/>
    <row r="7229" customFormat="1" x14ac:dyDescent="0.2"/>
    <row r="7230" customFormat="1" x14ac:dyDescent="0.2"/>
    <row r="7231" customFormat="1" x14ac:dyDescent="0.2"/>
    <row r="7232" customFormat="1" x14ac:dyDescent="0.2"/>
    <row r="7233" customFormat="1" x14ac:dyDescent="0.2"/>
    <row r="7234" customFormat="1" x14ac:dyDescent="0.2"/>
    <row r="7235" customFormat="1" x14ac:dyDescent="0.2"/>
    <row r="7236" customFormat="1" x14ac:dyDescent="0.2"/>
    <row r="7237" customFormat="1" x14ac:dyDescent="0.2"/>
    <row r="7238" customFormat="1" x14ac:dyDescent="0.2"/>
    <row r="7239" customFormat="1" x14ac:dyDescent="0.2"/>
    <row r="7240" customFormat="1" x14ac:dyDescent="0.2"/>
    <row r="7241" customFormat="1" x14ac:dyDescent="0.2"/>
    <row r="7242" customFormat="1" x14ac:dyDescent="0.2"/>
    <row r="7243" customFormat="1" x14ac:dyDescent="0.2"/>
    <row r="7244" customFormat="1" x14ac:dyDescent="0.2"/>
    <row r="7245" customFormat="1" x14ac:dyDescent="0.2"/>
    <row r="7246" customFormat="1" x14ac:dyDescent="0.2"/>
    <row r="7247" customFormat="1" x14ac:dyDescent="0.2"/>
    <row r="7248" customFormat="1" x14ac:dyDescent="0.2"/>
    <row r="7249" customFormat="1" x14ac:dyDescent="0.2"/>
    <row r="7250" customFormat="1" x14ac:dyDescent="0.2"/>
    <row r="7251" customFormat="1" x14ac:dyDescent="0.2"/>
    <row r="7252" customFormat="1" x14ac:dyDescent="0.2"/>
    <row r="7253" customFormat="1" x14ac:dyDescent="0.2"/>
    <row r="7254" customFormat="1" x14ac:dyDescent="0.2"/>
    <row r="7255" customFormat="1" x14ac:dyDescent="0.2"/>
    <row r="7256" customFormat="1" x14ac:dyDescent="0.2"/>
    <row r="7257" customFormat="1" x14ac:dyDescent="0.2"/>
    <row r="7258" customFormat="1" x14ac:dyDescent="0.2"/>
    <row r="7259" customFormat="1" x14ac:dyDescent="0.2"/>
    <row r="7260" customFormat="1" x14ac:dyDescent="0.2"/>
    <row r="7261" customFormat="1" x14ac:dyDescent="0.2"/>
    <row r="7262" customFormat="1" x14ac:dyDescent="0.2"/>
    <row r="7263" customFormat="1" x14ac:dyDescent="0.2"/>
    <row r="7264" customFormat="1" x14ac:dyDescent="0.2"/>
    <row r="7265" customFormat="1" x14ac:dyDescent="0.2"/>
    <row r="7266" customFormat="1" x14ac:dyDescent="0.2"/>
    <row r="7267" customFormat="1" x14ac:dyDescent="0.2"/>
    <row r="7268" customFormat="1" x14ac:dyDescent="0.2"/>
    <row r="7269" customFormat="1" x14ac:dyDescent="0.2"/>
    <row r="7270" customFormat="1" x14ac:dyDescent="0.2"/>
    <row r="7271" customFormat="1" x14ac:dyDescent="0.2"/>
    <row r="7272" customFormat="1" x14ac:dyDescent="0.2"/>
    <row r="7273" customFormat="1" x14ac:dyDescent="0.2"/>
    <row r="7274" customFormat="1" x14ac:dyDescent="0.2"/>
    <row r="7275" customFormat="1" x14ac:dyDescent="0.2"/>
    <row r="7276" customFormat="1" x14ac:dyDescent="0.2"/>
    <row r="7277" customFormat="1" x14ac:dyDescent="0.2"/>
    <row r="7278" customFormat="1" x14ac:dyDescent="0.2"/>
    <row r="7279" customFormat="1" x14ac:dyDescent="0.2"/>
    <row r="7280" customFormat="1" x14ac:dyDescent="0.2"/>
    <row r="7281" customFormat="1" x14ac:dyDescent="0.2"/>
    <row r="7282" customFormat="1" x14ac:dyDescent="0.2"/>
    <row r="7283" customFormat="1" x14ac:dyDescent="0.2"/>
    <row r="7284" customFormat="1" x14ac:dyDescent="0.2"/>
    <row r="7285" customFormat="1" x14ac:dyDescent="0.2"/>
    <row r="7286" customFormat="1" x14ac:dyDescent="0.2"/>
    <row r="7287" customFormat="1" x14ac:dyDescent="0.2"/>
    <row r="7288" customFormat="1" x14ac:dyDescent="0.2"/>
    <row r="7289" customFormat="1" x14ac:dyDescent="0.2"/>
    <row r="7290" customFormat="1" x14ac:dyDescent="0.2"/>
    <row r="7291" customFormat="1" x14ac:dyDescent="0.2"/>
    <row r="7292" customFormat="1" x14ac:dyDescent="0.2"/>
    <row r="7293" customFormat="1" x14ac:dyDescent="0.2"/>
    <row r="7294" customFormat="1" x14ac:dyDescent="0.2"/>
    <row r="7295" customFormat="1" x14ac:dyDescent="0.2"/>
    <row r="7296" customFormat="1" x14ac:dyDescent="0.2"/>
    <row r="7297" customFormat="1" x14ac:dyDescent="0.2"/>
    <row r="7298" customFormat="1" x14ac:dyDescent="0.2"/>
    <row r="7299" customFormat="1" x14ac:dyDescent="0.2"/>
    <row r="7300" customFormat="1" x14ac:dyDescent="0.2"/>
    <row r="7301" customFormat="1" x14ac:dyDescent="0.2"/>
    <row r="7302" customFormat="1" x14ac:dyDescent="0.2"/>
    <row r="7303" customFormat="1" x14ac:dyDescent="0.2"/>
    <row r="7304" customFormat="1" x14ac:dyDescent="0.2"/>
    <row r="7305" customFormat="1" x14ac:dyDescent="0.2"/>
    <row r="7306" customFormat="1" x14ac:dyDescent="0.2"/>
    <row r="7307" customFormat="1" x14ac:dyDescent="0.2"/>
    <row r="7308" customFormat="1" x14ac:dyDescent="0.2"/>
    <row r="7309" customFormat="1" x14ac:dyDescent="0.2"/>
    <row r="7310" customFormat="1" x14ac:dyDescent="0.2"/>
    <row r="7311" customFormat="1" x14ac:dyDescent="0.2"/>
    <row r="7312" customFormat="1" x14ac:dyDescent="0.2"/>
    <row r="7313" customFormat="1" x14ac:dyDescent="0.2"/>
    <row r="7314" customFormat="1" x14ac:dyDescent="0.2"/>
    <row r="7315" customFormat="1" x14ac:dyDescent="0.2"/>
    <row r="7316" customFormat="1" x14ac:dyDescent="0.2"/>
    <row r="7317" customFormat="1" x14ac:dyDescent="0.2"/>
    <row r="7318" customFormat="1" x14ac:dyDescent="0.2"/>
    <row r="7319" customFormat="1" x14ac:dyDescent="0.2"/>
    <row r="7320" customFormat="1" x14ac:dyDescent="0.2"/>
    <row r="7321" customFormat="1" x14ac:dyDescent="0.2"/>
    <row r="7322" customFormat="1" x14ac:dyDescent="0.2"/>
    <row r="7323" customFormat="1" x14ac:dyDescent="0.2"/>
    <row r="7324" customFormat="1" x14ac:dyDescent="0.2"/>
    <row r="7325" customFormat="1" x14ac:dyDescent="0.2"/>
    <row r="7326" customFormat="1" x14ac:dyDescent="0.2"/>
    <row r="7327" customFormat="1" x14ac:dyDescent="0.2"/>
    <row r="7328" customFormat="1" x14ac:dyDescent="0.2"/>
    <row r="7329" customFormat="1" x14ac:dyDescent="0.2"/>
    <row r="7330" customFormat="1" x14ac:dyDescent="0.2"/>
    <row r="7331" customFormat="1" x14ac:dyDescent="0.2"/>
    <row r="7332" customFormat="1" x14ac:dyDescent="0.2"/>
    <row r="7333" customFormat="1" x14ac:dyDescent="0.2"/>
    <row r="7334" customFormat="1" x14ac:dyDescent="0.2"/>
    <row r="7335" customFormat="1" x14ac:dyDescent="0.2"/>
    <row r="7336" customFormat="1" x14ac:dyDescent="0.2"/>
    <row r="7337" customFormat="1" x14ac:dyDescent="0.2"/>
    <row r="7338" customFormat="1" x14ac:dyDescent="0.2"/>
    <row r="7339" customFormat="1" x14ac:dyDescent="0.2"/>
    <row r="7340" customFormat="1" x14ac:dyDescent="0.2"/>
    <row r="7341" customFormat="1" x14ac:dyDescent="0.2"/>
    <row r="7342" customFormat="1" x14ac:dyDescent="0.2"/>
    <row r="7343" customFormat="1" x14ac:dyDescent="0.2"/>
    <row r="7344" customFormat="1" x14ac:dyDescent="0.2"/>
    <row r="7345" customFormat="1" x14ac:dyDescent="0.2"/>
    <row r="7346" customFormat="1" x14ac:dyDescent="0.2"/>
    <row r="7347" customFormat="1" x14ac:dyDescent="0.2"/>
    <row r="7348" customFormat="1" x14ac:dyDescent="0.2"/>
    <row r="7349" customFormat="1" x14ac:dyDescent="0.2"/>
    <row r="7350" customFormat="1" x14ac:dyDescent="0.2"/>
    <row r="7351" customFormat="1" x14ac:dyDescent="0.2"/>
    <row r="7352" customFormat="1" x14ac:dyDescent="0.2"/>
    <row r="7353" customFormat="1" x14ac:dyDescent="0.2"/>
    <row r="7354" customFormat="1" x14ac:dyDescent="0.2"/>
    <row r="7355" customFormat="1" x14ac:dyDescent="0.2"/>
    <row r="7356" customFormat="1" x14ac:dyDescent="0.2"/>
    <row r="7357" customFormat="1" x14ac:dyDescent="0.2"/>
    <row r="7358" customFormat="1" x14ac:dyDescent="0.2"/>
    <row r="7359" customFormat="1" x14ac:dyDescent="0.2"/>
    <row r="7360" customFormat="1" x14ac:dyDescent="0.2"/>
    <row r="7361" customFormat="1" x14ac:dyDescent="0.2"/>
    <row r="7362" customFormat="1" x14ac:dyDescent="0.2"/>
    <row r="7363" customFormat="1" x14ac:dyDescent="0.2"/>
    <row r="7364" customFormat="1" x14ac:dyDescent="0.2"/>
    <row r="7365" customFormat="1" x14ac:dyDescent="0.2"/>
    <row r="7366" customFormat="1" x14ac:dyDescent="0.2"/>
    <row r="7367" customFormat="1" x14ac:dyDescent="0.2"/>
    <row r="7368" customFormat="1" x14ac:dyDescent="0.2"/>
    <row r="7369" customFormat="1" x14ac:dyDescent="0.2"/>
    <row r="7370" customFormat="1" x14ac:dyDescent="0.2"/>
    <row r="7371" customFormat="1" x14ac:dyDescent="0.2"/>
    <row r="7372" customFormat="1" x14ac:dyDescent="0.2"/>
    <row r="7373" customFormat="1" x14ac:dyDescent="0.2"/>
    <row r="7374" customFormat="1" x14ac:dyDescent="0.2"/>
    <row r="7375" customFormat="1" x14ac:dyDescent="0.2"/>
    <row r="7376" customFormat="1" x14ac:dyDescent="0.2"/>
    <row r="7377" customFormat="1" x14ac:dyDescent="0.2"/>
    <row r="7378" customFormat="1" x14ac:dyDescent="0.2"/>
    <row r="7379" customFormat="1" x14ac:dyDescent="0.2"/>
    <row r="7380" customFormat="1" x14ac:dyDescent="0.2"/>
    <row r="7381" customFormat="1" x14ac:dyDescent="0.2"/>
    <row r="7382" customFormat="1" x14ac:dyDescent="0.2"/>
    <row r="7383" customFormat="1" x14ac:dyDescent="0.2"/>
    <row r="7384" customFormat="1" x14ac:dyDescent="0.2"/>
    <row r="7385" customFormat="1" x14ac:dyDescent="0.2"/>
    <row r="7386" customFormat="1" x14ac:dyDescent="0.2"/>
    <row r="7387" customFormat="1" x14ac:dyDescent="0.2"/>
    <row r="7388" customFormat="1" x14ac:dyDescent="0.2"/>
    <row r="7389" customFormat="1" x14ac:dyDescent="0.2"/>
    <row r="7390" customFormat="1" x14ac:dyDescent="0.2"/>
    <row r="7391" customFormat="1" x14ac:dyDescent="0.2"/>
    <row r="7392" customFormat="1" x14ac:dyDescent="0.2"/>
    <row r="7393" customFormat="1" x14ac:dyDescent="0.2"/>
    <row r="7394" customFormat="1" x14ac:dyDescent="0.2"/>
    <row r="7395" customFormat="1" x14ac:dyDescent="0.2"/>
    <row r="7396" customFormat="1" x14ac:dyDescent="0.2"/>
    <row r="7397" customFormat="1" x14ac:dyDescent="0.2"/>
    <row r="7398" customFormat="1" x14ac:dyDescent="0.2"/>
    <row r="7399" customFormat="1" x14ac:dyDescent="0.2"/>
    <row r="7400" customFormat="1" x14ac:dyDescent="0.2"/>
    <row r="7401" customFormat="1" x14ac:dyDescent="0.2"/>
    <row r="7402" customFormat="1" x14ac:dyDescent="0.2"/>
    <row r="7403" customFormat="1" x14ac:dyDescent="0.2"/>
    <row r="7404" customFormat="1" x14ac:dyDescent="0.2"/>
    <row r="7405" customFormat="1" x14ac:dyDescent="0.2"/>
    <row r="7406" customFormat="1" x14ac:dyDescent="0.2"/>
    <row r="7407" customFormat="1" x14ac:dyDescent="0.2"/>
    <row r="7408" customFormat="1" x14ac:dyDescent="0.2"/>
    <row r="7409" customFormat="1" x14ac:dyDescent="0.2"/>
    <row r="7410" customFormat="1" x14ac:dyDescent="0.2"/>
    <row r="7411" customFormat="1" x14ac:dyDescent="0.2"/>
    <row r="7412" customFormat="1" x14ac:dyDescent="0.2"/>
    <row r="7413" customFormat="1" x14ac:dyDescent="0.2"/>
    <row r="7414" customFormat="1" x14ac:dyDescent="0.2"/>
    <row r="7415" customFormat="1" x14ac:dyDescent="0.2"/>
    <row r="7416" customFormat="1" x14ac:dyDescent="0.2"/>
    <row r="7417" customFormat="1" x14ac:dyDescent="0.2"/>
    <row r="7418" customFormat="1" x14ac:dyDescent="0.2"/>
    <row r="7419" customFormat="1" x14ac:dyDescent="0.2"/>
    <row r="7420" customFormat="1" x14ac:dyDescent="0.2"/>
    <row r="7421" customFormat="1" x14ac:dyDescent="0.2"/>
    <row r="7422" customFormat="1" x14ac:dyDescent="0.2"/>
    <row r="7423" customFormat="1" x14ac:dyDescent="0.2"/>
    <row r="7424" customFormat="1" x14ac:dyDescent="0.2"/>
    <row r="7425" customFormat="1" x14ac:dyDescent="0.2"/>
    <row r="7426" customFormat="1" x14ac:dyDescent="0.2"/>
    <row r="7427" customFormat="1" x14ac:dyDescent="0.2"/>
    <row r="7428" customFormat="1" x14ac:dyDescent="0.2"/>
    <row r="7429" customFormat="1" x14ac:dyDescent="0.2"/>
    <row r="7430" customFormat="1" x14ac:dyDescent="0.2"/>
    <row r="7431" customFormat="1" x14ac:dyDescent="0.2"/>
    <row r="7432" customFormat="1" x14ac:dyDescent="0.2"/>
    <row r="7433" customFormat="1" x14ac:dyDescent="0.2"/>
    <row r="7434" customFormat="1" x14ac:dyDescent="0.2"/>
    <row r="7435" customFormat="1" x14ac:dyDescent="0.2"/>
    <row r="7436" customFormat="1" x14ac:dyDescent="0.2"/>
    <row r="7437" customFormat="1" x14ac:dyDescent="0.2"/>
    <row r="7438" customFormat="1" x14ac:dyDescent="0.2"/>
    <row r="7439" customFormat="1" x14ac:dyDescent="0.2"/>
    <row r="7440" customFormat="1" x14ac:dyDescent="0.2"/>
    <row r="7441" customFormat="1" x14ac:dyDescent="0.2"/>
    <row r="7442" customFormat="1" x14ac:dyDescent="0.2"/>
    <row r="7443" customFormat="1" x14ac:dyDescent="0.2"/>
    <row r="7444" customFormat="1" x14ac:dyDescent="0.2"/>
    <row r="7445" customFormat="1" x14ac:dyDescent="0.2"/>
    <row r="7446" customFormat="1" x14ac:dyDescent="0.2"/>
    <row r="7447" customFormat="1" x14ac:dyDescent="0.2"/>
    <row r="7448" customFormat="1" x14ac:dyDescent="0.2"/>
    <row r="7449" customFormat="1" x14ac:dyDescent="0.2"/>
    <row r="7450" customFormat="1" x14ac:dyDescent="0.2"/>
    <row r="7451" customFormat="1" x14ac:dyDescent="0.2"/>
    <row r="7452" customFormat="1" x14ac:dyDescent="0.2"/>
    <row r="7453" customFormat="1" x14ac:dyDescent="0.2"/>
    <row r="7454" customFormat="1" x14ac:dyDescent="0.2"/>
    <row r="7455" customFormat="1" x14ac:dyDescent="0.2"/>
    <row r="7456" customFormat="1" x14ac:dyDescent="0.2"/>
    <row r="7457" customFormat="1" x14ac:dyDescent="0.2"/>
    <row r="7458" customFormat="1" x14ac:dyDescent="0.2"/>
    <row r="7459" customFormat="1" x14ac:dyDescent="0.2"/>
    <row r="7460" customFormat="1" x14ac:dyDescent="0.2"/>
    <row r="7461" customFormat="1" x14ac:dyDescent="0.2"/>
    <row r="7462" customFormat="1" x14ac:dyDescent="0.2"/>
    <row r="7463" customFormat="1" x14ac:dyDescent="0.2"/>
    <row r="7464" customFormat="1" x14ac:dyDescent="0.2"/>
    <row r="7465" customFormat="1" x14ac:dyDescent="0.2"/>
    <row r="7466" customFormat="1" x14ac:dyDescent="0.2"/>
    <row r="7467" customFormat="1" x14ac:dyDescent="0.2"/>
    <row r="7468" customFormat="1" x14ac:dyDescent="0.2"/>
    <row r="7469" customFormat="1" x14ac:dyDescent="0.2"/>
    <row r="7470" customFormat="1" x14ac:dyDescent="0.2"/>
    <row r="7471" customFormat="1" x14ac:dyDescent="0.2"/>
    <row r="7472" customFormat="1" x14ac:dyDescent="0.2"/>
    <row r="7473" customFormat="1" x14ac:dyDescent="0.2"/>
    <row r="7474" customFormat="1" x14ac:dyDescent="0.2"/>
    <row r="7475" customFormat="1" x14ac:dyDescent="0.2"/>
    <row r="7476" customFormat="1" x14ac:dyDescent="0.2"/>
    <row r="7477" customFormat="1" x14ac:dyDescent="0.2"/>
    <row r="7478" customFormat="1" x14ac:dyDescent="0.2"/>
    <row r="7479" customFormat="1" x14ac:dyDescent="0.2"/>
    <row r="7480" customFormat="1" x14ac:dyDescent="0.2"/>
    <row r="7481" customFormat="1" x14ac:dyDescent="0.2"/>
    <row r="7482" customFormat="1" x14ac:dyDescent="0.2"/>
    <row r="7483" customFormat="1" x14ac:dyDescent="0.2"/>
    <row r="7484" customFormat="1" x14ac:dyDescent="0.2"/>
    <row r="7485" customFormat="1" x14ac:dyDescent="0.2"/>
    <row r="7486" customFormat="1" x14ac:dyDescent="0.2"/>
    <row r="7487" customFormat="1" x14ac:dyDescent="0.2"/>
    <row r="7488" customFormat="1" x14ac:dyDescent="0.2"/>
    <row r="7489" customFormat="1" x14ac:dyDescent="0.2"/>
    <row r="7490" customFormat="1" x14ac:dyDescent="0.2"/>
    <row r="7491" customFormat="1" x14ac:dyDescent="0.2"/>
    <row r="7492" customFormat="1" x14ac:dyDescent="0.2"/>
    <row r="7493" customFormat="1" x14ac:dyDescent="0.2"/>
    <row r="7494" customFormat="1" x14ac:dyDescent="0.2"/>
    <row r="7495" customFormat="1" x14ac:dyDescent="0.2"/>
    <row r="7496" customFormat="1" x14ac:dyDescent="0.2"/>
    <row r="7497" customFormat="1" x14ac:dyDescent="0.2"/>
    <row r="7498" customFormat="1" x14ac:dyDescent="0.2"/>
    <row r="7499" customFormat="1" x14ac:dyDescent="0.2"/>
    <row r="7500" customFormat="1" x14ac:dyDescent="0.2"/>
    <row r="7501" customFormat="1" x14ac:dyDescent="0.2"/>
    <row r="7502" customFormat="1" x14ac:dyDescent="0.2"/>
    <row r="7503" customFormat="1" x14ac:dyDescent="0.2"/>
    <row r="7504" customFormat="1" x14ac:dyDescent="0.2"/>
    <row r="7505" customFormat="1" x14ac:dyDescent="0.2"/>
    <row r="7506" customFormat="1" x14ac:dyDescent="0.2"/>
    <row r="7507" customFormat="1" x14ac:dyDescent="0.2"/>
    <row r="7508" customFormat="1" x14ac:dyDescent="0.2"/>
    <row r="7509" customFormat="1" x14ac:dyDescent="0.2"/>
    <row r="7510" customFormat="1" x14ac:dyDescent="0.2"/>
    <row r="7511" customFormat="1" x14ac:dyDescent="0.2"/>
    <row r="7512" customFormat="1" x14ac:dyDescent="0.2"/>
    <row r="7513" customFormat="1" x14ac:dyDescent="0.2"/>
    <row r="7514" customFormat="1" x14ac:dyDescent="0.2"/>
    <row r="7515" customFormat="1" x14ac:dyDescent="0.2"/>
    <row r="7516" customFormat="1" x14ac:dyDescent="0.2"/>
    <row r="7517" customFormat="1" x14ac:dyDescent="0.2"/>
    <row r="7518" customFormat="1" x14ac:dyDescent="0.2"/>
    <row r="7519" customFormat="1" x14ac:dyDescent="0.2"/>
    <row r="7520" customFormat="1" x14ac:dyDescent="0.2"/>
    <row r="7521" customFormat="1" x14ac:dyDescent="0.2"/>
    <row r="7522" customFormat="1" x14ac:dyDescent="0.2"/>
    <row r="7523" customFormat="1" x14ac:dyDescent="0.2"/>
    <row r="7524" customFormat="1" x14ac:dyDescent="0.2"/>
    <row r="7525" customFormat="1" x14ac:dyDescent="0.2"/>
    <row r="7526" customFormat="1" x14ac:dyDescent="0.2"/>
    <row r="7527" customFormat="1" x14ac:dyDescent="0.2"/>
    <row r="7528" customFormat="1" x14ac:dyDescent="0.2"/>
    <row r="7529" customFormat="1" x14ac:dyDescent="0.2"/>
    <row r="7530" customFormat="1" x14ac:dyDescent="0.2"/>
    <row r="7531" customFormat="1" x14ac:dyDescent="0.2"/>
    <row r="7532" customFormat="1" x14ac:dyDescent="0.2"/>
    <row r="7533" customFormat="1" x14ac:dyDescent="0.2"/>
    <row r="7534" customFormat="1" x14ac:dyDescent="0.2"/>
    <row r="7535" customFormat="1" x14ac:dyDescent="0.2"/>
    <row r="7536" customFormat="1" x14ac:dyDescent="0.2"/>
    <row r="7537" customFormat="1" x14ac:dyDescent="0.2"/>
    <row r="7538" customFormat="1" x14ac:dyDescent="0.2"/>
    <row r="7539" customFormat="1" x14ac:dyDescent="0.2"/>
    <row r="7540" customFormat="1" x14ac:dyDescent="0.2"/>
    <row r="7541" customFormat="1" x14ac:dyDescent="0.2"/>
    <row r="7542" customFormat="1" x14ac:dyDescent="0.2"/>
    <row r="7543" customFormat="1" x14ac:dyDescent="0.2"/>
    <row r="7544" customFormat="1" x14ac:dyDescent="0.2"/>
    <row r="7545" customFormat="1" x14ac:dyDescent="0.2"/>
    <row r="7546" customFormat="1" x14ac:dyDescent="0.2"/>
    <row r="7547" customFormat="1" x14ac:dyDescent="0.2"/>
    <row r="7548" customFormat="1" x14ac:dyDescent="0.2"/>
    <row r="7549" customFormat="1" x14ac:dyDescent="0.2"/>
    <row r="7550" customFormat="1" x14ac:dyDescent="0.2"/>
    <row r="7551" customFormat="1" x14ac:dyDescent="0.2"/>
    <row r="7552" customFormat="1" x14ac:dyDescent="0.2"/>
    <row r="7553" customFormat="1" x14ac:dyDescent="0.2"/>
    <row r="7554" customFormat="1" x14ac:dyDescent="0.2"/>
    <row r="7555" customFormat="1" x14ac:dyDescent="0.2"/>
    <row r="7556" customFormat="1" x14ac:dyDescent="0.2"/>
    <row r="7557" customFormat="1" x14ac:dyDescent="0.2"/>
    <row r="7558" customFormat="1" x14ac:dyDescent="0.2"/>
    <row r="7559" customFormat="1" x14ac:dyDescent="0.2"/>
    <row r="7560" customFormat="1" x14ac:dyDescent="0.2"/>
    <row r="7561" customFormat="1" x14ac:dyDescent="0.2"/>
    <row r="7562" customFormat="1" x14ac:dyDescent="0.2"/>
    <row r="7563" customFormat="1" x14ac:dyDescent="0.2"/>
    <row r="7564" customFormat="1" x14ac:dyDescent="0.2"/>
    <row r="7565" customFormat="1" x14ac:dyDescent="0.2"/>
    <row r="7566" customFormat="1" x14ac:dyDescent="0.2"/>
    <row r="7567" customFormat="1" x14ac:dyDescent="0.2"/>
    <row r="7568" customFormat="1" x14ac:dyDescent="0.2"/>
    <row r="7569" customFormat="1" x14ac:dyDescent="0.2"/>
    <row r="7570" customFormat="1" x14ac:dyDescent="0.2"/>
    <row r="7571" customFormat="1" x14ac:dyDescent="0.2"/>
    <row r="7572" customFormat="1" x14ac:dyDescent="0.2"/>
    <row r="7573" customFormat="1" x14ac:dyDescent="0.2"/>
    <row r="7574" customFormat="1" x14ac:dyDescent="0.2"/>
    <row r="7575" customFormat="1" x14ac:dyDescent="0.2"/>
    <row r="7576" customFormat="1" x14ac:dyDescent="0.2"/>
    <row r="7577" customFormat="1" x14ac:dyDescent="0.2"/>
    <row r="7578" customFormat="1" x14ac:dyDescent="0.2"/>
    <row r="7579" customFormat="1" x14ac:dyDescent="0.2"/>
    <row r="7580" customFormat="1" x14ac:dyDescent="0.2"/>
    <row r="7581" customFormat="1" x14ac:dyDescent="0.2"/>
    <row r="7582" customFormat="1" x14ac:dyDescent="0.2"/>
    <row r="7583" customFormat="1" x14ac:dyDescent="0.2"/>
    <row r="7584" customFormat="1" x14ac:dyDescent="0.2"/>
    <row r="7585" customFormat="1" x14ac:dyDescent="0.2"/>
    <row r="7586" customFormat="1" x14ac:dyDescent="0.2"/>
    <row r="7587" customFormat="1" x14ac:dyDescent="0.2"/>
    <row r="7588" customFormat="1" x14ac:dyDescent="0.2"/>
    <row r="7589" customFormat="1" x14ac:dyDescent="0.2"/>
    <row r="7590" customFormat="1" x14ac:dyDescent="0.2"/>
    <row r="7591" customFormat="1" x14ac:dyDescent="0.2"/>
    <row r="7592" customFormat="1" x14ac:dyDescent="0.2"/>
    <row r="7593" customFormat="1" x14ac:dyDescent="0.2"/>
    <row r="7594" customFormat="1" x14ac:dyDescent="0.2"/>
    <row r="7595" customFormat="1" x14ac:dyDescent="0.2"/>
    <row r="7596" customFormat="1" x14ac:dyDescent="0.2"/>
    <row r="7597" customFormat="1" x14ac:dyDescent="0.2"/>
    <row r="7598" customFormat="1" x14ac:dyDescent="0.2"/>
    <row r="7599" customFormat="1" x14ac:dyDescent="0.2"/>
    <row r="7600" customFormat="1" x14ac:dyDescent="0.2"/>
    <row r="7601" customFormat="1" x14ac:dyDescent="0.2"/>
    <row r="7602" customFormat="1" x14ac:dyDescent="0.2"/>
    <row r="7603" customFormat="1" x14ac:dyDescent="0.2"/>
    <row r="7604" customFormat="1" x14ac:dyDescent="0.2"/>
    <row r="7605" customFormat="1" x14ac:dyDescent="0.2"/>
    <row r="7606" customFormat="1" x14ac:dyDescent="0.2"/>
    <row r="7607" customFormat="1" x14ac:dyDescent="0.2"/>
    <row r="7608" customFormat="1" x14ac:dyDescent="0.2"/>
    <row r="7609" customFormat="1" x14ac:dyDescent="0.2"/>
    <row r="7610" customFormat="1" x14ac:dyDescent="0.2"/>
    <row r="7611" customFormat="1" x14ac:dyDescent="0.2"/>
    <row r="7612" customFormat="1" x14ac:dyDescent="0.2"/>
    <row r="7613" customFormat="1" x14ac:dyDescent="0.2"/>
    <row r="7614" customFormat="1" x14ac:dyDescent="0.2"/>
    <row r="7615" customFormat="1" x14ac:dyDescent="0.2"/>
    <row r="7616" customFormat="1" x14ac:dyDescent="0.2"/>
    <row r="7617" customFormat="1" x14ac:dyDescent="0.2"/>
    <row r="7618" customFormat="1" x14ac:dyDescent="0.2"/>
    <row r="7619" customFormat="1" x14ac:dyDescent="0.2"/>
    <row r="7620" customFormat="1" x14ac:dyDescent="0.2"/>
    <row r="7621" customFormat="1" x14ac:dyDescent="0.2"/>
    <row r="7622" customFormat="1" x14ac:dyDescent="0.2"/>
    <row r="7623" customFormat="1" x14ac:dyDescent="0.2"/>
    <row r="7624" customFormat="1" x14ac:dyDescent="0.2"/>
    <row r="7625" customFormat="1" x14ac:dyDescent="0.2"/>
    <row r="7626" customFormat="1" x14ac:dyDescent="0.2"/>
    <row r="7627" customFormat="1" x14ac:dyDescent="0.2"/>
    <row r="7628" customFormat="1" x14ac:dyDescent="0.2"/>
    <row r="7629" customFormat="1" x14ac:dyDescent="0.2"/>
    <row r="7630" customFormat="1" x14ac:dyDescent="0.2"/>
    <row r="7631" customFormat="1" x14ac:dyDescent="0.2"/>
    <row r="7632" customFormat="1" x14ac:dyDescent="0.2"/>
    <row r="7633" customFormat="1" x14ac:dyDescent="0.2"/>
    <row r="7634" customFormat="1" x14ac:dyDescent="0.2"/>
    <row r="7635" customFormat="1" x14ac:dyDescent="0.2"/>
    <row r="7636" customFormat="1" x14ac:dyDescent="0.2"/>
    <row r="7637" customFormat="1" x14ac:dyDescent="0.2"/>
    <row r="7638" customFormat="1" x14ac:dyDescent="0.2"/>
    <row r="7639" customFormat="1" x14ac:dyDescent="0.2"/>
    <row r="7640" customFormat="1" x14ac:dyDescent="0.2"/>
    <row r="7641" customFormat="1" x14ac:dyDescent="0.2"/>
    <row r="7642" customFormat="1" x14ac:dyDescent="0.2"/>
    <row r="7643" customFormat="1" x14ac:dyDescent="0.2"/>
    <row r="7644" customFormat="1" x14ac:dyDescent="0.2"/>
    <row r="7645" customFormat="1" x14ac:dyDescent="0.2"/>
    <row r="7646" customFormat="1" x14ac:dyDescent="0.2"/>
    <row r="7647" customFormat="1" x14ac:dyDescent="0.2"/>
    <row r="7648" customFormat="1" x14ac:dyDescent="0.2"/>
    <row r="7649" customFormat="1" x14ac:dyDescent="0.2"/>
    <row r="7650" customFormat="1" x14ac:dyDescent="0.2"/>
    <row r="7651" customFormat="1" x14ac:dyDescent="0.2"/>
    <row r="7652" customFormat="1" x14ac:dyDescent="0.2"/>
    <row r="7653" customFormat="1" x14ac:dyDescent="0.2"/>
    <row r="7654" customFormat="1" x14ac:dyDescent="0.2"/>
    <row r="7655" customFormat="1" x14ac:dyDescent="0.2"/>
    <row r="7656" customFormat="1" x14ac:dyDescent="0.2"/>
    <row r="7657" customFormat="1" x14ac:dyDescent="0.2"/>
    <row r="7658" customFormat="1" x14ac:dyDescent="0.2"/>
    <row r="7659" customFormat="1" x14ac:dyDescent="0.2"/>
    <row r="7660" customFormat="1" x14ac:dyDescent="0.2"/>
    <row r="7661" customFormat="1" x14ac:dyDescent="0.2"/>
    <row r="7662" customFormat="1" x14ac:dyDescent="0.2"/>
    <row r="7663" customFormat="1" x14ac:dyDescent="0.2"/>
    <row r="7664" customFormat="1" x14ac:dyDescent="0.2"/>
    <row r="7665" customFormat="1" x14ac:dyDescent="0.2"/>
    <row r="7666" customFormat="1" x14ac:dyDescent="0.2"/>
    <row r="7667" customFormat="1" x14ac:dyDescent="0.2"/>
    <row r="7668" customFormat="1" x14ac:dyDescent="0.2"/>
    <row r="7669" customFormat="1" x14ac:dyDescent="0.2"/>
    <row r="7670" customFormat="1" x14ac:dyDescent="0.2"/>
    <row r="7671" customFormat="1" x14ac:dyDescent="0.2"/>
    <row r="7672" customFormat="1" x14ac:dyDescent="0.2"/>
    <row r="7673" customFormat="1" x14ac:dyDescent="0.2"/>
    <row r="7674" customFormat="1" x14ac:dyDescent="0.2"/>
    <row r="7675" customFormat="1" x14ac:dyDescent="0.2"/>
    <row r="7676" customFormat="1" x14ac:dyDescent="0.2"/>
    <row r="7677" customFormat="1" x14ac:dyDescent="0.2"/>
    <row r="7678" customFormat="1" x14ac:dyDescent="0.2"/>
    <row r="7679" customFormat="1" x14ac:dyDescent="0.2"/>
    <row r="7680" customFormat="1" x14ac:dyDescent="0.2"/>
    <row r="7681" customFormat="1" x14ac:dyDescent="0.2"/>
    <row r="7682" customFormat="1" x14ac:dyDescent="0.2"/>
    <row r="7683" customFormat="1" x14ac:dyDescent="0.2"/>
    <row r="7684" customFormat="1" x14ac:dyDescent="0.2"/>
    <row r="7685" customFormat="1" x14ac:dyDescent="0.2"/>
    <row r="7686" customFormat="1" x14ac:dyDescent="0.2"/>
    <row r="7687" customFormat="1" x14ac:dyDescent="0.2"/>
    <row r="7688" customFormat="1" x14ac:dyDescent="0.2"/>
    <row r="7689" customFormat="1" x14ac:dyDescent="0.2"/>
    <row r="7690" customFormat="1" x14ac:dyDescent="0.2"/>
    <row r="7691" customFormat="1" x14ac:dyDescent="0.2"/>
    <row r="7692" customFormat="1" x14ac:dyDescent="0.2"/>
    <row r="7693" customFormat="1" x14ac:dyDescent="0.2"/>
    <row r="7694" customFormat="1" x14ac:dyDescent="0.2"/>
    <row r="7695" customFormat="1" x14ac:dyDescent="0.2"/>
    <row r="7696" customFormat="1" x14ac:dyDescent="0.2"/>
    <row r="7697" customFormat="1" x14ac:dyDescent="0.2"/>
    <row r="7698" customFormat="1" x14ac:dyDescent="0.2"/>
    <row r="7699" customFormat="1" x14ac:dyDescent="0.2"/>
    <row r="7700" customFormat="1" x14ac:dyDescent="0.2"/>
    <row r="7701" customFormat="1" x14ac:dyDescent="0.2"/>
    <row r="7702" customFormat="1" x14ac:dyDescent="0.2"/>
    <row r="7703" customFormat="1" x14ac:dyDescent="0.2"/>
    <row r="7704" customFormat="1" x14ac:dyDescent="0.2"/>
    <row r="7705" customFormat="1" x14ac:dyDescent="0.2"/>
    <row r="7706" customFormat="1" x14ac:dyDescent="0.2"/>
    <row r="7707" customFormat="1" x14ac:dyDescent="0.2"/>
    <row r="7708" customFormat="1" x14ac:dyDescent="0.2"/>
    <row r="7709" customFormat="1" x14ac:dyDescent="0.2"/>
    <row r="7710" customFormat="1" x14ac:dyDescent="0.2"/>
    <row r="7711" customFormat="1" x14ac:dyDescent="0.2"/>
    <row r="7712" customFormat="1" x14ac:dyDescent="0.2"/>
    <row r="7713" customFormat="1" x14ac:dyDescent="0.2"/>
    <row r="7714" customFormat="1" x14ac:dyDescent="0.2"/>
    <row r="7715" customFormat="1" x14ac:dyDescent="0.2"/>
    <row r="7716" customFormat="1" x14ac:dyDescent="0.2"/>
    <row r="7717" customFormat="1" x14ac:dyDescent="0.2"/>
    <row r="7718" customFormat="1" x14ac:dyDescent="0.2"/>
    <row r="7719" customFormat="1" x14ac:dyDescent="0.2"/>
    <row r="7720" customFormat="1" x14ac:dyDescent="0.2"/>
    <row r="7721" customFormat="1" x14ac:dyDescent="0.2"/>
    <row r="7722" customFormat="1" x14ac:dyDescent="0.2"/>
    <row r="7723" customFormat="1" x14ac:dyDescent="0.2"/>
    <row r="7724" customFormat="1" x14ac:dyDescent="0.2"/>
    <row r="7725" customFormat="1" x14ac:dyDescent="0.2"/>
    <row r="7726" customFormat="1" x14ac:dyDescent="0.2"/>
    <row r="7727" customFormat="1" x14ac:dyDescent="0.2"/>
    <row r="7728" customFormat="1" x14ac:dyDescent="0.2"/>
    <row r="7729" customFormat="1" x14ac:dyDescent="0.2"/>
    <row r="7730" customFormat="1" x14ac:dyDescent="0.2"/>
    <row r="7731" customFormat="1" x14ac:dyDescent="0.2"/>
    <row r="7732" customFormat="1" x14ac:dyDescent="0.2"/>
    <row r="7733" customFormat="1" x14ac:dyDescent="0.2"/>
    <row r="7734" customFormat="1" x14ac:dyDescent="0.2"/>
    <row r="7735" customFormat="1" x14ac:dyDescent="0.2"/>
    <row r="7736" customFormat="1" x14ac:dyDescent="0.2"/>
    <row r="7737" customFormat="1" x14ac:dyDescent="0.2"/>
    <row r="7738" customFormat="1" x14ac:dyDescent="0.2"/>
    <row r="7739" customFormat="1" x14ac:dyDescent="0.2"/>
    <row r="7740" customFormat="1" x14ac:dyDescent="0.2"/>
    <row r="7741" customFormat="1" x14ac:dyDescent="0.2"/>
    <row r="7742" customFormat="1" x14ac:dyDescent="0.2"/>
    <row r="7743" customFormat="1" x14ac:dyDescent="0.2"/>
    <row r="7744" customFormat="1" x14ac:dyDescent="0.2"/>
    <row r="7745" customFormat="1" x14ac:dyDescent="0.2"/>
    <row r="7746" customFormat="1" x14ac:dyDescent="0.2"/>
    <row r="7747" customFormat="1" x14ac:dyDescent="0.2"/>
    <row r="7748" customFormat="1" x14ac:dyDescent="0.2"/>
    <row r="7749" customFormat="1" x14ac:dyDescent="0.2"/>
    <row r="7750" customFormat="1" x14ac:dyDescent="0.2"/>
    <row r="7751" customFormat="1" x14ac:dyDescent="0.2"/>
    <row r="7752" customFormat="1" x14ac:dyDescent="0.2"/>
    <row r="7753" customFormat="1" x14ac:dyDescent="0.2"/>
    <row r="7754" customFormat="1" x14ac:dyDescent="0.2"/>
    <row r="7755" customFormat="1" x14ac:dyDescent="0.2"/>
    <row r="7756" customFormat="1" x14ac:dyDescent="0.2"/>
    <row r="7757" customFormat="1" x14ac:dyDescent="0.2"/>
    <row r="7758" customFormat="1" x14ac:dyDescent="0.2"/>
    <row r="7759" customFormat="1" x14ac:dyDescent="0.2"/>
    <row r="7760" customFormat="1" x14ac:dyDescent="0.2"/>
    <row r="7761" customFormat="1" x14ac:dyDescent="0.2"/>
    <row r="7762" customFormat="1" x14ac:dyDescent="0.2"/>
    <row r="7763" customFormat="1" x14ac:dyDescent="0.2"/>
    <row r="7764" customFormat="1" x14ac:dyDescent="0.2"/>
    <row r="7765" customFormat="1" x14ac:dyDescent="0.2"/>
    <row r="7766" customFormat="1" x14ac:dyDescent="0.2"/>
    <row r="7767" customFormat="1" x14ac:dyDescent="0.2"/>
    <row r="7768" customFormat="1" x14ac:dyDescent="0.2"/>
    <row r="7769" customFormat="1" x14ac:dyDescent="0.2"/>
    <row r="7770" customFormat="1" x14ac:dyDescent="0.2"/>
    <row r="7771" customFormat="1" x14ac:dyDescent="0.2"/>
    <row r="7772" customFormat="1" x14ac:dyDescent="0.2"/>
    <row r="7773" customFormat="1" x14ac:dyDescent="0.2"/>
    <row r="7774" customFormat="1" x14ac:dyDescent="0.2"/>
    <row r="7775" customFormat="1" x14ac:dyDescent="0.2"/>
    <row r="7776" customFormat="1" x14ac:dyDescent="0.2"/>
    <row r="7777" customFormat="1" x14ac:dyDescent="0.2"/>
    <row r="7778" customFormat="1" x14ac:dyDescent="0.2"/>
    <row r="7779" customFormat="1" x14ac:dyDescent="0.2"/>
    <row r="7780" customFormat="1" x14ac:dyDescent="0.2"/>
    <row r="7781" customFormat="1" x14ac:dyDescent="0.2"/>
    <row r="7782" customFormat="1" x14ac:dyDescent="0.2"/>
    <row r="7783" customFormat="1" x14ac:dyDescent="0.2"/>
    <row r="7784" customFormat="1" x14ac:dyDescent="0.2"/>
    <row r="7785" customFormat="1" x14ac:dyDescent="0.2"/>
    <row r="7786" customFormat="1" x14ac:dyDescent="0.2"/>
    <row r="7787" customFormat="1" x14ac:dyDescent="0.2"/>
    <row r="7788" customFormat="1" x14ac:dyDescent="0.2"/>
    <row r="7789" customFormat="1" x14ac:dyDescent="0.2"/>
    <row r="7790" customFormat="1" x14ac:dyDescent="0.2"/>
    <row r="7791" customFormat="1" x14ac:dyDescent="0.2"/>
    <row r="7792" customFormat="1" x14ac:dyDescent="0.2"/>
    <row r="7793" customFormat="1" x14ac:dyDescent="0.2"/>
    <row r="7794" customFormat="1" x14ac:dyDescent="0.2"/>
    <row r="7795" customFormat="1" x14ac:dyDescent="0.2"/>
    <row r="7796" customFormat="1" x14ac:dyDescent="0.2"/>
    <row r="7797" customFormat="1" x14ac:dyDescent="0.2"/>
    <row r="7798" customFormat="1" x14ac:dyDescent="0.2"/>
    <row r="7799" customFormat="1" x14ac:dyDescent="0.2"/>
    <row r="7800" customFormat="1" x14ac:dyDescent="0.2"/>
    <row r="7801" customFormat="1" x14ac:dyDescent="0.2"/>
    <row r="7802" customFormat="1" x14ac:dyDescent="0.2"/>
    <row r="7803" customFormat="1" x14ac:dyDescent="0.2"/>
    <row r="7804" customFormat="1" x14ac:dyDescent="0.2"/>
    <row r="7805" customFormat="1" x14ac:dyDescent="0.2"/>
    <row r="7806" customFormat="1" x14ac:dyDescent="0.2"/>
    <row r="7807" customFormat="1" x14ac:dyDescent="0.2"/>
    <row r="7808" customFormat="1" x14ac:dyDescent="0.2"/>
    <row r="7809" customFormat="1" x14ac:dyDescent="0.2"/>
    <row r="7810" customFormat="1" x14ac:dyDescent="0.2"/>
    <row r="7811" customFormat="1" x14ac:dyDescent="0.2"/>
    <row r="7812" customFormat="1" x14ac:dyDescent="0.2"/>
    <row r="7813" customFormat="1" x14ac:dyDescent="0.2"/>
    <row r="7814" customFormat="1" x14ac:dyDescent="0.2"/>
    <row r="7815" customFormat="1" x14ac:dyDescent="0.2"/>
    <row r="7816" customFormat="1" x14ac:dyDescent="0.2"/>
    <row r="7817" customFormat="1" x14ac:dyDescent="0.2"/>
    <row r="7818" customFormat="1" x14ac:dyDescent="0.2"/>
    <row r="7819" customFormat="1" x14ac:dyDescent="0.2"/>
    <row r="7820" customFormat="1" x14ac:dyDescent="0.2"/>
    <row r="7821" customFormat="1" x14ac:dyDescent="0.2"/>
    <row r="7822" customFormat="1" x14ac:dyDescent="0.2"/>
    <row r="7823" customFormat="1" x14ac:dyDescent="0.2"/>
    <row r="7824" customFormat="1" x14ac:dyDescent="0.2"/>
    <row r="7825" customFormat="1" x14ac:dyDescent="0.2"/>
    <row r="7826" customFormat="1" x14ac:dyDescent="0.2"/>
    <row r="7827" customFormat="1" x14ac:dyDescent="0.2"/>
    <row r="7828" customFormat="1" x14ac:dyDescent="0.2"/>
    <row r="7829" customFormat="1" x14ac:dyDescent="0.2"/>
    <row r="7830" customFormat="1" x14ac:dyDescent="0.2"/>
    <row r="7831" customFormat="1" x14ac:dyDescent="0.2"/>
    <row r="7832" customFormat="1" x14ac:dyDescent="0.2"/>
    <row r="7833" customFormat="1" x14ac:dyDescent="0.2"/>
    <row r="7834" customFormat="1" x14ac:dyDescent="0.2"/>
    <row r="7835" customFormat="1" x14ac:dyDescent="0.2"/>
    <row r="7836" customFormat="1" x14ac:dyDescent="0.2"/>
    <row r="7837" customFormat="1" x14ac:dyDescent="0.2"/>
    <row r="7838" customFormat="1" x14ac:dyDescent="0.2"/>
    <row r="7839" customFormat="1" x14ac:dyDescent="0.2"/>
    <row r="7840" customFormat="1" x14ac:dyDescent="0.2"/>
    <row r="7841" customFormat="1" x14ac:dyDescent="0.2"/>
    <row r="7842" customFormat="1" x14ac:dyDescent="0.2"/>
    <row r="7843" customFormat="1" x14ac:dyDescent="0.2"/>
    <row r="7844" customFormat="1" x14ac:dyDescent="0.2"/>
    <row r="7845" customFormat="1" x14ac:dyDescent="0.2"/>
    <row r="7846" customFormat="1" x14ac:dyDescent="0.2"/>
    <row r="7847" customFormat="1" x14ac:dyDescent="0.2"/>
    <row r="7848" customFormat="1" x14ac:dyDescent="0.2"/>
    <row r="7849" customFormat="1" x14ac:dyDescent="0.2"/>
    <row r="7850" customFormat="1" x14ac:dyDescent="0.2"/>
    <row r="7851" customFormat="1" x14ac:dyDescent="0.2"/>
    <row r="7852" customFormat="1" x14ac:dyDescent="0.2"/>
    <row r="7853" customFormat="1" x14ac:dyDescent="0.2"/>
    <row r="7854" customFormat="1" x14ac:dyDescent="0.2"/>
    <row r="7855" customFormat="1" x14ac:dyDescent="0.2"/>
    <row r="7856" customFormat="1" x14ac:dyDescent="0.2"/>
    <row r="7857" customFormat="1" x14ac:dyDescent="0.2"/>
    <row r="7858" customFormat="1" x14ac:dyDescent="0.2"/>
    <row r="7859" customFormat="1" x14ac:dyDescent="0.2"/>
    <row r="7860" customFormat="1" x14ac:dyDescent="0.2"/>
    <row r="7861" customFormat="1" x14ac:dyDescent="0.2"/>
    <row r="7862" customFormat="1" x14ac:dyDescent="0.2"/>
    <row r="7863" customFormat="1" x14ac:dyDescent="0.2"/>
    <row r="7864" customFormat="1" x14ac:dyDescent="0.2"/>
    <row r="7865" customFormat="1" x14ac:dyDescent="0.2"/>
    <row r="7866" customFormat="1" x14ac:dyDescent="0.2"/>
    <row r="7867" customFormat="1" x14ac:dyDescent="0.2"/>
    <row r="7868" customFormat="1" x14ac:dyDescent="0.2"/>
    <row r="7869" customFormat="1" x14ac:dyDescent="0.2"/>
    <row r="7870" customFormat="1" x14ac:dyDescent="0.2"/>
    <row r="7871" customFormat="1" x14ac:dyDescent="0.2"/>
    <row r="7872" customFormat="1" x14ac:dyDescent="0.2"/>
    <row r="7873" customFormat="1" x14ac:dyDescent="0.2"/>
    <row r="7874" customFormat="1" x14ac:dyDescent="0.2"/>
    <row r="7875" customFormat="1" x14ac:dyDescent="0.2"/>
    <row r="7876" customFormat="1" x14ac:dyDescent="0.2"/>
    <row r="7877" customFormat="1" x14ac:dyDescent="0.2"/>
    <row r="7878" customFormat="1" x14ac:dyDescent="0.2"/>
    <row r="7879" customFormat="1" x14ac:dyDescent="0.2"/>
    <row r="7880" customFormat="1" x14ac:dyDescent="0.2"/>
    <row r="7881" customFormat="1" x14ac:dyDescent="0.2"/>
    <row r="7882" customFormat="1" x14ac:dyDescent="0.2"/>
    <row r="7883" customFormat="1" x14ac:dyDescent="0.2"/>
    <row r="7884" customFormat="1" x14ac:dyDescent="0.2"/>
    <row r="7885" customFormat="1" x14ac:dyDescent="0.2"/>
    <row r="7886" customFormat="1" x14ac:dyDescent="0.2"/>
    <row r="7887" customFormat="1" x14ac:dyDescent="0.2"/>
    <row r="7888" customFormat="1" x14ac:dyDescent="0.2"/>
    <row r="7889" customFormat="1" x14ac:dyDescent="0.2"/>
    <row r="7890" customFormat="1" x14ac:dyDescent="0.2"/>
    <row r="7891" customFormat="1" x14ac:dyDescent="0.2"/>
    <row r="7892" customFormat="1" x14ac:dyDescent="0.2"/>
    <row r="7893" customFormat="1" x14ac:dyDescent="0.2"/>
    <row r="7894" customFormat="1" x14ac:dyDescent="0.2"/>
    <row r="7895" customFormat="1" x14ac:dyDescent="0.2"/>
    <row r="7896" customFormat="1" x14ac:dyDescent="0.2"/>
    <row r="7897" customFormat="1" x14ac:dyDescent="0.2"/>
    <row r="7898" customFormat="1" x14ac:dyDescent="0.2"/>
    <row r="7899" customFormat="1" x14ac:dyDescent="0.2"/>
    <row r="7900" customFormat="1" x14ac:dyDescent="0.2"/>
    <row r="7901" customFormat="1" x14ac:dyDescent="0.2"/>
    <row r="7902" customFormat="1" x14ac:dyDescent="0.2"/>
    <row r="7903" customFormat="1" x14ac:dyDescent="0.2"/>
    <row r="7904" customFormat="1" x14ac:dyDescent="0.2"/>
    <row r="7905" customFormat="1" x14ac:dyDescent="0.2"/>
    <row r="7906" customFormat="1" x14ac:dyDescent="0.2"/>
    <row r="7907" customFormat="1" x14ac:dyDescent="0.2"/>
    <row r="7908" customFormat="1" x14ac:dyDescent="0.2"/>
    <row r="7909" customFormat="1" x14ac:dyDescent="0.2"/>
    <row r="7910" customFormat="1" x14ac:dyDescent="0.2"/>
    <row r="7911" customFormat="1" x14ac:dyDescent="0.2"/>
    <row r="7912" customFormat="1" x14ac:dyDescent="0.2"/>
    <row r="7913" customFormat="1" x14ac:dyDescent="0.2"/>
    <row r="7914" customFormat="1" x14ac:dyDescent="0.2"/>
    <row r="7915" customFormat="1" x14ac:dyDescent="0.2"/>
    <row r="7916" customFormat="1" x14ac:dyDescent="0.2"/>
    <row r="7917" customFormat="1" x14ac:dyDescent="0.2"/>
    <row r="7918" customFormat="1" x14ac:dyDescent="0.2"/>
    <row r="7919" customFormat="1" x14ac:dyDescent="0.2"/>
    <row r="7920" customFormat="1" x14ac:dyDescent="0.2"/>
    <row r="7921" customFormat="1" x14ac:dyDescent="0.2"/>
    <row r="7922" customFormat="1" x14ac:dyDescent="0.2"/>
    <row r="7923" customFormat="1" x14ac:dyDescent="0.2"/>
    <row r="7924" customFormat="1" x14ac:dyDescent="0.2"/>
    <row r="7925" customFormat="1" x14ac:dyDescent="0.2"/>
    <row r="7926" customFormat="1" x14ac:dyDescent="0.2"/>
    <row r="7927" customFormat="1" x14ac:dyDescent="0.2"/>
    <row r="7928" customFormat="1" x14ac:dyDescent="0.2"/>
    <row r="7929" customFormat="1" x14ac:dyDescent="0.2"/>
    <row r="7930" customFormat="1" x14ac:dyDescent="0.2"/>
    <row r="7931" customFormat="1" x14ac:dyDescent="0.2"/>
    <row r="7932" customFormat="1" x14ac:dyDescent="0.2"/>
    <row r="7933" customFormat="1" x14ac:dyDescent="0.2"/>
    <row r="7934" customFormat="1" x14ac:dyDescent="0.2"/>
    <row r="7935" customFormat="1" x14ac:dyDescent="0.2"/>
    <row r="7936" customFormat="1" x14ac:dyDescent="0.2"/>
    <row r="7937" customFormat="1" x14ac:dyDescent="0.2"/>
    <row r="7938" customFormat="1" x14ac:dyDescent="0.2"/>
    <row r="7939" customFormat="1" x14ac:dyDescent="0.2"/>
    <row r="7940" customFormat="1" x14ac:dyDescent="0.2"/>
    <row r="7941" customFormat="1" x14ac:dyDescent="0.2"/>
    <row r="7942" customFormat="1" x14ac:dyDescent="0.2"/>
    <row r="7943" customFormat="1" x14ac:dyDescent="0.2"/>
    <row r="7944" customFormat="1" x14ac:dyDescent="0.2"/>
    <row r="7945" customFormat="1" x14ac:dyDescent="0.2"/>
    <row r="7946" customFormat="1" x14ac:dyDescent="0.2"/>
    <row r="7947" customFormat="1" x14ac:dyDescent="0.2"/>
    <row r="7948" customFormat="1" x14ac:dyDescent="0.2"/>
    <row r="7949" customFormat="1" x14ac:dyDescent="0.2"/>
    <row r="7950" customFormat="1" x14ac:dyDescent="0.2"/>
    <row r="7951" customFormat="1" x14ac:dyDescent="0.2"/>
    <row r="7952" customFormat="1" x14ac:dyDescent="0.2"/>
    <row r="7953" customFormat="1" x14ac:dyDescent="0.2"/>
    <row r="7954" customFormat="1" x14ac:dyDescent="0.2"/>
    <row r="7955" customFormat="1" x14ac:dyDescent="0.2"/>
    <row r="7956" customFormat="1" x14ac:dyDescent="0.2"/>
    <row r="7957" customFormat="1" x14ac:dyDescent="0.2"/>
    <row r="7958" customFormat="1" x14ac:dyDescent="0.2"/>
    <row r="7959" customFormat="1" x14ac:dyDescent="0.2"/>
    <row r="7960" customFormat="1" x14ac:dyDescent="0.2"/>
    <row r="7961" customFormat="1" x14ac:dyDescent="0.2"/>
    <row r="7962" customFormat="1" x14ac:dyDescent="0.2"/>
    <row r="7963" customFormat="1" x14ac:dyDescent="0.2"/>
    <row r="7964" customFormat="1" x14ac:dyDescent="0.2"/>
    <row r="7965" customFormat="1" x14ac:dyDescent="0.2"/>
    <row r="7966" customFormat="1" x14ac:dyDescent="0.2"/>
    <row r="7967" customFormat="1" x14ac:dyDescent="0.2"/>
    <row r="7968" customFormat="1" x14ac:dyDescent="0.2"/>
    <row r="7969" customFormat="1" x14ac:dyDescent="0.2"/>
    <row r="7970" customFormat="1" x14ac:dyDescent="0.2"/>
    <row r="7971" customFormat="1" x14ac:dyDescent="0.2"/>
    <row r="7972" customFormat="1" x14ac:dyDescent="0.2"/>
    <row r="7973" customFormat="1" x14ac:dyDescent="0.2"/>
    <row r="7974" customFormat="1" x14ac:dyDescent="0.2"/>
    <row r="7975" customFormat="1" x14ac:dyDescent="0.2"/>
    <row r="7976" customFormat="1" x14ac:dyDescent="0.2"/>
    <row r="7977" customFormat="1" x14ac:dyDescent="0.2"/>
    <row r="7978" customFormat="1" x14ac:dyDescent="0.2"/>
    <row r="7979" customFormat="1" x14ac:dyDescent="0.2"/>
    <row r="7980" customFormat="1" x14ac:dyDescent="0.2"/>
    <row r="7981" customFormat="1" x14ac:dyDescent="0.2"/>
    <row r="7982" customFormat="1" x14ac:dyDescent="0.2"/>
    <row r="7983" customFormat="1" x14ac:dyDescent="0.2"/>
    <row r="7984" customFormat="1" x14ac:dyDescent="0.2"/>
    <row r="7985" customFormat="1" x14ac:dyDescent="0.2"/>
    <row r="7986" customFormat="1" x14ac:dyDescent="0.2"/>
    <row r="7987" customFormat="1" x14ac:dyDescent="0.2"/>
    <row r="7988" customFormat="1" x14ac:dyDescent="0.2"/>
    <row r="7989" customFormat="1" x14ac:dyDescent="0.2"/>
    <row r="7990" customFormat="1" x14ac:dyDescent="0.2"/>
    <row r="7991" customFormat="1" x14ac:dyDescent="0.2"/>
    <row r="7992" customFormat="1" x14ac:dyDescent="0.2"/>
    <row r="7993" customFormat="1" x14ac:dyDescent="0.2"/>
    <row r="7994" customFormat="1" x14ac:dyDescent="0.2"/>
    <row r="7995" customFormat="1" x14ac:dyDescent="0.2"/>
    <row r="7996" customFormat="1" x14ac:dyDescent="0.2"/>
    <row r="7997" customFormat="1" x14ac:dyDescent="0.2"/>
    <row r="7998" customFormat="1" x14ac:dyDescent="0.2"/>
    <row r="7999" customFormat="1" x14ac:dyDescent="0.2"/>
    <row r="8000" customFormat="1" x14ac:dyDescent="0.2"/>
    <row r="8001" customFormat="1" x14ac:dyDescent="0.2"/>
    <row r="8002" customFormat="1" x14ac:dyDescent="0.2"/>
    <row r="8003" customFormat="1" x14ac:dyDescent="0.2"/>
    <row r="8004" customFormat="1" x14ac:dyDescent="0.2"/>
    <row r="8005" customFormat="1" x14ac:dyDescent="0.2"/>
    <row r="8006" customFormat="1" x14ac:dyDescent="0.2"/>
    <row r="8007" customFormat="1" x14ac:dyDescent="0.2"/>
    <row r="8008" customFormat="1" x14ac:dyDescent="0.2"/>
    <row r="8009" customFormat="1" x14ac:dyDescent="0.2"/>
    <row r="8010" customFormat="1" x14ac:dyDescent="0.2"/>
    <row r="8011" customFormat="1" x14ac:dyDescent="0.2"/>
    <row r="8012" customFormat="1" x14ac:dyDescent="0.2"/>
    <row r="8013" customFormat="1" x14ac:dyDescent="0.2"/>
    <row r="8014" customFormat="1" x14ac:dyDescent="0.2"/>
    <row r="8015" customFormat="1" x14ac:dyDescent="0.2"/>
    <row r="8016" customFormat="1" x14ac:dyDescent="0.2"/>
    <row r="8017" customFormat="1" x14ac:dyDescent="0.2"/>
    <row r="8018" customFormat="1" x14ac:dyDescent="0.2"/>
    <row r="8019" customFormat="1" x14ac:dyDescent="0.2"/>
    <row r="8020" customFormat="1" x14ac:dyDescent="0.2"/>
    <row r="8021" customFormat="1" x14ac:dyDescent="0.2"/>
    <row r="8022" customFormat="1" x14ac:dyDescent="0.2"/>
    <row r="8023" customFormat="1" x14ac:dyDescent="0.2"/>
    <row r="8024" customFormat="1" x14ac:dyDescent="0.2"/>
    <row r="8025" customFormat="1" x14ac:dyDescent="0.2"/>
    <row r="8026" customFormat="1" x14ac:dyDescent="0.2"/>
    <row r="8027" customFormat="1" x14ac:dyDescent="0.2"/>
    <row r="8028" customFormat="1" x14ac:dyDescent="0.2"/>
    <row r="8029" customFormat="1" x14ac:dyDescent="0.2"/>
    <row r="8030" customFormat="1" x14ac:dyDescent="0.2"/>
    <row r="8031" customFormat="1" x14ac:dyDescent="0.2"/>
    <row r="8032" customFormat="1" x14ac:dyDescent="0.2"/>
    <row r="8033" customFormat="1" x14ac:dyDescent="0.2"/>
    <row r="8034" customFormat="1" x14ac:dyDescent="0.2"/>
    <row r="8035" customFormat="1" x14ac:dyDescent="0.2"/>
    <row r="8036" customFormat="1" x14ac:dyDescent="0.2"/>
    <row r="8037" customFormat="1" x14ac:dyDescent="0.2"/>
    <row r="8038" customFormat="1" x14ac:dyDescent="0.2"/>
    <row r="8039" customFormat="1" x14ac:dyDescent="0.2"/>
    <row r="8040" customFormat="1" x14ac:dyDescent="0.2"/>
    <row r="8041" customFormat="1" x14ac:dyDescent="0.2"/>
    <row r="8042" customFormat="1" x14ac:dyDescent="0.2"/>
    <row r="8043" customFormat="1" x14ac:dyDescent="0.2"/>
    <row r="8044" customFormat="1" x14ac:dyDescent="0.2"/>
    <row r="8045" customFormat="1" x14ac:dyDescent="0.2"/>
    <row r="8046" customFormat="1" x14ac:dyDescent="0.2"/>
    <row r="8047" customFormat="1" x14ac:dyDescent="0.2"/>
    <row r="8048" customFormat="1" x14ac:dyDescent="0.2"/>
    <row r="8049" customFormat="1" x14ac:dyDescent="0.2"/>
    <row r="8050" customFormat="1" x14ac:dyDescent="0.2"/>
    <row r="8051" customFormat="1" x14ac:dyDescent="0.2"/>
    <row r="8052" customFormat="1" x14ac:dyDescent="0.2"/>
    <row r="8053" customFormat="1" x14ac:dyDescent="0.2"/>
    <row r="8054" customFormat="1" x14ac:dyDescent="0.2"/>
    <row r="8055" customFormat="1" x14ac:dyDescent="0.2"/>
    <row r="8056" customFormat="1" x14ac:dyDescent="0.2"/>
    <row r="8057" customFormat="1" x14ac:dyDescent="0.2"/>
    <row r="8058" customFormat="1" x14ac:dyDescent="0.2"/>
    <row r="8059" customFormat="1" x14ac:dyDescent="0.2"/>
    <row r="8060" customFormat="1" x14ac:dyDescent="0.2"/>
    <row r="8061" customFormat="1" x14ac:dyDescent="0.2"/>
    <row r="8062" customFormat="1" x14ac:dyDescent="0.2"/>
    <row r="8063" customFormat="1" x14ac:dyDescent="0.2"/>
    <row r="8064" customFormat="1" x14ac:dyDescent="0.2"/>
    <row r="8065" customFormat="1" x14ac:dyDescent="0.2"/>
    <row r="8066" customFormat="1" x14ac:dyDescent="0.2"/>
    <row r="8067" customFormat="1" x14ac:dyDescent="0.2"/>
    <row r="8068" customFormat="1" x14ac:dyDescent="0.2"/>
    <row r="8069" customFormat="1" x14ac:dyDescent="0.2"/>
    <row r="8070" customFormat="1" x14ac:dyDescent="0.2"/>
    <row r="8071" customFormat="1" x14ac:dyDescent="0.2"/>
    <row r="8072" customFormat="1" x14ac:dyDescent="0.2"/>
    <row r="8073" customFormat="1" x14ac:dyDescent="0.2"/>
    <row r="8074" customFormat="1" x14ac:dyDescent="0.2"/>
    <row r="8075" customFormat="1" x14ac:dyDescent="0.2"/>
    <row r="8076" customFormat="1" x14ac:dyDescent="0.2"/>
    <row r="8077" customFormat="1" x14ac:dyDescent="0.2"/>
    <row r="8078" customFormat="1" x14ac:dyDescent="0.2"/>
    <row r="8079" customFormat="1" x14ac:dyDescent="0.2"/>
    <row r="8080" customFormat="1" x14ac:dyDescent="0.2"/>
    <row r="8081" customFormat="1" x14ac:dyDescent="0.2"/>
    <row r="8082" customFormat="1" x14ac:dyDescent="0.2"/>
    <row r="8083" customFormat="1" x14ac:dyDescent="0.2"/>
    <row r="8084" customFormat="1" x14ac:dyDescent="0.2"/>
    <row r="8085" customFormat="1" x14ac:dyDescent="0.2"/>
    <row r="8086" customFormat="1" x14ac:dyDescent="0.2"/>
    <row r="8087" customFormat="1" x14ac:dyDescent="0.2"/>
    <row r="8088" customFormat="1" x14ac:dyDescent="0.2"/>
    <row r="8089" customFormat="1" x14ac:dyDescent="0.2"/>
    <row r="8090" customFormat="1" x14ac:dyDescent="0.2"/>
    <row r="8091" customFormat="1" x14ac:dyDescent="0.2"/>
    <row r="8092" customFormat="1" x14ac:dyDescent="0.2"/>
    <row r="8093" customFormat="1" x14ac:dyDescent="0.2"/>
    <row r="8094" customFormat="1" x14ac:dyDescent="0.2"/>
    <row r="8095" customFormat="1" x14ac:dyDescent="0.2"/>
    <row r="8096" customFormat="1" x14ac:dyDescent="0.2"/>
    <row r="8097" customFormat="1" x14ac:dyDescent="0.2"/>
    <row r="8098" customFormat="1" x14ac:dyDescent="0.2"/>
    <row r="8099" customFormat="1" x14ac:dyDescent="0.2"/>
    <row r="8100" customFormat="1" x14ac:dyDescent="0.2"/>
    <row r="8101" customFormat="1" x14ac:dyDescent="0.2"/>
    <row r="8102" customFormat="1" x14ac:dyDescent="0.2"/>
    <row r="8103" customFormat="1" x14ac:dyDescent="0.2"/>
    <row r="8104" customFormat="1" x14ac:dyDescent="0.2"/>
    <row r="8105" customFormat="1" x14ac:dyDescent="0.2"/>
    <row r="8106" customFormat="1" x14ac:dyDescent="0.2"/>
    <row r="8107" customFormat="1" x14ac:dyDescent="0.2"/>
    <row r="8108" customFormat="1" x14ac:dyDescent="0.2"/>
    <row r="8109" customFormat="1" x14ac:dyDescent="0.2"/>
    <row r="8110" customFormat="1" x14ac:dyDescent="0.2"/>
    <row r="8111" customFormat="1" x14ac:dyDescent="0.2"/>
    <row r="8112" customFormat="1" x14ac:dyDescent="0.2"/>
    <row r="8113" customFormat="1" x14ac:dyDescent="0.2"/>
    <row r="8114" customFormat="1" x14ac:dyDescent="0.2"/>
    <row r="8115" customFormat="1" x14ac:dyDescent="0.2"/>
    <row r="8116" customFormat="1" x14ac:dyDescent="0.2"/>
    <row r="8117" customFormat="1" x14ac:dyDescent="0.2"/>
    <row r="8118" customFormat="1" x14ac:dyDescent="0.2"/>
    <row r="8119" customFormat="1" x14ac:dyDescent="0.2"/>
    <row r="8120" customFormat="1" x14ac:dyDescent="0.2"/>
    <row r="8121" customFormat="1" x14ac:dyDescent="0.2"/>
    <row r="8122" customFormat="1" x14ac:dyDescent="0.2"/>
    <row r="8123" customFormat="1" x14ac:dyDescent="0.2"/>
    <row r="8124" customFormat="1" x14ac:dyDescent="0.2"/>
    <row r="8125" customFormat="1" x14ac:dyDescent="0.2"/>
    <row r="8126" customFormat="1" x14ac:dyDescent="0.2"/>
    <row r="8127" customFormat="1" x14ac:dyDescent="0.2"/>
    <row r="8128" customFormat="1" x14ac:dyDescent="0.2"/>
    <row r="8129" customFormat="1" x14ac:dyDescent="0.2"/>
    <row r="8130" customFormat="1" x14ac:dyDescent="0.2"/>
    <row r="8131" customFormat="1" x14ac:dyDescent="0.2"/>
    <row r="8132" customFormat="1" x14ac:dyDescent="0.2"/>
    <row r="8133" customFormat="1" x14ac:dyDescent="0.2"/>
    <row r="8134" customFormat="1" x14ac:dyDescent="0.2"/>
    <row r="8135" customFormat="1" x14ac:dyDescent="0.2"/>
    <row r="8136" customFormat="1" x14ac:dyDescent="0.2"/>
    <row r="8137" customFormat="1" x14ac:dyDescent="0.2"/>
    <row r="8138" customFormat="1" x14ac:dyDescent="0.2"/>
    <row r="8139" customFormat="1" x14ac:dyDescent="0.2"/>
    <row r="8140" customFormat="1" x14ac:dyDescent="0.2"/>
    <row r="8141" customFormat="1" x14ac:dyDescent="0.2"/>
    <row r="8142" customFormat="1" x14ac:dyDescent="0.2"/>
    <row r="8143" customFormat="1" x14ac:dyDescent="0.2"/>
    <row r="8144" customFormat="1" x14ac:dyDescent="0.2"/>
    <row r="8145" customFormat="1" x14ac:dyDescent="0.2"/>
    <row r="8146" customFormat="1" x14ac:dyDescent="0.2"/>
    <row r="8147" customFormat="1" x14ac:dyDescent="0.2"/>
    <row r="8148" customFormat="1" x14ac:dyDescent="0.2"/>
    <row r="8149" customFormat="1" x14ac:dyDescent="0.2"/>
    <row r="8150" customFormat="1" x14ac:dyDescent="0.2"/>
    <row r="8151" customFormat="1" x14ac:dyDescent="0.2"/>
    <row r="8152" customFormat="1" x14ac:dyDescent="0.2"/>
    <row r="8153" customFormat="1" x14ac:dyDescent="0.2"/>
    <row r="8154" customFormat="1" x14ac:dyDescent="0.2"/>
    <row r="8155" customFormat="1" x14ac:dyDescent="0.2"/>
    <row r="8156" customFormat="1" x14ac:dyDescent="0.2"/>
    <row r="8157" customFormat="1" x14ac:dyDescent="0.2"/>
    <row r="8158" customFormat="1" x14ac:dyDescent="0.2"/>
    <row r="8159" customFormat="1" x14ac:dyDescent="0.2"/>
    <row r="8160" customFormat="1" x14ac:dyDescent="0.2"/>
    <row r="8161" customFormat="1" x14ac:dyDescent="0.2"/>
    <row r="8162" customFormat="1" x14ac:dyDescent="0.2"/>
    <row r="8163" customFormat="1" x14ac:dyDescent="0.2"/>
    <row r="8164" customFormat="1" x14ac:dyDescent="0.2"/>
    <row r="8165" customFormat="1" x14ac:dyDescent="0.2"/>
    <row r="8166" customFormat="1" x14ac:dyDescent="0.2"/>
    <row r="8167" customFormat="1" x14ac:dyDescent="0.2"/>
    <row r="8168" customFormat="1" x14ac:dyDescent="0.2"/>
    <row r="8169" customFormat="1" x14ac:dyDescent="0.2"/>
    <row r="8170" customFormat="1" x14ac:dyDescent="0.2"/>
    <row r="8171" customFormat="1" x14ac:dyDescent="0.2"/>
    <row r="8172" customFormat="1" x14ac:dyDescent="0.2"/>
    <row r="8173" customFormat="1" x14ac:dyDescent="0.2"/>
    <row r="8174" customFormat="1" x14ac:dyDescent="0.2"/>
    <row r="8175" customFormat="1" x14ac:dyDescent="0.2"/>
    <row r="8176" customFormat="1" x14ac:dyDescent="0.2"/>
    <row r="8177" customFormat="1" x14ac:dyDescent="0.2"/>
    <row r="8178" customFormat="1" x14ac:dyDescent="0.2"/>
    <row r="8179" customFormat="1" x14ac:dyDescent="0.2"/>
    <row r="8180" customFormat="1" x14ac:dyDescent="0.2"/>
    <row r="8181" customFormat="1" x14ac:dyDescent="0.2"/>
    <row r="8182" customFormat="1" x14ac:dyDescent="0.2"/>
    <row r="8183" customFormat="1" x14ac:dyDescent="0.2"/>
    <row r="8184" customFormat="1" x14ac:dyDescent="0.2"/>
    <row r="8185" customFormat="1" x14ac:dyDescent="0.2"/>
    <row r="8186" customFormat="1" x14ac:dyDescent="0.2"/>
    <row r="8187" customFormat="1" x14ac:dyDescent="0.2"/>
    <row r="8188" customFormat="1" x14ac:dyDescent="0.2"/>
    <row r="8189" customFormat="1" x14ac:dyDescent="0.2"/>
    <row r="8190" customFormat="1" x14ac:dyDescent="0.2"/>
    <row r="8191" customFormat="1" x14ac:dyDescent="0.2"/>
    <row r="8192" customFormat="1" x14ac:dyDescent="0.2"/>
    <row r="8193" customFormat="1" x14ac:dyDescent="0.2"/>
    <row r="8194" customFormat="1" x14ac:dyDescent="0.2"/>
    <row r="8195" customFormat="1" x14ac:dyDescent="0.2"/>
    <row r="8196" customFormat="1" x14ac:dyDescent="0.2"/>
    <row r="8197" customFormat="1" x14ac:dyDescent="0.2"/>
    <row r="8198" customFormat="1" x14ac:dyDescent="0.2"/>
    <row r="8199" customFormat="1" x14ac:dyDescent="0.2"/>
    <row r="8200" customFormat="1" x14ac:dyDescent="0.2"/>
    <row r="8201" customFormat="1" x14ac:dyDescent="0.2"/>
    <row r="8202" customFormat="1" x14ac:dyDescent="0.2"/>
    <row r="8203" customFormat="1" x14ac:dyDescent="0.2"/>
    <row r="8204" customFormat="1" x14ac:dyDescent="0.2"/>
    <row r="8205" customFormat="1" x14ac:dyDescent="0.2"/>
    <row r="8206" customFormat="1" x14ac:dyDescent="0.2"/>
    <row r="8207" customFormat="1" x14ac:dyDescent="0.2"/>
    <row r="8208" customFormat="1" x14ac:dyDescent="0.2"/>
    <row r="8209" customFormat="1" x14ac:dyDescent="0.2"/>
    <row r="8210" customFormat="1" x14ac:dyDescent="0.2"/>
    <row r="8211" customFormat="1" x14ac:dyDescent="0.2"/>
    <row r="8212" customFormat="1" x14ac:dyDescent="0.2"/>
    <row r="8213" customFormat="1" x14ac:dyDescent="0.2"/>
    <row r="8214" customFormat="1" x14ac:dyDescent="0.2"/>
    <row r="8215" customFormat="1" x14ac:dyDescent="0.2"/>
    <row r="8216" customFormat="1" x14ac:dyDescent="0.2"/>
    <row r="8217" customFormat="1" x14ac:dyDescent="0.2"/>
    <row r="8218" customFormat="1" x14ac:dyDescent="0.2"/>
    <row r="8219" customFormat="1" x14ac:dyDescent="0.2"/>
    <row r="8220" customFormat="1" x14ac:dyDescent="0.2"/>
    <row r="8221" customFormat="1" x14ac:dyDescent="0.2"/>
    <row r="8222" customFormat="1" x14ac:dyDescent="0.2"/>
    <row r="8223" customFormat="1" x14ac:dyDescent="0.2"/>
    <row r="8224" customFormat="1" x14ac:dyDescent="0.2"/>
    <row r="8225" customFormat="1" x14ac:dyDescent="0.2"/>
    <row r="8226" customFormat="1" x14ac:dyDescent="0.2"/>
    <row r="8227" customFormat="1" x14ac:dyDescent="0.2"/>
    <row r="8228" customFormat="1" x14ac:dyDescent="0.2"/>
    <row r="8229" customFormat="1" x14ac:dyDescent="0.2"/>
    <row r="8230" customFormat="1" x14ac:dyDescent="0.2"/>
    <row r="8231" customFormat="1" x14ac:dyDescent="0.2"/>
    <row r="8232" customFormat="1" x14ac:dyDescent="0.2"/>
    <row r="8233" customFormat="1" x14ac:dyDescent="0.2"/>
    <row r="8234" customFormat="1" x14ac:dyDescent="0.2"/>
    <row r="8235" customFormat="1" x14ac:dyDescent="0.2"/>
    <row r="8236" customFormat="1" x14ac:dyDescent="0.2"/>
    <row r="8237" customFormat="1" x14ac:dyDescent="0.2"/>
    <row r="8238" customFormat="1" x14ac:dyDescent="0.2"/>
    <row r="8239" customFormat="1" x14ac:dyDescent="0.2"/>
    <row r="8240" customFormat="1" x14ac:dyDescent="0.2"/>
    <row r="8241" customFormat="1" x14ac:dyDescent="0.2"/>
    <row r="8242" customFormat="1" x14ac:dyDescent="0.2"/>
    <row r="8243" customFormat="1" x14ac:dyDescent="0.2"/>
    <row r="8244" customFormat="1" x14ac:dyDescent="0.2"/>
    <row r="8245" customFormat="1" x14ac:dyDescent="0.2"/>
    <row r="8246" customFormat="1" x14ac:dyDescent="0.2"/>
    <row r="8247" customFormat="1" x14ac:dyDescent="0.2"/>
    <row r="8248" customFormat="1" x14ac:dyDescent="0.2"/>
    <row r="8249" customFormat="1" x14ac:dyDescent="0.2"/>
    <row r="8250" customFormat="1" x14ac:dyDescent="0.2"/>
    <row r="8251" customFormat="1" x14ac:dyDescent="0.2"/>
    <row r="8252" customFormat="1" x14ac:dyDescent="0.2"/>
    <row r="8253" customFormat="1" x14ac:dyDescent="0.2"/>
    <row r="8254" customFormat="1" x14ac:dyDescent="0.2"/>
    <row r="8255" customFormat="1" x14ac:dyDescent="0.2"/>
    <row r="8256" customFormat="1" x14ac:dyDescent="0.2"/>
    <row r="8257" customFormat="1" x14ac:dyDescent="0.2"/>
    <row r="8258" customFormat="1" x14ac:dyDescent="0.2"/>
    <row r="8259" customFormat="1" x14ac:dyDescent="0.2"/>
    <row r="8260" customFormat="1" x14ac:dyDescent="0.2"/>
    <row r="8261" customFormat="1" x14ac:dyDescent="0.2"/>
    <row r="8262" customFormat="1" x14ac:dyDescent="0.2"/>
    <row r="8263" customFormat="1" x14ac:dyDescent="0.2"/>
    <row r="8264" customFormat="1" x14ac:dyDescent="0.2"/>
    <row r="8265" customFormat="1" x14ac:dyDescent="0.2"/>
    <row r="8266" customFormat="1" x14ac:dyDescent="0.2"/>
    <row r="8267" customFormat="1" x14ac:dyDescent="0.2"/>
    <row r="8268" customFormat="1" x14ac:dyDescent="0.2"/>
    <row r="8269" customFormat="1" x14ac:dyDescent="0.2"/>
    <row r="8270" customFormat="1" x14ac:dyDescent="0.2"/>
    <row r="8271" customFormat="1" x14ac:dyDescent="0.2"/>
    <row r="8272" customFormat="1" x14ac:dyDescent="0.2"/>
    <row r="8273" customFormat="1" x14ac:dyDescent="0.2"/>
    <row r="8274" customFormat="1" x14ac:dyDescent="0.2"/>
    <row r="8275" customFormat="1" x14ac:dyDescent="0.2"/>
    <row r="8276" customFormat="1" x14ac:dyDescent="0.2"/>
    <row r="8277" customFormat="1" x14ac:dyDescent="0.2"/>
    <row r="8278" customFormat="1" x14ac:dyDescent="0.2"/>
    <row r="8279" customFormat="1" x14ac:dyDescent="0.2"/>
    <row r="8280" customFormat="1" x14ac:dyDescent="0.2"/>
    <row r="8281" customFormat="1" x14ac:dyDescent="0.2"/>
    <row r="8282" customFormat="1" x14ac:dyDescent="0.2"/>
    <row r="8283" customFormat="1" x14ac:dyDescent="0.2"/>
    <row r="8284" customFormat="1" x14ac:dyDescent="0.2"/>
    <row r="8285" customFormat="1" x14ac:dyDescent="0.2"/>
    <row r="8286" customFormat="1" x14ac:dyDescent="0.2"/>
    <row r="8287" customFormat="1" x14ac:dyDescent="0.2"/>
    <row r="8288" customFormat="1" x14ac:dyDescent="0.2"/>
    <row r="8289" customFormat="1" x14ac:dyDescent="0.2"/>
    <row r="8290" customFormat="1" x14ac:dyDescent="0.2"/>
    <row r="8291" customFormat="1" x14ac:dyDescent="0.2"/>
    <row r="8292" customFormat="1" x14ac:dyDescent="0.2"/>
    <row r="8293" customFormat="1" x14ac:dyDescent="0.2"/>
    <row r="8294" customFormat="1" x14ac:dyDescent="0.2"/>
    <row r="8295" customFormat="1" x14ac:dyDescent="0.2"/>
    <row r="8296" customFormat="1" x14ac:dyDescent="0.2"/>
    <row r="8297" customFormat="1" x14ac:dyDescent="0.2"/>
    <row r="8298" customFormat="1" x14ac:dyDescent="0.2"/>
    <row r="8299" customFormat="1" x14ac:dyDescent="0.2"/>
    <row r="8300" customFormat="1" x14ac:dyDescent="0.2"/>
    <row r="8301" customFormat="1" x14ac:dyDescent="0.2"/>
    <row r="8302" customFormat="1" x14ac:dyDescent="0.2"/>
    <row r="8303" customFormat="1" x14ac:dyDescent="0.2"/>
    <row r="8304" customFormat="1" x14ac:dyDescent="0.2"/>
    <row r="8305" customFormat="1" x14ac:dyDescent="0.2"/>
    <row r="8306" customFormat="1" x14ac:dyDescent="0.2"/>
    <row r="8307" customFormat="1" x14ac:dyDescent="0.2"/>
    <row r="8308" customFormat="1" x14ac:dyDescent="0.2"/>
    <row r="8309" customFormat="1" x14ac:dyDescent="0.2"/>
    <row r="8310" customFormat="1" x14ac:dyDescent="0.2"/>
    <row r="8311" customFormat="1" x14ac:dyDescent="0.2"/>
    <row r="8312" customFormat="1" x14ac:dyDescent="0.2"/>
    <row r="8313" customFormat="1" x14ac:dyDescent="0.2"/>
    <row r="8314" customFormat="1" x14ac:dyDescent="0.2"/>
    <row r="8315" customFormat="1" x14ac:dyDescent="0.2"/>
    <row r="8316" customFormat="1" x14ac:dyDescent="0.2"/>
    <row r="8317" customFormat="1" x14ac:dyDescent="0.2"/>
    <row r="8318" customFormat="1" x14ac:dyDescent="0.2"/>
    <row r="8319" customFormat="1" x14ac:dyDescent="0.2"/>
    <row r="8320" customFormat="1" x14ac:dyDescent="0.2"/>
    <row r="8321" customFormat="1" x14ac:dyDescent="0.2"/>
    <row r="8322" customFormat="1" x14ac:dyDescent="0.2"/>
    <row r="8323" customFormat="1" x14ac:dyDescent="0.2"/>
    <row r="8324" customFormat="1" x14ac:dyDescent="0.2"/>
    <row r="8325" customFormat="1" x14ac:dyDescent="0.2"/>
    <row r="8326" customFormat="1" x14ac:dyDescent="0.2"/>
    <row r="8327" customFormat="1" x14ac:dyDescent="0.2"/>
    <row r="8328" customFormat="1" x14ac:dyDescent="0.2"/>
    <row r="8329" customFormat="1" x14ac:dyDescent="0.2"/>
    <row r="8330" customFormat="1" x14ac:dyDescent="0.2"/>
    <row r="8331" customFormat="1" x14ac:dyDescent="0.2"/>
    <row r="8332" customFormat="1" x14ac:dyDescent="0.2"/>
    <row r="8333" customFormat="1" x14ac:dyDescent="0.2"/>
    <row r="8334" customFormat="1" x14ac:dyDescent="0.2"/>
    <row r="8335" customFormat="1" x14ac:dyDescent="0.2"/>
    <row r="8336" customFormat="1" x14ac:dyDescent="0.2"/>
    <row r="8337" customFormat="1" x14ac:dyDescent="0.2"/>
    <row r="8338" customFormat="1" x14ac:dyDescent="0.2"/>
    <row r="8339" customFormat="1" x14ac:dyDescent="0.2"/>
    <row r="8340" customFormat="1" x14ac:dyDescent="0.2"/>
    <row r="8341" customFormat="1" x14ac:dyDescent="0.2"/>
    <row r="8342" customFormat="1" x14ac:dyDescent="0.2"/>
    <row r="8343" customFormat="1" x14ac:dyDescent="0.2"/>
    <row r="8344" customFormat="1" x14ac:dyDescent="0.2"/>
    <row r="8345" customFormat="1" x14ac:dyDescent="0.2"/>
    <row r="8346" customFormat="1" x14ac:dyDescent="0.2"/>
    <row r="8347" customFormat="1" x14ac:dyDescent="0.2"/>
    <row r="8348" customFormat="1" x14ac:dyDescent="0.2"/>
    <row r="8349" customFormat="1" x14ac:dyDescent="0.2"/>
    <row r="8350" customFormat="1" x14ac:dyDescent="0.2"/>
    <row r="8351" customFormat="1" x14ac:dyDescent="0.2"/>
    <row r="8352" customFormat="1" x14ac:dyDescent="0.2"/>
    <row r="8353" customFormat="1" x14ac:dyDescent="0.2"/>
    <row r="8354" customFormat="1" x14ac:dyDescent="0.2"/>
    <row r="8355" customFormat="1" x14ac:dyDescent="0.2"/>
    <row r="8356" customFormat="1" x14ac:dyDescent="0.2"/>
    <row r="8357" customFormat="1" x14ac:dyDescent="0.2"/>
    <row r="8358" customFormat="1" x14ac:dyDescent="0.2"/>
    <row r="8359" customFormat="1" x14ac:dyDescent="0.2"/>
    <row r="8360" customFormat="1" x14ac:dyDescent="0.2"/>
    <row r="8361" customFormat="1" x14ac:dyDescent="0.2"/>
    <row r="8362" customFormat="1" x14ac:dyDescent="0.2"/>
    <row r="8363" customFormat="1" x14ac:dyDescent="0.2"/>
    <row r="8364" customFormat="1" x14ac:dyDescent="0.2"/>
    <row r="8365" customFormat="1" x14ac:dyDescent="0.2"/>
    <row r="8366" customFormat="1" x14ac:dyDescent="0.2"/>
    <row r="8367" customFormat="1" x14ac:dyDescent="0.2"/>
    <row r="8368" customFormat="1" x14ac:dyDescent="0.2"/>
    <row r="8369" customFormat="1" x14ac:dyDescent="0.2"/>
    <row r="8370" customFormat="1" x14ac:dyDescent="0.2"/>
    <row r="8371" customFormat="1" x14ac:dyDescent="0.2"/>
    <row r="8372" customFormat="1" x14ac:dyDescent="0.2"/>
    <row r="8373" customFormat="1" x14ac:dyDescent="0.2"/>
    <row r="8374" customFormat="1" x14ac:dyDescent="0.2"/>
    <row r="8375" customFormat="1" x14ac:dyDescent="0.2"/>
    <row r="8376" customFormat="1" x14ac:dyDescent="0.2"/>
    <row r="8377" customFormat="1" x14ac:dyDescent="0.2"/>
    <row r="8378" customFormat="1" x14ac:dyDescent="0.2"/>
    <row r="8379" customFormat="1" x14ac:dyDescent="0.2"/>
    <row r="8380" customFormat="1" x14ac:dyDescent="0.2"/>
    <row r="8381" customFormat="1" x14ac:dyDescent="0.2"/>
    <row r="8382" customFormat="1" x14ac:dyDescent="0.2"/>
    <row r="8383" customFormat="1" x14ac:dyDescent="0.2"/>
    <row r="8384" customFormat="1" x14ac:dyDescent="0.2"/>
    <row r="8385" customFormat="1" x14ac:dyDescent="0.2"/>
    <row r="8386" customFormat="1" x14ac:dyDescent="0.2"/>
    <row r="8387" customFormat="1" x14ac:dyDescent="0.2"/>
    <row r="8388" customFormat="1" x14ac:dyDescent="0.2"/>
    <row r="8389" customFormat="1" x14ac:dyDescent="0.2"/>
    <row r="8390" customFormat="1" x14ac:dyDescent="0.2"/>
    <row r="8391" customFormat="1" x14ac:dyDescent="0.2"/>
    <row r="8392" customFormat="1" x14ac:dyDescent="0.2"/>
    <row r="8393" customFormat="1" x14ac:dyDescent="0.2"/>
    <row r="8394" customFormat="1" x14ac:dyDescent="0.2"/>
    <row r="8395" customFormat="1" x14ac:dyDescent="0.2"/>
    <row r="8396" customFormat="1" x14ac:dyDescent="0.2"/>
    <row r="8397" customFormat="1" x14ac:dyDescent="0.2"/>
    <row r="8398" customFormat="1" x14ac:dyDescent="0.2"/>
    <row r="8399" customFormat="1" x14ac:dyDescent="0.2"/>
    <row r="8400" customFormat="1" x14ac:dyDescent="0.2"/>
    <row r="8401" customFormat="1" x14ac:dyDescent="0.2"/>
    <row r="8402" customFormat="1" x14ac:dyDescent="0.2"/>
    <row r="8403" customFormat="1" x14ac:dyDescent="0.2"/>
    <row r="8404" customFormat="1" x14ac:dyDescent="0.2"/>
    <row r="8405" customFormat="1" x14ac:dyDescent="0.2"/>
    <row r="8406" customFormat="1" x14ac:dyDescent="0.2"/>
    <row r="8407" customFormat="1" x14ac:dyDescent="0.2"/>
    <row r="8408" customFormat="1" x14ac:dyDescent="0.2"/>
    <row r="8409" customFormat="1" x14ac:dyDescent="0.2"/>
    <row r="8410" customFormat="1" x14ac:dyDescent="0.2"/>
    <row r="8411" customFormat="1" x14ac:dyDescent="0.2"/>
    <row r="8412" customFormat="1" x14ac:dyDescent="0.2"/>
    <row r="8413" customFormat="1" x14ac:dyDescent="0.2"/>
    <row r="8414" customFormat="1" x14ac:dyDescent="0.2"/>
    <row r="8415" customFormat="1" x14ac:dyDescent="0.2"/>
    <row r="8416" customFormat="1" x14ac:dyDescent="0.2"/>
    <row r="8417" customFormat="1" x14ac:dyDescent="0.2"/>
    <row r="8418" customFormat="1" x14ac:dyDescent="0.2"/>
    <row r="8419" customFormat="1" x14ac:dyDescent="0.2"/>
    <row r="8420" customFormat="1" x14ac:dyDescent="0.2"/>
    <row r="8421" customFormat="1" x14ac:dyDescent="0.2"/>
    <row r="8422" customFormat="1" x14ac:dyDescent="0.2"/>
    <row r="8423" customFormat="1" x14ac:dyDescent="0.2"/>
    <row r="8424" customFormat="1" x14ac:dyDescent="0.2"/>
    <row r="8425" customFormat="1" x14ac:dyDescent="0.2"/>
    <row r="8426" customFormat="1" x14ac:dyDescent="0.2"/>
    <row r="8427" customFormat="1" x14ac:dyDescent="0.2"/>
    <row r="8428" customFormat="1" x14ac:dyDescent="0.2"/>
    <row r="8429" customFormat="1" x14ac:dyDescent="0.2"/>
    <row r="8430" customFormat="1" x14ac:dyDescent="0.2"/>
    <row r="8431" customFormat="1" x14ac:dyDescent="0.2"/>
    <row r="8432" customFormat="1" x14ac:dyDescent="0.2"/>
    <row r="8433" customFormat="1" x14ac:dyDescent="0.2"/>
    <row r="8434" customFormat="1" x14ac:dyDescent="0.2"/>
    <row r="8435" customFormat="1" x14ac:dyDescent="0.2"/>
    <row r="8436" customFormat="1" x14ac:dyDescent="0.2"/>
    <row r="8437" customFormat="1" x14ac:dyDescent="0.2"/>
    <row r="8438" customFormat="1" x14ac:dyDescent="0.2"/>
    <row r="8439" customFormat="1" x14ac:dyDescent="0.2"/>
    <row r="8440" customFormat="1" x14ac:dyDescent="0.2"/>
    <row r="8441" customFormat="1" x14ac:dyDescent="0.2"/>
    <row r="8442" customFormat="1" x14ac:dyDescent="0.2"/>
    <row r="8443" customFormat="1" x14ac:dyDescent="0.2"/>
    <row r="8444" customFormat="1" x14ac:dyDescent="0.2"/>
    <row r="8445" customFormat="1" x14ac:dyDescent="0.2"/>
    <row r="8446" customFormat="1" x14ac:dyDescent="0.2"/>
    <row r="8447" customFormat="1" x14ac:dyDescent="0.2"/>
    <row r="8448" customFormat="1" x14ac:dyDescent="0.2"/>
    <row r="8449" customFormat="1" x14ac:dyDescent="0.2"/>
    <row r="8450" customFormat="1" x14ac:dyDescent="0.2"/>
    <row r="8451" customFormat="1" x14ac:dyDescent="0.2"/>
    <row r="8452" customFormat="1" x14ac:dyDescent="0.2"/>
    <row r="8453" customFormat="1" x14ac:dyDescent="0.2"/>
    <row r="8454" customFormat="1" x14ac:dyDescent="0.2"/>
    <row r="8455" customFormat="1" x14ac:dyDescent="0.2"/>
    <row r="8456" customFormat="1" x14ac:dyDescent="0.2"/>
    <row r="8457" customFormat="1" x14ac:dyDescent="0.2"/>
    <row r="8458" customFormat="1" x14ac:dyDescent="0.2"/>
    <row r="8459" customFormat="1" x14ac:dyDescent="0.2"/>
    <row r="8460" customFormat="1" x14ac:dyDescent="0.2"/>
    <row r="8461" customFormat="1" x14ac:dyDescent="0.2"/>
    <row r="8462" customFormat="1" x14ac:dyDescent="0.2"/>
    <row r="8463" customFormat="1" x14ac:dyDescent="0.2"/>
    <row r="8464" customFormat="1" x14ac:dyDescent="0.2"/>
    <row r="8465" customFormat="1" x14ac:dyDescent="0.2"/>
    <row r="8466" customFormat="1" x14ac:dyDescent="0.2"/>
    <row r="8467" customFormat="1" x14ac:dyDescent="0.2"/>
    <row r="8468" customFormat="1" x14ac:dyDescent="0.2"/>
    <row r="8469" customFormat="1" x14ac:dyDescent="0.2"/>
    <row r="8470" customFormat="1" x14ac:dyDescent="0.2"/>
    <row r="8471" customFormat="1" x14ac:dyDescent="0.2"/>
    <row r="8472" customFormat="1" x14ac:dyDescent="0.2"/>
    <row r="8473" customFormat="1" x14ac:dyDescent="0.2"/>
    <row r="8474" customFormat="1" x14ac:dyDescent="0.2"/>
    <row r="8475" customFormat="1" x14ac:dyDescent="0.2"/>
    <row r="8476" customFormat="1" x14ac:dyDescent="0.2"/>
    <row r="8477" customFormat="1" x14ac:dyDescent="0.2"/>
    <row r="8478" customFormat="1" x14ac:dyDescent="0.2"/>
    <row r="8479" customFormat="1" x14ac:dyDescent="0.2"/>
    <row r="8480" customFormat="1" x14ac:dyDescent="0.2"/>
    <row r="8481" customFormat="1" x14ac:dyDescent="0.2"/>
    <row r="8482" customFormat="1" x14ac:dyDescent="0.2"/>
    <row r="8483" customFormat="1" x14ac:dyDescent="0.2"/>
    <row r="8484" customFormat="1" x14ac:dyDescent="0.2"/>
    <row r="8485" customFormat="1" x14ac:dyDescent="0.2"/>
    <row r="8486" customFormat="1" x14ac:dyDescent="0.2"/>
    <row r="8487" customFormat="1" x14ac:dyDescent="0.2"/>
    <row r="8488" customFormat="1" x14ac:dyDescent="0.2"/>
    <row r="8489" customFormat="1" x14ac:dyDescent="0.2"/>
    <row r="8490" customFormat="1" x14ac:dyDescent="0.2"/>
    <row r="8491" customFormat="1" x14ac:dyDescent="0.2"/>
    <row r="8492" customFormat="1" x14ac:dyDescent="0.2"/>
    <row r="8493" customFormat="1" x14ac:dyDescent="0.2"/>
    <row r="8494" customFormat="1" x14ac:dyDescent="0.2"/>
    <row r="8495" customFormat="1" x14ac:dyDescent="0.2"/>
    <row r="8496" customFormat="1" x14ac:dyDescent="0.2"/>
    <row r="8497" customFormat="1" x14ac:dyDescent="0.2"/>
    <row r="8498" customFormat="1" x14ac:dyDescent="0.2"/>
    <row r="8499" customFormat="1" x14ac:dyDescent="0.2"/>
    <row r="8500" customFormat="1" x14ac:dyDescent="0.2"/>
    <row r="8501" customFormat="1" x14ac:dyDescent="0.2"/>
    <row r="8502" customFormat="1" x14ac:dyDescent="0.2"/>
    <row r="8503" customFormat="1" x14ac:dyDescent="0.2"/>
    <row r="8504" customFormat="1" x14ac:dyDescent="0.2"/>
    <row r="8505" customFormat="1" x14ac:dyDescent="0.2"/>
    <row r="8506" customFormat="1" x14ac:dyDescent="0.2"/>
    <row r="8507" customFormat="1" x14ac:dyDescent="0.2"/>
    <row r="8508" customFormat="1" x14ac:dyDescent="0.2"/>
    <row r="8509" customFormat="1" x14ac:dyDescent="0.2"/>
    <row r="8510" customFormat="1" x14ac:dyDescent="0.2"/>
    <row r="8511" customFormat="1" x14ac:dyDescent="0.2"/>
    <row r="8512" customFormat="1" x14ac:dyDescent="0.2"/>
    <row r="8513" customFormat="1" x14ac:dyDescent="0.2"/>
    <row r="8514" customFormat="1" x14ac:dyDescent="0.2"/>
    <row r="8515" customFormat="1" x14ac:dyDescent="0.2"/>
    <row r="8516" customFormat="1" x14ac:dyDescent="0.2"/>
    <row r="8517" customFormat="1" x14ac:dyDescent="0.2"/>
    <row r="8518" customFormat="1" x14ac:dyDescent="0.2"/>
    <row r="8519" customFormat="1" x14ac:dyDescent="0.2"/>
    <row r="8520" customFormat="1" x14ac:dyDescent="0.2"/>
    <row r="8521" customFormat="1" x14ac:dyDescent="0.2"/>
    <row r="8522" customFormat="1" x14ac:dyDescent="0.2"/>
    <row r="8523" customFormat="1" x14ac:dyDescent="0.2"/>
    <row r="8524" customFormat="1" x14ac:dyDescent="0.2"/>
    <row r="8525" customFormat="1" x14ac:dyDescent="0.2"/>
    <row r="8526" customFormat="1" x14ac:dyDescent="0.2"/>
    <row r="8527" customFormat="1" x14ac:dyDescent="0.2"/>
    <row r="8528" customFormat="1" x14ac:dyDescent="0.2"/>
    <row r="8529" customFormat="1" x14ac:dyDescent="0.2"/>
    <row r="8530" customFormat="1" x14ac:dyDescent="0.2"/>
    <row r="8531" customFormat="1" x14ac:dyDescent="0.2"/>
    <row r="8532" customFormat="1" x14ac:dyDescent="0.2"/>
    <row r="8533" customFormat="1" x14ac:dyDescent="0.2"/>
    <row r="8534" customFormat="1" x14ac:dyDescent="0.2"/>
    <row r="8535" customFormat="1" x14ac:dyDescent="0.2"/>
    <row r="8536" customFormat="1" x14ac:dyDescent="0.2"/>
    <row r="8537" customFormat="1" x14ac:dyDescent="0.2"/>
    <row r="8538" customFormat="1" x14ac:dyDescent="0.2"/>
    <row r="8539" customFormat="1" x14ac:dyDescent="0.2"/>
    <row r="8540" customFormat="1" x14ac:dyDescent="0.2"/>
    <row r="8541" customFormat="1" x14ac:dyDescent="0.2"/>
    <row r="8542" customFormat="1" x14ac:dyDescent="0.2"/>
    <row r="8543" customFormat="1" x14ac:dyDescent="0.2"/>
    <row r="8544" customFormat="1" x14ac:dyDescent="0.2"/>
    <row r="8545" customFormat="1" x14ac:dyDescent="0.2"/>
    <row r="8546" customFormat="1" x14ac:dyDescent="0.2"/>
    <row r="8547" customFormat="1" x14ac:dyDescent="0.2"/>
    <row r="8548" customFormat="1" x14ac:dyDescent="0.2"/>
    <row r="8549" customFormat="1" x14ac:dyDescent="0.2"/>
    <row r="8550" customFormat="1" x14ac:dyDescent="0.2"/>
    <row r="8551" customFormat="1" x14ac:dyDescent="0.2"/>
    <row r="8552" customFormat="1" x14ac:dyDescent="0.2"/>
    <row r="8553" customFormat="1" x14ac:dyDescent="0.2"/>
    <row r="8554" customFormat="1" x14ac:dyDescent="0.2"/>
    <row r="8555" customFormat="1" x14ac:dyDescent="0.2"/>
    <row r="8556" customFormat="1" x14ac:dyDescent="0.2"/>
    <row r="8557" customFormat="1" x14ac:dyDescent="0.2"/>
    <row r="8558" customFormat="1" x14ac:dyDescent="0.2"/>
    <row r="8559" customFormat="1" x14ac:dyDescent="0.2"/>
    <row r="8560" customFormat="1" x14ac:dyDescent="0.2"/>
    <row r="8561" customFormat="1" x14ac:dyDescent="0.2"/>
    <row r="8562" customFormat="1" x14ac:dyDescent="0.2"/>
    <row r="8563" customFormat="1" x14ac:dyDescent="0.2"/>
    <row r="8564" customFormat="1" x14ac:dyDescent="0.2"/>
    <row r="8565" customFormat="1" x14ac:dyDescent="0.2"/>
    <row r="8566" customFormat="1" x14ac:dyDescent="0.2"/>
    <row r="8567" customFormat="1" x14ac:dyDescent="0.2"/>
    <row r="8568" customFormat="1" x14ac:dyDescent="0.2"/>
    <row r="8569" customFormat="1" x14ac:dyDescent="0.2"/>
    <row r="8570" customFormat="1" x14ac:dyDescent="0.2"/>
    <row r="8571" customFormat="1" x14ac:dyDescent="0.2"/>
    <row r="8572" customFormat="1" x14ac:dyDescent="0.2"/>
    <row r="8573" customFormat="1" x14ac:dyDescent="0.2"/>
    <row r="8574" customFormat="1" x14ac:dyDescent="0.2"/>
    <row r="8575" customFormat="1" x14ac:dyDescent="0.2"/>
    <row r="8576" customFormat="1" x14ac:dyDescent="0.2"/>
    <row r="8577" customFormat="1" x14ac:dyDescent="0.2"/>
    <row r="8578" customFormat="1" x14ac:dyDescent="0.2"/>
    <row r="8579" customFormat="1" x14ac:dyDescent="0.2"/>
    <row r="8580" customFormat="1" x14ac:dyDescent="0.2"/>
    <row r="8581" customFormat="1" x14ac:dyDescent="0.2"/>
    <row r="8582" customFormat="1" x14ac:dyDescent="0.2"/>
    <row r="8583" customFormat="1" x14ac:dyDescent="0.2"/>
    <row r="8584" customFormat="1" x14ac:dyDescent="0.2"/>
    <row r="8585" customFormat="1" x14ac:dyDescent="0.2"/>
    <row r="8586" customFormat="1" x14ac:dyDescent="0.2"/>
    <row r="8587" customFormat="1" x14ac:dyDescent="0.2"/>
    <row r="8588" customFormat="1" x14ac:dyDescent="0.2"/>
    <row r="8589" customFormat="1" x14ac:dyDescent="0.2"/>
    <row r="8590" customFormat="1" x14ac:dyDescent="0.2"/>
    <row r="8591" customFormat="1" x14ac:dyDescent="0.2"/>
    <row r="8592" customFormat="1" x14ac:dyDescent="0.2"/>
    <row r="8593" customFormat="1" x14ac:dyDescent="0.2"/>
    <row r="8594" customFormat="1" x14ac:dyDescent="0.2"/>
    <row r="8595" customFormat="1" x14ac:dyDescent="0.2"/>
    <row r="8596" customFormat="1" x14ac:dyDescent="0.2"/>
    <row r="8597" customFormat="1" x14ac:dyDescent="0.2"/>
    <row r="8598" customFormat="1" x14ac:dyDescent="0.2"/>
    <row r="8599" customFormat="1" x14ac:dyDescent="0.2"/>
    <row r="8600" customFormat="1" x14ac:dyDescent="0.2"/>
    <row r="8601" customFormat="1" x14ac:dyDescent="0.2"/>
    <row r="8602" customFormat="1" x14ac:dyDescent="0.2"/>
    <row r="8603" customFormat="1" x14ac:dyDescent="0.2"/>
    <row r="8604" customFormat="1" x14ac:dyDescent="0.2"/>
    <row r="8605" customFormat="1" x14ac:dyDescent="0.2"/>
    <row r="8606" customFormat="1" x14ac:dyDescent="0.2"/>
    <row r="8607" customFormat="1" x14ac:dyDescent="0.2"/>
    <row r="8608" customFormat="1" x14ac:dyDescent="0.2"/>
    <row r="8609" customFormat="1" x14ac:dyDescent="0.2"/>
    <row r="8610" customFormat="1" x14ac:dyDescent="0.2"/>
    <row r="8611" customFormat="1" x14ac:dyDescent="0.2"/>
    <row r="8612" customFormat="1" x14ac:dyDescent="0.2"/>
    <row r="8613" customFormat="1" x14ac:dyDescent="0.2"/>
    <row r="8614" customFormat="1" x14ac:dyDescent="0.2"/>
    <row r="8615" customFormat="1" x14ac:dyDescent="0.2"/>
    <row r="8616" customFormat="1" x14ac:dyDescent="0.2"/>
    <row r="8617" customFormat="1" x14ac:dyDescent="0.2"/>
    <row r="8618" customFormat="1" x14ac:dyDescent="0.2"/>
    <row r="8619" customFormat="1" x14ac:dyDescent="0.2"/>
    <row r="8620" customFormat="1" x14ac:dyDescent="0.2"/>
    <row r="8621" customFormat="1" x14ac:dyDescent="0.2"/>
    <row r="8622" customFormat="1" x14ac:dyDescent="0.2"/>
    <row r="8623" customFormat="1" x14ac:dyDescent="0.2"/>
    <row r="8624" customFormat="1" x14ac:dyDescent="0.2"/>
    <row r="8625" customFormat="1" x14ac:dyDescent="0.2"/>
    <row r="8626" customFormat="1" x14ac:dyDescent="0.2"/>
    <row r="8627" customFormat="1" x14ac:dyDescent="0.2"/>
    <row r="8628" customFormat="1" x14ac:dyDescent="0.2"/>
    <row r="8629" customFormat="1" x14ac:dyDescent="0.2"/>
    <row r="8630" customFormat="1" x14ac:dyDescent="0.2"/>
    <row r="8631" customFormat="1" x14ac:dyDescent="0.2"/>
    <row r="8632" customFormat="1" x14ac:dyDescent="0.2"/>
    <row r="8633" customFormat="1" x14ac:dyDescent="0.2"/>
    <row r="8634" customFormat="1" x14ac:dyDescent="0.2"/>
    <row r="8635" customFormat="1" x14ac:dyDescent="0.2"/>
    <row r="8636" customFormat="1" x14ac:dyDescent="0.2"/>
    <row r="8637" customFormat="1" x14ac:dyDescent="0.2"/>
    <row r="8638" customFormat="1" x14ac:dyDescent="0.2"/>
    <row r="8639" customFormat="1" x14ac:dyDescent="0.2"/>
    <row r="8640" customFormat="1" x14ac:dyDescent="0.2"/>
    <row r="8641" customFormat="1" x14ac:dyDescent="0.2"/>
    <row r="8642" customFormat="1" x14ac:dyDescent="0.2"/>
    <row r="8643" customFormat="1" x14ac:dyDescent="0.2"/>
    <row r="8644" customFormat="1" x14ac:dyDescent="0.2"/>
    <row r="8645" customFormat="1" x14ac:dyDescent="0.2"/>
    <row r="8646" customFormat="1" x14ac:dyDescent="0.2"/>
    <row r="8647" customFormat="1" x14ac:dyDescent="0.2"/>
    <row r="8648" customFormat="1" x14ac:dyDescent="0.2"/>
    <row r="8649" customFormat="1" x14ac:dyDescent="0.2"/>
    <row r="8650" customFormat="1" x14ac:dyDescent="0.2"/>
    <row r="8651" customFormat="1" x14ac:dyDescent="0.2"/>
    <row r="8652" customFormat="1" x14ac:dyDescent="0.2"/>
    <row r="8653" customFormat="1" x14ac:dyDescent="0.2"/>
    <row r="8654" customFormat="1" x14ac:dyDescent="0.2"/>
    <row r="8655" customFormat="1" x14ac:dyDescent="0.2"/>
    <row r="8656" customFormat="1" x14ac:dyDescent="0.2"/>
    <row r="8657" customFormat="1" x14ac:dyDescent="0.2"/>
    <row r="8658" customFormat="1" x14ac:dyDescent="0.2"/>
    <row r="8659" customFormat="1" x14ac:dyDescent="0.2"/>
    <row r="8660" customFormat="1" x14ac:dyDescent="0.2"/>
    <row r="8661" customFormat="1" x14ac:dyDescent="0.2"/>
    <row r="8662" customFormat="1" x14ac:dyDescent="0.2"/>
    <row r="8663" customFormat="1" x14ac:dyDescent="0.2"/>
    <row r="8664" customFormat="1" x14ac:dyDescent="0.2"/>
    <row r="8665" customFormat="1" x14ac:dyDescent="0.2"/>
    <row r="8666" customFormat="1" x14ac:dyDescent="0.2"/>
    <row r="8667" customFormat="1" x14ac:dyDescent="0.2"/>
    <row r="8668" customFormat="1" x14ac:dyDescent="0.2"/>
    <row r="8669" customFormat="1" x14ac:dyDescent="0.2"/>
    <row r="8670" customFormat="1" x14ac:dyDescent="0.2"/>
    <row r="8671" customFormat="1" x14ac:dyDescent="0.2"/>
    <row r="8672" customFormat="1" x14ac:dyDescent="0.2"/>
    <row r="8673" customFormat="1" x14ac:dyDescent="0.2"/>
    <row r="8674" customFormat="1" x14ac:dyDescent="0.2"/>
    <row r="8675" customFormat="1" x14ac:dyDescent="0.2"/>
    <row r="8676" customFormat="1" x14ac:dyDescent="0.2"/>
    <row r="8677" customFormat="1" x14ac:dyDescent="0.2"/>
    <row r="8678" customFormat="1" x14ac:dyDescent="0.2"/>
    <row r="8679" customFormat="1" x14ac:dyDescent="0.2"/>
    <row r="8680" customFormat="1" x14ac:dyDescent="0.2"/>
    <row r="8681" customFormat="1" x14ac:dyDescent="0.2"/>
    <row r="8682" customFormat="1" x14ac:dyDescent="0.2"/>
    <row r="8683" customFormat="1" x14ac:dyDescent="0.2"/>
    <row r="8684" customFormat="1" x14ac:dyDescent="0.2"/>
    <row r="8685" customFormat="1" x14ac:dyDescent="0.2"/>
    <row r="8686" customFormat="1" x14ac:dyDescent="0.2"/>
    <row r="8687" customFormat="1" x14ac:dyDescent="0.2"/>
    <row r="8688" customFormat="1" x14ac:dyDescent="0.2"/>
    <row r="8689" customFormat="1" x14ac:dyDescent="0.2"/>
    <row r="8690" customFormat="1" x14ac:dyDescent="0.2"/>
    <row r="8691" customFormat="1" x14ac:dyDescent="0.2"/>
    <row r="8692" customFormat="1" x14ac:dyDescent="0.2"/>
    <row r="8693" customFormat="1" x14ac:dyDescent="0.2"/>
    <row r="8694" customFormat="1" x14ac:dyDescent="0.2"/>
    <row r="8695" customFormat="1" x14ac:dyDescent="0.2"/>
    <row r="8696" customFormat="1" x14ac:dyDescent="0.2"/>
    <row r="8697" customFormat="1" x14ac:dyDescent="0.2"/>
    <row r="8698" customFormat="1" x14ac:dyDescent="0.2"/>
    <row r="8699" customFormat="1" x14ac:dyDescent="0.2"/>
    <row r="8700" customFormat="1" x14ac:dyDescent="0.2"/>
    <row r="8701" customFormat="1" x14ac:dyDescent="0.2"/>
    <row r="8702" customFormat="1" x14ac:dyDescent="0.2"/>
    <row r="8703" customFormat="1" x14ac:dyDescent="0.2"/>
    <row r="8704" customFormat="1" x14ac:dyDescent="0.2"/>
    <row r="8705" customFormat="1" x14ac:dyDescent="0.2"/>
    <row r="8706" customFormat="1" x14ac:dyDescent="0.2"/>
    <row r="8707" customFormat="1" x14ac:dyDescent="0.2"/>
    <row r="8708" customFormat="1" x14ac:dyDescent="0.2"/>
    <row r="8709" customFormat="1" x14ac:dyDescent="0.2"/>
    <row r="8710" customFormat="1" x14ac:dyDescent="0.2"/>
    <row r="8711" customFormat="1" x14ac:dyDescent="0.2"/>
    <row r="8712" customFormat="1" x14ac:dyDescent="0.2"/>
    <row r="8713" customFormat="1" x14ac:dyDescent="0.2"/>
    <row r="8714" customFormat="1" x14ac:dyDescent="0.2"/>
    <row r="8715" customFormat="1" x14ac:dyDescent="0.2"/>
    <row r="8716" customFormat="1" x14ac:dyDescent="0.2"/>
    <row r="8717" customFormat="1" x14ac:dyDescent="0.2"/>
    <row r="8718" customFormat="1" x14ac:dyDescent="0.2"/>
    <row r="8719" customFormat="1" x14ac:dyDescent="0.2"/>
    <row r="8720" customFormat="1" x14ac:dyDescent="0.2"/>
    <row r="8721" customFormat="1" x14ac:dyDescent="0.2"/>
    <row r="8722" customFormat="1" x14ac:dyDescent="0.2"/>
    <row r="8723" customFormat="1" x14ac:dyDescent="0.2"/>
    <row r="8724" customFormat="1" x14ac:dyDescent="0.2"/>
    <row r="8725" customFormat="1" x14ac:dyDescent="0.2"/>
    <row r="8726" customFormat="1" x14ac:dyDescent="0.2"/>
    <row r="8727" customFormat="1" x14ac:dyDescent="0.2"/>
    <row r="8728" customFormat="1" x14ac:dyDescent="0.2"/>
    <row r="8729" customFormat="1" x14ac:dyDescent="0.2"/>
    <row r="8730" customFormat="1" x14ac:dyDescent="0.2"/>
    <row r="8731" customFormat="1" x14ac:dyDescent="0.2"/>
    <row r="8732" customFormat="1" x14ac:dyDescent="0.2"/>
    <row r="8733" customFormat="1" x14ac:dyDescent="0.2"/>
    <row r="8734" customFormat="1" x14ac:dyDescent="0.2"/>
    <row r="8735" customFormat="1" x14ac:dyDescent="0.2"/>
    <row r="8736" customFormat="1" x14ac:dyDescent="0.2"/>
    <row r="8737" customFormat="1" x14ac:dyDescent="0.2"/>
    <row r="8738" customFormat="1" x14ac:dyDescent="0.2"/>
    <row r="8739" customFormat="1" x14ac:dyDescent="0.2"/>
    <row r="8740" customFormat="1" x14ac:dyDescent="0.2"/>
    <row r="8741" customFormat="1" x14ac:dyDescent="0.2"/>
    <row r="8742" customFormat="1" x14ac:dyDescent="0.2"/>
    <row r="8743" customFormat="1" x14ac:dyDescent="0.2"/>
    <row r="8744" customFormat="1" x14ac:dyDescent="0.2"/>
    <row r="8745" customFormat="1" x14ac:dyDescent="0.2"/>
    <row r="8746" customFormat="1" x14ac:dyDescent="0.2"/>
    <row r="8747" customFormat="1" x14ac:dyDescent="0.2"/>
    <row r="8748" customFormat="1" x14ac:dyDescent="0.2"/>
    <row r="8749" customFormat="1" x14ac:dyDescent="0.2"/>
    <row r="8750" customFormat="1" x14ac:dyDescent="0.2"/>
    <row r="8751" customFormat="1" x14ac:dyDescent="0.2"/>
    <row r="8752" customFormat="1" x14ac:dyDescent="0.2"/>
    <row r="8753" customFormat="1" x14ac:dyDescent="0.2"/>
    <row r="8754" customFormat="1" x14ac:dyDescent="0.2"/>
    <row r="8755" customFormat="1" x14ac:dyDescent="0.2"/>
    <row r="8756" customFormat="1" x14ac:dyDescent="0.2"/>
    <row r="8757" customFormat="1" x14ac:dyDescent="0.2"/>
    <row r="8758" customFormat="1" x14ac:dyDescent="0.2"/>
    <row r="8759" customFormat="1" x14ac:dyDescent="0.2"/>
    <row r="8760" customFormat="1" x14ac:dyDescent="0.2"/>
    <row r="8761" customFormat="1" x14ac:dyDescent="0.2"/>
    <row r="8762" customFormat="1" x14ac:dyDescent="0.2"/>
    <row r="8763" customFormat="1" x14ac:dyDescent="0.2"/>
    <row r="8764" customFormat="1" x14ac:dyDescent="0.2"/>
    <row r="8765" customFormat="1" x14ac:dyDescent="0.2"/>
    <row r="8766" customFormat="1" x14ac:dyDescent="0.2"/>
    <row r="8767" customFormat="1" x14ac:dyDescent="0.2"/>
    <row r="8768" customFormat="1" x14ac:dyDescent="0.2"/>
    <row r="8769" customFormat="1" x14ac:dyDescent="0.2"/>
    <row r="8770" customFormat="1" x14ac:dyDescent="0.2"/>
    <row r="8771" customFormat="1" x14ac:dyDescent="0.2"/>
    <row r="8772" customFormat="1" x14ac:dyDescent="0.2"/>
    <row r="8773" customFormat="1" x14ac:dyDescent="0.2"/>
    <row r="8774" customFormat="1" x14ac:dyDescent="0.2"/>
    <row r="8775" customFormat="1" x14ac:dyDescent="0.2"/>
    <row r="8776" customFormat="1" x14ac:dyDescent="0.2"/>
    <row r="8777" customFormat="1" x14ac:dyDescent="0.2"/>
    <row r="8778" customFormat="1" x14ac:dyDescent="0.2"/>
    <row r="8779" customFormat="1" x14ac:dyDescent="0.2"/>
    <row r="8780" customFormat="1" x14ac:dyDescent="0.2"/>
    <row r="8781" customFormat="1" x14ac:dyDescent="0.2"/>
    <row r="8782" customFormat="1" x14ac:dyDescent="0.2"/>
    <row r="8783" customFormat="1" x14ac:dyDescent="0.2"/>
    <row r="8784" customFormat="1" x14ac:dyDescent="0.2"/>
    <row r="8785" customFormat="1" x14ac:dyDescent="0.2"/>
    <row r="8786" customFormat="1" x14ac:dyDescent="0.2"/>
    <row r="8787" customFormat="1" x14ac:dyDescent="0.2"/>
    <row r="8788" customFormat="1" x14ac:dyDescent="0.2"/>
    <row r="8789" customFormat="1" x14ac:dyDescent="0.2"/>
    <row r="8790" customFormat="1" x14ac:dyDescent="0.2"/>
    <row r="8791" customFormat="1" x14ac:dyDescent="0.2"/>
    <row r="8792" customFormat="1" x14ac:dyDescent="0.2"/>
    <row r="8793" customFormat="1" x14ac:dyDescent="0.2"/>
    <row r="8794" customFormat="1" x14ac:dyDescent="0.2"/>
    <row r="8795" customFormat="1" x14ac:dyDescent="0.2"/>
    <row r="8796" customFormat="1" x14ac:dyDescent="0.2"/>
    <row r="8797" customFormat="1" x14ac:dyDescent="0.2"/>
    <row r="8798" customFormat="1" x14ac:dyDescent="0.2"/>
    <row r="8799" customFormat="1" x14ac:dyDescent="0.2"/>
    <row r="8800" customFormat="1" x14ac:dyDescent="0.2"/>
    <row r="8801" customFormat="1" x14ac:dyDescent="0.2"/>
    <row r="8802" customFormat="1" x14ac:dyDescent="0.2"/>
    <row r="8803" customFormat="1" x14ac:dyDescent="0.2"/>
    <row r="8804" customFormat="1" x14ac:dyDescent="0.2"/>
    <row r="8805" customFormat="1" x14ac:dyDescent="0.2"/>
    <row r="8806" customFormat="1" x14ac:dyDescent="0.2"/>
    <row r="8807" customFormat="1" x14ac:dyDescent="0.2"/>
    <row r="8808" customFormat="1" x14ac:dyDescent="0.2"/>
    <row r="8809" customFormat="1" x14ac:dyDescent="0.2"/>
    <row r="8810" customFormat="1" x14ac:dyDescent="0.2"/>
    <row r="8811" customFormat="1" x14ac:dyDescent="0.2"/>
    <row r="8812" customFormat="1" x14ac:dyDescent="0.2"/>
    <row r="8813" customFormat="1" x14ac:dyDescent="0.2"/>
    <row r="8814" customFormat="1" x14ac:dyDescent="0.2"/>
    <row r="8815" customFormat="1" x14ac:dyDescent="0.2"/>
    <row r="8816" customFormat="1" x14ac:dyDescent="0.2"/>
    <row r="8817" customFormat="1" x14ac:dyDescent="0.2"/>
    <row r="8818" customFormat="1" x14ac:dyDescent="0.2"/>
    <row r="8819" customFormat="1" x14ac:dyDescent="0.2"/>
    <row r="8820" customFormat="1" x14ac:dyDescent="0.2"/>
    <row r="8821" customFormat="1" x14ac:dyDescent="0.2"/>
    <row r="8822" customFormat="1" x14ac:dyDescent="0.2"/>
    <row r="8823" customFormat="1" x14ac:dyDescent="0.2"/>
    <row r="8824" customFormat="1" x14ac:dyDescent="0.2"/>
    <row r="8825" customFormat="1" x14ac:dyDescent="0.2"/>
    <row r="8826" customFormat="1" x14ac:dyDescent="0.2"/>
    <row r="8827" customFormat="1" x14ac:dyDescent="0.2"/>
    <row r="8828" customFormat="1" x14ac:dyDescent="0.2"/>
    <row r="8829" customFormat="1" x14ac:dyDescent="0.2"/>
    <row r="8830" customFormat="1" x14ac:dyDescent="0.2"/>
    <row r="8831" customFormat="1" x14ac:dyDescent="0.2"/>
    <row r="8832" customFormat="1" x14ac:dyDescent="0.2"/>
    <row r="8833" customFormat="1" x14ac:dyDescent="0.2"/>
    <row r="8834" customFormat="1" x14ac:dyDescent="0.2"/>
    <row r="8835" customFormat="1" x14ac:dyDescent="0.2"/>
    <row r="8836" customFormat="1" x14ac:dyDescent="0.2"/>
    <row r="8837" customFormat="1" x14ac:dyDescent="0.2"/>
    <row r="8838" customFormat="1" x14ac:dyDescent="0.2"/>
    <row r="8839" customFormat="1" x14ac:dyDescent="0.2"/>
    <row r="8840" customFormat="1" x14ac:dyDescent="0.2"/>
    <row r="8841" customFormat="1" x14ac:dyDescent="0.2"/>
    <row r="8842" customFormat="1" x14ac:dyDescent="0.2"/>
    <row r="8843" customFormat="1" x14ac:dyDescent="0.2"/>
    <row r="8844" customFormat="1" x14ac:dyDescent="0.2"/>
    <row r="8845" customFormat="1" x14ac:dyDescent="0.2"/>
    <row r="8846" customFormat="1" x14ac:dyDescent="0.2"/>
    <row r="8847" customFormat="1" x14ac:dyDescent="0.2"/>
    <row r="8848" customFormat="1" x14ac:dyDescent="0.2"/>
    <row r="8849" customFormat="1" x14ac:dyDescent="0.2"/>
    <row r="8850" customFormat="1" x14ac:dyDescent="0.2"/>
    <row r="8851" customFormat="1" x14ac:dyDescent="0.2"/>
    <row r="8852" customFormat="1" x14ac:dyDescent="0.2"/>
    <row r="8853" customFormat="1" x14ac:dyDescent="0.2"/>
    <row r="8854" customFormat="1" x14ac:dyDescent="0.2"/>
    <row r="8855" customFormat="1" x14ac:dyDescent="0.2"/>
    <row r="8856" customFormat="1" x14ac:dyDescent="0.2"/>
    <row r="8857" customFormat="1" x14ac:dyDescent="0.2"/>
    <row r="8858" customFormat="1" x14ac:dyDescent="0.2"/>
    <row r="8859" customFormat="1" x14ac:dyDescent="0.2"/>
    <row r="8860" customFormat="1" x14ac:dyDescent="0.2"/>
    <row r="8861" customFormat="1" x14ac:dyDescent="0.2"/>
    <row r="8862" customFormat="1" x14ac:dyDescent="0.2"/>
    <row r="8863" customFormat="1" x14ac:dyDescent="0.2"/>
    <row r="8864" customFormat="1" x14ac:dyDescent="0.2"/>
    <row r="8865" customFormat="1" x14ac:dyDescent="0.2"/>
    <row r="8866" customFormat="1" x14ac:dyDescent="0.2"/>
    <row r="8867" customFormat="1" x14ac:dyDescent="0.2"/>
    <row r="8868" customFormat="1" x14ac:dyDescent="0.2"/>
    <row r="8869" customFormat="1" x14ac:dyDescent="0.2"/>
    <row r="8870" customFormat="1" x14ac:dyDescent="0.2"/>
    <row r="8871" customFormat="1" x14ac:dyDescent="0.2"/>
    <row r="8872" customFormat="1" x14ac:dyDescent="0.2"/>
    <row r="8873" customFormat="1" x14ac:dyDescent="0.2"/>
    <row r="8874" customFormat="1" x14ac:dyDescent="0.2"/>
    <row r="8875" customFormat="1" x14ac:dyDescent="0.2"/>
    <row r="8876" customFormat="1" x14ac:dyDescent="0.2"/>
    <row r="8877" customFormat="1" x14ac:dyDescent="0.2"/>
    <row r="8878" customFormat="1" x14ac:dyDescent="0.2"/>
    <row r="8879" customFormat="1" x14ac:dyDescent="0.2"/>
    <row r="8880" customFormat="1" x14ac:dyDescent="0.2"/>
    <row r="8881" customFormat="1" x14ac:dyDescent="0.2"/>
    <row r="8882" customFormat="1" x14ac:dyDescent="0.2"/>
    <row r="8883" customFormat="1" x14ac:dyDescent="0.2"/>
    <row r="8884" customFormat="1" x14ac:dyDescent="0.2"/>
    <row r="8885" customFormat="1" x14ac:dyDescent="0.2"/>
    <row r="8886" customFormat="1" x14ac:dyDescent="0.2"/>
    <row r="8887" customFormat="1" x14ac:dyDescent="0.2"/>
    <row r="8888" customFormat="1" x14ac:dyDescent="0.2"/>
    <row r="8889" customFormat="1" x14ac:dyDescent="0.2"/>
    <row r="8890" customFormat="1" x14ac:dyDescent="0.2"/>
    <row r="8891" customFormat="1" x14ac:dyDescent="0.2"/>
    <row r="8892" customFormat="1" x14ac:dyDescent="0.2"/>
    <row r="8893" customFormat="1" x14ac:dyDescent="0.2"/>
    <row r="8894" customFormat="1" x14ac:dyDescent="0.2"/>
    <row r="8895" customFormat="1" x14ac:dyDescent="0.2"/>
    <row r="8896" customFormat="1" x14ac:dyDescent="0.2"/>
    <row r="8897" customFormat="1" x14ac:dyDescent="0.2"/>
    <row r="8898" customFormat="1" x14ac:dyDescent="0.2"/>
    <row r="8899" customFormat="1" x14ac:dyDescent="0.2"/>
    <row r="8900" customFormat="1" x14ac:dyDescent="0.2"/>
    <row r="8901" customFormat="1" x14ac:dyDescent="0.2"/>
    <row r="8902" customFormat="1" x14ac:dyDescent="0.2"/>
    <row r="8903" customFormat="1" x14ac:dyDescent="0.2"/>
    <row r="8904" customFormat="1" x14ac:dyDescent="0.2"/>
    <row r="8905" customFormat="1" x14ac:dyDescent="0.2"/>
    <row r="8906" customFormat="1" x14ac:dyDescent="0.2"/>
    <row r="8907" customFormat="1" x14ac:dyDescent="0.2"/>
    <row r="8908" customFormat="1" x14ac:dyDescent="0.2"/>
    <row r="8909" customFormat="1" x14ac:dyDescent="0.2"/>
    <row r="8910" customFormat="1" x14ac:dyDescent="0.2"/>
    <row r="8911" customFormat="1" x14ac:dyDescent="0.2"/>
    <row r="8912" customFormat="1" x14ac:dyDescent="0.2"/>
    <row r="8913" customFormat="1" x14ac:dyDescent="0.2"/>
    <row r="8914" customFormat="1" x14ac:dyDescent="0.2"/>
    <row r="8915" customFormat="1" x14ac:dyDescent="0.2"/>
    <row r="8916" customFormat="1" x14ac:dyDescent="0.2"/>
    <row r="8917" customFormat="1" x14ac:dyDescent="0.2"/>
    <row r="8918" customFormat="1" x14ac:dyDescent="0.2"/>
    <row r="8919" customFormat="1" x14ac:dyDescent="0.2"/>
    <row r="8920" customFormat="1" x14ac:dyDescent="0.2"/>
    <row r="8921" customFormat="1" x14ac:dyDescent="0.2"/>
    <row r="8922" customFormat="1" x14ac:dyDescent="0.2"/>
    <row r="8923" customFormat="1" x14ac:dyDescent="0.2"/>
    <row r="8924" customFormat="1" x14ac:dyDescent="0.2"/>
    <row r="8925" customFormat="1" x14ac:dyDescent="0.2"/>
    <row r="8926" customFormat="1" x14ac:dyDescent="0.2"/>
    <row r="8927" customFormat="1" x14ac:dyDescent="0.2"/>
    <row r="8928" customFormat="1" x14ac:dyDescent="0.2"/>
    <row r="8929" customFormat="1" x14ac:dyDescent="0.2"/>
    <row r="8930" customFormat="1" x14ac:dyDescent="0.2"/>
    <row r="8931" customFormat="1" x14ac:dyDescent="0.2"/>
    <row r="8932" customFormat="1" x14ac:dyDescent="0.2"/>
    <row r="8933" customFormat="1" x14ac:dyDescent="0.2"/>
    <row r="8934" customFormat="1" x14ac:dyDescent="0.2"/>
    <row r="8935" customFormat="1" x14ac:dyDescent="0.2"/>
    <row r="8936" customFormat="1" x14ac:dyDescent="0.2"/>
    <row r="8937" customFormat="1" x14ac:dyDescent="0.2"/>
    <row r="8938" customFormat="1" x14ac:dyDescent="0.2"/>
    <row r="8939" customFormat="1" x14ac:dyDescent="0.2"/>
    <row r="8940" customFormat="1" x14ac:dyDescent="0.2"/>
    <row r="8941" customFormat="1" x14ac:dyDescent="0.2"/>
    <row r="8942" customFormat="1" x14ac:dyDescent="0.2"/>
    <row r="8943" customFormat="1" x14ac:dyDescent="0.2"/>
    <row r="8944" customFormat="1" x14ac:dyDescent="0.2"/>
    <row r="8945" customFormat="1" x14ac:dyDescent="0.2"/>
    <row r="8946" customFormat="1" x14ac:dyDescent="0.2"/>
    <row r="8947" customFormat="1" x14ac:dyDescent="0.2"/>
    <row r="8948" customFormat="1" x14ac:dyDescent="0.2"/>
    <row r="8949" customFormat="1" x14ac:dyDescent="0.2"/>
    <row r="8950" customFormat="1" x14ac:dyDescent="0.2"/>
    <row r="8951" customFormat="1" x14ac:dyDescent="0.2"/>
    <row r="8952" customFormat="1" x14ac:dyDescent="0.2"/>
    <row r="8953" customFormat="1" x14ac:dyDescent="0.2"/>
    <row r="8954" customFormat="1" x14ac:dyDescent="0.2"/>
    <row r="8955" customFormat="1" x14ac:dyDescent="0.2"/>
    <row r="8956" customFormat="1" x14ac:dyDescent="0.2"/>
    <row r="8957" customFormat="1" x14ac:dyDescent="0.2"/>
    <row r="8958" customFormat="1" x14ac:dyDescent="0.2"/>
    <row r="8959" customFormat="1" x14ac:dyDescent="0.2"/>
    <row r="8960" customFormat="1" x14ac:dyDescent="0.2"/>
    <row r="8961" customFormat="1" x14ac:dyDescent="0.2"/>
    <row r="8962" customFormat="1" x14ac:dyDescent="0.2"/>
    <row r="8963" customFormat="1" x14ac:dyDescent="0.2"/>
    <row r="8964" customFormat="1" x14ac:dyDescent="0.2"/>
    <row r="8965" customFormat="1" x14ac:dyDescent="0.2"/>
    <row r="8966" customFormat="1" x14ac:dyDescent="0.2"/>
    <row r="8967" customFormat="1" x14ac:dyDescent="0.2"/>
    <row r="8968" customFormat="1" x14ac:dyDescent="0.2"/>
    <row r="8969" customFormat="1" x14ac:dyDescent="0.2"/>
    <row r="8970" customFormat="1" x14ac:dyDescent="0.2"/>
    <row r="8971" customFormat="1" x14ac:dyDescent="0.2"/>
    <row r="8972" customFormat="1" x14ac:dyDescent="0.2"/>
    <row r="8973" customFormat="1" x14ac:dyDescent="0.2"/>
    <row r="8974" customFormat="1" x14ac:dyDescent="0.2"/>
    <row r="8975" customFormat="1" x14ac:dyDescent="0.2"/>
    <row r="8976" customFormat="1" x14ac:dyDescent="0.2"/>
    <row r="8977" customFormat="1" x14ac:dyDescent="0.2"/>
    <row r="8978" customFormat="1" x14ac:dyDescent="0.2"/>
    <row r="8979" customFormat="1" x14ac:dyDescent="0.2"/>
    <row r="8980" customFormat="1" x14ac:dyDescent="0.2"/>
    <row r="8981" customFormat="1" x14ac:dyDescent="0.2"/>
    <row r="8982" customFormat="1" x14ac:dyDescent="0.2"/>
    <row r="8983" customFormat="1" x14ac:dyDescent="0.2"/>
    <row r="8984" customFormat="1" x14ac:dyDescent="0.2"/>
    <row r="8985" customFormat="1" x14ac:dyDescent="0.2"/>
    <row r="8986" customFormat="1" x14ac:dyDescent="0.2"/>
    <row r="8987" customFormat="1" x14ac:dyDescent="0.2"/>
    <row r="8988" customFormat="1" x14ac:dyDescent="0.2"/>
    <row r="8989" customFormat="1" x14ac:dyDescent="0.2"/>
    <row r="8990" customFormat="1" x14ac:dyDescent="0.2"/>
    <row r="8991" customFormat="1" x14ac:dyDescent="0.2"/>
    <row r="8992" customFormat="1" x14ac:dyDescent="0.2"/>
    <row r="8993" customFormat="1" x14ac:dyDescent="0.2"/>
    <row r="8994" customFormat="1" x14ac:dyDescent="0.2"/>
    <row r="8995" customFormat="1" x14ac:dyDescent="0.2"/>
    <row r="8996" customFormat="1" x14ac:dyDescent="0.2"/>
    <row r="8997" customFormat="1" x14ac:dyDescent="0.2"/>
    <row r="8998" customFormat="1" x14ac:dyDescent="0.2"/>
    <row r="8999" customFormat="1" x14ac:dyDescent="0.2"/>
    <row r="9000" customFormat="1" x14ac:dyDescent="0.2"/>
    <row r="9001" customFormat="1" x14ac:dyDescent="0.2"/>
    <row r="9002" customFormat="1" x14ac:dyDescent="0.2"/>
    <row r="9003" customFormat="1" x14ac:dyDescent="0.2"/>
    <row r="9004" customFormat="1" x14ac:dyDescent="0.2"/>
    <row r="9005" customFormat="1" x14ac:dyDescent="0.2"/>
    <row r="9006" customFormat="1" x14ac:dyDescent="0.2"/>
    <row r="9007" customFormat="1" x14ac:dyDescent="0.2"/>
    <row r="9008" customFormat="1" x14ac:dyDescent="0.2"/>
    <row r="9009" customFormat="1" x14ac:dyDescent="0.2"/>
    <row r="9010" customFormat="1" x14ac:dyDescent="0.2"/>
    <row r="9011" customFormat="1" x14ac:dyDescent="0.2"/>
    <row r="9012" customFormat="1" x14ac:dyDescent="0.2"/>
    <row r="9013" customFormat="1" x14ac:dyDescent="0.2"/>
    <row r="9014" customFormat="1" x14ac:dyDescent="0.2"/>
    <row r="9015" customFormat="1" x14ac:dyDescent="0.2"/>
    <row r="9016" customFormat="1" x14ac:dyDescent="0.2"/>
    <row r="9017" customFormat="1" x14ac:dyDescent="0.2"/>
    <row r="9018" customFormat="1" x14ac:dyDescent="0.2"/>
    <row r="9019" customFormat="1" x14ac:dyDescent="0.2"/>
    <row r="9020" customFormat="1" x14ac:dyDescent="0.2"/>
    <row r="9021" customFormat="1" x14ac:dyDescent="0.2"/>
    <row r="9022" customFormat="1" x14ac:dyDescent="0.2"/>
    <row r="9023" customFormat="1" x14ac:dyDescent="0.2"/>
    <row r="9024" customFormat="1" x14ac:dyDescent="0.2"/>
    <row r="9025" customFormat="1" x14ac:dyDescent="0.2"/>
    <row r="9026" customFormat="1" x14ac:dyDescent="0.2"/>
    <row r="9027" customFormat="1" x14ac:dyDescent="0.2"/>
    <row r="9028" customFormat="1" x14ac:dyDescent="0.2"/>
    <row r="9029" customFormat="1" x14ac:dyDescent="0.2"/>
    <row r="9030" customFormat="1" x14ac:dyDescent="0.2"/>
    <row r="9031" customFormat="1" x14ac:dyDescent="0.2"/>
    <row r="9032" customFormat="1" x14ac:dyDescent="0.2"/>
    <row r="9033" customFormat="1" x14ac:dyDescent="0.2"/>
    <row r="9034" customFormat="1" x14ac:dyDescent="0.2"/>
    <row r="9035" customFormat="1" x14ac:dyDescent="0.2"/>
    <row r="9036" customFormat="1" x14ac:dyDescent="0.2"/>
    <row r="9037" customFormat="1" x14ac:dyDescent="0.2"/>
    <row r="9038" customFormat="1" x14ac:dyDescent="0.2"/>
    <row r="9039" customFormat="1" x14ac:dyDescent="0.2"/>
    <row r="9040" customFormat="1" x14ac:dyDescent="0.2"/>
    <row r="9041" customFormat="1" x14ac:dyDescent="0.2"/>
    <row r="9042" customFormat="1" x14ac:dyDescent="0.2"/>
    <row r="9043" customFormat="1" x14ac:dyDescent="0.2"/>
    <row r="9044" customFormat="1" x14ac:dyDescent="0.2"/>
    <row r="9045" customFormat="1" x14ac:dyDescent="0.2"/>
    <row r="9046" customFormat="1" x14ac:dyDescent="0.2"/>
    <row r="9047" customFormat="1" x14ac:dyDescent="0.2"/>
    <row r="9048" customFormat="1" x14ac:dyDescent="0.2"/>
    <row r="9049" customFormat="1" x14ac:dyDescent="0.2"/>
    <row r="9050" customFormat="1" x14ac:dyDescent="0.2"/>
    <row r="9051" customFormat="1" x14ac:dyDescent="0.2"/>
    <row r="9052" customFormat="1" x14ac:dyDescent="0.2"/>
    <row r="9053" customFormat="1" x14ac:dyDescent="0.2"/>
    <row r="9054" customFormat="1" x14ac:dyDescent="0.2"/>
    <row r="9055" customFormat="1" x14ac:dyDescent="0.2"/>
    <row r="9056" customFormat="1" x14ac:dyDescent="0.2"/>
    <row r="9057" customFormat="1" x14ac:dyDescent="0.2"/>
    <row r="9058" customFormat="1" x14ac:dyDescent="0.2"/>
    <row r="9059" customFormat="1" x14ac:dyDescent="0.2"/>
    <row r="9060" customFormat="1" x14ac:dyDescent="0.2"/>
    <row r="9061" customFormat="1" x14ac:dyDescent="0.2"/>
    <row r="9062" customFormat="1" x14ac:dyDescent="0.2"/>
    <row r="9063" customFormat="1" x14ac:dyDescent="0.2"/>
    <row r="9064" customFormat="1" x14ac:dyDescent="0.2"/>
    <row r="9065" customFormat="1" x14ac:dyDescent="0.2"/>
    <row r="9066" customFormat="1" x14ac:dyDescent="0.2"/>
    <row r="9067" customFormat="1" x14ac:dyDescent="0.2"/>
    <row r="9068" customFormat="1" x14ac:dyDescent="0.2"/>
    <row r="9069" customFormat="1" x14ac:dyDescent="0.2"/>
    <row r="9070" customFormat="1" x14ac:dyDescent="0.2"/>
    <row r="9071" customFormat="1" x14ac:dyDescent="0.2"/>
    <row r="9072" customFormat="1" x14ac:dyDescent="0.2"/>
    <row r="9073" customFormat="1" x14ac:dyDescent="0.2"/>
    <row r="9074" customFormat="1" x14ac:dyDescent="0.2"/>
    <row r="9075" customFormat="1" x14ac:dyDescent="0.2"/>
    <row r="9076" customFormat="1" x14ac:dyDescent="0.2"/>
    <row r="9077" customFormat="1" x14ac:dyDescent="0.2"/>
    <row r="9078" customFormat="1" x14ac:dyDescent="0.2"/>
    <row r="9079" customFormat="1" x14ac:dyDescent="0.2"/>
    <row r="9080" customFormat="1" x14ac:dyDescent="0.2"/>
    <row r="9081" customFormat="1" x14ac:dyDescent="0.2"/>
    <row r="9082" customFormat="1" x14ac:dyDescent="0.2"/>
    <row r="9083" customFormat="1" x14ac:dyDescent="0.2"/>
    <row r="9084" customFormat="1" x14ac:dyDescent="0.2"/>
    <row r="9085" customFormat="1" x14ac:dyDescent="0.2"/>
    <row r="9086" customFormat="1" x14ac:dyDescent="0.2"/>
    <row r="9087" customFormat="1" x14ac:dyDescent="0.2"/>
    <row r="9088" customFormat="1" x14ac:dyDescent="0.2"/>
    <row r="9089" customFormat="1" x14ac:dyDescent="0.2"/>
    <row r="9090" customFormat="1" x14ac:dyDescent="0.2"/>
    <row r="9091" customFormat="1" x14ac:dyDescent="0.2"/>
    <row r="9092" customFormat="1" x14ac:dyDescent="0.2"/>
    <row r="9093" customFormat="1" x14ac:dyDescent="0.2"/>
    <row r="9094" customFormat="1" x14ac:dyDescent="0.2"/>
    <row r="9095" customFormat="1" x14ac:dyDescent="0.2"/>
    <row r="9096" customFormat="1" x14ac:dyDescent="0.2"/>
    <row r="9097" customFormat="1" x14ac:dyDescent="0.2"/>
    <row r="9098" customFormat="1" x14ac:dyDescent="0.2"/>
    <row r="9099" customFormat="1" x14ac:dyDescent="0.2"/>
    <row r="9100" customFormat="1" x14ac:dyDescent="0.2"/>
    <row r="9101" customFormat="1" x14ac:dyDescent="0.2"/>
    <row r="9102" customFormat="1" x14ac:dyDescent="0.2"/>
    <row r="9103" customFormat="1" x14ac:dyDescent="0.2"/>
    <row r="9104" customFormat="1" x14ac:dyDescent="0.2"/>
    <row r="9105" customFormat="1" x14ac:dyDescent="0.2"/>
    <row r="9106" customFormat="1" x14ac:dyDescent="0.2"/>
    <row r="9107" customFormat="1" x14ac:dyDescent="0.2"/>
    <row r="9108" customFormat="1" x14ac:dyDescent="0.2"/>
    <row r="9109" customFormat="1" x14ac:dyDescent="0.2"/>
    <row r="9110" customFormat="1" x14ac:dyDescent="0.2"/>
    <row r="9111" customFormat="1" x14ac:dyDescent="0.2"/>
    <row r="9112" customFormat="1" x14ac:dyDescent="0.2"/>
    <row r="9113" customFormat="1" x14ac:dyDescent="0.2"/>
    <row r="9114" customFormat="1" x14ac:dyDescent="0.2"/>
    <row r="9115" customFormat="1" x14ac:dyDescent="0.2"/>
    <row r="9116" customFormat="1" x14ac:dyDescent="0.2"/>
    <row r="9117" customFormat="1" x14ac:dyDescent="0.2"/>
    <row r="9118" customFormat="1" x14ac:dyDescent="0.2"/>
    <row r="9119" customFormat="1" x14ac:dyDescent="0.2"/>
    <row r="9120" customFormat="1" x14ac:dyDescent="0.2"/>
    <row r="9121" customFormat="1" x14ac:dyDescent="0.2"/>
    <row r="9122" customFormat="1" x14ac:dyDescent="0.2"/>
    <row r="9123" customFormat="1" x14ac:dyDescent="0.2"/>
    <row r="9124" customFormat="1" x14ac:dyDescent="0.2"/>
    <row r="9125" customFormat="1" x14ac:dyDescent="0.2"/>
    <row r="9126" customFormat="1" x14ac:dyDescent="0.2"/>
    <row r="9127" customFormat="1" x14ac:dyDescent="0.2"/>
    <row r="9128" customFormat="1" x14ac:dyDescent="0.2"/>
    <row r="9129" customFormat="1" x14ac:dyDescent="0.2"/>
    <row r="9130" customFormat="1" x14ac:dyDescent="0.2"/>
    <row r="9131" customFormat="1" x14ac:dyDescent="0.2"/>
    <row r="9132" customFormat="1" x14ac:dyDescent="0.2"/>
    <row r="9133" customFormat="1" x14ac:dyDescent="0.2"/>
    <row r="9134" customFormat="1" x14ac:dyDescent="0.2"/>
    <row r="9135" customFormat="1" x14ac:dyDescent="0.2"/>
    <row r="9136" customFormat="1" x14ac:dyDescent="0.2"/>
    <row r="9137" customFormat="1" x14ac:dyDescent="0.2"/>
    <row r="9138" customFormat="1" x14ac:dyDescent="0.2"/>
    <row r="9139" customFormat="1" x14ac:dyDescent="0.2"/>
    <row r="9140" customFormat="1" x14ac:dyDescent="0.2"/>
    <row r="9141" customFormat="1" x14ac:dyDescent="0.2"/>
    <row r="9142" customFormat="1" x14ac:dyDescent="0.2"/>
    <row r="9143" customFormat="1" x14ac:dyDescent="0.2"/>
    <row r="9144" customFormat="1" x14ac:dyDescent="0.2"/>
    <row r="9145" customFormat="1" x14ac:dyDescent="0.2"/>
    <row r="9146" customFormat="1" x14ac:dyDescent="0.2"/>
    <row r="9147" customFormat="1" x14ac:dyDescent="0.2"/>
    <row r="9148" customFormat="1" x14ac:dyDescent="0.2"/>
    <row r="9149" customFormat="1" x14ac:dyDescent="0.2"/>
    <row r="9150" customFormat="1" x14ac:dyDescent="0.2"/>
    <row r="9151" customFormat="1" x14ac:dyDescent="0.2"/>
    <row r="9152" customFormat="1" x14ac:dyDescent="0.2"/>
    <row r="9153" customFormat="1" x14ac:dyDescent="0.2"/>
    <row r="9154" customFormat="1" x14ac:dyDescent="0.2"/>
    <row r="9155" customFormat="1" x14ac:dyDescent="0.2"/>
    <row r="9156" customFormat="1" x14ac:dyDescent="0.2"/>
    <row r="9157" customFormat="1" x14ac:dyDescent="0.2"/>
    <row r="9158" customFormat="1" x14ac:dyDescent="0.2"/>
    <row r="9159" customFormat="1" x14ac:dyDescent="0.2"/>
    <row r="9160" customFormat="1" x14ac:dyDescent="0.2"/>
    <row r="9161" customFormat="1" x14ac:dyDescent="0.2"/>
    <row r="9162" customFormat="1" x14ac:dyDescent="0.2"/>
    <row r="9163" customFormat="1" x14ac:dyDescent="0.2"/>
    <row r="9164" customFormat="1" x14ac:dyDescent="0.2"/>
    <row r="9165" customFormat="1" x14ac:dyDescent="0.2"/>
    <row r="9166" customFormat="1" x14ac:dyDescent="0.2"/>
    <row r="9167" customFormat="1" x14ac:dyDescent="0.2"/>
    <row r="9168" customFormat="1" x14ac:dyDescent="0.2"/>
    <row r="9169" customFormat="1" x14ac:dyDescent="0.2"/>
    <row r="9170" customFormat="1" x14ac:dyDescent="0.2"/>
    <row r="9171" customFormat="1" x14ac:dyDescent="0.2"/>
    <row r="9172" customFormat="1" x14ac:dyDescent="0.2"/>
    <row r="9173" customFormat="1" x14ac:dyDescent="0.2"/>
    <row r="9174" customFormat="1" x14ac:dyDescent="0.2"/>
    <row r="9175" customFormat="1" x14ac:dyDescent="0.2"/>
    <row r="9176" customFormat="1" x14ac:dyDescent="0.2"/>
    <row r="9177" customFormat="1" x14ac:dyDescent="0.2"/>
    <row r="9178" customFormat="1" x14ac:dyDescent="0.2"/>
    <row r="9179" customFormat="1" x14ac:dyDescent="0.2"/>
    <row r="9180" customFormat="1" x14ac:dyDescent="0.2"/>
    <row r="9181" customFormat="1" x14ac:dyDescent="0.2"/>
    <row r="9182" customFormat="1" x14ac:dyDescent="0.2"/>
    <row r="9183" customFormat="1" x14ac:dyDescent="0.2"/>
    <row r="9184" customFormat="1" x14ac:dyDescent="0.2"/>
    <row r="9185" customFormat="1" x14ac:dyDescent="0.2"/>
    <row r="9186" customFormat="1" x14ac:dyDescent="0.2"/>
    <row r="9187" customFormat="1" x14ac:dyDescent="0.2"/>
    <row r="9188" customFormat="1" x14ac:dyDescent="0.2"/>
    <row r="9189" customFormat="1" x14ac:dyDescent="0.2"/>
    <row r="9190" customFormat="1" x14ac:dyDescent="0.2"/>
    <row r="9191" customFormat="1" x14ac:dyDescent="0.2"/>
    <row r="9192" customFormat="1" x14ac:dyDescent="0.2"/>
    <row r="9193" customFormat="1" x14ac:dyDescent="0.2"/>
    <row r="9194" customFormat="1" x14ac:dyDescent="0.2"/>
    <row r="9195" customFormat="1" x14ac:dyDescent="0.2"/>
    <row r="9196" customFormat="1" x14ac:dyDescent="0.2"/>
    <row r="9197" customFormat="1" x14ac:dyDescent="0.2"/>
    <row r="9198" customFormat="1" x14ac:dyDescent="0.2"/>
    <row r="9199" customFormat="1" x14ac:dyDescent="0.2"/>
    <row r="9200" customFormat="1" x14ac:dyDescent="0.2"/>
    <row r="9201" customFormat="1" x14ac:dyDescent="0.2"/>
    <row r="9202" customFormat="1" x14ac:dyDescent="0.2"/>
    <row r="9203" customFormat="1" x14ac:dyDescent="0.2"/>
    <row r="9204" customFormat="1" x14ac:dyDescent="0.2"/>
    <row r="9205" customFormat="1" x14ac:dyDescent="0.2"/>
    <row r="9206" customFormat="1" x14ac:dyDescent="0.2"/>
    <row r="9207" customFormat="1" x14ac:dyDescent="0.2"/>
    <row r="9208" customFormat="1" x14ac:dyDescent="0.2"/>
    <row r="9209" customFormat="1" x14ac:dyDescent="0.2"/>
    <row r="9210" customFormat="1" x14ac:dyDescent="0.2"/>
    <row r="9211" customFormat="1" x14ac:dyDescent="0.2"/>
    <row r="9212" customFormat="1" x14ac:dyDescent="0.2"/>
    <row r="9213" customFormat="1" x14ac:dyDescent="0.2"/>
    <row r="9214" customFormat="1" x14ac:dyDescent="0.2"/>
    <row r="9215" customFormat="1" x14ac:dyDescent="0.2"/>
    <row r="9216" customFormat="1" x14ac:dyDescent="0.2"/>
    <row r="9217" customFormat="1" x14ac:dyDescent="0.2"/>
    <row r="9218" customFormat="1" x14ac:dyDescent="0.2"/>
    <row r="9219" customFormat="1" x14ac:dyDescent="0.2"/>
    <row r="9220" customFormat="1" x14ac:dyDescent="0.2"/>
    <row r="9221" customFormat="1" x14ac:dyDescent="0.2"/>
    <row r="9222" customFormat="1" x14ac:dyDescent="0.2"/>
    <row r="9223" customFormat="1" x14ac:dyDescent="0.2"/>
    <row r="9224" customFormat="1" x14ac:dyDescent="0.2"/>
    <row r="9225" customFormat="1" x14ac:dyDescent="0.2"/>
    <row r="9226" customFormat="1" x14ac:dyDescent="0.2"/>
    <row r="9227" customFormat="1" x14ac:dyDescent="0.2"/>
    <row r="9228" customFormat="1" x14ac:dyDescent="0.2"/>
    <row r="9229" customFormat="1" x14ac:dyDescent="0.2"/>
    <row r="9230" customFormat="1" x14ac:dyDescent="0.2"/>
    <row r="9231" customFormat="1" x14ac:dyDescent="0.2"/>
    <row r="9232" customFormat="1" x14ac:dyDescent="0.2"/>
    <row r="9233" customFormat="1" x14ac:dyDescent="0.2"/>
    <row r="9234" customFormat="1" x14ac:dyDescent="0.2"/>
    <row r="9235" customFormat="1" x14ac:dyDescent="0.2"/>
    <row r="9236" customFormat="1" x14ac:dyDescent="0.2"/>
    <row r="9237" customFormat="1" x14ac:dyDescent="0.2"/>
    <row r="9238" customFormat="1" x14ac:dyDescent="0.2"/>
    <row r="9239" customFormat="1" x14ac:dyDescent="0.2"/>
    <row r="9240" customFormat="1" x14ac:dyDescent="0.2"/>
    <row r="9241" customFormat="1" x14ac:dyDescent="0.2"/>
    <row r="9242" customFormat="1" x14ac:dyDescent="0.2"/>
    <row r="9243" customFormat="1" x14ac:dyDescent="0.2"/>
    <row r="9244" customFormat="1" x14ac:dyDescent="0.2"/>
    <row r="9245" customFormat="1" x14ac:dyDescent="0.2"/>
    <row r="9246" customFormat="1" x14ac:dyDescent="0.2"/>
    <row r="9247" customFormat="1" x14ac:dyDescent="0.2"/>
    <row r="9248" customFormat="1" x14ac:dyDescent="0.2"/>
    <row r="9249" customFormat="1" x14ac:dyDescent="0.2"/>
    <row r="9250" customFormat="1" x14ac:dyDescent="0.2"/>
    <row r="9251" customFormat="1" x14ac:dyDescent="0.2"/>
    <row r="9252" customFormat="1" x14ac:dyDescent="0.2"/>
    <row r="9253" customFormat="1" x14ac:dyDescent="0.2"/>
    <row r="9254" customFormat="1" x14ac:dyDescent="0.2"/>
    <row r="9255" customFormat="1" x14ac:dyDescent="0.2"/>
    <row r="9256" customFormat="1" x14ac:dyDescent="0.2"/>
    <row r="9257" customFormat="1" x14ac:dyDescent="0.2"/>
    <row r="9258" customFormat="1" x14ac:dyDescent="0.2"/>
    <row r="9259" customFormat="1" x14ac:dyDescent="0.2"/>
    <row r="9260" customFormat="1" x14ac:dyDescent="0.2"/>
    <row r="9261" customFormat="1" x14ac:dyDescent="0.2"/>
    <row r="9262" customFormat="1" x14ac:dyDescent="0.2"/>
    <row r="9263" customFormat="1" x14ac:dyDescent="0.2"/>
    <row r="9264" customFormat="1" x14ac:dyDescent="0.2"/>
    <row r="9265" customFormat="1" x14ac:dyDescent="0.2"/>
    <row r="9266" customFormat="1" x14ac:dyDescent="0.2"/>
    <row r="9267" customFormat="1" x14ac:dyDescent="0.2"/>
    <row r="9268" customFormat="1" x14ac:dyDescent="0.2"/>
    <row r="9269" customFormat="1" x14ac:dyDescent="0.2"/>
    <row r="9270" customFormat="1" x14ac:dyDescent="0.2"/>
    <row r="9271" customFormat="1" x14ac:dyDescent="0.2"/>
    <row r="9272" customFormat="1" x14ac:dyDescent="0.2"/>
    <row r="9273" customFormat="1" x14ac:dyDescent="0.2"/>
    <row r="9274" customFormat="1" x14ac:dyDescent="0.2"/>
    <row r="9275" customFormat="1" x14ac:dyDescent="0.2"/>
    <row r="9276" customFormat="1" x14ac:dyDescent="0.2"/>
    <row r="9277" customFormat="1" x14ac:dyDescent="0.2"/>
    <row r="9278" customFormat="1" x14ac:dyDescent="0.2"/>
    <row r="9279" customFormat="1" x14ac:dyDescent="0.2"/>
    <row r="9280" customFormat="1" x14ac:dyDescent="0.2"/>
    <row r="9281" customFormat="1" x14ac:dyDescent="0.2"/>
    <row r="9282" customFormat="1" x14ac:dyDescent="0.2"/>
    <row r="9283" customFormat="1" x14ac:dyDescent="0.2"/>
    <row r="9284" customFormat="1" x14ac:dyDescent="0.2"/>
    <row r="9285" customFormat="1" x14ac:dyDescent="0.2"/>
    <row r="9286" customFormat="1" x14ac:dyDescent="0.2"/>
    <row r="9287" customFormat="1" x14ac:dyDescent="0.2"/>
    <row r="9288" customFormat="1" x14ac:dyDescent="0.2"/>
    <row r="9289" customFormat="1" x14ac:dyDescent="0.2"/>
    <row r="9290" customFormat="1" x14ac:dyDescent="0.2"/>
    <row r="9291" customFormat="1" x14ac:dyDescent="0.2"/>
    <row r="9292" customFormat="1" x14ac:dyDescent="0.2"/>
    <row r="9293" customFormat="1" x14ac:dyDescent="0.2"/>
    <row r="9294" customFormat="1" x14ac:dyDescent="0.2"/>
    <row r="9295" customFormat="1" x14ac:dyDescent="0.2"/>
    <row r="9296" customFormat="1" x14ac:dyDescent="0.2"/>
    <row r="9297" customFormat="1" x14ac:dyDescent="0.2"/>
    <row r="9298" customFormat="1" x14ac:dyDescent="0.2"/>
    <row r="9299" customFormat="1" x14ac:dyDescent="0.2"/>
    <row r="9300" customFormat="1" x14ac:dyDescent="0.2"/>
    <row r="9301" customFormat="1" x14ac:dyDescent="0.2"/>
    <row r="9302" customFormat="1" x14ac:dyDescent="0.2"/>
    <row r="9303" customFormat="1" x14ac:dyDescent="0.2"/>
    <row r="9304" customFormat="1" x14ac:dyDescent="0.2"/>
    <row r="9305" customFormat="1" x14ac:dyDescent="0.2"/>
    <row r="9306" customFormat="1" x14ac:dyDescent="0.2"/>
    <row r="9307" customFormat="1" x14ac:dyDescent="0.2"/>
    <row r="9308" customFormat="1" x14ac:dyDescent="0.2"/>
    <row r="9309" customFormat="1" x14ac:dyDescent="0.2"/>
    <row r="9310" customFormat="1" x14ac:dyDescent="0.2"/>
    <row r="9311" customFormat="1" x14ac:dyDescent="0.2"/>
    <row r="9312" customFormat="1" x14ac:dyDescent="0.2"/>
    <row r="9313" customFormat="1" x14ac:dyDescent="0.2"/>
    <row r="9314" customFormat="1" x14ac:dyDescent="0.2"/>
    <row r="9315" customFormat="1" x14ac:dyDescent="0.2"/>
    <row r="9316" customFormat="1" x14ac:dyDescent="0.2"/>
    <row r="9317" customFormat="1" x14ac:dyDescent="0.2"/>
    <row r="9318" customFormat="1" x14ac:dyDescent="0.2"/>
    <row r="9319" customFormat="1" x14ac:dyDescent="0.2"/>
    <row r="9320" customFormat="1" x14ac:dyDescent="0.2"/>
    <row r="9321" customFormat="1" x14ac:dyDescent="0.2"/>
    <row r="9322" customFormat="1" x14ac:dyDescent="0.2"/>
    <row r="9323" customFormat="1" x14ac:dyDescent="0.2"/>
    <row r="9324" customFormat="1" x14ac:dyDescent="0.2"/>
    <row r="9325" customFormat="1" x14ac:dyDescent="0.2"/>
    <row r="9326" customFormat="1" x14ac:dyDescent="0.2"/>
    <row r="9327" customFormat="1" x14ac:dyDescent="0.2"/>
    <row r="9328" customFormat="1" x14ac:dyDescent="0.2"/>
    <row r="9329" customFormat="1" x14ac:dyDescent="0.2"/>
    <row r="9330" customFormat="1" x14ac:dyDescent="0.2"/>
    <row r="9331" customFormat="1" x14ac:dyDescent="0.2"/>
    <row r="9332" customFormat="1" x14ac:dyDescent="0.2"/>
    <row r="9333" customFormat="1" x14ac:dyDescent="0.2"/>
    <row r="9334" customFormat="1" x14ac:dyDescent="0.2"/>
    <row r="9335" customFormat="1" x14ac:dyDescent="0.2"/>
    <row r="9336" customFormat="1" x14ac:dyDescent="0.2"/>
    <row r="9337" customFormat="1" x14ac:dyDescent="0.2"/>
    <row r="9338" customFormat="1" x14ac:dyDescent="0.2"/>
    <row r="9339" customFormat="1" x14ac:dyDescent="0.2"/>
    <row r="9340" customFormat="1" x14ac:dyDescent="0.2"/>
    <row r="9341" customFormat="1" x14ac:dyDescent="0.2"/>
    <row r="9342" customFormat="1" x14ac:dyDescent="0.2"/>
    <row r="9343" customFormat="1" x14ac:dyDescent="0.2"/>
    <row r="9344" customFormat="1" x14ac:dyDescent="0.2"/>
    <row r="9345" customFormat="1" x14ac:dyDescent="0.2"/>
    <row r="9346" customFormat="1" x14ac:dyDescent="0.2"/>
    <row r="9347" customFormat="1" x14ac:dyDescent="0.2"/>
    <row r="9348" customFormat="1" x14ac:dyDescent="0.2"/>
    <row r="9349" customFormat="1" x14ac:dyDescent="0.2"/>
    <row r="9350" customFormat="1" x14ac:dyDescent="0.2"/>
    <row r="9351" customFormat="1" x14ac:dyDescent="0.2"/>
    <row r="9352" customFormat="1" x14ac:dyDescent="0.2"/>
    <row r="9353" customFormat="1" x14ac:dyDescent="0.2"/>
    <row r="9354" customFormat="1" x14ac:dyDescent="0.2"/>
    <row r="9355" customFormat="1" x14ac:dyDescent="0.2"/>
    <row r="9356" customFormat="1" x14ac:dyDescent="0.2"/>
    <row r="9357" customFormat="1" x14ac:dyDescent="0.2"/>
    <row r="9358" customFormat="1" x14ac:dyDescent="0.2"/>
    <row r="9359" customFormat="1" x14ac:dyDescent="0.2"/>
    <row r="9360" customFormat="1" x14ac:dyDescent="0.2"/>
    <row r="9361" customFormat="1" x14ac:dyDescent="0.2"/>
    <row r="9362" customFormat="1" x14ac:dyDescent="0.2"/>
    <row r="9363" customFormat="1" x14ac:dyDescent="0.2"/>
    <row r="9364" customFormat="1" x14ac:dyDescent="0.2"/>
    <row r="9365" customFormat="1" x14ac:dyDescent="0.2"/>
    <row r="9366" customFormat="1" x14ac:dyDescent="0.2"/>
    <row r="9367" customFormat="1" x14ac:dyDescent="0.2"/>
    <row r="9368" customFormat="1" x14ac:dyDescent="0.2"/>
    <row r="9369" customFormat="1" x14ac:dyDescent="0.2"/>
    <row r="9370" customFormat="1" x14ac:dyDescent="0.2"/>
    <row r="9371" customFormat="1" x14ac:dyDescent="0.2"/>
    <row r="9372" customFormat="1" x14ac:dyDescent="0.2"/>
    <row r="9373" customFormat="1" x14ac:dyDescent="0.2"/>
    <row r="9374" customFormat="1" x14ac:dyDescent="0.2"/>
    <row r="9375" customFormat="1" x14ac:dyDescent="0.2"/>
    <row r="9376" customFormat="1" x14ac:dyDescent="0.2"/>
    <row r="9377" customFormat="1" x14ac:dyDescent="0.2"/>
    <row r="9378" customFormat="1" x14ac:dyDescent="0.2"/>
    <row r="9379" customFormat="1" x14ac:dyDescent="0.2"/>
    <row r="9380" customFormat="1" x14ac:dyDescent="0.2"/>
    <row r="9381" customFormat="1" x14ac:dyDescent="0.2"/>
    <row r="9382" customFormat="1" x14ac:dyDescent="0.2"/>
    <row r="9383" customFormat="1" x14ac:dyDescent="0.2"/>
    <row r="9384" customFormat="1" x14ac:dyDescent="0.2"/>
    <row r="9385" customFormat="1" x14ac:dyDescent="0.2"/>
    <row r="9386" customFormat="1" x14ac:dyDescent="0.2"/>
    <row r="9387" customFormat="1" x14ac:dyDescent="0.2"/>
    <row r="9388" customFormat="1" x14ac:dyDescent="0.2"/>
    <row r="9389" customFormat="1" x14ac:dyDescent="0.2"/>
    <row r="9390" customFormat="1" x14ac:dyDescent="0.2"/>
    <row r="9391" customFormat="1" x14ac:dyDescent="0.2"/>
    <row r="9392" customFormat="1" x14ac:dyDescent="0.2"/>
    <row r="9393" customFormat="1" x14ac:dyDescent="0.2"/>
    <row r="9394" customFormat="1" x14ac:dyDescent="0.2"/>
    <row r="9395" customFormat="1" x14ac:dyDescent="0.2"/>
    <row r="9396" customFormat="1" x14ac:dyDescent="0.2"/>
    <row r="9397" customFormat="1" x14ac:dyDescent="0.2"/>
    <row r="9398" customFormat="1" x14ac:dyDescent="0.2"/>
    <row r="9399" customFormat="1" x14ac:dyDescent="0.2"/>
    <row r="9400" customFormat="1" x14ac:dyDescent="0.2"/>
    <row r="9401" customFormat="1" x14ac:dyDescent="0.2"/>
    <row r="9402" customFormat="1" x14ac:dyDescent="0.2"/>
    <row r="9403" customFormat="1" x14ac:dyDescent="0.2"/>
    <row r="9404" customFormat="1" x14ac:dyDescent="0.2"/>
    <row r="9405" customFormat="1" x14ac:dyDescent="0.2"/>
    <row r="9406" customFormat="1" x14ac:dyDescent="0.2"/>
    <row r="9407" customFormat="1" x14ac:dyDescent="0.2"/>
    <row r="9408" customFormat="1" x14ac:dyDescent="0.2"/>
    <row r="9409" customFormat="1" x14ac:dyDescent="0.2"/>
    <row r="9410" customFormat="1" x14ac:dyDescent="0.2"/>
    <row r="9411" customFormat="1" x14ac:dyDescent="0.2"/>
    <row r="9412" customFormat="1" x14ac:dyDescent="0.2"/>
    <row r="9413" customFormat="1" x14ac:dyDescent="0.2"/>
    <row r="9414" customFormat="1" x14ac:dyDescent="0.2"/>
    <row r="9415" customFormat="1" x14ac:dyDescent="0.2"/>
    <row r="9416" customFormat="1" x14ac:dyDescent="0.2"/>
    <row r="9417" customFormat="1" x14ac:dyDescent="0.2"/>
    <row r="9418" customFormat="1" x14ac:dyDescent="0.2"/>
    <row r="9419" customFormat="1" x14ac:dyDescent="0.2"/>
    <row r="9420" customFormat="1" x14ac:dyDescent="0.2"/>
    <row r="9421" customFormat="1" x14ac:dyDescent="0.2"/>
    <row r="9422" customFormat="1" x14ac:dyDescent="0.2"/>
    <row r="9423" customFormat="1" x14ac:dyDescent="0.2"/>
    <row r="9424" customFormat="1" x14ac:dyDescent="0.2"/>
    <row r="9425" customFormat="1" x14ac:dyDescent="0.2"/>
    <row r="9426" customFormat="1" x14ac:dyDescent="0.2"/>
    <row r="9427" customFormat="1" x14ac:dyDescent="0.2"/>
    <row r="9428" customFormat="1" x14ac:dyDescent="0.2"/>
    <row r="9429" customFormat="1" x14ac:dyDescent="0.2"/>
    <row r="9430" customFormat="1" x14ac:dyDescent="0.2"/>
    <row r="9431" customFormat="1" x14ac:dyDescent="0.2"/>
    <row r="9432" customFormat="1" x14ac:dyDescent="0.2"/>
    <row r="9433" customFormat="1" x14ac:dyDescent="0.2"/>
    <row r="9434" customFormat="1" x14ac:dyDescent="0.2"/>
    <row r="9435" customFormat="1" x14ac:dyDescent="0.2"/>
    <row r="9436" customFormat="1" x14ac:dyDescent="0.2"/>
    <row r="9437" customFormat="1" x14ac:dyDescent="0.2"/>
    <row r="9438" customFormat="1" x14ac:dyDescent="0.2"/>
    <row r="9439" customFormat="1" x14ac:dyDescent="0.2"/>
    <row r="9440" customFormat="1" x14ac:dyDescent="0.2"/>
    <row r="9441" customFormat="1" x14ac:dyDescent="0.2"/>
    <row r="9442" customFormat="1" x14ac:dyDescent="0.2"/>
    <row r="9443" customFormat="1" x14ac:dyDescent="0.2"/>
    <row r="9444" customFormat="1" x14ac:dyDescent="0.2"/>
    <row r="9445" customFormat="1" x14ac:dyDescent="0.2"/>
    <row r="9446" customFormat="1" x14ac:dyDescent="0.2"/>
    <row r="9447" customFormat="1" x14ac:dyDescent="0.2"/>
    <row r="9448" customFormat="1" x14ac:dyDescent="0.2"/>
    <row r="9449" customFormat="1" x14ac:dyDescent="0.2"/>
    <row r="9450" customFormat="1" x14ac:dyDescent="0.2"/>
    <row r="9451" customFormat="1" x14ac:dyDescent="0.2"/>
    <row r="9452" customFormat="1" x14ac:dyDescent="0.2"/>
    <row r="9453" customFormat="1" x14ac:dyDescent="0.2"/>
    <row r="9454" customFormat="1" x14ac:dyDescent="0.2"/>
    <row r="9455" customFormat="1" x14ac:dyDescent="0.2"/>
    <row r="9456" customFormat="1" x14ac:dyDescent="0.2"/>
    <row r="9457" customFormat="1" x14ac:dyDescent="0.2"/>
    <row r="9458" customFormat="1" x14ac:dyDescent="0.2"/>
    <row r="9459" customFormat="1" x14ac:dyDescent="0.2"/>
    <row r="9460" customFormat="1" x14ac:dyDescent="0.2"/>
    <row r="9461" customFormat="1" x14ac:dyDescent="0.2"/>
    <row r="9462" customFormat="1" x14ac:dyDescent="0.2"/>
    <row r="9463" customFormat="1" x14ac:dyDescent="0.2"/>
    <row r="9464" customFormat="1" x14ac:dyDescent="0.2"/>
    <row r="9465" customFormat="1" x14ac:dyDescent="0.2"/>
    <row r="9466" customFormat="1" x14ac:dyDescent="0.2"/>
    <row r="9467" customFormat="1" x14ac:dyDescent="0.2"/>
    <row r="9468" customFormat="1" x14ac:dyDescent="0.2"/>
    <row r="9469" customFormat="1" x14ac:dyDescent="0.2"/>
    <row r="9470" customFormat="1" x14ac:dyDescent="0.2"/>
    <row r="9471" customFormat="1" x14ac:dyDescent="0.2"/>
    <row r="9472" customFormat="1" x14ac:dyDescent="0.2"/>
    <row r="9473" customFormat="1" x14ac:dyDescent="0.2"/>
    <row r="9474" customFormat="1" x14ac:dyDescent="0.2"/>
    <row r="9475" customFormat="1" x14ac:dyDescent="0.2"/>
    <row r="9476" customFormat="1" x14ac:dyDescent="0.2"/>
    <row r="9477" customFormat="1" x14ac:dyDescent="0.2"/>
    <row r="9478" customFormat="1" x14ac:dyDescent="0.2"/>
    <row r="9479" customFormat="1" x14ac:dyDescent="0.2"/>
    <row r="9480" customFormat="1" x14ac:dyDescent="0.2"/>
    <row r="9481" customFormat="1" x14ac:dyDescent="0.2"/>
    <row r="9482" customFormat="1" x14ac:dyDescent="0.2"/>
    <row r="9483" customFormat="1" x14ac:dyDescent="0.2"/>
    <row r="9484" customFormat="1" x14ac:dyDescent="0.2"/>
    <row r="9485" customFormat="1" x14ac:dyDescent="0.2"/>
    <row r="9486" customFormat="1" x14ac:dyDescent="0.2"/>
    <row r="9487" customFormat="1" x14ac:dyDescent="0.2"/>
    <row r="9488" customFormat="1" x14ac:dyDescent="0.2"/>
    <row r="9489" customFormat="1" x14ac:dyDescent="0.2"/>
    <row r="9490" customFormat="1" x14ac:dyDescent="0.2"/>
    <row r="9491" customFormat="1" x14ac:dyDescent="0.2"/>
    <row r="9492" customFormat="1" x14ac:dyDescent="0.2"/>
    <row r="9493" customFormat="1" x14ac:dyDescent="0.2"/>
    <row r="9494" customFormat="1" x14ac:dyDescent="0.2"/>
    <row r="9495" customFormat="1" x14ac:dyDescent="0.2"/>
    <row r="9496" customFormat="1" x14ac:dyDescent="0.2"/>
    <row r="9497" customFormat="1" x14ac:dyDescent="0.2"/>
    <row r="9498" customFormat="1" x14ac:dyDescent="0.2"/>
    <row r="9499" customFormat="1" x14ac:dyDescent="0.2"/>
    <row r="9500" customFormat="1" x14ac:dyDescent="0.2"/>
    <row r="9501" customFormat="1" x14ac:dyDescent="0.2"/>
    <row r="9502" customFormat="1" x14ac:dyDescent="0.2"/>
    <row r="9503" customFormat="1" x14ac:dyDescent="0.2"/>
    <row r="9504" customFormat="1" x14ac:dyDescent="0.2"/>
    <row r="9505" customFormat="1" x14ac:dyDescent="0.2"/>
    <row r="9506" customFormat="1" x14ac:dyDescent="0.2"/>
    <row r="9507" customFormat="1" x14ac:dyDescent="0.2"/>
    <row r="9508" customFormat="1" x14ac:dyDescent="0.2"/>
    <row r="9509" customFormat="1" x14ac:dyDescent="0.2"/>
    <row r="9510" customFormat="1" x14ac:dyDescent="0.2"/>
    <row r="9511" customFormat="1" x14ac:dyDescent="0.2"/>
    <row r="9512" customFormat="1" x14ac:dyDescent="0.2"/>
    <row r="9513" customFormat="1" x14ac:dyDescent="0.2"/>
    <row r="9514" customFormat="1" x14ac:dyDescent="0.2"/>
    <row r="9515" customFormat="1" x14ac:dyDescent="0.2"/>
    <row r="9516" customFormat="1" x14ac:dyDescent="0.2"/>
    <row r="9517" customFormat="1" x14ac:dyDescent="0.2"/>
    <row r="9518" customFormat="1" x14ac:dyDescent="0.2"/>
    <row r="9519" customFormat="1" x14ac:dyDescent="0.2"/>
    <row r="9520" customFormat="1" x14ac:dyDescent="0.2"/>
    <row r="9521" customFormat="1" x14ac:dyDescent="0.2"/>
    <row r="9522" customFormat="1" x14ac:dyDescent="0.2"/>
    <row r="9523" customFormat="1" x14ac:dyDescent="0.2"/>
    <row r="9524" customFormat="1" x14ac:dyDescent="0.2"/>
    <row r="9525" customFormat="1" x14ac:dyDescent="0.2"/>
    <row r="9526" customFormat="1" x14ac:dyDescent="0.2"/>
    <row r="9527" customFormat="1" x14ac:dyDescent="0.2"/>
    <row r="9528" customFormat="1" x14ac:dyDescent="0.2"/>
    <row r="9529" customFormat="1" x14ac:dyDescent="0.2"/>
    <row r="9530" customFormat="1" x14ac:dyDescent="0.2"/>
    <row r="9531" customFormat="1" x14ac:dyDescent="0.2"/>
    <row r="9532" customFormat="1" x14ac:dyDescent="0.2"/>
    <row r="9533" customFormat="1" x14ac:dyDescent="0.2"/>
    <row r="9534" customFormat="1" x14ac:dyDescent="0.2"/>
    <row r="9535" customFormat="1" x14ac:dyDescent="0.2"/>
    <row r="9536" customFormat="1" x14ac:dyDescent="0.2"/>
    <row r="9537" customFormat="1" x14ac:dyDescent="0.2"/>
    <row r="9538" customFormat="1" x14ac:dyDescent="0.2"/>
    <row r="9539" customFormat="1" x14ac:dyDescent="0.2"/>
    <row r="9540" customFormat="1" x14ac:dyDescent="0.2"/>
    <row r="9541" customFormat="1" x14ac:dyDescent="0.2"/>
    <row r="9542" customFormat="1" x14ac:dyDescent="0.2"/>
    <row r="9543" customFormat="1" x14ac:dyDescent="0.2"/>
    <row r="9544" customFormat="1" x14ac:dyDescent="0.2"/>
    <row r="9545" customFormat="1" x14ac:dyDescent="0.2"/>
    <row r="9546" customFormat="1" x14ac:dyDescent="0.2"/>
    <row r="9547" customFormat="1" x14ac:dyDescent="0.2"/>
    <row r="9548" customFormat="1" x14ac:dyDescent="0.2"/>
    <row r="9549" customFormat="1" x14ac:dyDescent="0.2"/>
    <row r="9550" customFormat="1" x14ac:dyDescent="0.2"/>
    <row r="9551" customFormat="1" x14ac:dyDescent="0.2"/>
    <row r="9552" customFormat="1" x14ac:dyDescent="0.2"/>
    <row r="9553" customFormat="1" x14ac:dyDescent="0.2"/>
    <row r="9554" customFormat="1" x14ac:dyDescent="0.2"/>
    <row r="9555" customFormat="1" x14ac:dyDescent="0.2"/>
    <row r="9556" customFormat="1" x14ac:dyDescent="0.2"/>
    <row r="9557" customFormat="1" x14ac:dyDescent="0.2"/>
    <row r="9558" customFormat="1" x14ac:dyDescent="0.2"/>
    <row r="9559" customFormat="1" x14ac:dyDescent="0.2"/>
    <row r="9560" customFormat="1" x14ac:dyDescent="0.2"/>
    <row r="9561" customFormat="1" x14ac:dyDescent="0.2"/>
    <row r="9562" customFormat="1" x14ac:dyDescent="0.2"/>
    <row r="9563" customFormat="1" x14ac:dyDescent="0.2"/>
    <row r="9564" customFormat="1" x14ac:dyDescent="0.2"/>
    <row r="9565" customFormat="1" x14ac:dyDescent="0.2"/>
    <row r="9566" customFormat="1" x14ac:dyDescent="0.2"/>
    <row r="9567" customFormat="1" x14ac:dyDescent="0.2"/>
    <row r="9568" customFormat="1" x14ac:dyDescent="0.2"/>
    <row r="9569" customFormat="1" x14ac:dyDescent="0.2"/>
    <row r="9570" customFormat="1" x14ac:dyDescent="0.2"/>
    <row r="9571" customFormat="1" x14ac:dyDescent="0.2"/>
    <row r="9572" customFormat="1" x14ac:dyDescent="0.2"/>
    <row r="9573" customFormat="1" x14ac:dyDescent="0.2"/>
    <row r="9574" customFormat="1" x14ac:dyDescent="0.2"/>
    <row r="9575" customFormat="1" x14ac:dyDescent="0.2"/>
    <row r="9576" customFormat="1" x14ac:dyDescent="0.2"/>
    <row r="9577" customFormat="1" x14ac:dyDescent="0.2"/>
    <row r="9578" customFormat="1" x14ac:dyDescent="0.2"/>
    <row r="9579" customFormat="1" x14ac:dyDescent="0.2"/>
    <row r="9580" customFormat="1" x14ac:dyDescent="0.2"/>
    <row r="9581" customFormat="1" x14ac:dyDescent="0.2"/>
    <row r="9582" customFormat="1" x14ac:dyDescent="0.2"/>
    <row r="9583" customFormat="1" x14ac:dyDescent="0.2"/>
    <row r="9584" customFormat="1" x14ac:dyDescent="0.2"/>
    <row r="9585" customFormat="1" x14ac:dyDescent="0.2"/>
    <row r="9586" customFormat="1" x14ac:dyDescent="0.2"/>
    <row r="9587" customFormat="1" x14ac:dyDescent="0.2"/>
    <row r="9588" customFormat="1" x14ac:dyDescent="0.2"/>
    <row r="9589" customFormat="1" x14ac:dyDescent="0.2"/>
    <row r="9590" customFormat="1" x14ac:dyDescent="0.2"/>
    <row r="9591" customFormat="1" x14ac:dyDescent="0.2"/>
    <row r="9592" customFormat="1" x14ac:dyDescent="0.2"/>
    <row r="9593" customFormat="1" x14ac:dyDescent="0.2"/>
    <row r="9594" customFormat="1" x14ac:dyDescent="0.2"/>
    <row r="9595" customFormat="1" x14ac:dyDescent="0.2"/>
    <row r="9596" customFormat="1" x14ac:dyDescent="0.2"/>
    <row r="9597" customFormat="1" x14ac:dyDescent="0.2"/>
    <row r="9598" customFormat="1" x14ac:dyDescent="0.2"/>
    <row r="9599" customFormat="1" x14ac:dyDescent="0.2"/>
    <row r="9600" customFormat="1" x14ac:dyDescent="0.2"/>
    <row r="9601" customFormat="1" x14ac:dyDescent="0.2"/>
    <row r="9602" customFormat="1" x14ac:dyDescent="0.2"/>
    <row r="9603" customFormat="1" x14ac:dyDescent="0.2"/>
    <row r="9604" customFormat="1" x14ac:dyDescent="0.2"/>
    <row r="9605" customFormat="1" x14ac:dyDescent="0.2"/>
    <row r="9606" customFormat="1" x14ac:dyDescent="0.2"/>
    <row r="9607" customFormat="1" x14ac:dyDescent="0.2"/>
    <row r="9608" customFormat="1" x14ac:dyDescent="0.2"/>
    <row r="9609" customFormat="1" x14ac:dyDescent="0.2"/>
    <row r="9610" customFormat="1" x14ac:dyDescent="0.2"/>
    <row r="9611" customFormat="1" x14ac:dyDescent="0.2"/>
    <row r="9612" customFormat="1" x14ac:dyDescent="0.2"/>
    <row r="9613" customFormat="1" x14ac:dyDescent="0.2"/>
    <row r="9614" customFormat="1" x14ac:dyDescent="0.2"/>
    <row r="9615" customFormat="1" x14ac:dyDescent="0.2"/>
    <row r="9616" customFormat="1" x14ac:dyDescent="0.2"/>
    <row r="9617" customFormat="1" x14ac:dyDescent="0.2"/>
    <row r="9618" customFormat="1" x14ac:dyDescent="0.2"/>
    <row r="9619" customFormat="1" x14ac:dyDescent="0.2"/>
    <row r="9620" customFormat="1" x14ac:dyDescent="0.2"/>
    <row r="9621" customFormat="1" x14ac:dyDescent="0.2"/>
    <row r="9622" customFormat="1" x14ac:dyDescent="0.2"/>
    <row r="9623" customFormat="1" x14ac:dyDescent="0.2"/>
    <row r="9624" customFormat="1" x14ac:dyDescent="0.2"/>
    <row r="9625" customFormat="1" x14ac:dyDescent="0.2"/>
    <row r="9626" customFormat="1" x14ac:dyDescent="0.2"/>
    <row r="9627" customFormat="1" x14ac:dyDescent="0.2"/>
    <row r="9628" customFormat="1" x14ac:dyDescent="0.2"/>
    <row r="9629" customFormat="1" x14ac:dyDescent="0.2"/>
    <row r="9630" customFormat="1" x14ac:dyDescent="0.2"/>
    <row r="9631" customFormat="1" x14ac:dyDescent="0.2"/>
    <row r="9632" customFormat="1" x14ac:dyDescent="0.2"/>
    <row r="9633" customFormat="1" x14ac:dyDescent="0.2"/>
    <row r="9634" customFormat="1" x14ac:dyDescent="0.2"/>
    <row r="9635" customFormat="1" x14ac:dyDescent="0.2"/>
    <row r="9636" customFormat="1" x14ac:dyDescent="0.2"/>
    <row r="9637" customFormat="1" x14ac:dyDescent="0.2"/>
    <row r="9638" customFormat="1" x14ac:dyDescent="0.2"/>
    <row r="9639" customFormat="1" x14ac:dyDescent="0.2"/>
    <row r="9640" customFormat="1" x14ac:dyDescent="0.2"/>
    <row r="9641" customFormat="1" x14ac:dyDescent="0.2"/>
    <row r="9642" customFormat="1" x14ac:dyDescent="0.2"/>
    <row r="9643" customFormat="1" x14ac:dyDescent="0.2"/>
    <row r="9644" customFormat="1" x14ac:dyDescent="0.2"/>
    <row r="9645" customFormat="1" x14ac:dyDescent="0.2"/>
    <row r="9646" customFormat="1" x14ac:dyDescent="0.2"/>
    <row r="9647" customFormat="1" x14ac:dyDescent="0.2"/>
    <row r="9648" customFormat="1" x14ac:dyDescent="0.2"/>
    <row r="9649" customFormat="1" x14ac:dyDescent="0.2"/>
    <row r="9650" customFormat="1" x14ac:dyDescent="0.2"/>
    <row r="9651" customFormat="1" x14ac:dyDescent="0.2"/>
    <row r="9652" customFormat="1" x14ac:dyDescent="0.2"/>
    <row r="9653" customFormat="1" x14ac:dyDescent="0.2"/>
    <row r="9654" customFormat="1" x14ac:dyDescent="0.2"/>
    <row r="9655" customFormat="1" x14ac:dyDescent="0.2"/>
    <row r="9656" customFormat="1" x14ac:dyDescent="0.2"/>
    <row r="9657" customFormat="1" x14ac:dyDescent="0.2"/>
    <row r="9658" customFormat="1" x14ac:dyDescent="0.2"/>
    <row r="9659" customFormat="1" x14ac:dyDescent="0.2"/>
    <row r="9660" customFormat="1" x14ac:dyDescent="0.2"/>
    <row r="9661" customFormat="1" x14ac:dyDescent="0.2"/>
    <row r="9662" customFormat="1" x14ac:dyDescent="0.2"/>
    <row r="9663" customFormat="1" x14ac:dyDescent="0.2"/>
    <row r="9664" customFormat="1" x14ac:dyDescent="0.2"/>
    <row r="9665" customFormat="1" x14ac:dyDescent="0.2"/>
    <row r="9666" customFormat="1" x14ac:dyDescent="0.2"/>
    <row r="9667" customFormat="1" x14ac:dyDescent="0.2"/>
    <row r="9668" customFormat="1" x14ac:dyDescent="0.2"/>
    <row r="9669" customFormat="1" x14ac:dyDescent="0.2"/>
    <row r="9670" customFormat="1" x14ac:dyDescent="0.2"/>
    <row r="9671" customFormat="1" x14ac:dyDescent="0.2"/>
    <row r="9672" customFormat="1" x14ac:dyDescent="0.2"/>
    <row r="9673" customFormat="1" x14ac:dyDescent="0.2"/>
    <row r="9674" customFormat="1" x14ac:dyDescent="0.2"/>
    <row r="9675" customFormat="1" x14ac:dyDescent="0.2"/>
    <row r="9676" customFormat="1" x14ac:dyDescent="0.2"/>
    <row r="9677" customFormat="1" x14ac:dyDescent="0.2"/>
    <row r="9678" customFormat="1" x14ac:dyDescent="0.2"/>
    <row r="9679" customFormat="1" x14ac:dyDescent="0.2"/>
    <row r="9680" customFormat="1" x14ac:dyDescent="0.2"/>
    <row r="9681" customFormat="1" x14ac:dyDescent="0.2"/>
    <row r="9682" customFormat="1" x14ac:dyDescent="0.2"/>
    <row r="9683" customFormat="1" x14ac:dyDescent="0.2"/>
    <row r="9684" customFormat="1" x14ac:dyDescent="0.2"/>
    <row r="9685" customFormat="1" x14ac:dyDescent="0.2"/>
    <row r="9686" customFormat="1" x14ac:dyDescent="0.2"/>
    <row r="9687" customFormat="1" x14ac:dyDescent="0.2"/>
    <row r="9688" customFormat="1" x14ac:dyDescent="0.2"/>
    <row r="9689" customFormat="1" x14ac:dyDescent="0.2"/>
    <row r="9690" customFormat="1" x14ac:dyDescent="0.2"/>
    <row r="9691" customFormat="1" x14ac:dyDescent="0.2"/>
    <row r="9692" customFormat="1" x14ac:dyDescent="0.2"/>
    <row r="9693" customFormat="1" x14ac:dyDescent="0.2"/>
    <row r="9694" customFormat="1" x14ac:dyDescent="0.2"/>
    <row r="9695" customFormat="1" x14ac:dyDescent="0.2"/>
    <row r="9696" customFormat="1" x14ac:dyDescent="0.2"/>
    <row r="9697" customFormat="1" x14ac:dyDescent="0.2"/>
    <row r="9698" customFormat="1" x14ac:dyDescent="0.2"/>
    <row r="9699" customFormat="1" x14ac:dyDescent="0.2"/>
    <row r="9700" customFormat="1" x14ac:dyDescent="0.2"/>
    <row r="9701" customFormat="1" x14ac:dyDescent="0.2"/>
    <row r="9702" customFormat="1" x14ac:dyDescent="0.2"/>
    <row r="9703" customFormat="1" x14ac:dyDescent="0.2"/>
    <row r="9704" customFormat="1" x14ac:dyDescent="0.2"/>
    <row r="9705" customFormat="1" x14ac:dyDescent="0.2"/>
    <row r="9706" customFormat="1" x14ac:dyDescent="0.2"/>
    <row r="9707" customFormat="1" x14ac:dyDescent="0.2"/>
    <row r="9708" customFormat="1" x14ac:dyDescent="0.2"/>
    <row r="9709" customFormat="1" x14ac:dyDescent="0.2"/>
    <row r="9710" customFormat="1" x14ac:dyDescent="0.2"/>
    <row r="9711" customFormat="1" x14ac:dyDescent="0.2"/>
    <row r="9712" customFormat="1" x14ac:dyDescent="0.2"/>
    <row r="9713" customFormat="1" x14ac:dyDescent="0.2"/>
    <row r="9714" customFormat="1" x14ac:dyDescent="0.2"/>
    <row r="9715" customFormat="1" x14ac:dyDescent="0.2"/>
    <row r="9716" customFormat="1" x14ac:dyDescent="0.2"/>
    <row r="9717" customFormat="1" x14ac:dyDescent="0.2"/>
    <row r="9718" customFormat="1" x14ac:dyDescent="0.2"/>
    <row r="9719" customFormat="1" x14ac:dyDescent="0.2"/>
    <row r="9720" customFormat="1" x14ac:dyDescent="0.2"/>
    <row r="9721" customFormat="1" x14ac:dyDescent="0.2"/>
    <row r="9722" customFormat="1" x14ac:dyDescent="0.2"/>
    <row r="9723" customFormat="1" x14ac:dyDescent="0.2"/>
    <row r="9724" customFormat="1" x14ac:dyDescent="0.2"/>
    <row r="9725" customFormat="1" x14ac:dyDescent="0.2"/>
    <row r="9726" customFormat="1" x14ac:dyDescent="0.2"/>
    <row r="9727" customFormat="1" x14ac:dyDescent="0.2"/>
    <row r="9728" customFormat="1" x14ac:dyDescent="0.2"/>
    <row r="9729" customFormat="1" x14ac:dyDescent="0.2"/>
    <row r="9730" customFormat="1" x14ac:dyDescent="0.2"/>
    <row r="9731" customFormat="1" x14ac:dyDescent="0.2"/>
    <row r="9732" customFormat="1" x14ac:dyDescent="0.2"/>
    <row r="9733" customFormat="1" x14ac:dyDescent="0.2"/>
    <row r="9734" customFormat="1" x14ac:dyDescent="0.2"/>
    <row r="9735" customFormat="1" x14ac:dyDescent="0.2"/>
    <row r="9736" customFormat="1" x14ac:dyDescent="0.2"/>
    <row r="9737" customFormat="1" x14ac:dyDescent="0.2"/>
    <row r="9738" customFormat="1" x14ac:dyDescent="0.2"/>
    <row r="9739" customFormat="1" x14ac:dyDescent="0.2"/>
    <row r="9740" customFormat="1" x14ac:dyDescent="0.2"/>
    <row r="9741" customFormat="1" x14ac:dyDescent="0.2"/>
    <row r="9742" customFormat="1" x14ac:dyDescent="0.2"/>
    <row r="9743" customFormat="1" x14ac:dyDescent="0.2"/>
    <row r="9744" customFormat="1" x14ac:dyDescent="0.2"/>
    <row r="9745" customFormat="1" x14ac:dyDescent="0.2"/>
    <row r="9746" customFormat="1" x14ac:dyDescent="0.2"/>
    <row r="9747" customFormat="1" x14ac:dyDescent="0.2"/>
    <row r="9748" customFormat="1" x14ac:dyDescent="0.2"/>
    <row r="9749" customFormat="1" x14ac:dyDescent="0.2"/>
    <row r="9750" customFormat="1" x14ac:dyDescent="0.2"/>
    <row r="9751" customFormat="1" x14ac:dyDescent="0.2"/>
    <row r="9752" customFormat="1" x14ac:dyDescent="0.2"/>
    <row r="9753" customFormat="1" x14ac:dyDescent="0.2"/>
    <row r="9754" customFormat="1" x14ac:dyDescent="0.2"/>
    <row r="9755" customFormat="1" x14ac:dyDescent="0.2"/>
    <row r="9756" customFormat="1" x14ac:dyDescent="0.2"/>
    <row r="9757" customFormat="1" x14ac:dyDescent="0.2"/>
    <row r="9758" customFormat="1" x14ac:dyDescent="0.2"/>
    <row r="9759" customFormat="1" x14ac:dyDescent="0.2"/>
    <row r="9760" customFormat="1" x14ac:dyDescent="0.2"/>
    <row r="9761" customFormat="1" x14ac:dyDescent="0.2"/>
    <row r="9762" customFormat="1" x14ac:dyDescent="0.2"/>
    <row r="9763" customFormat="1" x14ac:dyDescent="0.2"/>
    <row r="9764" customFormat="1" x14ac:dyDescent="0.2"/>
    <row r="9765" customFormat="1" x14ac:dyDescent="0.2"/>
    <row r="9766" customFormat="1" x14ac:dyDescent="0.2"/>
    <row r="9767" customFormat="1" x14ac:dyDescent="0.2"/>
    <row r="9768" customFormat="1" x14ac:dyDescent="0.2"/>
    <row r="9769" customFormat="1" x14ac:dyDescent="0.2"/>
    <row r="9770" customFormat="1" x14ac:dyDescent="0.2"/>
    <row r="9771" customFormat="1" x14ac:dyDescent="0.2"/>
    <row r="9772" customFormat="1" x14ac:dyDescent="0.2"/>
    <row r="9773" customFormat="1" x14ac:dyDescent="0.2"/>
    <row r="9774" customFormat="1" x14ac:dyDescent="0.2"/>
    <row r="9775" customFormat="1" x14ac:dyDescent="0.2"/>
    <row r="9776" customFormat="1" x14ac:dyDescent="0.2"/>
    <row r="9777" customFormat="1" x14ac:dyDescent="0.2"/>
    <row r="9778" customFormat="1" x14ac:dyDescent="0.2"/>
    <row r="9779" customFormat="1" x14ac:dyDescent="0.2"/>
    <row r="9780" customFormat="1" x14ac:dyDescent="0.2"/>
    <row r="9781" customFormat="1" x14ac:dyDescent="0.2"/>
    <row r="9782" customFormat="1" x14ac:dyDescent="0.2"/>
    <row r="9783" customFormat="1" x14ac:dyDescent="0.2"/>
    <row r="9784" customFormat="1" x14ac:dyDescent="0.2"/>
    <row r="9785" customFormat="1" x14ac:dyDescent="0.2"/>
    <row r="9786" customFormat="1" x14ac:dyDescent="0.2"/>
    <row r="9787" customFormat="1" x14ac:dyDescent="0.2"/>
    <row r="9788" customFormat="1" x14ac:dyDescent="0.2"/>
    <row r="9789" customFormat="1" x14ac:dyDescent="0.2"/>
    <row r="9790" customFormat="1" x14ac:dyDescent="0.2"/>
    <row r="9791" customFormat="1" x14ac:dyDescent="0.2"/>
    <row r="9792" customFormat="1" x14ac:dyDescent="0.2"/>
    <row r="9793" customFormat="1" x14ac:dyDescent="0.2"/>
    <row r="9794" customFormat="1" x14ac:dyDescent="0.2"/>
    <row r="9795" customFormat="1" x14ac:dyDescent="0.2"/>
    <row r="9796" customFormat="1" x14ac:dyDescent="0.2"/>
    <row r="9797" customFormat="1" x14ac:dyDescent="0.2"/>
    <row r="9798" customFormat="1" x14ac:dyDescent="0.2"/>
    <row r="9799" customFormat="1" x14ac:dyDescent="0.2"/>
    <row r="9800" customFormat="1" x14ac:dyDescent="0.2"/>
    <row r="9801" customFormat="1" x14ac:dyDescent="0.2"/>
    <row r="9802" customFormat="1" x14ac:dyDescent="0.2"/>
    <row r="9803" customFormat="1" x14ac:dyDescent="0.2"/>
    <row r="9804" customFormat="1" x14ac:dyDescent="0.2"/>
    <row r="9805" customFormat="1" x14ac:dyDescent="0.2"/>
    <row r="9806" customFormat="1" x14ac:dyDescent="0.2"/>
    <row r="9807" customFormat="1" x14ac:dyDescent="0.2"/>
    <row r="9808" customFormat="1" x14ac:dyDescent="0.2"/>
    <row r="9809" customFormat="1" x14ac:dyDescent="0.2"/>
    <row r="9810" customFormat="1" x14ac:dyDescent="0.2"/>
    <row r="9811" customFormat="1" x14ac:dyDescent="0.2"/>
    <row r="9812" customFormat="1" x14ac:dyDescent="0.2"/>
    <row r="9813" customFormat="1" x14ac:dyDescent="0.2"/>
    <row r="9814" customFormat="1" x14ac:dyDescent="0.2"/>
    <row r="9815" customFormat="1" x14ac:dyDescent="0.2"/>
    <row r="9816" customFormat="1" x14ac:dyDescent="0.2"/>
    <row r="9817" customFormat="1" x14ac:dyDescent="0.2"/>
    <row r="9818" customFormat="1" x14ac:dyDescent="0.2"/>
    <row r="9819" customFormat="1" x14ac:dyDescent="0.2"/>
    <row r="9820" customFormat="1" x14ac:dyDescent="0.2"/>
    <row r="9821" customFormat="1" x14ac:dyDescent="0.2"/>
    <row r="9822" customFormat="1" x14ac:dyDescent="0.2"/>
    <row r="9823" customFormat="1" x14ac:dyDescent="0.2"/>
    <row r="9824" customFormat="1" x14ac:dyDescent="0.2"/>
    <row r="9825" customFormat="1" x14ac:dyDescent="0.2"/>
    <row r="9826" customFormat="1" x14ac:dyDescent="0.2"/>
    <row r="9827" customFormat="1" x14ac:dyDescent="0.2"/>
    <row r="9828" customFormat="1" x14ac:dyDescent="0.2"/>
    <row r="9829" customFormat="1" x14ac:dyDescent="0.2"/>
    <row r="9830" customFormat="1" x14ac:dyDescent="0.2"/>
    <row r="9831" customFormat="1" x14ac:dyDescent="0.2"/>
    <row r="9832" customFormat="1" x14ac:dyDescent="0.2"/>
    <row r="9833" customFormat="1" x14ac:dyDescent="0.2"/>
    <row r="9834" customFormat="1" x14ac:dyDescent="0.2"/>
    <row r="9835" customFormat="1" x14ac:dyDescent="0.2"/>
    <row r="9836" customFormat="1" x14ac:dyDescent="0.2"/>
    <row r="9837" customFormat="1" x14ac:dyDescent="0.2"/>
    <row r="9838" customFormat="1" x14ac:dyDescent="0.2"/>
    <row r="9839" customFormat="1" x14ac:dyDescent="0.2"/>
    <row r="9840" customFormat="1" x14ac:dyDescent="0.2"/>
    <row r="9841" customFormat="1" x14ac:dyDescent="0.2"/>
    <row r="9842" customFormat="1" x14ac:dyDescent="0.2"/>
    <row r="9843" customFormat="1" x14ac:dyDescent="0.2"/>
    <row r="9844" customFormat="1" x14ac:dyDescent="0.2"/>
    <row r="9845" customFormat="1" x14ac:dyDescent="0.2"/>
    <row r="9846" customFormat="1" x14ac:dyDescent="0.2"/>
    <row r="9847" customFormat="1" x14ac:dyDescent="0.2"/>
    <row r="9848" customFormat="1" x14ac:dyDescent="0.2"/>
    <row r="9849" customFormat="1" x14ac:dyDescent="0.2"/>
    <row r="9850" customFormat="1" x14ac:dyDescent="0.2"/>
    <row r="9851" customFormat="1" x14ac:dyDescent="0.2"/>
    <row r="9852" customFormat="1" x14ac:dyDescent="0.2"/>
    <row r="9853" customFormat="1" x14ac:dyDescent="0.2"/>
    <row r="9854" customFormat="1" x14ac:dyDescent="0.2"/>
    <row r="9855" customFormat="1" x14ac:dyDescent="0.2"/>
    <row r="9856" customFormat="1" x14ac:dyDescent="0.2"/>
    <row r="9857" customFormat="1" x14ac:dyDescent="0.2"/>
    <row r="9858" customFormat="1" x14ac:dyDescent="0.2"/>
    <row r="9859" customFormat="1" x14ac:dyDescent="0.2"/>
    <row r="9860" customFormat="1" x14ac:dyDescent="0.2"/>
    <row r="9861" customFormat="1" x14ac:dyDescent="0.2"/>
    <row r="9862" customFormat="1" x14ac:dyDescent="0.2"/>
    <row r="9863" customFormat="1" x14ac:dyDescent="0.2"/>
    <row r="9864" customFormat="1" x14ac:dyDescent="0.2"/>
    <row r="9865" customFormat="1" x14ac:dyDescent="0.2"/>
    <row r="9866" customFormat="1" x14ac:dyDescent="0.2"/>
    <row r="9867" customFormat="1" x14ac:dyDescent="0.2"/>
    <row r="9868" customFormat="1" x14ac:dyDescent="0.2"/>
    <row r="9869" customFormat="1" x14ac:dyDescent="0.2"/>
    <row r="9870" customFormat="1" x14ac:dyDescent="0.2"/>
    <row r="9871" customFormat="1" x14ac:dyDescent="0.2"/>
    <row r="9872" customFormat="1" x14ac:dyDescent="0.2"/>
    <row r="9873" customFormat="1" x14ac:dyDescent="0.2"/>
    <row r="9874" customFormat="1" x14ac:dyDescent="0.2"/>
    <row r="9875" customFormat="1" x14ac:dyDescent="0.2"/>
    <row r="9876" customFormat="1" x14ac:dyDescent="0.2"/>
    <row r="9877" customFormat="1" x14ac:dyDescent="0.2"/>
    <row r="9878" customFormat="1" x14ac:dyDescent="0.2"/>
    <row r="9879" customFormat="1" x14ac:dyDescent="0.2"/>
    <row r="9880" customFormat="1" x14ac:dyDescent="0.2"/>
    <row r="9881" customFormat="1" x14ac:dyDescent="0.2"/>
    <row r="9882" customFormat="1" x14ac:dyDescent="0.2"/>
    <row r="9883" customFormat="1" x14ac:dyDescent="0.2"/>
    <row r="9884" customFormat="1" x14ac:dyDescent="0.2"/>
    <row r="9885" customFormat="1" x14ac:dyDescent="0.2"/>
    <row r="9886" customFormat="1" x14ac:dyDescent="0.2"/>
    <row r="9887" customFormat="1" x14ac:dyDescent="0.2"/>
    <row r="9888" customFormat="1" x14ac:dyDescent="0.2"/>
    <row r="9889" customFormat="1" x14ac:dyDescent="0.2"/>
    <row r="9890" customFormat="1" x14ac:dyDescent="0.2"/>
    <row r="9891" customFormat="1" x14ac:dyDescent="0.2"/>
    <row r="9892" customFormat="1" x14ac:dyDescent="0.2"/>
    <row r="9893" customFormat="1" x14ac:dyDescent="0.2"/>
    <row r="9894" customFormat="1" x14ac:dyDescent="0.2"/>
    <row r="9895" customFormat="1" x14ac:dyDescent="0.2"/>
    <row r="9896" customFormat="1" x14ac:dyDescent="0.2"/>
    <row r="9897" customFormat="1" x14ac:dyDescent="0.2"/>
    <row r="9898" customFormat="1" x14ac:dyDescent="0.2"/>
    <row r="9899" customFormat="1" x14ac:dyDescent="0.2"/>
    <row r="9900" customFormat="1" x14ac:dyDescent="0.2"/>
    <row r="9901" customFormat="1" x14ac:dyDescent="0.2"/>
    <row r="9902" customFormat="1" x14ac:dyDescent="0.2"/>
    <row r="9903" customFormat="1" x14ac:dyDescent="0.2"/>
    <row r="9904" customFormat="1" x14ac:dyDescent="0.2"/>
    <row r="9905" customFormat="1" x14ac:dyDescent="0.2"/>
    <row r="9906" customFormat="1" x14ac:dyDescent="0.2"/>
    <row r="9907" customFormat="1" x14ac:dyDescent="0.2"/>
    <row r="9908" customFormat="1" x14ac:dyDescent="0.2"/>
    <row r="9909" customFormat="1" x14ac:dyDescent="0.2"/>
    <row r="9910" customFormat="1" x14ac:dyDescent="0.2"/>
    <row r="9911" customFormat="1" x14ac:dyDescent="0.2"/>
    <row r="9912" customFormat="1" x14ac:dyDescent="0.2"/>
    <row r="9913" customFormat="1" x14ac:dyDescent="0.2"/>
    <row r="9914" customFormat="1" x14ac:dyDescent="0.2"/>
    <row r="9915" customFormat="1" x14ac:dyDescent="0.2"/>
    <row r="9916" customFormat="1" x14ac:dyDescent="0.2"/>
    <row r="9917" customFormat="1" x14ac:dyDescent="0.2"/>
    <row r="9918" customFormat="1" x14ac:dyDescent="0.2"/>
    <row r="9919" customFormat="1" x14ac:dyDescent="0.2"/>
    <row r="9920" customFormat="1" x14ac:dyDescent="0.2"/>
    <row r="9921" customFormat="1" x14ac:dyDescent="0.2"/>
    <row r="9922" customFormat="1" x14ac:dyDescent="0.2"/>
    <row r="9923" customFormat="1" x14ac:dyDescent="0.2"/>
    <row r="9924" customFormat="1" x14ac:dyDescent="0.2"/>
    <row r="9925" customFormat="1" x14ac:dyDescent="0.2"/>
    <row r="9926" customFormat="1" x14ac:dyDescent="0.2"/>
    <row r="9927" customFormat="1" x14ac:dyDescent="0.2"/>
    <row r="9928" customFormat="1" x14ac:dyDescent="0.2"/>
    <row r="9929" customFormat="1" x14ac:dyDescent="0.2"/>
    <row r="9930" customFormat="1" x14ac:dyDescent="0.2"/>
    <row r="9931" customFormat="1" x14ac:dyDescent="0.2"/>
    <row r="9932" customFormat="1" x14ac:dyDescent="0.2"/>
    <row r="9933" customFormat="1" x14ac:dyDescent="0.2"/>
    <row r="9934" customFormat="1" x14ac:dyDescent="0.2"/>
    <row r="9935" customFormat="1" x14ac:dyDescent="0.2"/>
    <row r="9936" customFormat="1" x14ac:dyDescent="0.2"/>
    <row r="9937" customFormat="1" x14ac:dyDescent="0.2"/>
    <row r="9938" customFormat="1" x14ac:dyDescent="0.2"/>
    <row r="9939" customFormat="1" x14ac:dyDescent="0.2"/>
    <row r="9940" customFormat="1" x14ac:dyDescent="0.2"/>
    <row r="9941" customFormat="1" x14ac:dyDescent="0.2"/>
    <row r="9942" customFormat="1" x14ac:dyDescent="0.2"/>
    <row r="9943" customFormat="1" x14ac:dyDescent="0.2"/>
    <row r="9944" customFormat="1" x14ac:dyDescent="0.2"/>
    <row r="9945" customFormat="1" x14ac:dyDescent="0.2"/>
    <row r="9946" customFormat="1" x14ac:dyDescent="0.2"/>
    <row r="9947" customFormat="1" x14ac:dyDescent="0.2"/>
    <row r="9948" customFormat="1" x14ac:dyDescent="0.2"/>
    <row r="9949" customFormat="1" x14ac:dyDescent="0.2"/>
    <row r="9950" customFormat="1" x14ac:dyDescent="0.2"/>
    <row r="9951" customFormat="1" x14ac:dyDescent="0.2"/>
    <row r="9952" customFormat="1" x14ac:dyDescent="0.2"/>
    <row r="9953" customFormat="1" x14ac:dyDescent="0.2"/>
    <row r="9954" customFormat="1" x14ac:dyDescent="0.2"/>
    <row r="9955" customFormat="1" x14ac:dyDescent="0.2"/>
    <row r="9956" customFormat="1" x14ac:dyDescent="0.2"/>
    <row r="9957" customFormat="1" x14ac:dyDescent="0.2"/>
    <row r="9958" customFormat="1" x14ac:dyDescent="0.2"/>
    <row r="9959" customFormat="1" x14ac:dyDescent="0.2"/>
    <row r="9960" customFormat="1" x14ac:dyDescent="0.2"/>
    <row r="9961" customFormat="1" x14ac:dyDescent="0.2"/>
    <row r="9962" customFormat="1" x14ac:dyDescent="0.2"/>
    <row r="9963" customFormat="1" x14ac:dyDescent="0.2"/>
    <row r="9964" customFormat="1" x14ac:dyDescent="0.2"/>
    <row r="9965" customFormat="1" x14ac:dyDescent="0.2"/>
    <row r="9966" customFormat="1" x14ac:dyDescent="0.2"/>
    <row r="9967" customFormat="1" x14ac:dyDescent="0.2"/>
    <row r="9968" customFormat="1" x14ac:dyDescent="0.2"/>
    <row r="9969" customFormat="1" x14ac:dyDescent="0.2"/>
    <row r="9970" customFormat="1" x14ac:dyDescent="0.2"/>
    <row r="9971" customFormat="1" x14ac:dyDescent="0.2"/>
    <row r="9972" customFormat="1" x14ac:dyDescent="0.2"/>
    <row r="9973" customFormat="1" x14ac:dyDescent="0.2"/>
    <row r="9974" customFormat="1" x14ac:dyDescent="0.2"/>
    <row r="9975" customFormat="1" x14ac:dyDescent="0.2"/>
    <row r="9976" customFormat="1" x14ac:dyDescent="0.2"/>
    <row r="9977" customFormat="1" x14ac:dyDescent="0.2"/>
    <row r="9978" customFormat="1" x14ac:dyDescent="0.2"/>
    <row r="9979" customFormat="1" x14ac:dyDescent="0.2"/>
    <row r="9980" customFormat="1" x14ac:dyDescent="0.2"/>
    <row r="9981" customFormat="1" x14ac:dyDescent="0.2"/>
    <row r="9982" customFormat="1" x14ac:dyDescent="0.2"/>
    <row r="9983" customFormat="1" x14ac:dyDescent="0.2"/>
    <row r="9984" customFormat="1" x14ac:dyDescent="0.2"/>
    <row r="9985" customFormat="1" x14ac:dyDescent="0.2"/>
    <row r="9986" customFormat="1" x14ac:dyDescent="0.2"/>
    <row r="9987" customFormat="1" x14ac:dyDescent="0.2"/>
    <row r="9988" customFormat="1" x14ac:dyDescent="0.2"/>
    <row r="9989" customFormat="1" x14ac:dyDescent="0.2"/>
    <row r="9990" customFormat="1" x14ac:dyDescent="0.2"/>
    <row r="9991" customFormat="1" x14ac:dyDescent="0.2"/>
    <row r="9992" customFormat="1" x14ac:dyDescent="0.2"/>
    <row r="9993" customFormat="1" x14ac:dyDescent="0.2"/>
    <row r="9994" customFormat="1" x14ac:dyDescent="0.2"/>
    <row r="9995" customFormat="1" x14ac:dyDescent="0.2"/>
    <row r="9996" customFormat="1" x14ac:dyDescent="0.2"/>
    <row r="9997" customFormat="1" x14ac:dyDescent="0.2"/>
    <row r="9998" customFormat="1" x14ac:dyDescent="0.2"/>
    <row r="9999" customFormat="1" x14ac:dyDescent="0.2"/>
    <row r="10000" customFormat="1" x14ac:dyDescent="0.2"/>
  </sheetData>
  <sheetProtection formatCells="0" formatColumns="0" formatRows="0"/>
  <mergeCells count="4">
    <mergeCell ref="C12:N12"/>
    <mergeCell ref="C13:H13"/>
    <mergeCell ref="I13:N13"/>
    <mergeCell ref="B12:B14"/>
  </mergeCells>
  <conditionalFormatting sqref="J15:K50">
    <cfRule type="cellIs" dxfId="17" priority="7" stopIfTrue="1" operator="equal">
      <formula>0</formula>
    </cfRule>
  </conditionalFormatting>
  <conditionalFormatting sqref="D15:D50">
    <cfRule type="cellIs" dxfId="16" priority="6" stopIfTrue="1" operator="equal">
      <formula>0</formula>
    </cfRule>
  </conditionalFormatting>
  <conditionalFormatting sqref="E15:E50">
    <cfRule type="cellIs" dxfId="15" priority="5" stopIfTrue="1" operator="equal">
      <formula>0</formula>
    </cfRule>
  </conditionalFormatting>
  <conditionalFormatting sqref="F15:F50">
    <cfRule type="cellIs" dxfId="14" priority="4" stopIfTrue="1" operator="equal">
      <formula>0</formula>
    </cfRule>
  </conditionalFormatting>
  <conditionalFormatting sqref="G15:G50">
    <cfRule type="cellIs" dxfId="13" priority="3" stopIfTrue="1" operator="equal">
      <formula>0</formula>
    </cfRule>
  </conditionalFormatting>
  <conditionalFormatting sqref="L15:L50">
    <cfRule type="cellIs" dxfId="12" priority="2" stopIfTrue="1" operator="equal">
      <formula>0</formula>
    </cfRule>
  </conditionalFormatting>
  <conditionalFormatting sqref="M15:M50">
    <cfRule type="cellIs" dxfId="11" priority="1" stopIfTrue="1" operator="equal">
      <formula>0</formula>
    </cfRule>
  </conditionalFormatting>
  <dataValidations count="1">
    <dataValidation type="list" allowBlank="1" showInputMessage="1" showErrorMessage="1" sqref="B15:B50" xr:uid="{5B38AAB8-3F7D-4E99-9545-B4D8B494A06B}">
      <formula1>"0,1"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9"/>
  <dimension ref="A1:AN10000"/>
  <sheetViews>
    <sheetView topLeftCell="A13" zoomScale="90" zoomScaleNormal="90" workbookViewId="0">
      <pane xSplit="10" ySplit="2" topLeftCell="X15" activePane="bottomRight" state="frozen"/>
      <selection activeCell="A13" sqref="A13"/>
      <selection pane="topRight" activeCell="K13" sqref="K13"/>
      <selection pane="bottomLeft" activeCell="A15" sqref="A15"/>
      <selection pane="bottomRight"/>
    </sheetView>
  </sheetViews>
  <sheetFormatPr defaultColWidth="8.85546875" defaultRowHeight="12.75" x14ac:dyDescent="0.2"/>
  <cols>
    <col min="1" max="4" width="8.85546875" style="96"/>
    <col min="5" max="5" width="13.42578125" style="298" customWidth="1"/>
    <col min="6" max="6" width="15" style="298" customWidth="1"/>
    <col min="7" max="7" width="15.85546875" style="298" bestFit="1" customWidth="1"/>
    <col min="8" max="8" width="15.85546875" style="298" customWidth="1"/>
    <col min="9" max="9" width="15" style="96" customWidth="1"/>
    <col min="10" max="10" width="14.28515625" style="96" customWidth="1"/>
    <col min="11" max="11" width="14.85546875" style="96" customWidth="1"/>
    <col min="12" max="12" width="11.5703125" style="96" customWidth="1"/>
    <col min="13" max="13" width="13.140625" style="96" customWidth="1"/>
    <col min="14" max="14" width="14.42578125" style="96" customWidth="1"/>
    <col min="15" max="21" width="13" style="96" customWidth="1"/>
    <col min="22" max="22" width="13" style="91" customWidth="1"/>
    <col min="23" max="23" width="12" style="316" customWidth="1"/>
    <col min="24" max="24" width="10.140625" style="316" customWidth="1"/>
    <col min="25" max="25" width="11.140625" style="316" customWidth="1"/>
    <col min="26" max="26" width="11.85546875" style="316" customWidth="1"/>
    <col min="27" max="27" width="14.5703125" style="316" customWidth="1"/>
    <col min="28" max="28" width="13" style="91" customWidth="1"/>
    <col min="29" max="29" width="9.28515625" style="316" customWidth="1"/>
    <col min="30" max="30" width="13" style="91" customWidth="1"/>
    <col min="31" max="31" width="12.7109375" style="295" customWidth="1"/>
    <col min="32" max="32" width="11.7109375" style="295" customWidth="1"/>
    <col min="33" max="33" width="12.140625" style="295" customWidth="1"/>
    <col min="34" max="34" width="5.42578125" style="295" customWidth="1"/>
    <col min="35" max="36" width="11.7109375" style="295" customWidth="1"/>
    <col min="37" max="37" width="10" style="295" customWidth="1"/>
    <col min="38" max="39" width="8.85546875" style="295"/>
    <col min="41" max="16384" width="8.85546875" style="295"/>
  </cols>
  <sheetData>
    <row r="1" spans="1:40" hidden="1" x14ac:dyDescent="0.2"/>
    <row r="2" spans="1:40" hidden="1" x14ac:dyDescent="0.2"/>
    <row r="3" spans="1:40" hidden="1" x14ac:dyDescent="0.2"/>
    <row r="4" spans="1:40" hidden="1" x14ac:dyDescent="0.2"/>
    <row r="5" spans="1:40" hidden="1" x14ac:dyDescent="0.2"/>
    <row r="6" spans="1:40" hidden="1" x14ac:dyDescent="0.2"/>
    <row r="7" spans="1:40" hidden="1" x14ac:dyDescent="0.2"/>
    <row r="8" spans="1:40" hidden="1" x14ac:dyDescent="0.2"/>
    <row r="9" spans="1:40" hidden="1" x14ac:dyDescent="0.2"/>
    <row r="10" spans="1:40" hidden="1" x14ac:dyDescent="0.2"/>
    <row r="11" spans="1:40" hidden="1" x14ac:dyDescent="0.2"/>
    <row r="12" spans="1:40" ht="12.75" hidden="1" customHeight="1" x14ac:dyDescent="0.2"/>
    <row r="13" spans="1:40" ht="41.25" customHeight="1" x14ac:dyDescent="0.2">
      <c r="E13" s="503" t="s">
        <v>181</v>
      </c>
      <c r="F13" s="504"/>
      <c r="G13" s="504"/>
      <c r="H13" s="322"/>
      <c r="I13" s="91"/>
      <c r="J13" s="91"/>
      <c r="K13" s="503" t="s">
        <v>180</v>
      </c>
      <c r="L13" s="504"/>
      <c r="M13" s="504"/>
      <c r="N13" s="322"/>
      <c r="O13" s="91"/>
      <c r="P13" s="91"/>
      <c r="Q13" s="503" t="s">
        <v>188</v>
      </c>
      <c r="R13" s="504"/>
      <c r="S13" s="504"/>
      <c r="T13" s="91"/>
      <c r="U13" s="91"/>
      <c r="V13" s="338">
        <f>IF(MAX(V15:V10000)&lt;0.01,0,MAX(V15:V10000))</f>
        <v>0</v>
      </c>
      <c r="W13" s="503" t="s">
        <v>179</v>
      </c>
      <c r="X13" s="504"/>
      <c r="Y13" s="504"/>
      <c r="AB13" s="338">
        <f>IF(MAX(AB15:AB10000)&lt;0.01,0,MAX(AB15:AB10000))</f>
        <v>0.02</v>
      </c>
      <c r="AC13" s="91"/>
      <c r="AE13" s="337">
        <f>AB13</f>
        <v>0.02</v>
      </c>
      <c r="AL13" s="91" t="s">
        <v>187</v>
      </c>
      <c r="AN13" s="295"/>
    </row>
    <row r="14" spans="1:40" ht="56.25" x14ac:dyDescent="0.2">
      <c r="A14" s="301" t="s">
        <v>33</v>
      </c>
      <c r="B14" s="323" t="s">
        <v>171</v>
      </c>
      <c r="C14" s="323" t="s">
        <v>172</v>
      </c>
      <c r="D14" s="323" t="s">
        <v>173</v>
      </c>
      <c r="E14" s="302" t="s">
        <v>38</v>
      </c>
      <c r="F14" s="303" t="s">
        <v>39</v>
      </c>
      <c r="G14" s="303" t="s">
        <v>40</v>
      </c>
      <c r="H14" s="321" t="s">
        <v>191</v>
      </c>
      <c r="I14" s="304" t="s">
        <v>193</v>
      </c>
      <c r="J14" s="304" t="s">
        <v>194</v>
      </c>
      <c r="K14" s="302" t="s">
        <v>38</v>
      </c>
      <c r="L14" s="303" t="s">
        <v>39</v>
      </c>
      <c r="M14" s="303" t="s">
        <v>40</v>
      </c>
      <c r="N14" s="321" t="s">
        <v>192</v>
      </c>
      <c r="O14" s="304" t="s">
        <v>178</v>
      </c>
      <c r="P14" s="304" t="s">
        <v>195</v>
      </c>
      <c r="Q14" s="317" t="s">
        <v>38</v>
      </c>
      <c r="R14" s="318" t="s">
        <v>39</v>
      </c>
      <c r="S14" s="318" t="s">
        <v>40</v>
      </c>
      <c r="T14" s="318" t="s">
        <v>189</v>
      </c>
      <c r="U14" s="319" t="s">
        <v>190</v>
      </c>
      <c r="V14" s="319" t="s">
        <v>186</v>
      </c>
      <c r="W14" s="317" t="s">
        <v>38</v>
      </c>
      <c r="X14" s="318" t="s">
        <v>39</v>
      </c>
      <c r="Y14" s="318" t="s">
        <v>40</v>
      </c>
      <c r="Z14" s="318" t="s">
        <v>182</v>
      </c>
      <c r="AA14" s="319" t="s">
        <v>183</v>
      </c>
      <c r="AB14" s="319" t="s">
        <v>186</v>
      </c>
      <c r="AC14" s="319" t="s">
        <v>185</v>
      </c>
      <c r="AD14" s="335" t="s">
        <v>203</v>
      </c>
      <c r="AE14" s="336" t="s">
        <v>202</v>
      </c>
      <c r="AF14" s="334" t="s">
        <v>198</v>
      </c>
      <c r="AG14" s="334" t="s">
        <v>197</v>
      </c>
      <c r="AH14" s="332" t="s">
        <v>200</v>
      </c>
      <c r="AI14" s="332" t="s">
        <v>199</v>
      </c>
      <c r="AJ14" s="332" t="s">
        <v>201</v>
      </c>
      <c r="AK14" s="332" t="s">
        <v>204</v>
      </c>
      <c r="AL14" s="332"/>
      <c r="AN14" s="295"/>
    </row>
    <row r="15" spans="1:40" s="91" customFormat="1" x14ac:dyDescent="0.2">
      <c r="A15" s="86" t="str">
        <f>RedBasica!E15</f>
        <v>MS_A_1-001</v>
      </c>
      <c r="B15" s="86" t="str">
        <f>IF(RedBasica!G15=0,"",RedBasica!G15)</f>
        <v/>
      </c>
      <c r="C15" s="86" t="str">
        <f>IF(RedBasica!H15=0,"",RedBasica!H15)</f>
        <v/>
      </c>
      <c r="D15" s="86" t="str">
        <f>IF(RedBasica!I15=0,"",RedBasica!I15)</f>
        <v/>
      </c>
      <c r="E15" s="88" t="str">
        <f>IF(AND(RedBasica!D15=RedBasica!D14,RedBasica!F15&gt;0),RedBasica!W14,"")</f>
        <v/>
      </c>
      <c r="F15" s="67" t="str">
        <f>IFERROR(INDEX($J$15:$J$10000,MATCH(C15,$A$15:$A$10000,0),1),"")</f>
        <v/>
      </c>
      <c r="G15" s="67" t="str">
        <f>IFERROR(INDEX($J$15:$J$10000,MATCH(D15,$A$15:$A$10000,0),1),"")</f>
        <v/>
      </c>
      <c r="H15" s="67">
        <f>MAX(E15:G15)</f>
        <v>0</v>
      </c>
      <c r="I15" s="67">
        <f>RedBasica!V15</f>
        <v>1.05</v>
      </c>
      <c r="J15" s="67">
        <f>RedBasica!W15</f>
        <v>1.05</v>
      </c>
      <c r="K15" s="88" t="str">
        <f>IF(AND(RedBasica!D15=RedBasica!D14,RedBasica!F15&gt;0),RedBasica!U14,"")</f>
        <v/>
      </c>
      <c r="L15" s="67" t="str">
        <f>IFERROR(INDEX($P$15:$P$10000,MATCH(C15,$A$15:$A$10000,0),1),"")</f>
        <v/>
      </c>
      <c r="M15" s="67" t="str">
        <f>IFERROR(INDEX($P$15:$P$10000,MATCH(D15,$A$15:$A$10000,0),1),"")</f>
        <v/>
      </c>
      <c r="N15" s="67">
        <f>MAX(K15:M15)</f>
        <v>0</v>
      </c>
      <c r="O15" s="67">
        <f>RedBasica!T15</f>
        <v>0.9</v>
      </c>
      <c r="P15" s="67">
        <f>RedBasica!U15</f>
        <v>0.9</v>
      </c>
      <c r="Q15" s="67" t="str">
        <f>IFERROR(INDEX('A3'!$E$15:$E$10000,MATCH(RedBasica!G15,'A3'!$A$15:$A$10000,0),1),"")</f>
        <v/>
      </c>
      <c r="R15" s="67" t="str">
        <f>IFERROR(INDEX('A3'!$E$15:$E$10000,MATCH(C15,$A$15:$A$10000,0),1),"")</f>
        <v/>
      </c>
      <c r="S15" s="67" t="str">
        <f>IFERROR(INDEX('A3'!$E$15:$E$10000,MATCH(D15,$A$15:$A$10000,0),1),"")</f>
        <v/>
      </c>
      <c r="T15" s="67">
        <f>MIN(Q15:S15)</f>
        <v>0</v>
      </c>
      <c r="U15" s="67">
        <f>IFERROR(INDEX('A3'!$D$15:$D$10000,MATCH(A15,'A3'!$A$15:$A$10000,0),1),"")</f>
        <v>188.14999999999998</v>
      </c>
      <c r="V15" s="320">
        <f>IF(Q15="",0,(IF(U15-T15&gt;(Parametros!$F$64*(-1)),ROUNDUP(U15-T15+(Parametros!$F$64),2),0)))</f>
        <v>0</v>
      </c>
      <c r="W15" s="67" t="str">
        <f>IFERROR(INDEX('A3'!$I$15:$I$10000,MATCH(RedBasica!G15,'A3'!$A$15:$A$10000,0),1),"")</f>
        <v/>
      </c>
      <c r="X15" s="67" t="str">
        <f>IFERROR(INDEX('A3'!$I$15:$I$10000,MATCH(C15,$A$15:$A$10000,0),1),"")</f>
        <v/>
      </c>
      <c r="Y15" s="67" t="str">
        <f>IFERROR(INDEX('A3'!$I$15:$I$10000,MATCH(D15,$A$15:$A$10000,0),1),"")</f>
        <v/>
      </c>
      <c r="Z15" s="67">
        <f>MIN(W15:Y15)</f>
        <v>0</v>
      </c>
      <c r="AA15" s="67">
        <f>IFERROR(INDEX('A3'!$H$15:$H$10000,MATCH(A15,'A3'!$A$15:$A$10000,0),1),"")</f>
        <v>188.17453936539891</v>
      </c>
      <c r="AB15" s="320">
        <f>IFERROR(IF(W15="",0,(IF(AA15-Z15&gt;0,ROUNDUP(AA15-Z15,2),0))),0)</f>
        <v>0</v>
      </c>
      <c r="AC15" s="67">
        <f>RedBasica!R15</f>
        <v>0</v>
      </c>
      <c r="AD15" s="320">
        <f>ROUND(I15+AB15,2)</f>
        <v>1.05</v>
      </c>
      <c r="AE15" s="320"/>
      <c r="AF15" s="320">
        <f>IF(SUM(IFERROR(MATCH(A15,$B$15:$B$10000,FALSE),0),IFERROR(MATCH(A15,$C$15:$C$10000,FALSE),0),IFERROR(MATCH(A15,$D$15:$D$10000,FALSE),0))=0,"-",INDEX($H$15:$H$10000,SUM(IFERROR(MATCH(A15,$B$15:$B$10000,FALSE),0),IFERROR(MATCH(A15,$C$15:$C$10000,FALSE),0),IFERROR(MATCH(A15,$D$15:$D$10000,FALSE),0))))</f>
        <v>1.6501250000000027</v>
      </c>
      <c r="AG15" s="320">
        <f t="shared" ref="AG15" si="0">IF(AF15="-","-",IF(AF15-J15=0,"-",ROUND(AF15,2)))</f>
        <v>1.65</v>
      </c>
      <c r="AH15" s="333">
        <f>RedBasica!B15</f>
        <v>1</v>
      </c>
      <c r="AI15" s="333">
        <f>RedBasica!AI15</f>
        <v>150</v>
      </c>
      <c r="AJ15" s="333">
        <f>RedBasica!AJ15</f>
        <v>150</v>
      </c>
      <c r="AK15" s="333">
        <f>IF(OR(AH15=1,AI15&gt;AJ14),AI15,AJ14)</f>
        <v>150</v>
      </c>
      <c r="AL15" s="339"/>
    </row>
    <row r="16" spans="1:40" customFormat="1" x14ac:dyDescent="0.2">
      <c r="A16" s="86" t="str">
        <f>RedBasica!E16</f>
        <v>MS_A_1-002</v>
      </c>
      <c r="B16" s="86" t="str">
        <f>IF(RedBasica!G16=0,"",RedBasica!G16)</f>
        <v>MS_A_1-001</v>
      </c>
      <c r="C16" s="86" t="str">
        <f>IF(RedBasica!H16=0,"",RedBasica!H16)</f>
        <v>MS_A_3-002</v>
      </c>
      <c r="D16" s="86" t="str">
        <f>IF(RedBasica!I16=0,"",RedBasica!I16)</f>
        <v/>
      </c>
      <c r="E16" s="88">
        <f>IF(AND(RedBasica!D16=RedBasica!D15,RedBasica!F16&gt;0),RedBasica!W15,"")</f>
        <v>1.05</v>
      </c>
      <c r="F16" s="67">
        <f t="shared" ref="F16:F50" si="1">IFERROR(INDEX($J$15:$J$10000,MATCH(C16,$A$15:$A$10000,0),1),"")</f>
        <v>1.6501250000000027</v>
      </c>
      <c r="G16" s="67" t="str">
        <f t="shared" ref="G16:G50" si="2">IFERROR(INDEX($J$15:$J$10000,MATCH(D16,$A$15:$A$10000,0),1),"")</f>
        <v/>
      </c>
      <c r="H16" s="67">
        <f t="shared" ref="H16:H50" si="3">MAX(E16:G16)</f>
        <v>1.6501250000000027</v>
      </c>
      <c r="I16" s="67">
        <f>RedBasica!V16</f>
        <v>1.6501250000000027</v>
      </c>
      <c r="J16" s="67">
        <f>RedBasica!W16</f>
        <v>1.0659100000000024</v>
      </c>
      <c r="K16" s="88">
        <f>IF(AND(RedBasica!D16=RedBasica!D15,RedBasica!F16&gt;0),RedBasica!U15,"")</f>
        <v>0.9</v>
      </c>
      <c r="L16" s="67">
        <f t="shared" ref="L16:L50" si="4">IFERROR(INDEX($P$15:$P$10000,MATCH(C16,$A$15:$A$10000,0),1),"")</f>
        <v>1.5001250000000028</v>
      </c>
      <c r="M16" s="67" t="str">
        <f t="shared" ref="M16:M50" si="5">IFERROR(INDEX($P$15:$P$10000,MATCH(D16,$A$15:$A$10000,0),1),"")</f>
        <v/>
      </c>
      <c r="N16" s="67">
        <f t="shared" ref="N16:N50" si="6">MAX(K16:M16)</f>
        <v>1.5001250000000028</v>
      </c>
      <c r="O16" s="67">
        <f>RedBasica!T16</f>
        <v>1.5001250000000028</v>
      </c>
      <c r="P16" s="67">
        <f>RedBasica!U16</f>
        <v>0.91591000000000233</v>
      </c>
      <c r="Q16" s="67">
        <f>IFERROR(INDEX('A3'!$E$15:$E$10000,MATCH(RedBasica!G16,'A3'!$A$15:$A$10000,0),1),"")</f>
        <v>186.48</v>
      </c>
      <c r="R16" s="67">
        <f>IFERROR(INDEX('A3'!$E$15:$E$10000,MATCH(C16,$A$15:$A$10000,0),1),"")</f>
        <v>185.879875</v>
      </c>
      <c r="S16" s="67" t="str">
        <f>IFERROR(INDEX('A3'!$E$15:$E$10000,MATCH(D16,$A$15:$A$10000,0),1),"")</f>
        <v/>
      </c>
      <c r="T16" s="67">
        <f t="shared" ref="T16:T50" si="7">MIN(Q16:S16)</f>
        <v>185.879875</v>
      </c>
      <c r="U16" s="67">
        <f>IFERROR(INDEX('A3'!$D$15:$D$10000,MATCH(A16,'A3'!$A$15:$A$10000,0),1),"")</f>
        <v>185.879875</v>
      </c>
      <c r="V16" s="320">
        <f>IF(Q16="",0,(IF(U16-T16&gt;(Parametros!$F$64*(-1)),ROUNDUP(U16-T16+(Parametros!$F$64),2),0)))</f>
        <v>0</v>
      </c>
      <c r="W16" s="67">
        <f>IFERROR(INDEX('A3'!$I$15:$I$10000,MATCH(RedBasica!G16,'A3'!$A$15:$A$10000,0),1),"")</f>
        <v>186.50453936539893</v>
      </c>
      <c r="X16" s="67">
        <f>IFERROR(INDEX('A3'!$I$15:$I$10000,MATCH(C16,$A$15:$A$10000,0),1),"")</f>
        <v>185.91871368578936</v>
      </c>
      <c r="Y16" s="67" t="str">
        <f>IFERROR(INDEX('A3'!$I$15:$I$10000,MATCH(D16,$A$15:$A$10000,0),1),"")</f>
        <v/>
      </c>
      <c r="Z16" s="67">
        <f t="shared" ref="Z16:Z50" si="8">MIN(W16:Y16)</f>
        <v>185.91871368578936</v>
      </c>
      <c r="AA16" s="67">
        <f>IFERROR(INDEX('A3'!$H$15:$H$10000,MATCH(A16,'A3'!$A$15:$A$10000,0),1),"")</f>
        <v>185.91871368578936</v>
      </c>
      <c r="AB16" s="320">
        <f t="shared" ref="AB16:AB50" si="9">IFERROR(IF(W16="",0,(IF(AA16-Z16&gt;0,ROUNDUP(AA16-Z16,2),0))),0)</f>
        <v>0</v>
      </c>
      <c r="AC16" s="67">
        <f>RedBasica!R16</f>
        <v>0</v>
      </c>
      <c r="AD16" s="320">
        <f t="shared" ref="AD16:AD50" si="10">ROUND(I16+AB16,2)</f>
        <v>1.65</v>
      </c>
      <c r="AE16" s="320"/>
      <c r="AF16" s="320">
        <f t="shared" ref="AF16:AF50" si="11">IF(SUM(IFERROR(MATCH(A16,$B$15:$B$10000,FALSE),0),IFERROR(MATCH(A16,$C$15:$C$10000,FALSE),0),IFERROR(MATCH(A16,$D$15:$D$10000,FALSE),0))=0,"-",INDEX($H$15:$H$10000,SUM(IFERROR(MATCH(A16,$B$15:$B$10000,FALSE),0),IFERROR(MATCH(A16,$C$15:$C$10000,FALSE),0),IFERROR(MATCH(A16,$D$15:$D$10000,FALSE),0))))</f>
        <v>1.0659100000000024</v>
      </c>
      <c r="AG16" s="320" t="str">
        <f t="shared" ref="AG16:AG50" si="12">IF(AF16="-","-",IF(AF16-J16=0,"-",ROUND(AF16,2)))</f>
        <v>-</v>
      </c>
      <c r="AH16" s="333">
        <f>RedBasica!B16</f>
        <v>0</v>
      </c>
      <c r="AI16" s="333">
        <f>RedBasica!AI16</f>
        <v>150</v>
      </c>
      <c r="AJ16" s="333">
        <f>RedBasica!AJ16</f>
        <v>150</v>
      </c>
      <c r="AK16" s="333">
        <f t="shared" ref="AK16:AK50" si="13">IF(OR(AH16=1,AI16&gt;AJ15),AI16,AJ15)</f>
        <v>150</v>
      </c>
      <c r="AL16" s="339"/>
    </row>
    <row r="17" spans="1:38" customFormat="1" x14ac:dyDescent="0.2">
      <c r="A17" s="86" t="str">
        <f>RedBasica!E17</f>
        <v>MS_A_1-003</v>
      </c>
      <c r="B17" s="86" t="str">
        <f>IF(RedBasica!G17=0,"",RedBasica!G17)</f>
        <v>MS_A_1-002</v>
      </c>
      <c r="C17" s="86" t="str">
        <f>IF(RedBasica!H17=0,"",RedBasica!H17)</f>
        <v/>
      </c>
      <c r="D17" s="86" t="str">
        <f>IF(RedBasica!I17=0,"",RedBasica!I17)</f>
        <v/>
      </c>
      <c r="E17" s="88">
        <f>IF(AND(RedBasica!D17=RedBasica!D16,RedBasica!F17&gt;0),RedBasica!W16,"")</f>
        <v>1.0659100000000024</v>
      </c>
      <c r="F17" s="67" t="str">
        <f t="shared" si="1"/>
        <v/>
      </c>
      <c r="G17" s="67" t="str">
        <f t="shared" si="2"/>
        <v/>
      </c>
      <c r="H17" s="67">
        <f t="shared" si="3"/>
        <v>1.0659100000000024</v>
      </c>
      <c r="I17" s="67">
        <f>RedBasica!V17</f>
        <v>1.0659100000000024</v>
      </c>
      <c r="J17" s="67">
        <f>RedBasica!W17</f>
        <v>1.05</v>
      </c>
      <c r="K17" s="88">
        <f>IF(AND(RedBasica!D17=RedBasica!D16,RedBasica!F17&gt;0),RedBasica!U16,"")</f>
        <v>0.91591000000000233</v>
      </c>
      <c r="L17" s="67" t="str">
        <f t="shared" si="4"/>
        <v/>
      </c>
      <c r="M17" s="67" t="str">
        <f t="shared" si="5"/>
        <v/>
      </c>
      <c r="N17" s="67">
        <f t="shared" si="6"/>
        <v>0.91591000000000233</v>
      </c>
      <c r="O17" s="67">
        <f>RedBasica!T17</f>
        <v>0.91591000000000233</v>
      </c>
      <c r="P17" s="67">
        <f>RedBasica!U17</f>
        <v>0.9</v>
      </c>
      <c r="Q17" s="67">
        <f>IFERROR(INDEX('A3'!$E$15:$E$10000,MATCH(RedBasica!G17,'A3'!$A$15:$A$10000,0),1),"")</f>
        <v>185.67409000000001</v>
      </c>
      <c r="R17" s="67" t="str">
        <f>IFERROR(INDEX('A3'!$E$15:$E$10000,MATCH(C17,$A$15:$A$10000,0),1),"")</f>
        <v/>
      </c>
      <c r="S17" s="67" t="str">
        <f>IFERROR(INDEX('A3'!$E$15:$E$10000,MATCH(D17,$A$15:$A$10000,0),1),"")</f>
        <v/>
      </c>
      <c r="T17" s="67">
        <f t="shared" si="7"/>
        <v>185.67409000000001</v>
      </c>
      <c r="U17" s="67">
        <f>IFERROR(INDEX('A3'!$D$15:$D$10000,MATCH(A17,'A3'!$A$15:$A$10000,0),1),"")</f>
        <v>185.67409000000001</v>
      </c>
      <c r="V17" s="320">
        <f>IF(Q17="",0,(IF(U17-T17&gt;(Parametros!$F$64*(-1)),ROUNDUP(U17-T17+(Parametros!$F$64),2),0)))</f>
        <v>0</v>
      </c>
      <c r="W17" s="67">
        <f>IFERROR(INDEX('A3'!$I$15:$I$10000,MATCH(RedBasica!G17,'A3'!$A$15:$A$10000,0),1),"")</f>
        <v>185.71292868578936</v>
      </c>
      <c r="X17" s="67" t="str">
        <f>IFERROR(INDEX('A3'!$I$15:$I$10000,MATCH(C17,$A$15:$A$10000,0),1),"")</f>
        <v/>
      </c>
      <c r="Y17" s="67" t="str">
        <f>IFERROR(INDEX('A3'!$I$15:$I$10000,MATCH(D17,$A$15:$A$10000,0),1),"")</f>
        <v/>
      </c>
      <c r="Z17" s="67">
        <f t="shared" si="8"/>
        <v>185.71292868578936</v>
      </c>
      <c r="AA17" s="67">
        <f>IFERROR(INDEX('A3'!$H$15:$H$10000,MATCH(A17,'A3'!$A$15:$A$10000,0),1),"")</f>
        <v>185.70383895140492</v>
      </c>
      <c r="AB17" s="320">
        <f t="shared" si="9"/>
        <v>0</v>
      </c>
      <c r="AC17" s="67">
        <f>RedBasica!R17</f>
        <v>0</v>
      </c>
      <c r="AD17" s="320">
        <f t="shared" si="10"/>
        <v>1.07</v>
      </c>
      <c r="AE17" s="320"/>
      <c r="AF17" s="320">
        <f t="shared" si="11"/>
        <v>1.05</v>
      </c>
      <c r="AG17" s="320" t="str">
        <f t="shared" si="12"/>
        <v>-</v>
      </c>
      <c r="AH17" s="333">
        <f>RedBasica!B17</f>
        <v>0</v>
      </c>
      <c r="AI17" s="333">
        <f>RedBasica!AI17</f>
        <v>150</v>
      </c>
      <c r="AJ17" s="333">
        <f>RedBasica!AJ17</f>
        <v>150</v>
      </c>
      <c r="AK17" s="333">
        <f t="shared" si="13"/>
        <v>150</v>
      </c>
      <c r="AL17" s="339"/>
    </row>
    <row r="18" spans="1:38" customFormat="1" x14ac:dyDescent="0.2">
      <c r="A18" s="86" t="str">
        <f>RedBasica!E18</f>
        <v>MS_A_1-004</v>
      </c>
      <c r="B18" s="86" t="str">
        <f>IF(RedBasica!G18=0,"",RedBasica!G18)</f>
        <v>MS_A_1-003</v>
      </c>
      <c r="C18" s="86" t="str">
        <f>IF(RedBasica!H18=0,"",RedBasica!H18)</f>
        <v/>
      </c>
      <c r="D18" s="86" t="str">
        <f>IF(RedBasica!I18=0,"",RedBasica!I18)</f>
        <v/>
      </c>
      <c r="E18" s="88">
        <f>IF(AND(RedBasica!D18=RedBasica!D17,RedBasica!F18&gt;0),RedBasica!W17,"")</f>
        <v>1.05</v>
      </c>
      <c r="F18" s="67" t="str">
        <f t="shared" si="1"/>
        <v/>
      </c>
      <c r="G18" s="67" t="str">
        <f t="shared" si="2"/>
        <v/>
      </c>
      <c r="H18" s="67">
        <f t="shared" si="3"/>
        <v>1.05</v>
      </c>
      <c r="I18" s="67">
        <f>RedBasica!V18</f>
        <v>1.05</v>
      </c>
      <c r="J18" s="67">
        <f>RedBasica!W18</f>
        <v>1.05</v>
      </c>
      <c r="K18" s="88">
        <f>IF(AND(RedBasica!D18=RedBasica!D17,RedBasica!F18&gt;0),RedBasica!U17,"")</f>
        <v>0.9</v>
      </c>
      <c r="L18" s="67" t="str">
        <f t="shared" si="4"/>
        <v/>
      </c>
      <c r="M18" s="67" t="str">
        <f t="shared" si="5"/>
        <v/>
      </c>
      <c r="N18" s="67">
        <f t="shared" si="6"/>
        <v>0.9</v>
      </c>
      <c r="O18" s="67">
        <f>RedBasica!T18</f>
        <v>0.9</v>
      </c>
      <c r="P18" s="67">
        <f>RedBasica!U18</f>
        <v>0.9</v>
      </c>
      <c r="Q18" s="67">
        <f>IFERROR(INDEX('A3'!$E$15:$E$10000,MATCH(RedBasica!G18,'A3'!$A$15:$A$10000,0),1),"")</f>
        <v>184.91</v>
      </c>
      <c r="R18" s="67" t="str">
        <f>IFERROR(INDEX('A3'!$E$15:$E$10000,MATCH(C18,$A$15:$A$10000,0),1),"")</f>
        <v/>
      </c>
      <c r="S18" s="67" t="str">
        <f>IFERROR(INDEX('A3'!$E$15:$E$10000,MATCH(D18,$A$15:$A$10000,0),1),"")</f>
        <v/>
      </c>
      <c r="T18" s="67">
        <f t="shared" si="7"/>
        <v>184.91</v>
      </c>
      <c r="U18" s="67">
        <f>IFERROR(INDEX('A3'!$D$15:$D$10000,MATCH(A18,'A3'!$A$15:$A$10000,0),1),"")</f>
        <v>184.91</v>
      </c>
      <c r="V18" s="320">
        <f>IF(Q18="",0,(IF(U18-T18&gt;(Parametros!$F$64*(-1)),ROUNDUP(U18-T18+(Parametros!$F$64),2),0)))</f>
        <v>0</v>
      </c>
      <c r="W18" s="67">
        <f>IFERROR(INDEX('A3'!$I$15:$I$10000,MATCH(RedBasica!G18,'A3'!$A$15:$A$10000,0),1),"")</f>
        <v>184.93974895140491</v>
      </c>
      <c r="X18" s="67" t="str">
        <f>IFERROR(INDEX('A3'!$I$15:$I$10000,MATCH(C18,$A$15:$A$10000,0),1),"")</f>
        <v/>
      </c>
      <c r="Y18" s="67" t="str">
        <f>IFERROR(INDEX('A3'!$I$15:$I$10000,MATCH(D18,$A$15:$A$10000,0),1),"")</f>
        <v/>
      </c>
      <c r="Z18" s="67">
        <f t="shared" si="8"/>
        <v>184.93974895140491</v>
      </c>
      <c r="AA18" s="67">
        <f>IFERROR(INDEX('A3'!$H$15:$H$10000,MATCH(A18,'A3'!$A$15:$A$10000,0),1),"")</f>
        <v>184.93316392760121</v>
      </c>
      <c r="AB18" s="320">
        <f t="shared" si="9"/>
        <v>0</v>
      </c>
      <c r="AC18" s="67">
        <f>RedBasica!R18</f>
        <v>0</v>
      </c>
      <c r="AD18" s="320">
        <f t="shared" si="10"/>
        <v>1.05</v>
      </c>
      <c r="AE18" s="320"/>
      <c r="AF18" s="320">
        <f t="shared" si="11"/>
        <v>1.05</v>
      </c>
      <c r="AG18" s="320" t="str">
        <f t="shared" si="12"/>
        <v>-</v>
      </c>
      <c r="AH18" s="333">
        <f>RedBasica!B18</f>
        <v>0</v>
      </c>
      <c r="AI18" s="333">
        <f>RedBasica!AI18</f>
        <v>150</v>
      </c>
      <c r="AJ18" s="333">
        <f>RedBasica!AJ18</f>
        <v>150</v>
      </c>
      <c r="AK18" s="333">
        <f t="shared" si="13"/>
        <v>150</v>
      </c>
      <c r="AL18" s="339"/>
    </row>
    <row r="19" spans="1:38" customFormat="1" x14ac:dyDescent="0.2">
      <c r="A19" s="86" t="str">
        <f>RedBasica!E19</f>
        <v>MS_A_1-005</v>
      </c>
      <c r="B19" s="86" t="str">
        <f>IF(RedBasica!G19=0,"",RedBasica!G19)</f>
        <v>MS_A_1-004</v>
      </c>
      <c r="C19" s="86" t="str">
        <f>IF(RedBasica!H19=0,"",RedBasica!H19)</f>
        <v/>
      </c>
      <c r="D19" s="86" t="str">
        <f>IF(RedBasica!I19=0,"",RedBasica!I19)</f>
        <v/>
      </c>
      <c r="E19" s="88">
        <f>IF(AND(RedBasica!D19=RedBasica!D18,RedBasica!F19&gt;0),RedBasica!W18,"")</f>
        <v>1.05</v>
      </c>
      <c r="F19" s="67" t="str">
        <f t="shared" si="1"/>
        <v/>
      </c>
      <c r="G19" s="67" t="str">
        <f t="shared" si="2"/>
        <v/>
      </c>
      <c r="H19" s="67">
        <f t="shared" si="3"/>
        <v>1.05</v>
      </c>
      <c r="I19" s="67">
        <f>RedBasica!V19</f>
        <v>1.05</v>
      </c>
      <c r="J19" s="67">
        <f>RedBasica!W19</f>
        <v>1.05</v>
      </c>
      <c r="K19" s="88">
        <f>IF(AND(RedBasica!D19=RedBasica!D18,RedBasica!F19&gt;0),RedBasica!U18,"")</f>
        <v>0.9</v>
      </c>
      <c r="L19" s="67" t="str">
        <f t="shared" si="4"/>
        <v/>
      </c>
      <c r="M19" s="67" t="str">
        <f t="shared" si="5"/>
        <v/>
      </c>
      <c r="N19" s="67">
        <f t="shared" si="6"/>
        <v>0.9</v>
      </c>
      <c r="O19" s="67">
        <f>RedBasica!T19</f>
        <v>0.9</v>
      </c>
      <c r="P19" s="67">
        <f>RedBasica!U19</f>
        <v>0.9</v>
      </c>
      <c r="Q19" s="67">
        <f>IFERROR(INDEX('A3'!$E$15:$E$10000,MATCH(RedBasica!G19,'A3'!$A$15:$A$10000,0),1),"")</f>
        <v>183.45999999999998</v>
      </c>
      <c r="R19" s="67" t="str">
        <f>IFERROR(INDEX('A3'!$E$15:$E$10000,MATCH(C19,$A$15:$A$10000,0),1),"")</f>
        <v/>
      </c>
      <c r="S19" s="67" t="str">
        <f>IFERROR(INDEX('A3'!$E$15:$E$10000,MATCH(D19,$A$15:$A$10000,0),1),"")</f>
        <v/>
      </c>
      <c r="T19" s="67">
        <f t="shared" si="7"/>
        <v>183.45999999999998</v>
      </c>
      <c r="U19" s="67">
        <f>IFERROR(INDEX('A3'!$D$15:$D$10000,MATCH(A19,'A3'!$A$15:$A$10000,0),1),"")</f>
        <v>183.45999999999998</v>
      </c>
      <c r="V19" s="320">
        <f>IF(Q19="",0,(IF(U19-T19&gt;(Parametros!$F$64*(-1)),ROUNDUP(U19-T19+(Parametros!$F$64),2),0)))</f>
        <v>0</v>
      </c>
      <c r="W19" s="67">
        <f>IFERROR(INDEX('A3'!$I$15:$I$10000,MATCH(RedBasica!G19,'A3'!$A$15:$A$10000,0),1),"")</f>
        <v>183.4831639276012</v>
      </c>
      <c r="X19" s="67" t="str">
        <f>IFERROR(INDEX('A3'!$I$15:$I$10000,MATCH(C19,$A$15:$A$10000,0),1),"")</f>
        <v/>
      </c>
      <c r="Y19" s="67" t="str">
        <f>IFERROR(INDEX('A3'!$I$15:$I$10000,MATCH(D19,$A$15:$A$10000,0),1),"")</f>
        <v/>
      </c>
      <c r="Z19" s="67">
        <f t="shared" si="8"/>
        <v>183.4831639276012</v>
      </c>
      <c r="AA19" s="67">
        <f>IFERROR(INDEX('A3'!$H$15:$H$10000,MATCH(A19,'A3'!$A$15:$A$10000,0),1),"")</f>
        <v>183.48845013425912</v>
      </c>
      <c r="AB19" s="320">
        <f t="shared" si="9"/>
        <v>0.01</v>
      </c>
      <c r="AC19" s="67">
        <f>RedBasica!R19</f>
        <v>0</v>
      </c>
      <c r="AD19" s="320">
        <f t="shared" si="10"/>
        <v>1.06</v>
      </c>
      <c r="AE19" s="320"/>
      <c r="AF19" s="320">
        <f t="shared" si="11"/>
        <v>1.05</v>
      </c>
      <c r="AG19" s="320" t="str">
        <f t="shared" si="12"/>
        <v>-</v>
      </c>
      <c r="AH19" s="333">
        <f>RedBasica!B19</f>
        <v>0</v>
      </c>
      <c r="AI19" s="333">
        <f>RedBasica!AI19</f>
        <v>150</v>
      </c>
      <c r="AJ19" s="333">
        <f>RedBasica!AJ19</f>
        <v>150</v>
      </c>
      <c r="AK19" s="333">
        <f t="shared" si="13"/>
        <v>150</v>
      </c>
      <c r="AL19" s="339"/>
    </row>
    <row r="20" spans="1:38" customFormat="1" x14ac:dyDescent="0.2">
      <c r="A20" s="86" t="str">
        <f>RedBasica!E20</f>
        <v>MS_A_1-006</v>
      </c>
      <c r="B20" s="86" t="str">
        <f>IF(RedBasica!G20=0,"",RedBasica!G20)</f>
        <v>MS_A_1-005</v>
      </c>
      <c r="C20" s="86" t="str">
        <f>IF(RedBasica!H20=0,"",RedBasica!H20)</f>
        <v/>
      </c>
      <c r="D20" s="86" t="str">
        <f>IF(RedBasica!I20=0,"",RedBasica!I20)</f>
        <v/>
      </c>
      <c r="E20" s="88">
        <f>IF(AND(RedBasica!D20=RedBasica!D19,RedBasica!F20&gt;0),RedBasica!W19,"")</f>
        <v>1.05</v>
      </c>
      <c r="F20" s="67" t="str">
        <f t="shared" si="1"/>
        <v/>
      </c>
      <c r="G20" s="67" t="str">
        <f t="shared" si="2"/>
        <v/>
      </c>
      <c r="H20" s="67">
        <f t="shared" si="3"/>
        <v>1.05</v>
      </c>
      <c r="I20" s="67">
        <f>RedBasica!V20</f>
        <v>1.05</v>
      </c>
      <c r="J20" s="67">
        <f>RedBasica!W20</f>
        <v>1.05</v>
      </c>
      <c r="K20" s="88">
        <f>IF(AND(RedBasica!D20=RedBasica!D19,RedBasica!F20&gt;0),RedBasica!U19,"")</f>
        <v>0.9</v>
      </c>
      <c r="L20" s="67" t="str">
        <f t="shared" si="4"/>
        <v/>
      </c>
      <c r="M20" s="67" t="str">
        <f t="shared" si="5"/>
        <v/>
      </c>
      <c r="N20" s="67">
        <f t="shared" si="6"/>
        <v>0.9</v>
      </c>
      <c r="O20" s="67">
        <f>RedBasica!T20</f>
        <v>0.9</v>
      </c>
      <c r="P20" s="67">
        <f>RedBasica!U20</f>
        <v>0.9</v>
      </c>
      <c r="Q20" s="67">
        <f>IFERROR(INDEX('A3'!$E$15:$E$10000,MATCH(RedBasica!G20,'A3'!$A$15:$A$10000,0),1),"")</f>
        <v>180.95</v>
      </c>
      <c r="R20" s="67" t="str">
        <f>IFERROR(INDEX('A3'!$E$15:$E$10000,MATCH(C20,$A$15:$A$10000,0),1),"")</f>
        <v/>
      </c>
      <c r="S20" s="67" t="str">
        <f>IFERROR(INDEX('A3'!$E$15:$E$10000,MATCH(D20,$A$15:$A$10000,0),1),"")</f>
        <v/>
      </c>
      <c r="T20" s="67">
        <f t="shared" si="7"/>
        <v>180.95</v>
      </c>
      <c r="U20" s="67">
        <f>IFERROR(INDEX('A3'!$D$15:$D$10000,MATCH(A20,'A3'!$A$15:$A$10000,0),1),"")</f>
        <v>180.95</v>
      </c>
      <c r="V20" s="320">
        <f>IF(Q20="",0,(IF(U20-T20&gt;(Parametros!$F$64*(-1)),ROUNDUP(U20-T20+(Parametros!$F$64),2),0)))</f>
        <v>0</v>
      </c>
      <c r="W20" s="67">
        <f>IFERROR(INDEX('A3'!$I$15:$I$10000,MATCH(RedBasica!G20,'A3'!$A$15:$A$10000,0),1),"")</f>
        <v>180.97845013425913</v>
      </c>
      <c r="X20" s="67" t="str">
        <f>IFERROR(INDEX('A3'!$I$15:$I$10000,MATCH(C20,$A$15:$A$10000,0),1),"")</f>
        <v/>
      </c>
      <c r="Y20" s="67" t="str">
        <f>IFERROR(INDEX('A3'!$I$15:$I$10000,MATCH(D20,$A$15:$A$10000,0),1),"")</f>
        <v/>
      </c>
      <c r="Z20" s="67">
        <f t="shared" si="8"/>
        <v>180.97845013425913</v>
      </c>
      <c r="AA20" s="67">
        <f>IFERROR(INDEX('A3'!$H$15:$H$10000,MATCH(A20,'A3'!$A$15:$A$10000,0),1),"")</f>
        <v>180.98595147808618</v>
      </c>
      <c r="AB20" s="320">
        <f t="shared" si="9"/>
        <v>0.01</v>
      </c>
      <c r="AC20" s="67">
        <f>RedBasica!R20</f>
        <v>0</v>
      </c>
      <c r="AD20" s="320">
        <f t="shared" si="10"/>
        <v>1.06</v>
      </c>
      <c r="AE20" s="320"/>
      <c r="AF20" s="320">
        <f t="shared" si="11"/>
        <v>1.05</v>
      </c>
      <c r="AG20" s="320" t="str">
        <f t="shared" si="12"/>
        <v>-</v>
      </c>
      <c r="AH20" s="333">
        <f>RedBasica!B20</f>
        <v>0</v>
      </c>
      <c r="AI20" s="333">
        <f>RedBasica!AI20</f>
        <v>150</v>
      </c>
      <c r="AJ20" s="333">
        <f>RedBasica!AJ20</f>
        <v>150</v>
      </c>
      <c r="AK20" s="333">
        <f t="shared" si="13"/>
        <v>150</v>
      </c>
      <c r="AL20" s="339"/>
    </row>
    <row r="21" spans="1:38" customFormat="1" x14ac:dyDescent="0.2">
      <c r="A21" s="86" t="str">
        <f>RedBasica!E21</f>
        <v>MS_A_1-007</v>
      </c>
      <c r="B21" s="86" t="str">
        <f>IF(RedBasica!G21=0,"",RedBasica!G21)</f>
        <v>MS_A_1-006</v>
      </c>
      <c r="C21" s="86" t="str">
        <f>IF(RedBasica!H21=0,"",RedBasica!H21)</f>
        <v>MS_A_5-003</v>
      </c>
      <c r="D21" s="86" t="str">
        <f>IF(RedBasica!I21=0,"",RedBasica!I21)</f>
        <v/>
      </c>
      <c r="E21" s="88">
        <f>IF(AND(RedBasica!D21=RedBasica!D20,RedBasica!F21&gt;0),RedBasica!W20,"")</f>
        <v>1.05</v>
      </c>
      <c r="F21" s="67">
        <f t="shared" si="1"/>
        <v>1.05</v>
      </c>
      <c r="G21" s="67" t="str">
        <f t="shared" si="2"/>
        <v/>
      </c>
      <c r="H21" s="67">
        <f t="shared" si="3"/>
        <v>1.05</v>
      </c>
      <c r="I21" s="67">
        <f>RedBasica!V21</f>
        <v>1.05</v>
      </c>
      <c r="J21" s="67">
        <f>RedBasica!W21</f>
        <v>1.05</v>
      </c>
      <c r="K21" s="88">
        <f>IF(AND(RedBasica!D21=RedBasica!D20,RedBasica!F21&gt;0),RedBasica!U20,"")</f>
        <v>0.9</v>
      </c>
      <c r="L21" s="67">
        <f t="shared" si="4"/>
        <v>0.9</v>
      </c>
      <c r="M21" s="67" t="str">
        <f t="shared" si="5"/>
        <v/>
      </c>
      <c r="N21" s="67">
        <f t="shared" si="6"/>
        <v>0.9</v>
      </c>
      <c r="O21" s="67">
        <f>RedBasica!T21</f>
        <v>0.9</v>
      </c>
      <c r="P21" s="67">
        <f>RedBasica!U21</f>
        <v>0.9</v>
      </c>
      <c r="Q21" s="67">
        <f>IFERROR(INDEX('A3'!$E$15:$E$10000,MATCH(RedBasica!G21,'A3'!$A$15:$A$10000,0),1),"")</f>
        <v>180.58999999999997</v>
      </c>
      <c r="R21" s="67">
        <f>IFERROR(INDEX('A3'!$E$15:$E$10000,MATCH(C21,$A$15:$A$10000,0),1),"")</f>
        <v>180.58999999999997</v>
      </c>
      <c r="S21" s="67" t="str">
        <f>IFERROR(INDEX('A3'!$E$15:$E$10000,MATCH(D21,$A$15:$A$10000,0),1),"")</f>
        <v/>
      </c>
      <c r="T21" s="67">
        <f t="shared" si="7"/>
        <v>180.58999999999997</v>
      </c>
      <c r="U21" s="67">
        <f>IFERROR(INDEX('A3'!$D$15:$D$10000,MATCH(A21,'A3'!$A$15:$A$10000,0),1),"")</f>
        <v>180.58999999999997</v>
      </c>
      <c r="V21" s="320">
        <f>IF(Q21="",0,(IF(U21-T21&gt;(Parametros!$F$64*(-1)),ROUNDUP(U21-T21+(Parametros!$F$64),2),0)))</f>
        <v>0</v>
      </c>
      <c r="W21" s="67">
        <f>IFERROR(INDEX('A3'!$I$15:$I$10000,MATCH(RedBasica!G21,'A3'!$A$15:$A$10000,0),1),"")</f>
        <v>180.62595147808617</v>
      </c>
      <c r="X21" s="67">
        <f>IFERROR(INDEX('A3'!$I$15:$I$10000,MATCH(C21,$A$15:$A$10000,0),1),"")</f>
        <v>180.61500340725905</v>
      </c>
      <c r="Y21" s="67" t="str">
        <f>IFERROR(INDEX('A3'!$I$15:$I$10000,MATCH(D21,$A$15:$A$10000,0),1),"")</f>
        <v/>
      </c>
      <c r="Z21" s="67">
        <f t="shared" si="8"/>
        <v>180.61500340725905</v>
      </c>
      <c r="AA21" s="67">
        <f>IFERROR(INDEX('A3'!$H$15:$H$10000,MATCH(A21,'A3'!$A$15:$A$10000,0),1),"")</f>
        <v>180.63033258375521</v>
      </c>
      <c r="AB21" s="320">
        <f t="shared" si="9"/>
        <v>0.02</v>
      </c>
      <c r="AC21" s="67">
        <f>RedBasica!R21</f>
        <v>0</v>
      </c>
      <c r="AD21" s="320">
        <f t="shared" si="10"/>
        <v>1.07</v>
      </c>
      <c r="AE21" s="320"/>
      <c r="AF21" s="320">
        <f t="shared" si="11"/>
        <v>1.1139249999999947</v>
      </c>
      <c r="AG21" s="320">
        <f t="shared" si="12"/>
        <v>1.1100000000000001</v>
      </c>
      <c r="AH21" s="333">
        <f>RedBasica!B21</f>
        <v>0</v>
      </c>
      <c r="AI21" s="333">
        <f>RedBasica!AI21</f>
        <v>150</v>
      </c>
      <c r="AJ21" s="333">
        <f>RedBasica!AJ21</f>
        <v>150</v>
      </c>
      <c r="AK21" s="333">
        <f t="shared" si="13"/>
        <v>150</v>
      </c>
      <c r="AL21" s="339"/>
    </row>
    <row r="22" spans="1:38" customFormat="1" x14ac:dyDescent="0.2">
      <c r="A22" s="86" t="str">
        <f>RedBasica!E22</f>
        <v>MS_A_1-008</v>
      </c>
      <c r="B22" s="86" t="str">
        <f>IF(RedBasica!G22=0,"",RedBasica!G22)</f>
        <v>MS_A_1-007</v>
      </c>
      <c r="C22" s="86" t="str">
        <f>IF(RedBasica!H22=0,"",RedBasica!H22)</f>
        <v>MS_A_7-001</v>
      </c>
      <c r="D22" s="86" t="str">
        <f>IF(RedBasica!I22=0,"",RedBasica!I22)</f>
        <v/>
      </c>
      <c r="E22" s="88">
        <f>IF(AND(RedBasica!D22=RedBasica!D21,RedBasica!F22&gt;0),RedBasica!W21,"")</f>
        <v>1.05</v>
      </c>
      <c r="F22" s="67">
        <f t="shared" si="1"/>
        <v>1.1139249999999947</v>
      </c>
      <c r="G22" s="67" t="str">
        <f t="shared" si="2"/>
        <v/>
      </c>
      <c r="H22" s="67">
        <f t="shared" si="3"/>
        <v>1.1139249999999947</v>
      </c>
      <c r="I22" s="67">
        <f>RedBasica!V22</f>
        <v>1.1139249999999947</v>
      </c>
      <c r="J22" s="67">
        <f>RedBasica!W22</f>
        <v>1.4006750000000068</v>
      </c>
      <c r="K22" s="88">
        <f>IF(AND(RedBasica!D22=RedBasica!D21,RedBasica!F22&gt;0),RedBasica!U21,"")</f>
        <v>0.9</v>
      </c>
      <c r="L22" s="67">
        <f t="shared" si="4"/>
        <v>0.9639249999999947</v>
      </c>
      <c r="M22" s="67" t="str">
        <f t="shared" si="5"/>
        <v/>
      </c>
      <c r="N22" s="67">
        <f t="shared" si="6"/>
        <v>0.9639249999999947</v>
      </c>
      <c r="O22" s="67">
        <f>RedBasica!T22</f>
        <v>0.9639249999999947</v>
      </c>
      <c r="P22" s="67">
        <f>RedBasica!U22</f>
        <v>1.2506750000000069</v>
      </c>
      <c r="Q22" s="67">
        <f>IFERROR(INDEX('A3'!$E$15:$E$10000,MATCH(RedBasica!G22,'A3'!$A$15:$A$10000,0),1),"")</f>
        <v>179.92999999999998</v>
      </c>
      <c r="R22" s="67">
        <f>IFERROR(INDEX('A3'!$E$15:$E$10000,MATCH(C22,$A$15:$A$10000,0),1),"")</f>
        <v>179.866075</v>
      </c>
      <c r="S22" s="67" t="str">
        <f>IFERROR(INDEX('A3'!$E$15:$E$10000,MATCH(D22,$A$15:$A$10000,0),1),"")</f>
        <v/>
      </c>
      <c r="T22" s="67">
        <f t="shared" si="7"/>
        <v>179.866075</v>
      </c>
      <c r="U22" s="67">
        <f>IFERROR(INDEX('A3'!$D$15:$D$10000,MATCH(A22,'A3'!$A$15:$A$10000,0),1),"")</f>
        <v>179.866075</v>
      </c>
      <c r="V22" s="320">
        <f>IF(Q22="",0,(IF(U22-T22&gt;(Parametros!$F$64*(-1)),ROUNDUP(U22-T22+(Parametros!$F$64),2),0)))</f>
        <v>0</v>
      </c>
      <c r="W22" s="67">
        <f>IFERROR(INDEX('A3'!$I$15:$I$10000,MATCH(RedBasica!G22,'A3'!$A$15:$A$10000,0),1),"")</f>
        <v>179.97033258375521</v>
      </c>
      <c r="X22" s="67">
        <f>IFERROR(INDEX('A3'!$I$15:$I$10000,MATCH(C22,$A$15:$A$10000,0),1),"")</f>
        <v>179.90491368578935</v>
      </c>
      <c r="Y22" s="67" t="str">
        <f>IFERROR(INDEX('A3'!$I$15:$I$10000,MATCH(D22,$A$15:$A$10000,0),1),"")</f>
        <v/>
      </c>
      <c r="Z22" s="67">
        <f t="shared" si="8"/>
        <v>179.90491368578935</v>
      </c>
      <c r="AA22" s="67">
        <f>IFERROR(INDEX('A3'!$H$15:$H$10000,MATCH(A22,'A3'!$A$15:$A$10000,0),1),"")</f>
        <v>179.91397761603756</v>
      </c>
      <c r="AB22" s="320">
        <f t="shared" si="9"/>
        <v>0.01</v>
      </c>
      <c r="AC22" s="67">
        <f>RedBasica!R22</f>
        <v>0</v>
      </c>
      <c r="AD22" s="320">
        <f t="shared" si="10"/>
        <v>1.1200000000000001</v>
      </c>
      <c r="AE22" s="320"/>
      <c r="AF22" s="320">
        <f t="shared" si="11"/>
        <v>1.4006750000000068</v>
      </c>
      <c r="AG22" s="320" t="str">
        <f t="shared" si="12"/>
        <v>-</v>
      </c>
      <c r="AH22" s="333">
        <f>RedBasica!B22</f>
        <v>0</v>
      </c>
      <c r="AI22" s="333">
        <f>RedBasica!AI22</f>
        <v>150</v>
      </c>
      <c r="AJ22" s="333">
        <f>RedBasica!AJ22</f>
        <v>150</v>
      </c>
      <c r="AK22" s="333">
        <f t="shared" si="13"/>
        <v>150</v>
      </c>
      <c r="AL22" s="339"/>
    </row>
    <row r="23" spans="1:38" customFormat="1" x14ac:dyDescent="0.2">
      <c r="A23" s="86" t="str">
        <f>RedBasica!E23</f>
        <v>MS_A_1-009</v>
      </c>
      <c r="B23" s="86" t="str">
        <f>IF(RedBasica!G23=0,"",RedBasica!G23)</f>
        <v>MS_A_1-008</v>
      </c>
      <c r="C23" s="86" t="str">
        <f>IF(RedBasica!H23=0,"",RedBasica!H23)</f>
        <v/>
      </c>
      <c r="D23" s="86" t="str">
        <f>IF(RedBasica!I23=0,"",RedBasica!I23)</f>
        <v/>
      </c>
      <c r="E23" s="88">
        <f>IF(AND(RedBasica!D23=RedBasica!D22,RedBasica!F23&gt;0),RedBasica!W22,"")</f>
        <v>1.4006750000000068</v>
      </c>
      <c r="F23" s="67" t="str">
        <f t="shared" si="1"/>
        <v/>
      </c>
      <c r="G23" s="67" t="str">
        <f t="shared" si="2"/>
        <v/>
      </c>
      <c r="H23" s="67">
        <f t="shared" si="3"/>
        <v>1.4006750000000068</v>
      </c>
      <c r="I23" s="67">
        <f>RedBasica!V23</f>
        <v>1.4006750000000068</v>
      </c>
      <c r="J23" s="67">
        <f>RedBasica!W23</f>
        <v>1.4204900000000009</v>
      </c>
      <c r="K23" s="88">
        <f>IF(AND(RedBasica!D23=RedBasica!D22,RedBasica!F23&gt;0),RedBasica!U22,"")</f>
        <v>1.2506750000000069</v>
      </c>
      <c r="L23" s="67" t="str">
        <f t="shared" si="4"/>
        <v/>
      </c>
      <c r="M23" s="67" t="str">
        <f t="shared" si="5"/>
        <v/>
      </c>
      <c r="N23" s="67">
        <f t="shared" si="6"/>
        <v>1.2506750000000069</v>
      </c>
      <c r="O23" s="67">
        <f>RedBasica!T23</f>
        <v>1.2506750000000069</v>
      </c>
      <c r="P23" s="67">
        <f>RedBasica!U23</f>
        <v>1.270490000000001</v>
      </c>
      <c r="Q23" s="67">
        <f>IFERROR(INDEX('A3'!$E$15:$E$10000,MATCH(RedBasica!G23,'A3'!$A$15:$A$10000,0),1),"")</f>
        <v>179.589325</v>
      </c>
      <c r="R23" s="67" t="str">
        <f>IFERROR(INDEX('A3'!$E$15:$E$10000,MATCH(C23,$A$15:$A$10000,0),1),"")</f>
        <v/>
      </c>
      <c r="S23" s="67" t="str">
        <f>IFERROR(INDEX('A3'!$E$15:$E$10000,MATCH(D23,$A$15:$A$10000,0),1),"")</f>
        <v/>
      </c>
      <c r="T23" s="67">
        <f t="shared" si="7"/>
        <v>179.589325</v>
      </c>
      <c r="U23" s="67">
        <f>IFERROR(INDEX('A3'!$D$15:$D$10000,MATCH(A23,'A3'!$A$15:$A$10000,0),1),"")</f>
        <v>179.589325</v>
      </c>
      <c r="V23" s="320">
        <f>IF(Q23="",0,(IF(U23-T23&gt;(Parametros!$F$64*(-1)),ROUNDUP(U23-T23+(Parametros!$F$64),2),0)))</f>
        <v>0</v>
      </c>
      <c r="W23" s="67">
        <f>IFERROR(INDEX('A3'!$I$15:$I$10000,MATCH(RedBasica!G23,'A3'!$A$15:$A$10000,0),1),"")</f>
        <v>179.63722761603756</v>
      </c>
      <c r="X23" s="67" t="str">
        <f>IFERROR(INDEX('A3'!$I$15:$I$10000,MATCH(C23,$A$15:$A$10000,0),1),"")</f>
        <v/>
      </c>
      <c r="Y23" s="67" t="str">
        <f>IFERROR(INDEX('A3'!$I$15:$I$10000,MATCH(D23,$A$15:$A$10000,0),1),"")</f>
        <v/>
      </c>
      <c r="Z23" s="67">
        <f t="shared" si="8"/>
        <v>179.63722761603756</v>
      </c>
      <c r="AA23" s="67">
        <f>IFERROR(INDEX('A3'!$H$15:$H$10000,MATCH(A23,'A3'!$A$15:$A$10000,0),1),"")</f>
        <v>179.63723327138698</v>
      </c>
      <c r="AB23" s="320">
        <f t="shared" si="9"/>
        <v>0.01</v>
      </c>
      <c r="AC23" s="67">
        <f>RedBasica!R23</f>
        <v>0</v>
      </c>
      <c r="AD23" s="320">
        <f t="shared" si="10"/>
        <v>1.41</v>
      </c>
      <c r="AE23" s="320"/>
      <c r="AF23" s="320">
        <f t="shared" si="11"/>
        <v>1.6221050000000048</v>
      </c>
      <c r="AG23" s="320">
        <f t="shared" si="12"/>
        <v>1.62</v>
      </c>
      <c r="AH23" s="333">
        <f>RedBasica!B23</f>
        <v>0</v>
      </c>
      <c r="AI23" s="333">
        <f>RedBasica!AI23</f>
        <v>150</v>
      </c>
      <c r="AJ23" s="333">
        <f>RedBasica!AJ23</f>
        <v>150</v>
      </c>
      <c r="AK23" s="333">
        <f t="shared" si="13"/>
        <v>150</v>
      </c>
      <c r="AL23" s="339"/>
    </row>
    <row r="24" spans="1:38" customFormat="1" x14ac:dyDescent="0.2">
      <c r="A24" s="86" t="str">
        <f>RedBasica!E24</f>
        <v>MS_A_1-010</v>
      </c>
      <c r="B24" s="86" t="str">
        <f>IF(RedBasica!G24=0,"",RedBasica!G24)</f>
        <v>MS_A_1-009</v>
      </c>
      <c r="C24" s="86" t="str">
        <f>IF(RedBasica!H24=0,"",RedBasica!H24)</f>
        <v>MS_A_2-005</v>
      </c>
      <c r="D24" s="86" t="str">
        <f>IF(RedBasica!I24=0,"",RedBasica!I24)</f>
        <v/>
      </c>
      <c r="E24" s="88">
        <f>IF(AND(RedBasica!D24=RedBasica!D23,RedBasica!F24&gt;0),RedBasica!W23,"")</f>
        <v>1.4204900000000009</v>
      </c>
      <c r="F24" s="67">
        <f t="shared" si="1"/>
        <v>1.6221050000000048</v>
      </c>
      <c r="G24" s="67" t="str">
        <f t="shared" si="2"/>
        <v/>
      </c>
      <c r="H24" s="67">
        <f t="shared" si="3"/>
        <v>1.6221050000000048</v>
      </c>
      <c r="I24" s="67">
        <f>RedBasica!V24</f>
        <v>1.6221050000000048</v>
      </c>
      <c r="J24" s="67">
        <f>RedBasica!W24</f>
        <v>2.1004850000000204</v>
      </c>
      <c r="K24" s="88">
        <f>IF(AND(RedBasica!D24=RedBasica!D23,RedBasica!F24&gt;0),RedBasica!U23,"")</f>
        <v>1.270490000000001</v>
      </c>
      <c r="L24" s="67">
        <f t="shared" si="4"/>
        <v>1.4721050000000049</v>
      </c>
      <c r="M24" s="67" t="str">
        <f t="shared" si="5"/>
        <v/>
      </c>
      <c r="N24" s="67">
        <f t="shared" si="6"/>
        <v>1.4721050000000049</v>
      </c>
      <c r="O24" s="67">
        <f>RedBasica!T24</f>
        <v>1.4721050000000049</v>
      </c>
      <c r="P24" s="67">
        <f>RedBasica!U24</f>
        <v>1.9504850000000205</v>
      </c>
      <c r="Q24" s="67">
        <f>IFERROR(INDEX('A3'!$E$15:$E$10000,MATCH(RedBasica!G24,'A3'!$A$15:$A$10000,0),1),"")</f>
        <v>179.35951</v>
      </c>
      <c r="R24" s="67">
        <f>IFERROR(INDEX('A3'!$E$15:$E$10000,MATCH(C24,$A$15:$A$10000,0),1),"")</f>
        <v>179.157895</v>
      </c>
      <c r="S24" s="67" t="str">
        <f>IFERROR(INDEX('A3'!$E$15:$E$10000,MATCH(D24,$A$15:$A$10000,0),1),"")</f>
        <v/>
      </c>
      <c r="T24" s="67">
        <f t="shared" si="7"/>
        <v>179.157895</v>
      </c>
      <c r="U24" s="67">
        <f>IFERROR(INDEX('A3'!$D$15:$D$10000,MATCH(A24,'A3'!$A$15:$A$10000,0),1),"")</f>
        <v>179.157895</v>
      </c>
      <c r="V24" s="320">
        <f>IF(Q24="",0,(IF(U24-T24&gt;(Parametros!$F$64*(-1)),ROUNDUP(U24-T24+(Parametros!$F$64),2),0)))</f>
        <v>0</v>
      </c>
      <c r="W24" s="67">
        <f>IFERROR(INDEX('A3'!$I$15:$I$10000,MATCH(RedBasica!G24,'A3'!$A$15:$A$10000,0),1),"")</f>
        <v>179.40741827138697</v>
      </c>
      <c r="X24" s="67">
        <f>IFERROR(INDEX('A3'!$I$15:$I$10000,MATCH(C24,$A$15:$A$10000,0),1),"")</f>
        <v>179.19673368578935</v>
      </c>
      <c r="Y24" s="67" t="str">
        <f>IFERROR(INDEX('A3'!$I$15:$I$10000,MATCH(D24,$A$15:$A$10000,0),1),"")</f>
        <v/>
      </c>
      <c r="Z24" s="67">
        <f t="shared" si="8"/>
        <v>179.19673368578935</v>
      </c>
      <c r="AA24" s="67">
        <f>IFERROR(INDEX('A3'!$H$15:$H$10000,MATCH(A24,'A3'!$A$15:$A$10000,0),1),"")</f>
        <v>179.20583842921187</v>
      </c>
      <c r="AB24" s="320">
        <f t="shared" si="9"/>
        <v>0.01</v>
      </c>
      <c r="AC24" s="67">
        <f>RedBasica!R24</f>
        <v>0</v>
      </c>
      <c r="AD24" s="320">
        <f t="shared" si="10"/>
        <v>1.63</v>
      </c>
      <c r="AE24" s="320"/>
      <c r="AF24" s="320">
        <f t="shared" si="11"/>
        <v>2.1004850000000204</v>
      </c>
      <c r="AG24" s="320" t="str">
        <f t="shared" si="12"/>
        <v>-</v>
      </c>
      <c r="AH24" s="333">
        <f>RedBasica!B24</f>
        <v>0</v>
      </c>
      <c r="AI24" s="333">
        <f>RedBasica!AI24</f>
        <v>150</v>
      </c>
      <c r="AJ24" s="333">
        <f>RedBasica!AJ24</f>
        <v>150</v>
      </c>
      <c r="AK24" s="333">
        <f t="shared" si="13"/>
        <v>150</v>
      </c>
      <c r="AL24" s="339"/>
    </row>
    <row r="25" spans="1:38" customFormat="1" x14ac:dyDescent="0.2">
      <c r="A25" s="86" t="str">
        <f>RedBasica!E25</f>
        <v>MS_A_1-011</v>
      </c>
      <c r="B25" s="86" t="str">
        <f>IF(RedBasica!G25=0,"",RedBasica!G25)</f>
        <v>MS_A_1-010</v>
      </c>
      <c r="C25" s="86" t="str">
        <f>IF(RedBasica!H25=0,"",RedBasica!H25)</f>
        <v/>
      </c>
      <c r="D25" s="86" t="str">
        <f>IF(RedBasica!I25=0,"",RedBasica!I25)</f>
        <v/>
      </c>
      <c r="E25" s="88">
        <f>IF(AND(RedBasica!D25=RedBasica!D24,RedBasica!F25&gt;0),RedBasica!W24,"")</f>
        <v>2.1004850000000204</v>
      </c>
      <c r="F25" s="67" t="str">
        <f t="shared" si="1"/>
        <v/>
      </c>
      <c r="G25" s="67" t="str">
        <f t="shared" si="2"/>
        <v/>
      </c>
      <c r="H25" s="67">
        <f t="shared" si="3"/>
        <v>2.1004850000000204</v>
      </c>
      <c r="I25" s="67">
        <f>RedBasica!V25</f>
        <v>2.1004850000000204</v>
      </c>
      <c r="J25" s="67">
        <f>RedBasica!W25</f>
        <v>1.8809200000000033</v>
      </c>
      <c r="K25" s="88">
        <f>IF(AND(RedBasica!D25=RedBasica!D24,RedBasica!F25&gt;0),RedBasica!U24,"")</f>
        <v>1.9504850000000205</v>
      </c>
      <c r="L25" s="67" t="str">
        <f t="shared" si="4"/>
        <v/>
      </c>
      <c r="M25" s="67" t="str">
        <f t="shared" si="5"/>
        <v/>
      </c>
      <c r="N25" s="67">
        <f t="shared" si="6"/>
        <v>1.9504850000000205</v>
      </c>
      <c r="O25" s="67">
        <f>RedBasica!T25</f>
        <v>1.9504850000000205</v>
      </c>
      <c r="P25" s="67">
        <f>RedBasica!U25</f>
        <v>1.7309200000000033</v>
      </c>
      <c r="Q25" s="67">
        <f>IFERROR(INDEX('A3'!$E$15:$E$10000,MATCH(RedBasica!G25,'A3'!$A$15:$A$10000,0),1),"")</f>
        <v>178.88951499999999</v>
      </c>
      <c r="R25" s="67" t="str">
        <f>IFERROR(INDEX('A3'!$E$15:$E$10000,MATCH(C25,$A$15:$A$10000,0),1),"")</f>
        <v/>
      </c>
      <c r="S25" s="67" t="str">
        <f>IFERROR(INDEX('A3'!$E$15:$E$10000,MATCH(D25,$A$15:$A$10000,0),1),"")</f>
        <v/>
      </c>
      <c r="T25" s="67">
        <f t="shared" si="7"/>
        <v>178.88951499999999</v>
      </c>
      <c r="U25" s="67">
        <f>IFERROR(INDEX('A3'!$D$15:$D$10000,MATCH(A25,'A3'!$A$15:$A$10000,0),1),"")</f>
        <v>178.88951499999999</v>
      </c>
      <c r="V25" s="320">
        <f>IF(Q25="",0,(IF(U25-T25&gt;(Parametros!$F$64*(-1)),ROUNDUP(U25-T25+(Parametros!$F$64),2),0)))</f>
        <v>0</v>
      </c>
      <c r="W25" s="67">
        <f>IFERROR(INDEX('A3'!$I$15:$I$10000,MATCH(RedBasica!G25,'A3'!$A$15:$A$10000,0),1),"")</f>
        <v>178.93745842921186</v>
      </c>
      <c r="X25" s="67" t="str">
        <f>IFERROR(INDEX('A3'!$I$15:$I$10000,MATCH(C25,$A$15:$A$10000,0),1),"")</f>
        <v/>
      </c>
      <c r="Y25" s="67" t="str">
        <f>IFERROR(INDEX('A3'!$I$15:$I$10000,MATCH(D25,$A$15:$A$10000,0),1),"")</f>
        <v/>
      </c>
      <c r="Z25" s="67">
        <f t="shared" si="8"/>
        <v>178.93745842921186</v>
      </c>
      <c r="AA25" s="67">
        <f>IFERROR(INDEX('A3'!$H$15:$H$10000,MATCH(A25,'A3'!$A$15:$A$10000,0),1),"")</f>
        <v>178.93746655530933</v>
      </c>
      <c r="AB25" s="320">
        <f t="shared" si="9"/>
        <v>0.01</v>
      </c>
      <c r="AC25" s="67">
        <f>RedBasica!R25</f>
        <v>0</v>
      </c>
      <c r="AD25" s="320">
        <f t="shared" si="10"/>
        <v>2.11</v>
      </c>
      <c r="AE25" s="320"/>
      <c r="AF25" s="320">
        <f t="shared" si="11"/>
        <v>1.8809200000000033</v>
      </c>
      <c r="AG25" s="320" t="str">
        <f t="shared" si="12"/>
        <v>-</v>
      </c>
      <c r="AH25" s="333">
        <f>RedBasica!B25</f>
        <v>0</v>
      </c>
      <c r="AI25" s="333">
        <f>RedBasica!AI25</f>
        <v>150</v>
      </c>
      <c r="AJ25" s="333">
        <f>RedBasica!AJ25</f>
        <v>150</v>
      </c>
      <c r="AK25" s="333">
        <f t="shared" si="13"/>
        <v>150</v>
      </c>
      <c r="AL25" s="339"/>
    </row>
    <row r="26" spans="1:38" customFormat="1" x14ac:dyDescent="0.2">
      <c r="A26" s="86" t="str">
        <f>RedBasica!E26</f>
        <v>MS_A_1-012</v>
      </c>
      <c r="B26" s="86" t="str">
        <f>IF(RedBasica!G26=0,"",RedBasica!G26)</f>
        <v>MS_A_1-011</v>
      </c>
      <c r="C26" s="86" t="str">
        <f>IF(RedBasica!H26=0,"",RedBasica!H26)</f>
        <v>MS_A_4-008</v>
      </c>
      <c r="D26" s="86" t="str">
        <f>IF(RedBasica!I26=0,"",RedBasica!I26)</f>
        <v/>
      </c>
      <c r="E26" s="88">
        <f>IF(AND(RedBasica!D26=RedBasica!D25,RedBasica!F26&gt;0),RedBasica!W25,"")</f>
        <v>1.8809200000000033</v>
      </c>
      <c r="F26" s="67">
        <f t="shared" si="1"/>
        <v>1.05</v>
      </c>
      <c r="G26" s="67" t="str">
        <f t="shared" si="2"/>
        <v/>
      </c>
      <c r="H26" s="67">
        <f t="shared" si="3"/>
        <v>1.8809200000000033</v>
      </c>
      <c r="I26" s="67">
        <f>RedBasica!V26</f>
        <v>1.8809200000000033</v>
      </c>
      <c r="J26" s="67">
        <f>RedBasica!W26</f>
        <v>1.6977200000000039</v>
      </c>
      <c r="K26" s="88">
        <f>IF(AND(RedBasica!D26=RedBasica!D25,RedBasica!F26&gt;0),RedBasica!U25,"")</f>
        <v>1.7309200000000033</v>
      </c>
      <c r="L26" s="67">
        <f t="shared" si="4"/>
        <v>0.9</v>
      </c>
      <c r="M26" s="67" t="str">
        <f t="shared" si="5"/>
        <v/>
      </c>
      <c r="N26" s="67">
        <f t="shared" si="6"/>
        <v>1.7309200000000033</v>
      </c>
      <c r="O26" s="67">
        <f>RedBasica!T26</f>
        <v>1.7309200000000033</v>
      </c>
      <c r="P26" s="67">
        <f>RedBasica!U26</f>
        <v>1.547720000000004</v>
      </c>
      <c r="Q26" s="67">
        <f>IFERROR(INDEX('A3'!$E$15:$E$10000,MATCH(RedBasica!G26,'A3'!$A$15:$A$10000,0),1),"")</f>
        <v>178.55907999999999</v>
      </c>
      <c r="R26" s="67">
        <f>IFERROR(INDEX('A3'!$E$15:$E$10000,MATCH(C26,$A$15:$A$10000,0),1),"")</f>
        <v>179.39</v>
      </c>
      <c r="S26" s="67" t="str">
        <f>IFERROR(INDEX('A3'!$E$15:$E$10000,MATCH(D26,$A$15:$A$10000,0),1),"")</f>
        <v/>
      </c>
      <c r="T26" s="67">
        <f t="shared" si="7"/>
        <v>178.55907999999999</v>
      </c>
      <c r="U26" s="67">
        <f>IFERROR(INDEX('A3'!$D$15:$D$10000,MATCH(A26,'A3'!$A$15:$A$10000,0),1),"")</f>
        <v>178.55907999999999</v>
      </c>
      <c r="V26" s="320">
        <f>IF(Q26="",0,(IF(U26-T26&gt;(Parametros!$F$64*(-1)),ROUNDUP(U26-T26+(Parametros!$F$64),2),0)))</f>
        <v>0</v>
      </c>
      <c r="W26" s="67">
        <f>IFERROR(INDEX('A3'!$I$15:$I$10000,MATCH(RedBasica!G26,'A3'!$A$15:$A$10000,0),1),"")</f>
        <v>178.60703155530933</v>
      </c>
      <c r="X26" s="67">
        <f>IFERROR(INDEX('A3'!$I$15:$I$10000,MATCH(C26,$A$15:$A$10000,0),1),"")</f>
        <v>179.41182051296113</v>
      </c>
      <c r="Y26" s="67" t="str">
        <f>IFERROR(INDEX('A3'!$I$15:$I$10000,MATCH(D26,$A$15:$A$10000,0),1),"")</f>
        <v/>
      </c>
      <c r="Z26" s="67">
        <f t="shared" si="8"/>
        <v>178.60703155530933</v>
      </c>
      <c r="AA26" s="67">
        <f>IFERROR(INDEX('A3'!$H$15:$H$10000,MATCH(A26,'A3'!$A$15:$A$10000,0),1),"")</f>
        <v>178.60711819698358</v>
      </c>
      <c r="AB26" s="320">
        <f t="shared" si="9"/>
        <v>0.01</v>
      </c>
      <c r="AC26" s="67">
        <f>RedBasica!R26</f>
        <v>0</v>
      </c>
      <c r="AD26" s="320">
        <f t="shared" si="10"/>
        <v>1.89</v>
      </c>
      <c r="AE26" s="320"/>
      <c r="AF26" s="320" t="str">
        <f t="shared" si="11"/>
        <v>-</v>
      </c>
      <c r="AG26" s="320" t="str">
        <f t="shared" si="12"/>
        <v>-</v>
      </c>
      <c r="AH26" s="333">
        <f>RedBasica!B26</f>
        <v>0</v>
      </c>
      <c r="AI26" s="333">
        <f>RedBasica!AI26</f>
        <v>150</v>
      </c>
      <c r="AJ26" s="333">
        <f>RedBasica!AJ26</f>
        <v>150</v>
      </c>
      <c r="AK26" s="333">
        <f t="shared" si="13"/>
        <v>150</v>
      </c>
      <c r="AL26" s="339"/>
    </row>
    <row r="27" spans="1:38" customFormat="1" x14ac:dyDescent="0.2">
      <c r="A27" s="86" t="str">
        <f>RedBasica!E27</f>
        <v>MS_A_2-001</v>
      </c>
      <c r="B27" s="86" t="str">
        <f>IF(RedBasica!G27=0,"",RedBasica!G27)</f>
        <v/>
      </c>
      <c r="C27" s="86" t="str">
        <f>IF(RedBasica!H27=0,"",RedBasica!H27)</f>
        <v/>
      </c>
      <c r="D27" s="86" t="str">
        <f>IF(RedBasica!I27=0,"",RedBasica!I27)</f>
        <v/>
      </c>
      <c r="E27" s="88" t="str">
        <f>IF(AND(RedBasica!D27=RedBasica!D26,RedBasica!F27&gt;0),RedBasica!W26,"")</f>
        <v/>
      </c>
      <c r="F27" s="67" t="str">
        <f t="shared" si="1"/>
        <v/>
      </c>
      <c r="G27" s="67" t="str">
        <f t="shared" si="2"/>
        <v/>
      </c>
      <c r="H27" s="67">
        <f t="shared" si="3"/>
        <v>0</v>
      </c>
      <c r="I27" s="67">
        <f>RedBasica!V27</f>
        <v>1.05</v>
      </c>
      <c r="J27" s="67">
        <f>RedBasica!W27</f>
        <v>1.3247949999999946</v>
      </c>
      <c r="K27" s="88" t="str">
        <f>IF(AND(RedBasica!D27=RedBasica!D26,RedBasica!F27&gt;0),RedBasica!U26,"")</f>
        <v/>
      </c>
      <c r="L27" s="67" t="str">
        <f t="shared" si="4"/>
        <v/>
      </c>
      <c r="M27" s="67" t="str">
        <f t="shared" si="5"/>
        <v/>
      </c>
      <c r="N27" s="67">
        <f t="shared" si="6"/>
        <v>0</v>
      </c>
      <c r="O27" s="67">
        <f>RedBasica!T27</f>
        <v>0.9</v>
      </c>
      <c r="P27" s="67">
        <f>RedBasica!U27</f>
        <v>1.1747949999999947</v>
      </c>
      <c r="Q27" s="67" t="str">
        <f>IFERROR(INDEX('A3'!$E$15:$E$10000,MATCH(RedBasica!G27,'A3'!$A$15:$A$10000,0),1),"")</f>
        <v/>
      </c>
      <c r="R27" s="67" t="str">
        <f>IFERROR(INDEX('A3'!$E$15:$E$10000,MATCH(C27,$A$15:$A$10000,0),1),"")</f>
        <v/>
      </c>
      <c r="S27" s="67" t="str">
        <f>IFERROR(INDEX('A3'!$E$15:$E$10000,MATCH(D27,$A$15:$A$10000,0),1),"")</f>
        <v/>
      </c>
      <c r="T27" s="67">
        <f t="shared" si="7"/>
        <v>0</v>
      </c>
      <c r="U27" s="67">
        <f>IFERROR(INDEX('A3'!$D$15:$D$10000,MATCH(A27,'A3'!$A$15:$A$10000,0),1),"")</f>
        <v>181.64</v>
      </c>
      <c r="V27" s="320">
        <f>IF(Q27="",0,(IF(U27-T27&gt;(Parametros!$F$64*(-1)),ROUNDUP(U27-T27+(Parametros!$F$64),2),0)))</f>
        <v>0</v>
      </c>
      <c r="W27" s="67" t="str">
        <f>IFERROR(INDEX('A3'!$I$15:$I$10000,MATCH(RedBasica!G27,'A3'!$A$15:$A$10000,0),1),"")</f>
        <v/>
      </c>
      <c r="X27" s="67" t="str">
        <f>IFERROR(INDEX('A3'!$I$15:$I$10000,MATCH(C27,$A$15:$A$10000,0),1),"")</f>
        <v/>
      </c>
      <c r="Y27" s="67" t="str">
        <f>IFERROR(INDEX('A3'!$I$15:$I$10000,MATCH(D27,$A$15:$A$10000,0),1),"")</f>
        <v/>
      </c>
      <c r="Z27" s="67">
        <f t="shared" si="8"/>
        <v>0</v>
      </c>
      <c r="AA27" s="67">
        <f>IFERROR(INDEX('A3'!$H$15:$H$10000,MATCH(A27,'A3'!$A$15:$A$10000,0),1),"")</f>
        <v>181.67883868578934</v>
      </c>
      <c r="AB27" s="320">
        <f t="shared" si="9"/>
        <v>0</v>
      </c>
      <c r="AC27" s="67">
        <f>RedBasica!R27</f>
        <v>0</v>
      </c>
      <c r="AD27" s="320">
        <f t="shared" si="10"/>
        <v>1.05</v>
      </c>
      <c r="AE27" s="320"/>
      <c r="AF27" s="320">
        <f t="shared" si="11"/>
        <v>1.3247949999999946</v>
      </c>
      <c r="AG27" s="320" t="str">
        <f t="shared" si="12"/>
        <v>-</v>
      </c>
      <c r="AH27" s="333">
        <f>RedBasica!B27</f>
        <v>1</v>
      </c>
      <c r="AI27" s="333">
        <f>RedBasica!AI27</f>
        <v>150</v>
      </c>
      <c r="AJ27" s="333">
        <f>RedBasica!AJ27</f>
        <v>150</v>
      </c>
      <c r="AK27" s="333">
        <f t="shared" si="13"/>
        <v>150</v>
      </c>
      <c r="AL27" s="339"/>
    </row>
    <row r="28" spans="1:38" customFormat="1" x14ac:dyDescent="0.2">
      <c r="A28" s="86" t="str">
        <f>RedBasica!E28</f>
        <v>MS_A_2-002</v>
      </c>
      <c r="B28" s="86" t="str">
        <f>IF(RedBasica!G28=0,"",RedBasica!G28)</f>
        <v>MS_A_2-001</v>
      </c>
      <c r="C28" s="86" t="str">
        <f>IF(RedBasica!H28=0,"",RedBasica!H28)</f>
        <v/>
      </c>
      <c r="D28" s="86" t="str">
        <f>IF(RedBasica!I28=0,"",RedBasica!I28)</f>
        <v/>
      </c>
      <c r="E28" s="88">
        <f>IF(AND(RedBasica!D28=RedBasica!D27,RedBasica!F28&gt;0),RedBasica!W27,"")</f>
        <v>1.3247949999999946</v>
      </c>
      <c r="F28" s="67" t="str">
        <f t="shared" si="1"/>
        <v/>
      </c>
      <c r="G28" s="67" t="str">
        <f t="shared" si="2"/>
        <v/>
      </c>
      <c r="H28" s="67">
        <f t="shared" si="3"/>
        <v>1.3247949999999946</v>
      </c>
      <c r="I28" s="67">
        <f>RedBasica!V28</f>
        <v>1.3247949999999946</v>
      </c>
      <c r="J28" s="67">
        <f>RedBasica!W28</f>
        <v>1.05</v>
      </c>
      <c r="K28" s="88">
        <f>IF(AND(RedBasica!D28=RedBasica!D27,RedBasica!F28&gt;0),RedBasica!U27,"")</f>
        <v>1.1747949999999947</v>
      </c>
      <c r="L28" s="67" t="str">
        <f t="shared" si="4"/>
        <v/>
      </c>
      <c r="M28" s="67" t="str">
        <f t="shared" si="5"/>
        <v/>
      </c>
      <c r="N28" s="67">
        <f t="shared" si="6"/>
        <v>1.1747949999999947</v>
      </c>
      <c r="O28" s="67">
        <f>RedBasica!T28</f>
        <v>1.1747949999999947</v>
      </c>
      <c r="P28" s="67">
        <f>RedBasica!U28</f>
        <v>0.9</v>
      </c>
      <c r="Q28" s="67">
        <f>IFERROR(INDEX('A3'!$E$15:$E$10000,MATCH(RedBasica!G28,'A3'!$A$15:$A$10000,0),1),"")</f>
        <v>181.435205</v>
      </c>
      <c r="R28" s="67" t="str">
        <f>IFERROR(INDEX('A3'!$E$15:$E$10000,MATCH(C28,$A$15:$A$10000,0),1),"")</f>
        <v/>
      </c>
      <c r="S28" s="67" t="str">
        <f>IFERROR(INDEX('A3'!$E$15:$E$10000,MATCH(D28,$A$15:$A$10000,0),1),"")</f>
        <v/>
      </c>
      <c r="T28" s="67">
        <f t="shared" si="7"/>
        <v>181.435205</v>
      </c>
      <c r="U28" s="67">
        <f>IFERROR(INDEX('A3'!$D$15:$D$10000,MATCH(A28,'A3'!$A$15:$A$10000,0),1),"")</f>
        <v>181.435205</v>
      </c>
      <c r="V28" s="320">
        <f>IF(Q28="",0,(IF(U28-T28&gt;(Parametros!$F$64*(-1)),ROUNDUP(U28-T28+(Parametros!$F$64),2),0)))</f>
        <v>0</v>
      </c>
      <c r="W28" s="67">
        <f>IFERROR(INDEX('A3'!$I$15:$I$10000,MATCH(RedBasica!G28,'A3'!$A$15:$A$10000,0),1),"")</f>
        <v>181.47404368578935</v>
      </c>
      <c r="X28" s="67" t="str">
        <f>IFERROR(INDEX('A3'!$I$15:$I$10000,MATCH(C28,$A$15:$A$10000,0),1),"")</f>
        <v/>
      </c>
      <c r="Y28" s="67" t="str">
        <f>IFERROR(INDEX('A3'!$I$15:$I$10000,MATCH(D28,$A$15:$A$10000,0),1),"")</f>
        <v/>
      </c>
      <c r="Z28" s="67">
        <f t="shared" si="8"/>
        <v>181.47404368578935</v>
      </c>
      <c r="AA28" s="67">
        <f>IFERROR(INDEX('A3'!$H$15:$H$10000,MATCH(A28,'A3'!$A$15:$A$10000,0),1),"")</f>
        <v>181.47057359081916</v>
      </c>
      <c r="AB28" s="320">
        <f t="shared" si="9"/>
        <v>0</v>
      </c>
      <c r="AC28" s="67">
        <f>RedBasica!R28</f>
        <v>0</v>
      </c>
      <c r="AD28" s="320">
        <f t="shared" si="10"/>
        <v>1.32</v>
      </c>
      <c r="AE28" s="320"/>
      <c r="AF28" s="320">
        <f t="shared" si="11"/>
        <v>1.05</v>
      </c>
      <c r="AG28" s="320" t="str">
        <f t="shared" si="12"/>
        <v>-</v>
      </c>
      <c r="AH28" s="333">
        <f>RedBasica!B28</f>
        <v>0</v>
      </c>
      <c r="AI28" s="333">
        <f>RedBasica!AI28</f>
        <v>150</v>
      </c>
      <c r="AJ28" s="333">
        <f>RedBasica!AJ28</f>
        <v>150</v>
      </c>
      <c r="AK28" s="333">
        <f t="shared" si="13"/>
        <v>150</v>
      </c>
      <c r="AL28" s="339"/>
    </row>
    <row r="29" spans="1:38" customFormat="1" x14ac:dyDescent="0.2">
      <c r="A29" s="86" t="str">
        <f>RedBasica!E29</f>
        <v>MS_A_2-003</v>
      </c>
      <c r="B29" s="86" t="str">
        <f>IF(RedBasica!G29=0,"",RedBasica!G29)</f>
        <v>MS_A_2-002</v>
      </c>
      <c r="C29" s="86" t="str">
        <f>IF(RedBasica!H29=0,"",RedBasica!H29)</f>
        <v/>
      </c>
      <c r="D29" s="86" t="str">
        <f>IF(RedBasica!I29=0,"",RedBasica!I29)</f>
        <v/>
      </c>
      <c r="E29" s="88">
        <f>IF(AND(RedBasica!D29=RedBasica!D28,RedBasica!F29&gt;0),RedBasica!W28,"")</f>
        <v>1.05</v>
      </c>
      <c r="F29" s="67" t="str">
        <f t="shared" si="1"/>
        <v/>
      </c>
      <c r="G29" s="67" t="str">
        <f t="shared" si="2"/>
        <v/>
      </c>
      <c r="H29" s="67">
        <f t="shared" si="3"/>
        <v>1.05</v>
      </c>
      <c r="I29" s="67">
        <f>RedBasica!V29</f>
        <v>1.05</v>
      </c>
      <c r="J29" s="67">
        <f>RedBasica!W29</f>
        <v>1.05</v>
      </c>
      <c r="K29" s="88">
        <f>IF(AND(RedBasica!D29=RedBasica!D28,RedBasica!F29&gt;0),RedBasica!U28,"")</f>
        <v>0.9</v>
      </c>
      <c r="L29" s="67" t="str">
        <f t="shared" si="4"/>
        <v/>
      </c>
      <c r="M29" s="67" t="str">
        <f t="shared" si="5"/>
        <v/>
      </c>
      <c r="N29" s="67">
        <f t="shared" si="6"/>
        <v>0.9</v>
      </c>
      <c r="O29" s="67">
        <f>RedBasica!T29</f>
        <v>0.9</v>
      </c>
      <c r="P29" s="67">
        <f>RedBasica!U29</f>
        <v>0.9</v>
      </c>
      <c r="Q29" s="67">
        <f>IFERROR(INDEX('A3'!$E$15:$E$10000,MATCH(RedBasica!G29,'A3'!$A$15:$A$10000,0),1),"")</f>
        <v>181.10999999999999</v>
      </c>
      <c r="R29" s="67" t="str">
        <f>IFERROR(INDEX('A3'!$E$15:$E$10000,MATCH(C29,$A$15:$A$10000,0),1),"")</f>
        <v/>
      </c>
      <c r="S29" s="67" t="str">
        <f>IFERROR(INDEX('A3'!$E$15:$E$10000,MATCH(D29,$A$15:$A$10000,0),1),"")</f>
        <v/>
      </c>
      <c r="T29" s="67">
        <f t="shared" si="7"/>
        <v>181.10999999999999</v>
      </c>
      <c r="U29" s="67">
        <f>IFERROR(INDEX('A3'!$D$15:$D$10000,MATCH(A29,'A3'!$A$15:$A$10000,0),1),"")</f>
        <v>181.10999999999999</v>
      </c>
      <c r="V29" s="320">
        <f>IF(Q29="",0,(IF(U29-T29&gt;(Parametros!$F$64*(-1)),ROUNDUP(U29-T29+(Parametros!$F$64),2),0)))</f>
        <v>0</v>
      </c>
      <c r="W29" s="67">
        <f>IFERROR(INDEX('A3'!$I$15:$I$10000,MATCH(RedBasica!G29,'A3'!$A$15:$A$10000,0),1),"")</f>
        <v>181.14536859081915</v>
      </c>
      <c r="X29" s="67" t="str">
        <f>IFERROR(INDEX('A3'!$I$15:$I$10000,MATCH(C29,$A$15:$A$10000,0),1),"")</f>
        <v/>
      </c>
      <c r="Y29" s="67" t="str">
        <f>IFERROR(INDEX('A3'!$I$15:$I$10000,MATCH(D29,$A$15:$A$10000,0),1),"")</f>
        <v/>
      </c>
      <c r="Z29" s="67">
        <f t="shared" si="8"/>
        <v>181.14536859081915</v>
      </c>
      <c r="AA29" s="67">
        <f>IFERROR(INDEX('A3'!$H$15:$H$10000,MATCH(A29,'A3'!$A$15:$A$10000,0),1),"")</f>
        <v>181.13864538955909</v>
      </c>
      <c r="AB29" s="320">
        <f t="shared" si="9"/>
        <v>0</v>
      </c>
      <c r="AC29" s="67">
        <f>RedBasica!R29</f>
        <v>0</v>
      </c>
      <c r="AD29" s="320">
        <f t="shared" si="10"/>
        <v>1.05</v>
      </c>
      <c r="AE29" s="320"/>
      <c r="AF29" s="320">
        <f t="shared" si="11"/>
        <v>1.05</v>
      </c>
      <c r="AG29" s="320" t="str">
        <f t="shared" si="12"/>
        <v>-</v>
      </c>
      <c r="AH29" s="333">
        <f>RedBasica!B29</f>
        <v>0</v>
      </c>
      <c r="AI29" s="333">
        <f>RedBasica!AI29</f>
        <v>150</v>
      </c>
      <c r="AJ29" s="333">
        <f>RedBasica!AJ29</f>
        <v>150</v>
      </c>
      <c r="AK29" s="333">
        <f t="shared" si="13"/>
        <v>150</v>
      </c>
      <c r="AL29" s="339"/>
    </row>
    <row r="30" spans="1:38" customFormat="1" x14ac:dyDescent="0.2">
      <c r="A30" s="86" t="str">
        <f>RedBasica!E30</f>
        <v>MS_A_2-004</v>
      </c>
      <c r="B30" s="86" t="str">
        <f>IF(RedBasica!G30=0,"",RedBasica!G30)</f>
        <v>MS_A_2-003</v>
      </c>
      <c r="C30" s="86" t="str">
        <f>IF(RedBasica!H30=0,"",RedBasica!H30)</f>
        <v/>
      </c>
      <c r="D30" s="86" t="str">
        <f>IF(RedBasica!I30=0,"",RedBasica!I30)</f>
        <v/>
      </c>
      <c r="E30" s="88">
        <f>IF(AND(RedBasica!D30=RedBasica!D29,RedBasica!F30&gt;0),RedBasica!W29,"")</f>
        <v>1.05</v>
      </c>
      <c r="F30" s="67" t="str">
        <f t="shared" si="1"/>
        <v/>
      </c>
      <c r="G30" s="67" t="str">
        <f t="shared" si="2"/>
        <v/>
      </c>
      <c r="H30" s="67">
        <f t="shared" si="3"/>
        <v>1.05</v>
      </c>
      <c r="I30" s="67">
        <f>RedBasica!V30</f>
        <v>1.05</v>
      </c>
      <c r="J30" s="67">
        <f>RedBasica!W30</f>
        <v>1.05</v>
      </c>
      <c r="K30" s="88">
        <f>IF(AND(RedBasica!D30=RedBasica!D29,RedBasica!F30&gt;0),RedBasica!U29,"")</f>
        <v>0.9</v>
      </c>
      <c r="L30" s="67" t="str">
        <f t="shared" si="4"/>
        <v/>
      </c>
      <c r="M30" s="67" t="str">
        <f t="shared" si="5"/>
        <v/>
      </c>
      <c r="N30" s="67">
        <f t="shared" si="6"/>
        <v>0.9</v>
      </c>
      <c r="O30" s="67">
        <f>RedBasica!T30</f>
        <v>0.9</v>
      </c>
      <c r="P30" s="67">
        <f>RedBasica!U30</f>
        <v>0.9</v>
      </c>
      <c r="Q30" s="67">
        <f>IFERROR(INDEX('A3'!$E$15:$E$10000,MATCH(RedBasica!G30,'A3'!$A$15:$A$10000,0),1),"")</f>
        <v>179.85999999999999</v>
      </c>
      <c r="R30" s="67" t="str">
        <f>IFERROR(INDEX('A3'!$E$15:$E$10000,MATCH(C30,$A$15:$A$10000,0),1),"")</f>
        <v/>
      </c>
      <c r="S30" s="67" t="str">
        <f>IFERROR(INDEX('A3'!$E$15:$E$10000,MATCH(D30,$A$15:$A$10000,0),1),"")</f>
        <v/>
      </c>
      <c r="T30" s="67">
        <f t="shared" si="7"/>
        <v>179.85999999999999</v>
      </c>
      <c r="U30" s="67">
        <f>IFERROR(INDEX('A3'!$D$15:$D$10000,MATCH(A30,'A3'!$A$15:$A$10000,0),1),"")</f>
        <v>179.85999999999999</v>
      </c>
      <c r="V30" s="320">
        <f>IF(Q30="",0,(IF(U30-T30&gt;(Parametros!$F$64*(-1)),ROUNDUP(U30-T30+(Parametros!$F$64),2),0)))</f>
        <v>0</v>
      </c>
      <c r="W30" s="67">
        <f>IFERROR(INDEX('A3'!$I$15:$I$10000,MATCH(RedBasica!G30,'A3'!$A$15:$A$10000,0),1),"")</f>
        <v>179.88864538955909</v>
      </c>
      <c r="X30" s="67" t="str">
        <f>IFERROR(INDEX('A3'!$I$15:$I$10000,MATCH(C30,$A$15:$A$10000,0),1),"")</f>
        <v/>
      </c>
      <c r="Y30" s="67" t="str">
        <f>IFERROR(INDEX('A3'!$I$15:$I$10000,MATCH(D30,$A$15:$A$10000,0),1),"")</f>
        <v/>
      </c>
      <c r="Z30" s="67">
        <f t="shared" si="8"/>
        <v>179.88864538955909</v>
      </c>
      <c r="AA30" s="67">
        <f>IFERROR(INDEX('A3'!$H$15:$H$10000,MATCH(A30,'A3'!$A$15:$A$10000,0),1),"")</f>
        <v>179.89152950852414</v>
      </c>
      <c r="AB30" s="320">
        <f t="shared" si="9"/>
        <v>0.01</v>
      </c>
      <c r="AC30" s="67">
        <f>RedBasica!R30</f>
        <v>0</v>
      </c>
      <c r="AD30" s="320">
        <f t="shared" si="10"/>
        <v>1.06</v>
      </c>
      <c r="AE30" s="320"/>
      <c r="AF30" s="320">
        <f t="shared" si="11"/>
        <v>1.05</v>
      </c>
      <c r="AG30" s="320" t="str">
        <f t="shared" si="12"/>
        <v>-</v>
      </c>
      <c r="AH30" s="333">
        <f>RedBasica!B30</f>
        <v>0</v>
      </c>
      <c r="AI30" s="333">
        <f>RedBasica!AI30</f>
        <v>150</v>
      </c>
      <c r="AJ30" s="333">
        <f>RedBasica!AJ30</f>
        <v>150</v>
      </c>
      <c r="AK30" s="333">
        <f t="shared" si="13"/>
        <v>150</v>
      </c>
      <c r="AL30" s="339"/>
    </row>
    <row r="31" spans="1:38" customFormat="1" x14ac:dyDescent="0.2">
      <c r="A31" s="86" t="str">
        <f>RedBasica!E31</f>
        <v>MS_A_2-005</v>
      </c>
      <c r="B31" s="86" t="str">
        <f>IF(RedBasica!G31=0,"",RedBasica!G31)</f>
        <v>MS_A_2-004</v>
      </c>
      <c r="C31" s="86" t="str">
        <f>IF(RedBasica!H31=0,"",RedBasica!H31)</f>
        <v/>
      </c>
      <c r="D31" s="86" t="str">
        <f>IF(RedBasica!I31=0,"",RedBasica!I31)</f>
        <v/>
      </c>
      <c r="E31" s="88">
        <f>IF(AND(RedBasica!D31=RedBasica!D30,RedBasica!F31&gt;0),RedBasica!W30,"")</f>
        <v>1.05</v>
      </c>
      <c r="F31" s="67" t="str">
        <f t="shared" si="1"/>
        <v/>
      </c>
      <c r="G31" s="67" t="str">
        <f t="shared" si="2"/>
        <v/>
      </c>
      <c r="H31" s="67">
        <f t="shared" si="3"/>
        <v>1.05</v>
      </c>
      <c r="I31" s="67">
        <f>RedBasica!V31</f>
        <v>1.05</v>
      </c>
      <c r="J31" s="67">
        <f>RedBasica!W31</f>
        <v>1.6221050000000048</v>
      </c>
      <c r="K31" s="88">
        <f>IF(AND(RedBasica!D31=RedBasica!D30,RedBasica!F31&gt;0),RedBasica!U30,"")</f>
        <v>0.9</v>
      </c>
      <c r="L31" s="67" t="str">
        <f t="shared" si="4"/>
        <v/>
      </c>
      <c r="M31" s="67" t="str">
        <f t="shared" si="5"/>
        <v/>
      </c>
      <c r="N31" s="67">
        <f t="shared" si="6"/>
        <v>0.9</v>
      </c>
      <c r="O31" s="67">
        <f>RedBasica!T31</f>
        <v>0.9</v>
      </c>
      <c r="P31" s="67">
        <f>RedBasica!U31</f>
        <v>1.4721050000000049</v>
      </c>
      <c r="Q31" s="67">
        <f>IFERROR(INDEX('A3'!$E$15:$E$10000,MATCH(RedBasica!G31,'A3'!$A$15:$A$10000,0),1),"")</f>
        <v>179.26</v>
      </c>
      <c r="R31" s="67" t="str">
        <f>IFERROR(INDEX('A3'!$E$15:$E$10000,MATCH(C31,$A$15:$A$10000,0),1),"")</f>
        <v/>
      </c>
      <c r="S31" s="67" t="str">
        <f>IFERROR(INDEX('A3'!$E$15:$E$10000,MATCH(D31,$A$15:$A$10000,0),1),"")</f>
        <v/>
      </c>
      <c r="T31" s="67">
        <f t="shared" si="7"/>
        <v>179.26</v>
      </c>
      <c r="U31" s="67">
        <f>IFERROR(INDEX('A3'!$D$15:$D$10000,MATCH(A31,'A3'!$A$15:$A$10000,0),1),"")</f>
        <v>179.26</v>
      </c>
      <c r="V31" s="320">
        <f>IF(Q31="",0,(IF(U31-T31&gt;(Parametros!$F$64*(-1)),ROUNDUP(U31-T31+(Parametros!$F$64),2),0)))</f>
        <v>0</v>
      </c>
      <c r="W31" s="67">
        <f>IFERROR(INDEX('A3'!$I$15:$I$10000,MATCH(RedBasica!G31,'A3'!$A$15:$A$10000,0),1),"")</f>
        <v>179.29152950852415</v>
      </c>
      <c r="X31" s="67" t="str">
        <f>IFERROR(INDEX('A3'!$I$15:$I$10000,MATCH(C31,$A$15:$A$10000,0),1),"")</f>
        <v/>
      </c>
      <c r="Y31" s="67" t="str">
        <f>IFERROR(INDEX('A3'!$I$15:$I$10000,MATCH(D31,$A$15:$A$10000,0),1),"")</f>
        <v/>
      </c>
      <c r="Z31" s="67">
        <f t="shared" si="8"/>
        <v>179.29152950852415</v>
      </c>
      <c r="AA31" s="67">
        <f>IFERROR(INDEX('A3'!$H$15:$H$10000,MATCH(A31,'A3'!$A$15:$A$10000,0),1),"")</f>
        <v>179.29883868578935</v>
      </c>
      <c r="AB31" s="320">
        <f t="shared" si="9"/>
        <v>0.01</v>
      </c>
      <c r="AC31" s="67">
        <f>RedBasica!R31</f>
        <v>0</v>
      </c>
      <c r="AD31" s="320">
        <f t="shared" si="10"/>
        <v>1.06</v>
      </c>
      <c r="AE31" s="320"/>
      <c r="AF31" s="320">
        <f t="shared" si="11"/>
        <v>1.6221050000000048</v>
      </c>
      <c r="AG31" s="320" t="str">
        <f t="shared" si="12"/>
        <v>-</v>
      </c>
      <c r="AH31" s="333">
        <f>RedBasica!B31</f>
        <v>0</v>
      </c>
      <c r="AI31" s="333">
        <f>RedBasica!AI31</f>
        <v>150</v>
      </c>
      <c r="AJ31" s="333">
        <f>RedBasica!AJ31</f>
        <v>150</v>
      </c>
      <c r="AK31" s="333">
        <f t="shared" si="13"/>
        <v>150</v>
      </c>
      <c r="AL31" s="339"/>
    </row>
    <row r="32" spans="1:38" customFormat="1" x14ac:dyDescent="0.2">
      <c r="A32" s="86" t="str">
        <f>RedBasica!E32</f>
        <v>MS_A_3-001</v>
      </c>
      <c r="B32" s="86" t="str">
        <f>IF(RedBasica!G32=0,"",RedBasica!G32)</f>
        <v/>
      </c>
      <c r="C32" s="86" t="str">
        <f>IF(RedBasica!H32=0,"",RedBasica!H32)</f>
        <v/>
      </c>
      <c r="D32" s="86" t="str">
        <f>IF(RedBasica!I32=0,"",RedBasica!I32)</f>
        <v/>
      </c>
      <c r="E32" s="88" t="str">
        <f>IF(AND(RedBasica!D32=RedBasica!D31,RedBasica!F32&gt;0),RedBasica!W31,"")</f>
        <v/>
      </c>
      <c r="F32" s="67" t="str">
        <f t="shared" si="1"/>
        <v/>
      </c>
      <c r="G32" s="67" t="str">
        <f t="shared" si="2"/>
        <v/>
      </c>
      <c r="H32" s="67">
        <f t="shared" si="3"/>
        <v>0</v>
      </c>
      <c r="I32" s="67">
        <f>RedBasica!V32</f>
        <v>1.05</v>
      </c>
      <c r="J32" s="67">
        <f>RedBasica!W32</f>
        <v>1.05</v>
      </c>
      <c r="K32" s="88" t="str">
        <f>IF(AND(RedBasica!D32=RedBasica!D31,RedBasica!F32&gt;0),RedBasica!U31,"")</f>
        <v/>
      </c>
      <c r="L32" s="67" t="str">
        <f t="shared" si="4"/>
        <v/>
      </c>
      <c r="M32" s="67" t="str">
        <f t="shared" si="5"/>
        <v/>
      </c>
      <c r="N32" s="67">
        <f t="shared" si="6"/>
        <v>0</v>
      </c>
      <c r="O32" s="67">
        <f>RedBasica!T32</f>
        <v>0.9</v>
      </c>
      <c r="P32" s="67">
        <f>RedBasica!U32</f>
        <v>0.9</v>
      </c>
      <c r="Q32" s="67" t="str">
        <f>IFERROR(INDEX('A3'!$E$15:$E$10000,MATCH(RedBasica!G32,'A3'!$A$15:$A$10000,0),1),"")</f>
        <v/>
      </c>
      <c r="R32" s="67" t="str">
        <f>IFERROR(INDEX('A3'!$E$15:$E$10000,MATCH(C32,$A$15:$A$10000,0),1),"")</f>
        <v/>
      </c>
      <c r="S32" s="67" t="str">
        <f>IFERROR(INDEX('A3'!$E$15:$E$10000,MATCH(D32,$A$15:$A$10000,0),1),"")</f>
        <v/>
      </c>
      <c r="T32" s="67">
        <f t="shared" si="7"/>
        <v>0</v>
      </c>
      <c r="U32" s="67">
        <f>IFERROR(INDEX('A3'!$D$15:$D$10000,MATCH(A32,'A3'!$A$15:$A$10000,0),1),"")</f>
        <v>188.13</v>
      </c>
      <c r="V32" s="320">
        <f>IF(Q32="",0,(IF(U32-T32&gt;(Parametros!$F$64*(-1)),ROUNDUP(U32-T32+(Parametros!$F$64),2),0)))</f>
        <v>0</v>
      </c>
      <c r="W32" s="67" t="str">
        <f>IFERROR(INDEX('A3'!$I$15:$I$10000,MATCH(RedBasica!G32,'A3'!$A$15:$A$10000,0),1),"")</f>
        <v/>
      </c>
      <c r="X32" s="67" t="str">
        <f>IFERROR(INDEX('A3'!$I$15:$I$10000,MATCH(C32,$A$15:$A$10000,0),1),"")</f>
        <v/>
      </c>
      <c r="Y32" s="67" t="str">
        <f>IFERROR(INDEX('A3'!$I$15:$I$10000,MATCH(D32,$A$15:$A$10000,0),1),"")</f>
        <v/>
      </c>
      <c r="Z32" s="67">
        <f t="shared" si="8"/>
        <v>0</v>
      </c>
      <c r="AA32" s="67">
        <f>IFERROR(INDEX('A3'!$H$15:$H$10000,MATCH(A32,'A3'!$A$15:$A$10000,0),1),"")</f>
        <v>188.15292861627714</v>
      </c>
      <c r="AB32" s="320">
        <f t="shared" si="9"/>
        <v>0</v>
      </c>
      <c r="AC32" s="67">
        <f>RedBasica!R32</f>
        <v>0</v>
      </c>
      <c r="AD32" s="320">
        <f t="shared" si="10"/>
        <v>1.05</v>
      </c>
      <c r="AE32" s="320"/>
      <c r="AF32" s="320">
        <f t="shared" si="11"/>
        <v>1.05</v>
      </c>
      <c r="AG32" s="320" t="str">
        <f t="shared" si="12"/>
        <v>-</v>
      </c>
      <c r="AH32" s="333">
        <f>RedBasica!B32</f>
        <v>1</v>
      </c>
      <c r="AI32" s="333">
        <f>RedBasica!AI32</f>
        <v>150</v>
      </c>
      <c r="AJ32" s="333">
        <f>RedBasica!AJ32</f>
        <v>150</v>
      </c>
      <c r="AK32" s="333">
        <f t="shared" si="13"/>
        <v>150</v>
      </c>
      <c r="AL32" s="339"/>
    </row>
    <row r="33" spans="1:38" customFormat="1" x14ac:dyDescent="0.2">
      <c r="A33" s="86" t="str">
        <f>RedBasica!E33</f>
        <v>MS_A_3-002</v>
      </c>
      <c r="B33" s="86" t="str">
        <f>IF(RedBasica!G33=0,"",RedBasica!G33)</f>
        <v>MS_A_3-001</v>
      </c>
      <c r="C33" s="86" t="str">
        <f>IF(RedBasica!H33=0,"",RedBasica!H33)</f>
        <v/>
      </c>
      <c r="D33" s="86" t="str">
        <f>IF(RedBasica!I33=0,"",RedBasica!I33)</f>
        <v/>
      </c>
      <c r="E33" s="88">
        <f>IF(AND(RedBasica!D33=RedBasica!D32,RedBasica!F33&gt;0),RedBasica!W32,"")</f>
        <v>1.05</v>
      </c>
      <c r="F33" s="67" t="str">
        <f t="shared" si="1"/>
        <v/>
      </c>
      <c r="G33" s="67" t="str">
        <f t="shared" si="2"/>
        <v/>
      </c>
      <c r="H33" s="67">
        <f t="shared" si="3"/>
        <v>1.05</v>
      </c>
      <c r="I33" s="67">
        <f>RedBasica!V33</f>
        <v>1.05</v>
      </c>
      <c r="J33" s="67">
        <f>RedBasica!W33</f>
        <v>1.6501250000000027</v>
      </c>
      <c r="K33" s="88">
        <f>IF(AND(RedBasica!D33=RedBasica!D32,RedBasica!F33&gt;0),RedBasica!U32,"")</f>
        <v>0.9</v>
      </c>
      <c r="L33" s="67" t="str">
        <f t="shared" si="4"/>
        <v/>
      </c>
      <c r="M33" s="67" t="str">
        <f t="shared" si="5"/>
        <v/>
      </c>
      <c r="N33" s="67">
        <f t="shared" si="6"/>
        <v>0.9</v>
      </c>
      <c r="O33" s="67">
        <f>RedBasica!T33</f>
        <v>0.9</v>
      </c>
      <c r="P33" s="67">
        <f>RedBasica!U33</f>
        <v>1.5001250000000028</v>
      </c>
      <c r="Q33" s="67">
        <f>IFERROR(INDEX('A3'!$E$15:$E$10000,MATCH(RedBasica!G33,'A3'!$A$15:$A$10000,0),1),"")</f>
        <v>186.25</v>
      </c>
      <c r="R33" s="67" t="str">
        <f>IFERROR(INDEX('A3'!$E$15:$E$10000,MATCH(C33,$A$15:$A$10000,0),1),"")</f>
        <v/>
      </c>
      <c r="S33" s="67" t="str">
        <f>IFERROR(INDEX('A3'!$E$15:$E$10000,MATCH(D33,$A$15:$A$10000,0),1),"")</f>
        <v/>
      </c>
      <c r="T33" s="67">
        <f t="shared" si="7"/>
        <v>186.25</v>
      </c>
      <c r="U33" s="67">
        <f>IFERROR(INDEX('A3'!$D$15:$D$10000,MATCH(A33,'A3'!$A$15:$A$10000,0),1),"")</f>
        <v>186.25</v>
      </c>
      <c r="V33" s="320">
        <f>IF(Q33="",0,(IF(U33-T33&gt;(Parametros!$F$64*(-1)),ROUNDUP(U33-T33+(Parametros!$F$64),2),0)))</f>
        <v>0</v>
      </c>
      <c r="W33" s="67">
        <f>IFERROR(INDEX('A3'!$I$15:$I$10000,MATCH(RedBasica!G33,'A3'!$A$15:$A$10000,0),1),"")</f>
        <v>186.27292861627714</v>
      </c>
      <c r="X33" s="67" t="str">
        <f>IFERROR(INDEX('A3'!$I$15:$I$10000,MATCH(C33,$A$15:$A$10000,0),1),"")</f>
        <v/>
      </c>
      <c r="Y33" s="67" t="str">
        <f>IFERROR(INDEX('A3'!$I$15:$I$10000,MATCH(D33,$A$15:$A$10000,0),1),"")</f>
        <v/>
      </c>
      <c r="Z33" s="67">
        <f t="shared" si="8"/>
        <v>186.27292861627714</v>
      </c>
      <c r="AA33" s="67">
        <f>IFERROR(INDEX('A3'!$H$15:$H$10000,MATCH(A33,'A3'!$A$15:$A$10000,0),1),"")</f>
        <v>186.28883868578936</v>
      </c>
      <c r="AB33" s="320">
        <f t="shared" si="9"/>
        <v>0.02</v>
      </c>
      <c r="AC33" s="67">
        <f>RedBasica!R33</f>
        <v>0</v>
      </c>
      <c r="AD33" s="320">
        <f t="shared" si="10"/>
        <v>1.07</v>
      </c>
      <c r="AE33" s="320"/>
      <c r="AF33" s="320">
        <f t="shared" si="11"/>
        <v>1.6501250000000027</v>
      </c>
      <c r="AG33" s="320" t="str">
        <f t="shared" si="12"/>
        <v>-</v>
      </c>
      <c r="AH33" s="333">
        <f>RedBasica!B33</f>
        <v>0</v>
      </c>
      <c r="AI33" s="333">
        <f>RedBasica!AI33</f>
        <v>150</v>
      </c>
      <c r="AJ33" s="333">
        <f>RedBasica!AJ33</f>
        <v>150</v>
      </c>
      <c r="AK33" s="333">
        <f t="shared" si="13"/>
        <v>150</v>
      </c>
      <c r="AL33" s="339"/>
    </row>
    <row r="34" spans="1:38" customFormat="1" x14ac:dyDescent="0.2">
      <c r="A34" s="86" t="str">
        <f>RedBasica!E34</f>
        <v>MS_A_4-001</v>
      </c>
      <c r="B34" s="86" t="str">
        <f>IF(RedBasica!G34=0,"",RedBasica!G34)</f>
        <v/>
      </c>
      <c r="C34" s="86" t="str">
        <f>IF(RedBasica!H34=0,"",RedBasica!H34)</f>
        <v/>
      </c>
      <c r="D34" s="86" t="str">
        <f>IF(RedBasica!I34=0,"",RedBasica!I34)</f>
        <v/>
      </c>
      <c r="E34" s="88" t="str">
        <f>IF(AND(RedBasica!D34=RedBasica!D33,RedBasica!F34&gt;0),RedBasica!W33,"")</f>
        <v/>
      </c>
      <c r="F34" s="67" t="str">
        <f t="shared" si="1"/>
        <v/>
      </c>
      <c r="G34" s="67" t="str">
        <f t="shared" si="2"/>
        <v/>
      </c>
      <c r="H34" s="67">
        <f t="shared" si="3"/>
        <v>0</v>
      </c>
      <c r="I34" s="67">
        <f>RedBasica!V34</f>
        <v>1.05</v>
      </c>
      <c r="J34" s="67">
        <f>RedBasica!W34</f>
        <v>1.2853149999999971</v>
      </c>
      <c r="K34" s="88" t="str">
        <f>IF(AND(RedBasica!D34=RedBasica!D33,RedBasica!F34&gt;0),RedBasica!U33,"")</f>
        <v/>
      </c>
      <c r="L34" s="67" t="str">
        <f t="shared" si="4"/>
        <v/>
      </c>
      <c r="M34" s="67" t="str">
        <f t="shared" si="5"/>
        <v/>
      </c>
      <c r="N34" s="67">
        <f t="shared" si="6"/>
        <v>0</v>
      </c>
      <c r="O34" s="67">
        <f>RedBasica!T34</f>
        <v>0.9</v>
      </c>
      <c r="P34" s="67">
        <f>RedBasica!U34</f>
        <v>1.1353149999999972</v>
      </c>
      <c r="Q34" s="67" t="str">
        <f>IFERROR(INDEX('A3'!$E$15:$E$10000,MATCH(RedBasica!G34,'A3'!$A$15:$A$10000,0),1),"")</f>
        <v/>
      </c>
      <c r="R34" s="67" t="str">
        <f>IFERROR(INDEX('A3'!$E$15:$E$10000,MATCH(C34,$A$15:$A$10000,0),1),"")</f>
        <v/>
      </c>
      <c r="S34" s="67" t="str">
        <f>IFERROR(INDEX('A3'!$E$15:$E$10000,MATCH(D34,$A$15:$A$10000,0),1),"")</f>
        <v/>
      </c>
      <c r="T34" s="67">
        <f t="shared" si="7"/>
        <v>0</v>
      </c>
      <c r="U34" s="67">
        <f>IFERROR(INDEX('A3'!$D$15:$D$10000,MATCH(A34,'A3'!$A$15:$A$10000,0),1),"")</f>
        <v>188.60999999999999</v>
      </c>
      <c r="V34" s="320">
        <f>IF(Q34="",0,(IF(U34-T34&gt;(Parametros!$F$64*(-1)),ROUNDUP(U34-T34+(Parametros!$F$64),2),0)))</f>
        <v>0</v>
      </c>
      <c r="W34" s="67" t="str">
        <f>IFERROR(INDEX('A3'!$I$15:$I$10000,MATCH(RedBasica!G34,'A3'!$A$15:$A$10000,0),1),"")</f>
        <v/>
      </c>
      <c r="X34" s="67" t="str">
        <f>IFERROR(INDEX('A3'!$I$15:$I$10000,MATCH(C34,$A$15:$A$10000,0),1),"")</f>
        <v/>
      </c>
      <c r="Y34" s="67" t="str">
        <f>IFERROR(INDEX('A3'!$I$15:$I$10000,MATCH(D34,$A$15:$A$10000,0),1),"")</f>
        <v/>
      </c>
      <c r="Z34" s="67">
        <f t="shared" si="8"/>
        <v>0</v>
      </c>
      <c r="AA34" s="67">
        <f>IFERROR(INDEX('A3'!$H$15:$H$10000,MATCH(A34,'A3'!$A$15:$A$10000,0),1),"")</f>
        <v>188.64883868578934</v>
      </c>
      <c r="AB34" s="320">
        <f t="shared" si="9"/>
        <v>0</v>
      </c>
      <c r="AC34" s="67">
        <f>RedBasica!R34</f>
        <v>0</v>
      </c>
      <c r="AD34" s="320">
        <f t="shared" si="10"/>
        <v>1.05</v>
      </c>
      <c r="AE34" s="320"/>
      <c r="AF34" s="320">
        <f t="shared" si="11"/>
        <v>1.2853149999999971</v>
      </c>
      <c r="AG34" s="320" t="str">
        <f t="shared" si="12"/>
        <v>-</v>
      </c>
      <c r="AH34" s="333">
        <f>RedBasica!B34</f>
        <v>1</v>
      </c>
      <c r="AI34" s="333">
        <f>RedBasica!AI34</f>
        <v>150</v>
      </c>
      <c r="AJ34" s="333">
        <f>RedBasica!AJ34</f>
        <v>150</v>
      </c>
      <c r="AK34" s="333">
        <f t="shared" si="13"/>
        <v>150</v>
      </c>
      <c r="AL34" s="339"/>
    </row>
    <row r="35" spans="1:38" customFormat="1" x14ac:dyDescent="0.2">
      <c r="A35" s="86" t="str">
        <f>RedBasica!E35</f>
        <v>MS_A_4-002</v>
      </c>
      <c r="B35" s="86" t="str">
        <f>IF(RedBasica!G35=0,"",RedBasica!G35)</f>
        <v>MS_A_4-001</v>
      </c>
      <c r="C35" s="86" t="str">
        <f>IF(RedBasica!H35=0,"",RedBasica!H35)</f>
        <v/>
      </c>
      <c r="D35" s="86" t="str">
        <f>IF(RedBasica!I35=0,"",RedBasica!I35)</f>
        <v/>
      </c>
      <c r="E35" s="88">
        <f>IF(AND(RedBasica!D35=RedBasica!D34,RedBasica!F35&gt;0),RedBasica!W34,"")</f>
        <v>1.2853149999999971</v>
      </c>
      <c r="F35" s="67" t="str">
        <f t="shared" si="1"/>
        <v/>
      </c>
      <c r="G35" s="67" t="str">
        <f t="shared" si="2"/>
        <v/>
      </c>
      <c r="H35" s="67">
        <f t="shared" si="3"/>
        <v>1.2853149999999971</v>
      </c>
      <c r="I35" s="67">
        <f>RedBasica!V35</f>
        <v>1.2853149999999971</v>
      </c>
      <c r="J35" s="67">
        <f>RedBasica!W35</f>
        <v>1.2230099999999879</v>
      </c>
      <c r="K35" s="88">
        <f>IF(AND(RedBasica!D35=RedBasica!D34,RedBasica!F35&gt;0),RedBasica!U34,"")</f>
        <v>1.1353149999999972</v>
      </c>
      <c r="L35" s="67" t="str">
        <f t="shared" si="4"/>
        <v/>
      </c>
      <c r="M35" s="67" t="str">
        <f t="shared" si="5"/>
        <v/>
      </c>
      <c r="N35" s="67">
        <f t="shared" si="6"/>
        <v>1.1353149999999972</v>
      </c>
      <c r="O35" s="67">
        <f>RedBasica!T35</f>
        <v>1.1353149999999972</v>
      </c>
      <c r="P35" s="67">
        <f>RedBasica!U35</f>
        <v>1.073009999999988</v>
      </c>
      <c r="Q35" s="67">
        <f>IFERROR(INDEX('A3'!$E$15:$E$10000,MATCH(RedBasica!G35,'A3'!$A$15:$A$10000,0),1),"")</f>
        <v>188.38468499999999</v>
      </c>
      <c r="R35" s="67" t="str">
        <f>IFERROR(INDEX('A3'!$E$15:$E$10000,MATCH(C35,$A$15:$A$10000,0),1),"")</f>
        <v/>
      </c>
      <c r="S35" s="67" t="str">
        <f>IFERROR(INDEX('A3'!$E$15:$E$10000,MATCH(D35,$A$15:$A$10000,0),1),"")</f>
        <v/>
      </c>
      <c r="T35" s="67">
        <f t="shared" si="7"/>
        <v>188.38468499999999</v>
      </c>
      <c r="U35" s="67">
        <f>IFERROR(INDEX('A3'!$D$15:$D$10000,MATCH(A35,'A3'!$A$15:$A$10000,0),1),"")</f>
        <v>188.38468499999999</v>
      </c>
      <c r="V35" s="320">
        <f>IF(Q35="",0,(IF(U35-T35&gt;(Parametros!$F$64*(-1)),ROUNDUP(U35-T35+(Parametros!$F$64),2),0)))</f>
        <v>0</v>
      </c>
      <c r="W35" s="67">
        <f>IFERROR(INDEX('A3'!$I$15:$I$10000,MATCH(RedBasica!G35,'A3'!$A$15:$A$10000,0),1),"")</f>
        <v>188.42352368578935</v>
      </c>
      <c r="X35" s="67" t="str">
        <f>IFERROR(INDEX('A3'!$I$15:$I$10000,MATCH(C35,$A$15:$A$10000,0),1),"")</f>
        <v/>
      </c>
      <c r="Y35" s="67" t="str">
        <f>IFERROR(INDEX('A3'!$I$15:$I$10000,MATCH(D35,$A$15:$A$10000,0),1),"")</f>
        <v/>
      </c>
      <c r="Z35" s="67">
        <f t="shared" si="8"/>
        <v>188.42352368578935</v>
      </c>
      <c r="AA35" s="67">
        <f>IFERROR(INDEX('A3'!$H$15:$H$10000,MATCH(A35,'A3'!$A$15:$A$10000,0),1),"")</f>
        <v>188.42352368578935</v>
      </c>
      <c r="AB35" s="320">
        <f t="shared" si="9"/>
        <v>0</v>
      </c>
      <c r="AC35" s="67">
        <f>RedBasica!R35</f>
        <v>0</v>
      </c>
      <c r="AD35" s="320">
        <f t="shared" si="10"/>
        <v>1.29</v>
      </c>
      <c r="AE35" s="320"/>
      <c r="AF35" s="320">
        <f t="shared" si="11"/>
        <v>1.2230099999999879</v>
      </c>
      <c r="AG35" s="320" t="str">
        <f t="shared" si="12"/>
        <v>-</v>
      </c>
      <c r="AH35" s="333">
        <f>RedBasica!B35</f>
        <v>0</v>
      </c>
      <c r="AI35" s="333">
        <f>RedBasica!AI35</f>
        <v>150</v>
      </c>
      <c r="AJ35" s="333">
        <f>RedBasica!AJ35</f>
        <v>150</v>
      </c>
      <c r="AK35" s="333">
        <f t="shared" si="13"/>
        <v>150</v>
      </c>
      <c r="AL35" s="339"/>
    </row>
    <row r="36" spans="1:38" customFormat="1" x14ac:dyDescent="0.2">
      <c r="A36" s="86" t="str">
        <f>RedBasica!E36</f>
        <v>MS_A_4-003</v>
      </c>
      <c r="B36" s="86" t="str">
        <f>IF(RedBasica!G36=0,"",RedBasica!G36)</f>
        <v>MS_A_4-002</v>
      </c>
      <c r="C36" s="86" t="str">
        <f>IF(RedBasica!H36=0,"",RedBasica!H36)</f>
        <v/>
      </c>
      <c r="D36" s="86" t="str">
        <f>IF(RedBasica!I36=0,"",RedBasica!I36)</f>
        <v/>
      </c>
      <c r="E36" s="88">
        <f>IF(AND(RedBasica!D36=RedBasica!D35,RedBasica!F36&gt;0),RedBasica!W35,"")</f>
        <v>1.2230099999999879</v>
      </c>
      <c r="F36" s="67" t="str">
        <f t="shared" si="1"/>
        <v/>
      </c>
      <c r="G36" s="67" t="str">
        <f t="shared" si="2"/>
        <v/>
      </c>
      <c r="H36" s="67">
        <f t="shared" si="3"/>
        <v>1.2230099999999879</v>
      </c>
      <c r="I36" s="67">
        <f>RedBasica!V36</f>
        <v>1.2230099999999879</v>
      </c>
      <c r="J36" s="67">
        <f>RedBasica!W36</f>
        <v>1.4043800000000033</v>
      </c>
      <c r="K36" s="88">
        <f>IF(AND(RedBasica!D36=RedBasica!D35,RedBasica!F36&gt;0),RedBasica!U35,"")</f>
        <v>1.073009999999988</v>
      </c>
      <c r="L36" s="67" t="str">
        <f t="shared" si="4"/>
        <v/>
      </c>
      <c r="M36" s="67" t="str">
        <f t="shared" si="5"/>
        <v/>
      </c>
      <c r="N36" s="67">
        <f t="shared" si="6"/>
        <v>1.073009999999988</v>
      </c>
      <c r="O36" s="67">
        <f>RedBasica!T36</f>
        <v>1.073009999999988</v>
      </c>
      <c r="P36" s="67">
        <f>RedBasica!U36</f>
        <v>1.2543800000000034</v>
      </c>
      <c r="Q36" s="67">
        <f>IFERROR(INDEX('A3'!$E$15:$E$10000,MATCH(RedBasica!G36,'A3'!$A$15:$A$10000,0),1),"")</f>
        <v>188.28699</v>
      </c>
      <c r="R36" s="67" t="str">
        <f>IFERROR(INDEX('A3'!$E$15:$E$10000,MATCH(C36,$A$15:$A$10000,0),1),"")</f>
        <v/>
      </c>
      <c r="S36" s="67" t="str">
        <f>IFERROR(INDEX('A3'!$E$15:$E$10000,MATCH(D36,$A$15:$A$10000,0),1),"")</f>
        <v/>
      </c>
      <c r="T36" s="67">
        <f t="shared" si="7"/>
        <v>188.28699</v>
      </c>
      <c r="U36" s="67">
        <f>IFERROR(INDEX('A3'!$D$15:$D$10000,MATCH(A36,'A3'!$A$15:$A$10000,0),1),"")</f>
        <v>188.28699</v>
      </c>
      <c r="V36" s="320">
        <f>IF(Q36="",0,(IF(U36-T36&gt;(Parametros!$F$64*(-1)),ROUNDUP(U36-T36+(Parametros!$F$64),2),0)))</f>
        <v>0</v>
      </c>
      <c r="W36" s="67">
        <f>IFERROR(INDEX('A3'!$I$15:$I$10000,MATCH(RedBasica!G36,'A3'!$A$15:$A$10000,0),1),"")</f>
        <v>188.32582868578936</v>
      </c>
      <c r="X36" s="67" t="str">
        <f>IFERROR(INDEX('A3'!$I$15:$I$10000,MATCH(C36,$A$15:$A$10000,0),1),"")</f>
        <v/>
      </c>
      <c r="Y36" s="67" t="str">
        <f>IFERROR(INDEX('A3'!$I$15:$I$10000,MATCH(D36,$A$15:$A$10000,0),1),"")</f>
        <v/>
      </c>
      <c r="Z36" s="67">
        <f t="shared" si="8"/>
        <v>188.32582868578936</v>
      </c>
      <c r="AA36" s="67">
        <f>IFERROR(INDEX('A3'!$H$15:$H$10000,MATCH(A36,'A3'!$A$15:$A$10000,0),1),"")</f>
        <v>188.32582868578936</v>
      </c>
      <c r="AB36" s="320">
        <f t="shared" si="9"/>
        <v>0</v>
      </c>
      <c r="AC36" s="67">
        <f>RedBasica!R36</f>
        <v>0</v>
      </c>
      <c r="AD36" s="320">
        <f t="shared" si="10"/>
        <v>1.22</v>
      </c>
      <c r="AE36" s="320"/>
      <c r="AF36" s="320">
        <f t="shared" si="11"/>
        <v>1.4043800000000033</v>
      </c>
      <c r="AG36" s="320" t="str">
        <f t="shared" si="12"/>
        <v>-</v>
      </c>
      <c r="AH36" s="333">
        <f>RedBasica!B36</f>
        <v>0</v>
      </c>
      <c r="AI36" s="333">
        <f>RedBasica!AI36</f>
        <v>150</v>
      </c>
      <c r="AJ36" s="333">
        <f>RedBasica!AJ36</f>
        <v>150</v>
      </c>
      <c r="AK36" s="333">
        <f t="shared" si="13"/>
        <v>150</v>
      </c>
      <c r="AL36" s="339"/>
    </row>
    <row r="37" spans="1:38" customFormat="1" x14ac:dyDescent="0.2">
      <c r="A37" s="86" t="str">
        <f>RedBasica!E37</f>
        <v>MS_A_4-004</v>
      </c>
      <c r="B37" s="86" t="str">
        <f>IF(RedBasica!G37=0,"",RedBasica!G37)</f>
        <v>MS_A_4-003</v>
      </c>
      <c r="C37" s="86" t="str">
        <f>IF(RedBasica!H37=0,"",RedBasica!H37)</f>
        <v/>
      </c>
      <c r="D37" s="86" t="str">
        <f>IF(RedBasica!I37=0,"",RedBasica!I37)</f>
        <v/>
      </c>
      <c r="E37" s="88">
        <f>IF(AND(RedBasica!D37=RedBasica!D36,RedBasica!F37&gt;0),RedBasica!W36,"")</f>
        <v>1.4043800000000033</v>
      </c>
      <c r="F37" s="67" t="str">
        <f t="shared" si="1"/>
        <v/>
      </c>
      <c r="G37" s="67" t="str">
        <f t="shared" si="2"/>
        <v/>
      </c>
      <c r="H37" s="67">
        <f t="shared" si="3"/>
        <v>1.4043800000000033</v>
      </c>
      <c r="I37" s="67">
        <f>RedBasica!V37</f>
        <v>1.4043800000000033</v>
      </c>
      <c r="J37" s="67">
        <f>RedBasica!W37</f>
        <v>1.2482100000000003</v>
      </c>
      <c r="K37" s="88">
        <f>IF(AND(RedBasica!D37=RedBasica!D36,RedBasica!F37&gt;0),RedBasica!U36,"")</f>
        <v>1.2543800000000034</v>
      </c>
      <c r="L37" s="67" t="str">
        <f t="shared" si="4"/>
        <v/>
      </c>
      <c r="M37" s="67" t="str">
        <f t="shared" si="5"/>
        <v/>
      </c>
      <c r="N37" s="67">
        <f t="shared" si="6"/>
        <v>1.2543800000000034</v>
      </c>
      <c r="O37" s="67">
        <f>RedBasica!T37</f>
        <v>1.2543800000000034</v>
      </c>
      <c r="P37" s="67">
        <f>RedBasica!U37</f>
        <v>1.0982100000000004</v>
      </c>
      <c r="Q37" s="67">
        <f>IFERROR(INDEX('A3'!$E$15:$E$10000,MATCH(RedBasica!G37,'A3'!$A$15:$A$10000,0),1),"")</f>
        <v>188.03561999999999</v>
      </c>
      <c r="R37" s="67" t="str">
        <f>IFERROR(INDEX('A3'!$E$15:$E$10000,MATCH(C37,$A$15:$A$10000,0),1),"")</f>
        <v/>
      </c>
      <c r="S37" s="67" t="str">
        <f>IFERROR(INDEX('A3'!$E$15:$E$10000,MATCH(D37,$A$15:$A$10000,0),1),"")</f>
        <v/>
      </c>
      <c r="T37" s="67">
        <f t="shared" si="7"/>
        <v>188.03561999999999</v>
      </c>
      <c r="U37" s="67">
        <f>IFERROR(INDEX('A3'!$D$15:$D$10000,MATCH(A37,'A3'!$A$15:$A$10000,0),1),"")</f>
        <v>188.03561999999999</v>
      </c>
      <c r="V37" s="320">
        <f>IF(Q37="",0,(IF(U37-T37&gt;(Parametros!$F$64*(-1)),ROUNDUP(U37-T37+(Parametros!$F$64),2),0)))</f>
        <v>0</v>
      </c>
      <c r="W37" s="67">
        <f>IFERROR(INDEX('A3'!$I$15:$I$10000,MATCH(RedBasica!G37,'A3'!$A$15:$A$10000,0),1),"")</f>
        <v>188.07445868578935</v>
      </c>
      <c r="X37" s="67" t="str">
        <f>IFERROR(INDEX('A3'!$I$15:$I$10000,MATCH(C37,$A$15:$A$10000,0),1),"")</f>
        <v/>
      </c>
      <c r="Y37" s="67" t="str">
        <f>IFERROR(INDEX('A3'!$I$15:$I$10000,MATCH(D37,$A$15:$A$10000,0),1),"")</f>
        <v/>
      </c>
      <c r="Z37" s="67">
        <f t="shared" si="8"/>
        <v>188.07445868578935</v>
      </c>
      <c r="AA37" s="67">
        <f>IFERROR(INDEX('A3'!$H$15:$H$10000,MATCH(A37,'A3'!$A$15:$A$10000,0),1),"")</f>
        <v>188.07445868578935</v>
      </c>
      <c r="AB37" s="320">
        <f t="shared" si="9"/>
        <v>0</v>
      </c>
      <c r="AC37" s="67">
        <f>RedBasica!R37</f>
        <v>0</v>
      </c>
      <c r="AD37" s="320">
        <f t="shared" si="10"/>
        <v>1.4</v>
      </c>
      <c r="AE37" s="320"/>
      <c r="AF37" s="320">
        <f t="shared" si="11"/>
        <v>1.2482100000000003</v>
      </c>
      <c r="AG37" s="320" t="str">
        <f t="shared" si="12"/>
        <v>-</v>
      </c>
      <c r="AH37" s="333">
        <f>RedBasica!B37</f>
        <v>0</v>
      </c>
      <c r="AI37" s="333">
        <f>RedBasica!AI37</f>
        <v>150</v>
      </c>
      <c r="AJ37" s="333">
        <f>RedBasica!AJ37</f>
        <v>150</v>
      </c>
      <c r="AK37" s="333">
        <f t="shared" si="13"/>
        <v>150</v>
      </c>
      <c r="AL37" s="339"/>
    </row>
    <row r="38" spans="1:38" customFormat="1" x14ac:dyDescent="0.2">
      <c r="A38" s="86" t="str">
        <f>RedBasica!E38</f>
        <v>MS_A_4-005</v>
      </c>
      <c r="B38" s="86" t="str">
        <f>IF(RedBasica!G38=0,"",RedBasica!G38)</f>
        <v>MS_A_4-004</v>
      </c>
      <c r="C38" s="86" t="str">
        <f>IF(RedBasica!H38=0,"",RedBasica!H38)</f>
        <v/>
      </c>
      <c r="D38" s="86" t="str">
        <f>IF(RedBasica!I38=0,"",RedBasica!I38)</f>
        <v/>
      </c>
      <c r="E38" s="88">
        <f>IF(AND(RedBasica!D38=RedBasica!D37,RedBasica!F38&gt;0),RedBasica!W37,"")</f>
        <v>1.2482100000000003</v>
      </c>
      <c r="F38" s="67" t="str">
        <f t="shared" si="1"/>
        <v/>
      </c>
      <c r="G38" s="67" t="str">
        <f t="shared" si="2"/>
        <v/>
      </c>
      <c r="H38" s="67">
        <f t="shared" si="3"/>
        <v>1.2482100000000003</v>
      </c>
      <c r="I38" s="67">
        <f>RedBasica!V38</f>
        <v>1.2482100000000003</v>
      </c>
      <c r="J38" s="67">
        <f>RedBasica!W38</f>
        <v>1.4590650000000096</v>
      </c>
      <c r="K38" s="88">
        <f>IF(AND(RedBasica!D38=RedBasica!D37,RedBasica!F38&gt;0),RedBasica!U37,"")</f>
        <v>1.0982100000000004</v>
      </c>
      <c r="L38" s="67" t="str">
        <f t="shared" si="4"/>
        <v/>
      </c>
      <c r="M38" s="67" t="str">
        <f t="shared" si="5"/>
        <v/>
      </c>
      <c r="N38" s="67">
        <f t="shared" si="6"/>
        <v>1.0982100000000004</v>
      </c>
      <c r="O38" s="67">
        <f>RedBasica!T38</f>
        <v>1.0982100000000004</v>
      </c>
      <c r="P38" s="67">
        <f>RedBasica!U38</f>
        <v>1.3090650000000097</v>
      </c>
      <c r="Q38" s="67">
        <f>IFERROR(INDEX('A3'!$E$15:$E$10000,MATCH(RedBasica!G38,'A3'!$A$15:$A$10000,0),1),"")</f>
        <v>187.81179</v>
      </c>
      <c r="R38" s="67" t="str">
        <f>IFERROR(INDEX('A3'!$E$15:$E$10000,MATCH(C38,$A$15:$A$10000,0),1),"")</f>
        <v/>
      </c>
      <c r="S38" s="67" t="str">
        <f>IFERROR(INDEX('A3'!$E$15:$E$10000,MATCH(D38,$A$15:$A$10000,0),1),"")</f>
        <v/>
      </c>
      <c r="T38" s="67">
        <f t="shared" si="7"/>
        <v>187.81179</v>
      </c>
      <c r="U38" s="67">
        <f>IFERROR(INDEX('A3'!$D$15:$D$10000,MATCH(A38,'A3'!$A$15:$A$10000,0),1),"")</f>
        <v>187.81179</v>
      </c>
      <c r="V38" s="320">
        <f>IF(Q38="",0,(IF(U38-T38&gt;(Parametros!$F$64*(-1)),ROUNDUP(U38-T38+(Parametros!$F$64),2),0)))</f>
        <v>0</v>
      </c>
      <c r="W38" s="67">
        <f>IFERROR(INDEX('A3'!$I$15:$I$10000,MATCH(RedBasica!G38,'A3'!$A$15:$A$10000,0),1),"")</f>
        <v>187.85062868578936</v>
      </c>
      <c r="X38" s="67" t="str">
        <f>IFERROR(INDEX('A3'!$I$15:$I$10000,MATCH(C38,$A$15:$A$10000,0),1),"")</f>
        <v/>
      </c>
      <c r="Y38" s="67" t="str">
        <f>IFERROR(INDEX('A3'!$I$15:$I$10000,MATCH(D38,$A$15:$A$10000,0),1),"")</f>
        <v/>
      </c>
      <c r="Z38" s="67">
        <f t="shared" si="8"/>
        <v>187.85062868578936</v>
      </c>
      <c r="AA38" s="67">
        <f>IFERROR(INDEX('A3'!$H$15:$H$10000,MATCH(A38,'A3'!$A$15:$A$10000,0),1),"")</f>
        <v>187.85062868578936</v>
      </c>
      <c r="AB38" s="320">
        <f t="shared" si="9"/>
        <v>0</v>
      </c>
      <c r="AC38" s="67">
        <f>RedBasica!R38</f>
        <v>0</v>
      </c>
      <c r="AD38" s="320">
        <f t="shared" si="10"/>
        <v>1.25</v>
      </c>
      <c r="AE38" s="320"/>
      <c r="AF38" s="320">
        <f t="shared" si="11"/>
        <v>1.4590650000000096</v>
      </c>
      <c r="AG38" s="320" t="str">
        <f t="shared" si="12"/>
        <v>-</v>
      </c>
      <c r="AH38" s="333">
        <f>RedBasica!B38</f>
        <v>0</v>
      </c>
      <c r="AI38" s="333">
        <f>RedBasica!AI38</f>
        <v>150</v>
      </c>
      <c r="AJ38" s="333">
        <f>RedBasica!AJ38</f>
        <v>150</v>
      </c>
      <c r="AK38" s="333">
        <f t="shared" si="13"/>
        <v>150</v>
      </c>
      <c r="AL38" s="339"/>
    </row>
    <row r="39" spans="1:38" customFormat="1" x14ac:dyDescent="0.2">
      <c r="A39" s="86" t="str">
        <f>RedBasica!E39</f>
        <v>MS_A_4-006</v>
      </c>
      <c r="B39" s="86" t="str">
        <f>IF(RedBasica!G39=0,"",RedBasica!G39)</f>
        <v>MS_A_4-005</v>
      </c>
      <c r="C39" s="86" t="str">
        <f>IF(RedBasica!H39=0,"",RedBasica!H39)</f>
        <v/>
      </c>
      <c r="D39" s="86" t="str">
        <f>IF(RedBasica!I39=0,"",RedBasica!I39)</f>
        <v/>
      </c>
      <c r="E39" s="88">
        <f>IF(AND(RedBasica!D39=RedBasica!D38,RedBasica!F39&gt;0),RedBasica!W38,"")</f>
        <v>1.4590650000000096</v>
      </c>
      <c r="F39" s="67" t="str">
        <f t="shared" si="1"/>
        <v/>
      </c>
      <c r="G39" s="67" t="str">
        <f t="shared" si="2"/>
        <v/>
      </c>
      <c r="H39" s="67">
        <f t="shared" si="3"/>
        <v>1.4590650000000096</v>
      </c>
      <c r="I39" s="67">
        <f>RedBasica!V39</f>
        <v>1.4590650000000096</v>
      </c>
      <c r="J39" s="67">
        <f>RedBasica!W39</f>
        <v>1.05</v>
      </c>
      <c r="K39" s="88">
        <f>IF(AND(RedBasica!D39=RedBasica!D38,RedBasica!F39&gt;0),RedBasica!U38,"")</f>
        <v>1.3090650000000097</v>
      </c>
      <c r="L39" s="67" t="str">
        <f t="shared" si="4"/>
        <v/>
      </c>
      <c r="M39" s="67" t="str">
        <f t="shared" si="5"/>
        <v/>
      </c>
      <c r="N39" s="67">
        <f t="shared" si="6"/>
        <v>1.3090650000000097</v>
      </c>
      <c r="O39" s="67">
        <f>RedBasica!T39</f>
        <v>1.3090650000000097</v>
      </c>
      <c r="P39" s="67">
        <f>RedBasica!U39</f>
        <v>0.9</v>
      </c>
      <c r="Q39" s="67">
        <f>IFERROR(INDEX('A3'!$E$15:$E$10000,MATCH(RedBasica!G39,'A3'!$A$15:$A$10000,0),1),"")</f>
        <v>187.54093499999999</v>
      </c>
      <c r="R39" s="67" t="str">
        <f>IFERROR(INDEX('A3'!$E$15:$E$10000,MATCH(C39,$A$15:$A$10000,0),1),"")</f>
        <v/>
      </c>
      <c r="S39" s="67" t="str">
        <f>IFERROR(INDEX('A3'!$E$15:$E$10000,MATCH(D39,$A$15:$A$10000,0),1),"")</f>
        <v/>
      </c>
      <c r="T39" s="67">
        <f t="shared" si="7"/>
        <v>187.54093499999999</v>
      </c>
      <c r="U39" s="67">
        <f>IFERROR(INDEX('A3'!$D$15:$D$10000,MATCH(A39,'A3'!$A$15:$A$10000,0),1),"")</f>
        <v>187.54093499999999</v>
      </c>
      <c r="V39" s="320">
        <f>IF(Q39="",0,(IF(U39-T39&gt;(Parametros!$F$64*(-1)),ROUNDUP(U39-T39+(Parametros!$F$64),2),0)))</f>
        <v>0</v>
      </c>
      <c r="W39" s="67">
        <f>IFERROR(INDEX('A3'!$I$15:$I$10000,MATCH(RedBasica!G39,'A3'!$A$15:$A$10000,0),1),"")</f>
        <v>187.57977368578935</v>
      </c>
      <c r="X39" s="67" t="str">
        <f>IFERROR(INDEX('A3'!$I$15:$I$10000,MATCH(C39,$A$15:$A$10000,0),1),"")</f>
        <v/>
      </c>
      <c r="Y39" s="67" t="str">
        <f>IFERROR(INDEX('A3'!$I$15:$I$10000,MATCH(D39,$A$15:$A$10000,0),1),"")</f>
        <v/>
      </c>
      <c r="Z39" s="67">
        <f t="shared" si="8"/>
        <v>187.57977368578935</v>
      </c>
      <c r="AA39" s="67">
        <f>IFERROR(INDEX('A3'!$H$15:$H$10000,MATCH(A39,'A3'!$A$15:$A$10000,0),1),"")</f>
        <v>187.57633760965194</v>
      </c>
      <c r="AB39" s="320">
        <f t="shared" si="9"/>
        <v>0</v>
      </c>
      <c r="AC39" s="67">
        <f>RedBasica!R39</f>
        <v>0</v>
      </c>
      <c r="AD39" s="320">
        <f t="shared" si="10"/>
        <v>1.46</v>
      </c>
      <c r="AE39" s="320"/>
      <c r="AF39" s="320">
        <f t="shared" si="11"/>
        <v>1.8453650000000152</v>
      </c>
      <c r="AG39" s="320">
        <f t="shared" si="12"/>
        <v>1.85</v>
      </c>
      <c r="AH39" s="333">
        <f>RedBasica!B39</f>
        <v>0</v>
      </c>
      <c r="AI39" s="333">
        <f>RedBasica!AI39</f>
        <v>150</v>
      </c>
      <c r="AJ39" s="333">
        <f>RedBasica!AJ39</f>
        <v>150</v>
      </c>
      <c r="AK39" s="333">
        <f t="shared" si="13"/>
        <v>150</v>
      </c>
      <c r="AL39" s="339"/>
    </row>
    <row r="40" spans="1:38" customFormat="1" x14ac:dyDescent="0.2">
      <c r="A40" s="86" t="str">
        <f>RedBasica!E40</f>
        <v>MS_A_4-007</v>
      </c>
      <c r="B40" s="86" t="str">
        <f>IF(RedBasica!G40=0,"",RedBasica!G40)</f>
        <v>MS_A_4-006</v>
      </c>
      <c r="C40" s="86" t="str">
        <f>IF(RedBasica!H40=0,"",RedBasica!H40)</f>
        <v>MS_A_6-005</v>
      </c>
      <c r="D40" s="86" t="str">
        <f>IF(RedBasica!I40=0,"",RedBasica!I40)</f>
        <v/>
      </c>
      <c r="E40" s="88">
        <f>IF(AND(RedBasica!D40=RedBasica!D39,RedBasica!F40&gt;0),RedBasica!W39,"")</f>
        <v>1.05</v>
      </c>
      <c r="F40" s="67">
        <f t="shared" si="1"/>
        <v>1.8453650000000152</v>
      </c>
      <c r="G40" s="67" t="str">
        <f t="shared" si="2"/>
        <v/>
      </c>
      <c r="H40" s="67">
        <f t="shared" si="3"/>
        <v>1.8453650000000152</v>
      </c>
      <c r="I40" s="67">
        <f>RedBasica!V40</f>
        <v>1.8453650000000152</v>
      </c>
      <c r="J40" s="67">
        <f>RedBasica!W40</f>
        <v>1.05</v>
      </c>
      <c r="K40" s="88">
        <f>IF(AND(RedBasica!D40=RedBasica!D39,RedBasica!F40&gt;0),RedBasica!U39,"")</f>
        <v>0.9</v>
      </c>
      <c r="L40" s="67">
        <f t="shared" si="4"/>
        <v>1.6953650000000153</v>
      </c>
      <c r="M40" s="67" t="str">
        <f t="shared" si="5"/>
        <v/>
      </c>
      <c r="N40" s="67">
        <f t="shared" si="6"/>
        <v>1.6953650000000153</v>
      </c>
      <c r="O40" s="67">
        <f>RedBasica!T40</f>
        <v>1.6953650000000153</v>
      </c>
      <c r="P40" s="67">
        <f>RedBasica!U40</f>
        <v>0.9</v>
      </c>
      <c r="Q40" s="67">
        <f>IFERROR(INDEX('A3'!$E$15:$E$10000,MATCH(RedBasica!G40,'A3'!$A$15:$A$10000,0),1),"")</f>
        <v>187.19</v>
      </c>
      <c r="R40" s="67">
        <f>IFERROR(INDEX('A3'!$E$15:$E$10000,MATCH(C40,$A$15:$A$10000,0),1),"")</f>
        <v>186.39463499999999</v>
      </c>
      <c r="S40" s="67" t="str">
        <f>IFERROR(INDEX('A3'!$E$15:$E$10000,MATCH(D40,$A$15:$A$10000,0),1),"")</f>
        <v/>
      </c>
      <c r="T40" s="67">
        <f t="shared" si="7"/>
        <v>186.39463499999999</v>
      </c>
      <c r="U40" s="67">
        <f>IFERROR(INDEX('A3'!$D$15:$D$10000,MATCH(A40,'A3'!$A$15:$A$10000,0),1),"")</f>
        <v>186.39463499999999</v>
      </c>
      <c r="V40" s="320">
        <f>IF(Q40="",0,(IF(U40-T40&gt;(Parametros!$F$64*(-1)),ROUNDUP(U40-T40+(Parametros!$F$64),2),0)))</f>
        <v>0</v>
      </c>
      <c r="W40" s="67">
        <f>IFERROR(INDEX('A3'!$I$15:$I$10000,MATCH(RedBasica!G40,'A3'!$A$15:$A$10000,0),1),"")</f>
        <v>187.22540260965195</v>
      </c>
      <c r="X40" s="67">
        <f>IFERROR(INDEX('A3'!$I$15:$I$10000,MATCH(C40,$A$15:$A$10000,0),1),"")</f>
        <v>186.43347368578935</v>
      </c>
      <c r="Y40" s="67" t="str">
        <f>IFERROR(INDEX('A3'!$I$15:$I$10000,MATCH(D40,$A$15:$A$10000,0),1),"")</f>
        <v/>
      </c>
      <c r="Z40" s="67">
        <f t="shared" si="8"/>
        <v>186.43347368578935</v>
      </c>
      <c r="AA40" s="67">
        <f>IFERROR(INDEX('A3'!$H$15:$H$10000,MATCH(A40,'A3'!$A$15:$A$10000,0),1),"")</f>
        <v>186.41653643757525</v>
      </c>
      <c r="AB40" s="320">
        <f t="shared" si="9"/>
        <v>0</v>
      </c>
      <c r="AC40" s="67">
        <f>RedBasica!R40</f>
        <v>0</v>
      </c>
      <c r="AD40" s="320">
        <f t="shared" si="10"/>
        <v>1.85</v>
      </c>
      <c r="AE40" s="320"/>
      <c r="AF40" s="320">
        <f t="shared" si="11"/>
        <v>1.05</v>
      </c>
      <c r="AG40" s="320" t="str">
        <f t="shared" si="12"/>
        <v>-</v>
      </c>
      <c r="AH40" s="333">
        <f>RedBasica!B40</f>
        <v>0</v>
      </c>
      <c r="AI40" s="333">
        <f>RedBasica!AI40</f>
        <v>150</v>
      </c>
      <c r="AJ40" s="333">
        <f>RedBasica!AJ40</f>
        <v>150</v>
      </c>
      <c r="AK40" s="333">
        <f t="shared" si="13"/>
        <v>150</v>
      </c>
      <c r="AL40" s="339"/>
    </row>
    <row r="41" spans="1:38" customFormat="1" x14ac:dyDescent="0.2">
      <c r="A41" s="86" t="str">
        <f>RedBasica!E41</f>
        <v>MS_A_4-008</v>
      </c>
      <c r="B41" s="86" t="str">
        <f>IF(RedBasica!G41=0,"",RedBasica!G41)</f>
        <v>MS_A_4-007</v>
      </c>
      <c r="C41" s="86" t="str">
        <f>IF(RedBasica!H41=0,"",RedBasica!H41)</f>
        <v/>
      </c>
      <c r="D41" s="86" t="str">
        <f>IF(RedBasica!I41=0,"",RedBasica!I41)</f>
        <v/>
      </c>
      <c r="E41" s="88">
        <f>IF(AND(RedBasica!D41=RedBasica!D40,RedBasica!F41&gt;0),RedBasica!W40,"")</f>
        <v>1.05</v>
      </c>
      <c r="F41" s="67" t="str">
        <f t="shared" si="1"/>
        <v/>
      </c>
      <c r="G41" s="67" t="str">
        <f t="shared" si="2"/>
        <v/>
      </c>
      <c r="H41" s="67">
        <f t="shared" si="3"/>
        <v>1.05</v>
      </c>
      <c r="I41" s="67">
        <f>RedBasica!V41</f>
        <v>1.05</v>
      </c>
      <c r="J41" s="67">
        <f>RedBasica!W41</f>
        <v>1.05</v>
      </c>
      <c r="K41" s="88">
        <f>IF(AND(RedBasica!D41=RedBasica!D40,RedBasica!F41&gt;0),RedBasica!U40,"")</f>
        <v>0.9</v>
      </c>
      <c r="L41" s="67" t="str">
        <f t="shared" si="4"/>
        <v/>
      </c>
      <c r="M41" s="67" t="str">
        <f t="shared" si="5"/>
        <v/>
      </c>
      <c r="N41" s="67">
        <f t="shared" si="6"/>
        <v>0.9</v>
      </c>
      <c r="O41" s="67">
        <f>RedBasica!T41</f>
        <v>0.9</v>
      </c>
      <c r="P41" s="67">
        <f>RedBasica!U41</f>
        <v>0.9</v>
      </c>
      <c r="Q41" s="67">
        <f>IFERROR(INDEX('A3'!$E$15:$E$10000,MATCH(RedBasica!G41,'A3'!$A$15:$A$10000,0),1),"")</f>
        <v>183.78</v>
      </c>
      <c r="R41" s="67" t="str">
        <f>IFERROR(INDEX('A3'!$E$15:$E$10000,MATCH(C41,$A$15:$A$10000,0),1),"")</f>
        <v/>
      </c>
      <c r="S41" s="67" t="str">
        <f>IFERROR(INDEX('A3'!$E$15:$E$10000,MATCH(D41,$A$15:$A$10000,0),1),"")</f>
        <v/>
      </c>
      <c r="T41" s="67">
        <f t="shared" si="7"/>
        <v>183.78</v>
      </c>
      <c r="U41" s="67">
        <f>IFERROR(INDEX('A3'!$D$15:$D$10000,MATCH(A41,'A3'!$A$15:$A$10000,0),1),"")</f>
        <v>183.78</v>
      </c>
      <c r="V41" s="320">
        <f>IF(Q41="",0,(IF(U41-T41&gt;(Parametros!$F$64*(-1)),ROUNDUP(U41-T41+(Parametros!$F$64),2),0)))</f>
        <v>0</v>
      </c>
      <c r="W41" s="67">
        <f>IFERROR(INDEX('A3'!$I$15:$I$10000,MATCH(RedBasica!G41,'A3'!$A$15:$A$10000,0),1),"")</f>
        <v>183.80190143757525</v>
      </c>
      <c r="X41" s="67" t="str">
        <f>IFERROR(INDEX('A3'!$I$15:$I$10000,MATCH(C41,$A$15:$A$10000,0),1),"")</f>
        <v/>
      </c>
      <c r="Y41" s="67" t="str">
        <f>IFERROR(INDEX('A3'!$I$15:$I$10000,MATCH(D41,$A$15:$A$10000,0),1),"")</f>
        <v/>
      </c>
      <c r="Z41" s="67">
        <f t="shared" si="8"/>
        <v>183.80190143757525</v>
      </c>
      <c r="AA41" s="67">
        <f>IFERROR(INDEX('A3'!$H$15:$H$10000,MATCH(A41,'A3'!$A$15:$A$10000,0),1),"")</f>
        <v>183.80182051296114</v>
      </c>
      <c r="AB41" s="320">
        <f t="shared" si="9"/>
        <v>0</v>
      </c>
      <c r="AC41" s="67">
        <f>RedBasica!R41</f>
        <v>0</v>
      </c>
      <c r="AD41" s="320">
        <f t="shared" si="10"/>
        <v>1.05</v>
      </c>
      <c r="AE41" s="320"/>
      <c r="AF41" s="320">
        <f t="shared" si="11"/>
        <v>1.8809200000000033</v>
      </c>
      <c r="AG41" s="320">
        <f t="shared" si="12"/>
        <v>1.88</v>
      </c>
      <c r="AH41" s="333">
        <f>RedBasica!B41</f>
        <v>0</v>
      </c>
      <c r="AI41" s="333">
        <f>RedBasica!AI41</f>
        <v>150</v>
      </c>
      <c r="AJ41" s="333">
        <f>RedBasica!AJ41</f>
        <v>150</v>
      </c>
      <c r="AK41" s="333">
        <f t="shared" si="13"/>
        <v>150</v>
      </c>
      <c r="AL41" s="339"/>
    </row>
    <row r="42" spans="1:38" customFormat="1" x14ac:dyDescent="0.2">
      <c r="A42" s="86" t="str">
        <f>RedBasica!E42</f>
        <v>MS_A_5-001</v>
      </c>
      <c r="B42" s="86" t="str">
        <f>IF(RedBasica!G42=0,"",RedBasica!G42)</f>
        <v/>
      </c>
      <c r="C42" s="86" t="str">
        <f>IF(RedBasica!H42=0,"",RedBasica!H42)</f>
        <v/>
      </c>
      <c r="D42" s="86" t="str">
        <f>IF(RedBasica!I42=0,"",RedBasica!I42)</f>
        <v/>
      </c>
      <c r="E42" s="88" t="str">
        <f>IF(AND(RedBasica!D42=RedBasica!D41,RedBasica!F42&gt;0),RedBasica!W41,"")</f>
        <v/>
      </c>
      <c r="F42" s="67" t="str">
        <f t="shared" si="1"/>
        <v/>
      </c>
      <c r="G42" s="67" t="str">
        <f t="shared" si="2"/>
        <v/>
      </c>
      <c r="H42" s="67">
        <f t="shared" si="3"/>
        <v>0</v>
      </c>
      <c r="I42" s="67">
        <f>RedBasica!V42</f>
        <v>1.05</v>
      </c>
      <c r="J42" s="67">
        <f>RedBasica!W42</f>
        <v>1.05</v>
      </c>
      <c r="K42" s="88" t="str">
        <f>IF(AND(RedBasica!D42=RedBasica!D41,RedBasica!F42&gt;0),RedBasica!U41,"")</f>
        <v/>
      </c>
      <c r="L42" s="67" t="str">
        <f t="shared" si="4"/>
        <v/>
      </c>
      <c r="M42" s="67" t="str">
        <f t="shared" si="5"/>
        <v/>
      </c>
      <c r="N42" s="67">
        <f t="shared" si="6"/>
        <v>0</v>
      </c>
      <c r="O42" s="67">
        <f>RedBasica!T42</f>
        <v>0.9</v>
      </c>
      <c r="P42" s="67">
        <f>RedBasica!U42</f>
        <v>0.9</v>
      </c>
      <c r="Q42" s="67" t="str">
        <f>IFERROR(INDEX('A3'!$E$15:$E$10000,MATCH(RedBasica!G42,'A3'!$A$15:$A$10000,0),1),"")</f>
        <v/>
      </c>
      <c r="R42" s="67" t="str">
        <f>IFERROR(INDEX('A3'!$E$15:$E$10000,MATCH(C42,$A$15:$A$10000,0),1),"")</f>
        <v/>
      </c>
      <c r="S42" s="67" t="str">
        <f>IFERROR(INDEX('A3'!$E$15:$E$10000,MATCH(D42,$A$15:$A$10000,0),1),"")</f>
        <v/>
      </c>
      <c r="T42" s="67">
        <f t="shared" si="7"/>
        <v>0</v>
      </c>
      <c r="U42" s="67">
        <f>IFERROR(INDEX('A3'!$D$15:$D$10000,MATCH(A42,'A3'!$A$15:$A$10000,0),1),"")</f>
        <v>182.61999999999998</v>
      </c>
      <c r="V42" s="320">
        <f>IF(Q42="",0,(IF(U42-T42&gt;(Parametros!$F$64*(-1)),ROUNDUP(U42-T42+(Parametros!$F$64),2),0)))</f>
        <v>0</v>
      </c>
      <c r="W42" s="67" t="str">
        <f>IFERROR(INDEX('A3'!$I$15:$I$10000,MATCH(RedBasica!G42,'A3'!$A$15:$A$10000,0),1),"")</f>
        <v/>
      </c>
      <c r="X42" s="67" t="str">
        <f>IFERROR(INDEX('A3'!$I$15:$I$10000,MATCH(C42,$A$15:$A$10000,0),1),"")</f>
        <v/>
      </c>
      <c r="Y42" s="67" t="str">
        <f>IFERROR(INDEX('A3'!$I$15:$I$10000,MATCH(D42,$A$15:$A$10000,0),1),"")</f>
        <v/>
      </c>
      <c r="Z42" s="67">
        <f t="shared" si="8"/>
        <v>0</v>
      </c>
      <c r="AA42" s="67">
        <f>IFERROR(INDEX('A3'!$H$15:$H$10000,MATCH(A42,'A3'!$A$15:$A$10000,0),1),"")</f>
        <v>182.65726947640556</v>
      </c>
      <c r="AB42" s="320">
        <f t="shared" si="9"/>
        <v>0</v>
      </c>
      <c r="AC42" s="67">
        <f>RedBasica!R42</f>
        <v>0</v>
      </c>
      <c r="AD42" s="320">
        <f t="shared" si="10"/>
        <v>1.05</v>
      </c>
      <c r="AE42" s="320"/>
      <c r="AF42" s="320">
        <f t="shared" si="11"/>
        <v>1.05</v>
      </c>
      <c r="AG42" s="320" t="str">
        <f t="shared" si="12"/>
        <v>-</v>
      </c>
      <c r="AH42" s="333">
        <f>RedBasica!B42</f>
        <v>1</v>
      </c>
      <c r="AI42" s="333">
        <f>RedBasica!AI42</f>
        <v>150</v>
      </c>
      <c r="AJ42" s="333">
        <f>RedBasica!AJ42</f>
        <v>150</v>
      </c>
      <c r="AK42" s="333">
        <f t="shared" si="13"/>
        <v>150</v>
      </c>
      <c r="AL42" s="339"/>
    </row>
    <row r="43" spans="1:38" customFormat="1" x14ac:dyDescent="0.2">
      <c r="A43" s="86" t="str">
        <f>RedBasica!E43</f>
        <v>MS_A_5-002</v>
      </c>
      <c r="B43" s="86" t="str">
        <f>IF(RedBasica!G43=0,"",RedBasica!G43)</f>
        <v>MS_A_5-001</v>
      </c>
      <c r="C43" s="86" t="str">
        <f>IF(RedBasica!H43=0,"",RedBasica!H43)</f>
        <v/>
      </c>
      <c r="D43" s="86" t="str">
        <f>IF(RedBasica!I43=0,"",RedBasica!I43)</f>
        <v/>
      </c>
      <c r="E43" s="88">
        <f>IF(AND(RedBasica!D43=RedBasica!D42,RedBasica!F43&gt;0),RedBasica!W42,"")</f>
        <v>1.05</v>
      </c>
      <c r="F43" s="67" t="str">
        <f t="shared" si="1"/>
        <v/>
      </c>
      <c r="G43" s="67" t="str">
        <f t="shared" si="2"/>
        <v/>
      </c>
      <c r="H43" s="67">
        <f t="shared" si="3"/>
        <v>1.05</v>
      </c>
      <c r="I43" s="67">
        <f>RedBasica!V43</f>
        <v>1.05</v>
      </c>
      <c r="J43" s="67">
        <f>RedBasica!W43</f>
        <v>1.126640000000009</v>
      </c>
      <c r="K43" s="88">
        <f>IF(AND(RedBasica!D43=RedBasica!D42,RedBasica!F43&gt;0),RedBasica!U42,"")</f>
        <v>0.9</v>
      </c>
      <c r="L43" s="67" t="str">
        <f t="shared" si="4"/>
        <v/>
      </c>
      <c r="M43" s="67" t="str">
        <f t="shared" si="5"/>
        <v/>
      </c>
      <c r="N43" s="67">
        <f t="shared" si="6"/>
        <v>0.9</v>
      </c>
      <c r="O43" s="67">
        <f>RedBasica!T43</f>
        <v>0.9</v>
      </c>
      <c r="P43" s="67">
        <f>RedBasica!U43</f>
        <v>0.97664000000000895</v>
      </c>
      <c r="Q43" s="67">
        <f>IFERROR(INDEX('A3'!$E$15:$E$10000,MATCH(RedBasica!G43,'A3'!$A$15:$A$10000,0),1),"")</f>
        <v>182.42</v>
      </c>
      <c r="R43" s="67" t="str">
        <f>IFERROR(INDEX('A3'!$E$15:$E$10000,MATCH(C43,$A$15:$A$10000,0),1),"")</f>
        <v/>
      </c>
      <c r="S43" s="67" t="str">
        <f>IFERROR(INDEX('A3'!$E$15:$E$10000,MATCH(D43,$A$15:$A$10000,0),1),"")</f>
        <v/>
      </c>
      <c r="T43" s="67">
        <f t="shared" si="7"/>
        <v>182.42</v>
      </c>
      <c r="U43" s="67">
        <f>IFERROR(INDEX('A3'!$D$15:$D$10000,MATCH(A43,'A3'!$A$15:$A$10000,0),1),"")</f>
        <v>182.42</v>
      </c>
      <c r="V43" s="320">
        <f>IF(Q43="",0,(IF(U43-T43&gt;(Parametros!$F$64*(-1)),ROUNDUP(U43-T43+(Parametros!$F$64),2),0)))</f>
        <v>0</v>
      </c>
      <c r="W43" s="67">
        <f>IFERROR(INDEX('A3'!$I$15:$I$10000,MATCH(RedBasica!G43,'A3'!$A$15:$A$10000,0),1),"")</f>
        <v>182.45726947640557</v>
      </c>
      <c r="X43" s="67" t="str">
        <f>IFERROR(INDEX('A3'!$I$15:$I$10000,MATCH(C43,$A$15:$A$10000,0),1),"")</f>
        <v/>
      </c>
      <c r="Y43" s="67" t="str">
        <f>IFERROR(INDEX('A3'!$I$15:$I$10000,MATCH(D43,$A$15:$A$10000,0),1),"")</f>
        <v/>
      </c>
      <c r="Z43" s="67">
        <f t="shared" si="8"/>
        <v>182.45726947640557</v>
      </c>
      <c r="AA43" s="67">
        <f>IFERROR(INDEX('A3'!$H$15:$H$10000,MATCH(A43,'A3'!$A$15:$A$10000,0),1),"")</f>
        <v>182.45883868578935</v>
      </c>
      <c r="AB43" s="320">
        <f t="shared" si="9"/>
        <v>0.01</v>
      </c>
      <c r="AC43" s="67">
        <f>RedBasica!R43</f>
        <v>0</v>
      </c>
      <c r="AD43" s="320">
        <f t="shared" si="10"/>
        <v>1.06</v>
      </c>
      <c r="AE43" s="320"/>
      <c r="AF43" s="320">
        <f t="shared" si="11"/>
        <v>1.126640000000009</v>
      </c>
      <c r="AG43" s="320" t="str">
        <f t="shared" si="12"/>
        <v>-</v>
      </c>
      <c r="AH43" s="333">
        <f>RedBasica!B43</f>
        <v>0</v>
      </c>
      <c r="AI43" s="333">
        <f>RedBasica!AI43</f>
        <v>150</v>
      </c>
      <c r="AJ43" s="333">
        <f>RedBasica!AJ43</f>
        <v>150</v>
      </c>
      <c r="AK43" s="333">
        <f t="shared" si="13"/>
        <v>150</v>
      </c>
      <c r="AL43" s="339"/>
    </row>
    <row r="44" spans="1:38" customFormat="1" x14ac:dyDescent="0.2">
      <c r="A44" s="86" t="str">
        <f>RedBasica!E44</f>
        <v>MS_A_5-003</v>
      </c>
      <c r="B44" s="86" t="str">
        <f>IF(RedBasica!G44=0,"",RedBasica!G44)</f>
        <v>MS_A_5-002</v>
      </c>
      <c r="C44" s="86" t="str">
        <f>IF(RedBasica!H44=0,"",RedBasica!H44)</f>
        <v/>
      </c>
      <c r="D44" s="86" t="str">
        <f>IF(RedBasica!I44=0,"",RedBasica!I44)</f>
        <v/>
      </c>
      <c r="E44" s="88">
        <f>IF(AND(RedBasica!D44=RedBasica!D43,RedBasica!F44&gt;0),RedBasica!W43,"")</f>
        <v>1.126640000000009</v>
      </c>
      <c r="F44" s="67" t="str">
        <f t="shared" si="1"/>
        <v/>
      </c>
      <c r="G44" s="67" t="str">
        <f t="shared" si="2"/>
        <v/>
      </c>
      <c r="H44" s="67">
        <f t="shared" si="3"/>
        <v>1.126640000000009</v>
      </c>
      <c r="I44" s="67">
        <f>RedBasica!V44</f>
        <v>1.126640000000009</v>
      </c>
      <c r="J44" s="67">
        <f>RedBasica!W44</f>
        <v>1.05</v>
      </c>
      <c r="K44" s="88">
        <f>IF(AND(RedBasica!D44=RedBasica!D43,RedBasica!F44&gt;0),RedBasica!U43,"")</f>
        <v>0.97664000000000895</v>
      </c>
      <c r="L44" s="67" t="str">
        <f t="shared" si="4"/>
        <v/>
      </c>
      <c r="M44" s="67" t="str">
        <f t="shared" si="5"/>
        <v/>
      </c>
      <c r="N44" s="67">
        <f t="shared" si="6"/>
        <v>0.97664000000000895</v>
      </c>
      <c r="O44" s="67">
        <f>RedBasica!T44</f>
        <v>0.97664000000000895</v>
      </c>
      <c r="P44" s="67">
        <f>RedBasica!U44</f>
        <v>0.9</v>
      </c>
      <c r="Q44" s="67">
        <f>IFERROR(INDEX('A3'!$E$15:$E$10000,MATCH(RedBasica!G44,'A3'!$A$15:$A$10000,0),1),"")</f>
        <v>182.30336</v>
      </c>
      <c r="R44" s="67" t="str">
        <f>IFERROR(INDEX('A3'!$E$15:$E$10000,MATCH(C44,$A$15:$A$10000,0),1),"")</f>
        <v/>
      </c>
      <c r="S44" s="67" t="str">
        <f>IFERROR(INDEX('A3'!$E$15:$E$10000,MATCH(D44,$A$15:$A$10000,0),1),"")</f>
        <v/>
      </c>
      <c r="T44" s="67">
        <f t="shared" si="7"/>
        <v>182.30336</v>
      </c>
      <c r="U44" s="67">
        <f>IFERROR(INDEX('A3'!$D$15:$D$10000,MATCH(A44,'A3'!$A$15:$A$10000,0),1),"")</f>
        <v>182.30336</v>
      </c>
      <c r="V44" s="320">
        <f>IF(Q44="",0,(IF(U44-T44&gt;(Parametros!$F$64*(-1)),ROUNDUP(U44-T44+(Parametros!$F$64),2),0)))</f>
        <v>0</v>
      </c>
      <c r="W44" s="67">
        <f>IFERROR(INDEX('A3'!$I$15:$I$10000,MATCH(RedBasica!G44,'A3'!$A$15:$A$10000,0),1),"")</f>
        <v>182.34219868578936</v>
      </c>
      <c r="X44" s="67" t="str">
        <f>IFERROR(INDEX('A3'!$I$15:$I$10000,MATCH(C44,$A$15:$A$10000,0),1),"")</f>
        <v/>
      </c>
      <c r="Y44" s="67" t="str">
        <f>IFERROR(INDEX('A3'!$I$15:$I$10000,MATCH(D44,$A$15:$A$10000,0),1),"")</f>
        <v/>
      </c>
      <c r="Z44" s="67">
        <f t="shared" si="8"/>
        <v>182.34219868578936</v>
      </c>
      <c r="AA44" s="67">
        <f>IFERROR(INDEX('A3'!$H$15:$H$10000,MATCH(A44,'A3'!$A$15:$A$10000,0),1),"")</f>
        <v>182.32836340725908</v>
      </c>
      <c r="AB44" s="320">
        <f t="shared" si="9"/>
        <v>0</v>
      </c>
      <c r="AC44" s="67">
        <f>RedBasica!R44</f>
        <v>0</v>
      </c>
      <c r="AD44" s="320">
        <f t="shared" si="10"/>
        <v>1.1299999999999999</v>
      </c>
      <c r="AE44" s="320"/>
      <c r="AF44" s="320">
        <f t="shared" si="11"/>
        <v>1.05</v>
      </c>
      <c r="AG44" s="320" t="str">
        <f t="shared" si="12"/>
        <v>-</v>
      </c>
      <c r="AH44" s="333">
        <f>RedBasica!B44</f>
        <v>0</v>
      </c>
      <c r="AI44" s="333">
        <f>RedBasica!AI44</f>
        <v>150</v>
      </c>
      <c r="AJ44" s="333">
        <f>RedBasica!AJ44</f>
        <v>150</v>
      </c>
      <c r="AK44" s="333">
        <f t="shared" si="13"/>
        <v>150</v>
      </c>
      <c r="AL44" s="339"/>
    </row>
    <row r="45" spans="1:38" customFormat="1" x14ac:dyDescent="0.2">
      <c r="A45" s="86" t="str">
        <f>RedBasica!E45</f>
        <v>MS_A_6-001</v>
      </c>
      <c r="B45" s="86" t="str">
        <f>IF(RedBasica!G45=0,"",RedBasica!G45)</f>
        <v/>
      </c>
      <c r="C45" s="86" t="str">
        <f>IF(RedBasica!H45=0,"",RedBasica!H45)</f>
        <v/>
      </c>
      <c r="D45" s="86" t="str">
        <f>IF(RedBasica!I45=0,"",RedBasica!I45)</f>
        <v/>
      </c>
      <c r="E45" s="88" t="str">
        <f>IF(AND(RedBasica!D45=RedBasica!D44,RedBasica!F45&gt;0),RedBasica!W44,"")</f>
        <v/>
      </c>
      <c r="F45" s="67" t="str">
        <f t="shared" si="1"/>
        <v/>
      </c>
      <c r="G45" s="67" t="str">
        <f t="shared" si="2"/>
        <v/>
      </c>
      <c r="H45" s="67">
        <f t="shared" si="3"/>
        <v>0</v>
      </c>
      <c r="I45" s="67">
        <f>RedBasica!V45</f>
        <v>1.05</v>
      </c>
      <c r="J45" s="67">
        <f>RedBasica!W45</f>
        <v>1.2549750000000017</v>
      </c>
      <c r="K45" s="88" t="str">
        <f>IF(AND(RedBasica!D45=RedBasica!D44,RedBasica!F45&gt;0),RedBasica!U44,"")</f>
        <v/>
      </c>
      <c r="L45" s="67" t="str">
        <f t="shared" si="4"/>
        <v/>
      </c>
      <c r="M45" s="67" t="str">
        <f t="shared" si="5"/>
        <v/>
      </c>
      <c r="N45" s="67">
        <f t="shared" si="6"/>
        <v>0</v>
      </c>
      <c r="O45" s="67">
        <f>RedBasica!T45</f>
        <v>0.9</v>
      </c>
      <c r="P45" s="67">
        <f>RedBasica!U45</f>
        <v>1.1049750000000018</v>
      </c>
      <c r="Q45" s="67" t="str">
        <f>IFERROR(INDEX('A3'!$E$15:$E$10000,MATCH(RedBasica!G45,'A3'!$A$15:$A$10000,0),1),"")</f>
        <v/>
      </c>
      <c r="R45" s="67" t="str">
        <f>IFERROR(INDEX('A3'!$E$15:$E$10000,MATCH(C45,$A$15:$A$10000,0),1),"")</f>
        <v/>
      </c>
      <c r="S45" s="67" t="str">
        <f>IFERROR(INDEX('A3'!$E$15:$E$10000,MATCH(D45,$A$15:$A$10000,0),1),"")</f>
        <v/>
      </c>
      <c r="T45" s="67">
        <f t="shared" si="7"/>
        <v>0</v>
      </c>
      <c r="U45" s="67">
        <f>IFERROR(INDEX('A3'!$D$15:$D$10000,MATCH(A45,'A3'!$A$15:$A$10000,0),1),"")</f>
        <v>188.14999999999998</v>
      </c>
      <c r="V45" s="320">
        <f>IF(Q45="",0,(IF(U45-T45&gt;(Parametros!$F$64*(-1)),ROUNDUP(U45-T45+(Parametros!$F$64),2),0)))</f>
        <v>0</v>
      </c>
      <c r="W45" s="67" t="str">
        <f>IFERROR(INDEX('A3'!$I$15:$I$10000,MATCH(RedBasica!G45,'A3'!$A$15:$A$10000,0),1),"")</f>
        <v/>
      </c>
      <c r="X45" s="67" t="str">
        <f>IFERROR(INDEX('A3'!$I$15:$I$10000,MATCH(C45,$A$15:$A$10000,0),1),"")</f>
        <v/>
      </c>
      <c r="Y45" s="67" t="str">
        <f>IFERROR(INDEX('A3'!$I$15:$I$10000,MATCH(D45,$A$15:$A$10000,0),1),"")</f>
        <v/>
      </c>
      <c r="Z45" s="67">
        <f t="shared" si="8"/>
        <v>0</v>
      </c>
      <c r="AA45" s="67">
        <f>IFERROR(INDEX('A3'!$H$15:$H$10000,MATCH(A45,'A3'!$A$15:$A$10000,0),1),"")</f>
        <v>188.18883868578934</v>
      </c>
      <c r="AB45" s="320">
        <f t="shared" si="9"/>
        <v>0</v>
      </c>
      <c r="AC45" s="67">
        <f>RedBasica!R45</f>
        <v>0</v>
      </c>
      <c r="AD45" s="320">
        <f t="shared" si="10"/>
        <v>1.05</v>
      </c>
      <c r="AE45" s="320"/>
      <c r="AF45" s="320">
        <f t="shared" si="11"/>
        <v>1.2549750000000017</v>
      </c>
      <c r="AG45" s="320" t="str">
        <f t="shared" si="12"/>
        <v>-</v>
      </c>
      <c r="AH45" s="333">
        <f>RedBasica!B45</f>
        <v>1</v>
      </c>
      <c r="AI45" s="333">
        <f>RedBasica!AI45</f>
        <v>150</v>
      </c>
      <c r="AJ45" s="333">
        <f>RedBasica!AJ45</f>
        <v>150</v>
      </c>
      <c r="AK45" s="333">
        <f t="shared" si="13"/>
        <v>150</v>
      </c>
      <c r="AL45" s="339"/>
    </row>
    <row r="46" spans="1:38" customFormat="1" x14ac:dyDescent="0.2">
      <c r="A46" s="86" t="str">
        <f>RedBasica!E46</f>
        <v>MS_A_6-002</v>
      </c>
      <c r="B46" s="86" t="str">
        <f>IF(RedBasica!G46=0,"",RedBasica!G46)</f>
        <v>MS_A_6-001</v>
      </c>
      <c r="C46" s="86" t="str">
        <f>IF(RedBasica!H46=0,"",RedBasica!H46)</f>
        <v/>
      </c>
      <c r="D46" s="86" t="str">
        <f>IF(RedBasica!I46=0,"",RedBasica!I46)</f>
        <v/>
      </c>
      <c r="E46" s="88">
        <f>IF(AND(RedBasica!D46=RedBasica!D45,RedBasica!F46&gt;0),RedBasica!W45,"")</f>
        <v>1.2549750000000017</v>
      </c>
      <c r="F46" s="67" t="str">
        <f t="shared" si="1"/>
        <v/>
      </c>
      <c r="G46" s="67" t="str">
        <f t="shared" si="2"/>
        <v/>
      </c>
      <c r="H46" s="67">
        <f t="shared" si="3"/>
        <v>1.2549750000000017</v>
      </c>
      <c r="I46" s="67">
        <f>RedBasica!V46</f>
        <v>1.2549750000000017</v>
      </c>
      <c r="J46" s="67">
        <f>RedBasica!W46</f>
        <v>1.4605400000000088</v>
      </c>
      <c r="K46" s="88">
        <f>IF(AND(RedBasica!D46=RedBasica!D45,RedBasica!F46&gt;0),RedBasica!U45,"")</f>
        <v>1.1049750000000018</v>
      </c>
      <c r="L46" s="67" t="str">
        <f t="shared" si="4"/>
        <v/>
      </c>
      <c r="M46" s="67" t="str">
        <f t="shared" si="5"/>
        <v/>
      </c>
      <c r="N46" s="67">
        <f t="shared" si="6"/>
        <v>1.1049750000000018</v>
      </c>
      <c r="O46" s="67">
        <f>RedBasica!T46</f>
        <v>1.1049750000000018</v>
      </c>
      <c r="P46" s="67">
        <f>RedBasica!U46</f>
        <v>1.3105400000000089</v>
      </c>
      <c r="Q46" s="67">
        <f>IFERROR(INDEX('A3'!$E$15:$E$10000,MATCH(RedBasica!G46,'A3'!$A$15:$A$10000,0),1),"")</f>
        <v>188.03502499999999</v>
      </c>
      <c r="R46" s="67" t="str">
        <f>IFERROR(INDEX('A3'!$E$15:$E$10000,MATCH(C46,$A$15:$A$10000,0),1),"")</f>
        <v/>
      </c>
      <c r="S46" s="67" t="str">
        <f>IFERROR(INDEX('A3'!$E$15:$E$10000,MATCH(D46,$A$15:$A$10000,0),1),"")</f>
        <v/>
      </c>
      <c r="T46" s="67">
        <f t="shared" si="7"/>
        <v>188.03502499999999</v>
      </c>
      <c r="U46" s="67">
        <f>IFERROR(INDEX('A3'!$D$15:$D$10000,MATCH(A46,'A3'!$A$15:$A$10000,0),1),"")</f>
        <v>188.03502499999999</v>
      </c>
      <c r="V46" s="320">
        <f>IF(Q46="",0,(IF(U46-T46&gt;(Parametros!$F$64*(-1)),ROUNDUP(U46-T46+(Parametros!$F$64),2),0)))</f>
        <v>0</v>
      </c>
      <c r="W46" s="67">
        <f>IFERROR(INDEX('A3'!$I$15:$I$10000,MATCH(RedBasica!G46,'A3'!$A$15:$A$10000,0),1),"")</f>
        <v>188.07386368578935</v>
      </c>
      <c r="X46" s="67" t="str">
        <f>IFERROR(INDEX('A3'!$I$15:$I$10000,MATCH(C46,$A$15:$A$10000,0),1),"")</f>
        <v/>
      </c>
      <c r="Y46" s="67" t="str">
        <f>IFERROR(INDEX('A3'!$I$15:$I$10000,MATCH(D46,$A$15:$A$10000,0),1),"")</f>
        <v/>
      </c>
      <c r="Z46" s="67">
        <f t="shared" si="8"/>
        <v>188.07386368578935</v>
      </c>
      <c r="AA46" s="67">
        <f>IFERROR(INDEX('A3'!$H$15:$H$10000,MATCH(A46,'A3'!$A$15:$A$10000,0),1),"")</f>
        <v>188.07386368578935</v>
      </c>
      <c r="AB46" s="320">
        <f t="shared" si="9"/>
        <v>0</v>
      </c>
      <c r="AC46" s="67">
        <f>RedBasica!R46</f>
        <v>0</v>
      </c>
      <c r="AD46" s="320">
        <f t="shared" si="10"/>
        <v>1.25</v>
      </c>
      <c r="AE46" s="320"/>
      <c r="AF46" s="320">
        <f t="shared" si="11"/>
        <v>1.4605400000000088</v>
      </c>
      <c r="AG46" s="320" t="str">
        <f t="shared" si="12"/>
        <v>-</v>
      </c>
      <c r="AH46" s="333">
        <f>RedBasica!B46</f>
        <v>0</v>
      </c>
      <c r="AI46" s="333">
        <f>RedBasica!AI46</f>
        <v>150</v>
      </c>
      <c r="AJ46" s="333">
        <f>RedBasica!AJ46</f>
        <v>150</v>
      </c>
      <c r="AK46" s="333">
        <f t="shared" si="13"/>
        <v>150</v>
      </c>
      <c r="AL46" s="339"/>
    </row>
    <row r="47" spans="1:38" customFormat="1" x14ac:dyDescent="0.2">
      <c r="A47" s="86" t="str">
        <f>RedBasica!E47</f>
        <v>MS_A_6-003</v>
      </c>
      <c r="B47" s="86" t="str">
        <f>IF(RedBasica!G47=0,"",RedBasica!G47)</f>
        <v>MS_A_6-002</v>
      </c>
      <c r="C47" s="86" t="str">
        <f>IF(RedBasica!H47=0,"",RedBasica!H47)</f>
        <v/>
      </c>
      <c r="D47" s="86" t="str">
        <f>IF(RedBasica!I47=0,"",RedBasica!I47)</f>
        <v/>
      </c>
      <c r="E47" s="88">
        <f>IF(AND(RedBasica!D47=RedBasica!D46,RedBasica!F47&gt;0),RedBasica!W46,"")</f>
        <v>1.4605400000000088</v>
      </c>
      <c r="F47" s="67" t="str">
        <f t="shared" si="1"/>
        <v/>
      </c>
      <c r="G47" s="67" t="str">
        <f t="shared" si="2"/>
        <v/>
      </c>
      <c r="H47" s="67">
        <f t="shared" si="3"/>
        <v>1.4605400000000088</v>
      </c>
      <c r="I47" s="67">
        <f>RedBasica!V47</f>
        <v>1.4605400000000088</v>
      </c>
      <c r="J47" s="67">
        <f>RedBasica!W47</f>
        <v>1.4230650000000082</v>
      </c>
      <c r="K47" s="88">
        <f>IF(AND(RedBasica!D47=RedBasica!D46,RedBasica!F47&gt;0),RedBasica!U46,"")</f>
        <v>1.3105400000000089</v>
      </c>
      <c r="L47" s="67" t="str">
        <f t="shared" si="4"/>
        <v/>
      </c>
      <c r="M47" s="67" t="str">
        <f t="shared" si="5"/>
        <v/>
      </c>
      <c r="N47" s="67">
        <f t="shared" si="6"/>
        <v>1.3105400000000089</v>
      </c>
      <c r="O47" s="67">
        <f>RedBasica!T47</f>
        <v>1.3105400000000089</v>
      </c>
      <c r="P47" s="67">
        <f>RedBasica!U47</f>
        <v>1.2730650000000083</v>
      </c>
      <c r="Q47" s="67">
        <f>IFERROR(INDEX('A3'!$E$15:$E$10000,MATCH(RedBasica!G47,'A3'!$A$15:$A$10000,0),1),"")</f>
        <v>187.69945999999999</v>
      </c>
      <c r="R47" s="67" t="str">
        <f>IFERROR(INDEX('A3'!$E$15:$E$10000,MATCH(C47,$A$15:$A$10000,0),1),"")</f>
        <v/>
      </c>
      <c r="S47" s="67" t="str">
        <f>IFERROR(INDEX('A3'!$E$15:$E$10000,MATCH(D47,$A$15:$A$10000,0),1),"")</f>
        <v/>
      </c>
      <c r="T47" s="67">
        <f t="shared" si="7"/>
        <v>187.69945999999999</v>
      </c>
      <c r="U47" s="67">
        <f>IFERROR(INDEX('A3'!$D$15:$D$10000,MATCH(A47,'A3'!$A$15:$A$10000,0),1),"")</f>
        <v>187.69945999999999</v>
      </c>
      <c r="V47" s="320">
        <f>IF(Q47="",0,(IF(U47-T47&gt;(Parametros!$F$64*(-1)),ROUNDUP(U47-T47+(Parametros!$F$64),2),0)))</f>
        <v>0</v>
      </c>
      <c r="W47" s="67">
        <f>IFERROR(INDEX('A3'!$I$15:$I$10000,MATCH(RedBasica!G47,'A3'!$A$15:$A$10000,0),1),"")</f>
        <v>187.73829868578935</v>
      </c>
      <c r="X47" s="67" t="str">
        <f>IFERROR(INDEX('A3'!$I$15:$I$10000,MATCH(C47,$A$15:$A$10000,0),1),"")</f>
        <v/>
      </c>
      <c r="Y47" s="67" t="str">
        <f>IFERROR(INDEX('A3'!$I$15:$I$10000,MATCH(D47,$A$15:$A$10000,0),1),"")</f>
        <v/>
      </c>
      <c r="Z47" s="67">
        <f t="shared" si="8"/>
        <v>187.73829868578935</v>
      </c>
      <c r="AA47" s="67">
        <f>IFERROR(INDEX('A3'!$H$15:$H$10000,MATCH(A47,'A3'!$A$15:$A$10000,0),1),"")</f>
        <v>187.73829868578935</v>
      </c>
      <c r="AB47" s="320">
        <f t="shared" si="9"/>
        <v>0</v>
      </c>
      <c r="AC47" s="67">
        <f>RedBasica!R47</f>
        <v>0</v>
      </c>
      <c r="AD47" s="320">
        <f t="shared" si="10"/>
        <v>1.46</v>
      </c>
      <c r="AE47" s="320"/>
      <c r="AF47" s="320">
        <f t="shared" si="11"/>
        <v>1.4230650000000082</v>
      </c>
      <c r="AG47" s="320" t="str">
        <f t="shared" si="12"/>
        <v>-</v>
      </c>
      <c r="AH47" s="333">
        <f>RedBasica!B47</f>
        <v>0</v>
      </c>
      <c r="AI47" s="333">
        <f>RedBasica!AI47</f>
        <v>150</v>
      </c>
      <c r="AJ47" s="333">
        <f>RedBasica!AJ47</f>
        <v>150</v>
      </c>
      <c r="AK47" s="333">
        <f t="shared" si="13"/>
        <v>150</v>
      </c>
      <c r="AL47" s="339"/>
    </row>
    <row r="48" spans="1:38" customFormat="1" x14ac:dyDescent="0.2">
      <c r="A48" s="86" t="str">
        <f>RedBasica!E48</f>
        <v>MS_A_6-004</v>
      </c>
      <c r="B48" s="86" t="str">
        <f>IF(RedBasica!G48=0,"",RedBasica!G48)</f>
        <v>MS_A_6-003</v>
      </c>
      <c r="C48" s="86" t="str">
        <f>IF(RedBasica!H48=0,"",RedBasica!H48)</f>
        <v/>
      </c>
      <c r="D48" s="86" t="str">
        <f>IF(RedBasica!I48=0,"",RedBasica!I48)</f>
        <v/>
      </c>
      <c r="E48" s="88">
        <f>IF(AND(RedBasica!D48=RedBasica!D47,RedBasica!F48&gt;0),RedBasica!W47,"")</f>
        <v>1.4230650000000082</v>
      </c>
      <c r="F48" s="67" t="str">
        <f t="shared" si="1"/>
        <v/>
      </c>
      <c r="G48" s="67" t="str">
        <f t="shared" si="2"/>
        <v/>
      </c>
      <c r="H48" s="67">
        <f t="shared" si="3"/>
        <v>1.4230650000000082</v>
      </c>
      <c r="I48" s="67">
        <f>RedBasica!V48</f>
        <v>1.4230650000000082</v>
      </c>
      <c r="J48" s="67">
        <f>RedBasica!W48</f>
        <v>1.05</v>
      </c>
      <c r="K48" s="88">
        <f>IF(AND(RedBasica!D48=RedBasica!D47,RedBasica!F48&gt;0),RedBasica!U47,"")</f>
        <v>1.2730650000000083</v>
      </c>
      <c r="L48" s="67" t="str">
        <f t="shared" si="4"/>
        <v/>
      </c>
      <c r="M48" s="67" t="str">
        <f t="shared" si="5"/>
        <v/>
      </c>
      <c r="N48" s="67">
        <f t="shared" si="6"/>
        <v>1.2730650000000083</v>
      </c>
      <c r="O48" s="67">
        <f>RedBasica!T48</f>
        <v>1.2730650000000083</v>
      </c>
      <c r="P48" s="67">
        <f>RedBasica!U48</f>
        <v>0.9</v>
      </c>
      <c r="Q48" s="67">
        <f>IFERROR(INDEX('A3'!$E$15:$E$10000,MATCH(RedBasica!G48,'A3'!$A$15:$A$10000,0),1),"")</f>
        <v>187.476935</v>
      </c>
      <c r="R48" s="67" t="str">
        <f>IFERROR(INDEX('A3'!$E$15:$E$10000,MATCH(C48,$A$15:$A$10000,0),1),"")</f>
        <v/>
      </c>
      <c r="S48" s="67" t="str">
        <f>IFERROR(INDEX('A3'!$E$15:$E$10000,MATCH(D48,$A$15:$A$10000,0),1),"")</f>
        <v/>
      </c>
      <c r="T48" s="67">
        <f t="shared" si="7"/>
        <v>187.476935</v>
      </c>
      <c r="U48" s="67">
        <f>IFERROR(INDEX('A3'!$D$15:$D$10000,MATCH(A48,'A3'!$A$15:$A$10000,0),1),"")</f>
        <v>187.476935</v>
      </c>
      <c r="V48" s="320">
        <f>IF(Q48="",0,(IF(U48-T48&gt;(Parametros!$F$64*(-1)),ROUNDUP(U48-T48+(Parametros!$F$64),2),0)))</f>
        <v>0</v>
      </c>
      <c r="W48" s="67">
        <f>IFERROR(INDEX('A3'!$I$15:$I$10000,MATCH(RedBasica!G48,'A3'!$A$15:$A$10000,0),1),"")</f>
        <v>187.51577368578936</v>
      </c>
      <c r="X48" s="67" t="str">
        <f>IFERROR(INDEX('A3'!$I$15:$I$10000,MATCH(C48,$A$15:$A$10000,0),1),"")</f>
        <v/>
      </c>
      <c r="Y48" s="67" t="str">
        <f>IFERROR(INDEX('A3'!$I$15:$I$10000,MATCH(D48,$A$15:$A$10000,0),1),"")</f>
        <v/>
      </c>
      <c r="Z48" s="67">
        <f t="shared" si="8"/>
        <v>187.51577368578936</v>
      </c>
      <c r="AA48" s="67">
        <f>IFERROR(INDEX('A3'!$H$15:$H$10000,MATCH(A48,'A3'!$A$15:$A$10000,0),1),"")</f>
        <v>187.50661462211457</v>
      </c>
      <c r="AB48" s="320">
        <f t="shared" si="9"/>
        <v>0</v>
      </c>
      <c r="AC48" s="67">
        <f>RedBasica!R48</f>
        <v>0</v>
      </c>
      <c r="AD48" s="320">
        <f t="shared" si="10"/>
        <v>1.42</v>
      </c>
      <c r="AE48" s="320"/>
      <c r="AF48" s="320">
        <f t="shared" si="11"/>
        <v>1.05</v>
      </c>
      <c r="AG48" s="320" t="str">
        <f t="shared" si="12"/>
        <v>-</v>
      </c>
      <c r="AH48" s="333">
        <f>RedBasica!B48</f>
        <v>0</v>
      </c>
      <c r="AI48" s="333">
        <f>RedBasica!AI48</f>
        <v>150</v>
      </c>
      <c r="AJ48" s="333">
        <f>RedBasica!AJ48</f>
        <v>150</v>
      </c>
      <c r="AK48" s="333">
        <f t="shared" si="13"/>
        <v>150</v>
      </c>
      <c r="AL48" s="339"/>
    </row>
    <row r="49" spans="1:38" customFormat="1" x14ac:dyDescent="0.2">
      <c r="A49" s="86" t="str">
        <f>RedBasica!E49</f>
        <v>MS_A_6-005</v>
      </c>
      <c r="B49" s="86" t="str">
        <f>IF(RedBasica!G49=0,"",RedBasica!G49)</f>
        <v>MS_A_6-004</v>
      </c>
      <c r="C49" s="86" t="str">
        <f>IF(RedBasica!H49=0,"",RedBasica!H49)</f>
        <v/>
      </c>
      <c r="D49" s="86" t="str">
        <f>IF(RedBasica!I49=0,"",RedBasica!I49)</f>
        <v/>
      </c>
      <c r="E49" s="88">
        <f>IF(AND(RedBasica!D49=RedBasica!D48,RedBasica!F49&gt;0),RedBasica!W48,"")</f>
        <v>1.05</v>
      </c>
      <c r="F49" s="67" t="str">
        <f t="shared" si="1"/>
        <v/>
      </c>
      <c r="G49" s="67" t="str">
        <f t="shared" si="2"/>
        <v/>
      </c>
      <c r="H49" s="67">
        <f t="shared" si="3"/>
        <v>1.05</v>
      </c>
      <c r="I49" s="67">
        <f>RedBasica!V49</f>
        <v>1.05</v>
      </c>
      <c r="J49" s="67">
        <f>RedBasica!W49</f>
        <v>1.8453650000000152</v>
      </c>
      <c r="K49" s="88">
        <f>IF(AND(RedBasica!D49=RedBasica!D48,RedBasica!F49&gt;0),RedBasica!U48,"")</f>
        <v>0.9</v>
      </c>
      <c r="L49" s="67" t="str">
        <f t="shared" si="4"/>
        <v/>
      </c>
      <c r="M49" s="67" t="str">
        <f t="shared" si="5"/>
        <v/>
      </c>
      <c r="N49" s="67">
        <f t="shared" si="6"/>
        <v>0.9</v>
      </c>
      <c r="O49" s="67">
        <f>RedBasica!T49</f>
        <v>0.9</v>
      </c>
      <c r="P49" s="67">
        <f>RedBasica!U49</f>
        <v>1.6953650000000153</v>
      </c>
      <c r="Q49" s="67">
        <f>IFERROR(INDEX('A3'!$E$15:$E$10000,MATCH(RedBasica!G49,'A3'!$A$15:$A$10000,0),1),"")</f>
        <v>186.66</v>
      </c>
      <c r="R49" s="67" t="str">
        <f>IFERROR(INDEX('A3'!$E$15:$E$10000,MATCH(C49,$A$15:$A$10000,0),1),"")</f>
        <v/>
      </c>
      <c r="S49" s="67" t="str">
        <f>IFERROR(INDEX('A3'!$E$15:$E$10000,MATCH(D49,$A$15:$A$10000,0),1),"")</f>
        <v/>
      </c>
      <c r="T49" s="67">
        <f t="shared" si="7"/>
        <v>186.66</v>
      </c>
      <c r="U49" s="67">
        <f>IFERROR(INDEX('A3'!$D$15:$D$10000,MATCH(A49,'A3'!$A$15:$A$10000,0),1),"")</f>
        <v>186.66</v>
      </c>
      <c r="V49" s="320">
        <f>IF(Q49="",0,(IF(U49-T49&gt;(Parametros!$F$64*(-1)),ROUNDUP(U49-T49+(Parametros!$F$64),2),0)))</f>
        <v>0</v>
      </c>
      <c r="W49" s="67">
        <f>IFERROR(INDEX('A3'!$I$15:$I$10000,MATCH(RedBasica!G49,'A3'!$A$15:$A$10000,0),1),"")</f>
        <v>186.68967962211457</v>
      </c>
      <c r="X49" s="67" t="str">
        <f>IFERROR(INDEX('A3'!$I$15:$I$10000,MATCH(C49,$A$15:$A$10000,0),1),"")</f>
        <v/>
      </c>
      <c r="Y49" s="67" t="str">
        <f>IFERROR(INDEX('A3'!$I$15:$I$10000,MATCH(D49,$A$15:$A$10000,0),1),"")</f>
        <v/>
      </c>
      <c r="Z49" s="67">
        <f t="shared" si="8"/>
        <v>186.68967962211457</v>
      </c>
      <c r="AA49" s="67">
        <f>IFERROR(INDEX('A3'!$H$15:$H$10000,MATCH(A49,'A3'!$A$15:$A$10000,0),1),"")</f>
        <v>186.69883868578935</v>
      </c>
      <c r="AB49" s="320">
        <f t="shared" si="9"/>
        <v>0.01</v>
      </c>
      <c r="AC49" s="67">
        <f>RedBasica!R49</f>
        <v>0</v>
      </c>
      <c r="AD49" s="320">
        <f t="shared" si="10"/>
        <v>1.06</v>
      </c>
      <c r="AE49" s="320"/>
      <c r="AF49" s="320">
        <f t="shared" si="11"/>
        <v>1.8453650000000152</v>
      </c>
      <c r="AG49" s="320" t="str">
        <f t="shared" si="12"/>
        <v>-</v>
      </c>
      <c r="AH49" s="333">
        <f>RedBasica!B49</f>
        <v>0</v>
      </c>
      <c r="AI49" s="333">
        <f>RedBasica!AI49</f>
        <v>150</v>
      </c>
      <c r="AJ49" s="333">
        <f>RedBasica!AJ49</f>
        <v>150</v>
      </c>
      <c r="AK49" s="333">
        <f t="shared" si="13"/>
        <v>150</v>
      </c>
      <c r="AL49" s="339"/>
    </row>
    <row r="50" spans="1:38" customFormat="1" x14ac:dyDescent="0.2">
      <c r="A50" s="86" t="str">
        <f>RedBasica!E50</f>
        <v>MS_A_7-001</v>
      </c>
      <c r="B50" s="86" t="str">
        <f>IF(RedBasica!G50=0,"",RedBasica!G50)</f>
        <v/>
      </c>
      <c r="C50" s="86" t="str">
        <f>IF(RedBasica!H50=0,"",RedBasica!H50)</f>
        <v/>
      </c>
      <c r="D50" s="86" t="str">
        <f>IF(RedBasica!I50=0,"",RedBasica!I50)</f>
        <v/>
      </c>
      <c r="E50" s="88" t="str">
        <f>IF(AND(RedBasica!D50=RedBasica!D49,RedBasica!F50&gt;0),RedBasica!W49,"")</f>
        <v/>
      </c>
      <c r="F50" s="67" t="str">
        <f t="shared" si="1"/>
        <v/>
      </c>
      <c r="G50" s="67" t="str">
        <f t="shared" si="2"/>
        <v/>
      </c>
      <c r="H50" s="67">
        <f t="shared" si="3"/>
        <v>0</v>
      </c>
      <c r="I50" s="67">
        <f>RedBasica!V50</f>
        <v>1.05</v>
      </c>
      <c r="J50" s="67">
        <f>RedBasica!W50</f>
        <v>1.1139249999999947</v>
      </c>
      <c r="K50" s="88" t="str">
        <f>IF(AND(RedBasica!D50=RedBasica!D49,RedBasica!F50&gt;0),RedBasica!U49,"")</f>
        <v/>
      </c>
      <c r="L50" s="67" t="str">
        <f t="shared" si="4"/>
        <v/>
      </c>
      <c r="M50" s="67" t="str">
        <f t="shared" si="5"/>
        <v/>
      </c>
      <c r="N50" s="67">
        <f t="shared" si="6"/>
        <v>0</v>
      </c>
      <c r="O50" s="67">
        <f>RedBasica!T50</f>
        <v>0.9</v>
      </c>
      <c r="P50" s="67">
        <f>RedBasica!U50</f>
        <v>0.9639249999999947</v>
      </c>
      <c r="Q50" s="67" t="str">
        <f>IFERROR(INDEX('A3'!$E$15:$E$10000,MATCH(RedBasica!G50,'A3'!$A$15:$A$10000,0),1),"")</f>
        <v/>
      </c>
      <c r="R50" s="67" t="str">
        <f>IFERROR(INDEX('A3'!$E$15:$E$10000,MATCH(C50,$A$15:$A$10000,0),1),"")</f>
        <v/>
      </c>
      <c r="S50" s="67" t="str">
        <f>IFERROR(INDEX('A3'!$E$15:$E$10000,MATCH(D50,$A$15:$A$10000,0),1),"")</f>
        <v/>
      </c>
      <c r="T50" s="67">
        <f t="shared" si="7"/>
        <v>0</v>
      </c>
      <c r="U50" s="67">
        <f>IFERROR(INDEX('A3'!$D$15:$D$10000,MATCH(A50,'A3'!$A$15:$A$10000,0),1),"")</f>
        <v>180.13</v>
      </c>
      <c r="V50" s="320">
        <f>IF(Q50="",0,(IF(U50-T50&gt;(Parametros!$F$64*(-1)),ROUNDUP(U50-T50+(Parametros!$F$64),2),0)))</f>
        <v>0</v>
      </c>
      <c r="W50" s="67" t="str">
        <f>IFERROR(INDEX('A3'!$I$15:$I$10000,MATCH(RedBasica!G50,'A3'!$A$15:$A$10000,0),1),"")</f>
        <v/>
      </c>
      <c r="X50" s="67" t="str">
        <f>IFERROR(INDEX('A3'!$I$15:$I$10000,MATCH(C50,$A$15:$A$10000,0),1),"")</f>
        <v/>
      </c>
      <c r="Y50" s="67" t="str">
        <f>IFERROR(INDEX('A3'!$I$15:$I$10000,MATCH(D50,$A$15:$A$10000,0),1),"")</f>
        <v/>
      </c>
      <c r="Z50" s="67">
        <f t="shared" si="8"/>
        <v>0</v>
      </c>
      <c r="AA50" s="67">
        <f>IFERROR(INDEX('A3'!$H$15:$H$10000,MATCH(A50,'A3'!$A$15:$A$10000,0),1),"")</f>
        <v>180.16883868578935</v>
      </c>
      <c r="AB50" s="320">
        <f t="shared" si="9"/>
        <v>0</v>
      </c>
      <c r="AC50" s="67">
        <f>RedBasica!R50</f>
        <v>0</v>
      </c>
      <c r="AD50" s="320">
        <f t="shared" si="10"/>
        <v>1.05</v>
      </c>
      <c r="AE50" s="320"/>
      <c r="AF50" s="320">
        <f t="shared" si="11"/>
        <v>1.1139249999999947</v>
      </c>
      <c r="AG50" s="320" t="str">
        <f t="shared" si="12"/>
        <v>-</v>
      </c>
      <c r="AH50" s="333">
        <f>RedBasica!B50</f>
        <v>1</v>
      </c>
      <c r="AI50" s="333">
        <f>RedBasica!AI50</f>
        <v>150</v>
      </c>
      <c r="AJ50" s="333">
        <f>RedBasica!AJ50</f>
        <v>150</v>
      </c>
      <c r="AK50" s="333">
        <f t="shared" si="13"/>
        <v>150</v>
      </c>
      <c r="AL50" s="339"/>
    </row>
    <row r="51" spans="1:38" customFormat="1" x14ac:dyDescent="0.2"/>
    <row r="52" spans="1:38" customFormat="1" x14ac:dyDescent="0.2"/>
    <row r="53" spans="1:38" customFormat="1" x14ac:dyDescent="0.2"/>
    <row r="54" spans="1:38" customFormat="1" x14ac:dyDescent="0.2"/>
    <row r="55" spans="1:38" customFormat="1" x14ac:dyDescent="0.2"/>
    <row r="56" spans="1:38" customFormat="1" x14ac:dyDescent="0.2"/>
    <row r="57" spans="1:38" customFormat="1" x14ac:dyDescent="0.2"/>
    <row r="58" spans="1:38" customFormat="1" x14ac:dyDescent="0.2"/>
    <row r="59" spans="1:38" customFormat="1" x14ac:dyDescent="0.2"/>
    <row r="60" spans="1:38" customFormat="1" x14ac:dyDescent="0.2"/>
    <row r="61" spans="1:38" customFormat="1" x14ac:dyDescent="0.2"/>
    <row r="62" spans="1:38" customFormat="1" x14ac:dyDescent="0.2"/>
    <row r="63" spans="1:38" customFormat="1" x14ac:dyDescent="0.2"/>
    <row r="64" spans="1:38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  <row r="101" customFormat="1" x14ac:dyDescent="0.2"/>
    <row r="102" customFormat="1" x14ac:dyDescent="0.2"/>
    <row r="103" customFormat="1" x14ac:dyDescent="0.2"/>
    <row r="104" customFormat="1" x14ac:dyDescent="0.2"/>
    <row r="105" customFormat="1" x14ac:dyDescent="0.2"/>
    <row r="106" customFormat="1" x14ac:dyDescent="0.2"/>
    <row r="107" customFormat="1" x14ac:dyDescent="0.2"/>
    <row r="108" customFormat="1" x14ac:dyDescent="0.2"/>
    <row r="109" customFormat="1" x14ac:dyDescent="0.2"/>
    <row r="110" customFormat="1" x14ac:dyDescent="0.2"/>
    <row r="111" customFormat="1" x14ac:dyDescent="0.2"/>
    <row r="112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  <row r="119" customFormat="1" x14ac:dyDescent="0.2"/>
    <row r="120" customFormat="1" x14ac:dyDescent="0.2"/>
    <row r="121" customFormat="1" x14ac:dyDescent="0.2"/>
    <row r="122" customFormat="1" x14ac:dyDescent="0.2"/>
    <row r="123" customFormat="1" x14ac:dyDescent="0.2"/>
    <row r="124" customFormat="1" x14ac:dyDescent="0.2"/>
    <row r="125" customFormat="1" x14ac:dyDescent="0.2"/>
    <row r="126" customFormat="1" x14ac:dyDescent="0.2"/>
    <row r="127" customFormat="1" x14ac:dyDescent="0.2"/>
    <row r="128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ht="6" customHeigh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  <row r="2796" customFormat="1" x14ac:dyDescent="0.2"/>
    <row r="2797" customFormat="1" x14ac:dyDescent="0.2"/>
    <row r="2798" customFormat="1" x14ac:dyDescent="0.2"/>
    <row r="2799" customFormat="1" x14ac:dyDescent="0.2"/>
    <row r="2800" customFormat="1" x14ac:dyDescent="0.2"/>
    <row r="2801" customFormat="1" x14ac:dyDescent="0.2"/>
    <row r="2802" customFormat="1" x14ac:dyDescent="0.2"/>
    <row r="2803" customFormat="1" x14ac:dyDescent="0.2"/>
    <row r="2804" customFormat="1" x14ac:dyDescent="0.2"/>
    <row r="2805" customFormat="1" x14ac:dyDescent="0.2"/>
    <row r="2806" customFormat="1" x14ac:dyDescent="0.2"/>
    <row r="2807" customFormat="1" x14ac:dyDescent="0.2"/>
    <row r="2808" customFormat="1" x14ac:dyDescent="0.2"/>
    <row r="2809" customFormat="1" x14ac:dyDescent="0.2"/>
    <row r="2810" customFormat="1" x14ac:dyDescent="0.2"/>
    <row r="2811" customFormat="1" x14ac:dyDescent="0.2"/>
    <row r="2812" customFormat="1" x14ac:dyDescent="0.2"/>
    <row r="2813" customFormat="1" x14ac:dyDescent="0.2"/>
    <row r="2814" customFormat="1" x14ac:dyDescent="0.2"/>
    <row r="2815" customFormat="1" x14ac:dyDescent="0.2"/>
    <row r="2816" customFormat="1" x14ac:dyDescent="0.2"/>
    <row r="2817" customFormat="1" x14ac:dyDescent="0.2"/>
    <row r="2818" customFormat="1" x14ac:dyDescent="0.2"/>
    <row r="2819" customFormat="1" x14ac:dyDescent="0.2"/>
    <row r="2820" customFormat="1" x14ac:dyDescent="0.2"/>
    <row r="2821" customFormat="1" x14ac:dyDescent="0.2"/>
    <row r="2822" customFormat="1" x14ac:dyDescent="0.2"/>
    <row r="2823" customFormat="1" x14ac:dyDescent="0.2"/>
    <row r="2824" customFormat="1" x14ac:dyDescent="0.2"/>
    <row r="2825" customFormat="1" x14ac:dyDescent="0.2"/>
    <row r="2826" customFormat="1" x14ac:dyDescent="0.2"/>
    <row r="2827" customFormat="1" x14ac:dyDescent="0.2"/>
    <row r="2828" customFormat="1" x14ac:dyDescent="0.2"/>
    <row r="2829" customFormat="1" x14ac:dyDescent="0.2"/>
    <row r="2830" customFormat="1" x14ac:dyDescent="0.2"/>
    <row r="2831" customFormat="1" x14ac:dyDescent="0.2"/>
    <row r="2832" customFormat="1" x14ac:dyDescent="0.2"/>
    <row r="2833" customFormat="1" x14ac:dyDescent="0.2"/>
    <row r="2834" customFormat="1" x14ac:dyDescent="0.2"/>
    <row r="2835" customFormat="1" x14ac:dyDescent="0.2"/>
    <row r="2836" customFormat="1" x14ac:dyDescent="0.2"/>
    <row r="2837" customFormat="1" x14ac:dyDescent="0.2"/>
    <row r="2838" customFormat="1" x14ac:dyDescent="0.2"/>
    <row r="2839" customFormat="1" x14ac:dyDescent="0.2"/>
    <row r="2840" customFormat="1" x14ac:dyDescent="0.2"/>
    <row r="2841" customFormat="1" x14ac:dyDescent="0.2"/>
    <row r="2842" customFormat="1" x14ac:dyDescent="0.2"/>
    <row r="2843" customFormat="1" x14ac:dyDescent="0.2"/>
    <row r="2844" customFormat="1" x14ac:dyDescent="0.2"/>
    <row r="2845" customFormat="1" x14ac:dyDescent="0.2"/>
    <row r="2846" customFormat="1" x14ac:dyDescent="0.2"/>
    <row r="2847" customFormat="1" x14ac:dyDescent="0.2"/>
    <row r="2848" customFormat="1" x14ac:dyDescent="0.2"/>
    <row r="2849" customFormat="1" x14ac:dyDescent="0.2"/>
    <row r="2850" customFormat="1" x14ac:dyDescent="0.2"/>
    <row r="2851" customFormat="1" x14ac:dyDescent="0.2"/>
    <row r="2852" customFormat="1" x14ac:dyDescent="0.2"/>
    <row r="2853" customFormat="1" x14ac:dyDescent="0.2"/>
    <row r="2854" customFormat="1" x14ac:dyDescent="0.2"/>
    <row r="2855" customFormat="1" x14ac:dyDescent="0.2"/>
    <row r="2856" customFormat="1" x14ac:dyDescent="0.2"/>
    <row r="2857" customFormat="1" x14ac:dyDescent="0.2"/>
    <row r="2858" customFormat="1" x14ac:dyDescent="0.2"/>
    <row r="2859" customFormat="1" x14ac:dyDescent="0.2"/>
    <row r="2860" customFormat="1" x14ac:dyDescent="0.2"/>
    <row r="2861" customFormat="1" x14ac:dyDescent="0.2"/>
    <row r="2862" customFormat="1" x14ac:dyDescent="0.2"/>
    <row r="2863" customFormat="1" x14ac:dyDescent="0.2"/>
    <row r="2864" customFormat="1" x14ac:dyDescent="0.2"/>
    <row r="2865" customFormat="1" x14ac:dyDescent="0.2"/>
    <row r="2866" customFormat="1" x14ac:dyDescent="0.2"/>
    <row r="2867" customFormat="1" x14ac:dyDescent="0.2"/>
    <row r="2868" customFormat="1" x14ac:dyDescent="0.2"/>
    <row r="2869" customFormat="1" x14ac:dyDescent="0.2"/>
    <row r="2870" customFormat="1" x14ac:dyDescent="0.2"/>
    <row r="2871" customFormat="1" x14ac:dyDescent="0.2"/>
    <row r="2872" customFormat="1" x14ac:dyDescent="0.2"/>
    <row r="2873" customFormat="1" x14ac:dyDescent="0.2"/>
    <row r="2874" customFormat="1" x14ac:dyDescent="0.2"/>
    <row r="2875" customFormat="1" x14ac:dyDescent="0.2"/>
    <row r="2876" customFormat="1" x14ac:dyDescent="0.2"/>
    <row r="2877" customFormat="1" x14ac:dyDescent="0.2"/>
    <row r="2878" customFormat="1" x14ac:dyDescent="0.2"/>
    <row r="2879" customFormat="1" x14ac:dyDescent="0.2"/>
    <row r="2880" customFormat="1" x14ac:dyDescent="0.2"/>
    <row r="2881" customFormat="1" x14ac:dyDescent="0.2"/>
    <row r="2882" customFormat="1" x14ac:dyDescent="0.2"/>
    <row r="2883" customFormat="1" x14ac:dyDescent="0.2"/>
    <row r="2884" customFormat="1" x14ac:dyDescent="0.2"/>
    <row r="2885" customFormat="1" x14ac:dyDescent="0.2"/>
    <row r="2886" customFormat="1" x14ac:dyDescent="0.2"/>
    <row r="2887" customFormat="1" x14ac:dyDescent="0.2"/>
    <row r="2888" customFormat="1" x14ac:dyDescent="0.2"/>
    <row r="2889" customFormat="1" x14ac:dyDescent="0.2"/>
    <row r="2890" customFormat="1" x14ac:dyDescent="0.2"/>
    <row r="2891" customFormat="1" x14ac:dyDescent="0.2"/>
    <row r="2892" customFormat="1" x14ac:dyDescent="0.2"/>
    <row r="2893" customFormat="1" x14ac:dyDescent="0.2"/>
    <row r="2894" customFormat="1" x14ac:dyDescent="0.2"/>
    <row r="2895" customFormat="1" x14ac:dyDescent="0.2"/>
    <row r="2896" customFormat="1" x14ac:dyDescent="0.2"/>
    <row r="2897" customFormat="1" x14ac:dyDescent="0.2"/>
    <row r="2898" customFormat="1" x14ac:dyDescent="0.2"/>
    <row r="2899" customFormat="1" x14ac:dyDescent="0.2"/>
    <row r="2900" customFormat="1" x14ac:dyDescent="0.2"/>
    <row r="2901" customFormat="1" x14ac:dyDescent="0.2"/>
    <row r="2902" customFormat="1" x14ac:dyDescent="0.2"/>
    <row r="2903" customFormat="1" x14ac:dyDescent="0.2"/>
    <row r="2904" customFormat="1" x14ac:dyDescent="0.2"/>
    <row r="2905" customFormat="1" x14ac:dyDescent="0.2"/>
    <row r="2906" customFormat="1" x14ac:dyDescent="0.2"/>
    <row r="2907" customFormat="1" x14ac:dyDescent="0.2"/>
    <row r="2908" customFormat="1" x14ac:dyDescent="0.2"/>
    <row r="2909" customFormat="1" x14ac:dyDescent="0.2"/>
    <row r="2910" customFormat="1" x14ac:dyDescent="0.2"/>
    <row r="2911" customFormat="1" x14ac:dyDescent="0.2"/>
    <row r="2912" customFormat="1" x14ac:dyDescent="0.2"/>
    <row r="2913" customFormat="1" x14ac:dyDescent="0.2"/>
    <row r="2914" customFormat="1" x14ac:dyDescent="0.2"/>
    <row r="2915" customFormat="1" x14ac:dyDescent="0.2"/>
    <row r="2916" customFormat="1" x14ac:dyDescent="0.2"/>
    <row r="2917" customFormat="1" x14ac:dyDescent="0.2"/>
    <row r="2918" customFormat="1" x14ac:dyDescent="0.2"/>
    <row r="2919" customFormat="1" x14ac:dyDescent="0.2"/>
    <row r="2920" customFormat="1" x14ac:dyDescent="0.2"/>
    <row r="2921" customFormat="1" x14ac:dyDescent="0.2"/>
    <row r="2922" customFormat="1" x14ac:dyDescent="0.2"/>
    <row r="2923" customFormat="1" x14ac:dyDescent="0.2"/>
    <row r="2924" customFormat="1" x14ac:dyDescent="0.2"/>
    <row r="2925" customFormat="1" x14ac:dyDescent="0.2"/>
    <row r="2926" customFormat="1" x14ac:dyDescent="0.2"/>
    <row r="2927" customFormat="1" x14ac:dyDescent="0.2"/>
    <row r="2928" customFormat="1" x14ac:dyDescent="0.2"/>
    <row r="2929" customFormat="1" x14ac:dyDescent="0.2"/>
    <row r="2930" customFormat="1" x14ac:dyDescent="0.2"/>
    <row r="2931" customFormat="1" x14ac:dyDescent="0.2"/>
    <row r="2932" customFormat="1" x14ac:dyDescent="0.2"/>
    <row r="2933" customFormat="1" x14ac:dyDescent="0.2"/>
    <row r="2934" customFormat="1" x14ac:dyDescent="0.2"/>
    <row r="2935" customFormat="1" x14ac:dyDescent="0.2"/>
    <row r="2936" customFormat="1" x14ac:dyDescent="0.2"/>
    <row r="2937" customFormat="1" x14ac:dyDescent="0.2"/>
    <row r="2938" customFormat="1" x14ac:dyDescent="0.2"/>
    <row r="2939" customFormat="1" x14ac:dyDescent="0.2"/>
    <row r="2940" customFormat="1" x14ac:dyDescent="0.2"/>
    <row r="2941" customFormat="1" x14ac:dyDescent="0.2"/>
    <row r="2942" customFormat="1" x14ac:dyDescent="0.2"/>
    <row r="2943" customFormat="1" x14ac:dyDescent="0.2"/>
    <row r="2944" customFormat="1" x14ac:dyDescent="0.2"/>
    <row r="2945" customFormat="1" x14ac:dyDescent="0.2"/>
    <row r="2946" customFormat="1" x14ac:dyDescent="0.2"/>
    <row r="2947" customFormat="1" x14ac:dyDescent="0.2"/>
    <row r="2948" customFormat="1" x14ac:dyDescent="0.2"/>
    <row r="2949" customFormat="1" x14ac:dyDescent="0.2"/>
    <row r="2950" customFormat="1" x14ac:dyDescent="0.2"/>
    <row r="2951" customFormat="1" x14ac:dyDescent="0.2"/>
    <row r="2952" customFormat="1" x14ac:dyDescent="0.2"/>
    <row r="2953" customFormat="1" x14ac:dyDescent="0.2"/>
    <row r="2954" customFormat="1" x14ac:dyDescent="0.2"/>
    <row r="2955" customFormat="1" x14ac:dyDescent="0.2"/>
    <row r="2956" customFormat="1" x14ac:dyDescent="0.2"/>
    <row r="2957" customFormat="1" x14ac:dyDescent="0.2"/>
    <row r="2958" customFormat="1" x14ac:dyDescent="0.2"/>
    <row r="2959" customFormat="1" x14ac:dyDescent="0.2"/>
    <row r="2960" customFormat="1" x14ac:dyDescent="0.2"/>
    <row r="2961" customFormat="1" x14ac:dyDescent="0.2"/>
    <row r="2962" customFormat="1" x14ac:dyDescent="0.2"/>
    <row r="2963" customFormat="1" x14ac:dyDescent="0.2"/>
    <row r="2964" customFormat="1" x14ac:dyDescent="0.2"/>
    <row r="2965" customFormat="1" x14ac:dyDescent="0.2"/>
    <row r="2966" customFormat="1" x14ac:dyDescent="0.2"/>
    <row r="2967" customFormat="1" x14ac:dyDescent="0.2"/>
    <row r="2968" customFormat="1" x14ac:dyDescent="0.2"/>
    <row r="2969" customFormat="1" x14ac:dyDescent="0.2"/>
    <row r="2970" customFormat="1" x14ac:dyDescent="0.2"/>
    <row r="2971" customFormat="1" x14ac:dyDescent="0.2"/>
    <row r="2972" customFormat="1" x14ac:dyDescent="0.2"/>
    <row r="2973" customFormat="1" x14ac:dyDescent="0.2"/>
    <row r="2974" customFormat="1" x14ac:dyDescent="0.2"/>
    <row r="2975" customFormat="1" x14ac:dyDescent="0.2"/>
    <row r="2976" customFormat="1" x14ac:dyDescent="0.2"/>
    <row r="2977" customFormat="1" x14ac:dyDescent="0.2"/>
    <row r="2978" customFormat="1" x14ac:dyDescent="0.2"/>
    <row r="2979" customFormat="1" x14ac:dyDescent="0.2"/>
    <row r="2980" customFormat="1" x14ac:dyDescent="0.2"/>
    <row r="2981" customFormat="1" x14ac:dyDescent="0.2"/>
    <row r="2982" customFormat="1" x14ac:dyDescent="0.2"/>
    <row r="2983" customFormat="1" x14ac:dyDescent="0.2"/>
    <row r="2984" customFormat="1" x14ac:dyDescent="0.2"/>
    <row r="2985" customFormat="1" x14ac:dyDescent="0.2"/>
    <row r="2986" customFormat="1" x14ac:dyDescent="0.2"/>
    <row r="2987" customFormat="1" x14ac:dyDescent="0.2"/>
    <row r="2988" customFormat="1" x14ac:dyDescent="0.2"/>
    <row r="2989" customFormat="1" x14ac:dyDescent="0.2"/>
    <row r="2990" customFormat="1" x14ac:dyDescent="0.2"/>
    <row r="2991" customFormat="1" x14ac:dyDescent="0.2"/>
    <row r="2992" customFormat="1" x14ac:dyDescent="0.2"/>
    <row r="2993" customFormat="1" x14ac:dyDescent="0.2"/>
    <row r="2994" customFormat="1" x14ac:dyDescent="0.2"/>
    <row r="2995" customFormat="1" x14ac:dyDescent="0.2"/>
    <row r="2996" customFormat="1" x14ac:dyDescent="0.2"/>
    <row r="2997" customFormat="1" x14ac:dyDescent="0.2"/>
    <row r="2998" customFormat="1" x14ac:dyDescent="0.2"/>
    <row r="2999" customFormat="1" x14ac:dyDescent="0.2"/>
    <row r="3000" customFormat="1" x14ac:dyDescent="0.2"/>
    <row r="3001" customFormat="1" x14ac:dyDescent="0.2"/>
    <row r="3002" customFormat="1" x14ac:dyDescent="0.2"/>
    <row r="3003" customFormat="1" x14ac:dyDescent="0.2"/>
    <row r="3004" customFormat="1" x14ac:dyDescent="0.2"/>
    <row r="3005" customFormat="1" x14ac:dyDescent="0.2"/>
    <row r="3006" customFormat="1" x14ac:dyDescent="0.2"/>
    <row r="3007" customFormat="1" x14ac:dyDescent="0.2"/>
    <row r="3008" customFormat="1" x14ac:dyDescent="0.2"/>
    <row r="3009" customFormat="1" x14ac:dyDescent="0.2"/>
    <row r="3010" customFormat="1" x14ac:dyDescent="0.2"/>
    <row r="3011" customFormat="1" x14ac:dyDescent="0.2"/>
    <row r="3012" customFormat="1" x14ac:dyDescent="0.2"/>
    <row r="3013" customFormat="1" x14ac:dyDescent="0.2"/>
    <row r="3014" customFormat="1" x14ac:dyDescent="0.2"/>
    <row r="3015" customFormat="1" x14ac:dyDescent="0.2"/>
    <row r="3016" customFormat="1" x14ac:dyDescent="0.2"/>
    <row r="3017" customFormat="1" x14ac:dyDescent="0.2"/>
    <row r="3018" customFormat="1" x14ac:dyDescent="0.2"/>
    <row r="3019" customFormat="1" x14ac:dyDescent="0.2"/>
    <row r="3020" customFormat="1" x14ac:dyDescent="0.2"/>
    <row r="3021" customFormat="1" x14ac:dyDescent="0.2"/>
    <row r="3022" customFormat="1" x14ac:dyDescent="0.2"/>
    <row r="3023" customFormat="1" x14ac:dyDescent="0.2"/>
    <row r="3024" customFormat="1" x14ac:dyDescent="0.2"/>
    <row r="3025" customFormat="1" x14ac:dyDescent="0.2"/>
    <row r="3026" customFormat="1" x14ac:dyDescent="0.2"/>
    <row r="3027" customFormat="1" x14ac:dyDescent="0.2"/>
    <row r="3028" customFormat="1" x14ac:dyDescent="0.2"/>
    <row r="3029" customFormat="1" x14ac:dyDescent="0.2"/>
    <row r="3030" customFormat="1" x14ac:dyDescent="0.2"/>
    <row r="3031" customFormat="1" x14ac:dyDescent="0.2"/>
    <row r="3032" customFormat="1" x14ac:dyDescent="0.2"/>
    <row r="3033" customFormat="1" x14ac:dyDescent="0.2"/>
    <row r="3034" customFormat="1" x14ac:dyDescent="0.2"/>
    <row r="3035" customFormat="1" x14ac:dyDescent="0.2"/>
    <row r="3036" customFormat="1" x14ac:dyDescent="0.2"/>
    <row r="3037" customFormat="1" x14ac:dyDescent="0.2"/>
    <row r="3038" customFormat="1" x14ac:dyDescent="0.2"/>
    <row r="3039" customFormat="1" x14ac:dyDescent="0.2"/>
    <row r="3040" customFormat="1" x14ac:dyDescent="0.2"/>
    <row r="3041" customFormat="1" x14ac:dyDescent="0.2"/>
    <row r="3042" customFormat="1" x14ac:dyDescent="0.2"/>
    <row r="3043" customFormat="1" x14ac:dyDescent="0.2"/>
    <row r="3044" customFormat="1" x14ac:dyDescent="0.2"/>
    <row r="3045" customFormat="1" x14ac:dyDescent="0.2"/>
    <row r="3046" customFormat="1" x14ac:dyDescent="0.2"/>
    <row r="3047" customFormat="1" x14ac:dyDescent="0.2"/>
    <row r="3048" customFormat="1" x14ac:dyDescent="0.2"/>
    <row r="3049" customFormat="1" x14ac:dyDescent="0.2"/>
    <row r="3050" customFormat="1" x14ac:dyDescent="0.2"/>
    <row r="3051" customFormat="1" x14ac:dyDescent="0.2"/>
    <row r="3052" customFormat="1" x14ac:dyDescent="0.2"/>
    <row r="3053" customFormat="1" x14ac:dyDescent="0.2"/>
    <row r="3054" customFormat="1" x14ac:dyDescent="0.2"/>
    <row r="3055" customFormat="1" x14ac:dyDescent="0.2"/>
    <row r="3056" customFormat="1" x14ac:dyDescent="0.2"/>
    <row r="3057" customFormat="1" x14ac:dyDescent="0.2"/>
    <row r="3058" customFormat="1" x14ac:dyDescent="0.2"/>
    <row r="3059" customFormat="1" x14ac:dyDescent="0.2"/>
    <row r="3060" customFormat="1" x14ac:dyDescent="0.2"/>
    <row r="3061" customFormat="1" x14ac:dyDescent="0.2"/>
    <row r="3062" customFormat="1" x14ac:dyDescent="0.2"/>
    <row r="3063" customFormat="1" x14ac:dyDescent="0.2"/>
    <row r="3064" customFormat="1" x14ac:dyDescent="0.2"/>
    <row r="3065" customFormat="1" x14ac:dyDescent="0.2"/>
    <row r="3066" customFormat="1" x14ac:dyDescent="0.2"/>
    <row r="3067" customFormat="1" x14ac:dyDescent="0.2"/>
    <row r="3068" customFormat="1" x14ac:dyDescent="0.2"/>
    <row r="3069" customFormat="1" x14ac:dyDescent="0.2"/>
    <row r="3070" customFormat="1" x14ac:dyDescent="0.2"/>
    <row r="3071" customFormat="1" x14ac:dyDescent="0.2"/>
    <row r="3072" customFormat="1" x14ac:dyDescent="0.2"/>
    <row r="3073" customFormat="1" x14ac:dyDescent="0.2"/>
    <row r="3074" customFormat="1" x14ac:dyDescent="0.2"/>
    <row r="3075" customFormat="1" x14ac:dyDescent="0.2"/>
    <row r="3076" customFormat="1" x14ac:dyDescent="0.2"/>
    <row r="3077" customFormat="1" x14ac:dyDescent="0.2"/>
    <row r="3078" customFormat="1" x14ac:dyDescent="0.2"/>
    <row r="3079" customFormat="1" x14ac:dyDescent="0.2"/>
    <row r="3080" customFormat="1" x14ac:dyDescent="0.2"/>
    <row r="3081" customFormat="1" x14ac:dyDescent="0.2"/>
    <row r="3082" customFormat="1" x14ac:dyDescent="0.2"/>
    <row r="3083" customFormat="1" x14ac:dyDescent="0.2"/>
    <row r="3084" customFormat="1" x14ac:dyDescent="0.2"/>
    <row r="3085" customFormat="1" x14ac:dyDescent="0.2"/>
    <row r="3086" customFormat="1" x14ac:dyDescent="0.2"/>
    <row r="3087" customFormat="1" x14ac:dyDescent="0.2"/>
    <row r="3088" customFormat="1" x14ac:dyDescent="0.2"/>
    <row r="3089" customFormat="1" x14ac:dyDescent="0.2"/>
    <row r="3090" customFormat="1" x14ac:dyDescent="0.2"/>
    <row r="3091" customFormat="1" x14ac:dyDescent="0.2"/>
    <row r="3092" customFormat="1" x14ac:dyDescent="0.2"/>
    <row r="3093" customFormat="1" x14ac:dyDescent="0.2"/>
    <row r="3094" customFormat="1" x14ac:dyDescent="0.2"/>
    <row r="3095" customFormat="1" x14ac:dyDescent="0.2"/>
    <row r="3096" customFormat="1" x14ac:dyDescent="0.2"/>
    <row r="3097" customFormat="1" x14ac:dyDescent="0.2"/>
    <row r="3098" customFormat="1" x14ac:dyDescent="0.2"/>
    <row r="3099" customFormat="1" x14ac:dyDescent="0.2"/>
    <row r="3100" customFormat="1" x14ac:dyDescent="0.2"/>
    <row r="3101" customFormat="1" x14ac:dyDescent="0.2"/>
    <row r="3102" customFormat="1" x14ac:dyDescent="0.2"/>
    <row r="3103" customFormat="1" x14ac:dyDescent="0.2"/>
    <row r="3104" customFormat="1" x14ac:dyDescent="0.2"/>
    <row r="3105" customFormat="1" x14ac:dyDescent="0.2"/>
    <row r="3106" customFormat="1" x14ac:dyDescent="0.2"/>
    <row r="3107" customFormat="1" x14ac:dyDescent="0.2"/>
    <row r="3108" customFormat="1" x14ac:dyDescent="0.2"/>
    <row r="3109" customFormat="1" x14ac:dyDescent="0.2"/>
    <row r="3110" customFormat="1" x14ac:dyDescent="0.2"/>
    <row r="3111" customFormat="1" x14ac:dyDescent="0.2"/>
    <row r="3112" customFormat="1" x14ac:dyDescent="0.2"/>
    <row r="3113" customFormat="1" x14ac:dyDescent="0.2"/>
    <row r="3114" customFormat="1" x14ac:dyDescent="0.2"/>
    <row r="3115" customFormat="1" x14ac:dyDescent="0.2"/>
    <row r="3116" customFormat="1" x14ac:dyDescent="0.2"/>
    <row r="3117" customFormat="1" x14ac:dyDescent="0.2"/>
    <row r="3118" customFormat="1" x14ac:dyDescent="0.2"/>
    <row r="3119" customFormat="1" x14ac:dyDescent="0.2"/>
    <row r="3120" customFormat="1" x14ac:dyDescent="0.2"/>
    <row r="3121" customFormat="1" x14ac:dyDescent="0.2"/>
    <row r="3122" customFormat="1" x14ac:dyDescent="0.2"/>
    <row r="3123" customFormat="1" x14ac:dyDescent="0.2"/>
    <row r="3124" customFormat="1" x14ac:dyDescent="0.2"/>
    <row r="3125" customFormat="1" x14ac:dyDescent="0.2"/>
    <row r="3126" customFormat="1" x14ac:dyDescent="0.2"/>
    <row r="3127" customFormat="1" x14ac:dyDescent="0.2"/>
    <row r="3128" customFormat="1" x14ac:dyDescent="0.2"/>
    <row r="3129" customFormat="1" x14ac:dyDescent="0.2"/>
    <row r="3130" customFormat="1" x14ac:dyDescent="0.2"/>
    <row r="3131" customFormat="1" x14ac:dyDescent="0.2"/>
    <row r="3132" customFormat="1" x14ac:dyDescent="0.2"/>
    <row r="3133" customFormat="1" x14ac:dyDescent="0.2"/>
    <row r="3134" customFormat="1" x14ac:dyDescent="0.2"/>
    <row r="3135" customFormat="1" x14ac:dyDescent="0.2"/>
    <row r="3136" customFormat="1" x14ac:dyDescent="0.2"/>
    <row r="3137" customFormat="1" x14ac:dyDescent="0.2"/>
    <row r="3138" customFormat="1" x14ac:dyDescent="0.2"/>
    <row r="3139" customFormat="1" x14ac:dyDescent="0.2"/>
    <row r="3140" customFormat="1" x14ac:dyDescent="0.2"/>
    <row r="3141" customFormat="1" x14ac:dyDescent="0.2"/>
    <row r="3142" customFormat="1" x14ac:dyDescent="0.2"/>
    <row r="3143" customFormat="1" x14ac:dyDescent="0.2"/>
    <row r="3144" customFormat="1" x14ac:dyDescent="0.2"/>
    <row r="3145" customFormat="1" x14ac:dyDescent="0.2"/>
    <row r="3146" customFormat="1" x14ac:dyDescent="0.2"/>
    <row r="3147" customFormat="1" x14ac:dyDescent="0.2"/>
    <row r="3148" customFormat="1" x14ac:dyDescent="0.2"/>
    <row r="3149" customFormat="1" x14ac:dyDescent="0.2"/>
    <row r="3150" customFormat="1" x14ac:dyDescent="0.2"/>
    <row r="3151" customFormat="1" x14ac:dyDescent="0.2"/>
    <row r="3152" customFormat="1" x14ac:dyDescent="0.2"/>
    <row r="3153" customFormat="1" x14ac:dyDescent="0.2"/>
    <row r="3154" customFormat="1" x14ac:dyDescent="0.2"/>
    <row r="3155" customFormat="1" x14ac:dyDescent="0.2"/>
    <row r="3156" customFormat="1" x14ac:dyDescent="0.2"/>
    <row r="3157" customFormat="1" x14ac:dyDescent="0.2"/>
    <row r="3158" customFormat="1" x14ac:dyDescent="0.2"/>
    <row r="3159" customFormat="1" x14ac:dyDescent="0.2"/>
    <row r="3160" customFormat="1" x14ac:dyDescent="0.2"/>
    <row r="3161" customFormat="1" x14ac:dyDescent="0.2"/>
    <row r="3162" customFormat="1" x14ac:dyDescent="0.2"/>
    <row r="3163" customFormat="1" x14ac:dyDescent="0.2"/>
    <row r="3164" customFormat="1" x14ac:dyDescent="0.2"/>
    <row r="3165" customFormat="1" x14ac:dyDescent="0.2"/>
    <row r="3166" customFormat="1" x14ac:dyDescent="0.2"/>
    <row r="3167" customFormat="1" x14ac:dyDescent="0.2"/>
    <row r="3168" customFormat="1" x14ac:dyDescent="0.2"/>
    <row r="3169" customFormat="1" x14ac:dyDescent="0.2"/>
    <row r="3170" customFormat="1" x14ac:dyDescent="0.2"/>
    <row r="3171" customFormat="1" x14ac:dyDescent="0.2"/>
    <row r="3172" customFormat="1" x14ac:dyDescent="0.2"/>
    <row r="3173" customFormat="1" x14ac:dyDescent="0.2"/>
    <row r="3174" customFormat="1" x14ac:dyDescent="0.2"/>
    <row r="3175" customFormat="1" x14ac:dyDescent="0.2"/>
    <row r="3176" customFormat="1" x14ac:dyDescent="0.2"/>
    <row r="3177" customFormat="1" x14ac:dyDescent="0.2"/>
    <row r="3178" customFormat="1" x14ac:dyDescent="0.2"/>
    <row r="3179" customFormat="1" x14ac:dyDescent="0.2"/>
    <row r="3180" customFormat="1" x14ac:dyDescent="0.2"/>
    <row r="3181" customFormat="1" x14ac:dyDescent="0.2"/>
    <row r="3182" customFormat="1" x14ac:dyDescent="0.2"/>
    <row r="3183" customFormat="1" x14ac:dyDescent="0.2"/>
    <row r="3184" customFormat="1" x14ac:dyDescent="0.2"/>
    <row r="3185" customFormat="1" x14ac:dyDescent="0.2"/>
    <row r="3186" customFormat="1" x14ac:dyDescent="0.2"/>
    <row r="3187" customFormat="1" x14ac:dyDescent="0.2"/>
    <row r="3188" customFormat="1" x14ac:dyDescent="0.2"/>
    <row r="3189" customFormat="1" x14ac:dyDescent="0.2"/>
    <row r="3190" customFormat="1" x14ac:dyDescent="0.2"/>
    <row r="3191" customFormat="1" x14ac:dyDescent="0.2"/>
    <row r="3192" customFormat="1" x14ac:dyDescent="0.2"/>
    <row r="3193" customFormat="1" x14ac:dyDescent="0.2"/>
    <row r="3194" customFormat="1" x14ac:dyDescent="0.2"/>
    <row r="3195" customFormat="1" x14ac:dyDescent="0.2"/>
    <row r="3196" customFormat="1" x14ac:dyDescent="0.2"/>
    <row r="3197" customFormat="1" x14ac:dyDescent="0.2"/>
    <row r="3198" customFormat="1" x14ac:dyDescent="0.2"/>
    <row r="3199" customFormat="1" x14ac:dyDescent="0.2"/>
    <row r="3200" customFormat="1" x14ac:dyDescent="0.2"/>
    <row r="3201" customFormat="1" x14ac:dyDescent="0.2"/>
    <row r="3202" customFormat="1" x14ac:dyDescent="0.2"/>
    <row r="3203" customFormat="1" x14ac:dyDescent="0.2"/>
    <row r="3204" customFormat="1" x14ac:dyDescent="0.2"/>
    <row r="3205" customFormat="1" x14ac:dyDescent="0.2"/>
    <row r="3206" customFormat="1" x14ac:dyDescent="0.2"/>
    <row r="3207" customFormat="1" x14ac:dyDescent="0.2"/>
    <row r="3208" customFormat="1" x14ac:dyDescent="0.2"/>
    <row r="3209" customFormat="1" x14ac:dyDescent="0.2"/>
    <row r="3210" customFormat="1" x14ac:dyDescent="0.2"/>
    <row r="3211" customFormat="1" x14ac:dyDescent="0.2"/>
    <row r="3212" customFormat="1" x14ac:dyDescent="0.2"/>
    <row r="3213" customFormat="1" x14ac:dyDescent="0.2"/>
    <row r="3214" customFormat="1" x14ac:dyDescent="0.2"/>
    <row r="3215" customFormat="1" x14ac:dyDescent="0.2"/>
    <row r="3216" customFormat="1" x14ac:dyDescent="0.2"/>
    <row r="3217" customFormat="1" x14ac:dyDescent="0.2"/>
    <row r="3218" customFormat="1" x14ac:dyDescent="0.2"/>
    <row r="3219" customFormat="1" x14ac:dyDescent="0.2"/>
    <row r="3220" customFormat="1" x14ac:dyDescent="0.2"/>
    <row r="3221" customFormat="1" x14ac:dyDescent="0.2"/>
    <row r="3222" customFormat="1" x14ac:dyDescent="0.2"/>
    <row r="3223" customFormat="1" x14ac:dyDescent="0.2"/>
    <row r="3224" customFormat="1" x14ac:dyDescent="0.2"/>
    <row r="3225" customFormat="1" x14ac:dyDescent="0.2"/>
    <row r="3226" customFormat="1" x14ac:dyDescent="0.2"/>
    <row r="3227" customFormat="1" x14ac:dyDescent="0.2"/>
    <row r="3228" customFormat="1" x14ac:dyDescent="0.2"/>
    <row r="3229" customFormat="1" x14ac:dyDescent="0.2"/>
    <row r="3230" customFormat="1" x14ac:dyDescent="0.2"/>
    <row r="3231" customFormat="1" x14ac:dyDescent="0.2"/>
    <row r="3232" customFormat="1" x14ac:dyDescent="0.2"/>
    <row r="3233" customFormat="1" x14ac:dyDescent="0.2"/>
    <row r="3234" customFormat="1" x14ac:dyDescent="0.2"/>
    <row r="3235" customFormat="1" x14ac:dyDescent="0.2"/>
    <row r="3236" customFormat="1" x14ac:dyDescent="0.2"/>
    <row r="3237" customFormat="1" x14ac:dyDescent="0.2"/>
    <row r="3238" customFormat="1" x14ac:dyDescent="0.2"/>
    <row r="3239" customFormat="1" x14ac:dyDescent="0.2"/>
    <row r="3240" customFormat="1" x14ac:dyDescent="0.2"/>
    <row r="3241" customFormat="1" x14ac:dyDescent="0.2"/>
    <row r="3242" customFormat="1" x14ac:dyDescent="0.2"/>
    <row r="3243" customFormat="1" x14ac:dyDescent="0.2"/>
    <row r="3244" customFormat="1" x14ac:dyDescent="0.2"/>
    <row r="3245" customFormat="1" x14ac:dyDescent="0.2"/>
    <row r="3246" customFormat="1" x14ac:dyDescent="0.2"/>
    <row r="3247" customFormat="1" x14ac:dyDescent="0.2"/>
    <row r="3248" customFormat="1" x14ac:dyDescent="0.2"/>
    <row r="3249" customFormat="1" x14ac:dyDescent="0.2"/>
    <row r="3250" customFormat="1" x14ac:dyDescent="0.2"/>
    <row r="3251" customFormat="1" x14ac:dyDescent="0.2"/>
    <row r="3252" customFormat="1" x14ac:dyDescent="0.2"/>
    <row r="3253" customFormat="1" x14ac:dyDescent="0.2"/>
    <row r="3254" customFormat="1" x14ac:dyDescent="0.2"/>
    <row r="3255" customFormat="1" x14ac:dyDescent="0.2"/>
    <row r="3256" customFormat="1" x14ac:dyDescent="0.2"/>
    <row r="3257" customFormat="1" x14ac:dyDescent="0.2"/>
    <row r="3258" customFormat="1" x14ac:dyDescent="0.2"/>
    <row r="3259" customFormat="1" x14ac:dyDescent="0.2"/>
    <row r="3260" customFormat="1" x14ac:dyDescent="0.2"/>
    <row r="3261" customFormat="1" x14ac:dyDescent="0.2"/>
    <row r="3262" customFormat="1" x14ac:dyDescent="0.2"/>
    <row r="3263" customFormat="1" x14ac:dyDescent="0.2"/>
    <row r="3264" customFormat="1" x14ac:dyDescent="0.2"/>
    <row r="3265" customFormat="1" x14ac:dyDescent="0.2"/>
    <row r="3266" customFormat="1" x14ac:dyDescent="0.2"/>
    <row r="3267" customFormat="1" x14ac:dyDescent="0.2"/>
    <row r="3268" customFormat="1" x14ac:dyDescent="0.2"/>
    <row r="3269" customFormat="1" x14ac:dyDescent="0.2"/>
    <row r="3270" customFormat="1" x14ac:dyDescent="0.2"/>
    <row r="3271" customFormat="1" x14ac:dyDescent="0.2"/>
    <row r="3272" customFormat="1" x14ac:dyDescent="0.2"/>
    <row r="3273" customFormat="1" x14ac:dyDescent="0.2"/>
    <row r="3274" customFormat="1" x14ac:dyDescent="0.2"/>
    <row r="3275" customFormat="1" x14ac:dyDescent="0.2"/>
    <row r="3276" customFormat="1" x14ac:dyDescent="0.2"/>
    <row r="3277" customFormat="1" x14ac:dyDescent="0.2"/>
    <row r="3278" customFormat="1" x14ac:dyDescent="0.2"/>
    <row r="3279" customFormat="1" x14ac:dyDescent="0.2"/>
    <row r="3280" customFormat="1" x14ac:dyDescent="0.2"/>
    <row r="3281" customFormat="1" x14ac:dyDescent="0.2"/>
    <row r="3282" customFormat="1" x14ac:dyDescent="0.2"/>
    <row r="3283" customFormat="1" x14ac:dyDescent="0.2"/>
    <row r="3284" customFormat="1" x14ac:dyDescent="0.2"/>
    <row r="3285" customFormat="1" x14ac:dyDescent="0.2"/>
    <row r="3286" customFormat="1" x14ac:dyDescent="0.2"/>
    <row r="3287" customFormat="1" x14ac:dyDescent="0.2"/>
    <row r="3288" customFormat="1" x14ac:dyDescent="0.2"/>
    <row r="3289" customFormat="1" x14ac:dyDescent="0.2"/>
    <row r="3290" customFormat="1" x14ac:dyDescent="0.2"/>
    <row r="3291" customFormat="1" x14ac:dyDescent="0.2"/>
    <row r="3292" customFormat="1" x14ac:dyDescent="0.2"/>
    <row r="3293" customFormat="1" x14ac:dyDescent="0.2"/>
    <row r="3294" customFormat="1" x14ac:dyDescent="0.2"/>
    <row r="3295" customFormat="1" x14ac:dyDescent="0.2"/>
    <row r="3296" customFormat="1" x14ac:dyDescent="0.2"/>
    <row r="3297" customFormat="1" x14ac:dyDescent="0.2"/>
    <row r="3298" customFormat="1" x14ac:dyDescent="0.2"/>
    <row r="3299" customFormat="1" x14ac:dyDescent="0.2"/>
    <row r="3300" customFormat="1" x14ac:dyDescent="0.2"/>
    <row r="3301" customFormat="1" x14ac:dyDescent="0.2"/>
    <row r="3302" customFormat="1" x14ac:dyDescent="0.2"/>
    <row r="3303" customFormat="1" x14ac:dyDescent="0.2"/>
    <row r="3304" customFormat="1" x14ac:dyDescent="0.2"/>
    <row r="3305" customFormat="1" x14ac:dyDescent="0.2"/>
    <row r="3306" customFormat="1" x14ac:dyDescent="0.2"/>
    <row r="3307" customFormat="1" x14ac:dyDescent="0.2"/>
    <row r="3308" customFormat="1" x14ac:dyDescent="0.2"/>
    <row r="3309" customFormat="1" x14ac:dyDescent="0.2"/>
    <row r="3310" customFormat="1" x14ac:dyDescent="0.2"/>
    <row r="3311" customFormat="1" x14ac:dyDescent="0.2"/>
    <row r="3312" customFormat="1" x14ac:dyDescent="0.2"/>
    <row r="3313" customFormat="1" x14ac:dyDescent="0.2"/>
    <row r="3314" customFormat="1" x14ac:dyDescent="0.2"/>
    <row r="3315" customFormat="1" x14ac:dyDescent="0.2"/>
    <row r="3316" customFormat="1" x14ac:dyDescent="0.2"/>
    <row r="3317" customFormat="1" x14ac:dyDescent="0.2"/>
    <row r="3318" customFormat="1" x14ac:dyDescent="0.2"/>
    <row r="3319" customFormat="1" x14ac:dyDescent="0.2"/>
    <row r="3320" customFormat="1" x14ac:dyDescent="0.2"/>
    <row r="3321" customFormat="1" x14ac:dyDescent="0.2"/>
    <row r="3322" customFormat="1" x14ac:dyDescent="0.2"/>
    <row r="3323" customFormat="1" x14ac:dyDescent="0.2"/>
    <row r="3324" customFormat="1" x14ac:dyDescent="0.2"/>
    <row r="3325" customFormat="1" x14ac:dyDescent="0.2"/>
    <row r="3326" customFormat="1" x14ac:dyDescent="0.2"/>
    <row r="3327" customFormat="1" x14ac:dyDescent="0.2"/>
    <row r="3328" customFormat="1" x14ac:dyDescent="0.2"/>
    <row r="3329" customFormat="1" x14ac:dyDescent="0.2"/>
    <row r="3330" customFormat="1" x14ac:dyDescent="0.2"/>
    <row r="3331" customFormat="1" x14ac:dyDescent="0.2"/>
    <row r="3332" customFormat="1" x14ac:dyDescent="0.2"/>
    <row r="3333" customFormat="1" x14ac:dyDescent="0.2"/>
    <row r="3334" customFormat="1" x14ac:dyDescent="0.2"/>
    <row r="3335" customFormat="1" x14ac:dyDescent="0.2"/>
    <row r="3336" customFormat="1" x14ac:dyDescent="0.2"/>
    <row r="3337" customFormat="1" x14ac:dyDescent="0.2"/>
    <row r="3338" customFormat="1" x14ac:dyDescent="0.2"/>
    <row r="3339" customFormat="1" x14ac:dyDescent="0.2"/>
    <row r="3340" customFormat="1" x14ac:dyDescent="0.2"/>
    <row r="3341" customFormat="1" x14ac:dyDescent="0.2"/>
    <row r="3342" customFormat="1" x14ac:dyDescent="0.2"/>
    <row r="3343" customFormat="1" x14ac:dyDescent="0.2"/>
    <row r="3344" customFormat="1" x14ac:dyDescent="0.2"/>
    <row r="3345" customFormat="1" x14ac:dyDescent="0.2"/>
    <row r="3346" customFormat="1" x14ac:dyDescent="0.2"/>
    <row r="3347" customFormat="1" x14ac:dyDescent="0.2"/>
    <row r="3348" customFormat="1" x14ac:dyDescent="0.2"/>
    <row r="3349" customFormat="1" x14ac:dyDescent="0.2"/>
    <row r="3350" customFormat="1" x14ac:dyDescent="0.2"/>
    <row r="3351" customFormat="1" x14ac:dyDescent="0.2"/>
    <row r="3352" customFormat="1" x14ac:dyDescent="0.2"/>
    <row r="3353" customFormat="1" x14ac:dyDescent="0.2"/>
    <row r="3354" customFormat="1" x14ac:dyDescent="0.2"/>
    <row r="3355" customFormat="1" x14ac:dyDescent="0.2"/>
    <row r="3356" customFormat="1" x14ac:dyDescent="0.2"/>
    <row r="3357" customFormat="1" x14ac:dyDescent="0.2"/>
    <row r="3358" customFormat="1" x14ac:dyDescent="0.2"/>
    <row r="3359" customFormat="1" x14ac:dyDescent="0.2"/>
    <row r="3360" customFormat="1" x14ac:dyDescent="0.2"/>
    <row r="3361" customFormat="1" x14ac:dyDescent="0.2"/>
    <row r="3362" customFormat="1" x14ac:dyDescent="0.2"/>
    <row r="3363" customFormat="1" x14ac:dyDescent="0.2"/>
    <row r="3364" customFormat="1" x14ac:dyDescent="0.2"/>
    <row r="3365" customFormat="1" x14ac:dyDescent="0.2"/>
    <row r="3366" customFormat="1" x14ac:dyDescent="0.2"/>
    <row r="3367" customFormat="1" x14ac:dyDescent="0.2"/>
    <row r="3368" customFormat="1" x14ac:dyDescent="0.2"/>
    <row r="3369" customFormat="1" x14ac:dyDescent="0.2"/>
    <row r="3370" customFormat="1" x14ac:dyDescent="0.2"/>
    <row r="3371" customFormat="1" x14ac:dyDescent="0.2"/>
    <row r="3372" customFormat="1" x14ac:dyDescent="0.2"/>
    <row r="3373" customFormat="1" x14ac:dyDescent="0.2"/>
    <row r="3374" customFormat="1" x14ac:dyDescent="0.2"/>
    <row r="3375" customFormat="1" x14ac:dyDescent="0.2"/>
    <row r="3376" customFormat="1" x14ac:dyDescent="0.2"/>
    <row r="3377" customFormat="1" x14ac:dyDescent="0.2"/>
    <row r="3378" customFormat="1" x14ac:dyDescent="0.2"/>
    <row r="3379" customFormat="1" x14ac:dyDescent="0.2"/>
    <row r="3380" customFormat="1" x14ac:dyDescent="0.2"/>
    <row r="3381" customFormat="1" x14ac:dyDescent="0.2"/>
    <row r="3382" customFormat="1" x14ac:dyDescent="0.2"/>
    <row r="3383" customFormat="1" x14ac:dyDescent="0.2"/>
    <row r="3384" customFormat="1" x14ac:dyDescent="0.2"/>
    <row r="3385" customFormat="1" x14ac:dyDescent="0.2"/>
    <row r="3386" customFormat="1" x14ac:dyDescent="0.2"/>
    <row r="3387" customFormat="1" x14ac:dyDescent="0.2"/>
    <row r="3388" customFormat="1" x14ac:dyDescent="0.2"/>
    <row r="3389" customFormat="1" x14ac:dyDescent="0.2"/>
    <row r="3390" customFormat="1" x14ac:dyDescent="0.2"/>
    <row r="3391" customFormat="1" x14ac:dyDescent="0.2"/>
    <row r="3392" customFormat="1" x14ac:dyDescent="0.2"/>
    <row r="3393" customFormat="1" x14ac:dyDescent="0.2"/>
    <row r="3394" customFormat="1" x14ac:dyDescent="0.2"/>
    <row r="3395" customFormat="1" x14ac:dyDescent="0.2"/>
    <row r="3396" customFormat="1" x14ac:dyDescent="0.2"/>
    <row r="3397" customFormat="1" x14ac:dyDescent="0.2"/>
    <row r="3398" customFormat="1" x14ac:dyDescent="0.2"/>
    <row r="3399" customFormat="1" x14ac:dyDescent="0.2"/>
    <row r="3400" customFormat="1" x14ac:dyDescent="0.2"/>
    <row r="3401" customFormat="1" x14ac:dyDescent="0.2"/>
    <row r="3402" customFormat="1" x14ac:dyDescent="0.2"/>
    <row r="3403" customFormat="1" x14ac:dyDescent="0.2"/>
    <row r="3404" customFormat="1" x14ac:dyDescent="0.2"/>
    <row r="3405" customFormat="1" x14ac:dyDescent="0.2"/>
    <row r="3406" customFormat="1" x14ac:dyDescent="0.2"/>
    <row r="3407" customFormat="1" x14ac:dyDescent="0.2"/>
    <row r="3408" customFormat="1" x14ac:dyDescent="0.2"/>
    <row r="3409" customFormat="1" x14ac:dyDescent="0.2"/>
    <row r="3410" customFormat="1" x14ac:dyDescent="0.2"/>
    <row r="3411" customFormat="1" x14ac:dyDescent="0.2"/>
    <row r="3412" customFormat="1" x14ac:dyDescent="0.2"/>
    <row r="3413" customFormat="1" x14ac:dyDescent="0.2"/>
    <row r="3414" customFormat="1" x14ac:dyDescent="0.2"/>
    <row r="3415" customFormat="1" x14ac:dyDescent="0.2"/>
    <row r="3416" customFormat="1" x14ac:dyDescent="0.2"/>
    <row r="3417" customFormat="1" x14ac:dyDescent="0.2"/>
    <row r="3418" customFormat="1" x14ac:dyDescent="0.2"/>
    <row r="3419" customFormat="1" x14ac:dyDescent="0.2"/>
    <row r="3420" customFormat="1" x14ac:dyDescent="0.2"/>
    <row r="3421" customFormat="1" x14ac:dyDescent="0.2"/>
    <row r="3422" customFormat="1" x14ac:dyDescent="0.2"/>
    <row r="3423" customFormat="1" x14ac:dyDescent="0.2"/>
    <row r="3424" customFormat="1" x14ac:dyDescent="0.2"/>
    <row r="3425" customFormat="1" x14ac:dyDescent="0.2"/>
    <row r="3426" customFormat="1" x14ac:dyDescent="0.2"/>
    <row r="3427" customFormat="1" x14ac:dyDescent="0.2"/>
    <row r="3428" customFormat="1" x14ac:dyDescent="0.2"/>
    <row r="3429" customFormat="1" x14ac:dyDescent="0.2"/>
    <row r="3430" customFormat="1" x14ac:dyDescent="0.2"/>
    <row r="3431" customFormat="1" x14ac:dyDescent="0.2"/>
    <row r="3432" customFormat="1" x14ac:dyDescent="0.2"/>
    <row r="3433" customFormat="1" x14ac:dyDescent="0.2"/>
    <row r="3434" customFormat="1" x14ac:dyDescent="0.2"/>
    <row r="3435" customFormat="1" x14ac:dyDescent="0.2"/>
    <row r="3436" customFormat="1" x14ac:dyDescent="0.2"/>
    <row r="3437" customFormat="1" x14ac:dyDescent="0.2"/>
    <row r="3438" customFormat="1" x14ac:dyDescent="0.2"/>
    <row r="3439" customFormat="1" x14ac:dyDescent="0.2"/>
    <row r="3440" customFormat="1" x14ac:dyDescent="0.2"/>
    <row r="3441" customFormat="1" x14ac:dyDescent="0.2"/>
    <row r="3442" customFormat="1" x14ac:dyDescent="0.2"/>
    <row r="3443" customFormat="1" x14ac:dyDescent="0.2"/>
    <row r="3444" customFormat="1" x14ac:dyDescent="0.2"/>
    <row r="3445" customFormat="1" x14ac:dyDescent="0.2"/>
    <row r="3446" customFormat="1" x14ac:dyDescent="0.2"/>
    <row r="3447" customFormat="1" x14ac:dyDescent="0.2"/>
    <row r="3448" customFormat="1" x14ac:dyDescent="0.2"/>
    <row r="3449" customFormat="1" x14ac:dyDescent="0.2"/>
    <row r="3450" customFormat="1" x14ac:dyDescent="0.2"/>
    <row r="3451" customFormat="1" x14ac:dyDescent="0.2"/>
    <row r="3452" customFormat="1" x14ac:dyDescent="0.2"/>
    <row r="3453" customFormat="1" x14ac:dyDescent="0.2"/>
    <row r="3454" customFormat="1" x14ac:dyDescent="0.2"/>
    <row r="3455" customFormat="1" x14ac:dyDescent="0.2"/>
    <row r="3456" customFormat="1" x14ac:dyDescent="0.2"/>
    <row r="3457" customFormat="1" x14ac:dyDescent="0.2"/>
    <row r="3458" customFormat="1" x14ac:dyDescent="0.2"/>
    <row r="3459" customFormat="1" x14ac:dyDescent="0.2"/>
    <row r="3460" customFormat="1" x14ac:dyDescent="0.2"/>
    <row r="3461" customFormat="1" x14ac:dyDescent="0.2"/>
    <row r="3462" customFormat="1" x14ac:dyDescent="0.2"/>
    <row r="3463" customFormat="1" x14ac:dyDescent="0.2"/>
    <row r="3464" customFormat="1" x14ac:dyDescent="0.2"/>
    <row r="3465" customFormat="1" x14ac:dyDescent="0.2"/>
    <row r="3466" customFormat="1" x14ac:dyDescent="0.2"/>
    <row r="3467" customFormat="1" x14ac:dyDescent="0.2"/>
    <row r="3468" customFormat="1" x14ac:dyDescent="0.2"/>
    <row r="3469" customFormat="1" x14ac:dyDescent="0.2"/>
    <row r="3470" customFormat="1" x14ac:dyDescent="0.2"/>
    <row r="3471" customFormat="1" x14ac:dyDescent="0.2"/>
    <row r="3472" customFormat="1" x14ac:dyDescent="0.2"/>
    <row r="3473" customFormat="1" x14ac:dyDescent="0.2"/>
    <row r="3474" customFormat="1" x14ac:dyDescent="0.2"/>
    <row r="3475" customFormat="1" x14ac:dyDescent="0.2"/>
    <row r="3476" customFormat="1" x14ac:dyDescent="0.2"/>
    <row r="3477" customFormat="1" x14ac:dyDescent="0.2"/>
    <row r="3478" customFormat="1" x14ac:dyDescent="0.2"/>
    <row r="3479" customFormat="1" x14ac:dyDescent="0.2"/>
    <row r="3480" customFormat="1" x14ac:dyDescent="0.2"/>
    <row r="3481" customFormat="1" x14ac:dyDescent="0.2"/>
    <row r="3482" customFormat="1" x14ac:dyDescent="0.2"/>
    <row r="3483" customFormat="1" x14ac:dyDescent="0.2"/>
    <row r="3484" customFormat="1" x14ac:dyDescent="0.2"/>
    <row r="3485" customFormat="1" x14ac:dyDescent="0.2"/>
    <row r="3486" customFormat="1" x14ac:dyDescent="0.2"/>
    <row r="3487" customFormat="1" x14ac:dyDescent="0.2"/>
    <row r="3488" customFormat="1" x14ac:dyDescent="0.2"/>
    <row r="3489" customFormat="1" x14ac:dyDescent="0.2"/>
    <row r="3490" customFormat="1" x14ac:dyDescent="0.2"/>
    <row r="3491" customFormat="1" x14ac:dyDescent="0.2"/>
    <row r="3492" customFormat="1" x14ac:dyDescent="0.2"/>
    <row r="3493" customFormat="1" x14ac:dyDescent="0.2"/>
    <row r="3494" customFormat="1" x14ac:dyDescent="0.2"/>
    <row r="3495" customFormat="1" x14ac:dyDescent="0.2"/>
    <row r="3496" customFormat="1" x14ac:dyDescent="0.2"/>
    <row r="3497" customFormat="1" x14ac:dyDescent="0.2"/>
    <row r="3498" customFormat="1" x14ac:dyDescent="0.2"/>
    <row r="3499" customFormat="1" x14ac:dyDescent="0.2"/>
    <row r="3500" customFormat="1" x14ac:dyDescent="0.2"/>
    <row r="3501" customFormat="1" x14ac:dyDescent="0.2"/>
    <row r="3502" customFormat="1" x14ac:dyDescent="0.2"/>
    <row r="3503" customFormat="1" x14ac:dyDescent="0.2"/>
    <row r="3504" customFormat="1" x14ac:dyDescent="0.2"/>
    <row r="3505" customFormat="1" x14ac:dyDescent="0.2"/>
    <row r="3506" customFormat="1" x14ac:dyDescent="0.2"/>
    <row r="3507" customFormat="1" x14ac:dyDescent="0.2"/>
    <row r="3508" customFormat="1" x14ac:dyDescent="0.2"/>
    <row r="3509" customFormat="1" x14ac:dyDescent="0.2"/>
    <row r="3510" customFormat="1" x14ac:dyDescent="0.2"/>
    <row r="3511" customFormat="1" x14ac:dyDescent="0.2"/>
    <row r="3512" customFormat="1" x14ac:dyDescent="0.2"/>
    <row r="3513" customFormat="1" x14ac:dyDescent="0.2"/>
    <row r="3514" customFormat="1" x14ac:dyDescent="0.2"/>
    <row r="3515" customFormat="1" x14ac:dyDescent="0.2"/>
    <row r="3516" customFormat="1" x14ac:dyDescent="0.2"/>
    <row r="3517" customFormat="1" x14ac:dyDescent="0.2"/>
    <row r="3518" customFormat="1" x14ac:dyDescent="0.2"/>
    <row r="3519" customFormat="1" x14ac:dyDescent="0.2"/>
    <row r="3520" customFormat="1" x14ac:dyDescent="0.2"/>
    <row r="3521" customFormat="1" x14ac:dyDescent="0.2"/>
    <row r="3522" customFormat="1" x14ac:dyDescent="0.2"/>
    <row r="3523" customFormat="1" x14ac:dyDescent="0.2"/>
    <row r="3524" customFormat="1" x14ac:dyDescent="0.2"/>
    <row r="3525" customFormat="1" x14ac:dyDescent="0.2"/>
    <row r="3526" customFormat="1" x14ac:dyDescent="0.2"/>
    <row r="3527" customFormat="1" x14ac:dyDescent="0.2"/>
    <row r="3528" customFormat="1" x14ac:dyDescent="0.2"/>
    <row r="3529" customFormat="1" x14ac:dyDescent="0.2"/>
    <row r="3530" customFormat="1" x14ac:dyDescent="0.2"/>
    <row r="3531" customFormat="1" x14ac:dyDescent="0.2"/>
    <row r="3532" customFormat="1" x14ac:dyDescent="0.2"/>
    <row r="3533" customFormat="1" x14ac:dyDescent="0.2"/>
    <row r="3534" customFormat="1" x14ac:dyDescent="0.2"/>
    <row r="3535" customFormat="1" x14ac:dyDescent="0.2"/>
    <row r="3536" customFormat="1" x14ac:dyDescent="0.2"/>
    <row r="3537" customFormat="1" x14ac:dyDescent="0.2"/>
    <row r="3538" customFormat="1" x14ac:dyDescent="0.2"/>
    <row r="3539" customFormat="1" x14ac:dyDescent="0.2"/>
    <row r="3540" customFormat="1" x14ac:dyDescent="0.2"/>
    <row r="3541" customFormat="1" x14ac:dyDescent="0.2"/>
    <row r="3542" customFormat="1" x14ac:dyDescent="0.2"/>
    <row r="3543" customFormat="1" x14ac:dyDescent="0.2"/>
    <row r="3544" customFormat="1" x14ac:dyDescent="0.2"/>
    <row r="3545" customFormat="1" x14ac:dyDescent="0.2"/>
    <row r="3546" customFormat="1" x14ac:dyDescent="0.2"/>
    <row r="3547" customFormat="1" x14ac:dyDescent="0.2"/>
    <row r="3548" customFormat="1" x14ac:dyDescent="0.2"/>
    <row r="3549" customFormat="1" x14ac:dyDescent="0.2"/>
    <row r="3550" customFormat="1" x14ac:dyDescent="0.2"/>
    <row r="3551" customFormat="1" x14ac:dyDescent="0.2"/>
    <row r="3552" customFormat="1" x14ac:dyDescent="0.2"/>
    <row r="3553" customFormat="1" x14ac:dyDescent="0.2"/>
    <row r="3554" customFormat="1" x14ac:dyDescent="0.2"/>
    <row r="3555" customFormat="1" x14ac:dyDescent="0.2"/>
    <row r="3556" customFormat="1" x14ac:dyDescent="0.2"/>
    <row r="3557" customFormat="1" x14ac:dyDescent="0.2"/>
    <row r="3558" customFormat="1" x14ac:dyDescent="0.2"/>
    <row r="3559" customFormat="1" x14ac:dyDescent="0.2"/>
    <row r="3560" customFormat="1" x14ac:dyDescent="0.2"/>
    <row r="3561" customFormat="1" x14ac:dyDescent="0.2"/>
    <row r="3562" customFormat="1" x14ac:dyDescent="0.2"/>
    <row r="3563" customFormat="1" x14ac:dyDescent="0.2"/>
    <row r="3564" customFormat="1" x14ac:dyDescent="0.2"/>
    <row r="3565" customFormat="1" x14ac:dyDescent="0.2"/>
    <row r="3566" customFormat="1" x14ac:dyDescent="0.2"/>
    <row r="3567" customFormat="1" x14ac:dyDescent="0.2"/>
    <row r="3568" customFormat="1" x14ac:dyDescent="0.2"/>
    <row r="3569" customFormat="1" x14ac:dyDescent="0.2"/>
    <row r="3570" customFormat="1" x14ac:dyDescent="0.2"/>
    <row r="3571" customFormat="1" x14ac:dyDescent="0.2"/>
    <row r="3572" customFormat="1" x14ac:dyDescent="0.2"/>
    <row r="3573" customFormat="1" x14ac:dyDescent="0.2"/>
    <row r="3574" customFormat="1" x14ac:dyDescent="0.2"/>
    <row r="3575" customFormat="1" x14ac:dyDescent="0.2"/>
    <row r="3576" customFormat="1" x14ac:dyDescent="0.2"/>
    <row r="3577" customFormat="1" x14ac:dyDescent="0.2"/>
    <row r="3578" customFormat="1" x14ac:dyDescent="0.2"/>
    <row r="3579" customFormat="1" x14ac:dyDescent="0.2"/>
    <row r="3580" customFormat="1" x14ac:dyDescent="0.2"/>
    <row r="3581" customFormat="1" x14ac:dyDescent="0.2"/>
    <row r="3582" customFormat="1" x14ac:dyDescent="0.2"/>
    <row r="3583" customFormat="1" x14ac:dyDescent="0.2"/>
    <row r="3584" customFormat="1" x14ac:dyDescent="0.2"/>
    <row r="3585" customFormat="1" x14ac:dyDescent="0.2"/>
    <row r="3586" customFormat="1" x14ac:dyDescent="0.2"/>
    <row r="3587" customFormat="1" x14ac:dyDescent="0.2"/>
    <row r="3588" customFormat="1" x14ac:dyDescent="0.2"/>
    <row r="3589" customFormat="1" x14ac:dyDescent="0.2"/>
    <row r="3590" customFormat="1" x14ac:dyDescent="0.2"/>
    <row r="3591" customFormat="1" x14ac:dyDescent="0.2"/>
    <row r="3592" customFormat="1" x14ac:dyDescent="0.2"/>
    <row r="3593" customFormat="1" x14ac:dyDescent="0.2"/>
    <row r="3594" customFormat="1" x14ac:dyDescent="0.2"/>
    <row r="3595" customFormat="1" x14ac:dyDescent="0.2"/>
    <row r="3596" customFormat="1" x14ac:dyDescent="0.2"/>
    <row r="3597" customFormat="1" x14ac:dyDescent="0.2"/>
    <row r="3598" customFormat="1" x14ac:dyDescent="0.2"/>
    <row r="3599" customFormat="1" x14ac:dyDescent="0.2"/>
    <row r="3600" customFormat="1" x14ac:dyDescent="0.2"/>
    <row r="3601" customFormat="1" x14ac:dyDescent="0.2"/>
    <row r="3602" customFormat="1" x14ac:dyDescent="0.2"/>
    <row r="3603" customFormat="1" x14ac:dyDescent="0.2"/>
    <row r="3604" customFormat="1" x14ac:dyDescent="0.2"/>
    <row r="3605" customFormat="1" x14ac:dyDescent="0.2"/>
    <row r="3606" customFormat="1" x14ac:dyDescent="0.2"/>
    <row r="3607" customFormat="1" x14ac:dyDescent="0.2"/>
    <row r="3608" customFormat="1" x14ac:dyDescent="0.2"/>
    <row r="3609" customFormat="1" x14ac:dyDescent="0.2"/>
    <row r="3610" customFormat="1" x14ac:dyDescent="0.2"/>
    <row r="3611" customFormat="1" x14ac:dyDescent="0.2"/>
    <row r="3612" customFormat="1" x14ac:dyDescent="0.2"/>
    <row r="3613" customFormat="1" x14ac:dyDescent="0.2"/>
    <row r="3614" customFormat="1" x14ac:dyDescent="0.2"/>
    <row r="3615" customFormat="1" x14ac:dyDescent="0.2"/>
    <row r="3616" customFormat="1" x14ac:dyDescent="0.2"/>
    <row r="3617" customFormat="1" x14ac:dyDescent="0.2"/>
    <row r="3618" customFormat="1" x14ac:dyDescent="0.2"/>
    <row r="3619" customFormat="1" x14ac:dyDescent="0.2"/>
    <row r="3620" customFormat="1" x14ac:dyDescent="0.2"/>
    <row r="3621" customFormat="1" x14ac:dyDescent="0.2"/>
    <row r="3622" customFormat="1" x14ac:dyDescent="0.2"/>
    <row r="3623" customFormat="1" x14ac:dyDescent="0.2"/>
    <row r="3624" customFormat="1" x14ac:dyDescent="0.2"/>
    <row r="3625" customFormat="1" x14ac:dyDescent="0.2"/>
    <row r="3626" customFormat="1" x14ac:dyDescent="0.2"/>
    <row r="3627" customFormat="1" x14ac:dyDescent="0.2"/>
    <row r="3628" customFormat="1" x14ac:dyDescent="0.2"/>
    <row r="3629" customFormat="1" x14ac:dyDescent="0.2"/>
    <row r="3630" customFormat="1" x14ac:dyDescent="0.2"/>
    <row r="3631" customFormat="1" x14ac:dyDescent="0.2"/>
    <row r="3632" customFormat="1" x14ac:dyDescent="0.2"/>
    <row r="3633" customFormat="1" x14ac:dyDescent="0.2"/>
    <row r="3634" customFormat="1" x14ac:dyDescent="0.2"/>
    <row r="3635" customFormat="1" x14ac:dyDescent="0.2"/>
    <row r="3636" customFormat="1" x14ac:dyDescent="0.2"/>
    <row r="3637" customFormat="1" x14ac:dyDescent="0.2"/>
    <row r="3638" customFormat="1" x14ac:dyDescent="0.2"/>
    <row r="3639" customFormat="1" x14ac:dyDescent="0.2"/>
    <row r="3640" customFormat="1" x14ac:dyDescent="0.2"/>
    <row r="3641" customFormat="1" x14ac:dyDescent="0.2"/>
    <row r="3642" customFormat="1" x14ac:dyDescent="0.2"/>
    <row r="3643" customFormat="1" x14ac:dyDescent="0.2"/>
    <row r="3644" customFormat="1" x14ac:dyDescent="0.2"/>
    <row r="3645" customFormat="1" x14ac:dyDescent="0.2"/>
    <row r="3646" customFormat="1" x14ac:dyDescent="0.2"/>
    <row r="3647" customFormat="1" x14ac:dyDescent="0.2"/>
    <row r="3648" customFormat="1" x14ac:dyDescent="0.2"/>
    <row r="3649" customFormat="1" x14ac:dyDescent="0.2"/>
    <row r="3650" customFormat="1" x14ac:dyDescent="0.2"/>
    <row r="3651" customFormat="1" x14ac:dyDescent="0.2"/>
    <row r="3652" customFormat="1" x14ac:dyDescent="0.2"/>
    <row r="3653" customFormat="1" x14ac:dyDescent="0.2"/>
    <row r="3654" customFormat="1" x14ac:dyDescent="0.2"/>
    <row r="3655" customFormat="1" x14ac:dyDescent="0.2"/>
    <row r="3656" customFormat="1" x14ac:dyDescent="0.2"/>
    <row r="3657" customFormat="1" x14ac:dyDescent="0.2"/>
    <row r="3658" customFormat="1" x14ac:dyDescent="0.2"/>
    <row r="3659" customFormat="1" x14ac:dyDescent="0.2"/>
    <row r="3660" customFormat="1" x14ac:dyDescent="0.2"/>
    <row r="3661" customFormat="1" x14ac:dyDescent="0.2"/>
    <row r="3662" customFormat="1" x14ac:dyDescent="0.2"/>
    <row r="3663" customFormat="1" x14ac:dyDescent="0.2"/>
    <row r="3664" customFormat="1" x14ac:dyDescent="0.2"/>
    <row r="3665" customFormat="1" x14ac:dyDescent="0.2"/>
    <row r="3666" customFormat="1" x14ac:dyDescent="0.2"/>
    <row r="3667" customFormat="1" x14ac:dyDescent="0.2"/>
    <row r="3668" customFormat="1" x14ac:dyDescent="0.2"/>
    <row r="3669" customFormat="1" x14ac:dyDescent="0.2"/>
    <row r="3670" customFormat="1" x14ac:dyDescent="0.2"/>
    <row r="3671" customFormat="1" x14ac:dyDescent="0.2"/>
    <row r="3672" customFormat="1" x14ac:dyDescent="0.2"/>
    <row r="3673" customFormat="1" x14ac:dyDescent="0.2"/>
    <row r="3674" customFormat="1" x14ac:dyDescent="0.2"/>
    <row r="3675" customFormat="1" x14ac:dyDescent="0.2"/>
    <row r="3676" customFormat="1" x14ac:dyDescent="0.2"/>
    <row r="3677" customFormat="1" x14ac:dyDescent="0.2"/>
    <row r="3678" customFormat="1" x14ac:dyDescent="0.2"/>
    <row r="3679" customFormat="1" x14ac:dyDescent="0.2"/>
    <row r="3680" customFormat="1" x14ac:dyDescent="0.2"/>
    <row r="3681" customFormat="1" x14ac:dyDescent="0.2"/>
    <row r="3682" customFormat="1" x14ac:dyDescent="0.2"/>
    <row r="3683" customFormat="1" x14ac:dyDescent="0.2"/>
    <row r="3684" customFormat="1" x14ac:dyDescent="0.2"/>
    <row r="3685" customFormat="1" x14ac:dyDescent="0.2"/>
    <row r="3686" customFormat="1" x14ac:dyDescent="0.2"/>
    <row r="3687" customFormat="1" x14ac:dyDescent="0.2"/>
    <row r="3688" customFormat="1" x14ac:dyDescent="0.2"/>
    <row r="3689" customFormat="1" x14ac:dyDescent="0.2"/>
    <row r="3690" customFormat="1" x14ac:dyDescent="0.2"/>
    <row r="3691" customFormat="1" x14ac:dyDescent="0.2"/>
    <row r="3692" customFormat="1" x14ac:dyDescent="0.2"/>
    <row r="3693" customFormat="1" x14ac:dyDescent="0.2"/>
    <row r="3694" customFormat="1" x14ac:dyDescent="0.2"/>
    <row r="3695" customFormat="1" x14ac:dyDescent="0.2"/>
    <row r="3696" customFormat="1" x14ac:dyDescent="0.2"/>
    <row r="3697" customFormat="1" x14ac:dyDescent="0.2"/>
    <row r="3698" customFormat="1" x14ac:dyDescent="0.2"/>
    <row r="3699" customFormat="1" x14ac:dyDescent="0.2"/>
    <row r="3700" customFormat="1" x14ac:dyDescent="0.2"/>
    <row r="3701" customFormat="1" x14ac:dyDescent="0.2"/>
    <row r="3702" customFormat="1" x14ac:dyDescent="0.2"/>
    <row r="3703" customFormat="1" x14ac:dyDescent="0.2"/>
    <row r="3704" customFormat="1" x14ac:dyDescent="0.2"/>
    <row r="3705" customFormat="1" x14ac:dyDescent="0.2"/>
    <row r="3706" customFormat="1" x14ac:dyDescent="0.2"/>
    <row r="3707" customFormat="1" x14ac:dyDescent="0.2"/>
    <row r="3708" customFormat="1" x14ac:dyDescent="0.2"/>
    <row r="3709" customFormat="1" x14ac:dyDescent="0.2"/>
    <row r="3710" customFormat="1" x14ac:dyDescent="0.2"/>
    <row r="3711" customFormat="1" x14ac:dyDescent="0.2"/>
    <row r="3712" customFormat="1" x14ac:dyDescent="0.2"/>
    <row r="3713" customFormat="1" x14ac:dyDescent="0.2"/>
    <row r="3714" customFormat="1" x14ac:dyDescent="0.2"/>
    <row r="3715" customFormat="1" x14ac:dyDescent="0.2"/>
    <row r="3716" customFormat="1" x14ac:dyDescent="0.2"/>
    <row r="3717" customFormat="1" x14ac:dyDescent="0.2"/>
    <row r="3718" customFormat="1" x14ac:dyDescent="0.2"/>
    <row r="3719" customFormat="1" x14ac:dyDescent="0.2"/>
    <row r="3720" customFormat="1" x14ac:dyDescent="0.2"/>
    <row r="3721" customFormat="1" x14ac:dyDescent="0.2"/>
    <row r="3722" customFormat="1" x14ac:dyDescent="0.2"/>
    <row r="3723" customFormat="1" x14ac:dyDescent="0.2"/>
    <row r="3724" customFormat="1" x14ac:dyDescent="0.2"/>
    <row r="3725" customFormat="1" x14ac:dyDescent="0.2"/>
    <row r="3726" customFormat="1" x14ac:dyDescent="0.2"/>
    <row r="3727" customFormat="1" x14ac:dyDescent="0.2"/>
    <row r="3728" customFormat="1" x14ac:dyDescent="0.2"/>
    <row r="3729" customFormat="1" x14ac:dyDescent="0.2"/>
    <row r="3730" customFormat="1" x14ac:dyDescent="0.2"/>
    <row r="3731" customFormat="1" x14ac:dyDescent="0.2"/>
    <row r="3732" customFormat="1" x14ac:dyDescent="0.2"/>
    <row r="3733" customFormat="1" x14ac:dyDescent="0.2"/>
    <row r="3734" customFormat="1" x14ac:dyDescent="0.2"/>
    <row r="3735" customFormat="1" x14ac:dyDescent="0.2"/>
    <row r="3736" customFormat="1" x14ac:dyDescent="0.2"/>
    <row r="3737" customFormat="1" x14ac:dyDescent="0.2"/>
    <row r="3738" customFormat="1" x14ac:dyDescent="0.2"/>
    <row r="3739" customFormat="1" x14ac:dyDescent="0.2"/>
    <row r="3740" customFormat="1" x14ac:dyDescent="0.2"/>
    <row r="3741" customFormat="1" x14ac:dyDescent="0.2"/>
    <row r="3742" customFormat="1" x14ac:dyDescent="0.2"/>
    <row r="3743" customFormat="1" x14ac:dyDescent="0.2"/>
    <row r="3744" customFormat="1" x14ac:dyDescent="0.2"/>
    <row r="3745" customFormat="1" x14ac:dyDescent="0.2"/>
    <row r="3746" customFormat="1" x14ac:dyDescent="0.2"/>
    <row r="3747" customFormat="1" x14ac:dyDescent="0.2"/>
    <row r="3748" customFormat="1" x14ac:dyDescent="0.2"/>
    <row r="3749" customFormat="1" x14ac:dyDescent="0.2"/>
    <row r="3750" customFormat="1" x14ac:dyDescent="0.2"/>
    <row r="3751" customFormat="1" x14ac:dyDescent="0.2"/>
    <row r="3752" customFormat="1" x14ac:dyDescent="0.2"/>
    <row r="3753" customFormat="1" x14ac:dyDescent="0.2"/>
    <row r="3754" customFormat="1" x14ac:dyDescent="0.2"/>
    <row r="3755" customFormat="1" x14ac:dyDescent="0.2"/>
    <row r="3756" customFormat="1" x14ac:dyDescent="0.2"/>
    <row r="3757" customFormat="1" x14ac:dyDescent="0.2"/>
    <row r="3758" customFormat="1" x14ac:dyDescent="0.2"/>
    <row r="3759" customFormat="1" x14ac:dyDescent="0.2"/>
    <row r="3760" customFormat="1" x14ac:dyDescent="0.2"/>
    <row r="3761" customFormat="1" x14ac:dyDescent="0.2"/>
    <row r="3762" customFormat="1" x14ac:dyDescent="0.2"/>
    <row r="3763" customFormat="1" x14ac:dyDescent="0.2"/>
    <row r="3764" customFormat="1" x14ac:dyDescent="0.2"/>
    <row r="3765" customFormat="1" x14ac:dyDescent="0.2"/>
    <row r="3766" customFormat="1" x14ac:dyDescent="0.2"/>
    <row r="3767" customFormat="1" x14ac:dyDescent="0.2"/>
    <row r="3768" customFormat="1" x14ac:dyDescent="0.2"/>
    <row r="3769" customFormat="1" x14ac:dyDescent="0.2"/>
    <row r="3770" customFormat="1" x14ac:dyDescent="0.2"/>
    <row r="3771" customFormat="1" x14ac:dyDescent="0.2"/>
    <row r="3772" customFormat="1" x14ac:dyDescent="0.2"/>
    <row r="3773" customFormat="1" x14ac:dyDescent="0.2"/>
    <row r="3774" customFormat="1" x14ac:dyDescent="0.2"/>
    <row r="3775" customFormat="1" x14ac:dyDescent="0.2"/>
    <row r="3776" customFormat="1" x14ac:dyDescent="0.2"/>
    <row r="3777" customFormat="1" x14ac:dyDescent="0.2"/>
    <row r="3778" customFormat="1" x14ac:dyDescent="0.2"/>
    <row r="3779" customFormat="1" x14ac:dyDescent="0.2"/>
    <row r="3780" customFormat="1" x14ac:dyDescent="0.2"/>
    <row r="3781" customFormat="1" x14ac:dyDescent="0.2"/>
    <row r="3782" customFormat="1" x14ac:dyDescent="0.2"/>
    <row r="3783" customFormat="1" x14ac:dyDescent="0.2"/>
    <row r="3784" customFormat="1" x14ac:dyDescent="0.2"/>
    <row r="3785" customFormat="1" x14ac:dyDescent="0.2"/>
    <row r="3786" customFormat="1" x14ac:dyDescent="0.2"/>
    <row r="3787" customFormat="1" x14ac:dyDescent="0.2"/>
    <row r="3788" customFormat="1" x14ac:dyDescent="0.2"/>
    <row r="3789" customFormat="1" x14ac:dyDescent="0.2"/>
    <row r="3790" customFormat="1" x14ac:dyDescent="0.2"/>
    <row r="3791" customFormat="1" x14ac:dyDescent="0.2"/>
    <row r="3792" customFormat="1" x14ac:dyDescent="0.2"/>
    <row r="3793" customFormat="1" x14ac:dyDescent="0.2"/>
    <row r="3794" customFormat="1" x14ac:dyDescent="0.2"/>
    <row r="3795" customFormat="1" x14ac:dyDescent="0.2"/>
    <row r="3796" customFormat="1" x14ac:dyDescent="0.2"/>
    <row r="3797" customFormat="1" x14ac:dyDescent="0.2"/>
    <row r="3798" customFormat="1" x14ac:dyDescent="0.2"/>
    <row r="3799" customFormat="1" x14ac:dyDescent="0.2"/>
    <row r="3800" customFormat="1" x14ac:dyDescent="0.2"/>
    <row r="3801" customFormat="1" x14ac:dyDescent="0.2"/>
    <row r="3802" customFormat="1" x14ac:dyDescent="0.2"/>
    <row r="3803" customFormat="1" x14ac:dyDescent="0.2"/>
    <row r="3804" customFormat="1" x14ac:dyDescent="0.2"/>
    <row r="3805" customFormat="1" x14ac:dyDescent="0.2"/>
    <row r="3806" customFormat="1" x14ac:dyDescent="0.2"/>
    <row r="3807" customFormat="1" x14ac:dyDescent="0.2"/>
    <row r="3808" customFormat="1" x14ac:dyDescent="0.2"/>
    <row r="3809" customFormat="1" x14ac:dyDescent="0.2"/>
    <row r="3810" customFormat="1" x14ac:dyDescent="0.2"/>
    <row r="3811" customFormat="1" x14ac:dyDescent="0.2"/>
    <row r="3812" customFormat="1" x14ac:dyDescent="0.2"/>
    <row r="3813" customFormat="1" x14ac:dyDescent="0.2"/>
    <row r="3814" customFormat="1" x14ac:dyDescent="0.2"/>
    <row r="3815" customFormat="1" x14ac:dyDescent="0.2"/>
    <row r="3816" customFormat="1" x14ac:dyDescent="0.2"/>
    <row r="3817" customFormat="1" x14ac:dyDescent="0.2"/>
    <row r="3818" customFormat="1" x14ac:dyDescent="0.2"/>
    <row r="3819" customFormat="1" x14ac:dyDescent="0.2"/>
    <row r="3820" customFormat="1" x14ac:dyDescent="0.2"/>
    <row r="3821" customFormat="1" x14ac:dyDescent="0.2"/>
    <row r="3822" customFormat="1" x14ac:dyDescent="0.2"/>
    <row r="3823" customFormat="1" x14ac:dyDescent="0.2"/>
    <row r="3824" customFormat="1" x14ac:dyDescent="0.2"/>
    <row r="3825" customFormat="1" x14ac:dyDescent="0.2"/>
    <row r="3826" customFormat="1" x14ac:dyDescent="0.2"/>
    <row r="3827" customFormat="1" x14ac:dyDescent="0.2"/>
    <row r="3828" customFormat="1" x14ac:dyDescent="0.2"/>
    <row r="3829" customFormat="1" x14ac:dyDescent="0.2"/>
    <row r="3830" customFormat="1" x14ac:dyDescent="0.2"/>
    <row r="3831" customFormat="1" x14ac:dyDescent="0.2"/>
    <row r="3832" customFormat="1" x14ac:dyDescent="0.2"/>
    <row r="3833" customFormat="1" x14ac:dyDescent="0.2"/>
    <row r="3834" customFormat="1" x14ac:dyDescent="0.2"/>
    <row r="3835" customFormat="1" x14ac:dyDescent="0.2"/>
    <row r="3836" customFormat="1" x14ac:dyDescent="0.2"/>
    <row r="3837" customFormat="1" x14ac:dyDescent="0.2"/>
    <row r="3838" customFormat="1" x14ac:dyDescent="0.2"/>
    <row r="3839" customFormat="1" x14ac:dyDescent="0.2"/>
    <row r="3840" customFormat="1" x14ac:dyDescent="0.2"/>
    <row r="3841" customFormat="1" x14ac:dyDescent="0.2"/>
    <row r="3842" customFormat="1" x14ac:dyDescent="0.2"/>
    <row r="3843" customFormat="1" x14ac:dyDescent="0.2"/>
    <row r="3844" customFormat="1" x14ac:dyDescent="0.2"/>
    <row r="3845" customFormat="1" x14ac:dyDescent="0.2"/>
    <row r="3846" customFormat="1" x14ac:dyDescent="0.2"/>
    <row r="3847" customFormat="1" x14ac:dyDescent="0.2"/>
    <row r="3848" customFormat="1" x14ac:dyDescent="0.2"/>
    <row r="3849" customFormat="1" x14ac:dyDescent="0.2"/>
    <row r="3850" customFormat="1" x14ac:dyDescent="0.2"/>
    <row r="3851" customFormat="1" x14ac:dyDescent="0.2"/>
    <row r="3852" customFormat="1" x14ac:dyDescent="0.2"/>
    <row r="3853" customFormat="1" x14ac:dyDescent="0.2"/>
    <row r="3854" customFormat="1" x14ac:dyDescent="0.2"/>
    <row r="3855" customFormat="1" x14ac:dyDescent="0.2"/>
    <row r="3856" customFormat="1" x14ac:dyDescent="0.2"/>
    <row r="3857" customFormat="1" x14ac:dyDescent="0.2"/>
    <row r="3858" customFormat="1" x14ac:dyDescent="0.2"/>
    <row r="3859" customFormat="1" x14ac:dyDescent="0.2"/>
    <row r="3860" customFormat="1" x14ac:dyDescent="0.2"/>
    <row r="3861" customFormat="1" x14ac:dyDescent="0.2"/>
    <row r="3862" customFormat="1" x14ac:dyDescent="0.2"/>
    <row r="3863" customFormat="1" x14ac:dyDescent="0.2"/>
    <row r="3864" customFormat="1" x14ac:dyDescent="0.2"/>
    <row r="3865" customFormat="1" x14ac:dyDescent="0.2"/>
    <row r="3866" customFormat="1" x14ac:dyDescent="0.2"/>
    <row r="3867" customFormat="1" x14ac:dyDescent="0.2"/>
    <row r="3868" customFormat="1" x14ac:dyDescent="0.2"/>
    <row r="3869" customFormat="1" x14ac:dyDescent="0.2"/>
    <row r="3870" customFormat="1" x14ac:dyDescent="0.2"/>
    <row r="3871" customFormat="1" x14ac:dyDescent="0.2"/>
    <row r="3872" customFormat="1" x14ac:dyDescent="0.2"/>
    <row r="3873" customFormat="1" x14ac:dyDescent="0.2"/>
    <row r="3874" customFormat="1" x14ac:dyDescent="0.2"/>
    <row r="3875" customFormat="1" x14ac:dyDescent="0.2"/>
    <row r="3876" customFormat="1" x14ac:dyDescent="0.2"/>
    <row r="3877" customFormat="1" x14ac:dyDescent="0.2"/>
    <row r="3878" customFormat="1" x14ac:dyDescent="0.2"/>
    <row r="3879" customFormat="1" x14ac:dyDescent="0.2"/>
    <row r="3880" customFormat="1" x14ac:dyDescent="0.2"/>
    <row r="3881" customFormat="1" x14ac:dyDescent="0.2"/>
    <row r="3882" customFormat="1" x14ac:dyDescent="0.2"/>
    <row r="3883" customFormat="1" x14ac:dyDescent="0.2"/>
    <row r="3884" customFormat="1" x14ac:dyDescent="0.2"/>
    <row r="3885" customFormat="1" x14ac:dyDescent="0.2"/>
    <row r="3886" customFormat="1" x14ac:dyDescent="0.2"/>
    <row r="3887" customFormat="1" x14ac:dyDescent="0.2"/>
    <row r="3888" customFormat="1" x14ac:dyDescent="0.2"/>
    <row r="3889" customFormat="1" x14ac:dyDescent="0.2"/>
    <row r="3890" customFormat="1" x14ac:dyDescent="0.2"/>
    <row r="3891" customFormat="1" x14ac:dyDescent="0.2"/>
    <row r="3892" customFormat="1" x14ac:dyDescent="0.2"/>
    <row r="3893" customFormat="1" x14ac:dyDescent="0.2"/>
    <row r="3894" customFormat="1" x14ac:dyDescent="0.2"/>
    <row r="3895" customFormat="1" x14ac:dyDescent="0.2"/>
    <row r="3896" customFormat="1" x14ac:dyDescent="0.2"/>
    <row r="3897" customFormat="1" x14ac:dyDescent="0.2"/>
    <row r="3898" customFormat="1" x14ac:dyDescent="0.2"/>
    <row r="3899" customFormat="1" x14ac:dyDescent="0.2"/>
    <row r="3900" customFormat="1" x14ac:dyDescent="0.2"/>
    <row r="3901" customFormat="1" x14ac:dyDescent="0.2"/>
    <row r="3902" customFormat="1" x14ac:dyDescent="0.2"/>
    <row r="3903" customFormat="1" x14ac:dyDescent="0.2"/>
    <row r="3904" customFormat="1" x14ac:dyDescent="0.2"/>
    <row r="3905" customFormat="1" x14ac:dyDescent="0.2"/>
    <row r="3906" customFormat="1" x14ac:dyDescent="0.2"/>
    <row r="3907" customFormat="1" x14ac:dyDescent="0.2"/>
    <row r="3908" customFormat="1" x14ac:dyDescent="0.2"/>
    <row r="3909" customFormat="1" x14ac:dyDescent="0.2"/>
    <row r="3910" customFormat="1" x14ac:dyDescent="0.2"/>
    <row r="3911" customFormat="1" x14ac:dyDescent="0.2"/>
    <row r="3912" customFormat="1" x14ac:dyDescent="0.2"/>
    <row r="3913" customFormat="1" x14ac:dyDescent="0.2"/>
    <row r="3914" customFormat="1" x14ac:dyDescent="0.2"/>
    <row r="3915" customFormat="1" x14ac:dyDescent="0.2"/>
    <row r="3916" customFormat="1" x14ac:dyDescent="0.2"/>
    <row r="3917" customFormat="1" x14ac:dyDescent="0.2"/>
    <row r="3918" customFormat="1" x14ac:dyDescent="0.2"/>
    <row r="3919" customFormat="1" x14ac:dyDescent="0.2"/>
    <row r="3920" customFormat="1" x14ac:dyDescent="0.2"/>
    <row r="3921" customFormat="1" x14ac:dyDescent="0.2"/>
    <row r="3922" customFormat="1" x14ac:dyDescent="0.2"/>
    <row r="3923" customFormat="1" x14ac:dyDescent="0.2"/>
    <row r="3924" customFormat="1" x14ac:dyDescent="0.2"/>
    <row r="3925" customFormat="1" x14ac:dyDescent="0.2"/>
    <row r="3926" customFormat="1" x14ac:dyDescent="0.2"/>
    <row r="3927" customFormat="1" x14ac:dyDescent="0.2"/>
    <row r="3928" customFormat="1" x14ac:dyDescent="0.2"/>
    <row r="3929" customFormat="1" x14ac:dyDescent="0.2"/>
    <row r="3930" customFormat="1" x14ac:dyDescent="0.2"/>
    <row r="3931" customFormat="1" x14ac:dyDescent="0.2"/>
    <row r="3932" customFormat="1" x14ac:dyDescent="0.2"/>
    <row r="3933" customFormat="1" x14ac:dyDescent="0.2"/>
    <row r="3934" customFormat="1" x14ac:dyDescent="0.2"/>
    <row r="3935" customFormat="1" x14ac:dyDescent="0.2"/>
    <row r="3936" customFormat="1" x14ac:dyDescent="0.2"/>
    <row r="3937" customFormat="1" x14ac:dyDescent="0.2"/>
    <row r="3938" customFormat="1" x14ac:dyDescent="0.2"/>
    <row r="3939" customFormat="1" x14ac:dyDescent="0.2"/>
    <row r="3940" customFormat="1" x14ac:dyDescent="0.2"/>
    <row r="3941" customFormat="1" x14ac:dyDescent="0.2"/>
    <row r="3942" customFormat="1" x14ac:dyDescent="0.2"/>
    <row r="3943" customFormat="1" x14ac:dyDescent="0.2"/>
    <row r="3944" customFormat="1" x14ac:dyDescent="0.2"/>
    <row r="3945" customFormat="1" x14ac:dyDescent="0.2"/>
    <row r="3946" customFormat="1" x14ac:dyDescent="0.2"/>
    <row r="3947" customFormat="1" x14ac:dyDescent="0.2"/>
    <row r="3948" customFormat="1" x14ac:dyDescent="0.2"/>
    <row r="3949" customFormat="1" x14ac:dyDescent="0.2"/>
    <row r="3950" customFormat="1" x14ac:dyDescent="0.2"/>
    <row r="3951" customFormat="1" x14ac:dyDescent="0.2"/>
    <row r="3952" customFormat="1" x14ac:dyDescent="0.2"/>
    <row r="3953" customFormat="1" x14ac:dyDescent="0.2"/>
    <row r="3954" customFormat="1" x14ac:dyDescent="0.2"/>
    <row r="3955" customFormat="1" x14ac:dyDescent="0.2"/>
    <row r="3956" customFormat="1" x14ac:dyDescent="0.2"/>
    <row r="3957" customFormat="1" x14ac:dyDescent="0.2"/>
    <row r="3958" customFormat="1" x14ac:dyDescent="0.2"/>
    <row r="3959" customFormat="1" x14ac:dyDescent="0.2"/>
    <row r="3960" customFormat="1" x14ac:dyDescent="0.2"/>
    <row r="3961" customFormat="1" x14ac:dyDescent="0.2"/>
    <row r="3962" customFormat="1" x14ac:dyDescent="0.2"/>
    <row r="3963" customFormat="1" x14ac:dyDescent="0.2"/>
    <row r="3964" customFormat="1" x14ac:dyDescent="0.2"/>
    <row r="3965" customFormat="1" x14ac:dyDescent="0.2"/>
    <row r="3966" customFormat="1" x14ac:dyDescent="0.2"/>
    <row r="3967" customFormat="1" x14ac:dyDescent="0.2"/>
    <row r="3968" customFormat="1" x14ac:dyDescent="0.2"/>
    <row r="3969" customFormat="1" x14ac:dyDescent="0.2"/>
    <row r="3970" customFormat="1" x14ac:dyDescent="0.2"/>
    <row r="3971" customFormat="1" x14ac:dyDescent="0.2"/>
    <row r="3972" customFormat="1" x14ac:dyDescent="0.2"/>
    <row r="3973" customFormat="1" x14ac:dyDescent="0.2"/>
    <row r="3974" customFormat="1" x14ac:dyDescent="0.2"/>
    <row r="3975" customFormat="1" x14ac:dyDescent="0.2"/>
    <row r="3976" customFormat="1" x14ac:dyDescent="0.2"/>
    <row r="3977" customFormat="1" x14ac:dyDescent="0.2"/>
    <row r="3978" customFormat="1" x14ac:dyDescent="0.2"/>
    <row r="3979" customFormat="1" x14ac:dyDescent="0.2"/>
    <row r="3980" customFormat="1" x14ac:dyDescent="0.2"/>
    <row r="3981" customFormat="1" x14ac:dyDescent="0.2"/>
    <row r="3982" customFormat="1" x14ac:dyDescent="0.2"/>
    <row r="3983" customFormat="1" x14ac:dyDescent="0.2"/>
    <row r="3984" customFormat="1" x14ac:dyDescent="0.2"/>
    <row r="3985" customFormat="1" x14ac:dyDescent="0.2"/>
    <row r="3986" customFormat="1" x14ac:dyDescent="0.2"/>
    <row r="3987" customFormat="1" x14ac:dyDescent="0.2"/>
    <row r="3988" customFormat="1" x14ac:dyDescent="0.2"/>
    <row r="3989" customFormat="1" x14ac:dyDescent="0.2"/>
    <row r="3990" customFormat="1" x14ac:dyDescent="0.2"/>
    <row r="3991" customFormat="1" x14ac:dyDescent="0.2"/>
    <row r="3992" customFormat="1" x14ac:dyDescent="0.2"/>
    <row r="3993" customFormat="1" x14ac:dyDescent="0.2"/>
    <row r="3994" customFormat="1" x14ac:dyDescent="0.2"/>
    <row r="3995" customFormat="1" x14ac:dyDescent="0.2"/>
    <row r="3996" customFormat="1" x14ac:dyDescent="0.2"/>
    <row r="3997" customFormat="1" x14ac:dyDescent="0.2"/>
    <row r="3998" customFormat="1" x14ac:dyDescent="0.2"/>
    <row r="3999" customFormat="1" x14ac:dyDescent="0.2"/>
    <row r="4000" customFormat="1" x14ac:dyDescent="0.2"/>
    <row r="4001" customFormat="1" x14ac:dyDescent="0.2"/>
    <row r="4002" customFormat="1" x14ac:dyDescent="0.2"/>
    <row r="4003" customFormat="1" x14ac:dyDescent="0.2"/>
    <row r="4004" customFormat="1" x14ac:dyDescent="0.2"/>
    <row r="4005" customFormat="1" x14ac:dyDescent="0.2"/>
    <row r="4006" customFormat="1" x14ac:dyDescent="0.2"/>
    <row r="4007" customFormat="1" x14ac:dyDescent="0.2"/>
    <row r="4008" customFormat="1" x14ac:dyDescent="0.2"/>
    <row r="4009" customFormat="1" x14ac:dyDescent="0.2"/>
    <row r="4010" customFormat="1" x14ac:dyDescent="0.2"/>
    <row r="4011" customFormat="1" x14ac:dyDescent="0.2"/>
    <row r="4012" customFormat="1" x14ac:dyDescent="0.2"/>
    <row r="4013" customFormat="1" x14ac:dyDescent="0.2"/>
    <row r="4014" customFormat="1" x14ac:dyDescent="0.2"/>
    <row r="4015" customFormat="1" x14ac:dyDescent="0.2"/>
    <row r="4016" customFormat="1" x14ac:dyDescent="0.2"/>
    <row r="4017" customFormat="1" x14ac:dyDescent="0.2"/>
    <row r="4018" customFormat="1" x14ac:dyDescent="0.2"/>
    <row r="4019" customFormat="1" x14ac:dyDescent="0.2"/>
    <row r="4020" customFormat="1" x14ac:dyDescent="0.2"/>
    <row r="4021" customFormat="1" x14ac:dyDescent="0.2"/>
    <row r="4022" customFormat="1" x14ac:dyDescent="0.2"/>
    <row r="4023" customFormat="1" x14ac:dyDescent="0.2"/>
    <row r="4024" customFormat="1" x14ac:dyDescent="0.2"/>
    <row r="4025" customFormat="1" x14ac:dyDescent="0.2"/>
    <row r="4026" customFormat="1" x14ac:dyDescent="0.2"/>
    <row r="4027" customFormat="1" x14ac:dyDescent="0.2"/>
    <row r="4028" customFormat="1" x14ac:dyDescent="0.2"/>
    <row r="4029" customFormat="1" x14ac:dyDescent="0.2"/>
    <row r="4030" customFormat="1" x14ac:dyDescent="0.2"/>
    <row r="4031" customFormat="1" x14ac:dyDescent="0.2"/>
    <row r="4032" customFormat="1" x14ac:dyDescent="0.2"/>
    <row r="4033" customFormat="1" x14ac:dyDescent="0.2"/>
    <row r="4034" customFormat="1" x14ac:dyDescent="0.2"/>
    <row r="4035" customFormat="1" x14ac:dyDescent="0.2"/>
    <row r="4036" customFormat="1" x14ac:dyDescent="0.2"/>
    <row r="4037" customFormat="1" x14ac:dyDescent="0.2"/>
    <row r="4038" customFormat="1" x14ac:dyDescent="0.2"/>
    <row r="4039" customFormat="1" x14ac:dyDescent="0.2"/>
    <row r="4040" customFormat="1" x14ac:dyDescent="0.2"/>
    <row r="4041" customFormat="1" x14ac:dyDescent="0.2"/>
    <row r="4042" customFormat="1" x14ac:dyDescent="0.2"/>
    <row r="4043" customFormat="1" x14ac:dyDescent="0.2"/>
    <row r="4044" customFormat="1" x14ac:dyDescent="0.2"/>
    <row r="4045" customFormat="1" x14ac:dyDescent="0.2"/>
    <row r="4046" customFormat="1" x14ac:dyDescent="0.2"/>
    <row r="4047" customFormat="1" x14ac:dyDescent="0.2"/>
    <row r="4048" customFormat="1" x14ac:dyDescent="0.2"/>
    <row r="4049" customFormat="1" x14ac:dyDescent="0.2"/>
    <row r="4050" customFormat="1" x14ac:dyDescent="0.2"/>
    <row r="4051" customFormat="1" x14ac:dyDescent="0.2"/>
    <row r="4052" customFormat="1" x14ac:dyDescent="0.2"/>
    <row r="4053" customFormat="1" x14ac:dyDescent="0.2"/>
    <row r="4054" customFormat="1" x14ac:dyDescent="0.2"/>
    <row r="4055" customFormat="1" x14ac:dyDescent="0.2"/>
    <row r="4056" customFormat="1" x14ac:dyDescent="0.2"/>
    <row r="4057" customFormat="1" x14ac:dyDescent="0.2"/>
    <row r="4058" customFormat="1" x14ac:dyDescent="0.2"/>
    <row r="4059" customFormat="1" x14ac:dyDescent="0.2"/>
    <row r="4060" customFormat="1" x14ac:dyDescent="0.2"/>
    <row r="4061" customFormat="1" x14ac:dyDescent="0.2"/>
    <row r="4062" customFormat="1" x14ac:dyDescent="0.2"/>
    <row r="4063" customFormat="1" x14ac:dyDescent="0.2"/>
    <row r="4064" customFormat="1" x14ac:dyDescent="0.2"/>
    <row r="4065" customFormat="1" x14ac:dyDescent="0.2"/>
    <row r="4066" customFormat="1" x14ac:dyDescent="0.2"/>
    <row r="4067" customFormat="1" x14ac:dyDescent="0.2"/>
    <row r="4068" customFormat="1" x14ac:dyDescent="0.2"/>
    <row r="4069" customFormat="1" x14ac:dyDescent="0.2"/>
    <row r="4070" customFormat="1" x14ac:dyDescent="0.2"/>
    <row r="4071" customFormat="1" x14ac:dyDescent="0.2"/>
    <row r="4072" customFormat="1" x14ac:dyDescent="0.2"/>
    <row r="4073" customFormat="1" x14ac:dyDescent="0.2"/>
    <row r="4074" customFormat="1" x14ac:dyDescent="0.2"/>
    <row r="4075" customFormat="1" x14ac:dyDescent="0.2"/>
    <row r="4076" customFormat="1" x14ac:dyDescent="0.2"/>
    <row r="4077" customFormat="1" x14ac:dyDescent="0.2"/>
    <row r="4078" customFormat="1" x14ac:dyDescent="0.2"/>
    <row r="4079" customFormat="1" x14ac:dyDescent="0.2"/>
    <row r="4080" customFormat="1" x14ac:dyDescent="0.2"/>
    <row r="4081" customFormat="1" x14ac:dyDescent="0.2"/>
    <row r="4082" customFormat="1" x14ac:dyDescent="0.2"/>
    <row r="4083" customFormat="1" x14ac:dyDescent="0.2"/>
    <row r="4084" customFormat="1" x14ac:dyDescent="0.2"/>
    <row r="4085" customFormat="1" x14ac:dyDescent="0.2"/>
    <row r="4086" customFormat="1" x14ac:dyDescent="0.2"/>
    <row r="4087" customFormat="1" x14ac:dyDescent="0.2"/>
    <row r="4088" customFormat="1" x14ac:dyDescent="0.2"/>
    <row r="4089" customFormat="1" x14ac:dyDescent="0.2"/>
    <row r="4090" customFormat="1" x14ac:dyDescent="0.2"/>
    <row r="4091" customFormat="1" x14ac:dyDescent="0.2"/>
    <row r="4092" customFormat="1" x14ac:dyDescent="0.2"/>
    <row r="4093" customFormat="1" x14ac:dyDescent="0.2"/>
    <row r="4094" customFormat="1" x14ac:dyDescent="0.2"/>
    <row r="4095" customFormat="1" x14ac:dyDescent="0.2"/>
    <row r="4096" customFormat="1" x14ac:dyDescent="0.2"/>
    <row r="4097" customFormat="1" x14ac:dyDescent="0.2"/>
    <row r="4098" customFormat="1" x14ac:dyDescent="0.2"/>
    <row r="4099" customFormat="1" x14ac:dyDescent="0.2"/>
    <row r="4100" customFormat="1" x14ac:dyDescent="0.2"/>
    <row r="4101" customFormat="1" x14ac:dyDescent="0.2"/>
    <row r="4102" customFormat="1" x14ac:dyDescent="0.2"/>
    <row r="4103" customFormat="1" x14ac:dyDescent="0.2"/>
    <row r="4104" customFormat="1" x14ac:dyDescent="0.2"/>
    <row r="4105" customFormat="1" x14ac:dyDescent="0.2"/>
    <row r="4106" customFormat="1" x14ac:dyDescent="0.2"/>
    <row r="4107" customFormat="1" x14ac:dyDescent="0.2"/>
    <row r="4108" customFormat="1" x14ac:dyDescent="0.2"/>
    <row r="4109" customFormat="1" x14ac:dyDescent="0.2"/>
    <row r="4110" customFormat="1" x14ac:dyDescent="0.2"/>
    <row r="4111" customFormat="1" x14ac:dyDescent="0.2"/>
    <row r="4112" customFormat="1" x14ac:dyDescent="0.2"/>
    <row r="4113" customFormat="1" x14ac:dyDescent="0.2"/>
    <row r="4114" customFormat="1" x14ac:dyDescent="0.2"/>
    <row r="4115" customFormat="1" x14ac:dyDescent="0.2"/>
    <row r="4116" customFormat="1" x14ac:dyDescent="0.2"/>
    <row r="4117" customFormat="1" x14ac:dyDescent="0.2"/>
    <row r="4118" customFormat="1" x14ac:dyDescent="0.2"/>
    <row r="4119" customFormat="1" x14ac:dyDescent="0.2"/>
    <row r="4120" customFormat="1" x14ac:dyDescent="0.2"/>
    <row r="4121" customFormat="1" x14ac:dyDescent="0.2"/>
    <row r="4122" customFormat="1" x14ac:dyDescent="0.2"/>
    <row r="4123" customFormat="1" x14ac:dyDescent="0.2"/>
    <row r="4124" customFormat="1" x14ac:dyDescent="0.2"/>
    <row r="4125" customFormat="1" x14ac:dyDescent="0.2"/>
    <row r="4126" customFormat="1" x14ac:dyDescent="0.2"/>
    <row r="4127" customFormat="1" x14ac:dyDescent="0.2"/>
    <row r="4128" customFormat="1" x14ac:dyDescent="0.2"/>
    <row r="4129" customFormat="1" x14ac:dyDescent="0.2"/>
    <row r="4130" customFormat="1" x14ac:dyDescent="0.2"/>
    <row r="4131" customFormat="1" x14ac:dyDescent="0.2"/>
    <row r="4132" customFormat="1" x14ac:dyDescent="0.2"/>
    <row r="4133" customFormat="1" x14ac:dyDescent="0.2"/>
    <row r="4134" customFormat="1" x14ac:dyDescent="0.2"/>
    <row r="4135" customFormat="1" x14ac:dyDescent="0.2"/>
    <row r="4136" customFormat="1" x14ac:dyDescent="0.2"/>
    <row r="4137" customFormat="1" x14ac:dyDescent="0.2"/>
    <row r="4138" customFormat="1" x14ac:dyDescent="0.2"/>
    <row r="4139" customFormat="1" x14ac:dyDescent="0.2"/>
    <row r="4140" customFormat="1" x14ac:dyDescent="0.2"/>
    <row r="4141" customFormat="1" x14ac:dyDescent="0.2"/>
    <row r="4142" customFormat="1" x14ac:dyDescent="0.2"/>
    <row r="4143" customFormat="1" x14ac:dyDescent="0.2"/>
    <row r="4144" customFormat="1" x14ac:dyDescent="0.2"/>
    <row r="4145" customFormat="1" x14ac:dyDescent="0.2"/>
    <row r="4146" customFormat="1" x14ac:dyDescent="0.2"/>
    <row r="4147" customFormat="1" x14ac:dyDescent="0.2"/>
    <row r="4148" customFormat="1" x14ac:dyDescent="0.2"/>
    <row r="4149" customFormat="1" x14ac:dyDescent="0.2"/>
    <row r="4150" customFormat="1" x14ac:dyDescent="0.2"/>
    <row r="4151" customFormat="1" x14ac:dyDescent="0.2"/>
    <row r="4152" customFormat="1" x14ac:dyDescent="0.2"/>
    <row r="4153" customFormat="1" x14ac:dyDescent="0.2"/>
    <row r="4154" customFormat="1" x14ac:dyDescent="0.2"/>
    <row r="4155" customFormat="1" x14ac:dyDescent="0.2"/>
    <row r="4156" customFormat="1" x14ac:dyDescent="0.2"/>
    <row r="4157" customFormat="1" x14ac:dyDescent="0.2"/>
    <row r="4158" customFormat="1" x14ac:dyDescent="0.2"/>
    <row r="4159" customFormat="1" x14ac:dyDescent="0.2"/>
    <row r="4160" customFormat="1" x14ac:dyDescent="0.2"/>
    <row r="4161" customFormat="1" x14ac:dyDescent="0.2"/>
    <row r="4162" customFormat="1" x14ac:dyDescent="0.2"/>
    <row r="4163" customFormat="1" x14ac:dyDescent="0.2"/>
    <row r="4164" customFormat="1" x14ac:dyDescent="0.2"/>
    <row r="4165" customFormat="1" x14ac:dyDescent="0.2"/>
    <row r="4166" customFormat="1" x14ac:dyDescent="0.2"/>
    <row r="4167" customFormat="1" x14ac:dyDescent="0.2"/>
    <row r="4168" customFormat="1" x14ac:dyDescent="0.2"/>
    <row r="4169" customFormat="1" x14ac:dyDescent="0.2"/>
    <row r="4170" customFormat="1" x14ac:dyDescent="0.2"/>
    <row r="4171" customFormat="1" x14ac:dyDescent="0.2"/>
    <row r="4172" customFormat="1" x14ac:dyDescent="0.2"/>
    <row r="4173" customFormat="1" x14ac:dyDescent="0.2"/>
    <row r="4174" customFormat="1" x14ac:dyDescent="0.2"/>
    <row r="4175" customFormat="1" x14ac:dyDescent="0.2"/>
    <row r="4176" customFormat="1" x14ac:dyDescent="0.2"/>
    <row r="4177" customFormat="1" x14ac:dyDescent="0.2"/>
    <row r="4178" customFormat="1" x14ac:dyDescent="0.2"/>
    <row r="4179" customFormat="1" x14ac:dyDescent="0.2"/>
    <row r="4180" customFormat="1" x14ac:dyDescent="0.2"/>
    <row r="4181" customFormat="1" x14ac:dyDescent="0.2"/>
    <row r="4182" customFormat="1" x14ac:dyDescent="0.2"/>
    <row r="4183" customFormat="1" x14ac:dyDescent="0.2"/>
    <row r="4184" customFormat="1" x14ac:dyDescent="0.2"/>
    <row r="4185" customFormat="1" x14ac:dyDescent="0.2"/>
    <row r="4186" customFormat="1" x14ac:dyDescent="0.2"/>
    <row r="4187" customFormat="1" x14ac:dyDescent="0.2"/>
    <row r="4188" customFormat="1" x14ac:dyDescent="0.2"/>
    <row r="4189" customFormat="1" x14ac:dyDescent="0.2"/>
    <row r="4190" customFormat="1" x14ac:dyDescent="0.2"/>
    <row r="4191" customFormat="1" x14ac:dyDescent="0.2"/>
    <row r="4192" customFormat="1" x14ac:dyDescent="0.2"/>
    <row r="4193" customFormat="1" x14ac:dyDescent="0.2"/>
    <row r="4194" customFormat="1" x14ac:dyDescent="0.2"/>
    <row r="4195" customFormat="1" x14ac:dyDescent="0.2"/>
    <row r="4196" customFormat="1" x14ac:dyDescent="0.2"/>
    <row r="4197" customFormat="1" x14ac:dyDescent="0.2"/>
    <row r="4198" customFormat="1" x14ac:dyDescent="0.2"/>
    <row r="4199" customFormat="1" x14ac:dyDescent="0.2"/>
    <row r="4200" customFormat="1" x14ac:dyDescent="0.2"/>
    <row r="4201" customFormat="1" x14ac:dyDescent="0.2"/>
    <row r="4202" customFormat="1" x14ac:dyDescent="0.2"/>
    <row r="4203" customFormat="1" x14ac:dyDescent="0.2"/>
    <row r="4204" customFormat="1" x14ac:dyDescent="0.2"/>
    <row r="4205" customFormat="1" x14ac:dyDescent="0.2"/>
    <row r="4206" customFormat="1" x14ac:dyDescent="0.2"/>
    <row r="4207" customFormat="1" x14ac:dyDescent="0.2"/>
    <row r="4208" customFormat="1" x14ac:dyDescent="0.2"/>
    <row r="4209" customFormat="1" x14ac:dyDescent="0.2"/>
    <row r="4210" customFormat="1" x14ac:dyDescent="0.2"/>
    <row r="4211" customFormat="1" x14ac:dyDescent="0.2"/>
    <row r="4212" customFormat="1" x14ac:dyDescent="0.2"/>
    <row r="4213" customFormat="1" x14ac:dyDescent="0.2"/>
    <row r="4214" customFormat="1" x14ac:dyDescent="0.2"/>
    <row r="4215" customFormat="1" x14ac:dyDescent="0.2"/>
    <row r="4216" customFormat="1" x14ac:dyDescent="0.2"/>
    <row r="4217" customFormat="1" x14ac:dyDescent="0.2"/>
    <row r="4218" customFormat="1" x14ac:dyDescent="0.2"/>
    <row r="4219" customFormat="1" x14ac:dyDescent="0.2"/>
    <row r="4220" customFormat="1" x14ac:dyDescent="0.2"/>
    <row r="4221" customFormat="1" x14ac:dyDescent="0.2"/>
    <row r="4222" customFormat="1" x14ac:dyDescent="0.2"/>
    <row r="4223" customFormat="1" x14ac:dyDescent="0.2"/>
    <row r="4224" customFormat="1" x14ac:dyDescent="0.2"/>
    <row r="4225" customFormat="1" x14ac:dyDescent="0.2"/>
    <row r="4226" customFormat="1" x14ac:dyDescent="0.2"/>
    <row r="4227" customFormat="1" x14ac:dyDescent="0.2"/>
    <row r="4228" customFormat="1" x14ac:dyDescent="0.2"/>
    <row r="4229" customFormat="1" x14ac:dyDescent="0.2"/>
    <row r="4230" customFormat="1" x14ac:dyDescent="0.2"/>
    <row r="4231" customFormat="1" x14ac:dyDescent="0.2"/>
    <row r="4232" customFormat="1" x14ac:dyDescent="0.2"/>
    <row r="4233" customFormat="1" x14ac:dyDescent="0.2"/>
    <row r="4234" customFormat="1" x14ac:dyDescent="0.2"/>
    <row r="4235" customFormat="1" x14ac:dyDescent="0.2"/>
    <row r="4236" customFormat="1" x14ac:dyDescent="0.2"/>
    <row r="4237" customFormat="1" x14ac:dyDescent="0.2"/>
    <row r="4238" customFormat="1" x14ac:dyDescent="0.2"/>
    <row r="4239" customFormat="1" x14ac:dyDescent="0.2"/>
    <row r="4240" customFormat="1" x14ac:dyDescent="0.2"/>
    <row r="4241" customFormat="1" x14ac:dyDescent="0.2"/>
    <row r="4242" customFormat="1" x14ac:dyDescent="0.2"/>
    <row r="4243" customFormat="1" x14ac:dyDescent="0.2"/>
    <row r="4244" customFormat="1" x14ac:dyDescent="0.2"/>
    <row r="4245" customFormat="1" x14ac:dyDescent="0.2"/>
    <row r="4246" customFormat="1" x14ac:dyDescent="0.2"/>
    <row r="4247" customFormat="1" x14ac:dyDescent="0.2"/>
    <row r="4248" customFormat="1" x14ac:dyDescent="0.2"/>
    <row r="4249" customFormat="1" x14ac:dyDescent="0.2"/>
    <row r="4250" customFormat="1" x14ac:dyDescent="0.2"/>
    <row r="4251" customFormat="1" x14ac:dyDescent="0.2"/>
    <row r="4252" customFormat="1" x14ac:dyDescent="0.2"/>
    <row r="4253" customFormat="1" x14ac:dyDescent="0.2"/>
    <row r="4254" customFormat="1" x14ac:dyDescent="0.2"/>
    <row r="4255" customFormat="1" x14ac:dyDescent="0.2"/>
    <row r="4256" customFormat="1" x14ac:dyDescent="0.2"/>
    <row r="4257" customFormat="1" x14ac:dyDescent="0.2"/>
    <row r="4258" customFormat="1" x14ac:dyDescent="0.2"/>
    <row r="4259" customFormat="1" x14ac:dyDescent="0.2"/>
    <row r="4260" customFormat="1" x14ac:dyDescent="0.2"/>
    <row r="4261" customFormat="1" x14ac:dyDescent="0.2"/>
    <row r="4262" customFormat="1" x14ac:dyDescent="0.2"/>
    <row r="4263" customFormat="1" x14ac:dyDescent="0.2"/>
    <row r="4264" customFormat="1" x14ac:dyDescent="0.2"/>
    <row r="4265" customFormat="1" x14ac:dyDescent="0.2"/>
    <row r="4266" customFormat="1" x14ac:dyDescent="0.2"/>
    <row r="4267" customFormat="1" x14ac:dyDescent="0.2"/>
    <row r="4268" customFormat="1" x14ac:dyDescent="0.2"/>
    <row r="4269" customFormat="1" x14ac:dyDescent="0.2"/>
    <row r="4270" customFormat="1" x14ac:dyDescent="0.2"/>
    <row r="4271" customFormat="1" x14ac:dyDescent="0.2"/>
    <row r="4272" customFormat="1" x14ac:dyDescent="0.2"/>
    <row r="4273" customFormat="1" x14ac:dyDescent="0.2"/>
    <row r="4274" customFormat="1" x14ac:dyDescent="0.2"/>
    <row r="4275" customFormat="1" x14ac:dyDescent="0.2"/>
    <row r="4276" customFormat="1" x14ac:dyDescent="0.2"/>
    <row r="4277" customFormat="1" x14ac:dyDescent="0.2"/>
    <row r="4278" customFormat="1" x14ac:dyDescent="0.2"/>
    <row r="4279" customFormat="1" x14ac:dyDescent="0.2"/>
    <row r="4280" customFormat="1" x14ac:dyDescent="0.2"/>
    <row r="4281" customFormat="1" x14ac:dyDescent="0.2"/>
    <row r="4282" customFormat="1" x14ac:dyDescent="0.2"/>
    <row r="4283" customFormat="1" x14ac:dyDescent="0.2"/>
    <row r="4284" customFormat="1" x14ac:dyDescent="0.2"/>
    <row r="4285" customFormat="1" x14ac:dyDescent="0.2"/>
    <row r="4286" customFormat="1" x14ac:dyDescent="0.2"/>
    <row r="4287" customFormat="1" x14ac:dyDescent="0.2"/>
    <row r="4288" customFormat="1" x14ac:dyDescent="0.2"/>
    <row r="4289" customFormat="1" x14ac:dyDescent="0.2"/>
    <row r="4290" customFormat="1" x14ac:dyDescent="0.2"/>
    <row r="4291" customFormat="1" x14ac:dyDescent="0.2"/>
    <row r="4292" customFormat="1" x14ac:dyDescent="0.2"/>
    <row r="4293" customFormat="1" x14ac:dyDescent="0.2"/>
    <row r="4294" customFormat="1" x14ac:dyDescent="0.2"/>
    <row r="4295" customFormat="1" x14ac:dyDescent="0.2"/>
    <row r="4296" customFormat="1" x14ac:dyDescent="0.2"/>
    <row r="4297" customFormat="1" x14ac:dyDescent="0.2"/>
    <row r="4298" customFormat="1" x14ac:dyDescent="0.2"/>
    <row r="4299" customFormat="1" x14ac:dyDescent="0.2"/>
    <row r="4300" customFormat="1" x14ac:dyDescent="0.2"/>
    <row r="4301" customFormat="1" x14ac:dyDescent="0.2"/>
    <row r="4302" customFormat="1" x14ac:dyDescent="0.2"/>
    <row r="4303" customFormat="1" x14ac:dyDescent="0.2"/>
    <row r="4304" customFormat="1" x14ac:dyDescent="0.2"/>
    <row r="4305" customFormat="1" x14ac:dyDescent="0.2"/>
    <row r="4306" customFormat="1" x14ac:dyDescent="0.2"/>
    <row r="4307" customFormat="1" x14ac:dyDescent="0.2"/>
    <row r="4308" customFormat="1" x14ac:dyDescent="0.2"/>
    <row r="4309" customFormat="1" x14ac:dyDescent="0.2"/>
    <row r="4310" customFormat="1" x14ac:dyDescent="0.2"/>
    <row r="4311" customFormat="1" x14ac:dyDescent="0.2"/>
    <row r="4312" customFormat="1" x14ac:dyDescent="0.2"/>
    <row r="4313" customFormat="1" x14ac:dyDescent="0.2"/>
    <row r="4314" customFormat="1" x14ac:dyDescent="0.2"/>
    <row r="4315" customFormat="1" x14ac:dyDescent="0.2"/>
    <row r="4316" customFormat="1" x14ac:dyDescent="0.2"/>
    <row r="4317" customFormat="1" x14ac:dyDescent="0.2"/>
    <row r="4318" customFormat="1" x14ac:dyDescent="0.2"/>
    <row r="4319" customFormat="1" x14ac:dyDescent="0.2"/>
    <row r="4320" customFormat="1" x14ac:dyDescent="0.2"/>
    <row r="4321" customFormat="1" x14ac:dyDescent="0.2"/>
    <row r="4322" customFormat="1" x14ac:dyDescent="0.2"/>
    <row r="4323" customFormat="1" x14ac:dyDescent="0.2"/>
    <row r="4324" customFormat="1" x14ac:dyDescent="0.2"/>
    <row r="4325" customFormat="1" x14ac:dyDescent="0.2"/>
    <row r="4326" customFormat="1" x14ac:dyDescent="0.2"/>
    <row r="4327" customFormat="1" x14ac:dyDescent="0.2"/>
    <row r="4328" customFormat="1" x14ac:dyDescent="0.2"/>
    <row r="4329" customFormat="1" x14ac:dyDescent="0.2"/>
    <row r="4330" customFormat="1" x14ac:dyDescent="0.2"/>
    <row r="4331" customFormat="1" x14ac:dyDescent="0.2"/>
    <row r="4332" customFormat="1" x14ac:dyDescent="0.2"/>
    <row r="4333" customFormat="1" x14ac:dyDescent="0.2"/>
    <row r="4334" customFormat="1" x14ac:dyDescent="0.2"/>
    <row r="4335" customFormat="1" x14ac:dyDescent="0.2"/>
    <row r="4336" customFormat="1" x14ac:dyDescent="0.2"/>
    <row r="4337" customFormat="1" x14ac:dyDescent="0.2"/>
    <row r="4338" customFormat="1" x14ac:dyDescent="0.2"/>
    <row r="4339" customFormat="1" x14ac:dyDescent="0.2"/>
    <row r="4340" customFormat="1" x14ac:dyDescent="0.2"/>
    <row r="4341" customFormat="1" x14ac:dyDescent="0.2"/>
    <row r="4342" customFormat="1" x14ac:dyDescent="0.2"/>
    <row r="4343" customFormat="1" x14ac:dyDescent="0.2"/>
    <row r="4344" customFormat="1" x14ac:dyDescent="0.2"/>
    <row r="4345" customFormat="1" x14ac:dyDescent="0.2"/>
    <row r="4346" customFormat="1" x14ac:dyDescent="0.2"/>
    <row r="4347" customFormat="1" x14ac:dyDescent="0.2"/>
    <row r="4348" customFormat="1" x14ac:dyDescent="0.2"/>
    <row r="4349" customFormat="1" x14ac:dyDescent="0.2"/>
    <row r="4350" customFormat="1" x14ac:dyDescent="0.2"/>
    <row r="4351" customFormat="1" x14ac:dyDescent="0.2"/>
    <row r="4352" customFormat="1" x14ac:dyDescent="0.2"/>
    <row r="4353" customFormat="1" x14ac:dyDescent="0.2"/>
    <row r="4354" customFormat="1" x14ac:dyDescent="0.2"/>
    <row r="4355" customFormat="1" x14ac:dyDescent="0.2"/>
    <row r="4356" customFormat="1" x14ac:dyDescent="0.2"/>
    <row r="4357" customFormat="1" x14ac:dyDescent="0.2"/>
    <row r="4358" customFormat="1" x14ac:dyDescent="0.2"/>
    <row r="4359" customFormat="1" x14ac:dyDescent="0.2"/>
    <row r="4360" customFormat="1" x14ac:dyDescent="0.2"/>
    <row r="4361" customFormat="1" x14ac:dyDescent="0.2"/>
    <row r="4362" customFormat="1" x14ac:dyDescent="0.2"/>
    <row r="4363" customFormat="1" x14ac:dyDescent="0.2"/>
    <row r="4364" customFormat="1" x14ac:dyDescent="0.2"/>
    <row r="4365" customFormat="1" x14ac:dyDescent="0.2"/>
    <row r="4366" customFormat="1" x14ac:dyDescent="0.2"/>
    <row r="4367" customFormat="1" x14ac:dyDescent="0.2"/>
    <row r="4368" customFormat="1" x14ac:dyDescent="0.2"/>
    <row r="4369" customFormat="1" x14ac:dyDescent="0.2"/>
    <row r="4370" customFormat="1" x14ac:dyDescent="0.2"/>
    <row r="4371" customFormat="1" x14ac:dyDescent="0.2"/>
    <row r="4372" customFormat="1" x14ac:dyDescent="0.2"/>
    <row r="4373" customFormat="1" x14ac:dyDescent="0.2"/>
    <row r="4374" customFormat="1" x14ac:dyDescent="0.2"/>
    <row r="4375" customFormat="1" x14ac:dyDescent="0.2"/>
    <row r="4376" customFormat="1" x14ac:dyDescent="0.2"/>
    <row r="4377" customFormat="1" x14ac:dyDescent="0.2"/>
    <row r="4378" customFormat="1" x14ac:dyDescent="0.2"/>
    <row r="4379" customFormat="1" x14ac:dyDescent="0.2"/>
    <row r="4380" customFormat="1" x14ac:dyDescent="0.2"/>
    <row r="4381" customFormat="1" x14ac:dyDescent="0.2"/>
    <row r="4382" customFormat="1" x14ac:dyDescent="0.2"/>
    <row r="4383" customFormat="1" x14ac:dyDescent="0.2"/>
    <row r="4384" customFormat="1" x14ac:dyDescent="0.2"/>
    <row r="4385" customFormat="1" x14ac:dyDescent="0.2"/>
    <row r="4386" customFormat="1" x14ac:dyDescent="0.2"/>
    <row r="4387" customFormat="1" x14ac:dyDescent="0.2"/>
    <row r="4388" customFormat="1" x14ac:dyDescent="0.2"/>
    <row r="4389" customFormat="1" x14ac:dyDescent="0.2"/>
    <row r="4390" customFormat="1" x14ac:dyDescent="0.2"/>
    <row r="4391" customFormat="1" x14ac:dyDescent="0.2"/>
    <row r="4392" customFormat="1" x14ac:dyDescent="0.2"/>
    <row r="4393" customFormat="1" x14ac:dyDescent="0.2"/>
    <row r="4394" customFormat="1" x14ac:dyDescent="0.2"/>
    <row r="4395" customFormat="1" x14ac:dyDescent="0.2"/>
    <row r="4396" customFormat="1" x14ac:dyDescent="0.2"/>
    <row r="4397" customFormat="1" x14ac:dyDescent="0.2"/>
    <row r="4398" customFormat="1" x14ac:dyDescent="0.2"/>
    <row r="4399" customFormat="1" x14ac:dyDescent="0.2"/>
    <row r="4400" customFormat="1" x14ac:dyDescent="0.2"/>
    <row r="4401" customFormat="1" x14ac:dyDescent="0.2"/>
    <row r="4402" customFormat="1" x14ac:dyDescent="0.2"/>
    <row r="4403" customFormat="1" x14ac:dyDescent="0.2"/>
    <row r="4404" customFormat="1" x14ac:dyDescent="0.2"/>
    <row r="4405" customFormat="1" x14ac:dyDescent="0.2"/>
    <row r="4406" customFormat="1" x14ac:dyDescent="0.2"/>
    <row r="4407" customFormat="1" x14ac:dyDescent="0.2"/>
    <row r="4408" customFormat="1" x14ac:dyDescent="0.2"/>
    <row r="4409" customFormat="1" x14ac:dyDescent="0.2"/>
    <row r="4410" customFormat="1" x14ac:dyDescent="0.2"/>
    <row r="4411" customFormat="1" x14ac:dyDescent="0.2"/>
    <row r="4412" customFormat="1" x14ac:dyDescent="0.2"/>
    <row r="4413" customFormat="1" x14ac:dyDescent="0.2"/>
    <row r="4414" customFormat="1" x14ac:dyDescent="0.2"/>
    <row r="4415" customFormat="1" x14ac:dyDescent="0.2"/>
    <row r="4416" customFormat="1" x14ac:dyDescent="0.2"/>
    <row r="4417" customFormat="1" x14ac:dyDescent="0.2"/>
    <row r="4418" customFormat="1" x14ac:dyDescent="0.2"/>
    <row r="4419" customFormat="1" x14ac:dyDescent="0.2"/>
    <row r="4420" customFormat="1" x14ac:dyDescent="0.2"/>
    <row r="4421" customFormat="1" x14ac:dyDescent="0.2"/>
    <row r="4422" customFormat="1" x14ac:dyDescent="0.2"/>
    <row r="4423" customFormat="1" x14ac:dyDescent="0.2"/>
    <row r="4424" customFormat="1" x14ac:dyDescent="0.2"/>
    <row r="4425" customFormat="1" x14ac:dyDescent="0.2"/>
    <row r="4426" customFormat="1" x14ac:dyDescent="0.2"/>
    <row r="4427" customFormat="1" x14ac:dyDescent="0.2"/>
    <row r="4428" customFormat="1" x14ac:dyDescent="0.2"/>
    <row r="4429" customFormat="1" x14ac:dyDescent="0.2"/>
    <row r="4430" customFormat="1" x14ac:dyDescent="0.2"/>
    <row r="4431" customFormat="1" x14ac:dyDescent="0.2"/>
    <row r="4432" customFormat="1" x14ac:dyDescent="0.2"/>
    <row r="4433" customFormat="1" x14ac:dyDescent="0.2"/>
    <row r="4434" customFormat="1" x14ac:dyDescent="0.2"/>
    <row r="4435" customFormat="1" x14ac:dyDescent="0.2"/>
    <row r="4436" customFormat="1" x14ac:dyDescent="0.2"/>
    <row r="4437" customFormat="1" x14ac:dyDescent="0.2"/>
    <row r="4438" customFormat="1" x14ac:dyDescent="0.2"/>
    <row r="4439" customFormat="1" x14ac:dyDescent="0.2"/>
    <row r="4440" customFormat="1" x14ac:dyDescent="0.2"/>
    <row r="4441" customFormat="1" x14ac:dyDescent="0.2"/>
    <row r="4442" customFormat="1" x14ac:dyDescent="0.2"/>
    <row r="4443" customFormat="1" x14ac:dyDescent="0.2"/>
    <row r="4444" customFormat="1" x14ac:dyDescent="0.2"/>
    <row r="4445" customFormat="1" x14ac:dyDescent="0.2"/>
    <row r="4446" customFormat="1" x14ac:dyDescent="0.2"/>
    <row r="4447" customFormat="1" x14ac:dyDescent="0.2"/>
    <row r="4448" customFormat="1" x14ac:dyDescent="0.2"/>
    <row r="4449" customFormat="1" x14ac:dyDescent="0.2"/>
    <row r="4450" customFormat="1" x14ac:dyDescent="0.2"/>
    <row r="4451" customFormat="1" x14ac:dyDescent="0.2"/>
    <row r="4452" customFormat="1" x14ac:dyDescent="0.2"/>
    <row r="4453" customFormat="1" x14ac:dyDescent="0.2"/>
    <row r="4454" customFormat="1" x14ac:dyDescent="0.2"/>
    <row r="4455" customFormat="1" x14ac:dyDescent="0.2"/>
    <row r="4456" customFormat="1" x14ac:dyDescent="0.2"/>
    <row r="4457" customFormat="1" x14ac:dyDescent="0.2"/>
    <row r="4458" customFormat="1" x14ac:dyDescent="0.2"/>
    <row r="4459" customFormat="1" x14ac:dyDescent="0.2"/>
    <row r="4460" customFormat="1" x14ac:dyDescent="0.2"/>
    <row r="4461" customFormat="1" x14ac:dyDescent="0.2"/>
    <row r="4462" customFormat="1" x14ac:dyDescent="0.2"/>
    <row r="4463" customFormat="1" x14ac:dyDescent="0.2"/>
    <row r="4464" customFormat="1" x14ac:dyDescent="0.2"/>
    <row r="4465" customFormat="1" x14ac:dyDescent="0.2"/>
    <row r="4466" customFormat="1" x14ac:dyDescent="0.2"/>
    <row r="4467" customFormat="1" x14ac:dyDescent="0.2"/>
    <row r="4468" customFormat="1" x14ac:dyDescent="0.2"/>
    <row r="4469" customFormat="1" x14ac:dyDescent="0.2"/>
    <row r="4470" customFormat="1" x14ac:dyDescent="0.2"/>
    <row r="4471" customFormat="1" x14ac:dyDescent="0.2"/>
    <row r="4472" customFormat="1" x14ac:dyDescent="0.2"/>
    <row r="4473" customFormat="1" x14ac:dyDescent="0.2"/>
    <row r="4474" customFormat="1" x14ac:dyDescent="0.2"/>
    <row r="4475" customFormat="1" x14ac:dyDescent="0.2"/>
    <row r="4476" customFormat="1" x14ac:dyDescent="0.2"/>
    <row r="4477" customFormat="1" x14ac:dyDescent="0.2"/>
    <row r="4478" customFormat="1" x14ac:dyDescent="0.2"/>
    <row r="4479" customFormat="1" x14ac:dyDescent="0.2"/>
    <row r="4480" customFormat="1" x14ac:dyDescent="0.2"/>
    <row r="4481" customFormat="1" x14ac:dyDescent="0.2"/>
    <row r="4482" customFormat="1" x14ac:dyDescent="0.2"/>
    <row r="4483" customFormat="1" x14ac:dyDescent="0.2"/>
    <row r="4484" customFormat="1" x14ac:dyDescent="0.2"/>
    <row r="4485" customFormat="1" x14ac:dyDescent="0.2"/>
    <row r="4486" customFormat="1" x14ac:dyDescent="0.2"/>
    <row r="4487" customFormat="1" x14ac:dyDescent="0.2"/>
    <row r="4488" customFormat="1" x14ac:dyDescent="0.2"/>
    <row r="4489" customFormat="1" x14ac:dyDescent="0.2"/>
    <row r="4490" customFormat="1" x14ac:dyDescent="0.2"/>
    <row r="4491" customFormat="1" x14ac:dyDescent="0.2"/>
    <row r="4492" customFormat="1" x14ac:dyDescent="0.2"/>
    <row r="4493" customFormat="1" x14ac:dyDescent="0.2"/>
    <row r="4494" customFormat="1" x14ac:dyDescent="0.2"/>
    <row r="4495" customFormat="1" x14ac:dyDescent="0.2"/>
    <row r="4496" customFormat="1" x14ac:dyDescent="0.2"/>
    <row r="4497" customFormat="1" x14ac:dyDescent="0.2"/>
    <row r="4498" customFormat="1" x14ac:dyDescent="0.2"/>
    <row r="4499" customFormat="1" x14ac:dyDescent="0.2"/>
    <row r="4500" customFormat="1" x14ac:dyDescent="0.2"/>
    <row r="4501" customFormat="1" x14ac:dyDescent="0.2"/>
    <row r="4502" customFormat="1" x14ac:dyDescent="0.2"/>
    <row r="4503" customFormat="1" x14ac:dyDescent="0.2"/>
    <row r="4504" customFormat="1" x14ac:dyDescent="0.2"/>
    <row r="4505" customFormat="1" x14ac:dyDescent="0.2"/>
    <row r="4506" customFormat="1" x14ac:dyDescent="0.2"/>
    <row r="4507" customFormat="1" x14ac:dyDescent="0.2"/>
    <row r="4508" customFormat="1" x14ac:dyDescent="0.2"/>
    <row r="4509" customFormat="1" x14ac:dyDescent="0.2"/>
    <row r="4510" customFormat="1" x14ac:dyDescent="0.2"/>
    <row r="4511" customFormat="1" x14ac:dyDescent="0.2"/>
    <row r="4512" customFormat="1" x14ac:dyDescent="0.2"/>
    <row r="4513" customFormat="1" x14ac:dyDescent="0.2"/>
    <row r="4514" customFormat="1" x14ac:dyDescent="0.2"/>
    <row r="4515" customFormat="1" x14ac:dyDescent="0.2"/>
    <row r="4516" customFormat="1" x14ac:dyDescent="0.2"/>
    <row r="4517" customFormat="1" x14ac:dyDescent="0.2"/>
    <row r="4518" customFormat="1" x14ac:dyDescent="0.2"/>
    <row r="4519" customFormat="1" x14ac:dyDescent="0.2"/>
    <row r="4520" customFormat="1" x14ac:dyDescent="0.2"/>
    <row r="4521" customFormat="1" x14ac:dyDescent="0.2"/>
    <row r="4522" customFormat="1" x14ac:dyDescent="0.2"/>
    <row r="4523" customFormat="1" x14ac:dyDescent="0.2"/>
    <row r="4524" customFormat="1" x14ac:dyDescent="0.2"/>
    <row r="4525" customFormat="1" x14ac:dyDescent="0.2"/>
    <row r="4526" customFormat="1" x14ac:dyDescent="0.2"/>
    <row r="4527" customFormat="1" x14ac:dyDescent="0.2"/>
    <row r="4528" customFormat="1" x14ac:dyDescent="0.2"/>
    <row r="4529" customFormat="1" x14ac:dyDescent="0.2"/>
    <row r="4530" customFormat="1" x14ac:dyDescent="0.2"/>
    <row r="4531" customFormat="1" x14ac:dyDescent="0.2"/>
    <row r="4532" customFormat="1" x14ac:dyDescent="0.2"/>
    <row r="4533" customFormat="1" x14ac:dyDescent="0.2"/>
    <row r="4534" customFormat="1" x14ac:dyDescent="0.2"/>
    <row r="4535" customFormat="1" x14ac:dyDescent="0.2"/>
    <row r="4536" customFormat="1" x14ac:dyDescent="0.2"/>
    <row r="4537" customFormat="1" x14ac:dyDescent="0.2"/>
    <row r="4538" customFormat="1" x14ac:dyDescent="0.2"/>
    <row r="4539" customFormat="1" x14ac:dyDescent="0.2"/>
    <row r="4540" customFormat="1" x14ac:dyDescent="0.2"/>
    <row r="4541" customFormat="1" x14ac:dyDescent="0.2"/>
    <row r="4542" customFormat="1" x14ac:dyDescent="0.2"/>
    <row r="4543" customFormat="1" x14ac:dyDescent="0.2"/>
    <row r="4544" customFormat="1" x14ac:dyDescent="0.2"/>
    <row r="4545" customFormat="1" x14ac:dyDescent="0.2"/>
    <row r="4546" customFormat="1" x14ac:dyDescent="0.2"/>
    <row r="4547" customFormat="1" x14ac:dyDescent="0.2"/>
    <row r="4548" customFormat="1" x14ac:dyDescent="0.2"/>
    <row r="4549" customFormat="1" x14ac:dyDescent="0.2"/>
    <row r="4550" customFormat="1" x14ac:dyDescent="0.2"/>
    <row r="4551" customFormat="1" x14ac:dyDescent="0.2"/>
    <row r="4552" customFormat="1" x14ac:dyDescent="0.2"/>
    <row r="4553" customFormat="1" x14ac:dyDescent="0.2"/>
    <row r="4554" customFormat="1" x14ac:dyDescent="0.2"/>
    <row r="4555" customFormat="1" x14ac:dyDescent="0.2"/>
    <row r="4556" customFormat="1" x14ac:dyDescent="0.2"/>
    <row r="4557" customFormat="1" x14ac:dyDescent="0.2"/>
    <row r="4558" customFormat="1" x14ac:dyDescent="0.2"/>
    <row r="4559" customFormat="1" x14ac:dyDescent="0.2"/>
    <row r="4560" customFormat="1" x14ac:dyDescent="0.2"/>
    <row r="4561" customFormat="1" x14ac:dyDescent="0.2"/>
    <row r="4562" customFormat="1" x14ac:dyDescent="0.2"/>
    <row r="4563" customFormat="1" x14ac:dyDescent="0.2"/>
    <row r="4564" customFormat="1" x14ac:dyDescent="0.2"/>
    <row r="4565" customFormat="1" x14ac:dyDescent="0.2"/>
    <row r="4566" customFormat="1" x14ac:dyDescent="0.2"/>
    <row r="4567" customFormat="1" x14ac:dyDescent="0.2"/>
    <row r="4568" customFormat="1" x14ac:dyDescent="0.2"/>
    <row r="4569" customFormat="1" x14ac:dyDescent="0.2"/>
    <row r="4570" customFormat="1" x14ac:dyDescent="0.2"/>
    <row r="4571" customFormat="1" x14ac:dyDescent="0.2"/>
    <row r="4572" customFormat="1" x14ac:dyDescent="0.2"/>
    <row r="4573" customFormat="1" x14ac:dyDescent="0.2"/>
    <row r="4574" customFormat="1" x14ac:dyDescent="0.2"/>
    <row r="4575" customFormat="1" x14ac:dyDescent="0.2"/>
    <row r="4576" customFormat="1" x14ac:dyDescent="0.2"/>
    <row r="4577" customFormat="1" x14ac:dyDescent="0.2"/>
    <row r="4578" customFormat="1" x14ac:dyDescent="0.2"/>
    <row r="4579" customFormat="1" x14ac:dyDescent="0.2"/>
    <row r="4580" customFormat="1" x14ac:dyDescent="0.2"/>
    <row r="4581" customFormat="1" x14ac:dyDescent="0.2"/>
    <row r="4582" customFormat="1" x14ac:dyDescent="0.2"/>
    <row r="4583" customFormat="1" x14ac:dyDescent="0.2"/>
    <row r="4584" customFormat="1" x14ac:dyDescent="0.2"/>
    <row r="4585" customFormat="1" x14ac:dyDescent="0.2"/>
    <row r="4586" customFormat="1" x14ac:dyDescent="0.2"/>
    <row r="4587" customFormat="1" x14ac:dyDescent="0.2"/>
    <row r="4588" customFormat="1" x14ac:dyDescent="0.2"/>
    <row r="4589" customFormat="1" x14ac:dyDescent="0.2"/>
    <row r="4590" customFormat="1" x14ac:dyDescent="0.2"/>
    <row r="4591" customFormat="1" x14ac:dyDescent="0.2"/>
    <row r="4592" customFormat="1" x14ac:dyDescent="0.2"/>
    <row r="4593" customFormat="1" x14ac:dyDescent="0.2"/>
    <row r="4594" customFormat="1" x14ac:dyDescent="0.2"/>
    <row r="4595" customFormat="1" x14ac:dyDescent="0.2"/>
    <row r="4596" customFormat="1" x14ac:dyDescent="0.2"/>
    <row r="4597" customFormat="1" x14ac:dyDescent="0.2"/>
    <row r="4598" customFormat="1" x14ac:dyDescent="0.2"/>
    <row r="4599" customFormat="1" x14ac:dyDescent="0.2"/>
    <row r="4600" customFormat="1" x14ac:dyDescent="0.2"/>
    <row r="4601" customFormat="1" x14ac:dyDescent="0.2"/>
    <row r="4602" customFormat="1" x14ac:dyDescent="0.2"/>
    <row r="4603" customFormat="1" x14ac:dyDescent="0.2"/>
    <row r="4604" customFormat="1" x14ac:dyDescent="0.2"/>
    <row r="4605" customFormat="1" x14ac:dyDescent="0.2"/>
    <row r="4606" customFormat="1" x14ac:dyDescent="0.2"/>
    <row r="4607" customFormat="1" x14ac:dyDescent="0.2"/>
    <row r="4608" customFormat="1" x14ac:dyDescent="0.2"/>
    <row r="4609" customFormat="1" x14ac:dyDescent="0.2"/>
    <row r="4610" customFormat="1" x14ac:dyDescent="0.2"/>
    <row r="4611" customFormat="1" x14ac:dyDescent="0.2"/>
    <row r="4612" customFormat="1" x14ac:dyDescent="0.2"/>
    <row r="4613" customFormat="1" x14ac:dyDescent="0.2"/>
    <row r="4614" customFormat="1" x14ac:dyDescent="0.2"/>
    <row r="4615" customFormat="1" x14ac:dyDescent="0.2"/>
    <row r="4616" customFormat="1" x14ac:dyDescent="0.2"/>
    <row r="4617" customFormat="1" x14ac:dyDescent="0.2"/>
    <row r="4618" customFormat="1" x14ac:dyDescent="0.2"/>
    <row r="4619" customFormat="1" x14ac:dyDescent="0.2"/>
    <row r="4620" customFormat="1" x14ac:dyDescent="0.2"/>
    <row r="4621" customFormat="1" x14ac:dyDescent="0.2"/>
    <row r="4622" customFormat="1" x14ac:dyDescent="0.2"/>
    <row r="4623" customFormat="1" x14ac:dyDescent="0.2"/>
    <row r="4624" customFormat="1" x14ac:dyDescent="0.2"/>
    <row r="4625" customFormat="1" x14ac:dyDescent="0.2"/>
    <row r="4626" customFormat="1" x14ac:dyDescent="0.2"/>
    <row r="4627" customFormat="1" x14ac:dyDescent="0.2"/>
    <row r="4628" customFormat="1" x14ac:dyDescent="0.2"/>
    <row r="4629" customFormat="1" x14ac:dyDescent="0.2"/>
    <row r="4630" customFormat="1" x14ac:dyDescent="0.2"/>
    <row r="4631" customFormat="1" x14ac:dyDescent="0.2"/>
    <row r="4632" customFormat="1" x14ac:dyDescent="0.2"/>
    <row r="4633" customFormat="1" x14ac:dyDescent="0.2"/>
    <row r="4634" customFormat="1" x14ac:dyDescent="0.2"/>
    <row r="4635" customFormat="1" x14ac:dyDescent="0.2"/>
    <row r="4636" customFormat="1" x14ac:dyDescent="0.2"/>
    <row r="4637" customFormat="1" x14ac:dyDescent="0.2"/>
    <row r="4638" customFormat="1" x14ac:dyDescent="0.2"/>
    <row r="4639" customFormat="1" x14ac:dyDescent="0.2"/>
    <row r="4640" customFormat="1" x14ac:dyDescent="0.2"/>
    <row r="4641" customFormat="1" x14ac:dyDescent="0.2"/>
    <row r="4642" customFormat="1" x14ac:dyDescent="0.2"/>
    <row r="4643" customFormat="1" x14ac:dyDescent="0.2"/>
    <row r="4644" customFormat="1" x14ac:dyDescent="0.2"/>
    <row r="4645" customFormat="1" x14ac:dyDescent="0.2"/>
    <row r="4646" customFormat="1" x14ac:dyDescent="0.2"/>
    <row r="4647" customFormat="1" x14ac:dyDescent="0.2"/>
    <row r="4648" customFormat="1" x14ac:dyDescent="0.2"/>
    <row r="4649" customFormat="1" x14ac:dyDescent="0.2"/>
    <row r="4650" customFormat="1" x14ac:dyDescent="0.2"/>
    <row r="4651" customFormat="1" x14ac:dyDescent="0.2"/>
    <row r="4652" customFormat="1" x14ac:dyDescent="0.2"/>
    <row r="4653" customFormat="1" x14ac:dyDescent="0.2"/>
    <row r="4654" customFormat="1" x14ac:dyDescent="0.2"/>
    <row r="4655" customFormat="1" x14ac:dyDescent="0.2"/>
    <row r="4656" customFormat="1" x14ac:dyDescent="0.2"/>
    <row r="4657" customFormat="1" x14ac:dyDescent="0.2"/>
    <row r="4658" customFormat="1" x14ac:dyDescent="0.2"/>
    <row r="4659" customFormat="1" x14ac:dyDescent="0.2"/>
    <row r="4660" customFormat="1" x14ac:dyDescent="0.2"/>
    <row r="4661" customFormat="1" x14ac:dyDescent="0.2"/>
    <row r="4662" customFormat="1" x14ac:dyDescent="0.2"/>
    <row r="4663" customFormat="1" x14ac:dyDescent="0.2"/>
    <row r="4664" customFormat="1" x14ac:dyDescent="0.2"/>
    <row r="4665" customFormat="1" x14ac:dyDescent="0.2"/>
    <row r="4666" customFormat="1" x14ac:dyDescent="0.2"/>
    <row r="4667" customFormat="1" x14ac:dyDescent="0.2"/>
    <row r="4668" customFormat="1" x14ac:dyDescent="0.2"/>
    <row r="4669" customFormat="1" x14ac:dyDescent="0.2"/>
    <row r="4670" customFormat="1" x14ac:dyDescent="0.2"/>
    <row r="4671" customFormat="1" x14ac:dyDescent="0.2"/>
    <row r="4672" customFormat="1" x14ac:dyDescent="0.2"/>
    <row r="4673" customFormat="1" x14ac:dyDescent="0.2"/>
    <row r="4674" customFormat="1" x14ac:dyDescent="0.2"/>
    <row r="4675" customFormat="1" x14ac:dyDescent="0.2"/>
    <row r="4676" customFormat="1" x14ac:dyDescent="0.2"/>
    <row r="4677" customFormat="1" x14ac:dyDescent="0.2"/>
    <row r="4678" customFormat="1" x14ac:dyDescent="0.2"/>
    <row r="4679" customFormat="1" x14ac:dyDescent="0.2"/>
    <row r="4680" customFormat="1" x14ac:dyDescent="0.2"/>
    <row r="4681" customFormat="1" x14ac:dyDescent="0.2"/>
    <row r="4682" customFormat="1" x14ac:dyDescent="0.2"/>
    <row r="4683" customFormat="1" x14ac:dyDescent="0.2"/>
    <row r="4684" customFormat="1" x14ac:dyDescent="0.2"/>
    <row r="4685" customFormat="1" x14ac:dyDescent="0.2"/>
    <row r="4686" customFormat="1" x14ac:dyDescent="0.2"/>
    <row r="4687" customFormat="1" x14ac:dyDescent="0.2"/>
    <row r="4688" customFormat="1" x14ac:dyDescent="0.2"/>
    <row r="4689" customFormat="1" x14ac:dyDescent="0.2"/>
    <row r="4690" customFormat="1" x14ac:dyDescent="0.2"/>
    <row r="4691" customFormat="1" x14ac:dyDescent="0.2"/>
    <row r="4692" customFormat="1" x14ac:dyDescent="0.2"/>
    <row r="4693" customFormat="1" x14ac:dyDescent="0.2"/>
    <row r="4694" customFormat="1" x14ac:dyDescent="0.2"/>
    <row r="4695" customFormat="1" x14ac:dyDescent="0.2"/>
    <row r="4696" customFormat="1" x14ac:dyDescent="0.2"/>
    <row r="4697" customFormat="1" x14ac:dyDescent="0.2"/>
    <row r="4698" customFormat="1" x14ac:dyDescent="0.2"/>
    <row r="4699" customFormat="1" x14ac:dyDescent="0.2"/>
    <row r="4700" customFormat="1" x14ac:dyDescent="0.2"/>
    <row r="4701" customFormat="1" x14ac:dyDescent="0.2"/>
    <row r="4702" customFormat="1" x14ac:dyDescent="0.2"/>
    <row r="4703" customFormat="1" x14ac:dyDescent="0.2"/>
    <row r="4704" customFormat="1" x14ac:dyDescent="0.2"/>
    <row r="4705" customFormat="1" x14ac:dyDescent="0.2"/>
    <row r="4706" customFormat="1" x14ac:dyDescent="0.2"/>
    <row r="4707" customFormat="1" x14ac:dyDescent="0.2"/>
    <row r="4708" customFormat="1" x14ac:dyDescent="0.2"/>
    <row r="4709" customFormat="1" x14ac:dyDescent="0.2"/>
    <row r="4710" customFormat="1" x14ac:dyDescent="0.2"/>
    <row r="4711" customFormat="1" x14ac:dyDescent="0.2"/>
    <row r="4712" customFormat="1" x14ac:dyDescent="0.2"/>
    <row r="4713" customFormat="1" x14ac:dyDescent="0.2"/>
    <row r="4714" customFormat="1" x14ac:dyDescent="0.2"/>
    <row r="4715" customFormat="1" x14ac:dyDescent="0.2"/>
    <row r="4716" customFormat="1" x14ac:dyDescent="0.2"/>
    <row r="4717" customFormat="1" x14ac:dyDescent="0.2"/>
    <row r="4718" customFormat="1" x14ac:dyDescent="0.2"/>
    <row r="4719" customFormat="1" x14ac:dyDescent="0.2"/>
    <row r="4720" customFormat="1" x14ac:dyDescent="0.2"/>
    <row r="4721" customFormat="1" x14ac:dyDescent="0.2"/>
    <row r="4722" customFormat="1" x14ac:dyDescent="0.2"/>
    <row r="4723" customFormat="1" x14ac:dyDescent="0.2"/>
    <row r="4724" customFormat="1" x14ac:dyDescent="0.2"/>
    <row r="4725" customFormat="1" x14ac:dyDescent="0.2"/>
    <row r="4726" customFormat="1" x14ac:dyDescent="0.2"/>
    <row r="4727" customFormat="1" x14ac:dyDescent="0.2"/>
    <row r="4728" customFormat="1" x14ac:dyDescent="0.2"/>
    <row r="4729" customFormat="1" x14ac:dyDescent="0.2"/>
    <row r="4730" customFormat="1" x14ac:dyDescent="0.2"/>
    <row r="4731" customFormat="1" x14ac:dyDescent="0.2"/>
    <row r="4732" customFormat="1" x14ac:dyDescent="0.2"/>
    <row r="4733" customFormat="1" x14ac:dyDescent="0.2"/>
    <row r="4734" customFormat="1" x14ac:dyDescent="0.2"/>
    <row r="4735" customFormat="1" x14ac:dyDescent="0.2"/>
    <row r="4736" customFormat="1" x14ac:dyDescent="0.2"/>
    <row r="4737" customFormat="1" x14ac:dyDescent="0.2"/>
    <row r="4738" customFormat="1" x14ac:dyDescent="0.2"/>
    <row r="4739" customFormat="1" x14ac:dyDescent="0.2"/>
    <row r="4740" customFormat="1" x14ac:dyDescent="0.2"/>
    <row r="4741" customFormat="1" x14ac:dyDescent="0.2"/>
    <row r="4742" customFormat="1" x14ac:dyDescent="0.2"/>
    <row r="4743" customFormat="1" x14ac:dyDescent="0.2"/>
    <row r="4744" customFormat="1" x14ac:dyDescent="0.2"/>
    <row r="4745" customFormat="1" x14ac:dyDescent="0.2"/>
    <row r="4746" customFormat="1" x14ac:dyDescent="0.2"/>
    <row r="4747" customFormat="1" x14ac:dyDescent="0.2"/>
    <row r="4748" customFormat="1" x14ac:dyDescent="0.2"/>
    <row r="4749" customFormat="1" x14ac:dyDescent="0.2"/>
    <row r="4750" customFormat="1" x14ac:dyDescent="0.2"/>
    <row r="4751" customFormat="1" x14ac:dyDescent="0.2"/>
    <row r="4752" customFormat="1" x14ac:dyDescent="0.2"/>
    <row r="4753" customFormat="1" x14ac:dyDescent="0.2"/>
    <row r="4754" customFormat="1" x14ac:dyDescent="0.2"/>
    <row r="4755" customFormat="1" x14ac:dyDescent="0.2"/>
    <row r="4756" customFormat="1" x14ac:dyDescent="0.2"/>
    <row r="4757" customFormat="1" x14ac:dyDescent="0.2"/>
    <row r="4758" customFormat="1" x14ac:dyDescent="0.2"/>
    <row r="4759" customFormat="1" x14ac:dyDescent="0.2"/>
    <row r="4760" customFormat="1" x14ac:dyDescent="0.2"/>
    <row r="4761" customFormat="1" x14ac:dyDescent="0.2"/>
    <row r="4762" customFormat="1" x14ac:dyDescent="0.2"/>
    <row r="4763" customFormat="1" x14ac:dyDescent="0.2"/>
    <row r="4764" customFormat="1" x14ac:dyDescent="0.2"/>
    <row r="4765" customFormat="1" x14ac:dyDescent="0.2"/>
    <row r="4766" customFormat="1" x14ac:dyDescent="0.2"/>
    <row r="4767" customFormat="1" x14ac:dyDescent="0.2"/>
    <row r="4768" customFormat="1" x14ac:dyDescent="0.2"/>
    <row r="4769" customFormat="1" x14ac:dyDescent="0.2"/>
    <row r="4770" customFormat="1" x14ac:dyDescent="0.2"/>
    <row r="4771" customFormat="1" x14ac:dyDescent="0.2"/>
    <row r="4772" customFormat="1" x14ac:dyDescent="0.2"/>
    <row r="4773" customFormat="1" x14ac:dyDescent="0.2"/>
    <row r="4774" customFormat="1" x14ac:dyDescent="0.2"/>
    <row r="4775" customFormat="1" x14ac:dyDescent="0.2"/>
    <row r="4776" customFormat="1" x14ac:dyDescent="0.2"/>
    <row r="4777" customFormat="1" x14ac:dyDescent="0.2"/>
    <row r="4778" customFormat="1" x14ac:dyDescent="0.2"/>
    <row r="4779" customFormat="1" x14ac:dyDescent="0.2"/>
    <row r="4780" customFormat="1" x14ac:dyDescent="0.2"/>
    <row r="4781" customFormat="1" x14ac:dyDescent="0.2"/>
    <row r="4782" customFormat="1" x14ac:dyDescent="0.2"/>
    <row r="4783" customFormat="1" x14ac:dyDescent="0.2"/>
    <row r="4784" customFormat="1" x14ac:dyDescent="0.2"/>
    <row r="4785" customFormat="1" x14ac:dyDescent="0.2"/>
    <row r="4786" customFormat="1" x14ac:dyDescent="0.2"/>
    <row r="4787" customFormat="1" x14ac:dyDescent="0.2"/>
    <row r="4788" customFormat="1" x14ac:dyDescent="0.2"/>
    <row r="4789" customFormat="1" x14ac:dyDescent="0.2"/>
    <row r="4790" customFormat="1" x14ac:dyDescent="0.2"/>
    <row r="4791" customFormat="1" x14ac:dyDescent="0.2"/>
    <row r="4792" customFormat="1" x14ac:dyDescent="0.2"/>
    <row r="4793" customFormat="1" x14ac:dyDescent="0.2"/>
    <row r="4794" customFormat="1" x14ac:dyDescent="0.2"/>
    <row r="4795" customFormat="1" x14ac:dyDescent="0.2"/>
    <row r="4796" customFormat="1" x14ac:dyDescent="0.2"/>
    <row r="4797" customFormat="1" x14ac:dyDescent="0.2"/>
    <row r="4798" customFormat="1" x14ac:dyDescent="0.2"/>
    <row r="4799" customFormat="1" x14ac:dyDescent="0.2"/>
    <row r="4800" customFormat="1" x14ac:dyDescent="0.2"/>
    <row r="4801" customFormat="1" x14ac:dyDescent="0.2"/>
    <row r="4802" customFormat="1" x14ac:dyDescent="0.2"/>
    <row r="4803" customFormat="1" x14ac:dyDescent="0.2"/>
    <row r="4804" customFormat="1" x14ac:dyDescent="0.2"/>
    <row r="4805" customFormat="1" x14ac:dyDescent="0.2"/>
    <row r="4806" customFormat="1" x14ac:dyDescent="0.2"/>
    <row r="4807" customFormat="1" x14ac:dyDescent="0.2"/>
    <row r="4808" customFormat="1" x14ac:dyDescent="0.2"/>
    <row r="4809" customFormat="1" x14ac:dyDescent="0.2"/>
    <row r="4810" customFormat="1" x14ac:dyDescent="0.2"/>
    <row r="4811" customFormat="1" x14ac:dyDescent="0.2"/>
    <row r="4812" customFormat="1" x14ac:dyDescent="0.2"/>
    <row r="4813" customFormat="1" x14ac:dyDescent="0.2"/>
    <row r="4814" customFormat="1" x14ac:dyDescent="0.2"/>
    <row r="4815" customFormat="1" x14ac:dyDescent="0.2"/>
    <row r="4816" customFormat="1" x14ac:dyDescent="0.2"/>
    <row r="4817" customFormat="1" x14ac:dyDescent="0.2"/>
    <row r="4818" customFormat="1" x14ac:dyDescent="0.2"/>
    <row r="4819" customFormat="1" x14ac:dyDescent="0.2"/>
    <row r="4820" customFormat="1" x14ac:dyDescent="0.2"/>
    <row r="4821" customFormat="1" x14ac:dyDescent="0.2"/>
    <row r="4822" customFormat="1" x14ac:dyDescent="0.2"/>
    <row r="4823" customFormat="1" x14ac:dyDescent="0.2"/>
    <row r="4824" customFormat="1" x14ac:dyDescent="0.2"/>
    <row r="4825" customFormat="1" x14ac:dyDescent="0.2"/>
    <row r="4826" customFormat="1" x14ac:dyDescent="0.2"/>
    <row r="4827" customFormat="1" x14ac:dyDescent="0.2"/>
    <row r="4828" customFormat="1" x14ac:dyDescent="0.2"/>
    <row r="4829" customFormat="1" x14ac:dyDescent="0.2"/>
    <row r="4830" customFormat="1" x14ac:dyDescent="0.2"/>
    <row r="4831" customFormat="1" x14ac:dyDescent="0.2"/>
    <row r="4832" customFormat="1" x14ac:dyDescent="0.2"/>
    <row r="4833" customFormat="1" x14ac:dyDescent="0.2"/>
    <row r="4834" customFormat="1" x14ac:dyDescent="0.2"/>
    <row r="4835" customFormat="1" x14ac:dyDescent="0.2"/>
    <row r="4836" customFormat="1" x14ac:dyDescent="0.2"/>
    <row r="4837" customFormat="1" x14ac:dyDescent="0.2"/>
    <row r="4838" customFormat="1" x14ac:dyDescent="0.2"/>
    <row r="4839" customFormat="1" x14ac:dyDescent="0.2"/>
    <row r="4840" customFormat="1" x14ac:dyDescent="0.2"/>
    <row r="4841" customFormat="1" x14ac:dyDescent="0.2"/>
    <row r="4842" customFormat="1" x14ac:dyDescent="0.2"/>
    <row r="4843" customFormat="1" x14ac:dyDescent="0.2"/>
    <row r="4844" customFormat="1" x14ac:dyDescent="0.2"/>
    <row r="4845" customFormat="1" x14ac:dyDescent="0.2"/>
    <row r="4846" customFormat="1" x14ac:dyDescent="0.2"/>
    <row r="4847" customFormat="1" x14ac:dyDescent="0.2"/>
    <row r="4848" customFormat="1" x14ac:dyDescent="0.2"/>
    <row r="4849" customFormat="1" x14ac:dyDescent="0.2"/>
    <row r="4850" customFormat="1" x14ac:dyDescent="0.2"/>
    <row r="4851" customFormat="1" x14ac:dyDescent="0.2"/>
    <row r="4852" customFormat="1" x14ac:dyDescent="0.2"/>
    <row r="4853" customFormat="1" x14ac:dyDescent="0.2"/>
    <row r="4854" customFormat="1" x14ac:dyDescent="0.2"/>
    <row r="4855" customFormat="1" x14ac:dyDescent="0.2"/>
    <row r="4856" customFormat="1" x14ac:dyDescent="0.2"/>
    <row r="4857" customFormat="1" x14ac:dyDescent="0.2"/>
    <row r="4858" customFormat="1" x14ac:dyDescent="0.2"/>
    <row r="4859" customFormat="1" x14ac:dyDescent="0.2"/>
    <row r="4860" customFormat="1" x14ac:dyDescent="0.2"/>
    <row r="4861" customFormat="1" x14ac:dyDescent="0.2"/>
    <row r="4862" customFormat="1" x14ac:dyDescent="0.2"/>
    <row r="4863" customFormat="1" x14ac:dyDescent="0.2"/>
    <row r="4864" customFormat="1" x14ac:dyDescent="0.2"/>
    <row r="4865" customFormat="1" x14ac:dyDescent="0.2"/>
    <row r="4866" customFormat="1" x14ac:dyDescent="0.2"/>
    <row r="4867" customFormat="1" x14ac:dyDescent="0.2"/>
    <row r="4868" customFormat="1" x14ac:dyDescent="0.2"/>
    <row r="4869" customFormat="1" x14ac:dyDescent="0.2"/>
    <row r="4870" customFormat="1" x14ac:dyDescent="0.2"/>
    <row r="4871" customFormat="1" x14ac:dyDescent="0.2"/>
    <row r="4872" customFormat="1" x14ac:dyDescent="0.2"/>
    <row r="4873" customFormat="1" x14ac:dyDescent="0.2"/>
    <row r="4874" customFormat="1" x14ac:dyDescent="0.2"/>
    <row r="4875" customFormat="1" x14ac:dyDescent="0.2"/>
    <row r="4876" customFormat="1" x14ac:dyDescent="0.2"/>
    <row r="4877" customFormat="1" x14ac:dyDescent="0.2"/>
    <row r="4878" customFormat="1" x14ac:dyDescent="0.2"/>
    <row r="4879" customFormat="1" x14ac:dyDescent="0.2"/>
    <row r="4880" customFormat="1" x14ac:dyDescent="0.2"/>
    <row r="4881" customFormat="1" x14ac:dyDescent="0.2"/>
    <row r="4882" customFormat="1" x14ac:dyDescent="0.2"/>
    <row r="4883" customFormat="1" x14ac:dyDescent="0.2"/>
    <row r="4884" customFormat="1" x14ac:dyDescent="0.2"/>
    <row r="4885" customFormat="1" x14ac:dyDescent="0.2"/>
    <row r="4886" customFormat="1" x14ac:dyDescent="0.2"/>
    <row r="4887" customFormat="1" x14ac:dyDescent="0.2"/>
    <row r="4888" customFormat="1" x14ac:dyDescent="0.2"/>
    <row r="4889" customFormat="1" x14ac:dyDescent="0.2"/>
    <row r="4890" customFormat="1" x14ac:dyDescent="0.2"/>
    <row r="4891" customFormat="1" x14ac:dyDescent="0.2"/>
    <row r="4892" customFormat="1" x14ac:dyDescent="0.2"/>
    <row r="4893" customFormat="1" x14ac:dyDescent="0.2"/>
    <row r="4894" customFormat="1" x14ac:dyDescent="0.2"/>
    <row r="4895" customFormat="1" x14ac:dyDescent="0.2"/>
    <row r="4896" customFormat="1" x14ac:dyDescent="0.2"/>
    <row r="4897" customFormat="1" x14ac:dyDescent="0.2"/>
    <row r="4898" customFormat="1" x14ac:dyDescent="0.2"/>
    <row r="4899" customFormat="1" x14ac:dyDescent="0.2"/>
    <row r="4900" customFormat="1" x14ac:dyDescent="0.2"/>
    <row r="4901" customFormat="1" x14ac:dyDescent="0.2"/>
    <row r="4902" customFormat="1" x14ac:dyDescent="0.2"/>
    <row r="4903" customFormat="1" x14ac:dyDescent="0.2"/>
    <row r="4904" customFormat="1" x14ac:dyDescent="0.2"/>
    <row r="4905" customFormat="1" x14ac:dyDescent="0.2"/>
    <row r="4906" customFormat="1" x14ac:dyDescent="0.2"/>
    <row r="4907" customFormat="1" x14ac:dyDescent="0.2"/>
    <row r="4908" customFormat="1" x14ac:dyDescent="0.2"/>
    <row r="4909" customFormat="1" x14ac:dyDescent="0.2"/>
    <row r="4910" customFormat="1" x14ac:dyDescent="0.2"/>
    <row r="4911" customFormat="1" x14ac:dyDescent="0.2"/>
    <row r="4912" customFormat="1" x14ac:dyDescent="0.2"/>
    <row r="4913" customFormat="1" x14ac:dyDescent="0.2"/>
    <row r="4914" customFormat="1" x14ac:dyDescent="0.2"/>
    <row r="4915" customFormat="1" x14ac:dyDescent="0.2"/>
    <row r="4916" customFormat="1" x14ac:dyDescent="0.2"/>
    <row r="4917" customFormat="1" x14ac:dyDescent="0.2"/>
    <row r="4918" customFormat="1" x14ac:dyDescent="0.2"/>
    <row r="4919" customFormat="1" x14ac:dyDescent="0.2"/>
    <row r="4920" customFormat="1" x14ac:dyDescent="0.2"/>
    <row r="4921" customFormat="1" x14ac:dyDescent="0.2"/>
    <row r="4922" customFormat="1" x14ac:dyDescent="0.2"/>
    <row r="4923" customFormat="1" x14ac:dyDescent="0.2"/>
    <row r="4924" customFormat="1" x14ac:dyDescent="0.2"/>
    <row r="4925" customFormat="1" x14ac:dyDescent="0.2"/>
    <row r="4926" customFormat="1" x14ac:dyDescent="0.2"/>
    <row r="4927" customFormat="1" x14ac:dyDescent="0.2"/>
    <row r="4928" customFormat="1" x14ac:dyDescent="0.2"/>
    <row r="4929" customFormat="1" x14ac:dyDescent="0.2"/>
    <row r="4930" customFormat="1" x14ac:dyDescent="0.2"/>
    <row r="4931" customFormat="1" x14ac:dyDescent="0.2"/>
    <row r="4932" customFormat="1" x14ac:dyDescent="0.2"/>
    <row r="4933" customFormat="1" x14ac:dyDescent="0.2"/>
    <row r="4934" customFormat="1" x14ac:dyDescent="0.2"/>
    <row r="4935" customFormat="1" x14ac:dyDescent="0.2"/>
    <row r="4936" customFormat="1" x14ac:dyDescent="0.2"/>
    <row r="4937" customFormat="1" x14ac:dyDescent="0.2"/>
    <row r="4938" customFormat="1" x14ac:dyDescent="0.2"/>
    <row r="4939" customFormat="1" x14ac:dyDescent="0.2"/>
    <row r="4940" customFormat="1" x14ac:dyDescent="0.2"/>
    <row r="4941" customFormat="1" x14ac:dyDescent="0.2"/>
    <row r="4942" customFormat="1" x14ac:dyDescent="0.2"/>
    <row r="4943" customFormat="1" x14ac:dyDescent="0.2"/>
    <row r="4944" customFormat="1" x14ac:dyDescent="0.2"/>
    <row r="4945" customFormat="1" x14ac:dyDescent="0.2"/>
    <row r="4946" customFormat="1" x14ac:dyDescent="0.2"/>
    <row r="4947" customFormat="1" x14ac:dyDescent="0.2"/>
    <row r="4948" customFormat="1" x14ac:dyDescent="0.2"/>
    <row r="4949" customFormat="1" x14ac:dyDescent="0.2"/>
    <row r="4950" customFormat="1" x14ac:dyDescent="0.2"/>
    <row r="4951" customFormat="1" x14ac:dyDescent="0.2"/>
    <row r="4952" customFormat="1" x14ac:dyDescent="0.2"/>
    <row r="4953" customFormat="1" x14ac:dyDescent="0.2"/>
    <row r="4954" customFormat="1" x14ac:dyDescent="0.2"/>
    <row r="4955" customFormat="1" x14ac:dyDescent="0.2"/>
    <row r="4956" customFormat="1" x14ac:dyDescent="0.2"/>
    <row r="4957" customFormat="1" x14ac:dyDescent="0.2"/>
    <row r="4958" customFormat="1" x14ac:dyDescent="0.2"/>
    <row r="4959" customFormat="1" x14ac:dyDescent="0.2"/>
    <row r="4960" customFormat="1" x14ac:dyDescent="0.2"/>
    <row r="4961" customFormat="1" x14ac:dyDescent="0.2"/>
    <row r="4962" customFormat="1" x14ac:dyDescent="0.2"/>
    <row r="4963" customFormat="1" x14ac:dyDescent="0.2"/>
    <row r="4964" customFormat="1" x14ac:dyDescent="0.2"/>
    <row r="4965" customFormat="1" x14ac:dyDescent="0.2"/>
    <row r="4966" customFormat="1" x14ac:dyDescent="0.2"/>
    <row r="4967" customFormat="1" x14ac:dyDescent="0.2"/>
    <row r="4968" customFormat="1" x14ac:dyDescent="0.2"/>
    <row r="4969" customFormat="1" x14ac:dyDescent="0.2"/>
    <row r="4970" customFormat="1" x14ac:dyDescent="0.2"/>
    <row r="4971" customFormat="1" x14ac:dyDescent="0.2"/>
    <row r="4972" customFormat="1" x14ac:dyDescent="0.2"/>
    <row r="4973" customFormat="1" x14ac:dyDescent="0.2"/>
    <row r="4974" customFormat="1" x14ac:dyDescent="0.2"/>
    <row r="4975" customFormat="1" x14ac:dyDescent="0.2"/>
    <row r="4976" customFormat="1" x14ac:dyDescent="0.2"/>
    <row r="4977" customFormat="1" x14ac:dyDescent="0.2"/>
    <row r="4978" customFormat="1" x14ac:dyDescent="0.2"/>
    <row r="4979" customFormat="1" x14ac:dyDescent="0.2"/>
    <row r="4980" customFormat="1" x14ac:dyDescent="0.2"/>
    <row r="4981" customFormat="1" x14ac:dyDescent="0.2"/>
    <row r="4982" customFormat="1" x14ac:dyDescent="0.2"/>
    <row r="4983" customFormat="1" x14ac:dyDescent="0.2"/>
    <row r="4984" customFormat="1" x14ac:dyDescent="0.2"/>
    <row r="4985" customFormat="1" x14ac:dyDescent="0.2"/>
    <row r="4986" customFormat="1" x14ac:dyDescent="0.2"/>
    <row r="4987" customFormat="1" x14ac:dyDescent="0.2"/>
    <row r="4988" customFormat="1" x14ac:dyDescent="0.2"/>
    <row r="4989" customFormat="1" x14ac:dyDescent="0.2"/>
    <row r="4990" customFormat="1" x14ac:dyDescent="0.2"/>
    <row r="4991" customFormat="1" x14ac:dyDescent="0.2"/>
    <row r="4992" customFormat="1" x14ac:dyDescent="0.2"/>
    <row r="4993" customFormat="1" x14ac:dyDescent="0.2"/>
    <row r="4994" customFormat="1" x14ac:dyDescent="0.2"/>
    <row r="4995" customFormat="1" x14ac:dyDescent="0.2"/>
    <row r="4996" customFormat="1" x14ac:dyDescent="0.2"/>
    <row r="4997" customFormat="1" x14ac:dyDescent="0.2"/>
    <row r="4998" customFormat="1" x14ac:dyDescent="0.2"/>
    <row r="4999" customFormat="1" x14ac:dyDescent="0.2"/>
    <row r="5000" customFormat="1" x14ac:dyDescent="0.2"/>
    <row r="5001" customFormat="1" x14ac:dyDescent="0.2"/>
    <row r="5002" customFormat="1" x14ac:dyDescent="0.2"/>
    <row r="5003" customFormat="1" x14ac:dyDescent="0.2"/>
    <row r="5004" customFormat="1" x14ac:dyDescent="0.2"/>
    <row r="5005" customFormat="1" x14ac:dyDescent="0.2"/>
    <row r="5006" customFormat="1" x14ac:dyDescent="0.2"/>
    <row r="5007" customFormat="1" x14ac:dyDescent="0.2"/>
    <row r="5008" customFormat="1" x14ac:dyDescent="0.2"/>
    <row r="5009" customFormat="1" x14ac:dyDescent="0.2"/>
    <row r="5010" customFormat="1" x14ac:dyDescent="0.2"/>
    <row r="5011" customFormat="1" x14ac:dyDescent="0.2"/>
    <row r="5012" customFormat="1" x14ac:dyDescent="0.2"/>
    <row r="5013" customFormat="1" x14ac:dyDescent="0.2"/>
    <row r="5014" customFormat="1" x14ac:dyDescent="0.2"/>
    <row r="5015" customFormat="1" x14ac:dyDescent="0.2"/>
    <row r="5016" customFormat="1" x14ac:dyDescent="0.2"/>
    <row r="5017" customFormat="1" x14ac:dyDescent="0.2"/>
    <row r="5018" customFormat="1" x14ac:dyDescent="0.2"/>
    <row r="5019" customFormat="1" x14ac:dyDescent="0.2"/>
    <row r="5020" customFormat="1" x14ac:dyDescent="0.2"/>
    <row r="5021" customFormat="1" x14ac:dyDescent="0.2"/>
    <row r="5022" customFormat="1" x14ac:dyDescent="0.2"/>
    <row r="5023" customFormat="1" x14ac:dyDescent="0.2"/>
    <row r="5024" customFormat="1" x14ac:dyDescent="0.2"/>
    <row r="5025" customFormat="1" x14ac:dyDescent="0.2"/>
    <row r="5026" customFormat="1" x14ac:dyDescent="0.2"/>
    <row r="5027" customFormat="1" x14ac:dyDescent="0.2"/>
    <row r="5028" customFormat="1" x14ac:dyDescent="0.2"/>
    <row r="5029" customFormat="1" x14ac:dyDescent="0.2"/>
    <row r="5030" customFormat="1" x14ac:dyDescent="0.2"/>
    <row r="5031" customFormat="1" x14ac:dyDescent="0.2"/>
    <row r="5032" customFormat="1" x14ac:dyDescent="0.2"/>
    <row r="5033" customFormat="1" x14ac:dyDescent="0.2"/>
    <row r="5034" customFormat="1" x14ac:dyDescent="0.2"/>
    <row r="5035" customFormat="1" x14ac:dyDescent="0.2"/>
    <row r="5036" customFormat="1" x14ac:dyDescent="0.2"/>
    <row r="5037" customFormat="1" x14ac:dyDescent="0.2"/>
    <row r="5038" customFormat="1" x14ac:dyDescent="0.2"/>
    <row r="5039" customFormat="1" x14ac:dyDescent="0.2"/>
    <row r="5040" customFormat="1" x14ac:dyDescent="0.2"/>
    <row r="5041" customFormat="1" x14ac:dyDescent="0.2"/>
    <row r="5042" customFormat="1" x14ac:dyDescent="0.2"/>
    <row r="5043" customFormat="1" x14ac:dyDescent="0.2"/>
    <row r="5044" customFormat="1" x14ac:dyDescent="0.2"/>
    <row r="5045" customFormat="1" x14ac:dyDescent="0.2"/>
    <row r="5046" customFormat="1" x14ac:dyDescent="0.2"/>
    <row r="5047" customFormat="1" x14ac:dyDescent="0.2"/>
    <row r="5048" customFormat="1" x14ac:dyDescent="0.2"/>
    <row r="5049" customFormat="1" x14ac:dyDescent="0.2"/>
    <row r="5050" customFormat="1" x14ac:dyDescent="0.2"/>
    <row r="5051" customFormat="1" x14ac:dyDescent="0.2"/>
    <row r="5052" customFormat="1" x14ac:dyDescent="0.2"/>
    <row r="5053" customFormat="1" x14ac:dyDescent="0.2"/>
    <row r="5054" customFormat="1" x14ac:dyDescent="0.2"/>
    <row r="5055" customFormat="1" x14ac:dyDescent="0.2"/>
    <row r="5056" customFormat="1" x14ac:dyDescent="0.2"/>
    <row r="5057" customFormat="1" x14ac:dyDescent="0.2"/>
    <row r="5058" customFormat="1" x14ac:dyDescent="0.2"/>
    <row r="5059" customFormat="1" x14ac:dyDescent="0.2"/>
    <row r="5060" customFormat="1" x14ac:dyDescent="0.2"/>
    <row r="5061" customFormat="1" x14ac:dyDescent="0.2"/>
    <row r="5062" customFormat="1" x14ac:dyDescent="0.2"/>
    <row r="5063" customFormat="1" x14ac:dyDescent="0.2"/>
    <row r="5064" customFormat="1" x14ac:dyDescent="0.2"/>
    <row r="5065" customFormat="1" x14ac:dyDescent="0.2"/>
    <row r="5066" customFormat="1" x14ac:dyDescent="0.2"/>
    <row r="5067" customFormat="1" x14ac:dyDescent="0.2"/>
    <row r="5068" customFormat="1" x14ac:dyDescent="0.2"/>
    <row r="5069" customFormat="1" x14ac:dyDescent="0.2"/>
    <row r="5070" customFormat="1" x14ac:dyDescent="0.2"/>
    <row r="5071" customFormat="1" x14ac:dyDescent="0.2"/>
    <row r="5072" customFormat="1" x14ac:dyDescent="0.2"/>
    <row r="5073" customFormat="1" x14ac:dyDescent="0.2"/>
    <row r="5074" customFormat="1" x14ac:dyDescent="0.2"/>
    <row r="5075" customFormat="1" x14ac:dyDescent="0.2"/>
    <row r="5076" customFormat="1" x14ac:dyDescent="0.2"/>
    <row r="5077" customFormat="1" x14ac:dyDescent="0.2"/>
    <row r="5078" customFormat="1" x14ac:dyDescent="0.2"/>
    <row r="5079" customFormat="1" x14ac:dyDescent="0.2"/>
    <row r="5080" customFormat="1" x14ac:dyDescent="0.2"/>
    <row r="5081" customFormat="1" x14ac:dyDescent="0.2"/>
    <row r="5082" customFormat="1" x14ac:dyDescent="0.2"/>
    <row r="5083" customFormat="1" x14ac:dyDescent="0.2"/>
    <row r="5084" customFormat="1" x14ac:dyDescent="0.2"/>
    <row r="5085" customFormat="1" x14ac:dyDescent="0.2"/>
    <row r="5086" customFormat="1" x14ac:dyDescent="0.2"/>
    <row r="5087" customFormat="1" x14ac:dyDescent="0.2"/>
    <row r="5088" customFormat="1" x14ac:dyDescent="0.2"/>
    <row r="5089" customFormat="1" x14ac:dyDescent="0.2"/>
    <row r="5090" customFormat="1" x14ac:dyDescent="0.2"/>
    <row r="5091" customFormat="1" x14ac:dyDescent="0.2"/>
    <row r="5092" customFormat="1" x14ac:dyDescent="0.2"/>
    <row r="5093" customFormat="1" x14ac:dyDescent="0.2"/>
    <row r="5094" customFormat="1" x14ac:dyDescent="0.2"/>
    <row r="5095" customFormat="1" x14ac:dyDescent="0.2"/>
    <row r="5096" customFormat="1" x14ac:dyDescent="0.2"/>
    <row r="5097" customFormat="1" x14ac:dyDescent="0.2"/>
    <row r="5098" customFormat="1" x14ac:dyDescent="0.2"/>
    <row r="5099" customFormat="1" x14ac:dyDescent="0.2"/>
    <row r="5100" customFormat="1" x14ac:dyDescent="0.2"/>
    <row r="5101" customFormat="1" x14ac:dyDescent="0.2"/>
    <row r="5102" customFormat="1" x14ac:dyDescent="0.2"/>
    <row r="5103" customFormat="1" x14ac:dyDescent="0.2"/>
    <row r="5104" customFormat="1" x14ac:dyDescent="0.2"/>
    <row r="5105" customFormat="1" x14ac:dyDescent="0.2"/>
    <row r="5106" customFormat="1" x14ac:dyDescent="0.2"/>
    <row r="5107" customFormat="1" x14ac:dyDescent="0.2"/>
    <row r="5108" customFormat="1" x14ac:dyDescent="0.2"/>
    <row r="5109" customFormat="1" x14ac:dyDescent="0.2"/>
    <row r="5110" customFormat="1" x14ac:dyDescent="0.2"/>
    <row r="5111" customFormat="1" x14ac:dyDescent="0.2"/>
    <row r="5112" customFormat="1" x14ac:dyDescent="0.2"/>
    <row r="5113" customFormat="1" x14ac:dyDescent="0.2"/>
    <row r="5114" customFormat="1" x14ac:dyDescent="0.2"/>
    <row r="5115" customFormat="1" x14ac:dyDescent="0.2"/>
    <row r="5116" customFormat="1" x14ac:dyDescent="0.2"/>
    <row r="5117" customFormat="1" x14ac:dyDescent="0.2"/>
    <row r="5118" customFormat="1" x14ac:dyDescent="0.2"/>
    <row r="5119" customFormat="1" x14ac:dyDescent="0.2"/>
    <row r="5120" customFormat="1" x14ac:dyDescent="0.2"/>
    <row r="5121" customFormat="1" x14ac:dyDescent="0.2"/>
    <row r="5122" customFormat="1" x14ac:dyDescent="0.2"/>
    <row r="5123" customFormat="1" x14ac:dyDescent="0.2"/>
    <row r="5124" customFormat="1" x14ac:dyDescent="0.2"/>
    <row r="5125" customFormat="1" x14ac:dyDescent="0.2"/>
    <row r="5126" customFormat="1" x14ac:dyDescent="0.2"/>
    <row r="5127" customFormat="1" x14ac:dyDescent="0.2"/>
    <row r="5128" customFormat="1" x14ac:dyDescent="0.2"/>
    <row r="5129" customFormat="1" x14ac:dyDescent="0.2"/>
    <row r="5130" customFormat="1" x14ac:dyDescent="0.2"/>
    <row r="5131" customFormat="1" x14ac:dyDescent="0.2"/>
    <row r="5132" customFormat="1" x14ac:dyDescent="0.2"/>
    <row r="5133" customFormat="1" x14ac:dyDescent="0.2"/>
    <row r="5134" customFormat="1" x14ac:dyDescent="0.2"/>
    <row r="5135" customFormat="1" x14ac:dyDescent="0.2"/>
    <row r="5136" customFormat="1" x14ac:dyDescent="0.2"/>
    <row r="5137" customFormat="1" x14ac:dyDescent="0.2"/>
    <row r="5138" customFormat="1" x14ac:dyDescent="0.2"/>
    <row r="5139" customFormat="1" x14ac:dyDescent="0.2"/>
    <row r="5140" customFormat="1" x14ac:dyDescent="0.2"/>
    <row r="5141" customFormat="1" x14ac:dyDescent="0.2"/>
    <row r="5142" customFormat="1" x14ac:dyDescent="0.2"/>
    <row r="5143" customFormat="1" x14ac:dyDescent="0.2"/>
    <row r="5144" customFormat="1" x14ac:dyDescent="0.2"/>
    <row r="5145" customFormat="1" x14ac:dyDescent="0.2"/>
    <row r="5146" customFormat="1" x14ac:dyDescent="0.2"/>
    <row r="5147" customFormat="1" x14ac:dyDescent="0.2"/>
    <row r="5148" customFormat="1" x14ac:dyDescent="0.2"/>
    <row r="5149" customFormat="1" x14ac:dyDescent="0.2"/>
    <row r="5150" customFormat="1" x14ac:dyDescent="0.2"/>
    <row r="5151" customFormat="1" x14ac:dyDescent="0.2"/>
    <row r="5152" customFormat="1" x14ac:dyDescent="0.2"/>
    <row r="5153" customFormat="1" x14ac:dyDescent="0.2"/>
    <row r="5154" customFormat="1" x14ac:dyDescent="0.2"/>
    <row r="5155" customFormat="1" x14ac:dyDescent="0.2"/>
    <row r="5156" customFormat="1" x14ac:dyDescent="0.2"/>
    <row r="5157" customFormat="1" x14ac:dyDescent="0.2"/>
    <row r="5158" customFormat="1" x14ac:dyDescent="0.2"/>
    <row r="5159" customFormat="1" x14ac:dyDescent="0.2"/>
    <row r="5160" customFormat="1" x14ac:dyDescent="0.2"/>
    <row r="5161" customFormat="1" x14ac:dyDescent="0.2"/>
    <row r="5162" customFormat="1" x14ac:dyDescent="0.2"/>
    <row r="5163" customFormat="1" x14ac:dyDescent="0.2"/>
    <row r="5164" customFormat="1" x14ac:dyDescent="0.2"/>
    <row r="5165" customFormat="1" x14ac:dyDescent="0.2"/>
    <row r="5166" customFormat="1" x14ac:dyDescent="0.2"/>
    <row r="5167" customFormat="1" x14ac:dyDescent="0.2"/>
    <row r="5168" customFormat="1" x14ac:dyDescent="0.2"/>
    <row r="5169" customFormat="1" x14ac:dyDescent="0.2"/>
    <row r="5170" customFormat="1" x14ac:dyDescent="0.2"/>
    <row r="5171" customFormat="1" x14ac:dyDescent="0.2"/>
    <row r="5172" customFormat="1" x14ac:dyDescent="0.2"/>
    <row r="5173" customFormat="1" x14ac:dyDescent="0.2"/>
    <row r="5174" customFormat="1" x14ac:dyDescent="0.2"/>
    <row r="5175" customFormat="1" x14ac:dyDescent="0.2"/>
    <row r="5176" customFormat="1" x14ac:dyDescent="0.2"/>
    <row r="5177" customFormat="1" x14ac:dyDescent="0.2"/>
    <row r="5178" customFormat="1" x14ac:dyDescent="0.2"/>
    <row r="5179" customFormat="1" x14ac:dyDescent="0.2"/>
    <row r="5180" customFormat="1" x14ac:dyDescent="0.2"/>
    <row r="5181" customFormat="1" x14ac:dyDescent="0.2"/>
    <row r="5182" customFormat="1" x14ac:dyDescent="0.2"/>
    <row r="5183" customFormat="1" x14ac:dyDescent="0.2"/>
    <row r="5184" customFormat="1" x14ac:dyDescent="0.2"/>
    <row r="5185" customFormat="1" x14ac:dyDescent="0.2"/>
    <row r="5186" customFormat="1" x14ac:dyDescent="0.2"/>
    <row r="5187" customFormat="1" x14ac:dyDescent="0.2"/>
    <row r="5188" customFormat="1" x14ac:dyDescent="0.2"/>
    <row r="5189" customFormat="1" x14ac:dyDescent="0.2"/>
    <row r="5190" customFormat="1" x14ac:dyDescent="0.2"/>
    <row r="5191" customFormat="1" x14ac:dyDescent="0.2"/>
    <row r="5192" customFormat="1" x14ac:dyDescent="0.2"/>
    <row r="5193" customFormat="1" x14ac:dyDescent="0.2"/>
    <row r="5194" customFormat="1" x14ac:dyDescent="0.2"/>
    <row r="5195" customFormat="1" x14ac:dyDescent="0.2"/>
    <row r="5196" customFormat="1" x14ac:dyDescent="0.2"/>
    <row r="5197" customFormat="1" x14ac:dyDescent="0.2"/>
    <row r="5198" customFormat="1" x14ac:dyDescent="0.2"/>
    <row r="5199" customFormat="1" x14ac:dyDescent="0.2"/>
    <row r="5200" customFormat="1" x14ac:dyDescent="0.2"/>
    <row r="5201" customFormat="1" x14ac:dyDescent="0.2"/>
    <row r="5202" customFormat="1" x14ac:dyDescent="0.2"/>
    <row r="5203" customFormat="1" x14ac:dyDescent="0.2"/>
    <row r="5204" customFormat="1" x14ac:dyDescent="0.2"/>
    <row r="5205" customFormat="1" x14ac:dyDescent="0.2"/>
    <row r="5206" customFormat="1" x14ac:dyDescent="0.2"/>
    <row r="5207" customFormat="1" x14ac:dyDescent="0.2"/>
    <row r="5208" customFormat="1" x14ac:dyDescent="0.2"/>
    <row r="5209" customFormat="1" x14ac:dyDescent="0.2"/>
    <row r="5210" customFormat="1" x14ac:dyDescent="0.2"/>
    <row r="5211" customFormat="1" x14ac:dyDescent="0.2"/>
    <row r="5212" customFormat="1" x14ac:dyDescent="0.2"/>
    <row r="5213" customFormat="1" x14ac:dyDescent="0.2"/>
    <row r="5214" customFormat="1" x14ac:dyDescent="0.2"/>
    <row r="5215" customFormat="1" x14ac:dyDescent="0.2"/>
    <row r="5216" customFormat="1" x14ac:dyDescent="0.2"/>
    <row r="5217" customFormat="1" x14ac:dyDescent="0.2"/>
    <row r="5218" customFormat="1" x14ac:dyDescent="0.2"/>
    <row r="5219" customFormat="1" x14ac:dyDescent="0.2"/>
    <row r="5220" customFormat="1" x14ac:dyDescent="0.2"/>
    <row r="5221" customFormat="1" x14ac:dyDescent="0.2"/>
    <row r="5222" customFormat="1" x14ac:dyDescent="0.2"/>
    <row r="5223" customFormat="1" x14ac:dyDescent="0.2"/>
    <row r="5224" customFormat="1" x14ac:dyDescent="0.2"/>
    <row r="5225" customFormat="1" x14ac:dyDescent="0.2"/>
    <row r="5226" customFormat="1" x14ac:dyDescent="0.2"/>
    <row r="5227" customFormat="1" x14ac:dyDescent="0.2"/>
    <row r="5228" customFormat="1" x14ac:dyDescent="0.2"/>
    <row r="5229" customFormat="1" x14ac:dyDescent="0.2"/>
    <row r="5230" customFormat="1" x14ac:dyDescent="0.2"/>
    <row r="5231" customFormat="1" x14ac:dyDescent="0.2"/>
    <row r="5232" customFormat="1" x14ac:dyDescent="0.2"/>
    <row r="5233" customFormat="1" x14ac:dyDescent="0.2"/>
    <row r="5234" customFormat="1" x14ac:dyDescent="0.2"/>
    <row r="5235" customFormat="1" x14ac:dyDescent="0.2"/>
    <row r="5236" customFormat="1" x14ac:dyDescent="0.2"/>
    <row r="5237" customFormat="1" x14ac:dyDescent="0.2"/>
    <row r="5238" customFormat="1" x14ac:dyDescent="0.2"/>
    <row r="5239" customFormat="1" x14ac:dyDescent="0.2"/>
    <row r="5240" customFormat="1" x14ac:dyDescent="0.2"/>
    <row r="5241" customFormat="1" x14ac:dyDescent="0.2"/>
    <row r="5242" customFormat="1" x14ac:dyDescent="0.2"/>
    <row r="5243" customFormat="1" x14ac:dyDescent="0.2"/>
    <row r="5244" customFormat="1" x14ac:dyDescent="0.2"/>
    <row r="5245" customFormat="1" x14ac:dyDescent="0.2"/>
    <row r="5246" customFormat="1" x14ac:dyDescent="0.2"/>
    <row r="5247" customFormat="1" x14ac:dyDescent="0.2"/>
    <row r="5248" customFormat="1" x14ac:dyDescent="0.2"/>
    <row r="5249" customFormat="1" x14ac:dyDescent="0.2"/>
    <row r="5250" customFormat="1" x14ac:dyDescent="0.2"/>
    <row r="5251" customFormat="1" x14ac:dyDescent="0.2"/>
    <row r="5252" customFormat="1" x14ac:dyDescent="0.2"/>
    <row r="5253" customFormat="1" x14ac:dyDescent="0.2"/>
    <row r="5254" customFormat="1" x14ac:dyDescent="0.2"/>
    <row r="5255" customFormat="1" x14ac:dyDescent="0.2"/>
    <row r="5256" customFormat="1" x14ac:dyDescent="0.2"/>
    <row r="5257" customFormat="1" x14ac:dyDescent="0.2"/>
    <row r="5258" customFormat="1" x14ac:dyDescent="0.2"/>
    <row r="5259" customFormat="1" x14ac:dyDescent="0.2"/>
    <row r="5260" customFormat="1" x14ac:dyDescent="0.2"/>
    <row r="5261" customFormat="1" x14ac:dyDescent="0.2"/>
    <row r="5262" customFormat="1" x14ac:dyDescent="0.2"/>
    <row r="5263" customFormat="1" x14ac:dyDescent="0.2"/>
    <row r="5264" customFormat="1" x14ac:dyDescent="0.2"/>
    <row r="5265" customFormat="1" x14ac:dyDescent="0.2"/>
    <row r="5266" customFormat="1" x14ac:dyDescent="0.2"/>
    <row r="5267" customFormat="1" x14ac:dyDescent="0.2"/>
    <row r="5268" customFormat="1" x14ac:dyDescent="0.2"/>
    <row r="5269" customFormat="1" x14ac:dyDescent="0.2"/>
    <row r="5270" customFormat="1" x14ac:dyDescent="0.2"/>
    <row r="5271" customFormat="1" x14ac:dyDescent="0.2"/>
    <row r="5272" customFormat="1" x14ac:dyDescent="0.2"/>
    <row r="5273" customFormat="1" x14ac:dyDescent="0.2"/>
    <row r="5274" customFormat="1" x14ac:dyDescent="0.2"/>
    <row r="5275" customFormat="1" x14ac:dyDescent="0.2"/>
    <row r="5276" customFormat="1" x14ac:dyDescent="0.2"/>
    <row r="5277" customFormat="1" x14ac:dyDescent="0.2"/>
    <row r="5278" customFormat="1" x14ac:dyDescent="0.2"/>
    <row r="5279" customFormat="1" x14ac:dyDescent="0.2"/>
    <row r="5280" customFormat="1" x14ac:dyDescent="0.2"/>
    <row r="5281" customFormat="1" x14ac:dyDescent="0.2"/>
    <row r="5282" customFormat="1" x14ac:dyDescent="0.2"/>
    <row r="5283" customFormat="1" x14ac:dyDescent="0.2"/>
    <row r="5284" customFormat="1" x14ac:dyDescent="0.2"/>
    <row r="5285" customFormat="1" x14ac:dyDescent="0.2"/>
    <row r="5286" customFormat="1" x14ac:dyDescent="0.2"/>
    <row r="5287" customFormat="1" x14ac:dyDescent="0.2"/>
    <row r="5288" customFormat="1" x14ac:dyDescent="0.2"/>
    <row r="5289" customFormat="1" x14ac:dyDescent="0.2"/>
    <row r="5290" customFormat="1" x14ac:dyDescent="0.2"/>
    <row r="5291" customFormat="1" x14ac:dyDescent="0.2"/>
    <row r="5292" customFormat="1" x14ac:dyDescent="0.2"/>
    <row r="5293" customFormat="1" x14ac:dyDescent="0.2"/>
    <row r="5294" customFormat="1" x14ac:dyDescent="0.2"/>
    <row r="5295" customFormat="1" x14ac:dyDescent="0.2"/>
    <row r="5296" customFormat="1" x14ac:dyDescent="0.2"/>
    <row r="5297" customFormat="1" x14ac:dyDescent="0.2"/>
    <row r="5298" customFormat="1" x14ac:dyDescent="0.2"/>
    <row r="5299" customFormat="1" x14ac:dyDescent="0.2"/>
    <row r="5300" customFormat="1" x14ac:dyDescent="0.2"/>
    <row r="5301" customFormat="1" x14ac:dyDescent="0.2"/>
    <row r="5302" customFormat="1" x14ac:dyDescent="0.2"/>
    <row r="5303" customFormat="1" x14ac:dyDescent="0.2"/>
    <row r="5304" customFormat="1" x14ac:dyDescent="0.2"/>
    <row r="5305" customFormat="1" x14ac:dyDescent="0.2"/>
    <row r="5306" customFormat="1" x14ac:dyDescent="0.2"/>
    <row r="5307" customFormat="1" x14ac:dyDescent="0.2"/>
    <row r="5308" customFormat="1" x14ac:dyDescent="0.2"/>
    <row r="5309" customFormat="1" x14ac:dyDescent="0.2"/>
    <row r="5310" customFormat="1" x14ac:dyDescent="0.2"/>
    <row r="5311" customFormat="1" x14ac:dyDescent="0.2"/>
    <row r="5312" customFormat="1" x14ac:dyDescent="0.2"/>
    <row r="5313" customFormat="1" x14ac:dyDescent="0.2"/>
    <row r="5314" customFormat="1" x14ac:dyDescent="0.2"/>
    <row r="5315" customFormat="1" x14ac:dyDescent="0.2"/>
    <row r="5316" customFormat="1" x14ac:dyDescent="0.2"/>
    <row r="5317" customFormat="1" x14ac:dyDescent="0.2"/>
    <row r="5318" customFormat="1" x14ac:dyDescent="0.2"/>
    <row r="5319" customFormat="1" x14ac:dyDescent="0.2"/>
    <row r="5320" customFormat="1" x14ac:dyDescent="0.2"/>
    <row r="5321" customFormat="1" x14ac:dyDescent="0.2"/>
    <row r="5322" customFormat="1" x14ac:dyDescent="0.2"/>
    <row r="5323" customFormat="1" x14ac:dyDescent="0.2"/>
    <row r="5324" customFormat="1" x14ac:dyDescent="0.2"/>
    <row r="5325" customFormat="1" x14ac:dyDescent="0.2"/>
    <row r="5326" customFormat="1" x14ac:dyDescent="0.2"/>
    <row r="5327" customFormat="1" x14ac:dyDescent="0.2"/>
    <row r="5328" customFormat="1" x14ac:dyDescent="0.2"/>
    <row r="5329" customFormat="1" x14ac:dyDescent="0.2"/>
    <row r="5330" customFormat="1" x14ac:dyDescent="0.2"/>
    <row r="5331" customFormat="1" x14ac:dyDescent="0.2"/>
    <row r="5332" customFormat="1" x14ac:dyDescent="0.2"/>
    <row r="5333" customFormat="1" x14ac:dyDescent="0.2"/>
    <row r="5334" customFormat="1" x14ac:dyDescent="0.2"/>
    <row r="5335" customFormat="1" x14ac:dyDescent="0.2"/>
    <row r="5336" customFormat="1" x14ac:dyDescent="0.2"/>
    <row r="5337" customFormat="1" x14ac:dyDescent="0.2"/>
    <row r="5338" customFormat="1" x14ac:dyDescent="0.2"/>
    <row r="5339" customFormat="1" x14ac:dyDescent="0.2"/>
    <row r="5340" customFormat="1" x14ac:dyDescent="0.2"/>
    <row r="5341" customFormat="1" x14ac:dyDescent="0.2"/>
    <row r="5342" customFormat="1" x14ac:dyDescent="0.2"/>
    <row r="5343" customFormat="1" x14ac:dyDescent="0.2"/>
    <row r="5344" customFormat="1" x14ac:dyDescent="0.2"/>
    <row r="5345" customFormat="1" x14ac:dyDescent="0.2"/>
    <row r="5346" customFormat="1" x14ac:dyDescent="0.2"/>
    <row r="5347" customFormat="1" x14ac:dyDescent="0.2"/>
    <row r="5348" customFormat="1" x14ac:dyDescent="0.2"/>
    <row r="5349" customFormat="1" x14ac:dyDescent="0.2"/>
    <row r="5350" customFormat="1" x14ac:dyDescent="0.2"/>
    <row r="5351" customFormat="1" x14ac:dyDescent="0.2"/>
    <row r="5352" customFormat="1" x14ac:dyDescent="0.2"/>
    <row r="5353" customFormat="1" x14ac:dyDescent="0.2"/>
    <row r="5354" customFormat="1" x14ac:dyDescent="0.2"/>
    <row r="5355" customFormat="1" x14ac:dyDescent="0.2"/>
    <row r="5356" customFormat="1" x14ac:dyDescent="0.2"/>
    <row r="5357" customFormat="1" x14ac:dyDescent="0.2"/>
    <row r="5358" customFormat="1" x14ac:dyDescent="0.2"/>
    <row r="5359" customFormat="1" x14ac:dyDescent="0.2"/>
    <row r="5360" customFormat="1" x14ac:dyDescent="0.2"/>
    <row r="5361" customFormat="1" x14ac:dyDescent="0.2"/>
    <row r="5362" customFormat="1" x14ac:dyDescent="0.2"/>
    <row r="5363" customFormat="1" x14ac:dyDescent="0.2"/>
    <row r="5364" customFormat="1" x14ac:dyDescent="0.2"/>
    <row r="5365" customFormat="1" x14ac:dyDescent="0.2"/>
    <row r="5366" customFormat="1" x14ac:dyDescent="0.2"/>
    <row r="5367" customFormat="1" x14ac:dyDescent="0.2"/>
    <row r="5368" customFormat="1" x14ac:dyDescent="0.2"/>
    <row r="5369" customFormat="1" x14ac:dyDescent="0.2"/>
    <row r="5370" customFormat="1" x14ac:dyDescent="0.2"/>
    <row r="5371" customFormat="1" x14ac:dyDescent="0.2"/>
    <row r="5372" customFormat="1" x14ac:dyDescent="0.2"/>
    <row r="5373" customFormat="1" x14ac:dyDescent="0.2"/>
    <row r="5374" customFormat="1" x14ac:dyDescent="0.2"/>
    <row r="5375" customFormat="1" x14ac:dyDescent="0.2"/>
    <row r="5376" customFormat="1" x14ac:dyDescent="0.2"/>
    <row r="5377" customFormat="1" x14ac:dyDescent="0.2"/>
    <row r="5378" customFormat="1" x14ac:dyDescent="0.2"/>
    <row r="5379" customFormat="1" x14ac:dyDescent="0.2"/>
    <row r="5380" customFormat="1" x14ac:dyDescent="0.2"/>
    <row r="5381" customFormat="1" x14ac:dyDescent="0.2"/>
    <row r="5382" customFormat="1" x14ac:dyDescent="0.2"/>
    <row r="5383" customFormat="1" x14ac:dyDescent="0.2"/>
    <row r="5384" customFormat="1" x14ac:dyDescent="0.2"/>
    <row r="5385" customFormat="1" x14ac:dyDescent="0.2"/>
    <row r="5386" customFormat="1" x14ac:dyDescent="0.2"/>
    <row r="5387" customFormat="1" x14ac:dyDescent="0.2"/>
    <row r="5388" customFormat="1" x14ac:dyDescent="0.2"/>
    <row r="5389" customFormat="1" x14ac:dyDescent="0.2"/>
    <row r="5390" customFormat="1" x14ac:dyDescent="0.2"/>
    <row r="5391" customFormat="1" x14ac:dyDescent="0.2"/>
    <row r="5392" customFormat="1" x14ac:dyDescent="0.2"/>
    <row r="5393" customFormat="1" x14ac:dyDescent="0.2"/>
    <row r="5394" customFormat="1" x14ac:dyDescent="0.2"/>
    <row r="5395" customFormat="1" x14ac:dyDescent="0.2"/>
    <row r="5396" customFormat="1" x14ac:dyDescent="0.2"/>
    <row r="5397" customFormat="1" x14ac:dyDescent="0.2"/>
    <row r="5398" customFormat="1" x14ac:dyDescent="0.2"/>
    <row r="5399" customFormat="1" x14ac:dyDescent="0.2"/>
    <row r="5400" customFormat="1" x14ac:dyDescent="0.2"/>
    <row r="5401" customFormat="1" x14ac:dyDescent="0.2"/>
    <row r="5402" customFormat="1" x14ac:dyDescent="0.2"/>
    <row r="5403" customFormat="1" x14ac:dyDescent="0.2"/>
    <row r="5404" customFormat="1" x14ac:dyDescent="0.2"/>
    <row r="5405" customFormat="1" x14ac:dyDescent="0.2"/>
    <row r="5406" customFormat="1" x14ac:dyDescent="0.2"/>
    <row r="5407" customFormat="1" x14ac:dyDescent="0.2"/>
    <row r="5408" customFormat="1" x14ac:dyDescent="0.2"/>
    <row r="5409" customFormat="1" x14ac:dyDescent="0.2"/>
    <row r="5410" customFormat="1" x14ac:dyDescent="0.2"/>
    <row r="5411" customFormat="1" x14ac:dyDescent="0.2"/>
    <row r="5412" customFormat="1" x14ac:dyDescent="0.2"/>
    <row r="5413" customFormat="1" x14ac:dyDescent="0.2"/>
    <row r="5414" customFormat="1" x14ac:dyDescent="0.2"/>
    <row r="5415" customFormat="1" x14ac:dyDescent="0.2"/>
    <row r="5416" customFormat="1" x14ac:dyDescent="0.2"/>
    <row r="5417" customFormat="1" x14ac:dyDescent="0.2"/>
    <row r="5418" customFormat="1" x14ac:dyDescent="0.2"/>
    <row r="5419" customFormat="1" x14ac:dyDescent="0.2"/>
    <row r="5420" customFormat="1" x14ac:dyDescent="0.2"/>
    <row r="5421" customFormat="1" x14ac:dyDescent="0.2"/>
    <row r="5422" customFormat="1" x14ac:dyDescent="0.2"/>
    <row r="5423" customFormat="1" x14ac:dyDescent="0.2"/>
    <row r="5424" customFormat="1" x14ac:dyDescent="0.2"/>
    <row r="5425" customFormat="1" x14ac:dyDescent="0.2"/>
    <row r="5426" customFormat="1" x14ac:dyDescent="0.2"/>
    <row r="5427" customFormat="1" x14ac:dyDescent="0.2"/>
    <row r="5428" customFormat="1" x14ac:dyDescent="0.2"/>
    <row r="5429" customFormat="1" x14ac:dyDescent="0.2"/>
    <row r="5430" customFormat="1" x14ac:dyDescent="0.2"/>
    <row r="5431" customFormat="1" x14ac:dyDescent="0.2"/>
    <row r="5432" customFormat="1" x14ac:dyDescent="0.2"/>
    <row r="5433" customFormat="1" x14ac:dyDescent="0.2"/>
    <row r="5434" customFormat="1" x14ac:dyDescent="0.2"/>
    <row r="5435" customFormat="1" x14ac:dyDescent="0.2"/>
    <row r="5436" customFormat="1" x14ac:dyDescent="0.2"/>
    <row r="5437" customFormat="1" x14ac:dyDescent="0.2"/>
    <row r="5438" customFormat="1" x14ac:dyDescent="0.2"/>
    <row r="5439" customFormat="1" x14ac:dyDescent="0.2"/>
    <row r="5440" customFormat="1" x14ac:dyDescent="0.2"/>
    <row r="5441" customFormat="1" x14ac:dyDescent="0.2"/>
    <row r="5442" customFormat="1" x14ac:dyDescent="0.2"/>
    <row r="5443" customFormat="1" x14ac:dyDescent="0.2"/>
    <row r="5444" customFormat="1" x14ac:dyDescent="0.2"/>
    <row r="5445" customFormat="1" x14ac:dyDescent="0.2"/>
    <row r="5446" customFormat="1" x14ac:dyDescent="0.2"/>
    <row r="5447" customFormat="1" x14ac:dyDescent="0.2"/>
    <row r="5448" customFormat="1" x14ac:dyDescent="0.2"/>
    <row r="5449" customFormat="1" x14ac:dyDescent="0.2"/>
    <row r="5450" customFormat="1" x14ac:dyDescent="0.2"/>
    <row r="5451" customFormat="1" x14ac:dyDescent="0.2"/>
    <row r="5452" customFormat="1" x14ac:dyDescent="0.2"/>
    <row r="5453" customFormat="1" x14ac:dyDescent="0.2"/>
    <row r="5454" customFormat="1" x14ac:dyDescent="0.2"/>
    <row r="5455" customFormat="1" x14ac:dyDescent="0.2"/>
    <row r="5456" customFormat="1" x14ac:dyDescent="0.2"/>
    <row r="5457" customFormat="1" x14ac:dyDescent="0.2"/>
    <row r="5458" customFormat="1" x14ac:dyDescent="0.2"/>
    <row r="5459" customFormat="1" x14ac:dyDescent="0.2"/>
    <row r="5460" customFormat="1" x14ac:dyDescent="0.2"/>
    <row r="5461" customFormat="1" x14ac:dyDescent="0.2"/>
    <row r="5462" customFormat="1" x14ac:dyDescent="0.2"/>
    <row r="5463" customFormat="1" x14ac:dyDescent="0.2"/>
    <row r="5464" customFormat="1" x14ac:dyDescent="0.2"/>
    <row r="5465" customFormat="1" x14ac:dyDescent="0.2"/>
    <row r="5466" customFormat="1" x14ac:dyDescent="0.2"/>
    <row r="5467" customFormat="1" x14ac:dyDescent="0.2"/>
    <row r="5468" customFormat="1" x14ac:dyDescent="0.2"/>
    <row r="5469" customFormat="1" x14ac:dyDescent="0.2"/>
    <row r="5470" customFormat="1" x14ac:dyDescent="0.2"/>
    <row r="5471" customFormat="1" x14ac:dyDescent="0.2"/>
    <row r="5472" customFormat="1" x14ac:dyDescent="0.2"/>
    <row r="5473" customFormat="1" x14ac:dyDescent="0.2"/>
    <row r="5474" customFormat="1" x14ac:dyDescent="0.2"/>
    <row r="5475" customFormat="1" x14ac:dyDescent="0.2"/>
    <row r="5476" customFormat="1" x14ac:dyDescent="0.2"/>
    <row r="5477" customFormat="1" x14ac:dyDescent="0.2"/>
    <row r="5478" customFormat="1" x14ac:dyDescent="0.2"/>
    <row r="5479" customFormat="1" x14ac:dyDescent="0.2"/>
    <row r="5480" customFormat="1" x14ac:dyDescent="0.2"/>
    <row r="5481" customFormat="1" x14ac:dyDescent="0.2"/>
    <row r="5482" customFormat="1" x14ac:dyDescent="0.2"/>
    <row r="5483" customFormat="1" x14ac:dyDescent="0.2"/>
    <row r="5484" customFormat="1" x14ac:dyDescent="0.2"/>
    <row r="5485" customFormat="1" x14ac:dyDescent="0.2"/>
    <row r="5486" customFormat="1" x14ac:dyDescent="0.2"/>
    <row r="5487" customFormat="1" x14ac:dyDescent="0.2"/>
    <row r="5488" customFormat="1" x14ac:dyDescent="0.2"/>
    <row r="5489" customFormat="1" x14ac:dyDescent="0.2"/>
    <row r="5490" customFormat="1" x14ac:dyDescent="0.2"/>
    <row r="5491" customFormat="1" x14ac:dyDescent="0.2"/>
    <row r="5492" customFormat="1" x14ac:dyDescent="0.2"/>
    <row r="5493" customFormat="1" x14ac:dyDescent="0.2"/>
    <row r="5494" customFormat="1" x14ac:dyDescent="0.2"/>
    <row r="5495" customFormat="1" x14ac:dyDescent="0.2"/>
    <row r="5496" customFormat="1" x14ac:dyDescent="0.2"/>
    <row r="5497" customFormat="1" x14ac:dyDescent="0.2"/>
    <row r="5498" customFormat="1" x14ac:dyDescent="0.2"/>
    <row r="5499" customFormat="1" x14ac:dyDescent="0.2"/>
    <row r="5500" customFormat="1" x14ac:dyDescent="0.2"/>
    <row r="5501" customFormat="1" x14ac:dyDescent="0.2"/>
    <row r="5502" customFormat="1" x14ac:dyDescent="0.2"/>
    <row r="5503" customFormat="1" x14ac:dyDescent="0.2"/>
    <row r="5504" customFormat="1" x14ac:dyDescent="0.2"/>
    <row r="5505" customFormat="1" x14ac:dyDescent="0.2"/>
    <row r="5506" customFormat="1" x14ac:dyDescent="0.2"/>
    <row r="5507" customFormat="1" x14ac:dyDescent="0.2"/>
    <row r="5508" customFormat="1" x14ac:dyDescent="0.2"/>
    <row r="5509" customFormat="1" x14ac:dyDescent="0.2"/>
    <row r="5510" customFormat="1" x14ac:dyDescent="0.2"/>
    <row r="5511" customFormat="1" x14ac:dyDescent="0.2"/>
    <row r="5512" customFormat="1" x14ac:dyDescent="0.2"/>
    <row r="5513" customFormat="1" x14ac:dyDescent="0.2"/>
    <row r="5514" customFormat="1" x14ac:dyDescent="0.2"/>
    <row r="5515" customFormat="1" x14ac:dyDescent="0.2"/>
    <row r="5516" customFormat="1" x14ac:dyDescent="0.2"/>
    <row r="5517" customFormat="1" x14ac:dyDescent="0.2"/>
    <row r="5518" customFormat="1" x14ac:dyDescent="0.2"/>
    <row r="5519" customFormat="1" x14ac:dyDescent="0.2"/>
    <row r="5520" customFormat="1" x14ac:dyDescent="0.2"/>
    <row r="5521" customFormat="1" x14ac:dyDescent="0.2"/>
    <row r="5522" customFormat="1" x14ac:dyDescent="0.2"/>
    <row r="5523" customFormat="1" x14ac:dyDescent="0.2"/>
    <row r="5524" customFormat="1" x14ac:dyDescent="0.2"/>
    <row r="5525" customFormat="1" x14ac:dyDescent="0.2"/>
    <row r="5526" customFormat="1" x14ac:dyDescent="0.2"/>
    <row r="5527" customFormat="1" x14ac:dyDescent="0.2"/>
    <row r="5528" customFormat="1" x14ac:dyDescent="0.2"/>
    <row r="5529" customFormat="1" x14ac:dyDescent="0.2"/>
    <row r="5530" customFormat="1" x14ac:dyDescent="0.2"/>
    <row r="5531" customFormat="1" x14ac:dyDescent="0.2"/>
    <row r="5532" customFormat="1" x14ac:dyDescent="0.2"/>
    <row r="5533" customFormat="1" x14ac:dyDescent="0.2"/>
    <row r="5534" customFormat="1" x14ac:dyDescent="0.2"/>
    <row r="5535" customFormat="1" x14ac:dyDescent="0.2"/>
    <row r="5536" customFormat="1" x14ac:dyDescent="0.2"/>
    <row r="5537" customFormat="1" x14ac:dyDescent="0.2"/>
    <row r="5538" customFormat="1" x14ac:dyDescent="0.2"/>
    <row r="5539" customFormat="1" x14ac:dyDescent="0.2"/>
    <row r="5540" customFormat="1" x14ac:dyDescent="0.2"/>
    <row r="5541" customFormat="1" x14ac:dyDescent="0.2"/>
    <row r="5542" customFormat="1" x14ac:dyDescent="0.2"/>
    <row r="5543" customFormat="1" x14ac:dyDescent="0.2"/>
    <row r="5544" customFormat="1" x14ac:dyDescent="0.2"/>
    <row r="5545" customFormat="1" x14ac:dyDescent="0.2"/>
    <row r="5546" customFormat="1" x14ac:dyDescent="0.2"/>
    <row r="5547" customFormat="1" x14ac:dyDescent="0.2"/>
    <row r="5548" customFormat="1" x14ac:dyDescent="0.2"/>
    <row r="5549" customFormat="1" x14ac:dyDescent="0.2"/>
    <row r="5550" customFormat="1" x14ac:dyDescent="0.2"/>
    <row r="5551" customFormat="1" x14ac:dyDescent="0.2"/>
    <row r="5552" customFormat="1" x14ac:dyDescent="0.2"/>
    <row r="5553" customFormat="1" x14ac:dyDescent="0.2"/>
    <row r="5554" customFormat="1" x14ac:dyDescent="0.2"/>
    <row r="5555" customFormat="1" x14ac:dyDescent="0.2"/>
    <row r="5556" customFormat="1" x14ac:dyDescent="0.2"/>
    <row r="5557" customFormat="1" x14ac:dyDescent="0.2"/>
    <row r="5558" customFormat="1" x14ac:dyDescent="0.2"/>
    <row r="5559" customFormat="1" x14ac:dyDescent="0.2"/>
    <row r="5560" customFormat="1" x14ac:dyDescent="0.2"/>
    <row r="5561" customFormat="1" x14ac:dyDescent="0.2"/>
    <row r="5562" customFormat="1" x14ac:dyDescent="0.2"/>
    <row r="5563" customFormat="1" x14ac:dyDescent="0.2"/>
    <row r="5564" customFormat="1" x14ac:dyDescent="0.2"/>
    <row r="5565" customFormat="1" x14ac:dyDescent="0.2"/>
    <row r="5566" customFormat="1" x14ac:dyDescent="0.2"/>
    <row r="5567" customFormat="1" x14ac:dyDescent="0.2"/>
    <row r="5568" customFormat="1" x14ac:dyDescent="0.2"/>
    <row r="5569" customFormat="1" x14ac:dyDescent="0.2"/>
    <row r="5570" customFormat="1" x14ac:dyDescent="0.2"/>
    <row r="5571" customFormat="1" x14ac:dyDescent="0.2"/>
    <row r="5572" customFormat="1" x14ac:dyDescent="0.2"/>
    <row r="5573" customFormat="1" x14ac:dyDescent="0.2"/>
    <row r="5574" customFormat="1" x14ac:dyDescent="0.2"/>
    <row r="5575" customFormat="1" x14ac:dyDescent="0.2"/>
    <row r="5576" customFormat="1" x14ac:dyDescent="0.2"/>
    <row r="5577" customFormat="1" x14ac:dyDescent="0.2"/>
    <row r="5578" customFormat="1" x14ac:dyDescent="0.2"/>
    <row r="5579" customFormat="1" x14ac:dyDescent="0.2"/>
    <row r="5580" customFormat="1" x14ac:dyDescent="0.2"/>
    <row r="5581" customFormat="1" x14ac:dyDescent="0.2"/>
    <row r="5582" customFormat="1" x14ac:dyDescent="0.2"/>
    <row r="5583" customFormat="1" x14ac:dyDescent="0.2"/>
    <row r="5584" customFormat="1" x14ac:dyDescent="0.2"/>
    <row r="5585" customFormat="1" x14ac:dyDescent="0.2"/>
    <row r="5586" customFormat="1" x14ac:dyDescent="0.2"/>
    <row r="5587" customFormat="1" x14ac:dyDescent="0.2"/>
    <row r="5588" customFormat="1" x14ac:dyDescent="0.2"/>
    <row r="5589" customFormat="1" x14ac:dyDescent="0.2"/>
    <row r="5590" customFormat="1" x14ac:dyDescent="0.2"/>
    <row r="5591" customFormat="1" x14ac:dyDescent="0.2"/>
    <row r="5592" customFormat="1" x14ac:dyDescent="0.2"/>
    <row r="5593" customFormat="1" x14ac:dyDescent="0.2"/>
    <row r="5594" customFormat="1" x14ac:dyDescent="0.2"/>
    <row r="5595" customFormat="1" x14ac:dyDescent="0.2"/>
    <row r="5596" customFormat="1" x14ac:dyDescent="0.2"/>
    <row r="5597" customFormat="1" x14ac:dyDescent="0.2"/>
    <row r="5598" customFormat="1" x14ac:dyDescent="0.2"/>
    <row r="5599" customFormat="1" x14ac:dyDescent="0.2"/>
    <row r="5600" customFormat="1" x14ac:dyDescent="0.2"/>
    <row r="5601" customFormat="1" x14ac:dyDescent="0.2"/>
    <row r="5602" customFormat="1" x14ac:dyDescent="0.2"/>
    <row r="5603" customFormat="1" x14ac:dyDescent="0.2"/>
    <row r="5604" customFormat="1" x14ac:dyDescent="0.2"/>
    <row r="5605" customFormat="1" x14ac:dyDescent="0.2"/>
    <row r="5606" customFormat="1" x14ac:dyDescent="0.2"/>
    <row r="5607" customFormat="1" x14ac:dyDescent="0.2"/>
    <row r="5608" customFormat="1" x14ac:dyDescent="0.2"/>
    <row r="5609" customFormat="1" x14ac:dyDescent="0.2"/>
    <row r="5610" customFormat="1" x14ac:dyDescent="0.2"/>
    <row r="5611" customFormat="1" x14ac:dyDescent="0.2"/>
    <row r="5612" customFormat="1" x14ac:dyDescent="0.2"/>
    <row r="5613" customFormat="1" x14ac:dyDescent="0.2"/>
    <row r="5614" customFormat="1" x14ac:dyDescent="0.2"/>
    <row r="5615" customFormat="1" x14ac:dyDescent="0.2"/>
    <row r="5616" customFormat="1" x14ac:dyDescent="0.2"/>
    <row r="5617" customFormat="1" x14ac:dyDescent="0.2"/>
    <row r="5618" customFormat="1" x14ac:dyDescent="0.2"/>
    <row r="5619" customFormat="1" x14ac:dyDescent="0.2"/>
    <row r="5620" customFormat="1" x14ac:dyDescent="0.2"/>
    <row r="5621" customFormat="1" x14ac:dyDescent="0.2"/>
    <row r="5622" customFormat="1" x14ac:dyDescent="0.2"/>
    <row r="5623" customFormat="1" x14ac:dyDescent="0.2"/>
    <row r="5624" customFormat="1" x14ac:dyDescent="0.2"/>
    <row r="5625" customFormat="1" x14ac:dyDescent="0.2"/>
    <row r="5626" customFormat="1" x14ac:dyDescent="0.2"/>
    <row r="5627" customFormat="1" x14ac:dyDescent="0.2"/>
    <row r="5628" customFormat="1" x14ac:dyDescent="0.2"/>
    <row r="5629" customFormat="1" x14ac:dyDescent="0.2"/>
    <row r="5630" customFormat="1" x14ac:dyDescent="0.2"/>
    <row r="5631" customFormat="1" x14ac:dyDescent="0.2"/>
    <row r="5632" customFormat="1" x14ac:dyDescent="0.2"/>
    <row r="5633" customFormat="1" x14ac:dyDescent="0.2"/>
    <row r="5634" customFormat="1" x14ac:dyDescent="0.2"/>
    <row r="5635" customFormat="1" x14ac:dyDescent="0.2"/>
    <row r="5636" customFormat="1" x14ac:dyDescent="0.2"/>
    <row r="5637" customFormat="1" x14ac:dyDescent="0.2"/>
    <row r="5638" customFormat="1" x14ac:dyDescent="0.2"/>
    <row r="5639" customFormat="1" x14ac:dyDescent="0.2"/>
    <row r="5640" customFormat="1" x14ac:dyDescent="0.2"/>
    <row r="5641" customFormat="1" x14ac:dyDescent="0.2"/>
    <row r="5642" customFormat="1" x14ac:dyDescent="0.2"/>
    <row r="5643" customFormat="1" x14ac:dyDescent="0.2"/>
    <row r="5644" customFormat="1" x14ac:dyDescent="0.2"/>
    <row r="5645" customFormat="1" x14ac:dyDescent="0.2"/>
    <row r="5646" customFormat="1" x14ac:dyDescent="0.2"/>
    <row r="5647" customFormat="1" x14ac:dyDescent="0.2"/>
    <row r="5648" customFormat="1" x14ac:dyDescent="0.2"/>
    <row r="5649" customFormat="1" x14ac:dyDescent="0.2"/>
    <row r="5650" customFormat="1" x14ac:dyDescent="0.2"/>
    <row r="5651" customFormat="1" x14ac:dyDescent="0.2"/>
    <row r="5652" customFormat="1" x14ac:dyDescent="0.2"/>
    <row r="5653" customFormat="1" x14ac:dyDescent="0.2"/>
    <row r="5654" customFormat="1" x14ac:dyDescent="0.2"/>
    <row r="5655" customFormat="1" x14ac:dyDescent="0.2"/>
    <row r="5656" customFormat="1" x14ac:dyDescent="0.2"/>
    <row r="5657" customFormat="1" x14ac:dyDescent="0.2"/>
    <row r="5658" customFormat="1" x14ac:dyDescent="0.2"/>
    <row r="5659" customFormat="1" x14ac:dyDescent="0.2"/>
    <row r="5660" customFormat="1" x14ac:dyDescent="0.2"/>
    <row r="5661" customFormat="1" x14ac:dyDescent="0.2"/>
    <row r="5662" customFormat="1" x14ac:dyDescent="0.2"/>
    <row r="5663" customFormat="1" x14ac:dyDescent="0.2"/>
    <row r="5664" customFormat="1" x14ac:dyDescent="0.2"/>
    <row r="5665" customFormat="1" x14ac:dyDescent="0.2"/>
    <row r="5666" customFormat="1" x14ac:dyDescent="0.2"/>
    <row r="5667" customFormat="1" x14ac:dyDescent="0.2"/>
    <row r="5668" customFormat="1" x14ac:dyDescent="0.2"/>
    <row r="5669" customFormat="1" x14ac:dyDescent="0.2"/>
    <row r="5670" customFormat="1" x14ac:dyDescent="0.2"/>
    <row r="5671" customFormat="1" x14ac:dyDescent="0.2"/>
    <row r="5672" customFormat="1" x14ac:dyDescent="0.2"/>
    <row r="5673" customFormat="1" x14ac:dyDescent="0.2"/>
    <row r="5674" customFormat="1" x14ac:dyDescent="0.2"/>
    <row r="5675" customFormat="1" x14ac:dyDescent="0.2"/>
    <row r="5676" customFormat="1" x14ac:dyDescent="0.2"/>
    <row r="5677" customFormat="1" x14ac:dyDescent="0.2"/>
    <row r="5678" customFormat="1" x14ac:dyDescent="0.2"/>
    <row r="5679" customFormat="1" x14ac:dyDescent="0.2"/>
    <row r="5680" customFormat="1" x14ac:dyDescent="0.2"/>
    <row r="5681" customFormat="1" x14ac:dyDescent="0.2"/>
    <row r="5682" customFormat="1" x14ac:dyDescent="0.2"/>
    <row r="5683" customFormat="1" x14ac:dyDescent="0.2"/>
    <row r="5684" customFormat="1" x14ac:dyDescent="0.2"/>
    <row r="5685" customFormat="1" x14ac:dyDescent="0.2"/>
    <row r="5686" customFormat="1" x14ac:dyDescent="0.2"/>
    <row r="5687" customFormat="1" x14ac:dyDescent="0.2"/>
    <row r="5688" customFormat="1" x14ac:dyDescent="0.2"/>
    <row r="5689" customFormat="1" x14ac:dyDescent="0.2"/>
    <row r="5690" customFormat="1" x14ac:dyDescent="0.2"/>
    <row r="5691" customFormat="1" x14ac:dyDescent="0.2"/>
    <row r="5692" customFormat="1" x14ac:dyDescent="0.2"/>
    <row r="5693" customFormat="1" x14ac:dyDescent="0.2"/>
    <row r="5694" customFormat="1" x14ac:dyDescent="0.2"/>
    <row r="5695" customFormat="1" x14ac:dyDescent="0.2"/>
    <row r="5696" customFormat="1" x14ac:dyDescent="0.2"/>
    <row r="5697" customFormat="1" x14ac:dyDescent="0.2"/>
    <row r="5698" customFormat="1" x14ac:dyDescent="0.2"/>
    <row r="5699" customFormat="1" x14ac:dyDescent="0.2"/>
    <row r="5700" customFormat="1" x14ac:dyDescent="0.2"/>
    <row r="5701" customFormat="1" x14ac:dyDescent="0.2"/>
    <row r="5702" customFormat="1" x14ac:dyDescent="0.2"/>
    <row r="5703" customFormat="1" x14ac:dyDescent="0.2"/>
    <row r="5704" customFormat="1" x14ac:dyDescent="0.2"/>
    <row r="5705" customFormat="1" x14ac:dyDescent="0.2"/>
    <row r="5706" customFormat="1" x14ac:dyDescent="0.2"/>
    <row r="5707" customFormat="1" x14ac:dyDescent="0.2"/>
    <row r="5708" customFormat="1" x14ac:dyDescent="0.2"/>
    <row r="5709" customFormat="1" x14ac:dyDescent="0.2"/>
    <row r="5710" customFormat="1" x14ac:dyDescent="0.2"/>
    <row r="5711" customFormat="1" x14ac:dyDescent="0.2"/>
    <row r="5712" customFormat="1" x14ac:dyDescent="0.2"/>
    <row r="5713" customFormat="1" x14ac:dyDescent="0.2"/>
    <row r="5714" customFormat="1" x14ac:dyDescent="0.2"/>
    <row r="5715" customFormat="1" x14ac:dyDescent="0.2"/>
    <row r="5716" customFormat="1" x14ac:dyDescent="0.2"/>
    <row r="5717" customFormat="1" x14ac:dyDescent="0.2"/>
    <row r="5718" customFormat="1" x14ac:dyDescent="0.2"/>
    <row r="5719" customFormat="1" x14ac:dyDescent="0.2"/>
    <row r="5720" customFormat="1" x14ac:dyDescent="0.2"/>
    <row r="5721" customFormat="1" x14ac:dyDescent="0.2"/>
    <row r="5722" customFormat="1" x14ac:dyDescent="0.2"/>
    <row r="5723" customFormat="1" x14ac:dyDescent="0.2"/>
    <row r="5724" customFormat="1" x14ac:dyDescent="0.2"/>
    <row r="5725" customFormat="1" x14ac:dyDescent="0.2"/>
    <row r="5726" customFormat="1" x14ac:dyDescent="0.2"/>
    <row r="5727" customFormat="1" x14ac:dyDescent="0.2"/>
    <row r="5728" customFormat="1" x14ac:dyDescent="0.2"/>
    <row r="5729" customFormat="1" x14ac:dyDescent="0.2"/>
    <row r="5730" customFormat="1" x14ac:dyDescent="0.2"/>
    <row r="5731" customFormat="1" x14ac:dyDescent="0.2"/>
    <row r="5732" customFormat="1" x14ac:dyDescent="0.2"/>
    <row r="5733" customFormat="1" x14ac:dyDescent="0.2"/>
    <row r="5734" customFormat="1" x14ac:dyDescent="0.2"/>
    <row r="5735" customFormat="1" x14ac:dyDescent="0.2"/>
    <row r="5736" customFormat="1" x14ac:dyDescent="0.2"/>
    <row r="5737" customFormat="1" x14ac:dyDescent="0.2"/>
    <row r="5738" customFormat="1" x14ac:dyDescent="0.2"/>
    <row r="5739" customFormat="1" x14ac:dyDescent="0.2"/>
    <row r="5740" customFormat="1" x14ac:dyDescent="0.2"/>
    <row r="5741" customFormat="1" x14ac:dyDescent="0.2"/>
    <row r="5742" customFormat="1" x14ac:dyDescent="0.2"/>
    <row r="5743" customFormat="1" x14ac:dyDescent="0.2"/>
    <row r="5744" customFormat="1" x14ac:dyDescent="0.2"/>
    <row r="5745" customFormat="1" x14ac:dyDescent="0.2"/>
    <row r="5746" customFormat="1" x14ac:dyDescent="0.2"/>
    <row r="5747" customFormat="1" x14ac:dyDescent="0.2"/>
    <row r="5748" customFormat="1" x14ac:dyDescent="0.2"/>
    <row r="5749" customFormat="1" x14ac:dyDescent="0.2"/>
    <row r="5750" customFormat="1" x14ac:dyDescent="0.2"/>
    <row r="5751" customFormat="1" x14ac:dyDescent="0.2"/>
    <row r="5752" customFormat="1" x14ac:dyDescent="0.2"/>
    <row r="5753" customFormat="1" x14ac:dyDescent="0.2"/>
    <row r="5754" customFormat="1" x14ac:dyDescent="0.2"/>
    <row r="5755" customFormat="1" x14ac:dyDescent="0.2"/>
    <row r="5756" customFormat="1" x14ac:dyDescent="0.2"/>
    <row r="5757" customFormat="1" x14ac:dyDescent="0.2"/>
    <row r="5758" customFormat="1" x14ac:dyDescent="0.2"/>
    <row r="5759" customFormat="1" x14ac:dyDescent="0.2"/>
    <row r="5760" customFormat="1" x14ac:dyDescent="0.2"/>
    <row r="5761" customFormat="1" x14ac:dyDescent="0.2"/>
    <row r="5762" customFormat="1" x14ac:dyDescent="0.2"/>
    <row r="5763" customFormat="1" x14ac:dyDescent="0.2"/>
    <row r="5764" customFormat="1" x14ac:dyDescent="0.2"/>
    <row r="5765" customFormat="1" x14ac:dyDescent="0.2"/>
    <row r="5766" customFormat="1" x14ac:dyDescent="0.2"/>
    <row r="5767" customFormat="1" x14ac:dyDescent="0.2"/>
    <row r="5768" customFormat="1" x14ac:dyDescent="0.2"/>
    <row r="5769" customFormat="1" x14ac:dyDescent="0.2"/>
    <row r="5770" customFormat="1" x14ac:dyDescent="0.2"/>
    <row r="5771" customFormat="1" x14ac:dyDescent="0.2"/>
    <row r="5772" customFormat="1" x14ac:dyDescent="0.2"/>
    <row r="5773" customFormat="1" x14ac:dyDescent="0.2"/>
    <row r="5774" customFormat="1" x14ac:dyDescent="0.2"/>
    <row r="5775" customFormat="1" x14ac:dyDescent="0.2"/>
    <row r="5776" customFormat="1" x14ac:dyDescent="0.2"/>
    <row r="5777" customFormat="1" x14ac:dyDescent="0.2"/>
    <row r="5778" customFormat="1" x14ac:dyDescent="0.2"/>
    <row r="5779" customFormat="1" x14ac:dyDescent="0.2"/>
    <row r="5780" customFormat="1" x14ac:dyDescent="0.2"/>
    <row r="5781" customFormat="1" x14ac:dyDescent="0.2"/>
    <row r="5782" customFormat="1" x14ac:dyDescent="0.2"/>
    <row r="5783" customFormat="1" x14ac:dyDescent="0.2"/>
    <row r="5784" customFormat="1" x14ac:dyDescent="0.2"/>
    <row r="5785" customFormat="1" x14ac:dyDescent="0.2"/>
    <row r="5786" customFormat="1" x14ac:dyDescent="0.2"/>
    <row r="5787" customFormat="1" x14ac:dyDescent="0.2"/>
    <row r="5788" customFormat="1" x14ac:dyDescent="0.2"/>
    <row r="5789" customFormat="1" x14ac:dyDescent="0.2"/>
    <row r="5790" customFormat="1" x14ac:dyDescent="0.2"/>
    <row r="5791" customFormat="1" x14ac:dyDescent="0.2"/>
    <row r="5792" customFormat="1" x14ac:dyDescent="0.2"/>
    <row r="5793" customFormat="1" x14ac:dyDescent="0.2"/>
    <row r="5794" customFormat="1" x14ac:dyDescent="0.2"/>
    <row r="5795" customFormat="1" x14ac:dyDescent="0.2"/>
    <row r="5796" customFormat="1" x14ac:dyDescent="0.2"/>
    <row r="5797" customFormat="1" x14ac:dyDescent="0.2"/>
    <row r="5798" customFormat="1" x14ac:dyDescent="0.2"/>
    <row r="5799" customFormat="1" x14ac:dyDescent="0.2"/>
    <row r="5800" customFormat="1" x14ac:dyDescent="0.2"/>
    <row r="5801" customFormat="1" x14ac:dyDescent="0.2"/>
    <row r="5802" customFormat="1" x14ac:dyDescent="0.2"/>
    <row r="5803" customFormat="1" x14ac:dyDescent="0.2"/>
    <row r="5804" customFormat="1" x14ac:dyDescent="0.2"/>
    <row r="5805" customFormat="1" x14ac:dyDescent="0.2"/>
    <row r="5806" customFormat="1" x14ac:dyDescent="0.2"/>
    <row r="5807" customFormat="1" x14ac:dyDescent="0.2"/>
    <row r="5808" customFormat="1" x14ac:dyDescent="0.2"/>
    <row r="5809" customFormat="1" x14ac:dyDescent="0.2"/>
    <row r="5810" customFormat="1" x14ac:dyDescent="0.2"/>
    <row r="5811" customFormat="1" x14ac:dyDescent="0.2"/>
    <row r="5812" customFormat="1" x14ac:dyDescent="0.2"/>
    <row r="5813" customFormat="1" x14ac:dyDescent="0.2"/>
    <row r="5814" customFormat="1" x14ac:dyDescent="0.2"/>
    <row r="5815" customFormat="1" x14ac:dyDescent="0.2"/>
    <row r="5816" customFormat="1" x14ac:dyDescent="0.2"/>
    <row r="5817" customFormat="1" x14ac:dyDescent="0.2"/>
    <row r="5818" customFormat="1" x14ac:dyDescent="0.2"/>
    <row r="5819" customFormat="1" x14ac:dyDescent="0.2"/>
    <row r="5820" customFormat="1" x14ac:dyDescent="0.2"/>
    <row r="5821" customFormat="1" x14ac:dyDescent="0.2"/>
    <row r="5822" customFormat="1" x14ac:dyDescent="0.2"/>
    <row r="5823" customFormat="1" x14ac:dyDescent="0.2"/>
    <row r="5824" customFormat="1" x14ac:dyDescent="0.2"/>
    <row r="5825" customFormat="1" x14ac:dyDescent="0.2"/>
    <row r="5826" customFormat="1" x14ac:dyDescent="0.2"/>
    <row r="5827" customFormat="1" x14ac:dyDescent="0.2"/>
    <row r="5828" customFormat="1" x14ac:dyDescent="0.2"/>
    <row r="5829" customFormat="1" x14ac:dyDescent="0.2"/>
    <row r="5830" customFormat="1" x14ac:dyDescent="0.2"/>
    <row r="5831" customFormat="1" x14ac:dyDescent="0.2"/>
    <row r="5832" customFormat="1" x14ac:dyDescent="0.2"/>
    <row r="5833" customFormat="1" x14ac:dyDescent="0.2"/>
    <row r="5834" customFormat="1" x14ac:dyDescent="0.2"/>
    <row r="5835" customFormat="1" x14ac:dyDescent="0.2"/>
    <row r="5836" customFormat="1" x14ac:dyDescent="0.2"/>
    <row r="5837" customFormat="1" x14ac:dyDescent="0.2"/>
    <row r="5838" customFormat="1" x14ac:dyDescent="0.2"/>
    <row r="5839" customFormat="1" x14ac:dyDescent="0.2"/>
    <row r="5840" customFormat="1" x14ac:dyDescent="0.2"/>
    <row r="5841" customFormat="1" x14ac:dyDescent="0.2"/>
    <row r="5842" customFormat="1" x14ac:dyDescent="0.2"/>
    <row r="5843" customFormat="1" x14ac:dyDescent="0.2"/>
    <row r="5844" customFormat="1" x14ac:dyDescent="0.2"/>
    <row r="5845" customFormat="1" x14ac:dyDescent="0.2"/>
    <row r="5846" customFormat="1" x14ac:dyDescent="0.2"/>
    <row r="5847" customFormat="1" x14ac:dyDescent="0.2"/>
    <row r="5848" customFormat="1" x14ac:dyDescent="0.2"/>
    <row r="5849" customFormat="1" x14ac:dyDescent="0.2"/>
    <row r="5850" customFormat="1" x14ac:dyDescent="0.2"/>
    <row r="5851" customFormat="1" x14ac:dyDescent="0.2"/>
    <row r="5852" customFormat="1" x14ac:dyDescent="0.2"/>
    <row r="5853" customFormat="1" x14ac:dyDescent="0.2"/>
    <row r="5854" customFormat="1" x14ac:dyDescent="0.2"/>
    <row r="5855" customFormat="1" x14ac:dyDescent="0.2"/>
    <row r="5856" customFormat="1" x14ac:dyDescent="0.2"/>
    <row r="5857" customFormat="1" x14ac:dyDescent="0.2"/>
    <row r="5858" customFormat="1" x14ac:dyDescent="0.2"/>
    <row r="5859" customFormat="1" x14ac:dyDescent="0.2"/>
    <row r="5860" customFormat="1" x14ac:dyDescent="0.2"/>
    <row r="5861" customFormat="1" x14ac:dyDescent="0.2"/>
    <row r="5862" customFormat="1" x14ac:dyDescent="0.2"/>
    <row r="5863" customFormat="1" x14ac:dyDescent="0.2"/>
    <row r="5864" customFormat="1" x14ac:dyDescent="0.2"/>
    <row r="5865" customFormat="1" x14ac:dyDescent="0.2"/>
    <row r="5866" customFormat="1" x14ac:dyDescent="0.2"/>
    <row r="5867" customFormat="1" x14ac:dyDescent="0.2"/>
    <row r="5868" customFormat="1" x14ac:dyDescent="0.2"/>
    <row r="5869" customFormat="1" x14ac:dyDescent="0.2"/>
    <row r="5870" customFormat="1" x14ac:dyDescent="0.2"/>
    <row r="5871" customFormat="1" x14ac:dyDescent="0.2"/>
    <row r="5872" customFormat="1" x14ac:dyDescent="0.2"/>
    <row r="5873" customFormat="1" x14ac:dyDescent="0.2"/>
    <row r="5874" customFormat="1" x14ac:dyDescent="0.2"/>
    <row r="5875" customFormat="1" x14ac:dyDescent="0.2"/>
    <row r="5876" customFormat="1" x14ac:dyDescent="0.2"/>
    <row r="5877" customFormat="1" x14ac:dyDescent="0.2"/>
    <row r="5878" customFormat="1" x14ac:dyDescent="0.2"/>
    <row r="5879" customFormat="1" x14ac:dyDescent="0.2"/>
    <row r="5880" customFormat="1" x14ac:dyDescent="0.2"/>
    <row r="5881" customFormat="1" x14ac:dyDescent="0.2"/>
    <row r="5882" customFormat="1" x14ac:dyDescent="0.2"/>
    <row r="5883" customFormat="1" x14ac:dyDescent="0.2"/>
    <row r="5884" customFormat="1" x14ac:dyDescent="0.2"/>
    <row r="5885" customFormat="1" x14ac:dyDescent="0.2"/>
    <row r="5886" customFormat="1" x14ac:dyDescent="0.2"/>
    <row r="5887" customFormat="1" x14ac:dyDescent="0.2"/>
    <row r="5888" customFormat="1" x14ac:dyDescent="0.2"/>
    <row r="5889" customFormat="1" x14ac:dyDescent="0.2"/>
    <row r="5890" customFormat="1" x14ac:dyDescent="0.2"/>
    <row r="5891" customFormat="1" x14ac:dyDescent="0.2"/>
    <row r="5892" customFormat="1" x14ac:dyDescent="0.2"/>
    <row r="5893" customFormat="1" x14ac:dyDescent="0.2"/>
    <row r="5894" customFormat="1" x14ac:dyDescent="0.2"/>
    <row r="5895" customFormat="1" x14ac:dyDescent="0.2"/>
    <row r="5896" customFormat="1" x14ac:dyDescent="0.2"/>
    <row r="5897" customFormat="1" x14ac:dyDescent="0.2"/>
    <row r="5898" customFormat="1" x14ac:dyDescent="0.2"/>
    <row r="5899" customFormat="1" x14ac:dyDescent="0.2"/>
    <row r="5900" customFormat="1" x14ac:dyDescent="0.2"/>
    <row r="5901" customFormat="1" x14ac:dyDescent="0.2"/>
    <row r="5902" customFormat="1" x14ac:dyDescent="0.2"/>
    <row r="5903" customFormat="1" x14ac:dyDescent="0.2"/>
    <row r="5904" customFormat="1" x14ac:dyDescent="0.2"/>
    <row r="5905" customFormat="1" x14ac:dyDescent="0.2"/>
    <row r="5906" customFormat="1" x14ac:dyDescent="0.2"/>
    <row r="5907" customFormat="1" x14ac:dyDescent="0.2"/>
    <row r="5908" customFormat="1" x14ac:dyDescent="0.2"/>
    <row r="5909" customFormat="1" x14ac:dyDescent="0.2"/>
    <row r="5910" customFormat="1" x14ac:dyDescent="0.2"/>
    <row r="5911" customFormat="1" x14ac:dyDescent="0.2"/>
    <row r="5912" customFormat="1" x14ac:dyDescent="0.2"/>
    <row r="5913" customFormat="1" x14ac:dyDescent="0.2"/>
    <row r="5914" customFormat="1" x14ac:dyDescent="0.2"/>
    <row r="5915" customFormat="1" x14ac:dyDescent="0.2"/>
    <row r="5916" customFormat="1" x14ac:dyDescent="0.2"/>
    <row r="5917" customFormat="1" x14ac:dyDescent="0.2"/>
    <row r="5918" customFormat="1" x14ac:dyDescent="0.2"/>
    <row r="5919" customFormat="1" x14ac:dyDescent="0.2"/>
    <row r="5920" customFormat="1" x14ac:dyDescent="0.2"/>
    <row r="5921" customFormat="1" x14ac:dyDescent="0.2"/>
    <row r="5922" customFormat="1" x14ac:dyDescent="0.2"/>
    <row r="5923" customFormat="1" x14ac:dyDescent="0.2"/>
    <row r="5924" customFormat="1" x14ac:dyDescent="0.2"/>
    <row r="5925" customFormat="1" x14ac:dyDescent="0.2"/>
    <row r="5926" customFormat="1" x14ac:dyDescent="0.2"/>
    <row r="5927" customFormat="1" x14ac:dyDescent="0.2"/>
    <row r="5928" customFormat="1" x14ac:dyDescent="0.2"/>
    <row r="5929" customFormat="1" x14ac:dyDescent="0.2"/>
    <row r="5930" customFormat="1" x14ac:dyDescent="0.2"/>
    <row r="5931" customFormat="1" x14ac:dyDescent="0.2"/>
    <row r="5932" customFormat="1" x14ac:dyDescent="0.2"/>
    <row r="5933" customFormat="1" x14ac:dyDescent="0.2"/>
    <row r="5934" customFormat="1" x14ac:dyDescent="0.2"/>
    <row r="5935" customFormat="1" x14ac:dyDescent="0.2"/>
    <row r="5936" customFormat="1" x14ac:dyDescent="0.2"/>
    <row r="5937" customFormat="1" x14ac:dyDescent="0.2"/>
    <row r="5938" customFormat="1" x14ac:dyDescent="0.2"/>
    <row r="5939" customFormat="1" x14ac:dyDescent="0.2"/>
    <row r="5940" customFormat="1" x14ac:dyDescent="0.2"/>
    <row r="5941" customFormat="1" x14ac:dyDescent="0.2"/>
    <row r="5942" customFormat="1" x14ac:dyDescent="0.2"/>
    <row r="5943" customFormat="1" x14ac:dyDescent="0.2"/>
    <row r="5944" customFormat="1" x14ac:dyDescent="0.2"/>
    <row r="5945" customFormat="1" x14ac:dyDescent="0.2"/>
    <row r="5946" customFormat="1" x14ac:dyDescent="0.2"/>
    <row r="5947" customFormat="1" x14ac:dyDescent="0.2"/>
    <row r="5948" customFormat="1" x14ac:dyDescent="0.2"/>
    <row r="5949" customFormat="1" x14ac:dyDescent="0.2"/>
    <row r="5950" customFormat="1" x14ac:dyDescent="0.2"/>
    <row r="5951" customFormat="1" x14ac:dyDescent="0.2"/>
    <row r="5952" customFormat="1" x14ac:dyDescent="0.2"/>
    <row r="5953" customFormat="1" x14ac:dyDescent="0.2"/>
    <row r="5954" customFormat="1" x14ac:dyDescent="0.2"/>
    <row r="5955" customFormat="1" x14ac:dyDescent="0.2"/>
    <row r="5956" customFormat="1" x14ac:dyDescent="0.2"/>
    <row r="5957" customFormat="1" x14ac:dyDescent="0.2"/>
    <row r="5958" customFormat="1" x14ac:dyDescent="0.2"/>
    <row r="5959" customFormat="1" x14ac:dyDescent="0.2"/>
    <row r="5960" customFormat="1" x14ac:dyDescent="0.2"/>
    <row r="5961" customFormat="1" x14ac:dyDescent="0.2"/>
    <row r="5962" customFormat="1" x14ac:dyDescent="0.2"/>
    <row r="5963" customFormat="1" x14ac:dyDescent="0.2"/>
    <row r="5964" customFormat="1" x14ac:dyDescent="0.2"/>
    <row r="5965" customFormat="1" x14ac:dyDescent="0.2"/>
    <row r="5966" customFormat="1" x14ac:dyDescent="0.2"/>
    <row r="5967" customFormat="1" x14ac:dyDescent="0.2"/>
    <row r="5968" customFormat="1" x14ac:dyDescent="0.2"/>
    <row r="5969" customFormat="1" x14ac:dyDescent="0.2"/>
    <row r="5970" customFormat="1" x14ac:dyDescent="0.2"/>
    <row r="5971" customFormat="1" x14ac:dyDescent="0.2"/>
    <row r="5972" customFormat="1" x14ac:dyDescent="0.2"/>
    <row r="5973" customFormat="1" x14ac:dyDescent="0.2"/>
    <row r="5974" customFormat="1" x14ac:dyDescent="0.2"/>
    <row r="5975" customFormat="1" x14ac:dyDescent="0.2"/>
    <row r="5976" customFormat="1" x14ac:dyDescent="0.2"/>
    <row r="5977" customFormat="1" x14ac:dyDescent="0.2"/>
    <row r="5978" customFormat="1" x14ac:dyDescent="0.2"/>
    <row r="5979" customFormat="1" x14ac:dyDescent="0.2"/>
    <row r="5980" customFormat="1" x14ac:dyDescent="0.2"/>
    <row r="5981" customFormat="1" x14ac:dyDescent="0.2"/>
    <row r="5982" customFormat="1" x14ac:dyDescent="0.2"/>
    <row r="5983" customFormat="1" x14ac:dyDescent="0.2"/>
    <row r="5984" customFormat="1" x14ac:dyDescent="0.2"/>
    <row r="5985" customFormat="1" x14ac:dyDescent="0.2"/>
    <row r="5986" customFormat="1" x14ac:dyDescent="0.2"/>
    <row r="5987" customFormat="1" x14ac:dyDescent="0.2"/>
    <row r="5988" customFormat="1" x14ac:dyDescent="0.2"/>
    <row r="5989" customFormat="1" x14ac:dyDescent="0.2"/>
    <row r="5990" customFormat="1" x14ac:dyDescent="0.2"/>
    <row r="5991" customFormat="1" x14ac:dyDescent="0.2"/>
    <row r="5992" customFormat="1" x14ac:dyDescent="0.2"/>
    <row r="5993" customFormat="1" x14ac:dyDescent="0.2"/>
    <row r="5994" customFormat="1" x14ac:dyDescent="0.2"/>
    <row r="5995" customFormat="1" x14ac:dyDescent="0.2"/>
    <row r="5996" customFormat="1" x14ac:dyDescent="0.2"/>
    <row r="5997" customFormat="1" x14ac:dyDescent="0.2"/>
    <row r="5998" customFormat="1" x14ac:dyDescent="0.2"/>
    <row r="5999" customFormat="1" x14ac:dyDescent="0.2"/>
    <row r="6000" customFormat="1" x14ac:dyDescent="0.2"/>
    <row r="6001" customFormat="1" x14ac:dyDescent="0.2"/>
    <row r="6002" customFormat="1" x14ac:dyDescent="0.2"/>
    <row r="6003" customFormat="1" x14ac:dyDescent="0.2"/>
    <row r="6004" customFormat="1" x14ac:dyDescent="0.2"/>
    <row r="6005" customFormat="1" x14ac:dyDescent="0.2"/>
    <row r="6006" customFormat="1" x14ac:dyDescent="0.2"/>
    <row r="6007" customFormat="1" x14ac:dyDescent="0.2"/>
    <row r="6008" customFormat="1" x14ac:dyDescent="0.2"/>
    <row r="6009" customFormat="1" x14ac:dyDescent="0.2"/>
    <row r="6010" customFormat="1" x14ac:dyDescent="0.2"/>
    <row r="6011" customFormat="1" x14ac:dyDescent="0.2"/>
    <row r="6012" customFormat="1" x14ac:dyDescent="0.2"/>
    <row r="6013" customFormat="1" x14ac:dyDescent="0.2"/>
    <row r="6014" customFormat="1" x14ac:dyDescent="0.2"/>
    <row r="6015" customFormat="1" x14ac:dyDescent="0.2"/>
    <row r="6016" customFormat="1" x14ac:dyDescent="0.2"/>
    <row r="6017" customFormat="1" x14ac:dyDescent="0.2"/>
    <row r="6018" customFormat="1" x14ac:dyDescent="0.2"/>
    <row r="6019" customFormat="1" x14ac:dyDescent="0.2"/>
    <row r="6020" customFormat="1" x14ac:dyDescent="0.2"/>
    <row r="6021" customFormat="1" x14ac:dyDescent="0.2"/>
    <row r="6022" customFormat="1" x14ac:dyDescent="0.2"/>
    <row r="6023" customFormat="1" x14ac:dyDescent="0.2"/>
    <row r="6024" customFormat="1" x14ac:dyDescent="0.2"/>
    <row r="6025" customFormat="1" x14ac:dyDescent="0.2"/>
    <row r="6026" customFormat="1" x14ac:dyDescent="0.2"/>
    <row r="6027" customFormat="1" x14ac:dyDescent="0.2"/>
    <row r="6028" customFormat="1" x14ac:dyDescent="0.2"/>
    <row r="6029" customFormat="1" x14ac:dyDescent="0.2"/>
    <row r="6030" customFormat="1" x14ac:dyDescent="0.2"/>
    <row r="6031" customFormat="1" x14ac:dyDescent="0.2"/>
    <row r="6032" customFormat="1" x14ac:dyDescent="0.2"/>
    <row r="6033" customFormat="1" x14ac:dyDescent="0.2"/>
    <row r="6034" customFormat="1" x14ac:dyDescent="0.2"/>
    <row r="6035" customFormat="1" x14ac:dyDescent="0.2"/>
    <row r="6036" customFormat="1" x14ac:dyDescent="0.2"/>
    <row r="6037" customFormat="1" x14ac:dyDescent="0.2"/>
    <row r="6038" customFormat="1" x14ac:dyDescent="0.2"/>
    <row r="6039" customFormat="1" x14ac:dyDescent="0.2"/>
    <row r="6040" customFormat="1" x14ac:dyDescent="0.2"/>
    <row r="6041" customFormat="1" x14ac:dyDescent="0.2"/>
    <row r="6042" customFormat="1" x14ac:dyDescent="0.2"/>
    <row r="6043" customFormat="1" x14ac:dyDescent="0.2"/>
    <row r="6044" customFormat="1" x14ac:dyDescent="0.2"/>
    <row r="6045" customFormat="1" x14ac:dyDescent="0.2"/>
    <row r="6046" customFormat="1" x14ac:dyDescent="0.2"/>
    <row r="6047" customFormat="1" x14ac:dyDescent="0.2"/>
    <row r="6048" customFormat="1" x14ac:dyDescent="0.2"/>
    <row r="6049" customFormat="1" x14ac:dyDescent="0.2"/>
    <row r="6050" customFormat="1" x14ac:dyDescent="0.2"/>
    <row r="6051" customFormat="1" x14ac:dyDescent="0.2"/>
    <row r="6052" customFormat="1" x14ac:dyDescent="0.2"/>
    <row r="6053" customFormat="1" x14ac:dyDescent="0.2"/>
    <row r="6054" customFormat="1" x14ac:dyDescent="0.2"/>
    <row r="6055" customFormat="1" x14ac:dyDescent="0.2"/>
    <row r="6056" customFormat="1" x14ac:dyDescent="0.2"/>
    <row r="6057" customFormat="1" x14ac:dyDescent="0.2"/>
    <row r="6058" customFormat="1" x14ac:dyDescent="0.2"/>
    <row r="6059" customFormat="1" x14ac:dyDescent="0.2"/>
    <row r="6060" customFormat="1" x14ac:dyDescent="0.2"/>
    <row r="6061" customFormat="1" x14ac:dyDescent="0.2"/>
    <row r="6062" customFormat="1" x14ac:dyDescent="0.2"/>
    <row r="6063" customFormat="1" x14ac:dyDescent="0.2"/>
    <row r="6064" customFormat="1" x14ac:dyDescent="0.2"/>
    <row r="6065" customFormat="1" x14ac:dyDescent="0.2"/>
    <row r="6066" customFormat="1" x14ac:dyDescent="0.2"/>
    <row r="6067" customFormat="1" x14ac:dyDescent="0.2"/>
    <row r="6068" customFormat="1" x14ac:dyDescent="0.2"/>
    <row r="6069" customFormat="1" x14ac:dyDescent="0.2"/>
    <row r="6070" customFormat="1" x14ac:dyDescent="0.2"/>
    <row r="6071" customFormat="1" x14ac:dyDescent="0.2"/>
    <row r="6072" customFormat="1" x14ac:dyDescent="0.2"/>
    <row r="6073" customFormat="1" x14ac:dyDescent="0.2"/>
    <row r="6074" customFormat="1" x14ac:dyDescent="0.2"/>
    <row r="6075" customFormat="1" x14ac:dyDescent="0.2"/>
    <row r="6076" customFormat="1" x14ac:dyDescent="0.2"/>
    <row r="6077" customFormat="1" x14ac:dyDescent="0.2"/>
    <row r="6078" customFormat="1" x14ac:dyDescent="0.2"/>
    <row r="6079" customFormat="1" x14ac:dyDescent="0.2"/>
    <row r="6080" customFormat="1" x14ac:dyDescent="0.2"/>
    <row r="6081" customFormat="1" x14ac:dyDescent="0.2"/>
    <row r="6082" customFormat="1" x14ac:dyDescent="0.2"/>
    <row r="6083" customFormat="1" x14ac:dyDescent="0.2"/>
    <row r="6084" customFormat="1" x14ac:dyDescent="0.2"/>
    <row r="6085" customFormat="1" x14ac:dyDescent="0.2"/>
    <row r="6086" customFormat="1" x14ac:dyDescent="0.2"/>
    <row r="6087" customFormat="1" x14ac:dyDescent="0.2"/>
    <row r="6088" customFormat="1" x14ac:dyDescent="0.2"/>
    <row r="6089" customFormat="1" x14ac:dyDescent="0.2"/>
    <row r="6090" customFormat="1" x14ac:dyDescent="0.2"/>
    <row r="6091" customFormat="1" x14ac:dyDescent="0.2"/>
    <row r="6092" customFormat="1" x14ac:dyDescent="0.2"/>
    <row r="6093" customFormat="1" x14ac:dyDescent="0.2"/>
    <row r="6094" customFormat="1" x14ac:dyDescent="0.2"/>
    <row r="6095" customFormat="1" x14ac:dyDescent="0.2"/>
    <row r="6096" customFormat="1" x14ac:dyDescent="0.2"/>
    <row r="6097" customFormat="1" x14ac:dyDescent="0.2"/>
    <row r="6098" customFormat="1" x14ac:dyDescent="0.2"/>
    <row r="6099" customFormat="1" x14ac:dyDescent="0.2"/>
    <row r="6100" customFormat="1" x14ac:dyDescent="0.2"/>
    <row r="6101" customFormat="1" x14ac:dyDescent="0.2"/>
    <row r="6102" customFormat="1" x14ac:dyDescent="0.2"/>
    <row r="6103" customFormat="1" x14ac:dyDescent="0.2"/>
    <row r="6104" customFormat="1" x14ac:dyDescent="0.2"/>
    <row r="6105" customFormat="1" x14ac:dyDescent="0.2"/>
    <row r="6106" customFormat="1" x14ac:dyDescent="0.2"/>
    <row r="6107" customFormat="1" x14ac:dyDescent="0.2"/>
    <row r="6108" customFormat="1" x14ac:dyDescent="0.2"/>
    <row r="6109" customFormat="1" x14ac:dyDescent="0.2"/>
    <row r="6110" customFormat="1" x14ac:dyDescent="0.2"/>
    <row r="6111" customFormat="1" x14ac:dyDescent="0.2"/>
    <row r="6112" customFormat="1" x14ac:dyDescent="0.2"/>
    <row r="6113" customFormat="1" x14ac:dyDescent="0.2"/>
    <row r="6114" customFormat="1" x14ac:dyDescent="0.2"/>
    <row r="6115" customFormat="1" x14ac:dyDescent="0.2"/>
    <row r="6116" customFormat="1" x14ac:dyDescent="0.2"/>
    <row r="6117" customFormat="1" x14ac:dyDescent="0.2"/>
    <row r="6118" customFormat="1" x14ac:dyDescent="0.2"/>
    <row r="6119" customFormat="1" x14ac:dyDescent="0.2"/>
    <row r="6120" customFormat="1" x14ac:dyDescent="0.2"/>
    <row r="6121" customFormat="1" x14ac:dyDescent="0.2"/>
    <row r="6122" customFormat="1" x14ac:dyDescent="0.2"/>
    <row r="6123" customFormat="1" x14ac:dyDescent="0.2"/>
    <row r="6124" customFormat="1" x14ac:dyDescent="0.2"/>
    <row r="6125" customFormat="1" x14ac:dyDescent="0.2"/>
    <row r="6126" customFormat="1" x14ac:dyDescent="0.2"/>
    <row r="6127" customFormat="1" x14ac:dyDescent="0.2"/>
    <row r="6128" customFormat="1" x14ac:dyDescent="0.2"/>
    <row r="6129" customFormat="1" x14ac:dyDescent="0.2"/>
    <row r="6130" customFormat="1" x14ac:dyDescent="0.2"/>
    <row r="6131" customFormat="1" x14ac:dyDescent="0.2"/>
    <row r="6132" customFormat="1" x14ac:dyDescent="0.2"/>
    <row r="6133" customFormat="1" x14ac:dyDescent="0.2"/>
    <row r="6134" customFormat="1" x14ac:dyDescent="0.2"/>
    <row r="6135" customFormat="1" x14ac:dyDescent="0.2"/>
    <row r="6136" customFormat="1" x14ac:dyDescent="0.2"/>
    <row r="6137" customFormat="1" x14ac:dyDescent="0.2"/>
    <row r="6138" customFormat="1" x14ac:dyDescent="0.2"/>
    <row r="6139" customFormat="1" x14ac:dyDescent="0.2"/>
    <row r="6140" customFormat="1" x14ac:dyDescent="0.2"/>
    <row r="6141" customFormat="1" x14ac:dyDescent="0.2"/>
    <row r="6142" customFormat="1" x14ac:dyDescent="0.2"/>
    <row r="6143" customFormat="1" x14ac:dyDescent="0.2"/>
    <row r="6144" customFormat="1" x14ac:dyDescent="0.2"/>
    <row r="6145" customFormat="1" x14ac:dyDescent="0.2"/>
    <row r="6146" customFormat="1" x14ac:dyDescent="0.2"/>
    <row r="6147" customFormat="1" x14ac:dyDescent="0.2"/>
    <row r="6148" customFormat="1" x14ac:dyDescent="0.2"/>
    <row r="6149" customFormat="1" x14ac:dyDescent="0.2"/>
    <row r="6150" customFormat="1" x14ac:dyDescent="0.2"/>
    <row r="6151" customFormat="1" x14ac:dyDescent="0.2"/>
    <row r="6152" customFormat="1" x14ac:dyDescent="0.2"/>
    <row r="6153" customFormat="1" x14ac:dyDescent="0.2"/>
    <row r="6154" customFormat="1" x14ac:dyDescent="0.2"/>
    <row r="6155" customFormat="1" x14ac:dyDescent="0.2"/>
    <row r="6156" customFormat="1" x14ac:dyDescent="0.2"/>
    <row r="6157" customFormat="1" x14ac:dyDescent="0.2"/>
    <row r="6158" customFormat="1" x14ac:dyDescent="0.2"/>
    <row r="6159" customFormat="1" x14ac:dyDescent="0.2"/>
    <row r="6160" customFormat="1" x14ac:dyDescent="0.2"/>
    <row r="6161" customFormat="1" x14ac:dyDescent="0.2"/>
    <row r="6162" customFormat="1" x14ac:dyDescent="0.2"/>
    <row r="6163" customFormat="1" x14ac:dyDescent="0.2"/>
    <row r="6164" customFormat="1" x14ac:dyDescent="0.2"/>
    <row r="6165" customFormat="1" x14ac:dyDescent="0.2"/>
    <row r="6166" customFormat="1" x14ac:dyDescent="0.2"/>
    <row r="6167" customFormat="1" x14ac:dyDescent="0.2"/>
    <row r="6168" customFormat="1" x14ac:dyDescent="0.2"/>
    <row r="6169" customFormat="1" x14ac:dyDescent="0.2"/>
    <row r="6170" customFormat="1" x14ac:dyDescent="0.2"/>
    <row r="6171" customFormat="1" x14ac:dyDescent="0.2"/>
    <row r="6172" customFormat="1" x14ac:dyDescent="0.2"/>
    <row r="6173" customFormat="1" x14ac:dyDescent="0.2"/>
    <row r="6174" customFormat="1" x14ac:dyDescent="0.2"/>
    <row r="6175" customFormat="1" x14ac:dyDescent="0.2"/>
    <row r="6176" customFormat="1" x14ac:dyDescent="0.2"/>
    <row r="6177" customFormat="1" x14ac:dyDescent="0.2"/>
    <row r="6178" customFormat="1" x14ac:dyDescent="0.2"/>
    <row r="6179" customFormat="1" x14ac:dyDescent="0.2"/>
    <row r="6180" customFormat="1" x14ac:dyDescent="0.2"/>
    <row r="6181" customFormat="1" x14ac:dyDescent="0.2"/>
    <row r="6182" customFormat="1" x14ac:dyDescent="0.2"/>
    <row r="6183" customFormat="1" x14ac:dyDescent="0.2"/>
    <row r="6184" customFormat="1" x14ac:dyDescent="0.2"/>
    <row r="6185" customFormat="1" x14ac:dyDescent="0.2"/>
    <row r="6186" customFormat="1" x14ac:dyDescent="0.2"/>
    <row r="6187" customFormat="1" x14ac:dyDescent="0.2"/>
    <row r="6188" customFormat="1" x14ac:dyDescent="0.2"/>
    <row r="6189" customFormat="1" x14ac:dyDescent="0.2"/>
    <row r="6190" customFormat="1" x14ac:dyDescent="0.2"/>
    <row r="6191" customFormat="1" x14ac:dyDescent="0.2"/>
    <row r="6192" customFormat="1" x14ac:dyDescent="0.2"/>
    <row r="6193" customFormat="1" x14ac:dyDescent="0.2"/>
    <row r="6194" customFormat="1" x14ac:dyDescent="0.2"/>
    <row r="6195" customFormat="1" x14ac:dyDescent="0.2"/>
    <row r="6196" customFormat="1" x14ac:dyDescent="0.2"/>
    <row r="6197" customFormat="1" x14ac:dyDescent="0.2"/>
    <row r="6198" customFormat="1" x14ac:dyDescent="0.2"/>
    <row r="6199" customFormat="1" x14ac:dyDescent="0.2"/>
    <row r="6200" customFormat="1" x14ac:dyDescent="0.2"/>
    <row r="6201" customFormat="1" x14ac:dyDescent="0.2"/>
    <row r="6202" customFormat="1" x14ac:dyDescent="0.2"/>
    <row r="6203" customFormat="1" x14ac:dyDescent="0.2"/>
    <row r="6204" customFormat="1" x14ac:dyDescent="0.2"/>
    <row r="6205" customFormat="1" x14ac:dyDescent="0.2"/>
    <row r="6206" customFormat="1" x14ac:dyDescent="0.2"/>
    <row r="6207" customFormat="1" x14ac:dyDescent="0.2"/>
    <row r="6208" customFormat="1" x14ac:dyDescent="0.2"/>
    <row r="6209" customFormat="1" x14ac:dyDescent="0.2"/>
    <row r="6210" customFormat="1" x14ac:dyDescent="0.2"/>
    <row r="6211" customFormat="1" x14ac:dyDescent="0.2"/>
    <row r="6212" customFormat="1" x14ac:dyDescent="0.2"/>
    <row r="6213" customFormat="1" x14ac:dyDescent="0.2"/>
    <row r="6214" customFormat="1" x14ac:dyDescent="0.2"/>
    <row r="6215" customFormat="1" x14ac:dyDescent="0.2"/>
    <row r="6216" customFormat="1" x14ac:dyDescent="0.2"/>
    <row r="6217" customFormat="1" x14ac:dyDescent="0.2"/>
    <row r="6218" customFormat="1" x14ac:dyDescent="0.2"/>
    <row r="6219" customFormat="1" x14ac:dyDescent="0.2"/>
    <row r="6220" customFormat="1" x14ac:dyDescent="0.2"/>
    <row r="6221" customFormat="1" x14ac:dyDescent="0.2"/>
    <row r="6222" customFormat="1" x14ac:dyDescent="0.2"/>
    <row r="6223" customFormat="1" x14ac:dyDescent="0.2"/>
    <row r="6224" customFormat="1" x14ac:dyDescent="0.2"/>
    <row r="6225" customFormat="1" x14ac:dyDescent="0.2"/>
    <row r="6226" customFormat="1" x14ac:dyDescent="0.2"/>
    <row r="6227" customFormat="1" x14ac:dyDescent="0.2"/>
    <row r="6228" customFormat="1" x14ac:dyDescent="0.2"/>
    <row r="6229" customFormat="1" x14ac:dyDescent="0.2"/>
    <row r="6230" customFormat="1" x14ac:dyDescent="0.2"/>
    <row r="6231" customFormat="1" x14ac:dyDescent="0.2"/>
    <row r="6232" customFormat="1" x14ac:dyDescent="0.2"/>
    <row r="6233" customFormat="1" x14ac:dyDescent="0.2"/>
    <row r="6234" customFormat="1" x14ac:dyDescent="0.2"/>
    <row r="6235" customFormat="1" x14ac:dyDescent="0.2"/>
    <row r="6236" customFormat="1" x14ac:dyDescent="0.2"/>
    <row r="6237" customFormat="1" x14ac:dyDescent="0.2"/>
    <row r="6238" customFormat="1" x14ac:dyDescent="0.2"/>
    <row r="6239" customFormat="1" x14ac:dyDescent="0.2"/>
    <row r="6240" customFormat="1" x14ac:dyDescent="0.2"/>
    <row r="6241" customFormat="1" x14ac:dyDescent="0.2"/>
    <row r="6242" customFormat="1" x14ac:dyDescent="0.2"/>
    <row r="6243" customFormat="1" x14ac:dyDescent="0.2"/>
    <row r="6244" customFormat="1" x14ac:dyDescent="0.2"/>
    <row r="6245" customFormat="1" x14ac:dyDescent="0.2"/>
    <row r="6246" customFormat="1" x14ac:dyDescent="0.2"/>
    <row r="6247" customFormat="1" x14ac:dyDescent="0.2"/>
    <row r="6248" customFormat="1" x14ac:dyDescent="0.2"/>
    <row r="6249" customFormat="1" x14ac:dyDescent="0.2"/>
    <row r="6250" customFormat="1" x14ac:dyDescent="0.2"/>
    <row r="6251" customFormat="1" x14ac:dyDescent="0.2"/>
    <row r="6252" customFormat="1" x14ac:dyDescent="0.2"/>
    <row r="6253" customFormat="1" x14ac:dyDescent="0.2"/>
    <row r="6254" customFormat="1" x14ac:dyDescent="0.2"/>
    <row r="6255" customFormat="1" x14ac:dyDescent="0.2"/>
    <row r="6256" customFormat="1" x14ac:dyDescent="0.2"/>
    <row r="6257" customFormat="1" x14ac:dyDescent="0.2"/>
    <row r="6258" customFormat="1" x14ac:dyDescent="0.2"/>
    <row r="6259" customFormat="1" x14ac:dyDescent="0.2"/>
    <row r="6260" customFormat="1" x14ac:dyDescent="0.2"/>
    <row r="6261" customFormat="1" x14ac:dyDescent="0.2"/>
    <row r="6262" customFormat="1" x14ac:dyDescent="0.2"/>
    <row r="6263" customFormat="1" x14ac:dyDescent="0.2"/>
    <row r="6264" customFormat="1" x14ac:dyDescent="0.2"/>
    <row r="6265" customFormat="1" x14ac:dyDescent="0.2"/>
    <row r="6266" customFormat="1" x14ac:dyDescent="0.2"/>
    <row r="6267" customFormat="1" x14ac:dyDescent="0.2"/>
    <row r="6268" customFormat="1" x14ac:dyDescent="0.2"/>
    <row r="6269" customFormat="1" x14ac:dyDescent="0.2"/>
    <row r="6270" customFormat="1" x14ac:dyDescent="0.2"/>
    <row r="6271" customFormat="1" x14ac:dyDescent="0.2"/>
    <row r="6272" customFormat="1" x14ac:dyDescent="0.2"/>
    <row r="6273" customFormat="1" x14ac:dyDescent="0.2"/>
    <row r="6274" customFormat="1" x14ac:dyDescent="0.2"/>
    <row r="6275" customFormat="1" x14ac:dyDescent="0.2"/>
    <row r="6276" customFormat="1" x14ac:dyDescent="0.2"/>
    <row r="6277" customFormat="1" x14ac:dyDescent="0.2"/>
    <row r="6278" customFormat="1" x14ac:dyDescent="0.2"/>
    <row r="6279" customFormat="1" x14ac:dyDescent="0.2"/>
    <row r="6280" customFormat="1" x14ac:dyDescent="0.2"/>
    <row r="6281" customFormat="1" x14ac:dyDescent="0.2"/>
    <row r="6282" customFormat="1" x14ac:dyDescent="0.2"/>
    <row r="6283" customFormat="1" x14ac:dyDescent="0.2"/>
    <row r="6284" customFormat="1" x14ac:dyDescent="0.2"/>
    <row r="6285" customFormat="1" x14ac:dyDescent="0.2"/>
    <row r="6286" customFormat="1" x14ac:dyDescent="0.2"/>
    <row r="6287" customFormat="1" x14ac:dyDescent="0.2"/>
    <row r="6288" customFormat="1" x14ac:dyDescent="0.2"/>
    <row r="6289" customFormat="1" x14ac:dyDescent="0.2"/>
    <row r="6290" customFormat="1" x14ac:dyDescent="0.2"/>
    <row r="6291" customFormat="1" x14ac:dyDescent="0.2"/>
    <row r="6292" customFormat="1" x14ac:dyDescent="0.2"/>
    <row r="6293" customFormat="1" x14ac:dyDescent="0.2"/>
    <row r="6294" customFormat="1" x14ac:dyDescent="0.2"/>
    <row r="6295" customFormat="1" x14ac:dyDescent="0.2"/>
    <row r="6296" customFormat="1" x14ac:dyDescent="0.2"/>
    <row r="6297" customFormat="1" x14ac:dyDescent="0.2"/>
    <row r="6298" customFormat="1" x14ac:dyDescent="0.2"/>
    <row r="6299" customFormat="1" x14ac:dyDescent="0.2"/>
    <row r="6300" customFormat="1" x14ac:dyDescent="0.2"/>
    <row r="6301" customFormat="1" x14ac:dyDescent="0.2"/>
    <row r="6302" customFormat="1" x14ac:dyDescent="0.2"/>
    <row r="6303" customFormat="1" x14ac:dyDescent="0.2"/>
    <row r="6304" customFormat="1" x14ac:dyDescent="0.2"/>
    <row r="6305" customFormat="1" x14ac:dyDescent="0.2"/>
    <row r="6306" customFormat="1" x14ac:dyDescent="0.2"/>
    <row r="6307" customFormat="1" x14ac:dyDescent="0.2"/>
    <row r="6308" customFormat="1" x14ac:dyDescent="0.2"/>
    <row r="6309" customFormat="1" x14ac:dyDescent="0.2"/>
    <row r="6310" customFormat="1" x14ac:dyDescent="0.2"/>
    <row r="6311" customFormat="1" x14ac:dyDescent="0.2"/>
    <row r="6312" customFormat="1" x14ac:dyDescent="0.2"/>
    <row r="6313" customFormat="1" x14ac:dyDescent="0.2"/>
    <row r="6314" customFormat="1" x14ac:dyDescent="0.2"/>
    <row r="6315" customFormat="1" x14ac:dyDescent="0.2"/>
    <row r="6316" customFormat="1" x14ac:dyDescent="0.2"/>
    <row r="6317" customFormat="1" x14ac:dyDescent="0.2"/>
    <row r="6318" customFormat="1" x14ac:dyDescent="0.2"/>
    <row r="6319" customFormat="1" x14ac:dyDescent="0.2"/>
    <row r="6320" customFormat="1" x14ac:dyDescent="0.2"/>
    <row r="6321" customFormat="1" x14ac:dyDescent="0.2"/>
    <row r="6322" customFormat="1" x14ac:dyDescent="0.2"/>
    <row r="6323" customFormat="1" x14ac:dyDescent="0.2"/>
    <row r="6324" customFormat="1" x14ac:dyDescent="0.2"/>
    <row r="6325" customFormat="1" x14ac:dyDescent="0.2"/>
    <row r="6326" customFormat="1" x14ac:dyDescent="0.2"/>
    <row r="6327" customFormat="1" x14ac:dyDescent="0.2"/>
    <row r="6328" customFormat="1" x14ac:dyDescent="0.2"/>
    <row r="6329" customFormat="1" x14ac:dyDescent="0.2"/>
    <row r="6330" customFormat="1" x14ac:dyDescent="0.2"/>
    <row r="6331" customFormat="1" x14ac:dyDescent="0.2"/>
    <row r="6332" customFormat="1" x14ac:dyDescent="0.2"/>
    <row r="6333" customFormat="1" x14ac:dyDescent="0.2"/>
    <row r="6334" customFormat="1" x14ac:dyDescent="0.2"/>
    <row r="6335" customFormat="1" x14ac:dyDescent="0.2"/>
    <row r="6336" customFormat="1" x14ac:dyDescent="0.2"/>
    <row r="6337" customFormat="1" x14ac:dyDescent="0.2"/>
    <row r="6338" customFormat="1" x14ac:dyDescent="0.2"/>
    <row r="6339" customFormat="1" x14ac:dyDescent="0.2"/>
    <row r="6340" customFormat="1" x14ac:dyDescent="0.2"/>
    <row r="6341" customFormat="1" x14ac:dyDescent="0.2"/>
    <row r="6342" customFormat="1" x14ac:dyDescent="0.2"/>
    <row r="6343" customFormat="1" x14ac:dyDescent="0.2"/>
    <row r="6344" customFormat="1" x14ac:dyDescent="0.2"/>
    <row r="6345" customFormat="1" x14ac:dyDescent="0.2"/>
    <row r="6346" customFormat="1" x14ac:dyDescent="0.2"/>
    <row r="6347" customFormat="1" x14ac:dyDescent="0.2"/>
    <row r="6348" customFormat="1" x14ac:dyDescent="0.2"/>
    <row r="6349" customFormat="1" x14ac:dyDescent="0.2"/>
    <row r="6350" customFormat="1" x14ac:dyDescent="0.2"/>
    <row r="6351" customFormat="1" x14ac:dyDescent="0.2"/>
    <row r="6352" customFormat="1" x14ac:dyDescent="0.2"/>
    <row r="6353" customFormat="1" x14ac:dyDescent="0.2"/>
    <row r="6354" customFormat="1" x14ac:dyDescent="0.2"/>
    <row r="6355" customFormat="1" x14ac:dyDescent="0.2"/>
    <row r="6356" customFormat="1" x14ac:dyDescent="0.2"/>
    <row r="6357" customFormat="1" x14ac:dyDescent="0.2"/>
    <row r="6358" customFormat="1" x14ac:dyDescent="0.2"/>
    <row r="6359" customFormat="1" x14ac:dyDescent="0.2"/>
    <row r="6360" customFormat="1" x14ac:dyDescent="0.2"/>
    <row r="6361" customFormat="1" x14ac:dyDescent="0.2"/>
    <row r="6362" customFormat="1" x14ac:dyDescent="0.2"/>
    <row r="6363" customFormat="1" x14ac:dyDescent="0.2"/>
    <row r="6364" customFormat="1" x14ac:dyDescent="0.2"/>
    <row r="6365" customFormat="1" x14ac:dyDescent="0.2"/>
    <row r="6366" customFormat="1" x14ac:dyDescent="0.2"/>
    <row r="6367" customFormat="1" x14ac:dyDescent="0.2"/>
    <row r="6368" customFormat="1" x14ac:dyDescent="0.2"/>
    <row r="6369" customFormat="1" x14ac:dyDescent="0.2"/>
    <row r="6370" customFormat="1" x14ac:dyDescent="0.2"/>
    <row r="6371" customFormat="1" x14ac:dyDescent="0.2"/>
    <row r="6372" customFormat="1" x14ac:dyDescent="0.2"/>
    <row r="6373" customFormat="1" x14ac:dyDescent="0.2"/>
    <row r="6374" customFormat="1" x14ac:dyDescent="0.2"/>
    <row r="6375" customFormat="1" x14ac:dyDescent="0.2"/>
    <row r="6376" customFormat="1" x14ac:dyDescent="0.2"/>
    <row r="6377" customFormat="1" x14ac:dyDescent="0.2"/>
    <row r="6378" customFormat="1" x14ac:dyDescent="0.2"/>
    <row r="6379" customFormat="1" x14ac:dyDescent="0.2"/>
    <row r="6380" customFormat="1" x14ac:dyDescent="0.2"/>
    <row r="6381" customFormat="1" x14ac:dyDescent="0.2"/>
    <row r="6382" customFormat="1" x14ac:dyDescent="0.2"/>
    <row r="6383" customFormat="1" x14ac:dyDescent="0.2"/>
    <row r="6384" customFormat="1" x14ac:dyDescent="0.2"/>
    <row r="6385" customFormat="1" x14ac:dyDescent="0.2"/>
    <row r="6386" customFormat="1" x14ac:dyDescent="0.2"/>
    <row r="6387" customFormat="1" x14ac:dyDescent="0.2"/>
    <row r="6388" customFormat="1" x14ac:dyDescent="0.2"/>
    <row r="6389" customFormat="1" x14ac:dyDescent="0.2"/>
    <row r="6390" customFormat="1" x14ac:dyDescent="0.2"/>
    <row r="6391" customFormat="1" x14ac:dyDescent="0.2"/>
    <row r="6392" customFormat="1" x14ac:dyDescent="0.2"/>
    <row r="6393" customFormat="1" x14ac:dyDescent="0.2"/>
    <row r="6394" customFormat="1" x14ac:dyDescent="0.2"/>
    <row r="6395" customFormat="1" x14ac:dyDescent="0.2"/>
    <row r="6396" customFormat="1" x14ac:dyDescent="0.2"/>
    <row r="6397" customFormat="1" x14ac:dyDescent="0.2"/>
    <row r="6398" customFormat="1" x14ac:dyDescent="0.2"/>
    <row r="6399" customFormat="1" x14ac:dyDescent="0.2"/>
    <row r="6400" customFormat="1" x14ac:dyDescent="0.2"/>
    <row r="6401" customFormat="1" x14ac:dyDescent="0.2"/>
    <row r="6402" customFormat="1" x14ac:dyDescent="0.2"/>
    <row r="6403" customFormat="1" x14ac:dyDescent="0.2"/>
    <row r="6404" customFormat="1" x14ac:dyDescent="0.2"/>
    <row r="6405" customFormat="1" x14ac:dyDescent="0.2"/>
    <row r="6406" customFormat="1" x14ac:dyDescent="0.2"/>
    <row r="6407" customFormat="1" x14ac:dyDescent="0.2"/>
    <row r="6408" customFormat="1" x14ac:dyDescent="0.2"/>
    <row r="6409" customFormat="1" x14ac:dyDescent="0.2"/>
    <row r="6410" customFormat="1" x14ac:dyDescent="0.2"/>
    <row r="6411" customFormat="1" x14ac:dyDescent="0.2"/>
    <row r="6412" customFormat="1" x14ac:dyDescent="0.2"/>
    <row r="6413" customFormat="1" x14ac:dyDescent="0.2"/>
    <row r="6414" customFormat="1" x14ac:dyDescent="0.2"/>
    <row r="6415" customFormat="1" x14ac:dyDescent="0.2"/>
    <row r="6416" customFormat="1" x14ac:dyDescent="0.2"/>
    <row r="6417" customFormat="1" x14ac:dyDescent="0.2"/>
    <row r="6418" customFormat="1" x14ac:dyDescent="0.2"/>
    <row r="6419" customFormat="1" x14ac:dyDescent="0.2"/>
    <row r="6420" customFormat="1" x14ac:dyDescent="0.2"/>
    <row r="6421" customFormat="1" x14ac:dyDescent="0.2"/>
    <row r="6422" customFormat="1" x14ac:dyDescent="0.2"/>
    <row r="6423" customFormat="1" x14ac:dyDescent="0.2"/>
    <row r="6424" customFormat="1" x14ac:dyDescent="0.2"/>
    <row r="6425" customFormat="1" x14ac:dyDescent="0.2"/>
    <row r="6426" customFormat="1" x14ac:dyDescent="0.2"/>
    <row r="6427" customFormat="1" x14ac:dyDescent="0.2"/>
    <row r="6428" customFormat="1" x14ac:dyDescent="0.2"/>
    <row r="6429" customFormat="1" x14ac:dyDescent="0.2"/>
    <row r="6430" customFormat="1" x14ac:dyDescent="0.2"/>
    <row r="6431" customFormat="1" x14ac:dyDescent="0.2"/>
    <row r="6432" customFormat="1" x14ac:dyDescent="0.2"/>
    <row r="6433" customFormat="1" x14ac:dyDescent="0.2"/>
    <row r="6434" customFormat="1" x14ac:dyDescent="0.2"/>
    <row r="6435" customFormat="1" x14ac:dyDescent="0.2"/>
    <row r="6436" customFormat="1" x14ac:dyDescent="0.2"/>
    <row r="6437" customFormat="1" x14ac:dyDescent="0.2"/>
    <row r="6438" customFormat="1" x14ac:dyDescent="0.2"/>
    <row r="6439" customFormat="1" x14ac:dyDescent="0.2"/>
    <row r="6440" customFormat="1" x14ac:dyDescent="0.2"/>
    <row r="6441" customFormat="1" x14ac:dyDescent="0.2"/>
    <row r="6442" customFormat="1" x14ac:dyDescent="0.2"/>
    <row r="6443" customFormat="1" x14ac:dyDescent="0.2"/>
    <row r="6444" customFormat="1" x14ac:dyDescent="0.2"/>
    <row r="6445" customFormat="1" x14ac:dyDescent="0.2"/>
    <row r="6446" customFormat="1" x14ac:dyDescent="0.2"/>
    <row r="6447" customFormat="1" x14ac:dyDescent="0.2"/>
    <row r="6448" customFormat="1" x14ac:dyDescent="0.2"/>
    <row r="6449" customFormat="1" x14ac:dyDescent="0.2"/>
    <row r="6450" customFormat="1" x14ac:dyDescent="0.2"/>
    <row r="6451" customFormat="1" x14ac:dyDescent="0.2"/>
    <row r="6452" customFormat="1" x14ac:dyDescent="0.2"/>
    <row r="6453" customFormat="1" x14ac:dyDescent="0.2"/>
    <row r="6454" customFormat="1" x14ac:dyDescent="0.2"/>
    <row r="6455" customFormat="1" x14ac:dyDescent="0.2"/>
    <row r="6456" customFormat="1" x14ac:dyDescent="0.2"/>
    <row r="6457" customFormat="1" x14ac:dyDescent="0.2"/>
    <row r="6458" customFormat="1" x14ac:dyDescent="0.2"/>
    <row r="6459" customFormat="1" x14ac:dyDescent="0.2"/>
    <row r="6460" customFormat="1" x14ac:dyDescent="0.2"/>
    <row r="6461" customFormat="1" x14ac:dyDescent="0.2"/>
    <row r="6462" customFormat="1" x14ac:dyDescent="0.2"/>
    <row r="6463" customFormat="1" x14ac:dyDescent="0.2"/>
    <row r="6464" customFormat="1" x14ac:dyDescent="0.2"/>
    <row r="6465" customFormat="1" x14ac:dyDescent="0.2"/>
    <row r="6466" customFormat="1" x14ac:dyDescent="0.2"/>
    <row r="6467" customFormat="1" x14ac:dyDescent="0.2"/>
    <row r="6468" customFormat="1" x14ac:dyDescent="0.2"/>
    <row r="6469" customFormat="1" x14ac:dyDescent="0.2"/>
    <row r="6470" customFormat="1" x14ac:dyDescent="0.2"/>
    <row r="6471" customFormat="1" x14ac:dyDescent="0.2"/>
    <row r="6472" customFormat="1" x14ac:dyDescent="0.2"/>
    <row r="6473" customFormat="1" x14ac:dyDescent="0.2"/>
    <row r="6474" customFormat="1" x14ac:dyDescent="0.2"/>
    <row r="6475" customFormat="1" x14ac:dyDescent="0.2"/>
    <row r="6476" customFormat="1" x14ac:dyDescent="0.2"/>
    <row r="6477" customFormat="1" x14ac:dyDescent="0.2"/>
    <row r="6478" customFormat="1" x14ac:dyDescent="0.2"/>
    <row r="6479" customFormat="1" x14ac:dyDescent="0.2"/>
    <row r="6480" customFormat="1" x14ac:dyDescent="0.2"/>
    <row r="6481" customFormat="1" x14ac:dyDescent="0.2"/>
    <row r="6482" customFormat="1" x14ac:dyDescent="0.2"/>
    <row r="6483" customFormat="1" x14ac:dyDescent="0.2"/>
    <row r="6484" customFormat="1" x14ac:dyDescent="0.2"/>
    <row r="6485" customFormat="1" x14ac:dyDescent="0.2"/>
    <row r="6486" customFormat="1" x14ac:dyDescent="0.2"/>
    <row r="6487" customFormat="1" x14ac:dyDescent="0.2"/>
    <row r="6488" customFormat="1" x14ac:dyDescent="0.2"/>
    <row r="6489" customFormat="1" x14ac:dyDescent="0.2"/>
    <row r="6490" customFormat="1" x14ac:dyDescent="0.2"/>
    <row r="6491" customFormat="1" x14ac:dyDescent="0.2"/>
    <row r="6492" customFormat="1" x14ac:dyDescent="0.2"/>
    <row r="6493" customFormat="1" x14ac:dyDescent="0.2"/>
    <row r="6494" customFormat="1" x14ac:dyDescent="0.2"/>
    <row r="6495" customFormat="1" x14ac:dyDescent="0.2"/>
    <row r="6496" customFormat="1" x14ac:dyDescent="0.2"/>
    <row r="6497" customFormat="1" x14ac:dyDescent="0.2"/>
    <row r="6498" customFormat="1" x14ac:dyDescent="0.2"/>
    <row r="6499" customFormat="1" x14ac:dyDescent="0.2"/>
    <row r="6500" customFormat="1" x14ac:dyDescent="0.2"/>
    <row r="6501" customFormat="1" x14ac:dyDescent="0.2"/>
    <row r="6502" customFormat="1" x14ac:dyDescent="0.2"/>
    <row r="6503" customFormat="1" x14ac:dyDescent="0.2"/>
    <row r="6504" customFormat="1" x14ac:dyDescent="0.2"/>
    <row r="6505" customFormat="1" x14ac:dyDescent="0.2"/>
    <row r="6506" customFormat="1" x14ac:dyDescent="0.2"/>
    <row r="6507" customFormat="1" x14ac:dyDescent="0.2"/>
    <row r="6508" customFormat="1" x14ac:dyDescent="0.2"/>
    <row r="6509" customFormat="1" x14ac:dyDescent="0.2"/>
    <row r="6510" customFormat="1" x14ac:dyDescent="0.2"/>
    <row r="6511" customFormat="1" x14ac:dyDescent="0.2"/>
    <row r="6512" customFormat="1" x14ac:dyDescent="0.2"/>
    <row r="6513" customFormat="1" x14ac:dyDescent="0.2"/>
    <row r="6514" customFormat="1" x14ac:dyDescent="0.2"/>
    <row r="6515" customFormat="1" x14ac:dyDescent="0.2"/>
    <row r="6516" customFormat="1" x14ac:dyDescent="0.2"/>
    <row r="6517" customFormat="1" x14ac:dyDescent="0.2"/>
    <row r="6518" customFormat="1" x14ac:dyDescent="0.2"/>
    <row r="6519" customFormat="1" x14ac:dyDescent="0.2"/>
    <row r="6520" customFormat="1" x14ac:dyDescent="0.2"/>
    <row r="6521" customFormat="1" x14ac:dyDescent="0.2"/>
    <row r="6522" customFormat="1" x14ac:dyDescent="0.2"/>
    <row r="6523" customFormat="1" x14ac:dyDescent="0.2"/>
    <row r="6524" customFormat="1" x14ac:dyDescent="0.2"/>
    <row r="6525" customFormat="1" x14ac:dyDescent="0.2"/>
    <row r="6526" customFormat="1" x14ac:dyDescent="0.2"/>
    <row r="6527" customFormat="1" x14ac:dyDescent="0.2"/>
    <row r="6528" customFormat="1" x14ac:dyDescent="0.2"/>
    <row r="6529" customFormat="1" x14ac:dyDescent="0.2"/>
    <row r="6530" customFormat="1" x14ac:dyDescent="0.2"/>
    <row r="6531" customFormat="1" x14ac:dyDescent="0.2"/>
    <row r="6532" customFormat="1" x14ac:dyDescent="0.2"/>
    <row r="6533" customFormat="1" x14ac:dyDescent="0.2"/>
    <row r="6534" customFormat="1" x14ac:dyDescent="0.2"/>
    <row r="6535" customFormat="1" x14ac:dyDescent="0.2"/>
    <row r="6536" customFormat="1" x14ac:dyDescent="0.2"/>
    <row r="6537" customFormat="1" x14ac:dyDescent="0.2"/>
    <row r="6538" customFormat="1" x14ac:dyDescent="0.2"/>
    <row r="6539" customFormat="1" x14ac:dyDescent="0.2"/>
    <row r="6540" customFormat="1" x14ac:dyDescent="0.2"/>
    <row r="6541" customFormat="1" x14ac:dyDescent="0.2"/>
    <row r="6542" customFormat="1" x14ac:dyDescent="0.2"/>
    <row r="6543" customFormat="1" x14ac:dyDescent="0.2"/>
    <row r="6544" customFormat="1" x14ac:dyDescent="0.2"/>
    <row r="6545" customFormat="1" x14ac:dyDescent="0.2"/>
    <row r="6546" customFormat="1" x14ac:dyDescent="0.2"/>
    <row r="6547" customFormat="1" x14ac:dyDescent="0.2"/>
    <row r="6548" customFormat="1" x14ac:dyDescent="0.2"/>
    <row r="6549" customFormat="1" x14ac:dyDescent="0.2"/>
    <row r="6550" customFormat="1" x14ac:dyDescent="0.2"/>
    <row r="6551" customFormat="1" x14ac:dyDescent="0.2"/>
    <row r="6552" customFormat="1" x14ac:dyDescent="0.2"/>
    <row r="6553" customFormat="1" x14ac:dyDescent="0.2"/>
    <row r="6554" customFormat="1" x14ac:dyDescent="0.2"/>
    <row r="6555" customFormat="1" x14ac:dyDescent="0.2"/>
    <row r="6556" customFormat="1" x14ac:dyDescent="0.2"/>
    <row r="6557" customFormat="1" x14ac:dyDescent="0.2"/>
    <row r="6558" customFormat="1" x14ac:dyDescent="0.2"/>
    <row r="6559" customFormat="1" x14ac:dyDescent="0.2"/>
    <row r="6560" customFormat="1" x14ac:dyDescent="0.2"/>
    <row r="6561" customFormat="1" x14ac:dyDescent="0.2"/>
    <row r="6562" customFormat="1" x14ac:dyDescent="0.2"/>
    <row r="6563" customFormat="1" x14ac:dyDescent="0.2"/>
    <row r="6564" customFormat="1" x14ac:dyDescent="0.2"/>
    <row r="6565" customFormat="1" x14ac:dyDescent="0.2"/>
    <row r="6566" customFormat="1" x14ac:dyDescent="0.2"/>
    <row r="6567" customFormat="1" x14ac:dyDescent="0.2"/>
    <row r="6568" customFormat="1" x14ac:dyDescent="0.2"/>
    <row r="6569" customFormat="1" x14ac:dyDescent="0.2"/>
    <row r="6570" customFormat="1" x14ac:dyDescent="0.2"/>
    <row r="6571" customFormat="1" x14ac:dyDescent="0.2"/>
    <row r="6572" customFormat="1" x14ac:dyDescent="0.2"/>
    <row r="6573" customFormat="1" x14ac:dyDescent="0.2"/>
    <row r="6574" customFormat="1" x14ac:dyDescent="0.2"/>
    <row r="6575" customFormat="1" x14ac:dyDescent="0.2"/>
    <row r="6576" customFormat="1" x14ac:dyDescent="0.2"/>
    <row r="6577" customFormat="1" x14ac:dyDescent="0.2"/>
    <row r="6578" customFormat="1" x14ac:dyDescent="0.2"/>
    <row r="6579" customFormat="1" x14ac:dyDescent="0.2"/>
    <row r="6580" customFormat="1" x14ac:dyDescent="0.2"/>
    <row r="6581" customFormat="1" x14ac:dyDescent="0.2"/>
    <row r="6582" customFormat="1" x14ac:dyDescent="0.2"/>
    <row r="6583" customFormat="1" x14ac:dyDescent="0.2"/>
    <row r="6584" customFormat="1" x14ac:dyDescent="0.2"/>
    <row r="6585" customFormat="1" x14ac:dyDescent="0.2"/>
    <row r="6586" customFormat="1" x14ac:dyDescent="0.2"/>
    <row r="6587" customFormat="1" x14ac:dyDescent="0.2"/>
    <row r="6588" customFormat="1" x14ac:dyDescent="0.2"/>
    <row r="6589" customFormat="1" x14ac:dyDescent="0.2"/>
    <row r="6590" customFormat="1" x14ac:dyDescent="0.2"/>
    <row r="6591" customFormat="1" x14ac:dyDescent="0.2"/>
    <row r="6592" customFormat="1" x14ac:dyDescent="0.2"/>
    <row r="6593" customFormat="1" x14ac:dyDescent="0.2"/>
    <row r="6594" customFormat="1" x14ac:dyDescent="0.2"/>
    <row r="6595" customFormat="1" x14ac:dyDescent="0.2"/>
    <row r="6596" customFormat="1" x14ac:dyDescent="0.2"/>
    <row r="6597" customFormat="1" x14ac:dyDescent="0.2"/>
    <row r="6598" customFormat="1" x14ac:dyDescent="0.2"/>
    <row r="6599" customFormat="1" x14ac:dyDescent="0.2"/>
    <row r="6600" customFormat="1" x14ac:dyDescent="0.2"/>
    <row r="6601" customFormat="1" x14ac:dyDescent="0.2"/>
    <row r="6602" customFormat="1" x14ac:dyDescent="0.2"/>
    <row r="6603" customFormat="1" x14ac:dyDescent="0.2"/>
    <row r="6604" customFormat="1" x14ac:dyDescent="0.2"/>
    <row r="6605" customFormat="1" x14ac:dyDescent="0.2"/>
    <row r="6606" customFormat="1" x14ac:dyDescent="0.2"/>
    <row r="6607" customFormat="1" x14ac:dyDescent="0.2"/>
    <row r="6608" customFormat="1" x14ac:dyDescent="0.2"/>
    <row r="6609" customFormat="1" x14ac:dyDescent="0.2"/>
    <row r="6610" customFormat="1" x14ac:dyDescent="0.2"/>
    <row r="6611" customFormat="1" x14ac:dyDescent="0.2"/>
    <row r="6612" customFormat="1" x14ac:dyDescent="0.2"/>
    <row r="6613" customFormat="1" x14ac:dyDescent="0.2"/>
    <row r="6614" customFormat="1" x14ac:dyDescent="0.2"/>
    <row r="6615" customFormat="1" x14ac:dyDescent="0.2"/>
    <row r="6616" customFormat="1" x14ac:dyDescent="0.2"/>
    <row r="6617" customFormat="1" x14ac:dyDescent="0.2"/>
    <row r="6618" customFormat="1" x14ac:dyDescent="0.2"/>
    <row r="6619" customFormat="1" x14ac:dyDescent="0.2"/>
    <row r="6620" customFormat="1" x14ac:dyDescent="0.2"/>
    <row r="6621" customFormat="1" x14ac:dyDescent="0.2"/>
    <row r="6622" customFormat="1" x14ac:dyDescent="0.2"/>
    <row r="6623" customFormat="1" x14ac:dyDescent="0.2"/>
    <row r="6624" customFormat="1" x14ac:dyDescent="0.2"/>
    <row r="6625" customFormat="1" x14ac:dyDescent="0.2"/>
    <row r="6626" customFormat="1" x14ac:dyDescent="0.2"/>
    <row r="6627" customFormat="1" x14ac:dyDescent="0.2"/>
    <row r="6628" customFormat="1" x14ac:dyDescent="0.2"/>
    <row r="6629" customFormat="1" x14ac:dyDescent="0.2"/>
    <row r="6630" customFormat="1" x14ac:dyDescent="0.2"/>
    <row r="6631" customFormat="1" x14ac:dyDescent="0.2"/>
    <row r="6632" customFormat="1" x14ac:dyDescent="0.2"/>
    <row r="6633" customFormat="1" x14ac:dyDescent="0.2"/>
    <row r="6634" customFormat="1" x14ac:dyDescent="0.2"/>
    <row r="6635" customFormat="1" x14ac:dyDescent="0.2"/>
    <row r="6636" customFormat="1" x14ac:dyDescent="0.2"/>
    <row r="6637" customFormat="1" x14ac:dyDescent="0.2"/>
    <row r="6638" customFormat="1" x14ac:dyDescent="0.2"/>
    <row r="6639" customFormat="1" x14ac:dyDescent="0.2"/>
    <row r="6640" customFormat="1" x14ac:dyDescent="0.2"/>
    <row r="6641" customFormat="1" x14ac:dyDescent="0.2"/>
    <row r="6642" customFormat="1" x14ac:dyDescent="0.2"/>
    <row r="6643" customFormat="1" x14ac:dyDescent="0.2"/>
    <row r="6644" customFormat="1" x14ac:dyDescent="0.2"/>
    <row r="6645" customFormat="1" x14ac:dyDescent="0.2"/>
    <row r="6646" customFormat="1" x14ac:dyDescent="0.2"/>
    <row r="6647" customFormat="1" x14ac:dyDescent="0.2"/>
    <row r="6648" customFormat="1" x14ac:dyDescent="0.2"/>
    <row r="6649" customFormat="1" x14ac:dyDescent="0.2"/>
    <row r="6650" customFormat="1" x14ac:dyDescent="0.2"/>
    <row r="6651" customFormat="1" x14ac:dyDescent="0.2"/>
    <row r="6652" customFormat="1" x14ac:dyDescent="0.2"/>
    <row r="6653" customFormat="1" x14ac:dyDescent="0.2"/>
    <row r="6654" customFormat="1" x14ac:dyDescent="0.2"/>
    <row r="6655" customFormat="1" x14ac:dyDescent="0.2"/>
    <row r="6656" customFormat="1" x14ac:dyDescent="0.2"/>
    <row r="6657" customFormat="1" x14ac:dyDescent="0.2"/>
    <row r="6658" customFormat="1" x14ac:dyDescent="0.2"/>
    <row r="6659" customFormat="1" x14ac:dyDescent="0.2"/>
    <row r="6660" customFormat="1" x14ac:dyDescent="0.2"/>
    <row r="6661" customFormat="1" x14ac:dyDescent="0.2"/>
    <row r="6662" customFormat="1" x14ac:dyDescent="0.2"/>
    <row r="6663" customFormat="1" x14ac:dyDescent="0.2"/>
    <row r="6664" customFormat="1" x14ac:dyDescent="0.2"/>
    <row r="6665" customFormat="1" x14ac:dyDescent="0.2"/>
    <row r="6666" customFormat="1" x14ac:dyDescent="0.2"/>
    <row r="6667" customFormat="1" x14ac:dyDescent="0.2"/>
    <row r="6668" customFormat="1" x14ac:dyDescent="0.2"/>
    <row r="6669" customFormat="1" x14ac:dyDescent="0.2"/>
    <row r="6670" customFormat="1" x14ac:dyDescent="0.2"/>
    <row r="6671" customFormat="1" x14ac:dyDescent="0.2"/>
    <row r="6672" customFormat="1" x14ac:dyDescent="0.2"/>
    <row r="6673" customFormat="1" x14ac:dyDescent="0.2"/>
    <row r="6674" customFormat="1" x14ac:dyDescent="0.2"/>
    <row r="6675" customFormat="1" x14ac:dyDescent="0.2"/>
    <row r="6676" customFormat="1" x14ac:dyDescent="0.2"/>
    <row r="6677" customFormat="1" x14ac:dyDescent="0.2"/>
    <row r="6678" customFormat="1" x14ac:dyDescent="0.2"/>
    <row r="6679" customFormat="1" x14ac:dyDescent="0.2"/>
    <row r="6680" customFormat="1" x14ac:dyDescent="0.2"/>
    <row r="6681" customFormat="1" x14ac:dyDescent="0.2"/>
    <row r="6682" customFormat="1" x14ac:dyDescent="0.2"/>
    <row r="6683" customFormat="1" x14ac:dyDescent="0.2"/>
    <row r="6684" customFormat="1" x14ac:dyDescent="0.2"/>
    <row r="6685" customFormat="1" x14ac:dyDescent="0.2"/>
    <row r="6686" customFormat="1" x14ac:dyDescent="0.2"/>
    <row r="6687" customFormat="1" x14ac:dyDescent="0.2"/>
    <row r="6688" customFormat="1" x14ac:dyDescent="0.2"/>
    <row r="6689" customFormat="1" x14ac:dyDescent="0.2"/>
    <row r="6690" customFormat="1" x14ac:dyDescent="0.2"/>
    <row r="6691" customFormat="1" x14ac:dyDescent="0.2"/>
    <row r="6692" customFormat="1" x14ac:dyDescent="0.2"/>
    <row r="6693" customFormat="1" x14ac:dyDescent="0.2"/>
    <row r="6694" customFormat="1" x14ac:dyDescent="0.2"/>
    <row r="6695" customFormat="1" x14ac:dyDescent="0.2"/>
    <row r="6696" customFormat="1" x14ac:dyDescent="0.2"/>
    <row r="6697" customFormat="1" x14ac:dyDescent="0.2"/>
    <row r="6698" customFormat="1" x14ac:dyDescent="0.2"/>
    <row r="6699" customFormat="1" x14ac:dyDescent="0.2"/>
    <row r="6700" customFormat="1" x14ac:dyDescent="0.2"/>
    <row r="6701" customFormat="1" x14ac:dyDescent="0.2"/>
    <row r="6702" customFormat="1" x14ac:dyDescent="0.2"/>
    <row r="6703" customFormat="1" x14ac:dyDescent="0.2"/>
    <row r="6704" customFormat="1" x14ac:dyDescent="0.2"/>
    <row r="6705" customFormat="1" x14ac:dyDescent="0.2"/>
    <row r="6706" customFormat="1" x14ac:dyDescent="0.2"/>
    <row r="6707" customFormat="1" x14ac:dyDescent="0.2"/>
    <row r="6708" customFormat="1" x14ac:dyDescent="0.2"/>
    <row r="6709" customFormat="1" x14ac:dyDescent="0.2"/>
    <row r="6710" customFormat="1" x14ac:dyDescent="0.2"/>
    <row r="6711" customFormat="1" x14ac:dyDescent="0.2"/>
    <row r="6712" customFormat="1" x14ac:dyDescent="0.2"/>
    <row r="6713" customFormat="1" x14ac:dyDescent="0.2"/>
    <row r="6714" customFormat="1" x14ac:dyDescent="0.2"/>
    <row r="6715" customFormat="1" x14ac:dyDescent="0.2"/>
    <row r="6716" customFormat="1" x14ac:dyDescent="0.2"/>
    <row r="6717" customFormat="1" x14ac:dyDescent="0.2"/>
    <row r="6718" customFormat="1" x14ac:dyDescent="0.2"/>
    <row r="6719" customFormat="1" x14ac:dyDescent="0.2"/>
    <row r="6720" customFormat="1" x14ac:dyDescent="0.2"/>
    <row r="6721" customFormat="1" x14ac:dyDescent="0.2"/>
    <row r="6722" customFormat="1" x14ac:dyDescent="0.2"/>
    <row r="6723" customFormat="1" x14ac:dyDescent="0.2"/>
    <row r="6724" customFormat="1" x14ac:dyDescent="0.2"/>
    <row r="6725" customFormat="1" x14ac:dyDescent="0.2"/>
    <row r="6726" customFormat="1" x14ac:dyDescent="0.2"/>
    <row r="6727" customFormat="1" x14ac:dyDescent="0.2"/>
    <row r="6728" customFormat="1" x14ac:dyDescent="0.2"/>
    <row r="6729" customFormat="1" x14ac:dyDescent="0.2"/>
    <row r="6730" customFormat="1" x14ac:dyDescent="0.2"/>
    <row r="6731" customFormat="1" x14ac:dyDescent="0.2"/>
    <row r="6732" customFormat="1" x14ac:dyDescent="0.2"/>
    <row r="6733" customFormat="1" x14ac:dyDescent="0.2"/>
    <row r="6734" customFormat="1" x14ac:dyDescent="0.2"/>
    <row r="6735" customFormat="1" x14ac:dyDescent="0.2"/>
    <row r="6736" customFormat="1" x14ac:dyDescent="0.2"/>
    <row r="6737" customFormat="1" x14ac:dyDescent="0.2"/>
    <row r="6738" customFormat="1" x14ac:dyDescent="0.2"/>
    <row r="6739" customFormat="1" x14ac:dyDescent="0.2"/>
    <row r="6740" customFormat="1" x14ac:dyDescent="0.2"/>
    <row r="6741" customFormat="1" x14ac:dyDescent="0.2"/>
    <row r="6742" customFormat="1" x14ac:dyDescent="0.2"/>
    <row r="6743" customFormat="1" x14ac:dyDescent="0.2"/>
    <row r="6744" customFormat="1" x14ac:dyDescent="0.2"/>
    <row r="6745" customFormat="1" x14ac:dyDescent="0.2"/>
    <row r="6746" customFormat="1" x14ac:dyDescent="0.2"/>
    <row r="6747" customFormat="1" x14ac:dyDescent="0.2"/>
    <row r="6748" customFormat="1" x14ac:dyDescent="0.2"/>
    <row r="6749" customFormat="1" x14ac:dyDescent="0.2"/>
    <row r="6750" customFormat="1" x14ac:dyDescent="0.2"/>
    <row r="6751" customFormat="1" x14ac:dyDescent="0.2"/>
    <row r="6752" customFormat="1" x14ac:dyDescent="0.2"/>
    <row r="6753" customFormat="1" x14ac:dyDescent="0.2"/>
    <row r="6754" customFormat="1" x14ac:dyDescent="0.2"/>
    <row r="6755" customFormat="1" x14ac:dyDescent="0.2"/>
    <row r="6756" customFormat="1" x14ac:dyDescent="0.2"/>
    <row r="6757" customFormat="1" x14ac:dyDescent="0.2"/>
    <row r="6758" customFormat="1" x14ac:dyDescent="0.2"/>
    <row r="6759" customFormat="1" x14ac:dyDescent="0.2"/>
    <row r="6760" customFormat="1" x14ac:dyDescent="0.2"/>
    <row r="6761" customFormat="1" x14ac:dyDescent="0.2"/>
    <row r="6762" customFormat="1" x14ac:dyDescent="0.2"/>
    <row r="6763" customFormat="1" x14ac:dyDescent="0.2"/>
    <row r="6764" customFormat="1" x14ac:dyDescent="0.2"/>
    <row r="6765" customFormat="1" x14ac:dyDescent="0.2"/>
    <row r="6766" customFormat="1" x14ac:dyDescent="0.2"/>
    <row r="6767" customFormat="1" x14ac:dyDescent="0.2"/>
    <row r="6768" customFormat="1" x14ac:dyDescent="0.2"/>
    <row r="6769" customFormat="1" x14ac:dyDescent="0.2"/>
    <row r="6770" customFormat="1" x14ac:dyDescent="0.2"/>
    <row r="6771" customFormat="1" x14ac:dyDescent="0.2"/>
    <row r="6772" customFormat="1" x14ac:dyDescent="0.2"/>
    <row r="6773" customFormat="1" x14ac:dyDescent="0.2"/>
    <row r="6774" customFormat="1" x14ac:dyDescent="0.2"/>
    <row r="6775" customFormat="1" x14ac:dyDescent="0.2"/>
    <row r="6776" customFormat="1" x14ac:dyDescent="0.2"/>
    <row r="6777" customFormat="1" x14ac:dyDescent="0.2"/>
    <row r="6778" customFormat="1" x14ac:dyDescent="0.2"/>
    <row r="6779" customFormat="1" x14ac:dyDescent="0.2"/>
    <row r="6780" customFormat="1" x14ac:dyDescent="0.2"/>
    <row r="6781" customFormat="1" x14ac:dyDescent="0.2"/>
    <row r="6782" customFormat="1" x14ac:dyDescent="0.2"/>
    <row r="6783" customFormat="1" x14ac:dyDescent="0.2"/>
    <row r="6784" customFormat="1" x14ac:dyDescent="0.2"/>
    <row r="6785" customFormat="1" x14ac:dyDescent="0.2"/>
    <row r="6786" customFormat="1" x14ac:dyDescent="0.2"/>
    <row r="6787" customFormat="1" x14ac:dyDescent="0.2"/>
    <row r="6788" customFormat="1" x14ac:dyDescent="0.2"/>
    <row r="6789" customFormat="1" x14ac:dyDescent="0.2"/>
    <row r="6790" customFormat="1" x14ac:dyDescent="0.2"/>
    <row r="6791" customFormat="1" x14ac:dyDescent="0.2"/>
    <row r="6792" customFormat="1" x14ac:dyDescent="0.2"/>
    <row r="6793" customFormat="1" x14ac:dyDescent="0.2"/>
    <row r="6794" customFormat="1" x14ac:dyDescent="0.2"/>
    <row r="6795" customFormat="1" x14ac:dyDescent="0.2"/>
    <row r="6796" customFormat="1" x14ac:dyDescent="0.2"/>
    <row r="6797" customFormat="1" x14ac:dyDescent="0.2"/>
    <row r="6798" customFormat="1" x14ac:dyDescent="0.2"/>
    <row r="6799" customFormat="1" x14ac:dyDescent="0.2"/>
    <row r="6800" customFormat="1" x14ac:dyDescent="0.2"/>
    <row r="6801" customFormat="1" x14ac:dyDescent="0.2"/>
    <row r="6802" customFormat="1" x14ac:dyDescent="0.2"/>
    <row r="6803" customFormat="1" x14ac:dyDescent="0.2"/>
    <row r="6804" customFormat="1" x14ac:dyDescent="0.2"/>
    <row r="6805" customFormat="1" x14ac:dyDescent="0.2"/>
    <row r="6806" customFormat="1" x14ac:dyDescent="0.2"/>
    <row r="6807" customFormat="1" x14ac:dyDescent="0.2"/>
    <row r="6808" customFormat="1" x14ac:dyDescent="0.2"/>
    <row r="6809" customFormat="1" x14ac:dyDescent="0.2"/>
    <row r="6810" customFormat="1" x14ac:dyDescent="0.2"/>
    <row r="6811" customFormat="1" x14ac:dyDescent="0.2"/>
    <row r="6812" customFormat="1" x14ac:dyDescent="0.2"/>
    <row r="6813" customFormat="1" x14ac:dyDescent="0.2"/>
    <row r="6814" customFormat="1" x14ac:dyDescent="0.2"/>
    <row r="6815" customFormat="1" x14ac:dyDescent="0.2"/>
    <row r="6816" customFormat="1" x14ac:dyDescent="0.2"/>
    <row r="6817" customFormat="1" x14ac:dyDescent="0.2"/>
    <row r="6818" customFormat="1" x14ac:dyDescent="0.2"/>
    <row r="6819" customFormat="1" x14ac:dyDescent="0.2"/>
    <row r="6820" customFormat="1" x14ac:dyDescent="0.2"/>
    <row r="6821" customFormat="1" x14ac:dyDescent="0.2"/>
    <row r="6822" customFormat="1" x14ac:dyDescent="0.2"/>
    <row r="6823" customFormat="1" x14ac:dyDescent="0.2"/>
    <row r="6824" customFormat="1" x14ac:dyDescent="0.2"/>
    <row r="6825" customFormat="1" x14ac:dyDescent="0.2"/>
    <row r="6826" customFormat="1" x14ac:dyDescent="0.2"/>
    <row r="6827" customFormat="1" x14ac:dyDescent="0.2"/>
    <row r="6828" customFormat="1" x14ac:dyDescent="0.2"/>
    <row r="6829" customFormat="1" x14ac:dyDescent="0.2"/>
    <row r="6830" customFormat="1" x14ac:dyDescent="0.2"/>
    <row r="6831" customFormat="1" x14ac:dyDescent="0.2"/>
    <row r="6832" customFormat="1" x14ac:dyDescent="0.2"/>
    <row r="6833" customFormat="1" x14ac:dyDescent="0.2"/>
    <row r="6834" customFormat="1" x14ac:dyDescent="0.2"/>
    <row r="6835" customFormat="1" x14ac:dyDescent="0.2"/>
    <row r="6836" customFormat="1" x14ac:dyDescent="0.2"/>
    <row r="6837" customFormat="1" x14ac:dyDescent="0.2"/>
    <row r="6838" customFormat="1" x14ac:dyDescent="0.2"/>
    <row r="6839" customFormat="1" x14ac:dyDescent="0.2"/>
    <row r="6840" customFormat="1" x14ac:dyDescent="0.2"/>
    <row r="6841" customFormat="1" x14ac:dyDescent="0.2"/>
    <row r="6842" customFormat="1" x14ac:dyDescent="0.2"/>
    <row r="6843" customFormat="1" x14ac:dyDescent="0.2"/>
    <row r="6844" customFormat="1" x14ac:dyDescent="0.2"/>
    <row r="6845" customFormat="1" x14ac:dyDescent="0.2"/>
    <row r="6846" customFormat="1" x14ac:dyDescent="0.2"/>
    <row r="6847" customFormat="1" x14ac:dyDescent="0.2"/>
    <row r="6848" customFormat="1" x14ac:dyDescent="0.2"/>
    <row r="6849" customFormat="1" x14ac:dyDescent="0.2"/>
    <row r="6850" customFormat="1" x14ac:dyDescent="0.2"/>
    <row r="6851" customFormat="1" x14ac:dyDescent="0.2"/>
    <row r="6852" customFormat="1" x14ac:dyDescent="0.2"/>
    <row r="6853" customFormat="1" x14ac:dyDescent="0.2"/>
    <row r="6854" customFormat="1" x14ac:dyDescent="0.2"/>
    <row r="6855" customFormat="1" x14ac:dyDescent="0.2"/>
    <row r="6856" customFormat="1" x14ac:dyDescent="0.2"/>
    <row r="6857" customFormat="1" x14ac:dyDescent="0.2"/>
    <row r="6858" customFormat="1" x14ac:dyDescent="0.2"/>
    <row r="6859" customFormat="1" x14ac:dyDescent="0.2"/>
    <row r="6860" customFormat="1" x14ac:dyDescent="0.2"/>
    <row r="6861" customFormat="1" x14ac:dyDescent="0.2"/>
    <row r="6862" customFormat="1" x14ac:dyDescent="0.2"/>
    <row r="6863" customFormat="1" x14ac:dyDescent="0.2"/>
    <row r="6864" customFormat="1" x14ac:dyDescent="0.2"/>
    <row r="6865" customFormat="1" x14ac:dyDescent="0.2"/>
    <row r="6866" customFormat="1" x14ac:dyDescent="0.2"/>
    <row r="6867" customFormat="1" x14ac:dyDescent="0.2"/>
    <row r="6868" customFormat="1" x14ac:dyDescent="0.2"/>
    <row r="6869" customFormat="1" x14ac:dyDescent="0.2"/>
    <row r="6870" customFormat="1" x14ac:dyDescent="0.2"/>
    <row r="6871" customFormat="1" x14ac:dyDescent="0.2"/>
    <row r="6872" customFormat="1" x14ac:dyDescent="0.2"/>
    <row r="6873" customFormat="1" x14ac:dyDescent="0.2"/>
    <row r="6874" customFormat="1" x14ac:dyDescent="0.2"/>
    <row r="6875" customFormat="1" x14ac:dyDescent="0.2"/>
    <row r="6876" customFormat="1" x14ac:dyDescent="0.2"/>
    <row r="6877" customFormat="1" x14ac:dyDescent="0.2"/>
    <row r="6878" customFormat="1" x14ac:dyDescent="0.2"/>
    <row r="6879" customFormat="1" x14ac:dyDescent="0.2"/>
    <row r="6880" customFormat="1" x14ac:dyDescent="0.2"/>
    <row r="6881" customFormat="1" x14ac:dyDescent="0.2"/>
    <row r="6882" customFormat="1" x14ac:dyDescent="0.2"/>
    <row r="6883" customFormat="1" x14ac:dyDescent="0.2"/>
    <row r="6884" customFormat="1" x14ac:dyDescent="0.2"/>
    <row r="6885" customFormat="1" x14ac:dyDescent="0.2"/>
    <row r="6886" customFormat="1" x14ac:dyDescent="0.2"/>
    <row r="6887" customFormat="1" x14ac:dyDescent="0.2"/>
    <row r="6888" customFormat="1" x14ac:dyDescent="0.2"/>
    <row r="6889" customFormat="1" x14ac:dyDescent="0.2"/>
    <row r="6890" customFormat="1" x14ac:dyDescent="0.2"/>
    <row r="6891" customFormat="1" x14ac:dyDescent="0.2"/>
    <row r="6892" customFormat="1" x14ac:dyDescent="0.2"/>
    <row r="6893" customFormat="1" x14ac:dyDescent="0.2"/>
    <row r="6894" customFormat="1" x14ac:dyDescent="0.2"/>
    <row r="6895" customFormat="1" x14ac:dyDescent="0.2"/>
    <row r="6896" customFormat="1" x14ac:dyDescent="0.2"/>
    <row r="6897" customFormat="1" x14ac:dyDescent="0.2"/>
    <row r="6898" customFormat="1" x14ac:dyDescent="0.2"/>
    <row r="6899" customFormat="1" x14ac:dyDescent="0.2"/>
    <row r="6900" customFormat="1" x14ac:dyDescent="0.2"/>
    <row r="6901" customFormat="1" x14ac:dyDescent="0.2"/>
    <row r="6902" customFormat="1" x14ac:dyDescent="0.2"/>
    <row r="6903" customFormat="1" x14ac:dyDescent="0.2"/>
    <row r="6904" customFormat="1" x14ac:dyDescent="0.2"/>
    <row r="6905" customFormat="1" x14ac:dyDescent="0.2"/>
    <row r="6906" customFormat="1" x14ac:dyDescent="0.2"/>
    <row r="6907" customFormat="1" x14ac:dyDescent="0.2"/>
    <row r="6908" customFormat="1" x14ac:dyDescent="0.2"/>
    <row r="6909" customFormat="1" x14ac:dyDescent="0.2"/>
    <row r="6910" customFormat="1" x14ac:dyDescent="0.2"/>
    <row r="6911" customFormat="1" x14ac:dyDescent="0.2"/>
    <row r="6912" customFormat="1" x14ac:dyDescent="0.2"/>
    <row r="6913" customFormat="1" x14ac:dyDescent="0.2"/>
    <row r="6914" customFormat="1" x14ac:dyDescent="0.2"/>
    <row r="6915" customFormat="1" x14ac:dyDescent="0.2"/>
    <row r="6916" customFormat="1" x14ac:dyDescent="0.2"/>
    <row r="6917" customFormat="1" x14ac:dyDescent="0.2"/>
    <row r="6918" customFormat="1" x14ac:dyDescent="0.2"/>
    <row r="6919" customFormat="1" x14ac:dyDescent="0.2"/>
    <row r="6920" customFormat="1" x14ac:dyDescent="0.2"/>
    <row r="6921" customFormat="1" x14ac:dyDescent="0.2"/>
    <row r="6922" customFormat="1" x14ac:dyDescent="0.2"/>
    <row r="6923" customFormat="1" x14ac:dyDescent="0.2"/>
    <row r="6924" customFormat="1" x14ac:dyDescent="0.2"/>
    <row r="6925" customFormat="1" x14ac:dyDescent="0.2"/>
    <row r="6926" customFormat="1" x14ac:dyDescent="0.2"/>
    <row r="6927" customFormat="1" x14ac:dyDescent="0.2"/>
    <row r="6928" customFormat="1" x14ac:dyDescent="0.2"/>
    <row r="6929" customFormat="1" x14ac:dyDescent="0.2"/>
    <row r="6930" customFormat="1" x14ac:dyDescent="0.2"/>
    <row r="6931" customFormat="1" x14ac:dyDescent="0.2"/>
    <row r="6932" customFormat="1" x14ac:dyDescent="0.2"/>
    <row r="6933" customFormat="1" x14ac:dyDescent="0.2"/>
    <row r="6934" customFormat="1" x14ac:dyDescent="0.2"/>
    <row r="6935" customFormat="1" x14ac:dyDescent="0.2"/>
    <row r="6936" customFormat="1" x14ac:dyDescent="0.2"/>
    <row r="6937" customFormat="1" x14ac:dyDescent="0.2"/>
    <row r="6938" customFormat="1" x14ac:dyDescent="0.2"/>
    <row r="6939" customFormat="1" x14ac:dyDescent="0.2"/>
    <row r="6940" customFormat="1" x14ac:dyDescent="0.2"/>
    <row r="6941" customFormat="1" x14ac:dyDescent="0.2"/>
    <row r="6942" customFormat="1" x14ac:dyDescent="0.2"/>
    <row r="6943" customFormat="1" x14ac:dyDescent="0.2"/>
    <row r="6944" customFormat="1" x14ac:dyDescent="0.2"/>
    <row r="6945" customFormat="1" x14ac:dyDescent="0.2"/>
    <row r="6946" customFormat="1" x14ac:dyDescent="0.2"/>
    <row r="6947" customFormat="1" x14ac:dyDescent="0.2"/>
    <row r="6948" customFormat="1" x14ac:dyDescent="0.2"/>
    <row r="6949" customFormat="1" x14ac:dyDescent="0.2"/>
    <row r="6950" customFormat="1" x14ac:dyDescent="0.2"/>
    <row r="6951" customFormat="1" x14ac:dyDescent="0.2"/>
    <row r="6952" customFormat="1" x14ac:dyDescent="0.2"/>
    <row r="6953" customFormat="1" x14ac:dyDescent="0.2"/>
    <row r="6954" customFormat="1" x14ac:dyDescent="0.2"/>
    <row r="6955" customFormat="1" x14ac:dyDescent="0.2"/>
    <row r="6956" customFormat="1" x14ac:dyDescent="0.2"/>
    <row r="6957" customFormat="1" x14ac:dyDescent="0.2"/>
    <row r="6958" customFormat="1" x14ac:dyDescent="0.2"/>
    <row r="6959" customFormat="1" x14ac:dyDescent="0.2"/>
    <row r="6960" customFormat="1" x14ac:dyDescent="0.2"/>
    <row r="6961" customFormat="1" x14ac:dyDescent="0.2"/>
    <row r="6962" customFormat="1" x14ac:dyDescent="0.2"/>
    <row r="6963" customFormat="1" x14ac:dyDescent="0.2"/>
    <row r="6964" customFormat="1" x14ac:dyDescent="0.2"/>
    <row r="6965" customFormat="1" x14ac:dyDescent="0.2"/>
    <row r="6966" customFormat="1" x14ac:dyDescent="0.2"/>
    <row r="6967" customFormat="1" x14ac:dyDescent="0.2"/>
    <row r="6968" customFormat="1" x14ac:dyDescent="0.2"/>
    <row r="6969" customFormat="1" x14ac:dyDescent="0.2"/>
    <row r="6970" customFormat="1" x14ac:dyDescent="0.2"/>
    <row r="6971" customFormat="1" x14ac:dyDescent="0.2"/>
    <row r="6972" customFormat="1" x14ac:dyDescent="0.2"/>
    <row r="6973" customFormat="1" x14ac:dyDescent="0.2"/>
    <row r="6974" customFormat="1" x14ac:dyDescent="0.2"/>
    <row r="6975" customFormat="1" x14ac:dyDescent="0.2"/>
    <row r="6976" customFormat="1" x14ac:dyDescent="0.2"/>
    <row r="6977" customFormat="1" x14ac:dyDescent="0.2"/>
    <row r="6978" customFormat="1" x14ac:dyDescent="0.2"/>
    <row r="6979" customFormat="1" x14ac:dyDescent="0.2"/>
    <row r="6980" customFormat="1" x14ac:dyDescent="0.2"/>
    <row r="6981" customFormat="1" x14ac:dyDescent="0.2"/>
    <row r="6982" customFormat="1" x14ac:dyDescent="0.2"/>
    <row r="6983" customFormat="1" x14ac:dyDescent="0.2"/>
    <row r="6984" customFormat="1" x14ac:dyDescent="0.2"/>
    <row r="6985" customFormat="1" x14ac:dyDescent="0.2"/>
    <row r="6986" customFormat="1" x14ac:dyDescent="0.2"/>
    <row r="6987" customFormat="1" x14ac:dyDescent="0.2"/>
    <row r="6988" customFormat="1" x14ac:dyDescent="0.2"/>
    <row r="6989" customFormat="1" x14ac:dyDescent="0.2"/>
    <row r="6990" customFormat="1" x14ac:dyDescent="0.2"/>
    <row r="6991" customFormat="1" x14ac:dyDescent="0.2"/>
    <row r="6992" customFormat="1" x14ac:dyDescent="0.2"/>
    <row r="6993" customFormat="1" x14ac:dyDescent="0.2"/>
    <row r="6994" customFormat="1" x14ac:dyDescent="0.2"/>
    <row r="6995" customFormat="1" x14ac:dyDescent="0.2"/>
    <row r="6996" customFormat="1" x14ac:dyDescent="0.2"/>
    <row r="6997" customFormat="1" x14ac:dyDescent="0.2"/>
    <row r="6998" customFormat="1" x14ac:dyDescent="0.2"/>
    <row r="6999" customFormat="1" x14ac:dyDescent="0.2"/>
    <row r="7000" customFormat="1" x14ac:dyDescent="0.2"/>
    <row r="7001" customFormat="1" x14ac:dyDescent="0.2"/>
    <row r="7002" customFormat="1" x14ac:dyDescent="0.2"/>
    <row r="7003" customFormat="1" x14ac:dyDescent="0.2"/>
    <row r="7004" customFormat="1" x14ac:dyDescent="0.2"/>
    <row r="7005" customFormat="1" x14ac:dyDescent="0.2"/>
    <row r="7006" customFormat="1" x14ac:dyDescent="0.2"/>
    <row r="7007" customFormat="1" x14ac:dyDescent="0.2"/>
    <row r="7008" customFormat="1" x14ac:dyDescent="0.2"/>
    <row r="7009" customFormat="1" x14ac:dyDescent="0.2"/>
    <row r="7010" customFormat="1" x14ac:dyDescent="0.2"/>
    <row r="7011" customFormat="1" x14ac:dyDescent="0.2"/>
    <row r="7012" customFormat="1" x14ac:dyDescent="0.2"/>
    <row r="7013" customFormat="1" x14ac:dyDescent="0.2"/>
    <row r="7014" customFormat="1" x14ac:dyDescent="0.2"/>
    <row r="7015" customFormat="1" x14ac:dyDescent="0.2"/>
    <row r="7016" customFormat="1" x14ac:dyDescent="0.2"/>
    <row r="7017" customFormat="1" x14ac:dyDescent="0.2"/>
    <row r="7018" customFormat="1" x14ac:dyDescent="0.2"/>
    <row r="7019" customFormat="1" x14ac:dyDescent="0.2"/>
    <row r="7020" customFormat="1" x14ac:dyDescent="0.2"/>
    <row r="7021" customFormat="1" x14ac:dyDescent="0.2"/>
    <row r="7022" customFormat="1" x14ac:dyDescent="0.2"/>
    <row r="7023" customFormat="1" x14ac:dyDescent="0.2"/>
    <row r="7024" customFormat="1" x14ac:dyDescent="0.2"/>
    <row r="7025" customFormat="1" x14ac:dyDescent="0.2"/>
    <row r="7026" customFormat="1" x14ac:dyDescent="0.2"/>
    <row r="7027" customFormat="1" x14ac:dyDescent="0.2"/>
    <row r="7028" customFormat="1" x14ac:dyDescent="0.2"/>
    <row r="7029" customFormat="1" x14ac:dyDescent="0.2"/>
    <row r="7030" customFormat="1" x14ac:dyDescent="0.2"/>
    <row r="7031" customFormat="1" x14ac:dyDescent="0.2"/>
    <row r="7032" customFormat="1" x14ac:dyDescent="0.2"/>
    <row r="7033" customFormat="1" x14ac:dyDescent="0.2"/>
    <row r="7034" customFormat="1" x14ac:dyDescent="0.2"/>
    <row r="7035" customFormat="1" x14ac:dyDescent="0.2"/>
    <row r="7036" customFormat="1" x14ac:dyDescent="0.2"/>
    <row r="7037" customFormat="1" x14ac:dyDescent="0.2"/>
    <row r="7038" customFormat="1" x14ac:dyDescent="0.2"/>
    <row r="7039" customFormat="1" x14ac:dyDescent="0.2"/>
    <row r="7040" customFormat="1" x14ac:dyDescent="0.2"/>
    <row r="7041" customFormat="1" x14ac:dyDescent="0.2"/>
    <row r="7042" customFormat="1" x14ac:dyDescent="0.2"/>
    <row r="7043" customFormat="1" x14ac:dyDescent="0.2"/>
    <row r="7044" customFormat="1" x14ac:dyDescent="0.2"/>
    <row r="7045" customFormat="1" x14ac:dyDescent="0.2"/>
    <row r="7046" customFormat="1" x14ac:dyDescent="0.2"/>
    <row r="7047" customFormat="1" x14ac:dyDescent="0.2"/>
    <row r="7048" customFormat="1" x14ac:dyDescent="0.2"/>
    <row r="7049" customFormat="1" x14ac:dyDescent="0.2"/>
    <row r="7050" customFormat="1" x14ac:dyDescent="0.2"/>
    <row r="7051" customFormat="1" x14ac:dyDescent="0.2"/>
    <row r="7052" customFormat="1" x14ac:dyDescent="0.2"/>
    <row r="7053" customFormat="1" x14ac:dyDescent="0.2"/>
    <row r="7054" customFormat="1" x14ac:dyDescent="0.2"/>
    <row r="7055" customFormat="1" x14ac:dyDescent="0.2"/>
    <row r="7056" customFormat="1" x14ac:dyDescent="0.2"/>
    <row r="7057" customFormat="1" x14ac:dyDescent="0.2"/>
    <row r="7058" customFormat="1" x14ac:dyDescent="0.2"/>
    <row r="7059" customFormat="1" x14ac:dyDescent="0.2"/>
    <row r="7060" customFormat="1" x14ac:dyDescent="0.2"/>
    <row r="7061" customFormat="1" x14ac:dyDescent="0.2"/>
    <row r="7062" customFormat="1" x14ac:dyDescent="0.2"/>
    <row r="7063" customFormat="1" x14ac:dyDescent="0.2"/>
    <row r="7064" customFormat="1" x14ac:dyDescent="0.2"/>
    <row r="7065" customFormat="1" x14ac:dyDescent="0.2"/>
    <row r="7066" customFormat="1" x14ac:dyDescent="0.2"/>
    <row r="7067" customFormat="1" x14ac:dyDescent="0.2"/>
    <row r="7068" customFormat="1" x14ac:dyDescent="0.2"/>
    <row r="7069" customFormat="1" x14ac:dyDescent="0.2"/>
    <row r="7070" customFormat="1" x14ac:dyDescent="0.2"/>
    <row r="7071" customFormat="1" x14ac:dyDescent="0.2"/>
    <row r="7072" customFormat="1" x14ac:dyDescent="0.2"/>
    <row r="7073" customFormat="1" x14ac:dyDescent="0.2"/>
    <row r="7074" customFormat="1" x14ac:dyDescent="0.2"/>
    <row r="7075" customFormat="1" x14ac:dyDescent="0.2"/>
    <row r="7076" customFormat="1" x14ac:dyDescent="0.2"/>
    <row r="7077" customFormat="1" x14ac:dyDescent="0.2"/>
    <row r="7078" customFormat="1" x14ac:dyDescent="0.2"/>
    <row r="7079" customFormat="1" x14ac:dyDescent="0.2"/>
    <row r="7080" customFormat="1" x14ac:dyDescent="0.2"/>
    <row r="7081" customFormat="1" x14ac:dyDescent="0.2"/>
    <row r="7082" customFormat="1" x14ac:dyDescent="0.2"/>
    <row r="7083" customFormat="1" x14ac:dyDescent="0.2"/>
    <row r="7084" customFormat="1" x14ac:dyDescent="0.2"/>
    <row r="7085" customFormat="1" x14ac:dyDescent="0.2"/>
    <row r="7086" customFormat="1" x14ac:dyDescent="0.2"/>
    <row r="7087" customFormat="1" x14ac:dyDescent="0.2"/>
    <row r="7088" customFormat="1" x14ac:dyDescent="0.2"/>
    <row r="7089" customFormat="1" x14ac:dyDescent="0.2"/>
    <row r="7090" customFormat="1" x14ac:dyDescent="0.2"/>
    <row r="7091" customFormat="1" x14ac:dyDescent="0.2"/>
    <row r="7092" customFormat="1" x14ac:dyDescent="0.2"/>
    <row r="7093" customFormat="1" x14ac:dyDescent="0.2"/>
    <row r="7094" customFormat="1" x14ac:dyDescent="0.2"/>
    <row r="7095" customFormat="1" x14ac:dyDescent="0.2"/>
    <row r="7096" customFormat="1" x14ac:dyDescent="0.2"/>
    <row r="7097" customFormat="1" x14ac:dyDescent="0.2"/>
    <row r="7098" customFormat="1" x14ac:dyDescent="0.2"/>
    <row r="7099" customFormat="1" x14ac:dyDescent="0.2"/>
    <row r="7100" customFormat="1" x14ac:dyDescent="0.2"/>
    <row r="7101" customFormat="1" x14ac:dyDescent="0.2"/>
    <row r="7102" customFormat="1" x14ac:dyDescent="0.2"/>
    <row r="7103" customFormat="1" x14ac:dyDescent="0.2"/>
    <row r="7104" customFormat="1" x14ac:dyDescent="0.2"/>
    <row r="7105" customFormat="1" x14ac:dyDescent="0.2"/>
    <row r="7106" customFormat="1" x14ac:dyDescent="0.2"/>
    <row r="7107" customFormat="1" x14ac:dyDescent="0.2"/>
    <row r="7108" customFormat="1" x14ac:dyDescent="0.2"/>
    <row r="7109" customFormat="1" x14ac:dyDescent="0.2"/>
    <row r="7110" customFormat="1" x14ac:dyDescent="0.2"/>
    <row r="7111" customFormat="1" x14ac:dyDescent="0.2"/>
    <row r="7112" customFormat="1" x14ac:dyDescent="0.2"/>
    <row r="7113" customFormat="1" x14ac:dyDescent="0.2"/>
    <row r="7114" customFormat="1" x14ac:dyDescent="0.2"/>
    <row r="7115" customFormat="1" x14ac:dyDescent="0.2"/>
    <row r="7116" customFormat="1" x14ac:dyDescent="0.2"/>
    <row r="7117" customFormat="1" x14ac:dyDescent="0.2"/>
    <row r="7118" customFormat="1" x14ac:dyDescent="0.2"/>
    <row r="7119" customFormat="1" x14ac:dyDescent="0.2"/>
    <row r="7120" customFormat="1" x14ac:dyDescent="0.2"/>
    <row r="7121" customFormat="1" x14ac:dyDescent="0.2"/>
    <row r="7122" customFormat="1" x14ac:dyDescent="0.2"/>
    <row r="7123" customFormat="1" x14ac:dyDescent="0.2"/>
    <row r="7124" customFormat="1" x14ac:dyDescent="0.2"/>
    <row r="7125" customFormat="1" x14ac:dyDescent="0.2"/>
    <row r="7126" customFormat="1" x14ac:dyDescent="0.2"/>
    <row r="7127" customFormat="1" x14ac:dyDescent="0.2"/>
    <row r="7128" customFormat="1" x14ac:dyDescent="0.2"/>
    <row r="7129" customFormat="1" x14ac:dyDescent="0.2"/>
    <row r="7130" customFormat="1" x14ac:dyDescent="0.2"/>
    <row r="7131" customFormat="1" x14ac:dyDescent="0.2"/>
    <row r="7132" customFormat="1" x14ac:dyDescent="0.2"/>
    <row r="7133" customFormat="1" x14ac:dyDescent="0.2"/>
    <row r="7134" customFormat="1" x14ac:dyDescent="0.2"/>
    <row r="7135" customFormat="1" x14ac:dyDescent="0.2"/>
    <row r="7136" customFormat="1" x14ac:dyDescent="0.2"/>
    <row r="7137" customFormat="1" x14ac:dyDescent="0.2"/>
    <row r="7138" customFormat="1" x14ac:dyDescent="0.2"/>
    <row r="7139" customFormat="1" x14ac:dyDescent="0.2"/>
    <row r="7140" customFormat="1" x14ac:dyDescent="0.2"/>
    <row r="7141" customFormat="1" x14ac:dyDescent="0.2"/>
    <row r="7142" customFormat="1" x14ac:dyDescent="0.2"/>
    <row r="7143" customFormat="1" x14ac:dyDescent="0.2"/>
    <row r="7144" customFormat="1" x14ac:dyDescent="0.2"/>
    <row r="7145" customFormat="1" x14ac:dyDescent="0.2"/>
    <row r="7146" customFormat="1" x14ac:dyDescent="0.2"/>
    <row r="7147" customFormat="1" x14ac:dyDescent="0.2"/>
    <row r="7148" customFormat="1" x14ac:dyDescent="0.2"/>
    <row r="7149" customFormat="1" x14ac:dyDescent="0.2"/>
    <row r="7150" customFormat="1" x14ac:dyDescent="0.2"/>
    <row r="7151" customFormat="1" x14ac:dyDescent="0.2"/>
    <row r="7152" customFormat="1" x14ac:dyDescent="0.2"/>
    <row r="7153" customFormat="1" x14ac:dyDescent="0.2"/>
    <row r="7154" customFormat="1" x14ac:dyDescent="0.2"/>
    <row r="7155" customFormat="1" x14ac:dyDescent="0.2"/>
    <row r="7156" customFormat="1" x14ac:dyDescent="0.2"/>
    <row r="7157" customFormat="1" x14ac:dyDescent="0.2"/>
    <row r="7158" customFormat="1" x14ac:dyDescent="0.2"/>
    <row r="7159" customFormat="1" x14ac:dyDescent="0.2"/>
    <row r="7160" customFormat="1" x14ac:dyDescent="0.2"/>
    <row r="7161" customFormat="1" x14ac:dyDescent="0.2"/>
    <row r="7162" customFormat="1" x14ac:dyDescent="0.2"/>
    <row r="7163" customFormat="1" x14ac:dyDescent="0.2"/>
    <row r="7164" customFormat="1" x14ac:dyDescent="0.2"/>
    <row r="7165" customFormat="1" x14ac:dyDescent="0.2"/>
    <row r="7166" customFormat="1" x14ac:dyDescent="0.2"/>
    <row r="7167" customFormat="1" x14ac:dyDescent="0.2"/>
    <row r="7168" customFormat="1" x14ac:dyDescent="0.2"/>
    <row r="7169" customFormat="1" x14ac:dyDescent="0.2"/>
    <row r="7170" customFormat="1" x14ac:dyDescent="0.2"/>
    <row r="7171" customFormat="1" x14ac:dyDescent="0.2"/>
    <row r="7172" customFormat="1" x14ac:dyDescent="0.2"/>
    <row r="7173" customFormat="1" x14ac:dyDescent="0.2"/>
    <row r="7174" customFormat="1" x14ac:dyDescent="0.2"/>
    <row r="7175" customFormat="1" x14ac:dyDescent="0.2"/>
    <row r="7176" customFormat="1" x14ac:dyDescent="0.2"/>
    <row r="7177" customFormat="1" x14ac:dyDescent="0.2"/>
    <row r="7178" customFormat="1" x14ac:dyDescent="0.2"/>
    <row r="7179" customFormat="1" x14ac:dyDescent="0.2"/>
    <row r="7180" customFormat="1" x14ac:dyDescent="0.2"/>
    <row r="7181" customFormat="1" x14ac:dyDescent="0.2"/>
    <row r="7182" customFormat="1" x14ac:dyDescent="0.2"/>
    <row r="7183" customFormat="1" x14ac:dyDescent="0.2"/>
    <row r="7184" customFormat="1" x14ac:dyDescent="0.2"/>
    <row r="7185" customFormat="1" x14ac:dyDescent="0.2"/>
    <row r="7186" customFormat="1" x14ac:dyDescent="0.2"/>
    <row r="7187" customFormat="1" x14ac:dyDescent="0.2"/>
    <row r="7188" customFormat="1" x14ac:dyDescent="0.2"/>
    <row r="7189" customFormat="1" x14ac:dyDescent="0.2"/>
    <row r="7190" customFormat="1" x14ac:dyDescent="0.2"/>
    <row r="7191" customFormat="1" x14ac:dyDescent="0.2"/>
    <row r="7192" customFormat="1" x14ac:dyDescent="0.2"/>
    <row r="7193" customFormat="1" x14ac:dyDescent="0.2"/>
    <row r="7194" customFormat="1" x14ac:dyDescent="0.2"/>
    <row r="7195" customFormat="1" x14ac:dyDescent="0.2"/>
    <row r="7196" customFormat="1" x14ac:dyDescent="0.2"/>
    <row r="7197" customFormat="1" x14ac:dyDescent="0.2"/>
    <row r="7198" customFormat="1" x14ac:dyDescent="0.2"/>
    <row r="7199" customFormat="1" x14ac:dyDescent="0.2"/>
    <row r="7200" customFormat="1" x14ac:dyDescent="0.2"/>
    <row r="7201" customFormat="1" x14ac:dyDescent="0.2"/>
    <row r="7202" customFormat="1" x14ac:dyDescent="0.2"/>
    <row r="7203" customFormat="1" x14ac:dyDescent="0.2"/>
    <row r="7204" customFormat="1" x14ac:dyDescent="0.2"/>
    <row r="7205" customFormat="1" x14ac:dyDescent="0.2"/>
    <row r="7206" customFormat="1" x14ac:dyDescent="0.2"/>
    <row r="7207" customFormat="1" x14ac:dyDescent="0.2"/>
    <row r="7208" customFormat="1" x14ac:dyDescent="0.2"/>
    <row r="7209" customFormat="1" x14ac:dyDescent="0.2"/>
    <row r="7210" customFormat="1" x14ac:dyDescent="0.2"/>
    <row r="7211" customFormat="1" x14ac:dyDescent="0.2"/>
    <row r="7212" customFormat="1" x14ac:dyDescent="0.2"/>
    <row r="7213" customFormat="1" x14ac:dyDescent="0.2"/>
    <row r="7214" customFormat="1" x14ac:dyDescent="0.2"/>
    <row r="7215" customFormat="1" x14ac:dyDescent="0.2"/>
    <row r="7216" customFormat="1" x14ac:dyDescent="0.2"/>
    <row r="7217" customFormat="1" x14ac:dyDescent="0.2"/>
    <row r="7218" customFormat="1" x14ac:dyDescent="0.2"/>
    <row r="7219" customFormat="1" x14ac:dyDescent="0.2"/>
    <row r="7220" customFormat="1" x14ac:dyDescent="0.2"/>
    <row r="7221" customFormat="1" x14ac:dyDescent="0.2"/>
    <row r="7222" customFormat="1" x14ac:dyDescent="0.2"/>
    <row r="7223" customFormat="1" x14ac:dyDescent="0.2"/>
    <row r="7224" customFormat="1" x14ac:dyDescent="0.2"/>
    <row r="7225" customFormat="1" x14ac:dyDescent="0.2"/>
    <row r="7226" customFormat="1" x14ac:dyDescent="0.2"/>
    <row r="7227" customFormat="1" x14ac:dyDescent="0.2"/>
    <row r="7228" customFormat="1" x14ac:dyDescent="0.2"/>
    <row r="7229" customFormat="1" x14ac:dyDescent="0.2"/>
    <row r="7230" customFormat="1" x14ac:dyDescent="0.2"/>
    <row r="7231" customFormat="1" x14ac:dyDescent="0.2"/>
    <row r="7232" customFormat="1" x14ac:dyDescent="0.2"/>
    <row r="7233" customFormat="1" x14ac:dyDescent="0.2"/>
    <row r="7234" customFormat="1" x14ac:dyDescent="0.2"/>
    <row r="7235" customFormat="1" x14ac:dyDescent="0.2"/>
    <row r="7236" customFormat="1" x14ac:dyDescent="0.2"/>
    <row r="7237" customFormat="1" x14ac:dyDescent="0.2"/>
    <row r="7238" customFormat="1" x14ac:dyDescent="0.2"/>
    <row r="7239" customFormat="1" x14ac:dyDescent="0.2"/>
    <row r="7240" customFormat="1" x14ac:dyDescent="0.2"/>
    <row r="7241" customFormat="1" x14ac:dyDescent="0.2"/>
    <row r="7242" customFormat="1" x14ac:dyDescent="0.2"/>
    <row r="7243" customFormat="1" x14ac:dyDescent="0.2"/>
    <row r="7244" customFormat="1" x14ac:dyDescent="0.2"/>
    <row r="7245" customFormat="1" x14ac:dyDescent="0.2"/>
    <row r="7246" customFormat="1" x14ac:dyDescent="0.2"/>
    <row r="7247" customFormat="1" x14ac:dyDescent="0.2"/>
    <row r="7248" customFormat="1" x14ac:dyDescent="0.2"/>
    <row r="7249" customFormat="1" x14ac:dyDescent="0.2"/>
    <row r="7250" customFormat="1" x14ac:dyDescent="0.2"/>
    <row r="7251" customFormat="1" x14ac:dyDescent="0.2"/>
    <row r="7252" customFormat="1" x14ac:dyDescent="0.2"/>
    <row r="7253" customFormat="1" x14ac:dyDescent="0.2"/>
    <row r="7254" customFormat="1" x14ac:dyDescent="0.2"/>
    <row r="7255" customFormat="1" x14ac:dyDescent="0.2"/>
    <row r="7256" customFormat="1" x14ac:dyDescent="0.2"/>
    <row r="7257" customFormat="1" x14ac:dyDescent="0.2"/>
    <row r="7258" customFormat="1" x14ac:dyDescent="0.2"/>
    <row r="7259" customFormat="1" x14ac:dyDescent="0.2"/>
    <row r="7260" customFormat="1" x14ac:dyDescent="0.2"/>
    <row r="7261" customFormat="1" x14ac:dyDescent="0.2"/>
    <row r="7262" customFormat="1" x14ac:dyDescent="0.2"/>
    <row r="7263" customFormat="1" x14ac:dyDescent="0.2"/>
    <row r="7264" customFormat="1" x14ac:dyDescent="0.2"/>
    <row r="7265" customFormat="1" x14ac:dyDescent="0.2"/>
    <row r="7266" customFormat="1" x14ac:dyDescent="0.2"/>
    <row r="7267" customFormat="1" x14ac:dyDescent="0.2"/>
    <row r="7268" customFormat="1" x14ac:dyDescent="0.2"/>
    <row r="7269" customFormat="1" x14ac:dyDescent="0.2"/>
    <row r="7270" customFormat="1" x14ac:dyDescent="0.2"/>
    <row r="7271" customFormat="1" x14ac:dyDescent="0.2"/>
    <row r="7272" customFormat="1" x14ac:dyDescent="0.2"/>
    <row r="7273" customFormat="1" x14ac:dyDescent="0.2"/>
    <row r="7274" customFormat="1" x14ac:dyDescent="0.2"/>
    <row r="7275" customFormat="1" x14ac:dyDescent="0.2"/>
    <row r="7276" customFormat="1" x14ac:dyDescent="0.2"/>
    <row r="7277" customFormat="1" x14ac:dyDescent="0.2"/>
    <row r="7278" customFormat="1" x14ac:dyDescent="0.2"/>
    <row r="7279" customFormat="1" x14ac:dyDescent="0.2"/>
    <row r="7280" customFormat="1" x14ac:dyDescent="0.2"/>
    <row r="7281" customFormat="1" x14ac:dyDescent="0.2"/>
    <row r="7282" customFormat="1" x14ac:dyDescent="0.2"/>
    <row r="7283" customFormat="1" x14ac:dyDescent="0.2"/>
    <row r="7284" customFormat="1" x14ac:dyDescent="0.2"/>
    <row r="7285" customFormat="1" x14ac:dyDescent="0.2"/>
    <row r="7286" customFormat="1" x14ac:dyDescent="0.2"/>
    <row r="7287" customFormat="1" x14ac:dyDescent="0.2"/>
    <row r="7288" customFormat="1" x14ac:dyDescent="0.2"/>
    <row r="7289" customFormat="1" x14ac:dyDescent="0.2"/>
    <row r="7290" customFormat="1" x14ac:dyDescent="0.2"/>
    <row r="7291" customFormat="1" x14ac:dyDescent="0.2"/>
    <row r="7292" customFormat="1" x14ac:dyDescent="0.2"/>
    <row r="7293" customFormat="1" x14ac:dyDescent="0.2"/>
    <row r="7294" customFormat="1" x14ac:dyDescent="0.2"/>
    <row r="7295" customFormat="1" x14ac:dyDescent="0.2"/>
    <row r="7296" customFormat="1" x14ac:dyDescent="0.2"/>
    <row r="7297" customFormat="1" x14ac:dyDescent="0.2"/>
    <row r="7298" customFormat="1" x14ac:dyDescent="0.2"/>
    <row r="7299" customFormat="1" x14ac:dyDescent="0.2"/>
    <row r="7300" customFormat="1" x14ac:dyDescent="0.2"/>
    <row r="7301" customFormat="1" x14ac:dyDescent="0.2"/>
    <row r="7302" customFormat="1" x14ac:dyDescent="0.2"/>
    <row r="7303" customFormat="1" x14ac:dyDescent="0.2"/>
    <row r="7304" customFormat="1" x14ac:dyDescent="0.2"/>
    <row r="7305" customFormat="1" x14ac:dyDescent="0.2"/>
    <row r="7306" customFormat="1" x14ac:dyDescent="0.2"/>
    <row r="7307" customFormat="1" x14ac:dyDescent="0.2"/>
    <row r="7308" customFormat="1" x14ac:dyDescent="0.2"/>
    <row r="7309" customFormat="1" x14ac:dyDescent="0.2"/>
    <row r="7310" customFormat="1" x14ac:dyDescent="0.2"/>
    <row r="7311" customFormat="1" x14ac:dyDescent="0.2"/>
    <row r="7312" customFormat="1" x14ac:dyDescent="0.2"/>
    <row r="7313" customFormat="1" x14ac:dyDescent="0.2"/>
    <row r="7314" customFormat="1" x14ac:dyDescent="0.2"/>
    <row r="7315" customFormat="1" x14ac:dyDescent="0.2"/>
    <row r="7316" customFormat="1" x14ac:dyDescent="0.2"/>
    <row r="7317" customFormat="1" x14ac:dyDescent="0.2"/>
    <row r="7318" customFormat="1" x14ac:dyDescent="0.2"/>
    <row r="7319" customFormat="1" x14ac:dyDescent="0.2"/>
    <row r="7320" customFormat="1" x14ac:dyDescent="0.2"/>
    <row r="7321" customFormat="1" x14ac:dyDescent="0.2"/>
    <row r="7322" customFormat="1" x14ac:dyDescent="0.2"/>
    <row r="7323" customFormat="1" x14ac:dyDescent="0.2"/>
    <row r="7324" customFormat="1" x14ac:dyDescent="0.2"/>
    <row r="7325" customFormat="1" x14ac:dyDescent="0.2"/>
    <row r="7326" customFormat="1" x14ac:dyDescent="0.2"/>
    <row r="7327" customFormat="1" x14ac:dyDescent="0.2"/>
    <row r="7328" customFormat="1" x14ac:dyDescent="0.2"/>
    <row r="7329" customFormat="1" x14ac:dyDescent="0.2"/>
    <row r="7330" customFormat="1" x14ac:dyDescent="0.2"/>
    <row r="7331" customFormat="1" x14ac:dyDescent="0.2"/>
    <row r="7332" customFormat="1" x14ac:dyDescent="0.2"/>
    <row r="7333" customFormat="1" x14ac:dyDescent="0.2"/>
    <row r="7334" customFormat="1" x14ac:dyDescent="0.2"/>
    <row r="7335" customFormat="1" x14ac:dyDescent="0.2"/>
    <row r="7336" customFormat="1" x14ac:dyDescent="0.2"/>
    <row r="7337" customFormat="1" x14ac:dyDescent="0.2"/>
    <row r="7338" customFormat="1" x14ac:dyDescent="0.2"/>
    <row r="7339" customFormat="1" x14ac:dyDescent="0.2"/>
    <row r="7340" customFormat="1" x14ac:dyDescent="0.2"/>
    <row r="7341" customFormat="1" x14ac:dyDescent="0.2"/>
    <row r="7342" customFormat="1" x14ac:dyDescent="0.2"/>
    <row r="7343" customFormat="1" x14ac:dyDescent="0.2"/>
    <row r="7344" customFormat="1" x14ac:dyDescent="0.2"/>
    <row r="7345" customFormat="1" x14ac:dyDescent="0.2"/>
    <row r="7346" customFormat="1" x14ac:dyDescent="0.2"/>
    <row r="7347" customFormat="1" x14ac:dyDescent="0.2"/>
    <row r="7348" customFormat="1" x14ac:dyDescent="0.2"/>
    <row r="7349" customFormat="1" x14ac:dyDescent="0.2"/>
    <row r="7350" customFormat="1" x14ac:dyDescent="0.2"/>
    <row r="7351" customFormat="1" x14ac:dyDescent="0.2"/>
    <row r="7352" customFormat="1" x14ac:dyDescent="0.2"/>
    <row r="7353" customFormat="1" x14ac:dyDescent="0.2"/>
    <row r="7354" customFormat="1" x14ac:dyDescent="0.2"/>
    <row r="7355" customFormat="1" x14ac:dyDescent="0.2"/>
    <row r="7356" customFormat="1" x14ac:dyDescent="0.2"/>
    <row r="7357" customFormat="1" x14ac:dyDescent="0.2"/>
    <row r="7358" customFormat="1" x14ac:dyDescent="0.2"/>
    <row r="7359" customFormat="1" x14ac:dyDescent="0.2"/>
    <row r="7360" customFormat="1" x14ac:dyDescent="0.2"/>
    <row r="7361" customFormat="1" x14ac:dyDescent="0.2"/>
    <row r="7362" customFormat="1" x14ac:dyDescent="0.2"/>
    <row r="7363" customFormat="1" x14ac:dyDescent="0.2"/>
    <row r="7364" customFormat="1" x14ac:dyDescent="0.2"/>
    <row r="7365" customFormat="1" x14ac:dyDescent="0.2"/>
    <row r="7366" customFormat="1" x14ac:dyDescent="0.2"/>
    <row r="7367" customFormat="1" x14ac:dyDescent="0.2"/>
    <row r="7368" customFormat="1" x14ac:dyDescent="0.2"/>
    <row r="7369" customFormat="1" x14ac:dyDescent="0.2"/>
    <row r="7370" customFormat="1" x14ac:dyDescent="0.2"/>
    <row r="7371" customFormat="1" x14ac:dyDescent="0.2"/>
    <row r="7372" customFormat="1" x14ac:dyDescent="0.2"/>
    <row r="7373" customFormat="1" x14ac:dyDescent="0.2"/>
    <row r="7374" customFormat="1" x14ac:dyDescent="0.2"/>
    <row r="7375" customFormat="1" x14ac:dyDescent="0.2"/>
    <row r="7376" customFormat="1" x14ac:dyDescent="0.2"/>
    <row r="7377" customFormat="1" x14ac:dyDescent="0.2"/>
    <row r="7378" customFormat="1" x14ac:dyDescent="0.2"/>
    <row r="7379" customFormat="1" x14ac:dyDescent="0.2"/>
    <row r="7380" customFormat="1" x14ac:dyDescent="0.2"/>
    <row r="7381" customFormat="1" x14ac:dyDescent="0.2"/>
    <row r="7382" customFormat="1" x14ac:dyDescent="0.2"/>
    <row r="7383" customFormat="1" x14ac:dyDescent="0.2"/>
    <row r="7384" customFormat="1" x14ac:dyDescent="0.2"/>
    <row r="7385" customFormat="1" x14ac:dyDescent="0.2"/>
    <row r="7386" customFormat="1" x14ac:dyDescent="0.2"/>
    <row r="7387" customFormat="1" x14ac:dyDescent="0.2"/>
    <row r="7388" customFormat="1" x14ac:dyDescent="0.2"/>
    <row r="7389" customFormat="1" x14ac:dyDescent="0.2"/>
    <row r="7390" customFormat="1" x14ac:dyDescent="0.2"/>
    <row r="7391" customFormat="1" x14ac:dyDescent="0.2"/>
    <row r="7392" customFormat="1" x14ac:dyDescent="0.2"/>
    <row r="7393" customFormat="1" x14ac:dyDescent="0.2"/>
    <row r="7394" customFormat="1" x14ac:dyDescent="0.2"/>
    <row r="7395" customFormat="1" x14ac:dyDescent="0.2"/>
    <row r="7396" customFormat="1" x14ac:dyDescent="0.2"/>
    <row r="7397" customFormat="1" x14ac:dyDescent="0.2"/>
    <row r="7398" customFormat="1" x14ac:dyDescent="0.2"/>
    <row r="7399" customFormat="1" x14ac:dyDescent="0.2"/>
    <row r="7400" customFormat="1" x14ac:dyDescent="0.2"/>
    <row r="7401" customFormat="1" x14ac:dyDescent="0.2"/>
    <row r="7402" customFormat="1" x14ac:dyDescent="0.2"/>
    <row r="7403" customFormat="1" x14ac:dyDescent="0.2"/>
    <row r="7404" customFormat="1" x14ac:dyDescent="0.2"/>
    <row r="7405" customFormat="1" x14ac:dyDescent="0.2"/>
    <row r="7406" customFormat="1" x14ac:dyDescent="0.2"/>
    <row r="7407" customFormat="1" x14ac:dyDescent="0.2"/>
    <row r="7408" customFormat="1" x14ac:dyDescent="0.2"/>
    <row r="7409" customFormat="1" x14ac:dyDescent="0.2"/>
    <row r="7410" customFormat="1" x14ac:dyDescent="0.2"/>
    <row r="7411" customFormat="1" x14ac:dyDescent="0.2"/>
    <row r="7412" customFormat="1" x14ac:dyDescent="0.2"/>
    <row r="7413" customFormat="1" x14ac:dyDescent="0.2"/>
    <row r="7414" customFormat="1" x14ac:dyDescent="0.2"/>
    <row r="7415" customFormat="1" x14ac:dyDescent="0.2"/>
    <row r="7416" customFormat="1" x14ac:dyDescent="0.2"/>
    <row r="7417" customFormat="1" x14ac:dyDescent="0.2"/>
    <row r="7418" customFormat="1" x14ac:dyDescent="0.2"/>
    <row r="7419" customFormat="1" x14ac:dyDescent="0.2"/>
    <row r="7420" customFormat="1" x14ac:dyDescent="0.2"/>
    <row r="7421" customFormat="1" x14ac:dyDescent="0.2"/>
    <row r="7422" customFormat="1" x14ac:dyDescent="0.2"/>
    <row r="7423" customFormat="1" x14ac:dyDescent="0.2"/>
    <row r="7424" customFormat="1" x14ac:dyDescent="0.2"/>
    <row r="7425" customFormat="1" x14ac:dyDescent="0.2"/>
    <row r="7426" customFormat="1" x14ac:dyDescent="0.2"/>
    <row r="7427" customFormat="1" x14ac:dyDescent="0.2"/>
    <row r="7428" customFormat="1" x14ac:dyDescent="0.2"/>
    <row r="7429" customFormat="1" x14ac:dyDescent="0.2"/>
    <row r="7430" customFormat="1" x14ac:dyDescent="0.2"/>
    <row r="7431" customFormat="1" x14ac:dyDescent="0.2"/>
    <row r="7432" customFormat="1" x14ac:dyDescent="0.2"/>
    <row r="7433" customFormat="1" x14ac:dyDescent="0.2"/>
    <row r="7434" customFormat="1" x14ac:dyDescent="0.2"/>
    <row r="7435" customFormat="1" x14ac:dyDescent="0.2"/>
    <row r="7436" customFormat="1" x14ac:dyDescent="0.2"/>
    <row r="7437" customFormat="1" x14ac:dyDescent="0.2"/>
    <row r="7438" customFormat="1" x14ac:dyDescent="0.2"/>
    <row r="7439" customFormat="1" x14ac:dyDescent="0.2"/>
    <row r="7440" customFormat="1" x14ac:dyDescent="0.2"/>
    <row r="7441" customFormat="1" x14ac:dyDescent="0.2"/>
    <row r="7442" customFormat="1" x14ac:dyDescent="0.2"/>
    <row r="7443" customFormat="1" x14ac:dyDescent="0.2"/>
    <row r="7444" customFormat="1" x14ac:dyDescent="0.2"/>
    <row r="7445" customFormat="1" x14ac:dyDescent="0.2"/>
    <row r="7446" customFormat="1" x14ac:dyDescent="0.2"/>
    <row r="7447" customFormat="1" x14ac:dyDescent="0.2"/>
    <row r="7448" customFormat="1" x14ac:dyDescent="0.2"/>
    <row r="7449" customFormat="1" x14ac:dyDescent="0.2"/>
    <row r="7450" customFormat="1" x14ac:dyDescent="0.2"/>
    <row r="7451" customFormat="1" x14ac:dyDescent="0.2"/>
    <row r="7452" customFormat="1" x14ac:dyDescent="0.2"/>
    <row r="7453" customFormat="1" x14ac:dyDescent="0.2"/>
    <row r="7454" customFormat="1" x14ac:dyDescent="0.2"/>
    <row r="7455" customFormat="1" x14ac:dyDescent="0.2"/>
    <row r="7456" customFormat="1" x14ac:dyDescent="0.2"/>
    <row r="7457" customFormat="1" x14ac:dyDescent="0.2"/>
    <row r="7458" customFormat="1" x14ac:dyDescent="0.2"/>
    <row r="7459" customFormat="1" x14ac:dyDescent="0.2"/>
    <row r="7460" customFormat="1" x14ac:dyDescent="0.2"/>
    <row r="7461" customFormat="1" x14ac:dyDescent="0.2"/>
    <row r="7462" customFormat="1" x14ac:dyDescent="0.2"/>
    <row r="7463" customFormat="1" x14ac:dyDescent="0.2"/>
    <row r="7464" customFormat="1" x14ac:dyDescent="0.2"/>
    <row r="7465" customFormat="1" x14ac:dyDescent="0.2"/>
    <row r="7466" customFormat="1" x14ac:dyDescent="0.2"/>
    <row r="7467" customFormat="1" x14ac:dyDescent="0.2"/>
    <row r="7468" customFormat="1" x14ac:dyDescent="0.2"/>
    <row r="7469" customFormat="1" x14ac:dyDescent="0.2"/>
    <row r="7470" customFormat="1" x14ac:dyDescent="0.2"/>
    <row r="7471" customFormat="1" x14ac:dyDescent="0.2"/>
    <row r="7472" customFormat="1" x14ac:dyDescent="0.2"/>
    <row r="7473" customFormat="1" x14ac:dyDescent="0.2"/>
    <row r="7474" customFormat="1" x14ac:dyDescent="0.2"/>
    <row r="7475" customFormat="1" x14ac:dyDescent="0.2"/>
    <row r="7476" customFormat="1" x14ac:dyDescent="0.2"/>
    <row r="7477" customFormat="1" x14ac:dyDescent="0.2"/>
    <row r="7478" customFormat="1" x14ac:dyDescent="0.2"/>
    <row r="7479" customFormat="1" x14ac:dyDescent="0.2"/>
    <row r="7480" customFormat="1" x14ac:dyDescent="0.2"/>
    <row r="7481" customFormat="1" x14ac:dyDescent="0.2"/>
    <row r="7482" customFormat="1" x14ac:dyDescent="0.2"/>
    <row r="7483" customFormat="1" x14ac:dyDescent="0.2"/>
    <row r="7484" customFormat="1" x14ac:dyDescent="0.2"/>
    <row r="7485" customFormat="1" x14ac:dyDescent="0.2"/>
    <row r="7486" customFormat="1" x14ac:dyDescent="0.2"/>
    <row r="7487" customFormat="1" x14ac:dyDescent="0.2"/>
    <row r="7488" customFormat="1" x14ac:dyDescent="0.2"/>
    <row r="7489" customFormat="1" x14ac:dyDescent="0.2"/>
    <row r="7490" customFormat="1" x14ac:dyDescent="0.2"/>
    <row r="7491" customFormat="1" x14ac:dyDescent="0.2"/>
    <row r="7492" customFormat="1" x14ac:dyDescent="0.2"/>
    <row r="7493" customFormat="1" x14ac:dyDescent="0.2"/>
    <row r="7494" customFormat="1" x14ac:dyDescent="0.2"/>
    <row r="7495" customFormat="1" x14ac:dyDescent="0.2"/>
    <row r="7496" customFormat="1" x14ac:dyDescent="0.2"/>
    <row r="7497" customFormat="1" x14ac:dyDescent="0.2"/>
    <row r="7498" customFormat="1" x14ac:dyDescent="0.2"/>
    <row r="7499" customFormat="1" x14ac:dyDescent="0.2"/>
    <row r="7500" customFormat="1" x14ac:dyDescent="0.2"/>
    <row r="7501" customFormat="1" x14ac:dyDescent="0.2"/>
    <row r="7502" customFormat="1" x14ac:dyDescent="0.2"/>
    <row r="7503" customFormat="1" x14ac:dyDescent="0.2"/>
    <row r="7504" customFormat="1" x14ac:dyDescent="0.2"/>
    <row r="7505" customFormat="1" x14ac:dyDescent="0.2"/>
    <row r="7506" customFormat="1" x14ac:dyDescent="0.2"/>
    <row r="7507" customFormat="1" x14ac:dyDescent="0.2"/>
    <row r="7508" customFormat="1" x14ac:dyDescent="0.2"/>
    <row r="7509" customFormat="1" x14ac:dyDescent="0.2"/>
    <row r="7510" customFormat="1" x14ac:dyDescent="0.2"/>
    <row r="7511" customFormat="1" x14ac:dyDescent="0.2"/>
    <row r="7512" customFormat="1" x14ac:dyDescent="0.2"/>
    <row r="7513" customFormat="1" x14ac:dyDescent="0.2"/>
    <row r="7514" customFormat="1" x14ac:dyDescent="0.2"/>
    <row r="7515" customFormat="1" x14ac:dyDescent="0.2"/>
    <row r="7516" customFormat="1" x14ac:dyDescent="0.2"/>
    <row r="7517" customFormat="1" x14ac:dyDescent="0.2"/>
    <row r="7518" customFormat="1" x14ac:dyDescent="0.2"/>
    <row r="7519" customFormat="1" x14ac:dyDescent="0.2"/>
    <row r="7520" customFormat="1" x14ac:dyDescent="0.2"/>
    <row r="7521" customFormat="1" x14ac:dyDescent="0.2"/>
    <row r="7522" customFormat="1" x14ac:dyDescent="0.2"/>
    <row r="7523" customFormat="1" x14ac:dyDescent="0.2"/>
    <row r="7524" customFormat="1" x14ac:dyDescent="0.2"/>
    <row r="7525" customFormat="1" x14ac:dyDescent="0.2"/>
    <row r="7526" customFormat="1" x14ac:dyDescent="0.2"/>
    <row r="7527" customFormat="1" x14ac:dyDescent="0.2"/>
    <row r="7528" customFormat="1" x14ac:dyDescent="0.2"/>
    <row r="7529" customFormat="1" x14ac:dyDescent="0.2"/>
    <row r="7530" customFormat="1" x14ac:dyDescent="0.2"/>
    <row r="7531" customFormat="1" x14ac:dyDescent="0.2"/>
    <row r="7532" customFormat="1" x14ac:dyDescent="0.2"/>
    <row r="7533" customFormat="1" x14ac:dyDescent="0.2"/>
    <row r="7534" customFormat="1" x14ac:dyDescent="0.2"/>
    <row r="7535" customFormat="1" x14ac:dyDescent="0.2"/>
    <row r="7536" customFormat="1" x14ac:dyDescent="0.2"/>
    <row r="7537" customFormat="1" x14ac:dyDescent="0.2"/>
    <row r="7538" customFormat="1" x14ac:dyDescent="0.2"/>
    <row r="7539" customFormat="1" x14ac:dyDescent="0.2"/>
    <row r="7540" customFormat="1" x14ac:dyDescent="0.2"/>
    <row r="7541" customFormat="1" x14ac:dyDescent="0.2"/>
    <row r="7542" customFormat="1" x14ac:dyDescent="0.2"/>
    <row r="7543" customFormat="1" x14ac:dyDescent="0.2"/>
    <row r="7544" customFormat="1" x14ac:dyDescent="0.2"/>
    <row r="7545" customFormat="1" x14ac:dyDescent="0.2"/>
    <row r="7546" customFormat="1" x14ac:dyDescent="0.2"/>
    <row r="7547" customFormat="1" x14ac:dyDescent="0.2"/>
    <row r="7548" customFormat="1" x14ac:dyDescent="0.2"/>
    <row r="7549" customFormat="1" x14ac:dyDescent="0.2"/>
    <row r="7550" customFormat="1" x14ac:dyDescent="0.2"/>
    <row r="7551" customFormat="1" x14ac:dyDescent="0.2"/>
    <row r="7552" customFormat="1" x14ac:dyDescent="0.2"/>
    <row r="7553" customFormat="1" x14ac:dyDescent="0.2"/>
    <row r="7554" customFormat="1" x14ac:dyDescent="0.2"/>
    <row r="7555" customFormat="1" x14ac:dyDescent="0.2"/>
    <row r="7556" customFormat="1" x14ac:dyDescent="0.2"/>
    <row r="7557" customFormat="1" x14ac:dyDescent="0.2"/>
    <row r="7558" customFormat="1" x14ac:dyDescent="0.2"/>
    <row r="7559" customFormat="1" x14ac:dyDescent="0.2"/>
    <row r="7560" customFormat="1" x14ac:dyDescent="0.2"/>
    <row r="7561" customFormat="1" x14ac:dyDescent="0.2"/>
    <row r="7562" customFormat="1" x14ac:dyDescent="0.2"/>
    <row r="7563" customFormat="1" x14ac:dyDescent="0.2"/>
    <row r="7564" customFormat="1" x14ac:dyDescent="0.2"/>
    <row r="7565" customFormat="1" x14ac:dyDescent="0.2"/>
    <row r="7566" customFormat="1" x14ac:dyDescent="0.2"/>
    <row r="7567" customFormat="1" x14ac:dyDescent="0.2"/>
    <row r="7568" customFormat="1" x14ac:dyDescent="0.2"/>
    <row r="7569" customFormat="1" x14ac:dyDescent="0.2"/>
    <row r="7570" customFormat="1" x14ac:dyDescent="0.2"/>
    <row r="7571" customFormat="1" x14ac:dyDescent="0.2"/>
    <row r="7572" customFormat="1" x14ac:dyDescent="0.2"/>
    <row r="7573" customFormat="1" x14ac:dyDescent="0.2"/>
    <row r="7574" customFormat="1" x14ac:dyDescent="0.2"/>
    <row r="7575" customFormat="1" x14ac:dyDescent="0.2"/>
    <row r="7576" customFormat="1" x14ac:dyDescent="0.2"/>
    <row r="7577" customFormat="1" x14ac:dyDescent="0.2"/>
    <row r="7578" customFormat="1" x14ac:dyDescent="0.2"/>
    <row r="7579" customFormat="1" x14ac:dyDescent="0.2"/>
    <row r="7580" customFormat="1" x14ac:dyDescent="0.2"/>
    <row r="7581" customFormat="1" x14ac:dyDescent="0.2"/>
    <row r="7582" customFormat="1" x14ac:dyDescent="0.2"/>
    <row r="7583" customFormat="1" x14ac:dyDescent="0.2"/>
    <row r="7584" customFormat="1" x14ac:dyDescent="0.2"/>
    <row r="7585" customFormat="1" x14ac:dyDescent="0.2"/>
    <row r="7586" customFormat="1" x14ac:dyDescent="0.2"/>
    <row r="7587" customFormat="1" x14ac:dyDescent="0.2"/>
    <row r="7588" customFormat="1" x14ac:dyDescent="0.2"/>
    <row r="7589" customFormat="1" x14ac:dyDescent="0.2"/>
    <row r="7590" customFormat="1" x14ac:dyDescent="0.2"/>
    <row r="7591" customFormat="1" x14ac:dyDescent="0.2"/>
    <row r="7592" customFormat="1" x14ac:dyDescent="0.2"/>
    <row r="7593" customFormat="1" x14ac:dyDescent="0.2"/>
    <row r="7594" customFormat="1" x14ac:dyDescent="0.2"/>
    <row r="7595" customFormat="1" x14ac:dyDescent="0.2"/>
    <row r="7596" customFormat="1" x14ac:dyDescent="0.2"/>
    <row r="7597" customFormat="1" x14ac:dyDescent="0.2"/>
    <row r="7598" customFormat="1" x14ac:dyDescent="0.2"/>
    <row r="7599" customFormat="1" x14ac:dyDescent="0.2"/>
    <row r="7600" customFormat="1" x14ac:dyDescent="0.2"/>
    <row r="7601" customFormat="1" x14ac:dyDescent="0.2"/>
    <row r="7602" customFormat="1" x14ac:dyDescent="0.2"/>
    <row r="7603" customFormat="1" x14ac:dyDescent="0.2"/>
    <row r="7604" customFormat="1" x14ac:dyDescent="0.2"/>
    <row r="7605" customFormat="1" x14ac:dyDescent="0.2"/>
    <row r="7606" customFormat="1" x14ac:dyDescent="0.2"/>
    <row r="7607" customFormat="1" x14ac:dyDescent="0.2"/>
    <row r="7608" customFormat="1" x14ac:dyDescent="0.2"/>
    <row r="7609" customFormat="1" x14ac:dyDescent="0.2"/>
    <row r="7610" customFormat="1" x14ac:dyDescent="0.2"/>
    <row r="7611" customFormat="1" x14ac:dyDescent="0.2"/>
    <row r="7612" customFormat="1" x14ac:dyDescent="0.2"/>
    <row r="7613" customFormat="1" x14ac:dyDescent="0.2"/>
    <row r="7614" customFormat="1" x14ac:dyDescent="0.2"/>
    <row r="7615" customFormat="1" x14ac:dyDescent="0.2"/>
    <row r="7616" customFormat="1" x14ac:dyDescent="0.2"/>
    <row r="7617" customFormat="1" x14ac:dyDescent="0.2"/>
    <row r="7618" customFormat="1" x14ac:dyDescent="0.2"/>
    <row r="7619" customFormat="1" x14ac:dyDescent="0.2"/>
    <row r="7620" customFormat="1" x14ac:dyDescent="0.2"/>
    <row r="7621" customFormat="1" x14ac:dyDescent="0.2"/>
    <row r="7622" customFormat="1" x14ac:dyDescent="0.2"/>
    <row r="7623" customFormat="1" x14ac:dyDescent="0.2"/>
    <row r="7624" customFormat="1" x14ac:dyDescent="0.2"/>
    <row r="7625" customFormat="1" x14ac:dyDescent="0.2"/>
    <row r="7626" customFormat="1" x14ac:dyDescent="0.2"/>
    <row r="7627" customFormat="1" x14ac:dyDescent="0.2"/>
    <row r="7628" customFormat="1" x14ac:dyDescent="0.2"/>
    <row r="7629" customFormat="1" x14ac:dyDescent="0.2"/>
    <row r="7630" customFormat="1" x14ac:dyDescent="0.2"/>
    <row r="7631" customFormat="1" x14ac:dyDescent="0.2"/>
    <row r="7632" customFormat="1" x14ac:dyDescent="0.2"/>
    <row r="7633" customFormat="1" x14ac:dyDescent="0.2"/>
    <row r="7634" customFormat="1" x14ac:dyDescent="0.2"/>
    <row r="7635" customFormat="1" x14ac:dyDescent="0.2"/>
    <row r="7636" customFormat="1" x14ac:dyDescent="0.2"/>
    <row r="7637" customFormat="1" x14ac:dyDescent="0.2"/>
    <row r="7638" customFormat="1" x14ac:dyDescent="0.2"/>
    <row r="7639" customFormat="1" x14ac:dyDescent="0.2"/>
    <row r="7640" customFormat="1" x14ac:dyDescent="0.2"/>
    <row r="7641" customFormat="1" x14ac:dyDescent="0.2"/>
    <row r="7642" customFormat="1" x14ac:dyDescent="0.2"/>
    <row r="7643" customFormat="1" x14ac:dyDescent="0.2"/>
    <row r="7644" customFormat="1" x14ac:dyDescent="0.2"/>
    <row r="7645" customFormat="1" x14ac:dyDescent="0.2"/>
    <row r="7646" customFormat="1" x14ac:dyDescent="0.2"/>
    <row r="7647" customFormat="1" x14ac:dyDescent="0.2"/>
    <row r="7648" customFormat="1" x14ac:dyDescent="0.2"/>
    <row r="7649" customFormat="1" x14ac:dyDescent="0.2"/>
    <row r="7650" customFormat="1" x14ac:dyDescent="0.2"/>
    <row r="7651" customFormat="1" x14ac:dyDescent="0.2"/>
    <row r="7652" customFormat="1" x14ac:dyDescent="0.2"/>
    <row r="7653" customFormat="1" x14ac:dyDescent="0.2"/>
    <row r="7654" customFormat="1" x14ac:dyDescent="0.2"/>
    <row r="7655" customFormat="1" x14ac:dyDescent="0.2"/>
    <row r="7656" customFormat="1" x14ac:dyDescent="0.2"/>
    <row r="7657" customFormat="1" x14ac:dyDescent="0.2"/>
    <row r="7658" customFormat="1" x14ac:dyDescent="0.2"/>
    <row r="7659" customFormat="1" x14ac:dyDescent="0.2"/>
    <row r="7660" customFormat="1" x14ac:dyDescent="0.2"/>
    <row r="7661" customFormat="1" x14ac:dyDescent="0.2"/>
    <row r="7662" customFormat="1" x14ac:dyDescent="0.2"/>
    <row r="7663" customFormat="1" x14ac:dyDescent="0.2"/>
    <row r="7664" customFormat="1" x14ac:dyDescent="0.2"/>
    <row r="7665" customFormat="1" x14ac:dyDescent="0.2"/>
    <row r="7666" customFormat="1" x14ac:dyDescent="0.2"/>
    <row r="7667" customFormat="1" x14ac:dyDescent="0.2"/>
    <row r="7668" customFormat="1" x14ac:dyDescent="0.2"/>
    <row r="7669" customFormat="1" x14ac:dyDescent="0.2"/>
    <row r="7670" customFormat="1" x14ac:dyDescent="0.2"/>
    <row r="7671" customFormat="1" x14ac:dyDescent="0.2"/>
    <row r="7672" customFormat="1" x14ac:dyDescent="0.2"/>
    <row r="7673" customFormat="1" x14ac:dyDescent="0.2"/>
    <row r="7674" customFormat="1" x14ac:dyDescent="0.2"/>
    <row r="7675" customFormat="1" x14ac:dyDescent="0.2"/>
    <row r="7676" customFormat="1" x14ac:dyDescent="0.2"/>
    <row r="7677" customFormat="1" x14ac:dyDescent="0.2"/>
    <row r="7678" customFormat="1" x14ac:dyDescent="0.2"/>
    <row r="7679" customFormat="1" x14ac:dyDescent="0.2"/>
    <row r="7680" customFormat="1" x14ac:dyDescent="0.2"/>
    <row r="7681" customFormat="1" x14ac:dyDescent="0.2"/>
    <row r="7682" customFormat="1" x14ac:dyDescent="0.2"/>
    <row r="7683" customFormat="1" x14ac:dyDescent="0.2"/>
    <row r="7684" customFormat="1" x14ac:dyDescent="0.2"/>
    <row r="7685" customFormat="1" x14ac:dyDescent="0.2"/>
    <row r="7686" customFormat="1" x14ac:dyDescent="0.2"/>
    <row r="7687" customFormat="1" x14ac:dyDescent="0.2"/>
    <row r="7688" customFormat="1" x14ac:dyDescent="0.2"/>
    <row r="7689" customFormat="1" x14ac:dyDescent="0.2"/>
    <row r="7690" customFormat="1" x14ac:dyDescent="0.2"/>
    <row r="7691" customFormat="1" x14ac:dyDescent="0.2"/>
    <row r="7692" customFormat="1" x14ac:dyDescent="0.2"/>
    <row r="7693" customFormat="1" x14ac:dyDescent="0.2"/>
    <row r="7694" customFormat="1" x14ac:dyDescent="0.2"/>
    <row r="7695" customFormat="1" x14ac:dyDescent="0.2"/>
    <row r="7696" customFormat="1" x14ac:dyDescent="0.2"/>
    <row r="7697" customFormat="1" x14ac:dyDescent="0.2"/>
    <row r="7698" customFormat="1" x14ac:dyDescent="0.2"/>
    <row r="7699" customFormat="1" x14ac:dyDescent="0.2"/>
    <row r="7700" customFormat="1" x14ac:dyDescent="0.2"/>
    <row r="7701" customFormat="1" x14ac:dyDescent="0.2"/>
    <row r="7702" customFormat="1" x14ac:dyDescent="0.2"/>
    <row r="7703" customFormat="1" x14ac:dyDescent="0.2"/>
    <row r="7704" customFormat="1" x14ac:dyDescent="0.2"/>
    <row r="7705" customFormat="1" x14ac:dyDescent="0.2"/>
    <row r="7706" customFormat="1" x14ac:dyDescent="0.2"/>
    <row r="7707" customFormat="1" x14ac:dyDescent="0.2"/>
    <row r="7708" customFormat="1" x14ac:dyDescent="0.2"/>
    <row r="7709" customFormat="1" x14ac:dyDescent="0.2"/>
    <row r="7710" customFormat="1" x14ac:dyDescent="0.2"/>
    <row r="7711" customFormat="1" x14ac:dyDescent="0.2"/>
    <row r="7712" customFormat="1" x14ac:dyDescent="0.2"/>
    <row r="7713" customFormat="1" x14ac:dyDescent="0.2"/>
    <row r="7714" customFormat="1" x14ac:dyDescent="0.2"/>
    <row r="7715" customFormat="1" x14ac:dyDescent="0.2"/>
    <row r="7716" customFormat="1" x14ac:dyDescent="0.2"/>
    <row r="7717" customFormat="1" x14ac:dyDescent="0.2"/>
    <row r="7718" customFormat="1" x14ac:dyDescent="0.2"/>
    <row r="7719" customFormat="1" x14ac:dyDescent="0.2"/>
    <row r="7720" customFormat="1" x14ac:dyDescent="0.2"/>
    <row r="7721" customFormat="1" x14ac:dyDescent="0.2"/>
    <row r="7722" customFormat="1" x14ac:dyDescent="0.2"/>
    <row r="7723" customFormat="1" x14ac:dyDescent="0.2"/>
    <row r="7724" customFormat="1" x14ac:dyDescent="0.2"/>
    <row r="7725" customFormat="1" x14ac:dyDescent="0.2"/>
    <row r="7726" customFormat="1" x14ac:dyDescent="0.2"/>
    <row r="7727" customFormat="1" x14ac:dyDescent="0.2"/>
    <row r="7728" customFormat="1" x14ac:dyDescent="0.2"/>
    <row r="7729" customFormat="1" x14ac:dyDescent="0.2"/>
    <row r="7730" customFormat="1" x14ac:dyDescent="0.2"/>
    <row r="7731" customFormat="1" x14ac:dyDescent="0.2"/>
    <row r="7732" customFormat="1" x14ac:dyDescent="0.2"/>
    <row r="7733" customFormat="1" x14ac:dyDescent="0.2"/>
    <row r="7734" customFormat="1" x14ac:dyDescent="0.2"/>
    <row r="7735" customFormat="1" x14ac:dyDescent="0.2"/>
    <row r="7736" customFormat="1" x14ac:dyDescent="0.2"/>
    <row r="7737" customFormat="1" x14ac:dyDescent="0.2"/>
    <row r="7738" customFormat="1" x14ac:dyDescent="0.2"/>
    <row r="7739" customFormat="1" x14ac:dyDescent="0.2"/>
    <row r="7740" customFormat="1" x14ac:dyDescent="0.2"/>
    <row r="7741" customFormat="1" x14ac:dyDescent="0.2"/>
    <row r="7742" customFormat="1" x14ac:dyDescent="0.2"/>
    <row r="7743" customFormat="1" x14ac:dyDescent="0.2"/>
    <row r="7744" customFormat="1" x14ac:dyDescent="0.2"/>
    <row r="7745" customFormat="1" x14ac:dyDescent="0.2"/>
    <row r="7746" customFormat="1" x14ac:dyDescent="0.2"/>
    <row r="7747" customFormat="1" x14ac:dyDescent="0.2"/>
    <row r="7748" customFormat="1" x14ac:dyDescent="0.2"/>
    <row r="7749" customFormat="1" x14ac:dyDescent="0.2"/>
    <row r="7750" customFormat="1" x14ac:dyDescent="0.2"/>
    <row r="7751" customFormat="1" x14ac:dyDescent="0.2"/>
    <row r="7752" customFormat="1" x14ac:dyDescent="0.2"/>
    <row r="7753" customFormat="1" x14ac:dyDescent="0.2"/>
    <row r="7754" customFormat="1" x14ac:dyDescent="0.2"/>
    <row r="7755" customFormat="1" x14ac:dyDescent="0.2"/>
    <row r="7756" customFormat="1" x14ac:dyDescent="0.2"/>
    <row r="7757" customFormat="1" x14ac:dyDescent="0.2"/>
    <row r="7758" customFormat="1" x14ac:dyDescent="0.2"/>
    <row r="7759" customFormat="1" x14ac:dyDescent="0.2"/>
    <row r="7760" customFormat="1" x14ac:dyDescent="0.2"/>
    <row r="7761" customFormat="1" x14ac:dyDescent="0.2"/>
    <row r="7762" customFormat="1" x14ac:dyDescent="0.2"/>
    <row r="7763" customFormat="1" x14ac:dyDescent="0.2"/>
    <row r="7764" customFormat="1" x14ac:dyDescent="0.2"/>
    <row r="7765" customFormat="1" x14ac:dyDescent="0.2"/>
    <row r="7766" customFormat="1" x14ac:dyDescent="0.2"/>
    <row r="7767" customFormat="1" x14ac:dyDescent="0.2"/>
    <row r="7768" customFormat="1" x14ac:dyDescent="0.2"/>
    <row r="7769" customFormat="1" x14ac:dyDescent="0.2"/>
    <row r="7770" customFormat="1" x14ac:dyDescent="0.2"/>
    <row r="7771" customFormat="1" x14ac:dyDescent="0.2"/>
    <row r="7772" customFormat="1" x14ac:dyDescent="0.2"/>
    <row r="7773" customFormat="1" x14ac:dyDescent="0.2"/>
    <row r="7774" customFormat="1" x14ac:dyDescent="0.2"/>
    <row r="7775" customFormat="1" x14ac:dyDescent="0.2"/>
    <row r="7776" customFormat="1" x14ac:dyDescent="0.2"/>
    <row r="7777" customFormat="1" x14ac:dyDescent="0.2"/>
    <row r="7778" customFormat="1" x14ac:dyDescent="0.2"/>
    <row r="7779" customFormat="1" x14ac:dyDescent="0.2"/>
    <row r="7780" customFormat="1" x14ac:dyDescent="0.2"/>
    <row r="7781" customFormat="1" x14ac:dyDescent="0.2"/>
    <row r="7782" customFormat="1" x14ac:dyDescent="0.2"/>
    <row r="7783" customFormat="1" x14ac:dyDescent="0.2"/>
    <row r="7784" customFormat="1" x14ac:dyDescent="0.2"/>
    <row r="7785" customFormat="1" x14ac:dyDescent="0.2"/>
    <row r="7786" customFormat="1" x14ac:dyDescent="0.2"/>
    <row r="7787" customFormat="1" x14ac:dyDescent="0.2"/>
    <row r="7788" customFormat="1" x14ac:dyDescent="0.2"/>
    <row r="7789" customFormat="1" x14ac:dyDescent="0.2"/>
    <row r="7790" customFormat="1" x14ac:dyDescent="0.2"/>
    <row r="7791" customFormat="1" x14ac:dyDescent="0.2"/>
    <row r="7792" customFormat="1" x14ac:dyDescent="0.2"/>
    <row r="7793" customFormat="1" x14ac:dyDescent="0.2"/>
    <row r="7794" customFormat="1" x14ac:dyDescent="0.2"/>
    <row r="7795" customFormat="1" x14ac:dyDescent="0.2"/>
    <row r="7796" customFormat="1" x14ac:dyDescent="0.2"/>
    <row r="7797" customFormat="1" x14ac:dyDescent="0.2"/>
    <row r="7798" customFormat="1" x14ac:dyDescent="0.2"/>
    <row r="7799" customFormat="1" x14ac:dyDescent="0.2"/>
    <row r="7800" customFormat="1" x14ac:dyDescent="0.2"/>
    <row r="7801" customFormat="1" x14ac:dyDescent="0.2"/>
    <row r="7802" customFormat="1" x14ac:dyDescent="0.2"/>
    <row r="7803" customFormat="1" x14ac:dyDescent="0.2"/>
    <row r="7804" customFormat="1" x14ac:dyDescent="0.2"/>
    <row r="7805" customFormat="1" x14ac:dyDescent="0.2"/>
    <row r="7806" customFormat="1" x14ac:dyDescent="0.2"/>
    <row r="7807" customFormat="1" x14ac:dyDescent="0.2"/>
    <row r="7808" customFormat="1" x14ac:dyDescent="0.2"/>
    <row r="7809" customFormat="1" x14ac:dyDescent="0.2"/>
    <row r="7810" customFormat="1" x14ac:dyDescent="0.2"/>
    <row r="7811" customFormat="1" x14ac:dyDescent="0.2"/>
    <row r="7812" customFormat="1" x14ac:dyDescent="0.2"/>
    <row r="7813" customFormat="1" x14ac:dyDescent="0.2"/>
    <row r="7814" customFormat="1" x14ac:dyDescent="0.2"/>
    <row r="7815" customFormat="1" x14ac:dyDescent="0.2"/>
    <row r="7816" customFormat="1" x14ac:dyDescent="0.2"/>
    <row r="7817" customFormat="1" x14ac:dyDescent="0.2"/>
    <row r="7818" customFormat="1" x14ac:dyDescent="0.2"/>
    <row r="7819" customFormat="1" x14ac:dyDescent="0.2"/>
    <row r="7820" customFormat="1" x14ac:dyDescent="0.2"/>
    <row r="7821" customFormat="1" x14ac:dyDescent="0.2"/>
    <row r="7822" customFormat="1" x14ac:dyDescent="0.2"/>
    <row r="7823" customFormat="1" x14ac:dyDescent="0.2"/>
    <row r="7824" customFormat="1" x14ac:dyDescent="0.2"/>
    <row r="7825" customFormat="1" x14ac:dyDescent="0.2"/>
    <row r="7826" customFormat="1" x14ac:dyDescent="0.2"/>
    <row r="7827" customFormat="1" x14ac:dyDescent="0.2"/>
    <row r="7828" customFormat="1" x14ac:dyDescent="0.2"/>
    <row r="7829" customFormat="1" x14ac:dyDescent="0.2"/>
    <row r="7830" customFormat="1" x14ac:dyDescent="0.2"/>
    <row r="7831" customFormat="1" x14ac:dyDescent="0.2"/>
    <row r="7832" customFormat="1" x14ac:dyDescent="0.2"/>
    <row r="7833" customFormat="1" x14ac:dyDescent="0.2"/>
    <row r="7834" customFormat="1" x14ac:dyDescent="0.2"/>
    <row r="7835" customFormat="1" x14ac:dyDescent="0.2"/>
    <row r="7836" customFormat="1" x14ac:dyDescent="0.2"/>
    <row r="7837" customFormat="1" x14ac:dyDescent="0.2"/>
    <row r="7838" customFormat="1" x14ac:dyDescent="0.2"/>
    <row r="7839" customFormat="1" x14ac:dyDescent="0.2"/>
    <row r="7840" customFormat="1" x14ac:dyDescent="0.2"/>
    <row r="7841" customFormat="1" x14ac:dyDescent="0.2"/>
    <row r="7842" customFormat="1" x14ac:dyDescent="0.2"/>
    <row r="7843" customFormat="1" x14ac:dyDescent="0.2"/>
    <row r="7844" customFormat="1" x14ac:dyDescent="0.2"/>
    <row r="7845" customFormat="1" x14ac:dyDescent="0.2"/>
    <row r="7846" customFormat="1" x14ac:dyDescent="0.2"/>
    <row r="7847" customFormat="1" x14ac:dyDescent="0.2"/>
    <row r="7848" customFormat="1" x14ac:dyDescent="0.2"/>
    <row r="7849" customFormat="1" x14ac:dyDescent="0.2"/>
    <row r="7850" customFormat="1" x14ac:dyDescent="0.2"/>
    <row r="7851" customFormat="1" x14ac:dyDescent="0.2"/>
    <row r="7852" customFormat="1" x14ac:dyDescent="0.2"/>
    <row r="7853" customFormat="1" x14ac:dyDescent="0.2"/>
    <row r="7854" customFormat="1" x14ac:dyDescent="0.2"/>
    <row r="7855" customFormat="1" x14ac:dyDescent="0.2"/>
    <row r="7856" customFormat="1" x14ac:dyDescent="0.2"/>
    <row r="7857" customFormat="1" x14ac:dyDescent="0.2"/>
    <row r="7858" customFormat="1" x14ac:dyDescent="0.2"/>
    <row r="7859" customFormat="1" x14ac:dyDescent="0.2"/>
    <row r="7860" customFormat="1" x14ac:dyDescent="0.2"/>
    <row r="7861" customFormat="1" x14ac:dyDescent="0.2"/>
    <row r="7862" customFormat="1" x14ac:dyDescent="0.2"/>
    <row r="7863" customFormat="1" x14ac:dyDescent="0.2"/>
    <row r="7864" customFormat="1" x14ac:dyDescent="0.2"/>
    <row r="7865" customFormat="1" x14ac:dyDescent="0.2"/>
    <row r="7866" customFormat="1" x14ac:dyDescent="0.2"/>
    <row r="7867" customFormat="1" x14ac:dyDescent="0.2"/>
    <row r="7868" customFormat="1" x14ac:dyDescent="0.2"/>
    <row r="7869" customFormat="1" x14ac:dyDescent="0.2"/>
    <row r="7870" customFormat="1" x14ac:dyDescent="0.2"/>
    <row r="7871" customFormat="1" x14ac:dyDescent="0.2"/>
    <row r="7872" customFormat="1" x14ac:dyDescent="0.2"/>
    <row r="7873" customFormat="1" x14ac:dyDescent="0.2"/>
    <row r="7874" customFormat="1" x14ac:dyDescent="0.2"/>
    <row r="7875" customFormat="1" x14ac:dyDescent="0.2"/>
    <row r="7876" customFormat="1" x14ac:dyDescent="0.2"/>
    <row r="7877" customFormat="1" x14ac:dyDescent="0.2"/>
    <row r="7878" customFormat="1" x14ac:dyDescent="0.2"/>
    <row r="7879" customFormat="1" x14ac:dyDescent="0.2"/>
    <row r="7880" customFormat="1" x14ac:dyDescent="0.2"/>
    <row r="7881" customFormat="1" x14ac:dyDescent="0.2"/>
    <row r="7882" customFormat="1" x14ac:dyDescent="0.2"/>
    <row r="7883" customFormat="1" x14ac:dyDescent="0.2"/>
    <row r="7884" customFormat="1" x14ac:dyDescent="0.2"/>
    <row r="7885" customFormat="1" x14ac:dyDescent="0.2"/>
    <row r="7886" customFormat="1" x14ac:dyDescent="0.2"/>
    <row r="7887" customFormat="1" x14ac:dyDescent="0.2"/>
    <row r="7888" customFormat="1" x14ac:dyDescent="0.2"/>
    <row r="7889" customFormat="1" x14ac:dyDescent="0.2"/>
    <row r="7890" customFormat="1" x14ac:dyDescent="0.2"/>
    <row r="7891" customFormat="1" x14ac:dyDescent="0.2"/>
    <row r="7892" customFormat="1" x14ac:dyDescent="0.2"/>
    <row r="7893" customFormat="1" x14ac:dyDescent="0.2"/>
    <row r="7894" customFormat="1" x14ac:dyDescent="0.2"/>
    <row r="7895" customFormat="1" x14ac:dyDescent="0.2"/>
    <row r="7896" customFormat="1" x14ac:dyDescent="0.2"/>
    <row r="7897" customFormat="1" x14ac:dyDescent="0.2"/>
    <row r="7898" customFormat="1" x14ac:dyDescent="0.2"/>
    <row r="7899" customFormat="1" x14ac:dyDescent="0.2"/>
    <row r="7900" customFormat="1" x14ac:dyDescent="0.2"/>
    <row r="7901" customFormat="1" x14ac:dyDescent="0.2"/>
    <row r="7902" customFormat="1" x14ac:dyDescent="0.2"/>
    <row r="7903" customFormat="1" x14ac:dyDescent="0.2"/>
    <row r="7904" customFormat="1" x14ac:dyDescent="0.2"/>
    <row r="7905" customFormat="1" x14ac:dyDescent="0.2"/>
    <row r="7906" customFormat="1" x14ac:dyDescent="0.2"/>
    <row r="7907" customFormat="1" x14ac:dyDescent="0.2"/>
    <row r="7908" customFormat="1" x14ac:dyDescent="0.2"/>
    <row r="7909" customFormat="1" x14ac:dyDescent="0.2"/>
    <row r="7910" customFormat="1" x14ac:dyDescent="0.2"/>
    <row r="7911" customFormat="1" x14ac:dyDescent="0.2"/>
    <row r="7912" customFormat="1" x14ac:dyDescent="0.2"/>
    <row r="7913" customFormat="1" x14ac:dyDescent="0.2"/>
    <row r="7914" customFormat="1" x14ac:dyDescent="0.2"/>
    <row r="7915" customFormat="1" x14ac:dyDescent="0.2"/>
    <row r="7916" customFormat="1" x14ac:dyDescent="0.2"/>
    <row r="7917" customFormat="1" x14ac:dyDescent="0.2"/>
    <row r="7918" customFormat="1" x14ac:dyDescent="0.2"/>
    <row r="7919" customFormat="1" x14ac:dyDescent="0.2"/>
    <row r="7920" customFormat="1" x14ac:dyDescent="0.2"/>
    <row r="7921" customFormat="1" x14ac:dyDescent="0.2"/>
    <row r="7922" customFormat="1" x14ac:dyDescent="0.2"/>
    <row r="7923" customFormat="1" x14ac:dyDescent="0.2"/>
    <row r="7924" customFormat="1" x14ac:dyDescent="0.2"/>
    <row r="7925" customFormat="1" x14ac:dyDescent="0.2"/>
    <row r="7926" customFormat="1" x14ac:dyDescent="0.2"/>
    <row r="7927" customFormat="1" x14ac:dyDescent="0.2"/>
    <row r="7928" customFormat="1" x14ac:dyDescent="0.2"/>
    <row r="7929" customFormat="1" x14ac:dyDescent="0.2"/>
    <row r="7930" customFormat="1" x14ac:dyDescent="0.2"/>
    <row r="7931" customFormat="1" x14ac:dyDescent="0.2"/>
    <row r="7932" customFormat="1" x14ac:dyDescent="0.2"/>
    <row r="7933" customFormat="1" x14ac:dyDescent="0.2"/>
    <row r="7934" customFormat="1" x14ac:dyDescent="0.2"/>
    <row r="7935" customFormat="1" x14ac:dyDescent="0.2"/>
    <row r="7936" customFormat="1" x14ac:dyDescent="0.2"/>
    <row r="7937" customFormat="1" x14ac:dyDescent="0.2"/>
    <row r="7938" customFormat="1" x14ac:dyDescent="0.2"/>
    <row r="7939" customFormat="1" x14ac:dyDescent="0.2"/>
    <row r="7940" customFormat="1" x14ac:dyDescent="0.2"/>
    <row r="7941" customFormat="1" x14ac:dyDescent="0.2"/>
    <row r="7942" customFormat="1" x14ac:dyDescent="0.2"/>
    <row r="7943" customFormat="1" x14ac:dyDescent="0.2"/>
    <row r="7944" customFormat="1" x14ac:dyDescent="0.2"/>
    <row r="7945" customFormat="1" x14ac:dyDescent="0.2"/>
    <row r="7946" customFormat="1" x14ac:dyDescent="0.2"/>
    <row r="7947" customFormat="1" x14ac:dyDescent="0.2"/>
    <row r="7948" customFormat="1" x14ac:dyDescent="0.2"/>
    <row r="7949" customFormat="1" x14ac:dyDescent="0.2"/>
    <row r="7950" customFormat="1" x14ac:dyDescent="0.2"/>
    <row r="7951" customFormat="1" x14ac:dyDescent="0.2"/>
    <row r="7952" customFormat="1" x14ac:dyDescent="0.2"/>
    <row r="7953" customFormat="1" x14ac:dyDescent="0.2"/>
    <row r="7954" customFormat="1" x14ac:dyDescent="0.2"/>
    <row r="7955" customFormat="1" x14ac:dyDescent="0.2"/>
    <row r="7956" customFormat="1" x14ac:dyDescent="0.2"/>
    <row r="7957" customFormat="1" x14ac:dyDescent="0.2"/>
    <row r="7958" customFormat="1" x14ac:dyDescent="0.2"/>
    <row r="7959" customFormat="1" x14ac:dyDescent="0.2"/>
    <row r="7960" customFormat="1" x14ac:dyDescent="0.2"/>
    <row r="7961" customFormat="1" x14ac:dyDescent="0.2"/>
    <row r="7962" customFormat="1" x14ac:dyDescent="0.2"/>
    <row r="7963" customFormat="1" x14ac:dyDescent="0.2"/>
    <row r="7964" customFormat="1" x14ac:dyDescent="0.2"/>
    <row r="7965" customFormat="1" x14ac:dyDescent="0.2"/>
    <row r="7966" customFormat="1" x14ac:dyDescent="0.2"/>
    <row r="7967" customFormat="1" x14ac:dyDescent="0.2"/>
    <row r="7968" customFormat="1" x14ac:dyDescent="0.2"/>
    <row r="7969" customFormat="1" x14ac:dyDescent="0.2"/>
    <row r="7970" customFormat="1" x14ac:dyDescent="0.2"/>
    <row r="7971" customFormat="1" x14ac:dyDescent="0.2"/>
    <row r="7972" customFormat="1" x14ac:dyDescent="0.2"/>
    <row r="7973" customFormat="1" x14ac:dyDescent="0.2"/>
    <row r="7974" customFormat="1" x14ac:dyDescent="0.2"/>
    <row r="7975" customFormat="1" x14ac:dyDescent="0.2"/>
    <row r="7976" customFormat="1" x14ac:dyDescent="0.2"/>
    <row r="7977" customFormat="1" x14ac:dyDescent="0.2"/>
    <row r="7978" customFormat="1" x14ac:dyDescent="0.2"/>
    <row r="7979" customFormat="1" x14ac:dyDescent="0.2"/>
    <row r="7980" customFormat="1" x14ac:dyDescent="0.2"/>
    <row r="7981" customFormat="1" x14ac:dyDescent="0.2"/>
    <row r="7982" customFormat="1" x14ac:dyDescent="0.2"/>
    <row r="7983" customFormat="1" x14ac:dyDescent="0.2"/>
    <row r="7984" customFormat="1" x14ac:dyDescent="0.2"/>
    <row r="7985" customFormat="1" x14ac:dyDescent="0.2"/>
    <row r="7986" customFormat="1" x14ac:dyDescent="0.2"/>
    <row r="7987" customFormat="1" x14ac:dyDescent="0.2"/>
    <row r="7988" customFormat="1" x14ac:dyDescent="0.2"/>
    <row r="7989" customFormat="1" x14ac:dyDescent="0.2"/>
    <row r="7990" customFormat="1" x14ac:dyDescent="0.2"/>
    <row r="7991" customFormat="1" x14ac:dyDescent="0.2"/>
    <row r="7992" customFormat="1" x14ac:dyDescent="0.2"/>
    <row r="7993" customFormat="1" x14ac:dyDescent="0.2"/>
    <row r="7994" customFormat="1" x14ac:dyDescent="0.2"/>
    <row r="7995" customFormat="1" x14ac:dyDescent="0.2"/>
    <row r="7996" customFormat="1" x14ac:dyDescent="0.2"/>
    <row r="7997" customFormat="1" x14ac:dyDescent="0.2"/>
    <row r="7998" customFormat="1" x14ac:dyDescent="0.2"/>
    <row r="7999" customFormat="1" x14ac:dyDescent="0.2"/>
    <row r="8000" customFormat="1" x14ac:dyDescent="0.2"/>
    <row r="8001" customFormat="1" x14ac:dyDescent="0.2"/>
    <row r="8002" customFormat="1" x14ac:dyDescent="0.2"/>
    <row r="8003" customFormat="1" x14ac:dyDescent="0.2"/>
    <row r="8004" customFormat="1" x14ac:dyDescent="0.2"/>
    <row r="8005" customFormat="1" x14ac:dyDescent="0.2"/>
    <row r="8006" customFormat="1" x14ac:dyDescent="0.2"/>
    <row r="8007" customFormat="1" x14ac:dyDescent="0.2"/>
    <row r="8008" customFormat="1" x14ac:dyDescent="0.2"/>
    <row r="8009" customFormat="1" x14ac:dyDescent="0.2"/>
    <row r="8010" customFormat="1" x14ac:dyDescent="0.2"/>
    <row r="8011" customFormat="1" x14ac:dyDescent="0.2"/>
    <row r="8012" customFormat="1" x14ac:dyDescent="0.2"/>
    <row r="8013" customFormat="1" x14ac:dyDescent="0.2"/>
    <row r="8014" customFormat="1" x14ac:dyDescent="0.2"/>
    <row r="8015" customFormat="1" x14ac:dyDescent="0.2"/>
    <row r="8016" customFormat="1" x14ac:dyDescent="0.2"/>
    <row r="8017" customFormat="1" x14ac:dyDescent="0.2"/>
    <row r="8018" customFormat="1" x14ac:dyDescent="0.2"/>
    <row r="8019" customFormat="1" x14ac:dyDescent="0.2"/>
    <row r="8020" customFormat="1" x14ac:dyDescent="0.2"/>
    <row r="8021" customFormat="1" x14ac:dyDescent="0.2"/>
    <row r="8022" customFormat="1" x14ac:dyDescent="0.2"/>
    <row r="8023" customFormat="1" x14ac:dyDescent="0.2"/>
    <row r="8024" customFormat="1" x14ac:dyDescent="0.2"/>
    <row r="8025" customFormat="1" x14ac:dyDescent="0.2"/>
    <row r="8026" customFormat="1" x14ac:dyDescent="0.2"/>
    <row r="8027" customFormat="1" x14ac:dyDescent="0.2"/>
    <row r="8028" customFormat="1" x14ac:dyDescent="0.2"/>
    <row r="8029" customFormat="1" x14ac:dyDescent="0.2"/>
    <row r="8030" customFormat="1" x14ac:dyDescent="0.2"/>
    <row r="8031" customFormat="1" x14ac:dyDescent="0.2"/>
    <row r="8032" customFormat="1" x14ac:dyDescent="0.2"/>
    <row r="8033" customFormat="1" x14ac:dyDescent="0.2"/>
    <row r="8034" customFormat="1" x14ac:dyDescent="0.2"/>
    <row r="8035" customFormat="1" x14ac:dyDescent="0.2"/>
    <row r="8036" customFormat="1" x14ac:dyDescent="0.2"/>
    <row r="8037" customFormat="1" x14ac:dyDescent="0.2"/>
    <row r="8038" customFormat="1" x14ac:dyDescent="0.2"/>
    <row r="8039" customFormat="1" x14ac:dyDescent="0.2"/>
    <row r="8040" customFormat="1" x14ac:dyDescent="0.2"/>
    <row r="8041" customFormat="1" x14ac:dyDescent="0.2"/>
    <row r="8042" customFormat="1" x14ac:dyDescent="0.2"/>
    <row r="8043" customFormat="1" x14ac:dyDescent="0.2"/>
    <row r="8044" customFormat="1" x14ac:dyDescent="0.2"/>
    <row r="8045" customFormat="1" x14ac:dyDescent="0.2"/>
    <row r="8046" customFormat="1" x14ac:dyDescent="0.2"/>
    <row r="8047" customFormat="1" x14ac:dyDescent="0.2"/>
    <row r="8048" customFormat="1" x14ac:dyDescent="0.2"/>
    <row r="8049" customFormat="1" x14ac:dyDescent="0.2"/>
    <row r="8050" customFormat="1" x14ac:dyDescent="0.2"/>
    <row r="8051" customFormat="1" x14ac:dyDescent="0.2"/>
    <row r="8052" customFormat="1" x14ac:dyDescent="0.2"/>
    <row r="8053" customFormat="1" x14ac:dyDescent="0.2"/>
    <row r="8054" customFormat="1" x14ac:dyDescent="0.2"/>
    <row r="8055" customFormat="1" x14ac:dyDescent="0.2"/>
    <row r="8056" customFormat="1" x14ac:dyDescent="0.2"/>
    <row r="8057" customFormat="1" x14ac:dyDescent="0.2"/>
    <row r="8058" customFormat="1" x14ac:dyDescent="0.2"/>
    <row r="8059" customFormat="1" x14ac:dyDescent="0.2"/>
    <row r="8060" customFormat="1" x14ac:dyDescent="0.2"/>
    <row r="8061" customFormat="1" x14ac:dyDescent="0.2"/>
    <row r="8062" customFormat="1" x14ac:dyDescent="0.2"/>
    <row r="8063" customFormat="1" x14ac:dyDescent="0.2"/>
    <row r="8064" customFormat="1" x14ac:dyDescent="0.2"/>
    <row r="8065" customFormat="1" x14ac:dyDescent="0.2"/>
    <row r="8066" customFormat="1" x14ac:dyDescent="0.2"/>
    <row r="8067" customFormat="1" x14ac:dyDescent="0.2"/>
    <row r="8068" customFormat="1" x14ac:dyDescent="0.2"/>
    <row r="8069" customFormat="1" x14ac:dyDescent="0.2"/>
    <row r="8070" customFormat="1" x14ac:dyDescent="0.2"/>
    <row r="8071" customFormat="1" x14ac:dyDescent="0.2"/>
    <row r="8072" customFormat="1" x14ac:dyDescent="0.2"/>
    <row r="8073" customFormat="1" x14ac:dyDescent="0.2"/>
    <row r="8074" customFormat="1" x14ac:dyDescent="0.2"/>
    <row r="8075" customFormat="1" x14ac:dyDescent="0.2"/>
    <row r="8076" customFormat="1" x14ac:dyDescent="0.2"/>
    <row r="8077" customFormat="1" x14ac:dyDescent="0.2"/>
    <row r="8078" customFormat="1" x14ac:dyDescent="0.2"/>
    <row r="8079" customFormat="1" x14ac:dyDescent="0.2"/>
    <row r="8080" customFormat="1" x14ac:dyDescent="0.2"/>
    <row r="8081" customFormat="1" x14ac:dyDescent="0.2"/>
    <row r="8082" customFormat="1" x14ac:dyDescent="0.2"/>
    <row r="8083" customFormat="1" x14ac:dyDescent="0.2"/>
    <row r="8084" customFormat="1" x14ac:dyDescent="0.2"/>
    <row r="8085" customFormat="1" x14ac:dyDescent="0.2"/>
    <row r="8086" customFormat="1" x14ac:dyDescent="0.2"/>
    <row r="8087" customFormat="1" x14ac:dyDescent="0.2"/>
    <row r="8088" customFormat="1" x14ac:dyDescent="0.2"/>
    <row r="8089" customFormat="1" x14ac:dyDescent="0.2"/>
    <row r="8090" customFormat="1" x14ac:dyDescent="0.2"/>
    <row r="8091" customFormat="1" x14ac:dyDescent="0.2"/>
    <row r="8092" customFormat="1" x14ac:dyDescent="0.2"/>
    <row r="8093" customFormat="1" x14ac:dyDescent="0.2"/>
    <row r="8094" customFormat="1" x14ac:dyDescent="0.2"/>
    <row r="8095" customFormat="1" x14ac:dyDescent="0.2"/>
    <row r="8096" customFormat="1" x14ac:dyDescent="0.2"/>
    <row r="8097" customFormat="1" x14ac:dyDescent="0.2"/>
    <row r="8098" customFormat="1" x14ac:dyDescent="0.2"/>
    <row r="8099" customFormat="1" x14ac:dyDescent="0.2"/>
    <row r="8100" customFormat="1" x14ac:dyDescent="0.2"/>
    <row r="8101" customFormat="1" x14ac:dyDescent="0.2"/>
    <row r="8102" customFormat="1" x14ac:dyDescent="0.2"/>
    <row r="8103" customFormat="1" x14ac:dyDescent="0.2"/>
    <row r="8104" customFormat="1" x14ac:dyDescent="0.2"/>
    <row r="8105" customFormat="1" x14ac:dyDescent="0.2"/>
    <row r="8106" customFormat="1" x14ac:dyDescent="0.2"/>
    <row r="8107" customFormat="1" x14ac:dyDescent="0.2"/>
    <row r="8108" customFormat="1" x14ac:dyDescent="0.2"/>
    <row r="8109" customFormat="1" x14ac:dyDescent="0.2"/>
    <row r="8110" customFormat="1" x14ac:dyDescent="0.2"/>
    <row r="8111" customFormat="1" x14ac:dyDescent="0.2"/>
    <row r="8112" customFormat="1" x14ac:dyDescent="0.2"/>
    <row r="8113" customFormat="1" x14ac:dyDescent="0.2"/>
    <row r="8114" customFormat="1" x14ac:dyDescent="0.2"/>
    <row r="8115" customFormat="1" x14ac:dyDescent="0.2"/>
    <row r="8116" customFormat="1" x14ac:dyDescent="0.2"/>
    <row r="8117" customFormat="1" x14ac:dyDescent="0.2"/>
    <row r="8118" customFormat="1" x14ac:dyDescent="0.2"/>
    <row r="8119" customFormat="1" x14ac:dyDescent="0.2"/>
    <row r="8120" customFormat="1" x14ac:dyDescent="0.2"/>
    <row r="8121" customFormat="1" x14ac:dyDescent="0.2"/>
    <row r="8122" customFormat="1" x14ac:dyDescent="0.2"/>
    <row r="8123" customFormat="1" x14ac:dyDescent="0.2"/>
    <row r="8124" customFormat="1" x14ac:dyDescent="0.2"/>
    <row r="8125" customFormat="1" x14ac:dyDescent="0.2"/>
    <row r="8126" customFormat="1" x14ac:dyDescent="0.2"/>
    <row r="8127" customFormat="1" x14ac:dyDescent="0.2"/>
    <row r="8128" customFormat="1" x14ac:dyDescent="0.2"/>
    <row r="8129" customFormat="1" x14ac:dyDescent="0.2"/>
    <row r="8130" customFormat="1" x14ac:dyDescent="0.2"/>
    <row r="8131" customFormat="1" x14ac:dyDescent="0.2"/>
    <row r="8132" customFormat="1" x14ac:dyDescent="0.2"/>
    <row r="8133" customFormat="1" x14ac:dyDescent="0.2"/>
    <row r="8134" customFormat="1" x14ac:dyDescent="0.2"/>
    <row r="8135" customFormat="1" x14ac:dyDescent="0.2"/>
    <row r="8136" customFormat="1" x14ac:dyDescent="0.2"/>
    <row r="8137" customFormat="1" x14ac:dyDescent="0.2"/>
    <row r="8138" customFormat="1" x14ac:dyDescent="0.2"/>
    <row r="8139" customFormat="1" x14ac:dyDescent="0.2"/>
    <row r="8140" customFormat="1" x14ac:dyDescent="0.2"/>
    <row r="8141" customFormat="1" x14ac:dyDescent="0.2"/>
    <row r="8142" customFormat="1" x14ac:dyDescent="0.2"/>
    <row r="8143" customFormat="1" x14ac:dyDescent="0.2"/>
    <row r="8144" customFormat="1" x14ac:dyDescent="0.2"/>
    <row r="8145" customFormat="1" x14ac:dyDescent="0.2"/>
    <row r="8146" customFormat="1" x14ac:dyDescent="0.2"/>
    <row r="8147" customFormat="1" x14ac:dyDescent="0.2"/>
    <row r="8148" customFormat="1" x14ac:dyDescent="0.2"/>
    <row r="8149" customFormat="1" x14ac:dyDescent="0.2"/>
    <row r="8150" customFormat="1" x14ac:dyDescent="0.2"/>
    <row r="8151" customFormat="1" x14ac:dyDescent="0.2"/>
    <row r="8152" customFormat="1" x14ac:dyDescent="0.2"/>
    <row r="8153" customFormat="1" x14ac:dyDescent="0.2"/>
    <row r="8154" customFormat="1" x14ac:dyDescent="0.2"/>
    <row r="8155" customFormat="1" x14ac:dyDescent="0.2"/>
    <row r="8156" customFormat="1" x14ac:dyDescent="0.2"/>
    <row r="8157" customFormat="1" x14ac:dyDescent="0.2"/>
    <row r="8158" customFormat="1" x14ac:dyDescent="0.2"/>
    <row r="8159" customFormat="1" x14ac:dyDescent="0.2"/>
    <row r="8160" customFormat="1" x14ac:dyDescent="0.2"/>
    <row r="8161" customFormat="1" x14ac:dyDescent="0.2"/>
    <row r="8162" customFormat="1" x14ac:dyDescent="0.2"/>
    <row r="8163" customFormat="1" x14ac:dyDescent="0.2"/>
    <row r="8164" customFormat="1" x14ac:dyDescent="0.2"/>
    <row r="8165" customFormat="1" x14ac:dyDescent="0.2"/>
    <row r="8166" customFormat="1" x14ac:dyDescent="0.2"/>
    <row r="8167" customFormat="1" x14ac:dyDescent="0.2"/>
    <row r="8168" customFormat="1" x14ac:dyDescent="0.2"/>
    <row r="8169" customFormat="1" x14ac:dyDescent="0.2"/>
    <row r="8170" customFormat="1" x14ac:dyDescent="0.2"/>
    <row r="8171" customFormat="1" x14ac:dyDescent="0.2"/>
    <row r="8172" customFormat="1" x14ac:dyDescent="0.2"/>
    <row r="8173" customFormat="1" x14ac:dyDescent="0.2"/>
    <row r="8174" customFormat="1" x14ac:dyDescent="0.2"/>
    <row r="8175" customFormat="1" x14ac:dyDescent="0.2"/>
    <row r="8176" customFormat="1" x14ac:dyDescent="0.2"/>
    <row r="8177" customFormat="1" x14ac:dyDescent="0.2"/>
    <row r="8178" customFormat="1" x14ac:dyDescent="0.2"/>
    <row r="8179" customFormat="1" x14ac:dyDescent="0.2"/>
    <row r="8180" customFormat="1" x14ac:dyDescent="0.2"/>
    <row r="8181" customFormat="1" x14ac:dyDescent="0.2"/>
    <row r="8182" customFormat="1" x14ac:dyDescent="0.2"/>
    <row r="8183" customFormat="1" x14ac:dyDescent="0.2"/>
    <row r="8184" customFormat="1" x14ac:dyDescent="0.2"/>
    <row r="8185" customFormat="1" x14ac:dyDescent="0.2"/>
    <row r="8186" customFormat="1" x14ac:dyDescent="0.2"/>
    <row r="8187" customFormat="1" x14ac:dyDescent="0.2"/>
    <row r="8188" customFormat="1" x14ac:dyDescent="0.2"/>
    <row r="8189" customFormat="1" x14ac:dyDescent="0.2"/>
    <row r="8190" customFormat="1" x14ac:dyDescent="0.2"/>
    <row r="8191" customFormat="1" x14ac:dyDescent="0.2"/>
    <row r="8192" customFormat="1" x14ac:dyDescent="0.2"/>
    <row r="8193" customFormat="1" x14ac:dyDescent="0.2"/>
    <row r="8194" customFormat="1" x14ac:dyDescent="0.2"/>
    <row r="8195" customFormat="1" x14ac:dyDescent="0.2"/>
    <row r="8196" customFormat="1" x14ac:dyDescent="0.2"/>
    <row r="8197" customFormat="1" x14ac:dyDescent="0.2"/>
    <row r="8198" customFormat="1" x14ac:dyDescent="0.2"/>
    <row r="8199" customFormat="1" x14ac:dyDescent="0.2"/>
    <row r="8200" customFormat="1" x14ac:dyDescent="0.2"/>
    <row r="8201" customFormat="1" x14ac:dyDescent="0.2"/>
    <row r="8202" customFormat="1" x14ac:dyDescent="0.2"/>
    <row r="8203" customFormat="1" x14ac:dyDescent="0.2"/>
    <row r="8204" customFormat="1" x14ac:dyDescent="0.2"/>
    <row r="8205" customFormat="1" x14ac:dyDescent="0.2"/>
    <row r="8206" customFormat="1" x14ac:dyDescent="0.2"/>
    <row r="8207" customFormat="1" x14ac:dyDescent="0.2"/>
    <row r="8208" customFormat="1" x14ac:dyDescent="0.2"/>
    <row r="8209" customFormat="1" x14ac:dyDescent="0.2"/>
    <row r="8210" customFormat="1" x14ac:dyDescent="0.2"/>
    <row r="8211" customFormat="1" x14ac:dyDescent="0.2"/>
    <row r="8212" customFormat="1" x14ac:dyDescent="0.2"/>
    <row r="8213" customFormat="1" x14ac:dyDescent="0.2"/>
    <row r="8214" customFormat="1" x14ac:dyDescent="0.2"/>
    <row r="8215" customFormat="1" x14ac:dyDescent="0.2"/>
    <row r="8216" customFormat="1" x14ac:dyDescent="0.2"/>
    <row r="8217" customFormat="1" x14ac:dyDescent="0.2"/>
    <row r="8218" customFormat="1" x14ac:dyDescent="0.2"/>
    <row r="8219" customFormat="1" x14ac:dyDescent="0.2"/>
    <row r="8220" customFormat="1" x14ac:dyDescent="0.2"/>
    <row r="8221" customFormat="1" x14ac:dyDescent="0.2"/>
    <row r="8222" customFormat="1" x14ac:dyDescent="0.2"/>
    <row r="8223" customFormat="1" x14ac:dyDescent="0.2"/>
    <row r="8224" customFormat="1" x14ac:dyDescent="0.2"/>
    <row r="8225" customFormat="1" x14ac:dyDescent="0.2"/>
    <row r="8226" customFormat="1" x14ac:dyDescent="0.2"/>
    <row r="8227" customFormat="1" x14ac:dyDescent="0.2"/>
    <row r="8228" customFormat="1" x14ac:dyDescent="0.2"/>
    <row r="8229" customFormat="1" x14ac:dyDescent="0.2"/>
    <row r="8230" customFormat="1" x14ac:dyDescent="0.2"/>
    <row r="8231" customFormat="1" x14ac:dyDescent="0.2"/>
    <row r="8232" customFormat="1" x14ac:dyDescent="0.2"/>
    <row r="8233" customFormat="1" x14ac:dyDescent="0.2"/>
    <row r="8234" customFormat="1" x14ac:dyDescent="0.2"/>
    <row r="8235" customFormat="1" x14ac:dyDescent="0.2"/>
    <row r="8236" customFormat="1" x14ac:dyDescent="0.2"/>
    <row r="8237" customFormat="1" x14ac:dyDescent="0.2"/>
    <row r="8238" customFormat="1" x14ac:dyDescent="0.2"/>
    <row r="8239" customFormat="1" x14ac:dyDescent="0.2"/>
    <row r="8240" customFormat="1" x14ac:dyDescent="0.2"/>
    <row r="8241" customFormat="1" x14ac:dyDescent="0.2"/>
    <row r="8242" customFormat="1" x14ac:dyDescent="0.2"/>
    <row r="8243" customFormat="1" x14ac:dyDescent="0.2"/>
    <row r="8244" customFormat="1" x14ac:dyDescent="0.2"/>
    <row r="8245" customFormat="1" x14ac:dyDescent="0.2"/>
    <row r="8246" customFormat="1" x14ac:dyDescent="0.2"/>
    <row r="8247" customFormat="1" x14ac:dyDescent="0.2"/>
    <row r="8248" customFormat="1" x14ac:dyDescent="0.2"/>
    <row r="8249" customFormat="1" x14ac:dyDescent="0.2"/>
    <row r="8250" customFormat="1" x14ac:dyDescent="0.2"/>
    <row r="8251" customFormat="1" x14ac:dyDescent="0.2"/>
    <row r="8252" customFormat="1" x14ac:dyDescent="0.2"/>
    <row r="8253" customFormat="1" x14ac:dyDescent="0.2"/>
    <row r="8254" customFormat="1" x14ac:dyDescent="0.2"/>
    <row r="8255" customFormat="1" x14ac:dyDescent="0.2"/>
    <row r="8256" customFormat="1" x14ac:dyDescent="0.2"/>
    <row r="8257" customFormat="1" x14ac:dyDescent="0.2"/>
    <row r="8258" customFormat="1" x14ac:dyDescent="0.2"/>
    <row r="8259" customFormat="1" x14ac:dyDescent="0.2"/>
    <row r="8260" customFormat="1" x14ac:dyDescent="0.2"/>
    <row r="8261" customFormat="1" x14ac:dyDescent="0.2"/>
    <row r="8262" customFormat="1" x14ac:dyDescent="0.2"/>
    <row r="8263" customFormat="1" x14ac:dyDescent="0.2"/>
    <row r="8264" customFormat="1" x14ac:dyDescent="0.2"/>
    <row r="8265" customFormat="1" x14ac:dyDescent="0.2"/>
    <row r="8266" customFormat="1" x14ac:dyDescent="0.2"/>
    <row r="8267" customFormat="1" x14ac:dyDescent="0.2"/>
    <row r="8268" customFormat="1" x14ac:dyDescent="0.2"/>
    <row r="8269" customFormat="1" x14ac:dyDescent="0.2"/>
    <row r="8270" customFormat="1" x14ac:dyDescent="0.2"/>
    <row r="8271" customFormat="1" x14ac:dyDescent="0.2"/>
    <row r="8272" customFormat="1" x14ac:dyDescent="0.2"/>
    <row r="8273" customFormat="1" x14ac:dyDescent="0.2"/>
    <row r="8274" customFormat="1" x14ac:dyDescent="0.2"/>
    <row r="8275" customFormat="1" x14ac:dyDescent="0.2"/>
    <row r="8276" customFormat="1" x14ac:dyDescent="0.2"/>
    <row r="8277" customFormat="1" x14ac:dyDescent="0.2"/>
    <row r="8278" customFormat="1" x14ac:dyDescent="0.2"/>
    <row r="8279" customFormat="1" x14ac:dyDescent="0.2"/>
    <row r="8280" customFormat="1" x14ac:dyDescent="0.2"/>
    <row r="8281" customFormat="1" x14ac:dyDescent="0.2"/>
    <row r="8282" customFormat="1" x14ac:dyDescent="0.2"/>
    <row r="8283" customFormat="1" x14ac:dyDescent="0.2"/>
    <row r="8284" customFormat="1" x14ac:dyDescent="0.2"/>
    <row r="8285" customFormat="1" x14ac:dyDescent="0.2"/>
    <row r="8286" customFormat="1" x14ac:dyDescent="0.2"/>
    <row r="8287" customFormat="1" x14ac:dyDescent="0.2"/>
    <row r="8288" customFormat="1" x14ac:dyDescent="0.2"/>
    <row r="8289" customFormat="1" x14ac:dyDescent="0.2"/>
    <row r="8290" customFormat="1" x14ac:dyDescent="0.2"/>
    <row r="8291" customFormat="1" x14ac:dyDescent="0.2"/>
    <row r="8292" customFormat="1" x14ac:dyDescent="0.2"/>
    <row r="8293" customFormat="1" x14ac:dyDescent="0.2"/>
    <row r="8294" customFormat="1" x14ac:dyDescent="0.2"/>
    <row r="8295" customFormat="1" x14ac:dyDescent="0.2"/>
    <row r="8296" customFormat="1" x14ac:dyDescent="0.2"/>
    <row r="8297" customFormat="1" x14ac:dyDescent="0.2"/>
    <row r="8298" customFormat="1" x14ac:dyDescent="0.2"/>
    <row r="8299" customFormat="1" x14ac:dyDescent="0.2"/>
    <row r="8300" customFormat="1" x14ac:dyDescent="0.2"/>
    <row r="8301" customFormat="1" x14ac:dyDescent="0.2"/>
    <row r="8302" customFormat="1" x14ac:dyDescent="0.2"/>
    <row r="8303" customFormat="1" x14ac:dyDescent="0.2"/>
    <row r="8304" customFormat="1" x14ac:dyDescent="0.2"/>
    <row r="8305" customFormat="1" x14ac:dyDescent="0.2"/>
    <row r="8306" customFormat="1" x14ac:dyDescent="0.2"/>
    <row r="8307" customFormat="1" x14ac:dyDescent="0.2"/>
    <row r="8308" customFormat="1" x14ac:dyDescent="0.2"/>
    <row r="8309" customFormat="1" x14ac:dyDescent="0.2"/>
    <row r="8310" customFormat="1" x14ac:dyDescent="0.2"/>
    <row r="8311" customFormat="1" x14ac:dyDescent="0.2"/>
    <row r="8312" customFormat="1" x14ac:dyDescent="0.2"/>
    <row r="8313" customFormat="1" x14ac:dyDescent="0.2"/>
    <row r="8314" customFormat="1" x14ac:dyDescent="0.2"/>
    <row r="8315" customFormat="1" x14ac:dyDescent="0.2"/>
    <row r="8316" customFormat="1" x14ac:dyDescent="0.2"/>
    <row r="8317" customFormat="1" x14ac:dyDescent="0.2"/>
    <row r="8318" customFormat="1" x14ac:dyDescent="0.2"/>
    <row r="8319" customFormat="1" x14ac:dyDescent="0.2"/>
    <row r="8320" customFormat="1" x14ac:dyDescent="0.2"/>
    <row r="8321" customFormat="1" x14ac:dyDescent="0.2"/>
    <row r="8322" customFormat="1" x14ac:dyDescent="0.2"/>
    <row r="8323" customFormat="1" x14ac:dyDescent="0.2"/>
    <row r="8324" customFormat="1" x14ac:dyDescent="0.2"/>
    <row r="8325" customFormat="1" x14ac:dyDescent="0.2"/>
    <row r="8326" customFormat="1" x14ac:dyDescent="0.2"/>
    <row r="8327" customFormat="1" x14ac:dyDescent="0.2"/>
    <row r="8328" customFormat="1" x14ac:dyDescent="0.2"/>
    <row r="8329" customFormat="1" x14ac:dyDescent="0.2"/>
    <row r="8330" customFormat="1" x14ac:dyDescent="0.2"/>
    <row r="8331" customFormat="1" x14ac:dyDescent="0.2"/>
    <row r="8332" customFormat="1" x14ac:dyDescent="0.2"/>
    <row r="8333" customFormat="1" x14ac:dyDescent="0.2"/>
    <row r="8334" customFormat="1" x14ac:dyDescent="0.2"/>
    <row r="8335" customFormat="1" x14ac:dyDescent="0.2"/>
    <row r="8336" customFormat="1" x14ac:dyDescent="0.2"/>
    <row r="8337" customFormat="1" x14ac:dyDescent="0.2"/>
    <row r="8338" customFormat="1" x14ac:dyDescent="0.2"/>
    <row r="8339" customFormat="1" x14ac:dyDescent="0.2"/>
    <row r="8340" customFormat="1" x14ac:dyDescent="0.2"/>
    <row r="8341" customFormat="1" x14ac:dyDescent="0.2"/>
    <row r="8342" customFormat="1" x14ac:dyDescent="0.2"/>
    <row r="8343" customFormat="1" x14ac:dyDescent="0.2"/>
    <row r="8344" customFormat="1" x14ac:dyDescent="0.2"/>
    <row r="8345" customFormat="1" x14ac:dyDescent="0.2"/>
    <row r="8346" customFormat="1" x14ac:dyDescent="0.2"/>
    <row r="8347" customFormat="1" x14ac:dyDescent="0.2"/>
    <row r="8348" customFormat="1" x14ac:dyDescent="0.2"/>
    <row r="8349" customFormat="1" x14ac:dyDescent="0.2"/>
    <row r="8350" customFormat="1" x14ac:dyDescent="0.2"/>
    <row r="8351" customFormat="1" x14ac:dyDescent="0.2"/>
    <row r="8352" customFormat="1" x14ac:dyDescent="0.2"/>
    <row r="8353" customFormat="1" x14ac:dyDescent="0.2"/>
    <row r="8354" customFormat="1" x14ac:dyDescent="0.2"/>
    <row r="8355" customFormat="1" x14ac:dyDescent="0.2"/>
    <row r="8356" customFormat="1" x14ac:dyDescent="0.2"/>
    <row r="8357" customFormat="1" x14ac:dyDescent="0.2"/>
    <row r="8358" customFormat="1" x14ac:dyDescent="0.2"/>
    <row r="8359" customFormat="1" x14ac:dyDescent="0.2"/>
    <row r="8360" customFormat="1" x14ac:dyDescent="0.2"/>
    <row r="8361" customFormat="1" x14ac:dyDescent="0.2"/>
    <row r="8362" customFormat="1" x14ac:dyDescent="0.2"/>
    <row r="8363" customFormat="1" x14ac:dyDescent="0.2"/>
    <row r="8364" customFormat="1" x14ac:dyDescent="0.2"/>
    <row r="8365" customFormat="1" x14ac:dyDescent="0.2"/>
    <row r="8366" customFormat="1" x14ac:dyDescent="0.2"/>
    <row r="8367" customFormat="1" x14ac:dyDescent="0.2"/>
    <row r="8368" customFormat="1" x14ac:dyDescent="0.2"/>
    <row r="8369" customFormat="1" x14ac:dyDescent="0.2"/>
    <row r="8370" customFormat="1" x14ac:dyDescent="0.2"/>
    <row r="8371" customFormat="1" x14ac:dyDescent="0.2"/>
    <row r="8372" customFormat="1" x14ac:dyDescent="0.2"/>
    <row r="8373" customFormat="1" x14ac:dyDescent="0.2"/>
    <row r="8374" customFormat="1" x14ac:dyDescent="0.2"/>
    <row r="8375" customFormat="1" x14ac:dyDescent="0.2"/>
    <row r="8376" customFormat="1" x14ac:dyDescent="0.2"/>
    <row r="8377" customFormat="1" x14ac:dyDescent="0.2"/>
    <row r="8378" customFormat="1" x14ac:dyDescent="0.2"/>
    <row r="8379" customFormat="1" x14ac:dyDescent="0.2"/>
    <row r="8380" customFormat="1" x14ac:dyDescent="0.2"/>
    <row r="8381" customFormat="1" x14ac:dyDescent="0.2"/>
    <row r="8382" customFormat="1" x14ac:dyDescent="0.2"/>
    <row r="8383" customFormat="1" x14ac:dyDescent="0.2"/>
    <row r="8384" customFormat="1" x14ac:dyDescent="0.2"/>
    <row r="8385" customFormat="1" x14ac:dyDescent="0.2"/>
    <row r="8386" customFormat="1" x14ac:dyDescent="0.2"/>
    <row r="8387" customFormat="1" x14ac:dyDescent="0.2"/>
    <row r="8388" customFormat="1" x14ac:dyDescent="0.2"/>
    <row r="8389" customFormat="1" x14ac:dyDescent="0.2"/>
    <row r="8390" customFormat="1" x14ac:dyDescent="0.2"/>
    <row r="8391" customFormat="1" x14ac:dyDescent="0.2"/>
    <row r="8392" customFormat="1" x14ac:dyDescent="0.2"/>
    <row r="8393" customFormat="1" x14ac:dyDescent="0.2"/>
    <row r="8394" customFormat="1" x14ac:dyDescent="0.2"/>
    <row r="8395" customFormat="1" x14ac:dyDescent="0.2"/>
    <row r="8396" customFormat="1" x14ac:dyDescent="0.2"/>
    <row r="8397" customFormat="1" x14ac:dyDescent="0.2"/>
    <row r="8398" customFormat="1" x14ac:dyDescent="0.2"/>
    <row r="8399" customFormat="1" x14ac:dyDescent="0.2"/>
    <row r="8400" customFormat="1" x14ac:dyDescent="0.2"/>
    <row r="8401" customFormat="1" x14ac:dyDescent="0.2"/>
    <row r="8402" customFormat="1" x14ac:dyDescent="0.2"/>
    <row r="8403" customFormat="1" x14ac:dyDescent="0.2"/>
    <row r="8404" customFormat="1" x14ac:dyDescent="0.2"/>
    <row r="8405" customFormat="1" x14ac:dyDescent="0.2"/>
    <row r="8406" customFormat="1" x14ac:dyDescent="0.2"/>
    <row r="8407" customFormat="1" x14ac:dyDescent="0.2"/>
    <row r="8408" customFormat="1" x14ac:dyDescent="0.2"/>
    <row r="8409" customFormat="1" x14ac:dyDescent="0.2"/>
    <row r="8410" customFormat="1" x14ac:dyDescent="0.2"/>
    <row r="8411" customFormat="1" x14ac:dyDescent="0.2"/>
    <row r="8412" customFormat="1" x14ac:dyDescent="0.2"/>
    <row r="8413" customFormat="1" x14ac:dyDescent="0.2"/>
    <row r="8414" customFormat="1" x14ac:dyDescent="0.2"/>
    <row r="8415" customFormat="1" x14ac:dyDescent="0.2"/>
    <row r="8416" customFormat="1" x14ac:dyDescent="0.2"/>
    <row r="8417" customFormat="1" x14ac:dyDescent="0.2"/>
    <row r="8418" customFormat="1" x14ac:dyDescent="0.2"/>
    <row r="8419" customFormat="1" x14ac:dyDescent="0.2"/>
    <row r="8420" customFormat="1" x14ac:dyDescent="0.2"/>
    <row r="8421" customFormat="1" x14ac:dyDescent="0.2"/>
    <row r="8422" customFormat="1" x14ac:dyDescent="0.2"/>
    <row r="8423" customFormat="1" x14ac:dyDescent="0.2"/>
    <row r="8424" customFormat="1" x14ac:dyDescent="0.2"/>
    <row r="8425" customFormat="1" x14ac:dyDescent="0.2"/>
    <row r="8426" customFormat="1" x14ac:dyDescent="0.2"/>
    <row r="8427" customFormat="1" x14ac:dyDescent="0.2"/>
    <row r="8428" customFormat="1" x14ac:dyDescent="0.2"/>
    <row r="8429" customFormat="1" x14ac:dyDescent="0.2"/>
    <row r="8430" customFormat="1" x14ac:dyDescent="0.2"/>
    <row r="8431" customFormat="1" x14ac:dyDescent="0.2"/>
    <row r="8432" customFormat="1" x14ac:dyDescent="0.2"/>
    <row r="8433" customFormat="1" x14ac:dyDescent="0.2"/>
    <row r="8434" customFormat="1" x14ac:dyDescent="0.2"/>
    <row r="8435" customFormat="1" x14ac:dyDescent="0.2"/>
    <row r="8436" customFormat="1" x14ac:dyDescent="0.2"/>
    <row r="8437" customFormat="1" x14ac:dyDescent="0.2"/>
    <row r="8438" customFormat="1" x14ac:dyDescent="0.2"/>
    <row r="8439" customFormat="1" x14ac:dyDescent="0.2"/>
    <row r="8440" customFormat="1" x14ac:dyDescent="0.2"/>
    <row r="8441" customFormat="1" x14ac:dyDescent="0.2"/>
    <row r="8442" customFormat="1" x14ac:dyDescent="0.2"/>
    <row r="8443" customFormat="1" x14ac:dyDescent="0.2"/>
    <row r="8444" customFormat="1" x14ac:dyDescent="0.2"/>
    <row r="8445" customFormat="1" x14ac:dyDescent="0.2"/>
    <row r="8446" customFormat="1" x14ac:dyDescent="0.2"/>
    <row r="8447" customFormat="1" x14ac:dyDescent="0.2"/>
    <row r="8448" customFormat="1" x14ac:dyDescent="0.2"/>
    <row r="8449" customFormat="1" x14ac:dyDescent="0.2"/>
    <row r="8450" customFormat="1" x14ac:dyDescent="0.2"/>
    <row r="8451" customFormat="1" x14ac:dyDescent="0.2"/>
    <row r="8452" customFormat="1" x14ac:dyDescent="0.2"/>
    <row r="8453" customFormat="1" x14ac:dyDescent="0.2"/>
    <row r="8454" customFormat="1" x14ac:dyDescent="0.2"/>
    <row r="8455" customFormat="1" x14ac:dyDescent="0.2"/>
    <row r="8456" customFormat="1" x14ac:dyDescent="0.2"/>
    <row r="8457" customFormat="1" x14ac:dyDescent="0.2"/>
    <row r="8458" customFormat="1" x14ac:dyDescent="0.2"/>
    <row r="8459" customFormat="1" x14ac:dyDescent="0.2"/>
    <row r="8460" customFormat="1" x14ac:dyDescent="0.2"/>
    <row r="8461" customFormat="1" x14ac:dyDescent="0.2"/>
    <row r="8462" customFormat="1" x14ac:dyDescent="0.2"/>
    <row r="8463" customFormat="1" x14ac:dyDescent="0.2"/>
    <row r="8464" customFormat="1" x14ac:dyDescent="0.2"/>
    <row r="8465" customFormat="1" x14ac:dyDescent="0.2"/>
    <row r="8466" customFormat="1" x14ac:dyDescent="0.2"/>
    <row r="8467" customFormat="1" x14ac:dyDescent="0.2"/>
    <row r="8468" customFormat="1" x14ac:dyDescent="0.2"/>
    <row r="8469" customFormat="1" x14ac:dyDescent="0.2"/>
    <row r="8470" customFormat="1" x14ac:dyDescent="0.2"/>
    <row r="8471" customFormat="1" x14ac:dyDescent="0.2"/>
    <row r="8472" customFormat="1" x14ac:dyDescent="0.2"/>
    <row r="8473" customFormat="1" x14ac:dyDescent="0.2"/>
    <row r="8474" customFormat="1" x14ac:dyDescent="0.2"/>
    <row r="8475" customFormat="1" x14ac:dyDescent="0.2"/>
    <row r="8476" customFormat="1" x14ac:dyDescent="0.2"/>
    <row r="8477" customFormat="1" x14ac:dyDescent="0.2"/>
    <row r="8478" customFormat="1" x14ac:dyDescent="0.2"/>
    <row r="8479" customFormat="1" x14ac:dyDescent="0.2"/>
    <row r="8480" customFormat="1" x14ac:dyDescent="0.2"/>
    <row r="8481" customFormat="1" x14ac:dyDescent="0.2"/>
    <row r="8482" customFormat="1" x14ac:dyDescent="0.2"/>
    <row r="8483" customFormat="1" x14ac:dyDescent="0.2"/>
    <row r="8484" customFormat="1" x14ac:dyDescent="0.2"/>
    <row r="8485" customFormat="1" x14ac:dyDescent="0.2"/>
    <row r="8486" customFormat="1" x14ac:dyDescent="0.2"/>
    <row r="8487" customFormat="1" x14ac:dyDescent="0.2"/>
    <row r="8488" customFormat="1" x14ac:dyDescent="0.2"/>
    <row r="8489" customFormat="1" x14ac:dyDescent="0.2"/>
    <row r="8490" customFormat="1" x14ac:dyDescent="0.2"/>
    <row r="8491" customFormat="1" x14ac:dyDescent="0.2"/>
    <row r="8492" customFormat="1" x14ac:dyDescent="0.2"/>
    <row r="8493" customFormat="1" x14ac:dyDescent="0.2"/>
    <row r="8494" customFormat="1" x14ac:dyDescent="0.2"/>
    <row r="8495" customFormat="1" x14ac:dyDescent="0.2"/>
    <row r="8496" customFormat="1" x14ac:dyDescent="0.2"/>
    <row r="8497" customFormat="1" x14ac:dyDescent="0.2"/>
    <row r="8498" customFormat="1" x14ac:dyDescent="0.2"/>
    <row r="8499" customFormat="1" x14ac:dyDescent="0.2"/>
    <row r="8500" customFormat="1" x14ac:dyDescent="0.2"/>
    <row r="8501" customFormat="1" x14ac:dyDescent="0.2"/>
    <row r="8502" customFormat="1" x14ac:dyDescent="0.2"/>
    <row r="8503" customFormat="1" x14ac:dyDescent="0.2"/>
    <row r="8504" customFormat="1" x14ac:dyDescent="0.2"/>
    <row r="8505" customFormat="1" x14ac:dyDescent="0.2"/>
    <row r="8506" customFormat="1" x14ac:dyDescent="0.2"/>
    <row r="8507" customFormat="1" x14ac:dyDescent="0.2"/>
    <row r="8508" customFormat="1" x14ac:dyDescent="0.2"/>
    <row r="8509" customFormat="1" x14ac:dyDescent="0.2"/>
    <row r="8510" customFormat="1" x14ac:dyDescent="0.2"/>
    <row r="8511" customFormat="1" x14ac:dyDescent="0.2"/>
    <row r="8512" customFormat="1" x14ac:dyDescent="0.2"/>
    <row r="8513" customFormat="1" x14ac:dyDescent="0.2"/>
    <row r="8514" customFormat="1" x14ac:dyDescent="0.2"/>
    <row r="8515" customFormat="1" x14ac:dyDescent="0.2"/>
    <row r="8516" customFormat="1" x14ac:dyDescent="0.2"/>
    <row r="8517" customFormat="1" x14ac:dyDescent="0.2"/>
    <row r="8518" customFormat="1" x14ac:dyDescent="0.2"/>
    <row r="8519" customFormat="1" x14ac:dyDescent="0.2"/>
    <row r="8520" customFormat="1" x14ac:dyDescent="0.2"/>
    <row r="8521" customFormat="1" x14ac:dyDescent="0.2"/>
    <row r="8522" customFormat="1" x14ac:dyDescent="0.2"/>
    <row r="8523" customFormat="1" x14ac:dyDescent="0.2"/>
    <row r="8524" customFormat="1" x14ac:dyDescent="0.2"/>
    <row r="8525" customFormat="1" x14ac:dyDescent="0.2"/>
    <row r="8526" customFormat="1" x14ac:dyDescent="0.2"/>
    <row r="8527" customFormat="1" x14ac:dyDescent="0.2"/>
    <row r="8528" customFormat="1" x14ac:dyDescent="0.2"/>
    <row r="8529" customFormat="1" x14ac:dyDescent="0.2"/>
    <row r="8530" customFormat="1" x14ac:dyDescent="0.2"/>
    <row r="8531" customFormat="1" x14ac:dyDescent="0.2"/>
    <row r="8532" customFormat="1" x14ac:dyDescent="0.2"/>
    <row r="8533" customFormat="1" x14ac:dyDescent="0.2"/>
    <row r="8534" customFormat="1" x14ac:dyDescent="0.2"/>
    <row r="8535" customFormat="1" x14ac:dyDescent="0.2"/>
    <row r="8536" customFormat="1" x14ac:dyDescent="0.2"/>
    <row r="8537" customFormat="1" x14ac:dyDescent="0.2"/>
    <row r="8538" customFormat="1" x14ac:dyDescent="0.2"/>
    <row r="8539" customFormat="1" x14ac:dyDescent="0.2"/>
    <row r="8540" customFormat="1" x14ac:dyDescent="0.2"/>
    <row r="8541" customFormat="1" x14ac:dyDescent="0.2"/>
    <row r="8542" customFormat="1" x14ac:dyDescent="0.2"/>
    <row r="8543" customFormat="1" x14ac:dyDescent="0.2"/>
    <row r="8544" customFormat="1" x14ac:dyDescent="0.2"/>
    <row r="8545" customFormat="1" x14ac:dyDescent="0.2"/>
    <row r="8546" customFormat="1" x14ac:dyDescent="0.2"/>
    <row r="8547" customFormat="1" x14ac:dyDescent="0.2"/>
    <row r="8548" customFormat="1" x14ac:dyDescent="0.2"/>
    <row r="8549" customFormat="1" x14ac:dyDescent="0.2"/>
    <row r="8550" customFormat="1" x14ac:dyDescent="0.2"/>
    <row r="8551" customFormat="1" x14ac:dyDescent="0.2"/>
    <row r="8552" customFormat="1" x14ac:dyDescent="0.2"/>
    <row r="8553" customFormat="1" x14ac:dyDescent="0.2"/>
    <row r="8554" customFormat="1" x14ac:dyDescent="0.2"/>
    <row r="8555" customFormat="1" x14ac:dyDescent="0.2"/>
    <row r="8556" customFormat="1" x14ac:dyDescent="0.2"/>
    <row r="8557" customFormat="1" x14ac:dyDescent="0.2"/>
    <row r="8558" customFormat="1" x14ac:dyDescent="0.2"/>
    <row r="8559" customFormat="1" x14ac:dyDescent="0.2"/>
    <row r="8560" customFormat="1" x14ac:dyDescent="0.2"/>
    <row r="8561" customFormat="1" x14ac:dyDescent="0.2"/>
    <row r="8562" customFormat="1" x14ac:dyDescent="0.2"/>
    <row r="8563" customFormat="1" x14ac:dyDescent="0.2"/>
    <row r="8564" customFormat="1" x14ac:dyDescent="0.2"/>
    <row r="8565" customFormat="1" x14ac:dyDescent="0.2"/>
    <row r="8566" customFormat="1" x14ac:dyDescent="0.2"/>
    <row r="8567" customFormat="1" x14ac:dyDescent="0.2"/>
    <row r="8568" customFormat="1" x14ac:dyDescent="0.2"/>
    <row r="8569" customFormat="1" x14ac:dyDescent="0.2"/>
    <row r="8570" customFormat="1" x14ac:dyDescent="0.2"/>
    <row r="8571" customFormat="1" x14ac:dyDescent="0.2"/>
    <row r="8572" customFormat="1" x14ac:dyDescent="0.2"/>
    <row r="8573" customFormat="1" x14ac:dyDescent="0.2"/>
    <row r="8574" customFormat="1" x14ac:dyDescent="0.2"/>
    <row r="8575" customFormat="1" x14ac:dyDescent="0.2"/>
    <row r="8576" customFormat="1" x14ac:dyDescent="0.2"/>
    <row r="8577" customFormat="1" x14ac:dyDescent="0.2"/>
    <row r="8578" customFormat="1" x14ac:dyDescent="0.2"/>
    <row r="8579" customFormat="1" x14ac:dyDescent="0.2"/>
    <row r="8580" customFormat="1" x14ac:dyDescent="0.2"/>
    <row r="8581" customFormat="1" x14ac:dyDescent="0.2"/>
    <row r="8582" customFormat="1" x14ac:dyDescent="0.2"/>
    <row r="8583" customFormat="1" x14ac:dyDescent="0.2"/>
    <row r="8584" customFormat="1" x14ac:dyDescent="0.2"/>
    <row r="8585" customFormat="1" x14ac:dyDescent="0.2"/>
    <row r="8586" customFormat="1" x14ac:dyDescent="0.2"/>
    <row r="8587" customFormat="1" x14ac:dyDescent="0.2"/>
    <row r="8588" customFormat="1" x14ac:dyDescent="0.2"/>
    <row r="8589" customFormat="1" x14ac:dyDescent="0.2"/>
    <row r="8590" customFormat="1" x14ac:dyDescent="0.2"/>
    <row r="8591" customFormat="1" x14ac:dyDescent="0.2"/>
    <row r="8592" customFormat="1" x14ac:dyDescent="0.2"/>
    <row r="8593" customFormat="1" x14ac:dyDescent="0.2"/>
    <row r="8594" customFormat="1" x14ac:dyDescent="0.2"/>
    <row r="8595" customFormat="1" x14ac:dyDescent="0.2"/>
    <row r="8596" customFormat="1" x14ac:dyDescent="0.2"/>
    <row r="8597" customFormat="1" x14ac:dyDescent="0.2"/>
    <row r="8598" customFormat="1" x14ac:dyDescent="0.2"/>
    <row r="8599" customFormat="1" x14ac:dyDescent="0.2"/>
    <row r="8600" customFormat="1" x14ac:dyDescent="0.2"/>
    <row r="8601" customFormat="1" x14ac:dyDescent="0.2"/>
    <row r="8602" customFormat="1" x14ac:dyDescent="0.2"/>
    <row r="8603" customFormat="1" x14ac:dyDescent="0.2"/>
    <row r="8604" customFormat="1" x14ac:dyDescent="0.2"/>
    <row r="8605" customFormat="1" x14ac:dyDescent="0.2"/>
    <row r="8606" customFormat="1" x14ac:dyDescent="0.2"/>
    <row r="8607" customFormat="1" x14ac:dyDescent="0.2"/>
    <row r="8608" customFormat="1" x14ac:dyDescent="0.2"/>
    <row r="8609" customFormat="1" x14ac:dyDescent="0.2"/>
    <row r="8610" customFormat="1" x14ac:dyDescent="0.2"/>
    <row r="8611" customFormat="1" x14ac:dyDescent="0.2"/>
    <row r="8612" customFormat="1" x14ac:dyDescent="0.2"/>
    <row r="8613" customFormat="1" x14ac:dyDescent="0.2"/>
    <row r="8614" customFormat="1" x14ac:dyDescent="0.2"/>
    <row r="8615" customFormat="1" x14ac:dyDescent="0.2"/>
    <row r="8616" customFormat="1" x14ac:dyDescent="0.2"/>
    <row r="8617" customFormat="1" x14ac:dyDescent="0.2"/>
    <row r="8618" customFormat="1" x14ac:dyDescent="0.2"/>
    <row r="8619" customFormat="1" x14ac:dyDescent="0.2"/>
    <row r="8620" customFormat="1" x14ac:dyDescent="0.2"/>
    <row r="8621" customFormat="1" x14ac:dyDescent="0.2"/>
    <row r="8622" customFormat="1" x14ac:dyDescent="0.2"/>
    <row r="8623" customFormat="1" x14ac:dyDescent="0.2"/>
    <row r="8624" customFormat="1" x14ac:dyDescent="0.2"/>
    <row r="8625" customFormat="1" x14ac:dyDescent="0.2"/>
    <row r="8626" customFormat="1" x14ac:dyDescent="0.2"/>
    <row r="8627" customFormat="1" x14ac:dyDescent="0.2"/>
    <row r="8628" customFormat="1" x14ac:dyDescent="0.2"/>
    <row r="8629" customFormat="1" x14ac:dyDescent="0.2"/>
    <row r="8630" customFormat="1" x14ac:dyDescent="0.2"/>
    <row r="8631" customFormat="1" x14ac:dyDescent="0.2"/>
    <row r="8632" customFormat="1" x14ac:dyDescent="0.2"/>
    <row r="8633" customFormat="1" x14ac:dyDescent="0.2"/>
    <row r="8634" customFormat="1" x14ac:dyDescent="0.2"/>
    <row r="8635" customFormat="1" x14ac:dyDescent="0.2"/>
    <row r="8636" customFormat="1" x14ac:dyDescent="0.2"/>
    <row r="8637" customFormat="1" x14ac:dyDescent="0.2"/>
    <row r="8638" customFormat="1" x14ac:dyDescent="0.2"/>
    <row r="8639" customFormat="1" x14ac:dyDescent="0.2"/>
    <row r="8640" customFormat="1" x14ac:dyDescent="0.2"/>
    <row r="8641" customFormat="1" x14ac:dyDescent="0.2"/>
    <row r="8642" customFormat="1" x14ac:dyDescent="0.2"/>
    <row r="8643" customFormat="1" x14ac:dyDescent="0.2"/>
    <row r="8644" customFormat="1" x14ac:dyDescent="0.2"/>
    <row r="8645" customFormat="1" x14ac:dyDescent="0.2"/>
    <row r="8646" customFormat="1" x14ac:dyDescent="0.2"/>
    <row r="8647" customFormat="1" x14ac:dyDescent="0.2"/>
    <row r="8648" customFormat="1" x14ac:dyDescent="0.2"/>
    <row r="8649" customFormat="1" x14ac:dyDescent="0.2"/>
    <row r="8650" customFormat="1" x14ac:dyDescent="0.2"/>
    <row r="8651" customFormat="1" x14ac:dyDescent="0.2"/>
    <row r="8652" customFormat="1" x14ac:dyDescent="0.2"/>
    <row r="8653" customFormat="1" x14ac:dyDescent="0.2"/>
    <row r="8654" customFormat="1" x14ac:dyDescent="0.2"/>
    <row r="8655" customFormat="1" x14ac:dyDescent="0.2"/>
    <row r="8656" customFormat="1" x14ac:dyDescent="0.2"/>
    <row r="8657" customFormat="1" x14ac:dyDescent="0.2"/>
    <row r="8658" customFormat="1" x14ac:dyDescent="0.2"/>
    <row r="8659" customFormat="1" x14ac:dyDescent="0.2"/>
    <row r="8660" customFormat="1" x14ac:dyDescent="0.2"/>
    <row r="8661" customFormat="1" x14ac:dyDescent="0.2"/>
    <row r="8662" customFormat="1" x14ac:dyDescent="0.2"/>
    <row r="8663" customFormat="1" x14ac:dyDescent="0.2"/>
    <row r="8664" customFormat="1" x14ac:dyDescent="0.2"/>
    <row r="8665" customFormat="1" x14ac:dyDescent="0.2"/>
    <row r="8666" customFormat="1" x14ac:dyDescent="0.2"/>
    <row r="8667" customFormat="1" x14ac:dyDescent="0.2"/>
    <row r="8668" customFormat="1" x14ac:dyDescent="0.2"/>
    <row r="8669" customFormat="1" x14ac:dyDescent="0.2"/>
    <row r="8670" customFormat="1" x14ac:dyDescent="0.2"/>
    <row r="8671" customFormat="1" x14ac:dyDescent="0.2"/>
    <row r="8672" customFormat="1" x14ac:dyDescent="0.2"/>
    <row r="8673" customFormat="1" x14ac:dyDescent="0.2"/>
    <row r="8674" customFormat="1" x14ac:dyDescent="0.2"/>
    <row r="8675" customFormat="1" x14ac:dyDescent="0.2"/>
    <row r="8676" customFormat="1" x14ac:dyDescent="0.2"/>
    <row r="8677" customFormat="1" x14ac:dyDescent="0.2"/>
    <row r="8678" customFormat="1" x14ac:dyDescent="0.2"/>
    <row r="8679" customFormat="1" x14ac:dyDescent="0.2"/>
    <row r="8680" customFormat="1" x14ac:dyDescent="0.2"/>
    <row r="8681" customFormat="1" x14ac:dyDescent="0.2"/>
    <row r="8682" customFormat="1" x14ac:dyDescent="0.2"/>
    <row r="8683" customFormat="1" x14ac:dyDescent="0.2"/>
    <row r="8684" customFormat="1" x14ac:dyDescent="0.2"/>
    <row r="8685" customFormat="1" x14ac:dyDescent="0.2"/>
    <row r="8686" customFormat="1" x14ac:dyDescent="0.2"/>
    <row r="8687" customFormat="1" x14ac:dyDescent="0.2"/>
    <row r="8688" customFormat="1" x14ac:dyDescent="0.2"/>
    <row r="8689" customFormat="1" x14ac:dyDescent="0.2"/>
    <row r="8690" customFormat="1" x14ac:dyDescent="0.2"/>
    <row r="8691" customFormat="1" x14ac:dyDescent="0.2"/>
    <row r="8692" customFormat="1" x14ac:dyDescent="0.2"/>
    <row r="8693" customFormat="1" x14ac:dyDescent="0.2"/>
    <row r="8694" customFormat="1" x14ac:dyDescent="0.2"/>
    <row r="8695" customFormat="1" x14ac:dyDescent="0.2"/>
    <row r="8696" customFormat="1" x14ac:dyDescent="0.2"/>
    <row r="8697" customFormat="1" x14ac:dyDescent="0.2"/>
    <row r="8698" customFormat="1" x14ac:dyDescent="0.2"/>
    <row r="8699" customFormat="1" x14ac:dyDescent="0.2"/>
    <row r="8700" customFormat="1" x14ac:dyDescent="0.2"/>
    <row r="8701" customFormat="1" x14ac:dyDescent="0.2"/>
    <row r="8702" customFormat="1" x14ac:dyDescent="0.2"/>
    <row r="8703" customFormat="1" x14ac:dyDescent="0.2"/>
    <row r="8704" customFormat="1" x14ac:dyDescent="0.2"/>
    <row r="8705" customFormat="1" x14ac:dyDescent="0.2"/>
    <row r="8706" customFormat="1" x14ac:dyDescent="0.2"/>
    <row r="8707" customFormat="1" x14ac:dyDescent="0.2"/>
    <row r="8708" customFormat="1" x14ac:dyDescent="0.2"/>
    <row r="8709" customFormat="1" x14ac:dyDescent="0.2"/>
    <row r="8710" customFormat="1" x14ac:dyDescent="0.2"/>
    <row r="8711" customFormat="1" x14ac:dyDescent="0.2"/>
    <row r="8712" customFormat="1" x14ac:dyDescent="0.2"/>
    <row r="8713" customFormat="1" x14ac:dyDescent="0.2"/>
    <row r="8714" customFormat="1" x14ac:dyDescent="0.2"/>
    <row r="8715" customFormat="1" x14ac:dyDescent="0.2"/>
    <row r="8716" customFormat="1" x14ac:dyDescent="0.2"/>
    <row r="8717" customFormat="1" x14ac:dyDescent="0.2"/>
    <row r="8718" customFormat="1" x14ac:dyDescent="0.2"/>
    <row r="8719" customFormat="1" x14ac:dyDescent="0.2"/>
    <row r="8720" customFormat="1" x14ac:dyDescent="0.2"/>
    <row r="8721" customFormat="1" x14ac:dyDescent="0.2"/>
    <row r="8722" customFormat="1" x14ac:dyDescent="0.2"/>
    <row r="8723" customFormat="1" x14ac:dyDescent="0.2"/>
    <row r="8724" customFormat="1" x14ac:dyDescent="0.2"/>
    <row r="8725" customFormat="1" x14ac:dyDescent="0.2"/>
    <row r="8726" customFormat="1" x14ac:dyDescent="0.2"/>
    <row r="8727" customFormat="1" x14ac:dyDescent="0.2"/>
    <row r="8728" customFormat="1" x14ac:dyDescent="0.2"/>
    <row r="8729" customFormat="1" x14ac:dyDescent="0.2"/>
    <row r="8730" customFormat="1" x14ac:dyDescent="0.2"/>
    <row r="8731" customFormat="1" x14ac:dyDescent="0.2"/>
    <row r="8732" customFormat="1" x14ac:dyDescent="0.2"/>
    <row r="8733" customFormat="1" x14ac:dyDescent="0.2"/>
    <row r="8734" customFormat="1" x14ac:dyDescent="0.2"/>
    <row r="8735" customFormat="1" x14ac:dyDescent="0.2"/>
    <row r="8736" customFormat="1" x14ac:dyDescent="0.2"/>
    <row r="8737" customFormat="1" x14ac:dyDescent="0.2"/>
    <row r="8738" customFormat="1" x14ac:dyDescent="0.2"/>
    <row r="8739" customFormat="1" x14ac:dyDescent="0.2"/>
    <row r="8740" customFormat="1" x14ac:dyDescent="0.2"/>
    <row r="8741" customFormat="1" x14ac:dyDescent="0.2"/>
    <row r="8742" customFormat="1" x14ac:dyDescent="0.2"/>
    <row r="8743" customFormat="1" x14ac:dyDescent="0.2"/>
    <row r="8744" customFormat="1" x14ac:dyDescent="0.2"/>
    <row r="8745" customFormat="1" x14ac:dyDescent="0.2"/>
    <row r="8746" customFormat="1" x14ac:dyDescent="0.2"/>
    <row r="8747" customFormat="1" x14ac:dyDescent="0.2"/>
    <row r="8748" customFormat="1" x14ac:dyDescent="0.2"/>
    <row r="8749" customFormat="1" x14ac:dyDescent="0.2"/>
    <row r="8750" customFormat="1" x14ac:dyDescent="0.2"/>
    <row r="8751" customFormat="1" x14ac:dyDescent="0.2"/>
    <row r="8752" customFormat="1" x14ac:dyDescent="0.2"/>
    <row r="8753" customFormat="1" x14ac:dyDescent="0.2"/>
    <row r="8754" customFormat="1" x14ac:dyDescent="0.2"/>
    <row r="8755" customFormat="1" x14ac:dyDescent="0.2"/>
    <row r="8756" customFormat="1" x14ac:dyDescent="0.2"/>
    <row r="8757" customFormat="1" x14ac:dyDescent="0.2"/>
    <row r="8758" customFormat="1" x14ac:dyDescent="0.2"/>
    <row r="8759" customFormat="1" x14ac:dyDescent="0.2"/>
    <row r="8760" customFormat="1" x14ac:dyDescent="0.2"/>
    <row r="8761" customFormat="1" x14ac:dyDescent="0.2"/>
    <row r="8762" customFormat="1" x14ac:dyDescent="0.2"/>
    <row r="8763" customFormat="1" x14ac:dyDescent="0.2"/>
    <row r="8764" customFormat="1" x14ac:dyDescent="0.2"/>
    <row r="8765" customFormat="1" x14ac:dyDescent="0.2"/>
    <row r="8766" customFormat="1" x14ac:dyDescent="0.2"/>
    <row r="8767" customFormat="1" x14ac:dyDescent="0.2"/>
    <row r="8768" customFormat="1" x14ac:dyDescent="0.2"/>
    <row r="8769" customFormat="1" x14ac:dyDescent="0.2"/>
    <row r="8770" customFormat="1" x14ac:dyDescent="0.2"/>
    <row r="8771" customFormat="1" x14ac:dyDescent="0.2"/>
    <row r="8772" customFormat="1" x14ac:dyDescent="0.2"/>
    <row r="8773" customFormat="1" x14ac:dyDescent="0.2"/>
    <row r="8774" customFormat="1" x14ac:dyDescent="0.2"/>
    <row r="8775" customFormat="1" x14ac:dyDescent="0.2"/>
    <row r="8776" customFormat="1" x14ac:dyDescent="0.2"/>
    <row r="8777" customFormat="1" x14ac:dyDescent="0.2"/>
    <row r="8778" customFormat="1" x14ac:dyDescent="0.2"/>
    <row r="8779" customFormat="1" x14ac:dyDescent="0.2"/>
    <row r="8780" customFormat="1" x14ac:dyDescent="0.2"/>
    <row r="8781" customFormat="1" x14ac:dyDescent="0.2"/>
    <row r="8782" customFormat="1" x14ac:dyDescent="0.2"/>
    <row r="8783" customFormat="1" x14ac:dyDescent="0.2"/>
    <row r="8784" customFormat="1" x14ac:dyDescent="0.2"/>
    <row r="8785" customFormat="1" x14ac:dyDescent="0.2"/>
    <row r="8786" customFormat="1" x14ac:dyDescent="0.2"/>
    <row r="8787" customFormat="1" x14ac:dyDescent="0.2"/>
    <row r="8788" customFormat="1" x14ac:dyDescent="0.2"/>
    <row r="8789" customFormat="1" x14ac:dyDescent="0.2"/>
    <row r="8790" customFormat="1" x14ac:dyDescent="0.2"/>
    <row r="8791" customFormat="1" x14ac:dyDescent="0.2"/>
    <row r="8792" customFormat="1" x14ac:dyDescent="0.2"/>
    <row r="8793" customFormat="1" x14ac:dyDescent="0.2"/>
    <row r="8794" customFormat="1" x14ac:dyDescent="0.2"/>
    <row r="8795" customFormat="1" x14ac:dyDescent="0.2"/>
    <row r="8796" customFormat="1" x14ac:dyDescent="0.2"/>
    <row r="8797" customFormat="1" x14ac:dyDescent="0.2"/>
    <row r="8798" customFormat="1" x14ac:dyDescent="0.2"/>
    <row r="8799" customFormat="1" x14ac:dyDescent="0.2"/>
    <row r="8800" customFormat="1" x14ac:dyDescent="0.2"/>
    <row r="8801" customFormat="1" x14ac:dyDescent="0.2"/>
    <row r="8802" customFormat="1" x14ac:dyDescent="0.2"/>
    <row r="8803" customFormat="1" x14ac:dyDescent="0.2"/>
    <row r="8804" customFormat="1" x14ac:dyDescent="0.2"/>
    <row r="8805" customFormat="1" x14ac:dyDescent="0.2"/>
    <row r="8806" customFormat="1" x14ac:dyDescent="0.2"/>
    <row r="8807" customFormat="1" x14ac:dyDescent="0.2"/>
    <row r="8808" customFormat="1" x14ac:dyDescent="0.2"/>
    <row r="8809" customFormat="1" x14ac:dyDescent="0.2"/>
    <row r="8810" customFormat="1" x14ac:dyDescent="0.2"/>
    <row r="8811" customFormat="1" x14ac:dyDescent="0.2"/>
    <row r="8812" customFormat="1" x14ac:dyDescent="0.2"/>
    <row r="8813" customFormat="1" x14ac:dyDescent="0.2"/>
    <row r="8814" customFormat="1" x14ac:dyDescent="0.2"/>
    <row r="8815" customFormat="1" x14ac:dyDescent="0.2"/>
    <row r="8816" customFormat="1" x14ac:dyDescent="0.2"/>
    <row r="8817" customFormat="1" x14ac:dyDescent="0.2"/>
    <row r="8818" customFormat="1" x14ac:dyDescent="0.2"/>
    <row r="8819" customFormat="1" x14ac:dyDescent="0.2"/>
    <row r="8820" customFormat="1" x14ac:dyDescent="0.2"/>
    <row r="8821" customFormat="1" x14ac:dyDescent="0.2"/>
    <row r="8822" customFormat="1" x14ac:dyDescent="0.2"/>
    <row r="8823" customFormat="1" x14ac:dyDescent="0.2"/>
    <row r="8824" customFormat="1" x14ac:dyDescent="0.2"/>
    <row r="8825" customFormat="1" x14ac:dyDescent="0.2"/>
    <row r="8826" customFormat="1" x14ac:dyDescent="0.2"/>
    <row r="8827" customFormat="1" x14ac:dyDescent="0.2"/>
    <row r="8828" customFormat="1" x14ac:dyDescent="0.2"/>
    <row r="8829" customFormat="1" x14ac:dyDescent="0.2"/>
    <row r="8830" customFormat="1" x14ac:dyDescent="0.2"/>
    <row r="8831" customFormat="1" x14ac:dyDescent="0.2"/>
    <row r="8832" customFormat="1" x14ac:dyDescent="0.2"/>
    <row r="8833" customFormat="1" x14ac:dyDescent="0.2"/>
    <row r="8834" customFormat="1" x14ac:dyDescent="0.2"/>
    <row r="8835" customFormat="1" x14ac:dyDescent="0.2"/>
    <row r="8836" customFormat="1" x14ac:dyDescent="0.2"/>
    <row r="8837" customFormat="1" x14ac:dyDescent="0.2"/>
    <row r="8838" customFormat="1" x14ac:dyDescent="0.2"/>
    <row r="8839" customFormat="1" x14ac:dyDescent="0.2"/>
    <row r="8840" customFormat="1" x14ac:dyDescent="0.2"/>
    <row r="8841" customFormat="1" x14ac:dyDescent="0.2"/>
    <row r="8842" customFormat="1" x14ac:dyDescent="0.2"/>
    <row r="8843" customFormat="1" x14ac:dyDescent="0.2"/>
    <row r="8844" customFormat="1" x14ac:dyDescent="0.2"/>
    <row r="8845" customFormat="1" x14ac:dyDescent="0.2"/>
    <row r="8846" customFormat="1" x14ac:dyDescent="0.2"/>
    <row r="8847" customFormat="1" x14ac:dyDescent="0.2"/>
    <row r="8848" customFormat="1" x14ac:dyDescent="0.2"/>
    <row r="8849" customFormat="1" x14ac:dyDescent="0.2"/>
    <row r="8850" customFormat="1" x14ac:dyDescent="0.2"/>
    <row r="8851" customFormat="1" x14ac:dyDescent="0.2"/>
    <row r="8852" customFormat="1" x14ac:dyDescent="0.2"/>
    <row r="8853" customFormat="1" x14ac:dyDescent="0.2"/>
    <row r="8854" customFormat="1" x14ac:dyDescent="0.2"/>
    <row r="8855" customFormat="1" x14ac:dyDescent="0.2"/>
    <row r="8856" customFormat="1" x14ac:dyDescent="0.2"/>
    <row r="8857" customFormat="1" x14ac:dyDescent="0.2"/>
    <row r="8858" customFormat="1" x14ac:dyDescent="0.2"/>
    <row r="8859" customFormat="1" x14ac:dyDescent="0.2"/>
    <row r="8860" customFormat="1" x14ac:dyDescent="0.2"/>
    <row r="8861" customFormat="1" x14ac:dyDescent="0.2"/>
    <row r="8862" customFormat="1" x14ac:dyDescent="0.2"/>
    <row r="8863" customFormat="1" x14ac:dyDescent="0.2"/>
    <row r="8864" customFormat="1" x14ac:dyDescent="0.2"/>
    <row r="8865" customFormat="1" x14ac:dyDescent="0.2"/>
    <row r="8866" customFormat="1" x14ac:dyDescent="0.2"/>
    <row r="8867" customFormat="1" x14ac:dyDescent="0.2"/>
    <row r="8868" customFormat="1" x14ac:dyDescent="0.2"/>
    <row r="8869" customFormat="1" x14ac:dyDescent="0.2"/>
    <row r="8870" customFormat="1" x14ac:dyDescent="0.2"/>
    <row r="8871" customFormat="1" x14ac:dyDescent="0.2"/>
    <row r="8872" customFormat="1" x14ac:dyDescent="0.2"/>
    <row r="8873" customFormat="1" x14ac:dyDescent="0.2"/>
    <row r="8874" customFormat="1" x14ac:dyDescent="0.2"/>
    <row r="8875" customFormat="1" x14ac:dyDescent="0.2"/>
    <row r="8876" customFormat="1" x14ac:dyDescent="0.2"/>
    <row r="8877" customFormat="1" x14ac:dyDescent="0.2"/>
    <row r="8878" customFormat="1" x14ac:dyDescent="0.2"/>
    <row r="8879" customFormat="1" x14ac:dyDescent="0.2"/>
    <row r="8880" customFormat="1" x14ac:dyDescent="0.2"/>
    <row r="8881" customFormat="1" x14ac:dyDescent="0.2"/>
    <row r="8882" customFormat="1" x14ac:dyDescent="0.2"/>
    <row r="8883" customFormat="1" x14ac:dyDescent="0.2"/>
    <row r="8884" customFormat="1" x14ac:dyDescent="0.2"/>
    <row r="8885" customFormat="1" x14ac:dyDescent="0.2"/>
    <row r="8886" customFormat="1" x14ac:dyDescent="0.2"/>
    <row r="8887" customFormat="1" x14ac:dyDescent="0.2"/>
    <row r="8888" customFormat="1" x14ac:dyDescent="0.2"/>
    <row r="8889" customFormat="1" x14ac:dyDescent="0.2"/>
    <row r="8890" customFormat="1" x14ac:dyDescent="0.2"/>
    <row r="8891" customFormat="1" x14ac:dyDescent="0.2"/>
    <row r="8892" customFormat="1" x14ac:dyDescent="0.2"/>
    <row r="8893" customFormat="1" x14ac:dyDescent="0.2"/>
    <row r="8894" customFormat="1" x14ac:dyDescent="0.2"/>
    <row r="8895" customFormat="1" x14ac:dyDescent="0.2"/>
    <row r="8896" customFormat="1" x14ac:dyDescent="0.2"/>
    <row r="8897" customFormat="1" x14ac:dyDescent="0.2"/>
    <row r="8898" customFormat="1" x14ac:dyDescent="0.2"/>
    <row r="8899" customFormat="1" x14ac:dyDescent="0.2"/>
    <row r="8900" customFormat="1" x14ac:dyDescent="0.2"/>
    <row r="8901" customFormat="1" x14ac:dyDescent="0.2"/>
    <row r="8902" customFormat="1" x14ac:dyDescent="0.2"/>
    <row r="8903" customFormat="1" x14ac:dyDescent="0.2"/>
    <row r="8904" customFormat="1" x14ac:dyDescent="0.2"/>
    <row r="8905" customFormat="1" x14ac:dyDescent="0.2"/>
    <row r="8906" customFormat="1" x14ac:dyDescent="0.2"/>
    <row r="8907" customFormat="1" x14ac:dyDescent="0.2"/>
    <row r="8908" customFormat="1" x14ac:dyDescent="0.2"/>
    <row r="8909" customFormat="1" x14ac:dyDescent="0.2"/>
    <row r="8910" customFormat="1" x14ac:dyDescent="0.2"/>
    <row r="8911" customFormat="1" x14ac:dyDescent="0.2"/>
    <row r="8912" customFormat="1" x14ac:dyDescent="0.2"/>
    <row r="8913" customFormat="1" x14ac:dyDescent="0.2"/>
    <row r="8914" customFormat="1" x14ac:dyDescent="0.2"/>
    <row r="8915" customFormat="1" x14ac:dyDescent="0.2"/>
    <row r="8916" customFormat="1" x14ac:dyDescent="0.2"/>
    <row r="8917" customFormat="1" x14ac:dyDescent="0.2"/>
    <row r="8918" customFormat="1" x14ac:dyDescent="0.2"/>
    <row r="8919" customFormat="1" x14ac:dyDescent="0.2"/>
    <row r="8920" customFormat="1" x14ac:dyDescent="0.2"/>
    <row r="8921" customFormat="1" x14ac:dyDescent="0.2"/>
    <row r="8922" customFormat="1" x14ac:dyDescent="0.2"/>
    <row r="8923" customFormat="1" x14ac:dyDescent="0.2"/>
    <row r="8924" customFormat="1" x14ac:dyDescent="0.2"/>
    <row r="8925" customFormat="1" x14ac:dyDescent="0.2"/>
    <row r="8926" customFormat="1" x14ac:dyDescent="0.2"/>
    <row r="8927" customFormat="1" x14ac:dyDescent="0.2"/>
    <row r="8928" customFormat="1" x14ac:dyDescent="0.2"/>
    <row r="8929" customFormat="1" x14ac:dyDescent="0.2"/>
    <row r="8930" customFormat="1" x14ac:dyDescent="0.2"/>
    <row r="8931" customFormat="1" x14ac:dyDescent="0.2"/>
    <row r="8932" customFormat="1" x14ac:dyDescent="0.2"/>
    <row r="8933" customFormat="1" x14ac:dyDescent="0.2"/>
    <row r="8934" customFormat="1" x14ac:dyDescent="0.2"/>
    <row r="8935" customFormat="1" x14ac:dyDescent="0.2"/>
    <row r="8936" customFormat="1" x14ac:dyDescent="0.2"/>
    <row r="8937" customFormat="1" x14ac:dyDescent="0.2"/>
    <row r="8938" customFormat="1" x14ac:dyDescent="0.2"/>
    <row r="8939" customFormat="1" x14ac:dyDescent="0.2"/>
    <row r="8940" customFormat="1" x14ac:dyDescent="0.2"/>
    <row r="8941" customFormat="1" x14ac:dyDescent="0.2"/>
    <row r="8942" customFormat="1" x14ac:dyDescent="0.2"/>
    <row r="8943" customFormat="1" x14ac:dyDescent="0.2"/>
    <row r="8944" customFormat="1" x14ac:dyDescent="0.2"/>
    <row r="8945" customFormat="1" x14ac:dyDescent="0.2"/>
    <row r="8946" customFormat="1" x14ac:dyDescent="0.2"/>
    <row r="8947" customFormat="1" x14ac:dyDescent="0.2"/>
    <row r="8948" customFormat="1" x14ac:dyDescent="0.2"/>
    <row r="8949" customFormat="1" x14ac:dyDescent="0.2"/>
    <row r="8950" customFormat="1" x14ac:dyDescent="0.2"/>
    <row r="8951" customFormat="1" x14ac:dyDescent="0.2"/>
    <row r="8952" customFormat="1" x14ac:dyDescent="0.2"/>
    <row r="8953" customFormat="1" x14ac:dyDescent="0.2"/>
    <row r="8954" customFormat="1" x14ac:dyDescent="0.2"/>
    <row r="8955" customFormat="1" x14ac:dyDescent="0.2"/>
    <row r="8956" customFormat="1" x14ac:dyDescent="0.2"/>
    <row r="8957" customFormat="1" x14ac:dyDescent="0.2"/>
    <row r="8958" customFormat="1" x14ac:dyDescent="0.2"/>
    <row r="8959" customFormat="1" x14ac:dyDescent="0.2"/>
    <row r="8960" customFormat="1" x14ac:dyDescent="0.2"/>
    <row r="8961" customFormat="1" x14ac:dyDescent="0.2"/>
    <row r="8962" customFormat="1" x14ac:dyDescent="0.2"/>
    <row r="8963" customFormat="1" x14ac:dyDescent="0.2"/>
    <row r="8964" customFormat="1" x14ac:dyDescent="0.2"/>
    <row r="8965" customFormat="1" x14ac:dyDescent="0.2"/>
    <row r="8966" customFormat="1" x14ac:dyDescent="0.2"/>
    <row r="8967" customFormat="1" x14ac:dyDescent="0.2"/>
    <row r="8968" customFormat="1" x14ac:dyDescent="0.2"/>
    <row r="8969" customFormat="1" x14ac:dyDescent="0.2"/>
    <row r="8970" customFormat="1" x14ac:dyDescent="0.2"/>
    <row r="8971" customFormat="1" x14ac:dyDescent="0.2"/>
    <row r="8972" customFormat="1" x14ac:dyDescent="0.2"/>
    <row r="8973" customFormat="1" x14ac:dyDescent="0.2"/>
    <row r="8974" customFormat="1" x14ac:dyDescent="0.2"/>
    <row r="8975" customFormat="1" x14ac:dyDescent="0.2"/>
    <row r="8976" customFormat="1" x14ac:dyDescent="0.2"/>
    <row r="8977" customFormat="1" x14ac:dyDescent="0.2"/>
    <row r="8978" customFormat="1" x14ac:dyDescent="0.2"/>
    <row r="8979" customFormat="1" x14ac:dyDescent="0.2"/>
    <row r="8980" customFormat="1" x14ac:dyDescent="0.2"/>
    <row r="8981" customFormat="1" x14ac:dyDescent="0.2"/>
    <row r="8982" customFormat="1" x14ac:dyDescent="0.2"/>
    <row r="8983" customFormat="1" x14ac:dyDescent="0.2"/>
    <row r="8984" customFormat="1" x14ac:dyDescent="0.2"/>
    <row r="8985" customFormat="1" x14ac:dyDescent="0.2"/>
    <row r="8986" customFormat="1" x14ac:dyDescent="0.2"/>
    <row r="8987" customFormat="1" x14ac:dyDescent="0.2"/>
    <row r="8988" customFormat="1" x14ac:dyDescent="0.2"/>
    <row r="8989" customFormat="1" x14ac:dyDescent="0.2"/>
    <row r="8990" customFormat="1" x14ac:dyDescent="0.2"/>
    <row r="8991" customFormat="1" x14ac:dyDescent="0.2"/>
    <row r="8992" customFormat="1" x14ac:dyDescent="0.2"/>
    <row r="8993" customFormat="1" x14ac:dyDescent="0.2"/>
    <row r="8994" customFormat="1" x14ac:dyDescent="0.2"/>
    <row r="8995" customFormat="1" x14ac:dyDescent="0.2"/>
    <row r="8996" customFormat="1" x14ac:dyDescent="0.2"/>
    <row r="8997" customFormat="1" x14ac:dyDescent="0.2"/>
    <row r="8998" customFormat="1" x14ac:dyDescent="0.2"/>
    <row r="8999" customFormat="1" x14ac:dyDescent="0.2"/>
    <row r="9000" customFormat="1" x14ac:dyDescent="0.2"/>
    <row r="9001" customFormat="1" x14ac:dyDescent="0.2"/>
    <row r="9002" customFormat="1" x14ac:dyDescent="0.2"/>
    <row r="9003" customFormat="1" x14ac:dyDescent="0.2"/>
    <row r="9004" customFormat="1" x14ac:dyDescent="0.2"/>
    <row r="9005" customFormat="1" x14ac:dyDescent="0.2"/>
    <row r="9006" customFormat="1" x14ac:dyDescent="0.2"/>
    <row r="9007" customFormat="1" x14ac:dyDescent="0.2"/>
    <row r="9008" customFormat="1" x14ac:dyDescent="0.2"/>
    <row r="9009" customFormat="1" x14ac:dyDescent="0.2"/>
    <row r="9010" customFormat="1" x14ac:dyDescent="0.2"/>
    <row r="9011" customFormat="1" x14ac:dyDescent="0.2"/>
    <row r="9012" customFormat="1" x14ac:dyDescent="0.2"/>
    <row r="9013" customFormat="1" x14ac:dyDescent="0.2"/>
    <row r="9014" customFormat="1" x14ac:dyDescent="0.2"/>
    <row r="9015" customFormat="1" x14ac:dyDescent="0.2"/>
    <row r="9016" customFormat="1" x14ac:dyDescent="0.2"/>
    <row r="9017" customFormat="1" x14ac:dyDescent="0.2"/>
    <row r="9018" customFormat="1" x14ac:dyDescent="0.2"/>
    <row r="9019" customFormat="1" x14ac:dyDescent="0.2"/>
    <row r="9020" customFormat="1" x14ac:dyDescent="0.2"/>
    <row r="9021" customFormat="1" x14ac:dyDescent="0.2"/>
    <row r="9022" customFormat="1" x14ac:dyDescent="0.2"/>
    <row r="9023" customFormat="1" x14ac:dyDescent="0.2"/>
    <row r="9024" customFormat="1" x14ac:dyDescent="0.2"/>
    <row r="9025" customFormat="1" x14ac:dyDescent="0.2"/>
    <row r="9026" customFormat="1" x14ac:dyDescent="0.2"/>
    <row r="9027" customFormat="1" x14ac:dyDescent="0.2"/>
    <row r="9028" customFormat="1" x14ac:dyDescent="0.2"/>
    <row r="9029" customFormat="1" x14ac:dyDescent="0.2"/>
    <row r="9030" customFormat="1" x14ac:dyDescent="0.2"/>
    <row r="9031" customFormat="1" x14ac:dyDescent="0.2"/>
    <row r="9032" customFormat="1" x14ac:dyDescent="0.2"/>
    <row r="9033" customFormat="1" x14ac:dyDescent="0.2"/>
    <row r="9034" customFormat="1" x14ac:dyDescent="0.2"/>
    <row r="9035" customFormat="1" x14ac:dyDescent="0.2"/>
    <row r="9036" customFormat="1" x14ac:dyDescent="0.2"/>
    <row r="9037" customFormat="1" x14ac:dyDescent="0.2"/>
    <row r="9038" customFormat="1" x14ac:dyDescent="0.2"/>
    <row r="9039" customFormat="1" x14ac:dyDescent="0.2"/>
    <row r="9040" customFormat="1" x14ac:dyDescent="0.2"/>
    <row r="9041" customFormat="1" x14ac:dyDescent="0.2"/>
    <row r="9042" customFormat="1" x14ac:dyDescent="0.2"/>
    <row r="9043" customFormat="1" x14ac:dyDescent="0.2"/>
    <row r="9044" customFormat="1" x14ac:dyDescent="0.2"/>
    <row r="9045" customFormat="1" x14ac:dyDescent="0.2"/>
    <row r="9046" customFormat="1" x14ac:dyDescent="0.2"/>
    <row r="9047" customFormat="1" x14ac:dyDescent="0.2"/>
    <row r="9048" customFormat="1" x14ac:dyDescent="0.2"/>
    <row r="9049" customFormat="1" x14ac:dyDescent="0.2"/>
    <row r="9050" customFormat="1" x14ac:dyDescent="0.2"/>
    <row r="9051" customFormat="1" x14ac:dyDescent="0.2"/>
    <row r="9052" customFormat="1" x14ac:dyDescent="0.2"/>
    <row r="9053" customFormat="1" x14ac:dyDescent="0.2"/>
    <row r="9054" customFormat="1" x14ac:dyDescent="0.2"/>
    <row r="9055" customFormat="1" x14ac:dyDescent="0.2"/>
    <row r="9056" customFormat="1" x14ac:dyDescent="0.2"/>
    <row r="9057" customFormat="1" x14ac:dyDescent="0.2"/>
    <row r="9058" customFormat="1" x14ac:dyDescent="0.2"/>
    <row r="9059" customFormat="1" x14ac:dyDescent="0.2"/>
    <row r="9060" customFormat="1" x14ac:dyDescent="0.2"/>
    <row r="9061" customFormat="1" x14ac:dyDescent="0.2"/>
    <row r="9062" customFormat="1" x14ac:dyDescent="0.2"/>
    <row r="9063" customFormat="1" x14ac:dyDescent="0.2"/>
    <row r="9064" customFormat="1" x14ac:dyDescent="0.2"/>
    <row r="9065" customFormat="1" x14ac:dyDescent="0.2"/>
    <row r="9066" customFormat="1" x14ac:dyDescent="0.2"/>
    <row r="9067" customFormat="1" x14ac:dyDescent="0.2"/>
    <row r="9068" customFormat="1" x14ac:dyDescent="0.2"/>
    <row r="9069" customFormat="1" x14ac:dyDescent="0.2"/>
    <row r="9070" customFormat="1" x14ac:dyDescent="0.2"/>
    <row r="9071" customFormat="1" x14ac:dyDescent="0.2"/>
    <row r="9072" customFormat="1" x14ac:dyDescent="0.2"/>
    <row r="9073" customFormat="1" x14ac:dyDescent="0.2"/>
    <row r="9074" customFormat="1" x14ac:dyDescent="0.2"/>
    <row r="9075" customFormat="1" x14ac:dyDescent="0.2"/>
    <row r="9076" customFormat="1" x14ac:dyDescent="0.2"/>
    <row r="9077" customFormat="1" x14ac:dyDescent="0.2"/>
    <row r="9078" customFormat="1" x14ac:dyDescent="0.2"/>
    <row r="9079" customFormat="1" x14ac:dyDescent="0.2"/>
    <row r="9080" customFormat="1" x14ac:dyDescent="0.2"/>
    <row r="9081" customFormat="1" x14ac:dyDescent="0.2"/>
    <row r="9082" customFormat="1" x14ac:dyDescent="0.2"/>
    <row r="9083" customFormat="1" x14ac:dyDescent="0.2"/>
    <row r="9084" customFormat="1" x14ac:dyDescent="0.2"/>
    <row r="9085" customFormat="1" x14ac:dyDescent="0.2"/>
    <row r="9086" customFormat="1" x14ac:dyDescent="0.2"/>
    <row r="9087" customFormat="1" x14ac:dyDescent="0.2"/>
    <row r="9088" customFormat="1" x14ac:dyDescent="0.2"/>
    <row r="9089" customFormat="1" x14ac:dyDescent="0.2"/>
    <row r="9090" customFormat="1" x14ac:dyDescent="0.2"/>
    <row r="9091" customFormat="1" x14ac:dyDescent="0.2"/>
    <row r="9092" customFormat="1" x14ac:dyDescent="0.2"/>
    <row r="9093" customFormat="1" x14ac:dyDescent="0.2"/>
    <row r="9094" customFormat="1" x14ac:dyDescent="0.2"/>
    <row r="9095" customFormat="1" x14ac:dyDescent="0.2"/>
    <row r="9096" customFormat="1" x14ac:dyDescent="0.2"/>
    <row r="9097" customFormat="1" x14ac:dyDescent="0.2"/>
    <row r="9098" customFormat="1" x14ac:dyDescent="0.2"/>
    <row r="9099" customFormat="1" x14ac:dyDescent="0.2"/>
    <row r="9100" customFormat="1" x14ac:dyDescent="0.2"/>
    <row r="9101" customFormat="1" x14ac:dyDescent="0.2"/>
    <row r="9102" customFormat="1" x14ac:dyDescent="0.2"/>
    <row r="9103" customFormat="1" x14ac:dyDescent="0.2"/>
    <row r="9104" customFormat="1" x14ac:dyDescent="0.2"/>
    <row r="9105" customFormat="1" x14ac:dyDescent="0.2"/>
    <row r="9106" customFormat="1" x14ac:dyDescent="0.2"/>
    <row r="9107" customFormat="1" x14ac:dyDescent="0.2"/>
    <row r="9108" customFormat="1" x14ac:dyDescent="0.2"/>
    <row r="9109" customFormat="1" x14ac:dyDescent="0.2"/>
    <row r="9110" customFormat="1" x14ac:dyDescent="0.2"/>
    <row r="9111" customFormat="1" x14ac:dyDescent="0.2"/>
    <row r="9112" customFormat="1" x14ac:dyDescent="0.2"/>
    <row r="9113" customFormat="1" x14ac:dyDescent="0.2"/>
    <row r="9114" customFormat="1" x14ac:dyDescent="0.2"/>
    <row r="9115" customFormat="1" x14ac:dyDescent="0.2"/>
    <row r="9116" customFormat="1" x14ac:dyDescent="0.2"/>
    <row r="9117" customFormat="1" x14ac:dyDescent="0.2"/>
    <row r="9118" customFormat="1" x14ac:dyDescent="0.2"/>
    <row r="9119" customFormat="1" x14ac:dyDescent="0.2"/>
    <row r="9120" customFormat="1" x14ac:dyDescent="0.2"/>
    <row r="9121" customFormat="1" x14ac:dyDescent="0.2"/>
    <row r="9122" customFormat="1" x14ac:dyDescent="0.2"/>
    <row r="9123" customFormat="1" x14ac:dyDescent="0.2"/>
    <row r="9124" customFormat="1" x14ac:dyDescent="0.2"/>
    <row r="9125" customFormat="1" x14ac:dyDescent="0.2"/>
    <row r="9126" customFormat="1" x14ac:dyDescent="0.2"/>
    <row r="9127" customFormat="1" x14ac:dyDescent="0.2"/>
    <row r="9128" customFormat="1" x14ac:dyDescent="0.2"/>
    <row r="9129" customFormat="1" x14ac:dyDescent="0.2"/>
    <row r="9130" customFormat="1" x14ac:dyDescent="0.2"/>
    <row r="9131" customFormat="1" x14ac:dyDescent="0.2"/>
    <row r="9132" customFormat="1" x14ac:dyDescent="0.2"/>
    <row r="9133" customFormat="1" x14ac:dyDescent="0.2"/>
    <row r="9134" customFormat="1" x14ac:dyDescent="0.2"/>
    <row r="9135" customFormat="1" x14ac:dyDescent="0.2"/>
    <row r="9136" customFormat="1" x14ac:dyDescent="0.2"/>
    <row r="9137" customFormat="1" x14ac:dyDescent="0.2"/>
    <row r="9138" customFormat="1" x14ac:dyDescent="0.2"/>
    <row r="9139" customFormat="1" x14ac:dyDescent="0.2"/>
    <row r="9140" customFormat="1" x14ac:dyDescent="0.2"/>
    <row r="9141" customFormat="1" x14ac:dyDescent="0.2"/>
    <row r="9142" customFormat="1" x14ac:dyDescent="0.2"/>
    <row r="9143" customFormat="1" x14ac:dyDescent="0.2"/>
    <row r="9144" customFormat="1" x14ac:dyDescent="0.2"/>
    <row r="9145" customFormat="1" x14ac:dyDescent="0.2"/>
    <row r="9146" customFormat="1" x14ac:dyDescent="0.2"/>
    <row r="9147" customFormat="1" x14ac:dyDescent="0.2"/>
    <row r="9148" customFormat="1" x14ac:dyDescent="0.2"/>
    <row r="9149" customFormat="1" x14ac:dyDescent="0.2"/>
    <row r="9150" customFormat="1" x14ac:dyDescent="0.2"/>
    <row r="9151" customFormat="1" x14ac:dyDescent="0.2"/>
    <row r="9152" customFormat="1" x14ac:dyDescent="0.2"/>
    <row r="9153" customFormat="1" x14ac:dyDescent="0.2"/>
    <row r="9154" customFormat="1" x14ac:dyDescent="0.2"/>
    <row r="9155" customFormat="1" x14ac:dyDescent="0.2"/>
    <row r="9156" customFormat="1" x14ac:dyDescent="0.2"/>
    <row r="9157" customFormat="1" x14ac:dyDescent="0.2"/>
    <row r="9158" customFormat="1" x14ac:dyDescent="0.2"/>
    <row r="9159" customFormat="1" x14ac:dyDescent="0.2"/>
    <row r="9160" customFormat="1" x14ac:dyDescent="0.2"/>
    <row r="9161" customFormat="1" x14ac:dyDescent="0.2"/>
    <row r="9162" customFormat="1" x14ac:dyDescent="0.2"/>
    <row r="9163" customFormat="1" x14ac:dyDescent="0.2"/>
    <row r="9164" customFormat="1" x14ac:dyDescent="0.2"/>
    <row r="9165" customFormat="1" x14ac:dyDescent="0.2"/>
    <row r="9166" customFormat="1" x14ac:dyDescent="0.2"/>
    <row r="9167" customFormat="1" x14ac:dyDescent="0.2"/>
    <row r="9168" customFormat="1" x14ac:dyDescent="0.2"/>
    <row r="9169" customFormat="1" x14ac:dyDescent="0.2"/>
    <row r="9170" customFormat="1" x14ac:dyDescent="0.2"/>
    <row r="9171" customFormat="1" x14ac:dyDescent="0.2"/>
    <row r="9172" customFormat="1" x14ac:dyDescent="0.2"/>
    <row r="9173" customFormat="1" x14ac:dyDescent="0.2"/>
    <row r="9174" customFormat="1" x14ac:dyDescent="0.2"/>
    <row r="9175" customFormat="1" x14ac:dyDescent="0.2"/>
    <row r="9176" customFormat="1" x14ac:dyDescent="0.2"/>
    <row r="9177" customFormat="1" x14ac:dyDescent="0.2"/>
    <row r="9178" customFormat="1" x14ac:dyDescent="0.2"/>
    <row r="9179" customFormat="1" x14ac:dyDescent="0.2"/>
    <row r="9180" customFormat="1" x14ac:dyDescent="0.2"/>
    <row r="9181" customFormat="1" x14ac:dyDescent="0.2"/>
    <row r="9182" customFormat="1" x14ac:dyDescent="0.2"/>
    <row r="9183" customFormat="1" x14ac:dyDescent="0.2"/>
    <row r="9184" customFormat="1" x14ac:dyDescent="0.2"/>
    <row r="9185" customFormat="1" x14ac:dyDescent="0.2"/>
    <row r="9186" customFormat="1" x14ac:dyDescent="0.2"/>
    <row r="9187" customFormat="1" x14ac:dyDescent="0.2"/>
    <row r="9188" customFormat="1" x14ac:dyDescent="0.2"/>
    <row r="9189" customFormat="1" x14ac:dyDescent="0.2"/>
    <row r="9190" customFormat="1" x14ac:dyDescent="0.2"/>
    <row r="9191" customFormat="1" x14ac:dyDescent="0.2"/>
    <row r="9192" customFormat="1" x14ac:dyDescent="0.2"/>
    <row r="9193" customFormat="1" x14ac:dyDescent="0.2"/>
    <row r="9194" customFormat="1" x14ac:dyDescent="0.2"/>
    <row r="9195" customFormat="1" x14ac:dyDescent="0.2"/>
    <row r="9196" customFormat="1" x14ac:dyDescent="0.2"/>
    <row r="9197" customFormat="1" x14ac:dyDescent="0.2"/>
    <row r="9198" customFormat="1" x14ac:dyDescent="0.2"/>
    <row r="9199" customFormat="1" x14ac:dyDescent="0.2"/>
    <row r="9200" customFormat="1" x14ac:dyDescent="0.2"/>
    <row r="9201" customFormat="1" x14ac:dyDescent="0.2"/>
    <row r="9202" customFormat="1" x14ac:dyDescent="0.2"/>
    <row r="9203" customFormat="1" x14ac:dyDescent="0.2"/>
    <row r="9204" customFormat="1" x14ac:dyDescent="0.2"/>
    <row r="9205" customFormat="1" x14ac:dyDescent="0.2"/>
    <row r="9206" customFormat="1" x14ac:dyDescent="0.2"/>
    <row r="9207" customFormat="1" x14ac:dyDescent="0.2"/>
    <row r="9208" customFormat="1" x14ac:dyDescent="0.2"/>
    <row r="9209" customFormat="1" x14ac:dyDescent="0.2"/>
    <row r="9210" customFormat="1" x14ac:dyDescent="0.2"/>
    <row r="9211" customFormat="1" x14ac:dyDescent="0.2"/>
    <row r="9212" customFormat="1" x14ac:dyDescent="0.2"/>
    <row r="9213" customFormat="1" x14ac:dyDescent="0.2"/>
    <row r="9214" customFormat="1" x14ac:dyDescent="0.2"/>
    <row r="9215" customFormat="1" x14ac:dyDescent="0.2"/>
    <row r="9216" customFormat="1" x14ac:dyDescent="0.2"/>
    <row r="9217" customFormat="1" x14ac:dyDescent="0.2"/>
    <row r="9218" customFormat="1" x14ac:dyDescent="0.2"/>
    <row r="9219" customFormat="1" x14ac:dyDescent="0.2"/>
    <row r="9220" customFormat="1" x14ac:dyDescent="0.2"/>
    <row r="9221" customFormat="1" x14ac:dyDescent="0.2"/>
    <row r="9222" customFormat="1" x14ac:dyDescent="0.2"/>
    <row r="9223" customFormat="1" x14ac:dyDescent="0.2"/>
    <row r="9224" customFormat="1" x14ac:dyDescent="0.2"/>
    <row r="9225" customFormat="1" x14ac:dyDescent="0.2"/>
    <row r="9226" customFormat="1" x14ac:dyDescent="0.2"/>
    <row r="9227" customFormat="1" x14ac:dyDescent="0.2"/>
    <row r="9228" customFormat="1" x14ac:dyDescent="0.2"/>
    <row r="9229" customFormat="1" x14ac:dyDescent="0.2"/>
    <row r="9230" customFormat="1" x14ac:dyDescent="0.2"/>
    <row r="9231" customFormat="1" x14ac:dyDescent="0.2"/>
    <row r="9232" customFormat="1" x14ac:dyDescent="0.2"/>
    <row r="9233" customFormat="1" x14ac:dyDescent="0.2"/>
    <row r="9234" customFormat="1" x14ac:dyDescent="0.2"/>
    <row r="9235" customFormat="1" x14ac:dyDescent="0.2"/>
    <row r="9236" customFormat="1" x14ac:dyDescent="0.2"/>
    <row r="9237" customFormat="1" x14ac:dyDescent="0.2"/>
    <row r="9238" customFormat="1" x14ac:dyDescent="0.2"/>
    <row r="9239" customFormat="1" x14ac:dyDescent="0.2"/>
    <row r="9240" customFormat="1" x14ac:dyDescent="0.2"/>
    <row r="9241" customFormat="1" x14ac:dyDescent="0.2"/>
    <row r="9242" customFormat="1" x14ac:dyDescent="0.2"/>
    <row r="9243" customFormat="1" x14ac:dyDescent="0.2"/>
    <row r="9244" customFormat="1" x14ac:dyDescent="0.2"/>
    <row r="9245" customFormat="1" x14ac:dyDescent="0.2"/>
    <row r="9246" customFormat="1" x14ac:dyDescent="0.2"/>
    <row r="9247" customFormat="1" x14ac:dyDescent="0.2"/>
    <row r="9248" customFormat="1" x14ac:dyDescent="0.2"/>
    <row r="9249" customFormat="1" x14ac:dyDescent="0.2"/>
    <row r="9250" customFormat="1" x14ac:dyDescent="0.2"/>
    <row r="9251" customFormat="1" x14ac:dyDescent="0.2"/>
    <row r="9252" customFormat="1" x14ac:dyDescent="0.2"/>
    <row r="9253" customFormat="1" x14ac:dyDescent="0.2"/>
    <row r="9254" customFormat="1" x14ac:dyDescent="0.2"/>
    <row r="9255" customFormat="1" x14ac:dyDescent="0.2"/>
    <row r="9256" customFormat="1" x14ac:dyDescent="0.2"/>
    <row r="9257" customFormat="1" x14ac:dyDescent="0.2"/>
    <row r="9258" customFormat="1" x14ac:dyDescent="0.2"/>
    <row r="9259" customFormat="1" x14ac:dyDescent="0.2"/>
    <row r="9260" customFormat="1" x14ac:dyDescent="0.2"/>
    <row r="9261" customFormat="1" x14ac:dyDescent="0.2"/>
    <row r="9262" customFormat="1" x14ac:dyDescent="0.2"/>
    <row r="9263" customFormat="1" x14ac:dyDescent="0.2"/>
    <row r="9264" customFormat="1" x14ac:dyDescent="0.2"/>
    <row r="9265" customFormat="1" x14ac:dyDescent="0.2"/>
    <row r="9266" customFormat="1" x14ac:dyDescent="0.2"/>
    <row r="9267" customFormat="1" x14ac:dyDescent="0.2"/>
    <row r="9268" customFormat="1" x14ac:dyDescent="0.2"/>
    <row r="9269" customFormat="1" x14ac:dyDescent="0.2"/>
    <row r="9270" customFormat="1" x14ac:dyDescent="0.2"/>
    <row r="9271" customFormat="1" x14ac:dyDescent="0.2"/>
    <row r="9272" customFormat="1" x14ac:dyDescent="0.2"/>
    <row r="9273" customFormat="1" x14ac:dyDescent="0.2"/>
    <row r="9274" customFormat="1" x14ac:dyDescent="0.2"/>
    <row r="9275" customFormat="1" x14ac:dyDescent="0.2"/>
    <row r="9276" customFormat="1" x14ac:dyDescent="0.2"/>
    <row r="9277" customFormat="1" x14ac:dyDescent="0.2"/>
    <row r="9278" customFormat="1" x14ac:dyDescent="0.2"/>
    <row r="9279" customFormat="1" x14ac:dyDescent="0.2"/>
    <row r="9280" customFormat="1" x14ac:dyDescent="0.2"/>
    <row r="9281" customFormat="1" x14ac:dyDescent="0.2"/>
    <row r="9282" customFormat="1" x14ac:dyDescent="0.2"/>
    <row r="9283" customFormat="1" x14ac:dyDescent="0.2"/>
    <row r="9284" customFormat="1" x14ac:dyDescent="0.2"/>
    <row r="9285" customFormat="1" x14ac:dyDescent="0.2"/>
    <row r="9286" customFormat="1" x14ac:dyDescent="0.2"/>
    <row r="9287" customFormat="1" x14ac:dyDescent="0.2"/>
    <row r="9288" customFormat="1" x14ac:dyDescent="0.2"/>
    <row r="9289" customFormat="1" x14ac:dyDescent="0.2"/>
    <row r="9290" customFormat="1" x14ac:dyDescent="0.2"/>
    <row r="9291" customFormat="1" x14ac:dyDescent="0.2"/>
    <row r="9292" customFormat="1" x14ac:dyDescent="0.2"/>
    <row r="9293" customFormat="1" x14ac:dyDescent="0.2"/>
    <row r="9294" customFormat="1" x14ac:dyDescent="0.2"/>
    <row r="9295" customFormat="1" x14ac:dyDescent="0.2"/>
    <row r="9296" customFormat="1" x14ac:dyDescent="0.2"/>
    <row r="9297" customFormat="1" x14ac:dyDescent="0.2"/>
    <row r="9298" customFormat="1" x14ac:dyDescent="0.2"/>
    <row r="9299" customFormat="1" x14ac:dyDescent="0.2"/>
    <row r="9300" customFormat="1" x14ac:dyDescent="0.2"/>
    <row r="9301" customFormat="1" x14ac:dyDescent="0.2"/>
    <row r="9302" customFormat="1" x14ac:dyDescent="0.2"/>
    <row r="9303" customFormat="1" x14ac:dyDescent="0.2"/>
    <row r="9304" customFormat="1" x14ac:dyDescent="0.2"/>
    <row r="9305" customFormat="1" x14ac:dyDescent="0.2"/>
    <row r="9306" customFormat="1" x14ac:dyDescent="0.2"/>
    <row r="9307" customFormat="1" x14ac:dyDescent="0.2"/>
    <row r="9308" customFormat="1" x14ac:dyDescent="0.2"/>
    <row r="9309" customFormat="1" x14ac:dyDescent="0.2"/>
    <row r="9310" customFormat="1" x14ac:dyDescent="0.2"/>
    <row r="9311" customFormat="1" x14ac:dyDescent="0.2"/>
    <row r="9312" customFormat="1" x14ac:dyDescent="0.2"/>
    <row r="9313" customFormat="1" x14ac:dyDescent="0.2"/>
    <row r="9314" customFormat="1" x14ac:dyDescent="0.2"/>
    <row r="9315" customFormat="1" x14ac:dyDescent="0.2"/>
    <row r="9316" customFormat="1" x14ac:dyDescent="0.2"/>
    <row r="9317" customFormat="1" x14ac:dyDescent="0.2"/>
    <row r="9318" customFormat="1" x14ac:dyDescent="0.2"/>
    <row r="9319" customFormat="1" x14ac:dyDescent="0.2"/>
    <row r="9320" customFormat="1" x14ac:dyDescent="0.2"/>
    <row r="9321" customFormat="1" x14ac:dyDescent="0.2"/>
    <row r="9322" customFormat="1" x14ac:dyDescent="0.2"/>
    <row r="9323" customFormat="1" x14ac:dyDescent="0.2"/>
    <row r="9324" customFormat="1" x14ac:dyDescent="0.2"/>
    <row r="9325" customFormat="1" x14ac:dyDescent="0.2"/>
    <row r="9326" customFormat="1" x14ac:dyDescent="0.2"/>
    <row r="9327" customFormat="1" x14ac:dyDescent="0.2"/>
    <row r="9328" customFormat="1" x14ac:dyDescent="0.2"/>
    <row r="9329" customFormat="1" x14ac:dyDescent="0.2"/>
    <row r="9330" customFormat="1" x14ac:dyDescent="0.2"/>
    <row r="9331" customFormat="1" x14ac:dyDescent="0.2"/>
    <row r="9332" customFormat="1" x14ac:dyDescent="0.2"/>
    <row r="9333" customFormat="1" x14ac:dyDescent="0.2"/>
    <row r="9334" customFormat="1" x14ac:dyDescent="0.2"/>
    <row r="9335" customFormat="1" x14ac:dyDescent="0.2"/>
    <row r="9336" customFormat="1" x14ac:dyDescent="0.2"/>
    <row r="9337" customFormat="1" x14ac:dyDescent="0.2"/>
    <row r="9338" customFormat="1" x14ac:dyDescent="0.2"/>
    <row r="9339" customFormat="1" x14ac:dyDescent="0.2"/>
    <row r="9340" customFormat="1" x14ac:dyDescent="0.2"/>
    <row r="9341" customFormat="1" x14ac:dyDescent="0.2"/>
    <row r="9342" customFormat="1" x14ac:dyDescent="0.2"/>
    <row r="9343" customFormat="1" x14ac:dyDescent="0.2"/>
    <row r="9344" customFormat="1" x14ac:dyDescent="0.2"/>
    <row r="9345" customFormat="1" x14ac:dyDescent="0.2"/>
    <row r="9346" customFormat="1" x14ac:dyDescent="0.2"/>
    <row r="9347" customFormat="1" x14ac:dyDescent="0.2"/>
    <row r="9348" customFormat="1" x14ac:dyDescent="0.2"/>
    <row r="9349" customFormat="1" x14ac:dyDescent="0.2"/>
    <row r="9350" customFormat="1" x14ac:dyDescent="0.2"/>
    <row r="9351" customFormat="1" x14ac:dyDescent="0.2"/>
    <row r="9352" customFormat="1" x14ac:dyDescent="0.2"/>
    <row r="9353" customFormat="1" x14ac:dyDescent="0.2"/>
    <row r="9354" customFormat="1" x14ac:dyDescent="0.2"/>
    <row r="9355" customFormat="1" x14ac:dyDescent="0.2"/>
    <row r="9356" customFormat="1" x14ac:dyDescent="0.2"/>
    <row r="9357" customFormat="1" x14ac:dyDescent="0.2"/>
    <row r="9358" customFormat="1" x14ac:dyDescent="0.2"/>
    <row r="9359" customFormat="1" x14ac:dyDescent="0.2"/>
    <row r="9360" customFormat="1" x14ac:dyDescent="0.2"/>
    <row r="9361" customFormat="1" x14ac:dyDescent="0.2"/>
    <row r="9362" customFormat="1" x14ac:dyDescent="0.2"/>
    <row r="9363" customFormat="1" x14ac:dyDescent="0.2"/>
    <row r="9364" customFormat="1" x14ac:dyDescent="0.2"/>
    <row r="9365" customFormat="1" x14ac:dyDescent="0.2"/>
    <row r="9366" customFormat="1" x14ac:dyDescent="0.2"/>
    <row r="9367" customFormat="1" x14ac:dyDescent="0.2"/>
    <row r="9368" customFormat="1" x14ac:dyDescent="0.2"/>
    <row r="9369" customFormat="1" x14ac:dyDescent="0.2"/>
    <row r="9370" customFormat="1" x14ac:dyDescent="0.2"/>
    <row r="9371" customFormat="1" x14ac:dyDescent="0.2"/>
    <row r="9372" customFormat="1" x14ac:dyDescent="0.2"/>
    <row r="9373" customFormat="1" x14ac:dyDescent="0.2"/>
    <row r="9374" customFormat="1" x14ac:dyDescent="0.2"/>
    <row r="9375" customFormat="1" x14ac:dyDescent="0.2"/>
    <row r="9376" customFormat="1" x14ac:dyDescent="0.2"/>
    <row r="9377" customFormat="1" x14ac:dyDescent="0.2"/>
    <row r="9378" customFormat="1" x14ac:dyDescent="0.2"/>
    <row r="9379" customFormat="1" x14ac:dyDescent="0.2"/>
    <row r="9380" customFormat="1" x14ac:dyDescent="0.2"/>
    <row r="9381" customFormat="1" x14ac:dyDescent="0.2"/>
    <row r="9382" customFormat="1" x14ac:dyDescent="0.2"/>
    <row r="9383" customFormat="1" x14ac:dyDescent="0.2"/>
    <row r="9384" customFormat="1" x14ac:dyDescent="0.2"/>
    <row r="9385" customFormat="1" x14ac:dyDescent="0.2"/>
    <row r="9386" customFormat="1" x14ac:dyDescent="0.2"/>
    <row r="9387" customFormat="1" x14ac:dyDescent="0.2"/>
    <row r="9388" customFormat="1" x14ac:dyDescent="0.2"/>
    <row r="9389" customFormat="1" x14ac:dyDescent="0.2"/>
    <row r="9390" customFormat="1" x14ac:dyDescent="0.2"/>
    <row r="9391" customFormat="1" x14ac:dyDescent="0.2"/>
    <row r="9392" customFormat="1" x14ac:dyDescent="0.2"/>
    <row r="9393" customFormat="1" x14ac:dyDescent="0.2"/>
    <row r="9394" customFormat="1" x14ac:dyDescent="0.2"/>
    <row r="9395" customFormat="1" x14ac:dyDescent="0.2"/>
    <row r="9396" customFormat="1" x14ac:dyDescent="0.2"/>
    <row r="9397" customFormat="1" x14ac:dyDescent="0.2"/>
    <row r="9398" customFormat="1" x14ac:dyDescent="0.2"/>
    <row r="9399" customFormat="1" x14ac:dyDescent="0.2"/>
    <row r="9400" customFormat="1" x14ac:dyDescent="0.2"/>
    <row r="9401" customFormat="1" x14ac:dyDescent="0.2"/>
    <row r="9402" customFormat="1" x14ac:dyDescent="0.2"/>
    <row r="9403" customFormat="1" x14ac:dyDescent="0.2"/>
    <row r="9404" customFormat="1" x14ac:dyDescent="0.2"/>
    <row r="9405" customFormat="1" x14ac:dyDescent="0.2"/>
    <row r="9406" customFormat="1" x14ac:dyDescent="0.2"/>
    <row r="9407" customFormat="1" x14ac:dyDescent="0.2"/>
    <row r="9408" customFormat="1" x14ac:dyDescent="0.2"/>
    <row r="9409" customFormat="1" x14ac:dyDescent="0.2"/>
    <row r="9410" customFormat="1" x14ac:dyDescent="0.2"/>
    <row r="9411" customFormat="1" x14ac:dyDescent="0.2"/>
    <row r="9412" customFormat="1" x14ac:dyDescent="0.2"/>
    <row r="9413" customFormat="1" x14ac:dyDescent="0.2"/>
    <row r="9414" customFormat="1" x14ac:dyDescent="0.2"/>
    <row r="9415" customFormat="1" x14ac:dyDescent="0.2"/>
    <row r="9416" customFormat="1" x14ac:dyDescent="0.2"/>
    <row r="9417" customFormat="1" x14ac:dyDescent="0.2"/>
    <row r="9418" customFormat="1" x14ac:dyDescent="0.2"/>
    <row r="9419" customFormat="1" x14ac:dyDescent="0.2"/>
    <row r="9420" customFormat="1" x14ac:dyDescent="0.2"/>
    <row r="9421" customFormat="1" x14ac:dyDescent="0.2"/>
    <row r="9422" customFormat="1" x14ac:dyDescent="0.2"/>
    <row r="9423" customFormat="1" x14ac:dyDescent="0.2"/>
    <row r="9424" customFormat="1" x14ac:dyDescent="0.2"/>
    <row r="9425" customFormat="1" x14ac:dyDescent="0.2"/>
    <row r="9426" customFormat="1" x14ac:dyDescent="0.2"/>
    <row r="9427" customFormat="1" x14ac:dyDescent="0.2"/>
    <row r="9428" customFormat="1" x14ac:dyDescent="0.2"/>
    <row r="9429" customFormat="1" x14ac:dyDescent="0.2"/>
    <row r="9430" customFormat="1" x14ac:dyDescent="0.2"/>
    <row r="9431" customFormat="1" x14ac:dyDescent="0.2"/>
    <row r="9432" customFormat="1" x14ac:dyDescent="0.2"/>
    <row r="9433" customFormat="1" x14ac:dyDescent="0.2"/>
    <row r="9434" customFormat="1" x14ac:dyDescent="0.2"/>
    <row r="9435" customFormat="1" x14ac:dyDescent="0.2"/>
    <row r="9436" customFormat="1" x14ac:dyDescent="0.2"/>
    <row r="9437" customFormat="1" x14ac:dyDescent="0.2"/>
    <row r="9438" customFormat="1" x14ac:dyDescent="0.2"/>
    <row r="9439" customFormat="1" x14ac:dyDescent="0.2"/>
    <row r="9440" customFormat="1" x14ac:dyDescent="0.2"/>
    <row r="9441" customFormat="1" x14ac:dyDescent="0.2"/>
    <row r="9442" customFormat="1" x14ac:dyDescent="0.2"/>
    <row r="9443" customFormat="1" x14ac:dyDescent="0.2"/>
    <row r="9444" customFormat="1" x14ac:dyDescent="0.2"/>
    <row r="9445" customFormat="1" x14ac:dyDescent="0.2"/>
    <row r="9446" customFormat="1" x14ac:dyDescent="0.2"/>
    <row r="9447" customFormat="1" x14ac:dyDescent="0.2"/>
    <row r="9448" customFormat="1" x14ac:dyDescent="0.2"/>
    <row r="9449" customFormat="1" x14ac:dyDescent="0.2"/>
    <row r="9450" customFormat="1" x14ac:dyDescent="0.2"/>
    <row r="9451" customFormat="1" x14ac:dyDescent="0.2"/>
    <row r="9452" customFormat="1" x14ac:dyDescent="0.2"/>
    <row r="9453" customFormat="1" x14ac:dyDescent="0.2"/>
    <row r="9454" customFormat="1" x14ac:dyDescent="0.2"/>
    <row r="9455" customFormat="1" x14ac:dyDescent="0.2"/>
    <row r="9456" customFormat="1" x14ac:dyDescent="0.2"/>
    <row r="9457" customFormat="1" x14ac:dyDescent="0.2"/>
    <row r="9458" customFormat="1" x14ac:dyDescent="0.2"/>
    <row r="9459" customFormat="1" x14ac:dyDescent="0.2"/>
    <row r="9460" customFormat="1" x14ac:dyDescent="0.2"/>
    <row r="9461" customFormat="1" x14ac:dyDescent="0.2"/>
    <row r="9462" customFormat="1" x14ac:dyDescent="0.2"/>
    <row r="9463" customFormat="1" x14ac:dyDescent="0.2"/>
    <row r="9464" customFormat="1" x14ac:dyDescent="0.2"/>
    <row r="9465" customFormat="1" x14ac:dyDescent="0.2"/>
    <row r="9466" customFormat="1" x14ac:dyDescent="0.2"/>
    <row r="9467" customFormat="1" x14ac:dyDescent="0.2"/>
    <row r="9468" customFormat="1" x14ac:dyDescent="0.2"/>
    <row r="9469" customFormat="1" x14ac:dyDescent="0.2"/>
    <row r="9470" customFormat="1" x14ac:dyDescent="0.2"/>
    <row r="9471" customFormat="1" x14ac:dyDescent="0.2"/>
    <row r="9472" customFormat="1" x14ac:dyDescent="0.2"/>
    <row r="9473" customFormat="1" x14ac:dyDescent="0.2"/>
    <row r="9474" customFormat="1" x14ac:dyDescent="0.2"/>
    <row r="9475" customFormat="1" x14ac:dyDescent="0.2"/>
    <row r="9476" customFormat="1" x14ac:dyDescent="0.2"/>
    <row r="9477" customFormat="1" x14ac:dyDescent="0.2"/>
    <row r="9478" customFormat="1" x14ac:dyDescent="0.2"/>
    <row r="9479" customFormat="1" x14ac:dyDescent="0.2"/>
    <row r="9480" customFormat="1" x14ac:dyDescent="0.2"/>
    <row r="9481" customFormat="1" x14ac:dyDescent="0.2"/>
    <row r="9482" customFormat="1" x14ac:dyDescent="0.2"/>
    <row r="9483" customFormat="1" x14ac:dyDescent="0.2"/>
    <row r="9484" customFormat="1" x14ac:dyDescent="0.2"/>
    <row r="9485" customFormat="1" x14ac:dyDescent="0.2"/>
    <row r="9486" customFormat="1" x14ac:dyDescent="0.2"/>
    <row r="9487" customFormat="1" x14ac:dyDescent="0.2"/>
    <row r="9488" customFormat="1" x14ac:dyDescent="0.2"/>
    <row r="9489" customFormat="1" x14ac:dyDescent="0.2"/>
    <row r="9490" customFormat="1" x14ac:dyDescent="0.2"/>
    <row r="9491" customFormat="1" x14ac:dyDescent="0.2"/>
    <row r="9492" customFormat="1" x14ac:dyDescent="0.2"/>
    <row r="9493" customFormat="1" x14ac:dyDescent="0.2"/>
    <row r="9494" customFormat="1" x14ac:dyDescent="0.2"/>
    <row r="9495" customFormat="1" x14ac:dyDescent="0.2"/>
    <row r="9496" customFormat="1" x14ac:dyDescent="0.2"/>
    <row r="9497" customFormat="1" x14ac:dyDescent="0.2"/>
    <row r="9498" customFormat="1" x14ac:dyDescent="0.2"/>
    <row r="9499" customFormat="1" x14ac:dyDescent="0.2"/>
    <row r="9500" customFormat="1" x14ac:dyDescent="0.2"/>
    <row r="9501" customFormat="1" x14ac:dyDescent="0.2"/>
    <row r="9502" customFormat="1" x14ac:dyDescent="0.2"/>
    <row r="9503" customFormat="1" x14ac:dyDescent="0.2"/>
    <row r="9504" customFormat="1" x14ac:dyDescent="0.2"/>
    <row r="9505" customFormat="1" x14ac:dyDescent="0.2"/>
    <row r="9506" customFormat="1" x14ac:dyDescent="0.2"/>
    <row r="9507" customFormat="1" x14ac:dyDescent="0.2"/>
    <row r="9508" customFormat="1" x14ac:dyDescent="0.2"/>
    <row r="9509" customFormat="1" x14ac:dyDescent="0.2"/>
    <row r="9510" customFormat="1" x14ac:dyDescent="0.2"/>
    <row r="9511" customFormat="1" x14ac:dyDescent="0.2"/>
    <row r="9512" customFormat="1" x14ac:dyDescent="0.2"/>
    <row r="9513" customFormat="1" x14ac:dyDescent="0.2"/>
    <row r="9514" customFormat="1" x14ac:dyDescent="0.2"/>
    <row r="9515" customFormat="1" x14ac:dyDescent="0.2"/>
    <row r="9516" customFormat="1" x14ac:dyDescent="0.2"/>
    <row r="9517" customFormat="1" x14ac:dyDescent="0.2"/>
    <row r="9518" customFormat="1" x14ac:dyDescent="0.2"/>
    <row r="9519" customFormat="1" x14ac:dyDescent="0.2"/>
    <row r="9520" customFormat="1" x14ac:dyDescent="0.2"/>
    <row r="9521" customFormat="1" x14ac:dyDescent="0.2"/>
    <row r="9522" customFormat="1" x14ac:dyDescent="0.2"/>
    <row r="9523" customFormat="1" x14ac:dyDescent="0.2"/>
    <row r="9524" customFormat="1" x14ac:dyDescent="0.2"/>
    <row r="9525" customFormat="1" x14ac:dyDescent="0.2"/>
    <row r="9526" customFormat="1" x14ac:dyDescent="0.2"/>
    <row r="9527" customFormat="1" x14ac:dyDescent="0.2"/>
    <row r="9528" customFormat="1" x14ac:dyDescent="0.2"/>
    <row r="9529" customFormat="1" x14ac:dyDescent="0.2"/>
    <row r="9530" customFormat="1" x14ac:dyDescent="0.2"/>
    <row r="9531" customFormat="1" x14ac:dyDescent="0.2"/>
    <row r="9532" customFormat="1" x14ac:dyDescent="0.2"/>
    <row r="9533" customFormat="1" x14ac:dyDescent="0.2"/>
    <row r="9534" customFormat="1" x14ac:dyDescent="0.2"/>
    <row r="9535" customFormat="1" x14ac:dyDescent="0.2"/>
    <row r="9536" customFormat="1" x14ac:dyDescent="0.2"/>
    <row r="9537" customFormat="1" x14ac:dyDescent="0.2"/>
    <row r="9538" customFormat="1" x14ac:dyDescent="0.2"/>
    <row r="9539" customFormat="1" x14ac:dyDescent="0.2"/>
    <row r="9540" customFormat="1" x14ac:dyDescent="0.2"/>
    <row r="9541" customFormat="1" x14ac:dyDescent="0.2"/>
    <row r="9542" customFormat="1" x14ac:dyDescent="0.2"/>
    <row r="9543" customFormat="1" x14ac:dyDescent="0.2"/>
    <row r="9544" customFormat="1" x14ac:dyDescent="0.2"/>
    <row r="9545" customFormat="1" x14ac:dyDescent="0.2"/>
    <row r="9546" customFormat="1" x14ac:dyDescent="0.2"/>
    <row r="9547" customFormat="1" x14ac:dyDescent="0.2"/>
    <row r="9548" customFormat="1" x14ac:dyDescent="0.2"/>
    <row r="9549" customFormat="1" x14ac:dyDescent="0.2"/>
    <row r="9550" customFormat="1" x14ac:dyDescent="0.2"/>
    <row r="9551" customFormat="1" x14ac:dyDescent="0.2"/>
    <row r="9552" customFormat="1" x14ac:dyDescent="0.2"/>
    <row r="9553" customFormat="1" x14ac:dyDescent="0.2"/>
    <row r="9554" customFormat="1" x14ac:dyDescent="0.2"/>
    <row r="9555" customFormat="1" x14ac:dyDescent="0.2"/>
    <row r="9556" customFormat="1" x14ac:dyDescent="0.2"/>
    <row r="9557" customFormat="1" x14ac:dyDescent="0.2"/>
    <row r="9558" customFormat="1" x14ac:dyDescent="0.2"/>
    <row r="9559" customFormat="1" x14ac:dyDescent="0.2"/>
    <row r="9560" customFormat="1" x14ac:dyDescent="0.2"/>
    <row r="9561" customFormat="1" x14ac:dyDescent="0.2"/>
    <row r="9562" customFormat="1" x14ac:dyDescent="0.2"/>
    <row r="9563" customFormat="1" x14ac:dyDescent="0.2"/>
    <row r="9564" customFormat="1" x14ac:dyDescent="0.2"/>
    <row r="9565" customFormat="1" x14ac:dyDescent="0.2"/>
    <row r="9566" customFormat="1" x14ac:dyDescent="0.2"/>
    <row r="9567" customFormat="1" x14ac:dyDescent="0.2"/>
    <row r="9568" customFormat="1" x14ac:dyDescent="0.2"/>
    <row r="9569" customFormat="1" x14ac:dyDescent="0.2"/>
    <row r="9570" customFormat="1" x14ac:dyDescent="0.2"/>
    <row r="9571" customFormat="1" x14ac:dyDescent="0.2"/>
    <row r="9572" customFormat="1" x14ac:dyDescent="0.2"/>
    <row r="9573" customFormat="1" x14ac:dyDescent="0.2"/>
    <row r="9574" customFormat="1" x14ac:dyDescent="0.2"/>
    <row r="9575" customFormat="1" x14ac:dyDescent="0.2"/>
    <row r="9576" customFormat="1" x14ac:dyDescent="0.2"/>
    <row r="9577" customFormat="1" x14ac:dyDescent="0.2"/>
    <row r="9578" customFormat="1" x14ac:dyDescent="0.2"/>
    <row r="9579" customFormat="1" x14ac:dyDescent="0.2"/>
    <row r="9580" customFormat="1" x14ac:dyDescent="0.2"/>
    <row r="9581" customFormat="1" x14ac:dyDescent="0.2"/>
    <row r="9582" customFormat="1" x14ac:dyDescent="0.2"/>
    <row r="9583" customFormat="1" x14ac:dyDescent="0.2"/>
    <row r="9584" customFormat="1" x14ac:dyDescent="0.2"/>
    <row r="9585" customFormat="1" x14ac:dyDescent="0.2"/>
    <row r="9586" customFormat="1" x14ac:dyDescent="0.2"/>
    <row r="9587" customFormat="1" x14ac:dyDescent="0.2"/>
    <row r="9588" customFormat="1" x14ac:dyDescent="0.2"/>
    <row r="9589" customFormat="1" x14ac:dyDescent="0.2"/>
    <row r="9590" customFormat="1" x14ac:dyDescent="0.2"/>
    <row r="9591" customFormat="1" x14ac:dyDescent="0.2"/>
    <row r="9592" customFormat="1" x14ac:dyDescent="0.2"/>
    <row r="9593" customFormat="1" x14ac:dyDescent="0.2"/>
    <row r="9594" customFormat="1" x14ac:dyDescent="0.2"/>
    <row r="9595" customFormat="1" x14ac:dyDescent="0.2"/>
    <row r="9596" customFormat="1" x14ac:dyDescent="0.2"/>
    <row r="9597" customFormat="1" x14ac:dyDescent="0.2"/>
    <row r="9598" customFormat="1" x14ac:dyDescent="0.2"/>
    <row r="9599" customFormat="1" x14ac:dyDescent="0.2"/>
    <row r="9600" customFormat="1" x14ac:dyDescent="0.2"/>
    <row r="9601" customFormat="1" x14ac:dyDescent="0.2"/>
    <row r="9602" customFormat="1" x14ac:dyDescent="0.2"/>
    <row r="9603" customFormat="1" x14ac:dyDescent="0.2"/>
    <row r="9604" customFormat="1" x14ac:dyDescent="0.2"/>
    <row r="9605" customFormat="1" x14ac:dyDescent="0.2"/>
    <row r="9606" customFormat="1" x14ac:dyDescent="0.2"/>
    <row r="9607" customFormat="1" x14ac:dyDescent="0.2"/>
    <row r="9608" customFormat="1" x14ac:dyDescent="0.2"/>
    <row r="9609" customFormat="1" x14ac:dyDescent="0.2"/>
    <row r="9610" customFormat="1" x14ac:dyDescent="0.2"/>
    <row r="9611" customFormat="1" x14ac:dyDescent="0.2"/>
    <row r="9612" customFormat="1" x14ac:dyDescent="0.2"/>
    <row r="9613" customFormat="1" x14ac:dyDescent="0.2"/>
    <row r="9614" customFormat="1" x14ac:dyDescent="0.2"/>
    <row r="9615" customFormat="1" x14ac:dyDescent="0.2"/>
    <row r="9616" customFormat="1" x14ac:dyDescent="0.2"/>
    <row r="9617" customFormat="1" x14ac:dyDescent="0.2"/>
    <row r="9618" customFormat="1" x14ac:dyDescent="0.2"/>
    <row r="9619" customFormat="1" x14ac:dyDescent="0.2"/>
    <row r="9620" customFormat="1" x14ac:dyDescent="0.2"/>
    <row r="9621" customFormat="1" x14ac:dyDescent="0.2"/>
    <row r="9622" customFormat="1" x14ac:dyDescent="0.2"/>
    <row r="9623" customFormat="1" x14ac:dyDescent="0.2"/>
    <row r="9624" customFormat="1" x14ac:dyDescent="0.2"/>
    <row r="9625" customFormat="1" x14ac:dyDescent="0.2"/>
    <row r="9626" customFormat="1" x14ac:dyDescent="0.2"/>
    <row r="9627" customFormat="1" x14ac:dyDescent="0.2"/>
    <row r="9628" customFormat="1" x14ac:dyDescent="0.2"/>
    <row r="9629" customFormat="1" x14ac:dyDescent="0.2"/>
    <row r="9630" customFormat="1" x14ac:dyDescent="0.2"/>
    <row r="9631" customFormat="1" x14ac:dyDescent="0.2"/>
    <row r="9632" customFormat="1" x14ac:dyDescent="0.2"/>
    <row r="9633" customFormat="1" x14ac:dyDescent="0.2"/>
    <row r="9634" customFormat="1" x14ac:dyDescent="0.2"/>
    <row r="9635" customFormat="1" x14ac:dyDescent="0.2"/>
    <row r="9636" customFormat="1" x14ac:dyDescent="0.2"/>
    <row r="9637" customFormat="1" x14ac:dyDescent="0.2"/>
    <row r="9638" customFormat="1" x14ac:dyDescent="0.2"/>
    <row r="9639" customFormat="1" x14ac:dyDescent="0.2"/>
    <row r="9640" customFormat="1" x14ac:dyDescent="0.2"/>
    <row r="9641" customFormat="1" x14ac:dyDescent="0.2"/>
    <row r="9642" customFormat="1" x14ac:dyDescent="0.2"/>
    <row r="9643" customFormat="1" x14ac:dyDescent="0.2"/>
    <row r="9644" customFormat="1" x14ac:dyDescent="0.2"/>
    <row r="9645" customFormat="1" x14ac:dyDescent="0.2"/>
    <row r="9646" customFormat="1" x14ac:dyDescent="0.2"/>
    <row r="9647" customFormat="1" x14ac:dyDescent="0.2"/>
    <row r="9648" customFormat="1" x14ac:dyDescent="0.2"/>
    <row r="9649" customFormat="1" x14ac:dyDescent="0.2"/>
    <row r="9650" customFormat="1" x14ac:dyDescent="0.2"/>
    <row r="9651" customFormat="1" x14ac:dyDescent="0.2"/>
    <row r="9652" customFormat="1" x14ac:dyDescent="0.2"/>
    <row r="9653" customFormat="1" x14ac:dyDescent="0.2"/>
    <row r="9654" customFormat="1" x14ac:dyDescent="0.2"/>
    <row r="9655" customFormat="1" x14ac:dyDescent="0.2"/>
    <row r="9656" customFormat="1" x14ac:dyDescent="0.2"/>
    <row r="9657" customFormat="1" x14ac:dyDescent="0.2"/>
    <row r="9658" customFormat="1" x14ac:dyDescent="0.2"/>
    <row r="9659" customFormat="1" x14ac:dyDescent="0.2"/>
    <row r="9660" customFormat="1" x14ac:dyDescent="0.2"/>
    <row r="9661" customFormat="1" x14ac:dyDescent="0.2"/>
    <row r="9662" customFormat="1" x14ac:dyDescent="0.2"/>
    <row r="9663" customFormat="1" x14ac:dyDescent="0.2"/>
    <row r="9664" customFormat="1" x14ac:dyDescent="0.2"/>
    <row r="9665" customFormat="1" x14ac:dyDescent="0.2"/>
    <row r="9666" customFormat="1" x14ac:dyDescent="0.2"/>
    <row r="9667" customFormat="1" x14ac:dyDescent="0.2"/>
    <row r="9668" customFormat="1" x14ac:dyDescent="0.2"/>
    <row r="9669" customFormat="1" x14ac:dyDescent="0.2"/>
    <row r="9670" customFormat="1" x14ac:dyDescent="0.2"/>
    <row r="9671" customFormat="1" x14ac:dyDescent="0.2"/>
    <row r="9672" customFormat="1" x14ac:dyDescent="0.2"/>
    <row r="9673" customFormat="1" x14ac:dyDescent="0.2"/>
    <row r="9674" customFormat="1" x14ac:dyDescent="0.2"/>
    <row r="9675" customFormat="1" x14ac:dyDescent="0.2"/>
    <row r="9676" customFormat="1" x14ac:dyDescent="0.2"/>
    <row r="9677" customFormat="1" x14ac:dyDescent="0.2"/>
    <row r="9678" customFormat="1" x14ac:dyDescent="0.2"/>
    <row r="9679" customFormat="1" x14ac:dyDescent="0.2"/>
    <row r="9680" customFormat="1" x14ac:dyDescent="0.2"/>
    <row r="9681" customFormat="1" x14ac:dyDescent="0.2"/>
    <row r="9682" customFormat="1" x14ac:dyDescent="0.2"/>
    <row r="9683" customFormat="1" x14ac:dyDescent="0.2"/>
    <row r="9684" customFormat="1" x14ac:dyDescent="0.2"/>
    <row r="9685" customFormat="1" x14ac:dyDescent="0.2"/>
    <row r="9686" customFormat="1" x14ac:dyDescent="0.2"/>
    <row r="9687" customFormat="1" x14ac:dyDescent="0.2"/>
    <row r="9688" customFormat="1" x14ac:dyDescent="0.2"/>
    <row r="9689" customFormat="1" x14ac:dyDescent="0.2"/>
    <row r="9690" customFormat="1" x14ac:dyDescent="0.2"/>
    <row r="9691" customFormat="1" x14ac:dyDescent="0.2"/>
    <row r="9692" customFormat="1" x14ac:dyDescent="0.2"/>
    <row r="9693" customFormat="1" x14ac:dyDescent="0.2"/>
    <row r="9694" customFormat="1" x14ac:dyDescent="0.2"/>
    <row r="9695" customFormat="1" x14ac:dyDescent="0.2"/>
    <row r="9696" customFormat="1" x14ac:dyDescent="0.2"/>
    <row r="9697" customFormat="1" x14ac:dyDescent="0.2"/>
    <row r="9698" customFormat="1" x14ac:dyDescent="0.2"/>
    <row r="9699" customFormat="1" x14ac:dyDescent="0.2"/>
    <row r="9700" customFormat="1" x14ac:dyDescent="0.2"/>
    <row r="9701" customFormat="1" x14ac:dyDescent="0.2"/>
    <row r="9702" customFormat="1" x14ac:dyDescent="0.2"/>
    <row r="9703" customFormat="1" x14ac:dyDescent="0.2"/>
    <row r="9704" customFormat="1" x14ac:dyDescent="0.2"/>
    <row r="9705" customFormat="1" x14ac:dyDescent="0.2"/>
    <row r="9706" customFormat="1" x14ac:dyDescent="0.2"/>
    <row r="9707" customFormat="1" x14ac:dyDescent="0.2"/>
    <row r="9708" customFormat="1" x14ac:dyDescent="0.2"/>
    <row r="9709" customFormat="1" x14ac:dyDescent="0.2"/>
    <row r="9710" customFormat="1" x14ac:dyDescent="0.2"/>
    <row r="9711" customFormat="1" x14ac:dyDescent="0.2"/>
    <row r="9712" customFormat="1" x14ac:dyDescent="0.2"/>
    <row r="9713" customFormat="1" x14ac:dyDescent="0.2"/>
    <row r="9714" customFormat="1" x14ac:dyDescent="0.2"/>
    <row r="9715" customFormat="1" x14ac:dyDescent="0.2"/>
    <row r="9716" customFormat="1" x14ac:dyDescent="0.2"/>
    <row r="9717" customFormat="1" x14ac:dyDescent="0.2"/>
    <row r="9718" customFormat="1" x14ac:dyDescent="0.2"/>
    <row r="9719" customFormat="1" x14ac:dyDescent="0.2"/>
    <row r="9720" customFormat="1" x14ac:dyDescent="0.2"/>
    <row r="9721" customFormat="1" x14ac:dyDescent="0.2"/>
    <row r="9722" customFormat="1" x14ac:dyDescent="0.2"/>
    <row r="9723" customFormat="1" x14ac:dyDescent="0.2"/>
    <row r="9724" customFormat="1" x14ac:dyDescent="0.2"/>
    <row r="9725" customFormat="1" x14ac:dyDescent="0.2"/>
    <row r="9726" customFormat="1" x14ac:dyDescent="0.2"/>
    <row r="9727" customFormat="1" x14ac:dyDescent="0.2"/>
    <row r="9728" customFormat="1" x14ac:dyDescent="0.2"/>
    <row r="9729" customFormat="1" x14ac:dyDescent="0.2"/>
    <row r="9730" customFormat="1" x14ac:dyDescent="0.2"/>
    <row r="9731" customFormat="1" x14ac:dyDescent="0.2"/>
    <row r="9732" customFormat="1" x14ac:dyDescent="0.2"/>
    <row r="9733" customFormat="1" x14ac:dyDescent="0.2"/>
    <row r="9734" customFormat="1" x14ac:dyDescent="0.2"/>
    <row r="9735" customFormat="1" x14ac:dyDescent="0.2"/>
    <row r="9736" customFormat="1" x14ac:dyDescent="0.2"/>
    <row r="9737" customFormat="1" x14ac:dyDescent="0.2"/>
    <row r="9738" customFormat="1" x14ac:dyDescent="0.2"/>
    <row r="9739" customFormat="1" x14ac:dyDescent="0.2"/>
    <row r="9740" customFormat="1" x14ac:dyDescent="0.2"/>
    <row r="9741" customFormat="1" x14ac:dyDescent="0.2"/>
    <row r="9742" customFormat="1" x14ac:dyDescent="0.2"/>
    <row r="9743" customFormat="1" x14ac:dyDescent="0.2"/>
    <row r="9744" customFormat="1" x14ac:dyDescent="0.2"/>
    <row r="9745" customFormat="1" x14ac:dyDescent="0.2"/>
    <row r="9746" customFormat="1" x14ac:dyDescent="0.2"/>
    <row r="9747" customFormat="1" x14ac:dyDescent="0.2"/>
    <row r="9748" customFormat="1" x14ac:dyDescent="0.2"/>
    <row r="9749" customFormat="1" x14ac:dyDescent="0.2"/>
    <row r="9750" customFormat="1" x14ac:dyDescent="0.2"/>
    <row r="9751" customFormat="1" x14ac:dyDescent="0.2"/>
    <row r="9752" customFormat="1" x14ac:dyDescent="0.2"/>
    <row r="9753" customFormat="1" x14ac:dyDescent="0.2"/>
    <row r="9754" customFormat="1" x14ac:dyDescent="0.2"/>
    <row r="9755" customFormat="1" x14ac:dyDescent="0.2"/>
    <row r="9756" customFormat="1" x14ac:dyDescent="0.2"/>
    <row r="9757" customFormat="1" x14ac:dyDescent="0.2"/>
    <row r="9758" customFormat="1" x14ac:dyDescent="0.2"/>
    <row r="9759" customFormat="1" x14ac:dyDescent="0.2"/>
    <row r="9760" customFormat="1" x14ac:dyDescent="0.2"/>
    <row r="9761" customFormat="1" x14ac:dyDescent="0.2"/>
    <row r="9762" customFormat="1" x14ac:dyDescent="0.2"/>
    <row r="9763" customFormat="1" x14ac:dyDescent="0.2"/>
    <row r="9764" customFormat="1" x14ac:dyDescent="0.2"/>
    <row r="9765" customFormat="1" x14ac:dyDescent="0.2"/>
    <row r="9766" customFormat="1" x14ac:dyDescent="0.2"/>
    <row r="9767" customFormat="1" x14ac:dyDescent="0.2"/>
    <row r="9768" customFormat="1" x14ac:dyDescent="0.2"/>
    <row r="9769" customFormat="1" x14ac:dyDescent="0.2"/>
    <row r="9770" customFormat="1" x14ac:dyDescent="0.2"/>
    <row r="9771" customFormat="1" x14ac:dyDescent="0.2"/>
    <row r="9772" customFormat="1" x14ac:dyDescent="0.2"/>
    <row r="9773" customFormat="1" x14ac:dyDescent="0.2"/>
    <row r="9774" customFormat="1" x14ac:dyDescent="0.2"/>
    <row r="9775" customFormat="1" x14ac:dyDescent="0.2"/>
    <row r="9776" customFormat="1" x14ac:dyDescent="0.2"/>
    <row r="9777" customFormat="1" x14ac:dyDescent="0.2"/>
    <row r="9778" customFormat="1" x14ac:dyDescent="0.2"/>
    <row r="9779" customFormat="1" x14ac:dyDescent="0.2"/>
    <row r="9780" customFormat="1" x14ac:dyDescent="0.2"/>
    <row r="9781" customFormat="1" x14ac:dyDescent="0.2"/>
    <row r="9782" customFormat="1" x14ac:dyDescent="0.2"/>
    <row r="9783" customFormat="1" x14ac:dyDescent="0.2"/>
    <row r="9784" customFormat="1" x14ac:dyDescent="0.2"/>
    <row r="9785" customFormat="1" x14ac:dyDescent="0.2"/>
    <row r="9786" customFormat="1" x14ac:dyDescent="0.2"/>
    <row r="9787" customFormat="1" x14ac:dyDescent="0.2"/>
    <row r="9788" customFormat="1" x14ac:dyDescent="0.2"/>
    <row r="9789" customFormat="1" x14ac:dyDescent="0.2"/>
    <row r="9790" customFormat="1" x14ac:dyDescent="0.2"/>
    <row r="9791" customFormat="1" x14ac:dyDescent="0.2"/>
    <row r="9792" customFormat="1" x14ac:dyDescent="0.2"/>
    <row r="9793" customFormat="1" x14ac:dyDescent="0.2"/>
    <row r="9794" customFormat="1" x14ac:dyDescent="0.2"/>
    <row r="9795" customFormat="1" x14ac:dyDescent="0.2"/>
    <row r="9796" customFormat="1" x14ac:dyDescent="0.2"/>
    <row r="9797" customFormat="1" x14ac:dyDescent="0.2"/>
    <row r="9798" customFormat="1" x14ac:dyDescent="0.2"/>
    <row r="9799" customFormat="1" x14ac:dyDescent="0.2"/>
    <row r="9800" customFormat="1" x14ac:dyDescent="0.2"/>
    <row r="9801" customFormat="1" x14ac:dyDescent="0.2"/>
    <row r="9802" customFormat="1" x14ac:dyDescent="0.2"/>
    <row r="9803" customFormat="1" x14ac:dyDescent="0.2"/>
    <row r="9804" customFormat="1" x14ac:dyDescent="0.2"/>
    <row r="9805" customFormat="1" x14ac:dyDescent="0.2"/>
    <row r="9806" customFormat="1" x14ac:dyDescent="0.2"/>
    <row r="9807" customFormat="1" x14ac:dyDescent="0.2"/>
    <row r="9808" customFormat="1" x14ac:dyDescent="0.2"/>
    <row r="9809" customFormat="1" x14ac:dyDescent="0.2"/>
    <row r="9810" customFormat="1" x14ac:dyDescent="0.2"/>
    <row r="9811" customFormat="1" x14ac:dyDescent="0.2"/>
    <row r="9812" customFormat="1" x14ac:dyDescent="0.2"/>
    <row r="9813" customFormat="1" x14ac:dyDescent="0.2"/>
    <row r="9814" customFormat="1" x14ac:dyDescent="0.2"/>
    <row r="9815" customFormat="1" x14ac:dyDescent="0.2"/>
    <row r="9816" customFormat="1" x14ac:dyDescent="0.2"/>
    <row r="9817" customFormat="1" x14ac:dyDescent="0.2"/>
    <row r="9818" customFormat="1" x14ac:dyDescent="0.2"/>
    <row r="9819" customFormat="1" x14ac:dyDescent="0.2"/>
    <row r="9820" customFormat="1" x14ac:dyDescent="0.2"/>
    <row r="9821" customFormat="1" x14ac:dyDescent="0.2"/>
    <row r="9822" customFormat="1" x14ac:dyDescent="0.2"/>
    <row r="9823" customFormat="1" x14ac:dyDescent="0.2"/>
    <row r="9824" customFormat="1" x14ac:dyDescent="0.2"/>
    <row r="9825" customFormat="1" x14ac:dyDescent="0.2"/>
    <row r="9826" customFormat="1" x14ac:dyDescent="0.2"/>
    <row r="9827" customFormat="1" x14ac:dyDescent="0.2"/>
    <row r="9828" customFormat="1" x14ac:dyDescent="0.2"/>
    <row r="9829" customFormat="1" x14ac:dyDescent="0.2"/>
    <row r="9830" customFormat="1" x14ac:dyDescent="0.2"/>
    <row r="9831" customFormat="1" x14ac:dyDescent="0.2"/>
    <row r="9832" customFormat="1" x14ac:dyDescent="0.2"/>
    <row r="9833" customFormat="1" x14ac:dyDescent="0.2"/>
    <row r="9834" customFormat="1" x14ac:dyDescent="0.2"/>
    <row r="9835" customFormat="1" x14ac:dyDescent="0.2"/>
    <row r="9836" customFormat="1" x14ac:dyDescent="0.2"/>
    <row r="9837" customFormat="1" x14ac:dyDescent="0.2"/>
    <row r="9838" customFormat="1" x14ac:dyDescent="0.2"/>
    <row r="9839" customFormat="1" x14ac:dyDescent="0.2"/>
    <row r="9840" customFormat="1" x14ac:dyDescent="0.2"/>
    <row r="9841" customFormat="1" x14ac:dyDescent="0.2"/>
    <row r="9842" customFormat="1" x14ac:dyDescent="0.2"/>
    <row r="9843" customFormat="1" x14ac:dyDescent="0.2"/>
    <row r="9844" customFormat="1" x14ac:dyDescent="0.2"/>
    <row r="9845" customFormat="1" x14ac:dyDescent="0.2"/>
    <row r="9846" customFormat="1" x14ac:dyDescent="0.2"/>
    <row r="9847" customFormat="1" x14ac:dyDescent="0.2"/>
    <row r="9848" customFormat="1" x14ac:dyDescent="0.2"/>
    <row r="9849" customFormat="1" x14ac:dyDescent="0.2"/>
    <row r="9850" customFormat="1" x14ac:dyDescent="0.2"/>
    <row r="9851" customFormat="1" x14ac:dyDescent="0.2"/>
    <row r="9852" customFormat="1" x14ac:dyDescent="0.2"/>
    <row r="9853" customFormat="1" x14ac:dyDescent="0.2"/>
    <row r="9854" customFormat="1" x14ac:dyDescent="0.2"/>
    <row r="9855" customFormat="1" x14ac:dyDescent="0.2"/>
    <row r="9856" customFormat="1" x14ac:dyDescent="0.2"/>
    <row r="9857" customFormat="1" x14ac:dyDescent="0.2"/>
    <row r="9858" customFormat="1" x14ac:dyDescent="0.2"/>
    <row r="9859" customFormat="1" x14ac:dyDescent="0.2"/>
    <row r="9860" customFormat="1" x14ac:dyDescent="0.2"/>
    <row r="9861" customFormat="1" x14ac:dyDescent="0.2"/>
    <row r="9862" customFormat="1" x14ac:dyDescent="0.2"/>
    <row r="9863" customFormat="1" x14ac:dyDescent="0.2"/>
    <row r="9864" customFormat="1" x14ac:dyDescent="0.2"/>
    <row r="9865" customFormat="1" x14ac:dyDescent="0.2"/>
    <row r="9866" customFormat="1" x14ac:dyDescent="0.2"/>
    <row r="9867" customFormat="1" x14ac:dyDescent="0.2"/>
    <row r="9868" customFormat="1" x14ac:dyDescent="0.2"/>
    <row r="9869" customFormat="1" x14ac:dyDescent="0.2"/>
    <row r="9870" customFormat="1" x14ac:dyDescent="0.2"/>
    <row r="9871" customFormat="1" x14ac:dyDescent="0.2"/>
    <row r="9872" customFormat="1" x14ac:dyDescent="0.2"/>
    <row r="9873" customFormat="1" x14ac:dyDescent="0.2"/>
    <row r="9874" customFormat="1" x14ac:dyDescent="0.2"/>
    <row r="9875" customFormat="1" x14ac:dyDescent="0.2"/>
    <row r="9876" customFormat="1" x14ac:dyDescent="0.2"/>
    <row r="9877" customFormat="1" x14ac:dyDescent="0.2"/>
    <row r="9878" customFormat="1" x14ac:dyDescent="0.2"/>
    <row r="9879" customFormat="1" x14ac:dyDescent="0.2"/>
    <row r="9880" customFormat="1" x14ac:dyDescent="0.2"/>
    <row r="9881" customFormat="1" x14ac:dyDescent="0.2"/>
    <row r="9882" customFormat="1" x14ac:dyDescent="0.2"/>
    <row r="9883" customFormat="1" x14ac:dyDescent="0.2"/>
    <row r="9884" customFormat="1" x14ac:dyDescent="0.2"/>
    <row r="9885" customFormat="1" x14ac:dyDescent="0.2"/>
    <row r="9886" customFormat="1" x14ac:dyDescent="0.2"/>
    <row r="9887" customFormat="1" x14ac:dyDescent="0.2"/>
    <row r="9888" customFormat="1" x14ac:dyDescent="0.2"/>
    <row r="9889" customFormat="1" x14ac:dyDescent="0.2"/>
    <row r="9890" customFormat="1" x14ac:dyDescent="0.2"/>
    <row r="9891" customFormat="1" x14ac:dyDescent="0.2"/>
    <row r="9892" customFormat="1" x14ac:dyDescent="0.2"/>
    <row r="9893" customFormat="1" x14ac:dyDescent="0.2"/>
    <row r="9894" customFormat="1" x14ac:dyDescent="0.2"/>
    <row r="9895" customFormat="1" x14ac:dyDescent="0.2"/>
    <row r="9896" customFormat="1" x14ac:dyDescent="0.2"/>
    <row r="9897" customFormat="1" x14ac:dyDescent="0.2"/>
    <row r="9898" customFormat="1" x14ac:dyDescent="0.2"/>
    <row r="9899" customFormat="1" x14ac:dyDescent="0.2"/>
    <row r="9900" customFormat="1" x14ac:dyDescent="0.2"/>
    <row r="9901" customFormat="1" x14ac:dyDescent="0.2"/>
    <row r="9902" customFormat="1" x14ac:dyDescent="0.2"/>
    <row r="9903" customFormat="1" x14ac:dyDescent="0.2"/>
    <row r="9904" customFormat="1" x14ac:dyDescent="0.2"/>
    <row r="9905" customFormat="1" x14ac:dyDescent="0.2"/>
    <row r="9906" customFormat="1" x14ac:dyDescent="0.2"/>
    <row r="9907" customFormat="1" x14ac:dyDescent="0.2"/>
    <row r="9908" customFormat="1" x14ac:dyDescent="0.2"/>
    <row r="9909" customFormat="1" x14ac:dyDescent="0.2"/>
    <row r="9910" customFormat="1" x14ac:dyDescent="0.2"/>
    <row r="9911" customFormat="1" x14ac:dyDescent="0.2"/>
    <row r="9912" customFormat="1" x14ac:dyDescent="0.2"/>
    <row r="9913" customFormat="1" x14ac:dyDescent="0.2"/>
    <row r="9914" customFormat="1" x14ac:dyDescent="0.2"/>
    <row r="9915" customFormat="1" x14ac:dyDescent="0.2"/>
    <row r="9916" customFormat="1" x14ac:dyDescent="0.2"/>
    <row r="9917" customFormat="1" x14ac:dyDescent="0.2"/>
    <row r="9918" customFormat="1" x14ac:dyDescent="0.2"/>
    <row r="9919" customFormat="1" x14ac:dyDescent="0.2"/>
    <row r="9920" customFormat="1" x14ac:dyDescent="0.2"/>
    <row r="9921" customFormat="1" x14ac:dyDescent="0.2"/>
    <row r="9922" customFormat="1" x14ac:dyDescent="0.2"/>
    <row r="9923" customFormat="1" x14ac:dyDescent="0.2"/>
    <row r="9924" customFormat="1" x14ac:dyDescent="0.2"/>
    <row r="9925" customFormat="1" x14ac:dyDescent="0.2"/>
    <row r="9926" customFormat="1" x14ac:dyDescent="0.2"/>
    <row r="9927" customFormat="1" x14ac:dyDescent="0.2"/>
    <row r="9928" customFormat="1" x14ac:dyDescent="0.2"/>
    <row r="9929" customFormat="1" x14ac:dyDescent="0.2"/>
    <row r="9930" customFormat="1" x14ac:dyDescent="0.2"/>
    <row r="9931" customFormat="1" x14ac:dyDescent="0.2"/>
    <row r="9932" customFormat="1" x14ac:dyDescent="0.2"/>
    <row r="9933" customFormat="1" x14ac:dyDescent="0.2"/>
    <row r="9934" customFormat="1" x14ac:dyDescent="0.2"/>
    <row r="9935" customFormat="1" x14ac:dyDescent="0.2"/>
    <row r="9936" customFormat="1" x14ac:dyDescent="0.2"/>
    <row r="9937" customFormat="1" x14ac:dyDescent="0.2"/>
    <row r="9938" customFormat="1" x14ac:dyDescent="0.2"/>
    <row r="9939" customFormat="1" x14ac:dyDescent="0.2"/>
    <row r="9940" customFormat="1" x14ac:dyDescent="0.2"/>
    <row r="9941" customFormat="1" x14ac:dyDescent="0.2"/>
    <row r="9942" customFormat="1" x14ac:dyDescent="0.2"/>
    <row r="9943" customFormat="1" x14ac:dyDescent="0.2"/>
    <row r="9944" customFormat="1" x14ac:dyDescent="0.2"/>
    <row r="9945" customFormat="1" x14ac:dyDescent="0.2"/>
    <row r="9946" customFormat="1" x14ac:dyDescent="0.2"/>
    <row r="9947" customFormat="1" x14ac:dyDescent="0.2"/>
    <row r="9948" customFormat="1" x14ac:dyDescent="0.2"/>
    <row r="9949" customFormat="1" x14ac:dyDescent="0.2"/>
    <row r="9950" customFormat="1" x14ac:dyDescent="0.2"/>
    <row r="9951" customFormat="1" x14ac:dyDescent="0.2"/>
    <row r="9952" customFormat="1" x14ac:dyDescent="0.2"/>
    <row r="9953" customFormat="1" x14ac:dyDescent="0.2"/>
    <row r="9954" customFormat="1" x14ac:dyDescent="0.2"/>
    <row r="9955" customFormat="1" x14ac:dyDescent="0.2"/>
    <row r="9956" customFormat="1" x14ac:dyDescent="0.2"/>
    <row r="9957" customFormat="1" x14ac:dyDescent="0.2"/>
    <row r="9958" customFormat="1" x14ac:dyDescent="0.2"/>
    <row r="9959" customFormat="1" x14ac:dyDescent="0.2"/>
    <row r="9960" customFormat="1" x14ac:dyDescent="0.2"/>
    <row r="9961" customFormat="1" x14ac:dyDescent="0.2"/>
    <row r="9962" customFormat="1" x14ac:dyDescent="0.2"/>
    <row r="9963" customFormat="1" x14ac:dyDescent="0.2"/>
    <row r="9964" customFormat="1" x14ac:dyDescent="0.2"/>
    <row r="9965" customFormat="1" x14ac:dyDescent="0.2"/>
    <row r="9966" customFormat="1" x14ac:dyDescent="0.2"/>
    <row r="9967" customFormat="1" x14ac:dyDescent="0.2"/>
    <row r="9968" customFormat="1" x14ac:dyDescent="0.2"/>
    <row r="9969" customFormat="1" x14ac:dyDescent="0.2"/>
    <row r="9970" customFormat="1" x14ac:dyDescent="0.2"/>
    <row r="9971" customFormat="1" x14ac:dyDescent="0.2"/>
    <row r="9972" customFormat="1" x14ac:dyDescent="0.2"/>
    <row r="9973" customFormat="1" x14ac:dyDescent="0.2"/>
    <row r="9974" customFormat="1" x14ac:dyDescent="0.2"/>
    <row r="9975" customFormat="1" x14ac:dyDescent="0.2"/>
    <row r="9976" customFormat="1" x14ac:dyDescent="0.2"/>
    <row r="9977" customFormat="1" x14ac:dyDescent="0.2"/>
    <row r="9978" customFormat="1" x14ac:dyDescent="0.2"/>
    <row r="9979" customFormat="1" x14ac:dyDescent="0.2"/>
    <row r="9980" customFormat="1" x14ac:dyDescent="0.2"/>
    <row r="9981" customFormat="1" x14ac:dyDescent="0.2"/>
    <row r="9982" customFormat="1" x14ac:dyDescent="0.2"/>
    <row r="9983" customFormat="1" x14ac:dyDescent="0.2"/>
    <row r="9984" customFormat="1" x14ac:dyDescent="0.2"/>
    <row r="9985" customFormat="1" x14ac:dyDescent="0.2"/>
    <row r="9986" customFormat="1" x14ac:dyDescent="0.2"/>
    <row r="9987" customFormat="1" x14ac:dyDescent="0.2"/>
    <row r="9988" customFormat="1" x14ac:dyDescent="0.2"/>
    <row r="9989" customFormat="1" x14ac:dyDescent="0.2"/>
    <row r="9990" customFormat="1" x14ac:dyDescent="0.2"/>
    <row r="9991" customFormat="1" x14ac:dyDescent="0.2"/>
    <row r="9992" customFormat="1" x14ac:dyDescent="0.2"/>
    <row r="9993" customFormat="1" x14ac:dyDescent="0.2"/>
    <row r="9994" customFormat="1" x14ac:dyDescent="0.2"/>
    <row r="9995" customFormat="1" x14ac:dyDescent="0.2"/>
    <row r="9996" customFormat="1" x14ac:dyDescent="0.2"/>
    <row r="9997" customFormat="1" x14ac:dyDescent="0.2"/>
    <row r="9998" customFormat="1" x14ac:dyDescent="0.2"/>
    <row r="9999" customFormat="1" x14ac:dyDescent="0.2"/>
    <row r="10000" customFormat="1" x14ac:dyDescent="0.2"/>
  </sheetData>
  <sheetProtection formatCells="0" formatColumns="0" formatRows="0"/>
  <mergeCells count="4">
    <mergeCell ref="E13:G13"/>
    <mergeCell ref="K13:M13"/>
    <mergeCell ref="W13:Y13"/>
    <mergeCell ref="Q13:S13"/>
  </mergeCells>
  <conditionalFormatting sqref="L15:M50 AC15:AC50">
    <cfRule type="cellIs" dxfId="10" priority="8" stopIfTrue="1" operator="equal">
      <formula>0</formula>
    </cfRule>
  </conditionalFormatting>
  <conditionalFormatting sqref="U15:U50 O15:S50">
    <cfRule type="cellIs" dxfId="9" priority="7" stopIfTrue="1" operator="equal">
      <formula>0</formula>
    </cfRule>
  </conditionalFormatting>
  <conditionalFormatting sqref="F15:G50">
    <cfRule type="cellIs" dxfId="8" priority="10" stopIfTrue="1" operator="equal">
      <formula>0</formula>
    </cfRule>
  </conditionalFormatting>
  <conditionalFormatting sqref="I15:J50">
    <cfRule type="cellIs" dxfId="7" priority="9" stopIfTrue="1" operator="equal">
      <formula>0</formula>
    </cfRule>
  </conditionalFormatting>
  <conditionalFormatting sqref="W15:Y50">
    <cfRule type="cellIs" dxfId="6" priority="6" stopIfTrue="1" operator="equal">
      <formula>0</formula>
    </cfRule>
  </conditionalFormatting>
  <conditionalFormatting sqref="AA15:AA50">
    <cfRule type="cellIs" dxfId="5" priority="4" stopIfTrue="1" operator="equal">
      <formula>0</formula>
    </cfRule>
  </conditionalFormatting>
  <conditionalFormatting sqref="Z15:Z50">
    <cfRule type="cellIs" dxfId="4" priority="5" stopIfTrue="1" operator="equal">
      <formula>0</formula>
    </cfRule>
  </conditionalFormatting>
  <conditionalFormatting sqref="T15:T50">
    <cfRule type="cellIs" dxfId="3" priority="3" stopIfTrue="1" operator="equal">
      <formula>0</formula>
    </cfRule>
  </conditionalFormatting>
  <conditionalFormatting sqref="H15:H50">
    <cfRule type="cellIs" dxfId="2" priority="2" stopIfTrue="1" operator="equal">
      <formula>0</formula>
    </cfRule>
  </conditionalFormatting>
  <conditionalFormatting sqref="N15:N50">
    <cfRule type="cellIs" dxfId="1" priority="1" stopIfTrue="1" operator="equal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10"/>
  <dimension ref="A1:I10000"/>
  <sheetViews>
    <sheetView topLeftCell="A12" workbookViewId="0">
      <pane xSplit="1" ySplit="3" topLeftCell="B15" activePane="bottomRight" state="frozen"/>
      <selection activeCell="A12" sqref="A12"/>
      <selection pane="topRight" activeCell="B12" sqref="B12"/>
      <selection pane="bottomLeft" activeCell="A15" sqref="A15"/>
      <selection pane="bottomRight"/>
    </sheetView>
  </sheetViews>
  <sheetFormatPr defaultColWidth="8.85546875" defaultRowHeight="12.75" x14ac:dyDescent="0.2"/>
  <cols>
    <col min="1" max="1" width="8.85546875" style="96"/>
    <col min="2" max="2" width="11.85546875" style="298" customWidth="1"/>
    <col min="3" max="3" width="11" style="298" customWidth="1"/>
    <col min="4" max="4" width="13.85546875" style="308" customWidth="1"/>
    <col min="5" max="5" width="12.5703125" style="298" customWidth="1"/>
    <col min="6" max="6" width="13.140625" style="96" customWidth="1"/>
    <col min="7" max="7" width="12.5703125" style="96" customWidth="1"/>
    <col min="8" max="8" width="13.42578125" style="96" customWidth="1"/>
    <col min="9" max="9" width="14.140625" style="96" customWidth="1"/>
    <col min="10" max="10" width="8.85546875" style="295"/>
    <col min="11" max="11" width="12.5703125" style="295" customWidth="1"/>
    <col min="12" max="16384" width="8.85546875" style="295"/>
  </cols>
  <sheetData>
    <row r="1" spans="1:9" hidden="1" x14ac:dyDescent="0.2">
      <c r="B1" s="297"/>
      <c r="C1" s="297"/>
      <c r="D1" s="305"/>
      <c r="E1" s="297"/>
    </row>
    <row r="2" spans="1:9" hidden="1" x14ac:dyDescent="0.2">
      <c r="B2" s="297"/>
      <c r="C2" s="297"/>
      <c r="D2" s="305"/>
      <c r="E2" s="297"/>
    </row>
    <row r="3" spans="1:9" hidden="1" x14ac:dyDescent="0.2">
      <c r="B3" s="297"/>
      <c r="C3" s="297"/>
      <c r="D3" s="305"/>
      <c r="E3" s="297"/>
    </row>
    <row r="4" spans="1:9" hidden="1" x14ac:dyDescent="0.2">
      <c r="B4" s="297"/>
      <c r="C4" s="297"/>
      <c r="D4" s="305"/>
      <c r="E4" s="297"/>
    </row>
    <row r="5" spans="1:9" hidden="1" x14ac:dyDescent="0.2">
      <c r="B5" s="297"/>
      <c r="C5" s="297"/>
      <c r="D5" s="305"/>
      <c r="E5" s="297"/>
    </row>
    <row r="6" spans="1:9" hidden="1" x14ac:dyDescent="0.2">
      <c r="B6" s="297"/>
      <c r="C6" s="297"/>
      <c r="D6" s="305"/>
      <c r="E6" s="297"/>
    </row>
    <row r="7" spans="1:9" hidden="1" x14ac:dyDescent="0.2">
      <c r="B7" s="297"/>
      <c r="C7" s="297"/>
      <c r="D7" s="305"/>
      <c r="E7" s="297"/>
    </row>
    <row r="8" spans="1:9" hidden="1" x14ac:dyDescent="0.2">
      <c r="B8" s="297"/>
      <c r="C8" s="297"/>
      <c r="D8" s="305"/>
      <c r="E8" s="297"/>
    </row>
    <row r="9" spans="1:9" hidden="1" x14ac:dyDescent="0.2">
      <c r="B9" s="297"/>
      <c r="C9" s="297"/>
      <c r="D9" s="305"/>
      <c r="E9" s="297"/>
    </row>
    <row r="10" spans="1:9" hidden="1" x14ac:dyDescent="0.2">
      <c r="B10" s="297"/>
      <c r="C10" s="297"/>
      <c r="D10" s="305"/>
      <c r="E10" s="297"/>
    </row>
    <row r="11" spans="1:9" hidden="1" x14ac:dyDescent="0.2">
      <c r="B11" s="300"/>
      <c r="C11" s="300"/>
      <c r="D11" s="306"/>
      <c r="E11" s="300"/>
    </row>
    <row r="12" spans="1:9" ht="12.75" customHeight="1" x14ac:dyDescent="0.2">
      <c r="B12" s="505" t="s">
        <v>230</v>
      </c>
      <c r="C12" s="506"/>
      <c r="D12" s="507" t="s">
        <v>231</v>
      </c>
      <c r="E12" s="508"/>
      <c r="F12" s="507" t="s">
        <v>367</v>
      </c>
      <c r="G12" s="508"/>
      <c r="H12" s="507" t="s">
        <v>93</v>
      </c>
      <c r="I12" s="508"/>
    </row>
    <row r="13" spans="1:9" ht="41.25" customHeight="1" x14ac:dyDescent="0.2">
      <c r="B13" s="505"/>
      <c r="C13" s="506"/>
      <c r="D13" s="509"/>
      <c r="E13" s="510"/>
      <c r="F13" s="509"/>
      <c r="G13" s="510"/>
      <c r="H13" s="509"/>
      <c r="I13" s="510"/>
    </row>
    <row r="14" spans="1:9" ht="45" x14ac:dyDescent="0.2">
      <c r="A14" s="301" t="s">
        <v>371</v>
      </c>
      <c r="B14" s="307" t="s">
        <v>378</v>
      </c>
      <c r="C14" s="307" t="s">
        <v>379</v>
      </c>
      <c r="D14" s="307" t="s">
        <v>378</v>
      </c>
      <c r="E14" s="307" t="s">
        <v>379</v>
      </c>
      <c r="F14" s="307" t="s">
        <v>378</v>
      </c>
      <c r="G14" s="307" t="s">
        <v>379</v>
      </c>
      <c r="H14" s="307" t="s">
        <v>378</v>
      </c>
      <c r="I14" s="307" t="s">
        <v>379</v>
      </c>
    </row>
    <row r="15" spans="1:9" s="91" customFormat="1" x14ac:dyDescent="0.2">
      <c r="A15" s="99" t="str">
        <f>RedBasica!E15</f>
        <v>MS_A_1-001</v>
      </c>
      <c r="B15" s="95">
        <f>RedBasica!Y15</f>
        <v>189.2</v>
      </c>
      <c r="C15" s="95">
        <f>RedBasica!Z15</f>
        <v>187.53</v>
      </c>
      <c r="D15" s="95">
        <f>IF(ISERR(RedBasica!AA15),"-",RedBasica!AA15)</f>
        <v>188.14999999999998</v>
      </c>
      <c r="E15" s="95">
        <f>IF(ISERR(RedBasica!AB15),"-",RedBasica!AB15)</f>
        <v>186.48</v>
      </c>
      <c r="F15" s="95">
        <f>IF(ISERR(RedBasica!F15=0),"-",RedBasica!AC15)</f>
        <v>188.29999999999998</v>
      </c>
      <c r="G15" s="95">
        <f>IF(ISERR(RedBasica!F15=0),"-",RedBasica!AD15)</f>
        <v>186.63</v>
      </c>
      <c r="H15" s="95">
        <f>IF(ISERR(RedBasica!F15=0),"-",RedBasica!AA15+RedBasica!AM15)</f>
        <v>188.17453936539891</v>
      </c>
      <c r="I15" s="95">
        <f>IF(ISERR(RedBasica!F15=0),"-",RedBasica!AB15+RedBasica!AM15)</f>
        <v>186.50453936539893</v>
      </c>
    </row>
    <row r="16" spans="1:9" customFormat="1" x14ac:dyDescent="0.2">
      <c r="A16" s="99" t="str">
        <f>RedBasica!E16</f>
        <v>MS_A_1-002</v>
      </c>
      <c r="B16" s="95">
        <f>RedBasica!Y16</f>
        <v>187.53</v>
      </c>
      <c r="C16" s="95">
        <f>RedBasica!Z16</f>
        <v>186.74</v>
      </c>
      <c r="D16" s="95">
        <f>IF(ISERR(RedBasica!AA16),"-",RedBasica!AA16)</f>
        <v>185.879875</v>
      </c>
      <c r="E16" s="95">
        <f>IF(ISERR(RedBasica!AB16),"-",RedBasica!AB16)</f>
        <v>185.67409000000001</v>
      </c>
      <c r="F16" s="95">
        <f>IF(ISERR(RedBasica!F16=0),"-",RedBasica!AC16)</f>
        <v>186.029875</v>
      </c>
      <c r="G16" s="95">
        <f>IF(ISERR(RedBasica!F16=0),"-",RedBasica!AD16)</f>
        <v>185.82409000000001</v>
      </c>
      <c r="H16" s="95">
        <f>IF(ISERR(RedBasica!F16=0),"-",RedBasica!AA16+RedBasica!AM16)</f>
        <v>185.91871368578936</v>
      </c>
      <c r="I16" s="95">
        <f>IF(ISERR(RedBasica!F16=0),"-",RedBasica!AB16+RedBasica!AM16)</f>
        <v>185.71292868578936</v>
      </c>
    </row>
    <row r="17" spans="1:9" customFormat="1" x14ac:dyDescent="0.2">
      <c r="A17" s="99" t="str">
        <f>RedBasica!E17</f>
        <v>MS_A_1-003</v>
      </c>
      <c r="B17" s="95">
        <f>RedBasica!Y17</f>
        <v>186.74</v>
      </c>
      <c r="C17" s="95">
        <f>RedBasica!Z17</f>
        <v>185.96</v>
      </c>
      <c r="D17" s="95">
        <f>IF(ISERR(RedBasica!AA17),"-",RedBasica!AA17)</f>
        <v>185.67409000000001</v>
      </c>
      <c r="E17" s="95">
        <f>IF(ISERR(RedBasica!AB17),"-",RedBasica!AB17)</f>
        <v>184.91</v>
      </c>
      <c r="F17" s="95">
        <f>IF(ISERR(RedBasica!F17=0),"-",RedBasica!AC17)</f>
        <v>185.82409000000001</v>
      </c>
      <c r="G17" s="95">
        <f>IF(ISERR(RedBasica!F17=0),"-",RedBasica!AD17)</f>
        <v>185.06</v>
      </c>
      <c r="H17" s="95">
        <f>IF(ISERR(RedBasica!F17=0),"-",RedBasica!AA17+RedBasica!AM17)</f>
        <v>185.70383895140492</v>
      </c>
      <c r="I17" s="95">
        <f>IF(ISERR(RedBasica!F17=0),"-",RedBasica!AB17+RedBasica!AM17)</f>
        <v>184.93974895140491</v>
      </c>
    </row>
    <row r="18" spans="1:9" customFormat="1" x14ac:dyDescent="0.2">
      <c r="A18" s="99" t="str">
        <f>RedBasica!E18</f>
        <v>MS_A_1-004</v>
      </c>
      <c r="B18" s="95">
        <f>RedBasica!Y18</f>
        <v>185.96</v>
      </c>
      <c r="C18" s="95">
        <f>RedBasica!Z18</f>
        <v>184.51</v>
      </c>
      <c r="D18" s="95">
        <f>IF(ISERR(RedBasica!AA18),"-",RedBasica!AA18)</f>
        <v>184.91</v>
      </c>
      <c r="E18" s="95">
        <f>IF(ISERR(RedBasica!AB18),"-",RedBasica!AB18)</f>
        <v>183.45999999999998</v>
      </c>
      <c r="F18" s="95">
        <f>IF(ISERR(RedBasica!F18=0),"-",RedBasica!AC18)</f>
        <v>185.06</v>
      </c>
      <c r="G18" s="95">
        <f>IF(ISERR(RedBasica!F18=0),"-",RedBasica!AD18)</f>
        <v>183.60999999999999</v>
      </c>
      <c r="H18" s="95">
        <f>IF(ISERR(RedBasica!F18=0),"-",RedBasica!AA18+RedBasica!AM18)</f>
        <v>184.93316392760121</v>
      </c>
      <c r="I18" s="95">
        <f>IF(ISERR(RedBasica!F18=0),"-",RedBasica!AB18+RedBasica!AM18)</f>
        <v>183.4831639276012</v>
      </c>
    </row>
    <row r="19" spans="1:9" customFormat="1" x14ac:dyDescent="0.2">
      <c r="A19" s="99" t="str">
        <f>RedBasica!E19</f>
        <v>MS_A_1-005</v>
      </c>
      <c r="B19" s="95">
        <f>RedBasica!Y19</f>
        <v>184.51</v>
      </c>
      <c r="C19" s="95">
        <f>RedBasica!Z19</f>
        <v>182</v>
      </c>
      <c r="D19" s="95">
        <f>IF(ISERR(RedBasica!AA19),"-",RedBasica!AA19)</f>
        <v>183.45999999999998</v>
      </c>
      <c r="E19" s="95">
        <f>IF(ISERR(RedBasica!AB19),"-",RedBasica!AB19)</f>
        <v>180.95</v>
      </c>
      <c r="F19" s="95">
        <f>IF(ISERR(RedBasica!F19=0),"-",RedBasica!AC19)</f>
        <v>183.60999999999999</v>
      </c>
      <c r="G19" s="95">
        <f>IF(ISERR(RedBasica!F19=0),"-",RedBasica!AD19)</f>
        <v>181.1</v>
      </c>
      <c r="H19" s="95">
        <f>IF(ISERR(RedBasica!F19=0),"-",RedBasica!AA19+RedBasica!AM19)</f>
        <v>183.48845013425912</v>
      </c>
      <c r="I19" s="95">
        <f>IF(ISERR(RedBasica!F19=0),"-",RedBasica!AB19+RedBasica!AM19)</f>
        <v>180.97845013425913</v>
      </c>
    </row>
    <row r="20" spans="1:9" customFormat="1" x14ac:dyDescent="0.2">
      <c r="A20" s="99" t="str">
        <f>RedBasica!E20</f>
        <v>MS_A_1-006</v>
      </c>
      <c r="B20" s="95">
        <f>RedBasica!Y20</f>
        <v>182</v>
      </c>
      <c r="C20" s="95">
        <f>RedBasica!Z20</f>
        <v>181.64</v>
      </c>
      <c r="D20" s="95">
        <f>IF(ISERR(RedBasica!AA20),"-",RedBasica!AA20)</f>
        <v>180.95</v>
      </c>
      <c r="E20" s="95">
        <f>IF(ISERR(RedBasica!AB20),"-",RedBasica!AB20)</f>
        <v>180.58999999999997</v>
      </c>
      <c r="F20" s="95">
        <f>IF(ISERR(RedBasica!F20=0),"-",RedBasica!AC20)</f>
        <v>181.1</v>
      </c>
      <c r="G20" s="95">
        <f>IF(ISERR(RedBasica!F20=0),"-",RedBasica!AD20)</f>
        <v>180.73999999999998</v>
      </c>
      <c r="H20" s="95">
        <f>IF(ISERR(RedBasica!F20=0),"-",RedBasica!AA20+RedBasica!AM20)</f>
        <v>180.98595147808618</v>
      </c>
      <c r="I20" s="95">
        <f>IF(ISERR(RedBasica!F20=0),"-",RedBasica!AB20+RedBasica!AM20)</f>
        <v>180.62595147808617</v>
      </c>
    </row>
    <row r="21" spans="1:9" customFormat="1" x14ac:dyDescent="0.2">
      <c r="A21" s="99" t="str">
        <f>RedBasica!E21</f>
        <v>MS_A_1-007</v>
      </c>
      <c r="B21" s="95">
        <f>RedBasica!Y21</f>
        <v>181.64</v>
      </c>
      <c r="C21" s="95">
        <f>RedBasica!Z21</f>
        <v>180.98</v>
      </c>
      <c r="D21" s="95">
        <f>IF(ISERR(RedBasica!AA21),"-",RedBasica!AA21)</f>
        <v>180.58999999999997</v>
      </c>
      <c r="E21" s="95">
        <f>IF(ISERR(RedBasica!AB21),"-",RedBasica!AB21)</f>
        <v>179.92999999999998</v>
      </c>
      <c r="F21" s="95">
        <f>IF(ISERR(RedBasica!F21=0),"-",RedBasica!AC21)</f>
        <v>180.73999999999998</v>
      </c>
      <c r="G21" s="95">
        <f>IF(ISERR(RedBasica!F21=0),"-",RedBasica!AD21)</f>
        <v>180.07999999999998</v>
      </c>
      <c r="H21" s="95">
        <f>IF(ISERR(RedBasica!F21=0),"-",RedBasica!AA21+RedBasica!AM21)</f>
        <v>180.63033258375521</v>
      </c>
      <c r="I21" s="95">
        <f>IF(ISERR(RedBasica!F21=0),"-",RedBasica!AB21+RedBasica!AM21)</f>
        <v>179.97033258375521</v>
      </c>
    </row>
    <row r="22" spans="1:9" customFormat="1" x14ac:dyDescent="0.2">
      <c r="A22" s="99" t="str">
        <f>RedBasica!E22</f>
        <v>MS_A_1-008</v>
      </c>
      <c r="B22" s="95">
        <f>RedBasica!Y22</f>
        <v>180.98</v>
      </c>
      <c r="C22" s="95">
        <f>RedBasica!Z22</f>
        <v>180.99</v>
      </c>
      <c r="D22" s="95">
        <f>IF(ISERR(RedBasica!AA22),"-",RedBasica!AA22)</f>
        <v>179.866075</v>
      </c>
      <c r="E22" s="95">
        <f>IF(ISERR(RedBasica!AB22),"-",RedBasica!AB22)</f>
        <v>179.589325</v>
      </c>
      <c r="F22" s="95">
        <f>IF(ISERR(RedBasica!F22=0),"-",RedBasica!AC22)</f>
        <v>180.016075</v>
      </c>
      <c r="G22" s="95">
        <f>IF(ISERR(RedBasica!F22=0),"-",RedBasica!AD22)</f>
        <v>179.73932500000001</v>
      </c>
      <c r="H22" s="95">
        <f>IF(ISERR(RedBasica!F22=0),"-",RedBasica!AA22+RedBasica!AM22)</f>
        <v>179.91397761603756</v>
      </c>
      <c r="I22" s="95">
        <f>IF(ISERR(RedBasica!F22=0),"-",RedBasica!AB22+RedBasica!AM22)</f>
        <v>179.63722761603756</v>
      </c>
    </row>
    <row r="23" spans="1:9" customFormat="1" x14ac:dyDescent="0.2">
      <c r="A23" s="99" t="str">
        <f>RedBasica!E23</f>
        <v>MS_A_1-009</v>
      </c>
      <c r="B23" s="95">
        <f>RedBasica!Y23</f>
        <v>180.99</v>
      </c>
      <c r="C23" s="95">
        <f>RedBasica!Z23</f>
        <v>180.78</v>
      </c>
      <c r="D23" s="95">
        <f>IF(ISERR(RedBasica!AA23),"-",RedBasica!AA23)</f>
        <v>179.589325</v>
      </c>
      <c r="E23" s="95">
        <f>IF(ISERR(RedBasica!AB23),"-",RedBasica!AB23)</f>
        <v>179.35951</v>
      </c>
      <c r="F23" s="95">
        <f>IF(ISERR(RedBasica!F23=0),"-",RedBasica!AC23)</f>
        <v>179.73932500000001</v>
      </c>
      <c r="G23" s="95">
        <f>IF(ISERR(RedBasica!F23=0),"-",RedBasica!AD23)</f>
        <v>179.50951000000001</v>
      </c>
      <c r="H23" s="95">
        <f>IF(ISERR(RedBasica!F23=0),"-",RedBasica!AA23+RedBasica!AM23)</f>
        <v>179.63723327138698</v>
      </c>
      <c r="I23" s="95">
        <f>IF(ISERR(RedBasica!F23=0),"-",RedBasica!AB23+RedBasica!AM23)</f>
        <v>179.40741827138697</v>
      </c>
    </row>
    <row r="24" spans="1:9" customFormat="1" x14ac:dyDescent="0.2">
      <c r="A24" s="99" t="str">
        <f>RedBasica!E24</f>
        <v>MS_A_1-010</v>
      </c>
      <c r="B24" s="95">
        <f>RedBasica!Y24</f>
        <v>180.78</v>
      </c>
      <c r="C24" s="95">
        <f>RedBasica!Z24</f>
        <v>180.99</v>
      </c>
      <c r="D24" s="95">
        <f>IF(ISERR(RedBasica!AA24),"-",RedBasica!AA24)</f>
        <v>179.157895</v>
      </c>
      <c r="E24" s="95">
        <f>IF(ISERR(RedBasica!AB24),"-",RedBasica!AB24)</f>
        <v>178.88951499999999</v>
      </c>
      <c r="F24" s="95">
        <f>IF(ISERR(RedBasica!F24=0),"-",RedBasica!AC24)</f>
        <v>179.307895</v>
      </c>
      <c r="G24" s="95">
        <f>IF(ISERR(RedBasica!F24=0),"-",RedBasica!AD24)</f>
        <v>179.03951499999999</v>
      </c>
      <c r="H24" s="95">
        <f>IF(ISERR(RedBasica!F24=0),"-",RedBasica!AA24+RedBasica!AM24)</f>
        <v>179.20583842921187</v>
      </c>
      <c r="I24" s="95">
        <f>IF(ISERR(RedBasica!F24=0),"-",RedBasica!AB24+RedBasica!AM24)</f>
        <v>178.93745842921186</v>
      </c>
    </row>
    <row r="25" spans="1:9" customFormat="1" x14ac:dyDescent="0.2">
      <c r="A25" s="99" t="str">
        <f>RedBasica!E25</f>
        <v>MS_A_1-011</v>
      </c>
      <c r="B25" s="95">
        <f>RedBasica!Y25</f>
        <v>180.99</v>
      </c>
      <c r="C25" s="95">
        <f>RedBasica!Z25</f>
        <v>180.44</v>
      </c>
      <c r="D25" s="95">
        <f>IF(ISERR(RedBasica!AA25),"-",RedBasica!AA25)</f>
        <v>178.88951499999999</v>
      </c>
      <c r="E25" s="95">
        <f>IF(ISERR(RedBasica!AB25),"-",RedBasica!AB25)</f>
        <v>178.55907999999999</v>
      </c>
      <c r="F25" s="95">
        <f>IF(ISERR(RedBasica!F25=0),"-",RedBasica!AC25)</f>
        <v>179.03951499999999</v>
      </c>
      <c r="G25" s="95">
        <f>IF(ISERR(RedBasica!F25=0),"-",RedBasica!AD25)</f>
        <v>178.70908</v>
      </c>
      <c r="H25" s="95">
        <f>IF(ISERR(RedBasica!F25=0),"-",RedBasica!AA25+RedBasica!AM25)</f>
        <v>178.93746655530933</v>
      </c>
      <c r="I25" s="95">
        <f>IF(ISERR(RedBasica!F25=0),"-",RedBasica!AB25+RedBasica!AM25)</f>
        <v>178.60703155530933</v>
      </c>
    </row>
    <row r="26" spans="1:9" customFormat="1" x14ac:dyDescent="0.2">
      <c r="A26" s="99" t="str">
        <f>RedBasica!E26</f>
        <v>MS_A_1-012</v>
      </c>
      <c r="B26" s="95">
        <f>RedBasica!Y26</f>
        <v>180.44</v>
      </c>
      <c r="C26" s="95">
        <f>RedBasica!Z26</f>
        <v>179.94</v>
      </c>
      <c r="D26" s="95">
        <f>IF(ISERR(RedBasica!AA26),"-",RedBasica!AA26)</f>
        <v>178.55907999999999</v>
      </c>
      <c r="E26" s="95">
        <f>IF(ISERR(RedBasica!AB26),"-",RedBasica!AB26)</f>
        <v>178.24227999999999</v>
      </c>
      <c r="F26" s="95">
        <f>IF(ISERR(RedBasica!F26=0),"-",RedBasica!AC26)</f>
        <v>178.70908</v>
      </c>
      <c r="G26" s="95">
        <f>IF(ISERR(RedBasica!F26=0),"-",RedBasica!AD26)</f>
        <v>178.39228</v>
      </c>
      <c r="H26" s="95">
        <f>IF(ISERR(RedBasica!F26=0),"-",RedBasica!AA26+RedBasica!AM26)</f>
        <v>178.60711819698358</v>
      </c>
      <c r="I26" s="95">
        <f>IF(ISERR(RedBasica!F26=0),"-",RedBasica!AB26+RedBasica!AM26)</f>
        <v>178.29031819698358</v>
      </c>
    </row>
    <row r="27" spans="1:9" customFormat="1" x14ac:dyDescent="0.2">
      <c r="A27" s="99" t="str">
        <f>RedBasica!E27</f>
        <v>MS_A_2-001</v>
      </c>
      <c r="B27" s="95">
        <f>RedBasica!Y27</f>
        <v>182.69</v>
      </c>
      <c r="C27" s="95">
        <f>RedBasica!Z27</f>
        <v>182.76</v>
      </c>
      <c r="D27" s="95">
        <f>IF(ISERR(RedBasica!AA27),"-",RedBasica!AA27)</f>
        <v>181.64</v>
      </c>
      <c r="E27" s="95">
        <f>IF(ISERR(RedBasica!AB27),"-",RedBasica!AB27)</f>
        <v>181.435205</v>
      </c>
      <c r="F27" s="95">
        <f>IF(ISERR(RedBasica!F27=0),"-",RedBasica!AC27)</f>
        <v>181.79</v>
      </c>
      <c r="G27" s="95">
        <f>IF(ISERR(RedBasica!F27=0),"-",RedBasica!AD27)</f>
        <v>181.585205</v>
      </c>
      <c r="H27" s="95">
        <f>IF(ISERR(RedBasica!F27=0),"-",RedBasica!AA27+RedBasica!AM27)</f>
        <v>181.67883868578934</v>
      </c>
      <c r="I27" s="95">
        <f>IF(ISERR(RedBasica!F27=0),"-",RedBasica!AB27+RedBasica!AM27)</f>
        <v>181.47404368578935</v>
      </c>
    </row>
    <row r="28" spans="1:9" customFormat="1" x14ac:dyDescent="0.2">
      <c r="A28" s="99" t="str">
        <f>RedBasica!E28</f>
        <v>MS_A_2-002</v>
      </c>
      <c r="B28" s="95">
        <f>RedBasica!Y28</f>
        <v>182.76</v>
      </c>
      <c r="C28" s="95">
        <f>RedBasica!Z28</f>
        <v>182.16</v>
      </c>
      <c r="D28" s="95">
        <f>IF(ISERR(RedBasica!AA28),"-",RedBasica!AA28)</f>
        <v>181.435205</v>
      </c>
      <c r="E28" s="95">
        <f>IF(ISERR(RedBasica!AB28),"-",RedBasica!AB28)</f>
        <v>181.10999999999999</v>
      </c>
      <c r="F28" s="95">
        <f>IF(ISERR(RedBasica!F28=0),"-",RedBasica!AC28)</f>
        <v>181.585205</v>
      </c>
      <c r="G28" s="95">
        <f>IF(ISERR(RedBasica!F28=0),"-",RedBasica!AD28)</f>
        <v>181.26</v>
      </c>
      <c r="H28" s="95">
        <f>IF(ISERR(RedBasica!F28=0),"-",RedBasica!AA28+RedBasica!AM28)</f>
        <v>181.47057359081916</v>
      </c>
      <c r="I28" s="95">
        <f>IF(ISERR(RedBasica!F28=0),"-",RedBasica!AB28+RedBasica!AM28)</f>
        <v>181.14536859081915</v>
      </c>
    </row>
    <row r="29" spans="1:9" customFormat="1" x14ac:dyDescent="0.2">
      <c r="A29" s="99" t="str">
        <f>RedBasica!E29</f>
        <v>MS_A_2-003</v>
      </c>
      <c r="B29" s="95">
        <f>RedBasica!Y29</f>
        <v>182.16</v>
      </c>
      <c r="C29" s="95">
        <f>RedBasica!Z29</f>
        <v>180.91</v>
      </c>
      <c r="D29" s="95">
        <f>IF(ISERR(RedBasica!AA29),"-",RedBasica!AA29)</f>
        <v>181.10999999999999</v>
      </c>
      <c r="E29" s="95">
        <f>IF(ISERR(RedBasica!AB29),"-",RedBasica!AB29)</f>
        <v>179.85999999999999</v>
      </c>
      <c r="F29" s="95">
        <f>IF(ISERR(RedBasica!F29=0),"-",RedBasica!AC29)</f>
        <v>181.26</v>
      </c>
      <c r="G29" s="95">
        <f>IF(ISERR(RedBasica!F29=0),"-",RedBasica!AD29)</f>
        <v>180.01</v>
      </c>
      <c r="H29" s="95">
        <f>IF(ISERR(RedBasica!F29=0),"-",RedBasica!AA29+RedBasica!AM29)</f>
        <v>181.13864538955909</v>
      </c>
      <c r="I29" s="95">
        <f>IF(ISERR(RedBasica!F29=0),"-",RedBasica!AB29+RedBasica!AM29)</f>
        <v>179.88864538955909</v>
      </c>
    </row>
    <row r="30" spans="1:9" customFormat="1" x14ac:dyDescent="0.2">
      <c r="A30" s="99" t="str">
        <f>RedBasica!E30</f>
        <v>MS_A_2-004</v>
      </c>
      <c r="B30" s="95">
        <f>RedBasica!Y30</f>
        <v>180.91</v>
      </c>
      <c r="C30" s="95">
        <f>RedBasica!Z30</f>
        <v>180.31</v>
      </c>
      <c r="D30" s="95">
        <f>IF(ISERR(RedBasica!AA30),"-",RedBasica!AA30)</f>
        <v>179.85999999999999</v>
      </c>
      <c r="E30" s="95">
        <f>IF(ISERR(RedBasica!AB30),"-",RedBasica!AB30)</f>
        <v>179.26</v>
      </c>
      <c r="F30" s="95">
        <f>IF(ISERR(RedBasica!F30=0),"-",RedBasica!AC30)</f>
        <v>180.01</v>
      </c>
      <c r="G30" s="95">
        <f>IF(ISERR(RedBasica!F30=0),"-",RedBasica!AD30)</f>
        <v>179.41</v>
      </c>
      <c r="H30" s="95">
        <f>IF(ISERR(RedBasica!F30=0),"-",RedBasica!AA30+RedBasica!AM30)</f>
        <v>179.89152950852414</v>
      </c>
      <c r="I30" s="95">
        <f>IF(ISERR(RedBasica!F30=0),"-",RedBasica!AB30+RedBasica!AM30)</f>
        <v>179.29152950852415</v>
      </c>
    </row>
    <row r="31" spans="1:9" customFormat="1" x14ac:dyDescent="0.2">
      <c r="A31" s="99" t="str">
        <f>RedBasica!E31</f>
        <v>MS_A_2-005</v>
      </c>
      <c r="B31" s="95">
        <f>RedBasica!Y31</f>
        <v>180.31</v>
      </c>
      <c r="C31" s="95">
        <f>RedBasica!Z31</f>
        <v>180.78</v>
      </c>
      <c r="D31" s="95">
        <f>IF(ISERR(RedBasica!AA31),"-",RedBasica!AA31)</f>
        <v>179.26</v>
      </c>
      <c r="E31" s="95">
        <f>IF(ISERR(RedBasica!AB31),"-",RedBasica!AB31)</f>
        <v>179.157895</v>
      </c>
      <c r="F31" s="95">
        <f>IF(ISERR(RedBasica!F31=0),"-",RedBasica!AC31)</f>
        <v>179.41</v>
      </c>
      <c r="G31" s="95">
        <f>IF(ISERR(RedBasica!F31=0),"-",RedBasica!AD31)</f>
        <v>179.307895</v>
      </c>
      <c r="H31" s="95">
        <f>IF(ISERR(RedBasica!F31=0),"-",RedBasica!AA31+RedBasica!AM31)</f>
        <v>179.29883868578935</v>
      </c>
      <c r="I31" s="95">
        <f>IF(ISERR(RedBasica!F31=0),"-",RedBasica!AB31+RedBasica!AM31)</f>
        <v>179.19673368578935</v>
      </c>
    </row>
    <row r="32" spans="1:9" customFormat="1" x14ac:dyDescent="0.2">
      <c r="A32" s="99" t="str">
        <f>RedBasica!E32</f>
        <v>MS_A_3-001</v>
      </c>
      <c r="B32" s="95">
        <f>RedBasica!Y32</f>
        <v>189.18</v>
      </c>
      <c r="C32" s="95">
        <f>RedBasica!Z32</f>
        <v>187.3</v>
      </c>
      <c r="D32" s="95">
        <f>IF(ISERR(RedBasica!AA32),"-",RedBasica!AA32)</f>
        <v>188.13</v>
      </c>
      <c r="E32" s="95">
        <f>IF(ISERR(RedBasica!AB32),"-",RedBasica!AB32)</f>
        <v>186.25</v>
      </c>
      <c r="F32" s="95">
        <f>IF(ISERR(RedBasica!F32=0),"-",RedBasica!AC32)</f>
        <v>188.28</v>
      </c>
      <c r="G32" s="95">
        <f>IF(ISERR(RedBasica!F32=0),"-",RedBasica!AD32)</f>
        <v>186.4</v>
      </c>
      <c r="H32" s="95">
        <f>IF(ISERR(RedBasica!F32=0),"-",RedBasica!AA32+RedBasica!AM32)</f>
        <v>188.15292861627714</v>
      </c>
      <c r="I32" s="95">
        <f>IF(ISERR(RedBasica!F32=0),"-",RedBasica!AB32+RedBasica!AM32)</f>
        <v>186.27292861627714</v>
      </c>
    </row>
    <row r="33" spans="1:9" customFormat="1" x14ac:dyDescent="0.2">
      <c r="A33" s="99" t="str">
        <f>RedBasica!E33</f>
        <v>MS_A_3-002</v>
      </c>
      <c r="B33" s="95">
        <f>RedBasica!Y33</f>
        <v>187.3</v>
      </c>
      <c r="C33" s="95">
        <f>RedBasica!Z33</f>
        <v>187.53</v>
      </c>
      <c r="D33" s="95">
        <f>IF(ISERR(RedBasica!AA33),"-",RedBasica!AA33)</f>
        <v>186.25</v>
      </c>
      <c r="E33" s="95">
        <f>IF(ISERR(RedBasica!AB33),"-",RedBasica!AB33)</f>
        <v>185.879875</v>
      </c>
      <c r="F33" s="95">
        <f>IF(ISERR(RedBasica!F33=0),"-",RedBasica!AC33)</f>
        <v>186.4</v>
      </c>
      <c r="G33" s="95">
        <f>IF(ISERR(RedBasica!F33=0),"-",RedBasica!AD33)</f>
        <v>186.029875</v>
      </c>
      <c r="H33" s="95">
        <f>IF(ISERR(RedBasica!F33=0),"-",RedBasica!AA33+RedBasica!AM33)</f>
        <v>186.28883868578936</v>
      </c>
      <c r="I33" s="95">
        <f>IF(ISERR(RedBasica!F33=0),"-",RedBasica!AB33+RedBasica!AM33)</f>
        <v>185.91871368578936</v>
      </c>
    </row>
    <row r="34" spans="1:9" customFormat="1" x14ac:dyDescent="0.2">
      <c r="A34" s="99" t="str">
        <f>RedBasica!E34</f>
        <v>MS_A_4-001</v>
      </c>
      <c r="B34" s="95">
        <f>RedBasica!Y34</f>
        <v>189.66</v>
      </c>
      <c r="C34" s="95">
        <f>RedBasica!Z34</f>
        <v>189.67</v>
      </c>
      <c r="D34" s="95">
        <f>IF(ISERR(RedBasica!AA34),"-",RedBasica!AA34)</f>
        <v>188.60999999999999</v>
      </c>
      <c r="E34" s="95">
        <f>IF(ISERR(RedBasica!AB34),"-",RedBasica!AB34)</f>
        <v>188.38468499999999</v>
      </c>
      <c r="F34" s="95">
        <f>IF(ISERR(RedBasica!F34=0),"-",RedBasica!AC34)</f>
        <v>188.76</v>
      </c>
      <c r="G34" s="95">
        <f>IF(ISERR(RedBasica!F34=0),"-",RedBasica!AD34)</f>
        <v>188.534685</v>
      </c>
      <c r="H34" s="95">
        <f>IF(ISERR(RedBasica!F34=0),"-",RedBasica!AA34+RedBasica!AM34)</f>
        <v>188.64883868578934</v>
      </c>
      <c r="I34" s="95">
        <f>IF(ISERR(RedBasica!F34=0),"-",RedBasica!AB34+RedBasica!AM34)</f>
        <v>188.42352368578935</v>
      </c>
    </row>
    <row r="35" spans="1:9" customFormat="1" x14ac:dyDescent="0.2">
      <c r="A35" s="99" t="str">
        <f>RedBasica!E35</f>
        <v>MS_A_4-002</v>
      </c>
      <c r="B35" s="95">
        <f>RedBasica!Y35</f>
        <v>189.67</v>
      </c>
      <c r="C35" s="95">
        <f>RedBasica!Z35</f>
        <v>189.51</v>
      </c>
      <c r="D35" s="95">
        <f>IF(ISERR(RedBasica!AA35),"-",RedBasica!AA35)</f>
        <v>188.38468499999999</v>
      </c>
      <c r="E35" s="95">
        <f>IF(ISERR(RedBasica!AB35),"-",RedBasica!AB35)</f>
        <v>188.28699</v>
      </c>
      <c r="F35" s="95">
        <f>IF(ISERR(RedBasica!F35=0),"-",RedBasica!AC35)</f>
        <v>188.534685</v>
      </c>
      <c r="G35" s="95">
        <f>IF(ISERR(RedBasica!F35=0),"-",RedBasica!AD35)</f>
        <v>188.43699000000001</v>
      </c>
      <c r="H35" s="95">
        <f>IF(ISERR(RedBasica!F35=0),"-",RedBasica!AA35+RedBasica!AM35)</f>
        <v>188.42352368578935</v>
      </c>
      <c r="I35" s="95">
        <f>IF(ISERR(RedBasica!F35=0),"-",RedBasica!AB35+RedBasica!AM35)</f>
        <v>188.32582868578936</v>
      </c>
    </row>
    <row r="36" spans="1:9" customFormat="1" x14ac:dyDescent="0.2">
      <c r="A36" s="99" t="str">
        <f>RedBasica!E36</f>
        <v>MS_A_4-003</v>
      </c>
      <c r="B36" s="95">
        <f>RedBasica!Y36</f>
        <v>189.51</v>
      </c>
      <c r="C36" s="95">
        <f>RedBasica!Z36</f>
        <v>189.44</v>
      </c>
      <c r="D36" s="95">
        <f>IF(ISERR(RedBasica!AA36),"-",RedBasica!AA36)</f>
        <v>188.28699</v>
      </c>
      <c r="E36" s="95">
        <f>IF(ISERR(RedBasica!AB36),"-",RedBasica!AB36)</f>
        <v>188.03561999999999</v>
      </c>
      <c r="F36" s="95">
        <f>IF(ISERR(RedBasica!F36=0),"-",RedBasica!AC36)</f>
        <v>188.43699000000001</v>
      </c>
      <c r="G36" s="95">
        <f>IF(ISERR(RedBasica!F36=0),"-",RedBasica!AD36)</f>
        <v>188.18562</v>
      </c>
      <c r="H36" s="95">
        <f>IF(ISERR(RedBasica!F36=0),"-",RedBasica!AA36+RedBasica!AM36)</f>
        <v>188.32582868578936</v>
      </c>
      <c r="I36" s="95">
        <f>IF(ISERR(RedBasica!F36=0),"-",RedBasica!AB36+RedBasica!AM36)</f>
        <v>188.07445868578935</v>
      </c>
    </row>
    <row r="37" spans="1:9" customFormat="1" x14ac:dyDescent="0.2">
      <c r="A37" s="99" t="str">
        <f>RedBasica!E37</f>
        <v>MS_A_4-004</v>
      </c>
      <c r="B37" s="95">
        <f>RedBasica!Y37</f>
        <v>189.44</v>
      </c>
      <c r="C37" s="95">
        <f>RedBasica!Z37</f>
        <v>189.06</v>
      </c>
      <c r="D37" s="95">
        <f>IF(ISERR(RedBasica!AA37),"-",RedBasica!AA37)</f>
        <v>188.03561999999999</v>
      </c>
      <c r="E37" s="95">
        <f>IF(ISERR(RedBasica!AB37),"-",RedBasica!AB37)</f>
        <v>187.81179</v>
      </c>
      <c r="F37" s="95">
        <f>IF(ISERR(RedBasica!F37=0),"-",RedBasica!AC37)</f>
        <v>188.18562</v>
      </c>
      <c r="G37" s="95">
        <f>IF(ISERR(RedBasica!F37=0),"-",RedBasica!AD37)</f>
        <v>187.96179000000001</v>
      </c>
      <c r="H37" s="95">
        <f>IF(ISERR(RedBasica!F37=0),"-",RedBasica!AA37+RedBasica!AM37)</f>
        <v>188.07445868578935</v>
      </c>
      <c r="I37" s="95">
        <f>IF(ISERR(RedBasica!F37=0),"-",RedBasica!AB37+RedBasica!AM37)</f>
        <v>187.85062868578936</v>
      </c>
    </row>
    <row r="38" spans="1:9" customFormat="1" x14ac:dyDescent="0.2">
      <c r="A38" s="99" t="str">
        <f>RedBasica!E38</f>
        <v>MS_A_4-005</v>
      </c>
      <c r="B38" s="95">
        <f>RedBasica!Y38</f>
        <v>189.06</v>
      </c>
      <c r="C38" s="95">
        <f>RedBasica!Z38</f>
        <v>189</v>
      </c>
      <c r="D38" s="95">
        <f>IF(ISERR(RedBasica!AA38),"-",RedBasica!AA38)</f>
        <v>187.81179</v>
      </c>
      <c r="E38" s="95">
        <f>IF(ISERR(RedBasica!AB38),"-",RedBasica!AB38)</f>
        <v>187.54093499999999</v>
      </c>
      <c r="F38" s="95">
        <f>IF(ISERR(RedBasica!F38=0),"-",RedBasica!AC38)</f>
        <v>187.96179000000001</v>
      </c>
      <c r="G38" s="95">
        <f>IF(ISERR(RedBasica!F38=0),"-",RedBasica!AD38)</f>
        <v>187.690935</v>
      </c>
      <c r="H38" s="95">
        <f>IF(ISERR(RedBasica!F38=0),"-",RedBasica!AA38+RedBasica!AM38)</f>
        <v>187.85062868578936</v>
      </c>
      <c r="I38" s="95">
        <f>IF(ISERR(RedBasica!F38=0),"-",RedBasica!AB38+RedBasica!AM38)</f>
        <v>187.57977368578935</v>
      </c>
    </row>
    <row r="39" spans="1:9" customFormat="1" x14ac:dyDescent="0.2">
      <c r="A39" s="99" t="str">
        <f>RedBasica!E39</f>
        <v>MS_A_4-006</v>
      </c>
      <c r="B39" s="95">
        <f>RedBasica!Y39</f>
        <v>189</v>
      </c>
      <c r="C39" s="95">
        <f>RedBasica!Z39</f>
        <v>188.24</v>
      </c>
      <c r="D39" s="95">
        <f>IF(ISERR(RedBasica!AA39),"-",RedBasica!AA39)</f>
        <v>187.54093499999999</v>
      </c>
      <c r="E39" s="95">
        <f>IF(ISERR(RedBasica!AB39),"-",RedBasica!AB39)</f>
        <v>187.19</v>
      </c>
      <c r="F39" s="95">
        <f>IF(ISERR(RedBasica!F39=0),"-",RedBasica!AC39)</f>
        <v>187.690935</v>
      </c>
      <c r="G39" s="95">
        <f>IF(ISERR(RedBasica!F39=0),"-",RedBasica!AD39)</f>
        <v>187.34</v>
      </c>
      <c r="H39" s="95">
        <f>IF(ISERR(RedBasica!F39=0),"-",RedBasica!AA39+RedBasica!AM39)</f>
        <v>187.57633760965194</v>
      </c>
      <c r="I39" s="95">
        <f>IF(ISERR(RedBasica!F39=0),"-",RedBasica!AB39+RedBasica!AM39)</f>
        <v>187.22540260965195</v>
      </c>
    </row>
    <row r="40" spans="1:9" customFormat="1" x14ac:dyDescent="0.2">
      <c r="A40" s="99" t="str">
        <f>RedBasica!E40</f>
        <v>MS_A_4-007</v>
      </c>
      <c r="B40" s="95">
        <f>RedBasica!Y40</f>
        <v>188.24</v>
      </c>
      <c r="C40" s="95">
        <f>RedBasica!Z40</f>
        <v>184.83</v>
      </c>
      <c r="D40" s="95">
        <f>IF(ISERR(RedBasica!AA40),"-",RedBasica!AA40)</f>
        <v>186.39463499999999</v>
      </c>
      <c r="E40" s="95">
        <f>IF(ISERR(RedBasica!AB40),"-",RedBasica!AB40)</f>
        <v>183.78</v>
      </c>
      <c r="F40" s="95">
        <f>IF(ISERR(RedBasica!F40=0),"-",RedBasica!AC40)</f>
        <v>186.544635</v>
      </c>
      <c r="G40" s="95">
        <f>IF(ISERR(RedBasica!F40=0),"-",RedBasica!AD40)</f>
        <v>183.93</v>
      </c>
      <c r="H40" s="95">
        <f>IF(ISERR(RedBasica!F40=0),"-",RedBasica!AA40+RedBasica!AM40)</f>
        <v>186.41653643757525</v>
      </c>
      <c r="I40" s="95">
        <f>IF(ISERR(RedBasica!F40=0),"-",RedBasica!AB40+RedBasica!AM40)</f>
        <v>183.80190143757525</v>
      </c>
    </row>
    <row r="41" spans="1:9" customFormat="1" x14ac:dyDescent="0.2">
      <c r="A41" s="99" t="str">
        <f>RedBasica!E41</f>
        <v>MS_A_4-008</v>
      </c>
      <c r="B41" s="95">
        <f>RedBasica!Y41</f>
        <v>184.83</v>
      </c>
      <c r="C41" s="95">
        <f>RedBasica!Z41</f>
        <v>180.44</v>
      </c>
      <c r="D41" s="95">
        <f>IF(ISERR(RedBasica!AA41),"-",RedBasica!AA41)</f>
        <v>183.78</v>
      </c>
      <c r="E41" s="95">
        <f>IF(ISERR(RedBasica!AB41),"-",RedBasica!AB41)</f>
        <v>179.39</v>
      </c>
      <c r="F41" s="95">
        <f>IF(ISERR(RedBasica!F41=0),"-",RedBasica!AC41)</f>
        <v>183.93</v>
      </c>
      <c r="G41" s="95">
        <f>IF(ISERR(RedBasica!F41=0),"-",RedBasica!AD41)</f>
        <v>179.54</v>
      </c>
      <c r="H41" s="95">
        <f>IF(ISERR(RedBasica!F41=0),"-",RedBasica!AA41+RedBasica!AM41)</f>
        <v>183.80182051296114</v>
      </c>
      <c r="I41" s="95">
        <f>IF(ISERR(RedBasica!F41=0),"-",RedBasica!AB41+RedBasica!AM41)</f>
        <v>179.41182051296113</v>
      </c>
    </row>
    <row r="42" spans="1:9" customFormat="1" x14ac:dyDescent="0.2">
      <c r="A42" s="99" t="str">
        <f>RedBasica!E42</f>
        <v>MS_A_5-001</v>
      </c>
      <c r="B42" s="95">
        <f>RedBasica!Y42</f>
        <v>183.67</v>
      </c>
      <c r="C42" s="95">
        <f>RedBasica!Z42</f>
        <v>183.47</v>
      </c>
      <c r="D42" s="95">
        <f>IF(ISERR(RedBasica!AA42),"-",RedBasica!AA42)</f>
        <v>182.61999999999998</v>
      </c>
      <c r="E42" s="95">
        <f>IF(ISERR(RedBasica!AB42),"-",RedBasica!AB42)</f>
        <v>182.42</v>
      </c>
      <c r="F42" s="95">
        <f>IF(ISERR(RedBasica!F42=0),"-",RedBasica!AC42)</f>
        <v>182.76999999999998</v>
      </c>
      <c r="G42" s="95">
        <f>IF(ISERR(RedBasica!F42=0),"-",RedBasica!AD42)</f>
        <v>182.57</v>
      </c>
      <c r="H42" s="95">
        <f>IF(ISERR(RedBasica!F42=0),"-",RedBasica!AA42+RedBasica!AM42)</f>
        <v>182.65726947640556</v>
      </c>
      <c r="I42" s="95">
        <f>IF(ISERR(RedBasica!F42=0),"-",RedBasica!AB42+RedBasica!AM42)</f>
        <v>182.45726947640557</v>
      </c>
    </row>
    <row r="43" spans="1:9" customFormat="1" x14ac:dyDescent="0.2">
      <c r="A43" s="99" t="str">
        <f>RedBasica!E43</f>
        <v>MS_A_5-002</v>
      </c>
      <c r="B43" s="95">
        <f>RedBasica!Y43</f>
        <v>183.47</v>
      </c>
      <c r="C43" s="95">
        <f>RedBasica!Z43</f>
        <v>183.43</v>
      </c>
      <c r="D43" s="95">
        <f>IF(ISERR(RedBasica!AA43),"-",RedBasica!AA43)</f>
        <v>182.42</v>
      </c>
      <c r="E43" s="95">
        <f>IF(ISERR(RedBasica!AB43),"-",RedBasica!AB43)</f>
        <v>182.30336</v>
      </c>
      <c r="F43" s="95">
        <f>IF(ISERR(RedBasica!F43=0),"-",RedBasica!AC43)</f>
        <v>182.57</v>
      </c>
      <c r="G43" s="95">
        <f>IF(ISERR(RedBasica!F43=0),"-",RedBasica!AD43)</f>
        <v>182.45336</v>
      </c>
      <c r="H43" s="95">
        <f>IF(ISERR(RedBasica!F43=0),"-",RedBasica!AA43+RedBasica!AM43)</f>
        <v>182.45883868578935</v>
      </c>
      <c r="I43" s="95">
        <f>IF(ISERR(RedBasica!F43=0),"-",RedBasica!AB43+RedBasica!AM43)</f>
        <v>182.34219868578936</v>
      </c>
    </row>
    <row r="44" spans="1:9" customFormat="1" x14ac:dyDescent="0.2">
      <c r="A44" s="99" t="str">
        <f>RedBasica!E44</f>
        <v>MS_A_5-003</v>
      </c>
      <c r="B44" s="95">
        <f>RedBasica!Y44</f>
        <v>183.43</v>
      </c>
      <c r="C44" s="95">
        <f>RedBasica!Z44</f>
        <v>181.64</v>
      </c>
      <c r="D44" s="95">
        <f>IF(ISERR(RedBasica!AA44),"-",RedBasica!AA44)</f>
        <v>182.30336</v>
      </c>
      <c r="E44" s="95">
        <f>IF(ISERR(RedBasica!AB44),"-",RedBasica!AB44)</f>
        <v>180.58999999999997</v>
      </c>
      <c r="F44" s="95">
        <f>IF(ISERR(RedBasica!F44=0),"-",RedBasica!AC44)</f>
        <v>182.45336</v>
      </c>
      <c r="G44" s="95">
        <f>IF(ISERR(RedBasica!F44=0),"-",RedBasica!AD44)</f>
        <v>180.73999999999998</v>
      </c>
      <c r="H44" s="95">
        <f>IF(ISERR(RedBasica!F44=0),"-",RedBasica!AA44+RedBasica!AM44)</f>
        <v>182.32836340725908</v>
      </c>
      <c r="I44" s="95">
        <f>IF(ISERR(RedBasica!F44=0),"-",RedBasica!AB44+RedBasica!AM44)</f>
        <v>180.61500340725905</v>
      </c>
    </row>
    <row r="45" spans="1:9" customFormat="1" x14ac:dyDescent="0.2">
      <c r="A45" s="99" t="str">
        <f>RedBasica!E45</f>
        <v>MS_A_6-001</v>
      </c>
      <c r="B45" s="95">
        <f>RedBasica!Y45</f>
        <v>189.2</v>
      </c>
      <c r="C45" s="95">
        <f>RedBasica!Z45</f>
        <v>189.29</v>
      </c>
      <c r="D45" s="95">
        <f>IF(ISERR(RedBasica!AA45),"-",RedBasica!AA45)</f>
        <v>188.14999999999998</v>
      </c>
      <c r="E45" s="95">
        <f>IF(ISERR(RedBasica!AB45),"-",RedBasica!AB45)</f>
        <v>188.03502499999999</v>
      </c>
      <c r="F45" s="95">
        <f>IF(ISERR(RedBasica!F45=0),"-",RedBasica!AC45)</f>
        <v>188.29999999999998</v>
      </c>
      <c r="G45" s="95">
        <f>IF(ISERR(RedBasica!F45=0),"-",RedBasica!AD45)</f>
        <v>188.185025</v>
      </c>
      <c r="H45" s="95">
        <f>IF(ISERR(RedBasica!F45=0),"-",RedBasica!AA45+RedBasica!AM45)</f>
        <v>188.18883868578934</v>
      </c>
      <c r="I45" s="95">
        <f>IF(ISERR(RedBasica!F45=0),"-",RedBasica!AB45+RedBasica!AM45)</f>
        <v>188.07386368578935</v>
      </c>
    </row>
    <row r="46" spans="1:9" customFormat="1" x14ac:dyDescent="0.2">
      <c r="A46" s="99" t="str">
        <f>RedBasica!E46</f>
        <v>MS_A_6-002</v>
      </c>
      <c r="B46" s="95">
        <f>RedBasica!Y46</f>
        <v>189.29</v>
      </c>
      <c r="C46" s="95">
        <f>RedBasica!Z46</f>
        <v>189.16</v>
      </c>
      <c r="D46" s="95">
        <f>IF(ISERR(RedBasica!AA46),"-",RedBasica!AA46)</f>
        <v>188.03502499999999</v>
      </c>
      <c r="E46" s="95">
        <f>IF(ISERR(RedBasica!AB46),"-",RedBasica!AB46)</f>
        <v>187.69945999999999</v>
      </c>
      <c r="F46" s="95">
        <f>IF(ISERR(RedBasica!F46=0),"-",RedBasica!AC46)</f>
        <v>188.185025</v>
      </c>
      <c r="G46" s="95">
        <f>IF(ISERR(RedBasica!F46=0),"-",RedBasica!AD46)</f>
        <v>187.84945999999999</v>
      </c>
      <c r="H46" s="95">
        <f>IF(ISERR(RedBasica!F46=0),"-",RedBasica!AA46+RedBasica!AM46)</f>
        <v>188.07386368578935</v>
      </c>
      <c r="I46" s="95">
        <f>IF(ISERR(RedBasica!F46=0),"-",RedBasica!AB46+RedBasica!AM46)</f>
        <v>187.73829868578935</v>
      </c>
    </row>
    <row r="47" spans="1:9" customFormat="1" x14ac:dyDescent="0.2">
      <c r="A47" s="99" t="str">
        <f>RedBasica!E47</f>
        <v>MS_A_6-003</v>
      </c>
      <c r="B47" s="95">
        <f>RedBasica!Y47</f>
        <v>189.16</v>
      </c>
      <c r="C47" s="95">
        <f>RedBasica!Z47</f>
        <v>188.9</v>
      </c>
      <c r="D47" s="95">
        <f>IF(ISERR(RedBasica!AA47),"-",RedBasica!AA47)</f>
        <v>187.69945999999999</v>
      </c>
      <c r="E47" s="95">
        <f>IF(ISERR(RedBasica!AB47),"-",RedBasica!AB47)</f>
        <v>187.476935</v>
      </c>
      <c r="F47" s="95">
        <f>IF(ISERR(RedBasica!F47=0),"-",RedBasica!AC47)</f>
        <v>187.84945999999999</v>
      </c>
      <c r="G47" s="95">
        <f>IF(ISERR(RedBasica!F47=0),"-",RedBasica!AD47)</f>
        <v>187.626935</v>
      </c>
      <c r="H47" s="95">
        <f>IF(ISERR(RedBasica!F47=0),"-",RedBasica!AA47+RedBasica!AM47)</f>
        <v>187.73829868578935</v>
      </c>
      <c r="I47" s="95">
        <f>IF(ISERR(RedBasica!F47=0),"-",RedBasica!AB47+RedBasica!AM47)</f>
        <v>187.51577368578936</v>
      </c>
    </row>
    <row r="48" spans="1:9" customFormat="1" x14ac:dyDescent="0.2">
      <c r="A48" s="99" t="str">
        <f>RedBasica!E48</f>
        <v>MS_A_6-004</v>
      </c>
      <c r="B48" s="95">
        <f>RedBasica!Y48</f>
        <v>188.9</v>
      </c>
      <c r="C48" s="95">
        <f>RedBasica!Z48</f>
        <v>187.71</v>
      </c>
      <c r="D48" s="95">
        <f>IF(ISERR(RedBasica!AA48),"-",RedBasica!AA48)</f>
        <v>187.476935</v>
      </c>
      <c r="E48" s="95">
        <f>IF(ISERR(RedBasica!AB48),"-",RedBasica!AB48)</f>
        <v>186.66</v>
      </c>
      <c r="F48" s="95">
        <f>IF(ISERR(RedBasica!F48=0),"-",RedBasica!AC48)</f>
        <v>187.626935</v>
      </c>
      <c r="G48" s="95">
        <f>IF(ISERR(RedBasica!F48=0),"-",RedBasica!AD48)</f>
        <v>186.81</v>
      </c>
      <c r="H48" s="95">
        <f>IF(ISERR(RedBasica!F48=0),"-",RedBasica!AA48+RedBasica!AM48)</f>
        <v>187.50661462211457</v>
      </c>
      <c r="I48" s="95">
        <f>IF(ISERR(RedBasica!F48=0),"-",RedBasica!AB48+RedBasica!AM48)</f>
        <v>186.68967962211457</v>
      </c>
    </row>
    <row r="49" spans="1:9" customFormat="1" x14ac:dyDescent="0.2">
      <c r="A49" s="99" t="str">
        <f>RedBasica!E49</f>
        <v>MS_A_6-005</v>
      </c>
      <c r="B49" s="95">
        <f>RedBasica!Y49</f>
        <v>187.71</v>
      </c>
      <c r="C49" s="95">
        <f>RedBasica!Z49</f>
        <v>188.24</v>
      </c>
      <c r="D49" s="95">
        <f>IF(ISERR(RedBasica!AA49),"-",RedBasica!AA49)</f>
        <v>186.66</v>
      </c>
      <c r="E49" s="95">
        <f>IF(ISERR(RedBasica!AB49),"-",RedBasica!AB49)</f>
        <v>186.39463499999999</v>
      </c>
      <c r="F49" s="95">
        <f>IF(ISERR(RedBasica!F49=0),"-",RedBasica!AC49)</f>
        <v>186.81</v>
      </c>
      <c r="G49" s="95">
        <f>IF(ISERR(RedBasica!F49=0),"-",RedBasica!AD49)</f>
        <v>186.544635</v>
      </c>
      <c r="H49" s="95">
        <f>IF(ISERR(RedBasica!F49=0),"-",RedBasica!AA49+RedBasica!AM49)</f>
        <v>186.69883868578935</v>
      </c>
      <c r="I49" s="95">
        <f>IF(ISERR(RedBasica!F49=0),"-",RedBasica!AB49+RedBasica!AM49)</f>
        <v>186.43347368578935</v>
      </c>
    </row>
    <row r="50" spans="1:9" customFormat="1" x14ac:dyDescent="0.2">
      <c r="A50" s="99" t="str">
        <f>RedBasica!E50</f>
        <v>MS_A_7-001</v>
      </c>
      <c r="B50" s="95">
        <f>RedBasica!Y50</f>
        <v>181.18</v>
      </c>
      <c r="C50" s="95">
        <f>RedBasica!Z50</f>
        <v>180.98</v>
      </c>
      <c r="D50" s="95">
        <f>IF(ISERR(RedBasica!AA50),"-",RedBasica!AA50)</f>
        <v>180.13</v>
      </c>
      <c r="E50" s="95">
        <f>IF(ISERR(RedBasica!AB50),"-",RedBasica!AB50)</f>
        <v>179.866075</v>
      </c>
      <c r="F50" s="95">
        <f>IF(ISERR(RedBasica!F50=0),"-",RedBasica!AC50)</f>
        <v>180.28</v>
      </c>
      <c r="G50" s="95">
        <f>IF(ISERR(RedBasica!F50=0),"-",RedBasica!AD50)</f>
        <v>180.016075</v>
      </c>
      <c r="H50" s="95">
        <f>IF(ISERR(RedBasica!F50=0),"-",RedBasica!AA50+RedBasica!AM50)</f>
        <v>180.16883868578935</v>
      </c>
      <c r="I50" s="95">
        <f>IF(ISERR(RedBasica!F50=0),"-",RedBasica!AB50+RedBasica!AM50)</f>
        <v>179.90491368578935</v>
      </c>
    </row>
    <row r="51" spans="1:9" customFormat="1" x14ac:dyDescent="0.2"/>
    <row r="52" spans="1:9" customFormat="1" x14ac:dyDescent="0.2"/>
    <row r="53" spans="1:9" customFormat="1" x14ac:dyDescent="0.2"/>
    <row r="54" spans="1:9" customFormat="1" x14ac:dyDescent="0.2"/>
    <row r="55" spans="1:9" customFormat="1" x14ac:dyDescent="0.2"/>
    <row r="56" spans="1:9" customFormat="1" x14ac:dyDescent="0.2"/>
    <row r="57" spans="1:9" customFormat="1" x14ac:dyDescent="0.2"/>
    <row r="58" spans="1:9" customFormat="1" x14ac:dyDescent="0.2"/>
    <row r="59" spans="1:9" customFormat="1" x14ac:dyDescent="0.2"/>
    <row r="60" spans="1:9" customFormat="1" x14ac:dyDescent="0.2"/>
    <row r="61" spans="1:9" customFormat="1" x14ac:dyDescent="0.2"/>
    <row r="62" spans="1:9" customFormat="1" x14ac:dyDescent="0.2"/>
    <row r="63" spans="1:9" customFormat="1" x14ac:dyDescent="0.2"/>
    <row r="64" spans="1:9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  <row r="101" customFormat="1" x14ac:dyDescent="0.2"/>
    <row r="102" customFormat="1" x14ac:dyDescent="0.2"/>
    <row r="103" customFormat="1" x14ac:dyDescent="0.2"/>
    <row r="104" customFormat="1" x14ac:dyDescent="0.2"/>
    <row r="105" customFormat="1" x14ac:dyDescent="0.2"/>
    <row r="106" customFormat="1" x14ac:dyDescent="0.2"/>
    <row r="107" customFormat="1" x14ac:dyDescent="0.2"/>
    <row r="108" customFormat="1" x14ac:dyDescent="0.2"/>
    <row r="109" customFormat="1" x14ac:dyDescent="0.2"/>
    <row r="110" customFormat="1" x14ac:dyDescent="0.2"/>
    <row r="111" customFormat="1" x14ac:dyDescent="0.2"/>
    <row r="112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  <row r="119" customFormat="1" x14ac:dyDescent="0.2"/>
    <row r="120" customFormat="1" x14ac:dyDescent="0.2"/>
    <row r="121" customFormat="1" x14ac:dyDescent="0.2"/>
    <row r="122" customFormat="1" x14ac:dyDescent="0.2"/>
    <row r="123" customFormat="1" x14ac:dyDescent="0.2"/>
    <row r="124" customFormat="1" x14ac:dyDescent="0.2"/>
    <row r="125" customFormat="1" x14ac:dyDescent="0.2"/>
    <row r="126" customFormat="1" x14ac:dyDescent="0.2"/>
    <row r="127" customFormat="1" x14ac:dyDescent="0.2"/>
    <row r="128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  <row r="2796" customFormat="1" x14ac:dyDescent="0.2"/>
    <row r="2797" customFormat="1" x14ac:dyDescent="0.2"/>
    <row r="2798" customFormat="1" x14ac:dyDescent="0.2"/>
    <row r="2799" customFormat="1" x14ac:dyDescent="0.2"/>
    <row r="2800" customFormat="1" x14ac:dyDescent="0.2"/>
    <row r="2801" customFormat="1" x14ac:dyDescent="0.2"/>
    <row r="2802" customFormat="1" x14ac:dyDescent="0.2"/>
    <row r="2803" customFormat="1" x14ac:dyDescent="0.2"/>
    <row r="2804" customFormat="1" x14ac:dyDescent="0.2"/>
    <row r="2805" customFormat="1" x14ac:dyDescent="0.2"/>
    <row r="2806" customFormat="1" x14ac:dyDescent="0.2"/>
    <row r="2807" customFormat="1" x14ac:dyDescent="0.2"/>
    <row r="2808" customFormat="1" x14ac:dyDescent="0.2"/>
    <row r="2809" customFormat="1" x14ac:dyDescent="0.2"/>
    <row r="2810" customFormat="1" x14ac:dyDescent="0.2"/>
    <row r="2811" customFormat="1" x14ac:dyDescent="0.2"/>
    <row r="2812" customFormat="1" x14ac:dyDescent="0.2"/>
    <row r="2813" customFormat="1" x14ac:dyDescent="0.2"/>
    <row r="2814" customFormat="1" x14ac:dyDescent="0.2"/>
    <row r="2815" customFormat="1" x14ac:dyDescent="0.2"/>
    <row r="2816" customFormat="1" x14ac:dyDescent="0.2"/>
    <row r="2817" customFormat="1" x14ac:dyDescent="0.2"/>
    <row r="2818" customFormat="1" x14ac:dyDescent="0.2"/>
    <row r="2819" customFormat="1" x14ac:dyDescent="0.2"/>
    <row r="2820" customFormat="1" x14ac:dyDescent="0.2"/>
    <row r="2821" customFormat="1" x14ac:dyDescent="0.2"/>
    <row r="2822" customFormat="1" x14ac:dyDescent="0.2"/>
    <row r="2823" customFormat="1" x14ac:dyDescent="0.2"/>
    <row r="2824" customFormat="1" x14ac:dyDescent="0.2"/>
    <row r="2825" customFormat="1" x14ac:dyDescent="0.2"/>
    <row r="2826" customFormat="1" x14ac:dyDescent="0.2"/>
    <row r="2827" customFormat="1" x14ac:dyDescent="0.2"/>
    <row r="2828" customFormat="1" x14ac:dyDescent="0.2"/>
    <row r="2829" customFormat="1" x14ac:dyDescent="0.2"/>
    <row r="2830" customFormat="1" x14ac:dyDescent="0.2"/>
    <row r="2831" customFormat="1" x14ac:dyDescent="0.2"/>
    <row r="2832" customFormat="1" x14ac:dyDescent="0.2"/>
    <row r="2833" customFormat="1" x14ac:dyDescent="0.2"/>
    <row r="2834" customFormat="1" x14ac:dyDescent="0.2"/>
    <row r="2835" customFormat="1" x14ac:dyDescent="0.2"/>
    <row r="2836" customFormat="1" x14ac:dyDescent="0.2"/>
    <row r="2837" customFormat="1" x14ac:dyDescent="0.2"/>
    <row r="2838" customFormat="1" x14ac:dyDescent="0.2"/>
    <row r="2839" customFormat="1" x14ac:dyDescent="0.2"/>
    <row r="2840" customFormat="1" x14ac:dyDescent="0.2"/>
    <row r="2841" customFormat="1" x14ac:dyDescent="0.2"/>
    <row r="2842" customFormat="1" x14ac:dyDescent="0.2"/>
    <row r="2843" customFormat="1" x14ac:dyDescent="0.2"/>
    <row r="2844" customFormat="1" x14ac:dyDescent="0.2"/>
    <row r="2845" customFormat="1" x14ac:dyDescent="0.2"/>
    <row r="2846" customFormat="1" x14ac:dyDescent="0.2"/>
    <row r="2847" customFormat="1" x14ac:dyDescent="0.2"/>
    <row r="2848" customFormat="1" x14ac:dyDescent="0.2"/>
    <row r="2849" customFormat="1" x14ac:dyDescent="0.2"/>
    <row r="2850" customFormat="1" x14ac:dyDescent="0.2"/>
    <row r="2851" customFormat="1" x14ac:dyDescent="0.2"/>
    <row r="2852" customFormat="1" x14ac:dyDescent="0.2"/>
    <row r="2853" customFormat="1" x14ac:dyDescent="0.2"/>
    <row r="2854" customFormat="1" x14ac:dyDescent="0.2"/>
    <row r="2855" customFormat="1" x14ac:dyDescent="0.2"/>
    <row r="2856" customFormat="1" x14ac:dyDescent="0.2"/>
    <row r="2857" customFormat="1" x14ac:dyDescent="0.2"/>
    <row r="2858" customFormat="1" x14ac:dyDescent="0.2"/>
    <row r="2859" customFormat="1" x14ac:dyDescent="0.2"/>
    <row r="2860" customFormat="1" x14ac:dyDescent="0.2"/>
    <row r="2861" customFormat="1" x14ac:dyDescent="0.2"/>
    <row r="2862" customFormat="1" x14ac:dyDescent="0.2"/>
    <row r="2863" customFormat="1" x14ac:dyDescent="0.2"/>
    <row r="2864" customFormat="1" x14ac:dyDescent="0.2"/>
    <row r="2865" customFormat="1" x14ac:dyDescent="0.2"/>
    <row r="2866" customFormat="1" x14ac:dyDescent="0.2"/>
    <row r="2867" customFormat="1" x14ac:dyDescent="0.2"/>
    <row r="2868" customFormat="1" x14ac:dyDescent="0.2"/>
    <row r="2869" customFormat="1" x14ac:dyDescent="0.2"/>
    <row r="2870" customFormat="1" x14ac:dyDescent="0.2"/>
    <row r="2871" customFormat="1" x14ac:dyDescent="0.2"/>
    <row r="2872" customFormat="1" x14ac:dyDescent="0.2"/>
    <row r="2873" customFormat="1" x14ac:dyDescent="0.2"/>
    <row r="2874" customFormat="1" x14ac:dyDescent="0.2"/>
    <row r="2875" customFormat="1" x14ac:dyDescent="0.2"/>
    <row r="2876" customFormat="1" x14ac:dyDescent="0.2"/>
    <row r="2877" customFormat="1" x14ac:dyDescent="0.2"/>
    <row r="2878" customFormat="1" x14ac:dyDescent="0.2"/>
    <row r="2879" customFormat="1" x14ac:dyDescent="0.2"/>
    <row r="2880" customFormat="1" x14ac:dyDescent="0.2"/>
    <row r="2881" customFormat="1" x14ac:dyDescent="0.2"/>
    <row r="2882" customFormat="1" x14ac:dyDescent="0.2"/>
    <row r="2883" customFormat="1" x14ac:dyDescent="0.2"/>
    <row r="2884" customFormat="1" x14ac:dyDescent="0.2"/>
    <row r="2885" customFormat="1" x14ac:dyDescent="0.2"/>
    <row r="2886" customFormat="1" x14ac:dyDescent="0.2"/>
    <row r="2887" customFormat="1" x14ac:dyDescent="0.2"/>
    <row r="2888" customFormat="1" x14ac:dyDescent="0.2"/>
    <row r="2889" customFormat="1" x14ac:dyDescent="0.2"/>
    <row r="2890" customFormat="1" x14ac:dyDescent="0.2"/>
    <row r="2891" customFormat="1" x14ac:dyDescent="0.2"/>
    <row r="2892" customFormat="1" x14ac:dyDescent="0.2"/>
    <row r="2893" customFormat="1" x14ac:dyDescent="0.2"/>
    <row r="2894" customFormat="1" x14ac:dyDescent="0.2"/>
    <row r="2895" customFormat="1" x14ac:dyDescent="0.2"/>
    <row r="2896" customFormat="1" x14ac:dyDescent="0.2"/>
    <row r="2897" customFormat="1" x14ac:dyDescent="0.2"/>
    <row r="2898" customFormat="1" x14ac:dyDescent="0.2"/>
    <row r="2899" customFormat="1" x14ac:dyDescent="0.2"/>
    <row r="2900" customFormat="1" x14ac:dyDescent="0.2"/>
    <row r="2901" customFormat="1" x14ac:dyDescent="0.2"/>
    <row r="2902" customFormat="1" x14ac:dyDescent="0.2"/>
    <row r="2903" customFormat="1" x14ac:dyDescent="0.2"/>
    <row r="2904" customFormat="1" x14ac:dyDescent="0.2"/>
    <row r="2905" customFormat="1" x14ac:dyDescent="0.2"/>
    <row r="2906" customFormat="1" x14ac:dyDescent="0.2"/>
    <row r="2907" customFormat="1" x14ac:dyDescent="0.2"/>
    <row r="2908" customFormat="1" x14ac:dyDescent="0.2"/>
    <row r="2909" customFormat="1" x14ac:dyDescent="0.2"/>
    <row r="2910" customFormat="1" x14ac:dyDescent="0.2"/>
    <row r="2911" customFormat="1" x14ac:dyDescent="0.2"/>
    <row r="2912" customFormat="1" x14ac:dyDescent="0.2"/>
    <row r="2913" customFormat="1" x14ac:dyDescent="0.2"/>
    <row r="2914" customFormat="1" x14ac:dyDescent="0.2"/>
    <row r="2915" customFormat="1" x14ac:dyDescent="0.2"/>
    <row r="2916" customFormat="1" x14ac:dyDescent="0.2"/>
    <row r="2917" customFormat="1" x14ac:dyDescent="0.2"/>
    <row r="2918" customFormat="1" x14ac:dyDescent="0.2"/>
    <row r="2919" customFormat="1" x14ac:dyDescent="0.2"/>
    <row r="2920" customFormat="1" x14ac:dyDescent="0.2"/>
    <row r="2921" customFormat="1" x14ac:dyDescent="0.2"/>
    <row r="2922" customFormat="1" x14ac:dyDescent="0.2"/>
    <row r="2923" customFormat="1" x14ac:dyDescent="0.2"/>
    <row r="2924" customFormat="1" x14ac:dyDescent="0.2"/>
    <row r="2925" customFormat="1" x14ac:dyDescent="0.2"/>
    <row r="2926" customFormat="1" x14ac:dyDescent="0.2"/>
    <row r="2927" customFormat="1" x14ac:dyDescent="0.2"/>
    <row r="2928" customFormat="1" x14ac:dyDescent="0.2"/>
    <row r="2929" customFormat="1" x14ac:dyDescent="0.2"/>
    <row r="2930" customFormat="1" x14ac:dyDescent="0.2"/>
    <row r="2931" customFormat="1" x14ac:dyDescent="0.2"/>
    <row r="2932" customFormat="1" x14ac:dyDescent="0.2"/>
    <row r="2933" customFormat="1" x14ac:dyDescent="0.2"/>
    <row r="2934" customFormat="1" x14ac:dyDescent="0.2"/>
    <row r="2935" customFormat="1" x14ac:dyDescent="0.2"/>
    <row r="2936" customFormat="1" x14ac:dyDescent="0.2"/>
    <row r="2937" customFormat="1" x14ac:dyDescent="0.2"/>
    <row r="2938" customFormat="1" x14ac:dyDescent="0.2"/>
    <row r="2939" customFormat="1" x14ac:dyDescent="0.2"/>
    <row r="2940" customFormat="1" x14ac:dyDescent="0.2"/>
    <row r="2941" customFormat="1" x14ac:dyDescent="0.2"/>
    <row r="2942" customFormat="1" x14ac:dyDescent="0.2"/>
    <row r="2943" customFormat="1" x14ac:dyDescent="0.2"/>
    <row r="2944" customFormat="1" x14ac:dyDescent="0.2"/>
    <row r="2945" customFormat="1" x14ac:dyDescent="0.2"/>
    <row r="2946" customFormat="1" x14ac:dyDescent="0.2"/>
    <row r="2947" customFormat="1" x14ac:dyDescent="0.2"/>
    <row r="2948" customFormat="1" x14ac:dyDescent="0.2"/>
    <row r="2949" customFormat="1" x14ac:dyDescent="0.2"/>
    <row r="2950" customFormat="1" x14ac:dyDescent="0.2"/>
    <row r="2951" customFormat="1" x14ac:dyDescent="0.2"/>
    <row r="2952" customFormat="1" x14ac:dyDescent="0.2"/>
    <row r="2953" customFormat="1" x14ac:dyDescent="0.2"/>
    <row r="2954" customFormat="1" x14ac:dyDescent="0.2"/>
    <row r="2955" customFormat="1" x14ac:dyDescent="0.2"/>
    <row r="2956" customFormat="1" x14ac:dyDescent="0.2"/>
    <row r="2957" customFormat="1" x14ac:dyDescent="0.2"/>
    <row r="2958" customFormat="1" x14ac:dyDescent="0.2"/>
    <row r="2959" customFormat="1" x14ac:dyDescent="0.2"/>
    <row r="2960" customFormat="1" x14ac:dyDescent="0.2"/>
    <row r="2961" customFormat="1" x14ac:dyDescent="0.2"/>
    <row r="2962" customFormat="1" x14ac:dyDescent="0.2"/>
    <row r="2963" customFormat="1" x14ac:dyDescent="0.2"/>
    <row r="2964" customFormat="1" x14ac:dyDescent="0.2"/>
    <row r="2965" customFormat="1" x14ac:dyDescent="0.2"/>
    <row r="2966" customFormat="1" x14ac:dyDescent="0.2"/>
    <row r="2967" customFormat="1" x14ac:dyDescent="0.2"/>
    <row r="2968" customFormat="1" x14ac:dyDescent="0.2"/>
    <row r="2969" customFormat="1" x14ac:dyDescent="0.2"/>
    <row r="2970" customFormat="1" x14ac:dyDescent="0.2"/>
    <row r="2971" customFormat="1" x14ac:dyDescent="0.2"/>
    <row r="2972" customFormat="1" x14ac:dyDescent="0.2"/>
    <row r="2973" customFormat="1" x14ac:dyDescent="0.2"/>
    <row r="2974" customFormat="1" x14ac:dyDescent="0.2"/>
    <row r="2975" customFormat="1" x14ac:dyDescent="0.2"/>
    <row r="2976" customFormat="1" x14ac:dyDescent="0.2"/>
    <row r="2977" customFormat="1" x14ac:dyDescent="0.2"/>
    <row r="2978" customFormat="1" x14ac:dyDescent="0.2"/>
    <row r="2979" customFormat="1" x14ac:dyDescent="0.2"/>
    <row r="2980" customFormat="1" x14ac:dyDescent="0.2"/>
    <row r="2981" customFormat="1" x14ac:dyDescent="0.2"/>
    <row r="2982" customFormat="1" x14ac:dyDescent="0.2"/>
    <row r="2983" customFormat="1" x14ac:dyDescent="0.2"/>
    <row r="2984" customFormat="1" x14ac:dyDescent="0.2"/>
    <row r="2985" customFormat="1" x14ac:dyDescent="0.2"/>
    <row r="2986" customFormat="1" x14ac:dyDescent="0.2"/>
    <row r="2987" customFormat="1" x14ac:dyDescent="0.2"/>
    <row r="2988" customFormat="1" x14ac:dyDescent="0.2"/>
    <row r="2989" customFormat="1" x14ac:dyDescent="0.2"/>
    <row r="2990" customFormat="1" x14ac:dyDescent="0.2"/>
    <row r="2991" customFormat="1" x14ac:dyDescent="0.2"/>
    <row r="2992" customFormat="1" x14ac:dyDescent="0.2"/>
    <row r="2993" customFormat="1" x14ac:dyDescent="0.2"/>
    <row r="2994" customFormat="1" x14ac:dyDescent="0.2"/>
    <row r="2995" customFormat="1" x14ac:dyDescent="0.2"/>
    <row r="2996" customFormat="1" x14ac:dyDescent="0.2"/>
    <row r="2997" customFormat="1" x14ac:dyDescent="0.2"/>
    <row r="2998" customFormat="1" x14ac:dyDescent="0.2"/>
    <row r="2999" customFormat="1" x14ac:dyDescent="0.2"/>
    <row r="3000" customFormat="1" x14ac:dyDescent="0.2"/>
    <row r="3001" customFormat="1" x14ac:dyDescent="0.2"/>
    <row r="3002" customFormat="1" x14ac:dyDescent="0.2"/>
    <row r="3003" customFormat="1" x14ac:dyDescent="0.2"/>
    <row r="3004" customFormat="1" x14ac:dyDescent="0.2"/>
    <row r="3005" customFormat="1" x14ac:dyDescent="0.2"/>
    <row r="3006" customFormat="1" x14ac:dyDescent="0.2"/>
    <row r="3007" customFormat="1" x14ac:dyDescent="0.2"/>
    <row r="3008" customFormat="1" x14ac:dyDescent="0.2"/>
    <row r="3009" customFormat="1" x14ac:dyDescent="0.2"/>
    <row r="3010" customFormat="1" x14ac:dyDescent="0.2"/>
    <row r="3011" customFormat="1" x14ac:dyDescent="0.2"/>
    <row r="3012" customFormat="1" x14ac:dyDescent="0.2"/>
    <row r="3013" customFormat="1" x14ac:dyDescent="0.2"/>
    <row r="3014" customFormat="1" x14ac:dyDescent="0.2"/>
    <row r="3015" customFormat="1" x14ac:dyDescent="0.2"/>
    <row r="3016" customFormat="1" x14ac:dyDescent="0.2"/>
    <row r="3017" customFormat="1" x14ac:dyDescent="0.2"/>
    <row r="3018" customFormat="1" x14ac:dyDescent="0.2"/>
    <row r="3019" customFormat="1" x14ac:dyDescent="0.2"/>
    <row r="3020" customFormat="1" x14ac:dyDescent="0.2"/>
    <row r="3021" customFormat="1" x14ac:dyDescent="0.2"/>
    <row r="3022" customFormat="1" x14ac:dyDescent="0.2"/>
    <row r="3023" customFormat="1" x14ac:dyDescent="0.2"/>
    <row r="3024" customFormat="1" x14ac:dyDescent="0.2"/>
    <row r="3025" customFormat="1" x14ac:dyDescent="0.2"/>
    <row r="3026" customFormat="1" x14ac:dyDescent="0.2"/>
    <row r="3027" customFormat="1" x14ac:dyDescent="0.2"/>
    <row r="3028" customFormat="1" x14ac:dyDescent="0.2"/>
    <row r="3029" customFormat="1" x14ac:dyDescent="0.2"/>
    <row r="3030" customFormat="1" x14ac:dyDescent="0.2"/>
    <row r="3031" customFormat="1" x14ac:dyDescent="0.2"/>
    <row r="3032" customFormat="1" x14ac:dyDescent="0.2"/>
    <row r="3033" customFormat="1" x14ac:dyDescent="0.2"/>
    <row r="3034" customFormat="1" x14ac:dyDescent="0.2"/>
    <row r="3035" customFormat="1" x14ac:dyDescent="0.2"/>
    <row r="3036" customFormat="1" x14ac:dyDescent="0.2"/>
    <row r="3037" customFormat="1" x14ac:dyDescent="0.2"/>
    <row r="3038" customFormat="1" x14ac:dyDescent="0.2"/>
    <row r="3039" customFormat="1" x14ac:dyDescent="0.2"/>
    <row r="3040" customFormat="1" x14ac:dyDescent="0.2"/>
    <row r="3041" customFormat="1" x14ac:dyDescent="0.2"/>
    <row r="3042" customFormat="1" x14ac:dyDescent="0.2"/>
    <row r="3043" customFormat="1" x14ac:dyDescent="0.2"/>
    <row r="3044" customFormat="1" x14ac:dyDescent="0.2"/>
    <row r="3045" customFormat="1" x14ac:dyDescent="0.2"/>
    <row r="3046" customFormat="1" x14ac:dyDescent="0.2"/>
    <row r="3047" customFormat="1" x14ac:dyDescent="0.2"/>
    <row r="3048" customFormat="1" x14ac:dyDescent="0.2"/>
    <row r="3049" customFormat="1" x14ac:dyDescent="0.2"/>
    <row r="3050" customFormat="1" x14ac:dyDescent="0.2"/>
    <row r="3051" customFormat="1" x14ac:dyDescent="0.2"/>
    <row r="3052" customFormat="1" x14ac:dyDescent="0.2"/>
    <row r="3053" customFormat="1" x14ac:dyDescent="0.2"/>
    <row r="3054" customFormat="1" x14ac:dyDescent="0.2"/>
    <row r="3055" customFormat="1" x14ac:dyDescent="0.2"/>
    <row r="3056" customFormat="1" x14ac:dyDescent="0.2"/>
    <row r="3057" customFormat="1" x14ac:dyDescent="0.2"/>
    <row r="3058" customFormat="1" x14ac:dyDescent="0.2"/>
    <row r="3059" customFormat="1" x14ac:dyDescent="0.2"/>
    <row r="3060" customFormat="1" x14ac:dyDescent="0.2"/>
    <row r="3061" customFormat="1" x14ac:dyDescent="0.2"/>
    <row r="3062" customFormat="1" x14ac:dyDescent="0.2"/>
    <row r="3063" customFormat="1" x14ac:dyDescent="0.2"/>
    <row r="3064" customFormat="1" x14ac:dyDescent="0.2"/>
    <row r="3065" customFormat="1" x14ac:dyDescent="0.2"/>
    <row r="3066" customFormat="1" x14ac:dyDescent="0.2"/>
    <row r="3067" customFormat="1" x14ac:dyDescent="0.2"/>
    <row r="3068" customFormat="1" x14ac:dyDescent="0.2"/>
    <row r="3069" customFormat="1" x14ac:dyDescent="0.2"/>
    <row r="3070" customFormat="1" x14ac:dyDescent="0.2"/>
    <row r="3071" customFormat="1" x14ac:dyDescent="0.2"/>
    <row r="3072" customFormat="1" x14ac:dyDescent="0.2"/>
    <row r="3073" customFormat="1" x14ac:dyDescent="0.2"/>
    <row r="3074" customFormat="1" x14ac:dyDescent="0.2"/>
    <row r="3075" customFormat="1" x14ac:dyDescent="0.2"/>
    <row r="3076" customFormat="1" x14ac:dyDescent="0.2"/>
    <row r="3077" customFormat="1" x14ac:dyDescent="0.2"/>
    <row r="3078" customFormat="1" x14ac:dyDescent="0.2"/>
    <row r="3079" customFormat="1" x14ac:dyDescent="0.2"/>
    <row r="3080" customFormat="1" x14ac:dyDescent="0.2"/>
    <row r="3081" customFormat="1" x14ac:dyDescent="0.2"/>
    <row r="3082" customFormat="1" x14ac:dyDescent="0.2"/>
    <row r="3083" customFormat="1" x14ac:dyDescent="0.2"/>
    <row r="3084" customFormat="1" x14ac:dyDescent="0.2"/>
    <row r="3085" customFormat="1" x14ac:dyDescent="0.2"/>
    <row r="3086" customFormat="1" x14ac:dyDescent="0.2"/>
    <row r="3087" customFormat="1" x14ac:dyDescent="0.2"/>
    <row r="3088" customFormat="1" x14ac:dyDescent="0.2"/>
    <row r="3089" customFormat="1" x14ac:dyDescent="0.2"/>
    <row r="3090" customFormat="1" x14ac:dyDescent="0.2"/>
    <row r="3091" customFormat="1" x14ac:dyDescent="0.2"/>
    <row r="3092" customFormat="1" x14ac:dyDescent="0.2"/>
    <row r="3093" customFormat="1" x14ac:dyDescent="0.2"/>
    <row r="3094" customFormat="1" x14ac:dyDescent="0.2"/>
    <row r="3095" customFormat="1" x14ac:dyDescent="0.2"/>
    <row r="3096" customFormat="1" x14ac:dyDescent="0.2"/>
    <row r="3097" customFormat="1" x14ac:dyDescent="0.2"/>
    <row r="3098" customFormat="1" x14ac:dyDescent="0.2"/>
    <row r="3099" customFormat="1" x14ac:dyDescent="0.2"/>
    <row r="3100" customFormat="1" x14ac:dyDescent="0.2"/>
    <row r="3101" customFormat="1" x14ac:dyDescent="0.2"/>
    <row r="3102" customFormat="1" x14ac:dyDescent="0.2"/>
    <row r="3103" customFormat="1" x14ac:dyDescent="0.2"/>
    <row r="3104" customFormat="1" x14ac:dyDescent="0.2"/>
    <row r="3105" customFormat="1" x14ac:dyDescent="0.2"/>
    <row r="3106" customFormat="1" x14ac:dyDescent="0.2"/>
    <row r="3107" customFormat="1" x14ac:dyDescent="0.2"/>
    <row r="3108" customFormat="1" x14ac:dyDescent="0.2"/>
    <row r="3109" customFormat="1" x14ac:dyDescent="0.2"/>
    <row r="3110" customFormat="1" x14ac:dyDescent="0.2"/>
    <row r="3111" customFormat="1" x14ac:dyDescent="0.2"/>
    <row r="3112" customFormat="1" x14ac:dyDescent="0.2"/>
    <row r="3113" customFormat="1" x14ac:dyDescent="0.2"/>
    <row r="3114" customFormat="1" x14ac:dyDescent="0.2"/>
    <row r="3115" customFormat="1" x14ac:dyDescent="0.2"/>
    <row r="3116" customFormat="1" x14ac:dyDescent="0.2"/>
    <row r="3117" customFormat="1" x14ac:dyDescent="0.2"/>
    <row r="3118" customFormat="1" x14ac:dyDescent="0.2"/>
    <row r="3119" customFormat="1" x14ac:dyDescent="0.2"/>
    <row r="3120" customFormat="1" x14ac:dyDescent="0.2"/>
    <row r="3121" customFormat="1" x14ac:dyDescent="0.2"/>
    <row r="3122" customFormat="1" x14ac:dyDescent="0.2"/>
    <row r="3123" customFormat="1" x14ac:dyDescent="0.2"/>
    <row r="3124" customFormat="1" x14ac:dyDescent="0.2"/>
    <row r="3125" customFormat="1" x14ac:dyDescent="0.2"/>
    <row r="3126" customFormat="1" x14ac:dyDescent="0.2"/>
    <row r="3127" customFormat="1" x14ac:dyDescent="0.2"/>
    <row r="3128" customFormat="1" x14ac:dyDescent="0.2"/>
    <row r="3129" customFormat="1" x14ac:dyDescent="0.2"/>
    <row r="3130" customFormat="1" x14ac:dyDescent="0.2"/>
    <row r="3131" customFormat="1" x14ac:dyDescent="0.2"/>
    <row r="3132" customFormat="1" x14ac:dyDescent="0.2"/>
    <row r="3133" customFormat="1" x14ac:dyDescent="0.2"/>
    <row r="3134" customFormat="1" x14ac:dyDescent="0.2"/>
    <row r="3135" customFormat="1" x14ac:dyDescent="0.2"/>
    <row r="3136" customFormat="1" x14ac:dyDescent="0.2"/>
    <row r="3137" customFormat="1" x14ac:dyDescent="0.2"/>
    <row r="3138" customFormat="1" x14ac:dyDescent="0.2"/>
    <row r="3139" customFormat="1" x14ac:dyDescent="0.2"/>
    <row r="3140" customFormat="1" x14ac:dyDescent="0.2"/>
    <row r="3141" customFormat="1" x14ac:dyDescent="0.2"/>
    <row r="3142" customFormat="1" x14ac:dyDescent="0.2"/>
    <row r="3143" customFormat="1" x14ac:dyDescent="0.2"/>
    <row r="3144" customFormat="1" x14ac:dyDescent="0.2"/>
    <row r="3145" customFormat="1" x14ac:dyDescent="0.2"/>
    <row r="3146" customFormat="1" x14ac:dyDescent="0.2"/>
    <row r="3147" customFormat="1" x14ac:dyDescent="0.2"/>
    <row r="3148" customFormat="1" x14ac:dyDescent="0.2"/>
    <row r="3149" customFormat="1" x14ac:dyDescent="0.2"/>
    <row r="3150" customFormat="1" x14ac:dyDescent="0.2"/>
    <row r="3151" customFormat="1" x14ac:dyDescent="0.2"/>
    <row r="3152" customFormat="1" x14ac:dyDescent="0.2"/>
    <row r="3153" customFormat="1" x14ac:dyDescent="0.2"/>
    <row r="3154" customFormat="1" x14ac:dyDescent="0.2"/>
    <row r="3155" customFormat="1" x14ac:dyDescent="0.2"/>
    <row r="3156" customFormat="1" x14ac:dyDescent="0.2"/>
    <row r="3157" customFormat="1" x14ac:dyDescent="0.2"/>
    <row r="3158" customFormat="1" x14ac:dyDescent="0.2"/>
    <row r="3159" customFormat="1" x14ac:dyDescent="0.2"/>
    <row r="3160" customFormat="1" x14ac:dyDescent="0.2"/>
    <row r="3161" customFormat="1" x14ac:dyDescent="0.2"/>
    <row r="3162" customFormat="1" x14ac:dyDescent="0.2"/>
    <row r="3163" customFormat="1" x14ac:dyDescent="0.2"/>
    <row r="3164" customFormat="1" x14ac:dyDescent="0.2"/>
    <row r="3165" customFormat="1" x14ac:dyDescent="0.2"/>
    <row r="3166" customFormat="1" x14ac:dyDescent="0.2"/>
    <row r="3167" customFormat="1" x14ac:dyDescent="0.2"/>
    <row r="3168" customFormat="1" x14ac:dyDescent="0.2"/>
    <row r="3169" customFormat="1" x14ac:dyDescent="0.2"/>
    <row r="3170" customFormat="1" x14ac:dyDescent="0.2"/>
    <row r="3171" customFormat="1" x14ac:dyDescent="0.2"/>
    <row r="3172" customFormat="1" x14ac:dyDescent="0.2"/>
    <row r="3173" customFormat="1" x14ac:dyDescent="0.2"/>
    <row r="3174" customFormat="1" x14ac:dyDescent="0.2"/>
    <row r="3175" customFormat="1" x14ac:dyDescent="0.2"/>
    <row r="3176" customFormat="1" x14ac:dyDescent="0.2"/>
    <row r="3177" customFormat="1" x14ac:dyDescent="0.2"/>
    <row r="3178" customFormat="1" x14ac:dyDescent="0.2"/>
    <row r="3179" customFormat="1" x14ac:dyDescent="0.2"/>
    <row r="3180" customFormat="1" x14ac:dyDescent="0.2"/>
    <row r="3181" customFormat="1" x14ac:dyDescent="0.2"/>
    <row r="3182" customFormat="1" x14ac:dyDescent="0.2"/>
    <row r="3183" customFormat="1" x14ac:dyDescent="0.2"/>
    <row r="3184" customFormat="1" x14ac:dyDescent="0.2"/>
    <row r="3185" customFormat="1" x14ac:dyDescent="0.2"/>
    <row r="3186" customFormat="1" x14ac:dyDescent="0.2"/>
    <row r="3187" customFormat="1" x14ac:dyDescent="0.2"/>
    <row r="3188" customFormat="1" x14ac:dyDescent="0.2"/>
    <row r="3189" customFormat="1" x14ac:dyDescent="0.2"/>
    <row r="3190" customFormat="1" x14ac:dyDescent="0.2"/>
    <row r="3191" customFormat="1" x14ac:dyDescent="0.2"/>
    <row r="3192" customFormat="1" x14ac:dyDescent="0.2"/>
    <row r="3193" customFormat="1" x14ac:dyDescent="0.2"/>
    <row r="3194" customFormat="1" x14ac:dyDescent="0.2"/>
    <row r="3195" customFormat="1" x14ac:dyDescent="0.2"/>
    <row r="3196" customFormat="1" x14ac:dyDescent="0.2"/>
    <row r="3197" customFormat="1" x14ac:dyDescent="0.2"/>
    <row r="3198" customFormat="1" x14ac:dyDescent="0.2"/>
    <row r="3199" customFormat="1" x14ac:dyDescent="0.2"/>
    <row r="3200" customFormat="1" x14ac:dyDescent="0.2"/>
    <row r="3201" customFormat="1" x14ac:dyDescent="0.2"/>
    <row r="3202" customFormat="1" x14ac:dyDescent="0.2"/>
    <row r="3203" customFormat="1" x14ac:dyDescent="0.2"/>
    <row r="3204" customFormat="1" x14ac:dyDescent="0.2"/>
    <row r="3205" customFormat="1" x14ac:dyDescent="0.2"/>
    <row r="3206" customFormat="1" x14ac:dyDescent="0.2"/>
    <row r="3207" customFormat="1" x14ac:dyDescent="0.2"/>
    <row r="3208" customFormat="1" x14ac:dyDescent="0.2"/>
    <row r="3209" customFormat="1" x14ac:dyDescent="0.2"/>
    <row r="3210" customFormat="1" x14ac:dyDescent="0.2"/>
    <row r="3211" customFormat="1" x14ac:dyDescent="0.2"/>
    <row r="3212" customFormat="1" x14ac:dyDescent="0.2"/>
    <row r="3213" customFormat="1" x14ac:dyDescent="0.2"/>
    <row r="3214" customFormat="1" x14ac:dyDescent="0.2"/>
    <row r="3215" customFormat="1" x14ac:dyDescent="0.2"/>
    <row r="3216" customFormat="1" x14ac:dyDescent="0.2"/>
    <row r="3217" customFormat="1" x14ac:dyDescent="0.2"/>
    <row r="3218" customFormat="1" x14ac:dyDescent="0.2"/>
    <row r="3219" customFormat="1" x14ac:dyDescent="0.2"/>
    <row r="3220" customFormat="1" x14ac:dyDescent="0.2"/>
    <row r="3221" customFormat="1" x14ac:dyDescent="0.2"/>
    <row r="3222" customFormat="1" x14ac:dyDescent="0.2"/>
    <row r="3223" customFormat="1" x14ac:dyDescent="0.2"/>
    <row r="3224" customFormat="1" x14ac:dyDescent="0.2"/>
    <row r="3225" customFormat="1" x14ac:dyDescent="0.2"/>
    <row r="3226" customFormat="1" x14ac:dyDescent="0.2"/>
    <row r="3227" customFormat="1" x14ac:dyDescent="0.2"/>
    <row r="3228" customFormat="1" x14ac:dyDescent="0.2"/>
    <row r="3229" customFormat="1" x14ac:dyDescent="0.2"/>
    <row r="3230" customFormat="1" x14ac:dyDescent="0.2"/>
    <row r="3231" customFormat="1" x14ac:dyDescent="0.2"/>
    <row r="3232" customFormat="1" x14ac:dyDescent="0.2"/>
    <row r="3233" customFormat="1" x14ac:dyDescent="0.2"/>
    <row r="3234" customFormat="1" x14ac:dyDescent="0.2"/>
    <row r="3235" customFormat="1" x14ac:dyDescent="0.2"/>
    <row r="3236" customFormat="1" x14ac:dyDescent="0.2"/>
    <row r="3237" customFormat="1" x14ac:dyDescent="0.2"/>
    <row r="3238" customFormat="1" x14ac:dyDescent="0.2"/>
    <row r="3239" customFormat="1" x14ac:dyDescent="0.2"/>
    <row r="3240" customFormat="1" x14ac:dyDescent="0.2"/>
    <row r="3241" customFormat="1" x14ac:dyDescent="0.2"/>
    <row r="3242" customFormat="1" x14ac:dyDescent="0.2"/>
    <row r="3243" customFormat="1" x14ac:dyDescent="0.2"/>
    <row r="3244" customFormat="1" x14ac:dyDescent="0.2"/>
    <row r="3245" customFormat="1" x14ac:dyDescent="0.2"/>
    <row r="3246" customFormat="1" x14ac:dyDescent="0.2"/>
    <row r="3247" customFormat="1" x14ac:dyDescent="0.2"/>
    <row r="3248" customFormat="1" x14ac:dyDescent="0.2"/>
    <row r="3249" customFormat="1" x14ac:dyDescent="0.2"/>
    <row r="3250" customFormat="1" x14ac:dyDescent="0.2"/>
    <row r="3251" customFormat="1" x14ac:dyDescent="0.2"/>
    <row r="3252" customFormat="1" x14ac:dyDescent="0.2"/>
    <row r="3253" customFormat="1" x14ac:dyDescent="0.2"/>
    <row r="3254" customFormat="1" x14ac:dyDescent="0.2"/>
    <row r="3255" customFormat="1" x14ac:dyDescent="0.2"/>
    <row r="3256" customFormat="1" x14ac:dyDescent="0.2"/>
    <row r="3257" customFormat="1" x14ac:dyDescent="0.2"/>
    <row r="3258" customFormat="1" x14ac:dyDescent="0.2"/>
    <row r="3259" customFormat="1" x14ac:dyDescent="0.2"/>
    <row r="3260" customFormat="1" x14ac:dyDescent="0.2"/>
    <row r="3261" customFormat="1" x14ac:dyDescent="0.2"/>
    <row r="3262" customFormat="1" x14ac:dyDescent="0.2"/>
    <row r="3263" customFormat="1" x14ac:dyDescent="0.2"/>
    <row r="3264" customFormat="1" x14ac:dyDescent="0.2"/>
    <row r="3265" customFormat="1" x14ac:dyDescent="0.2"/>
    <row r="3266" customFormat="1" x14ac:dyDescent="0.2"/>
    <row r="3267" customFormat="1" x14ac:dyDescent="0.2"/>
    <row r="3268" customFormat="1" x14ac:dyDescent="0.2"/>
    <row r="3269" customFormat="1" x14ac:dyDescent="0.2"/>
    <row r="3270" customFormat="1" x14ac:dyDescent="0.2"/>
    <row r="3271" customFormat="1" x14ac:dyDescent="0.2"/>
    <row r="3272" customFormat="1" x14ac:dyDescent="0.2"/>
    <row r="3273" customFormat="1" x14ac:dyDescent="0.2"/>
    <row r="3274" customFormat="1" x14ac:dyDescent="0.2"/>
    <row r="3275" customFormat="1" x14ac:dyDescent="0.2"/>
    <row r="3276" customFormat="1" x14ac:dyDescent="0.2"/>
    <row r="3277" customFormat="1" x14ac:dyDescent="0.2"/>
    <row r="3278" customFormat="1" x14ac:dyDescent="0.2"/>
    <row r="3279" customFormat="1" x14ac:dyDescent="0.2"/>
    <row r="3280" customFormat="1" x14ac:dyDescent="0.2"/>
    <row r="3281" customFormat="1" x14ac:dyDescent="0.2"/>
    <row r="3282" customFormat="1" x14ac:dyDescent="0.2"/>
    <row r="3283" customFormat="1" x14ac:dyDescent="0.2"/>
    <row r="3284" customFormat="1" x14ac:dyDescent="0.2"/>
    <row r="3285" customFormat="1" x14ac:dyDescent="0.2"/>
    <row r="3286" customFormat="1" x14ac:dyDescent="0.2"/>
    <row r="3287" customFormat="1" x14ac:dyDescent="0.2"/>
    <row r="3288" customFormat="1" x14ac:dyDescent="0.2"/>
    <row r="3289" customFormat="1" x14ac:dyDescent="0.2"/>
    <row r="3290" customFormat="1" x14ac:dyDescent="0.2"/>
    <row r="3291" customFormat="1" x14ac:dyDescent="0.2"/>
    <row r="3292" customFormat="1" x14ac:dyDescent="0.2"/>
    <row r="3293" customFormat="1" x14ac:dyDescent="0.2"/>
    <row r="3294" customFormat="1" x14ac:dyDescent="0.2"/>
    <row r="3295" customFormat="1" x14ac:dyDescent="0.2"/>
    <row r="3296" customFormat="1" x14ac:dyDescent="0.2"/>
    <row r="3297" customFormat="1" x14ac:dyDescent="0.2"/>
    <row r="3298" customFormat="1" x14ac:dyDescent="0.2"/>
    <row r="3299" customFormat="1" x14ac:dyDescent="0.2"/>
    <row r="3300" customFormat="1" x14ac:dyDescent="0.2"/>
    <row r="3301" customFormat="1" x14ac:dyDescent="0.2"/>
    <row r="3302" customFormat="1" x14ac:dyDescent="0.2"/>
    <row r="3303" customFormat="1" x14ac:dyDescent="0.2"/>
    <row r="3304" customFormat="1" x14ac:dyDescent="0.2"/>
    <row r="3305" customFormat="1" x14ac:dyDescent="0.2"/>
    <row r="3306" customFormat="1" x14ac:dyDescent="0.2"/>
    <row r="3307" customFormat="1" x14ac:dyDescent="0.2"/>
    <row r="3308" customFormat="1" x14ac:dyDescent="0.2"/>
    <row r="3309" customFormat="1" x14ac:dyDescent="0.2"/>
    <row r="3310" customFormat="1" x14ac:dyDescent="0.2"/>
    <row r="3311" customFormat="1" x14ac:dyDescent="0.2"/>
    <row r="3312" customFormat="1" x14ac:dyDescent="0.2"/>
    <row r="3313" customFormat="1" x14ac:dyDescent="0.2"/>
    <row r="3314" customFormat="1" x14ac:dyDescent="0.2"/>
    <row r="3315" customFormat="1" x14ac:dyDescent="0.2"/>
    <row r="3316" customFormat="1" x14ac:dyDescent="0.2"/>
    <row r="3317" customFormat="1" x14ac:dyDescent="0.2"/>
    <row r="3318" customFormat="1" x14ac:dyDescent="0.2"/>
    <row r="3319" customFormat="1" x14ac:dyDescent="0.2"/>
    <row r="3320" customFormat="1" x14ac:dyDescent="0.2"/>
    <row r="3321" customFormat="1" x14ac:dyDescent="0.2"/>
    <row r="3322" customFormat="1" x14ac:dyDescent="0.2"/>
    <row r="3323" customFormat="1" x14ac:dyDescent="0.2"/>
    <row r="3324" customFormat="1" x14ac:dyDescent="0.2"/>
    <row r="3325" customFormat="1" x14ac:dyDescent="0.2"/>
    <row r="3326" customFormat="1" x14ac:dyDescent="0.2"/>
    <row r="3327" customFormat="1" x14ac:dyDescent="0.2"/>
    <row r="3328" customFormat="1" x14ac:dyDescent="0.2"/>
    <row r="3329" customFormat="1" x14ac:dyDescent="0.2"/>
    <row r="3330" customFormat="1" x14ac:dyDescent="0.2"/>
    <row r="3331" customFormat="1" x14ac:dyDescent="0.2"/>
    <row r="3332" customFormat="1" x14ac:dyDescent="0.2"/>
    <row r="3333" customFormat="1" x14ac:dyDescent="0.2"/>
    <row r="3334" customFormat="1" x14ac:dyDescent="0.2"/>
    <row r="3335" customFormat="1" x14ac:dyDescent="0.2"/>
    <row r="3336" customFormat="1" x14ac:dyDescent="0.2"/>
    <row r="3337" customFormat="1" x14ac:dyDescent="0.2"/>
    <row r="3338" customFormat="1" x14ac:dyDescent="0.2"/>
    <row r="3339" customFormat="1" x14ac:dyDescent="0.2"/>
    <row r="3340" customFormat="1" x14ac:dyDescent="0.2"/>
    <row r="3341" customFormat="1" x14ac:dyDescent="0.2"/>
    <row r="3342" customFormat="1" x14ac:dyDescent="0.2"/>
    <row r="3343" customFormat="1" x14ac:dyDescent="0.2"/>
    <row r="3344" customFormat="1" x14ac:dyDescent="0.2"/>
    <row r="3345" customFormat="1" x14ac:dyDescent="0.2"/>
    <row r="3346" customFormat="1" x14ac:dyDescent="0.2"/>
    <row r="3347" customFormat="1" x14ac:dyDescent="0.2"/>
    <row r="3348" customFormat="1" x14ac:dyDescent="0.2"/>
    <row r="3349" customFormat="1" x14ac:dyDescent="0.2"/>
    <row r="3350" customFormat="1" x14ac:dyDescent="0.2"/>
    <row r="3351" customFormat="1" x14ac:dyDescent="0.2"/>
    <row r="3352" customFormat="1" x14ac:dyDescent="0.2"/>
    <row r="3353" customFormat="1" x14ac:dyDescent="0.2"/>
    <row r="3354" customFormat="1" x14ac:dyDescent="0.2"/>
    <row r="3355" customFormat="1" x14ac:dyDescent="0.2"/>
    <row r="3356" customFormat="1" x14ac:dyDescent="0.2"/>
    <row r="3357" customFormat="1" x14ac:dyDescent="0.2"/>
    <row r="3358" customFormat="1" x14ac:dyDescent="0.2"/>
    <row r="3359" customFormat="1" x14ac:dyDescent="0.2"/>
    <row r="3360" customFormat="1" x14ac:dyDescent="0.2"/>
    <row r="3361" customFormat="1" x14ac:dyDescent="0.2"/>
    <row r="3362" customFormat="1" x14ac:dyDescent="0.2"/>
    <row r="3363" customFormat="1" x14ac:dyDescent="0.2"/>
    <row r="3364" customFormat="1" x14ac:dyDescent="0.2"/>
    <row r="3365" customFormat="1" x14ac:dyDescent="0.2"/>
    <row r="3366" customFormat="1" x14ac:dyDescent="0.2"/>
    <row r="3367" customFormat="1" x14ac:dyDescent="0.2"/>
    <row r="3368" customFormat="1" x14ac:dyDescent="0.2"/>
    <row r="3369" customFormat="1" x14ac:dyDescent="0.2"/>
    <row r="3370" customFormat="1" x14ac:dyDescent="0.2"/>
    <row r="3371" customFormat="1" x14ac:dyDescent="0.2"/>
    <row r="3372" customFormat="1" x14ac:dyDescent="0.2"/>
    <row r="3373" customFormat="1" x14ac:dyDescent="0.2"/>
    <row r="3374" customFormat="1" x14ac:dyDescent="0.2"/>
    <row r="3375" customFormat="1" x14ac:dyDescent="0.2"/>
    <row r="3376" customFormat="1" x14ac:dyDescent="0.2"/>
    <row r="3377" customFormat="1" x14ac:dyDescent="0.2"/>
    <row r="3378" customFormat="1" x14ac:dyDescent="0.2"/>
    <row r="3379" customFormat="1" x14ac:dyDescent="0.2"/>
    <row r="3380" customFormat="1" x14ac:dyDescent="0.2"/>
    <row r="3381" customFormat="1" x14ac:dyDescent="0.2"/>
    <row r="3382" customFormat="1" x14ac:dyDescent="0.2"/>
    <row r="3383" customFormat="1" x14ac:dyDescent="0.2"/>
    <row r="3384" customFormat="1" x14ac:dyDescent="0.2"/>
    <row r="3385" customFormat="1" x14ac:dyDescent="0.2"/>
    <row r="3386" customFormat="1" x14ac:dyDescent="0.2"/>
    <row r="3387" customFormat="1" x14ac:dyDescent="0.2"/>
    <row r="3388" customFormat="1" x14ac:dyDescent="0.2"/>
    <row r="3389" customFormat="1" x14ac:dyDescent="0.2"/>
    <row r="3390" customFormat="1" x14ac:dyDescent="0.2"/>
    <row r="3391" customFormat="1" x14ac:dyDescent="0.2"/>
    <row r="3392" customFormat="1" x14ac:dyDescent="0.2"/>
    <row r="3393" customFormat="1" x14ac:dyDescent="0.2"/>
    <row r="3394" customFormat="1" x14ac:dyDescent="0.2"/>
    <row r="3395" customFormat="1" x14ac:dyDescent="0.2"/>
    <row r="3396" customFormat="1" x14ac:dyDescent="0.2"/>
    <row r="3397" customFormat="1" x14ac:dyDescent="0.2"/>
    <row r="3398" customFormat="1" x14ac:dyDescent="0.2"/>
    <row r="3399" customFormat="1" x14ac:dyDescent="0.2"/>
    <row r="3400" customFormat="1" x14ac:dyDescent="0.2"/>
    <row r="3401" customFormat="1" x14ac:dyDescent="0.2"/>
    <row r="3402" customFormat="1" x14ac:dyDescent="0.2"/>
    <row r="3403" customFormat="1" x14ac:dyDescent="0.2"/>
    <row r="3404" customFormat="1" x14ac:dyDescent="0.2"/>
    <row r="3405" customFormat="1" x14ac:dyDescent="0.2"/>
    <row r="3406" customFormat="1" x14ac:dyDescent="0.2"/>
    <row r="3407" customFormat="1" x14ac:dyDescent="0.2"/>
    <row r="3408" customFormat="1" x14ac:dyDescent="0.2"/>
    <row r="3409" customFormat="1" x14ac:dyDescent="0.2"/>
    <row r="3410" customFormat="1" x14ac:dyDescent="0.2"/>
    <row r="3411" customFormat="1" x14ac:dyDescent="0.2"/>
    <row r="3412" customFormat="1" x14ac:dyDescent="0.2"/>
    <row r="3413" customFormat="1" x14ac:dyDescent="0.2"/>
    <row r="3414" customFormat="1" x14ac:dyDescent="0.2"/>
    <row r="3415" customFormat="1" x14ac:dyDescent="0.2"/>
    <row r="3416" customFormat="1" x14ac:dyDescent="0.2"/>
    <row r="3417" customFormat="1" x14ac:dyDescent="0.2"/>
    <row r="3418" customFormat="1" x14ac:dyDescent="0.2"/>
    <row r="3419" customFormat="1" x14ac:dyDescent="0.2"/>
    <row r="3420" customFormat="1" x14ac:dyDescent="0.2"/>
    <row r="3421" customFormat="1" x14ac:dyDescent="0.2"/>
    <row r="3422" customFormat="1" x14ac:dyDescent="0.2"/>
    <row r="3423" customFormat="1" x14ac:dyDescent="0.2"/>
    <row r="3424" customFormat="1" x14ac:dyDescent="0.2"/>
    <row r="3425" customFormat="1" x14ac:dyDescent="0.2"/>
    <row r="3426" customFormat="1" x14ac:dyDescent="0.2"/>
    <row r="3427" customFormat="1" x14ac:dyDescent="0.2"/>
    <row r="3428" customFormat="1" x14ac:dyDescent="0.2"/>
    <row r="3429" customFormat="1" x14ac:dyDescent="0.2"/>
    <row r="3430" customFormat="1" x14ac:dyDescent="0.2"/>
    <row r="3431" customFormat="1" x14ac:dyDescent="0.2"/>
    <row r="3432" customFormat="1" x14ac:dyDescent="0.2"/>
    <row r="3433" customFormat="1" x14ac:dyDescent="0.2"/>
    <row r="3434" customFormat="1" x14ac:dyDescent="0.2"/>
    <row r="3435" customFormat="1" x14ac:dyDescent="0.2"/>
    <row r="3436" customFormat="1" x14ac:dyDescent="0.2"/>
    <row r="3437" customFormat="1" x14ac:dyDescent="0.2"/>
    <row r="3438" customFormat="1" x14ac:dyDescent="0.2"/>
    <row r="3439" customFormat="1" x14ac:dyDescent="0.2"/>
    <row r="3440" customFormat="1" x14ac:dyDescent="0.2"/>
    <row r="3441" customFormat="1" x14ac:dyDescent="0.2"/>
    <row r="3442" customFormat="1" x14ac:dyDescent="0.2"/>
    <row r="3443" customFormat="1" x14ac:dyDescent="0.2"/>
    <row r="3444" customFormat="1" x14ac:dyDescent="0.2"/>
    <row r="3445" customFormat="1" x14ac:dyDescent="0.2"/>
    <row r="3446" customFormat="1" x14ac:dyDescent="0.2"/>
    <row r="3447" customFormat="1" x14ac:dyDescent="0.2"/>
    <row r="3448" customFormat="1" x14ac:dyDescent="0.2"/>
    <row r="3449" customFormat="1" x14ac:dyDescent="0.2"/>
    <row r="3450" customFormat="1" x14ac:dyDescent="0.2"/>
    <row r="3451" customFormat="1" x14ac:dyDescent="0.2"/>
    <row r="3452" customFormat="1" x14ac:dyDescent="0.2"/>
    <row r="3453" customFormat="1" x14ac:dyDescent="0.2"/>
    <row r="3454" customFormat="1" x14ac:dyDescent="0.2"/>
    <row r="3455" customFormat="1" x14ac:dyDescent="0.2"/>
    <row r="3456" customFormat="1" x14ac:dyDescent="0.2"/>
    <row r="3457" customFormat="1" x14ac:dyDescent="0.2"/>
    <row r="3458" customFormat="1" x14ac:dyDescent="0.2"/>
    <row r="3459" customFormat="1" x14ac:dyDescent="0.2"/>
    <row r="3460" customFormat="1" x14ac:dyDescent="0.2"/>
    <row r="3461" customFormat="1" x14ac:dyDescent="0.2"/>
    <row r="3462" customFormat="1" x14ac:dyDescent="0.2"/>
    <row r="3463" customFormat="1" x14ac:dyDescent="0.2"/>
    <row r="3464" customFormat="1" x14ac:dyDescent="0.2"/>
    <row r="3465" customFormat="1" x14ac:dyDescent="0.2"/>
    <row r="3466" customFormat="1" x14ac:dyDescent="0.2"/>
    <row r="3467" customFormat="1" x14ac:dyDescent="0.2"/>
    <row r="3468" customFormat="1" x14ac:dyDescent="0.2"/>
    <row r="3469" customFormat="1" x14ac:dyDescent="0.2"/>
    <row r="3470" customFormat="1" x14ac:dyDescent="0.2"/>
    <row r="3471" customFormat="1" x14ac:dyDescent="0.2"/>
    <row r="3472" customFormat="1" x14ac:dyDescent="0.2"/>
    <row r="3473" customFormat="1" x14ac:dyDescent="0.2"/>
    <row r="3474" customFormat="1" x14ac:dyDescent="0.2"/>
    <row r="3475" customFormat="1" x14ac:dyDescent="0.2"/>
    <row r="3476" customFormat="1" x14ac:dyDescent="0.2"/>
    <row r="3477" customFormat="1" x14ac:dyDescent="0.2"/>
    <row r="3478" customFormat="1" x14ac:dyDescent="0.2"/>
    <row r="3479" customFormat="1" x14ac:dyDescent="0.2"/>
    <row r="3480" customFormat="1" x14ac:dyDescent="0.2"/>
    <row r="3481" customFormat="1" x14ac:dyDescent="0.2"/>
    <row r="3482" customFormat="1" x14ac:dyDescent="0.2"/>
    <row r="3483" customFormat="1" x14ac:dyDescent="0.2"/>
    <row r="3484" customFormat="1" x14ac:dyDescent="0.2"/>
    <row r="3485" customFormat="1" x14ac:dyDescent="0.2"/>
    <row r="3486" customFormat="1" x14ac:dyDescent="0.2"/>
    <row r="3487" customFormat="1" x14ac:dyDescent="0.2"/>
    <row r="3488" customFormat="1" x14ac:dyDescent="0.2"/>
    <row r="3489" customFormat="1" x14ac:dyDescent="0.2"/>
    <row r="3490" customFormat="1" x14ac:dyDescent="0.2"/>
    <row r="3491" customFormat="1" x14ac:dyDescent="0.2"/>
    <row r="3492" customFormat="1" x14ac:dyDescent="0.2"/>
    <row r="3493" customFormat="1" x14ac:dyDescent="0.2"/>
    <row r="3494" customFormat="1" x14ac:dyDescent="0.2"/>
    <row r="3495" customFormat="1" x14ac:dyDescent="0.2"/>
    <row r="3496" customFormat="1" x14ac:dyDescent="0.2"/>
    <row r="3497" customFormat="1" x14ac:dyDescent="0.2"/>
    <row r="3498" customFormat="1" x14ac:dyDescent="0.2"/>
    <row r="3499" customFormat="1" x14ac:dyDescent="0.2"/>
    <row r="3500" customFormat="1" x14ac:dyDescent="0.2"/>
    <row r="3501" customFormat="1" x14ac:dyDescent="0.2"/>
    <row r="3502" customFormat="1" x14ac:dyDescent="0.2"/>
    <row r="3503" customFormat="1" x14ac:dyDescent="0.2"/>
    <row r="3504" customFormat="1" x14ac:dyDescent="0.2"/>
    <row r="3505" customFormat="1" x14ac:dyDescent="0.2"/>
    <row r="3506" customFormat="1" x14ac:dyDescent="0.2"/>
    <row r="3507" customFormat="1" x14ac:dyDescent="0.2"/>
    <row r="3508" customFormat="1" x14ac:dyDescent="0.2"/>
    <row r="3509" customFormat="1" x14ac:dyDescent="0.2"/>
    <row r="3510" customFormat="1" x14ac:dyDescent="0.2"/>
    <row r="3511" customFormat="1" x14ac:dyDescent="0.2"/>
    <row r="3512" customFormat="1" x14ac:dyDescent="0.2"/>
    <row r="3513" customFormat="1" x14ac:dyDescent="0.2"/>
    <row r="3514" customFormat="1" x14ac:dyDescent="0.2"/>
    <row r="3515" customFormat="1" x14ac:dyDescent="0.2"/>
    <row r="3516" customFormat="1" x14ac:dyDescent="0.2"/>
    <row r="3517" customFormat="1" x14ac:dyDescent="0.2"/>
    <row r="3518" customFormat="1" x14ac:dyDescent="0.2"/>
    <row r="3519" customFormat="1" x14ac:dyDescent="0.2"/>
    <row r="3520" customFormat="1" x14ac:dyDescent="0.2"/>
    <row r="3521" customFormat="1" x14ac:dyDescent="0.2"/>
    <row r="3522" customFormat="1" x14ac:dyDescent="0.2"/>
    <row r="3523" customFormat="1" x14ac:dyDescent="0.2"/>
    <row r="3524" customFormat="1" x14ac:dyDescent="0.2"/>
    <row r="3525" customFormat="1" x14ac:dyDescent="0.2"/>
    <row r="3526" customFormat="1" x14ac:dyDescent="0.2"/>
    <row r="3527" customFormat="1" x14ac:dyDescent="0.2"/>
    <row r="3528" customFormat="1" x14ac:dyDescent="0.2"/>
    <row r="3529" customFormat="1" x14ac:dyDescent="0.2"/>
    <row r="3530" customFormat="1" x14ac:dyDescent="0.2"/>
    <row r="3531" customFormat="1" x14ac:dyDescent="0.2"/>
    <row r="3532" customFormat="1" x14ac:dyDescent="0.2"/>
    <row r="3533" customFormat="1" x14ac:dyDescent="0.2"/>
    <row r="3534" customFormat="1" x14ac:dyDescent="0.2"/>
    <row r="3535" customFormat="1" x14ac:dyDescent="0.2"/>
    <row r="3536" customFormat="1" x14ac:dyDescent="0.2"/>
    <row r="3537" customFormat="1" x14ac:dyDescent="0.2"/>
    <row r="3538" customFormat="1" x14ac:dyDescent="0.2"/>
    <row r="3539" customFormat="1" x14ac:dyDescent="0.2"/>
    <row r="3540" customFormat="1" x14ac:dyDescent="0.2"/>
    <row r="3541" customFormat="1" x14ac:dyDescent="0.2"/>
    <row r="3542" customFormat="1" x14ac:dyDescent="0.2"/>
    <row r="3543" customFormat="1" x14ac:dyDescent="0.2"/>
    <row r="3544" customFormat="1" x14ac:dyDescent="0.2"/>
    <row r="3545" customFormat="1" x14ac:dyDescent="0.2"/>
    <row r="3546" customFormat="1" x14ac:dyDescent="0.2"/>
    <row r="3547" customFormat="1" x14ac:dyDescent="0.2"/>
    <row r="3548" customFormat="1" x14ac:dyDescent="0.2"/>
    <row r="3549" customFormat="1" x14ac:dyDescent="0.2"/>
    <row r="3550" customFormat="1" x14ac:dyDescent="0.2"/>
    <row r="3551" customFormat="1" x14ac:dyDescent="0.2"/>
    <row r="3552" customFormat="1" x14ac:dyDescent="0.2"/>
    <row r="3553" customFormat="1" x14ac:dyDescent="0.2"/>
    <row r="3554" customFormat="1" x14ac:dyDescent="0.2"/>
    <row r="3555" customFormat="1" x14ac:dyDescent="0.2"/>
    <row r="3556" customFormat="1" x14ac:dyDescent="0.2"/>
    <row r="3557" customFormat="1" x14ac:dyDescent="0.2"/>
    <row r="3558" customFormat="1" x14ac:dyDescent="0.2"/>
    <row r="3559" customFormat="1" x14ac:dyDescent="0.2"/>
    <row r="3560" customFormat="1" x14ac:dyDescent="0.2"/>
    <row r="3561" customFormat="1" x14ac:dyDescent="0.2"/>
    <row r="3562" customFormat="1" x14ac:dyDescent="0.2"/>
    <row r="3563" customFormat="1" x14ac:dyDescent="0.2"/>
    <row r="3564" customFormat="1" x14ac:dyDescent="0.2"/>
    <row r="3565" customFormat="1" x14ac:dyDescent="0.2"/>
    <row r="3566" customFormat="1" x14ac:dyDescent="0.2"/>
    <row r="3567" customFormat="1" x14ac:dyDescent="0.2"/>
    <row r="3568" customFormat="1" x14ac:dyDescent="0.2"/>
    <row r="3569" customFormat="1" x14ac:dyDescent="0.2"/>
    <row r="3570" customFormat="1" x14ac:dyDescent="0.2"/>
    <row r="3571" customFormat="1" x14ac:dyDescent="0.2"/>
    <row r="3572" customFormat="1" x14ac:dyDescent="0.2"/>
    <row r="3573" customFormat="1" x14ac:dyDescent="0.2"/>
    <row r="3574" customFormat="1" x14ac:dyDescent="0.2"/>
    <row r="3575" customFormat="1" x14ac:dyDescent="0.2"/>
    <row r="3576" customFormat="1" x14ac:dyDescent="0.2"/>
    <row r="3577" customFormat="1" x14ac:dyDescent="0.2"/>
    <row r="3578" customFormat="1" x14ac:dyDescent="0.2"/>
    <row r="3579" customFormat="1" x14ac:dyDescent="0.2"/>
    <row r="3580" customFormat="1" x14ac:dyDescent="0.2"/>
    <row r="3581" customFormat="1" x14ac:dyDescent="0.2"/>
    <row r="3582" customFormat="1" x14ac:dyDescent="0.2"/>
    <row r="3583" customFormat="1" x14ac:dyDescent="0.2"/>
    <row r="3584" customFormat="1" x14ac:dyDescent="0.2"/>
    <row r="3585" customFormat="1" x14ac:dyDescent="0.2"/>
    <row r="3586" customFormat="1" x14ac:dyDescent="0.2"/>
    <row r="3587" customFormat="1" x14ac:dyDescent="0.2"/>
    <row r="3588" customFormat="1" x14ac:dyDescent="0.2"/>
    <row r="3589" customFormat="1" x14ac:dyDescent="0.2"/>
    <row r="3590" customFormat="1" x14ac:dyDescent="0.2"/>
    <row r="3591" customFormat="1" x14ac:dyDescent="0.2"/>
    <row r="3592" customFormat="1" x14ac:dyDescent="0.2"/>
    <row r="3593" customFormat="1" x14ac:dyDescent="0.2"/>
    <row r="3594" customFormat="1" x14ac:dyDescent="0.2"/>
    <row r="3595" customFormat="1" x14ac:dyDescent="0.2"/>
    <row r="3596" customFormat="1" x14ac:dyDescent="0.2"/>
    <row r="3597" customFormat="1" x14ac:dyDescent="0.2"/>
    <row r="3598" customFormat="1" x14ac:dyDescent="0.2"/>
    <row r="3599" customFormat="1" x14ac:dyDescent="0.2"/>
    <row r="3600" customFormat="1" x14ac:dyDescent="0.2"/>
    <row r="3601" customFormat="1" x14ac:dyDescent="0.2"/>
    <row r="3602" customFormat="1" x14ac:dyDescent="0.2"/>
    <row r="3603" customFormat="1" x14ac:dyDescent="0.2"/>
    <row r="3604" customFormat="1" x14ac:dyDescent="0.2"/>
    <row r="3605" customFormat="1" x14ac:dyDescent="0.2"/>
    <row r="3606" customFormat="1" x14ac:dyDescent="0.2"/>
    <row r="3607" customFormat="1" x14ac:dyDescent="0.2"/>
    <row r="3608" customFormat="1" x14ac:dyDescent="0.2"/>
    <row r="3609" customFormat="1" x14ac:dyDescent="0.2"/>
    <row r="3610" customFormat="1" x14ac:dyDescent="0.2"/>
    <row r="3611" customFormat="1" x14ac:dyDescent="0.2"/>
    <row r="3612" customFormat="1" x14ac:dyDescent="0.2"/>
    <row r="3613" customFormat="1" x14ac:dyDescent="0.2"/>
    <row r="3614" customFormat="1" x14ac:dyDescent="0.2"/>
    <row r="3615" customFormat="1" x14ac:dyDescent="0.2"/>
    <row r="3616" customFormat="1" x14ac:dyDescent="0.2"/>
    <row r="3617" customFormat="1" x14ac:dyDescent="0.2"/>
    <row r="3618" customFormat="1" x14ac:dyDescent="0.2"/>
    <row r="3619" customFormat="1" x14ac:dyDescent="0.2"/>
    <row r="3620" customFormat="1" x14ac:dyDescent="0.2"/>
    <row r="3621" customFormat="1" x14ac:dyDescent="0.2"/>
    <row r="3622" customFormat="1" x14ac:dyDescent="0.2"/>
    <row r="3623" customFormat="1" x14ac:dyDescent="0.2"/>
    <row r="3624" customFormat="1" x14ac:dyDescent="0.2"/>
    <row r="3625" customFormat="1" x14ac:dyDescent="0.2"/>
    <row r="3626" customFormat="1" x14ac:dyDescent="0.2"/>
    <row r="3627" customFormat="1" x14ac:dyDescent="0.2"/>
    <row r="3628" customFormat="1" x14ac:dyDescent="0.2"/>
    <row r="3629" customFormat="1" x14ac:dyDescent="0.2"/>
    <row r="3630" customFormat="1" x14ac:dyDescent="0.2"/>
    <row r="3631" customFormat="1" x14ac:dyDescent="0.2"/>
    <row r="3632" customFormat="1" x14ac:dyDescent="0.2"/>
    <row r="3633" customFormat="1" x14ac:dyDescent="0.2"/>
    <row r="3634" customFormat="1" x14ac:dyDescent="0.2"/>
    <row r="3635" customFormat="1" x14ac:dyDescent="0.2"/>
    <row r="3636" customFormat="1" x14ac:dyDescent="0.2"/>
    <row r="3637" customFormat="1" x14ac:dyDescent="0.2"/>
    <row r="3638" customFormat="1" x14ac:dyDescent="0.2"/>
    <row r="3639" customFormat="1" x14ac:dyDescent="0.2"/>
    <row r="3640" customFormat="1" x14ac:dyDescent="0.2"/>
    <row r="3641" customFormat="1" x14ac:dyDescent="0.2"/>
    <row r="3642" customFormat="1" x14ac:dyDescent="0.2"/>
    <row r="3643" customFormat="1" x14ac:dyDescent="0.2"/>
    <row r="3644" customFormat="1" x14ac:dyDescent="0.2"/>
    <row r="3645" customFormat="1" x14ac:dyDescent="0.2"/>
    <row r="3646" customFormat="1" x14ac:dyDescent="0.2"/>
    <row r="3647" customFormat="1" x14ac:dyDescent="0.2"/>
    <row r="3648" customFormat="1" x14ac:dyDescent="0.2"/>
    <row r="3649" customFormat="1" x14ac:dyDescent="0.2"/>
    <row r="3650" customFormat="1" x14ac:dyDescent="0.2"/>
    <row r="3651" customFormat="1" x14ac:dyDescent="0.2"/>
    <row r="3652" customFormat="1" x14ac:dyDescent="0.2"/>
    <row r="3653" customFormat="1" x14ac:dyDescent="0.2"/>
    <row r="3654" customFormat="1" x14ac:dyDescent="0.2"/>
    <row r="3655" customFormat="1" x14ac:dyDescent="0.2"/>
    <row r="3656" customFormat="1" x14ac:dyDescent="0.2"/>
    <row r="3657" customFormat="1" x14ac:dyDescent="0.2"/>
    <row r="3658" customFormat="1" x14ac:dyDescent="0.2"/>
    <row r="3659" customFormat="1" x14ac:dyDescent="0.2"/>
    <row r="3660" customFormat="1" x14ac:dyDescent="0.2"/>
    <row r="3661" customFormat="1" x14ac:dyDescent="0.2"/>
    <row r="3662" customFormat="1" x14ac:dyDescent="0.2"/>
    <row r="3663" customFormat="1" x14ac:dyDescent="0.2"/>
    <row r="3664" customFormat="1" x14ac:dyDescent="0.2"/>
    <row r="3665" customFormat="1" x14ac:dyDescent="0.2"/>
    <row r="3666" customFormat="1" x14ac:dyDescent="0.2"/>
    <row r="3667" customFormat="1" x14ac:dyDescent="0.2"/>
    <row r="3668" customFormat="1" x14ac:dyDescent="0.2"/>
    <row r="3669" customFormat="1" x14ac:dyDescent="0.2"/>
    <row r="3670" customFormat="1" x14ac:dyDescent="0.2"/>
    <row r="3671" customFormat="1" x14ac:dyDescent="0.2"/>
    <row r="3672" customFormat="1" x14ac:dyDescent="0.2"/>
    <row r="3673" customFormat="1" x14ac:dyDescent="0.2"/>
    <row r="3674" customFormat="1" x14ac:dyDescent="0.2"/>
    <row r="3675" customFormat="1" x14ac:dyDescent="0.2"/>
    <row r="3676" customFormat="1" x14ac:dyDescent="0.2"/>
    <row r="3677" customFormat="1" x14ac:dyDescent="0.2"/>
    <row r="3678" customFormat="1" x14ac:dyDescent="0.2"/>
    <row r="3679" customFormat="1" x14ac:dyDescent="0.2"/>
    <row r="3680" customFormat="1" x14ac:dyDescent="0.2"/>
    <row r="3681" customFormat="1" x14ac:dyDescent="0.2"/>
    <row r="3682" customFormat="1" x14ac:dyDescent="0.2"/>
    <row r="3683" customFormat="1" x14ac:dyDescent="0.2"/>
    <row r="3684" customFormat="1" x14ac:dyDescent="0.2"/>
    <row r="3685" customFormat="1" x14ac:dyDescent="0.2"/>
    <row r="3686" customFormat="1" x14ac:dyDescent="0.2"/>
    <row r="3687" customFormat="1" x14ac:dyDescent="0.2"/>
    <row r="3688" customFormat="1" x14ac:dyDescent="0.2"/>
    <row r="3689" customFormat="1" x14ac:dyDescent="0.2"/>
    <row r="3690" customFormat="1" x14ac:dyDescent="0.2"/>
    <row r="3691" customFormat="1" x14ac:dyDescent="0.2"/>
    <row r="3692" customFormat="1" x14ac:dyDescent="0.2"/>
    <row r="3693" customFormat="1" x14ac:dyDescent="0.2"/>
    <row r="3694" customFormat="1" x14ac:dyDescent="0.2"/>
    <row r="3695" customFormat="1" x14ac:dyDescent="0.2"/>
    <row r="3696" customFormat="1" x14ac:dyDescent="0.2"/>
    <row r="3697" customFormat="1" x14ac:dyDescent="0.2"/>
    <row r="3698" customFormat="1" x14ac:dyDescent="0.2"/>
    <row r="3699" customFormat="1" x14ac:dyDescent="0.2"/>
    <row r="3700" customFormat="1" x14ac:dyDescent="0.2"/>
    <row r="3701" customFormat="1" x14ac:dyDescent="0.2"/>
    <row r="3702" customFormat="1" x14ac:dyDescent="0.2"/>
    <row r="3703" customFormat="1" x14ac:dyDescent="0.2"/>
    <row r="3704" customFormat="1" x14ac:dyDescent="0.2"/>
    <row r="3705" customFormat="1" x14ac:dyDescent="0.2"/>
    <row r="3706" customFormat="1" x14ac:dyDescent="0.2"/>
    <row r="3707" customFormat="1" x14ac:dyDescent="0.2"/>
    <row r="3708" customFormat="1" x14ac:dyDescent="0.2"/>
    <row r="3709" customFormat="1" x14ac:dyDescent="0.2"/>
    <row r="3710" customFormat="1" x14ac:dyDescent="0.2"/>
    <row r="3711" customFormat="1" x14ac:dyDescent="0.2"/>
    <row r="3712" customFormat="1" x14ac:dyDescent="0.2"/>
    <row r="3713" customFormat="1" x14ac:dyDescent="0.2"/>
    <row r="3714" customFormat="1" x14ac:dyDescent="0.2"/>
    <row r="3715" customFormat="1" x14ac:dyDescent="0.2"/>
    <row r="3716" customFormat="1" x14ac:dyDescent="0.2"/>
    <row r="3717" customFormat="1" x14ac:dyDescent="0.2"/>
    <row r="3718" customFormat="1" x14ac:dyDescent="0.2"/>
    <row r="3719" customFormat="1" x14ac:dyDescent="0.2"/>
    <row r="3720" customFormat="1" x14ac:dyDescent="0.2"/>
    <row r="3721" customFormat="1" x14ac:dyDescent="0.2"/>
    <row r="3722" customFormat="1" x14ac:dyDescent="0.2"/>
    <row r="3723" customFormat="1" x14ac:dyDescent="0.2"/>
    <row r="3724" customFormat="1" x14ac:dyDescent="0.2"/>
    <row r="3725" customFormat="1" x14ac:dyDescent="0.2"/>
    <row r="3726" customFormat="1" x14ac:dyDescent="0.2"/>
    <row r="3727" customFormat="1" x14ac:dyDescent="0.2"/>
    <row r="3728" customFormat="1" x14ac:dyDescent="0.2"/>
    <row r="3729" customFormat="1" x14ac:dyDescent="0.2"/>
    <row r="3730" customFormat="1" x14ac:dyDescent="0.2"/>
    <row r="3731" customFormat="1" x14ac:dyDescent="0.2"/>
    <row r="3732" customFormat="1" x14ac:dyDescent="0.2"/>
    <row r="3733" customFormat="1" x14ac:dyDescent="0.2"/>
    <row r="3734" customFormat="1" x14ac:dyDescent="0.2"/>
    <row r="3735" customFormat="1" x14ac:dyDescent="0.2"/>
    <row r="3736" customFormat="1" x14ac:dyDescent="0.2"/>
    <row r="3737" customFormat="1" x14ac:dyDescent="0.2"/>
    <row r="3738" customFormat="1" x14ac:dyDescent="0.2"/>
    <row r="3739" customFormat="1" x14ac:dyDescent="0.2"/>
    <row r="3740" customFormat="1" x14ac:dyDescent="0.2"/>
    <row r="3741" customFormat="1" x14ac:dyDescent="0.2"/>
    <row r="3742" customFormat="1" x14ac:dyDescent="0.2"/>
    <row r="3743" customFormat="1" x14ac:dyDescent="0.2"/>
    <row r="3744" customFormat="1" x14ac:dyDescent="0.2"/>
    <row r="3745" customFormat="1" x14ac:dyDescent="0.2"/>
    <row r="3746" customFormat="1" x14ac:dyDescent="0.2"/>
    <row r="3747" customFormat="1" x14ac:dyDescent="0.2"/>
    <row r="3748" customFormat="1" x14ac:dyDescent="0.2"/>
    <row r="3749" customFormat="1" x14ac:dyDescent="0.2"/>
    <row r="3750" customFormat="1" x14ac:dyDescent="0.2"/>
    <row r="3751" customFormat="1" x14ac:dyDescent="0.2"/>
    <row r="3752" customFormat="1" x14ac:dyDescent="0.2"/>
    <row r="3753" customFormat="1" x14ac:dyDescent="0.2"/>
    <row r="3754" customFormat="1" x14ac:dyDescent="0.2"/>
    <row r="3755" customFormat="1" x14ac:dyDescent="0.2"/>
    <row r="3756" customFormat="1" x14ac:dyDescent="0.2"/>
    <row r="3757" customFormat="1" x14ac:dyDescent="0.2"/>
    <row r="3758" customFormat="1" x14ac:dyDescent="0.2"/>
    <row r="3759" customFormat="1" x14ac:dyDescent="0.2"/>
    <row r="3760" customFormat="1" x14ac:dyDescent="0.2"/>
    <row r="3761" customFormat="1" x14ac:dyDescent="0.2"/>
    <row r="3762" customFormat="1" x14ac:dyDescent="0.2"/>
    <row r="3763" customFormat="1" x14ac:dyDescent="0.2"/>
    <row r="3764" customFormat="1" x14ac:dyDescent="0.2"/>
    <row r="3765" customFormat="1" x14ac:dyDescent="0.2"/>
    <row r="3766" customFormat="1" x14ac:dyDescent="0.2"/>
    <row r="3767" customFormat="1" x14ac:dyDescent="0.2"/>
    <row r="3768" customFormat="1" x14ac:dyDescent="0.2"/>
    <row r="3769" customFormat="1" x14ac:dyDescent="0.2"/>
    <row r="3770" customFormat="1" x14ac:dyDescent="0.2"/>
    <row r="3771" customFormat="1" x14ac:dyDescent="0.2"/>
    <row r="3772" customFormat="1" x14ac:dyDescent="0.2"/>
    <row r="3773" customFormat="1" x14ac:dyDescent="0.2"/>
    <row r="3774" customFormat="1" x14ac:dyDescent="0.2"/>
    <row r="3775" customFormat="1" x14ac:dyDescent="0.2"/>
    <row r="3776" customFormat="1" x14ac:dyDescent="0.2"/>
    <row r="3777" customFormat="1" x14ac:dyDescent="0.2"/>
    <row r="3778" customFormat="1" x14ac:dyDescent="0.2"/>
    <row r="3779" customFormat="1" x14ac:dyDescent="0.2"/>
    <row r="3780" customFormat="1" x14ac:dyDescent="0.2"/>
    <row r="3781" customFormat="1" x14ac:dyDescent="0.2"/>
    <row r="3782" customFormat="1" x14ac:dyDescent="0.2"/>
    <row r="3783" customFormat="1" x14ac:dyDescent="0.2"/>
    <row r="3784" customFormat="1" x14ac:dyDescent="0.2"/>
    <row r="3785" customFormat="1" x14ac:dyDescent="0.2"/>
    <row r="3786" customFormat="1" x14ac:dyDescent="0.2"/>
    <row r="3787" customFormat="1" x14ac:dyDescent="0.2"/>
    <row r="3788" customFormat="1" x14ac:dyDescent="0.2"/>
    <row r="3789" customFormat="1" x14ac:dyDescent="0.2"/>
    <row r="3790" customFormat="1" x14ac:dyDescent="0.2"/>
    <row r="3791" customFormat="1" x14ac:dyDescent="0.2"/>
    <row r="3792" customFormat="1" x14ac:dyDescent="0.2"/>
    <row r="3793" customFormat="1" x14ac:dyDescent="0.2"/>
    <row r="3794" customFormat="1" x14ac:dyDescent="0.2"/>
    <row r="3795" customFormat="1" x14ac:dyDescent="0.2"/>
    <row r="3796" customFormat="1" x14ac:dyDescent="0.2"/>
    <row r="3797" customFormat="1" x14ac:dyDescent="0.2"/>
    <row r="3798" customFormat="1" x14ac:dyDescent="0.2"/>
    <row r="3799" customFormat="1" x14ac:dyDescent="0.2"/>
    <row r="3800" customFormat="1" x14ac:dyDescent="0.2"/>
    <row r="3801" customFormat="1" x14ac:dyDescent="0.2"/>
    <row r="3802" customFormat="1" x14ac:dyDescent="0.2"/>
    <row r="3803" customFormat="1" x14ac:dyDescent="0.2"/>
    <row r="3804" customFormat="1" x14ac:dyDescent="0.2"/>
    <row r="3805" customFormat="1" x14ac:dyDescent="0.2"/>
    <row r="3806" customFormat="1" x14ac:dyDescent="0.2"/>
    <row r="3807" customFormat="1" x14ac:dyDescent="0.2"/>
    <row r="3808" customFormat="1" x14ac:dyDescent="0.2"/>
    <row r="3809" customFormat="1" x14ac:dyDescent="0.2"/>
    <row r="3810" customFormat="1" x14ac:dyDescent="0.2"/>
    <row r="3811" customFormat="1" x14ac:dyDescent="0.2"/>
    <row r="3812" customFormat="1" x14ac:dyDescent="0.2"/>
    <row r="3813" customFormat="1" x14ac:dyDescent="0.2"/>
    <row r="3814" customFormat="1" x14ac:dyDescent="0.2"/>
    <row r="3815" customFormat="1" x14ac:dyDescent="0.2"/>
    <row r="3816" customFormat="1" x14ac:dyDescent="0.2"/>
    <row r="3817" customFormat="1" x14ac:dyDescent="0.2"/>
    <row r="3818" customFormat="1" x14ac:dyDescent="0.2"/>
    <row r="3819" customFormat="1" x14ac:dyDescent="0.2"/>
    <row r="3820" customFormat="1" x14ac:dyDescent="0.2"/>
    <row r="3821" customFormat="1" x14ac:dyDescent="0.2"/>
    <row r="3822" customFormat="1" x14ac:dyDescent="0.2"/>
    <row r="3823" customFormat="1" x14ac:dyDescent="0.2"/>
    <row r="3824" customFormat="1" x14ac:dyDescent="0.2"/>
    <row r="3825" customFormat="1" x14ac:dyDescent="0.2"/>
    <row r="3826" customFormat="1" x14ac:dyDescent="0.2"/>
    <row r="3827" customFormat="1" x14ac:dyDescent="0.2"/>
    <row r="3828" customFormat="1" x14ac:dyDescent="0.2"/>
    <row r="3829" customFormat="1" x14ac:dyDescent="0.2"/>
    <row r="3830" customFormat="1" x14ac:dyDescent="0.2"/>
    <row r="3831" customFormat="1" x14ac:dyDescent="0.2"/>
    <row r="3832" customFormat="1" x14ac:dyDescent="0.2"/>
    <row r="3833" customFormat="1" x14ac:dyDescent="0.2"/>
    <row r="3834" customFormat="1" x14ac:dyDescent="0.2"/>
    <row r="3835" customFormat="1" x14ac:dyDescent="0.2"/>
    <row r="3836" customFormat="1" x14ac:dyDescent="0.2"/>
    <row r="3837" customFormat="1" x14ac:dyDescent="0.2"/>
    <row r="3838" customFormat="1" x14ac:dyDescent="0.2"/>
    <row r="3839" customFormat="1" x14ac:dyDescent="0.2"/>
    <row r="3840" customFormat="1" x14ac:dyDescent="0.2"/>
    <row r="3841" customFormat="1" x14ac:dyDescent="0.2"/>
    <row r="3842" customFormat="1" x14ac:dyDescent="0.2"/>
    <row r="3843" customFormat="1" x14ac:dyDescent="0.2"/>
    <row r="3844" customFormat="1" x14ac:dyDescent="0.2"/>
    <row r="3845" customFormat="1" x14ac:dyDescent="0.2"/>
    <row r="3846" customFormat="1" x14ac:dyDescent="0.2"/>
    <row r="3847" customFormat="1" x14ac:dyDescent="0.2"/>
    <row r="3848" customFormat="1" x14ac:dyDescent="0.2"/>
    <row r="3849" customFormat="1" x14ac:dyDescent="0.2"/>
    <row r="3850" customFormat="1" x14ac:dyDescent="0.2"/>
    <row r="3851" customFormat="1" x14ac:dyDescent="0.2"/>
    <row r="3852" customFormat="1" x14ac:dyDescent="0.2"/>
    <row r="3853" customFormat="1" x14ac:dyDescent="0.2"/>
    <row r="3854" customFormat="1" x14ac:dyDescent="0.2"/>
    <row r="3855" customFormat="1" x14ac:dyDescent="0.2"/>
    <row r="3856" customFormat="1" x14ac:dyDescent="0.2"/>
    <row r="3857" customFormat="1" x14ac:dyDescent="0.2"/>
    <row r="3858" customFormat="1" x14ac:dyDescent="0.2"/>
    <row r="3859" customFormat="1" x14ac:dyDescent="0.2"/>
    <row r="3860" customFormat="1" x14ac:dyDescent="0.2"/>
    <row r="3861" customFormat="1" x14ac:dyDescent="0.2"/>
    <row r="3862" customFormat="1" x14ac:dyDescent="0.2"/>
    <row r="3863" customFormat="1" x14ac:dyDescent="0.2"/>
    <row r="3864" customFormat="1" x14ac:dyDescent="0.2"/>
    <row r="3865" customFormat="1" x14ac:dyDescent="0.2"/>
    <row r="3866" customFormat="1" x14ac:dyDescent="0.2"/>
    <row r="3867" customFormat="1" x14ac:dyDescent="0.2"/>
    <row r="3868" customFormat="1" x14ac:dyDescent="0.2"/>
    <row r="3869" customFormat="1" x14ac:dyDescent="0.2"/>
    <row r="3870" customFormat="1" x14ac:dyDescent="0.2"/>
    <row r="3871" customFormat="1" x14ac:dyDescent="0.2"/>
    <row r="3872" customFormat="1" x14ac:dyDescent="0.2"/>
    <row r="3873" customFormat="1" x14ac:dyDescent="0.2"/>
    <row r="3874" customFormat="1" x14ac:dyDescent="0.2"/>
    <row r="3875" customFormat="1" x14ac:dyDescent="0.2"/>
    <row r="3876" customFormat="1" x14ac:dyDescent="0.2"/>
    <row r="3877" customFormat="1" x14ac:dyDescent="0.2"/>
    <row r="3878" customFormat="1" x14ac:dyDescent="0.2"/>
    <row r="3879" customFormat="1" x14ac:dyDescent="0.2"/>
    <row r="3880" customFormat="1" x14ac:dyDescent="0.2"/>
    <row r="3881" customFormat="1" x14ac:dyDescent="0.2"/>
    <row r="3882" customFormat="1" x14ac:dyDescent="0.2"/>
    <row r="3883" customFormat="1" x14ac:dyDescent="0.2"/>
    <row r="3884" customFormat="1" x14ac:dyDescent="0.2"/>
    <row r="3885" customFormat="1" x14ac:dyDescent="0.2"/>
    <row r="3886" customFormat="1" x14ac:dyDescent="0.2"/>
    <row r="3887" customFormat="1" x14ac:dyDescent="0.2"/>
    <row r="3888" customFormat="1" x14ac:dyDescent="0.2"/>
    <row r="3889" customFormat="1" x14ac:dyDescent="0.2"/>
    <row r="3890" customFormat="1" x14ac:dyDescent="0.2"/>
    <row r="3891" customFormat="1" x14ac:dyDescent="0.2"/>
    <row r="3892" customFormat="1" x14ac:dyDescent="0.2"/>
    <row r="3893" customFormat="1" x14ac:dyDescent="0.2"/>
    <row r="3894" customFormat="1" x14ac:dyDescent="0.2"/>
    <row r="3895" customFormat="1" x14ac:dyDescent="0.2"/>
    <row r="3896" customFormat="1" x14ac:dyDescent="0.2"/>
    <row r="3897" customFormat="1" x14ac:dyDescent="0.2"/>
    <row r="3898" customFormat="1" x14ac:dyDescent="0.2"/>
    <row r="3899" customFormat="1" x14ac:dyDescent="0.2"/>
    <row r="3900" customFormat="1" x14ac:dyDescent="0.2"/>
    <row r="3901" customFormat="1" x14ac:dyDescent="0.2"/>
    <row r="3902" customFormat="1" x14ac:dyDescent="0.2"/>
    <row r="3903" customFormat="1" x14ac:dyDescent="0.2"/>
    <row r="3904" customFormat="1" x14ac:dyDescent="0.2"/>
    <row r="3905" customFormat="1" x14ac:dyDescent="0.2"/>
    <row r="3906" customFormat="1" x14ac:dyDescent="0.2"/>
    <row r="3907" customFormat="1" x14ac:dyDescent="0.2"/>
    <row r="3908" customFormat="1" x14ac:dyDescent="0.2"/>
    <row r="3909" customFormat="1" x14ac:dyDescent="0.2"/>
    <row r="3910" customFormat="1" x14ac:dyDescent="0.2"/>
    <row r="3911" customFormat="1" x14ac:dyDescent="0.2"/>
    <row r="3912" customFormat="1" x14ac:dyDescent="0.2"/>
    <row r="3913" customFormat="1" x14ac:dyDescent="0.2"/>
    <row r="3914" customFormat="1" x14ac:dyDescent="0.2"/>
    <row r="3915" customFormat="1" x14ac:dyDescent="0.2"/>
    <row r="3916" customFormat="1" x14ac:dyDescent="0.2"/>
    <row r="3917" customFormat="1" x14ac:dyDescent="0.2"/>
    <row r="3918" customFormat="1" x14ac:dyDescent="0.2"/>
    <row r="3919" customFormat="1" x14ac:dyDescent="0.2"/>
    <row r="3920" customFormat="1" x14ac:dyDescent="0.2"/>
    <row r="3921" customFormat="1" x14ac:dyDescent="0.2"/>
    <row r="3922" customFormat="1" x14ac:dyDescent="0.2"/>
    <row r="3923" customFormat="1" x14ac:dyDescent="0.2"/>
    <row r="3924" customFormat="1" x14ac:dyDescent="0.2"/>
    <row r="3925" customFormat="1" x14ac:dyDescent="0.2"/>
    <row r="3926" customFormat="1" x14ac:dyDescent="0.2"/>
    <row r="3927" customFormat="1" x14ac:dyDescent="0.2"/>
    <row r="3928" customFormat="1" x14ac:dyDescent="0.2"/>
    <row r="3929" customFormat="1" x14ac:dyDescent="0.2"/>
    <row r="3930" customFormat="1" x14ac:dyDescent="0.2"/>
    <row r="3931" customFormat="1" x14ac:dyDescent="0.2"/>
    <row r="3932" customFormat="1" x14ac:dyDescent="0.2"/>
    <row r="3933" customFormat="1" x14ac:dyDescent="0.2"/>
    <row r="3934" customFormat="1" x14ac:dyDescent="0.2"/>
    <row r="3935" customFormat="1" x14ac:dyDescent="0.2"/>
    <row r="3936" customFormat="1" x14ac:dyDescent="0.2"/>
    <row r="3937" customFormat="1" x14ac:dyDescent="0.2"/>
    <row r="3938" customFormat="1" x14ac:dyDescent="0.2"/>
    <row r="3939" customFormat="1" x14ac:dyDescent="0.2"/>
    <row r="3940" customFormat="1" x14ac:dyDescent="0.2"/>
    <row r="3941" customFormat="1" x14ac:dyDescent="0.2"/>
    <row r="3942" customFormat="1" x14ac:dyDescent="0.2"/>
    <row r="3943" customFormat="1" x14ac:dyDescent="0.2"/>
    <row r="3944" customFormat="1" x14ac:dyDescent="0.2"/>
    <row r="3945" customFormat="1" x14ac:dyDescent="0.2"/>
    <row r="3946" customFormat="1" x14ac:dyDescent="0.2"/>
    <row r="3947" customFormat="1" x14ac:dyDescent="0.2"/>
    <row r="3948" customFormat="1" x14ac:dyDescent="0.2"/>
    <row r="3949" customFormat="1" x14ac:dyDescent="0.2"/>
    <row r="3950" customFormat="1" x14ac:dyDescent="0.2"/>
    <row r="3951" customFormat="1" x14ac:dyDescent="0.2"/>
    <row r="3952" customFormat="1" x14ac:dyDescent="0.2"/>
    <row r="3953" customFormat="1" x14ac:dyDescent="0.2"/>
    <row r="3954" customFormat="1" x14ac:dyDescent="0.2"/>
    <row r="3955" customFormat="1" x14ac:dyDescent="0.2"/>
    <row r="3956" customFormat="1" x14ac:dyDescent="0.2"/>
    <row r="3957" customFormat="1" x14ac:dyDescent="0.2"/>
    <row r="3958" customFormat="1" x14ac:dyDescent="0.2"/>
    <row r="3959" customFormat="1" x14ac:dyDescent="0.2"/>
    <row r="3960" customFormat="1" x14ac:dyDescent="0.2"/>
    <row r="3961" customFormat="1" x14ac:dyDescent="0.2"/>
    <row r="3962" customFormat="1" x14ac:dyDescent="0.2"/>
    <row r="3963" customFormat="1" x14ac:dyDescent="0.2"/>
    <row r="3964" customFormat="1" x14ac:dyDescent="0.2"/>
    <row r="3965" customFormat="1" x14ac:dyDescent="0.2"/>
    <row r="3966" customFormat="1" x14ac:dyDescent="0.2"/>
    <row r="3967" customFormat="1" x14ac:dyDescent="0.2"/>
    <row r="3968" customFormat="1" x14ac:dyDescent="0.2"/>
    <row r="3969" customFormat="1" x14ac:dyDescent="0.2"/>
    <row r="3970" customFormat="1" x14ac:dyDescent="0.2"/>
    <row r="3971" customFormat="1" x14ac:dyDescent="0.2"/>
    <row r="3972" customFormat="1" x14ac:dyDescent="0.2"/>
    <row r="3973" customFormat="1" x14ac:dyDescent="0.2"/>
    <row r="3974" customFormat="1" x14ac:dyDescent="0.2"/>
    <row r="3975" customFormat="1" x14ac:dyDescent="0.2"/>
    <row r="3976" customFormat="1" x14ac:dyDescent="0.2"/>
    <row r="3977" customFormat="1" x14ac:dyDescent="0.2"/>
    <row r="3978" customFormat="1" x14ac:dyDescent="0.2"/>
    <row r="3979" customFormat="1" x14ac:dyDescent="0.2"/>
    <row r="3980" customFormat="1" x14ac:dyDescent="0.2"/>
    <row r="3981" customFormat="1" x14ac:dyDescent="0.2"/>
    <row r="3982" customFormat="1" x14ac:dyDescent="0.2"/>
    <row r="3983" customFormat="1" x14ac:dyDescent="0.2"/>
    <row r="3984" customFormat="1" x14ac:dyDescent="0.2"/>
    <row r="3985" customFormat="1" x14ac:dyDescent="0.2"/>
    <row r="3986" customFormat="1" x14ac:dyDescent="0.2"/>
    <row r="3987" customFormat="1" x14ac:dyDescent="0.2"/>
    <row r="3988" customFormat="1" x14ac:dyDescent="0.2"/>
    <row r="3989" customFormat="1" x14ac:dyDescent="0.2"/>
    <row r="3990" customFormat="1" x14ac:dyDescent="0.2"/>
    <row r="3991" customFormat="1" x14ac:dyDescent="0.2"/>
    <row r="3992" customFormat="1" x14ac:dyDescent="0.2"/>
    <row r="3993" customFormat="1" x14ac:dyDescent="0.2"/>
    <row r="3994" customFormat="1" x14ac:dyDescent="0.2"/>
    <row r="3995" customFormat="1" x14ac:dyDescent="0.2"/>
    <row r="3996" customFormat="1" x14ac:dyDescent="0.2"/>
    <row r="3997" customFormat="1" x14ac:dyDescent="0.2"/>
    <row r="3998" customFormat="1" x14ac:dyDescent="0.2"/>
    <row r="3999" customFormat="1" x14ac:dyDescent="0.2"/>
    <row r="4000" customFormat="1" x14ac:dyDescent="0.2"/>
    <row r="4001" customFormat="1" x14ac:dyDescent="0.2"/>
    <row r="4002" customFormat="1" x14ac:dyDescent="0.2"/>
    <row r="4003" customFormat="1" x14ac:dyDescent="0.2"/>
    <row r="4004" customFormat="1" x14ac:dyDescent="0.2"/>
    <row r="4005" customFormat="1" x14ac:dyDescent="0.2"/>
    <row r="4006" customFormat="1" x14ac:dyDescent="0.2"/>
    <row r="4007" customFormat="1" x14ac:dyDescent="0.2"/>
    <row r="4008" customFormat="1" x14ac:dyDescent="0.2"/>
    <row r="4009" customFormat="1" x14ac:dyDescent="0.2"/>
    <row r="4010" customFormat="1" x14ac:dyDescent="0.2"/>
    <row r="4011" customFormat="1" x14ac:dyDescent="0.2"/>
    <row r="4012" customFormat="1" x14ac:dyDescent="0.2"/>
    <row r="4013" customFormat="1" x14ac:dyDescent="0.2"/>
    <row r="4014" customFormat="1" x14ac:dyDescent="0.2"/>
    <row r="4015" customFormat="1" x14ac:dyDescent="0.2"/>
    <row r="4016" customFormat="1" x14ac:dyDescent="0.2"/>
    <row r="4017" customFormat="1" x14ac:dyDescent="0.2"/>
    <row r="4018" customFormat="1" x14ac:dyDescent="0.2"/>
    <row r="4019" customFormat="1" x14ac:dyDescent="0.2"/>
    <row r="4020" customFormat="1" x14ac:dyDescent="0.2"/>
    <row r="4021" customFormat="1" x14ac:dyDescent="0.2"/>
    <row r="4022" customFormat="1" x14ac:dyDescent="0.2"/>
    <row r="4023" customFormat="1" x14ac:dyDescent="0.2"/>
    <row r="4024" customFormat="1" x14ac:dyDescent="0.2"/>
    <row r="4025" customFormat="1" x14ac:dyDescent="0.2"/>
    <row r="4026" customFormat="1" x14ac:dyDescent="0.2"/>
    <row r="4027" customFormat="1" x14ac:dyDescent="0.2"/>
    <row r="4028" customFormat="1" x14ac:dyDescent="0.2"/>
    <row r="4029" customFormat="1" x14ac:dyDescent="0.2"/>
    <row r="4030" customFormat="1" x14ac:dyDescent="0.2"/>
    <row r="4031" customFormat="1" x14ac:dyDescent="0.2"/>
    <row r="4032" customFormat="1" x14ac:dyDescent="0.2"/>
    <row r="4033" customFormat="1" x14ac:dyDescent="0.2"/>
    <row r="4034" customFormat="1" x14ac:dyDescent="0.2"/>
    <row r="4035" customFormat="1" x14ac:dyDescent="0.2"/>
    <row r="4036" customFormat="1" x14ac:dyDescent="0.2"/>
    <row r="4037" customFormat="1" x14ac:dyDescent="0.2"/>
    <row r="4038" customFormat="1" x14ac:dyDescent="0.2"/>
    <row r="4039" customFormat="1" x14ac:dyDescent="0.2"/>
    <row r="4040" customFormat="1" x14ac:dyDescent="0.2"/>
    <row r="4041" customFormat="1" x14ac:dyDescent="0.2"/>
    <row r="4042" customFormat="1" x14ac:dyDescent="0.2"/>
    <row r="4043" customFormat="1" x14ac:dyDescent="0.2"/>
    <row r="4044" customFormat="1" x14ac:dyDescent="0.2"/>
    <row r="4045" customFormat="1" x14ac:dyDescent="0.2"/>
    <row r="4046" customFormat="1" x14ac:dyDescent="0.2"/>
    <row r="4047" customFormat="1" x14ac:dyDescent="0.2"/>
    <row r="4048" customFormat="1" x14ac:dyDescent="0.2"/>
    <row r="4049" customFormat="1" x14ac:dyDescent="0.2"/>
    <row r="4050" customFormat="1" x14ac:dyDescent="0.2"/>
    <row r="4051" customFormat="1" x14ac:dyDescent="0.2"/>
    <row r="4052" customFormat="1" x14ac:dyDescent="0.2"/>
    <row r="4053" customFormat="1" x14ac:dyDescent="0.2"/>
    <row r="4054" customFormat="1" x14ac:dyDescent="0.2"/>
    <row r="4055" customFormat="1" x14ac:dyDescent="0.2"/>
    <row r="4056" customFormat="1" x14ac:dyDescent="0.2"/>
    <row r="4057" customFormat="1" x14ac:dyDescent="0.2"/>
    <row r="4058" customFormat="1" x14ac:dyDescent="0.2"/>
    <row r="4059" customFormat="1" x14ac:dyDescent="0.2"/>
    <row r="4060" customFormat="1" x14ac:dyDescent="0.2"/>
    <row r="4061" customFormat="1" x14ac:dyDescent="0.2"/>
    <row r="4062" customFormat="1" x14ac:dyDescent="0.2"/>
    <row r="4063" customFormat="1" x14ac:dyDescent="0.2"/>
    <row r="4064" customFormat="1" x14ac:dyDescent="0.2"/>
    <row r="4065" customFormat="1" x14ac:dyDescent="0.2"/>
    <row r="4066" customFormat="1" x14ac:dyDescent="0.2"/>
    <row r="4067" customFormat="1" x14ac:dyDescent="0.2"/>
    <row r="4068" customFormat="1" x14ac:dyDescent="0.2"/>
    <row r="4069" customFormat="1" x14ac:dyDescent="0.2"/>
    <row r="4070" customFormat="1" x14ac:dyDescent="0.2"/>
    <row r="4071" customFormat="1" x14ac:dyDescent="0.2"/>
    <row r="4072" customFormat="1" x14ac:dyDescent="0.2"/>
    <row r="4073" customFormat="1" x14ac:dyDescent="0.2"/>
    <row r="4074" customFormat="1" x14ac:dyDescent="0.2"/>
    <row r="4075" customFormat="1" x14ac:dyDescent="0.2"/>
    <row r="4076" customFormat="1" x14ac:dyDescent="0.2"/>
    <row r="4077" customFormat="1" x14ac:dyDescent="0.2"/>
    <row r="4078" customFormat="1" x14ac:dyDescent="0.2"/>
    <row r="4079" customFormat="1" x14ac:dyDescent="0.2"/>
    <row r="4080" customFormat="1" x14ac:dyDescent="0.2"/>
    <row r="4081" customFormat="1" x14ac:dyDescent="0.2"/>
    <row r="4082" customFormat="1" x14ac:dyDescent="0.2"/>
    <row r="4083" customFormat="1" x14ac:dyDescent="0.2"/>
    <row r="4084" customFormat="1" x14ac:dyDescent="0.2"/>
    <row r="4085" customFormat="1" x14ac:dyDescent="0.2"/>
    <row r="4086" customFormat="1" x14ac:dyDescent="0.2"/>
    <row r="4087" customFormat="1" x14ac:dyDescent="0.2"/>
    <row r="4088" customFormat="1" x14ac:dyDescent="0.2"/>
    <row r="4089" customFormat="1" x14ac:dyDescent="0.2"/>
    <row r="4090" customFormat="1" x14ac:dyDescent="0.2"/>
    <row r="4091" customFormat="1" x14ac:dyDescent="0.2"/>
    <row r="4092" customFormat="1" x14ac:dyDescent="0.2"/>
    <row r="4093" customFormat="1" x14ac:dyDescent="0.2"/>
    <row r="4094" customFormat="1" x14ac:dyDescent="0.2"/>
    <row r="4095" customFormat="1" x14ac:dyDescent="0.2"/>
    <row r="4096" customFormat="1" x14ac:dyDescent="0.2"/>
    <row r="4097" customFormat="1" x14ac:dyDescent="0.2"/>
    <row r="4098" customFormat="1" x14ac:dyDescent="0.2"/>
    <row r="4099" customFormat="1" x14ac:dyDescent="0.2"/>
    <row r="4100" customFormat="1" x14ac:dyDescent="0.2"/>
    <row r="4101" customFormat="1" x14ac:dyDescent="0.2"/>
    <row r="4102" customFormat="1" x14ac:dyDescent="0.2"/>
    <row r="4103" customFormat="1" x14ac:dyDescent="0.2"/>
    <row r="4104" customFormat="1" x14ac:dyDescent="0.2"/>
    <row r="4105" customFormat="1" x14ac:dyDescent="0.2"/>
    <row r="4106" customFormat="1" x14ac:dyDescent="0.2"/>
    <row r="4107" customFormat="1" x14ac:dyDescent="0.2"/>
    <row r="4108" customFormat="1" x14ac:dyDescent="0.2"/>
    <row r="4109" customFormat="1" x14ac:dyDescent="0.2"/>
    <row r="4110" customFormat="1" x14ac:dyDescent="0.2"/>
    <row r="4111" customFormat="1" x14ac:dyDescent="0.2"/>
    <row r="4112" customFormat="1" x14ac:dyDescent="0.2"/>
    <row r="4113" customFormat="1" x14ac:dyDescent="0.2"/>
    <row r="4114" customFormat="1" x14ac:dyDescent="0.2"/>
    <row r="4115" customFormat="1" x14ac:dyDescent="0.2"/>
    <row r="4116" customFormat="1" x14ac:dyDescent="0.2"/>
    <row r="4117" customFormat="1" x14ac:dyDescent="0.2"/>
    <row r="4118" customFormat="1" x14ac:dyDescent="0.2"/>
    <row r="4119" customFormat="1" x14ac:dyDescent="0.2"/>
    <row r="4120" customFormat="1" x14ac:dyDescent="0.2"/>
    <row r="4121" customFormat="1" x14ac:dyDescent="0.2"/>
    <row r="4122" customFormat="1" x14ac:dyDescent="0.2"/>
    <row r="4123" customFormat="1" x14ac:dyDescent="0.2"/>
    <row r="4124" customFormat="1" x14ac:dyDescent="0.2"/>
    <row r="4125" customFormat="1" x14ac:dyDescent="0.2"/>
    <row r="4126" customFormat="1" x14ac:dyDescent="0.2"/>
    <row r="4127" customFormat="1" x14ac:dyDescent="0.2"/>
    <row r="4128" customFormat="1" x14ac:dyDescent="0.2"/>
    <row r="4129" customFormat="1" x14ac:dyDescent="0.2"/>
    <row r="4130" customFormat="1" x14ac:dyDescent="0.2"/>
    <row r="4131" customFormat="1" x14ac:dyDescent="0.2"/>
    <row r="4132" customFormat="1" x14ac:dyDescent="0.2"/>
    <row r="4133" customFormat="1" x14ac:dyDescent="0.2"/>
    <row r="4134" customFormat="1" x14ac:dyDescent="0.2"/>
    <row r="4135" customFormat="1" x14ac:dyDescent="0.2"/>
    <row r="4136" customFormat="1" x14ac:dyDescent="0.2"/>
    <row r="4137" customFormat="1" x14ac:dyDescent="0.2"/>
    <row r="4138" customFormat="1" x14ac:dyDescent="0.2"/>
    <row r="4139" customFormat="1" x14ac:dyDescent="0.2"/>
    <row r="4140" customFormat="1" x14ac:dyDescent="0.2"/>
    <row r="4141" customFormat="1" x14ac:dyDescent="0.2"/>
    <row r="4142" customFormat="1" x14ac:dyDescent="0.2"/>
    <row r="4143" customFormat="1" x14ac:dyDescent="0.2"/>
    <row r="4144" customFormat="1" x14ac:dyDescent="0.2"/>
    <row r="4145" customFormat="1" x14ac:dyDescent="0.2"/>
    <row r="4146" customFormat="1" x14ac:dyDescent="0.2"/>
    <row r="4147" customFormat="1" x14ac:dyDescent="0.2"/>
    <row r="4148" customFormat="1" x14ac:dyDescent="0.2"/>
    <row r="4149" customFormat="1" x14ac:dyDescent="0.2"/>
    <row r="4150" customFormat="1" x14ac:dyDescent="0.2"/>
    <row r="4151" customFormat="1" x14ac:dyDescent="0.2"/>
    <row r="4152" customFormat="1" x14ac:dyDescent="0.2"/>
    <row r="4153" customFormat="1" x14ac:dyDescent="0.2"/>
    <row r="4154" customFormat="1" x14ac:dyDescent="0.2"/>
    <row r="4155" customFormat="1" x14ac:dyDescent="0.2"/>
    <row r="4156" customFormat="1" x14ac:dyDescent="0.2"/>
    <row r="4157" customFormat="1" x14ac:dyDescent="0.2"/>
    <row r="4158" customFormat="1" x14ac:dyDescent="0.2"/>
    <row r="4159" customFormat="1" x14ac:dyDescent="0.2"/>
    <row r="4160" customFormat="1" x14ac:dyDescent="0.2"/>
    <row r="4161" customFormat="1" x14ac:dyDescent="0.2"/>
    <row r="4162" customFormat="1" x14ac:dyDescent="0.2"/>
    <row r="4163" customFormat="1" x14ac:dyDescent="0.2"/>
    <row r="4164" customFormat="1" x14ac:dyDescent="0.2"/>
    <row r="4165" customFormat="1" x14ac:dyDescent="0.2"/>
    <row r="4166" customFormat="1" x14ac:dyDescent="0.2"/>
    <row r="4167" customFormat="1" x14ac:dyDescent="0.2"/>
    <row r="4168" customFormat="1" x14ac:dyDescent="0.2"/>
    <row r="4169" customFormat="1" x14ac:dyDescent="0.2"/>
    <row r="4170" customFormat="1" x14ac:dyDescent="0.2"/>
    <row r="4171" customFormat="1" x14ac:dyDescent="0.2"/>
    <row r="4172" customFormat="1" x14ac:dyDescent="0.2"/>
    <row r="4173" customFormat="1" x14ac:dyDescent="0.2"/>
    <row r="4174" customFormat="1" x14ac:dyDescent="0.2"/>
    <row r="4175" customFormat="1" x14ac:dyDescent="0.2"/>
    <row r="4176" customFormat="1" x14ac:dyDescent="0.2"/>
    <row r="4177" customFormat="1" x14ac:dyDescent="0.2"/>
    <row r="4178" customFormat="1" x14ac:dyDescent="0.2"/>
    <row r="4179" customFormat="1" x14ac:dyDescent="0.2"/>
    <row r="4180" customFormat="1" x14ac:dyDescent="0.2"/>
    <row r="4181" customFormat="1" x14ac:dyDescent="0.2"/>
    <row r="4182" customFormat="1" x14ac:dyDescent="0.2"/>
    <row r="4183" customFormat="1" x14ac:dyDescent="0.2"/>
    <row r="4184" customFormat="1" x14ac:dyDescent="0.2"/>
    <row r="4185" customFormat="1" x14ac:dyDescent="0.2"/>
    <row r="4186" customFormat="1" x14ac:dyDescent="0.2"/>
    <row r="4187" customFormat="1" x14ac:dyDescent="0.2"/>
    <row r="4188" customFormat="1" x14ac:dyDescent="0.2"/>
    <row r="4189" customFormat="1" x14ac:dyDescent="0.2"/>
    <row r="4190" customFormat="1" x14ac:dyDescent="0.2"/>
    <row r="4191" customFormat="1" x14ac:dyDescent="0.2"/>
    <row r="4192" customFormat="1" x14ac:dyDescent="0.2"/>
    <row r="4193" customFormat="1" x14ac:dyDescent="0.2"/>
    <row r="4194" customFormat="1" x14ac:dyDescent="0.2"/>
    <row r="4195" customFormat="1" x14ac:dyDescent="0.2"/>
    <row r="4196" customFormat="1" x14ac:dyDescent="0.2"/>
    <row r="4197" customFormat="1" x14ac:dyDescent="0.2"/>
    <row r="4198" customFormat="1" x14ac:dyDescent="0.2"/>
    <row r="4199" customFormat="1" x14ac:dyDescent="0.2"/>
    <row r="4200" customFormat="1" x14ac:dyDescent="0.2"/>
    <row r="4201" customFormat="1" x14ac:dyDescent="0.2"/>
    <row r="4202" customFormat="1" x14ac:dyDescent="0.2"/>
    <row r="4203" customFormat="1" x14ac:dyDescent="0.2"/>
    <row r="4204" customFormat="1" x14ac:dyDescent="0.2"/>
    <row r="4205" customFormat="1" x14ac:dyDescent="0.2"/>
    <row r="4206" customFormat="1" x14ac:dyDescent="0.2"/>
    <row r="4207" customFormat="1" x14ac:dyDescent="0.2"/>
    <row r="4208" customFormat="1" x14ac:dyDescent="0.2"/>
    <row r="4209" customFormat="1" x14ac:dyDescent="0.2"/>
    <row r="4210" customFormat="1" x14ac:dyDescent="0.2"/>
    <row r="4211" customFormat="1" x14ac:dyDescent="0.2"/>
    <row r="4212" customFormat="1" x14ac:dyDescent="0.2"/>
    <row r="4213" customFormat="1" x14ac:dyDescent="0.2"/>
    <row r="4214" customFormat="1" x14ac:dyDescent="0.2"/>
    <row r="4215" customFormat="1" x14ac:dyDescent="0.2"/>
    <row r="4216" customFormat="1" x14ac:dyDescent="0.2"/>
    <row r="4217" customFormat="1" x14ac:dyDescent="0.2"/>
    <row r="4218" customFormat="1" x14ac:dyDescent="0.2"/>
    <row r="4219" customFormat="1" x14ac:dyDescent="0.2"/>
    <row r="4220" customFormat="1" x14ac:dyDescent="0.2"/>
    <row r="4221" customFormat="1" x14ac:dyDescent="0.2"/>
    <row r="4222" customFormat="1" x14ac:dyDescent="0.2"/>
    <row r="4223" customFormat="1" x14ac:dyDescent="0.2"/>
    <row r="4224" customFormat="1" x14ac:dyDescent="0.2"/>
    <row r="4225" customFormat="1" x14ac:dyDescent="0.2"/>
    <row r="4226" customFormat="1" x14ac:dyDescent="0.2"/>
    <row r="4227" customFormat="1" x14ac:dyDescent="0.2"/>
    <row r="4228" customFormat="1" x14ac:dyDescent="0.2"/>
    <row r="4229" customFormat="1" x14ac:dyDescent="0.2"/>
    <row r="4230" customFormat="1" x14ac:dyDescent="0.2"/>
    <row r="4231" customFormat="1" x14ac:dyDescent="0.2"/>
    <row r="4232" customFormat="1" x14ac:dyDescent="0.2"/>
    <row r="4233" customFormat="1" x14ac:dyDescent="0.2"/>
    <row r="4234" customFormat="1" x14ac:dyDescent="0.2"/>
    <row r="4235" customFormat="1" x14ac:dyDescent="0.2"/>
    <row r="4236" customFormat="1" x14ac:dyDescent="0.2"/>
    <row r="4237" customFormat="1" x14ac:dyDescent="0.2"/>
    <row r="4238" customFormat="1" x14ac:dyDescent="0.2"/>
    <row r="4239" customFormat="1" x14ac:dyDescent="0.2"/>
    <row r="4240" customFormat="1" x14ac:dyDescent="0.2"/>
    <row r="4241" customFormat="1" x14ac:dyDescent="0.2"/>
    <row r="4242" customFormat="1" x14ac:dyDescent="0.2"/>
    <row r="4243" customFormat="1" x14ac:dyDescent="0.2"/>
    <row r="4244" customFormat="1" x14ac:dyDescent="0.2"/>
    <row r="4245" customFormat="1" x14ac:dyDescent="0.2"/>
    <row r="4246" customFormat="1" x14ac:dyDescent="0.2"/>
    <row r="4247" customFormat="1" x14ac:dyDescent="0.2"/>
    <row r="4248" customFormat="1" x14ac:dyDescent="0.2"/>
    <row r="4249" customFormat="1" x14ac:dyDescent="0.2"/>
    <row r="4250" customFormat="1" x14ac:dyDescent="0.2"/>
    <row r="4251" customFormat="1" x14ac:dyDescent="0.2"/>
    <row r="4252" customFormat="1" x14ac:dyDescent="0.2"/>
    <row r="4253" customFormat="1" x14ac:dyDescent="0.2"/>
    <row r="4254" customFormat="1" x14ac:dyDescent="0.2"/>
    <row r="4255" customFormat="1" x14ac:dyDescent="0.2"/>
    <row r="4256" customFormat="1" x14ac:dyDescent="0.2"/>
    <row r="4257" customFormat="1" x14ac:dyDescent="0.2"/>
    <row r="4258" customFormat="1" x14ac:dyDescent="0.2"/>
    <row r="4259" customFormat="1" x14ac:dyDescent="0.2"/>
    <row r="4260" customFormat="1" x14ac:dyDescent="0.2"/>
    <row r="4261" customFormat="1" x14ac:dyDescent="0.2"/>
    <row r="4262" customFormat="1" x14ac:dyDescent="0.2"/>
    <row r="4263" customFormat="1" x14ac:dyDescent="0.2"/>
    <row r="4264" customFormat="1" x14ac:dyDescent="0.2"/>
    <row r="4265" customFormat="1" x14ac:dyDescent="0.2"/>
    <row r="4266" customFormat="1" x14ac:dyDescent="0.2"/>
    <row r="4267" customFormat="1" x14ac:dyDescent="0.2"/>
    <row r="4268" customFormat="1" x14ac:dyDescent="0.2"/>
    <row r="4269" customFormat="1" x14ac:dyDescent="0.2"/>
    <row r="4270" customFormat="1" x14ac:dyDescent="0.2"/>
    <row r="4271" customFormat="1" x14ac:dyDescent="0.2"/>
    <row r="4272" customFormat="1" x14ac:dyDescent="0.2"/>
    <row r="4273" customFormat="1" x14ac:dyDescent="0.2"/>
    <row r="4274" customFormat="1" x14ac:dyDescent="0.2"/>
    <row r="4275" customFormat="1" x14ac:dyDescent="0.2"/>
    <row r="4276" customFormat="1" x14ac:dyDescent="0.2"/>
    <row r="4277" customFormat="1" x14ac:dyDescent="0.2"/>
    <row r="4278" customFormat="1" x14ac:dyDescent="0.2"/>
    <row r="4279" customFormat="1" x14ac:dyDescent="0.2"/>
    <row r="4280" customFormat="1" x14ac:dyDescent="0.2"/>
    <row r="4281" customFormat="1" x14ac:dyDescent="0.2"/>
    <row r="4282" customFormat="1" x14ac:dyDescent="0.2"/>
    <row r="4283" customFormat="1" x14ac:dyDescent="0.2"/>
    <row r="4284" customFormat="1" x14ac:dyDescent="0.2"/>
    <row r="4285" customFormat="1" x14ac:dyDescent="0.2"/>
    <row r="4286" customFormat="1" x14ac:dyDescent="0.2"/>
    <row r="4287" customFormat="1" x14ac:dyDescent="0.2"/>
    <row r="4288" customFormat="1" x14ac:dyDescent="0.2"/>
    <row r="4289" customFormat="1" x14ac:dyDescent="0.2"/>
    <row r="4290" customFormat="1" x14ac:dyDescent="0.2"/>
    <row r="4291" customFormat="1" x14ac:dyDescent="0.2"/>
    <row r="4292" customFormat="1" x14ac:dyDescent="0.2"/>
    <row r="4293" customFormat="1" x14ac:dyDescent="0.2"/>
    <row r="4294" customFormat="1" x14ac:dyDescent="0.2"/>
    <row r="4295" customFormat="1" x14ac:dyDescent="0.2"/>
    <row r="4296" customFormat="1" x14ac:dyDescent="0.2"/>
    <row r="4297" customFormat="1" x14ac:dyDescent="0.2"/>
    <row r="4298" customFormat="1" x14ac:dyDescent="0.2"/>
    <row r="4299" customFormat="1" x14ac:dyDescent="0.2"/>
    <row r="4300" customFormat="1" x14ac:dyDescent="0.2"/>
    <row r="4301" customFormat="1" x14ac:dyDescent="0.2"/>
    <row r="4302" customFormat="1" x14ac:dyDescent="0.2"/>
    <row r="4303" customFormat="1" x14ac:dyDescent="0.2"/>
    <row r="4304" customFormat="1" x14ac:dyDescent="0.2"/>
    <row r="4305" customFormat="1" x14ac:dyDescent="0.2"/>
    <row r="4306" customFormat="1" x14ac:dyDescent="0.2"/>
    <row r="4307" customFormat="1" x14ac:dyDescent="0.2"/>
    <row r="4308" customFormat="1" x14ac:dyDescent="0.2"/>
    <row r="4309" customFormat="1" x14ac:dyDescent="0.2"/>
    <row r="4310" customFormat="1" x14ac:dyDescent="0.2"/>
    <row r="4311" customFormat="1" x14ac:dyDescent="0.2"/>
    <row r="4312" customFormat="1" x14ac:dyDescent="0.2"/>
    <row r="4313" customFormat="1" x14ac:dyDescent="0.2"/>
    <row r="4314" customFormat="1" x14ac:dyDescent="0.2"/>
    <row r="4315" customFormat="1" x14ac:dyDescent="0.2"/>
    <row r="4316" customFormat="1" x14ac:dyDescent="0.2"/>
    <row r="4317" customFormat="1" x14ac:dyDescent="0.2"/>
    <row r="4318" customFormat="1" x14ac:dyDescent="0.2"/>
    <row r="4319" customFormat="1" x14ac:dyDescent="0.2"/>
    <row r="4320" customFormat="1" x14ac:dyDescent="0.2"/>
    <row r="4321" customFormat="1" x14ac:dyDescent="0.2"/>
    <row r="4322" customFormat="1" x14ac:dyDescent="0.2"/>
    <row r="4323" customFormat="1" x14ac:dyDescent="0.2"/>
    <row r="4324" customFormat="1" x14ac:dyDescent="0.2"/>
    <row r="4325" customFormat="1" x14ac:dyDescent="0.2"/>
    <row r="4326" customFormat="1" x14ac:dyDescent="0.2"/>
    <row r="4327" customFormat="1" x14ac:dyDescent="0.2"/>
    <row r="4328" customFormat="1" x14ac:dyDescent="0.2"/>
    <row r="4329" customFormat="1" x14ac:dyDescent="0.2"/>
    <row r="4330" customFormat="1" x14ac:dyDescent="0.2"/>
    <row r="4331" customFormat="1" x14ac:dyDescent="0.2"/>
    <row r="4332" customFormat="1" x14ac:dyDescent="0.2"/>
    <row r="4333" customFormat="1" x14ac:dyDescent="0.2"/>
    <row r="4334" customFormat="1" x14ac:dyDescent="0.2"/>
    <row r="4335" customFormat="1" x14ac:dyDescent="0.2"/>
    <row r="4336" customFormat="1" x14ac:dyDescent="0.2"/>
    <row r="4337" customFormat="1" x14ac:dyDescent="0.2"/>
    <row r="4338" customFormat="1" x14ac:dyDescent="0.2"/>
    <row r="4339" customFormat="1" x14ac:dyDescent="0.2"/>
    <row r="4340" customFormat="1" x14ac:dyDescent="0.2"/>
    <row r="4341" customFormat="1" x14ac:dyDescent="0.2"/>
    <row r="4342" customFormat="1" x14ac:dyDescent="0.2"/>
    <row r="4343" customFormat="1" x14ac:dyDescent="0.2"/>
    <row r="4344" customFormat="1" x14ac:dyDescent="0.2"/>
    <row r="4345" customFormat="1" x14ac:dyDescent="0.2"/>
    <row r="4346" customFormat="1" x14ac:dyDescent="0.2"/>
    <row r="4347" customFormat="1" x14ac:dyDescent="0.2"/>
    <row r="4348" customFormat="1" x14ac:dyDescent="0.2"/>
    <row r="4349" customFormat="1" x14ac:dyDescent="0.2"/>
    <row r="4350" customFormat="1" x14ac:dyDescent="0.2"/>
    <row r="4351" customFormat="1" x14ac:dyDescent="0.2"/>
    <row r="4352" customFormat="1" x14ac:dyDescent="0.2"/>
    <row r="4353" customFormat="1" x14ac:dyDescent="0.2"/>
    <row r="4354" customFormat="1" x14ac:dyDescent="0.2"/>
    <row r="4355" customFormat="1" x14ac:dyDescent="0.2"/>
    <row r="4356" customFormat="1" x14ac:dyDescent="0.2"/>
    <row r="4357" customFormat="1" x14ac:dyDescent="0.2"/>
    <row r="4358" customFormat="1" x14ac:dyDescent="0.2"/>
    <row r="4359" customFormat="1" x14ac:dyDescent="0.2"/>
    <row r="4360" customFormat="1" x14ac:dyDescent="0.2"/>
    <row r="4361" customFormat="1" x14ac:dyDescent="0.2"/>
    <row r="4362" customFormat="1" x14ac:dyDescent="0.2"/>
    <row r="4363" customFormat="1" x14ac:dyDescent="0.2"/>
    <row r="4364" customFormat="1" x14ac:dyDescent="0.2"/>
    <row r="4365" customFormat="1" x14ac:dyDescent="0.2"/>
    <row r="4366" customFormat="1" x14ac:dyDescent="0.2"/>
    <row r="4367" customFormat="1" x14ac:dyDescent="0.2"/>
    <row r="4368" customFormat="1" x14ac:dyDescent="0.2"/>
    <row r="4369" customFormat="1" x14ac:dyDescent="0.2"/>
    <row r="4370" customFormat="1" x14ac:dyDescent="0.2"/>
    <row r="4371" customFormat="1" x14ac:dyDescent="0.2"/>
    <row r="4372" customFormat="1" x14ac:dyDescent="0.2"/>
    <row r="4373" customFormat="1" x14ac:dyDescent="0.2"/>
    <row r="4374" customFormat="1" x14ac:dyDescent="0.2"/>
    <row r="4375" customFormat="1" x14ac:dyDescent="0.2"/>
    <row r="4376" customFormat="1" x14ac:dyDescent="0.2"/>
    <row r="4377" customFormat="1" x14ac:dyDescent="0.2"/>
    <row r="4378" customFormat="1" x14ac:dyDescent="0.2"/>
    <row r="4379" customFormat="1" x14ac:dyDescent="0.2"/>
    <row r="4380" customFormat="1" x14ac:dyDescent="0.2"/>
    <row r="4381" customFormat="1" x14ac:dyDescent="0.2"/>
    <row r="4382" customFormat="1" x14ac:dyDescent="0.2"/>
    <row r="4383" customFormat="1" x14ac:dyDescent="0.2"/>
    <row r="4384" customFormat="1" x14ac:dyDescent="0.2"/>
    <row r="4385" customFormat="1" x14ac:dyDescent="0.2"/>
    <row r="4386" customFormat="1" x14ac:dyDescent="0.2"/>
    <row r="4387" customFormat="1" x14ac:dyDescent="0.2"/>
    <row r="4388" customFormat="1" x14ac:dyDescent="0.2"/>
    <row r="4389" customFormat="1" x14ac:dyDescent="0.2"/>
    <row r="4390" customFormat="1" x14ac:dyDescent="0.2"/>
    <row r="4391" customFormat="1" x14ac:dyDescent="0.2"/>
    <row r="4392" customFormat="1" x14ac:dyDescent="0.2"/>
    <row r="4393" customFormat="1" x14ac:dyDescent="0.2"/>
    <row r="4394" customFormat="1" x14ac:dyDescent="0.2"/>
    <row r="4395" customFormat="1" x14ac:dyDescent="0.2"/>
    <row r="4396" customFormat="1" x14ac:dyDescent="0.2"/>
    <row r="4397" customFormat="1" x14ac:dyDescent="0.2"/>
    <row r="4398" customFormat="1" x14ac:dyDescent="0.2"/>
    <row r="4399" customFormat="1" x14ac:dyDescent="0.2"/>
    <row r="4400" customFormat="1" x14ac:dyDescent="0.2"/>
    <row r="4401" customFormat="1" x14ac:dyDescent="0.2"/>
    <row r="4402" customFormat="1" x14ac:dyDescent="0.2"/>
    <row r="4403" customFormat="1" x14ac:dyDescent="0.2"/>
    <row r="4404" customFormat="1" x14ac:dyDescent="0.2"/>
    <row r="4405" customFormat="1" x14ac:dyDescent="0.2"/>
    <row r="4406" customFormat="1" x14ac:dyDescent="0.2"/>
    <row r="4407" customFormat="1" x14ac:dyDescent="0.2"/>
    <row r="4408" customFormat="1" x14ac:dyDescent="0.2"/>
    <row r="4409" customFormat="1" x14ac:dyDescent="0.2"/>
    <row r="4410" customFormat="1" x14ac:dyDescent="0.2"/>
    <row r="4411" customFormat="1" x14ac:dyDescent="0.2"/>
    <row r="4412" customFormat="1" x14ac:dyDescent="0.2"/>
    <row r="4413" customFormat="1" x14ac:dyDescent="0.2"/>
    <row r="4414" customFormat="1" x14ac:dyDescent="0.2"/>
    <row r="4415" customFormat="1" x14ac:dyDescent="0.2"/>
    <row r="4416" customFormat="1" x14ac:dyDescent="0.2"/>
    <row r="4417" customFormat="1" x14ac:dyDescent="0.2"/>
    <row r="4418" customFormat="1" x14ac:dyDescent="0.2"/>
    <row r="4419" customFormat="1" x14ac:dyDescent="0.2"/>
    <row r="4420" customFormat="1" x14ac:dyDescent="0.2"/>
    <row r="4421" customFormat="1" x14ac:dyDescent="0.2"/>
    <row r="4422" customFormat="1" x14ac:dyDescent="0.2"/>
    <row r="4423" customFormat="1" x14ac:dyDescent="0.2"/>
    <row r="4424" customFormat="1" x14ac:dyDescent="0.2"/>
    <row r="4425" customFormat="1" x14ac:dyDescent="0.2"/>
    <row r="4426" customFormat="1" x14ac:dyDescent="0.2"/>
    <row r="4427" customFormat="1" x14ac:dyDescent="0.2"/>
    <row r="4428" customFormat="1" x14ac:dyDescent="0.2"/>
    <row r="4429" customFormat="1" x14ac:dyDescent="0.2"/>
    <row r="4430" customFormat="1" x14ac:dyDescent="0.2"/>
    <row r="4431" customFormat="1" x14ac:dyDescent="0.2"/>
    <row r="4432" customFormat="1" x14ac:dyDescent="0.2"/>
    <row r="4433" customFormat="1" x14ac:dyDescent="0.2"/>
    <row r="4434" customFormat="1" x14ac:dyDescent="0.2"/>
    <row r="4435" customFormat="1" x14ac:dyDescent="0.2"/>
    <row r="4436" customFormat="1" x14ac:dyDescent="0.2"/>
    <row r="4437" customFormat="1" x14ac:dyDescent="0.2"/>
    <row r="4438" customFormat="1" x14ac:dyDescent="0.2"/>
    <row r="4439" customFormat="1" x14ac:dyDescent="0.2"/>
    <row r="4440" customFormat="1" x14ac:dyDescent="0.2"/>
    <row r="4441" customFormat="1" x14ac:dyDescent="0.2"/>
    <row r="4442" customFormat="1" x14ac:dyDescent="0.2"/>
    <row r="4443" customFormat="1" x14ac:dyDescent="0.2"/>
    <row r="4444" customFormat="1" x14ac:dyDescent="0.2"/>
    <row r="4445" customFormat="1" x14ac:dyDescent="0.2"/>
    <row r="4446" customFormat="1" x14ac:dyDescent="0.2"/>
    <row r="4447" customFormat="1" x14ac:dyDescent="0.2"/>
    <row r="4448" customFormat="1" x14ac:dyDescent="0.2"/>
    <row r="4449" customFormat="1" x14ac:dyDescent="0.2"/>
    <row r="4450" customFormat="1" x14ac:dyDescent="0.2"/>
    <row r="4451" customFormat="1" x14ac:dyDescent="0.2"/>
    <row r="4452" customFormat="1" x14ac:dyDescent="0.2"/>
    <row r="4453" customFormat="1" x14ac:dyDescent="0.2"/>
    <row r="4454" customFormat="1" x14ac:dyDescent="0.2"/>
    <row r="4455" customFormat="1" x14ac:dyDescent="0.2"/>
    <row r="4456" customFormat="1" x14ac:dyDescent="0.2"/>
    <row r="4457" customFormat="1" x14ac:dyDescent="0.2"/>
    <row r="4458" customFormat="1" x14ac:dyDescent="0.2"/>
    <row r="4459" customFormat="1" x14ac:dyDescent="0.2"/>
    <row r="4460" customFormat="1" x14ac:dyDescent="0.2"/>
    <row r="4461" customFormat="1" x14ac:dyDescent="0.2"/>
    <row r="4462" customFormat="1" x14ac:dyDescent="0.2"/>
    <row r="4463" customFormat="1" x14ac:dyDescent="0.2"/>
    <row r="4464" customFormat="1" x14ac:dyDescent="0.2"/>
    <row r="4465" customFormat="1" x14ac:dyDescent="0.2"/>
    <row r="4466" customFormat="1" x14ac:dyDescent="0.2"/>
    <row r="4467" customFormat="1" x14ac:dyDescent="0.2"/>
    <row r="4468" customFormat="1" x14ac:dyDescent="0.2"/>
    <row r="4469" customFormat="1" x14ac:dyDescent="0.2"/>
    <row r="4470" customFormat="1" x14ac:dyDescent="0.2"/>
    <row r="4471" customFormat="1" x14ac:dyDescent="0.2"/>
    <row r="4472" customFormat="1" x14ac:dyDescent="0.2"/>
    <row r="4473" customFormat="1" x14ac:dyDescent="0.2"/>
    <row r="4474" customFormat="1" x14ac:dyDescent="0.2"/>
    <row r="4475" customFormat="1" x14ac:dyDescent="0.2"/>
    <row r="4476" customFormat="1" x14ac:dyDescent="0.2"/>
    <row r="4477" customFormat="1" x14ac:dyDescent="0.2"/>
    <row r="4478" customFormat="1" x14ac:dyDescent="0.2"/>
    <row r="4479" customFormat="1" x14ac:dyDescent="0.2"/>
    <row r="4480" customFormat="1" x14ac:dyDescent="0.2"/>
    <row r="4481" customFormat="1" x14ac:dyDescent="0.2"/>
    <row r="4482" customFormat="1" x14ac:dyDescent="0.2"/>
    <row r="4483" customFormat="1" x14ac:dyDescent="0.2"/>
    <row r="4484" customFormat="1" x14ac:dyDescent="0.2"/>
    <row r="4485" customFormat="1" x14ac:dyDescent="0.2"/>
    <row r="4486" customFormat="1" x14ac:dyDescent="0.2"/>
    <row r="4487" customFormat="1" x14ac:dyDescent="0.2"/>
    <row r="4488" customFormat="1" x14ac:dyDescent="0.2"/>
    <row r="4489" customFormat="1" x14ac:dyDescent="0.2"/>
    <row r="4490" customFormat="1" x14ac:dyDescent="0.2"/>
    <row r="4491" customFormat="1" x14ac:dyDescent="0.2"/>
    <row r="4492" customFormat="1" x14ac:dyDescent="0.2"/>
    <row r="4493" customFormat="1" x14ac:dyDescent="0.2"/>
    <row r="4494" customFormat="1" x14ac:dyDescent="0.2"/>
    <row r="4495" customFormat="1" x14ac:dyDescent="0.2"/>
    <row r="4496" customFormat="1" x14ac:dyDescent="0.2"/>
    <row r="4497" customFormat="1" x14ac:dyDescent="0.2"/>
    <row r="4498" customFormat="1" x14ac:dyDescent="0.2"/>
    <row r="4499" customFormat="1" x14ac:dyDescent="0.2"/>
    <row r="4500" customFormat="1" x14ac:dyDescent="0.2"/>
    <row r="4501" customFormat="1" x14ac:dyDescent="0.2"/>
    <row r="4502" customFormat="1" x14ac:dyDescent="0.2"/>
    <row r="4503" customFormat="1" x14ac:dyDescent="0.2"/>
    <row r="4504" customFormat="1" x14ac:dyDescent="0.2"/>
    <row r="4505" customFormat="1" x14ac:dyDescent="0.2"/>
    <row r="4506" customFormat="1" x14ac:dyDescent="0.2"/>
    <row r="4507" customFormat="1" x14ac:dyDescent="0.2"/>
    <row r="4508" customFormat="1" x14ac:dyDescent="0.2"/>
    <row r="4509" customFormat="1" x14ac:dyDescent="0.2"/>
    <row r="4510" customFormat="1" x14ac:dyDescent="0.2"/>
    <row r="4511" customFormat="1" x14ac:dyDescent="0.2"/>
    <row r="4512" customFormat="1" x14ac:dyDescent="0.2"/>
    <row r="4513" customFormat="1" x14ac:dyDescent="0.2"/>
    <row r="4514" customFormat="1" x14ac:dyDescent="0.2"/>
    <row r="4515" customFormat="1" x14ac:dyDescent="0.2"/>
    <row r="4516" customFormat="1" x14ac:dyDescent="0.2"/>
    <row r="4517" customFormat="1" x14ac:dyDescent="0.2"/>
    <row r="4518" customFormat="1" x14ac:dyDescent="0.2"/>
    <row r="4519" customFormat="1" x14ac:dyDescent="0.2"/>
    <row r="4520" customFormat="1" x14ac:dyDescent="0.2"/>
    <row r="4521" customFormat="1" x14ac:dyDescent="0.2"/>
    <row r="4522" customFormat="1" x14ac:dyDescent="0.2"/>
    <row r="4523" customFormat="1" x14ac:dyDescent="0.2"/>
    <row r="4524" customFormat="1" x14ac:dyDescent="0.2"/>
    <row r="4525" customFormat="1" x14ac:dyDescent="0.2"/>
    <row r="4526" customFormat="1" x14ac:dyDescent="0.2"/>
    <row r="4527" customFormat="1" x14ac:dyDescent="0.2"/>
    <row r="4528" customFormat="1" x14ac:dyDescent="0.2"/>
    <row r="4529" customFormat="1" x14ac:dyDescent="0.2"/>
    <row r="4530" customFormat="1" x14ac:dyDescent="0.2"/>
    <row r="4531" customFormat="1" x14ac:dyDescent="0.2"/>
    <row r="4532" customFormat="1" x14ac:dyDescent="0.2"/>
    <row r="4533" customFormat="1" x14ac:dyDescent="0.2"/>
    <row r="4534" customFormat="1" x14ac:dyDescent="0.2"/>
    <row r="4535" customFormat="1" x14ac:dyDescent="0.2"/>
    <row r="4536" customFormat="1" x14ac:dyDescent="0.2"/>
    <row r="4537" customFormat="1" x14ac:dyDescent="0.2"/>
    <row r="4538" customFormat="1" x14ac:dyDescent="0.2"/>
    <row r="4539" customFormat="1" x14ac:dyDescent="0.2"/>
    <row r="4540" customFormat="1" x14ac:dyDescent="0.2"/>
    <row r="4541" customFormat="1" x14ac:dyDescent="0.2"/>
    <row r="4542" customFormat="1" x14ac:dyDescent="0.2"/>
    <row r="4543" customFormat="1" x14ac:dyDescent="0.2"/>
    <row r="4544" customFormat="1" x14ac:dyDescent="0.2"/>
    <row r="4545" customFormat="1" x14ac:dyDescent="0.2"/>
    <row r="4546" customFormat="1" x14ac:dyDescent="0.2"/>
    <row r="4547" customFormat="1" x14ac:dyDescent="0.2"/>
    <row r="4548" customFormat="1" x14ac:dyDescent="0.2"/>
    <row r="4549" customFormat="1" x14ac:dyDescent="0.2"/>
    <row r="4550" customFormat="1" x14ac:dyDescent="0.2"/>
    <row r="4551" customFormat="1" x14ac:dyDescent="0.2"/>
    <row r="4552" customFormat="1" x14ac:dyDescent="0.2"/>
    <row r="4553" customFormat="1" x14ac:dyDescent="0.2"/>
    <row r="4554" customFormat="1" x14ac:dyDescent="0.2"/>
    <row r="4555" customFormat="1" x14ac:dyDescent="0.2"/>
    <row r="4556" customFormat="1" x14ac:dyDescent="0.2"/>
    <row r="4557" customFormat="1" x14ac:dyDescent="0.2"/>
    <row r="4558" customFormat="1" x14ac:dyDescent="0.2"/>
    <row r="4559" customFormat="1" x14ac:dyDescent="0.2"/>
    <row r="4560" customFormat="1" x14ac:dyDescent="0.2"/>
    <row r="4561" customFormat="1" x14ac:dyDescent="0.2"/>
    <row r="4562" customFormat="1" x14ac:dyDescent="0.2"/>
    <row r="4563" customFormat="1" x14ac:dyDescent="0.2"/>
    <row r="4564" customFormat="1" x14ac:dyDescent="0.2"/>
    <row r="4565" customFormat="1" x14ac:dyDescent="0.2"/>
    <row r="4566" customFormat="1" x14ac:dyDescent="0.2"/>
    <row r="4567" customFormat="1" x14ac:dyDescent="0.2"/>
    <row r="4568" customFormat="1" x14ac:dyDescent="0.2"/>
    <row r="4569" customFormat="1" x14ac:dyDescent="0.2"/>
    <row r="4570" customFormat="1" x14ac:dyDescent="0.2"/>
    <row r="4571" customFormat="1" x14ac:dyDescent="0.2"/>
    <row r="4572" customFormat="1" x14ac:dyDescent="0.2"/>
    <row r="4573" customFormat="1" x14ac:dyDescent="0.2"/>
    <row r="4574" customFormat="1" x14ac:dyDescent="0.2"/>
    <row r="4575" customFormat="1" x14ac:dyDescent="0.2"/>
    <row r="4576" customFormat="1" x14ac:dyDescent="0.2"/>
    <row r="4577" customFormat="1" x14ac:dyDescent="0.2"/>
    <row r="4578" customFormat="1" x14ac:dyDescent="0.2"/>
    <row r="4579" customFormat="1" x14ac:dyDescent="0.2"/>
    <row r="4580" customFormat="1" x14ac:dyDescent="0.2"/>
    <row r="4581" customFormat="1" x14ac:dyDescent="0.2"/>
    <row r="4582" customFormat="1" x14ac:dyDescent="0.2"/>
    <row r="4583" customFormat="1" x14ac:dyDescent="0.2"/>
    <row r="4584" customFormat="1" x14ac:dyDescent="0.2"/>
    <row r="4585" customFormat="1" x14ac:dyDescent="0.2"/>
    <row r="4586" customFormat="1" x14ac:dyDescent="0.2"/>
    <row r="4587" customFormat="1" x14ac:dyDescent="0.2"/>
    <row r="4588" customFormat="1" x14ac:dyDescent="0.2"/>
    <row r="4589" customFormat="1" x14ac:dyDescent="0.2"/>
    <row r="4590" customFormat="1" x14ac:dyDescent="0.2"/>
    <row r="4591" customFormat="1" x14ac:dyDescent="0.2"/>
    <row r="4592" customFormat="1" x14ac:dyDescent="0.2"/>
    <row r="4593" customFormat="1" x14ac:dyDescent="0.2"/>
    <row r="4594" customFormat="1" x14ac:dyDescent="0.2"/>
    <row r="4595" customFormat="1" x14ac:dyDescent="0.2"/>
    <row r="4596" customFormat="1" x14ac:dyDescent="0.2"/>
    <row r="4597" customFormat="1" x14ac:dyDescent="0.2"/>
    <row r="4598" customFormat="1" x14ac:dyDescent="0.2"/>
    <row r="4599" customFormat="1" x14ac:dyDescent="0.2"/>
    <row r="4600" customFormat="1" x14ac:dyDescent="0.2"/>
    <row r="4601" customFormat="1" x14ac:dyDescent="0.2"/>
    <row r="4602" customFormat="1" x14ac:dyDescent="0.2"/>
    <row r="4603" customFormat="1" x14ac:dyDescent="0.2"/>
    <row r="4604" customFormat="1" x14ac:dyDescent="0.2"/>
    <row r="4605" customFormat="1" x14ac:dyDescent="0.2"/>
    <row r="4606" customFormat="1" x14ac:dyDescent="0.2"/>
    <row r="4607" customFormat="1" x14ac:dyDescent="0.2"/>
    <row r="4608" customFormat="1" x14ac:dyDescent="0.2"/>
    <row r="4609" customFormat="1" x14ac:dyDescent="0.2"/>
    <row r="4610" customFormat="1" x14ac:dyDescent="0.2"/>
    <row r="4611" customFormat="1" x14ac:dyDescent="0.2"/>
    <row r="4612" customFormat="1" x14ac:dyDescent="0.2"/>
    <row r="4613" customFormat="1" x14ac:dyDescent="0.2"/>
    <row r="4614" customFormat="1" x14ac:dyDescent="0.2"/>
    <row r="4615" customFormat="1" x14ac:dyDescent="0.2"/>
    <row r="4616" customFormat="1" x14ac:dyDescent="0.2"/>
    <row r="4617" customFormat="1" x14ac:dyDescent="0.2"/>
    <row r="4618" customFormat="1" x14ac:dyDescent="0.2"/>
    <row r="4619" customFormat="1" x14ac:dyDescent="0.2"/>
    <row r="4620" customFormat="1" x14ac:dyDescent="0.2"/>
    <row r="4621" customFormat="1" x14ac:dyDescent="0.2"/>
    <row r="4622" customFormat="1" x14ac:dyDescent="0.2"/>
    <row r="4623" customFormat="1" x14ac:dyDescent="0.2"/>
    <row r="4624" customFormat="1" x14ac:dyDescent="0.2"/>
    <row r="4625" customFormat="1" x14ac:dyDescent="0.2"/>
    <row r="4626" customFormat="1" x14ac:dyDescent="0.2"/>
    <row r="4627" customFormat="1" x14ac:dyDescent="0.2"/>
    <row r="4628" customFormat="1" x14ac:dyDescent="0.2"/>
    <row r="4629" customFormat="1" x14ac:dyDescent="0.2"/>
    <row r="4630" customFormat="1" x14ac:dyDescent="0.2"/>
    <row r="4631" customFormat="1" x14ac:dyDescent="0.2"/>
    <row r="4632" customFormat="1" x14ac:dyDescent="0.2"/>
    <row r="4633" customFormat="1" x14ac:dyDescent="0.2"/>
    <row r="4634" customFormat="1" x14ac:dyDescent="0.2"/>
    <row r="4635" customFormat="1" x14ac:dyDescent="0.2"/>
    <row r="4636" customFormat="1" x14ac:dyDescent="0.2"/>
    <row r="4637" customFormat="1" x14ac:dyDescent="0.2"/>
    <row r="4638" customFormat="1" x14ac:dyDescent="0.2"/>
    <row r="4639" customFormat="1" x14ac:dyDescent="0.2"/>
    <row r="4640" customFormat="1" x14ac:dyDescent="0.2"/>
    <row r="4641" customFormat="1" x14ac:dyDescent="0.2"/>
    <row r="4642" customFormat="1" x14ac:dyDescent="0.2"/>
    <row r="4643" customFormat="1" x14ac:dyDescent="0.2"/>
    <row r="4644" customFormat="1" x14ac:dyDescent="0.2"/>
    <row r="4645" customFormat="1" x14ac:dyDescent="0.2"/>
    <row r="4646" customFormat="1" x14ac:dyDescent="0.2"/>
    <row r="4647" customFormat="1" x14ac:dyDescent="0.2"/>
    <row r="4648" customFormat="1" x14ac:dyDescent="0.2"/>
    <row r="4649" customFormat="1" x14ac:dyDescent="0.2"/>
    <row r="4650" customFormat="1" x14ac:dyDescent="0.2"/>
    <row r="4651" customFormat="1" x14ac:dyDescent="0.2"/>
    <row r="4652" customFormat="1" x14ac:dyDescent="0.2"/>
    <row r="4653" customFormat="1" x14ac:dyDescent="0.2"/>
    <row r="4654" customFormat="1" x14ac:dyDescent="0.2"/>
    <row r="4655" customFormat="1" x14ac:dyDescent="0.2"/>
    <row r="4656" customFormat="1" x14ac:dyDescent="0.2"/>
    <row r="4657" customFormat="1" x14ac:dyDescent="0.2"/>
    <row r="4658" customFormat="1" x14ac:dyDescent="0.2"/>
    <row r="4659" customFormat="1" x14ac:dyDescent="0.2"/>
    <row r="4660" customFormat="1" x14ac:dyDescent="0.2"/>
    <row r="4661" customFormat="1" x14ac:dyDescent="0.2"/>
    <row r="4662" customFormat="1" x14ac:dyDescent="0.2"/>
    <row r="4663" customFormat="1" x14ac:dyDescent="0.2"/>
    <row r="4664" customFormat="1" x14ac:dyDescent="0.2"/>
    <row r="4665" customFormat="1" x14ac:dyDescent="0.2"/>
    <row r="4666" customFormat="1" x14ac:dyDescent="0.2"/>
    <row r="4667" customFormat="1" x14ac:dyDescent="0.2"/>
    <row r="4668" customFormat="1" x14ac:dyDescent="0.2"/>
    <row r="4669" customFormat="1" x14ac:dyDescent="0.2"/>
    <row r="4670" customFormat="1" x14ac:dyDescent="0.2"/>
    <row r="4671" customFormat="1" x14ac:dyDescent="0.2"/>
    <row r="4672" customFormat="1" x14ac:dyDescent="0.2"/>
    <row r="4673" customFormat="1" x14ac:dyDescent="0.2"/>
    <row r="4674" customFormat="1" x14ac:dyDescent="0.2"/>
    <row r="4675" customFormat="1" x14ac:dyDescent="0.2"/>
    <row r="4676" customFormat="1" x14ac:dyDescent="0.2"/>
    <row r="4677" customFormat="1" x14ac:dyDescent="0.2"/>
    <row r="4678" customFormat="1" x14ac:dyDescent="0.2"/>
    <row r="4679" customFormat="1" x14ac:dyDescent="0.2"/>
    <row r="4680" customFormat="1" x14ac:dyDescent="0.2"/>
    <row r="4681" customFormat="1" x14ac:dyDescent="0.2"/>
    <row r="4682" customFormat="1" x14ac:dyDescent="0.2"/>
    <row r="4683" customFormat="1" x14ac:dyDescent="0.2"/>
    <row r="4684" customFormat="1" x14ac:dyDescent="0.2"/>
    <row r="4685" customFormat="1" x14ac:dyDescent="0.2"/>
    <row r="4686" customFormat="1" x14ac:dyDescent="0.2"/>
    <row r="4687" customFormat="1" x14ac:dyDescent="0.2"/>
    <row r="4688" customFormat="1" x14ac:dyDescent="0.2"/>
    <row r="4689" customFormat="1" x14ac:dyDescent="0.2"/>
    <row r="4690" customFormat="1" x14ac:dyDescent="0.2"/>
    <row r="4691" customFormat="1" x14ac:dyDescent="0.2"/>
    <row r="4692" customFormat="1" x14ac:dyDescent="0.2"/>
    <row r="4693" customFormat="1" x14ac:dyDescent="0.2"/>
    <row r="4694" customFormat="1" x14ac:dyDescent="0.2"/>
    <row r="4695" customFormat="1" x14ac:dyDescent="0.2"/>
    <row r="4696" customFormat="1" x14ac:dyDescent="0.2"/>
    <row r="4697" customFormat="1" x14ac:dyDescent="0.2"/>
    <row r="4698" customFormat="1" x14ac:dyDescent="0.2"/>
    <row r="4699" customFormat="1" x14ac:dyDescent="0.2"/>
    <row r="4700" customFormat="1" x14ac:dyDescent="0.2"/>
    <row r="4701" customFormat="1" x14ac:dyDescent="0.2"/>
    <row r="4702" customFormat="1" x14ac:dyDescent="0.2"/>
    <row r="4703" customFormat="1" x14ac:dyDescent="0.2"/>
    <row r="4704" customFormat="1" x14ac:dyDescent="0.2"/>
    <row r="4705" customFormat="1" x14ac:dyDescent="0.2"/>
    <row r="4706" customFormat="1" x14ac:dyDescent="0.2"/>
    <row r="4707" customFormat="1" x14ac:dyDescent="0.2"/>
    <row r="4708" customFormat="1" x14ac:dyDescent="0.2"/>
    <row r="4709" customFormat="1" x14ac:dyDescent="0.2"/>
    <row r="4710" customFormat="1" x14ac:dyDescent="0.2"/>
    <row r="4711" customFormat="1" x14ac:dyDescent="0.2"/>
    <row r="4712" customFormat="1" x14ac:dyDescent="0.2"/>
    <row r="4713" customFormat="1" x14ac:dyDescent="0.2"/>
    <row r="4714" customFormat="1" x14ac:dyDescent="0.2"/>
    <row r="4715" customFormat="1" x14ac:dyDescent="0.2"/>
    <row r="4716" customFormat="1" x14ac:dyDescent="0.2"/>
    <row r="4717" customFormat="1" x14ac:dyDescent="0.2"/>
    <row r="4718" customFormat="1" x14ac:dyDescent="0.2"/>
    <row r="4719" customFormat="1" x14ac:dyDescent="0.2"/>
    <row r="4720" customFormat="1" x14ac:dyDescent="0.2"/>
    <row r="4721" customFormat="1" x14ac:dyDescent="0.2"/>
    <row r="4722" customFormat="1" x14ac:dyDescent="0.2"/>
    <row r="4723" customFormat="1" x14ac:dyDescent="0.2"/>
    <row r="4724" customFormat="1" x14ac:dyDescent="0.2"/>
    <row r="4725" customFormat="1" x14ac:dyDescent="0.2"/>
    <row r="4726" customFormat="1" x14ac:dyDescent="0.2"/>
    <row r="4727" customFormat="1" x14ac:dyDescent="0.2"/>
    <row r="4728" customFormat="1" x14ac:dyDescent="0.2"/>
    <row r="4729" customFormat="1" x14ac:dyDescent="0.2"/>
    <row r="4730" customFormat="1" x14ac:dyDescent="0.2"/>
    <row r="4731" customFormat="1" x14ac:dyDescent="0.2"/>
    <row r="4732" customFormat="1" x14ac:dyDescent="0.2"/>
    <row r="4733" customFormat="1" x14ac:dyDescent="0.2"/>
    <row r="4734" customFormat="1" x14ac:dyDescent="0.2"/>
    <row r="4735" customFormat="1" x14ac:dyDescent="0.2"/>
    <row r="4736" customFormat="1" x14ac:dyDescent="0.2"/>
    <row r="4737" customFormat="1" x14ac:dyDescent="0.2"/>
    <row r="4738" customFormat="1" x14ac:dyDescent="0.2"/>
    <row r="4739" customFormat="1" x14ac:dyDescent="0.2"/>
    <row r="4740" customFormat="1" x14ac:dyDescent="0.2"/>
    <row r="4741" customFormat="1" x14ac:dyDescent="0.2"/>
    <row r="4742" customFormat="1" x14ac:dyDescent="0.2"/>
    <row r="4743" customFormat="1" x14ac:dyDescent="0.2"/>
    <row r="4744" customFormat="1" x14ac:dyDescent="0.2"/>
    <row r="4745" customFormat="1" x14ac:dyDescent="0.2"/>
    <row r="4746" customFormat="1" x14ac:dyDescent="0.2"/>
    <row r="4747" customFormat="1" x14ac:dyDescent="0.2"/>
    <row r="4748" customFormat="1" x14ac:dyDescent="0.2"/>
    <row r="4749" customFormat="1" x14ac:dyDescent="0.2"/>
    <row r="4750" customFormat="1" x14ac:dyDescent="0.2"/>
    <row r="4751" customFormat="1" x14ac:dyDescent="0.2"/>
    <row r="4752" customFormat="1" x14ac:dyDescent="0.2"/>
    <row r="4753" customFormat="1" x14ac:dyDescent="0.2"/>
    <row r="4754" customFormat="1" x14ac:dyDescent="0.2"/>
    <row r="4755" customFormat="1" x14ac:dyDescent="0.2"/>
    <row r="4756" customFormat="1" x14ac:dyDescent="0.2"/>
    <row r="4757" customFormat="1" x14ac:dyDescent="0.2"/>
    <row r="4758" customFormat="1" x14ac:dyDescent="0.2"/>
    <row r="4759" customFormat="1" x14ac:dyDescent="0.2"/>
    <row r="4760" customFormat="1" x14ac:dyDescent="0.2"/>
    <row r="4761" customFormat="1" x14ac:dyDescent="0.2"/>
    <row r="4762" customFormat="1" x14ac:dyDescent="0.2"/>
    <row r="4763" customFormat="1" x14ac:dyDescent="0.2"/>
    <row r="4764" customFormat="1" x14ac:dyDescent="0.2"/>
    <row r="4765" customFormat="1" x14ac:dyDescent="0.2"/>
    <row r="4766" customFormat="1" x14ac:dyDescent="0.2"/>
    <row r="4767" customFormat="1" x14ac:dyDescent="0.2"/>
    <row r="4768" customFormat="1" x14ac:dyDescent="0.2"/>
    <row r="4769" customFormat="1" x14ac:dyDescent="0.2"/>
    <row r="4770" customFormat="1" x14ac:dyDescent="0.2"/>
    <row r="4771" customFormat="1" x14ac:dyDescent="0.2"/>
    <row r="4772" customFormat="1" x14ac:dyDescent="0.2"/>
    <row r="4773" customFormat="1" x14ac:dyDescent="0.2"/>
    <row r="4774" customFormat="1" x14ac:dyDescent="0.2"/>
    <row r="4775" customFormat="1" x14ac:dyDescent="0.2"/>
    <row r="4776" customFormat="1" x14ac:dyDescent="0.2"/>
    <row r="4777" customFormat="1" x14ac:dyDescent="0.2"/>
    <row r="4778" customFormat="1" x14ac:dyDescent="0.2"/>
    <row r="4779" customFormat="1" x14ac:dyDescent="0.2"/>
    <row r="4780" customFormat="1" x14ac:dyDescent="0.2"/>
    <row r="4781" customFormat="1" x14ac:dyDescent="0.2"/>
    <row r="4782" customFormat="1" x14ac:dyDescent="0.2"/>
    <row r="4783" customFormat="1" x14ac:dyDescent="0.2"/>
    <row r="4784" customFormat="1" x14ac:dyDescent="0.2"/>
    <row r="4785" customFormat="1" x14ac:dyDescent="0.2"/>
    <row r="4786" customFormat="1" x14ac:dyDescent="0.2"/>
    <row r="4787" customFormat="1" x14ac:dyDescent="0.2"/>
    <row r="4788" customFormat="1" x14ac:dyDescent="0.2"/>
    <row r="4789" customFormat="1" x14ac:dyDescent="0.2"/>
    <row r="4790" customFormat="1" x14ac:dyDescent="0.2"/>
    <row r="4791" customFormat="1" x14ac:dyDescent="0.2"/>
    <row r="4792" customFormat="1" x14ac:dyDescent="0.2"/>
    <row r="4793" customFormat="1" x14ac:dyDescent="0.2"/>
    <row r="4794" customFormat="1" x14ac:dyDescent="0.2"/>
    <row r="4795" customFormat="1" x14ac:dyDescent="0.2"/>
    <row r="4796" customFormat="1" x14ac:dyDescent="0.2"/>
    <row r="4797" customFormat="1" x14ac:dyDescent="0.2"/>
    <row r="4798" customFormat="1" x14ac:dyDescent="0.2"/>
    <row r="4799" customFormat="1" x14ac:dyDescent="0.2"/>
    <row r="4800" customFormat="1" x14ac:dyDescent="0.2"/>
    <row r="4801" customFormat="1" x14ac:dyDescent="0.2"/>
    <row r="4802" customFormat="1" x14ac:dyDescent="0.2"/>
    <row r="4803" customFormat="1" x14ac:dyDescent="0.2"/>
    <row r="4804" customFormat="1" x14ac:dyDescent="0.2"/>
    <row r="4805" customFormat="1" x14ac:dyDescent="0.2"/>
    <row r="4806" customFormat="1" x14ac:dyDescent="0.2"/>
    <row r="4807" customFormat="1" x14ac:dyDescent="0.2"/>
    <row r="4808" customFormat="1" x14ac:dyDescent="0.2"/>
    <row r="4809" customFormat="1" x14ac:dyDescent="0.2"/>
    <row r="4810" customFormat="1" x14ac:dyDescent="0.2"/>
    <row r="4811" customFormat="1" x14ac:dyDescent="0.2"/>
    <row r="4812" customFormat="1" x14ac:dyDescent="0.2"/>
    <row r="4813" customFormat="1" x14ac:dyDescent="0.2"/>
    <row r="4814" customFormat="1" x14ac:dyDescent="0.2"/>
    <row r="4815" customFormat="1" x14ac:dyDescent="0.2"/>
    <row r="4816" customFormat="1" x14ac:dyDescent="0.2"/>
    <row r="4817" customFormat="1" x14ac:dyDescent="0.2"/>
    <row r="4818" customFormat="1" x14ac:dyDescent="0.2"/>
    <row r="4819" customFormat="1" x14ac:dyDescent="0.2"/>
    <row r="4820" customFormat="1" x14ac:dyDescent="0.2"/>
    <row r="4821" customFormat="1" x14ac:dyDescent="0.2"/>
    <row r="4822" customFormat="1" x14ac:dyDescent="0.2"/>
    <row r="4823" customFormat="1" x14ac:dyDescent="0.2"/>
    <row r="4824" customFormat="1" x14ac:dyDescent="0.2"/>
    <row r="4825" customFormat="1" x14ac:dyDescent="0.2"/>
    <row r="4826" customFormat="1" x14ac:dyDescent="0.2"/>
    <row r="4827" customFormat="1" x14ac:dyDescent="0.2"/>
    <row r="4828" customFormat="1" x14ac:dyDescent="0.2"/>
    <row r="4829" customFormat="1" x14ac:dyDescent="0.2"/>
    <row r="4830" customFormat="1" x14ac:dyDescent="0.2"/>
    <row r="4831" customFormat="1" x14ac:dyDescent="0.2"/>
    <row r="4832" customFormat="1" x14ac:dyDescent="0.2"/>
    <row r="4833" customFormat="1" x14ac:dyDescent="0.2"/>
    <row r="4834" customFormat="1" x14ac:dyDescent="0.2"/>
    <row r="4835" customFormat="1" x14ac:dyDescent="0.2"/>
    <row r="4836" customFormat="1" x14ac:dyDescent="0.2"/>
    <row r="4837" customFormat="1" x14ac:dyDescent="0.2"/>
    <row r="4838" customFormat="1" x14ac:dyDescent="0.2"/>
    <row r="4839" customFormat="1" x14ac:dyDescent="0.2"/>
    <row r="4840" customFormat="1" x14ac:dyDescent="0.2"/>
    <row r="4841" customFormat="1" x14ac:dyDescent="0.2"/>
    <row r="4842" customFormat="1" x14ac:dyDescent="0.2"/>
    <row r="4843" customFormat="1" x14ac:dyDescent="0.2"/>
    <row r="4844" customFormat="1" x14ac:dyDescent="0.2"/>
    <row r="4845" customFormat="1" x14ac:dyDescent="0.2"/>
    <row r="4846" customFormat="1" x14ac:dyDescent="0.2"/>
    <row r="4847" customFormat="1" x14ac:dyDescent="0.2"/>
    <row r="4848" customFormat="1" x14ac:dyDescent="0.2"/>
    <row r="4849" customFormat="1" x14ac:dyDescent="0.2"/>
    <row r="4850" customFormat="1" x14ac:dyDescent="0.2"/>
    <row r="4851" customFormat="1" x14ac:dyDescent="0.2"/>
    <row r="4852" customFormat="1" x14ac:dyDescent="0.2"/>
    <row r="4853" customFormat="1" x14ac:dyDescent="0.2"/>
    <row r="4854" customFormat="1" x14ac:dyDescent="0.2"/>
    <row r="4855" customFormat="1" x14ac:dyDescent="0.2"/>
    <row r="4856" customFormat="1" x14ac:dyDescent="0.2"/>
    <row r="4857" customFormat="1" x14ac:dyDescent="0.2"/>
    <row r="4858" customFormat="1" x14ac:dyDescent="0.2"/>
    <row r="4859" customFormat="1" x14ac:dyDescent="0.2"/>
    <row r="4860" customFormat="1" x14ac:dyDescent="0.2"/>
    <row r="4861" customFormat="1" x14ac:dyDescent="0.2"/>
    <row r="4862" customFormat="1" x14ac:dyDescent="0.2"/>
    <row r="4863" customFormat="1" x14ac:dyDescent="0.2"/>
    <row r="4864" customFormat="1" x14ac:dyDescent="0.2"/>
    <row r="4865" customFormat="1" x14ac:dyDescent="0.2"/>
    <row r="4866" customFormat="1" x14ac:dyDescent="0.2"/>
    <row r="4867" customFormat="1" x14ac:dyDescent="0.2"/>
    <row r="4868" customFormat="1" x14ac:dyDescent="0.2"/>
    <row r="4869" customFormat="1" x14ac:dyDescent="0.2"/>
    <row r="4870" customFormat="1" x14ac:dyDescent="0.2"/>
    <row r="4871" customFormat="1" x14ac:dyDescent="0.2"/>
    <row r="4872" customFormat="1" x14ac:dyDescent="0.2"/>
    <row r="4873" customFormat="1" x14ac:dyDescent="0.2"/>
    <row r="4874" customFormat="1" x14ac:dyDescent="0.2"/>
    <row r="4875" customFormat="1" x14ac:dyDescent="0.2"/>
    <row r="4876" customFormat="1" x14ac:dyDescent="0.2"/>
    <row r="4877" customFormat="1" x14ac:dyDescent="0.2"/>
    <row r="4878" customFormat="1" x14ac:dyDescent="0.2"/>
    <row r="4879" customFormat="1" x14ac:dyDescent="0.2"/>
    <row r="4880" customFormat="1" x14ac:dyDescent="0.2"/>
    <row r="4881" customFormat="1" x14ac:dyDescent="0.2"/>
    <row r="4882" customFormat="1" x14ac:dyDescent="0.2"/>
    <row r="4883" customFormat="1" x14ac:dyDescent="0.2"/>
    <row r="4884" customFormat="1" x14ac:dyDescent="0.2"/>
    <row r="4885" customFormat="1" x14ac:dyDescent="0.2"/>
    <row r="4886" customFormat="1" x14ac:dyDescent="0.2"/>
    <row r="4887" customFormat="1" x14ac:dyDescent="0.2"/>
    <row r="4888" customFormat="1" x14ac:dyDescent="0.2"/>
    <row r="4889" customFormat="1" x14ac:dyDescent="0.2"/>
    <row r="4890" customFormat="1" x14ac:dyDescent="0.2"/>
    <row r="4891" customFormat="1" x14ac:dyDescent="0.2"/>
    <row r="4892" customFormat="1" x14ac:dyDescent="0.2"/>
    <row r="4893" customFormat="1" x14ac:dyDescent="0.2"/>
    <row r="4894" customFormat="1" x14ac:dyDescent="0.2"/>
    <row r="4895" customFormat="1" x14ac:dyDescent="0.2"/>
    <row r="4896" customFormat="1" x14ac:dyDescent="0.2"/>
    <row r="4897" customFormat="1" x14ac:dyDescent="0.2"/>
    <row r="4898" customFormat="1" x14ac:dyDescent="0.2"/>
    <row r="4899" customFormat="1" x14ac:dyDescent="0.2"/>
    <row r="4900" customFormat="1" x14ac:dyDescent="0.2"/>
    <row r="4901" customFormat="1" x14ac:dyDescent="0.2"/>
    <row r="4902" customFormat="1" x14ac:dyDescent="0.2"/>
    <row r="4903" customFormat="1" x14ac:dyDescent="0.2"/>
    <row r="4904" customFormat="1" x14ac:dyDescent="0.2"/>
    <row r="4905" customFormat="1" x14ac:dyDescent="0.2"/>
    <row r="4906" customFormat="1" x14ac:dyDescent="0.2"/>
    <row r="4907" customFormat="1" x14ac:dyDescent="0.2"/>
    <row r="4908" customFormat="1" x14ac:dyDescent="0.2"/>
    <row r="4909" customFormat="1" x14ac:dyDescent="0.2"/>
    <row r="4910" customFormat="1" x14ac:dyDescent="0.2"/>
    <row r="4911" customFormat="1" x14ac:dyDescent="0.2"/>
    <row r="4912" customFormat="1" x14ac:dyDescent="0.2"/>
    <row r="4913" customFormat="1" x14ac:dyDescent="0.2"/>
    <row r="4914" customFormat="1" x14ac:dyDescent="0.2"/>
    <row r="4915" customFormat="1" x14ac:dyDescent="0.2"/>
    <row r="4916" customFormat="1" x14ac:dyDescent="0.2"/>
    <row r="4917" customFormat="1" x14ac:dyDescent="0.2"/>
    <row r="4918" customFormat="1" x14ac:dyDescent="0.2"/>
    <row r="4919" customFormat="1" x14ac:dyDescent="0.2"/>
    <row r="4920" customFormat="1" x14ac:dyDescent="0.2"/>
    <row r="4921" customFormat="1" x14ac:dyDescent="0.2"/>
    <row r="4922" customFormat="1" x14ac:dyDescent="0.2"/>
    <row r="4923" customFormat="1" x14ac:dyDescent="0.2"/>
    <row r="4924" customFormat="1" x14ac:dyDescent="0.2"/>
    <row r="4925" customFormat="1" x14ac:dyDescent="0.2"/>
    <row r="4926" customFormat="1" x14ac:dyDescent="0.2"/>
    <row r="4927" customFormat="1" x14ac:dyDescent="0.2"/>
    <row r="4928" customFormat="1" x14ac:dyDescent="0.2"/>
    <row r="4929" customFormat="1" x14ac:dyDescent="0.2"/>
    <row r="4930" customFormat="1" x14ac:dyDescent="0.2"/>
    <row r="4931" customFormat="1" x14ac:dyDescent="0.2"/>
    <row r="4932" customFormat="1" x14ac:dyDescent="0.2"/>
    <row r="4933" customFormat="1" x14ac:dyDescent="0.2"/>
    <row r="4934" customFormat="1" x14ac:dyDescent="0.2"/>
    <row r="4935" customFormat="1" x14ac:dyDescent="0.2"/>
    <row r="4936" customFormat="1" x14ac:dyDescent="0.2"/>
    <row r="4937" customFormat="1" x14ac:dyDescent="0.2"/>
    <row r="4938" customFormat="1" x14ac:dyDescent="0.2"/>
    <row r="4939" customFormat="1" x14ac:dyDescent="0.2"/>
    <row r="4940" customFormat="1" x14ac:dyDescent="0.2"/>
    <row r="4941" customFormat="1" x14ac:dyDescent="0.2"/>
    <row r="4942" customFormat="1" x14ac:dyDescent="0.2"/>
    <row r="4943" customFormat="1" x14ac:dyDescent="0.2"/>
    <row r="4944" customFormat="1" x14ac:dyDescent="0.2"/>
    <row r="4945" customFormat="1" x14ac:dyDescent="0.2"/>
    <row r="4946" customFormat="1" x14ac:dyDescent="0.2"/>
    <row r="4947" customFormat="1" x14ac:dyDescent="0.2"/>
    <row r="4948" customFormat="1" x14ac:dyDescent="0.2"/>
    <row r="4949" customFormat="1" x14ac:dyDescent="0.2"/>
    <row r="4950" customFormat="1" x14ac:dyDescent="0.2"/>
    <row r="4951" customFormat="1" x14ac:dyDescent="0.2"/>
    <row r="4952" customFormat="1" x14ac:dyDescent="0.2"/>
    <row r="4953" customFormat="1" x14ac:dyDescent="0.2"/>
    <row r="4954" customFormat="1" x14ac:dyDescent="0.2"/>
    <row r="4955" customFormat="1" x14ac:dyDescent="0.2"/>
    <row r="4956" customFormat="1" x14ac:dyDescent="0.2"/>
    <row r="4957" customFormat="1" x14ac:dyDescent="0.2"/>
    <row r="4958" customFormat="1" x14ac:dyDescent="0.2"/>
    <row r="4959" customFormat="1" x14ac:dyDescent="0.2"/>
    <row r="4960" customFormat="1" x14ac:dyDescent="0.2"/>
    <row r="4961" customFormat="1" x14ac:dyDescent="0.2"/>
    <row r="4962" customFormat="1" x14ac:dyDescent="0.2"/>
    <row r="4963" customFormat="1" x14ac:dyDescent="0.2"/>
    <row r="4964" customFormat="1" x14ac:dyDescent="0.2"/>
    <row r="4965" customFormat="1" x14ac:dyDescent="0.2"/>
    <row r="4966" customFormat="1" x14ac:dyDescent="0.2"/>
    <row r="4967" customFormat="1" x14ac:dyDescent="0.2"/>
    <row r="4968" customFormat="1" x14ac:dyDescent="0.2"/>
    <row r="4969" customFormat="1" x14ac:dyDescent="0.2"/>
    <row r="4970" customFormat="1" x14ac:dyDescent="0.2"/>
    <row r="4971" customFormat="1" x14ac:dyDescent="0.2"/>
    <row r="4972" customFormat="1" x14ac:dyDescent="0.2"/>
    <row r="4973" customFormat="1" x14ac:dyDescent="0.2"/>
    <row r="4974" customFormat="1" x14ac:dyDescent="0.2"/>
    <row r="4975" customFormat="1" x14ac:dyDescent="0.2"/>
    <row r="4976" customFormat="1" x14ac:dyDescent="0.2"/>
    <row r="4977" customFormat="1" x14ac:dyDescent="0.2"/>
    <row r="4978" customFormat="1" x14ac:dyDescent="0.2"/>
    <row r="4979" customFormat="1" x14ac:dyDescent="0.2"/>
    <row r="4980" customFormat="1" x14ac:dyDescent="0.2"/>
    <row r="4981" customFormat="1" x14ac:dyDescent="0.2"/>
    <row r="4982" customFormat="1" x14ac:dyDescent="0.2"/>
    <row r="4983" customFormat="1" x14ac:dyDescent="0.2"/>
    <row r="4984" customFormat="1" x14ac:dyDescent="0.2"/>
    <row r="4985" customFormat="1" x14ac:dyDescent="0.2"/>
    <row r="4986" customFormat="1" x14ac:dyDescent="0.2"/>
    <row r="4987" customFormat="1" x14ac:dyDescent="0.2"/>
    <row r="4988" customFormat="1" x14ac:dyDescent="0.2"/>
    <row r="4989" customFormat="1" x14ac:dyDescent="0.2"/>
    <row r="4990" customFormat="1" x14ac:dyDescent="0.2"/>
    <row r="4991" customFormat="1" x14ac:dyDescent="0.2"/>
    <row r="4992" customFormat="1" x14ac:dyDescent="0.2"/>
    <row r="4993" customFormat="1" x14ac:dyDescent="0.2"/>
    <row r="4994" customFormat="1" x14ac:dyDescent="0.2"/>
    <row r="4995" customFormat="1" x14ac:dyDescent="0.2"/>
    <row r="4996" customFormat="1" x14ac:dyDescent="0.2"/>
    <row r="4997" customFormat="1" x14ac:dyDescent="0.2"/>
    <row r="4998" customFormat="1" x14ac:dyDescent="0.2"/>
    <row r="4999" customFormat="1" x14ac:dyDescent="0.2"/>
    <row r="5000" customFormat="1" x14ac:dyDescent="0.2"/>
    <row r="5001" customFormat="1" x14ac:dyDescent="0.2"/>
    <row r="5002" customFormat="1" x14ac:dyDescent="0.2"/>
    <row r="5003" customFormat="1" x14ac:dyDescent="0.2"/>
    <row r="5004" customFormat="1" x14ac:dyDescent="0.2"/>
    <row r="5005" customFormat="1" x14ac:dyDescent="0.2"/>
    <row r="5006" customFormat="1" x14ac:dyDescent="0.2"/>
    <row r="5007" customFormat="1" x14ac:dyDescent="0.2"/>
    <row r="5008" customFormat="1" x14ac:dyDescent="0.2"/>
    <row r="5009" customFormat="1" x14ac:dyDescent="0.2"/>
    <row r="5010" customFormat="1" x14ac:dyDescent="0.2"/>
    <row r="5011" customFormat="1" x14ac:dyDescent="0.2"/>
    <row r="5012" customFormat="1" x14ac:dyDescent="0.2"/>
    <row r="5013" customFormat="1" x14ac:dyDescent="0.2"/>
    <row r="5014" customFormat="1" x14ac:dyDescent="0.2"/>
    <row r="5015" customFormat="1" x14ac:dyDescent="0.2"/>
    <row r="5016" customFormat="1" x14ac:dyDescent="0.2"/>
    <row r="5017" customFormat="1" x14ac:dyDescent="0.2"/>
    <row r="5018" customFormat="1" x14ac:dyDescent="0.2"/>
    <row r="5019" customFormat="1" x14ac:dyDescent="0.2"/>
    <row r="5020" customFormat="1" x14ac:dyDescent="0.2"/>
    <row r="5021" customFormat="1" x14ac:dyDescent="0.2"/>
    <row r="5022" customFormat="1" x14ac:dyDescent="0.2"/>
    <row r="5023" customFormat="1" x14ac:dyDescent="0.2"/>
    <row r="5024" customFormat="1" x14ac:dyDescent="0.2"/>
    <row r="5025" customFormat="1" x14ac:dyDescent="0.2"/>
    <row r="5026" customFormat="1" x14ac:dyDescent="0.2"/>
    <row r="5027" customFormat="1" x14ac:dyDescent="0.2"/>
    <row r="5028" customFormat="1" x14ac:dyDescent="0.2"/>
    <row r="5029" customFormat="1" x14ac:dyDescent="0.2"/>
    <row r="5030" customFormat="1" x14ac:dyDescent="0.2"/>
    <row r="5031" customFormat="1" x14ac:dyDescent="0.2"/>
    <row r="5032" customFormat="1" x14ac:dyDescent="0.2"/>
    <row r="5033" customFormat="1" x14ac:dyDescent="0.2"/>
    <row r="5034" customFormat="1" x14ac:dyDescent="0.2"/>
    <row r="5035" customFormat="1" x14ac:dyDescent="0.2"/>
    <row r="5036" customFormat="1" x14ac:dyDescent="0.2"/>
    <row r="5037" customFormat="1" x14ac:dyDescent="0.2"/>
    <row r="5038" customFormat="1" x14ac:dyDescent="0.2"/>
    <row r="5039" customFormat="1" x14ac:dyDescent="0.2"/>
    <row r="5040" customFormat="1" x14ac:dyDescent="0.2"/>
    <row r="5041" customFormat="1" x14ac:dyDescent="0.2"/>
    <row r="5042" customFormat="1" x14ac:dyDescent="0.2"/>
    <row r="5043" customFormat="1" x14ac:dyDescent="0.2"/>
    <row r="5044" customFormat="1" x14ac:dyDescent="0.2"/>
    <row r="5045" customFormat="1" x14ac:dyDescent="0.2"/>
    <row r="5046" customFormat="1" x14ac:dyDescent="0.2"/>
    <row r="5047" customFormat="1" x14ac:dyDescent="0.2"/>
    <row r="5048" customFormat="1" x14ac:dyDescent="0.2"/>
    <row r="5049" customFormat="1" x14ac:dyDescent="0.2"/>
    <row r="5050" customFormat="1" x14ac:dyDescent="0.2"/>
    <row r="5051" customFormat="1" x14ac:dyDescent="0.2"/>
    <row r="5052" customFormat="1" x14ac:dyDescent="0.2"/>
    <row r="5053" customFormat="1" x14ac:dyDescent="0.2"/>
    <row r="5054" customFormat="1" x14ac:dyDescent="0.2"/>
    <row r="5055" customFormat="1" x14ac:dyDescent="0.2"/>
    <row r="5056" customFormat="1" x14ac:dyDescent="0.2"/>
    <row r="5057" customFormat="1" x14ac:dyDescent="0.2"/>
    <row r="5058" customFormat="1" x14ac:dyDescent="0.2"/>
    <row r="5059" customFormat="1" x14ac:dyDescent="0.2"/>
    <row r="5060" customFormat="1" x14ac:dyDescent="0.2"/>
    <row r="5061" customFormat="1" x14ac:dyDescent="0.2"/>
    <row r="5062" customFormat="1" x14ac:dyDescent="0.2"/>
    <row r="5063" customFormat="1" x14ac:dyDescent="0.2"/>
    <row r="5064" customFormat="1" x14ac:dyDescent="0.2"/>
    <row r="5065" customFormat="1" x14ac:dyDescent="0.2"/>
    <row r="5066" customFormat="1" x14ac:dyDescent="0.2"/>
    <row r="5067" customFormat="1" x14ac:dyDescent="0.2"/>
    <row r="5068" customFormat="1" x14ac:dyDescent="0.2"/>
    <row r="5069" customFormat="1" x14ac:dyDescent="0.2"/>
    <row r="5070" customFormat="1" x14ac:dyDescent="0.2"/>
    <row r="5071" customFormat="1" x14ac:dyDescent="0.2"/>
    <row r="5072" customFormat="1" x14ac:dyDescent="0.2"/>
    <row r="5073" customFormat="1" x14ac:dyDescent="0.2"/>
    <row r="5074" customFormat="1" x14ac:dyDescent="0.2"/>
    <row r="5075" customFormat="1" x14ac:dyDescent="0.2"/>
    <row r="5076" customFormat="1" x14ac:dyDescent="0.2"/>
    <row r="5077" customFormat="1" x14ac:dyDescent="0.2"/>
    <row r="5078" customFormat="1" x14ac:dyDescent="0.2"/>
    <row r="5079" customFormat="1" x14ac:dyDescent="0.2"/>
    <row r="5080" customFormat="1" x14ac:dyDescent="0.2"/>
    <row r="5081" customFormat="1" x14ac:dyDescent="0.2"/>
    <row r="5082" customFormat="1" x14ac:dyDescent="0.2"/>
    <row r="5083" customFormat="1" x14ac:dyDescent="0.2"/>
    <row r="5084" customFormat="1" x14ac:dyDescent="0.2"/>
    <row r="5085" customFormat="1" x14ac:dyDescent="0.2"/>
    <row r="5086" customFormat="1" x14ac:dyDescent="0.2"/>
    <row r="5087" customFormat="1" x14ac:dyDescent="0.2"/>
    <row r="5088" customFormat="1" x14ac:dyDescent="0.2"/>
    <row r="5089" customFormat="1" x14ac:dyDescent="0.2"/>
    <row r="5090" customFormat="1" x14ac:dyDescent="0.2"/>
    <row r="5091" customFormat="1" x14ac:dyDescent="0.2"/>
    <row r="5092" customFormat="1" x14ac:dyDescent="0.2"/>
    <row r="5093" customFormat="1" x14ac:dyDescent="0.2"/>
    <row r="5094" customFormat="1" x14ac:dyDescent="0.2"/>
    <row r="5095" customFormat="1" x14ac:dyDescent="0.2"/>
    <row r="5096" customFormat="1" x14ac:dyDescent="0.2"/>
    <row r="5097" customFormat="1" x14ac:dyDescent="0.2"/>
    <row r="5098" customFormat="1" x14ac:dyDescent="0.2"/>
    <row r="5099" customFormat="1" x14ac:dyDescent="0.2"/>
    <row r="5100" customFormat="1" x14ac:dyDescent="0.2"/>
    <row r="5101" customFormat="1" x14ac:dyDescent="0.2"/>
    <row r="5102" customFormat="1" x14ac:dyDescent="0.2"/>
    <row r="5103" customFormat="1" x14ac:dyDescent="0.2"/>
    <row r="5104" customFormat="1" x14ac:dyDescent="0.2"/>
    <row r="5105" customFormat="1" x14ac:dyDescent="0.2"/>
    <row r="5106" customFormat="1" x14ac:dyDescent="0.2"/>
    <row r="5107" customFormat="1" x14ac:dyDescent="0.2"/>
    <row r="5108" customFormat="1" x14ac:dyDescent="0.2"/>
    <row r="5109" customFormat="1" x14ac:dyDescent="0.2"/>
    <row r="5110" customFormat="1" x14ac:dyDescent="0.2"/>
    <row r="5111" customFormat="1" x14ac:dyDescent="0.2"/>
    <row r="5112" customFormat="1" x14ac:dyDescent="0.2"/>
    <row r="5113" customFormat="1" x14ac:dyDescent="0.2"/>
    <row r="5114" customFormat="1" x14ac:dyDescent="0.2"/>
    <row r="5115" customFormat="1" x14ac:dyDescent="0.2"/>
    <row r="5116" customFormat="1" x14ac:dyDescent="0.2"/>
    <row r="5117" customFormat="1" x14ac:dyDescent="0.2"/>
    <row r="5118" customFormat="1" x14ac:dyDescent="0.2"/>
    <row r="5119" customFormat="1" x14ac:dyDescent="0.2"/>
    <row r="5120" customFormat="1" x14ac:dyDescent="0.2"/>
    <row r="5121" customFormat="1" x14ac:dyDescent="0.2"/>
    <row r="5122" customFormat="1" x14ac:dyDescent="0.2"/>
    <row r="5123" customFormat="1" x14ac:dyDescent="0.2"/>
    <row r="5124" customFormat="1" x14ac:dyDescent="0.2"/>
    <row r="5125" customFormat="1" x14ac:dyDescent="0.2"/>
    <row r="5126" customFormat="1" x14ac:dyDescent="0.2"/>
    <row r="5127" customFormat="1" x14ac:dyDescent="0.2"/>
    <row r="5128" customFormat="1" x14ac:dyDescent="0.2"/>
    <row r="5129" customFormat="1" x14ac:dyDescent="0.2"/>
    <row r="5130" customFormat="1" x14ac:dyDescent="0.2"/>
    <row r="5131" customFormat="1" x14ac:dyDescent="0.2"/>
    <row r="5132" customFormat="1" x14ac:dyDescent="0.2"/>
    <row r="5133" customFormat="1" x14ac:dyDescent="0.2"/>
    <row r="5134" customFormat="1" x14ac:dyDescent="0.2"/>
    <row r="5135" customFormat="1" x14ac:dyDescent="0.2"/>
    <row r="5136" customFormat="1" x14ac:dyDescent="0.2"/>
    <row r="5137" customFormat="1" x14ac:dyDescent="0.2"/>
    <row r="5138" customFormat="1" x14ac:dyDescent="0.2"/>
    <row r="5139" customFormat="1" x14ac:dyDescent="0.2"/>
    <row r="5140" customFormat="1" x14ac:dyDescent="0.2"/>
    <row r="5141" customFormat="1" x14ac:dyDescent="0.2"/>
    <row r="5142" customFormat="1" x14ac:dyDescent="0.2"/>
    <row r="5143" customFormat="1" x14ac:dyDescent="0.2"/>
    <row r="5144" customFormat="1" x14ac:dyDescent="0.2"/>
    <row r="5145" customFormat="1" x14ac:dyDescent="0.2"/>
    <row r="5146" customFormat="1" x14ac:dyDescent="0.2"/>
    <row r="5147" customFormat="1" x14ac:dyDescent="0.2"/>
    <row r="5148" customFormat="1" x14ac:dyDescent="0.2"/>
    <row r="5149" customFormat="1" x14ac:dyDescent="0.2"/>
    <row r="5150" customFormat="1" x14ac:dyDescent="0.2"/>
    <row r="5151" customFormat="1" x14ac:dyDescent="0.2"/>
    <row r="5152" customFormat="1" x14ac:dyDescent="0.2"/>
    <row r="5153" customFormat="1" x14ac:dyDescent="0.2"/>
    <row r="5154" customFormat="1" x14ac:dyDescent="0.2"/>
    <row r="5155" customFormat="1" x14ac:dyDescent="0.2"/>
    <row r="5156" customFormat="1" x14ac:dyDescent="0.2"/>
    <row r="5157" customFormat="1" x14ac:dyDescent="0.2"/>
    <row r="5158" customFormat="1" x14ac:dyDescent="0.2"/>
    <row r="5159" customFormat="1" x14ac:dyDescent="0.2"/>
    <row r="5160" customFormat="1" x14ac:dyDescent="0.2"/>
    <row r="5161" customFormat="1" x14ac:dyDescent="0.2"/>
    <row r="5162" customFormat="1" x14ac:dyDescent="0.2"/>
    <row r="5163" customFormat="1" x14ac:dyDescent="0.2"/>
    <row r="5164" customFormat="1" x14ac:dyDescent="0.2"/>
    <row r="5165" customFormat="1" x14ac:dyDescent="0.2"/>
    <row r="5166" customFormat="1" x14ac:dyDescent="0.2"/>
    <row r="5167" customFormat="1" x14ac:dyDescent="0.2"/>
    <row r="5168" customFormat="1" x14ac:dyDescent="0.2"/>
    <row r="5169" customFormat="1" x14ac:dyDescent="0.2"/>
    <row r="5170" customFormat="1" x14ac:dyDescent="0.2"/>
    <row r="5171" customFormat="1" x14ac:dyDescent="0.2"/>
    <row r="5172" customFormat="1" x14ac:dyDescent="0.2"/>
    <row r="5173" customFormat="1" x14ac:dyDescent="0.2"/>
    <row r="5174" customFormat="1" x14ac:dyDescent="0.2"/>
    <row r="5175" customFormat="1" x14ac:dyDescent="0.2"/>
    <row r="5176" customFormat="1" x14ac:dyDescent="0.2"/>
    <row r="5177" customFormat="1" x14ac:dyDescent="0.2"/>
    <row r="5178" customFormat="1" x14ac:dyDescent="0.2"/>
    <row r="5179" customFormat="1" x14ac:dyDescent="0.2"/>
    <row r="5180" customFormat="1" x14ac:dyDescent="0.2"/>
    <row r="5181" customFormat="1" x14ac:dyDescent="0.2"/>
    <row r="5182" customFormat="1" x14ac:dyDescent="0.2"/>
    <row r="5183" customFormat="1" x14ac:dyDescent="0.2"/>
    <row r="5184" customFormat="1" x14ac:dyDescent="0.2"/>
    <row r="5185" customFormat="1" x14ac:dyDescent="0.2"/>
    <row r="5186" customFormat="1" x14ac:dyDescent="0.2"/>
    <row r="5187" customFormat="1" x14ac:dyDescent="0.2"/>
    <row r="5188" customFormat="1" x14ac:dyDescent="0.2"/>
    <row r="5189" customFormat="1" x14ac:dyDescent="0.2"/>
    <row r="5190" customFormat="1" x14ac:dyDescent="0.2"/>
    <row r="5191" customFormat="1" x14ac:dyDescent="0.2"/>
    <row r="5192" customFormat="1" x14ac:dyDescent="0.2"/>
    <row r="5193" customFormat="1" x14ac:dyDescent="0.2"/>
    <row r="5194" customFormat="1" x14ac:dyDescent="0.2"/>
    <row r="5195" customFormat="1" x14ac:dyDescent="0.2"/>
    <row r="5196" customFormat="1" x14ac:dyDescent="0.2"/>
    <row r="5197" customFormat="1" x14ac:dyDescent="0.2"/>
    <row r="5198" customFormat="1" x14ac:dyDescent="0.2"/>
    <row r="5199" customFormat="1" x14ac:dyDescent="0.2"/>
    <row r="5200" customFormat="1" x14ac:dyDescent="0.2"/>
    <row r="5201" customFormat="1" x14ac:dyDescent="0.2"/>
    <row r="5202" customFormat="1" x14ac:dyDescent="0.2"/>
    <row r="5203" customFormat="1" x14ac:dyDescent="0.2"/>
    <row r="5204" customFormat="1" x14ac:dyDescent="0.2"/>
    <row r="5205" customFormat="1" x14ac:dyDescent="0.2"/>
    <row r="5206" customFormat="1" x14ac:dyDescent="0.2"/>
    <row r="5207" customFormat="1" x14ac:dyDescent="0.2"/>
    <row r="5208" customFormat="1" x14ac:dyDescent="0.2"/>
    <row r="5209" customFormat="1" x14ac:dyDescent="0.2"/>
    <row r="5210" customFormat="1" x14ac:dyDescent="0.2"/>
    <row r="5211" customFormat="1" x14ac:dyDescent="0.2"/>
    <row r="5212" customFormat="1" x14ac:dyDescent="0.2"/>
    <row r="5213" customFormat="1" x14ac:dyDescent="0.2"/>
    <row r="5214" customFormat="1" x14ac:dyDescent="0.2"/>
    <row r="5215" customFormat="1" x14ac:dyDescent="0.2"/>
    <row r="5216" customFormat="1" x14ac:dyDescent="0.2"/>
    <row r="5217" customFormat="1" x14ac:dyDescent="0.2"/>
    <row r="5218" customFormat="1" x14ac:dyDescent="0.2"/>
    <row r="5219" customFormat="1" x14ac:dyDescent="0.2"/>
    <row r="5220" customFormat="1" x14ac:dyDescent="0.2"/>
    <row r="5221" customFormat="1" x14ac:dyDescent="0.2"/>
    <row r="5222" customFormat="1" x14ac:dyDescent="0.2"/>
    <row r="5223" customFormat="1" x14ac:dyDescent="0.2"/>
    <row r="5224" customFormat="1" x14ac:dyDescent="0.2"/>
    <row r="5225" customFormat="1" x14ac:dyDescent="0.2"/>
    <row r="5226" customFormat="1" x14ac:dyDescent="0.2"/>
    <row r="5227" customFormat="1" x14ac:dyDescent="0.2"/>
    <row r="5228" customFormat="1" x14ac:dyDescent="0.2"/>
    <row r="5229" customFormat="1" x14ac:dyDescent="0.2"/>
    <row r="5230" customFormat="1" x14ac:dyDescent="0.2"/>
    <row r="5231" customFormat="1" x14ac:dyDescent="0.2"/>
    <row r="5232" customFormat="1" x14ac:dyDescent="0.2"/>
    <row r="5233" customFormat="1" x14ac:dyDescent="0.2"/>
    <row r="5234" customFormat="1" x14ac:dyDescent="0.2"/>
    <row r="5235" customFormat="1" x14ac:dyDescent="0.2"/>
    <row r="5236" customFormat="1" x14ac:dyDescent="0.2"/>
    <row r="5237" customFormat="1" x14ac:dyDescent="0.2"/>
    <row r="5238" customFormat="1" x14ac:dyDescent="0.2"/>
    <row r="5239" customFormat="1" x14ac:dyDescent="0.2"/>
    <row r="5240" customFormat="1" x14ac:dyDescent="0.2"/>
    <row r="5241" customFormat="1" x14ac:dyDescent="0.2"/>
    <row r="5242" customFormat="1" x14ac:dyDescent="0.2"/>
    <row r="5243" customFormat="1" x14ac:dyDescent="0.2"/>
    <row r="5244" customFormat="1" x14ac:dyDescent="0.2"/>
    <row r="5245" customFormat="1" x14ac:dyDescent="0.2"/>
    <row r="5246" customFormat="1" x14ac:dyDescent="0.2"/>
    <row r="5247" customFormat="1" x14ac:dyDescent="0.2"/>
    <row r="5248" customFormat="1" x14ac:dyDescent="0.2"/>
    <row r="5249" customFormat="1" x14ac:dyDescent="0.2"/>
    <row r="5250" customFormat="1" x14ac:dyDescent="0.2"/>
    <row r="5251" customFormat="1" x14ac:dyDescent="0.2"/>
    <row r="5252" customFormat="1" x14ac:dyDescent="0.2"/>
    <row r="5253" customFormat="1" x14ac:dyDescent="0.2"/>
    <row r="5254" customFormat="1" x14ac:dyDescent="0.2"/>
    <row r="5255" customFormat="1" x14ac:dyDescent="0.2"/>
    <row r="5256" customFormat="1" x14ac:dyDescent="0.2"/>
    <row r="5257" customFormat="1" x14ac:dyDescent="0.2"/>
    <row r="5258" customFormat="1" x14ac:dyDescent="0.2"/>
    <row r="5259" customFormat="1" x14ac:dyDescent="0.2"/>
    <row r="5260" customFormat="1" x14ac:dyDescent="0.2"/>
    <row r="5261" customFormat="1" x14ac:dyDescent="0.2"/>
    <row r="5262" customFormat="1" x14ac:dyDescent="0.2"/>
    <row r="5263" customFormat="1" x14ac:dyDescent="0.2"/>
    <row r="5264" customFormat="1" x14ac:dyDescent="0.2"/>
    <row r="5265" customFormat="1" x14ac:dyDescent="0.2"/>
    <row r="5266" customFormat="1" x14ac:dyDescent="0.2"/>
    <row r="5267" customFormat="1" x14ac:dyDescent="0.2"/>
    <row r="5268" customFormat="1" x14ac:dyDescent="0.2"/>
    <row r="5269" customFormat="1" x14ac:dyDescent="0.2"/>
    <row r="5270" customFormat="1" x14ac:dyDescent="0.2"/>
    <row r="5271" customFormat="1" x14ac:dyDescent="0.2"/>
    <row r="5272" customFormat="1" x14ac:dyDescent="0.2"/>
    <row r="5273" customFormat="1" x14ac:dyDescent="0.2"/>
    <row r="5274" customFormat="1" x14ac:dyDescent="0.2"/>
    <row r="5275" customFormat="1" x14ac:dyDescent="0.2"/>
    <row r="5276" customFormat="1" x14ac:dyDescent="0.2"/>
    <row r="5277" customFormat="1" x14ac:dyDescent="0.2"/>
    <row r="5278" customFormat="1" x14ac:dyDescent="0.2"/>
    <row r="5279" customFormat="1" x14ac:dyDescent="0.2"/>
    <row r="5280" customFormat="1" x14ac:dyDescent="0.2"/>
    <row r="5281" customFormat="1" x14ac:dyDescent="0.2"/>
    <row r="5282" customFormat="1" x14ac:dyDescent="0.2"/>
    <row r="5283" customFormat="1" x14ac:dyDescent="0.2"/>
    <row r="5284" customFormat="1" x14ac:dyDescent="0.2"/>
    <row r="5285" customFormat="1" x14ac:dyDescent="0.2"/>
    <row r="5286" customFormat="1" x14ac:dyDescent="0.2"/>
    <row r="5287" customFormat="1" x14ac:dyDescent="0.2"/>
    <row r="5288" customFormat="1" x14ac:dyDescent="0.2"/>
    <row r="5289" customFormat="1" x14ac:dyDescent="0.2"/>
    <row r="5290" customFormat="1" x14ac:dyDescent="0.2"/>
    <row r="5291" customFormat="1" x14ac:dyDescent="0.2"/>
    <row r="5292" customFormat="1" x14ac:dyDescent="0.2"/>
    <row r="5293" customFormat="1" x14ac:dyDescent="0.2"/>
    <row r="5294" customFormat="1" x14ac:dyDescent="0.2"/>
    <row r="5295" customFormat="1" x14ac:dyDescent="0.2"/>
    <row r="5296" customFormat="1" x14ac:dyDescent="0.2"/>
    <row r="5297" customFormat="1" x14ac:dyDescent="0.2"/>
    <row r="5298" customFormat="1" x14ac:dyDescent="0.2"/>
    <row r="5299" customFormat="1" x14ac:dyDescent="0.2"/>
    <row r="5300" customFormat="1" x14ac:dyDescent="0.2"/>
    <row r="5301" customFormat="1" x14ac:dyDescent="0.2"/>
    <row r="5302" customFormat="1" x14ac:dyDescent="0.2"/>
    <row r="5303" customFormat="1" x14ac:dyDescent="0.2"/>
    <row r="5304" customFormat="1" x14ac:dyDescent="0.2"/>
    <row r="5305" customFormat="1" x14ac:dyDescent="0.2"/>
    <row r="5306" customFormat="1" x14ac:dyDescent="0.2"/>
    <row r="5307" customFormat="1" x14ac:dyDescent="0.2"/>
    <row r="5308" customFormat="1" x14ac:dyDescent="0.2"/>
    <row r="5309" customFormat="1" x14ac:dyDescent="0.2"/>
    <row r="5310" customFormat="1" x14ac:dyDescent="0.2"/>
    <row r="5311" customFormat="1" x14ac:dyDescent="0.2"/>
    <row r="5312" customFormat="1" x14ac:dyDescent="0.2"/>
    <row r="5313" customFormat="1" x14ac:dyDescent="0.2"/>
    <row r="5314" customFormat="1" x14ac:dyDescent="0.2"/>
    <row r="5315" customFormat="1" x14ac:dyDescent="0.2"/>
    <row r="5316" customFormat="1" x14ac:dyDescent="0.2"/>
    <row r="5317" customFormat="1" x14ac:dyDescent="0.2"/>
    <row r="5318" customFormat="1" x14ac:dyDescent="0.2"/>
    <row r="5319" customFormat="1" x14ac:dyDescent="0.2"/>
    <row r="5320" customFormat="1" x14ac:dyDescent="0.2"/>
    <row r="5321" customFormat="1" x14ac:dyDescent="0.2"/>
    <row r="5322" customFormat="1" x14ac:dyDescent="0.2"/>
    <row r="5323" customFormat="1" x14ac:dyDescent="0.2"/>
    <row r="5324" customFormat="1" x14ac:dyDescent="0.2"/>
    <row r="5325" customFormat="1" x14ac:dyDescent="0.2"/>
    <row r="5326" customFormat="1" x14ac:dyDescent="0.2"/>
    <row r="5327" customFormat="1" x14ac:dyDescent="0.2"/>
    <row r="5328" customFormat="1" x14ac:dyDescent="0.2"/>
    <row r="5329" customFormat="1" x14ac:dyDescent="0.2"/>
    <row r="5330" customFormat="1" x14ac:dyDescent="0.2"/>
    <row r="5331" customFormat="1" x14ac:dyDescent="0.2"/>
    <row r="5332" customFormat="1" x14ac:dyDescent="0.2"/>
    <row r="5333" customFormat="1" x14ac:dyDescent="0.2"/>
    <row r="5334" customFormat="1" x14ac:dyDescent="0.2"/>
    <row r="5335" customFormat="1" x14ac:dyDescent="0.2"/>
    <row r="5336" customFormat="1" x14ac:dyDescent="0.2"/>
    <row r="5337" customFormat="1" x14ac:dyDescent="0.2"/>
    <row r="5338" customFormat="1" x14ac:dyDescent="0.2"/>
    <row r="5339" customFormat="1" x14ac:dyDescent="0.2"/>
    <row r="5340" customFormat="1" x14ac:dyDescent="0.2"/>
    <row r="5341" customFormat="1" x14ac:dyDescent="0.2"/>
    <row r="5342" customFormat="1" x14ac:dyDescent="0.2"/>
    <row r="5343" customFormat="1" x14ac:dyDescent="0.2"/>
    <row r="5344" customFormat="1" x14ac:dyDescent="0.2"/>
    <row r="5345" customFormat="1" x14ac:dyDescent="0.2"/>
    <row r="5346" customFormat="1" x14ac:dyDescent="0.2"/>
    <row r="5347" customFormat="1" x14ac:dyDescent="0.2"/>
    <row r="5348" customFormat="1" x14ac:dyDescent="0.2"/>
    <row r="5349" customFormat="1" x14ac:dyDescent="0.2"/>
    <row r="5350" customFormat="1" x14ac:dyDescent="0.2"/>
    <row r="5351" customFormat="1" x14ac:dyDescent="0.2"/>
    <row r="5352" customFormat="1" x14ac:dyDescent="0.2"/>
    <row r="5353" customFormat="1" x14ac:dyDescent="0.2"/>
    <row r="5354" customFormat="1" x14ac:dyDescent="0.2"/>
    <row r="5355" customFormat="1" x14ac:dyDescent="0.2"/>
    <row r="5356" customFormat="1" x14ac:dyDescent="0.2"/>
    <row r="5357" customFormat="1" x14ac:dyDescent="0.2"/>
    <row r="5358" customFormat="1" x14ac:dyDescent="0.2"/>
    <row r="5359" customFormat="1" x14ac:dyDescent="0.2"/>
    <row r="5360" customFormat="1" x14ac:dyDescent="0.2"/>
    <row r="5361" customFormat="1" x14ac:dyDescent="0.2"/>
    <row r="5362" customFormat="1" x14ac:dyDescent="0.2"/>
    <row r="5363" customFormat="1" x14ac:dyDescent="0.2"/>
    <row r="5364" customFormat="1" x14ac:dyDescent="0.2"/>
    <row r="5365" customFormat="1" x14ac:dyDescent="0.2"/>
    <row r="5366" customFormat="1" x14ac:dyDescent="0.2"/>
    <row r="5367" customFormat="1" x14ac:dyDescent="0.2"/>
    <row r="5368" customFormat="1" x14ac:dyDescent="0.2"/>
    <row r="5369" customFormat="1" x14ac:dyDescent="0.2"/>
    <row r="5370" customFormat="1" x14ac:dyDescent="0.2"/>
    <row r="5371" customFormat="1" x14ac:dyDescent="0.2"/>
    <row r="5372" customFormat="1" x14ac:dyDescent="0.2"/>
    <row r="5373" customFormat="1" x14ac:dyDescent="0.2"/>
    <row r="5374" customFormat="1" x14ac:dyDescent="0.2"/>
    <row r="5375" customFormat="1" x14ac:dyDescent="0.2"/>
    <row r="5376" customFormat="1" x14ac:dyDescent="0.2"/>
    <row r="5377" customFormat="1" x14ac:dyDescent="0.2"/>
    <row r="5378" customFormat="1" x14ac:dyDescent="0.2"/>
    <row r="5379" customFormat="1" x14ac:dyDescent="0.2"/>
    <row r="5380" customFormat="1" x14ac:dyDescent="0.2"/>
    <row r="5381" customFormat="1" x14ac:dyDescent="0.2"/>
    <row r="5382" customFormat="1" x14ac:dyDescent="0.2"/>
    <row r="5383" customFormat="1" x14ac:dyDescent="0.2"/>
    <row r="5384" customFormat="1" x14ac:dyDescent="0.2"/>
    <row r="5385" customFormat="1" x14ac:dyDescent="0.2"/>
    <row r="5386" customFormat="1" x14ac:dyDescent="0.2"/>
    <row r="5387" customFormat="1" x14ac:dyDescent="0.2"/>
    <row r="5388" customFormat="1" x14ac:dyDescent="0.2"/>
    <row r="5389" customFormat="1" x14ac:dyDescent="0.2"/>
    <row r="5390" customFormat="1" x14ac:dyDescent="0.2"/>
    <row r="5391" customFormat="1" x14ac:dyDescent="0.2"/>
    <row r="5392" customFormat="1" x14ac:dyDescent="0.2"/>
    <row r="5393" customFormat="1" x14ac:dyDescent="0.2"/>
    <row r="5394" customFormat="1" x14ac:dyDescent="0.2"/>
    <row r="5395" customFormat="1" x14ac:dyDescent="0.2"/>
    <row r="5396" customFormat="1" x14ac:dyDescent="0.2"/>
    <row r="5397" customFormat="1" x14ac:dyDescent="0.2"/>
    <row r="5398" customFormat="1" x14ac:dyDescent="0.2"/>
    <row r="5399" customFormat="1" x14ac:dyDescent="0.2"/>
    <row r="5400" customFormat="1" x14ac:dyDescent="0.2"/>
    <row r="5401" customFormat="1" x14ac:dyDescent="0.2"/>
    <row r="5402" customFormat="1" x14ac:dyDescent="0.2"/>
    <row r="5403" customFormat="1" x14ac:dyDescent="0.2"/>
    <row r="5404" customFormat="1" x14ac:dyDescent="0.2"/>
    <row r="5405" customFormat="1" x14ac:dyDescent="0.2"/>
    <row r="5406" customFormat="1" x14ac:dyDescent="0.2"/>
    <row r="5407" customFormat="1" x14ac:dyDescent="0.2"/>
    <row r="5408" customFormat="1" x14ac:dyDescent="0.2"/>
    <row r="5409" customFormat="1" x14ac:dyDescent="0.2"/>
    <row r="5410" customFormat="1" x14ac:dyDescent="0.2"/>
    <row r="5411" customFormat="1" x14ac:dyDescent="0.2"/>
    <row r="5412" customFormat="1" x14ac:dyDescent="0.2"/>
    <row r="5413" customFormat="1" x14ac:dyDescent="0.2"/>
    <row r="5414" customFormat="1" x14ac:dyDescent="0.2"/>
    <row r="5415" customFormat="1" x14ac:dyDescent="0.2"/>
    <row r="5416" customFormat="1" x14ac:dyDescent="0.2"/>
    <row r="5417" customFormat="1" x14ac:dyDescent="0.2"/>
    <row r="5418" customFormat="1" x14ac:dyDescent="0.2"/>
    <row r="5419" customFormat="1" x14ac:dyDescent="0.2"/>
    <row r="5420" customFormat="1" x14ac:dyDescent="0.2"/>
    <row r="5421" customFormat="1" x14ac:dyDescent="0.2"/>
    <row r="5422" customFormat="1" x14ac:dyDescent="0.2"/>
    <row r="5423" customFormat="1" x14ac:dyDescent="0.2"/>
    <row r="5424" customFormat="1" x14ac:dyDescent="0.2"/>
    <row r="5425" customFormat="1" x14ac:dyDescent="0.2"/>
    <row r="5426" customFormat="1" x14ac:dyDescent="0.2"/>
    <row r="5427" customFormat="1" x14ac:dyDescent="0.2"/>
    <row r="5428" customFormat="1" x14ac:dyDescent="0.2"/>
    <row r="5429" customFormat="1" x14ac:dyDescent="0.2"/>
    <row r="5430" customFormat="1" x14ac:dyDescent="0.2"/>
    <row r="5431" customFormat="1" x14ac:dyDescent="0.2"/>
    <row r="5432" customFormat="1" x14ac:dyDescent="0.2"/>
    <row r="5433" customFormat="1" x14ac:dyDescent="0.2"/>
    <row r="5434" customFormat="1" x14ac:dyDescent="0.2"/>
    <row r="5435" customFormat="1" x14ac:dyDescent="0.2"/>
    <row r="5436" customFormat="1" x14ac:dyDescent="0.2"/>
    <row r="5437" customFormat="1" x14ac:dyDescent="0.2"/>
    <row r="5438" customFormat="1" x14ac:dyDescent="0.2"/>
    <row r="5439" customFormat="1" x14ac:dyDescent="0.2"/>
    <row r="5440" customFormat="1" x14ac:dyDescent="0.2"/>
    <row r="5441" customFormat="1" x14ac:dyDescent="0.2"/>
    <row r="5442" customFormat="1" x14ac:dyDescent="0.2"/>
    <row r="5443" customFormat="1" x14ac:dyDescent="0.2"/>
    <row r="5444" customFormat="1" x14ac:dyDescent="0.2"/>
    <row r="5445" customFormat="1" x14ac:dyDescent="0.2"/>
    <row r="5446" customFormat="1" x14ac:dyDescent="0.2"/>
    <row r="5447" customFormat="1" x14ac:dyDescent="0.2"/>
    <row r="5448" customFormat="1" x14ac:dyDescent="0.2"/>
    <row r="5449" customFormat="1" x14ac:dyDescent="0.2"/>
    <row r="5450" customFormat="1" x14ac:dyDescent="0.2"/>
    <row r="5451" customFormat="1" x14ac:dyDescent="0.2"/>
    <row r="5452" customFormat="1" x14ac:dyDescent="0.2"/>
    <row r="5453" customFormat="1" x14ac:dyDescent="0.2"/>
    <row r="5454" customFormat="1" x14ac:dyDescent="0.2"/>
    <row r="5455" customFormat="1" x14ac:dyDescent="0.2"/>
    <row r="5456" customFormat="1" x14ac:dyDescent="0.2"/>
    <row r="5457" customFormat="1" x14ac:dyDescent="0.2"/>
    <row r="5458" customFormat="1" x14ac:dyDescent="0.2"/>
    <row r="5459" customFormat="1" x14ac:dyDescent="0.2"/>
    <row r="5460" customFormat="1" x14ac:dyDescent="0.2"/>
    <row r="5461" customFormat="1" x14ac:dyDescent="0.2"/>
    <row r="5462" customFormat="1" x14ac:dyDescent="0.2"/>
    <row r="5463" customFormat="1" x14ac:dyDescent="0.2"/>
    <row r="5464" customFormat="1" x14ac:dyDescent="0.2"/>
    <row r="5465" customFormat="1" x14ac:dyDescent="0.2"/>
    <row r="5466" customFormat="1" x14ac:dyDescent="0.2"/>
    <row r="5467" customFormat="1" x14ac:dyDescent="0.2"/>
    <row r="5468" customFormat="1" x14ac:dyDescent="0.2"/>
    <row r="5469" customFormat="1" x14ac:dyDescent="0.2"/>
    <row r="5470" customFormat="1" x14ac:dyDescent="0.2"/>
    <row r="5471" customFormat="1" x14ac:dyDescent="0.2"/>
    <row r="5472" customFormat="1" x14ac:dyDescent="0.2"/>
    <row r="5473" customFormat="1" x14ac:dyDescent="0.2"/>
    <row r="5474" customFormat="1" x14ac:dyDescent="0.2"/>
    <row r="5475" customFormat="1" x14ac:dyDescent="0.2"/>
    <row r="5476" customFormat="1" x14ac:dyDescent="0.2"/>
    <row r="5477" customFormat="1" x14ac:dyDescent="0.2"/>
    <row r="5478" customFormat="1" x14ac:dyDescent="0.2"/>
    <row r="5479" customFormat="1" x14ac:dyDescent="0.2"/>
    <row r="5480" customFormat="1" x14ac:dyDescent="0.2"/>
    <row r="5481" customFormat="1" x14ac:dyDescent="0.2"/>
    <row r="5482" customFormat="1" x14ac:dyDescent="0.2"/>
    <row r="5483" customFormat="1" x14ac:dyDescent="0.2"/>
    <row r="5484" customFormat="1" x14ac:dyDescent="0.2"/>
    <row r="5485" customFormat="1" x14ac:dyDescent="0.2"/>
    <row r="5486" customFormat="1" x14ac:dyDescent="0.2"/>
    <row r="5487" customFormat="1" x14ac:dyDescent="0.2"/>
    <row r="5488" customFormat="1" x14ac:dyDescent="0.2"/>
    <row r="5489" customFormat="1" x14ac:dyDescent="0.2"/>
    <row r="5490" customFormat="1" x14ac:dyDescent="0.2"/>
    <row r="5491" customFormat="1" x14ac:dyDescent="0.2"/>
    <row r="5492" customFormat="1" x14ac:dyDescent="0.2"/>
    <row r="5493" customFormat="1" x14ac:dyDescent="0.2"/>
    <row r="5494" customFormat="1" x14ac:dyDescent="0.2"/>
    <row r="5495" customFormat="1" x14ac:dyDescent="0.2"/>
    <row r="5496" customFormat="1" x14ac:dyDescent="0.2"/>
    <row r="5497" customFormat="1" x14ac:dyDescent="0.2"/>
    <row r="5498" customFormat="1" x14ac:dyDescent="0.2"/>
    <row r="5499" customFormat="1" x14ac:dyDescent="0.2"/>
    <row r="5500" customFormat="1" x14ac:dyDescent="0.2"/>
    <row r="5501" customFormat="1" x14ac:dyDescent="0.2"/>
    <row r="5502" customFormat="1" x14ac:dyDescent="0.2"/>
    <row r="5503" customFormat="1" x14ac:dyDescent="0.2"/>
    <row r="5504" customFormat="1" x14ac:dyDescent="0.2"/>
    <row r="5505" customFormat="1" x14ac:dyDescent="0.2"/>
    <row r="5506" customFormat="1" x14ac:dyDescent="0.2"/>
    <row r="5507" customFormat="1" x14ac:dyDescent="0.2"/>
    <row r="5508" customFormat="1" x14ac:dyDescent="0.2"/>
    <row r="5509" customFormat="1" x14ac:dyDescent="0.2"/>
    <row r="5510" customFormat="1" x14ac:dyDescent="0.2"/>
    <row r="5511" customFormat="1" x14ac:dyDescent="0.2"/>
    <row r="5512" customFormat="1" x14ac:dyDescent="0.2"/>
    <row r="5513" customFormat="1" x14ac:dyDescent="0.2"/>
    <row r="5514" customFormat="1" x14ac:dyDescent="0.2"/>
    <row r="5515" customFormat="1" x14ac:dyDescent="0.2"/>
    <row r="5516" customFormat="1" x14ac:dyDescent="0.2"/>
    <row r="5517" customFormat="1" x14ac:dyDescent="0.2"/>
    <row r="5518" customFormat="1" x14ac:dyDescent="0.2"/>
    <row r="5519" customFormat="1" x14ac:dyDescent="0.2"/>
    <row r="5520" customFormat="1" x14ac:dyDescent="0.2"/>
    <row r="5521" customFormat="1" x14ac:dyDescent="0.2"/>
    <row r="5522" customFormat="1" x14ac:dyDescent="0.2"/>
    <row r="5523" customFormat="1" x14ac:dyDescent="0.2"/>
    <row r="5524" customFormat="1" x14ac:dyDescent="0.2"/>
    <row r="5525" customFormat="1" x14ac:dyDescent="0.2"/>
    <row r="5526" customFormat="1" x14ac:dyDescent="0.2"/>
    <row r="5527" customFormat="1" x14ac:dyDescent="0.2"/>
    <row r="5528" customFormat="1" x14ac:dyDescent="0.2"/>
    <row r="5529" customFormat="1" x14ac:dyDescent="0.2"/>
    <row r="5530" customFormat="1" x14ac:dyDescent="0.2"/>
    <row r="5531" customFormat="1" x14ac:dyDescent="0.2"/>
    <row r="5532" customFormat="1" x14ac:dyDescent="0.2"/>
    <row r="5533" customFormat="1" x14ac:dyDescent="0.2"/>
    <row r="5534" customFormat="1" x14ac:dyDescent="0.2"/>
    <row r="5535" customFormat="1" x14ac:dyDescent="0.2"/>
    <row r="5536" customFormat="1" x14ac:dyDescent="0.2"/>
    <row r="5537" customFormat="1" x14ac:dyDescent="0.2"/>
    <row r="5538" customFormat="1" x14ac:dyDescent="0.2"/>
    <row r="5539" customFormat="1" x14ac:dyDescent="0.2"/>
    <row r="5540" customFormat="1" x14ac:dyDescent="0.2"/>
    <row r="5541" customFormat="1" x14ac:dyDescent="0.2"/>
    <row r="5542" customFormat="1" x14ac:dyDescent="0.2"/>
    <row r="5543" customFormat="1" x14ac:dyDescent="0.2"/>
    <row r="5544" customFormat="1" x14ac:dyDescent="0.2"/>
    <row r="5545" customFormat="1" x14ac:dyDescent="0.2"/>
    <row r="5546" customFormat="1" x14ac:dyDescent="0.2"/>
    <row r="5547" customFormat="1" x14ac:dyDescent="0.2"/>
    <row r="5548" customFormat="1" x14ac:dyDescent="0.2"/>
    <row r="5549" customFormat="1" x14ac:dyDescent="0.2"/>
    <row r="5550" customFormat="1" x14ac:dyDescent="0.2"/>
    <row r="5551" customFormat="1" x14ac:dyDescent="0.2"/>
    <row r="5552" customFormat="1" x14ac:dyDescent="0.2"/>
    <row r="5553" customFormat="1" x14ac:dyDescent="0.2"/>
    <row r="5554" customFormat="1" x14ac:dyDescent="0.2"/>
    <row r="5555" customFormat="1" x14ac:dyDescent="0.2"/>
    <row r="5556" customFormat="1" x14ac:dyDescent="0.2"/>
    <row r="5557" customFormat="1" x14ac:dyDescent="0.2"/>
    <row r="5558" customFormat="1" x14ac:dyDescent="0.2"/>
    <row r="5559" customFormat="1" x14ac:dyDescent="0.2"/>
    <row r="5560" customFormat="1" x14ac:dyDescent="0.2"/>
    <row r="5561" customFormat="1" x14ac:dyDescent="0.2"/>
    <row r="5562" customFormat="1" x14ac:dyDescent="0.2"/>
    <row r="5563" customFormat="1" x14ac:dyDescent="0.2"/>
    <row r="5564" customFormat="1" x14ac:dyDescent="0.2"/>
    <row r="5565" customFormat="1" x14ac:dyDescent="0.2"/>
    <row r="5566" customFormat="1" x14ac:dyDescent="0.2"/>
    <row r="5567" customFormat="1" x14ac:dyDescent="0.2"/>
    <row r="5568" customFormat="1" x14ac:dyDescent="0.2"/>
    <row r="5569" customFormat="1" x14ac:dyDescent="0.2"/>
    <row r="5570" customFormat="1" x14ac:dyDescent="0.2"/>
    <row r="5571" customFormat="1" x14ac:dyDescent="0.2"/>
    <row r="5572" customFormat="1" x14ac:dyDescent="0.2"/>
    <row r="5573" customFormat="1" x14ac:dyDescent="0.2"/>
    <row r="5574" customFormat="1" x14ac:dyDescent="0.2"/>
    <row r="5575" customFormat="1" x14ac:dyDescent="0.2"/>
    <row r="5576" customFormat="1" x14ac:dyDescent="0.2"/>
    <row r="5577" customFormat="1" x14ac:dyDescent="0.2"/>
    <row r="5578" customFormat="1" x14ac:dyDescent="0.2"/>
    <row r="5579" customFormat="1" x14ac:dyDescent="0.2"/>
    <row r="5580" customFormat="1" x14ac:dyDescent="0.2"/>
    <row r="5581" customFormat="1" x14ac:dyDescent="0.2"/>
    <row r="5582" customFormat="1" x14ac:dyDescent="0.2"/>
    <row r="5583" customFormat="1" x14ac:dyDescent="0.2"/>
    <row r="5584" customFormat="1" x14ac:dyDescent="0.2"/>
    <row r="5585" customFormat="1" x14ac:dyDescent="0.2"/>
    <row r="5586" customFormat="1" x14ac:dyDescent="0.2"/>
    <row r="5587" customFormat="1" x14ac:dyDescent="0.2"/>
    <row r="5588" customFormat="1" x14ac:dyDescent="0.2"/>
    <row r="5589" customFormat="1" x14ac:dyDescent="0.2"/>
    <row r="5590" customFormat="1" x14ac:dyDescent="0.2"/>
    <row r="5591" customFormat="1" x14ac:dyDescent="0.2"/>
    <row r="5592" customFormat="1" x14ac:dyDescent="0.2"/>
    <row r="5593" customFormat="1" x14ac:dyDescent="0.2"/>
    <row r="5594" customFormat="1" x14ac:dyDescent="0.2"/>
    <row r="5595" customFormat="1" x14ac:dyDescent="0.2"/>
    <row r="5596" customFormat="1" x14ac:dyDescent="0.2"/>
    <row r="5597" customFormat="1" x14ac:dyDescent="0.2"/>
    <row r="5598" customFormat="1" x14ac:dyDescent="0.2"/>
    <row r="5599" customFormat="1" x14ac:dyDescent="0.2"/>
    <row r="5600" customFormat="1" x14ac:dyDescent="0.2"/>
    <row r="5601" customFormat="1" x14ac:dyDescent="0.2"/>
    <row r="5602" customFormat="1" x14ac:dyDescent="0.2"/>
    <row r="5603" customFormat="1" x14ac:dyDescent="0.2"/>
    <row r="5604" customFormat="1" x14ac:dyDescent="0.2"/>
    <row r="5605" customFormat="1" x14ac:dyDescent="0.2"/>
    <row r="5606" customFormat="1" x14ac:dyDescent="0.2"/>
    <row r="5607" customFormat="1" x14ac:dyDescent="0.2"/>
    <row r="5608" customFormat="1" x14ac:dyDescent="0.2"/>
    <row r="5609" customFormat="1" x14ac:dyDescent="0.2"/>
    <row r="5610" customFormat="1" x14ac:dyDescent="0.2"/>
    <row r="5611" customFormat="1" x14ac:dyDescent="0.2"/>
    <row r="5612" customFormat="1" x14ac:dyDescent="0.2"/>
    <row r="5613" customFormat="1" x14ac:dyDescent="0.2"/>
    <row r="5614" customFormat="1" x14ac:dyDescent="0.2"/>
    <row r="5615" customFormat="1" x14ac:dyDescent="0.2"/>
    <row r="5616" customFormat="1" x14ac:dyDescent="0.2"/>
    <row r="5617" customFormat="1" x14ac:dyDescent="0.2"/>
    <row r="5618" customFormat="1" x14ac:dyDescent="0.2"/>
    <row r="5619" customFormat="1" x14ac:dyDescent="0.2"/>
    <row r="5620" customFormat="1" x14ac:dyDescent="0.2"/>
    <row r="5621" customFormat="1" x14ac:dyDescent="0.2"/>
    <row r="5622" customFormat="1" x14ac:dyDescent="0.2"/>
    <row r="5623" customFormat="1" x14ac:dyDescent="0.2"/>
    <row r="5624" customFormat="1" x14ac:dyDescent="0.2"/>
    <row r="5625" customFormat="1" x14ac:dyDescent="0.2"/>
    <row r="5626" customFormat="1" x14ac:dyDescent="0.2"/>
    <row r="5627" customFormat="1" x14ac:dyDescent="0.2"/>
    <row r="5628" customFormat="1" x14ac:dyDescent="0.2"/>
    <row r="5629" customFormat="1" x14ac:dyDescent="0.2"/>
    <row r="5630" customFormat="1" x14ac:dyDescent="0.2"/>
    <row r="5631" customFormat="1" x14ac:dyDescent="0.2"/>
    <row r="5632" customFormat="1" x14ac:dyDescent="0.2"/>
    <row r="5633" customFormat="1" x14ac:dyDescent="0.2"/>
    <row r="5634" customFormat="1" x14ac:dyDescent="0.2"/>
    <row r="5635" customFormat="1" x14ac:dyDescent="0.2"/>
    <row r="5636" customFormat="1" x14ac:dyDescent="0.2"/>
    <row r="5637" customFormat="1" x14ac:dyDescent="0.2"/>
    <row r="5638" customFormat="1" x14ac:dyDescent="0.2"/>
    <row r="5639" customFormat="1" x14ac:dyDescent="0.2"/>
    <row r="5640" customFormat="1" x14ac:dyDescent="0.2"/>
    <row r="5641" customFormat="1" x14ac:dyDescent="0.2"/>
    <row r="5642" customFormat="1" x14ac:dyDescent="0.2"/>
    <row r="5643" customFormat="1" x14ac:dyDescent="0.2"/>
    <row r="5644" customFormat="1" x14ac:dyDescent="0.2"/>
    <row r="5645" customFormat="1" x14ac:dyDescent="0.2"/>
    <row r="5646" customFormat="1" x14ac:dyDescent="0.2"/>
    <row r="5647" customFormat="1" x14ac:dyDescent="0.2"/>
    <row r="5648" customFormat="1" x14ac:dyDescent="0.2"/>
    <row r="5649" customFormat="1" x14ac:dyDescent="0.2"/>
    <row r="5650" customFormat="1" x14ac:dyDescent="0.2"/>
    <row r="5651" customFormat="1" x14ac:dyDescent="0.2"/>
    <row r="5652" customFormat="1" x14ac:dyDescent="0.2"/>
    <row r="5653" customFormat="1" x14ac:dyDescent="0.2"/>
    <row r="5654" customFormat="1" x14ac:dyDescent="0.2"/>
    <row r="5655" customFormat="1" x14ac:dyDescent="0.2"/>
    <row r="5656" customFormat="1" x14ac:dyDescent="0.2"/>
    <row r="5657" customFormat="1" x14ac:dyDescent="0.2"/>
    <row r="5658" customFormat="1" x14ac:dyDescent="0.2"/>
    <row r="5659" customFormat="1" x14ac:dyDescent="0.2"/>
    <row r="5660" customFormat="1" x14ac:dyDescent="0.2"/>
    <row r="5661" customFormat="1" x14ac:dyDescent="0.2"/>
    <row r="5662" customFormat="1" x14ac:dyDescent="0.2"/>
    <row r="5663" customFormat="1" x14ac:dyDescent="0.2"/>
    <row r="5664" customFormat="1" x14ac:dyDescent="0.2"/>
    <row r="5665" customFormat="1" x14ac:dyDescent="0.2"/>
    <row r="5666" customFormat="1" x14ac:dyDescent="0.2"/>
    <row r="5667" customFormat="1" x14ac:dyDescent="0.2"/>
    <row r="5668" customFormat="1" x14ac:dyDescent="0.2"/>
    <row r="5669" customFormat="1" x14ac:dyDescent="0.2"/>
    <row r="5670" customFormat="1" x14ac:dyDescent="0.2"/>
    <row r="5671" customFormat="1" x14ac:dyDescent="0.2"/>
    <row r="5672" customFormat="1" x14ac:dyDescent="0.2"/>
    <row r="5673" customFormat="1" x14ac:dyDescent="0.2"/>
    <row r="5674" customFormat="1" x14ac:dyDescent="0.2"/>
    <row r="5675" customFormat="1" x14ac:dyDescent="0.2"/>
    <row r="5676" customFormat="1" x14ac:dyDescent="0.2"/>
    <row r="5677" customFormat="1" x14ac:dyDescent="0.2"/>
    <row r="5678" customFormat="1" x14ac:dyDescent="0.2"/>
    <row r="5679" customFormat="1" x14ac:dyDescent="0.2"/>
    <row r="5680" customFormat="1" x14ac:dyDescent="0.2"/>
    <row r="5681" customFormat="1" x14ac:dyDescent="0.2"/>
    <row r="5682" customFormat="1" x14ac:dyDescent="0.2"/>
    <row r="5683" customFormat="1" x14ac:dyDescent="0.2"/>
    <row r="5684" customFormat="1" x14ac:dyDescent="0.2"/>
    <row r="5685" customFormat="1" x14ac:dyDescent="0.2"/>
    <row r="5686" customFormat="1" x14ac:dyDescent="0.2"/>
    <row r="5687" customFormat="1" x14ac:dyDescent="0.2"/>
    <row r="5688" customFormat="1" x14ac:dyDescent="0.2"/>
    <row r="5689" customFormat="1" x14ac:dyDescent="0.2"/>
    <row r="5690" customFormat="1" x14ac:dyDescent="0.2"/>
    <row r="5691" customFormat="1" x14ac:dyDescent="0.2"/>
    <row r="5692" customFormat="1" x14ac:dyDescent="0.2"/>
    <row r="5693" customFormat="1" x14ac:dyDescent="0.2"/>
    <row r="5694" customFormat="1" x14ac:dyDescent="0.2"/>
    <row r="5695" customFormat="1" x14ac:dyDescent="0.2"/>
    <row r="5696" customFormat="1" x14ac:dyDescent="0.2"/>
    <row r="5697" customFormat="1" x14ac:dyDescent="0.2"/>
    <row r="5698" customFormat="1" x14ac:dyDescent="0.2"/>
    <row r="5699" customFormat="1" x14ac:dyDescent="0.2"/>
    <row r="5700" customFormat="1" x14ac:dyDescent="0.2"/>
    <row r="5701" customFormat="1" x14ac:dyDescent="0.2"/>
    <row r="5702" customFormat="1" x14ac:dyDescent="0.2"/>
    <row r="5703" customFormat="1" x14ac:dyDescent="0.2"/>
    <row r="5704" customFormat="1" x14ac:dyDescent="0.2"/>
    <row r="5705" customFormat="1" x14ac:dyDescent="0.2"/>
    <row r="5706" customFormat="1" x14ac:dyDescent="0.2"/>
    <row r="5707" customFormat="1" x14ac:dyDescent="0.2"/>
    <row r="5708" customFormat="1" x14ac:dyDescent="0.2"/>
    <row r="5709" customFormat="1" x14ac:dyDescent="0.2"/>
    <row r="5710" customFormat="1" x14ac:dyDescent="0.2"/>
    <row r="5711" customFormat="1" x14ac:dyDescent="0.2"/>
    <row r="5712" customFormat="1" x14ac:dyDescent="0.2"/>
    <row r="5713" customFormat="1" x14ac:dyDescent="0.2"/>
    <row r="5714" customFormat="1" x14ac:dyDescent="0.2"/>
    <row r="5715" customFormat="1" x14ac:dyDescent="0.2"/>
    <row r="5716" customFormat="1" x14ac:dyDescent="0.2"/>
    <row r="5717" customFormat="1" x14ac:dyDescent="0.2"/>
    <row r="5718" customFormat="1" x14ac:dyDescent="0.2"/>
    <row r="5719" customFormat="1" x14ac:dyDescent="0.2"/>
    <row r="5720" customFormat="1" x14ac:dyDescent="0.2"/>
    <row r="5721" customFormat="1" x14ac:dyDescent="0.2"/>
    <row r="5722" customFormat="1" x14ac:dyDescent="0.2"/>
    <row r="5723" customFormat="1" x14ac:dyDescent="0.2"/>
    <row r="5724" customFormat="1" x14ac:dyDescent="0.2"/>
    <row r="5725" customFormat="1" x14ac:dyDescent="0.2"/>
    <row r="5726" customFormat="1" x14ac:dyDescent="0.2"/>
    <row r="5727" customFormat="1" x14ac:dyDescent="0.2"/>
    <row r="5728" customFormat="1" x14ac:dyDescent="0.2"/>
    <row r="5729" customFormat="1" x14ac:dyDescent="0.2"/>
    <row r="5730" customFormat="1" x14ac:dyDescent="0.2"/>
    <row r="5731" customFormat="1" x14ac:dyDescent="0.2"/>
    <row r="5732" customFormat="1" x14ac:dyDescent="0.2"/>
    <row r="5733" customFormat="1" x14ac:dyDescent="0.2"/>
    <row r="5734" customFormat="1" x14ac:dyDescent="0.2"/>
    <row r="5735" customFormat="1" x14ac:dyDescent="0.2"/>
    <row r="5736" customFormat="1" x14ac:dyDescent="0.2"/>
    <row r="5737" customFormat="1" x14ac:dyDescent="0.2"/>
    <row r="5738" customFormat="1" x14ac:dyDescent="0.2"/>
    <row r="5739" customFormat="1" x14ac:dyDescent="0.2"/>
    <row r="5740" customFormat="1" x14ac:dyDescent="0.2"/>
    <row r="5741" customFormat="1" x14ac:dyDescent="0.2"/>
    <row r="5742" customFormat="1" x14ac:dyDescent="0.2"/>
    <row r="5743" customFormat="1" x14ac:dyDescent="0.2"/>
    <row r="5744" customFormat="1" x14ac:dyDescent="0.2"/>
    <row r="5745" customFormat="1" x14ac:dyDescent="0.2"/>
    <row r="5746" customFormat="1" x14ac:dyDescent="0.2"/>
    <row r="5747" customFormat="1" x14ac:dyDescent="0.2"/>
    <row r="5748" customFormat="1" x14ac:dyDescent="0.2"/>
    <row r="5749" customFormat="1" x14ac:dyDescent="0.2"/>
    <row r="5750" customFormat="1" x14ac:dyDescent="0.2"/>
    <row r="5751" customFormat="1" x14ac:dyDescent="0.2"/>
    <row r="5752" customFormat="1" x14ac:dyDescent="0.2"/>
    <row r="5753" customFormat="1" x14ac:dyDescent="0.2"/>
    <row r="5754" customFormat="1" x14ac:dyDescent="0.2"/>
    <row r="5755" customFormat="1" x14ac:dyDescent="0.2"/>
    <row r="5756" customFormat="1" x14ac:dyDescent="0.2"/>
    <row r="5757" customFormat="1" x14ac:dyDescent="0.2"/>
    <row r="5758" customFormat="1" x14ac:dyDescent="0.2"/>
    <row r="5759" customFormat="1" x14ac:dyDescent="0.2"/>
    <row r="5760" customFormat="1" x14ac:dyDescent="0.2"/>
    <row r="5761" customFormat="1" x14ac:dyDescent="0.2"/>
    <row r="5762" customFormat="1" x14ac:dyDescent="0.2"/>
    <row r="5763" customFormat="1" x14ac:dyDescent="0.2"/>
    <row r="5764" customFormat="1" x14ac:dyDescent="0.2"/>
    <row r="5765" customFormat="1" x14ac:dyDescent="0.2"/>
    <row r="5766" customFormat="1" x14ac:dyDescent="0.2"/>
    <row r="5767" customFormat="1" x14ac:dyDescent="0.2"/>
    <row r="5768" customFormat="1" x14ac:dyDescent="0.2"/>
    <row r="5769" customFormat="1" x14ac:dyDescent="0.2"/>
    <row r="5770" customFormat="1" x14ac:dyDescent="0.2"/>
    <row r="5771" customFormat="1" x14ac:dyDescent="0.2"/>
    <row r="5772" customFormat="1" x14ac:dyDescent="0.2"/>
    <row r="5773" customFormat="1" x14ac:dyDescent="0.2"/>
    <row r="5774" customFormat="1" x14ac:dyDescent="0.2"/>
    <row r="5775" customFormat="1" x14ac:dyDescent="0.2"/>
    <row r="5776" customFormat="1" x14ac:dyDescent="0.2"/>
    <row r="5777" customFormat="1" x14ac:dyDescent="0.2"/>
    <row r="5778" customFormat="1" x14ac:dyDescent="0.2"/>
    <row r="5779" customFormat="1" x14ac:dyDescent="0.2"/>
    <row r="5780" customFormat="1" x14ac:dyDescent="0.2"/>
    <row r="5781" customFormat="1" x14ac:dyDescent="0.2"/>
    <row r="5782" customFormat="1" x14ac:dyDescent="0.2"/>
    <row r="5783" customFormat="1" x14ac:dyDescent="0.2"/>
    <row r="5784" customFormat="1" x14ac:dyDescent="0.2"/>
    <row r="5785" customFormat="1" x14ac:dyDescent="0.2"/>
    <row r="5786" customFormat="1" x14ac:dyDescent="0.2"/>
    <row r="5787" customFormat="1" x14ac:dyDescent="0.2"/>
    <row r="5788" customFormat="1" x14ac:dyDescent="0.2"/>
    <row r="5789" customFormat="1" x14ac:dyDescent="0.2"/>
    <row r="5790" customFormat="1" x14ac:dyDescent="0.2"/>
    <row r="5791" customFormat="1" x14ac:dyDescent="0.2"/>
    <row r="5792" customFormat="1" x14ac:dyDescent="0.2"/>
    <row r="5793" customFormat="1" x14ac:dyDescent="0.2"/>
    <row r="5794" customFormat="1" x14ac:dyDescent="0.2"/>
    <row r="5795" customFormat="1" x14ac:dyDescent="0.2"/>
    <row r="5796" customFormat="1" x14ac:dyDescent="0.2"/>
    <row r="5797" customFormat="1" x14ac:dyDescent="0.2"/>
    <row r="5798" customFormat="1" x14ac:dyDescent="0.2"/>
    <row r="5799" customFormat="1" x14ac:dyDescent="0.2"/>
    <row r="5800" customFormat="1" x14ac:dyDescent="0.2"/>
    <row r="5801" customFormat="1" x14ac:dyDescent="0.2"/>
    <row r="5802" customFormat="1" x14ac:dyDescent="0.2"/>
    <row r="5803" customFormat="1" x14ac:dyDescent="0.2"/>
    <row r="5804" customFormat="1" x14ac:dyDescent="0.2"/>
    <row r="5805" customFormat="1" x14ac:dyDescent="0.2"/>
    <row r="5806" customFormat="1" x14ac:dyDescent="0.2"/>
    <row r="5807" customFormat="1" x14ac:dyDescent="0.2"/>
    <row r="5808" customFormat="1" x14ac:dyDescent="0.2"/>
    <row r="5809" customFormat="1" x14ac:dyDescent="0.2"/>
    <row r="5810" customFormat="1" x14ac:dyDescent="0.2"/>
    <row r="5811" customFormat="1" x14ac:dyDescent="0.2"/>
    <row r="5812" customFormat="1" x14ac:dyDescent="0.2"/>
    <row r="5813" customFormat="1" x14ac:dyDescent="0.2"/>
    <row r="5814" customFormat="1" x14ac:dyDescent="0.2"/>
    <row r="5815" customFormat="1" x14ac:dyDescent="0.2"/>
    <row r="5816" customFormat="1" x14ac:dyDescent="0.2"/>
    <row r="5817" customFormat="1" x14ac:dyDescent="0.2"/>
    <row r="5818" customFormat="1" x14ac:dyDescent="0.2"/>
    <row r="5819" customFormat="1" x14ac:dyDescent="0.2"/>
    <row r="5820" customFormat="1" x14ac:dyDescent="0.2"/>
    <row r="5821" customFormat="1" x14ac:dyDescent="0.2"/>
    <row r="5822" customFormat="1" x14ac:dyDescent="0.2"/>
    <row r="5823" customFormat="1" x14ac:dyDescent="0.2"/>
    <row r="5824" customFormat="1" x14ac:dyDescent="0.2"/>
    <row r="5825" customFormat="1" x14ac:dyDescent="0.2"/>
    <row r="5826" customFormat="1" x14ac:dyDescent="0.2"/>
    <row r="5827" customFormat="1" x14ac:dyDescent="0.2"/>
    <row r="5828" customFormat="1" x14ac:dyDescent="0.2"/>
    <row r="5829" customFormat="1" x14ac:dyDescent="0.2"/>
    <row r="5830" customFormat="1" x14ac:dyDescent="0.2"/>
    <row r="5831" customFormat="1" x14ac:dyDescent="0.2"/>
    <row r="5832" customFormat="1" x14ac:dyDescent="0.2"/>
    <row r="5833" customFormat="1" x14ac:dyDescent="0.2"/>
    <row r="5834" customFormat="1" x14ac:dyDescent="0.2"/>
    <row r="5835" customFormat="1" x14ac:dyDescent="0.2"/>
    <row r="5836" customFormat="1" x14ac:dyDescent="0.2"/>
    <row r="5837" customFormat="1" x14ac:dyDescent="0.2"/>
    <row r="5838" customFormat="1" x14ac:dyDescent="0.2"/>
    <row r="5839" customFormat="1" x14ac:dyDescent="0.2"/>
    <row r="5840" customFormat="1" x14ac:dyDescent="0.2"/>
    <row r="5841" customFormat="1" x14ac:dyDescent="0.2"/>
    <row r="5842" customFormat="1" x14ac:dyDescent="0.2"/>
    <row r="5843" customFormat="1" x14ac:dyDescent="0.2"/>
    <row r="5844" customFormat="1" x14ac:dyDescent="0.2"/>
    <row r="5845" customFormat="1" x14ac:dyDescent="0.2"/>
    <row r="5846" customFormat="1" x14ac:dyDescent="0.2"/>
    <row r="5847" customFormat="1" x14ac:dyDescent="0.2"/>
    <row r="5848" customFormat="1" x14ac:dyDescent="0.2"/>
    <row r="5849" customFormat="1" x14ac:dyDescent="0.2"/>
    <row r="5850" customFormat="1" x14ac:dyDescent="0.2"/>
    <row r="5851" customFormat="1" x14ac:dyDescent="0.2"/>
    <row r="5852" customFormat="1" x14ac:dyDescent="0.2"/>
    <row r="5853" customFormat="1" x14ac:dyDescent="0.2"/>
    <row r="5854" customFormat="1" x14ac:dyDescent="0.2"/>
    <row r="5855" customFormat="1" x14ac:dyDescent="0.2"/>
    <row r="5856" customFormat="1" x14ac:dyDescent="0.2"/>
    <row r="5857" customFormat="1" x14ac:dyDescent="0.2"/>
    <row r="5858" customFormat="1" x14ac:dyDescent="0.2"/>
    <row r="5859" customFormat="1" x14ac:dyDescent="0.2"/>
    <row r="5860" customFormat="1" x14ac:dyDescent="0.2"/>
    <row r="5861" customFormat="1" x14ac:dyDescent="0.2"/>
    <row r="5862" customFormat="1" x14ac:dyDescent="0.2"/>
    <row r="5863" customFormat="1" x14ac:dyDescent="0.2"/>
    <row r="5864" customFormat="1" x14ac:dyDescent="0.2"/>
    <row r="5865" customFormat="1" x14ac:dyDescent="0.2"/>
    <row r="5866" customFormat="1" x14ac:dyDescent="0.2"/>
    <row r="5867" customFormat="1" x14ac:dyDescent="0.2"/>
    <row r="5868" customFormat="1" x14ac:dyDescent="0.2"/>
    <row r="5869" customFormat="1" x14ac:dyDescent="0.2"/>
    <row r="5870" customFormat="1" x14ac:dyDescent="0.2"/>
    <row r="5871" customFormat="1" x14ac:dyDescent="0.2"/>
    <row r="5872" customFormat="1" x14ac:dyDescent="0.2"/>
    <row r="5873" customFormat="1" x14ac:dyDescent="0.2"/>
    <row r="5874" customFormat="1" x14ac:dyDescent="0.2"/>
    <row r="5875" customFormat="1" x14ac:dyDescent="0.2"/>
    <row r="5876" customFormat="1" x14ac:dyDescent="0.2"/>
    <row r="5877" customFormat="1" x14ac:dyDescent="0.2"/>
    <row r="5878" customFormat="1" x14ac:dyDescent="0.2"/>
    <row r="5879" customFormat="1" x14ac:dyDescent="0.2"/>
    <row r="5880" customFormat="1" x14ac:dyDescent="0.2"/>
    <row r="5881" customFormat="1" x14ac:dyDescent="0.2"/>
    <row r="5882" customFormat="1" x14ac:dyDescent="0.2"/>
    <row r="5883" customFormat="1" x14ac:dyDescent="0.2"/>
    <row r="5884" customFormat="1" x14ac:dyDescent="0.2"/>
    <row r="5885" customFormat="1" x14ac:dyDescent="0.2"/>
    <row r="5886" customFormat="1" x14ac:dyDescent="0.2"/>
    <row r="5887" customFormat="1" x14ac:dyDescent="0.2"/>
    <row r="5888" customFormat="1" x14ac:dyDescent="0.2"/>
    <row r="5889" customFormat="1" x14ac:dyDescent="0.2"/>
    <row r="5890" customFormat="1" x14ac:dyDescent="0.2"/>
    <row r="5891" customFormat="1" x14ac:dyDescent="0.2"/>
    <row r="5892" customFormat="1" x14ac:dyDescent="0.2"/>
    <row r="5893" customFormat="1" x14ac:dyDescent="0.2"/>
    <row r="5894" customFormat="1" x14ac:dyDescent="0.2"/>
    <row r="5895" customFormat="1" x14ac:dyDescent="0.2"/>
    <row r="5896" customFormat="1" x14ac:dyDescent="0.2"/>
    <row r="5897" customFormat="1" x14ac:dyDescent="0.2"/>
    <row r="5898" customFormat="1" x14ac:dyDescent="0.2"/>
    <row r="5899" customFormat="1" x14ac:dyDescent="0.2"/>
    <row r="5900" customFormat="1" x14ac:dyDescent="0.2"/>
    <row r="5901" customFormat="1" x14ac:dyDescent="0.2"/>
    <row r="5902" customFormat="1" x14ac:dyDescent="0.2"/>
    <row r="5903" customFormat="1" x14ac:dyDescent="0.2"/>
    <row r="5904" customFormat="1" x14ac:dyDescent="0.2"/>
    <row r="5905" customFormat="1" x14ac:dyDescent="0.2"/>
    <row r="5906" customFormat="1" x14ac:dyDescent="0.2"/>
    <row r="5907" customFormat="1" x14ac:dyDescent="0.2"/>
    <row r="5908" customFormat="1" x14ac:dyDescent="0.2"/>
    <row r="5909" customFormat="1" x14ac:dyDescent="0.2"/>
    <row r="5910" customFormat="1" x14ac:dyDescent="0.2"/>
    <row r="5911" customFormat="1" x14ac:dyDescent="0.2"/>
    <row r="5912" customFormat="1" x14ac:dyDescent="0.2"/>
    <row r="5913" customFormat="1" x14ac:dyDescent="0.2"/>
    <row r="5914" customFormat="1" x14ac:dyDescent="0.2"/>
    <row r="5915" customFormat="1" x14ac:dyDescent="0.2"/>
    <row r="5916" customFormat="1" x14ac:dyDescent="0.2"/>
    <row r="5917" customFormat="1" x14ac:dyDescent="0.2"/>
    <row r="5918" customFormat="1" x14ac:dyDescent="0.2"/>
    <row r="5919" customFormat="1" x14ac:dyDescent="0.2"/>
    <row r="5920" customFormat="1" x14ac:dyDescent="0.2"/>
    <row r="5921" customFormat="1" x14ac:dyDescent="0.2"/>
    <row r="5922" customFormat="1" x14ac:dyDescent="0.2"/>
    <row r="5923" customFormat="1" x14ac:dyDescent="0.2"/>
    <row r="5924" customFormat="1" x14ac:dyDescent="0.2"/>
    <row r="5925" customFormat="1" x14ac:dyDescent="0.2"/>
    <row r="5926" customFormat="1" x14ac:dyDescent="0.2"/>
    <row r="5927" customFormat="1" x14ac:dyDescent="0.2"/>
    <row r="5928" customFormat="1" x14ac:dyDescent="0.2"/>
    <row r="5929" customFormat="1" x14ac:dyDescent="0.2"/>
    <row r="5930" customFormat="1" x14ac:dyDescent="0.2"/>
    <row r="5931" customFormat="1" x14ac:dyDescent="0.2"/>
    <row r="5932" customFormat="1" x14ac:dyDescent="0.2"/>
    <row r="5933" customFormat="1" x14ac:dyDescent="0.2"/>
    <row r="5934" customFormat="1" x14ac:dyDescent="0.2"/>
    <row r="5935" customFormat="1" x14ac:dyDescent="0.2"/>
    <row r="5936" customFormat="1" x14ac:dyDescent="0.2"/>
    <row r="5937" customFormat="1" x14ac:dyDescent="0.2"/>
    <row r="5938" customFormat="1" x14ac:dyDescent="0.2"/>
    <row r="5939" customFormat="1" x14ac:dyDescent="0.2"/>
    <row r="5940" customFormat="1" x14ac:dyDescent="0.2"/>
    <row r="5941" customFormat="1" x14ac:dyDescent="0.2"/>
    <row r="5942" customFormat="1" x14ac:dyDescent="0.2"/>
    <row r="5943" customFormat="1" x14ac:dyDescent="0.2"/>
    <row r="5944" customFormat="1" x14ac:dyDescent="0.2"/>
    <row r="5945" customFormat="1" x14ac:dyDescent="0.2"/>
    <row r="5946" customFormat="1" x14ac:dyDescent="0.2"/>
    <row r="5947" customFormat="1" x14ac:dyDescent="0.2"/>
    <row r="5948" customFormat="1" x14ac:dyDescent="0.2"/>
    <row r="5949" customFormat="1" x14ac:dyDescent="0.2"/>
    <row r="5950" customFormat="1" x14ac:dyDescent="0.2"/>
    <row r="5951" customFormat="1" x14ac:dyDescent="0.2"/>
    <row r="5952" customFormat="1" x14ac:dyDescent="0.2"/>
    <row r="5953" customFormat="1" x14ac:dyDescent="0.2"/>
    <row r="5954" customFormat="1" x14ac:dyDescent="0.2"/>
    <row r="5955" customFormat="1" x14ac:dyDescent="0.2"/>
    <row r="5956" customFormat="1" x14ac:dyDescent="0.2"/>
    <row r="5957" customFormat="1" x14ac:dyDescent="0.2"/>
    <row r="5958" customFormat="1" x14ac:dyDescent="0.2"/>
    <row r="5959" customFormat="1" x14ac:dyDescent="0.2"/>
    <row r="5960" customFormat="1" x14ac:dyDescent="0.2"/>
    <row r="5961" customFormat="1" x14ac:dyDescent="0.2"/>
    <row r="5962" customFormat="1" x14ac:dyDescent="0.2"/>
    <row r="5963" customFormat="1" x14ac:dyDescent="0.2"/>
    <row r="5964" customFormat="1" x14ac:dyDescent="0.2"/>
    <row r="5965" customFormat="1" x14ac:dyDescent="0.2"/>
    <row r="5966" customFormat="1" x14ac:dyDescent="0.2"/>
    <row r="5967" customFormat="1" x14ac:dyDescent="0.2"/>
    <row r="5968" customFormat="1" x14ac:dyDescent="0.2"/>
    <row r="5969" customFormat="1" x14ac:dyDescent="0.2"/>
    <row r="5970" customFormat="1" x14ac:dyDescent="0.2"/>
    <row r="5971" customFormat="1" x14ac:dyDescent="0.2"/>
    <row r="5972" customFormat="1" x14ac:dyDescent="0.2"/>
    <row r="5973" customFormat="1" x14ac:dyDescent="0.2"/>
    <row r="5974" customFormat="1" x14ac:dyDescent="0.2"/>
    <row r="5975" customFormat="1" x14ac:dyDescent="0.2"/>
    <row r="5976" customFormat="1" x14ac:dyDescent="0.2"/>
    <row r="5977" customFormat="1" x14ac:dyDescent="0.2"/>
    <row r="5978" customFormat="1" x14ac:dyDescent="0.2"/>
    <row r="5979" customFormat="1" x14ac:dyDescent="0.2"/>
    <row r="5980" customFormat="1" x14ac:dyDescent="0.2"/>
    <row r="5981" customFormat="1" x14ac:dyDescent="0.2"/>
    <row r="5982" customFormat="1" x14ac:dyDescent="0.2"/>
    <row r="5983" customFormat="1" x14ac:dyDescent="0.2"/>
    <row r="5984" customFormat="1" x14ac:dyDescent="0.2"/>
    <row r="5985" customFormat="1" x14ac:dyDescent="0.2"/>
    <row r="5986" customFormat="1" x14ac:dyDescent="0.2"/>
    <row r="5987" customFormat="1" x14ac:dyDescent="0.2"/>
    <row r="5988" customFormat="1" x14ac:dyDescent="0.2"/>
    <row r="5989" customFormat="1" x14ac:dyDescent="0.2"/>
    <row r="5990" customFormat="1" x14ac:dyDescent="0.2"/>
    <row r="5991" customFormat="1" x14ac:dyDescent="0.2"/>
    <row r="5992" customFormat="1" x14ac:dyDescent="0.2"/>
    <row r="5993" customFormat="1" x14ac:dyDescent="0.2"/>
    <row r="5994" customFormat="1" x14ac:dyDescent="0.2"/>
    <row r="5995" customFormat="1" x14ac:dyDescent="0.2"/>
    <row r="5996" customFormat="1" x14ac:dyDescent="0.2"/>
    <row r="5997" customFormat="1" x14ac:dyDescent="0.2"/>
    <row r="5998" customFormat="1" x14ac:dyDescent="0.2"/>
    <row r="5999" customFormat="1" x14ac:dyDescent="0.2"/>
    <row r="6000" customFormat="1" x14ac:dyDescent="0.2"/>
    <row r="6001" customFormat="1" x14ac:dyDescent="0.2"/>
    <row r="6002" customFormat="1" x14ac:dyDescent="0.2"/>
    <row r="6003" customFormat="1" x14ac:dyDescent="0.2"/>
    <row r="6004" customFormat="1" x14ac:dyDescent="0.2"/>
    <row r="6005" customFormat="1" x14ac:dyDescent="0.2"/>
    <row r="6006" customFormat="1" x14ac:dyDescent="0.2"/>
    <row r="6007" customFormat="1" x14ac:dyDescent="0.2"/>
    <row r="6008" customFormat="1" x14ac:dyDescent="0.2"/>
    <row r="6009" customFormat="1" x14ac:dyDescent="0.2"/>
    <row r="6010" customFormat="1" x14ac:dyDescent="0.2"/>
    <row r="6011" customFormat="1" x14ac:dyDescent="0.2"/>
    <row r="6012" customFormat="1" x14ac:dyDescent="0.2"/>
    <row r="6013" customFormat="1" x14ac:dyDescent="0.2"/>
    <row r="6014" customFormat="1" x14ac:dyDescent="0.2"/>
    <row r="6015" customFormat="1" x14ac:dyDescent="0.2"/>
    <row r="6016" customFormat="1" x14ac:dyDescent="0.2"/>
    <row r="6017" customFormat="1" x14ac:dyDescent="0.2"/>
    <row r="6018" customFormat="1" x14ac:dyDescent="0.2"/>
    <row r="6019" customFormat="1" x14ac:dyDescent="0.2"/>
    <row r="6020" customFormat="1" x14ac:dyDescent="0.2"/>
    <row r="6021" customFormat="1" x14ac:dyDescent="0.2"/>
    <row r="6022" customFormat="1" x14ac:dyDescent="0.2"/>
    <row r="6023" customFormat="1" x14ac:dyDescent="0.2"/>
    <row r="6024" customFormat="1" x14ac:dyDescent="0.2"/>
    <row r="6025" customFormat="1" x14ac:dyDescent="0.2"/>
    <row r="6026" customFormat="1" x14ac:dyDescent="0.2"/>
    <row r="6027" customFormat="1" x14ac:dyDescent="0.2"/>
    <row r="6028" customFormat="1" x14ac:dyDescent="0.2"/>
    <row r="6029" customFormat="1" x14ac:dyDescent="0.2"/>
    <row r="6030" customFormat="1" x14ac:dyDescent="0.2"/>
    <row r="6031" customFormat="1" x14ac:dyDescent="0.2"/>
    <row r="6032" customFormat="1" x14ac:dyDescent="0.2"/>
    <row r="6033" customFormat="1" x14ac:dyDescent="0.2"/>
    <row r="6034" customFormat="1" x14ac:dyDescent="0.2"/>
    <row r="6035" customFormat="1" x14ac:dyDescent="0.2"/>
    <row r="6036" customFormat="1" x14ac:dyDescent="0.2"/>
    <row r="6037" customFormat="1" x14ac:dyDescent="0.2"/>
    <row r="6038" customFormat="1" x14ac:dyDescent="0.2"/>
    <row r="6039" customFormat="1" x14ac:dyDescent="0.2"/>
    <row r="6040" customFormat="1" x14ac:dyDescent="0.2"/>
    <row r="6041" customFormat="1" x14ac:dyDescent="0.2"/>
    <row r="6042" customFormat="1" x14ac:dyDescent="0.2"/>
    <row r="6043" customFormat="1" x14ac:dyDescent="0.2"/>
    <row r="6044" customFormat="1" x14ac:dyDescent="0.2"/>
    <row r="6045" customFormat="1" x14ac:dyDescent="0.2"/>
    <row r="6046" customFormat="1" x14ac:dyDescent="0.2"/>
    <row r="6047" customFormat="1" x14ac:dyDescent="0.2"/>
    <row r="6048" customFormat="1" x14ac:dyDescent="0.2"/>
    <row r="6049" customFormat="1" x14ac:dyDescent="0.2"/>
    <row r="6050" customFormat="1" x14ac:dyDescent="0.2"/>
    <row r="6051" customFormat="1" x14ac:dyDescent="0.2"/>
    <row r="6052" customFormat="1" x14ac:dyDescent="0.2"/>
    <row r="6053" customFormat="1" x14ac:dyDescent="0.2"/>
    <row r="6054" customFormat="1" x14ac:dyDescent="0.2"/>
    <row r="6055" customFormat="1" x14ac:dyDescent="0.2"/>
    <row r="6056" customFormat="1" x14ac:dyDescent="0.2"/>
    <row r="6057" customFormat="1" x14ac:dyDescent="0.2"/>
    <row r="6058" customFormat="1" x14ac:dyDescent="0.2"/>
    <row r="6059" customFormat="1" x14ac:dyDescent="0.2"/>
    <row r="6060" customFormat="1" x14ac:dyDescent="0.2"/>
    <row r="6061" customFormat="1" x14ac:dyDescent="0.2"/>
    <row r="6062" customFormat="1" x14ac:dyDescent="0.2"/>
    <row r="6063" customFormat="1" x14ac:dyDescent="0.2"/>
    <row r="6064" customFormat="1" x14ac:dyDescent="0.2"/>
    <row r="6065" customFormat="1" x14ac:dyDescent="0.2"/>
    <row r="6066" customFormat="1" x14ac:dyDescent="0.2"/>
    <row r="6067" customFormat="1" x14ac:dyDescent="0.2"/>
    <row r="6068" customFormat="1" x14ac:dyDescent="0.2"/>
    <row r="6069" customFormat="1" x14ac:dyDescent="0.2"/>
    <row r="6070" customFormat="1" x14ac:dyDescent="0.2"/>
    <row r="6071" customFormat="1" x14ac:dyDescent="0.2"/>
    <row r="6072" customFormat="1" x14ac:dyDescent="0.2"/>
    <row r="6073" customFormat="1" x14ac:dyDescent="0.2"/>
    <row r="6074" customFormat="1" x14ac:dyDescent="0.2"/>
    <row r="6075" customFormat="1" x14ac:dyDescent="0.2"/>
    <row r="6076" customFormat="1" x14ac:dyDescent="0.2"/>
    <row r="6077" customFormat="1" x14ac:dyDescent="0.2"/>
    <row r="6078" customFormat="1" x14ac:dyDescent="0.2"/>
    <row r="6079" customFormat="1" x14ac:dyDescent="0.2"/>
    <row r="6080" customFormat="1" x14ac:dyDescent="0.2"/>
    <row r="6081" customFormat="1" x14ac:dyDescent="0.2"/>
    <row r="6082" customFormat="1" x14ac:dyDescent="0.2"/>
    <row r="6083" customFormat="1" x14ac:dyDescent="0.2"/>
    <row r="6084" customFormat="1" x14ac:dyDescent="0.2"/>
    <row r="6085" customFormat="1" x14ac:dyDescent="0.2"/>
    <row r="6086" customFormat="1" x14ac:dyDescent="0.2"/>
    <row r="6087" customFormat="1" x14ac:dyDescent="0.2"/>
    <row r="6088" customFormat="1" x14ac:dyDescent="0.2"/>
    <row r="6089" customFormat="1" x14ac:dyDescent="0.2"/>
    <row r="6090" customFormat="1" x14ac:dyDescent="0.2"/>
    <row r="6091" customFormat="1" x14ac:dyDescent="0.2"/>
    <row r="6092" customFormat="1" x14ac:dyDescent="0.2"/>
    <row r="6093" customFormat="1" x14ac:dyDescent="0.2"/>
    <row r="6094" customFormat="1" x14ac:dyDescent="0.2"/>
    <row r="6095" customFormat="1" x14ac:dyDescent="0.2"/>
    <row r="6096" customFormat="1" x14ac:dyDescent="0.2"/>
    <row r="6097" customFormat="1" x14ac:dyDescent="0.2"/>
    <row r="6098" customFormat="1" x14ac:dyDescent="0.2"/>
    <row r="6099" customFormat="1" x14ac:dyDescent="0.2"/>
    <row r="6100" customFormat="1" x14ac:dyDescent="0.2"/>
    <row r="6101" customFormat="1" x14ac:dyDescent="0.2"/>
    <row r="6102" customFormat="1" x14ac:dyDescent="0.2"/>
    <row r="6103" customFormat="1" x14ac:dyDescent="0.2"/>
    <row r="6104" customFormat="1" x14ac:dyDescent="0.2"/>
    <row r="6105" customFormat="1" x14ac:dyDescent="0.2"/>
    <row r="6106" customFormat="1" x14ac:dyDescent="0.2"/>
    <row r="6107" customFormat="1" x14ac:dyDescent="0.2"/>
    <row r="6108" customFormat="1" x14ac:dyDescent="0.2"/>
    <row r="6109" customFormat="1" x14ac:dyDescent="0.2"/>
    <row r="6110" customFormat="1" x14ac:dyDescent="0.2"/>
    <row r="6111" customFormat="1" x14ac:dyDescent="0.2"/>
    <row r="6112" customFormat="1" x14ac:dyDescent="0.2"/>
    <row r="6113" customFormat="1" x14ac:dyDescent="0.2"/>
    <row r="6114" customFormat="1" x14ac:dyDescent="0.2"/>
    <row r="6115" customFormat="1" x14ac:dyDescent="0.2"/>
    <row r="6116" customFormat="1" x14ac:dyDescent="0.2"/>
    <row r="6117" customFormat="1" x14ac:dyDescent="0.2"/>
    <row r="6118" customFormat="1" x14ac:dyDescent="0.2"/>
    <row r="6119" customFormat="1" x14ac:dyDescent="0.2"/>
    <row r="6120" customFormat="1" x14ac:dyDescent="0.2"/>
    <row r="6121" customFormat="1" x14ac:dyDescent="0.2"/>
    <row r="6122" customFormat="1" x14ac:dyDescent="0.2"/>
    <row r="6123" customFormat="1" x14ac:dyDescent="0.2"/>
    <row r="6124" customFormat="1" x14ac:dyDescent="0.2"/>
    <row r="6125" customFormat="1" x14ac:dyDescent="0.2"/>
    <row r="6126" customFormat="1" x14ac:dyDescent="0.2"/>
    <row r="6127" customFormat="1" x14ac:dyDescent="0.2"/>
    <row r="6128" customFormat="1" x14ac:dyDescent="0.2"/>
    <row r="6129" customFormat="1" x14ac:dyDescent="0.2"/>
    <row r="6130" customFormat="1" x14ac:dyDescent="0.2"/>
    <row r="6131" customFormat="1" x14ac:dyDescent="0.2"/>
    <row r="6132" customFormat="1" x14ac:dyDescent="0.2"/>
    <row r="6133" customFormat="1" x14ac:dyDescent="0.2"/>
    <row r="6134" customFormat="1" x14ac:dyDescent="0.2"/>
    <row r="6135" customFormat="1" x14ac:dyDescent="0.2"/>
    <row r="6136" customFormat="1" x14ac:dyDescent="0.2"/>
    <row r="6137" customFormat="1" x14ac:dyDescent="0.2"/>
    <row r="6138" customFormat="1" x14ac:dyDescent="0.2"/>
    <row r="6139" customFormat="1" x14ac:dyDescent="0.2"/>
    <row r="6140" customFormat="1" x14ac:dyDescent="0.2"/>
    <row r="6141" customFormat="1" x14ac:dyDescent="0.2"/>
    <row r="6142" customFormat="1" x14ac:dyDescent="0.2"/>
    <row r="6143" customFormat="1" x14ac:dyDescent="0.2"/>
    <row r="6144" customFormat="1" x14ac:dyDescent="0.2"/>
    <row r="6145" customFormat="1" x14ac:dyDescent="0.2"/>
    <row r="6146" customFormat="1" x14ac:dyDescent="0.2"/>
    <row r="6147" customFormat="1" x14ac:dyDescent="0.2"/>
    <row r="6148" customFormat="1" x14ac:dyDescent="0.2"/>
    <row r="6149" customFormat="1" x14ac:dyDescent="0.2"/>
    <row r="6150" customFormat="1" x14ac:dyDescent="0.2"/>
    <row r="6151" customFormat="1" x14ac:dyDescent="0.2"/>
    <row r="6152" customFormat="1" x14ac:dyDescent="0.2"/>
    <row r="6153" customFormat="1" x14ac:dyDescent="0.2"/>
    <row r="6154" customFormat="1" x14ac:dyDescent="0.2"/>
    <row r="6155" customFormat="1" x14ac:dyDescent="0.2"/>
    <row r="6156" customFormat="1" x14ac:dyDescent="0.2"/>
    <row r="6157" customFormat="1" x14ac:dyDescent="0.2"/>
    <row r="6158" customFormat="1" x14ac:dyDescent="0.2"/>
    <row r="6159" customFormat="1" x14ac:dyDescent="0.2"/>
    <row r="6160" customFormat="1" x14ac:dyDescent="0.2"/>
    <row r="6161" customFormat="1" x14ac:dyDescent="0.2"/>
    <row r="6162" customFormat="1" x14ac:dyDescent="0.2"/>
    <row r="6163" customFormat="1" x14ac:dyDescent="0.2"/>
    <row r="6164" customFormat="1" x14ac:dyDescent="0.2"/>
    <row r="6165" customFormat="1" x14ac:dyDescent="0.2"/>
    <row r="6166" customFormat="1" x14ac:dyDescent="0.2"/>
    <row r="6167" customFormat="1" x14ac:dyDescent="0.2"/>
    <row r="6168" customFormat="1" x14ac:dyDescent="0.2"/>
    <row r="6169" customFormat="1" x14ac:dyDescent="0.2"/>
    <row r="6170" customFormat="1" x14ac:dyDescent="0.2"/>
    <row r="6171" customFormat="1" x14ac:dyDescent="0.2"/>
    <row r="6172" customFormat="1" x14ac:dyDescent="0.2"/>
    <row r="6173" customFormat="1" x14ac:dyDescent="0.2"/>
    <row r="6174" customFormat="1" x14ac:dyDescent="0.2"/>
    <row r="6175" customFormat="1" x14ac:dyDescent="0.2"/>
    <row r="6176" customFormat="1" x14ac:dyDescent="0.2"/>
    <row r="6177" customFormat="1" x14ac:dyDescent="0.2"/>
    <row r="6178" customFormat="1" x14ac:dyDescent="0.2"/>
    <row r="6179" customFormat="1" x14ac:dyDescent="0.2"/>
    <row r="6180" customFormat="1" x14ac:dyDescent="0.2"/>
    <row r="6181" customFormat="1" x14ac:dyDescent="0.2"/>
    <row r="6182" customFormat="1" x14ac:dyDescent="0.2"/>
    <row r="6183" customFormat="1" x14ac:dyDescent="0.2"/>
    <row r="6184" customFormat="1" x14ac:dyDescent="0.2"/>
    <row r="6185" customFormat="1" x14ac:dyDescent="0.2"/>
    <row r="6186" customFormat="1" x14ac:dyDescent="0.2"/>
    <row r="6187" customFormat="1" x14ac:dyDescent="0.2"/>
    <row r="6188" customFormat="1" x14ac:dyDescent="0.2"/>
    <row r="6189" customFormat="1" x14ac:dyDescent="0.2"/>
    <row r="6190" customFormat="1" x14ac:dyDescent="0.2"/>
    <row r="6191" customFormat="1" x14ac:dyDescent="0.2"/>
    <row r="6192" customFormat="1" x14ac:dyDescent="0.2"/>
    <row r="6193" customFormat="1" x14ac:dyDescent="0.2"/>
    <row r="6194" customFormat="1" x14ac:dyDescent="0.2"/>
    <row r="6195" customFormat="1" x14ac:dyDescent="0.2"/>
    <row r="6196" customFormat="1" x14ac:dyDescent="0.2"/>
    <row r="6197" customFormat="1" x14ac:dyDescent="0.2"/>
    <row r="6198" customFormat="1" x14ac:dyDescent="0.2"/>
    <row r="6199" customFormat="1" x14ac:dyDescent="0.2"/>
    <row r="6200" customFormat="1" x14ac:dyDescent="0.2"/>
    <row r="6201" customFormat="1" x14ac:dyDescent="0.2"/>
    <row r="6202" customFormat="1" x14ac:dyDescent="0.2"/>
    <row r="6203" customFormat="1" x14ac:dyDescent="0.2"/>
    <row r="6204" customFormat="1" x14ac:dyDescent="0.2"/>
    <row r="6205" customFormat="1" x14ac:dyDescent="0.2"/>
    <row r="6206" customFormat="1" x14ac:dyDescent="0.2"/>
    <row r="6207" customFormat="1" x14ac:dyDescent="0.2"/>
    <row r="6208" customFormat="1" x14ac:dyDescent="0.2"/>
    <row r="6209" customFormat="1" x14ac:dyDescent="0.2"/>
    <row r="6210" customFormat="1" x14ac:dyDescent="0.2"/>
    <row r="6211" customFormat="1" x14ac:dyDescent="0.2"/>
    <row r="6212" customFormat="1" x14ac:dyDescent="0.2"/>
    <row r="6213" customFormat="1" x14ac:dyDescent="0.2"/>
    <row r="6214" customFormat="1" x14ac:dyDescent="0.2"/>
    <row r="6215" customFormat="1" x14ac:dyDescent="0.2"/>
    <row r="6216" customFormat="1" x14ac:dyDescent="0.2"/>
    <row r="6217" customFormat="1" x14ac:dyDescent="0.2"/>
    <row r="6218" customFormat="1" x14ac:dyDescent="0.2"/>
    <row r="6219" customFormat="1" x14ac:dyDescent="0.2"/>
    <row r="6220" customFormat="1" x14ac:dyDescent="0.2"/>
    <row r="6221" customFormat="1" x14ac:dyDescent="0.2"/>
    <row r="6222" customFormat="1" x14ac:dyDescent="0.2"/>
    <row r="6223" customFormat="1" x14ac:dyDescent="0.2"/>
    <row r="6224" customFormat="1" x14ac:dyDescent="0.2"/>
    <row r="6225" customFormat="1" x14ac:dyDescent="0.2"/>
    <row r="6226" customFormat="1" x14ac:dyDescent="0.2"/>
    <row r="6227" customFormat="1" x14ac:dyDescent="0.2"/>
    <row r="6228" customFormat="1" x14ac:dyDescent="0.2"/>
    <row r="6229" customFormat="1" x14ac:dyDescent="0.2"/>
    <row r="6230" customFormat="1" x14ac:dyDescent="0.2"/>
    <row r="6231" customFormat="1" x14ac:dyDescent="0.2"/>
    <row r="6232" customFormat="1" x14ac:dyDescent="0.2"/>
    <row r="6233" customFormat="1" x14ac:dyDescent="0.2"/>
    <row r="6234" customFormat="1" x14ac:dyDescent="0.2"/>
    <row r="6235" customFormat="1" x14ac:dyDescent="0.2"/>
    <row r="6236" customFormat="1" x14ac:dyDescent="0.2"/>
    <row r="6237" customFormat="1" x14ac:dyDescent="0.2"/>
    <row r="6238" customFormat="1" x14ac:dyDescent="0.2"/>
    <row r="6239" customFormat="1" x14ac:dyDescent="0.2"/>
    <row r="6240" customFormat="1" x14ac:dyDescent="0.2"/>
    <row r="6241" customFormat="1" x14ac:dyDescent="0.2"/>
    <row r="6242" customFormat="1" x14ac:dyDescent="0.2"/>
    <row r="6243" customFormat="1" x14ac:dyDescent="0.2"/>
    <row r="6244" customFormat="1" x14ac:dyDescent="0.2"/>
    <row r="6245" customFormat="1" x14ac:dyDescent="0.2"/>
    <row r="6246" customFormat="1" x14ac:dyDescent="0.2"/>
    <row r="6247" customFormat="1" x14ac:dyDescent="0.2"/>
    <row r="6248" customFormat="1" x14ac:dyDescent="0.2"/>
    <row r="6249" customFormat="1" x14ac:dyDescent="0.2"/>
    <row r="6250" customFormat="1" x14ac:dyDescent="0.2"/>
    <row r="6251" customFormat="1" x14ac:dyDescent="0.2"/>
    <row r="6252" customFormat="1" x14ac:dyDescent="0.2"/>
    <row r="6253" customFormat="1" x14ac:dyDescent="0.2"/>
    <row r="6254" customFormat="1" x14ac:dyDescent="0.2"/>
    <row r="6255" customFormat="1" x14ac:dyDescent="0.2"/>
    <row r="6256" customFormat="1" x14ac:dyDescent="0.2"/>
    <row r="6257" customFormat="1" x14ac:dyDescent="0.2"/>
    <row r="6258" customFormat="1" x14ac:dyDescent="0.2"/>
    <row r="6259" customFormat="1" x14ac:dyDescent="0.2"/>
    <row r="6260" customFormat="1" x14ac:dyDescent="0.2"/>
    <row r="6261" customFormat="1" x14ac:dyDescent="0.2"/>
    <row r="6262" customFormat="1" x14ac:dyDescent="0.2"/>
    <row r="6263" customFormat="1" x14ac:dyDescent="0.2"/>
    <row r="6264" customFormat="1" x14ac:dyDescent="0.2"/>
    <row r="6265" customFormat="1" x14ac:dyDescent="0.2"/>
    <row r="6266" customFormat="1" x14ac:dyDescent="0.2"/>
    <row r="6267" customFormat="1" x14ac:dyDescent="0.2"/>
    <row r="6268" customFormat="1" x14ac:dyDescent="0.2"/>
    <row r="6269" customFormat="1" x14ac:dyDescent="0.2"/>
    <row r="6270" customFormat="1" x14ac:dyDescent="0.2"/>
    <row r="6271" customFormat="1" x14ac:dyDescent="0.2"/>
    <row r="6272" customFormat="1" x14ac:dyDescent="0.2"/>
    <row r="6273" customFormat="1" x14ac:dyDescent="0.2"/>
    <row r="6274" customFormat="1" x14ac:dyDescent="0.2"/>
    <row r="6275" customFormat="1" x14ac:dyDescent="0.2"/>
    <row r="6276" customFormat="1" x14ac:dyDescent="0.2"/>
    <row r="6277" customFormat="1" x14ac:dyDescent="0.2"/>
    <row r="6278" customFormat="1" x14ac:dyDescent="0.2"/>
    <row r="6279" customFormat="1" x14ac:dyDescent="0.2"/>
    <row r="6280" customFormat="1" x14ac:dyDescent="0.2"/>
    <row r="6281" customFormat="1" x14ac:dyDescent="0.2"/>
    <row r="6282" customFormat="1" x14ac:dyDescent="0.2"/>
    <row r="6283" customFormat="1" x14ac:dyDescent="0.2"/>
    <row r="6284" customFormat="1" x14ac:dyDescent="0.2"/>
    <row r="6285" customFormat="1" x14ac:dyDescent="0.2"/>
    <row r="6286" customFormat="1" x14ac:dyDescent="0.2"/>
    <row r="6287" customFormat="1" x14ac:dyDescent="0.2"/>
    <row r="6288" customFormat="1" x14ac:dyDescent="0.2"/>
    <row r="6289" customFormat="1" x14ac:dyDescent="0.2"/>
    <row r="6290" customFormat="1" x14ac:dyDescent="0.2"/>
    <row r="6291" customFormat="1" x14ac:dyDescent="0.2"/>
    <row r="6292" customFormat="1" x14ac:dyDescent="0.2"/>
    <row r="6293" customFormat="1" x14ac:dyDescent="0.2"/>
    <row r="6294" customFormat="1" x14ac:dyDescent="0.2"/>
    <row r="6295" customFormat="1" x14ac:dyDescent="0.2"/>
    <row r="6296" customFormat="1" x14ac:dyDescent="0.2"/>
    <row r="6297" customFormat="1" x14ac:dyDescent="0.2"/>
    <row r="6298" customFormat="1" x14ac:dyDescent="0.2"/>
    <row r="6299" customFormat="1" x14ac:dyDescent="0.2"/>
    <row r="6300" customFormat="1" x14ac:dyDescent="0.2"/>
    <row r="6301" customFormat="1" x14ac:dyDescent="0.2"/>
    <row r="6302" customFormat="1" x14ac:dyDescent="0.2"/>
    <row r="6303" customFormat="1" x14ac:dyDescent="0.2"/>
    <row r="6304" customFormat="1" x14ac:dyDescent="0.2"/>
    <row r="6305" customFormat="1" x14ac:dyDescent="0.2"/>
    <row r="6306" customFormat="1" x14ac:dyDescent="0.2"/>
    <row r="6307" customFormat="1" x14ac:dyDescent="0.2"/>
    <row r="6308" customFormat="1" x14ac:dyDescent="0.2"/>
    <row r="6309" customFormat="1" x14ac:dyDescent="0.2"/>
    <row r="6310" customFormat="1" x14ac:dyDescent="0.2"/>
    <row r="6311" customFormat="1" x14ac:dyDescent="0.2"/>
    <row r="6312" customFormat="1" x14ac:dyDescent="0.2"/>
    <row r="6313" customFormat="1" x14ac:dyDescent="0.2"/>
    <row r="6314" customFormat="1" x14ac:dyDescent="0.2"/>
    <row r="6315" customFormat="1" x14ac:dyDescent="0.2"/>
    <row r="6316" customFormat="1" x14ac:dyDescent="0.2"/>
    <row r="6317" customFormat="1" x14ac:dyDescent="0.2"/>
    <row r="6318" customFormat="1" x14ac:dyDescent="0.2"/>
    <row r="6319" customFormat="1" x14ac:dyDescent="0.2"/>
    <row r="6320" customFormat="1" x14ac:dyDescent="0.2"/>
    <row r="6321" customFormat="1" x14ac:dyDescent="0.2"/>
    <row r="6322" customFormat="1" x14ac:dyDescent="0.2"/>
    <row r="6323" customFormat="1" x14ac:dyDescent="0.2"/>
    <row r="6324" customFormat="1" x14ac:dyDescent="0.2"/>
    <row r="6325" customFormat="1" x14ac:dyDescent="0.2"/>
    <row r="6326" customFormat="1" x14ac:dyDescent="0.2"/>
    <row r="6327" customFormat="1" x14ac:dyDescent="0.2"/>
    <row r="6328" customFormat="1" x14ac:dyDescent="0.2"/>
    <row r="6329" customFormat="1" x14ac:dyDescent="0.2"/>
    <row r="6330" customFormat="1" x14ac:dyDescent="0.2"/>
    <row r="6331" customFormat="1" x14ac:dyDescent="0.2"/>
    <row r="6332" customFormat="1" x14ac:dyDescent="0.2"/>
    <row r="6333" customFormat="1" x14ac:dyDescent="0.2"/>
    <row r="6334" customFormat="1" x14ac:dyDescent="0.2"/>
    <row r="6335" customFormat="1" x14ac:dyDescent="0.2"/>
    <row r="6336" customFormat="1" x14ac:dyDescent="0.2"/>
    <row r="6337" customFormat="1" x14ac:dyDescent="0.2"/>
    <row r="6338" customFormat="1" x14ac:dyDescent="0.2"/>
    <row r="6339" customFormat="1" x14ac:dyDescent="0.2"/>
    <row r="6340" customFormat="1" x14ac:dyDescent="0.2"/>
    <row r="6341" customFormat="1" x14ac:dyDescent="0.2"/>
    <row r="6342" customFormat="1" x14ac:dyDescent="0.2"/>
    <row r="6343" customFormat="1" x14ac:dyDescent="0.2"/>
    <row r="6344" customFormat="1" x14ac:dyDescent="0.2"/>
    <row r="6345" customFormat="1" x14ac:dyDescent="0.2"/>
    <row r="6346" customFormat="1" x14ac:dyDescent="0.2"/>
    <row r="6347" customFormat="1" x14ac:dyDescent="0.2"/>
    <row r="6348" customFormat="1" x14ac:dyDescent="0.2"/>
    <row r="6349" customFormat="1" x14ac:dyDescent="0.2"/>
    <row r="6350" customFormat="1" x14ac:dyDescent="0.2"/>
    <row r="6351" customFormat="1" x14ac:dyDescent="0.2"/>
    <row r="6352" customFormat="1" x14ac:dyDescent="0.2"/>
    <row r="6353" customFormat="1" x14ac:dyDescent="0.2"/>
    <row r="6354" customFormat="1" x14ac:dyDescent="0.2"/>
    <row r="6355" customFormat="1" x14ac:dyDescent="0.2"/>
    <row r="6356" customFormat="1" x14ac:dyDescent="0.2"/>
    <row r="6357" customFormat="1" x14ac:dyDescent="0.2"/>
    <row r="6358" customFormat="1" x14ac:dyDescent="0.2"/>
    <row r="6359" customFormat="1" x14ac:dyDescent="0.2"/>
    <row r="6360" customFormat="1" x14ac:dyDescent="0.2"/>
    <row r="6361" customFormat="1" x14ac:dyDescent="0.2"/>
    <row r="6362" customFormat="1" x14ac:dyDescent="0.2"/>
    <row r="6363" customFormat="1" x14ac:dyDescent="0.2"/>
    <row r="6364" customFormat="1" x14ac:dyDescent="0.2"/>
    <row r="6365" customFormat="1" x14ac:dyDescent="0.2"/>
    <row r="6366" customFormat="1" x14ac:dyDescent="0.2"/>
    <row r="6367" customFormat="1" x14ac:dyDescent="0.2"/>
    <row r="6368" customFormat="1" x14ac:dyDescent="0.2"/>
    <row r="6369" customFormat="1" x14ac:dyDescent="0.2"/>
    <row r="6370" customFormat="1" x14ac:dyDescent="0.2"/>
    <row r="6371" customFormat="1" x14ac:dyDescent="0.2"/>
    <row r="6372" customFormat="1" x14ac:dyDescent="0.2"/>
    <row r="6373" customFormat="1" x14ac:dyDescent="0.2"/>
    <row r="6374" customFormat="1" x14ac:dyDescent="0.2"/>
    <row r="6375" customFormat="1" x14ac:dyDescent="0.2"/>
    <row r="6376" customFormat="1" x14ac:dyDescent="0.2"/>
    <row r="6377" customFormat="1" x14ac:dyDescent="0.2"/>
    <row r="6378" customFormat="1" x14ac:dyDescent="0.2"/>
    <row r="6379" customFormat="1" x14ac:dyDescent="0.2"/>
    <row r="6380" customFormat="1" x14ac:dyDescent="0.2"/>
    <row r="6381" customFormat="1" x14ac:dyDescent="0.2"/>
    <row r="6382" customFormat="1" x14ac:dyDescent="0.2"/>
    <row r="6383" customFormat="1" x14ac:dyDescent="0.2"/>
    <row r="6384" customFormat="1" x14ac:dyDescent="0.2"/>
    <row r="6385" customFormat="1" x14ac:dyDescent="0.2"/>
    <row r="6386" customFormat="1" x14ac:dyDescent="0.2"/>
    <row r="6387" customFormat="1" x14ac:dyDescent="0.2"/>
    <row r="6388" customFormat="1" x14ac:dyDescent="0.2"/>
    <row r="6389" customFormat="1" x14ac:dyDescent="0.2"/>
    <row r="6390" customFormat="1" x14ac:dyDescent="0.2"/>
    <row r="6391" customFormat="1" x14ac:dyDescent="0.2"/>
    <row r="6392" customFormat="1" x14ac:dyDescent="0.2"/>
    <row r="6393" customFormat="1" x14ac:dyDescent="0.2"/>
    <row r="6394" customFormat="1" x14ac:dyDescent="0.2"/>
    <row r="6395" customFormat="1" x14ac:dyDescent="0.2"/>
    <row r="6396" customFormat="1" x14ac:dyDescent="0.2"/>
    <row r="6397" customFormat="1" x14ac:dyDescent="0.2"/>
    <row r="6398" customFormat="1" x14ac:dyDescent="0.2"/>
    <row r="6399" customFormat="1" x14ac:dyDescent="0.2"/>
    <row r="6400" customFormat="1" x14ac:dyDescent="0.2"/>
    <row r="6401" customFormat="1" x14ac:dyDescent="0.2"/>
    <row r="6402" customFormat="1" x14ac:dyDescent="0.2"/>
    <row r="6403" customFormat="1" x14ac:dyDescent="0.2"/>
    <row r="6404" customFormat="1" x14ac:dyDescent="0.2"/>
    <row r="6405" customFormat="1" x14ac:dyDescent="0.2"/>
    <row r="6406" customFormat="1" x14ac:dyDescent="0.2"/>
    <row r="6407" customFormat="1" x14ac:dyDescent="0.2"/>
    <row r="6408" customFormat="1" x14ac:dyDescent="0.2"/>
    <row r="6409" customFormat="1" x14ac:dyDescent="0.2"/>
    <row r="6410" customFormat="1" x14ac:dyDescent="0.2"/>
    <row r="6411" customFormat="1" x14ac:dyDescent="0.2"/>
    <row r="6412" customFormat="1" x14ac:dyDescent="0.2"/>
    <row r="6413" customFormat="1" x14ac:dyDescent="0.2"/>
    <row r="6414" customFormat="1" x14ac:dyDescent="0.2"/>
    <row r="6415" customFormat="1" x14ac:dyDescent="0.2"/>
    <row r="6416" customFormat="1" x14ac:dyDescent="0.2"/>
    <row r="6417" customFormat="1" x14ac:dyDescent="0.2"/>
    <row r="6418" customFormat="1" x14ac:dyDescent="0.2"/>
    <row r="6419" customFormat="1" x14ac:dyDescent="0.2"/>
    <row r="6420" customFormat="1" x14ac:dyDescent="0.2"/>
    <row r="6421" customFormat="1" x14ac:dyDescent="0.2"/>
    <row r="6422" customFormat="1" x14ac:dyDescent="0.2"/>
    <row r="6423" customFormat="1" x14ac:dyDescent="0.2"/>
    <row r="6424" customFormat="1" x14ac:dyDescent="0.2"/>
    <row r="6425" customFormat="1" x14ac:dyDescent="0.2"/>
    <row r="6426" customFormat="1" x14ac:dyDescent="0.2"/>
    <row r="6427" customFormat="1" x14ac:dyDescent="0.2"/>
    <row r="6428" customFormat="1" x14ac:dyDescent="0.2"/>
    <row r="6429" customFormat="1" x14ac:dyDescent="0.2"/>
    <row r="6430" customFormat="1" x14ac:dyDescent="0.2"/>
    <row r="6431" customFormat="1" x14ac:dyDescent="0.2"/>
    <row r="6432" customFormat="1" x14ac:dyDescent="0.2"/>
    <row r="6433" customFormat="1" x14ac:dyDescent="0.2"/>
    <row r="6434" customFormat="1" x14ac:dyDescent="0.2"/>
    <row r="6435" customFormat="1" x14ac:dyDescent="0.2"/>
    <row r="6436" customFormat="1" x14ac:dyDescent="0.2"/>
    <row r="6437" customFormat="1" x14ac:dyDescent="0.2"/>
    <row r="6438" customFormat="1" x14ac:dyDescent="0.2"/>
    <row r="6439" customFormat="1" x14ac:dyDescent="0.2"/>
    <row r="6440" customFormat="1" x14ac:dyDescent="0.2"/>
    <row r="6441" customFormat="1" x14ac:dyDescent="0.2"/>
    <row r="6442" customFormat="1" x14ac:dyDescent="0.2"/>
    <row r="6443" customFormat="1" x14ac:dyDescent="0.2"/>
    <row r="6444" customFormat="1" x14ac:dyDescent="0.2"/>
    <row r="6445" customFormat="1" x14ac:dyDescent="0.2"/>
    <row r="6446" customFormat="1" x14ac:dyDescent="0.2"/>
    <row r="6447" customFormat="1" x14ac:dyDescent="0.2"/>
    <row r="6448" customFormat="1" x14ac:dyDescent="0.2"/>
    <row r="6449" customFormat="1" x14ac:dyDescent="0.2"/>
    <row r="6450" customFormat="1" x14ac:dyDescent="0.2"/>
    <row r="6451" customFormat="1" x14ac:dyDescent="0.2"/>
    <row r="6452" customFormat="1" x14ac:dyDescent="0.2"/>
    <row r="6453" customFormat="1" x14ac:dyDescent="0.2"/>
    <row r="6454" customFormat="1" x14ac:dyDescent="0.2"/>
    <row r="6455" customFormat="1" x14ac:dyDescent="0.2"/>
    <row r="6456" customFormat="1" x14ac:dyDescent="0.2"/>
    <row r="6457" customFormat="1" x14ac:dyDescent="0.2"/>
    <row r="6458" customFormat="1" x14ac:dyDescent="0.2"/>
    <row r="6459" customFormat="1" x14ac:dyDescent="0.2"/>
    <row r="6460" customFormat="1" x14ac:dyDescent="0.2"/>
    <row r="6461" customFormat="1" x14ac:dyDescent="0.2"/>
    <row r="6462" customFormat="1" x14ac:dyDescent="0.2"/>
    <row r="6463" customFormat="1" x14ac:dyDescent="0.2"/>
    <row r="6464" customFormat="1" x14ac:dyDescent="0.2"/>
    <row r="6465" customFormat="1" x14ac:dyDescent="0.2"/>
    <row r="6466" customFormat="1" x14ac:dyDescent="0.2"/>
    <row r="6467" customFormat="1" x14ac:dyDescent="0.2"/>
    <row r="6468" customFormat="1" x14ac:dyDescent="0.2"/>
    <row r="6469" customFormat="1" x14ac:dyDescent="0.2"/>
    <row r="6470" customFormat="1" x14ac:dyDescent="0.2"/>
    <row r="6471" customFormat="1" x14ac:dyDescent="0.2"/>
    <row r="6472" customFormat="1" x14ac:dyDescent="0.2"/>
    <row r="6473" customFormat="1" x14ac:dyDescent="0.2"/>
    <row r="6474" customFormat="1" x14ac:dyDescent="0.2"/>
    <row r="6475" customFormat="1" x14ac:dyDescent="0.2"/>
    <row r="6476" customFormat="1" x14ac:dyDescent="0.2"/>
    <row r="6477" customFormat="1" x14ac:dyDescent="0.2"/>
    <row r="6478" customFormat="1" x14ac:dyDescent="0.2"/>
    <row r="6479" customFormat="1" x14ac:dyDescent="0.2"/>
    <row r="6480" customFormat="1" x14ac:dyDescent="0.2"/>
    <row r="6481" customFormat="1" x14ac:dyDescent="0.2"/>
    <row r="6482" customFormat="1" x14ac:dyDescent="0.2"/>
    <row r="6483" customFormat="1" x14ac:dyDescent="0.2"/>
    <row r="6484" customFormat="1" x14ac:dyDescent="0.2"/>
    <row r="6485" customFormat="1" x14ac:dyDescent="0.2"/>
    <row r="6486" customFormat="1" x14ac:dyDescent="0.2"/>
    <row r="6487" customFormat="1" x14ac:dyDescent="0.2"/>
    <row r="6488" customFormat="1" x14ac:dyDescent="0.2"/>
    <row r="6489" customFormat="1" x14ac:dyDescent="0.2"/>
    <row r="6490" customFormat="1" x14ac:dyDescent="0.2"/>
    <row r="6491" customFormat="1" x14ac:dyDescent="0.2"/>
    <row r="6492" customFormat="1" x14ac:dyDescent="0.2"/>
    <row r="6493" customFormat="1" x14ac:dyDescent="0.2"/>
    <row r="6494" customFormat="1" x14ac:dyDescent="0.2"/>
    <row r="6495" customFormat="1" x14ac:dyDescent="0.2"/>
    <row r="6496" customFormat="1" x14ac:dyDescent="0.2"/>
    <row r="6497" customFormat="1" x14ac:dyDescent="0.2"/>
    <row r="6498" customFormat="1" x14ac:dyDescent="0.2"/>
    <row r="6499" customFormat="1" x14ac:dyDescent="0.2"/>
    <row r="6500" customFormat="1" x14ac:dyDescent="0.2"/>
    <row r="6501" customFormat="1" x14ac:dyDescent="0.2"/>
    <row r="6502" customFormat="1" x14ac:dyDescent="0.2"/>
    <row r="6503" customFormat="1" x14ac:dyDescent="0.2"/>
    <row r="6504" customFormat="1" x14ac:dyDescent="0.2"/>
    <row r="6505" customFormat="1" x14ac:dyDescent="0.2"/>
    <row r="6506" customFormat="1" x14ac:dyDescent="0.2"/>
    <row r="6507" customFormat="1" x14ac:dyDescent="0.2"/>
    <row r="6508" customFormat="1" x14ac:dyDescent="0.2"/>
    <row r="6509" customFormat="1" x14ac:dyDescent="0.2"/>
    <row r="6510" customFormat="1" x14ac:dyDescent="0.2"/>
    <row r="6511" customFormat="1" x14ac:dyDescent="0.2"/>
    <row r="6512" customFormat="1" x14ac:dyDescent="0.2"/>
    <row r="6513" customFormat="1" x14ac:dyDescent="0.2"/>
    <row r="6514" customFormat="1" x14ac:dyDescent="0.2"/>
    <row r="6515" customFormat="1" x14ac:dyDescent="0.2"/>
    <row r="6516" customFormat="1" x14ac:dyDescent="0.2"/>
    <row r="6517" customFormat="1" x14ac:dyDescent="0.2"/>
    <row r="6518" customFormat="1" x14ac:dyDescent="0.2"/>
    <row r="6519" customFormat="1" x14ac:dyDescent="0.2"/>
    <row r="6520" customFormat="1" x14ac:dyDescent="0.2"/>
    <row r="6521" customFormat="1" x14ac:dyDescent="0.2"/>
    <row r="6522" customFormat="1" x14ac:dyDescent="0.2"/>
    <row r="6523" customFormat="1" x14ac:dyDescent="0.2"/>
    <row r="6524" customFormat="1" x14ac:dyDescent="0.2"/>
    <row r="6525" customFormat="1" x14ac:dyDescent="0.2"/>
    <row r="6526" customFormat="1" x14ac:dyDescent="0.2"/>
    <row r="6527" customFormat="1" x14ac:dyDescent="0.2"/>
    <row r="6528" customFormat="1" x14ac:dyDescent="0.2"/>
    <row r="6529" customFormat="1" x14ac:dyDescent="0.2"/>
    <row r="6530" customFormat="1" x14ac:dyDescent="0.2"/>
    <row r="6531" customFormat="1" x14ac:dyDescent="0.2"/>
    <row r="6532" customFormat="1" x14ac:dyDescent="0.2"/>
    <row r="6533" customFormat="1" x14ac:dyDescent="0.2"/>
    <row r="6534" customFormat="1" x14ac:dyDescent="0.2"/>
    <row r="6535" customFormat="1" x14ac:dyDescent="0.2"/>
    <row r="6536" customFormat="1" x14ac:dyDescent="0.2"/>
    <row r="6537" customFormat="1" x14ac:dyDescent="0.2"/>
    <row r="6538" customFormat="1" x14ac:dyDescent="0.2"/>
    <row r="6539" customFormat="1" x14ac:dyDescent="0.2"/>
    <row r="6540" customFormat="1" x14ac:dyDescent="0.2"/>
    <row r="6541" customFormat="1" x14ac:dyDescent="0.2"/>
    <row r="6542" customFormat="1" x14ac:dyDescent="0.2"/>
    <row r="6543" customFormat="1" x14ac:dyDescent="0.2"/>
    <row r="6544" customFormat="1" x14ac:dyDescent="0.2"/>
    <row r="6545" customFormat="1" x14ac:dyDescent="0.2"/>
    <row r="6546" customFormat="1" x14ac:dyDescent="0.2"/>
    <row r="6547" customFormat="1" x14ac:dyDescent="0.2"/>
    <row r="6548" customFormat="1" x14ac:dyDescent="0.2"/>
    <row r="6549" customFormat="1" x14ac:dyDescent="0.2"/>
    <row r="6550" customFormat="1" x14ac:dyDescent="0.2"/>
    <row r="6551" customFormat="1" x14ac:dyDescent="0.2"/>
    <row r="6552" customFormat="1" x14ac:dyDescent="0.2"/>
    <row r="6553" customFormat="1" x14ac:dyDescent="0.2"/>
    <row r="6554" customFormat="1" x14ac:dyDescent="0.2"/>
    <row r="6555" customFormat="1" x14ac:dyDescent="0.2"/>
    <row r="6556" customFormat="1" x14ac:dyDescent="0.2"/>
    <row r="6557" customFormat="1" x14ac:dyDescent="0.2"/>
    <row r="6558" customFormat="1" x14ac:dyDescent="0.2"/>
    <row r="6559" customFormat="1" x14ac:dyDescent="0.2"/>
    <row r="6560" customFormat="1" x14ac:dyDescent="0.2"/>
    <row r="6561" customFormat="1" x14ac:dyDescent="0.2"/>
    <row r="6562" customFormat="1" x14ac:dyDescent="0.2"/>
    <row r="6563" customFormat="1" x14ac:dyDescent="0.2"/>
    <row r="6564" customFormat="1" x14ac:dyDescent="0.2"/>
    <row r="6565" customFormat="1" x14ac:dyDescent="0.2"/>
    <row r="6566" customFormat="1" x14ac:dyDescent="0.2"/>
    <row r="6567" customFormat="1" x14ac:dyDescent="0.2"/>
    <row r="6568" customFormat="1" x14ac:dyDescent="0.2"/>
    <row r="6569" customFormat="1" x14ac:dyDescent="0.2"/>
    <row r="6570" customFormat="1" x14ac:dyDescent="0.2"/>
    <row r="6571" customFormat="1" x14ac:dyDescent="0.2"/>
    <row r="6572" customFormat="1" x14ac:dyDescent="0.2"/>
    <row r="6573" customFormat="1" x14ac:dyDescent="0.2"/>
    <row r="6574" customFormat="1" x14ac:dyDescent="0.2"/>
    <row r="6575" customFormat="1" x14ac:dyDescent="0.2"/>
    <row r="6576" customFormat="1" x14ac:dyDescent="0.2"/>
    <row r="6577" customFormat="1" x14ac:dyDescent="0.2"/>
    <row r="6578" customFormat="1" x14ac:dyDescent="0.2"/>
    <row r="6579" customFormat="1" x14ac:dyDescent="0.2"/>
    <row r="6580" customFormat="1" x14ac:dyDescent="0.2"/>
    <row r="6581" customFormat="1" x14ac:dyDescent="0.2"/>
    <row r="6582" customFormat="1" x14ac:dyDescent="0.2"/>
    <row r="6583" customFormat="1" x14ac:dyDescent="0.2"/>
    <row r="6584" customFormat="1" x14ac:dyDescent="0.2"/>
    <row r="6585" customFormat="1" x14ac:dyDescent="0.2"/>
    <row r="6586" customFormat="1" x14ac:dyDescent="0.2"/>
    <row r="6587" customFormat="1" x14ac:dyDescent="0.2"/>
    <row r="6588" customFormat="1" x14ac:dyDescent="0.2"/>
    <row r="6589" customFormat="1" x14ac:dyDescent="0.2"/>
    <row r="6590" customFormat="1" x14ac:dyDescent="0.2"/>
    <row r="6591" customFormat="1" x14ac:dyDescent="0.2"/>
    <row r="6592" customFormat="1" x14ac:dyDescent="0.2"/>
    <row r="6593" customFormat="1" x14ac:dyDescent="0.2"/>
    <row r="6594" customFormat="1" x14ac:dyDescent="0.2"/>
    <row r="6595" customFormat="1" x14ac:dyDescent="0.2"/>
    <row r="6596" customFormat="1" x14ac:dyDescent="0.2"/>
    <row r="6597" customFormat="1" x14ac:dyDescent="0.2"/>
    <row r="6598" customFormat="1" x14ac:dyDescent="0.2"/>
    <row r="6599" customFormat="1" x14ac:dyDescent="0.2"/>
    <row r="6600" customFormat="1" x14ac:dyDescent="0.2"/>
    <row r="6601" customFormat="1" x14ac:dyDescent="0.2"/>
    <row r="6602" customFormat="1" x14ac:dyDescent="0.2"/>
    <row r="6603" customFormat="1" x14ac:dyDescent="0.2"/>
    <row r="6604" customFormat="1" x14ac:dyDescent="0.2"/>
    <row r="6605" customFormat="1" x14ac:dyDescent="0.2"/>
    <row r="6606" customFormat="1" x14ac:dyDescent="0.2"/>
    <row r="6607" customFormat="1" x14ac:dyDescent="0.2"/>
    <row r="6608" customFormat="1" x14ac:dyDescent="0.2"/>
    <row r="6609" customFormat="1" x14ac:dyDescent="0.2"/>
    <row r="6610" customFormat="1" x14ac:dyDescent="0.2"/>
    <row r="6611" customFormat="1" x14ac:dyDescent="0.2"/>
    <row r="6612" customFormat="1" x14ac:dyDescent="0.2"/>
    <row r="6613" customFormat="1" x14ac:dyDescent="0.2"/>
    <row r="6614" customFormat="1" x14ac:dyDescent="0.2"/>
    <row r="6615" customFormat="1" x14ac:dyDescent="0.2"/>
    <row r="6616" customFormat="1" x14ac:dyDescent="0.2"/>
    <row r="6617" customFormat="1" x14ac:dyDescent="0.2"/>
    <row r="6618" customFormat="1" x14ac:dyDescent="0.2"/>
    <row r="6619" customFormat="1" x14ac:dyDescent="0.2"/>
    <row r="6620" customFormat="1" x14ac:dyDescent="0.2"/>
    <row r="6621" customFormat="1" x14ac:dyDescent="0.2"/>
    <row r="6622" customFormat="1" x14ac:dyDescent="0.2"/>
    <row r="6623" customFormat="1" x14ac:dyDescent="0.2"/>
    <row r="6624" customFormat="1" x14ac:dyDescent="0.2"/>
    <row r="6625" customFormat="1" x14ac:dyDescent="0.2"/>
    <row r="6626" customFormat="1" x14ac:dyDescent="0.2"/>
    <row r="6627" customFormat="1" x14ac:dyDescent="0.2"/>
    <row r="6628" customFormat="1" x14ac:dyDescent="0.2"/>
    <row r="6629" customFormat="1" x14ac:dyDescent="0.2"/>
    <row r="6630" customFormat="1" x14ac:dyDescent="0.2"/>
    <row r="6631" customFormat="1" x14ac:dyDescent="0.2"/>
    <row r="6632" customFormat="1" x14ac:dyDescent="0.2"/>
    <row r="6633" customFormat="1" x14ac:dyDescent="0.2"/>
    <row r="6634" customFormat="1" x14ac:dyDescent="0.2"/>
    <row r="6635" customFormat="1" x14ac:dyDescent="0.2"/>
    <row r="6636" customFormat="1" x14ac:dyDescent="0.2"/>
    <row r="6637" customFormat="1" x14ac:dyDescent="0.2"/>
    <row r="6638" customFormat="1" x14ac:dyDescent="0.2"/>
    <row r="6639" customFormat="1" x14ac:dyDescent="0.2"/>
    <row r="6640" customFormat="1" x14ac:dyDescent="0.2"/>
    <row r="6641" customFormat="1" x14ac:dyDescent="0.2"/>
    <row r="6642" customFormat="1" x14ac:dyDescent="0.2"/>
    <row r="6643" customFormat="1" x14ac:dyDescent="0.2"/>
    <row r="6644" customFormat="1" x14ac:dyDescent="0.2"/>
    <row r="6645" customFormat="1" x14ac:dyDescent="0.2"/>
    <row r="6646" customFormat="1" x14ac:dyDescent="0.2"/>
    <row r="6647" customFormat="1" x14ac:dyDescent="0.2"/>
    <row r="6648" customFormat="1" x14ac:dyDescent="0.2"/>
    <row r="6649" customFormat="1" x14ac:dyDescent="0.2"/>
    <row r="6650" customFormat="1" x14ac:dyDescent="0.2"/>
    <row r="6651" customFormat="1" x14ac:dyDescent="0.2"/>
    <row r="6652" customFormat="1" x14ac:dyDescent="0.2"/>
    <row r="6653" customFormat="1" x14ac:dyDescent="0.2"/>
    <row r="6654" customFormat="1" x14ac:dyDescent="0.2"/>
    <row r="6655" customFormat="1" x14ac:dyDescent="0.2"/>
    <row r="6656" customFormat="1" x14ac:dyDescent="0.2"/>
    <row r="6657" customFormat="1" x14ac:dyDescent="0.2"/>
    <row r="6658" customFormat="1" x14ac:dyDescent="0.2"/>
    <row r="6659" customFormat="1" x14ac:dyDescent="0.2"/>
    <row r="6660" customFormat="1" x14ac:dyDescent="0.2"/>
    <row r="6661" customFormat="1" x14ac:dyDescent="0.2"/>
    <row r="6662" customFormat="1" x14ac:dyDescent="0.2"/>
    <row r="6663" customFormat="1" x14ac:dyDescent="0.2"/>
    <row r="6664" customFormat="1" x14ac:dyDescent="0.2"/>
    <row r="6665" customFormat="1" x14ac:dyDescent="0.2"/>
    <row r="6666" customFormat="1" x14ac:dyDescent="0.2"/>
    <row r="6667" customFormat="1" x14ac:dyDescent="0.2"/>
    <row r="6668" customFormat="1" x14ac:dyDescent="0.2"/>
    <row r="6669" customFormat="1" x14ac:dyDescent="0.2"/>
    <row r="6670" customFormat="1" x14ac:dyDescent="0.2"/>
    <row r="6671" customFormat="1" x14ac:dyDescent="0.2"/>
    <row r="6672" customFormat="1" x14ac:dyDescent="0.2"/>
    <row r="6673" customFormat="1" x14ac:dyDescent="0.2"/>
    <row r="6674" customFormat="1" x14ac:dyDescent="0.2"/>
    <row r="6675" customFormat="1" x14ac:dyDescent="0.2"/>
    <row r="6676" customFormat="1" x14ac:dyDescent="0.2"/>
    <row r="6677" customFormat="1" x14ac:dyDescent="0.2"/>
    <row r="6678" customFormat="1" x14ac:dyDescent="0.2"/>
    <row r="6679" customFormat="1" x14ac:dyDescent="0.2"/>
    <row r="6680" customFormat="1" x14ac:dyDescent="0.2"/>
    <row r="6681" customFormat="1" x14ac:dyDescent="0.2"/>
    <row r="6682" customFormat="1" x14ac:dyDescent="0.2"/>
    <row r="6683" customFormat="1" x14ac:dyDescent="0.2"/>
    <row r="6684" customFormat="1" x14ac:dyDescent="0.2"/>
    <row r="6685" customFormat="1" x14ac:dyDescent="0.2"/>
    <row r="6686" customFormat="1" x14ac:dyDescent="0.2"/>
    <row r="6687" customFormat="1" x14ac:dyDescent="0.2"/>
    <row r="6688" customFormat="1" x14ac:dyDescent="0.2"/>
    <row r="6689" customFormat="1" x14ac:dyDescent="0.2"/>
    <row r="6690" customFormat="1" x14ac:dyDescent="0.2"/>
    <row r="6691" customFormat="1" x14ac:dyDescent="0.2"/>
    <row r="6692" customFormat="1" x14ac:dyDescent="0.2"/>
    <row r="6693" customFormat="1" x14ac:dyDescent="0.2"/>
    <row r="6694" customFormat="1" x14ac:dyDescent="0.2"/>
    <row r="6695" customFormat="1" x14ac:dyDescent="0.2"/>
    <row r="6696" customFormat="1" x14ac:dyDescent="0.2"/>
    <row r="6697" customFormat="1" x14ac:dyDescent="0.2"/>
    <row r="6698" customFormat="1" x14ac:dyDescent="0.2"/>
    <row r="6699" customFormat="1" x14ac:dyDescent="0.2"/>
    <row r="6700" customFormat="1" x14ac:dyDescent="0.2"/>
    <row r="6701" customFormat="1" x14ac:dyDescent="0.2"/>
    <row r="6702" customFormat="1" x14ac:dyDescent="0.2"/>
    <row r="6703" customFormat="1" x14ac:dyDescent="0.2"/>
    <row r="6704" customFormat="1" x14ac:dyDescent="0.2"/>
    <row r="6705" customFormat="1" x14ac:dyDescent="0.2"/>
    <row r="6706" customFormat="1" x14ac:dyDescent="0.2"/>
    <row r="6707" customFormat="1" x14ac:dyDescent="0.2"/>
    <row r="6708" customFormat="1" x14ac:dyDescent="0.2"/>
    <row r="6709" customFormat="1" x14ac:dyDescent="0.2"/>
    <row r="6710" customFormat="1" x14ac:dyDescent="0.2"/>
    <row r="6711" customFormat="1" x14ac:dyDescent="0.2"/>
    <row r="6712" customFormat="1" x14ac:dyDescent="0.2"/>
    <row r="6713" customFormat="1" x14ac:dyDescent="0.2"/>
    <row r="6714" customFormat="1" x14ac:dyDescent="0.2"/>
    <row r="6715" customFormat="1" x14ac:dyDescent="0.2"/>
    <row r="6716" customFormat="1" x14ac:dyDescent="0.2"/>
    <row r="6717" customFormat="1" x14ac:dyDescent="0.2"/>
    <row r="6718" customFormat="1" x14ac:dyDescent="0.2"/>
    <row r="6719" customFormat="1" x14ac:dyDescent="0.2"/>
    <row r="6720" customFormat="1" x14ac:dyDescent="0.2"/>
    <row r="6721" customFormat="1" x14ac:dyDescent="0.2"/>
    <row r="6722" customFormat="1" x14ac:dyDescent="0.2"/>
    <row r="6723" customFormat="1" x14ac:dyDescent="0.2"/>
    <row r="6724" customFormat="1" x14ac:dyDescent="0.2"/>
    <row r="6725" customFormat="1" x14ac:dyDescent="0.2"/>
    <row r="6726" customFormat="1" x14ac:dyDescent="0.2"/>
    <row r="6727" customFormat="1" x14ac:dyDescent="0.2"/>
    <row r="6728" customFormat="1" x14ac:dyDescent="0.2"/>
    <row r="6729" customFormat="1" x14ac:dyDescent="0.2"/>
    <row r="6730" customFormat="1" x14ac:dyDescent="0.2"/>
    <row r="6731" customFormat="1" x14ac:dyDescent="0.2"/>
    <row r="6732" customFormat="1" x14ac:dyDescent="0.2"/>
    <row r="6733" customFormat="1" x14ac:dyDescent="0.2"/>
    <row r="6734" customFormat="1" x14ac:dyDescent="0.2"/>
    <row r="6735" customFormat="1" x14ac:dyDescent="0.2"/>
    <row r="6736" customFormat="1" x14ac:dyDescent="0.2"/>
    <row r="6737" customFormat="1" x14ac:dyDescent="0.2"/>
    <row r="6738" customFormat="1" x14ac:dyDescent="0.2"/>
    <row r="6739" customFormat="1" x14ac:dyDescent="0.2"/>
    <row r="6740" customFormat="1" x14ac:dyDescent="0.2"/>
    <row r="6741" customFormat="1" x14ac:dyDescent="0.2"/>
    <row r="6742" customFormat="1" x14ac:dyDescent="0.2"/>
    <row r="6743" customFormat="1" x14ac:dyDescent="0.2"/>
    <row r="6744" customFormat="1" x14ac:dyDescent="0.2"/>
    <row r="6745" customFormat="1" x14ac:dyDescent="0.2"/>
    <row r="6746" customFormat="1" x14ac:dyDescent="0.2"/>
    <row r="6747" customFormat="1" x14ac:dyDescent="0.2"/>
    <row r="6748" customFormat="1" x14ac:dyDescent="0.2"/>
    <row r="6749" customFormat="1" x14ac:dyDescent="0.2"/>
    <row r="6750" customFormat="1" x14ac:dyDescent="0.2"/>
    <row r="6751" customFormat="1" x14ac:dyDescent="0.2"/>
    <row r="6752" customFormat="1" x14ac:dyDescent="0.2"/>
    <row r="6753" customFormat="1" x14ac:dyDescent="0.2"/>
    <row r="6754" customFormat="1" x14ac:dyDescent="0.2"/>
    <row r="6755" customFormat="1" x14ac:dyDescent="0.2"/>
    <row r="6756" customFormat="1" x14ac:dyDescent="0.2"/>
    <row r="6757" customFormat="1" x14ac:dyDescent="0.2"/>
    <row r="6758" customFormat="1" x14ac:dyDescent="0.2"/>
    <row r="6759" customFormat="1" x14ac:dyDescent="0.2"/>
    <row r="6760" customFormat="1" x14ac:dyDescent="0.2"/>
    <row r="6761" customFormat="1" x14ac:dyDescent="0.2"/>
    <row r="6762" customFormat="1" x14ac:dyDescent="0.2"/>
    <row r="6763" customFormat="1" x14ac:dyDescent="0.2"/>
    <row r="6764" customFormat="1" x14ac:dyDescent="0.2"/>
    <row r="6765" customFormat="1" x14ac:dyDescent="0.2"/>
    <row r="6766" customFormat="1" x14ac:dyDescent="0.2"/>
    <row r="6767" customFormat="1" x14ac:dyDescent="0.2"/>
    <row r="6768" customFormat="1" x14ac:dyDescent="0.2"/>
    <row r="6769" customFormat="1" x14ac:dyDescent="0.2"/>
    <row r="6770" customFormat="1" x14ac:dyDescent="0.2"/>
    <row r="6771" customFormat="1" x14ac:dyDescent="0.2"/>
    <row r="6772" customFormat="1" x14ac:dyDescent="0.2"/>
    <row r="6773" customFormat="1" x14ac:dyDescent="0.2"/>
    <row r="6774" customFormat="1" x14ac:dyDescent="0.2"/>
    <row r="6775" customFormat="1" x14ac:dyDescent="0.2"/>
    <row r="6776" customFormat="1" x14ac:dyDescent="0.2"/>
    <row r="6777" customFormat="1" x14ac:dyDescent="0.2"/>
    <row r="6778" customFormat="1" x14ac:dyDescent="0.2"/>
    <row r="6779" customFormat="1" x14ac:dyDescent="0.2"/>
    <row r="6780" customFormat="1" x14ac:dyDescent="0.2"/>
    <row r="6781" customFormat="1" x14ac:dyDescent="0.2"/>
    <row r="6782" customFormat="1" x14ac:dyDescent="0.2"/>
    <row r="6783" customFormat="1" x14ac:dyDescent="0.2"/>
    <row r="6784" customFormat="1" x14ac:dyDescent="0.2"/>
    <row r="6785" customFormat="1" x14ac:dyDescent="0.2"/>
    <row r="6786" customFormat="1" x14ac:dyDescent="0.2"/>
    <row r="6787" customFormat="1" x14ac:dyDescent="0.2"/>
    <row r="6788" customFormat="1" x14ac:dyDescent="0.2"/>
    <row r="6789" customFormat="1" x14ac:dyDescent="0.2"/>
    <row r="6790" customFormat="1" x14ac:dyDescent="0.2"/>
    <row r="6791" customFormat="1" x14ac:dyDescent="0.2"/>
    <row r="6792" customFormat="1" x14ac:dyDescent="0.2"/>
    <row r="6793" customFormat="1" x14ac:dyDescent="0.2"/>
    <row r="6794" customFormat="1" x14ac:dyDescent="0.2"/>
    <row r="6795" customFormat="1" x14ac:dyDescent="0.2"/>
    <row r="6796" customFormat="1" x14ac:dyDescent="0.2"/>
    <row r="6797" customFormat="1" x14ac:dyDescent="0.2"/>
    <row r="6798" customFormat="1" x14ac:dyDescent="0.2"/>
    <row r="6799" customFormat="1" x14ac:dyDescent="0.2"/>
    <row r="6800" customFormat="1" x14ac:dyDescent="0.2"/>
    <row r="6801" customFormat="1" x14ac:dyDescent="0.2"/>
    <row r="6802" customFormat="1" x14ac:dyDescent="0.2"/>
    <row r="6803" customFormat="1" x14ac:dyDescent="0.2"/>
    <row r="6804" customFormat="1" x14ac:dyDescent="0.2"/>
    <row r="6805" customFormat="1" x14ac:dyDescent="0.2"/>
    <row r="6806" customFormat="1" x14ac:dyDescent="0.2"/>
    <row r="6807" customFormat="1" x14ac:dyDescent="0.2"/>
    <row r="6808" customFormat="1" x14ac:dyDescent="0.2"/>
    <row r="6809" customFormat="1" x14ac:dyDescent="0.2"/>
    <row r="6810" customFormat="1" x14ac:dyDescent="0.2"/>
    <row r="6811" customFormat="1" x14ac:dyDescent="0.2"/>
    <row r="6812" customFormat="1" x14ac:dyDescent="0.2"/>
    <row r="6813" customFormat="1" x14ac:dyDescent="0.2"/>
    <row r="6814" customFormat="1" x14ac:dyDescent="0.2"/>
    <row r="6815" customFormat="1" x14ac:dyDescent="0.2"/>
    <row r="6816" customFormat="1" x14ac:dyDescent="0.2"/>
    <row r="6817" customFormat="1" x14ac:dyDescent="0.2"/>
    <row r="6818" customFormat="1" x14ac:dyDescent="0.2"/>
    <row r="6819" customFormat="1" x14ac:dyDescent="0.2"/>
    <row r="6820" customFormat="1" x14ac:dyDescent="0.2"/>
    <row r="6821" customFormat="1" x14ac:dyDescent="0.2"/>
    <row r="6822" customFormat="1" x14ac:dyDescent="0.2"/>
    <row r="6823" customFormat="1" x14ac:dyDescent="0.2"/>
    <row r="6824" customFormat="1" x14ac:dyDescent="0.2"/>
    <row r="6825" customFormat="1" x14ac:dyDescent="0.2"/>
    <row r="6826" customFormat="1" x14ac:dyDescent="0.2"/>
    <row r="6827" customFormat="1" x14ac:dyDescent="0.2"/>
    <row r="6828" customFormat="1" x14ac:dyDescent="0.2"/>
    <row r="6829" customFormat="1" x14ac:dyDescent="0.2"/>
    <row r="6830" customFormat="1" x14ac:dyDescent="0.2"/>
    <row r="6831" customFormat="1" x14ac:dyDescent="0.2"/>
    <row r="6832" customFormat="1" x14ac:dyDescent="0.2"/>
    <row r="6833" customFormat="1" x14ac:dyDescent="0.2"/>
    <row r="6834" customFormat="1" x14ac:dyDescent="0.2"/>
    <row r="6835" customFormat="1" x14ac:dyDescent="0.2"/>
    <row r="6836" customFormat="1" x14ac:dyDescent="0.2"/>
    <row r="6837" customFormat="1" x14ac:dyDescent="0.2"/>
    <row r="6838" customFormat="1" x14ac:dyDescent="0.2"/>
    <row r="6839" customFormat="1" x14ac:dyDescent="0.2"/>
    <row r="6840" customFormat="1" x14ac:dyDescent="0.2"/>
    <row r="6841" customFormat="1" x14ac:dyDescent="0.2"/>
    <row r="6842" customFormat="1" x14ac:dyDescent="0.2"/>
    <row r="6843" customFormat="1" x14ac:dyDescent="0.2"/>
    <row r="6844" customFormat="1" x14ac:dyDescent="0.2"/>
    <row r="6845" customFormat="1" x14ac:dyDescent="0.2"/>
    <row r="6846" customFormat="1" x14ac:dyDescent="0.2"/>
    <row r="6847" customFormat="1" x14ac:dyDescent="0.2"/>
    <row r="6848" customFormat="1" x14ac:dyDescent="0.2"/>
    <row r="6849" customFormat="1" x14ac:dyDescent="0.2"/>
    <row r="6850" customFormat="1" x14ac:dyDescent="0.2"/>
    <row r="6851" customFormat="1" x14ac:dyDescent="0.2"/>
    <row r="6852" customFormat="1" x14ac:dyDescent="0.2"/>
    <row r="6853" customFormat="1" x14ac:dyDescent="0.2"/>
    <row r="6854" customFormat="1" x14ac:dyDescent="0.2"/>
    <row r="6855" customFormat="1" x14ac:dyDescent="0.2"/>
    <row r="6856" customFormat="1" x14ac:dyDescent="0.2"/>
    <row r="6857" customFormat="1" x14ac:dyDescent="0.2"/>
    <row r="6858" customFormat="1" x14ac:dyDescent="0.2"/>
    <row r="6859" customFormat="1" x14ac:dyDescent="0.2"/>
    <row r="6860" customFormat="1" x14ac:dyDescent="0.2"/>
    <row r="6861" customFormat="1" x14ac:dyDescent="0.2"/>
    <row r="6862" customFormat="1" x14ac:dyDescent="0.2"/>
    <row r="6863" customFormat="1" x14ac:dyDescent="0.2"/>
    <row r="6864" customFormat="1" x14ac:dyDescent="0.2"/>
    <row r="6865" customFormat="1" x14ac:dyDescent="0.2"/>
    <row r="6866" customFormat="1" x14ac:dyDescent="0.2"/>
    <row r="6867" customFormat="1" x14ac:dyDescent="0.2"/>
    <row r="6868" customFormat="1" x14ac:dyDescent="0.2"/>
    <row r="6869" customFormat="1" x14ac:dyDescent="0.2"/>
    <row r="6870" customFormat="1" x14ac:dyDescent="0.2"/>
    <row r="6871" customFormat="1" x14ac:dyDescent="0.2"/>
    <row r="6872" customFormat="1" x14ac:dyDescent="0.2"/>
    <row r="6873" customFormat="1" x14ac:dyDescent="0.2"/>
    <row r="6874" customFormat="1" x14ac:dyDescent="0.2"/>
    <row r="6875" customFormat="1" x14ac:dyDescent="0.2"/>
    <row r="6876" customFormat="1" x14ac:dyDescent="0.2"/>
    <row r="6877" customFormat="1" x14ac:dyDescent="0.2"/>
    <row r="6878" customFormat="1" x14ac:dyDescent="0.2"/>
    <row r="6879" customFormat="1" x14ac:dyDescent="0.2"/>
    <row r="6880" customFormat="1" x14ac:dyDescent="0.2"/>
    <row r="6881" customFormat="1" x14ac:dyDescent="0.2"/>
    <row r="6882" customFormat="1" x14ac:dyDescent="0.2"/>
    <row r="6883" customFormat="1" x14ac:dyDescent="0.2"/>
    <row r="6884" customFormat="1" x14ac:dyDescent="0.2"/>
    <row r="6885" customFormat="1" x14ac:dyDescent="0.2"/>
    <row r="6886" customFormat="1" x14ac:dyDescent="0.2"/>
    <row r="6887" customFormat="1" x14ac:dyDescent="0.2"/>
    <row r="6888" customFormat="1" x14ac:dyDescent="0.2"/>
    <row r="6889" customFormat="1" x14ac:dyDescent="0.2"/>
    <row r="6890" customFormat="1" x14ac:dyDescent="0.2"/>
    <row r="6891" customFormat="1" x14ac:dyDescent="0.2"/>
    <row r="6892" customFormat="1" x14ac:dyDescent="0.2"/>
    <row r="6893" customFormat="1" x14ac:dyDescent="0.2"/>
    <row r="6894" customFormat="1" x14ac:dyDescent="0.2"/>
    <row r="6895" customFormat="1" x14ac:dyDescent="0.2"/>
    <row r="6896" customFormat="1" x14ac:dyDescent="0.2"/>
    <row r="6897" customFormat="1" x14ac:dyDescent="0.2"/>
    <row r="6898" customFormat="1" x14ac:dyDescent="0.2"/>
    <row r="6899" customFormat="1" x14ac:dyDescent="0.2"/>
    <row r="6900" customFormat="1" x14ac:dyDescent="0.2"/>
    <row r="6901" customFormat="1" x14ac:dyDescent="0.2"/>
    <row r="6902" customFormat="1" x14ac:dyDescent="0.2"/>
    <row r="6903" customFormat="1" x14ac:dyDescent="0.2"/>
    <row r="6904" customFormat="1" x14ac:dyDescent="0.2"/>
    <row r="6905" customFormat="1" x14ac:dyDescent="0.2"/>
    <row r="6906" customFormat="1" x14ac:dyDescent="0.2"/>
    <row r="6907" customFormat="1" x14ac:dyDescent="0.2"/>
    <row r="6908" customFormat="1" x14ac:dyDescent="0.2"/>
    <row r="6909" customFormat="1" x14ac:dyDescent="0.2"/>
    <row r="6910" customFormat="1" x14ac:dyDescent="0.2"/>
    <row r="6911" customFormat="1" x14ac:dyDescent="0.2"/>
    <row r="6912" customFormat="1" x14ac:dyDescent="0.2"/>
    <row r="6913" customFormat="1" x14ac:dyDescent="0.2"/>
    <row r="6914" customFormat="1" x14ac:dyDescent="0.2"/>
    <row r="6915" customFormat="1" x14ac:dyDescent="0.2"/>
    <row r="6916" customFormat="1" x14ac:dyDescent="0.2"/>
    <row r="6917" customFormat="1" x14ac:dyDescent="0.2"/>
    <row r="6918" customFormat="1" x14ac:dyDescent="0.2"/>
    <row r="6919" customFormat="1" x14ac:dyDescent="0.2"/>
    <row r="6920" customFormat="1" x14ac:dyDescent="0.2"/>
    <row r="6921" customFormat="1" x14ac:dyDescent="0.2"/>
    <row r="6922" customFormat="1" x14ac:dyDescent="0.2"/>
    <row r="6923" customFormat="1" x14ac:dyDescent="0.2"/>
    <row r="6924" customFormat="1" x14ac:dyDescent="0.2"/>
    <row r="6925" customFormat="1" x14ac:dyDescent="0.2"/>
    <row r="6926" customFormat="1" x14ac:dyDescent="0.2"/>
    <row r="6927" customFormat="1" x14ac:dyDescent="0.2"/>
    <row r="6928" customFormat="1" x14ac:dyDescent="0.2"/>
    <row r="6929" customFormat="1" x14ac:dyDescent="0.2"/>
    <row r="6930" customFormat="1" x14ac:dyDescent="0.2"/>
    <row r="6931" customFormat="1" x14ac:dyDescent="0.2"/>
    <row r="6932" customFormat="1" x14ac:dyDescent="0.2"/>
    <row r="6933" customFormat="1" x14ac:dyDescent="0.2"/>
    <row r="6934" customFormat="1" x14ac:dyDescent="0.2"/>
    <row r="6935" customFormat="1" x14ac:dyDescent="0.2"/>
    <row r="6936" customFormat="1" x14ac:dyDescent="0.2"/>
    <row r="6937" customFormat="1" x14ac:dyDescent="0.2"/>
    <row r="6938" customFormat="1" x14ac:dyDescent="0.2"/>
    <row r="6939" customFormat="1" x14ac:dyDescent="0.2"/>
    <row r="6940" customFormat="1" x14ac:dyDescent="0.2"/>
    <row r="6941" customFormat="1" x14ac:dyDescent="0.2"/>
    <row r="6942" customFormat="1" x14ac:dyDescent="0.2"/>
    <row r="6943" customFormat="1" x14ac:dyDescent="0.2"/>
    <row r="6944" customFormat="1" x14ac:dyDescent="0.2"/>
    <row r="6945" customFormat="1" x14ac:dyDescent="0.2"/>
    <row r="6946" customFormat="1" x14ac:dyDescent="0.2"/>
    <row r="6947" customFormat="1" x14ac:dyDescent="0.2"/>
    <row r="6948" customFormat="1" x14ac:dyDescent="0.2"/>
    <row r="6949" customFormat="1" x14ac:dyDescent="0.2"/>
    <row r="6950" customFormat="1" x14ac:dyDescent="0.2"/>
    <row r="6951" customFormat="1" x14ac:dyDescent="0.2"/>
    <row r="6952" customFormat="1" x14ac:dyDescent="0.2"/>
    <row r="6953" customFormat="1" x14ac:dyDescent="0.2"/>
    <row r="6954" customFormat="1" x14ac:dyDescent="0.2"/>
    <row r="6955" customFormat="1" x14ac:dyDescent="0.2"/>
    <row r="6956" customFormat="1" x14ac:dyDescent="0.2"/>
    <row r="6957" customFormat="1" x14ac:dyDescent="0.2"/>
    <row r="6958" customFormat="1" x14ac:dyDescent="0.2"/>
    <row r="6959" customFormat="1" x14ac:dyDescent="0.2"/>
    <row r="6960" customFormat="1" x14ac:dyDescent="0.2"/>
    <row r="6961" customFormat="1" x14ac:dyDescent="0.2"/>
    <row r="6962" customFormat="1" x14ac:dyDescent="0.2"/>
    <row r="6963" customFormat="1" x14ac:dyDescent="0.2"/>
    <row r="6964" customFormat="1" x14ac:dyDescent="0.2"/>
    <row r="6965" customFormat="1" x14ac:dyDescent="0.2"/>
    <row r="6966" customFormat="1" x14ac:dyDescent="0.2"/>
    <row r="6967" customFormat="1" x14ac:dyDescent="0.2"/>
    <row r="6968" customFormat="1" x14ac:dyDescent="0.2"/>
    <row r="6969" customFormat="1" x14ac:dyDescent="0.2"/>
    <row r="6970" customFormat="1" x14ac:dyDescent="0.2"/>
    <row r="6971" customFormat="1" x14ac:dyDescent="0.2"/>
    <row r="6972" customFormat="1" x14ac:dyDescent="0.2"/>
    <row r="6973" customFormat="1" x14ac:dyDescent="0.2"/>
    <row r="6974" customFormat="1" x14ac:dyDescent="0.2"/>
    <row r="6975" customFormat="1" x14ac:dyDescent="0.2"/>
    <row r="6976" customFormat="1" x14ac:dyDescent="0.2"/>
    <row r="6977" customFormat="1" x14ac:dyDescent="0.2"/>
    <row r="6978" customFormat="1" x14ac:dyDescent="0.2"/>
    <row r="6979" customFormat="1" x14ac:dyDescent="0.2"/>
    <row r="6980" customFormat="1" x14ac:dyDescent="0.2"/>
    <row r="6981" customFormat="1" x14ac:dyDescent="0.2"/>
    <row r="6982" customFormat="1" x14ac:dyDescent="0.2"/>
    <row r="6983" customFormat="1" x14ac:dyDescent="0.2"/>
    <row r="6984" customFormat="1" x14ac:dyDescent="0.2"/>
    <row r="6985" customFormat="1" x14ac:dyDescent="0.2"/>
    <row r="6986" customFormat="1" x14ac:dyDescent="0.2"/>
    <row r="6987" customFormat="1" x14ac:dyDescent="0.2"/>
    <row r="6988" customFormat="1" x14ac:dyDescent="0.2"/>
    <row r="6989" customFormat="1" x14ac:dyDescent="0.2"/>
    <row r="6990" customFormat="1" x14ac:dyDescent="0.2"/>
    <row r="6991" customFormat="1" x14ac:dyDescent="0.2"/>
    <row r="6992" customFormat="1" x14ac:dyDescent="0.2"/>
    <row r="6993" customFormat="1" x14ac:dyDescent="0.2"/>
    <row r="6994" customFormat="1" x14ac:dyDescent="0.2"/>
    <row r="6995" customFormat="1" x14ac:dyDescent="0.2"/>
    <row r="6996" customFormat="1" x14ac:dyDescent="0.2"/>
    <row r="6997" customFormat="1" x14ac:dyDescent="0.2"/>
    <row r="6998" customFormat="1" x14ac:dyDescent="0.2"/>
    <row r="6999" customFormat="1" x14ac:dyDescent="0.2"/>
    <row r="7000" customFormat="1" x14ac:dyDescent="0.2"/>
    <row r="7001" customFormat="1" x14ac:dyDescent="0.2"/>
    <row r="7002" customFormat="1" x14ac:dyDescent="0.2"/>
    <row r="7003" customFormat="1" x14ac:dyDescent="0.2"/>
    <row r="7004" customFormat="1" x14ac:dyDescent="0.2"/>
    <row r="7005" customFormat="1" x14ac:dyDescent="0.2"/>
    <row r="7006" customFormat="1" x14ac:dyDescent="0.2"/>
    <row r="7007" customFormat="1" x14ac:dyDescent="0.2"/>
    <row r="7008" customFormat="1" x14ac:dyDescent="0.2"/>
    <row r="7009" customFormat="1" x14ac:dyDescent="0.2"/>
    <row r="7010" customFormat="1" x14ac:dyDescent="0.2"/>
    <row r="7011" customFormat="1" x14ac:dyDescent="0.2"/>
    <row r="7012" customFormat="1" x14ac:dyDescent="0.2"/>
    <row r="7013" customFormat="1" x14ac:dyDescent="0.2"/>
    <row r="7014" customFormat="1" x14ac:dyDescent="0.2"/>
    <row r="7015" customFormat="1" x14ac:dyDescent="0.2"/>
    <row r="7016" customFormat="1" x14ac:dyDescent="0.2"/>
    <row r="7017" customFormat="1" x14ac:dyDescent="0.2"/>
    <row r="7018" customFormat="1" x14ac:dyDescent="0.2"/>
    <row r="7019" customFormat="1" x14ac:dyDescent="0.2"/>
    <row r="7020" customFormat="1" x14ac:dyDescent="0.2"/>
    <row r="7021" customFormat="1" x14ac:dyDescent="0.2"/>
    <row r="7022" customFormat="1" x14ac:dyDescent="0.2"/>
    <row r="7023" customFormat="1" x14ac:dyDescent="0.2"/>
    <row r="7024" customFormat="1" x14ac:dyDescent="0.2"/>
    <row r="7025" customFormat="1" x14ac:dyDescent="0.2"/>
    <row r="7026" customFormat="1" x14ac:dyDescent="0.2"/>
    <row r="7027" customFormat="1" x14ac:dyDescent="0.2"/>
    <row r="7028" customFormat="1" x14ac:dyDescent="0.2"/>
    <row r="7029" customFormat="1" x14ac:dyDescent="0.2"/>
    <row r="7030" customFormat="1" x14ac:dyDescent="0.2"/>
    <row r="7031" customFormat="1" x14ac:dyDescent="0.2"/>
    <row r="7032" customFormat="1" x14ac:dyDescent="0.2"/>
    <row r="7033" customFormat="1" x14ac:dyDescent="0.2"/>
    <row r="7034" customFormat="1" x14ac:dyDescent="0.2"/>
    <row r="7035" customFormat="1" x14ac:dyDescent="0.2"/>
    <row r="7036" customFormat="1" x14ac:dyDescent="0.2"/>
    <row r="7037" customFormat="1" x14ac:dyDescent="0.2"/>
    <row r="7038" customFormat="1" x14ac:dyDescent="0.2"/>
    <row r="7039" customFormat="1" x14ac:dyDescent="0.2"/>
    <row r="7040" customFormat="1" x14ac:dyDescent="0.2"/>
    <row r="7041" customFormat="1" x14ac:dyDescent="0.2"/>
    <row r="7042" customFormat="1" x14ac:dyDescent="0.2"/>
    <row r="7043" customFormat="1" x14ac:dyDescent="0.2"/>
    <row r="7044" customFormat="1" x14ac:dyDescent="0.2"/>
    <row r="7045" customFormat="1" x14ac:dyDescent="0.2"/>
    <row r="7046" customFormat="1" x14ac:dyDescent="0.2"/>
    <row r="7047" customFormat="1" x14ac:dyDescent="0.2"/>
    <row r="7048" customFormat="1" x14ac:dyDescent="0.2"/>
    <row r="7049" customFormat="1" x14ac:dyDescent="0.2"/>
    <row r="7050" customFormat="1" x14ac:dyDescent="0.2"/>
    <row r="7051" customFormat="1" x14ac:dyDescent="0.2"/>
    <row r="7052" customFormat="1" x14ac:dyDescent="0.2"/>
    <row r="7053" customFormat="1" x14ac:dyDescent="0.2"/>
    <row r="7054" customFormat="1" x14ac:dyDescent="0.2"/>
    <row r="7055" customFormat="1" x14ac:dyDescent="0.2"/>
    <row r="7056" customFormat="1" x14ac:dyDescent="0.2"/>
    <row r="7057" customFormat="1" x14ac:dyDescent="0.2"/>
    <row r="7058" customFormat="1" x14ac:dyDescent="0.2"/>
    <row r="7059" customFormat="1" x14ac:dyDescent="0.2"/>
    <row r="7060" customFormat="1" x14ac:dyDescent="0.2"/>
    <row r="7061" customFormat="1" x14ac:dyDescent="0.2"/>
    <row r="7062" customFormat="1" x14ac:dyDescent="0.2"/>
    <row r="7063" customFormat="1" x14ac:dyDescent="0.2"/>
    <row r="7064" customFormat="1" x14ac:dyDescent="0.2"/>
    <row r="7065" customFormat="1" x14ac:dyDescent="0.2"/>
    <row r="7066" customFormat="1" x14ac:dyDescent="0.2"/>
    <row r="7067" customFormat="1" x14ac:dyDescent="0.2"/>
    <row r="7068" customFormat="1" x14ac:dyDescent="0.2"/>
    <row r="7069" customFormat="1" x14ac:dyDescent="0.2"/>
    <row r="7070" customFormat="1" x14ac:dyDescent="0.2"/>
    <row r="7071" customFormat="1" x14ac:dyDescent="0.2"/>
    <row r="7072" customFormat="1" x14ac:dyDescent="0.2"/>
    <row r="7073" customFormat="1" x14ac:dyDescent="0.2"/>
    <row r="7074" customFormat="1" x14ac:dyDescent="0.2"/>
    <row r="7075" customFormat="1" x14ac:dyDescent="0.2"/>
    <row r="7076" customFormat="1" x14ac:dyDescent="0.2"/>
    <row r="7077" customFormat="1" x14ac:dyDescent="0.2"/>
    <row r="7078" customFormat="1" x14ac:dyDescent="0.2"/>
    <row r="7079" customFormat="1" x14ac:dyDescent="0.2"/>
    <row r="7080" customFormat="1" x14ac:dyDescent="0.2"/>
    <row r="7081" customFormat="1" x14ac:dyDescent="0.2"/>
    <row r="7082" customFormat="1" x14ac:dyDescent="0.2"/>
    <row r="7083" customFormat="1" x14ac:dyDescent="0.2"/>
    <row r="7084" customFormat="1" x14ac:dyDescent="0.2"/>
    <row r="7085" customFormat="1" x14ac:dyDescent="0.2"/>
    <row r="7086" customFormat="1" x14ac:dyDescent="0.2"/>
    <row r="7087" customFormat="1" x14ac:dyDescent="0.2"/>
    <row r="7088" customFormat="1" x14ac:dyDescent="0.2"/>
    <row r="7089" customFormat="1" x14ac:dyDescent="0.2"/>
    <row r="7090" customFormat="1" x14ac:dyDescent="0.2"/>
    <row r="7091" customFormat="1" x14ac:dyDescent="0.2"/>
    <row r="7092" customFormat="1" x14ac:dyDescent="0.2"/>
    <row r="7093" customFormat="1" x14ac:dyDescent="0.2"/>
    <row r="7094" customFormat="1" x14ac:dyDescent="0.2"/>
    <row r="7095" customFormat="1" x14ac:dyDescent="0.2"/>
    <row r="7096" customFormat="1" x14ac:dyDescent="0.2"/>
    <row r="7097" customFormat="1" x14ac:dyDescent="0.2"/>
    <row r="7098" customFormat="1" x14ac:dyDescent="0.2"/>
    <row r="7099" customFormat="1" x14ac:dyDescent="0.2"/>
    <row r="7100" customFormat="1" x14ac:dyDescent="0.2"/>
    <row r="7101" customFormat="1" x14ac:dyDescent="0.2"/>
    <row r="7102" customFormat="1" x14ac:dyDescent="0.2"/>
    <row r="7103" customFormat="1" x14ac:dyDescent="0.2"/>
    <row r="7104" customFormat="1" x14ac:dyDescent="0.2"/>
    <row r="7105" customFormat="1" x14ac:dyDescent="0.2"/>
    <row r="7106" customFormat="1" x14ac:dyDescent="0.2"/>
    <row r="7107" customFormat="1" x14ac:dyDescent="0.2"/>
    <row r="7108" customFormat="1" x14ac:dyDescent="0.2"/>
    <row r="7109" customFormat="1" x14ac:dyDescent="0.2"/>
    <row r="7110" customFormat="1" x14ac:dyDescent="0.2"/>
    <row r="7111" customFormat="1" x14ac:dyDescent="0.2"/>
    <row r="7112" customFormat="1" x14ac:dyDescent="0.2"/>
    <row r="7113" customFormat="1" x14ac:dyDescent="0.2"/>
    <row r="7114" customFormat="1" x14ac:dyDescent="0.2"/>
    <row r="7115" customFormat="1" x14ac:dyDescent="0.2"/>
    <row r="7116" customFormat="1" x14ac:dyDescent="0.2"/>
    <row r="7117" customFormat="1" x14ac:dyDescent="0.2"/>
    <row r="7118" customFormat="1" x14ac:dyDescent="0.2"/>
    <row r="7119" customFormat="1" x14ac:dyDescent="0.2"/>
    <row r="7120" customFormat="1" x14ac:dyDescent="0.2"/>
    <row r="7121" customFormat="1" x14ac:dyDescent="0.2"/>
    <row r="7122" customFormat="1" x14ac:dyDescent="0.2"/>
    <row r="7123" customFormat="1" x14ac:dyDescent="0.2"/>
    <row r="7124" customFormat="1" x14ac:dyDescent="0.2"/>
    <row r="7125" customFormat="1" x14ac:dyDescent="0.2"/>
    <row r="7126" customFormat="1" x14ac:dyDescent="0.2"/>
    <row r="7127" customFormat="1" x14ac:dyDescent="0.2"/>
    <row r="7128" customFormat="1" x14ac:dyDescent="0.2"/>
    <row r="7129" customFormat="1" x14ac:dyDescent="0.2"/>
    <row r="7130" customFormat="1" x14ac:dyDescent="0.2"/>
    <row r="7131" customFormat="1" x14ac:dyDescent="0.2"/>
    <row r="7132" customFormat="1" x14ac:dyDescent="0.2"/>
    <row r="7133" customFormat="1" x14ac:dyDescent="0.2"/>
    <row r="7134" customFormat="1" x14ac:dyDescent="0.2"/>
    <row r="7135" customFormat="1" x14ac:dyDescent="0.2"/>
    <row r="7136" customFormat="1" x14ac:dyDescent="0.2"/>
    <row r="7137" customFormat="1" x14ac:dyDescent="0.2"/>
    <row r="7138" customFormat="1" x14ac:dyDescent="0.2"/>
    <row r="7139" customFormat="1" x14ac:dyDescent="0.2"/>
    <row r="7140" customFormat="1" x14ac:dyDescent="0.2"/>
    <row r="7141" customFormat="1" x14ac:dyDescent="0.2"/>
    <row r="7142" customFormat="1" x14ac:dyDescent="0.2"/>
    <row r="7143" customFormat="1" x14ac:dyDescent="0.2"/>
    <row r="7144" customFormat="1" x14ac:dyDescent="0.2"/>
    <row r="7145" customFormat="1" x14ac:dyDescent="0.2"/>
    <row r="7146" customFormat="1" x14ac:dyDescent="0.2"/>
    <row r="7147" customFormat="1" x14ac:dyDescent="0.2"/>
    <row r="7148" customFormat="1" x14ac:dyDescent="0.2"/>
    <row r="7149" customFormat="1" x14ac:dyDescent="0.2"/>
    <row r="7150" customFormat="1" x14ac:dyDescent="0.2"/>
    <row r="7151" customFormat="1" x14ac:dyDescent="0.2"/>
    <row r="7152" customFormat="1" x14ac:dyDescent="0.2"/>
    <row r="7153" customFormat="1" x14ac:dyDescent="0.2"/>
    <row r="7154" customFormat="1" x14ac:dyDescent="0.2"/>
    <row r="7155" customFormat="1" x14ac:dyDescent="0.2"/>
    <row r="7156" customFormat="1" x14ac:dyDescent="0.2"/>
    <row r="7157" customFormat="1" x14ac:dyDescent="0.2"/>
    <row r="7158" customFormat="1" x14ac:dyDescent="0.2"/>
    <row r="7159" customFormat="1" x14ac:dyDescent="0.2"/>
    <row r="7160" customFormat="1" x14ac:dyDescent="0.2"/>
    <row r="7161" customFormat="1" x14ac:dyDescent="0.2"/>
    <row r="7162" customFormat="1" x14ac:dyDescent="0.2"/>
    <row r="7163" customFormat="1" x14ac:dyDescent="0.2"/>
    <row r="7164" customFormat="1" x14ac:dyDescent="0.2"/>
    <row r="7165" customFormat="1" x14ac:dyDescent="0.2"/>
    <row r="7166" customFormat="1" x14ac:dyDescent="0.2"/>
    <row r="7167" customFormat="1" x14ac:dyDescent="0.2"/>
    <row r="7168" customFormat="1" x14ac:dyDescent="0.2"/>
    <row r="7169" customFormat="1" x14ac:dyDescent="0.2"/>
    <row r="7170" customFormat="1" x14ac:dyDescent="0.2"/>
    <row r="7171" customFormat="1" x14ac:dyDescent="0.2"/>
    <row r="7172" customFormat="1" x14ac:dyDescent="0.2"/>
    <row r="7173" customFormat="1" x14ac:dyDescent="0.2"/>
    <row r="7174" customFormat="1" x14ac:dyDescent="0.2"/>
    <row r="7175" customFormat="1" x14ac:dyDescent="0.2"/>
    <row r="7176" customFormat="1" x14ac:dyDescent="0.2"/>
    <row r="7177" customFormat="1" x14ac:dyDescent="0.2"/>
    <row r="7178" customFormat="1" x14ac:dyDescent="0.2"/>
    <row r="7179" customFormat="1" x14ac:dyDescent="0.2"/>
    <row r="7180" customFormat="1" x14ac:dyDescent="0.2"/>
    <row r="7181" customFormat="1" x14ac:dyDescent="0.2"/>
    <row r="7182" customFormat="1" x14ac:dyDescent="0.2"/>
    <row r="7183" customFormat="1" x14ac:dyDescent="0.2"/>
    <row r="7184" customFormat="1" x14ac:dyDescent="0.2"/>
    <row r="7185" customFormat="1" x14ac:dyDescent="0.2"/>
    <row r="7186" customFormat="1" x14ac:dyDescent="0.2"/>
    <row r="7187" customFormat="1" x14ac:dyDescent="0.2"/>
    <row r="7188" customFormat="1" x14ac:dyDescent="0.2"/>
    <row r="7189" customFormat="1" x14ac:dyDescent="0.2"/>
    <row r="7190" customFormat="1" x14ac:dyDescent="0.2"/>
    <row r="7191" customFormat="1" x14ac:dyDescent="0.2"/>
    <row r="7192" customFormat="1" x14ac:dyDescent="0.2"/>
    <row r="7193" customFormat="1" x14ac:dyDescent="0.2"/>
    <row r="7194" customFormat="1" x14ac:dyDescent="0.2"/>
    <row r="7195" customFormat="1" x14ac:dyDescent="0.2"/>
    <row r="7196" customFormat="1" x14ac:dyDescent="0.2"/>
    <row r="7197" customFormat="1" x14ac:dyDescent="0.2"/>
    <row r="7198" customFormat="1" x14ac:dyDescent="0.2"/>
    <row r="7199" customFormat="1" x14ac:dyDescent="0.2"/>
    <row r="7200" customFormat="1" x14ac:dyDescent="0.2"/>
    <row r="7201" customFormat="1" x14ac:dyDescent="0.2"/>
    <row r="7202" customFormat="1" x14ac:dyDescent="0.2"/>
    <row r="7203" customFormat="1" x14ac:dyDescent="0.2"/>
    <row r="7204" customFormat="1" x14ac:dyDescent="0.2"/>
    <row r="7205" customFormat="1" x14ac:dyDescent="0.2"/>
    <row r="7206" customFormat="1" x14ac:dyDescent="0.2"/>
    <row r="7207" customFormat="1" x14ac:dyDescent="0.2"/>
    <row r="7208" customFormat="1" x14ac:dyDescent="0.2"/>
    <row r="7209" customFormat="1" x14ac:dyDescent="0.2"/>
    <row r="7210" customFormat="1" x14ac:dyDescent="0.2"/>
    <row r="7211" customFormat="1" x14ac:dyDescent="0.2"/>
    <row r="7212" customFormat="1" x14ac:dyDescent="0.2"/>
    <row r="7213" customFormat="1" x14ac:dyDescent="0.2"/>
    <row r="7214" customFormat="1" x14ac:dyDescent="0.2"/>
    <row r="7215" customFormat="1" x14ac:dyDescent="0.2"/>
    <row r="7216" customFormat="1" x14ac:dyDescent="0.2"/>
    <row r="7217" customFormat="1" x14ac:dyDescent="0.2"/>
    <row r="7218" customFormat="1" x14ac:dyDescent="0.2"/>
    <row r="7219" customFormat="1" x14ac:dyDescent="0.2"/>
    <row r="7220" customFormat="1" x14ac:dyDescent="0.2"/>
    <row r="7221" customFormat="1" x14ac:dyDescent="0.2"/>
    <row r="7222" customFormat="1" x14ac:dyDescent="0.2"/>
    <row r="7223" customFormat="1" x14ac:dyDescent="0.2"/>
    <row r="7224" customFormat="1" x14ac:dyDescent="0.2"/>
    <row r="7225" customFormat="1" x14ac:dyDescent="0.2"/>
    <row r="7226" customFormat="1" x14ac:dyDescent="0.2"/>
    <row r="7227" customFormat="1" x14ac:dyDescent="0.2"/>
    <row r="7228" customFormat="1" x14ac:dyDescent="0.2"/>
    <row r="7229" customFormat="1" x14ac:dyDescent="0.2"/>
    <row r="7230" customFormat="1" x14ac:dyDescent="0.2"/>
    <row r="7231" customFormat="1" x14ac:dyDescent="0.2"/>
    <row r="7232" customFormat="1" x14ac:dyDescent="0.2"/>
    <row r="7233" customFormat="1" x14ac:dyDescent="0.2"/>
    <row r="7234" customFormat="1" x14ac:dyDescent="0.2"/>
    <row r="7235" customFormat="1" x14ac:dyDescent="0.2"/>
    <row r="7236" customFormat="1" x14ac:dyDescent="0.2"/>
    <row r="7237" customFormat="1" x14ac:dyDescent="0.2"/>
    <row r="7238" customFormat="1" x14ac:dyDescent="0.2"/>
    <row r="7239" customFormat="1" x14ac:dyDescent="0.2"/>
    <row r="7240" customFormat="1" x14ac:dyDescent="0.2"/>
    <row r="7241" customFormat="1" x14ac:dyDescent="0.2"/>
    <row r="7242" customFormat="1" x14ac:dyDescent="0.2"/>
    <row r="7243" customFormat="1" x14ac:dyDescent="0.2"/>
    <row r="7244" customFormat="1" x14ac:dyDescent="0.2"/>
    <row r="7245" customFormat="1" x14ac:dyDescent="0.2"/>
    <row r="7246" customFormat="1" x14ac:dyDescent="0.2"/>
    <row r="7247" customFormat="1" x14ac:dyDescent="0.2"/>
    <row r="7248" customFormat="1" x14ac:dyDescent="0.2"/>
    <row r="7249" customFormat="1" x14ac:dyDescent="0.2"/>
    <row r="7250" customFormat="1" x14ac:dyDescent="0.2"/>
    <row r="7251" customFormat="1" x14ac:dyDescent="0.2"/>
    <row r="7252" customFormat="1" x14ac:dyDescent="0.2"/>
    <row r="7253" customFormat="1" x14ac:dyDescent="0.2"/>
    <row r="7254" customFormat="1" x14ac:dyDescent="0.2"/>
    <row r="7255" customFormat="1" x14ac:dyDescent="0.2"/>
    <row r="7256" customFormat="1" x14ac:dyDescent="0.2"/>
    <row r="7257" customFormat="1" x14ac:dyDescent="0.2"/>
    <row r="7258" customFormat="1" x14ac:dyDescent="0.2"/>
    <row r="7259" customFormat="1" x14ac:dyDescent="0.2"/>
    <row r="7260" customFormat="1" x14ac:dyDescent="0.2"/>
    <row r="7261" customFormat="1" x14ac:dyDescent="0.2"/>
    <row r="7262" customFormat="1" x14ac:dyDescent="0.2"/>
    <row r="7263" customFormat="1" x14ac:dyDescent="0.2"/>
    <row r="7264" customFormat="1" x14ac:dyDescent="0.2"/>
    <row r="7265" customFormat="1" x14ac:dyDescent="0.2"/>
    <row r="7266" customFormat="1" x14ac:dyDescent="0.2"/>
    <row r="7267" customFormat="1" x14ac:dyDescent="0.2"/>
    <row r="7268" customFormat="1" x14ac:dyDescent="0.2"/>
    <row r="7269" customFormat="1" x14ac:dyDescent="0.2"/>
    <row r="7270" customFormat="1" x14ac:dyDescent="0.2"/>
    <row r="7271" customFormat="1" x14ac:dyDescent="0.2"/>
    <row r="7272" customFormat="1" x14ac:dyDescent="0.2"/>
    <row r="7273" customFormat="1" x14ac:dyDescent="0.2"/>
    <row r="7274" customFormat="1" x14ac:dyDescent="0.2"/>
    <row r="7275" customFormat="1" x14ac:dyDescent="0.2"/>
    <row r="7276" customFormat="1" x14ac:dyDescent="0.2"/>
    <row r="7277" customFormat="1" x14ac:dyDescent="0.2"/>
    <row r="7278" customFormat="1" x14ac:dyDescent="0.2"/>
    <row r="7279" customFormat="1" x14ac:dyDescent="0.2"/>
    <row r="7280" customFormat="1" x14ac:dyDescent="0.2"/>
    <row r="7281" customFormat="1" x14ac:dyDescent="0.2"/>
    <row r="7282" customFormat="1" x14ac:dyDescent="0.2"/>
    <row r="7283" customFormat="1" x14ac:dyDescent="0.2"/>
    <row r="7284" customFormat="1" x14ac:dyDescent="0.2"/>
    <row r="7285" customFormat="1" x14ac:dyDescent="0.2"/>
    <row r="7286" customFormat="1" x14ac:dyDescent="0.2"/>
    <row r="7287" customFormat="1" x14ac:dyDescent="0.2"/>
    <row r="7288" customFormat="1" x14ac:dyDescent="0.2"/>
    <row r="7289" customFormat="1" x14ac:dyDescent="0.2"/>
    <row r="7290" customFormat="1" x14ac:dyDescent="0.2"/>
    <row r="7291" customFormat="1" x14ac:dyDescent="0.2"/>
    <row r="7292" customFormat="1" x14ac:dyDescent="0.2"/>
    <row r="7293" customFormat="1" x14ac:dyDescent="0.2"/>
    <row r="7294" customFormat="1" x14ac:dyDescent="0.2"/>
    <row r="7295" customFormat="1" x14ac:dyDescent="0.2"/>
    <row r="7296" customFormat="1" x14ac:dyDescent="0.2"/>
    <row r="7297" customFormat="1" x14ac:dyDescent="0.2"/>
    <row r="7298" customFormat="1" x14ac:dyDescent="0.2"/>
    <row r="7299" customFormat="1" x14ac:dyDescent="0.2"/>
    <row r="7300" customFormat="1" x14ac:dyDescent="0.2"/>
    <row r="7301" customFormat="1" x14ac:dyDescent="0.2"/>
    <row r="7302" customFormat="1" x14ac:dyDescent="0.2"/>
    <row r="7303" customFormat="1" x14ac:dyDescent="0.2"/>
    <row r="7304" customFormat="1" x14ac:dyDescent="0.2"/>
    <row r="7305" customFormat="1" x14ac:dyDescent="0.2"/>
    <row r="7306" customFormat="1" x14ac:dyDescent="0.2"/>
    <row r="7307" customFormat="1" x14ac:dyDescent="0.2"/>
    <row r="7308" customFormat="1" x14ac:dyDescent="0.2"/>
    <row r="7309" customFormat="1" x14ac:dyDescent="0.2"/>
    <row r="7310" customFormat="1" x14ac:dyDescent="0.2"/>
    <row r="7311" customFormat="1" x14ac:dyDescent="0.2"/>
    <row r="7312" customFormat="1" x14ac:dyDescent="0.2"/>
    <row r="7313" customFormat="1" x14ac:dyDescent="0.2"/>
    <row r="7314" customFormat="1" x14ac:dyDescent="0.2"/>
    <row r="7315" customFormat="1" x14ac:dyDescent="0.2"/>
    <row r="7316" customFormat="1" x14ac:dyDescent="0.2"/>
    <row r="7317" customFormat="1" x14ac:dyDescent="0.2"/>
    <row r="7318" customFormat="1" x14ac:dyDescent="0.2"/>
    <row r="7319" customFormat="1" x14ac:dyDescent="0.2"/>
    <row r="7320" customFormat="1" x14ac:dyDescent="0.2"/>
    <row r="7321" customFormat="1" x14ac:dyDescent="0.2"/>
    <row r="7322" customFormat="1" x14ac:dyDescent="0.2"/>
    <row r="7323" customFormat="1" x14ac:dyDescent="0.2"/>
    <row r="7324" customFormat="1" x14ac:dyDescent="0.2"/>
    <row r="7325" customFormat="1" x14ac:dyDescent="0.2"/>
    <row r="7326" customFormat="1" x14ac:dyDescent="0.2"/>
    <row r="7327" customFormat="1" x14ac:dyDescent="0.2"/>
    <row r="7328" customFormat="1" x14ac:dyDescent="0.2"/>
    <row r="7329" customFormat="1" x14ac:dyDescent="0.2"/>
    <row r="7330" customFormat="1" x14ac:dyDescent="0.2"/>
    <row r="7331" customFormat="1" x14ac:dyDescent="0.2"/>
    <row r="7332" customFormat="1" x14ac:dyDescent="0.2"/>
    <row r="7333" customFormat="1" x14ac:dyDescent="0.2"/>
    <row r="7334" customFormat="1" x14ac:dyDescent="0.2"/>
    <row r="7335" customFormat="1" x14ac:dyDescent="0.2"/>
    <row r="7336" customFormat="1" x14ac:dyDescent="0.2"/>
    <row r="7337" customFormat="1" x14ac:dyDescent="0.2"/>
    <row r="7338" customFormat="1" x14ac:dyDescent="0.2"/>
    <row r="7339" customFormat="1" x14ac:dyDescent="0.2"/>
    <row r="7340" customFormat="1" x14ac:dyDescent="0.2"/>
    <row r="7341" customFormat="1" x14ac:dyDescent="0.2"/>
    <row r="7342" customFormat="1" x14ac:dyDescent="0.2"/>
    <row r="7343" customFormat="1" x14ac:dyDescent="0.2"/>
    <row r="7344" customFormat="1" x14ac:dyDescent="0.2"/>
    <row r="7345" customFormat="1" x14ac:dyDescent="0.2"/>
    <row r="7346" customFormat="1" x14ac:dyDescent="0.2"/>
    <row r="7347" customFormat="1" x14ac:dyDescent="0.2"/>
    <row r="7348" customFormat="1" x14ac:dyDescent="0.2"/>
    <row r="7349" customFormat="1" x14ac:dyDescent="0.2"/>
    <row r="7350" customFormat="1" x14ac:dyDescent="0.2"/>
    <row r="7351" customFormat="1" x14ac:dyDescent="0.2"/>
    <row r="7352" customFormat="1" x14ac:dyDescent="0.2"/>
    <row r="7353" customFormat="1" x14ac:dyDescent="0.2"/>
    <row r="7354" customFormat="1" x14ac:dyDescent="0.2"/>
    <row r="7355" customFormat="1" x14ac:dyDescent="0.2"/>
    <row r="7356" customFormat="1" x14ac:dyDescent="0.2"/>
    <row r="7357" customFormat="1" x14ac:dyDescent="0.2"/>
    <row r="7358" customFormat="1" x14ac:dyDescent="0.2"/>
    <row r="7359" customFormat="1" x14ac:dyDescent="0.2"/>
    <row r="7360" customFormat="1" x14ac:dyDescent="0.2"/>
    <row r="7361" customFormat="1" x14ac:dyDescent="0.2"/>
    <row r="7362" customFormat="1" x14ac:dyDescent="0.2"/>
    <row r="7363" customFormat="1" x14ac:dyDescent="0.2"/>
    <row r="7364" customFormat="1" x14ac:dyDescent="0.2"/>
    <row r="7365" customFormat="1" x14ac:dyDescent="0.2"/>
    <row r="7366" customFormat="1" x14ac:dyDescent="0.2"/>
    <row r="7367" customFormat="1" x14ac:dyDescent="0.2"/>
    <row r="7368" customFormat="1" x14ac:dyDescent="0.2"/>
    <row r="7369" customFormat="1" x14ac:dyDescent="0.2"/>
    <row r="7370" customFormat="1" x14ac:dyDescent="0.2"/>
    <row r="7371" customFormat="1" x14ac:dyDescent="0.2"/>
    <row r="7372" customFormat="1" x14ac:dyDescent="0.2"/>
    <row r="7373" customFormat="1" x14ac:dyDescent="0.2"/>
    <row r="7374" customFormat="1" x14ac:dyDescent="0.2"/>
    <row r="7375" customFormat="1" x14ac:dyDescent="0.2"/>
    <row r="7376" customFormat="1" x14ac:dyDescent="0.2"/>
    <row r="7377" customFormat="1" x14ac:dyDescent="0.2"/>
    <row r="7378" customFormat="1" x14ac:dyDescent="0.2"/>
    <row r="7379" customFormat="1" x14ac:dyDescent="0.2"/>
    <row r="7380" customFormat="1" x14ac:dyDescent="0.2"/>
    <row r="7381" customFormat="1" x14ac:dyDescent="0.2"/>
    <row r="7382" customFormat="1" x14ac:dyDescent="0.2"/>
    <row r="7383" customFormat="1" x14ac:dyDescent="0.2"/>
    <row r="7384" customFormat="1" x14ac:dyDescent="0.2"/>
    <row r="7385" customFormat="1" x14ac:dyDescent="0.2"/>
    <row r="7386" customFormat="1" x14ac:dyDescent="0.2"/>
    <row r="7387" customFormat="1" x14ac:dyDescent="0.2"/>
    <row r="7388" customFormat="1" x14ac:dyDescent="0.2"/>
    <row r="7389" customFormat="1" x14ac:dyDescent="0.2"/>
    <row r="7390" customFormat="1" x14ac:dyDescent="0.2"/>
    <row r="7391" customFormat="1" x14ac:dyDescent="0.2"/>
    <row r="7392" customFormat="1" x14ac:dyDescent="0.2"/>
    <row r="7393" customFormat="1" x14ac:dyDescent="0.2"/>
    <row r="7394" customFormat="1" x14ac:dyDescent="0.2"/>
    <row r="7395" customFormat="1" x14ac:dyDescent="0.2"/>
    <row r="7396" customFormat="1" x14ac:dyDescent="0.2"/>
    <row r="7397" customFormat="1" x14ac:dyDescent="0.2"/>
    <row r="7398" customFormat="1" x14ac:dyDescent="0.2"/>
    <row r="7399" customFormat="1" x14ac:dyDescent="0.2"/>
    <row r="7400" customFormat="1" x14ac:dyDescent="0.2"/>
    <row r="7401" customFormat="1" x14ac:dyDescent="0.2"/>
    <row r="7402" customFormat="1" x14ac:dyDescent="0.2"/>
    <row r="7403" customFormat="1" x14ac:dyDescent="0.2"/>
    <row r="7404" customFormat="1" x14ac:dyDescent="0.2"/>
    <row r="7405" customFormat="1" x14ac:dyDescent="0.2"/>
    <row r="7406" customFormat="1" x14ac:dyDescent="0.2"/>
    <row r="7407" customFormat="1" x14ac:dyDescent="0.2"/>
    <row r="7408" customFormat="1" x14ac:dyDescent="0.2"/>
    <row r="7409" customFormat="1" x14ac:dyDescent="0.2"/>
    <row r="7410" customFormat="1" x14ac:dyDescent="0.2"/>
    <row r="7411" customFormat="1" x14ac:dyDescent="0.2"/>
    <row r="7412" customFormat="1" x14ac:dyDescent="0.2"/>
    <row r="7413" customFormat="1" x14ac:dyDescent="0.2"/>
    <row r="7414" customFormat="1" x14ac:dyDescent="0.2"/>
    <row r="7415" customFormat="1" x14ac:dyDescent="0.2"/>
    <row r="7416" customFormat="1" x14ac:dyDescent="0.2"/>
    <row r="7417" customFormat="1" x14ac:dyDescent="0.2"/>
    <row r="7418" customFormat="1" x14ac:dyDescent="0.2"/>
    <row r="7419" customFormat="1" x14ac:dyDescent="0.2"/>
    <row r="7420" customFormat="1" x14ac:dyDescent="0.2"/>
    <row r="7421" customFormat="1" x14ac:dyDescent="0.2"/>
    <row r="7422" customFormat="1" x14ac:dyDescent="0.2"/>
    <row r="7423" customFormat="1" x14ac:dyDescent="0.2"/>
    <row r="7424" customFormat="1" x14ac:dyDescent="0.2"/>
    <row r="7425" customFormat="1" x14ac:dyDescent="0.2"/>
    <row r="7426" customFormat="1" x14ac:dyDescent="0.2"/>
    <row r="7427" customFormat="1" x14ac:dyDescent="0.2"/>
    <row r="7428" customFormat="1" x14ac:dyDescent="0.2"/>
    <row r="7429" customFormat="1" x14ac:dyDescent="0.2"/>
    <row r="7430" customFormat="1" x14ac:dyDescent="0.2"/>
    <row r="7431" customFormat="1" x14ac:dyDescent="0.2"/>
    <row r="7432" customFormat="1" x14ac:dyDescent="0.2"/>
    <row r="7433" customFormat="1" x14ac:dyDescent="0.2"/>
    <row r="7434" customFormat="1" x14ac:dyDescent="0.2"/>
    <row r="7435" customFormat="1" x14ac:dyDescent="0.2"/>
    <row r="7436" customFormat="1" x14ac:dyDescent="0.2"/>
    <row r="7437" customFormat="1" x14ac:dyDescent="0.2"/>
    <row r="7438" customFormat="1" x14ac:dyDescent="0.2"/>
    <row r="7439" customFormat="1" x14ac:dyDescent="0.2"/>
    <row r="7440" customFormat="1" x14ac:dyDescent="0.2"/>
    <row r="7441" customFormat="1" x14ac:dyDescent="0.2"/>
    <row r="7442" customFormat="1" x14ac:dyDescent="0.2"/>
    <row r="7443" customFormat="1" x14ac:dyDescent="0.2"/>
    <row r="7444" customFormat="1" x14ac:dyDescent="0.2"/>
    <row r="7445" customFormat="1" x14ac:dyDescent="0.2"/>
    <row r="7446" customFormat="1" x14ac:dyDescent="0.2"/>
    <row r="7447" customFormat="1" x14ac:dyDescent="0.2"/>
    <row r="7448" customFormat="1" x14ac:dyDescent="0.2"/>
    <row r="7449" customFormat="1" x14ac:dyDescent="0.2"/>
    <row r="7450" customFormat="1" x14ac:dyDescent="0.2"/>
    <row r="7451" customFormat="1" x14ac:dyDescent="0.2"/>
    <row r="7452" customFormat="1" x14ac:dyDescent="0.2"/>
    <row r="7453" customFormat="1" x14ac:dyDescent="0.2"/>
    <row r="7454" customFormat="1" x14ac:dyDescent="0.2"/>
    <row r="7455" customFormat="1" x14ac:dyDescent="0.2"/>
    <row r="7456" customFormat="1" x14ac:dyDescent="0.2"/>
    <row r="7457" customFormat="1" x14ac:dyDescent="0.2"/>
    <row r="7458" customFormat="1" x14ac:dyDescent="0.2"/>
    <row r="7459" customFormat="1" x14ac:dyDescent="0.2"/>
    <row r="7460" customFormat="1" x14ac:dyDescent="0.2"/>
    <row r="7461" customFormat="1" x14ac:dyDescent="0.2"/>
    <row r="7462" customFormat="1" x14ac:dyDescent="0.2"/>
    <row r="7463" customFormat="1" x14ac:dyDescent="0.2"/>
    <row r="7464" customFormat="1" x14ac:dyDescent="0.2"/>
    <row r="7465" customFormat="1" x14ac:dyDescent="0.2"/>
    <row r="7466" customFormat="1" x14ac:dyDescent="0.2"/>
    <row r="7467" customFormat="1" x14ac:dyDescent="0.2"/>
    <row r="7468" customFormat="1" x14ac:dyDescent="0.2"/>
    <row r="7469" customFormat="1" x14ac:dyDescent="0.2"/>
    <row r="7470" customFormat="1" x14ac:dyDescent="0.2"/>
    <row r="7471" customFormat="1" x14ac:dyDescent="0.2"/>
    <row r="7472" customFormat="1" x14ac:dyDescent="0.2"/>
    <row r="7473" customFormat="1" x14ac:dyDescent="0.2"/>
    <row r="7474" customFormat="1" x14ac:dyDescent="0.2"/>
    <row r="7475" customFormat="1" x14ac:dyDescent="0.2"/>
    <row r="7476" customFormat="1" x14ac:dyDescent="0.2"/>
    <row r="7477" customFormat="1" x14ac:dyDescent="0.2"/>
    <row r="7478" customFormat="1" x14ac:dyDescent="0.2"/>
    <row r="7479" customFormat="1" x14ac:dyDescent="0.2"/>
    <row r="7480" customFormat="1" x14ac:dyDescent="0.2"/>
    <row r="7481" customFormat="1" x14ac:dyDescent="0.2"/>
    <row r="7482" customFormat="1" x14ac:dyDescent="0.2"/>
    <row r="7483" customFormat="1" x14ac:dyDescent="0.2"/>
    <row r="7484" customFormat="1" x14ac:dyDescent="0.2"/>
    <row r="7485" customFormat="1" x14ac:dyDescent="0.2"/>
    <row r="7486" customFormat="1" x14ac:dyDescent="0.2"/>
    <row r="7487" customFormat="1" x14ac:dyDescent="0.2"/>
    <row r="7488" customFormat="1" x14ac:dyDescent="0.2"/>
    <row r="7489" customFormat="1" x14ac:dyDescent="0.2"/>
    <row r="7490" customFormat="1" x14ac:dyDescent="0.2"/>
    <row r="7491" customFormat="1" x14ac:dyDescent="0.2"/>
    <row r="7492" customFormat="1" x14ac:dyDescent="0.2"/>
    <row r="7493" customFormat="1" x14ac:dyDescent="0.2"/>
    <row r="7494" customFormat="1" x14ac:dyDescent="0.2"/>
    <row r="7495" customFormat="1" x14ac:dyDescent="0.2"/>
    <row r="7496" customFormat="1" x14ac:dyDescent="0.2"/>
    <row r="7497" customFormat="1" x14ac:dyDescent="0.2"/>
    <row r="7498" customFormat="1" x14ac:dyDescent="0.2"/>
    <row r="7499" customFormat="1" x14ac:dyDescent="0.2"/>
    <row r="7500" customFormat="1" x14ac:dyDescent="0.2"/>
    <row r="7501" customFormat="1" x14ac:dyDescent="0.2"/>
    <row r="7502" customFormat="1" x14ac:dyDescent="0.2"/>
    <row r="7503" customFormat="1" x14ac:dyDescent="0.2"/>
    <row r="7504" customFormat="1" x14ac:dyDescent="0.2"/>
    <row r="7505" customFormat="1" x14ac:dyDescent="0.2"/>
    <row r="7506" customFormat="1" x14ac:dyDescent="0.2"/>
    <row r="7507" customFormat="1" x14ac:dyDescent="0.2"/>
    <row r="7508" customFormat="1" x14ac:dyDescent="0.2"/>
    <row r="7509" customFormat="1" x14ac:dyDescent="0.2"/>
    <row r="7510" customFormat="1" x14ac:dyDescent="0.2"/>
    <row r="7511" customFormat="1" x14ac:dyDescent="0.2"/>
    <row r="7512" customFormat="1" x14ac:dyDescent="0.2"/>
    <row r="7513" customFormat="1" x14ac:dyDescent="0.2"/>
    <row r="7514" customFormat="1" x14ac:dyDescent="0.2"/>
    <row r="7515" customFormat="1" x14ac:dyDescent="0.2"/>
    <row r="7516" customFormat="1" x14ac:dyDescent="0.2"/>
    <row r="7517" customFormat="1" x14ac:dyDescent="0.2"/>
    <row r="7518" customFormat="1" x14ac:dyDescent="0.2"/>
    <row r="7519" customFormat="1" x14ac:dyDescent="0.2"/>
    <row r="7520" customFormat="1" x14ac:dyDescent="0.2"/>
    <row r="7521" customFormat="1" x14ac:dyDescent="0.2"/>
    <row r="7522" customFormat="1" x14ac:dyDescent="0.2"/>
    <row r="7523" customFormat="1" x14ac:dyDescent="0.2"/>
    <row r="7524" customFormat="1" x14ac:dyDescent="0.2"/>
    <row r="7525" customFormat="1" x14ac:dyDescent="0.2"/>
    <row r="7526" customFormat="1" x14ac:dyDescent="0.2"/>
    <row r="7527" customFormat="1" x14ac:dyDescent="0.2"/>
    <row r="7528" customFormat="1" x14ac:dyDescent="0.2"/>
    <row r="7529" customFormat="1" x14ac:dyDescent="0.2"/>
    <row r="7530" customFormat="1" x14ac:dyDescent="0.2"/>
    <row r="7531" customFormat="1" x14ac:dyDescent="0.2"/>
    <row r="7532" customFormat="1" x14ac:dyDescent="0.2"/>
    <row r="7533" customFormat="1" x14ac:dyDescent="0.2"/>
    <row r="7534" customFormat="1" x14ac:dyDescent="0.2"/>
    <row r="7535" customFormat="1" x14ac:dyDescent="0.2"/>
    <row r="7536" customFormat="1" x14ac:dyDescent="0.2"/>
    <row r="7537" customFormat="1" x14ac:dyDescent="0.2"/>
    <row r="7538" customFormat="1" x14ac:dyDescent="0.2"/>
    <row r="7539" customFormat="1" x14ac:dyDescent="0.2"/>
    <row r="7540" customFormat="1" x14ac:dyDescent="0.2"/>
    <row r="7541" customFormat="1" x14ac:dyDescent="0.2"/>
    <row r="7542" customFormat="1" x14ac:dyDescent="0.2"/>
    <row r="7543" customFormat="1" x14ac:dyDescent="0.2"/>
    <row r="7544" customFormat="1" x14ac:dyDescent="0.2"/>
    <row r="7545" customFormat="1" x14ac:dyDescent="0.2"/>
    <row r="7546" customFormat="1" x14ac:dyDescent="0.2"/>
    <row r="7547" customFormat="1" x14ac:dyDescent="0.2"/>
    <row r="7548" customFormat="1" x14ac:dyDescent="0.2"/>
    <row r="7549" customFormat="1" x14ac:dyDescent="0.2"/>
    <row r="7550" customFormat="1" x14ac:dyDescent="0.2"/>
    <row r="7551" customFormat="1" x14ac:dyDescent="0.2"/>
    <row r="7552" customFormat="1" x14ac:dyDescent="0.2"/>
    <row r="7553" customFormat="1" x14ac:dyDescent="0.2"/>
    <row r="7554" customFormat="1" x14ac:dyDescent="0.2"/>
    <row r="7555" customFormat="1" x14ac:dyDescent="0.2"/>
    <row r="7556" customFormat="1" x14ac:dyDescent="0.2"/>
    <row r="7557" customFormat="1" x14ac:dyDescent="0.2"/>
    <row r="7558" customFormat="1" x14ac:dyDescent="0.2"/>
    <row r="7559" customFormat="1" x14ac:dyDescent="0.2"/>
    <row r="7560" customFormat="1" x14ac:dyDescent="0.2"/>
    <row r="7561" customFormat="1" x14ac:dyDescent="0.2"/>
    <row r="7562" customFormat="1" x14ac:dyDescent="0.2"/>
    <row r="7563" customFormat="1" x14ac:dyDescent="0.2"/>
    <row r="7564" customFormat="1" x14ac:dyDescent="0.2"/>
    <row r="7565" customFormat="1" x14ac:dyDescent="0.2"/>
    <row r="7566" customFormat="1" x14ac:dyDescent="0.2"/>
    <row r="7567" customFormat="1" x14ac:dyDescent="0.2"/>
    <row r="7568" customFormat="1" x14ac:dyDescent="0.2"/>
    <row r="7569" customFormat="1" x14ac:dyDescent="0.2"/>
    <row r="7570" customFormat="1" x14ac:dyDescent="0.2"/>
    <row r="7571" customFormat="1" x14ac:dyDescent="0.2"/>
    <row r="7572" customFormat="1" x14ac:dyDescent="0.2"/>
    <row r="7573" customFormat="1" x14ac:dyDescent="0.2"/>
    <row r="7574" customFormat="1" x14ac:dyDescent="0.2"/>
    <row r="7575" customFormat="1" x14ac:dyDescent="0.2"/>
    <row r="7576" customFormat="1" x14ac:dyDescent="0.2"/>
    <row r="7577" customFormat="1" x14ac:dyDescent="0.2"/>
    <row r="7578" customFormat="1" x14ac:dyDescent="0.2"/>
    <row r="7579" customFormat="1" x14ac:dyDescent="0.2"/>
    <row r="7580" customFormat="1" x14ac:dyDescent="0.2"/>
    <row r="7581" customFormat="1" x14ac:dyDescent="0.2"/>
    <row r="7582" customFormat="1" x14ac:dyDescent="0.2"/>
    <row r="7583" customFormat="1" x14ac:dyDescent="0.2"/>
    <row r="7584" customFormat="1" x14ac:dyDescent="0.2"/>
    <row r="7585" customFormat="1" x14ac:dyDescent="0.2"/>
    <row r="7586" customFormat="1" x14ac:dyDescent="0.2"/>
    <row r="7587" customFormat="1" x14ac:dyDescent="0.2"/>
    <row r="7588" customFormat="1" x14ac:dyDescent="0.2"/>
    <row r="7589" customFormat="1" x14ac:dyDescent="0.2"/>
    <row r="7590" customFormat="1" x14ac:dyDescent="0.2"/>
    <row r="7591" customFormat="1" x14ac:dyDescent="0.2"/>
    <row r="7592" customFormat="1" x14ac:dyDescent="0.2"/>
    <row r="7593" customFormat="1" x14ac:dyDescent="0.2"/>
    <row r="7594" customFormat="1" x14ac:dyDescent="0.2"/>
    <row r="7595" customFormat="1" x14ac:dyDescent="0.2"/>
    <row r="7596" customFormat="1" x14ac:dyDescent="0.2"/>
    <row r="7597" customFormat="1" x14ac:dyDescent="0.2"/>
    <row r="7598" customFormat="1" x14ac:dyDescent="0.2"/>
    <row r="7599" customFormat="1" x14ac:dyDescent="0.2"/>
    <row r="7600" customFormat="1" x14ac:dyDescent="0.2"/>
    <row r="7601" customFormat="1" x14ac:dyDescent="0.2"/>
    <row r="7602" customFormat="1" x14ac:dyDescent="0.2"/>
    <row r="7603" customFormat="1" x14ac:dyDescent="0.2"/>
    <row r="7604" customFormat="1" x14ac:dyDescent="0.2"/>
    <row r="7605" customFormat="1" x14ac:dyDescent="0.2"/>
    <row r="7606" customFormat="1" x14ac:dyDescent="0.2"/>
    <row r="7607" customFormat="1" x14ac:dyDescent="0.2"/>
    <row r="7608" customFormat="1" x14ac:dyDescent="0.2"/>
    <row r="7609" customFormat="1" x14ac:dyDescent="0.2"/>
    <row r="7610" customFormat="1" x14ac:dyDescent="0.2"/>
    <row r="7611" customFormat="1" x14ac:dyDescent="0.2"/>
    <row r="7612" customFormat="1" x14ac:dyDescent="0.2"/>
    <row r="7613" customFormat="1" x14ac:dyDescent="0.2"/>
    <row r="7614" customFormat="1" x14ac:dyDescent="0.2"/>
    <row r="7615" customFormat="1" x14ac:dyDescent="0.2"/>
    <row r="7616" customFormat="1" x14ac:dyDescent="0.2"/>
    <row r="7617" customFormat="1" x14ac:dyDescent="0.2"/>
    <row r="7618" customFormat="1" x14ac:dyDescent="0.2"/>
    <row r="7619" customFormat="1" x14ac:dyDescent="0.2"/>
    <row r="7620" customFormat="1" x14ac:dyDescent="0.2"/>
    <row r="7621" customFormat="1" x14ac:dyDescent="0.2"/>
    <row r="7622" customFormat="1" x14ac:dyDescent="0.2"/>
    <row r="7623" customFormat="1" x14ac:dyDescent="0.2"/>
    <row r="7624" customFormat="1" x14ac:dyDescent="0.2"/>
    <row r="7625" customFormat="1" x14ac:dyDescent="0.2"/>
    <row r="7626" customFormat="1" x14ac:dyDescent="0.2"/>
    <row r="7627" customFormat="1" x14ac:dyDescent="0.2"/>
    <row r="7628" customFormat="1" x14ac:dyDescent="0.2"/>
    <row r="7629" customFormat="1" x14ac:dyDescent="0.2"/>
    <row r="7630" customFormat="1" x14ac:dyDescent="0.2"/>
    <row r="7631" customFormat="1" x14ac:dyDescent="0.2"/>
    <row r="7632" customFormat="1" x14ac:dyDescent="0.2"/>
    <row r="7633" customFormat="1" x14ac:dyDescent="0.2"/>
    <row r="7634" customFormat="1" x14ac:dyDescent="0.2"/>
    <row r="7635" customFormat="1" x14ac:dyDescent="0.2"/>
    <row r="7636" customFormat="1" x14ac:dyDescent="0.2"/>
    <row r="7637" customFormat="1" x14ac:dyDescent="0.2"/>
    <row r="7638" customFormat="1" x14ac:dyDescent="0.2"/>
    <row r="7639" customFormat="1" x14ac:dyDescent="0.2"/>
    <row r="7640" customFormat="1" x14ac:dyDescent="0.2"/>
    <row r="7641" customFormat="1" x14ac:dyDescent="0.2"/>
    <row r="7642" customFormat="1" x14ac:dyDescent="0.2"/>
    <row r="7643" customFormat="1" x14ac:dyDescent="0.2"/>
    <row r="7644" customFormat="1" x14ac:dyDescent="0.2"/>
    <row r="7645" customFormat="1" x14ac:dyDescent="0.2"/>
    <row r="7646" customFormat="1" x14ac:dyDescent="0.2"/>
    <row r="7647" customFormat="1" x14ac:dyDescent="0.2"/>
    <row r="7648" customFormat="1" x14ac:dyDescent="0.2"/>
    <row r="7649" customFormat="1" x14ac:dyDescent="0.2"/>
    <row r="7650" customFormat="1" x14ac:dyDescent="0.2"/>
    <row r="7651" customFormat="1" x14ac:dyDescent="0.2"/>
    <row r="7652" customFormat="1" x14ac:dyDescent="0.2"/>
    <row r="7653" customFormat="1" x14ac:dyDescent="0.2"/>
    <row r="7654" customFormat="1" x14ac:dyDescent="0.2"/>
    <row r="7655" customFormat="1" x14ac:dyDescent="0.2"/>
    <row r="7656" customFormat="1" x14ac:dyDescent="0.2"/>
    <row r="7657" customFormat="1" x14ac:dyDescent="0.2"/>
    <row r="7658" customFormat="1" x14ac:dyDescent="0.2"/>
    <row r="7659" customFormat="1" x14ac:dyDescent="0.2"/>
    <row r="7660" customFormat="1" x14ac:dyDescent="0.2"/>
    <row r="7661" customFormat="1" x14ac:dyDescent="0.2"/>
    <row r="7662" customFormat="1" x14ac:dyDescent="0.2"/>
    <row r="7663" customFormat="1" x14ac:dyDescent="0.2"/>
    <row r="7664" customFormat="1" x14ac:dyDescent="0.2"/>
    <row r="7665" customFormat="1" x14ac:dyDescent="0.2"/>
    <row r="7666" customFormat="1" x14ac:dyDescent="0.2"/>
    <row r="7667" customFormat="1" x14ac:dyDescent="0.2"/>
    <row r="7668" customFormat="1" x14ac:dyDescent="0.2"/>
    <row r="7669" customFormat="1" x14ac:dyDescent="0.2"/>
    <row r="7670" customFormat="1" x14ac:dyDescent="0.2"/>
    <row r="7671" customFormat="1" x14ac:dyDescent="0.2"/>
    <row r="7672" customFormat="1" x14ac:dyDescent="0.2"/>
    <row r="7673" customFormat="1" x14ac:dyDescent="0.2"/>
    <row r="7674" customFormat="1" x14ac:dyDescent="0.2"/>
    <row r="7675" customFormat="1" x14ac:dyDescent="0.2"/>
    <row r="7676" customFormat="1" x14ac:dyDescent="0.2"/>
    <row r="7677" customFormat="1" x14ac:dyDescent="0.2"/>
    <row r="7678" customFormat="1" x14ac:dyDescent="0.2"/>
    <row r="7679" customFormat="1" x14ac:dyDescent="0.2"/>
    <row r="7680" customFormat="1" x14ac:dyDescent="0.2"/>
    <row r="7681" customFormat="1" x14ac:dyDescent="0.2"/>
    <row r="7682" customFormat="1" x14ac:dyDescent="0.2"/>
    <row r="7683" customFormat="1" x14ac:dyDescent="0.2"/>
    <row r="7684" customFormat="1" x14ac:dyDescent="0.2"/>
    <row r="7685" customFormat="1" x14ac:dyDescent="0.2"/>
    <row r="7686" customFormat="1" x14ac:dyDescent="0.2"/>
    <row r="7687" customFormat="1" x14ac:dyDescent="0.2"/>
    <row r="7688" customFormat="1" x14ac:dyDescent="0.2"/>
    <row r="7689" customFormat="1" x14ac:dyDescent="0.2"/>
    <row r="7690" customFormat="1" x14ac:dyDescent="0.2"/>
    <row r="7691" customFormat="1" x14ac:dyDescent="0.2"/>
    <row r="7692" customFormat="1" x14ac:dyDescent="0.2"/>
    <row r="7693" customFormat="1" x14ac:dyDescent="0.2"/>
    <row r="7694" customFormat="1" x14ac:dyDescent="0.2"/>
    <row r="7695" customFormat="1" x14ac:dyDescent="0.2"/>
    <row r="7696" customFormat="1" x14ac:dyDescent="0.2"/>
    <row r="7697" customFormat="1" x14ac:dyDescent="0.2"/>
    <row r="7698" customFormat="1" x14ac:dyDescent="0.2"/>
    <row r="7699" customFormat="1" x14ac:dyDescent="0.2"/>
    <row r="7700" customFormat="1" x14ac:dyDescent="0.2"/>
    <row r="7701" customFormat="1" x14ac:dyDescent="0.2"/>
    <row r="7702" customFormat="1" x14ac:dyDescent="0.2"/>
    <row r="7703" customFormat="1" x14ac:dyDescent="0.2"/>
    <row r="7704" customFormat="1" x14ac:dyDescent="0.2"/>
    <row r="7705" customFormat="1" x14ac:dyDescent="0.2"/>
    <row r="7706" customFormat="1" x14ac:dyDescent="0.2"/>
    <row r="7707" customFormat="1" x14ac:dyDescent="0.2"/>
    <row r="7708" customFormat="1" x14ac:dyDescent="0.2"/>
    <row r="7709" customFormat="1" x14ac:dyDescent="0.2"/>
    <row r="7710" customFormat="1" x14ac:dyDescent="0.2"/>
    <row r="7711" customFormat="1" x14ac:dyDescent="0.2"/>
    <row r="7712" customFormat="1" x14ac:dyDescent="0.2"/>
    <row r="7713" customFormat="1" x14ac:dyDescent="0.2"/>
    <row r="7714" customFormat="1" x14ac:dyDescent="0.2"/>
    <row r="7715" customFormat="1" x14ac:dyDescent="0.2"/>
    <row r="7716" customFormat="1" x14ac:dyDescent="0.2"/>
    <row r="7717" customFormat="1" x14ac:dyDescent="0.2"/>
    <row r="7718" customFormat="1" x14ac:dyDescent="0.2"/>
    <row r="7719" customFormat="1" x14ac:dyDescent="0.2"/>
    <row r="7720" customFormat="1" x14ac:dyDescent="0.2"/>
    <row r="7721" customFormat="1" x14ac:dyDescent="0.2"/>
    <row r="7722" customFormat="1" x14ac:dyDescent="0.2"/>
    <row r="7723" customFormat="1" x14ac:dyDescent="0.2"/>
    <row r="7724" customFormat="1" x14ac:dyDescent="0.2"/>
    <row r="7725" customFormat="1" x14ac:dyDescent="0.2"/>
    <row r="7726" customFormat="1" x14ac:dyDescent="0.2"/>
    <row r="7727" customFormat="1" x14ac:dyDescent="0.2"/>
    <row r="7728" customFormat="1" x14ac:dyDescent="0.2"/>
    <row r="7729" customFormat="1" x14ac:dyDescent="0.2"/>
    <row r="7730" customFormat="1" x14ac:dyDescent="0.2"/>
    <row r="7731" customFormat="1" x14ac:dyDescent="0.2"/>
    <row r="7732" customFormat="1" x14ac:dyDescent="0.2"/>
    <row r="7733" customFormat="1" x14ac:dyDescent="0.2"/>
    <row r="7734" customFormat="1" x14ac:dyDescent="0.2"/>
    <row r="7735" customFormat="1" x14ac:dyDescent="0.2"/>
    <row r="7736" customFormat="1" x14ac:dyDescent="0.2"/>
    <row r="7737" customFormat="1" x14ac:dyDescent="0.2"/>
    <row r="7738" customFormat="1" x14ac:dyDescent="0.2"/>
    <row r="7739" customFormat="1" x14ac:dyDescent="0.2"/>
    <row r="7740" customFormat="1" x14ac:dyDescent="0.2"/>
    <row r="7741" customFormat="1" x14ac:dyDescent="0.2"/>
    <row r="7742" customFormat="1" x14ac:dyDescent="0.2"/>
    <row r="7743" customFormat="1" x14ac:dyDescent="0.2"/>
    <row r="7744" customFormat="1" x14ac:dyDescent="0.2"/>
    <row r="7745" customFormat="1" x14ac:dyDescent="0.2"/>
    <row r="7746" customFormat="1" x14ac:dyDescent="0.2"/>
    <row r="7747" customFormat="1" x14ac:dyDescent="0.2"/>
    <row r="7748" customFormat="1" x14ac:dyDescent="0.2"/>
    <row r="7749" customFormat="1" x14ac:dyDescent="0.2"/>
    <row r="7750" customFormat="1" x14ac:dyDescent="0.2"/>
    <row r="7751" customFormat="1" x14ac:dyDescent="0.2"/>
    <row r="7752" customFormat="1" x14ac:dyDescent="0.2"/>
    <row r="7753" customFormat="1" x14ac:dyDescent="0.2"/>
    <row r="7754" customFormat="1" x14ac:dyDescent="0.2"/>
    <row r="7755" customFormat="1" x14ac:dyDescent="0.2"/>
    <row r="7756" customFormat="1" x14ac:dyDescent="0.2"/>
    <row r="7757" customFormat="1" x14ac:dyDescent="0.2"/>
    <row r="7758" customFormat="1" x14ac:dyDescent="0.2"/>
    <row r="7759" customFormat="1" x14ac:dyDescent="0.2"/>
    <row r="7760" customFormat="1" x14ac:dyDescent="0.2"/>
    <row r="7761" customFormat="1" x14ac:dyDescent="0.2"/>
    <row r="7762" customFormat="1" x14ac:dyDescent="0.2"/>
    <row r="7763" customFormat="1" x14ac:dyDescent="0.2"/>
    <row r="7764" customFormat="1" x14ac:dyDescent="0.2"/>
    <row r="7765" customFormat="1" x14ac:dyDescent="0.2"/>
    <row r="7766" customFormat="1" x14ac:dyDescent="0.2"/>
    <row r="7767" customFormat="1" x14ac:dyDescent="0.2"/>
    <row r="7768" customFormat="1" x14ac:dyDescent="0.2"/>
    <row r="7769" customFormat="1" x14ac:dyDescent="0.2"/>
    <row r="7770" customFormat="1" x14ac:dyDescent="0.2"/>
    <row r="7771" customFormat="1" x14ac:dyDescent="0.2"/>
    <row r="7772" customFormat="1" x14ac:dyDescent="0.2"/>
    <row r="7773" customFormat="1" x14ac:dyDescent="0.2"/>
    <row r="7774" customFormat="1" x14ac:dyDescent="0.2"/>
    <row r="7775" customFormat="1" x14ac:dyDescent="0.2"/>
    <row r="7776" customFormat="1" x14ac:dyDescent="0.2"/>
    <row r="7777" customFormat="1" x14ac:dyDescent="0.2"/>
    <row r="7778" customFormat="1" x14ac:dyDescent="0.2"/>
    <row r="7779" customFormat="1" x14ac:dyDescent="0.2"/>
    <row r="7780" customFormat="1" x14ac:dyDescent="0.2"/>
    <row r="7781" customFormat="1" x14ac:dyDescent="0.2"/>
    <row r="7782" customFormat="1" x14ac:dyDescent="0.2"/>
    <row r="7783" customFormat="1" x14ac:dyDescent="0.2"/>
    <row r="7784" customFormat="1" x14ac:dyDescent="0.2"/>
    <row r="7785" customFormat="1" x14ac:dyDescent="0.2"/>
    <row r="7786" customFormat="1" x14ac:dyDescent="0.2"/>
    <row r="7787" customFormat="1" x14ac:dyDescent="0.2"/>
    <row r="7788" customFormat="1" x14ac:dyDescent="0.2"/>
    <row r="7789" customFormat="1" x14ac:dyDescent="0.2"/>
    <row r="7790" customFormat="1" x14ac:dyDescent="0.2"/>
    <row r="7791" customFormat="1" x14ac:dyDescent="0.2"/>
    <row r="7792" customFormat="1" x14ac:dyDescent="0.2"/>
    <row r="7793" customFormat="1" x14ac:dyDescent="0.2"/>
    <row r="7794" customFormat="1" x14ac:dyDescent="0.2"/>
    <row r="7795" customFormat="1" x14ac:dyDescent="0.2"/>
    <row r="7796" customFormat="1" x14ac:dyDescent="0.2"/>
    <row r="7797" customFormat="1" x14ac:dyDescent="0.2"/>
    <row r="7798" customFormat="1" x14ac:dyDescent="0.2"/>
    <row r="7799" customFormat="1" x14ac:dyDescent="0.2"/>
    <row r="7800" customFormat="1" x14ac:dyDescent="0.2"/>
    <row r="7801" customFormat="1" x14ac:dyDescent="0.2"/>
    <row r="7802" customFormat="1" x14ac:dyDescent="0.2"/>
    <row r="7803" customFormat="1" x14ac:dyDescent="0.2"/>
    <row r="7804" customFormat="1" x14ac:dyDescent="0.2"/>
    <row r="7805" customFormat="1" x14ac:dyDescent="0.2"/>
    <row r="7806" customFormat="1" x14ac:dyDescent="0.2"/>
    <row r="7807" customFormat="1" x14ac:dyDescent="0.2"/>
    <row r="7808" customFormat="1" x14ac:dyDescent="0.2"/>
    <row r="7809" customFormat="1" x14ac:dyDescent="0.2"/>
    <row r="7810" customFormat="1" x14ac:dyDescent="0.2"/>
    <row r="7811" customFormat="1" x14ac:dyDescent="0.2"/>
    <row r="7812" customFormat="1" x14ac:dyDescent="0.2"/>
    <row r="7813" customFormat="1" x14ac:dyDescent="0.2"/>
    <row r="7814" customFormat="1" x14ac:dyDescent="0.2"/>
    <row r="7815" customFormat="1" x14ac:dyDescent="0.2"/>
    <row r="7816" customFormat="1" x14ac:dyDescent="0.2"/>
    <row r="7817" customFormat="1" x14ac:dyDescent="0.2"/>
    <row r="7818" customFormat="1" x14ac:dyDescent="0.2"/>
    <row r="7819" customFormat="1" x14ac:dyDescent="0.2"/>
    <row r="7820" customFormat="1" x14ac:dyDescent="0.2"/>
    <row r="7821" customFormat="1" x14ac:dyDescent="0.2"/>
    <row r="7822" customFormat="1" x14ac:dyDescent="0.2"/>
    <row r="7823" customFormat="1" x14ac:dyDescent="0.2"/>
    <row r="7824" customFormat="1" x14ac:dyDescent="0.2"/>
    <row r="7825" customFormat="1" x14ac:dyDescent="0.2"/>
    <row r="7826" customFormat="1" x14ac:dyDescent="0.2"/>
    <row r="7827" customFormat="1" x14ac:dyDescent="0.2"/>
    <row r="7828" customFormat="1" x14ac:dyDescent="0.2"/>
    <row r="7829" customFormat="1" x14ac:dyDescent="0.2"/>
    <row r="7830" customFormat="1" x14ac:dyDescent="0.2"/>
    <row r="7831" customFormat="1" x14ac:dyDescent="0.2"/>
    <row r="7832" customFormat="1" x14ac:dyDescent="0.2"/>
    <row r="7833" customFormat="1" x14ac:dyDescent="0.2"/>
    <row r="7834" customFormat="1" x14ac:dyDescent="0.2"/>
    <row r="7835" customFormat="1" x14ac:dyDescent="0.2"/>
    <row r="7836" customFormat="1" x14ac:dyDescent="0.2"/>
    <row r="7837" customFormat="1" x14ac:dyDescent="0.2"/>
    <row r="7838" customFormat="1" x14ac:dyDescent="0.2"/>
    <row r="7839" customFormat="1" x14ac:dyDescent="0.2"/>
    <row r="7840" customFormat="1" x14ac:dyDescent="0.2"/>
    <row r="7841" customFormat="1" x14ac:dyDescent="0.2"/>
    <row r="7842" customFormat="1" x14ac:dyDescent="0.2"/>
    <row r="7843" customFormat="1" x14ac:dyDescent="0.2"/>
    <row r="7844" customFormat="1" x14ac:dyDescent="0.2"/>
    <row r="7845" customFormat="1" x14ac:dyDescent="0.2"/>
    <row r="7846" customFormat="1" x14ac:dyDescent="0.2"/>
    <row r="7847" customFormat="1" x14ac:dyDescent="0.2"/>
    <row r="7848" customFormat="1" x14ac:dyDescent="0.2"/>
    <row r="7849" customFormat="1" x14ac:dyDescent="0.2"/>
    <row r="7850" customFormat="1" x14ac:dyDescent="0.2"/>
    <row r="7851" customFormat="1" x14ac:dyDescent="0.2"/>
    <row r="7852" customFormat="1" x14ac:dyDescent="0.2"/>
    <row r="7853" customFormat="1" x14ac:dyDescent="0.2"/>
    <row r="7854" customFormat="1" x14ac:dyDescent="0.2"/>
    <row r="7855" customFormat="1" x14ac:dyDescent="0.2"/>
    <row r="7856" customFormat="1" x14ac:dyDescent="0.2"/>
    <row r="7857" customFormat="1" x14ac:dyDescent="0.2"/>
    <row r="7858" customFormat="1" x14ac:dyDescent="0.2"/>
    <row r="7859" customFormat="1" x14ac:dyDescent="0.2"/>
    <row r="7860" customFormat="1" x14ac:dyDescent="0.2"/>
    <row r="7861" customFormat="1" x14ac:dyDescent="0.2"/>
    <row r="7862" customFormat="1" x14ac:dyDescent="0.2"/>
    <row r="7863" customFormat="1" x14ac:dyDescent="0.2"/>
    <row r="7864" customFormat="1" x14ac:dyDescent="0.2"/>
    <row r="7865" customFormat="1" x14ac:dyDescent="0.2"/>
    <row r="7866" customFormat="1" x14ac:dyDescent="0.2"/>
    <row r="7867" customFormat="1" x14ac:dyDescent="0.2"/>
    <row r="7868" customFormat="1" x14ac:dyDescent="0.2"/>
    <row r="7869" customFormat="1" x14ac:dyDescent="0.2"/>
    <row r="7870" customFormat="1" x14ac:dyDescent="0.2"/>
    <row r="7871" customFormat="1" x14ac:dyDescent="0.2"/>
    <row r="7872" customFormat="1" x14ac:dyDescent="0.2"/>
    <row r="7873" customFormat="1" x14ac:dyDescent="0.2"/>
    <row r="7874" customFormat="1" x14ac:dyDescent="0.2"/>
    <row r="7875" customFormat="1" x14ac:dyDescent="0.2"/>
    <row r="7876" customFormat="1" x14ac:dyDescent="0.2"/>
    <row r="7877" customFormat="1" x14ac:dyDescent="0.2"/>
    <row r="7878" customFormat="1" x14ac:dyDescent="0.2"/>
    <row r="7879" customFormat="1" x14ac:dyDescent="0.2"/>
    <row r="7880" customFormat="1" x14ac:dyDescent="0.2"/>
    <row r="7881" customFormat="1" x14ac:dyDescent="0.2"/>
    <row r="7882" customFormat="1" x14ac:dyDescent="0.2"/>
    <row r="7883" customFormat="1" x14ac:dyDescent="0.2"/>
    <row r="7884" customFormat="1" x14ac:dyDescent="0.2"/>
    <row r="7885" customFormat="1" x14ac:dyDescent="0.2"/>
    <row r="7886" customFormat="1" x14ac:dyDescent="0.2"/>
    <row r="7887" customFormat="1" x14ac:dyDescent="0.2"/>
    <row r="7888" customFormat="1" x14ac:dyDescent="0.2"/>
    <row r="7889" customFormat="1" x14ac:dyDescent="0.2"/>
    <row r="7890" customFormat="1" x14ac:dyDescent="0.2"/>
    <row r="7891" customFormat="1" x14ac:dyDescent="0.2"/>
    <row r="7892" customFormat="1" x14ac:dyDescent="0.2"/>
    <row r="7893" customFormat="1" x14ac:dyDescent="0.2"/>
    <row r="7894" customFormat="1" x14ac:dyDescent="0.2"/>
    <row r="7895" customFormat="1" x14ac:dyDescent="0.2"/>
    <row r="7896" customFormat="1" x14ac:dyDescent="0.2"/>
    <row r="7897" customFormat="1" x14ac:dyDescent="0.2"/>
    <row r="7898" customFormat="1" x14ac:dyDescent="0.2"/>
    <row r="7899" customFormat="1" x14ac:dyDescent="0.2"/>
    <row r="7900" customFormat="1" x14ac:dyDescent="0.2"/>
    <row r="7901" customFormat="1" x14ac:dyDescent="0.2"/>
    <row r="7902" customFormat="1" x14ac:dyDescent="0.2"/>
    <row r="7903" customFormat="1" x14ac:dyDescent="0.2"/>
    <row r="7904" customFormat="1" x14ac:dyDescent="0.2"/>
    <row r="7905" customFormat="1" x14ac:dyDescent="0.2"/>
    <row r="7906" customFormat="1" x14ac:dyDescent="0.2"/>
    <row r="7907" customFormat="1" x14ac:dyDescent="0.2"/>
    <row r="7908" customFormat="1" x14ac:dyDescent="0.2"/>
    <row r="7909" customFormat="1" x14ac:dyDescent="0.2"/>
    <row r="7910" customFormat="1" x14ac:dyDescent="0.2"/>
    <row r="7911" customFormat="1" x14ac:dyDescent="0.2"/>
    <row r="7912" customFormat="1" x14ac:dyDescent="0.2"/>
    <row r="7913" customFormat="1" x14ac:dyDescent="0.2"/>
    <row r="7914" customFormat="1" x14ac:dyDescent="0.2"/>
    <row r="7915" customFormat="1" x14ac:dyDescent="0.2"/>
    <row r="7916" customFormat="1" x14ac:dyDescent="0.2"/>
    <row r="7917" customFormat="1" x14ac:dyDescent="0.2"/>
    <row r="7918" customFormat="1" x14ac:dyDescent="0.2"/>
    <row r="7919" customFormat="1" x14ac:dyDescent="0.2"/>
    <row r="7920" customFormat="1" x14ac:dyDescent="0.2"/>
    <row r="7921" customFormat="1" x14ac:dyDescent="0.2"/>
    <row r="7922" customFormat="1" x14ac:dyDescent="0.2"/>
    <row r="7923" customFormat="1" x14ac:dyDescent="0.2"/>
    <row r="7924" customFormat="1" x14ac:dyDescent="0.2"/>
    <row r="7925" customFormat="1" x14ac:dyDescent="0.2"/>
    <row r="7926" customFormat="1" x14ac:dyDescent="0.2"/>
    <row r="7927" customFormat="1" x14ac:dyDescent="0.2"/>
    <row r="7928" customFormat="1" x14ac:dyDescent="0.2"/>
    <row r="7929" customFormat="1" x14ac:dyDescent="0.2"/>
    <row r="7930" customFormat="1" x14ac:dyDescent="0.2"/>
    <row r="7931" customFormat="1" x14ac:dyDescent="0.2"/>
    <row r="7932" customFormat="1" x14ac:dyDescent="0.2"/>
    <row r="7933" customFormat="1" x14ac:dyDescent="0.2"/>
    <row r="7934" customFormat="1" x14ac:dyDescent="0.2"/>
    <row r="7935" customFormat="1" x14ac:dyDescent="0.2"/>
    <row r="7936" customFormat="1" x14ac:dyDescent="0.2"/>
    <row r="7937" customFormat="1" x14ac:dyDescent="0.2"/>
    <row r="7938" customFormat="1" x14ac:dyDescent="0.2"/>
    <row r="7939" customFormat="1" x14ac:dyDescent="0.2"/>
    <row r="7940" customFormat="1" x14ac:dyDescent="0.2"/>
    <row r="7941" customFormat="1" x14ac:dyDescent="0.2"/>
    <row r="7942" customFormat="1" x14ac:dyDescent="0.2"/>
    <row r="7943" customFormat="1" x14ac:dyDescent="0.2"/>
    <row r="7944" customFormat="1" x14ac:dyDescent="0.2"/>
    <row r="7945" customFormat="1" x14ac:dyDescent="0.2"/>
    <row r="7946" customFormat="1" x14ac:dyDescent="0.2"/>
    <row r="7947" customFormat="1" x14ac:dyDescent="0.2"/>
    <row r="7948" customFormat="1" x14ac:dyDescent="0.2"/>
    <row r="7949" customFormat="1" x14ac:dyDescent="0.2"/>
    <row r="7950" customFormat="1" x14ac:dyDescent="0.2"/>
    <row r="7951" customFormat="1" x14ac:dyDescent="0.2"/>
    <row r="7952" customFormat="1" x14ac:dyDescent="0.2"/>
    <row r="7953" customFormat="1" x14ac:dyDescent="0.2"/>
    <row r="7954" customFormat="1" x14ac:dyDescent="0.2"/>
    <row r="7955" customFormat="1" x14ac:dyDescent="0.2"/>
    <row r="7956" customFormat="1" x14ac:dyDescent="0.2"/>
    <row r="7957" customFormat="1" x14ac:dyDescent="0.2"/>
    <row r="7958" customFormat="1" x14ac:dyDescent="0.2"/>
    <row r="7959" customFormat="1" x14ac:dyDescent="0.2"/>
    <row r="7960" customFormat="1" x14ac:dyDescent="0.2"/>
    <row r="7961" customFormat="1" x14ac:dyDescent="0.2"/>
    <row r="7962" customFormat="1" x14ac:dyDescent="0.2"/>
    <row r="7963" customFormat="1" x14ac:dyDescent="0.2"/>
    <row r="7964" customFormat="1" x14ac:dyDescent="0.2"/>
    <row r="7965" customFormat="1" x14ac:dyDescent="0.2"/>
    <row r="7966" customFormat="1" x14ac:dyDescent="0.2"/>
    <row r="7967" customFormat="1" x14ac:dyDescent="0.2"/>
    <row r="7968" customFormat="1" x14ac:dyDescent="0.2"/>
    <row r="7969" customFormat="1" x14ac:dyDescent="0.2"/>
    <row r="7970" customFormat="1" x14ac:dyDescent="0.2"/>
    <row r="7971" customFormat="1" x14ac:dyDescent="0.2"/>
    <row r="7972" customFormat="1" x14ac:dyDescent="0.2"/>
    <row r="7973" customFormat="1" x14ac:dyDescent="0.2"/>
    <row r="7974" customFormat="1" x14ac:dyDescent="0.2"/>
    <row r="7975" customFormat="1" x14ac:dyDescent="0.2"/>
    <row r="7976" customFormat="1" x14ac:dyDescent="0.2"/>
    <row r="7977" customFormat="1" x14ac:dyDescent="0.2"/>
    <row r="7978" customFormat="1" x14ac:dyDescent="0.2"/>
    <row r="7979" customFormat="1" x14ac:dyDescent="0.2"/>
    <row r="7980" customFormat="1" x14ac:dyDescent="0.2"/>
    <row r="7981" customFormat="1" x14ac:dyDescent="0.2"/>
    <row r="7982" customFormat="1" x14ac:dyDescent="0.2"/>
    <row r="7983" customFormat="1" x14ac:dyDescent="0.2"/>
    <row r="7984" customFormat="1" x14ac:dyDescent="0.2"/>
    <row r="7985" customFormat="1" x14ac:dyDescent="0.2"/>
    <row r="7986" customFormat="1" x14ac:dyDescent="0.2"/>
    <row r="7987" customFormat="1" x14ac:dyDescent="0.2"/>
    <row r="7988" customFormat="1" x14ac:dyDescent="0.2"/>
    <row r="7989" customFormat="1" x14ac:dyDescent="0.2"/>
    <row r="7990" customFormat="1" x14ac:dyDescent="0.2"/>
    <row r="7991" customFormat="1" x14ac:dyDescent="0.2"/>
    <row r="7992" customFormat="1" x14ac:dyDescent="0.2"/>
    <row r="7993" customFormat="1" x14ac:dyDescent="0.2"/>
    <row r="7994" customFormat="1" x14ac:dyDescent="0.2"/>
    <row r="7995" customFormat="1" x14ac:dyDescent="0.2"/>
    <row r="7996" customFormat="1" x14ac:dyDescent="0.2"/>
    <row r="7997" customFormat="1" x14ac:dyDescent="0.2"/>
    <row r="7998" customFormat="1" x14ac:dyDescent="0.2"/>
    <row r="7999" customFormat="1" x14ac:dyDescent="0.2"/>
    <row r="8000" customFormat="1" x14ac:dyDescent="0.2"/>
    <row r="8001" customFormat="1" x14ac:dyDescent="0.2"/>
    <row r="8002" customFormat="1" x14ac:dyDescent="0.2"/>
    <row r="8003" customFormat="1" x14ac:dyDescent="0.2"/>
    <row r="8004" customFormat="1" x14ac:dyDescent="0.2"/>
    <row r="8005" customFormat="1" x14ac:dyDescent="0.2"/>
    <row r="8006" customFormat="1" x14ac:dyDescent="0.2"/>
    <row r="8007" customFormat="1" x14ac:dyDescent="0.2"/>
    <row r="8008" customFormat="1" x14ac:dyDescent="0.2"/>
    <row r="8009" customFormat="1" x14ac:dyDescent="0.2"/>
    <row r="8010" customFormat="1" x14ac:dyDescent="0.2"/>
    <row r="8011" customFormat="1" x14ac:dyDescent="0.2"/>
    <row r="8012" customFormat="1" x14ac:dyDescent="0.2"/>
    <row r="8013" customFormat="1" x14ac:dyDescent="0.2"/>
    <row r="8014" customFormat="1" x14ac:dyDescent="0.2"/>
    <row r="8015" customFormat="1" x14ac:dyDescent="0.2"/>
    <row r="8016" customFormat="1" x14ac:dyDescent="0.2"/>
    <row r="8017" customFormat="1" x14ac:dyDescent="0.2"/>
    <row r="8018" customFormat="1" x14ac:dyDescent="0.2"/>
    <row r="8019" customFormat="1" x14ac:dyDescent="0.2"/>
    <row r="8020" customFormat="1" x14ac:dyDescent="0.2"/>
    <row r="8021" customFormat="1" x14ac:dyDescent="0.2"/>
    <row r="8022" customFormat="1" x14ac:dyDescent="0.2"/>
    <row r="8023" customFormat="1" x14ac:dyDescent="0.2"/>
    <row r="8024" customFormat="1" x14ac:dyDescent="0.2"/>
    <row r="8025" customFormat="1" x14ac:dyDescent="0.2"/>
    <row r="8026" customFormat="1" x14ac:dyDescent="0.2"/>
    <row r="8027" customFormat="1" x14ac:dyDescent="0.2"/>
    <row r="8028" customFormat="1" x14ac:dyDescent="0.2"/>
    <row r="8029" customFormat="1" x14ac:dyDescent="0.2"/>
    <row r="8030" customFormat="1" x14ac:dyDescent="0.2"/>
    <row r="8031" customFormat="1" x14ac:dyDescent="0.2"/>
    <row r="8032" customFormat="1" x14ac:dyDescent="0.2"/>
    <row r="8033" customFormat="1" x14ac:dyDescent="0.2"/>
    <row r="8034" customFormat="1" x14ac:dyDescent="0.2"/>
    <row r="8035" customFormat="1" x14ac:dyDescent="0.2"/>
    <row r="8036" customFormat="1" x14ac:dyDescent="0.2"/>
    <row r="8037" customFormat="1" x14ac:dyDescent="0.2"/>
    <row r="8038" customFormat="1" x14ac:dyDescent="0.2"/>
    <row r="8039" customFormat="1" x14ac:dyDescent="0.2"/>
    <row r="8040" customFormat="1" x14ac:dyDescent="0.2"/>
    <row r="8041" customFormat="1" x14ac:dyDescent="0.2"/>
    <row r="8042" customFormat="1" x14ac:dyDescent="0.2"/>
    <row r="8043" customFormat="1" x14ac:dyDescent="0.2"/>
    <row r="8044" customFormat="1" x14ac:dyDescent="0.2"/>
    <row r="8045" customFormat="1" x14ac:dyDescent="0.2"/>
    <row r="8046" customFormat="1" x14ac:dyDescent="0.2"/>
    <row r="8047" customFormat="1" x14ac:dyDescent="0.2"/>
    <row r="8048" customFormat="1" x14ac:dyDescent="0.2"/>
    <row r="8049" customFormat="1" x14ac:dyDescent="0.2"/>
    <row r="8050" customFormat="1" x14ac:dyDescent="0.2"/>
    <row r="8051" customFormat="1" x14ac:dyDescent="0.2"/>
    <row r="8052" customFormat="1" x14ac:dyDescent="0.2"/>
    <row r="8053" customFormat="1" x14ac:dyDescent="0.2"/>
    <row r="8054" customFormat="1" x14ac:dyDescent="0.2"/>
    <row r="8055" customFormat="1" x14ac:dyDescent="0.2"/>
    <row r="8056" customFormat="1" x14ac:dyDescent="0.2"/>
    <row r="8057" customFormat="1" x14ac:dyDescent="0.2"/>
    <row r="8058" customFormat="1" x14ac:dyDescent="0.2"/>
    <row r="8059" customFormat="1" x14ac:dyDescent="0.2"/>
    <row r="8060" customFormat="1" x14ac:dyDescent="0.2"/>
    <row r="8061" customFormat="1" x14ac:dyDescent="0.2"/>
    <row r="8062" customFormat="1" x14ac:dyDescent="0.2"/>
    <row r="8063" customFormat="1" x14ac:dyDescent="0.2"/>
    <row r="8064" customFormat="1" x14ac:dyDescent="0.2"/>
    <row r="8065" customFormat="1" x14ac:dyDescent="0.2"/>
    <row r="8066" customFormat="1" x14ac:dyDescent="0.2"/>
    <row r="8067" customFormat="1" x14ac:dyDescent="0.2"/>
    <row r="8068" customFormat="1" x14ac:dyDescent="0.2"/>
    <row r="8069" customFormat="1" x14ac:dyDescent="0.2"/>
    <row r="8070" customFormat="1" x14ac:dyDescent="0.2"/>
    <row r="8071" customFormat="1" x14ac:dyDescent="0.2"/>
    <row r="8072" customFormat="1" x14ac:dyDescent="0.2"/>
    <row r="8073" customFormat="1" x14ac:dyDescent="0.2"/>
    <row r="8074" customFormat="1" x14ac:dyDescent="0.2"/>
    <row r="8075" customFormat="1" x14ac:dyDescent="0.2"/>
    <row r="8076" customFormat="1" x14ac:dyDescent="0.2"/>
    <row r="8077" customFormat="1" x14ac:dyDescent="0.2"/>
    <row r="8078" customFormat="1" x14ac:dyDescent="0.2"/>
    <row r="8079" customFormat="1" x14ac:dyDescent="0.2"/>
    <row r="8080" customFormat="1" x14ac:dyDescent="0.2"/>
    <row r="8081" customFormat="1" x14ac:dyDescent="0.2"/>
    <row r="8082" customFormat="1" x14ac:dyDescent="0.2"/>
    <row r="8083" customFormat="1" x14ac:dyDescent="0.2"/>
    <row r="8084" customFormat="1" x14ac:dyDescent="0.2"/>
    <row r="8085" customFormat="1" x14ac:dyDescent="0.2"/>
    <row r="8086" customFormat="1" x14ac:dyDescent="0.2"/>
    <row r="8087" customFormat="1" x14ac:dyDescent="0.2"/>
    <row r="8088" customFormat="1" x14ac:dyDescent="0.2"/>
    <row r="8089" customFormat="1" x14ac:dyDescent="0.2"/>
    <row r="8090" customFormat="1" x14ac:dyDescent="0.2"/>
    <row r="8091" customFormat="1" x14ac:dyDescent="0.2"/>
    <row r="8092" customFormat="1" x14ac:dyDescent="0.2"/>
    <row r="8093" customFormat="1" x14ac:dyDescent="0.2"/>
    <row r="8094" customFormat="1" x14ac:dyDescent="0.2"/>
    <row r="8095" customFormat="1" x14ac:dyDescent="0.2"/>
    <row r="8096" customFormat="1" x14ac:dyDescent="0.2"/>
    <row r="8097" customFormat="1" x14ac:dyDescent="0.2"/>
    <row r="8098" customFormat="1" x14ac:dyDescent="0.2"/>
    <row r="8099" customFormat="1" x14ac:dyDescent="0.2"/>
    <row r="8100" customFormat="1" x14ac:dyDescent="0.2"/>
    <row r="8101" customFormat="1" x14ac:dyDescent="0.2"/>
    <row r="8102" customFormat="1" x14ac:dyDescent="0.2"/>
    <row r="8103" customFormat="1" x14ac:dyDescent="0.2"/>
    <row r="8104" customFormat="1" x14ac:dyDescent="0.2"/>
    <row r="8105" customFormat="1" x14ac:dyDescent="0.2"/>
    <row r="8106" customFormat="1" x14ac:dyDescent="0.2"/>
    <row r="8107" customFormat="1" x14ac:dyDescent="0.2"/>
    <row r="8108" customFormat="1" x14ac:dyDescent="0.2"/>
    <row r="8109" customFormat="1" x14ac:dyDescent="0.2"/>
    <row r="8110" customFormat="1" x14ac:dyDescent="0.2"/>
    <row r="8111" customFormat="1" x14ac:dyDescent="0.2"/>
    <row r="8112" customFormat="1" x14ac:dyDescent="0.2"/>
    <row r="8113" customFormat="1" x14ac:dyDescent="0.2"/>
    <row r="8114" customFormat="1" x14ac:dyDescent="0.2"/>
    <row r="8115" customFormat="1" x14ac:dyDescent="0.2"/>
    <row r="8116" customFormat="1" x14ac:dyDescent="0.2"/>
    <row r="8117" customFormat="1" x14ac:dyDescent="0.2"/>
    <row r="8118" customFormat="1" x14ac:dyDescent="0.2"/>
    <row r="8119" customFormat="1" x14ac:dyDescent="0.2"/>
    <row r="8120" customFormat="1" x14ac:dyDescent="0.2"/>
    <row r="8121" customFormat="1" x14ac:dyDescent="0.2"/>
    <row r="8122" customFormat="1" x14ac:dyDescent="0.2"/>
    <row r="8123" customFormat="1" x14ac:dyDescent="0.2"/>
    <row r="8124" customFormat="1" x14ac:dyDescent="0.2"/>
    <row r="8125" customFormat="1" x14ac:dyDescent="0.2"/>
    <row r="8126" customFormat="1" x14ac:dyDescent="0.2"/>
    <row r="8127" customFormat="1" x14ac:dyDescent="0.2"/>
    <row r="8128" customFormat="1" x14ac:dyDescent="0.2"/>
    <row r="8129" customFormat="1" x14ac:dyDescent="0.2"/>
    <row r="8130" customFormat="1" x14ac:dyDescent="0.2"/>
    <row r="8131" customFormat="1" x14ac:dyDescent="0.2"/>
    <row r="8132" customFormat="1" x14ac:dyDescent="0.2"/>
    <row r="8133" customFormat="1" x14ac:dyDescent="0.2"/>
    <row r="8134" customFormat="1" x14ac:dyDescent="0.2"/>
    <row r="8135" customFormat="1" x14ac:dyDescent="0.2"/>
    <row r="8136" customFormat="1" x14ac:dyDescent="0.2"/>
    <row r="8137" customFormat="1" x14ac:dyDescent="0.2"/>
    <row r="8138" customFormat="1" x14ac:dyDescent="0.2"/>
    <row r="8139" customFormat="1" x14ac:dyDescent="0.2"/>
    <row r="8140" customFormat="1" x14ac:dyDescent="0.2"/>
    <row r="8141" customFormat="1" x14ac:dyDescent="0.2"/>
    <row r="8142" customFormat="1" x14ac:dyDescent="0.2"/>
    <row r="8143" customFormat="1" x14ac:dyDescent="0.2"/>
    <row r="8144" customFormat="1" x14ac:dyDescent="0.2"/>
    <row r="8145" customFormat="1" x14ac:dyDescent="0.2"/>
    <row r="8146" customFormat="1" x14ac:dyDescent="0.2"/>
    <row r="8147" customFormat="1" x14ac:dyDescent="0.2"/>
    <row r="8148" customFormat="1" x14ac:dyDescent="0.2"/>
    <row r="8149" customFormat="1" x14ac:dyDescent="0.2"/>
    <row r="8150" customFormat="1" x14ac:dyDescent="0.2"/>
    <row r="8151" customFormat="1" x14ac:dyDescent="0.2"/>
    <row r="8152" customFormat="1" x14ac:dyDescent="0.2"/>
    <row r="8153" customFormat="1" x14ac:dyDescent="0.2"/>
    <row r="8154" customFormat="1" x14ac:dyDescent="0.2"/>
    <row r="8155" customFormat="1" x14ac:dyDescent="0.2"/>
    <row r="8156" customFormat="1" x14ac:dyDescent="0.2"/>
    <row r="8157" customFormat="1" x14ac:dyDescent="0.2"/>
    <row r="8158" customFormat="1" x14ac:dyDescent="0.2"/>
    <row r="8159" customFormat="1" x14ac:dyDescent="0.2"/>
    <row r="8160" customFormat="1" x14ac:dyDescent="0.2"/>
    <row r="8161" customFormat="1" x14ac:dyDescent="0.2"/>
    <row r="8162" customFormat="1" x14ac:dyDescent="0.2"/>
    <row r="8163" customFormat="1" x14ac:dyDescent="0.2"/>
    <row r="8164" customFormat="1" x14ac:dyDescent="0.2"/>
    <row r="8165" customFormat="1" x14ac:dyDescent="0.2"/>
    <row r="8166" customFormat="1" x14ac:dyDescent="0.2"/>
    <row r="8167" customFormat="1" x14ac:dyDescent="0.2"/>
    <row r="8168" customFormat="1" x14ac:dyDescent="0.2"/>
    <row r="8169" customFormat="1" x14ac:dyDescent="0.2"/>
    <row r="8170" customFormat="1" x14ac:dyDescent="0.2"/>
    <row r="8171" customFormat="1" x14ac:dyDescent="0.2"/>
    <row r="8172" customFormat="1" x14ac:dyDescent="0.2"/>
    <row r="8173" customFormat="1" x14ac:dyDescent="0.2"/>
    <row r="8174" customFormat="1" x14ac:dyDescent="0.2"/>
    <row r="8175" customFormat="1" x14ac:dyDescent="0.2"/>
    <row r="8176" customFormat="1" x14ac:dyDescent="0.2"/>
    <row r="8177" customFormat="1" x14ac:dyDescent="0.2"/>
    <row r="8178" customFormat="1" x14ac:dyDescent="0.2"/>
    <row r="8179" customFormat="1" x14ac:dyDescent="0.2"/>
    <row r="8180" customFormat="1" x14ac:dyDescent="0.2"/>
    <row r="8181" customFormat="1" x14ac:dyDescent="0.2"/>
    <row r="8182" customFormat="1" x14ac:dyDescent="0.2"/>
    <row r="8183" customFormat="1" x14ac:dyDescent="0.2"/>
    <row r="8184" customFormat="1" x14ac:dyDescent="0.2"/>
    <row r="8185" customFormat="1" x14ac:dyDescent="0.2"/>
    <row r="8186" customFormat="1" x14ac:dyDescent="0.2"/>
    <row r="8187" customFormat="1" x14ac:dyDescent="0.2"/>
    <row r="8188" customFormat="1" x14ac:dyDescent="0.2"/>
    <row r="8189" customFormat="1" x14ac:dyDescent="0.2"/>
    <row r="8190" customFormat="1" x14ac:dyDescent="0.2"/>
    <row r="8191" customFormat="1" x14ac:dyDescent="0.2"/>
    <row r="8192" customFormat="1" x14ac:dyDescent="0.2"/>
    <row r="8193" customFormat="1" x14ac:dyDescent="0.2"/>
    <row r="8194" customFormat="1" x14ac:dyDescent="0.2"/>
    <row r="8195" customFormat="1" x14ac:dyDescent="0.2"/>
    <row r="8196" customFormat="1" x14ac:dyDescent="0.2"/>
    <row r="8197" customFormat="1" x14ac:dyDescent="0.2"/>
    <row r="8198" customFormat="1" x14ac:dyDescent="0.2"/>
    <row r="8199" customFormat="1" x14ac:dyDescent="0.2"/>
    <row r="8200" customFormat="1" x14ac:dyDescent="0.2"/>
    <row r="8201" customFormat="1" x14ac:dyDescent="0.2"/>
    <row r="8202" customFormat="1" x14ac:dyDescent="0.2"/>
    <row r="8203" customFormat="1" x14ac:dyDescent="0.2"/>
    <row r="8204" customFormat="1" x14ac:dyDescent="0.2"/>
    <row r="8205" customFormat="1" x14ac:dyDescent="0.2"/>
    <row r="8206" customFormat="1" x14ac:dyDescent="0.2"/>
    <row r="8207" customFormat="1" x14ac:dyDescent="0.2"/>
    <row r="8208" customFormat="1" x14ac:dyDescent="0.2"/>
    <row r="8209" customFormat="1" x14ac:dyDescent="0.2"/>
    <row r="8210" customFormat="1" x14ac:dyDescent="0.2"/>
    <row r="8211" customFormat="1" x14ac:dyDescent="0.2"/>
    <row r="8212" customFormat="1" x14ac:dyDescent="0.2"/>
    <row r="8213" customFormat="1" x14ac:dyDescent="0.2"/>
    <row r="8214" customFormat="1" x14ac:dyDescent="0.2"/>
    <row r="8215" customFormat="1" x14ac:dyDescent="0.2"/>
    <row r="8216" customFormat="1" x14ac:dyDescent="0.2"/>
    <row r="8217" customFormat="1" x14ac:dyDescent="0.2"/>
    <row r="8218" customFormat="1" x14ac:dyDescent="0.2"/>
    <row r="8219" customFormat="1" x14ac:dyDescent="0.2"/>
    <row r="8220" customFormat="1" x14ac:dyDescent="0.2"/>
    <row r="8221" customFormat="1" x14ac:dyDescent="0.2"/>
    <row r="8222" customFormat="1" x14ac:dyDescent="0.2"/>
    <row r="8223" customFormat="1" x14ac:dyDescent="0.2"/>
    <row r="8224" customFormat="1" x14ac:dyDescent="0.2"/>
    <row r="8225" customFormat="1" x14ac:dyDescent="0.2"/>
    <row r="8226" customFormat="1" x14ac:dyDescent="0.2"/>
    <row r="8227" customFormat="1" x14ac:dyDescent="0.2"/>
    <row r="8228" customFormat="1" x14ac:dyDescent="0.2"/>
    <row r="8229" customFormat="1" x14ac:dyDescent="0.2"/>
    <row r="8230" customFormat="1" x14ac:dyDescent="0.2"/>
    <row r="8231" customFormat="1" x14ac:dyDescent="0.2"/>
    <row r="8232" customFormat="1" x14ac:dyDescent="0.2"/>
    <row r="8233" customFormat="1" x14ac:dyDescent="0.2"/>
    <row r="8234" customFormat="1" x14ac:dyDescent="0.2"/>
    <row r="8235" customFormat="1" x14ac:dyDescent="0.2"/>
    <row r="8236" customFormat="1" x14ac:dyDescent="0.2"/>
    <row r="8237" customFormat="1" x14ac:dyDescent="0.2"/>
    <row r="8238" customFormat="1" x14ac:dyDescent="0.2"/>
    <row r="8239" customFormat="1" x14ac:dyDescent="0.2"/>
    <row r="8240" customFormat="1" x14ac:dyDescent="0.2"/>
    <row r="8241" customFormat="1" x14ac:dyDescent="0.2"/>
    <row r="8242" customFormat="1" x14ac:dyDescent="0.2"/>
    <row r="8243" customFormat="1" x14ac:dyDescent="0.2"/>
    <row r="8244" customFormat="1" x14ac:dyDescent="0.2"/>
    <row r="8245" customFormat="1" x14ac:dyDescent="0.2"/>
    <row r="8246" customFormat="1" x14ac:dyDescent="0.2"/>
    <row r="8247" customFormat="1" x14ac:dyDescent="0.2"/>
    <row r="8248" customFormat="1" x14ac:dyDescent="0.2"/>
    <row r="8249" customFormat="1" x14ac:dyDescent="0.2"/>
    <row r="8250" customFormat="1" x14ac:dyDescent="0.2"/>
    <row r="8251" customFormat="1" x14ac:dyDescent="0.2"/>
    <row r="8252" customFormat="1" x14ac:dyDescent="0.2"/>
    <row r="8253" customFormat="1" x14ac:dyDescent="0.2"/>
    <row r="8254" customFormat="1" x14ac:dyDescent="0.2"/>
    <row r="8255" customFormat="1" x14ac:dyDescent="0.2"/>
    <row r="8256" customFormat="1" x14ac:dyDescent="0.2"/>
    <row r="8257" customFormat="1" x14ac:dyDescent="0.2"/>
    <row r="8258" customFormat="1" x14ac:dyDescent="0.2"/>
    <row r="8259" customFormat="1" x14ac:dyDescent="0.2"/>
    <row r="8260" customFormat="1" x14ac:dyDescent="0.2"/>
    <row r="8261" customFormat="1" x14ac:dyDescent="0.2"/>
    <row r="8262" customFormat="1" x14ac:dyDescent="0.2"/>
    <row r="8263" customFormat="1" x14ac:dyDescent="0.2"/>
    <row r="8264" customFormat="1" x14ac:dyDescent="0.2"/>
    <row r="8265" customFormat="1" x14ac:dyDescent="0.2"/>
    <row r="8266" customFormat="1" x14ac:dyDescent="0.2"/>
    <row r="8267" customFormat="1" x14ac:dyDescent="0.2"/>
    <row r="8268" customFormat="1" x14ac:dyDescent="0.2"/>
    <row r="8269" customFormat="1" x14ac:dyDescent="0.2"/>
    <row r="8270" customFormat="1" x14ac:dyDescent="0.2"/>
    <row r="8271" customFormat="1" x14ac:dyDescent="0.2"/>
    <row r="8272" customFormat="1" x14ac:dyDescent="0.2"/>
    <row r="8273" customFormat="1" x14ac:dyDescent="0.2"/>
    <row r="8274" customFormat="1" x14ac:dyDescent="0.2"/>
    <row r="8275" customFormat="1" x14ac:dyDescent="0.2"/>
    <row r="8276" customFormat="1" x14ac:dyDescent="0.2"/>
    <row r="8277" customFormat="1" x14ac:dyDescent="0.2"/>
    <row r="8278" customFormat="1" x14ac:dyDescent="0.2"/>
    <row r="8279" customFormat="1" x14ac:dyDescent="0.2"/>
    <row r="8280" customFormat="1" x14ac:dyDescent="0.2"/>
    <row r="8281" customFormat="1" x14ac:dyDescent="0.2"/>
    <row r="8282" customFormat="1" x14ac:dyDescent="0.2"/>
    <row r="8283" customFormat="1" x14ac:dyDescent="0.2"/>
    <row r="8284" customFormat="1" x14ac:dyDescent="0.2"/>
    <row r="8285" customFormat="1" x14ac:dyDescent="0.2"/>
    <row r="8286" customFormat="1" x14ac:dyDescent="0.2"/>
    <row r="8287" customFormat="1" x14ac:dyDescent="0.2"/>
    <row r="8288" customFormat="1" x14ac:dyDescent="0.2"/>
    <row r="8289" customFormat="1" x14ac:dyDescent="0.2"/>
    <row r="8290" customFormat="1" x14ac:dyDescent="0.2"/>
    <row r="8291" customFormat="1" x14ac:dyDescent="0.2"/>
    <row r="8292" customFormat="1" x14ac:dyDescent="0.2"/>
    <row r="8293" customFormat="1" x14ac:dyDescent="0.2"/>
    <row r="8294" customFormat="1" x14ac:dyDescent="0.2"/>
    <row r="8295" customFormat="1" x14ac:dyDescent="0.2"/>
    <row r="8296" customFormat="1" x14ac:dyDescent="0.2"/>
    <row r="8297" customFormat="1" x14ac:dyDescent="0.2"/>
    <row r="8298" customFormat="1" x14ac:dyDescent="0.2"/>
    <row r="8299" customFormat="1" x14ac:dyDescent="0.2"/>
    <row r="8300" customFormat="1" x14ac:dyDescent="0.2"/>
    <row r="8301" customFormat="1" x14ac:dyDescent="0.2"/>
    <row r="8302" customFormat="1" x14ac:dyDescent="0.2"/>
    <row r="8303" customFormat="1" x14ac:dyDescent="0.2"/>
    <row r="8304" customFormat="1" x14ac:dyDescent="0.2"/>
    <row r="8305" customFormat="1" x14ac:dyDescent="0.2"/>
    <row r="8306" customFormat="1" x14ac:dyDescent="0.2"/>
    <row r="8307" customFormat="1" x14ac:dyDescent="0.2"/>
    <row r="8308" customFormat="1" x14ac:dyDescent="0.2"/>
    <row r="8309" customFormat="1" x14ac:dyDescent="0.2"/>
    <row r="8310" customFormat="1" x14ac:dyDescent="0.2"/>
    <row r="8311" customFormat="1" x14ac:dyDescent="0.2"/>
    <row r="8312" customFormat="1" x14ac:dyDescent="0.2"/>
    <row r="8313" customFormat="1" x14ac:dyDescent="0.2"/>
    <row r="8314" customFormat="1" x14ac:dyDescent="0.2"/>
    <row r="8315" customFormat="1" x14ac:dyDescent="0.2"/>
    <row r="8316" customFormat="1" x14ac:dyDescent="0.2"/>
    <row r="8317" customFormat="1" x14ac:dyDescent="0.2"/>
    <row r="8318" customFormat="1" x14ac:dyDescent="0.2"/>
    <row r="8319" customFormat="1" x14ac:dyDescent="0.2"/>
    <row r="8320" customFormat="1" x14ac:dyDescent="0.2"/>
    <row r="8321" customFormat="1" x14ac:dyDescent="0.2"/>
    <row r="8322" customFormat="1" x14ac:dyDescent="0.2"/>
    <row r="8323" customFormat="1" x14ac:dyDescent="0.2"/>
    <row r="8324" customFormat="1" x14ac:dyDescent="0.2"/>
    <row r="8325" customFormat="1" x14ac:dyDescent="0.2"/>
    <row r="8326" customFormat="1" x14ac:dyDescent="0.2"/>
    <row r="8327" customFormat="1" x14ac:dyDescent="0.2"/>
    <row r="8328" customFormat="1" x14ac:dyDescent="0.2"/>
    <row r="8329" customFormat="1" x14ac:dyDescent="0.2"/>
    <row r="8330" customFormat="1" x14ac:dyDescent="0.2"/>
    <row r="8331" customFormat="1" x14ac:dyDescent="0.2"/>
    <row r="8332" customFormat="1" x14ac:dyDescent="0.2"/>
    <row r="8333" customFormat="1" x14ac:dyDescent="0.2"/>
    <row r="8334" customFormat="1" x14ac:dyDescent="0.2"/>
    <row r="8335" customFormat="1" x14ac:dyDescent="0.2"/>
    <row r="8336" customFormat="1" x14ac:dyDescent="0.2"/>
    <row r="8337" customFormat="1" x14ac:dyDescent="0.2"/>
    <row r="8338" customFormat="1" x14ac:dyDescent="0.2"/>
    <row r="8339" customFormat="1" x14ac:dyDescent="0.2"/>
    <row r="8340" customFormat="1" x14ac:dyDescent="0.2"/>
    <row r="8341" customFormat="1" x14ac:dyDescent="0.2"/>
    <row r="8342" customFormat="1" x14ac:dyDescent="0.2"/>
    <row r="8343" customFormat="1" x14ac:dyDescent="0.2"/>
    <row r="8344" customFormat="1" x14ac:dyDescent="0.2"/>
    <row r="8345" customFormat="1" x14ac:dyDescent="0.2"/>
    <row r="8346" customFormat="1" x14ac:dyDescent="0.2"/>
    <row r="8347" customFormat="1" x14ac:dyDescent="0.2"/>
    <row r="8348" customFormat="1" x14ac:dyDescent="0.2"/>
    <row r="8349" customFormat="1" x14ac:dyDescent="0.2"/>
    <row r="8350" customFormat="1" x14ac:dyDescent="0.2"/>
    <row r="8351" customFormat="1" x14ac:dyDescent="0.2"/>
    <row r="8352" customFormat="1" x14ac:dyDescent="0.2"/>
    <row r="8353" customFormat="1" x14ac:dyDescent="0.2"/>
    <row r="8354" customFormat="1" x14ac:dyDescent="0.2"/>
    <row r="8355" customFormat="1" x14ac:dyDescent="0.2"/>
    <row r="8356" customFormat="1" x14ac:dyDescent="0.2"/>
    <row r="8357" customFormat="1" x14ac:dyDescent="0.2"/>
    <row r="8358" customFormat="1" x14ac:dyDescent="0.2"/>
    <row r="8359" customFormat="1" x14ac:dyDescent="0.2"/>
    <row r="8360" customFormat="1" x14ac:dyDescent="0.2"/>
    <row r="8361" customFormat="1" x14ac:dyDescent="0.2"/>
    <row r="8362" customFormat="1" x14ac:dyDescent="0.2"/>
    <row r="8363" customFormat="1" x14ac:dyDescent="0.2"/>
    <row r="8364" customFormat="1" x14ac:dyDescent="0.2"/>
    <row r="8365" customFormat="1" x14ac:dyDescent="0.2"/>
    <row r="8366" customFormat="1" x14ac:dyDescent="0.2"/>
    <row r="8367" customFormat="1" x14ac:dyDescent="0.2"/>
    <row r="8368" customFormat="1" x14ac:dyDescent="0.2"/>
    <row r="8369" customFormat="1" x14ac:dyDescent="0.2"/>
    <row r="8370" customFormat="1" x14ac:dyDescent="0.2"/>
    <row r="8371" customFormat="1" x14ac:dyDescent="0.2"/>
    <row r="8372" customFormat="1" x14ac:dyDescent="0.2"/>
    <row r="8373" customFormat="1" x14ac:dyDescent="0.2"/>
    <row r="8374" customFormat="1" x14ac:dyDescent="0.2"/>
    <row r="8375" customFormat="1" x14ac:dyDescent="0.2"/>
    <row r="8376" customFormat="1" x14ac:dyDescent="0.2"/>
    <row r="8377" customFormat="1" x14ac:dyDescent="0.2"/>
    <row r="8378" customFormat="1" x14ac:dyDescent="0.2"/>
    <row r="8379" customFormat="1" x14ac:dyDescent="0.2"/>
    <row r="8380" customFormat="1" x14ac:dyDescent="0.2"/>
    <row r="8381" customFormat="1" x14ac:dyDescent="0.2"/>
    <row r="8382" customFormat="1" x14ac:dyDescent="0.2"/>
    <row r="8383" customFormat="1" x14ac:dyDescent="0.2"/>
    <row r="8384" customFormat="1" x14ac:dyDescent="0.2"/>
    <row r="8385" customFormat="1" x14ac:dyDescent="0.2"/>
    <row r="8386" customFormat="1" x14ac:dyDescent="0.2"/>
    <row r="8387" customFormat="1" x14ac:dyDescent="0.2"/>
    <row r="8388" customFormat="1" x14ac:dyDescent="0.2"/>
    <row r="8389" customFormat="1" x14ac:dyDescent="0.2"/>
    <row r="8390" customFormat="1" x14ac:dyDescent="0.2"/>
    <row r="8391" customFormat="1" x14ac:dyDescent="0.2"/>
    <row r="8392" customFormat="1" x14ac:dyDescent="0.2"/>
    <row r="8393" customFormat="1" x14ac:dyDescent="0.2"/>
    <row r="8394" customFormat="1" x14ac:dyDescent="0.2"/>
    <row r="8395" customFormat="1" x14ac:dyDescent="0.2"/>
    <row r="8396" customFormat="1" x14ac:dyDescent="0.2"/>
    <row r="8397" customFormat="1" x14ac:dyDescent="0.2"/>
    <row r="8398" customFormat="1" x14ac:dyDescent="0.2"/>
    <row r="8399" customFormat="1" x14ac:dyDescent="0.2"/>
    <row r="8400" customFormat="1" x14ac:dyDescent="0.2"/>
    <row r="8401" customFormat="1" x14ac:dyDescent="0.2"/>
    <row r="8402" customFormat="1" x14ac:dyDescent="0.2"/>
    <row r="8403" customFormat="1" x14ac:dyDescent="0.2"/>
    <row r="8404" customFormat="1" x14ac:dyDescent="0.2"/>
    <row r="8405" customFormat="1" x14ac:dyDescent="0.2"/>
    <row r="8406" customFormat="1" x14ac:dyDescent="0.2"/>
    <row r="8407" customFormat="1" x14ac:dyDescent="0.2"/>
    <row r="8408" customFormat="1" x14ac:dyDescent="0.2"/>
    <row r="8409" customFormat="1" x14ac:dyDescent="0.2"/>
    <row r="8410" customFormat="1" x14ac:dyDescent="0.2"/>
    <row r="8411" customFormat="1" x14ac:dyDescent="0.2"/>
    <row r="8412" customFormat="1" x14ac:dyDescent="0.2"/>
    <row r="8413" customFormat="1" x14ac:dyDescent="0.2"/>
    <row r="8414" customFormat="1" x14ac:dyDescent="0.2"/>
    <row r="8415" customFormat="1" x14ac:dyDescent="0.2"/>
    <row r="8416" customFormat="1" x14ac:dyDescent="0.2"/>
    <row r="8417" customFormat="1" x14ac:dyDescent="0.2"/>
    <row r="8418" customFormat="1" x14ac:dyDescent="0.2"/>
    <row r="8419" customFormat="1" x14ac:dyDescent="0.2"/>
    <row r="8420" customFormat="1" x14ac:dyDescent="0.2"/>
    <row r="8421" customFormat="1" x14ac:dyDescent="0.2"/>
    <row r="8422" customFormat="1" x14ac:dyDescent="0.2"/>
    <row r="8423" customFormat="1" x14ac:dyDescent="0.2"/>
    <row r="8424" customFormat="1" x14ac:dyDescent="0.2"/>
    <row r="8425" customFormat="1" x14ac:dyDescent="0.2"/>
    <row r="8426" customFormat="1" x14ac:dyDescent="0.2"/>
    <row r="8427" customFormat="1" x14ac:dyDescent="0.2"/>
    <row r="8428" customFormat="1" x14ac:dyDescent="0.2"/>
    <row r="8429" customFormat="1" x14ac:dyDescent="0.2"/>
    <row r="8430" customFormat="1" x14ac:dyDescent="0.2"/>
    <row r="8431" customFormat="1" x14ac:dyDescent="0.2"/>
    <row r="8432" customFormat="1" x14ac:dyDescent="0.2"/>
    <row r="8433" customFormat="1" x14ac:dyDescent="0.2"/>
    <row r="8434" customFormat="1" x14ac:dyDescent="0.2"/>
    <row r="8435" customFormat="1" x14ac:dyDescent="0.2"/>
    <row r="8436" customFormat="1" x14ac:dyDescent="0.2"/>
    <row r="8437" customFormat="1" x14ac:dyDescent="0.2"/>
    <row r="8438" customFormat="1" x14ac:dyDescent="0.2"/>
    <row r="8439" customFormat="1" x14ac:dyDescent="0.2"/>
    <row r="8440" customFormat="1" x14ac:dyDescent="0.2"/>
    <row r="8441" customFormat="1" x14ac:dyDescent="0.2"/>
    <row r="8442" customFormat="1" x14ac:dyDescent="0.2"/>
    <row r="8443" customFormat="1" x14ac:dyDescent="0.2"/>
    <row r="8444" customFormat="1" x14ac:dyDescent="0.2"/>
    <row r="8445" customFormat="1" x14ac:dyDescent="0.2"/>
    <row r="8446" customFormat="1" x14ac:dyDescent="0.2"/>
    <row r="8447" customFormat="1" x14ac:dyDescent="0.2"/>
    <row r="8448" customFormat="1" x14ac:dyDescent="0.2"/>
    <row r="8449" customFormat="1" x14ac:dyDescent="0.2"/>
    <row r="8450" customFormat="1" x14ac:dyDescent="0.2"/>
    <row r="8451" customFormat="1" x14ac:dyDescent="0.2"/>
    <row r="8452" customFormat="1" x14ac:dyDescent="0.2"/>
    <row r="8453" customFormat="1" x14ac:dyDescent="0.2"/>
    <row r="8454" customFormat="1" x14ac:dyDescent="0.2"/>
    <row r="8455" customFormat="1" x14ac:dyDescent="0.2"/>
    <row r="8456" customFormat="1" x14ac:dyDescent="0.2"/>
    <row r="8457" customFormat="1" x14ac:dyDescent="0.2"/>
    <row r="8458" customFormat="1" x14ac:dyDescent="0.2"/>
    <row r="8459" customFormat="1" x14ac:dyDescent="0.2"/>
    <row r="8460" customFormat="1" x14ac:dyDescent="0.2"/>
    <row r="8461" customFormat="1" x14ac:dyDescent="0.2"/>
    <row r="8462" customFormat="1" x14ac:dyDescent="0.2"/>
    <row r="8463" customFormat="1" x14ac:dyDescent="0.2"/>
    <row r="8464" customFormat="1" x14ac:dyDescent="0.2"/>
    <row r="8465" customFormat="1" x14ac:dyDescent="0.2"/>
    <row r="8466" customFormat="1" x14ac:dyDescent="0.2"/>
    <row r="8467" customFormat="1" x14ac:dyDescent="0.2"/>
    <row r="8468" customFormat="1" x14ac:dyDescent="0.2"/>
    <row r="8469" customFormat="1" x14ac:dyDescent="0.2"/>
    <row r="8470" customFormat="1" x14ac:dyDescent="0.2"/>
    <row r="8471" customFormat="1" x14ac:dyDescent="0.2"/>
    <row r="8472" customFormat="1" x14ac:dyDescent="0.2"/>
    <row r="8473" customFormat="1" x14ac:dyDescent="0.2"/>
    <row r="8474" customFormat="1" x14ac:dyDescent="0.2"/>
    <row r="8475" customFormat="1" x14ac:dyDescent="0.2"/>
    <row r="8476" customFormat="1" x14ac:dyDescent="0.2"/>
    <row r="8477" customFormat="1" x14ac:dyDescent="0.2"/>
    <row r="8478" customFormat="1" x14ac:dyDescent="0.2"/>
    <row r="8479" customFormat="1" x14ac:dyDescent="0.2"/>
    <row r="8480" customFormat="1" x14ac:dyDescent="0.2"/>
    <row r="8481" customFormat="1" x14ac:dyDescent="0.2"/>
    <row r="8482" customFormat="1" x14ac:dyDescent="0.2"/>
    <row r="8483" customFormat="1" x14ac:dyDescent="0.2"/>
    <row r="8484" customFormat="1" x14ac:dyDescent="0.2"/>
    <row r="8485" customFormat="1" x14ac:dyDescent="0.2"/>
    <row r="8486" customFormat="1" x14ac:dyDescent="0.2"/>
    <row r="8487" customFormat="1" x14ac:dyDescent="0.2"/>
    <row r="8488" customFormat="1" x14ac:dyDescent="0.2"/>
    <row r="8489" customFormat="1" x14ac:dyDescent="0.2"/>
    <row r="8490" customFormat="1" x14ac:dyDescent="0.2"/>
    <row r="8491" customFormat="1" x14ac:dyDescent="0.2"/>
    <row r="8492" customFormat="1" x14ac:dyDescent="0.2"/>
    <row r="8493" customFormat="1" x14ac:dyDescent="0.2"/>
    <row r="8494" customFormat="1" x14ac:dyDescent="0.2"/>
    <row r="8495" customFormat="1" x14ac:dyDescent="0.2"/>
    <row r="8496" customFormat="1" x14ac:dyDescent="0.2"/>
    <row r="8497" customFormat="1" x14ac:dyDescent="0.2"/>
    <row r="8498" customFormat="1" x14ac:dyDescent="0.2"/>
    <row r="8499" customFormat="1" x14ac:dyDescent="0.2"/>
    <row r="8500" customFormat="1" x14ac:dyDescent="0.2"/>
    <row r="8501" customFormat="1" x14ac:dyDescent="0.2"/>
    <row r="8502" customFormat="1" x14ac:dyDescent="0.2"/>
    <row r="8503" customFormat="1" x14ac:dyDescent="0.2"/>
    <row r="8504" customFormat="1" x14ac:dyDescent="0.2"/>
    <row r="8505" customFormat="1" x14ac:dyDescent="0.2"/>
    <row r="8506" customFormat="1" x14ac:dyDescent="0.2"/>
    <row r="8507" customFormat="1" x14ac:dyDescent="0.2"/>
    <row r="8508" customFormat="1" x14ac:dyDescent="0.2"/>
    <row r="8509" customFormat="1" x14ac:dyDescent="0.2"/>
    <row r="8510" customFormat="1" x14ac:dyDescent="0.2"/>
    <row r="8511" customFormat="1" x14ac:dyDescent="0.2"/>
    <row r="8512" customFormat="1" x14ac:dyDescent="0.2"/>
    <row r="8513" customFormat="1" x14ac:dyDescent="0.2"/>
    <row r="8514" customFormat="1" x14ac:dyDescent="0.2"/>
    <row r="8515" customFormat="1" x14ac:dyDescent="0.2"/>
    <row r="8516" customFormat="1" x14ac:dyDescent="0.2"/>
    <row r="8517" customFormat="1" x14ac:dyDescent="0.2"/>
    <row r="8518" customFormat="1" x14ac:dyDescent="0.2"/>
    <row r="8519" customFormat="1" x14ac:dyDescent="0.2"/>
    <row r="8520" customFormat="1" x14ac:dyDescent="0.2"/>
    <row r="8521" customFormat="1" x14ac:dyDescent="0.2"/>
    <row r="8522" customFormat="1" x14ac:dyDescent="0.2"/>
    <row r="8523" customFormat="1" x14ac:dyDescent="0.2"/>
    <row r="8524" customFormat="1" x14ac:dyDescent="0.2"/>
    <row r="8525" customFormat="1" x14ac:dyDescent="0.2"/>
    <row r="8526" customFormat="1" x14ac:dyDescent="0.2"/>
    <row r="8527" customFormat="1" x14ac:dyDescent="0.2"/>
    <row r="8528" customFormat="1" x14ac:dyDescent="0.2"/>
    <row r="8529" customFormat="1" x14ac:dyDescent="0.2"/>
    <row r="8530" customFormat="1" x14ac:dyDescent="0.2"/>
    <row r="8531" customFormat="1" x14ac:dyDescent="0.2"/>
    <row r="8532" customFormat="1" x14ac:dyDescent="0.2"/>
    <row r="8533" customFormat="1" x14ac:dyDescent="0.2"/>
    <row r="8534" customFormat="1" x14ac:dyDescent="0.2"/>
    <row r="8535" customFormat="1" x14ac:dyDescent="0.2"/>
    <row r="8536" customFormat="1" x14ac:dyDescent="0.2"/>
    <row r="8537" customFormat="1" x14ac:dyDescent="0.2"/>
    <row r="8538" customFormat="1" x14ac:dyDescent="0.2"/>
    <row r="8539" customFormat="1" x14ac:dyDescent="0.2"/>
    <row r="8540" customFormat="1" x14ac:dyDescent="0.2"/>
    <row r="8541" customFormat="1" x14ac:dyDescent="0.2"/>
    <row r="8542" customFormat="1" x14ac:dyDescent="0.2"/>
    <row r="8543" customFormat="1" x14ac:dyDescent="0.2"/>
    <row r="8544" customFormat="1" x14ac:dyDescent="0.2"/>
    <row r="8545" customFormat="1" x14ac:dyDescent="0.2"/>
    <row r="8546" customFormat="1" x14ac:dyDescent="0.2"/>
    <row r="8547" customFormat="1" x14ac:dyDescent="0.2"/>
    <row r="8548" customFormat="1" x14ac:dyDescent="0.2"/>
    <row r="8549" customFormat="1" x14ac:dyDescent="0.2"/>
    <row r="8550" customFormat="1" x14ac:dyDescent="0.2"/>
    <row r="8551" customFormat="1" x14ac:dyDescent="0.2"/>
    <row r="8552" customFormat="1" x14ac:dyDescent="0.2"/>
    <row r="8553" customFormat="1" x14ac:dyDescent="0.2"/>
    <row r="8554" customFormat="1" x14ac:dyDescent="0.2"/>
    <row r="8555" customFormat="1" x14ac:dyDescent="0.2"/>
    <row r="8556" customFormat="1" x14ac:dyDescent="0.2"/>
    <row r="8557" customFormat="1" x14ac:dyDescent="0.2"/>
    <row r="8558" customFormat="1" x14ac:dyDescent="0.2"/>
    <row r="8559" customFormat="1" x14ac:dyDescent="0.2"/>
    <row r="8560" customFormat="1" x14ac:dyDescent="0.2"/>
    <row r="8561" customFormat="1" x14ac:dyDescent="0.2"/>
    <row r="8562" customFormat="1" x14ac:dyDescent="0.2"/>
    <row r="8563" customFormat="1" x14ac:dyDescent="0.2"/>
    <row r="8564" customFormat="1" x14ac:dyDescent="0.2"/>
    <row r="8565" customFormat="1" x14ac:dyDescent="0.2"/>
    <row r="8566" customFormat="1" x14ac:dyDescent="0.2"/>
    <row r="8567" customFormat="1" x14ac:dyDescent="0.2"/>
    <row r="8568" customFormat="1" x14ac:dyDescent="0.2"/>
    <row r="8569" customFormat="1" x14ac:dyDescent="0.2"/>
    <row r="8570" customFormat="1" x14ac:dyDescent="0.2"/>
    <row r="8571" customFormat="1" x14ac:dyDescent="0.2"/>
    <row r="8572" customFormat="1" x14ac:dyDescent="0.2"/>
    <row r="8573" customFormat="1" x14ac:dyDescent="0.2"/>
    <row r="8574" customFormat="1" x14ac:dyDescent="0.2"/>
    <row r="8575" customFormat="1" x14ac:dyDescent="0.2"/>
    <row r="8576" customFormat="1" x14ac:dyDescent="0.2"/>
    <row r="8577" customFormat="1" x14ac:dyDescent="0.2"/>
    <row r="8578" customFormat="1" x14ac:dyDescent="0.2"/>
    <row r="8579" customFormat="1" x14ac:dyDescent="0.2"/>
    <row r="8580" customFormat="1" x14ac:dyDescent="0.2"/>
    <row r="8581" customFormat="1" x14ac:dyDescent="0.2"/>
    <row r="8582" customFormat="1" x14ac:dyDescent="0.2"/>
    <row r="8583" customFormat="1" x14ac:dyDescent="0.2"/>
    <row r="8584" customFormat="1" x14ac:dyDescent="0.2"/>
    <row r="8585" customFormat="1" x14ac:dyDescent="0.2"/>
    <row r="8586" customFormat="1" x14ac:dyDescent="0.2"/>
    <row r="8587" customFormat="1" x14ac:dyDescent="0.2"/>
    <row r="8588" customFormat="1" x14ac:dyDescent="0.2"/>
    <row r="8589" customFormat="1" x14ac:dyDescent="0.2"/>
    <row r="8590" customFormat="1" x14ac:dyDescent="0.2"/>
    <row r="8591" customFormat="1" x14ac:dyDescent="0.2"/>
    <row r="8592" customFormat="1" x14ac:dyDescent="0.2"/>
    <row r="8593" customFormat="1" x14ac:dyDescent="0.2"/>
    <row r="8594" customFormat="1" x14ac:dyDescent="0.2"/>
    <row r="8595" customFormat="1" x14ac:dyDescent="0.2"/>
    <row r="8596" customFormat="1" x14ac:dyDescent="0.2"/>
    <row r="8597" customFormat="1" x14ac:dyDescent="0.2"/>
    <row r="8598" customFormat="1" x14ac:dyDescent="0.2"/>
    <row r="8599" customFormat="1" x14ac:dyDescent="0.2"/>
    <row r="8600" customFormat="1" x14ac:dyDescent="0.2"/>
    <row r="8601" customFormat="1" x14ac:dyDescent="0.2"/>
    <row r="8602" customFormat="1" x14ac:dyDescent="0.2"/>
    <row r="8603" customFormat="1" x14ac:dyDescent="0.2"/>
    <row r="8604" customFormat="1" x14ac:dyDescent="0.2"/>
    <row r="8605" customFormat="1" x14ac:dyDescent="0.2"/>
    <row r="8606" customFormat="1" x14ac:dyDescent="0.2"/>
    <row r="8607" customFormat="1" x14ac:dyDescent="0.2"/>
    <row r="8608" customFormat="1" x14ac:dyDescent="0.2"/>
    <row r="8609" customFormat="1" x14ac:dyDescent="0.2"/>
    <row r="8610" customFormat="1" x14ac:dyDescent="0.2"/>
    <row r="8611" customFormat="1" x14ac:dyDescent="0.2"/>
    <row r="8612" customFormat="1" x14ac:dyDescent="0.2"/>
    <row r="8613" customFormat="1" x14ac:dyDescent="0.2"/>
    <row r="8614" customFormat="1" x14ac:dyDescent="0.2"/>
    <row r="8615" customFormat="1" x14ac:dyDescent="0.2"/>
    <row r="8616" customFormat="1" x14ac:dyDescent="0.2"/>
    <row r="8617" customFormat="1" x14ac:dyDescent="0.2"/>
    <row r="8618" customFormat="1" x14ac:dyDescent="0.2"/>
    <row r="8619" customFormat="1" x14ac:dyDescent="0.2"/>
    <row r="8620" customFormat="1" x14ac:dyDescent="0.2"/>
    <row r="8621" customFormat="1" x14ac:dyDescent="0.2"/>
    <row r="8622" customFormat="1" x14ac:dyDescent="0.2"/>
    <row r="8623" customFormat="1" x14ac:dyDescent="0.2"/>
    <row r="8624" customFormat="1" x14ac:dyDescent="0.2"/>
    <row r="8625" customFormat="1" x14ac:dyDescent="0.2"/>
    <row r="8626" customFormat="1" x14ac:dyDescent="0.2"/>
    <row r="8627" customFormat="1" x14ac:dyDescent="0.2"/>
    <row r="8628" customFormat="1" x14ac:dyDescent="0.2"/>
    <row r="8629" customFormat="1" x14ac:dyDescent="0.2"/>
    <row r="8630" customFormat="1" x14ac:dyDescent="0.2"/>
    <row r="8631" customFormat="1" x14ac:dyDescent="0.2"/>
    <row r="8632" customFormat="1" x14ac:dyDescent="0.2"/>
    <row r="8633" customFormat="1" x14ac:dyDescent="0.2"/>
    <row r="8634" customFormat="1" x14ac:dyDescent="0.2"/>
    <row r="8635" customFormat="1" x14ac:dyDescent="0.2"/>
    <row r="8636" customFormat="1" x14ac:dyDescent="0.2"/>
    <row r="8637" customFormat="1" x14ac:dyDescent="0.2"/>
    <row r="8638" customFormat="1" x14ac:dyDescent="0.2"/>
    <row r="8639" customFormat="1" x14ac:dyDescent="0.2"/>
    <row r="8640" customFormat="1" x14ac:dyDescent="0.2"/>
    <row r="8641" customFormat="1" x14ac:dyDescent="0.2"/>
    <row r="8642" customFormat="1" x14ac:dyDescent="0.2"/>
    <row r="8643" customFormat="1" x14ac:dyDescent="0.2"/>
    <row r="8644" customFormat="1" x14ac:dyDescent="0.2"/>
    <row r="8645" customFormat="1" x14ac:dyDescent="0.2"/>
    <row r="8646" customFormat="1" x14ac:dyDescent="0.2"/>
    <row r="8647" customFormat="1" x14ac:dyDescent="0.2"/>
    <row r="8648" customFormat="1" x14ac:dyDescent="0.2"/>
    <row r="8649" customFormat="1" x14ac:dyDescent="0.2"/>
    <row r="8650" customFormat="1" x14ac:dyDescent="0.2"/>
    <row r="8651" customFormat="1" x14ac:dyDescent="0.2"/>
    <row r="8652" customFormat="1" x14ac:dyDescent="0.2"/>
    <row r="8653" customFormat="1" x14ac:dyDescent="0.2"/>
    <row r="8654" customFormat="1" x14ac:dyDescent="0.2"/>
    <row r="8655" customFormat="1" x14ac:dyDescent="0.2"/>
    <row r="8656" customFormat="1" x14ac:dyDescent="0.2"/>
    <row r="8657" customFormat="1" x14ac:dyDescent="0.2"/>
    <row r="8658" customFormat="1" x14ac:dyDescent="0.2"/>
    <row r="8659" customFormat="1" x14ac:dyDescent="0.2"/>
    <row r="8660" customFormat="1" x14ac:dyDescent="0.2"/>
    <row r="8661" customFormat="1" x14ac:dyDescent="0.2"/>
    <row r="8662" customFormat="1" x14ac:dyDescent="0.2"/>
    <row r="8663" customFormat="1" x14ac:dyDescent="0.2"/>
    <row r="8664" customFormat="1" x14ac:dyDescent="0.2"/>
    <row r="8665" customFormat="1" x14ac:dyDescent="0.2"/>
    <row r="8666" customFormat="1" x14ac:dyDescent="0.2"/>
    <row r="8667" customFormat="1" x14ac:dyDescent="0.2"/>
    <row r="8668" customFormat="1" x14ac:dyDescent="0.2"/>
    <row r="8669" customFormat="1" x14ac:dyDescent="0.2"/>
    <row r="8670" customFormat="1" x14ac:dyDescent="0.2"/>
    <row r="8671" customFormat="1" x14ac:dyDescent="0.2"/>
    <row r="8672" customFormat="1" x14ac:dyDescent="0.2"/>
    <row r="8673" customFormat="1" x14ac:dyDescent="0.2"/>
    <row r="8674" customFormat="1" x14ac:dyDescent="0.2"/>
    <row r="8675" customFormat="1" x14ac:dyDescent="0.2"/>
    <row r="8676" customFormat="1" x14ac:dyDescent="0.2"/>
    <row r="8677" customFormat="1" x14ac:dyDescent="0.2"/>
    <row r="8678" customFormat="1" x14ac:dyDescent="0.2"/>
    <row r="8679" customFormat="1" x14ac:dyDescent="0.2"/>
    <row r="8680" customFormat="1" x14ac:dyDescent="0.2"/>
    <row r="8681" customFormat="1" x14ac:dyDescent="0.2"/>
    <row r="8682" customFormat="1" x14ac:dyDescent="0.2"/>
    <row r="8683" customFormat="1" x14ac:dyDescent="0.2"/>
    <row r="8684" customFormat="1" x14ac:dyDescent="0.2"/>
    <row r="8685" customFormat="1" x14ac:dyDescent="0.2"/>
    <row r="8686" customFormat="1" x14ac:dyDescent="0.2"/>
    <row r="8687" customFormat="1" x14ac:dyDescent="0.2"/>
    <row r="8688" customFormat="1" x14ac:dyDescent="0.2"/>
    <row r="8689" customFormat="1" x14ac:dyDescent="0.2"/>
    <row r="8690" customFormat="1" x14ac:dyDescent="0.2"/>
    <row r="8691" customFormat="1" x14ac:dyDescent="0.2"/>
    <row r="8692" customFormat="1" x14ac:dyDescent="0.2"/>
    <row r="8693" customFormat="1" x14ac:dyDescent="0.2"/>
    <row r="8694" customFormat="1" x14ac:dyDescent="0.2"/>
    <row r="8695" customFormat="1" x14ac:dyDescent="0.2"/>
    <row r="8696" customFormat="1" x14ac:dyDescent="0.2"/>
    <row r="8697" customFormat="1" x14ac:dyDescent="0.2"/>
    <row r="8698" customFormat="1" x14ac:dyDescent="0.2"/>
    <row r="8699" customFormat="1" x14ac:dyDescent="0.2"/>
    <row r="8700" customFormat="1" x14ac:dyDescent="0.2"/>
    <row r="8701" customFormat="1" x14ac:dyDescent="0.2"/>
    <row r="8702" customFormat="1" x14ac:dyDescent="0.2"/>
    <row r="8703" customFormat="1" x14ac:dyDescent="0.2"/>
    <row r="8704" customFormat="1" x14ac:dyDescent="0.2"/>
    <row r="8705" customFormat="1" x14ac:dyDescent="0.2"/>
    <row r="8706" customFormat="1" x14ac:dyDescent="0.2"/>
    <row r="8707" customFormat="1" x14ac:dyDescent="0.2"/>
    <row r="8708" customFormat="1" x14ac:dyDescent="0.2"/>
    <row r="8709" customFormat="1" x14ac:dyDescent="0.2"/>
    <row r="8710" customFormat="1" x14ac:dyDescent="0.2"/>
    <row r="8711" customFormat="1" x14ac:dyDescent="0.2"/>
    <row r="8712" customFormat="1" x14ac:dyDescent="0.2"/>
    <row r="8713" customFormat="1" x14ac:dyDescent="0.2"/>
    <row r="8714" customFormat="1" x14ac:dyDescent="0.2"/>
    <row r="8715" customFormat="1" x14ac:dyDescent="0.2"/>
    <row r="8716" customFormat="1" x14ac:dyDescent="0.2"/>
    <row r="8717" customFormat="1" x14ac:dyDescent="0.2"/>
    <row r="8718" customFormat="1" x14ac:dyDescent="0.2"/>
    <row r="8719" customFormat="1" x14ac:dyDescent="0.2"/>
    <row r="8720" customFormat="1" x14ac:dyDescent="0.2"/>
    <row r="8721" customFormat="1" x14ac:dyDescent="0.2"/>
    <row r="8722" customFormat="1" x14ac:dyDescent="0.2"/>
    <row r="8723" customFormat="1" x14ac:dyDescent="0.2"/>
    <row r="8724" customFormat="1" x14ac:dyDescent="0.2"/>
    <row r="8725" customFormat="1" x14ac:dyDescent="0.2"/>
    <row r="8726" customFormat="1" x14ac:dyDescent="0.2"/>
    <row r="8727" customFormat="1" x14ac:dyDescent="0.2"/>
    <row r="8728" customFormat="1" x14ac:dyDescent="0.2"/>
    <row r="8729" customFormat="1" x14ac:dyDescent="0.2"/>
    <row r="8730" customFormat="1" x14ac:dyDescent="0.2"/>
    <row r="8731" customFormat="1" x14ac:dyDescent="0.2"/>
    <row r="8732" customFormat="1" x14ac:dyDescent="0.2"/>
    <row r="8733" customFormat="1" x14ac:dyDescent="0.2"/>
    <row r="8734" customFormat="1" x14ac:dyDescent="0.2"/>
    <row r="8735" customFormat="1" x14ac:dyDescent="0.2"/>
    <row r="8736" customFormat="1" x14ac:dyDescent="0.2"/>
    <row r="8737" customFormat="1" x14ac:dyDescent="0.2"/>
    <row r="8738" customFormat="1" x14ac:dyDescent="0.2"/>
    <row r="8739" customFormat="1" x14ac:dyDescent="0.2"/>
    <row r="8740" customFormat="1" x14ac:dyDescent="0.2"/>
    <row r="8741" customFormat="1" x14ac:dyDescent="0.2"/>
    <row r="8742" customFormat="1" x14ac:dyDescent="0.2"/>
    <row r="8743" customFormat="1" x14ac:dyDescent="0.2"/>
    <row r="8744" customFormat="1" x14ac:dyDescent="0.2"/>
    <row r="8745" customFormat="1" x14ac:dyDescent="0.2"/>
    <row r="8746" customFormat="1" x14ac:dyDescent="0.2"/>
    <row r="8747" customFormat="1" x14ac:dyDescent="0.2"/>
    <row r="8748" customFormat="1" x14ac:dyDescent="0.2"/>
    <row r="8749" customFormat="1" x14ac:dyDescent="0.2"/>
    <row r="8750" customFormat="1" x14ac:dyDescent="0.2"/>
    <row r="8751" customFormat="1" x14ac:dyDescent="0.2"/>
    <row r="8752" customFormat="1" x14ac:dyDescent="0.2"/>
    <row r="8753" customFormat="1" x14ac:dyDescent="0.2"/>
    <row r="8754" customFormat="1" x14ac:dyDescent="0.2"/>
    <row r="8755" customFormat="1" x14ac:dyDescent="0.2"/>
    <row r="8756" customFormat="1" x14ac:dyDescent="0.2"/>
    <row r="8757" customFormat="1" x14ac:dyDescent="0.2"/>
    <row r="8758" customFormat="1" x14ac:dyDescent="0.2"/>
    <row r="8759" customFormat="1" x14ac:dyDescent="0.2"/>
    <row r="8760" customFormat="1" x14ac:dyDescent="0.2"/>
    <row r="8761" customFormat="1" x14ac:dyDescent="0.2"/>
    <row r="8762" customFormat="1" x14ac:dyDescent="0.2"/>
    <row r="8763" customFormat="1" x14ac:dyDescent="0.2"/>
    <row r="8764" customFormat="1" x14ac:dyDescent="0.2"/>
    <row r="8765" customFormat="1" x14ac:dyDescent="0.2"/>
    <row r="8766" customFormat="1" x14ac:dyDescent="0.2"/>
    <row r="8767" customFormat="1" x14ac:dyDescent="0.2"/>
    <row r="8768" customFormat="1" x14ac:dyDescent="0.2"/>
    <row r="8769" customFormat="1" x14ac:dyDescent="0.2"/>
    <row r="8770" customFormat="1" x14ac:dyDescent="0.2"/>
    <row r="8771" customFormat="1" x14ac:dyDescent="0.2"/>
    <row r="8772" customFormat="1" x14ac:dyDescent="0.2"/>
    <row r="8773" customFormat="1" x14ac:dyDescent="0.2"/>
    <row r="8774" customFormat="1" x14ac:dyDescent="0.2"/>
    <row r="8775" customFormat="1" x14ac:dyDescent="0.2"/>
    <row r="8776" customFormat="1" x14ac:dyDescent="0.2"/>
    <row r="8777" customFormat="1" x14ac:dyDescent="0.2"/>
    <row r="8778" customFormat="1" x14ac:dyDescent="0.2"/>
    <row r="8779" customFormat="1" x14ac:dyDescent="0.2"/>
    <row r="8780" customFormat="1" x14ac:dyDescent="0.2"/>
    <row r="8781" customFormat="1" x14ac:dyDescent="0.2"/>
    <row r="8782" customFormat="1" x14ac:dyDescent="0.2"/>
    <row r="8783" customFormat="1" x14ac:dyDescent="0.2"/>
    <row r="8784" customFormat="1" x14ac:dyDescent="0.2"/>
    <row r="8785" customFormat="1" x14ac:dyDescent="0.2"/>
    <row r="8786" customFormat="1" x14ac:dyDescent="0.2"/>
    <row r="8787" customFormat="1" x14ac:dyDescent="0.2"/>
    <row r="8788" customFormat="1" x14ac:dyDescent="0.2"/>
    <row r="8789" customFormat="1" x14ac:dyDescent="0.2"/>
    <row r="8790" customFormat="1" x14ac:dyDescent="0.2"/>
    <row r="8791" customFormat="1" x14ac:dyDescent="0.2"/>
    <row r="8792" customFormat="1" x14ac:dyDescent="0.2"/>
    <row r="8793" customFormat="1" x14ac:dyDescent="0.2"/>
    <row r="8794" customFormat="1" x14ac:dyDescent="0.2"/>
    <row r="8795" customFormat="1" x14ac:dyDescent="0.2"/>
    <row r="8796" customFormat="1" x14ac:dyDescent="0.2"/>
    <row r="8797" customFormat="1" x14ac:dyDescent="0.2"/>
    <row r="8798" customFormat="1" x14ac:dyDescent="0.2"/>
    <row r="8799" customFormat="1" x14ac:dyDescent="0.2"/>
    <row r="8800" customFormat="1" x14ac:dyDescent="0.2"/>
    <row r="8801" customFormat="1" x14ac:dyDescent="0.2"/>
    <row r="8802" customFormat="1" x14ac:dyDescent="0.2"/>
    <row r="8803" customFormat="1" x14ac:dyDescent="0.2"/>
    <row r="8804" customFormat="1" x14ac:dyDescent="0.2"/>
    <row r="8805" customFormat="1" x14ac:dyDescent="0.2"/>
    <row r="8806" customFormat="1" x14ac:dyDescent="0.2"/>
    <row r="8807" customFormat="1" x14ac:dyDescent="0.2"/>
    <row r="8808" customFormat="1" x14ac:dyDescent="0.2"/>
    <row r="8809" customFormat="1" x14ac:dyDescent="0.2"/>
    <row r="8810" customFormat="1" x14ac:dyDescent="0.2"/>
    <row r="8811" customFormat="1" x14ac:dyDescent="0.2"/>
    <row r="8812" customFormat="1" x14ac:dyDescent="0.2"/>
    <row r="8813" customFormat="1" x14ac:dyDescent="0.2"/>
    <row r="8814" customFormat="1" x14ac:dyDescent="0.2"/>
    <row r="8815" customFormat="1" x14ac:dyDescent="0.2"/>
    <row r="8816" customFormat="1" x14ac:dyDescent="0.2"/>
    <row r="8817" customFormat="1" x14ac:dyDescent="0.2"/>
    <row r="8818" customFormat="1" x14ac:dyDescent="0.2"/>
    <row r="8819" customFormat="1" x14ac:dyDescent="0.2"/>
    <row r="8820" customFormat="1" x14ac:dyDescent="0.2"/>
    <row r="8821" customFormat="1" x14ac:dyDescent="0.2"/>
    <row r="8822" customFormat="1" x14ac:dyDescent="0.2"/>
    <row r="8823" customFormat="1" x14ac:dyDescent="0.2"/>
    <row r="8824" customFormat="1" x14ac:dyDescent="0.2"/>
    <row r="8825" customFormat="1" x14ac:dyDescent="0.2"/>
    <row r="8826" customFormat="1" x14ac:dyDescent="0.2"/>
    <row r="8827" customFormat="1" x14ac:dyDescent="0.2"/>
    <row r="8828" customFormat="1" x14ac:dyDescent="0.2"/>
    <row r="8829" customFormat="1" x14ac:dyDescent="0.2"/>
    <row r="8830" customFormat="1" x14ac:dyDescent="0.2"/>
    <row r="8831" customFormat="1" x14ac:dyDescent="0.2"/>
    <row r="8832" customFormat="1" x14ac:dyDescent="0.2"/>
    <row r="8833" customFormat="1" x14ac:dyDescent="0.2"/>
    <row r="8834" customFormat="1" x14ac:dyDescent="0.2"/>
    <row r="8835" customFormat="1" x14ac:dyDescent="0.2"/>
    <row r="8836" customFormat="1" x14ac:dyDescent="0.2"/>
    <row r="8837" customFormat="1" x14ac:dyDescent="0.2"/>
    <row r="8838" customFormat="1" x14ac:dyDescent="0.2"/>
    <row r="8839" customFormat="1" x14ac:dyDescent="0.2"/>
    <row r="8840" customFormat="1" x14ac:dyDescent="0.2"/>
    <row r="8841" customFormat="1" x14ac:dyDescent="0.2"/>
    <row r="8842" customFormat="1" x14ac:dyDescent="0.2"/>
    <row r="8843" customFormat="1" x14ac:dyDescent="0.2"/>
    <row r="8844" customFormat="1" x14ac:dyDescent="0.2"/>
    <row r="8845" customFormat="1" x14ac:dyDescent="0.2"/>
    <row r="8846" customFormat="1" x14ac:dyDescent="0.2"/>
    <row r="8847" customFormat="1" x14ac:dyDescent="0.2"/>
    <row r="8848" customFormat="1" x14ac:dyDescent="0.2"/>
    <row r="8849" customFormat="1" x14ac:dyDescent="0.2"/>
    <row r="8850" customFormat="1" x14ac:dyDescent="0.2"/>
    <row r="8851" customFormat="1" x14ac:dyDescent="0.2"/>
    <row r="8852" customFormat="1" x14ac:dyDescent="0.2"/>
    <row r="8853" customFormat="1" x14ac:dyDescent="0.2"/>
    <row r="8854" customFormat="1" x14ac:dyDescent="0.2"/>
    <row r="8855" customFormat="1" x14ac:dyDescent="0.2"/>
    <row r="8856" customFormat="1" x14ac:dyDescent="0.2"/>
    <row r="8857" customFormat="1" x14ac:dyDescent="0.2"/>
    <row r="8858" customFormat="1" x14ac:dyDescent="0.2"/>
    <row r="8859" customFormat="1" x14ac:dyDescent="0.2"/>
    <row r="8860" customFormat="1" x14ac:dyDescent="0.2"/>
    <row r="8861" customFormat="1" x14ac:dyDescent="0.2"/>
    <row r="8862" customFormat="1" x14ac:dyDescent="0.2"/>
    <row r="8863" customFormat="1" x14ac:dyDescent="0.2"/>
    <row r="8864" customFormat="1" x14ac:dyDescent="0.2"/>
    <row r="8865" customFormat="1" x14ac:dyDescent="0.2"/>
    <row r="8866" customFormat="1" x14ac:dyDescent="0.2"/>
    <row r="8867" customFormat="1" x14ac:dyDescent="0.2"/>
    <row r="8868" customFormat="1" x14ac:dyDescent="0.2"/>
    <row r="8869" customFormat="1" x14ac:dyDescent="0.2"/>
    <row r="8870" customFormat="1" x14ac:dyDescent="0.2"/>
    <row r="8871" customFormat="1" x14ac:dyDescent="0.2"/>
    <row r="8872" customFormat="1" x14ac:dyDescent="0.2"/>
    <row r="8873" customFormat="1" x14ac:dyDescent="0.2"/>
    <row r="8874" customFormat="1" x14ac:dyDescent="0.2"/>
    <row r="8875" customFormat="1" x14ac:dyDescent="0.2"/>
    <row r="8876" customFormat="1" x14ac:dyDescent="0.2"/>
    <row r="8877" customFormat="1" x14ac:dyDescent="0.2"/>
    <row r="8878" customFormat="1" x14ac:dyDescent="0.2"/>
    <row r="8879" customFormat="1" x14ac:dyDescent="0.2"/>
    <row r="8880" customFormat="1" x14ac:dyDescent="0.2"/>
    <row r="8881" customFormat="1" x14ac:dyDescent="0.2"/>
    <row r="8882" customFormat="1" x14ac:dyDescent="0.2"/>
    <row r="8883" customFormat="1" x14ac:dyDescent="0.2"/>
    <row r="8884" customFormat="1" x14ac:dyDescent="0.2"/>
    <row r="8885" customFormat="1" x14ac:dyDescent="0.2"/>
    <row r="8886" customFormat="1" x14ac:dyDescent="0.2"/>
    <row r="8887" customFormat="1" x14ac:dyDescent="0.2"/>
    <row r="8888" customFormat="1" x14ac:dyDescent="0.2"/>
    <row r="8889" customFormat="1" x14ac:dyDescent="0.2"/>
    <row r="8890" customFormat="1" x14ac:dyDescent="0.2"/>
    <row r="8891" customFormat="1" x14ac:dyDescent="0.2"/>
    <row r="8892" customFormat="1" x14ac:dyDescent="0.2"/>
    <row r="8893" customFormat="1" x14ac:dyDescent="0.2"/>
    <row r="8894" customFormat="1" x14ac:dyDescent="0.2"/>
    <row r="8895" customFormat="1" x14ac:dyDescent="0.2"/>
    <row r="8896" customFormat="1" x14ac:dyDescent="0.2"/>
    <row r="8897" customFormat="1" x14ac:dyDescent="0.2"/>
    <row r="8898" customFormat="1" x14ac:dyDescent="0.2"/>
    <row r="8899" customFormat="1" x14ac:dyDescent="0.2"/>
    <row r="8900" customFormat="1" x14ac:dyDescent="0.2"/>
    <row r="8901" customFormat="1" x14ac:dyDescent="0.2"/>
    <row r="8902" customFormat="1" x14ac:dyDescent="0.2"/>
    <row r="8903" customFormat="1" x14ac:dyDescent="0.2"/>
    <row r="8904" customFormat="1" x14ac:dyDescent="0.2"/>
    <row r="8905" customFormat="1" x14ac:dyDescent="0.2"/>
    <row r="8906" customFormat="1" x14ac:dyDescent="0.2"/>
    <row r="8907" customFormat="1" x14ac:dyDescent="0.2"/>
    <row r="8908" customFormat="1" x14ac:dyDescent="0.2"/>
    <row r="8909" customFormat="1" x14ac:dyDescent="0.2"/>
    <row r="8910" customFormat="1" x14ac:dyDescent="0.2"/>
    <row r="8911" customFormat="1" x14ac:dyDescent="0.2"/>
    <row r="8912" customFormat="1" x14ac:dyDescent="0.2"/>
    <row r="8913" customFormat="1" x14ac:dyDescent="0.2"/>
    <row r="8914" customFormat="1" x14ac:dyDescent="0.2"/>
    <row r="8915" customFormat="1" x14ac:dyDescent="0.2"/>
    <row r="8916" customFormat="1" x14ac:dyDescent="0.2"/>
    <row r="8917" customFormat="1" x14ac:dyDescent="0.2"/>
    <row r="8918" customFormat="1" x14ac:dyDescent="0.2"/>
    <row r="8919" customFormat="1" x14ac:dyDescent="0.2"/>
    <row r="8920" customFormat="1" x14ac:dyDescent="0.2"/>
    <row r="8921" customFormat="1" x14ac:dyDescent="0.2"/>
    <row r="8922" customFormat="1" x14ac:dyDescent="0.2"/>
    <row r="8923" customFormat="1" x14ac:dyDescent="0.2"/>
    <row r="8924" customFormat="1" x14ac:dyDescent="0.2"/>
    <row r="8925" customFormat="1" x14ac:dyDescent="0.2"/>
    <row r="8926" customFormat="1" x14ac:dyDescent="0.2"/>
    <row r="8927" customFormat="1" x14ac:dyDescent="0.2"/>
    <row r="8928" customFormat="1" x14ac:dyDescent="0.2"/>
    <row r="8929" customFormat="1" x14ac:dyDescent="0.2"/>
    <row r="8930" customFormat="1" x14ac:dyDescent="0.2"/>
    <row r="8931" customFormat="1" x14ac:dyDescent="0.2"/>
    <row r="8932" customFormat="1" x14ac:dyDescent="0.2"/>
    <row r="8933" customFormat="1" x14ac:dyDescent="0.2"/>
    <row r="8934" customFormat="1" x14ac:dyDescent="0.2"/>
    <row r="8935" customFormat="1" x14ac:dyDescent="0.2"/>
    <row r="8936" customFormat="1" x14ac:dyDescent="0.2"/>
    <row r="8937" customFormat="1" x14ac:dyDescent="0.2"/>
    <row r="8938" customFormat="1" x14ac:dyDescent="0.2"/>
    <row r="8939" customFormat="1" x14ac:dyDescent="0.2"/>
    <row r="8940" customFormat="1" x14ac:dyDescent="0.2"/>
    <row r="8941" customFormat="1" x14ac:dyDescent="0.2"/>
    <row r="8942" customFormat="1" x14ac:dyDescent="0.2"/>
    <row r="8943" customFormat="1" x14ac:dyDescent="0.2"/>
    <row r="8944" customFormat="1" x14ac:dyDescent="0.2"/>
    <row r="8945" customFormat="1" x14ac:dyDescent="0.2"/>
    <row r="8946" customFormat="1" x14ac:dyDescent="0.2"/>
    <row r="8947" customFormat="1" x14ac:dyDescent="0.2"/>
    <row r="8948" customFormat="1" x14ac:dyDescent="0.2"/>
    <row r="8949" customFormat="1" x14ac:dyDescent="0.2"/>
    <row r="8950" customFormat="1" x14ac:dyDescent="0.2"/>
    <row r="8951" customFormat="1" x14ac:dyDescent="0.2"/>
    <row r="8952" customFormat="1" x14ac:dyDescent="0.2"/>
    <row r="8953" customFormat="1" x14ac:dyDescent="0.2"/>
    <row r="8954" customFormat="1" x14ac:dyDescent="0.2"/>
    <row r="8955" customFormat="1" x14ac:dyDescent="0.2"/>
    <row r="8956" customFormat="1" x14ac:dyDescent="0.2"/>
    <row r="8957" customFormat="1" x14ac:dyDescent="0.2"/>
    <row r="8958" customFormat="1" x14ac:dyDescent="0.2"/>
    <row r="8959" customFormat="1" x14ac:dyDescent="0.2"/>
    <row r="8960" customFormat="1" x14ac:dyDescent="0.2"/>
    <row r="8961" customFormat="1" x14ac:dyDescent="0.2"/>
    <row r="8962" customFormat="1" x14ac:dyDescent="0.2"/>
    <row r="8963" customFormat="1" x14ac:dyDescent="0.2"/>
    <row r="8964" customFormat="1" x14ac:dyDescent="0.2"/>
    <row r="8965" customFormat="1" x14ac:dyDescent="0.2"/>
    <row r="8966" customFormat="1" x14ac:dyDescent="0.2"/>
    <row r="8967" customFormat="1" x14ac:dyDescent="0.2"/>
    <row r="8968" customFormat="1" x14ac:dyDescent="0.2"/>
    <row r="8969" customFormat="1" x14ac:dyDescent="0.2"/>
    <row r="8970" customFormat="1" x14ac:dyDescent="0.2"/>
    <row r="8971" customFormat="1" x14ac:dyDescent="0.2"/>
    <row r="8972" customFormat="1" x14ac:dyDescent="0.2"/>
    <row r="8973" customFormat="1" x14ac:dyDescent="0.2"/>
    <row r="8974" customFormat="1" x14ac:dyDescent="0.2"/>
    <row r="8975" customFormat="1" x14ac:dyDescent="0.2"/>
    <row r="8976" customFormat="1" x14ac:dyDescent="0.2"/>
    <row r="8977" customFormat="1" x14ac:dyDescent="0.2"/>
    <row r="8978" customFormat="1" x14ac:dyDescent="0.2"/>
    <row r="8979" customFormat="1" x14ac:dyDescent="0.2"/>
    <row r="8980" customFormat="1" x14ac:dyDescent="0.2"/>
    <row r="8981" customFormat="1" x14ac:dyDescent="0.2"/>
    <row r="8982" customFormat="1" x14ac:dyDescent="0.2"/>
    <row r="8983" customFormat="1" x14ac:dyDescent="0.2"/>
    <row r="8984" customFormat="1" x14ac:dyDescent="0.2"/>
    <row r="8985" customFormat="1" x14ac:dyDescent="0.2"/>
    <row r="8986" customFormat="1" x14ac:dyDescent="0.2"/>
    <row r="8987" customFormat="1" x14ac:dyDescent="0.2"/>
    <row r="8988" customFormat="1" x14ac:dyDescent="0.2"/>
    <row r="8989" customFormat="1" x14ac:dyDescent="0.2"/>
    <row r="8990" customFormat="1" x14ac:dyDescent="0.2"/>
    <row r="8991" customFormat="1" x14ac:dyDescent="0.2"/>
    <row r="8992" customFormat="1" x14ac:dyDescent="0.2"/>
    <row r="8993" customFormat="1" x14ac:dyDescent="0.2"/>
    <row r="8994" customFormat="1" x14ac:dyDescent="0.2"/>
    <row r="8995" customFormat="1" x14ac:dyDescent="0.2"/>
    <row r="8996" customFormat="1" x14ac:dyDescent="0.2"/>
    <row r="8997" customFormat="1" x14ac:dyDescent="0.2"/>
    <row r="8998" customFormat="1" x14ac:dyDescent="0.2"/>
    <row r="8999" customFormat="1" x14ac:dyDescent="0.2"/>
    <row r="9000" customFormat="1" x14ac:dyDescent="0.2"/>
    <row r="9001" customFormat="1" x14ac:dyDescent="0.2"/>
    <row r="9002" customFormat="1" x14ac:dyDescent="0.2"/>
    <row r="9003" customFormat="1" x14ac:dyDescent="0.2"/>
    <row r="9004" customFormat="1" x14ac:dyDescent="0.2"/>
    <row r="9005" customFormat="1" x14ac:dyDescent="0.2"/>
    <row r="9006" customFormat="1" x14ac:dyDescent="0.2"/>
    <row r="9007" customFormat="1" x14ac:dyDescent="0.2"/>
    <row r="9008" customFormat="1" x14ac:dyDescent="0.2"/>
    <row r="9009" customFormat="1" x14ac:dyDescent="0.2"/>
    <row r="9010" customFormat="1" x14ac:dyDescent="0.2"/>
    <row r="9011" customFormat="1" x14ac:dyDescent="0.2"/>
    <row r="9012" customFormat="1" x14ac:dyDescent="0.2"/>
    <row r="9013" customFormat="1" x14ac:dyDescent="0.2"/>
    <row r="9014" customFormat="1" x14ac:dyDescent="0.2"/>
    <row r="9015" customFormat="1" x14ac:dyDescent="0.2"/>
    <row r="9016" customFormat="1" x14ac:dyDescent="0.2"/>
    <row r="9017" customFormat="1" x14ac:dyDescent="0.2"/>
    <row r="9018" customFormat="1" x14ac:dyDescent="0.2"/>
    <row r="9019" customFormat="1" x14ac:dyDescent="0.2"/>
    <row r="9020" customFormat="1" x14ac:dyDescent="0.2"/>
    <row r="9021" customFormat="1" x14ac:dyDescent="0.2"/>
    <row r="9022" customFormat="1" x14ac:dyDescent="0.2"/>
    <row r="9023" customFormat="1" x14ac:dyDescent="0.2"/>
    <row r="9024" customFormat="1" x14ac:dyDescent="0.2"/>
    <row r="9025" customFormat="1" x14ac:dyDescent="0.2"/>
    <row r="9026" customFormat="1" x14ac:dyDescent="0.2"/>
    <row r="9027" customFormat="1" x14ac:dyDescent="0.2"/>
    <row r="9028" customFormat="1" x14ac:dyDescent="0.2"/>
    <row r="9029" customFormat="1" x14ac:dyDescent="0.2"/>
    <row r="9030" customFormat="1" x14ac:dyDescent="0.2"/>
    <row r="9031" customFormat="1" x14ac:dyDescent="0.2"/>
    <row r="9032" customFormat="1" x14ac:dyDescent="0.2"/>
    <row r="9033" customFormat="1" x14ac:dyDescent="0.2"/>
    <row r="9034" customFormat="1" x14ac:dyDescent="0.2"/>
    <row r="9035" customFormat="1" x14ac:dyDescent="0.2"/>
    <row r="9036" customFormat="1" x14ac:dyDescent="0.2"/>
    <row r="9037" customFormat="1" x14ac:dyDescent="0.2"/>
    <row r="9038" customFormat="1" x14ac:dyDescent="0.2"/>
    <row r="9039" customFormat="1" x14ac:dyDescent="0.2"/>
    <row r="9040" customFormat="1" x14ac:dyDescent="0.2"/>
    <row r="9041" customFormat="1" x14ac:dyDescent="0.2"/>
    <row r="9042" customFormat="1" x14ac:dyDescent="0.2"/>
    <row r="9043" customFormat="1" x14ac:dyDescent="0.2"/>
    <row r="9044" customFormat="1" x14ac:dyDescent="0.2"/>
    <row r="9045" customFormat="1" x14ac:dyDescent="0.2"/>
    <row r="9046" customFormat="1" x14ac:dyDescent="0.2"/>
    <row r="9047" customFormat="1" x14ac:dyDescent="0.2"/>
    <row r="9048" customFormat="1" x14ac:dyDescent="0.2"/>
    <row r="9049" customFormat="1" x14ac:dyDescent="0.2"/>
    <row r="9050" customFormat="1" x14ac:dyDescent="0.2"/>
    <row r="9051" customFormat="1" x14ac:dyDescent="0.2"/>
    <row r="9052" customFormat="1" x14ac:dyDescent="0.2"/>
    <row r="9053" customFormat="1" x14ac:dyDescent="0.2"/>
    <row r="9054" customFormat="1" x14ac:dyDescent="0.2"/>
    <row r="9055" customFormat="1" x14ac:dyDescent="0.2"/>
    <row r="9056" customFormat="1" x14ac:dyDescent="0.2"/>
    <row r="9057" customFormat="1" x14ac:dyDescent="0.2"/>
    <row r="9058" customFormat="1" x14ac:dyDescent="0.2"/>
    <row r="9059" customFormat="1" x14ac:dyDescent="0.2"/>
    <row r="9060" customFormat="1" x14ac:dyDescent="0.2"/>
    <row r="9061" customFormat="1" x14ac:dyDescent="0.2"/>
    <row r="9062" customFormat="1" x14ac:dyDescent="0.2"/>
    <row r="9063" customFormat="1" x14ac:dyDescent="0.2"/>
    <row r="9064" customFormat="1" x14ac:dyDescent="0.2"/>
    <row r="9065" customFormat="1" x14ac:dyDescent="0.2"/>
    <row r="9066" customFormat="1" x14ac:dyDescent="0.2"/>
    <row r="9067" customFormat="1" x14ac:dyDescent="0.2"/>
    <row r="9068" customFormat="1" x14ac:dyDescent="0.2"/>
    <row r="9069" customFormat="1" x14ac:dyDescent="0.2"/>
    <row r="9070" customFormat="1" x14ac:dyDescent="0.2"/>
    <row r="9071" customFormat="1" x14ac:dyDescent="0.2"/>
    <row r="9072" customFormat="1" x14ac:dyDescent="0.2"/>
    <row r="9073" customFormat="1" x14ac:dyDescent="0.2"/>
    <row r="9074" customFormat="1" x14ac:dyDescent="0.2"/>
    <row r="9075" customFormat="1" x14ac:dyDescent="0.2"/>
    <row r="9076" customFormat="1" x14ac:dyDescent="0.2"/>
    <row r="9077" customFormat="1" x14ac:dyDescent="0.2"/>
    <row r="9078" customFormat="1" x14ac:dyDescent="0.2"/>
    <row r="9079" customFormat="1" x14ac:dyDescent="0.2"/>
    <row r="9080" customFormat="1" x14ac:dyDescent="0.2"/>
    <row r="9081" customFormat="1" x14ac:dyDescent="0.2"/>
    <row r="9082" customFormat="1" x14ac:dyDescent="0.2"/>
    <row r="9083" customFormat="1" x14ac:dyDescent="0.2"/>
    <row r="9084" customFormat="1" x14ac:dyDescent="0.2"/>
    <row r="9085" customFormat="1" x14ac:dyDescent="0.2"/>
    <row r="9086" customFormat="1" x14ac:dyDescent="0.2"/>
    <row r="9087" customFormat="1" x14ac:dyDescent="0.2"/>
    <row r="9088" customFormat="1" x14ac:dyDescent="0.2"/>
    <row r="9089" customFormat="1" x14ac:dyDescent="0.2"/>
    <row r="9090" customFormat="1" x14ac:dyDescent="0.2"/>
    <row r="9091" customFormat="1" x14ac:dyDescent="0.2"/>
    <row r="9092" customFormat="1" x14ac:dyDescent="0.2"/>
    <row r="9093" customFormat="1" x14ac:dyDescent="0.2"/>
    <row r="9094" customFormat="1" x14ac:dyDescent="0.2"/>
    <row r="9095" customFormat="1" x14ac:dyDescent="0.2"/>
    <row r="9096" customFormat="1" x14ac:dyDescent="0.2"/>
    <row r="9097" customFormat="1" x14ac:dyDescent="0.2"/>
    <row r="9098" customFormat="1" x14ac:dyDescent="0.2"/>
    <row r="9099" customFormat="1" x14ac:dyDescent="0.2"/>
    <row r="9100" customFormat="1" x14ac:dyDescent="0.2"/>
    <row r="9101" customFormat="1" x14ac:dyDescent="0.2"/>
    <row r="9102" customFormat="1" x14ac:dyDescent="0.2"/>
    <row r="9103" customFormat="1" x14ac:dyDescent="0.2"/>
    <row r="9104" customFormat="1" x14ac:dyDescent="0.2"/>
    <row r="9105" customFormat="1" x14ac:dyDescent="0.2"/>
    <row r="9106" customFormat="1" x14ac:dyDescent="0.2"/>
    <row r="9107" customFormat="1" x14ac:dyDescent="0.2"/>
    <row r="9108" customFormat="1" x14ac:dyDescent="0.2"/>
    <row r="9109" customFormat="1" x14ac:dyDescent="0.2"/>
    <row r="9110" customFormat="1" x14ac:dyDescent="0.2"/>
    <row r="9111" customFormat="1" x14ac:dyDescent="0.2"/>
    <row r="9112" customFormat="1" x14ac:dyDescent="0.2"/>
    <row r="9113" customFormat="1" x14ac:dyDescent="0.2"/>
    <row r="9114" customFormat="1" x14ac:dyDescent="0.2"/>
    <row r="9115" customFormat="1" x14ac:dyDescent="0.2"/>
    <row r="9116" customFormat="1" x14ac:dyDescent="0.2"/>
    <row r="9117" customFormat="1" x14ac:dyDescent="0.2"/>
    <row r="9118" customFormat="1" x14ac:dyDescent="0.2"/>
    <row r="9119" customFormat="1" x14ac:dyDescent="0.2"/>
    <row r="9120" customFormat="1" x14ac:dyDescent="0.2"/>
    <row r="9121" customFormat="1" x14ac:dyDescent="0.2"/>
    <row r="9122" customFormat="1" x14ac:dyDescent="0.2"/>
    <row r="9123" customFormat="1" x14ac:dyDescent="0.2"/>
    <row r="9124" customFormat="1" x14ac:dyDescent="0.2"/>
    <row r="9125" customFormat="1" x14ac:dyDescent="0.2"/>
    <row r="9126" customFormat="1" x14ac:dyDescent="0.2"/>
    <row r="9127" customFormat="1" x14ac:dyDescent="0.2"/>
    <row r="9128" customFormat="1" x14ac:dyDescent="0.2"/>
    <row r="9129" customFormat="1" x14ac:dyDescent="0.2"/>
    <row r="9130" customFormat="1" x14ac:dyDescent="0.2"/>
    <row r="9131" customFormat="1" x14ac:dyDescent="0.2"/>
    <row r="9132" customFormat="1" x14ac:dyDescent="0.2"/>
    <row r="9133" customFormat="1" x14ac:dyDescent="0.2"/>
    <row r="9134" customFormat="1" x14ac:dyDescent="0.2"/>
    <row r="9135" customFormat="1" x14ac:dyDescent="0.2"/>
    <row r="9136" customFormat="1" x14ac:dyDescent="0.2"/>
    <row r="9137" customFormat="1" x14ac:dyDescent="0.2"/>
    <row r="9138" customFormat="1" x14ac:dyDescent="0.2"/>
    <row r="9139" customFormat="1" x14ac:dyDescent="0.2"/>
    <row r="9140" customFormat="1" x14ac:dyDescent="0.2"/>
    <row r="9141" customFormat="1" x14ac:dyDescent="0.2"/>
    <row r="9142" customFormat="1" x14ac:dyDescent="0.2"/>
    <row r="9143" customFormat="1" x14ac:dyDescent="0.2"/>
    <row r="9144" customFormat="1" x14ac:dyDescent="0.2"/>
    <row r="9145" customFormat="1" x14ac:dyDescent="0.2"/>
    <row r="9146" customFormat="1" x14ac:dyDescent="0.2"/>
    <row r="9147" customFormat="1" x14ac:dyDescent="0.2"/>
    <row r="9148" customFormat="1" x14ac:dyDescent="0.2"/>
    <row r="9149" customFormat="1" x14ac:dyDescent="0.2"/>
    <row r="9150" customFormat="1" x14ac:dyDescent="0.2"/>
    <row r="9151" customFormat="1" x14ac:dyDescent="0.2"/>
    <row r="9152" customFormat="1" x14ac:dyDescent="0.2"/>
    <row r="9153" customFormat="1" x14ac:dyDescent="0.2"/>
    <row r="9154" customFormat="1" x14ac:dyDescent="0.2"/>
    <row r="9155" customFormat="1" x14ac:dyDescent="0.2"/>
    <row r="9156" customFormat="1" x14ac:dyDescent="0.2"/>
    <row r="9157" customFormat="1" x14ac:dyDescent="0.2"/>
    <row r="9158" customFormat="1" x14ac:dyDescent="0.2"/>
    <row r="9159" customFormat="1" x14ac:dyDescent="0.2"/>
    <row r="9160" customFormat="1" x14ac:dyDescent="0.2"/>
    <row r="9161" customFormat="1" x14ac:dyDescent="0.2"/>
    <row r="9162" customFormat="1" x14ac:dyDescent="0.2"/>
    <row r="9163" customFormat="1" x14ac:dyDescent="0.2"/>
    <row r="9164" customFormat="1" x14ac:dyDescent="0.2"/>
    <row r="9165" customFormat="1" x14ac:dyDescent="0.2"/>
    <row r="9166" customFormat="1" x14ac:dyDescent="0.2"/>
    <row r="9167" customFormat="1" x14ac:dyDescent="0.2"/>
    <row r="9168" customFormat="1" x14ac:dyDescent="0.2"/>
    <row r="9169" customFormat="1" x14ac:dyDescent="0.2"/>
    <row r="9170" customFormat="1" x14ac:dyDescent="0.2"/>
    <row r="9171" customFormat="1" x14ac:dyDescent="0.2"/>
    <row r="9172" customFormat="1" x14ac:dyDescent="0.2"/>
    <row r="9173" customFormat="1" x14ac:dyDescent="0.2"/>
    <row r="9174" customFormat="1" x14ac:dyDescent="0.2"/>
    <row r="9175" customFormat="1" x14ac:dyDescent="0.2"/>
    <row r="9176" customFormat="1" x14ac:dyDescent="0.2"/>
    <row r="9177" customFormat="1" x14ac:dyDescent="0.2"/>
    <row r="9178" customFormat="1" x14ac:dyDescent="0.2"/>
    <row r="9179" customFormat="1" x14ac:dyDescent="0.2"/>
    <row r="9180" customFormat="1" x14ac:dyDescent="0.2"/>
    <row r="9181" customFormat="1" x14ac:dyDescent="0.2"/>
    <row r="9182" customFormat="1" x14ac:dyDescent="0.2"/>
    <row r="9183" customFormat="1" x14ac:dyDescent="0.2"/>
    <row r="9184" customFormat="1" x14ac:dyDescent="0.2"/>
    <row r="9185" customFormat="1" x14ac:dyDescent="0.2"/>
    <row r="9186" customFormat="1" x14ac:dyDescent="0.2"/>
    <row r="9187" customFormat="1" x14ac:dyDescent="0.2"/>
    <row r="9188" customFormat="1" x14ac:dyDescent="0.2"/>
    <row r="9189" customFormat="1" x14ac:dyDescent="0.2"/>
    <row r="9190" customFormat="1" x14ac:dyDescent="0.2"/>
    <row r="9191" customFormat="1" x14ac:dyDescent="0.2"/>
    <row r="9192" customFormat="1" x14ac:dyDescent="0.2"/>
    <row r="9193" customFormat="1" x14ac:dyDescent="0.2"/>
    <row r="9194" customFormat="1" x14ac:dyDescent="0.2"/>
    <row r="9195" customFormat="1" x14ac:dyDescent="0.2"/>
    <row r="9196" customFormat="1" x14ac:dyDescent="0.2"/>
    <row r="9197" customFormat="1" x14ac:dyDescent="0.2"/>
    <row r="9198" customFormat="1" x14ac:dyDescent="0.2"/>
    <row r="9199" customFormat="1" x14ac:dyDescent="0.2"/>
    <row r="9200" customFormat="1" x14ac:dyDescent="0.2"/>
    <row r="9201" customFormat="1" x14ac:dyDescent="0.2"/>
    <row r="9202" customFormat="1" x14ac:dyDescent="0.2"/>
    <row r="9203" customFormat="1" x14ac:dyDescent="0.2"/>
    <row r="9204" customFormat="1" x14ac:dyDescent="0.2"/>
    <row r="9205" customFormat="1" x14ac:dyDescent="0.2"/>
    <row r="9206" customFormat="1" x14ac:dyDescent="0.2"/>
    <row r="9207" customFormat="1" x14ac:dyDescent="0.2"/>
    <row r="9208" customFormat="1" x14ac:dyDescent="0.2"/>
    <row r="9209" customFormat="1" x14ac:dyDescent="0.2"/>
    <row r="9210" customFormat="1" x14ac:dyDescent="0.2"/>
    <row r="9211" customFormat="1" x14ac:dyDescent="0.2"/>
    <row r="9212" customFormat="1" x14ac:dyDescent="0.2"/>
    <row r="9213" customFormat="1" x14ac:dyDescent="0.2"/>
    <row r="9214" customFormat="1" x14ac:dyDescent="0.2"/>
    <row r="9215" customFormat="1" x14ac:dyDescent="0.2"/>
    <row r="9216" customFormat="1" x14ac:dyDescent="0.2"/>
    <row r="9217" customFormat="1" x14ac:dyDescent="0.2"/>
    <row r="9218" customFormat="1" x14ac:dyDescent="0.2"/>
    <row r="9219" customFormat="1" x14ac:dyDescent="0.2"/>
    <row r="9220" customFormat="1" x14ac:dyDescent="0.2"/>
    <row r="9221" customFormat="1" x14ac:dyDescent="0.2"/>
    <row r="9222" customFormat="1" x14ac:dyDescent="0.2"/>
    <row r="9223" customFormat="1" x14ac:dyDescent="0.2"/>
    <row r="9224" customFormat="1" x14ac:dyDescent="0.2"/>
    <row r="9225" customFormat="1" x14ac:dyDescent="0.2"/>
    <row r="9226" customFormat="1" x14ac:dyDescent="0.2"/>
    <row r="9227" customFormat="1" x14ac:dyDescent="0.2"/>
    <row r="9228" customFormat="1" x14ac:dyDescent="0.2"/>
    <row r="9229" customFormat="1" x14ac:dyDescent="0.2"/>
    <row r="9230" customFormat="1" x14ac:dyDescent="0.2"/>
    <row r="9231" customFormat="1" x14ac:dyDescent="0.2"/>
    <row r="9232" customFormat="1" x14ac:dyDescent="0.2"/>
    <row r="9233" customFormat="1" x14ac:dyDescent="0.2"/>
    <row r="9234" customFormat="1" x14ac:dyDescent="0.2"/>
    <row r="9235" customFormat="1" x14ac:dyDescent="0.2"/>
    <row r="9236" customFormat="1" x14ac:dyDescent="0.2"/>
    <row r="9237" customFormat="1" x14ac:dyDescent="0.2"/>
    <row r="9238" customFormat="1" x14ac:dyDescent="0.2"/>
    <row r="9239" customFormat="1" x14ac:dyDescent="0.2"/>
    <row r="9240" customFormat="1" x14ac:dyDescent="0.2"/>
    <row r="9241" customFormat="1" x14ac:dyDescent="0.2"/>
    <row r="9242" customFormat="1" x14ac:dyDescent="0.2"/>
    <row r="9243" customFormat="1" x14ac:dyDescent="0.2"/>
    <row r="9244" customFormat="1" x14ac:dyDescent="0.2"/>
    <row r="9245" customFormat="1" x14ac:dyDescent="0.2"/>
    <row r="9246" customFormat="1" x14ac:dyDescent="0.2"/>
    <row r="9247" customFormat="1" x14ac:dyDescent="0.2"/>
    <row r="9248" customFormat="1" x14ac:dyDescent="0.2"/>
    <row r="9249" customFormat="1" x14ac:dyDescent="0.2"/>
    <row r="9250" customFormat="1" x14ac:dyDescent="0.2"/>
    <row r="9251" customFormat="1" x14ac:dyDescent="0.2"/>
    <row r="9252" customFormat="1" x14ac:dyDescent="0.2"/>
    <row r="9253" customFormat="1" x14ac:dyDescent="0.2"/>
    <row r="9254" customFormat="1" x14ac:dyDescent="0.2"/>
    <row r="9255" customFormat="1" x14ac:dyDescent="0.2"/>
    <row r="9256" customFormat="1" x14ac:dyDescent="0.2"/>
    <row r="9257" customFormat="1" x14ac:dyDescent="0.2"/>
    <row r="9258" customFormat="1" x14ac:dyDescent="0.2"/>
    <row r="9259" customFormat="1" x14ac:dyDescent="0.2"/>
    <row r="9260" customFormat="1" x14ac:dyDescent="0.2"/>
    <row r="9261" customFormat="1" x14ac:dyDescent="0.2"/>
    <row r="9262" customFormat="1" x14ac:dyDescent="0.2"/>
    <row r="9263" customFormat="1" x14ac:dyDescent="0.2"/>
    <row r="9264" customFormat="1" x14ac:dyDescent="0.2"/>
    <row r="9265" customFormat="1" x14ac:dyDescent="0.2"/>
    <row r="9266" customFormat="1" x14ac:dyDescent="0.2"/>
    <row r="9267" customFormat="1" x14ac:dyDescent="0.2"/>
    <row r="9268" customFormat="1" x14ac:dyDescent="0.2"/>
    <row r="9269" customFormat="1" x14ac:dyDescent="0.2"/>
    <row r="9270" customFormat="1" x14ac:dyDescent="0.2"/>
    <row r="9271" customFormat="1" x14ac:dyDescent="0.2"/>
    <row r="9272" customFormat="1" x14ac:dyDescent="0.2"/>
    <row r="9273" customFormat="1" x14ac:dyDescent="0.2"/>
    <row r="9274" customFormat="1" x14ac:dyDescent="0.2"/>
    <row r="9275" customFormat="1" x14ac:dyDescent="0.2"/>
    <row r="9276" customFormat="1" x14ac:dyDescent="0.2"/>
    <row r="9277" customFormat="1" x14ac:dyDescent="0.2"/>
    <row r="9278" customFormat="1" x14ac:dyDescent="0.2"/>
    <row r="9279" customFormat="1" x14ac:dyDescent="0.2"/>
    <row r="9280" customFormat="1" x14ac:dyDescent="0.2"/>
    <row r="9281" customFormat="1" x14ac:dyDescent="0.2"/>
    <row r="9282" customFormat="1" x14ac:dyDescent="0.2"/>
    <row r="9283" customFormat="1" x14ac:dyDescent="0.2"/>
    <row r="9284" customFormat="1" x14ac:dyDescent="0.2"/>
    <row r="9285" customFormat="1" x14ac:dyDescent="0.2"/>
    <row r="9286" customFormat="1" x14ac:dyDescent="0.2"/>
    <row r="9287" customFormat="1" x14ac:dyDescent="0.2"/>
    <row r="9288" customFormat="1" x14ac:dyDescent="0.2"/>
    <row r="9289" customFormat="1" x14ac:dyDescent="0.2"/>
    <row r="9290" customFormat="1" x14ac:dyDescent="0.2"/>
    <row r="9291" customFormat="1" x14ac:dyDescent="0.2"/>
    <row r="9292" customFormat="1" x14ac:dyDescent="0.2"/>
    <row r="9293" customFormat="1" x14ac:dyDescent="0.2"/>
    <row r="9294" customFormat="1" x14ac:dyDescent="0.2"/>
    <row r="9295" customFormat="1" x14ac:dyDescent="0.2"/>
    <row r="9296" customFormat="1" x14ac:dyDescent="0.2"/>
    <row r="9297" customFormat="1" x14ac:dyDescent="0.2"/>
    <row r="9298" customFormat="1" x14ac:dyDescent="0.2"/>
    <row r="9299" customFormat="1" x14ac:dyDescent="0.2"/>
    <row r="9300" customFormat="1" x14ac:dyDescent="0.2"/>
    <row r="9301" customFormat="1" x14ac:dyDescent="0.2"/>
    <row r="9302" customFormat="1" x14ac:dyDescent="0.2"/>
    <row r="9303" customFormat="1" x14ac:dyDescent="0.2"/>
    <row r="9304" customFormat="1" x14ac:dyDescent="0.2"/>
    <row r="9305" customFormat="1" x14ac:dyDescent="0.2"/>
    <row r="9306" customFormat="1" x14ac:dyDescent="0.2"/>
    <row r="9307" customFormat="1" x14ac:dyDescent="0.2"/>
    <row r="9308" customFormat="1" x14ac:dyDescent="0.2"/>
    <row r="9309" customFormat="1" x14ac:dyDescent="0.2"/>
    <row r="9310" customFormat="1" x14ac:dyDescent="0.2"/>
    <row r="9311" customFormat="1" x14ac:dyDescent="0.2"/>
    <row r="9312" customFormat="1" x14ac:dyDescent="0.2"/>
    <row r="9313" customFormat="1" x14ac:dyDescent="0.2"/>
    <row r="9314" customFormat="1" x14ac:dyDescent="0.2"/>
    <row r="9315" customFormat="1" x14ac:dyDescent="0.2"/>
    <row r="9316" customFormat="1" x14ac:dyDescent="0.2"/>
    <row r="9317" customFormat="1" x14ac:dyDescent="0.2"/>
    <row r="9318" customFormat="1" x14ac:dyDescent="0.2"/>
    <row r="9319" customFormat="1" x14ac:dyDescent="0.2"/>
    <row r="9320" customFormat="1" x14ac:dyDescent="0.2"/>
    <row r="9321" customFormat="1" x14ac:dyDescent="0.2"/>
    <row r="9322" customFormat="1" x14ac:dyDescent="0.2"/>
    <row r="9323" customFormat="1" x14ac:dyDescent="0.2"/>
    <row r="9324" customFormat="1" x14ac:dyDescent="0.2"/>
    <row r="9325" customFormat="1" x14ac:dyDescent="0.2"/>
    <row r="9326" customFormat="1" x14ac:dyDescent="0.2"/>
    <row r="9327" customFormat="1" x14ac:dyDescent="0.2"/>
    <row r="9328" customFormat="1" x14ac:dyDescent="0.2"/>
    <row r="9329" customFormat="1" x14ac:dyDescent="0.2"/>
    <row r="9330" customFormat="1" x14ac:dyDescent="0.2"/>
    <row r="9331" customFormat="1" x14ac:dyDescent="0.2"/>
    <row r="9332" customFormat="1" x14ac:dyDescent="0.2"/>
    <row r="9333" customFormat="1" x14ac:dyDescent="0.2"/>
    <row r="9334" customFormat="1" x14ac:dyDescent="0.2"/>
    <row r="9335" customFormat="1" x14ac:dyDescent="0.2"/>
    <row r="9336" customFormat="1" x14ac:dyDescent="0.2"/>
    <row r="9337" customFormat="1" x14ac:dyDescent="0.2"/>
    <row r="9338" customFormat="1" x14ac:dyDescent="0.2"/>
    <row r="9339" customFormat="1" x14ac:dyDescent="0.2"/>
    <row r="9340" customFormat="1" x14ac:dyDescent="0.2"/>
    <row r="9341" customFormat="1" x14ac:dyDescent="0.2"/>
    <row r="9342" customFormat="1" x14ac:dyDescent="0.2"/>
    <row r="9343" customFormat="1" x14ac:dyDescent="0.2"/>
    <row r="9344" customFormat="1" x14ac:dyDescent="0.2"/>
    <row r="9345" customFormat="1" x14ac:dyDescent="0.2"/>
    <row r="9346" customFormat="1" x14ac:dyDescent="0.2"/>
    <row r="9347" customFormat="1" x14ac:dyDescent="0.2"/>
    <row r="9348" customFormat="1" x14ac:dyDescent="0.2"/>
    <row r="9349" customFormat="1" x14ac:dyDescent="0.2"/>
    <row r="9350" customFormat="1" x14ac:dyDescent="0.2"/>
    <row r="9351" customFormat="1" x14ac:dyDescent="0.2"/>
    <row r="9352" customFormat="1" x14ac:dyDescent="0.2"/>
    <row r="9353" customFormat="1" x14ac:dyDescent="0.2"/>
    <row r="9354" customFormat="1" x14ac:dyDescent="0.2"/>
    <row r="9355" customFormat="1" x14ac:dyDescent="0.2"/>
    <row r="9356" customFormat="1" x14ac:dyDescent="0.2"/>
    <row r="9357" customFormat="1" x14ac:dyDescent="0.2"/>
    <row r="9358" customFormat="1" x14ac:dyDescent="0.2"/>
    <row r="9359" customFormat="1" x14ac:dyDescent="0.2"/>
    <row r="9360" customFormat="1" x14ac:dyDescent="0.2"/>
    <row r="9361" customFormat="1" x14ac:dyDescent="0.2"/>
    <row r="9362" customFormat="1" x14ac:dyDescent="0.2"/>
    <row r="9363" customFormat="1" x14ac:dyDescent="0.2"/>
    <row r="9364" customFormat="1" x14ac:dyDescent="0.2"/>
    <row r="9365" customFormat="1" x14ac:dyDescent="0.2"/>
    <row r="9366" customFormat="1" x14ac:dyDescent="0.2"/>
    <row r="9367" customFormat="1" x14ac:dyDescent="0.2"/>
    <row r="9368" customFormat="1" x14ac:dyDescent="0.2"/>
    <row r="9369" customFormat="1" x14ac:dyDescent="0.2"/>
    <row r="9370" customFormat="1" x14ac:dyDescent="0.2"/>
    <row r="9371" customFormat="1" x14ac:dyDescent="0.2"/>
    <row r="9372" customFormat="1" x14ac:dyDescent="0.2"/>
    <row r="9373" customFormat="1" x14ac:dyDescent="0.2"/>
    <row r="9374" customFormat="1" x14ac:dyDescent="0.2"/>
    <row r="9375" customFormat="1" x14ac:dyDescent="0.2"/>
    <row r="9376" customFormat="1" x14ac:dyDescent="0.2"/>
    <row r="9377" customFormat="1" x14ac:dyDescent="0.2"/>
    <row r="9378" customFormat="1" x14ac:dyDescent="0.2"/>
    <row r="9379" customFormat="1" x14ac:dyDescent="0.2"/>
    <row r="9380" customFormat="1" x14ac:dyDescent="0.2"/>
    <row r="9381" customFormat="1" x14ac:dyDescent="0.2"/>
    <row r="9382" customFormat="1" x14ac:dyDescent="0.2"/>
    <row r="9383" customFormat="1" x14ac:dyDescent="0.2"/>
    <row r="9384" customFormat="1" x14ac:dyDescent="0.2"/>
    <row r="9385" customFormat="1" x14ac:dyDescent="0.2"/>
    <row r="9386" customFormat="1" x14ac:dyDescent="0.2"/>
    <row r="9387" customFormat="1" x14ac:dyDescent="0.2"/>
    <row r="9388" customFormat="1" x14ac:dyDescent="0.2"/>
    <row r="9389" customFormat="1" x14ac:dyDescent="0.2"/>
    <row r="9390" customFormat="1" x14ac:dyDescent="0.2"/>
    <row r="9391" customFormat="1" x14ac:dyDescent="0.2"/>
    <row r="9392" customFormat="1" x14ac:dyDescent="0.2"/>
    <row r="9393" customFormat="1" x14ac:dyDescent="0.2"/>
    <row r="9394" customFormat="1" x14ac:dyDescent="0.2"/>
    <row r="9395" customFormat="1" x14ac:dyDescent="0.2"/>
    <row r="9396" customFormat="1" x14ac:dyDescent="0.2"/>
    <row r="9397" customFormat="1" x14ac:dyDescent="0.2"/>
    <row r="9398" customFormat="1" x14ac:dyDescent="0.2"/>
    <row r="9399" customFormat="1" x14ac:dyDescent="0.2"/>
    <row r="9400" customFormat="1" x14ac:dyDescent="0.2"/>
    <row r="9401" customFormat="1" x14ac:dyDescent="0.2"/>
    <row r="9402" customFormat="1" x14ac:dyDescent="0.2"/>
    <row r="9403" customFormat="1" x14ac:dyDescent="0.2"/>
    <row r="9404" customFormat="1" x14ac:dyDescent="0.2"/>
    <row r="9405" customFormat="1" x14ac:dyDescent="0.2"/>
    <row r="9406" customFormat="1" x14ac:dyDescent="0.2"/>
    <row r="9407" customFormat="1" x14ac:dyDescent="0.2"/>
    <row r="9408" customFormat="1" x14ac:dyDescent="0.2"/>
    <row r="9409" customFormat="1" x14ac:dyDescent="0.2"/>
    <row r="9410" customFormat="1" x14ac:dyDescent="0.2"/>
    <row r="9411" customFormat="1" x14ac:dyDescent="0.2"/>
    <row r="9412" customFormat="1" x14ac:dyDescent="0.2"/>
    <row r="9413" customFormat="1" x14ac:dyDescent="0.2"/>
    <row r="9414" customFormat="1" x14ac:dyDescent="0.2"/>
    <row r="9415" customFormat="1" x14ac:dyDescent="0.2"/>
    <row r="9416" customFormat="1" x14ac:dyDescent="0.2"/>
    <row r="9417" customFormat="1" x14ac:dyDescent="0.2"/>
    <row r="9418" customFormat="1" x14ac:dyDescent="0.2"/>
    <row r="9419" customFormat="1" x14ac:dyDescent="0.2"/>
    <row r="9420" customFormat="1" x14ac:dyDescent="0.2"/>
    <row r="9421" customFormat="1" x14ac:dyDescent="0.2"/>
    <row r="9422" customFormat="1" x14ac:dyDescent="0.2"/>
    <row r="9423" customFormat="1" x14ac:dyDescent="0.2"/>
    <row r="9424" customFormat="1" x14ac:dyDescent="0.2"/>
    <row r="9425" customFormat="1" x14ac:dyDescent="0.2"/>
    <row r="9426" customFormat="1" x14ac:dyDescent="0.2"/>
    <row r="9427" customFormat="1" x14ac:dyDescent="0.2"/>
    <row r="9428" customFormat="1" x14ac:dyDescent="0.2"/>
    <row r="9429" customFormat="1" x14ac:dyDescent="0.2"/>
    <row r="9430" customFormat="1" x14ac:dyDescent="0.2"/>
    <row r="9431" customFormat="1" x14ac:dyDescent="0.2"/>
    <row r="9432" customFormat="1" x14ac:dyDescent="0.2"/>
    <row r="9433" customFormat="1" x14ac:dyDescent="0.2"/>
    <row r="9434" customFormat="1" x14ac:dyDescent="0.2"/>
    <row r="9435" customFormat="1" x14ac:dyDescent="0.2"/>
    <row r="9436" customFormat="1" x14ac:dyDescent="0.2"/>
    <row r="9437" customFormat="1" x14ac:dyDescent="0.2"/>
    <row r="9438" customFormat="1" x14ac:dyDescent="0.2"/>
    <row r="9439" customFormat="1" x14ac:dyDescent="0.2"/>
    <row r="9440" customFormat="1" x14ac:dyDescent="0.2"/>
    <row r="9441" customFormat="1" x14ac:dyDescent="0.2"/>
    <row r="9442" customFormat="1" x14ac:dyDescent="0.2"/>
    <row r="9443" customFormat="1" x14ac:dyDescent="0.2"/>
    <row r="9444" customFormat="1" x14ac:dyDescent="0.2"/>
    <row r="9445" customFormat="1" x14ac:dyDescent="0.2"/>
    <row r="9446" customFormat="1" x14ac:dyDescent="0.2"/>
    <row r="9447" customFormat="1" x14ac:dyDescent="0.2"/>
    <row r="9448" customFormat="1" x14ac:dyDescent="0.2"/>
    <row r="9449" customFormat="1" x14ac:dyDescent="0.2"/>
    <row r="9450" customFormat="1" x14ac:dyDescent="0.2"/>
    <row r="9451" customFormat="1" x14ac:dyDescent="0.2"/>
    <row r="9452" customFormat="1" x14ac:dyDescent="0.2"/>
    <row r="9453" customFormat="1" x14ac:dyDescent="0.2"/>
    <row r="9454" customFormat="1" x14ac:dyDescent="0.2"/>
    <row r="9455" customFormat="1" x14ac:dyDescent="0.2"/>
    <row r="9456" customFormat="1" x14ac:dyDescent="0.2"/>
    <row r="9457" customFormat="1" x14ac:dyDescent="0.2"/>
    <row r="9458" customFormat="1" x14ac:dyDescent="0.2"/>
    <row r="9459" customFormat="1" x14ac:dyDescent="0.2"/>
    <row r="9460" customFormat="1" x14ac:dyDescent="0.2"/>
    <row r="9461" customFormat="1" x14ac:dyDescent="0.2"/>
    <row r="9462" customFormat="1" x14ac:dyDescent="0.2"/>
    <row r="9463" customFormat="1" x14ac:dyDescent="0.2"/>
    <row r="9464" customFormat="1" x14ac:dyDescent="0.2"/>
    <row r="9465" customFormat="1" x14ac:dyDescent="0.2"/>
    <row r="9466" customFormat="1" x14ac:dyDescent="0.2"/>
    <row r="9467" customFormat="1" x14ac:dyDescent="0.2"/>
    <row r="9468" customFormat="1" x14ac:dyDescent="0.2"/>
    <row r="9469" customFormat="1" x14ac:dyDescent="0.2"/>
    <row r="9470" customFormat="1" x14ac:dyDescent="0.2"/>
    <row r="9471" customFormat="1" x14ac:dyDescent="0.2"/>
    <row r="9472" customFormat="1" x14ac:dyDescent="0.2"/>
    <row r="9473" customFormat="1" x14ac:dyDescent="0.2"/>
    <row r="9474" customFormat="1" x14ac:dyDescent="0.2"/>
    <row r="9475" customFormat="1" x14ac:dyDescent="0.2"/>
    <row r="9476" customFormat="1" x14ac:dyDescent="0.2"/>
    <row r="9477" customFormat="1" x14ac:dyDescent="0.2"/>
    <row r="9478" customFormat="1" x14ac:dyDescent="0.2"/>
    <row r="9479" customFormat="1" x14ac:dyDescent="0.2"/>
    <row r="9480" customFormat="1" x14ac:dyDescent="0.2"/>
    <row r="9481" customFormat="1" x14ac:dyDescent="0.2"/>
    <row r="9482" customFormat="1" x14ac:dyDescent="0.2"/>
    <row r="9483" customFormat="1" x14ac:dyDescent="0.2"/>
    <row r="9484" customFormat="1" x14ac:dyDescent="0.2"/>
    <row r="9485" customFormat="1" x14ac:dyDescent="0.2"/>
    <row r="9486" customFormat="1" x14ac:dyDescent="0.2"/>
    <row r="9487" customFormat="1" x14ac:dyDescent="0.2"/>
    <row r="9488" customFormat="1" x14ac:dyDescent="0.2"/>
    <row r="9489" customFormat="1" x14ac:dyDescent="0.2"/>
    <row r="9490" customFormat="1" x14ac:dyDescent="0.2"/>
    <row r="9491" customFormat="1" x14ac:dyDescent="0.2"/>
    <row r="9492" customFormat="1" x14ac:dyDescent="0.2"/>
    <row r="9493" customFormat="1" x14ac:dyDescent="0.2"/>
    <row r="9494" customFormat="1" x14ac:dyDescent="0.2"/>
    <row r="9495" customFormat="1" x14ac:dyDescent="0.2"/>
    <row r="9496" customFormat="1" x14ac:dyDescent="0.2"/>
    <row r="9497" customFormat="1" x14ac:dyDescent="0.2"/>
    <row r="9498" customFormat="1" x14ac:dyDescent="0.2"/>
    <row r="9499" customFormat="1" x14ac:dyDescent="0.2"/>
    <row r="9500" customFormat="1" x14ac:dyDescent="0.2"/>
    <row r="9501" customFormat="1" x14ac:dyDescent="0.2"/>
    <row r="9502" customFormat="1" x14ac:dyDescent="0.2"/>
    <row r="9503" customFormat="1" x14ac:dyDescent="0.2"/>
    <row r="9504" customFormat="1" x14ac:dyDescent="0.2"/>
    <row r="9505" customFormat="1" x14ac:dyDescent="0.2"/>
    <row r="9506" customFormat="1" x14ac:dyDescent="0.2"/>
    <row r="9507" customFormat="1" x14ac:dyDescent="0.2"/>
    <row r="9508" customFormat="1" x14ac:dyDescent="0.2"/>
    <row r="9509" customFormat="1" x14ac:dyDescent="0.2"/>
    <row r="9510" customFormat="1" x14ac:dyDescent="0.2"/>
    <row r="9511" customFormat="1" x14ac:dyDescent="0.2"/>
    <row r="9512" customFormat="1" x14ac:dyDescent="0.2"/>
    <row r="9513" customFormat="1" x14ac:dyDescent="0.2"/>
    <row r="9514" customFormat="1" x14ac:dyDescent="0.2"/>
    <row r="9515" customFormat="1" x14ac:dyDescent="0.2"/>
    <row r="9516" customFormat="1" x14ac:dyDescent="0.2"/>
    <row r="9517" customFormat="1" x14ac:dyDescent="0.2"/>
    <row r="9518" customFormat="1" x14ac:dyDescent="0.2"/>
    <row r="9519" customFormat="1" x14ac:dyDescent="0.2"/>
    <row r="9520" customFormat="1" x14ac:dyDescent="0.2"/>
    <row r="9521" customFormat="1" x14ac:dyDescent="0.2"/>
    <row r="9522" customFormat="1" x14ac:dyDescent="0.2"/>
    <row r="9523" customFormat="1" x14ac:dyDescent="0.2"/>
    <row r="9524" customFormat="1" x14ac:dyDescent="0.2"/>
    <row r="9525" customFormat="1" x14ac:dyDescent="0.2"/>
    <row r="9526" customFormat="1" x14ac:dyDescent="0.2"/>
    <row r="9527" customFormat="1" x14ac:dyDescent="0.2"/>
    <row r="9528" customFormat="1" x14ac:dyDescent="0.2"/>
    <row r="9529" customFormat="1" x14ac:dyDescent="0.2"/>
    <row r="9530" customFormat="1" x14ac:dyDescent="0.2"/>
    <row r="9531" customFormat="1" x14ac:dyDescent="0.2"/>
    <row r="9532" customFormat="1" x14ac:dyDescent="0.2"/>
    <row r="9533" customFormat="1" x14ac:dyDescent="0.2"/>
    <row r="9534" customFormat="1" x14ac:dyDescent="0.2"/>
    <row r="9535" customFormat="1" x14ac:dyDescent="0.2"/>
    <row r="9536" customFormat="1" x14ac:dyDescent="0.2"/>
    <row r="9537" customFormat="1" x14ac:dyDescent="0.2"/>
    <row r="9538" customFormat="1" x14ac:dyDescent="0.2"/>
    <row r="9539" customFormat="1" x14ac:dyDescent="0.2"/>
    <row r="9540" customFormat="1" x14ac:dyDescent="0.2"/>
    <row r="9541" customFormat="1" x14ac:dyDescent="0.2"/>
    <row r="9542" customFormat="1" x14ac:dyDescent="0.2"/>
    <row r="9543" customFormat="1" x14ac:dyDescent="0.2"/>
    <row r="9544" customFormat="1" x14ac:dyDescent="0.2"/>
    <row r="9545" customFormat="1" x14ac:dyDescent="0.2"/>
    <row r="9546" customFormat="1" x14ac:dyDescent="0.2"/>
    <row r="9547" customFormat="1" x14ac:dyDescent="0.2"/>
    <row r="9548" customFormat="1" x14ac:dyDescent="0.2"/>
    <row r="9549" customFormat="1" x14ac:dyDescent="0.2"/>
    <row r="9550" customFormat="1" x14ac:dyDescent="0.2"/>
    <row r="9551" customFormat="1" x14ac:dyDescent="0.2"/>
    <row r="9552" customFormat="1" x14ac:dyDescent="0.2"/>
    <row r="9553" customFormat="1" x14ac:dyDescent="0.2"/>
    <row r="9554" customFormat="1" x14ac:dyDescent="0.2"/>
    <row r="9555" customFormat="1" x14ac:dyDescent="0.2"/>
    <row r="9556" customFormat="1" x14ac:dyDescent="0.2"/>
    <row r="9557" customFormat="1" x14ac:dyDescent="0.2"/>
    <row r="9558" customFormat="1" x14ac:dyDescent="0.2"/>
    <row r="9559" customFormat="1" x14ac:dyDescent="0.2"/>
    <row r="9560" customFormat="1" x14ac:dyDescent="0.2"/>
    <row r="9561" customFormat="1" x14ac:dyDescent="0.2"/>
    <row r="9562" customFormat="1" x14ac:dyDescent="0.2"/>
    <row r="9563" customFormat="1" x14ac:dyDescent="0.2"/>
    <row r="9564" customFormat="1" x14ac:dyDescent="0.2"/>
    <row r="9565" customFormat="1" x14ac:dyDescent="0.2"/>
    <row r="9566" customFormat="1" x14ac:dyDescent="0.2"/>
    <row r="9567" customFormat="1" x14ac:dyDescent="0.2"/>
    <row r="9568" customFormat="1" x14ac:dyDescent="0.2"/>
    <row r="9569" customFormat="1" x14ac:dyDescent="0.2"/>
    <row r="9570" customFormat="1" x14ac:dyDescent="0.2"/>
    <row r="9571" customFormat="1" x14ac:dyDescent="0.2"/>
    <row r="9572" customFormat="1" x14ac:dyDescent="0.2"/>
    <row r="9573" customFormat="1" x14ac:dyDescent="0.2"/>
    <row r="9574" customFormat="1" x14ac:dyDescent="0.2"/>
    <row r="9575" customFormat="1" x14ac:dyDescent="0.2"/>
    <row r="9576" customFormat="1" x14ac:dyDescent="0.2"/>
    <row r="9577" customFormat="1" x14ac:dyDescent="0.2"/>
    <row r="9578" customFormat="1" x14ac:dyDescent="0.2"/>
    <row r="9579" customFormat="1" x14ac:dyDescent="0.2"/>
    <row r="9580" customFormat="1" x14ac:dyDescent="0.2"/>
    <row r="9581" customFormat="1" x14ac:dyDescent="0.2"/>
    <row r="9582" customFormat="1" x14ac:dyDescent="0.2"/>
    <row r="9583" customFormat="1" x14ac:dyDescent="0.2"/>
    <row r="9584" customFormat="1" x14ac:dyDescent="0.2"/>
    <row r="9585" customFormat="1" x14ac:dyDescent="0.2"/>
    <row r="9586" customFormat="1" x14ac:dyDescent="0.2"/>
    <row r="9587" customFormat="1" x14ac:dyDescent="0.2"/>
    <row r="9588" customFormat="1" x14ac:dyDescent="0.2"/>
    <row r="9589" customFormat="1" x14ac:dyDescent="0.2"/>
    <row r="9590" customFormat="1" x14ac:dyDescent="0.2"/>
    <row r="9591" customFormat="1" x14ac:dyDescent="0.2"/>
    <row r="9592" customFormat="1" x14ac:dyDescent="0.2"/>
    <row r="9593" customFormat="1" x14ac:dyDescent="0.2"/>
    <row r="9594" customFormat="1" x14ac:dyDescent="0.2"/>
    <row r="9595" customFormat="1" x14ac:dyDescent="0.2"/>
    <row r="9596" customFormat="1" x14ac:dyDescent="0.2"/>
    <row r="9597" customFormat="1" x14ac:dyDescent="0.2"/>
    <row r="9598" customFormat="1" x14ac:dyDescent="0.2"/>
    <row r="9599" customFormat="1" x14ac:dyDescent="0.2"/>
    <row r="9600" customFormat="1" x14ac:dyDescent="0.2"/>
    <row r="9601" customFormat="1" x14ac:dyDescent="0.2"/>
    <row r="9602" customFormat="1" x14ac:dyDescent="0.2"/>
    <row r="9603" customFormat="1" x14ac:dyDescent="0.2"/>
    <row r="9604" customFormat="1" x14ac:dyDescent="0.2"/>
    <row r="9605" customFormat="1" x14ac:dyDescent="0.2"/>
    <row r="9606" customFormat="1" x14ac:dyDescent="0.2"/>
    <row r="9607" customFormat="1" x14ac:dyDescent="0.2"/>
    <row r="9608" customFormat="1" x14ac:dyDescent="0.2"/>
    <row r="9609" customFormat="1" x14ac:dyDescent="0.2"/>
    <row r="9610" customFormat="1" x14ac:dyDescent="0.2"/>
    <row r="9611" customFormat="1" x14ac:dyDescent="0.2"/>
    <row r="9612" customFormat="1" x14ac:dyDescent="0.2"/>
    <row r="9613" customFormat="1" x14ac:dyDescent="0.2"/>
    <row r="9614" customFormat="1" x14ac:dyDescent="0.2"/>
    <row r="9615" customFormat="1" x14ac:dyDescent="0.2"/>
    <row r="9616" customFormat="1" x14ac:dyDescent="0.2"/>
    <row r="9617" customFormat="1" x14ac:dyDescent="0.2"/>
    <row r="9618" customFormat="1" x14ac:dyDescent="0.2"/>
    <row r="9619" customFormat="1" x14ac:dyDescent="0.2"/>
    <row r="9620" customFormat="1" x14ac:dyDescent="0.2"/>
    <row r="9621" customFormat="1" x14ac:dyDescent="0.2"/>
    <row r="9622" customFormat="1" x14ac:dyDescent="0.2"/>
    <row r="9623" customFormat="1" x14ac:dyDescent="0.2"/>
    <row r="9624" customFormat="1" x14ac:dyDescent="0.2"/>
    <row r="9625" customFormat="1" x14ac:dyDescent="0.2"/>
    <row r="9626" customFormat="1" x14ac:dyDescent="0.2"/>
    <row r="9627" customFormat="1" x14ac:dyDescent="0.2"/>
    <row r="9628" customFormat="1" x14ac:dyDescent="0.2"/>
    <row r="9629" customFormat="1" x14ac:dyDescent="0.2"/>
    <row r="9630" customFormat="1" x14ac:dyDescent="0.2"/>
    <row r="9631" customFormat="1" x14ac:dyDescent="0.2"/>
    <row r="9632" customFormat="1" x14ac:dyDescent="0.2"/>
    <row r="9633" customFormat="1" x14ac:dyDescent="0.2"/>
    <row r="9634" customFormat="1" x14ac:dyDescent="0.2"/>
    <row r="9635" customFormat="1" x14ac:dyDescent="0.2"/>
    <row r="9636" customFormat="1" x14ac:dyDescent="0.2"/>
    <row r="9637" customFormat="1" x14ac:dyDescent="0.2"/>
    <row r="9638" customFormat="1" x14ac:dyDescent="0.2"/>
    <row r="9639" customFormat="1" x14ac:dyDescent="0.2"/>
    <row r="9640" customFormat="1" x14ac:dyDescent="0.2"/>
    <row r="9641" customFormat="1" x14ac:dyDescent="0.2"/>
    <row r="9642" customFormat="1" x14ac:dyDescent="0.2"/>
    <row r="9643" customFormat="1" x14ac:dyDescent="0.2"/>
    <row r="9644" customFormat="1" x14ac:dyDescent="0.2"/>
    <row r="9645" customFormat="1" x14ac:dyDescent="0.2"/>
    <row r="9646" customFormat="1" x14ac:dyDescent="0.2"/>
    <row r="9647" customFormat="1" x14ac:dyDescent="0.2"/>
    <row r="9648" customFormat="1" x14ac:dyDescent="0.2"/>
    <row r="9649" customFormat="1" x14ac:dyDescent="0.2"/>
    <row r="9650" customFormat="1" x14ac:dyDescent="0.2"/>
    <row r="9651" customFormat="1" x14ac:dyDescent="0.2"/>
    <row r="9652" customFormat="1" x14ac:dyDescent="0.2"/>
    <row r="9653" customFormat="1" x14ac:dyDescent="0.2"/>
    <row r="9654" customFormat="1" x14ac:dyDescent="0.2"/>
    <row r="9655" customFormat="1" x14ac:dyDescent="0.2"/>
    <row r="9656" customFormat="1" x14ac:dyDescent="0.2"/>
    <row r="9657" customFormat="1" x14ac:dyDescent="0.2"/>
    <row r="9658" customFormat="1" x14ac:dyDescent="0.2"/>
    <row r="9659" customFormat="1" x14ac:dyDescent="0.2"/>
    <row r="9660" customFormat="1" x14ac:dyDescent="0.2"/>
    <row r="9661" customFormat="1" x14ac:dyDescent="0.2"/>
    <row r="9662" customFormat="1" x14ac:dyDescent="0.2"/>
    <row r="9663" customFormat="1" x14ac:dyDescent="0.2"/>
    <row r="9664" customFormat="1" x14ac:dyDescent="0.2"/>
    <row r="9665" customFormat="1" x14ac:dyDescent="0.2"/>
    <row r="9666" customFormat="1" x14ac:dyDescent="0.2"/>
    <row r="9667" customFormat="1" x14ac:dyDescent="0.2"/>
    <row r="9668" customFormat="1" x14ac:dyDescent="0.2"/>
    <row r="9669" customFormat="1" x14ac:dyDescent="0.2"/>
    <row r="9670" customFormat="1" x14ac:dyDescent="0.2"/>
    <row r="9671" customFormat="1" x14ac:dyDescent="0.2"/>
    <row r="9672" customFormat="1" x14ac:dyDescent="0.2"/>
    <row r="9673" customFormat="1" x14ac:dyDescent="0.2"/>
    <row r="9674" customFormat="1" x14ac:dyDescent="0.2"/>
    <row r="9675" customFormat="1" x14ac:dyDescent="0.2"/>
    <row r="9676" customFormat="1" x14ac:dyDescent="0.2"/>
    <row r="9677" customFormat="1" x14ac:dyDescent="0.2"/>
    <row r="9678" customFormat="1" x14ac:dyDescent="0.2"/>
    <row r="9679" customFormat="1" x14ac:dyDescent="0.2"/>
    <row r="9680" customFormat="1" x14ac:dyDescent="0.2"/>
    <row r="9681" customFormat="1" x14ac:dyDescent="0.2"/>
    <row r="9682" customFormat="1" x14ac:dyDescent="0.2"/>
    <row r="9683" customFormat="1" x14ac:dyDescent="0.2"/>
    <row r="9684" customFormat="1" x14ac:dyDescent="0.2"/>
    <row r="9685" customFormat="1" x14ac:dyDescent="0.2"/>
    <row r="9686" customFormat="1" x14ac:dyDescent="0.2"/>
    <row r="9687" customFormat="1" x14ac:dyDescent="0.2"/>
    <row r="9688" customFormat="1" x14ac:dyDescent="0.2"/>
    <row r="9689" customFormat="1" x14ac:dyDescent="0.2"/>
    <row r="9690" customFormat="1" x14ac:dyDescent="0.2"/>
    <row r="9691" customFormat="1" x14ac:dyDescent="0.2"/>
    <row r="9692" customFormat="1" x14ac:dyDescent="0.2"/>
    <row r="9693" customFormat="1" x14ac:dyDescent="0.2"/>
    <row r="9694" customFormat="1" x14ac:dyDescent="0.2"/>
    <row r="9695" customFormat="1" x14ac:dyDescent="0.2"/>
    <row r="9696" customFormat="1" x14ac:dyDescent="0.2"/>
    <row r="9697" customFormat="1" x14ac:dyDescent="0.2"/>
    <row r="9698" customFormat="1" x14ac:dyDescent="0.2"/>
    <row r="9699" customFormat="1" x14ac:dyDescent="0.2"/>
    <row r="9700" customFormat="1" x14ac:dyDescent="0.2"/>
    <row r="9701" customFormat="1" x14ac:dyDescent="0.2"/>
    <row r="9702" customFormat="1" x14ac:dyDescent="0.2"/>
    <row r="9703" customFormat="1" x14ac:dyDescent="0.2"/>
    <row r="9704" customFormat="1" x14ac:dyDescent="0.2"/>
    <row r="9705" customFormat="1" x14ac:dyDescent="0.2"/>
    <row r="9706" customFormat="1" x14ac:dyDescent="0.2"/>
    <row r="9707" customFormat="1" x14ac:dyDescent="0.2"/>
    <row r="9708" customFormat="1" x14ac:dyDescent="0.2"/>
    <row r="9709" customFormat="1" x14ac:dyDescent="0.2"/>
    <row r="9710" customFormat="1" x14ac:dyDescent="0.2"/>
    <row r="9711" customFormat="1" x14ac:dyDescent="0.2"/>
    <row r="9712" customFormat="1" x14ac:dyDescent="0.2"/>
    <row r="9713" customFormat="1" x14ac:dyDescent="0.2"/>
    <row r="9714" customFormat="1" x14ac:dyDescent="0.2"/>
    <row r="9715" customFormat="1" x14ac:dyDescent="0.2"/>
    <row r="9716" customFormat="1" x14ac:dyDescent="0.2"/>
    <row r="9717" customFormat="1" x14ac:dyDescent="0.2"/>
    <row r="9718" customFormat="1" x14ac:dyDescent="0.2"/>
    <row r="9719" customFormat="1" x14ac:dyDescent="0.2"/>
    <row r="9720" customFormat="1" x14ac:dyDescent="0.2"/>
    <row r="9721" customFormat="1" x14ac:dyDescent="0.2"/>
    <row r="9722" customFormat="1" x14ac:dyDescent="0.2"/>
    <row r="9723" customFormat="1" x14ac:dyDescent="0.2"/>
    <row r="9724" customFormat="1" x14ac:dyDescent="0.2"/>
    <row r="9725" customFormat="1" x14ac:dyDescent="0.2"/>
    <row r="9726" customFormat="1" x14ac:dyDescent="0.2"/>
    <row r="9727" customFormat="1" x14ac:dyDescent="0.2"/>
    <row r="9728" customFormat="1" x14ac:dyDescent="0.2"/>
    <row r="9729" customFormat="1" x14ac:dyDescent="0.2"/>
    <row r="9730" customFormat="1" x14ac:dyDescent="0.2"/>
    <row r="9731" customFormat="1" x14ac:dyDescent="0.2"/>
    <row r="9732" customFormat="1" x14ac:dyDescent="0.2"/>
    <row r="9733" customFormat="1" x14ac:dyDescent="0.2"/>
    <row r="9734" customFormat="1" x14ac:dyDescent="0.2"/>
    <row r="9735" customFormat="1" x14ac:dyDescent="0.2"/>
    <row r="9736" customFormat="1" x14ac:dyDescent="0.2"/>
    <row r="9737" customFormat="1" x14ac:dyDescent="0.2"/>
    <row r="9738" customFormat="1" x14ac:dyDescent="0.2"/>
    <row r="9739" customFormat="1" x14ac:dyDescent="0.2"/>
    <row r="9740" customFormat="1" x14ac:dyDescent="0.2"/>
    <row r="9741" customFormat="1" x14ac:dyDescent="0.2"/>
    <row r="9742" customFormat="1" x14ac:dyDescent="0.2"/>
    <row r="9743" customFormat="1" x14ac:dyDescent="0.2"/>
    <row r="9744" customFormat="1" x14ac:dyDescent="0.2"/>
    <row r="9745" customFormat="1" x14ac:dyDescent="0.2"/>
    <row r="9746" customFormat="1" x14ac:dyDescent="0.2"/>
    <row r="9747" customFormat="1" x14ac:dyDescent="0.2"/>
    <row r="9748" customFormat="1" x14ac:dyDescent="0.2"/>
    <row r="9749" customFormat="1" x14ac:dyDescent="0.2"/>
    <row r="9750" customFormat="1" x14ac:dyDescent="0.2"/>
    <row r="9751" customFormat="1" x14ac:dyDescent="0.2"/>
    <row r="9752" customFormat="1" x14ac:dyDescent="0.2"/>
    <row r="9753" customFormat="1" x14ac:dyDescent="0.2"/>
    <row r="9754" customFormat="1" x14ac:dyDescent="0.2"/>
    <row r="9755" customFormat="1" x14ac:dyDescent="0.2"/>
    <row r="9756" customFormat="1" x14ac:dyDescent="0.2"/>
    <row r="9757" customFormat="1" x14ac:dyDescent="0.2"/>
    <row r="9758" customFormat="1" x14ac:dyDescent="0.2"/>
    <row r="9759" customFormat="1" x14ac:dyDescent="0.2"/>
    <row r="9760" customFormat="1" x14ac:dyDescent="0.2"/>
    <row r="9761" customFormat="1" x14ac:dyDescent="0.2"/>
    <row r="9762" customFormat="1" x14ac:dyDescent="0.2"/>
    <row r="9763" customFormat="1" x14ac:dyDescent="0.2"/>
    <row r="9764" customFormat="1" x14ac:dyDescent="0.2"/>
    <row r="9765" customFormat="1" x14ac:dyDescent="0.2"/>
    <row r="9766" customFormat="1" x14ac:dyDescent="0.2"/>
    <row r="9767" customFormat="1" x14ac:dyDescent="0.2"/>
    <row r="9768" customFormat="1" x14ac:dyDescent="0.2"/>
    <row r="9769" customFormat="1" x14ac:dyDescent="0.2"/>
    <row r="9770" customFormat="1" x14ac:dyDescent="0.2"/>
    <row r="9771" customFormat="1" x14ac:dyDescent="0.2"/>
    <row r="9772" customFormat="1" x14ac:dyDescent="0.2"/>
    <row r="9773" customFormat="1" x14ac:dyDescent="0.2"/>
    <row r="9774" customFormat="1" x14ac:dyDescent="0.2"/>
    <row r="9775" customFormat="1" x14ac:dyDescent="0.2"/>
    <row r="9776" customFormat="1" x14ac:dyDescent="0.2"/>
    <row r="9777" customFormat="1" x14ac:dyDescent="0.2"/>
    <row r="9778" customFormat="1" x14ac:dyDescent="0.2"/>
    <row r="9779" customFormat="1" x14ac:dyDescent="0.2"/>
    <row r="9780" customFormat="1" x14ac:dyDescent="0.2"/>
    <row r="9781" customFormat="1" x14ac:dyDescent="0.2"/>
    <row r="9782" customFormat="1" x14ac:dyDescent="0.2"/>
    <row r="9783" customFormat="1" x14ac:dyDescent="0.2"/>
    <row r="9784" customFormat="1" x14ac:dyDescent="0.2"/>
    <row r="9785" customFormat="1" x14ac:dyDescent="0.2"/>
    <row r="9786" customFormat="1" x14ac:dyDescent="0.2"/>
    <row r="9787" customFormat="1" x14ac:dyDescent="0.2"/>
    <row r="9788" customFormat="1" x14ac:dyDescent="0.2"/>
    <row r="9789" customFormat="1" x14ac:dyDescent="0.2"/>
    <row r="9790" customFormat="1" x14ac:dyDescent="0.2"/>
    <row r="9791" customFormat="1" x14ac:dyDescent="0.2"/>
    <row r="9792" customFormat="1" x14ac:dyDescent="0.2"/>
    <row r="9793" customFormat="1" x14ac:dyDescent="0.2"/>
    <row r="9794" customFormat="1" x14ac:dyDescent="0.2"/>
    <row r="9795" customFormat="1" x14ac:dyDescent="0.2"/>
    <row r="9796" customFormat="1" x14ac:dyDescent="0.2"/>
    <row r="9797" customFormat="1" x14ac:dyDescent="0.2"/>
    <row r="9798" customFormat="1" x14ac:dyDescent="0.2"/>
    <row r="9799" customFormat="1" x14ac:dyDescent="0.2"/>
    <row r="9800" customFormat="1" x14ac:dyDescent="0.2"/>
    <row r="9801" customFormat="1" x14ac:dyDescent="0.2"/>
    <row r="9802" customFormat="1" x14ac:dyDescent="0.2"/>
    <row r="9803" customFormat="1" x14ac:dyDescent="0.2"/>
    <row r="9804" customFormat="1" x14ac:dyDescent="0.2"/>
    <row r="9805" customFormat="1" x14ac:dyDescent="0.2"/>
    <row r="9806" customFormat="1" x14ac:dyDescent="0.2"/>
    <row r="9807" customFormat="1" x14ac:dyDescent="0.2"/>
    <row r="9808" customFormat="1" x14ac:dyDescent="0.2"/>
    <row r="9809" customFormat="1" x14ac:dyDescent="0.2"/>
    <row r="9810" customFormat="1" x14ac:dyDescent="0.2"/>
    <row r="9811" customFormat="1" x14ac:dyDescent="0.2"/>
    <row r="9812" customFormat="1" x14ac:dyDescent="0.2"/>
    <row r="9813" customFormat="1" x14ac:dyDescent="0.2"/>
    <row r="9814" customFormat="1" x14ac:dyDescent="0.2"/>
    <row r="9815" customFormat="1" x14ac:dyDescent="0.2"/>
    <row r="9816" customFormat="1" x14ac:dyDescent="0.2"/>
    <row r="9817" customFormat="1" x14ac:dyDescent="0.2"/>
    <row r="9818" customFormat="1" x14ac:dyDescent="0.2"/>
    <row r="9819" customFormat="1" x14ac:dyDescent="0.2"/>
    <row r="9820" customFormat="1" x14ac:dyDescent="0.2"/>
    <row r="9821" customFormat="1" x14ac:dyDescent="0.2"/>
    <row r="9822" customFormat="1" x14ac:dyDescent="0.2"/>
    <row r="9823" customFormat="1" x14ac:dyDescent="0.2"/>
    <row r="9824" customFormat="1" x14ac:dyDescent="0.2"/>
    <row r="9825" customFormat="1" x14ac:dyDescent="0.2"/>
    <row r="9826" customFormat="1" x14ac:dyDescent="0.2"/>
    <row r="9827" customFormat="1" x14ac:dyDescent="0.2"/>
    <row r="9828" customFormat="1" x14ac:dyDescent="0.2"/>
    <row r="9829" customFormat="1" x14ac:dyDescent="0.2"/>
    <row r="9830" customFormat="1" x14ac:dyDescent="0.2"/>
    <row r="9831" customFormat="1" x14ac:dyDescent="0.2"/>
    <row r="9832" customFormat="1" x14ac:dyDescent="0.2"/>
    <row r="9833" customFormat="1" x14ac:dyDescent="0.2"/>
    <row r="9834" customFormat="1" x14ac:dyDescent="0.2"/>
    <row r="9835" customFormat="1" x14ac:dyDescent="0.2"/>
    <row r="9836" customFormat="1" x14ac:dyDescent="0.2"/>
    <row r="9837" customFormat="1" x14ac:dyDescent="0.2"/>
    <row r="9838" customFormat="1" x14ac:dyDescent="0.2"/>
    <row r="9839" customFormat="1" x14ac:dyDescent="0.2"/>
    <row r="9840" customFormat="1" x14ac:dyDescent="0.2"/>
    <row r="9841" customFormat="1" x14ac:dyDescent="0.2"/>
    <row r="9842" customFormat="1" x14ac:dyDescent="0.2"/>
    <row r="9843" customFormat="1" x14ac:dyDescent="0.2"/>
    <row r="9844" customFormat="1" x14ac:dyDescent="0.2"/>
    <row r="9845" customFormat="1" x14ac:dyDescent="0.2"/>
    <row r="9846" customFormat="1" x14ac:dyDescent="0.2"/>
    <row r="9847" customFormat="1" x14ac:dyDescent="0.2"/>
    <row r="9848" customFormat="1" x14ac:dyDescent="0.2"/>
    <row r="9849" customFormat="1" x14ac:dyDescent="0.2"/>
    <row r="9850" customFormat="1" x14ac:dyDescent="0.2"/>
    <row r="9851" customFormat="1" x14ac:dyDescent="0.2"/>
    <row r="9852" customFormat="1" x14ac:dyDescent="0.2"/>
    <row r="9853" customFormat="1" x14ac:dyDescent="0.2"/>
    <row r="9854" customFormat="1" x14ac:dyDescent="0.2"/>
    <row r="9855" customFormat="1" x14ac:dyDescent="0.2"/>
    <row r="9856" customFormat="1" x14ac:dyDescent="0.2"/>
    <row r="9857" customFormat="1" x14ac:dyDescent="0.2"/>
    <row r="9858" customFormat="1" x14ac:dyDescent="0.2"/>
    <row r="9859" customFormat="1" x14ac:dyDescent="0.2"/>
    <row r="9860" customFormat="1" x14ac:dyDescent="0.2"/>
    <row r="9861" customFormat="1" x14ac:dyDescent="0.2"/>
    <row r="9862" customFormat="1" x14ac:dyDescent="0.2"/>
    <row r="9863" customFormat="1" x14ac:dyDescent="0.2"/>
    <row r="9864" customFormat="1" x14ac:dyDescent="0.2"/>
    <row r="9865" customFormat="1" x14ac:dyDescent="0.2"/>
    <row r="9866" customFormat="1" x14ac:dyDescent="0.2"/>
    <row r="9867" customFormat="1" x14ac:dyDescent="0.2"/>
    <row r="9868" customFormat="1" x14ac:dyDescent="0.2"/>
    <row r="9869" customFormat="1" x14ac:dyDescent="0.2"/>
    <row r="9870" customFormat="1" x14ac:dyDescent="0.2"/>
    <row r="9871" customFormat="1" x14ac:dyDescent="0.2"/>
    <row r="9872" customFormat="1" x14ac:dyDescent="0.2"/>
    <row r="9873" customFormat="1" x14ac:dyDescent="0.2"/>
    <row r="9874" customFormat="1" x14ac:dyDescent="0.2"/>
    <row r="9875" customFormat="1" x14ac:dyDescent="0.2"/>
    <row r="9876" customFormat="1" x14ac:dyDescent="0.2"/>
    <row r="9877" customFormat="1" x14ac:dyDescent="0.2"/>
    <row r="9878" customFormat="1" x14ac:dyDescent="0.2"/>
    <row r="9879" customFormat="1" x14ac:dyDescent="0.2"/>
    <row r="9880" customFormat="1" x14ac:dyDescent="0.2"/>
    <row r="9881" customFormat="1" x14ac:dyDescent="0.2"/>
    <row r="9882" customFormat="1" x14ac:dyDescent="0.2"/>
    <row r="9883" customFormat="1" x14ac:dyDescent="0.2"/>
    <row r="9884" customFormat="1" x14ac:dyDescent="0.2"/>
    <row r="9885" customFormat="1" x14ac:dyDescent="0.2"/>
    <row r="9886" customFormat="1" x14ac:dyDescent="0.2"/>
    <row r="9887" customFormat="1" x14ac:dyDescent="0.2"/>
    <row r="9888" customFormat="1" x14ac:dyDescent="0.2"/>
    <row r="9889" customFormat="1" x14ac:dyDescent="0.2"/>
    <row r="9890" customFormat="1" x14ac:dyDescent="0.2"/>
    <row r="9891" customFormat="1" x14ac:dyDescent="0.2"/>
    <row r="9892" customFormat="1" x14ac:dyDescent="0.2"/>
    <row r="9893" customFormat="1" x14ac:dyDescent="0.2"/>
    <row r="9894" customFormat="1" x14ac:dyDescent="0.2"/>
    <row r="9895" customFormat="1" x14ac:dyDescent="0.2"/>
    <row r="9896" customFormat="1" x14ac:dyDescent="0.2"/>
    <row r="9897" customFormat="1" x14ac:dyDescent="0.2"/>
    <row r="9898" customFormat="1" x14ac:dyDescent="0.2"/>
    <row r="9899" customFormat="1" x14ac:dyDescent="0.2"/>
    <row r="9900" customFormat="1" x14ac:dyDescent="0.2"/>
    <row r="9901" customFormat="1" x14ac:dyDescent="0.2"/>
    <row r="9902" customFormat="1" x14ac:dyDescent="0.2"/>
    <row r="9903" customFormat="1" x14ac:dyDescent="0.2"/>
    <row r="9904" customFormat="1" x14ac:dyDescent="0.2"/>
    <row r="9905" customFormat="1" x14ac:dyDescent="0.2"/>
    <row r="9906" customFormat="1" x14ac:dyDescent="0.2"/>
    <row r="9907" customFormat="1" x14ac:dyDescent="0.2"/>
    <row r="9908" customFormat="1" x14ac:dyDescent="0.2"/>
    <row r="9909" customFormat="1" x14ac:dyDescent="0.2"/>
    <row r="9910" customFormat="1" x14ac:dyDescent="0.2"/>
    <row r="9911" customFormat="1" x14ac:dyDescent="0.2"/>
    <row r="9912" customFormat="1" x14ac:dyDescent="0.2"/>
    <row r="9913" customFormat="1" x14ac:dyDescent="0.2"/>
    <row r="9914" customFormat="1" x14ac:dyDescent="0.2"/>
    <row r="9915" customFormat="1" x14ac:dyDescent="0.2"/>
    <row r="9916" customFormat="1" x14ac:dyDescent="0.2"/>
    <row r="9917" customFormat="1" x14ac:dyDescent="0.2"/>
    <row r="9918" customFormat="1" x14ac:dyDescent="0.2"/>
    <row r="9919" customFormat="1" x14ac:dyDescent="0.2"/>
    <row r="9920" customFormat="1" x14ac:dyDescent="0.2"/>
    <row r="9921" customFormat="1" x14ac:dyDescent="0.2"/>
    <row r="9922" customFormat="1" x14ac:dyDescent="0.2"/>
    <row r="9923" customFormat="1" x14ac:dyDescent="0.2"/>
    <row r="9924" customFormat="1" x14ac:dyDescent="0.2"/>
    <row r="9925" customFormat="1" x14ac:dyDescent="0.2"/>
    <row r="9926" customFormat="1" x14ac:dyDescent="0.2"/>
    <row r="9927" customFormat="1" x14ac:dyDescent="0.2"/>
    <row r="9928" customFormat="1" x14ac:dyDescent="0.2"/>
    <row r="9929" customFormat="1" x14ac:dyDescent="0.2"/>
    <row r="9930" customFormat="1" x14ac:dyDescent="0.2"/>
    <row r="9931" customFormat="1" x14ac:dyDescent="0.2"/>
    <row r="9932" customFormat="1" x14ac:dyDescent="0.2"/>
    <row r="9933" customFormat="1" x14ac:dyDescent="0.2"/>
    <row r="9934" customFormat="1" x14ac:dyDescent="0.2"/>
    <row r="9935" customFormat="1" x14ac:dyDescent="0.2"/>
    <row r="9936" customFormat="1" x14ac:dyDescent="0.2"/>
    <row r="9937" customFormat="1" x14ac:dyDescent="0.2"/>
    <row r="9938" customFormat="1" x14ac:dyDescent="0.2"/>
    <row r="9939" customFormat="1" x14ac:dyDescent="0.2"/>
    <row r="9940" customFormat="1" x14ac:dyDescent="0.2"/>
    <row r="9941" customFormat="1" x14ac:dyDescent="0.2"/>
    <row r="9942" customFormat="1" x14ac:dyDescent="0.2"/>
    <row r="9943" customFormat="1" x14ac:dyDescent="0.2"/>
    <row r="9944" customFormat="1" x14ac:dyDescent="0.2"/>
    <row r="9945" customFormat="1" x14ac:dyDescent="0.2"/>
    <row r="9946" customFormat="1" x14ac:dyDescent="0.2"/>
    <row r="9947" customFormat="1" x14ac:dyDescent="0.2"/>
    <row r="9948" customFormat="1" x14ac:dyDescent="0.2"/>
    <row r="9949" customFormat="1" x14ac:dyDescent="0.2"/>
    <row r="9950" customFormat="1" x14ac:dyDescent="0.2"/>
    <row r="9951" customFormat="1" x14ac:dyDescent="0.2"/>
    <row r="9952" customFormat="1" x14ac:dyDescent="0.2"/>
    <row r="9953" customFormat="1" x14ac:dyDescent="0.2"/>
    <row r="9954" customFormat="1" x14ac:dyDescent="0.2"/>
    <row r="9955" customFormat="1" x14ac:dyDescent="0.2"/>
    <row r="9956" customFormat="1" x14ac:dyDescent="0.2"/>
    <row r="9957" customFormat="1" x14ac:dyDescent="0.2"/>
    <row r="9958" customFormat="1" x14ac:dyDescent="0.2"/>
    <row r="9959" customFormat="1" x14ac:dyDescent="0.2"/>
    <row r="9960" customFormat="1" x14ac:dyDescent="0.2"/>
    <row r="9961" customFormat="1" x14ac:dyDescent="0.2"/>
    <row r="9962" customFormat="1" x14ac:dyDescent="0.2"/>
    <row r="9963" customFormat="1" x14ac:dyDescent="0.2"/>
    <row r="9964" customFormat="1" x14ac:dyDescent="0.2"/>
    <row r="9965" customFormat="1" x14ac:dyDescent="0.2"/>
    <row r="9966" customFormat="1" x14ac:dyDescent="0.2"/>
    <row r="9967" customFormat="1" x14ac:dyDescent="0.2"/>
    <row r="9968" customFormat="1" x14ac:dyDescent="0.2"/>
    <row r="9969" customFormat="1" x14ac:dyDescent="0.2"/>
    <row r="9970" customFormat="1" x14ac:dyDescent="0.2"/>
    <row r="9971" customFormat="1" x14ac:dyDescent="0.2"/>
    <row r="9972" customFormat="1" x14ac:dyDescent="0.2"/>
    <row r="9973" customFormat="1" x14ac:dyDescent="0.2"/>
    <row r="9974" customFormat="1" x14ac:dyDescent="0.2"/>
    <row r="9975" customFormat="1" x14ac:dyDescent="0.2"/>
    <row r="9976" customFormat="1" x14ac:dyDescent="0.2"/>
    <row r="9977" customFormat="1" x14ac:dyDescent="0.2"/>
    <row r="9978" customFormat="1" x14ac:dyDescent="0.2"/>
    <row r="9979" customFormat="1" x14ac:dyDescent="0.2"/>
    <row r="9980" customFormat="1" x14ac:dyDescent="0.2"/>
    <row r="9981" customFormat="1" x14ac:dyDescent="0.2"/>
    <row r="9982" customFormat="1" x14ac:dyDescent="0.2"/>
    <row r="9983" customFormat="1" x14ac:dyDescent="0.2"/>
    <row r="9984" customFormat="1" x14ac:dyDescent="0.2"/>
    <row r="9985" customFormat="1" x14ac:dyDescent="0.2"/>
    <row r="9986" customFormat="1" x14ac:dyDescent="0.2"/>
    <row r="9987" customFormat="1" x14ac:dyDescent="0.2"/>
    <row r="9988" customFormat="1" x14ac:dyDescent="0.2"/>
    <row r="9989" customFormat="1" x14ac:dyDescent="0.2"/>
    <row r="9990" customFormat="1" x14ac:dyDescent="0.2"/>
    <row r="9991" customFormat="1" x14ac:dyDescent="0.2"/>
    <row r="9992" customFormat="1" x14ac:dyDescent="0.2"/>
    <row r="9993" customFormat="1" x14ac:dyDescent="0.2"/>
    <row r="9994" customFormat="1" x14ac:dyDescent="0.2"/>
    <row r="9995" customFormat="1" x14ac:dyDescent="0.2"/>
    <row r="9996" customFormat="1" x14ac:dyDescent="0.2"/>
    <row r="9997" customFormat="1" x14ac:dyDescent="0.2"/>
    <row r="9998" customFormat="1" x14ac:dyDescent="0.2"/>
    <row r="9999" customFormat="1" x14ac:dyDescent="0.2"/>
    <row r="10000" customFormat="1" x14ac:dyDescent="0.2"/>
  </sheetData>
  <sheetProtection formatCells="0" formatColumns="0" formatRows="0"/>
  <mergeCells count="4">
    <mergeCell ref="B12:C13"/>
    <mergeCell ref="D12:E13"/>
    <mergeCell ref="H12:I13"/>
    <mergeCell ref="F12:G1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12"/>
  <dimension ref="A1:E10000"/>
  <sheetViews>
    <sheetView topLeftCell="A14" workbookViewId="0">
      <pane xSplit="1" ySplit="1" topLeftCell="B15" activePane="bottomRight" state="frozen"/>
      <selection activeCell="A14" sqref="A14"/>
      <selection pane="topRight" activeCell="B14" sqref="B14"/>
      <selection pane="bottomLeft" activeCell="A15" sqref="A15"/>
      <selection pane="bottomRight"/>
    </sheetView>
  </sheetViews>
  <sheetFormatPr defaultColWidth="8.85546875" defaultRowHeight="12.75" x14ac:dyDescent="0.2"/>
  <cols>
    <col min="1" max="1" width="10.5703125" style="96" customWidth="1"/>
    <col min="2" max="2" width="10.85546875" style="96" customWidth="1"/>
    <col min="3" max="3" width="11" style="298" customWidth="1"/>
    <col min="4" max="4" width="12.85546875" style="298" customWidth="1"/>
    <col min="5" max="16384" width="8.85546875" style="295"/>
  </cols>
  <sheetData>
    <row r="1" spans="1:5" hidden="1" x14ac:dyDescent="0.2"/>
    <row r="2" spans="1:5" hidden="1" x14ac:dyDescent="0.2"/>
    <row r="3" spans="1:5" hidden="1" x14ac:dyDescent="0.2"/>
    <row r="4" spans="1:5" hidden="1" x14ac:dyDescent="0.2"/>
    <row r="5" spans="1:5" hidden="1" x14ac:dyDescent="0.2"/>
    <row r="6" spans="1:5" hidden="1" x14ac:dyDescent="0.2"/>
    <row r="7" spans="1:5" hidden="1" x14ac:dyDescent="0.2"/>
    <row r="8" spans="1:5" hidden="1" x14ac:dyDescent="0.2"/>
    <row r="9" spans="1:5" hidden="1" x14ac:dyDescent="0.2"/>
    <row r="10" spans="1:5" hidden="1" x14ac:dyDescent="0.2"/>
    <row r="11" spans="1:5" hidden="1" x14ac:dyDescent="0.2"/>
    <row r="12" spans="1:5" hidden="1" x14ac:dyDescent="0.2">
      <c r="C12" s="96"/>
      <c r="D12" s="96"/>
    </row>
    <row r="13" spans="1:5" hidden="1" x14ac:dyDescent="0.2">
      <c r="C13" s="96"/>
      <c r="D13" s="96"/>
    </row>
    <row r="14" spans="1:5" ht="45" x14ac:dyDescent="0.2">
      <c r="A14" s="301" t="s">
        <v>380</v>
      </c>
      <c r="B14" s="301" t="s">
        <v>381</v>
      </c>
      <c r="C14" s="301" t="s">
        <v>382</v>
      </c>
      <c r="D14" s="301" t="s">
        <v>383</v>
      </c>
    </row>
    <row r="15" spans="1:5" s="91" customFormat="1" x14ac:dyDescent="0.2">
      <c r="A15" s="86" t="str">
        <f>RedBasica!E15</f>
        <v>MS_A_1-001</v>
      </c>
      <c r="B15" s="90" t="str">
        <f>RedBasica!BA15</f>
        <v>MS_A_1-002</v>
      </c>
      <c r="C15" s="67">
        <f>IF(OR(B15=0,B15=""),0,IFERROR(INDEX('A3'!$E$15:$E$10000,(MATCH(A15,'A3'!$A$15:$A$10000,0))),0)-IFERROR(INDEX('A3'!$D$15:$D$10000,(MATCH(B15,'A3'!$A$15:$A$10000,0))),0))</f>
        <v>0.60012499999999136</v>
      </c>
      <c r="D15" s="77" t="str">
        <f>IF(C15&gt;0,IF(C15&lt;Parametros!$F$62,"D","TC"),"")</f>
        <v>TC</v>
      </c>
    </row>
    <row r="16" spans="1:5" customFormat="1" x14ac:dyDescent="0.2">
      <c r="A16" s="86" t="str">
        <f>RedBasica!E16</f>
        <v>MS_A_1-002</v>
      </c>
      <c r="B16" s="90" t="str">
        <f>RedBasica!BA16</f>
        <v>MS_A_1-003</v>
      </c>
      <c r="C16" s="67">
        <f>IF(OR(B16=0,B16=""),0,IFERROR(INDEX('A3'!$E$15:$E$10000,(MATCH(A16,'A3'!$A$15:$A$10000,0))),0)-IFERROR(INDEX('A3'!$D$15:$D$10000,(MATCH(B16,'A3'!$A$15:$A$10000,0))),0))</f>
        <v>0</v>
      </c>
      <c r="D16" s="77" t="str">
        <f>IF(C16&gt;0,IF(C16&lt;Parametros!$F$62,"D","TC"),"")</f>
        <v/>
      </c>
      <c r="E16" s="91"/>
    </row>
    <row r="17" spans="1:5" customFormat="1" x14ac:dyDescent="0.2">
      <c r="A17" s="86" t="str">
        <f>RedBasica!E17</f>
        <v>MS_A_1-003</v>
      </c>
      <c r="B17" s="90" t="str">
        <f>RedBasica!BA17</f>
        <v>MS_A_1-004</v>
      </c>
      <c r="C17" s="67">
        <f>IF(OR(B17=0,B17=""),0,IFERROR(INDEX('A3'!$E$15:$E$10000,(MATCH(A17,'A3'!$A$15:$A$10000,0))),0)-IFERROR(INDEX('A3'!$D$15:$D$10000,(MATCH(B17,'A3'!$A$15:$A$10000,0))),0))</f>
        <v>0</v>
      </c>
      <c r="D17" s="77" t="str">
        <f>IF(C17&gt;0,IF(C17&lt;Parametros!$F$62,"D","TC"),"")</f>
        <v/>
      </c>
      <c r="E17" s="91"/>
    </row>
    <row r="18" spans="1:5" customFormat="1" x14ac:dyDescent="0.2">
      <c r="A18" s="86" t="str">
        <f>RedBasica!E18</f>
        <v>MS_A_1-004</v>
      </c>
      <c r="B18" s="90" t="str">
        <f>RedBasica!BA18</f>
        <v>MS_A_1-005</v>
      </c>
      <c r="C18" s="67">
        <f>IF(OR(B18=0,B18=""),0,IFERROR(INDEX('A3'!$E$15:$E$10000,(MATCH(A18,'A3'!$A$15:$A$10000,0))),0)-IFERROR(INDEX('A3'!$D$15:$D$10000,(MATCH(B18,'A3'!$A$15:$A$10000,0))),0))</f>
        <v>0</v>
      </c>
      <c r="D18" s="77" t="str">
        <f>IF(C18&gt;0,IF(C18&lt;Parametros!$F$62,"D","TC"),"")</f>
        <v/>
      </c>
      <c r="E18" s="91"/>
    </row>
    <row r="19" spans="1:5" customFormat="1" x14ac:dyDescent="0.2">
      <c r="A19" s="86" t="str">
        <f>RedBasica!E19</f>
        <v>MS_A_1-005</v>
      </c>
      <c r="B19" s="90" t="str">
        <f>RedBasica!BA19</f>
        <v>MS_A_1-006</v>
      </c>
      <c r="C19" s="67">
        <f>IF(OR(B19=0,B19=""),0,IFERROR(INDEX('A3'!$E$15:$E$10000,(MATCH(A19,'A3'!$A$15:$A$10000,0))),0)-IFERROR(INDEX('A3'!$D$15:$D$10000,(MATCH(B19,'A3'!$A$15:$A$10000,0))),0))</f>
        <v>0</v>
      </c>
      <c r="D19" s="77" t="str">
        <f>IF(C19&gt;0,IF(C19&lt;Parametros!$F$62,"D","TC"),"")</f>
        <v/>
      </c>
      <c r="E19" s="91"/>
    </row>
    <row r="20" spans="1:5" customFormat="1" x14ac:dyDescent="0.2">
      <c r="A20" s="86" t="str">
        <f>RedBasica!E20</f>
        <v>MS_A_1-006</v>
      </c>
      <c r="B20" s="90" t="str">
        <f>RedBasica!BA20</f>
        <v>MS_A_1-007</v>
      </c>
      <c r="C20" s="67">
        <f>IF(OR(B20=0,B20=""),0,IFERROR(INDEX('A3'!$E$15:$E$10000,(MATCH(A20,'A3'!$A$15:$A$10000,0))),0)-IFERROR(INDEX('A3'!$D$15:$D$10000,(MATCH(B20,'A3'!$A$15:$A$10000,0))),0))</f>
        <v>0</v>
      </c>
      <c r="D20" s="77" t="str">
        <f>IF(C20&gt;0,IF(C20&lt;Parametros!$F$62,"D","TC"),"")</f>
        <v/>
      </c>
      <c r="E20" s="91"/>
    </row>
    <row r="21" spans="1:5" customFormat="1" x14ac:dyDescent="0.2">
      <c r="A21" s="86" t="str">
        <f>RedBasica!E21</f>
        <v>MS_A_1-007</v>
      </c>
      <c r="B21" s="90" t="str">
        <f>RedBasica!BA21</f>
        <v>MS_A_1-008</v>
      </c>
      <c r="C21" s="67">
        <f>IF(OR(B21=0,B21=""),0,IFERROR(INDEX('A3'!$E$15:$E$10000,(MATCH(A21,'A3'!$A$15:$A$10000,0))),0)-IFERROR(INDEX('A3'!$D$15:$D$10000,(MATCH(B21,'A3'!$A$15:$A$10000,0))),0))</f>
        <v>6.3924999999983356E-2</v>
      </c>
      <c r="D21" s="77" t="str">
        <f>IF(C21&gt;0,IF(C21&lt;Parametros!$F$62,"D","TC"),"")</f>
        <v>D</v>
      </c>
      <c r="E21" s="91"/>
    </row>
    <row r="22" spans="1:5" customFormat="1" x14ac:dyDescent="0.2">
      <c r="A22" s="86" t="str">
        <f>RedBasica!E22</f>
        <v>MS_A_1-008</v>
      </c>
      <c r="B22" s="90" t="str">
        <f>RedBasica!BA22</f>
        <v>MS_A_1-009</v>
      </c>
      <c r="C22" s="67">
        <f>IF(OR(B22=0,B22=""),0,IFERROR(INDEX('A3'!$E$15:$E$10000,(MATCH(A22,'A3'!$A$15:$A$10000,0))),0)-IFERROR(INDEX('A3'!$D$15:$D$10000,(MATCH(B22,'A3'!$A$15:$A$10000,0))),0))</f>
        <v>0</v>
      </c>
      <c r="D22" s="77" t="str">
        <f>IF(C22&gt;0,IF(C22&lt;Parametros!$F$62,"D","TC"),"")</f>
        <v/>
      </c>
      <c r="E22" s="91"/>
    </row>
    <row r="23" spans="1:5" customFormat="1" x14ac:dyDescent="0.2">
      <c r="A23" s="86" t="str">
        <f>RedBasica!E23</f>
        <v>MS_A_1-009</v>
      </c>
      <c r="B23" s="90" t="str">
        <f>RedBasica!BA23</f>
        <v>MS_A_1-010</v>
      </c>
      <c r="C23" s="67">
        <f>IF(OR(B23=0,B23=""),0,IFERROR(INDEX('A3'!$E$15:$E$10000,(MATCH(A23,'A3'!$A$15:$A$10000,0))),0)-IFERROR(INDEX('A3'!$D$15:$D$10000,(MATCH(B23,'A3'!$A$15:$A$10000,0))),0))</f>
        <v>0.20161500000000387</v>
      </c>
      <c r="D23" s="77" t="str">
        <f>IF(C23&gt;0,IF(C23&lt;Parametros!$F$62,"D","TC"),"")</f>
        <v>D</v>
      </c>
      <c r="E23" s="91"/>
    </row>
    <row r="24" spans="1:5" customFormat="1" x14ac:dyDescent="0.2">
      <c r="A24" s="86" t="str">
        <f>RedBasica!E24</f>
        <v>MS_A_1-010</v>
      </c>
      <c r="B24" s="90" t="str">
        <f>RedBasica!BA24</f>
        <v>MS_A_1-011</v>
      </c>
      <c r="C24" s="67">
        <f>IF(OR(B24=0,B24=""),0,IFERROR(INDEX('A3'!$E$15:$E$10000,(MATCH(A24,'A3'!$A$15:$A$10000,0))),0)-IFERROR(INDEX('A3'!$D$15:$D$10000,(MATCH(B24,'A3'!$A$15:$A$10000,0))),0))</f>
        <v>0</v>
      </c>
      <c r="D24" s="77" t="str">
        <f>IF(C24&gt;0,IF(C24&lt;Parametros!$F$62,"D","TC"),"")</f>
        <v/>
      </c>
      <c r="E24" s="91"/>
    </row>
    <row r="25" spans="1:5" customFormat="1" x14ac:dyDescent="0.2">
      <c r="A25" s="86" t="str">
        <f>RedBasica!E25</f>
        <v>MS_A_1-011</v>
      </c>
      <c r="B25" s="90" t="str">
        <f>RedBasica!BA25</f>
        <v>MS_A_1-012</v>
      </c>
      <c r="C25" s="67">
        <f>IF(OR(B25=0,B25=""),0,IFERROR(INDEX('A3'!$E$15:$E$10000,(MATCH(A25,'A3'!$A$15:$A$10000,0))),0)-IFERROR(INDEX('A3'!$D$15:$D$10000,(MATCH(B25,'A3'!$A$15:$A$10000,0))),0))</f>
        <v>0</v>
      </c>
      <c r="D25" s="77" t="str">
        <f>IF(C25&gt;0,IF(C25&lt;Parametros!$F$62,"D","TC"),"")</f>
        <v/>
      </c>
      <c r="E25" s="91"/>
    </row>
    <row r="26" spans="1:5" customFormat="1" x14ac:dyDescent="0.2">
      <c r="A26" s="86" t="str">
        <f>RedBasica!E26</f>
        <v>MS_A_1-012</v>
      </c>
      <c r="B26" s="90">
        <f>RedBasica!BA26</f>
        <v>0</v>
      </c>
      <c r="C26" s="67">
        <f>IF(OR(B26=0,B26=""),0,IFERROR(INDEX('A3'!$E$15:$E$10000,(MATCH(A26,'A3'!$A$15:$A$10000,0))),0)-IFERROR(INDEX('A3'!$D$15:$D$10000,(MATCH(B26,'A3'!$A$15:$A$10000,0))),0))</f>
        <v>0</v>
      </c>
      <c r="D26" s="77" t="str">
        <f>IF(C26&gt;0,IF(C26&lt;Parametros!$F$62,"D","TC"),"")</f>
        <v/>
      </c>
      <c r="E26" s="91"/>
    </row>
    <row r="27" spans="1:5" customFormat="1" x14ac:dyDescent="0.2">
      <c r="A27" s="86" t="str">
        <f>RedBasica!E27</f>
        <v>MS_A_2-001</v>
      </c>
      <c r="B27" s="90" t="str">
        <f>RedBasica!BA27</f>
        <v>MS_A_2-002</v>
      </c>
      <c r="C27" s="67">
        <f>IF(OR(B27=0,B27=""),0,IFERROR(INDEX('A3'!$E$15:$E$10000,(MATCH(A27,'A3'!$A$15:$A$10000,0))),0)-IFERROR(INDEX('A3'!$D$15:$D$10000,(MATCH(B27,'A3'!$A$15:$A$10000,0))),0))</f>
        <v>0</v>
      </c>
      <c r="D27" s="77" t="str">
        <f>IF(C27&gt;0,IF(C27&lt;Parametros!$F$62,"D","TC"),"")</f>
        <v/>
      </c>
      <c r="E27" s="91"/>
    </row>
    <row r="28" spans="1:5" customFormat="1" x14ac:dyDescent="0.2">
      <c r="A28" s="86" t="str">
        <f>RedBasica!E28</f>
        <v>MS_A_2-002</v>
      </c>
      <c r="B28" s="90" t="str">
        <f>RedBasica!BA28</f>
        <v>MS_A_2-003</v>
      </c>
      <c r="C28" s="67">
        <f>IF(OR(B28=0,B28=""),0,IFERROR(INDEX('A3'!$E$15:$E$10000,(MATCH(A28,'A3'!$A$15:$A$10000,0))),0)-IFERROR(INDEX('A3'!$D$15:$D$10000,(MATCH(B28,'A3'!$A$15:$A$10000,0))),0))</f>
        <v>0</v>
      </c>
      <c r="D28" s="77" t="str">
        <f>IF(C28&gt;0,IF(C28&lt;Parametros!$F$62,"D","TC"),"")</f>
        <v/>
      </c>
      <c r="E28" s="91"/>
    </row>
    <row r="29" spans="1:5" customFormat="1" x14ac:dyDescent="0.2">
      <c r="A29" s="86" t="str">
        <f>RedBasica!E29</f>
        <v>MS_A_2-003</v>
      </c>
      <c r="B29" s="90" t="str">
        <f>RedBasica!BA29</f>
        <v>MS_A_2-004</v>
      </c>
      <c r="C29" s="67">
        <f>IF(OR(B29=0,B29=""),0,IFERROR(INDEX('A3'!$E$15:$E$10000,(MATCH(A29,'A3'!$A$15:$A$10000,0))),0)-IFERROR(INDEX('A3'!$D$15:$D$10000,(MATCH(B29,'A3'!$A$15:$A$10000,0))),0))</f>
        <v>0</v>
      </c>
      <c r="D29" s="77" t="str">
        <f>IF(C29&gt;0,IF(C29&lt;Parametros!$F$62,"D","TC"),"")</f>
        <v/>
      </c>
      <c r="E29" s="91"/>
    </row>
    <row r="30" spans="1:5" customFormat="1" x14ac:dyDescent="0.2">
      <c r="A30" s="86" t="str">
        <f>RedBasica!E30</f>
        <v>MS_A_2-004</v>
      </c>
      <c r="B30" s="90" t="str">
        <f>RedBasica!BA30</f>
        <v>MS_A_2-005</v>
      </c>
      <c r="C30" s="67">
        <f>IF(OR(B30=0,B30=""),0,IFERROR(INDEX('A3'!$E$15:$E$10000,(MATCH(A30,'A3'!$A$15:$A$10000,0))),0)-IFERROR(INDEX('A3'!$D$15:$D$10000,(MATCH(B30,'A3'!$A$15:$A$10000,0))),0))</f>
        <v>0</v>
      </c>
      <c r="D30" s="77" t="str">
        <f>IF(C30&gt;0,IF(C30&lt;Parametros!$F$62,"D","TC"),"")</f>
        <v/>
      </c>
      <c r="E30" s="91"/>
    </row>
    <row r="31" spans="1:5" customFormat="1" x14ac:dyDescent="0.2">
      <c r="A31" s="86" t="str">
        <f>RedBasica!E31</f>
        <v>MS_A_2-005</v>
      </c>
      <c r="B31" s="90" t="str">
        <f>RedBasica!BA31</f>
        <v>MS_A_1-010</v>
      </c>
      <c r="C31" s="67">
        <f>IF(OR(B31=0,B31=""),0,IFERROR(INDEX('A3'!$E$15:$E$10000,(MATCH(A31,'A3'!$A$15:$A$10000,0))),0)-IFERROR(INDEX('A3'!$D$15:$D$10000,(MATCH(B31,'A3'!$A$15:$A$10000,0))),0))</f>
        <v>0</v>
      </c>
      <c r="D31" s="77" t="str">
        <f>IF(C31&gt;0,IF(C31&lt;Parametros!$F$62,"D","TC"),"")</f>
        <v/>
      </c>
      <c r="E31" s="91"/>
    </row>
    <row r="32" spans="1:5" customFormat="1" x14ac:dyDescent="0.2">
      <c r="A32" s="86" t="str">
        <f>RedBasica!E32</f>
        <v>MS_A_3-001</v>
      </c>
      <c r="B32" s="90" t="str">
        <f>RedBasica!BA32</f>
        <v>MS_A_3-002</v>
      </c>
      <c r="C32" s="67">
        <f>IF(OR(B32=0,B32=""),0,IFERROR(INDEX('A3'!$E$15:$E$10000,(MATCH(A32,'A3'!$A$15:$A$10000,0))),0)-IFERROR(INDEX('A3'!$D$15:$D$10000,(MATCH(B32,'A3'!$A$15:$A$10000,0))),0))</f>
        <v>0</v>
      </c>
      <c r="D32" s="77" t="str">
        <f>IF(C32&gt;0,IF(C32&lt;Parametros!$F$62,"D","TC"),"")</f>
        <v/>
      </c>
      <c r="E32" s="91"/>
    </row>
    <row r="33" spans="1:5" customFormat="1" x14ac:dyDescent="0.2">
      <c r="A33" s="86" t="str">
        <f>RedBasica!E33</f>
        <v>MS_A_3-002</v>
      </c>
      <c r="B33" s="90" t="str">
        <f>RedBasica!BA33</f>
        <v>MS_A_1-002</v>
      </c>
      <c r="C33" s="67">
        <f>IF(OR(B33=0,B33=""),0,IFERROR(INDEX('A3'!$E$15:$E$10000,(MATCH(A33,'A3'!$A$15:$A$10000,0))),0)-IFERROR(INDEX('A3'!$D$15:$D$10000,(MATCH(B33,'A3'!$A$15:$A$10000,0))),0))</f>
        <v>0</v>
      </c>
      <c r="D33" s="77" t="str">
        <f>IF(C33&gt;0,IF(C33&lt;Parametros!$F$62,"D","TC"),"")</f>
        <v/>
      </c>
      <c r="E33" s="91"/>
    </row>
    <row r="34" spans="1:5" customFormat="1" x14ac:dyDescent="0.2">
      <c r="A34" s="86" t="str">
        <f>RedBasica!E34</f>
        <v>MS_A_4-001</v>
      </c>
      <c r="B34" s="90" t="str">
        <f>RedBasica!BA34</f>
        <v>MS_A_4-002</v>
      </c>
      <c r="C34" s="67">
        <f>IF(OR(B34=0,B34=""),0,IFERROR(INDEX('A3'!$E$15:$E$10000,(MATCH(A34,'A3'!$A$15:$A$10000,0))),0)-IFERROR(INDEX('A3'!$D$15:$D$10000,(MATCH(B34,'A3'!$A$15:$A$10000,0))),0))</f>
        <v>0</v>
      </c>
      <c r="D34" s="77" t="str">
        <f>IF(C34&gt;0,IF(C34&lt;Parametros!$F$62,"D","TC"),"")</f>
        <v/>
      </c>
      <c r="E34" s="91"/>
    </row>
    <row r="35" spans="1:5" customFormat="1" x14ac:dyDescent="0.2">
      <c r="A35" s="86" t="str">
        <f>RedBasica!E35</f>
        <v>MS_A_4-002</v>
      </c>
      <c r="B35" s="90" t="str">
        <f>RedBasica!BA35</f>
        <v>MS_A_4-003</v>
      </c>
      <c r="C35" s="67">
        <f>IF(OR(B35=0,B35=""),0,IFERROR(INDEX('A3'!$E$15:$E$10000,(MATCH(A35,'A3'!$A$15:$A$10000,0))),0)-IFERROR(INDEX('A3'!$D$15:$D$10000,(MATCH(B35,'A3'!$A$15:$A$10000,0))),0))</f>
        <v>0</v>
      </c>
      <c r="D35" s="77" t="str">
        <f>IF(C35&gt;0,IF(C35&lt;Parametros!$F$62,"D","TC"),"")</f>
        <v/>
      </c>
      <c r="E35" s="91"/>
    </row>
    <row r="36" spans="1:5" customFormat="1" x14ac:dyDescent="0.2">
      <c r="A36" s="86" t="str">
        <f>RedBasica!E36</f>
        <v>MS_A_4-003</v>
      </c>
      <c r="B36" s="90" t="str">
        <f>RedBasica!BA36</f>
        <v>MS_A_4-004</v>
      </c>
      <c r="C36" s="67">
        <f>IF(OR(B36=0,B36=""),0,IFERROR(INDEX('A3'!$E$15:$E$10000,(MATCH(A36,'A3'!$A$15:$A$10000,0))),0)-IFERROR(INDEX('A3'!$D$15:$D$10000,(MATCH(B36,'A3'!$A$15:$A$10000,0))),0))</f>
        <v>0</v>
      </c>
      <c r="D36" s="77" t="str">
        <f>IF(C36&gt;0,IF(C36&lt;Parametros!$F$62,"D","TC"),"")</f>
        <v/>
      </c>
      <c r="E36" s="91"/>
    </row>
    <row r="37" spans="1:5" customFormat="1" x14ac:dyDescent="0.2">
      <c r="A37" s="86" t="str">
        <f>RedBasica!E37</f>
        <v>MS_A_4-004</v>
      </c>
      <c r="B37" s="90" t="str">
        <f>RedBasica!BA37</f>
        <v>MS_A_4-005</v>
      </c>
      <c r="C37" s="67">
        <f>IF(OR(B37=0,B37=""),0,IFERROR(INDEX('A3'!$E$15:$E$10000,(MATCH(A37,'A3'!$A$15:$A$10000,0))),0)-IFERROR(INDEX('A3'!$D$15:$D$10000,(MATCH(B37,'A3'!$A$15:$A$10000,0))),0))</f>
        <v>0</v>
      </c>
      <c r="D37" s="77" t="str">
        <f>IF(C37&gt;0,IF(C37&lt;Parametros!$F$62,"D","TC"),"")</f>
        <v/>
      </c>
      <c r="E37" s="91"/>
    </row>
    <row r="38" spans="1:5" customFormat="1" x14ac:dyDescent="0.2">
      <c r="A38" s="86" t="str">
        <f>RedBasica!E38</f>
        <v>MS_A_4-005</v>
      </c>
      <c r="B38" s="90" t="str">
        <f>RedBasica!BA38</f>
        <v>MS_A_4-006</v>
      </c>
      <c r="C38" s="67">
        <f>IF(OR(B38=0,B38=""),0,IFERROR(INDEX('A3'!$E$15:$E$10000,(MATCH(A38,'A3'!$A$15:$A$10000,0))),0)-IFERROR(INDEX('A3'!$D$15:$D$10000,(MATCH(B38,'A3'!$A$15:$A$10000,0))),0))</f>
        <v>0</v>
      </c>
      <c r="D38" s="77" t="str">
        <f>IF(C38&gt;0,IF(C38&lt;Parametros!$F$62,"D","TC"),"")</f>
        <v/>
      </c>
      <c r="E38" s="91"/>
    </row>
    <row r="39" spans="1:5" customFormat="1" x14ac:dyDescent="0.2">
      <c r="A39" s="86" t="str">
        <f>RedBasica!E39</f>
        <v>MS_A_4-006</v>
      </c>
      <c r="B39" s="90" t="str">
        <f>RedBasica!BA39</f>
        <v>MS_A_4-007</v>
      </c>
      <c r="C39" s="67">
        <f>IF(OR(B39=0,B39=""),0,IFERROR(INDEX('A3'!$E$15:$E$10000,(MATCH(A39,'A3'!$A$15:$A$10000,0))),0)-IFERROR(INDEX('A3'!$D$15:$D$10000,(MATCH(B39,'A3'!$A$15:$A$10000,0))),0))</f>
        <v>0.79536500000000387</v>
      </c>
      <c r="D39" s="77" t="str">
        <f>IF(C39&gt;0,IF(C39&lt;Parametros!$F$62,"D","TC"),"")</f>
        <v>TC</v>
      </c>
      <c r="E39" s="91"/>
    </row>
    <row r="40" spans="1:5" customFormat="1" x14ac:dyDescent="0.2">
      <c r="A40" s="86" t="str">
        <f>RedBasica!E40</f>
        <v>MS_A_4-007</v>
      </c>
      <c r="B40" s="90" t="str">
        <f>RedBasica!BA40</f>
        <v>MS_A_4-008</v>
      </c>
      <c r="C40" s="67">
        <f>IF(OR(B40=0,B40=""),0,IFERROR(INDEX('A3'!$E$15:$E$10000,(MATCH(A40,'A3'!$A$15:$A$10000,0))),0)-IFERROR(INDEX('A3'!$D$15:$D$10000,(MATCH(B40,'A3'!$A$15:$A$10000,0))),0))</f>
        <v>0</v>
      </c>
      <c r="D40" s="77" t="str">
        <f>IF(C40&gt;0,IF(C40&lt;Parametros!$F$62,"D","TC"),"")</f>
        <v/>
      </c>
      <c r="E40" s="91"/>
    </row>
    <row r="41" spans="1:5" customFormat="1" x14ac:dyDescent="0.2">
      <c r="A41" s="86" t="str">
        <f>RedBasica!E41</f>
        <v>MS_A_4-008</v>
      </c>
      <c r="B41" s="90" t="str">
        <f>RedBasica!BA41</f>
        <v>MS_A_1-012</v>
      </c>
      <c r="C41" s="67">
        <f>IF(OR(B41=0,B41=""),0,IFERROR(INDEX('A3'!$E$15:$E$10000,(MATCH(A41,'A3'!$A$15:$A$10000,0))),0)-IFERROR(INDEX('A3'!$D$15:$D$10000,(MATCH(B41,'A3'!$A$15:$A$10000,0))),0))</f>
        <v>0.83091999999999189</v>
      </c>
      <c r="D41" s="77" t="str">
        <f>IF(C41&gt;0,IF(C41&lt;Parametros!$F$62,"D","TC"),"")</f>
        <v>TC</v>
      </c>
      <c r="E41" s="91"/>
    </row>
    <row r="42" spans="1:5" customFormat="1" x14ac:dyDescent="0.2">
      <c r="A42" s="86" t="str">
        <f>RedBasica!E42</f>
        <v>MS_A_5-001</v>
      </c>
      <c r="B42" s="90" t="str">
        <f>RedBasica!BA42</f>
        <v>MS_A_5-002</v>
      </c>
      <c r="C42" s="67">
        <f>IF(OR(B42=0,B42=""),0,IFERROR(INDEX('A3'!$E$15:$E$10000,(MATCH(A42,'A3'!$A$15:$A$10000,0))),0)-IFERROR(INDEX('A3'!$D$15:$D$10000,(MATCH(B42,'A3'!$A$15:$A$10000,0))),0))</f>
        <v>0</v>
      </c>
      <c r="D42" s="77" t="str">
        <f>IF(C42&gt;0,IF(C42&lt;Parametros!$F$62,"D","TC"),"")</f>
        <v/>
      </c>
      <c r="E42" s="91"/>
    </row>
    <row r="43" spans="1:5" customFormat="1" x14ac:dyDescent="0.2">
      <c r="A43" s="86" t="str">
        <f>RedBasica!E43</f>
        <v>MS_A_5-002</v>
      </c>
      <c r="B43" s="90" t="str">
        <f>RedBasica!BA43</f>
        <v>MS_A_5-003</v>
      </c>
      <c r="C43" s="67">
        <f>IF(OR(B43=0,B43=""),0,IFERROR(INDEX('A3'!$E$15:$E$10000,(MATCH(A43,'A3'!$A$15:$A$10000,0))),0)-IFERROR(INDEX('A3'!$D$15:$D$10000,(MATCH(B43,'A3'!$A$15:$A$10000,0))),0))</f>
        <v>0</v>
      </c>
      <c r="D43" s="77" t="str">
        <f>IF(C43&gt;0,IF(C43&lt;Parametros!$F$62,"D","TC"),"")</f>
        <v/>
      </c>
      <c r="E43" s="91"/>
    </row>
    <row r="44" spans="1:5" customFormat="1" x14ac:dyDescent="0.2">
      <c r="A44" s="86" t="str">
        <f>RedBasica!E44</f>
        <v>MS_A_5-003</v>
      </c>
      <c r="B44" s="90" t="str">
        <f>RedBasica!BA44</f>
        <v>MS_A_1-007</v>
      </c>
      <c r="C44" s="67">
        <f>IF(OR(B44=0,B44=""),0,IFERROR(INDEX('A3'!$E$15:$E$10000,(MATCH(A44,'A3'!$A$15:$A$10000,0))),0)-IFERROR(INDEX('A3'!$D$15:$D$10000,(MATCH(B44,'A3'!$A$15:$A$10000,0))),0))</f>
        <v>0</v>
      </c>
      <c r="D44" s="77" t="str">
        <f>IF(C44&gt;0,IF(C44&lt;Parametros!$F$62,"D","TC"),"")</f>
        <v/>
      </c>
      <c r="E44" s="91"/>
    </row>
    <row r="45" spans="1:5" customFormat="1" x14ac:dyDescent="0.2">
      <c r="A45" s="86" t="str">
        <f>RedBasica!E45</f>
        <v>MS_A_6-001</v>
      </c>
      <c r="B45" s="90" t="str">
        <f>RedBasica!BA45</f>
        <v>MS_A_6-002</v>
      </c>
      <c r="C45" s="67">
        <f>IF(OR(B45=0,B45=""),0,IFERROR(INDEX('A3'!$E$15:$E$10000,(MATCH(A45,'A3'!$A$15:$A$10000,0))),0)-IFERROR(INDEX('A3'!$D$15:$D$10000,(MATCH(B45,'A3'!$A$15:$A$10000,0))),0))</f>
        <v>0</v>
      </c>
      <c r="D45" s="77" t="str">
        <f>IF(C45&gt;0,IF(C45&lt;Parametros!$F$62,"D","TC"),"")</f>
        <v/>
      </c>
      <c r="E45" s="91"/>
    </row>
    <row r="46" spans="1:5" customFormat="1" x14ac:dyDescent="0.2">
      <c r="A46" s="86" t="str">
        <f>RedBasica!E46</f>
        <v>MS_A_6-002</v>
      </c>
      <c r="B46" s="90" t="str">
        <f>RedBasica!BA46</f>
        <v>MS_A_6-003</v>
      </c>
      <c r="C46" s="67">
        <f>IF(OR(B46=0,B46=""),0,IFERROR(INDEX('A3'!$E$15:$E$10000,(MATCH(A46,'A3'!$A$15:$A$10000,0))),0)-IFERROR(INDEX('A3'!$D$15:$D$10000,(MATCH(B46,'A3'!$A$15:$A$10000,0))),0))</f>
        <v>0</v>
      </c>
      <c r="D46" s="77" t="str">
        <f>IF(C46&gt;0,IF(C46&lt;Parametros!$F$62,"D","TC"),"")</f>
        <v/>
      </c>
      <c r="E46" s="91"/>
    </row>
    <row r="47" spans="1:5" customFormat="1" x14ac:dyDescent="0.2">
      <c r="A47" s="86" t="str">
        <f>RedBasica!E47</f>
        <v>MS_A_6-003</v>
      </c>
      <c r="B47" s="90" t="str">
        <f>RedBasica!BA47</f>
        <v>MS_A_6-004</v>
      </c>
      <c r="C47" s="67">
        <f>IF(OR(B47=0,B47=""),0,IFERROR(INDEX('A3'!$E$15:$E$10000,(MATCH(A47,'A3'!$A$15:$A$10000,0))),0)-IFERROR(INDEX('A3'!$D$15:$D$10000,(MATCH(B47,'A3'!$A$15:$A$10000,0))),0))</f>
        <v>0</v>
      </c>
      <c r="D47" s="77" t="str">
        <f>IF(C47&gt;0,IF(C47&lt;Parametros!$F$62,"D","TC"),"")</f>
        <v/>
      </c>
      <c r="E47" s="91"/>
    </row>
    <row r="48" spans="1:5" customFormat="1" x14ac:dyDescent="0.2">
      <c r="A48" s="86" t="str">
        <f>RedBasica!E48</f>
        <v>MS_A_6-004</v>
      </c>
      <c r="B48" s="90" t="str">
        <f>RedBasica!BA48</f>
        <v>MS_A_6-005</v>
      </c>
      <c r="C48" s="67">
        <f>IF(OR(B48=0,B48=""),0,IFERROR(INDEX('A3'!$E$15:$E$10000,(MATCH(A48,'A3'!$A$15:$A$10000,0))),0)-IFERROR(INDEX('A3'!$D$15:$D$10000,(MATCH(B48,'A3'!$A$15:$A$10000,0))),0))</f>
        <v>0</v>
      </c>
      <c r="D48" s="77" t="str">
        <f>IF(C48&gt;0,IF(C48&lt;Parametros!$F$62,"D","TC"),"")</f>
        <v/>
      </c>
      <c r="E48" s="91"/>
    </row>
    <row r="49" spans="1:5" customFormat="1" x14ac:dyDescent="0.2">
      <c r="A49" s="86" t="str">
        <f>RedBasica!E49</f>
        <v>MS_A_6-005</v>
      </c>
      <c r="B49" s="90" t="str">
        <f>RedBasica!BA49</f>
        <v>MS_A_4-007</v>
      </c>
      <c r="C49" s="67">
        <f>IF(OR(B49=0,B49=""),0,IFERROR(INDEX('A3'!$E$15:$E$10000,(MATCH(A49,'A3'!$A$15:$A$10000,0))),0)-IFERROR(INDEX('A3'!$D$15:$D$10000,(MATCH(B49,'A3'!$A$15:$A$10000,0))),0))</f>
        <v>0</v>
      </c>
      <c r="D49" s="77" t="str">
        <f>IF(C49&gt;0,IF(C49&lt;Parametros!$F$62,"D","TC"),"")</f>
        <v/>
      </c>
      <c r="E49" s="91"/>
    </row>
    <row r="50" spans="1:5" customFormat="1" x14ac:dyDescent="0.2">
      <c r="A50" s="86" t="str">
        <f>RedBasica!E50</f>
        <v>MS_A_7-001</v>
      </c>
      <c r="B50" s="90" t="str">
        <f>RedBasica!BA50</f>
        <v>MS_A_1-008</v>
      </c>
      <c r="C50" s="67">
        <f>IF(OR(B50=0,B50=""),0,IFERROR(INDEX('A3'!$E$15:$E$10000,(MATCH(A50,'A3'!$A$15:$A$10000,0))),0)-IFERROR(INDEX('A3'!$D$15:$D$10000,(MATCH(B50,'A3'!$A$15:$A$10000,0))),0))</f>
        <v>0</v>
      </c>
      <c r="D50" s="77" t="str">
        <f>IF(C50&gt;0,IF(C50&lt;Parametros!$F$62,"D","TC"),"")</f>
        <v/>
      </c>
      <c r="E50" s="91"/>
    </row>
    <row r="51" spans="1:5" customFormat="1" x14ac:dyDescent="0.2"/>
    <row r="52" spans="1:5" customFormat="1" x14ac:dyDescent="0.2"/>
    <row r="53" spans="1:5" customFormat="1" x14ac:dyDescent="0.2"/>
    <row r="54" spans="1:5" customFormat="1" x14ac:dyDescent="0.2"/>
    <row r="55" spans="1:5" customFormat="1" x14ac:dyDescent="0.2"/>
    <row r="56" spans="1:5" customFormat="1" x14ac:dyDescent="0.2"/>
    <row r="57" spans="1:5" customFormat="1" x14ac:dyDescent="0.2"/>
    <row r="58" spans="1:5" customFormat="1" x14ac:dyDescent="0.2"/>
    <row r="59" spans="1:5" customFormat="1" x14ac:dyDescent="0.2"/>
    <row r="60" spans="1:5" customFormat="1" x14ac:dyDescent="0.2"/>
    <row r="61" spans="1:5" customFormat="1" x14ac:dyDescent="0.2"/>
    <row r="62" spans="1:5" customFormat="1" x14ac:dyDescent="0.2"/>
    <row r="63" spans="1:5" customFormat="1" x14ac:dyDescent="0.2"/>
    <row r="64" spans="1:5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  <row r="101" customFormat="1" x14ac:dyDescent="0.2"/>
    <row r="102" customFormat="1" x14ac:dyDescent="0.2"/>
    <row r="103" customFormat="1" x14ac:dyDescent="0.2"/>
    <row r="104" customFormat="1" x14ac:dyDescent="0.2"/>
    <row r="105" customFormat="1" x14ac:dyDescent="0.2"/>
    <row r="106" customFormat="1" x14ac:dyDescent="0.2"/>
    <row r="107" customFormat="1" x14ac:dyDescent="0.2"/>
    <row r="108" customFormat="1" x14ac:dyDescent="0.2"/>
    <row r="109" customFormat="1" x14ac:dyDescent="0.2"/>
    <row r="110" customFormat="1" x14ac:dyDescent="0.2"/>
    <row r="111" customFormat="1" x14ac:dyDescent="0.2"/>
    <row r="112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  <row r="119" customFormat="1" x14ac:dyDescent="0.2"/>
    <row r="120" customFormat="1" x14ac:dyDescent="0.2"/>
    <row r="121" customFormat="1" x14ac:dyDescent="0.2"/>
    <row r="122" customFormat="1" x14ac:dyDescent="0.2"/>
    <row r="123" customFormat="1" x14ac:dyDescent="0.2"/>
    <row r="124" customFormat="1" x14ac:dyDescent="0.2"/>
    <row r="125" customFormat="1" x14ac:dyDescent="0.2"/>
    <row r="126" customFormat="1" x14ac:dyDescent="0.2"/>
    <row r="127" customFormat="1" x14ac:dyDescent="0.2"/>
    <row r="128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  <row r="2796" customFormat="1" x14ac:dyDescent="0.2"/>
    <row r="2797" customFormat="1" x14ac:dyDescent="0.2"/>
    <row r="2798" customFormat="1" x14ac:dyDescent="0.2"/>
    <row r="2799" customFormat="1" x14ac:dyDescent="0.2"/>
    <row r="2800" customFormat="1" x14ac:dyDescent="0.2"/>
    <row r="2801" customFormat="1" x14ac:dyDescent="0.2"/>
    <row r="2802" customFormat="1" x14ac:dyDescent="0.2"/>
    <row r="2803" customFormat="1" x14ac:dyDescent="0.2"/>
    <row r="2804" customFormat="1" x14ac:dyDescent="0.2"/>
    <row r="2805" customFormat="1" x14ac:dyDescent="0.2"/>
    <row r="2806" customFormat="1" x14ac:dyDescent="0.2"/>
    <row r="2807" customFormat="1" x14ac:dyDescent="0.2"/>
    <row r="2808" customFormat="1" x14ac:dyDescent="0.2"/>
    <row r="2809" customFormat="1" x14ac:dyDescent="0.2"/>
    <row r="2810" customFormat="1" x14ac:dyDescent="0.2"/>
    <row r="2811" customFormat="1" x14ac:dyDescent="0.2"/>
    <row r="2812" customFormat="1" x14ac:dyDescent="0.2"/>
    <row r="2813" customFormat="1" x14ac:dyDescent="0.2"/>
    <row r="2814" customFormat="1" x14ac:dyDescent="0.2"/>
    <row r="2815" customFormat="1" x14ac:dyDescent="0.2"/>
    <row r="2816" customFormat="1" x14ac:dyDescent="0.2"/>
    <row r="2817" customFormat="1" x14ac:dyDescent="0.2"/>
    <row r="2818" customFormat="1" x14ac:dyDescent="0.2"/>
    <row r="2819" customFormat="1" x14ac:dyDescent="0.2"/>
    <row r="2820" customFormat="1" x14ac:dyDescent="0.2"/>
    <row r="2821" customFormat="1" x14ac:dyDescent="0.2"/>
    <row r="2822" customFormat="1" x14ac:dyDescent="0.2"/>
    <row r="2823" customFormat="1" x14ac:dyDescent="0.2"/>
    <row r="2824" customFormat="1" x14ac:dyDescent="0.2"/>
    <row r="2825" customFormat="1" x14ac:dyDescent="0.2"/>
    <row r="2826" customFormat="1" x14ac:dyDescent="0.2"/>
    <row r="2827" customFormat="1" x14ac:dyDescent="0.2"/>
    <row r="2828" customFormat="1" x14ac:dyDescent="0.2"/>
    <row r="2829" customFormat="1" x14ac:dyDescent="0.2"/>
    <row r="2830" customFormat="1" x14ac:dyDescent="0.2"/>
    <row r="2831" customFormat="1" x14ac:dyDescent="0.2"/>
    <row r="2832" customFormat="1" x14ac:dyDescent="0.2"/>
    <row r="2833" customFormat="1" x14ac:dyDescent="0.2"/>
    <row r="2834" customFormat="1" x14ac:dyDescent="0.2"/>
    <row r="2835" customFormat="1" x14ac:dyDescent="0.2"/>
    <row r="2836" customFormat="1" x14ac:dyDescent="0.2"/>
    <row r="2837" customFormat="1" x14ac:dyDescent="0.2"/>
    <row r="2838" customFormat="1" x14ac:dyDescent="0.2"/>
    <row r="2839" customFormat="1" x14ac:dyDescent="0.2"/>
    <row r="2840" customFormat="1" x14ac:dyDescent="0.2"/>
    <row r="2841" customFormat="1" x14ac:dyDescent="0.2"/>
    <row r="2842" customFormat="1" x14ac:dyDescent="0.2"/>
    <row r="2843" customFormat="1" x14ac:dyDescent="0.2"/>
    <row r="2844" customFormat="1" x14ac:dyDescent="0.2"/>
    <row r="2845" customFormat="1" x14ac:dyDescent="0.2"/>
    <row r="2846" customFormat="1" x14ac:dyDescent="0.2"/>
    <row r="2847" customFormat="1" x14ac:dyDescent="0.2"/>
    <row r="2848" customFormat="1" x14ac:dyDescent="0.2"/>
    <row r="2849" customFormat="1" x14ac:dyDescent="0.2"/>
    <row r="2850" customFormat="1" x14ac:dyDescent="0.2"/>
    <row r="2851" customFormat="1" x14ac:dyDescent="0.2"/>
    <row r="2852" customFormat="1" x14ac:dyDescent="0.2"/>
    <row r="2853" customFormat="1" x14ac:dyDescent="0.2"/>
    <row r="2854" customFormat="1" x14ac:dyDescent="0.2"/>
    <row r="2855" customFormat="1" x14ac:dyDescent="0.2"/>
    <row r="2856" customFormat="1" x14ac:dyDescent="0.2"/>
    <row r="2857" customFormat="1" x14ac:dyDescent="0.2"/>
    <row r="2858" customFormat="1" x14ac:dyDescent="0.2"/>
    <row r="2859" customFormat="1" x14ac:dyDescent="0.2"/>
    <row r="2860" customFormat="1" x14ac:dyDescent="0.2"/>
    <row r="2861" customFormat="1" x14ac:dyDescent="0.2"/>
    <row r="2862" customFormat="1" x14ac:dyDescent="0.2"/>
    <row r="2863" customFormat="1" x14ac:dyDescent="0.2"/>
    <row r="2864" customFormat="1" x14ac:dyDescent="0.2"/>
    <row r="2865" customFormat="1" x14ac:dyDescent="0.2"/>
    <row r="2866" customFormat="1" x14ac:dyDescent="0.2"/>
    <row r="2867" customFormat="1" x14ac:dyDescent="0.2"/>
    <row r="2868" customFormat="1" x14ac:dyDescent="0.2"/>
    <row r="2869" customFormat="1" x14ac:dyDescent="0.2"/>
    <row r="2870" customFormat="1" x14ac:dyDescent="0.2"/>
    <row r="2871" customFormat="1" x14ac:dyDescent="0.2"/>
    <row r="2872" customFormat="1" x14ac:dyDescent="0.2"/>
    <row r="2873" customFormat="1" x14ac:dyDescent="0.2"/>
    <row r="2874" customFormat="1" x14ac:dyDescent="0.2"/>
    <row r="2875" customFormat="1" x14ac:dyDescent="0.2"/>
    <row r="2876" customFormat="1" x14ac:dyDescent="0.2"/>
    <row r="2877" customFormat="1" x14ac:dyDescent="0.2"/>
    <row r="2878" customFormat="1" x14ac:dyDescent="0.2"/>
    <row r="2879" customFormat="1" x14ac:dyDescent="0.2"/>
    <row r="2880" customFormat="1" x14ac:dyDescent="0.2"/>
    <row r="2881" customFormat="1" x14ac:dyDescent="0.2"/>
    <row r="2882" customFormat="1" x14ac:dyDescent="0.2"/>
    <row r="2883" customFormat="1" x14ac:dyDescent="0.2"/>
    <row r="2884" customFormat="1" x14ac:dyDescent="0.2"/>
    <row r="2885" customFormat="1" x14ac:dyDescent="0.2"/>
    <row r="2886" customFormat="1" x14ac:dyDescent="0.2"/>
    <row r="2887" customFormat="1" x14ac:dyDescent="0.2"/>
    <row r="2888" customFormat="1" x14ac:dyDescent="0.2"/>
    <row r="2889" customFormat="1" x14ac:dyDescent="0.2"/>
    <row r="2890" customFormat="1" x14ac:dyDescent="0.2"/>
    <row r="2891" customFormat="1" x14ac:dyDescent="0.2"/>
    <row r="2892" customFormat="1" x14ac:dyDescent="0.2"/>
    <row r="2893" customFormat="1" x14ac:dyDescent="0.2"/>
    <row r="2894" customFormat="1" x14ac:dyDescent="0.2"/>
    <row r="2895" customFormat="1" x14ac:dyDescent="0.2"/>
    <row r="2896" customFormat="1" x14ac:dyDescent="0.2"/>
    <row r="2897" customFormat="1" x14ac:dyDescent="0.2"/>
    <row r="2898" customFormat="1" x14ac:dyDescent="0.2"/>
    <row r="2899" customFormat="1" x14ac:dyDescent="0.2"/>
    <row r="2900" customFormat="1" x14ac:dyDescent="0.2"/>
    <row r="2901" customFormat="1" x14ac:dyDescent="0.2"/>
    <row r="2902" customFormat="1" x14ac:dyDescent="0.2"/>
    <row r="2903" customFormat="1" x14ac:dyDescent="0.2"/>
    <row r="2904" customFormat="1" x14ac:dyDescent="0.2"/>
    <row r="2905" customFormat="1" x14ac:dyDescent="0.2"/>
    <row r="2906" customFormat="1" x14ac:dyDescent="0.2"/>
    <row r="2907" customFormat="1" x14ac:dyDescent="0.2"/>
    <row r="2908" customFormat="1" x14ac:dyDescent="0.2"/>
    <row r="2909" customFormat="1" x14ac:dyDescent="0.2"/>
    <row r="2910" customFormat="1" x14ac:dyDescent="0.2"/>
    <row r="2911" customFormat="1" x14ac:dyDescent="0.2"/>
    <row r="2912" customFormat="1" x14ac:dyDescent="0.2"/>
    <row r="2913" customFormat="1" x14ac:dyDescent="0.2"/>
    <row r="2914" customFormat="1" x14ac:dyDescent="0.2"/>
    <row r="2915" customFormat="1" x14ac:dyDescent="0.2"/>
    <row r="2916" customFormat="1" x14ac:dyDescent="0.2"/>
    <row r="2917" customFormat="1" x14ac:dyDescent="0.2"/>
    <row r="2918" customFormat="1" x14ac:dyDescent="0.2"/>
    <row r="2919" customFormat="1" x14ac:dyDescent="0.2"/>
    <row r="2920" customFormat="1" x14ac:dyDescent="0.2"/>
    <row r="2921" customFormat="1" x14ac:dyDescent="0.2"/>
    <row r="2922" customFormat="1" x14ac:dyDescent="0.2"/>
    <row r="2923" customFormat="1" x14ac:dyDescent="0.2"/>
    <row r="2924" customFormat="1" x14ac:dyDescent="0.2"/>
    <row r="2925" customFormat="1" x14ac:dyDescent="0.2"/>
    <row r="2926" customFormat="1" x14ac:dyDescent="0.2"/>
    <row r="2927" customFormat="1" x14ac:dyDescent="0.2"/>
    <row r="2928" customFormat="1" x14ac:dyDescent="0.2"/>
    <row r="2929" customFormat="1" x14ac:dyDescent="0.2"/>
    <row r="2930" customFormat="1" x14ac:dyDescent="0.2"/>
    <row r="2931" customFormat="1" x14ac:dyDescent="0.2"/>
    <row r="2932" customFormat="1" x14ac:dyDescent="0.2"/>
    <row r="2933" customFormat="1" x14ac:dyDescent="0.2"/>
    <row r="2934" customFormat="1" x14ac:dyDescent="0.2"/>
    <row r="2935" customFormat="1" x14ac:dyDescent="0.2"/>
    <row r="2936" customFormat="1" x14ac:dyDescent="0.2"/>
    <row r="2937" customFormat="1" x14ac:dyDescent="0.2"/>
    <row r="2938" customFormat="1" x14ac:dyDescent="0.2"/>
    <row r="2939" customFormat="1" x14ac:dyDescent="0.2"/>
    <row r="2940" customFormat="1" x14ac:dyDescent="0.2"/>
    <row r="2941" customFormat="1" x14ac:dyDescent="0.2"/>
    <row r="2942" customFormat="1" x14ac:dyDescent="0.2"/>
    <row r="2943" customFormat="1" x14ac:dyDescent="0.2"/>
    <row r="2944" customFormat="1" x14ac:dyDescent="0.2"/>
    <row r="2945" customFormat="1" x14ac:dyDescent="0.2"/>
    <row r="2946" customFormat="1" x14ac:dyDescent="0.2"/>
    <row r="2947" customFormat="1" x14ac:dyDescent="0.2"/>
    <row r="2948" customFormat="1" x14ac:dyDescent="0.2"/>
    <row r="2949" customFormat="1" x14ac:dyDescent="0.2"/>
    <row r="2950" customFormat="1" x14ac:dyDescent="0.2"/>
    <row r="2951" customFormat="1" x14ac:dyDescent="0.2"/>
    <row r="2952" customFormat="1" x14ac:dyDescent="0.2"/>
    <row r="2953" customFormat="1" x14ac:dyDescent="0.2"/>
    <row r="2954" customFormat="1" x14ac:dyDescent="0.2"/>
    <row r="2955" customFormat="1" x14ac:dyDescent="0.2"/>
    <row r="2956" customFormat="1" x14ac:dyDescent="0.2"/>
    <row r="2957" customFormat="1" x14ac:dyDescent="0.2"/>
    <row r="2958" customFormat="1" x14ac:dyDescent="0.2"/>
    <row r="2959" customFormat="1" x14ac:dyDescent="0.2"/>
    <row r="2960" customFormat="1" x14ac:dyDescent="0.2"/>
    <row r="2961" customFormat="1" x14ac:dyDescent="0.2"/>
    <row r="2962" customFormat="1" x14ac:dyDescent="0.2"/>
    <row r="2963" customFormat="1" x14ac:dyDescent="0.2"/>
    <row r="2964" customFormat="1" x14ac:dyDescent="0.2"/>
    <row r="2965" customFormat="1" x14ac:dyDescent="0.2"/>
    <row r="2966" customFormat="1" x14ac:dyDescent="0.2"/>
    <row r="2967" customFormat="1" x14ac:dyDescent="0.2"/>
    <row r="2968" customFormat="1" x14ac:dyDescent="0.2"/>
    <row r="2969" customFormat="1" x14ac:dyDescent="0.2"/>
    <row r="2970" customFormat="1" x14ac:dyDescent="0.2"/>
    <row r="2971" customFormat="1" x14ac:dyDescent="0.2"/>
    <row r="2972" customFormat="1" x14ac:dyDescent="0.2"/>
    <row r="2973" customFormat="1" x14ac:dyDescent="0.2"/>
    <row r="2974" customFormat="1" x14ac:dyDescent="0.2"/>
    <row r="2975" customFormat="1" x14ac:dyDescent="0.2"/>
    <row r="2976" customFormat="1" x14ac:dyDescent="0.2"/>
    <row r="2977" customFormat="1" x14ac:dyDescent="0.2"/>
    <row r="2978" customFormat="1" x14ac:dyDescent="0.2"/>
    <row r="2979" customFormat="1" x14ac:dyDescent="0.2"/>
    <row r="2980" customFormat="1" x14ac:dyDescent="0.2"/>
    <row r="2981" customFormat="1" x14ac:dyDescent="0.2"/>
    <row r="2982" customFormat="1" x14ac:dyDescent="0.2"/>
    <row r="2983" customFormat="1" x14ac:dyDescent="0.2"/>
    <row r="2984" customFormat="1" x14ac:dyDescent="0.2"/>
    <row r="2985" customFormat="1" x14ac:dyDescent="0.2"/>
    <row r="2986" customFormat="1" x14ac:dyDescent="0.2"/>
    <row r="2987" customFormat="1" x14ac:dyDescent="0.2"/>
    <row r="2988" customFormat="1" x14ac:dyDescent="0.2"/>
    <row r="2989" customFormat="1" x14ac:dyDescent="0.2"/>
    <row r="2990" customFormat="1" x14ac:dyDescent="0.2"/>
    <row r="2991" customFormat="1" x14ac:dyDescent="0.2"/>
    <row r="2992" customFormat="1" x14ac:dyDescent="0.2"/>
    <row r="2993" customFormat="1" x14ac:dyDescent="0.2"/>
    <row r="2994" customFormat="1" x14ac:dyDescent="0.2"/>
    <row r="2995" customFormat="1" x14ac:dyDescent="0.2"/>
    <row r="2996" customFormat="1" x14ac:dyDescent="0.2"/>
    <row r="2997" customFormat="1" x14ac:dyDescent="0.2"/>
    <row r="2998" customFormat="1" x14ac:dyDescent="0.2"/>
    <row r="2999" customFormat="1" x14ac:dyDescent="0.2"/>
    <row r="3000" customFormat="1" x14ac:dyDescent="0.2"/>
    <row r="3001" customFormat="1" x14ac:dyDescent="0.2"/>
    <row r="3002" customFormat="1" x14ac:dyDescent="0.2"/>
    <row r="3003" customFormat="1" x14ac:dyDescent="0.2"/>
    <row r="3004" customFormat="1" x14ac:dyDescent="0.2"/>
    <row r="3005" customFormat="1" x14ac:dyDescent="0.2"/>
    <row r="3006" customFormat="1" x14ac:dyDescent="0.2"/>
    <row r="3007" customFormat="1" x14ac:dyDescent="0.2"/>
    <row r="3008" customFormat="1" x14ac:dyDescent="0.2"/>
    <row r="3009" customFormat="1" x14ac:dyDescent="0.2"/>
    <row r="3010" customFormat="1" x14ac:dyDescent="0.2"/>
    <row r="3011" customFormat="1" x14ac:dyDescent="0.2"/>
    <row r="3012" customFormat="1" x14ac:dyDescent="0.2"/>
    <row r="3013" customFormat="1" x14ac:dyDescent="0.2"/>
    <row r="3014" customFormat="1" x14ac:dyDescent="0.2"/>
    <row r="3015" customFormat="1" x14ac:dyDescent="0.2"/>
    <row r="3016" customFormat="1" x14ac:dyDescent="0.2"/>
    <row r="3017" customFormat="1" x14ac:dyDescent="0.2"/>
    <row r="3018" customFormat="1" x14ac:dyDescent="0.2"/>
    <row r="3019" customFormat="1" x14ac:dyDescent="0.2"/>
    <row r="3020" customFormat="1" x14ac:dyDescent="0.2"/>
    <row r="3021" customFormat="1" x14ac:dyDescent="0.2"/>
    <row r="3022" customFormat="1" x14ac:dyDescent="0.2"/>
    <row r="3023" customFormat="1" x14ac:dyDescent="0.2"/>
    <row r="3024" customFormat="1" x14ac:dyDescent="0.2"/>
    <row r="3025" customFormat="1" x14ac:dyDescent="0.2"/>
    <row r="3026" customFormat="1" x14ac:dyDescent="0.2"/>
    <row r="3027" customFormat="1" x14ac:dyDescent="0.2"/>
    <row r="3028" customFormat="1" x14ac:dyDescent="0.2"/>
    <row r="3029" customFormat="1" x14ac:dyDescent="0.2"/>
    <row r="3030" customFormat="1" x14ac:dyDescent="0.2"/>
    <row r="3031" customFormat="1" x14ac:dyDescent="0.2"/>
    <row r="3032" customFormat="1" x14ac:dyDescent="0.2"/>
    <row r="3033" customFormat="1" x14ac:dyDescent="0.2"/>
    <row r="3034" customFormat="1" x14ac:dyDescent="0.2"/>
    <row r="3035" customFormat="1" x14ac:dyDescent="0.2"/>
    <row r="3036" customFormat="1" x14ac:dyDescent="0.2"/>
    <row r="3037" customFormat="1" x14ac:dyDescent="0.2"/>
    <row r="3038" customFormat="1" x14ac:dyDescent="0.2"/>
    <row r="3039" customFormat="1" x14ac:dyDescent="0.2"/>
    <row r="3040" customFormat="1" x14ac:dyDescent="0.2"/>
    <row r="3041" customFormat="1" x14ac:dyDescent="0.2"/>
    <row r="3042" customFormat="1" x14ac:dyDescent="0.2"/>
    <row r="3043" customFormat="1" x14ac:dyDescent="0.2"/>
    <row r="3044" customFormat="1" x14ac:dyDescent="0.2"/>
    <row r="3045" customFormat="1" x14ac:dyDescent="0.2"/>
    <row r="3046" customFormat="1" x14ac:dyDescent="0.2"/>
    <row r="3047" customFormat="1" x14ac:dyDescent="0.2"/>
    <row r="3048" customFormat="1" x14ac:dyDescent="0.2"/>
    <row r="3049" customFormat="1" x14ac:dyDescent="0.2"/>
    <row r="3050" customFormat="1" x14ac:dyDescent="0.2"/>
    <row r="3051" customFormat="1" x14ac:dyDescent="0.2"/>
    <row r="3052" customFormat="1" x14ac:dyDescent="0.2"/>
    <row r="3053" customFormat="1" x14ac:dyDescent="0.2"/>
    <row r="3054" customFormat="1" x14ac:dyDescent="0.2"/>
    <row r="3055" customFormat="1" x14ac:dyDescent="0.2"/>
    <row r="3056" customFormat="1" x14ac:dyDescent="0.2"/>
    <row r="3057" customFormat="1" x14ac:dyDescent="0.2"/>
    <row r="3058" customFormat="1" x14ac:dyDescent="0.2"/>
    <row r="3059" customFormat="1" x14ac:dyDescent="0.2"/>
    <row r="3060" customFormat="1" x14ac:dyDescent="0.2"/>
    <row r="3061" customFormat="1" x14ac:dyDescent="0.2"/>
    <row r="3062" customFormat="1" x14ac:dyDescent="0.2"/>
    <row r="3063" customFormat="1" x14ac:dyDescent="0.2"/>
    <row r="3064" customFormat="1" x14ac:dyDescent="0.2"/>
    <row r="3065" customFormat="1" x14ac:dyDescent="0.2"/>
    <row r="3066" customFormat="1" x14ac:dyDescent="0.2"/>
    <row r="3067" customFormat="1" x14ac:dyDescent="0.2"/>
    <row r="3068" customFormat="1" x14ac:dyDescent="0.2"/>
    <row r="3069" customFormat="1" x14ac:dyDescent="0.2"/>
    <row r="3070" customFormat="1" x14ac:dyDescent="0.2"/>
    <row r="3071" customFormat="1" x14ac:dyDescent="0.2"/>
    <row r="3072" customFormat="1" x14ac:dyDescent="0.2"/>
    <row r="3073" customFormat="1" x14ac:dyDescent="0.2"/>
    <row r="3074" customFormat="1" x14ac:dyDescent="0.2"/>
    <row r="3075" customFormat="1" x14ac:dyDescent="0.2"/>
    <row r="3076" customFormat="1" x14ac:dyDescent="0.2"/>
    <row r="3077" customFormat="1" x14ac:dyDescent="0.2"/>
    <row r="3078" customFormat="1" x14ac:dyDescent="0.2"/>
    <row r="3079" customFormat="1" x14ac:dyDescent="0.2"/>
    <row r="3080" customFormat="1" x14ac:dyDescent="0.2"/>
    <row r="3081" customFormat="1" x14ac:dyDescent="0.2"/>
    <row r="3082" customFormat="1" x14ac:dyDescent="0.2"/>
    <row r="3083" customFormat="1" x14ac:dyDescent="0.2"/>
    <row r="3084" customFormat="1" x14ac:dyDescent="0.2"/>
    <row r="3085" customFormat="1" x14ac:dyDescent="0.2"/>
    <row r="3086" customFormat="1" x14ac:dyDescent="0.2"/>
    <row r="3087" customFormat="1" x14ac:dyDescent="0.2"/>
    <row r="3088" customFormat="1" x14ac:dyDescent="0.2"/>
    <row r="3089" customFormat="1" x14ac:dyDescent="0.2"/>
    <row r="3090" customFormat="1" x14ac:dyDescent="0.2"/>
    <row r="3091" customFormat="1" x14ac:dyDescent="0.2"/>
    <row r="3092" customFormat="1" x14ac:dyDescent="0.2"/>
    <row r="3093" customFormat="1" x14ac:dyDescent="0.2"/>
    <row r="3094" customFormat="1" x14ac:dyDescent="0.2"/>
    <row r="3095" customFormat="1" x14ac:dyDescent="0.2"/>
    <row r="3096" customFormat="1" x14ac:dyDescent="0.2"/>
    <row r="3097" customFormat="1" x14ac:dyDescent="0.2"/>
    <row r="3098" customFormat="1" x14ac:dyDescent="0.2"/>
    <row r="3099" customFormat="1" x14ac:dyDescent="0.2"/>
    <row r="3100" customFormat="1" x14ac:dyDescent="0.2"/>
    <row r="3101" customFormat="1" x14ac:dyDescent="0.2"/>
    <row r="3102" customFormat="1" x14ac:dyDescent="0.2"/>
    <row r="3103" customFormat="1" x14ac:dyDescent="0.2"/>
    <row r="3104" customFormat="1" x14ac:dyDescent="0.2"/>
    <row r="3105" customFormat="1" x14ac:dyDescent="0.2"/>
    <row r="3106" customFormat="1" x14ac:dyDescent="0.2"/>
    <row r="3107" customFormat="1" x14ac:dyDescent="0.2"/>
    <row r="3108" customFormat="1" x14ac:dyDescent="0.2"/>
    <row r="3109" customFormat="1" x14ac:dyDescent="0.2"/>
    <row r="3110" customFormat="1" x14ac:dyDescent="0.2"/>
    <row r="3111" customFormat="1" x14ac:dyDescent="0.2"/>
    <row r="3112" customFormat="1" x14ac:dyDescent="0.2"/>
    <row r="3113" customFormat="1" x14ac:dyDescent="0.2"/>
    <row r="3114" customFormat="1" x14ac:dyDescent="0.2"/>
    <row r="3115" customFormat="1" x14ac:dyDescent="0.2"/>
    <row r="3116" customFormat="1" x14ac:dyDescent="0.2"/>
    <row r="3117" customFormat="1" x14ac:dyDescent="0.2"/>
    <row r="3118" customFormat="1" x14ac:dyDescent="0.2"/>
    <row r="3119" customFormat="1" x14ac:dyDescent="0.2"/>
    <row r="3120" customFormat="1" x14ac:dyDescent="0.2"/>
    <row r="3121" customFormat="1" x14ac:dyDescent="0.2"/>
    <row r="3122" customFormat="1" x14ac:dyDescent="0.2"/>
    <row r="3123" customFormat="1" x14ac:dyDescent="0.2"/>
    <row r="3124" customFormat="1" x14ac:dyDescent="0.2"/>
    <row r="3125" customFormat="1" x14ac:dyDescent="0.2"/>
    <row r="3126" customFormat="1" x14ac:dyDescent="0.2"/>
    <row r="3127" customFormat="1" x14ac:dyDescent="0.2"/>
    <row r="3128" customFormat="1" x14ac:dyDescent="0.2"/>
    <row r="3129" customFormat="1" x14ac:dyDescent="0.2"/>
    <row r="3130" customFormat="1" x14ac:dyDescent="0.2"/>
    <row r="3131" customFormat="1" x14ac:dyDescent="0.2"/>
    <row r="3132" customFormat="1" x14ac:dyDescent="0.2"/>
    <row r="3133" customFormat="1" x14ac:dyDescent="0.2"/>
    <row r="3134" customFormat="1" x14ac:dyDescent="0.2"/>
    <row r="3135" customFormat="1" x14ac:dyDescent="0.2"/>
    <row r="3136" customFormat="1" x14ac:dyDescent="0.2"/>
    <row r="3137" customFormat="1" x14ac:dyDescent="0.2"/>
    <row r="3138" customFormat="1" x14ac:dyDescent="0.2"/>
    <row r="3139" customFormat="1" x14ac:dyDescent="0.2"/>
    <row r="3140" customFormat="1" x14ac:dyDescent="0.2"/>
    <row r="3141" customFormat="1" x14ac:dyDescent="0.2"/>
    <row r="3142" customFormat="1" x14ac:dyDescent="0.2"/>
    <row r="3143" customFormat="1" x14ac:dyDescent="0.2"/>
    <row r="3144" customFormat="1" x14ac:dyDescent="0.2"/>
    <row r="3145" customFormat="1" x14ac:dyDescent="0.2"/>
    <row r="3146" customFormat="1" x14ac:dyDescent="0.2"/>
    <row r="3147" customFormat="1" x14ac:dyDescent="0.2"/>
    <row r="3148" customFormat="1" x14ac:dyDescent="0.2"/>
    <row r="3149" customFormat="1" x14ac:dyDescent="0.2"/>
    <row r="3150" customFormat="1" x14ac:dyDescent="0.2"/>
    <row r="3151" customFormat="1" x14ac:dyDescent="0.2"/>
    <row r="3152" customFormat="1" x14ac:dyDescent="0.2"/>
    <row r="3153" customFormat="1" x14ac:dyDescent="0.2"/>
    <row r="3154" customFormat="1" x14ac:dyDescent="0.2"/>
    <row r="3155" customFormat="1" x14ac:dyDescent="0.2"/>
    <row r="3156" customFormat="1" x14ac:dyDescent="0.2"/>
    <row r="3157" customFormat="1" x14ac:dyDescent="0.2"/>
    <row r="3158" customFormat="1" x14ac:dyDescent="0.2"/>
    <row r="3159" customFormat="1" x14ac:dyDescent="0.2"/>
    <row r="3160" customFormat="1" x14ac:dyDescent="0.2"/>
    <row r="3161" customFormat="1" x14ac:dyDescent="0.2"/>
    <row r="3162" customFormat="1" x14ac:dyDescent="0.2"/>
    <row r="3163" customFormat="1" x14ac:dyDescent="0.2"/>
    <row r="3164" customFormat="1" x14ac:dyDescent="0.2"/>
    <row r="3165" customFormat="1" x14ac:dyDescent="0.2"/>
    <row r="3166" customFormat="1" x14ac:dyDescent="0.2"/>
    <row r="3167" customFormat="1" x14ac:dyDescent="0.2"/>
    <row r="3168" customFormat="1" x14ac:dyDescent="0.2"/>
    <row r="3169" customFormat="1" x14ac:dyDescent="0.2"/>
    <row r="3170" customFormat="1" x14ac:dyDescent="0.2"/>
    <row r="3171" customFormat="1" x14ac:dyDescent="0.2"/>
    <row r="3172" customFormat="1" x14ac:dyDescent="0.2"/>
    <row r="3173" customFormat="1" x14ac:dyDescent="0.2"/>
    <row r="3174" customFormat="1" x14ac:dyDescent="0.2"/>
    <row r="3175" customFormat="1" x14ac:dyDescent="0.2"/>
    <row r="3176" customFormat="1" x14ac:dyDescent="0.2"/>
    <row r="3177" customFormat="1" x14ac:dyDescent="0.2"/>
    <row r="3178" customFormat="1" x14ac:dyDescent="0.2"/>
    <row r="3179" customFormat="1" x14ac:dyDescent="0.2"/>
    <row r="3180" customFormat="1" x14ac:dyDescent="0.2"/>
    <row r="3181" customFormat="1" x14ac:dyDescent="0.2"/>
    <row r="3182" customFormat="1" x14ac:dyDescent="0.2"/>
    <row r="3183" customFormat="1" x14ac:dyDescent="0.2"/>
    <row r="3184" customFormat="1" x14ac:dyDescent="0.2"/>
    <row r="3185" customFormat="1" x14ac:dyDescent="0.2"/>
    <row r="3186" customFormat="1" x14ac:dyDescent="0.2"/>
    <row r="3187" customFormat="1" x14ac:dyDescent="0.2"/>
    <row r="3188" customFormat="1" x14ac:dyDescent="0.2"/>
    <row r="3189" customFormat="1" x14ac:dyDescent="0.2"/>
    <row r="3190" customFormat="1" x14ac:dyDescent="0.2"/>
    <row r="3191" customFormat="1" x14ac:dyDescent="0.2"/>
    <row r="3192" customFormat="1" x14ac:dyDescent="0.2"/>
    <row r="3193" customFormat="1" x14ac:dyDescent="0.2"/>
    <row r="3194" customFormat="1" x14ac:dyDescent="0.2"/>
    <row r="3195" customFormat="1" x14ac:dyDescent="0.2"/>
    <row r="3196" customFormat="1" x14ac:dyDescent="0.2"/>
    <row r="3197" customFormat="1" x14ac:dyDescent="0.2"/>
    <row r="3198" customFormat="1" x14ac:dyDescent="0.2"/>
    <row r="3199" customFormat="1" x14ac:dyDescent="0.2"/>
    <row r="3200" customFormat="1" x14ac:dyDescent="0.2"/>
    <row r="3201" customFormat="1" x14ac:dyDescent="0.2"/>
    <row r="3202" customFormat="1" x14ac:dyDescent="0.2"/>
    <row r="3203" customFormat="1" x14ac:dyDescent="0.2"/>
    <row r="3204" customFormat="1" x14ac:dyDescent="0.2"/>
    <row r="3205" customFormat="1" x14ac:dyDescent="0.2"/>
    <row r="3206" customFormat="1" x14ac:dyDescent="0.2"/>
    <row r="3207" customFormat="1" x14ac:dyDescent="0.2"/>
    <row r="3208" customFormat="1" x14ac:dyDescent="0.2"/>
    <row r="3209" customFormat="1" x14ac:dyDescent="0.2"/>
    <row r="3210" customFormat="1" x14ac:dyDescent="0.2"/>
    <row r="3211" customFormat="1" x14ac:dyDescent="0.2"/>
    <row r="3212" customFormat="1" x14ac:dyDescent="0.2"/>
    <row r="3213" customFormat="1" x14ac:dyDescent="0.2"/>
    <row r="3214" customFormat="1" x14ac:dyDescent="0.2"/>
    <row r="3215" customFormat="1" x14ac:dyDescent="0.2"/>
    <row r="3216" customFormat="1" x14ac:dyDescent="0.2"/>
    <row r="3217" customFormat="1" x14ac:dyDescent="0.2"/>
    <row r="3218" customFormat="1" x14ac:dyDescent="0.2"/>
    <row r="3219" customFormat="1" x14ac:dyDescent="0.2"/>
    <row r="3220" customFormat="1" x14ac:dyDescent="0.2"/>
    <row r="3221" customFormat="1" x14ac:dyDescent="0.2"/>
    <row r="3222" customFormat="1" x14ac:dyDescent="0.2"/>
    <row r="3223" customFormat="1" x14ac:dyDescent="0.2"/>
    <row r="3224" customFormat="1" x14ac:dyDescent="0.2"/>
    <row r="3225" customFormat="1" x14ac:dyDescent="0.2"/>
    <row r="3226" customFormat="1" x14ac:dyDescent="0.2"/>
    <row r="3227" customFormat="1" x14ac:dyDescent="0.2"/>
    <row r="3228" customFormat="1" x14ac:dyDescent="0.2"/>
    <row r="3229" customFormat="1" x14ac:dyDescent="0.2"/>
    <row r="3230" customFormat="1" x14ac:dyDescent="0.2"/>
    <row r="3231" customFormat="1" x14ac:dyDescent="0.2"/>
    <row r="3232" customFormat="1" x14ac:dyDescent="0.2"/>
    <row r="3233" customFormat="1" x14ac:dyDescent="0.2"/>
    <row r="3234" customFormat="1" x14ac:dyDescent="0.2"/>
    <row r="3235" customFormat="1" x14ac:dyDescent="0.2"/>
    <row r="3236" customFormat="1" x14ac:dyDescent="0.2"/>
    <row r="3237" customFormat="1" x14ac:dyDescent="0.2"/>
    <row r="3238" customFormat="1" x14ac:dyDescent="0.2"/>
    <row r="3239" customFormat="1" x14ac:dyDescent="0.2"/>
    <row r="3240" customFormat="1" x14ac:dyDescent="0.2"/>
    <row r="3241" customFormat="1" x14ac:dyDescent="0.2"/>
    <row r="3242" customFormat="1" x14ac:dyDescent="0.2"/>
    <row r="3243" customFormat="1" x14ac:dyDescent="0.2"/>
    <row r="3244" customFormat="1" x14ac:dyDescent="0.2"/>
    <row r="3245" customFormat="1" x14ac:dyDescent="0.2"/>
    <row r="3246" customFormat="1" x14ac:dyDescent="0.2"/>
    <row r="3247" customFormat="1" x14ac:dyDescent="0.2"/>
    <row r="3248" customFormat="1" x14ac:dyDescent="0.2"/>
    <row r="3249" customFormat="1" x14ac:dyDescent="0.2"/>
    <row r="3250" customFormat="1" x14ac:dyDescent="0.2"/>
    <row r="3251" customFormat="1" x14ac:dyDescent="0.2"/>
    <row r="3252" customFormat="1" x14ac:dyDescent="0.2"/>
    <row r="3253" customFormat="1" x14ac:dyDescent="0.2"/>
    <row r="3254" customFormat="1" x14ac:dyDescent="0.2"/>
    <row r="3255" customFormat="1" x14ac:dyDescent="0.2"/>
    <row r="3256" customFormat="1" x14ac:dyDescent="0.2"/>
    <row r="3257" customFormat="1" x14ac:dyDescent="0.2"/>
    <row r="3258" customFormat="1" x14ac:dyDescent="0.2"/>
    <row r="3259" customFormat="1" x14ac:dyDescent="0.2"/>
    <row r="3260" customFormat="1" x14ac:dyDescent="0.2"/>
    <row r="3261" customFormat="1" x14ac:dyDescent="0.2"/>
    <row r="3262" customFormat="1" x14ac:dyDescent="0.2"/>
    <row r="3263" customFormat="1" x14ac:dyDescent="0.2"/>
    <row r="3264" customFormat="1" x14ac:dyDescent="0.2"/>
    <row r="3265" customFormat="1" x14ac:dyDescent="0.2"/>
    <row r="3266" customFormat="1" x14ac:dyDescent="0.2"/>
    <row r="3267" customFormat="1" x14ac:dyDescent="0.2"/>
    <row r="3268" customFormat="1" x14ac:dyDescent="0.2"/>
    <row r="3269" customFormat="1" x14ac:dyDescent="0.2"/>
    <row r="3270" customFormat="1" x14ac:dyDescent="0.2"/>
    <row r="3271" customFormat="1" x14ac:dyDescent="0.2"/>
    <row r="3272" customFormat="1" x14ac:dyDescent="0.2"/>
    <row r="3273" customFormat="1" x14ac:dyDescent="0.2"/>
    <row r="3274" customFormat="1" x14ac:dyDescent="0.2"/>
    <row r="3275" customFormat="1" x14ac:dyDescent="0.2"/>
    <row r="3276" customFormat="1" x14ac:dyDescent="0.2"/>
    <row r="3277" customFormat="1" x14ac:dyDescent="0.2"/>
    <row r="3278" customFormat="1" x14ac:dyDescent="0.2"/>
    <row r="3279" customFormat="1" x14ac:dyDescent="0.2"/>
    <row r="3280" customFormat="1" x14ac:dyDescent="0.2"/>
    <row r="3281" customFormat="1" x14ac:dyDescent="0.2"/>
    <row r="3282" customFormat="1" x14ac:dyDescent="0.2"/>
    <row r="3283" customFormat="1" x14ac:dyDescent="0.2"/>
    <row r="3284" customFormat="1" x14ac:dyDescent="0.2"/>
    <row r="3285" customFormat="1" x14ac:dyDescent="0.2"/>
    <row r="3286" customFormat="1" x14ac:dyDescent="0.2"/>
    <row r="3287" customFormat="1" x14ac:dyDescent="0.2"/>
    <row r="3288" customFormat="1" x14ac:dyDescent="0.2"/>
    <row r="3289" customFormat="1" x14ac:dyDescent="0.2"/>
    <row r="3290" customFormat="1" x14ac:dyDescent="0.2"/>
    <row r="3291" customFormat="1" x14ac:dyDescent="0.2"/>
    <row r="3292" customFormat="1" x14ac:dyDescent="0.2"/>
    <row r="3293" customFormat="1" x14ac:dyDescent="0.2"/>
    <row r="3294" customFormat="1" x14ac:dyDescent="0.2"/>
    <row r="3295" customFormat="1" x14ac:dyDescent="0.2"/>
    <row r="3296" customFormat="1" x14ac:dyDescent="0.2"/>
    <row r="3297" customFormat="1" x14ac:dyDescent="0.2"/>
    <row r="3298" customFormat="1" x14ac:dyDescent="0.2"/>
    <row r="3299" customFormat="1" x14ac:dyDescent="0.2"/>
    <row r="3300" customFormat="1" x14ac:dyDescent="0.2"/>
    <row r="3301" customFormat="1" x14ac:dyDescent="0.2"/>
    <row r="3302" customFormat="1" x14ac:dyDescent="0.2"/>
    <row r="3303" customFormat="1" x14ac:dyDescent="0.2"/>
    <row r="3304" customFormat="1" x14ac:dyDescent="0.2"/>
    <row r="3305" customFormat="1" x14ac:dyDescent="0.2"/>
    <row r="3306" customFormat="1" x14ac:dyDescent="0.2"/>
    <row r="3307" customFormat="1" x14ac:dyDescent="0.2"/>
    <row r="3308" customFormat="1" x14ac:dyDescent="0.2"/>
    <row r="3309" customFormat="1" x14ac:dyDescent="0.2"/>
    <row r="3310" customFormat="1" x14ac:dyDescent="0.2"/>
    <row r="3311" customFormat="1" x14ac:dyDescent="0.2"/>
    <row r="3312" customFormat="1" x14ac:dyDescent="0.2"/>
    <row r="3313" customFormat="1" x14ac:dyDescent="0.2"/>
    <row r="3314" customFormat="1" x14ac:dyDescent="0.2"/>
    <row r="3315" customFormat="1" x14ac:dyDescent="0.2"/>
    <row r="3316" customFormat="1" x14ac:dyDescent="0.2"/>
    <row r="3317" customFormat="1" x14ac:dyDescent="0.2"/>
    <row r="3318" customFormat="1" x14ac:dyDescent="0.2"/>
    <row r="3319" customFormat="1" x14ac:dyDescent="0.2"/>
    <row r="3320" customFormat="1" x14ac:dyDescent="0.2"/>
    <row r="3321" customFormat="1" x14ac:dyDescent="0.2"/>
    <row r="3322" customFormat="1" x14ac:dyDescent="0.2"/>
    <row r="3323" customFormat="1" x14ac:dyDescent="0.2"/>
    <row r="3324" customFormat="1" x14ac:dyDescent="0.2"/>
    <row r="3325" customFormat="1" x14ac:dyDescent="0.2"/>
    <row r="3326" customFormat="1" x14ac:dyDescent="0.2"/>
    <row r="3327" customFormat="1" x14ac:dyDescent="0.2"/>
    <row r="3328" customFormat="1" x14ac:dyDescent="0.2"/>
    <row r="3329" customFormat="1" x14ac:dyDescent="0.2"/>
    <row r="3330" customFormat="1" x14ac:dyDescent="0.2"/>
    <row r="3331" customFormat="1" x14ac:dyDescent="0.2"/>
    <row r="3332" customFormat="1" x14ac:dyDescent="0.2"/>
    <row r="3333" customFormat="1" x14ac:dyDescent="0.2"/>
    <row r="3334" customFormat="1" x14ac:dyDescent="0.2"/>
    <row r="3335" customFormat="1" x14ac:dyDescent="0.2"/>
    <row r="3336" customFormat="1" x14ac:dyDescent="0.2"/>
    <row r="3337" customFormat="1" x14ac:dyDescent="0.2"/>
    <row r="3338" customFormat="1" x14ac:dyDescent="0.2"/>
    <row r="3339" customFormat="1" x14ac:dyDescent="0.2"/>
    <row r="3340" customFormat="1" x14ac:dyDescent="0.2"/>
    <row r="3341" customFormat="1" x14ac:dyDescent="0.2"/>
    <row r="3342" customFormat="1" x14ac:dyDescent="0.2"/>
    <row r="3343" customFormat="1" x14ac:dyDescent="0.2"/>
    <row r="3344" customFormat="1" x14ac:dyDescent="0.2"/>
    <row r="3345" customFormat="1" x14ac:dyDescent="0.2"/>
    <row r="3346" customFormat="1" x14ac:dyDescent="0.2"/>
    <row r="3347" customFormat="1" x14ac:dyDescent="0.2"/>
    <row r="3348" customFormat="1" x14ac:dyDescent="0.2"/>
    <row r="3349" customFormat="1" x14ac:dyDescent="0.2"/>
    <row r="3350" customFormat="1" x14ac:dyDescent="0.2"/>
    <row r="3351" customFormat="1" x14ac:dyDescent="0.2"/>
    <row r="3352" customFormat="1" x14ac:dyDescent="0.2"/>
    <row r="3353" customFormat="1" x14ac:dyDescent="0.2"/>
    <row r="3354" customFormat="1" x14ac:dyDescent="0.2"/>
    <row r="3355" customFormat="1" x14ac:dyDescent="0.2"/>
    <row r="3356" customFormat="1" x14ac:dyDescent="0.2"/>
    <row r="3357" customFormat="1" x14ac:dyDescent="0.2"/>
    <row r="3358" customFormat="1" x14ac:dyDescent="0.2"/>
    <row r="3359" customFormat="1" x14ac:dyDescent="0.2"/>
    <row r="3360" customFormat="1" x14ac:dyDescent="0.2"/>
    <row r="3361" customFormat="1" x14ac:dyDescent="0.2"/>
    <row r="3362" customFormat="1" x14ac:dyDescent="0.2"/>
    <row r="3363" customFormat="1" x14ac:dyDescent="0.2"/>
    <row r="3364" customFormat="1" x14ac:dyDescent="0.2"/>
    <row r="3365" customFormat="1" x14ac:dyDescent="0.2"/>
    <row r="3366" customFormat="1" x14ac:dyDescent="0.2"/>
    <row r="3367" customFormat="1" x14ac:dyDescent="0.2"/>
    <row r="3368" customFormat="1" x14ac:dyDescent="0.2"/>
    <row r="3369" customFormat="1" x14ac:dyDescent="0.2"/>
    <row r="3370" customFormat="1" x14ac:dyDescent="0.2"/>
    <row r="3371" customFormat="1" x14ac:dyDescent="0.2"/>
    <row r="3372" customFormat="1" x14ac:dyDescent="0.2"/>
    <row r="3373" customFormat="1" x14ac:dyDescent="0.2"/>
    <row r="3374" customFormat="1" x14ac:dyDescent="0.2"/>
    <row r="3375" customFormat="1" x14ac:dyDescent="0.2"/>
    <row r="3376" customFormat="1" x14ac:dyDescent="0.2"/>
    <row r="3377" customFormat="1" x14ac:dyDescent="0.2"/>
    <row r="3378" customFormat="1" x14ac:dyDescent="0.2"/>
    <row r="3379" customFormat="1" x14ac:dyDescent="0.2"/>
    <row r="3380" customFormat="1" x14ac:dyDescent="0.2"/>
    <row r="3381" customFormat="1" x14ac:dyDescent="0.2"/>
    <row r="3382" customFormat="1" x14ac:dyDescent="0.2"/>
    <row r="3383" customFormat="1" x14ac:dyDescent="0.2"/>
    <row r="3384" customFormat="1" x14ac:dyDescent="0.2"/>
    <row r="3385" customFormat="1" x14ac:dyDescent="0.2"/>
    <row r="3386" customFormat="1" x14ac:dyDescent="0.2"/>
    <row r="3387" customFormat="1" x14ac:dyDescent="0.2"/>
    <row r="3388" customFormat="1" x14ac:dyDescent="0.2"/>
    <row r="3389" customFormat="1" x14ac:dyDescent="0.2"/>
    <row r="3390" customFormat="1" x14ac:dyDescent="0.2"/>
    <row r="3391" customFormat="1" x14ac:dyDescent="0.2"/>
    <row r="3392" customFormat="1" x14ac:dyDescent="0.2"/>
    <row r="3393" customFormat="1" x14ac:dyDescent="0.2"/>
    <row r="3394" customFormat="1" x14ac:dyDescent="0.2"/>
    <row r="3395" customFormat="1" x14ac:dyDescent="0.2"/>
    <row r="3396" customFormat="1" x14ac:dyDescent="0.2"/>
    <row r="3397" customFormat="1" x14ac:dyDescent="0.2"/>
    <row r="3398" customFormat="1" x14ac:dyDescent="0.2"/>
    <row r="3399" customFormat="1" x14ac:dyDescent="0.2"/>
    <row r="3400" customFormat="1" x14ac:dyDescent="0.2"/>
    <row r="3401" customFormat="1" x14ac:dyDescent="0.2"/>
    <row r="3402" customFormat="1" x14ac:dyDescent="0.2"/>
    <row r="3403" customFormat="1" x14ac:dyDescent="0.2"/>
    <row r="3404" customFormat="1" x14ac:dyDescent="0.2"/>
    <row r="3405" customFormat="1" x14ac:dyDescent="0.2"/>
    <row r="3406" customFormat="1" x14ac:dyDescent="0.2"/>
    <row r="3407" customFormat="1" x14ac:dyDescent="0.2"/>
    <row r="3408" customFormat="1" x14ac:dyDescent="0.2"/>
    <row r="3409" customFormat="1" x14ac:dyDescent="0.2"/>
    <row r="3410" customFormat="1" x14ac:dyDescent="0.2"/>
    <row r="3411" customFormat="1" x14ac:dyDescent="0.2"/>
    <row r="3412" customFormat="1" x14ac:dyDescent="0.2"/>
    <row r="3413" customFormat="1" x14ac:dyDescent="0.2"/>
    <row r="3414" customFormat="1" x14ac:dyDescent="0.2"/>
    <row r="3415" customFormat="1" x14ac:dyDescent="0.2"/>
    <row r="3416" customFormat="1" x14ac:dyDescent="0.2"/>
    <row r="3417" customFormat="1" x14ac:dyDescent="0.2"/>
    <row r="3418" customFormat="1" x14ac:dyDescent="0.2"/>
    <row r="3419" customFormat="1" x14ac:dyDescent="0.2"/>
    <row r="3420" customFormat="1" x14ac:dyDescent="0.2"/>
    <row r="3421" customFormat="1" x14ac:dyDescent="0.2"/>
    <row r="3422" customFormat="1" x14ac:dyDescent="0.2"/>
    <row r="3423" customFormat="1" x14ac:dyDescent="0.2"/>
    <row r="3424" customFormat="1" x14ac:dyDescent="0.2"/>
    <row r="3425" customFormat="1" x14ac:dyDescent="0.2"/>
    <row r="3426" customFormat="1" x14ac:dyDescent="0.2"/>
    <row r="3427" customFormat="1" x14ac:dyDescent="0.2"/>
    <row r="3428" customFormat="1" x14ac:dyDescent="0.2"/>
    <row r="3429" customFormat="1" x14ac:dyDescent="0.2"/>
    <row r="3430" customFormat="1" x14ac:dyDescent="0.2"/>
    <row r="3431" customFormat="1" x14ac:dyDescent="0.2"/>
    <row r="3432" customFormat="1" x14ac:dyDescent="0.2"/>
    <row r="3433" customFormat="1" x14ac:dyDescent="0.2"/>
    <row r="3434" customFormat="1" x14ac:dyDescent="0.2"/>
    <row r="3435" customFormat="1" x14ac:dyDescent="0.2"/>
    <row r="3436" customFormat="1" x14ac:dyDescent="0.2"/>
    <row r="3437" customFormat="1" x14ac:dyDescent="0.2"/>
    <row r="3438" customFormat="1" x14ac:dyDescent="0.2"/>
    <row r="3439" customFormat="1" x14ac:dyDescent="0.2"/>
    <row r="3440" customFormat="1" x14ac:dyDescent="0.2"/>
    <row r="3441" customFormat="1" x14ac:dyDescent="0.2"/>
    <row r="3442" customFormat="1" x14ac:dyDescent="0.2"/>
    <row r="3443" customFormat="1" x14ac:dyDescent="0.2"/>
    <row r="3444" customFormat="1" x14ac:dyDescent="0.2"/>
    <row r="3445" customFormat="1" x14ac:dyDescent="0.2"/>
    <row r="3446" customFormat="1" x14ac:dyDescent="0.2"/>
    <row r="3447" customFormat="1" x14ac:dyDescent="0.2"/>
    <row r="3448" customFormat="1" x14ac:dyDescent="0.2"/>
    <row r="3449" customFormat="1" x14ac:dyDescent="0.2"/>
    <row r="3450" customFormat="1" x14ac:dyDescent="0.2"/>
    <row r="3451" customFormat="1" x14ac:dyDescent="0.2"/>
    <row r="3452" customFormat="1" x14ac:dyDescent="0.2"/>
    <row r="3453" customFormat="1" x14ac:dyDescent="0.2"/>
    <row r="3454" customFormat="1" x14ac:dyDescent="0.2"/>
    <row r="3455" customFormat="1" x14ac:dyDescent="0.2"/>
    <row r="3456" customFormat="1" x14ac:dyDescent="0.2"/>
    <row r="3457" customFormat="1" x14ac:dyDescent="0.2"/>
    <row r="3458" customFormat="1" x14ac:dyDescent="0.2"/>
    <row r="3459" customFormat="1" x14ac:dyDescent="0.2"/>
    <row r="3460" customFormat="1" x14ac:dyDescent="0.2"/>
    <row r="3461" customFormat="1" x14ac:dyDescent="0.2"/>
    <row r="3462" customFormat="1" x14ac:dyDescent="0.2"/>
    <row r="3463" customFormat="1" x14ac:dyDescent="0.2"/>
    <row r="3464" customFormat="1" x14ac:dyDescent="0.2"/>
    <row r="3465" customFormat="1" x14ac:dyDescent="0.2"/>
    <row r="3466" customFormat="1" x14ac:dyDescent="0.2"/>
    <row r="3467" customFormat="1" x14ac:dyDescent="0.2"/>
    <row r="3468" customFormat="1" x14ac:dyDescent="0.2"/>
    <row r="3469" customFormat="1" x14ac:dyDescent="0.2"/>
    <row r="3470" customFormat="1" x14ac:dyDescent="0.2"/>
    <row r="3471" customFormat="1" x14ac:dyDescent="0.2"/>
    <row r="3472" customFormat="1" x14ac:dyDescent="0.2"/>
    <row r="3473" customFormat="1" x14ac:dyDescent="0.2"/>
    <row r="3474" customFormat="1" x14ac:dyDescent="0.2"/>
    <row r="3475" customFormat="1" x14ac:dyDescent="0.2"/>
    <row r="3476" customFormat="1" x14ac:dyDescent="0.2"/>
    <row r="3477" customFormat="1" x14ac:dyDescent="0.2"/>
    <row r="3478" customFormat="1" x14ac:dyDescent="0.2"/>
    <row r="3479" customFormat="1" x14ac:dyDescent="0.2"/>
    <row r="3480" customFormat="1" x14ac:dyDescent="0.2"/>
    <row r="3481" customFormat="1" x14ac:dyDescent="0.2"/>
    <row r="3482" customFormat="1" x14ac:dyDescent="0.2"/>
    <row r="3483" customFormat="1" x14ac:dyDescent="0.2"/>
    <row r="3484" customFormat="1" x14ac:dyDescent="0.2"/>
    <row r="3485" customFormat="1" x14ac:dyDescent="0.2"/>
    <row r="3486" customFormat="1" x14ac:dyDescent="0.2"/>
    <row r="3487" customFormat="1" x14ac:dyDescent="0.2"/>
    <row r="3488" customFormat="1" x14ac:dyDescent="0.2"/>
    <row r="3489" customFormat="1" x14ac:dyDescent="0.2"/>
    <row r="3490" customFormat="1" x14ac:dyDescent="0.2"/>
    <row r="3491" customFormat="1" x14ac:dyDescent="0.2"/>
    <row r="3492" customFormat="1" x14ac:dyDescent="0.2"/>
    <row r="3493" customFormat="1" x14ac:dyDescent="0.2"/>
    <row r="3494" customFormat="1" x14ac:dyDescent="0.2"/>
    <row r="3495" customFormat="1" x14ac:dyDescent="0.2"/>
    <row r="3496" customFormat="1" x14ac:dyDescent="0.2"/>
    <row r="3497" customFormat="1" x14ac:dyDescent="0.2"/>
    <row r="3498" customFormat="1" x14ac:dyDescent="0.2"/>
    <row r="3499" customFormat="1" x14ac:dyDescent="0.2"/>
    <row r="3500" customFormat="1" x14ac:dyDescent="0.2"/>
    <row r="3501" customFormat="1" x14ac:dyDescent="0.2"/>
    <row r="3502" customFormat="1" x14ac:dyDescent="0.2"/>
    <row r="3503" customFormat="1" x14ac:dyDescent="0.2"/>
    <row r="3504" customFormat="1" x14ac:dyDescent="0.2"/>
    <row r="3505" customFormat="1" x14ac:dyDescent="0.2"/>
    <row r="3506" customFormat="1" x14ac:dyDescent="0.2"/>
    <row r="3507" customFormat="1" x14ac:dyDescent="0.2"/>
    <row r="3508" customFormat="1" x14ac:dyDescent="0.2"/>
    <row r="3509" customFormat="1" x14ac:dyDescent="0.2"/>
    <row r="3510" customFormat="1" x14ac:dyDescent="0.2"/>
    <row r="3511" customFormat="1" x14ac:dyDescent="0.2"/>
    <row r="3512" customFormat="1" x14ac:dyDescent="0.2"/>
    <row r="3513" customFormat="1" x14ac:dyDescent="0.2"/>
    <row r="3514" customFormat="1" x14ac:dyDescent="0.2"/>
    <row r="3515" customFormat="1" x14ac:dyDescent="0.2"/>
    <row r="3516" customFormat="1" x14ac:dyDescent="0.2"/>
    <row r="3517" customFormat="1" x14ac:dyDescent="0.2"/>
    <row r="3518" customFormat="1" x14ac:dyDescent="0.2"/>
    <row r="3519" customFormat="1" x14ac:dyDescent="0.2"/>
    <row r="3520" customFormat="1" x14ac:dyDescent="0.2"/>
    <row r="3521" customFormat="1" x14ac:dyDescent="0.2"/>
    <row r="3522" customFormat="1" x14ac:dyDescent="0.2"/>
    <row r="3523" customFormat="1" x14ac:dyDescent="0.2"/>
    <row r="3524" customFormat="1" x14ac:dyDescent="0.2"/>
    <row r="3525" customFormat="1" x14ac:dyDescent="0.2"/>
    <row r="3526" customFormat="1" x14ac:dyDescent="0.2"/>
    <row r="3527" customFormat="1" x14ac:dyDescent="0.2"/>
    <row r="3528" customFormat="1" x14ac:dyDescent="0.2"/>
    <row r="3529" customFormat="1" x14ac:dyDescent="0.2"/>
    <row r="3530" customFormat="1" x14ac:dyDescent="0.2"/>
    <row r="3531" customFormat="1" x14ac:dyDescent="0.2"/>
    <row r="3532" customFormat="1" x14ac:dyDescent="0.2"/>
    <row r="3533" customFormat="1" x14ac:dyDescent="0.2"/>
    <row r="3534" customFormat="1" x14ac:dyDescent="0.2"/>
    <row r="3535" customFormat="1" x14ac:dyDescent="0.2"/>
    <row r="3536" customFormat="1" x14ac:dyDescent="0.2"/>
    <row r="3537" customFormat="1" x14ac:dyDescent="0.2"/>
    <row r="3538" customFormat="1" x14ac:dyDescent="0.2"/>
    <row r="3539" customFormat="1" x14ac:dyDescent="0.2"/>
    <row r="3540" customFormat="1" x14ac:dyDescent="0.2"/>
    <row r="3541" customFormat="1" x14ac:dyDescent="0.2"/>
    <row r="3542" customFormat="1" x14ac:dyDescent="0.2"/>
    <row r="3543" customFormat="1" x14ac:dyDescent="0.2"/>
    <row r="3544" customFormat="1" x14ac:dyDescent="0.2"/>
    <row r="3545" customFormat="1" x14ac:dyDescent="0.2"/>
    <row r="3546" customFormat="1" x14ac:dyDescent="0.2"/>
    <row r="3547" customFormat="1" x14ac:dyDescent="0.2"/>
    <row r="3548" customFormat="1" x14ac:dyDescent="0.2"/>
    <row r="3549" customFormat="1" x14ac:dyDescent="0.2"/>
    <row r="3550" customFormat="1" x14ac:dyDescent="0.2"/>
    <row r="3551" customFormat="1" x14ac:dyDescent="0.2"/>
    <row r="3552" customFormat="1" x14ac:dyDescent="0.2"/>
    <row r="3553" customFormat="1" x14ac:dyDescent="0.2"/>
    <row r="3554" customFormat="1" x14ac:dyDescent="0.2"/>
    <row r="3555" customFormat="1" x14ac:dyDescent="0.2"/>
    <row r="3556" customFormat="1" x14ac:dyDescent="0.2"/>
    <row r="3557" customFormat="1" x14ac:dyDescent="0.2"/>
    <row r="3558" customFormat="1" x14ac:dyDescent="0.2"/>
    <row r="3559" customFormat="1" x14ac:dyDescent="0.2"/>
    <row r="3560" customFormat="1" x14ac:dyDescent="0.2"/>
    <row r="3561" customFormat="1" x14ac:dyDescent="0.2"/>
    <row r="3562" customFormat="1" x14ac:dyDescent="0.2"/>
    <row r="3563" customFormat="1" x14ac:dyDescent="0.2"/>
    <row r="3564" customFormat="1" x14ac:dyDescent="0.2"/>
    <row r="3565" customFormat="1" x14ac:dyDescent="0.2"/>
    <row r="3566" customFormat="1" x14ac:dyDescent="0.2"/>
    <row r="3567" customFormat="1" x14ac:dyDescent="0.2"/>
    <row r="3568" customFormat="1" x14ac:dyDescent="0.2"/>
    <row r="3569" customFormat="1" x14ac:dyDescent="0.2"/>
    <row r="3570" customFormat="1" x14ac:dyDescent="0.2"/>
    <row r="3571" customFormat="1" x14ac:dyDescent="0.2"/>
    <row r="3572" customFormat="1" x14ac:dyDescent="0.2"/>
    <row r="3573" customFormat="1" x14ac:dyDescent="0.2"/>
    <row r="3574" customFormat="1" x14ac:dyDescent="0.2"/>
    <row r="3575" customFormat="1" x14ac:dyDescent="0.2"/>
    <row r="3576" customFormat="1" x14ac:dyDescent="0.2"/>
    <row r="3577" customFormat="1" x14ac:dyDescent="0.2"/>
    <row r="3578" customFormat="1" x14ac:dyDescent="0.2"/>
    <row r="3579" customFormat="1" x14ac:dyDescent="0.2"/>
    <row r="3580" customFormat="1" x14ac:dyDescent="0.2"/>
    <row r="3581" customFormat="1" x14ac:dyDescent="0.2"/>
    <row r="3582" customFormat="1" x14ac:dyDescent="0.2"/>
    <row r="3583" customFormat="1" x14ac:dyDescent="0.2"/>
    <row r="3584" customFormat="1" x14ac:dyDescent="0.2"/>
    <row r="3585" customFormat="1" x14ac:dyDescent="0.2"/>
    <row r="3586" customFormat="1" x14ac:dyDescent="0.2"/>
    <row r="3587" customFormat="1" x14ac:dyDescent="0.2"/>
    <row r="3588" customFormat="1" x14ac:dyDescent="0.2"/>
    <row r="3589" customFormat="1" x14ac:dyDescent="0.2"/>
    <row r="3590" customFormat="1" x14ac:dyDescent="0.2"/>
    <row r="3591" customFormat="1" x14ac:dyDescent="0.2"/>
    <row r="3592" customFormat="1" x14ac:dyDescent="0.2"/>
    <row r="3593" customFormat="1" x14ac:dyDescent="0.2"/>
    <row r="3594" customFormat="1" x14ac:dyDescent="0.2"/>
    <row r="3595" customFormat="1" x14ac:dyDescent="0.2"/>
    <row r="3596" customFormat="1" x14ac:dyDescent="0.2"/>
    <row r="3597" customFormat="1" x14ac:dyDescent="0.2"/>
    <row r="3598" customFormat="1" x14ac:dyDescent="0.2"/>
    <row r="3599" customFormat="1" x14ac:dyDescent="0.2"/>
    <row r="3600" customFormat="1" x14ac:dyDescent="0.2"/>
    <row r="3601" customFormat="1" x14ac:dyDescent="0.2"/>
    <row r="3602" customFormat="1" x14ac:dyDescent="0.2"/>
    <row r="3603" customFormat="1" x14ac:dyDescent="0.2"/>
    <row r="3604" customFormat="1" x14ac:dyDescent="0.2"/>
    <row r="3605" customFormat="1" x14ac:dyDescent="0.2"/>
    <row r="3606" customFormat="1" x14ac:dyDescent="0.2"/>
    <row r="3607" customFormat="1" x14ac:dyDescent="0.2"/>
    <row r="3608" customFormat="1" x14ac:dyDescent="0.2"/>
    <row r="3609" customFormat="1" x14ac:dyDescent="0.2"/>
    <row r="3610" customFormat="1" x14ac:dyDescent="0.2"/>
    <row r="3611" customFormat="1" x14ac:dyDescent="0.2"/>
    <row r="3612" customFormat="1" x14ac:dyDescent="0.2"/>
    <row r="3613" customFormat="1" x14ac:dyDescent="0.2"/>
    <row r="3614" customFormat="1" x14ac:dyDescent="0.2"/>
    <row r="3615" customFormat="1" x14ac:dyDescent="0.2"/>
    <row r="3616" customFormat="1" x14ac:dyDescent="0.2"/>
    <row r="3617" customFormat="1" x14ac:dyDescent="0.2"/>
    <row r="3618" customFormat="1" x14ac:dyDescent="0.2"/>
    <row r="3619" customFormat="1" x14ac:dyDescent="0.2"/>
    <row r="3620" customFormat="1" x14ac:dyDescent="0.2"/>
    <row r="3621" customFormat="1" x14ac:dyDescent="0.2"/>
    <row r="3622" customFormat="1" x14ac:dyDescent="0.2"/>
    <row r="3623" customFormat="1" x14ac:dyDescent="0.2"/>
    <row r="3624" customFormat="1" x14ac:dyDescent="0.2"/>
    <row r="3625" customFormat="1" x14ac:dyDescent="0.2"/>
    <row r="3626" customFormat="1" x14ac:dyDescent="0.2"/>
    <row r="3627" customFormat="1" x14ac:dyDescent="0.2"/>
    <row r="3628" customFormat="1" x14ac:dyDescent="0.2"/>
    <row r="3629" customFormat="1" x14ac:dyDescent="0.2"/>
    <row r="3630" customFormat="1" x14ac:dyDescent="0.2"/>
    <row r="3631" customFormat="1" x14ac:dyDescent="0.2"/>
    <row r="3632" customFormat="1" x14ac:dyDescent="0.2"/>
    <row r="3633" customFormat="1" x14ac:dyDescent="0.2"/>
    <row r="3634" customFormat="1" x14ac:dyDescent="0.2"/>
    <row r="3635" customFormat="1" x14ac:dyDescent="0.2"/>
    <row r="3636" customFormat="1" x14ac:dyDescent="0.2"/>
    <row r="3637" customFormat="1" x14ac:dyDescent="0.2"/>
    <row r="3638" customFormat="1" x14ac:dyDescent="0.2"/>
    <row r="3639" customFormat="1" x14ac:dyDescent="0.2"/>
    <row r="3640" customFormat="1" x14ac:dyDescent="0.2"/>
    <row r="3641" customFormat="1" x14ac:dyDescent="0.2"/>
    <row r="3642" customFormat="1" x14ac:dyDescent="0.2"/>
    <row r="3643" customFormat="1" x14ac:dyDescent="0.2"/>
    <row r="3644" customFormat="1" x14ac:dyDescent="0.2"/>
    <row r="3645" customFormat="1" x14ac:dyDescent="0.2"/>
    <row r="3646" customFormat="1" x14ac:dyDescent="0.2"/>
    <row r="3647" customFormat="1" x14ac:dyDescent="0.2"/>
    <row r="3648" customFormat="1" x14ac:dyDescent="0.2"/>
    <row r="3649" customFormat="1" x14ac:dyDescent="0.2"/>
    <row r="3650" customFormat="1" x14ac:dyDescent="0.2"/>
    <row r="3651" customFormat="1" x14ac:dyDescent="0.2"/>
    <row r="3652" customFormat="1" x14ac:dyDescent="0.2"/>
    <row r="3653" customFormat="1" x14ac:dyDescent="0.2"/>
    <row r="3654" customFormat="1" x14ac:dyDescent="0.2"/>
    <row r="3655" customFormat="1" x14ac:dyDescent="0.2"/>
    <row r="3656" customFormat="1" x14ac:dyDescent="0.2"/>
    <row r="3657" customFormat="1" x14ac:dyDescent="0.2"/>
    <row r="3658" customFormat="1" x14ac:dyDescent="0.2"/>
    <row r="3659" customFormat="1" x14ac:dyDescent="0.2"/>
    <row r="3660" customFormat="1" x14ac:dyDescent="0.2"/>
    <row r="3661" customFormat="1" x14ac:dyDescent="0.2"/>
    <row r="3662" customFormat="1" x14ac:dyDescent="0.2"/>
    <row r="3663" customFormat="1" x14ac:dyDescent="0.2"/>
    <row r="3664" customFormat="1" x14ac:dyDescent="0.2"/>
    <row r="3665" customFormat="1" x14ac:dyDescent="0.2"/>
    <row r="3666" customFormat="1" x14ac:dyDescent="0.2"/>
    <row r="3667" customFormat="1" x14ac:dyDescent="0.2"/>
    <row r="3668" customFormat="1" x14ac:dyDescent="0.2"/>
    <row r="3669" customFormat="1" x14ac:dyDescent="0.2"/>
    <row r="3670" customFormat="1" x14ac:dyDescent="0.2"/>
    <row r="3671" customFormat="1" x14ac:dyDescent="0.2"/>
    <row r="3672" customFormat="1" x14ac:dyDescent="0.2"/>
    <row r="3673" customFormat="1" x14ac:dyDescent="0.2"/>
    <row r="3674" customFormat="1" x14ac:dyDescent="0.2"/>
    <row r="3675" customFormat="1" x14ac:dyDescent="0.2"/>
    <row r="3676" customFormat="1" x14ac:dyDescent="0.2"/>
    <row r="3677" customFormat="1" x14ac:dyDescent="0.2"/>
    <row r="3678" customFormat="1" x14ac:dyDescent="0.2"/>
    <row r="3679" customFormat="1" x14ac:dyDescent="0.2"/>
    <row r="3680" customFormat="1" x14ac:dyDescent="0.2"/>
    <row r="3681" customFormat="1" x14ac:dyDescent="0.2"/>
    <row r="3682" customFormat="1" x14ac:dyDescent="0.2"/>
    <row r="3683" customFormat="1" x14ac:dyDescent="0.2"/>
    <row r="3684" customFormat="1" x14ac:dyDescent="0.2"/>
    <row r="3685" customFormat="1" x14ac:dyDescent="0.2"/>
    <row r="3686" customFormat="1" x14ac:dyDescent="0.2"/>
    <row r="3687" customFormat="1" x14ac:dyDescent="0.2"/>
    <row r="3688" customFormat="1" x14ac:dyDescent="0.2"/>
    <row r="3689" customFormat="1" x14ac:dyDescent="0.2"/>
    <row r="3690" customFormat="1" x14ac:dyDescent="0.2"/>
    <row r="3691" customFormat="1" x14ac:dyDescent="0.2"/>
    <row r="3692" customFormat="1" x14ac:dyDescent="0.2"/>
    <row r="3693" customFormat="1" x14ac:dyDescent="0.2"/>
    <row r="3694" customFormat="1" x14ac:dyDescent="0.2"/>
    <row r="3695" customFormat="1" x14ac:dyDescent="0.2"/>
    <row r="3696" customFormat="1" x14ac:dyDescent="0.2"/>
    <row r="3697" customFormat="1" x14ac:dyDescent="0.2"/>
    <row r="3698" customFormat="1" x14ac:dyDescent="0.2"/>
    <row r="3699" customFormat="1" x14ac:dyDescent="0.2"/>
    <row r="3700" customFormat="1" x14ac:dyDescent="0.2"/>
    <row r="3701" customFormat="1" x14ac:dyDescent="0.2"/>
    <row r="3702" customFormat="1" x14ac:dyDescent="0.2"/>
    <row r="3703" customFormat="1" x14ac:dyDescent="0.2"/>
    <row r="3704" customFormat="1" x14ac:dyDescent="0.2"/>
    <row r="3705" customFormat="1" x14ac:dyDescent="0.2"/>
    <row r="3706" customFormat="1" x14ac:dyDescent="0.2"/>
    <row r="3707" customFormat="1" x14ac:dyDescent="0.2"/>
    <row r="3708" customFormat="1" x14ac:dyDescent="0.2"/>
    <row r="3709" customFormat="1" x14ac:dyDescent="0.2"/>
    <row r="3710" customFormat="1" x14ac:dyDescent="0.2"/>
    <row r="3711" customFormat="1" x14ac:dyDescent="0.2"/>
    <row r="3712" customFormat="1" x14ac:dyDescent="0.2"/>
    <row r="3713" customFormat="1" x14ac:dyDescent="0.2"/>
    <row r="3714" customFormat="1" x14ac:dyDescent="0.2"/>
    <row r="3715" customFormat="1" x14ac:dyDescent="0.2"/>
    <row r="3716" customFormat="1" x14ac:dyDescent="0.2"/>
    <row r="3717" customFormat="1" x14ac:dyDescent="0.2"/>
    <row r="3718" customFormat="1" x14ac:dyDescent="0.2"/>
    <row r="3719" customFormat="1" x14ac:dyDescent="0.2"/>
    <row r="3720" customFormat="1" x14ac:dyDescent="0.2"/>
    <row r="3721" customFormat="1" x14ac:dyDescent="0.2"/>
    <row r="3722" customFormat="1" x14ac:dyDescent="0.2"/>
    <row r="3723" customFormat="1" x14ac:dyDescent="0.2"/>
    <row r="3724" customFormat="1" x14ac:dyDescent="0.2"/>
    <row r="3725" customFormat="1" x14ac:dyDescent="0.2"/>
    <row r="3726" customFormat="1" x14ac:dyDescent="0.2"/>
    <row r="3727" customFormat="1" x14ac:dyDescent="0.2"/>
    <row r="3728" customFormat="1" x14ac:dyDescent="0.2"/>
    <row r="3729" customFormat="1" x14ac:dyDescent="0.2"/>
    <row r="3730" customFormat="1" x14ac:dyDescent="0.2"/>
    <row r="3731" customFormat="1" x14ac:dyDescent="0.2"/>
    <row r="3732" customFormat="1" x14ac:dyDescent="0.2"/>
    <row r="3733" customFormat="1" x14ac:dyDescent="0.2"/>
    <row r="3734" customFormat="1" x14ac:dyDescent="0.2"/>
    <row r="3735" customFormat="1" x14ac:dyDescent="0.2"/>
    <row r="3736" customFormat="1" x14ac:dyDescent="0.2"/>
    <row r="3737" customFormat="1" x14ac:dyDescent="0.2"/>
    <row r="3738" customFormat="1" x14ac:dyDescent="0.2"/>
    <row r="3739" customFormat="1" x14ac:dyDescent="0.2"/>
    <row r="3740" customFormat="1" x14ac:dyDescent="0.2"/>
    <row r="3741" customFormat="1" x14ac:dyDescent="0.2"/>
    <row r="3742" customFormat="1" x14ac:dyDescent="0.2"/>
    <row r="3743" customFormat="1" x14ac:dyDescent="0.2"/>
    <row r="3744" customFormat="1" x14ac:dyDescent="0.2"/>
    <row r="3745" customFormat="1" x14ac:dyDescent="0.2"/>
    <row r="3746" customFormat="1" x14ac:dyDescent="0.2"/>
    <row r="3747" customFormat="1" x14ac:dyDescent="0.2"/>
    <row r="3748" customFormat="1" x14ac:dyDescent="0.2"/>
    <row r="3749" customFormat="1" x14ac:dyDescent="0.2"/>
    <row r="3750" customFormat="1" x14ac:dyDescent="0.2"/>
    <row r="3751" customFormat="1" x14ac:dyDescent="0.2"/>
    <row r="3752" customFormat="1" x14ac:dyDescent="0.2"/>
    <row r="3753" customFormat="1" x14ac:dyDescent="0.2"/>
    <row r="3754" customFormat="1" x14ac:dyDescent="0.2"/>
    <row r="3755" customFormat="1" x14ac:dyDescent="0.2"/>
    <row r="3756" customFormat="1" x14ac:dyDescent="0.2"/>
    <row r="3757" customFormat="1" x14ac:dyDescent="0.2"/>
    <row r="3758" customFormat="1" x14ac:dyDescent="0.2"/>
    <row r="3759" customFormat="1" x14ac:dyDescent="0.2"/>
    <row r="3760" customFormat="1" x14ac:dyDescent="0.2"/>
    <row r="3761" customFormat="1" x14ac:dyDescent="0.2"/>
    <row r="3762" customFormat="1" x14ac:dyDescent="0.2"/>
    <row r="3763" customFormat="1" x14ac:dyDescent="0.2"/>
    <row r="3764" customFormat="1" x14ac:dyDescent="0.2"/>
    <row r="3765" customFormat="1" x14ac:dyDescent="0.2"/>
    <row r="3766" customFormat="1" x14ac:dyDescent="0.2"/>
    <row r="3767" customFormat="1" x14ac:dyDescent="0.2"/>
    <row r="3768" customFormat="1" x14ac:dyDescent="0.2"/>
    <row r="3769" customFormat="1" x14ac:dyDescent="0.2"/>
    <row r="3770" customFormat="1" x14ac:dyDescent="0.2"/>
    <row r="3771" customFormat="1" x14ac:dyDescent="0.2"/>
    <row r="3772" customFormat="1" x14ac:dyDescent="0.2"/>
    <row r="3773" customFormat="1" x14ac:dyDescent="0.2"/>
    <row r="3774" customFormat="1" x14ac:dyDescent="0.2"/>
    <row r="3775" customFormat="1" x14ac:dyDescent="0.2"/>
    <row r="3776" customFormat="1" x14ac:dyDescent="0.2"/>
    <row r="3777" customFormat="1" x14ac:dyDescent="0.2"/>
    <row r="3778" customFormat="1" x14ac:dyDescent="0.2"/>
    <row r="3779" customFormat="1" x14ac:dyDescent="0.2"/>
    <row r="3780" customFormat="1" x14ac:dyDescent="0.2"/>
    <row r="3781" customFormat="1" x14ac:dyDescent="0.2"/>
    <row r="3782" customFormat="1" x14ac:dyDescent="0.2"/>
    <row r="3783" customFormat="1" x14ac:dyDescent="0.2"/>
    <row r="3784" customFormat="1" x14ac:dyDescent="0.2"/>
    <row r="3785" customFormat="1" x14ac:dyDescent="0.2"/>
    <row r="3786" customFormat="1" x14ac:dyDescent="0.2"/>
    <row r="3787" customFormat="1" x14ac:dyDescent="0.2"/>
    <row r="3788" customFormat="1" x14ac:dyDescent="0.2"/>
    <row r="3789" customFormat="1" x14ac:dyDescent="0.2"/>
    <row r="3790" customFormat="1" x14ac:dyDescent="0.2"/>
    <row r="3791" customFormat="1" x14ac:dyDescent="0.2"/>
    <row r="3792" customFormat="1" x14ac:dyDescent="0.2"/>
    <row r="3793" customFormat="1" x14ac:dyDescent="0.2"/>
    <row r="3794" customFormat="1" x14ac:dyDescent="0.2"/>
    <row r="3795" customFormat="1" x14ac:dyDescent="0.2"/>
    <row r="3796" customFormat="1" x14ac:dyDescent="0.2"/>
    <row r="3797" customFormat="1" x14ac:dyDescent="0.2"/>
    <row r="3798" customFormat="1" x14ac:dyDescent="0.2"/>
    <row r="3799" customFormat="1" x14ac:dyDescent="0.2"/>
    <row r="3800" customFormat="1" x14ac:dyDescent="0.2"/>
    <row r="3801" customFormat="1" x14ac:dyDescent="0.2"/>
    <row r="3802" customFormat="1" x14ac:dyDescent="0.2"/>
    <row r="3803" customFormat="1" x14ac:dyDescent="0.2"/>
    <row r="3804" customFormat="1" x14ac:dyDescent="0.2"/>
    <row r="3805" customFormat="1" x14ac:dyDescent="0.2"/>
    <row r="3806" customFormat="1" x14ac:dyDescent="0.2"/>
    <row r="3807" customFormat="1" x14ac:dyDescent="0.2"/>
    <row r="3808" customFormat="1" x14ac:dyDescent="0.2"/>
    <row r="3809" customFormat="1" x14ac:dyDescent="0.2"/>
    <row r="3810" customFormat="1" x14ac:dyDescent="0.2"/>
    <row r="3811" customFormat="1" x14ac:dyDescent="0.2"/>
    <row r="3812" customFormat="1" x14ac:dyDescent="0.2"/>
    <row r="3813" customFormat="1" x14ac:dyDescent="0.2"/>
    <row r="3814" customFormat="1" x14ac:dyDescent="0.2"/>
    <row r="3815" customFormat="1" x14ac:dyDescent="0.2"/>
    <row r="3816" customFormat="1" x14ac:dyDescent="0.2"/>
    <row r="3817" customFormat="1" x14ac:dyDescent="0.2"/>
    <row r="3818" customFormat="1" x14ac:dyDescent="0.2"/>
    <row r="3819" customFormat="1" x14ac:dyDescent="0.2"/>
    <row r="3820" customFormat="1" x14ac:dyDescent="0.2"/>
    <row r="3821" customFormat="1" x14ac:dyDescent="0.2"/>
    <row r="3822" customFormat="1" x14ac:dyDescent="0.2"/>
    <row r="3823" customFormat="1" x14ac:dyDescent="0.2"/>
    <row r="3824" customFormat="1" x14ac:dyDescent="0.2"/>
    <row r="3825" customFormat="1" x14ac:dyDescent="0.2"/>
    <row r="3826" customFormat="1" x14ac:dyDescent="0.2"/>
    <row r="3827" customFormat="1" x14ac:dyDescent="0.2"/>
    <row r="3828" customFormat="1" x14ac:dyDescent="0.2"/>
    <row r="3829" customFormat="1" x14ac:dyDescent="0.2"/>
    <row r="3830" customFormat="1" x14ac:dyDescent="0.2"/>
    <row r="3831" customFormat="1" x14ac:dyDescent="0.2"/>
    <row r="3832" customFormat="1" x14ac:dyDescent="0.2"/>
    <row r="3833" customFormat="1" x14ac:dyDescent="0.2"/>
    <row r="3834" customFormat="1" x14ac:dyDescent="0.2"/>
    <row r="3835" customFormat="1" x14ac:dyDescent="0.2"/>
    <row r="3836" customFormat="1" x14ac:dyDescent="0.2"/>
    <row r="3837" customFormat="1" x14ac:dyDescent="0.2"/>
    <row r="3838" customFormat="1" x14ac:dyDescent="0.2"/>
    <row r="3839" customFormat="1" x14ac:dyDescent="0.2"/>
    <row r="3840" customFormat="1" x14ac:dyDescent="0.2"/>
    <row r="3841" customFormat="1" x14ac:dyDescent="0.2"/>
    <row r="3842" customFormat="1" x14ac:dyDescent="0.2"/>
    <row r="3843" customFormat="1" x14ac:dyDescent="0.2"/>
    <row r="3844" customFormat="1" x14ac:dyDescent="0.2"/>
    <row r="3845" customFormat="1" x14ac:dyDescent="0.2"/>
    <row r="3846" customFormat="1" x14ac:dyDescent="0.2"/>
    <row r="3847" customFormat="1" x14ac:dyDescent="0.2"/>
    <row r="3848" customFormat="1" x14ac:dyDescent="0.2"/>
    <row r="3849" customFormat="1" x14ac:dyDescent="0.2"/>
    <row r="3850" customFormat="1" x14ac:dyDescent="0.2"/>
    <row r="3851" customFormat="1" x14ac:dyDescent="0.2"/>
    <row r="3852" customFormat="1" x14ac:dyDescent="0.2"/>
    <row r="3853" customFormat="1" x14ac:dyDescent="0.2"/>
    <row r="3854" customFormat="1" x14ac:dyDescent="0.2"/>
    <row r="3855" customFormat="1" x14ac:dyDescent="0.2"/>
    <row r="3856" customFormat="1" x14ac:dyDescent="0.2"/>
    <row r="3857" customFormat="1" x14ac:dyDescent="0.2"/>
    <row r="3858" customFormat="1" x14ac:dyDescent="0.2"/>
    <row r="3859" customFormat="1" x14ac:dyDescent="0.2"/>
    <row r="3860" customFormat="1" x14ac:dyDescent="0.2"/>
    <row r="3861" customFormat="1" x14ac:dyDescent="0.2"/>
    <row r="3862" customFormat="1" x14ac:dyDescent="0.2"/>
    <row r="3863" customFormat="1" x14ac:dyDescent="0.2"/>
    <row r="3864" customFormat="1" x14ac:dyDescent="0.2"/>
    <row r="3865" customFormat="1" x14ac:dyDescent="0.2"/>
    <row r="3866" customFormat="1" x14ac:dyDescent="0.2"/>
    <row r="3867" customFormat="1" x14ac:dyDescent="0.2"/>
    <row r="3868" customFormat="1" x14ac:dyDescent="0.2"/>
    <row r="3869" customFormat="1" x14ac:dyDescent="0.2"/>
    <row r="3870" customFormat="1" x14ac:dyDescent="0.2"/>
    <row r="3871" customFormat="1" x14ac:dyDescent="0.2"/>
    <row r="3872" customFormat="1" x14ac:dyDescent="0.2"/>
    <row r="3873" customFormat="1" x14ac:dyDescent="0.2"/>
    <row r="3874" customFormat="1" x14ac:dyDescent="0.2"/>
    <row r="3875" customFormat="1" x14ac:dyDescent="0.2"/>
    <row r="3876" customFormat="1" x14ac:dyDescent="0.2"/>
    <row r="3877" customFormat="1" x14ac:dyDescent="0.2"/>
    <row r="3878" customFormat="1" x14ac:dyDescent="0.2"/>
    <row r="3879" customFormat="1" x14ac:dyDescent="0.2"/>
    <row r="3880" customFormat="1" x14ac:dyDescent="0.2"/>
    <row r="3881" customFormat="1" x14ac:dyDescent="0.2"/>
    <row r="3882" customFormat="1" x14ac:dyDescent="0.2"/>
    <row r="3883" customFormat="1" x14ac:dyDescent="0.2"/>
    <row r="3884" customFormat="1" x14ac:dyDescent="0.2"/>
    <row r="3885" customFormat="1" x14ac:dyDescent="0.2"/>
    <row r="3886" customFormat="1" x14ac:dyDescent="0.2"/>
    <row r="3887" customFormat="1" x14ac:dyDescent="0.2"/>
    <row r="3888" customFormat="1" x14ac:dyDescent="0.2"/>
    <row r="3889" customFormat="1" x14ac:dyDescent="0.2"/>
    <row r="3890" customFormat="1" x14ac:dyDescent="0.2"/>
    <row r="3891" customFormat="1" x14ac:dyDescent="0.2"/>
    <row r="3892" customFormat="1" x14ac:dyDescent="0.2"/>
    <row r="3893" customFormat="1" x14ac:dyDescent="0.2"/>
    <row r="3894" customFormat="1" x14ac:dyDescent="0.2"/>
    <row r="3895" customFormat="1" x14ac:dyDescent="0.2"/>
    <row r="3896" customFormat="1" x14ac:dyDescent="0.2"/>
    <row r="3897" customFormat="1" x14ac:dyDescent="0.2"/>
    <row r="3898" customFormat="1" x14ac:dyDescent="0.2"/>
    <row r="3899" customFormat="1" x14ac:dyDescent="0.2"/>
    <row r="3900" customFormat="1" x14ac:dyDescent="0.2"/>
    <row r="3901" customFormat="1" x14ac:dyDescent="0.2"/>
    <row r="3902" customFormat="1" x14ac:dyDescent="0.2"/>
    <row r="3903" customFormat="1" x14ac:dyDescent="0.2"/>
    <row r="3904" customFormat="1" x14ac:dyDescent="0.2"/>
    <row r="3905" customFormat="1" x14ac:dyDescent="0.2"/>
    <row r="3906" customFormat="1" x14ac:dyDescent="0.2"/>
    <row r="3907" customFormat="1" x14ac:dyDescent="0.2"/>
    <row r="3908" customFormat="1" x14ac:dyDescent="0.2"/>
    <row r="3909" customFormat="1" x14ac:dyDescent="0.2"/>
    <row r="3910" customFormat="1" x14ac:dyDescent="0.2"/>
    <row r="3911" customFormat="1" x14ac:dyDescent="0.2"/>
    <row r="3912" customFormat="1" x14ac:dyDescent="0.2"/>
    <row r="3913" customFormat="1" x14ac:dyDescent="0.2"/>
    <row r="3914" customFormat="1" x14ac:dyDescent="0.2"/>
    <row r="3915" customFormat="1" x14ac:dyDescent="0.2"/>
    <row r="3916" customFormat="1" x14ac:dyDescent="0.2"/>
    <row r="3917" customFormat="1" x14ac:dyDescent="0.2"/>
    <row r="3918" customFormat="1" x14ac:dyDescent="0.2"/>
    <row r="3919" customFormat="1" x14ac:dyDescent="0.2"/>
    <row r="3920" customFormat="1" x14ac:dyDescent="0.2"/>
    <row r="3921" customFormat="1" x14ac:dyDescent="0.2"/>
    <row r="3922" customFormat="1" x14ac:dyDescent="0.2"/>
    <row r="3923" customFormat="1" x14ac:dyDescent="0.2"/>
    <row r="3924" customFormat="1" x14ac:dyDescent="0.2"/>
    <row r="3925" customFormat="1" x14ac:dyDescent="0.2"/>
    <row r="3926" customFormat="1" x14ac:dyDescent="0.2"/>
    <row r="3927" customFormat="1" x14ac:dyDescent="0.2"/>
    <row r="3928" customFormat="1" x14ac:dyDescent="0.2"/>
    <row r="3929" customFormat="1" x14ac:dyDescent="0.2"/>
    <row r="3930" customFormat="1" x14ac:dyDescent="0.2"/>
    <row r="3931" customFormat="1" x14ac:dyDescent="0.2"/>
    <row r="3932" customFormat="1" x14ac:dyDescent="0.2"/>
    <row r="3933" customFormat="1" x14ac:dyDescent="0.2"/>
    <row r="3934" customFormat="1" x14ac:dyDescent="0.2"/>
    <row r="3935" customFormat="1" x14ac:dyDescent="0.2"/>
    <row r="3936" customFormat="1" x14ac:dyDescent="0.2"/>
    <row r="3937" customFormat="1" x14ac:dyDescent="0.2"/>
    <row r="3938" customFormat="1" x14ac:dyDescent="0.2"/>
    <row r="3939" customFormat="1" x14ac:dyDescent="0.2"/>
    <row r="3940" customFormat="1" x14ac:dyDescent="0.2"/>
    <row r="3941" customFormat="1" x14ac:dyDescent="0.2"/>
    <row r="3942" customFormat="1" x14ac:dyDescent="0.2"/>
    <row r="3943" customFormat="1" x14ac:dyDescent="0.2"/>
    <row r="3944" customFormat="1" x14ac:dyDescent="0.2"/>
    <row r="3945" customFormat="1" x14ac:dyDescent="0.2"/>
    <row r="3946" customFormat="1" x14ac:dyDescent="0.2"/>
    <row r="3947" customFormat="1" x14ac:dyDescent="0.2"/>
    <row r="3948" customFormat="1" x14ac:dyDescent="0.2"/>
    <row r="3949" customFormat="1" x14ac:dyDescent="0.2"/>
    <row r="3950" customFormat="1" x14ac:dyDescent="0.2"/>
    <row r="3951" customFormat="1" x14ac:dyDescent="0.2"/>
    <row r="3952" customFormat="1" x14ac:dyDescent="0.2"/>
    <row r="3953" customFormat="1" x14ac:dyDescent="0.2"/>
    <row r="3954" customFormat="1" x14ac:dyDescent="0.2"/>
    <row r="3955" customFormat="1" x14ac:dyDescent="0.2"/>
    <row r="3956" customFormat="1" x14ac:dyDescent="0.2"/>
    <row r="3957" customFormat="1" x14ac:dyDescent="0.2"/>
    <row r="3958" customFormat="1" x14ac:dyDescent="0.2"/>
    <row r="3959" customFormat="1" x14ac:dyDescent="0.2"/>
    <row r="3960" customFormat="1" x14ac:dyDescent="0.2"/>
    <row r="3961" customFormat="1" x14ac:dyDescent="0.2"/>
    <row r="3962" customFormat="1" x14ac:dyDescent="0.2"/>
    <row r="3963" customFormat="1" x14ac:dyDescent="0.2"/>
    <row r="3964" customFormat="1" x14ac:dyDescent="0.2"/>
    <row r="3965" customFormat="1" x14ac:dyDescent="0.2"/>
    <row r="3966" customFormat="1" x14ac:dyDescent="0.2"/>
    <row r="3967" customFormat="1" x14ac:dyDescent="0.2"/>
    <row r="3968" customFormat="1" x14ac:dyDescent="0.2"/>
    <row r="3969" customFormat="1" x14ac:dyDescent="0.2"/>
    <row r="3970" customFormat="1" x14ac:dyDescent="0.2"/>
    <row r="3971" customFormat="1" x14ac:dyDescent="0.2"/>
    <row r="3972" customFormat="1" x14ac:dyDescent="0.2"/>
    <row r="3973" customFormat="1" x14ac:dyDescent="0.2"/>
    <row r="3974" customFormat="1" x14ac:dyDescent="0.2"/>
    <row r="3975" customFormat="1" x14ac:dyDescent="0.2"/>
    <row r="3976" customFormat="1" x14ac:dyDescent="0.2"/>
    <row r="3977" customFormat="1" x14ac:dyDescent="0.2"/>
    <row r="3978" customFormat="1" x14ac:dyDescent="0.2"/>
    <row r="3979" customFormat="1" x14ac:dyDescent="0.2"/>
    <row r="3980" customFormat="1" x14ac:dyDescent="0.2"/>
    <row r="3981" customFormat="1" x14ac:dyDescent="0.2"/>
    <row r="3982" customFormat="1" x14ac:dyDescent="0.2"/>
    <row r="3983" customFormat="1" x14ac:dyDescent="0.2"/>
    <row r="3984" customFormat="1" x14ac:dyDescent="0.2"/>
    <row r="3985" customFormat="1" x14ac:dyDescent="0.2"/>
    <row r="3986" customFormat="1" x14ac:dyDescent="0.2"/>
    <row r="3987" customFormat="1" x14ac:dyDescent="0.2"/>
    <row r="3988" customFormat="1" x14ac:dyDescent="0.2"/>
    <row r="3989" customFormat="1" x14ac:dyDescent="0.2"/>
    <row r="3990" customFormat="1" x14ac:dyDescent="0.2"/>
    <row r="3991" customFormat="1" x14ac:dyDescent="0.2"/>
    <row r="3992" customFormat="1" x14ac:dyDescent="0.2"/>
    <row r="3993" customFormat="1" x14ac:dyDescent="0.2"/>
    <row r="3994" customFormat="1" x14ac:dyDescent="0.2"/>
    <row r="3995" customFormat="1" x14ac:dyDescent="0.2"/>
    <row r="3996" customFormat="1" x14ac:dyDescent="0.2"/>
    <row r="3997" customFormat="1" x14ac:dyDescent="0.2"/>
    <row r="3998" customFormat="1" x14ac:dyDescent="0.2"/>
    <row r="3999" customFormat="1" x14ac:dyDescent="0.2"/>
    <row r="4000" customFormat="1" x14ac:dyDescent="0.2"/>
    <row r="4001" customFormat="1" x14ac:dyDescent="0.2"/>
    <row r="4002" customFormat="1" x14ac:dyDescent="0.2"/>
    <row r="4003" customFormat="1" x14ac:dyDescent="0.2"/>
    <row r="4004" customFormat="1" x14ac:dyDescent="0.2"/>
    <row r="4005" customFormat="1" x14ac:dyDescent="0.2"/>
    <row r="4006" customFormat="1" x14ac:dyDescent="0.2"/>
    <row r="4007" customFormat="1" x14ac:dyDescent="0.2"/>
    <row r="4008" customFormat="1" x14ac:dyDescent="0.2"/>
    <row r="4009" customFormat="1" x14ac:dyDescent="0.2"/>
    <row r="4010" customFormat="1" x14ac:dyDescent="0.2"/>
    <row r="4011" customFormat="1" x14ac:dyDescent="0.2"/>
    <row r="4012" customFormat="1" x14ac:dyDescent="0.2"/>
    <row r="4013" customFormat="1" x14ac:dyDescent="0.2"/>
    <row r="4014" customFormat="1" x14ac:dyDescent="0.2"/>
    <row r="4015" customFormat="1" x14ac:dyDescent="0.2"/>
    <row r="4016" customFormat="1" x14ac:dyDescent="0.2"/>
    <row r="4017" customFormat="1" x14ac:dyDescent="0.2"/>
    <row r="4018" customFormat="1" x14ac:dyDescent="0.2"/>
    <row r="4019" customFormat="1" x14ac:dyDescent="0.2"/>
    <row r="4020" customFormat="1" x14ac:dyDescent="0.2"/>
    <row r="4021" customFormat="1" x14ac:dyDescent="0.2"/>
    <row r="4022" customFormat="1" x14ac:dyDescent="0.2"/>
    <row r="4023" customFormat="1" x14ac:dyDescent="0.2"/>
    <row r="4024" customFormat="1" x14ac:dyDescent="0.2"/>
    <row r="4025" customFormat="1" x14ac:dyDescent="0.2"/>
    <row r="4026" customFormat="1" x14ac:dyDescent="0.2"/>
    <row r="4027" customFormat="1" x14ac:dyDescent="0.2"/>
    <row r="4028" customFormat="1" x14ac:dyDescent="0.2"/>
    <row r="4029" customFormat="1" x14ac:dyDescent="0.2"/>
    <row r="4030" customFormat="1" x14ac:dyDescent="0.2"/>
    <row r="4031" customFormat="1" x14ac:dyDescent="0.2"/>
    <row r="4032" customFormat="1" x14ac:dyDescent="0.2"/>
    <row r="4033" customFormat="1" x14ac:dyDescent="0.2"/>
    <row r="4034" customFormat="1" x14ac:dyDescent="0.2"/>
    <row r="4035" customFormat="1" x14ac:dyDescent="0.2"/>
    <row r="4036" customFormat="1" x14ac:dyDescent="0.2"/>
    <row r="4037" customFormat="1" x14ac:dyDescent="0.2"/>
    <row r="4038" customFormat="1" x14ac:dyDescent="0.2"/>
    <row r="4039" customFormat="1" x14ac:dyDescent="0.2"/>
    <row r="4040" customFormat="1" x14ac:dyDescent="0.2"/>
    <row r="4041" customFormat="1" x14ac:dyDescent="0.2"/>
    <row r="4042" customFormat="1" x14ac:dyDescent="0.2"/>
    <row r="4043" customFormat="1" x14ac:dyDescent="0.2"/>
    <row r="4044" customFormat="1" x14ac:dyDescent="0.2"/>
    <row r="4045" customFormat="1" x14ac:dyDescent="0.2"/>
    <row r="4046" customFormat="1" x14ac:dyDescent="0.2"/>
    <row r="4047" customFormat="1" x14ac:dyDescent="0.2"/>
    <row r="4048" customFormat="1" x14ac:dyDescent="0.2"/>
    <row r="4049" customFormat="1" x14ac:dyDescent="0.2"/>
    <row r="4050" customFormat="1" x14ac:dyDescent="0.2"/>
    <row r="4051" customFormat="1" x14ac:dyDescent="0.2"/>
    <row r="4052" customFormat="1" x14ac:dyDescent="0.2"/>
    <row r="4053" customFormat="1" x14ac:dyDescent="0.2"/>
    <row r="4054" customFormat="1" x14ac:dyDescent="0.2"/>
    <row r="4055" customFormat="1" x14ac:dyDescent="0.2"/>
    <row r="4056" customFormat="1" x14ac:dyDescent="0.2"/>
    <row r="4057" customFormat="1" x14ac:dyDescent="0.2"/>
    <row r="4058" customFormat="1" x14ac:dyDescent="0.2"/>
    <row r="4059" customFormat="1" x14ac:dyDescent="0.2"/>
    <row r="4060" customFormat="1" x14ac:dyDescent="0.2"/>
    <row r="4061" customFormat="1" x14ac:dyDescent="0.2"/>
    <row r="4062" customFormat="1" x14ac:dyDescent="0.2"/>
    <row r="4063" customFormat="1" x14ac:dyDescent="0.2"/>
    <row r="4064" customFormat="1" x14ac:dyDescent="0.2"/>
    <row r="4065" customFormat="1" x14ac:dyDescent="0.2"/>
    <row r="4066" customFormat="1" x14ac:dyDescent="0.2"/>
    <row r="4067" customFormat="1" x14ac:dyDescent="0.2"/>
    <row r="4068" customFormat="1" x14ac:dyDescent="0.2"/>
    <row r="4069" customFormat="1" x14ac:dyDescent="0.2"/>
    <row r="4070" customFormat="1" x14ac:dyDescent="0.2"/>
    <row r="4071" customFormat="1" x14ac:dyDescent="0.2"/>
    <row r="4072" customFormat="1" x14ac:dyDescent="0.2"/>
    <row r="4073" customFormat="1" x14ac:dyDescent="0.2"/>
    <row r="4074" customFormat="1" x14ac:dyDescent="0.2"/>
    <row r="4075" customFormat="1" x14ac:dyDescent="0.2"/>
    <row r="4076" customFormat="1" x14ac:dyDescent="0.2"/>
    <row r="4077" customFormat="1" x14ac:dyDescent="0.2"/>
    <row r="4078" customFormat="1" x14ac:dyDescent="0.2"/>
    <row r="4079" customFormat="1" x14ac:dyDescent="0.2"/>
    <row r="4080" customFormat="1" x14ac:dyDescent="0.2"/>
    <row r="4081" customFormat="1" x14ac:dyDescent="0.2"/>
    <row r="4082" customFormat="1" x14ac:dyDescent="0.2"/>
    <row r="4083" customFormat="1" x14ac:dyDescent="0.2"/>
    <row r="4084" customFormat="1" x14ac:dyDescent="0.2"/>
    <row r="4085" customFormat="1" x14ac:dyDescent="0.2"/>
    <row r="4086" customFormat="1" x14ac:dyDescent="0.2"/>
    <row r="4087" customFormat="1" x14ac:dyDescent="0.2"/>
    <row r="4088" customFormat="1" x14ac:dyDescent="0.2"/>
    <row r="4089" customFormat="1" x14ac:dyDescent="0.2"/>
    <row r="4090" customFormat="1" x14ac:dyDescent="0.2"/>
    <row r="4091" customFormat="1" x14ac:dyDescent="0.2"/>
    <row r="4092" customFormat="1" x14ac:dyDescent="0.2"/>
    <row r="4093" customFormat="1" x14ac:dyDescent="0.2"/>
    <row r="4094" customFormat="1" x14ac:dyDescent="0.2"/>
    <row r="4095" customFormat="1" x14ac:dyDescent="0.2"/>
    <row r="4096" customFormat="1" x14ac:dyDescent="0.2"/>
    <row r="4097" customFormat="1" x14ac:dyDescent="0.2"/>
    <row r="4098" customFormat="1" x14ac:dyDescent="0.2"/>
    <row r="4099" customFormat="1" x14ac:dyDescent="0.2"/>
    <row r="4100" customFormat="1" x14ac:dyDescent="0.2"/>
    <row r="4101" customFormat="1" x14ac:dyDescent="0.2"/>
    <row r="4102" customFormat="1" x14ac:dyDescent="0.2"/>
    <row r="4103" customFormat="1" x14ac:dyDescent="0.2"/>
    <row r="4104" customFormat="1" x14ac:dyDescent="0.2"/>
    <row r="4105" customFormat="1" x14ac:dyDescent="0.2"/>
    <row r="4106" customFormat="1" x14ac:dyDescent="0.2"/>
    <row r="4107" customFormat="1" x14ac:dyDescent="0.2"/>
    <row r="4108" customFormat="1" x14ac:dyDescent="0.2"/>
    <row r="4109" customFormat="1" x14ac:dyDescent="0.2"/>
    <row r="4110" customFormat="1" x14ac:dyDescent="0.2"/>
    <row r="4111" customFormat="1" x14ac:dyDescent="0.2"/>
    <row r="4112" customFormat="1" x14ac:dyDescent="0.2"/>
    <row r="4113" customFormat="1" x14ac:dyDescent="0.2"/>
    <row r="4114" customFormat="1" x14ac:dyDescent="0.2"/>
    <row r="4115" customFormat="1" x14ac:dyDescent="0.2"/>
    <row r="4116" customFormat="1" x14ac:dyDescent="0.2"/>
    <row r="4117" customFormat="1" x14ac:dyDescent="0.2"/>
    <row r="4118" customFormat="1" x14ac:dyDescent="0.2"/>
    <row r="4119" customFormat="1" x14ac:dyDescent="0.2"/>
    <row r="4120" customFormat="1" x14ac:dyDescent="0.2"/>
    <row r="4121" customFormat="1" x14ac:dyDescent="0.2"/>
    <row r="4122" customFormat="1" x14ac:dyDescent="0.2"/>
    <row r="4123" customFormat="1" x14ac:dyDescent="0.2"/>
    <row r="4124" customFormat="1" x14ac:dyDescent="0.2"/>
    <row r="4125" customFormat="1" x14ac:dyDescent="0.2"/>
    <row r="4126" customFormat="1" x14ac:dyDescent="0.2"/>
    <row r="4127" customFormat="1" x14ac:dyDescent="0.2"/>
    <row r="4128" customFormat="1" x14ac:dyDescent="0.2"/>
    <row r="4129" customFormat="1" x14ac:dyDescent="0.2"/>
    <row r="4130" customFormat="1" x14ac:dyDescent="0.2"/>
    <row r="4131" customFormat="1" x14ac:dyDescent="0.2"/>
    <row r="4132" customFormat="1" x14ac:dyDescent="0.2"/>
    <row r="4133" customFormat="1" x14ac:dyDescent="0.2"/>
    <row r="4134" customFormat="1" x14ac:dyDescent="0.2"/>
    <row r="4135" customFormat="1" x14ac:dyDescent="0.2"/>
    <row r="4136" customFormat="1" x14ac:dyDescent="0.2"/>
    <row r="4137" customFormat="1" x14ac:dyDescent="0.2"/>
    <row r="4138" customFormat="1" x14ac:dyDescent="0.2"/>
    <row r="4139" customFormat="1" x14ac:dyDescent="0.2"/>
    <row r="4140" customFormat="1" x14ac:dyDescent="0.2"/>
    <row r="4141" customFormat="1" x14ac:dyDescent="0.2"/>
    <row r="4142" customFormat="1" x14ac:dyDescent="0.2"/>
    <row r="4143" customFormat="1" x14ac:dyDescent="0.2"/>
    <row r="4144" customFormat="1" x14ac:dyDescent="0.2"/>
    <row r="4145" customFormat="1" x14ac:dyDescent="0.2"/>
    <row r="4146" customFormat="1" x14ac:dyDescent="0.2"/>
    <row r="4147" customFormat="1" x14ac:dyDescent="0.2"/>
    <row r="4148" customFormat="1" x14ac:dyDescent="0.2"/>
    <row r="4149" customFormat="1" x14ac:dyDescent="0.2"/>
    <row r="4150" customFormat="1" x14ac:dyDescent="0.2"/>
    <row r="4151" customFormat="1" x14ac:dyDescent="0.2"/>
    <row r="4152" customFormat="1" x14ac:dyDescent="0.2"/>
    <row r="4153" customFormat="1" x14ac:dyDescent="0.2"/>
    <row r="4154" customFormat="1" x14ac:dyDescent="0.2"/>
    <row r="4155" customFormat="1" x14ac:dyDescent="0.2"/>
    <row r="4156" customFormat="1" x14ac:dyDescent="0.2"/>
    <row r="4157" customFormat="1" x14ac:dyDescent="0.2"/>
    <row r="4158" customFormat="1" x14ac:dyDescent="0.2"/>
    <row r="4159" customFormat="1" x14ac:dyDescent="0.2"/>
    <row r="4160" customFormat="1" x14ac:dyDescent="0.2"/>
    <row r="4161" customFormat="1" x14ac:dyDescent="0.2"/>
    <row r="4162" customFormat="1" x14ac:dyDescent="0.2"/>
    <row r="4163" customFormat="1" x14ac:dyDescent="0.2"/>
    <row r="4164" customFormat="1" x14ac:dyDescent="0.2"/>
    <row r="4165" customFormat="1" x14ac:dyDescent="0.2"/>
    <row r="4166" customFormat="1" x14ac:dyDescent="0.2"/>
    <row r="4167" customFormat="1" x14ac:dyDescent="0.2"/>
    <row r="4168" customFormat="1" x14ac:dyDescent="0.2"/>
    <row r="4169" customFormat="1" x14ac:dyDescent="0.2"/>
    <row r="4170" customFormat="1" x14ac:dyDescent="0.2"/>
    <row r="4171" customFormat="1" x14ac:dyDescent="0.2"/>
    <row r="4172" customFormat="1" x14ac:dyDescent="0.2"/>
    <row r="4173" customFormat="1" x14ac:dyDescent="0.2"/>
    <row r="4174" customFormat="1" x14ac:dyDescent="0.2"/>
    <row r="4175" customFormat="1" x14ac:dyDescent="0.2"/>
    <row r="4176" customFormat="1" x14ac:dyDescent="0.2"/>
    <row r="4177" customFormat="1" x14ac:dyDescent="0.2"/>
    <row r="4178" customFormat="1" x14ac:dyDescent="0.2"/>
    <row r="4179" customFormat="1" x14ac:dyDescent="0.2"/>
    <row r="4180" customFormat="1" x14ac:dyDescent="0.2"/>
    <row r="4181" customFormat="1" x14ac:dyDescent="0.2"/>
    <row r="4182" customFormat="1" x14ac:dyDescent="0.2"/>
    <row r="4183" customFormat="1" x14ac:dyDescent="0.2"/>
    <row r="4184" customFormat="1" x14ac:dyDescent="0.2"/>
    <row r="4185" customFormat="1" x14ac:dyDescent="0.2"/>
    <row r="4186" customFormat="1" x14ac:dyDescent="0.2"/>
    <row r="4187" customFormat="1" x14ac:dyDescent="0.2"/>
    <row r="4188" customFormat="1" x14ac:dyDescent="0.2"/>
    <row r="4189" customFormat="1" x14ac:dyDescent="0.2"/>
    <row r="4190" customFormat="1" x14ac:dyDescent="0.2"/>
    <row r="4191" customFormat="1" x14ac:dyDescent="0.2"/>
    <row r="4192" customFormat="1" x14ac:dyDescent="0.2"/>
    <row r="4193" customFormat="1" x14ac:dyDescent="0.2"/>
    <row r="4194" customFormat="1" x14ac:dyDescent="0.2"/>
    <row r="4195" customFormat="1" x14ac:dyDescent="0.2"/>
    <row r="4196" customFormat="1" x14ac:dyDescent="0.2"/>
    <row r="4197" customFormat="1" x14ac:dyDescent="0.2"/>
    <row r="4198" customFormat="1" x14ac:dyDescent="0.2"/>
    <row r="4199" customFormat="1" x14ac:dyDescent="0.2"/>
    <row r="4200" customFormat="1" x14ac:dyDescent="0.2"/>
    <row r="4201" customFormat="1" x14ac:dyDescent="0.2"/>
    <row r="4202" customFormat="1" x14ac:dyDescent="0.2"/>
    <row r="4203" customFormat="1" x14ac:dyDescent="0.2"/>
    <row r="4204" customFormat="1" x14ac:dyDescent="0.2"/>
    <row r="4205" customFormat="1" x14ac:dyDescent="0.2"/>
    <row r="4206" customFormat="1" x14ac:dyDescent="0.2"/>
    <row r="4207" customFormat="1" x14ac:dyDescent="0.2"/>
    <row r="4208" customFormat="1" x14ac:dyDescent="0.2"/>
    <row r="4209" customFormat="1" x14ac:dyDescent="0.2"/>
    <row r="4210" customFormat="1" x14ac:dyDescent="0.2"/>
    <row r="4211" customFormat="1" x14ac:dyDescent="0.2"/>
    <row r="4212" customFormat="1" x14ac:dyDescent="0.2"/>
    <row r="4213" customFormat="1" x14ac:dyDescent="0.2"/>
    <row r="4214" customFormat="1" x14ac:dyDescent="0.2"/>
    <row r="4215" customFormat="1" x14ac:dyDescent="0.2"/>
    <row r="4216" customFormat="1" x14ac:dyDescent="0.2"/>
    <row r="4217" customFormat="1" x14ac:dyDescent="0.2"/>
    <row r="4218" customFormat="1" x14ac:dyDescent="0.2"/>
    <row r="4219" customFormat="1" x14ac:dyDescent="0.2"/>
    <row r="4220" customFormat="1" x14ac:dyDescent="0.2"/>
    <row r="4221" customFormat="1" x14ac:dyDescent="0.2"/>
    <row r="4222" customFormat="1" x14ac:dyDescent="0.2"/>
    <row r="4223" customFormat="1" x14ac:dyDescent="0.2"/>
    <row r="4224" customFormat="1" x14ac:dyDescent="0.2"/>
    <row r="4225" customFormat="1" x14ac:dyDescent="0.2"/>
    <row r="4226" customFormat="1" x14ac:dyDescent="0.2"/>
    <row r="4227" customFormat="1" x14ac:dyDescent="0.2"/>
    <row r="4228" customFormat="1" x14ac:dyDescent="0.2"/>
    <row r="4229" customFormat="1" x14ac:dyDescent="0.2"/>
    <row r="4230" customFormat="1" x14ac:dyDescent="0.2"/>
    <row r="4231" customFormat="1" x14ac:dyDescent="0.2"/>
    <row r="4232" customFormat="1" x14ac:dyDescent="0.2"/>
    <row r="4233" customFormat="1" x14ac:dyDescent="0.2"/>
    <row r="4234" customFormat="1" x14ac:dyDescent="0.2"/>
    <row r="4235" customFormat="1" x14ac:dyDescent="0.2"/>
    <row r="4236" customFormat="1" x14ac:dyDescent="0.2"/>
    <row r="4237" customFormat="1" x14ac:dyDescent="0.2"/>
    <row r="4238" customFormat="1" x14ac:dyDescent="0.2"/>
    <row r="4239" customFormat="1" x14ac:dyDescent="0.2"/>
    <row r="4240" customFormat="1" x14ac:dyDescent="0.2"/>
    <row r="4241" customFormat="1" x14ac:dyDescent="0.2"/>
    <row r="4242" customFormat="1" x14ac:dyDescent="0.2"/>
    <row r="4243" customFormat="1" x14ac:dyDescent="0.2"/>
    <row r="4244" customFormat="1" x14ac:dyDescent="0.2"/>
    <row r="4245" customFormat="1" x14ac:dyDescent="0.2"/>
    <row r="4246" customFormat="1" x14ac:dyDescent="0.2"/>
    <row r="4247" customFormat="1" x14ac:dyDescent="0.2"/>
    <row r="4248" customFormat="1" x14ac:dyDescent="0.2"/>
    <row r="4249" customFormat="1" x14ac:dyDescent="0.2"/>
    <row r="4250" customFormat="1" x14ac:dyDescent="0.2"/>
    <row r="4251" customFormat="1" x14ac:dyDescent="0.2"/>
    <row r="4252" customFormat="1" x14ac:dyDescent="0.2"/>
    <row r="4253" customFormat="1" x14ac:dyDescent="0.2"/>
    <row r="4254" customFormat="1" x14ac:dyDescent="0.2"/>
    <row r="4255" customFormat="1" x14ac:dyDescent="0.2"/>
    <row r="4256" customFormat="1" x14ac:dyDescent="0.2"/>
    <row r="4257" customFormat="1" x14ac:dyDescent="0.2"/>
    <row r="4258" customFormat="1" x14ac:dyDescent="0.2"/>
    <row r="4259" customFormat="1" x14ac:dyDescent="0.2"/>
    <row r="4260" customFormat="1" x14ac:dyDescent="0.2"/>
    <row r="4261" customFormat="1" x14ac:dyDescent="0.2"/>
    <row r="4262" customFormat="1" x14ac:dyDescent="0.2"/>
    <row r="4263" customFormat="1" x14ac:dyDescent="0.2"/>
    <row r="4264" customFormat="1" x14ac:dyDescent="0.2"/>
    <row r="4265" customFormat="1" x14ac:dyDescent="0.2"/>
    <row r="4266" customFormat="1" x14ac:dyDescent="0.2"/>
    <row r="4267" customFormat="1" x14ac:dyDescent="0.2"/>
    <row r="4268" customFormat="1" x14ac:dyDescent="0.2"/>
    <row r="4269" customFormat="1" x14ac:dyDescent="0.2"/>
    <row r="4270" customFormat="1" x14ac:dyDescent="0.2"/>
    <row r="4271" customFormat="1" x14ac:dyDescent="0.2"/>
    <row r="4272" customFormat="1" x14ac:dyDescent="0.2"/>
    <row r="4273" customFormat="1" x14ac:dyDescent="0.2"/>
    <row r="4274" customFormat="1" x14ac:dyDescent="0.2"/>
    <row r="4275" customFormat="1" x14ac:dyDescent="0.2"/>
    <row r="4276" customFormat="1" x14ac:dyDescent="0.2"/>
    <row r="4277" customFormat="1" x14ac:dyDescent="0.2"/>
    <row r="4278" customFormat="1" x14ac:dyDescent="0.2"/>
    <row r="4279" customFormat="1" x14ac:dyDescent="0.2"/>
    <row r="4280" customFormat="1" x14ac:dyDescent="0.2"/>
    <row r="4281" customFormat="1" x14ac:dyDescent="0.2"/>
    <row r="4282" customFormat="1" x14ac:dyDescent="0.2"/>
    <row r="4283" customFormat="1" x14ac:dyDescent="0.2"/>
    <row r="4284" customFormat="1" x14ac:dyDescent="0.2"/>
    <row r="4285" customFormat="1" x14ac:dyDescent="0.2"/>
    <row r="4286" customFormat="1" x14ac:dyDescent="0.2"/>
    <row r="4287" customFormat="1" x14ac:dyDescent="0.2"/>
    <row r="4288" customFormat="1" x14ac:dyDescent="0.2"/>
    <row r="4289" customFormat="1" x14ac:dyDescent="0.2"/>
    <row r="4290" customFormat="1" x14ac:dyDescent="0.2"/>
    <row r="4291" customFormat="1" x14ac:dyDescent="0.2"/>
    <row r="4292" customFormat="1" x14ac:dyDescent="0.2"/>
    <row r="4293" customFormat="1" x14ac:dyDescent="0.2"/>
    <row r="4294" customFormat="1" x14ac:dyDescent="0.2"/>
    <row r="4295" customFormat="1" x14ac:dyDescent="0.2"/>
    <row r="4296" customFormat="1" x14ac:dyDescent="0.2"/>
    <row r="4297" customFormat="1" x14ac:dyDescent="0.2"/>
    <row r="4298" customFormat="1" x14ac:dyDescent="0.2"/>
    <row r="4299" customFormat="1" x14ac:dyDescent="0.2"/>
    <row r="4300" customFormat="1" x14ac:dyDescent="0.2"/>
    <row r="4301" customFormat="1" x14ac:dyDescent="0.2"/>
    <row r="4302" customFormat="1" x14ac:dyDescent="0.2"/>
    <row r="4303" customFormat="1" x14ac:dyDescent="0.2"/>
    <row r="4304" customFormat="1" x14ac:dyDescent="0.2"/>
    <row r="4305" customFormat="1" x14ac:dyDescent="0.2"/>
    <row r="4306" customFormat="1" x14ac:dyDescent="0.2"/>
    <row r="4307" customFormat="1" x14ac:dyDescent="0.2"/>
    <row r="4308" customFormat="1" x14ac:dyDescent="0.2"/>
    <row r="4309" customFormat="1" x14ac:dyDescent="0.2"/>
    <row r="4310" customFormat="1" x14ac:dyDescent="0.2"/>
    <row r="4311" customFormat="1" x14ac:dyDescent="0.2"/>
    <row r="4312" customFormat="1" x14ac:dyDescent="0.2"/>
    <row r="4313" customFormat="1" x14ac:dyDescent="0.2"/>
    <row r="4314" customFormat="1" x14ac:dyDescent="0.2"/>
    <row r="4315" customFormat="1" x14ac:dyDescent="0.2"/>
    <row r="4316" customFormat="1" x14ac:dyDescent="0.2"/>
    <row r="4317" customFormat="1" x14ac:dyDescent="0.2"/>
    <row r="4318" customFormat="1" x14ac:dyDescent="0.2"/>
    <row r="4319" customFormat="1" x14ac:dyDescent="0.2"/>
    <row r="4320" customFormat="1" x14ac:dyDescent="0.2"/>
    <row r="4321" customFormat="1" x14ac:dyDescent="0.2"/>
    <row r="4322" customFormat="1" x14ac:dyDescent="0.2"/>
    <row r="4323" customFormat="1" x14ac:dyDescent="0.2"/>
    <row r="4324" customFormat="1" x14ac:dyDescent="0.2"/>
    <row r="4325" customFormat="1" x14ac:dyDescent="0.2"/>
    <row r="4326" customFormat="1" x14ac:dyDescent="0.2"/>
    <row r="4327" customFormat="1" x14ac:dyDescent="0.2"/>
    <row r="4328" customFormat="1" x14ac:dyDescent="0.2"/>
    <row r="4329" customFormat="1" x14ac:dyDescent="0.2"/>
    <row r="4330" customFormat="1" x14ac:dyDescent="0.2"/>
    <row r="4331" customFormat="1" x14ac:dyDescent="0.2"/>
    <row r="4332" customFormat="1" x14ac:dyDescent="0.2"/>
    <row r="4333" customFormat="1" x14ac:dyDescent="0.2"/>
    <row r="4334" customFormat="1" x14ac:dyDescent="0.2"/>
    <row r="4335" customFormat="1" x14ac:dyDescent="0.2"/>
    <row r="4336" customFormat="1" x14ac:dyDescent="0.2"/>
    <row r="4337" customFormat="1" x14ac:dyDescent="0.2"/>
    <row r="4338" customFormat="1" x14ac:dyDescent="0.2"/>
    <row r="4339" customFormat="1" x14ac:dyDescent="0.2"/>
    <row r="4340" customFormat="1" x14ac:dyDescent="0.2"/>
    <row r="4341" customFormat="1" x14ac:dyDescent="0.2"/>
    <row r="4342" customFormat="1" x14ac:dyDescent="0.2"/>
    <row r="4343" customFormat="1" x14ac:dyDescent="0.2"/>
    <row r="4344" customFormat="1" x14ac:dyDescent="0.2"/>
    <row r="4345" customFormat="1" x14ac:dyDescent="0.2"/>
    <row r="4346" customFormat="1" x14ac:dyDescent="0.2"/>
    <row r="4347" customFormat="1" x14ac:dyDescent="0.2"/>
    <row r="4348" customFormat="1" x14ac:dyDescent="0.2"/>
    <row r="4349" customFormat="1" x14ac:dyDescent="0.2"/>
    <row r="4350" customFormat="1" x14ac:dyDescent="0.2"/>
    <row r="4351" customFormat="1" x14ac:dyDescent="0.2"/>
    <row r="4352" customFormat="1" x14ac:dyDescent="0.2"/>
    <row r="4353" customFormat="1" x14ac:dyDescent="0.2"/>
    <row r="4354" customFormat="1" x14ac:dyDescent="0.2"/>
    <row r="4355" customFormat="1" x14ac:dyDescent="0.2"/>
    <row r="4356" customFormat="1" x14ac:dyDescent="0.2"/>
    <row r="4357" customFormat="1" x14ac:dyDescent="0.2"/>
    <row r="4358" customFormat="1" x14ac:dyDescent="0.2"/>
    <row r="4359" customFormat="1" x14ac:dyDescent="0.2"/>
    <row r="4360" customFormat="1" x14ac:dyDescent="0.2"/>
    <row r="4361" customFormat="1" x14ac:dyDescent="0.2"/>
    <row r="4362" customFormat="1" x14ac:dyDescent="0.2"/>
    <row r="4363" customFormat="1" x14ac:dyDescent="0.2"/>
    <row r="4364" customFormat="1" x14ac:dyDescent="0.2"/>
    <row r="4365" customFormat="1" x14ac:dyDescent="0.2"/>
    <row r="4366" customFormat="1" x14ac:dyDescent="0.2"/>
    <row r="4367" customFormat="1" x14ac:dyDescent="0.2"/>
    <row r="4368" customFormat="1" x14ac:dyDescent="0.2"/>
    <row r="4369" customFormat="1" x14ac:dyDescent="0.2"/>
    <row r="4370" customFormat="1" x14ac:dyDescent="0.2"/>
    <row r="4371" customFormat="1" x14ac:dyDescent="0.2"/>
    <row r="4372" customFormat="1" x14ac:dyDescent="0.2"/>
    <row r="4373" customFormat="1" x14ac:dyDescent="0.2"/>
    <row r="4374" customFormat="1" x14ac:dyDescent="0.2"/>
    <row r="4375" customFormat="1" x14ac:dyDescent="0.2"/>
    <row r="4376" customFormat="1" x14ac:dyDescent="0.2"/>
    <row r="4377" customFormat="1" x14ac:dyDescent="0.2"/>
    <row r="4378" customFormat="1" x14ac:dyDescent="0.2"/>
    <row r="4379" customFormat="1" x14ac:dyDescent="0.2"/>
    <row r="4380" customFormat="1" x14ac:dyDescent="0.2"/>
    <row r="4381" customFormat="1" x14ac:dyDescent="0.2"/>
    <row r="4382" customFormat="1" x14ac:dyDescent="0.2"/>
    <row r="4383" customFormat="1" x14ac:dyDescent="0.2"/>
    <row r="4384" customFormat="1" x14ac:dyDescent="0.2"/>
    <row r="4385" customFormat="1" x14ac:dyDescent="0.2"/>
    <row r="4386" customFormat="1" x14ac:dyDescent="0.2"/>
    <row r="4387" customFormat="1" x14ac:dyDescent="0.2"/>
    <row r="4388" customFormat="1" x14ac:dyDescent="0.2"/>
    <row r="4389" customFormat="1" x14ac:dyDescent="0.2"/>
    <row r="4390" customFormat="1" x14ac:dyDescent="0.2"/>
    <row r="4391" customFormat="1" x14ac:dyDescent="0.2"/>
    <row r="4392" customFormat="1" x14ac:dyDescent="0.2"/>
    <row r="4393" customFormat="1" x14ac:dyDescent="0.2"/>
    <row r="4394" customFormat="1" x14ac:dyDescent="0.2"/>
    <row r="4395" customFormat="1" x14ac:dyDescent="0.2"/>
    <row r="4396" customFormat="1" x14ac:dyDescent="0.2"/>
    <row r="4397" customFormat="1" x14ac:dyDescent="0.2"/>
    <row r="4398" customFormat="1" x14ac:dyDescent="0.2"/>
    <row r="4399" customFormat="1" x14ac:dyDescent="0.2"/>
    <row r="4400" customFormat="1" x14ac:dyDescent="0.2"/>
    <row r="4401" customFormat="1" x14ac:dyDescent="0.2"/>
    <row r="4402" customFormat="1" x14ac:dyDescent="0.2"/>
    <row r="4403" customFormat="1" x14ac:dyDescent="0.2"/>
    <row r="4404" customFormat="1" x14ac:dyDescent="0.2"/>
    <row r="4405" customFormat="1" x14ac:dyDescent="0.2"/>
    <row r="4406" customFormat="1" x14ac:dyDescent="0.2"/>
    <row r="4407" customFormat="1" x14ac:dyDescent="0.2"/>
    <row r="4408" customFormat="1" x14ac:dyDescent="0.2"/>
    <row r="4409" customFormat="1" x14ac:dyDescent="0.2"/>
    <row r="4410" customFormat="1" x14ac:dyDescent="0.2"/>
    <row r="4411" customFormat="1" x14ac:dyDescent="0.2"/>
    <row r="4412" customFormat="1" x14ac:dyDescent="0.2"/>
    <row r="4413" customFormat="1" x14ac:dyDescent="0.2"/>
    <row r="4414" customFormat="1" x14ac:dyDescent="0.2"/>
    <row r="4415" customFormat="1" x14ac:dyDescent="0.2"/>
    <row r="4416" customFormat="1" x14ac:dyDescent="0.2"/>
    <row r="4417" customFormat="1" x14ac:dyDescent="0.2"/>
    <row r="4418" customFormat="1" x14ac:dyDescent="0.2"/>
    <row r="4419" customFormat="1" x14ac:dyDescent="0.2"/>
    <row r="4420" customFormat="1" x14ac:dyDescent="0.2"/>
    <row r="4421" customFormat="1" x14ac:dyDescent="0.2"/>
    <row r="4422" customFormat="1" x14ac:dyDescent="0.2"/>
    <row r="4423" customFormat="1" x14ac:dyDescent="0.2"/>
    <row r="4424" customFormat="1" x14ac:dyDescent="0.2"/>
    <row r="4425" customFormat="1" x14ac:dyDescent="0.2"/>
    <row r="4426" customFormat="1" x14ac:dyDescent="0.2"/>
    <row r="4427" customFormat="1" x14ac:dyDescent="0.2"/>
    <row r="4428" customFormat="1" x14ac:dyDescent="0.2"/>
    <row r="4429" customFormat="1" x14ac:dyDescent="0.2"/>
    <row r="4430" customFormat="1" x14ac:dyDescent="0.2"/>
    <row r="4431" customFormat="1" x14ac:dyDescent="0.2"/>
    <row r="4432" customFormat="1" x14ac:dyDescent="0.2"/>
    <row r="4433" customFormat="1" x14ac:dyDescent="0.2"/>
    <row r="4434" customFormat="1" x14ac:dyDescent="0.2"/>
    <row r="4435" customFormat="1" x14ac:dyDescent="0.2"/>
    <row r="4436" customFormat="1" x14ac:dyDescent="0.2"/>
    <row r="4437" customFormat="1" x14ac:dyDescent="0.2"/>
    <row r="4438" customFormat="1" x14ac:dyDescent="0.2"/>
    <row r="4439" customFormat="1" x14ac:dyDescent="0.2"/>
    <row r="4440" customFormat="1" x14ac:dyDescent="0.2"/>
    <row r="4441" customFormat="1" x14ac:dyDescent="0.2"/>
    <row r="4442" customFormat="1" x14ac:dyDescent="0.2"/>
    <row r="4443" customFormat="1" x14ac:dyDescent="0.2"/>
    <row r="4444" customFormat="1" x14ac:dyDescent="0.2"/>
    <row r="4445" customFormat="1" x14ac:dyDescent="0.2"/>
    <row r="4446" customFormat="1" x14ac:dyDescent="0.2"/>
    <row r="4447" customFormat="1" x14ac:dyDescent="0.2"/>
    <row r="4448" customFormat="1" x14ac:dyDescent="0.2"/>
    <row r="4449" customFormat="1" x14ac:dyDescent="0.2"/>
    <row r="4450" customFormat="1" x14ac:dyDescent="0.2"/>
    <row r="4451" customFormat="1" x14ac:dyDescent="0.2"/>
    <row r="4452" customFormat="1" x14ac:dyDescent="0.2"/>
    <row r="4453" customFormat="1" x14ac:dyDescent="0.2"/>
    <row r="4454" customFormat="1" x14ac:dyDescent="0.2"/>
    <row r="4455" customFormat="1" x14ac:dyDescent="0.2"/>
    <row r="4456" customFormat="1" x14ac:dyDescent="0.2"/>
    <row r="4457" customFormat="1" x14ac:dyDescent="0.2"/>
    <row r="4458" customFormat="1" x14ac:dyDescent="0.2"/>
    <row r="4459" customFormat="1" x14ac:dyDescent="0.2"/>
    <row r="4460" customFormat="1" x14ac:dyDescent="0.2"/>
    <row r="4461" customFormat="1" x14ac:dyDescent="0.2"/>
    <row r="4462" customFormat="1" x14ac:dyDescent="0.2"/>
    <row r="4463" customFormat="1" x14ac:dyDescent="0.2"/>
    <row r="4464" customFormat="1" x14ac:dyDescent="0.2"/>
    <row r="4465" customFormat="1" x14ac:dyDescent="0.2"/>
    <row r="4466" customFormat="1" x14ac:dyDescent="0.2"/>
    <row r="4467" customFormat="1" x14ac:dyDescent="0.2"/>
    <row r="4468" customFormat="1" x14ac:dyDescent="0.2"/>
    <row r="4469" customFormat="1" x14ac:dyDescent="0.2"/>
    <row r="4470" customFormat="1" x14ac:dyDescent="0.2"/>
    <row r="4471" customFormat="1" x14ac:dyDescent="0.2"/>
    <row r="4472" customFormat="1" x14ac:dyDescent="0.2"/>
    <row r="4473" customFormat="1" x14ac:dyDescent="0.2"/>
    <row r="4474" customFormat="1" x14ac:dyDescent="0.2"/>
    <row r="4475" customFormat="1" x14ac:dyDescent="0.2"/>
    <row r="4476" customFormat="1" x14ac:dyDescent="0.2"/>
    <row r="4477" customFormat="1" x14ac:dyDescent="0.2"/>
    <row r="4478" customFormat="1" x14ac:dyDescent="0.2"/>
    <row r="4479" customFormat="1" x14ac:dyDescent="0.2"/>
    <row r="4480" customFormat="1" x14ac:dyDescent="0.2"/>
    <row r="4481" customFormat="1" x14ac:dyDescent="0.2"/>
    <row r="4482" customFormat="1" x14ac:dyDescent="0.2"/>
    <row r="4483" customFormat="1" x14ac:dyDescent="0.2"/>
    <row r="4484" customFormat="1" x14ac:dyDescent="0.2"/>
    <row r="4485" customFormat="1" x14ac:dyDescent="0.2"/>
    <row r="4486" customFormat="1" x14ac:dyDescent="0.2"/>
    <row r="4487" customFormat="1" x14ac:dyDescent="0.2"/>
    <row r="4488" customFormat="1" x14ac:dyDescent="0.2"/>
    <row r="4489" customFormat="1" x14ac:dyDescent="0.2"/>
    <row r="4490" customFormat="1" x14ac:dyDescent="0.2"/>
    <row r="4491" customFormat="1" x14ac:dyDescent="0.2"/>
    <row r="4492" customFormat="1" x14ac:dyDescent="0.2"/>
    <row r="4493" customFormat="1" x14ac:dyDescent="0.2"/>
    <row r="4494" customFormat="1" x14ac:dyDescent="0.2"/>
    <row r="4495" customFormat="1" x14ac:dyDescent="0.2"/>
    <row r="4496" customFormat="1" x14ac:dyDescent="0.2"/>
    <row r="4497" customFormat="1" x14ac:dyDescent="0.2"/>
    <row r="4498" customFormat="1" x14ac:dyDescent="0.2"/>
    <row r="4499" customFormat="1" x14ac:dyDescent="0.2"/>
    <row r="4500" customFormat="1" x14ac:dyDescent="0.2"/>
    <row r="4501" customFormat="1" x14ac:dyDescent="0.2"/>
    <row r="4502" customFormat="1" x14ac:dyDescent="0.2"/>
    <row r="4503" customFormat="1" x14ac:dyDescent="0.2"/>
    <row r="4504" customFormat="1" x14ac:dyDescent="0.2"/>
    <row r="4505" customFormat="1" x14ac:dyDescent="0.2"/>
    <row r="4506" customFormat="1" x14ac:dyDescent="0.2"/>
    <row r="4507" customFormat="1" x14ac:dyDescent="0.2"/>
    <row r="4508" customFormat="1" x14ac:dyDescent="0.2"/>
    <row r="4509" customFormat="1" x14ac:dyDescent="0.2"/>
    <row r="4510" customFormat="1" x14ac:dyDescent="0.2"/>
    <row r="4511" customFormat="1" x14ac:dyDescent="0.2"/>
    <row r="4512" customFormat="1" x14ac:dyDescent="0.2"/>
    <row r="4513" customFormat="1" x14ac:dyDescent="0.2"/>
    <row r="4514" customFormat="1" x14ac:dyDescent="0.2"/>
    <row r="4515" customFormat="1" x14ac:dyDescent="0.2"/>
    <row r="4516" customFormat="1" x14ac:dyDescent="0.2"/>
    <row r="4517" customFormat="1" x14ac:dyDescent="0.2"/>
    <row r="4518" customFormat="1" x14ac:dyDescent="0.2"/>
    <row r="4519" customFormat="1" x14ac:dyDescent="0.2"/>
    <row r="4520" customFormat="1" x14ac:dyDescent="0.2"/>
    <row r="4521" customFormat="1" x14ac:dyDescent="0.2"/>
    <row r="4522" customFormat="1" x14ac:dyDescent="0.2"/>
    <row r="4523" customFormat="1" x14ac:dyDescent="0.2"/>
    <row r="4524" customFormat="1" x14ac:dyDescent="0.2"/>
    <row r="4525" customFormat="1" x14ac:dyDescent="0.2"/>
    <row r="4526" customFormat="1" x14ac:dyDescent="0.2"/>
    <row r="4527" customFormat="1" x14ac:dyDescent="0.2"/>
    <row r="4528" customFormat="1" x14ac:dyDescent="0.2"/>
    <row r="4529" customFormat="1" x14ac:dyDescent="0.2"/>
    <row r="4530" customFormat="1" x14ac:dyDescent="0.2"/>
    <row r="4531" customFormat="1" x14ac:dyDescent="0.2"/>
    <row r="4532" customFormat="1" x14ac:dyDescent="0.2"/>
    <row r="4533" customFormat="1" x14ac:dyDescent="0.2"/>
    <row r="4534" customFormat="1" x14ac:dyDescent="0.2"/>
    <row r="4535" customFormat="1" x14ac:dyDescent="0.2"/>
    <row r="4536" customFormat="1" x14ac:dyDescent="0.2"/>
    <row r="4537" customFormat="1" x14ac:dyDescent="0.2"/>
    <row r="4538" customFormat="1" x14ac:dyDescent="0.2"/>
    <row r="4539" customFormat="1" x14ac:dyDescent="0.2"/>
    <row r="4540" customFormat="1" x14ac:dyDescent="0.2"/>
    <row r="4541" customFormat="1" x14ac:dyDescent="0.2"/>
    <row r="4542" customFormat="1" x14ac:dyDescent="0.2"/>
    <row r="4543" customFormat="1" x14ac:dyDescent="0.2"/>
    <row r="4544" customFormat="1" x14ac:dyDescent="0.2"/>
    <row r="4545" customFormat="1" x14ac:dyDescent="0.2"/>
    <row r="4546" customFormat="1" x14ac:dyDescent="0.2"/>
    <row r="4547" customFormat="1" x14ac:dyDescent="0.2"/>
    <row r="4548" customFormat="1" x14ac:dyDescent="0.2"/>
    <row r="4549" customFormat="1" x14ac:dyDescent="0.2"/>
    <row r="4550" customFormat="1" x14ac:dyDescent="0.2"/>
    <row r="4551" customFormat="1" x14ac:dyDescent="0.2"/>
    <row r="4552" customFormat="1" x14ac:dyDescent="0.2"/>
    <row r="4553" customFormat="1" x14ac:dyDescent="0.2"/>
    <row r="4554" customFormat="1" x14ac:dyDescent="0.2"/>
    <row r="4555" customFormat="1" x14ac:dyDescent="0.2"/>
    <row r="4556" customFormat="1" x14ac:dyDescent="0.2"/>
    <row r="4557" customFormat="1" x14ac:dyDescent="0.2"/>
    <row r="4558" customFormat="1" x14ac:dyDescent="0.2"/>
    <row r="4559" customFormat="1" x14ac:dyDescent="0.2"/>
    <row r="4560" customFormat="1" x14ac:dyDescent="0.2"/>
    <row r="4561" customFormat="1" x14ac:dyDescent="0.2"/>
    <row r="4562" customFormat="1" x14ac:dyDescent="0.2"/>
    <row r="4563" customFormat="1" x14ac:dyDescent="0.2"/>
    <row r="4564" customFormat="1" x14ac:dyDescent="0.2"/>
    <row r="4565" customFormat="1" x14ac:dyDescent="0.2"/>
    <row r="4566" customFormat="1" x14ac:dyDescent="0.2"/>
    <row r="4567" customFormat="1" x14ac:dyDescent="0.2"/>
    <row r="4568" customFormat="1" x14ac:dyDescent="0.2"/>
    <row r="4569" customFormat="1" x14ac:dyDescent="0.2"/>
    <row r="4570" customFormat="1" x14ac:dyDescent="0.2"/>
    <row r="4571" customFormat="1" x14ac:dyDescent="0.2"/>
    <row r="4572" customFormat="1" x14ac:dyDescent="0.2"/>
    <row r="4573" customFormat="1" x14ac:dyDescent="0.2"/>
    <row r="4574" customFormat="1" x14ac:dyDescent="0.2"/>
    <row r="4575" customFormat="1" x14ac:dyDescent="0.2"/>
    <row r="4576" customFormat="1" x14ac:dyDescent="0.2"/>
    <row r="4577" customFormat="1" x14ac:dyDescent="0.2"/>
    <row r="4578" customFormat="1" x14ac:dyDescent="0.2"/>
    <row r="4579" customFormat="1" x14ac:dyDescent="0.2"/>
    <row r="4580" customFormat="1" x14ac:dyDescent="0.2"/>
    <row r="4581" customFormat="1" x14ac:dyDescent="0.2"/>
    <row r="4582" customFormat="1" x14ac:dyDescent="0.2"/>
    <row r="4583" customFormat="1" x14ac:dyDescent="0.2"/>
    <row r="4584" customFormat="1" x14ac:dyDescent="0.2"/>
    <row r="4585" customFormat="1" x14ac:dyDescent="0.2"/>
    <row r="4586" customFormat="1" x14ac:dyDescent="0.2"/>
    <row r="4587" customFormat="1" x14ac:dyDescent="0.2"/>
    <row r="4588" customFormat="1" x14ac:dyDescent="0.2"/>
    <row r="4589" customFormat="1" x14ac:dyDescent="0.2"/>
    <row r="4590" customFormat="1" x14ac:dyDescent="0.2"/>
    <row r="4591" customFormat="1" x14ac:dyDescent="0.2"/>
    <row r="4592" customFormat="1" x14ac:dyDescent="0.2"/>
    <row r="4593" customFormat="1" x14ac:dyDescent="0.2"/>
    <row r="4594" customFormat="1" x14ac:dyDescent="0.2"/>
    <row r="4595" customFormat="1" x14ac:dyDescent="0.2"/>
    <row r="4596" customFormat="1" x14ac:dyDescent="0.2"/>
    <row r="4597" customFormat="1" x14ac:dyDescent="0.2"/>
    <row r="4598" customFormat="1" x14ac:dyDescent="0.2"/>
    <row r="4599" customFormat="1" x14ac:dyDescent="0.2"/>
    <row r="4600" customFormat="1" x14ac:dyDescent="0.2"/>
    <row r="4601" customFormat="1" x14ac:dyDescent="0.2"/>
    <row r="4602" customFormat="1" x14ac:dyDescent="0.2"/>
    <row r="4603" customFormat="1" x14ac:dyDescent="0.2"/>
    <row r="4604" customFormat="1" x14ac:dyDescent="0.2"/>
    <row r="4605" customFormat="1" x14ac:dyDescent="0.2"/>
    <row r="4606" customFormat="1" x14ac:dyDescent="0.2"/>
    <row r="4607" customFormat="1" x14ac:dyDescent="0.2"/>
    <row r="4608" customFormat="1" x14ac:dyDescent="0.2"/>
    <row r="4609" customFormat="1" x14ac:dyDescent="0.2"/>
    <row r="4610" customFormat="1" x14ac:dyDescent="0.2"/>
    <row r="4611" customFormat="1" x14ac:dyDescent="0.2"/>
    <row r="4612" customFormat="1" x14ac:dyDescent="0.2"/>
    <row r="4613" customFormat="1" x14ac:dyDescent="0.2"/>
    <row r="4614" customFormat="1" x14ac:dyDescent="0.2"/>
    <row r="4615" customFormat="1" x14ac:dyDescent="0.2"/>
    <row r="4616" customFormat="1" x14ac:dyDescent="0.2"/>
    <row r="4617" customFormat="1" x14ac:dyDescent="0.2"/>
    <row r="4618" customFormat="1" x14ac:dyDescent="0.2"/>
    <row r="4619" customFormat="1" x14ac:dyDescent="0.2"/>
    <row r="4620" customFormat="1" x14ac:dyDescent="0.2"/>
    <row r="4621" customFormat="1" x14ac:dyDescent="0.2"/>
    <row r="4622" customFormat="1" x14ac:dyDescent="0.2"/>
    <row r="4623" customFormat="1" x14ac:dyDescent="0.2"/>
    <row r="4624" customFormat="1" x14ac:dyDescent="0.2"/>
    <row r="4625" customFormat="1" x14ac:dyDescent="0.2"/>
    <row r="4626" customFormat="1" x14ac:dyDescent="0.2"/>
    <row r="4627" customFormat="1" x14ac:dyDescent="0.2"/>
    <row r="4628" customFormat="1" x14ac:dyDescent="0.2"/>
    <row r="4629" customFormat="1" x14ac:dyDescent="0.2"/>
    <row r="4630" customFormat="1" x14ac:dyDescent="0.2"/>
    <row r="4631" customFormat="1" x14ac:dyDescent="0.2"/>
    <row r="4632" customFormat="1" x14ac:dyDescent="0.2"/>
    <row r="4633" customFormat="1" x14ac:dyDescent="0.2"/>
    <row r="4634" customFormat="1" x14ac:dyDescent="0.2"/>
    <row r="4635" customFormat="1" x14ac:dyDescent="0.2"/>
    <row r="4636" customFormat="1" x14ac:dyDescent="0.2"/>
    <row r="4637" customFormat="1" x14ac:dyDescent="0.2"/>
    <row r="4638" customFormat="1" x14ac:dyDescent="0.2"/>
    <row r="4639" customFormat="1" x14ac:dyDescent="0.2"/>
    <row r="4640" customFormat="1" x14ac:dyDescent="0.2"/>
    <row r="4641" customFormat="1" x14ac:dyDescent="0.2"/>
    <row r="4642" customFormat="1" x14ac:dyDescent="0.2"/>
    <row r="4643" customFormat="1" x14ac:dyDescent="0.2"/>
    <row r="4644" customFormat="1" x14ac:dyDescent="0.2"/>
    <row r="4645" customFormat="1" x14ac:dyDescent="0.2"/>
    <row r="4646" customFormat="1" x14ac:dyDescent="0.2"/>
    <row r="4647" customFormat="1" x14ac:dyDescent="0.2"/>
    <row r="4648" customFormat="1" x14ac:dyDescent="0.2"/>
    <row r="4649" customFormat="1" x14ac:dyDescent="0.2"/>
    <row r="4650" customFormat="1" x14ac:dyDescent="0.2"/>
    <row r="4651" customFormat="1" x14ac:dyDescent="0.2"/>
    <row r="4652" customFormat="1" x14ac:dyDescent="0.2"/>
    <row r="4653" customFormat="1" x14ac:dyDescent="0.2"/>
    <row r="4654" customFormat="1" x14ac:dyDescent="0.2"/>
    <row r="4655" customFormat="1" x14ac:dyDescent="0.2"/>
    <row r="4656" customFormat="1" x14ac:dyDescent="0.2"/>
    <row r="4657" customFormat="1" x14ac:dyDescent="0.2"/>
    <row r="4658" customFormat="1" x14ac:dyDescent="0.2"/>
    <row r="4659" customFormat="1" x14ac:dyDescent="0.2"/>
    <row r="4660" customFormat="1" x14ac:dyDescent="0.2"/>
    <row r="4661" customFormat="1" x14ac:dyDescent="0.2"/>
    <row r="4662" customFormat="1" x14ac:dyDescent="0.2"/>
    <row r="4663" customFormat="1" x14ac:dyDescent="0.2"/>
    <row r="4664" customFormat="1" x14ac:dyDescent="0.2"/>
    <row r="4665" customFormat="1" x14ac:dyDescent="0.2"/>
    <row r="4666" customFormat="1" x14ac:dyDescent="0.2"/>
    <row r="4667" customFormat="1" x14ac:dyDescent="0.2"/>
    <row r="4668" customFormat="1" x14ac:dyDescent="0.2"/>
    <row r="4669" customFormat="1" x14ac:dyDescent="0.2"/>
    <row r="4670" customFormat="1" x14ac:dyDescent="0.2"/>
    <row r="4671" customFormat="1" x14ac:dyDescent="0.2"/>
    <row r="4672" customFormat="1" x14ac:dyDescent="0.2"/>
    <row r="4673" customFormat="1" x14ac:dyDescent="0.2"/>
    <row r="4674" customFormat="1" x14ac:dyDescent="0.2"/>
    <row r="4675" customFormat="1" x14ac:dyDescent="0.2"/>
    <row r="4676" customFormat="1" x14ac:dyDescent="0.2"/>
    <row r="4677" customFormat="1" x14ac:dyDescent="0.2"/>
    <row r="4678" customFormat="1" x14ac:dyDescent="0.2"/>
    <row r="4679" customFormat="1" x14ac:dyDescent="0.2"/>
    <row r="4680" customFormat="1" x14ac:dyDescent="0.2"/>
    <row r="4681" customFormat="1" x14ac:dyDescent="0.2"/>
    <row r="4682" customFormat="1" x14ac:dyDescent="0.2"/>
    <row r="4683" customFormat="1" x14ac:dyDescent="0.2"/>
    <row r="4684" customFormat="1" x14ac:dyDescent="0.2"/>
    <row r="4685" customFormat="1" x14ac:dyDescent="0.2"/>
    <row r="4686" customFormat="1" x14ac:dyDescent="0.2"/>
    <row r="4687" customFormat="1" x14ac:dyDescent="0.2"/>
    <row r="4688" customFormat="1" x14ac:dyDescent="0.2"/>
    <row r="4689" customFormat="1" x14ac:dyDescent="0.2"/>
    <row r="4690" customFormat="1" x14ac:dyDescent="0.2"/>
    <row r="4691" customFormat="1" x14ac:dyDescent="0.2"/>
    <row r="4692" customFormat="1" x14ac:dyDescent="0.2"/>
    <row r="4693" customFormat="1" x14ac:dyDescent="0.2"/>
    <row r="4694" customFormat="1" x14ac:dyDescent="0.2"/>
    <row r="4695" customFormat="1" x14ac:dyDescent="0.2"/>
    <row r="4696" customFormat="1" x14ac:dyDescent="0.2"/>
    <row r="4697" customFormat="1" x14ac:dyDescent="0.2"/>
    <row r="4698" customFormat="1" x14ac:dyDescent="0.2"/>
    <row r="4699" customFormat="1" x14ac:dyDescent="0.2"/>
    <row r="4700" customFormat="1" x14ac:dyDescent="0.2"/>
    <row r="4701" customFormat="1" x14ac:dyDescent="0.2"/>
    <row r="4702" customFormat="1" x14ac:dyDescent="0.2"/>
    <row r="4703" customFormat="1" x14ac:dyDescent="0.2"/>
    <row r="4704" customFormat="1" x14ac:dyDescent="0.2"/>
    <row r="4705" customFormat="1" x14ac:dyDescent="0.2"/>
    <row r="4706" customFormat="1" x14ac:dyDescent="0.2"/>
    <row r="4707" customFormat="1" x14ac:dyDescent="0.2"/>
    <row r="4708" customFormat="1" x14ac:dyDescent="0.2"/>
    <row r="4709" customFormat="1" x14ac:dyDescent="0.2"/>
    <row r="4710" customFormat="1" x14ac:dyDescent="0.2"/>
    <row r="4711" customFormat="1" x14ac:dyDescent="0.2"/>
    <row r="4712" customFormat="1" x14ac:dyDescent="0.2"/>
    <row r="4713" customFormat="1" x14ac:dyDescent="0.2"/>
    <row r="4714" customFormat="1" x14ac:dyDescent="0.2"/>
    <row r="4715" customFormat="1" x14ac:dyDescent="0.2"/>
    <row r="4716" customFormat="1" x14ac:dyDescent="0.2"/>
    <row r="4717" customFormat="1" x14ac:dyDescent="0.2"/>
    <row r="4718" customFormat="1" x14ac:dyDescent="0.2"/>
    <row r="4719" customFormat="1" x14ac:dyDescent="0.2"/>
    <row r="4720" customFormat="1" x14ac:dyDescent="0.2"/>
    <row r="4721" customFormat="1" x14ac:dyDescent="0.2"/>
    <row r="4722" customFormat="1" x14ac:dyDescent="0.2"/>
    <row r="4723" customFormat="1" x14ac:dyDescent="0.2"/>
    <row r="4724" customFormat="1" x14ac:dyDescent="0.2"/>
    <row r="4725" customFormat="1" x14ac:dyDescent="0.2"/>
    <row r="4726" customFormat="1" x14ac:dyDescent="0.2"/>
    <row r="4727" customFormat="1" x14ac:dyDescent="0.2"/>
    <row r="4728" customFormat="1" x14ac:dyDescent="0.2"/>
    <row r="4729" customFormat="1" x14ac:dyDescent="0.2"/>
    <row r="4730" customFormat="1" x14ac:dyDescent="0.2"/>
    <row r="4731" customFormat="1" x14ac:dyDescent="0.2"/>
    <row r="4732" customFormat="1" x14ac:dyDescent="0.2"/>
    <row r="4733" customFormat="1" x14ac:dyDescent="0.2"/>
    <row r="4734" customFormat="1" x14ac:dyDescent="0.2"/>
    <row r="4735" customFormat="1" x14ac:dyDescent="0.2"/>
    <row r="4736" customFormat="1" x14ac:dyDescent="0.2"/>
    <row r="4737" customFormat="1" x14ac:dyDescent="0.2"/>
    <row r="4738" customFormat="1" x14ac:dyDescent="0.2"/>
    <row r="4739" customFormat="1" x14ac:dyDescent="0.2"/>
    <row r="4740" customFormat="1" x14ac:dyDescent="0.2"/>
    <row r="4741" customFormat="1" x14ac:dyDescent="0.2"/>
    <row r="4742" customFormat="1" x14ac:dyDescent="0.2"/>
    <row r="4743" customFormat="1" x14ac:dyDescent="0.2"/>
    <row r="4744" customFormat="1" x14ac:dyDescent="0.2"/>
    <row r="4745" customFormat="1" x14ac:dyDescent="0.2"/>
    <row r="4746" customFormat="1" x14ac:dyDescent="0.2"/>
    <row r="4747" customFormat="1" x14ac:dyDescent="0.2"/>
    <row r="4748" customFormat="1" x14ac:dyDescent="0.2"/>
    <row r="4749" customFormat="1" x14ac:dyDescent="0.2"/>
    <row r="4750" customFormat="1" x14ac:dyDescent="0.2"/>
    <row r="4751" customFormat="1" x14ac:dyDescent="0.2"/>
    <row r="4752" customFormat="1" x14ac:dyDescent="0.2"/>
    <row r="4753" customFormat="1" x14ac:dyDescent="0.2"/>
    <row r="4754" customFormat="1" x14ac:dyDescent="0.2"/>
    <row r="4755" customFormat="1" x14ac:dyDescent="0.2"/>
    <row r="4756" customFormat="1" x14ac:dyDescent="0.2"/>
    <row r="4757" customFormat="1" x14ac:dyDescent="0.2"/>
    <row r="4758" customFormat="1" x14ac:dyDescent="0.2"/>
    <row r="4759" customFormat="1" x14ac:dyDescent="0.2"/>
    <row r="4760" customFormat="1" x14ac:dyDescent="0.2"/>
    <row r="4761" customFormat="1" x14ac:dyDescent="0.2"/>
    <row r="4762" customFormat="1" x14ac:dyDescent="0.2"/>
    <row r="4763" customFormat="1" x14ac:dyDescent="0.2"/>
    <row r="4764" customFormat="1" x14ac:dyDescent="0.2"/>
    <row r="4765" customFormat="1" x14ac:dyDescent="0.2"/>
    <row r="4766" customFormat="1" x14ac:dyDescent="0.2"/>
    <row r="4767" customFormat="1" x14ac:dyDescent="0.2"/>
    <row r="4768" customFormat="1" x14ac:dyDescent="0.2"/>
    <row r="4769" customFormat="1" x14ac:dyDescent="0.2"/>
    <row r="4770" customFormat="1" x14ac:dyDescent="0.2"/>
    <row r="4771" customFormat="1" x14ac:dyDescent="0.2"/>
    <row r="4772" customFormat="1" x14ac:dyDescent="0.2"/>
    <row r="4773" customFormat="1" x14ac:dyDescent="0.2"/>
    <row r="4774" customFormat="1" x14ac:dyDescent="0.2"/>
    <row r="4775" customFormat="1" x14ac:dyDescent="0.2"/>
    <row r="4776" customFormat="1" x14ac:dyDescent="0.2"/>
    <row r="4777" customFormat="1" x14ac:dyDescent="0.2"/>
    <row r="4778" customFormat="1" x14ac:dyDescent="0.2"/>
    <row r="4779" customFormat="1" x14ac:dyDescent="0.2"/>
    <row r="4780" customFormat="1" x14ac:dyDescent="0.2"/>
    <row r="4781" customFormat="1" x14ac:dyDescent="0.2"/>
    <row r="4782" customFormat="1" x14ac:dyDescent="0.2"/>
    <row r="4783" customFormat="1" x14ac:dyDescent="0.2"/>
    <row r="4784" customFormat="1" x14ac:dyDescent="0.2"/>
    <row r="4785" customFormat="1" x14ac:dyDescent="0.2"/>
    <row r="4786" customFormat="1" x14ac:dyDescent="0.2"/>
    <row r="4787" customFormat="1" x14ac:dyDescent="0.2"/>
    <row r="4788" customFormat="1" x14ac:dyDescent="0.2"/>
    <row r="4789" customFormat="1" x14ac:dyDescent="0.2"/>
    <row r="4790" customFormat="1" x14ac:dyDescent="0.2"/>
    <row r="4791" customFormat="1" x14ac:dyDescent="0.2"/>
    <row r="4792" customFormat="1" x14ac:dyDescent="0.2"/>
    <row r="4793" customFormat="1" x14ac:dyDescent="0.2"/>
    <row r="4794" customFormat="1" x14ac:dyDescent="0.2"/>
    <row r="4795" customFormat="1" x14ac:dyDescent="0.2"/>
    <row r="4796" customFormat="1" x14ac:dyDescent="0.2"/>
    <row r="4797" customFormat="1" x14ac:dyDescent="0.2"/>
    <row r="4798" customFormat="1" x14ac:dyDescent="0.2"/>
    <row r="4799" customFormat="1" x14ac:dyDescent="0.2"/>
    <row r="4800" customFormat="1" x14ac:dyDescent="0.2"/>
    <row r="4801" customFormat="1" x14ac:dyDescent="0.2"/>
    <row r="4802" customFormat="1" x14ac:dyDescent="0.2"/>
    <row r="4803" customFormat="1" x14ac:dyDescent="0.2"/>
    <row r="4804" customFormat="1" x14ac:dyDescent="0.2"/>
    <row r="4805" customFormat="1" x14ac:dyDescent="0.2"/>
    <row r="4806" customFormat="1" x14ac:dyDescent="0.2"/>
    <row r="4807" customFormat="1" x14ac:dyDescent="0.2"/>
    <row r="4808" customFormat="1" x14ac:dyDescent="0.2"/>
    <row r="4809" customFormat="1" x14ac:dyDescent="0.2"/>
    <row r="4810" customFormat="1" x14ac:dyDescent="0.2"/>
    <row r="4811" customFormat="1" x14ac:dyDescent="0.2"/>
    <row r="4812" customFormat="1" x14ac:dyDescent="0.2"/>
    <row r="4813" customFormat="1" x14ac:dyDescent="0.2"/>
    <row r="4814" customFormat="1" x14ac:dyDescent="0.2"/>
    <row r="4815" customFormat="1" x14ac:dyDescent="0.2"/>
    <row r="4816" customFormat="1" x14ac:dyDescent="0.2"/>
    <row r="4817" customFormat="1" x14ac:dyDescent="0.2"/>
    <row r="4818" customFormat="1" x14ac:dyDescent="0.2"/>
    <row r="4819" customFormat="1" x14ac:dyDescent="0.2"/>
    <row r="4820" customFormat="1" x14ac:dyDescent="0.2"/>
    <row r="4821" customFormat="1" x14ac:dyDescent="0.2"/>
    <row r="4822" customFormat="1" x14ac:dyDescent="0.2"/>
    <row r="4823" customFormat="1" x14ac:dyDescent="0.2"/>
    <row r="4824" customFormat="1" x14ac:dyDescent="0.2"/>
    <row r="4825" customFormat="1" x14ac:dyDescent="0.2"/>
    <row r="4826" customFormat="1" x14ac:dyDescent="0.2"/>
    <row r="4827" customFormat="1" x14ac:dyDescent="0.2"/>
    <row r="4828" customFormat="1" x14ac:dyDescent="0.2"/>
    <row r="4829" customFormat="1" x14ac:dyDescent="0.2"/>
    <row r="4830" customFormat="1" x14ac:dyDescent="0.2"/>
    <row r="4831" customFormat="1" x14ac:dyDescent="0.2"/>
    <row r="4832" customFormat="1" x14ac:dyDescent="0.2"/>
    <row r="4833" customFormat="1" x14ac:dyDescent="0.2"/>
    <row r="4834" customFormat="1" x14ac:dyDescent="0.2"/>
    <row r="4835" customFormat="1" x14ac:dyDescent="0.2"/>
    <row r="4836" customFormat="1" x14ac:dyDescent="0.2"/>
    <row r="4837" customFormat="1" x14ac:dyDescent="0.2"/>
    <row r="4838" customFormat="1" x14ac:dyDescent="0.2"/>
    <row r="4839" customFormat="1" x14ac:dyDescent="0.2"/>
    <row r="4840" customFormat="1" x14ac:dyDescent="0.2"/>
    <row r="4841" customFormat="1" x14ac:dyDescent="0.2"/>
    <row r="4842" customFormat="1" x14ac:dyDescent="0.2"/>
    <row r="4843" customFormat="1" x14ac:dyDescent="0.2"/>
    <row r="4844" customFormat="1" x14ac:dyDescent="0.2"/>
    <row r="4845" customFormat="1" x14ac:dyDescent="0.2"/>
    <row r="4846" customFormat="1" x14ac:dyDescent="0.2"/>
    <row r="4847" customFormat="1" x14ac:dyDescent="0.2"/>
    <row r="4848" customFormat="1" x14ac:dyDescent="0.2"/>
    <row r="4849" customFormat="1" x14ac:dyDescent="0.2"/>
    <row r="4850" customFormat="1" x14ac:dyDescent="0.2"/>
    <row r="4851" customFormat="1" x14ac:dyDescent="0.2"/>
    <row r="4852" customFormat="1" x14ac:dyDescent="0.2"/>
    <row r="4853" customFormat="1" x14ac:dyDescent="0.2"/>
    <row r="4854" customFormat="1" x14ac:dyDescent="0.2"/>
    <row r="4855" customFormat="1" x14ac:dyDescent="0.2"/>
    <row r="4856" customFormat="1" x14ac:dyDescent="0.2"/>
    <row r="4857" customFormat="1" x14ac:dyDescent="0.2"/>
    <row r="4858" customFormat="1" x14ac:dyDescent="0.2"/>
    <row r="4859" customFormat="1" x14ac:dyDescent="0.2"/>
    <row r="4860" customFormat="1" x14ac:dyDescent="0.2"/>
    <row r="4861" customFormat="1" x14ac:dyDescent="0.2"/>
    <row r="4862" customFormat="1" x14ac:dyDescent="0.2"/>
    <row r="4863" customFormat="1" x14ac:dyDescent="0.2"/>
    <row r="4864" customFormat="1" x14ac:dyDescent="0.2"/>
    <row r="4865" customFormat="1" x14ac:dyDescent="0.2"/>
    <row r="4866" customFormat="1" x14ac:dyDescent="0.2"/>
    <row r="4867" customFormat="1" x14ac:dyDescent="0.2"/>
    <row r="4868" customFormat="1" x14ac:dyDescent="0.2"/>
    <row r="4869" customFormat="1" x14ac:dyDescent="0.2"/>
    <row r="4870" customFormat="1" x14ac:dyDescent="0.2"/>
    <row r="4871" customFormat="1" x14ac:dyDescent="0.2"/>
    <row r="4872" customFormat="1" x14ac:dyDescent="0.2"/>
    <row r="4873" customFormat="1" x14ac:dyDescent="0.2"/>
    <row r="4874" customFormat="1" x14ac:dyDescent="0.2"/>
    <row r="4875" customFormat="1" x14ac:dyDescent="0.2"/>
    <row r="4876" customFormat="1" x14ac:dyDescent="0.2"/>
    <row r="4877" customFormat="1" x14ac:dyDescent="0.2"/>
    <row r="4878" customFormat="1" x14ac:dyDescent="0.2"/>
    <row r="4879" customFormat="1" x14ac:dyDescent="0.2"/>
    <row r="4880" customFormat="1" x14ac:dyDescent="0.2"/>
    <row r="4881" customFormat="1" x14ac:dyDescent="0.2"/>
    <row r="4882" customFormat="1" x14ac:dyDescent="0.2"/>
    <row r="4883" customFormat="1" x14ac:dyDescent="0.2"/>
    <row r="4884" customFormat="1" x14ac:dyDescent="0.2"/>
    <row r="4885" customFormat="1" x14ac:dyDescent="0.2"/>
    <row r="4886" customFormat="1" x14ac:dyDescent="0.2"/>
    <row r="4887" customFormat="1" x14ac:dyDescent="0.2"/>
    <row r="4888" customFormat="1" x14ac:dyDescent="0.2"/>
    <row r="4889" customFormat="1" x14ac:dyDescent="0.2"/>
    <row r="4890" customFormat="1" x14ac:dyDescent="0.2"/>
    <row r="4891" customFormat="1" x14ac:dyDescent="0.2"/>
    <row r="4892" customFormat="1" x14ac:dyDescent="0.2"/>
    <row r="4893" customFormat="1" x14ac:dyDescent="0.2"/>
    <row r="4894" customFormat="1" x14ac:dyDescent="0.2"/>
    <row r="4895" customFormat="1" x14ac:dyDescent="0.2"/>
    <row r="4896" customFormat="1" x14ac:dyDescent="0.2"/>
    <row r="4897" customFormat="1" x14ac:dyDescent="0.2"/>
    <row r="4898" customFormat="1" x14ac:dyDescent="0.2"/>
    <row r="4899" customFormat="1" x14ac:dyDescent="0.2"/>
    <row r="4900" customFormat="1" x14ac:dyDescent="0.2"/>
    <row r="4901" customFormat="1" x14ac:dyDescent="0.2"/>
    <row r="4902" customFormat="1" x14ac:dyDescent="0.2"/>
    <row r="4903" customFormat="1" x14ac:dyDescent="0.2"/>
    <row r="4904" customFormat="1" x14ac:dyDescent="0.2"/>
    <row r="4905" customFormat="1" x14ac:dyDescent="0.2"/>
    <row r="4906" customFormat="1" x14ac:dyDescent="0.2"/>
    <row r="4907" customFormat="1" x14ac:dyDescent="0.2"/>
    <row r="4908" customFormat="1" x14ac:dyDescent="0.2"/>
    <row r="4909" customFormat="1" x14ac:dyDescent="0.2"/>
    <row r="4910" customFormat="1" x14ac:dyDescent="0.2"/>
    <row r="4911" customFormat="1" x14ac:dyDescent="0.2"/>
    <row r="4912" customFormat="1" x14ac:dyDescent="0.2"/>
    <row r="4913" customFormat="1" x14ac:dyDescent="0.2"/>
    <row r="4914" customFormat="1" x14ac:dyDescent="0.2"/>
    <row r="4915" customFormat="1" x14ac:dyDescent="0.2"/>
    <row r="4916" customFormat="1" x14ac:dyDescent="0.2"/>
    <row r="4917" customFormat="1" x14ac:dyDescent="0.2"/>
    <row r="4918" customFormat="1" x14ac:dyDescent="0.2"/>
    <row r="4919" customFormat="1" x14ac:dyDescent="0.2"/>
    <row r="4920" customFormat="1" x14ac:dyDescent="0.2"/>
    <row r="4921" customFormat="1" x14ac:dyDescent="0.2"/>
    <row r="4922" customFormat="1" x14ac:dyDescent="0.2"/>
    <row r="4923" customFormat="1" x14ac:dyDescent="0.2"/>
    <row r="4924" customFormat="1" x14ac:dyDescent="0.2"/>
    <row r="4925" customFormat="1" x14ac:dyDescent="0.2"/>
    <row r="4926" customFormat="1" x14ac:dyDescent="0.2"/>
    <row r="4927" customFormat="1" x14ac:dyDescent="0.2"/>
    <row r="4928" customFormat="1" x14ac:dyDescent="0.2"/>
    <row r="4929" customFormat="1" x14ac:dyDescent="0.2"/>
    <row r="4930" customFormat="1" x14ac:dyDescent="0.2"/>
    <row r="4931" customFormat="1" x14ac:dyDescent="0.2"/>
    <row r="4932" customFormat="1" x14ac:dyDescent="0.2"/>
    <row r="4933" customFormat="1" x14ac:dyDescent="0.2"/>
    <row r="4934" customFormat="1" x14ac:dyDescent="0.2"/>
    <row r="4935" customFormat="1" x14ac:dyDescent="0.2"/>
    <row r="4936" customFormat="1" x14ac:dyDescent="0.2"/>
    <row r="4937" customFormat="1" x14ac:dyDescent="0.2"/>
    <row r="4938" customFormat="1" x14ac:dyDescent="0.2"/>
    <row r="4939" customFormat="1" x14ac:dyDescent="0.2"/>
    <row r="4940" customFormat="1" x14ac:dyDescent="0.2"/>
    <row r="4941" customFormat="1" x14ac:dyDescent="0.2"/>
    <row r="4942" customFormat="1" x14ac:dyDescent="0.2"/>
    <row r="4943" customFormat="1" x14ac:dyDescent="0.2"/>
    <row r="4944" customFormat="1" x14ac:dyDescent="0.2"/>
    <row r="4945" customFormat="1" x14ac:dyDescent="0.2"/>
    <row r="4946" customFormat="1" x14ac:dyDescent="0.2"/>
    <row r="4947" customFormat="1" x14ac:dyDescent="0.2"/>
    <row r="4948" customFormat="1" x14ac:dyDescent="0.2"/>
    <row r="4949" customFormat="1" x14ac:dyDescent="0.2"/>
    <row r="4950" customFormat="1" x14ac:dyDescent="0.2"/>
    <row r="4951" customFormat="1" x14ac:dyDescent="0.2"/>
    <row r="4952" customFormat="1" x14ac:dyDescent="0.2"/>
    <row r="4953" customFormat="1" x14ac:dyDescent="0.2"/>
    <row r="4954" customFormat="1" x14ac:dyDescent="0.2"/>
    <row r="4955" customFormat="1" x14ac:dyDescent="0.2"/>
    <row r="4956" customFormat="1" x14ac:dyDescent="0.2"/>
    <row r="4957" customFormat="1" x14ac:dyDescent="0.2"/>
    <row r="4958" customFormat="1" x14ac:dyDescent="0.2"/>
    <row r="4959" customFormat="1" x14ac:dyDescent="0.2"/>
    <row r="4960" customFormat="1" x14ac:dyDescent="0.2"/>
    <row r="4961" customFormat="1" x14ac:dyDescent="0.2"/>
    <row r="4962" customFormat="1" x14ac:dyDescent="0.2"/>
    <row r="4963" customFormat="1" x14ac:dyDescent="0.2"/>
    <row r="4964" customFormat="1" x14ac:dyDescent="0.2"/>
    <row r="4965" customFormat="1" x14ac:dyDescent="0.2"/>
    <row r="4966" customFormat="1" x14ac:dyDescent="0.2"/>
    <row r="4967" customFormat="1" x14ac:dyDescent="0.2"/>
    <row r="4968" customFormat="1" x14ac:dyDescent="0.2"/>
    <row r="4969" customFormat="1" x14ac:dyDescent="0.2"/>
    <row r="4970" customFormat="1" x14ac:dyDescent="0.2"/>
    <row r="4971" customFormat="1" x14ac:dyDescent="0.2"/>
    <row r="4972" customFormat="1" x14ac:dyDescent="0.2"/>
    <row r="4973" customFormat="1" x14ac:dyDescent="0.2"/>
    <row r="4974" customFormat="1" x14ac:dyDescent="0.2"/>
    <row r="4975" customFormat="1" x14ac:dyDescent="0.2"/>
    <row r="4976" customFormat="1" x14ac:dyDescent="0.2"/>
    <row r="4977" customFormat="1" x14ac:dyDescent="0.2"/>
    <row r="4978" customFormat="1" x14ac:dyDescent="0.2"/>
    <row r="4979" customFormat="1" x14ac:dyDescent="0.2"/>
    <row r="4980" customFormat="1" x14ac:dyDescent="0.2"/>
    <row r="4981" customFormat="1" x14ac:dyDescent="0.2"/>
    <row r="4982" customFormat="1" x14ac:dyDescent="0.2"/>
    <row r="4983" customFormat="1" x14ac:dyDescent="0.2"/>
    <row r="4984" customFormat="1" x14ac:dyDescent="0.2"/>
    <row r="4985" customFormat="1" x14ac:dyDescent="0.2"/>
    <row r="4986" customFormat="1" x14ac:dyDescent="0.2"/>
    <row r="4987" customFormat="1" x14ac:dyDescent="0.2"/>
    <row r="4988" customFormat="1" x14ac:dyDescent="0.2"/>
    <row r="4989" customFormat="1" x14ac:dyDescent="0.2"/>
    <row r="4990" customFormat="1" x14ac:dyDescent="0.2"/>
    <row r="4991" customFormat="1" x14ac:dyDescent="0.2"/>
    <row r="4992" customFormat="1" x14ac:dyDescent="0.2"/>
    <row r="4993" customFormat="1" x14ac:dyDescent="0.2"/>
    <row r="4994" customFormat="1" x14ac:dyDescent="0.2"/>
    <row r="4995" customFormat="1" x14ac:dyDescent="0.2"/>
    <row r="4996" customFormat="1" x14ac:dyDescent="0.2"/>
    <row r="4997" customFormat="1" x14ac:dyDescent="0.2"/>
    <row r="4998" customFormat="1" x14ac:dyDescent="0.2"/>
    <row r="4999" customFormat="1" x14ac:dyDescent="0.2"/>
    <row r="5000" customFormat="1" x14ac:dyDescent="0.2"/>
    <row r="5001" customFormat="1" x14ac:dyDescent="0.2"/>
    <row r="5002" customFormat="1" x14ac:dyDescent="0.2"/>
    <row r="5003" customFormat="1" x14ac:dyDescent="0.2"/>
    <row r="5004" customFormat="1" x14ac:dyDescent="0.2"/>
    <row r="5005" customFormat="1" x14ac:dyDescent="0.2"/>
    <row r="5006" customFormat="1" x14ac:dyDescent="0.2"/>
    <row r="5007" customFormat="1" x14ac:dyDescent="0.2"/>
    <row r="5008" customFormat="1" x14ac:dyDescent="0.2"/>
    <row r="5009" customFormat="1" x14ac:dyDescent="0.2"/>
    <row r="5010" customFormat="1" x14ac:dyDescent="0.2"/>
    <row r="5011" customFormat="1" x14ac:dyDescent="0.2"/>
    <row r="5012" customFormat="1" x14ac:dyDescent="0.2"/>
    <row r="5013" customFormat="1" x14ac:dyDescent="0.2"/>
    <row r="5014" customFormat="1" x14ac:dyDescent="0.2"/>
    <row r="5015" customFormat="1" x14ac:dyDescent="0.2"/>
    <row r="5016" customFormat="1" x14ac:dyDescent="0.2"/>
    <row r="5017" customFormat="1" x14ac:dyDescent="0.2"/>
    <row r="5018" customFormat="1" x14ac:dyDescent="0.2"/>
    <row r="5019" customFormat="1" x14ac:dyDescent="0.2"/>
    <row r="5020" customFormat="1" x14ac:dyDescent="0.2"/>
    <row r="5021" customFormat="1" x14ac:dyDescent="0.2"/>
    <row r="5022" customFormat="1" x14ac:dyDescent="0.2"/>
    <row r="5023" customFormat="1" x14ac:dyDescent="0.2"/>
    <row r="5024" customFormat="1" x14ac:dyDescent="0.2"/>
    <row r="5025" customFormat="1" x14ac:dyDescent="0.2"/>
    <row r="5026" customFormat="1" x14ac:dyDescent="0.2"/>
    <row r="5027" customFormat="1" x14ac:dyDescent="0.2"/>
    <row r="5028" customFormat="1" x14ac:dyDescent="0.2"/>
    <row r="5029" customFormat="1" x14ac:dyDescent="0.2"/>
    <row r="5030" customFormat="1" x14ac:dyDescent="0.2"/>
    <row r="5031" customFormat="1" x14ac:dyDescent="0.2"/>
    <row r="5032" customFormat="1" x14ac:dyDescent="0.2"/>
    <row r="5033" customFormat="1" x14ac:dyDescent="0.2"/>
    <row r="5034" customFormat="1" x14ac:dyDescent="0.2"/>
    <row r="5035" customFormat="1" x14ac:dyDescent="0.2"/>
    <row r="5036" customFormat="1" x14ac:dyDescent="0.2"/>
    <row r="5037" customFormat="1" x14ac:dyDescent="0.2"/>
    <row r="5038" customFormat="1" x14ac:dyDescent="0.2"/>
    <row r="5039" customFormat="1" x14ac:dyDescent="0.2"/>
    <row r="5040" customFormat="1" x14ac:dyDescent="0.2"/>
    <row r="5041" customFormat="1" x14ac:dyDescent="0.2"/>
    <row r="5042" customFormat="1" x14ac:dyDescent="0.2"/>
    <row r="5043" customFormat="1" x14ac:dyDescent="0.2"/>
    <row r="5044" customFormat="1" x14ac:dyDescent="0.2"/>
    <row r="5045" customFormat="1" x14ac:dyDescent="0.2"/>
    <row r="5046" customFormat="1" x14ac:dyDescent="0.2"/>
    <row r="5047" customFormat="1" x14ac:dyDescent="0.2"/>
    <row r="5048" customFormat="1" x14ac:dyDescent="0.2"/>
    <row r="5049" customFormat="1" x14ac:dyDescent="0.2"/>
    <row r="5050" customFormat="1" x14ac:dyDescent="0.2"/>
    <row r="5051" customFormat="1" x14ac:dyDescent="0.2"/>
    <row r="5052" customFormat="1" x14ac:dyDescent="0.2"/>
    <row r="5053" customFormat="1" x14ac:dyDescent="0.2"/>
    <row r="5054" customFormat="1" x14ac:dyDescent="0.2"/>
    <row r="5055" customFormat="1" x14ac:dyDescent="0.2"/>
    <row r="5056" customFormat="1" x14ac:dyDescent="0.2"/>
    <row r="5057" customFormat="1" x14ac:dyDescent="0.2"/>
    <row r="5058" customFormat="1" x14ac:dyDescent="0.2"/>
    <row r="5059" customFormat="1" x14ac:dyDescent="0.2"/>
    <row r="5060" customFormat="1" x14ac:dyDescent="0.2"/>
    <row r="5061" customFormat="1" x14ac:dyDescent="0.2"/>
    <row r="5062" customFormat="1" x14ac:dyDescent="0.2"/>
    <row r="5063" customFormat="1" x14ac:dyDescent="0.2"/>
    <row r="5064" customFormat="1" x14ac:dyDescent="0.2"/>
    <row r="5065" customFormat="1" x14ac:dyDescent="0.2"/>
    <row r="5066" customFormat="1" x14ac:dyDescent="0.2"/>
    <row r="5067" customFormat="1" x14ac:dyDescent="0.2"/>
    <row r="5068" customFormat="1" x14ac:dyDescent="0.2"/>
    <row r="5069" customFormat="1" x14ac:dyDescent="0.2"/>
    <row r="5070" customFormat="1" x14ac:dyDescent="0.2"/>
    <row r="5071" customFormat="1" x14ac:dyDescent="0.2"/>
    <row r="5072" customFormat="1" x14ac:dyDescent="0.2"/>
    <row r="5073" customFormat="1" x14ac:dyDescent="0.2"/>
    <row r="5074" customFormat="1" x14ac:dyDescent="0.2"/>
    <row r="5075" customFormat="1" x14ac:dyDescent="0.2"/>
    <row r="5076" customFormat="1" x14ac:dyDescent="0.2"/>
    <row r="5077" customFormat="1" x14ac:dyDescent="0.2"/>
    <row r="5078" customFormat="1" x14ac:dyDescent="0.2"/>
    <row r="5079" customFormat="1" x14ac:dyDescent="0.2"/>
    <row r="5080" customFormat="1" x14ac:dyDescent="0.2"/>
    <row r="5081" customFormat="1" x14ac:dyDescent="0.2"/>
    <row r="5082" customFormat="1" x14ac:dyDescent="0.2"/>
    <row r="5083" customFormat="1" x14ac:dyDescent="0.2"/>
    <row r="5084" customFormat="1" x14ac:dyDescent="0.2"/>
    <row r="5085" customFormat="1" x14ac:dyDescent="0.2"/>
    <row r="5086" customFormat="1" x14ac:dyDescent="0.2"/>
    <row r="5087" customFormat="1" x14ac:dyDescent="0.2"/>
    <row r="5088" customFormat="1" x14ac:dyDescent="0.2"/>
    <row r="5089" customFormat="1" x14ac:dyDescent="0.2"/>
    <row r="5090" customFormat="1" x14ac:dyDescent="0.2"/>
    <row r="5091" customFormat="1" x14ac:dyDescent="0.2"/>
    <row r="5092" customFormat="1" x14ac:dyDescent="0.2"/>
    <row r="5093" customFormat="1" x14ac:dyDescent="0.2"/>
    <row r="5094" customFormat="1" x14ac:dyDescent="0.2"/>
    <row r="5095" customFormat="1" x14ac:dyDescent="0.2"/>
    <row r="5096" customFormat="1" x14ac:dyDescent="0.2"/>
    <row r="5097" customFormat="1" x14ac:dyDescent="0.2"/>
    <row r="5098" customFormat="1" x14ac:dyDescent="0.2"/>
    <row r="5099" customFormat="1" x14ac:dyDescent="0.2"/>
    <row r="5100" customFormat="1" x14ac:dyDescent="0.2"/>
    <row r="5101" customFormat="1" x14ac:dyDescent="0.2"/>
    <row r="5102" customFormat="1" x14ac:dyDescent="0.2"/>
    <row r="5103" customFormat="1" x14ac:dyDescent="0.2"/>
    <row r="5104" customFormat="1" x14ac:dyDescent="0.2"/>
    <row r="5105" customFormat="1" x14ac:dyDescent="0.2"/>
    <row r="5106" customFormat="1" x14ac:dyDescent="0.2"/>
    <row r="5107" customFormat="1" x14ac:dyDescent="0.2"/>
    <row r="5108" customFormat="1" x14ac:dyDescent="0.2"/>
    <row r="5109" customFormat="1" x14ac:dyDescent="0.2"/>
    <row r="5110" customFormat="1" x14ac:dyDescent="0.2"/>
    <row r="5111" customFormat="1" x14ac:dyDescent="0.2"/>
    <row r="5112" customFormat="1" x14ac:dyDescent="0.2"/>
    <row r="5113" customFormat="1" x14ac:dyDescent="0.2"/>
    <row r="5114" customFormat="1" x14ac:dyDescent="0.2"/>
    <row r="5115" customFormat="1" x14ac:dyDescent="0.2"/>
    <row r="5116" customFormat="1" x14ac:dyDescent="0.2"/>
    <row r="5117" customFormat="1" x14ac:dyDescent="0.2"/>
    <row r="5118" customFormat="1" x14ac:dyDescent="0.2"/>
    <row r="5119" customFormat="1" x14ac:dyDescent="0.2"/>
    <row r="5120" customFormat="1" x14ac:dyDescent="0.2"/>
    <row r="5121" customFormat="1" x14ac:dyDescent="0.2"/>
    <row r="5122" customFormat="1" x14ac:dyDescent="0.2"/>
    <row r="5123" customFormat="1" x14ac:dyDescent="0.2"/>
    <row r="5124" customFormat="1" x14ac:dyDescent="0.2"/>
    <row r="5125" customFormat="1" x14ac:dyDescent="0.2"/>
    <row r="5126" customFormat="1" x14ac:dyDescent="0.2"/>
    <row r="5127" customFormat="1" x14ac:dyDescent="0.2"/>
    <row r="5128" customFormat="1" x14ac:dyDescent="0.2"/>
    <row r="5129" customFormat="1" x14ac:dyDescent="0.2"/>
    <row r="5130" customFormat="1" x14ac:dyDescent="0.2"/>
    <row r="5131" customFormat="1" x14ac:dyDescent="0.2"/>
    <row r="5132" customFormat="1" x14ac:dyDescent="0.2"/>
    <row r="5133" customFormat="1" x14ac:dyDescent="0.2"/>
    <row r="5134" customFormat="1" x14ac:dyDescent="0.2"/>
    <row r="5135" customFormat="1" x14ac:dyDescent="0.2"/>
    <row r="5136" customFormat="1" x14ac:dyDescent="0.2"/>
    <row r="5137" customFormat="1" x14ac:dyDescent="0.2"/>
    <row r="5138" customFormat="1" x14ac:dyDescent="0.2"/>
    <row r="5139" customFormat="1" x14ac:dyDescent="0.2"/>
    <row r="5140" customFormat="1" x14ac:dyDescent="0.2"/>
    <row r="5141" customFormat="1" x14ac:dyDescent="0.2"/>
    <row r="5142" customFormat="1" x14ac:dyDescent="0.2"/>
    <row r="5143" customFormat="1" x14ac:dyDescent="0.2"/>
    <row r="5144" customFormat="1" x14ac:dyDescent="0.2"/>
    <row r="5145" customFormat="1" x14ac:dyDescent="0.2"/>
    <row r="5146" customFormat="1" x14ac:dyDescent="0.2"/>
    <row r="5147" customFormat="1" x14ac:dyDescent="0.2"/>
    <row r="5148" customFormat="1" x14ac:dyDescent="0.2"/>
    <row r="5149" customFormat="1" x14ac:dyDescent="0.2"/>
    <row r="5150" customFormat="1" x14ac:dyDescent="0.2"/>
    <row r="5151" customFormat="1" x14ac:dyDescent="0.2"/>
    <row r="5152" customFormat="1" x14ac:dyDescent="0.2"/>
    <row r="5153" customFormat="1" x14ac:dyDescent="0.2"/>
    <row r="5154" customFormat="1" x14ac:dyDescent="0.2"/>
    <row r="5155" customFormat="1" x14ac:dyDescent="0.2"/>
    <row r="5156" customFormat="1" x14ac:dyDescent="0.2"/>
    <row r="5157" customFormat="1" x14ac:dyDescent="0.2"/>
    <row r="5158" customFormat="1" x14ac:dyDescent="0.2"/>
    <row r="5159" customFormat="1" x14ac:dyDescent="0.2"/>
    <row r="5160" customFormat="1" x14ac:dyDescent="0.2"/>
    <row r="5161" customFormat="1" x14ac:dyDescent="0.2"/>
    <row r="5162" customFormat="1" x14ac:dyDescent="0.2"/>
    <row r="5163" customFormat="1" x14ac:dyDescent="0.2"/>
    <row r="5164" customFormat="1" x14ac:dyDescent="0.2"/>
    <row r="5165" customFormat="1" x14ac:dyDescent="0.2"/>
    <row r="5166" customFormat="1" x14ac:dyDescent="0.2"/>
    <row r="5167" customFormat="1" x14ac:dyDescent="0.2"/>
    <row r="5168" customFormat="1" x14ac:dyDescent="0.2"/>
    <row r="5169" customFormat="1" x14ac:dyDescent="0.2"/>
    <row r="5170" customFormat="1" x14ac:dyDescent="0.2"/>
    <row r="5171" customFormat="1" x14ac:dyDescent="0.2"/>
    <row r="5172" customFormat="1" x14ac:dyDescent="0.2"/>
    <row r="5173" customFormat="1" x14ac:dyDescent="0.2"/>
    <row r="5174" customFormat="1" x14ac:dyDescent="0.2"/>
    <row r="5175" customFormat="1" x14ac:dyDescent="0.2"/>
    <row r="5176" customFormat="1" x14ac:dyDescent="0.2"/>
    <row r="5177" customFormat="1" x14ac:dyDescent="0.2"/>
    <row r="5178" customFormat="1" x14ac:dyDescent="0.2"/>
    <row r="5179" customFormat="1" x14ac:dyDescent="0.2"/>
    <row r="5180" customFormat="1" x14ac:dyDescent="0.2"/>
    <row r="5181" customFormat="1" x14ac:dyDescent="0.2"/>
    <row r="5182" customFormat="1" x14ac:dyDescent="0.2"/>
    <row r="5183" customFormat="1" x14ac:dyDescent="0.2"/>
    <row r="5184" customFormat="1" x14ac:dyDescent="0.2"/>
    <row r="5185" customFormat="1" x14ac:dyDescent="0.2"/>
    <row r="5186" customFormat="1" x14ac:dyDescent="0.2"/>
    <row r="5187" customFormat="1" x14ac:dyDescent="0.2"/>
    <row r="5188" customFormat="1" x14ac:dyDescent="0.2"/>
    <row r="5189" customFormat="1" x14ac:dyDescent="0.2"/>
    <row r="5190" customFormat="1" x14ac:dyDescent="0.2"/>
    <row r="5191" customFormat="1" x14ac:dyDescent="0.2"/>
    <row r="5192" customFormat="1" x14ac:dyDescent="0.2"/>
    <row r="5193" customFormat="1" x14ac:dyDescent="0.2"/>
    <row r="5194" customFormat="1" x14ac:dyDescent="0.2"/>
    <row r="5195" customFormat="1" x14ac:dyDescent="0.2"/>
    <row r="5196" customFormat="1" x14ac:dyDescent="0.2"/>
    <row r="5197" customFormat="1" x14ac:dyDescent="0.2"/>
    <row r="5198" customFormat="1" x14ac:dyDescent="0.2"/>
    <row r="5199" customFormat="1" x14ac:dyDescent="0.2"/>
    <row r="5200" customFormat="1" x14ac:dyDescent="0.2"/>
    <row r="5201" customFormat="1" x14ac:dyDescent="0.2"/>
    <row r="5202" customFormat="1" x14ac:dyDescent="0.2"/>
    <row r="5203" customFormat="1" x14ac:dyDescent="0.2"/>
    <row r="5204" customFormat="1" x14ac:dyDescent="0.2"/>
    <row r="5205" customFormat="1" x14ac:dyDescent="0.2"/>
    <row r="5206" customFormat="1" x14ac:dyDescent="0.2"/>
    <row r="5207" customFormat="1" x14ac:dyDescent="0.2"/>
    <row r="5208" customFormat="1" x14ac:dyDescent="0.2"/>
    <row r="5209" customFormat="1" x14ac:dyDescent="0.2"/>
    <row r="5210" customFormat="1" x14ac:dyDescent="0.2"/>
    <row r="5211" customFormat="1" x14ac:dyDescent="0.2"/>
    <row r="5212" customFormat="1" x14ac:dyDescent="0.2"/>
    <row r="5213" customFormat="1" x14ac:dyDescent="0.2"/>
    <row r="5214" customFormat="1" x14ac:dyDescent="0.2"/>
    <row r="5215" customFormat="1" x14ac:dyDescent="0.2"/>
    <row r="5216" customFormat="1" x14ac:dyDescent="0.2"/>
    <row r="5217" customFormat="1" x14ac:dyDescent="0.2"/>
    <row r="5218" customFormat="1" x14ac:dyDescent="0.2"/>
    <row r="5219" customFormat="1" x14ac:dyDescent="0.2"/>
    <row r="5220" customFormat="1" x14ac:dyDescent="0.2"/>
    <row r="5221" customFormat="1" x14ac:dyDescent="0.2"/>
    <row r="5222" customFormat="1" x14ac:dyDescent="0.2"/>
    <row r="5223" customFormat="1" x14ac:dyDescent="0.2"/>
    <row r="5224" customFormat="1" x14ac:dyDescent="0.2"/>
    <row r="5225" customFormat="1" x14ac:dyDescent="0.2"/>
    <row r="5226" customFormat="1" x14ac:dyDescent="0.2"/>
    <row r="5227" customFormat="1" x14ac:dyDescent="0.2"/>
    <row r="5228" customFormat="1" x14ac:dyDescent="0.2"/>
    <row r="5229" customFormat="1" x14ac:dyDescent="0.2"/>
    <row r="5230" customFormat="1" x14ac:dyDescent="0.2"/>
    <row r="5231" customFormat="1" x14ac:dyDescent="0.2"/>
    <row r="5232" customFormat="1" x14ac:dyDescent="0.2"/>
    <row r="5233" customFormat="1" x14ac:dyDescent="0.2"/>
    <row r="5234" customFormat="1" x14ac:dyDescent="0.2"/>
    <row r="5235" customFormat="1" x14ac:dyDescent="0.2"/>
    <row r="5236" customFormat="1" x14ac:dyDescent="0.2"/>
    <row r="5237" customFormat="1" x14ac:dyDescent="0.2"/>
    <row r="5238" customFormat="1" x14ac:dyDescent="0.2"/>
    <row r="5239" customFormat="1" x14ac:dyDescent="0.2"/>
    <row r="5240" customFormat="1" x14ac:dyDescent="0.2"/>
    <row r="5241" customFormat="1" x14ac:dyDescent="0.2"/>
    <row r="5242" customFormat="1" x14ac:dyDescent="0.2"/>
    <row r="5243" customFormat="1" x14ac:dyDescent="0.2"/>
    <row r="5244" customFormat="1" x14ac:dyDescent="0.2"/>
    <row r="5245" customFormat="1" x14ac:dyDescent="0.2"/>
    <row r="5246" customFormat="1" x14ac:dyDescent="0.2"/>
    <row r="5247" customFormat="1" x14ac:dyDescent="0.2"/>
    <row r="5248" customFormat="1" x14ac:dyDescent="0.2"/>
    <row r="5249" customFormat="1" x14ac:dyDescent="0.2"/>
    <row r="5250" customFormat="1" x14ac:dyDescent="0.2"/>
    <row r="5251" customFormat="1" x14ac:dyDescent="0.2"/>
    <row r="5252" customFormat="1" x14ac:dyDescent="0.2"/>
    <row r="5253" customFormat="1" x14ac:dyDescent="0.2"/>
    <row r="5254" customFormat="1" x14ac:dyDescent="0.2"/>
    <row r="5255" customFormat="1" x14ac:dyDescent="0.2"/>
    <row r="5256" customFormat="1" x14ac:dyDescent="0.2"/>
    <row r="5257" customFormat="1" x14ac:dyDescent="0.2"/>
    <row r="5258" customFormat="1" x14ac:dyDescent="0.2"/>
    <row r="5259" customFormat="1" x14ac:dyDescent="0.2"/>
    <row r="5260" customFormat="1" x14ac:dyDescent="0.2"/>
    <row r="5261" customFormat="1" x14ac:dyDescent="0.2"/>
    <row r="5262" customFormat="1" x14ac:dyDescent="0.2"/>
    <row r="5263" customFormat="1" x14ac:dyDescent="0.2"/>
    <row r="5264" customFormat="1" x14ac:dyDescent="0.2"/>
    <row r="5265" customFormat="1" x14ac:dyDescent="0.2"/>
    <row r="5266" customFormat="1" x14ac:dyDescent="0.2"/>
    <row r="5267" customFormat="1" x14ac:dyDescent="0.2"/>
    <row r="5268" customFormat="1" x14ac:dyDescent="0.2"/>
    <row r="5269" customFormat="1" x14ac:dyDescent="0.2"/>
    <row r="5270" customFormat="1" x14ac:dyDescent="0.2"/>
    <row r="5271" customFormat="1" x14ac:dyDescent="0.2"/>
    <row r="5272" customFormat="1" x14ac:dyDescent="0.2"/>
    <row r="5273" customFormat="1" x14ac:dyDescent="0.2"/>
    <row r="5274" customFormat="1" x14ac:dyDescent="0.2"/>
    <row r="5275" customFormat="1" x14ac:dyDescent="0.2"/>
    <row r="5276" customFormat="1" x14ac:dyDescent="0.2"/>
    <row r="5277" customFormat="1" x14ac:dyDescent="0.2"/>
    <row r="5278" customFormat="1" x14ac:dyDescent="0.2"/>
    <row r="5279" customFormat="1" x14ac:dyDescent="0.2"/>
    <row r="5280" customFormat="1" x14ac:dyDescent="0.2"/>
    <row r="5281" customFormat="1" x14ac:dyDescent="0.2"/>
    <row r="5282" customFormat="1" x14ac:dyDescent="0.2"/>
    <row r="5283" customFormat="1" x14ac:dyDescent="0.2"/>
    <row r="5284" customFormat="1" x14ac:dyDescent="0.2"/>
    <row r="5285" customFormat="1" x14ac:dyDescent="0.2"/>
    <row r="5286" customFormat="1" x14ac:dyDescent="0.2"/>
    <row r="5287" customFormat="1" x14ac:dyDescent="0.2"/>
    <row r="5288" customFormat="1" x14ac:dyDescent="0.2"/>
    <row r="5289" customFormat="1" x14ac:dyDescent="0.2"/>
    <row r="5290" customFormat="1" x14ac:dyDescent="0.2"/>
    <row r="5291" customFormat="1" x14ac:dyDescent="0.2"/>
    <row r="5292" customFormat="1" x14ac:dyDescent="0.2"/>
    <row r="5293" customFormat="1" x14ac:dyDescent="0.2"/>
    <row r="5294" customFormat="1" x14ac:dyDescent="0.2"/>
    <row r="5295" customFormat="1" x14ac:dyDescent="0.2"/>
    <row r="5296" customFormat="1" x14ac:dyDescent="0.2"/>
    <row r="5297" customFormat="1" x14ac:dyDescent="0.2"/>
    <row r="5298" customFormat="1" x14ac:dyDescent="0.2"/>
    <row r="5299" customFormat="1" x14ac:dyDescent="0.2"/>
    <row r="5300" customFormat="1" x14ac:dyDescent="0.2"/>
    <row r="5301" customFormat="1" x14ac:dyDescent="0.2"/>
    <row r="5302" customFormat="1" x14ac:dyDescent="0.2"/>
    <row r="5303" customFormat="1" x14ac:dyDescent="0.2"/>
    <row r="5304" customFormat="1" x14ac:dyDescent="0.2"/>
    <row r="5305" customFormat="1" x14ac:dyDescent="0.2"/>
    <row r="5306" customFormat="1" x14ac:dyDescent="0.2"/>
    <row r="5307" customFormat="1" x14ac:dyDescent="0.2"/>
    <row r="5308" customFormat="1" x14ac:dyDescent="0.2"/>
    <row r="5309" customFormat="1" x14ac:dyDescent="0.2"/>
    <row r="5310" customFormat="1" x14ac:dyDescent="0.2"/>
    <row r="5311" customFormat="1" x14ac:dyDescent="0.2"/>
    <row r="5312" customFormat="1" x14ac:dyDescent="0.2"/>
    <row r="5313" customFormat="1" x14ac:dyDescent="0.2"/>
    <row r="5314" customFormat="1" x14ac:dyDescent="0.2"/>
    <row r="5315" customFormat="1" x14ac:dyDescent="0.2"/>
    <row r="5316" customFormat="1" x14ac:dyDescent="0.2"/>
    <row r="5317" customFormat="1" x14ac:dyDescent="0.2"/>
    <row r="5318" customFormat="1" x14ac:dyDescent="0.2"/>
    <row r="5319" customFormat="1" x14ac:dyDescent="0.2"/>
    <row r="5320" customFormat="1" x14ac:dyDescent="0.2"/>
    <row r="5321" customFormat="1" x14ac:dyDescent="0.2"/>
    <row r="5322" customFormat="1" x14ac:dyDescent="0.2"/>
    <row r="5323" customFormat="1" x14ac:dyDescent="0.2"/>
    <row r="5324" customFormat="1" x14ac:dyDescent="0.2"/>
    <row r="5325" customFormat="1" x14ac:dyDescent="0.2"/>
    <row r="5326" customFormat="1" x14ac:dyDescent="0.2"/>
    <row r="5327" customFormat="1" x14ac:dyDescent="0.2"/>
    <row r="5328" customFormat="1" x14ac:dyDescent="0.2"/>
    <row r="5329" customFormat="1" x14ac:dyDescent="0.2"/>
    <row r="5330" customFormat="1" x14ac:dyDescent="0.2"/>
    <row r="5331" customFormat="1" x14ac:dyDescent="0.2"/>
    <row r="5332" customFormat="1" x14ac:dyDescent="0.2"/>
    <row r="5333" customFormat="1" x14ac:dyDescent="0.2"/>
    <row r="5334" customFormat="1" x14ac:dyDescent="0.2"/>
    <row r="5335" customFormat="1" x14ac:dyDescent="0.2"/>
    <row r="5336" customFormat="1" x14ac:dyDescent="0.2"/>
    <row r="5337" customFormat="1" x14ac:dyDescent="0.2"/>
    <row r="5338" customFormat="1" x14ac:dyDescent="0.2"/>
    <row r="5339" customFormat="1" x14ac:dyDescent="0.2"/>
    <row r="5340" customFormat="1" x14ac:dyDescent="0.2"/>
    <row r="5341" customFormat="1" x14ac:dyDescent="0.2"/>
    <row r="5342" customFormat="1" x14ac:dyDescent="0.2"/>
    <row r="5343" customFormat="1" x14ac:dyDescent="0.2"/>
    <row r="5344" customFormat="1" x14ac:dyDescent="0.2"/>
    <row r="5345" customFormat="1" x14ac:dyDescent="0.2"/>
    <row r="5346" customFormat="1" x14ac:dyDescent="0.2"/>
    <row r="5347" customFormat="1" x14ac:dyDescent="0.2"/>
    <row r="5348" customFormat="1" x14ac:dyDescent="0.2"/>
    <row r="5349" customFormat="1" x14ac:dyDescent="0.2"/>
    <row r="5350" customFormat="1" x14ac:dyDescent="0.2"/>
    <row r="5351" customFormat="1" x14ac:dyDescent="0.2"/>
    <row r="5352" customFormat="1" x14ac:dyDescent="0.2"/>
    <row r="5353" customFormat="1" x14ac:dyDescent="0.2"/>
    <row r="5354" customFormat="1" x14ac:dyDescent="0.2"/>
    <row r="5355" customFormat="1" x14ac:dyDescent="0.2"/>
    <row r="5356" customFormat="1" x14ac:dyDescent="0.2"/>
    <row r="5357" customFormat="1" x14ac:dyDescent="0.2"/>
    <row r="5358" customFormat="1" x14ac:dyDescent="0.2"/>
    <row r="5359" customFormat="1" x14ac:dyDescent="0.2"/>
    <row r="5360" customFormat="1" x14ac:dyDescent="0.2"/>
    <row r="5361" customFormat="1" x14ac:dyDescent="0.2"/>
    <row r="5362" customFormat="1" x14ac:dyDescent="0.2"/>
    <row r="5363" customFormat="1" x14ac:dyDescent="0.2"/>
    <row r="5364" customFormat="1" x14ac:dyDescent="0.2"/>
    <row r="5365" customFormat="1" x14ac:dyDescent="0.2"/>
    <row r="5366" customFormat="1" x14ac:dyDescent="0.2"/>
    <row r="5367" customFormat="1" x14ac:dyDescent="0.2"/>
    <row r="5368" customFormat="1" x14ac:dyDescent="0.2"/>
    <row r="5369" customFormat="1" x14ac:dyDescent="0.2"/>
    <row r="5370" customFormat="1" x14ac:dyDescent="0.2"/>
    <row r="5371" customFormat="1" x14ac:dyDescent="0.2"/>
    <row r="5372" customFormat="1" x14ac:dyDescent="0.2"/>
    <row r="5373" customFormat="1" x14ac:dyDescent="0.2"/>
    <row r="5374" customFormat="1" x14ac:dyDescent="0.2"/>
    <row r="5375" customFormat="1" x14ac:dyDescent="0.2"/>
    <row r="5376" customFormat="1" x14ac:dyDescent="0.2"/>
    <row r="5377" customFormat="1" x14ac:dyDescent="0.2"/>
    <row r="5378" customFormat="1" x14ac:dyDescent="0.2"/>
    <row r="5379" customFormat="1" x14ac:dyDescent="0.2"/>
    <row r="5380" customFormat="1" x14ac:dyDescent="0.2"/>
    <row r="5381" customFormat="1" x14ac:dyDescent="0.2"/>
    <row r="5382" customFormat="1" x14ac:dyDescent="0.2"/>
    <row r="5383" customFormat="1" x14ac:dyDescent="0.2"/>
    <row r="5384" customFormat="1" x14ac:dyDescent="0.2"/>
    <row r="5385" customFormat="1" x14ac:dyDescent="0.2"/>
    <row r="5386" customFormat="1" x14ac:dyDescent="0.2"/>
    <row r="5387" customFormat="1" x14ac:dyDescent="0.2"/>
    <row r="5388" customFormat="1" x14ac:dyDescent="0.2"/>
    <row r="5389" customFormat="1" x14ac:dyDescent="0.2"/>
    <row r="5390" customFormat="1" x14ac:dyDescent="0.2"/>
    <row r="5391" customFormat="1" x14ac:dyDescent="0.2"/>
    <row r="5392" customFormat="1" x14ac:dyDescent="0.2"/>
    <row r="5393" customFormat="1" x14ac:dyDescent="0.2"/>
    <row r="5394" customFormat="1" x14ac:dyDescent="0.2"/>
    <row r="5395" customFormat="1" x14ac:dyDescent="0.2"/>
    <row r="5396" customFormat="1" x14ac:dyDescent="0.2"/>
    <row r="5397" customFormat="1" x14ac:dyDescent="0.2"/>
    <row r="5398" customFormat="1" x14ac:dyDescent="0.2"/>
    <row r="5399" customFormat="1" x14ac:dyDescent="0.2"/>
    <row r="5400" customFormat="1" x14ac:dyDescent="0.2"/>
    <row r="5401" customFormat="1" x14ac:dyDescent="0.2"/>
    <row r="5402" customFormat="1" x14ac:dyDescent="0.2"/>
    <row r="5403" customFormat="1" x14ac:dyDescent="0.2"/>
    <row r="5404" customFormat="1" x14ac:dyDescent="0.2"/>
    <row r="5405" customFormat="1" x14ac:dyDescent="0.2"/>
    <row r="5406" customFormat="1" x14ac:dyDescent="0.2"/>
    <row r="5407" customFormat="1" x14ac:dyDescent="0.2"/>
    <row r="5408" customFormat="1" x14ac:dyDescent="0.2"/>
    <row r="5409" customFormat="1" x14ac:dyDescent="0.2"/>
    <row r="5410" customFormat="1" x14ac:dyDescent="0.2"/>
    <row r="5411" customFormat="1" x14ac:dyDescent="0.2"/>
    <row r="5412" customFormat="1" x14ac:dyDescent="0.2"/>
    <row r="5413" customFormat="1" x14ac:dyDescent="0.2"/>
    <row r="5414" customFormat="1" x14ac:dyDescent="0.2"/>
    <row r="5415" customFormat="1" x14ac:dyDescent="0.2"/>
    <row r="5416" customFormat="1" x14ac:dyDescent="0.2"/>
    <row r="5417" customFormat="1" x14ac:dyDescent="0.2"/>
    <row r="5418" customFormat="1" x14ac:dyDescent="0.2"/>
    <row r="5419" customFormat="1" x14ac:dyDescent="0.2"/>
    <row r="5420" customFormat="1" x14ac:dyDescent="0.2"/>
    <row r="5421" customFormat="1" x14ac:dyDescent="0.2"/>
    <row r="5422" customFormat="1" x14ac:dyDescent="0.2"/>
    <row r="5423" customFormat="1" x14ac:dyDescent="0.2"/>
    <row r="5424" customFormat="1" x14ac:dyDescent="0.2"/>
    <row r="5425" customFormat="1" x14ac:dyDescent="0.2"/>
    <row r="5426" customFormat="1" x14ac:dyDescent="0.2"/>
    <row r="5427" customFormat="1" x14ac:dyDescent="0.2"/>
    <row r="5428" customFormat="1" x14ac:dyDescent="0.2"/>
    <row r="5429" customFormat="1" x14ac:dyDescent="0.2"/>
    <row r="5430" customFormat="1" x14ac:dyDescent="0.2"/>
    <row r="5431" customFormat="1" x14ac:dyDescent="0.2"/>
    <row r="5432" customFormat="1" x14ac:dyDescent="0.2"/>
    <row r="5433" customFormat="1" x14ac:dyDescent="0.2"/>
    <row r="5434" customFormat="1" x14ac:dyDescent="0.2"/>
    <row r="5435" customFormat="1" x14ac:dyDescent="0.2"/>
    <row r="5436" customFormat="1" x14ac:dyDescent="0.2"/>
    <row r="5437" customFormat="1" x14ac:dyDescent="0.2"/>
    <row r="5438" customFormat="1" x14ac:dyDescent="0.2"/>
    <row r="5439" customFormat="1" x14ac:dyDescent="0.2"/>
    <row r="5440" customFormat="1" x14ac:dyDescent="0.2"/>
    <row r="5441" customFormat="1" x14ac:dyDescent="0.2"/>
    <row r="5442" customFormat="1" x14ac:dyDescent="0.2"/>
    <row r="5443" customFormat="1" x14ac:dyDescent="0.2"/>
    <row r="5444" customFormat="1" x14ac:dyDescent="0.2"/>
    <row r="5445" customFormat="1" x14ac:dyDescent="0.2"/>
    <row r="5446" customFormat="1" x14ac:dyDescent="0.2"/>
    <row r="5447" customFormat="1" x14ac:dyDescent="0.2"/>
    <row r="5448" customFormat="1" x14ac:dyDescent="0.2"/>
    <row r="5449" customFormat="1" x14ac:dyDescent="0.2"/>
    <row r="5450" customFormat="1" x14ac:dyDescent="0.2"/>
    <row r="5451" customFormat="1" x14ac:dyDescent="0.2"/>
    <row r="5452" customFormat="1" x14ac:dyDescent="0.2"/>
    <row r="5453" customFormat="1" x14ac:dyDescent="0.2"/>
    <row r="5454" customFormat="1" x14ac:dyDescent="0.2"/>
    <row r="5455" customFormat="1" x14ac:dyDescent="0.2"/>
    <row r="5456" customFormat="1" x14ac:dyDescent="0.2"/>
    <row r="5457" customFormat="1" x14ac:dyDescent="0.2"/>
    <row r="5458" customFormat="1" x14ac:dyDescent="0.2"/>
    <row r="5459" customFormat="1" x14ac:dyDescent="0.2"/>
    <row r="5460" customFormat="1" x14ac:dyDescent="0.2"/>
    <row r="5461" customFormat="1" x14ac:dyDescent="0.2"/>
    <row r="5462" customFormat="1" x14ac:dyDescent="0.2"/>
    <row r="5463" customFormat="1" x14ac:dyDescent="0.2"/>
    <row r="5464" customFormat="1" x14ac:dyDescent="0.2"/>
    <row r="5465" customFormat="1" x14ac:dyDescent="0.2"/>
    <row r="5466" customFormat="1" x14ac:dyDescent="0.2"/>
    <row r="5467" customFormat="1" x14ac:dyDescent="0.2"/>
    <row r="5468" customFormat="1" x14ac:dyDescent="0.2"/>
    <row r="5469" customFormat="1" x14ac:dyDescent="0.2"/>
    <row r="5470" customFormat="1" x14ac:dyDescent="0.2"/>
    <row r="5471" customFormat="1" x14ac:dyDescent="0.2"/>
    <row r="5472" customFormat="1" x14ac:dyDescent="0.2"/>
    <row r="5473" customFormat="1" x14ac:dyDescent="0.2"/>
    <row r="5474" customFormat="1" x14ac:dyDescent="0.2"/>
    <row r="5475" customFormat="1" x14ac:dyDescent="0.2"/>
    <row r="5476" customFormat="1" x14ac:dyDescent="0.2"/>
    <row r="5477" customFormat="1" x14ac:dyDescent="0.2"/>
    <row r="5478" customFormat="1" x14ac:dyDescent="0.2"/>
    <row r="5479" customFormat="1" x14ac:dyDescent="0.2"/>
    <row r="5480" customFormat="1" x14ac:dyDescent="0.2"/>
    <row r="5481" customFormat="1" x14ac:dyDescent="0.2"/>
    <row r="5482" customFormat="1" x14ac:dyDescent="0.2"/>
    <row r="5483" customFormat="1" x14ac:dyDescent="0.2"/>
    <row r="5484" customFormat="1" x14ac:dyDescent="0.2"/>
    <row r="5485" customFormat="1" x14ac:dyDescent="0.2"/>
    <row r="5486" customFormat="1" x14ac:dyDescent="0.2"/>
    <row r="5487" customFormat="1" x14ac:dyDescent="0.2"/>
    <row r="5488" customFormat="1" x14ac:dyDescent="0.2"/>
    <row r="5489" customFormat="1" x14ac:dyDescent="0.2"/>
    <row r="5490" customFormat="1" x14ac:dyDescent="0.2"/>
    <row r="5491" customFormat="1" x14ac:dyDescent="0.2"/>
    <row r="5492" customFormat="1" x14ac:dyDescent="0.2"/>
    <row r="5493" customFormat="1" x14ac:dyDescent="0.2"/>
    <row r="5494" customFormat="1" x14ac:dyDescent="0.2"/>
    <row r="5495" customFormat="1" x14ac:dyDescent="0.2"/>
    <row r="5496" customFormat="1" x14ac:dyDescent="0.2"/>
    <row r="5497" customFormat="1" x14ac:dyDescent="0.2"/>
    <row r="5498" customFormat="1" x14ac:dyDescent="0.2"/>
    <row r="5499" customFormat="1" x14ac:dyDescent="0.2"/>
    <row r="5500" customFormat="1" x14ac:dyDescent="0.2"/>
    <row r="5501" customFormat="1" x14ac:dyDescent="0.2"/>
    <row r="5502" customFormat="1" x14ac:dyDescent="0.2"/>
    <row r="5503" customFormat="1" x14ac:dyDescent="0.2"/>
    <row r="5504" customFormat="1" x14ac:dyDescent="0.2"/>
    <row r="5505" customFormat="1" x14ac:dyDescent="0.2"/>
    <row r="5506" customFormat="1" x14ac:dyDescent="0.2"/>
    <row r="5507" customFormat="1" x14ac:dyDescent="0.2"/>
    <row r="5508" customFormat="1" x14ac:dyDescent="0.2"/>
    <row r="5509" customFormat="1" x14ac:dyDescent="0.2"/>
    <row r="5510" customFormat="1" x14ac:dyDescent="0.2"/>
    <row r="5511" customFormat="1" x14ac:dyDescent="0.2"/>
    <row r="5512" customFormat="1" x14ac:dyDescent="0.2"/>
    <row r="5513" customFormat="1" x14ac:dyDescent="0.2"/>
    <row r="5514" customFormat="1" x14ac:dyDescent="0.2"/>
    <row r="5515" customFormat="1" x14ac:dyDescent="0.2"/>
    <row r="5516" customFormat="1" x14ac:dyDescent="0.2"/>
    <row r="5517" customFormat="1" x14ac:dyDescent="0.2"/>
    <row r="5518" customFormat="1" x14ac:dyDescent="0.2"/>
    <row r="5519" customFormat="1" x14ac:dyDescent="0.2"/>
    <row r="5520" customFormat="1" x14ac:dyDescent="0.2"/>
    <row r="5521" customFormat="1" x14ac:dyDescent="0.2"/>
    <row r="5522" customFormat="1" x14ac:dyDescent="0.2"/>
    <row r="5523" customFormat="1" x14ac:dyDescent="0.2"/>
    <row r="5524" customFormat="1" x14ac:dyDescent="0.2"/>
    <row r="5525" customFormat="1" x14ac:dyDescent="0.2"/>
    <row r="5526" customFormat="1" x14ac:dyDescent="0.2"/>
    <row r="5527" customFormat="1" x14ac:dyDescent="0.2"/>
    <row r="5528" customFormat="1" x14ac:dyDescent="0.2"/>
    <row r="5529" customFormat="1" x14ac:dyDescent="0.2"/>
    <row r="5530" customFormat="1" x14ac:dyDescent="0.2"/>
    <row r="5531" customFormat="1" x14ac:dyDescent="0.2"/>
    <row r="5532" customFormat="1" x14ac:dyDescent="0.2"/>
    <row r="5533" customFormat="1" x14ac:dyDescent="0.2"/>
    <row r="5534" customFormat="1" x14ac:dyDescent="0.2"/>
    <row r="5535" customFormat="1" x14ac:dyDescent="0.2"/>
    <row r="5536" customFormat="1" x14ac:dyDescent="0.2"/>
    <row r="5537" customFormat="1" x14ac:dyDescent="0.2"/>
    <row r="5538" customFormat="1" x14ac:dyDescent="0.2"/>
    <row r="5539" customFormat="1" x14ac:dyDescent="0.2"/>
    <row r="5540" customFormat="1" x14ac:dyDescent="0.2"/>
    <row r="5541" customFormat="1" x14ac:dyDescent="0.2"/>
    <row r="5542" customFormat="1" x14ac:dyDescent="0.2"/>
    <row r="5543" customFormat="1" x14ac:dyDescent="0.2"/>
    <row r="5544" customFormat="1" x14ac:dyDescent="0.2"/>
    <row r="5545" customFormat="1" x14ac:dyDescent="0.2"/>
    <row r="5546" customFormat="1" x14ac:dyDescent="0.2"/>
    <row r="5547" customFormat="1" x14ac:dyDescent="0.2"/>
    <row r="5548" customFormat="1" x14ac:dyDescent="0.2"/>
    <row r="5549" customFormat="1" x14ac:dyDescent="0.2"/>
    <row r="5550" customFormat="1" x14ac:dyDescent="0.2"/>
    <row r="5551" customFormat="1" x14ac:dyDescent="0.2"/>
    <row r="5552" customFormat="1" x14ac:dyDescent="0.2"/>
    <row r="5553" customFormat="1" x14ac:dyDescent="0.2"/>
    <row r="5554" customFormat="1" x14ac:dyDescent="0.2"/>
    <row r="5555" customFormat="1" x14ac:dyDescent="0.2"/>
    <row r="5556" customFormat="1" x14ac:dyDescent="0.2"/>
    <row r="5557" customFormat="1" x14ac:dyDescent="0.2"/>
    <row r="5558" customFormat="1" x14ac:dyDescent="0.2"/>
    <row r="5559" customFormat="1" x14ac:dyDescent="0.2"/>
    <row r="5560" customFormat="1" x14ac:dyDescent="0.2"/>
    <row r="5561" customFormat="1" x14ac:dyDescent="0.2"/>
    <row r="5562" customFormat="1" x14ac:dyDescent="0.2"/>
    <row r="5563" customFormat="1" x14ac:dyDescent="0.2"/>
    <row r="5564" customFormat="1" x14ac:dyDescent="0.2"/>
    <row r="5565" customFormat="1" x14ac:dyDescent="0.2"/>
    <row r="5566" customFormat="1" x14ac:dyDescent="0.2"/>
    <row r="5567" customFormat="1" x14ac:dyDescent="0.2"/>
    <row r="5568" customFormat="1" x14ac:dyDescent="0.2"/>
    <row r="5569" customFormat="1" x14ac:dyDescent="0.2"/>
    <row r="5570" customFormat="1" x14ac:dyDescent="0.2"/>
    <row r="5571" customFormat="1" x14ac:dyDescent="0.2"/>
    <row r="5572" customFormat="1" x14ac:dyDescent="0.2"/>
    <row r="5573" customFormat="1" x14ac:dyDescent="0.2"/>
    <row r="5574" customFormat="1" x14ac:dyDescent="0.2"/>
    <row r="5575" customFormat="1" x14ac:dyDescent="0.2"/>
    <row r="5576" customFormat="1" x14ac:dyDescent="0.2"/>
    <row r="5577" customFormat="1" x14ac:dyDescent="0.2"/>
    <row r="5578" customFormat="1" x14ac:dyDescent="0.2"/>
    <row r="5579" customFormat="1" x14ac:dyDescent="0.2"/>
    <row r="5580" customFormat="1" x14ac:dyDescent="0.2"/>
    <row r="5581" customFormat="1" x14ac:dyDescent="0.2"/>
    <row r="5582" customFormat="1" x14ac:dyDescent="0.2"/>
    <row r="5583" customFormat="1" x14ac:dyDescent="0.2"/>
    <row r="5584" customFormat="1" x14ac:dyDescent="0.2"/>
    <row r="5585" customFormat="1" x14ac:dyDescent="0.2"/>
    <row r="5586" customFormat="1" x14ac:dyDescent="0.2"/>
    <row r="5587" customFormat="1" x14ac:dyDescent="0.2"/>
    <row r="5588" customFormat="1" x14ac:dyDescent="0.2"/>
    <row r="5589" customFormat="1" x14ac:dyDescent="0.2"/>
    <row r="5590" customFormat="1" x14ac:dyDescent="0.2"/>
    <row r="5591" customFormat="1" x14ac:dyDescent="0.2"/>
    <row r="5592" customFormat="1" x14ac:dyDescent="0.2"/>
    <row r="5593" customFormat="1" x14ac:dyDescent="0.2"/>
    <row r="5594" customFormat="1" x14ac:dyDescent="0.2"/>
    <row r="5595" customFormat="1" x14ac:dyDescent="0.2"/>
    <row r="5596" customFormat="1" x14ac:dyDescent="0.2"/>
    <row r="5597" customFormat="1" x14ac:dyDescent="0.2"/>
    <row r="5598" customFormat="1" x14ac:dyDescent="0.2"/>
    <row r="5599" customFormat="1" x14ac:dyDescent="0.2"/>
    <row r="5600" customFormat="1" x14ac:dyDescent="0.2"/>
    <row r="5601" customFormat="1" x14ac:dyDescent="0.2"/>
    <row r="5602" customFormat="1" x14ac:dyDescent="0.2"/>
    <row r="5603" customFormat="1" x14ac:dyDescent="0.2"/>
    <row r="5604" customFormat="1" x14ac:dyDescent="0.2"/>
    <row r="5605" customFormat="1" x14ac:dyDescent="0.2"/>
    <row r="5606" customFormat="1" x14ac:dyDescent="0.2"/>
    <row r="5607" customFormat="1" x14ac:dyDescent="0.2"/>
    <row r="5608" customFormat="1" x14ac:dyDescent="0.2"/>
    <row r="5609" customFormat="1" x14ac:dyDescent="0.2"/>
    <row r="5610" customFormat="1" x14ac:dyDescent="0.2"/>
    <row r="5611" customFormat="1" x14ac:dyDescent="0.2"/>
    <row r="5612" customFormat="1" x14ac:dyDescent="0.2"/>
    <row r="5613" customFormat="1" x14ac:dyDescent="0.2"/>
    <row r="5614" customFormat="1" x14ac:dyDescent="0.2"/>
    <row r="5615" customFormat="1" x14ac:dyDescent="0.2"/>
    <row r="5616" customFormat="1" x14ac:dyDescent="0.2"/>
    <row r="5617" customFormat="1" x14ac:dyDescent="0.2"/>
    <row r="5618" customFormat="1" x14ac:dyDescent="0.2"/>
    <row r="5619" customFormat="1" x14ac:dyDescent="0.2"/>
    <row r="5620" customFormat="1" x14ac:dyDescent="0.2"/>
    <row r="5621" customFormat="1" x14ac:dyDescent="0.2"/>
    <row r="5622" customFormat="1" x14ac:dyDescent="0.2"/>
    <row r="5623" customFormat="1" x14ac:dyDescent="0.2"/>
    <row r="5624" customFormat="1" x14ac:dyDescent="0.2"/>
    <row r="5625" customFormat="1" x14ac:dyDescent="0.2"/>
    <row r="5626" customFormat="1" x14ac:dyDescent="0.2"/>
    <row r="5627" customFormat="1" x14ac:dyDescent="0.2"/>
    <row r="5628" customFormat="1" x14ac:dyDescent="0.2"/>
    <row r="5629" customFormat="1" x14ac:dyDescent="0.2"/>
    <row r="5630" customFormat="1" x14ac:dyDescent="0.2"/>
    <row r="5631" customFormat="1" x14ac:dyDescent="0.2"/>
    <row r="5632" customFormat="1" x14ac:dyDescent="0.2"/>
    <row r="5633" customFormat="1" x14ac:dyDescent="0.2"/>
    <row r="5634" customFormat="1" x14ac:dyDescent="0.2"/>
    <row r="5635" customFormat="1" x14ac:dyDescent="0.2"/>
    <row r="5636" customFormat="1" x14ac:dyDescent="0.2"/>
    <row r="5637" customFormat="1" x14ac:dyDescent="0.2"/>
    <row r="5638" customFormat="1" x14ac:dyDescent="0.2"/>
    <row r="5639" customFormat="1" x14ac:dyDescent="0.2"/>
    <row r="5640" customFormat="1" x14ac:dyDescent="0.2"/>
    <row r="5641" customFormat="1" x14ac:dyDescent="0.2"/>
    <row r="5642" customFormat="1" x14ac:dyDescent="0.2"/>
    <row r="5643" customFormat="1" x14ac:dyDescent="0.2"/>
    <row r="5644" customFormat="1" x14ac:dyDescent="0.2"/>
    <row r="5645" customFormat="1" x14ac:dyDescent="0.2"/>
    <row r="5646" customFormat="1" x14ac:dyDescent="0.2"/>
    <row r="5647" customFormat="1" x14ac:dyDescent="0.2"/>
    <row r="5648" customFormat="1" x14ac:dyDescent="0.2"/>
    <row r="5649" customFormat="1" x14ac:dyDescent="0.2"/>
    <row r="5650" customFormat="1" x14ac:dyDescent="0.2"/>
    <row r="5651" customFormat="1" x14ac:dyDescent="0.2"/>
    <row r="5652" customFormat="1" x14ac:dyDescent="0.2"/>
    <row r="5653" customFormat="1" x14ac:dyDescent="0.2"/>
    <row r="5654" customFormat="1" x14ac:dyDescent="0.2"/>
    <row r="5655" customFormat="1" x14ac:dyDescent="0.2"/>
    <row r="5656" customFormat="1" x14ac:dyDescent="0.2"/>
    <row r="5657" customFormat="1" x14ac:dyDescent="0.2"/>
    <row r="5658" customFormat="1" x14ac:dyDescent="0.2"/>
    <row r="5659" customFormat="1" x14ac:dyDescent="0.2"/>
    <row r="5660" customFormat="1" x14ac:dyDescent="0.2"/>
    <row r="5661" customFormat="1" x14ac:dyDescent="0.2"/>
    <row r="5662" customFormat="1" x14ac:dyDescent="0.2"/>
    <row r="5663" customFormat="1" x14ac:dyDescent="0.2"/>
    <row r="5664" customFormat="1" x14ac:dyDescent="0.2"/>
    <row r="5665" customFormat="1" x14ac:dyDescent="0.2"/>
    <row r="5666" customFormat="1" x14ac:dyDescent="0.2"/>
    <row r="5667" customFormat="1" x14ac:dyDescent="0.2"/>
    <row r="5668" customFormat="1" x14ac:dyDescent="0.2"/>
    <row r="5669" customFormat="1" x14ac:dyDescent="0.2"/>
    <row r="5670" customFormat="1" x14ac:dyDescent="0.2"/>
    <row r="5671" customFormat="1" x14ac:dyDescent="0.2"/>
    <row r="5672" customFormat="1" x14ac:dyDescent="0.2"/>
    <row r="5673" customFormat="1" x14ac:dyDescent="0.2"/>
    <row r="5674" customFormat="1" x14ac:dyDescent="0.2"/>
    <row r="5675" customFormat="1" x14ac:dyDescent="0.2"/>
    <row r="5676" customFormat="1" x14ac:dyDescent="0.2"/>
    <row r="5677" customFormat="1" x14ac:dyDescent="0.2"/>
    <row r="5678" customFormat="1" x14ac:dyDescent="0.2"/>
    <row r="5679" customFormat="1" x14ac:dyDescent="0.2"/>
    <row r="5680" customFormat="1" x14ac:dyDescent="0.2"/>
    <row r="5681" customFormat="1" x14ac:dyDescent="0.2"/>
    <row r="5682" customFormat="1" x14ac:dyDescent="0.2"/>
    <row r="5683" customFormat="1" x14ac:dyDescent="0.2"/>
    <row r="5684" customFormat="1" x14ac:dyDescent="0.2"/>
    <row r="5685" customFormat="1" x14ac:dyDescent="0.2"/>
    <row r="5686" customFormat="1" x14ac:dyDescent="0.2"/>
    <row r="5687" customFormat="1" x14ac:dyDescent="0.2"/>
    <row r="5688" customFormat="1" x14ac:dyDescent="0.2"/>
    <row r="5689" customFormat="1" x14ac:dyDescent="0.2"/>
    <row r="5690" customFormat="1" x14ac:dyDescent="0.2"/>
    <row r="5691" customFormat="1" x14ac:dyDescent="0.2"/>
    <row r="5692" customFormat="1" x14ac:dyDescent="0.2"/>
    <row r="5693" customFormat="1" x14ac:dyDescent="0.2"/>
    <row r="5694" customFormat="1" x14ac:dyDescent="0.2"/>
    <row r="5695" customFormat="1" x14ac:dyDescent="0.2"/>
    <row r="5696" customFormat="1" x14ac:dyDescent="0.2"/>
    <row r="5697" customFormat="1" x14ac:dyDescent="0.2"/>
    <row r="5698" customFormat="1" x14ac:dyDescent="0.2"/>
    <row r="5699" customFormat="1" x14ac:dyDescent="0.2"/>
    <row r="5700" customFormat="1" x14ac:dyDescent="0.2"/>
    <row r="5701" customFormat="1" x14ac:dyDescent="0.2"/>
    <row r="5702" customFormat="1" x14ac:dyDescent="0.2"/>
    <row r="5703" customFormat="1" x14ac:dyDescent="0.2"/>
    <row r="5704" customFormat="1" x14ac:dyDescent="0.2"/>
    <row r="5705" customFormat="1" x14ac:dyDescent="0.2"/>
    <row r="5706" customFormat="1" x14ac:dyDescent="0.2"/>
    <row r="5707" customFormat="1" x14ac:dyDescent="0.2"/>
    <row r="5708" customFormat="1" x14ac:dyDescent="0.2"/>
    <row r="5709" customFormat="1" x14ac:dyDescent="0.2"/>
    <row r="5710" customFormat="1" x14ac:dyDescent="0.2"/>
    <row r="5711" customFormat="1" x14ac:dyDescent="0.2"/>
    <row r="5712" customFormat="1" x14ac:dyDescent="0.2"/>
    <row r="5713" customFormat="1" x14ac:dyDescent="0.2"/>
    <row r="5714" customFormat="1" x14ac:dyDescent="0.2"/>
    <row r="5715" customFormat="1" x14ac:dyDescent="0.2"/>
    <row r="5716" customFormat="1" x14ac:dyDescent="0.2"/>
    <row r="5717" customFormat="1" x14ac:dyDescent="0.2"/>
    <row r="5718" customFormat="1" x14ac:dyDescent="0.2"/>
    <row r="5719" customFormat="1" x14ac:dyDescent="0.2"/>
    <row r="5720" customFormat="1" x14ac:dyDescent="0.2"/>
    <row r="5721" customFormat="1" x14ac:dyDescent="0.2"/>
    <row r="5722" customFormat="1" x14ac:dyDescent="0.2"/>
    <row r="5723" customFormat="1" x14ac:dyDescent="0.2"/>
    <row r="5724" customFormat="1" x14ac:dyDescent="0.2"/>
    <row r="5725" customFormat="1" x14ac:dyDescent="0.2"/>
    <row r="5726" customFormat="1" x14ac:dyDescent="0.2"/>
    <row r="5727" customFormat="1" x14ac:dyDescent="0.2"/>
    <row r="5728" customFormat="1" x14ac:dyDescent="0.2"/>
    <row r="5729" customFormat="1" x14ac:dyDescent="0.2"/>
    <row r="5730" customFormat="1" x14ac:dyDescent="0.2"/>
    <row r="5731" customFormat="1" x14ac:dyDescent="0.2"/>
    <row r="5732" customFormat="1" x14ac:dyDescent="0.2"/>
    <row r="5733" customFormat="1" x14ac:dyDescent="0.2"/>
    <row r="5734" customFormat="1" x14ac:dyDescent="0.2"/>
    <row r="5735" customFormat="1" x14ac:dyDescent="0.2"/>
    <row r="5736" customFormat="1" x14ac:dyDescent="0.2"/>
    <row r="5737" customFormat="1" x14ac:dyDescent="0.2"/>
    <row r="5738" customFormat="1" x14ac:dyDescent="0.2"/>
    <row r="5739" customFormat="1" x14ac:dyDescent="0.2"/>
    <row r="5740" customFormat="1" x14ac:dyDescent="0.2"/>
    <row r="5741" customFormat="1" x14ac:dyDescent="0.2"/>
    <row r="5742" customFormat="1" x14ac:dyDescent="0.2"/>
    <row r="5743" customFormat="1" x14ac:dyDescent="0.2"/>
    <row r="5744" customFormat="1" x14ac:dyDescent="0.2"/>
    <row r="5745" customFormat="1" x14ac:dyDescent="0.2"/>
    <row r="5746" customFormat="1" x14ac:dyDescent="0.2"/>
    <row r="5747" customFormat="1" x14ac:dyDescent="0.2"/>
    <row r="5748" customFormat="1" x14ac:dyDescent="0.2"/>
    <row r="5749" customFormat="1" x14ac:dyDescent="0.2"/>
    <row r="5750" customFormat="1" x14ac:dyDescent="0.2"/>
    <row r="5751" customFormat="1" x14ac:dyDescent="0.2"/>
    <row r="5752" customFormat="1" x14ac:dyDescent="0.2"/>
    <row r="5753" customFormat="1" x14ac:dyDescent="0.2"/>
    <row r="5754" customFormat="1" x14ac:dyDescent="0.2"/>
    <row r="5755" customFormat="1" x14ac:dyDescent="0.2"/>
    <row r="5756" customFormat="1" x14ac:dyDescent="0.2"/>
    <row r="5757" customFormat="1" x14ac:dyDescent="0.2"/>
    <row r="5758" customFormat="1" x14ac:dyDescent="0.2"/>
    <row r="5759" customFormat="1" x14ac:dyDescent="0.2"/>
    <row r="5760" customFormat="1" x14ac:dyDescent="0.2"/>
    <row r="5761" customFormat="1" x14ac:dyDescent="0.2"/>
    <row r="5762" customFormat="1" x14ac:dyDescent="0.2"/>
    <row r="5763" customFormat="1" x14ac:dyDescent="0.2"/>
    <row r="5764" customFormat="1" x14ac:dyDescent="0.2"/>
    <row r="5765" customFormat="1" x14ac:dyDescent="0.2"/>
    <row r="5766" customFormat="1" x14ac:dyDescent="0.2"/>
    <row r="5767" customFormat="1" x14ac:dyDescent="0.2"/>
    <row r="5768" customFormat="1" x14ac:dyDescent="0.2"/>
    <row r="5769" customFormat="1" x14ac:dyDescent="0.2"/>
    <row r="5770" customFormat="1" x14ac:dyDescent="0.2"/>
    <row r="5771" customFormat="1" x14ac:dyDescent="0.2"/>
    <row r="5772" customFormat="1" x14ac:dyDescent="0.2"/>
    <row r="5773" customFormat="1" x14ac:dyDescent="0.2"/>
    <row r="5774" customFormat="1" x14ac:dyDescent="0.2"/>
    <row r="5775" customFormat="1" x14ac:dyDescent="0.2"/>
    <row r="5776" customFormat="1" x14ac:dyDescent="0.2"/>
    <row r="5777" customFormat="1" x14ac:dyDescent="0.2"/>
    <row r="5778" customFormat="1" x14ac:dyDescent="0.2"/>
    <row r="5779" customFormat="1" x14ac:dyDescent="0.2"/>
    <row r="5780" customFormat="1" x14ac:dyDescent="0.2"/>
    <row r="5781" customFormat="1" x14ac:dyDescent="0.2"/>
    <row r="5782" customFormat="1" x14ac:dyDescent="0.2"/>
    <row r="5783" customFormat="1" x14ac:dyDescent="0.2"/>
    <row r="5784" customFormat="1" x14ac:dyDescent="0.2"/>
    <row r="5785" customFormat="1" x14ac:dyDescent="0.2"/>
    <row r="5786" customFormat="1" x14ac:dyDescent="0.2"/>
    <row r="5787" customFormat="1" x14ac:dyDescent="0.2"/>
    <row r="5788" customFormat="1" x14ac:dyDescent="0.2"/>
    <row r="5789" customFormat="1" x14ac:dyDescent="0.2"/>
    <row r="5790" customFormat="1" x14ac:dyDescent="0.2"/>
    <row r="5791" customFormat="1" x14ac:dyDescent="0.2"/>
    <row r="5792" customFormat="1" x14ac:dyDescent="0.2"/>
    <row r="5793" customFormat="1" x14ac:dyDescent="0.2"/>
    <row r="5794" customFormat="1" x14ac:dyDescent="0.2"/>
    <row r="5795" customFormat="1" x14ac:dyDescent="0.2"/>
    <row r="5796" customFormat="1" x14ac:dyDescent="0.2"/>
    <row r="5797" customFormat="1" x14ac:dyDescent="0.2"/>
    <row r="5798" customFormat="1" x14ac:dyDescent="0.2"/>
    <row r="5799" customFormat="1" x14ac:dyDescent="0.2"/>
    <row r="5800" customFormat="1" x14ac:dyDescent="0.2"/>
    <row r="5801" customFormat="1" x14ac:dyDescent="0.2"/>
    <row r="5802" customFormat="1" x14ac:dyDescent="0.2"/>
    <row r="5803" customFormat="1" x14ac:dyDescent="0.2"/>
    <row r="5804" customFormat="1" x14ac:dyDescent="0.2"/>
    <row r="5805" customFormat="1" x14ac:dyDescent="0.2"/>
    <row r="5806" customFormat="1" x14ac:dyDescent="0.2"/>
    <row r="5807" customFormat="1" x14ac:dyDescent="0.2"/>
    <row r="5808" customFormat="1" x14ac:dyDescent="0.2"/>
    <row r="5809" customFormat="1" x14ac:dyDescent="0.2"/>
    <row r="5810" customFormat="1" x14ac:dyDescent="0.2"/>
    <row r="5811" customFormat="1" x14ac:dyDescent="0.2"/>
    <row r="5812" customFormat="1" x14ac:dyDescent="0.2"/>
    <row r="5813" customFormat="1" x14ac:dyDescent="0.2"/>
    <row r="5814" customFormat="1" x14ac:dyDescent="0.2"/>
    <row r="5815" customFormat="1" x14ac:dyDescent="0.2"/>
    <row r="5816" customFormat="1" x14ac:dyDescent="0.2"/>
    <row r="5817" customFormat="1" x14ac:dyDescent="0.2"/>
    <row r="5818" customFormat="1" x14ac:dyDescent="0.2"/>
    <row r="5819" customFormat="1" x14ac:dyDescent="0.2"/>
    <row r="5820" customFormat="1" x14ac:dyDescent="0.2"/>
    <row r="5821" customFormat="1" x14ac:dyDescent="0.2"/>
    <row r="5822" customFormat="1" x14ac:dyDescent="0.2"/>
    <row r="5823" customFormat="1" x14ac:dyDescent="0.2"/>
    <row r="5824" customFormat="1" x14ac:dyDescent="0.2"/>
    <row r="5825" customFormat="1" x14ac:dyDescent="0.2"/>
    <row r="5826" customFormat="1" x14ac:dyDescent="0.2"/>
    <row r="5827" customFormat="1" x14ac:dyDescent="0.2"/>
    <row r="5828" customFormat="1" x14ac:dyDescent="0.2"/>
    <row r="5829" customFormat="1" x14ac:dyDescent="0.2"/>
    <row r="5830" customFormat="1" x14ac:dyDescent="0.2"/>
    <row r="5831" customFormat="1" x14ac:dyDescent="0.2"/>
    <row r="5832" customFormat="1" x14ac:dyDescent="0.2"/>
    <row r="5833" customFormat="1" x14ac:dyDescent="0.2"/>
    <row r="5834" customFormat="1" x14ac:dyDescent="0.2"/>
    <row r="5835" customFormat="1" x14ac:dyDescent="0.2"/>
    <row r="5836" customFormat="1" x14ac:dyDescent="0.2"/>
    <row r="5837" customFormat="1" x14ac:dyDescent="0.2"/>
    <row r="5838" customFormat="1" x14ac:dyDescent="0.2"/>
    <row r="5839" customFormat="1" x14ac:dyDescent="0.2"/>
    <row r="5840" customFormat="1" x14ac:dyDescent="0.2"/>
    <row r="5841" customFormat="1" x14ac:dyDescent="0.2"/>
    <row r="5842" customFormat="1" x14ac:dyDescent="0.2"/>
    <row r="5843" customFormat="1" x14ac:dyDescent="0.2"/>
    <row r="5844" customFormat="1" x14ac:dyDescent="0.2"/>
    <row r="5845" customFormat="1" x14ac:dyDescent="0.2"/>
    <row r="5846" customFormat="1" x14ac:dyDescent="0.2"/>
    <row r="5847" customFormat="1" x14ac:dyDescent="0.2"/>
    <row r="5848" customFormat="1" x14ac:dyDescent="0.2"/>
    <row r="5849" customFormat="1" x14ac:dyDescent="0.2"/>
    <row r="5850" customFormat="1" x14ac:dyDescent="0.2"/>
    <row r="5851" customFormat="1" x14ac:dyDescent="0.2"/>
    <row r="5852" customFormat="1" x14ac:dyDescent="0.2"/>
    <row r="5853" customFormat="1" x14ac:dyDescent="0.2"/>
    <row r="5854" customFormat="1" x14ac:dyDescent="0.2"/>
    <row r="5855" customFormat="1" x14ac:dyDescent="0.2"/>
    <row r="5856" customFormat="1" x14ac:dyDescent="0.2"/>
    <row r="5857" customFormat="1" x14ac:dyDescent="0.2"/>
    <row r="5858" customFormat="1" x14ac:dyDescent="0.2"/>
    <row r="5859" customFormat="1" x14ac:dyDescent="0.2"/>
    <row r="5860" customFormat="1" x14ac:dyDescent="0.2"/>
    <row r="5861" customFormat="1" x14ac:dyDescent="0.2"/>
    <row r="5862" customFormat="1" x14ac:dyDescent="0.2"/>
    <row r="5863" customFormat="1" x14ac:dyDescent="0.2"/>
    <row r="5864" customFormat="1" x14ac:dyDescent="0.2"/>
    <row r="5865" customFormat="1" x14ac:dyDescent="0.2"/>
    <row r="5866" customFormat="1" x14ac:dyDescent="0.2"/>
    <row r="5867" customFormat="1" x14ac:dyDescent="0.2"/>
    <row r="5868" customFormat="1" x14ac:dyDescent="0.2"/>
    <row r="5869" customFormat="1" x14ac:dyDescent="0.2"/>
    <row r="5870" customFormat="1" x14ac:dyDescent="0.2"/>
    <row r="5871" customFormat="1" x14ac:dyDescent="0.2"/>
    <row r="5872" customFormat="1" x14ac:dyDescent="0.2"/>
    <row r="5873" customFormat="1" x14ac:dyDescent="0.2"/>
    <row r="5874" customFormat="1" x14ac:dyDescent="0.2"/>
    <row r="5875" customFormat="1" x14ac:dyDescent="0.2"/>
    <row r="5876" customFormat="1" x14ac:dyDescent="0.2"/>
    <row r="5877" customFormat="1" x14ac:dyDescent="0.2"/>
    <row r="5878" customFormat="1" x14ac:dyDescent="0.2"/>
    <row r="5879" customFormat="1" x14ac:dyDescent="0.2"/>
    <row r="5880" customFormat="1" x14ac:dyDescent="0.2"/>
    <row r="5881" customFormat="1" x14ac:dyDescent="0.2"/>
    <row r="5882" customFormat="1" x14ac:dyDescent="0.2"/>
    <row r="5883" customFormat="1" x14ac:dyDescent="0.2"/>
    <row r="5884" customFormat="1" x14ac:dyDescent="0.2"/>
    <row r="5885" customFormat="1" x14ac:dyDescent="0.2"/>
    <row r="5886" customFormat="1" x14ac:dyDescent="0.2"/>
    <row r="5887" customFormat="1" x14ac:dyDescent="0.2"/>
    <row r="5888" customFormat="1" x14ac:dyDescent="0.2"/>
    <row r="5889" customFormat="1" x14ac:dyDescent="0.2"/>
    <row r="5890" customFormat="1" x14ac:dyDescent="0.2"/>
    <row r="5891" customFormat="1" x14ac:dyDescent="0.2"/>
    <row r="5892" customFormat="1" x14ac:dyDescent="0.2"/>
    <row r="5893" customFormat="1" x14ac:dyDescent="0.2"/>
    <row r="5894" customFormat="1" x14ac:dyDescent="0.2"/>
    <row r="5895" customFormat="1" x14ac:dyDescent="0.2"/>
    <row r="5896" customFormat="1" x14ac:dyDescent="0.2"/>
    <row r="5897" customFormat="1" x14ac:dyDescent="0.2"/>
    <row r="5898" customFormat="1" x14ac:dyDescent="0.2"/>
    <row r="5899" customFormat="1" x14ac:dyDescent="0.2"/>
    <row r="5900" customFormat="1" x14ac:dyDescent="0.2"/>
    <row r="5901" customFormat="1" x14ac:dyDescent="0.2"/>
    <row r="5902" customFormat="1" x14ac:dyDescent="0.2"/>
    <row r="5903" customFormat="1" x14ac:dyDescent="0.2"/>
    <row r="5904" customFormat="1" x14ac:dyDescent="0.2"/>
    <row r="5905" customFormat="1" x14ac:dyDescent="0.2"/>
    <row r="5906" customFormat="1" x14ac:dyDescent="0.2"/>
    <row r="5907" customFormat="1" x14ac:dyDescent="0.2"/>
    <row r="5908" customFormat="1" x14ac:dyDescent="0.2"/>
    <row r="5909" customFormat="1" x14ac:dyDescent="0.2"/>
    <row r="5910" customFormat="1" x14ac:dyDescent="0.2"/>
    <row r="5911" customFormat="1" x14ac:dyDescent="0.2"/>
    <row r="5912" customFormat="1" x14ac:dyDescent="0.2"/>
    <row r="5913" customFormat="1" x14ac:dyDescent="0.2"/>
    <row r="5914" customFormat="1" x14ac:dyDescent="0.2"/>
    <row r="5915" customFormat="1" x14ac:dyDescent="0.2"/>
    <row r="5916" customFormat="1" x14ac:dyDescent="0.2"/>
    <row r="5917" customFormat="1" x14ac:dyDescent="0.2"/>
    <row r="5918" customFormat="1" x14ac:dyDescent="0.2"/>
    <row r="5919" customFormat="1" x14ac:dyDescent="0.2"/>
    <row r="5920" customFormat="1" x14ac:dyDescent="0.2"/>
    <row r="5921" customFormat="1" x14ac:dyDescent="0.2"/>
    <row r="5922" customFormat="1" x14ac:dyDescent="0.2"/>
    <row r="5923" customFormat="1" x14ac:dyDescent="0.2"/>
    <row r="5924" customFormat="1" x14ac:dyDescent="0.2"/>
    <row r="5925" customFormat="1" x14ac:dyDescent="0.2"/>
    <row r="5926" customFormat="1" x14ac:dyDescent="0.2"/>
    <row r="5927" customFormat="1" x14ac:dyDescent="0.2"/>
    <row r="5928" customFormat="1" x14ac:dyDescent="0.2"/>
    <row r="5929" customFormat="1" x14ac:dyDescent="0.2"/>
    <row r="5930" customFormat="1" x14ac:dyDescent="0.2"/>
    <row r="5931" customFormat="1" x14ac:dyDescent="0.2"/>
    <row r="5932" customFormat="1" x14ac:dyDescent="0.2"/>
    <row r="5933" customFormat="1" x14ac:dyDescent="0.2"/>
    <row r="5934" customFormat="1" x14ac:dyDescent="0.2"/>
    <row r="5935" customFormat="1" x14ac:dyDescent="0.2"/>
    <row r="5936" customFormat="1" x14ac:dyDescent="0.2"/>
    <row r="5937" customFormat="1" x14ac:dyDescent="0.2"/>
    <row r="5938" customFormat="1" x14ac:dyDescent="0.2"/>
    <row r="5939" customFormat="1" x14ac:dyDescent="0.2"/>
    <row r="5940" customFormat="1" x14ac:dyDescent="0.2"/>
    <row r="5941" customFormat="1" x14ac:dyDescent="0.2"/>
    <row r="5942" customFormat="1" x14ac:dyDescent="0.2"/>
    <row r="5943" customFormat="1" x14ac:dyDescent="0.2"/>
    <row r="5944" customFormat="1" x14ac:dyDescent="0.2"/>
    <row r="5945" customFormat="1" x14ac:dyDescent="0.2"/>
    <row r="5946" customFormat="1" x14ac:dyDescent="0.2"/>
    <row r="5947" customFormat="1" x14ac:dyDescent="0.2"/>
    <row r="5948" customFormat="1" x14ac:dyDescent="0.2"/>
    <row r="5949" customFormat="1" x14ac:dyDescent="0.2"/>
    <row r="5950" customFormat="1" x14ac:dyDescent="0.2"/>
    <row r="5951" customFormat="1" x14ac:dyDescent="0.2"/>
    <row r="5952" customFormat="1" x14ac:dyDescent="0.2"/>
    <row r="5953" customFormat="1" x14ac:dyDescent="0.2"/>
    <row r="5954" customFormat="1" x14ac:dyDescent="0.2"/>
    <row r="5955" customFormat="1" x14ac:dyDescent="0.2"/>
    <row r="5956" customFormat="1" x14ac:dyDescent="0.2"/>
    <row r="5957" customFormat="1" x14ac:dyDescent="0.2"/>
    <row r="5958" customFormat="1" x14ac:dyDescent="0.2"/>
    <row r="5959" customFormat="1" x14ac:dyDescent="0.2"/>
    <row r="5960" customFormat="1" x14ac:dyDescent="0.2"/>
    <row r="5961" customFormat="1" x14ac:dyDescent="0.2"/>
    <row r="5962" customFormat="1" x14ac:dyDescent="0.2"/>
    <row r="5963" customFormat="1" x14ac:dyDescent="0.2"/>
    <row r="5964" customFormat="1" x14ac:dyDescent="0.2"/>
    <row r="5965" customFormat="1" x14ac:dyDescent="0.2"/>
    <row r="5966" customFormat="1" x14ac:dyDescent="0.2"/>
    <row r="5967" customFormat="1" x14ac:dyDescent="0.2"/>
    <row r="5968" customFormat="1" x14ac:dyDescent="0.2"/>
    <row r="5969" customFormat="1" x14ac:dyDescent="0.2"/>
    <row r="5970" customFormat="1" x14ac:dyDescent="0.2"/>
    <row r="5971" customFormat="1" x14ac:dyDescent="0.2"/>
    <row r="5972" customFormat="1" x14ac:dyDescent="0.2"/>
    <row r="5973" customFormat="1" x14ac:dyDescent="0.2"/>
    <row r="5974" customFormat="1" x14ac:dyDescent="0.2"/>
    <row r="5975" customFormat="1" x14ac:dyDescent="0.2"/>
    <row r="5976" customFormat="1" x14ac:dyDescent="0.2"/>
    <row r="5977" customFormat="1" x14ac:dyDescent="0.2"/>
    <row r="5978" customFormat="1" x14ac:dyDescent="0.2"/>
    <row r="5979" customFormat="1" x14ac:dyDescent="0.2"/>
    <row r="5980" customFormat="1" x14ac:dyDescent="0.2"/>
    <row r="5981" customFormat="1" x14ac:dyDescent="0.2"/>
    <row r="5982" customFormat="1" x14ac:dyDescent="0.2"/>
    <row r="5983" customFormat="1" x14ac:dyDescent="0.2"/>
    <row r="5984" customFormat="1" x14ac:dyDescent="0.2"/>
    <row r="5985" customFormat="1" x14ac:dyDescent="0.2"/>
    <row r="5986" customFormat="1" x14ac:dyDescent="0.2"/>
    <row r="5987" customFormat="1" x14ac:dyDescent="0.2"/>
    <row r="5988" customFormat="1" x14ac:dyDescent="0.2"/>
    <row r="5989" customFormat="1" x14ac:dyDescent="0.2"/>
    <row r="5990" customFormat="1" x14ac:dyDescent="0.2"/>
    <row r="5991" customFormat="1" x14ac:dyDescent="0.2"/>
    <row r="5992" customFormat="1" x14ac:dyDescent="0.2"/>
    <row r="5993" customFormat="1" x14ac:dyDescent="0.2"/>
    <row r="5994" customFormat="1" x14ac:dyDescent="0.2"/>
    <row r="5995" customFormat="1" x14ac:dyDescent="0.2"/>
    <row r="5996" customFormat="1" x14ac:dyDescent="0.2"/>
    <row r="5997" customFormat="1" x14ac:dyDescent="0.2"/>
    <row r="5998" customFormat="1" x14ac:dyDescent="0.2"/>
    <row r="5999" customFormat="1" x14ac:dyDescent="0.2"/>
    <row r="6000" customFormat="1" x14ac:dyDescent="0.2"/>
    <row r="6001" customFormat="1" x14ac:dyDescent="0.2"/>
    <row r="6002" customFormat="1" x14ac:dyDescent="0.2"/>
    <row r="6003" customFormat="1" x14ac:dyDescent="0.2"/>
    <row r="6004" customFormat="1" x14ac:dyDescent="0.2"/>
    <row r="6005" customFormat="1" x14ac:dyDescent="0.2"/>
    <row r="6006" customFormat="1" x14ac:dyDescent="0.2"/>
    <row r="6007" customFormat="1" x14ac:dyDescent="0.2"/>
    <row r="6008" customFormat="1" x14ac:dyDescent="0.2"/>
    <row r="6009" customFormat="1" x14ac:dyDescent="0.2"/>
    <row r="6010" customFormat="1" x14ac:dyDescent="0.2"/>
    <row r="6011" customFormat="1" x14ac:dyDescent="0.2"/>
    <row r="6012" customFormat="1" x14ac:dyDescent="0.2"/>
    <row r="6013" customFormat="1" x14ac:dyDescent="0.2"/>
    <row r="6014" customFormat="1" x14ac:dyDescent="0.2"/>
    <row r="6015" customFormat="1" x14ac:dyDescent="0.2"/>
    <row r="6016" customFormat="1" x14ac:dyDescent="0.2"/>
    <row r="6017" customFormat="1" x14ac:dyDescent="0.2"/>
    <row r="6018" customFormat="1" x14ac:dyDescent="0.2"/>
    <row r="6019" customFormat="1" x14ac:dyDescent="0.2"/>
    <row r="6020" customFormat="1" x14ac:dyDescent="0.2"/>
    <row r="6021" customFormat="1" x14ac:dyDescent="0.2"/>
    <row r="6022" customFormat="1" x14ac:dyDescent="0.2"/>
    <row r="6023" customFormat="1" x14ac:dyDescent="0.2"/>
    <row r="6024" customFormat="1" x14ac:dyDescent="0.2"/>
    <row r="6025" customFormat="1" x14ac:dyDescent="0.2"/>
    <row r="6026" customFormat="1" x14ac:dyDescent="0.2"/>
    <row r="6027" customFormat="1" x14ac:dyDescent="0.2"/>
    <row r="6028" customFormat="1" x14ac:dyDescent="0.2"/>
    <row r="6029" customFormat="1" x14ac:dyDescent="0.2"/>
    <row r="6030" customFormat="1" x14ac:dyDescent="0.2"/>
    <row r="6031" customFormat="1" x14ac:dyDescent="0.2"/>
    <row r="6032" customFormat="1" x14ac:dyDescent="0.2"/>
    <row r="6033" customFormat="1" x14ac:dyDescent="0.2"/>
    <row r="6034" customFormat="1" x14ac:dyDescent="0.2"/>
    <row r="6035" customFormat="1" x14ac:dyDescent="0.2"/>
    <row r="6036" customFormat="1" x14ac:dyDescent="0.2"/>
    <row r="6037" customFormat="1" x14ac:dyDescent="0.2"/>
    <row r="6038" customFormat="1" x14ac:dyDescent="0.2"/>
    <row r="6039" customFormat="1" x14ac:dyDescent="0.2"/>
    <row r="6040" customFormat="1" x14ac:dyDescent="0.2"/>
    <row r="6041" customFormat="1" x14ac:dyDescent="0.2"/>
    <row r="6042" customFormat="1" x14ac:dyDescent="0.2"/>
    <row r="6043" customFormat="1" x14ac:dyDescent="0.2"/>
    <row r="6044" customFormat="1" x14ac:dyDescent="0.2"/>
    <row r="6045" customFormat="1" x14ac:dyDescent="0.2"/>
    <row r="6046" customFormat="1" x14ac:dyDescent="0.2"/>
    <row r="6047" customFormat="1" x14ac:dyDescent="0.2"/>
    <row r="6048" customFormat="1" x14ac:dyDescent="0.2"/>
    <row r="6049" customFormat="1" x14ac:dyDescent="0.2"/>
    <row r="6050" customFormat="1" x14ac:dyDescent="0.2"/>
    <row r="6051" customFormat="1" x14ac:dyDescent="0.2"/>
    <row r="6052" customFormat="1" x14ac:dyDescent="0.2"/>
    <row r="6053" customFormat="1" x14ac:dyDescent="0.2"/>
    <row r="6054" customFormat="1" x14ac:dyDescent="0.2"/>
    <row r="6055" customFormat="1" x14ac:dyDescent="0.2"/>
    <row r="6056" customFormat="1" x14ac:dyDescent="0.2"/>
    <row r="6057" customFormat="1" x14ac:dyDescent="0.2"/>
    <row r="6058" customFormat="1" x14ac:dyDescent="0.2"/>
    <row r="6059" customFormat="1" x14ac:dyDescent="0.2"/>
    <row r="6060" customFormat="1" x14ac:dyDescent="0.2"/>
    <row r="6061" customFormat="1" x14ac:dyDescent="0.2"/>
    <row r="6062" customFormat="1" x14ac:dyDescent="0.2"/>
    <row r="6063" customFormat="1" x14ac:dyDescent="0.2"/>
    <row r="6064" customFormat="1" x14ac:dyDescent="0.2"/>
    <row r="6065" customFormat="1" x14ac:dyDescent="0.2"/>
    <row r="6066" customFormat="1" x14ac:dyDescent="0.2"/>
    <row r="6067" customFormat="1" x14ac:dyDescent="0.2"/>
    <row r="6068" customFormat="1" x14ac:dyDescent="0.2"/>
    <row r="6069" customFormat="1" x14ac:dyDescent="0.2"/>
    <row r="6070" customFormat="1" x14ac:dyDescent="0.2"/>
    <row r="6071" customFormat="1" x14ac:dyDescent="0.2"/>
    <row r="6072" customFormat="1" x14ac:dyDescent="0.2"/>
    <row r="6073" customFormat="1" x14ac:dyDescent="0.2"/>
    <row r="6074" customFormat="1" x14ac:dyDescent="0.2"/>
    <row r="6075" customFormat="1" x14ac:dyDescent="0.2"/>
    <row r="6076" customFormat="1" x14ac:dyDescent="0.2"/>
    <row r="6077" customFormat="1" x14ac:dyDescent="0.2"/>
    <row r="6078" customFormat="1" x14ac:dyDescent="0.2"/>
    <row r="6079" customFormat="1" x14ac:dyDescent="0.2"/>
    <row r="6080" customFormat="1" x14ac:dyDescent="0.2"/>
    <row r="6081" customFormat="1" x14ac:dyDescent="0.2"/>
    <row r="6082" customFormat="1" x14ac:dyDescent="0.2"/>
    <row r="6083" customFormat="1" x14ac:dyDescent="0.2"/>
    <row r="6084" customFormat="1" x14ac:dyDescent="0.2"/>
    <row r="6085" customFormat="1" x14ac:dyDescent="0.2"/>
    <row r="6086" customFormat="1" x14ac:dyDescent="0.2"/>
    <row r="6087" customFormat="1" x14ac:dyDescent="0.2"/>
    <row r="6088" customFormat="1" x14ac:dyDescent="0.2"/>
    <row r="6089" customFormat="1" x14ac:dyDescent="0.2"/>
    <row r="6090" customFormat="1" x14ac:dyDescent="0.2"/>
    <row r="6091" customFormat="1" x14ac:dyDescent="0.2"/>
    <row r="6092" customFormat="1" x14ac:dyDescent="0.2"/>
    <row r="6093" customFormat="1" x14ac:dyDescent="0.2"/>
    <row r="6094" customFormat="1" x14ac:dyDescent="0.2"/>
    <row r="6095" customFormat="1" x14ac:dyDescent="0.2"/>
    <row r="6096" customFormat="1" x14ac:dyDescent="0.2"/>
    <row r="6097" customFormat="1" x14ac:dyDescent="0.2"/>
    <row r="6098" customFormat="1" x14ac:dyDescent="0.2"/>
    <row r="6099" customFormat="1" x14ac:dyDescent="0.2"/>
    <row r="6100" customFormat="1" x14ac:dyDescent="0.2"/>
    <row r="6101" customFormat="1" x14ac:dyDescent="0.2"/>
    <row r="6102" customFormat="1" x14ac:dyDescent="0.2"/>
    <row r="6103" customFormat="1" x14ac:dyDescent="0.2"/>
    <row r="6104" customFormat="1" x14ac:dyDescent="0.2"/>
    <row r="6105" customFormat="1" x14ac:dyDescent="0.2"/>
    <row r="6106" customFormat="1" x14ac:dyDescent="0.2"/>
    <row r="6107" customFormat="1" x14ac:dyDescent="0.2"/>
    <row r="6108" customFormat="1" x14ac:dyDescent="0.2"/>
    <row r="6109" customFormat="1" x14ac:dyDescent="0.2"/>
    <row r="6110" customFormat="1" x14ac:dyDescent="0.2"/>
    <row r="6111" customFormat="1" x14ac:dyDescent="0.2"/>
    <row r="6112" customFormat="1" x14ac:dyDescent="0.2"/>
    <row r="6113" customFormat="1" x14ac:dyDescent="0.2"/>
    <row r="6114" customFormat="1" x14ac:dyDescent="0.2"/>
    <row r="6115" customFormat="1" x14ac:dyDescent="0.2"/>
    <row r="6116" customFormat="1" x14ac:dyDescent="0.2"/>
    <row r="6117" customFormat="1" x14ac:dyDescent="0.2"/>
    <row r="6118" customFormat="1" x14ac:dyDescent="0.2"/>
    <row r="6119" customFormat="1" x14ac:dyDescent="0.2"/>
    <row r="6120" customFormat="1" x14ac:dyDescent="0.2"/>
    <row r="6121" customFormat="1" x14ac:dyDescent="0.2"/>
    <row r="6122" customFormat="1" x14ac:dyDescent="0.2"/>
    <row r="6123" customFormat="1" x14ac:dyDescent="0.2"/>
    <row r="6124" customFormat="1" x14ac:dyDescent="0.2"/>
    <row r="6125" customFormat="1" x14ac:dyDescent="0.2"/>
    <row r="6126" customFormat="1" x14ac:dyDescent="0.2"/>
    <row r="6127" customFormat="1" x14ac:dyDescent="0.2"/>
    <row r="6128" customFormat="1" x14ac:dyDescent="0.2"/>
    <row r="6129" customFormat="1" x14ac:dyDescent="0.2"/>
    <row r="6130" customFormat="1" x14ac:dyDescent="0.2"/>
    <row r="6131" customFormat="1" x14ac:dyDescent="0.2"/>
    <row r="6132" customFormat="1" x14ac:dyDescent="0.2"/>
    <row r="6133" customFormat="1" x14ac:dyDescent="0.2"/>
    <row r="6134" customFormat="1" x14ac:dyDescent="0.2"/>
    <row r="6135" customFormat="1" x14ac:dyDescent="0.2"/>
    <row r="6136" customFormat="1" x14ac:dyDescent="0.2"/>
    <row r="6137" customFormat="1" x14ac:dyDescent="0.2"/>
    <row r="6138" customFormat="1" x14ac:dyDescent="0.2"/>
    <row r="6139" customFormat="1" x14ac:dyDescent="0.2"/>
    <row r="6140" customFormat="1" x14ac:dyDescent="0.2"/>
    <row r="6141" customFormat="1" x14ac:dyDescent="0.2"/>
    <row r="6142" customFormat="1" x14ac:dyDescent="0.2"/>
    <row r="6143" customFormat="1" x14ac:dyDescent="0.2"/>
    <row r="6144" customFormat="1" x14ac:dyDescent="0.2"/>
    <row r="6145" customFormat="1" x14ac:dyDescent="0.2"/>
    <row r="6146" customFormat="1" x14ac:dyDescent="0.2"/>
    <row r="6147" customFormat="1" x14ac:dyDescent="0.2"/>
    <row r="6148" customFormat="1" x14ac:dyDescent="0.2"/>
    <row r="6149" customFormat="1" x14ac:dyDescent="0.2"/>
    <row r="6150" customFormat="1" x14ac:dyDescent="0.2"/>
    <row r="6151" customFormat="1" x14ac:dyDescent="0.2"/>
    <row r="6152" customFormat="1" x14ac:dyDescent="0.2"/>
    <row r="6153" customFormat="1" x14ac:dyDescent="0.2"/>
    <row r="6154" customFormat="1" x14ac:dyDescent="0.2"/>
    <row r="6155" customFormat="1" x14ac:dyDescent="0.2"/>
    <row r="6156" customFormat="1" x14ac:dyDescent="0.2"/>
    <row r="6157" customFormat="1" x14ac:dyDescent="0.2"/>
    <row r="6158" customFormat="1" x14ac:dyDescent="0.2"/>
    <row r="6159" customFormat="1" x14ac:dyDescent="0.2"/>
    <row r="6160" customFormat="1" x14ac:dyDescent="0.2"/>
    <row r="6161" customFormat="1" x14ac:dyDescent="0.2"/>
    <row r="6162" customFormat="1" x14ac:dyDescent="0.2"/>
    <row r="6163" customFormat="1" x14ac:dyDescent="0.2"/>
    <row r="6164" customFormat="1" x14ac:dyDescent="0.2"/>
    <row r="6165" customFormat="1" x14ac:dyDescent="0.2"/>
    <row r="6166" customFormat="1" x14ac:dyDescent="0.2"/>
    <row r="6167" customFormat="1" x14ac:dyDescent="0.2"/>
    <row r="6168" customFormat="1" x14ac:dyDescent="0.2"/>
    <row r="6169" customFormat="1" x14ac:dyDescent="0.2"/>
    <row r="6170" customFormat="1" x14ac:dyDescent="0.2"/>
    <row r="6171" customFormat="1" x14ac:dyDescent="0.2"/>
    <row r="6172" customFormat="1" x14ac:dyDescent="0.2"/>
    <row r="6173" customFormat="1" x14ac:dyDescent="0.2"/>
    <row r="6174" customFormat="1" x14ac:dyDescent="0.2"/>
    <row r="6175" customFormat="1" x14ac:dyDescent="0.2"/>
    <row r="6176" customFormat="1" x14ac:dyDescent="0.2"/>
    <row r="6177" customFormat="1" x14ac:dyDescent="0.2"/>
    <row r="6178" customFormat="1" x14ac:dyDescent="0.2"/>
    <row r="6179" customFormat="1" x14ac:dyDescent="0.2"/>
    <row r="6180" customFormat="1" x14ac:dyDescent="0.2"/>
    <row r="6181" customFormat="1" x14ac:dyDescent="0.2"/>
    <row r="6182" customFormat="1" x14ac:dyDescent="0.2"/>
    <row r="6183" customFormat="1" x14ac:dyDescent="0.2"/>
    <row r="6184" customFormat="1" x14ac:dyDescent="0.2"/>
    <row r="6185" customFormat="1" x14ac:dyDescent="0.2"/>
    <row r="6186" customFormat="1" x14ac:dyDescent="0.2"/>
    <row r="6187" customFormat="1" x14ac:dyDescent="0.2"/>
    <row r="6188" customFormat="1" x14ac:dyDescent="0.2"/>
    <row r="6189" customFormat="1" x14ac:dyDescent="0.2"/>
    <row r="6190" customFormat="1" x14ac:dyDescent="0.2"/>
    <row r="6191" customFormat="1" x14ac:dyDescent="0.2"/>
    <row r="6192" customFormat="1" x14ac:dyDescent="0.2"/>
    <row r="6193" customFormat="1" x14ac:dyDescent="0.2"/>
    <row r="6194" customFormat="1" x14ac:dyDescent="0.2"/>
    <row r="6195" customFormat="1" x14ac:dyDescent="0.2"/>
    <row r="6196" customFormat="1" x14ac:dyDescent="0.2"/>
    <row r="6197" customFormat="1" x14ac:dyDescent="0.2"/>
    <row r="6198" customFormat="1" x14ac:dyDescent="0.2"/>
    <row r="6199" customFormat="1" x14ac:dyDescent="0.2"/>
    <row r="6200" customFormat="1" x14ac:dyDescent="0.2"/>
    <row r="6201" customFormat="1" x14ac:dyDescent="0.2"/>
    <row r="6202" customFormat="1" x14ac:dyDescent="0.2"/>
    <row r="6203" customFormat="1" x14ac:dyDescent="0.2"/>
    <row r="6204" customFormat="1" x14ac:dyDescent="0.2"/>
    <row r="6205" customFormat="1" x14ac:dyDescent="0.2"/>
    <row r="6206" customFormat="1" x14ac:dyDescent="0.2"/>
    <row r="6207" customFormat="1" x14ac:dyDescent="0.2"/>
    <row r="6208" customFormat="1" x14ac:dyDescent="0.2"/>
    <row r="6209" customFormat="1" x14ac:dyDescent="0.2"/>
    <row r="6210" customFormat="1" x14ac:dyDescent="0.2"/>
    <row r="6211" customFormat="1" x14ac:dyDescent="0.2"/>
    <row r="6212" customFormat="1" x14ac:dyDescent="0.2"/>
    <row r="6213" customFormat="1" x14ac:dyDescent="0.2"/>
    <row r="6214" customFormat="1" x14ac:dyDescent="0.2"/>
    <row r="6215" customFormat="1" x14ac:dyDescent="0.2"/>
    <row r="6216" customFormat="1" x14ac:dyDescent="0.2"/>
    <row r="6217" customFormat="1" x14ac:dyDescent="0.2"/>
    <row r="6218" customFormat="1" x14ac:dyDescent="0.2"/>
    <row r="6219" customFormat="1" x14ac:dyDescent="0.2"/>
    <row r="6220" customFormat="1" x14ac:dyDescent="0.2"/>
    <row r="6221" customFormat="1" x14ac:dyDescent="0.2"/>
    <row r="6222" customFormat="1" x14ac:dyDescent="0.2"/>
    <row r="6223" customFormat="1" x14ac:dyDescent="0.2"/>
    <row r="6224" customFormat="1" x14ac:dyDescent="0.2"/>
    <row r="6225" customFormat="1" x14ac:dyDescent="0.2"/>
    <row r="6226" customFormat="1" x14ac:dyDescent="0.2"/>
    <row r="6227" customFormat="1" x14ac:dyDescent="0.2"/>
    <row r="6228" customFormat="1" x14ac:dyDescent="0.2"/>
    <row r="6229" customFormat="1" x14ac:dyDescent="0.2"/>
    <row r="6230" customFormat="1" x14ac:dyDescent="0.2"/>
    <row r="6231" customFormat="1" x14ac:dyDescent="0.2"/>
    <row r="6232" customFormat="1" x14ac:dyDescent="0.2"/>
    <row r="6233" customFormat="1" x14ac:dyDescent="0.2"/>
    <row r="6234" customFormat="1" x14ac:dyDescent="0.2"/>
    <row r="6235" customFormat="1" x14ac:dyDescent="0.2"/>
    <row r="6236" customFormat="1" x14ac:dyDescent="0.2"/>
    <row r="6237" customFormat="1" x14ac:dyDescent="0.2"/>
    <row r="6238" customFormat="1" x14ac:dyDescent="0.2"/>
    <row r="6239" customFormat="1" x14ac:dyDescent="0.2"/>
    <row r="6240" customFormat="1" x14ac:dyDescent="0.2"/>
    <row r="6241" customFormat="1" x14ac:dyDescent="0.2"/>
    <row r="6242" customFormat="1" x14ac:dyDescent="0.2"/>
    <row r="6243" customFormat="1" x14ac:dyDescent="0.2"/>
    <row r="6244" customFormat="1" x14ac:dyDescent="0.2"/>
    <row r="6245" customFormat="1" x14ac:dyDescent="0.2"/>
    <row r="6246" customFormat="1" x14ac:dyDescent="0.2"/>
    <row r="6247" customFormat="1" x14ac:dyDescent="0.2"/>
    <row r="6248" customFormat="1" x14ac:dyDescent="0.2"/>
    <row r="6249" customFormat="1" x14ac:dyDescent="0.2"/>
    <row r="6250" customFormat="1" x14ac:dyDescent="0.2"/>
    <row r="6251" customFormat="1" x14ac:dyDescent="0.2"/>
    <row r="6252" customFormat="1" x14ac:dyDescent="0.2"/>
    <row r="6253" customFormat="1" x14ac:dyDescent="0.2"/>
    <row r="6254" customFormat="1" x14ac:dyDescent="0.2"/>
    <row r="6255" customFormat="1" x14ac:dyDescent="0.2"/>
    <row r="6256" customFormat="1" x14ac:dyDescent="0.2"/>
    <row r="6257" customFormat="1" x14ac:dyDescent="0.2"/>
    <row r="6258" customFormat="1" x14ac:dyDescent="0.2"/>
    <row r="6259" customFormat="1" x14ac:dyDescent="0.2"/>
    <row r="6260" customFormat="1" x14ac:dyDescent="0.2"/>
    <row r="6261" customFormat="1" x14ac:dyDescent="0.2"/>
    <row r="6262" customFormat="1" x14ac:dyDescent="0.2"/>
    <row r="6263" customFormat="1" x14ac:dyDescent="0.2"/>
    <row r="6264" customFormat="1" x14ac:dyDescent="0.2"/>
    <row r="6265" customFormat="1" x14ac:dyDescent="0.2"/>
    <row r="6266" customFormat="1" x14ac:dyDescent="0.2"/>
    <row r="6267" customFormat="1" x14ac:dyDescent="0.2"/>
    <row r="6268" customFormat="1" x14ac:dyDescent="0.2"/>
    <row r="6269" customFormat="1" x14ac:dyDescent="0.2"/>
    <row r="6270" customFormat="1" x14ac:dyDescent="0.2"/>
    <row r="6271" customFormat="1" x14ac:dyDescent="0.2"/>
    <row r="6272" customFormat="1" x14ac:dyDescent="0.2"/>
    <row r="6273" customFormat="1" x14ac:dyDescent="0.2"/>
    <row r="6274" customFormat="1" x14ac:dyDescent="0.2"/>
    <row r="6275" customFormat="1" x14ac:dyDescent="0.2"/>
    <row r="6276" customFormat="1" x14ac:dyDescent="0.2"/>
    <row r="6277" customFormat="1" x14ac:dyDescent="0.2"/>
    <row r="6278" customFormat="1" x14ac:dyDescent="0.2"/>
    <row r="6279" customFormat="1" x14ac:dyDescent="0.2"/>
    <row r="6280" customFormat="1" x14ac:dyDescent="0.2"/>
    <row r="6281" customFormat="1" x14ac:dyDescent="0.2"/>
    <row r="6282" customFormat="1" x14ac:dyDescent="0.2"/>
    <row r="6283" customFormat="1" x14ac:dyDescent="0.2"/>
    <row r="6284" customFormat="1" x14ac:dyDescent="0.2"/>
    <row r="6285" customFormat="1" x14ac:dyDescent="0.2"/>
    <row r="6286" customFormat="1" x14ac:dyDescent="0.2"/>
    <row r="6287" customFormat="1" x14ac:dyDescent="0.2"/>
    <row r="6288" customFormat="1" x14ac:dyDescent="0.2"/>
    <row r="6289" customFormat="1" x14ac:dyDescent="0.2"/>
    <row r="6290" customFormat="1" x14ac:dyDescent="0.2"/>
    <row r="6291" customFormat="1" x14ac:dyDescent="0.2"/>
    <row r="6292" customFormat="1" x14ac:dyDescent="0.2"/>
    <row r="6293" customFormat="1" x14ac:dyDescent="0.2"/>
    <row r="6294" customFormat="1" x14ac:dyDescent="0.2"/>
    <row r="6295" customFormat="1" x14ac:dyDescent="0.2"/>
    <row r="6296" customFormat="1" x14ac:dyDescent="0.2"/>
    <row r="6297" customFormat="1" x14ac:dyDescent="0.2"/>
    <row r="6298" customFormat="1" x14ac:dyDescent="0.2"/>
    <row r="6299" customFormat="1" x14ac:dyDescent="0.2"/>
    <row r="6300" customFormat="1" x14ac:dyDescent="0.2"/>
    <row r="6301" customFormat="1" x14ac:dyDescent="0.2"/>
    <row r="6302" customFormat="1" x14ac:dyDescent="0.2"/>
    <row r="6303" customFormat="1" x14ac:dyDescent="0.2"/>
    <row r="6304" customFormat="1" x14ac:dyDescent="0.2"/>
    <row r="6305" customFormat="1" x14ac:dyDescent="0.2"/>
    <row r="6306" customFormat="1" x14ac:dyDescent="0.2"/>
    <row r="6307" customFormat="1" x14ac:dyDescent="0.2"/>
    <row r="6308" customFormat="1" x14ac:dyDescent="0.2"/>
    <row r="6309" customFormat="1" x14ac:dyDescent="0.2"/>
    <row r="6310" customFormat="1" x14ac:dyDescent="0.2"/>
    <row r="6311" customFormat="1" x14ac:dyDescent="0.2"/>
    <row r="6312" customFormat="1" x14ac:dyDescent="0.2"/>
    <row r="6313" customFormat="1" x14ac:dyDescent="0.2"/>
    <row r="6314" customFormat="1" x14ac:dyDescent="0.2"/>
    <row r="6315" customFormat="1" x14ac:dyDescent="0.2"/>
    <row r="6316" customFormat="1" x14ac:dyDescent="0.2"/>
    <row r="6317" customFormat="1" x14ac:dyDescent="0.2"/>
    <row r="6318" customFormat="1" x14ac:dyDescent="0.2"/>
    <row r="6319" customFormat="1" x14ac:dyDescent="0.2"/>
    <row r="6320" customFormat="1" x14ac:dyDescent="0.2"/>
    <row r="6321" customFormat="1" x14ac:dyDescent="0.2"/>
    <row r="6322" customFormat="1" x14ac:dyDescent="0.2"/>
    <row r="6323" customFormat="1" x14ac:dyDescent="0.2"/>
    <row r="6324" customFormat="1" x14ac:dyDescent="0.2"/>
    <row r="6325" customFormat="1" x14ac:dyDescent="0.2"/>
    <row r="6326" customFormat="1" x14ac:dyDescent="0.2"/>
    <row r="6327" customFormat="1" x14ac:dyDescent="0.2"/>
    <row r="6328" customFormat="1" x14ac:dyDescent="0.2"/>
    <row r="6329" customFormat="1" x14ac:dyDescent="0.2"/>
    <row r="6330" customFormat="1" x14ac:dyDescent="0.2"/>
    <row r="6331" customFormat="1" x14ac:dyDescent="0.2"/>
    <row r="6332" customFormat="1" x14ac:dyDescent="0.2"/>
    <row r="6333" customFormat="1" x14ac:dyDescent="0.2"/>
    <row r="6334" customFormat="1" x14ac:dyDescent="0.2"/>
    <row r="6335" customFormat="1" x14ac:dyDescent="0.2"/>
    <row r="6336" customFormat="1" x14ac:dyDescent="0.2"/>
    <row r="6337" customFormat="1" x14ac:dyDescent="0.2"/>
    <row r="6338" customFormat="1" x14ac:dyDescent="0.2"/>
    <row r="6339" customFormat="1" x14ac:dyDescent="0.2"/>
    <row r="6340" customFormat="1" x14ac:dyDescent="0.2"/>
    <row r="6341" customFormat="1" x14ac:dyDescent="0.2"/>
    <row r="6342" customFormat="1" x14ac:dyDescent="0.2"/>
    <row r="6343" customFormat="1" x14ac:dyDescent="0.2"/>
    <row r="6344" customFormat="1" x14ac:dyDescent="0.2"/>
    <row r="6345" customFormat="1" x14ac:dyDescent="0.2"/>
    <row r="6346" customFormat="1" x14ac:dyDescent="0.2"/>
    <row r="6347" customFormat="1" x14ac:dyDescent="0.2"/>
    <row r="6348" customFormat="1" x14ac:dyDescent="0.2"/>
    <row r="6349" customFormat="1" x14ac:dyDescent="0.2"/>
    <row r="6350" customFormat="1" x14ac:dyDescent="0.2"/>
    <row r="6351" customFormat="1" x14ac:dyDescent="0.2"/>
    <row r="6352" customFormat="1" x14ac:dyDescent="0.2"/>
    <row r="6353" customFormat="1" x14ac:dyDescent="0.2"/>
    <row r="6354" customFormat="1" x14ac:dyDescent="0.2"/>
    <row r="6355" customFormat="1" x14ac:dyDescent="0.2"/>
    <row r="6356" customFormat="1" x14ac:dyDescent="0.2"/>
    <row r="6357" customFormat="1" x14ac:dyDescent="0.2"/>
    <row r="6358" customFormat="1" x14ac:dyDescent="0.2"/>
    <row r="6359" customFormat="1" x14ac:dyDescent="0.2"/>
    <row r="6360" customFormat="1" x14ac:dyDescent="0.2"/>
    <row r="6361" customFormat="1" x14ac:dyDescent="0.2"/>
    <row r="6362" customFormat="1" x14ac:dyDescent="0.2"/>
    <row r="6363" customFormat="1" x14ac:dyDescent="0.2"/>
    <row r="6364" customFormat="1" x14ac:dyDescent="0.2"/>
    <row r="6365" customFormat="1" x14ac:dyDescent="0.2"/>
    <row r="6366" customFormat="1" x14ac:dyDescent="0.2"/>
    <row r="6367" customFormat="1" x14ac:dyDescent="0.2"/>
    <row r="6368" customFormat="1" x14ac:dyDescent="0.2"/>
    <row r="6369" customFormat="1" x14ac:dyDescent="0.2"/>
    <row r="6370" customFormat="1" x14ac:dyDescent="0.2"/>
    <row r="6371" customFormat="1" x14ac:dyDescent="0.2"/>
    <row r="6372" customFormat="1" x14ac:dyDescent="0.2"/>
    <row r="6373" customFormat="1" x14ac:dyDescent="0.2"/>
    <row r="6374" customFormat="1" x14ac:dyDescent="0.2"/>
    <row r="6375" customFormat="1" x14ac:dyDescent="0.2"/>
    <row r="6376" customFormat="1" x14ac:dyDescent="0.2"/>
    <row r="6377" customFormat="1" x14ac:dyDescent="0.2"/>
    <row r="6378" customFormat="1" x14ac:dyDescent="0.2"/>
    <row r="6379" customFormat="1" x14ac:dyDescent="0.2"/>
    <row r="6380" customFormat="1" x14ac:dyDescent="0.2"/>
    <row r="6381" customFormat="1" x14ac:dyDescent="0.2"/>
    <row r="6382" customFormat="1" x14ac:dyDescent="0.2"/>
    <row r="6383" customFormat="1" x14ac:dyDescent="0.2"/>
    <row r="6384" customFormat="1" x14ac:dyDescent="0.2"/>
    <row r="6385" customFormat="1" x14ac:dyDescent="0.2"/>
    <row r="6386" customFormat="1" x14ac:dyDescent="0.2"/>
    <row r="6387" customFormat="1" x14ac:dyDescent="0.2"/>
    <row r="6388" customFormat="1" x14ac:dyDescent="0.2"/>
    <row r="6389" customFormat="1" x14ac:dyDescent="0.2"/>
    <row r="6390" customFormat="1" x14ac:dyDescent="0.2"/>
    <row r="6391" customFormat="1" x14ac:dyDescent="0.2"/>
    <row r="6392" customFormat="1" x14ac:dyDescent="0.2"/>
    <row r="6393" customFormat="1" x14ac:dyDescent="0.2"/>
    <row r="6394" customFormat="1" x14ac:dyDescent="0.2"/>
    <row r="6395" customFormat="1" x14ac:dyDescent="0.2"/>
    <row r="6396" customFormat="1" x14ac:dyDescent="0.2"/>
    <row r="6397" customFormat="1" x14ac:dyDescent="0.2"/>
    <row r="6398" customFormat="1" x14ac:dyDescent="0.2"/>
    <row r="6399" customFormat="1" x14ac:dyDescent="0.2"/>
    <row r="6400" customFormat="1" x14ac:dyDescent="0.2"/>
    <row r="6401" customFormat="1" x14ac:dyDescent="0.2"/>
    <row r="6402" customFormat="1" x14ac:dyDescent="0.2"/>
    <row r="6403" customFormat="1" x14ac:dyDescent="0.2"/>
    <row r="6404" customFormat="1" x14ac:dyDescent="0.2"/>
    <row r="6405" customFormat="1" x14ac:dyDescent="0.2"/>
    <row r="6406" customFormat="1" x14ac:dyDescent="0.2"/>
    <row r="6407" customFormat="1" x14ac:dyDescent="0.2"/>
    <row r="6408" customFormat="1" x14ac:dyDescent="0.2"/>
    <row r="6409" customFormat="1" x14ac:dyDescent="0.2"/>
    <row r="6410" customFormat="1" x14ac:dyDescent="0.2"/>
    <row r="6411" customFormat="1" x14ac:dyDescent="0.2"/>
    <row r="6412" customFormat="1" x14ac:dyDescent="0.2"/>
    <row r="6413" customFormat="1" x14ac:dyDescent="0.2"/>
    <row r="6414" customFormat="1" x14ac:dyDescent="0.2"/>
    <row r="6415" customFormat="1" x14ac:dyDescent="0.2"/>
    <row r="6416" customFormat="1" x14ac:dyDescent="0.2"/>
    <row r="6417" customFormat="1" x14ac:dyDescent="0.2"/>
    <row r="6418" customFormat="1" x14ac:dyDescent="0.2"/>
    <row r="6419" customFormat="1" x14ac:dyDescent="0.2"/>
    <row r="6420" customFormat="1" x14ac:dyDescent="0.2"/>
    <row r="6421" customFormat="1" x14ac:dyDescent="0.2"/>
    <row r="6422" customFormat="1" x14ac:dyDescent="0.2"/>
    <row r="6423" customFormat="1" x14ac:dyDescent="0.2"/>
    <row r="6424" customFormat="1" x14ac:dyDescent="0.2"/>
    <row r="6425" customFormat="1" x14ac:dyDescent="0.2"/>
    <row r="6426" customFormat="1" x14ac:dyDescent="0.2"/>
    <row r="6427" customFormat="1" x14ac:dyDescent="0.2"/>
    <row r="6428" customFormat="1" x14ac:dyDescent="0.2"/>
    <row r="6429" customFormat="1" x14ac:dyDescent="0.2"/>
    <row r="6430" customFormat="1" x14ac:dyDescent="0.2"/>
    <row r="6431" customFormat="1" x14ac:dyDescent="0.2"/>
    <row r="6432" customFormat="1" x14ac:dyDescent="0.2"/>
    <row r="6433" customFormat="1" x14ac:dyDescent="0.2"/>
    <row r="6434" customFormat="1" x14ac:dyDescent="0.2"/>
    <row r="6435" customFormat="1" x14ac:dyDescent="0.2"/>
    <row r="6436" customFormat="1" x14ac:dyDescent="0.2"/>
    <row r="6437" customFormat="1" x14ac:dyDescent="0.2"/>
    <row r="6438" customFormat="1" x14ac:dyDescent="0.2"/>
    <row r="6439" customFormat="1" x14ac:dyDescent="0.2"/>
    <row r="6440" customFormat="1" x14ac:dyDescent="0.2"/>
    <row r="6441" customFormat="1" x14ac:dyDescent="0.2"/>
    <row r="6442" customFormat="1" x14ac:dyDescent="0.2"/>
    <row r="6443" customFormat="1" x14ac:dyDescent="0.2"/>
    <row r="6444" customFormat="1" x14ac:dyDescent="0.2"/>
    <row r="6445" customFormat="1" x14ac:dyDescent="0.2"/>
    <row r="6446" customFormat="1" x14ac:dyDescent="0.2"/>
    <row r="6447" customFormat="1" x14ac:dyDescent="0.2"/>
    <row r="6448" customFormat="1" x14ac:dyDescent="0.2"/>
    <row r="6449" customFormat="1" x14ac:dyDescent="0.2"/>
    <row r="6450" customFormat="1" x14ac:dyDescent="0.2"/>
    <row r="6451" customFormat="1" x14ac:dyDescent="0.2"/>
    <row r="6452" customFormat="1" x14ac:dyDescent="0.2"/>
    <row r="6453" customFormat="1" x14ac:dyDescent="0.2"/>
    <row r="6454" customFormat="1" x14ac:dyDescent="0.2"/>
    <row r="6455" customFormat="1" x14ac:dyDescent="0.2"/>
    <row r="6456" customFormat="1" x14ac:dyDescent="0.2"/>
    <row r="6457" customFormat="1" x14ac:dyDescent="0.2"/>
    <row r="6458" customFormat="1" x14ac:dyDescent="0.2"/>
    <row r="6459" customFormat="1" x14ac:dyDescent="0.2"/>
    <row r="6460" customFormat="1" x14ac:dyDescent="0.2"/>
    <row r="6461" customFormat="1" x14ac:dyDescent="0.2"/>
    <row r="6462" customFormat="1" x14ac:dyDescent="0.2"/>
    <row r="6463" customFormat="1" x14ac:dyDescent="0.2"/>
    <row r="6464" customFormat="1" x14ac:dyDescent="0.2"/>
    <row r="6465" customFormat="1" x14ac:dyDescent="0.2"/>
    <row r="6466" customFormat="1" x14ac:dyDescent="0.2"/>
    <row r="6467" customFormat="1" x14ac:dyDescent="0.2"/>
    <row r="6468" customFormat="1" x14ac:dyDescent="0.2"/>
    <row r="6469" customFormat="1" x14ac:dyDescent="0.2"/>
    <row r="6470" customFormat="1" x14ac:dyDescent="0.2"/>
    <row r="6471" customFormat="1" x14ac:dyDescent="0.2"/>
    <row r="6472" customFormat="1" x14ac:dyDescent="0.2"/>
    <row r="6473" customFormat="1" x14ac:dyDescent="0.2"/>
    <row r="6474" customFormat="1" x14ac:dyDescent="0.2"/>
    <row r="6475" customFormat="1" x14ac:dyDescent="0.2"/>
    <row r="6476" customFormat="1" x14ac:dyDescent="0.2"/>
    <row r="6477" customFormat="1" x14ac:dyDescent="0.2"/>
    <row r="6478" customFormat="1" x14ac:dyDescent="0.2"/>
    <row r="6479" customFormat="1" x14ac:dyDescent="0.2"/>
    <row r="6480" customFormat="1" x14ac:dyDescent="0.2"/>
    <row r="6481" customFormat="1" x14ac:dyDescent="0.2"/>
    <row r="6482" customFormat="1" x14ac:dyDescent="0.2"/>
    <row r="6483" customFormat="1" x14ac:dyDescent="0.2"/>
    <row r="6484" customFormat="1" x14ac:dyDescent="0.2"/>
    <row r="6485" customFormat="1" x14ac:dyDescent="0.2"/>
    <row r="6486" customFormat="1" x14ac:dyDescent="0.2"/>
    <row r="6487" customFormat="1" x14ac:dyDescent="0.2"/>
    <row r="6488" customFormat="1" x14ac:dyDescent="0.2"/>
    <row r="6489" customFormat="1" x14ac:dyDescent="0.2"/>
    <row r="6490" customFormat="1" x14ac:dyDescent="0.2"/>
    <row r="6491" customFormat="1" x14ac:dyDescent="0.2"/>
    <row r="6492" customFormat="1" x14ac:dyDescent="0.2"/>
    <row r="6493" customFormat="1" x14ac:dyDescent="0.2"/>
    <row r="6494" customFormat="1" x14ac:dyDescent="0.2"/>
    <row r="6495" customFormat="1" x14ac:dyDescent="0.2"/>
    <row r="6496" customFormat="1" x14ac:dyDescent="0.2"/>
    <row r="6497" customFormat="1" x14ac:dyDescent="0.2"/>
    <row r="6498" customFormat="1" x14ac:dyDescent="0.2"/>
    <row r="6499" customFormat="1" x14ac:dyDescent="0.2"/>
    <row r="6500" customFormat="1" x14ac:dyDescent="0.2"/>
    <row r="6501" customFormat="1" x14ac:dyDescent="0.2"/>
    <row r="6502" customFormat="1" x14ac:dyDescent="0.2"/>
    <row r="6503" customFormat="1" x14ac:dyDescent="0.2"/>
    <row r="6504" customFormat="1" x14ac:dyDescent="0.2"/>
    <row r="6505" customFormat="1" x14ac:dyDescent="0.2"/>
    <row r="6506" customFormat="1" x14ac:dyDescent="0.2"/>
    <row r="6507" customFormat="1" x14ac:dyDescent="0.2"/>
    <row r="6508" customFormat="1" x14ac:dyDescent="0.2"/>
    <row r="6509" customFormat="1" x14ac:dyDescent="0.2"/>
    <row r="6510" customFormat="1" x14ac:dyDescent="0.2"/>
    <row r="6511" customFormat="1" x14ac:dyDescent="0.2"/>
    <row r="6512" customFormat="1" x14ac:dyDescent="0.2"/>
    <row r="6513" customFormat="1" x14ac:dyDescent="0.2"/>
    <row r="6514" customFormat="1" x14ac:dyDescent="0.2"/>
    <row r="6515" customFormat="1" x14ac:dyDescent="0.2"/>
    <row r="6516" customFormat="1" x14ac:dyDescent="0.2"/>
    <row r="6517" customFormat="1" x14ac:dyDescent="0.2"/>
    <row r="6518" customFormat="1" x14ac:dyDescent="0.2"/>
    <row r="6519" customFormat="1" x14ac:dyDescent="0.2"/>
    <row r="6520" customFormat="1" x14ac:dyDescent="0.2"/>
    <row r="6521" customFormat="1" x14ac:dyDescent="0.2"/>
    <row r="6522" customFormat="1" x14ac:dyDescent="0.2"/>
    <row r="6523" customFormat="1" x14ac:dyDescent="0.2"/>
    <row r="6524" customFormat="1" x14ac:dyDescent="0.2"/>
    <row r="6525" customFormat="1" x14ac:dyDescent="0.2"/>
    <row r="6526" customFormat="1" x14ac:dyDescent="0.2"/>
    <row r="6527" customFormat="1" x14ac:dyDescent="0.2"/>
    <row r="6528" customFormat="1" x14ac:dyDescent="0.2"/>
    <row r="6529" customFormat="1" x14ac:dyDescent="0.2"/>
    <row r="6530" customFormat="1" x14ac:dyDescent="0.2"/>
    <row r="6531" customFormat="1" x14ac:dyDescent="0.2"/>
    <row r="6532" customFormat="1" x14ac:dyDescent="0.2"/>
    <row r="6533" customFormat="1" x14ac:dyDescent="0.2"/>
    <row r="6534" customFormat="1" x14ac:dyDescent="0.2"/>
    <row r="6535" customFormat="1" x14ac:dyDescent="0.2"/>
    <row r="6536" customFormat="1" x14ac:dyDescent="0.2"/>
    <row r="6537" customFormat="1" x14ac:dyDescent="0.2"/>
    <row r="6538" customFormat="1" x14ac:dyDescent="0.2"/>
    <row r="6539" customFormat="1" x14ac:dyDescent="0.2"/>
    <row r="6540" customFormat="1" x14ac:dyDescent="0.2"/>
    <row r="6541" customFormat="1" x14ac:dyDescent="0.2"/>
    <row r="6542" customFormat="1" x14ac:dyDescent="0.2"/>
    <row r="6543" customFormat="1" x14ac:dyDescent="0.2"/>
    <row r="6544" customFormat="1" x14ac:dyDescent="0.2"/>
    <row r="6545" customFormat="1" x14ac:dyDescent="0.2"/>
    <row r="6546" customFormat="1" x14ac:dyDescent="0.2"/>
    <row r="6547" customFormat="1" x14ac:dyDescent="0.2"/>
    <row r="6548" customFormat="1" x14ac:dyDescent="0.2"/>
    <row r="6549" customFormat="1" x14ac:dyDescent="0.2"/>
    <row r="6550" customFormat="1" x14ac:dyDescent="0.2"/>
    <row r="6551" customFormat="1" x14ac:dyDescent="0.2"/>
    <row r="6552" customFormat="1" x14ac:dyDescent="0.2"/>
    <row r="6553" customFormat="1" x14ac:dyDescent="0.2"/>
    <row r="6554" customFormat="1" x14ac:dyDescent="0.2"/>
    <row r="6555" customFormat="1" x14ac:dyDescent="0.2"/>
    <row r="6556" customFormat="1" x14ac:dyDescent="0.2"/>
    <row r="6557" customFormat="1" x14ac:dyDescent="0.2"/>
    <row r="6558" customFormat="1" x14ac:dyDescent="0.2"/>
    <row r="6559" customFormat="1" x14ac:dyDescent="0.2"/>
    <row r="6560" customFormat="1" x14ac:dyDescent="0.2"/>
    <row r="6561" customFormat="1" x14ac:dyDescent="0.2"/>
    <row r="6562" customFormat="1" x14ac:dyDescent="0.2"/>
    <row r="6563" customFormat="1" x14ac:dyDescent="0.2"/>
    <row r="6564" customFormat="1" x14ac:dyDescent="0.2"/>
    <row r="6565" customFormat="1" x14ac:dyDescent="0.2"/>
    <row r="6566" customFormat="1" x14ac:dyDescent="0.2"/>
    <row r="6567" customFormat="1" x14ac:dyDescent="0.2"/>
    <row r="6568" customFormat="1" x14ac:dyDescent="0.2"/>
    <row r="6569" customFormat="1" x14ac:dyDescent="0.2"/>
    <row r="6570" customFormat="1" x14ac:dyDescent="0.2"/>
    <row r="6571" customFormat="1" x14ac:dyDescent="0.2"/>
    <row r="6572" customFormat="1" x14ac:dyDescent="0.2"/>
    <row r="6573" customFormat="1" x14ac:dyDescent="0.2"/>
    <row r="6574" customFormat="1" x14ac:dyDescent="0.2"/>
    <row r="6575" customFormat="1" x14ac:dyDescent="0.2"/>
    <row r="6576" customFormat="1" x14ac:dyDescent="0.2"/>
    <row r="6577" customFormat="1" x14ac:dyDescent="0.2"/>
    <row r="6578" customFormat="1" x14ac:dyDescent="0.2"/>
    <row r="6579" customFormat="1" x14ac:dyDescent="0.2"/>
    <row r="6580" customFormat="1" x14ac:dyDescent="0.2"/>
    <row r="6581" customFormat="1" x14ac:dyDescent="0.2"/>
    <row r="6582" customFormat="1" x14ac:dyDescent="0.2"/>
    <row r="6583" customFormat="1" x14ac:dyDescent="0.2"/>
    <row r="6584" customFormat="1" x14ac:dyDescent="0.2"/>
    <row r="6585" customFormat="1" x14ac:dyDescent="0.2"/>
    <row r="6586" customFormat="1" x14ac:dyDescent="0.2"/>
    <row r="6587" customFormat="1" x14ac:dyDescent="0.2"/>
    <row r="6588" customFormat="1" x14ac:dyDescent="0.2"/>
    <row r="6589" customFormat="1" x14ac:dyDescent="0.2"/>
    <row r="6590" customFormat="1" x14ac:dyDescent="0.2"/>
    <row r="6591" customFormat="1" x14ac:dyDescent="0.2"/>
    <row r="6592" customFormat="1" x14ac:dyDescent="0.2"/>
    <row r="6593" customFormat="1" x14ac:dyDescent="0.2"/>
    <row r="6594" customFormat="1" x14ac:dyDescent="0.2"/>
    <row r="6595" customFormat="1" x14ac:dyDescent="0.2"/>
    <row r="6596" customFormat="1" x14ac:dyDescent="0.2"/>
    <row r="6597" customFormat="1" x14ac:dyDescent="0.2"/>
    <row r="6598" customFormat="1" x14ac:dyDescent="0.2"/>
    <row r="6599" customFormat="1" x14ac:dyDescent="0.2"/>
    <row r="6600" customFormat="1" x14ac:dyDescent="0.2"/>
    <row r="6601" customFormat="1" x14ac:dyDescent="0.2"/>
    <row r="6602" customFormat="1" x14ac:dyDescent="0.2"/>
    <row r="6603" customFormat="1" x14ac:dyDescent="0.2"/>
    <row r="6604" customFormat="1" x14ac:dyDescent="0.2"/>
    <row r="6605" customFormat="1" x14ac:dyDescent="0.2"/>
    <row r="6606" customFormat="1" x14ac:dyDescent="0.2"/>
    <row r="6607" customFormat="1" x14ac:dyDescent="0.2"/>
    <row r="6608" customFormat="1" x14ac:dyDescent="0.2"/>
    <row r="6609" customFormat="1" x14ac:dyDescent="0.2"/>
    <row r="6610" customFormat="1" x14ac:dyDescent="0.2"/>
    <row r="6611" customFormat="1" x14ac:dyDescent="0.2"/>
    <row r="6612" customFormat="1" x14ac:dyDescent="0.2"/>
    <row r="6613" customFormat="1" x14ac:dyDescent="0.2"/>
    <row r="6614" customFormat="1" x14ac:dyDescent="0.2"/>
    <row r="6615" customFormat="1" x14ac:dyDescent="0.2"/>
    <row r="6616" customFormat="1" x14ac:dyDescent="0.2"/>
    <row r="6617" customFormat="1" x14ac:dyDescent="0.2"/>
    <row r="6618" customFormat="1" x14ac:dyDescent="0.2"/>
    <row r="6619" customFormat="1" x14ac:dyDescent="0.2"/>
    <row r="6620" customFormat="1" x14ac:dyDescent="0.2"/>
    <row r="6621" customFormat="1" x14ac:dyDescent="0.2"/>
    <row r="6622" customFormat="1" x14ac:dyDescent="0.2"/>
    <row r="6623" customFormat="1" x14ac:dyDescent="0.2"/>
    <row r="6624" customFormat="1" x14ac:dyDescent="0.2"/>
    <row r="6625" customFormat="1" x14ac:dyDescent="0.2"/>
    <row r="6626" customFormat="1" x14ac:dyDescent="0.2"/>
    <row r="6627" customFormat="1" x14ac:dyDescent="0.2"/>
    <row r="6628" customFormat="1" x14ac:dyDescent="0.2"/>
    <row r="6629" customFormat="1" x14ac:dyDescent="0.2"/>
    <row r="6630" customFormat="1" x14ac:dyDescent="0.2"/>
    <row r="6631" customFormat="1" x14ac:dyDescent="0.2"/>
    <row r="6632" customFormat="1" x14ac:dyDescent="0.2"/>
    <row r="6633" customFormat="1" x14ac:dyDescent="0.2"/>
    <row r="6634" customFormat="1" x14ac:dyDescent="0.2"/>
    <row r="6635" customFormat="1" x14ac:dyDescent="0.2"/>
    <row r="6636" customFormat="1" x14ac:dyDescent="0.2"/>
    <row r="6637" customFormat="1" x14ac:dyDescent="0.2"/>
    <row r="6638" customFormat="1" x14ac:dyDescent="0.2"/>
    <row r="6639" customFormat="1" x14ac:dyDescent="0.2"/>
    <row r="6640" customFormat="1" x14ac:dyDescent="0.2"/>
    <row r="6641" customFormat="1" x14ac:dyDescent="0.2"/>
    <row r="6642" customFormat="1" x14ac:dyDescent="0.2"/>
    <row r="6643" customFormat="1" x14ac:dyDescent="0.2"/>
    <row r="6644" customFormat="1" x14ac:dyDescent="0.2"/>
    <row r="6645" customFormat="1" x14ac:dyDescent="0.2"/>
    <row r="6646" customFormat="1" x14ac:dyDescent="0.2"/>
    <row r="6647" customFormat="1" x14ac:dyDescent="0.2"/>
    <row r="6648" customFormat="1" x14ac:dyDescent="0.2"/>
    <row r="6649" customFormat="1" x14ac:dyDescent="0.2"/>
    <row r="6650" customFormat="1" x14ac:dyDescent="0.2"/>
    <row r="6651" customFormat="1" x14ac:dyDescent="0.2"/>
    <row r="6652" customFormat="1" x14ac:dyDescent="0.2"/>
    <row r="6653" customFormat="1" x14ac:dyDescent="0.2"/>
    <row r="6654" customFormat="1" x14ac:dyDescent="0.2"/>
    <row r="6655" customFormat="1" x14ac:dyDescent="0.2"/>
    <row r="6656" customFormat="1" x14ac:dyDescent="0.2"/>
    <row r="6657" customFormat="1" x14ac:dyDescent="0.2"/>
    <row r="6658" customFormat="1" x14ac:dyDescent="0.2"/>
    <row r="6659" customFormat="1" x14ac:dyDescent="0.2"/>
    <row r="6660" customFormat="1" x14ac:dyDescent="0.2"/>
    <row r="6661" customFormat="1" x14ac:dyDescent="0.2"/>
    <row r="6662" customFormat="1" x14ac:dyDescent="0.2"/>
    <row r="6663" customFormat="1" x14ac:dyDescent="0.2"/>
    <row r="6664" customFormat="1" x14ac:dyDescent="0.2"/>
    <row r="6665" customFormat="1" x14ac:dyDescent="0.2"/>
    <row r="6666" customFormat="1" x14ac:dyDescent="0.2"/>
    <row r="6667" customFormat="1" x14ac:dyDescent="0.2"/>
    <row r="6668" customFormat="1" x14ac:dyDescent="0.2"/>
    <row r="6669" customFormat="1" x14ac:dyDescent="0.2"/>
    <row r="6670" customFormat="1" x14ac:dyDescent="0.2"/>
    <row r="6671" customFormat="1" x14ac:dyDescent="0.2"/>
    <row r="6672" customFormat="1" x14ac:dyDescent="0.2"/>
    <row r="6673" customFormat="1" x14ac:dyDescent="0.2"/>
    <row r="6674" customFormat="1" x14ac:dyDescent="0.2"/>
    <row r="6675" customFormat="1" x14ac:dyDescent="0.2"/>
    <row r="6676" customFormat="1" x14ac:dyDescent="0.2"/>
    <row r="6677" customFormat="1" x14ac:dyDescent="0.2"/>
    <row r="6678" customFormat="1" x14ac:dyDescent="0.2"/>
    <row r="6679" customFormat="1" x14ac:dyDescent="0.2"/>
    <row r="6680" customFormat="1" x14ac:dyDescent="0.2"/>
    <row r="6681" customFormat="1" x14ac:dyDescent="0.2"/>
    <row r="6682" customFormat="1" x14ac:dyDescent="0.2"/>
    <row r="6683" customFormat="1" x14ac:dyDescent="0.2"/>
    <row r="6684" customFormat="1" x14ac:dyDescent="0.2"/>
    <row r="6685" customFormat="1" x14ac:dyDescent="0.2"/>
    <row r="6686" customFormat="1" x14ac:dyDescent="0.2"/>
    <row r="6687" customFormat="1" x14ac:dyDescent="0.2"/>
    <row r="6688" customFormat="1" x14ac:dyDescent="0.2"/>
    <row r="6689" customFormat="1" x14ac:dyDescent="0.2"/>
    <row r="6690" customFormat="1" x14ac:dyDescent="0.2"/>
    <row r="6691" customFormat="1" x14ac:dyDescent="0.2"/>
    <row r="6692" customFormat="1" x14ac:dyDescent="0.2"/>
    <row r="6693" customFormat="1" x14ac:dyDescent="0.2"/>
    <row r="6694" customFormat="1" x14ac:dyDescent="0.2"/>
    <row r="6695" customFormat="1" x14ac:dyDescent="0.2"/>
    <row r="6696" customFormat="1" x14ac:dyDescent="0.2"/>
    <row r="6697" customFormat="1" x14ac:dyDescent="0.2"/>
    <row r="6698" customFormat="1" x14ac:dyDescent="0.2"/>
    <row r="6699" customFormat="1" x14ac:dyDescent="0.2"/>
    <row r="6700" customFormat="1" x14ac:dyDescent="0.2"/>
    <row r="6701" customFormat="1" x14ac:dyDescent="0.2"/>
    <row r="6702" customFormat="1" x14ac:dyDescent="0.2"/>
    <row r="6703" customFormat="1" x14ac:dyDescent="0.2"/>
    <row r="6704" customFormat="1" x14ac:dyDescent="0.2"/>
    <row r="6705" customFormat="1" x14ac:dyDescent="0.2"/>
    <row r="6706" customFormat="1" x14ac:dyDescent="0.2"/>
    <row r="6707" customFormat="1" x14ac:dyDescent="0.2"/>
    <row r="6708" customFormat="1" x14ac:dyDescent="0.2"/>
    <row r="6709" customFormat="1" x14ac:dyDescent="0.2"/>
    <row r="6710" customFormat="1" x14ac:dyDescent="0.2"/>
    <row r="6711" customFormat="1" x14ac:dyDescent="0.2"/>
    <row r="6712" customFormat="1" x14ac:dyDescent="0.2"/>
    <row r="6713" customFormat="1" x14ac:dyDescent="0.2"/>
    <row r="6714" customFormat="1" x14ac:dyDescent="0.2"/>
    <row r="6715" customFormat="1" x14ac:dyDescent="0.2"/>
    <row r="6716" customFormat="1" x14ac:dyDescent="0.2"/>
    <row r="6717" customFormat="1" x14ac:dyDescent="0.2"/>
    <row r="6718" customFormat="1" x14ac:dyDescent="0.2"/>
    <row r="6719" customFormat="1" x14ac:dyDescent="0.2"/>
    <row r="6720" customFormat="1" x14ac:dyDescent="0.2"/>
    <row r="6721" customFormat="1" x14ac:dyDescent="0.2"/>
    <row r="6722" customFormat="1" x14ac:dyDescent="0.2"/>
    <row r="6723" customFormat="1" x14ac:dyDescent="0.2"/>
    <row r="6724" customFormat="1" x14ac:dyDescent="0.2"/>
    <row r="6725" customFormat="1" x14ac:dyDescent="0.2"/>
    <row r="6726" customFormat="1" x14ac:dyDescent="0.2"/>
    <row r="6727" customFormat="1" x14ac:dyDescent="0.2"/>
    <row r="6728" customFormat="1" x14ac:dyDescent="0.2"/>
    <row r="6729" customFormat="1" x14ac:dyDescent="0.2"/>
    <row r="6730" customFormat="1" x14ac:dyDescent="0.2"/>
    <row r="6731" customFormat="1" x14ac:dyDescent="0.2"/>
    <row r="6732" customFormat="1" x14ac:dyDescent="0.2"/>
    <row r="6733" customFormat="1" x14ac:dyDescent="0.2"/>
    <row r="6734" customFormat="1" x14ac:dyDescent="0.2"/>
    <row r="6735" customFormat="1" x14ac:dyDescent="0.2"/>
    <row r="6736" customFormat="1" x14ac:dyDescent="0.2"/>
    <row r="6737" customFormat="1" x14ac:dyDescent="0.2"/>
    <row r="6738" customFormat="1" x14ac:dyDescent="0.2"/>
    <row r="6739" customFormat="1" x14ac:dyDescent="0.2"/>
    <row r="6740" customFormat="1" x14ac:dyDescent="0.2"/>
    <row r="6741" customFormat="1" x14ac:dyDescent="0.2"/>
    <row r="6742" customFormat="1" x14ac:dyDescent="0.2"/>
    <row r="6743" customFormat="1" x14ac:dyDescent="0.2"/>
    <row r="6744" customFormat="1" x14ac:dyDescent="0.2"/>
    <row r="6745" customFormat="1" x14ac:dyDescent="0.2"/>
    <row r="6746" customFormat="1" x14ac:dyDescent="0.2"/>
    <row r="6747" customFormat="1" x14ac:dyDescent="0.2"/>
    <row r="6748" customFormat="1" x14ac:dyDescent="0.2"/>
    <row r="6749" customFormat="1" x14ac:dyDescent="0.2"/>
    <row r="6750" customFormat="1" x14ac:dyDescent="0.2"/>
    <row r="6751" customFormat="1" x14ac:dyDescent="0.2"/>
    <row r="6752" customFormat="1" x14ac:dyDescent="0.2"/>
    <row r="6753" customFormat="1" x14ac:dyDescent="0.2"/>
    <row r="6754" customFormat="1" x14ac:dyDescent="0.2"/>
    <row r="6755" customFormat="1" x14ac:dyDescent="0.2"/>
    <row r="6756" customFormat="1" x14ac:dyDescent="0.2"/>
    <row r="6757" customFormat="1" x14ac:dyDescent="0.2"/>
    <row r="6758" customFormat="1" x14ac:dyDescent="0.2"/>
    <row r="6759" customFormat="1" x14ac:dyDescent="0.2"/>
    <row r="6760" customFormat="1" x14ac:dyDescent="0.2"/>
    <row r="6761" customFormat="1" x14ac:dyDescent="0.2"/>
    <row r="6762" customFormat="1" x14ac:dyDescent="0.2"/>
    <row r="6763" customFormat="1" x14ac:dyDescent="0.2"/>
    <row r="6764" customFormat="1" x14ac:dyDescent="0.2"/>
    <row r="6765" customFormat="1" x14ac:dyDescent="0.2"/>
    <row r="6766" customFormat="1" x14ac:dyDescent="0.2"/>
    <row r="6767" customFormat="1" x14ac:dyDescent="0.2"/>
    <row r="6768" customFormat="1" x14ac:dyDescent="0.2"/>
    <row r="6769" customFormat="1" x14ac:dyDescent="0.2"/>
    <row r="6770" customFormat="1" x14ac:dyDescent="0.2"/>
    <row r="6771" customFormat="1" x14ac:dyDescent="0.2"/>
    <row r="6772" customFormat="1" x14ac:dyDescent="0.2"/>
    <row r="6773" customFormat="1" x14ac:dyDescent="0.2"/>
    <row r="6774" customFormat="1" x14ac:dyDescent="0.2"/>
    <row r="6775" customFormat="1" x14ac:dyDescent="0.2"/>
    <row r="6776" customFormat="1" x14ac:dyDescent="0.2"/>
    <row r="6777" customFormat="1" x14ac:dyDescent="0.2"/>
    <row r="6778" customFormat="1" x14ac:dyDescent="0.2"/>
    <row r="6779" customFormat="1" x14ac:dyDescent="0.2"/>
    <row r="6780" customFormat="1" x14ac:dyDescent="0.2"/>
    <row r="6781" customFormat="1" x14ac:dyDescent="0.2"/>
    <row r="6782" customFormat="1" x14ac:dyDescent="0.2"/>
    <row r="6783" customFormat="1" x14ac:dyDescent="0.2"/>
    <row r="6784" customFormat="1" x14ac:dyDescent="0.2"/>
    <row r="6785" customFormat="1" x14ac:dyDescent="0.2"/>
    <row r="6786" customFormat="1" x14ac:dyDescent="0.2"/>
    <row r="6787" customFormat="1" x14ac:dyDescent="0.2"/>
    <row r="6788" customFormat="1" x14ac:dyDescent="0.2"/>
    <row r="6789" customFormat="1" x14ac:dyDescent="0.2"/>
    <row r="6790" customFormat="1" x14ac:dyDescent="0.2"/>
    <row r="6791" customFormat="1" x14ac:dyDescent="0.2"/>
    <row r="6792" customFormat="1" x14ac:dyDescent="0.2"/>
    <row r="6793" customFormat="1" x14ac:dyDescent="0.2"/>
    <row r="6794" customFormat="1" x14ac:dyDescent="0.2"/>
    <row r="6795" customFormat="1" x14ac:dyDescent="0.2"/>
    <row r="6796" customFormat="1" x14ac:dyDescent="0.2"/>
    <row r="6797" customFormat="1" x14ac:dyDescent="0.2"/>
    <row r="6798" customFormat="1" x14ac:dyDescent="0.2"/>
    <row r="6799" customFormat="1" x14ac:dyDescent="0.2"/>
    <row r="6800" customFormat="1" x14ac:dyDescent="0.2"/>
    <row r="6801" customFormat="1" x14ac:dyDescent="0.2"/>
    <row r="6802" customFormat="1" x14ac:dyDescent="0.2"/>
    <row r="6803" customFormat="1" x14ac:dyDescent="0.2"/>
    <row r="6804" customFormat="1" x14ac:dyDescent="0.2"/>
    <row r="6805" customFormat="1" x14ac:dyDescent="0.2"/>
    <row r="6806" customFormat="1" x14ac:dyDescent="0.2"/>
    <row r="6807" customFormat="1" x14ac:dyDescent="0.2"/>
    <row r="6808" customFormat="1" x14ac:dyDescent="0.2"/>
    <row r="6809" customFormat="1" x14ac:dyDescent="0.2"/>
    <row r="6810" customFormat="1" x14ac:dyDescent="0.2"/>
    <row r="6811" customFormat="1" x14ac:dyDescent="0.2"/>
    <row r="6812" customFormat="1" x14ac:dyDescent="0.2"/>
    <row r="6813" customFormat="1" x14ac:dyDescent="0.2"/>
    <row r="6814" customFormat="1" x14ac:dyDescent="0.2"/>
    <row r="6815" customFormat="1" x14ac:dyDescent="0.2"/>
    <row r="6816" customFormat="1" x14ac:dyDescent="0.2"/>
    <row r="6817" customFormat="1" x14ac:dyDescent="0.2"/>
    <row r="6818" customFormat="1" x14ac:dyDescent="0.2"/>
    <row r="6819" customFormat="1" x14ac:dyDescent="0.2"/>
    <row r="6820" customFormat="1" x14ac:dyDescent="0.2"/>
    <row r="6821" customFormat="1" x14ac:dyDescent="0.2"/>
    <row r="6822" customFormat="1" x14ac:dyDescent="0.2"/>
    <row r="6823" customFormat="1" x14ac:dyDescent="0.2"/>
    <row r="6824" customFormat="1" x14ac:dyDescent="0.2"/>
    <row r="6825" customFormat="1" x14ac:dyDescent="0.2"/>
    <row r="6826" customFormat="1" x14ac:dyDescent="0.2"/>
    <row r="6827" customFormat="1" x14ac:dyDescent="0.2"/>
    <row r="6828" customFormat="1" x14ac:dyDescent="0.2"/>
    <row r="6829" customFormat="1" x14ac:dyDescent="0.2"/>
    <row r="6830" customFormat="1" x14ac:dyDescent="0.2"/>
    <row r="6831" customFormat="1" x14ac:dyDescent="0.2"/>
    <row r="6832" customFormat="1" x14ac:dyDescent="0.2"/>
    <row r="6833" customFormat="1" x14ac:dyDescent="0.2"/>
    <row r="6834" customFormat="1" x14ac:dyDescent="0.2"/>
    <row r="6835" customFormat="1" x14ac:dyDescent="0.2"/>
    <row r="6836" customFormat="1" x14ac:dyDescent="0.2"/>
    <row r="6837" customFormat="1" x14ac:dyDescent="0.2"/>
    <row r="6838" customFormat="1" x14ac:dyDescent="0.2"/>
    <row r="6839" customFormat="1" x14ac:dyDescent="0.2"/>
    <row r="6840" customFormat="1" x14ac:dyDescent="0.2"/>
    <row r="6841" customFormat="1" x14ac:dyDescent="0.2"/>
    <row r="6842" customFormat="1" x14ac:dyDescent="0.2"/>
    <row r="6843" customFormat="1" x14ac:dyDescent="0.2"/>
    <row r="6844" customFormat="1" x14ac:dyDescent="0.2"/>
    <row r="6845" customFormat="1" x14ac:dyDescent="0.2"/>
    <row r="6846" customFormat="1" x14ac:dyDescent="0.2"/>
    <row r="6847" customFormat="1" x14ac:dyDescent="0.2"/>
    <row r="6848" customFormat="1" x14ac:dyDescent="0.2"/>
    <row r="6849" customFormat="1" x14ac:dyDescent="0.2"/>
    <row r="6850" customFormat="1" x14ac:dyDescent="0.2"/>
    <row r="6851" customFormat="1" x14ac:dyDescent="0.2"/>
    <row r="6852" customFormat="1" x14ac:dyDescent="0.2"/>
    <row r="6853" customFormat="1" x14ac:dyDescent="0.2"/>
    <row r="6854" customFormat="1" x14ac:dyDescent="0.2"/>
    <row r="6855" customFormat="1" x14ac:dyDescent="0.2"/>
    <row r="6856" customFormat="1" x14ac:dyDescent="0.2"/>
    <row r="6857" customFormat="1" x14ac:dyDescent="0.2"/>
    <row r="6858" customFormat="1" x14ac:dyDescent="0.2"/>
    <row r="6859" customFormat="1" x14ac:dyDescent="0.2"/>
    <row r="6860" customFormat="1" x14ac:dyDescent="0.2"/>
    <row r="6861" customFormat="1" x14ac:dyDescent="0.2"/>
    <row r="6862" customFormat="1" x14ac:dyDescent="0.2"/>
    <row r="6863" customFormat="1" x14ac:dyDescent="0.2"/>
    <row r="6864" customFormat="1" x14ac:dyDescent="0.2"/>
    <row r="6865" customFormat="1" x14ac:dyDescent="0.2"/>
    <row r="6866" customFormat="1" x14ac:dyDescent="0.2"/>
    <row r="6867" customFormat="1" x14ac:dyDescent="0.2"/>
    <row r="6868" customFormat="1" x14ac:dyDescent="0.2"/>
    <row r="6869" customFormat="1" x14ac:dyDescent="0.2"/>
    <row r="6870" customFormat="1" x14ac:dyDescent="0.2"/>
    <row r="6871" customFormat="1" x14ac:dyDescent="0.2"/>
    <row r="6872" customFormat="1" x14ac:dyDescent="0.2"/>
    <row r="6873" customFormat="1" x14ac:dyDescent="0.2"/>
    <row r="6874" customFormat="1" x14ac:dyDescent="0.2"/>
    <row r="6875" customFormat="1" x14ac:dyDescent="0.2"/>
    <row r="6876" customFormat="1" x14ac:dyDescent="0.2"/>
    <row r="6877" customFormat="1" x14ac:dyDescent="0.2"/>
    <row r="6878" customFormat="1" x14ac:dyDescent="0.2"/>
    <row r="6879" customFormat="1" x14ac:dyDescent="0.2"/>
    <row r="6880" customFormat="1" x14ac:dyDescent="0.2"/>
    <row r="6881" customFormat="1" x14ac:dyDescent="0.2"/>
    <row r="6882" customFormat="1" x14ac:dyDescent="0.2"/>
    <row r="6883" customFormat="1" x14ac:dyDescent="0.2"/>
    <row r="6884" customFormat="1" x14ac:dyDescent="0.2"/>
    <row r="6885" customFormat="1" x14ac:dyDescent="0.2"/>
    <row r="6886" customFormat="1" x14ac:dyDescent="0.2"/>
    <row r="6887" customFormat="1" x14ac:dyDescent="0.2"/>
    <row r="6888" customFormat="1" x14ac:dyDescent="0.2"/>
    <row r="6889" customFormat="1" x14ac:dyDescent="0.2"/>
    <row r="6890" customFormat="1" x14ac:dyDescent="0.2"/>
    <row r="6891" customFormat="1" x14ac:dyDescent="0.2"/>
    <row r="6892" customFormat="1" x14ac:dyDescent="0.2"/>
    <row r="6893" customFormat="1" x14ac:dyDescent="0.2"/>
    <row r="6894" customFormat="1" x14ac:dyDescent="0.2"/>
    <row r="6895" customFormat="1" x14ac:dyDescent="0.2"/>
    <row r="6896" customFormat="1" x14ac:dyDescent="0.2"/>
    <row r="6897" customFormat="1" x14ac:dyDescent="0.2"/>
    <row r="6898" customFormat="1" x14ac:dyDescent="0.2"/>
    <row r="6899" customFormat="1" x14ac:dyDescent="0.2"/>
    <row r="6900" customFormat="1" x14ac:dyDescent="0.2"/>
    <row r="6901" customFormat="1" x14ac:dyDescent="0.2"/>
    <row r="6902" customFormat="1" x14ac:dyDescent="0.2"/>
    <row r="6903" customFormat="1" x14ac:dyDescent="0.2"/>
    <row r="6904" customFormat="1" x14ac:dyDescent="0.2"/>
    <row r="6905" customFormat="1" x14ac:dyDescent="0.2"/>
    <row r="6906" customFormat="1" x14ac:dyDescent="0.2"/>
    <row r="6907" customFormat="1" x14ac:dyDescent="0.2"/>
    <row r="6908" customFormat="1" x14ac:dyDescent="0.2"/>
    <row r="6909" customFormat="1" x14ac:dyDescent="0.2"/>
    <row r="6910" customFormat="1" x14ac:dyDescent="0.2"/>
    <row r="6911" customFormat="1" x14ac:dyDescent="0.2"/>
    <row r="6912" customFormat="1" x14ac:dyDescent="0.2"/>
    <row r="6913" customFormat="1" x14ac:dyDescent="0.2"/>
    <row r="6914" customFormat="1" x14ac:dyDescent="0.2"/>
    <row r="6915" customFormat="1" x14ac:dyDescent="0.2"/>
    <row r="6916" customFormat="1" x14ac:dyDescent="0.2"/>
    <row r="6917" customFormat="1" x14ac:dyDescent="0.2"/>
    <row r="6918" customFormat="1" x14ac:dyDescent="0.2"/>
    <row r="6919" customFormat="1" x14ac:dyDescent="0.2"/>
    <row r="6920" customFormat="1" x14ac:dyDescent="0.2"/>
    <row r="6921" customFormat="1" x14ac:dyDescent="0.2"/>
    <row r="6922" customFormat="1" x14ac:dyDescent="0.2"/>
    <row r="6923" customFormat="1" x14ac:dyDescent="0.2"/>
    <row r="6924" customFormat="1" x14ac:dyDescent="0.2"/>
    <row r="6925" customFormat="1" x14ac:dyDescent="0.2"/>
    <row r="6926" customFormat="1" x14ac:dyDescent="0.2"/>
    <row r="6927" customFormat="1" x14ac:dyDescent="0.2"/>
    <row r="6928" customFormat="1" x14ac:dyDescent="0.2"/>
    <row r="6929" customFormat="1" x14ac:dyDescent="0.2"/>
    <row r="6930" customFormat="1" x14ac:dyDescent="0.2"/>
    <row r="6931" customFormat="1" x14ac:dyDescent="0.2"/>
    <row r="6932" customFormat="1" x14ac:dyDescent="0.2"/>
    <row r="6933" customFormat="1" x14ac:dyDescent="0.2"/>
    <row r="6934" customFormat="1" x14ac:dyDescent="0.2"/>
    <row r="6935" customFormat="1" x14ac:dyDescent="0.2"/>
    <row r="6936" customFormat="1" x14ac:dyDescent="0.2"/>
    <row r="6937" customFormat="1" x14ac:dyDescent="0.2"/>
    <row r="6938" customFormat="1" x14ac:dyDescent="0.2"/>
    <row r="6939" customFormat="1" x14ac:dyDescent="0.2"/>
    <row r="6940" customFormat="1" x14ac:dyDescent="0.2"/>
    <row r="6941" customFormat="1" x14ac:dyDescent="0.2"/>
    <row r="6942" customFormat="1" x14ac:dyDescent="0.2"/>
    <row r="6943" customFormat="1" x14ac:dyDescent="0.2"/>
    <row r="6944" customFormat="1" x14ac:dyDescent="0.2"/>
    <row r="6945" customFormat="1" x14ac:dyDescent="0.2"/>
    <row r="6946" customFormat="1" x14ac:dyDescent="0.2"/>
    <row r="6947" customFormat="1" x14ac:dyDescent="0.2"/>
    <row r="6948" customFormat="1" x14ac:dyDescent="0.2"/>
    <row r="6949" customFormat="1" x14ac:dyDescent="0.2"/>
    <row r="6950" customFormat="1" x14ac:dyDescent="0.2"/>
    <row r="6951" customFormat="1" x14ac:dyDescent="0.2"/>
    <row r="6952" customFormat="1" x14ac:dyDescent="0.2"/>
    <row r="6953" customFormat="1" x14ac:dyDescent="0.2"/>
    <row r="6954" customFormat="1" x14ac:dyDescent="0.2"/>
    <row r="6955" customFormat="1" x14ac:dyDescent="0.2"/>
    <row r="6956" customFormat="1" x14ac:dyDescent="0.2"/>
    <row r="6957" customFormat="1" x14ac:dyDescent="0.2"/>
    <row r="6958" customFormat="1" x14ac:dyDescent="0.2"/>
    <row r="6959" customFormat="1" x14ac:dyDescent="0.2"/>
    <row r="6960" customFormat="1" x14ac:dyDescent="0.2"/>
    <row r="6961" customFormat="1" x14ac:dyDescent="0.2"/>
    <row r="6962" customFormat="1" x14ac:dyDescent="0.2"/>
    <row r="6963" customFormat="1" x14ac:dyDescent="0.2"/>
    <row r="6964" customFormat="1" x14ac:dyDescent="0.2"/>
    <row r="6965" customFormat="1" x14ac:dyDescent="0.2"/>
    <row r="6966" customFormat="1" x14ac:dyDescent="0.2"/>
    <row r="6967" customFormat="1" x14ac:dyDescent="0.2"/>
    <row r="6968" customFormat="1" x14ac:dyDescent="0.2"/>
    <row r="6969" customFormat="1" x14ac:dyDescent="0.2"/>
    <row r="6970" customFormat="1" x14ac:dyDescent="0.2"/>
    <row r="6971" customFormat="1" x14ac:dyDescent="0.2"/>
    <row r="6972" customFormat="1" x14ac:dyDescent="0.2"/>
    <row r="6973" customFormat="1" x14ac:dyDescent="0.2"/>
    <row r="6974" customFormat="1" x14ac:dyDescent="0.2"/>
    <row r="6975" customFormat="1" x14ac:dyDescent="0.2"/>
    <row r="6976" customFormat="1" x14ac:dyDescent="0.2"/>
    <row r="6977" customFormat="1" x14ac:dyDescent="0.2"/>
    <row r="6978" customFormat="1" x14ac:dyDescent="0.2"/>
    <row r="6979" customFormat="1" x14ac:dyDescent="0.2"/>
    <row r="6980" customFormat="1" x14ac:dyDescent="0.2"/>
    <row r="6981" customFormat="1" x14ac:dyDescent="0.2"/>
    <row r="6982" customFormat="1" x14ac:dyDescent="0.2"/>
    <row r="6983" customFormat="1" x14ac:dyDescent="0.2"/>
    <row r="6984" customFormat="1" x14ac:dyDescent="0.2"/>
    <row r="6985" customFormat="1" x14ac:dyDescent="0.2"/>
    <row r="6986" customFormat="1" x14ac:dyDescent="0.2"/>
    <row r="6987" customFormat="1" x14ac:dyDescent="0.2"/>
    <row r="6988" customFormat="1" x14ac:dyDescent="0.2"/>
    <row r="6989" customFormat="1" x14ac:dyDescent="0.2"/>
    <row r="6990" customFormat="1" x14ac:dyDescent="0.2"/>
    <row r="6991" customFormat="1" x14ac:dyDescent="0.2"/>
    <row r="6992" customFormat="1" x14ac:dyDescent="0.2"/>
    <row r="6993" customFormat="1" x14ac:dyDescent="0.2"/>
    <row r="6994" customFormat="1" x14ac:dyDescent="0.2"/>
    <row r="6995" customFormat="1" x14ac:dyDescent="0.2"/>
    <row r="6996" customFormat="1" x14ac:dyDescent="0.2"/>
    <row r="6997" customFormat="1" x14ac:dyDescent="0.2"/>
    <row r="6998" customFormat="1" x14ac:dyDescent="0.2"/>
    <row r="6999" customFormat="1" x14ac:dyDescent="0.2"/>
    <row r="7000" customFormat="1" x14ac:dyDescent="0.2"/>
    <row r="7001" customFormat="1" x14ac:dyDescent="0.2"/>
    <row r="7002" customFormat="1" x14ac:dyDescent="0.2"/>
    <row r="7003" customFormat="1" x14ac:dyDescent="0.2"/>
    <row r="7004" customFormat="1" x14ac:dyDescent="0.2"/>
    <row r="7005" customFormat="1" x14ac:dyDescent="0.2"/>
    <row r="7006" customFormat="1" x14ac:dyDescent="0.2"/>
    <row r="7007" customFormat="1" x14ac:dyDescent="0.2"/>
    <row r="7008" customFormat="1" x14ac:dyDescent="0.2"/>
    <row r="7009" customFormat="1" x14ac:dyDescent="0.2"/>
    <row r="7010" customFormat="1" x14ac:dyDescent="0.2"/>
    <row r="7011" customFormat="1" x14ac:dyDescent="0.2"/>
    <row r="7012" customFormat="1" x14ac:dyDescent="0.2"/>
    <row r="7013" customFormat="1" x14ac:dyDescent="0.2"/>
    <row r="7014" customFormat="1" x14ac:dyDescent="0.2"/>
    <row r="7015" customFormat="1" x14ac:dyDescent="0.2"/>
    <row r="7016" customFormat="1" x14ac:dyDescent="0.2"/>
    <row r="7017" customFormat="1" x14ac:dyDescent="0.2"/>
    <row r="7018" customFormat="1" x14ac:dyDescent="0.2"/>
    <row r="7019" customFormat="1" x14ac:dyDescent="0.2"/>
    <row r="7020" customFormat="1" x14ac:dyDescent="0.2"/>
    <row r="7021" customFormat="1" x14ac:dyDescent="0.2"/>
    <row r="7022" customFormat="1" x14ac:dyDescent="0.2"/>
    <row r="7023" customFormat="1" x14ac:dyDescent="0.2"/>
    <row r="7024" customFormat="1" x14ac:dyDescent="0.2"/>
    <row r="7025" customFormat="1" x14ac:dyDescent="0.2"/>
    <row r="7026" customFormat="1" x14ac:dyDescent="0.2"/>
    <row r="7027" customFormat="1" x14ac:dyDescent="0.2"/>
    <row r="7028" customFormat="1" x14ac:dyDescent="0.2"/>
    <row r="7029" customFormat="1" x14ac:dyDescent="0.2"/>
    <row r="7030" customFormat="1" x14ac:dyDescent="0.2"/>
    <row r="7031" customFormat="1" x14ac:dyDescent="0.2"/>
    <row r="7032" customFormat="1" x14ac:dyDescent="0.2"/>
    <row r="7033" customFormat="1" x14ac:dyDescent="0.2"/>
    <row r="7034" customFormat="1" x14ac:dyDescent="0.2"/>
    <row r="7035" customFormat="1" x14ac:dyDescent="0.2"/>
    <row r="7036" customFormat="1" x14ac:dyDescent="0.2"/>
    <row r="7037" customFormat="1" x14ac:dyDescent="0.2"/>
    <row r="7038" customFormat="1" x14ac:dyDescent="0.2"/>
    <row r="7039" customFormat="1" x14ac:dyDescent="0.2"/>
    <row r="7040" customFormat="1" x14ac:dyDescent="0.2"/>
    <row r="7041" customFormat="1" x14ac:dyDescent="0.2"/>
    <row r="7042" customFormat="1" x14ac:dyDescent="0.2"/>
    <row r="7043" customFormat="1" x14ac:dyDescent="0.2"/>
    <row r="7044" customFormat="1" x14ac:dyDescent="0.2"/>
    <row r="7045" customFormat="1" x14ac:dyDescent="0.2"/>
    <row r="7046" customFormat="1" x14ac:dyDescent="0.2"/>
    <row r="7047" customFormat="1" x14ac:dyDescent="0.2"/>
    <row r="7048" customFormat="1" x14ac:dyDescent="0.2"/>
    <row r="7049" customFormat="1" x14ac:dyDescent="0.2"/>
    <row r="7050" customFormat="1" x14ac:dyDescent="0.2"/>
    <row r="7051" customFormat="1" x14ac:dyDescent="0.2"/>
    <row r="7052" customFormat="1" x14ac:dyDescent="0.2"/>
    <row r="7053" customFormat="1" x14ac:dyDescent="0.2"/>
    <row r="7054" customFormat="1" x14ac:dyDescent="0.2"/>
    <row r="7055" customFormat="1" x14ac:dyDescent="0.2"/>
    <row r="7056" customFormat="1" x14ac:dyDescent="0.2"/>
    <row r="7057" customFormat="1" x14ac:dyDescent="0.2"/>
    <row r="7058" customFormat="1" x14ac:dyDescent="0.2"/>
    <row r="7059" customFormat="1" x14ac:dyDescent="0.2"/>
    <row r="7060" customFormat="1" x14ac:dyDescent="0.2"/>
    <row r="7061" customFormat="1" x14ac:dyDescent="0.2"/>
    <row r="7062" customFormat="1" x14ac:dyDescent="0.2"/>
    <row r="7063" customFormat="1" x14ac:dyDescent="0.2"/>
    <row r="7064" customFormat="1" x14ac:dyDescent="0.2"/>
    <row r="7065" customFormat="1" x14ac:dyDescent="0.2"/>
    <row r="7066" customFormat="1" x14ac:dyDescent="0.2"/>
    <row r="7067" customFormat="1" x14ac:dyDescent="0.2"/>
    <row r="7068" customFormat="1" x14ac:dyDescent="0.2"/>
    <row r="7069" customFormat="1" x14ac:dyDescent="0.2"/>
    <row r="7070" customFormat="1" x14ac:dyDescent="0.2"/>
    <row r="7071" customFormat="1" x14ac:dyDescent="0.2"/>
    <row r="7072" customFormat="1" x14ac:dyDescent="0.2"/>
    <row r="7073" customFormat="1" x14ac:dyDescent="0.2"/>
    <row r="7074" customFormat="1" x14ac:dyDescent="0.2"/>
    <row r="7075" customFormat="1" x14ac:dyDescent="0.2"/>
    <row r="7076" customFormat="1" x14ac:dyDescent="0.2"/>
    <row r="7077" customFormat="1" x14ac:dyDescent="0.2"/>
    <row r="7078" customFormat="1" x14ac:dyDescent="0.2"/>
    <row r="7079" customFormat="1" x14ac:dyDescent="0.2"/>
    <row r="7080" customFormat="1" x14ac:dyDescent="0.2"/>
    <row r="7081" customFormat="1" x14ac:dyDescent="0.2"/>
    <row r="7082" customFormat="1" x14ac:dyDescent="0.2"/>
    <row r="7083" customFormat="1" x14ac:dyDescent="0.2"/>
    <row r="7084" customFormat="1" x14ac:dyDescent="0.2"/>
    <row r="7085" customFormat="1" x14ac:dyDescent="0.2"/>
    <row r="7086" customFormat="1" x14ac:dyDescent="0.2"/>
    <row r="7087" customFormat="1" x14ac:dyDescent="0.2"/>
    <row r="7088" customFormat="1" x14ac:dyDescent="0.2"/>
    <row r="7089" customFormat="1" x14ac:dyDescent="0.2"/>
    <row r="7090" customFormat="1" x14ac:dyDescent="0.2"/>
    <row r="7091" customFormat="1" x14ac:dyDescent="0.2"/>
    <row r="7092" customFormat="1" x14ac:dyDescent="0.2"/>
    <row r="7093" customFormat="1" x14ac:dyDescent="0.2"/>
    <row r="7094" customFormat="1" x14ac:dyDescent="0.2"/>
    <row r="7095" customFormat="1" x14ac:dyDescent="0.2"/>
    <row r="7096" customFormat="1" x14ac:dyDescent="0.2"/>
    <row r="7097" customFormat="1" x14ac:dyDescent="0.2"/>
    <row r="7098" customFormat="1" x14ac:dyDescent="0.2"/>
    <row r="7099" customFormat="1" x14ac:dyDescent="0.2"/>
    <row r="7100" customFormat="1" x14ac:dyDescent="0.2"/>
    <row r="7101" customFormat="1" x14ac:dyDescent="0.2"/>
    <row r="7102" customFormat="1" x14ac:dyDescent="0.2"/>
    <row r="7103" customFormat="1" x14ac:dyDescent="0.2"/>
    <row r="7104" customFormat="1" x14ac:dyDescent="0.2"/>
    <row r="7105" customFormat="1" x14ac:dyDescent="0.2"/>
    <row r="7106" customFormat="1" x14ac:dyDescent="0.2"/>
    <row r="7107" customFormat="1" x14ac:dyDescent="0.2"/>
    <row r="7108" customFormat="1" x14ac:dyDescent="0.2"/>
    <row r="7109" customFormat="1" x14ac:dyDescent="0.2"/>
    <row r="7110" customFormat="1" x14ac:dyDescent="0.2"/>
    <row r="7111" customFormat="1" x14ac:dyDescent="0.2"/>
    <row r="7112" customFormat="1" x14ac:dyDescent="0.2"/>
    <row r="7113" customFormat="1" x14ac:dyDescent="0.2"/>
    <row r="7114" customFormat="1" x14ac:dyDescent="0.2"/>
    <row r="7115" customFormat="1" x14ac:dyDescent="0.2"/>
    <row r="7116" customFormat="1" x14ac:dyDescent="0.2"/>
    <row r="7117" customFormat="1" x14ac:dyDescent="0.2"/>
    <row r="7118" customFormat="1" x14ac:dyDescent="0.2"/>
    <row r="7119" customFormat="1" x14ac:dyDescent="0.2"/>
    <row r="7120" customFormat="1" x14ac:dyDescent="0.2"/>
    <row r="7121" customFormat="1" x14ac:dyDescent="0.2"/>
    <row r="7122" customFormat="1" x14ac:dyDescent="0.2"/>
    <row r="7123" customFormat="1" x14ac:dyDescent="0.2"/>
    <row r="7124" customFormat="1" x14ac:dyDescent="0.2"/>
    <row r="7125" customFormat="1" x14ac:dyDescent="0.2"/>
    <row r="7126" customFormat="1" x14ac:dyDescent="0.2"/>
    <row r="7127" customFormat="1" x14ac:dyDescent="0.2"/>
    <row r="7128" customFormat="1" x14ac:dyDescent="0.2"/>
    <row r="7129" customFormat="1" x14ac:dyDescent="0.2"/>
    <row r="7130" customFormat="1" x14ac:dyDescent="0.2"/>
    <row r="7131" customFormat="1" x14ac:dyDescent="0.2"/>
    <row r="7132" customFormat="1" x14ac:dyDescent="0.2"/>
    <row r="7133" customFormat="1" x14ac:dyDescent="0.2"/>
    <row r="7134" customFormat="1" x14ac:dyDescent="0.2"/>
    <row r="7135" customFormat="1" x14ac:dyDescent="0.2"/>
    <row r="7136" customFormat="1" x14ac:dyDescent="0.2"/>
    <row r="7137" customFormat="1" x14ac:dyDescent="0.2"/>
    <row r="7138" customFormat="1" x14ac:dyDescent="0.2"/>
    <row r="7139" customFormat="1" x14ac:dyDescent="0.2"/>
    <row r="7140" customFormat="1" x14ac:dyDescent="0.2"/>
    <row r="7141" customFormat="1" x14ac:dyDescent="0.2"/>
    <row r="7142" customFormat="1" x14ac:dyDescent="0.2"/>
    <row r="7143" customFormat="1" x14ac:dyDescent="0.2"/>
    <row r="7144" customFormat="1" x14ac:dyDescent="0.2"/>
    <row r="7145" customFormat="1" x14ac:dyDescent="0.2"/>
    <row r="7146" customFormat="1" x14ac:dyDescent="0.2"/>
    <row r="7147" customFormat="1" x14ac:dyDescent="0.2"/>
    <row r="7148" customFormat="1" x14ac:dyDescent="0.2"/>
    <row r="7149" customFormat="1" x14ac:dyDescent="0.2"/>
    <row r="7150" customFormat="1" x14ac:dyDescent="0.2"/>
    <row r="7151" customFormat="1" x14ac:dyDescent="0.2"/>
    <row r="7152" customFormat="1" x14ac:dyDescent="0.2"/>
    <row r="7153" customFormat="1" x14ac:dyDescent="0.2"/>
    <row r="7154" customFormat="1" x14ac:dyDescent="0.2"/>
    <row r="7155" customFormat="1" x14ac:dyDescent="0.2"/>
    <row r="7156" customFormat="1" x14ac:dyDescent="0.2"/>
    <row r="7157" customFormat="1" x14ac:dyDescent="0.2"/>
    <row r="7158" customFormat="1" x14ac:dyDescent="0.2"/>
    <row r="7159" customFormat="1" x14ac:dyDescent="0.2"/>
    <row r="7160" customFormat="1" x14ac:dyDescent="0.2"/>
    <row r="7161" customFormat="1" x14ac:dyDescent="0.2"/>
    <row r="7162" customFormat="1" x14ac:dyDescent="0.2"/>
    <row r="7163" customFormat="1" x14ac:dyDescent="0.2"/>
    <row r="7164" customFormat="1" x14ac:dyDescent="0.2"/>
    <row r="7165" customFormat="1" x14ac:dyDescent="0.2"/>
    <row r="7166" customFormat="1" x14ac:dyDescent="0.2"/>
    <row r="7167" customFormat="1" x14ac:dyDescent="0.2"/>
    <row r="7168" customFormat="1" x14ac:dyDescent="0.2"/>
    <row r="7169" customFormat="1" x14ac:dyDescent="0.2"/>
    <row r="7170" customFormat="1" x14ac:dyDescent="0.2"/>
    <row r="7171" customFormat="1" x14ac:dyDescent="0.2"/>
    <row r="7172" customFormat="1" x14ac:dyDescent="0.2"/>
    <row r="7173" customFormat="1" x14ac:dyDescent="0.2"/>
    <row r="7174" customFormat="1" x14ac:dyDescent="0.2"/>
    <row r="7175" customFormat="1" x14ac:dyDescent="0.2"/>
    <row r="7176" customFormat="1" x14ac:dyDescent="0.2"/>
    <row r="7177" customFormat="1" x14ac:dyDescent="0.2"/>
    <row r="7178" customFormat="1" x14ac:dyDescent="0.2"/>
    <row r="7179" customFormat="1" x14ac:dyDescent="0.2"/>
    <row r="7180" customFormat="1" x14ac:dyDescent="0.2"/>
    <row r="7181" customFormat="1" x14ac:dyDescent="0.2"/>
    <row r="7182" customFormat="1" x14ac:dyDescent="0.2"/>
    <row r="7183" customFormat="1" x14ac:dyDescent="0.2"/>
    <row r="7184" customFormat="1" x14ac:dyDescent="0.2"/>
    <row r="7185" customFormat="1" x14ac:dyDescent="0.2"/>
    <row r="7186" customFormat="1" x14ac:dyDescent="0.2"/>
    <row r="7187" customFormat="1" x14ac:dyDescent="0.2"/>
    <row r="7188" customFormat="1" x14ac:dyDescent="0.2"/>
    <row r="7189" customFormat="1" x14ac:dyDescent="0.2"/>
    <row r="7190" customFormat="1" x14ac:dyDescent="0.2"/>
    <row r="7191" customFormat="1" x14ac:dyDescent="0.2"/>
    <row r="7192" customFormat="1" x14ac:dyDescent="0.2"/>
    <row r="7193" customFormat="1" x14ac:dyDescent="0.2"/>
    <row r="7194" customFormat="1" x14ac:dyDescent="0.2"/>
    <row r="7195" customFormat="1" x14ac:dyDescent="0.2"/>
    <row r="7196" customFormat="1" x14ac:dyDescent="0.2"/>
    <row r="7197" customFormat="1" x14ac:dyDescent="0.2"/>
    <row r="7198" customFormat="1" x14ac:dyDescent="0.2"/>
    <row r="7199" customFormat="1" x14ac:dyDescent="0.2"/>
    <row r="7200" customFormat="1" x14ac:dyDescent="0.2"/>
    <row r="7201" customFormat="1" x14ac:dyDescent="0.2"/>
    <row r="7202" customFormat="1" x14ac:dyDescent="0.2"/>
    <row r="7203" customFormat="1" x14ac:dyDescent="0.2"/>
    <row r="7204" customFormat="1" x14ac:dyDescent="0.2"/>
    <row r="7205" customFormat="1" x14ac:dyDescent="0.2"/>
    <row r="7206" customFormat="1" x14ac:dyDescent="0.2"/>
    <row r="7207" customFormat="1" x14ac:dyDescent="0.2"/>
    <row r="7208" customFormat="1" x14ac:dyDescent="0.2"/>
    <row r="7209" customFormat="1" x14ac:dyDescent="0.2"/>
    <row r="7210" customFormat="1" x14ac:dyDescent="0.2"/>
    <row r="7211" customFormat="1" x14ac:dyDescent="0.2"/>
    <row r="7212" customFormat="1" x14ac:dyDescent="0.2"/>
    <row r="7213" customFormat="1" x14ac:dyDescent="0.2"/>
    <row r="7214" customFormat="1" x14ac:dyDescent="0.2"/>
    <row r="7215" customFormat="1" x14ac:dyDescent="0.2"/>
    <row r="7216" customFormat="1" x14ac:dyDescent="0.2"/>
    <row r="7217" customFormat="1" x14ac:dyDescent="0.2"/>
    <row r="7218" customFormat="1" x14ac:dyDescent="0.2"/>
    <row r="7219" customFormat="1" x14ac:dyDescent="0.2"/>
    <row r="7220" customFormat="1" x14ac:dyDescent="0.2"/>
    <row r="7221" customFormat="1" x14ac:dyDescent="0.2"/>
    <row r="7222" customFormat="1" x14ac:dyDescent="0.2"/>
    <row r="7223" customFormat="1" x14ac:dyDescent="0.2"/>
    <row r="7224" customFormat="1" x14ac:dyDescent="0.2"/>
    <row r="7225" customFormat="1" x14ac:dyDescent="0.2"/>
    <row r="7226" customFormat="1" x14ac:dyDescent="0.2"/>
    <row r="7227" customFormat="1" x14ac:dyDescent="0.2"/>
    <row r="7228" customFormat="1" x14ac:dyDescent="0.2"/>
    <row r="7229" customFormat="1" x14ac:dyDescent="0.2"/>
    <row r="7230" customFormat="1" x14ac:dyDescent="0.2"/>
    <row r="7231" customFormat="1" x14ac:dyDescent="0.2"/>
    <row r="7232" customFormat="1" x14ac:dyDescent="0.2"/>
    <row r="7233" customFormat="1" x14ac:dyDescent="0.2"/>
    <row r="7234" customFormat="1" x14ac:dyDescent="0.2"/>
    <row r="7235" customFormat="1" x14ac:dyDescent="0.2"/>
    <row r="7236" customFormat="1" x14ac:dyDescent="0.2"/>
    <row r="7237" customFormat="1" x14ac:dyDescent="0.2"/>
    <row r="7238" customFormat="1" x14ac:dyDescent="0.2"/>
    <row r="7239" customFormat="1" x14ac:dyDescent="0.2"/>
    <row r="7240" customFormat="1" x14ac:dyDescent="0.2"/>
    <row r="7241" customFormat="1" x14ac:dyDescent="0.2"/>
    <row r="7242" customFormat="1" x14ac:dyDescent="0.2"/>
    <row r="7243" customFormat="1" x14ac:dyDescent="0.2"/>
    <row r="7244" customFormat="1" x14ac:dyDescent="0.2"/>
    <row r="7245" customFormat="1" x14ac:dyDescent="0.2"/>
    <row r="7246" customFormat="1" x14ac:dyDescent="0.2"/>
    <row r="7247" customFormat="1" x14ac:dyDescent="0.2"/>
    <row r="7248" customFormat="1" x14ac:dyDescent="0.2"/>
    <row r="7249" customFormat="1" x14ac:dyDescent="0.2"/>
    <row r="7250" customFormat="1" x14ac:dyDescent="0.2"/>
    <row r="7251" customFormat="1" x14ac:dyDescent="0.2"/>
    <row r="7252" customFormat="1" x14ac:dyDescent="0.2"/>
    <row r="7253" customFormat="1" x14ac:dyDescent="0.2"/>
    <row r="7254" customFormat="1" x14ac:dyDescent="0.2"/>
    <row r="7255" customFormat="1" x14ac:dyDescent="0.2"/>
    <row r="7256" customFormat="1" x14ac:dyDescent="0.2"/>
    <row r="7257" customFormat="1" x14ac:dyDescent="0.2"/>
    <row r="7258" customFormat="1" x14ac:dyDescent="0.2"/>
    <row r="7259" customFormat="1" x14ac:dyDescent="0.2"/>
    <row r="7260" customFormat="1" x14ac:dyDescent="0.2"/>
    <row r="7261" customFormat="1" x14ac:dyDescent="0.2"/>
    <row r="7262" customFormat="1" x14ac:dyDescent="0.2"/>
    <row r="7263" customFormat="1" x14ac:dyDescent="0.2"/>
    <row r="7264" customFormat="1" x14ac:dyDescent="0.2"/>
    <row r="7265" customFormat="1" x14ac:dyDescent="0.2"/>
    <row r="7266" customFormat="1" x14ac:dyDescent="0.2"/>
    <row r="7267" customFormat="1" x14ac:dyDescent="0.2"/>
    <row r="7268" customFormat="1" x14ac:dyDescent="0.2"/>
    <row r="7269" customFormat="1" x14ac:dyDescent="0.2"/>
    <row r="7270" customFormat="1" x14ac:dyDescent="0.2"/>
    <row r="7271" customFormat="1" x14ac:dyDescent="0.2"/>
    <row r="7272" customFormat="1" x14ac:dyDescent="0.2"/>
    <row r="7273" customFormat="1" x14ac:dyDescent="0.2"/>
    <row r="7274" customFormat="1" x14ac:dyDescent="0.2"/>
    <row r="7275" customFormat="1" x14ac:dyDescent="0.2"/>
    <row r="7276" customFormat="1" x14ac:dyDescent="0.2"/>
    <row r="7277" customFormat="1" x14ac:dyDescent="0.2"/>
    <row r="7278" customFormat="1" x14ac:dyDescent="0.2"/>
    <row r="7279" customFormat="1" x14ac:dyDescent="0.2"/>
    <row r="7280" customFormat="1" x14ac:dyDescent="0.2"/>
    <row r="7281" customFormat="1" x14ac:dyDescent="0.2"/>
    <row r="7282" customFormat="1" x14ac:dyDescent="0.2"/>
    <row r="7283" customFormat="1" x14ac:dyDescent="0.2"/>
    <row r="7284" customFormat="1" x14ac:dyDescent="0.2"/>
    <row r="7285" customFormat="1" x14ac:dyDescent="0.2"/>
    <row r="7286" customFormat="1" x14ac:dyDescent="0.2"/>
    <row r="7287" customFormat="1" x14ac:dyDescent="0.2"/>
    <row r="7288" customFormat="1" x14ac:dyDescent="0.2"/>
    <row r="7289" customFormat="1" x14ac:dyDescent="0.2"/>
    <row r="7290" customFormat="1" x14ac:dyDescent="0.2"/>
    <row r="7291" customFormat="1" x14ac:dyDescent="0.2"/>
    <row r="7292" customFormat="1" x14ac:dyDescent="0.2"/>
    <row r="7293" customFormat="1" x14ac:dyDescent="0.2"/>
    <row r="7294" customFormat="1" x14ac:dyDescent="0.2"/>
    <row r="7295" customFormat="1" x14ac:dyDescent="0.2"/>
    <row r="7296" customFormat="1" x14ac:dyDescent="0.2"/>
    <row r="7297" customFormat="1" x14ac:dyDescent="0.2"/>
    <row r="7298" customFormat="1" x14ac:dyDescent="0.2"/>
    <row r="7299" customFormat="1" x14ac:dyDescent="0.2"/>
    <row r="7300" customFormat="1" x14ac:dyDescent="0.2"/>
    <row r="7301" customFormat="1" x14ac:dyDescent="0.2"/>
    <row r="7302" customFormat="1" x14ac:dyDescent="0.2"/>
    <row r="7303" customFormat="1" x14ac:dyDescent="0.2"/>
    <row r="7304" customFormat="1" x14ac:dyDescent="0.2"/>
    <row r="7305" customFormat="1" x14ac:dyDescent="0.2"/>
    <row r="7306" customFormat="1" x14ac:dyDescent="0.2"/>
    <row r="7307" customFormat="1" x14ac:dyDescent="0.2"/>
    <row r="7308" customFormat="1" x14ac:dyDescent="0.2"/>
    <row r="7309" customFormat="1" x14ac:dyDescent="0.2"/>
    <row r="7310" customFormat="1" x14ac:dyDescent="0.2"/>
    <row r="7311" customFormat="1" x14ac:dyDescent="0.2"/>
    <row r="7312" customFormat="1" x14ac:dyDescent="0.2"/>
    <row r="7313" customFormat="1" x14ac:dyDescent="0.2"/>
    <row r="7314" customFormat="1" x14ac:dyDescent="0.2"/>
    <row r="7315" customFormat="1" x14ac:dyDescent="0.2"/>
    <row r="7316" customFormat="1" x14ac:dyDescent="0.2"/>
    <row r="7317" customFormat="1" x14ac:dyDescent="0.2"/>
    <row r="7318" customFormat="1" x14ac:dyDescent="0.2"/>
    <row r="7319" customFormat="1" x14ac:dyDescent="0.2"/>
    <row r="7320" customFormat="1" x14ac:dyDescent="0.2"/>
    <row r="7321" customFormat="1" x14ac:dyDescent="0.2"/>
    <row r="7322" customFormat="1" x14ac:dyDescent="0.2"/>
    <row r="7323" customFormat="1" x14ac:dyDescent="0.2"/>
    <row r="7324" customFormat="1" x14ac:dyDescent="0.2"/>
    <row r="7325" customFormat="1" x14ac:dyDescent="0.2"/>
    <row r="7326" customFormat="1" x14ac:dyDescent="0.2"/>
    <row r="7327" customFormat="1" x14ac:dyDescent="0.2"/>
    <row r="7328" customFormat="1" x14ac:dyDescent="0.2"/>
    <row r="7329" customFormat="1" x14ac:dyDescent="0.2"/>
    <row r="7330" customFormat="1" x14ac:dyDescent="0.2"/>
    <row r="7331" customFormat="1" x14ac:dyDescent="0.2"/>
    <row r="7332" customFormat="1" x14ac:dyDescent="0.2"/>
    <row r="7333" customFormat="1" x14ac:dyDescent="0.2"/>
    <row r="7334" customFormat="1" x14ac:dyDescent="0.2"/>
    <row r="7335" customFormat="1" x14ac:dyDescent="0.2"/>
    <row r="7336" customFormat="1" x14ac:dyDescent="0.2"/>
    <row r="7337" customFormat="1" x14ac:dyDescent="0.2"/>
    <row r="7338" customFormat="1" x14ac:dyDescent="0.2"/>
    <row r="7339" customFormat="1" x14ac:dyDescent="0.2"/>
    <row r="7340" customFormat="1" x14ac:dyDescent="0.2"/>
    <row r="7341" customFormat="1" x14ac:dyDescent="0.2"/>
    <row r="7342" customFormat="1" x14ac:dyDescent="0.2"/>
    <row r="7343" customFormat="1" x14ac:dyDescent="0.2"/>
    <row r="7344" customFormat="1" x14ac:dyDescent="0.2"/>
    <row r="7345" customFormat="1" x14ac:dyDescent="0.2"/>
    <row r="7346" customFormat="1" x14ac:dyDescent="0.2"/>
    <row r="7347" customFormat="1" x14ac:dyDescent="0.2"/>
    <row r="7348" customFormat="1" x14ac:dyDescent="0.2"/>
    <row r="7349" customFormat="1" x14ac:dyDescent="0.2"/>
    <row r="7350" customFormat="1" x14ac:dyDescent="0.2"/>
    <row r="7351" customFormat="1" x14ac:dyDescent="0.2"/>
    <row r="7352" customFormat="1" x14ac:dyDescent="0.2"/>
    <row r="7353" customFormat="1" x14ac:dyDescent="0.2"/>
    <row r="7354" customFormat="1" x14ac:dyDescent="0.2"/>
    <row r="7355" customFormat="1" x14ac:dyDescent="0.2"/>
    <row r="7356" customFormat="1" x14ac:dyDescent="0.2"/>
    <row r="7357" customFormat="1" x14ac:dyDescent="0.2"/>
    <row r="7358" customFormat="1" x14ac:dyDescent="0.2"/>
    <row r="7359" customFormat="1" x14ac:dyDescent="0.2"/>
    <row r="7360" customFormat="1" x14ac:dyDescent="0.2"/>
    <row r="7361" customFormat="1" x14ac:dyDescent="0.2"/>
    <row r="7362" customFormat="1" x14ac:dyDescent="0.2"/>
    <row r="7363" customFormat="1" x14ac:dyDescent="0.2"/>
    <row r="7364" customFormat="1" x14ac:dyDescent="0.2"/>
    <row r="7365" customFormat="1" x14ac:dyDescent="0.2"/>
    <row r="7366" customFormat="1" x14ac:dyDescent="0.2"/>
    <row r="7367" customFormat="1" x14ac:dyDescent="0.2"/>
    <row r="7368" customFormat="1" x14ac:dyDescent="0.2"/>
    <row r="7369" customFormat="1" x14ac:dyDescent="0.2"/>
    <row r="7370" customFormat="1" x14ac:dyDescent="0.2"/>
    <row r="7371" customFormat="1" x14ac:dyDescent="0.2"/>
    <row r="7372" customFormat="1" x14ac:dyDescent="0.2"/>
    <row r="7373" customFormat="1" x14ac:dyDescent="0.2"/>
    <row r="7374" customFormat="1" x14ac:dyDescent="0.2"/>
    <row r="7375" customFormat="1" x14ac:dyDescent="0.2"/>
    <row r="7376" customFormat="1" x14ac:dyDescent="0.2"/>
    <row r="7377" customFormat="1" x14ac:dyDescent="0.2"/>
    <row r="7378" customFormat="1" x14ac:dyDescent="0.2"/>
    <row r="7379" customFormat="1" x14ac:dyDescent="0.2"/>
    <row r="7380" customFormat="1" x14ac:dyDescent="0.2"/>
    <row r="7381" customFormat="1" x14ac:dyDescent="0.2"/>
    <row r="7382" customFormat="1" x14ac:dyDescent="0.2"/>
    <row r="7383" customFormat="1" x14ac:dyDescent="0.2"/>
    <row r="7384" customFormat="1" x14ac:dyDescent="0.2"/>
    <row r="7385" customFormat="1" x14ac:dyDescent="0.2"/>
    <row r="7386" customFormat="1" x14ac:dyDescent="0.2"/>
    <row r="7387" customFormat="1" x14ac:dyDescent="0.2"/>
    <row r="7388" customFormat="1" x14ac:dyDescent="0.2"/>
    <row r="7389" customFormat="1" x14ac:dyDescent="0.2"/>
    <row r="7390" customFormat="1" x14ac:dyDescent="0.2"/>
    <row r="7391" customFormat="1" x14ac:dyDescent="0.2"/>
    <row r="7392" customFormat="1" x14ac:dyDescent="0.2"/>
    <row r="7393" customFormat="1" x14ac:dyDescent="0.2"/>
    <row r="7394" customFormat="1" x14ac:dyDescent="0.2"/>
    <row r="7395" customFormat="1" x14ac:dyDescent="0.2"/>
    <row r="7396" customFormat="1" x14ac:dyDescent="0.2"/>
    <row r="7397" customFormat="1" x14ac:dyDescent="0.2"/>
    <row r="7398" customFormat="1" x14ac:dyDescent="0.2"/>
    <row r="7399" customFormat="1" x14ac:dyDescent="0.2"/>
    <row r="7400" customFormat="1" x14ac:dyDescent="0.2"/>
    <row r="7401" customFormat="1" x14ac:dyDescent="0.2"/>
    <row r="7402" customFormat="1" x14ac:dyDescent="0.2"/>
    <row r="7403" customFormat="1" x14ac:dyDescent="0.2"/>
    <row r="7404" customFormat="1" x14ac:dyDescent="0.2"/>
    <row r="7405" customFormat="1" x14ac:dyDescent="0.2"/>
    <row r="7406" customFormat="1" x14ac:dyDescent="0.2"/>
    <row r="7407" customFormat="1" x14ac:dyDescent="0.2"/>
    <row r="7408" customFormat="1" x14ac:dyDescent="0.2"/>
    <row r="7409" customFormat="1" x14ac:dyDescent="0.2"/>
    <row r="7410" customFormat="1" x14ac:dyDescent="0.2"/>
    <row r="7411" customFormat="1" x14ac:dyDescent="0.2"/>
    <row r="7412" customFormat="1" x14ac:dyDescent="0.2"/>
    <row r="7413" customFormat="1" x14ac:dyDescent="0.2"/>
    <row r="7414" customFormat="1" x14ac:dyDescent="0.2"/>
    <row r="7415" customFormat="1" x14ac:dyDescent="0.2"/>
    <row r="7416" customFormat="1" x14ac:dyDescent="0.2"/>
    <row r="7417" customFormat="1" x14ac:dyDescent="0.2"/>
    <row r="7418" customFormat="1" x14ac:dyDescent="0.2"/>
    <row r="7419" customFormat="1" x14ac:dyDescent="0.2"/>
    <row r="7420" customFormat="1" x14ac:dyDescent="0.2"/>
    <row r="7421" customFormat="1" x14ac:dyDescent="0.2"/>
    <row r="7422" customFormat="1" x14ac:dyDescent="0.2"/>
    <row r="7423" customFormat="1" x14ac:dyDescent="0.2"/>
    <row r="7424" customFormat="1" x14ac:dyDescent="0.2"/>
    <row r="7425" customFormat="1" x14ac:dyDescent="0.2"/>
    <row r="7426" customFormat="1" x14ac:dyDescent="0.2"/>
    <row r="7427" customFormat="1" x14ac:dyDescent="0.2"/>
    <row r="7428" customFormat="1" x14ac:dyDescent="0.2"/>
    <row r="7429" customFormat="1" x14ac:dyDescent="0.2"/>
    <row r="7430" customFormat="1" x14ac:dyDescent="0.2"/>
    <row r="7431" customFormat="1" x14ac:dyDescent="0.2"/>
    <row r="7432" customFormat="1" x14ac:dyDescent="0.2"/>
    <row r="7433" customFormat="1" x14ac:dyDescent="0.2"/>
    <row r="7434" customFormat="1" x14ac:dyDescent="0.2"/>
    <row r="7435" customFormat="1" x14ac:dyDescent="0.2"/>
    <row r="7436" customFormat="1" x14ac:dyDescent="0.2"/>
    <row r="7437" customFormat="1" x14ac:dyDescent="0.2"/>
    <row r="7438" customFormat="1" x14ac:dyDescent="0.2"/>
    <row r="7439" customFormat="1" x14ac:dyDescent="0.2"/>
    <row r="7440" customFormat="1" x14ac:dyDescent="0.2"/>
    <row r="7441" customFormat="1" x14ac:dyDescent="0.2"/>
    <row r="7442" customFormat="1" x14ac:dyDescent="0.2"/>
    <row r="7443" customFormat="1" x14ac:dyDescent="0.2"/>
    <row r="7444" customFormat="1" x14ac:dyDescent="0.2"/>
    <row r="7445" customFormat="1" x14ac:dyDescent="0.2"/>
    <row r="7446" customFormat="1" x14ac:dyDescent="0.2"/>
    <row r="7447" customFormat="1" x14ac:dyDescent="0.2"/>
    <row r="7448" customFormat="1" x14ac:dyDescent="0.2"/>
    <row r="7449" customFormat="1" x14ac:dyDescent="0.2"/>
    <row r="7450" customFormat="1" x14ac:dyDescent="0.2"/>
    <row r="7451" customFormat="1" x14ac:dyDescent="0.2"/>
    <row r="7452" customFormat="1" x14ac:dyDescent="0.2"/>
    <row r="7453" customFormat="1" x14ac:dyDescent="0.2"/>
    <row r="7454" customFormat="1" x14ac:dyDescent="0.2"/>
    <row r="7455" customFormat="1" x14ac:dyDescent="0.2"/>
    <row r="7456" customFormat="1" x14ac:dyDescent="0.2"/>
    <row r="7457" customFormat="1" x14ac:dyDescent="0.2"/>
    <row r="7458" customFormat="1" x14ac:dyDescent="0.2"/>
    <row r="7459" customFormat="1" x14ac:dyDescent="0.2"/>
    <row r="7460" customFormat="1" x14ac:dyDescent="0.2"/>
    <row r="7461" customFormat="1" x14ac:dyDescent="0.2"/>
    <row r="7462" customFormat="1" x14ac:dyDescent="0.2"/>
    <row r="7463" customFormat="1" x14ac:dyDescent="0.2"/>
    <row r="7464" customFormat="1" x14ac:dyDescent="0.2"/>
    <row r="7465" customFormat="1" x14ac:dyDescent="0.2"/>
    <row r="7466" customFormat="1" x14ac:dyDescent="0.2"/>
    <row r="7467" customFormat="1" x14ac:dyDescent="0.2"/>
    <row r="7468" customFormat="1" x14ac:dyDescent="0.2"/>
    <row r="7469" customFormat="1" x14ac:dyDescent="0.2"/>
    <row r="7470" customFormat="1" x14ac:dyDescent="0.2"/>
    <row r="7471" customFormat="1" x14ac:dyDescent="0.2"/>
    <row r="7472" customFormat="1" x14ac:dyDescent="0.2"/>
    <row r="7473" customFormat="1" x14ac:dyDescent="0.2"/>
    <row r="7474" customFormat="1" x14ac:dyDescent="0.2"/>
    <row r="7475" customFormat="1" x14ac:dyDescent="0.2"/>
    <row r="7476" customFormat="1" x14ac:dyDescent="0.2"/>
    <row r="7477" customFormat="1" x14ac:dyDescent="0.2"/>
    <row r="7478" customFormat="1" x14ac:dyDescent="0.2"/>
    <row r="7479" customFormat="1" x14ac:dyDescent="0.2"/>
    <row r="7480" customFormat="1" x14ac:dyDescent="0.2"/>
    <row r="7481" customFormat="1" x14ac:dyDescent="0.2"/>
    <row r="7482" customFormat="1" x14ac:dyDescent="0.2"/>
    <row r="7483" customFormat="1" x14ac:dyDescent="0.2"/>
    <row r="7484" customFormat="1" x14ac:dyDescent="0.2"/>
    <row r="7485" customFormat="1" x14ac:dyDescent="0.2"/>
    <row r="7486" customFormat="1" x14ac:dyDescent="0.2"/>
    <row r="7487" customFormat="1" x14ac:dyDescent="0.2"/>
    <row r="7488" customFormat="1" x14ac:dyDescent="0.2"/>
    <row r="7489" customFormat="1" x14ac:dyDescent="0.2"/>
    <row r="7490" customFormat="1" x14ac:dyDescent="0.2"/>
    <row r="7491" customFormat="1" x14ac:dyDescent="0.2"/>
    <row r="7492" customFormat="1" x14ac:dyDescent="0.2"/>
    <row r="7493" customFormat="1" x14ac:dyDescent="0.2"/>
    <row r="7494" customFormat="1" x14ac:dyDescent="0.2"/>
    <row r="7495" customFormat="1" x14ac:dyDescent="0.2"/>
    <row r="7496" customFormat="1" x14ac:dyDescent="0.2"/>
    <row r="7497" customFormat="1" x14ac:dyDescent="0.2"/>
    <row r="7498" customFormat="1" x14ac:dyDescent="0.2"/>
    <row r="7499" customFormat="1" x14ac:dyDescent="0.2"/>
    <row r="7500" customFormat="1" x14ac:dyDescent="0.2"/>
    <row r="7501" customFormat="1" x14ac:dyDescent="0.2"/>
    <row r="7502" customFormat="1" x14ac:dyDescent="0.2"/>
    <row r="7503" customFormat="1" x14ac:dyDescent="0.2"/>
    <row r="7504" customFormat="1" x14ac:dyDescent="0.2"/>
    <row r="7505" customFormat="1" x14ac:dyDescent="0.2"/>
    <row r="7506" customFormat="1" x14ac:dyDescent="0.2"/>
    <row r="7507" customFormat="1" x14ac:dyDescent="0.2"/>
    <row r="7508" customFormat="1" x14ac:dyDescent="0.2"/>
    <row r="7509" customFormat="1" x14ac:dyDescent="0.2"/>
    <row r="7510" customFormat="1" x14ac:dyDescent="0.2"/>
    <row r="7511" customFormat="1" x14ac:dyDescent="0.2"/>
    <row r="7512" customFormat="1" x14ac:dyDescent="0.2"/>
    <row r="7513" customFormat="1" x14ac:dyDescent="0.2"/>
    <row r="7514" customFormat="1" x14ac:dyDescent="0.2"/>
    <row r="7515" customFormat="1" x14ac:dyDescent="0.2"/>
    <row r="7516" customFormat="1" x14ac:dyDescent="0.2"/>
    <row r="7517" customFormat="1" x14ac:dyDescent="0.2"/>
    <row r="7518" customFormat="1" x14ac:dyDescent="0.2"/>
    <row r="7519" customFormat="1" x14ac:dyDescent="0.2"/>
    <row r="7520" customFormat="1" x14ac:dyDescent="0.2"/>
    <row r="7521" customFormat="1" x14ac:dyDescent="0.2"/>
    <row r="7522" customFormat="1" x14ac:dyDescent="0.2"/>
    <row r="7523" customFormat="1" x14ac:dyDescent="0.2"/>
    <row r="7524" customFormat="1" x14ac:dyDescent="0.2"/>
    <row r="7525" customFormat="1" x14ac:dyDescent="0.2"/>
    <row r="7526" customFormat="1" x14ac:dyDescent="0.2"/>
    <row r="7527" customFormat="1" x14ac:dyDescent="0.2"/>
    <row r="7528" customFormat="1" x14ac:dyDescent="0.2"/>
    <row r="7529" customFormat="1" x14ac:dyDescent="0.2"/>
    <row r="7530" customFormat="1" x14ac:dyDescent="0.2"/>
    <row r="7531" customFormat="1" x14ac:dyDescent="0.2"/>
    <row r="7532" customFormat="1" x14ac:dyDescent="0.2"/>
    <row r="7533" customFormat="1" x14ac:dyDescent="0.2"/>
    <row r="7534" customFormat="1" x14ac:dyDescent="0.2"/>
    <row r="7535" customFormat="1" x14ac:dyDescent="0.2"/>
    <row r="7536" customFormat="1" x14ac:dyDescent="0.2"/>
    <row r="7537" customFormat="1" x14ac:dyDescent="0.2"/>
    <row r="7538" customFormat="1" x14ac:dyDescent="0.2"/>
    <row r="7539" customFormat="1" x14ac:dyDescent="0.2"/>
    <row r="7540" customFormat="1" x14ac:dyDescent="0.2"/>
    <row r="7541" customFormat="1" x14ac:dyDescent="0.2"/>
    <row r="7542" customFormat="1" x14ac:dyDescent="0.2"/>
    <row r="7543" customFormat="1" x14ac:dyDescent="0.2"/>
    <row r="7544" customFormat="1" x14ac:dyDescent="0.2"/>
    <row r="7545" customFormat="1" x14ac:dyDescent="0.2"/>
    <row r="7546" customFormat="1" x14ac:dyDescent="0.2"/>
    <row r="7547" customFormat="1" x14ac:dyDescent="0.2"/>
    <row r="7548" customFormat="1" x14ac:dyDescent="0.2"/>
    <row r="7549" customFormat="1" x14ac:dyDescent="0.2"/>
    <row r="7550" customFormat="1" x14ac:dyDescent="0.2"/>
    <row r="7551" customFormat="1" x14ac:dyDescent="0.2"/>
    <row r="7552" customFormat="1" x14ac:dyDescent="0.2"/>
    <row r="7553" customFormat="1" x14ac:dyDescent="0.2"/>
    <row r="7554" customFormat="1" x14ac:dyDescent="0.2"/>
    <row r="7555" customFormat="1" x14ac:dyDescent="0.2"/>
    <row r="7556" customFormat="1" x14ac:dyDescent="0.2"/>
    <row r="7557" customFormat="1" x14ac:dyDescent="0.2"/>
    <row r="7558" customFormat="1" x14ac:dyDescent="0.2"/>
    <row r="7559" customFormat="1" x14ac:dyDescent="0.2"/>
    <row r="7560" customFormat="1" x14ac:dyDescent="0.2"/>
    <row r="7561" customFormat="1" x14ac:dyDescent="0.2"/>
    <row r="7562" customFormat="1" x14ac:dyDescent="0.2"/>
    <row r="7563" customFormat="1" x14ac:dyDescent="0.2"/>
    <row r="7564" customFormat="1" x14ac:dyDescent="0.2"/>
    <row r="7565" customFormat="1" x14ac:dyDescent="0.2"/>
    <row r="7566" customFormat="1" x14ac:dyDescent="0.2"/>
    <row r="7567" customFormat="1" x14ac:dyDescent="0.2"/>
    <row r="7568" customFormat="1" x14ac:dyDescent="0.2"/>
    <row r="7569" customFormat="1" x14ac:dyDescent="0.2"/>
    <row r="7570" customFormat="1" x14ac:dyDescent="0.2"/>
    <row r="7571" customFormat="1" x14ac:dyDescent="0.2"/>
    <row r="7572" customFormat="1" x14ac:dyDescent="0.2"/>
    <row r="7573" customFormat="1" x14ac:dyDescent="0.2"/>
    <row r="7574" customFormat="1" x14ac:dyDescent="0.2"/>
    <row r="7575" customFormat="1" x14ac:dyDescent="0.2"/>
    <row r="7576" customFormat="1" x14ac:dyDescent="0.2"/>
    <row r="7577" customFormat="1" x14ac:dyDescent="0.2"/>
    <row r="7578" customFormat="1" x14ac:dyDescent="0.2"/>
    <row r="7579" customFormat="1" x14ac:dyDescent="0.2"/>
    <row r="7580" customFormat="1" x14ac:dyDescent="0.2"/>
    <row r="7581" customFormat="1" x14ac:dyDescent="0.2"/>
    <row r="7582" customFormat="1" x14ac:dyDescent="0.2"/>
    <row r="7583" customFormat="1" x14ac:dyDescent="0.2"/>
    <row r="7584" customFormat="1" x14ac:dyDescent="0.2"/>
    <row r="7585" customFormat="1" x14ac:dyDescent="0.2"/>
    <row r="7586" customFormat="1" x14ac:dyDescent="0.2"/>
    <row r="7587" customFormat="1" x14ac:dyDescent="0.2"/>
    <row r="7588" customFormat="1" x14ac:dyDescent="0.2"/>
    <row r="7589" customFormat="1" x14ac:dyDescent="0.2"/>
    <row r="7590" customFormat="1" x14ac:dyDescent="0.2"/>
    <row r="7591" customFormat="1" x14ac:dyDescent="0.2"/>
    <row r="7592" customFormat="1" x14ac:dyDescent="0.2"/>
    <row r="7593" customFormat="1" x14ac:dyDescent="0.2"/>
    <row r="7594" customFormat="1" x14ac:dyDescent="0.2"/>
    <row r="7595" customFormat="1" x14ac:dyDescent="0.2"/>
    <row r="7596" customFormat="1" x14ac:dyDescent="0.2"/>
    <row r="7597" customFormat="1" x14ac:dyDescent="0.2"/>
    <row r="7598" customFormat="1" x14ac:dyDescent="0.2"/>
    <row r="7599" customFormat="1" x14ac:dyDescent="0.2"/>
    <row r="7600" customFormat="1" x14ac:dyDescent="0.2"/>
    <row r="7601" customFormat="1" x14ac:dyDescent="0.2"/>
    <row r="7602" customFormat="1" x14ac:dyDescent="0.2"/>
    <row r="7603" customFormat="1" x14ac:dyDescent="0.2"/>
    <row r="7604" customFormat="1" x14ac:dyDescent="0.2"/>
    <row r="7605" customFormat="1" x14ac:dyDescent="0.2"/>
    <row r="7606" customFormat="1" x14ac:dyDescent="0.2"/>
    <row r="7607" customFormat="1" x14ac:dyDescent="0.2"/>
    <row r="7608" customFormat="1" x14ac:dyDescent="0.2"/>
    <row r="7609" customFormat="1" x14ac:dyDescent="0.2"/>
    <row r="7610" customFormat="1" x14ac:dyDescent="0.2"/>
    <row r="7611" customFormat="1" x14ac:dyDescent="0.2"/>
    <row r="7612" customFormat="1" x14ac:dyDescent="0.2"/>
    <row r="7613" customFormat="1" x14ac:dyDescent="0.2"/>
    <row r="7614" customFormat="1" x14ac:dyDescent="0.2"/>
    <row r="7615" customFormat="1" x14ac:dyDescent="0.2"/>
    <row r="7616" customFormat="1" x14ac:dyDescent="0.2"/>
    <row r="7617" customFormat="1" x14ac:dyDescent="0.2"/>
    <row r="7618" customFormat="1" x14ac:dyDescent="0.2"/>
    <row r="7619" customFormat="1" x14ac:dyDescent="0.2"/>
    <row r="7620" customFormat="1" x14ac:dyDescent="0.2"/>
    <row r="7621" customFormat="1" x14ac:dyDescent="0.2"/>
    <row r="7622" customFormat="1" x14ac:dyDescent="0.2"/>
    <row r="7623" customFormat="1" x14ac:dyDescent="0.2"/>
    <row r="7624" customFormat="1" x14ac:dyDescent="0.2"/>
    <row r="7625" customFormat="1" x14ac:dyDescent="0.2"/>
    <row r="7626" customFormat="1" x14ac:dyDescent="0.2"/>
    <row r="7627" customFormat="1" x14ac:dyDescent="0.2"/>
    <row r="7628" customFormat="1" x14ac:dyDescent="0.2"/>
    <row r="7629" customFormat="1" x14ac:dyDescent="0.2"/>
    <row r="7630" customFormat="1" x14ac:dyDescent="0.2"/>
    <row r="7631" customFormat="1" x14ac:dyDescent="0.2"/>
    <row r="7632" customFormat="1" x14ac:dyDescent="0.2"/>
    <row r="7633" customFormat="1" x14ac:dyDescent="0.2"/>
    <row r="7634" customFormat="1" x14ac:dyDescent="0.2"/>
    <row r="7635" customFormat="1" x14ac:dyDescent="0.2"/>
    <row r="7636" customFormat="1" x14ac:dyDescent="0.2"/>
    <row r="7637" customFormat="1" x14ac:dyDescent="0.2"/>
    <row r="7638" customFormat="1" x14ac:dyDescent="0.2"/>
    <row r="7639" customFormat="1" x14ac:dyDescent="0.2"/>
    <row r="7640" customFormat="1" x14ac:dyDescent="0.2"/>
    <row r="7641" customFormat="1" x14ac:dyDescent="0.2"/>
    <row r="7642" customFormat="1" x14ac:dyDescent="0.2"/>
    <row r="7643" customFormat="1" x14ac:dyDescent="0.2"/>
    <row r="7644" customFormat="1" x14ac:dyDescent="0.2"/>
    <row r="7645" customFormat="1" x14ac:dyDescent="0.2"/>
    <row r="7646" customFormat="1" x14ac:dyDescent="0.2"/>
    <row r="7647" customFormat="1" x14ac:dyDescent="0.2"/>
    <row r="7648" customFormat="1" x14ac:dyDescent="0.2"/>
    <row r="7649" customFormat="1" x14ac:dyDescent="0.2"/>
    <row r="7650" customFormat="1" x14ac:dyDescent="0.2"/>
    <row r="7651" customFormat="1" x14ac:dyDescent="0.2"/>
    <row r="7652" customFormat="1" x14ac:dyDescent="0.2"/>
    <row r="7653" customFormat="1" x14ac:dyDescent="0.2"/>
    <row r="7654" customFormat="1" x14ac:dyDescent="0.2"/>
    <row r="7655" customFormat="1" x14ac:dyDescent="0.2"/>
    <row r="7656" customFormat="1" x14ac:dyDescent="0.2"/>
    <row r="7657" customFormat="1" x14ac:dyDescent="0.2"/>
    <row r="7658" customFormat="1" x14ac:dyDescent="0.2"/>
    <row r="7659" customFormat="1" x14ac:dyDescent="0.2"/>
    <row r="7660" customFormat="1" x14ac:dyDescent="0.2"/>
    <row r="7661" customFormat="1" x14ac:dyDescent="0.2"/>
    <row r="7662" customFormat="1" x14ac:dyDescent="0.2"/>
    <row r="7663" customFormat="1" x14ac:dyDescent="0.2"/>
    <row r="7664" customFormat="1" x14ac:dyDescent="0.2"/>
    <row r="7665" customFormat="1" x14ac:dyDescent="0.2"/>
    <row r="7666" customFormat="1" x14ac:dyDescent="0.2"/>
    <row r="7667" customFormat="1" x14ac:dyDescent="0.2"/>
    <row r="7668" customFormat="1" x14ac:dyDescent="0.2"/>
    <row r="7669" customFormat="1" x14ac:dyDescent="0.2"/>
    <row r="7670" customFormat="1" x14ac:dyDescent="0.2"/>
    <row r="7671" customFormat="1" x14ac:dyDescent="0.2"/>
    <row r="7672" customFormat="1" x14ac:dyDescent="0.2"/>
    <row r="7673" customFormat="1" x14ac:dyDescent="0.2"/>
    <row r="7674" customFormat="1" x14ac:dyDescent="0.2"/>
    <row r="7675" customFormat="1" x14ac:dyDescent="0.2"/>
    <row r="7676" customFormat="1" x14ac:dyDescent="0.2"/>
    <row r="7677" customFormat="1" x14ac:dyDescent="0.2"/>
    <row r="7678" customFormat="1" x14ac:dyDescent="0.2"/>
    <row r="7679" customFormat="1" x14ac:dyDescent="0.2"/>
    <row r="7680" customFormat="1" x14ac:dyDescent="0.2"/>
    <row r="7681" customFormat="1" x14ac:dyDescent="0.2"/>
    <row r="7682" customFormat="1" x14ac:dyDescent="0.2"/>
    <row r="7683" customFormat="1" x14ac:dyDescent="0.2"/>
    <row r="7684" customFormat="1" x14ac:dyDescent="0.2"/>
    <row r="7685" customFormat="1" x14ac:dyDescent="0.2"/>
    <row r="7686" customFormat="1" x14ac:dyDescent="0.2"/>
    <row r="7687" customFormat="1" x14ac:dyDescent="0.2"/>
    <row r="7688" customFormat="1" x14ac:dyDescent="0.2"/>
    <row r="7689" customFormat="1" x14ac:dyDescent="0.2"/>
    <row r="7690" customFormat="1" x14ac:dyDescent="0.2"/>
    <row r="7691" customFormat="1" x14ac:dyDescent="0.2"/>
    <row r="7692" customFormat="1" x14ac:dyDescent="0.2"/>
    <row r="7693" customFormat="1" x14ac:dyDescent="0.2"/>
    <row r="7694" customFormat="1" x14ac:dyDescent="0.2"/>
    <row r="7695" customFormat="1" x14ac:dyDescent="0.2"/>
    <row r="7696" customFormat="1" x14ac:dyDescent="0.2"/>
    <row r="7697" customFormat="1" x14ac:dyDescent="0.2"/>
    <row r="7698" customFormat="1" x14ac:dyDescent="0.2"/>
    <row r="7699" customFormat="1" x14ac:dyDescent="0.2"/>
    <row r="7700" customFormat="1" x14ac:dyDescent="0.2"/>
    <row r="7701" customFormat="1" x14ac:dyDescent="0.2"/>
    <row r="7702" customFormat="1" x14ac:dyDescent="0.2"/>
    <row r="7703" customFormat="1" x14ac:dyDescent="0.2"/>
    <row r="7704" customFormat="1" x14ac:dyDescent="0.2"/>
    <row r="7705" customFormat="1" x14ac:dyDescent="0.2"/>
    <row r="7706" customFormat="1" x14ac:dyDescent="0.2"/>
    <row r="7707" customFormat="1" x14ac:dyDescent="0.2"/>
    <row r="7708" customFormat="1" x14ac:dyDescent="0.2"/>
    <row r="7709" customFormat="1" x14ac:dyDescent="0.2"/>
    <row r="7710" customFormat="1" x14ac:dyDescent="0.2"/>
    <row r="7711" customFormat="1" x14ac:dyDescent="0.2"/>
    <row r="7712" customFormat="1" x14ac:dyDescent="0.2"/>
    <row r="7713" customFormat="1" x14ac:dyDescent="0.2"/>
    <row r="7714" customFormat="1" x14ac:dyDescent="0.2"/>
    <row r="7715" customFormat="1" x14ac:dyDescent="0.2"/>
    <row r="7716" customFormat="1" x14ac:dyDescent="0.2"/>
    <row r="7717" customFormat="1" x14ac:dyDescent="0.2"/>
    <row r="7718" customFormat="1" x14ac:dyDescent="0.2"/>
    <row r="7719" customFormat="1" x14ac:dyDescent="0.2"/>
    <row r="7720" customFormat="1" x14ac:dyDescent="0.2"/>
    <row r="7721" customFormat="1" x14ac:dyDescent="0.2"/>
    <row r="7722" customFormat="1" x14ac:dyDescent="0.2"/>
    <row r="7723" customFormat="1" x14ac:dyDescent="0.2"/>
    <row r="7724" customFormat="1" x14ac:dyDescent="0.2"/>
    <row r="7725" customFormat="1" x14ac:dyDescent="0.2"/>
    <row r="7726" customFormat="1" x14ac:dyDescent="0.2"/>
    <row r="7727" customFormat="1" x14ac:dyDescent="0.2"/>
    <row r="7728" customFormat="1" x14ac:dyDescent="0.2"/>
    <row r="7729" customFormat="1" x14ac:dyDescent="0.2"/>
    <row r="7730" customFormat="1" x14ac:dyDescent="0.2"/>
    <row r="7731" customFormat="1" x14ac:dyDescent="0.2"/>
    <row r="7732" customFormat="1" x14ac:dyDescent="0.2"/>
    <row r="7733" customFormat="1" x14ac:dyDescent="0.2"/>
    <row r="7734" customFormat="1" x14ac:dyDescent="0.2"/>
    <row r="7735" customFormat="1" x14ac:dyDescent="0.2"/>
    <row r="7736" customFormat="1" x14ac:dyDescent="0.2"/>
    <row r="7737" customFormat="1" x14ac:dyDescent="0.2"/>
    <row r="7738" customFormat="1" x14ac:dyDescent="0.2"/>
    <row r="7739" customFormat="1" x14ac:dyDescent="0.2"/>
    <row r="7740" customFormat="1" x14ac:dyDescent="0.2"/>
    <row r="7741" customFormat="1" x14ac:dyDescent="0.2"/>
    <row r="7742" customFormat="1" x14ac:dyDescent="0.2"/>
    <row r="7743" customFormat="1" x14ac:dyDescent="0.2"/>
    <row r="7744" customFormat="1" x14ac:dyDescent="0.2"/>
    <row r="7745" customFormat="1" x14ac:dyDescent="0.2"/>
    <row r="7746" customFormat="1" x14ac:dyDescent="0.2"/>
    <row r="7747" customFormat="1" x14ac:dyDescent="0.2"/>
    <row r="7748" customFormat="1" x14ac:dyDescent="0.2"/>
    <row r="7749" customFormat="1" x14ac:dyDescent="0.2"/>
    <row r="7750" customFormat="1" x14ac:dyDescent="0.2"/>
    <row r="7751" customFormat="1" x14ac:dyDescent="0.2"/>
    <row r="7752" customFormat="1" x14ac:dyDescent="0.2"/>
    <row r="7753" customFormat="1" x14ac:dyDescent="0.2"/>
    <row r="7754" customFormat="1" x14ac:dyDescent="0.2"/>
    <row r="7755" customFormat="1" x14ac:dyDescent="0.2"/>
    <row r="7756" customFormat="1" x14ac:dyDescent="0.2"/>
    <row r="7757" customFormat="1" x14ac:dyDescent="0.2"/>
    <row r="7758" customFormat="1" x14ac:dyDescent="0.2"/>
    <row r="7759" customFormat="1" x14ac:dyDescent="0.2"/>
    <row r="7760" customFormat="1" x14ac:dyDescent="0.2"/>
    <row r="7761" customFormat="1" x14ac:dyDescent="0.2"/>
    <row r="7762" customFormat="1" x14ac:dyDescent="0.2"/>
    <row r="7763" customFormat="1" x14ac:dyDescent="0.2"/>
    <row r="7764" customFormat="1" x14ac:dyDescent="0.2"/>
    <row r="7765" customFormat="1" x14ac:dyDescent="0.2"/>
    <row r="7766" customFormat="1" x14ac:dyDescent="0.2"/>
    <row r="7767" customFormat="1" x14ac:dyDescent="0.2"/>
    <row r="7768" customFormat="1" x14ac:dyDescent="0.2"/>
    <row r="7769" customFormat="1" x14ac:dyDescent="0.2"/>
    <row r="7770" customFormat="1" x14ac:dyDescent="0.2"/>
    <row r="7771" customFormat="1" x14ac:dyDescent="0.2"/>
    <row r="7772" customFormat="1" x14ac:dyDescent="0.2"/>
    <row r="7773" customFormat="1" x14ac:dyDescent="0.2"/>
    <row r="7774" customFormat="1" x14ac:dyDescent="0.2"/>
    <row r="7775" customFormat="1" x14ac:dyDescent="0.2"/>
    <row r="7776" customFormat="1" x14ac:dyDescent="0.2"/>
    <row r="7777" customFormat="1" x14ac:dyDescent="0.2"/>
    <row r="7778" customFormat="1" x14ac:dyDescent="0.2"/>
    <row r="7779" customFormat="1" x14ac:dyDescent="0.2"/>
    <row r="7780" customFormat="1" x14ac:dyDescent="0.2"/>
    <row r="7781" customFormat="1" x14ac:dyDescent="0.2"/>
    <row r="7782" customFormat="1" x14ac:dyDescent="0.2"/>
    <row r="7783" customFormat="1" x14ac:dyDescent="0.2"/>
    <row r="7784" customFormat="1" x14ac:dyDescent="0.2"/>
    <row r="7785" customFormat="1" x14ac:dyDescent="0.2"/>
    <row r="7786" customFormat="1" x14ac:dyDescent="0.2"/>
    <row r="7787" customFormat="1" x14ac:dyDescent="0.2"/>
    <row r="7788" customFormat="1" x14ac:dyDescent="0.2"/>
    <row r="7789" customFormat="1" x14ac:dyDescent="0.2"/>
    <row r="7790" customFormat="1" x14ac:dyDescent="0.2"/>
    <row r="7791" customFormat="1" x14ac:dyDescent="0.2"/>
    <row r="7792" customFormat="1" x14ac:dyDescent="0.2"/>
    <row r="7793" customFormat="1" x14ac:dyDescent="0.2"/>
    <row r="7794" customFormat="1" x14ac:dyDescent="0.2"/>
    <row r="7795" customFormat="1" x14ac:dyDescent="0.2"/>
    <row r="7796" customFormat="1" x14ac:dyDescent="0.2"/>
    <row r="7797" customFormat="1" x14ac:dyDescent="0.2"/>
    <row r="7798" customFormat="1" x14ac:dyDescent="0.2"/>
    <row r="7799" customFormat="1" x14ac:dyDescent="0.2"/>
    <row r="7800" customFormat="1" x14ac:dyDescent="0.2"/>
    <row r="7801" customFormat="1" x14ac:dyDescent="0.2"/>
    <row r="7802" customFormat="1" x14ac:dyDescent="0.2"/>
    <row r="7803" customFormat="1" x14ac:dyDescent="0.2"/>
    <row r="7804" customFormat="1" x14ac:dyDescent="0.2"/>
    <row r="7805" customFormat="1" x14ac:dyDescent="0.2"/>
    <row r="7806" customFormat="1" x14ac:dyDescent="0.2"/>
    <row r="7807" customFormat="1" x14ac:dyDescent="0.2"/>
    <row r="7808" customFormat="1" x14ac:dyDescent="0.2"/>
    <row r="7809" customFormat="1" x14ac:dyDescent="0.2"/>
    <row r="7810" customFormat="1" x14ac:dyDescent="0.2"/>
    <row r="7811" customFormat="1" x14ac:dyDescent="0.2"/>
    <row r="7812" customFormat="1" x14ac:dyDescent="0.2"/>
    <row r="7813" customFormat="1" x14ac:dyDescent="0.2"/>
    <row r="7814" customFormat="1" x14ac:dyDescent="0.2"/>
    <row r="7815" customFormat="1" x14ac:dyDescent="0.2"/>
    <row r="7816" customFormat="1" x14ac:dyDescent="0.2"/>
    <row r="7817" customFormat="1" x14ac:dyDescent="0.2"/>
    <row r="7818" customFormat="1" x14ac:dyDescent="0.2"/>
    <row r="7819" customFormat="1" x14ac:dyDescent="0.2"/>
    <row r="7820" customFormat="1" x14ac:dyDescent="0.2"/>
    <row r="7821" customFormat="1" x14ac:dyDescent="0.2"/>
    <row r="7822" customFormat="1" x14ac:dyDescent="0.2"/>
    <row r="7823" customFormat="1" x14ac:dyDescent="0.2"/>
    <row r="7824" customFormat="1" x14ac:dyDescent="0.2"/>
    <row r="7825" customFormat="1" x14ac:dyDescent="0.2"/>
    <row r="7826" customFormat="1" x14ac:dyDescent="0.2"/>
    <row r="7827" customFormat="1" x14ac:dyDescent="0.2"/>
    <row r="7828" customFormat="1" x14ac:dyDescent="0.2"/>
    <row r="7829" customFormat="1" x14ac:dyDescent="0.2"/>
    <row r="7830" customFormat="1" x14ac:dyDescent="0.2"/>
    <row r="7831" customFormat="1" x14ac:dyDescent="0.2"/>
    <row r="7832" customFormat="1" x14ac:dyDescent="0.2"/>
    <row r="7833" customFormat="1" x14ac:dyDescent="0.2"/>
    <row r="7834" customFormat="1" x14ac:dyDescent="0.2"/>
    <row r="7835" customFormat="1" x14ac:dyDescent="0.2"/>
    <row r="7836" customFormat="1" x14ac:dyDescent="0.2"/>
    <row r="7837" customFormat="1" x14ac:dyDescent="0.2"/>
    <row r="7838" customFormat="1" x14ac:dyDescent="0.2"/>
    <row r="7839" customFormat="1" x14ac:dyDescent="0.2"/>
    <row r="7840" customFormat="1" x14ac:dyDescent="0.2"/>
    <row r="7841" customFormat="1" x14ac:dyDescent="0.2"/>
    <row r="7842" customFormat="1" x14ac:dyDescent="0.2"/>
    <row r="7843" customFormat="1" x14ac:dyDescent="0.2"/>
    <row r="7844" customFormat="1" x14ac:dyDescent="0.2"/>
    <row r="7845" customFormat="1" x14ac:dyDescent="0.2"/>
    <row r="7846" customFormat="1" x14ac:dyDescent="0.2"/>
    <row r="7847" customFormat="1" x14ac:dyDescent="0.2"/>
    <row r="7848" customFormat="1" x14ac:dyDescent="0.2"/>
    <row r="7849" customFormat="1" x14ac:dyDescent="0.2"/>
    <row r="7850" customFormat="1" x14ac:dyDescent="0.2"/>
    <row r="7851" customFormat="1" x14ac:dyDescent="0.2"/>
    <row r="7852" customFormat="1" x14ac:dyDescent="0.2"/>
    <row r="7853" customFormat="1" x14ac:dyDescent="0.2"/>
    <row r="7854" customFormat="1" x14ac:dyDescent="0.2"/>
    <row r="7855" customFormat="1" x14ac:dyDescent="0.2"/>
    <row r="7856" customFormat="1" x14ac:dyDescent="0.2"/>
    <row r="7857" customFormat="1" x14ac:dyDescent="0.2"/>
    <row r="7858" customFormat="1" x14ac:dyDescent="0.2"/>
    <row r="7859" customFormat="1" x14ac:dyDescent="0.2"/>
    <row r="7860" customFormat="1" x14ac:dyDescent="0.2"/>
    <row r="7861" customFormat="1" x14ac:dyDescent="0.2"/>
    <row r="7862" customFormat="1" x14ac:dyDescent="0.2"/>
    <row r="7863" customFormat="1" x14ac:dyDescent="0.2"/>
    <row r="7864" customFormat="1" x14ac:dyDescent="0.2"/>
    <row r="7865" customFormat="1" x14ac:dyDescent="0.2"/>
    <row r="7866" customFormat="1" x14ac:dyDescent="0.2"/>
    <row r="7867" customFormat="1" x14ac:dyDescent="0.2"/>
    <row r="7868" customFormat="1" x14ac:dyDescent="0.2"/>
    <row r="7869" customFormat="1" x14ac:dyDescent="0.2"/>
    <row r="7870" customFormat="1" x14ac:dyDescent="0.2"/>
    <row r="7871" customFormat="1" x14ac:dyDescent="0.2"/>
    <row r="7872" customFormat="1" x14ac:dyDescent="0.2"/>
    <row r="7873" customFormat="1" x14ac:dyDescent="0.2"/>
    <row r="7874" customFormat="1" x14ac:dyDescent="0.2"/>
    <row r="7875" customFormat="1" x14ac:dyDescent="0.2"/>
    <row r="7876" customFormat="1" x14ac:dyDescent="0.2"/>
    <row r="7877" customFormat="1" x14ac:dyDescent="0.2"/>
    <row r="7878" customFormat="1" x14ac:dyDescent="0.2"/>
    <row r="7879" customFormat="1" x14ac:dyDescent="0.2"/>
    <row r="7880" customFormat="1" x14ac:dyDescent="0.2"/>
    <row r="7881" customFormat="1" x14ac:dyDescent="0.2"/>
    <row r="7882" customFormat="1" x14ac:dyDescent="0.2"/>
    <row r="7883" customFormat="1" x14ac:dyDescent="0.2"/>
    <row r="7884" customFormat="1" x14ac:dyDescent="0.2"/>
    <row r="7885" customFormat="1" x14ac:dyDescent="0.2"/>
    <row r="7886" customFormat="1" x14ac:dyDescent="0.2"/>
    <row r="7887" customFormat="1" x14ac:dyDescent="0.2"/>
    <row r="7888" customFormat="1" x14ac:dyDescent="0.2"/>
    <row r="7889" customFormat="1" x14ac:dyDescent="0.2"/>
    <row r="7890" customFormat="1" x14ac:dyDescent="0.2"/>
    <row r="7891" customFormat="1" x14ac:dyDescent="0.2"/>
    <row r="7892" customFormat="1" x14ac:dyDescent="0.2"/>
    <row r="7893" customFormat="1" x14ac:dyDescent="0.2"/>
    <row r="7894" customFormat="1" x14ac:dyDescent="0.2"/>
    <row r="7895" customFormat="1" x14ac:dyDescent="0.2"/>
    <row r="7896" customFormat="1" x14ac:dyDescent="0.2"/>
    <row r="7897" customFormat="1" x14ac:dyDescent="0.2"/>
    <row r="7898" customFormat="1" x14ac:dyDescent="0.2"/>
    <row r="7899" customFormat="1" x14ac:dyDescent="0.2"/>
    <row r="7900" customFormat="1" x14ac:dyDescent="0.2"/>
    <row r="7901" customFormat="1" x14ac:dyDescent="0.2"/>
    <row r="7902" customFormat="1" x14ac:dyDescent="0.2"/>
    <row r="7903" customFormat="1" x14ac:dyDescent="0.2"/>
    <row r="7904" customFormat="1" x14ac:dyDescent="0.2"/>
    <row r="7905" customFormat="1" x14ac:dyDescent="0.2"/>
    <row r="7906" customFormat="1" x14ac:dyDescent="0.2"/>
    <row r="7907" customFormat="1" x14ac:dyDescent="0.2"/>
    <row r="7908" customFormat="1" x14ac:dyDescent="0.2"/>
    <row r="7909" customFormat="1" x14ac:dyDescent="0.2"/>
    <row r="7910" customFormat="1" x14ac:dyDescent="0.2"/>
    <row r="7911" customFormat="1" x14ac:dyDescent="0.2"/>
    <row r="7912" customFormat="1" x14ac:dyDescent="0.2"/>
    <row r="7913" customFormat="1" x14ac:dyDescent="0.2"/>
    <row r="7914" customFormat="1" x14ac:dyDescent="0.2"/>
    <row r="7915" customFormat="1" x14ac:dyDescent="0.2"/>
    <row r="7916" customFormat="1" x14ac:dyDescent="0.2"/>
    <row r="7917" customFormat="1" x14ac:dyDescent="0.2"/>
    <row r="7918" customFormat="1" x14ac:dyDescent="0.2"/>
    <row r="7919" customFormat="1" x14ac:dyDescent="0.2"/>
    <row r="7920" customFormat="1" x14ac:dyDescent="0.2"/>
    <row r="7921" customFormat="1" x14ac:dyDescent="0.2"/>
    <row r="7922" customFormat="1" x14ac:dyDescent="0.2"/>
    <row r="7923" customFormat="1" x14ac:dyDescent="0.2"/>
    <row r="7924" customFormat="1" x14ac:dyDescent="0.2"/>
    <row r="7925" customFormat="1" x14ac:dyDescent="0.2"/>
    <row r="7926" customFormat="1" x14ac:dyDescent="0.2"/>
    <row r="7927" customFormat="1" x14ac:dyDescent="0.2"/>
    <row r="7928" customFormat="1" x14ac:dyDescent="0.2"/>
    <row r="7929" customFormat="1" x14ac:dyDescent="0.2"/>
    <row r="7930" customFormat="1" x14ac:dyDescent="0.2"/>
    <row r="7931" customFormat="1" x14ac:dyDescent="0.2"/>
    <row r="7932" customFormat="1" x14ac:dyDescent="0.2"/>
    <row r="7933" customFormat="1" x14ac:dyDescent="0.2"/>
    <row r="7934" customFormat="1" x14ac:dyDescent="0.2"/>
    <row r="7935" customFormat="1" x14ac:dyDescent="0.2"/>
    <row r="7936" customFormat="1" x14ac:dyDescent="0.2"/>
    <row r="7937" customFormat="1" x14ac:dyDescent="0.2"/>
    <row r="7938" customFormat="1" x14ac:dyDescent="0.2"/>
    <row r="7939" customFormat="1" x14ac:dyDescent="0.2"/>
    <row r="7940" customFormat="1" x14ac:dyDescent="0.2"/>
    <row r="7941" customFormat="1" x14ac:dyDescent="0.2"/>
    <row r="7942" customFormat="1" x14ac:dyDescent="0.2"/>
    <row r="7943" customFormat="1" x14ac:dyDescent="0.2"/>
    <row r="7944" customFormat="1" x14ac:dyDescent="0.2"/>
    <row r="7945" customFormat="1" x14ac:dyDescent="0.2"/>
    <row r="7946" customFormat="1" x14ac:dyDescent="0.2"/>
    <row r="7947" customFormat="1" x14ac:dyDescent="0.2"/>
    <row r="7948" customFormat="1" x14ac:dyDescent="0.2"/>
    <row r="7949" customFormat="1" x14ac:dyDescent="0.2"/>
    <row r="7950" customFormat="1" x14ac:dyDescent="0.2"/>
    <row r="7951" customFormat="1" x14ac:dyDescent="0.2"/>
    <row r="7952" customFormat="1" x14ac:dyDescent="0.2"/>
    <row r="7953" customFormat="1" x14ac:dyDescent="0.2"/>
    <row r="7954" customFormat="1" x14ac:dyDescent="0.2"/>
    <row r="7955" customFormat="1" x14ac:dyDescent="0.2"/>
    <row r="7956" customFormat="1" x14ac:dyDescent="0.2"/>
    <row r="7957" customFormat="1" x14ac:dyDescent="0.2"/>
    <row r="7958" customFormat="1" x14ac:dyDescent="0.2"/>
    <row r="7959" customFormat="1" x14ac:dyDescent="0.2"/>
    <row r="7960" customFormat="1" x14ac:dyDescent="0.2"/>
    <row r="7961" customFormat="1" x14ac:dyDescent="0.2"/>
    <row r="7962" customFormat="1" x14ac:dyDescent="0.2"/>
    <row r="7963" customFormat="1" x14ac:dyDescent="0.2"/>
    <row r="7964" customFormat="1" x14ac:dyDescent="0.2"/>
    <row r="7965" customFormat="1" x14ac:dyDescent="0.2"/>
    <row r="7966" customFormat="1" x14ac:dyDescent="0.2"/>
    <row r="7967" customFormat="1" x14ac:dyDescent="0.2"/>
    <row r="7968" customFormat="1" x14ac:dyDescent="0.2"/>
    <row r="7969" customFormat="1" x14ac:dyDescent="0.2"/>
    <row r="7970" customFormat="1" x14ac:dyDescent="0.2"/>
    <row r="7971" customFormat="1" x14ac:dyDescent="0.2"/>
    <row r="7972" customFormat="1" x14ac:dyDescent="0.2"/>
    <row r="7973" customFormat="1" x14ac:dyDescent="0.2"/>
    <row r="7974" customFormat="1" x14ac:dyDescent="0.2"/>
    <row r="7975" customFormat="1" x14ac:dyDescent="0.2"/>
    <row r="7976" customFormat="1" x14ac:dyDescent="0.2"/>
    <row r="7977" customFormat="1" x14ac:dyDescent="0.2"/>
    <row r="7978" customFormat="1" x14ac:dyDescent="0.2"/>
    <row r="7979" customFormat="1" x14ac:dyDescent="0.2"/>
    <row r="7980" customFormat="1" x14ac:dyDescent="0.2"/>
    <row r="7981" customFormat="1" x14ac:dyDescent="0.2"/>
    <row r="7982" customFormat="1" x14ac:dyDescent="0.2"/>
    <row r="7983" customFormat="1" x14ac:dyDescent="0.2"/>
    <row r="7984" customFormat="1" x14ac:dyDescent="0.2"/>
    <row r="7985" customFormat="1" x14ac:dyDescent="0.2"/>
    <row r="7986" customFormat="1" x14ac:dyDescent="0.2"/>
    <row r="7987" customFormat="1" x14ac:dyDescent="0.2"/>
    <row r="7988" customFormat="1" x14ac:dyDescent="0.2"/>
    <row r="7989" customFormat="1" x14ac:dyDescent="0.2"/>
    <row r="7990" customFormat="1" x14ac:dyDescent="0.2"/>
    <row r="7991" customFormat="1" x14ac:dyDescent="0.2"/>
    <row r="7992" customFormat="1" x14ac:dyDescent="0.2"/>
    <row r="7993" customFormat="1" x14ac:dyDescent="0.2"/>
    <row r="7994" customFormat="1" x14ac:dyDescent="0.2"/>
    <row r="7995" customFormat="1" x14ac:dyDescent="0.2"/>
    <row r="7996" customFormat="1" x14ac:dyDescent="0.2"/>
    <row r="7997" customFormat="1" x14ac:dyDescent="0.2"/>
    <row r="7998" customFormat="1" x14ac:dyDescent="0.2"/>
    <row r="7999" customFormat="1" x14ac:dyDescent="0.2"/>
    <row r="8000" customFormat="1" x14ac:dyDescent="0.2"/>
    <row r="8001" customFormat="1" x14ac:dyDescent="0.2"/>
    <row r="8002" customFormat="1" x14ac:dyDescent="0.2"/>
    <row r="8003" customFormat="1" x14ac:dyDescent="0.2"/>
    <row r="8004" customFormat="1" x14ac:dyDescent="0.2"/>
    <row r="8005" customFormat="1" x14ac:dyDescent="0.2"/>
    <row r="8006" customFormat="1" x14ac:dyDescent="0.2"/>
    <row r="8007" customFormat="1" x14ac:dyDescent="0.2"/>
    <row r="8008" customFormat="1" x14ac:dyDescent="0.2"/>
    <row r="8009" customFormat="1" x14ac:dyDescent="0.2"/>
    <row r="8010" customFormat="1" x14ac:dyDescent="0.2"/>
    <row r="8011" customFormat="1" x14ac:dyDescent="0.2"/>
    <row r="8012" customFormat="1" x14ac:dyDescent="0.2"/>
    <row r="8013" customFormat="1" x14ac:dyDescent="0.2"/>
    <row r="8014" customFormat="1" x14ac:dyDescent="0.2"/>
    <row r="8015" customFormat="1" x14ac:dyDescent="0.2"/>
    <row r="8016" customFormat="1" x14ac:dyDescent="0.2"/>
    <row r="8017" customFormat="1" x14ac:dyDescent="0.2"/>
    <row r="8018" customFormat="1" x14ac:dyDescent="0.2"/>
    <row r="8019" customFormat="1" x14ac:dyDescent="0.2"/>
    <row r="8020" customFormat="1" x14ac:dyDescent="0.2"/>
    <row r="8021" customFormat="1" x14ac:dyDescent="0.2"/>
    <row r="8022" customFormat="1" x14ac:dyDescent="0.2"/>
    <row r="8023" customFormat="1" x14ac:dyDescent="0.2"/>
    <row r="8024" customFormat="1" x14ac:dyDescent="0.2"/>
    <row r="8025" customFormat="1" x14ac:dyDescent="0.2"/>
    <row r="8026" customFormat="1" x14ac:dyDescent="0.2"/>
    <row r="8027" customFormat="1" x14ac:dyDescent="0.2"/>
    <row r="8028" customFormat="1" x14ac:dyDescent="0.2"/>
    <row r="8029" customFormat="1" x14ac:dyDescent="0.2"/>
    <row r="8030" customFormat="1" x14ac:dyDescent="0.2"/>
    <row r="8031" customFormat="1" x14ac:dyDescent="0.2"/>
    <row r="8032" customFormat="1" x14ac:dyDescent="0.2"/>
    <row r="8033" customFormat="1" x14ac:dyDescent="0.2"/>
    <row r="8034" customFormat="1" x14ac:dyDescent="0.2"/>
    <row r="8035" customFormat="1" x14ac:dyDescent="0.2"/>
    <row r="8036" customFormat="1" x14ac:dyDescent="0.2"/>
    <row r="8037" customFormat="1" x14ac:dyDescent="0.2"/>
    <row r="8038" customFormat="1" x14ac:dyDescent="0.2"/>
    <row r="8039" customFormat="1" x14ac:dyDescent="0.2"/>
    <row r="8040" customFormat="1" x14ac:dyDescent="0.2"/>
    <row r="8041" customFormat="1" x14ac:dyDescent="0.2"/>
    <row r="8042" customFormat="1" x14ac:dyDescent="0.2"/>
    <row r="8043" customFormat="1" x14ac:dyDescent="0.2"/>
    <row r="8044" customFormat="1" x14ac:dyDescent="0.2"/>
    <row r="8045" customFormat="1" x14ac:dyDescent="0.2"/>
    <row r="8046" customFormat="1" x14ac:dyDescent="0.2"/>
    <row r="8047" customFormat="1" x14ac:dyDescent="0.2"/>
    <row r="8048" customFormat="1" x14ac:dyDescent="0.2"/>
    <row r="8049" customFormat="1" x14ac:dyDescent="0.2"/>
    <row r="8050" customFormat="1" x14ac:dyDescent="0.2"/>
    <row r="8051" customFormat="1" x14ac:dyDescent="0.2"/>
    <row r="8052" customFormat="1" x14ac:dyDescent="0.2"/>
    <row r="8053" customFormat="1" x14ac:dyDescent="0.2"/>
    <row r="8054" customFormat="1" x14ac:dyDescent="0.2"/>
    <row r="8055" customFormat="1" x14ac:dyDescent="0.2"/>
    <row r="8056" customFormat="1" x14ac:dyDescent="0.2"/>
    <row r="8057" customFormat="1" x14ac:dyDescent="0.2"/>
    <row r="8058" customFormat="1" x14ac:dyDescent="0.2"/>
    <row r="8059" customFormat="1" x14ac:dyDescent="0.2"/>
    <row r="8060" customFormat="1" x14ac:dyDescent="0.2"/>
    <row r="8061" customFormat="1" x14ac:dyDescent="0.2"/>
    <row r="8062" customFormat="1" x14ac:dyDescent="0.2"/>
    <row r="8063" customFormat="1" x14ac:dyDescent="0.2"/>
    <row r="8064" customFormat="1" x14ac:dyDescent="0.2"/>
    <row r="8065" customFormat="1" x14ac:dyDescent="0.2"/>
    <row r="8066" customFormat="1" x14ac:dyDescent="0.2"/>
    <row r="8067" customFormat="1" x14ac:dyDescent="0.2"/>
    <row r="8068" customFormat="1" x14ac:dyDescent="0.2"/>
    <row r="8069" customFormat="1" x14ac:dyDescent="0.2"/>
    <row r="8070" customFormat="1" x14ac:dyDescent="0.2"/>
    <row r="8071" customFormat="1" x14ac:dyDescent="0.2"/>
    <row r="8072" customFormat="1" x14ac:dyDescent="0.2"/>
    <row r="8073" customFormat="1" x14ac:dyDescent="0.2"/>
    <row r="8074" customFormat="1" x14ac:dyDescent="0.2"/>
    <row r="8075" customFormat="1" x14ac:dyDescent="0.2"/>
    <row r="8076" customFormat="1" x14ac:dyDescent="0.2"/>
    <row r="8077" customFormat="1" x14ac:dyDescent="0.2"/>
    <row r="8078" customFormat="1" x14ac:dyDescent="0.2"/>
    <row r="8079" customFormat="1" x14ac:dyDescent="0.2"/>
    <row r="8080" customFormat="1" x14ac:dyDescent="0.2"/>
    <row r="8081" customFormat="1" x14ac:dyDescent="0.2"/>
    <row r="8082" customFormat="1" x14ac:dyDescent="0.2"/>
    <row r="8083" customFormat="1" x14ac:dyDescent="0.2"/>
    <row r="8084" customFormat="1" x14ac:dyDescent="0.2"/>
    <row r="8085" customFormat="1" x14ac:dyDescent="0.2"/>
    <row r="8086" customFormat="1" x14ac:dyDescent="0.2"/>
    <row r="8087" customFormat="1" x14ac:dyDescent="0.2"/>
    <row r="8088" customFormat="1" x14ac:dyDescent="0.2"/>
    <row r="8089" customFormat="1" x14ac:dyDescent="0.2"/>
    <row r="8090" customFormat="1" x14ac:dyDescent="0.2"/>
    <row r="8091" customFormat="1" x14ac:dyDescent="0.2"/>
    <row r="8092" customFormat="1" x14ac:dyDescent="0.2"/>
    <row r="8093" customFormat="1" x14ac:dyDescent="0.2"/>
    <row r="8094" customFormat="1" x14ac:dyDescent="0.2"/>
    <row r="8095" customFormat="1" x14ac:dyDescent="0.2"/>
    <row r="8096" customFormat="1" x14ac:dyDescent="0.2"/>
    <row r="8097" customFormat="1" x14ac:dyDescent="0.2"/>
    <row r="8098" customFormat="1" x14ac:dyDescent="0.2"/>
    <row r="8099" customFormat="1" x14ac:dyDescent="0.2"/>
    <row r="8100" customFormat="1" x14ac:dyDescent="0.2"/>
    <row r="8101" customFormat="1" x14ac:dyDescent="0.2"/>
    <row r="8102" customFormat="1" x14ac:dyDescent="0.2"/>
    <row r="8103" customFormat="1" x14ac:dyDescent="0.2"/>
    <row r="8104" customFormat="1" x14ac:dyDescent="0.2"/>
    <row r="8105" customFormat="1" x14ac:dyDescent="0.2"/>
    <row r="8106" customFormat="1" x14ac:dyDescent="0.2"/>
    <row r="8107" customFormat="1" x14ac:dyDescent="0.2"/>
    <row r="8108" customFormat="1" x14ac:dyDescent="0.2"/>
    <row r="8109" customFormat="1" x14ac:dyDescent="0.2"/>
    <row r="8110" customFormat="1" x14ac:dyDescent="0.2"/>
    <row r="8111" customFormat="1" x14ac:dyDescent="0.2"/>
    <row r="8112" customFormat="1" x14ac:dyDescent="0.2"/>
    <row r="8113" customFormat="1" x14ac:dyDescent="0.2"/>
    <row r="8114" customFormat="1" x14ac:dyDescent="0.2"/>
    <row r="8115" customFormat="1" x14ac:dyDescent="0.2"/>
    <row r="8116" customFormat="1" x14ac:dyDescent="0.2"/>
    <row r="8117" customFormat="1" x14ac:dyDescent="0.2"/>
    <row r="8118" customFormat="1" x14ac:dyDescent="0.2"/>
    <row r="8119" customFormat="1" x14ac:dyDescent="0.2"/>
    <row r="8120" customFormat="1" x14ac:dyDescent="0.2"/>
    <row r="8121" customFormat="1" x14ac:dyDescent="0.2"/>
    <row r="8122" customFormat="1" x14ac:dyDescent="0.2"/>
    <row r="8123" customFormat="1" x14ac:dyDescent="0.2"/>
    <row r="8124" customFormat="1" x14ac:dyDescent="0.2"/>
    <row r="8125" customFormat="1" x14ac:dyDescent="0.2"/>
    <row r="8126" customFormat="1" x14ac:dyDescent="0.2"/>
    <row r="8127" customFormat="1" x14ac:dyDescent="0.2"/>
    <row r="8128" customFormat="1" x14ac:dyDescent="0.2"/>
    <row r="8129" customFormat="1" x14ac:dyDescent="0.2"/>
    <row r="8130" customFormat="1" x14ac:dyDescent="0.2"/>
    <row r="8131" customFormat="1" x14ac:dyDescent="0.2"/>
    <row r="8132" customFormat="1" x14ac:dyDescent="0.2"/>
    <row r="8133" customFormat="1" x14ac:dyDescent="0.2"/>
    <row r="8134" customFormat="1" x14ac:dyDescent="0.2"/>
    <row r="8135" customFormat="1" x14ac:dyDescent="0.2"/>
    <row r="8136" customFormat="1" x14ac:dyDescent="0.2"/>
    <row r="8137" customFormat="1" x14ac:dyDescent="0.2"/>
    <row r="8138" customFormat="1" x14ac:dyDescent="0.2"/>
    <row r="8139" customFormat="1" x14ac:dyDescent="0.2"/>
    <row r="8140" customFormat="1" x14ac:dyDescent="0.2"/>
    <row r="8141" customFormat="1" x14ac:dyDescent="0.2"/>
    <row r="8142" customFormat="1" x14ac:dyDescent="0.2"/>
    <row r="8143" customFormat="1" x14ac:dyDescent="0.2"/>
    <row r="8144" customFormat="1" x14ac:dyDescent="0.2"/>
    <row r="8145" customFormat="1" x14ac:dyDescent="0.2"/>
    <row r="8146" customFormat="1" x14ac:dyDescent="0.2"/>
    <row r="8147" customFormat="1" x14ac:dyDescent="0.2"/>
    <row r="8148" customFormat="1" x14ac:dyDescent="0.2"/>
    <row r="8149" customFormat="1" x14ac:dyDescent="0.2"/>
    <row r="8150" customFormat="1" x14ac:dyDescent="0.2"/>
    <row r="8151" customFormat="1" x14ac:dyDescent="0.2"/>
    <row r="8152" customFormat="1" x14ac:dyDescent="0.2"/>
    <row r="8153" customFormat="1" x14ac:dyDescent="0.2"/>
    <row r="8154" customFormat="1" x14ac:dyDescent="0.2"/>
    <row r="8155" customFormat="1" x14ac:dyDescent="0.2"/>
    <row r="8156" customFormat="1" x14ac:dyDescent="0.2"/>
    <row r="8157" customFormat="1" x14ac:dyDescent="0.2"/>
    <row r="8158" customFormat="1" x14ac:dyDescent="0.2"/>
    <row r="8159" customFormat="1" x14ac:dyDescent="0.2"/>
    <row r="8160" customFormat="1" x14ac:dyDescent="0.2"/>
    <row r="8161" customFormat="1" x14ac:dyDescent="0.2"/>
    <row r="8162" customFormat="1" x14ac:dyDescent="0.2"/>
    <row r="8163" customFormat="1" x14ac:dyDescent="0.2"/>
    <row r="8164" customFormat="1" x14ac:dyDescent="0.2"/>
    <row r="8165" customFormat="1" x14ac:dyDescent="0.2"/>
    <row r="8166" customFormat="1" x14ac:dyDescent="0.2"/>
    <row r="8167" customFormat="1" x14ac:dyDescent="0.2"/>
    <row r="8168" customFormat="1" x14ac:dyDescent="0.2"/>
    <row r="8169" customFormat="1" x14ac:dyDescent="0.2"/>
    <row r="8170" customFormat="1" x14ac:dyDescent="0.2"/>
    <row r="8171" customFormat="1" x14ac:dyDescent="0.2"/>
    <row r="8172" customFormat="1" x14ac:dyDescent="0.2"/>
    <row r="8173" customFormat="1" x14ac:dyDescent="0.2"/>
    <row r="8174" customFormat="1" x14ac:dyDescent="0.2"/>
    <row r="8175" customFormat="1" x14ac:dyDescent="0.2"/>
    <row r="8176" customFormat="1" x14ac:dyDescent="0.2"/>
    <row r="8177" customFormat="1" x14ac:dyDescent="0.2"/>
    <row r="8178" customFormat="1" x14ac:dyDescent="0.2"/>
    <row r="8179" customFormat="1" x14ac:dyDescent="0.2"/>
    <row r="8180" customFormat="1" x14ac:dyDescent="0.2"/>
    <row r="8181" customFormat="1" x14ac:dyDescent="0.2"/>
    <row r="8182" customFormat="1" x14ac:dyDescent="0.2"/>
    <row r="8183" customFormat="1" x14ac:dyDescent="0.2"/>
    <row r="8184" customFormat="1" x14ac:dyDescent="0.2"/>
    <row r="8185" customFormat="1" x14ac:dyDescent="0.2"/>
    <row r="8186" customFormat="1" x14ac:dyDescent="0.2"/>
    <row r="8187" customFormat="1" x14ac:dyDescent="0.2"/>
    <row r="8188" customFormat="1" x14ac:dyDescent="0.2"/>
    <row r="8189" customFormat="1" x14ac:dyDescent="0.2"/>
    <row r="8190" customFormat="1" x14ac:dyDescent="0.2"/>
    <row r="8191" customFormat="1" x14ac:dyDescent="0.2"/>
    <row r="8192" customFormat="1" x14ac:dyDescent="0.2"/>
    <row r="8193" customFormat="1" x14ac:dyDescent="0.2"/>
    <row r="8194" customFormat="1" x14ac:dyDescent="0.2"/>
    <row r="8195" customFormat="1" x14ac:dyDescent="0.2"/>
    <row r="8196" customFormat="1" x14ac:dyDescent="0.2"/>
    <row r="8197" customFormat="1" x14ac:dyDescent="0.2"/>
    <row r="8198" customFormat="1" x14ac:dyDescent="0.2"/>
    <row r="8199" customFormat="1" x14ac:dyDescent="0.2"/>
    <row r="8200" customFormat="1" x14ac:dyDescent="0.2"/>
    <row r="8201" customFormat="1" x14ac:dyDescent="0.2"/>
    <row r="8202" customFormat="1" x14ac:dyDescent="0.2"/>
    <row r="8203" customFormat="1" x14ac:dyDescent="0.2"/>
    <row r="8204" customFormat="1" x14ac:dyDescent="0.2"/>
    <row r="8205" customFormat="1" x14ac:dyDescent="0.2"/>
    <row r="8206" customFormat="1" x14ac:dyDescent="0.2"/>
    <row r="8207" customFormat="1" x14ac:dyDescent="0.2"/>
    <row r="8208" customFormat="1" x14ac:dyDescent="0.2"/>
    <row r="8209" customFormat="1" x14ac:dyDescent="0.2"/>
    <row r="8210" customFormat="1" x14ac:dyDescent="0.2"/>
    <row r="8211" customFormat="1" x14ac:dyDescent="0.2"/>
    <row r="8212" customFormat="1" x14ac:dyDescent="0.2"/>
    <row r="8213" customFormat="1" x14ac:dyDescent="0.2"/>
    <row r="8214" customFormat="1" x14ac:dyDescent="0.2"/>
    <row r="8215" customFormat="1" x14ac:dyDescent="0.2"/>
    <row r="8216" customFormat="1" x14ac:dyDescent="0.2"/>
    <row r="8217" customFormat="1" x14ac:dyDescent="0.2"/>
    <row r="8218" customFormat="1" x14ac:dyDescent="0.2"/>
    <row r="8219" customFormat="1" x14ac:dyDescent="0.2"/>
    <row r="8220" customFormat="1" x14ac:dyDescent="0.2"/>
    <row r="8221" customFormat="1" x14ac:dyDescent="0.2"/>
    <row r="8222" customFormat="1" x14ac:dyDescent="0.2"/>
    <row r="8223" customFormat="1" x14ac:dyDescent="0.2"/>
    <row r="8224" customFormat="1" x14ac:dyDescent="0.2"/>
    <row r="8225" customFormat="1" x14ac:dyDescent="0.2"/>
    <row r="8226" customFormat="1" x14ac:dyDescent="0.2"/>
    <row r="8227" customFormat="1" x14ac:dyDescent="0.2"/>
    <row r="8228" customFormat="1" x14ac:dyDescent="0.2"/>
    <row r="8229" customFormat="1" x14ac:dyDescent="0.2"/>
    <row r="8230" customFormat="1" x14ac:dyDescent="0.2"/>
    <row r="8231" customFormat="1" x14ac:dyDescent="0.2"/>
    <row r="8232" customFormat="1" x14ac:dyDescent="0.2"/>
    <row r="8233" customFormat="1" x14ac:dyDescent="0.2"/>
    <row r="8234" customFormat="1" x14ac:dyDescent="0.2"/>
    <row r="8235" customFormat="1" x14ac:dyDescent="0.2"/>
    <row r="8236" customFormat="1" x14ac:dyDescent="0.2"/>
    <row r="8237" customFormat="1" x14ac:dyDescent="0.2"/>
    <row r="8238" customFormat="1" x14ac:dyDescent="0.2"/>
    <row r="8239" customFormat="1" x14ac:dyDescent="0.2"/>
    <row r="8240" customFormat="1" x14ac:dyDescent="0.2"/>
    <row r="8241" customFormat="1" x14ac:dyDescent="0.2"/>
    <row r="8242" customFormat="1" x14ac:dyDescent="0.2"/>
    <row r="8243" customFormat="1" x14ac:dyDescent="0.2"/>
    <row r="8244" customFormat="1" x14ac:dyDescent="0.2"/>
    <row r="8245" customFormat="1" x14ac:dyDescent="0.2"/>
    <row r="8246" customFormat="1" x14ac:dyDescent="0.2"/>
    <row r="8247" customFormat="1" x14ac:dyDescent="0.2"/>
    <row r="8248" customFormat="1" x14ac:dyDescent="0.2"/>
    <row r="8249" customFormat="1" x14ac:dyDescent="0.2"/>
    <row r="8250" customFormat="1" x14ac:dyDescent="0.2"/>
    <row r="8251" customFormat="1" x14ac:dyDescent="0.2"/>
    <row r="8252" customFormat="1" x14ac:dyDescent="0.2"/>
    <row r="8253" customFormat="1" x14ac:dyDescent="0.2"/>
    <row r="8254" customFormat="1" x14ac:dyDescent="0.2"/>
    <row r="8255" customFormat="1" x14ac:dyDescent="0.2"/>
    <row r="8256" customFormat="1" x14ac:dyDescent="0.2"/>
    <row r="8257" customFormat="1" x14ac:dyDescent="0.2"/>
    <row r="8258" customFormat="1" x14ac:dyDescent="0.2"/>
    <row r="8259" customFormat="1" x14ac:dyDescent="0.2"/>
    <row r="8260" customFormat="1" x14ac:dyDescent="0.2"/>
    <row r="8261" customFormat="1" x14ac:dyDescent="0.2"/>
    <row r="8262" customFormat="1" x14ac:dyDescent="0.2"/>
    <row r="8263" customFormat="1" x14ac:dyDescent="0.2"/>
    <row r="8264" customFormat="1" x14ac:dyDescent="0.2"/>
    <row r="8265" customFormat="1" x14ac:dyDescent="0.2"/>
    <row r="8266" customFormat="1" x14ac:dyDescent="0.2"/>
    <row r="8267" customFormat="1" x14ac:dyDescent="0.2"/>
    <row r="8268" customFormat="1" x14ac:dyDescent="0.2"/>
    <row r="8269" customFormat="1" x14ac:dyDescent="0.2"/>
    <row r="8270" customFormat="1" x14ac:dyDescent="0.2"/>
    <row r="8271" customFormat="1" x14ac:dyDescent="0.2"/>
    <row r="8272" customFormat="1" x14ac:dyDescent="0.2"/>
    <row r="8273" customFormat="1" x14ac:dyDescent="0.2"/>
    <row r="8274" customFormat="1" x14ac:dyDescent="0.2"/>
    <row r="8275" customFormat="1" x14ac:dyDescent="0.2"/>
    <row r="8276" customFormat="1" x14ac:dyDescent="0.2"/>
    <row r="8277" customFormat="1" x14ac:dyDescent="0.2"/>
    <row r="8278" customFormat="1" x14ac:dyDescent="0.2"/>
    <row r="8279" customFormat="1" x14ac:dyDescent="0.2"/>
    <row r="8280" customFormat="1" x14ac:dyDescent="0.2"/>
    <row r="8281" customFormat="1" x14ac:dyDescent="0.2"/>
    <row r="8282" customFormat="1" x14ac:dyDescent="0.2"/>
    <row r="8283" customFormat="1" x14ac:dyDescent="0.2"/>
    <row r="8284" customFormat="1" x14ac:dyDescent="0.2"/>
    <row r="8285" customFormat="1" x14ac:dyDescent="0.2"/>
    <row r="8286" customFormat="1" x14ac:dyDescent="0.2"/>
    <row r="8287" customFormat="1" x14ac:dyDescent="0.2"/>
    <row r="8288" customFormat="1" x14ac:dyDescent="0.2"/>
    <row r="8289" customFormat="1" x14ac:dyDescent="0.2"/>
    <row r="8290" customFormat="1" x14ac:dyDescent="0.2"/>
    <row r="8291" customFormat="1" x14ac:dyDescent="0.2"/>
    <row r="8292" customFormat="1" x14ac:dyDescent="0.2"/>
    <row r="8293" customFormat="1" x14ac:dyDescent="0.2"/>
    <row r="8294" customFormat="1" x14ac:dyDescent="0.2"/>
    <row r="8295" customFormat="1" x14ac:dyDescent="0.2"/>
    <row r="8296" customFormat="1" x14ac:dyDescent="0.2"/>
    <row r="8297" customFormat="1" x14ac:dyDescent="0.2"/>
    <row r="8298" customFormat="1" x14ac:dyDescent="0.2"/>
    <row r="8299" customFormat="1" x14ac:dyDescent="0.2"/>
    <row r="8300" customFormat="1" x14ac:dyDescent="0.2"/>
    <row r="8301" customFormat="1" x14ac:dyDescent="0.2"/>
    <row r="8302" customFormat="1" x14ac:dyDescent="0.2"/>
    <row r="8303" customFormat="1" x14ac:dyDescent="0.2"/>
    <row r="8304" customFormat="1" x14ac:dyDescent="0.2"/>
    <row r="8305" customFormat="1" x14ac:dyDescent="0.2"/>
    <row r="8306" customFormat="1" x14ac:dyDescent="0.2"/>
    <row r="8307" customFormat="1" x14ac:dyDescent="0.2"/>
    <row r="8308" customFormat="1" x14ac:dyDescent="0.2"/>
    <row r="8309" customFormat="1" x14ac:dyDescent="0.2"/>
    <row r="8310" customFormat="1" x14ac:dyDescent="0.2"/>
    <row r="8311" customFormat="1" x14ac:dyDescent="0.2"/>
    <row r="8312" customFormat="1" x14ac:dyDescent="0.2"/>
    <row r="8313" customFormat="1" x14ac:dyDescent="0.2"/>
    <row r="8314" customFormat="1" x14ac:dyDescent="0.2"/>
    <row r="8315" customFormat="1" x14ac:dyDescent="0.2"/>
    <row r="8316" customFormat="1" x14ac:dyDescent="0.2"/>
    <row r="8317" customFormat="1" x14ac:dyDescent="0.2"/>
    <row r="8318" customFormat="1" x14ac:dyDescent="0.2"/>
    <row r="8319" customFormat="1" x14ac:dyDescent="0.2"/>
    <row r="8320" customFormat="1" x14ac:dyDescent="0.2"/>
    <row r="8321" customFormat="1" x14ac:dyDescent="0.2"/>
    <row r="8322" customFormat="1" x14ac:dyDescent="0.2"/>
    <row r="8323" customFormat="1" x14ac:dyDescent="0.2"/>
    <row r="8324" customFormat="1" x14ac:dyDescent="0.2"/>
    <row r="8325" customFormat="1" x14ac:dyDescent="0.2"/>
    <row r="8326" customFormat="1" x14ac:dyDescent="0.2"/>
    <row r="8327" customFormat="1" x14ac:dyDescent="0.2"/>
    <row r="8328" customFormat="1" x14ac:dyDescent="0.2"/>
    <row r="8329" customFormat="1" x14ac:dyDescent="0.2"/>
    <row r="8330" customFormat="1" x14ac:dyDescent="0.2"/>
    <row r="8331" customFormat="1" x14ac:dyDescent="0.2"/>
    <row r="8332" customFormat="1" x14ac:dyDescent="0.2"/>
    <row r="8333" customFormat="1" x14ac:dyDescent="0.2"/>
    <row r="8334" customFormat="1" x14ac:dyDescent="0.2"/>
    <row r="8335" customFormat="1" x14ac:dyDescent="0.2"/>
    <row r="8336" customFormat="1" x14ac:dyDescent="0.2"/>
    <row r="8337" customFormat="1" x14ac:dyDescent="0.2"/>
    <row r="8338" customFormat="1" x14ac:dyDescent="0.2"/>
    <row r="8339" customFormat="1" x14ac:dyDescent="0.2"/>
    <row r="8340" customFormat="1" x14ac:dyDescent="0.2"/>
    <row r="8341" customFormat="1" x14ac:dyDescent="0.2"/>
    <row r="8342" customFormat="1" x14ac:dyDescent="0.2"/>
    <row r="8343" customFormat="1" x14ac:dyDescent="0.2"/>
    <row r="8344" customFormat="1" x14ac:dyDescent="0.2"/>
    <row r="8345" customFormat="1" x14ac:dyDescent="0.2"/>
    <row r="8346" customFormat="1" x14ac:dyDescent="0.2"/>
    <row r="8347" customFormat="1" x14ac:dyDescent="0.2"/>
    <row r="8348" customFormat="1" x14ac:dyDescent="0.2"/>
    <row r="8349" customFormat="1" x14ac:dyDescent="0.2"/>
    <row r="8350" customFormat="1" x14ac:dyDescent="0.2"/>
    <row r="8351" customFormat="1" x14ac:dyDescent="0.2"/>
    <row r="8352" customFormat="1" x14ac:dyDescent="0.2"/>
    <row r="8353" customFormat="1" x14ac:dyDescent="0.2"/>
    <row r="8354" customFormat="1" x14ac:dyDescent="0.2"/>
    <row r="8355" customFormat="1" x14ac:dyDescent="0.2"/>
    <row r="8356" customFormat="1" x14ac:dyDescent="0.2"/>
    <row r="8357" customFormat="1" x14ac:dyDescent="0.2"/>
    <row r="8358" customFormat="1" x14ac:dyDescent="0.2"/>
    <row r="8359" customFormat="1" x14ac:dyDescent="0.2"/>
    <row r="8360" customFormat="1" x14ac:dyDescent="0.2"/>
    <row r="8361" customFormat="1" x14ac:dyDescent="0.2"/>
    <row r="8362" customFormat="1" x14ac:dyDescent="0.2"/>
    <row r="8363" customFormat="1" x14ac:dyDescent="0.2"/>
    <row r="8364" customFormat="1" x14ac:dyDescent="0.2"/>
    <row r="8365" customFormat="1" x14ac:dyDescent="0.2"/>
    <row r="8366" customFormat="1" x14ac:dyDescent="0.2"/>
    <row r="8367" customFormat="1" x14ac:dyDescent="0.2"/>
    <row r="8368" customFormat="1" x14ac:dyDescent="0.2"/>
    <row r="8369" customFormat="1" x14ac:dyDescent="0.2"/>
    <row r="8370" customFormat="1" x14ac:dyDescent="0.2"/>
    <row r="8371" customFormat="1" x14ac:dyDescent="0.2"/>
    <row r="8372" customFormat="1" x14ac:dyDescent="0.2"/>
    <row r="8373" customFormat="1" x14ac:dyDescent="0.2"/>
    <row r="8374" customFormat="1" x14ac:dyDescent="0.2"/>
    <row r="8375" customFormat="1" x14ac:dyDescent="0.2"/>
    <row r="8376" customFormat="1" x14ac:dyDescent="0.2"/>
    <row r="8377" customFormat="1" x14ac:dyDescent="0.2"/>
    <row r="8378" customFormat="1" x14ac:dyDescent="0.2"/>
    <row r="8379" customFormat="1" x14ac:dyDescent="0.2"/>
    <row r="8380" customFormat="1" x14ac:dyDescent="0.2"/>
    <row r="8381" customFormat="1" x14ac:dyDescent="0.2"/>
    <row r="8382" customFormat="1" x14ac:dyDescent="0.2"/>
    <row r="8383" customFormat="1" x14ac:dyDescent="0.2"/>
    <row r="8384" customFormat="1" x14ac:dyDescent="0.2"/>
    <row r="8385" customFormat="1" x14ac:dyDescent="0.2"/>
    <row r="8386" customFormat="1" x14ac:dyDescent="0.2"/>
    <row r="8387" customFormat="1" x14ac:dyDescent="0.2"/>
    <row r="8388" customFormat="1" x14ac:dyDescent="0.2"/>
    <row r="8389" customFormat="1" x14ac:dyDescent="0.2"/>
    <row r="8390" customFormat="1" x14ac:dyDescent="0.2"/>
    <row r="8391" customFormat="1" x14ac:dyDescent="0.2"/>
    <row r="8392" customFormat="1" x14ac:dyDescent="0.2"/>
    <row r="8393" customFormat="1" x14ac:dyDescent="0.2"/>
    <row r="8394" customFormat="1" x14ac:dyDescent="0.2"/>
    <row r="8395" customFormat="1" x14ac:dyDescent="0.2"/>
    <row r="8396" customFormat="1" x14ac:dyDescent="0.2"/>
    <row r="8397" customFormat="1" x14ac:dyDescent="0.2"/>
    <row r="8398" customFormat="1" x14ac:dyDescent="0.2"/>
    <row r="8399" customFormat="1" x14ac:dyDescent="0.2"/>
    <row r="8400" customFormat="1" x14ac:dyDescent="0.2"/>
    <row r="8401" customFormat="1" x14ac:dyDescent="0.2"/>
    <row r="8402" customFormat="1" x14ac:dyDescent="0.2"/>
    <row r="8403" customFormat="1" x14ac:dyDescent="0.2"/>
    <row r="8404" customFormat="1" x14ac:dyDescent="0.2"/>
    <row r="8405" customFormat="1" x14ac:dyDescent="0.2"/>
    <row r="8406" customFormat="1" x14ac:dyDescent="0.2"/>
    <row r="8407" customFormat="1" x14ac:dyDescent="0.2"/>
    <row r="8408" customFormat="1" x14ac:dyDescent="0.2"/>
    <row r="8409" customFormat="1" x14ac:dyDescent="0.2"/>
    <row r="8410" customFormat="1" x14ac:dyDescent="0.2"/>
    <row r="8411" customFormat="1" x14ac:dyDescent="0.2"/>
    <row r="8412" customFormat="1" x14ac:dyDescent="0.2"/>
    <row r="8413" customFormat="1" x14ac:dyDescent="0.2"/>
    <row r="8414" customFormat="1" x14ac:dyDescent="0.2"/>
    <row r="8415" customFormat="1" x14ac:dyDescent="0.2"/>
    <row r="8416" customFormat="1" x14ac:dyDescent="0.2"/>
    <row r="8417" customFormat="1" x14ac:dyDescent="0.2"/>
    <row r="8418" customFormat="1" x14ac:dyDescent="0.2"/>
    <row r="8419" customFormat="1" x14ac:dyDescent="0.2"/>
    <row r="8420" customFormat="1" x14ac:dyDescent="0.2"/>
    <row r="8421" customFormat="1" x14ac:dyDescent="0.2"/>
    <row r="8422" customFormat="1" x14ac:dyDescent="0.2"/>
    <row r="8423" customFormat="1" x14ac:dyDescent="0.2"/>
    <row r="8424" customFormat="1" x14ac:dyDescent="0.2"/>
    <row r="8425" customFormat="1" x14ac:dyDescent="0.2"/>
    <row r="8426" customFormat="1" x14ac:dyDescent="0.2"/>
    <row r="8427" customFormat="1" x14ac:dyDescent="0.2"/>
    <row r="8428" customFormat="1" x14ac:dyDescent="0.2"/>
    <row r="8429" customFormat="1" x14ac:dyDescent="0.2"/>
    <row r="8430" customFormat="1" x14ac:dyDescent="0.2"/>
    <row r="8431" customFormat="1" x14ac:dyDescent="0.2"/>
    <row r="8432" customFormat="1" x14ac:dyDescent="0.2"/>
    <row r="8433" customFormat="1" x14ac:dyDescent="0.2"/>
    <row r="8434" customFormat="1" x14ac:dyDescent="0.2"/>
    <row r="8435" customFormat="1" x14ac:dyDescent="0.2"/>
    <row r="8436" customFormat="1" x14ac:dyDescent="0.2"/>
    <row r="8437" customFormat="1" x14ac:dyDescent="0.2"/>
    <row r="8438" customFormat="1" x14ac:dyDescent="0.2"/>
    <row r="8439" customFormat="1" x14ac:dyDescent="0.2"/>
    <row r="8440" customFormat="1" x14ac:dyDescent="0.2"/>
    <row r="8441" customFormat="1" x14ac:dyDescent="0.2"/>
    <row r="8442" customFormat="1" x14ac:dyDescent="0.2"/>
    <row r="8443" customFormat="1" x14ac:dyDescent="0.2"/>
    <row r="8444" customFormat="1" x14ac:dyDescent="0.2"/>
    <row r="8445" customFormat="1" x14ac:dyDescent="0.2"/>
    <row r="8446" customFormat="1" x14ac:dyDescent="0.2"/>
    <row r="8447" customFormat="1" x14ac:dyDescent="0.2"/>
    <row r="8448" customFormat="1" x14ac:dyDescent="0.2"/>
    <row r="8449" customFormat="1" x14ac:dyDescent="0.2"/>
    <row r="8450" customFormat="1" x14ac:dyDescent="0.2"/>
    <row r="8451" customFormat="1" x14ac:dyDescent="0.2"/>
    <row r="8452" customFormat="1" x14ac:dyDescent="0.2"/>
    <row r="8453" customFormat="1" x14ac:dyDescent="0.2"/>
    <row r="8454" customFormat="1" x14ac:dyDescent="0.2"/>
    <row r="8455" customFormat="1" x14ac:dyDescent="0.2"/>
    <row r="8456" customFormat="1" x14ac:dyDescent="0.2"/>
    <row r="8457" customFormat="1" x14ac:dyDescent="0.2"/>
    <row r="8458" customFormat="1" x14ac:dyDescent="0.2"/>
    <row r="8459" customFormat="1" x14ac:dyDescent="0.2"/>
    <row r="8460" customFormat="1" x14ac:dyDescent="0.2"/>
    <row r="8461" customFormat="1" x14ac:dyDescent="0.2"/>
    <row r="8462" customFormat="1" x14ac:dyDescent="0.2"/>
    <row r="8463" customFormat="1" x14ac:dyDescent="0.2"/>
    <row r="8464" customFormat="1" x14ac:dyDescent="0.2"/>
    <row r="8465" customFormat="1" x14ac:dyDescent="0.2"/>
    <row r="8466" customFormat="1" x14ac:dyDescent="0.2"/>
    <row r="8467" customFormat="1" x14ac:dyDescent="0.2"/>
    <row r="8468" customFormat="1" x14ac:dyDescent="0.2"/>
    <row r="8469" customFormat="1" x14ac:dyDescent="0.2"/>
    <row r="8470" customFormat="1" x14ac:dyDescent="0.2"/>
    <row r="8471" customFormat="1" x14ac:dyDescent="0.2"/>
    <row r="8472" customFormat="1" x14ac:dyDescent="0.2"/>
    <row r="8473" customFormat="1" x14ac:dyDescent="0.2"/>
    <row r="8474" customFormat="1" x14ac:dyDescent="0.2"/>
    <row r="8475" customFormat="1" x14ac:dyDescent="0.2"/>
    <row r="8476" customFormat="1" x14ac:dyDescent="0.2"/>
    <row r="8477" customFormat="1" x14ac:dyDescent="0.2"/>
    <row r="8478" customFormat="1" x14ac:dyDescent="0.2"/>
    <row r="8479" customFormat="1" x14ac:dyDescent="0.2"/>
    <row r="8480" customFormat="1" x14ac:dyDescent="0.2"/>
    <row r="8481" customFormat="1" x14ac:dyDescent="0.2"/>
    <row r="8482" customFormat="1" x14ac:dyDescent="0.2"/>
    <row r="8483" customFormat="1" x14ac:dyDescent="0.2"/>
    <row r="8484" customFormat="1" x14ac:dyDescent="0.2"/>
    <row r="8485" customFormat="1" x14ac:dyDescent="0.2"/>
    <row r="8486" customFormat="1" x14ac:dyDescent="0.2"/>
    <row r="8487" customFormat="1" x14ac:dyDescent="0.2"/>
    <row r="8488" customFormat="1" x14ac:dyDescent="0.2"/>
    <row r="8489" customFormat="1" x14ac:dyDescent="0.2"/>
    <row r="8490" customFormat="1" x14ac:dyDescent="0.2"/>
    <row r="8491" customFormat="1" x14ac:dyDescent="0.2"/>
    <row r="8492" customFormat="1" x14ac:dyDescent="0.2"/>
    <row r="8493" customFormat="1" x14ac:dyDescent="0.2"/>
    <row r="8494" customFormat="1" x14ac:dyDescent="0.2"/>
    <row r="8495" customFormat="1" x14ac:dyDescent="0.2"/>
    <row r="8496" customFormat="1" x14ac:dyDescent="0.2"/>
    <row r="8497" customFormat="1" x14ac:dyDescent="0.2"/>
    <row r="8498" customFormat="1" x14ac:dyDescent="0.2"/>
    <row r="8499" customFormat="1" x14ac:dyDescent="0.2"/>
    <row r="8500" customFormat="1" x14ac:dyDescent="0.2"/>
    <row r="8501" customFormat="1" x14ac:dyDescent="0.2"/>
    <row r="8502" customFormat="1" x14ac:dyDescent="0.2"/>
    <row r="8503" customFormat="1" x14ac:dyDescent="0.2"/>
    <row r="8504" customFormat="1" x14ac:dyDescent="0.2"/>
    <row r="8505" customFormat="1" x14ac:dyDescent="0.2"/>
    <row r="8506" customFormat="1" x14ac:dyDescent="0.2"/>
    <row r="8507" customFormat="1" x14ac:dyDescent="0.2"/>
    <row r="8508" customFormat="1" x14ac:dyDescent="0.2"/>
    <row r="8509" customFormat="1" x14ac:dyDescent="0.2"/>
    <row r="8510" customFormat="1" x14ac:dyDescent="0.2"/>
    <row r="8511" customFormat="1" x14ac:dyDescent="0.2"/>
    <row r="8512" customFormat="1" x14ac:dyDescent="0.2"/>
    <row r="8513" customFormat="1" x14ac:dyDescent="0.2"/>
    <row r="8514" customFormat="1" x14ac:dyDescent="0.2"/>
    <row r="8515" customFormat="1" x14ac:dyDescent="0.2"/>
    <row r="8516" customFormat="1" x14ac:dyDescent="0.2"/>
    <row r="8517" customFormat="1" x14ac:dyDescent="0.2"/>
    <row r="8518" customFormat="1" x14ac:dyDescent="0.2"/>
    <row r="8519" customFormat="1" x14ac:dyDescent="0.2"/>
    <row r="8520" customFormat="1" x14ac:dyDescent="0.2"/>
    <row r="8521" customFormat="1" x14ac:dyDescent="0.2"/>
    <row r="8522" customFormat="1" x14ac:dyDescent="0.2"/>
    <row r="8523" customFormat="1" x14ac:dyDescent="0.2"/>
    <row r="8524" customFormat="1" x14ac:dyDescent="0.2"/>
    <row r="8525" customFormat="1" x14ac:dyDescent="0.2"/>
    <row r="8526" customFormat="1" x14ac:dyDescent="0.2"/>
    <row r="8527" customFormat="1" x14ac:dyDescent="0.2"/>
    <row r="8528" customFormat="1" x14ac:dyDescent="0.2"/>
    <row r="8529" customFormat="1" x14ac:dyDescent="0.2"/>
    <row r="8530" customFormat="1" x14ac:dyDescent="0.2"/>
    <row r="8531" customFormat="1" x14ac:dyDescent="0.2"/>
    <row r="8532" customFormat="1" x14ac:dyDescent="0.2"/>
    <row r="8533" customFormat="1" x14ac:dyDescent="0.2"/>
    <row r="8534" customFormat="1" x14ac:dyDescent="0.2"/>
    <row r="8535" customFormat="1" x14ac:dyDescent="0.2"/>
    <row r="8536" customFormat="1" x14ac:dyDescent="0.2"/>
    <row r="8537" customFormat="1" x14ac:dyDescent="0.2"/>
    <row r="8538" customFormat="1" x14ac:dyDescent="0.2"/>
    <row r="8539" customFormat="1" x14ac:dyDescent="0.2"/>
    <row r="8540" customFormat="1" x14ac:dyDescent="0.2"/>
    <row r="8541" customFormat="1" x14ac:dyDescent="0.2"/>
    <row r="8542" customFormat="1" x14ac:dyDescent="0.2"/>
    <row r="8543" customFormat="1" x14ac:dyDescent="0.2"/>
    <row r="8544" customFormat="1" x14ac:dyDescent="0.2"/>
    <row r="8545" customFormat="1" x14ac:dyDescent="0.2"/>
    <row r="8546" customFormat="1" x14ac:dyDescent="0.2"/>
    <row r="8547" customFormat="1" x14ac:dyDescent="0.2"/>
    <row r="8548" customFormat="1" x14ac:dyDescent="0.2"/>
    <row r="8549" customFormat="1" x14ac:dyDescent="0.2"/>
    <row r="8550" customFormat="1" x14ac:dyDescent="0.2"/>
    <row r="8551" customFormat="1" x14ac:dyDescent="0.2"/>
    <row r="8552" customFormat="1" x14ac:dyDescent="0.2"/>
    <row r="8553" customFormat="1" x14ac:dyDescent="0.2"/>
    <row r="8554" customFormat="1" x14ac:dyDescent="0.2"/>
    <row r="8555" customFormat="1" x14ac:dyDescent="0.2"/>
    <row r="8556" customFormat="1" x14ac:dyDescent="0.2"/>
    <row r="8557" customFormat="1" x14ac:dyDescent="0.2"/>
    <row r="8558" customFormat="1" x14ac:dyDescent="0.2"/>
    <row r="8559" customFormat="1" x14ac:dyDescent="0.2"/>
    <row r="8560" customFormat="1" x14ac:dyDescent="0.2"/>
    <row r="8561" customFormat="1" x14ac:dyDescent="0.2"/>
    <row r="8562" customFormat="1" x14ac:dyDescent="0.2"/>
    <row r="8563" customFormat="1" x14ac:dyDescent="0.2"/>
    <row r="8564" customFormat="1" x14ac:dyDescent="0.2"/>
    <row r="8565" customFormat="1" x14ac:dyDescent="0.2"/>
    <row r="8566" customFormat="1" x14ac:dyDescent="0.2"/>
    <row r="8567" customFormat="1" x14ac:dyDescent="0.2"/>
    <row r="8568" customFormat="1" x14ac:dyDescent="0.2"/>
    <row r="8569" customFormat="1" x14ac:dyDescent="0.2"/>
    <row r="8570" customFormat="1" x14ac:dyDescent="0.2"/>
    <row r="8571" customFormat="1" x14ac:dyDescent="0.2"/>
    <row r="8572" customFormat="1" x14ac:dyDescent="0.2"/>
    <row r="8573" customFormat="1" x14ac:dyDescent="0.2"/>
    <row r="8574" customFormat="1" x14ac:dyDescent="0.2"/>
    <row r="8575" customFormat="1" x14ac:dyDescent="0.2"/>
    <row r="8576" customFormat="1" x14ac:dyDescent="0.2"/>
    <row r="8577" customFormat="1" x14ac:dyDescent="0.2"/>
    <row r="8578" customFormat="1" x14ac:dyDescent="0.2"/>
    <row r="8579" customFormat="1" x14ac:dyDescent="0.2"/>
    <row r="8580" customFormat="1" x14ac:dyDescent="0.2"/>
    <row r="8581" customFormat="1" x14ac:dyDescent="0.2"/>
    <row r="8582" customFormat="1" x14ac:dyDescent="0.2"/>
    <row r="8583" customFormat="1" x14ac:dyDescent="0.2"/>
    <row r="8584" customFormat="1" x14ac:dyDescent="0.2"/>
    <row r="8585" customFormat="1" x14ac:dyDescent="0.2"/>
    <row r="8586" customFormat="1" x14ac:dyDescent="0.2"/>
    <row r="8587" customFormat="1" x14ac:dyDescent="0.2"/>
    <row r="8588" customFormat="1" x14ac:dyDescent="0.2"/>
    <row r="8589" customFormat="1" x14ac:dyDescent="0.2"/>
    <row r="8590" customFormat="1" x14ac:dyDescent="0.2"/>
    <row r="8591" customFormat="1" x14ac:dyDescent="0.2"/>
    <row r="8592" customFormat="1" x14ac:dyDescent="0.2"/>
    <row r="8593" customFormat="1" x14ac:dyDescent="0.2"/>
    <row r="8594" customFormat="1" x14ac:dyDescent="0.2"/>
    <row r="8595" customFormat="1" x14ac:dyDescent="0.2"/>
    <row r="8596" customFormat="1" x14ac:dyDescent="0.2"/>
    <row r="8597" customFormat="1" x14ac:dyDescent="0.2"/>
    <row r="8598" customFormat="1" x14ac:dyDescent="0.2"/>
    <row r="8599" customFormat="1" x14ac:dyDescent="0.2"/>
    <row r="8600" customFormat="1" x14ac:dyDescent="0.2"/>
    <row r="8601" customFormat="1" x14ac:dyDescent="0.2"/>
    <row r="8602" customFormat="1" x14ac:dyDescent="0.2"/>
    <row r="8603" customFormat="1" x14ac:dyDescent="0.2"/>
    <row r="8604" customFormat="1" x14ac:dyDescent="0.2"/>
    <row r="8605" customFormat="1" x14ac:dyDescent="0.2"/>
    <row r="8606" customFormat="1" x14ac:dyDescent="0.2"/>
    <row r="8607" customFormat="1" x14ac:dyDescent="0.2"/>
    <row r="8608" customFormat="1" x14ac:dyDescent="0.2"/>
    <row r="8609" customFormat="1" x14ac:dyDescent="0.2"/>
    <row r="8610" customFormat="1" x14ac:dyDescent="0.2"/>
    <row r="8611" customFormat="1" x14ac:dyDescent="0.2"/>
    <row r="8612" customFormat="1" x14ac:dyDescent="0.2"/>
    <row r="8613" customFormat="1" x14ac:dyDescent="0.2"/>
    <row r="8614" customFormat="1" x14ac:dyDescent="0.2"/>
    <row r="8615" customFormat="1" x14ac:dyDescent="0.2"/>
    <row r="8616" customFormat="1" x14ac:dyDescent="0.2"/>
    <row r="8617" customFormat="1" x14ac:dyDescent="0.2"/>
    <row r="8618" customFormat="1" x14ac:dyDescent="0.2"/>
    <row r="8619" customFormat="1" x14ac:dyDescent="0.2"/>
    <row r="8620" customFormat="1" x14ac:dyDescent="0.2"/>
    <row r="8621" customFormat="1" x14ac:dyDescent="0.2"/>
    <row r="8622" customFormat="1" x14ac:dyDescent="0.2"/>
    <row r="8623" customFormat="1" x14ac:dyDescent="0.2"/>
    <row r="8624" customFormat="1" x14ac:dyDescent="0.2"/>
    <row r="8625" customFormat="1" x14ac:dyDescent="0.2"/>
    <row r="8626" customFormat="1" x14ac:dyDescent="0.2"/>
    <row r="8627" customFormat="1" x14ac:dyDescent="0.2"/>
    <row r="8628" customFormat="1" x14ac:dyDescent="0.2"/>
    <row r="8629" customFormat="1" x14ac:dyDescent="0.2"/>
    <row r="8630" customFormat="1" x14ac:dyDescent="0.2"/>
    <row r="8631" customFormat="1" x14ac:dyDescent="0.2"/>
    <row r="8632" customFormat="1" x14ac:dyDescent="0.2"/>
    <row r="8633" customFormat="1" x14ac:dyDescent="0.2"/>
    <row r="8634" customFormat="1" x14ac:dyDescent="0.2"/>
    <row r="8635" customFormat="1" x14ac:dyDescent="0.2"/>
    <row r="8636" customFormat="1" x14ac:dyDescent="0.2"/>
    <row r="8637" customFormat="1" x14ac:dyDescent="0.2"/>
    <row r="8638" customFormat="1" x14ac:dyDescent="0.2"/>
    <row r="8639" customFormat="1" x14ac:dyDescent="0.2"/>
    <row r="8640" customFormat="1" x14ac:dyDescent="0.2"/>
    <row r="8641" customFormat="1" x14ac:dyDescent="0.2"/>
    <row r="8642" customFormat="1" x14ac:dyDescent="0.2"/>
    <row r="8643" customFormat="1" x14ac:dyDescent="0.2"/>
    <row r="8644" customFormat="1" x14ac:dyDescent="0.2"/>
    <row r="8645" customFormat="1" x14ac:dyDescent="0.2"/>
    <row r="8646" customFormat="1" x14ac:dyDescent="0.2"/>
    <row r="8647" customFormat="1" x14ac:dyDescent="0.2"/>
    <row r="8648" customFormat="1" x14ac:dyDescent="0.2"/>
    <row r="8649" customFormat="1" x14ac:dyDescent="0.2"/>
    <row r="8650" customFormat="1" x14ac:dyDescent="0.2"/>
    <row r="8651" customFormat="1" x14ac:dyDescent="0.2"/>
    <row r="8652" customFormat="1" x14ac:dyDescent="0.2"/>
    <row r="8653" customFormat="1" x14ac:dyDescent="0.2"/>
    <row r="8654" customFormat="1" x14ac:dyDescent="0.2"/>
    <row r="8655" customFormat="1" x14ac:dyDescent="0.2"/>
    <row r="8656" customFormat="1" x14ac:dyDescent="0.2"/>
    <row r="8657" customFormat="1" x14ac:dyDescent="0.2"/>
    <row r="8658" customFormat="1" x14ac:dyDescent="0.2"/>
    <row r="8659" customFormat="1" x14ac:dyDescent="0.2"/>
    <row r="8660" customFormat="1" x14ac:dyDescent="0.2"/>
    <row r="8661" customFormat="1" x14ac:dyDescent="0.2"/>
    <row r="8662" customFormat="1" x14ac:dyDescent="0.2"/>
    <row r="8663" customFormat="1" x14ac:dyDescent="0.2"/>
    <row r="8664" customFormat="1" x14ac:dyDescent="0.2"/>
    <row r="8665" customFormat="1" x14ac:dyDescent="0.2"/>
    <row r="8666" customFormat="1" x14ac:dyDescent="0.2"/>
    <row r="8667" customFormat="1" x14ac:dyDescent="0.2"/>
    <row r="8668" customFormat="1" x14ac:dyDescent="0.2"/>
    <row r="8669" customFormat="1" x14ac:dyDescent="0.2"/>
    <row r="8670" customFormat="1" x14ac:dyDescent="0.2"/>
    <row r="8671" customFormat="1" x14ac:dyDescent="0.2"/>
    <row r="8672" customFormat="1" x14ac:dyDescent="0.2"/>
    <row r="8673" customFormat="1" x14ac:dyDescent="0.2"/>
    <row r="8674" customFormat="1" x14ac:dyDescent="0.2"/>
    <row r="8675" customFormat="1" x14ac:dyDescent="0.2"/>
    <row r="8676" customFormat="1" x14ac:dyDescent="0.2"/>
    <row r="8677" customFormat="1" x14ac:dyDescent="0.2"/>
    <row r="8678" customFormat="1" x14ac:dyDescent="0.2"/>
    <row r="8679" customFormat="1" x14ac:dyDescent="0.2"/>
    <row r="8680" customFormat="1" x14ac:dyDescent="0.2"/>
    <row r="8681" customFormat="1" x14ac:dyDescent="0.2"/>
    <row r="8682" customFormat="1" x14ac:dyDescent="0.2"/>
    <row r="8683" customFormat="1" x14ac:dyDescent="0.2"/>
    <row r="8684" customFormat="1" x14ac:dyDescent="0.2"/>
    <row r="8685" customFormat="1" x14ac:dyDescent="0.2"/>
    <row r="8686" customFormat="1" x14ac:dyDescent="0.2"/>
    <row r="8687" customFormat="1" x14ac:dyDescent="0.2"/>
    <row r="8688" customFormat="1" x14ac:dyDescent="0.2"/>
    <row r="8689" customFormat="1" x14ac:dyDescent="0.2"/>
    <row r="8690" customFormat="1" x14ac:dyDescent="0.2"/>
    <row r="8691" customFormat="1" x14ac:dyDescent="0.2"/>
    <row r="8692" customFormat="1" x14ac:dyDescent="0.2"/>
    <row r="8693" customFormat="1" x14ac:dyDescent="0.2"/>
    <row r="8694" customFormat="1" x14ac:dyDescent="0.2"/>
    <row r="8695" customFormat="1" x14ac:dyDescent="0.2"/>
    <row r="8696" customFormat="1" x14ac:dyDescent="0.2"/>
    <row r="8697" customFormat="1" x14ac:dyDescent="0.2"/>
    <row r="8698" customFormat="1" x14ac:dyDescent="0.2"/>
    <row r="8699" customFormat="1" x14ac:dyDescent="0.2"/>
    <row r="8700" customFormat="1" x14ac:dyDescent="0.2"/>
    <row r="8701" customFormat="1" x14ac:dyDescent="0.2"/>
    <row r="8702" customFormat="1" x14ac:dyDescent="0.2"/>
    <row r="8703" customFormat="1" x14ac:dyDescent="0.2"/>
    <row r="8704" customFormat="1" x14ac:dyDescent="0.2"/>
    <row r="8705" customFormat="1" x14ac:dyDescent="0.2"/>
    <row r="8706" customFormat="1" x14ac:dyDescent="0.2"/>
    <row r="8707" customFormat="1" x14ac:dyDescent="0.2"/>
    <row r="8708" customFormat="1" x14ac:dyDescent="0.2"/>
    <row r="8709" customFormat="1" x14ac:dyDescent="0.2"/>
    <row r="8710" customFormat="1" x14ac:dyDescent="0.2"/>
    <row r="8711" customFormat="1" x14ac:dyDescent="0.2"/>
    <row r="8712" customFormat="1" x14ac:dyDescent="0.2"/>
    <row r="8713" customFormat="1" x14ac:dyDescent="0.2"/>
    <row r="8714" customFormat="1" x14ac:dyDescent="0.2"/>
    <row r="8715" customFormat="1" x14ac:dyDescent="0.2"/>
    <row r="8716" customFormat="1" x14ac:dyDescent="0.2"/>
    <row r="8717" customFormat="1" x14ac:dyDescent="0.2"/>
    <row r="8718" customFormat="1" x14ac:dyDescent="0.2"/>
    <row r="8719" customFormat="1" x14ac:dyDescent="0.2"/>
    <row r="8720" customFormat="1" x14ac:dyDescent="0.2"/>
    <row r="8721" customFormat="1" x14ac:dyDescent="0.2"/>
    <row r="8722" customFormat="1" x14ac:dyDescent="0.2"/>
    <row r="8723" customFormat="1" x14ac:dyDescent="0.2"/>
    <row r="8724" customFormat="1" x14ac:dyDescent="0.2"/>
    <row r="8725" customFormat="1" x14ac:dyDescent="0.2"/>
    <row r="8726" customFormat="1" x14ac:dyDescent="0.2"/>
    <row r="8727" customFormat="1" x14ac:dyDescent="0.2"/>
    <row r="8728" customFormat="1" x14ac:dyDescent="0.2"/>
    <row r="8729" customFormat="1" x14ac:dyDescent="0.2"/>
    <row r="8730" customFormat="1" x14ac:dyDescent="0.2"/>
    <row r="8731" customFormat="1" x14ac:dyDescent="0.2"/>
    <row r="8732" customFormat="1" x14ac:dyDescent="0.2"/>
    <row r="8733" customFormat="1" x14ac:dyDescent="0.2"/>
    <row r="8734" customFormat="1" x14ac:dyDescent="0.2"/>
    <row r="8735" customFormat="1" x14ac:dyDescent="0.2"/>
    <row r="8736" customFormat="1" x14ac:dyDescent="0.2"/>
    <row r="8737" customFormat="1" x14ac:dyDescent="0.2"/>
    <row r="8738" customFormat="1" x14ac:dyDescent="0.2"/>
    <row r="8739" customFormat="1" x14ac:dyDescent="0.2"/>
    <row r="8740" customFormat="1" x14ac:dyDescent="0.2"/>
    <row r="8741" customFormat="1" x14ac:dyDescent="0.2"/>
    <row r="8742" customFormat="1" x14ac:dyDescent="0.2"/>
    <row r="8743" customFormat="1" x14ac:dyDescent="0.2"/>
    <row r="8744" customFormat="1" x14ac:dyDescent="0.2"/>
    <row r="8745" customFormat="1" x14ac:dyDescent="0.2"/>
    <row r="8746" customFormat="1" x14ac:dyDescent="0.2"/>
    <row r="8747" customFormat="1" x14ac:dyDescent="0.2"/>
    <row r="8748" customFormat="1" x14ac:dyDescent="0.2"/>
    <row r="8749" customFormat="1" x14ac:dyDescent="0.2"/>
    <row r="8750" customFormat="1" x14ac:dyDescent="0.2"/>
    <row r="8751" customFormat="1" x14ac:dyDescent="0.2"/>
    <row r="8752" customFormat="1" x14ac:dyDescent="0.2"/>
    <row r="8753" customFormat="1" x14ac:dyDescent="0.2"/>
    <row r="8754" customFormat="1" x14ac:dyDescent="0.2"/>
    <row r="8755" customFormat="1" x14ac:dyDescent="0.2"/>
    <row r="8756" customFormat="1" x14ac:dyDescent="0.2"/>
    <row r="8757" customFormat="1" x14ac:dyDescent="0.2"/>
    <row r="8758" customFormat="1" x14ac:dyDescent="0.2"/>
    <row r="8759" customFormat="1" x14ac:dyDescent="0.2"/>
    <row r="8760" customFormat="1" x14ac:dyDescent="0.2"/>
    <row r="8761" customFormat="1" x14ac:dyDescent="0.2"/>
    <row r="8762" customFormat="1" x14ac:dyDescent="0.2"/>
    <row r="8763" customFormat="1" x14ac:dyDescent="0.2"/>
    <row r="8764" customFormat="1" x14ac:dyDescent="0.2"/>
    <row r="8765" customFormat="1" x14ac:dyDescent="0.2"/>
    <row r="8766" customFormat="1" x14ac:dyDescent="0.2"/>
    <row r="8767" customFormat="1" x14ac:dyDescent="0.2"/>
    <row r="8768" customFormat="1" x14ac:dyDescent="0.2"/>
    <row r="8769" customFormat="1" x14ac:dyDescent="0.2"/>
    <row r="8770" customFormat="1" x14ac:dyDescent="0.2"/>
    <row r="8771" customFormat="1" x14ac:dyDescent="0.2"/>
    <row r="8772" customFormat="1" x14ac:dyDescent="0.2"/>
    <row r="8773" customFormat="1" x14ac:dyDescent="0.2"/>
    <row r="8774" customFormat="1" x14ac:dyDescent="0.2"/>
    <row r="8775" customFormat="1" x14ac:dyDescent="0.2"/>
    <row r="8776" customFormat="1" x14ac:dyDescent="0.2"/>
    <row r="8777" customFormat="1" x14ac:dyDescent="0.2"/>
    <row r="8778" customFormat="1" x14ac:dyDescent="0.2"/>
    <row r="8779" customFormat="1" x14ac:dyDescent="0.2"/>
    <row r="8780" customFormat="1" x14ac:dyDescent="0.2"/>
    <row r="8781" customFormat="1" x14ac:dyDescent="0.2"/>
    <row r="8782" customFormat="1" x14ac:dyDescent="0.2"/>
    <row r="8783" customFormat="1" x14ac:dyDescent="0.2"/>
    <row r="8784" customFormat="1" x14ac:dyDescent="0.2"/>
    <row r="8785" customFormat="1" x14ac:dyDescent="0.2"/>
    <row r="8786" customFormat="1" x14ac:dyDescent="0.2"/>
    <row r="8787" customFormat="1" x14ac:dyDescent="0.2"/>
    <row r="8788" customFormat="1" x14ac:dyDescent="0.2"/>
    <row r="8789" customFormat="1" x14ac:dyDescent="0.2"/>
    <row r="8790" customFormat="1" x14ac:dyDescent="0.2"/>
    <row r="8791" customFormat="1" x14ac:dyDescent="0.2"/>
    <row r="8792" customFormat="1" x14ac:dyDescent="0.2"/>
    <row r="8793" customFormat="1" x14ac:dyDescent="0.2"/>
    <row r="8794" customFormat="1" x14ac:dyDescent="0.2"/>
    <row r="8795" customFormat="1" x14ac:dyDescent="0.2"/>
    <row r="8796" customFormat="1" x14ac:dyDescent="0.2"/>
    <row r="8797" customFormat="1" x14ac:dyDescent="0.2"/>
    <row r="8798" customFormat="1" x14ac:dyDescent="0.2"/>
    <row r="8799" customFormat="1" x14ac:dyDescent="0.2"/>
    <row r="8800" customFormat="1" x14ac:dyDescent="0.2"/>
    <row r="8801" customFormat="1" x14ac:dyDescent="0.2"/>
    <row r="8802" customFormat="1" x14ac:dyDescent="0.2"/>
    <row r="8803" customFormat="1" x14ac:dyDescent="0.2"/>
    <row r="8804" customFormat="1" x14ac:dyDescent="0.2"/>
    <row r="8805" customFormat="1" x14ac:dyDescent="0.2"/>
    <row r="8806" customFormat="1" x14ac:dyDescent="0.2"/>
    <row r="8807" customFormat="1" x14ac:dyDescent="0.2"/>
    <row r="8808" customFormat="1" x14ac:dyDescent="0.2"/>
    <row r="8809" customFormat="1" x14ac:dyDescent="0.2"/>
    <row r="8810" customFormat="1" x14ac:dyDescent="0.2"/>
    <row r="8811" customFormat="1" x14ac:dyDescent="0.2"/>
    <row r="8812" customFormat="1" x14ac:dyDescent="0.2"/>
    <row r="8813" customFormat="1" x14ac:dyDescent="0.2"/>
    <row r="8814" customFormat="1" x14ac:dyDescent="0.2"/>
    <row r="8815" customFormat="1" x14ac:dyDescent="0.2"/>
    <row r="8816" customFormat="1" x14ac:dyDescent="0.2"/>
    <row r="8817" customFormat="1" x14ac:dyDescent="0.2"/>
    <row r="8818" customFormat="1" x14ac:dyDescent="0.2"/>
    <row r="8819" customFormat="1" x14ac:dyDescent="0.2"/>
    <row r="8820" customFormat="1" x14ac:dyDescent="0.2"/>
    <row r="8821" customFormat="1" x14ac:dyDescent="0.2"/>
    <row r="8822" customFormat="1" x14ac:dyDescent="0.2"/>
    <row r="8823" customFormat="1" x14ac:dyDescent="0.2"/>
    <row r="8824" customFormat="1" x14ac:dyDescent="0.2"/>
    <row r="8825" customFormat="1" x14ac:dyDescent="0.2"/>
    <row r="8826" customFormat="1" x14ac:dyDescent="0.2"/>
    <row r="8827" customFormat="1" x14ac:dyDescent="0.2"/>
    <row r="8828" customFormat="1" x14ac:dyDescent="0.2"/>
    <row r="8829" customFormat="1" x14ac:dyDescent="0.2"/>
    <row r="8830" customFormat="1" x14ac:dyDescent="0.2"/>
    <row r="8831" customFormat="1" x14ac:dyDescent="0.2"/>
    <row r="8832" customFormat="1" x14ac:dyDescent="0.2"/>
    <row r="8833" customFormat="1" x14ac:dyDescent="0.2"/>
    <row r="8834" customFormat="1" x14ac:dyDescent="0.2"/>
    <row r="8835" customFormat="1" x14ac:dyDescent="0.2"/>
    <row r="8836" customFormat="1" x14ac:dyDescent="0.2"/>
    <row r="8837" customFormat="1" x14ac:dyDescent="0.2"/>
    <row r="8838" customFormat="1" x14ac:dyDescent="0.2"/>
    <row r="8839" customFormat="1" x14ac:dyDescent="0.2"/>
    <row r="8840" customFormat="1" x14ac:dyDescent="0.2"/>
    <row r="8841" customFormat="1" x14ac:dyDescent="0.2"/>
    <row r="8842" customFormat="1" x14ac:dyDescent="0.2"/>
    <row r="8843" customFormat="1" x14ac:dyDescent="0.2"/>
    <row r="8844" customFormat="1" x14ac:dyDescent="0.2"/>
    <row r="8845" customFormat="1" x14ac:dyDescent="0.2"/>
    <row r="8846" customFormat="1" x14ac:dyDescent="0.2"/>
    <row r="8847" customFormat="1" x14ac:dyDescent="0.2"/>
    <row r="8848" customFormat="1" x14ac:dyDescent="0.2"/>
    <row r="8849" customFormat="1" x14ac:dyDescent="0.2"/>
    <row r="8850" customFormat="1" x14ac:dyDescent="0.2"/>
    <row r="8851" customFormat="1" x14ac:dyDescent="0.2"/>
    <row r="8852" customFormat="1" x14ac:dyDescent="0.2"/>
    <row r="8853" customFormat="1" x14ac:dyDescent="0.2"/>
    <row r="8854" customFormat="1" x14ac:dyDescent="0.2"/>
    <row r="8855" customFormat="1" x14ac:dyDescent="0.2"/>
    <row r="8856" customFormat="1" x14ac:dyDescent="0.2"/>
    <row r="8857" customFormat="1" x14ac:dyDescent="0.2"/>
    <row r="8858" customFormat="1" x14ac:dyDescent="0.2"/>
    <row r="8859" customFormat="1" x14ac:dyDescent="0.2"/>
    <row r="8860" customFormat="1" x14ac:dyDescent="0.2"/>
    <row r="8861" customFormat="1" x14ac:dyDescent="0.2"/>
    <row r="8862" customFormat="1" x14ac:dyDescent="0.2"/>
    <row r="8863" customFormat="1" x14ac:dyDescent="0.2"/>
    <row r="8864" customFormat="1" x14ac:dyDescent="0.2"/>
    <row r="8865" customFormat="1" x14ac:dyDescent="0.2"/>
    <row r="8866" customFormat="1" x14ac:dyDescent="0.2"/>
    <row r="8867" customFormat="1" x14ac:dyDescent="0.2"/>
    <row r="8868" customFormat="1" x14ac:dyDescent="0.2"/>
    <row r="8869" customFormat="1" x14ac:dyDescent="0.2"/>
    <row r="8870" customFormat="1" x14ac:dyDescent="0.2"/>
    <row r="8871" customFormat="1" x14ac:dyDescent="0.2"/>
    <row r="8872" customFormat="1" x14ac:dyDescent="0.2"/>
    <row r="8873" customFormat="1" x14ac:dyDescent="0.2"/>
    <row r="8874" customFormat="1" x14ac:dyDescent="0.2"/>
    <row r="8875" customFormat="1" x14ac:dyDescent="0.2"/>
    <row r="8876" customFormat="1" x14ac:dyDescent="0.2"/>
    <row r="8877" customFormat="1" x14ac:dyDescent="0.2"/>
    <row r="8878" customFormat="1" x14ac:dyDescent="0.2"/>
    <row r="8879" customFormat="1" x14ac:dyDescent="0.2"/>
    <row r="8880" customFormat="1" x14ac:dyDescent="0.2"/>
    <row r="8881" customFormat="1" x14ac:dyDescent="0.2"/>
    <row r="8882" customFormat="1" x14ac:dyDescent="0.2"/>
    <row r="8883" customFormat="1" x14ac:dyDescent="0.2"/>
    <row r="8884" customFormat="1" x14ac:dyDescent="0.2"/>
    <row r="8885" customFormat="1" x14ac:dyDescent="0.2"/>
    <row r="8886" customFormat="1" x14ac:dyDescent="0.2"/>
    <row r="8887" customFormat="1" x14ac:dyDescent="0.2"/>
    <row r="8888" customFormat="1" x14ac:dyDescent="0.2"/>
    <row r="8889" customFormat="1" x14ac:dyDescent="0.2"/>
    <row r="8890" customFormat="1" x14ac:dyDescent="0.2"/>
    <row r="8891" customFormat="1" x14ac:dyDescent="0.2"/>
    <row r="8892" customFormat="1" x14ac:dyDescent="0.2"/>
    <row r="8893" customFormat="1" x14ac:dyDescent="0.2"/>
    <row r="8894" customFormat="1" x14ac:dyDescent="0.2"/>
    <row r="8895" customFormat="1" x14ac:dyDescent="0.2"/>
    <row r="8896" customFormat="1" x14ac:dyDescent="0.2"/>
    <row r="8897" customFormat="1" x14ac:dyDescent="0.2"/>
    <row r="8898" customFormat="1" x14ac:dyDescent="0.2"/>
    <row r="8899" customFormat="1" x14ac:dyDescent="0.2"/>
    <row r="8900" customFormat="1" x14ac:dyDescent="0.2"/>
    <row r="8901" customFormat="1" x14ac:dyDescent="0.2"/>
    <row r="8902" customFormat="1" x14ac:dyDescent="0.2"/>
    <row r="8903" customFormat="1" x14ac:dyDescent="0.2"/>
    <row r="8904" customFormat="1" x14ac:dyDescent="0.2"/>
    <row r="8905" customFormat="1" x14ac:dyDescent="0.2"/>
    <row r="8906" customFormat="1" x14ac:dyDescent="0.2"/>
    <row r="8907" customFormat="1" x14ac:dyDescent="0.2"/>
    <row r="8908" customFormat="1" x14ac:dyDescent="0.2"/>
    <row r="8909" customFormat="1" x14ac:dyDescent="0.2"/>
    <row r="8910" customFormat="1" x14ac:dyDescent="0.2"/>
    <row r="8911" customFormat="1" x14ac:dyDescent="0.2"/>
    <row r="8912" customFormat="1" x14ac:dyDescent="0.2"/>
    <row r="8913" customFormat="1" x14ac:dyDescent="0.2"/>
    <row r="8914" customFormat="1" x14ac:dyDescent="0.2"/>
    <row r="8915" customFormat="1" x14ac:dyDescent="0.2"/>
    <row r="8916" customFormat="1" x14ac:dyDescent="0.2"/>
    <row r="8917" customFormat="1" x14ac:dyDescent="0.2"/>
    <row r="8918" customFormat="1" x14ac:dyDescent="0.2"/>
    <row r="8919" customFormat="1" x14ac:dyDescent="0.2"/>
    <row r="8920" customFormat="1" x14ac:dyDescent="0.2"/>
    <row r="8921" customFormat="1" x14ac:dyDescent="0.2"/>
    <row r="8922" customFormat="1" x14ac:dyDescent="0.2"/>
    <row r="8923" customFormat="1" x14ac:dyDescent="0.2"/>
    <row r="8924" customFormat="1" x14ac:dyDescent="0.2"/>
    <row r="8925" customFormat="1" x14ac:dyDescent="0.2"/>
    <row r="8926" customFormat="1" x14ac:dyDescent="0.2"/>
    <row r="8927" customFormat="1" x14ac:dyDescent="0.2"/>
    <row r="8928" customFormat="1" x14ac:dyDescent="0.2"/>
    <row r="8929" customFormat="1" x14ac:dyDescent="0.2"/>
    <row r="8930" customFormat="1" x14ac:dyDescent="0.2"/>
    <row r="8931" customFormat="1" x14ac:dyDescent="0.2"/>
    <row r="8932" customFormat="1" x14ac:dyDescent="0.2"/>
    <row r="8933" customFormat="1" x14ac:dyDescent="0.2"/>
    <row r="8934" customFormat="1" x14ac:dyDescent="0.2"/>
    <row r="8935" customFormat="1" x14ac:dyDescent="0.2"/>
    <row r="8936" customFormat="1" x14ac:dyDescent="0.2"/>
    <row r="8937" customFormat="1" x14ac:dyDescent="0.2"/>
    <row r="8938" customFormat="1" x14ac:dyDescent="0.2"/>
    <row r="8939" customFormat="1" x14ac:dyDescent="0.2"/>
    <row r="8940" customFormat="1" x14ac:dyDescent="0.2"/>
    <row r="8941" customFormat="1" x14ac:dyDescent="0.2"/>
    <row r="8942" customFormat="1" x14ac:dyDescent="0.2"/>
    <row r="8943" customFormat="1" x14ac:dyDescent="0.2"/>
    <row r="8944" customFormat="1" x14ac:dyDescent="0.2"/>
    <row r="8945" customFormat="1" x14ac:dyDescent="0.2"/>
    <row r="8946" customFormat="1" x14ac:dyDescent="0.2"/>
    <row r="8947" customFormat="1" x14ac:dyDescent="0.2"/>
    <row r="8948" customFormat="1" x14ac:dyDescent="0.2"/>
    <row r="8949" customFormat="1" x14ac:dyDescent="0.2"/>
    <row r="8950" customFormat="1" x14ac:dyDescent="0.2"/>
    <row r="8951" customFormat="1" x14ac:dyDescent="0.2"/>
    <row r="8952" customFormat="1" x14ac:dyDescent="0.2"/>
    <row r="8953" customFormat="1" x14ac:dyDescent="0.2"/>
    <row r="8954" customFormat="1" x14ac:dyDescent="0.2"/>
    <row r="8955" customFormat="1" x14ac:dyDescent="0.2"/>
    <row r="8956" customFormat="1" x14ac:dyDescent="0.2"/>
    <row r="8957" customFormat="1" x14ac:dyDescent="0.2"/>
    <row r="8958" customFormat="1" x14ac:dyDescent="0.2"/>
    <row r="8959" customFormat="1" x14ac:dyDescent="0.2"/>
    <row r="8960" customFormat="1" x14ac:dyDescent="0.2"/>
    <row r="8961" customFormat="1" x14ac:dyDescent="0.2"/>
    <row r="8962" customFormat="1" x14ac:dyDescent="0.2"/>
    <row r="8963" customFormat="1" x14ac:dyDescent="0.2"/>
    <row r="8964" customFormat="1" x14ac:dyDescent="0.2"/>
    <row r="8965" customFormat="1" x14ac:dyDescent="0.2"/>
    <row r="8966" customFormat="1" x14ac:dyDescent="0.2"/>
    <row r="8967" customFormat="1" x14ac:dyDescent="0.2"/>
    <row r="8968" customFormat="1" x14ac:dyDescent="0.2"/>
    <row r="8969" customFormat="1" x14ac:dyDescent="0.2"/>
    <row r="8970" customFormat="1" x14ac:dyDescent="0.2"/>
    <row r="8971" customFormat="1" x14ac:dyDescent="0.2"/>
    <row r="8972" customFormat="1" x14ac:dyDescent="0.2"/>
    <row r="8973" customFormat="1" x14ac:dyDescent="0.2"/>
    <row r="8974" customFormat="1" x14ac:dyDescent="0.2"/>
    <row r="8975" customFormat="1" x14ac:dyDescent="0.2"/>
    <row r="8976" customFormat="1" x14ac:dyDescent="0.2"/>
    <row r="8977" customFormat="1" x14ac:dyDescent="0.2"/>
    <row r="8978" customFormat="1" x14ac:dyDescent="0.2"/>
    <row r="8979" customFormat="1" x14ac:dyDescent="0.2"/>
    <row r="8980" customFormat="1" x14ac:dyDescent="0.2"/>
    <row r="8981" customFormat="1" x14ac:dyDescent="0.2"/>
    <row r="8982" customFormat="1" x14ac:dyDescent="0.2"/>
    <row r="8983" customFormat="1" x14ac:dyDescent="0.2"/>
    <row r="8984" customFormat="1" x14ac:dyDescent="0.2"/>
    <row r="8985" customFormat="1" x14ac:dyDescent="0.2"/>
    <row r="8986" customFormat="1" x14ac:dyDescent="0.2"/>
    <row r="8987" customFormat="1" x14ac:dyDescent="0.2"/>
    <row r="8988" customFormat="1" x14ac:dyDescent="0.2"/>
    <row r="8989" customFormat="1" x14ac:dyDescent="0.2"/>
    <row r="8990" customFormat="1" x14ac:dyDescent="0.2"/>
    <row r="8991" customFormat="1" x14ac:dyDescent="0.2"/>
    <row r="8992" customFormat="1" x14ac:dyDescent="0.2"/>
    <row r="8993" customFormat="1" x14ac:dyDescent="0.2"/>
    <row r="8994" customFormat="1" x14ac:dyDescent="0.2"/>
    <row r="8995" customFormat="1" x14ac:dyDescent="0.2"/>
    <row r="8996" customFormat="1" x14ac:dyDescent="0.2"/>
    <row r="8997" customFormat="1" x14ac:dyDescent="0.2"/>
    <row r="8998" customFormat="1" x14ac:dyDescent="0.2"/>
    <row r="8999" customFormat="1" x14ac:dyDescent="0.2"/>
    <row r="9000" customFormat="1" x14ac:dyDescent="0.2"/>
    <row r="9001" customFormat="1" x14ac:dyDescent="0.2"/>
    <row r="9002" customFormat="1" x14ac:dyDescent="0.2"/>
    <row r="9003" customFormat="1" x14ac:dyDescent="0.2"/>
    <row r="9004" customFormat="1" x14ac:dyDescent="0.2"/>
    <row r="9005" customFormat="1" x14ac:dyDescent="0.2"/>
    <row r="9006" customFormat="1" x14ac:dyDescent="0.2"/>
    <row r="9007" customFormat="1" x14ac:dyDescent="0.2"/>
    <row r="9008" customFormat="1" x14ac:dyDescent="0.2"/>
    <row r="9009" customFormat="1" x14ac:dyDescent="0.2"/>
    <row r="9010" customFormat="1" x14ac:dyDescent="0.2"/>
    <row r="9011" customFormat="1" x14ac:dyDescent="0.2"/>
    <row r="9012" customFormat="1" x14ac:dyDescent="0.2"/>
    <row r="9013" customFormat="1" x14ac:dyDescent="0.2"/>
    <row r="9014" customFormat="1" x14ac:dyDescent="0.2"/>
    <row r="9015" customFormat="1" x14ac:dyDescent="0.2"/>
    <row r="9016" customFormat="1" x14ac:dyDescent="0.2"/>
    <row r="9017" customFormat="1" x14ac:dyDescent="0.2"/>
    <row r="9018" customFormat="1" x14ac:dyDescent="0.2"/>
    <row r="9019" customFormat="1" x14ac:dyDescent="0.2"/>
    <row r="9020" customFormat="1" x14ac:dyDescent="0.2"/>
    <row r="9021" customFormat="1" x14ac:dyDescent="0.2"/>
    <row r="9022" customFormat="1" x14ac:dyDescent="0.2"/>
    <row r="9023" customFormat="1" x14ac:dyDescent="0.2"/>
    <row r="9024" customFormat="1" x14ac:dyDescent="0.2"/>
    <row r="9025" customFormat="1" x14ac:dyDescent="0.2"/>
    <row r="9026" customFormat="1" x14ac:dyDescent="0.2"/>
    <row r="9027" customFormat="1" x14ac:dyDescent="0.2"/>
    <row r="9028" customFormat="1" x14ac:dyDescent="0.2"/>
    <row r="9029" customFormat="1" x14ac:dyDescent="0.2"/>
    <row r="9030" customFormat="1" x14ac:dyDescent="0.2"/>
    <row r="9031" customFormat="1" x14ac:dyDescent="0.2"/>
    <row r="9032" customFormat="1" x14ac:dyDescent="0.2"/>
    <row r="9033" customFormat="1" x14ac:dyDescent="0.2"/>
    <row r="9034" customFormat="1" x14ac:dyDescent="0.2"/>
    <row r="9035" customFormat="1" x14ac:dyDescent="0.2"/>
    <row r="9036" customFormat="1" x14ac:dyDescent="0.2"/>
    <row r="9037" customFormat="1" x14ac:dyDescent="0.2"/>
    <row r="9038" customFormat="1" x14ac:dyDescent="0.2"/>
    <row r="9039" customFormat="1" x14ac:dyDescent="0.2"/>
    <row r="9040" customFormat="1" x14ac:dyDescent="0.2"/>
    <row r="9041" customFormat="1" x14ac:dyDescent="0.2"/>
    <row r="9042" customFormat="1" x14ac:dyDescent="0.2"/>
    <row r="9043" customFormat="1" x14ac:dyDescent="0.2"/>
    <row r="9044" customFormat="1" x14ac:dyDescent="0.2"/>
    <row r="9045" customFormat="1" x14ac:dyDescent="0.2"/>
    <row r="9046" customFormat="1" x14ac:dyDescent="0.2"/>
    <row r="9047" customFormat="1" x14ac:dyDescent="0.2"/>
    <row r="9048" customFormat="1" x14ac:dyDescent="0.2"/>
    <row r="9049" customFormat="1" x14ac:dyDescent="0.2"/>
    <row r="9050" customFormat="1" x14ac:dyDescent="0.2"/>
    <row r="9051" customFormat="1" x14ac:dyDescent="0.2"/>
    <row r="9052" customFormat="1" x14ac:dyDescent="0.2"/>
    <row r="9053" customFormat="1" x14ac:dyDescent="0.2"/>
    <row r="9054" customFormat="1" x14ac:dyDescent="0.2"/>
    <row r="9055" customFormat="1" x14ac:dyDescent="0.2"/>
    <row r="9056" customFormat="1" x14ac:dyDescent="0.2"/>
    <row r="9057" customFormat="1" x14ac:dyDescent="0.2"/>
    <row r="9058" customFormat="1" x14ac:dyDescent="0.2"/>
    <row r="9059" customFormat="1" x14ac:dyDescent="0.2"/>
    <row r="9060" customFormat="1" x14ac:dyDescent="0.2"/>
    <row r="9061" customFormat="1" x14ac:dyDescent="0.2"/>
    <row r="9062" customFormat="1" x14ac:dyDescent="0.2"/>
    <row r="9063" customFormat="1" x14ac:dyDescent="0.2"/>
    <row r="9064" customFormat="1" x14ac:dyDescent="0.2"/>
    <row r="9065" customFormat="1" x14ac:dyDescent="0.2"/>
    <row r="9066" customFormat="1" x14ac:dyDescent="0.2"/>
    <row r="9067" customFormat="1" x14ac:dyDescent="0.2"/>
    <row r="9068" customFormat="1" x14ac:dyDescent="0.2"/>
    <row r="9069" customFormat="1" x14ac:dyDescent="0.2"/>
    <row r="9070" customFormat="1" x14ac:dyDescent="0.2"/>
    <row r="9071" customFormat="1" x14ac:dyDescent="0.2"/>
    <row r="9072" customFormat="1" x14ac:dyDescent="0.2"/>
    <row r="9073" customFormat="1" x14ac:dyDescent="0.2"/>
    <row r="9074" customFormat="1" x14ac:dyDescent="0.2"/>
    <row r="9075" customFormat="1" x14ac:dyDescent="0.2"/>
    <row r="9076" customFormat="1" x14ac:dyDescent="0.2"/>
    <row r="9077" customFormat="1" x14ac:dyDescent="0.2"/>
    <row r="9078" customFormat="1" x14ac:dyDescent="0.2"/>
    <row r="9079" customFormat="1" x14ac:dyDescent="0.2"/>
    <row r="9080" customFormat="1" x14ac:dyDescent="0.2"/>
    <row r="9081" customFormat="1" x14ac:dyDescent="0.2"/>
    <row r="9082" customFormat="1" x14ac:dyDescent="0.2"/>
    <row r="9083" customFormat="1" x14ac:dyDescent="0.2"/>
    <row r="9084" customFormat="1" x14ac:dyDescent="0.2"/>
    <row r="9085" customFormat="1" x14ac:dyDescent="0.2"/>
    <row r="9086" customFormat="1" x14ac:dyDescent="0.2"/>
    <row r="9087" customFormat="1" x14ac:dyDescent="0.2"/>
    <row r="9088" customFormat="1" x14ac:dyDescent="0.2"/>
    <row r="9089" customFormat="1" x14ac:dyDescent="0.2"/>
    <row r="9090" customFormat="1" x14ac:dyDescent="0.2"/>
    <row r="9091" customFormat="1" x14ac:dyDescent="0.2"/>
    <row r="9092" customFormat="1" x14ac:dyDescent="0.2"/>
    <row r="9093" customFormat="1" x14ac:dyDescent="0.2"/>
    <row r="9094" customFormat="1" x14ac:dyDescent="0.2"/>
    <row r="9095" customFormat="1" x14ac:dyDescent="0.2"/>
    <row r="9096" customFormat="1" x14ac:dyDescent="0.2"/>
    <row r="9097" customFormat="1" x14ac:dyDescent="0.2"/>
    <row r="9098" customFormat="1" x14ac:dyDescent="0.2"/>
    <row r="9099" customFormat="1" x14ac:dyDescent="0.2"/>
    <row r="9100" customFormat="1" x14ac:dyDescent="0.2"/>
    <row r="9101" customFormat="1" x14ac:dyDescent="0.2"/>
    <row r="9102" customFormat="1" x14ac:dyDescent="0.2"/>
    <row r="9103" customFormat="1" x14ac:dyDescent="0.2"/>
    <row r="9104" customFormat="1" x14ac:dyDescent="0.2"/>
    <row r="9105" customFormat="1" x14ac:dyDescent="0.2"/>
    <row r="9106" customFormat="1" x14ac:dyDescent="0.2"/>
    <row r="9107" customFormat="1" x14ac:dyDescent="0.2"/>
    <row r="9108" customFormat="1" x14ac:dyDescent="0.2"/>
    <row r="9109" customFormat="1" x14ac:dyDescent="0.2"/>
    <row r="9110" customFormat="1" x14ac:dyDescent="0.2"/>
    <row r="9111" customFormat="1" x14ac:dyDescent="0.2"/>
    <row r="9112" customFormat="1" x14ac:dyDescent="0.2"/>
    <row r="9113" customFormat="1" x14ac:dyDescent="0.2"/>
    <row r="9114" customFormat="1" x14ac:dyDescent="0.2"/>
    <row r="9115" customFormat="1" x14ac:dyDescent="0.2"/>
    <row r="9116" customFormat="1" x14ac:dyDescent="0.2"/>
    <row r="9117" customFormat="1" x14ac:dyDescent="0.2"/>
    <row r="9118" customFormat="1" x14ac:dyDescent="0.2"/>
    <row r="9119" customFormat="1" x14ac:dyDescent="0.2"/>
    <row r="9120" customFormat="1" x14ac:dyDescent="0.2"/>
    <row r="9121" customFormat="1" x14ac:dyDescent="0.2"/>
    <row r="9122" customFormat="1" x14ac:dyDescent="0.2"/>
    <row r="9123" customFormat="1" x14ac:dyDescent="0.2"/>
    <row r="9124" customFormat="1" x14ac:dyDescent="0.2"/>
    <row r="9125" customFormat="1" x14ac:dyDescent="0.2"/>
    <row r="9126" customFormat="1" x14ac:dyDescent="0.2"/>
    <row r="9127" customFormat="1" x14ac:dyDescent="0.2"/>
    <row r="9128" customFormat="1" x14ac:dyDescent="0.2"/>
    <row r="9129" customFormat="1" x14ac:dyDescent="0.2"/>
    <row r="9130" customFormat="1" x14ac:dyDescent="0.2"/>
    <row r="9131" customFormat="1" x14ac:dyDescent="0.2"/>
    <row r="9132" customFormat="1" x14ac:dyDescent="0.2"/>
    <row r="9133" customFormat="1" x14ac:dyDescent="0.2"/>
    <row r="9134" customFormat="1" x14ac:dyDescent="0.2"/>
    <row r="9135" customFormat="1" x14ac:dyDescent="0.2"/>
    <row r="9136" customFormat="1" x14ac:dyDescent="0.2"/>
    <row r="9137" customFormat="1" x14ac:dyDescent="0.2"/>
    <row r="9138" customFormat="1" x14ac:dyDescent="0.2"/>
    <row r="9139" customFormat="1" x14ac:dyDescent="0.2"/>
    <row r="9140" customFormat="1" x14ac:dyDescent="0.2"/>
    <row r="9141" customFormat="1" x14ac:dyDescent="0.2"/>
    <row r="9142" customFormat="1" x14ac:dyDescent="0.2"/>
    <row r="9143" customFormat="1" x14ac:dyDescent="0.2"/>
    <row r="9144" customFormat="1" x14ac:dyDescent="0.2"/>
    <row r="9145" customFormat="1" x14ac:dyDescent="0.2"/>
    <row r="9146" customFormat="1" x14ac:dyDescent="0.2"/>
    <row r="9147" customFormat="1" x14ac:dyDescent="0.2"/>
    <row r="9148" customFormat="1" x14ac:dyDescent="0.2"/>
    <row r="9149" customFormat="1" x14ac:dyDescent="0.2"/>
    <row r="9150" customFormat="1" x14ac:dyDescent="0.2"/>
    <row r="9151" customFormat="1" x14ac:dyDescent="0.2"/>
    <row r="9152" customFormat="1" x14ac:dyDescent="0.2"/>
    <row r="9153" customFormat="1" x14ac:dyDescent="0.2"/>
    <row r="9154" customFormat="1" x14ac:dyDescent="0.2"/>
    <row r="9155" customFormat="1" x14ac:dyDescent="0.2"/>
    <row r="9156" customFormat="1" x14ac:dyDescent="0.2"/>
    <row r="9157" customFormat="1" x14ac:dyDescent="0.2"/>
    <row r="9158" customFormat="1" x14ac:dyDescent="0.2"/>
    <row r="9159" customFormat="1" x14ac:dyDescent="0.2"/>
    <row r="9160" customFormat="1" x14ac:dyDescent="0.2"/>
    <row r="9161" customFormat="1" x14ac:dyDescent="0.2"/>
    <row r="9162" customFormat="1" x14ac:dyDescent="0.2"/>
    <row r="9163" customFormat="1" x14ac:dyDescent="0.2"/>
    <row r="9164" customFormat="1" x14ac:dyDescent="0.2"/>
    <row r="9165" customFormat="1" x14ac:dyDescent="0.2"/>
    <row r="9166" customFormat="1" x14ac:dyDescent="0.2"/>
    <row r="9167" customFormat="1" x14ac:dyDescent="0.2"/>
    <row r="9168" customFormat="1" x14ac:dyDescent="0.2"/>
    <row r="9169" customFormat="1" x14ac:dyDescent="0.2"/>
    <row r="9170" customFormat="1" x14ac:dyDescent="0.2"/>
    <row r="9171" customFormat="1" x14ac:dyDescent="0.2"/>
    <row r="9172" customFormat="1" x14ac:dyDescent="0.2"/>
    <row r="9173" customFormat="1" x14ac:dyDescent="0.2"/>
    <row r="9174" customFormat="1" x14ac:dyDescent="0.2"/>
    <row r="9175" customFormat="1" x14ac:dyDescent="0.2"/>
    <row r="9176" customFormat="1" x14ac:dyDescent="0.2"/>
    <row r="9177" customFormat="1" x14ac:dyDescent="0.2"/>
    <row r="9178" customFormat="1" x14ac:dyDescent="0.2"/>
    <row r="9179" customFormat="1" x14ac:dyDescent="0.2"/>
    <row r="9180" customFormat="1" x14ac:dyDescent="0.2"/>
    <row r="9181" customFormat="1" x14ac:dyDescent="0.2"/>
    <row r="9182" customFormat="1" x14ac:dyDescent="0.2"/>
    <row r="9183" customFormat="1" x14ac:dyDescent="0.2"/>
    <row r="9184" customFormat="1" x14ac:dyDescent="0.2"/>
    <row r="9185" customFormat="1" x14ac:dyDescent="0.2"/>
    <row r="9186" customFormat="1" x14ac:dyDescent="0.2"/>
    <row r="9187" customFormat="1" x14ac:dyDescent="0.2"/>
    <row r="9188" customFormat="1" x14ac:dyDescent="0.2"/>
    <row r="9189" customFormat="1" x14ac:dyDescent="0.2"/>
    <row r="9190" customFormat="1" x14ac:dyDescent="0.2"/>
    <row r="9191" customFormat="1" x14ac:dyDescent="0.2"/>
    <row r="9192" customFormat="1" x14ac:dyDescent="0.2"/>
    <row r="9193" customFormat="1" x14ac:dyDescent="0.2"/>
    <row r="9194" customFormat="1" x14ac:dyDescent="0.2"/>
    <row r="9195" customFormat="1" x14ac:dyDescent="0.2"/>
    <row r="9196" customFormat="1" x14ac:dyDescent="0.2"/>
    <row r="9197" customFormat="1" x14ac:dyDescent="0.2"/>
    <row r="9198" customFormat="1" x14ac:dyDescent="0.2"/>
    <row r="9199" customFormat="1" x14ac:dyDescent="0.2"/>
    <row r="9200" customFormat="1" x14ac:dyDescent="0.2"/>
    <row r="9201" customFormat="1" x14ac:dyDescent="0.2"/>
    <row r="9202" customFormat="1" x14ac:dyDescent="0.2"/>
    <row r="9203" customFormat="1" x14ac:dyDescent="0.2"/>
    <row r="9204" customFormat="1" x14ac:dyDescent="0.2"/>
    <row r="9205" customFormat="1" x14ac:dyDescent="0.2"/>
    <row r="9206" customFormat="1" x14ac:dyDescent="0.2"/>
    <row r="9207" customFormat="1" x14ac:dyDescent="0.2"/>
    <row r="9208" customFormat="1" x14ac:dyDescent="0.2"/>
    <row r="9209" customFormat="1" x14ac:dyDescent="0.2"/>
    <row r="9210" customFormat="1" x14ac:dyDescent="0.2"/>
    <row r="9211" customFormat="1" x14ac:dyDescent="0.2"/>
    <row r="9212" customFormat="1" x14ac:dyDescent="0.2"/>
    <row r="9213" customFormat="1" x14ac:dyDescent="0.2"/>
    <row r="9214" customFormat="1" x14ac:dyDescent="0.2"/>
    <row r="9215" customFormat="1" x14ac:dyDescent="0.2"/>
    <row r="9216" customFormat="1" x14ac:dyDescent="0.2"/>
    <row r="9217" customFormat="1" x14ac:dyDescent="0.2"/>
    <row r="9218" customFormat="1" x14ac:dyDescent="0.2"/>
    <row r="9219" customFormat="1" x14ac:dyDescent="0.2"/>
    <row r="9220" customFormat="1" x14ac:dyDescent="0.2"/>
    <row r="9221" customFormat="1" x14ac:dyDescent="0.2"/>
    <row r="9222" customFormat="1" x14ac:dyDescent="0.2"/>
    <row r="9223" customFormat="1" x14ac:dyDescent="0.2"/>
    <row r="9224" customFormat="1" x14ac:dyDescent="0.2"/>
    <row r="9225" customFormat="1" x14ac:dyDescent="0.2"/>
    <row r="9226" customFormat="1" x14ac:dyDescent="0.2"/>
    <row r="9227" customFormat="1" x14ac:dyDescent="0.2"/>
    <row r="9228" customFormat="1" x14ac:dyDescent="0.2"/>
    <row r="9229" customFormat="1" x14ac:dyDescent="0.2"/>
    <row r="9230" customFormat="1" x14ac:dyDescent="0.2"/>
    <row r="9231" customFormat="1" x14ac:dyDescent="0.2"/>
    <row r="9232" customFormat="1" x14ac:dyDescent="0.2"/>
    <row r="9233" customFormat="1" x14ac:dyDescent="0.2"/>
    <row r="9234" customFormat="1" x14ac:dyDescent="0.2"/>
    <row r="9235" customFormat="1" x14ac:dyDescent="0.2"/>
    <row r="9236" customFormat="1" x14ac:dyDescent="0.2"/>
    <row r="9237" customFormat="1" x14ac:dyDescent="0.2"/>
    <row r="9238" customFormat="1" x14ac:dyDescent="0.2"/>
    <row r="9239" customFormat="1" x14ac:dyDescent="0.2"/>
    <row r="9240" customFormat="1" x14ac:dyDescent="0.2"/>
    <row r="9241" customFormat="1" x14ac:dyDescent="0.2"/>
    <row r="9242" customFormat="1" x14ac:dyDescent="0.2"/>
    <row r="9243" customFormat="1" x14ac:dyDescent="0.2"/>
    <row r="9244" customFormat="1" x14ac:dyDescent="0.2"/>
    <row r="9245" customFormat="1" x14ac:dyDescent="0.2"/>
    <row r="9246" customFormat="1" x14ac:dyDescent="0.2"/>
    <row r="9247" customFormat="1" x14ac:dyDescent="0.2"/>
    <row r="9248" customFormat="1" x14ac:dyDescent="0.2"/>
    <row r="9249" customFormat="1" x14ac:dyDescent="0.2"/>
    <row r="9250" customFormat="1" x14ac:dyDescent="0.2"/>
    <row r="9251" customFormat="1" x14ac:dyDescent="0.2"/>
    <row r="9252" customFormat="1" x14ac:dyDescent="0.2"/>
    <row r="9253" customFormat="1" x14ac:dyDescent="0.2"/>
    <row r="9254" customFormat="1" x14ac:dyDescent="0.2"/>
    <row r="9255" customFormat="1" x14ac:dyDescent="0.2"/>
    <row r="9256" customFormat="1" x14ac:dyDescent="0.2"/>
    <row r="9257" customFormat="1" x14ac:dyDescent="0.2"/>
    <row r="9258" customFormat="1" x14ac:dyDescent="0.2"/>
    <row r="9259" customFormat="1" x14ac:dyDescent="0.2"/>
    <row r="9260" customFormat="1" x14ac:dyDescent="0.2"/>
    <row r="9261" customFormat="1" x14ac:dyDescent="0.2"/>
    <row r="9262" customFormat="1" x14ac:dyDescent="0.2"/>
    <row r="9263" customFormat="1" x14ac:dyDescent="0.2"/>
    <row r="9264" customFormat="1" x14ac:dyDescent="0.2"/>
    <row r="9265" customFormat="1" x14ac:dyDescent="0.2"/>
    <row r="9266" customFormat="1" x14ac:dyDescent="0.2"/>
    <row r="9267" customFormat="1" x14ac:dyDescent="0.2"/>
    <row r="9268" customFormat="1" x14ac:dyDescent="0.2"/>
    <row r="9269" customFormat="1" x14ac:dyDescent="0.2"/>
    <row r="9270" customFormat="1" x14ac:dyDescent="0.2"/>
    <row r="9271" customFormat="1" x14ac:dyDescent="0.2"/>
    <row r="9272" customFormat="1" x14ac:dyDescent="0.2"/>
    <row r="9273" customFormat="1" x14ac:dyDescent="0.2"/>
    <row r="9274" customFormat="1" x14ac:dyDescent="0.2"/>
    <row r="9275" customFormat="1" x14ac:dyDescent="0.2"/>
    <row r="9276" customFormat="1" x14ac:dyDescent="0.2"/>
    <row r="9277" customFormat="1" x14ac:dyDescent="0.2"/>
    <row r="9278" customFormat="1" x14ac:dyDescent="0.2"/>
    <row r="9279" customFormat="1" x14ac:dyDescent="0.2"/>
    <row r="9280" customFormat="1" x14ac:dyDescent="0.2"/>
    <row r="9281" customFormat="1" x14ac:dyDescent="0.2"/>
    <row r="9282" customFormat="1" x14ac:dyDescent="0.2"/>
    <row r="9283" customFormat="1" x14ac:dyDescent="0.2"/>
    <row r="9284" customFormat="1" x14ac:dyDescent="0.2"/>
    <row r="9285" customFormat="1" x14ac:dyDescent="0.2"/>
    <row r="9286" customFormat="1" x14ac:dyDescent="0.2"/>
    <row r="9287" customFormat="1" x14ac:dyDescent="0.2"/>
    <row r="9288" customFormat="1" x14ac:dyDescent="0.2"/>
    <row r="9289" customFormat="1" x14ac:dyDescent="0.2"/>
    <row r="9290" customFormat="1" x14ac:dyDescent="0.2"/>
    <row r="9291" customFormat="1" x14ac:dyDescent="0.2"/>
    <row r="9292" customFormat="1" x14ac:dyDescent="0.2"/>
    <row r="9293" customFormat="1" x14ac:dyDescent="0.2"/>
    <row r="9294" customFormat="1" x14ac:dyDescent="0.2"/>
    <row r="9295" customFormat="1" x14ac:dyDescent="0.2"/>
    <row r="9296" customFormat="1" x14ac:dyDescent="0.2"/>
    <row r="9297" customFormat="1" x14ac:dyDescent="0.2"/>
    <row r="9298" customFormat="1" x14ac:dyDescent="0.2"/>
    <row r="9299" customFormat="1" x14ac:dyDescent="0.2"/>
    <row r="9300" customFormat="1" x14ac:dyDescent="0.2"/>
    <row r="9301" customFormat="1" x14ac:dyDescent="0.2"/>
    <row r="9302" customFormat="1" x14ac:dyDescent="0.2"/>
    <row r="9303" customFormat="1" x14ac:dyDescent="0.2"/>
    <row r="9304" customFormat="1" x14ac:dyDescent="0.2"/>
    <row r="9305" customFormat="1" x14ac:dyDescent="0.2"/>
    <row r="9306" customFormat="1" x14ac:dyDescent="0.2"/>
    <row r="9307" customFormat="1" x14ac:dyDescent="0.2"/>
    <row r="9308" customFormat="1" x14ac:dyDescent="0.2"/>
    <row r="9309" customFormat="1" x14ac:dyDescent="0.2"/>
    <row r="9310" customFormat="1" x14ac:dyDescent="0.2"/>
    <row r="9311" customFormat="1" x14ac:dyDescent="0.2"/>
    <row r="9312" customFormat="1" x14ac:dyDescent="0.2"/>
    <row r="9313" customFormat="1" x14ac:dyDescent="0.2"/>
    <row r="9314" customFormat="1" x14ac:dyDescent="0.2"/>
    <row r="9315" customFormat="1" x14ac:dyDescent="0.2"/>
    <row r="9316" customFormat="1" x14ac:dyDescent="0.2"/>
    <row r="9317" customFormat="1" x14ac:dyDescent="0.2"/>
    <row r="9318" customFormat="1" x14ac:dyDescent="0.2"/>
    <row r="9319" customFormat="1" x14ac:dyDescent="0.2"/>
    <row r="9320" customFormat="1" x14ac:dyDescent="0.2"/>
    <row r="9321" customFormat="1" x14ac:dyDescent="0.2"/>
    <row r="9322" customFormat="1" x14ac:dyDescent="0.2"/>
    <row r="9323" customFormat="1" x14ac:dyDescent="0.2"/>
    <row r="9324" customFormat="1" x14ac:dyDescent="0.2"/>
    <row r="9325" customFormat="1" x14ac:dyDescent="0.2"/>
    <row r="9326" customFormat="1" x14ac:dyDescent="0.2"/>
    <row r="9327" customFormat="1" x14ac:dyDescent="0.2"/>
    <row r="9328" customFormat="1" x14ac:dyDescent="0.2"/>
    <row r="9329" customFormat="1" x14ac:dyDescent="0.2"/>
    <row r="9330" customFormat="1" x14ac:dyDescent="0.2"/>
    <row r="9331" customFormat="1" x14ac:dyDescent="0.2"/>
    <row r="9332" customFormat="1" x14ac:dyDescent="0.2"/>
    <row r="9333" customFormat="1" x14ac:dyDescent="0.2"/>
    <row r="9334" customFormat="1" x14ac:dyDescent="0.2"/>
    <row r="9335" customFormat="1" x14ac:dyDescent="0.2"/>
    <row r="9336" customFormat="1" x14ac:dyDescent="0.2"/>
    <row r="9337" customFormat="1" x14ac:dyDescent="0.2"/>
    <row r="9338" customFormat="1" x14ac:dyDescent="0.2"/>
    <row r="9339" customFormat="1" x14ac:dyDescent="0.2"/>
    <row r="9340" customFormat="1" x14ac:dyDescent="0.2"/>
    <row r="9341" customFormat="1" x14ac:dyDescent="0.2"/>
    <row r="9342" customFormat="1" x14ac:dyDescent="0.2"/>
    <row r="9343" customFormat="1" x14ac:dyDescent="0.2"/>
    <row r="9344" customFormat="1" x14ac:dyDescent="0.2"/>
    <row r="9345" customFormat="1" x14ac:dyDescent="0.2"/>
    <row r="9346" customFormat="1" x14ac:dyDescent="0.2"/>
    <row r="9347" customFormat="1" x14ac:dyDescent="0.2"/>
    <row r="9348" customFormat="1" x14ac:dyDescent="0.2"/>
    <row r="9349" customFormat="1" x14ac:dyDescent="0.2"/>
    <row r="9350" customFormat="1" x14ac:dyDescent="0.2"/>
    <row r="9351" customFormat="1" x14ac:dyDescent="0.2"/>
    <row r="9352" customFormat="1" x14ac:dyDescent="0.2"/>
    <row r="9353" customFormat="1" x14ac:dyDescent="0.2"/>
    <row r="9354" customFormat="1" x14ac:dyDescent="0.2"/>
    <row r="9355" customFormat="1" x14ac:dyDescent="0.2"/>
    <row r="9356" customFormat="1" x14ac:dyDescent="0.2"/>
    <row r="9357" customFormat="1" x14ac:dyDescent="0.2"/>
    <row r="9358" customFormat="1" x14ac:dyDescent="0.2"/>
    <row r="9359" customFormat="1" x14ac:dyDescent="0.2"/>
    <row r="9360" customFormat="1" x14ac:dyDescent="0.2"/>
    <row r="9361" customFormat="1" x14ac:dyDescent="0.2"/>
    <row r="9362" customFormat="1" x14ac:dyDescent="0.2"/>
    <row r="9363" customFormat="1" x14ac:dyDescent="0.2"/>
    <row r="9364" customFormat="1" x14ac:dyDescent="0.2"/>
    <row r="9365" customFormat="1" x14ac:dyDescent="0.2"/>
    <row r="9366" customFormat="1" x14ac:dyDescent="0.2"/>
    <row r="9367" customFormat="1" x14ac:dyDescent="0.2"/>
    <row r="9368" customFormat="1" x14ac:dyDescent="0.2"/>
    <row r="9369" customFormat="1" x14ac:dyDescent="0.2"/>
    <row r="9370" customFormat="1" x14ac:dyDescent="0.2"/>
    <row r="9371" customFormat="1" x14ac:dyDescent="0.2"/>
    <row r="9372" customFormat="1" x14ac:dyDescent="0.2"/>
    <row r="9373" customFormat="1" x14ac:dyDescent="0.2"/>
    <row r="9374" customFormat="1" x14ac:dyDescent="0.2"/>
    <row r="9375" customFormat="1" x14ac:dyDescent="0.2"/>
    <row r="9376" customFormat="1" x14ac:dyDescent="0.2"/>
    <row r="9377" customFormat="1" x14ac:dyDescent="0.2"/>
    <row r="9378" customFormat="1" x14ac:dyDescent="0.2"/>
    <row r="9379" customFormat="1" x14ac:dyDescent="0.2"/>
    <row r="9380" customFormat="1" x14ac:dyDescent="0.2"/>
    <row r="9381" customFormat="1" x14ac:dyDescent="0.2"/>
    <row r="9382" customFormat="1" x14ac:dyDescent="0.2"/>
    <row r="9383" customFormat="1" x14ac:dyDescent="0.2"/>
    <row r="9384" customFormat="1" x14ac:dyDescent="0.2"/>
    <row r="9385" customFormat="1" x14ac:dyDescent="0.2"/>
    <row r="9386" customFormat="1" x14ac:dyDescent="0.2"/>
    <row r="9387" customFormat="1" x14ac:dyDescent="0.2"/>
    <row r="9388" customFormat="1" x14ac:dyDescent="0.2"/>
    <row r="9389" customFormat="1" x14ac:dyDescent="0.2"/>
    <row r="9390" customFormat="1" x14ac:dyDescent="0.2"/>
    <row r="9391" customFormat="1" x14ac:dyDescent="0.2"/>
    <row r="9392" customFormat="1" x14ac:dyDescent="0.2"/>
    <row r="9393" customFormat="1" x14ac:dyDescent="0.2"/>
    <row r="9394" customFormat="1" x14ac:dyDescent="0.2"/>
    <row r="9395" customFormat="1" x14ac:dyDescent="0.2"/>
    <row r="9396" customFormat="1" x14ac:dyDescent="0.2"/>
    <row r="9397" customFormat="1" x14ac:dyDescent="0.2"/>
    <row r="9398" customFormat="1" x14ac:dyDescent="0.2"/>
    <row r="9399" customFormat="1" x14ac:dyDescent="0.2"/>
    <row r="9400" customFormat="1" x14ac:dyDescent="0.2"/>
    <row r="9401" customFormat="1" x14ac:dyDescent="0.2"/>
    <row r="9402" customFormat="1" x14ac:dyDescent="0.2"/>
    <row r="9403" customFormat="1" x14ac:dyDescent="0.2"/>
    <row r="9404" customFormat="1" x14ac:dyDescent="0.2"/>
    <row r="9405" customFormat="1" x14ac:dyDescent="0.2"/>
    <row r="9406" customFormat="1" x14ac:dyDescent="0.2"/>
    <row r="9407" customFormat="1" x14ac:dyDescent="0.2"/>
    <row r="9408" customFormat="1" x14ac:dyDescent="0.2"/>
    <row r="9409" customFormat="1" x14ac:dyDescent="0.2"/>
    <row r="9410" customFormat="1" x14ac:dyDescent="0.2"/>
    <row r="9411" customFormat="1" x14ac:dyDescent="0.2"/>
    <row r="9412" customFormat="1" x14ac:dyDescent="0.2"/>
    <row r="9413" customFormat="1" x14ac:dyDescent="0.2"/>
    <row r="9414" customFormat="1" x14ac:dyDescent="0.2"/>
    <row r="9415" customFormat="1" x14ac:dyDescent="0.2"/>
    <row r="9416" customFormat="1" x14ac:dyDescent="0.2"/>
    <row r="9417" customFormat="1" x14ac:dyDescent="0.2"/>
    <row r="9418" customFormat="1" x14ac:dyDescent="0.2"/>
    <row r="9419" customFormat="1" x14ac:dyDescent="0.2"/>
    <row r="9420" customFormat="1" x14ac:dyDescent="0.2"/>
    <row r="9421" customFormat="1" x14ac:dyDescent="0.2"/>
    <row r="9422" customFormat="1" x14ac:dyDescent="0.2"/>
    <row r="9423" customFormat="1" x14ac:dyDescent="0.2"/>
    <row r="9424" customFormat="1" x14ac:dyDescent="0.2"/>
    <row r="9425" customFormat="1" x14ac:dyDescent="0.2"/>
    <row r="9426" customFormat="1" x14ac:dyDescent="0.2"/>
    <row r="9427" customFormat="1" x14ac:dyDescent="0.2"/>
    <row r="9428" customFormat="1" x14ac:dyDescent="0.2"/>
    <row r="9429" customFormat="1" x14ac:dyDescent="0.2"/>
    <row r="9430" customFormat="1" x14ac:dyDescent="0.2"/>
    <row r="9431" customFormat="1" x14ac:dyDescent="0.2"/>
    <row r="9432" customFormat="1" x14ac:dyDescent="0.2"/>
    <row r="9433" customFormat="1" x14ac:dyDescent="0.2"/>
    <row r="9434" customFormat="1" x14ac:dyDescent="0.2"/>
    <row r="9435" customFormat="1" x14ac:dyDescent="0.2"/>
    <row r="9436" customFormat="1" x14ac:dyDescent="0.2"/>
    <row r="9437" customFormat="1" x14ac:dyDescent="0.2"/>
    <row r="9438" customFormat="1" x14ac:dyDescent="0.2"/>
    <row r="9439" customFormat="1" x14ac:dyDescent="0.2"/>
    <row r="9440" customFormat="1" x14ac:dyDescent="0.2"/>
    <row r="9441" customFormat="1" x14ac:dyDescent="0.2"/>
    <row r="9442" customFormat="1" x14ac:dyDescent="0.2"/>
    <row r="9443" customFormat="1" x14ac:dyDescent="0.2"/>
    <row r="9444" customFormat="1" x14ac:dyDescent="0.2"/>
    <row r="9445" customFormat="1" x14ac:dyDescent="0.2"/>
    <row r="9446" customFormat="1" x14ac:dyDescent="0.2"/>
    <row r="9447" customFormat="1" x14ac:dyDescent="0.2"/>
    <row r="9448" customFormat="1" x14ac:dyDescent="0.2"/>
    <row r="9449" customFormat="1" x14ac:dyDescent="0.2"/>
    <row r="9450" customFormat="1" x14ac:dyDescent="0.2"/>
    <row r="9451" customFormat="1" x14ac:dyDescent="0.2"/>
    <row r="9452" customFormat="1" x14ac:dyDescent="0.2"/>
    <row r="9453" customFormat="1" x14ac:dyDescent="0.2"/>
    <row r="9454" customFormat="1" x14ac:dyDescent="0.2"/>
    <row r="9455" customFormat="1" x14ac:dyDescent="0.2"/>
    <row r="9456" customFormat="1" x14ac:dyDescent="0.2"/>
    <row r="9457" customFormat="1" x14ac:dyDescent="0.2"/>
    <row r="9458" customFormat="1" x14ac:dyDescent="0.2"/>
    <row r="9459" customFormat="1" x14ac:dyDescent="0.2"/>
    <row r="9460" customFormat="1" x14ac:dyDescent="0.2"/>
    <row r="9461" customFormat="1" x14ac:dyDescent="0.2"/>
    <row r="9462" customFormat="1" x14ac:dyDescent="0.2"/>
    <row r="9463" customFormat="1" x14ac:dyDescent="0.2"/>
    <row r="9464" customFormat="1" x14ac:dyDescent="0.2"/>
    <row r="9465" customFormat="1" x14ac:dyDescent="0.2"/>
    <row r="9466" customFormat="1" x14ac:dyDescent="0.2"/>
    <row r="9467" customFormat="1" x14ac:dyDescent="0.2"/>
    <row r="9468" customFormat="1" x14ac:dyDescent="0.2"/>
    <row r="9469" customFormat="1" x14ac:dyDescent="0.2"/>
    <row r="9470" customFormat="1" x14ac:dyDescent="0.2"/>
    <row r="9471" customFormat="1" x14ac:dyDescent="0.2"/>
    <row r="9472" customFormat="1" x14ac:dyDescent="0.2"/>
    <row r="9473" customFormat="1" x14ac:dyDescent="0.2"/>
    <row r="9474" customFormat="1" x14ac:dyDescent="0.2"/>
    <row r="9475" customFormat="1" x14ac:dyDescent="0.2"/>
    <row r="9476" customFormat="1" x14ac:dyDescent="0.2"/>
    <row r="9477" customFormat="1" x14ac:dyDescent="0.2"/>
    <row r="9478" customFormat="1" x14ac:dyDescent="0.2"/>
    <row r="9479" customFormat="1" x14ac:dyDescent="0.2"/>
    <row r="9480" customFormat="1" x14ac:dyDescent="0.2"/>
    <row r="9481" customFormat="1" x14ac:dyDescent="0.2"/>
    <row r="9482" customFormat="1" x14ac:dyDescent="0.2"/>
    <row r="9483" customFormat="1" x14ac:dyDescent="0.2"/>
    <row r="9484" customFormat="1" x14ac:dyDescent="0.2"/>
    <row r="9485" customFormat="1" x14ac:dyDescent="0.2"/>
    <row r="9486" customFormat="1" x14ac:dyDescent="0.2"/>
    <row r="9487" customFormat="1" x14ac:dyDescent="0.2"/>
    <row r="9488" customFormat="1" x14ac:dyDescent="0.2"/>
    <row r="9489" customFormat="1" x14ac:dyDescent="0.2"/>
    <row r="9490" customFormat="1" x14ac:dyDescent="0.2"/>
    <row r="9491" customFormat="1" x14ac:dyDescent="0.2"/>
    <row r="9492" customFormat="1" x14ac:dyDescent="0.2"/>
    <row r="9493" customFormat="1" x14ac:dyDescent="0.2"/>
    <row r="9494" customFormat="1" x14ac:dyDescent="0.2"/>
    <row r="9495" customFormat="1" x14ac:dyDescent="0.2"/>
    <row r="9496" customFormat="1" x14ac:dyDescent="0.2"/>
    <row r="9497" customFormat="1" x14ac:dyDescent="0.2"/>
    <row r="9498" customFormat="1" x14ac:dyDescent="0.2"/>
    <row r="9499" customFormat="1" x14ac:dyDescent="0.2"/>
    <row r="9500" customFormat="1" x14ac:dyDescent="0.2"/>
    <row r="9501" customFormat="1" x14ac:dyDescent="0.2"/>
    <row r="9502" customFormat="1" x14ac:dyDescent="0.2"/>
    <row r="9503" customFormat="1" x14ac:dyDescent="0.2"/>
    <row r="9504" customFormat="1" x14ac:dyDescent="0.2"/>
    <row r="9505" customFormat="1" x14ac:dyDescent="0.2"/>
    <row r="9506" customFormat="1" x14ac:dyDescent="0.2"/>
    <row r="9507" customFormat="1" x14ac:dyDescent="0.2"/>
    <row r="9508" customFormat="1" x14ac:dyDescent="0.2"/>
    <row r="9509" customFormat="1" x14ac:dyDescent="0.2"/>
    <row r="9510" customFormat="1" x14ac:dyDescent="0.2"/>
    <row r="9511" customFormat="1" x14ac:dyDescent="0.2"/>
    <row r="9512" customFormat="1" x14ac:dyDescent="0.2"/>
    <row r="9513" customFormat="1" x14ac:dyDescent="0.2"/>
    <row r="9514" customFormat="1" x14ac:dyDescent="0.2"/>
    <row r="9515" customFormat="1" x14ac:dyDescent="0.2"/>
    <row r="9516" customFormat="1" x14ac:dyDescent="0.2"/>
    <row r="9517" customFormat="1" x14ac:dyDescent="0.2"/>
    <row r="9518" customFormat="1" x14ac:dyDescent="0.2"/>
    <row r="9519" customFormat="1" x14ac:dyDescent="0.2"/>
    <row r="9520" customFormat="1" x14ac:dyDescent="0.2"/>
    <row r="9521" customFormat="1" x14ac:dyDescent="0.2"/>
    <row r="9522" customFormat="1" x14ac:dyDescent="0.2"/>
    <row r="9523" customFormat="1" x14ac:dyDescent="0.2"/>
    <row r="9524" customFormat="1" x14ac:dyDescent="0.2"/>
    <row r="9525" customFormat="1" x14ac:dyDescent="0.2"/>
    <row r="9526" customFormat="1" x14ac:dyDescent="0.2"/>
    <row r="9527" customFormat="1" x14ac:dyDescent="0.2"/>
    <row r="9528" customFormat="1" x14ac:dyDescent="0.2"/>
    <row r="9529" customFormat="1" x14ac:dyDescent="0.2"/>
    <row r="9530" customFormat="1" x14ac:dyDescent="0.2"/>
    <row r="9531" customFormat="1" x14ac:dyDescent="0.2"/>
    <row r="9532" customFormat="1" x14ac:dyDescent="0.2"/>
    <row r="9533" customFormat="1" x14ac:dyDescent="0.2"/>
    <row r="9534" customFormat="1" x14ac:dyDescent="0.2"/>
    <row r="9535" customFormat="1" x14ac:dyDescent="0.2"/>
    <row r="9536" customFormat="1" x14ac:dyDescent="0.2"/>
    <row r="9537" customFormat="1" x14ac:dyDescent="0.2"/>
    <row r="9538" customFormat="1" x14ac:dyDescent="0.2"/>
    <row r="9539" customFormat="1" x14ac:dyDescent="0.2"/>
    <row r="9540" customFormat="1" x14ac:dyDescent="0.2"/>
    <row r="9541" customFormat="1" x14ac:dyDescent="0.2"/>
    <row r="9542" customFormat="1" x14ac:dyDescent="0.2"/>
    <row r="9543" customFormat="1" x14ac:dyDescent="0.2"/>
    <row r="9544" customFormat="1" x14ac:dyDescent="0.2"/>
    <row r="9545" customFormat="1" x14ac:dyDescent="0.2"/>
    <row r="9546" customFormat="1" x14ac:dyDescent="0.2"/>
    <row r="9547" customFormat="1" x14ac:dyDescent="0.2"/>
    <row r="9548" customFormat="1" x14ac:dyDescent="0.2"/>
    <row r="9549" customFormat="1" x14ac:dyDescent="0.2"/>
    <row r="9550" customFormat="1" x14ac:dyDescent="0.2"/>
    <row r="9551" customFormat="1" x14ac:dyDescent="0.2"/>
    <row r="9552" customFormat="1" x14ac:dyDescent="0.2"/>
    <row r="9553" customFormat="1" x14ac:dyDescent="0.2"/>
    <row r="9554" customFormat="1" x14ac:dyDescent="0.2"/>
    <row r="9555" customFormat="1" x14ac:dyDescent="0.2"/>
    <row r="9556" customFormat="1" x14ac:dyDescent="0.2"/>
    <row r="9557" customFormat="1" x14ac:dyDescent="0.2"/>
    <row r="9558" customFormat="1" x14ac:dyDescent="0.2"/>
    <row r="9559" customFormat="1" x14ac:dyDescent="0.2"/>
    <row r="9560" customFormat="1" x14ac:dyDescent="0.2"/>
    <row r="9561" customFormat="1" x14ac:dyDescent="0.2"/>
    <row r="9562" customFormat="1" x14ac:dyDescent="0.2"/>
    <row r="9563" customFormat="1" x14ac:dyDescent="0.2"/>
    <row r="9564" customFormat="1" x14ac:dyDescent="0.2"/>
    <row r="9565" customFormat="1" x14ac:dyDescent="0.2"/>
    <row r="9566" customFormat="1" x14ac:dyDescent="0.2"/>
    <row r="9567" customFormat="1" x14ac:dyDescent="0.2"/>
    <row r="9568" customFormat="1" x14ac:dyDescent="0.2"/>
    <row r="9569" customFormat="1" x14ac:dyDescent="0.2"/>
    <row r="9570" customFormat="1" x14ac:dyDescent="0.2"/>
    <row r="9571" customFormat="1" x14ac:dyDescent="0.2"/>
    <row r="9572" customFormat="1" x14ac:dyDescent="0.2"/>
    <row r="9573" customFormat="1" x14ac:dyDescent="0.2"/>
    <row r="9574" customFormat="1" x14ac:dyDescent="0.2"/>
    <row r="9575" customFormat="1" x14ac:dyDescent="0.2"/>
    <row r="9576" customFormat="1" x14ac:dyDescent="0.2"/>
    <row r="9577" customFormat="1" x14ac:dyDescent="0.2"/>
    <row r="9578" customFormat="1" x14ac:dyDescent="0.2"/>
    <row r="9579" customFormat="1" x14ac:dyDescent="0.2"/>
    <row r="9580" customFormat="1" x14ac:dyDescent="0.2"/>
    <row r="9581" customFormat="1" x14ac:dyDescent="0.2"/>
    <row r="9582" customFormat="1" x14ac:dyDescent="0.2"/>
    <row r="9583" customFormat="1" x14ac:dyDescent="0.2"/>
    <row r="9584" customFormat="1" x14ac:dyDescent="0.2"/>
    <row r="9585" customFormat="1" x14ac:dyDescent="0.2"/>
    <row r="9586" customFormat="1" x14ac:dyDescent="0.2"/>
    <row r="9587" customFormat="1" x14ac:dyDescent="0.2"/>
    <row r="9588" customFormat="1" x14ac:dyDescent="0.2"/>
    <row r="9589" customFormat="1" x14ac:dyDescent="0.2"/>
    <row r="9590" customFormat="1" x14ac:dyDescent="0.2"/>
    <row r="9591" customFormat="1" x14ac:dyDescent="0.2"/>
    <row r="9592" customFormat="1" x14ac:dyDescent="0.2"/>
    <row r="9593" customFormat="1" x14ac:dyDescent="0.2"/>
    <row r="9594" customFormat="1" x14ac:dyDescent="0.2"/>
    <row r="9595" customFormat="1" x14ac:dyDescent="0.2"/>
    <row r="9596" customFormat="1" x14ac:dyDescent="0.2"/>
    <row r="9597" customFormat="1" x14ac:dyDescent="0.2"/>
    <row r="9598" customFormat="1" x14ac:dyDescent="0.2"/>
    <row r="9599" customFormat="1" x14ac:dyDescent="0.2"/>
    <row r="9600" customFormat="1" x14ac:dyDescent="0.2"/>
    <row r="9601" customFormat="1" x14ac:dyDescent="0.2"/>
    <row r="9602" customFormat="1" x14ac:dyDescent="0.2"/>
    <row r="9603" customFormat="1" x14ac:dyDescent="0.2"/>
    <row r="9604" customFormat="1" x14ac:dyDescent="0.2"/>
    <row r="9605" customFormat="1" x14ac:dyDescent="0.2"/>
    <row r="9606" customFormat="1" x14ac:dyDescent="0.2"/>
    <row r="9607" customFormat="1" x14ac:dyDescent="0.2"/>
    <row r="9608" customFormat="1" x14ac:dyDescent="0.2"/>
    <row r="9609" customFormat="1" x14ac:dyDescent="0.2"/>
    <row r="9610" customFormat="1" x14ac:dyDescent="0.2"/>
    <row r="9611" customFormat="1" x14ac:dyDescent="0.2"/>
    <row r="9612" customFormat="1" x14ac:dyDescent="0.2"/>
    <row r="9613" customFormat="1" x14ac:dyDescent="0.2"/>
    <row r="9614" customFormat="1" x14ac:dyDescent="0.2"/>
    <row r="9615" customFormat="1" x14ac:dyDescent="0.2"/>
    <row r="9616" customFormat="1" x14ac:dyDescent="0.2"/>
    <row r="9617" customFormat="1" x14ac:dyDescent="0.2"/>
    <row r="9618" customFormat="1" x14ac:dyDescent="0.2"/>
    <row r="9619" customFormat="1" x14ac:dyDescent="0.2"/>
    <row r="9620" customFormat="1" x14ac:dyDescent="0.2"/>
    <row r="9621" customFormat="1" x14ac:dyDescent="0.2"/>
    <row r="9622" customFormat="1" x14ac:dyDescent="0.2"/>
    <row r="9623" customFormat="1" x14ac:dyDescent="0.2"/>
    <row r="9624" customFormat="1" x14ac:dyDescent="0.2"/>
    <row r="9625" customFormat="1" x14ac:dyDescent="0.2"/>
    <row r="9626" customFormat="1" x14ac:dyDescent="0.2"/>
    <row r="9627" customFormat="1" x14ac:dyDescent="0.2"/>
    <row r="9628" customFormat="1" x14ac:dyDescent="0.2"/>
    <row r="9629" customFormat="1" x14ac:dyDescent="0.2"/>
    <row r="9630" customFormat="1" x14ac:dyDescent="0.2"/>
    <row r="9631" customFormat="1" x14ac:dyDescent="0.2"/>
    <row r="9632" customFormat="1" x14ac:dyDescent="0.2"/>
    <row r="9633" customFormat="1" x14ac:dyDescent="0.2"/>
    <row r="9634" customFormat="1" x14ac:dyDescent="0.2"/>
    <row r="9635" customFormat="1" x14ac:dyDescent="0.2"/>
    <row r="9636" customFormat="1" x14ac:dyDescent="0.2"/>
    <row r="9637" customFormat="1" x14ac:dyDescent="0.2"/>
    <row r="9638" customFormat="1" x14ac:dyDescent="0.2"/>
    <row r="9639" customFormat="1" x14ac:dyDescent="0.2"/>
    <row r="9640" customFormat="1" x14ac:dyDescent="0.2"/>
    <row r="9641" customFormat="1" x14ac:dyDescent="0.2"/>
    <row r="9642" customFormat="1" x14ac:dyDescent="0.2"/>
    <row r="9643" customFormat="1" x14ac:dyDescent="0.2"/>
    <row r="9644" customFormat="1" x14ac:dyDescent="0.2"/>
    <row r="9645" customFormat="1" x14ac:dyDescent="0.2"/>
    <row r="9646" customFormat="1" x14ac:dyDescent="0.2"/>
    <row r="9647" customFormat="1" x14ac:dyDescent="0.2"/>
    <row r="9648" customFormat="1" x14ac:dyDescent="0.2"/>
    <row r="9649" customFormat="1" x14ac:dyDescent="0.2"/>
    <row r="9650" customFormat="1" x14ac:dyDescent="0.2"/>
    <row r="9651" customFormat="1" x14ac:dyDescent="0.2"/>
    <row r="9652" customFormat="1" x14ac:dyDescent="0.2"/>
    <row r="9653" customFormat="1" x14ac:dyDescent="0.2"/>
    <row r="9654" customFormat="1" x14ac:dyDescent="0.2"/>
    <row r="9655" customFormat="1" x14ac:dyDescent="0.2"/>
    <row r="9656" customFormat="1" x14ac:dyDescent="0.2"/>
    <row r="9657" customFormat="1" x14ac:dyDescent="0.2"/>
    <row r="9658" customFormat="1" x14ac:dyDescent="0.2"/>
    <row r="9659" customFormat="1" x14ac:dyDescent="0.2"/>
    <row r="9660" customFormat="1" x14ac:dyDescent="0.2"/>
    <row r="9661" customFormat="1" x14ac:dyDescent="0.2"/>
    <row r="9662" customFormat="1" x14ac:dyDescent="0.2"/>
    <row r="9663" customFormat="1" x14ac:dyDescent="0.2"/>
    <row r="9664" customFormat="1" x14ac:dyDescent="0.2"/>
    <row r="9665" customFormat="1" x14ac:dyDescent="0.2"/>
    <row r="9666" customFormat="1" x14ac:dyDescent="0.2"/>
    <row r="9667" customFormat="1" x14ac:dyDescent="0.2"/>
    <row r="9668" customFormat="1" x14ac:dyDescent="0.2"/>
    <row r="9669" customFormat="1" x14ac:dyDescent="0.2"/>
    <row r="9670" customFormat="1" x14ac:dyDescent="0.2"/>
    <row r="9671" customFormat="1" x14ac:dyDescent="0.2"/>
    <row r="9672" customFormat="1" x14ac:dyDescent="0.2"/>
    <row r="9673" customFormat="1" x14ac:dyDescent="0.2"/>
    <row r="9674" customFormat="1" x14ac:dyDescent="0.2"/>
    <row r="9675" customFormat="1" x14ac:dyDescent="0.2"/>
    <row r="9676" customFormat="1" x14ac:dyDescent="0.2"/>
    <row r="9677" customFormat="1" x14ac:dyDescent="0.2"/>
    <row r="9678" customFormat="1" x14ac:dyDescent="0.2"/>
    <row r="9679" customFormat="1" x14ac:dyDescent="0.2"/>
    <row r="9680" customFormat="1" x14ac:dyDescent="0.2"/>
    <row r="9681" customFormat="1" x14ac:dyDescent="0.2"/>
    <row r="9682" customFormat="1" x14ac:dyDescent="0.2"/>
    <row r="9683" customFormat="1" x14ac:dyDescent="0.2"/>
    <row r="9684" customFormat="1" x14ac:dyDescent="0.2"/>
    <row r="9685" customFormat="1" x14ac:dyDescent="0.2"/>
    <row r="9686" customFormat="1" x14ac:dyDescent="0.2"/>
    <row r="9687" customFormat="1" x14ac:dyDescent="0.2"/>
    <row r="9688" customFormat="1" x14ac:dyDescent="0.2"/>
    <row r="9689" customFormat="1" x14ac:dyDescent="0.2"/>
    <row r="9690" customFormat="1" x14ac:dyDescent="0.2"/>
    <row r="9691" customFormat="1" x14ac:dyDescent="0.2"/>
    <row r="9692" customFormat="1" x14ac:dyDescent="0.2"/>
    <row r="9693" customFormat="1" x14ac:dyDescent="0.2"/>
    <row r="9694" customFormat="1" x14ac:dyDescent="0.2"/>
    <row r="9695" customFormat="1" x14ac:dyDescent="0.2"/>
    <row r="9696" customFormat="1" x14ac:dyDescent="0.2"/>
    <row r="9697" customFormat="1" x14ac:dyDescent="0.2"/>
    <row r="9698" customFormat="1" x14ac:dyDescent="0.2"/>
    <row r="9699" customFormat="1" x14ac:dyDescent="0.2"/>
    <row r="9700" customFormat="1" x14ac:dyDescent="0.2"/>
    <row r="9701" customFormat="1" x14ac:dyDescent="0.2"/>
    <row r="9702" customFormat="1" x14ac:dyDescent="0.2"/>
    <row r="9703" customFormat="1" x14ac:dyDescent="0.2"/>
    <row r="9704" customFormat="1" x14ac:dyDescent="0.2"/>
    <row r="9705" customFormat="1" x14ac:dyDescent="0.2"/>
    <row r="9706" customFormat="1" x14ac:dyDescent="0.2"/>
    <row r="9707" customFormat="1" x14ac:dyDescent="0.2"/>
    <row r="9708" customFormat="1" x14ac:dyDescent="0.2"/>
    <row r="9709" customFormat="1" x14ac:dyDescent="0.2"/>
    <row r="9710" customFormat="1" x14ac:dyDescent="0.2"/>
    <row r="9711" customFormat="1" x14ac:dyDescent="0.2"/>
    <row r="9712" customFormat="1" x14ac:dyDescent="0.2"/>
    <row r="9713" customFormat="1" x14ac:dyDescent="0.2"/>
    <row r="9714" customFormat="1" x14ac:dyDescent="0.2"/>
    <row r="9715" customFormat="1" x14ac:dyDescent="0.2"/>
    <row r="9716" customFormat="1" x14ac:dyDescent="0.2"/>
    <row r="9717" customFormat="1" x14ac:dyDescent="0.2"/>
    <row r="9718" customFormat="1" x14ac:dyDescent="0.2"/>
    <row r="9719" customFormat="1" x14ac:dyDescent="0.2"/>
    <row r="9720" customFormat="1" x14ac:dyDescent="0.2"/>
    <row r="9721" customFormat="1" x14ac:dyDescent="0.2"/>
    <row r="9722" customFormat="1" x14ac:dyDescent="0.2"/>
    <row r="9723" customFormat="1" x14ac:dyDescent="0.2"/>
    <row r="9724" customFormat="1" x14ac:dyDescent="0.2"/>
    <row r="9725" customFormat="1" x14ac:dyDescent="0.2"/>
    <row r="9726" customFormat="1" x14ac:dyDescent="0.2"/>
    <row r="9727" customFormat="1" x14ac:dyDescent="0.2"/>
    <row r="9728" customFormat="1" x14ac:dyDescent="0.2"/>
    <row r="9729" customFormat="1" x14ac:dyDescent="0.2"/>
    <row r="9730" customFormat="1" x14ac:dyDescent="0.2"/>
    <row r="9731" customFormat="1" x14ac:dyDescent="0.2"/>
    <row r="9732" customFormat="1" x14ac:dyDescent="0.2"/>
    <row r="9733" customFormat="1" x14ac:dyDescent="0.2"/>
    <row r="9734" customFormat="1" x14ac:dyDescent="0.2"/>
    <row r="9735" customFormat="1" x14ac:dyDescent="0.2"/>
    <row r="9736" customFormat="1" x14ac:dyDescent="0.2"/>
    <row r="9737" customFormat="1" x14ac:dyDescent="0.2"/>
    <row r="9738" customFormat="1" x14ac:dyDescent="0.2"/>
    <row r="9739" customFormat="1" x14ac:dyDescent="0.2"/>
    <row r="9740" customFormat="1" x14ac:dyDescent="0.2"/>
    <row r="9741" customFormat="1" x14ac:dyDescent="0.2"/>
    <row r="9742" customFormat="1" x14ac:dyDescent="0.2"/>
    <row r="9743" customFormat="1" x14ac:dyDescent="0.2"/>
    <row r="9744" customFormat="1" x14ac:dyDescent="0.2"/>
    <row r="9745" customFormat="1" x14ac:dyDescent="0.2"/>
    <row r="9746" customFormat="1" x14ac:dyDescent="0.2"/>
    <row r="9747" customFormat="1" x14ac:dyDescent="0.2"/>
    <row r="9748" customFormat="1" x14ac:dyDescent="0.2"/>
    <row r="9749" customFormat="1" x14ac:dyDescent="0.2"/>
    <row r="9750" customFormat="1" x14ac:dyDescent="0.2"/>
    <row r="9751" customFormat="1" x14ac:dyDescent="0.2"/>
    <row r="9752" customFormat="1" x14ac:dyDescent="0.2"/>
    <row r="9753" customFormat="1" x14ac:dyDescent="0.2"/>
    <row r="9754" customFormat="1" x14ac:dyDescent="0.2"/>
    <row r="9755" customFormat="1" x14ac:dyDescent="0.2"/>
    <row r="9756" customFormat="1" x14ac:dyDescent="0.2"/>
    <row r="9757" customFormat="1" x14ac:dyDescent="0.2"/>
    <row r="9758" customFormat="1" x14ac:dyDescent="0.2"/>
    <row r="9759" customFormat="1" x14ac:dyDescent="0.2"/>
    <row r="9760" customFormat="1" x14ac:dyDescent="0.2"/>
    <row r="9761" customFormat="1" x14ac:dyDescent="0.2"/>
    <row r="9762" customFormat="1" x14ac:dyDescent="0.2"/>
    <row r="9763" customFormat="1" x14ac:dyDescent="0.2"/>
    <row r="9764" customFormat="1" x14ac:dyDescent="0.2"/>
    <row r="9765" customFormat="1" x14ac:dyDescent="0.2"/>
    <row r="9766" customFormat="1" x14ac:dyDescent="0.2"/>
    <row r="9767" customFormat="1" x14ac:dyDescent="0.2"/>
    <row r="9768" customFormat="1" x14ac:dyDescent="0.2"/>
    <row r="9769" customFormat="1" x14ac:dyDescent="0.2"/>
    <row r="9770" customFormat="1" x14ac:dyDescent="0.2"/>
    <row r="9771" customFormat="1" x14ac:dyDescent="0.2"/>
    <row r="9772" customFormat="1" x14ac:dyDescent="0.2"/>
    <row r="9773" customFormat="1" x14ac:dyDescent="0.2"/>
    <row r="9774" customFormat="1" x14ac:dyDescent="0.2"/>
    <row r="9775" customFormat="1" x14ac:dyDescent="0.2"/>
    <row r="9776" customFormat="1" x14ac:dyDescent="0.2"/>
    <row r="9777" customFormat="1" x14ac:dyDescent="0.2"/>
    <row r="9778" customFormat="1" x14ac:dyDescent="0.2"/>
    <row r="9779" customFormat="1" x14ac:dyDescent="0.2"/>
    <row r="9780" customFormat="1" x14ac:dyDescent="0.2"/>
    <row r="9781" customFormat="1" x14ac:dyDescent="0.2"/>
    <row r="9782" customFormat="1" x14ac:dyDescent="0.2"/>
    <row r="9783" customFormat="1" x14ac:dyDescent="0.2"/>
    <row r="9784" customFormat="1" x14ac:dyDescent="0.2"/>
    <row r="9785" customFormat="1" x14ac:dyDescent="0.2"/>
    <row r="9786" customFormat="1" x14ac:dyDescent="0.2"/>
    <row r="9787" customFormat="1" x14ac:dyDescent="0.2"/>
    <row r="9788" customFormat="1" x14ac:dyDescent="0.2"/>
    <row r="9789" customFormat="1" x14ac:dyDescent="0.2"/>
    <row r="9790" customFormat="1" x14ac:dyDescent="0.2"/>
    <row r="9791" customFormat="1" x14ac:dyDescent="0.2"/>
    <row r="9792" customFormat="1" x14ac:dyDescent="0.2"/>
    <row r="9793" customFormat="1" x14ac:dyDescent="0.2"/>
    <row r="9794" customFormat="1" x14ac:dyDescent="0.2"/>
    <row r="9795" customFormat="1" x14ac:dyDescent="0.2"/>
    <row r="9796" customFormat="1" x14ac:dyDescent="0.2"/>
    <row r="9797" customFormat="1" x14ac:dyDescent="0.2"/>
    <row r="9798" customFormat="1" x14ac:dyDescent="0.2"/>
    <row r="9799" customFormat="1" x14ac:dyDescent="0.2"/>
    <row r="9800" customFormat="1" x14ac:dyDescent="0.2"/>
    <row r="9801" customFormat="1" x14ac:dyDescent="0.2"/>
    <row r="9802" customFormat="1" x14ac:dyDescent="0.2"/>
    <row r="9803" customFormat="1" x14ac:dyDescent="0.2"/>
    <row r="9804" customFormat="1" x14ac:dyDescent="0.2"/>
    <row r="9805" customFormat="1" x14ac:dyDescent="0.2"/>
    <row r="9806" customFormat="1" x14ac:dyDescent="0.2"/>
    <row r="9807" customFormat="1" x14ac:dyDescent="0.2"/>
    <row r="9808" customFormat="1" x14ac:dyDescent="0.2"/>
    <row r="9809" customFormat="1" x14ac:dyDescent="0.2"/>
    <row r="9810" customFormat="1" x14ac:dyDescent="0.2"/>
    <row r="9811" customFormat="1" x14ac:dyDescent="0.2"/>
    <row r="9812" customFormat="1" x14ac:dyDescent="0.2"/>
    <row r="9813" customFormat="1" x14ac:dyDescent="0.2"/>
    <row r="9814" customFormat="1" x14ac:dyDescent="0.2"/>
    <row r="9815" customFormat="1" x14ac:dyDescent="0.2"/>
    <row r="9816" customFormat="1" x14ac:dyDescent="0.2"/>
    <row r="9817" customFormat="1" x14ac:dyDescent="0.2"/>
    <row r="9818" customFormat="1" x14ac:dyDescent="0.2"/>
    <row r="9819" customFormat="1" x14ac:dyDescent="0.2"/>
    <row r="9820" customFormat="1" x14ac:dyDescent="0.2"/>
    <row r="9821" customFormat="1" x14ac:dyDescent="0.2"/>
    <row r="9822" customFormat="1" x14ac:dyDescent="0.2"/>
    <row r="9823" customFormat="1" x14ac:dyDescent="0.2"/>
    <row r="9824" customFormat="1" x14ac:dyDescent="0.2"/>
    <row r="9825" customFormat="1" x14ac:dyDescent="0.2"/>
    <row r="9826" customFormat="1" x14ac:dyDescent="0.2"/>
    <row r="9827" customFormat="1" x14ac:dyDescent="0.2"/>
    <row r="9828" customFormat="1" x14ac:dyDescent="0.2"/>
    <row r="9829" customFormat="1" x14ac:dyDescent="0.2"/>
    <row r="9830" customFormat="1" x14ac:dyDescent="0.2"/>
    <row r="9831" customFormat="1" x14ac:dyDescent="0.2"/>
    <row r="9832" customFormat="1" x14ac:dyDescent="0.2"/>
    <row r="9833" customFormat="1" x14ac:dyDescent="0.2"/>
    <row r="9834" customFormat="1" x14ac:dyDescent="0.2"/>
    <row r="9835" customFormat="1" x14ac:dyDescent="0.2"/>
    <row r="9836" customFormat="1" x14ac:dyDescent="0.2"/>
    <row r="9837" customFormat="1" x14ac:dyDescent="0.2"/>
    <row r="9838" customFormat="1" x14ac:dyDescent="0.2"/>
    <row r="9839" customFormat="1" x14ac:dyDescent="0.2"/>
    <row r="9840" customFormat="1" x14ac:dyDescent="0.2"/>
    <row r="9841" customFormat="1" x14ac:dyDescent="0.2"/>
    <row r="9842" customFormat="1" x14ac:dyDescent="0.2"/>
    <row r="9843" customFormat="1" x14ac:dyDescent="0.2"/>
    <row r="9844" customFormat="1" x14ac:dyDescent="0.2"/>
    <row r="9845" customFormat="1" x14ac:dyDescent="0.2"/>
    <row r="9846" customFormat="1" x14ac:dyDescent="0.2"/>
    <row r="9847" customFormat="1" x14ac:dyDescent="0.2"/>
    <row r="9848" customFormat="1" x14ac:dyDescent="0.2"/>
    <row r="9849" customFormat="1" x14ac:dyDescent="0.2"/>
    <row r="9850" customFormat="1" x14ac:dyDescent="0.2"/>
    <row r="9851" customFormat="1" x14ac:dyDescent="0.2"/>
    <row r="9852" customFormat="1" x14ac:dyDescent="0.2"/>
    <row r="9853" customFormat="1" x14ac:dyDescent="0.2"/>
    <row r="9854" customFormat="1" x14ac:dyDescent="0.2"/>
    <row r="9855" customFormat="1" x14ac:dyDescent="0.2"/>
    <row r="9856" customFormat="1" x14ac:dyDescent="0.2"/>
    <row r="9857" customFormat="1" x14ac:dyDescent="0.2"/>
    <row r="9858" customFormat="1" x14ac:dyDescent="0.2"/>
    <row r="9859" customFormat="1" x14ac:dyDescent="0.2"/>
    <row r="9860" customFormat="1" x14ac:dyDescent="0.2"/>
    <row r="9861" customFormat="1" x14ac:dyDescent="0.2"/>
    <row r="9862" customFormat="1" x14ac:dyDescent="0.2"/>
    <row r="9863" customFormat="1" x14ac:dyDescent="0.2"/>
    <row r="9864" customFormat="1" x14ac:dyDescent="0.2"/>
    <row r="9865" customFormat="1" x14ac:dyDescent="0.2"/>
    <row r="9866" customFormat="1" x14ac:dyDescent="0.2"/>
    <row r="9867" customFormat="1" x14ac:dyDescent="0.2"/>
    <row r="9868" customFormat="1" x14ac:dyDescent="0.2"/>
    <row r="9869" customFormat="1" x14ac:dyDescent="0.2"/>
    <row r="9870" customFormat="1" x14ac:dyDescent="0.2"/>
    <row r="9871" customFormat="1" x14ac:dyDescent="0.2"/>
    <row r="9872" customFormat="1" x14ac:dyDescent="0.2"/>
    <row r="9873" customFormat="1" x14ac:dyDescent="0.2"/>
    <row r="9874" customFormat="1" x14ac:dyDescent="0.2"/>
    <row r="9875" customFormat="1" x14ac:dyDescent="0.2"/>
    <row r="9876" customFormat="1" x14ac:dyDescent="0.2"/>
    <row r="9877" customFormat="1" x14ac:dyDescent="0.2"/>
    <row r="9878" customFormat="1" x14ac:dyDescent="0.2"/>
    <row r="9879" customFormat="1" x14ac:dyDescent="0.2"/>
    <row r="9880" customFormat="1" x14ac:dyDescent="0.2"/>
    <row r="9881" customFormat="1" x14ac:dyDescent="0.2"/>
    <row r="9882" customFormat="1" x14ac:dyDescent="0.2"/>
    <row r="9883" customFormat="1" x14ac:dyDescent="0.2"/>
    <row r="9884" customFormat="1" x14ac:dyDescent="0.2"/>
    <row r="9885" customFormat="1" x14ac:dyDescent="0.2"/>
    <row r="9886" customFormat="1" x14ac:dyDescent="0.2"/>
    <row r="9887" customFormat="1" x14ac:dyDescent="0.2"/>
    <row r="9888" customFormat="1" x14ac:dyDescent="0.2"/>
    <row r="9889" customFormat="1" x14ac:dyDescent="0.2"/>
    <row r="9890" customFormat="1" x14ac:dyDescent="0.2"/>
    <row r="9891" customFormat="1" x14ac:dyDescent="0.2"/>
    <row r="9892" customFormat="1" x14ac:dyDescent="0.2"/>
    <row r="9893" customFormat="1" x14ac:dyDescent="0.2"/>
    <row r="9894" customFormat="1" x14ac:dyDescent="0.2"/>
    <row r="9895" customFormat="1" x14ac:dyDescent="0.2"/>
    <row r="9896" customFormat="1" x14ac:dyDescent="0.2"/>
    <row r="9897" customFormat="1" x14ac:dyDescent="0.2"/>
    <row r="9898" customFormat="1" x14ac:dyDescent="0.2"/>
    <row r="9899" customFormat="1" x14ac:dyDescent="0.2"/>
    <row r="9900" customFormat="1" x14ac:dyDescent="0.2"/>
    <row r="9901" customFormat="1" x14ac:dyDescent="0.2"/>
    <row r="9902" customFormat="1" x14ac:dyDescent="0.2"/>
    <row r="9903" customFormat="1" x14ac:dyDescent="0.2"/>
    <row r="9904" customFormat="1" x14ac:dyDescent="0.2"/>
    <row r="9905" customFormat="1" x14ac:dyDescent="0.2"/>
    <row r="9906" customFormat="1" x14ac:dyDescent="0.2"/>
    <row r="9907" customFormat="1" x14ac:dyDescent="0.2"/>
    <row r="9908" customFormat="1" x14ac:dyDescent="0.2"/>
    <row r="9909" customFormat="1" x14ac:dyDescent="0.2"/>
    <row r="9910" customFormat="1" x14ac:dyDescent="0.2"/>
    <row r="9911" customFormat="1" x14ac:dyDescent="0.2"/>
    <row r="9912" customFormat="1" x14ac:dyDescent="0.2"/>
    <row r="9913" customFormat="1" x14ac:dyDescent="0.2"/>
    <row r="9914" customFormat="1" x14ac:dyDescent="0.2"/>
    <row r="9915" customFormat="1" x14ac:dyDescent="0.2"/>
    <row r="9916" customFormat="1" x14ac:dyDescent="0.2"/>
    <row r="9917" customFormat="1" x14ac:dyDescent="0.2"/>
    <row r="9918" customFormat="1" x14ac:dyDescent="0.2"/>
    <row r="9919" customFormat="1" x14ac:dyDescent="0.2"/>
    <row r="9920" customFormat="1" x14ac:dyDescent="0.2"/>
    <row r="9921" customFormat="1" x14ac:dyDescent="0.2"/>
    <row r="9922" customFormat="1" x14ac:dyDescent="0.2"/>
    <row r="9923" customFormat="1" x14ac:dyDescent="0.2"/>
    <row r="9924" customFormat="1" x14ac:dyDescent="0.2"/>
    <row r="9925" customFormat="1" x14ac:dyDescent="0.2"/>
    <row r="9926" customFormat="1" x14ac:dyDescent="0.2"/>
    <row r="9927" customFormat="1" x14ac:dyDescent="0.2"/>
    <row r="9928" customFormat="1" x14ac:dyDescent="0.2"/>
    <row r="9929" customFormat="1" x14ac:dyDescent="0.2"/>
    <row r="9930" customFormat="1" x14ac:dyDescent="0.2"/>
    <row r="9931" customFormat="1" x14ac:dyDescent="0.2"/>
    <row r="9932" customFormat="1" x14ac:dyDescent="0.2"/>
    <row r="9933" customFormat="1" x14ac:dyDescent="0.2"/>
    <row r="9934" customFormat="1" x14ac:dyDescent="0.2"/>
    <row r="9935" customFormat="1" x14ac:dyDescent="0.2"/>
    <row r="9936" customFormat="1" x14ac:dyDescent="0.2"/>
    <row r="9937" customFormat="1" x14ac:dyDescent="0.2"/>
    <row r="9938" customFormat="1" x14ac:dyDescent="0.2"/>
    <row r="9939" customFormat="1" x14ac:dyDescent="0.2"/>
    <row r="9940" customFormat="1" x14ac:dyDescent="0.2"/>
    <row r="9941" customFormat="1" x14ac:dyDescent="0.2"/>
    <row r="9942" customFormat="1" x14ac:dyDescent="0.2"/>
    <row r="9943" customFormat="1" x14ac:dyDescent="0.2"/>
    <row r="9944" customFormat="1" x14ac:dyDescent="0.2"/>
    <row r="9945" customFormat="1" x14ac:dyDescent="0.2"/>
    <row r="9946" customFormat="1" x14ac:dyDescent="0.2"/>
    <row r="9947" customFormat="1" x14ac:dyDescent="0.2"/>
    <row r="9948" customFormat="1" x14ac:dyDescent="0.2"/>
    <row r="9949" customFormat="1" x14ac:dyDescent="0.2"/>
    <row r="9950" customFormat="1" x14ac:dyDescent="0.2"/>
    <row r="9951" customFormat="1" x14ac:dyDescent="0.2"/>
    <row r="9952" customFormat="1" x14ac:dyDescent="0.2"/>
    <row r="9953" customFormat="1" x14ac:dyDescent="0.2"/>
    <row r="9954" customFormat="1" x14ac:dyDescent="0.2"/>
    <row r="9955" customFormat="1" x14ac:dyDescent="0.2"/>
    <row r="9956" customFormat="1" x14ac:dyDescent="0.2"/>
    <row r="9957" customFormat="1" x14ac:dyDescent="0.2"/>
    <row r="9958" customFormat="1" x14ac:dyDescent="0.2"/>
    <row r="9959" customFormat="1" x14ac:dyDescent="0.2"/>
    <row r="9960" customFormat="1" x14ac:dyDescent="0.2"/>
    <row r="9961" customFormat="1" x14ac:dyDescent="0.2"/>
    <row r="9962" customFormat="1" x14ac:dyDescent="0.2"/>
    <row r="9963" customFormat="1" x14ac:dyDescent="0.2"/>
    <row r="9964" customFormat="1" x14ac:dyDescent="0.2"/>
    <row r="9965" customFormat="1" x14ac:dyDescent="0.2"/>
    <row r="9966" customFormat="1" x14ac:dyDescent="0.2"/>
    <row r="9967" customFormat="1" x14ac:dyDescent="0.2"/>
    <row r="9968" customFormat="1" x14ac:dyDescent="0.2"/>
    <row r="9969" customFormat="1" x14ac:dyDescent="0.2"/>
    <row r="9970" customFormat="1" x14ac:dyDescent="0.2"/>
    <row r="9971" customFormat="1" x14ac:dyDescent="0.2"/>
    <row r="9972" customFormat="1" x14ac:dyDescent="0.2"/>
    <row r="9973" customFormat="1" x14ac:dyDescent="0.2"/>
    <row r="9974" customFormat="1" x14ac:dyDescent="0.2"/>
    <row r="9975" customFormat="1" x14ac:dyDescent="0.2"/>
    <row r="9976" customFormat="1" x14ac:dyDescent="0.2"/>
    <row r="9977" customFormat="1" x14ac:dyDescent="0.2"/>
    <row r="9978" customFormat="1" x14ac:dyDescent="0.2"/>
    <row r="9979" customFormat="1" x14ac:dyDescent="0.2"/>
    <row r="9980" customFormat="1" x14ac:dyDescent="0.2"/>
    <row r="9981" customFormat="1" x14ac:dyDescent="0.2"/>
    <row r="9982" customFormat="1" x14ac:dyDescent="0.2"/>
    <row r="9983" customFormat="1" x14ac:dyDescent="0.2"/>
    <row r="9984" customFormat="1" x14ac:dyDescent="0.2"/>
    <row r="9985" customFormat="1" x14ac:dyDescent="0.2"/>
    <row r="9986" customFormat="1" x14ac:dyDescent="0.2"/>
    <row r="9987" customFormat="1" x14ac:dyDescent="0.2"/>
    <row r="9988" customFormat="1" x14ac:dyDescent="0.2"/>
    <row r="9989" customFormat="1" x14ac:dyDescent="0.2"/>
    <row r="9990" customFormat="1" x14ac:dyDescent="0.2"/>
    <row r="9991" customFormat="1" x14ac:dyDescent="0.2"/>
    <row r="9992" customFormat="1" x14ac:dyDescent="0.2"/>
    <row r="9993" customFormat="1" x14ac:dyDescent="0.2"/>
    <row r="9994" customFormat="1" x14ac:dyDescent="0.2"/>
    <row r="9995" customFormat="1" x14ac:dyDescent="0.2"/>
    <row r="9996" customFormat="1" x14ac:dyDescent="0.2"/>
    <row r="9997" customFormat="1" x14ac:dyDescent="0.2"/>
    <row r="9998" customFormat="1" x14ac:dyDescent="0.2"/>
    <row r="9999" customFormat="1" x14ac:dyDescent="0.2"/>
    <row r="10000" customFormat="1" x14ac:dyDescent="0.2"/>
  </sheetData>
  <sheetProtection formatCells="0" formatColumns="0" formatRows="0"/>
  <conditionalFormatting sqref="C15:C50">
    <cfRule type="cellIs" dxfId="0" priority="1" stopIfTrue="1" operator="equal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20"/>
  <dimension ref="A1:F38"/>
  <sheetViews>
    <sheetView workbookViewId="0"/>
  </sheetViews>
  <sheetFormatPr defaultColWidth="8.85546875" defaultRowHeight="12.75" x14ac:dyDescent="0.2"/>
  <cols>
    <col min="1" max="1" width="14.28515625" bestFit="1" customWidth="1"/>
  </cols>
  <sheetData>
    <row r="1" spans="1:6" x14ac:dyDescent="0.2">
      <c r="A1" s="191" t="s">
        <v>63</v>
      </c>
      <c r="B1" s="191"/>
      <c r="C1" s="191"/>
      <c r="D1" s="191"/>
      <c r="E1" s="191"/>
      <c r="F1" s="191"/>
    </row>
    <row r="2" spans="1:6" x14ac:dyDescent="0.2">
      <c r="A2" t="s">
        <v>387</v>
      </c>
    </row>
    <row r="3" spans="1:6" x14ac:dyDescent="0.2">
      <c r="A3" t="s">
        <v>389</v>
      </c>
    </row>
    <row r="4" spans="1:6" x14ac:dyDescent="0.2">
      <c r="A4" t="s">
        <v>393</v>
      </c>
    </row>
    <row r="5" spans="1:6" x14ac:dyDescent="0.2">
      <c r="A5" t="s">
        <v>396</v>
      </c>
    </row>
    <row r="6" spans="1:6" x14ac:dyDescent="0.2">
      <c r="A6" t="s">
        <v>398</v>
      </c>
    </row>
    <row r="7" spans="1:6" x14ac:dyDescent="0.2">
      <c r="A7" t="s">
        <v>401</v>
      </c>
    </row>
    <row r="8" spans="1:6" x14ac:dyDescent="0.2">
      <c r="A8" t="s">
        <v>403</v>
      </c>
    </row>
    <row r="9" spans="1:6" x14ac:dyDescent="0.2">
      <c r="A9" t="s">
        <v>407</v>
      </c>
    </row>
    <row r="10" spans="1:6" x14ac:dyDescent="0.2">
      <c r="A10" t="s">
        <v>410</v>
      </c>
    </row>
    <row r="11" spans="1:6" x14ac:dyDescent="0.2">
      <c r="A11" t="s">
        <v>412</v>
      </c>
    </row>
    <row r="12" spans="1:6" x14ac:dyDescent="0.2">
      <c r="A12" t="s">
        <v>415</v>
      </c>
    </row>
    <row r="13" spans="1:6" x14ac:dyDescent="0.2">
      <c r="A13" t="s">
        <v>417</v>
      </c>
    </row>
    <row r="14" spans="1:6" x14ac:dyDescent="0.2">
      <c r="A14" t="s">
        <v>421</v>
      </c>
    </row>
    <row r="15" spans="1:6" x14ac:dyDescent="0.2">
      <c r="A15" t="s">
        <v>423</v>
      </c>
    </row>
    <row r="16" spans="1:6" x14ac:dyDescent="0.2">
      <c r="A16" t="s">
        <v>424</v>
      </c>
    </row>
    <row r="17" spans="1:1" x14ac:dyDescent="0.2">
      <c r="A17" t="s">
        <v>426</v>
      </c>
    </row>
    <row r="18" spans="1:1" x14ac:dyDescent="0.2">
      <c r="A18" t="s">
        <v>428</v>
      </c>
    </row>
    <row r="19" spans="1:1" x14ac:dyDescent="0.2">
      <c r="A19" t="s">
        <v>414</v>
      </c>
    </row>
    <row r="20" spans="1:1" x14ac:dyDescent="0.2">
      <c r="A20" t="s">
        <v>433</v>
      </c>
    </row>
    <row r="21" spans="1:1" x14ac:dyDescent="0.2">
      <c r="A21" t="s">
        <v>391</v>
      </c>
    </row>
    <row r="22" spans="1:1" x14ac:dyDescent="0.2">
      <c r="A22" t="s">
        <v>437</v>
      </c>
    </row>
    <row r="23" spans="1:1" x14ac:dyDescent="0.2">
      <c r="A23" t="s">
        <v>438</v>
      </c>
    </row>
    <row r="24" spans="1:1" x14ac:dyDescent="0.2">
      <c r="A24" t="s">
        <v>440</v>
      </c>
    </row>
    <row r="25" spans="1:1" x14ac:dyDescent="0.2">
      <c r="A25" t="s">
        <v>442</v>
      </c>
    </row>
    <row r="26" spans="1:1" x14ac:dyDescent="0.2">
      <c r="A26" t="s">
        <v>444</v>
      </c>
    </row>
    <row r="27" spans="1:1" x14ac:dyDescent="0.2">
      <c r="A27" t="s">
        <v>446</v>
      </c>
    </row>
    <row r="28" spans="1:1" x14ac:dyDescent="0.2">
      <c r="A28" t="s">
        <v>448</v>
      </c>
    </row>
    <row r="29" spans="1:1" x14ac:dyDescent="0.2">
      <c r="A29" t="s">
        <v>419</v>
      </c>
    </row>
    <row r="30" spans="1:1" x14ac:dyDescent="0.2">
      <c r="A30" t="s">
        <v>454</v>
      </c>
    </row>
    <row r="31" spans="1:1" x14ac:dyDescent="0.2">
      <c r="A31" t="s">
        <v>455</v>
      </c>
    </row>
    <row r="32" spans="1:1" x14ac:dyDescent="0.2">
      <c r="A32" t="s">
        <v>405</v>
      </c>
    </row>
    <row r="33" spans="1:1" x14ac:dyDescent="0.2">
      <c r="A33" t="s">
        <v>460</v>
      </c>
    </row>
    <row r="34" spans="1:1" x14ac:dyDescent="0.2">
      <c r="A34" t="s">
        <v>461</v>
      </c>
    </row>
    <row r="35" spans="1:1" x14ac:dyDescent="0.2">
      <c r="A35" t="s">
        <v>463</v>
      </c>
    </row>
    <row r="36" spans="1:1" x14ac:dyDescent="0.2">
      <c r="A36" t="s">
        <v>465</v>
      </c>
    </row>
    <row r="37" spans="1:1" x14ac:dyDescent="0.2">
      <c r="A37" t="s">
        <v>450</v>
      </c>
    </row>
    <row r="38" spans="1:1" x14ac:dyDescent="0.2">
      <c r="A38" t="s">
        <v>409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5"/>
  <dimension ref="A1:J418"/>
  <sheetViews>
    <sheetView zoomScale="140" zoomScaleNormal="140" workbookViewId="0">
      <selection activeCell="H29" sqref="H29"/>
    </sheetView>
  </sheetViews>
  <sheetFormatPr defaultColWidth="8.85546875" defaultRowHeight="12.75" x14ac:dyDescent="0.2"/>
  <cols>
    <col min="1" max="1" width="8.85546875" style="101"/>
    <col min="2" max="2" width="15.140625" style="101" customWidth="1"/>
    <col min="3" max="7" width="9.5703125" style="101" customWidth="1"/>
    <col min="8" max="16384" width="8.85546875" style="101"/>
  </cols>
  <sheetData>
    <row r="1" spans="1:10" ht="35.25" customHeight="1" x14ac:dyDescent="0.2">
      <c r="A1" s="284" t="s">
        <v>7</v>
      </c>
      <c r="B1" s="284" t="s">
        <v>29</v>
      </c>
      <c r="C1" s="286" t="s">
        <v>116</v>
      </c>
      <c r="D1" s="286" t="s">
        <v>107</v>
      </c>
      <c r="E1" s="286" t="s">
        <v>30</v>
      </c>
      <c r="F1" s="286" t="s">
        <v>130</v>
      </c>
      <c r="G1" s="286" t="s">
        <v>158</v>
      </c>
    </row>
    <row r="2" spans="1:10" x14ac:dyDescent="0.2">
      <c r="A2" s="285">
        <v>1</v>
      </c>
      <c r="B2" s="288">
        <v>100</v>
      </c>
      <c r="C2" s="287">
        <v>1</v>
      </c>
      <c r="D2" s="287">
        <v>1</v>
      </c>
      <c r="E2" s="287">
        <v>0</v>
      </c>
      <c r="F2" s="287">
        <v>0</v>
      </c>
      <c r="G2" s="287">
        <v>1</v>
      </c>
      <c r="J2" s="292" t="s">
        <v>160</v>
      </c>
    </row>
    <row r="3" spans="1:10" x14ac:dyDescent="0.2">
      <c r="A3" s="285">
        <v>2</v>
      </c>
      <c r="B3" s="288">
        <v>150</v>
      </c>
      <c r="C3" s="287">
        <v>1</v>
      </c>
      <c r="D3" s="287">
        <v>1</v>
      </c>
      <c r="E3" s="287">
        <v>0</v>
      </c>
      <c r="F3" s="287">
        <v>1</v>
      </c>
      <c r="G3" s="287"/>
    </row>
    <row r="4" spans="1:10" x14ac:dyDescent="0.2">
      <c r="A4" s="285">
        <v>3</v>
      </c>
      <c r="B4" s="288">
        <v>200</v>
      </c>
      <c r="C4" s="287">
        <v>1</v>
      </c>
      <c r="D4" s="287">
        <v>1</v>
      </c>
      <c r="E4" s="287">
        <v>0</v>
      </c>
      <c r="F4" s="287">
        <v>1</v>
      </c>
      <c r="G4" s="287"/>
      <c r="J4" s="101">
        <f>MATCH(250,DN_lista,0)</f>
        <v>4</v>
      </c>
    </row>
    <row r="5" spans="1:10" x14ac:dyDescent="0.2">
      <c r="A5" s="285">
        <v>4</v>
      </c>
      <c r="B5" s="288">
        <v>250</v>
      </c>
      <c r="C5" s="287">
        <v>1</v>
      </c>
      <c r="D5" s="287">
        <v>1</v>
      </c>
      <c r="E5" s="287">
        <v>1</v>
      </c>
      <c r="F5" s="287">
        <v>1</v>
      </c>
      <c r="G5" s="287">
        <v>1</v>
      </c>
    </row>
    <row r="6" spans="1:10" x14ac:dyDescent="0.2">
      <c r="A6" s="285">
        <v>5</v>
      </c>
      <c r="B6" s="288">
        <v>300</v>
      </c>
      <c r="C6" s="287">
        <v>1</v>
      </c>
      <c r="D6" s="287">
        <v>1</v>
      </c>
      <c r="E6" s="287">
        <v>0</v>
      </c>
      <c r="F6" s="287">
        <v>1</v>
      </c>
      <c r="G6" s="287"/>
    </row>
    <row r="7" spans="1:10" x14ac:dyDescent="0.2">
      <c r="A7" s="285">
        <v>6</v>
      </c>
      <c r="B7" s="288">
        <v>350</v>
      </c>
      <c r="C7" s="287">
        <v>1</v>
      </c>
      <c r="D7" s="287">
        <v>1</v>
      </c>
      <c r="E7" s="287">
        <v>0</v>
      </c>
      <c r="F7" s="287">
        <v>1</v>
      </c>
      <c r="G7" s="287"/>
    </row>
    <row r="8" spans="1:10" x14ac:dyDescent="0.2">
      <c r="A8" s="285">
        <v>7</v>
      </c>
      <c r="B8" s="288">
        <v>400</v>
      </c>
      <c r="C8" s="287">
        <v>1</v>
      </c>
      <c r="D8" s="287">
        <v>1</v>
      </c>
      <c r="E8" s="287">
        <v>1</v>
      </c>
      <c r="F8" s="287">
        <v>1</v>
      </c>
      <c r="G8" s="287"/>
    </row>
    <row r="9" spans="1:10" x14ac:dyDescent="0.2">
      <c r="A9" s="285">
        <v>8</v>
      </c>
      <c r="B9" s="288">
        <v>450</v>
      </c>
      <c r="C9" s="287">
        <v>0</v>
      </c>
      <c r="D9" s="287">
        <v>1</v>
      </c>
      <c r="E9" s="287">
        <v>1</v>
      </c>
      <c r="F9" s="287">
        <v>1</v>
      </c>
      <c r="G9" s="287"/>
    </row>
    <row r="10" spans="1:10" x14ac:dyDescent="0.2">
      <c r="A10" s="285">
        <v>9</v>
      </c>
      <c r="B10" s="288">
        <v>500</v>
      </c>
      <c r="C10" s="287">
        <v>0</v>
      </c>
      <c r="D10" s="287">
        <v>1</v>
      </c>
      <c r="E10" s="287">
        <v>1</v>
      </c>
      <c r="F10" s="287">
        <v>1</v>
      </c>
      <c r="G10" s="287">
        <v>1</v>
      </c>
    </row>
    <row r="11" spans="1:10" x14ac:dyDescent="0.2">
      <c r="A11" s="285">
        <v>10</v>
      </c>
      <c r="B11" s="288">
        <v>600</v>
      </c>
      <c r="C11" s="287">
        <v>0</v>
      </c>
      <c r="D11" s="287">
        <v>1</v>
      </c>
      <c r="E11" s="287">
        <v>1</v>
      </c>
      <c r="F11" s="287">
        <v>1</v>
      </c>
      <c r="G11" s="287"/>
    </row>
    <row r="12" spans="1:10" x14ac:dyDescent="0.2">
      <c r="A12" s="285">
        <v>11</v>
      </c>
      <c r="B12" s="288">
        <v>700</v>
      </c>
      <c r="C12" s="287">
        <v>0</v>
      </c>
      <c r="D12" s="287">
        <v>1</v>
      </c>
      <c r="E12" s="287">
        <v>1</v>
      </c>
      <c r="F12" s="287">
        <v>1</v>
      </c>
      <c r="G12" s="287"/>
    </row>
    <row r="13" spans="1:10" x14ac:dyDescent="0.2">
      <c r="A13" s="285">
        <v>12</v>
      </c>
      <c r="B13" s="288">
        <v>800</v>
      </c>
      <c r="C13" s="287">
        <v>0</v>
      </c>
      <c r="D13" s="287">
        <v>1</v>
      </c>
      <c r="E13" s="287">
        <v>1</v>
      </c>
      <c r="F13" s="287">
        <v>1</v>
      </c>
      <c r="G13" s="287"/>
    </row>
    <row r="14" spans="1:10" x14ac:dyDescent="0.2">
      <c r="A14" s="285">
        <v>13</v>
      </c>
      <c r="B14" s="288">
        <v>900</v>
      </c>
      <c r="C14" s="287">
        <v>0</v>
      </c>
      <c r="D14" s="287">
        <v>1</v>
      </c>
      <c r="E14" s="287">
        <v>1</v>
      </c>
      <c r="F14" s="287">
        <v>1</v>
      </c>
      <c r="G14" s="287"/>
    </row>
    <row r="15" spans="1:10" x14ac:dyDescent="0.2">
      <c r="A15" s="285">
        <v>14</v>
      </c>
      <c r="B15" s="288">
        <v>1000</v>
      </c>
      <c r="C15" s="287">
        <v>0</v>
      </c>
      <c r="D15" s="287">
        <v>1</v>
      </c>
      <c r="E15" s="287">
        <v>1</v>
      </c>
      <c r="F15" s="287">
        <v>1</v>
      </c>
      <c r="G15" s="287"/>
    </row>
    <row r="18" spans="2:7" x14ac:dyDescent="0.2">
      <c r="B18" s="152" t="s">
        <v>27</v>
      </c>
      <c r="C18" s="152" t="str">
        <f>IF(ISBLANK(C1),"",C1)</f>
        <v>PVC</v>
      </c>
      <c r="D18" s="152" t="str">
        <f>IF(ISBLANK(D1),"",D1)</f>
        <v>PEAD</v>
      </c>
      <c r="E18" s="152" t="str">
        <f>IF(ISBLANK(E1),"",E1)</f>
        <v>Concreto</v>
      </c>
      <c r="F18" s="152" t="str">
        <f>IF(ISBLANK(F1),"",F1)</f>
        <v>Hierro</v>
      </c>
      <c r="G18" s="152" t="str">
        <f>IF(ISBLANK(G1),"",G1)</f>
        <v>Otro</v>
      </c>
    </row>
    <row r="19" spans="2:7" ht="51" x14ac:dyDescent="0.2">
      <c r="B19" s="151" t="s">
        <v>31</v>
      </c>
      <c r="C19" s="41">
        <v>0.01</v>
      </c>
      <c r="D19" s="41">
        <v>0.01</v>
      </c>
      <c r="E19" s="41">
        <v>1.2999999999999999E-2</v>
      </c>
      <c r="F19" s="41">
        <v>1.2999999999999999E-2</v>
      </c>
      <c r="G19" s="41">
        <v>1.2999999999999999E-2</v>
      </c>
    </row>
    <row r="22" spans="2:7" ht="18" x14ac:dyDescent="0.25">
      <c r="B22" s="100" t="s">
        <v>304</v>
      </c>
      <c r="C22" s="97"/>
    </row>
    <row r="23" spans="2:7" ht="18" x14ac:dyDescent="0.25">
      <c r="B23" s="100" t="s">
        <v>97</v>
      </c>
      <c r="C23" s="97"/>
    </row>
    <row r="24" spans="2:7" x14ac:dyDescent="0.2">
      <c r="C24" s="97"/>
    </row>
    <row r="25" spans="2:7" x14ac:dyDescent="0.2">
      <c r="C25" s="97"/>
    </row>
    <row r="26" spans="2:7" x14ac:dyDescent="0.2">
      <c r="B26" s="137" t="s">
        <v>125</v>
      </c>
      <c r="C26" s="138"/>
      <c r="D26" s="138"/>
    </row>
    <row r="27" spans="2:7" ht="51" x14ac:dyDescent="0.2">
      <c r="B27" s="62" t="s">
        <v>97</v>
      </c>
      <c r="C27" s="231" t="s">
        <v>105</v>
      </c>
      <c r="D27" s="62" t="s">
        <v>98</v>
      </c>
    </row>
    <row r="28" spans="2:7" x14ac:dyDescent="0.2">
      <c r="B28" s="329" t="s">
        <v>101</v>
      </c>
      <c r="C28" s="233">
        <v>1.3</v>
      </c>
      <c r="D28" s="234">
        <v>150</v>
      </c>
    </row>
    <row r="29" spans="2:7" x14ac:dyDescent="0.2">
      <c r="B29" s="329" t="s">
        <v>99</v>
      </c>
      <c r="C29" s="233">
        <v>2</v>
      </c>
      <c r="D29" s="234">
        <v>400</v>
      </c>
    </row>
    <row r="30" spans="2:7" x14ac:dyDescent="0.2">
      <c r="B30" s="329" t="s">
        <v>102</v>
      </c>
      <c r="C30" s="233">
        <v>3</v>
      </c>
      <c r="D30" s="234">
        <v>500</v>
      </c>
    </row>
    <row r="31" spans="2:7" x14ac:dyDescent="0.2">
      <c r="B31" s="329" t="s">
        <v>100</v>
      </c>
      <c r="C31" s="233">
        <v>4</v>
      </c>
      <c r="D31" s="234">
        <v>600</v>
      </c>
    </row>
    <row r="32" spans="2:7" x14ac:dyDescent="0.2">
      <c r="B32" s="329" t="s">
        <v>103</v>
      </c>
      <c r="C32" s="233">
        <v>6</v>
      </c>
      <c r="D32" s="234">
        <v>800</v>
      </c>
    </row>
    <row r="33" spans="2:4" x14ac:dyDescent="0.2">
      <c r="B33" s="329" t="s">
        <v>104</v>
      </c>
      <c r="C33" s="233">
        <v>15</v>
      </c>
      <c r="D33" s="234">
        <v>1000</v>
      </c>
    </row>
    <row r="34" spans="2:4" x14ac:dyDescent="0.2">
      <c r="C34" s="97"/>
    </row>
    <row r="35" spans="2:4" x14ac:dyDescent="0.2">
      <c r="C35" s="97"/>
    </row>
    <row r="36" spans="2:4" x14ac:dyDescent="0.2">
      <c r="C36" s="97"/>
    </row>
    <row r="37" spans="2:4" x14ac:dyDescent="0.2">
      <c r="C37" s="97"/>
    </row>
    <row r="38" spans="2:4" x14ac:dyDescent="0.2">
      <c r="C38" s="97"/>
    </row>
    <row r="39" spans="2:4" x14ac:dyDescent="0.2">
      <c r="C39" s="97"/>
    </row>
    <row r="40" spans="2:4" x14ac:dyDescent="0.2">
      <c r="C40" s="97"/>
    </row>
    <row r="41" spans="2:4" x14ac:dyDescent="0.2">
      <c r="C41" s="97"/>
    </row>
    <row r="42" spans="2:4" x14ac:dyDescent="0.2">
      <c r="C42" s="97"/>
    </row>
    <row r="43" spans="2:4" x14ac:dyDescent="0.2">
      <c r="C43" s="97"/>
    </row>
    <row r="44" spans="2:4" x14ac:dyDescent="0.2">
      <c r="C44" s="97"/>
    </row>
    <row r="45" spans="2:4" x14ac:dyDescent="0.2">
      <c r="C45" s="97"/>
    </row>
    <row r="46" spans="2:4" x14ac:dyDescent="0.2">
      <c r="C46" s="97"/>
    </row>
    <row r="47" spans="2:4" x14ac:dyDescent="0.2">
      <c r="C47" s="97"/>
    </row>
    <row r="48" spans="2:4" x14ac:dyDescent="0.2">
      <c r="C48" s="97"/>
    </row>
    <row r="49" spans="3:3" x14ac:dyDescent="0.2">
      <c r="C49" s="97"/>
    </row>
    <row r="50" spans="3:3" x14ac:dyDescent="0.2">
      <c r="C50" s="97"/>
    </row>
    <row r="51" spans="3:3" x14ac:dyDescent="0.2">
      <c r="C51" s="97"/>
    </row>
    <row r="52" spans="3:3" x14ac:dyDescent="0.2">
      <c r="C52" s="97"/>
    </row>
    <row r="53" spans="3:3" x14ac:dyDescent="0.2">
      <c r="C53" s="97"/>
    </row>
    <row r="54" spans="3:3" x14ac:dyDescent="0.2">
      <c r="C54" s="97"/>
    </row>
    <row r="55" spans="3:3" x14ac:dyDescent="0.2">
      <c r="C55" s="97"/>
    </row>
    <row r="56" spans="3:3" x14ac:dyDescent="0.2">
      <c r="C56" s="97"/>
    </row>
    <row r="57" spans="3:3" x14ac:dyDescent="0.2">
      <c r="C57" s="97"/>
    </row>
    <row r="58" spans="3:3" x14ac:dyDescent="0.2">
      <c r="C58" s="97"/>
    </row>
    <row r="59" spans="3:3" x14ac:dyDescent="0.2">
      <c r="C59" s="97"/>
    </row>
    <row r="60" spans="3:3" x14ac:dyDescent="0.2">
      <c r="C60" s="97"/>
    </row>
    <row r="61" spans="3:3" x14ac:dyDescent="0.2">
      <c r="C61" s="97"/>
    </row>
    <row r="62" spans="3:3" x14ac:dyDescent="0.2">
      <c r="C62" s="97"/>
    </row>
    <row r="63" spans="3:3" x14ac:dyDescent="0.2">
      <c r="C63" s="97"/>
    </row>
    <row r="64" spans="3:3" x14ac:dyDescent="0.2">
      <c r="C64" s="97"/>
    </row>
    <row r="65" spans="3:3" x14ac:dyDescent="0.2">
      <c r="C65" s="97"/>
    </row>
    <row r="66" spans="3:3" x14ac:dyDescent="0.2">
      <c r="C66" s="97"/>
    </row>
    <row r="67" spans="3:3" x14ac:dyDescent="0.2">
      <c r="C67" s="97"/>
    </row>
    <row r="68" spans="3:3" x14ac:dyDescent="0.2">
      <c r="C68" s="97"/>
    </row>
    <row r="69" spans="3:3" x14ac:dyDescent="0.2">
      <c r="C69" s="97"/>
    </row>
    <row r="70" spans="3:3" x14ac:dyDescent="0.2">
      <c r="C70" s="97"/>
    </row>
    <row r="71" spans="3:3" x14ac:dyDescent="0.2">
      <c r="C71" s="97"/>
    </row>
    <row r="72" spans="3:3" x14ac:dyDescent="0.2">
      <c r="C72" s="97"/>
    </row>
    <row r="73" spans="3:3" x14ac:dyDescent="0.2">
      <c r="C73" s="97"/>
    </row>
    <row r="74" spans="3:3" x14ac:dyDescent="0.2">
      <c r="C74" s="97"/>
    </row>
    <row r="75" spans="3:3" x14ac:dyDescent="0.2">
      <c r="C75" s="97"/>
    </row>
    <row r="76" spans="3:3" x14ac:dyDescent="0.2">
      <c r="C76" s="97"/>
    </row>
    <row r="77" spans="3:3" x14ac:dyDescent="0.2">
      <c r="C77" s="97"/>
    </row>
    <row r="78" spans="3:3" x14ac:dyDescent="0.2">
      <c r="C78" s="97"/>
    </row>
    <row r="79" spans="3:3" x14ac:dyDescent="0.2">
      <c r="C79" s="97"/>
    </row>
    <row r="80" spans="3:3" x14ac:dyDescent="0.2">
      <c r="C80" s="97"/>
    </row>
    <row r="81" spans="3:3" x14ac:dyDescent="0.2">
      <c r="C81" s="97"/>
    </row>
    <row r="82" spans="3:3" x14ac:dyDescent="0.2">
      <c r="C82" s="97"/>
    </row>
    <row r="83" spans="3:3" x14ac:dyDescent="0.2">
      <c r="C83" s="97"/>
    </row>
    <row r="84" spans="3:3" x14ac:dyDescent="0.2">
      <c r="C84" s="97"/>
    </row>
    <row r="85" spans="3:3" x14ac:dyDescent="0.2">
      <c r="C85" s="97"/>
    </row>
    <row r="86" spans="3:3" x14ac:dyDescent="0.2">
      <c r="C86" s="97"/>
    </row>
    <row r="87" spans="3:3" x14ac:dyDescent="0.2">
      <c r="C87" s="97"/>
    </row>
    <row r="88" spans="3:3" x14ac:dyDescent="0.2">
      <c r="C88" s="97"/>
    </row>
    <row r="89" spans="3:3" x14ac:dyDescent="0.2">
      <c r="C89" s="97"/>
    </row>
    <row r="90" spans="3:3" x14ac:dyDescent="0.2">
      <c r="C90" s="97"/>
    </row>
    <row r="91" spans="3:3" x14ac:dyDescent="0.2">
      <c r="C91" s="97"/>
    </row>
    <row r="92" spans="3:3" x14ac:dyDescent="0.2">
      <c r="C92" s="97"/>
    </row>
    <row r="93" spans="3:3" x14ac:dyDescent="0.2">
      <c r="C93" s="97"/>
    </row>
    <row r="94" spans="3:3" x14ac:dyDescent="0.2">
      <c r="C94" s="97"/>
    </row>
    <row r="95" spans="3:3" x14ac:dyDescent="0.2">
      <c r="C95" s="97"/>
    </row>
    <row r="96" spans="3:3" x14ac:dyDescent="0.2">
      <c r="C96" s="97"/>
    </row>
    <row r="97" spans="3:3" x14ac:dyDescent="0.2">
      <c r="C97" s="97"/>
    </row>
    <row r="98" spans="3:3" x14ac:dyDescent="0.2">
      <c r="C98" s="97"/>
    </row>
    <row r="99" spans="3:3" x14ac:dyDescent="0.2">
      <c r="C99" s="97"/>
    </row>
    <row r="100" spans="3:3" x14ac:dyDescent="0.2">
      <c r="C100" s="97"/>
    </row>
    <row r="101" spans="3:3" x14ac:dyDescent="0.2">
      <c r="C101" s="97"/>
    </row>
    <row r="102" spans="3:3" x14ac:dyDescent="0.2">
      <c r="C102" s="97"/>
    </row>
    <row r="103" spans="3:3" x14ac:dyDescent="0.2">
      <c r="C103" s="97"/>
    </row>
    <row r="104" spans="3:3" x14ac:dyDescent="0.2">
      <c r="C104" s="97"/>
    </row>
    <row r="105" spans="3:3" x14ac:dyDescent="0.2">
      <c r="C105" s="97"/>
    </row>
    <row r="106" spans="3:3" x14ac:dyDescent="0.2">
      <c r="C106" s="97"/>
    </row>
    <row r="107" spans="3:3" x14ac:dyDescent="0.2">
      <c r="C107" s="97"/>
    </row>
    <row r="108" spans="3:3" x14ac:dyDescent="0.2">
      <c r="C108" s="97"/>
    </row>
    <row r="109" spans="3:3" x14ac:dyDescent="0.2">
      <c r="C109" s="97"/>
    </row>
    <row r="110" spans="3:3" x14ac:dyDescent="0.2">
      <c r="C110" s="97"/>
    </row>
    <row r="111" spans="3:3" x14ac:dyDescent="0.2">
      <c r="C111" s="97"/>
    </row>
    <row r="112" spans="3:3" x14ac:dyDescent="0.2">
      <c r="C112" s="97"/>
    </row>
    <row r="113" spans="3:3" x14ac:dyDescent="0.2">
      <c r="C113" s="97"/>
    </row>
    <row r="114" spans="3:3" x14ac:dyDescent="0.2">
      <c r="C114" s="97"/>
    </row>
    <row r="115" spans="3:3" x14ac:dyDescent="0.2">
      <c r="C115" s="97"/>
    </row>
    <row r="116" spans="3:3" x14ac:dyDescent="0.2">
      <c r="C116" s="97"/>
    </row>
    <row r="117" spans="3:3" x14ac:dyDescent="0.2">
      <c r="C117" s="97"/>
    </row>
    <row r="118" spans="3:3" x14ac:dyDescent="0.2">
      <c r="C118" s="97"/>
    </row>
    <row r="119" spans="3:3" x14ac:dyDescent="0.2">
      <c r="C119" s="97"/>
    </row>
    <row r="120" spans="3:3" x14ac:dyDescent="0.2">
      <c r="C120" s="97"/>
    </row>
    <row r="121" spans="3:3" x14ac:dyDescent="0.2">
      <c r="C121" s="97"/>
    </row>
    <row r="122" spans="3:3" x14ac:dyDescent="0.2">
      <c r="C122" s="97"/>
    </row>
    <row r="123" spans="3:3" x14ac:dyDescent="0.2">
      <c r="C123" s="97"/>
    </row>
    <row r="124" spans="3:3" x14ac:dyDescent="0.2">
      <c r="C124" s="97"/>
    </row>
    <row r="125" spans="3:3" x14ac:dyDescent="0.2">
      <c r="C125" s="97"/>
    </row>
    <row r="126" spans="3:3" x14ac:dyDescent="0.2">
      <c r="C126" s="97"/>
    </row>
    <row r="127" spans="3:3" x14ac:dyDescent="0.2">
      <c r="C127" s="97"/>
    </row>
    <row r="128" spans="3:3" x14ac:dyDescent="0.2">
      <c r="C128" s="97"/>
    </row>
    <row r="129" spans="3:3" x14ac:dyDescent="0.2">
      <c r="C129" s="97"/>
    </row>
    <row r="130" spans="3:3" x14ac:dyDescent="0.2">
      <c r="C130" s="97"/>
    </row>
    <row r="131" spans="3:3" x14ac:dyDescent="0.2">
      <c r="C131" s="97"/>
    </row>
    <row r="132" spans="3:3" x14ac:dyDescent="0.2">
      <c r="C132" s="97"/>
    </row>
    <row r="133" spans="3:3" x14ac:dyDescent="0.2">
      <c r="C133" s="97"/>
    </row>
    <row r="134" spans="3:3" x14ac:dyDescent="0.2">
      <c r="C134" s="97"/>
    </row>
    <row r="135" spans="3:3" x14ac:dyDescent="0.2">
      <c r="C135" s="97"/>
    </row>
    <row r="136" spans="3:3" x14ac:dyDescent="0.2">
      <c r="C136" s="97"/>
    </row>
    <row r="137" spans="3:3" x14ac:dyDescent="0.2">
      <c r="C137" s="97"/>
    </row>
    <row r="138" spans="3:3" x14ac:dyDescent="0.2">
      <c r="C138" s="97"/>
    </row>
    <row r="139" spans="3:3" x14ac:dyDescent="0.2">
      <c r="C139" s="97"/>
    </row>
    <row r="140" spans="3:3" x14ac:dyDescent="0.2">
      <c r="C140" s="97"/>
    </row>
    <row r="141" spans="3:3" x14ac:dyDescent="0.2">
      <c r="C141" s="97"/>
    </row>
    <row r="142" spans="3:3" x14ac:dyDescent="0.2">
      <c r="C142" s="97"/>
    </row>
    <row r="143" spans="3:3" x14ac:dyDescent="0.2">
      <c r="C143" s="97"/>
    </row>
    <row r="144" spans="3:3" x14ac:dyDescent="0.2">
      <c r="C144" s="97"/>
    </row>
    <row r="145" spans="3:3" x14ac:dyDescent="0.2">
      <c r="C145" s="97"/>
    </row>
    <row r="146" spans="3:3" x14ac:dyDescent="0.2">
      <c r="C146" s="97"/>
    </row>
    <row r="147" spans="3:3" x14ac:dyDescent="0.2">
      <c r="C147" s="97"/>
    </row>
    <row r="148" spans="3:3" x14ac:dyDescent="0.2">
      <c r="C148" s="97"/>
    </row>
    <row r="149" spans="3:3" x14ac:dyDescent="0.2">
      <c r="C149" s="97"/>
    </row>
    <row r="150" spans="3:3" x14ac:dyDescent="0.2">
      <c r="C150" s="97"/>
    </row>
    <row r="151" spans="3:3" x14ac:dyDescent="0.2">
      <c r="C151" s="97"/>
    </row>
    <row r="152" spans="3:3" x14ac:dyDescent="0.2">
      <c r="C152" s="97"/>
    </row>
    <row r="153" spans="3:3" x14ac:dyDescent="0.2">
      <c r="C153" s="97"/>
    </row>
    <row r="154" spans="3:3" x14ac:dyDescent="0.2">
      <c r="C154" s="97"/>
    </row>
    <row r="155" spans="3:3" x14ac:dyDescent="0.2">
      <c r="C155" s="97"/>
    </row>
    <row r="156" spans="3:3" x14ac:dyDescent="0.2">
      <c r="C156" s="97"/>
    </row>
    <row r="157" spans="3:3" x14ac:dyDescent="0.2">
      <c r="C157" s="97"/>
    </row>
    <row r="158" spans="3:3" x14ac:dyDescent="0.2">
      <c r="C158" s="97"/>
    </row>
    <row r="159" spans="3:3" x14ac:dyDescent="0.2">
      <c r="C159" s="97"/>
    </row>
    <row r="160" spans="3:3" x14ac:dyDescent="0.2">
      <c r="C160" s="97"/>
    </row>
    <row r="161" spans="3:3" x14ac:dyDescent="0.2">
      <c r="C161" s="97"/>
    </row>
    <row r="162" spans="3:3" x14ac:dyDescent="0.2">
      <c r="C162" s="97"/>
    </row>
    <row r="163" spans="3:3" x14ac:dyDescent="0.2">
      <c r="C163" s="97"/>
    </row>
    <row r="164" spans="3:3" x14ac:dyDescent="0.2">
      <c r="C164" s="97"/>
    </row>
    <row r="165" spans="3:3" x14ac:dyDescent="0.2">
      <c r="C165" s="97"/>
    </row>
    <row r="166" spans="3:3" x14ac:dyDescent="0.2">
      <c r="C166" s="97"/>
    </row>
    <row r="167" spans="3:3" x14ac:dyDescent="0.2">
      <c r="C167" s="97"/>
    </row>
    <row r="168" spans="3:3" x14ac:dyDescent="0.2">
      <c r="C168" s="97"/>
    </row>
    <row r="169" spans="3:3" x14ac:dyDescent="0.2">
      <c r="C169" s="97"/>
    </row>
    <row r="170" spans="3:3" x14ac:dyDescent="0.2">
      <c r="C170" s="97"/>
    </row>
    <row r="171" spans="3:3" x14ac:dyDescent="0.2">
      <c r="C171" s="97"/>
    </row>
    <row r="172" spans="3:3" x14ac:dyDescent="0.2">
      <c r="C172" s="97"/>
    </row>
    <row r="173" spans="3:3" x14ac:dyDescent="0.2">
      <c r="C173" s="97"/>
    </row>
    <row r="174" spans="3:3" x14ac:dyDescent="0.2">
      <c r="C174" s="97"/>
    </row>
    <row r="175" spans="3:3" x14ac:dyDescent="0.2">
      <c r="C175" s="97"/>
    </row>
    <row r="176" spans="3:3" x14ac:dyDescent="0.2">
      <c r="C176" s="97"/>
    </row>
    <row r="177" spans="3:3" x14ac:dyDescent="0.2">
      <c r="C177" s="97"/>
    </row>
    <row r="178" spans="3:3" x14ac:dyDescent="0.2">
      <c r="C178" s="97"/>
    </row>
    <row r="179" spans="3:3" x14ac:dyDescent="0.2">
      <c r="C179" s="97"/>
    </row>
    <row r="180" spans="3:3" x14ac:dyDescent="0.2">
      <c r="C180" s="97"/>
    </row>
    <row r="181" spans="3:3" x14ac:dyDescent="0.2">
      <c r="C181" s="97"/>
    </row>
    <row r="182" spans="3:3" x14ac:dyDescent="0.2">
      <c r="C182" s="97"/>
    </row>
    <row r="183" spans="3:3" x14ac:dyDescent="0.2">
      <c r="C183" s="97"/>
    </row>
    <row r="184" spans="3:3" x14ac:dyDescent="0.2">
      <c r="C184" s="97"/>
    </row>
    <row r="185" spans="3:3" x14ac:dyDescent="0.2">
      <c r="C185" s="97"/>
    </row>
    <row r="186" spans="3:3" x14ac:dyDescent="0.2">
      <c r="C186" s="97"/>
    </row>
    <row r="187" spans="3:3" x14ac:dyDescent="0.2">
      <c r="C187" s="97"/>
    </row>
    <row r="188" spans="3:3" x14ac:dyDescent="0.2">
      <c r="C188" s="97"/>
    </row>
    <row r="189" spans="3:3" x14ac:dyDescent="0.2">
      <c r="C189" s="97"/>
    </row>
    <row r="190" spans="3:3" x14ac:dyDescent="0.2">
      <c r="C190" s="97"/>
    </row>
    <row r="191" spans="3:3" x14ac:dyDescent="0.2">
      <c r="C191" s="97"/>
    </row>
    <row r="192" spans="3:3" x14ac:dyDescent="0.2">
      <c r="C192" s="97"/>
    </row>
    <row r="193" spans="3:3" x14ac:dyDescent="0.2">
      <c r="C193" s="97"/>
    </row>
    <row r="194" spans="3:3" x14ac:dyDescent="0.2">
      <c r="C194" s="97"/>
    </row>
    <row r="195" spans="3:3" x14ac:dyDescent="0.2">
      <c r="C195" s="97"/>
    </row>
    <row r="196" spans="3:3" x14ac:dyDescent="0.2">
      <c r="C196" s="97"/>
    </row>
    <row r="197" spans="3:3" x14ac:dyDescent="0.2">
      <c r="C197" s="97"/>
    </row>
    <row r="198" spans="3:3" x14ac:dyDescent="0.2">
      <c r="C198" s="97"/>
    </row>
    <row r="199" spans="3:3" x14ac:dyDescent="0.2">
      <c r="C199" s="97"/>
    </row>
    <row r="200" spans="3:3" x14ac:dyDescent="0.2">
      <c r="C200" s="97"/>
    </row>
    <row r="201" spans="3:3" x14ac:dyDescent="0.2">
      <c r="C201" s="97"/>
    </row>
    <row r="202" spans="3:3" x14ac:dyDescent="0.2">
      <c r="C202" s="97"/>
    </row>
    <row r="203" spans="3:3" x14ac:dyDescent="0.2">
      <c r="C203" s="97"/>
    </row>
    <row r="204" spans="3:3" x14ac:dyDescent="0.2">
      <c r="C204" s="97"/>
    </row>
    <row r="205" spans="3:3" x14ac:dyDescent="0.2">
      <c r="C205" s="97"/>
    </row>
    <row r="206" spans="3:3" x14ac:dyDescent="0.2">
      <c r="C206" s="97"/>
    </row>
    <row r="207" spans="3:3" x14ac:dyDescent="0.2">
      <c r="C207" s="97"/>
    </row>
    <row r="208" spans="3:3" x14ac:dyDescent="0.2">
      <c r="C208" s="97"/>
    </row>
    <row r="209" spans="3:3" x14ac:dyDescent="0.2">
      <c r="C209" s="97"/>
    </row>
    <row r="210" spans="3:3" x14ac:dyDescent="0.2">
      <c r="C210" s="97"/>
    </row>
    <row r="211" spans="3:3" x14ac:dyDescent="0.2">
      <c r="C211" s="97"/>
    </row>
    <row r="212" spans="3:3" x14ac:dyDescent="0.2">
      <c r="C212" s="97"/>
    </row>
    <row r="213" spans="3:3" x14ac:dyDescent="0.2">
      <c r="C213" s="97"/>
    </row>
    <row r="214" spans="3:3" x14ac:dyDescent="0.2">
      <c r="C214" s="97"/>
    </row>
    <row r="215" spans="3:3" x14ac:dyDescent="0.2">
      <c r="C215" s="97"/>
    </row>
    <row r="216" spans="3:3" x14ac:dyDescent="0.2">
      <c r="C216" s="97"/>
    </row>
    <row r="217" spans="3:3" x14ac:dyDescent="0.2">
      <c r="C217" s="97"/>
    </row>
    <row r="218" spans="3:3" x14ac:dyDescent="0.2">
      <c r="C218" s="97"/>
    </row>
    <row r="219" spans="3:3" x14ac:dyDescent="0.2">
      <c r="C219" s="97"/>
    </row>
    <row r="220" spans="3:3" x14ac:dyDescent="0.2">
      <c r="C220" s="97"/>
    </row>
    <row r="221" spans="3:3" x14ac:dyDescent="0.2">
      <c r="C221" s="97"/>
    </row>
    <row r="222" spans="3:3" x14ac:dyDescent="0.2">
      <c r="C222" s="97"/>
    </row>
    <row r="223" spans="3:3" x14ac:dyDescent="0.2">
      <c r="C223" s="97"/>
    </row>
    <row r="224" spans="3:3" x14ac:dyDescent="0.2">
      <c r="C224" s="97"/>
    </row>
    <row r="225" spans="3:3" x14ac:dyDescent="0.2">
      <c r="C225" s="97"/>
    </row>
    <row r="226" spans="3:3" x14ac:dyDescent="0.2">
      <c r="C226" s="97"/>
    </row>
    <row r="227" spans="3:3" x14ac:dyDescent="0.2">
      <c r="C227" s="97"/>
    </row>
    <row r="228" spans="3:3" x14ac:dyDescent="0.2">
      <c r="C228" s="97"/>
    </row>
    <row r="229" spans="3:3" x14ac:dyDescent="0.2">
      <c r="C229" s="97"/>
    </row>
    <row r="230" spans="3:3" x14ac:dyDescent="0.2">
      <c r="C230" s="97"/>
    </row>
    <row r="231" spans="3:3" x14ac:dyDescent="0.2">
      <c r="C231" s="97"/>
    </row>
    <row r="232" spans="3:3" x14ac:dyDescent="0.2">
      <c r="C232" s="97"/>
    </row>
    <row r="233" spans="3:3" x14ac:dyDescent="0.2">
      <c r="C233" s="97"/>
    </row>
    <row r="234" spans="3:3" x14ac:dyDescent="0.2">
      <c r="C234" s="97"/>
    </row>
    <row r="235" spans="3:3" x14ac:dyDescent="0.2">
      <c r="C235" s="97"/>
    </row>
    <row r="236" spans="3:3" x14ac:dyDescent="0.2">
      <c r="C236" s="97"/>
    </row>
    <row r="237" spans="3:3" x14ac:dyDescent="0.2">
      <c r="C237" s="97"/>
    </row>
    <row r="238" spans="3:3" x14ac:dyDescent="0.2">
      <c r="C238" s="97"/>
    </row>
    <row r="239" spans="3:3" x14ac:dyDescent="0.2">
      <c r="C239" s="97"/>
    </row>
    <row r="240" spans="3:3" x14ac:dyDescent="0.2">
      <c r="C240" s="97"/>
    </row>
    <row r="241" spans="3:3" x14ac:dyDescent="0.2">
      <c r="C241" s="97"/>
    </row>
    <row r="242" spans="3:3" x14ac:dyDescent="0.2">
      <c r="C242" s="97"/>
    </row>
    <row r="243" spans="3:3" x14ac:dyDescent="0.2">
      <c r="C243" s="97"/>
    </row>
    <row r="244" spans="3:3" x14ac:dyDescent="0.2">
      <c r="C244" s="97"/>
    </row>
    <row r="245" spans="3:3" x14ac:dyDescent="0.2">
      <c r="C245" s="97"/>
    </row>
    <row r="246" spans="3:3" x14ac:dyDescent="0.2">
      <c r="C246" s="97"/>
    </row>
    <row r="247" spans="3:3" x14ac:dyDescent="0.2">
      <c r="C247" s="97"/>
    </row>
    <row r="248" spans="3:3" x14ac:dyDescent="0.2">
      <c r="C248" s="97"/>
    </row>
    <row r="249" spans="3:3" x14ac:dyDescent="0.2">
      <c r="C249" s="97"/>
    </row>
    <row r="250" spans="3:3" x14ac:dyDescent="0.2">
      <c r="C250" s="97"/>
    </row>
    <row r="251" spans="3:3" x14ac:dyDescent="0.2">
      <c r="C251" s="97"/>
    </row>
    <row r="252" spans="3:3" x14ac:dyDescent="0.2">
      <c r="C252" s="97"/>
    </row>
    <row r="253" spans="3:3" x14ac:dyDescent="0.2">
      <c r="C253" s="97"/>
    </row>
    <row r="254" spans="3:3" x14ac:dyDescent="0.2">
      <c r="C254" s="97"/>
    </row>
    <row r="255" spans="3:3" x14ac:dyDescent="0.2">
      <c r="C255" s="97"/>
    </row>
    <row r="256" spans="3:3" x14ac:dyDescent="0.2">
      <c r="C256" s="97"/>
    </row>
    <row r="257" spans="3:3" x14ac:dyDescent="0.2">
      <c r="C257" s="97"/>
    </row>
    <row r="258" spans="3:3" x14ac:dyDescent="0.2">
      <c r="C258" s="97"/>
    </row>
    <row r="259" spans="3:3" x14ac:dyDescent="0.2">
      <c r="C259" s="97"/>
    </row>
    <row r="260" spans="3:3" x14ac:dyDescent="0.2">
      <c r="C260" s="97"/>
    </row>
    <row r="261" spans="3:3" x14ac:dyDescent="0.2">
      <c r="C261" s="97"/>
    </row>
    <row r="262" spans="3:3" x14ac:dyDescent="0.2">
      <c r="C262" s="97"/>
    </row>
    <row r="263" spans="3:3" x14ac:dyDescent="0.2">
      <c r="C263" s="97"/>
    </row>
    <row r="264" spans="3:3" x14ac:dyDescent="0.2">
      <c r="C264" s="97"/>
    </row>
    <row r="265" spans="3:3" x14ac:dyDescent="0.2">
      <c r="C265" s="97"/>
    </row>
    <row r="266" spans="3:3" x14ac:dyDescent="0.2">
      <c r="C266" s="97"/>
    </row>
    <row r="267" spans="3:3" x14ac:dyDescent="0.2">
      <c r="C267" s="97"/>
    </row>
    <row r="268" spans="3:3" x14ac:dyDescent="0.2">
      <c r="C268" s="97"/>
    </row>
    <row r="269" spans="3:3" x14ac:dyDescent="0.2">
      <c r="C269" s="97"/>
    </row>
    <row r="270" spans="3:3" x14ac:dyDescent="0.2">
      <c r="C270" s="97"/>
    </row>
    <row r="271" spans="3:3" x14ac:dyDescent="0.2">
      <c r="C271" s="97"/>
    </row>
    <row r="272" spans="3:3" x14ac:dyDescent="0.2">
      <c r="C272" s="97"/>
    </row>
    <row r="273" spans="3:3" x14ac:dyDescent="0.2">
      <c r="C273" s="97"/>
    </row>
    <row r="274" spans="3:3" x14ac:dyDescent="0.2">
      <c r="C274" s="97"/>
    </row>
    <row r="275" spans="3:3" x14ac:dyDescent="0.2">
      <c r="C275" s="97"/>
    </row>
    <row r="276" spans="3:3" x14ac:dyDescent="0.2">
      <c r="C276" s="97"/>
    </row>
    <row r="277" spans="3:3" x14ac:dyDescent="0.2">
      <c r="C277" s="97"/>
    </row>
    <row r="278" spans="3:3" x14ac:dyDescent="0.2">
      <c r="C278" s="97"/>
    </row>
    <row r="279" spans="3:3" x14ac:dyDescent="0.2">
      <c r="C279" s="97"/>
    </row>
    <row r="280" spans="3:3" x14ac:dyDescent="0.2">
      <c r="C280" s="97"/>
    </row>
    <row r="281" spans="3:3" x14ac:dyDescent="0.2">
      <c r="C281" s="97"/>
    </row>
    <row r="282" spans="3:3" x14ac:dyDescent="0.2">
      <c r="C282" s="97"/>
    </row>
    <row r="283" spans="3:3" x14ac:dyDescent="0.2">
      <c r="C283" s="97"/>
    </row>
    <row r="284" spans="3:3" x14ac:dyDescent="0.2">
      <c r="C284" s="97"/>
    </row>
    <row r="285" spans="3:3" x14ac:dyDescent="0.2">
      <c r="C285" s="97"/>
    </row>
    <row r="286" spans="3:3" x14ac:dyDescent="0.2">
      <c r="C286" s="97"/>
    </row>
    <row r="287" spans="3:3" x14ac:dyDescent="0.2">
      <c r="C287" s="97"/>
    </row>
    <row r="288" spans="3:3" x14ac:dyDescent="0.2">
      <c r="C288" s="97"/>
    </row>
    <row r="289" spans="3:3" x14ac:dyDescent="0.2">
      <c r="C289" s="97"/>
    </row>
    <row r="290" spans="3:3" x14ac:dyDescent="0.2">
      <c r="C290" s="97"/>
    </row>
    <row r="291" spans="3:3" x14ac:dyDescent="0.2">
      <c r="C291" s="97"/>
    </row>
    <row r="292" spans="3:3" x14ac:dyDescent="0.2">
      <c r="C292" s="97"/>
    </row>
    <row r="293" spans="3:3" x14ac:dyDescent="0.2">
      <c r="C293" s="97"/>
    </row>
    <row r="294" spans="3:3" x14ac:dyDescent="0.2">
      <c r="C294" s="97"/>
    </row>
    <row r="295" spans="3:3" x14ac:dyDescent="0.2">
      <c r="C295" s="97"/>
    </row>
    <row r="296" spans="3:3" x14ac:dyDescent="0.2">
      <c r="C296" s="97"/>
    </row>
    <row r="297" spans="3:3" x14ac:dyDescent="0.2">
      <c r="C297" s="97"/>
    </row>
    <row r="298" spans="3:3" x14ac:dyDescent="0.2">
      <c r="C298" s="97"/>
    </row>
    <row r="299" spans="3:3" x14ac:dyDescent="0.2">
      <c r="C299" s="97"/>
    </row>
    <row r="300" spans="3:3" x14ac:dyDescent="0.2">
      <c r="C300" s="97"/>
    </row>
    <row r="301" spans="3:3" x14ac:dyDescent="0.2">
      <c r="C301" s="97"/>
    </row>
    <row r="302" spans="3:3" x14ac:dyDescent="0.2">
      <c r="C302" s="97"/>
    </row>
    <row r="303" spans="3:3" x14ac:dyDescent="0.2">
      <c r="C303" s="97"/>
    </row>
    <row r="304" spans="3:3" x14ac:dyDescent="0.2">
      <c r="C304" s="97"/>
    </row>
    <row r="305" spans="3:3" x14ac:dyDescent="0.2">
      <c r="C305" s="97"/>
    </row>
    <row r="306" spans="3:3" x14ac:dyDescent="0.2">
      <c r="C306" s="97"/>
    </row>
    <row r="307" spans="3:3" x14ac:dyDescent="0.2">
      <c r="C307" s="97"/>
    </row>
    <row r="308" spans="3:3" x14ac:dyDescent="0.2">
      <c r="C308" s="97"/>
    </row>
    <row r="309" spans="3:3" x14ac:dyDescent="0.2">
      <c r="C309" s="97"/>
    </row>
    <row r="310" spans="3:3" x14ac:dyDescent="0.2">
      <c r="C310" s="97"/>
    </row>
    <row r="311" spans="3:3" x14ac:dyDescent="0.2">
      <c r="C311" s="97"/>
    </row>
    <row r="312" spans="3:3" x14ac:dyDescent="0.2">
      <c r="C312" s="97"/>
    </row>
    <row r="313" spans="3:3" x14ac:dyDescent="0.2">
      <c r="C313" s="97"/>
    </row>
    <row r="314" spans="3:3" x14ac:dyDescent="0.2">
      <c r="C314" s="97"/>
    </row>
    <row r="315" spans="3:3" x14ac:dyDescent="0.2">
      <c r="C315" s="97"/>
    </row>
    <row r="316" spans="3:3" x14ac:dyDescent="0.2">
      <c r="C316" s="97"/>
    </row>
    <row r="317" spans="3:3" x14ac:dyDescent="0.2">
      <c r="C317" s="97"/>
    </row>
    <row r="318" spans="3:3" x14ac:dyDescent="0.2">
      <c r="C318" s="97"/>
    </row>
    <row r="319" spans="3:3" x14ac:dyDescent="0.2">
      <c r="C319" s="97"/>
    </row>
    <row r="320" spans="3:3" x14ac:dyDescent="0.2">
      <c r="C320" s="97"/>
    </row>
    <row r="321" spans="3:3" x14ac:dyDescent="0.2">
      <c r="C321" s="97"/>
    </row>
    <row r="322" spans="3:3" x14ac:dyDescent="0.2">
      <c r="C322" s="97"/>
    </row>
    <row r="323" spans="3:3" x14ac:dyDescent="0.2">
      <c r="C323" s="97"/>
    </row>
    <row r="324" spans="3:3" x14ac:dyDescent="0.2">
      <c r="C324" s="97"/>
    </row>
    <row r="325" spans="3:3" x14ac:dyDescent="0.2">
      <c r="C325" s="97"/>
    </row>
    <row r="326" spans="3:3" x14ac:dyDescent="0.2">
      <c r="C326" s="97"/>
    </row>
    <row r="327" spans="3:3" x14ac:dyDescent="0.2">
      <c r="C327" s="97"/>
    </row>
    <row r="328" spans="3:3" x14ac:dyDescent="0.2">
      <c r="C328" s="97"/>
    </row>
    <row r="329" spans="3:3" x14ac:dyDescent="0.2">
      <c r="C329" s="97"/>
    </row>
    <row r="330" spans="3:3" x14ac:dyDescent="0.2">
      <c r="C330" s="97"/>
    </row>
    <row r="331" spans="3:3" x14ac:dyDescent="0.2">
      <c r="C331" s="97"/>
    </row>
    <row r="332" spans="3:3" x14ac:dyDescent="0.2">
      <c r="C332" s="97"/>
    </row>
    <row r="333" spans="3:3" x14ac:dyDescent="0.2">
      <c r="C333" s="97"/>
    </row>
    <row r="334" spans="3:3" x14ac:dyDescent="0.2">
      <c r="C334" s="97"/>
    </row>
    <row r="335" spans="3:3" x14ac:dyDescent="0.2">
      <c r="C335" s="97"/>
    </row>
    <row r="336" spans="3:3" x14ac:dyDescent="0.2">
      <c r="C336" s="97"/>
    </row>
    <row r="337" spans="3:3" x14ac:dyDescent="0.2">
      <c r="C337" s="97"/>
    </row>
    <row r="338" spans="3:3" x14ac:dyDescent="0.2">
      <c r="C338" s="97"/>
    </row>
    <row r="339" spans="3:3" x14ac:dyDescent="0.2">
      <c r="C339" s="97"/>
    </row>
    <row r="340" spans="3:3" x14ac:dyDescent="0.2">
      <c r="C340" s="97"/>
    </row>
    <row r="341" spans="3:3" x14ac:dyDescent="0.2">
      <c r="C341" s="97"/>
    </row>
    <row r="342" spans="3:3" x14ac:dyDescent="0.2">
      <c r="C342" s="97"/>
    </row>
    <row r="343" spans="3:3" x14ac:dyDescent="0.2">
      <c r="C343" s="97"/>
    </row>
    <row r="344" spans="3:3" x14ac:dyDescent="0.2">
      <c r="C344" s="97"/>
    </row>
    <row r="345" spans="3:3" x14ac:dyDescent="0.2">
      <c r="C345" s="97"/>
    </row>
    <row r="346" spans="3:3" x14ac:dyDescent="0.2">
      <c r="C346" s="97"/>
    </row>
    <row r="347" spans="3:3" x14ac:dyDescent="0.2">
      <c r="C347" s="97"/>
    </row>
    <row r="348" spans="3:3" x14ac:dyDescent="0.2">
      <c r="C348" s="97"/>
    </row>
    <row r="349" spans="3:3" x14ac:dyDescent="0.2">
      <c r="C349" s="97"/>
    </row>
    <row r="350" spans="3:3" x14ac:dyDescent="0.2">
      <c r="C350" s="97"/>
    </row>
    <row r="351" spans="3:3" x14ac:dyDescent="0.2">
      <c r="C351" s="97"/>
    </row>
    <row r="352" spans="3:3" x14ac:dyDescent="0.2">
      <c r="C352" s="97"/>
    </row>
    <row r="353" spans="3:3" x14ac:dyDescent="0.2">
      <c r="C353" s="97"/>
    </row>
    <row r="354" spans="3:3" x14ac:dyDescent="0.2">
      <c r="C354" s="97"/>
    </row>
    <row r="355" spans="3:3" x14ac:dyDescent="0.2">
      <c r="C355" s="97"/>
    </row>
    <row r="356" spans="3:3" x14ac:dyDescent="0.2">
      <c r="C356" s="97"/>
    </row>
    <row r="357" spans="3:3" x14ac:dyDescent="0.2">
      <c r="C357" s="97"/>
    </row>
    <row r="358" spans="3:3" x14ac:dyDescent="0.2">
      <c r="C358" s="97"/>
    </row>
    <row r="359" spans="3:3" x14ac:dyDescent="0.2">
      <c r="C359" s="97"/>
    </row>
    <row r="360" spans="3:3" x14ac:dyDescent="0.2">
      <c r="C360" s="97"/>
    </row>
    <row r="361" spans="3:3" x14ac:dyDescent="0.2">
      <c r="C361" s="97"/>
    </row>
    <row r="362" spans="3:3" x14ac:dyDescent="0.2">
      <c r="C362" s="97"/>
    </row>
    <row r="363" spans="3:3" x14ac:dyDescent="0.2">
      <c r="C363" s="97"/>
    </row>
    <row r="364" spans="3:3" x14ac:dyDescent="0.2">
      <c r="C364" s="97"/>
    </row>
    <row r="365" spans="3:3" x14ac:dyDescent="0.2">
      <c r="C365" s="97"/>
    </row>
    <row r="366" spans="3:3" x14ac:dyDescent="0.2">
      <c r="C366" s="97"/>
    </row>
    <row r="367" spans="3:3" x14ac:dyDescent="0.2">
      <c r="C367" s="97"/>
    </row>
    <row r="368" spans="3:3" x14ac:dyDescent="0.2">
      <c r="C368" s="97"/>
    </row>
    <row r="369" spans="3:3" x14ac:dyDescent="0.2">
      <c r="C369" s="97"/>
    </row>
    <row r="370" spans="3:3" x14ac:dyDescent="0.2">
      <c r="C370" s="97"/>
    </row>
    <row r="371" spans="3:3" x14ac:dyDescent="0.2">
      <c r="C371" s="97"/>
    </row>
    <row r="372" spans="3:3" x14ac:dyDescent="0.2">
      <c r="C372" s="97"/>
    </row>
    <row r="373" spans="3:3" x14ac:dyDescent="0.2">
      <c r="C373" s="97"/>
    </row>
    <row r="374" spans="3:3" x14ac:dyDescent="0.2">
      <c r="C374" s="97"/>
    </row>
    <row r="375" spans="3:3" x14ac:dyDescent="0.2">
      <c r="C375" s="97"/>
    </row>
    <row r="376" spans="3:3" x14ac:dyDescent="0.2">
      <c r="C376" s="97"/>
    </row>
    <row r="377" spans="3:3" x14ac:dyDescent="0.2">
      <c r="C377" s="97"/>
    </row>
    <row r="378" spans="3:3" x14ac:dyDescent="0.2">
      <c r="C378" s="97"/>
    </row>
    <row r="379" spans="3:3" x14ac:dyDescent="0.2">
      <c r="C379" s="97"/>
    </row>
    <row r="380" spans="3:3" x14ac:dyDescent="0.2">
      <c r="C380" s="97"/>
    </row>
    <row r="381" spans="3:3" x14ac:dyDescent="0.2">
      <c r="C381" s="97"/>
    </row>
    <row r="382" spans="3:3" x14ac:dyDescent="0.2">
      <c r="C382" s="97"/>
    </row>
    <row r="383" spans="3:3" x14ac:dyDescent="0.2">
      <c r="C383" s="97"/>
    </row>
    <row r="384" spans="3:3" x14ac:dyDescent="0.2">
      <c r="C384" s="97"/>
    </row>
    <row r="385" spans="3:3" x14ac:dyDescent="0.2">
      <c r="C385" s="97"/>
    </row>
    <row r="386" spans="3:3" x14ac:dyDescent="0.2">
      <c r="C386" s="97"/>
    </row>
    <row r="387" spans="3:3" x14ac:dyDescent="0.2">
      <c r="C387" s="97"/>
    </row>
    <row r="388" spans="3:3" x14ac:dyDescent="0.2">
      <c r="C388" s="97"/>
    </row>
    <row r="389" spans="3:3" x14ac:dyDescent="0.2">
      <c r="C389" s="97"/>
    </row>
    <row r="390" spans="3:3" x14ac:dyDescent="0.2">
      <c r="C390" s="97"/>
    </row>
    <row r="391" spans="3:3" x14ac:dyDescent="0.2">
      <c r="C391" s="97"/>
    </row>
    <row r="392" spans="3:3" x14ac:dyDescent="0.2">
      <c r="C392" s="97"/>
    </row>
    <row r="393" spans="3:3" x14ac:dyDescent="0.2">
      <c r="C393" s="97"/>
    </row>
    <row r="394" spans="3:3" x14ac:dyDescent="0.2">
      <c r="C394" s="97"/>
    </row>
    <row r="395" spans="3:3" x14ac:dyDescent="0.2">
      <c r="C395" s="97"/>
    </row>
    <row r="396" spans="3:3" x14ac:dyDescent="0.2">
      <c r="C396" s="97"/>
    </row>
    <row r="397" spans="3:3" x14ac:dyDescent="0.2">
      <c r="C397" s="97"/>
    </row>
    <row r="398" spans="3:3" x14ac:dyDescent="0.2">
      <c r="C398" s="97"/>
    </row>
    <row r="399" spans="3:3" x14ac:dyDescent="0.2">
      <c r="C399" s="97"/>
    </row>
    <row r="400" spans="3:3" x14ac:dyDescent="0.2">
      <c r="C400" s="97"/>
    </row>
    <row r="401" spans="3:3" x14ac:dyDescent="0.2">
      <c r="C401" s="97"/>
    </row>
    <row r="402" spans="3:3" x14ac:dyDescent="0.2">
      <c r="C402" s="97"/>
    </row>
    <row r="403" spans="3:3" x14ac:dyDescent="0.2">
      <c r="C403" s="97"/>
    </row>
    <row r="404" spans="3:3" x14ac:dyDescent="0.2">
      <c r="C404" s="97"/>
    </row>
    <row r="405" spans="3:3" x14ac:dyDescent="0.2">
      <c r="C405" s="97"/>
    </row>
    <row r="406" spans="3:3" x14ac:dyDescent="0.2">
      <c r="C406" s="97"/>
    </row>
    <row r="407" spans="3:3" x14ac:dyDescent="0.2">
      <c r="C407" s="97"/>
    </row>
    <row r="408" spans="3:3" x14ac:dyDescent="0.2">
      <c r="C408" s="97"/>
    </row>
    <row r="409" spans="3:3" x14ac:dyDescent="0.2">
      <c r="C409" s="97"/>
    </row>
    <row r="410" spans="3:3" x14ac:dyDescent="0.2">
      <c r="C410" s="97"/>
    </row>
    <row r="411" spans="3:3" x14ac:dyDescent="0.2">
      <c r="C411" s="97"/>
    </row>
    <row r="412" spans="3:3" x14ac:dyDescent="0.2">
      <c r="C412" s="97"/>
    </row>
    <row r="413" spans="3:3" x14ac:dyDescent="0.2">
      <c r="C413" s="97"/>
    </row>
    <row r="414" spans="3:3" x14ac:dyDescent="0.2">
      <c r="C414" s="97"/>
    </row>
    <row r="415" spans="3:3" x14ac:dyDescent="0.2">
      <c r="C415" s="97"/>
    </row>
    <row r="416" spans="3:3" x14ac:dyDescent="0.2">
      <c r="C416" s="97"/>
    </row>
    <row r="417" spans="3:3" x14ac:dyDescent="0.2">
      <c r="C417" s="97"/>
    </row>
    <row r="418" spans="3:3" x14ac:dyDescent="0.2">
      <c r="C418" s="97"/>
    </row>
  </sheetData>
  <autoFilter ref="B1:G15" xr:uid="{00000000-0009-0000-0000-00000E000000}">
    <sortState ref="B2:G15">
      <sortCondition ref="B1:B15"/>
    </sortState>
  </autoFilter>
  <conditionalFormatting sqref="C29">
    <cfRule type="expression" dxfId="150" priority="5">
      <formula>C29&lt;C28</formula>
    </cfRule>
  </conditionalFormatting>
  <conditionalFormatting sqref="C30:C33">
    <cfRule type="expression" dxfId="149" priority="4">
      <formula>C30&lt;C29</formula>
    </cfRule>
  </conditionalFormatting>
  <conditionalFormatting sqref="D29">
    <cfRule type="expression" dxfId="148" priority="3">
      <formula>D29&lt;D28</formula>
    </cfRule>
  </conditionalFormatting>
  <conditionalFormatting sqref="D30:D33">
    <cfRule type="expression" dxfId="147" priority="2">
      <formula>D30&lt;D29</formula>
    </cfRule>
  </conditionalFormatting>
  <conditionalFormatting sqref="C2:G15">
    <cfRule type="cellIs" dxfId="146" priority="1" operator="notEqual">
      <formula>1</formula>
    </cfRule>
  </conditionalFormatting>
  <dataValidations count="2">
    <dataValidation type="list" allowBlank="1" showInputMessage="1" showErrorMessage="1" sqref="H32" xr:uid="{00000000-0002-0000-0E00-000000000000}">
      <formula1>"CI ou PV,TL"</formula1>
    </dataValidation>
    <dataValidation type="list" allowBlank="1" showInputMessage="1" showErrorMessage="1" sqref="C2:G15" xr:uid="{00000000-0002-0000-0E00-000001000000}">
      <formula1>"1,0"</formula1>
    </dataValidation>
  </dataValidations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2"/>
  <dimension ref="B1:O62"/>
  <sheetViews>
    <sheetView workbookViewId="0">
      <selection activeCell="B3" sqref="B3"/>
    </sheetView>
  </sheetViews>
  <sheetFormatPr defaultColWidth="8.85546875" defaultRowHeight="12.75" x14ac:dyDescent="0.2"/>
  <cols>
    <col min="4" max="4" width="17" customWidth="1"/>
  </cols>
  <sheetData>
    <row r="1" spans="2:15" ht="18" x14ac:dyDescent="0.25">
      <c r="B1" s="262" t="s">
        <v>113</v>
      </c>
      <c r="J1" s="262" t="s">
        <v>303</v>
      </c>
    </row>
    <row r="3" spans="2:15" ht="15" x14ac:dyDescent="0.2">
      <c r="B3" s="43" t="s">
        <v>262</v>
      </c>
      <c r="C3" s="43"/>
      <c r="D3" s="43"/>
      <c r="E3" s="43"/>
      <c r="F3" s="42"/>
      <c r="G3" s="53"/>
      <c r="J3" s="43" t="s">
        <v>262</v>
      </c>
      <c r="K3" s="43"/>
      <c r="L3" s="43"/>
      <c r="M3" s="43"/>
      <c r="N3" s="42"/>
      <c r="O3" s="53"/>
    </row>
    <row r="4" spans="2:15" x14ac:dyDescent="0.2">
      <c r="B4" s="53"/>
      <c r="C4" s="53"/>
      <c r="D4" s="53"/>
      <c r="E4" s="53"/>
      <c r="F4" s="53"/>
      <c r="G4" s="53"/>
      <c r="J4" s="53"/>
      <c r="K4" s="53"/>
      <c r="L4" s="53"/>
      <c r="M4" s="53"/>
      <c r="N4" s="53"/>
      <c r="O4" s="53"/>
    </row>
    <row r="5" spans="2:15" x14ac:dyDescent="0.2">
      <c r="B5" s="272" t="s">
        <v>263</v>
      </c>
      <c r="C5" s="53"/>
      <c r="D5" s="53"/>
      <c r="E5" s="53"/>
      <c r="F5" s="53"/>
      <c r="G5" s="53"/>
      <c r="J5" s="272" t="s">
        <v>263</v>
      </c>
      <c r="K5" s="53"/>
      <c r="L5" s="53"/>
      <c r="M5" s="53"/>
      <c r="N5" s="53"/>
      <c r="O5" s="53"/>
    </row>
    <row r="6" spans="2:15" x14ac:dyDescent="0.2">
      <c r="B6" s="61" t="s">
        <v>264</v>
      </c>
      <c r="C6" s="148"/>
      <c r="D6" s="149"/>
      <c r="E6" s="149"/>
      <c r="F6" s="256"/>
      <c r="G6" s="61" t="s">
        <v>48</v>
      </c>
      <c r="J6" s="61" t="s">
        <v>264</v>
      </c>
      <c r="K6" s="148"/>
      <c r="L6" s="149"/>
      <c r="M6" s="149"/>
      <c r="N6" s="256"/>
      <c r="O6" s="61" t="s">
        <v>48</v>
      </c>
    </row>
    <row r="7" spans="2:15" x14ac:dyDescent="0.2">
      <c r="B7" s="61" t="s">
        <v>265</v>
      </c>
      <c r="C7" s="148"/>
      <c r="D7" s="149"/>
      <c r="E7" s="149"/>
      <c r="F7" s="256"/>
      <c r="G7" s="61" t="s">
        <v>48</v>
      </c>
      <c r="J7" s="61" t="s">
        <v>265</v>
      </c>
      <c r="K7" s="148"/>
      <c r="L7" s="149"/>
      <c r="M7" s="149"/>
      <c r="N7" s="256"/>
      <c r="O7" s="61" t="s">
        <v>48</v>
      </c>
    </row>
    <row r="8" spans="2:15" x14ac:dyDescent="0.2">
      <c r="B8" s="61" t="s">
        <v>266</v>
      </c>
      <c r="C8" s="148"/>
      <c r="D8" s="149"/>
      <c r="E8" s="149"/>
      <c r="F8" s="46">
        <v>3.5</v>
      </c>
      <c r="G8" s="61" t="s">
        <v>112</v>
      </c>
      <c r="J8" s="61" t="s">
        <v>266</v>
      </c>
      <c r="K8" s="148"/>
      <c r="L8" s="149"/>
      <c r="M8" s="149"/>
      <c r="N8" s="46">
        <v>3.5</v>
      </c>
      <c r="O8" s="61" t="s">
        <v>112</v>
      </c>
    </row>
    <row r="9" spans="2:15" x14ac:dyDescent="0.2">
      <c r="B9" s="53" t="s">
        <v>267</v>
      </c>
      <c r="C9" s="53"/>
      <c r="D9" s="53"/>
      <c r="E9" s="53"/>
      <c r="F9" s="161">
        <f>IFERROR(INT(F6/F8),0)</f>
        <v>0</v>
      </c>
      <c r="G9" s="53" t="s">
        <v>111</v>
      </c>
      <c r="J9" s="53" t="s">
        <v>267</v>
      </c>
      <c r="K9" s="53"/>
      <c r="L9" s="53"/>
      <c r="M9" s="53"/>
      <c r="N9" s="161">
        <f>IFERROR(INT(N6/N8),0)</f>
        <v>0</v>
      </c>
      <c r="O9" s="53" t="s">
        <v>111</v>
      </c>
    </row>
    <row r="10" spans="2:15" x14ac:dyDescent="0.2">
      <c r="B10" s="53" t="s">
        <v>268</v>
      </c>
      <c r="C10" s="148"/>
      <c r="D10" s="149"/>
      <c r="E10" s="149"/>
      <c r="F10" s="161">
        <f>IFERROR(INT(F7/F8),0)</f>
        <v>0</v>
      </c>
      <c r="G10" s="53" t="s">
        <v>111</v>
      </c>
      <c r="J10" s="53" t="s">
        <v>268</v>
      </c>
      <c r="K10" s="148"/>
      <c r="L10" s="149"/>
      <c r="M10" s="149"/>
      <c r="N10" s="161">
        <f>IFERROR(INT(N7/N8),0)</f>
        <v>0</v>
      </c>
      <c r="O10" s="53" t="s">
        <v>111</v>
      </c>
    </row>
    <row r="11" spans="2:15" x14ac:dyDescent="0.2">
      <c r="B11" s="53" t="s">
        <v>269</v>
      </c>
      <c r="C11" s="53"/>
      <c r="D11" s="53"/>
      <c r="E11" s="53"/>
      <c r="F11" s="256"/>
      <c r="G11" s="53" t="s">
        <v>111</v>
      </c>
      <c r="J11" s="53" t="s">
        <v>269</v>
      </c>
      <c r="K11" s="53"/>
      <c r="L11" s="53"/>
      <c r="M11" s="53"/>
      <c r="N11" s="256"/>
      <c r="O11" s="53" t="s">
        <v>111</v>
      </c>
    </row>
    <row r="12" spans="2:15" x14ac:dyDescent="0.2">
      <c r="B12" s="53" t="s">
        <v>270</v>
      </c>
      <c r="C12" s="53"/>
      <c r="D12" s="53"/>
      <c r="E12" s="53"/>
      <c r="F12" s="256"/>
      <c r="G12" s="53" t="s">
        <v>111</v>
      </c>
      <c r="J12" s="53" t="s">
        <v>270</v>
      </c>
      <c r="K12" s="53"/>
      <c r="L12" s="53"/>
      <c r="M12" s="53"/>
      <c r="N12" s="256"/>
      <c r="O12" s="53" t="s">
        <v>111</v>
      </c>
    </row>
    <row r="13" spans="2:15" x14ac:dyDescent="0.2">
      <c r="B13" s="53"/>
      <c r="C13" s="53"/>
      <c r="D13" s="53"/>
      <c r="E13" s="53"/>
      <c r="F13" s="53"/>
      <c r="G13" s="53"/>
      <c r="J13" s="53"/>
      <c r="K13" s="53"/>
      <c r="L13" s="53"/>
      <c r="M13" s="53"/>
      <c r="N13" s="53"/>
      <c r="O13" s="53"/>
    </row>
    <row r="14" spans="2:15" x14ac:dyDescent="0.2">
      <c r="B14" s="272" t="s">
        <v>282</v>
      </c>
      <c r="C14" s="53"/>
      <c r="D14" s="53"/>
      <c r="E14" s="53"/>
      <c r="F14" s="53"/>
      <c r="G14" s="53"/>
      <c r="J14" s="272" t="s">
        <v>282</v>
      </c>
      <c r="K14" s="53"/>
      <c r="L14" s="53"/>
      <c r="M14" s="53"/>
      <c r="N14" s="53"/>
      <c r="O14" s="53"/>
    </row>
    <row r="15" spans="2:15" x14ac:dyDescent="0.2">
      <c r="B15" s="65" t="s">
        <v>283</v>
      </c>
      <c r="C15" s="148"/>
      <c r="D15" s="149"/>
      <c r="E15" s="149"/>
      <c r="F15" s="170">
        <f>RedBasica!$K$11</f>
        <v>257</v>
      </c>
      <c r="G15" s="53" t="s">
        <v>111</v>
      </c>
      <c r="J15" s="65" t="s">
        <v>283</v>
      </c>
      <c r="K15" s="148"/>
      <c r="L15" s="149"/>
      <c r="M15" s="149"/>
      <c r="N15" s="170">
        <f>RedBasica!$K$11</f>
        <v>257</v>
      </c>
      <c r="O15" s="53" t="s">
        <v>111</v>
      </c>
    </row>
    <row r="16" spans="2:15" x14ac:dyDescent="0.2">
      <c r="B16" s="65" t="s">
        <v>284</v>
      </c>
      <c r="C16" s="148"/>
      <c r="D16" s="149"/>
      <c r="E16" s="149"/>
      <c r="F16" s="170">
        <f>RedBasica!$L$11</f>
        <v>188</v>
      </c>
      <c r="G16" s="53" t="s">
        <v>111</v>
      </c>
      <c r="J16" s="65" t="s">
        <v>284</v>
      </c>
      <c r="K16" s="148"/>
      <c r="L16" s="149"/>
      <c r="M16" s="149"/>
      <c r="N16" s="170">
        <f>RedBasica!$L$11</f>
        <v>188</v>
      </c>
      <c r="O16" s="53" t="s">
        <v>111</v>
      </c>
    </row>
    <row r="17" spans="2:15" x14ac:dyDescent="0.2">
      <c r="B17" s="61" t="s">
        <v>285</v>
      </c>
      <c r="C17" s="149"/>
      <c r="D17" s="149"/>
      <c r="E17" s="158" t="s">
        <v>49</v>
      </c>
      <c r="F17" s="169">
        <f>L9</f>
        <v>0</v>
      </c>
      <c r="G17" s="148" t="s">
        <v>5</v>
      </c>
      <c r="J17" s="61" t="s">
        <v>285</v>
      </c>
      <c r="K17" s="149"/>
      <c r="L17" s="149"/>
      <c r="M17" s="158" t="s">
        <v>49</v>
      </c>
      <c r="N17" s="169">
        <f>T9</f>
        <v>0</v>
      </c>
      <c r="O17" s="148" t="s">
        <v>5</v>
      </c>
    </row>
    <row r="18" spans="2:15" x14ac:dyDescent="0.2">
      <c r="B18" s="61" t="s">
        <v>285</v>
      </c>
      <c r="C18" s="149"/>
      <c r="D18" s="149"/>
      <c r="E18" s="158" t="s">
        <v>50</v>
      </c>
      <c r="F18" s="170">
        <f>K9</f>
        <v>0</v>
      </c>
      <c r="G18" s="148" t="s">
        <v>45</v>
      </c>
      <c r="J18" s="61" t="s">
        <v>285</v>
      </c>
      <c r="K18" s="149"/>
      <c r="L18" s="149"/>
      <c r="M18" s="158" t="s">
        <v>50</v>
      </c>
      <c r="N18" s="170">
        <f>S9</f>
        <v>0</v>
      </c>
      <c r="O18" s="148" t="s">
        <v>45</v>
      </c>
    </row>
    <row r="19" spans="2:15" x14ac:dyDescent="0.2">
      <c r="B19" s="272" t="s">
        <v>286</v>
      </c>
      <c r="C19" s="53"/>
      <c r="D19" s="53"/>
      <c r="E19" s="53"/>
      <c r="F19" s="53"/>
      <c r="G19" s="53"/>
      <c r="J19" s="272" t="s">
        <v>286</v>
      </c>
      <c r="K19" s="53"/>
      <c r="L19" s="53"/>
      <c r="M19" s="53"/>
      <c r="N19" s="53"/>
      <c r="O19" s="53"/>
    </row>
    <row r="20" spans="2:15" x14ac:dyDescent="0.2">
      <c r="B20" s="136" t="s">
        <v>287</v>
      </c>
      <c r="C20" s="148"/>
      <c r="D20" s="149"/>
      <c r="E20" s="149"/>
      <c r="F20" s="113" t="s">
        <v>110</v>
      </c>
      <c r="G20" s="135" t="s">
        <v>32</v>
      </c>
      <c r="J20" s="136" t="s">
        <v>287</v>
      </c>
      <c r="K20" s="148"/>
      <c r="L20" s="149"/>
      <c r="M20" s="149"/>
      <c r="N20" s="113" t="s">
        <v>110</v>
      </c>
      <c r="O20" s="135" t="s">
        <v>32</v>
      </c>
    </row>
    <row r="21" spans="2:15" x14ac:dyDescent="0.2">
      <c r="B21" s="136" t="s">
        <v>288</v>
      </c>
      <c r="C21" s="148"/>
      <c r="D21" s="149"/>
      <c r="E21" s="149"/>
      <c r="F21" s="168">
        <f>IFERROR(IF(F20="Si",L25,0),0)</f>
        <v>0</v>
      </c>
      <c r="G21" s="148" t="s">
        <v>14</v>
      </c>
      <c r="J21" s="136" t="s">
        <v>288</v>
      </c>
      <c r="K21" s="148"/>
      <c r="L21" s="149"/>
      <c r="M21" s="149"/>
      <c r="N21" s="168">
        <f>IFERROR(IF(N20="Si",T25,0),0)</f>
        <v>0</v>
      </c>
      <c r="O21" s="148" t="s">
        <v>14</v>
      </c>
    </row>
    <row r="22" spans="2:15" x14ac:dyDescent="0.2">
      <c r="B22" s="136" t="s">
        <v>289</v>
      </c>
      <c r="C22" s="148"/>
      <c r="D22" s="149"/>
      <c r="E22" s="149"/>
      <c r="F22" s="168">
        <f>IFERROR(IF(F20="Si",L23,0),0)</f>
        <v>0</v>
      </c>
      <c r="G22" s="148" t="s">
        <v>14</v>
      </c>
      <c r="J22" s="136" t="s">
        <v>289</v>
      </c>
      <c r="K22" s="148"/>
      <c r="L22" s="149"/>
      <c r="M22" s="149"/>
      <c r="N22" s="168">
        <f>IFERROR(IF(N20="Si",T23,0),0)</f>
        <v>0</v>
      </c>
      <c r="O22" s="148" t="s">
        <v>14</v>
      </c>
    </row>
    <row r="23" spans="2:15" x14ac:dyDescent="0.2">
      <c r="B23" s="53"/>
      <c r="C23" s="53"/>
      <c r="D23" s="53"/>
      <c r="E23" s="53"/>
      <c r="F23" s="53"/>
      <c r="G23" s="53"/>
      <c r="J23" s="53"/>
      <c r="K23" s="53"/>
      <c r="L23" s="53"/>
      <c r="M23" s="53"/>
      <c r="N23" s="53"/>
      <c r="O23" s="53"/>
    </row>
    <row r="24" spans="2:15" x14ac:dyDescent="0.2">
      <c r="B24" s="272" t="s">
        <v>290</v>
      </c>
      <c r="C24" s="53"/>
      <c r="D24" s="53"/>
      <c r="E24" s="53"/>
      <c r="F24" s="53"/>
      <c r="G24" s="53"/>
      <c r="J24" s="272" t="s">
        <v>290</v>
      </c>
      <c r="K24" s="53"/>
      <c r="L24" s="53"/>
      <c r="M24" s="53"/>
      <c r="N24" s="53"/>
      <c r="O24" s="53"/>
    </row>
    <row r="25" spans="2:15" x14ac:dyDescent="0.2">
      <c r="B25" s="136" t="s">
        <v>291</v>
      </c>
      <c r="C25" s="148"/>
      <c r="D25" s="149"/>
      <c r="E25" s="149"/>
      <c r="F25" s="258">
        <v>150</v>
      </c>
      <c r="G25" s="148" t="s">
        <v>13</v>
      </c>
      <c r="J25" s="136" t="s">
        <v>291</v>
      </c>
      <c r="K25" s="148"/>
      <c r="L25" s="149"/>
      <c r="M25" s="149"/>
      <c r="N25" s="258">
        <v>150</v>
      </c>
      <c r="O25" s="148" t="s">
        <v>13</v>
      </c>
    </row>
    <row r="26" spans="2:15" x14ac:dyDescent="0.2">
      <c r="B26" s="61" t="s">
        <v>11</v>
      </c>
      <c r="C26" s="148"/>
      <c r="D26" s="149"/>
      <c r="E26" s="149"/>
      <c r="F26" s="46">
        <v>1.2</v>
      </c>
      <c r="G26" s="150"/>
      <c r="J26" s="61" t="s">
        <v>11</v>
      </c>
      <c r="K26" s="148"/>
      <c r="L26" s="149"/>
      <c r="M26" s="149"/>
      <c r="N26" s="46">
        <v>1.2</v>
      </c>
      <c r="O26" s="150"/>
    </row>
    <row r="27" spans="2:15" x14ac:dyDescent="0.2">
      <c r="B27" s="61" t="s">
        <v>12</v>
      </c>
      <c r="C27" s="148"/>
      <c r="D27" s="149"/>
      <c r="E27" s="149"/>
      <c r="F27" s="46">
        <v>1.5</v>
      </c>
      <c r="G27" s="150"/>
      <c r="J27" s="61" t="s">
        <v>12</v>
      </c>
      <c r="K27" s="148"/>
      <c r="L27" s="149"/>
      <c r="M27" s="149"/>
      <c r="N27" s="46">
        <v>1.5</v>
      </c>
      <c r="O27" s="150"/>
    </row>
    <row r="28" spans="2:15" x14ac:dyDescent="0.2">
      <c r="B28" s="148" t="s">
        <v>3</v>
      </c>
      <c r="C28" s="148"/>
      <c r="D28" s="149"/>
      <c r="E28" s="149"/>
      <c r="F28" s="46">
        <v>0.8</v>
      </c>
      <c r="G28" s="148"/>
      <c r="J28" s="148" t="s">
        <v>3</v>
      </c>
      <c r="K28" s="148"/>
      <c r="L28" s="149"/>
      <c r="M28" s="149"/>
      <c r="N28" s="46">
        <v>0.8</v>
      </c>
      <c r="O28" s="148"/>
    </row>
    <row r="29" spans="2:15" x14ac:dyDescent="0.2">
      <c r="B29" s="61" t="s">
        <v>120</v>
      </c>
      <c r="C29" s="148"/>
      <c r="D29" s="149"/>
      <c r="E29" s="149"/>
      <c r="F29" s="257">
        <v>0.01</v>
      </c>
      <c r="G29" s="148" t="s">
        <v>14</v>
      </c>
      <c r="J29" s="61" t="s">
        <v>120</v>
      </c>
      <c r="K29" s="148"/>
      <c r="L29" s="149"/>
      <c r="M29" s="149"/>
      <c r="N29" s="257">
        <v>0.01</v>
      </c>
      <c r="O29" s="148" t="s">
        <v>14</v>
      </c>
    </row>
    <row r="30" spans="2:15" x14ac:dyDescent="0.2">
      <c r="B30" s="136" t="s">
        <v>121</v>
      </c>
      <c r="C30" s="136"/>
      <c r="D30" s="149"/>
      <c r="E30" s="149"/>
      <c r="F30" s="46">
        <v>1</v>
      </c>
      <c r="G30" s="148" t="s">
        <v>0</v>
      </c>
      <c r="J30" s="136" t="s">
        <v>121</v>
      </c>
      <c r="K30" s="136"/>
      <c r="L30" s="149"/>
      <c r="M30" s="149"/>
      <c r="N30" s="46">
        <v>1</v>
      </c>
      <c r="O30" s="148" t="s">
        <v>0</v>
      </c>
    </row>
    <row r="31" spans="2:15" x14ac:dyDescent="0.2">
      <c r="B31" s="61" t="s">
        <v>122</v>
      </c>
      <c r="C31" s="148"/>
      <c r="D31" s="149"/>
      <c r="E31" s="149"/>
      <c r="F31" s="46">
        <v>1.5</v>
      </c>
      <c r="G31" s="148" t="s">
        <v>5</v>
      </c>
      <c r="J31" s="61" t="s">
        <v>122</v>
      </c>
      <c r="K31" s="148"/>
      <c r="L31" s="149"/>
      <c r="M31" s="149"/>
      <c r="N31" s="46">
        <v>1.5</v>
      </c>
      <c r="O31" s="148" t="s">
        <v>5</v>
      </c>
    </row>
    <row r="32" spans="2:15" x14ac:dyDescent="0.2">
      <c r="B32" s="61" t="s">
        <v>123</v>
      </c>
      <c r="C32" s="148"/>
      <c r="D32" s="149"/>
      <c r="E32" s="149"/>
      <c r="F32" s="162">
        <v>0.5</v>
      </c>
      <c r="G32" s="148" t="s">
        <v>4</v>
      </c>
      <c r="J32" s="61" t="s">
        <v>123</v>
      </c>
      <c r="K32" s="148"/>
      <c r="L32" s="149"/>
      <c r="M32" s="149"/>
      <c r="N32" s="162">
        <v>0.5</v>
      </c>
      <c r="O32" s="148" t="s">
        <v>4</v>
      </c>
    </row>
    <row r="33" spans="2:15" x14ac:dyDescent="0.2">
      <c r="B33" s="61" t="s">
        <v>124</v>
      </c>
      <c r="C33" s="148"/>
      <c r="D33" s="149"/>
      <c r="E33" s="149"/>
      <c r="F33" s="171">
        <v>0.75</v>
      </c>
      <c r="G33" s="148" t="s">
        <v>4</v>
      </c>
      <c r="J33" s="61" t="s">
        <v>124</v>
      </c>
      <c r="K33" s="148"/>
      <c r="L33" s="149"/>
      <c r="M33" s="149"/>
      <c r="N33" s="171">
        <v>0.75</v>
      </c>
      <c r="O33" s="148" t="s">
        <v>4</v>
      </c>
    </row>
    <row r="34" spans="2:15" x14ac:dyDescent="0.2">
      <c r="B34" s="48" t="s">
        <v>292</v>
      </c>
      <c r="C34" s="150"/>
      <c r="D34" s="149"/>
      <c r="E34" s="149"/>
      <c r="F34" s="164"/>
      <c r="G34" s="150"/>
      <c r="J34" s="48" t="s">
        <v>292</v>
      </c>
      <c r="K34" s="150"/>
      <c r="L34" s="149"/>
      <c r="M34" s="149"/>
      <c r="N34" s="164"/>
      <c r="O34" s="150"/>
    </row>
    <row r="35" spans="2:15" x14ac:dyDescent="0.2">
      <c r="B35" s="148" t="s">
        <v>1</v>
      </c>
      <c r="C35" s="148"/>
      <c r="D35" s="149"/>
      <c r="E35" s="149"/>
      <c r="F35" s="165">
        <v>150</v>
      </c>
      <c r="G35" s="148" t="s">
        <v>2</v>
      </c>
      <c r="J35" s="148" t="s">
        <v>1</v>
      </c>
      <c r="K35" s="148"/>
      <c r="L35" s="149"/>
      <c r="M35" s="149"/>
      <c r="N35" s="165">
        <v>150</v>
      </c>
      <c r="O35" s="148" t="s">
        <v>2</v>
      </c>
    </row>
    <row r="36" spans="2:15" x14ac:dyDescent="0.2">
      <c r="B36" s="53"/>
      <c r="C36" s="53"/>
      <c r="D36" s="53"/>
      <c r="E36" s="53"/>
      <c r="F36" s="53"/>
      <c r="G36" s="53"/>
      <c r="J36" s="53"/>
      <c r="K36" s="53"/>
      <c r="L36" s="53"/>
      <c r="M36" s="53"/>
      <c r="N36" s="53"/>
      <c r="O36" s="53"/>
    </row>
    <row r="37" spans="2:15" x14ac:dyDescent="0.2">
      <c r="B37" s="48" t="s">
        <v>293</v>
      </c>
      <c r="C37" s="48"/>
      <c r="D37" s="149"/>
      <c r="E37" s="149"/>
      <c r="F37" s="163" t="s">
        <v>46</v>
      </c>
      <c r="G37" s="150"/>
      <c r="J37" s="48" t="s">
        <v>293</v>
      </c>
      <c r="K37" s="48"/>
      <c r="L37" s="149"/>
      <c r="M37" s="149"/>
      <c r="N37" s="163" t="s">
        <v>46</v>
      </c>
      <c r="O37" s="150"/>
    </row>
    <row r="38" spans="2:15" x14ac:dyDescent="0.2">
      <c r="B38" s="136" t="s">
        <v>294</v>
      </c>
      <c r="C38" s="156">
        <v>150</v>
      </c>
      <c r="D38" s="149"/>
      <c r="E38" s="149"/>
      <c r="F38" s="259">
        <v>4.4999999999999997E-3</v>
      </c>
      <c r="G38" s="148" t="s">
        <v>23</v>
      </c>
      <c r="J38" s="136" t="s">
        <v>294</v>
      </c>
      <c r="K38" s="156">
        <v>150</v>
      </c>
      <c r="L38" s="149"/>
      <c r="M38" s="149"/>
      <c r="N38" s="259">
        <v>4.4999999999999997E-3</v>
      </c>
      <c r="O38" s="148" t="s">
        <v>23</v>
      </c>
    </row>
    <row r="39" spans="2:15" x14ac:dyDescent="0.2">
      <c r="B39" s="136" t="s">
        <v>294</v>
      </c>
      <c r="C39" s="156">
        <v>200</v>
      </c>
      <c r="D39" s="149"/>
      <c r="E39" s="149"/>
      <c r="F39" s="259">
        <v>4.0000000000000001E-3</v>
      </c>
      <c r="G39" s="148" t="s">
        <v>23</v>
      </c>
      <c r="J39" s="136" t="s">
        <v>294</v>
      </c>
      <c r="K39" s="156">
        <v>200</v>
      </c>
      <c r="L39" s="149"/>
      <c r="M39" s="149"/>
      <c r="N39" s="259">
        <v>4.0000000000000001E-3</v>
      </c>
      <c r="O39" s="148" t="s">
        <v>23</v>
      </c>
    </row>
    <row r="40" spans="2:15" x14ac:dyDescent="0.2">
      <c r="B40" s="148" t="s">
        <v>44</v>
      </c>
      <c r="C40" s="156">
        <v>250</v>
      </c>
      <c r="D40" s="149"/>
      <c r="E40" s="149"/>
      <c r="F40" s="259">
        <v>3.5000000000000001E-3</v>
      </c>
      <c r="G40" s="148" t="s">
        <v>23</v>
      </c>
      <c r="J40" s="148" t="s">
        <v>44</v>
      </c>
      <c r="K40" s="156">
        <v>250</v>
      </c>
      <c r="L40" s="149"/>
      <c r="M40" s="149"/>
      <c r="N40" s="259">
        <v>3.5000000000000001E-3</v>
      </c>
      <c r="O40" s="148" t="s">
        <v>23</v>
      </c>
    </row>
    <row r="41" spans="2:15" x14ac:dyDescent="0.2">
      <c r="B41" s="48" t="s">
        <v>24</v>
      </c>
      <c r="C41" s="48"/>
      <c r="D41" s="149"/>
      <c r="E41" s="149"/>
      <c r="F41" s="164"/>
      <c r="G41" s="150"/>
      <c r="J41" s="48" t="s">
        <v>24</v>
      </c>
      <c r="K41" s="48"/>
      <c r="L41" s="149"/>
      <c r="M41" s="149"/>
      <c r="N41" s="164"/>
      <c r="O41" s="150"/>
    </row>
    <row r="42" spans="2:15" x14ac:dyDescent="0.2">
      <c r="B42" s="61" t="s">
        <v>295</v>
      </c>
      <c r="C42" s="148"/>
      <c r="D42" s="149"/>
      <c r="E42" s="149"/>
      <c r="F42" s="166">
        <v>0.9</v>
      </c>
      <c r="G42" s="148" t="s">
        <v>6</v>
      </c>
      <c r="J42" s="61" t="s">
        <v>295</v>
      </c>
      <c r="K42" s="148"/>
      <c r="L42" s="149"/>
      <c r="M42" s="149"/>
      <c r="N42" s="166">
        <v>0.9</v>
      </c>
      <c r="O42" s="148" t="s">
        <v>6</v>
      </c>
    </row>
    <row r="43" spans="2:15" x14ac:dyDescent="0.2">
      <c r="B43" s="61" t="s">
        <v>296</v>
      </c>
      <c r="C43" s="148"/>
      <c r="D43" s="149"/>
      <c r="E43" s="149"/>
      <c r="F43" s="46">
        <v>0.65</v>
      </c>
      <c r="G43" s="148" t="s">
        <v>6</v>
      </c>
      <c r="J43" s="61" t="s">
        <v>296</v>
      </c>
      <c r="K43" s="148"/>
      <c r="L43" s="149"/>
      <c r="M43" s="149"/>
      <c r="N43" s="46">
        <v>0.65</v>
      </c>
      <c r="O43" s="148" t="s">
        <v>6</v>
      </c>
    </row>
    <row r="44" spans="2:15" x14ac:dyDescent="0.2">
      <c r="B44" s="48" t="s">
        <v>297</v>
      </c>
      <c r="C44" s="149"/>
      <c r="D44" s="149"/>
      <c r="E44" s="149"/>
      <c r="F44" s="167"/>
      <c r="G44" s="149"/>
      <c r="J44" s="48" t="s">
        <v>297</v>
      </c>
      <c r="K44" s="149"/>
      <c r="L44" s="149"/>
      <c r="M44" s="149"/>
      <c r="N44" s="167"/>
      <c r="O44" s="149"/>
    </row>
    <row r="45" spans="2:15" x14ac:dyDescent="0.2">
      <c r="B45" s="61" t="s">
        <v>298</v>
      </c>
      <c r="C45" s="149"/>
      <c r="D45" s="149"/>
      <c r="E45" s="149"/>
      <c r="F45" s="260" t="s">
        <v>108</v>
      </c>
      <c r="G45" s="149"/>
      <c r="J45" s="61" t="s">
        <v>298</v>
      </c>
      <c r="K45" s="149"/>
      <c r="L45" s="149"/>
      <c r="M45" s="149"/>
      <c r="N45" s="260" t="s">
        <v>108</v>
      </c>
      <c r="O45" s="149"/>
    </row>
    <row r="46" spans="2:15" x14ac:dyDescent="0.2">
      <c r="B46" s="272" t="s">
        <v>299</v>
      </c>
      <c r="C46" s="149"/>
      <c r="D46" s="149"/>
      <c r="E46" s="149"/>
      <c r="F46" s="167"/>
      <c r="G46" s="149"/>
      <c r="J46" s="272" t="s">
        <v>299</v>
      </c>
      <c r="K46" s="149"/>
      <c r="L46" s="149"/>
      <c r="M46" s="149"/>
      <c r="N46" s="167"/>
      <c r="O46" s="149"/>
    </row>
    <row r="47" spans="2:15" x14ac:dyDescent="0.2">
      <c r="B47" s="136" t="s">
        <v>300</v>
      </c>
      <c r="C47" s="149"/>
      <c r="D47" s="149"/>
      <c r="E47" s="149"/>
      <c r="F47" s="46">
        <v>0.5</v>
      </c>
      <c r="G47" s="149" t="s">
        <v>6</v>
      </c>
      <c r="J47" s="136" t="s">
        <v>300</v>
      </c>
      <c r="K47" s="149"/>
      <c r="L47" s="149"/>
      <c r="M47" s="149"/>
      <c r="N47" s="46">
        <v>0.5</v>
      </c>
      <c r="O47" s="149" t="s">
        <v>6</v>
      </c>
    </row>
    <row r="48" spans="2:15" x14ac:dyDescent="0.2">
      <c r="B48" s="272" t="s">
        <v>301</v>
      </c>
      <c r="C48" s="53"/>
      <c r="D48" s="53"/>
      <c r="E48" s="53"/>
      <c r="F48" s="53"/>
      <c r="G48" s="53"/>
      <c r="J48" s="272" t="s">
        <v>301</v>
      </c>
      <c r="K48" s="53"/>
      <c r="L48" s="53"/>
      <c r="M48" s="53"/>
      <c r="N48" s="53"/>
      <c r="O48" s="53"/>
    </row>
    <row r="49" spans="2:15" x14ac:dyDescent="0.2">
      <c r="B49" s="53" t="s">
        <v>302</v>
      </c>
      <c r="C49" s="53"/>
      <c r="D49" s="53"/>
      <c r="E49" s="53"/>
      <c r="F49" s="46">
        <v>0</v>
      </c>
      <c r="G49" s="53" t="s">
        <v>6</v>
      </c>
      <c r="J49" s="53" t="s">
        <v>302</v>
      </c>
      <c r="K49" s="53"/>
      <c r="L49" s="53"/>
      <c r="M49" s="53"/>
      <c r="N49" s="46">
        <v>0</v>
      </c>
      <c r="O49" s="53" t="s">
        <v>6</v>
      </c>
    </row>
    <row r="50" spans="2:15" x14ac:dyDescent="0.2">
      <c r="B50" s="53"/>
      <c r="C50" s="53"/>
      <c r="D50" s="53"/>
      <c r="E50" s="53"/>
      <c r="F50" s="53"/>
      <c r="G50" s="53"/>
      <c r="J50" s="53"/>
      <c r="K50" s="53"/>
      <c r="L50" s="53"/>
      <c r="M50" s="53"/>
      <c r="N50" s="53"/>
      <c r="O50" s="53"/>
    </row>
    <row r="53" spans="2:15" ht="14.25" x14ac:dyDescent="0.2">
      <c r="B53" s="340" t="s">
        <v>257</v>
      </c>
      <c r="C53" s="341"/>
      <c r="D53" s="341"/>
      <c r="E53" s="342"/>
    </row>
    <row r="54" spans="2:15" ht="14.25" customHeight="1" x14ac:dyDescent="0.2">
      <c r="B54" s="349"/>
      <c r="C54" s="350"/>
      <c r="D54" s="350"/>
      <c r="E54" s="351"/>
    </row>
    <row r="55" spans="2:15" ht="14.25" x14ac:dyDescent="0.2">
      <c r="B55" s="343" t="s">
        <v>258</v>
      </c>
      <c r="C55" s="344"/>
      <c r="D55" s="345"/>
      <c r="E55" s="345"/>
    </row>
    <row r="56" spans="2:15" ht="14.25" customHeight="1" x14ac:dyDescent="0.2">
      <c r="B56" s="349"/>
      <c r="C56" s="350"/>
      <c r="D56" s="350"/>
      <c r="E56" s="351"/>
    </row>
    <row r="57" spans="2:15" ht="14.25" x14ac:dyDescent="0.2">
      <c r="B57" s="340" t="s">
        <v>259</v>
      </c>
      <c r="C57" s="341"/>
      <c r="D57" s="341"/>
      <c r="E57" s="342"/>
    </row>
    <row r="58" spans="2:15" ht="14.25" customHeight="1" x14ac:dyDescent="0.2">
      <c r="B58" s="349"/>
      <c r="C58" s="350"/>
      <c r="D58" s="350"/>
      <c r="E58" s="351"/>
    </row>
    <row r="59" spans="2:15" ht="14.25" x14ac:dyDescent="0.2">
      <c r="B59" s="346" t="s">
        <v>260</v>
      </c>
      <c r="C59" s="345"/>
      <c r="D59" s="345"/>
      <c r="E59" s="115"/>
    </row>
    <row r="60" spans="2:15" ht="15" customHeight="1" x14ac:dyDescent="0.2">
      <c r="B60" s="349"/>
      <c r="C60" s="350"/>
      <c r="D60" s="351"/>
      <c r="E60" s="347"/>
    </row>
    <row r="61" spans="2:15" ht="14.25" x14ac:dyDescent="0.2">
      <c r="B61" s="346" t="s">
        <v>261</v>
      </c>
      <c r="C61" s="345"/>
      <c r="D61" s="345"/>
      <c r="E61" s="45"/>
    </row>
    <row r="62" spans="2:15" ht="14.25" x14ac:dyDescent="0.2">
      <c r="B62" s="352"/>
      <c r="C62" s="350"/>
      <c r="D62" s="351"/>
      <c r="E62" s="45"/>
    </row>
  </sheetData>
  <mergeCells count="5">
    <mergeCell ref="B54:E54"/>
    <mergeCell ref="B56:E56"/>
    <mergeCell ref="B58:E58"/>
    <mergeCell ref="B60:D60"/>
    <mergeCell ref="B62:D62"/>
  </mergeCells>
  <conditionalFormatting sqref="N20">
    <cfRule type="cellIs" dxfId="145" priority="502" operator="equal">
      <formula>"Sim"</formula>
    </cfRule>
    <cfRule type="cellIs" dxfId="144" priority="503" operator="equal">
      <formula>"Não"</formula>
    </cfRule>
    <cfRule type="containsBlanks" dxfId="143" priority="504">
      <formula>LEN(TRIM(N20))=0</formula>
    </cfRule>
  </conditionalFormatting>
  <conditionalFormatting sqref="N6:N7">
    <cfRule type="cellIs" dxfId="142" priority="505" operator="equal">
      <formula>0</formula>
    </cfRule>
  </conditionalFormatting>
  <conditionalFormatting sqref="N11:N12">
    <cfRule type="cellIs" dxfId="141" priority="501" operator="equal">
      <formula>0</formula>
    </cfRule>
  </conditionalFormatting>
  <conditionalFormatting sqref="F20">
    <cfRule type="cellIs" dxfId="140" priority="2" operator="equal">
      <formula>"Sim"</formula>
    </cfRule>
    <cfRule type="cellIs" dxfId="139" priority="3" operator="equal">
      <formula>"Não"</formula>
    </cfRule>
    <cfRule type="containsBlanks" dxfId="138" priority="4">
      <formula>LEN(TRIM(F20))=0</formula>
    </cfRule>
  </conditionalFormatting>
  <conditionalFormatting sqref="F6:F7">
    <cfRule type="cellIs" dxfId="137" priority="5" operator="equal">
      <formula>0</formula>
    </cfRule>
  </conditionalFormatting>
  <conditionalFormatting sqref="F11:F12">
    <cfRule type="cellIs" dxfId="136" priority="1" operator="equal">
      <formula>0</formula>
    </cfRule>
  </conditionalFormatting>
  <dataValidations disablePrompts="1" count="2">
    <dataValidation type="list" allowBlank="1" showInputMessage="1" showErrorMessage="1" sqref="N45 F45" xr:uid="{00000000-0002-0000-0F00-000000000000}">
      <formula1>"CI"</formula1>
    </dataValidation>
    <dataValidation type="list" allowBlank="1" showInputMessage="1" showErrorMessage="1" sqref="N20 F20" xr:uid="{00000000-0002-0000-0F00-000001000000}">
      <formula1>"No,Si"</formula1>
    </dataValidation>
  </dataValidations>
  <pageMargins left="0.511811024" right="0.511811024" top="0.78740157499999996" bottom="0.78740157499999996" header="0.31496062000000002" footer="0.3149606200000000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14"/>
  <dimension ref="A2:BEK98"/>
  <sheetViews>
    <sheetView topLeftCell="U7" workbookViewId="0">
      <selection activeCell="AJ19" sqref="AJ19"/>
    </sheetView>
  </sheetViews>
  <sheetFormatPr defaultColWidth="8.85546875" defaultRowHeight="12.75" x14ac:dyDescent="0.2"/>
  <cols>
    <col min="1" max="1" width="15.85546875" style="91" bestFit="1" customWidth="1"/>
    <col min="2" max="43" width="8.85546875" style="91"/>
    <col min="44" max="44" width="1" style="91" customWidth="1"/>
    <col min="45" max="16384" width="8.85546875" style="91"/>
  </cols>
  <sheetData>
    <row r="2" spans="1:1491" ht="18" x14ac:dyDescent="0.2">
      <c r="K2" s="367">
        <f>Parametros!$B$6</f>
        <v>0</v>
      </c>
      <c r="L2" s="367"/>
      <c r="M2" s="367"/>
      <c r="N2" s="367"/>
      <c r="O2" s="367"/>
    </row>
    <row r="3" spans="1:1491" ht="18" x14ac:dyDescent="0.2">
      <c r="K3" s="367">
        <f>Parametros!$B$8</f>
        <v>0</v>
      </c>
      <c r="L3" s="367"/>
      <c r="M3" s="367"/>
      <c r="N3" s="367"/>
      <c r="O3" s="367"/>
    </row>
    <row r="4" spans="1:1491" ht="18" x14ac:dyDescent="0.2">
      <c r="K4" s="367">
        <f>Parametros!$B$10</f>
        <v>0</v>
      </c>
      <c r="L4" s="367"/>
      <c r="M4" s="367"/>
      <c r="N4" s="367"/>
      <c r="O4" s="367"/>
    </row>
    <row r="5" spans="1:1491" ht="18" x14ac:dyDescent="0.2">
      <c r="K5" s="367">
        <f>Parametros!$B$12</f>
        <v>0</v>
      </c>
      <c r="L5" s="367"/>
      <c r="M5" s="367"/>
      <c r="N5" s="367"/>
      <c r="O5" s="367"/>
    </row>
    <row r="6" spans="1:1491" ht="18" x14ac:dyDescent="0.2">
      <c r="K6" s="368">
        <f>Parametros!$B$14</f>
        <v>0</v>
      </c>
      <c r="L6" s="367"/>
      <c r="M6" s="367"/>
      <c r="N6" s="367"/>
      <c r="O6" s="367"/>
    </row>
    <row r="7" spans="1:1491" ht="18" x14ac:dyDescent="0.2">
      <c r="C7" s="367">
        <f>Parametros!$B$6</f>
        <v>0</v>
      </c>
      <c r="D7" s="367"/>
      <c r="E7" s="367"/>
      <c r="F7" s="367"/>
      <c r="G7" s="477"/>
    </row>
    <row r="8" spans="1:1491" ht="18" x14ac:dyDescent="0.2">
      <c r="C8" s="367">
        <f>Parametros!$B$8</f>
        <v>0</v>
      </c>
      <c r="D8" s="367"/>
      <c r="E8" s="367"/>
      <c r="F8" s="367"/>
      <c r="G8" s="477"/>
    </row>
    <row r="9" spans="1:1491" ht="18" x14ac:dyDescent="0.2">
      <c r="C9" s="367">
        <f>Parametros!$B$10</f>
        <v>0</v>
      </c>
      <c r="D9" s="367"/>
      <c r="E9" s="367"/>
      <c r="F9" s="367"/>
      <c r="G9" s="477"/>
    </row>
    <row r="10" spans="1:1491" ht="18" x14ac:dyDescent="0.2">
      <c r="C10" s="313">
        <f>Parametros!$B$12</f>
        <v>0</v>
      </c>
      <c r="D10" s="313"/>
      <c r="E10" s="313"/>
      <c r="F10" s="313"/>
      <c r="G10" s="314"/>
    </row>
    <row r="11" spans="1:1491" ht="18" x14ac:dyDescent="0.2">
      <c r="C11" s="368">
        <f>Parametros!$B$14</f>
        <v>0</v>
      </c>
      <c r="D11" s="367"/>
      <c r="E11" s="367"/>
      <c r="F11" s="367"/>
      <c r="G11" s="477"/>
    </row>
    <row r="15" spans="1:1491" s="96" customFormat="1" ht="15" customHeight="1" x14ac:dyDescent="0.2">
      <c r="A15" s="94">
        <v>1</v>
      </c>
      <c r="B15" s="221">
        <v>1</v>
      </c>
      <c r="C15" s="221">
        <v>0</v>
      </c>
      <c r="D15" s="222">
        <v>1</v>
      </c>
      <c r="E15" s="223" t="s">
        <v>94</v>
      </c>
      <c r="F15" s="224">
        <v>31.29</v>
      </c>
      <c r="G15" s="221"/>
      <c r="H15" s="221"/>
      <c r="I15" s="221"/>
      <c r="J15" s="221" t="s">
        <v>164</v>
      </c>
      <c r="K15" s="221">
        <v>9</v>
      </c>
      <c r="L15" s="221">
        <v>7</v>
      </c>
      <c r="M15" s="68">
        <f>Parametros!$F$44*F15/1000</f>
        <v>3.1290000000000002E-4</v>
      </c>
      <c r="N15" s="88">
        <f>SUM('A1'!F15,'A1'!G15,'A1'!H15)+M15</f>
        <v>0.28031290000000003</v>
      </c>
      <c r="O15" s="88">
        <f>SUM('A1'!L15,'A1'!M15,'A1'!N15)+M15</f>
        <v>0.2044795666666667</v>
      </c>
      <c r="P15" s="192"/>
      <c r="Q15" s="192"/>
      <c r="R15" s="69"/>
      <c r="S15" s="88">
        <f>'A2'!AE15</f>
        <v>0</v>
      </c>
      <c r="T15" s="71">
        <f t="shared" ref="T15" si="0">V15-AJ15/1000</f>
        <v>0.9</v>
      </c>
      <c r="U15" s="71">
        <f t="shared" ref="U15" si="1">W15-AJ15/1000</f>
        <v>0.9</v>
      </c>
      <c r="V15" s="71">
        <f>IF(B15=1,IF(ISBLANK(R15),IF(P15=1,Parametros!$F$58+AJ15/1000,Parametros!$F$57+AJ15/1000),R15),IF(ISBLANK(R15),MAX('A2'!H15+Parametros!$F$64,S15,IF(P15=1,Parametros!$F$58+Parametros!$F$64+(AJ15/1000),Parametros!$F$57+Parametros!$F$64+(AJ15/1000))),MAX('A2'!H15+Parametros!$F$64,R15)))</f>
        <v>1.05</v>
      </c>
      <c r="W15" s="71">
        <f>IF(F15=0,0,IF(IF(ISBLANK(X15),0,X15)&gt;=0,IF(ISBLANK(X15),MAX(Z15-(AA15-AF15*F15),IF(P15=1,Parametros!$F$58+AJ15/1000,Parametros!$F$57+AJ15/1000)),MAX(Z15-(AA15-AF15*F15),X15)),IF(ISBLANK(X15),Z15-(AA15-AF15*F15),MAX(Z15-(AA15-AF15*F15),X15))))</f>
        <v>1.05</v>
      </c>
      <c r="X15" s="69"/>
      <c r="Y15" s="72">
        <v>139.46</v>
      </c>
      <c r="Z15" s="72">
        <v>139.09</v>
      </c>
      <c r="AA15" s="72">
        <f>IF(OR(F15=0,ISBLANK(D15)),"-",Y15-V15)</f>
        <v>138.41</v>
      </c>
      <c r="AB15" s="72">
        <f>IF(OR(F15=0,ISBLANK(D15)),"-",Z15-W15)</f>
        <v>138.04</v>
      </c>
      <c r="AC15" s="72">
        <f>IF(OR(F15=0,ISBLANK(D15)),"-",Y15-T15)</f>
        <v>138.56</v>
      </c>
      <c r="AD15" s="72">
        <f>IF(OR(F15=0,ISBLANK(D15)),"-",Z15-U15)</f>
        <v>138.19</v>
      </c>
      <c r="AE15" s="73">
        <f>IF(F15=0,0,IF(ISBLANK(D15),0,(Y15-Z15)/F15))</f>
        <v>1.1824864173857608E-2</v>
      </c>
      <c r="AF15" s="153">
        <f>IF(F15=0,0,IF(AJ15&lt;=Parametros!$C$53,Parametros!$F$53,IF(AJ15&lt;=Parametros!$C$54,Parametros!$F$54,IF(AJ15&gt;=Parametros!$C$55,Parametros!$F$55))))</f>
        <v>4.4999999999999997E-3</v>
      </c>
      <c r="AG15" s="74">
        <f>IF(F15=0,0,IF(AJ15&lt;=Parametros!$C$53,Parametros!$F$53,IF(AJ15&lt;=Parametros!$C$54,Parametros!$F$54,IF(AJ15&gt;=Parametros!$C$55,Parametros!$F$55))))</f>
        <v>4.4999999999999997E-3</v>
      </c>
      <c r="AH15" s="75">
        <f>IF(F15=0,0,IF(ISBLANK(D15),0,(AC15-AD15)/F15))</f>
        <v>1.1824864173857608E-2</v>
      </c>
      <c r="AI15" s="66">
        <f>IF(INDEX(Parametros!$B$68:$B$82,MATCH(DN1mm(AL15,AH15,AK15,Parametros!$F$48),Parametros!$B$68:$B$82,TRUE)+1)&lt;Parametros!$F$50,Parametros!$F$50,INDEX(Parametros!$B$68:$B$82,MATCH(DN1mm(AL15,AH15,AK15,Parametros!$F$48),Parametros!$B$68:$B$82,TRUE)+1))</f>
        <v>150</v>
      </c>
      <c r="AJ15" s="76">
        <f>IF(B15=1,Parametros!$F$50,AJ14)</f>
        <v>150</v>
      </c>
      <c r="AK15" s="155">
        <f>IF(OR(F15=0,D15=0),0,VLOOKUP(AJ15,Parametros!$B$69:$E$82,4,FALSE))</f>
        <v>1.2999999999999999E-2</v>
      </c>
      <c r="AL15" s="77">
        <f>IF(OR(ISBLANK($D15),N15=0),0,IF(N15&lt;Parametros!$F$46,Parametros!$F$46,N15))</f>
        <v>1.5</v>
      </c>
      <c r="AM15" s="77">
        <f>IF(F15=0,0,IF(ISBLANK(D15),0,LAMINAABS(AL15,AJ15,AH15,AK15)))</f>
        <v>3.0504163207447321E-2</v>
      </c>
      <c r="AN15" s="172">
        <f>IF(F15=0,0,IF(ISBLANK(D15),0,LAMINAREL(AL15,AJ15,AH15,AK15)))</f>
        <v>0.20336108804964881</v>
      </c>
      <c r="AO15" s="173">
        <f>IF(OR(AND(AN15&gt;Parametros!$F$47,AJ15=100),AN15&gt;Parametros!$F$48),1,0)</f>
        <v>0</v>
      </c>
      <c r="AP15" s="77">
        <f>IF(F15=0,0,IF(ISBLANK(D15),0,TENSTRAT(AL15,AJ15,AH15,AK15)))</f>
        <v>2.1296999804082946</v>
      </c>
      <c r="AQ15" s="77">
        <f>IF(F15=0,0,IF(ISBLANK(D15),0,VELOCRIT(AL15,AJ15,AH15,AK15)))</f>
        <v>2.5450183471301111</v>
      </c>
      <c r="AR15" s="77">
        <f>IF(F15=0,0,IF(ISBLANK(D15),0,VELOCID(AL15,AJ15,AH15,AK15)))</f>
        <v>0.58205724003351944</v>
      </c>
      <c r="AS15" s="77">
        <f>IF(OR(ISBLANK($D15),O15=0),0,IF(O15&lt;Parametros!$F$46,Parametros!$F$46,O15))</f>
        <v>1.5</v>
      </c>
      <c r="AT15" s="77">
        <f>IF(F15=0,0,IF(ISBLANK(D15),0,LAMINAABS(AS15,AJ15,AH15,AK15)))</f>
        <v>3.0504163207447321E-2</v>
      </c>
      <c r="AU15" s="172">
        <f>IF(F15=0,0,IF(ISBLANK(D15),0,LAMINAREL(AS15,AJ15,AH15,AK15)))</f>
        <v>0.20336108804964881</v>
      </c>
      <c r="AV15" s="77">
        <f>IF(F15=0,0,IF(ISBLANK(D15),0,TENSTRAT(AS15,AJ15,AH15,AK15)))</f>
        <v>2.1296999804082946</v>
      </c>
      <c r="AW15" s="221" t="s">
        <v>94</v>
      </c>
      <c r="AX15" s="70" t="str">
        <f>IF(AND(V15&lt;=Parametros!$C$87,AJ15&lt;=Parametros!$D$87),Parametros!$B$87,IF(AND(V15&lt;=Parametros!$C$88,AJ15&lt;=Parametros!$D$88),Parametros!$B$88,IF(AND(V15&lt;=Parametros!$C$89,AJ15&lt;=Parametros!$D$89),Parametros!$B$89,IF(AND(V15&lt;=Parametros!$C$90,AJ15&lt;=Parametros!$D$90),Parametros!$B$90,IF(AND(V15&lt;=Parametros!$C$91,AJ15&lt;=Parametros!$D$91),Parametros!$B$91,Parametros!$B$92)))))</f>
        <v>CI-0.60</v>
      </c>
      <c r="AY15" s="66" t="s">
        <v>95</v>
      </c>
      <c r="AZ15" s="70" t="str">
        <f>IFERROR(INDEX($AX$15:$AX$10000,MATCH(BA15,$E$15:$E$10000,0)),AX15)</f>
        <v>CI-0.60</v>
      </c>
      <c r="BA15" s="221" t="s">
        <v>95</v>
      </c>
      <c r="BB15" s="144"/>
      <c r="BC15" s="91"/>
      <c r="BD15" s="91"/>
      <c r="BE15" s="91">
        <f>1000*((AK15*AL15/1000)/(0.284219*(AH15^(1/2))))^(3/8)</f>
        <v>63.094831363449785</v>
      </c>
      <c r="BF15" s="91"/>
      <c r="BG15" s="91"/>
      <c r="BH15" s="91"/>
      <c r="BI15" s="91"/>
      <c r="BJ15" s="91"/>
      <c r="BK15" s="91"/>
      <c r="BL15" s="91"/>
      <c r="BM15" s="91"/>
      <c r="BN15" s="91"/>
      <c r="BO15" s="91"/>
      <c r="BP15" s="91"/>
      <c r="BQ15" s="91"/>
      <c r="BR15" s="91"/>
      <c r="BS15" s="91"/>
      <c r="BT15" s="91"/>
      <c r="BU15" s="91"/>
      <c r="BV15" s="91"/>
      <c r="BW15" s="91"/>
      <c r="BX15" s="91"/>
      <c r="BY15" s="91"/>
      <c r="BZ15" s="91"/>
      <c r="CA15" s="91"/>
      <c r="CB15" s="91"/>
      <c r="CC15" s="91"/>
      <c r="CD15" s="91"/>
      <c r="CE15" s="91"/>
      <c r="CF15" s="91"/>
      <c r="CG15" s="91"/>
      <c r="CH15" s="91"/>
      <c r="CI15" s="91"/>
      <c r="CJ15" s="91"/>
      <c r="CK15" s="91"/>
      <c r="CL15" s="91"/>
      <c r="CM15" s="91"/>
      <c r="CN15" s="91"/>
      <c r="CO15" s="91"/>
      <c r="CP15" s="91"/>
      <c r="CQ15" s="91"/>
      <c r="CR15" s="91"/>
      <c r="CS15" s="91"/>
      <c r="CT15" s="91"/>
      <c r="CU15" s="91"/>
      <c r="CV15" s="91"/>
      <c r="CW15" s="91"/>
      <c r="CX15" s="91"/>
      <c r="CY15" s="91"/>
      <c r="CZ15" s="91"/>
      <c r="DA15" s="91"/>
      <c r="DB15" s="91"/>
      <c r="DC15" s="91"/>
      <c r="DD15" s="91"/>
      <c r="DE15" s="91"/>
      <c r="DF15" s="91"/>
      <c r="DG15" s="91"/>
      <c r="DH15" s="91"/>
      <c r="DI15" s="91"/>
      <c r="DJ15" s="91"/>
      <c r="DK15" s="91"/>
      <c r="DL15" s="91"/>
      <c r="DM15" s="91"/>
      <c r="DN15" s="91"/>
      <c r="DO15" s="91"/>
      <c r="DP15" s="91"/>
      <c r="DQ15" s="91"/>
      <c r="DR15" s="91"/>
      <c r="DS15" s="91"/>
      <c r="DT15" s="91"/>
      <c r="DU15" s="91"/>
      <c r="DV15" s="91"/>
      <c r="DW15" s="91"/>
      <c r="DX15" s="91"/>
      <c r="DY15" s="91"/>
      <c r="DZ15" s="91"/>
      <c r="EA15" s="91"/>
      <c r="EB15" s="91"/>
      <c r="EC15" s="91"/>
      <c r="ED15" s="91"/>
      <c r="EE15" s="91"/>
      <c r="EF15" s="91"/>
      <c r="EG15" s="91"/>
      <c r="EH15" s="91"/>
      <c r="EI15" s="91"/>
      <c r="EJ15" s="91"/>
      <c r="EK15" s="91"/>
      <c r="EL15" s="91"/>
      <c r="EM15" s="91"/>
      <c r="EN15" s="91"/>
      <c r="EO15" s="91"/>
      <c r="EP15" s="91"/>
      <c r="EQ15" s="91"/>
      <c r="ER15" s="91"/>
      <c r="ES15" s="91"/>
      <c r="ET15" s="91"/>
      <c r="EU15" s="91"/>
      <c r="EV15" s="91"/>
      <c r="EW15" s="91"/>
      <c r="EX15" s="91"/>
      <c r="EY15" s="91"/>
      <c r="EZ15" s="91"/>
      <c r="FA15" s="91"/>
      <c r="FB15" s="91"/>
      <c r="FC15" s="91"/>
      <c r="FD15" s="91"/>
      <c r="FE15" s="91"/>
      <c r="FF15" s="91"/>
      <c r="FG15" s="91"/>
      <c r="FH15" s="91"/>
      <c r="FI15" s="91"/>
      <c r="FJ15" s="91"/>
      <c r="FK15" s="91"/>
      <c r="FL15" s="91"/>
      <c r="FM15" s="91"/>
      <c r="FN15" s="91"/>
      <c r="FO15" s="91"/>
      <c r="FP15" s="91"/>
      <c r="FQ15" s="91"/>
      <c r="FR15" s="91"/>
      <c r="FS15" s="91"/>
      <c r="FT15" s="91"/>
      <c r="FU15" s="91"/>
      <c r="FV15" s="91"/>
      <c r="FW15" s="91"/>
      <c r="FX15" s="91"/>
      <c r="FY15" s="91"/>
      <c r="FZ15" s="91"/>
      <c r="GA15" s="91"/>
      <c r="GB15" s="91"/>
      <c r="GC15" s="91"/>
      <c r="GD15" s="91"/>
      <c r="GE15" s="91"/>
      <c r="GF15" s="91"/>
      <c r="GG15" s="91"/>
      <c r="GH15" s="91"/>
      <c r="GI15" s="91"/>
      <c r="GJ15" s="91"/>
      <c r="GK15" s="91"/>
      <c r="GL15" s="91"/>
      <c r="GM15" s="91"/>
      <c r="GN15" s="91"/>
      <c r="GO15" s="91"/>
      <c r="GP15" s="91"/>
      <c r="GQ15" s="91"/>
      <c r="GR15" s="91"/>
      <c r="GS15" s="91"/>
      <c r="GT15" s="91"/>
      <c r="GU15" s="91"/>
      <c r="GV15" s="91"/>
      <c r="GW15" s="91"/>
      <c r="GX15" s="91"/>
      <c r="GY15" s="91"/>
      <c r="GZ15" s="91"/>
      <c r="HA15" s="91"/>
      <c r="HB15" s="91"/>
      <c r="HC15" s="91"/>
      <c r="HD15" s="91"/>
      <c r="HE15" s="91"/>
      <c r="HF15" s="91"/>
      <c r="HG15" s="91"/>
      <c r="HH15" s="91"/>
      <c r="HI15" s="91"/>
      <c r="HJ15" s="91"/>
      <c r="HK15" s="91"/>
      <c r="HL15" s="91"/>
      <c r="HM15" s="91"/>
      <c r="HN15" s="91"/>
      <c r="HO15" s="91"/>
      <c r="HP15" s="91"/>
      <c r="HQ15" s="91"/>
      <c r="HR15" s="91"/>
      <c r="HS15" s="91"/>
      <c r="HT15" s="91"/>
      <c r="HU15" s="91"/>
      <c r="HV15" s="91"/>
      <c r="HW15" s="91"/>
      <c r="HX15" s="91"/>
      <c r="HY15" s="91"/>
      <c r="HZ15" s="91"/>
      <c r="IA15" s="91"/>
      <c r="IB15" s="91"/>
      <c r="IC15" s="91"/>
      <c r="ID15" s="91"/>
      <c r="IE15" s="91"/>
      <c r="IF15" s="91"/>
      <c r="IG15" s="91"/>
      <c r="IH15" s="91"/>
      <c r="II15" s="91"/>
      <c r="IJ15" s="91"/>
      <c r="IK15" s="91"/>
      <c r="IL15" s="91"/>
      <c r="IM15" s="91"/>
      <c r="IN15" s="91"/>
      <c r="IO15" s="91"/>
      <c r="IP15" s="91"/>
      <c r="IQ15" s="91"/>
      <c r="IR15" s="91"/>
      <c r="IS15" s="91"/>
      <c r="IT15" s="91"/>
      <c r="IU15" s="91"/>
      <c r="IV15" s="91"/>
      <c r="IW15" s="91"/>
      <c r="IX15" s="91"/>
      <c r="IY15" s="91"/>
      <c r="IZ15" s="91"/>
      <c r="JA15" s="91"/>
      <c r="JB15" s="91"/>
      <c r="JC15" s="91"/>
      <c r="JD15" s="91"/>
      <c r="JE15" s="91"/>
      <c r="JF15" s="91"/>
      <c r="JG15" s="91"/>
      <c r="JH15" s="91"/>
      <c r="JI15" s="91"/>
      <c r="JJ15" s="91"/>
      <c r="JK15" s="91"/>
      <c r="JL15" s="91"/>
      <c r="JM15" s="91"/>
      <c r="JN15" s="91"/>
      <c r="JO15" s="91"/>
      <c r="JP15" s="91"/>
      <c r="JQ15" s="91"/>
      <c r="JR15" s="91"/>
      <c r="JS15" s="91"/>
      <c r="JT15" s="91"/>
      <c r="JU15" s="91"/>
      <c r="JV15" s="91"/>
      <c r="JW15" s="91"/>
      <c r="JX15" s="91"/>
      <c r="JY15" s="91"/>
      <c r="JZ15" s="91"/>
      <c r="KA15" s="91"/>
      <c r="KB15" s="91"/>
      <c r="KC15" s="91"/>
      <c r="KD15" s="91"/>
      <c r="KE15" s="91"/>
      <c r="KF15" s="91"/>
      <c r="KG15" s="91"/>
      <c r="KH15" s="91"/>
      <c r="KI15" s="91"/>
      <c r="KJ15" s="91"/>
      <c r="KK15" s="91"/>
      <c r="KL15" s="91"/>
      <c r="KM15" s="91"/>
      <c r="KN15" s="91"/>
      <c r="KO15" s="91"/>
      <c r="KP15" s="91"/>
      <c r="KQ15" s="91"/>
      <c r="KR15" s="91"/>
      <c r="KS15" s="91"/>
      <c r="KT15" s="91"/>
      <c r="KU15" s="91"/>
      <c r="KV15" s="91"/>
      <c r="KW15" s="91"/>
      <c r="KX15" s="91"/>
      <c r="KY15" s="91"/>
      <c r="KZ15" s="91"/>
      <c r="LA15" s="91"/>
      <c r="LB15" s="91"/>
      <c r="LC15" s="91"/>
      <c r="LD15" s="91"/>
      <c r="LE15" s="91"/>
      <c r="LF15" s="91"/>
      <c r="LG15" s="91"/>
      <c r="LH15" s="91"/>
      <c r="LI15" s="91"/>
      <c r="LJ15" s="91"/>
      <c r="LK15" s="91"/>
      <c r="LL15" s="91"/>
      <c r="LM15" s="91"/>
      <c r="LN15" s="91"/>
      <c r="LO15" s="91"/>
      <c r="LP15" s="91"/>
      <c r="LQ15" s="91"/>
      <c r="LR15" s="91"/>
      <c r="LS15" s="91"/>
      <c r="LT15" s="91"/>
      <c r="LU15" s="91"/>
      <c r="LV15" s="91"/>
      <c r="LW15" s="91"/>
      <c r="LX15" s="91"/>
      <c r="LY15" s="91"/>
      <c r="LZ15" s="91"/>
      <c r="MA15" s="91"/>
      <c r="MB15" s="91"/>
      <c r="MC15" s="91"/>
      <c r="MD15" s="91"/>
      <c r="ME15" s="91"/>
      <c r="MF15" s="91"/>
      <c r="MG15" s="91"/>
      <c r="MH15" s="91"/>
      <c r="MI15" s="91"/>
      <c r="MJ15" s="91"/>
      <c r="MK15" s="91"/>
      <c r="ML15" s="91"/>
      <c r="MM15" s="91"/>
      <c r="MN15" s="91"/>
      <c r="MO15" s="91"/>
      <c r="MP15" s="91"/>
      <c r="MQ15" s="91"/>
      <c r="MR15" s="91"/>
      <c r="MS15" s="91"/>
      <c r="MT15" s="91"/>
      <c r="MU15" s="91"/>
      <c r="MV15" s="91"/>
      <c r="MW15" s="91"/>
      <c r="MX15" s="91"/>
      <c r="MY15" s="91"/>
      <c r="MZ15" s="91"/>
      <c r="NA15" s="91"/>
      <c r="NB15" s="91"/>
      <c r="NC15" s="91"/>
      <c r="ND15" s="91"/>
      <c r="NE15" s="91"/>
      <c r="NF15" s="91"/>
      <c r="NG15" s="91"/>
      <c r="NH15" s="91"/>
      <c r="NI15" s="91"/>
      <c r="NJ15" s="91"/>
      <c r="NK15" s="91"/>
      <c r="NL15" s="91"/>
      <c r="NM15" s="91"/>
      <c r="NN15" s="91"/>
      <c r="NO15" s="91"/>
      <c r="NP15" s="91"/>
      <c r="NQ15" s="91"/>
      <c r="NR15" s="91"/>
      <c r="NS15" s="91"/>
      <c r="NT15" s="91"/>
      <c r="NU15" s="91"/>
      <c r="NV15" s="91"/>
      <c r="NW15" s="91"/>
      <c r="NX15" s="91"/>
      <c r="NY15" s="91"/>
      <c r="NZ15" s="91"/>
      <c r="OA15" s="91"/>
      <c r="OB15" s="91"/>
      <c r="OC15" s="91"/>
      <c r="OD15" s="91"/>
      <c r="OE15" s="91"/>
      <c r="OF15" s="91"/>
      <c r="OG15" s="91"/>
      <c r="OH15" s="91"/>
      <c r="OI15" s="91"/>
      <c r="OJ15" s="91"/>
      <c r="OK15" s="91"/>
      <c r="OL15" s="91"/>
      <c r="OM15" s="91"/>
      <c r="ON15" s="91"/>
      <c r="OO15" s="91"/>
      <c r="OP15" s="91"/>
      <c r="OQ15" s="91"/>
      <c r="OR15" s="91"/>
      <c r="OS15" s="91"/>
      <c r="OT15" s="91"/>
      <c r="OU15" s="91"/>
      <c r="OV15" s="91"/>
      <c r="OW15" s="91"/>
      <c r="OX15" s="91"/>
      <c r="OY15" s="91"/>
      <c r="OZ15" s="91"/>
      <c r="PA15" s="91"/>
      <c r="PB15" s="91"/>
      <c r="PC15" s="91"/>
      <c r="PD15" s="91"/>
      <c r="PE15" s="91"/>
      <c r="PF15" s="91"/>
      <c r="PG15" s="91"/>
      <c r="PH15" s="91"/>
      <c r="PI15" s="91"/>
      <c r="PJ15" s="91"/>
      <c r="PK15" s="91"/>
      <c r="PL15" s="91"/>
      <c r="PM15" s="91"/>
      <c r="PN15" s="91"/>
      <c r="PO15" s="91"/>
      <c r="PP15" s="91"/>
      <c r="PQ15" s="91"/>
      <c r="PR15" s="91"/>
      <c r="PS15" s="91"/>
      <c r="PT15" s="91"/>
      <c r="PU15" s="91"/>
      <c r="PV15" s="91"/>
      <c r="PW15" s="91"/>
      <c r="PX15" s="91"/>
      <c r="PY15" s="91"/>
      <c r="PZ15" s="91"/>
      <c r="QA15" s="91"/>
      <c r="QB15" s="91"/>
      <c r="QC15" s="91"/>
      <c r="QD15" s="91"/>
      <c r="QE15" s="91"/>
      <c r="QF15" s="91"/>
      <c r="QG15" s="91"/>
      <c r="QH15" s="91"/>
      <c r="QI15" s="91"/>
      <c r="QJ15" s="91"/>
      <c r="QK15" s="91"/>
      <c r="QL15" s="91"/>
      <c r="QM15" s="91"/>
      <c r="QN15" s="91"/>
      <c r="QO15" s="91"/>
      <c r="QP15" s="91"/>
      <c r="QQ15" s="91"/>
      <c r="QR15" s="91"/>
      <c r="QS15" s="91"/>
      <c r="QT15" s="91"/>
      <c r="QU15" s="91"/>
      <c r="QV15" s="91"/>
      <c r="QW15" s="91"/>
      <c r="QX15" s="91"/>
      <c r="QY15" s="91"/>
      <c r="QZ15" s="91"/>
      <c r="RA15" s="91"/>
      <c r="RB15" s="91"/>
      <c r="RC15" s="91"/>
      <c r="RD15" s="91"/>
      <c r="RE15" s="91"/>
      <c r="RF15" s="91"/>
      <c r="RG15" s="91"/>
      <c r="RH15" s="91"/>
      <c r="RI15" s="91"/>
      <c r="RJ15" s="91"/>
      <c r="RK15" s="91"/>
      <c r="RL15" s="91"/>
      <c r="RM15" s="91"/>
      <c r="RN15" s="91"/>
      <c r="RO15" s="91"/>
      <c r="RP15" s="91"/>
      <c r="RQ15" s="91"/>
      <c r="RR15" s="91"/>
      <c r="RS15" s="91"/>
      <c r="RT15" s="91"/>
      <c r="RU15" s="91"/>
      <c r="RV15" s="91"/>
      <c r="RW15" s="91"/>
      <c r="RX15" s="91"/>
      <c r="RY15" s="91"/>
      <c r="RZ15" s="91"/>
      <c r="SA15" s="91"/>
      <c r="SB15" s="91"/>
      <c r="SC15" s="91"/>
      <c r="SD15" s="91"/>
      <c r="SE15" s="91"/>
      <c r="SF15" s="91"/>
      <c r="SG15" s="91"/>
      <c r="SH15" s="91"/>
      <c r="SI15" s="91"/>
      <c r="SJ15" s="91"/>
      <c r="SK15" s="91"/>
      <c r="SL15" s="91"/>
      <c r="SM15" s="91"/>
      <c r="SN15" s="91"/>
      <c r="SO15" s="91"/>
      <c r="SP15" s="91"/>
      <c r="SQ15" s="91"/>
      <c r="SR15" s="91"/>
      <c r="SS15" s="91"/>
      <c r="ST15" s="91"/>
      <c r="SU15" s="91"/>
      <c r="SV15" s="91"/>
      <c r="SW15" s="91"/>
      <c r="SX15" s="91"/>
      <c r="SY15" s="91"/>
      <c r="SZ15" s="91"/>
      <c r="TA15" s="91"/>
      <c r="TB15" s="91"/>
      <c r="TC15" s="91"/>
      <c r="TD15" s="91"/>
      <c r="TE15" s="91"/>
      <c r="TF15" s="91"/>
      <c r="TG15" s="91"/>
      <c r="TH15" s="91"/>
      <c r="TI15" s="91"/>
      <c r="TJ15" s="91"/>
      <c r="TK15" s="91"/>
      <c r="TL15" s="91"/>
      <c r="TM15" s="91"/>
      <c r="TN15" s="91"/>
      <c r="TO15" s="91"/>
      <c r="TP15" s="91"/>
      <c r="TQ15" s="91"/>
      <c r="TR15" s="91"/>
      <c r="TS15" s="91"/>
      <c r="TT15" s="91"/>
      <c r="TU15" s="91"/>
      <c r="TV15" s="91"/>
      <c r="TW15" s="91"/>
      <c r="TX15" s="91"/>
      <c r="TY15" s="91"/>
      <c r="TZ15" s="91"/>
      <c r="UA15" s="91"/>
      <c r="UB15" s="91"/>
      <c r="UC15" s="91"/>
      <c r="UD15" s="91"/>
      <c r="UE15" s="91"/>
      <c r="UF15" s="91"/>
      <c r="UG15" s="91"/>
      <c r="UH15" s="91"/>
      <c r="UI15" s="91"/>
      <c r="UJ15" s="91"/>
      <c r="UK15" s="91"/>
      <c r="UL15" s="91"/>
      <c r="UM15" s="91"/>
      <c r="UN15" s="91"/>
      <c r="UO15" s="91"/>
      <c r="UP15" s="91"/>
      <c r="UQ15" s="91"/>
      <c r="UR15" s="91"/>
      <c r="US15" s="91"/>
      <c r="UT15" s="91"/>
      <c r="UU15" s="91"/>
      <c r="UV15" s="91"/>
      <c r="UW15" s="91"/>
      <c r="UX15" s="91"/>
      <c r="UY15" s="91"/>
      <c r="UZ15" s="91"/>
      <c r="VA15" s="91"/>
      <c r="VB15" s="91"/>
      <c r="VC15" s="91"/>
      <c r="VD15" s="91"/>
      <c r="VE15" s="91"/>
      <c r="VF15" s="91"/>
      <c r="VG15" s="91"/>
      <c r="VH15" s="91"/>
      <c r="VI15" s="91"/>
      <c r="VJ15" s="91"/>
      <c r="VK15" s="91"/>
      <c r="VL15" s="91"/>
      <c r="VM15" s="91"/>
      <c r="VN15" s="91"/>
      <c r="VO15" s="91"/>
      <c r="VP15" s="91"/>
      <c r="VQ15" s="91"/>
      <c r="VR15" s="91"/>
      <c r="VS15" s="91"/>
      <c r="VT15" s="91"/>
      <c r="VU15" s="91"/>
      <c r="VV15" s="91"/>
      <c r="VW15" s="91"/>
      <c r="VX15" s="91"/>
      <c r="VY15" s="91"/>
      <c r="VZ15" s="91"/>
      <c r="WA15" s="91"/>
      <c r="WB15" s="91"/>
      <c r="WC15" s="91"/>
      <c r="WD15" s="91"/>
      <c r="WE15" s="91"/>
      <c r="WF15" s="91"/>
      <c r="WG15" s="91"/>
      <c r="WH15" s="91"/>
      <c r="WI15" s="91"/>
      <c r="WJ15" s="91"/>
      <c r="WK15" s="91"/>
      <c r="WL15" s="91"/>
      <c r="WM15" s="91"/>
      <c r="WN15" s="91"/>
      <c r="WO15" s="91"/>
      <c r="WP15" s="91"/>
      <c r="WQ15" s="91"/>
      <c r="WR15" s="91"/>
      <c r="WS15" s="91"/>
      <c r="WT15" s="91"/>
      <c r="WU15" s="91"/>
      <c r="WV15" s="91"/>
      <c r="WW15" s="91"/>
      <c r="WX15" s="91"/>
      <c r="WY15" s="91"/>
      <c r="WZ15" s="91"/>
      <c r="XA15" s="91"/>
      <c r="XB15" s="91"/>
      <c r="XC15" s="91"/>
      <c r="XD15" s="91"/>
      <c r="XE15" s="91"/>
      <c r="XF15" s="91"/>
      <c r="XG15" s="91"/>
      <c r="XH15" s="91"/>
      <c r="XI15" s="91"/>
      <c r="XJ15" s="91"/>
      <c r="XK15" s="91"/>
      <c r="XL15" s="91"/>
      <c r="XM15" s="91"/>
      <c r="XN15" s="91"/>
      <c r="XO15" s="91"/>
      <c r="XP15" s="91"/>
      <c r="XQ15" s="91"/>
      <c r="XR15" s="91"/>
      <c r="XS15" s="91"/>
      <c r="XT15" s="91"/>
      <c r="XU15" s="91"/>
      <c r="XV15" s="91"/>
      <c r="XW15" s="91"/>
      <c r="XX15" s="91"/>
      <c r="XY15" s="91"/>
      <c r="XZ15" s="91"/>
      <c r="YA15" s="91"/>
      <c r="YB15" s="91"/>
      <c r="YC15" s="91"/>
      <c r="YD15" s="91"/>
      <c r="YE15" s="91"/>
      <c r="YF15" s="91"/>
      <c r="YG15" s="91"/>
      <c r="YH15" s="91"/>
      <c r="YI15" s="91"/>
      <c r="YJ15" s="91"/>
      <c r="YK15" s="91"/>
      <c r="YL15" s="91"/>
      <c r="YM15" s="91"/>
      <c r="YN15" s="91"/>
      <c r="YO15" s="91"/>
      <c r="YP15" s="91"/>
      <c r="YQ15" s="91"/>
      <c r="YR15" s="91"/>
      <c r="YS15" s="91"/>
      <c r="YT15" s="91"/>
      <c r="YU15" s="91"/>
      <c r="YV15" s="91"/>
      <c r="YW15" s="91"/>
      <c r="YX15" s="91"/>
      <c r="YY15" s="91"/>
      <c r="YZ15" s="91"/>
      <c r="ZA15" s="91"/>
      <c r="ZB15" s="91"/>
      <c r="ZC15" s="91"/>
      <c r="ZD15" s="91"/>
      <c r="ZE15" s="91"/>
      <c r="ZF15" s="91"/>
      <c r="ZG15" s="91"/>
      <c r="ZH15" s="91"/>
      <c r="ZI15" s="91"/>
      <c r="ZJ15" s="91"/>
      <c r="ZK15" s="91"/>
      <c r="ZL15" s="91"/>
      <c r="ZM15" s="91"/>
      <c r="ZN15" s="91"/>
      <c r="ZO15" s="91"/>
      <c r="ZP15" s="91"/>
      <c r="ZQ15" s="91"/>
      <c r="ZR15" s="91"/>
      <c r="ZS15" s="91"/>
      <c r="ZT15" s="91"/>
      <c r="ZU15" s="91"/>
      <c r="ZV15" s="91"/>
      <c r="ZW15" s="91"/>
      <c r="ZX15" s="91"/>
      <c r="ZY15" s="91"/>
      <c r="ZZ15" s="91"/>
      <c r="AAA15" s="91"/>
      <c r="AAB15" s="91"/>
      <c r="AAC15" s="91"/>
      <c r="AAD15" s="91"/>
      <c r="AAE15" s="91"/>
      <c r="AAF15" s="91"/>
      <c r="AAG15" s="91"/>
      <c r="AAH15" s="91"/>
      <c r="AAI15" s="91"/>
      <c r="AAJ15" s="91"/>
      <c r="AAK15" s="91"/>
      <c r="AAL15" s="91"/>
      <c r="AAM15" s="91"/>
      <c r="AAN15" s="91"/>
      <c r="AAO15" s="91"/>
      <c r="AAP15" s="91"/>
      <c r="AAQ15" s="91"/>
      <c r="AAR15" s="91"/>
      <c r="AAS15" s="91"/>
      <c r="AAT15" s="91"/>
      <c r="AAU15" s="91"/>
      <c r="AAV15" s="91"/>
      <c r="AAW15" s="91"/>
      <c r="AAX15" s="91"/>
      <c r="AAY15" s="91"/>
      <c r="AAZ15" s="91"/>
      <c r="ABA15" s="91"/>
      <c r="ABB15" s="91"/>
      <c r="ABC15" s="91"/>
      <c r="ABD15" s="91"/>
      <c r="ABE15" s="91"/>
      <c r="ABF15" s="91"/>
      <c r="ABG15" s="91"/>
      <c r="ABH15" s="91"/>
      <c r="ABI15" s="91"/>
      <c r="ABJ15" s="91"/>
      <c r="ABK15" s="91"/>
      <c r="ABL15" s="91"/>
      <c r="ABM15" s="91"/>
      <c r="ABN15" s="91"/>
      <c r="ABO15" s="91"/>
      <c r="ABP15" s="91"/>
      <c r="ABQ15" s="91"/>
      <c r="ABR15" s="91"/>
      <c r="ABS15" s="91"/>
      <c r="ABT15" s="91"/>
      <c r="ABU15" s="91"/>
      <c r="ABV15" s="91"/>
      <c r="ABW15" s="91"/>
      <c r="ABX15" s="91"/>
      <c r="ABY15" s="91"/>
      <c r="ABZ15" s="91"/>
      <c r="ACA15" s="91"/>
      <c r="ACB15" s="91"/>
      <c r="ACC15" s="91"/>
      <c r="ACD15" s="91"/>
      <c r="ACE15" s="91"/>
      <c r="ACF15" s="91"/>
      <c r="ACG15" s="91"/>
      <c r="ACH15" s="91"/>
      <c r="ACI15" s="91"/>
      <c r="ACJ15" s="91"/>
      <c r="ACK15" s="91"/>
      <c r="ACL15" s="91"/>
      <c r="ACM15" s="91"/>
      <c r="ACN15" s="91"/>
      <c r="ACO15" s="91"/>
      <c r="ACP15" s="91"/>
      <c r="ACQ15" s="91"/>
      <c r="ACR15" s="91"/>
      <c r="ACS15" s="91"/>
      <c r="ACT15" s="91"/>
      <c r="ACU15" s="91"/>
      <c r="ACV15" s="91"/>
      <c r="ACW15" s="91"/>
      <c r="ACX15" s="91"/>
      <c r="ACY15" s="91"/>
      <c r="ACZ15" s="91"/>
      <c r="ADA15" s="91"/>
      <c r="ADB15" s="91"/>
      <c r="ADC15" s="91"/>
      <c r="ADD15" s="91"/>
      <c r="ADE15" s="91"/>
      <c r="ADF15" s="91"/>
      <c r="ADG15" s="91"/>
      <c r="ADH15" s="91"/>
      <c r="ADI15" s="91"/>
      <c r="ADJ15" s="91"/>
      <c r="ADK15" s="91"/>
      <c r="ADL15" s="91"/>
      <c r="ADM15" s="91"/>
      <c r="ADN15" s="91"/>
      <c r="ADO15" s="91"/>
      <c r="ADP15" s="91"/>
      <c r="ADQ15" s="91"/>
      <c r="ADR15" s="91"/>
      <c r="ADS15" s="91"/>
      <c r="ADT15" s="91"/>
      <c r="ADU15" s="91"/>
      <c r="ADV15" s="91"/>
      <c r="ADW15" s="91"/>
      <c r="ADX15" s="91"/>
      <c r="ADY15" s="91"/>
      <c r="ADZ15" s="91"/>
      <c r="AEA15" s="91"/>
      <c r="AEB15" s="91"/>
      <c r="AEC15" s="91"/>
      <c r="AED15" s="91"/>
      <c r="AEE15" s="91"/>
      <c r="AEF15" s="91"/>
      <c r="AEG15" s="91"/>
      <c r="AEH15" s="91"/>
      <c r="AEI15" s="91"/>
      <c r="AEJ15" s="91"/>
      <c r="AEK15" s="91"/>
      <c r="AEL15" s="91"/>
      <c r="AEM15" s="91"/>
      <c r="AEN15" s="91"/>
      <c r="AEO15" s="91"/>
      <c r="AEP15" s="91"/>
      <c r="AEQ15" s="91"/>
      <c r="AER15" s="91"/>
      <c r="AES15" s="91"/>
      <c r="AET15" s="91"/>
      <c r="AEU15" s="91"/>
      <c r="AEV15" s="91"/>
      <c r="AEW15" s="91"/>
      <c r="AEX15" s="91"/>
      <c r="AEY15" s="91"/>
      <c r="AEZ15" s="91"/>
      <c r="AFA15" s="91"/>
      <c r="AFB15" s="91"/>
      <c r="AFC15" s="91"/>
      <c r="AFD15" s="91"/>
      <c r="AFE15" s="91"/>
      <c r="AFF15" s="91"/>
      <c r="AFG15" s="91"/>
      <c r="AFH15" s="91"/>
      <c r="AFI15" s="91"/>
      <c r="AFJ15" s="91"/>
      <c r="AFK15" s="91"/>
      <c r="AFL15" s="91"/>
      <c r="AFM15" s="91"/>
      <c r="AFN15" s="91"/>
      <c r="AFO15" s="91"/>
      <c r="AFP15" s="91"/>
      <c r="AFQ15" s="91"/>
      <c r="AFR15" s="91"/>
      <c r="AFS15" s="91"/>
      <c r="AFT15" s="91"/>
      <c r="AFU15" s="91"/>
      <c r="AFV15" s="91"/>
      <c r="AFW15" s="91"/>
      <c r="AFX15" s="91"/>
      <c r="AFY15" s="91"/>
      <c r="AFZ15" s="91"/>
      <c r="AGA15" s="91"/>
      <c r="AGB15" s="91"/>
      <c r="AGC15" s="91"/>
      <c r="AGD15" s="91"/>
      <c r="AGE15" s="91"/>
      <c r="AGF15" s="91"/>
      <c r="AGG15" s="91"/>
      <c r="AGH15" s="91"/>
      <c r="AGI15" s="91"/>
      <c r="AGJ15" s="91"/>
      <c r="AGK15" s="91"/>
      <c r="AGL15" s="91"/>
      <c r="AGM15" s="91"/>
      <c r="AGN15" s="91"/>
      <c r="AGO15" s="91"/>
      <c r="AGP15" s="91"/>
      <c r="AGQ15" s="91"/>
      <c r="AGR15" s="91"/>
      <c r="AGS15" s="91"/>
      <c r="AGT15" s="91"/>
      <c r="AGU15" s="91"/>
      <c r="AGV15" s="91"/>
      <c r="AGW15" s="91"/>
      <c r="AGX15" s="91"/>
      <c r="AGY15" s="91"/>
      <c r="AGZ15" s="91"/>
      <c r="AHA15" s="91"/>
      <c r="AHB15" s="91"/>
      <c r="AHC15" s="91"/>
      <c r="AHD15" s="91"/>
      <c r="AHE15" s="91"/>
      <c r="AHF15" s="91"/>
      <c r="AHG15" s="91"/>
      <c r="AHH15" s="91"/>
      <c r="AHI15" s="91"/>
      <c r="AHJ15" s="91"/>
      <c r="AHK15" s="91"/>
      <c r="AHL15" s="91"/>
      <c r="AHM15" s="91"/>
      <c r="AHN15" s="91"/>
      <c r="AHO15" s="91"/>
      <c r="AHP15" s="91"/>
      <c r="AHQ15" s="91"/>
      <c r="AHR15" s="91"/>
      <c r="AHS15" s="91"/>
      <c r="AHT15" s="91"/>
      <c r="AHU15" s="91"/>
      <c r="AHV15" s="91"/>
      <c r="AHW15" s="91"/>
      <c r="AHX15" s="91"/>
      <c r="AHY15" s="91"/>
      <c r="AHZ15" s="91"/>
      <c r="AIA15" s="91"/>
      <c r="AIB15" s="91"/>
      <c r="AIC15" s="91"/>
      <c r="AID15" s="91"/>
      <c r="AIE15" s="91"/>
      <c r="AIF15" s="91"/>
      <c r="AIG15" s="91"/>
      <c r="AIH15" s="91"/>
      <c r="AII15" s="91"/>
      <c r="AIJ15" s="91"/>
      <c r="AIK15" s="91"/>
      <c r="AIL15" s="91"/>
      <c r="AIM15" s="91"/>
      <c r="AIN15" s="91"/>
      <c r="AIO15" s="91"/>
      <c r="AIP15" s="91"/>
      <c r="AIQ15" s="91"/>
      <c r="AIR15" s="91"/>
      <c r="AIS15" s="91"/>
      <c r="AIT15" s="91"/>
      <c r="AIU15" s="91"/>
      <c r="AIV15" s="91"/>
      <c r="AIW15" s="91"/>
      <c r="AIX15" s="91"/>
      <c r="AIY15" s="91"/>
      <c r="AIZ15" s="91"/>
      <c r="AJA15" s="91"/>
      <c r="AJB15" s="91"/>
      <c r="AJC15" s="91"/>
      <c r="AJD15" s="91"/>
      <c r="AJE15" s="91"/>
      <c r="AJF15" s="91"/>
      <c r="AJG15" s="91"/>
      <c r="AJH15" s="91"/>
      <c r="AJI15" s="91"/>
      <c r="AJJ15" s="91"/>
      <c r="AJK15" s="91"/>
      <c r="AJL15" s="91"/>
      <c r="AJM15" s="91"/>
      <c r="AJN15" s="91"/>
      <c r="AJO15" s="91"/>
      <c r="AJP15" s="91"/>
      <c r="AJQ15" s="91"/>
      <c r="AJR15" s="91"/>
      <c r="AJS15" s="91"/>
      <c r="AJT15" s="91"/>
      <c r="AJU15" s="91"/>
      <c r="AJV15" s="91"/>
      <c r="AJW15" s="91"/>
      <c r="AJX15" s="91"/>
      <c r="AJY15" s="91"/>
      <c r="AJZ15" s="91"/>
      <c r="AKA15" s="91"/>
      <c r="AKB15" s="91"/>
      <c r="AKC15" s="91"/>
      <c r="AKD15" s="91"/>
      <c r="AKE15" s="91"/>
      <c r="AKF15" s="91"/>
      <c r="AKG15" s="91"/>
      <c r="AKH15" s="91"/>
      <c r="AKI15" s="91"/>
      <c r="AKJ15" s="91"/>
      <c r="AKK15" s="91"/>
      <c r="AKL15" s="91"/>
      <c r="AKM15" s="91"/>
      <c r="AKN15" s="91"/>
      <c r="AKO15" s="91"/>
      <c r="AKP15" s="91"/>
      <c r="AKQ15" s="91"/>
      <c r="AKR15" s="91"/>
      <c r="AKS15" s="91"/>
      <c r="AKT15" s="91"/>
      <c r="AKU15" s="91"/>
      <c r="AKV15" s="91"/>
      <c r="AKW15" s="91"/>
      <c r="AKX15" s="91"/>
      <c r="AKY15" s="91"/>
      <c r="AKZ15" s="91"/>
      <c r="ALA15" s="91"/>
      <c r="ALB15" s="91"/>
      <c r="ALC15" s="91"/>
      <c r="ALD15" s="91"/>
      <c r="ALE15" s="91"/>
      <c r="ALF15" s="91"/>
      <c r="ALG15" s="91"/>
      <c r="ALH15" s="91"/>
      <c r="ALI15" s="91"/>
      <c r="ALJ15" s="91"/>
      <c r="ALK15" s="91"/>
      <c r="ALL15" s="91"/>
      <c r="ALM15" s="91"/>
      <c r="ALN15" s="91"/>
      <c r="ALO15" s="91"/>
      <c r="ALP15" s="91"/>
      <c r="ALQ15" s="91"/>
      <c r="ALR15" s="91"/>
      <c r="ALS15" s="91"/>
      <c r="ALT15" s="91"/>
      <c r="ALU15" s="91"/>
      <c r="ALV15" s="91"/>
      <c r="ALW15" s="91"/>
      <c r="ALX15" s="91"/>
      <c r="ALY15" s="91"/>
      <c r="ALZ15" s="91"/>
      <c r="AMA15" s="91"/>
      <c r="AMB15" s="91"/>
      <c r="AMC15" s="91"/>
      <c r="AMD15" s="91"/>
      <c r="AME15" s="91"/>
      <c r="AMF15" s="91"/>
      <c r="AMG15" s="91"/>
      <c r="AMH15" s="91"/>
      <c r="AMI15" s="91"/>
      <c r="AMJ15" s="91"/>
      <c r="AMK15" s="91"/>
      <c r="AML15" s="91"/>
      <c r="AMM15" s="91"/>
      <c r="AMN15" s="91"/>
      <c r="AMO15" s="91"/>
      <c r="AMP15" s="91"/>
      <c r="AMQ15" s="91"/>
      <c r="AMR15" s="91"/>
      <c r="AMS15" s="91"/>
      <c r="AMT15" s="91"/>
      <c r="AMU15" s="91"/>
      <c r="AMV15" s="91"/>
      <c r="AMW15" s="91"/>
      <c r="AMX15" s="91"/>
      <c r="AMY15" s="91"/>
      <c r="AMZ15" s="91"/>
      <c r="ANA15" s="91"/>
      <c r="ANB15" s="91"/>
      <c r="ANC15" s="91"/>
      <c r="AND15" s="91"/>
      <c r="ANE15" s="91"/>
      <c r="ANF15" s="91"/>
      <c r="ANG15" s="91"/>
      <c r="ANH15" s="91"/>
      <c r="ANI15" s="91"/>
      <c r="ANJ15" s="91"/>
      <c r="ANK15" s="91"/>
      <c r="ANL15" s="91"/>
      <c r="ANM15" s="91"/>
      <c r="ANN15" s="91"/>
      <c r="ANO15" s="91"/>
      <c r="ANP15" s="91"/>
      <c r="ANQ15" s="91"/>
      <c r="ANR15" s="91"/>
      <c r="ANS15" s="91"/>
      <c r="ANT15" s="91"/>
      <c r="ANU15" s="91"/>
      <c r="ANV15" s="91"/>
      <c r="ANW15" s="91"/>
      <c r="ANX15" s="91"/>
      <c r="ANY15" s="91"/>
      <c r="ANZ15" s="91"/>
      <c r="AOA15" s="91"/>
      <c r="AOB15" s="91"/>
      <c r="AOC15" s="91"/>
      <c r="AOD15" s="91"/>
      <c r="AOE15" s="91"/>
      <c r="AOF15" s="91"/>
      <c r="AOG15" s="91"/>
      <c r="AOH15" s="91"/>
      <c r="AOI15" s="91"/>
      <c r="AOJ15" s="91"/>
      <c r="AOK15" s="91"/>
      <c r="AOL15" s="91"/>
      <c r="AOM15" s="91"/>
      <c r="AON15" s="91"/>
      <c r="AOO15" s="91"/>
      <c r="AOP15" s="91"/>
      <c r="AOQ15" s="91"/>
      <c r="AOR15" s="91"/>
      <c r="AOS15" s="91"/>
      <c r="AOT15" s="91"/>
      <c r="AOU15" s="91"/>
      <c r="AOV15" s="91"/>
      <c r="AOW15" s="91"/>
      <c r="AOX15" s="91"/>
      <c r="AOY15" s="91"/>
      <c r="AOZ15" s="91"/>
      <c r="APA15" s="91"/>
      <c r="APB15" s="91"/>
      <c r="APC15" s="91"/>
      <c r="APD15" s="91"/>
      <c r="APE15" s="91"/>
      <c r="APF15" s="91"/>
      <c r="APG15" s="91"/>
      <c r="APH15" s="91"/>
      <c r="API15" s="91"/>
      <c r="APJ15" s="91"/>
      <c r="APK15" s="91"/>
      <c r="APL15" s="91"/>
      <c r="APM15" s="91"/>
      <c r="APN15" s="91"/>
      <c r="APO15" s="91"/>
      <c r="APP15" s="91"/>
      <c r="APQ15" s="91"/>
      <c r="APR15" s="91"/>
      <c r="APS15" s="91"/>
      <c r="APT15" s="91"/>
      <c r="APU15" s="91"/>
      <c r="APV15" s="91"/>
      <c r="APW15" s="91"/>
      <c r="APX15" s="91"/>
      <c r="APY15" s="91"/>
      <c r="APZ15" s="91"/>
      <c r="AQA15" s="91"/>
      <c r="AQB15" s="91"/>
      <c r="AQC15" s="91"/>
      <c r="AQD15" s="91"/>
      <c r="AQE15" s="91"/>
      <c r="AQF15" s="91"/>
      <c r="AQG15" s="91"/>
      <c r="AQH15" s="91"/>
      <c r="AQI15" s="91"/>
      <c r="AQJ15" s="91"/>
      <c r="AQK15" s="91"/>
      <c r="AQL15" s="91"/>
      <c r="AQM15" s="91"/>
      <c r="AQN15" s="91"/>
      <c r="AQO15" s="91"/>
      <c r="AQP15" s="91"/>
      <c r="AQQ15" s="91"/>
      <c r="AQR15" s="91"/>
      <c r="AQS15" s="91"/>
      <c r="AQT15" s="91"/>
      <c r="AQU15" s="91"/>
      <c r="AQV15" s="91"/>
      <c r="AQW15" s="91"/>
      <c r="AQX15" s="91"/>
      <c r="AQY15" s="91"/>
      <c r="AQZ15" s="91"/>
      <c r="ARA15" s="91"/>
      <c r="ARB15" s="91"/>
      <c r="ARC15" s="91"/>
      <c r="ARD15" s="91"/>
      <c r="ARE15" s="91"/>
      <c r="ARF15" s="91"/>
      <c r="ARG15" s="91"/>
      <c r="ARH15" s="91"/>
      <c r="ARI15" s="91"/>
      <c r="ARJ15" s="91"/>
      <c r="ARK15" s="91"/>
      <c r="ARL15" s="91"/>
      <c r="ARM15" s="91"/>
      <c r="ARN15" s="91"/>
      <c r="ARO15" s="91"/>
      <c r="ARP15" s="91"/>
      <c r="ARQ15" s="91"/>
      <c r="ARR15" s="91"/>
      <c r="ARS15" s="91"/>
      <c r="ART15" s="91"/>
      <c r="ARU15" s="91"/>
      <c r="ARV15" s="91"/>
      <c r="ARW15" s="91"/>
      <c r="ARX15" s="91"/>
      <c r="ARY15" s="91"/>
      <c r="ARZ15" s="91"/>
      <c r="ASA15" s="91"/>
      <c r="ASB15" s="91"/>
      <c r="ASC15" s="91"/>
      <c r="ASD15" s="91"/>
      <c r="ASE15" s="91"/>
      <c r="ASF15" s="91"/>
      <c r="ASG15" s="91"/>
      <c r="ASH15" s="91"/>
      <c r="ASI15" s="91"/>
      <c r="ASJ15" s="91"/>
      <c r="ASK15" s="91"/>
      <c r="ASL15" s="91"/>
      <c r="ASM15" s="91"/>
      <c r="ASN15" s="91"/>
      <c r="ASO15" s="91"/>
      <c r="ASP15" s="91"/>
      <c r="ASQ15" s="91"/>
      <c r="ASR15" s="91"/>
      <c r="ASS15" s="91"/>
      <c r="AST15" s="91"/>
      <c r="ASU15" s="91"/>
      <c r="ASV15" s="91"/>
      <c r="ASW15" s="91"/>
      <c r="ASX15" s="91"/>
      <c r="ASY15" s="91"/>
      <c r="ASZ15" s="91"/>
      <c r="ATA15" s="91"/>
      <c r="ATB15" s="91"/>
      <c r="ATC15" s="91"/>
      <c r="ATD15" s="91"/>
      <c r="ATE15" s="91"/>
      <c r="ATF15" s="91"/>
      <c r="ATG15" s="91"/>
      <c r="ATH15" s="91"/>
      <c r="ATI15" s="91"/>
      <c r="ATJ15" s="91"/>
      <c r="ATK15" s="91"/>
      <c r="ATL15" s="91"/>
      <c r="ATM15" s="91"/>
      <c r="ATN15" s="91"/>
      <c r="ATO15" s="91"/>
      <c r="ATP15" s="91"/>
      <c r="ATQ15" s="91"/>
      <c r="ATR15" s="91"/>
      <c r="ATS15" s="91"/>
      <c r="ATT15" s="91"/>
      <c r="ATU15" s="91"/>
      <c r="ATV15" s="91"/>
      <c r="ATW15" s="91"/>
      <c r="ATX15" s="91"/>
      <c r="ATY15" s="91"/>
      <c r="ATZ15" s="91"/>
      <c r="AUA15" s="91"/>
      <c r="AUB15" s="91"/>
      <c r="AUC15" s="91"/>
      <c r="AUD15" s="91"/>
      <c r="AUE15" s="91"/>
      <c r="AUF15" s="91"/>
      <c r="AUG15" s="91"/>
      <c r="AUH15" s="91"/>
      <c r="AUI15" s="91"/>
      <c r="AUJ15" s="91"/>
      <c r="AUK15" s="91"/>
      <c r="AUL15" s="91"/>
      <c r="AUM15" s="91"/>
      <c r="AUN15" s="91"/>
      <c r="AUO15" s="91"/>
      <c r="AUP15" s="91"/>
      <c r="AUQ15" s="91"/>
      <c r="AUR15" s="91"/>
      <c r="AUS15" s="91"/>
      <c r="AUT15" s="91"/>
      <c r="AUU15" s="91"/>
      <c r="AUV15" s="91"/>
      <c r="AUW15" s="91"/>
      <c r="AUX15" s="91"/>
      <c r="AUY15" s="91"/>
      <c r="AUZ15" s="91"/>
      <c r="AVA15" s="91"/>
      <c r="AVB15" s="91"/>
      <c r="AVC15" s="91"/>
      <c r="AVD15" s="91"/>
      <c r="AVE15" s="91"/>
      <c r="AVF15" s="91"/>
      <c r="AVG15" s="91"/>
      <c r="AVH15" s="91"/>
      <c r="AVI15" s="91"/>
      <c r="AVJ15" s="91"/>
      <c r="AVK15" s="91"/>
      <c r="AVL15" s="91"/>
      <c r="AVM15" s="91"/>
      <c r="AVN15" s="91"/>
      <c r="AVO15" s="91"/>
      <c r="AVP15" s="91"/>
      <c r="AVQ15" s="91"/>
      <c r="AVR15" s="91"/>
      <c r="AVS15" s="91"/>
      <c r="AVT15" s="91"/>
      <c r="AVU15" s="91"/>
      <c r="AVV15" s="91"/>
      <c r="AVW15" s="91"/>
      <c r="AVX15" s="91"/>
      <c r="AVY15" s="91"/>
      <c r="AVZ15" s="91"/>
      <c r="AWA15" s="91"/>
      <c r="AWB15" s="91"/>
      <c r="AWC15" s="91"/>
      <c r="AWD15" s="91"/>
      <c r="AWE15" s="91"/>
      <c r="AWF15" s="91"/>
      <c r="AWG15" s="91"/>
      <c r="AWH15" s="91"/>
      <c r="AWI15" s="91"/>
      <c r="AWJ15" s="91"/>
      <c r="AWK15" s="91"/>
      <c r="AWL15" s="91"/>
      <c r="AWM15" s="91"/>
      <c r="AWN15" s="91"/>
      <c r="AWO15" s="91"/>
      <c r="AWP15" s="91"/>
      <c r="AWQ15" s="91"/>
      <c r="AWR15" s="91"/>
      <c r="AWS15" s="91"/>
      <c r="AWT15" s="91"/>
      <c r="AWU15" s="91"/>
      <c r="AWV15" s="91"/>
      <c r="AWW15" s="91"/>
      <c r="AWX15" s="91"/>
      <c r="AWY15" s="91"/>
      <c r="AWZ15" s="91"/>
      <c r="AXA15" s="91"/>
      <c r="AXB15" s="91"/>
      <c r="AXC15" s="91"/>
      <c r="AXD15" s="91"/>
      <c r="AXE15" s="91"/>
      <c r="AXF15" s="91"/>
      <c r="AXG15" s="91"/>
      <c r="AXH15" s="91"/>
      <c r="AXI15" s="91"/>
      <c r="AXJ15" s="91"/>
      <c r="AXK15" s="91"/>
      <c r="AXL15" s="91"/>
      <c r="AXM15" s="91"/>
      <c r="AXN15" s="91"/>
      <c r="AXO15" s="91"/>
      <c r="AXP15" s="91"/>
      <c r="AXQ15" s="91"/>
      <c r="AXR15" s="91"/>
      <c r="AXS15" s="91"/>
      <c r="AXT15" s="91"/>
      <c r="AXU15" s="91"/>
      <c r="AXV15" s="91"/>
      <c r="AXW15" s="91"/>
      <c r="AXX15" s="91"/>
      <c r="AXY15" s="91"/>
      <c r="AXZ15" s="91"/>
      <c r="AYA15" s="91"/>
      <c r="AYB15" s="91"/>
      <c r="AYC15" s="91"/>
      <c r="AYD15" s="91"/>
      <c r="AYE15" s="91"/>
      <c r="AYF15" s="91"/>
      <c r="AYG15" s="91"/>
      <c r="AYH15" s="91"/>
      <c r="AYI15" s="91"/>
      <c r="AYJ15" s="91"/>
      <c r="AYK15" s="91"/>
      <c r="AYL15" s="91"/>
      <c r="AYM15" s="91"/>
      <c r="AYN15" s="91"/>
      <c r="AYO15" s="91"/>
      <c r="AYP15" s="91"/>
      <c r="AYQ15" s="91"/>
      <c r="AYR15" s="91"/>
      <c r="AYS15" s="91"/>
      <c r="AYT15" s="91"/>
      <c r="AYU15" s="91"/>
      <c r="AYV15" s="91"/>
      <c r="AYW15" s="91"/>
      <c r="AYX15" s="91"/>
      <c r="AYY15" s="91"/>
      <c r="AYZ15" s="91"/>
      <c r="AZA15" s="91"/>
      <c r="AZB15" s="91"/>
      <c r="AZC15" s="91"/>
      <c r="AZD15" s="91"/>
      <c r="AZE15" s="91"/>
      <c r="AZF15" s="91"/>
      <c r="AZG15" s="91"/>
      <c r="AZH15" s="91"/>
      <c r="AZI15" s="91"/>
      <c r="AZJ15" s="91"/>
      <c r="AZK15" s="91"/>
      <c r="AZL15" s="91"/>
      <c r="AZM15" s="91"/>
      <c r="AZN15" s="91"/>
      <c r="AZO15" s="91"/>
      <c r="AZP15" s="91"/>
      <c r="AZQ15" s="91"/>
      <c r="AZR15" s="91"/>
      <c r="AZS15" s="91"/>
      <c r="AZT15" s="91"/>
      <c r="AZU15" s="91"/>
      <c r="AZV15" s="91"/>
      <c r="AZW15" s="91"/>
      <c r="AZX15" s="91"/>
      <c r="AZY15" s="91"/>
      <c r="AZZ15" s="91"/>
      <c r="BAA15" s="91"/>
      <c r="BAB15" s="91"/>
      <c r="BAC15" s="91"/>
      <c r="BAD15" s="91"/>
      <c r="BAE15" s="91"/>
      <c r="BAF15" s="91"/>
      <c r="BAG15" s="91"/>
      <c r="BAH15" s="91"/>
      <c r="BAI15" s="91"/>
      <c r="BAJ15" s="91"/>
      <c r="BAK15" s="91"/>
      <c r="BAL15" s="91"/>
      <c r="BAM15" s="91"/>
      <c r="BAN15" s="91"/>
      <c r="BAO15" s="91"/>
      <c r="BAP15" s="91"/>
      <c r="BAQ15" s="91"/>
      <c r="BAR15" s="91"/>
      <c r="BAS15" s="91"/>
      <c r="BAT15" s="91"/>
      <c r="BAU15" s="91"/>
      <c r="BAV15" s="91"/>
      <c r="BAW15" s="91"/>
      <c r="BAX15" s="91"/>
      <c r="BAY15" s="91"/>
      <c r="BAZ15" s="91"/>
      <c r="BBA15" s="91"/>
      <c r="BBB15" s="91"/>
      <c r="BBC15" s="91"/>
      <c r="BBD15" s="91"/>
      <c r="BBE15" s="91"/>
      <c r="BBF15" s="91"/>
      <c r="BBG15" s="91"/>
      <c r="BBH15" s="91"/>
      <c r="BBI15" s="91"/>
      <c r="BBJ15" s="91"/>
      <c r="BBK15" s="91"/>
      <c r="BBL15" s="91"/>
      <c r="BBM15" s="91"/>
      <c r="BBN15" s="91"/>
      <c r="BBO15" s="91"/>
      <c r="BBP15" s="91"/>
      <c r="BBQ15" s="91"/>
      <c r="BBR15" s="91"/>
      <c r="BBS15" s="91"/>
      <c r="BBT15" s="91"/>
      <c r="BBU15" s="91"/>
      <c r="BBV15" s="91"/>
      <c r="BBW15" s="91"/>
      <c r="BBX15" s="91"/>
      <c r="BBY15" s="91"/>
      <c r="BBZ15" s="91"/>
      <c r="BCA15" s="91"/>
      <c r="BCB15" s="91"/>
      <c r="BCC15" s="91"/>
      <c r="BCD15" s="91"/>
      <c r="BCE15" s="91"/>
      <c r="BCF15" s="91"/>
      <c r="BCG15" s="91"/>
      <c r="BCH15" s="91"/>
      <c r="BCI15" s="91"/>
      <c r="BCJ15" s="91"/>
      <c r="BCK15" s="91"/>
      <c r="BCL15" s="91"/>
      <c r="BCM15" s="91"/>
      <c r="BCN15" s="91"/>
      <c r="BCO15" s="91"/>
      <c r="BCP15" s="91"/>
      <c r="BCQ15" s="91"/>
      <c r="BCR15" s="91"/>
      <c r="BCS15" s="91"/>
      <c r="BCT15" s="91"/>
      <c r="BCU15" s="91"/>
      <c r="BCV15" s="91"/>
      <c r="BCW15" s="91"/>
      <c r="BCX15" s="91"/>
      <c r="BCY15" s="91"/>
      <c r="BCZ15" s="91"/>
      <c r="BDA15" s="91"/>
      <c r="BDB15" s="91"/>
      <c r="BDC15" s="91"/>
      <c r="BDD15" s="91"/>
      <c r="BDE15" s="91"/>
      <c r="BDF15" s="91"/>
      <c r="BDG15" s="91"/>
      <c r="BDH15" s="91"/>
      <c r="BDI15" s="91"/>
      <c r="BDJ15" s="91"/>
      <c r="BDK15" s="91"/>
      <c r="BDL15" s="91"/>
      <c r="BDM15" s="91"/>
      <c r="BDN15" s="91"/>
      <c r="BDO15" s="91"/>
      <c r="BDP15" s="91"/>
      <c r="BDQ15" s="91"/>
      <c r="BDR15" s="91"/>
      <c r="BDS15" s="91"/>
      <c r="BDT15" s="91"/>
      <c r="BDU15" s="91"/>
      <c r="BDV15" s="91"/>
      <c r="BDW15" s="91"/>
      <c r="BDX15" s="91"/>
      <c r="BDY15" s="91"/>
      <c r="BDZ15" s="91"/>
      <c r="BEA15" s="91"/>
      <c r="BEB15" s="91"/>
      <c r="BEC15" s="91"/>
      <c r="BED15" s="91"/>
      <c r="BEE15" s="91"/>
      <c r="BEF15" s="91"/>
      <c r="BEG15" s="91"/>
      <c r="BEH15" s="91"/>
      <c r="BEI15" s="91"/>
    </row>
    <row r="18" spans="1:1493" customFormat="1" x14ac:dyDescent="0.2">
      <c r="BC18" s="91"/>
      <c r="BD18" s="91"/>
      <c r="BE18" s="91"/>
      <c r="BF18" s="91"/>
      <c r="BG18" s="91"/>
      <c r="BH18" s="91"/>
      <c r="BI18" s="91"/>
      <c r="BJ18" s="91"/>
      <c r="BK18" s="91"/>
      <c r="BL18" s="91"/>
      <c r="BM18" s="91"/>
      <c r="BN18" s="91"/>
      <c r="BO18" s="91"/>
      <c r="BP18" s="91"/>
      <c r="BQ18" s="91"/>
      <c r="BR18" s="91"/>
      <c r="BS18" s="91"/>
      <c r="BT18" s="91"/>
      <c r="BU18" s="91"/>
      <c r="BV18" s="91"/>
      <c r="BW18" s="91"/>
      <c r="BX18" s="91"/>
      <c r="BY18" s="91"/>
      <c r="BZ18" s="91"/>
      <c r="CA18" s="91"/>
      <c r="CB18" s="91"/>
      <c r="CC18" s="91"/>
      <c r="CD18" s="91"/>
      <c r="CE18" s="91"/>
      <c r="CF18" s="91"/>
      <c r="CG18" s="91"/>
      <c r="CH18" s="91"/>
      <c r="CI18" s="91"/>
      <c r="CJ18" s="91"/>
      <c r="CK18" s="91"/>
      <c r="CL18" s="91"/>
      <c r="CM18" s="91"/>
      <c r="CN18" s="91"/>
      <c r="CO18" s="91"/>
      <c r="CP18" s="91"/>
      <c r="CQ18" s="91"/>
      <c r="CR18" s="91"/>
      <c r="CS18" s="91"/>
      <c r="CT18" s="91"/>
      <c r="CU18" s="91"/>
      <c r="CV18" s="91"/>
      <c r="CW18" s="91"/>
      <c r="CX18" s="91"/>
      <c r="CY18" s="91"/>
      <c r="CZ18" s="91"/>
      <c r="DA18" s="91"/>
      <c r="DB18" s="91"/>
      <c r="DC18" s="91"/>
      <c r="DD18" s="91"/>
      <c r="DE18" s="91"/>
      <c r="DF18" s="91"/>
      <c r="DG18" s="91"/>
      <c r="DH18" s="91"/>
      <c r="DI18" s="91"/>
      <c r="DJ18" s="91"/>
      <c r="DK18" s="91"/>
      <c r="DL18" s="91"/>
      <c r="DM18" s="91"/>
      <c r="DN18" s="91"/>
      <c r="DO18" s="91"/>
      <c r="DP18" s="91"/>
      <c r="DQ18" s="91"/>
      <c r="DR18" s="91"/>
      <c r="DS18" s="91"/>
      <c r="DT18" s="91"/>
      <c r="DU18" s="91"/>
      <c r="DV18" s="91"/>
      <c r="DW18" s="91"/>
      <c r="DX18" s="91"/>
      <c r="DY18" s="91"/>
      <c r="DZ18" s="91"/>
      <c r="EA18" s="91"/>
      <c r="EB18" s="91"/>
      <c r="EC18" s="91"/>
      <c r="ED18" s="91"/>
      <c r="EE18" s="91"/>
      <c r="EF18" s="91"/>
      <c r="EG18" s="91"/>
      <c r="EH18" s="91"/>
      <c r="EI18" s="91"/>
      <c r="EJ18" s="91"/>
      <c r="EK18" s="91"/>
      <c r="EL18" s="91"/>
      <c r="EM18" s="91"/>
      <c r="EN18" s="91"/>
      <c r="EO18" s="91"/>
      <c r="EP18" s="91"/>
      <c r="EQ18" s="91"/>
      <c r="ER18" s="91"/>
      <c r="ES18" s="91"/>
      <c r="ET18" s="91"/>
      <c r="EU18" s="91"/>
      <c r="EV18" s="91"/>
      <c r="EW18" s="91"/>
      <c r="EX18" s="91"/>
      <c r="EY18" s="91"/>
      <c r="EZ18" s="91"/>
      <c r="FA18" s="91"/>
      <c r="FB18" s="91"/>
      <c r="FC18" s="91"/>
      <c r="FD18" s="91"/>
      <c r="FE18" s="91"/>
      <c r="FF18" s="91"/>
      <c r="FG18" s="91"/>
      <c r="FH18" s="91"/>
      <c r="FI18" s="91"/>
      <c r="FJ18" s="91"/>
      <c r="FK18" s="91"/>
      <c r="FL18" s="91"/>
      <c r="FM18" s="91"/>
      <c r="FN18" s="91"/>
      <c r="FO18" s="91"/>
      <c r="FP18" s="91"/>
      <c r="FQ18" s="91"/>
      <c r="FR18" s="91"/>
      <c r="FS18" s="91"/>
      <c r="FT18" s="91"/>
      <c r="FU18" s="91"/>
      <c r="FV18" s="91"/>
      <c r="FW18" s="91"/>
      <c r="FX18" s="91"/>
      <c r="FY18" s="91"/>
      <c r="FZ18" s="91"/>
      <c r="GA18" s="91"/>
      <c r="GB18" s="91"/>
      <c r="GC18" s="91"/>
      <c r="GD18" s="91"/>
      <c r="GE18" s="91"/>
      <c r="GF18" s="91"/>
      <c r="GG18" s="91"/>
      <c r="GH18" s="91"/>
      <c r="GI18" s="91"/>
      <c r="GJ18" s="91"/>
      <c r="GK18" s="91"/>
      <c r="GL18" s="91"/>
      <c r="GM18" s="91"/>
      <c r="GN18" s="91"/>
      <c r="GO18" s="91"/>
      <c r="GP18" s="91"/>
      <c r="GQ18" s="91"/>
      <c r="GR18" s="91"/>
      <c r="GS18" s="91"/>
      <c r="GT18" s="91"/>
      <c r="GU18" s="91"/>
      <c r="GV18" s="91"/>
      <c r="GW18" s="91"/>
      <c r="GX18" s="91"/>
      <c r="GY18" s="91"/>
      <c r="GZ18" s="91"/>
      <c r="HA18" s="91"/>
      <c r="HB18" s="91"/>
      <c r="HC18" s="91"/>
      <c r="HD18" s="91"/>
      <c r="HE18" s="91"/>
      <c r="HF18" s="91"/>
      <c r="HG18" s="91"/>
      <c r="HH18" s="91"/>
      <c r="HI18" s="91"/>
      <c r="HJ18" s="91"/>
      <c r="HK18" s="91"/>
      <c r="HL18" s="91"/>
      <c r="HM18" s="91"/>
      <c r="HN18" s="91"/>
      <c r="HO18" s="91"/>
      <c r="HP18" s="91"/>
      <c r="HQ18" s="91"/>
      <c r="HR18" s="91"/>
      <c r="HS18" s="91"/>
      <c r="HT18" s="91"/>
      <c r="HU18" s="91"/>
      <c r="HV18" s="91"/>
      <c r="HW18" s="91"/>
      <c r="HX18" s="91"/>
      <c r="HY18" s="91"/>
      <c r="HZ18" s="91"/>
      <c r="IA18" s="91"/>
      <c r="IB18" s="91"/>
      <c r="IC18" s="91"/>
      <c r="ID18" s="91"/>
      <c r="IE18" s="91"/>
      <c r="IF18" s="91"/>
      <c r="IG18" s="91"/>
      <c r="IH18" s="91"/>
      <c r="II18" s="91"/>
      <c r="IJ18" s="91"/>
      <c r="IK18" s="91"/>
      <c r="IL18" s="91"/>
      <c r="IM18" s="91"/>
      <c r="IN18" s="91"/>
      <c r="IO18" s="91"/>
      <c r="IP18" s="91"/>
      <c r="IQ18" s="91"/>
      <c r="IR18" s="91"/>
      <c r="IS18" s="91"/>
      <c r="IT18" s="91"/>
      <c r="IU18" s="91"/>
      <c r="IV18" s="91"/>
      <c r="IW18" s="91"/>
      <c r="IX18" s="91"/>
      <c r="IY18" s="91"/>
      <c r="IZ18" s="91"/>
      <c r="JA18" s="91"/>
      <c r="JB18" s="91"/>
      <c r="JC18" s="91"/>
      <c r="JD18" s="91"/>
      <c r="JE18" s="91"/>
      <c r="JF18" s="91"/>
      <c r="JG18" s="91"/>
      <c r="JH18" s="91"/>
      <c r="JI18" s="91"/>
      <c r="JJ18" s="91"/>
      <c r="JK18" s="91"/>
      <c r="JL18" s="91"/>
      <c r="JM18" s="91"/>
      <c r="JN18" s="91"/>
      <c r="JO18" s="91"/>
      <c r="JP18" s="91"/>
      <c r="JQ18" s="91"/>
      <c r="JR18" s="91"/>
      <c r="JS18" s="91"/>
      <c r="JT18" s="91"/>
      <c r="JU18" s="91"/>
      <c r="JV18" s="91"/>
      <c r="JW18" s="91"/>
      <c r="JX18" s="91"/>
      <c r="JY18" s="91"/>
      <c r="JZ18" s="91"/>
      <c r="KA18" s="91"/>
      <c r="KB18" s="91"/>
      <c r="KC18" s="91"/>
      <c r="KD18" s="91"/>
      <c r="KE18" s="91"/>
      <c r="KF18" s="91"/>
      <c r="KG18" s="91"/>
      <c r="KH18" s="91"/>
      <c r="KI18" s="91"/>
      <c r="KJ18" s="91"/>
      <c r="KK18" s="91"/>
      <c r="KL18" s="91"/>
      <c r="KM18" s="91"/>
      <c r="KN18" s="91"/>
      <c r="KO18" s="91"/>
      <c r="KP18" s="91"/>
      <c r="KQ18" s="91"/>
      <c r="KR18" s="91"/>
      <c r="KS18" s="91"/>
      <c r="KT18" s="91"/>
      <c r="KU18" s="91"/>
      <c r="KV18" s="91"/>
      <c r="KW18" s="91"/>
      <c r="KX18" s="91"/>
      <c r="KY18" s="91"/>
      <c r="KZ18" s="91"/>
      <c r="LA18" s="91"/>
      <c r="LB18" s="91"/>
      <c r="LC18" s="91"/>
      <c r="LD18" s="91"/>
      <c r="LE18" s="91"/>
      <c r="LF18" s="91"/>
      <c r="LG18" s="91"/>
      <c r="LH18" s="91"/>
      <c r="LI18" s="91"/>
      <c r="LJ18" s="91"/>
      <c r="LK18" s="91"/>
      <c r="LL18" s="91"/>
      <c r="LM18" s="91"/>
      <c r="LN18" s="91"/>
      <c r="LO18" s="91"/>
      <c r="LP18" s="91"/>
      <c r="LQ18" s="91"/>
      <c r="LR18" s="91"/>
      <c r="LS18" s="91"/>
      <c r="LT18" s="91"/>
      <c r="LU18" s="91"/>
      <c r="LV18" s="91"/>
      <c r="LW18" s="91"/>
      <c r="LX18" s="91"/>
      <c r="LY18" s="91"/>
      <c r="LZ18" s="91"/>
      <c r="MA18" s="91"/>
      <c r="MB18" s="91"/>
      <c r="MC18" s="91"/>
      <c r="MD18" s="91"/>
      <c r="ME18" s="91"/>
      <c r="MF18" s="91"/>
      <c r="MG18" s="91"/>
      <c r="MH18" s="91"/>
      <c r="MI18" s="91"/>
      <c r="MJ18" s="91"/>
      <c r="MK18" s="91"/>
      <c r="ML18" s="91"/>
      <c r="MM18" s="91"/>
      <c r="MN18" s="91"/>
      <c r="MO18" s="91"/>
      <c r="MP18" s="91"/>
      <c r="MQ18" s="91"/>
      <c r="MR18" s="91"/>
      <c r="MS18" s="91"/>
      <c r="MT18" s="91"/>
      <c r="MU18" s="91"/>
      <c r="MV18" s="91"/>
      <c r="MW18" s="91"/>
      <c r="MX18" s="91"/>
      <c r="MY18" s="91"/>
      <c r="MZ18" s="91"/>
      <c r="NA18" s="91"/>
      <c r="NB18" s="91"/>
      <c r="NC18" s="91"/>
      <c r="ND18" s="91"/>
      <c r="NE18" s="91"/>
      <c r="NF18" s="91"/>
      <c r="NG18" s="91"/>
      <c r="NH18" s="91"/>
      <c r="NI18" s="91"/>
      <c r="NJ18" s="91"/>
      <c r="NK18" s="91"/>
      <c r="NL18" s="91"/>
      <c r="NM18" s="91"/>
      <c r="NN18" s="91"/>
      <c r="NO18" s="91"/>
      <c r="NP18" s="91"/>
      <c r="NQ18" s="91"/>
      <c r="NR18" s="91"/>
      <c r="NS18" s="91"/>
      <c r="NT18" s="91"/>
      <c r="NU18" s="91"/>
      <c r="NV18" s="91"/>
      <c r="NW18" s="91"/>
      <c r="NX18" s="91"/>
      <c r="NY18" s="91"/>
      <c r="NZ18" s="91"/>
      <c r="OA18" s="91"/>
      <c r="OB18" s="91"/>
      <c r="OC18" s="91"/>
      <c r="OD18" s="91"/>
      <c r="OE18" s="91"/>
      <c r="OF18" s="91"/>
      <c r="OG18" s="91"/>
      <c r="OH18" s="91"/>
      <c r="OI18" s="91"/>
      <c r="OJ18" s="91"/>
      <c r="OK18" s="91"/>
      <c r="OL18" s="91"/>
      <c r="OM18" s="91"/>
      <c r="ON18" s="91"/>
      <c r="OO18" s="91"/>
      <c r="OP18" s="91"/>
      <c r="OQ18" s="91"/>
      <c r="OR18" s="91"/>
      <c r="OS18" s="91"/>
      <c r="OT18" s="91"/>
      <c r="OU18" s="91"/>
      <c r="OV18" s="91"/>
      <c r="OW18" s="91"/>
      <c r="OX18" s="91"/>
      <c r="OY18" s="91"/>
      <c r="OZ18" s="91"/>
      <c r="PA18" s="91"/>
      <c r="PB18" s="91"/>
      <c r="PC18" s="91"/>
      <c r="PD18" s="91"/>
      <c r="PE18" s="91"/>
      <c r="PF18" s="91"/>
      <c r="PG18" s="91"/>
      <c r="PH18" s="91"/>
      <c r="PI18" s="91"/>
      <c r="PJ18" s="91"/>
      <c r="PK18" s="91"/>
      <c r="PL18" s="91"/>
      <c r="PM18" s="91"/>
      <c r="PN18" s="91"/>
      <c r="PO18" s="91"/>
      <c r="PP18" s="91"/>
      <c r="PQ18" s="91"/>
      <c r="PR18" s="91"/>
      <c r="PS18" s="91"/>
      <c r="PT18" s="91"/>
      <c r="PU18" s="91"/>
      <c r="PV18" s="91"/>
      <c r="PW18" s="91"/>
      <c r="PX18" s="91"/>
      <c r="PY18" s="91"/>
      <c r="PZ18" s="91"/>
      <c r="QA18" s="91"/>
      <c r="QB18" s="91"/>
      <c r="QC18" s="91"/>
      <c r="QD18" s="91"/>
      <c r="QE18" s="91"/>
      <c r="QF18" s="91"/>
      <c r="QG18" s="91"/>
      <c r="QH18" s="91"/>
      <c r="QI18" s="91"/>
      <c r="QJ18" s="91"/>
      <c r="QK18" s="91"/>
      <c r="QL18" s="91"/>
      <c r="QM18" s="91"/>
      <c r="QN18" s="91"/>
      <c r="QO18" s="91"/>
      <c r="QP18" s="91"/>
      <c r="QQ18" s="91"/>
      <c r="QR18" s="91"/>
      <c r="QS18" s="91"/>
      <c r="QT18" s="91"/>
      <c r="QU18" s="91"/>
      <c r="QV18" s="91"/>
      <c r="QW18" s="91"/>
      <c r="QX18" s="91"/>
      <c r="QY18" s="91"/>
      <c r="QZ18" s="91"/>
      <c r="RA18" s="91"/>
      <c r="RB18" s="91"/>
      <c r="RC18" s="91"/>
      <c r="RD18" s="91"/>
      <c r="RE18" s="91"/>
      <c r="RF18" s="91"/>
      <c r="RG18" s="91"/>
      <c r="RH18" s="91"/>
      <c r="RI18" s="91"/>
      <c r="RJ18" s="91"/>
      <c r="RK18" s="91"/>
      <c r="RL18" s="91"/>
      <c r="RM18" s="91"/>
      <c r="RN18" s="91"/>
      <c r="RO18" s="91"/>
      <c r="RP18" s="91"/>
      <c r="RQ18" s="91"/>
      <c r="RR18" s="91"/>
      <c r="RS18" s="91"/>
      <c r="RT18" s="91"/>
      <c r="RU18" s="91"/>
      <c r="RV18" s="91"/>
      <c r="RW18" s="91"/>
      <c r="RX18" s="91"/>
      <c r="RY18" s="91"/>
      <c r="RZ18" s="91"/>
      <c r="SA18" s="91"/>
      <c r="SB18" s="91"/>
      <c r="SC18" s="91"/>
      <c r="SD18" s="91"/>
      <c r="SE18" s="91"/>
      <c r="SF18" s="91"/>
      <c r="SG18" s="91"/>
      <c r="SH18" s="91"/>
      <c r="SI18" s="91"/>
      <c r="SJ18" s="91"/>
      <c r="SK18" s="91"/>
      <c r="SL18" s="91"/>
      <c r="SM18" s="91"/>
      <c r="SN18" s="91"/>
      <c r="SO18" s="91"/>
      <c r="SP18" s="91"/>
      <c r="SQ18" s="91"/>
      <c r="SR18" s="91"/>
      <c r="SS18" s="91"/>
      <c r="ST18" s="91"/>
      <c r="SU18" s="91"/>
      <c r="SV18" s="91"/>
      <c r="SW18" s="91"/>
      <c r="SX18" s="91"/>
      <c r="SY18" s="91"/>
      <c r="SZ18" s="91"/>
      <c r="TA18" s="91"/>
      <c r="TB18" s="91"/>
      <c r="TC18" s="91"/>
      <c r="TD18" s="91"/>
      <c r="TE18" s="91"/>
      <c r="TF18" s="91"/>
      <c r="TG18" s="91"/>
      <c r="TH18" s="91"/>
      <c r="TI18" s="91"/>
      <c r="TJ18" s="91"/>
      <c r="TK18" s="91"/>
      <c r="TL18" s="91"/>
      <c r="TM18" s="91"/>
      <c r="TN18" s="91"/>
      <c r="TO18" s="91"/>
      <c r="TP18" s="91"/>
      <c r="TQ18" s="91"/>
      <c r="TR18" s="91"/>
      <c r="TS18" s="91"/>
      <c r="TT18" s="91"/>
      <c r="TU18" s="91"/>
      <c r="TV18" s="91"/>
      <c r="TW18" s="91"/>
      <c r="TX18" s="91"/>
      <c r="TY18" s="91"/>
      <c r="TZ18" s="91"/>
      <c r="UA18" s="91"/>
      <c r="UB18" s="91"/>
      <c r="UC18" s="91"/>
      <c r="UD18" s="91"/>
      <c r="UE18" s="91"/>
      <c r="UF18" s="91"/>
      <c r="UG18" s="91"/>
      <c r="UH18" s="91"/>
      <c r="UI18" s="91"/>
      <c r="UJ18" s="91"/>
      <c r="UK18" s="91"/>
      <c r="UL18" s="91"/>
      <c r="UM18" s="91"/>
      <c r="UN18" s="91"/>
      <c r="UO18" s="91"/>
      <c r="UP18" s="91"/>
      <c r="UQ18" s="91"/>
      <c r="UR18" s="91"/>
      <c r="US18" s="91"/>
      <c r="UT18" s="91"/>
      <c r="UU18" s="91"/>
      <c r="UV18" s="91"/>
      <c r="UW18" s="91"/>
      <c r="UX18" s="91"/>
      <c r="UY18" s="91"/>
      <c r="UZ18" s="91"/>
      <c r="VA18" s="91"/>
      <c r="VB18" s="91"/>
      <c r="VC18" s="91"/>
      <c r="VD18" s="91"/>
      <c r="VE18" s="91"/>
      <c r="VF18" s="91"/>
      <c r="VG18" s="91"/>
      <c r="VH18" s="91"/>
      <c r="VI18" s="91"/>
      <c r="VJ18" s="91"/>
      <c r="VK18" s="91"/>
      <c r="VL18" s="91"/>
      <c r="VM18" s="91"/>
      <c r="VN18" s="91"/>
      <c r="VO18" s="91"/>
      <c r="VP18" s="91"/>
      <c r="VQ18" s="91"/>
      <c r="VR18" s="91"/>
      <c r="VS18" s="91"/>
      <c r="VT18" s="91"/>
      <c r="VU18" s="91"/>
      <c r="VV18" s="91"/>
      <c r="VW18" s="91"/>
      <c r="VX18" s="91"/>
      <c r="VY18" s="91"/>
      <c r="VZ18" s="91"/>
      <c r="WA18" s="91"/>
      <c r="WB18" s="91"/>
      <c r="WC18" s="91"/>
      <c r="WD18" s="91"/>
      <c r="WE18" s="91"/>
      <c r="WF18" s="91"/>
      <c r="WG18" s="91"/>
      <c r="WH18" s="91"/>
      <c r="WI18" s="91"/>
      <c r="WJ18" s="91"/>
      <c r="WK18" s="91"/>
      <c r="WL18" s="91"/>
      <c r="WM18" s="91"/>
      <c r="WN18" s="91"/>
      <c r="WO18" s="91"/>
      <c r="WP18" s="91"/>
      <c r="WQ18" s="91"/>
      <c r="WR18" s="91"/>
      <c r="WS18" s="91"/>
      <c r="WT18" s="91"/>
      <c r="WU18" s="91"/>
      <c r="WV18" s="91"/>
      <c r="WW18" s="91"/>
      <c r="WX18" s="91"/>
      <c r="WY18" s="91"/>
      <c r="WZ18" s="91"/>
      <c r="XA18" s="91"/>
      <c r="XB18" s="91"/>
      <c r="XC18" s="91"/>
      <c r="XD18" s="91"/>
      <c r="XE18" s="91"/>
      <c r="XF18" s="91"/>
      <c r="XG18" s="91"/>
      <c r="XH18" s="91"/>
      <c r="XI18" s="91"/>
      <c r="XJ18" s="91"/>
      <c r="XK18" s="91"/>
      <c r="XL18" s="91"/>
      <c r="XM18" s="91"/>
      <c r="XN18" s="91"/>
      <c r="XO18" s="91"/>
      <c r="XP18" s="91"/>
      <c r="XQ18" s="91"/>
      <c r="XR18" s="91"/>
      <c r="XS18" s="91"/>
      <c r="XT18" s="91"/>
      <c r="XU18" s="91"/>
      <c r="XV18" s="91"/>
      <c r="XW18" s="91"/>
      <c r="XX18" s="91"/>
      <c r="XY18" s="91"/>
      <c r="XZ18" s="91"/>
      <c r="YA18" s="91"/>
      <c r="YB18" s="91"/>
      <c r="YC18" s="91"/>
      <c r="YD18" s="91"/>
      <c r="YE18" s="91"/>
      <c r="YF18" s="91"/>
      <c r="YG18" s="91"/>
      <c r="YH18" s="91"/>
      <c r="YI18" s="91"/>
      <c r="YJ18" s="91"/>
      <c r="YK18" s="91"/>
      <c r="YL18" s="91"/>
      <c r="YM18" s="91"/>
      <c r="YN18" s="91"/>
      <c r="YO18" s="91"/>
      <c r="YP18" s="91"/>
      <c r="YQ18" s="91"/>
      <c r="YR18" s="91"/>
      <c r="YS18" s="91"/>
      <c r="YT18" s="91"/>
      <c r="YU18" s="91"/>
      <c r="YV18" s="91"/>
      <c r="YW18" s="91"/>
      <c r="YX18" s="91"/>
      <c r="YY18" s="91"/>
      <c r="YZ18" s="91"/>
      <c r="ZA18" s="91"/>
      <c r="ZB18" s="91"/>
      <c r="ZC18" s="91"/>
      <c r="ZD18" s="91"/>
      <c r="ZE18" s="91"/>
      <c r="ZF18" s="91"/>
      <c r="ZG18" s="91"/>
      <c r="ZH18" s="91"/>
      <c r="ZI18" s="91"/>
      <c r="ZJ18" s="91"/>
      <c r="ZK18" s="91"/>
      <c r="ZL18" s="91"/>
      <c r="ZM18" s="91"/>
      <c r="ZN18" s="91"/>
      <c r="ZO18" s="91"/>
      <c r="ZP18" s="91"/>
      <c r="ZQ18" s="91"/>
      <c r="ZR18" s="91"/>
      <c r="ZS18" s="91"/>
      <c r="ZT18" s="91"/>
      <c r="ZU18" s="91"/>
      <c r="ZV18" s="91"/>
      <c r="ZW18" s="91"/>
      <c r="ZX18" s="91"/>
      <c r="ZY18" s="91"/>
      <c r="ZZ18" s="91"/>
      <c r="AAA18" s="91"/>
      <c r="AAB18" s="91"/>
      <c r="AAC18" s="91"/>
      <c r="AAD18" s="91"/>
      <c r="AAE18" s="91"/>
      <c r="AAF18" s="91"/>
      <c r="AAG18" s="91"/>
      <c r="AAH18" s="91"/>
      <c r="AAI18" s="91"/>
      <c r="AAJ18" s="91"/>
      <c r="AAK18" s="91"/>
      <c r="AAL18" s="91"/>
      <c r="AAM18" s="91"/>
      <c r="AAN18" s="91"/>
      <c r="AAO18" s="91"/>
      <c r="AAP18" s="91"/>
      <c r="AAQ18" s="91"/>
      <c r="AAR18" s="91"/>
      <c r="AAS18" s="91"/>
      <c r="AAT18" s="91"/>
      <c r="AAU18" s="91"/>
      <c r="AAV18" s="91"/>
      <c r="AAW18" s="91"/>
      <c r="AAX18" s="91"/>
      <c r="AAY18" s="91"/>
      <c r="AAZ18" s="91"/>
      <c r="ABA18" s="91"/>
      <c r="ABB18" s="91"/>
      <c r="ABC18" s="91"/>
      <c r="ABD18" s="91"/>
      <c r="ABE18" s="91"/>
      <c r="ABF18" s="91"/>
      <c r="ABG18" s="91"/>
      <c r="ABH18" s="91"/>
      <c r="ABI18" s="91"/>
      <c r="ABJ18" s="91"/>
      <c r="ABK18" s="91"/>
      <c r="ABL18" s="91"/>
      <c r="ABM18" s="91"/>
      <c r="ABN18" s="91"/>
      <c r="ABO18" s="91"/>
      <c r="ABP18" s="91"/>
      <c r="ABQ18" s="91"/>
      <c r="ABR18" s="91"/>
      <c r="ABS18" s="91"/>
      <c r="ABT18" s="91"/>
      <c r="ABU18" s="91"/>
      <c r="ABV18" s="91"/>
      <c r="ABW18" s="91"/>
      <c r="ABX18" s="91"/>
      <c r="ABY18" s="91"/>
      <c r="ABZ18" s="91"/>
      <c r="ACA18" s="91"/>
      <c r="ACB18" s="91"/>
      <c r="ACC18" s="91"/>
      <c r="ACD18" s="91"/>
      <c r="ACE18" s="91"/>
      <c r="ACF18" s="91"/>
      <c r="ACG18" s="91"/>
      <c r="ACH18" s="91"/>
      <c r="ACI18" s="91"/>
      <c r="ACJ18" s="91"/>
      <c r="ACK18" s="91"/>
      <c r="ACL18" s="91"/>
      <c r="ACM18" s="91"/>
      <c r="ACN18" s="91"/>
      <c r="ACO18" s="91"/>
      <c r="ACP18" s="91"/>
      <c r="ACQ18" s="91"/>
      <c r="ACR18" s="91"/>
      <c r="ACS18" s="91"/>
      <c r="ACT18" s="91"/>
      <c r="ACU18" s="91"/>
      <c r="ACV18" s="91"/>
      <c r="ACW18" s="91"/>
      <c r="ACX18" s="91"/>
      <c r="ACY18" s="91"/>
      <c r="ACZ18" s="91"/>
      <c r="ADA18" s="91"/>
      <c r="ADB18" s="91"/>
      <c r="ADC18" s="91"/>
      <c r="ADD18" s="91"/>
      <c r="ADE18" s="91"/>
      <c r="ADF18" s="91"/>
      <c r="ADG18" s="91"/>
      <c r="ADH18" s="91"/>
      <c r="ADI18" s="91"/>
      <c r="ADJ18" s="91"/>
      <c r="ADK18" s="91"/>
      <c r="ADL18" s="91"/>
      <c r="ADM18" s="91"/>
      <c r="ADN18" s="91"/>
      <c r="ADO18" s="91"/>
      <c r="ADP18" s="91"/>
      <c r="ADQ18" s="91"/>
      <c r="ADR18" s="91"/>
      <c r="ADS18" s="91"/>
      <c r="ADT18" s="91"/>
      <c r="ADU18" s="91"/>
      <c r="ADV18" s="91"/>
      <c r="ADW18" s="91"/>
      <c r="ADX18" s="91"/>
      <c r="ADY18" s="91"/>
      <c r="ADZ18" s="91"/>
      <c r="AEA18" s="91"/>
      <c r="AEB18" s="91"/>
      <c r="AEC18" s="91"/>
      <c r="AED18" s="91"/>
      <c r="AEE18" s="91"/>
      <c r="AEF18" s="91"/>
      <c r="AEG18" s="91"/>
      <c r="AEH18" s="91"/>
      <c r="AEI18" s="91"/>
      <c r="AEJ18" s="91"/>
      <c r="AEK18" s="91"/>
      <c r="AEL18" s="91"/>
      <c r="AEM18" s="91"/>
      <c r="AEN18" s="91"/>
      <c r="AEO18" s="91"/>
      <c r="AEP18" s="91"/>
      <c r="AEQ18" s="91"/>
      <c r="AER18" s="91"/>
      <c r="AES18" s="91"/>
      <c r="AET18" s="91"/>
      <c r="AEU18" s="91"/>
      <c r="AEV18" s="91"/>
      <c r="AEW18" s="91"/>
      <c r="AEX18" s="91"/>
      <c r="AEY18" s="91"/>
      <c r="AEZ18" s="91"/>
      <c r="AFA18" s="91"/>
      <c r="AFB18" s="91"/>
      <c r="AFC18" s="91"/>
      <c r="AFD18" s="91"/>
      <c r="AFE18" s="91"/>
      <c r="AFF18" s="91"/>
      <c r="AFG18" s="91"/>
      <c r="AFH18" s="91"/>
      <c r="AFI18" s="91"/>
      <c r="AFJ18" s="91"/>
      <c r="AFK18" s="91"/>
      <c r="AFL18" s="91"/>
      <c r="AFM18" s="91"/>
      <c r="AFN18" s="91"/>
      <c r="AFO18" s="91"/>
      <c r="AFP18" s="91"/>
      <c r="AFQ18" s="91"/>
      <c r="AFR18" s="91"/>
      <c r="AFS18" s="91"/>
      <c r="AFT18" s="91"/>
      <c r="AFU18" s="91"/>
      <c r="AFV18" s="91"/>
      <c r="AFW18" s="91"/>
      <c r="AFX18" s="91"/>
      <c r="AFY18" s="91"/>
      <c r="AFZ18" s="91"/>
      <c r="AGA18" s="91"/>
      <c r="AGB18" s="91"/>
      <c r="AGC18" s="91"/>
      <c r="AGD18" s="91"/>
      <c r="AGE18" s="91"/>
      <c r="AGF18" s="91"/>
      <c r="AGG18" s="91"/>
      <c r="AGH18" s="91"/>
      <c r="AGI18" s="91"/>
      <c r="AGJ18" s="91"/>
      <c r="AGK18" s="91"/>
      <c r="AGL18" s="91"/>
      <c r="AGM18" s="91"/>
      <c r="AGN18" s="91"/>
      <c r="AGO18" s="91"/>
      <c r="AGP18" s="91"/>
      <c r="AGQ18" s="91"/>
      <c r="AGR18" s="91"/>
      <c r="AGS18" s="91"/>
      <c r="AGT18" s="91"/>
      <c r="AGU18" s="91"/>
      <c r="AGV18" s="91"/>
      <c r="AGW18" s="91"/>
      <c r="AGX18" s="91"/>
      <c r="AGY18" s="91"/>
      <c r="AGZ18" s="91"/>
      <c r="AHA18" s="91"/>
      <c r="AHB18" s="91"/>
      <c r="AHC18" s="91"/>
      <c r="AHD18" s="91"/>
      <c r="AHE18" s="91"/>
      <c r="AHF18" s="91"/>
      <c r="AHG18" s="91"/>
      <c r="AHH18" s="91"/>
      <c r="AHI18" s="91"/>
      <c r="AHJ18" s="91"/>
      <c r="AHK18" s="91"/>
      <c r="AHL18" s="91"/>
      <c r="AHM18" s="91"/>
      <c r="AHN18" s="91"/>
      <c r="AHO18" s="91"/>
      <c r="AHP18" s="91"/>
      <c r="AHQ18" s="91"/>
      <c r="AHR18" s="91"/>
      <c r="AHS18" s="91"/>
      <c r="AHT18" s="91"/>
      <c r="AHU18" s="91"/>
      <c r="AHV18" s="91"/>
      <c r="AHW18" s="91"/>
      <c r="AHX18" s="91"/>
      <c r="AHY18" s="91"/>
      <c r="AHZ18" s="91"/>
      <c r="AIA18" s="91"/>
      <c r="AIB18" s="91"/>
      <c r="AIC18" s="91"/>
      <c r="AID18" s="91"/>
      <c r="AIE18" s="91"/>
      <c r="AIF18" s="91"/>
      <c r="AIG18" s="91"/>
      <c r="AIH18" s="91"/>
      <c r="AII18" s="91"/>
      <c r="AIJ18" s="91"/>
      <c r="AIK18" s="91"/>
      <c r="AIL18" s="91"/>
      <c r="AIM18" s="91"/>
      <c r="AIN18" s="91"/>
      <c r="AIO18" s="91"/>
      <c r="AIP18" s="91"/>
      <c r="AIQ18" s="91"/>
      <c r="AIR18" s="91"/>
      <c r="AIS18" s="91"/>
      <c r="AIT18" s="91"/>
      <c r="AIU18" s="91"/>
      <c r="AIV18" s="91"/>
      <c r="AIW18" s="91"/>
      <c r="AIX18" s="91"/>
      <c r="AIY18" s="91"/>
      <c r="AIZ18" s="91"/>
      <c r="AJA18" s="91"/>
      <c r="AJB18" s="91"/>
      <c r="AJC18" s="91"/>
      <c r="AJD18" s="91"/>
      <c r="AJE18" s="91"/>
      <c r="AJF18" s="91"/>
      <c r="AJG18" s="91"/>
      <c r="AJH18" s="91"/>
      <c r="AJI18" s="91"/>
      <c r="AJJ18" s="91"/>
      <c r="AJK18" s="91"/>
      <c r="AJL18" s="91"/>
      <c r="AJM18" s="91"/>
      <c r="AJN18" s="91"/>
      <c r="AJO18" s="91"/>
      <c r="AJP18" s="91"/>
      <c r="AJQ18" s="91"/>
      <c r="AJR18" s="91"/>
      <c r="AJS18" s="91"/>
      <c r="AJT18" s="91"/>
      <c r="AJU18" s="91"/>
      <c r="AJV18" s="91"/>
      <c r="AJW18" s="91"/>
      <c r="AJX18" s="91"/>
      <c r="AJY18" s="91"/>
      <c r="AJZ18" s="91"/>
      <c r="AKA18" s="91"/>
      <c r="AKB18" s="91"/>
      <c r="AKC18" s="91"/>
      <c r="AKD18" s="91"/>
      <c r="AKE18" s="91"/>
      <c r="AKF18" s="91"/>
      <c r="AKG18" s="91"/>
      <c r="AKH18" s="91"/>
      <c r="AKI18" s="91"/>
      <c r="AKJ18" s="91"/>
      <c r="AKK18" s="91"/>
      <c r="AKL18" s="91"/>
      <c r="AKM18" s="91"/>
      <c r="AKN18" s="91"/>
      <c r="AKO18" s="91"/>
      <c r="AKP18" s="91"/>
      <c r="AKQ18" s="91"/>
      <c r="AKR18" s="91"/>
      <c r="AKS18" s="91"/>
      <c r="AKT18" s="91"/>
      <c r="AKU18" s="91"/>
      <c r="AKV18" s="91"/>
      <c r="AKW18" s="91"/>
      <c r="AKX18" s="91"/>
      <c r="AKY18" s="91"/>
      <c r="AKZ18" s="91"/>
      <c r="ALA18" s="91"/>
      <c r="ALB18" s="91"/>
      <c r="ALC18" s="91"/>
      <c r="ALD18" s="91"/>
      <c r="ALE18" s="91"/>
      <c r="ALF18" s="91"/>
      <c r="ALG18" s="91"/>
      <c r="ALH18" s="91"/>
      <c r="ALI18" s="91"/>
      <c r="ALJ18" s="91"/>
      <c r="ALK18" s="91"/>
      <c r="ALL18" s="91"/>
      <c r="ALM18" s="91"/>
      <c r="ALN18" s="91"/>
      <c r="ALO18" s="91"/>
      <c r="ALP18" s="91"/>
      <c r="ALQ18" s="91"/>
      <c r="ALR18" s="91"/>
      <c r="ALS18" s="91"/>
      <c r="ALT18" s="91"/>
      <c r="ALU18" s="91"/>
      <c r="ALV18" s="91"/>
      <c r="ALW18" s="91"/>
      <c r="ALX18" s="91"/>
      <c r="ALY18" s="91"/>
      <c r="ALZ18" s="91"/>
      <c r="AMA18" s="91"/>
      <c r="AMB18" s="91"/>
      <c r="AMC18" s="91"/>
      <c r="AMD18" s="91"/>
      <c r="AME18" s="91"/>
      <c r="AMF18" s="91"/>
      <c r="AMG18" s="91"/>
      <c r="AMH18" s="91"/>
      <c r="AMI18" s="91"/>
      <c r="AMJ18" s="91"/>
      <c r="AMK18" s="91"/>
      <c r="AML18" s="91"/>
      <c r="AMM18" s="91"/>
      <c r="AMN18" s="91"/>
      <c r="AMO18" s="91"/>
      <c r="AMP18" s="91"/>
      <c r="AMQ18" s="91"/>
      <c r="AMR18" s="91"/>
      <c r="AMS18" s="91"/>
      <c r="AMT18" s="91"/>
      <c r="AMU18" s="91"/>
      <c r="AMV18" s="91"/>
      <c r="AMW18" s="91"/>
      <c r="AMX18" s="91"/>
      <c r="AMY18" s="91"/>
      <c r="AMZ18" s="91"/>
      <c r="ANA18" s="91"/>
      <c r="ANB18" s="91"/>
      <c r="ANC18" s="91"/>
      <c r="AND18" s="91"/>
      <c r="ANE18" s="91"/>
      <c r="ANF18" s="91"/>
      <c r="ANG18" s="91"/>
      <c r="ANH18" s="91"/>
      <c r="ANI18" s="91"/>
      <c r="ANJ18" s="91"/>
      <c r="ANK18" s="91"/>
      <c r="ANL18" s="91"/>
      <c r="ANM18" s="91"/>
      <c r="ANN18" s="91"/>
      <c r="ANO18" s="91"/>
      <c r="ANP18" s="91"/>
      <c r="ANQ18" s="91"/>
      <c r="ANR18" s="91"/>
      <c r="ANS18" s="91"/>
      <c r="ANT18" s="91"/>
      <c r="ANU18" s="91"/>
      <c r="ANV18" s="91"/>
      <c r="ANW18" s="91"/>
      <c r="ANX18" s="91"/>
      <c r="ANY18" s="91"/>
      <c r="ANZ18" s="91"/>
      <c r="AOA18" s="91"/>
      <c r="AOB18" s="91"/>
      <c r="AOC18" s="91"/>
      <c r="AOD18" s="91"/>
      <c r="AOE18" s="91"/>
      <c r="AOF18" s="91"/>
      <c r="AOG18" s="91"/>
      <c r="AOH18" s="91"/>
      <c r="AOI18" s="91"/>
      <c r="AOJ18" s="91"/>
      <c r="AOK18" s="91"/>
      <c r="AOL18" s="91"/>
      <c r="AOM18" s="91"/>
      <c r="AON18" s="91"/>
      <c r="AOO18" s="91"/>
      <c r="AOP18" s="91"/>
      <c r="AOQ18" s="91"/>
      <c r="AOR18" s="91"/>
      <c r="AOS18" s="91"/>
      <c r="AOT18" s="91"/>
      <c r="AOU18" s="91"/>
      <c r="AOV18" s="91"/>
      <c r="AOW18" s="91"/>
      <c r="AOX18" s="91"/>
      <c r="AOY18" s="91"/>
      <c r="AOZ18" s="91"/>
      <c r="APA18" s="91"/>
      <c r="APB18" s="91"/>
      <c r="APC18" s="91"/>
      <c r="APD18" s="91"/>
      <c r="APE18" s="91"/>
      <c r="APF18" s="91"/>
      <c r="APG18" s="91"/>
      <c r="APH18" s="91"/>
      <c r="API18" s="91"/>
      <c r="APJ18" s="91"/>
      <c r="APK18" s="91"/>
      <c r="APL18" s="91"/>
      <c r="APM18" s="91"/>
      <c r="APN18" s="91"/>
      <c r="APO18" s="91"/>
      <c r="APP18" s="91"/>
      <c r="APQ18" s="91"/>
      <c r="APR18" s="91"/>
      <c r="APS18" s="91"/>
      <c r="APT18" s="91"/>
      <c r="APU18" s="91"/>
      <c r="APV18" s="91"/>
      <c r="APW18" s="91"/>
      <c r="APX18" s="91"/>
      <c r="APY18" s="91"/>
      <c r="APZ18" s="91"/>
      <c r="AQA18" s="91"/>
      <c r="AQB18" s="91"/>
      <c r="AQC18" s="91"/>
      <c r="AQD18" s="91"/>
      <c r="AQE18" s="91"/>
      <c r="AQF18" s="91"/>
      <c r="AQG18" s="91"/>
      <c r="AQH18" s="91"/>
      <c r="AQI18" s="91"/>
      <c r="AQJ18" s="91"/>
      <c r="AQK18" s="91"/>
      <c r="AQL18" s="91"/>
      <c r="AQM18" s="91"/>
      <c r="AQN18" s="91"/>
      <c r="AQO18" s="91"/>
      <c r="AQP18" s="91"/>
      <c r="AQQ18" s="91"/>
      <c r="AQR18" s="91"/>
      <c r="AQS18" s="91"/>
      <c r="AQT18" s="91"/>
      <c r="AQU18" s="91"/>
      <c r="AQV18" s="91"/>
      <c r="AQW18" s="91"/>
      <c r="AQX18" s="91"/>
      <c r="AQY18" s="91"/>
      <c r="AQZ18" s="91"/>
      <c r="ARA18" s="91"/>
      <c r="ARB18" s="91"/>
      <c r="ARC18" s="91"/>
      <c r="ARD18" s="91"/>
      <c r="ARE18" s="91"/>
      <c r="ARF18" s="91"/>
      <c r="ARG18" s="91"/>
      <c r="ARH18" s="91"/>
      <c r="ARI18" s="91"/>
      <c r="ARJ18" s="91"/>
      <c r="ARK18" s="91"/>
      <c r="ARL18" s="91"/>
      <c r="ARM18" s="91"/>
      <c r="ARN18" s="91"/>
      <c r="ARO18" s="91"/>
      <c r="ARP18" s="91"/>
      <c r="ARQ18" s="91"/>
      <c r="ARR18" s="91"/>
      <c r="ARS18" s="91"/>
      <c r="ART18" s="91"/>
      <c r="ARU18" s="91"/>
      <c r="ARV18" s="91"/>
      <c r="ARW18" s="91"/>
      <c r="ARX18" s="91"/>
      <c r="ARY18" s="91"/>
      <c r="ARZ18" s="91"/>
      <c r="ASA18" s="91"/>
      <c r="ASB18" s="91"/>
      <c r="ASC18" s="91"/>
      <c r="ASD18" s="91"/>
      <c r="ASE18" s="91"/>
      <c r="ASF18" s="91"/>
      <c r="ASG18" s="91"/>
      <c r="ASH18" s="91"/>
      <c r="ASI18" s="91"/>
      <c r="ASJ18" s="91"/>
      <c r="ASK18" s="91"/>
      <c r="ASL18" s="91"/>
      <c r="ASM18" s="91"/>
      <c r="ASN18" s="91"/>
      <c r="ASO18" s="91"/>
      <c r="ASP18" s="91"/>
      <c r="ASQ18" s="91"/>
      <c r="ASR18" s="91"/>
      <c r="ASS18" s="91"/>
      <c r="AST18" s="91"/>
      <c r="ASU18" s="91"/>
      <c r="ASV18" s="91"/>
      <c r="ASW18" s="91"/>
      <c r="ASX18" s="91"/>
      <c r="ASY18" s="91"/>
      <c r="ASZ18" s="91"/>
      <c r="ATA18" s="91"/>
      <c r="ATB18" s="91"/>
      <c r="ATC18" s="91"/>
      <c r="ATD18" s="91"/>
      <c r="ATE18" s="91"/>
      <c r="ATF18" s="91"/>
      <c r="ATG18" s="91"/>
      <c r="ATH18" s="91"/>
      <c r="ATI18" s="91"/>
      <c r="ATJ18" s="91"/>
      <c r="ATK18" s="91"/>
      <c r="ATL18" s="91"/>
      <c r="ATM18" s="91"/>
      <c r="ATN18" s="91"/>
      <c r="ATO18" s="91"/>
      <c r="ATP18" s="91"/>
      <c r="ATQ18" s="91"/>
      <c r="ATR18" s="91"/>
      <c r="ATS18" s="91"/>
      <c r="ATT18" s="91"/>
      <c r="ATU18" s="91"/>
      <c r="ATV18" s="91"/>
      <c r="ATW18" s="91"/>
      <c r="ATX18" s="91"/>
      <c r="ATY18" s="91"/>
      <c r="ATZ18" s="91"/>
      <c r="AUA18" s="91"/>
      <c r="AUB18" s="91"/>
      <c r="AUC18" s="91"/>
      <c r="AUD18" s="91"/>
      <c r="AUE18" s="91"/>
      <c r="AUF18" s="91"/>
      <c r="AUG18" s="91"/>
      <c r="AUH18" s="91"/>
      <c r="AUI18" s="91"/>
      <c r="AUJ18" s="91"/>
      <c r="AUK18" s="91"/>
      <c r="AUL18" s="91"/>
      <c r="AUM18" s="91"/>
      <c r="AUN18" s="91"/>
      <c r="AUO18" s="91"/>
      <c r="AUP18" s="91"/>
      <c r="AUQ18" s="91"/>
      <c r="AUR18" s="91"/>
      <c r="AUS18" s="91"/>
      <c r="AUT18" s="91"/>
      <c r="AUU18" s="91"/>
      <c r="AUV18" s="91"/>
      <c r="AUW18" s="91"/>
      <c r="AUX18" s="91"/>
      <c r="AUY18" s="91"/>
      <c r="AUZ18" s="91"/>
      <c r="AVA18" s="91"/>
      <c r="AVB18" s="91"/>
      <c r="AVC18" s="91"/>
      <c r="AVD18" s="91"/>
      <c r="AVE18" s="91"/>
      <c r="AVF18" s="91"/>
      <c r="AVG18" s="91"/>
      <c r="AVH18" s="91"/>
      <c r="AVI18" s="91"/>
      <c r="AVJ18" s="91"/>
      <c r="AVK18" s="91"/>
      <c r="AVL18" s="91"/>
      <c r="AVM18" s="91"/>
      <c r="AVN18" s="91"/>
      <c r="AVO18" s="91"/>
      <c r="AVP18" s="91"/>
      <c r="AVQ18" s="91"/>
      <c r="AVR18" s="91"/>
      <c r="AVS18" s="91"/>
      <c r="AVT18" s="91"/>
      <c r="AVU18" s="91"/>
      <c r="AVV18" s="91"/>
      <c r="AVW18" s="91"/>
      <c r="AVX18" s="91"/>
      <c r="AVY18" s="91"/>
      <c r="AVZ18" s="91"/>
      <c r="AWA18" s="91"/>
      <c r="AWB18" s="91"/>
      <c r="AWC18" s="91"/>
      <c r="AWD18" s="91"/>
      <c r="AWE18" s="91"/>
      <c r="AWF18" s="91"/>
      <c r="AWG18" s="91"/>
      <c r="AWH18" s="91"/>
      <c r="AWI18" s="91"/>
      <c r="AWJ18" s="91"/>
      <c r="AWK18" s="91"/>
      <c r="AWL18" s="91"/>
      <c r="AWM18" s="91"/>
      <c r="AWN18" s="91"/>
      <c r="AWO18" s="91"/>
      <c r="AWP18" s="91"/>
      <c r="AWQ18" s="91"/>
      <c r="AWR18" s="91"/>
      <c r="AWS18" s="91"/>
      <c r="AWT18" s="91"/>
      <c r="AWU18" s="91"/>
      <c r="AWV18" s="91"/>
      <c r="AWW18" s="91"/>
      <c r="AWX18" s="91"/>
      <c r="AWY18" s="91"/>
      <c r="AWZ18" s="91"/>
      <c r="AXA18" s="91"/>
      <c r="AXB18" s="91"/>
      <c r="AXC18" s="91"/>
      <c r="AXD18" s="91"/>
      <c r="AXE18" s="91"/>
      <c r="AXF18" s="91"/>
      <c r="AXG18" s="91"/>
      <c r="AXH18" s="91"/>
      <c r="AXI18" s="91"/>
      <c r="AXJ18" s="91"/>
      <c r="AXK18" s="91"/>
      <c r="AXL18" s="91"/>
      <c r="AXM18" s="91"/>
      <c r="AXN18" s="91"/>
      <c r="AXO18" s="91"/>
      <c r="AXP18" s="91"/>
      <c r="AXQ18" s="91"/>
      <c r="AXR18" s="91"/>
      <c r="AXS18" s="91"/>
      <c r="AXT18" s="91"/>
      <c r="AXU18" s="91"/>
      <c r="AXV18" s="91"/>
      <c r="AXW18" s="91"/>
      <c r="AXX18" s="91"/>
      <c r="AXY18" s="91"/>
      <c r="AXZ18" s="91"/>
      <c r="AYA18" s="91"/>
      <c r="AYB18" s="91"/>
      <c r="AYC18" s="91"/>
      <c r="AYD18" s="91"/>
      <c r="AYE18" s="91"/>
      <c r="AYF18" s="91"/>
      <c r="AYG18" s="91"/>
      <c r="AYH18" s="91"/>
      <c r="AYI18" s="91"/>
      <c r="AYJ18" s="91"/>
      <c r="AYK18" s="91"/>
      <c r="AYL18" s="91"/>
      <c r="AYM18" s="91"/>
      <c r="AYN18" s="91"/>
      <c r="AYO18" s="91"/>
      <c r="AYP18" s="91"/>
      <c r="AYQ18" s="91"/>
      <c r="AYR18" s="91"/>
      <c r="AYS18" s="91"/>
      <c r="AYT18" s="91"/>
      <c r="AYU18" s="91"/>
      <c r="AYV18" s="91"/>
      <c r="AYW18" s="91"/>
      <c r="AYX18" s="91"/>
      <c r="AYY18" s="91"/>
      <c r="AYZ18" s="91"/>
      <c r="AZA18" s="91"/>
      <c r="AZB18" s="91"/>
      <c r="AZC18" s="91"/>
      <c r="AZD18" s="91"/>
      <c r="AZE18" s="91"/>
      <c r="AZF18" s="91"/>
      <c r="AZG18" s="91"/>
      <c r="AZH18" s="91"/>
      <c r="AZI18" s="91"/>
      <c r="AZJ18" s="91"/>
      <c r="AZK18" s="91"/>
      <c r="AZL18" s="91"/>
      <c r="AZM18" s="91"/>
      <c r="AZN18" s="91"/>
      <c r="AZO18" s="91"/>
      <c r="AZP18" s="91"/>
      <c r="AZQ18" s="91"/>
      <c r="AZR18" s="91"/>
      <c r="AZS18" s="91"/>
      <c r="AZT18" s="91"/>
      <c r="AZU18" s="91"/>
      <c r="AZV18" s="91"/>
      <c r="AZW18" s="91"/>
      <c r="AZX18" s="91"/>
      <c r="AZY18" s="91"/>
      <c r="AZZ18" s="91"/>
      <c r="BAA18" s="91"/>
      <c r="BAB18" s="91"/>
      <c r="BAC18" s="91"/>
      <c r="BAD18" s="91"/>
      <c r="BAE18" s="91"/>
      <c r="BAF18" s="91"/>
      <c r="BAG18" s="91"/>
      <c r="BAH18" s="91"/>
      <c r="BAI18" s="91"/>
      <c r="BAJ18" s="91"/>
      <c r="BAK18" s="91"/>
      <c r="BAL18" s="91"/>
      <c r="BAM18" s="91"/>
      <c r="BAN18" s="91"/>
      <c r="BAO18" s="91"/>
      <c r="BAP18" s="91"/>
      <c r="BAQ18" s="91"/>
      <c r="BAR18" s="91"/>
      <c r="BAS18" s="91"/>
      <c r="BAT18" s="91"/>
      <c r="BAU18" s="91"/>
      <c r="BAV18" s="91"/>
      <c r="BAW18" s="91"/>
      <c r="BAX18" s="91"/>
      <c r="BAY18" s="91"/>
      <c r="BAZ18" s="91"/>
      <c r="BBA18" s="91"/>
      <c r="BBB18" s="91"/>
      <c r="BBC18" s="91"/>
      <c r="BBD18" s="91"/>
      <c r="BBE18" s="91"/>
      <c r="BBF18" s="91"/>
      <c r="BBG18" s="91"/>
      <c r="BBH18" s="91"/>
      <c r="BBI18" s="91"/>
      <c r="BBJ18" s="91"/>
      <c r="BBK18" s="91"/>
      <c r="BBL18" s="91"/>
      <c r="BBM18" s="91"/>
      <c r="BBN18" s="91"/>
      <c r="BBO18" s="91"/>
      <c r="BBP18" s="91"/>
      <c r="BBQ18" s="91"/>
      <c r="BBR18" s="91"/>
      <c r="BBS18" s="91"/>
      <c r="BBT18" s="91"/>
      <c r="BBU18" s="91"/>
      <c r="BBV18" s="91"/>
      <c r="BBW18" s="91"/>
      <c r="BBX18" s="91"/>
      <c r="BBY18" s="91"/>
      <c r="BBZ18" s="91"/>
      <c r="BCA18" s="91"/>
      <c r="BCB18" s="91"/>
      <c r="BCC18" s="91"/>
      <c r="BCD18" s="91"/>
      <c r="BCE18" s="91"/>
      <c r="BCF18" s="91"/>
      <c r="BCG18" s="91"/>
      <c r="BCH18" s="91"/>
      <c r="BCI18" s="91"/>
      <c r="BCJ18" s="91"/>
      <c r="BCK18" s="91"/>
      <c r="BCL18" s="91"/>
      <c r="BCM18" s="91"/>
      <c r="BCN18" s="91"/>
      <c r="BCO18" s="91"/>
      <c r="BCP18" s="91"/>
      <c r="BCQ18" s="91"/>
      <c r="BCR18" s="91"/>
      <c r="BCS18" s="91"/>
      <c r="BCT18" s="91"/>
      <c r="BCU18" s="91"/>
      <c r="BCV18" s="91"/>
      <c r="BCW18" s="91"/>
      <c r="BCX18" s="91"/>
      <c r="BCY18" s="91"/>
      <c r="BCZ18" s="91"/>
      <c r="BDA18" s="91"/>
      <c r="BDB18" s="91"/>
      <c r="BDC18" s="91"/>
      <c r="BDD18" s="91"/>
      <c r="BDE18" s="91"/>
      <c r="BDF18" s="91"/>
      <c r="BDG18" s="91"/>
      <c r="BDH18" s="91"/>
      <c r="BDI18" s="91"/>
      <c r="BDJ18" s="91"/>
      <c r="BDK18" s="91"/>
      <c r="BDL18" s="91"/>
      <c r="BDM18" s="91"/>
      <c r="BDN18" s="91"/>
      <c r="BDO18" s="91"/>
      <c r="BDP18" s="91"/>
      <c r="BDQ18" s="91"/>
      <c r="BDR18" s="91"/>
      <c r="BDS18" s="91"/>
      <c r="BDT18" s="91"/>
      <c r="BDU18" s="91"/>
      <c r="BDV18" s="91"/>
      <c r="BDW18" s="91"/>
      <c r="BDX18" s="91"/>
      <c r="BDY18" s="91"/>
      <c r="BDZ18" s="91"/>
      <c r="BEA18" s="91"/>
      <c r="BEB18" s="91"/>
      <c r="BEC18" s="91"/>
      <c r="BED18" s="91"/>
      <c r="BEE18" s="91"/>
      <c r="BEF18" s="91"/>
      <c r="BEG18" s="91"/>
      <c r="BEH18" s="91"/>
      <c r="BEI18" s="91"/>
      <c r="BEJ18" s="91"/>
      <c r="BEK18" s="91"/>
    </row>
    <row r="19" spans="1:1493" customFormat="1" x14ac:dyDescent="0.2">
      <c r="BC19" s="91"/>
      <c r="BD19" s="91"/>
      <c r="BE19" s="91"/>
      <c r="BF19" s="91"/>
      <c r="BG19" s="91"/>
      <c r="BH19" s="91"/>
      <c r="BI19" s="91"/>
      <c r="BJ19" s="91"/>
      <c r="BK19" s="91"/>
      <c r="BL19" s="91"/>
      <c r="BM19" s="91"/>
      <c r="BN19" s="91"/>
      <c r="BO19" s="91"/>
      <c r="BP19" s="91"/>
      <c r="BQ19" s="91"/>
      <c r="BR19" s="91"/>
      <c r="BS19" s="91"/>
      <c r="BT19" s="91"/>
      <c r="BU19" s="91"/>
      <c r="BV19" s="91"/>
      <c r="BW19" s="91"/>
      <c r="BX19" s="91"/>
      <c r="BY19" s="91"/>
      <c r="BZ19" s="91"/>
      <c r="CA19" s="91"/>
      <c r="CB19" s="91"/>
      <c r="CC19" s="91"/>
      <c r="CD19" s="91"/>
      <c r="CE19" s="91"/>
      <c r="CF19" s="91"/>
      <c r="CG19" s="91"/>
      <c r="CH19" s="91"/>
      <c r="CI19" s="91"/>
      <c r="CJ19" s="91"/>
      <c r="CK19" s="91"/>
      <c r="CL19" s="91"/>
      <c r="CM19" s="91"/>
      <c r="CN19" s="91"/>
      <c r="CO19" s="91"/>
      <c r="CP19" s="91"/>
      <c r="CQ19" s="91"/>
      <c r="CR19" s="91"/>
      <c r="CS19" s="91"/>
      <c r="CT19" s="91"/>
      <c r="CU19" s="91"/>
      <c r="CV19" s="91"/>
      <c r="CW19" s="91"/>
      <c r="CX19" s="91"/>
      <c r="CY19" s="91"/>
      <c r="CZ19" s="91"/>
      <c r="DA19" s="91"/>
      <c r="DB19" s="91"/>
      <c r="DC19" s="91"/>
      <c r="DD19" s="91"/>
      <c r="DE19" s="91"/>
      <c r="DF19" s="91"/>
      <c r="DG19" s="91"/>
      <c r="DH19" s="91"/>
      <c r="DI19" s="91"/>
      <c r="DJ19" s="91"/>
      <c r="DK19" s="91"/>
      <c r="DL19" s="91"/>
      <c r="DM19" s="91"/>
      <c r="DN19" s="91"/>
      <c r="DO19" s="91"/>
      <c r="DP19" s="91"/>
      <c r="DQ19" s="91"/>
      <c r="DR19" s="91"/>
      <c r="DS19" s="91"/>
      <c r="DT19" s="91"/>
      <c r="DU19" s="91"/>
      <c r="DV19" s="91"/>
      <c r="DW19" s="91"/>
      <c r="DX19" s="91"/>
      <c r="DY19" s="91"/>
      <c r="DZ19" s="91"/>
      <c r="EA19" s="91"/>
      <c r="EB19" s="91"/>
      <c r="EC19" s="91"/>
      <c r="ED19" s="91"/>
      <c r="EE19" s="91"/>
      <c r="EF19" s="91"/>
      <c r="EG19" s="91"/>
      <c r="EH19" s="91"/>
      <c r="EI19" s="91"/>
      <c r="EJ19" s="91"/>
      <c r="EK19" s="91"/>
      <c r="EL19" s="91"/>
      <c r="EM19" s="91"/>
      <c r="EN19" s="91"/>
      <c r="EO19" s="91"/>
      <c r="EP19" s="91"/>
      <c r="EQ19" s="91"/>
      <c r="ER19" s="91"/>
      <c r="ES19" s="91"/>
      <c r="ET19" s="91"/>
      <c r="EU19" s="91"/>
      <c r="EV19" s="91"/>
      <c r="EW19" s="91"/>
      <c r="EX19" s="91"/>
      <c r="EY19" s="91"/>
      <c r="EZ19" s="91"/>
      <c r="FA19" s="91"/>
      <c r="FB19" s="91"/>
      <c r="FC19" s="91"/>
      <c r="FD19" s="91"/>
      <c r="FE19" s="91"/>
      <c r="FF19" s="91"/>
      <c r="FG19" s="91"/>
      <c r="FH19" s="91"/>
      <c r="FI19" s="91"/>
      <c r="FJ19" s="91"/>
      <c r="FK19" s="91"/>
      <c r="FL19" s="91"/>
      <c r="FM19" s="91"/>
      <c r="FN19" s="91"/>
      <c r="FO19" s="91"/>
      <c r="FP19" s="91"/>
      <c r="FQ19" s="91"/>
      <c r="FR19" s="91"/>
      <c r="FS19" s="91"/>
      <c r="FT19" s="91"/>
      <c r="FU19" s="91"/>
      <c r="FV19" s="91"/>
      <c r="FW19" s="91"/>
      <c r="FX19" s="91"/>
      <c r="FY19" s="91"/>
      <c r="FZ19" s="91"/>
      <c r="GA19" s="91"/>
      <c r="GB19" s="91"/>
      <c r="GC19" s="91"/>
      <c r="GD19" s="91"/>
      <c r="GE19" s="91"/>
      <c r="GF19" s="91"/>
      <c r="GG19" s="91"/>
      <c r="GH19" s="91"/>
      <c r="GI19" s="91"/>
      <c r="GJ19" s="91"/>
      <c r="GK19" s="91"/>
      <c r="GL19" s="91"/>
      <c r="GM19" s="91"/>
      <c r="GN19" s="91"/>
      <c r="GO19" s="91"/>
      <c r="GP19" s="91"/>
      <c r="GQ19" s="91"/>
      <c r="GR19" s="91"/>
      <c r="GS19" s="91"/>
      <c r="GT19" s="91"/>
      <c r="GU19" s="91"/>
      <c r="GV19" s="91"/>
      <c r="GW19" s="91"/>
      <c r="GX19" s="91"/>
      <c r="GY19" s="91"/>
      <c r="GZ19" s="91"/>
      <c r="HA19" s="91"/>
      <c r="HB19" s="91"/>
      <c r="HC19" s="91"/>
      <c r="HD19" s="91"/>
      <c r="HE19" s="91"/>
      <c r="HF19" s="91"/>
      <c r="HG19" s="91"/>
      <c r="HH19" s="91"/>
      <c r="HI19" s="91"/>
      <c r="HJ19" s="91"/>
      <c r="HK19" s="91"/>
      <c r="HL19" s="91"/>
      <c r="HM19" s="91"/>
      <c r="HN19" s="91"/>
      <c r="HO19" s="91"/>
      <c r="HP19" s="91"/>
      <c r="HQ19" s="91"/>
      <c r="HR19" s="91"/>
      <c r="HS19" s="91"/>
      <c r="HT19" s="91"/>
      <c r="HU19" s="91"/>
      <c r="HV19" s="91"/>
      <c r="HW19" s="91"/>
      <c r="HX19" s="91"/>
      <c r="HY19" s="91"/>
      <c r="HZ19" s="91"/>
      <c r="IA19" s="91"/>
      <c r="IB19" s="91"/>
      <c r="IC19" s="91"/>
      <c r="ID19" s="91"/>
      <c r="IE19" s="91"/>
      <c r="IF19" s="91"/>
      <c r="IG19" s="91"/>
      <c r="IH19" s="91"/>
      <c r="II19" s="91"/>
      <c r="IJ19" s="91"/>
      <c r="IK19" s="91"/>
      <c r="IL19" s="91"/>
      <c r="IM19" s="91"/>
      <c r="IN19" s="91"/>
      <c r="IO19" s="91"/>
      <c r="IP19" s="91"/>
      <c r="IQ19" s="91"/>
      <c r="IR19" s="91"/>
      <c r="IS19" s="91"/>
      <c r="IT19" s="91"/>
      <c r="IU19" s="91"/>
      <c r="IV19" s="91"/>
      <c r="IW19" s="91"/>
      <c r="IX19" s="91"/>
      <c r="IY19" s="91"/>
      <c r="IZ19" s="91"/>
      <c r="JA19" s="91"/>
      <c r="JB19" s="91"/>
      <c r="JC19" s="91"/>
      <c r="JD19" s="91"/>
      <c r="JE19" s="91"/>
      <c r="JF19" s="91"/>
      <c r="JG19" s="91"/>
      <c r="JH19" s="91"/>
      <c r="JI19" s="91"/>
      <c r="JJ19" s="91"/>
      <c r="JK19" s="91"/>
      <c r="JL19" s="91"/>
      <c r="JM19" s="91"/>
      <c r="JN19" s="91"/>
      <c r="JO19" s="91"/>
      <c r="JP19" s="91"/>
      <c r="JQ19" s="91"/>
      <c r="JR19" s="91"/>
      <c r="JS19" s="91"/>
      <c r="JT19" s="91"/>
      <c r="JU19" s="91"/>
      <c r="JV19" s="91"/>
      <c r="JW19" s="91"/>
      <c r="JX19" s="91"/>
      <c r="JY19" s="91"/>
      <c r="JZ19" s="91"/>
      <c r="KA19" s="91"/>
      <c r="KB19" s="91"/>
      <c r="KC19" s="91"/>
      <c r="KD19" s="91"/>
      <c r="KE19" s="91"/>
      <c r="KF19" s="91"/>
      <c r="KG19" s="91"/>
      <c r="KH19" s="91"/>
      <c r="KI19" s="91"/>
      <c r="KJ19" s="91"/>
      <c r="KK19" s="91"/>
      <c r="KL19" s="91"/>
      <c r="KM19" s="91"/>
      <c r="KN19" s="91"/>
      <c r="KO19" s="91"/>
      <c r="KP19" s="91"/>
      <c r="KQ19" s="91"/>
      <c r="KR19" s="91"/>
      <c r="KS19" s="91"/>
      <c r="KT19" s="91"/>
      <c r="KU19" s="91"/>
      <c r="KV19" s="91"/>
      <c r="KW19" s="91"/>
      <c r="KX19" s="91"/>
      <c r="KY19" s="91"/>
      <c r="KZ19" s="91"/>
      <c r="LA19" s="91"/>
      <c r="LB19" s="91"/>
      <c r="LC19" s="91"/>
      <c r="LD19" s="91"/>
      <c r="LE19" s="91"/>
      <c r="LF19" s="91"/>
      <c r="LG19" s="91"/>
      <c r="LH19" s="91"/>
      <c r="LI19" s="91"/>
      <c r="LJ19" s="91"/>
      <c r="LK19" s="91"/>
      <c r="LL19" s="91"/>
      <c r="LM19" s="91"/>
      <c r="LN19" s="91"/>
      <c r="LO19" s="91"/>
      <c r="LP19" s="91"/>
      <c r="LQ19" s="91"/>
      <c r="LR19" s="91"/>
      <c r="LS19" s="91"/>
      <c r="LT19" s="91"/>
      <c r="LU19" s="91"/>
      <c r="LV19" s="91"/>
      <c r="LW19" s="91"/>
      <c r="LX19" s="91"/>
      <c r="LY19" s="91"/>
      <c r="LZ19" s="91"/>
      <c r="MA19" s="91"/>
      <c r="MB19" s="91"/>
      <c r="MC19" s="91"/>
      <c r="MD19" s="91"/>
      <c r="ME19" s="91"/>
      <c r="MF19" s="91"/>
      <c r="MG19" s="91"/>
      <c r="MH19" s="91"/>
      <c r="MI19" s="91"/>
      <c r="MJ19" s="91"/>
      <c r="MK19" s="91"/>
      <c r="ML19" s="91"/>
      <c r="MM19" s="91"/>
      <c r="MN19" s="91"/>
      <c r="MO19" s="91"/>
      <c r="MP19" s="91"/>
      <c r="MQ19" s="91"/>
      <c r="MR19" s="91"/>
      <c r="MS19" s="91"/>
      <c r="MT19" s="91"/>
      <c r="MU19" s="91"/>
      <c r="MV19" s="91"/>
      <c r="MW19" s="91"/>
      <c r="MX19" s="91"/>
      <c r="MY19" s="91"/>
      <c r="MZ19" s="91"/>
      <c r="NA19" s="91"/>
      <c r="NB19" s="91"/>
      <c r="NC19" s="91"/>
      <c r="ND19" s="91"/>
      <c r="NE19" s="91"/>
      <c r="NF19" s="91"/>
      <c r="NG19" s="91"/>
      <c r="NH19" s="91"/>
      <c r="NI19" s="91"/>
      <c r="NJ19" s="91"/>
      <c r="NK19" s="91"/>
      <c r="NL19" s="91"/>
      <c r="NM19" s="91"/>
      <c r="NN19" s="91"/>
      <c r="NO19" s="91"/>
      <c r="NP19" s="91"/>
      <c r="NQ19" s="91"/>
      <c r="NR19" s="91"/>
      <c r="NS19" s="91"/>
      <c r="NT19" s="91"/>
      <c r="NU19" s="91"/>
      <c r="NV19" s="91"/>
      <c r="NW19" s="91"/>
      <c r="NX19" s="91"/>
      <c r="NY19" s="91"/>
      <c r="NZ19" s="91"/>
      <c r="OA19" s="91"/>
      <c r="OB19" s="91"/>
      <c r="OC19" s="91"/>
      <c r="OD19" s="91"/>
      <c r="OE19" s="91"/>
      <c r="OF19" s="91"/>
      <c r="OG19" s="91"/>
      <c r="OH19" s="91"/>
      <c r="OI19" s="91"/>
      <c r="OJ19" s="91"/>
      <c r="OK19" s="91"/>
      <c r="OL19" s="91"/>
      <c r="OM19" s="91"/>
      <c r="ON19" s="91"/>
      <c r="OO19" s="91"/>
      <c r="OP19" s="91"/>
      <c r="OQ19" s="91"/>
      <c r="OR19" s="91"/>
      <c r="OS19" s="91"/>
      <c r="OT19" s="91"/>
      <c r="OU19" s="91"/>
      <c r="OV19" s="91"/>
      <c r="OW19" s="91"/>
      <c r="OX19" s="91"/>
      <c r="OY19" s="91"/>
      <c r="OZ19" s="91"/>
      <c r="PA19" s="91"/>
      <c r="PB19" s="91"/>
      <c r="PC19" s="91"/>
      <c r="PD19" s="91"/>
      <c r="PE19" s="91"/>
      <c r="PF19" s="91"/>
      <c r="PG19" s="91"/>
      <c r="PH19" s="91"/>
      <c r="PI19" s="91"/>
      <c r="PJ19" s="91"/>
      <c r="PK19" s="91"/>
      <c r="PL19" s="91"/>
      <c r="PM19" s="91"/>
      <c r="PN19" s="91"/>
      <c r="PO19" s="91"/>
      <c r="PP19" s="91"/>
      <c r="PQ19" s="91"/>
      <c r="PR19" s="91"/>
      <c r="PS19" s="91"/>
      <c r="PT19" s="91"/>
      <c r="PU19" s="91"/>
      <c r="PV19" s="91"/>
      <c r="PW19" s="91"/>
      <c r="PX19" s="91"/>
      <c r="PY19" s="91"/>
      <c r="PZ19" s="91"/>
      <c r="QA19" s="91"/>
      <c r="QB19" s="91"/>
      <c r="QC19" s="91"/>
      <c r="QD19" s="91"/>
      <c r="QE19" s="91"/>
      <c r="QF19" s="91"/>
      <c r="QG19" s="91"/>
      <c r="QH19" s="91"/>
      <c r="QI19" s="91"/>
      <c r="QJ19" s="91"/>
      <c r="QK19" s="91"/>
      <c r="QL19" s="91"/>
      <c r="QM19" s="91"/>
      <c r="QN19" s="91"/>
      <c r="QO19" s="91"/>
      <c r="QP19" s="91"/>
      <c r="QQ19" s="91"/>
      <c r="QR19" s="91"/>
      <c r="QS19" s="91"/>
      <c r="QT19" s="91"/>
      <c r="QU19" s="91"/>
      <c r="QV19" s="91"/>
      <c r="QW19" s="91"/>
      <c r="QX19" s="91"/>
      <c r="QY19" s="91"/>
      <c r="QZ19" s="91"/>
      <c r="RA19" s="91"/>
      <c r="RB19" s="91"/>
      <c r="RC19" s="91"/>
      <c r="RD19" s="91"/>
      <c r="RE19" s="91"/>
      <c r="RF19" s="91"/>
      <c r="RG19" s="91"/>
      <c r="RH19" s="91"/>
      <c r="RI19" s="91"/>
      <c r="RJ19" s="91"/>
      <c r="RK19" s="91"/>
      <c r="RL19" s="91"/>
      <c r="RM19" s="91"/>
      <c r="RN19" s="91"/>
      <c r="RO19" s="91"/>
      <c r="RP19" s="91"/>
      <c r="RQ19" s="91"/>
      <c r="RR19" s="91"/>
      <c r="RS19" s="91"/>
      <c r="RT19" s="91"/>
      <c r="RU19" s="91"/>
      <c r="RV19" s="91"/>
      <c r="RW19" s="91"/>
      <c r="RX19" s="91"/>
      <c r="RY19" s="91"/>
      <c r="RZ19" s="91"/>
      <c r="SA19" s="91"/>
      <c r="SB19" s="91"/>
      <c r="SC19" s="91"/>
      <c r="SD19" s="91"/>
      <c r="SE19" s="91"/>
      <c r="SF19" s="91"/>
      <c r="SG19" s="91"/>
      <c r="SH19" s="91"/>
      <c r="SI19" s="91"/>
      <c r="SJ19" s="91"/>
      <c r="SK19" s="91"/>
      <c r="SL19" s="91"/>
      <c r="SM19" s="91"/>
      <c r="SN19" s="91"/>
      <c r="SO19" s="91"/>
      <c r="SP19" s="91"/>
      <c r="SQ19" s="91"/>
      <c r="SR19" s="91"/>
      <c r="SS19" s="91"/>
      <c r="ST19" s="91"/>
      <c r="SU19" s="91"/>
      <c r="SV19" s="91"/>
      <c r="SW19" s="91"/>
      <c r="SX19" s="91"/>
      <c r="SY19" s="91"/>
      <c r="SZ19" s="91"/>
      <c r="TA19" s="91"/>
      <c r="TB19" s="91"/>
      <c r="TC19" s="91"/>
      <c r="TD19" s="91"/>
      <c r="TE19" s="91"/>
      <c r="TF19" s="91"/>
      <c r="TG19" s="91"/>
      <c r="TH19" s="91"/>
      <c r="TI19" s="91"/>
      <c r="TJ19" s="91"/>
      <c r="TK19" s="91"/>
      <c r="TL19" s="91"/>
      <c r="TM19" s="91"/>
      <c r="TN19" s="91"/>
      <c r="TO19" s="91"/>
      <c r="TP19" s="91"/>
      <c r="TQ19" s="91"/>
      <c r="TR19" s="91"/>
      <c r="TS19" s="91"/>
      <c r="TT19" s="91"/>
      <c r="TU19" s="91"/>
      <c r="TV19" s="91"/>
      <c r="TW19" s="91"/>
      <c r="TX19" s="91"/>
      <c r="TY19" s="91"/>
      <c r="TZ19" s="91"/>
      <c r="UA19" s="91"/>
      <c r="UB19" s="91"/>
      <c r="UC19" s="91"/>
      <c r="UD19" s="91"/>
      <c r="UE19" s="91"/>
      <c r="UF19" s="91"/>
      <c r="UG19" s="91"/>
      <c r="UH19" s="91"/>
      <c r="UI19" s="91"/>
      <c r="UJ19" s="91"/>
      <c r="UK19" s="91"/>
      <c r="UL19" s="91"/>
      <c r="UM19" s="91"/>
      <c r="UN19" s="91"/>
      <c r="UO19" s="91"/>
      <c r="UP19" s="91"/>
      <c r="UQ19" s="91"/>
      <c r="UR19" s="91"/>
      <c r="US19" s="91"/>
      <c r="UT19" s="91"/>
      <c r="UU19" s="91"/>
      <c r="UV19" s="91"/>
      <c r="UW19" s="91"/>
      <c r="UX19" s="91"/>
      <c r="UY19" s="91"/>
      <c r="UZ19" s="91"/>
      <c r="VA19" s="91"/>
      <c r="VB19" s="91"/>
      <c r="VC19" s="91"/>
      <c r="VD19" s="91"/>
      <c r="VE19" s="91"/>
      <c r="VF19" s="91"/>
      <c r="VG19" s="91"/>
      <c r="VH19" s="91"/>
      <c r="VI19" s="91"/>
      <c r="VJ19" s="91"/>
      <c r="VK19" s="91"/>
      <c r="VL19" s="91"/>
      <c r="VM19" s="91"/>
      <c r="VN19" s="91"/>
      <c r="VO19" s="91"/>
      <c r="VP19" s="91"/>
      <c r="VQ19" s="91"/>
      <c r="VR19" s="91"/>
      <c r="VS19" s="91"/>
      <c r="VT19" s="91"/>
      <c r="VU19" s="91"/>
      <c r="VV19" s="91"/>
      <c r="VW19" s="91"/>
      <c r="VX19" s="91"/>
      <c r="VY19" s="91"/>
      <c r="VZ19" s="91"/>
      <c r="WA19" s="91"/>
      <c r="WB19" s="91"/>
      <c r="WC19" s="91"/>
      <c r="WD19" s="91"/>
      <c r="WE19" s="91"/>
      <c r="WF19" s="91"/>
      <c r="WG19" s="91"/>
      <c r="WH19" s="91"/>
      <c r="WI19" s="91"/>
      <c r="WJ19" s="91"/>
      <c r="WK19" s="91"/>
      <c r="WL19" s="91"/>
      <c r="WM19" s="91"/>
      <c r="WN19" s="91"/>
      <c r="WO19" s="91"/>
      <c r="WP19" s="91"/>
      <c r="WQ19" s="91"/>
      <c r="WR19" s="91"/>
      <c r="WS19" s="91"/>
      <c r="WT19" s="91"/>
      <c r="WU19" s="91"/>
      <c r="WV19" s="91"/>
      <c r="WW19" s="91"/>
      <c r="WX19" s="91"/>
      <c r="WY19" s="91"/>
      <c r="WZ19" s="91"/>
      <c r="XA19" s="91"/>
      <c r="XB19" s="91"/>
      <c r="XC19" s="91"/>
      <c r="XD19" s="91"/>
      <c r="XE19" s="91"/>
      <c r="XF19" s="91"/>
      <c r="XG19" s="91"/>
      <c r="XH19" s="91"/>
      <c r="XI19" s="91"/>
      <c r="XJ19" s="91"/>
      <c r="XK19" s="91"/>
      <c r="XL19" s="91"/>
      <c r="XM19" s="91"/>
      <c r="XN19" s="91"/>
      <c r="XO19" s="91"/>
      <c r="XP19" s="91"/>
      <c r="XQ19" s="91"/>
      <c r="XR19" s="91"/>
      <c r="XS19" s="91"/>
      <c r="XT19" s="91"/>
      <c r="XU19" s="91"/>
      <c r="XV19" s="91"/>
      <c r="XW19" s="91"/>
      <c r="XX19" s="91"/>
      <c r="XY19" s="91"/>
      <c r="XZ19" s="91"/>
      <c r="YA19" s="91"/>
      <c r="YB19" s="91"/>
      <c r="YC19" s="91"/>
      <c r="YD19" s="91"/>
      <c r="YE19" s="91"/>
      <c r="YF19" s="91"/>
      <c r="YG19" s="91"/>
      <c r="YH19" s="91"/>
      <c r="YI19" s="91"/>
      <c r="YJ19" s="91"/>
      <c r="YK19" s="91"/>
      <c r="YL19" s="91"/>
      <c r="YM19" s="91"/>
      <c r="YN19" s="91"/>
      <c r="YO19" s="91"/>
      <c r="YP19" s="91"/>
      <c r="YQ19" s="91"/>
      <c r="YR19" s="91"/>
      <c r="YS19" s="91"/>
      <c r="YT19" s="91"/>
      <c r="YU19" s="91"/>
      <c r="YV19" s="91"/>
      <c r="YW19" s="91"/>
      <c r="YX19" s="91"/>
      <c r="YY19" s="91"/>
      <c r="YZ19" s="91"/>
      <c r="ZA19" s="91"/>
      <c r="ZB19" s="91"/>
      <c r="ZC19" s="91"/>
      <c r="ZD19" s="91"/>
      <c r="ZE19" s="91"/>
      <c r="ZF19" s="91"/>
      <c r="ZG19" s="91"/>
      <c r="ZH19" s="91"/>
      <c r="ZI19" s="91"/>
      <c r="ZJ19" s="91"/>
      <c r="ZK19" s="91"/>
      <c r="ZL19" s="91"/>
      <c r="ZM19" s="91"/>
      <c r="ZN19" s="91"/>
      <c r="ZO19" s="91"/>
      <c r="ZP19" s="91"/>
      <c r="ZQ19" s="91"/>
      <c r="ZR19" s="91"/>
      <c r="ZS19" s="91"/>
      <c r="ZT19" s="91"/>
      <c r="ZU19" s="91"/>
      <c r="ZV19" s="91"/>
      <c r="ZW19" s="91"/>
      <c r="ZX19" s="91"/>
      <c r="ZY19" s="91"/>
      <c r="ZZ19" s="91"/>
      <c r="AAA19" s="91"/>
      <c r="AAB19" s="91"/>
      <c r="AAC19" s="91"/>
      <c r="AAD19" s="91"/>
      <c r="AAE19" s="91"/>
      <c r="AAF19" s="91"/>
      <c r="AAG19" s="91"/>
      <c r="AAH19" s="91"/>
      <c r="AAI19" s="91"/>
      <c r="AAJ19" s="91"/>
      <c r="AAK19" s="91"/>
      <c r="AAL19" s="91"/>
      <c r="AAM19" s="91"/>
      <c r="AAN19" s="91"/>
      <c r="AAO19" s="91"/>
      <c r="AAP19" s="91"/>
      <c r="AAQ19" s="91"/>
      <c r="AAR19" s="91"/>
      <c r="AAS19" s="91"/>
      <c r="AAT19" s="91"/>
      <c r="AAU19" s="91"/>
      <c r="AAV19" s="91"/>
      <c r="AAW19" s="91"/>
      <c r="AAX19" s="91"/>
      <c r="AAY19" s="91"/>
      <c r="AAZ19" s="91"/>
      <c r="ABA19" s="91"/>
      <c r="ABB19" s="91"/>
      <c r="ABC19" s="91"/>
      <c r="ABD19" s="91"/>
      <c r="ABE19" s="91"/>
      <c r="ABF19" s="91"/>
      <c r="ABG19" s="91"/>
      <c r="ABH19" s="91"/>
      <c r="ABI19" s="91"/>
      <c r="ABJ19" s="91"/>
      <c r="ABK19" s="91"/>
      <c r="ABL19" s="91"/>
      <c r="ABM19" s="91"/>
      <c r="ABN19" s="91"/>
      <c r="ABO19" s="91"/>
      <c r="ABP19" s="91"/>
      <c r="ABQ19" s="91"/>
      <c r="ABR19" s="91"/>
      <c r="ABS19" s="91"/>
      <c r="ABT19" s="91"/>
      <c r="ABU19" s="91"/>
      <c r="ABV19" s="91"/>
      <c r="ABW19" s="91"/>
      <c r="ABX19" s="91"/>
      <c r="ABY19" s="91"/>
      <c r="ABZ19" s="91"/>
      <c r="ACA19" s="91"/>
      <c r="ACB19" s="91"/>
      <c r="ACC19" s="91"/>
      <c r="ACD19" s="91"/>
      <c r="ACE19" s="91"/>
      <c r="ACF19" s="91"/>
      <c r="ACG19" s="91"/>
      <c r="ACH19" s="91"/>
      <c r="ACI19" s="91"/>
      <c r="ACJ19" s="91"/>
      <c r="ACK19" s="91"/>
      <c r="ACL19" s="91"/>
      <c r="ACM19" s="91"/>
      <c r="ACN19" s="91"/>
      <c r="ACO19" s="91"/>
      <c r="ACP19" s="91"/>
      <c r="ACQ19" s="91"/>
      <c r="ACR19" s="91"/>
      <c r="ACS19" s="91"/>
      <c r="ACT19" s="91"/>
      <c r="ACU19" s="91"/>
      <c r="ACV19" s="91"/>
      <c r="ACW19" s="91"/>
      <c r="ACX19" s="91"/>
      <c r="ACY19" s="91"/>
      <c r="ACZ19" s="91"/>
      <c r="ADA19" s="91"/>
      <c r="ADB19" s="91"/>
      <c r="ADC19" s="91"/>
      <c r="ADD19" s="91"/>
      <c r="ADE19" s="91"/>
      <c r="ADF19" s="91"/>
      <c r="ADG19" s="91"/>
      <c r="ADH19" s="91"/>
      <c r="ADI19" s="91"/>
      <c r="ADJ19" s="91"/>
      <c r="ADK19" s="91"/>
      <c r="ADL19" s="91"/>
      <c r="ADM19" s="91"/>
      <c r="ADN19" s="91"/>
      <c r="ADO19" s="91"/>
      <c r="ADP19" s="91"/>
      <c r="ADQ19" s="91"/>
      <c r="ADR19" s="91"/>
      <c r="ADS19" s="91"/>
      <c r="ADT19" s="91"/>
      <c r="ADU19" s="91"/>
      <c r="ADV19" s="91"/>
      <c r="ADW19" s="91"/>
      <c r="ADX19" s="91"/>
      <c r="ADY19" s="91"/>
      <c r="ADZ19" s="91"/>
      <c r="AEA19" s="91"/>
      <c r="AEB19" s="91"/>
      <c r="AEC19" s="91"/>
      <c r="AED19" s="91"/>
      <c r="AEE19" s="91"/>
      <c r="AEF19" s="91"/>
      <c r="AEG19" s="91"/>
      <c r="AEH19" s="91"/>
      <c r="AEI19" s="91"/>
      <c r="AEJ19" s="91"/>
      <c r="AEK19" s="91"/>
      <c r="AEL19" s="91"/>
      <c r="AEM19" s="91"/>
      <c r="AEN19" s="91"/>
      <c r="AEO19" s="91"/>
      <c r="AEP19" s="91"/>
      <c r="AEQ19" s="91"/>
      <c r="AER19" s="91"/>
      <c r="AES19" s="91"/>
      <c r="AET19" s="91"/>
      <c r="AEU19" s="91"/>
      <c r="AEV19" s="91"/>
      <c r="AEW19" s="91"/>
      <c r="AEX19" s="91"/>
      <c r="AEY19" s="91"/>
      <c r="AEZ19" s="91"/>
      <c r="AFA19" s="91"/>
      <c r="AFB19" s="91"/>
      <c r="AFC19" s="91"/>
      <c r="AFD19" s="91"/>
      <c r="AFE19" s="91"/>
      <c r="AFF19" s="91"/>
      <c r="AFG19" s="91"/>
      <c r="AFH19" s="91"/>
      <c r="AFI19" s="91"/>
      <c r="AFJ19" s="91"/>
      <c r="AFK19" s="91"/>
      <c r="AFL19" s="91"/>
      <c r="AFM19" s="91"/>
      <c r="AFN19" s="91"/>
      <c r="AFO19" s="91"/>
      <c r="AFP19" s="91"/>
      <c r="AFQ19" s="91"/>
      <c r="AFR19" s="91"/>
      <c r="AFS19" s="91"/>
      <c r="AFT19" s="91"/>
      <c r="AFU19" s="91"/>
      <c r="AFV19" s="91"/>
      <c r="AFW19" s="91"/>
      <c r="AFX19" s="91"/>
      <c r="AFY19" s="91"/>
      <c r="AFZ19" s="91"/>
      <c r="AGA19" s="91"/>
      <c r="AGB19" s="91"/>
      <c r="AGC19" s="91"/>
      <c r="AGD19" s="91"/>
      <c r="AGE19" s="91"/>
      <c r="AGF19" s="91"/>
      <c r="AGG19" s="91"/>
      <c r="AGH19" s="91"/>
      <c r="AGI19" s="91"/>
      <c r="AGJ19" s="91"/>
      <c r="AGK19" s="91"/>
      <c r="AGL19" s="91"/>
      <c r="AGM19" s="91"/>
      <c r="AGN19" s="91"/>
      <c r="AGO19" s="91"/>
      <c r="AGP19" s="91"/>
      <c r="AGQ19" s="91"/>
      <c r="AGR19" s="91"/>
      <c r="AGS19" s="91"/>
      <c r="AGT19" s="91"/>
      <c r="AGU19" s="91"/>
      <c r="AGV19" s="91"/>
      <c r="AGW19" s="91"/>
      <c r="AGX19" s="91"/>
      <c r="AGY19" s="91"/>
      <c r="AGZ19" s="91"/>
      <c r="AHA19" s="91"/>
      <c r="AHB19" s="91"/>
      <c r="AHC19" s="91"/>
      <c r="AHD19" s="91"/>
      <c r="AHE19" s="91"/>
      <c r="AHF19" s="91"/>
      <c r="AHG19" s="91"/>
      <c r="AHH19" s="91"/>
      <c r="AHI19" s="91"/>
      <c r="AHJ19" s="91"/>
      <c r="AHK19" s="91"/>
      <c r="AHL19" s="91"/>
      <c r="AHM19" s="91"/>
      <c r="AHN19" s="91"/>
      <c r="AHO19" s="91"/>
      <c r="AHP19" s="91"/>
      <c r="AHQ19" s="91"/>
      <c r="AHR19" s="91"/>
      <c r="AHS19" s="91"/>
      <c r="AHT19" s="91"/>
      <c r="AHU19" s="91"/>
      <c r="AHV19" s="91"/>
      <c r="AHW19" s="91"/>
      <c r="AHX19" s="91"/>
      <c r="AHY19" s="91"/>
      <c r="AHZ19" s="91"/>
      <c r="AIA19" s="91"/>
      <c r="AIB19" s="91"/>
      <c r="AIC19" s="91"/>
      <c r="AID19" s="91"/>
      <c r="AIE19" s="91"/>
      <c r="AIF19" s="91"/>
      <c r="AIG19" s="91"/>
      <c r="AIH19" s="91"/>
      <c r="AII19" s="91"/>
      <c r="AIJ19" s="91"/>
      <c r="AIK19" s="91"/>
      <c r="AIL19" s="91"/>
      <c r="AIM19" s="91"/>
      <c r="AIN19" s="91"/>
      <c r="AIO19" s="91"/>
      <c r="AIP19" s="91"/>
      <c r="AIQ19" s="91"/>
      <c r="AIR19" s="91"/>
      <c r="AIS19" s="91"/>
      <c r="AIT19" s="91"/>
      <c r="AIU19" s="91"/>
      <c r="AIV19" s="91"/>
      <c r="AIW19" s="91"/>
      <c r="AIX19" s="91"/>
      <c r="AIY19" s="91"/>
      <c r="AIZ19" s="91"/>
      <c r="AJA19" s="91"/>
      <c r="AJB19" s="91"/>
      <c r="AJC19" s="91"/>
      <c r="AJD19" s="91"/>
      <c r="AJE19" s="91"/>
      <c r="AJF19" s="91"/>
      <c r="AJG19" s="91"/>
      <c r="AJH19" s="91"/>
      <c r="AJI19" s="91"/>
      <c r="AJJ19" s="91"/>
      <c r="AJK19" s="91"/>
      <c r="AJL19" s="91"/>
      <c r="AJM19" s="91"/>
      <c r="AJN19" s="91"/>
      <c r="AJO19" s="91"/>
      <c r="AJP19" s="91"/>
      <c r="AJQ19" s="91"/>
      <c r="AJR19" s="91"/>
      <c r="AJS19" s="91"/>
      <c r="AJT19" s="91"/>
      <c r="AJU19" s="91"/>
      <c r="AJV19" s="91"/>
      <c r="AJW19" s="91"/>
      <c r="AJX19" s="91"/>
      <c r="AJY19" s="91"/>
      <c r="AJZ19" s="91"/>
      <c r="AKA19" s="91"/>
      <c r="AKB19" s="91"/>
      <c r="AKC19" s="91"/>
      <c r="AKD19" s="91"/>
      <c r="AKE19" s="91"/>
      <c r="AKF19" s="91"/>
      <c r="AKG19" s="91"/>
      <c r="AKH19" s="91"/>
      <c r="AKI19" s="91"/>
      <c r="AKJ19" s="91"/>
      <c r="AKK19" s="91"/>
      <c r="AKL19" s="91"/>
      <c r="AKM19" s="91"/>
      <c r="AKN19" s="91"/>
      <c r="AKO19" s="91"/>
      <c r="AKP19" s="91"/>
      <c r="AKQ19" s="91"/>
      <c r="AKR19" s="91"/>
      <c r="AKS19" s="91"/>
      <c r="AKT19" s="91"/>
      <c r="AKU19" s="91"/>
      <c r="AKV19" s="91"/>
      <c r="AKW19" s="91"/>
      <c r="AKX19" s="91"/>
      <c r="AKY19" s="91"/>
      <c r="AKZ19" s="91"/>
      <c r="ALA19" s="91"/>
      <c r="ALB19" s="91"/>
      <c r="ALC19" s="91"/>
      <c r="ALD19" s="91"/>
      <c r="ALE19" s="91"/>
      <c r="ALF19" s="91"/>
      <c r="ALG19" s="91"/>
      <c r="ALH19" s="91"/>
      <c r="ALI19" s="91"/>
      <c r="ALJ19" s="91"/>
      <c r="ALK19" s="91"/>
      <c r="ALL19" s="91"/>
      <c r="ALM19" s="91"/>
      <c r="ALN19" s="91"/>
      <c r="ALO19" s="91"/>
      <c r="ALP19" s="91"/>
      <c r="ALQ19" s="91"/>
      <c r="ALR19" s="91"/>
      <c r="ALS19" s="91"/>
      <c r="ALT19" s="91"/>
      <c r="ALU19" s="91"/>
      <c r="ALV19" s="91"/>
      <c r="ALW19" s="91"/>
      <c r="ALX19" s="91"/>
      <c r="ALY19" s="91"/>
      <c r="ALZ19" s="91"/>
      <c r="AMA19" s="91"/>
      <c r="AMB19" s="91"/>
      <c r="AMC19" s="91"/>
      <c r="AMD19" s="91"/>
      <c r="AME19" s="91"/>
      <c r="AMF19" s="91"/>
      <c r="AMG19" s="91"/>
      <c r="AMH19" s="91"/>
      <c r="AMI19" s="91"/>
      <c r="AMJ19" s="91"/>
      <c r="AMK19" s="91"/>
      <c r="AML19" s="91"/>
      <c r="AMM19" s="91"/>
      <c r="AMN19" s="91"/>
      <c r="AMO19" s="91"/>
      <c r="AMP19" s="91"/>
      <c r="AMQ19" s="91"/>
      <c r="AMR19" s="91"/>
      <c r="AMS19" s="91"/>
      <c r="AMT19" s="91"/>
      <c r="AMU19" s="91"/>
      <c r="AMV19" s="91"/>
      <c r="AMW19" s="91"/>
      <c r="AMX19" s="91"/>
      <c r="AMY19" s="91"/>
      <c r="AMZ19" s="91"/>
      <c r="ANA19" s="91"/>
      <c r="ANB19" s="91"/>
      <c r="ANC19" s="91"/>
      <c r="AND19" s="91"/>
      <c r="ANE19" s="91"/>
      <c r="ANF19" s="91"/>
      <c r="ANG19" s="91"/>
      <c r="ANH19" s="91"/>
      <c r="ANI19" s="91"/>
      <c r="ANJ19" s="91"/>
      <c r="ANK19" s="91"/>
      <c r="ANL19" s="91"/>
      <c r="ANM19" s="91"/>
      <c r="ANN19" s="91"/>
      <c r="ANO19" s="91"/>
      <c r="ANP19" s="91"/>
      <c r="ANQ19" s="91"/>
      <c r="ANR19" s="91"/>
      <c r="ANS19" s="91"/>
      <c r="ANT19" s="91"/>
      <c r="ANU19" s="91"/>
      <c r="ANV19" s="91"/>
      <c r="ANW19" s="91"/>
      <c r="ANX19" s="91"/>
      <c r="ANY19" s="91"/>
      <c r="ANZ19" s="91"/>
      <c r="AOA19" s="91"/>
      <c r="AOB19" s="91"/>
      <c r="AOC19" s="91"/>
      <c r="AOD19" s="91"/>
      <c r="AOE19" s="91"/>
      <c r="AOF19" s="91"/>
      <c r="AOG19" s="91"/>
      <c r="AOH19" s="91"/>
      <c r="AOI19" s="91"/>
      <c r="AOJ19" s="91"/>
      <c r="AOK19" s="91"/>
      <c r="AOL19" s="91"/>
      <c r="AOM19" s="91"/>
      <c r="AON19" s="91"/>
      <c r="AOO19" s="91"/>
      <c r="AOP19" s="91"/>
      <c r="AOQ19" s="91"/>
      <c r="AOR19" s="91"/>
      <c r="AOS19" s="91"/>
      <c r="AOT19" s="91"/>
      <c r="AOU19" s="91"/>
      <c r="AOV19" s="91"/>
      <c r="AOW19" s="91"/>
      <c r="AOX19" s="91"/>
      <c r="AOY19" s="91"/>
      <c r="AOZ19" s="91"/>
      <c r="APA19" s="91"/>
      <c r="APB19" s="91"/>
      <c r="APC19" s="91"/>
      <c r="APD19" s="91"/>
      <c r="APE19" s="91"/>
      <c r="APF19" s="91"/>
      <c r="APG19" s="91"/>
      <c r="APH19" s="91"/>
      <c r="API19" s="91"/>
      <c r="APJ19" s="91"/>
      <c r="APK19" s="91"/>
      <c r="APL19" s="91"/>
      <c r="APM19" s="91"/>
      <c r="APN19" s="91"/>
      <c r="APO19" s="91"/>
      <c r="APP19" s="91"/>
      <c r="APQ19" s="91"/>
      <c r="APR19" s="91"/>
      <c r="APS19" s="91"/>
      <c r="APT19" s="91"/>
      <c r="APU19" s="91"/>
      <c r="APV19" s="91"/>
      <c r="APW19" s="91"/>
      <c r="APX19" s="91"/>
      <c r="APY19" s="91"/>
      <c r="APZ19" s="91"/>
      <c r="AQA19" s="91"/>
      <c r="AQB19" s="91"/>
      <c r="AQC19" s="91"/>
      <c r="AQD19" s="91"/>
      <c r="AQE19" s="91"/>
      <c r="AQF19" s="91"/>
      <c r="AQG19" s="91"/>
      <c r="AQH19" s="91"/>
      <c r="AQI19" s="91"/>
      <c r="AQJ19" s="91"/>
      <c r="AQK19" s="91"/>
      <c r="AQL19" s="91"/>
      <c r="AQM19" s="91"/>
      <c r="AQN19" s="91"/>
      <c r="AQO19" s="91"/>
      <c r="AQP19" s="91"/>
      <c r="AQQ19" s="91"/>
      <c r="AQR19" s="91"/>
      <c r="AQS19" s="91"/>
      <c r="AQT19" s="91"/>
      <c r="AQU19" s="91"/>
      <c r="AQV19" s="91"/>
      <c r="AQW19" s="91"/>
      <c r="AQX19" s="91"/>
      <c r="AQY19" s="91"/>
      <c r="AQZ19" s="91"/>
      <c r="ARA19" s="91"/>
      <c r="ARB19" s="91"/>
      <c r="ARC19" s="91"/>
      <c r="ARD19" s="91"/>
      <c r="ARE19" s="91"/>
      <c r="ARF19" s="91"/>
      <c r="ARG19" s="91"/>
      <c r="ARH19" s="91"/>
      <c r="ARI19" s="91"/>
      <c r="ARJ19" s="91"/>
      <c r="ARK19" s="91"/>
      <c r="ARL19" s="91"/>
      <c r="ARM19" s="91"/>
      <c r="ARN19" s="91"/>
      <c r="ARO19" s="91"/>
      <c r="ARP19" s="91"/>
      <c r="ARQ19" s="91"/>
      <c r="ARR19" s="91"/>
      <c r="ARS19" s="91"/>
      <c r="ART19" s="91"/>
      <c r="ARU19" s="91"/>
      <c r="ARV19" s="91"/>
      <c r="ARW19" s="91"/>
      <c r="ARX19" s="91"/>
      <c r="ARY19" s="91"/>
      <c r="ARZ19" s="91"/>
      <c r="ASA19" s="91"/>
      <c r="ASB19" s="91"/>
      <c r="ASC19" s="91"/>
      <c r="ASD19" s="91"/>
      <c r="ASE19" s="91"/>
      <c r="ASF19" s="91"/>
      <c r="ASG19" s="91"/>
      <c r="ASH19" s="91"/>
      <c r="ASI19" s="91"/>
      <c r="ASJ19" s="91"/>
      <c r="ASK19" s="91"/>
      <c r="ASL19" s="91"/>
      <c r="ASM19" s="91"/>
      <c r="ASN19" s="91"/>
      <c r="ASO19" s="91"/>
      <c r="ASP19" s="91"/>
      <c r="ASQ19" s="91"/>
      <c r="ASR19" s="91"/>
      <c r="ASS19" s="91"/>
      <c r="AST19" s="91"/>
      <c r="ASU19" s="91"/>
      <c r="ASV19" s="91"/>
      <c r="ASW19" s="91"/>
      <c r="ASX19" s="91"/>
      <c r="ASY19" s="91"/>
      <c r="ASZ19" s="91"/>
      <c r="ATA19" s="91"/>
      <c r="ATB19" s="91"/>
      <c r="ATC19" s="91"/>
      <c r="ATD19" s="91"/>
      <c r="ATE19" s="91"/>
      <c r="ATF19" s="91"/>
      <c r="ATG19" s="91"/>
      <c r="ATH19" s="91"/>
      <c r="ATI19" s="91"/>
      <c r="ATJ19" s="91"/>
      <c r="ATK19" s="91"/>
      <c r="ATL19" s="91"/>
      <c r="ATM19" s="91"/>
      <c r="ATN19" s="91"/>
      <c r="ATO19" s="91"/>
      <c r="ATP19" s="91"/>
      <c r="ATQ19" s="91"/>
      <c r="ATR19" s="91"/>
      <c r="ATS19" s="91"/>
      <c r="ATT19" s="91"/>
      <c r="ATU19" s="91"/>
      <c r="ATV19" s="91"/>
      <c r="ATW19" s="91"/>
      <c r="ATX19" s="91"/>
      <c r="ATY19" s="91"/>
      <c r="ATZ19" s="91"/>
      <c r="AUA19" s="91"/>
      <c r="AUB19" s="91"/>
      <c r="AUC19" s="91"/>
      <c r="AUD19" s="91"/>
      <c r="AUE19" s="91"/>
      <c r="AUF19" s="91"/>
      <c r="AUG19" s="91"/>
      <c r="AUH19" s="91"/>
      <c r="AUI19" s="91"/>
      <c r="AUJ19" s="91"/>
      <c r="AUK19" s="91"/>
      <c r="AUL19" s="91"/>
      <c r="AUM19" s="91"/>
      <c r="AUN19" s="91"/>
      <c r="AUO19" s="91"/>
      <c r="AUP19" s="91"/>
      <c r="AUQ19" s="91"/>
      <c r="AUR19" s="91"/>
      <c r="AUS19" s="91"/>
      <c r="AUT19" s="91"/>
      <c r="AUU19" s="91"/>
      <c r="AUV19" s="91"/>
      <c r="AUW19" s="91"/>
      <c r="AUX19" s="91"/>
      <c r="AUY19" s="91"/>
      <c r="AUZ19" s="91"/>
      <c r="AVA19" s="91"/>
      <c r="AVB19" s="91"/>
      <c r="AVC19" s="91"/>
      <c r="AVD19" s="91"/>
      <c r="AVE19" s="91"/>
      <c r="AVF19" s="91"/>
      <c r="AVG19" s="91"/>
      <c r="AVH19" s="91"/>
      <c r="AVI19" s="91"/>
      <c r="AVJ19" s="91"/>
      <c r="AVK19" s="91"/>
      <c r="AVL19" s="91"/>
      <c r="AVM19" s="91"/>
      <c r="AVN19" s="91"/>
      <c r="AVO19" s="91"/>
      <c r="AVP19" s="91"/>
      <c r="AVQ19" s="91"/>
      <c r="AVR19" s="91"/>
      <c r="AVS19" s="91"/>
      <c r="AVT19" s="91"/>
      <c r="AVU19" s="91"/>
      <c r="AVV19" s="91"/>
      <c r="AVW19" s="91"/>
      <c r="AVX19" s="91"/>
      <c r="AVY19" s="91"/>
      <c r="AVZ19" s="91"/>
      <c r="AWA19" s="91"/>
      <c r="AWB19" s="91"/>
      <c r="AWC19" s="91"/>
      <c r="AWD19" s="91"/>
      <c r="AWE19" s="91"/>
      <c r="AWF19" s="91"/>
      <c r="AWG19" s="91"/>
      <c r="AWH19" s="91"/>
      <c r="AWI19" s="91"/>
      <c r="AWJ19" s="91"/>
      <c r="AWK19" s="91"/>
      <c r="AWL19" s="91"/>
      <c r="AWM19" s="91"/>
      <c r="AWN19" s="91"/>
      <c r="AWO19" s="91"/>
      <c r="AWP19" s="91"/>
      <c r="AWQ19" s="91"/>
      <c r="AWR19" s="91"/>
      <c r="AWS19" s="91"/>
      <c r="AWT19" s="91"/>
      <c r="AWU19" s="91"/>
      <c r="AWV19" s="91"/>
      <c r="AWW19" s="91"/>
      <c r="AWX19" s="91"/>
      <c r="AWY19" s="91"/>
      <c r="AWZ19" s="91"/>
      <c r="AXA19" s="91"/>
      <c r="AXB19" s="91"/>
      <c r="AXC19" s="91"/>
      <c r="AXD19" s="91"/>
      <c r="AXE19" s="91"/>
      <c r="AXF19" s="91"/>
      <c r="AXG19" s="91"/>
      <c r="AXH19" s="91"/>
      <c r="AXI19" s="91"/>
      <c r="AXJ19" s="91"/>
      <c r="AXK19" s="91"/>
      <c r="AXL19" s="91"/>
      <c r="AXM19" s="91"/>
      <c r="AXN19" s="91"/>
      <c r="AXO19" s="91"/>
      <c r="AXP19" s="91"/>
      <c r="AXQ19" s="91"/>
      <c r="AXR19" s="91"/>
      <c r="AXS19" s="91"/>
      <c r="AXT19" s="91"/>
      <c r="AXU19" s="91"/>
      <c r="AXV19" s="91"/>
      <c r="AXW19" s="91"/>
      <c r="AXX19" s="91"/>
      <c r="AXY19" s="91"/>
      <c r="AXZ19" s="91"/>
      <c r="AYA19" s="91"/>
      <c r="AYB19" s="91"/>
      <c r="AYC19" s="91"/>
      <c r="AYD19" s="91"/>
      <c r="AYE19" s="91"/>
      <c r="AYF19" s="91"/>
      <c r="AYG19" s="91"/>
      <c r="AYH19" s="91"/>
      <c r="AYI19" s="91"/>
      <c r="AYJ19" s="91"/>
      <c r="AYK19" s="91"/>
      <c r="AYL19" s="91"/>
      <c r="AYM19" s="91"/>
      <c r="AYN19" s="91"/>
      <c r="AYO19" s="91"/>
      <c r="AYP19" s="91"/>
      <c r="AYQ19" s="91"/>
      <c r="AYR19" s="91"/>
      <c r="AYS19" s="91"/>
      <c r="AYT19" s="91"/>
      <c r="AYU19" s="91"/>
      <c r="AYV19" s="91"/>
      <c r="AYW19" s="91"/>
      <c r="AYX19" s="91"/>
      <c r="AYY19" s="91"/>
      <c r="AYZ19" s="91"/>
      <c r="AZA19" s="91"/>
      <c r="AZB19" s="91"/>
      <c r="AZC19" s="91"/>
      <c r="AZD19" s="91"/>
      <c r="AZE19" s="91"/>
      <c r="AZF19" s="91"/>
      <c r="AZG19" s="91"/>
      <c r="AZH19" s="91"/>
      <c r="AZI19" s="91"/>
      <c r="AZJ19" s="91"/>
      <c r="AZK19" s="91"/>
      <c r="AZL19" s="91"/>
      <c r="AZM19" s="91"/>
      <c r="AZN19" s="91"/>
      <c r="AZO19" s="91"/>
      <c r="AZP19" s="91"/>
      <c r="AZQ19" s="91"/>
      <c r="AZR19" s="91"/>
      <c r="AZS19" s="91"/>
      <c r="AZT19" s="91"/>
      <c r="AZU19" s="91"/>
      <c r="AZV19" s="91"/>
      <c r="AZW19" s="91"/>
      <c r="AZX19" s="91"/>
      <c r="AZY19" s="91"/>
      <c r="AZZ19" s="91"/>
      <c r="BAA19" s="91"/>
      <c r="BAB19" s="91"/>
      <c r="BAC19" s="91"/>
      <c r="BAD19" s="91"/>
      <c r="BAE19" s="91"/>
      <c r="BAF19" s="91"/>
      <c r="BAG19" s="91"/>
      <c r="BAH19" s="91"/>
      <c r="BAI19" s="91"/>
      <c r="BAJ19" s="91"/>
      <c r="BAK19" s="91"/>
      <c r="BAL19" s="91"/>
      <c r="BAM19" s="91"/>
      <c r="BAN19" s="91"/>
      <c r="BAO19" s="91"/>
      <c r="BAP19" s="91"/>
      <c r="BAQ19" s="91"/>
      <c r="BAR19" s="91"/>
      <c r="BAS19" s="91"/>
      <c r="BAT19" s="91"/>
      <c r="BAU19" s="91"/>
      <c r="BAV19" s="91"/>
      <c r="BAW19" s="91"/>
      <c r="BAX19" s="91"/>
      <c r="BAY19" s="91"/>
      <c r="BAZ19" s="91"/>
      <c r="BBA19" s="91"/>
      <c r="BBB19" s="91"/>
      <c r="BBC19" s="91"/>
      <c r="BBD19" s="91"/>
      <c r="BBE19" s="91"/>
      <c r="BBF19" s="91"/>
      <c r="BBG19" s="91"/>
      <c r="BBH19" s="91"/>
      <c r="BBI19" s="91"/>
      <c r="BBJ19" s="91"/>
      <c r="BBK19" s="91"/>
      <c r="BBL19" s="91"/>
      <c r="BBM19" s="91"/>
      <c r="BBN19" s="91"/>
      <c r="BBO19" s="91"/>
      <c r="BBP19" s="91"/>
      <c r="BBQ19" s="91"/>
      <c r="BBR19" s="91"/>
      <c r="BBS19" s="91"/>
      <c r="BBT19" s="91"/>
      <c r="BBU19" s="91"/>
      <c r="BBV19" s="91"/>
      <c r="BBW19" s="91"/>
      <c r="BBX19" s="91"/>
      <c r="BBY19" s="91"/>
      <c r="BBZ19" s="91"/>
      <c r="BCA19" s="91"/>
      <c r="BCB19" s="91"/>
      <c r="BCC19" s="91"/>
      <c r="BCD19" s="91"/>
      <c r="BCE19" s="91"/>
      <c r="BCF19" s="91"/>
      <c r="BCG19" s="91"/>
      <c r="BCH19" s="91"/>
      <c r="BCI19" s="91"/>
      <c r="BCJ19" s="91"/>
      <c r="BCK19" s="91"/>
      <c r="BCL19" s="91"/>
      <c r="BCM19" s="91"/>
      <c r="BCN19" s="91"/>
      <c r="BCO19" s="91"/>
      <c r="BCP19" s="91"/>
      <c r="BCQ19" s="91"/>
      <c r="BCR19" s="91"/>
      <c r="BCS19" s="91"/>
      <c r="BCT19" s="91"/>
      <c r="BCU19" s="91"/>
      <c r="BCV19" s="91"/>
      <c r="BCW19" s="91"/>
      <c r="BCX19" s="91"/>
      <c r="BCY19" s="91"/>
      <c r="BCZ19" s="91"/>
      <c r="BDA19" s="91"/>
      <c r="BDB19" s="91"/>
      <c r="BDC19" s="91"/>
      <c r="BDD19" s="91"/>
      <c r="BDE19" s="91"/>
      <c r="BDF19" s="91"/>
      <c r="BDG19" s="91"/>
      <c r="BDH19" s="91"/>
      <c r="BDI19" s="91"/>
      <c r="BDJ19" s="91"/>
      <c r="BDK19" s="91"/>
      <c r="BDL19" s="91"/>
      <c r="BDM19" s="91"/>
      <c r="BDN19" s="91"/>
      <c r="BDO19" s="91"/>
      <c r="BDP19" s="91"/>
      <c r="BDQ19" s="91"/>
      <c r="BDR19" s="91"/>
      <c r="BDS19" s="91"/>
      <c r="BDT19" s="91"/>
      <c r="BDU19" s="91"/>
      <c r="BDV19" s="91"/>
      <c r="BDW19" s="91"/>
      <c r="BDX19" s="91"/>
      <c r="BDY19" s="91"/>
      <c r="BDZ19" s="91"/>
      <c r="BEA19" s="91"/>
      <c r="BEB19" s="91"/>
      <c r="BEC19" s="91"/>
      <c r="BED19" s="91"/>
      <c r="BEE19" s="91"/>
      <c r="BEF19" s="91"/>
      <c r="BEG19" s="91"/>
      <c r="BEH19" s="91"/>
      <c r="BEI19" s="91"/>
      <c r="BEJ19" s="91"/>
      <c r="BEK19" s="91"/>
    </row>
    <row r="20" spans="1:1493" customFormat="1" x14ac:dyDescent="0.2">
      <c r="BC20" s="91"/>
      <c r="BD20" s="91"/>
      <c r="BE20" s="91"/>
      <c r="BF20" s="91"/>
      <c r="BG20" s="91"/>
      <c r="BH20" s="91"/>
      <c r="BI20" s="91"/>
      <c r="BJ20" s="91"/>
      <c r="BK20" s="91"/>
      <c r="BL20" s="91"/>
      <c r="BM20" s="91"/>
      <c r="BN20" s="91"/>
      <c r="BO20" s="91"/>
      <c r="BP20" s="91"/>
      <c r="BQ20" s="91"/>
      <c r="BR20" s="91"/>
      <c r="BS20" s="91"/>
      <c r="BT20" s="91"/>
      <c r="BU20" s="91"/>
      <c r="BV20" s="91"/>
      <c r="BW20" s="91"/>
      <c r="BX20" s="91"/>
      <c r="BY20" s="91"/>
      <c r="BZ20" s="91"/>
      <c r="CA20" s="91"/>
      <c r="CB20" s="91"/>
      <c r="CC20" s="91"/>
      <c r="CD20" s="91"/>
      <c r="CE20" s="91"/>
      <c r="CF20" s="91"/>
      <c r="CG20" s="91"/>
      <c r="CH20" s="91"/>
      <c r="CI20" s="91"/>
      <c r="CJ20" s="91"/>
      <c r="CK20" s="91"/>
      <c r="CL20" s="91"/>
      <c r="CM20" s="91"/>
      <c r="CN20" s="91"/>
      <c r="CO20" s="91"/>
      <c r="CP20" s="91"/>
      <c r="CQ20" s="91"/>
      <c r="CR20" s="91"/>
      <c r="CS20" s="91"/>
      <c r="CT20" s="91"/>
      <c r="CU20" s="91"/>
      <c r="CV20" s="91"/>
      <c r="CW20" s="91"/>
      <c r="CX20" s="91"/>
      <c r="CY20" s="91"/>
      <c r="CZ20" s="91"/>
      <c r="DA20" s="91"/>
      <c r="DB20" s="91"/>
      <c r="DC20" s="91"/>
      <c r="DD20" s="91"/>
      <c r="DE20" s="91"/>
      <c r="DF20" s="91"/>
      <c r="DG20" s="91"/>
      <c r="DH20" s="91"/>
      <c r="DI20" s="91"/>
      <c r="DJ20" s="91"/>
      <c r="DK20" s="91"/>
      <c r="DL20" s="91"/>
      <c r="DM20" s="91"/>
      <c r="DN20" s="91"/>
      <c r="DO20" s="91"/>
      <c r="DP20" s="91"/>
      <c r="DQ20" s="91"/>
      <c r="DR20" s="91"/>
      <c r="DS20" s="91"/>
      <c r="DT20" s="91"/>
      <c r="DU20" s="91"/>
      <c r="DV20" s="91"/>
      <c r="DW20" s="91"/>
      <c r="DX20" s="91"/>
      <c r="DY20" s="91"/>
      <c r="DZ20" s="91"/>
      <c r="EA20" s="91"/>
      <c r="EB20" s="91"/>
      <c r="EC20" s="91"/>
      <c r="ED20" s="91"/>
      <c r="EE20" s="91"/>
      <c r="EF20" s="91"/>
      <c r="EG20" s="91"/>
      <c r="EH20" s="91"/>
      <c r="EI20" s="91"/>
      <c r="EJ20" s="91"/>
      <c r="EK20" s="91"/>
      <c r="EL20" s="91"/>
      <c r="EM20" s="91"/>
      <c r="EN20" s="91"/>
      <c r="EO20" s="91"/>
      <c r="EP20" s="91"/>
      <c r="EQ20" s="91"/>
      <c r="ER20" s="91"/>
      <c r="ES20" s="91"/>
      <c r="ET20" s="91"/>
      <c r="EU20" s="91"/>
      <c r="EV20" s="91"/>
      <c r="EW20" s="91"/>
      <c r="EX20" s="91"/>
      <c r="EY20" s="91"/>
      <c r="EZ20" s="91"/>
      <c r="FA20" s="91"/>
      <c r="FB20" s="91"/>
      <c r="FC20" s="91"/>
      <c r="FD20" s="91"/>
      <c r="FE20" s="91"/>
      <c r="FF20" s="91"/>
      <c r="FG20" s="91"/>
      <c r="FH20" s="91"/>
      <c r="FI20" s="91"/>
      <c r="FJ20" s="91"/>
      <c r="FK20" s="91"/>
      <c r="FL20" s="91"/>
      <c r="FM20" s="91"/>
      <c r="FN20" s="91"/>
      <c r="FO20" s="91"/>
      <c r="FP20" s="91"/>
      <c r="FQ20" s="91"/>
      <c r="FR20" s="91"/>
      <c r="FS20" s="91"/>
      <c r="FT20" s="91"/>
      <c r="FU20" s="91"/>
      <c r="FV20" s="91"/>
      <c r="FW20" s="91"/>
      <c r="FX20" s="91"/>
      <c r="FY20" s="91"/>
      <c r="FZ20" s="91"/>
      <c r="GA20" s="91"/>
      <c r="GB20" s="91"/>
      <c r="GC20" s="91"/>
      <c r="GD20" s="91"/>
      <c r="GE20" s="91"/>
      <c r="GF20" s="91"/>
      <c r="GG20" s="91"/>
      <c r="GH20" s="91"/>
      <c r="GI20" s="91"/>
      <c r="GJ20" s="91"/>
      <c r="GK20" s="91"/>
      <c r="GL20" s="91"/>
      <c r="GM20" s="91"/>
      <c r="GN20" s="91"/>
      <c r="GO20" s="91"/>
      <c r="GP20" s="91"/>
      <c r="GQ20" s="91"/>
      <c r="GR20" s="91"/>
      <c r="GS20" s="91"/>
      <c r="GT20" s="91"/>
      <c r="GU20" s="91"/>
      <c r="GV20" s="91"/>
      <c r="GW20" s="91"/>
      <c r="GX20" s="91"/>
      <c r="GY20" s="91"/>
      <c r="GZ20" s="91"/>
      <c r="HA20" s="91"/>
      <c r="HB20" s="91"/>
      <c r="HC20" s="91"/>
      <c r="HD20" s="91"/>
      <c r="HE20" s="91"/>
      <c r="HF20" s="91"/>
      <c r="HG20" s="91"/>
      <c r="HH20" s="91"/>
      <c r="HI20" s="91"/>
      <c r="HJ20" s="91"/>
      <c r="HK20" s="91"/>
      <c r="HL20" s="91"/>
      <c r="HM20" s="91"/>
      <c r="HN20" s="91"/>
      <c r="HO20" s="91"/>
      <c r="HP20" s="91"/>
      <c r="HQ20" s="91"/>
      <c r="HR20" s="91"/>
      <c r="HS20" s="91"/>
      <c r="HT20" s="91"/>
      <c r="HU20" s="91"/>
      <c r="HV20" s="91"/>
      <c r="HW20" s="91"/>
      <c r="HX20" s="91"/>
      <c r="HY20" s="91"/>
      <c r="HZ20" s="91"/>
      <c r="IA20" s="91"/>
      <c r="IB20" s="91"/>
      <c r="IC20" s="91"/>
      <c r="ID20" s="91"/>
      <c r="IE20" s="91"/>
      <c r="IF20" s="91"/>
      <c r="IG20" s="91"/>
      <c r="IH20" s="91"/>
      <c r="II20" s="91"/>
      <c r="IJ20" s="91"/>
      <c r="IK20" s="91"/>
      <c r="IL20" s="91"/>
      <c r="IM20" s="91"/>
      <c r="IN20" s="91"/>
      <c r="IO20" s="91"/>
      <c r="IP20" s="91"/>
      <c r="IQ20" s="91"/>
      <c r="IR20" s="91"/>
      <c r="IS20" s="91"/>
      <c r="IT20" s="91"/>
      <c r="IU20" s="91"/>
      <c r="IV20" s="91"/>
      <c r="IW20" s="91"/>
      <c r="IX20" s="91"/>
      <c r="IY20" s="91"/>
      <c r="IZ20" s="91"/>
      <c r="JA20" s="91"/>
      <c r="JB20" s="91"/>
      <c r="JC20" s="91"/>
      <c r="JD20" s="91"/>
      <c r="JE20" s="91"/>
      <c r="JF20" s="91"/>
      <c r="JG20" s="91"/>
      <c r="JH20" s="91"/>
      <c r="JI20" s="91"/>
      <c r="JJ20" s="91"/>
      <c r="JK20" s="91"/>
      <c r="JL20" s="91"/>
      <c r="JM20" s="91"/>
      <c r="JN20" s="91"/>
      <c r="JO20" s="91"/>
      <c r="JP20" s="91"/>
      <c r="JQ20" s="91"/>
      <c r="JR20" s="91"/>
      <c r="JS20" s="91"/>
      <c r="JT20" s="91"/>
      <c r="JU20" s="91"/>
      <c r="JV20" s="91"/>
      <c r="JW20" s="91"/>
      <c r="JX20" s="91"/>
      <c r="JY20" s="91"/>
      <c r="JZ20" s="91"/>
      <c r="KA20" s="91"/>
      <c r="KB20" s="91"/>
      <c r="KC20" s="91"/>
      <c r="KD20" s="91"/>
      <c r="KE20" s="91"/>
      <c r="KF20" s="91"/>
      <c r="KG20" s="91"/>
      <c r="KH20" s="91"/>
      <c r="KI20" s="91"/>
      <c r="KJ20" s="91"/>
      <c r="KK20" s="91"/>
      <c r="KL20" s="91"/>
      <c r="KM20" s="91"/>
      <c r="KN20" s="91"/>
      <c r="KO20" s="91"/>
      <c r="KP20" s="91"/>
      <c r="KQ20" s="91"/>
      <c r="KR20" s="91"/>
      <c r="KS20" s="91"/>
      <c r="KT20" s="91"/>
      <c r="KU20" s="91"/>
      <c r="KV20" s="91"/>
      <c r="KW20" s="91"/>
      <c r="KX20" s="91"/>
      <c r="KY20" s="91"/>
      <c r="KZ20" s="91"/>
      <c r="LA20" s="91"/>
      <c r="LB20" s="91"/>
      <c r="LC20" s="91"/>
      <c r="LD20" s="91"/>
      <c r="LE20" s="91"/>
      <c r="LF20" s="91"/>
      <c r="LG20" s="91"/>
      <c r="LH20" s="91"/>
      <c r="LI20" s="91"/>
      <c r="LJ20" s="91"/>
      <c r="LK20" s="91"/>
      <c r="LL20" s="91"/>
      <c r="LM20" s="91"/>
      <c r="LN20" s="91"/>
      <c r="LO20" s="91"/>
      <c r="LP20" s="91"/>
      <c r="LQ20" s="91"/>
      <c r="LR20" s="91"/>
      <c r="LS20" s="91"/>
      <c r="LT20" s="91"/>
      <c r="LU20" s="91"/>
      <c r="LV20" s="91"/>
      <c r="LW20" s="91"/>
      <c r="LX20" s="91"/>
      <c r="LY20" s="91"/>
      <c r="LZ20" s="91"/>
      <c r="MA20" s="91"/>
      <c r="MB20" s="91"/>
      <c r="MC20" s="91"/>
      <c r="MD20" s="91"/>
      <c r="ME20" s="91"/>
      <c r="MF20" s="91"/>
      <c r="MG20" s="91"/>
      <c r="MH20" s="91"/>
      <c r="MI20" s="91"/>
      <c r="MJ20" s="91"/>
      <c r="MK20" s="91"/>
      <c r="ML20" s="91"/>
      <c r="MM20" s="91"/>
      <c r="MN20" s="91"/>
      <c r="MO20" s="91"/>
      <c r="MP20" s="91"/>
      <c r="MQ20" s="91"/>
      <c r="MR20" s="91"/>
      <c r="MS20" s="91"/>
      <c r="MT20" s="91"/>
      <c r="MU20" s="91"/>
      <c r="MV20" s="91"/>
      <c r="MW20" s="91"/>
      <c r="MX20" s="91"/>
      <c r="MY20" s="91"/>
      <c r="MZ20" s="91"/>
      <c r="NA20" s="91"/>
      <c r="NB20" s="91"/>
      <c r="NC20" s="91"/>
      <c r="ND20" s="91"/>
      <c r="NE20" s="91"/>
      <c r="NF20" s="91"/>
      <c r="NG20" s="91"/>
      <c r="NH20" s="91"/>
      <c r="NI20" s="91"/>
      <c r="NJ20" s="91"/>
      <c r="NK20" s="91"/>
      <c r="NL20" s="91"/>
      <c r="NM20" s="91"/>
      <c r="NN20" s="91"/>
      <c r="NO20" s="91"/>
      <c r="NP20" s="91"/>
      <c r="NQ20" s="91"/>
      <c r="NR20" s="91"/>
      <c r="NS20" s="91"/>
      <c r="NT20" s="91"/>
      <c r="NU20" s="91"/>
      <c r="NV20" s="91"/>
      <c r="NW20" s="91"/>
      <c r="NX20" s="91"/>
      <c r="NY20" s="91"/>
      <c r="NZ20" s="91"/>
      <c r="OA20" s="91"/>
      <c r="OB20" s="91"/>
      <c r="OC20" s="91"/>
      <c r="OD20" s="91"/>
      <c r="OE20" s="91"/>
      <c r="OF20" s="91"/>
      <c r="OG20" s="91"/>
      <c r="OH20" s="91"/>
      <c r="OI20" s="91"/>
      <c r="OJ20" s="91"/>
      <c r="OK20" s="91"/>
      <c r="OL20" s="91"/>
      <c r="OM20" s="91"/>
      <c r="ON20" s="91"/>
      <c r="OO20" s="91"/>
      <c r="OP20" s="91"/>
      <c r="OQ20" s="91"/>
      <c r="OR20" s="91"/>
      <c r="OS20" s="91"/>
      <c r="OT20" s="91"/>
      <c r="OU20" s="91"/>
      <c r="OV20" s="91"/>
      <c r="OW20" s="91"/>
      <c r="OX20" s="91"/>
      <c r="OY20" s="91"/>
      <c r="OZ20" s="91"/>
      <c r="PA20" s="91"/>
      <c r="PB20" s="91"/>
      <c r="PC20" s="91"/>
      <c r="PD20" s="91"/>
      <c r="PE20" s="91"/>
      <c r="PF20" s="91"/>
      <c r="PG20" s="91"/>
      <c r="PH20" s="91"/>
      <c r="PI20" s="91"/>
      <c r="PJ20" s="91"/>
      <c r="PK20" s="91"/>
      <c r="PL20" s="91"/>
      <c r="PM20" s="91"/>
      <c r="PN20" s="91"/>
      <c r="PO20" s="91"/>
      <c r="PP20" s="91"/>
      <c r="PQ20" s="91"/>
      <c r="PR20" s="91"/>
      <c r="PS20" s="91"/>
      <c r="PT20" s="91"/>
      <c r="PU20" s="91"/>
      <c r="PV20" s="91"/>
      <c r="PW20" s="91"/>
      <c r="PX20" s="91"/>
      <c r="PY20" s="91"/>
      <c r="PZ20" s="91"/>
      <c r="QA20" s="91"/>
      <c r="QB20" s="91"/>
      <c r="QC20" s="91"/>
      <c r="QD20" s="91"/>
      <c r="QE20" s="91"/>
      <c r="QF20" s="91"/>
      <c r="QG20" s="91"/>
      <c r="QH20" s="91"/>
      <c r="QI20" s="91"/>
      <c r="QJ20" s="91"/>
      <c r="QK20" s="91"/>
      <c r="QL20" s="91"/>
      <c r="QM20" s="91"/>
      <c r="QN20" s="91"/>
      <c r="QO20" s="91"/>
      <c r="QP20" s="91"/>
      <c r="QQ20" s="91"/>
      <c r="QR20" s="91"/>
      <c r="QS20" s="91"/>
      <c r="QT20" s="91"/>
      <c r="QU20" s="91"/>
      <c r="QV20" s="91"/>
      <c r="QW20" s="91"/>
      <c r="QX20" s="91"/>
      <c r="QY20" s="91"/>
      <c r="QZ20" s="91"/>
      <c r="RA20" s="91"/>
      <c r="RB20" s="91"/>
      <c r="RC20" s="91"/>
      <c r="RD20" s="91"/>
      <c r="RE20" s="91"/>
      <c r="RF20" s="91"/>
      <c r="RG20" s="91"/>
      <c r="RH20" s="91"/>
      <c r="RI20" s="91"/>
      <c r="RJ20" s="91"/>
      <c r="RK20" s="91"/>
      <c r="RL20" s="91"/>
      <c r="RM20" s="91"/>
      <c r="RN20" s="91"/>
      <c r="RO20" s="91"/>
      <c r="RP20" s="91"/>
      <c r="RQ20" s="91"/>
      <c r="RR20" s="91"/>
      <c r="RS20" s="91"/>
      <c r="RT20" s="91"/>
      <c r="RU20" s="91"/>
      <c r="RV20" s="91"/>
      <c r="RW20" s="91"/>
      <c r="RX20" s="91"/>
      <c r="RY20" s="91"/>
      <c r="RZ20" s="91"/>
      <c r="SA20" s="91"/>
      <c r="SB20" s="91"/>
      <c r="SC20" s="91"/>
      <c r="SD20" s="91"/>
      <c r="SE20" s="91"/>
      <c r="SF20" s="91"/>
      <c r="SG20" s="91"/>
      <c r="SH20" s="91"/>
      <c r="SI20" s="91"/>
      <c r="SJ20" s="91"/>
      <c r="SK20" s="91"/>
      <c r="SL20" s="91"/>
      <c r="SM20" s="91"/>
      <c r="SN20" s="91"/>
      <c r="SO20" s="91"/>
      <c r="SP20" s="91"/>
      <c r="SQ20" s="91"/>
      <c r="SR20" s="91"/>
      <c r="SS20" s="91"/>
      <c r="ST20" s="91"/>
      <c r="SU20" s="91"/>
      <c r="SV20" s="91"/>
      <c r="SW20" s="91"/>
      <c r="SX20" s="91"/>
      <c r="SY20" s="91"/>
      <c r="SZ20" s="91"/>
      <c r="TA20" s="91"/>
      <c r="TB20" s="91"/>
      <c r="TC20" s="91"/>
      <c r="TD20" s="91"/>
      <c r="TE20" s="91"/>
      <c r="TF20" s="91"/>
      <c r="TG20" s="91"/>
      <c r="TH20" s="91"/>
      <c r="TI20" s="91"/>
      <c r="TJ20" s="91"/>
      <c r="TK20" s="91"/>
      <c r="TL20" s="91"/>
      <c r="TM20" s="91"/>
      <c r="TN20" s="91"/>
      <c r="TO20" s="91"/>
      <c r="TP20" s="91"/>
      <c r="TQ20" s="91"/>
      <c r="TR20" s="91"/>
      <c r="TS20" s="91"/>
      <c r="TT20" s="91"/>
      <c r="TU20" s="91"/>
      <c r="TV20" s="91"/>
      <c r="TW20" s="91"/>
      <c r="TX20" s="91"/>
      <c r="TY20" s="91"/>
      <c r="TZ20" s="91"/>
      <c r="UA20" s="91"/>
      <c r="UB20" s="91"/>
      <c r="UC20" s="91"/>
      <c r="UD20" s="91"/>
      <c r="UE20" s="91"/>
      <c r="UF20" s="91"/>
      <c r="UG20" s="91"/>
      <c r="UH20" s="91"/>
      <c r="UI20" s="91"/>
      <c r="UJ20" s="91"/>
      <c r="UK20" s="91"/>
      <c r="UL20" s="91"/>
      <c r="UM20" s="91"/>
      <c r="UN20" s="91"/>
      <c r="UO20" s="91"/>
      <c r="UP20" s="91"/>
      <c r="UQ20" s="91"/>
      <c r="UR20" s="91"/>
      <c r="US20" s="91"/>
      <c r="UT20" s="91"/>
      <c r="UU20" s="91"/>
      <c r="UV20" s="91"/>
      <c r="UW20" s="91"/>
      <c r="UX20" s="91"/>
      <c r="UY20" s="91"/>
      <c r="UZ20" s="91"/>
      <c r="VA20" s="91"/>
      <c r="VB20" s="91"/>
      <c r="VC20" s="91"/>
      <c r="VD20" s="91"/>
      <c r="VE20" s="91"/>
      <c r="VF20" s="91"/>
      <c r="VG20" s="91"/>
      <c r="VH20" s="91"/>
      <c r="VI20" s="91"/>
      <c r="VJ20" s="91"/>
      <c r="VK20" s="91"/>
      <c r="VL20" s="91"/>
      <c r="VM20" s="91"/>
      <c r="VN20" s="91"/>
      <c r="VO20" s="91"/>
      <c r="VP20" s="91"/>
      <c r="VQ20" s="91"/>
      <c r="VR20" s="91"/>
      <c r="VS20" s="91"/>
      <c r="VT20" s="91"/>
      <c r="VU20" s="91"/>
      <c r="VV20" s="91"/>
      <c r="VW20" s="91"/>
      <c r="VX20" s="91"/>
      <c r="VY20" s="91"/>
      <c r="VZ20" s="91"/>
      <c r="WA20" s="91"/>
      <c r="WB20" s="91"/>
      <c r="WC20" s="91"/>
      <c r="WD20" s="91"/>
      <c r="WE20" s="91"/>
      <c r="WF20" s="91"/>
      <c r="WG20" s="91"/>
      <c r="WH20" s="91"/>
      <c r="WI20" s="91"/>
      <c r="WJ20" s="91"/>
      <c r="WK20" s="91"/>
      <c r="WL20" s="91"/>
      <c r="WM20" s="91"/>
      <c r="WN20" s="91"/>
      <c r="WO20" s="91"/>
      <c r="WP20" s="91"/>
      <c r="WQ20" s="91"/>
      <c r="WR20" s="91"/>
      <c r="WS20" s="91"/>
      <c r="WT20" s="91"/>
      <c r="WU20" s="91"/>
      <c r="WV20" s="91"/>
      <c r="WW20" s="91"/>
      <c r="WX20" s="91"/>
      <c r="WY20" s="91"/>
      <c r="WZ20" s="91"/>
      <c r="XA20" s="91"/>
      <c r="XB20" s="91"/>
      <c r="XC20" s="91"/>
      <c r="XD20" s="91"/>
      <c r="XE20" s="91"/>
      <c r="XF20" s="91"/>
      <c r="XG20" s="91"/>
      <c r="XH20" s="91"/>
      <c r="XI20" s="91"/>
      <c r="XJ20" s="91"/>
      <c r="XK20" s="91"/>
      <c r="XL20" s="91"/>
      <c r="XM20" s="91"/>
      <c r="XN20" s="91"/>
      <c r="XO20" s="91"/>
      <c r="XP20" s="91"/>
      <c r="XQ20" s="91"/>
      <c r="XR20" s="91"/>
      <c r="XS20" s="91"/>
      <c r="XT20" s="91"/>
      <c r="XU20" s="91"/>
      <c r="XV20" s="91"/>
      <c r="XW20" s="91"/>
      <c r="XX20" s="91"/>
      <c r="XY20" s="91"/>
      <c r="XZ20" s="91"/>
      <c r="YA20" s="91"/>
      <c r="YB20" s="91"/>
      <c r="YC20" s="91"/>
      <c r="YD20" s="91"/>
      <c r="YE20" s="91"/>
      <c r="YF20" s="91"/>
      <c r="YG20" s="91"/>
      <c r="YH20" s="91"/>
      <c r="YI20" s="91"/>
      <c r="YJ20" s="91"/>
      <c r="YK20" s="91"/>
      <c r="YL20" s="91"/>
      <c r="YM20" s="91"/>
      <c r="YN20" s="91"/>
      <c r="YO20" s="91"/>
      <c r="YP20" s="91"/>
      <c r="YQ20" s="91"/>
      <c r="YR20" s="91"/>
      <c r="YS20" s="91"/>
      <c r="YT20" s="91"/>
      <c r="YU20" s="91"/>
      <c r="YV20" s="91"/>
      <c r="YW20" s="91"/>
      <c r="YX20" s="91"/>
      <c r="YY20" s="91"/>
      <c r="YZ20" s="91"/>
      <c r="ZA20" s="91"/>
      <c r="ZB20" s="91"/>
      <c r="ZC20" s="91"/>
      <c r="ZD20" s="91"/>
      <c r="ZE20" s="91"/>
      <c r="ZF20" s="91"/>
      <c r="ZG20" s="91"/>
      <c r="ZH20" s="91"/>
      <c r="ZI20" s="91"/>
      <c r="ZJ20" s="91"/>
      <c r="ZK20" s="91"/>
      <c r="ZL20" s="91"/>
      <c r="ZM20" s="91"/>
      <c r="ZN20" s="91"/>
      <c r="ZO20" s="91"/>
      <c r="ZP20" s="91"/>
      <c r="ZQ20" s="91"/>
      <c r="ZR20" s="91"/>
      <c r="ZS20" s="91"/>
      <c r="ZT20" s="91"/>
      <c r="ZU20" s="91"/>
      <c r="ZV20" s="91"/>
      <c r="ZW20" s="91"/>
      <c r="ZX20" s="91"/>
      <c r="ZY20" s="91"/>
      <c r="ZZ20" s="91"/>
      <c r="AAA20" s="91"/>
      <c r="AAB20" s="91"/>
      <c r="AAC20" s="91"/>
      <c r="AAD20" s="91"/>
      <c r="AAE20" s="91"/>
      <c r="AAF20" s="91"/>
      <c r="AAG20" s="91"/>
      <c r="AAH20" s="91"/>
      <c r="AAI20" s="91"/>
      <c r="AAJ20" s="91"/>
      <c r="AAK20" s="91"/>
      <c r="AAL20" s="91"/>
      <c r="AAM20" s="91"/>
      <c r="AAN20" s="91"/>
      <c r="AAO20" s="91"/>
      <c r="AAP20" s="91"/>
      <c r="AAQ20" s="91"/>
      <c r="AAR20" s="91"/>
      <c r="AAS20" s="91"/>
      <c r="AAT20" s="91"/>
      <c r="AAU20" s="91"/>
      <c r="AAV20" s="91"/>
      <c r="AAW20" s="91"/>
      <c r="AAX20" s="91"/>
      <c r="AAY20" s="91"/>
      <c r="AAZ20" s="91"/>
      <c r="ABA20" s="91"/>
      <c r="ABB20" s="91"/>
      <c r="ABC20" s="91"/>
      <c r="ABD20" s="91"/>
      <c r="ABE20" s="91"/>
      <c r="ABF20" s="91"/>
      <c r="ABG20" s="91"/>
      <c r="ABH20" s="91"/>
      <c r="ABI20" s="91"/>
      <c r="ABJ20" s="91"/>
      <c r="ABK20" s="91"/>
      <c r="ABL20" s="91"/>
      <c r="ABM20" s="91"/>
      <c r="ABN20" s="91"/>
      <c r="ABO20" s="91"/>
      <c r="ABP20" s="91"/>
      <c r="ABQ20" s="91"/>
      <c r="ABR20" s="91"/>
      <c r="ABS20" s="91"/>
      <c r="ABT20" s="91"/>
      <c r="ABU20" s="91"/>
      <c r="ABV20" s="91"/>
      <c r="ABW20" s="91"/>
      <c r="ABX20" s="91"/>
      <c r="ABY20" s="91"/>
      <c r="ABZ20" s="91"/>
      <c r="ACA20" s="91"/>
      <c r="ACB20" s="91"/>
      <c r="ACC20" s="91"/>
      <c r="ACD20" s="91"/>
      <c r="ACE20" s="91"/>
      <c r="ACF20" s="91"/>
      <c r="ACG20" s="91"/>
      <c r="ACH20" s="91"/>
      <c r="ACI20" s="91"/>
      <c r="ACJ20" s="91"/>
      <c r="ACK20" s="91"/>
      <c r="ACL20" s="91"/>
      <c r="ACM20" s="91"/>
      <c r="ACN20" s="91"/>
      <c r="ACO20" s="91"/>
      <c r="ACP20" s="91"/>
      <c r="ACQ20" s="91"/>
      <c r="ACR20" s="91"/>
      <c r="ACS20" s="91"/>
      <c r="ACT20" s="91"/>
      <c r="ACU20" s="91"/>
      <c r="ACV20" s="91"/>
      <c r="ACW20" s="91"/>
      <c r="ACX20" s="91"/>
      <c r="ACY20" s="91"/>
      <c r="ACZ20" s="91"/>
      <c r="ADA20" s="91"/>
      <c r="ADB20" s="91"/>
      <c r="ADC20" s="91"/>
      <c r="ADD20" s="91"/>
      <c r="ADE20" s="91"/>
      <c r="ADF20" s="91"/>
      <c r="ADG20" s="91"/>
      <c r="ADH20" s="91"/>
      <c r="ADI20" s="91"/>
      <c r="ADJ20" s="91"/>
      <c r="ADK20" s="91"/>
      <c r="ADL20" s="91"/>
      <c r="ADM20" s="91"/>
      <c r="ADN20" s="91"/>
      <c r="ADO20" s="91"/>
      <c r="ADP20" s="91"/>
      <c r="ADQ20" s="91"/>
      <c r="ADR20" s="91"/>
      <c r="ADS20" s="91"/>
      <c r="ADT20" s="91"/>
      <c r="ADU20" s="91"/>
      <c r="ADV20" s="91"/>
      <c r="ADW20" s="91"/>
      <c r="ADX20" s="91"/>
      <c r="ADY20" s="91"/>
      <c r="ADZ20" s="91"/>
      <c r="AEA20" s="91"/>
      <c r="AEB20" s="91"/>
      <c r="AEC20" s="91"/>
      <c r="AED20" s="91"/>
      <c r="AEE20" s="91"/>
      <c r="AEF20" s="91"/>
      <c r="AEG20" s="91"/>
      <c r="AEH20" s="91"/>
      <c r="AEI20" s="91"/>
      <c r="AEJ20" s="91"/>
      <c r="AEK20" s="91"/>
      <c r="AEL20" s="91"/>
      <c r="AEM20" s="91"/>
      <c r="AEN20" s="91"/>
      <c r="AEO20" s="91"/>
      <c r="AEP20" s="91"/>
      <c r="AEQ20" s="91"/>
      <c r="AER20" s="91"/>
      <c r="AES20" s="91"/>
      <c r="AET20" s="91"/>
      <c r="AEU20" s="91"/>
      <c r="AEV20" s="91"/>
      <c r="AEW20" s="91"/>
      <c r="AEX20" s="91"/>
      <c r="AEY20" s="91"/>
      <c r="AEZ20" s="91"/>
      <c r="AFA20" s="91"/>
      <c r="AFB20" s="91"/>
      <c r="AFC20" s="91"/>
      <c r="AFD20" s="91"/>
      <c r="AFE20" s="91"/>
      <c r="AFF20" s="91"/>
      <c r="AFG20" s="91"/>
      <c r="AFH20" s="91"/>
      <c r="AFI20" s="91"/>
      <c r="AFJ20" s="91"/>
      <c r="AFK20" s="91"/>
      <c r="AFL20" s="91"/>
      <c r="AFM20" s="91"/>
      <c r="AFN20" s="91"/>
      <c r="AFO20" s="91"/>
      <c r="AFP20" s="91"/>
      <c r="AFQ20" s="91"/>
      <c r="AFR20" s="91"/>
      <c r="AFS20" s="91"/>
      <c r="AFT20" s="91"/>
      <c r="AFU20" s="91"/>
      <c r="AFV20" s="91"/>
      <c r="AFW20" s="91"/>
      <c r="AFX20" s="91"/>
      <c r="AFY20" s="91"/>
      <c r="AFZ20" s="91"/>
      <c r="AGA20" s="91"/>
      <c r="AGB20" s="91"/>
      <c r="AGC20" s="91"/>
      <c r="AGD20" s="91"/>
      <c r="AGE20" s="91"/>
      <c r="AGF20" s="91"/>
      <c r="AGG20" s="91"/>
      <c r="AGH20" s="91"/>
      <c r="AGI20" s="91"/>
      <c r="AGJ20" s="91"/>
      <c r="AGK20" s="91"/>
      <c r="AGL20" s="91"/>
      <c r="AGM20" s="91"/>
      <c r="AGN20" s="91"/>
      <c r="AGO20" s="91"/>
      <c r="AGP20" s="91"/>
      <c r="AGQ20" s="91"/>
      <c r="AGR20" s="91"/>
      <c r="AGS20" s="91"/>
      <c r="AGT20" s="91"/>
      <c r="AGU20" s="91"/>
      <c r="AGV20" s="91"/>
      <c r="AGW20" s="91"/>
      <c r="AGX20" s="91"/>
      <c r="AGY20" s="91"/>
      <c r="AGZ20" s="91"/>
      <c r="AHA20" s="91"/>
      <c r="AHB20" s="91"/>
      <c r="AHC20" s="91"/>
      <c r="AHD20" s="91"/>
      <c r="AHE20" s="91"/>
      <c r="AHF20" s="91"/>
      <c r="AHG20" s="91"/>
      <c r="AHH20" s="91"/>
      <c r="AHI20" s="91"/>
      <c r="AHJ20" s="91"/>
      <c r="AHK20" s="91"/>
      <c r="AHL20" s="91"/>
      <c r="AHM20" s="91"/>
      <c r="AHN20" s="91"/>
      <c r="AHO20" s="91"/>
      <c r="AHP20" s="91"/>
      <c r="AHQ20" s="91"/>
      <c r="AHR20" s="91"/>
      <c r="AHS20" s="91"/>
      <c r="AHT20" s="91"/>
      <c r="AHU20" s="91"/>
      <c r="AHV20" s="91"/>
      <c r="AHW20" s="91"/>
      <c r="AHX20" s="91"/>
      <c r="AHY20" s="91"/>
      <c r="AHZ20" s="91"/>
      <c r="AIA20" s="91"/>
      <c r="AIB20" s="91"/>
      <c r="AIC20" s="91"/>
      <c r="AID20" s="91"/>
      <c r="AIE20" s="91"/>
      <c r="AIF20" s="91"/>
      <c r="AIG20" s="91"/>
      <c r="AIH20" s="91"/>
      <c r="AII20" s="91"/>
      <c r="AIJ20" s="91"/>
      <c r="AIK20" s="91"/>
      <c r="AIL20" s="91"/>
      <c r="AIM20" s="91"/>
      <c r="AIN20" s="91"/>
      <c r="AIO20" s="91"/>
      <c r="AIP20" s="91"/>
      <c r="AIQ20" s="91"/>
      <c r="AIR20" s="91"/>
      <c r="AIS20" s="91"/>
      <c r="AIT20" s="91"/>
      <c r="AIU20" s="91"/>
      <c r="AIV20" s="91"/>
      <c r="AIW20" s="91"/>
      <c r="AIX20" s="91"/>
      <c r="AIY20" s="91"/>
      <c r="AIZ20" s="91"/>
      <c r="AJA20" s="91"/>
      <c r="AJB20" s="91"/>
      <c r="AJC20" s="91"/>
      <c r="AJD20" s="91"/>
      <c r="AJE20" s="91"/>
      <c r="AJF20" s="91"/>
      <c r="AJG20" s="91"/>
      <c r="AJH20" s="91"/>
      <c r="AJI20" s="91"/>
      <c r="AJJ20" s="91"/>
      <c r="AJK20" s="91"/>
      <c r="AJL20" s="91"/>
      <c r="AJM20" s="91"/>
      <c r="AJN20" s="91"/>
      <c r="AJO20" s="91"/>
      <c r="AJP20" s="91"/>
      <c r="AJQ20" s="91"/>
      <c r="AJR20" s="91"/>
      <c r="AJS20" s="91"/>
      <c r="AJT20" s="91"/>
      <c r="AJU20" s="91"/>
      <c r="AJV20" s="91"/>
      <c r="AJW20" s="91"/>
      <c r="AJX20" s="91"/>
      <c r="AJY20" s="91"/>
      <c r="AJZ20" s="91"/>
      <c r="AKA20" s="91"/>
      <c r="AKB20" s="91"/>
      <c r="AKC20" s="91"/>
      <c r="AKD20" s="91"/>
      <c r="AKE20" s="91"/>
      <c r="AKF20" s="91"/>
      <c r="AKG20" s="91"/>
      <c r="AKH20" s="91"/>
      <c r="AKI20" s="91"/>
      <c r="AKJ20" s="91"/>
      <c r="AKK20" s="91"/>
      <c r="AKL20" s="91"/>
      <c r="AKM20" s="91"/>
      <c r="AKN20" s="91"/>
      <c r="AKO20" s="91"/>
      <c r="AKP20" s="91"/>
      <c r="AKQ20" s="91"/>
      <c r="AKR20" s="91"/>
      <c r="AKS20" s="91"/>
      <c r="AKT20" s="91"/>
      <c r="AKU20" s="91"/>
      <c r="AKV20" s="91"/>
      <c r="AKW20" s="91"/>
      <c r="AKX20" s="91"/>
      <c r="AKY20" s="91"/>
      <c r="AKZ20" s="91"/>
      <c r="ALA20" s="91"/>
      <c r="ALB20" s="91"/>
      <c r="ALC20" s="91"/>
      <c r="ALD20" s="91"/>
      <c r="ALE20" s="91"/>
      <c r="ALF20" s="91"/>
      <c r="ALG20" s="91"/>
      <c r="ALH20" s="91"/>
      <c r="ALI20" s="91"/>
      <c r="ALJ20" s="91"/>
      <c r="ALK20" s="91"/>
      <c r="ALL20" s="91"/>
      <c r="ALM20" s="91"/>
      <c r="ALN20" s="91"/>
      <c r="ALO20" s="91"/>
      <c r="ALP20" s="91"/>
      <c r="ALQ20" s="91"/>
      <c r="ALR20" s="91"/>
      <c r="ALS20" s="91"/>
      <c r="ALT20" s="91"/>
      <c r="ALU20" s="91"/>
      <c r="ALV20" s="91"/>
      <c r="ALW20" s="91"/>
      <c r="ALX20" s="91"/>
      <c r="ALY20" s="91"/>
      <c r="ALZ20" s="91"/>
      <c r="AMA20" s="91"/>
      <c r="AMB20" s="91"/>
      <c r="AMC20" s="91"/>
      <c r="AMD20" s="91"/>
      <c r="AME20" s="91"/>
      <c r="AMF20" s="91"/>
      <c r="AMG20" s="91"/>
      <c r="AMH20" s="91"/>
      <c r="AMI20" s="91"/>
      <c r="AMJ20" s="91"/>
      <c r="AMK20" s="91"/>
      <c r="AML20" s="91"/>
      <c r="AMM20" s="91"/>
      <c r="AMN20" s="91"/>
      <c r="AMO20" s="91"/>
      <c r="AMP20" s="91"/>
      <c r="AMQ20" s="91"/>
      <c r="AMR20" s="91"/>
      <c r="AMS20" s="91"/>
      <c r="AMT20" s="91"/>
      <c r="AMU20" s="91"/>
      <c r="AMV20" s="91"/>
      <c r="AMW20" s="91"/>
      <c r="AMX20" s="91"/>
      <c r="AMY20" s="91"/>
      <c r="AMZ20" s="91"/>
      <c r="ANA20" s="91"/>
      <c r="ANB20" s="91"/>
      <c r="ANC20" s="91"/>
      <c r="AND20" s="91"/>
      <c r="ANE20" s="91"/>
      <c r="ANF20" s="91"/>
      <c r="ANG20" s="91"/>
      <c r="ANH20" s="91"/>
      <c r="ANI20" s="91"/>
      <c r="ANJ20" s="91"/>
      <c r="ANK20" s="91"/>
      <c r="ANL20" s="91"/>
      <c r="ANM20" s="91"/>
      <c r="ANN20" s="91"/>
      <c r="ANO20" s="91"/>
      <c r="ANP20" s="91"/>
      <c r="ANQ20" s="91"/>
      <c r="ANR20" s="91"/>
      <c r="ANS20" s="91"/>
      <c r="ANT20" s="91"/>
      <c r="ANU20" s="91"/>
      <c r="ANV20" s="91"/>
      <c r="ANW20" s="91"/>
      <c r="ANX20" s="91"/>
      <c r="ANY20" s="91"/>
      <c r="ANZ20" s="91"/>
      <c r="AOA20" s="91"/>
      <c r="AOB20" s="91"/>
      <c r="AOC20" s="91"/>
      <c r="AOD20" s="91"/>
      <c r="AOE20" s="91"/>
      <c r="AOF20" s="91"/>
      <c r="AOG20" s="91"/>
      <c r="AOH20" s="91"/>
      <c r="AOI20" s="91"/>
      <c r="AOJ20" s="91"/>
      <c r="AOK20" s="91"/>
      <c r="AOL20" s="91"/>
      <c r="AOM20" s="91"/>
      <c r="AON20" s="91"/>
      <c r="AOO20" s="91"/>
      <c r="AOP20" s="91"/>
      <c r="AOQ20" s="91"/>
      <c r="AOR20" s="91"/>
      <c r="AOS20" s="91"/>
      <c r="AOT20" s="91"/>
      <c r="AOU20" s="91"/>
      <c r="AOV20" s="91"/>
      <c r="AOW20" s="91"/>
      <c r="AOX20" s="91"/>
      <c r="AOY20" s="91"/>
      <c r="AOZ20" s="91"/>
      <c r="APA20" s="91"/>
      <c r="APB20" s="91"/>
      <c r="APC20" s="91"/>
      <c r="APD20" s="91"/>
      <c r="APE20" s="91"/>
      <c r="APF20" s="91"/>
      <c r="APG20" s="91"/>
      <c r="APH20" s="91"/>
      <c r="API20" s="91"/>
      <c r="APJ20" s="91"/>
      <c r="APK20" s="91"/>
      <c r="APL20" s="91"/>
      <c r="APM20" s="91"/>
      <c r="APN20" s="91"/>
      <c r="APO20" s="91"/>
      <c r="APP20" s="91"/>
      <c r="APQ20" s="91"/>
      <c r="APR20" s="91"/>
      <c r="APS20" s="91"/>
      <c r="APT20" s="91"/>
      <c r="APU20" s="91"/>
      <c r="APV20" s="91"/>
      <c r="APW20" s="91"/>
      <c r="APX20" s="91"/>
      <c r="APY20" s="91"/>
      <c r="APZ20" s="91"/>
      <c r="AQA20" s="91"/>
      <c r="AQB20" s="91"/>
      <c r="AQC20" s="91"/>
      <c r="AQD20" s="91"/>
      <c r="AQE20" s="91"/>
      <c r="AQF20" s="91"/>
      <c r="AQG20" s="91"/>
      <c r="AQH20" s="91"/>
      <c r="AQI20" s="91"/>
      <c r="AQJ20" s="91"/>
      <c r="AQK20" s="91"/>
      <c r="AQL20" s="91"/>
      <c r="AQM20" s="91"/>
      <c r="AQN20" s="91"/>
      <c r="AQO20" s="91"/>
      <c r="AQP20" s="91"/>
      <c r="AQQ20" s="91"/>
      <c r="AQR20" s="91"/>
      <c r="AQS20" s="91"/>
      <c r="AQT20" s="91"/>
      <c r="AQU20" s="91"/>
      <c r="AQV20" s="91"/>
      <c r="AQW20" s="91"/>
      <c r="AQX20" s="91"/>
      <c r="AQY20" s="91"/>
      <c r="AQZ20" s="91"/>
      <c r="ARA20" s="91"/>
      <c r="ARB20" s="91"/>
      <c r="ARC20" s="91"/>
      <c r="ARD20" s="91"/>
      <c r="ARE20" s="91"/>
      <c r="ARF20" s="91"/>
      <c r="ARG20" s="91"/>
      <c r="ARH20" s="91"/>
      <c r="ARI20" s="91"/>
      <c r="ARJ20" s="91"/>
      <c r="ARK20" s="91"/>
      <c r="ARL20" s="91"/>
      <c r="ARM20" s="91"/>
      <c r="ARN20" s="91"/>
      <c r="ARO20" s="91"/>
      <c r="ARP20" s="91"/>
      <c r="ARQ20" s="91"/>
      <c r="ARR20" s="91"/>
      <c r="ARS20" s="91"/>
      <c r="ART20" s="91"/>
      <c r="ARU20" s="91"/>
      <c r="ARV20" s="91"/>
      <c r="ARW20" s="91"/>
      <c r="ARX20" s="91"/>
      <c r="ARY20" s="91"/>
      <c r="ARZ20" s="91"/>
      <c r="ASA20" s="91"/>
      <c r="ASB20" s="91"/>
      <c r="ASC20" s="91"/>
      <c r="ASD20" s="91"/>
      <c r="ASE20" s="91"/>
      <c r="ASF20" s="91"/>
      <c r="ASG20" s="91"/>
      <c r="ASH20" s="91"/>
      <c r="ASI20" s="91"/>
      <c r="ASJ20" s="91"/>
      <c r="ASK20" s="91"/>
      <c r="ASL20" s="91"/>
      <c r="ASM20" s="91"/>
      <c r="ASN20" s="91"/>
      <c r="ASO20" s="91"/>
      <c r="ASP20" s="91"/>
      <c r="ASQ20" s="91"/>
      <c r="ASR20" s="91"/>
      <c r="ASS20" s="91"/>
      <c r="AST20" s="91"/>
      <c r="ASU20" s="91"/>
      <c r="ASV20" s="91"/>
      <c r="ASW20" s="91"/>
      <c r="ASX20" s="91"/>
      <c r="ASY20" s="91"/>
      <c r="ASZ20" s="91"/>
      <c r="ATA20" s="91"/>
      <c r="ATB20" s="91"/>
      <c r="ATC20" s="91"/>
      <c r="ATD20" s="91"/>
      <c r="ATE20" s="91"/>
      <c r="ATF20" s="91"/>
      <c r="ATG20" s="91"/>
      <c r="ATH20" s="91"/>
      <c r="ATI20" s="91"/>
      <c r="ATJ20" s="91"/>
      <c r="ATK20" s="91"/>
      <c r="ATL20" s="91"/>
      <c r="ATM20" s="91"/>
      <c r="ATN20" s="91"/>
      <c r="ATO20" s="91"/>
      <c r="ATP20" s="91"/>
      <c r="ATQ20" s="91"/>
      <c r="ATR20" s="91"/>
      <c r="ATS20" s="91"/>
      <c r="ATT20" s="91"/>
      <c r="ATU20" s="91"/>
      <c r="ATV20" s="91"/>
      <c r="ATW20" s="91"/>
      <c r="ATX20" s="91"/>
      <c r="ATY20" s="91"/>
      <c r="ATZ20" s="91"/>
      <c r="AUA20" s="91"/>
      <c r="AUB20" s="91"/>
      <c r="AUC20" s="91"/>
      <c r="AUD20" s="91"/>
      <c r="AUE20" s="91"/>
      <c r="AUF20" s="91"/>
      <c r="AUG20" s="91"/>
      <c r="AUH20" s="91"/>
      <c r="AUI20" s="91"/>
      <c r="AUJ20" s="91"/>
      <c r="AUK20" s="91"/>
      <c r="AUL20" s="91"/>
      <c r="AUM20" s="91"/>
      <c r="AUN20" s="91"/>
      <c r="AUO20" s="91"/>
      <c r="AUP20" s="91"/>
      <c r="AUQ20" s="91"/>
      <c r="AUR20" s="91"/>
      <c r="AUS20" s="91"/>
      <c r="AUT20" s="91"/>
      <c r="AUU20" s="91"/>
      <c r="AUV20" s="91"/>
      <c r="AUW20" s="91"/>
      <c r="AUX20" s="91"/>
      <c r="AUY20" s="91"/>
      <c r="AUZ20" s="91"/>
      <c r="AVA20" s="91"/>
      <c r="AVB20" s="91"/>
      <c r="AVC20" s="91"/>
      <c r="AVD20" s="91"/>
      <c r="AVE20" s="91"/>
      <c r="AVF20" s="91"/>
      <c r="AVG20" s="91"/>
      <c r="AVH20" s="91"/>
      <c r="AVI20" s="91"/>
      <c r="AVJ20" s="91"/>
      <c r="AVK20" s="91"/>
      <c r="AVL20" s="91"/>
      <c r="AVM20" s="91"/>
      <c r="AVN20" s="91"/>
      <c r="AVO20" s="91"/>
      <c r="AVP20" s="91"/>
      <c r="AVQ20" s="91"/>
      <c r="AVR20" s="91"/>
      <c r="AVS20" s="91"/>
      <c r="AVT20" s="91"/>
      <c r="AVU20" s="91"/>
      <c r="AVV20" s="91"/>
      <c r="AVW20" s="91"/>
      <c r="AVX20" s="91"/>
      <c r="AVY20" s="91"/>
      <c r="AVZ20" s="91"/>
      <c r="AWA20" s="91"/>
      <c r="AWB20" s="91"/>
      <c r="AWC20" s="91"/>
      <c r="AWD20" s="91"/>
      <c r="AWE20" s="91"/>
      <c r="AWF20" s="91"/>
      <c r="AWG20" s="91"/>
      <c r="AWH20" s="91"/>
      <c r="AWI20" s="91"/>
      <c r="AWJ20" s="91"/>
      <c r="AWK20" s="91"/>
      <c r="AWL20" s="91"/>
      <c r="AWM20" s="91"/>
      <c r="AWN20" s="91"/>
      <c r="AWO20" s="91"/>
      <c r="AWP20" s="91"/>
      <c r="AWQ20" s="91"/>
      <c r="AWR20" s="91"/>
      <c r="AWS20" s="91"/>
      <c r="AWT20" s="91"/>
      <c r="AWU20" s="91"/>
      <c r="AWV20" s="91"/>
      <c r="AWW20" s="91"/>
      <c r="AWX20" s="91"/>
      <c r="AWY20" s="91"/>
      <c r="AWZ20" s="91"/>
      <c r="AXA20" s="91"/>
      <c r="AXB20" s="91"/>
      <c r="AXC20" s="91"/>
      <c r="AXD20" s="91"/>
      <c r="AXE20" s="91"/>
      <c r="AXF20" s="91"/>
      <c r="AXG20" s="91"/>
      <c r="AXH20" s="91"/>
      <c r="AXI20" s="91"/>
      <c r="AXJ20" s="91"/>
      <c r="AXK20" s="91"/>
      <c r="AXL20" s="91"/>
      <c r="AXM20" s="91"/>
      <c r="AXN20" s="91"/>
      <c r="AXO20" s="91"/>
      <c r="AXP20" s="91"/>
      <c r="AXQ20" s="91"/>
      <c r="AXR20" s="91"/>
      <c r="AXS20" s="91"/>
      <c r="AXT20" s="91"/>
      <c r="AXU20" s="91"/>
      <c r="AXV20" s="91"/>
      <c r="AXW20" s="91"/>
      <c r="AXX20" s="91"/>
      <c r="AXY20" s="91"/>
      <c r="AXZ20" s="91"/>
      <c r="AYA20" s="91"/>
      <c r="AYB20" s="91"/>
      <c r="AYC20" s="91"/>
      <c r="AYD20" s="91"/>
      <c r="AYE20" s="91"/>
      <c r="AYF20" s="91"/>
      <c r="AYG20" s="91"/>
      <c r="AYH20" s="91"/>
      <c r="AYI20" s="91"/>
      <c r="AYJ20" s="91"/>
      <c r="AYK20" s="91"/>
      <c r="AYL20" s="91"/>
      <c r="AYM20" s="91"/>
      <c r="AYN20" s="91"/>
      <c r="AYO20" s="91"/>
      <c r="AYP20" s="91"/>
      <c r="AYQ20" s="91"/>
      <c r="AYR20" s="91"/>
      <c r="AYS20" s="91"/>
      <c r="AYT20" s="91"/>
      <c r="AYU20" s="91"/>
      <c r="AYV20" s="91"/>
      <c r="AYW20" s="91"/>
      <c r="AYX20" s="91"/>
      <c r="AYY20" s="91"/>
      <c r="AYZ20" s="91"/>
      <c r="AZA20" s="91"/>
      <c r="AZB20" s="91"/>
      <c r="AZC20" s="91"/>
      <c r="AZD20" s="91"/>
      <c r="AZE20" s="91"/>
      <c r="AZF20" s="91"/>
      <c r="AZG20" s="91"/>
      <c r="AZH20" s="91"/>
      <c r="AZI20" s="91"/>
      <c r="AZJ20" s="91"/>
      <c r="AZK20" s="91"/>
      <c r="AZL20" s="91"/>
      <c r="AZM20" s="91"/>
      <c r="AZN20" s="91"/>
      <c r="AZO20" s="91"/>
      <c r="AZP20" s="91"/>
      <c r="AZQ20" s="91"/>
      <c r="AZR20" s="91"/>
      <c r="AZS20" s="91"/>
      <c r="AZT20" s="91"/>
      <c r="AZU20" s="91"/>
      <c r="AZV20" s="91"/>
      <c r="AZW20" s="91"/>
      <c r="AZX20" s="91"/>
      <c r="AZY20" s="91"/>
      <c r="AZZ20" s="91"/>
      <c r="BAA20" s="91"/>
      <c r="BAB20" s="91"/>
      <c r="BAC20" s="91"/>
      <c r="BAD20" s="91"/>
      <c r="BAE20" s="91"/>
      <c r="BAF20" s="91"/>
      <c r="BAG20" s="91"/>
      <c r="BAH20" s="91"/>
      <c r="BAI20" s="91"/>
      <c r="BAJ20" s="91"/>
      <c r="BAK20" s="91"/>
      <c r="BAL20" s="91"/>
      <c r="BAM20" s="91"/>
      <c r="BAN20" s="91"/>
      <c r="BAO20" s="91"/>
      <c r="BAP20" s="91"/>
      <c r="BAQ20" s="91"/>
      <c r="BAR20" s="91"/>
      <c r="BAS20" s="91"/>
      <c r="BAT20" s="91"/>
      <c r="BAU20" s="91"/>
      <c r="BAV20" s="91"/>
      <c r="BAW20" s="91"/>
      <c r="BAX20" s="91"/>
      <c r="BAY20" s="91"/>
      <c r="BAZ20" s="91"/>
      <c r="BBA20" s="91"/>
      <c r="BBB20" s="91"/>
      <c r="BBC20" s="91"/>
      <c r="BBD20" s="91"/>
      <c r="BBE20" s="91"/>
      <c r="BBF20" s="91"/>
      <c r="BBG20" s="91"/>
      <c r="BBH20" s="91"/>
      <c r="BBI20" s="91"/>
      <c r="BBJ20" s="91"/>
      <c r="BBK20" s="91"/>
      <c r="BBL20" s="91"/>
      <c r="BBM20" s="91"/>
      <c r="BBN20" s="91"/>
      <c r="BBO20" s="91"/>
      <c r="BBP20" s="91"/>
      <c r="BBQ20" s="91"/>
      <c r="BBR20" s="91"/>
      <c r="BBS20" s="91"/>
      <c r="BBT20" s="91"/>
      <c r="BBU20" s="91"/>
      <c r="BBV20" s="91"/>
      <c r="BBW20" s="91"/>
      <c r="BBX20" s="91"/>
      <c r="BBY20" s="91"/>
      <c r="BBZ20" s="91"/>
      <c r="BCA20" s="91"/>
      <c r="BCB20" s="91"/>
      <c r="BCC20" s="91"/>
      <c r="BCD20" s="91"/>
      <c r="BCE20" s="91"/>
      <c r="BCF20" s="91"/>
      <c r="BCG20" s="91"/>
      <c r="BCH20" s="91"/>
      <c r="BCI20" s="91"/>
      <c r="BCJ20" s="91"/>
      <c r="BCK20" s="91"/>
      <c r="BCL20" s="91"/>
      <c r="BCM20" s="91"/>
      <c r="BCN20" s="91"/>
      <c r="BCO20" s="91"/>
      <c r="BCP20" s="91"/>
      <c r="BCQ20" s="91"/>
      <c r="BCR20" s="91"/>
      <c r="BCS20" s="91"/>
      <c r="BCT20" s="91"/>
      <c r="BCU20" s="91"/>
      <c r="BCV20" s="91"/>
      <c r="BCW20" s="91"/>
      <c r="BCX20" s="91"/>
      <c r="BCY20" s="91"/>
      <c r="BCZ20" s="91"/>
      <c r="BDA20" s="91"/>
      <c r="BDB20" s="91"/>
      <c r="BDC20" s="91"/>
      <c r="BDD20" s="91"/>
      <c r="BDE20" s="91"/>
      <c r="BDF20" s="91"/>
      <c r="BDG20" s="91"/>
      <c r="BDH20" s="91"/>
      <c r="BDI20" s="91"/>
      <c r="BDJ20" s="91"/>
      <c r="BDK20" s="91"/>
      <c r="BDL20" s="91"/>
      <c r="BDM20" s="91"/>
      <c r="BDN20" s="91"/>
      <c r="BDO20" s="91"/>
      <c r="BDP20" s="91"/>
      <c r="BDQ20" s="91"/>
      <c r="BDR20" s="91"/>
      <c r="BDS20" s="91"/>
      <c r="BDT20" s="91"/>
      <c r="BDU20" s="91"/>
      <c r="BDV20" s="91"/>
      <c r="BDW20" s="91"/>
      <c r="BDX20" s="91"/>
      <c r="BDY20" s="91"/>
      <c r="BDZ20" s="91"/>
      <c r="BEA20" s="91"/>
      <c r="BEB20" s="91"/>
      <c r="BEC20" s="91"/>
      <c r="BED20" s="91"/>
      <c r="BEE20" s="91"/>
      <c r="BEF20" s="91"/>
      <c r="BEG20" s="91"/>
      <c r="BEH20" s="91"/>
      <c r="BEI20" s="91"/>
      <c r="BEJ20" s="91"/>
      <c r="BEK20" s="91"/>
    </row>
    <row r="21" spans="1:1493" customFormat="1" x14ac:dyDescent="0.2">
      <c r="BC21" s="91"/>
      <c r="BD21" s="91"/>
      <c r="BE21" s="91"/>
      <c r="BF21" s="91"/>
      <c r="BG21" s="91"/>
      <c r="BH21" s="91"/>
      <c r="BI21" s="91"/>
      <c r="BJ21" s="91"/>
      <c r="BK21" s="91"/>
      <c r="BL21" s="91"/>
      <c r="BM21" s="91"/>
      <c r="BN21" s="91"/>
      <c r="BO21" s="91"/>
      <c r="BP21" s="91"/>
      <c r="BQ21" s="91"/>
      <c r="BR21" s="91"/>
      <c r="BS21" s="91"/>
      <c r="BT21" s="91"/>
      <c r="BU21" s="91"/>
      <c r="BV21" s="91"/>
      <c r="BW21" s="91"/>
      <c r="BX21" s="91"/>
      <c r="BY21" s="91"/>
      <c r="BZ21" s="91"/>
      <c r="CA21" s="91"/>
      <c r="CB21" s="91"/>
      <c r="CC21" s="91"/>
      <c r="CD21" s="91"/>
      <c r="CE21" s="91"/>
      <c r="CF21" s="91"/>
      <c r="CG21" s="91"/>
      <c r="CH21" s="91"/>
      <c r="CI21" s="91"/>
      <c r="CJ21" s="91"/>
      <c r="CK21" s="91"/>
      <c r="CL21" s="91"/>
      <c r="CM21" s="91"/>
      <c r="CN21" s="91"/>
      <c r="CO21" s="91"/>
      <c r="CP21" s="91"/>
      <c r="CQ21" s="91"/>
      <c r="CR21" s="91"/>
      <c r="CS21" s="91"/>
      <c r="CT21" s="91"/>
      <c r="CU21" s="91"/>
      <c r="CV21" s="91"/>
      <c r="CW21" s="91"/>
      <c r="CX21" s="91"/>
      <c r="CY21" s="91"/>
      <c r="CZ21" s="91"/>
      <c r="DA21" s="91"/>
      <c r="DB21" s="91"/>
      <c r="DC21" s="91"/>
      <c r="DD21" s="91"/>
      <c r="DE21" s="91"/>
      <c r="DF21" s="91"/>
      <c r="DG21" s="91"/>
      <c r="DH21" s="91"/>
      <c r="DI21" s="91"/>
      <c r="DJ21" s="91"/>
      <c r="DK21" s="91"/>
      <c r="DL21" s="91"/>
      <c r="DM21" s="91"/>
      <c r="DN21" s="91"/>
      <c r="DO21" s="91"/>
      <c r="DP21" s="91"/>
      <c r="DQ21" s="91"/>
      <c r="DR21" s="91"/>
      <c r="DS21" s="91"/>
      <c r="DT21" s="91"/>
      <c r="DU21" s="91"/>
      <c r="DV21" s="91"/>
      <c r="DW21" s="91"/>
      <c r="DX21" s="91"/>
      <c r="DY21" s="91"/>
      <c r="DZ21" s="91"/>
      <c r="EA21" s="91"/>
      <c r="EB21" s="91"/>
      <c r="EC21" s="91"/>
      <c r="ED21" s="91"/>
      <c r="EE21" s="91"/>
      <c r="EF21" s="91"/>
      <c r="EG21" s="91"/>
      <c r="EH21" s="91"/>
      <c r="EI21" s="91"/>
      <c r="EJ21" s="91"/>
      <c r="EK21" s="91"/>
      <c r="EL21" s="91"/>
      <c r="EM21" s="91"/>
      <c r="EN21" s="91"/>
      <c r="EO21" s="91"/>
      <c r="EP21" s="91"/>
      <c r="EQ21" s="91"/>
      <c r="ER21" s="91"/>
      <c r="ES21" s="91"/>
      <c r="ET21" s="91"/>
      <c r="EU21" s="91"/>
      <c r="EV21" s="91"/>
      <c r="EW21" s="91"/>
      <c r="EX21" s="91"/>
      <c r="EY21" s="91"/>
      <c r="EZ21" s="91"/>
      <c r="FA21" s="91"/>
      <c r="FB21" s="91"/>
      <c r="FC21" s="91"/>
      <c r="FD21" s="91"/>
      <c r="FE21" s="91"/>
      <c r="FF21" s="91"/>
      <c r="FG21" s="91"/>
      <c r="FH21" s="91"/>
      <c r="FI21" s="91"/>
      <c r="FJ21" s="91"/>
      <c r="FK21" s="91"/>
      <c r="FL21" s="91"/>
      <c r="FM21" s="91"/>
      <c r="FN21" s="91"/>
      <c r="FO21" s="91"/>
      <c r="FP21" s="91"/>
      <c r="FQ21" s="91"/>
      <c r="FR21" s="91"/>
      <c r="FS21" s="91"/>
      <c r="FT21" s="91"/>
      <c r="FU21" s="91"/>
      <c r="FV21" s="91"/>
      <c r="FW21" s="91"/>
      <c r="FX21" s="91"/>
      <c r="FY21" s="91"/>
      <c r="FZ21" s="91"/>
      <c r="GA21" s="91"/>
      <c r="GB21" s="91"/>
      <c r="GC21" s="91"/>
      <c r="GD21" s="91"/>
      <c r="GE21" s="91"/>
      <c r="GF21" s="91"/>
      <c r="GG21" s="91"/>
      <c r="GH21" s="91"/>
      <c r="GI21" s="91"/>
      <c r="GJ21" s="91"/>
      <c r="GK21" s="91"/>
      <c r="GL21" s="91"/>
      <c r="GM21" s="91"/>
      <c r="GN21" s="91"/>
      <c r="GO21" s="91"/>
      <c r="GP21" s="91"/>
      <c r="GQ21" s="91"/>
      <c r="GR21" s="91"/>
      <c r="GS21" s="91"/>
      <c r="GT21" s="91"/>
      <c r="GU21" s="91"/>
      <c r="GV21" s="91"/>
      <c r="GW21" s="91"/>
      <c r="GX21" s="91"/>
      <c r="GY21" s="91"/>
      <c r="GZ21" s="91"/>
      <c r="HA21" s="91"/>
      <c r="HB21" s="91"/>
      <c r="HC21" s="91"/>
      <c r="HD21" s="91"/>
      <c r="HE21" s="91"/>
      <c r="HF21" s="91"/>
      <c r="HG21" s="91"/>
      <c r="HH21" s="91"/>
      <c r="HI21" s="91"/>
      <c r="HJ21" s="91"/>
      <c r="HK21" s="91"/>
      <c r="HL21" s="91"/>
      <c r="HM21" s="91"/>
      <c r="HN21" s="91"/>
      <c r="HO21" s="91"/>
      <c r="HP21" s="91"/>
      <c r="HQ21" s="91"/>
      <c r="HR21" s="91"/>
      <c r="HS21" s="91"/>
      <c r="HT21" s="91"/>
      <c r="HU21" s="91"/>
      <c r="HV21" s="91"/>
      <c r="HW21" s="91"/>
      <c r="HX21" s="91"/>
      <c r="HY21" s="91"/>
      <c r="HZ21" s="91"/>
      <c r="IA21" s="91"/>
      <c r="IB21" s="91"/>
      <c r="IC21" s="91"/>
      <c r="ID21" s="91"/>
      <c r="IE21" s="91"/>
      <c r="IF21" s="91"/>
      <c r="IG21" s="91"/>
      <c r="IH21" s="91"/>
      <c r="II21" s="91"/>
      <c r="IJ21" s="91"/>
      <c r="IK21" s="91"/>
      <c r="IL21" s="91"/>
      <c r="IM21" s="91"/>
      <c r="IN21" s="91"/>
      <c r="IO21" s="91"/>
      <c r="IP21" s="91"/>
      <c r="IQ21" s="91"/>
      <c r="IR21" s="91"/>
      <c r="IS21" s="91"/>
      <c r="IT21" s="91"/>
      <c r="IU21" s="91"/>
      <c r="IV21" s="91"/>
      <c r="IW21" s="91"/>
      <c r="IX21" s="91"/>
      <c r="IY21" s="91"/>
      <c r="IZ21" s="91"/>
      <c r="JA21" s="91"/>
      <c r="JB21" s="91"/>
      <c r="JC21" s="91"/>
      <c r="JD21" s="91"/>
      <c r="JE21" s="91"/>
      <c r="JF21" s="91"/>
      <c r="JG21" s="91"/>
      <c r="JH21" s="91"/>
      <c r="JI21" s="91"/>
      <c r="JJ21" s="91"/>
      <c r="JK21" s="91"/>
      <c r="JL21" s="91"/>
      <c r="JM21" s="91"/>
      <c r="JN21" s="91"/>
      <c r="JO21" s="91"/>
      <c r="JP21" s="91"/>
      <c r="JQ21" s="91"/>
      <c r="JR21" s="91"/>
      <c r="JS21" s="91"/>
      <c r="JT21" s="91"/>
      <c r="JU21" s="91"/>
      <c r="JV21" s="91"/>
      <c r="JW21" s="91"/>
      <c r="JX21" s="91"/>
      <c r="JY21" s="91"/>
      <c r="JZ21" s="91"/>
      <c r="KA21" s="91"/>
      <c r="KB21" s="91"/>
      <c r="KC21" s="91"/>
      <c r="KD21" s="91"/>
      <c r="KE21" s="91"/>
      <c r="KF21" s="91"/>
      <c r="KG21" s="91"/>
      <c r="KH21" s="91"/>
      <c r="KI21" s="91"/>
      <c r="KJ21" s="91"/>
      <c r="KK21" s="91"/>
      <c r="KL21" s="91"/>
      <c r="KM21" s="91"/>
      <c r="KN21" s="91"/>
      <c r="KO21" s="91"/>
      <c r="KP21" s="91"/>
      <c r="KQ21" s="91"/>
      <c r="KR21" s="91"/>
      <c r="KS21" s="91"/>
      <c r="KT21" s="91"/>
      <c r="KU21" s="91"/>
      <c r="KV21" s="91"/>
      <c r="KW21" s="91"/>
      <c r="KX21" s="91"/>
      <c r="KY21" s="91"/>
      <c r="KZ21" s="91"/>
      <c r="LA21" s="91"/>
      <c r="LB21" s="91"/>
      <c r="LC21" s="91"/>
      <c r="LD21" s="91"/>
      <c r="LE21" s="91"/>
      <c r="LF21" s="91"/>
      <c r="LG21" s="91"/>
      <c r="LH21" s="91"/>
      <c r="LI21" s="91"/>
      <c r="LJ21" s="91"/>
      <c r="LK21" s="91"/>
      <c r="LL21" s="91"/>
      <c r="LM21" s="91"/>
      <c r="LN21" s="91"/>
      <c r="LO21" s="91"/>
      <c r="LP21" s="91"/>
      <c r="LQ21" s="91"/>
      <c r="LR21" s="91"/>
      <c r="LS21" s="91"/>
      <c r="LT21" s="91"/>
      <c r="LU21" s="91"/>
      <c r="LV21" s="91"/>
      <c r="LW21" s="91"/>
      <c r="LX21" s="91"/>
      <c r="LY21" s="91"/>
      <c r="LZ21" s="91"/>
      <c r="MA21" s="91"/>
      <c r="MB21" s="91"/>
      <c r="MC21" s="91"/>
      <c r="MD21" s="91"/>
      <c r="ME21" s="91"/>
      <c r="MF21" s="91"/>
      <c r="MG21" s="91"/>
      <c r="MH21" s="91"/>
      <c r="MI21" s="91"/>
      <c r="MJ21" s="91"/>
      <c r="MK21" s="91"/>
      <c r="ML21" s="91"/>
      <c r="MM21" s="91"/>
      <c r="MN21" s="91"/>
      <c r="MO21" s="91"/>
      <c r="MP21" s="91"/>
      <c r="MQ21" s="91"/>
      <c r="MR21" s="91"/>
      <c r="MS21" s="91"/>
      <c r="MT21" s="91"/>
      <c r="MU21" s="91"/>
      <c r="MV21" s="91"/>
      <c r="MW21" s="91"/>
      <c r="MX21" s="91"/>
      <c r="MY21" s="91"/>
      <c r="MZ21" s="91"/>
      <c r="NA21" s="91"/>
      <c r="NB21" s="91"/>
      <c r="NC21" s="91"/>
      <c r="ND21" s="91"/>
      <c r="NE21" s="91"/>
      <c r="NF21" s="91"/>
      <c r="NG21" s="91"/>
      <c r="NH21" s="91"/>
      <c r="NI21" s="91"/>
      <c r="NJ21" s="91"/>
      <c r="NK21" s="91"/>
      <c r="NL21" s="91"/>
      <c r="NM21" s="91"/>
      <c r="NN21" s="91"/>
      <c r="NO21" s="91"/>
      <c r="NP21" s="91"/>
      <c r="NQ21" s="91"/>
      <c r="NR21" s="91"/>
      <c r="NS21" s="91"/>
      <c r="NT21" s="91"/>
      <c r="NU21" s="91"/>
      <c r="NV21" s="91"/>
      <c r="NW21" s="91"/>
      <c r="NX21" s="91"/>
      <c r="NY21" s="91"/>
      <c r="NZ21" s="91"/>
      <c r="OA21" s="91"/>
      <c r="OB21" s="91"/>
      <c r="OC21" s="91"/>
      <c r="OD21" s="91"/>
      <c r="OE21" s="91"/>
      <c r="OF21" s="91"/>
      <c r="OG21" s="91"/>
      <c r="OH21" s="91"/>
      <c r="OI21" s="91"/>
      <c r="OJ21" s="91"/>
      <c r="OK21" s="91"/>
      <c r="OL21" s="91"/>
      <c r="OM21" s="91"/>
      <c r="ON21" s="91"/>
      <c r="OO21" s="91"/>
      <c r="OP21" s="91"/>
      <c r="OQ21" s="91"/>
      <c r="OR21" s="91"/>
      <c r="OS21" s="91"/>
      <c r="OT21" s="91"/>
      <c r="OU21" s="91"/>
      <c r="OV21" s="91"/>
      <c r="OW21" s="91"/>
      <c r="OX21" s="91"/>
      <c r="OY21" s="91"/>
      <c r="OZ21" s="91"/>
      <c r="PA21" s="91"/>
      <c r="PB21" s="91"/>
      <c r="PC21" s="91"/>
      <c r="PD21" s="91"/>
      <c r="PE21" s="91"/>
      <c r="PF21" s="91"/>
      <c r="PG21" s="91"/>
      <c r="PH21" s="91"/>
      <c r="PI21" s="91"/>
      <c r="PJ21" s="91"/>
      <c r="PK21" s="91"/>
      <c r="PL21" s="91"/>
      <c r="PM21" s="91"/>
      <c r="PN21" s="91"/>
      <c r="PO21" s="91"/>
      <c r="PP21" s="91"/>
      <c r="PQ21" s="91"/>
      <c r="PR21" s="91"/>
      <c r="PS21" s="91"/>
      <c r="PT21" s="91"/>
      <c r="PU21" s="91"/>
      <c r="PV21" s="91"/>
      <c r="PW21" s="91"/>
      <c r="PX21" s="91"/>
      <c r="PY21" s="91"/>
      <c r="PZ21" s="91"/>
      <c r="QA21" s="91"/>
      <c r="QB21" s="91"/>
      <c r="QC21" s="91"/>
      <c r="QD21" s="91"/>
      <c r="QE21" s="91"/>
      <c r="QF21" s="91"/>
      <c r="QG21" s="91"/>
      <c r="QH21" s="91"/>
      <c r="QI21" s="91"/>
      <c r="QJ21" s="91"/>
      <c r="QK21" s="91"/>
      <c r="QL21" s="91"/>
      <c r="QM21" s="91"/>
      <c r="QN21" s="91"/>
      <c r="QO21" s="91"/>
      <c r="QP21" s="91"/>
      <c r="QQ21" s="91"/>
      <c r="QR21" s="91"/>
      <c r="QS21" s="91"/>
      <c r="QT21" s="91"/>
      <c r="QU21" s="91"/>
      <c r="QV21" s="91"/>
      <c r="QW21" s="91"/>
      <c r="QX21" s="91"/>
      <c r="QY21" s="91"/>
      <c r="QZ21" s="91"/>
      <c r="RA21" s="91"/>
      <c r="RB21" s="91"/>
      <c r="RC21" s="91"/>
      <c r="RD21" s="91"/>
      <c r="RE21" s="91"/>
      <c r="RF21" s="91"/>
      <c r="RG21" s="91"/>
      <c r="RH21" s="91"/>
      <c r="RI21" s="91"/>
      <c r="RJ21" s="91"/>
      <c r="RK21" s="91"/>
      <c r="RL21" s="91"/>
      <c r="RM21" s="91"/>
      <c r="RN21" s="91"/>
      <c r="RO21" s="91"/>
      <c r="RP21" s="91"/>
      <c r="RQ21" s="91"/>
      <c r="RR21" s="91"/>
      <c r="RS21" s="91"/>
      <c r="RT21" s="91"/>
      <c r="RU21" s="91"/>
      <c r="RV21" s="91"/>
      <c r="RW21" s="91"/>
      <c r="RX21" s="91"/>
      <c r="RY21" s="91"/>
      <c r="RZ21" s="91"/>
      <c r="SA21" s="91"/>
      <c r="SB21" s="91"/>
      <c r="SC21" s="91"/>
      <c r="SD21" s="91"/>
      <c r="SE21" s="91"/>
      <c r="SF21" s="91"/>
      <c r="SG21" s="91"/>
      <c r="SH21" s="91"/>
      <c r="SI21" s="91"/>
      <c r="SJ21" s="91"/>
      <c r="SK21" s="91"/>
      <c r="SL21" s="91"/>
      <c r="SM21" s="91"/>
      <c r="SN21" s="91"/>
      <c r="SO21" s="91"/>
      <c r="SP21" s="91"/>
      <c r="SQ21" s="91"/>
      <c r="SR21" s="91"/>
      <c r="SS21" s="91"/>
      <c r="ST21" s="91"/>
      <c r="SU21" s="91"/>
      <c r="SV21" s="91"/>
      <c r="SW21" s="91"/>
      <c r="SX21" s="91"/>
      <c r="SY21" s="91"/>
      <c r="SZ21" s="91"/>
      <c r="TA21" s="91"/>
      <c r="TB21" s="91"/>
      <c r="TC21" s="91"/>
      <c r="TD21" s="91"/>
      <c r="TE21" s="91"/>
      <c r="TF21" s="91"/>
      <c r="TG21" s="91"/>
      <c r="TH21" s="91"/>
      <c r="TI21" s="91"/>
      <c r="TJ21" s="91"/>
      <c r="TK21" s="91"/>
      <c r="TL21" s="91"/>
      <c r="TM21" s="91"/>
      <c r="TN21" s="91"/>
      <c r="TO21" s="91"/>
      <c r="TP21" s="91"/>
      <c r="TQ21" s="91"/>
      <c r="TR21" s="91"/>
      <c r="TS21" s="91"/>
      <c r="TT21" s="91"/>
      <c r="TU21" s="91"/>
      <c r="TV21" s="91"/>
      <c r="TW21" s="91"/>
      <c r="TX21" s="91"/>
      <c r="TY21" s="91"/>
      <c r="TZ21" s="91"/>
      <c r="UA21" s="91"/>
      <c r="UB21" s="91"/>
      <c r="UC21" s="91"/>
      <c r="UD21" s="91"/>
      <c r="UE21" s="91"/>
      <c r="UF21" s="91"/>
      <c r="UG21" s="91"/>
      <c r="UH21" s="91"/>
      <c r="UI21" s="91"/>
      <c r="UJ21" s="91"/>
      <c r="UK21" s="91"/>
      <c r="UL21" s="91"/>
      <c r="UM21" s="91"/>
      <c r="UN21" s="91"/>
      <c r="UO21" s="91"/>
      <c r="UP21" s="91"/>
      <c r="UQ21" s="91"/>
      <c r="UR21" s="91"/>
      <c r="US21" s="91"/>
      <c r="UT21" s="91"/>
      <c r="UU21" s="91"/>
      <c r="UV21" s="91"/>
      <c r="UW21" s="91"/>
      <c r="UX21" s="91"/>
      <c r="UY21" s="91"/>
      <c r="UZ21" s="91"/>
      <c r="VA21" s="91"/>
      <c r="VB21" s="91"/>
      <c r="VC21" s="91"/>
      <c r="VD21" s="91"/>
      <c r="VE21" s="91"/>
      <c r="VF21" s="91"/>
      <c r="VG21" s="91"/>
      <c r="VH21" s="91"/>
      <c r="VI21" s="91"/>
      <c r="VJ21" s="91"/>
      <c r="VK21" s="91"/>
      <c r="VL21" s="91"/>
      <c r="VM21" s="91"/>
      <c r="VN21" s="91"/>
      <c r="VO21" s="91"/>
      <c r="VP21" s="91"/>
      <c r="VQ21" s="91"/>
      <c r="VR21" s="91"/>
      <c r="VS21" s="91"/>
      <c r="VT21" s="91"/>
      <c r="VU21" s="91"/>
      <c r="VV21" s="91"/>
      <c r="VW21" s="91"/>
      <c r="VX21" s="91"/>
      <c r="VY21" s="91"/>
      <c r="VZ21" s="91"/>
      <c r="WA21" s="91"/>
      <c r="WB21" s="91"/>
      <c r="WC21" s="91"/>
      <c r="WD21" s="91"/>
      <c r="WE21" s="91"/>
      <c r="WF21" s="91"/>
      <c r="WG21" s="91"/>
      <c r="WH21" s="91"/>
      <c r="WI21" s="91"/>
      <c r="WJ21" s="91"/>
      <c r="WK21" s="91"/>
      <c r="WL21" s="91"/>
      <c r="WM21" s="91"/>
      <c r="WN21" s="91"/>
      <c r="WO21" s="91"/>
      <c r="WP21" s="91"/>
      <c r="WQ21" s="91"/>
      <c r="WR21" s="91"/>
      <c r="WS21" s="91"/>
      <c r="WT21" s="91"/>
      <c r="WU21" s="91"/>
      <c r="WV21" s="91"/>
      <c r="WW21" s="91"/>
      <c r="WX21" s="91"/>
      <c r="WY21" s="91"/>
      <c r="WZ21" s="91"/>
      <c r="XA21" s="91"/>
      <c r="XB21" s="91"/>
      <c r="XC21" s="91"/>
      <c r="XD21" s="91"/>
      <c r="XE21" s="91"/>
      <c r="XF21" s="91"/>
      <c r="XG21" s="91"/>
      <c r="XH21" s="91"/>
      <c r="XI21" s="91"/>
      <c r="XJ21" s="91"/>
      <c r="XK21" s="91"/>
      <c r="XL21" s="91"/>
      <c r="XM21" s="91"/>
      <c r="XN21" s="91"/>
      <c r="XO21" s="91"/>
      <c r="XP21" s="91"/>
      <c r="XQ21" s="91"/>
      <c r="XR21" s="91"/>
      <c r="XS21" s="91"/>
      <c r="XT21" s="91"/>
      <c r="XU21" s="91"/>
      <c r="XV21" s="91"/>
      <c r="XW21" s="91"/>
      <c r="XX21" s="91"/>
      <c r="XY21" s="91"/>
      <c r="XZ21" s="91"/>
      <c r="YA21" s="91"/>
      <c r="YB21" s="91"/>
      <c r="YC21" s="91"/>
      <c r="YD21" s="91"/>
      <c r="YE21" s="91"/>
      <c r="YF21" s="91"/>
      <c r="YG21" s="91"/>
      <c r="YH21" s="91"/>
      <c r="YI21" s="91"/>
      <c r="YJ21" s="91"/>
      <c r="YK21" s="91"/>
      <c r="YL21" s="91"/>
      <c r="YM21" s="91"/>
      <c r="YN21" s="91"/>
      <c r="YO21" s="91"/>
      <c r="YP21" s="91"/>
      <c r="YQ21" s="91"/>
      <c r="YR21" s="91"/>
      <c r="YS21" s="91"/>
      <c r="YT21" s="91"/>
      <c r="YU21" s="91"/>
      <c r="YV21" s="91"/>
      <c r="YW21" s="91"/>
      <c r="YX21" s="91"/>
      <c r="YY21" s="91"/>
      <c r="YZ21" s="91"/>
      <c r="ZA21" s="91"/>
      <c r="ZB21" s="91"/>
      <c r="ZC21" s="91"/>
      <c r="ZD21" s="91"/>
      <c r="ZE21" s="91"/>
      <c r="ZF21" s="91"/>
      <c r="ZG21" s="91"/>
      <c r="ZH21" s="91"/>
      <c r="ZI21" s="91"/>
      <c r="ZJ21" s="91"/>
      <c r="ZK21" s="91"/>
      <c r="ZL21" s="91"/>
      <c r="ZM21" s="91"/>
      <c r="ZN21" s="91"/>
      <c r="ZO21" s="91"/>
      <c r="ZP21" s="91"/>
      <c r="ZQ21" s="91"/>
      <c r="ZR21" s="91"/>
      <c r="ZS21" s="91"/>
      <c r="ZT21" s="91"/>
      <c r="ZU21" s="91"/>
      <c r="ZV21" s="91"/>
      <c r="ZW21" s="91"/>
      <c r="ZX21" s="91"/>
      <c r="ZY21" s="91"/>
      <c r="ZZ21" s="91"/>
      <c r="AAA21" s="91"/>
      <c r="AAB21" s="91"/>
      <c r="AAC21" s="91"/>
      <c r="AAD21" s="91"/>
      <c r="AAE21" s="91"/>
      <c r="AAF21" s="91"/>
      <c r="AAG21" s="91"/>
      <c r="AAH21" s="91"/>
      <c r="AAI21" s="91"/>
      <c r="AAJ21" s="91"/>
      <c r="AAK21" s="91"/>
      <c r="AAL21" s="91"/>
      <c r="AAM21" s="91"/>
      <c r="AAN21" s="91"/>
      <c r="AAO21" s="91"/>
      <c r="AAP21" s="91"/>
      <c r="AAQ21" s="91"/>
      <c r="AAR21" s="91"/>
      <c r="AAS21" s="91"/>
      <c r="AAT21" s="91"/>
      <c r="AAU21" s="91"/>
      <c r="AAV21" s="91"/>
      <c r="AAW21" s="91"/>
      <c r="AAX21" s="91"/>
      <c r="AAY21" s="91"/>
      <c r="AAZ21" s="91"/>
      <c r="ABA21" s="91"/>
      <c r="ABB21" s="91"/>
      <c r="ABC21" s="91"/>
      <c r="ABD21" s="91"/>
      <c r="ABE21" s="91"/>
      <c r="ABF21" s="91"/>
      <c r="ABG21" s="91"/>
      <c r="ABH21" s="91"/>
      <c r="ABI21" s="91"/>
      <c r="ABJ21" s="91"/>
      <c r="ABK21" s="91"/>
      <c r="ABL21" s="91"/>
      <c r="ABM21" s="91"/>
      <c r="ABN21" s="91"/>
      <c r="ABO21" s="91"/>
      <c r="ABP21" s="91"/>
      <c r="ABQ21" s="91"/>
      <c r="ABR21" s="91"/>
      <c r="ABS21" s="91"/>
      <c r="ABT21" s="91"/>
      <c r="ABU21" s="91"/>
      <c r="ABV21" s="91"/>
      <c r="ABW21" s="91"/>
      <c r="ABX21" s="91"/>
      <c r="ABY21" s="91"/>
      <c r="ABZ21" s="91"/>
      <c r="ACA21" s="91"/>
      <c r="ACB21" s="91"/>
      <c r="ACC21" s="91"/>
      <c r="ACD21" s="91"/>
      <c r="ACE21" s="91"/>
      <c r="ACF21" s="91"/>
      <c r="ACG21" s="91"/>
      <c r="ACH21" s="91"/>
      <c r="ACI21" s="91"/>
      <c r="ACJ21" s="91"/>
      <c r="ACK21" s="91"/>
      <c r="ACL21" s="91"/>
      <c r="ACM21" s="91"/>
      <c r="ACN21" s="91"/>
      <c r="ACO21" s="91"/>
      <c r="ACP21" s="91"/>
      <c r="ACQ21" s="91"/>
      <c r="ACR21" s="91"/>
      <c r="ACS21" s="91"/>
      <c r="ACT21" s="91"/>
      <c r="ACU21" s="91"/>
      <c r="ACV21" s="91"/>
      <c r="ACW21" s="91"/>
      <c r="ACX21" s="91"/>
      <c r="ACY21" s="91"/>
      <c r="ACZ21" s="91"/>
      <c r="ADA21" s="91"/>
      <c r="ADB21" s="91"/>
      <c r="ADC21" s="91"/>
      <c r="ADD21" s="91"/>
      <c r="ADE21" s="91"/>
      <c r="ADF21" s="91"/>
      <c r="ADG21" s="91"/>
      <c r="ADH21" s="91"/>
      <c r="ADI21" s="91"/>
      <c r="ADJ21" s="91"/>
      <c r="ADK21" s="91"/>
      <c r="ADL21" s="91"/>
      <c r="ADM21" s="91"/>
      <c r="ADN21" s="91"/>
      <c r="ADO21" s="91"/>
      <c r="ADP21" s="91"/>
      <c r="ADQ21" s="91"/>
      <c r="ADR21" s="91"/>
      <c r="ADS21" s="91"/>
      <c r="ADT21" s="91"/>
      <c r="ADU21" s="91"/>
      <c r="ADV21" s="91"/>
      <c r="ADW21" s="91"/>
      <c r="ADX21" s="91"/>
      <c r="ADY21" s="91"/>
      <c r="ADZ21" s="91"/>
      <c r="AEA21" s="91"/>
      <c r="AEB21" s="91"/>
      <c r="AEC21" s="91"/>
      <c r="AED21" s="91"/>
      <c r="AEE21" s="91"/>
      <c r="AEF21" s="91"/>
      <c r="AEG21" s="91"/>
      <c r="AEH21" s="91"/>
      <c r="AEI21" s="91"/>
      <c r="AEJ21" s="91"/>
      <c r="AEK21" s="91"/>
      <c r="AEL21" s="91"/>
      <c r="AEM21" s="91"/>
      <c r="AEN21" s="91"/>
      <c r="AEO21" s="91"/>
      <c r="AEP21" s="91"/>
      <c r="AEQ21" s="91"/>
      <c r="AER21" s="91"/>
      <c r="AES21" s="91"/>
      <c r="AET21" s="91"/>
      <c r="AEU21" s="91"/>
      <c r="AEV21" s="91"/>
      <c r="AEW21" s="91"/>
      <c r="AEX21" s="91"/>
      <c r="AEY21" s="91"/>
      <c r="AEZ21" s="91"/>
      <c r="AFA21" s="91"/>
      <c r="AFB21" s="91"/>
      <c r="AFC21" s="91"/>
      <c r="AFD21" s="91"/>
      <c r="AFE21" s="91"/>
      <c r="AFF21" s="91"/>
      <c r="AFG21" s="91"/>
      <c r="AFH21" s="91"/>
      <c r="AFI21" s="91"/>
      <c r="AFJ21" s="91"/>
      <c r="AFK21" s="91"/>
      <c r="AFL21" s="91"/>
      <c r="AFM21" s="91"/>
      <c r="AFN21" s="91"/>
      <c r="AFO21" s="91"/>
      <c r="AFP21" s="91"/>
      <c r="AFQ21" s="91"/>
      <c r="AFR21" s="91"/>
      <c r="AFS21" s="91"/>
      <c r="AFT21" s="91"/>
      <c r="AFU21" s="91"/>
      <c r="AFV21" s="91"/>
      <c r="AFW21" s="91"/>
      <c r="AFX21" s="91"/>
      <c r="AFY21" s="91"/>
      <c r="AFZ21" s="91"/>
      <c r="AGA21" s="91"/>
      <c r="AGB21" s="91"/>
      <c r="AGC21" s="91"/>
      <c r="AGD21" s="91"/>
      <c r="AGE21" s="91"/>
      <c r="AGF21" s="91"/>
      <c r="AGG21" s="91"/>
      <c r="AGH21" s="91"/>
      <c r="AGI21" s="91"/>
      <c r="AGJ21" s="91"/>
      <c r="AGK21" s="91"/>
      <c r="AGL21" s="91"/>
      <c r="AGM21" s="91"/>
      <c r="AGN21" s="91"/>
      <c r="AGO21" s="91"/>
      <c r="AGP21" s="91"/>
      <c r="AGQ21" s="91"/>
      <c r="AGR21" s="91"/>
      <c r="AGS21" s="91"/>
      <c r="AGT21" s="91"/>
      <c r="AGU21" s="91"/>
      <c r="AGV21" s="91"/>
      <c r="AGW21" s="91"/>
      <c r="AGX21" s="91"/>
      <c r="AGY21" s="91"/>
      <c r="AGZ21" s="91"/>
      <c r="AHA21" s="91"/>
      <c r="AHB21" s="91"/>
      <c r="AHC21" s="91"/>
      <c r="AHD21" s="91"/>
      <c r="AHE21" s="91"/>
      <c r="AHF21" s="91"/>
      <c r="AHG21" s="91"/>
      <c r="AHH21" s="91"/>
      <c r="AHI21" s="91"/>
      <c r="AHJ21" s="91"/>
      <c r="AHK21" s="91"/>
      <c r="AHL21" s="91"/>
      <c r="AHM21" s="91"/>
      <c r="AHN21" s="91"/>
      <c r="AHO21" s="91"/>
      <c r="AHP21" s="91"/>
      <c r="AHQ21" s="91"/>
      <c r="AHR21" s="91"/>
      <c r="AHS21" s="91"/>
      <c r="AHT21" s="91"/>
      <c r="AHU21" s="91"/>
      <c r="AHV21" s="91"/>
      <c r="AHW21" s="91"/>
      <c r="AHX21" s="91"/>
      <c r="AHY21" s="91"/>
      <c r="AHZ21" s="91"/>
      <c r="AIA21" s="91"/>
      <c r="AIB21" s="91"/>
      <c r="AIC21" s="91"/>
      <c r="AID21" s="91"/>
      <c r="AIE21" s="91"/>
      <c r="AIF21" s="91"/>
      <c r="AIG21" s="91"/>
      <c r="AIH21" s="91"/>
      <c r="AII21" s="91"/>
      <c r="AIJ21" s="91"/>
      <c r="AIK21" s="91"/>
      <c r="AIL21" s="91"/>
      <c r="AIM21" s="91"/>
      <c r="AIN21" s="91"/>
      <c r="AIO21" s="91"/>
      <c r="AIP21" s="91"/>
      <c r="AIQ21" s="91"/>
      <c r="AIR21" s="91"/>
      <c r="AIS21" s="91"/>
      <c r="AIT21" s="91"/>
      <c r="AIU21" s="91"/>
      <c r="AIV21" s="91"/>
      <c r="AIW21" s="91"/>
      <c r="AIX21" s="91"/>
      <c r="AIY21" s="91"/>
      <c r="AIZ21" s="91"/>
      <c r="AJA21" s="91"/>
      <c r="AJB21" s="91"/>
      <c r="AJC21" s="91"/>
      <c r="AJD21" s="91"/>
      <c r="AJE21" s="91"/>
      <c r="AJF21" s="91"/>
      <c r="AJG21" s="91"/>
      <c r="AJH21" s="91"/>
      <c r="AJI21" s="91"/>
      <c r="AJJ21" s="91"/>
      <c r="AJK21" s="91"/>
      <c r="AJL21" s="91"/>
      <c r="AJM21" s="91"/>
      <c r="AJN21" s="91"/>
      <c r="AJO21" s="91"/>
      <c r="AJP21" s="91"/>
      <c r="AJQ21" s="91"/>
      <c r="AJR21" s="91"/>
      <c r="AJS21" s="91"/>
      <c r="AJT21" s="91"/>
      <c r="AJU21" s="91"/>
      <c r="AJV21" s="91"/>
      <c r="AJW21" s="91"/>
      <c r="AJX21" s="91"/>
      <c r="AJY21" s="91"/>
      <c r="AJZ21" s="91"/>
      <c r="AKA21" s="91"/>
      <c r="AKB21" s="91"/>
      <c r="AKC21" s="91"/>
      <c r="AKD21" s="91"/>
      <c r="AKE21" s="91"/>
      <c r="AKF21" s="91"/>
      <c r="AKG21" s="91"/>
      <c r="AKH21" s="91"/>
      <c r="AKI21" s="91"/>
      <c r="AKJ21" s="91"/>
      <c r="AKK21" s="91"/>
      <c r="AKL21" s="91"/>
      <c r="AKM21" s="91"/>
      <c r="AKN21" s="91"/>
      <c r="AKO21" s="91"/>
      <c r="AKP21" s="91"/>
      <c r="AKQ21" s="91"/>
      <c r="AKR21" s="91"/>
      <c r="AKS21" s="91"/>
      <c r="AKT21" s="91"/>
      <c r="AKU21" s="91"/>
      <c r="AKV21" s="91"/>
      <c r="AKW21" s="91"/>
      <c r="AKX21" s="91"/>
      <c r="AKY21" s="91"/>
      <c r="AKZ21" s="91"/>
      <c r="ALA21" s="91"/>
      <c r="ALB21" s="91"/>
      <c r="ALC21" s="91"/>
      <c r="ALD21" s="91"/>
      <c r="ALE21" s="91"/>
      <c r="ALF21" s="91"/>
      <c r="ALG21" s="91"/>
      <c r="ALH21" s="91"/>
      <c r="ALI21" s="91"/>
      <c r="ALJ21" s="91"/>
      <c r="ALK21" s="91"/>
      <c r="ALL21" s="91"/>
      <c r="ALM21" s="91"/>
      <c r="ALN21" s="91"/>
      <c r="ALO21" s="91"/>
      <c r="ALP21" s="91"/>
      <c r="ALQ21" s="91"/>
      <c r="ALR21" s="91"/>
      <c r="ALS21" s="91"/>
      <c r="ALT21" s="91"/>
      <c r="ALU21" s="91"/>
      <c r="ALV21" s="91"/>
      <c r="ALW21" s="91"/>
      <c r="ALX21" s="91"/>
      <c r="ALY21" s="91"/>
      <c r="ALZ21" s="91"/>
      <c r="AMA21" s="91"/>
      <c r="AMB21" s="91"/>
      <c r="AMC21" s="91"/>
      <c r="AMD21" s="91"/>
      <c r="AME21" s="91"/>
      <c r="AMF21" s="91"/>
      <c r="AMG21" s="91"/>
      <c r="AMH21" s="91"/>
      <c r="AMI21" s="91"/>
      <c r="AMJ21" s="91"/>
      <c r="AMK21" s="91"/>
      <c r="AML21" s="91"/>
      <c r="AMM21" s="91"/>
      <c r="AMN21" s="91"/>
      <c r="AMO21" s="91"/>
      <c r="AMP21" s="91"/>
      <c r="AMQ21" s="91"/>
      <c r="AMR21" s="91"/>
      <c r="AMS21" s="91"/>
      <c r="AMT21" s="91"/>
      <c r="AMU21" s="91"/>
      <c r="AMV21" s="91"/>
      <c r="AMW21" s="91"/>
      <c r="AMX21" s="91"/>
      <c r="AMY21" s="91"/>
      <c r="AMZ21" s="91"/>
      <c r="ANA21" s="91"/>
      <c r="ANB21" s="91"/>
      <c r="ANC21" s="91"/>
      <c r="AND21" s="91"/>
      <c r="ANE21" s="91"/>
      <c r="ANF21" s="91"/>
      <c r="ANG21" s="91"/>
      <c r="ANH21" s="91"/>
      <c r="ANI21" s="91"/>
      <c r="ANJ21" s="91"/>
      <c r="ANK21" s="91"/>
      <c r="ANL21" s="91"/>
      <c r="ANM21" s="91"/>
      <c r="ANN21" s="91"/>
      <c r="ANO21" s="91"/>
      <c r="ANP21" s="91"/>
      <c r="ANQ21" s="91"/>
      <c r="ANR21" s="91"/>
      <c r="ANS21" s="91"/>
      <c r="ANT21" s="91"/>
      <c r="ANU21" s="91"/>
      <c r="ANV21" s="91"/>
      <c r="ANW21" s="91"/>
      <c r="ANX21" s="91"/>
      <c r="ANY21" s="91"/>
      <c r="ANZ21" s="91"/>
      <c r="AOA21" s="91"/>
      <c r="AOB21" s="91"/>
      <c r="AOC21" s="91"/>
      <c r="AOD21" s="91"/>
      <c r="AOE21" s="91"/>
      <c r="AOF21" s="91"/>
      <c r="AOG21" s="91"/>
      <c r="AOH21" s="91"/>
      <c r="AOI21" s="91"/>
      <c r="AOJ21" s="91"/>
      <c r="AOK21" s="91"/>
      <c r="AOL21" s="91"/>
      <c r="AOM21" s="91"/>
      <c r="AON21" s="91"/>
      <c r="AOO21" s="91"/>
      <c r="AOP21" s="91"/>
      <c r="AOQ21" s="91"/>
      <c r="AOR21" s="91"/>
      <c r="AOS21" s="91"/>
      <c r="AOT21" s="91"/>
      <c r="AOU21" s="91"/>
      <c r="AOV21" s="91"/>
      <c r="AOW21" s="91"/>
      <c r="AOX21" s="91"/>
      <c r="AOY21" s="91"/>
      <c r="AOZ21" s="91"/>
      <c r="APA21" s="91"/>
      <c r="APB21" s="91"/>
      <c r="APC21" s="91"/>
      <c r="APD21" s="91"/>
      <c r="APE21" s="91"/>
      <c r="APF21" s="91"/>
      <c r="APG21" s="91"/>
      <c r="APH21" s="91"/>
      <c r="API21" s="91"/>
      <c r="APJ21" s="91"/>
      <c r="APK21" s="91"/>
      <c r="APL21" s="91"/>
      <c r="APM21" s="91"/>
      <c r="APN21" s="91"/>
      <c r="APO21" s="91"/>
      <c r="APP21" s="91"/>
      <c r="APQ21" s="91"/>
      <c r="APR21" s="91"/>
      <c r="APS21" s="91"/>
      <c r="APT21" s="91"/>
      <c r="APU21" s="91"/>
      <c r="APV21" s="91"/>
      <c r="APW21" s="91"/>
      <c r="APX21" s="91"/>
      <c r="APY21" s="91"/>
      <c r="APZ21" s="91"/>
      <c r="AQA21" s="91"/>
      <c r="AQB21" s="91"/>
      <c r="AQC21" s="91"/>
      <c r="AQD21" s="91"/>
      <c r="AQE21" s="91"/>
      <c r="AQF21" s="91"/>
      <c r="AQG21" s="91"/>
      <c r="AQH21" s="91"/>
      <c r="AQI21" s="91"/>
      <c r="AQJ21" s="91"/>
      <c r="AQK21" s="91"/>
      <c r="AQL21" s="91"/>
      <c r="AQM21" s="91"/>
      <c r="AQN21" s="91"/>
      <c r="AQO21" s="91"/>
      <c r="AQP21" s="91"/>
      <c r="AQQ21" s="91"/>
      <c r="AQR21" s="91"/>
      <c r="AQS21" s="91"/>
      <c r="AQT21" s="91"/>
      <c r="AQU21" s="91"/>
      <c r="AQV21" s="91"/>
      <c r="AQW21" s="91"/>
      <c r="AQX21" s="91"/>
      <c r="AQY21" s="91"/>
      <c r="AQZ21" s="91"/>
      <c r="ARA21" s="91"/>
      <c r="ARB21" s="91"/>
      <c r="ARC21" s="91"/>
      <c r="ARD21" s="91"/>
      <c r="ARE21" s="91"/>
      <c r="ARF21" s="91"/>
      <c r="ARG21" s="91"/>
      <c r="ARH21" s="91"/>
      <c r="ARI21" s="91"/>
      <c r="ARJ21" s="91"/>
      <c r="ARK21" s="91"/>
      <c r="ARL21" s="91"/>
      <c r="ARM21" s="91"/>
      <c r="ARN21" s="91"/>
      <c r="ARO21" s="91"/>
      <c r="ARP21" s="91"/>
      <c r="ARQ21" s="91"/>
      <c r="ARR21" s="91"/>
      <c r="ARS21" s="91"/>
      <c r="ART21" s="91"/>
      <c r="ARU21" s="91"/>
      <c r="ARV21" s="91"/>
      <c r="ARW21" s="91"/>
      <c r="ARX21" s="91"/>
      <c r="ARY21" s="91"/>
      <c r="ARZ21" s="91"/>
      <c r="ASA21" s="91"/>
      <c r="ASB21" s="91"/>
      <c r="ASC21" s="91"/>
      <c r="ASD21" s="91"/>
      <c r="ASE21" s="91"/>
      <c r="ASF21" s="91"/>
      <c r="ASG21" s="91"/>
      <c r="ASH21" s="91"/>
      <c r="ASI21" s="91"/>
      <c r="ASJ21" s="91"/>
      <c r="ASK21" s="91"/>
      <c r="ASL21" s="91"/>
      <c r="ASM21" s="91"/>
      <c r="ASN21" s="91"/>
      <c r="ASO21" s="91"/>
      <c r="ASP21" s="91"/>
      <c r="ASQ21" s="91"/>
      <c r="ASR21" s="91"/>
      <c r="ASS21" s="91"/>
      <c r="AST21" s="91"/>
      <c r="ASU21" s="91"/>
      <c r="ASV21" s="91"/>
      <c r="ASW21" s="91"/>
      <c r="ASX21" s="91"/>
      <c r="ASY21" s="91"/>
      <c r="ASZ21" s="91"/>
      <c r="ATA21" s="91"/>
      <c r="ATB21" s="91"/>
      <c r="ATC21" s="91"/>
      <c r="ATD21" s="91"/>
      <c r="ATE21" s="91"/>
      <c r="ATF21" s="91"/>
      <c r="ATG21" s="91"/>
      <c r="ATH21" s="91"/>
      <c r="ATI21" s="91"/>
      <c r="ATJ21" s="91"/>
      <c r="ATK21" s="91"/>
      <c r="ATL21" s="91"/>
      <c r="ATM21" s="91"/>
      <c r="ATN21" s="91"/>
      <c r="ATO21" s="91"/>
      <c r="ATP21" s="91"/>
      <c r="ATQ21" s="91"/>
      <c r="ATR21" s="91"/>
      <c r="ATS21" s="91"/>
      <c r="ATT21" s="91"/>
      <c r="ATU21" s="91"/>
      <c r="ATV21" s="91"/>
      <c r="ATW21" s="91"/>
      <c r="ATX21" s="91"/>
      <c r="ATY21" s="91"/>
      <c r="ATZ21" s="91"/>
      <c r="AUA21" s="91"/>
      <c r="AUB21" s="91"/>
      <c r="AUC21" s="91"/>
      <c r="AUD21" s="91"/>
      <c r="AUE21" s="91"/>
      <c r="AUF21" s="91"/>
      <c r="AUG21" s="91"/>
      <c r="AUH21" s="91"/>
      <c r="AUI21" s="91"/>
      <c r="AUJ21" s="91"/>
      <c r="AUK21" s="91"/>
      <c r="AUL21" s="91"/>
      <c r="AUM21" s="91"/>
      <c r="AUN21" s="91"/>
      <c r="AUO21" s="91"/>
      <c r="AUP21" s="91"/>
      <c r="AUQ21" s="91"/>
      <c r="AUR21" s="91"/>
      <c r="AUS21" s="91"/>
      <c r="AUT21" s="91"/>
      <c r="AUU21" s="91"/>
      <c r="AUV21" s="91"/>
      <c r="AUW21" s="91"/>
      <c r="AUX21" s="91"/>
      <c r="AUY21" s="91"/>
      <c r="AUZ21" s="91"/>
      <c r="AVA21" s="91"/>
      <c r="AVB21" s="91"/>
      <c r="AVC21" s="91"/>
      <c r="AVD21" s="91"/>
      <c r="AVE21" s="91"/>
      <c r="AVF21" s="91"/>
      <c r="AVG21" s="91"/>
      <c r="AVH21" s="91"/>
      <c r="AVI21" s="91"/>
      <c r="AVJ21" s="91"/>
      <c r="AVK21" s="91"/>
      <c r="AVL21" s="91"/>
      <c r="AVM21" s="91"/>
      <c r="AVN21" s="91"/>
      <c r="AVO21" s="91"/>
      <c r="AVP21" s="91"/>
      <c r="AVQ21" s="91"/>
      <c r="AVR21" s="91"/>
      <c r="AVS21" s="91"/>
      <c r="AVT21" s="91"/>
      <c r="AVU21" s="91"/>
      <c r="AVV21" s="91"/>
      <c r="AVW21" s="91"/>
      <c r="AVX21" s="91"/>
      <c r="AVY21" s="91"/>
      <c r="AVZ21" s="91"/>
      <c r="AWA21" s="91"/>
      <c r="AWB21" s="91"/>
      <c r="AWC21" s="91"/>
      <c r="AWD21" s="91"/>
      <c r="AWE21" s="91"/>
      <c r="AWF21" s="91"/>
      <c r="AWG21" s="91"/>
      <c r="AWH21" s="91"/>
      <c r="AWI21" s="91"/>
      <c r="AWJ21" s="91"/>
      <c r="AWK21" s="91"/>
      <c r="AWL21" s="91"/>
      <c r="AWM21" s="91"/>
      <c r="AWN21" s="91"/>
      <c r="AWO21" s="91"/>
      <c r="AWP21" s="91"/>
      <c r="AWQ21" s="91"/>
      <c r="AWR21" s="91"/>
      <c r="AWS21" s="91"/>
      <c r="AWT21" s="91"/>
      <c r="AWU21" s="91"/>
      <c r="AWV21" s="91"/>
      <c r="AWW21" s="91"/>
      <c r="AWX21" s="91"/>
      <c r="AWY21" s="91"/>
      <c r="AWZ21" s="91"/>
      <c r="AXA21" s="91"/>
      <c r="AXB21" s="91"/>
      <c r="AXC21" s="91"/>
      <c r="AXD21" s="91"/>
      <c r="AXE21" s="91"/>
      <c r="AXF21" s="91"/>
      <c r="AXG21" s="91"/>
      <c r="AXH21" s="91"/>
      <c r="AXI21" s="91"/>
      <c r="AXJ21" s="91"/>
      <c r="AXK21" s="91"/>
      <c r="AXL21" s="91"/>
      <c r="AXM21" s="91"/>
      <c r="AXN21" s="91"/>
      <c r="AXO21" s="91"/>
      <c r="AXP21" s="91"/>
      <c r="AXQ21" s="91"/>
      <c r="AXR21" s="91"/>
      <c r="AXS21" s="91"/>
      <c r="AXT21" s="91"/>
      <c r="AXU21" s="91"/>
      <c r="AXV21" s="91"/>
      <c r="AXW21" s="91"/>
      <c r="AXX21" s="91"/>
      <c r="AXY21" s="91"/>
      <c r="AXZ21" s="91"/>
      <c r="AYA21" s="91"/>
      <c r="AYB21" s="91"/>
      <c r="AYC21" s="91"/>
      <c r="AYD21" s="91"/>
      <c r="AYE21" s="91"/>
      <c r="AYF21" s="91"/>
      <c r="AYG21" s="91"/>
      <c r="AYH21" s="91"/>
      <c r="AYI21" s="91"/>
      <c r="AYJ21" s="91"/>
      <c r="AYK21" s="91"/>
      <c r="AYL21" s="91"/>
      <c r="AYM21" s="91"/>
      <c r="AYN21" s="91"/>
      <c r="AYO21" s="91"/>
      <c r="AYP21" s="91"/>
      <c r="AYQ21" s="91"/>
      <c r="AYR21" s="91"/>
      <c r="AYS21" s="91"/>
      <c r="AYT21" s="91"/>
      <c r="AYU21" s="91"/>
      <c r="AYV21" s="91"/>
      <c r="AYW21" s="91"/>
      <c r="AYX21" s="91"/>
      <c r="AYY21" s="91"/>
      <c r="AYZ21" s="91"/>
      <c r="AZA21" s="91"/>
      <c r="AZB21" s="91"/>
      <c r="AZC21" s="91"/>
      <c r="AZD21" s="91"/>
      <c r="AZE21" s="91"/>
      <c r="AZF21" s="91"/>
      <c r="AZG21" s="91"/>
      <c r="AZH21" s="91"/>
      <c r="AZI21" s="91"/>
      <c r="AZJ21" s="91"/>
      <c r="AZK21" s="91"/>
      <c r="AZL21" s="91"/>
      <c r="AZM21" s="91"/>
      <c r="AZN21" s="91"/>
      <c r="AZO21" s="91"/>
      <c r="AZP21" s="91"/>
      <c r="AZQ21" s="91"/>
      <c r="AZR21" s="91"/>
      <c r="AZS21" s="91"/>
      <c r="AZT21" s="91"/>
      <c r="AZU21" s="91"/>
      <c r="AZV21" s="91"/>
      <c r="AZW21" s="91"/>
      <c r="AZX21" s="91"/>
      <c r="AZY21" s="91"/>
      <c r="AZZ21" s="91"/>
      <c r="BAA21" s="91"/>
      <c r="BAB21" s="91"/>
      <c r="BAC21" s="91"/>
      <c r="BAD21" s="91"/>
      <c r="BAE21" s="91"/>
      <c r="BAF21" s="91"/>
      <c r="BAG21" s="91"/>
      <c r="BAH21" s="91"/>
      <c r="BAI21" s="91"/>
      <c r="BAJ21" s="91"/>
      <c r="BAK21" s="91"/>
      <c r="BAL21" s="91"/>
      <c r="BAM21" s="91"/>
      <c r="BAN21" s="91"/>
      <c r="BAO21" s="91"/>
      <c r="BAP21" s="91"/>
      <c r="BAQ21" s="91"/>
      <c r="BAR21" s="91"/>
      <c r="BAS21" s="91"/>
      <c r="BAT21" s="91"/>
      <c r="BAU21" s="91"/>
      <c r="BAV21" s="91"/>
      <c r="BAW21" s="91"/>
      <c r="BAX21" s="91"/>
      <c r="BAY21" s="91"/>
      <c r="BAZ21" s="91"/>
      <c r="BBA21" s="91"/>
      <c r="BBB21" s="91"/>
      <c r="BBC21" s="91"/>
      <c r="BBD21" s="91"/>
      <c r="BBE21" s="91"/>
      <c r="BBF21" s="91"/>
      <c r="BBG21" s="91"/>
      <c r="BBH21" s="91"/>
      <c r="BBI21" s="91"/>
      <c r="BBJ21" s="91"/>
      <c r="BBK21" s="91"/>
      <c r="BBL21" s="91"/>
      <c r="BBM21" s="91"/>
      <c r="BBN21" s="91"/>
      <c r="BBO21" s="91"/>
      <c r="BBP21" s="91"/>
      <c r="BBQ21" s="91"/>
      <c r="BBR21" s="91"/>
      <c r="BBS21" s="91"/>
      <c r="BBT21" s="91"/>
      <c r="BBU21" s="91"/>
      <c r="BBV21" s="91"/>
      <c r="BBW21" s="91"/>
      <c r="BBX21" s="91"/>
      <c r="BBY21" s="91"/>
      <c r="BBZ21" s="91"/>
      <c r="BCA21" s="91"/>
      <c r="BCB21" s="91"/>
      <c r="BCC21" s="91"/>
      <c r="BCD21" s="91"/>
      <c r="BCE21" s="91"/>
      <c r="BCF21" s="91"/>
      <c r="BCG21" s="91"/>
      <c r="BCH21" s="91"/>
      <c r="BCI21" s="91"/>
      <c r="BCJ21" s="91"/>
      <c r="BCK21" s="91"/>
      <c r="BCL21" s="91"/>
      <c r="BCM21" s="91"/>
      <c r="BCN21" s="91"/>
      <c r="BCO21" s="91"/>
      <c r="BCP21" s="91"/>
      <c r="BCQ21" s="91"/>
      <c r="BCR21" s="91"/>
      <c r="BCS21" s="91"/>
      <c r="BCT21" s="91"/>
      <c r="BCU21" s="91"/>
      <c r="BCV21" s="91"/>
      <c r="BCW21" s="91"/>
      <c r="BCX21" s="91"/>
      <c r="BCY21" s="91"/>
      <c r="BCZ21" s="91"/>
      <c r="BDA21" s="91"/>
      <c r="BDB21" s="91"/>
      <c r="BDC21" s="91"/>
      <c r="BDD21" s="91"/>
      <c r="BDE21" s="91"/>
      <c r="BDF21" s="91"/>
      <c r="BDG21" s="91"/>
      <c r="BDH21" s="91"/>
      <c r="BDI21" s="91"/>
      <c r="BDJ21" s="91"/>
      <c r="BDK21" s="91"/>
      <c r="BDL21" s="91"/>
      <c r="BDM21" s="91"/>
      <c r="BDN21" s="91"/>
      <c r="BDO21" s="91"/>
      <c r="BDP21" s="91"/>
      <c r="BDQ21" s="91"/>
      <c r="BDR21" s="91"/>
      <c r="BDS21" s="91"/>
      <c r="BDT21" s="91"/>
      <c r="BDU21" s="91"/>
      <c r="BDV21" s="91"/>
      <c r="BDW21" s="91"/>
      <c r="BDX21" s="91"/>
      <c r="BDY21" s="91"/>
      <c r="BDZ21" s="91"/>
      <c r="BEA21" s="91"/>
      <c r="BEB21" s="91"/>
      <c r="BEC21" s="91"/>
      <c r="BED21" s="91"/>
      <c r="BEE21" s="91"/>
      <c r="BEF21" s="91"/>
      <c r="BEG21" s="91"/>
      <c r="BEH21" s="91"/>
      <c r="BEI21" s="91"/>
      <c r="BEJ21" s="91"/>
      <c r="BEK21" s="91"/>
    </row>
    <row r="25" spans="1:1493" customFormat="1" x14ac:dyDescent="0.2">
      <c r="BC25" s="91"/>
      <c r="BD25" s="91"/>
      <c r="BE25" s="91"/>
      <c r="BF25" s="91"/>
      <c r="BG25" s="91"/>
      <c r="BH25" s="91"/>
      <c r="BI25" s="91"/>
      <c r="BJ25" s="91"/>
      <c r="BK25" s="91"/>
      <c r="BL25" s="91"/>
      <c r="BM25" s="91"/>
      <c r="BN25" s="91"/>
      <c r="BO25" s="91"/>
      <c r="BP25" s="91"/>
      <c r="BQ25" s="91"/>
      <c r="BR25" s="91"/>
      <c r="BS25" s="91"/>
      <c r="BT25" s="91"/>
      <c r="BU25" s="91"/>
      <c r="BV25" s="91"/>
      <c r="BW25" s="91"/>
      <c r="BX25" s="91"/>
      <c r="BY25" s="91"/>
      <c r="BZ25" s="91"/>
      <c r="CA25" s="91"/>
      <c r="CB25" s="91"/>
      <c r="CC25" s="91"/>
      <c r="CD25" s="91"/>
      <c r="CE25" s="91"/>
      <c r="CF25" s="91"/>
      <c r="CG25" s="91"/>
      <c r="CH25" s="91"/>
      <c r="CI25" s="91"/>
      <c r="CJ25" s="91"/>
      <c r="CK25" s="91"/>
      <c r="CL25" s="91"/>
      <c r="CM25" s="91"/>
      <c r="CN25" s="91"/>
      <c r="CO25" s="91"/>
      <c r="CP25" s="91"/>
      <c r="CQ25" s="91"/>
      <c r="CR25" s="91"/>
      <c r="CS25" s="91"/>
      <c r="CT25" s="91"/>
      <c r="CU25" s="91"/>
      <c r="CV25" s="91"/>
      <c r="CW25" s="91"/>
      <c r="CX25" s="91"/>
      <c r="CY25" s="91"/>
      <c r="CZ25" s="91"/>
      <c r="DA25" s="91"/>
      <c r="DB25" s="91"/>
      <c r="DC25" s="91"/>
      <c r="DD25" s="91"/>
      <c r="DE25" s="91"/>
      <c r="DF25" s="91"/>
      <c r="DG25" s="91"/>
      <c r="DH25" s="91"/>
      <c r="DI25" s="91"/>
      <c r="DJ25" s="91"/>
      <c r="DK25" s="91"/>
      <c r="DL25" s="91"/>
      <c r="DM25" s="91"/>
      <c r="DN25" s="91"/>
      <c r="DO25" s="91"/>
      <c r="DP25" s="91"/>
      <c r="DQ25" s="91"/>
      <c r="DR25" s="91"/>
      <c r="DS25" s="91"/>
      <c r="DT25" s="91"/>
      <c r="DU25" s="91"/>
      <c r="DV25" s="91"/>
      <c r="DW25" s="91"/>
      <c r="DX25" s="91"/>
      <c r="DY25" s="91"/>
      <c r="DZ25" s="91"/>
      <c r="EA25" s="91"/>
      <c r="EB25" s="91"/>
      <c r="EC25" s="91"/>
      <c r="ED25" s="91"/>
      <c r="EE25" s="91"/>
      <c r="EF25" s="91"/>
      <c r="EG25" s="91"/>
      <c r="EH25" s="91"/>
      <c r="EI25" s="91"/>
      <c r="EJ25" s="91"/>
      <c r="EK25" s="91"/>
      <c r="EL25" s="91"/>
      <c r="EM25" s="91"/>
      <c r="EN25" s="91"/>
      <c r="EO25" s="91"/>
      <c r="EP25" s="91"/>
      <c r="EQ25" s="91"/>
      <c r="ER25" s="91"/>
      <c r="ES25" s="91"/>
      <c r="ET25" s="91"/>
      <c r="EU25" s="91"/>
      <c r="EV25" s="91"/>
      <c r="EW25" s="91"/>
      <c r="EX25" s="91"/>
      <c r="EY25" s="91"/>
      <c r="EZ25" s="91"/>
      <c r="FA25" s="91"/>
      <c r="FB25" s="91"/>
      <c r="FC25" s="91"/>
      <c r="FD25" s="91"/>
      <c r="FE25" s="91"/>
      <c r="FF25" s="91"/>
      <c r="FG25" s="91"/>
      <c r="FH25" s="91"/>
      <c r="FI25" s="91"/>
      <c r="FJ25" s="91"/>
      <c r="FK25" s="91"/>
      <c r="FL25" s="91"/>
      <c r="FM25" s="91"/>
      <c r="FN25" s="91"/>
      <c r="FO25" s="91"/>
      <c r="FP25" s="91"/>
      <c r="FQ25" s="91"/>
      <c r="FR25" s="91"/>
      <c r="FS25" s="91"/>
      <c r="FT25" s="91"/>
      <c r="FU25" s="91"/>
      <c r="FV25" s="91"/>
      <c r="FW25" s="91"/>
      <c r="FX25" s="91"/>
      <c r="FY25" s="91"/>
      <c r="FZ25" s="91"/>
      <c r="GA25" s="91"/>
      <c r="GB25" s="91"/>
      <c r="GC25" s="91"/>
      <c r="GD25" s="91"/>
      <c r="GE25" s="91"/>
      <c r="GF25" s="91"/>
      <c r="GG25" s="91"/>
      <c r="GH25" s="91"/>
      <c r="GI25" s="91"/>
      <c r="GJ25" s="91"/>
      <c r="GK25" s="91"/>
      <c r="GL25" s="91"/>
      <c r="GM25" s="91"/>
      <c r="GN25" s="91"/>
      <c r="GO25" s="91"/>
      <c r="GP25" s="91"/>
      <c r="GQ25" s="91"/>
      <c r="GR25" s="91"/>
      <c r="GS25" s="91"/>
      <c r="GT25" s="91"/>
      <c r="GU25" s="91"/>
      <c r="GV25" s="91"/>
      <c r="GW25" s="91"/>
      <c r="GX25" s="91"/>
      <c r="GY25" s="91"/>
      <c r="GZ25" s="91"/>
      <c r="HA25" s="91"/>
      <c r="HB25" s="91"/>
      <c r="HC25" s="91"/>
      <c r="HD25" s="91"/>
      <c r="HE25" s="91"/>
      <c r="HF25" s="91"/>
      <c r="HG25" s="91"/>
      <c r="HH25" s="91"/>
      <c r="HI25" s="91"/>
      <c r="HJ25" s="91"/>
      <c r="HK25" s="91"/>
      <c r="HL25" s="91"/>
      <c r="HM25" s="91"/>
      <c r="HN25" s="91"/>
      <c r="HO25" s="91"/>
      <c r="HP25" s="91"/>
      <c r="HQ25" s="91"/>
      <c r="HR25" s="91"/>
      <c r="HS25" s="91"/>
      <c r="HT25" s="91"/>
      <c r="HU25" s="91"/>
      <c r="HV25" s="91"/>
      <c r="HW25" s="91"/>
      <c r="HX25" s="91"/>
      <c r="HY25" s="91"/>
      <c r="HZ25" s="91"/>
      <c r="IA25" s="91"/>
      <c r="IB25" s="91"/>
      <c r="IC25" s="91"/>
      <c r="ID25" s="91"/>
      <c r="IE25" s="91"/>
      <c r="IF25" s="91"/>
      <c r="IG25" s="91"/>
      <c r="IH25" s="91"/>
      <c r="II25" s="91"/>
      <c r="IJ25" s="91"/>
      <c r="IK25" s="91"/>
      <c r="IL25" s="91"/>
      <c r="IM25" s="91"/>
      <c r="IN25" s="91"/>
      <c r="IO25" s="91"/>
      <c r="IP25" s="91"/>
      <c r="IQ25" s="91"/>
      <c r="IR25" s="91"/>
      <c r="IS25" s="91"/>
      <c r="IT25" s="91"/>
      <c r="IU25" s="91"/>
      <c r="IV25" s="91"/>
      <c r="IW25" s="91"/>
      <c r="IX25" s="91"/>
      <c r="IY25" s="91"/>
      <c r="IZ25" s="91"/>
      <c r="JA25" s="91"/>
      <c r="JB25" s="91"/>
      <c r="JC25" s="91"/>
      <c r="JD25" s="91"/>
      <c r="JE25" s="91"/>
      <c r="JF25" s="91"/>
      <c r="JG25" s="91"/>
      <c r="JH25" s="91"/>
      <c r="JI25" s="91"/>
      <c r="JJ25" s="91"/>
      <c r="JK25" s="91"/>
      <c r="JL25" s="91"/>
      <c r="JM25" s="91"/>
      <c r="JN25" s="91"/>
      <c r="JO25" s="91"/>
      <c r="JP25" s="91"/>
      <c r="JQ25" s="91"/>
      <c r="JR25" s="91"/>
      <c r="JS25" s="91"/>
      <c r="JT25" s="91"/>
      <c r="JU25" s="91"/>
      <c r="JV25" s="91"/>
      <c r="JW25" s="91"/>
      <c r="JX25" s="91"/>
      <c r="JY25" s="91"/>
      <c r="JZ25" s="91"/>
      <c r="KA25" s="91"/>
      <c r="KB25" s="91"/>
      <c r="KC25" s="91"/>
      <c r="KD25" s="91"/>
      <c r="KE25" s="91"/>
      <c r="KF25" s="91"/>
      <c r="KG25" s="91"/>
      <c r="KH25" s="91"/>
      <c r="KI25" s="91"/>
      <c r="KJ25" s="91"/>
      <c r="KK25" s="91"/>
      <c r="KL25" s="91"/>
      <c r="KM25" s="91"/>
      <c r="KN25" s="91"/>
      <c r="KO25" s="91"/>
      <c r="KP25" s="91"/>
      <c r="KQ25" s="91"/>
      <c r="KR25" s="91"/>
      <c r="KS25" s="91"/>
      <c r="KT25" s="91"/>
      <c r="KU25" s="91"/>
      <c r="KV25" s="91"/>
      <c r="KW25" s="91"/>
      <c r="KX25" s="91"/>
      <c r="KY25" s="91"/>
      <c r="KZ25" s="91"/>
      <c r="LA25" s="91"/>
      <c r="LB25" s="91"/>
      <c r="LC25" s="91"/>
      <c r="LD25" s="91"/>
      <c r="LE25" s="91"/>
      <c r="LF25" s="91"/>
      <c r="LG25" s="91"/>
      <c r="LH25" s="91"/>
      <c r="LI25" s="91"/>
      <c r="LJ25" s="91"/>
      <c r="LK25" s="91"/>
      <c r="LL25" s="91"/>
      <c r="LM25" s="91"/>
      <c r="LN25" s="91"/>
      <c r="LO25" s="91"/>
      <c r="LP25" s="91"/>
      <c r="LQ25" s="91"/>
      <c r="LR25" s="91"/>
      <c r="LS25" s="91"/>
      <c r="LT25" s="91"/>
      <c r="LU25" s="91"/>
      <c r="LV25" s="91"/>
      <c r="LW25" s="91"/>
      <c r="LX25" s="91"/>
      <c r="LY25" s="91"/>
      <c r="LZ25" s="91"/>
      <c r="MA25" s="91"/>
      <c r="MB25" s="91"/>
      <c r="MC25" s="91"/>
      <c r="MD25" s="91"/>
      <c r="ME25" s="91"/>
      <c r="MF25" s="91"/>
      <c r="MG25" s="91"/>
      <c r="MH25" s="91"/>
      <c r="MI25" s="91"/>
      <c r="MJ25" s="91"/>
      <c r="MK25" s="91"/>
      <c r="ML25" s="91"/>
      <c r="MM25" s="91"/>
      <c r="MN25" s="91"/>
      <c r="MO25" s="91"/>
      <c r="MP25" s="91"/>
      <c r="MQ25" s="91"/>
      <c r="MR25" s="91"/>
      <c r="MS25" s="91"/>
      <c r="MT25" s="91"/>
      <c r="MU25" s="91"/>
      <c r="MV25" s="91"/>
      <c r="MW25" s="91"/>
      <c r="MX25" s="91"/>
      <c r="MY25" s="91"/>
      <c r="MZ25" s="91"/>
      <c r="NA25" s="91"/>
      <c r="NB25" s="91"/>
      <c r="NC25" s="91"/>
      <c r="ND25" s="91"/>
      <c r="NE25" s="91"/>
      <c r="NF25" s="91"/>
      <c r="NG25" s="91"/>
      <c r="NH25" s="91"/>
      <c r="NI25" s="91"/>
      <c r="NJ25" s="91"/>
      <c r="NK25" s="91"/>
      <c r="NL25" s="91"/>
      <c r="NM25" s="91"/>
      <c r="NN25" s="91"/>
      <c r="NO25" s="91"/>
      <c r="NP25" s="91"/>
      <c r="NQ25" s="91"/>
      <c r="NR25" s="91"/>
      <c r="NS25" s="91"/>
      <c r="NT25" s="91"/>
      <c r="NU25" s="91"/>
      <c r="NV25" s="91"/>
      <c r="NW25" s="91"/>
      <c r="NX25" s="91"/>
      <c r="NY25" s="91"/>
      <c r="NZ25" s="91"/>
      <c r="OA25" s="91"/>
      <c r="OB25" s="91"/>
      <c r="OC25" s="91"/>
      <c r="OD25" s="91"/>
      <c r="OE25" s="91"/>
      <c r="OF25" s="91"/>
      <c r="OG25" s="91"/>
      <c r="OH25" s="91"/>
      <c r="OI25" s="91"/>
      <c r="OJ25" s="91"/>
      <c r="OK25" s="91"/>
      <c r="OL25" s="91"/>
      <c r="OM25" s="91"/>
      <c r="ON25" s="91"/>
      <c r="OO25" s="91"/>
      <c r="OP25" s="91"/>
      <c r="OQ25" s="91"/>
      <c r="OR25" s="91"/>
      <c r="OS25" s="91"/>
      <c r="OT25" s="91"/>
      <c r="OU25" s="91"/>
      <c r="OV25" s="91"/>
      <c r="OW25" s="91"/>
      <c r="OX25" s="91"/>
      <c r="OY25" s="91"/>
      <c r="OZ25" s="91"/>
      <c r="PA25" s="91"/>
      <c r="PB25" s="91"/>
      <c r="PC25" s="91"/>
      <c r="PD25" s="91"/>
      <c r="PE25" s="91"/>
      <c r="PF25" s="91"/>
      <c r="PG25" s="91"/>
      <c r="PH25" s="91"/>
      <c r="PI25" s="91"/>
      <c r="PJ25" s="91"/>
      <c r="PK25" s="91"/>
      <c r="PL25" s="91"/>
      <c r="PM25" s="91"/>
      <c r="PN25" s="91"/>
      <c r="PO25" s="91"/>
      <c r="PP25" s="91"/>
      <c r="PQ25" s="91"/>
      <c r="PR25" s="91"/>
      <c r="PS25" s="91"/>
      <c r="PT25" s="91"/>
      <c r="PU25" s="91"/>
      <c r="PV25" s="91"/>
      <c r="PW25" s="91"/>
      <c r="PX25" s="91"/>
      <c r="PY25" s="91"/>
      <c r="PZ25" s="91"/>
      <c r="QA25" s="91"/>
      <c r="QB25" s="91"/>
      <c r="QC25" s="91"/>
      <c r="QD25" s="91"/>
      <c r="QE25" s="91"/>
      <c r="QF25" s="91"/>
      <c r="QG25" s="91"/>
      <c r="QH25" s="91"/>
      <c r="QI25" s="91"/>
      <c r="QJ25" s="91"/>
      <c r="QK25" s="91"/>
      <c r="QL25" s="91"/>
      <c r="QM25" s="91"/>
      <c r="QN25" s="91"/>
      <c r="QO25" s="91"/>
      <c r="QP25" s="91"/>
      <c r="QQ25" s="91"/>
      <c r="QR25" s="91"/>
      <c r="QS25" s="91"/>
      <c r="QT25" s="91"/>
      <c r="QU25" s="91"/>
      <c r="QV25" s="91"/>
      <c r="QW25" s="91"/>
      <c r="QX25" s="91"/>
      <c r="QY25" s="91"/>
      <c r="QZ25" s="91"/>
      <c r="RA25" s="91"/>
      <c r="RB25" s="91"/>
      <c r="RC25" s="91"/>
      <c r="RD25" s="91"/>
      <c r="RE25" s="91"/>
      <c r="RF25" s="91"/>
      <c r="RG25" s="91"/>
      <c r="RH25" s="91"/>
      <c r="RI25" s="91"/>
      <c r="RJ25" s="91"/>
      <c r="RK25" s="91"/>
      <c r="RL25" s="91"/>
      <c r="RM25" s="91"/>
      <c r="RN25" s="91"/>
      <c r="RO25" s="91"/>
      <c r="RP25" s="91"/>
      <c r="RQ25" s="91"/>
      <c r="RR25" s="91"/>
      <c r="RS25" s="91"/>
      <c r="RT25" s="91"/>
      <c r="RU25" s="91"/>
      <c r="RV25" s="91"/>
      <c r="RW25" s="91"/>
      <c r="RX25" s="91"/>
      <c r="RY25" s="91"/>
      <c r="RZ25" s="91"/>
      <c r="SA25" s="91"/>
      <c r="SB25" s="91"/>
      <c r="SC25" s="91"/>
      <c r="SD25" s="91"/>
      <c r="SE25" s="91"/>
      <c r="SF25" s="91"/>
      <c r="SG25" s="91"/>
      <c r="SH25" s="91"/>
      <c r="SI25" s="91"/>
      <c r="SJ25" s="91"/>
      <c r="SK25" s="91"/>
      <c r="SL25" s="91"/>
      <c r="SM25" s="91"/>
      <c r="SN25" s="91"/>
      <c r="SO25" s="91"/>
      <c r="SP25" s="91"/>
      <c r="SQ25" s="91"/>
      <c r="SR25" s="91"/>
      <c r="SS25" s="91"/>
      <c r="ST25" s="91"/>
      <c r="SU25" s="91"/>
      <c r="SV25" s="91"/>
      <c r="SW25" s="91"/>
      <c r="SX25" s="91"/>
      <c r="SY25" s="91"/>
      <c r="SZ25" s="91"/>
      <c r="TA25" s="91"/>
      <c r="TB25" s="91"/>
      <c r="TC25" s="91"/>
      <c r="TD25" s="91"/>
      <c r="TE25" s="91"/>
      <c r="TF25" s="91"/>
      <c r="TG25" s="91"/>
      <c r="TH25" s="91"/>
      <c r="TI25" s="91"/>
      <c r="TJ25" s="91"/>
      <c r="TK25" s="91"/>
      <c r="TL25" s="91"/>
      <c r="TM25" s="91"/>
      <c r="TN25" s="91"/>
      <c r="TO25" s="91"/>
      <c r="TP25" s="91"/>
      <c r="TQ25" s="91"/>
      <c r="TR25" s="91"/>
      <c r="TS25" s="91"/>
      <c r="TT25" s="91"/>
      <c r="TU25" s="91"/>
      <c r="TV25" s="91"/>
      <c r="TW25" s="91"/>
      <c r="TX25" s="91"/>
      <c r="TY25" s="91"/>
      <c r="TZ25" s="91"/>
      <c r="UA25" s="91"/>
      <c r="UB25" s="91"/>
      <c r="UC25" s="91"/>
      <c r="UD25" s="91"/>
      <c r="UE25" s="91"/>
      <c r="UF25" s="91"/>
      <c r="UG25" s="91"/>
      <c r="UH25" s="91"/>
      <c r="UI25" s="91"/>
      <c r="UJ25" s="91"/>
      <c r="UK25" s="91"/>
      <c r="UL25" s="91"/>
      <c r="UM25" s="91"/>
      <c r="UN25" s="91"/>
      <c r="UO25" s="91"/>
      <c r="UP25" s="91"/>
      <c r="UQ25" s="91"/>
      <c r="UR25" s="91"/>
      <c r="US25" s="91"/>
      <c r="UT25" s="91"/>
      <c r="UU25" s="91"/>
      <c r="UV25" s="91"/>
      <c r="UW25" s="91"/>
      <c r="UX25" s="91"/>
      <c r="UY25" s="91"/>
      <c r="UZ25" s="91"/>
      <c r="VA25" s="91"/>
      <c r="VB25" s="91"/>
      <c r="VC25" s="91"/>
      <c r="VD25" s="91"/>
      <c r="VE25" s="91"/>
      <c r="VF25" s="91"/>
      <c r="VG25" s="91"/>
      <c r="VH25" s="91"/>
      <c r="VI25" s="91"/>
      <c r="VJ25" s="91"/>
      <c r="VK25" s="91"/>
      <c r="VL25" s="91"/>
      <c r="VM25" s="91"/>
      <c r="VN25" s="91"/>
      <c r="VO25" s="91"/>
      <c r="VP25" s="91"/>
      <c r="VQ25" s="91"/>
      <c r="VR25" s="91"/>
      <c r="VS25" s="91"/>
      <c r="VT25" s="91"/>
      <c r="VU25" s="91"/>
      <c r="VV25" s="91"/>
      <c r="VW25" s="91"/>
      <c r="VX25" s="91"/>
      <c r="VY25" s="91"/>
      <c r="VZ25" s="91"/>
      <c r="WA25" s="91"/>
      <c r="WB25" s="91"/>
      <c r="WC25" s="91"/>
      <c r="WD25" s="91"/>
      <c r="WE25" s="91"/>
      <c r="WF25" s="91"/>
      <c r="WG25" s="91"/>
      <c r="WH25" s="91"/>
      <c r="WI25" s="91"/>
      <c r="WJ25" s="91"/>
      <c r="WK25" s="91"/>
      <c r="WL25" s="91"/>
      <c r="WM25" s="91"/>
      <c r="WN25" s="91"/>
      <c r="WO25" s="91"/>
      <c r="WP25" s="91"/>
      <c r="WQ25" s="91"/>
      <c r="WR25" s="91"/>
      <c r="WS25" s="91"/>
      <c r="WT25" s="91"/>
      <c r="WU25" s="91"/>
      <c r="WV25" s="91"/>
      <c r="WW25" s="91"/>
      <c r="WX25" s="91"/>
      <c r="WY25" s="91"/>
      <c r="WZ25" s="91"/>
      <c r="XA25" s="91"/>
      <c r="XB25" s="91"/>
      <c r="XC25" s="91"/>
      <c r="XD25" s="91"/>
      <c r="XE25" s="91"/>
      <c r="XF25" s="91"/>
      <c r="XG25" s="91"/>
      <c r="XH25" s="91"/>
      <c r="XI25" s="91"/>
      <c r="XJ25" s="91"/>
      <c r="XK25" s="91"/>
      <c r="XL25" s="91"/>
      <c r="XM25" s="91"/>
      <c r="XN25" s="91"/>
      <c r="XO25" s="91"/>
      <c r="XP25" s="91"/>
      <c r="XQ25" s="91"/>
      <c r="XR25" s="91"/>
      <c r="XS25" s="91"/>
      <c r="XT25" s="91"/>
      <c r="XU25" s="91"/>
      <c r="XV25" s="91"/>
      <c r="XW25" s="91"/>
      <c r="XX25" s="91"/>
      <c r="XY25" s="91"/>
      <c r="XZ25" s="91"/>
      <c r="YA25" s="91"/>
      <c r="YB25" s="91"/>
      <c r="YC25" s="91"/>
      <c r="YD25" s="91"/>
      <c r="YE25" s="91"/>
      <c r="YF25" s="91"/>
      <c r="YG25" s="91"/>
      <c r="YH25" s="91"/>
      <c r="YI25" s="91"/>
      <c r="YJ25" s="91"/>
      <c r="YK25" s="91"/>
      <c r="YL25" s="91"/>
      <c r="YM25" s="91"/>
      <c r="YN25" s="91"/>
      <c r="YO25" s="91"/>
      <c r="YP25" s="91"/>
      <c r="YQ25" s="91"/>
      <c r="YR25" s="91"/>
      <c r="YS25" s="91"/>
      <c r="YT25" s="91"/>
      <c r="YU25" s="91"/>
      <c r="YV25" s="91"/>
      <c r="YW25" s="91"/>
      <c r="YX25" s="91"/>
      <c r="YY25" s="91"/>
      <c r="YZ25" s="91"/>
      <c r="ZA25" s="91"/>
      <c r="ZB25" s="91"/>
      <c r="ZC25" s="91"/>
      <c r="ZD25" s="91"/>
      <c r="ZE25" s="91"/>
      <c r="ZF25" s="91"/>
      <c r="ZG25" s="91"/>
      <c r="ZH25" s="91"/>
      <c r="ZI25" s="91"/>
      <c r="ZJ25" s="91"/>
      <c r="ZK25" s="91"/>
      <c r="ZL25" s="91"/>
      <c r="ZM25" s="91"/>
      <c r="ZN25" s="91"/>
      <c r="ZO25" s="91"/>
      <c r="ZP25" s="91"/>
      <c r="ZQ25" s="91"/>
      <c r="ZR25" s="91"/>
      <c r="ZS25" s="91"/>
      <c r="ZT25" s="91"/>
      <c r="ZU25" s="91"/>
      <c r="ZV25" s="91"/>
      <c r="ZW25" s="91"/>
      <c r="ZX25" s="91"/>
      <c r="ZY25" s="91"/>
      <c r="ZZ25" s="91"/>
      <c r="AAA25" s="91"/>
      <c r="AAB25" s="91"/>
      <c r="AAC25" s="91"/>
      <c r="AAD25" s="91"/>
      <c r="AAE25" s="91"/>
      <c r="AAF25" s="91"/>
      <c r="AAG25" s="91"/>
      <c r="AAH25" s="91"/>
      <c r="AAI25" s="91"/>
      <c r="AAJ25" s="91"/>
      <c r="AAK25" s="91"/>
      <c r="AAL25" s="91"/>
      <c r="AAM25" s="91"/>
      <c r="AAN25" s="91"/>
      <c r="AAO25" s="91"/>
      <c r="AAP25" s="91"/>
      <c r="AAQ25" s="91"/>
      <c r="AAR25" s="91"/>
      <c r="AAS25" s="91"/>
      <c r="AAT25" s="91"/>
      <c r="AAU25" s="91"/>
      <c r="AAV25" s="91"/>
      <c r="AAW25" s="91"/>
      <c r="AAX25" s="91"/>
      <c r="AAY25" s="91"/>
      <c r="AAZ25" s="91"/>
      <c r="ABA25" s="91"/>
      <c r="ABB25" s="91"/>
      <c r="ABC25" s="91"/>
      <c r="ABD25" s="91"/>
      <c r="ABE25" s="91"/>
      <c r="ABF25" s="91"/>
      <c r="ABG25" s="91"/>
      <c r="ABH25" s="91"/>
      <c r="ABI25" s="91"/>
      <c r="ABJ25" s="91"/>
      <c r="ABK25" s="91"/>
      <c r="ABL25" s="91"/>
      <c r="ABM25" s="91"/>
      <c r="ABN25" s="91"/>
      <c r="ABO25" s="91"/>
      <c r="ABP25" s="91"/>
      <c r="ABQ25" s="91"/>
      <c r="ABR25" s="91"/>
      <c r="ABS25" s="91"/>
      <c r="ABT25" s="91"/>
      <c r="ABU25" s="91"/>
      <c r="ABV25" s="91"/>
      <c r="ABW25" s="91"/>
      <c r="ABX25" s="91"/>
      <c r="ABY25" s="91"/>
      <c r="ABZ25" s="91"/>
      <c r="ACA25" s="91"/>
      <c r="ACB25" s="91"/>
      <c r="ACC25" s="91"/>
      <c r="ACD25" s="91"/>
      <c r="ACE25" s="91"/>
      <c r="ACF25" s="91"/>
      <c r="ACG25" s="91"/>
      <c r="ACH25" s="91"/>
      <c r="ACI25" s="91"/>
      <c r="ACJ25" s="91"/>
      <c r="ACK25" s="91"/>
      <c r="ACL25" s="91"/>
      <c r="ACM25" s="91"/>
      <c r="ACN25" s="91"/>
      <c r="ACO25" s="91"/>
      <c r="ACP25" s="91"/>
      <c r="ACQ25" s="91"/>
      <c r="ACR25" s="91"/>
      <c r="ACS25" s="91"/>
      <c r="ACT25" s="91"/>
      <c r="ACU25" s="91"/>
      <c r="ACV25" s="91"/>
      <c r="ACW25" s="91"/>
      <c r="ACX25" s="91"/>
      <c r="ACY25" s="91"/>
      <c r="ACZ25" s="91"/>
      <c r="ADA25" s="91"/>
      <c r="ADB25" s="91"/>
      <c r="ADC25" s="91"/>
      <c r="ADD25" s="91"/>
      <c r="ADE25" s="91"/>
      <c r="ADF25" s="91"/>
      <c r="ADG25" s="91"/>
      <c r="ADH25" s="91"/>
      <c r="ADI25" s="91"/>
      <c r="ADJ25" s="91"/>
      <c r="ADK25" s="91"/>
      <c r="ADL25" s="91"/>
      <c r="ADM25" s="91"/>
      <c r="ADN25" s="91"/>
      <c r="ADO25" s="91"/>
      <c r="ADP25" s="91"/>
      <c r="ADQ25" s="91"/>
      <c r="ADR25" s="91"/>
      <c r="ADS25" s="91"/>
      <c r="ADT25" s="91"/>
      <c r="ADU25" s="91"/>
      <c r="ADV25" s="91"/>
      <c r="ADW25" s="91"/>
      <c r="ADX25" s="91"/>
      <c r="ADY25" s="91"/>
      <c r="ADZ25" s="91"/>
      <c r="AEA25" s="91"/>
      <c r="AEB25" s="91"/>
      <c r="AEC25" s="91"/>
      <c r="AED25" s="91"/>
      <c r="AEE25" s="91"/>
      <c r="AEF25" s="91"/>
      <c r="AEG25" s="91"/>
      <c r="AEH25" s="91"/>
      <c r="AEI25" s="91"/>
      <c r="AEJ25" s="91"/>
      <c r="AEK25" s="91"/>
      <c r="AEL25" s="91"/>
      <c r="AEM25" s="91"/>
      <c r="AEN25" s="91"/>
      <c r="AEO25" s="91"/>
      <c r="AEP25" s="91"/>
      <c r="AEQ25" s="91"/>
      <c r="AER25" s="91"/>
      <c r="AES25" s="91"/>
      <c r="AET25" s="91"/>
      <c r="AEU25" s="91"/>
      <c r="AEV25" s="91"/>
      <c r="AEW25" s="91"/>
      <c r="AEX25" s="91"/>
      <c r="AEY25" s="91"/>
      <c r="AEZ25" s="91"/>
      <c r="AFA25" s="91"/>
      <c r="AFB25" s="91"/>
      <c r="AFC25" s="91"/>
      <c r="AFD25" s="91"/>
      <c r="AFE25" s="91"/>
      <c r="AFF25" s="91"/>
      <c r="AFG25" s="91"/>
      <c r="AFH25" s="91"/>
      <c r="AFI25" s="91"/>
      <c r="AFJ25" s="91"/>
      <c r="AFK25" s="91"/>
      <c r="AFL25" s="91"/>
      <c r="AFM25" s="91"/>
      <c r="AFN25" s="91"/>
      <c r="AFO25" s="91"/>
      <c r="AFP25" s="91"/>
      <c r="AFQ25" s="91"/>
      <c r="AFR25" s="91"/>
      <c r="AFS25" s="91"/>
      <c r="AFT25" s="91"/>
      <c r="AFU25" s="91"/>
      <c r="AFV25" s="91"/>
      <c r="AFW25" s="91"/>
      <c r="AFX25" s="91"/>
      <c r="AFY25" s="91"/>
      <c r="AFZ25" s="91"/>
      <c r="AGA25" s="91"/>
      <c r="AGB25" s="91"/>
      <c r="AGC25" s="91"/>
      <c r="AGD25" s="91"/>
      <c r="AGE25" s="91"/>
      <c r="AGF25" s="91"/>
      <c r="AGG25" s="91"/>
      <c r="AGH25" s="91"/>
      <c r="AGI25" s="91"/>
      <c r="AGJ25" s="91"/>
      <c r="AGK25" s="91"/>
      <c r="AGL25" s="91"/>
      <c r="AGM25" s="91"/>
      <c r="AGN25" s="91"/>
      <c r="AGO25" s="91"/>
      <c r="AGP25" s="91"/>
      <c r="AGQ25" s="91"/>
      <c r="AGR25" s="91"/>
      <c r="AGS25" s="91"/>
      <c r="AGT25" s="91"/>
      <c r="AGU25" s="91"/>
      <c r="AGV25" s="91"/>
      <c r="AGW25" s="91"/>
      <c r="AGX25" s="91"/>
      <c r="AGY25" s="91"/>
      <c r="AGZ25" s="91"/>
      <c r="AHA25" s="91"/>
      <c r="AHB25" s="91"/>
      <c r="AHC25" s="91"/>
      <c r="AHD25" s="91"/>
      <c r="AHE25" s="91"/>
      <c r="AHF25" s="91"/>
      <c r="AHG25" s="91"/>
      <c r="AHH25" s="91"/>
      <c r="AHI25" s="91"/>
      <c r="AHJ25" s="91"/>
      <c r="AHK25" s="91"/>
      <c r="AHL25" s="91"/>
      <c r="AHM25" s="91"/>
      <c r="AHN25" s="91"/>
      <c r="AHO25" s="91"/>
      <c r="AHP25" s="91"/>
      <c r="AHQ25" s="91"/>
      <c r="AHR25" s="91"/>
      <c r="AHS25" s="91"/>
      <c r="AHT25" s="91"/>
      <c r="AHU25" s="91"/>
      <c r="AHV25" s="91"/>
      <c r="AHW25" s="91"/>
      <c r="AHX25" s="91"/>
      <c r="AHY25" s="91"/>
      <c r="AHZ25" s="91"/>
      <c r="AIA25" s="91"/>
      <c r="AIB25" s="91"/>
      <c r="AIC25" s="91"/>
      <c r="AID25" s="91"/>
      <c r="AIE25" s="91"/>
      <c r="AIF25" s="91"/>
      <c r="AIG25" s="91"/>
      <c r="AIH25" s="91"/>
      <c r="AII25" s="91"/>
      <c r="AIJ25" s="91"/>
      <c r="AIK25" s="91"/>
      <c r="AIL25" s="91"/>
      <c r="AIM25" s="91"/>
      <c r="AIN25" s="91"/>
      <c r="AIO25" s="91"/>
      <c r="AIP25" s="91"/>
      <c r="AIQ25" s="91"/>
      <c r="AIR25" s="91"/>
      <c r="AIS25" s="91"/>
      <c r="AIT25" s="91"/>
      <c r="AIU25" s="91"/>
      <c r="AIV25" s="91"/>
      <c r="AIW25" s="91"/>
      <c r="AIX25" s="91"/>
      <c r="AIY25" s="91"/>
      <c r="AIZ25" s="91"/>
      <c r="AJA25" s="91"/>
      <c r="AJB25" s="91"/>
      <c r="AJC25" s="91"/>
      <c r="AJD25" s="91"/>
      <c r="AJE25" s="91"/>
      <c r="AJF25" s="91"/>
      <c r="AJG25" s="91"/>
      <c r="AJH25" s="91"/>
      <c r="AJI25" s="91"/>
      <c r="AJJ25" s="91"/>
      <c r="AJK25" s="91"/>
      <c r="AJL25" s="91"/>
      <c r="AJM25" s="91"/>
      <c r="AJN25" s="91"/>
      <c r="AJO25" s="91"/>
      <c r="AJP25" s="91"/>
      <c r="AJQ25" s="91"/>
      <c r="AJR25" s="91"/>
      <c r="AJS25" s="91"/>
      <c r="AJT25" s="91"/>
      <c r="AJU25" s="91"/>
      <c r="AJV25" s="91"/>
      <c r="AJW25" s="91"/>
      <c r="AJX25" s="91"/>
      <c r="AJY25" s="91"/>
      <c r="AJZ25" s="91"/>
      <c r="AKA25" s="91"/>
      <c r="AKB25" s="91"/>
      <c r="AKC25" s="91"/>
      <c r="AKD25" s="91"/>
      <c r="AKE25" s="91"/>
      <c r="AKF25" s="91"/>
      <c r="AKG25" s="91"/>
      <c r="AKH25" s="91"/>
      <c r="AKI25" s="91"/>
      <c r="AKJ25" s="91"/>
      <c r="AKK25" s="91"/>
      <c r="AKL25" s="91"/>
      <c r="AKM25" s="91"/>
      <c r="AKN25" s="91"/>
      <c r="AKO25" s="91"/>
      <c r="AKP25" s="91"/>
      <c r="AKQ25" s="91"/>
      <c r="AKR25" s="91"/>
      <c r="AKS25" s="91"/>
      <c r="AKT25" s="91"/>
      <c r="AKU25" s="91"/>
      <c r="AKV25" s="91"/>
      <c r="AKW25" s="91"/>
      <c r="AKX25" s="91"/>
      <c r="AKY25" s="91"/>
      <c r="AKZ25" s="91"/>
      <c r="ALA25" s="91"/>
      <c r="ALB25" s="91"/>
      <c r="ALC25" s="91"/>
      <c r="ALD25" s="91"/>
      <c r="ALE25" s="91"/>
      <c r="ALF25" s="91"/>
      <c r="ALG25" s="91"/>
      <c r="ALH25" s="91"/>
      <c r="ALI25" s="91"/>
      <c r="ALJ25" s="91"/>
      <c r="ALK25" s="91"/>
      <c r="ALL25" s="91"/>
      <c r="ALM25" s="91"/>
      <c r="ALN25" s="91"/>
      <c r="ALO25" s="91"/>
      <c r="ALP25" s="91"/>
      <c r="ALQ25" s="91"/>
      <c r="ALR25" s="91"/>
      <c r="ALS25" s="91"/>
      <c r="ALT25" s="91"/>
      <c r="ALU25" s="91"/>
      <c r="ALV25" s="91"/>
      <c r="ALW25" s="91"/>
      <c r="ALX25" s="91"/>
      <c r="ALY25" s="91"/>
      <c r="ALZ25" s="91"/>
      <c r="AMA25" s="91"/>
      <c r="AMB25" s="91"/>
      <c r="AMC25" s="91"/>
      <c r="AMD25" s="91"/>
      <c r="AME25" s="91"/>
      <c r="AMF25" s="91"/>
      <c r="AMG25" s="91"/>
      <c r="AMH25" s="91"/>
      <c r="AMI25" s="91"/>
      <c r="AMJ25" s="91"/>
      <c r="AMK25" s="91"/>
      <c r="AML25" s="91"/>
      <c r="AMM25" s="91"/>
      <c r="AMN25" s="91"/>
      <c r="AMO25" s="91"/>
      <c r="AMP25" s="91"/>
      <c r="AMQ25" s="91"/>
      <c r="AMR25" s="91"/>
      <c r="AMS25" s="91"/>
      <c r="AMT25" s="91"/>
      <c r="AMU25" s="91"/>
      <c r="AMV25" s="91"/>
      <c r="AMW25" s="91"/>
      <c r="AMX25" s="91"/>
      <c r="AMY25" s="91"/>
      <c r="AMZ25" s="91"/>
      <c r="ANA25" s="91"/>
      <c r="ANB25" s="91"/>
      <c r="ANC25" s="91"/>
      <c r="AND25" s="91"/>
      <c r="ANE25" s="91"/>
      <c r="ANF25" s="91"/>
      <c r="ANG25" s="91"/>
      <c r="ANH25" s="91"/>
      <c r="ANI25" s="91"/>
      <c r="ANJ25" s="91"/>
      <c r="ANK25" s="91"/>
      <c r="ANL25" s="91"/>
      <c r="ANM25" s="91"/>
      <c r="ANN25" s="91"/>
      <c r="ANO25" s="91"/>
      <c r="ANP25" s="91"/>
      <c r="ANQ25" s="91"/>
      <c r="ANR25" s="91"/>
      <c r="ANS25" s="91"/>
      <c r="ANT25" s="91"/>
      <c r="ANU25" s="91"/>
      <c r="ANV25" s="91"/>
      <c r="ANW25" s="91"/>
      <c r="ANX25" s="91"/>
      <c r="ANY25" s="91"/>
      <c r="ANZ25" s="91"/>
      <c r="AOA25" s="91"/>
      <c r="AOB25" s="91"/>
      <c r="AOC25" s="91"/>
      <c r="AOD25" s="91"/>
      <c r="AOE25" s="91"/>
      <c r="AOF25" s="91"/>
      <c r="AOG25" s="91"/>
      <c r="AOH25" s="91"/>
      <c r="AOI25" s="91"/>
      <c r="AOJ25" s="91"/>
      <c r="AOK25" s="91"/>
      <c r="AOL25" s="91"/>
      <c r="AOM25" s="91"/>
      <c r="AON25" s="91"/>
      <c r="AOO25" s="91"/>
      <c r="AOP25" s="91"/>
      <c r="AOQ25" s="91"/>
      <c r="AOR25" s="91"/>
      <c r="AOS25" s="91"/>
      <c r="AOT25" s="91"/>
      <c r="AOU25" s="91"/>
      <c r="AOV25" s="91"/>
      <c r="AOW25" s="91"/>
      <c r="AOX25" s="91"/>
      <c r="AOY25" s="91"/>
      <c r="AOZ25" s="91"/>
      <c r="APA25" s="91"/>
      <c r="APB25" s="91"/>
      <c r="APC25" s="91"/>
      <c r="APD25" s="91"/>
      <c r="APE25" s="91"/>
      <c r="APF25" s="91"/>
      <c r="APG25" s="91"/>
      <c r="APH25" s="91"/>
      <c r="API25" s="91"/>
      <c r="APJ25" s="91"/>
      <c r="APK25" s="91"/>
      <c r="APL25" s="91"/>
      <c r="APM25" s="91"/>
      <c r="APN25" s="91"/>
      <c r="APO25" s="91"/>
      <c r="APP25" s="91"/>
      <c r="APQ25" s="91"/>
      <c r="APR25" s="91"/>
      <c r="APS25" s="91"/>
      <c r="APT25" s="91"/>
      <c r="APU25" s="91"/>
      <c r="APV25" s="91"/>
      <c r="APW25" s="91"/>
      <c r="APX25" s="91"/>
      <c r="APY25" s="91"/>
      <c r="APZ25" s="91"/>
      <c r="AQA25" s="91"/>
      <c r="AQB25" s="91"/>
      <c r="AQC25" s="91"/>
      <c r="AQD25" s="91"/>
      <c r="AQE25" s="91"/>
      <c r="AQF25" s="91"/>
      <c r="AQG25" s="91"/>
      <c r="AQH25" s="91"/>
      <c r="AQI25" s="91"/>
      <c r="AQJ25" s="91"/>
      <c r="AQK25" s="91"/>
      <c r="AQL25" s="91"/>
      <c r="AQM25" s="91"/>
      <c r="AQN25" s="91"/>
      <c r="AQO25" s="91"/>
      <c r="AQP25" s="91"/>
      <c r="AQQ25" s="91"/>
      <c r="AQR25" s="91"/>
      <c r="AQS25" s="91"/>
      <c r="AQT25" s="91"/>
      <c r="AQU25" s="91"/>
      <c r="AQV25" s="91"/>
      <c r="AQW25" s="91"/>
      <c r="AQX25" s="91"/>
      <c r="AQY25" s="91"/>
      <c r="AQZ25" s="91"/>
      <c r="ARA25" s="91"/>
      <c r="ARB25" s="91"/>
      <c r="ARC25" s="91"/>
      <c r="ARD25" s="91"/>
      <c r="ARE25" s="91"/>
      <c r="ARF25" s="91"/>
      <c r="ARG25" s="91"/>
      <c r="ARH25" s="91"/>
      <c r="ARI25" s="91"/>
      <c r="ARJ25" s="91"/>
      <c r="ARK25" s="91"/>
      <c r="ARL25" s="91"/>
      <c r="ARM25" s="91"/>
      <c r="ARN25" s="91"/>
      <c r="ARO25" s="91"/>
      <c r="ARP25" s="91"/>
      <c r="ARQ25" s="91"/>
      <c r="ARR25" s="91"/>
      <c r="ARS25" s="91"/>
      <c r="ART25" s="91"/>
      <c r="ARU25" s="91"/>
      <c r="ARV25" s="91"/>
      <c r="ARW25" s="91"/>
      <c r="ARX25" s="91"/>
      <c r="ARY25" s="91"/>
      <c r="ARZ25" s="91"/>
      <c r="ASA25" s="91"/>
      <c r="ASB25" s="91"/>
      <c r="ASC25" s="91"/>
      <c r="ASD25" s="91"/>
      <c r="ASE25" s="91"/>
      <c r="ASF25" s="91"/>
      <c r="ASG25" s="91"/>
      <c r="ASH25" s="91"/>
      <c r="ASI25" s="91"/>
      <c r="ASJ25" s="91"/>
      <c r="ASK25" s="91"/>
      <c r="ASL25" s="91"/>
      <c r="ASM25" s="91"/>
      <c r="ASN25" s="91"/>
      <c r="ASO25" s="91"/>
      <c r="ASP25" s="91"/>
      <c r="ASQ25" s="91"/>
      <c r="ASR25" s="91"/>
      <c r="ASS25" s="91"/>
      <c r="AST25" s="91"/>
      <c r="ASU25" s="91"/>
      <c r="ASV25" s="91"/>
      <c r="ASW25" s="91"/>
      <c r="ASX25" s="91"/>
      <c r="ASY25" s="91"/>
      <c r="ASZ25" s="91"/>
      <c r="ATA25" s="91"/>
      <c r="ATB25" s="91"/>
      <c r="ATC25" s="91"/>
      <c r="ATD25" s="91"/>
      <c r="ATE25" s="91"/>
      <c r="ATF25" s="91"/>
      <c r="ATG25" s="91"/>
      <c r="ATH25" s="91"/>
      <c r="ATI25" s="91"/>
      <c r="ATJ25" s="91"/>
      <c r="ATK25" s="91"/>
      <c r="ATL25" s="91"/>
      <c r="ATM25" s="91"/>
      <c r="ATN25" s="91"/>
      <c r="ATO25" s="91"/>
      <c r="ATP25" s="91"/>
      <c r="ATQ25" s="91"/>
      <c r="ATR25" s="91"/>
      <c r="ATS25" s="91"/>
      <c r="ATT25" s="91"/>
      <c r="ATU25" s="91"/>
      <c r="ATV25" s="91"/>
      <c r="ATW25" s="91"/>
      <c r="ATX25" s="91"/>
      <c r="ATY25" s="91"/>
      <c r="ATZ25" s="91"/>
      <c r="AUA25" s="91"/>
      <c r="AUB25" s="91"/>
      <c r="AUC25" s="91"/>
      <c r="AUD25" s="91"/>
      <c r="AUE25" s="91"/>
      <c r="AUF25" s="91"/>
      <c r="AUG25" s="91"/>
      <c r="AUH25" s="91"/>
      <c r="AUI25" s="91"/>
      <c r="AUJ25" s="91"/>
      <c r="AUK25" s="91"/>
      <c r="AUL25" s="91"/>
      <c r="AUM25" s="91"/>
      <c r="AUN25" s="91"/>
      <c r="AUO25" s="91"/>
      <c r="AUP25" s="91"/>
      <c r="AUQ25" s="91"/>
      <c r="AUR25" s="91"/>
      <c r="AUS25" s="91"/>
      <c r="AUT25" s="91"/>
      <c r="AUU25" s="91"/>
      <c r="AUV25" s="91"/>
      <c r="AUW25" s="91"/>
      <c r="AUX25" s="91"/>
      <c r="AUY25" s="91"/>
      <c r="AUZ25" s="91"/>
      <c r="AVA25" s="91"/>
      <c r="AVB25" s="91"/>
      <c r="AVC25" s="91"/>
      <c r="AVD25" s="91"/>
      <c r="AVE25" s="91"/>
      <c r="AVF25" s="91"/>
      <c r="AVG25" s="91"/>
      <c r="AVH25" s="91"/>
      <c r="AVI25" s="91"/>
      <c r="AVJ25" s="91"/>
      <c r="AVK25" s="91"/>
      <c r="AVL25" s="91"/>
      <c r="AVM25" s="91"/>
      <c r="AVN25" s="91"/>
      <c r="AVO25" s="91"/>
      <c r="AVP25" s="91"/>
      <c r="AVQ25" s="91"/>
      <c r="AVR25" s="91"/>
      <c r="AVS25" s="91"/>
      <c r="AVT25" s="91"/>
      <c r="AVU25" s="91"/>
      <c r="AVV25" s="91"/>
      <c r="AVW25" s="91"/>
      <c r="AVX25" s="91"/>
      <c r="AVY25" s="91"/>
      <c r="AVZ25" s="91"/>
      <c r="AWA25" s="91"/>
      <c r="AWB25" s="91"/>
      <c r="AWC25" s="91"/>
      <c r="AWD25" s="91"/>
      <c r="AWE25" s="91"/>
      <c r="AWF25" s="91"/>
      <c r="AWG25" s="91"/>
      <c r="AWH25" s="91"/>
      <c r="AWI25" s="91"/>
      <c r="AWJ25" s="91"/>
      <c r="AWK25" s="91"/>
      <c r="AWL25" s="91"/>
      <c r="AWM25" s="91"/>
      <c r="AWN25" s="91"/>
      <c r="AWO25" s="91"/>
      <c r="AWP25" s="91"/>
      <c r="AWQ25" s="91"/>
      <c r="AWR25" s="91"/>
      <c r="AWS25" s="91"/>
      <c r="AWT25" s="91"/>
      <c r="AWU25" s="91"/>
      <c r="AWV25" s="91"/>
      <c r="AWW25" s="91"/>
      <c r="AWX25" s="91"/>
      <c r="AWY25" s="91"/>
      <c r="AWZ25" s="91"/>
      <c r="AXA25" s="91"/>
      <c r="AXB25" s="91"/>
      <c r="AXC25" s="91"/>
      <c r="AXD25" s="91"/>
      <c r="AXE25" s="91"/>
      <c r="AXF25" s="91"/>
      <c r="AXG25" s="91"/>
      <c r="AXH25" s="91"/>
      <c r="AXI25" s="91"/>
      <c r="AXJ25" s="91"/>
      <c r="AXK25" s="91"/>
      <c r="AXL25" s="91"/>
      <c r="AXM25" s="91"/>
      <c r="AXN25" s="91"/>
      <c r="AXO25" s="91"/>
      <c r="AXP25" s="91"/>
      <c r="AXQ25" s="91"/>
      <c r="AXR25" s="91"/>
      <c r="AXS25" s="91"/>
      <c r="AXT25" s="91"/>
      <c r="AXU25" s="91"/>
      <c r="AXV25" s="91"/>
      <c r="AXW25" s="91"/>
      <c r="AXX25" s="91"/>
      <c r="AXY25" s="91"/>
      <c r="AXZ25" s="91"/>
      <c r="AYA25" s="91"/>
      <c r="AYB25" s="91"/>
      <c r="AYC25" s="91"/>
      <c r="AYD25" s="91"/>
      <c r="AYE25" s="91"/>
      <c r="AYF25" s="91"/>
      <c r="AYG25" s="91"/>
      <c r="AYH25" s="91"/>
      <c r="AYI25" s="91"/>
      <c r="AYJ25" s="91"/>
      <c r="AYK25" s="91"/>
      <c r="AYL25" s="91"/>
      <c r="AYM25" s="91"/>
      <c r="AYN25" s="91"/>
      <c r="AYO25" s="91"/>
      <c r="AYP25" s="91"/>
      <c r="AYQ25" s="91"/>
      <c r="AYR25" s="91"/>
      <c r="AYS25" s="91"/>
      <c r="AYT25" s="91"/>
      <c r="AYU25" s="91"/>
      <c r="AYV25" s="91"/>
      <c r="AYW25" s="91"/>
      <c r="AYX25" s="91"/>
      <c r="AYY25" s="91"/>
      <c r="AYZ25" s="91"/>
      <c r="AZA25" s="91"/>
      <c r="AZB25" s="91"/>
      <c r="AZC25" s="91"/>
      <c r="AZD25" s="91"/>
      <c r="AZE25" s="91"/>
      <c r="AZF25" s="91"/>
      <c r="AZG25" s="91"/>
      <c r="AZH25" s="91"/>
      <c r="AZI25" s="91"/>
      <c r="AZJ25" s="91"/>
      <c r="AZK25" s="91"/>
      <c r="AZL25" s="91"/>
      <c r="AZM25" s="91"/>
      <c r="AZN25" s="91"/>
      <c r="AZO25" s="91"/>
      <c r="AZP25" s="91"/>
      <c r="AZQ25" s="91"/>
      <c r="AZR25" s="91"/>
      <c r="AZS25" s="91"/>
      <c r="AZT25" s="91"/>
      <c r="AZU25" s="91"/>
      <c r="AZV25" s="91"/>
      <c r="AZW25" s="91"/>
      <c r="AZX25" s="91"/>
      <c r="AZY25" s="91"/>
      <c r="AZZ25" s="91"/>
      <c r="BAA25" s="91"/>
      <c r="BAB25" s="91"/>
      <c r="BAC25" s="91"/>
      <c r="BAD25" s="91"/>
      <c r="BAE25" s="91"/>
      <c r="BAF25" s="91"/>
      <c r="BAG25" s="91"/>
      <c r="BAH25" s="91"/>
      <c r="BAI25" s="91"/>
      <c r="BAJ25" s="91"/>
      <c r="BAK25" s="91"/>
      <c r="BAL25" s="91"/>
      <c r="BAM25" s="91"/>
      <c r="BAN25" s="91"/>
      <c r="BAO25" s="91"/>
      <c r="BAP25" s="91"/>
      <c r="BAQ25" s="91"/>
      <c r="BAR25" s="91"/>
      <c r="BAS25" s="91"/>
      <c r="BAT25" s="91"/>
      <c r="BAU25" s="91"/>
      <c r="BAV25" s="91"/>
      <c r="BAW25" s="91"/>
      <c r="BAX25" s="91"/>
      <c r="BAY25" s="91"/>
      <c r="BAZ25" s="91"/>
      <c r="BBA25" s="91"/>
      <c r="BBB25" s="91"/>
      <c r="BBC25" s="91"/>
      <c r="BBD25" s="91"/>
      <c r="BBE25" s="91"/>
      <c r="BBF25" s="91"/>
      <c r="BBG25" s="91"/>
      <c r="BBH25" s="91"/>
      <c r="BBI25" s="91"/>
      <c r="BBJ25" s="91"/>
      <c r="BBK25" s="91"/>
      <c r="BBL25" s="91"/>
      <c r="BBM25" s="91"/>
      <c r="BBN25" s="91"/>
      <c r="BBO25" s="91"/>
      <c r="BBP25" s="91"/>
      <c r="BBQ25" s="91"/>
      <c r="BBR25" s="91"/>
      <c r="BBS25" s="91"/>
      <c r="BBT25" s="91"/>
      <c r="BBU25" s="91"/>
      <c r="BBV25" s="91"/>
      <c r="BBW25" s="91"/>
      <c r="BBX25" s="91"/>
      <c r="BBY25" s="91"/>
      <c r="BBZ25" s="91"/>
      <c r="BCA25" s="91"/>
      <c r="BCB25" s="91"/>
      <c r="BCC25" s="91"/>
      <c r="BCD25" s="91"/>
      <c r="BCE25" s="91"/>
      <c r="BCF25" s="91"/>
      <c r="BCG25" s="91"/>
      <c r="BCH25" s="91"/>
      <c r="BCI25" s="91"/>
      <c r="BCJ25" s="91"/>
      <c r="BCK25" s="91"/>
      <c r="BCL25" s="91"/>
      <c r="BCM25" s="91"/>
      <c r="BCN25" s="91"/>
      <c r="BCO25" s="91"/>
      <c r="BCP25" s="91"/>
      <c r="BCQ25" s="91"/>
      <c r="BCR25" s="91"/>
      <c r="BCS25" s="91"/>
      <c r="BCT25" s="91"/>
      <c r="BCU25" s="91"/>
      <c r="BCV25" s="91"/>
      <c r="BCW25" s="91"/>
      <c r="BCX25" s="91"/>
      <c r="BCY25" s="91"/>
      <c r="BCZ25" s="91"/>
      <c r="BDA25" s="91"/>
      <c r="BDB25" s="91"/>
      <c r="BDC25" s="91"/>
      <c r="BDD25" s="91"/>
      <c r="BDE25" s="91"/>
      <c r="BDF25" s="91"/>
      <c r="BDG25" s="91"/>
      <c r="BDH25" s="91"/>
      <c r="BDI25" s="91"/>
      <c r="BDJ25" s="91"/>
      <c r="BDK25" s="91"/>
      <c r="BDL25" s="91"/>
      <c r="BDM25" s="91"/>
      <c r="BDN25" s="91"/>
      <c r="BDO25" s="91"/>
      <c r="BDP25" s="91"/>
      <c r="BDQ25" s="91"/>
      <c r="BDR25" s="91"/>
      <c r="BDS25" s="91"/>
      <c r="BDT25" s="91"/>
      <c r="BDU25" s="91"/>
      <c r="BDV25" s="91"/>
      <c r="BDW25" s="91"/>
      <c r="BDX25" s="91"/>
      <c r="BDY25" s="91"/>
      <c r="BDZ25" s="91"/>
      <c r="BEA25" s="91"/>
      <c r="BEB25" s="91"/>
      <c r="BEC25" s="91"/>
      <c r="BED25" s="91"/>
      <c r="BEE25" s="91"/>
      <c r="BEF25" s="91"/>
      <c r="BEG25" s="91"/>
      <c r="BEH25" s="91"/>
      <c r="BEI25" s="91"/>
      <c r="BEJ25" s="91"/>
      <c r="BEK25" s="91"/>
    </row>
    <row r="28" spans="1:1493" s="102" customFormat="1" ht="15" customHeight="1" x14ac:dyDescent="0.15">
      <c r="DA28" s="103"/>
      <c r="DB28" s="104"/>
    </row>
    <row r="30" spans="1:1493" s="102" customFormat="1" ht="15" customHeight="1" x14ac:dyDescent="0.15">
      <c r="A30" s="281">
        <f t="shared" ref="A30" si="2">IF(B30&lt;&gt;"",1,0)</f>
        <v>1</v>
      </c>
      <c r="B30" s="78" t="str">
        <f>RedBasica!E30</f>
        <v>MS_A_2-004</v>
      </c>
      <c r="C30" s="79">
        <f>RedBasica!F30</f>
        <v>57.99</v>
      </c>
      <c r="D30" s="80" t="str">
        <f>RedBasica!G30</f>
        <v>MS_A_2-003</v>
      </c>
      <c r="E30" s="80">
        <f>RedBasica!H30</f>
        <v>0</v>
      </c>
      <c r="F30" s="80">
        <f>RedBasica!I30</f>
        <v>0</v>
      </c>
      <c r="G30" s="80">
        <f>RedBasica!J30</f>
        <v>0</v>
      </c>
      <c r="H30" s="80">
        <f>RedBasica!K30</f>
        <v>0</v>
      </c>
      <c r="I30" s="80">
        <f>RedBasica!L30</f>
        <v>0</v>
      </c>
      <c r="J30" s="229">
        <f>RedBasica!M30</f>
        <v>5.7990000000000006E-4</v>
      </c>
      <c r="K30" s="80">
        <f>RedBasica!N30</f>
        <v>2.3526000000000003E-3</v>
      </c>
      <c r="L30" s="80">
        <f>RedBasica!O30</f>
        <v>2.3526000000000003E-3</v>
      </c>
      <c r="M30" s="81">
        <f>RedBasica!Y30</f>
        <v>180.91</v>
      </c>
      <c r="N30" s="81">
        <f>RedBasica!Z30</f>
        <v>180.31</v>
      </c>
      <c r="O30" s="82">
        <f>RedBasica!AA30</f>
        <v>179.85999999999999</v>
      </c>
      <c r="P30" s="82">
        <f>RedBasica!AB30</f>
        <v>179.26</v>
      </c>
      <c r="Q30" s="82">
        <f>RedBasica!AC30</f>
        <v>180.01</v>
      </c>
      <c r="R30" s="82">
        <f>RedBasica!AD30</f>
        <v>179.41</v>
      </c>
      <c r="S30" s="81">
        <f>RedBasica!V30</f>
        <v>1.05</v>
      </c>
      <c r="T30" s="81">
        <f>RedBasica!W30</f>
        <v>1.05</v>
      </c>
      <c r="U30" s="81">
        <f>RedBasica!T30</f>
        <v>0.9</v>
      </c>
      <c r="V30" s="81">
        <f>RedBasica!U30</f>
        <v>0.9</v>
      </c>
      <c r="W30" s="83">
        <f>RedBasica!AE30</f>
        <v>1.0346611484738649E-2</v>
      </c>
      <c r="X30" s="83">
        <f>RedBasica!AH30</f>
        <v>1.0346611484738649E-2</v>
      </c>
      <c r="Y30" s="84">
        <f>RedBasica!AJ30</f>
        <v>150</v>
      </c>
      <c r="Z30" s="83">
        <f>RedBasica!AK30</f>
        <v>1.2999999999999999E-2</v>
      </c>
      <c r="AA30" s="81">
        <f>RedBasica!AL30</f>
        <v>1.5</v>
      </c>
      <c r="AB30" s="85">
        <f>RedBasica!AN30</f>
        <v>0.21019672349436275</v>
      </c>
      <c r="AC30" s="81">
        <f>RedBasica!AP30</f>
        <v>1.9189372343965676</v>
      </c>
      <c r="AD30" s="81">
        <f>RedBasica!AQ30</f>
        <v>2.5826235009970846</v>
      </c>
      <c r="AE30" s="81">
        <f>RedBasica!AR30</f>
        <v>0.55521435409115971</v>
      </c>
      <c r="AF30" s="81">
        <f>RedBasica!AS30</f>
        <v>1.5</v>
      </c>
      <c r="AG30" s="85">
        <f>RedBasica!AU30</f>
        <v>0.21019672349436275</v>
      </c>
      <c r="AH30" s="81">
        <f>RedBasica!AV30</f>
        <v>1.9189372343965676</v>
      </c>
      <c r="AI30" s="283" t="str">
        <f>RedBasica!AX30</f>
        <v>CI-0.60</v>
      </c>
      <c r="AJ30" s="283" t="str">
        <f>RedBasica!AZ30</f>
        <v>CI-0.60</v>
      </c>
      <c r="AK30" s="140">
        <f>RedBasica!BB30</f>
        <v>0</v>
      </c>
      <c r="CV30" s="103"/>
      <c r="CW30" s="104"/>
    </row>
    <row r="35" spans="1:33" x14ac:dyDescent="0.2">
      <c r="A35" s="105"/>
      <c r="B35" s="106"/>
      <c r="C35" s="106"/>
      <c r="D35" s="107"/>
      <c r="E35" s="108"/>
      <c r="F35" s="109"/>
      <c r="G35" s="110"/>
      <c r="H35" s="109"/>
      <c r="I35" s="109"/>
      <c r="J35" s="107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  <c r="V35" s="109"/>
      <c r="W35" s="109"/>
      <c r="X35" s="109"/>
      <c r="Y35" s="109"/>
      <c r="Z35" s="109"/>
      <c r="AA35" s="109"/>
      <c r="AB35" s="109"/>
      <c r="AC35" s="109"/>
      <c r="AD35" s="109"/>
      <c r="AE35" s="111"/>
      <c r="AF35" s="109"/>
    </row>
    <row r="36" spans="1:33" x14ac:dyDescent="0.2">
      <c r="A36" s="105"/>
      <c r="B36" s="106"/>
      <c r="C36" s="106"/>
      <c r="D36" s="107"/>
      <c r="E36" s="108"/>
      <c r="F36" s="109"/>
      <c r="G36" s="110"/>
      <c r="H36" s="109"/>
      <c r="I36" s="109"/>
      <c r="J36" s="107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  <c r="X36" s="109"/>
      <c r="Y36" s="109"/>
      <c r="Z36" s="109"/>
      <c r="AA36" s="109"/>
      <c r="AB36" s="109"/>
      <c r="AC36" s="109"/>
      <c r="AD36" s="109"/>
      <c r="AE36" s="111"/>
      <c r="AF36" s="109"/>
    </row>
    <row r="38" spans="1:33" x14ac:dyDescent="0.2">
      <c r="A38" s="105"/>
      <c r="B38" s="106"/>
      <c r="C38" s="106"/>
      <c r="D38" s="107"/>
      <c r="E38" s="108"/>
      <c r="F38" s="109"/>
      <c r="G38" s="110"/>
      <c r="H38" s="109"/>
      <c r="I38" s="109"/>
      <c r="J38" s="107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  <c r="Y38" s="109"/>
      <c r="Z38" s="109"/>
      <c r="AA38" s="109"/>
      <c r="AB38" s="109"/>
      <c r="AC38" s="109"/>
      <c r="AD38" s="109"/>
      <c r="AE38" s="111"/>
      <c r="AF38" s="109"/>
    </row>
    <row r="40" spans="1:33" x14ac:dyDescent="0.2">
      <c r="A40" s="86" t="str">
        <f>RedBasica!E40</f>
        <v>MS_A_4-007</v>
      </c>
      <c r="B40" s="87">
        <f>IF(OR(Parametros!$F$35=0,RedBasica!$F40=0),0,IF(Parametros!$F$35="No",0,IF(Parametros!$F$35="Si",1,0)))</f>
        <v>0</v>
      </c>
      <c r="C40" s="88">
        <f>IFERROR(INDEX(RedBasica!$N$15:$N$10000,MATCH(RedBasica!G40,RedBasica!$E$15:$E$10000,0),1),0)</f>
        <v>2.9156E-3</v>
      </c>
      <c r="D40" s="67">
        <f>IFERROR(INDEX(RedBasica!$N$15:$N$10000,MATCH(RedBasica!H40,RedBasica!$E$15:$E$10000,0),1),0)</f>
        <v>2.7036999999999999E-3</v>
      </c>
      <c r="E40" s="67">
        <f>IFERROR(INDEX(RedBasica!$N$15:$N$10000,MATCH(RedBasica!I40,RedBasica!$E$15:$E$10000,0),1),0)</f>
        <v>0</v>
      </c>
      <c r="F40" s="67">
        <f>SUM(C40,D40,E40)</f>
        <v>5.6192999999999998E-3</v>
      </c>
      <c r="G40" s="67">
        <f>RedBasica!K40*Parametros!$L$24</f>
        <v>0</v>
      </c>
      <c r="H40" s="68">
        <f>IF(RedBasica!$F40=0,0,$B40*Parametros!$F$41*Parametros!$F$42*Parametros!$F$36*RedBasica!$F40/1000)</f>
        <v>0</v>
      </c>
      <c r="I40" s="88">
        <f>IFERROR(INDEX(RedBasica!$O$15:$O$10000,MATCH(RedBasica!G40,RedBasica!$E$15:$E$10000,0),1),0)</f>
        <v>2.9156E-3</v>
      </c>
      <c r="J40" s="89">
        <f>IFERROR(INDEX(RedBasica!$O$15:$O$10000,MATCH(RedBasica!H40,RedBasica!$E$15:$E$10000,0),1),0)</f>
        <v>2.7036999999999999E-3</v>
      </c>
      <c r="K40" s="89">
        <f>IFERROR(INDEX(RedBasica!$O$15:$O$10000,MATCH(RedBasica!I40,RedBasica!$E$15:$E$10000,0),1),0)</f>
        <v>0</v>
      </c>
      <c r="L40" s="67">
        <f>SUM(I40,J40,K40)</f>
        <v>5.6192999999999998E-3</v>
      </c>
      <c r="M40" s="67">
        <f>RedBasica!L40*Parametros!$L$24/Parametros!$F$41</f>
        <v>0</v>
      </c>
      <c r="N40" s="68">
        <f>IF(RedBasica!$F40=0,0,$B40*Parametros!$F$42*Parametros!$F$37*RedBasica!$F40/1000)</f>
        <v>0</v>
      </c>
    </row>
    <row r="45" spans="1:33" x14ac:dyDescent="0.2">
      <c r="A45" s="105"/>
      <c r="B45" s="106"/>
      <c r="C45" s="106"/>
      <c r="D45" s="107"/>
      <c r="E45" s="108"/>
      <c r="F45" s="109"/>
      <c r="G45" s="110"/>
      <c r="H45" s="109"/>
      <c r="I45" s="109"/>
      <c r="J45" s="107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  <c r="X45" s="109"/>
      <c r="Y45" s="109"/>
      <c r="Z45" s="109"/>
      <c r="AA45" s="109"/>
      <c r="AB45" s="109"/>
      <c r="AC45" s="109"/>
      <c r="AD45" s="109"/>
      <c r="AE45" s="111"/>
      <c r="AF45" s="109"/>
    </row>
    <row r="46" spans="1:33" x14ac:dyDescent="0.2">
      <c r="A46" s="105"/>
      <c r="B46" s="106"/>
      <c r="C46" s="106"/>
      <c r="D46" s="107"/>
      <c r="E46" s="108"/>
      <c r="F46" s="109"/>
      <c r="G46" s="110"/>
      <c r="H46" s="109"/>
      <c r="I46" s="109"/>
      <c r="J46" s="107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  <c r="Y46" s="109"/>
      <c r="Z46" s="109"/>
      <c r="AA46" s="109"/>
      <c r="AB46" s="109"/>
      <c r="AC46" s="109"/>
      <c r="AD46" s="109"/>
      <c r="AE46" s="111"/>
      <c r="AF46" s="109"/>
      <c r="AG46" s="112"/>
    </row>
    <row r="47" spans="1:33" x14ac:dyDescent="0.2">
      <c r="A47" s="105"/>
      <c r="B47" s="106"/>
      <c r="C47" s="106"/>
      <c r="D47" s="107"/>
      <c r="E47" s="108"/>
      <c r="F47" s="109"/>
      <c r="G47" s="110"/>
      <c r="H47" s="109"/>
      <c r="I47" s="109"/>
      <c r="J47" s="107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  <c r="Z47" s="109"/>
      <c r="AA47" s="109"/>
      <c r="AB47" s="109"/>
      <c r="AC47" s="109"/>
      <c r="AD47" s="109"/>
      <c r="AE47" s="111"/>
      <c r="AF47" s="109"/>
      <c r="AG47" s="112"/>
    </row>
    <row r="48" spans="1:33" x14ac:dyDescent="0.2">
      <c r="A48" s="105"/>
      <c r="B48" s="106"/>
      <c r="C48" s="106"/>
      <c r="D48" s="107"/>
      <c r="E48" s="108"/>
      <c r="F48" s="109"/>
      <c r="G48" s="110"/>
      <c r="H48" s="109"/>
      <c r="I48" s="109"/>
      <c r="J48" s="107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  <c r="Z48" s="109"/>
      <c r="AA48" s="109"/>
      <c r="AB48" s="109"/>
      <c r="AC48" s="109"/>
      <c r="AD48" s="109"/>
      <c r="AE48" s="111"/>
      <c r="AF48" s="109"/>
      <c r="AG48" s="112"/>
    </row>
    <row r="49" spans="1:42" x14ac:dyDescent="0.2">
      <c r="A49" s="324"/>
      <c r="B49" s="106"/>
      <c r="C49" s="106"/>
      <c r="D49" s="107"/>
      <c r="E49" s="108"/>
      <c r="F49" s="109"/>
      <c r="G49" s="110"/>
      <c r="H49" s="109"/>
      <c r="I49" s="109"/>
      <c r="J49" s="107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  <c r="Z49" s="109"/>
      <c r="AA49" s="109"/>
      <c r="AB49" s="109"/>
      <c r="AC49" s="109"/>
      <c r="AD49" s="109"/>
      <c r="AE49" s="111"/>
      <c r="AF49" s="109"/>
      <c r="AG49" s="112"/>
    </row>
    <row r="50" spans="1:42" x14ac:dyDescent="0.2">
      <c r="A50" s="86" t="str">
        <f>RedBasica!E50</f>
        <v>MS_A_7-001</v>
      </c>
      <c r="B50" s="86" t="str">
        <f>IF(RedBasica!G50=0,"",RedBasica!G50)</f>
        <v/>
      </c>
      <c r="C50" s="86" t="str">
        <f>IF(RedBasica!H50=0,"",RedBasica!H50)</f>
        <v/>
      </c>
      <c r="D50" s="86" t="str">
        <f>IF(RedBasica!I50=0,"",RedBasica!I50)</f>
        <v/>
      </c>
      <c r="E50" s="88" t="str">
        <f>IF(AND(RedBasica!D50=RedBasica!D49,RedBasica!F50&gt;0),RedBasica!W49,"")</f>
        <v/>
      </c>
      <c r="F50" s="67" t="str">
        <f>IFERROR(INDEX($J$15:$J$10000,MATCH(C50,$A$15:$A$10000,0),1),"")</f>
        <v/>
      </c>
      <c r="G50" s="67" t="str">
        <f>IFERROR(INDEX($J$15:$J$10000,MATCH(D50,$A$15:$A$10000,0),1),"")</f>
        <v/>
      </c>
      <c r="H50" s="67">
        <f>MAX(E50:G50)</f>
        <v>0</v>
      </c>
      <c r="I50" s="67">
        <f>RedBasica!V50</f>
        <v>1.05</v>
      </c>
      <c r="J50" s="67">
        <f>RedBasica!W50</f>
        <v>1.1139249999999947</v>
      </c>
      <c r="K50" s="88" t="str">
        <f>IF(AND(RedBasica!D50=RedBasica!D49,RedBasica!F50&gt;0),RedBasica!U49,"")</f>
        <v/>
      </c>
      <c r="L50" s="67" t="str">
        <f>IFERROR(INDEX($P$15:$P$10000,MATCH(C50,$A$15:$A$10000,0),1),"")</f>
        <v/>
      </c>
      <c r="M50" s="67" t="str">
        <f>IFERROR(INDEX($P$15:$P$10000,MATCH(D50,$A$15:$A$10000,0),1),"")</f>
        <v/>
      </c>
      <c r="N50" s="67">
        <f>MAX(K50:M50)</f>
        <v>0</v>
      </c>
      <c r="O50" s="67">
        <f>RedBasica!T50</f>
        <v>0.9</v>
      </c>
      <c r="P50" s="67">
        <f>RedBasica!U50</f>
        <v>0.9639249999999947</v>
      </c>
      <c r="Q50" s="67" t="str">
        <f>IFERROR(INDEX('A3'!$E$15:$E$10000,MATCH(RedBasica!G50,'A3'!$A$15:$A$10000,0),1),"")</f>
        <v/>
      </c>
      <c r="R50" s="67" t="str">
        <f>IFERROR(INDEX('A3'!$E$15:$E$10000,MATCH(C50,$A$15:$A$10000,0),1),"")</f>
        <v/>
      </c>
      <c r="S50" s="67" t="str">
        <f>IFERROR(INDEX('A3'!$E$15:$E$10000,MATCH(D50,$A$15:$A$10000,0),1),"")</f>
        <v/>
      </c>
      <c r="T50" s="67">
        <f>MIN(Q50:S50)</f>
        <v>0</v>
      </c>
      <c r="U50" s="67">
        <f>IFERROR(INDEX('A3'!$D$15:$D$10000,MATCH(A50,'A3'!$A$15:$A$10000,0),1),"")</f>
        <v>180.13</v>
      </c>
      <c r="V50" s="320">
        <f>IF(Q50="",0,(IF(U50-T50&gt;(Parametros!$F$64*(-1)),ROUNDUP(U50-T50+(Parametros!$F$64),2),0)))</f>
        <v>0</v>
      </c>
      <c r="W50" s="67" t="str">
        <f>IFERROR(INDEX('A3'!$I$15:$I$10000,MATCH(RedBasica!G50,'A3'!$A$15:$A$10000,0),1),"")</f>
        <v/>
      </c>
      <c r="X50" s="67" t="str">
        <f>IFERROR(INDEX('A3'!$I$15:$I$10000,MATCH(C50,$A$15:$A$10000,0),1),"")</f>
        <v/>
      </c>
      <c r="Y50" s="67" t="str">
        <f>IFERROR(INDEX('A3'!$I$15:$I$10000,MATCH(D50,$A$15:$A$10000,0),1),"")</f>
        <v/>
      </c>
      <c r="Z50" s="67">
        <f>MIN(W50:Y50)</f>
        <v>0</v>
      </c>
      <c r="AA50" s="67">
        <f>IFERROR(INDEX('A3'!$H$15:$H$10000,MATCH(A50,'A3'!$A$15:$A$10000,0),1),"")</f>
        <v>180.16883868578935</v>
      </c>
      <c r="AB50" s="320">
        <f>IFERROR(IF(W50="",0,(IF(AA50-Z50&gt;0,ROUNDUP(AA50-Z50,2),0))),0)</f>
        <v>0</v>
      </c>
      <c r="AC50" s="67">
        <f>RedBasica!R50</f>
        <v>0</v>
      </c>
      <c r="AD50" s="320">
        <f>ROUND(I50+AB50,2)</f>
        <v>1.05</v>
      </c>
      <c r="AE50" s="320"/>
      <c r="AF50" s="320" t="str">
        <f>IF(SUM(IFERROR(MATCH(A50,$B$15:$B$10000,FALSE),0),IFERROR(MATCH(A50,$C$15:$C$10000,FALSE),0),IFERROR(MATCH(A50,$D$15:$D$10000,FALSE),0))=0,"-",INDEX($H$15:$H$10000,SUM(IFERROR(MATCH(A50,$B$15:$B$10000,FALSE),0),IFERROR(MATCH(A50,$C$15:$C$10000,FALSE),0),IFERROR(MATCH(A50,$D$15:$D$10000,FALSE),0))))</f>
        <v>-</v>
      </c>
      <c r="AG50" s="320" t="str">
        <f t="shared" ref="AG50" si="3">IF(AF50="-","-",IF(AF50-J50=0,"-",ROUND(AF50,2)))</f>
        <v>-</v>
      </c>
      <c r="AH50" s="333">
        <f>RedBasica!B50</f>
        <v>1</v>
      </c>
      <c r="AI50" s="333">
        <f>RedBasica!AI50</f>
        <v>150</v>
      </c>
      <c r="AJ50" s="333">
        <f>RedBasica!AJ50</f>
        <v>150</v>
      </c>
      <c r="AK50" s="333">
        <f>IF(OR(AH50=1,AI50&gt;AJ49),AI50,AJ49)</f>
        <v>150</v>
      </c>
      <c r="AL50" s="339"/>
    </row>
    <row r="51" spans="1:42" ht="15" x14ac:dyDescent="0.25">
      <c r="A51" s="185"/>
      <c r="B51"/>
      <c r="C51"/>
      <c r="D51" s="193"/>
      <c r="E51" s="185"/>
      <c r="F51" s="186"/>
      <c r="G51"/>
      <c r="H51"/>
      <c r="I51"/>
      <c r="R51" s="109"/>
      <c r="S51" s="109"/>
      <c r="T51" s="109"/>
      <c r="U51" s="109"/>
      <c r="V51" s="109"/>
      <c r="W51" s="109"/>
      <c r="X51" s="109"/>
      <c r="Y51" s="109"/>
      <c r="Z51" s="109"/>
      <c r="AA51" s="109"/>
      <c r="AB51" s="109"/>
      <c r="AC51" s="109"/>
    </row>
    <row r="52" spans="1:42" x14ac:dyDescent="0.2">
      <c r="R52" s="109"/>
      <c r="S52" s="109"/>
      <c r="T52" s="109"/>
      <c r="U52" s="109"/>
      <c r="V52" s="109"/>
      <c r="W52" s="109"/>
      <c r="X52" s="109"/>
      <c r="Y52" s="109"/>
      <c r="Z52" s="109"/>
      <c r="AA52" s="109"/>
      <c r="AB52" s="109"/>
      <c r="AC52" s="109"/>
    </row>
    <row r="53" spans="1:42" x14ac:dyDescent="0.2">
      <c r="R53" s="109"/>
      <c r="S53" s="109"/>
      <c r="T53" s="109"/>
      <c r="U53" s="109"/>
      <c r="V53" s="109"/>
      <c r="W53" s="109"/>
      <c r="X53" s="109"/>
      <c r="Y53" s="109"/>
      <c r="Z53" s="109"/>
      <c r="AA53" s="109"/>
      <c r="AB53" s="109"/>
      <c r="AC53" s="109"/>
    </row>
    <row r="54" spans="1:42" x14ac:dyDescent="0.2">
      <c r="R54" s="109"/>
      <c r="S54" s="109"/>
      <c r="T54" s="109"/>
      <c r="U54" s="109"/>
      <c r="V54" s="109"/>
      <c r="W54" s="109"/>
      <c r="X54" s="109"/>
      <c r="Y54" s="109"/>
      <c r="Z54" s="109"/>
      <c r="AA54" s="109"/>
      <c r="AB54" s="109"/>
      <c r="AC54" s="109"/>
    </row>
    <row r="55" spans="1:42" customFormat="1" x14ac:dyDescent="0.2">
      <c r="AI55" s="91"/>
      <c r="AJ55" s="91"/>
      <c r="AK55" s="91"/>
      <c r="AL55" s="91"/>
      <c r="AM55" s="91"/>
      <c r="AN55" s="91"/>
      <c r="AO55" s="91"/>
      <c r="AP55" s="91"/>
    </row>
    <row r="60" spans="1:42" x14ac:dyDescent="0.2">
      <c r="A60" s="99">
        <f>RedBasica!E60</f>
        <v>0</v>
      </c>
      <c r="B60" s="95">
        <f>RedBasica!Y60</f>
        <v>0</v>
      </c>
      <c r="C60" s="95">
        <f>RedBasica!Z60</f>
        <v>0</v>
      </c>
      <c r="D60" s="95">
        <f>IF(ISERR(RedBasica!AA60),"-",RedBasica!AA60)</f>
        <v>0</v>
      </c>
      <c r="E60" s="95">
        <f>IF(ISERR(RedBasica!AB60),"-",RedBasica!AB60)</f>
        <v>0</v>
      </c>
      <c r="F60" s="95">
        <f>IF(ISERR(RedBasica!F60=0),"-",RedBasica!AC60)</f>
        <v>0</v>
      </c>
      <c r="G60" s="95">
        <f>IF(ISERR(RedBasica!F60=0),"-",RedBasica!AD60)</f>
        <v>0</v>
      </c>
      <c r="H60" s="95">
        <f>IF(ISERR(RedBasica!F60=0),"-",RedBasica!AA60+RedBasica!AM60)</f>
        <v>0</v>
      </c>
      <c r="I60" s="95">
        <f>IF(ISERR(RedBasica!F60=0),"-",RedBasica!AB60+RedBasica!AM60)</f>
        <v>0</v>
      </c>
    </row>
    <row r="70" spans="1:7" x14ac:dyDescent="0.2">
      <c r="A70" s="86">
        <f>RedBasica!E70</f>
        <v>0</v>
      </c>
      <c r="B70" s="90">
        <f>RedBasica!BA70</f>
        <v>0</v>
      </c>
      <c r="C70" s="67">
        <f>IF(OR(B70=0,B70=""),0,IFERROR(INDEX('A3'!$E$15:$E$10000,(MATCH(A70,'A3'!$A$15:$A$10000,0))),0)-IFERROR(INDEX('A3'!$D$15:$D$10000,(MATCH(B70,'A3'!$A$15:$A$10000,0))),0))</f>
        <v>0</v>
      </c>
      <c r="D70" s="77" t="str">
        <f>IF(C70&gt;0,IF(C70&lt;Parametros!$F$62,"D","TC"),"")</f>
        <v/>
      </c>
    </row>
    <row r="80" spans="1:7" x14ac:dyDescent="0.2">
      <c r="A80" s="191">
        <f>'A5'!A80</f>
        <v>0</v>
      </c>
      <c r="B80" t="e">
        <f>IFERROR(INDEX(RedBasica!$AX$15:$AX$9848,MATCH($A80,RedBasica!$AW$15:$AW$9848,0)),INDEX(RedBasica!$AZ$15:$AZ$9848,MATCH($A80,RedBasica!$AY$15:$AY$9848,0)))</f>
        <v>#N/A</v>
      </c>
      <c r="C80" s="200" t="e">
        <f>TEXT(ROUND(IFERROR(INDEX(RedBasica!$AA$15:$AA$9848,MATCH($A80,RedBasica!$AW$15:$AW$9848,0)),INDEX(RedBasica!$AB$15:$AB$9848,MATCH($A80,RedBasica!$AY$15:$AY$9848,0))),2),"0.00")</f>
        <v>#N/A</v>
      </c>
      <c r="D80" s="200" t="e">
        <f>TEXT(ROUND(IFERROR(INDEX(RedBasica!$V$15:$V$9848,MATCH($A80,RedBasica!$AW$15:$AW$9848,0)),INDEX(RedBasica!$W$15:$W$9848,MATCH($A80,RedBasica!$AY$15:$AY$9848,0))),2),"0.00")</f>
        <v>#N/A</v>
      </c>
      <c r="F80" s="200" t="e">
        <f>TEXT(ROUND(IFERROR(INDEX(RedBasica!$AC$15:$AC$9848,MATCH($A80,RedBasica!$AW$15:$AW$9848,0)),INDEX(RedBasica!$AD$15:$AD$9848,MATCH($A80,RedBasica!$AY$15:$AY$9848,0))),2),"0.00")</f>
        <v>#N/A</v>
      </c>
      <c r="G80" s="200" t="e">
        <f>TEXT(ROUND(IFERROR(INDEX(RedBasica!$T$15:$T$10000,MATCH($A80,RedBasica!$AW$15:$AW$10000,0)),INDEX(RedBasica!$U$15:$U$10000,MATCH($A80,RedBasica!$AY$15:$AY$10000,0))),2),"0.00")</f>
        <v>#N/A</v>
      </c>
    </row>
    <row r="90" spans="1:24" x14ac:dyDescent="0.2">
      <c r="A90" s="199">
        <f>ImportQGIS!D90</f>
        <v>0</v>
      </c>
      <c r="B90" t="e">
        <f>TEXT(ROUND(INDEX(RedBasica!$W$15:$W$10000,MATCH($A90,RedBasica!$E$15:$E$10000,0)),2),"0.00")</f>
        <v>#N/A</v>
      </c>
      <c r="C90" t="e">
        <f>TEXT(ROUND(INDEX(RedBasica!$V$15:$V$10000,MATCH($A90,RedBasica!$E$15:$E$10000,0)),2),"0.00")</f>
        <v>#N/A</v>
      </c>
      <c r="D90" t="e">
        <f>TEXT(ROUND(INDEX(RedBasica!$U$15:$U$10000,MATCH($A90,RedBasica!$E$15:$E$10000,0)),2),"0.00")</f>
        <v>#N/A</v>
      </c>
      <c r="E90" t="e">
        <f>TEXT(ROUND(INDEX(RedBasica!$T$15:$T$10000,MATCH($A90,RedBasica!$E$15:$E$10000,0)),2),"0.00")</f>
        <v>#N/A</v>
      </c>
      <c r="F90" t="e">
        <f>TEXT(ROUND(INDEX(RedBasica!$AH$15:$AH$10000,MATCH($A90,RedBasica!$E$15:$E$10000,0)),5),"0.00000")</f>
        <v>#N/A</v>
      </c>
      <c r="G90" t="e">
        <f>(INDEX(RedBasica!$AJ$15:$AJ$10000,MATCH($A90,RedBasica!$E$15:$E$10000,0)))</f>
        <v>#N/A</v>
      </c>
      <c r="H90" t="e">
        <f>(INDEX(Parametros!$C$69:$C$82,MATCH((INDEX(RedBasica!$AJ$15:$AJ$10000,MATCH($A90,RedBasica!$E$15:$E$10000,0))),Parametros!$B$69:$B$82,0)))</f>
        <v>#N/A</v>
      </c>
      <c r="I90" t="e">
        <f>(INDEX('A4'!$D$15:$D$10000,MATCH($A90,'A4'!$A$15:$A$10000,0)))</f>
        <v>#N/A</v>
      </c>
      <c r="J90" t="e">
        <f>TEXT(ROUND((INDEX('A4'!$C$15:$C$10000,MATCH($A90,'A4'!$A$15:$A$10000,0))),2),"0.00")</f>
        <v>#N/A</v>
      </c>
      <c r="K90" t="e">
        <f>TEXT(ROUND(INDEX(RedBasica!$AK$15:$AK$10000,MATCH($A90,RedBasica!$E$15:$E$10000,0)),4),"0.0000")</f>
        <v>#N/A</v>
      </c>
      <c r="L90" t="e">
        <f>TEXT(ROUND(INDEX(RedBasica!$O$15:$O$10000,MATCH($A90,RedBasica!$E$15:$E$10000,0)),2),"0.00")</f>
        <v>#N/A</v>
      </c>
      <c r="M90" t="e">
        <f>TEXT(ROUND(INDEX(RedBasica!$N$15:$N$10000,MATCH($A90,RedBasica!$E$15:$E$10000,0)),2),"0.00")</f>
        <v>#N/A</v>
      </c>
      <c r="N90" t="e">
        <f>TEXT(ROUND(INDEX(RedBasica!$AS$15:$AS$10000,MATCH($A90,RedBasica!$E$15:$E$10000,0)),2),"0.00")</f>
        <v>#N/A</v>
      </c>
      <c r="O90" t="e">
        <f>TEXT(ROUND(INDEX(RedBasica!$AL$15:$AL$10000,MATCH($A90,RedBasica!$E$15:$E$10000,0)),2),"0.00")</f>
        <v>#N/A</v>
      </c>
      <c r="P90" s="263" t="e">
        <f>TEXT(ROUND(INDEX(RedBasica!$AT$15:$AT$10000,MATCH($A90,RedBasica!$E$15:$E$10000,0)),4),"0.00")</f>
        <v>#N/A</v>
      </c>
      <c r="Q90" s="263" t="e">
        <f>TEXT(ROUND(INDEX(RedBasica!$AM$15:$AM$10000,MATCH($A90,RedBasica!$E$15:$E$10000,0)),4),"0.00")</f>
        <v>#N/A</v>
      </c>
      <c r="R90" t="e">
        <f>TEXT(ROUND(((INDEX(RedBasica!$AU$15:$AU$10000,MATCH($A90,RedBasica!$E$15:$E$10000,0)))*100),0),"0")</f>
        <v>#N/A</v>
      </c>
      <c r="S90" t="e">
        <f>TEXT(ROUND(((INDEX(RedBasica!$AN$15:$AN$10000,MATCH($A90,RedBasica!$E$15:$E$10000,0)))*100),0),"0")</f>
        <v>#N/A</v>
      </c>
      <c r="T90" t="e">
        <f>TEXT(ROUND(INDEX(RedBasica!$AV$15:$AV$10000,MATCH($A90,RedBasica!$E$15:$E$10000,0)),2),"0.00")</f>
        <v>#N/A</v>
      </c>
      <c r="U90" t="e">
        <f>TEXT(ROUND(INDEX(RedBasica!$AP$15:$AP$10000,MATCH($A90,RedBasica!$E$15:$E$10000,0)),2),"0.00")</f>
        <v>#N/A</v>
      </c>
      <c r="V90"/>
      <c r="W90" t="e">
        <f>TEXT(ROUND(INDEX(RedBasica!$AR$15:$AR$10000,MATCH($A90,RedBasica!$E$15:$E$10000,0)),2),"0.00")</f>
        <v>#N/A</v>
      </c>
      <c r="X90" t="e">
        <f>TEXT(ROUND(INDEX(RedBasica!$AQ$15:$AQ$10000,MATCH($A90,RedBasica!$E$15:$E$10000,0)),2),"0.00")</f>
        <v>#N/A</v>
      </c>
    </row>
    <row r="98" spans="5:11" x14ac:dyDescent="0.2">
      <c r="E98" s="201"/>
      <c r="G98" s="191"/>
      <c r="H98"/>
      <c r="J98" s="185"/>
      <c r="K98" s="185"/>
    </row>
  </sheetData>
  <mergeCells count="9">
    <mergeCell ref="C7:G7"/>
    <mergeCell ref="C8:G8"/>
    <mergeCell ref="C9:G9"/>
    <mergeCell ref="C11:G11"/>
    <mergeCell ref="K2:O2"/>
    <mergeCell ref="K3:O3"/>
    <mergeCell ref="K4:O4"/>
    <mergeCell ref="K5:O5"/>
    <mergeCell ref="K6:O6"/>
  </mergeCells>
  <conditionalFormatting sqref="C70">
    <cfRule type="cellIs" dxfId="135" priority="1427" stopIfTrue="1" operator="equal">
      <formula>0</formula>
    </cfRule>
  </conditionalFormatting>
  <conditionalFormatting sqref="J40:K40">
    <cfRule type="cellIs" dxfId="134" priority="1417" stopIfTrue="1" operator="equal">
      <formula>0</formula>
    </cfRule>
  </conditionalFormatting>
  <conditionalFormatting sqref="D40">
    <cfRule type="cellIs" dxfId="133" priority="1416" stopIfTrue="1" operator="equal">
      <formula>0</formula>
    </cfRule>
  </conditionalFormatting>
  <conditionalFormatting sqref="E40">
    <cfRule type="cellIs" dxfId="132" priority="1415" stopIfTrue="1" operator="equal">
      <formula>0</formula>
    </cfRule>
  </conditionalFormatting>
  <conditionalFormatting sqref="F40">
    <cfRule type="cellIs" dxfId="131" priority="1414" stopIfTrue="1" operator="equal">
      <formula>0</formula>
    </cfRule>
  </conditionalFormatting>
  <conditionalFormatting sqref="G40">
    <cfRule type="cellIs" dxfId="130" priority="1413" stopIfTrue="1" operator="equal">
      <formula>0</formula>
    </cfRule>
  </conditionalFormatting>
  <conditionalFormatting sqref="L40">
    <cfRule type="cellIs" dxfId="129" priority="1412" stopIfTrue="1" operator="equal">
      <formula>0</formula>
    </cfRule>
  </conditionalFormatting>
  <conditionalFormatting sqref="M40">
    <cfRule type="cellIs" dxfId="128" priority="1411" stopIfTrue="1" operator="equal">
      <formula>0</formula>
    </cfRule>
  </conditionalFormatting>
  <conditionalFormatting sqref="K6:O6">
    <cfRule type="cellIs" dxfId="127" priority="1029" operator="equal">
      <formula>0</formula>
    </cfRule>
  </conditionalFormatting>
  <conditionalFormatting sqref="K2:O5">
    <cfRule type="cellIs" dxfId="126" priority="1030" operator="equal">
      <formula>0</formula>
    </cfRule>
  </conditionalFormatting>
  <conditionalFormatting sqref="C7:G9">
    <cfRule type="cellIs" dxfId="125" priority="1028" operator="equal">
      <formula>0</formula>
    </cfRule>
  </conditionalFormatting>
  <conditionalFormatting sqref="C10:G11">
    <cfRule type="cellIs" dxfId="124" priority="1027" operator="equal">
      <formula>0</formula>
    </cfRule>
  </conditionalFormatting>
  <conditionalFormatting sqref="C30:T30 AA30:AK30">
    <cfRule type="cellIs" dxfId="123" priority="1025" stopIfTrue="1" operator="equal">
      <formula>0</formula>
    </cfRule>
  </conditionalFormatting>
  <conditionalFormatting sqref="U30:V30">
    <cfRule type="cellIs" dxfId="122" priority="1024" stopIfTrue="1" operator="equal">
      <formula>0</formula>
    </cfRule>
  </conditionalFormatting>
  <conditionalFormatting sqref="Y30">
    <cfRule type="cellIs" dxfId="121" priority="1026" stopIfTrue="1" operator="greaterThan">
      <formula>150</formula>
    </cfRule>
  </conditionalFormatting>
  <conditionalFormatting sqref="K15:L15">
    <cfRule type="cellIs" dxfId="120" priority="61" stopIfTrue="1" operator="equal">
      <formula>0</formula>
    </cfRule>
  </conditionalFormatting>
  <conditionalFormatting sqref="AO15">
    <cfRule type="cellIs" dxfId="119" priority="57" stopIfTrue="1" operator="equal">
      <formula>1</formula>
    </cfRule>
  </conditionalFormatting>
  <conditionalFormatting sqref="E15">
    <cfRule type="expression" dxfId="118" priority="52" stopIfTrue="1">
      <formula>B15=1</formula>
    </cfRule>
  </conditionalFormatting>
  <conditionalFormatting sqref="AH15">
    <cfRule type="expression" dxfId="117" priority="50" stopIfTrue="1">
      <formula>ROUND(AH15,5)&lt;ROUND(AF15,5)</formula>
    </cfRule>
  </conditionalFormatting>
  <conditionalFormatting sqref="AR15">
    <cfRule type="cellIs" dxfId="116" priority="49" stopIfTrue="1" operator="greaterThan">
      <formula>AQ15</formula>
    </cfRule>
    <cfRule type="cellIs" dxfId="115" priority="56" stopIfTrue="1" operator="equal">
      <formula>0</formula>
    </cfRule>
  </conditionalFormatting>
  <conditionalFormatting sqref="AQ15">
    <cfRule type="cellIs" dxfId="114" priority="47" stopIfTrue="1" operator="equal">
      <formula>0</formula>
    </cfRule>
    <cfRule type="cellIs" dxfId="113" priority="59" stopIfTrue="1" operator="equal">
      <formula>0</formula>
    </cfRule>
  </conditionalFormatting>
  <conditionalFormatting sqref="AW15">
    <cfRule type="cellIs" dxfId="112" priority="46" stopIfTrue="1" operator="equal">
      <formula>0</formula>
    </cfRule>
  </conditionalFormatting>
  <conditionalFormatting sqref="BA15">
    <cfRule type="cellIs" dxfId="111" priority="45" stopIfTrue="1" operator="equal">
      <formula>0</formula>
    </cfRule>
  </conditionalFormatting>
  <conditionalFormatting sqref="AL15">
    <cfRule type="cellIs" dxfId="110" priority="63" stopIfTrue="1" operator="equal">
      <formula>0</formula>
    </cfRule>
  </conditionalFormatting>
  <conditionalFormatting sqref="AK15">
    <cfRule type="cellIs" dxfId="109" priority="60" stopIfTrue="1" operator="equal">
      <formula>0</formula>
    </cfRule>
  </conditionalFormatting>
  <conditionalFormatting sqref="AO15">
    <cfRule type="cellIs" dxfId="108" priority="55" stopIfTrue="1" operator="equal">
      <formula>1</formula>
    </cfRule>
  </conditionalFormatting>
  <conditionalFormatting sqref="AS15">
    <cfRule type="cellIs" dxfId="107" priority="53" stopIfTrue="1" operator="equal">
      <formula>0</formula>
    </cfRule>
    <cfRule type="cellIs" dxfId="106" priority="58" stopIfTrue="1" operator="equal">
      <formula>0</formula>
    </cfRule>
  </conditionalFormatting>
  <conditionalFormatting sqref="AF15">
    <cfRule type="expression" dxfId="105" priority="41" stopIfTrue="1">
      <formula>F15=0</formula>
    </cfRule>
    <cfRule type="cellIs" dxfId="104" priority="42" stopIfTrue="1" operator="notEqual">
      <formula>AG15</formula>
    </cfRule>
  </conditionalFormatting>
  <conditionalFormatting sqref="AN15">
    <cfRule type="cellIs" dxfId="103" priority="54" stopIfTrue="1" operator="equal">
      <formula>0</formula>
    </cfRule>
  </conditionalFormatting>
  <conditionalFormatting sqref="AM15">
    <cfRule type="cellIs" dxfId="102" priority="38" stopIfTrue="1" operator="equal">
      <formula>0</formula>
    </cfRule>
  </conditionalFormatting>
  <conditionalFormatting sqref="AP15">
    <cfRule type="cellIs" dxfId="101" priority="62" stopIfTrue="1" operator="equal">
      <formula>0</formula>
    </cfRule>
  </conditionalFormatting>
  <conditionalFormatting sqref="AT15">
    <cfRule type="cellIs" dxfId="100" priority="37" stopIfTrue="1" operator="equal">
      <formula>0</formula>
    </cfRule>
  </conditionalFormatting>
  <conditionalFormatting sqref="AU15">
    <cfRule type="cellIs" dxfId="99" priority="36" stopIfTrue="1" operator="equal">
      <formula>0</formula>
    </cfRule>
  </conditionalFormatting>
  <conditionalFormatting sqref="AV15">
    <cfRule type="cellIs" dxfId="98" priority="40" stopIfTrue="1" operator="equal">
      <formula>0</formula>
    </cfRule>
  </conditionalFormatting>
  <conditionalFormatting sqref="P15:Q15">
    <cfRule type="cellIs" dxfId="97" priority="34" stopIfTrue="1" operator="equal">
      <formula>0</formula>
    </cfRule>
  </conditionalFormatting>
  <conditionalFormatting sqref="R15">
    <cfRule type="cellIs" dxfId="96" priority="32" operator="equal">
      <formula>0</formula>
    </cfRule>
    <cfRule type="cellIs" dxfId="95" priority="33" operator="notEqual">
      <formula>0</formula>
    </cfRule>
  </conditionalFormatting>
  <conditionalFormatting sqref="V15">
    <cfRule type="expression" dxfId="94" priority="26" stopIfTrue="1">
      <formula>B15=1</formula>
    </cfRule>
  </conditionalFormatting>
  <conditionalFormatting sqref="U15">
    <cfRule type="expression" dxfId="93" priority="30" stopIfTrue="1">
      <formula>E15=1</formula>
    </cfRule>
  </conditionalFormatting>
  <conditionalFormatting sqref="W15">
    <cfRule type="cellIs" dxfId="92" priority="28" operator="greaterThanOrEqual">
      <formula>3</formula>
    </cfRule>
    <cfRule type="cellIs" dxfId="91" priority="29" operator="greaterThanOrEqual">
      <formula>2</formula>
    </cfRule>
  </conditionalFormatting>
  <conditionalFormatting sqref="V15">
    <cfRule type="cellIs" dxfId="90" priority="27" operator="greaterThanOrEqual">
      <formula>3</formula>
    </cfRule>
    <cfRule type="cellIs" dxfId="89" priority="31" operator="greaterThanOrEqual">
      <formula>2</formula>
    </cfRule>
  </conditionalFormatting>
  <conditionalFormatting sqref="T15">
    <cfRule type="expression" dxfId="88" priority="25" stopIfTrue="1">
      <formula>B15=1</formula>
    </cfRule>
  </conditionalFormatting>
  <conditionalFormatting sqref="M15">
    <cfRule type="expression" dxfId="87" priority="51" stopIfTrue="1">
      <formula>#REF!&gt;0</formula>
    </cfRule>
  </conditionalFormatting>
  <conditionalFormatting sqref="X15">
    <cfRule type="cellIs" dxfId="86" priority="23" operator="equal">
      <formula>0</formula>
    </cfRule>
    <cfRule type="cellIs" dxfId="85" priority="24" operator="notEqual">
      <formula>0</formula>
    </cfRule>
  </conditionalFormatting>
  <conditionalFormatting sqref="AJ15">
    <cfRule type="expression" dxfId="84" priority="21">
      <formula>BE15=1</formula>
    </cfRule>
  </conditionalFormatting>
  <conditionalFormatting sqref="L50:M50 AC50">
    <cfRule type="cellIs" dxfId="83" priority="8" stopIfTrue="1" operator="equal">
      <formula>0</formula>
    </cfRule>
  </conditionalFormatting>
  <conditionalFormatting sqref="U50 O50:S50">
    <cfRule type="cellIs" dxfId="82" priority="7" stopIfTrue="1" operator="equal">
      <formula>0</formula>
    </cfRule>
  </conditionalFormatting>
  <conditionalFormatting sqref="F50:G50">
    <cfRule type="cellIs" dxfId="81" priority="10" stopIfTrue="1" operator="equal">
      <formula>0</formula>
    </cfRule>
  </conditionalFormatting>
  <conditionalFormatting sqref="I50:J50">
    <cfRule type="cellIs" dxfId="80" priority="9" stopIfTrue="1" operator="equal">
      <formula>0</formula>
    </cfRule>
  </conditionalFormatting>
  <conditionalFormatting sqref="W50:Y50">
    <cfRule type="cellIs" dxfId="79" priority="6" stopIfTrue="1" operator="equal">
      <formula>0</formula>
    </cfRule>
  </conditionalFormatting>
  <conditionalFormatting sqref="AA50">
    <cfRule type="cellIs" dxfId="78" priority="4" stopIfTrue="1" operator="equal">
      <formula>0</formula>
    </cfRule>
  </conditionalFormatting>
  <conditionalFormatting sqref="Z50">
    <cfRule type="cellIs" dxfId="77" priority="5" stopIfTrue="1" operator="equal">
      <formula>0</formula>
    </cfRule>
  </conditionalFormatting>
  <conditionalFormatting sqref="T50">
    <cfRule type="cellIs" dxfId="76" priority="3" stopIfTrue="1" operator="equal">
      <formula>0</formula>
    </cfRule>
  </conditionalFormatting>
  <conditionalFormatting sqref="H50">
    <cfRule type="cellIs" dxfId="75" priority="2" stopIfTrue="1" operator="equal">
      <formula>0</formula>
    </cfRule>
  </conditionalFormatting>
  <conditionalFormatting sqref="N50">
    <cfRule type="cellIs" dxfId="74" priority="1" stopIfTrue="1" operator="equal">
      <formula>0</formula>
    </cfRule>
  </conditionalFormatting>
  <dataValidations disablePrompts="1" count="1">
    <dataValidation type="list" allowBlank="1" showInputMessage="1" showErrorMessage="1" sqref="B40" xr:uid="{00000000-0002-0000-1000-000000000000}">
      <formula1>"0,1"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2" stopIfTrue="1" operator="notEqual" id="{7144822E-3D5D-4DF0-A2A5-F22C2E6AAEB7}">
            <xm:f>Parametros!$F$50</xm:f>
            <x14:dxf>
              <fill>
                <patternFill>
                  <bgColor indexed="47"/>
                </patternFill>
              </fill>
            </x14:dxf>
          </x14:cfRule>
          <xm:sqref>AJ15</xm:sqref>
        </x14:conditionalFormatting>
        <x14:conditionalFormatting xmlns:xm="http://schemas.microsoft.com/office/excel/2006/main">
          <x14:cfRule type="cellIs" priority="44" stopIfTrue="1" operator="greaterThan" id="{85502E11-2EA3-49D9-8AC1-B59670CE5E29}">
            <xm:f>Parametros!$F$48</xm:f>
            <x14:dxf>
              <fill>
                <patternFill patternType="solid">
                  <fgColor indexed="29"/>
                  <bgColor indexed="45"/>
                </patternFill>
              </fill>
            </x14:dxf>
          </x14:cfRule>
          <x14:cfRule type="expression" priority="48" stopIfTrue="1" id="{1321373B-DD34-4FCA-8762-782A0D53988F}">
            <xm:f>AND(AR15&gt;AQ15,AN15&gt;Parametros!$F$47)</xm:f>
            <x14:dxf>
              <font>
                <condense val="0"/>
                <extend val="0"/>
                <color auto="1"/>
              </font>
              <fill>
                <patternFill>
                  <bgColor indexed="45"/>
                </patternFill>
              </fill>
            </x14:dxf>
          </x14:cfRule>
          <xm:sqref>AN15</xm:sqref>
        </x14:conditionalFormatting>
        <x14:conditionalFormatting xmlns:xm="http://schemas.microsoft.com/office/excel/2006/main">
          <x14:cfRule type="cellIs" priority="43" stopIfTrue="1" operator="lessThan" id="{AC37B449-7156-42E4-9A75-46723B53F7D8}">
            <xm:f>Parametros!$F$45</xm:f>
            <x14:dxf>
              <font>
                <b val="0"/>
                <condense val="0"/>
                <extend val="0"/>
                <color indexed="9"/>
              </font>
              <fill>
                <patternFill patternType="solid">
                  <fgColor indexed="29"/>
                  <bgColor indexed="45"/>
                </patternFill>
              </fill>
            </x14:dxf>
          </x14:cfRule>
          <xm:sqref>AP15</xm:sqref>
        </x14:conditionalFormatting>
        <x14:conditionalFormatting xmlns:xm="http://schemas.microsoft.com/office/excel/2006/main">
          <x14:cfRule type="cellIs" priority="35" stopIfTrue="1" operator="greaterThan" id="{42AB05A5-3604-46B0-B6ED-A7167B4AB801}">
            <xm:f>Parametros!$F$48</xm:f>
            <x14:dxf>
              <fill>
                <patternFill patternType="solid">
                  <fgColor indexed="29"/>
                  <bgColor indexed="45"/>
                </patternFill>
              </fill>
            </x14:dxf>
          </x14:cfRule>
          <xm:sqref>AU15</xm:sqref>
        </x14:conditionalFormatting>
        <x14:conditionalFormatting xmlns:xm="http://schemas.microsoft.com/office/excel/2006/main">
          <x14:cfRule type="cellIs" priority="39" stopIfTrue="1" operator="lessThan" id="{74A1F66A-2814-4D4A-B349-5A3F2F0D67C9}">
            <xm:f>Parametros!$F$45</xm:f>
            <x14:dxf>
              <font>
                <b val="0"/>
                <condense val="0"/>
                <extend val="0"/>
                <color indexed="9"/>
              </font>
              <fill>
                <patternFill patternType="solid">
                  <fgColor indexed="29"/>
                  <bgColor indexed="45"/>
                </patternFill>
              </fill>
            </x14:dxf>
          </x14:cfRule>
          <xm:sqref>AV15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19"/>
  <dimension ref="A1:O15"/>
  <sheetViews>
    <sheetView workbookViewId="0">
      <selection activeCell="D23" sqref="D23"/>
    </sheetView>
  </sheetViews>
  <sheetFormatPr defaultRowHeight="12.75" x14ac:dyDescent="0.2"/>
  <cols>
    <col min="1" max="1" width="18.28515625" bestFit="1" customWidth="1"/>
    <col min="2" max="13" width="13.140625" bestFit="1" customWidth="1"/>
    <col min="14" max="14" width="12.85546875" customWidth="1"/>
    <col min="15" max="15" width="13.140625" bestFit="1" customWidth="1"/>
  </cols>
  <sheetData>
    <row r="1" spans="1:15" x14ac:dyDescent="0.2">
      <c r="A1" s="290"/>
      <c r="B1" s="289">
        <v>1</v>
      </c>
      <c r="C1" s="289">
        <v>2</v>
      </c>
      <c r="D1" s="289">
        <v>3</v>
      </c>
      <c r="E1" s="289">
        <v>4</v>
      </c>
      <c r="F1" s="289">
        <v>5</v>
      </c>
      <c r="G1" s="289">
        <v>6</v>
      </c>
      <c r="H1" s="289">
        <v>7</v>
      </c>
      <c r="I1" s="289">
        <v>8</v>
      </c>
      <c r="J1" s="289">
        <v>9</v>
      </c>
      <c r="K1" s="289">
        <v>10</v>
      </c>
      <c r="L1" s="289">
        <v>11</v>
      </c>
      <c r="M1" s="289">
        <v>12</v>
      </c>
      <c r="N1" s="289">
        <v>13</v>
      </c>
      <c r="O1" s="289">
        <v>14</v>
      </c>
    </row>
    <row r="2" spans="1:15" x14ac:dyDescent="0.2">
      <c r="A2" s="145" t="s">
        <v>159</v>
      </c>
      <c r="B2" s="145">
        <f>'A7'!B2</f>
        <v>100</v>
      </c>
      <c r="C2" s="145">
        <f>'A7'!B3</f>
        <v>150</v>
      </c>
      <c r="D2" s="145">
        <f>'A7'!B4</f>
        <v>200</v>
      </c>
      <c r="E2" s="145">
        <f>'A7'!B5</f>
        <v>250</v>
      </c>
      <c r="F2" s="145">
        <f>'A7'!B6</f>
        <v>300</v>
      </c>
      <c r="G2" s="145">
        <f>'A7'!B7</f>
        <v>350</v>
      </c>
      <c r="H2" s="145">
        <f>'A7'!B8</f>
        <v>400</v>
      </c>
      <c r="I2" s="145">
        <f>'A7'!B9</f>
        <v>450</v>
      </c>
      <c r="J2" s="145">
        <f>'A7'!B10</f>
        <v>500</v>
      </c>
      <c r="K2" s="145">
        <f>'A7'!B11</f>
        <v>600</v>
      </c>
      <c r="L2" s="145">
        <f>'A7'!B12</f>
        <v>700</v>
      </c>
      <c r="M2" s="145">
        <f>'A7'!B13</f>
        <v>800</v>
      </c>
      <c r="N2" s="145">
        <f>'A7'!B14</f>
        <v>900</v>
      </c>
      <c r="O2" s="145">
        <v>1000</v>
      </c>
    </row>
    <row r="3" spans="1:15" x14ac:dyDescent="0.2">
      <c r="A3" s="145" t="s">
        <v>161</v>
      </c>
      <c r="B3" s="145" t="b">
        <v>1</v>
      </c>
      <c r="C3" s="145" t="b">
        <v>1</v>
      </c>
      <c r="D3" s="145" t="b">
        <v>1</v>
      </c>
      <c r="E3" s="145" t="b">
        <v>1</v>
      </c>
      <c r="F3" s="145" t="b">
        <v>1</v>
      </c>
      <c r="G3" s="145" t="b">
        <v>1</v>
      </c>
      <c r="H3" s="145" t="b">
        <v>1</v>
      </c>
      <c r="I3" s="145" t="b">
        <v>1</v>
      </c>
      <c r="J3" s="145" t="b">
        <v>1</v>
      </c>
      <c r="K3" s="145" t="b">
        <v>1</v>
      </c>
      <c r="L3" s="145" t="b">
        <v>1</v>
      </c>
      <c r="M3" s="145" t="b">
        <v>1</v>
      </c>
      <c r="N3" s="145" t="b">
        <v>1</v>
      </c>
      <c r="O3" s="145" t="b">
        <v>1</v>
      </c>
    </row>
    <row r="4" spans="1:15" x14ac:dyDescent="0.2">
      <c r="A4" s="291" t="str">
        <f>IF(ISBLANK('A7'!C1),"",'A7'!C1)</f>
        <v>PVC</v>
      </c>
      <c r="B4" s="294" t="str">
        <f>IF('A7'!C2=1,'A14'!A$4,IF('A7'!C2=0,"",""))</f>
        <v>PVC</v>
      </c>
      <c r="C4" s="294" t="str">
        <f>IF('A7'!C3=1,'A14'!A$4,IF('A7'!C3=0,"",""))</f>
        <v>PVC</v>
      </c>
      <c r="D4" s="294" t="str">
        <f>IF('A7'!C4=1,'A14'!A$4,IF('A7'!C4=0,"",""))</f>
        <v>PVC</v>
      </c>
      <c r="E4" s="294" t="str">
        <f>IF('A7'!C5=1,'A14'!A$4,IF('A7'!C5=0,"",""))</f>
        <v>PVC</v>
      </c>
      <c r="F4" s="294" t="str">
        <f>IF('A7'!C6=1,'A14'!A$4,IF('A7'!C6=0,"",""))</f>
        <v>PVC</v>
      </c>
      <c r="G4" s="294" t="str">
        <f>IF('A7'!C7=1,'A14'!A$4,IF('A7'!C7=0,"",""))</f>
        <v>PVC</v>
      </c>
      <c r="H4" s="294" t="str">
        <f>IF('A7'!C8=1,'A14'!A$4,IF('A7'!C8=0,"",""))</f>
        <v>PVC</v>
      </c>
      <c r="I4" s="294" t="str">
        <f>IF('A7'!C9=1,'A14'!A$4,IF('A7'!C9=0,"",""))</f>
        <v/>
      </c>
      <c r="J4" s="294" t="str">
        <f>IF('A7'!C10=1,'A14'!A$4,IF('A7'!C10=0,"",""))</f>
        <v/>
      </c>
      <c r="K4" s="294" t="str">
        <f>IF('A7'!C11=1,'A14'!A$4,IF('A7'!C11=0,"",""))</f>
        <v/>
      </c>
      <c r="L4" s="294" t="str">
        <f>IF('A7'!C12=1,'A14'!A$4,IF('A7'!C12=0,"",""))</f>
        <v/>
      </c>
      <c r="M4" s="294" t="str">
        <f>IF('A7'!C13=1,'A14'!A$4,IF('A7'!C13=0,"",""))</f>
        <v/>
      </c>
      <c r="N4" s="294" t="str">
        <f>IF('A7'!C14=1,'A14'!A$4,IF('A7'!C14=0,"",""))</f>
        <v/>
      </c>
      <c r="O4" s="294" t="str">
        <f>IF('A7'!C15=1,'A14'!A$4,IF('A7'!C15=0,"",""))</f>
        <v/>
      </c>
    </row>
    <row r="5" spans="1:15" x14ac:dyDescent="0.2">
      <c r="A5" s="291" t="str">
        <f>IF(ISBLANK('A7'!D1),"",'A7'!D1)</f>
        <v>PEAD</v>
      </c>
      <c r="B5" s="294" t="str">
        <f>IF('A7'!D2=1,'A14'!A$5,IF('A7'!D2=0,"",""))</f>
        <v>PEAD</v>
      </c>
      <c r="C5" s="294" t="str">
        <f>IF('A7'!D3=1,'A14'!A$5,IF('A7'!D3=0,"",""))</f>
        <v>PEAD</v>
      </c>
      <c r="D5" s="294" t="str">
        <f>IF('A7'!D4=1,'A14'!A$5,IF('A7'!D4=0,"",""))</f>
        <v>PEAD</v>
      </c>
      <c r="E5" s="294" t="str">
        <f>IF('A7'!D5=1,'A14'!A$5,IF('A7'!D5=0,"",""))</f>
        <v>PEAD</v>
      </c>
      <c r="F5" s="294" t="str">
        <f>IF('A7'!D6=1,'A14'!A$5,IF('A7'!D6=0,"",""))</f>
        <v>PEAD</v>
      </c>
      <c r="G5" s="294" t="str">
        <f>IF('A7'!D7=1,'A14'!A$5,IF('A7'!D7=0,"",""))</f>
        <v>PEAD</v>
      </c>
      <c r="H5" s="294" t="str">
        <f>IF('A7'!D8=1,'A14'!A$5,IF('A7'!D8=0,"",""))</f>
        <v>PEAD</v>
      </c>
      <c r="I5" s="294" t="str">
        <f>IF('A7'!D9=1,'A14'!A$5,IF('A7'!D9=0,"",""))</f>
        <v>PEAD</v>
      </c>
      <c r="J5" s="294" t="str">
        <f>IF('A7'!D10=1,'A14'!A$5,IF('A7'!D10=0,"",""))</f>
        <v>PEAD</v>
      </c>
      <c r="K5" s="294" t="str">
        <f>IF('A7'!D11=1,'A14'!A$5,IF('A7'!D11=0,"",""))</f>
        <v>PEAD</v>
      </c>
      <c r="L5" s="294" t="str">
        <f>IF('A7'!D12=1,'A14'!A$5,IF('A7'!D12=0,"",""))</f>
        <v>PEAD</v>
      </c>
      <c r="M5" s="294" t="str">
        <f>IF('A7'!D13=1,'A14'!A$5,IF('A7'!D13=0,"",""))</f>
        <v>PEAD</v>
      </c>
      <c r="N5" s="294" t="str">
        <f>IF('A7'!D14=1,'A14'!A$5,IF('A7'!D14=0,"",""))</f>
        <v>PEAD</v>
      </c>
      <c r="O5" s="294" t="str">
        <f>IF('A7'!D15=1,'A14'!A$5,IF('A7'!D15=0,"",""))</f>
        <v>PEAD</v>
      </c>
    </row>
    <row r="6" spans="1:15" x14ac:dyDescent="0.2">
      <c r="A6" s="291" t="str">
        <f>IF(ISBLANK('A7'!E1),"",'A7'!E1)</f>
        <v>Concreto</v>
      </c>
      <c r="B6" s="294" t="str">
        <f>IF('A7'!E2=1,'A14'!A$6,IF('A7'!E2=0,"",""))</f>
        <v/>
      </c>
      <c r="C6" s="294" t="str">
        <f>IF('A7'!E3=1,'A14'!A$6,IF('A7'!E3=0,"",""))</f>
        <v/>
      </c>
      <c r="D6" s="294" t="str">
        <f>IF('A7'!E4=1,'A14'!A$6,IF('A7'!E4=0,"",""))</f>
        <v/>
      </c>
      <c r="E6" s="294" t="str">
        <f>IF('A7'!E5=1,'A14'!A$6,IF('A7'!E5=0,"",""))</f>
        <v>Concreto</v>
      </c>
      <c r="F6" s="294" t="str">
        <f>IF('A7'!E6=1,'A14'!A$6,IF('A7'!E6=0,"",""))</f>
        <v/>
      </c>
      <c r="G6" s="294" t="str">
        <f>IF('A7'!E7=1,'A14'!A$6,IF('A7'!E7=0,"",""))</f>
        <v/>
      </c>
      <c r="H6" s="294" t="str">
        <f>IF('A7'!E8=1,'A14'!A$6,IF('A7'!E8=0,"",""))</f>
        <v>Concreto</v>
      </c>
      <c r="I6" s="294" t="str">
        <f>IF('A7'!E9=1,'A14'!A$6,IF('A7'!E9=0,"",""))</f>
        <v>Concreto</v>
      </c>
      <c r="J6" s="294" t="str">
        <f>IF('A7'!E10=1,'A14'!A$6,IF('A7'!E10=0,"",""))</f>
        <v>Concreto</v>
      </c>
      <c r="K6" s="294" t="str">
        <f>IF('A7'!E11=1,'A14'!A$6,IF('A7'!E11=0,"",""))</f>
        <v>Concreto</v>
      </c>
      <c r="L6" s="294" t="str">
        <f>IF('A7'!E12=1,'A14'!A$6,IF('A7'!E12=0,"",""))</f>
        <v>Concreto</v>
      </c>
      <c r="M6" s="294" t="str">
        <f>IF('A7'!E13=1,'A14'!A$6,IF('A7'!E13=0,"",""))</f>
        <v>Concreto</v>
      </c>
      <c r="N6" s="294" t="str">
        <f>IF('A7'!E14=1,'A14'!A$6,IF('A7'!E14=0,"",""))</f>
        <v>Concreto</v>
      </c>
      <c r="O6" s="294" t="str">
        <f>IF('A7'!E15=1,'A14'!A$6,IF('A7'!E15=0,"",""))</f>
        <v>Concreto</v>
      </c>
    </row>
    <row r="7" spans="1:15" x14ac:dyDescent="0.2">
      <c r="A7" s="291" t="str">
        <f>IF(ISBLANK('A7'!F1),"",'A7'!F1)</f>
        <v>Hierro</v>
      </c>
      <c r="B7" s="294" t="str">
        <f>IF('A7'!F2=1,'A14'!A$7,IF('A7'!F2=0,"",""))</f>
        <v/>
      </c>
      <c r="C7" s="294" t="str">
        <f>IF('A7'!F3=1,'A14'!A$7,IF('A7'!F3=0,"",""))</f>
        <v>Hierro</v>
      </c>
      <c r="D7" s="294" t="str">
        <f>IF('A7'!F4=1,'A14'!A$7,IF('A7'!F4=0,"",""))</f>
        <v>Hierro</v>
      </c>
      <c r="E7" s="294" t="str">
        <f>IF('A7'!F5=1,'A14'!A$7,IF('A7'!F5=0,"",""))</f>
        <v>Hierro</v>
      </c>
      <c r="F7" s="294" t="str">
        <f>IF('A7'!F6=1,'A14'!A$7,IF('A7'!F6=0,"",""))</f>
        <v>Hierro</v>
      </c>
      <c r="G7" s="294" t="str">
        <f>IF('A7'!F7=1,'A14'!A$7,IF('A7'!F7=0,"",""))</f>
        <v>Hierro</v>
      </c>
      <c r="H7" s="294" t="str">
        <f>IF('A7'!F8=1,'A14'!A$7,IF('A7'!F8=0,"",""))</f>
        <v>Hierro</v>
      </c>
      <c r="I7" s="294" t="str">
        <f>IF('A7'!F9=1,'A14'!A$7,IF('A7'!F9=0,"",""))</f>
        <v>Hierro</v>
      </c>
      <c r="J7" s="294" t="str">
        <f>IF('A7'!F10=1,'A14'!A$7,IF('A7'!F10=0,"",""))</f>
        <v>Hierro</v>
      </c>
      <c r="K7" s="294" t="str">
        <f>IF('A7'!F11=1,'A14'!A$7,IF('A7'!F11=0,"",""))</f>
        <v>Hierro</v>
      </c>
      <c r="L7" s="294" t="str">
        <f>IF('A7'!F12=1,'A14'!A$7,IF('A7'!F12=0,"",""))</f>
        <v>Hierro</v>
      </c>
      <c r="M7" s="294" t="str">
        <f>IF('A7'!F13=1,'A14'!A$7,IF('A7'!F13=0,"",""))</f>
        <v>Hierro</v>
      </c>
      <c r="N7" s="294" t="str">
        <f>IF('A7'!F14=1,'A14'!A$7,IF('A7'!F14=0,"",""))</f>
        <v>Hierro</v>
      </c>
      <c r="O7" s="294" t="str">
        <f>IF('A7'!F15=1,'A14'!A$7,IF('A7'!F15=0,"",""))</f>
        <v>Hierro</v>
      </c>
    </row>
    <row r="8" spans="1:15" x14ac:dyDescent="0.2">
      <c r="A8" s="291" t="str">
        <f>IF(ISBLANK('A7'!G1),"",'A7'!G1)</f>
        <v>Otro</v>
      </c>
      <c r="B8" s="294" t="str">
        <f>IF('A7'!G2=1,'A14'!A$8,IF('A7'!G2=0,"",""))</f>
        <v>Otro</v>
      </c>
      <c r="C8" s="294" t="str">
        <f>IF('A7'!G3=1,'A14'!A$8,IF('A7'!G3=0,"",""))</f>
        <v/>
      </c>
      <c r="D8" s="294" t="str">
        <f>IF('A7'!G4=1,'A14'!A$8,IF('A7'!G4=0,"",""))</f>
        <v/>
      </c>
      <c r="E8" s="294" t="str">
        <f>IF('A7'!G5=1,'A14'!A$8,IF('A7'!G5=0,"",""))</f>
        <v>Otro</v>
      </c>
      <c r="F8" s="294" t="str">
        <f>IF('A7'!G6=1,'A14'!A$8,IF('A7'!G6=0,"",""))</f>
        <v/>
      </c>
      <c r="G8" s="294" t="str">
        <f>IF('A7'!G7=1,'A14'!A$8,IF('A7'!G7=0,"",""))</f>
        <v/>
      </c>
      <c r="H8" s="294" t="str">
        <f>IF('A7'!G8=1,'A14'!A$8,IF('A7'!G8=0,"",""))</f>
        <v/>
      </c>
      <c r="I8" s="294" t="str">
        <f>IF('A7'!G9=1,'A14'!A$8,IF('A7'!G9=0,"",""))</f>
        <v/>
      </c>
      <c r="J8" s="294" t="str">
        <f>IF('A7'!G10=1,'A14'!A$8,IF('A7'!G10=0,"",""))</f>
        <v>Otro</v>
      </c>
      <c r="K8" s="294" t="str">
        <f>IF('A7'!G11=1,'A14'!A$8,IF('A7'!G11=0,"",""))</f>
        <v/>
      </c>
      <c r="L8" s="294" t="str">
        <f>IF('A7'!G12=1,'A14'!A$8,IF('A7'!G12=0,"",""))</f>
        <v/>
      </c>
      <c r="M8" s="294" t="str">
        <f>IF('A7'!G13=1,'A14'!A$8,IF('A7'!G13=0,"",""))</f>
        <v/>
      </c>
      <c r="N8" s="294" t="str">
        <f>IF('A7'!G14=1,'A14'!A$8,IF('A7'!G14=0,"",""))</f>
        <v/>
      </c>
      <c r="O8" s="294" t="str">
        <f>IF('A7'!G15=1,'A14'!A$8,IF('A7'!G15=0,"",""))</f>
        <v/>
      </c>
    </row>
    <row r="9" spans="1:15" x14ac:dyDescent="0.2">
      <c r="A9" s="145" t="s">
        <v>162</v>
      </c>
      <c r="B9" s="145" t="s">
        <v>158</v>
      </c>
      <c r="C9" s="145" t="s">
        <v>116</v>
      </c>
      <c r="D9" s="145" t="s">
        <v>116</v>
      </c>
      <c r="E9" s="145" t="s">
        <v>116</v>
      </c>
      <c r="F9" s="145" t="s">
        <v>116</v>
      </c>
      <c r="G9" s="145" t="s">
        <v>107</v>
      </c>
      <c r="H9" s="145" t="s">
        <v>107</v>
      </c>
      <c r="I9" s="145" t="s">
        <v>107</v>
      </c>
      <c r="J9" s="145" t="s">
        <v>107</v>
      </c>
      <c r="K9" s="145" t="s">
        <v>107</v>
      </c>
      <c r="L9" s="145" t="s">
        <v>107</v>
      </c>
      <c r="M9" s="145" t="s">
        <v>107</v>
      </c>
      <c r="N9" s="145" t="s">
        <v>107</v>
      </c>
      <c r="O9" s="145" t="s">
        <v>107</v>
      </c>
    </row>
    <row r="10" spans="1:15" x14ac:dyDescent="0.2">
      <c r="A10" s="145" t="s">
        <v>163</v>
      </c>
      <c r="B10" s="145">
        <f>IFERROR(IF(MATCH(B9,nDN_1,0),1),0)</f>
        <v>1</v>
      </c>
      <c r="C10" s="145">
        <f>IFERROR(IF(MATCH(C9,nDN_2,0),1),0)</f>
        <v>1</v>
      </c>
      <c r="D10" s="145">
        <f>IFERROR(IF(MATCH(D9,nDN_3,0),1),0)</f>
        <v>1</v>
      </c>
      <c r="E10" s="145">
        <f>IFERROR(IF(MATCH(E9,nDN_4,0),1),0)</f>
        <v>1</v>
      </c>
      <c r="F10" s="145">
        <f>IFERROR(IF(MATCH(F9,nDN_5,0),1),0)</f>
        <v>1</v>
      </c>
      <c r="G10" s="145">
        <f>IFERROR(IF(MATCH(G9,nDN_6,0),1),0)</f>
        <v>1</v>
      </c>
      <c r="H10" s="145">
        <f>IFERROR(IF(MATCH(H9,nDN_7,0),1),0)</f>
        <v>1</v>
      </c>
      <c r="I10" s="145">
        <f>IFERROR(IF(MATCH(I9,nDN_8,0),1),0)</f>
        <v>1</v>
      </c>
      <c r="J10" s="145">
        <f>IFERROR(IF(MATCH(J9,nDN_9,0),1),0)</f>
        <v>1</v>
      </c>
      <c r="K10" s="145">
        <f>IFERROR(IF(MATCH(K9,nDN_10,0),1),0)</f>
        <v>1</v>
      </c>
      <c r="L10" s="145">
        <f>IFERROR(IF(MATCH(L9,nDN_11,0),1),0)</f>
        <v>1</v>
      </c>
      <c r="M10" s="145">
        <f>IFERROR(IF(MATCH(M9,nDN_12,0),1),0)</f>
        <v>1</v>
      </c>
      <c r="N10" s="145">
        <f>IFERROR(IF(MATCH(N9,nDN_13,0),1),0)</f>
        <v>1</v>
      </c>
      <c r="O10" s="145">
        <f>IFERROR(IF(MATCH(O9,nDN_14,0),1),0)</f>
        <v>1</v>
      </c>
    </row>
    <row r="11" spans="1:15" x14ac:dyDescent="0.2">
      <c r="A11" s="293"/>
      <c r="B11" s="285" t="str">
        <f t="array" ref="B11">INDEX(B$4:B$8, MATCH(LARGE(COUNTIF(B$4:B$8, "&lt;"&amp;B$4:B$8), ROW(1:1)), COUNTIF(B$4:B$8, "&lt;"&amp;B$4:B$8), 0))</f>
        <v>PVC</v>
      </c>
      <c r="C11" s="285" t="str">
        <f t="array" ref="C11">INDEX(C$4:C$8, MATCH(LARGE(COUNTIF(C$4:C$8, "&lt;"&amp;C$4:C$8), ROW(1:1)), COUNTIF(C$4:C$8, "&lt;"&amp;C$4:C$8), 0))</f>
        <v>PVC</v>
      </c>
      <c r="D11" s="285" t="str">
        <f t="array" ref="D11">INDEX(D$4:D$8, MATCH(LARGE(COUNTIF(D$4:D$8, "&lt;"&amp;D$4:D$8), ROW(1:1)), COUNTIF(D$4:D$8, "&lt;"&amp;D$4:D$8), 0))</f>
        <v>PVC</v>
      </c>
      <c r="E11" s="285" t="str">
        <f t="array" ref="E11">INDEX(E$4:E$8, MATCH(LARGE(COUNTIF(E$4:E$8, "&lt;"&amp;E$4:E$8), ROW(1:1)), COUNTIF(E$4:E$8, "&lt;"&amp;E$4:E$8), 0))</f>
        <v>PVC</v>
      </c>
      <c r="F11" s="285" t="str">
        <f t="array" ref="F11">INDEX(F$4:F$8, MATCH(LARGE(COUNTIF(F$4:F$8, "&lt;"&amp;F$4:F$8), ROW(1:1)), COUNTIF(F$4:F$8, "&lt;"&amp;F$4:F$8), 0))</f>
        <v>PVC</v>
      </c>
      <c r="G11" s="285" t="str">
        <f t="array" ref="G11">INDEX(G$4:G$8, MATCH(LARGE(COUNTIF(G$4:G$8, "&lt;"&amp;G$4:G$8), ROW(1:1)), COUNTIF(G$4:G$8, "&lt;"&amp;G$4:G$8), 0))</f>
        <v>PVC</v>
      </c>
      <c r="H11" s="285" t="str">
        <f t="array" ref="H11">INDEX(H$4:H$8, MATCH(LARGE(COUNTIF(H$4:H$8, "&lt;"&amp;H$4:H$8), ROW(1:1)), COUNTIF(H$4:H$8, "&lt;"&amp;H$4:H$8), 0))</f>
        <v>PVC</v>
      </c>
      <c r="I11" s="285" t="str">
        <f t="array" ref="I11">INDEX(I$4:I$8, MATCH(LARGE(COUNTIF(I$4:I$8, "&lt;"&amp;I$4:I$8), ROW(1:1)), COUNTIF(I$4:I$8, "&lt;"&amp;I$4:I$8), 0))</f>
        <v>PEAD</v>
      </c>
      <c r="J11" s="285" t="str">
        <f t="array" ref="J11">INDEX(J$4:J$8, MATCH(LARGE(COUNTIF(J$4:J$8, "&lt;"&amp;J$4:J$8), ROW(1:1)), COUNTIF(J$4:J$8, "&lt;"&amp;J$4:J$8), 0))</f>
        <v>PEAD</v>
      </c>
      <c r="K11" s="285" t="str">
        <f t="array" ref="K11">INDEX(K$4:K$8, MATCH(LARGE(COUNTIF(K$4:K$8, "&lt;"&amp;K$4:K$8), ROW(1:1)), COUNTIF(K$4:K$8, "&lt;"&amp;K$4:K$8), 0))</f>
        <v>PEAD</v>
      </c>
      <c r="L11" s="285" t="str">
        <f t="array" ref="L11">INDEX(L$4:L$8, MATCH(LARGE(COUNTIF(L$4:L$8, "&lt;"&amp;L$4:L$8), ROW(1:1)), COUNTIF(L$4:L$8, "&lt;"&amp;L$4:L$8), 0))</f>
        <v>PEAD</v>
      </c>
      <c r="M11" s="285" t="str">
        <f t="array" ref="M11">INDEX(M$4:M$8, MATCH(LARGE(COUNTIF(M$4:M$8, "&lt;"&amp;M$4:M$8), ROW(1:1)), COUNTIF(M$4:M$8, "&lt;"&amp;M$4:M$8), 0))</f>
        <v>PEAD</v>
      </c>
      <c r="N11" s="285" t="str">
        <f t="array" ref="N11">INDEX(N$4:N$8, MATCH(LARGE(COUNTIF(N$4:N$8, "&lt;"&amp;N$4:N$8), ROW(1:1)), COUNTIF(N$4:N$8, "&lt;"&amp;N$4:N$8), 0))</f>
        <v>PEAD</v>
      </c>
      <c r="O11" s="285" t="str">
        <f t="array" ref="O11">INDEX(O$4:O$8, MATCH(LARGE(COUNTIF(O$4:O$8, "&lt;"&amp;O$4:O$8), ROW(1:1)), COUNTIF(O$4:O$8, "&lt;"&amp;O$4:O$8), 0))</f>
        <v>PEAD</v>
      </c>
    </row>
    <row r="12" spans="1:15" x14ac:dyDescent="0.2">
      <c r="A12" s="293"/>
      <c r="B12" s="285" t="str">
        <f t="array" ref="B12">INDEX(B$4:B$8, MATCH(LARGE(COUNTIF(B$4:B$8, "&lt;"&amp;B$4:B$8), ROW(2:2)), COUNTIF(B$4:B$8, "&lt;"&amp;B$4:B$8), 0))</f>
        <v>PEAD</v>
      </c>
      <c r="C12" s="285" t="str">
        <f t="array" ref="C12">INDEX(C$4:C$8, MATCH(LARGE(COUNTIF(C$4:C$8, "&lt;"&amp;C$4:C$8), ROW(2:2)), COUNTIF(C$4:C$8, "&lt;"&amp;C$4:C$8), 0))</f>
        <v>PEAD</v>
      </c>
      <c r="D12" s="285" t="str">
        <f t="array" ref="D12">INDEX(D$4:D$8, MATCH(LARGE(COUNTIF(D$4:D$8, "&lt;"&amp;D$4:D$8), ROW(2:2)), COUNTIF(D$4:D$8, "&lt;"&amp;D$4:D$8), 0))</f>
        <v>PEAD</v>
      </c>
      <c r="E12" s="285" t="str">
        <f t="array" ref="E12">INDEX(E$4:E$8, MATCH(LARGE(COUNTIF(E$4:E$8, "&lt;"&amp;E$4:E$8), ROW(2:2)), COUNTIF(E$4:E$8, "&lt;"&amp;E$4:E$8), 0))</f>
        <v>PEAD</v>
      </c>
      <c r="F12" s="285" t="str">
        <f t="array" ref="F12">INDEX(F$4:F$8, MATCH(LARGE(COUNTIF(F$4:F$8, "&lt;"&amp;F$4:F$8), ROW(2:2)), COUNTIF(F$4:F$8, "&lt;"&amp;F$4:F$8), 0))</f>
        <v>PEAD</v>
      </c>
      <c r="G12" s="285" t="str">
        <f t="array" ref="G12">INDEX(G$4:G$8, MATCH(LARGE(COUNTIF(G$4:G$8, "&lt;"&amp;G$4:G$8), ROW(2:2)), COUNTIF(G$4:G$8, "&lt;"&amp;G$4:G$8), 0))</f>
        <v>PEAD</v>
      </c>
      <c r="H12" s="285" t="str">
        <f t="array" ref="H12">INDEX(H$4:H$8, MATCH(LARGE(COUNTIF(H$4:H$8, "&lt;"&amp;H$4:H$8), ROW(2:2)), COUNTIF(H$4:H$8, "&lt;"&amp;H$4:H$8), 0))</f>
        <v>PEAD</v>
      </c>
      <c r="I12" s="285" t="str">
        <f t="array" ref="I12">INDEX(I$4:I$8, MATCH(LARGE(COUNTIF(I$4:I$8, "&lt;"&amp;I$4:I$8), ROW(2:2)), COUNTIF(I$4:I$8, "&lt;"&amp;I$4:I$8), 0))</f>
        <v>Hierro</v>
      </c>
      <c r="J12" s="285" t="str">
        <f t="array" ref="J12">INDEX(J$4:J$8, MATCH(LARGE(COUNTIF(J$4:J$8, "&lt;"&amp;J$4:J$8), ROW(2:2)), COUNTIF(J$4:J$8, "&lt;"&amp;J$4:J$8), 0))</f>
        <v>Otro</v>
      </c>
      <c r="K12" s="285" t="str">
        <f t="array" ref="K12">INDEX(K$4:K$8, MATCH(LARGE(COUNTIF(K$4:K$8, "&lt;"&amp;K$4:K$8), ROW(2:2)), COUNTIF(K$4:K$8, "&lt;"&amp;K$4:K$8), 0))</f>
        <v>Hierro</v>
      </c>
      <c r="L12" s="285" t="str">
        <f t="array" ref="L12">INDEX(L$4:L$8, MATCH(LARGE(COUNTIF(L$4:L$8, "&lt;"&amp;L$4:L$8), ROW(2:2)), COUNTIF(L$4:L$8, "&lt;"&amp;L$4:L$8), 0))</f>
        <v>Hierro</v>
      </c>
      <c r="M12" s="285" t="str">
        <f t="array" ref="M12">INDEX(M$4:M$8, MATCH(LARGE(COUNTIF(M$4:M$8, "&lt;"&amp;M$4:M$8), ROW(2:2)), COUNTIF(M$4:M$8, "&lt;"&amp;M$4:M$8), 0))</f>
        <v>Hierro</v>
      </c>
      <c r="N12" s="285" t="str">
        <f t="array" ref="N12">INDEX(N$4:N$8, MATCH(LARGE(COUNTIF(N$4:N$8, "&lt;"&amp;N$4:N$8), ROW(2:2)), COUNTIF(N$4:N$8, "&lt;"&amp;N$4:N$8), 0))</f>
        <v>Hierro</v>
      </c>
      <c r="O12" s="285" t="str">
        <f t="array" ref="O12">INDEX(O$4:O$8, MATCH(LARGE(COUNTIF(O$4:O$8, "&lt;"&amp;O$4:O$8), ROW(2:2)), COUNTIF(O$4:O$8, "&lt;"&amp;O$4:O$8), 0))</f>
        <v>Hierro</v>
      </c>
    </row>
    <row r="13" spans="1:15" x14ac:dyDescent="0.2">
      <c r="A13" s="293"/>
      <c r="B13" s="285" t="str">
        <f t="array" ref="B13">INDEX(B$4:B$8, MATCH(LARGE(COUNTIF(B$4:B$8, "&lt;"&amp;B$4:B$8), ROW(3:3)), COUNTIF(B$4:B$8, "&lt;"&amp;B$4:B$8), 0))</f>
        <v>Otro</v>
      </c>
      <c r="C13" s="285" t="str">
        <f t="array" ref="C13">INDEX(C$4:C$8, MATCH(LARGE(COUNTIF(C$4:C$8, "&lt;"&amp;C$4:C$8), ROW(3:3)), COUNTIF(C$4:C$8, "&lt;"&amp;C$4:C$8), 0))</f>
        <v>Hierro</v>
      </c>
      <c r="D13" s="285" t="str">
        <f t="array" ref="D13">INDEX(D$4:D$8, MATCH(LARGE(COUNTIF(D$4:D$8, "&lt;"&amp;D$4:D$8), ROW(3:3)), COUNTIF(D$4:D$8, "&lt;"&amp;D$4:D$8), 0))</f>
        <v>Hierro</v>
      </c>
      <c r="E13" s="285" t="str">
        <f t="array" ref="E13">INDEX(E$4:E$8, MATCH(LARGE(COUNTIF(E$4:E$8, "&lt;"&amp;E$4:E$8), ROW(3:3)), COUNTIF(E$4:E$8, "&lt;"&amp;E$4:E$8), 0))</f>
        <v>Otro</v>
      </c>
      <c r="F13" s="285" t="str">
        <f t="array" ref="F13">INDEX(F$4:F$8, MATCH(LARGE(COUNTIF(F$4:F$8, "&lt;"&amp;F$4:F$8), ROW(3:3)), COUNTIF(F$4:F$8, "&lt;"&amp;F$4:F$8), 0))</f>
        <v>Hierro</v>
      </c>
      <c r="G13" s="285" t="str">
        <f t="array" ref="G13">INDEX(G$4:G$8, MATCH(LARGE(COUNTIF(G$4:G$8, "&lt;"&amp;G$4:G$8), ROW(3:3)), COUNTIF(G$4:G$8, "&lt;"&amp;G$4:G$8), 0))</f>
        <v>Hierro</v>
      </c>
      <c r="H13" s="285" t="str">
        <f t="array" ref="H13">INDEX(H$4:H$8, MATCH(LARGE(COUNTIF(H$4:H$8, "&lt;"&amp;H$4:H$8), ROW(3:3)), COUNTIF(H$4:H$8, "&lt;"&amp;H$4:H$8), 0))</f>
        <v>Hierro</v>
      </c>
      <c r="I13" s="285" t="str">
        <f t="array" ref="I13">INDEX(I$4:I$8, MATCH(LARGE(COUNTIF(I$4:I$8, "&lt;"&amp;I$4:I$8), ROW(3:3)), COUNTIF(I$4:I$8, "&lt;"&amp;I$4:I$8), 0))</f>
        <v>Concreto</v>
      </c>
      <c r="J13" s="285" t="str">
        <f t="array" ref="J13">INDEX(J$4:J$8, MATCH(LARGE(COUNTIF(J$4:J$8, "&lt;"&amp;J$4:J$8), ROW(3:3)), COUNTIF(J$4:J$8, "&lt;"&amp;J$4:J$8), 0))</f>
        <v>Hierro</v>
      </c>
      <c r="K13" s="285" t="str">
        <f t="array" ref="K13">INDEX(K$4:K$8, MATCH(LARGE(COUNTIF(K$4:K$8, "&lt;"&amp;K$4:K$8), ROW(3:3)), COUNTIF(K$4:K$8, "&lt;"&amp;K$4:K$8), 0))</f>
        <v>Concreto</v>
      </c>
      <c r="L13" s="285" t="str">
        <f t="array" ref="L13">INDEX(L$4:L$8, MATCH(LARGE(COUNTIF(L$4:L$8, "&lt;"&amp;L$4:L$8), ROW(3:3)), COUNTIF(L$4:L$8, "&lt;"&amp;L$4:L$8), 0))</f>
        <v>Concreto</v>
      </c>
      <c r="M13" s="285" t="str">
        <f t="array" ref="M13">INDEX(M$4:M$8, MATCH(LARGE(COUNTIF(M$4:M$8, "&lt;"&amp;M$4:M$8), ROW(3:3)), COUNTIF(M$4:M$8, "&lt;"&amp;M$4:M$8), 0))</f>
        <v>Concreto</v>
      </c>
      <c r="N13" s="285" t="str">
        <f t="array" ref="N13">INDEX(N$4:N$8, MATCH(LARGE(COUNTIF(N$4:N$8, "&lt;"&amp;N$4:N$8), ROW(3:3)), COUNTIF(N$4:N$8, "&lt;"&amp;N$4:N$8), 0))</f>
        <v>Concreto</v>
      </c>
      <c r="O13" s="285" t="str">
        <f t="array" ref="O13">INDEX(O$4:O$8, MATCH(LARGE(COUNTIF(O$4:O$8, "&lt;"&amp;O$4:O$8), ROW(3:3)), COUNTIF(O$4:O$8, "&lt;"&amp;O$4:O$8), 0))</f>
        <v>Concreto</v>
      </c>
    </row>
    <row r="14" spans="1:15" x14ac:dyDescent="0.2">
      <c r="A14" s="293"/>
      <c r="B14" s="285" t="str">
        <f t="array" ref="B14">INDEX(B$4:B$8, MATCH(LARGE(COUNTIF(B$4:B$8, "&lt;"&amp;B$4:B$8), ROW(4:4)), COUNTIF(B$4:B$8, "&lt;"&amp;B$4:B$8), 0))</f>
        <v/>
      </c>
      <c r="C14" s="285" t="str">
        <f t="array" ref="C14">INDEX(C$4:C$8, MATCH(LARGE(COUNTIF(C$4:C$8, "&lt;"&amp;C$4:C$8), ROW(4:4)), COUNTIF(C$4:C$8, "&lt;"&amp;C$4:C$8), 0))</f>
        <v/>
      </c>
      <c r="D14" s="285" t="str">
        <f t="array" ref="D14">INDEX(D$4:D$8, MATCH(LARGE(COUNTIF(D$4:D$8, "&lt;"&amp;D$4:D$8), ROW(4:4)), COUNTIF(D$4:D$8, "&lt;"&amp;D$4:D$8), 0))</f>
        <v/>
      </c>
      <c r="E14" s="285" t="str">
        <f t="array" ref="E14">INDEX(E$4:E$8, MATCH(LARGE(COUNTIF(E$4:E$8, "&lt;"&amp;E$4:E$8), ROW(4:4)), COUNTIF(E$4:E$8, "&lt;"&amp;E$4:E$8), 0))</f>
        <v>Hierro</v>
      </c>
      <c r="F14" s="285" t="str">
        <f t="array" ref="F14">INDEX(F$4:F$8, MATCH(LARGE(COUNTIF(F$4:F$8, "&lt;"&amp;F$4:F$8), ROW(4:4)), COUNTIF(F$4:F$8, "&lt;"&amp;F$4:F$8), 0))</f>
        <v/>
      </c>
      <c r="G14" s="285" t="str">
        <f t="array" ref="G14">INDEX(G$4:G$8, MATCH(LARGE(COUNTIF(G$4:G$8, "&lt;"&amp;G$4:G$8), ROW(4:4)), COUNTIF(G$4:G$8, "&lt;"&amp;G$4:G$8), 0))</f>
        <v/>
      </c>
      <c r="H14" s="285" t="str">
        <f t="array" ref="H14">INDEX(H$4:H$8, MATCH(LARGE(COUNTIF(H$4:H$8, "&lt;"&amp;H$4:H$8), ROW(4:4)), COUNTIF(H$4:H$8, "&lt;"&amp;H$4:H$8), 0))</f>
        <v>Concreto</v>
      </c>
      <c r="I14" s="285" t="str">
        <f t="array" ref="I14">INDEX(I$4:I$8, MATCH(LARGE(COUNTIF(I$4:I$8, "&lt;"&amp;I$4:I$8), ROW(4:4)), COUNTIF(I$4:I$8, "&lt;"&amp;I$4:I$8), 0))</f>
        <v/>
      </c>
      <c r="J14" s="285" t="str">
        <f t="array" ref="J14">INDEX(J$4:J$8, MATCH(LARGE(COUNTIF(J$4:J$8, "&lt;"&amp;J$4:J$8), ROW(4:4)), COUNTIF(J$4:J$8, "&lt;"&amp;J$4:J$8), 0))</f>
        <v>Concreto</v>
      </c>
      <c r="K14" s="285" t="str">
        <f t="array" ref="K14">INDEX(K$4:K$8, MATCH(LARGE(COUNTIF(K$4:K$8, "&lt;"&amp;K$4:K$8), ROW(4:4)), COUNTIF(K$4:K$8, "&lt;"&amp;K$4:K$8), 0))</f>
        <v/>
      </c>
      <c r="L14" s="285" t="str">
        <f t="array" ref="L14">INDEX(L$4:L$8, MATCH(LARGE(COUNTIF(L$4:L$8, "&lt;"&amp;L$4:L$8), ROW(4:4)), COUNTIF(L$4:L$8, "&lt;"&amp;L$4:L$8), 0))</f>
        <v/>
      </c>
      <c r="M14" s="285" t="str">
        <f t="array" ref="M14">INDEX(M$4:M$8, MATCH(LARGE(COUNTIF(M$4:M$8, "&lt;"&amp;M$4:M$8), ROW(4:4)), COUNTIF(M$4:M$8, "&lt;"&amp;M$4:M$8), 0))</f>
        <v/>
      </c>
      <c r="N14" s="285" t="str">
        <f t="array" ref="N14">INDEX(N$4:N$8, MATCH(LARGE(COUNTIF(N$4:N$8, "&lt;"&amp;N$4:N$8), ROW(4:4)), COUNTIF(N$4:N$8, "&lt;"&amp;N$4:N$8), 0))</f>
        <v/>
      </c>
      <c r="O14" s="285" t="str">
        <f t="array" ref="O14">INDEX(O$4:O$8, MATCH(LARGE(COUNTIF(O$4:O$8, "&lt;"&amp;O$4:O$8), ROW(4:4)), COUNTIF(O$4:O$8, "&lt;"&amp;O$4:O$8), 0))</f>
        <v/>
      </c>
    </row>
    <row r="15" spans="1:15" x14ac:dyDescent="0.2">
      <c r="A15" s="293"/>
      <c r="B15" s="285" t="str">
        <f t="array" ref="B15">INDEX(B$4:B$8, MATCH(LARGE(COUNTIF(B$4:B$8, "&lt;"&amp;B$4:B$8), ROW(5:5)), COUNTIF(B$4:B$8, "&lt;"&amp;B$4:B$8), 0))</f>
        <v/>
      </c>
      <c r="C15" s="285" t="str">
        <f t="array" ref="C15">INDEX(C$4:C$8, MATCH(LARGE(COUNTIF(C$4:C$8, "&lt;"&amp;C$4:C$8), ROW(5:5)), COUNTIF(C$4:C$8, "&lt;"&amp;C$4:C$8), 0))</f>
        <v/>
      </c>
      <c r="D15" s="285" t="str">
        <f t="array" ref="D15">INDEX(D$4:D$8, MATCH(LARGE(COUNTIF(D$4:D$8, "&lt;"&amp;D$4:D$8), ROW(5:5)), COUNTIF(D$4:D$8, "&lt;"&amp;D$4:D$8), 0))</f>
        <v/>
      </c>
      <c r="E15" s="285" t="str">
        <f t="array" ref="E15">INDEX(E$4:E$8, MATCH(LARGE(COUNTIF(E$4:E$8, "&lt;"&amp;E$4:E$8), ROW(5:5)), COUNTIF(E$4:E$8, "&lt;"&amp;E$4:E$8), 0))</f>
        <v>Concreto</v>
      </c>
      <c r="F15" s="285" t="str">
        <f t="array" ref="F15">INDEX(F$4:F$8, MATCH(LARGE(COUNTIF(F$4:F$8, "&lt;"&amp;F$4:F$8), ROW(5:5)), COUNTIF(F$4:F$8, "&lt;"&amp;F$4:F$8), 0))</f>
        <v/>
      </c>
      <c r="G15" s="285" t="str">
        <f t="array" ref="G15">INDEX(G$4:G$8, MATCH(LARGE(COUNTIF(G$4:G$8, "&lt;"&amp;G$4:G$8), ROW(5:5)), COUNTIF(G$4:G$8, "&lt;"&amp;G$4:G$8), 0))</f>
        <v/>
      </c>
      <c r="H15" s="285" t="str">
        <f t="array" ref="H15">INDEX(H$4:H$8, MATCH(LARGE(COUNTIF(H$4:H$8, "&lt;"&amp;H$4:H$8), ROW(5:5)), COUNTIF(H$4:H$8, "&lt;"&amp;H$4:H$8), 0))</f>
        <v/>
      </c>
      <c r="I15" s="285" t="str">
        <f t="array" ref="I15">INDEX(I$4:I$8, MATCH(LARGE(COUNTIF(I$4:I$8, "&lt;"&amp;I$4:I$8), ROW(5:5)), COUNTIF(I$4:I$8, "&lt;"&amp;I$4:I$8), 0))</f>
        <v/>
      </c>
      <c r="J15" s="285" t="str">
        <f t="array" ref="J15">INDEX(J$4:J$8, MATCH(LARGE(COUNTIF(J$4:J$8, "&lt;"&amp;J$4:J$8), ROW(5:5)), COUNTIF(J$4:J$8, "&lt;"&amp;J$4:J$8), 0))</f>
        <v/>
      </c>
      <c r="K15" s="285" t="str">
        <f t="array" ref="K15">INDEX(K$4:K$8, MATCH(LARGE(COUNTIF(K$4:K$8, "&lt;"&amp;K$4:K$8), ROW(5:5)), COUNTIF(K$4:K$8, "&lt;"&amp;K$4:K$8), 0))</f>
        <v/>
      </c>
      <c r="L15" s="285" t="str">
        <f t="array" ref="L15">INDEX(L$4:L$8, MATCH(LARGE(COUNTIF(L$4:L$8, "&lt;"&amp;L$4:L$8), ROW(5:5)), COUNTIF(L$4:L$8, "&lt;"&amp;L$4:L$8), 0))</f>
        <v/>
      </c>
      <c r="M15" s="285" t="str">
        <f t="array" ref="M15">INDEX(M$4:M$8, MATCH(LARGE(COUNTIF(M$4:M$8, "&lt;"&amp;M$4:M$8), ROW(5:5)), COUNTIF(M$4:M$8, "&lt;"&amp;M$4:M$8), 0))</f>
        <v/>
      </c>
      <c r="N15" s="285" t="str">
        <f t="array" ref="N15">INDEX(N$4:N$8, MATCH(LARGE(COUNTIF(N$4:N$8, "&lt;"&amp;N$4:N$8), ROW(5:5)), COUNTIF(N$4:N$8, "&lt;"&amp;N$4:N$8), 0))</f>
        <v/>
      </c>
      <c r="O15" s="285" t="str">
        <f t="array" ref="O15">INDEX(O$4:O$8, MATCH(LARGE(COUNTIF(O$4:O$8, "&lt;"&amp;O$4:O$8), ROW(5:5)), COUNTIF(O$4:O$8, "&lt;"&amp;O$4:O$8), 0))</f>
        <v/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16</vt:i4>
      </vt:variant>
      <vt:variant>
        <vt:lpstr>Intervalos Nomeados</vt:lpstr>
      </vt:variant>
      <vt:variant>
        <vt:i4>30</vt:i4>
      </vt:variant>
    </vt:vector>
  </HeadingPairs>
  <TitlesOfParts>
    <vt:vector size="46" baseType="lpstr">
      <vt:lpstr>INICIO</vt:lpstr>
      <vt:lpstr>ImportQGIS</vt:lpstr>
      <vt:lpstr>Parametros</vt:lpstr>
      <vt:lpstr>RedBasica</vt:lpstr>
      <vt:lpstr>RedBasica_print</vt:lpstr>
      <vt:lpstr>ExportNodos</vt:lpstr>
      <vt:lpstr>ExportTramos</vt:lpstr>
      <vt:lpstr>A1</vt:lpstr>
      <vt:lpstr>A2</vt:lpstr>
      <vt:lpstr>A3</vt:lpstr>
      <vt:lpstr>A4</vt:lpstr>
      <vt:lpstr>A5</vt:lpstr>
      <vt:lpstr>A7</vt:lpstr>
      <vt:lpstr>A8</vt:lpstr>
      <vt:lpstr>A9</vt:lpstr>
      <vt:lpstr>A14</vt:lpstr>
      <vt:lpstr>Parametros!Area_de_impressao</vt:lpstr>
      <vt:lpstr>DN_lista</vt:lpstr>
      <vt:lpstr>nDN_1</vt:lpstr>
      <vt:lpstr>nDN_10</vt:lpstr>
      <vt:lpstr>nDN_11</vt:lpstr>
      <vt:lpstr>nDN_12</vt:lpstr>
      <vt:lpstr>nDN_13</vt:lpstr>
      <vt:lpstr>nDN_14</vt:lpstr>
      <vt:lpstr>nDN_2</vt:lpstr>
      <vt:lpstr>nDN_3</vt:lpstr>
      <vt:lpstr>nDN_4</vt:lpstr>
      <vt:lpstr>nDN_5</vt:lpstr>
      <vt:lpstr>nDN_6</vt:lpstr>
      <vt:lpstr>nDN_7</vt:lpstr>
      <vt:lpstr>nDN_8</vt:lpstr>
      <vt:lpstr>nDN_9</vt:lpstr>
      <vt:lpstr>Plista</vt:lpstr>
      <vt:lpstr>Proc_man</vt:lpstr>
      <vt:lpstr>ImportQGIS!sample</vt:lpstr>
      <vt:lpstr>ImportQGIS!sample_1</vt:lpstr>
      <vt:lpstr>ImportQGIS!sample_2</vt:lpstr>
      <vt:lpstr>ImportQGIS!sample_3</vt:lpstr>
      <vt:lpstr>ImportQGIS!sample_4</vt:lpstr>
      <vt:lpstr>ImportQGIS!sample_5</vt:lpstr>
      <vt:lpstr>ImportQGIS!sample_6</vt:lpstr>
      <vt:lpstr>ImportQGIS!sample_7</vt:lpstr>
      <vt:lpstr>ImportQGIS!sample_8</vt:lpstr>
      <vt:lpstr>ImportQGIS!sample_9</vt:lpstr>
      <vt:lpstr>Teste</vt:lpstr>
      <vt:lpstr>RedBasica_print!Titulos_de_impressao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saniBID RedBasica QGIS</dc:title>
  <dc:creator/>
  <cp:keywords>Calculo Hidraulico , Rede de Esgoto , Alcantarillado , Sewerage , Sistema Condominial</cp:keywords>
  <dc:description>Hoja de cálculo para proyecto de redes de alcantarillado del tipo Condominial. Apenas para el uso con el saniBID RedBasica, plugin del QGIS._x000d_
_x000d_
Autor: Leonardo Porto Nazareth_x000d_
leonazareth@gmail.com_x000d_
_x000d_
Licenced under Creative Commons' Attribution-NonCommercial 4.0 International (CC BY-NC 4.0)</dc:description>
  <cp:lastModifiedBy/>
  <dcterms:created xsi:type="dcterms:W3CDTF">2015-02-15T15:06:09Z</dcterms:created>
  <dcterms:modified xsi:type="dcterms:W3CDTF">2019-04-05T02:00:29Z</dcterms:modified>
</cp:coreProperties>
</file>